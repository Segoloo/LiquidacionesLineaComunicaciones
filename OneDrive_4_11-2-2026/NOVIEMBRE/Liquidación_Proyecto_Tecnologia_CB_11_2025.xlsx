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2" documentId="8_{4B5C3119-9229-49F8-9B60-B03FCABA6CE4}" xr6:coauthVersionLast="47" xr6:coauthVersionMax="47" xr10:uidLastSave="{13ECFF35-201F-4149-A094-530704703F4F}"/>
  <bookViews>
    <workbookView xWindow="28680" yWindow="-825" windowWidth="29040" windowHeight="15720" tabRatio="896" activeTab="1" xr2:uid="{00000000-000D-0000-FFFF-FFFF00000000}"/>
  </bookViews>
  <sheets>
    <sheet name="BASE LIQUIDACION" sheetId="1" r:id="rId1"/>
    <sheet name="RESUMEN LIQUIDACIONES" sheetId="5" r:id="rId2"/>
    <sheet name="ADECUCACIONES" sheetId="2" r:id="rId3"/>
    <sheet name="INCIDENTES" sheetId="3" r:id="rId4"/>
    <sheet name="OC" sheetId="4"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2" hidden="1">ADECUCACIONES!$A$1:$AE$8</definedName>
    <definedName name="_xlnm._FilterDatabase" localSheetId="3" hidden="1">INCIDENTES!$A$1:$AH$89</definedName>
    <definedName name="_xlnm._FilterDatabase" localSheetId="4" hidden="1">OC!$A$1:$AG$4</definedName>
    <definedName name="A">#REF!</definedName>
    <definedName name="Actividad">[1]Formulas!$H$2:$H$5000</definedName>
    <definedName name="arearesponsable">'[2]Listas desplegables'!$BB$2:$BB$100</definedName>
    <definedName name="Clientes">[1]Clientes!$A$2:$A$100</definedName>
    <definedName name="COORDINADOR">[3]Hoja2!$D$2:$D$30</definedName>
    <definedName name="Coordinadores">[1]Coordinadores!$A$2:$A$1000</definedName>
    <definedName name="DOCUMENTADOR">[3]Hoja2!$A$2:$A$30</definedName>
    <definedName name="ES">[3]Hoja2!$K$2:$K$30</definedName>
    <definedName name="ESS">[3]Hoja2!$K$2:$K$30</definedName>
    <definedName name="Estado">[1]Formulas!$K$2:$K$5000</definedName>
    <definedName name="ESTADOACTIVIDAD">[3]Hoja2!$M$2:$M$30</definedName>
    <definedName name="ESTADOS">'[4]Listas desplegables'!$B$1:$D$1</definedName>
    <definedName name="ESTADOSCIERRES">'[5]lista desplegable'!$CX$1:$DA$1</definedName>
    <definedName name="Facturacion">'[6]Listas desplegables'!$AO$1:$AR$1</definedName>
    <definedName name="FACTURACIÓN">'[4]Listas desplegables'!$Y$1:$AB$1</definedName>
    <definedName name="falla">#REF!</definedName>
    <definedName name="Fallas">'[7]Listas desplegables'!$F$2:$L$2</definedName>
    <definedName name="Grupo_Falla">'[8]Listas Desplegables'!$CH$2:$CH$5</definedName>
    <definedName name="inconservmanager">'[9]Listas desplegables'!$BC$2:$BC$100</definedName>
    <definedName name="INCUMPLIMIENTO">'[2]Listas desplegables'!$AK$1:$AN$1</definedName>
    <definedName name="LISTA">[10]Dptos!$A$1139:$A$1171</definedName>
    <definedName name="LISTA2">#REF!</definedName>
    <definedName name="LOLO">[11]Coordinadores!$A$2:$A$1000</definedName>
    <definedName name="solicitudes">'[12]Listas desplegables'!$AF$1:$AQ$1</definedName>
    <definedName name="Tecnicos">[1]Tecnicos!$A$2:$A$1000</definedName>
    <definedName name="Version">[1]Formulas!$I$2:$I$3</definedName>
  </definedNames>
  <calcPr calcId="191029"/>
</workbook>
</file>

<file path=xl/calcChain.xml><?xml version="1.0" encoding="utf-8"?>
<calcChain xmlns="http://schemas.openxmlformats.org/spreadsheetml/2006/main">
  <c r="H5" i="5" l="1"/>
  <c r="F2" i="5"/>
  <c r="D8" i="5"/>
  <c r="D7" i="5"/>
  <c r="D6" i="5"/>
  <c r="B8" i="5"/>
  <c r="B7" i="5"/>
  <c r="B6" i="5"/>
  <c r="I11" i="5" l="1"/>
  <c r="J11" i="5" s="1"/>
  <c r="I10" i="5"/>
  <c r="J10" i="5" s="1"/>
  <c r="I9" i="5"/>
  <c r="J9" i="5" s="1"/>
  <c r="I8" i="5"/>
  <c r="J8" i="5" s="1"/>
  <c r="I7" i="5"/>
  <c r="J7" i="5" s="1"/>
  <c r="I6" i="5"/>
  <c r="J6" i="5" s="1"/>
  <c r="H12" i="5"/>
  <c r="B15" i="1"/>
  <c r="B14" i="1"/>
  <c r="B13" i="1"/>
  <c r="B12" i="1"/>
  <c r="B11" i="1"/>
  <c r="B10" i="1"/>
  <c r="D7" i="1"/>
  <c r="C7" i="1"/>
  <c r="D6" i="1"/>
  <c r="C6" i="1"/>
  <c r="D5" i="1"/>
  <c r="C5" i="1"/>
  <c r="D4" i="1"/>
  <c r="C4" i="1"/>
  <c r="D3" i="1"/>
  <c r="C3" i="1"/>
  <c r="I5" i="5" l="1"/>
  <c r="I12" i="5" l="1"/>
  <c r="J5" i="5"/>
  <c r="J12" i="5" s="1"/>
  <c r="D9" i="5" l="1"/>
  <c r="D10" i="5" s="1"/>
  <c r="D11" i="5" s="1"/>
  <c r="D12" i="5" s="1"/>
</calcChain>
</file>

<file path=xl/sharedStrings.xml><?xml version="1.0" encoding="utf-8"?>
<sst xmlns="http://schemas.openxmlformats.org/spreadsheetml/2006/main" count="2511" uniqueCount="912">
  <si>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</si>
  <si>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</si>
  <si>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</si>
  <si>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</si>
  <si>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</si>
  <si>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</si>
  <si>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</si>
  <si>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</si>
  <si>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</si>
  <si>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</si>
  <si>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</si>
  <si>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</si>
  <si>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</si>
  <si>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</si>
  <si>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</si>
  <si>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</si>
  <si>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</si>
  <si>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</si>
  <si>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</si>
  <si>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</si>
  <si>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</si>
  <si>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</si>
  <si>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</si>
  <si>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</si>
  <si>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</si>
  <si>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</si>
  <si>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</si>
  <si>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</si>
  <si>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</si>
  <si>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</si>
  <si>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</si>
  <si>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</si>
  <si>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</si>
  <si>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</si>
  <si>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</si>
  <si>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</si>
  <si>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</si>
  <si>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</si>
  <si>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</si>
  <si>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</si>
  <si>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</si>
  <si>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</si>
  <si>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</si>
  <si>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</si>
  <si>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</si>
  <si>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</si>
  <si>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</si>
  <si>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ACOMETIDA DATOS</t>
  </si>
  <si>
    <t>ACOMETIDA ELECTRICA</t>
  </si>
  <si>
    <t>SWITCH</t>
  </si>
  <si>
    <t>ROUTER</t>
  </si>
  <si>
    <t>VALOR DIAS ACTIVIDAD FACTURABLES</t>
  </si>
  <si>
    <t>DIAS ACTIVIDAD FACTURABLES</t>
  </si>
  <si>
    <t>VALOR TOTAL INSTALACION DE PUBLICIDAD</t>
  </si>
  <si>
    <t>MEDELLIN</t>
  </si>
  <si>
    <t>NOROCCIDENTE</t>
  </si>
  <si>
    <t>0004-0005</t>
  </si>
  <si>
    <t>5736</t>
  </si>
  <si>
    <t>TA-25-1247964</t>
  </si>
  <si>
    <t>3007082061</t>
  </si>
  <si>
    <t>APERTURA</t>
  </si>
  <si>
    <t>CB CRECIMIENTO ALIANZA - NUEVO</t>
  </si>
  <si>
    <t>ANTIOQUIA</t>
  </si>
  <si>
    <t>SEGOVIA</t>
  </si>
  <si>
    <t>DISTRICOL PLANETARIO 2000</t>
  </si>
  <si>
    <t>REDEBAN</t>
  </si>
  <si>
    <t>FO-25-1765343 | FO-25-1751719</t>
  </si>
  <si>
    <t>AGREGADOR</t>
  </si>
  <si>
    <t>DISTRICOL</t>
  </si>
  <si>
    <t>CANCELADO | EJECUTADO/CANCELADO</t>
  </si>
  <si>
    <t>04/11/2025 ENTIDAD SOLICITA CANCELAR LA INSTALACIÓN</t>
  </si>
  <si>
    <t>SOPORTE TELEFONICO</t>
  </si>
  <si>
    <t>TIPO IV</t>
  </si>
  <si>
    <t>TERRESTRE</t>
  </si>
  <si>
    <t>ECHEVERRI ECHEVERRI EVELIN DANIELA</t>
  </si>
  <si>
    <t>APARTADO</t>
  </si>
  <si>
    <t>27006</t>
  </si>
  <si>
    <t>TA-25-1247980</t>
  </si>
  <si>
    <t>CHOCO</t>
  </si>
  <si>
    <t>ACANDI</t>
  </si>
  <si>
    <t>DISTRICOL CONFITERIA VENTANITA</t>
  </si>
  <si>
    <t>FO-25-1751759</t>
  </si>
  <si>
    <t>EJECUTADO/CANCELADO</t>
  </si>
  <si>
    <t>29/10/2025 29-10 PROGRAMACIÓN REALIZADA POR LA ALIANZA| INSTALACIÓN PROGRAMADA PARA EL 2025-11-05 | 06/11/2025 SE LLEGA A SITIO, SE ENCUENTRA QUE EL COMERCIO ES UN RESTAURANTE PANADERÍA, NO SE VE COMO CONFITERÍA. ADICIONAL EN TODO EL FRENTE TIENE UN CORRESPONSAL BANCOLOMBIA Y AL LADO IZQUIERDO A 40 METROS TIENE OTRO CORRESPONSAL. SE ESCALA TEMA A COORDINADOR EL CUAL INDICA NO INSTALAR POR PROXIMIDAD ENTRE CORRESPONSALES.</t>
  </si>
  <si>
    <t>VISITA TECNICA</t>
  </si>
  <si>
    <t>TIPO V</t>
  </si>
  <si>
    <t>AEREO</t>
  </si>
  <si>
    <t>CASTRO HENAO DANIEL ESTEBAN</t>
  </si>
  <si>
    <t>PASTO</t>
  </si>
  <si>
    <t>SUROCCIDENTE Y EJE CAFETERO</t>
  </si>
  <si>
    <t>0004-0003</t>
  </si>
  <si>
    <t>86865</t>
  </si>
  <si>
    <t>TA-25-1248008</t>
  </si>
  <si>
    <t>3007082070</t>
  </si>
  <si>
    <t>PUTUMAYO</t>
  </si>
  <si>
    <t>VALLE DEL GUAMUEZ</t>
  </si>
  <si>
    <t>DISTRICOL ESTILO REAL</t>
  </si>
  <si>
    <t>FO-25-1751843</t>
  </si>
  <si>
    <t>29/10/2025 29-10 PROGRAMACIÓN REALIZADA POR LA ALIANZA| INSTALACIÓN PROGRAMADA PARA EL 2025-10-31 | 31/10/2025 NO ES POSIBLE VIAJAR EL DIA DE HOY HACIA EL DEPARTAMENTO DEL PUTUMAYO POR PROBLEMAS DE TRANSPORTE SE REALIZARA DESPLAZAMIENTO AL DIA MARTES | 06/11/2025 SE VISITA EL COMERCIO PARA DAR APERTURA AL CB PERO NO ES POSIBLE YA QUE EL CLIENTE AUN NO TIENE LA ADECUACIÓN DE DATOS Y ENERGIA LISTOS DONDE VA A QUEDAR UBICADO EL DATAFONO, INFORMA QUE CUANDO TENGA DICHA ADECUACION INFORMARA PARA HACER LA INSTALACIÓN</t>
  </si>
  <si>
    <t>GUERRERO RAMIREZ OSCAR DARIO</t>
  </si>
  <si>
    <t>CALI</t>
  </si>
  <si>
    <t>76520</t>
  </si>
  <si>
    <t>TA-25-1315926</t>
  </si>
  <si>
    <t>3007082246</t>
  </si>
  <si>
    <t>VALLE DEL CAUCA</t>
  </si>
  <si>
    <t>PALMIRA</t>
  </si>
  <si>
    <t>PTM PALMIRA TIENDA Y VARIEDADE</t>
  </si>
  <si>
    <t>FO-25-1852593</t>
  </si>
  <si>
    <t>20/11/2025 20-11 PROGRAMACION REALIZADA POR LA ALIANZA| INSTALACIÓN PROGRAMADA PARA EL 2025-11-24 | 24/11/2025 SE PROCEDE LLAMA AL CONTACTO PARA CONFIRMAR VISITA, DONDE SE EVIDENCIA QUÉ DIRECCIÓN EN ORDEN DE INSTALACIÓN NO COINCIDE CON LA DIRECCIÓN FÍSICA DEL CLIENTE. SE PROCEDE A VISITAR PARA CONFIRMAR. DIRECCIÓN CORRECTA DEL COMERCIO ES CARRERA 27 B # 3 0-6. SE EVIDENCIÓ QUE CÁMARA Y COMERCIO ESTÁ ERRADA Y SE LE INDICA AL CLIENTE QUE DEBE CORREGIR Y ENVIAR DATOS NUEVAMENTE.</t>
  </si>
  <si>
    <t>TIPO I</t>
  </si>
  <si>
    <t>BOLAÑOS TABORDA JORGE ENRIQUE</t>
  </si>
  <si>
    <t>5001</t>
  </si>
  <si>
    <t>TA-25-1315934</t>
  </si>
  <si>
    <t>3007079707</t>
  </si>
  <si>
    <t>DATAFONO ADICIONAL - ALIANZA</t>
  </si>
  <si>
    <t>PTM MEDELLIN PAPELERIA Y VARIE</t>
  </si>
  <si>
    <t>FO-25-1852618</t>
  </si>
  <si>
    <t>COMCARD - PTM</t>
  </si>
  <si>
    <t>20/11/2025 20-11 PROGRAMACION REALIZADA POR LA ALIANZA| INSTALACIÓN PROGRAMADA PARA EL 2025-11-21 | 22/11/2025 NO SE HACE LA INSTALACIÓN DEL DATAFONO ADICIONAL PORQUE EN EL PUNTO HAY UN EFECTY, ESCALO LO SUCEDIDO Y NO PERMITEN LA VISITA</t>
  </si>
  <si>
    <t>RUA ALVAREZ RICHARD ANDRES</t>
  </si>
  <si>
    <t>BOGOTA</t>
  </si>
  <si>
    <t>CUNDINAMARCA</t>
  </si>
  <si>
    <t>0004-0004</t>
  </si>
  <si>
    <t>25599</t>
  </si>
  <si>
    <t>TA-25-1319223</t>
  </si>
  <si>
    <t>3007082265</t>
  </si>
  <si>
    <t>APULO</t>
  </si>
  <si>
    <t>DISTRICOL AUTOSERVICIO APULO</t>
  </si>
  <si>
    <t>FO-25-1859233</t>
  </si>
  <si>
    <t>21/11/2025 21-11 PROGRAMACION REALIZADA POR LA ALIANZA| INSTALACIÓN PROGRAMADA PARA EL 2025-11-25 | 25/11/2025 SE VISITA COMERCIO, SE VALIDA CB CERCANO Y NO SE PUEDE REALIZAR LA INSTALACIÓN. SE ESCALA CON EL COORDINADOR INDICANDO QUE SE CIERRA</t>
  </si>
  <si>
    <t>TIPO III</t>
  </si>
  <si>
    <t>ARIAS QUILINDO JULIAN</t>
  </si>
  <si>
    <t>11001</t>
  </si>
  <si>
    <t>TA-25-1330513</t>
  </si>
  <si>
    <t>3007082234</t>
  </si>
  <si>
    <t>CB CRECIMIENTO ALIANZA - OTRAS LISTAS</t>
  </si>
  <si>
    <t>PTM BOGOTA DROGUERIA SPECIALME</t>
  </si>
  <si>
    <t>FO-25-1904464 | FO-25-1884063</t>
  </si>
  <si>
    <t>EJECUTADO | EJECUTADO/CANCELADO</t>
  </si>
  <si>
    <t>28/11/2025 SE REALIZA INSTALACIÓN DE CB, SE INSTALA DATÁFONO, LECTORA, BASE, 40 ROLLOS, CABLE DE RED Y SE REALIZA CAPACITACIÓN DEL CB AL SR SERGIO</t>
  </si>
  <si>
    <t>AE006359</t>
  </si>
  <si>
    <t>ALARCON AREVALO JOHAN STIVEN</t>
  </si>
  <si>
    <t>FECHA ASIGNACION A LINEA COMUNICACIONES</t>
  </si>
  <si>
    <t>FECHA CIERRE DEL TICKET (DD/MM/AAAA HH:MM)</t>
  </si>
  <si>
    <t>ACOMETIDA</t>
  </si>
  <si>
    <t>GRUPO_FALLA</t>
  </si>
  <si>
    <t>CATEGORIA</t>
  </si>
  <si>
    <t>FALLA</t>
  </si>
  <si>
    <t>OBSERVACION</t>
  </si>
  <si>
    <t>DIAS DE VISITA</t>
  </si>
  <si>
    <t>ACOMETIDA ELÉCTRICA</t>
  </si>
  <si>
    <t>VALOR DIAS ACOMPAÑAMIENTO FACTURABLES</t>
  </si>
  <si>
    <t>86568</t>
  </si>
  <si>
    <t>2958278</t>
  </si>
  <si>
    <t>3007065915</t>
  </si>
  <si>
    <t>INCIDENTE</t>
  </si>
  <si>
    <t>PUERTO ASIS</t>
  </si>
  <si>
    <t>BARRIO LAS AMERICAS PUERTO ASI</t>
  </si>
  <si>
    <t>FO-25-1757311</t>
  </si>
  <si>
    <t>NO</t>
  </si>
  <si>
    <t>USUARIO</t>
  </si>
  <si>
    <t>CIERRE</t>
  </si>
  <si>
    <t>COMERCIO NO REALIZA CIERRE</t>
  </si>
  <si>
    <t>CB UNO A UNO</t>
  </si>
  <si>
    <t>EJECUTADO</t>
  </si>
  <si>
    <t>30/10/2025 SE ESCALA PARA VISITA. LLAMAR ANTES DE VISITAR, CONFIRMAR FALLA Y DATOS | 01/11/2025 SE DEBE REALIZAR DESPLZAMIENTO EL DIA MARTES YA QUE POR PROBLEMAS EN LA VIA HACIA PUTUMAYO NO SE PUEDE VIAJAR ESTA SEMANA. | 06/11/2025 SE INICIA DESPLAZAMIENTO HASTA EL MPO | 06/11/2025 SE REALIZA VISITA AL CB PARA REVISAR FALLA USUARIO NO PODIA REALIZAR CIERRE DE FORMA CORRECTA, SE REALIZA BORRADO DE DATÁFONO Y SE REINSTALA SOFTWARE Y VERSIÓN, SE INICIALIZA OK, SE HACE PIERNAS OK Y SE EXPLICA A USUARIA COMO DEBE REALIZAR EL CIERRE DE FORMA CORRECTA, CB OPERATIVO</t>
  </si>
  <si>
    <t>3A00G829</t>
  </si>
  <si>
    <t>NEIVA</t>
  </si>
  <si>
    <t>REMOTAS</t>
  </si>
  <si>
    <t>0004-0007</t>
  </si>
  <si>
    <t>41001</t>
  </si>
  <si>
    <t>2962236</t>
  </si>
  <si>
    <t>3007031706</t>
  </si>
  <si>
    <t>HUILA</t>
  </si>
  <si>
    <t>BARRIO CENTRO 3 NEIVA</t>
  </si>
  <si>
    <t>FO-25-1763637</t>
  </si>
  <si>
    <t>USUARIOS</t>
  </si>
  <si>
    <t>CREACION DE USUARIOS</t>
  </si>
  <si>
    <t>31/10/2025 SE ESCALA PARA VISITA. LLAMAR ANTES DE VISITAR, CONFIRMAR FALLA Y DATOS | 01/11/2025 EN LLAMADA CON CLIENTE JUAN CARLOS LOZADA SE REALIZA CONFIGURACIÓN DE CLAVE DE SUPERVISOR.</t>
  </si>
  <si>
    <t>DIAZ VARGAS JONATHAN MIGUEL</t>
  </si>
  <si>
    <t>TUNJA</t>
  </si>
  <si>
    <t>SANTANDERES</t>
  </si>
  <si>
    <t>0004-0008</t>
  </si>
  <si>
    <t>15238</t>
  </si>
  <si>
    <t>2963361</t>
  </si>
  <si>
    <t>3007026691</t>
  </si>
  <si>
    <t>BOYACA</t>
  </si>
  <si>
    <t>DUITAMA</t>
  </si>
  <si>
    <t>BARRIO POLIDEPORTIVO LAS AMERI</t>
  </si>
  <si>
    <t>FO-25-1765119</t>
  </si>
  <si>
    <t>COMUNICACION</t>
  </si>
  <si>
    <t>CANAL DEL COMERCIO</t>
  </si>
  <si>
    <t>UNO A UNO</t>
  </si>
  <si>
    <t>31/10/2025 SE ESCALA PARA VISITA. LLAMAR ANTES DE VISITAR, CONFIRMAR FALLA Y DATOS | 01/11/2025 EN COMUNICACIÓN CON LA CLIENTE, SEÑORA ANGIE SIERRA, AL NÚMERO CELULAR 3154643408, SE CONFIRMA QUE ACTUALMENTE EL PUNTO SE ENCUENTRA OPERANDO CORRECTAMENTE, CON COMUNICACIÓN EXITOSA.
LA CLIENTE INFORMA QUE NO AUTORIZA LA ATENCIÓN DE LA VISITA TÉCNICA HASTA QUE EL NUEVO PROVEEDOR DE INTERNET HAYA COMPLETADO LA INSTALACIÓN Y DEJADO OPERATIVO EL SERVICIO EN EL COMERCIO, A FIN DE REALIZAR POSTERIORMENTE LA CONFIGURACIÓN DE LAS DIRECCIONES IP DE COMUNICACIÓN PARA CADA EQUIPO.
SE LE INDICA A LA CLIENTE QUE, DADO LO ANTERIOR, SE PROCEDERÁ CON EL CIERRE DE LA ORDEN ACTUAL, Y QUE DEBERÁ COMUNICARSE NUEVAMENTE PARA SOLICITAR MANTENIMIENTO UNA VEZ EL COMERCIO CUENTE CON EL NUEVO CANAL DE COMUNICACIÓN HABILITADO.</t>
  </si>
  <si>
    <t>TIPO II</t>
  </si>
  <si>
    <t>ALVARADO MORENO CRISTHIAN</t>
  </si>
  <si>
    <t>BUCARAMANGA</t>
  </si>
  <si>
    <t>68855</t>
  </si>
  <si>
    <t>2964118</t>
  </si>
  <si>
    <t>3007078026</t>
  </si>
  <si>
    <t>SANTANDER</t>
  </si>
  <si>
    <t>VALLE DE SAN JOSE</t>
  </si>
  <si>
    <t>BARRIO SAN ROQUE VALLE DE SAN</t>
  </si>
  <si>
    <t>FO-25-1765828</t>
  </si>
  <si>
    <t>LECTOR DE TARJETAS</t>
  </si>
  <si>
    <t>OBSTRUCCION DEL LECTOR</t>
  </si>
  <si>
    <t>31/10/2025 SE ESCALA PARA VISITA. LLAMAR ANTES DE VISITAR, CONFIRMAR FALLA Y DATOS | 03/11/2025 SE ESTABLECE COMUNICACIÓN CON LA SEÑORA GINA AL NÚMERO 3167092023 QUIEN INFORMA QUE EL DATÁFONO NO LE LEE NINGUNA TARJETA SE LE INFORMA QUE EL DIA DE HOY NO SE CUENTA CON SOPORTE DE REDEBAN PARA PODER REALIZAR EL CAMBIO DE EQUIPO POR LO QUE SE REPROGRAMA LA ACTIVIDAD PARA EL DIA MIÉRCOLES EN EL TRANSCURSO DEL DÍA CLIENTE INFORMA QUE NO TIENE NINGÚN INCONVENIENTE | 04/11/2025 SE ESTABLECE COMUNICACIÓN CON LA SEÑORA CLAUDIA AL NÚMERO 3187317848 INFORMA QUE EL EQUIPO EL DIA DE HOY YA LE ESTA LEYENDO LAS TARJETAS SE SOLICITA FOTO DE BAUCHER COMO EVIDENCIA Y SE PROCEDE A CERRAR ORDEN</t>
  </si>
  <si>
    <t>BARRERA ORTEGA MARLON STWAR</t>
  </si>
  <si>
    <t>CARTAGENA</t>
  </si>
  <si>
    <t>COSTA</t>
  </si>
  <si>
    <t>0004-0001</t>
  </si>
  <si>
    <t>13001</t>
  </si>
  <si>
    <t>2965065</t>
  </si>
  <si>
    <t>3007030332</t>
  </si>
  <si>
    <t>BOLIVAR</t>
  </si>
  <si>
    <t>BARRIO MANGA CARTAGENA DE INDI</t>
  </si>
  <si>
    <t>FO-25-1766919</t>
  </si>
  <si>
    <t>31/10/2025 SE ESCALA PARA VISITA. LLAMAR ANTES DE VISITAR, CONFIRMAR FALLA Y DATOS | 01/11/2025 CLIENTE PROBLEMA CON LA CLAVE DEL CIERRE SE INGRESA Y SE COLOCA NUEVAMENTE LA CLAVE SE HACEN PRUEBAS TODO OK</t>
  </si>
  <si>
    <t>AB11T106</t>
  </si>
  <si>
    <t>CANEDO HERRERA ALEXANDER</t>
  </si>
  <si>
    <t>5148</t>
  </si>
  <si>
    <t>2966577</t>
  </si>
  <si>
    <t>3007072668</t>
  </si>
  <si>
    <t>EL CARMEN DE VIBORAL</t>
  </si>
  <si>
    <t>SAN JOSE EL CARMEN DE VIBORAL</t>
  </si>
  <si>
    <t>FO-25-1768943</t>
  </si>
  <si>
    <t>NO ENCIENDE</t>
  </si>
  <si>
    <t>CONEXIONES DE COMERCIO</t>
  </si>
  <si>
    <t>01/11/2025 SE ESCALA PARA VISITA. LLAMAR ANTES DE VISITAR, CONFIRMAR FALLA Y DATOS | 03/11/2025 SE HABLA CON USUARIO Y NOS INFORMA QUE DATAFONO YA ESTÁ FUNCIONAL, NO RESPONDIA EL EQUIPO Y MOSTRABA TECLADO BLOQUEADO PERO CB YA ESTA OPERATIVO, SE CIERRA INCIENTE.</t>
  </si>
  <si>
    <t>RIOS CASTRILLON JUAN SEBASTIAN</t>
  </si>
  <si>
    <t>2966634</t>
  </si>
  <si>
    <t>3007026555</t>
  </si>
  <si>
    <t>PAGAFACIL BOSA</t>
  </si>
  <si>
    <t>FO-25-1768619</t>
  </si>
  <si>
    <t>MANTENIMIENTO</t>
  </si>
  <si>
    <t>MANTENIMIENTO GENERAL</t>
  </si>
  <si>
    <t>ROBUSTO</t>
  </si>
  <si>
    <t>PAGAFACIL</t>
  </si>
  <si>
    <t>01/11/2025 SE ESCALA PARA VISITA. LLAMAR ANTES DE VISITAR, CONFIRMAR FALLA Y DATOS | 01/11/2025 SE REALIZA REVISIÓN DEL CABLEADO Y SE OBSERVA QUE EL CABLE DEL PINPAD SE ENCUENTRA DESCONECTADO</t>
  </si>
  <si>
    <t>9999I348</t>
  </si>
  <si>
    <t>52001</t>
  </si>
  <si>
    <t>2966652</t>
  </si>
  <si>
    <t>3007071128</t>
  </si>
  <si>
    <t>NARIÑO</t>
  </si>
  <si>
    <t>PTM PASTO TIENDA MARTINNA</t>
  </si>
  <si>
    <t>FO-25-1768874</t>
  </si>
  <si>
    <t>01/11/2025 SE ESCALA PARA VISITA. LLAMAR ANTES DE VISITAR, CONFIRMAR FALLA Y DATOS | 01/11/2025 SE VALIDA CLIENTE VALIDARA CON PROVEEDOR DE INTERNET YA QUE TIENE PROBLEMAS CON MAS DISPOSITIVOS, PIDE QUE VALIDEMOS EL MARTES PARA REVISAR SI ES NECESARIA LA VISITA, NO LABORA FIN DE SEMANA | 04/11/2025 SE REALIZA LLAMADA TELEFÓNICA PARA CONFIRMAR VISITA,SE CONTACTA CON LA SEÑORA PAOLA GUERRERO LA CUÁL INFORMA QUE EL DÍA QUE LLAMO NO CONECTABA EL DATÁFONO A INTERNET PERO QUE AL DÍA SIGUIENTE YA FUNCIONÓ NORMALMENTE POR LO CUAL YA NO DESEA VISITA EN EL COMERCIO Y AUTORIZA CERRAR LA TA...</t>
  </si>
  <si>
    <t>PAZ MARTINEZ RICHARD HUMBERTO</t>
  </si>
  <si>
    <t>41132</t>
  </si>
  <si>
    <t>2966657</t>
  </si>
  <si>
    <t>3007037411</t>
  </si>
  <si>
    <t>CAMPOALEGRE</t>
  </si>
  <si>
    <t>BARRIO CENTRO CAMPOALEGRE 1</t>
  </si>
  <si>
    <t>FO-25-1768868</t>
  </si>
  <si>
    <t>01/11/2025 SE ESCALA PARA VISITA. LLAMAR ANTES DE VISITAR, CONFIRMAR FALLA Y DATOS | 03/11/2025 SIN SOPORTE DE REDEBAN PARA CAMBIO DE EQUIPO | 04/11/2025 SE REALIZA REVISIÓN DE CABLEADO ENCONTRANDO CONECTOR SUELTO DE UNA DERIVACIÓN, SE CONECTA AL MÓDEM , SE EVIDENCIA CONEXIÓN EXITOSA Y SE REALIZA PRUEBAS OK</t>
  </si>
  <si>
    <t>AB00M753</t>
  </si>
  <si>
    <t>ANDRADE HERNANDEZ JUAN CARLOS</t>
  </si>
  <si>
    <t>52560</t>
  </si>
  <si>
    <t>2967577</t>
  </si>
  <si>
    <t>3007029267</t>
  </si>
  <si>
    <t>POTOSI</t>
  </si>
  <si>
    <t>BARRIO PARQUE BOLIVAR POTOSI</t>
  </si>
  <si>
    <t>FO-25-1771261</t>
  </si>
  <si>
    <t>02/11/2025 SE ESCALA PARA VISITA. LLAMAR ANTES DE VISITAR, CONFIRMAR FALLA Y DATOS | 04/11/2025 SE REALIZA COMUNICACIÓN TELEFÓNICA CON EL CLIENTE PARA CONFIRMAR VISITA TÉCNICA PERO INFORMA QUE EL LE HIZO LIMPIEZA A LA IMPRESORA Y QUEDÓ FUNCIONANDO CORRECTAMENTE, INDICA QUE NO ES NECESARIO VISITAR. CLIENTE AUTORIZA CERRAR ACTIVIDAD</t>
  </si>
  <si>
    <t>CASTILLO HERRERA ALEX RICARDO</t>
  </si>
  <si>
    <t>25126</t>
  </si>
  <si>
    <t>2967584</t>
  </si>
  <si>
    <t>3007034784</t>
  </si>
  <si>
    <t>CAJICA</t>
  </si>
  <si>
    <t>DISTRICOL ESCOLARES Y PAPELE 2</t>
  </si>
  <si>
    <t>FO-25-1771260</t>
  </si>
  <si>
    <t>02/11/2025 SE ESCALA PARA VISITA. LLAMAR ANTES DE VISITAR, CONFIRMAR FALLA Y DATOS | 02/11/2025 NO HAY SOPORTE DE ACTIVOS PARA ATENDER ACTIVIDAD | 04/11/2025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NOTA NO SE INGRESA A COMERCIO NO SE MANIPULA EQUIPOS NO SE TOMA FOTO DE PLACAS</t>
  </si>
  <si>
    <t>BL01F357</t>
  </si>
  <si>
    <t>GALEANO SORIANO JUAN DAVID</t>
  </si>
  <si>
    <t>IBAGUE</t>
  </si>
  <si>
    <t>73001</t>
  </si>
  <si>
    <t>2969545</t>
  </si>
  <si>
    <t>3007073613</t>
  </si>
  <si>
    <t>TOLIMA</t>
  </si>
  <si>
    <t>PTM IBAGUE MERK' ABASTO</t>
  </si>
  <si>
    <t>FO-25-1775218</t>
  </si>
  <si>
    <t>04/11/2025 SE ESCALA PARA VISITA. LLAMAR ANTES DE VISITAR, CONFIRMAR FALLA Y DATOS | 05/11/2025 SE COMUNICA AL NÚMERO 3142681316, LA SEÑORA SOL ESCAMILLA INDICA HABER PRESENTADO PROBLEMAS DE CONEXIÓN. SOLICITA VALIDAR NUEVAMENTE A PARTIR DE LAS 10 AM DEL DÍA DE HOY  DEBIDO A QUE SE ENCUENTRA REALIZANDO COMPENSACIÓN. GESTIÓN TELEFÓNICA | 05/11/2025 SE COMUNICA AL 3142681316, EL CLIENTE INDICA HABER PRESENTADO FALLAS EN SERVICIO DE INTERNET, SE VERIFICA FUNCIONAMIENTO DEL EQUIPO OK.</t>
  </si>
  <si>
    <t>BARRAGAN TAFUR EDWIN ESTEBAN</t>
  </si>
  <si>
    <t>13244</t>
  </si>
  <si>
    <t>2970043</t>
  </si>
  <si>
    <t>3007017580</t>
  </si>
  <si>
    <t>EL CARMEN DE BOLIVAR</t>
  </si>
  <si>
    <t>BARRIO CENTRO II EL CARMEN DE</t>
  </si>
  <si>
    <t>FO-25-1775337</t>
  </si>
  <si>
    <t>EJECUTADO / CANCELADO</t>
  </si>
  <si>
    <t>04/11/2025 SE ESCALA PARA VISITA. LLAMAR ANTES DE VISITAR, CONFIRMAR FALLA Y DATOS | 06/11/2025 SE LLEGA AL SITIO INFORMAN QUE EN EL DIA DE HOY CASUALMENTE UN CAMIÓN PASO Y ROMPIÓ EL CABLE DEL INTERNET EN EL MOMENTO NO TIENEN SERVICIO PERO SE VA VALIDAR EN SITIO UN TIEMPO SE ESPERA PARA VER SI SE RESUELVE LA NOVEDAD | 07/11/2025 SE INTENTO VALIDAR LA NOVEDAD PERO DEBIDO A QUE EL CLIENTE QUEDÓ SIN INTERNET POR QUE UN CAMIÓN ROMPIÓ EL CABLE DEL INTERNET NO FUE POSIBLE GESTIONAR LA NOVEDAD Y TAMPOCO REALIZAR PRUEBAS CON EL EQUIPO AFECTADO EL CUAL SE INTENTO PROBAR Y NO TIENE CONEXIÓN A INTERNET SE LE INDICA AL CLIENTE QUE DEBE LLAMAR NUEVAMENTE A LA LINEA CUANDO LE ARREGLEN EL DAÑO QUE TIENE CON EL PROVEEDOR DE INTERNET PARA PODER VALIDAR</t>
  </si>
  <si>
    <t>9B08Z086</t>
  </si>
  <si>
    <t>MARTINEZ SALGUEDO ANDRES AUGUSTO</t>
  </si>
  <si>
    <t>CARDONA MOLINA BROLIN STIVEN</t>
  </si>
  <si>
    <t>68276</t>
  </si>
  <si>
    <t>2974237</t>
  </si>
  <si>
    <t>3007036258</t>
  </si>
  <si>
    <t>FLORIDABLANCA</t>
  </si>
  <si>
    <t>BARRIO ALARES FLORIDABLANCA 1</t>
  </si>
  <si>
    <t>FO-25-1778544</t>
  </si>
  <si>
    <t>04/11/2025 SE ESCALA PARA VISITA. LLAMAR ANTES DE VISITAR, CONFIRMAR FALLA Y DATOS | 05/11/2025 SE REALIZA VISITA, SE VÁLIDA CONEXIÓNES Y CORRESPONSAL PRESENTA ERROR DE CONEXIÓN, SE VÁLIDA CON OTRO DATÁFONO Y LA FALLA PERSISTE, SE CAMBIA DE CONEXIONES A OTROS PUERTO Y A OTRO SWICH Y AÚN CONTINÚA CON LA FALLA, SE COMPARTE INTERNET DEL CELULAR A UN PORTÁTIL SE REALIZAN PRUEBAS EXITOSA, CLIENTE PROCEDE A COMUNICARSE CON EL OPERADOR DE ETHERNET, ACTUALIZAN, SE REINICIA MODEM Y DATÁFONO EMPIEZA A OPERAR EXITOSAMENTE, SE  REALIZAN PRUEBAS EXITOSA.</t>
  </si>
  <si>
    <t>9A00G111</t>
  </si>
  <si>
    <t>MARTINEZ FLOREZ DONIS ALBERTO</t>
  </si>
  <si>
    <t>76001</t>
  </si>
  <si>
    <t>2975677</t>
  </si>
  <si>
    <t>3007081193</t>
  </si>
  <si>
    <t>BARRIO ULPIANO LLOREDA CALI 1</t>
  </si>
  <si>
    <t>FO-25-1780957</t>
  </si>
  <si>
    <t>05/11/2025 SE ESCALA PARA VISITA. LLAMAR ANTES DE VISITAR, CONFIRMAR FALLA Y DATOS | 05/11/2025 SE VISITA CORRESPONSAL Y SE REALIZA CIERRE Y BORRADO DE MEMORIA. TRANSACCIONES DE PRUEBA EXITOSAS.</t>
  </si>
  <si>
    <t>FKZZZ652</t>
  </si>
  <si>
    <t>15572</t>
  </si>
  <si>
    <t>2978682</t>
  </si>
  <si>
    <t>3007030721</t>
  </si>
  <si>
    <t>PUERTO BOYACA</t>
  </si>
  <si>
    <t>DISTRICOL MISCELANEA LOS CHIQU</t>
  </si>
  <si>
    <t>FO-25-1784703</t>
  </si>
  <si>
    <t>06/11/2025 SE ESCALA PARA VISITA. LLAMAR ANTES DE VISITAR, CONFIRMAR FALLA Y DATOS | 07/11/2025 SE HABLA CON EL USUARIO E INDICA QUE EL PINPAD YA ESTÁ BUENO Y EL CB ESTÁ TOTALMENTE OPERATIVO , CB OK</t>
  </si>
  <si>
    <t>MONTOYA VELEZ ANDRES FELIPE</t>
  </si>
  <si>
    <t>MONTERIA</t>
  </si>
  <si>
    <t>23001</t>
  </si>
  <si>
    <t>2980491</t>
  </si>
  <si>
    <t>3007082047</t>
  </si>
  <si>
    <t>CORDOBA</t>
  </si>
  <si>
    <t>DISTRICOL COFFE MARK 3</t>
  </si>
  <si>
    <t>FO-25-1784870</t>
  </si>
  <si>
    <t>05/11/2025 SE ESCALA PARA VISITA. LLAMAR ANTES DE VISITAR, CONFIRMAR FALLA Y DATOS | 06/11/2025 SE LLEGA AL SITIO, SE ENCUENTRA CERRADO SE REALIZA LLAMADA AL CONTACTO DEL CB INDICANDO,   ESPERAR 20 MINUTOS PARA LLEGAR AL PUNTO Y PODER RECIBIR LA VISITA TÉCNICA | 06/11/2025 SE LLEGA AL COMERCIO SE ENCUENTRA CERRADO, SE PROCEDE A CONTACTAR AL SEÑOR KEVIN CONTRERAS  3046700913 INDICA AL TÉCNICO ESPERAR 15 MINUTOS PARA LLEGAR AL COMERCIO Y RECIBIR LA VISITA TÉCNICA,  TÉCNICO LLEVA 60 MINUTOS A QUE EL SEÑOR LLEGUE, PERO  NO LLEGO AL PUNTO SE PROCEDE A DOCUMENTAR LA TAREA. VISITA FALLIDA, NO SE MANIPULA EQUIPOS</t>
  </si>
  <si>
    <t>CA002291</t>
  </si>
  <si>
    <t>ARRAZOLA HERNANDEZ NICOLAS AUGUSTO</t>
  </si>
  <si>
    <t>2983143</t>
  </si>
  <si>
    <t>3007029997</t>
  </si>
  <si>
    <t>PAGAFACIL VIVA LAURELES</t>
  </si>
  <si>
    <t>FO-25-1787147</t>
  </si>
  <si>
    <t>06/11/2025 SE ESCALA PARA VISITA. LLAMAR ANTES DE VISITAR, CONFIRMAR FALLA Y DATOS | 06/11/2025 SE LLAMA A CLIENTE PARA CONFIRMAR VISITA Y NOS COMENTA QUE PUEDE ATENDER A PARTIR DE LAS 2PM | 06/11/2025 SE REALIZA MANTENIMIENTO DE DATÁFONO, PRUBAS OK</t>
  </si>
  <si>
    <t>BBNZZ971</t>
  </si>
  <si>
    <t>5664</t>
  </si>
  <si>
    <t>2983582</t>
  </si>
  <si>
    <t>3007048480</t>
  </si>
  <si>
    <t>SAN PEDRO DE LOS MILAGROS</t>
  </si>
  <si>
    <t>BARRIO PARQUE SAN PEDRO DE LOS</t>
  </si>
  <si>
    <t>FO-25-1787207</t>
  </si>
  <si>
    <t>06/11/2025 SE ESCALA PARA VISITA. LLAMAR ANTES DE VISITAR, CONFIRMAR FALLA Y DATOS | 08/11/2025 OPERARIA INFORMA QUE LUEGO DE UN PAR DE HORAS EL EQUIPO FUNCIONO SIN PROBLEMA. CB OPERATIVO, SE CIERRA INCIDENTE.</t>
  </si>
  <si>
    <t>ZAPATA LOPEZ EDWARD ASDRUBAL</t>
  </si>
  <si>
    <t>2984757</t>
  </si>
  <si>
    <t>3007061198</t>
  </si>
  <si>
    <t>BARRIO CENTRO CAMPOALEGRE 5</t>
  </si>
  <si>
    <t>FO-25-1790600</t>
  </si>
  <si>
    <t>ENTIDAD</t>
  </si>
  <si>
    <t>ERROR DE TRANSACCIONES</t>
  </si>
  <si>
    <t>TRANSACCION NO PERMITIDA</t>
  </si>
  <si>
    <t>06/11/2025 SE ESCALA PARA VISITA. LLAMAR ANTES DE VISITAR, CONFIRMAR FALLA Y DATOS | 07/11/2025 SE REALIZA VISITA AL PUNTO, CLIENTE INDICA QUE EQUIPO PRESENTABA LETRERO ROJO EN LA PANTALLA Y NO PERMITÍA HACER NINGÚNA TRANSACCIÓN SE REALIZA VALIDACIÓN EN PUNTO, SE EVIDENCIA EQUIPO SE ENCUENTRA OPERANDO CON NORMALIDAD, YA QUE EL PROBLEMA FUE UNA CAÍDANO BLOQUEA DE LA PLATAFORMA . CB OPERATIVO</t>
  </si>
  <si>
    <t>9TZZZ261</t>
  </si>
  <si>
    <t>DEVIA REINOSO JUAN CARLOS</t>
  </si>
  <si>
    <t>5390</t>
  </si>
  <si>
    <t>2986974</t>
  </si>
  <si>
    <t>3007063733</t>
  </si>
  <si>
    <t>LA PINTADA</t>
  </si>
  <si>
    <t>BARRIO SECTOR EL CRUCERO LA PI</t>
  </si>
  <si>
    <t>FO-25-1793198</t>
  </si>
  <si>
    <t>06/11/2025 SE ESCALA PARA VISITA. LLAMAR ANTES DE VISITAR, CONFIRMAR FALLA Y DATOS | 08/11/2025 USUARIO INFORMA QUE LUEGO DE DESCONECTAR BATERIA Y VOLVER A CONECTAR YA FUNCIONO NUEVAMENTE EL EQUIPO, SE VOLVIO A PRESENTAR LUEGO LA NOVEDAD PERO VOLVIO A SOLUCIONAR DE LA MISMA FORMA Y HOY HA ESTADO OPERANDO SIN PROBLEMA, CB OPERATIVO, SE CIERRA INCIDENTE.</t>
  </si>
  <si>
    <t>2987238</t>
  </si>
  <si>
    <t>3007045683</t>
  </si>
  <si>
    <t>BARRIO OASIS FLORIDABLANCA 1</t>
  </si>
  <si>
    <t>FO-25-1793891</t>
  </si>
  <si>
    <t>07/11/2025 SE ESCALA PARA VISITA. LLAMAR ANTES DE VISITAR, CONFIRMAR FALLA Y DATOS | 08/11/2025 EN COMUNICACIÓN TELEFÓNICA CON SEÑOR ALEJANDRO MORÓN PARA ATENDER INCIDENTE, NOS PREGUNTA SI YO LE LLEVO EL DATÁFONO DE WOMPI LE INDICO QUE NO QUE VOY POR UNA SOLICITUD DE REDEBAN POR ALGÚN DAÑO EN EL EQUIPO, PERO NOS INDICA QUE EL PENSABA QUE YO LE IBA A INSTALAR YLS NUEVA TECNOLOGÍA POR LO TANTO INDICA QUE POR ESTE MOTIVO ERA LA LLAMADA ENTONCES CANCELA LA VISITA TÉCNICA</t>
  </si>
  <si>
    <t>PEÑA DIAZ IVAN YESID</t>
  </si>
  <si>
    <t>PEREIRA</t>
  </si>
  <si>
    <t>0004-0002</t>
  </si>
  <si>
    <t>66001</t>
  </si>
  <si>
    <t>2988056</t>
  </si>
  <si>
    <t>3007017109</t>
  </si>
  <si>
    <t>RISARALDA</t>
  </si>
  <si>
    <t>BARRIO HAMBURGO PEREIRA</t>
  </si>
  <si>
    <t>FO-25-1794764</t>
  </si>
  <si>
    <t>07/11/2025 SE ESCALA PARA VISITA. LLAMAR ANTES DE VISITAR, CONFIRMAR FALLA Y DATOS | 07/11/2025 SE VISITA COMERCIO SE IDENTIFICA DATÁFONO DESCONFIGURADO SE REINSTALA APLICATIVO SE REALIZA PRUEBAS OK</t>
  </si>
  <si>
    <t>AB000095</t>
  </si>
  <si>
    <t>LOAIZA LOPEZ JHON FREDDY</t>
  </si>
  <si>
    <t>5088</t>
  </si>
  <si>
    <t>2989510</t>
  </si>
  <si>
    <t>3007046702</t>
  </si>
  <si>
    <t>BELLO</t>
  </si>
  <si>
    <t>DISTRICOL PAPELERIA Y MISCELAN</t>
  </si>
  <si>
    <t>FO-25-1795477</t>
  </si>
  <si>
    <t>07/11/2025 SE ESCALA PARA VISITA. LLAMAR ANTES DE VISITAR, CONFIRMAR FALLA Y DATOS | 07/11/2025 SE REALIZA CONTACTO TELEFÓNICO CON EL USUARIO PARA CONFIRMAR EL INCIDENTE PREVIAMENTE REPORTADO RELACIONADO CON EL DATÁFONO. EL USUARIO INDICA QUE LA FALLA PRESENTADA CORRESPONDÍA A PROBLEMAS DE CONEXIÓN DEL COMERCIO, NO DEL DISPOSITIVO. TRAS REALIZAR LAS VALIDACIONES PERTINENTES, SE CONFIRMA QUE EL DATÁFONO SE ENCUENTRA ACTUALMENTE OPERATIVO Y FUNCIONANDO CON NORMALIDAD</t>
  </si>
  <si>
    <t>MARTINEZ TOVAR OSCAR DAVID</t>
  </si>
  <si>
    <t>18001</t>
  </si>
  <si>
    <t>2990957</t>
  </si>
  <si>
    <t>3007053542</t>
  </si>
  <si>
    <t>CAQUETA</t>
  </si>
  <si>
    <t>FLORENCIA</t>
  </si>
  <si>
    <t>DISTRICOL VARIEDADES MARY</t>
  </si>
  <si>
    <t>FO-25-1796632</t>
  </si>
  <si>
    <t>MALA MANIPULACION POS</t>
  </si>
  <si>
    <t>07/11/2025 SE ESCALA PARA VISITA. LLAMAR ANTES DE VISITAR, CONFIRMAR FALLA Y DATOS | 11/11/2025 SE LLEGA AL CB Y SE CB SE ENCUENTRA TRABAJANDO CON NORMALIDAD, CLIENTE ESTÁ INCONFORME CON EL EQUIPO DESK2600 QUE SE LE DEJO INSTALADO YA QUE ELLA QUIERE ES EL DESK3500 SE LE INDICA QUE EQUIPOS DESK3500 NO SE TIENEN Y QUE EL DESK2600 QUE SE LE INSTALO ES UN EQUIPO NUEVO Y QUE SE ENCUENTRA FUNCIONANDO CON NORMALIDAD Y ESTÁ EN BUEN ESTADO.</t>
  </si>
  <si>
    <t>TR0VZ619</t>
  </si>
  <si>
    <t>BERMUDEZ SANCHEZ JOSE NEYBER</t>
  </si>
  <si>
    <t>2992385</t>
  </si>
  <si>
    <t>3007076197</t>
  </si>
  <si>
    <t>DISTRICOL DROGUERIA SALUD PLUS</t>
  </si>
  <si>
    <t>FO-25-1797901</t>
  </si>
  <si>
    <t>08/11/2025 SE VALIDA CABLE MAGIC BOX DETERIORADO, SE REEMPLAZA Y SE REALIZA PRUEBAS DE FUNCIONAMIENTO EXITOSAS. CUBRE CLAVE INSTALADO</t>
  </si>
  <si>
    <t>FA0GZ489</t>
  </si>
  <si>
    <t>2992927</t>
  </si>
  <si>
    <t>3007069957</t>
  </si>
  <si>
    <t>PTM PALMIRA ELECTROMUEBLES PAL</t>
  </si>
  <si>
    <t>FO-25-1798119</t>
  </si>
  <si>
    <t>07/11/2025 SE ESCALA PARA VISITA. LLAMAR ANTES DE VISITAR, CONFIRMAR FALLA Y DATOS | 08/11/2025 SE LLEGA AL COMERCIO PERO EL EQUIPO ESTA FUNCIONANDO CORRECTAMENTE SE ACTUALIZA A ULTIMA VERSIÓN SE HACEN PRUEBAS Y QUEDA FUNCIONANDO CORRECTAMENTE</t>
  </si>
  <si>
    <t>TV002835 A300R558</t>
  </si>
  <si>
    <t>CUERO RUIZ JHONNY</t>
  </si>
  <si>
    <t>2993386</t>
  </si>
  <si>
    <t>3007058730</t>
  </si>
  <si>
    <t>PTM CALI CASA DIGITAL 73</t>
  </si>
  <si>
    <t>FO-25-1800431</t>
  </si>
  <si>
    <t>08/11/2025 SE ESCALA PARA VISITA. LLAMAR ANTES DE VISITAR, CONFIRMAR FALLA Y DATOS | 09/11/2025 SE LLAMA AL CLIENTE E INDICA QUE NO SE ENCUENTRA EN EL COMERCIO QUE SI PODEMOS VISITAR EL DIA DE MAÑANA | 10/11/2025 SE LLEGA A LA DIRECCION Y SE ENCUENTRA EL CB CERRADO, AUNQUE SE INTENTO COMUNICACION NO FUE EXITOSO.</t>
  </si>
  <si>
    <t>000000</t>
  </si>
  <si>
    <t>TORRES GARCIA JENDRY JOSE</t>
  </si>
  <si>
    <t>13744</t>
  </si>
  <si>
    <t>2993450</t>
  </si>
  <si>
    <t>3007047102</t>
  </si>
  <si>
    <t>SIMITI</t>
  </si>
  <si>
    <t>BARRIO CENTRO SIMITI</t>
  </si>
  <si>
    <t>FO-25-1799544</t>
  </si>
  <si>
    <t>08/11/2025 SE ESCALA PARA VISITA. LLAMAR ANTES DE VISITAR, CONFIRMAR FALLA Y DATOS | 11/11/2025 SE ESTABLECE CONTACTO VÍA WHATSAPP CON LA SEÑORA SURLEY GUZMÁN  3170767829 YA QUE EN LA ZONA NO FUNCIONA LA RED DE LÍNEA CELULAR, LA CLIENTE NOS COMENTA QUE EL INCONVENIENTE ESTABA EN LA CONEXIÓN DEL CABLE DE RED DEL COMERCIO POR TAL MOTIVO LA CLIENTE LO CAMBIÓ Y SE RESTABLECIÓ EL SERVICIO, COMENTA TAMBIÉN QUE NO HAY NECESIDAD QUE LA VISITEMOS YA QUE EL DATÁFONO ESTÁ OPERATIVO, ADICIONAL ARGUMENTA QUE PARA ENTRAR A LA ZONA ESTÁ BASTANTE PELIGROSO YA QUE ES ZONA ROJA</t>
  </si>
  <si>
    <t>TERRESTRE/FLUVIAL</t>
  </si>
  <si>
    <t>GONZALEZ ESTUPIÑAN YEISON WALTER ANTONIO</t>
  </si>
  <si>
    <t>5761</t>
  </si>
  <si>
    <t>2993579</t>
  </si>
  <si>
    <t>3007076161</t>
  </si>
  <si>
    <t>SOPETRAN</t>
  </si>
  <si>
    <t>BARRIO VEREDA LLANO DE MONTANA</t>
  </si>
  <si>
    <t>FO-25-1801309</t>
  </si>
  <si>
    <t>08/11/2025 SE ESCALA PARA VISITA. LLAMAR ANTES DE VISITAR, CONFIRMAR FALLA Y DATOS | 10/11/2025 SE REALIZA MANTENIMIENTO Y LIMPIEZA AL DATÁFONO YA QUE NO LEÍA NINGUNA TARJETA, LUEGO DEL MATENIMIETO QUEDA FUNCIONAL, PRUEBAS OK</t>
  </si>
  <si>
    <t>FA0LZ814</t>
  </si>
  <si>
    <t>68307</t>
  </si>
  <si>
    <t>2994001</t>
  </si>
  <si>
    <t>3007073607</t>
  </si>
  <si>
    <t>GIRON</t>
  </si>
  <si>
    <t>PTM LA REPUBLICA GIRON SUPERME</t>
  </si>
  <si>
    <t>FO-25-1801883</t>
  </si>
  <si>
    <t>09/11/2025 SE ESCALA PARA VISITA. LLAMAR ANTES DE VISITAR, CONFIRMAR FALLA Y DATOS | 09/11/2025 EN COMUNICACIÓN CON EL EL SEÑOR JESÚS RUEDA RÍOS AL NÚMERO 3212449499 SE LE INDICA QUE ESTAREMOS REALIZANDO LA VISITA TÉCNICA EL DÍA 10 DE NOVIEMBRE A PARTIR DE LAS 8 AM DEBIDO A QUE EL DÍA DE HOY NO HAY SOPORTE REDEBAN PARA CAMBIO | 10/11/2025 EN COMUNICACIÓN CON EL SEÑOR JESÚS AL MOVIL 3212449499, INDICA QUE NO SE ENCUENTRA EN EL LOCAL YA QUE VA REALIZAR EL. PROCESO DE COMPENSACIÓN, NOS SUMINISTRA EL NÚMERO DE LA SEÑORITA MARGY, E INDICA QUE NO ES NECESARIO REALIZAR EL DESPLAZAMIENTO AL SITIO YA QUE EL EQUIPO EL DÍA DE HOY ESTÁ FUNCIONANDO CORRECTAMENTE. | 10/11/2025 EN COMUNICACIÓN CON LA SEÑORA MARGY AL MOVIL 3227216243, INDICA QUE NO ES NECESARIO EL DESPLAZAMIENTO AL SITIO DEBIDO A QUE EL EQUIPO EL DÍA DE HOY ESTÁ FUNCIONANDO CORRECTAMENTE, SE LE INDICA QUE SE VA REALIZAR EL CIERRE DE LA ORDEN, CLIENTE CONFORME INDICA QUE SI PRESENTE UNA NUEVA NOVEDAD LLAMARA A SOLICITAR NUEVAMENTE LA VISITA. SE LE INDICA A CLIENTE DE REALIZAR UNA PRUEBA PERO INDICA QUE NO ES POSIBLE REALIZAR TRANSACCIONES YA QUE ESTA EN PROCESO DE COMPENSACIÓN A CERO.</t>
  </si>
  <si>
    <t>SANTOS GONZALEZ JOHAN FABIAN</t>
  </si>
  <si>
    <t>MANIZALES</t>
  </si>
  <si>
    <t>17867</t>
  </si>
  <si>
    <t>2994976</t>
  </si>
  <si>
    <t>3007062494</t>
  </si>
  <si>
    <t>CALDAS</t>
  </si>
  <si>
    <t>VICTORIA</t>
  </si>
  <si>
    <t>DISTRICOL DONDE LUCY</t>
  </si>
  <si>
    <t>FO-25-1804475</t>
  </si>
  <si>
    <t>10/11/2025 SE ESCALA PARA VISITA. LLAMAR ANTES DE VISITAR, CONFIRMAR FALLA Y DATOS | 11/11/2025 SE REALIZA LLAMADA CON USUARIO PARA VALIDAR DAÑO EL CUAL INDICA QUE YA LE ESTA TRABAJANDO CON NORMALIDAD Y NO REQUIERE LA VISITA</t>
  </si>
  <si>
    <t>AGUIRRE HENAO RAUL EDUARDO</t>
  </si>
  <si>
    <t>41551</t>
  </si>
  <si>
    <t>2996005</t>
  </si>
  <si>
    <t>3007072154</t>
  </si>
  <si>
    <t>PITALITO</t>
  </si>
  <si>
    <t>DISTRICOL OPTIMERKA SAN RAFAEL</t>
  </si>
  <si>
    <t>FO-25-1805098</t>
  </si>
  <si>
    <t>10/11/2025 SE ESCALA PARA VISITA. LLAMAR ANTES DE VISITAR, CONFIRMAR FALLA Y DATOS | 11/11/2025 SE REALIZA VISITA AL PUNTO, SE CORRIGE CON EL INGENIERO ENCARGADO UNA FALLA DE IP'S QUE SE PRESENTA EN EL PUNTO , SE CAMBIAN IP FIJAS PRUEBAS CB OK, CB OPERATIVO.</t>
  </si>
  <si>
    <t>NN00N623</t>
  </si>
  <si>
    <t>2999185</t>
  </si>
  <si>
    <t>3007030841</t>
  </si>
  <si>
    <t>PAPELERIA Y COMERCIALIZADORA</t>
  </si>
  <si>
    <t>FO-25-1809738</t>
  </si>
  <si>
    <t>11/11/2025 SE ESCALA PARA VISITA. LLAMAR ANTES DE VISITAR, CONFIRMAR FALLA Y DATOS | 11/11/2025 SE BORRA TRANSACCIONES Y RECONFIGURA SI SE LE EXPLICA AL CLIENTE CIERRE</t>
  </si>
  <si>
    <t>BVZZZ224 TRZZZ883</t>
  </si>
  <si>
    <t>ALVAREZ ARENAS VICTOR HUGO</t>
  </si>
  <si>
    <t>15176</t>
  </si>
  <si>
    <t>3001520</t>
  </si>
  <si>
    <t>3007077395</t>
  </si>
  <si>
    <t>CHIQUINQUIRA</t>
  </si>
  <si>
    <t>BARRIO VILLA REPUBLICANA CHIQUINQUIRA</t>
  </si>
  <si>
    <t>FO-25-1810798</t>
  </si>
  <si>
    <t>11/11/2025 SE ESCALA PARA VISITA. LLAMAR ANTES DE VISITAR, CONFIRMAR FALLA Y DATOS | 11/11/2025 SE VISITA PUNTO EVIDENCIANDO QUE LA FALLA REPORTADA ES DEBIDO AL INTERNET DEL COMERCIO ROUTER REPETIDOR DESCONFIGURADO SE REALIZAN CORRECCIONES PRUEBAS OK CLIENTE CONFORME</t>
  </si>
  <si>
    <t>SAAZZ158</t>
  </si>
  <si>
    <t>RODRIGUEZ MURCIA YERSON IVAN</t>
  </si>
  <si>
    <t>3003644</t>
  </si>
  <si>
    <t>3007033989</t>
  </si>
  <si>
    <t>PAGAFACIL LA 14 PEREIRA</t>
  </si>
  <si>
    <t>FO-25-1813145</t>
  </si>
  <si>
    <t>12/11/2025 VISITAMOS COMERCIO PERO NO ES POSIBLE REALIZAR LA ACTIVIDAD YA QUE PASARON 50 MINUTOS Y EL JEFE AÚN NO AUTORIZA EL INGRESO DEL TÉCNICO, LE INDICAMOS A LA SRA MARCELA QUE SE DEBE CANCELAR YA QUE TENEMOS MÁS ACTIVIDADES POR HACER Y CUANDO NOS PUEDAN ATENDER LLAMAR NUEVAMENTE Y SOLICITAR UNA VISITA, NO FIRMAN CONTROL DE VISITA.</t>
  </si>
  <si>
    <t>ARROYAVE CANO MANUEL GUILLERMO</t>
  </si>
  <si>
    <t>81001</t>
  </si>
  <si>
    <t>3007079030</t>
  </si>
  <si>
    <t>ARAUCA</t>
  </si>
  <si>
    <t>BARRIO SAN LUCAS ARAUCA 1</t>
  </si>
  <si>
    <t>FO-25-1813134</t>
  </si>
  <si>
    <t>11/11/2025 SE ESCALA PARA VISITA. LLAMAR ANTES DE VISITAR, CONFIRMAR FALLA Y DATOS | 19/11/2025 SE ESTABLECE COMUNICACIÓN CON EL SEÑOR JUAN BELEÑO AL NÚMERO 3103204648 VIA WHATSAPP SE LE INFORMA QUE EL DIA DE MAÑANA SE ESTARA VISITANDO PARA REALIZAR EL RESPECTIVO MANTENIMIENTO DEBIDO A QUE NO SE PODIA VISITAR ANTES YA QUE NO HABIAN VUELOS DISPONIBLES Y EL ORDEN PÚBLICO EN LA ZONA ESTABA ALTERADO | 20/11/2025 SE HACE PRESENCIA EN COMERCIO SE VALIDA CONEXIONES DE RED LAS CUALES ESTAN OK SE VALIDA LA FALLA CLIENTE INFORMA QUE LOS DIAS QUE SE PRESENTO LA FALLA FUE DEBIDO A UNA CAIDA DE SEÑAL EN EL DEPARTAMENTO Y POR ESO PRESENTABA DICHO INCONVENIENTE SE TOMA REGISTRO FOTOGRÁFICO Y SE PROCEDE A CERRAR ORDEN</t>
  </si>
  <si>
    <t>SASZZ605</t>
  </si>
  <si>
    <t>5045</t>
  </si>
  <si>
    <t>3007357</t>
  </si>
  <si>
    <t>3007064886</t>
  </si>
  <si>
    <t>DISRICOL PREMIUM CELL LA 97</t>
  </si>
  <si>
    <t>FO-25-1816403</t>
  </si>
  <si>
    <t>12/11/2025 SE ESCALA PARA VISITA. LLAMAR ANTES DE VISITAR, CONFIRMAR FALLA Y DATOS | 12/11/2025 ERROR DE CONEXIÓN SIN TONO, SE REPISA PARAMETRO Y SARAFONO QUEDA FUNCIONADO.</t>
  </si>
  <si>
    <t>5A002508</t>
  </si>
  <si>
    <t>3008587</t>
  </si>
  <si>
    <t>3007038794</t>
  </si>
  <si>
    <t>PTM MED CHQUI</t>
  </si>
  <si>
    <t>FO-25-1817489</t>
  </si>
  <si>
    <t>LECTOR DE BARRAS</t>
  </si>
  <si>
    <t>CAPACITACION MANIPULACION DE COMERCIO</t>
  </si>
  <si>
    <t>12/11/2025 SE ESCALA PARA VISITA. LLAMAR ANTES DE VISITAR, CONFIRMAR FALLA Y DATOS | 13/11/2025 SE LLAMA AL CLIENTE Y BOS CONENTA QUE HACE 2 DÍAS NO LE FUNCIONABA EL LECTOR DE BARRAS, SE LE INDICA COMO HABITILARLO Y QUEDA OPERATIVO</t>
  </si>
  <si>
    <t>YOPAL</t>
  </si>
  <si>
    <t>85001</t>
  </si>
  <si>
    <t>3011030</t>
  </si>
  <si>
    <t>3007023134</t>
  </si>
  <si>
    <t>CASANARE</t>
  </si>
  <si>
    <t>MULTIPAGAS YOPAL</t>
  </si>
  <si>
    <t>FO-25-1819682</t>
  </si>
  <si>
    <t>MULTIPAGAS</t>
  </si>
  <si>
    <t>12/11/2025 SE ESCALA PARA VISITA. LLAMAR ANTES DE VISITAR, CONFIRMAR FALLA Y DATOS | 13/11/2025 SE VISITA COMERCIO, ADRIANA RAMIREZ INDICA QUE LA SOLICITUD ES PARA INSTALAR DOS COMBOS DE DATAFONOS PARA DOS CAJAS NUEVAS. INFORMA NO PRESENTAR FALLAS EN EL SERVICIO. NO SE TOCAN EQUIPOS, NO SE INGRESA A LA CABINA POR TAL MOTIVO NO SE REGISTRA FOTOS DE TIRILLA.</t>
  </si>
  <si>
    <t>BERNAL ELAICA EDGAR ALEXIS</t>
  </si>
  <si>
    <t>3011289</t>
  </si>
  <si>
    <t>3007024166</t>
  </si>
  <si>
    <t>COMCARD MEDELLIN PICACHO 2</t>
  </si>
  <si>
    <t>FO-25-1820019</t>
  </si>
  <si>
    <t>12/11/2025 SE ESCALA PARA VISITA. LLAMAR ANTES DE VISITAR, CONFIRMAR FALLA Y DATOS | 13/11/2025 SE LLAMA AL CLIENTE Y NOS INDICA QUE NO ESTÁ EN EL PUNTO, QUE LLEGA A LAS 2PM | 13/11/2025 SE CAMBIA FUENTE DE PODER POR DAÑO, QUEDA OPERATIVO</t>
  </si>
  <si>
    <t>ABC3Z066 XPSZZ104</t>
  </si>
  <si>
    <t>CUCUTA</t>
  </si>
  <si>
    <t>54001</t>
  </si>
  <si>
    <t>3013058</t>
  </si>
  <si>
    <t>3007077828</t>
  </si>
  <si>
    <t>NORTE DE SANTANDER</t>
  </si>
  <si>
    <t>BARRIO EL CENTRO CUCUTA 81</t>
  </si>
  <si>
    <t>FO-25-1821824</t>
  </si>
  <si>
    <t>13/11/2025 SE ESCALA PARA VISITA. LLAMAR ANTES DE VISITAR, CONFIRMAR FALLA Y DATOS | 13/11/2025 SE REALIZA VISITA, COMERCIO INFORMA QUE EL SERVICIO SE ENCUENTRA OPERATIVO Y NO REQUIERE LA VISITA TÉCNICA.</t>
  </si>
  <si>
    <t>PACHECO BUITRAGO JAVIER ALONSO</t>
  </si>
  <si>
    <t>17001</t>
  </si>
  <si>
    <t>3015079</t>
  </si>
  <si>
    <t>3007025300</t>
  </si>
  <si>
    <t>ARA0092 CARRERA 21</t>
  </si>
  <si>
    <t>FO-25-1823659</t>
  </si>
  <si>
    <t>RETAIL</t>
  </si>
  <si>
    <t>TIENDAS ARA</t>
  </si>
  <si>
    <t>13/11/2025 SE ESCALA PARA VISITA. LLAMAR ANTES DE VISITAR, CONFIRMAR FALLA Y DATOS | 14/11/2025 SE ESCALO ACTIVIDAD A LA RED SERA ATENDIDA POR LA FUERZA COMERCIAL DE REDEBAN</t>
  </si>
  <si>
    <t>GARCIA CHAVARRIA TATIANA EDELMIRA</t>
  </si>
  <si>
    <t>52320</t>
  </si>
  <si>
    <t>3015283</t>
  </si>
  <si>
    <t>3007072485</t>
  </si>
  <si>
    <t>GUAITARILLA</t>
  </si>
  <si>
    <t>DISTRICOL SURTIHO GUAITARILLA</t>
  </si>
  <si>
    <t>FO-25-1823489</t>
  </si>
  <si>
    <t>13/11/2025 SE ESCALA PARA VISITA. LLAMAR ANTES DE VISITAR, CONFIRMAR FALLA Y DATOS | 14/11/2025 SE VISITA EL CB PARA REVISAR FALLA DE DATÁFONO POR CONEXIÓN, SE OBSERVA MALA CONEXIÓN EN CABLEADO DEL USUARIO, SE REPISA TAMBIÉN CONFIGURACIÓN DE CONEXIÓN DEL DATÁFONO Y SE HACE PRUEBAS EXITOSAS, EL CB QUEDA OPERATIVO</t>
  </si>
  <si>
    <t>TV00L300</t>
  </si>
  <si>
    <t>3017565</t>
  </si>
  <si>
    <t>3007072338</t>
  </si>
  <si>
    <t>PTM MALU PET</t>
  </si>
  <si>
    <t>FO-25-1825749</t>
  </si>
  <si>
    <t>13/11/2025 SE ESCALA PARA VISITA. LLAMAR ANTES DE VISITAR, CONFIRMAR FALLA Y DATOS | 14/11/2025 NOS CONTACTAMOS CON LA SEÑORA DIANA CANEDA AL NÚMERO 3208762580 PARA CONFIRMAR VISITA PERO CLIENTE MANIFIESTA QUE EL L ERROR ES DEL CANAL DE COMUNICACIÓN O PROVEEDOR DE INTERNET DE SU LOCAL POR TANTO SE CIERRA ORDEN</t>
  </si>
  <si>
    <t>SOTO LONDOÑO FREDY ALEXANDER</t>
  </si>
  <si>
    <t>85010</t>
  </si>
  <si>
    <t>3020080</t>
  </si>
  <si>
    <t>3007073662</t>
  </si>
  <si>
    <t>AGUAZUL</t>
  </si>
  <si>
    <t>DISTRICOL BABY LEA KIDS</t>
  </si>
  <si>
    <t>FO-25-1828773</t>
  </si>
  <si>
    <t>14/11/2025 SE ESCALA PARA VISITA. LLAMAR ANTES DE VISITAR, CONFIRMAR FALLA Y DATOS | 15/11/2025 EN COMUNICACIÓN CON LA SEÑORA LENDRA MOLANO AL NUMERO 3115522019, INFORMA QUE CAMBIO EL CABLE DE RED Y YA SE ENCUENTRA OPERATIVO EL SERVICIO. INDICA NO REQUIERE LA VISITA</t>
  </si>
  <si>
    <t>3020484</t>
  </si>
  <si>
    <t>3007032269</t>
  </si>
  <si>
    <t>COMCARD GIRON CHEPITA</t>
  </si>
  <si>
    <t>FO-25-1829112</t>
  </si>
  <si>
    <t>14/11/2025 SE ESCALA PARA VISITA. LLAMAR ANTES DE VISITAR, CONFIRMAR FALLA Y DATOS | 15/11/2025 SE ESTABLECE CONTACTO TELEFÓNICO Y VIA WHATSAPP CON LA SEÑORA  JOSEFINA HERNANDEZ BELTRÁN AL NÚMERO 3117113057 QUIEN NOS SOLICITA QUE REALICEMOS LA VISITA EL DIA MARTES YA QUE NO SE ENCUENTRA EN EL LOCAL A LO CUAL SE LE INDICA QUE NO ES POSIBLE REALIZAR REAGENDAMIENTOS Y QUE SE DEBE VOLVER A COMUNICAR UNA VEZ SE ENCUENTRE EN EL ESTABLECIMIENTO PARA PODER REALIZAR EL SERVICIO TÉCNICO A LO CUAL INDICA QUE ELLA LE HABÍA INDICADO A LA ASESORA QUE NO IBA A ESTAR DURANTE EL FIN DE SEMANA QUE ELLA SE VOLVERA A COMUNICAR</t>
  </si>
  <si>
    <t>REYES RAMIREZ DIEGO ALEXANDER</t>
  </si>
  <si>
    <t>3021101</t>
  </si>
  <si>
    <t>3007044415</t>
  </si>
  <si>
    <t>DISTRICOL VARGAS PAN</t>
  </si>
  <si>
    <t>FO-25-1829715</t>
  </si>
  <si>
    <t>14/11/2025 SE ESCALA PARA VISITA. LLAMAR ANTES DE VISITAR, CONFIRMAR FALLA Y DATOS | 15/11/2025 SE REALIZA GESTIÓN TELEFÓNICA CON EL SEÑOR HERNÁN VARGAS, USUARIO INFORMA QUE YA EL SERVICIO SE REESTABLECIÓ, YA NO ES NECESARIO LA VISITA</t>
  </si>
  <si>
    <t>BARRIENTOS HERNANDEZ CRISTIAN HORACIO</t>
  </si>
  <si>
    <t>3022984</t>
  </si>
  <si>
    <t>3007073655</t>
  </si>
  <si>
    <t>DISTRICOL JOHEPLAST</t>
  </si>
  <si>
    <t>FO-25-1832719</t>
  </si>
  <si>
    <t>15/11/2025 SE ESCALA PARA VISITA. LLAMAR ANTES DE VISITAR, CONFIRMAR FALLA Y DATOS | 16/11/2025 SE REALIZAN VARIOS INTENTOS DE CONTACTO AL NÚMERO 3209976554 CON LA SEÑORA LAURA QUIEN DICE QUE LOS DOMINGOS Y FESTIVOS NO TIENEN QUE DEJO MUY BIEN DICHO CUANDO LLAMO EL HORARIO DE ATENCIÓN PIDE QUE SE ATIENDA EL MARTES EN EL HORARIO 6AM A 12 M DICE QUE NUNCA LE HAN INSTALADO LECTOR DE BARRAS DE DEBE CONFIRMAR INVENTARIO CON REDEBAN Y LOS FINES DE SEMANA Y FESTIVOS NO TENEMOS ESTE SOPORTE DE ATENDERÁ EL SIGUIENTE DÍA HÁBIL | 18/11/2025 DURANTE LA VISITA TECNICA ENCONTRAMOS QUE EL DATÁFONO  NO LE PERMITE REALIZAR EL CIERRE POR ACUMULACIÓN DE TRANSACCIONES SE REALIZA BORRADO DE TRANSACCIONES ADICIONAL SE REALIZAN TRANSACCIONES DE PRUEBA Y SE BRINDA INFORMACIÓN DEL CORRECTO CIERRE QUEDANDO OKAY LA FUNCIONALIDAD DE CIERRE SIN NOVEDAD EN EL INCIDENTE A CONFORMIDAD CORRESPONSAL BANCARIO</t>
  </si>
  <si>
    <t>EF02Z332</t>
  </si>
  <si>
    <t>3023198</t>
  </si>
  <si>
    <t>FO-25-1834319</t>
  </si>
  <si>
    <t>16/11/2025 SE ESCALA PARA VISITA. LLAMAR ANTES DE VISITAR, CONFIRMAR FALLA Y DATOS | 16/11/2025 COMERCIO INDICA QUE NO ABRE NI DOMINGOS NI FESTIVOS, SE APLAZA VISITA | 18/11/2025 SE LLAMA AL CLIENTE Y NOS COMENTA QUE LOS REINICIOS SON POR FALTA DE BASE DE DATÁFONO, SE LE INDICA SOLICITAR LA BASE PARA QUE EL CABLEADO NO SE LE DESCONECTE, EL PUNTO SE HABÍA VISITADO ANTERIORMENTE Y SE CAMBIO TODO EL CABLEADO Y FUENTE DE PODER</t>
  </si>
  <si>
    <t>73870</t>
  </si>
  <si>
    <t>3023373</t>
  </si>
  <si>
    <t>3007041301</t>
  </si>
  <si>
    <t>VILLAHERMOSA</t>
  </si>
  <si>
    <t>BARRIO CENTRO VILLAHERMOSA 2</t>
  </si>
  <si>
    <t>FO-25-1834284</t>
  </si>
  <si>
    <t>SI</t>
  </si>
  <si>
    <t>HARDWARE</t>
  </si>
  <si>
    <t>CABLEADO</t>
  </si>
  <si>
    <t>CABLE MAGICBOX AVERIADO</t>
  </si>
  <si>
    <t>16/11/2025 SE ESCALA PARA VISITA. LLAMAR ANTES DE VISITAR, CONFIRMAR FALLA Y DATOS | 26/11/2025 SE CAMBIA CABLE MAGIC BOX, CABLE, FUENTE DE PODER Y CABLE DE RED POR DETERIORO. SE HACEN LAS PRUEBAS DE TRANSACCIONES TODO OK</t>
  </si>
  <si>
    <t>AB0QZ076 II00B770</t>
  </si>
  <si>
    <t>VARGAS HERRERA JHON JAIRO</t>
  </si>
  <si>
    <t>10</t>
  </si>
  <si>
    <t>5129</t>
  </si>
  <si>
    <t>3023447</t>
  </si>
  <si>
    <t>3007081006</t>
  </si>
  <si>
    <t>PTM CALDAS BOTANICASALOMON</t>
  </si>
  <si>
    <t>FO-25-1834660</t>
  </si>
  <si>
    <t>16/11/2025 SE ESCALA PARA VISITA. LLAMAR ANTES DE VISITAR, CONFIRMAR FALLA Y DATOS | 17/11/2025 NO HAY PERSONA DISPONIBLE EL LUNES FESTIVO, SE REPROGRAMA PARA DIA | 17/11/2025 17/11 SE HABLA CON SEÑORA LUISA Y NOS INFORMA QUE EL PROBLEMA DE CONEXION SE ARREGLÓ EL MISMO DÍA. CB ESTA OPERATIVO, SE CIERRA INCIDENTE.</t>
  </si>
  <si>
    <t>QUINTERO SANCHEZ JUAN SEBASTIAN</t>
  </si>
  <si>
    <t>5837</t>
  </si>
  <si>
    <t>3024180</t>
  </si>
  <si>
    <t>3007080844</t>
  </si>
  <si>
    <t>TURBO</t>
  </si>
  <si>
    <t>PTM TURBO MICELANIA Y PAPELERI</t>
  </si>
  <si>
    <t>FO-25-1836443</t>
  </si>
  <si>
    <t>17/11/2025 SE ESCALA PARA VISITA. LLAMAR ANTES DE VISITAR, CONFIRMAR FALLA Y DATOS | 18/11/2025 SE LLEGA A SITIO Y DATAFONO SE ENCUENTRA OPERATIVO, SE CAPACITA AL CLIENTE EN MANIPULACIÓN DEL DATAFONO.</t>
  </si>
  <si>
    <t>FHZZZ003</t>
  </si>
  <si>
    <t>3025380</t>
  </si>
  <si>
    <t>3007032217</t>
  </si>
  <si>
    <t>DISTRICOL SURTIDORA LA 15</t>
  </si>
  <si>
    <t>FO-25-1838039</t>
  </si>
  <si>
    <t>18/11/2025 SE ESCALA PARA VISITA. LLAMAR ANTES DE VISITAR, CONFIRMAR FALLA Y DATOS | 18/11/2025 EN COMUNICACIÓN CON LA SEÑORA SOCORRO GONZALEZ AL NUMERO 3125841417 INDICA NO REQUIERE LA VISITA, YA CAMBIO LA EXTENSIÓN DE CORRIENTE Q ALIMENTA AL DATAFONO. INFORMA OPERATIVO EL SERVICIO</t>
  </si>
  <si>
    <t>BARRANQUILLA</t>
  </si>
  <si>
    <t>8001</t>
  </si>
  <si>
    <t>3027532</t>
  </si>
  <si>
    <t>3007073676</t>
  </si>
  <si>
    <t>ATLANTICO</t>
  </si>
  <si>
    <t>PTM BARRANQUILLA PUNTO SERVIS</t>
  </si>
  <si>
    <t>FO-25-1839348</t>
  </si>
  <si>
    <t>18/11/2025 SE ESCALA PARA VISITA. LLAMAR ANTES DE VISITAR, CONFIRMAR FALLA Y DATOS | 18/11/2025 EN COMUNICACIÓN VIA WASHAP CON LA SEÑORA LEIDY AL NUMERO 3218288241, ME INFORMA QUE RECIENTEMENTE EL PROVEDOR DE INTERNET LE CAMBIÓ EL MÓDEM Y HA TENIDO PROBLEMAS DE CONEXIÓN POR CABLE, QUE POR WIFI LE FUNCIONA TODO BIEN, QUE FALLA ES CUANDO CONECTAN ALGÚN DISPOSITIVO POR CABLE, SE LE INDICA QUE VALIDE CON SU PROVEDOR DE INTERNET ESA FALLA Y HAGA PRUEBAS,  Y SI PERDISTE LA FALLA DESPUÉS DE VALIDAR QUE LOS PUERTOS ESTÁN OK, QUE VUELVA A GENERAR UNA VISITA</t>
  </si>
  <si>
    <t>DE AVILA SIADES ALBERTO ENRIQUE</t>
  </si>
  <si>
    <t>VILLAVICENCIO</t>
  </si>
  <si>
    <t>50001</t>
  </si>
  <si>
    <t>3028784</t>
  </si>
  <si>
    <t>3007023433</t>
  </si>
  <si>
    <t>META</t>
  </si>
  <si>
    <t>BARRIO SANANTONIO VILLAVICENCI</t>
  </si>
  <si>
    <t>FO-25-1840958</t>
  </si>
  <si>
    <t>18/11/2025 SE ESCALA PARA VISITA. LLAMAR ANTES DE VISITAR, CONFIRMAR FALLA Y DATOS | 18/11/2025 SE REALIZA REVISIÓN DE DATÁFONO NO SE ENCUENTRA NOVEDAD, AL REVISAR EL CABLEADO SE ENCUENTRA QUE LA FUENTE DE PODER NO CORRESPONDE AL DATÁFONO, LO QUE GENERA REINICIO AL REALIZAR IMPRESIÓN EN EL DATÁFONO, SE REALIZA BORRADO HE INSTALACIÓN DE SISTEMA OPERATIVO Y VERSIÓN CON PARCHE, SE VALIDA TERMINAL CORRECTA, SE REALIZA AJUSTE DE CABLE DE PODER CORRECTO, PRUEBAS OK.</t>
  </si>
  <si>
    <t>TR000995</t>
  </si>
  <si>
    <t>MURCIA HERNANDEZ HARVEY IGNACIO</t>
  </si>
  <si>
    <t>5490</t>
  </si>
  <si>
    <t>3034523</t>
  </si>
  <si>
    <t>3007069295</t>
  </si>
  <si>
    <t>NECOCLI</t>
  </si>
  <si>
    <t>BARRIO MARIA ANTONIA NECOCLI</t>
  </si>
  <si>
    <t>FO-25-1846174</t>
  </si>
  <si>
    <t>19/11/2025 SE ESCALA PARA VISITA. LLAMAR ANTES DE VISITAR, CONFIRMAR FALLA Y DATOS | 20/11/2025 INTERNET DE CLIENTE NONFUNCIONABA BIEN, CABLE QUEDA BIEN CONECTADO Y DATAFONO OPERATIVO.</t>
  </si>
  <si>
    <t>9L6ZZ629</t>
  </si>
  <si>
    <t>73671</t>
  </si>
  <si>
    <t>3036530</t>
  </si>
  <si>
    <t>3007068404</t>
  </si>
  <si>
    <t>SALDAÑA</t>
  </si>
  <si>
    <t>EL JARDIN SALDANA</t>
  </si>
  <si>
    <t>FO-25-1848342</t>
  </si>
  <si>
    <t>19/11/2025 SE ESCALA PARA VISITA. LLAMAR ANTES DE VISITAR, CONFIRMAR FALLA Y DATOS | 21/11/2025 SE COMUNICA AL NÚMERO 3112717579, LA SEÑORA CLAUDIA LOZANO INDICA HABER PRESENTADO ERROR EN CONEXIÓN AL PARECER POR INCONVENIENTES CON EL PROVEEDOR DE INTERNET. INDICA QUE EL SERVICIO SE ENCUENTRA OPERATIVO.</t>
  </si>
  <si>
    <t>68081</t>
  </si>
  <si>
    <t>3037794</t>
  </si>
  <si>
    <t>3007075278</t>
  </si>
  <si>
    <t>BARRANCABERMEJA</t>
  </si>
  <si>
    <t>PTM BARRANCABERMEJA AUTOSERVIC</t>
  </si>
  <si>
    <t>FO-25-1850288</t>
  </si>
  <si>
    <t>20/11/2025 SE ESCALA PARA VISITA. LLAMAR ANTES DE VISITAR, CONFIRMAR FALLA Y DATOS | 20/11/2025 SE ESTABLECE CONTACTO TELEFÓNICO Y VIA WHATSAPP AL NÚMERO 321 3581957 CON EL USUARIO JOHAN SEBASTIAN ZARATE GARCIA QUIEN NOS INDICA QUE LA FALLA FUE MOMENTANEA PERO QUE YA LOGRO REALIZAR CIERRES Y SACAR DUPLICADOS CON NORMALIDAD INDICA NO REQUERIR EL SERVICIO TÉCNICO</t>
  </si>
  <si>
    <t>27245</t>
  </si>
  <si>
    <t>3037947</t>
  </si>
  <si>
    <t>3007029015</t>
  </si>
  <si>
    <t>EL CARMEN DE ATRATO</t>
  </si>
  <si>
    <t>BARRIO EL CORAZON DE MARIA EL</t>
  </si>
  <si>
    <t>FO-25-1850299</t>
  </si>
  <si>
    <t>20/11/2025 SE ESCALA PARA VISITA. LLAMAR ANTES DE VISITAR, CONFIRMAR FALLA Y DATOS | 21/11/2025 SE LLEGA SE REVISA ENSORTIJADO FUENTE PUERTOS CABLEADOS EN GENERAL TODO EN BUEN ESTADO CLIENTE MANIFIESTA Q NO ES DE SIEMPRE Y SE QUEDA CONECTANDO PROCESANDO SE LE EXPLICA QUE ESO ES UN PROBLEMA DE CANAL SE LE REALIZA MANTENIMIENTO AL EQUIPO TODO QUEDA OK</t>
  </si>
  <si>
    <t>BBBBE977</t>
  </si>
  <si>
    <t>5360</t>
  </si>
  <si>
    <t>3037950</t>
  </si>
  <si>
    <t>3007019571</t>
  </si>
  <si>
    <t>ITAGUI</t>
  </si>
  <si>
    <t>COMCARD ITAGUI TODOLINUX</t>
  </si>
  <si>
    <t>FO-25-1850290</t>
  </si>
  <si>
    <t>20/11/2025 SE ESCALA PARA VISITA. LLAMAR ANTES DE VISITAR, CONFIRMAR FALLA Y DATOS | 21/11/2025 SE REALIZÓ GESTIÓN TELEFÓNICA SE HABLÓ CON EL SEÑOR ANTONIO NOS INDICA QUE EL DATAFONO SE ENCUENTRA TOTALMENTE OPERATIVO SE PROCEDE A CERRAR CASO</t>
  </si>
  <si>
    <t>CASTAÑEDA PALACIO CARLOS FELIPE</t>
  </si>
  <si>
    <t>3042668</t>
  </si>
  <si>
    <t>3007015190</t>
  </si>
  <si>
    <t>BARRIO CALATRAVA ITAGUI</t>
  </si>
  <si>
    <t>FO-25-1853730</t>
  </si>
  <si>
    <t>20/11/2025 SE ESCALA PARA VISITA. LLAMAR ANTES DE VISITAR, CONFIRMAR FALLA Y DATOS | 21/11/2025 SE REALIZÓ LIMPIEZA DE LECTOR CHIP</t>
  </si>
  <si>
    <t>TR0KZ478</t>
  </si>
  <si>
    <t>3042728</t>
  </si>
  <si>
    <t>3007058607</t>
  </si>
  <si>
    <t>PTM PASTO PAPELERIA CLIPS PA</t>
  </si>
  <si>
    <t>FO-25-1853741</t>
  </si>
  <si>
    <t>20/11/2025 SE ESCALA PARA VISITA. LLAMAR ANTES DE VISITAR, CONFIRMAR FALLA Y DATOS | 21/11/2025 SE VISITA EL CB PARA REVISAR FALLA DE DATÁFONO SE ENCUENTRA CON LA HORA DESACTUALIZADA, SE REALIZA MANTENIMIENTO AL DATÁFONO, SE BORRA SISTEMA OPERATIVO Y VERSIÓN, SE REINSTALA Y SE HACE PRUEBAS OK, CB OPERATIVO</t>
  </si>
  <si>
    <t>IVZZZ922 IWZZZ034</t>
  </si>
  <si>
    <t>SANTA MARTA</t>
  </si>
  <si>
    <t>47245</t>
  </si>
  <si>
    <t>3043463</t>
  </si>
  <si>
    <t>3007036421</t>
  </si>
  <si>
    <t>MAGDALENA</t>
  </si>
  <si>
    <t>EL BANCO</t>
  </si>
  <si>
    <t>PAGAFACIL EL BANCO</t>
  </si>
  <si>
    <t>FO-25-1856023</t>
  </si>
  <si>
    <t>21/11/2025 SE ESCALA PARA VISITA. LLAMAR ANTES DE VISITAR, CONFIRMAR FALLA Y DATOS | 21/11/2025 SE LLAMA A LA SEÑORA ADRIANA HINCAPIÉ Y ESTA MANIFIESTA QUE DIAS ANTERIORES NO DEJABA HACER EL CIERRE PORQUE LE SALIA CLAVE INCORRECTA, EL DIA DE HOY INTENTO NUEVAMENTE Y YA LE DEJO REALIZAR EL CIERRE, EL SERVICIO SE ENCUENTRA OPERANDO SIN NINGUNA NOVEDAD</t>
  </si>
  <si>
    <t>MONTES DIAZ JOHN FRED</t>
  </si>
  <si>
    <t>3043479</t>
  </si>
  <si>
    <t>3007050085</t>
  </si>
  <si>
    <t>PTM MEDELLIN  VARIEDADES MI TE</t>
  </si>
  <si>
    <t>FO-25-1856010</t>
  </si>
  <si>
    <t>21/11/2025 SE REALIZÓ LIMPIEZA DE LECTOR CHIP</t>
  </si>
  <si>
    <t>II00T976 TRZZZ953</t>
  </si>
  <si>
    <t>52683</t>
  </si>
  <si>
    <t>3044963</t>
  </si>
  <si>
    <t>3007052690</t>
  </si>
  <si>
    <t>SANDONA</t>
  </si>
  <si>
    <t>PTM DROGUERIA EL INGENIO</t>
  </si>
  <si>
    <t>FO-25-1857478</t>
  </si>
  <si>
    <t>21/11/2025 SE ESCALA PARA VISITA. LLAMAR ANTES DE VISITAR, CONFIRMAR FALLA Y DATOS | 22/11/2025 SE HABLA CON EL CLIENTE PERO INDICA QUE TAMBIEN PRESENTAN PROBLEMAS CON EL INTERNET Y ESTAN EN ESPERA DE LA VISITA EL DIA DE HOY PARA VALIDAR EL CANAL, SE VALIDARA EL LUNES PARA VERIFICAR SI EL SERVICIO YA ESTA ACTIVO Y SI SE REQUIERE VISITA PARA VERIFICAR EL DATAFONO. | 24/11/2025 SE ENCUENTRA DATÁFONO SIN CONEXIÓN SE REVISA CONEXIONES DEL COMERCIO Y SE HACE MANTENIMIENTO Y SE LOGRA CONEXIÓN EXITOSA CONFIGURACIÓN OK PARÁMETROS OK Y SE REALIZAN PRUEBAS EXITOSAS DE TRANSACCIONES</t>
  </si>
  <si>
    <t>TR0FZ909</t>
  </si>
  <si>
    <t>SINCELEJO</t>
  </si>
  <si>
    <t>70001</t>
  </si>
  <si>
    <t>3045706</t>
  </si>
  <si>
    <t>3007030117</t>
  </si>
  <si>
    <t>SUCRE</t>
  </si>
  <si>
    <t>BARRIO VERACRUZ SINCELEJO</t>
  </si>
  <si>
    <t>FO-25-1857930</t>
  </si>
  <si>
    <t>21/11/2025 SE ESCALA PARA VISITA. LLAMAR ANTES DE VISITAR, CONFIRMAR FALLA Y DATOS | 21/11/2025 SE VISITA SITIO SE VERIFICA INFORMACIÓN, SE REALIZA PRIMEROS AUXILIOS, SE DESCARTA CABLEADO, ROLLOS;  SE IDENTIFICA BATERIA VOLTAJE BAJO, SE CARGA BATERIA, EL CB SE ENCUENTRA FUNCIONANDO NORMALMENTE.</t>
  </si>
  <si>
    <t>BL0AZ045</t>
  </si>
  <si>
    <t>SANTOS GUZMAN CHRISTIAN FELIPE</t>
  </si>
  <si>
    <t>3048175</t>
  </si>
  <si>
    <t>3007075008</t>
  </si>
  <si>
    <t>DISTRICOL CACHARRERÍA Y PAPELE</t>
  </si>
  <si>
    <t>FO-25-1861206</t>
  </si>
  <si>
    <t>21/11/2025 SE ESCALA PARA VISITA. LLAMAR ANTES DE VISITAR, CONFIRMAR FALLA Y DATOS | 22/11/2025 EN COMUNICACIÓN CON LA SEÑORA LILIANA CACERES AL NUMERO 3107643994, SE LE INDICA EL AJUSTE DE LA TAPA DE IMPRESION Y EL INGRESO DEL ROLLO Y QUE AL MOMENTO DE IMPRIMIR NO DEBE TENER OBJETOS QUE NO PERMITA EL PROCESO. INFORMA OPERATIVO EL SERVICIO</t>
  </si>
  <si>
    <t>5101</t>
  </si>
  <si>
    <t>3048225</t>
  </si>
  <si>
    <t>3007038747</t>
  </si>
  <si>
    <t>CIUDAD BOLIVAR</t>
  </si>
  <si>
    <t>BARRIO PARQUE CIUDAD BOLIVAR</t>
  </si>
  <si>
    <t>FO-25-1861207</t>
  </si>
  <si>
    <t>21/11/2025 SE ESCALA PARA VISITA. LLAMAR ANTES DE VISITAR, CONFIRMAR FALLA Y DATOS | 25/11/2025 DURANTE LA VISITA TÉCNICA AL CORRESPONSAL BANCOLOMBIA, EL USUARIO CONFIRMA SU IDENTIFICACIÓN Y REPORTA FALLAS EN EL DATÁFONO AL MOMENTO DE EJECUTAR TRANSACCIONES. EL DISPOSITIVO MUESTRA EL MENSAJE DE ERROR “TLS 1002”, IMPIDIENDO LA OPERACIÓN NORMAL.  
SE PROCEDE CON LA VALIDACIÓN Y MANTENIMIENTO PREVENTIVO DEL EQUIPO, VERIFICANDO SU ESTADO FÍSICO Y FUNCIONAL. TRAS LA REVISIÓN, SE DETERMINA QUE EL ORIGEN DEL PROBLEMA NO CORRESPONDE AL DATÁFONO, SINO A DEFICIENCIAS EN LA CONEXIÓN DE INTERNET DEL COMERCIO.  
FINALMENTE, SE INFORMA AL USUARIO SOBRE LA NECESIDAD DE ORGANIZAR Y ESTABILIZAR EL SERVICIO DE INTERNET PARA ASEGURAR EL CORRECTO FUNCIONAMIENTO DEL DISPOSITIVO Y EVITAR REINCIDENCIAS DEL ERROR.</t>
  </si>
  <si>
    <t>GZ01Z374</t>
  </si>
  <si>
    <t>68418</t>
  </si>
  <si>
    <t>3049141</t>
  </si>
  <si>
    <t>3007019292</t>
  </si>
  <si>
    <t>LOS SANTOS</t>
  </si>
  <si>
    <t>BARRIO SECTOR MERCADO CAMPESIN</t>
  </si>
  <si>
    <t>FO-25-1863025</t>
  </si>
  <si>
    <t>22/11/2025 SE ESCALA PARA VISITA. LLAMAR ANTES DE VISITAR, CONFIRMAR FALLA Y DATOS | 22/11/2025 SE REALIZA LLAMADA TELEFÓNICA AL NÚMERO 3112014815 SE HABLA CON LA SEÑORITA ANGÉLICA SILVA PARA LA ATENCIÓN DE INCIDENTE.
SE LOGRA IDENTIFICAR QUE EQUIPO NO ESTÁ FUNCIONANDO POR LO TANTO SE INDICA QUE SE DEBE VISITAR Y CAMBIAR EL EQUIPO, NOS INDICA TOTAL DISPONIBILIDAD, PERO LA TIPOLOGÍA II  ESTÁ UBICADA EN ZONA RURAL DEL MUNICIPIO DE LOS SANTOS Y SE DEBE TOMAR TRASPORTE EL CUAL NO ES CONSTANTE, POR LO TANTO NO SE ALCANZA EL DÍA DE HOY A REALIZAR YA QUE POR PARTE DE LA RED SOLO ES POSIBLE CAMBIO DE EQUIPOS HASTA 1:00 PM , DE LO CONTRARIO SE TENDRÁ QUE VISITAR EL DÍA LUNES 24 DE NOVIEMBRE | 24/11/2025 SE VISITO COMERCIO YA QUE PRESENTABA FALLA EN LA CONEXIÓN TODO EL FIN DE SEMANA PERO EL DÍA DE HOY YA ESTÁ OPERANDO CORRECTAMENTE YA QUE HABÍA FALLA EN EL CANAL DE COMUNICACIÓN</t>
  </si>
  <si>
    <t>BL01Y374</t>
  </si>
  <si>
    <t>3049166</t>
  </si>
  <si>
    <t>3007046735</t>
  </si>
  <si>
    <t>BARRIO ITAGUI ITAGUI 8</t>
  </si>
  <si>
    <t>FO-25-1863475</t>
  </si>
  <si>
    <t>22/11/2025 SE ESCALA PARA VISITA. LLAMAR ANTES DE VISITAR, CONFIRMAR FALLA Y DATOS | 24/11/2025 SE REALIZÓ LIMPIEZA DE LECTOR CHIP</t>
  </si>
  <si>
    <t>TR008163</t>
  </si>
  <si>
    <t>3049382</t>
  </si>
  <si>
    <t>3007050428</t>
  </si>
  <si>
    <t>PTM  PASTO  ORIENTAR SS</t>
  </si>
  <si>
    <t>FO-25-1864382</t>
  </si>
  <si>
    <t>22/11/2025 SE ESCALA PARA VISITA. LLAMAR ANTES DE VISITAR, CONFIRMAR FALLA Y DATOS | 22/11/2025 SE VALIDA DAÑO PERO CLIENTE SOLO LABORA HASTA LAS 2 , SE VALIDARA EL DIA LUNES ADEMAS POSIBLE CAMBIO. | 24/11/2025 SE ESTABLECE COMUNICACIÓN CON CLIENTE INFORMA QUE YA NO ES NECESARIA LA VISITA YA QUE NO SE LES A PRESENTADO FALLA NUEVAMENTE SOLO FUE UNA VEZ Y HASTA EL MOMENTO TIENE TOTAL NORMALIDAD DEL SERVICIO AUTORIZA CERRAR ORDEN DE SERVICIO</t>
  </si>
  <si>
    <t>BRAVO MADROÑERO OSCAR ESTEBAN</t>
  </si>
  <si>
    <t>3051946</t>
  </si>
  <si>
    <t>3007073145</t>
  </si>
  <si>
    <t>DISTRICOL CAFETERIA EL CID</t>
  </si>
  <si>
    <t>FO-25-1869008</t>
  </si>
  <si>
    <t>24/11/2025 SE ESCALA PARA VISITA. LLAMAR ANTES DE VISITAR, CONFIRMAR FALLA Y DATOS | 25/11/2025 FUENTE DE PODER MAL CONECTADA, SE ORGANIZA, EQUIPOS OPERATIVOS</t>
  </si>
  <si>
    <t>NN00R451</t>
  </si>
  <si>
    <t>BADEL ACUÑA LUIS ALBERTO</t>
  </si>
  <si>
    <t>68001</t>
  </si>
  <si>
    <t>3053752</t>
  </si>
  <si>
    <t>3007074426</t>
  </si>
  <si>
    <t>BARRIO SAN FRANCISCO BUCARAMAN</t>
  </si>
  <si>
    <t>FO-25-1870562</t>
  </si>
  <si>
    <t>24/11/2025 SE ESCALA PARA VISITA. LLAMAR ANTES DE VISITAR, CONFIRMAR FALLA Y DATOS | 25/11/2025 SE REALIZA VISITA EN PUNTO EL CUAL SE ENCUENTRA CERRADO SE ESTABLECE CONTACTO TELEFÓNICO CON EL USUARIO QUIEN NOS CONFIRMA QUE NO REQUIERE EL SERVICIO TÉCNICO YA QUE LA FALLA SE PRESENTA POR UNA MALA CONEXIÓN LA CUAL SE SOLUCIONO Y EL SERVICIO YA SE ENCUENTRA OPERATIVO</t>
  </si>
  <si>
    <t>MNBZZ929</t>
  </si>
  <si>
    <t>52352</t>
  </si>
  <si>
    <t>3056922</t>
  </si>
  <si>
    <t>3007025628</t>
  </si>
  <si>
    <t>ILES</t>
  </si>
  <si>
    <t>AV IPIALES DE ILES NARINO</t>
  </si>
  <si>
    <t>FO-25-1872951</t>
  </si>
  <si>
    <t>24/11/2025 SE ESCALA PARA VISITA. LLAMAR ANTES DE VISITAR, CONFIRMAR FALLA Y DATOS | 25/11/2025 SE CONTACTA CON LA SEÑORA NANCY PANTOJA PARA CONFIRMAR VISITA PERO LA SEÑORA NANCY INFORMA QUE EL DÍA DE AYER INTENTO PASAR UNA FACTURA Y NO LE LEYO PERO QUE EL DÍA DE HOY YA LE ESTA LEYENDO NORMALMENTE LAS FACTURAS POR LO CUAL INFORMA QUE YA NO DESEA VISITA TÉCNICA... SE CIERRA TA</t>
  </si>
  <si>
    <t>3057277</t>
  </si>
  <si>
    <t>3007061727</t>
  </si>
  <si>
    <t>DISTRICOL PAPELERIA Y MINITIEN</t>
  </si>
  <si>
    <t>FO-25-1874514</t>
  </si>
  <si>
    <t>25/11/2025 SE ESCALA PARA VISITA. LLAMAR ANTES DE VISITAR, CONFIRMAR FALLA Y DATOS | 25/11/2025 SE HABLA CON SEÑORA PAOLA Y NOS INFORMÓ QUE YA LOGRÓ REALIZAR EL CIERRE CON AYUDA DEL ENCARGADO., SE REALIZA PROCESO DE CIERRE SIN NOVEDAD. CB OPERATIVO.</t>
  </si>
  <si>
    <t>HENAO JARAMILLO JUAN JOSE</t>
  </si>
  <si>
    <t>8638</t>
  </si>
  <si>
    <t>3058276</t>
  </si>
  <si>
    <t>3007048428</t>
  </si>
  <si>
    <t>SABANALARGA</t>
  </si>
  <si>
    <t>PTM  SABANALARGA  MULTISERVICI</t>
  </si>
  <si>
    <t>FO-25-1874695</t>
  </si>
  <si>
    <t>25/11/2025 SE ESCALA PARA VISITA. LLAMAR ANTES DE VISITAR, CONFIRMAR FALLA Y DATOS | 26/11/2025 SE LLAMA AL COMERCIO Y SE LE PREGUNTA SI TIENE ALGÚN BLOQUEO CON EL BANCO O LA RED PTM, Y ME INFORMAN QUE ELLOS LLAMARON Y LES DIJERON QUE ESTABA TODO OK POR PARTE DE ELLOS, SE PROCEDE A DESPLAZARSE AL SITIO .
SE LLEGA AL COMERCIO, Y HAY DOS DATAFONOS DE LA RED PTM, UN DATAFONO MIXTO Y EL OTRO PURO, AL HACER CUALQUIER TIPO DE TRANSACCIÓN SALE EL MENSAJE " TARJETA NO SOPORTADA"
EN SITIO DE LLAMA NUEVAMENTE A LAS LÍNEA DE BANCOLOMBIA Y PTM, Y LE INFORMAN LOS MISMO AL CLIENTE 
ME COLOCO EN CONTACTO CON SOPORTE DE RBM, QUIENES HACEN PRUEBAS , ME DICEN QUE CAMBIE EL DATAFONO PURO, SE CAMBIA PERO SIGUEN IGUAL  
LUEGO LE LLEGA UN MENSAJE A LA EMPLEADA DE SU JEFE, QUIEN LE INFORMA QUE LO LLAMARON DE PTM A DECIRLE QUE NO SIGA INSISTIENDO, PORQUE ESTÁN BLOQUEADOS POR PTM POR UN TEMA DE ACTUALIZACIÓN DE DATOS 
CB QUEDA SIN OPERAR</t>
  </si>
  <si>
    <t>NA00K179</t>
  </si>
  <si>
    <t>3058648</t>
  </si>
  <si>
    <t>FO-25-1875240</t>
  </si>
  <si>
    <t>25/11/2025 SE ESCALA PARA VISITA. LLAMAR ANTES DE VISITAR, CONFIRMAR FALLA Y DATOS | 25/11/2025 NO TIENE COMUNICACIÓN DATAFONO, SE INICIALIZA Y SE CARGANDO NUEVAMENTE PARÁMETROS.</t>
  </si>
  <si>
    <t>68190</t>
  </si>
  <si>
    <t>3058862</t>
  </si>
  <si>
    <t>3007026648</t>
  </si>
  <si>
    <t>CIMITARRA</t>
  </si>
  <si>
    <t>VIA PRINCIPAL CIMITARRA SANTAN</t>
  </si>
  <si>
    <t>FO-25-1875575</t>
  </si>
  <si>
    <t>25/11/2025 SE ESCALA PARA VISITA. LLAMAR ANTES DE VISITAR, CONFIRMAR FALLA Y DATOS | 26/11/2025 EN COMUNICACIÓN CON LA SEÑORA BLANCA AL MOVIL 3118617478, INDICA QUE NO REQUIERE DE LA VISITA TÉCNICA, INDICA QUE YA SE CORRIGIÓ LA FALLA ERA UN PROBLEMA CON EL PROVEEDOR DE INTERNET, SE LE INFORMA QUE SE CERRARÁ LA ORDEN Y CUALQUIER NUEVA NOVEDAD DEBERÁ SOLICITAR UNA NUEVA VISITA, CLIENTE CONFORME.</t>
  </si>
  <si>
    <t>3059852</t>
  </si>
  <si>
    <t>3007069104</t>
  </si>
  <si>
    <t>PTM CARTAGENA PAPELERIA Y VARI</t>
  </si>
  <si>
    <t>FO-25-1876400</t>
  </si>
  <si>
    <t>25/11/2025 SE ESCALA PARA VISITA. LLAMAR ANTES DE VISITAR, CONFIRMAR FALLA Y DATOS | 25/11/2025 SE VALIDA NOVEDAD CLIENTE CON RESTRICCIÓN EN EL MÓDEM DEL PROVEEDOR SE RESTABLECEN PARÁMETROS Y TODO QUEDA OK</t>
  </si>
  <si>
    <t>A103Z510 A104Z857</t>
  </si>
  <si>
    <t>76041</t>
  </si>
  <si>
    <t>3062758</t>
  </si>
  <si>
    <t>3007034987</t>
  </si>
  <si>
    <t>ANSERMANUEVO</t>
  </si>
  <si>
    <t>DISTRICOL CELULARES MAGICELL</t>
  </si>
  <si>
    <t>FO-25-1880087</t>
  </si>
  <si>
    <t>25/11/2025 SE ESCALA PARA VISITA. LLAMAR ANTES DE VISITAR, CONFIRMAR FALLA Y DATOS | 26/11/2025 SE CAMBIA DE ROLLO Y SE REALIZA IMPRESIÓN DE PRUEBA EXITOSA, SE REALIZA TRX EXITOSA.</t>
  </si>
  <si>
    <t>BL01X123</t>
  </si>
  <si>
    <t>FRANCO CAÑAVERAL YAMID RAUL</t>
  </si>
  <si>
    <t>3064097</t>
  </si>
  <si>
    <t>3007078773</t>
  </si>
  <si>
    <t>DISTRICOL DROGUERIA DROVITAL S</t>
  </si>
  <si>
    <t>FO-25-1885926 | FO-25-1881850</t>
  </si>
  <si>
    <t>29/11/2025 SE VISITA COMERCIO, CB NO OPERATIVO, LA TERMINAL AL MOMENTO DE INICIALIZACION INDICA TERMINAL NO EXISTE. SE ESCALA A COORDINADOR DE ZONA. AUTORIZA EL RETIRO DEL CB. NO SE CUENTA CON SOPORTE RBM</t>
  </si>
  <si>
    <t>AE005095</t>
  </si>
  <si>
    <t>3066334</t>
  </si>
  <si>
    <t>3007050001</t>
  </si>
  <si>
    <t>BARRIO AMBALA IBAGUE 4</t>
  </si>
  <si>
    <t>FO-25-1883648</t>
  </si>
  <si>
    <t>25/11/2025 SE ESCALA PARA VISITA. LLAMAR ANTES DE VISITAR, CONFIRMAR FALLA Y DATOS | 26/11/2025 SE CONFIGURA CLAVE DE SUPERVISOR 1526 PARA REALIZAR  CIERRE Y DUPLICADO
EL CB REALIZA CIERRE,SE HACEN PRUEBAS O.K</t>
  </si>
  <si>
    <t>II00S485</t>
  </si>
  <si>
    <t>GUTIERREZ  CAMILO ANDRES</t>
  </si>
  <si>
    <t>3072673</t>
  </si>
  <si>
    <t>3007029601</t>
  </si>
  <si>
    <t>OPRAP ISIERRA 100</t>
  </si>
  <si>
    <t>FO-25-1898936</t>
  </si>
  <si>
    <t>OPRAP</t>
  </si>
  <si>
    <t>27/11/2025 SE ESCALA PARA VISITA. LLAMAR ANTES DE VISITAR, CONFIRMAR FALLA Y DATOS | 28/11/2025 DEMORAS EN ACCESO POR QUÉ NO CONTESTAN LA LÍNEA 018000 DE BANCOLOMBIA PARA CONFIRMAR IDENTIDAD DEL TÉCNICO | 28/11/2025 SE REALIZA CAMBIO DE CABLE ETHERNET POR DAÑO, SERVICIO OPERATIVO PRUEBAS OK TRNA RBM SE REALIZA PRUEBA CON UNA CONSIGNACIÓN REALIZADA POR CLIENTE NO HAY COMO HACER RETIRO NI CONSULTA</t>
  </si>
  <si>
    <t>BBBCZ862</t>
  </si>
  <si>
    <t>BUSTOS MORA DIEGO MANUEL</t>
  </si>
  <si>
    <t>3074275</t>
  </si>
  <si>
    <t>3007070162</t>
  </si>
  <si>
    <t>BARRIO LA VICTORIA MONTERIA</t>
  </si>
  <si>
    <t>FO-25-1901001</t>
  </si>
  <si>
    <t>28/11/2025 SE ESCALA PARA VISITA. LLAMAR ANTES DE VISITAR, CONFIRMAR FALLA Y DATOS | 28/11/2025 SE VISITA SITIO, SE REALIZA BORRADO DE MEMORIA CON AUTORIZACIÓN DEL CB, SE LE INDICA PROCESO PARA HACER CORRECTO CIERRE DEL DATAFONO OK.</t>
  </si>
  <si>
    <t>EF007251</t>
  </si>
  <si>
    <t>COGOLLO VERTEL EDER LUIS</t>
  </si>
  <si>
    <t>5172</t>
  </si>
  <si>
    <t>3075387</t>
  </si>
  <si>
    <t>3007010024</t>
  </si>
  <si>
    <t>CHIGORODO</t>
  </si>
  <si>
    <t>BARRIO EL BOSQUE</t>
  </si>
  <si>
    <t>FO-25-1901801</t>
  </si>
  <si>
    <t>28/11/2025 SE ESCALA PARA VISITA. LLAMAR ANTES DE VISITAR, CONFIRMAR FALLA Y DATOS | 28/11/2025 SE REALIZA REPISADO DE CONFIGURACIÓN</t>
  </si>
  <si>
    <t>GZUZZ121</t>
  </si>
  <si>
    <t>5147</t>
  </si>
  <si>
    <t>3075975</t>
  </si>
  <si>
    <t>3007079886</t>
  </si>
  <si>
    <t>CAREPA</t>
  </si>
  <si>
    <t>DISTRICOL COOTRANSCAR</t>
  </si>
  <si>
    <t>FO-25-1902425</t>
  </si>
  <si>
    <t>28/11/2025 SE ESCALA PARA VISITA. LLAMAR ANTES DE VISITAR, CONFIRMAR FALLA Y DATOS | 28/11/2025 SE FORMATEA, CONFIGURA PARÁMETROS Y SE INICIALIZA. DTAFONO QUEDA OPERATIVO.</t>
  </si>
  <si>
    <t>SAUZZ945</t>
  </si>
  <si>
    <t>5631</t>
  </si>
  <si>
    <t>3077882</t>
  </si>
  <si>
    <t>3007016056</t>
  </si>
  <si>
    <t>SABANETA</t>
  </si>
  <si>
    <t>ALKOMPRAR MAYORCA</t>
  </si>
  <si>
    <t>FO-25-1906254</t>
  </si>
  <si>
    <t>CONTIGO / ALKOMPRAR</t>
  </si>
  <si>
    <t>29/11/2025 SE ESCALA PARA VISITA. LLAMAR ANTES DE VISITAR, CONFIRMAR FALLA Y DATOS | 29/11/2025 SE REALIZÓ VISITA SE VÁLIDA CANAL DEL CB SE EVIDENCIA QUE EL PUERTO DE RED PRESENTA PROBLEMAS DE CONEXIÓN SE ESCALA DAÑO A SISTEMAS DE ALKOMPRAR SE PROCEDE A CERRAR CASO</t>
  </si>
  <si>
    <t>JAXZZ840</t>
  </si>
  <si>
    <t>SOLICITUD</t>
  </si>
  <si>
    <t>DESCRIPCION</t>
  </si>
  <si>
    <t>CAUSAL ESTADO</t>
  </si>
  <si>
    <t>VALOR ACTIVIDAD</t>
  </si>
  <si>
    <t>VALOR TOTAL</t>
  </si>
  <si>
    <t>14316455</t>
  </si>
  <si>
    <t>3007080792</t>
  </si>
  <si>
    <t>OC TRASLADO</t>
  </si>
  <si>
    <t>BARRIO URBINA MONTERIA</t>
  </si>
  <si>
    <t>FO-25-1782612</t>
  </si>
  <si>
    <t>TRASLADO</t>
  </si>
  <si>
    <t>TRASLADO EXTERNO</t>
  </si>
  <si>
    <t>PETICIÓN USUARIO</t>
  </si>
  <si>
    <t>05/11/2025 SE LLAMA A EL NUMERO 3244366733 3008019110 NO HAY COMUNICACION POR FAVOR, COMUNICARSE CON USUARIO PARA CONFIRMAR UBICACION, SOLICITUD Y PROGRAMAR VISITA TECNICA</t>
  </si>
  <si>
    <t>14318975-1</t>
  </si>
  <si>
    <t>3007080031</t>
  </si>
  <si>
    <t>BARRIO PALERMO MANIZALES 7</t>
  </si>
  <si>
    <t>FO-25-1782613</t>
  </si>
  <si>
    <t>PETICIÓN RED</t>
  </si>
  <si>
    <t>05/11/2025 SE LLAMA A EL NUMERO 3016020848 3023843981 NO HAY COMUNICACION POR FAVOR, COMUNICARSE CON USUARIO PARA CONFIRMAR UBICACION, SOLICITUD Y PROGRAMAR VISITA TECNICA</t>
  </si>
  <si>
    <t>14375539</t>
  </si>
  <si>
    <t>3007072000</t>
  </si>
  <si>
    <t>MARATU</t>
  </si>
  <si>
    <t>FO-25-1829717</t>
  </si>
  <si>
    <t>14/11/2025 POR FAVOR, COMUNICARSE CON USUARIO PARA CONFIRMAR UBICACION, SOLICITUD Y PROGRAMAR VISITA TECNICA | 19/11/2025 SE LLEGA ALA DIRECCIÓN INDICADA Y NO ES POSIBLE REALIZAR EL TRASLADO A LA DIRECCIÓN CR 94 # 68 A 68 YA QUE EL EQUIPO SE BLOQUEÓ AL INICIALIZARLO, COMERCIO REALIZA LLAMADA PARA SOLICITAR EL INCIDENTE Y PODER CAMBIAR EQUIPOS.</t>
  </si>
  <si>
    <t>LN00M210</t>
  </si>
  <si>
    <t>GARCIA PASTRANA KEVIN FERNANDO</t>
  </si>
  <si>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</si>
  <si>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</si>
  <si>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</si>
  <si>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</si>
  <si>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</si>
  <si>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</si>
  <si>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</si>
  <si>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</si>
  <si>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</si>
  <si>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Adecuaciones CB</t>
  </si>
  <si>
    <t>Incidentes</t>
  </si>
  <si>
    <t>Ordenes de Cambio</t>
  </si>
  <si>
    <t>Tiquetes</t>
  </si>
  <si>
    <t>SUBTOTAL</t>
  </si>
  <si>
    <t>Iva</t>
  </si>
  <si>
    <t>INCIDENTE 3003898</t>
  </si>
  <si>
    <t>BUCARAMANGA - ARAUCA - BUCARAMANGA</t>
  </si>
  <si>
    <t>14378101</t>
  </si>
  <si>
    <t>3007042330</t>
  </si>
  <si>
    <t>BARRIO KENEDY BOGOTA</t>
  </si>
  <si>
    <t>FO-25-1833418 | FO-25-1829726</t>
  </si>
  <si>
    <t>EJECUTADO | EJECUTADO / CANCELADO</t>
  </si>
  <si>
    <t>EJECUTADO EXITOSO</t>
  </si>
  <si>
    <t>18/11/2025 DURANTE LA VISITA TECNICA SE REALIZA TRASLADO DE CORRESPONSAL EN LUGARES INDICADOS POR CORRESPONSAL SIN NOVEDAD EN INSTALACIÓN PRUEBAS OK SALDO OK A CONFORMIDAD DE CORRESPONSAL</t>
  </si>
  <si>
    <t>AA2ZZ072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</si>
</sst>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 #,##0.00_-;\-&quot;$&quot;\ * #,##0.00_-;_-&quot;$&quot;\ * &quot;-&quot;??_-;_-@_-"/>
    <numFmt numFmtId="43" formatCode="_-* #,##0.00_-;\-* #,##0.00_-;_-* &quot;-&quot;??_-;_-@_-"/>
    <numFmt numFmtId="164" formatCode="_(&quot;$&quot;\ * #,##0_);_(&quot;$&quot;\ * \(#,##0\);_(&quot;$&quot;\ * &quot;-&quot;??_);_(@_)"/>
    <numFmt numFmtId="165" formatCode="_(&quot;$&quot;\ * #,##0.00_);_(&quot;$&quot;\ * \(#,##0.00\);_(&quot;$&quot;\ * &quot;-&quot;??_);_(@_)"/>
    <numFmt numFmtId="166" formatCode="dd/mm/yyyy"/>
    <numFmt numFmtId="167" formatCode="_ &quot;$&quot;\ * #,##0_ ;_ &quot;$&quot;\ * \-#,##0_ ;_ &quot;$&quot;\ * &quot;-&quot;??_ ;_ @_ "/>
    <numFmt numFmtId="168" formatCode="[$-409]d\-m\-yy\ h:mm\ AM/PM;@"/>
    <numFmt numFmtId="169" formatCode="[$-240A]dddd\,\ dd&quot; de &quot;mmmm&quot; de &quot;yyyy"/>
    <numFmt numFmtId="170" formatCode="_ * #,##0.00_ ;_ * \-#,##0.00_ ;_ * &quot;-&quot;??_ ;_ @_ "/>
    <numFmt numFmtId="171" formatCode="_-&quot;$&quot;* #,##0.00_-;\-&quot;$&quot;* #,##0.00_-;_-&quot;$&quot;* &quot;-&quot;??_-;_-@_-"/>
    <numFmt numFmtId="172" formatCode="_ [$€-2]\ * #,##0.00_ ;_ [$€-2]\ * \-#,##0.00_ ;_ [$€-2]\ * &quot;-&quot;??_ "/>
    <numFmt numFmtId="173" formatCode="[$-C0A]d\-mmm\-yy;@"/>
    <numFmt numFmtId="174" formatCode="[$-240A]General"/>
    <numFmt numFmtId="175" formatCode="_-* #,##0.00\ _€_-;\-* #,##0.00\ _€_-;_-* &quot;-&quot;??\ _€_-;_-@_-"/>
    <numFmt numFmtId="176" formatCode="0.000%"/>
    <numFmt numFmtId="177" formatCode="_ * #,##0.00_ ;_ * \-#,##0.00_ ;_ * \-??_ ;_ @_ "/>
    <numFmt numFmtId="178" formatCode="_ &quot;$&quot;\ * #,##0.00_ ;_ &quot;$&quot;\ * \-#,##0.00_ ;_ &quot;$&quot;\ * &quot;-&quot;??_ ;_ @_ "/>
    <numFmt numFmtId="179" formatCode="&quot;$&quot;\ #,##0"/>
    <numFmt numFmtId="180" formatCode="_-[$$-240A]\ * #,##0.00_-;\-[$$-240A]\ * #,##0.00_-;_-[$$-240A]\ * &quot;-&quot;??_-;_-@_-"/>
  </numFmts>
  <fonts count="81">
    <font>
      <sz val="10"/>
      <name val="Arial"/>
    </font>
    <font>
      <sz val="11"/>
      <color theme="1"/>
      <name val="Calibri"/>
      <family val="2"/>
      <scheme val="minor"/>
    </font>
    <font>
      <sz val="10"/>
      <name val="Arial"/>
      <family val="2"/>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b/>
      <sz val="10"/>
      <name val="Gelion Thin"/>
    </font>
    <font>
      <sz val="8"/>
      <color rgb="FF000000"/>
      <name val="Gelion Thin"/>
    </font>
    <font>
      <b/>
      <sz val="11"/>
      <color rgb="FFFFFFFF"/>
      <name val="Arial"/>
      <family val="2"/>
    </font>
    <font>
      <sz val="10"/>
      <name val="Arial"/>
      <family val="2"/>
    </font>
    <font>
      <sz val="8"/>
      <name val="Gelion Thin"/>
    </font>
    <font>
      <sz val="8"/>
      <name val="Gelion Light"/>
    </font>
    <font>
      <sz val="9"/>
      <color rgb="FF000000"/>
      <name val="Courier New"/>
      <family val="3"/>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BAF50A"/>
        <bgColor indexed="64"/>
      </patternFill>
    </fill>
    <fill>
      <patternFill patternType="solid">
        <fgColor theme="6" tint="0.79998168889431442"/>
        <bgColor indexed="64"/>
      </patternFill>
    </fill>
    <fill>
      <patternFill patternType="solid">
        <fgColor rgb="FF001D62"/>
        <bgColor rgb="FF001D62"/>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9247">
    <xf numFmtId="0" fontId="0" fillId="0" borderId="0"/>
    <xf numFmtId="167" fontId="5" fillId="0" borderId="0"/>
    <xf numFmtId="0" fontId="5" fillId="0" borderId="0"/>
    <xf numFmtId="0" fontId="5" fillId="0" borderId="0"/>
    <xf numFmtId="0" fontId="1" fillId="0" borderId="0"/>
    <xf numFmtId="165" fontId="5" fillId="0" borderId="0"/>
    <xf numFmtId="0" fontId="5" fillId="0" borderId="0"/>
    <xf numFmtId="168" fontId="1" fillId="0" borderId="0"/>
    <xf numFmtId="0" fontId="3" fillId="0" borderId="0"/>
    <xf numFmtId="169" fontId="5" fillId="0" borderId="0"/>
    <xf numFmtId="168" fontId="1" fillId="0" borderId="0"/>
    <xf numFmtId="0" fontId="4" fillId="0" borderId="0"/>
    <xf numFmtId="0" fontId="4" fillId="0" borderId="0"/>
    <xf numFmtId="0" fontId="1" fillId="0" borderId="0"/>
    <xf numFmtId="0" fontId="1" fillId="0" borderId="0"/>
    <xf numFmtId="0" fontId="1" fillId="0" borderId="0"/>
    <xf numFmtId="43" fontId="1" fillId="0" borderId="0"/>
    <xf numFmtId="0" fontId="5" fillId="0" borderId="0"/>
    <xf numFmtId="170" fontId="5" fillId="0" borderId="0"/>
    <xf numFmtId="0" fontId="5" fillId="0" borderId="0"/>
    <xf numFmtId="168" fontId="5" fillId="0" borderId="0"/>
    <xf numFmtId="0" fontId="1" fillId="0" borderId="0"/>
    <xf numFmtId="168" fontId="5" fillId="0" borderId="0"/>
    <xf numFmtId="0" fontId="5" fillId="0" borderId="0"/>
    <xf numFmtId="0" fontId="1" fillId="0" borderId="0"/>
    <xf numFmtId="0" fontId="1" fillId="0" borderId="0"/>
    <xf numFmtId="0" fontId="1" fillId="0" borderId="0"/>
    <xf numFmtId="0" fontId="5" fillId="0" borderId="0"/>
    <xf numFmtId="43" fontId="5" fillId="0" borderId="0"/>
    <xf numFmtId="0" fontId="5" fillId="0" borderId="0"/>
    <xf numFmtId="165" fontId="5" fillId="0" borderId="0"/>
    <xf numFmtId="165" fontId="1" fillId="0" borderId="0"/>
    <xf numFmtId="0" fontId="6" fillId="0" borderId="0"/>
    <xf numFmtId="0" fontId="1" fillId="0" borderId="0"/>
    <xf numFmtId="168" fontId="1" fillId="0" borderId="0"/>
    <xf numFmtId="0" fontId="1" fillId="0" borderId="0"/>
    <xf numFmtId="0" fontId="1" fillId="0" borderId="0"/>
    <xf numFmtId="170" fontId="5" fillId="0" borderId="0"/>
    <xf numFmtId="0" fontId="1" fillId="0" borderId="0"/>
    <xf numFmtId="0" fontId="1" fillId="0" borderId="0"/>
    <xf numFmtId="0" fontId="1" fillId="0" borderId="0"/>
    <xf numFmtId="0" fontId="1" fillId="0" borderId="0"/>
    <xf numFmtId="0" fontId="7" fillId="0" borderId="0"/>
    <xf numFmtId="0" fontId="1" fillId="0" borderId="0"/>
    <xf numFmtId="43" fontId="1" fillId="0" borderId="0"/>
    <xf numFmtId="43" fontId="1" fillId="0" borderId="0"/>
    <xf numFmtId="165" fontId="1" fillId="0" borderId="0"/>
    <xf numFmtId="171" fontId="6" fillId="0" borderId="0"/>
    <xf numFmtId="165"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168" fontId="5" fillId="0" borderId="0"/>
    <xf numFmtId="170" fontId="5" fillId="0" borderId="0"/>
    <xf numFmtId="0" fontId="1" fillId="0" borderId="0"/>
    <xf numFmtId="0" fontId="1" fillId="0" borderId="0"/>
    <xf numFmtId="0" fontId="6" fillId="0" borderId="0"/>
    <xf numFmtId="0" fontId="1" fillId="0" borderId="0"/>
    <xf numFmtId="0" fontId="5" fillId="0" borderId="0"/>
    <xf numFmtId="0" fontId="1" fillId="0" borderId="0"/>
    <xf numFmtId="0" fontId="1" fillId="0" borderId="0"/>
    <xf numFmtId="171" fontId="1" fillId="0" borderId="0"/>
    <xf numFmtId="165" fontId="5" fillId="0" borderId="0"/>
    <xf numFmtId="165" fontId="1" fillId="0" borderId="0"/>
    <xf numFmtId="0" fontId="1" fillId="0" borderId="0"/>
    <xf numFmtId="171" fontId="1" fillId="0" borderId="0"/>
    <xf numFmtId="0" fontId="1" fillId="0" borderId="0"/>
    <xf numFmtId="171" fontId="1" fillId="0" borderId="0"/>
    <xf numFmtId="0" fontId="1" fillId="0" borderId="0"/>
    <xf numFmtId="0" fontId="1" fillId="10" borderId="0"/>
    <xf numFmtId="0" fontId="1" fillId="1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3" fillId="33" borderId="0"/>
    <xf numFmtId="0" fontId="1" fillId="10" borderId="0"/>
    <xf numFmtId="0" fontId="3" fillId="33" borderId="0"/>
    <xf numFmtId="0" fontId="3" fillId="33" borderId="0"/>
    <xf numFmtId="0" fontId="1" fillId="10" borderId="0"/>
    <xf numFmtId="0" fontId="1" fillId="10" borderId="0"/>
    <xf numFmtId="0" fontId="1" fillId="10" borderId="0"/>
    <xf numFmtId="0" fontId="1" fillId="10" borderId="0"/>
    <xf numFmtId="0" fontId="3" fillId="34" borderId="0"/>
    <xf numFmtId="0" fontId="1" fillId="14" borderId="0"/>
    <xf numFmtId="0" fontId="3" fillId="34" borderId="0"/>
    <xf numFmtId="0" fontId="3" fillId="34" borderId="0"/>
    <xf numFmtId="0" fontId="1" fillId="14" borderId="0"/>
    <xf numFmtId="0" fontId="1" fillId="14" borderId="0"/>
    <xf numFmtId="0" fontId="1" fillId="14" borderId="0"/>
    <xf numFmtId="0" fontId="1" fillId="14" borderId="0"/>
    <xf numFmtId="0" fontId="3" fillId="35" borderId="0"/>
    <xf numFmtId="0" fontId="1" fillId="18" borderId="0"/>
    <xf numFmtId="0" fontId="3" fillId="35" borderId="0"/>
    <xf numFmtId="0" fontId="3" fillId="35" borderId="0"/>
    <xf numFmtId="0" fontId="1" fillId="18" borderId="0"/>
    <xf numFmtId="0" fontId="1" fillId="18" borderId="0"/>
    <xf numFmtId="0" fontId="1" fillId="18" borderId="0"/>
    <xf numFmtId="0" fontId="1" fillId="18" borderId="0"/>
    <xf numFmtId="0" fontId="3" fillId="36" borderId="0"/>
    <xf numFmtId="0" fontId="1" fillId="22" borderId="0"/>
    <xf numFmtId="0" fontId="3" fillId="36" borderId="0"/>
    <xf numFmtId="0" fontId="3" fillId="36" borderId="0"/>
    <xf numFmtId="0" fontId="1" fillId="22" borderId="0"/>
    <xf numFmtId="0" fontId="1" fillId="22" borderId="0"/>
    <xf numFmtId="0" fontId="1" fillId="22" borderId="0"/>
    <xf numFmtId="0" fontId="1" fillId="22" borderId="0"/>
    <xf numFmtId="0" fontId="3" fillId="37" borderId="0"/>
    <xf numFmtId="0" fontId="1" fillId="26" borderId="0"/>
    <xf numFmtId="0" fontId="3" fillId="37" borderId="0"/>
    <xf numFmtId="0" fontId="3" fillId="37" borderId="0"/>
    <xf numFmtId="0" fontId="1" fillId="26" borderId="0"/>
    <xf numFmtId="0" fontId="1" fillId="26" borderId="0"/>
    <xf numFmtId="0" fontId="1" fillId="26" borderId="0"/>
    <xf numFmtId="0" fontId="1" fillId="26" borderId="0"/>
    <xf numFmtId="0" fontId="3" fillId="38" borderId="0"/>
    <xf numFmtId="0" fontId="1" fillId="30" borderId="0"/>
    <xf numFmtId="0" fontId="3" fillId="38" borderId="0"/>
    <xf numFmtId="0" fontId="3" fillId="38" borderId="0"/>
    <xf numFmtId="0" fontId="1" fillId="30" borderId="0"/>
    <xf numFmtId="0" fontId="1" fillId="30" borderId="0"/>
    <xf numFmtId="0" fontId="1" fillId="30" borderId="0"/>
    <xf numFmtId="0" fontId="1" fillId="30" borderId="0"/>
    <xf numFmtId="0" fontId="26" fillId="39" borderId="0"/>
    <xf numFmtId="0" fontId="26" fillId="40" borderId="0"/>
    <xf numFmtId="0" fontId="26" fillId="41" borderId="0"/>
    <xf numFmtId="0" fontId="26" fillId="42" borderId="0"/>
    <xf numFmtId="0" fontId="26" fillId="43" borderId="0"/>
    <xf numFmtId="0" fontId="26" fillId="44" borderId="0"/>
    <xf numFmtId="0" fontId="1" fillId="11" borderId="0"/>
    <xf numFmtId="0" fontId="1" fillId="11" borderId="0"/>
    <xf numFmtId="0" fontId="1" fillId="11" borderId="0"/>
    <xf numFmtId="0" fontId="1" fillId="11" borderId="0"/>
    <xf numFmtId="0" fontId="1" fillId="11" borderId="0"/>
    <xf numFmtId="0" fontId="1" fillId="15" borderId="0"/>
    <xf numFmtId="0" fontId="1" fillId="15" borderId="0"/>
    <xf numFmtId="0" fontId="1" fillId="15" borderId="0"/>
    <xf numFmtId="0" fontId="1" fillId="15" borderId="0"/>
    <xf numFmtId="0" fontId="1" fillId="15" borderId="0"/>
    <xf numFmtId="0" fontId="1" fillId="19" borderId="0"/>
    <xf numFmtId="0" fontId="1" fillId="19" borderId="0"/>
    <xf numFmtId="0" fontId="1" fillId="19" borderId="0"/>
    <xf numFmtId="0" fontId="1" fillId="19" borderId="0"/>
    <xf numFmtId="0" fontId="1" fillId="19" borderId="0"/>
    <xf numFmtId="0" fontId="1" fillId="23" borderId="0"/>
    <xf numFmtId="0" fontId="1" fillId="23" borderId="0"/>
    <xf numFmtId="0" fontId="1" fillId="23" borderId="0"/>
    <xf numFmtId="0" fontId="1" fillId="23" borderId="0"/>
    <xf numFmtId="0" fontId="1" fillId="23" borderId="0"/>
    <xf numFmtId="0" fontId="1" fillId="27" borderId="0"/>
    <xf numFmtId="0" fontId="1" fillId="27" borderId="0"/>
    <xf numFmtId="0" fontId="1" fillId="27" borderId="0"/>
    <xf numFmtId="0" fontId="1" fillId="27" borderId="0"/>
    <xf numFmtId="0" fontId="1" fillId="27" borderId="0"/>
    <xf numFmtId="0" fontId="1" fillId="31" borderId="0"/>
    <xf numFmtId="0" fontId="1" fillId="31" borderId="0"/>
    <xf numFmtId="0" fontId="1" fillId="31" borderId="0"/>
    <xf numFmtId="0" fontId="1" fillId="31" borderId="0"/>
    <xf numFmtId="0" fontId="1" fillId="31" borderId="0"/>
    <xf numFmtId="0" fontId="3" fillId="45" borderId="0"/>
    <xf numFmtId="0" fontId="1" fillId="11" borderId="0"/>
    <xf numFmtId="0" fontId="3" fillId="45" borderId="0"/>
    <xf numFmtId="0" fontId="3" fillId="45" borderId="0"/>
    <xf numFmtId="0" fontId="1" fillId="11" borderId="0"/>
    <xf numFmtId="0" fontId="1" fillId="11" borderId="0"/>
    <xf numFmtId="0" fontId="1" fillId="11" borderId="0"/>
    <xf numFmtId="0" fontId="1" fillId="11" borderId="0"/>
    <xf numFmtId="0" fontId="3" fillId="46" borderId="0"/>
    <xf numFmtId="0" fontId="1" fillId="15" borderId="0"/>
    <xf numFmtId="0" fontId="3" fillId="46" borderId="0"/>
    <xf numFmtId="0" fontId="3" fillId="46" borderId="0"/>
    <xf numFmtId="0" fontId="1" fillId="15" borderId="0"/>
    <xf numFmtId="0" fontId="1" fillId="15" borderId="0"/>
    <xf numFmtId="0" fontId="1" fillId="15" borderId="0"/>
    <xf numFmtId="0" fontId="1" fillId="15" borderId="0"/>
    <xf numFmtId="0" fontId="3" fillId="47" borderId="0"/>
    <xf numFmtId="0" fontId="1" fillId="19" borderId="0"/>
    <xf numFmtId="0" fontId="3" fillId="47" borderId="0"/>
    <xf numFmtId="0" fontId="3" fillId="47" borderId="0"/>
    <xf numFmtId="0" fontId="1" fillId="19" borderId="0"/>
    <xf numFmtId="0" fontId="1" fillId="19" borderId="0"/>
    <xf numFmtId="0" fontId="1" fillId="19" borderId="0"/>
    <xf numFmtId="0" fontId="1" fillId="19" borderId="0"/>
    <xf numFmtId="0" fontId="3" fillId="36" borderId="0"/>
    <xf numFmtId="0" fontId="1" fillId="23" borderId="0"/>
    <xf numFmtId="0" fontId="3" fillId="36" borderId="0"/>
    <xf numFmtId="0" fontId="3" fillId="36" borderId="0"/>
    <xf numFmtId="0" fontId="1" fillId="23" borderId="0"/>
    <xf numFmtId="0" fontId="1" fillId="23" borderId="0"/>
    <xf numFmtId="0" fontId="1" fillId="23" borderId="0"/>
    <xf numFmtId="0" fontId="1" fillId="23" borderId="0"/>
    <xf numFmtId="0" fontId="3" fillId="45" borderId="0"/>
    <xf numFmtId="0" fontId="1" fillId="27" borderId="0"/>
    <xf numFmtId="0" fontId="3" fillId="45" borderId="0"/>
    <xf numFmtId="0" fontId="3" fillId="45" borderId="0"/>
    <xf numFmtId="0" fontId="1" fillId="27" borderId="0"/>
    <xf numFmtId="0" fontId="1" fillId="27" borderId="0"/>
    <xf numFmtId="0" fontId="1" fillId="27" borderId="0"/>
    <xf numFmtId="0" fontId="1" fillId="27" borderId="0"/>
    <xf numFmtId="0" fontId="3" fillId="48" borderId="0"/>
    <xf numFmtId="0" fontId="1" fillId="31" borderId="0"/>
    <xf numFmtId="0" fontId="3" fillId="48" borderId="0"/>
    <xf numFmtId="0" fontId="3" fillId="48" borderId="0"/>
    <xf numFmtId="0" fontId="1" fillId="31" borderId="0"/>
    <xf numFmtId="0" fontId="1" fillId="31" borderId="0"/>
    <xf numFmtId="0" fontId="1" fillId="31" borderId="0"/>
    <xf numFmtId="0" fontId="1" fillId="31" borderId="0"/>
    <xf numFmtId="0" fontId="26" fillId="49" borderId="0"/>
    <xf numFmtId="0" fontId="26" fillId="50" borderId="0"/>
    <xf numFmtId="0" fontId="26" fillId="51" borderId="0"/>
    <xf numFmtId="0" fontId="26" fillId="52" borderId="0"/>
    <xf numFmtId="0" fontId="26" fillId="53" borderId="0"/>
    <xf numFmtId="0" fontId="26" fillId="54" borderId="0"/>
    <xf numFmtId="0" fontId="23" fillId="12" borderId="0"/>
    <xf numFmtId="0" fontId="23" fillId="12" borderId="0"/>
    <xf numFmtId="0" fontId="23" fillId="12" borderId="0"/>
    <xf numFmtId="0" fontId="23" fillId="12" borderId="0"/>
    <xf numFmtId="0" fontId="23" fillId="12" borderId="0"/>
    <xf numFmtId="0" fontId="23" fillId="16" borderId="0"/>
    <xf numFmtId="0" fontId="23" fillId="16" borderId="0"/>
    <xf numFmtId="0" fontId="23" fillId="16" borderId="0"/>
    <xf numFmtId="0" fontId="23" fillId="16" borderId="0"/>
    <xf numFmtId="0" fontId="23" fillId="16" borderId="0"/>
    <xf numFmtId="0" fontId="23" fillId="20" borderId="0"/>
    <xf numFmtId="0" fontId="23" fillId="20" borderId="0"/>
    <xf numFmtId="0" fontId="23" fillId="20" borderId="0"/>
    <xf numFmtId="0" fontId="23" fillId="20" borderId="0"/>
    <xf numFmtId="0" fontId="23" fillId="20" borderId="0"/>
    <xf numFmtId="0" fontId="23" fillId="24" borderId="0"/>
    <xf numFmtId="0" fontId="23" fillId="24" borderId="0"/>
    <xf numFmtId="0" fontId="23" fillId="24" borderId="0"/>
    <xf numFmtId="0" fontId="23" fillId="24" borderId="0"/>
    <xf numFmtId="0" fontId="23" fillId="24" borderId="0"/>
    <xf numFmtId="0" fontId="23" fillId="28" borderId="0"/>
    <xf numFmtId="0" fontId="23" fillId="28" borderId="0"/>
    <xf numFmtId="0" fontId="23" fillId="28" borderId="0"/>
    <xf numFmtId="0" fontId="23" fillId="28" borderId="0"/>
    <xf numFmtId="0" fontId="23" fillId="28" borderId="0"/>
    <xf numFmtId="0" fontId="23" fillId="32" borderId="0"/>
    <xf numFmtId="0" fontId="23" fillId="32" borderId="0"/>
    <xf numFmtId="0" fontId="23" fillId="32" borderId="0"/>
    <xf numFmtId="0" fontId="23" fillId="32" borderId="0"/>
    <xf numFmtId="0" fontId="23" fillId="32" borderId="0"/>
    <xf numFmtId="0" fontId="27" fillId="55" borderId="0"/>
    <xf numFmtId="0" fontId="23" fillId="12" borderId="0"/>
    <xf numFmtId="0" fontId="27" fillId="55" borderId="0"/>
    <xf numFmtId="0" fontId="27" fillId="55" borderId="0"/>
    <xf numFmtId="0" fontId="23" fillId="12" borderId="0"/>
    <xf numFmtId="0" fontId="23" fillId="12" borderId="0"/>
    <xf numFmtId="0" fontId="23" fillId="12" borderId="0"/>
    <xf numFmtId="0" fontId="23" fillId="12" borderId="0"/>
    <xf numFmtId="0" fontId="27" fillId="46" borderId="0"/>
    <xf numFmtId="0" fontId="23" fillId="16" borderId="0"/>
    <xf numFmtId="0" fontId="27" fillId="46" borderId="0"/>
    <xf numFmtId="0" fontId="27" fillId="46" borderId="0"/>
    <xf numFmtId="0" fontId="23" fillId="16" borderId="0"/>
    <xf numFmtId="0" fontId="23" fillId="16" borderId="0"/>
    <xf numFmtId="0" fontId="23" fillId="16" borderId="0"/>
    <xf numFmtId="0" fontId="23" fillId="16" borderId="0"/>
    <xf numFmtId="0" fontId="27" fillId="47" borderId="0"/>
    <xf numFmtId="0" fontId="23" fillId="20" borderId="0"/>
    <xf numFmtId="0" fontId="27" fillId="47" borderId="0"/>
    <xf numFmtId="0" fontId="27" fillId="47" borderId="0"/>
    <xf numFmtId="0" fontId="23" fillId="20" borderId="0"/>
    <xf numFmtId="0" fontId="23" fillId="20" borderId="0"/>
    <xf numFmtId="0" fontId="23" fillId="20" borderId="0"/>
    <xf numFmtId="0" fontId="23" fillId="20" borderId="0"/>
    <xf numFmtId="0" fontId="27" fillId="56" borderId="0"/>
    <xf numFmtId="0" fontId="23" fillId="24" borderId="0"/>
    <xf numFmtId="0" fontId="27" fillId="56" borderId="0"/>
    <xf numFmtId="0" fontId="27" fillId="56" borderId="0"/>
    <xf numFmtId="0" fontId="23" fillId="24" borderId="0"/>
    <xf numFmtId="0" fontId="23" fillId="24" borderId="0"/>
    <xf numFmtId="0" fontId="23" fillId="24" borderId="0"/>
    <xf numFmtId="0" fontId="23" fillId="24" borderId="0"/>
    <xf numFmtId="0" fontId="27" fillId="57" borderId="0"/>
    <xf numFmtId="0" fontId="23" fillId="28" borderId="0"/>
    <xf numFmtId="0" fontId="27" fillId="57" borderId="0"/>
    <xf numFmtId="0" fontId="27" fillId="57" borderId="0"/>
    <xf numFmtId="0" fontId="23" fillId="28" borderId="0"/>
    <xf numFmtId="0" fontId="23" fillId="28" borderId="0"/>
    <xf numFmtId="0" fontId="23" fillId="28" borderId="0"/>
    <xf numFmtId="0" fontId="23" fillId="28" borderId="0"/>
    <xf numFmtId="0" fontId="27" fillId="58" borderId="0"/>
    <xf numFmtId="0" fontId="23" fillId="32" borderId="0"/>
    <xf numFmtId="0" fontId="27" fillId="58" borderId="0"/>
    <xf numFmtId="0" fontId="27" fillId="58" borderId="0"/>
    <xf numFmtId="0" fontId="23" fillId="32" borderId="0"/>
    <xf numFmtId="0" fontId="23" fillId="32" borderId="0"/>
    <xf numFmtId="0" fontId="23" fillId="32" borderId="0"/>
    <xf numFmtId="0" fontId="23" fillId="32" borderId="0"/>
    <xf numFmtId="0" fontId="28" fillId="59" borderId="0"/>
    <xf numFmtId="0" fontId="28" fillId="60" borderId="0"/>
    <xf numFmtId="0" fontId="28" fillId="61" borderId="0"/>
    <xf numFmtId="0" fontId="28" fillId="62" borderId="0"/>
    <xf numFmtId="0" fontId="28" fillId="63" borderId="0"/>
    <xf numFmtId="0" fontId="28" fillId="64" borderId="0"/>
    <xf numFmtId="0" fontId="23" fillId="9" borderId="0"/>
    <xf numFmtId="0" fontId="23" fillId="9" borderId="0"/>
    <xf numFmtId="0" fontId="23" fillId="9" borderId="0"/>
    <xf numFmtId="0" fontId="23" fillId="9" borderId="0"/>
    <xf numFmtId="0" fontId="23" fillId="9" borderId="0"/>
    <xf numFmtId="0" fontId="23" fillId="13" borderId="0"/>
    <xf numFmtId="0" fontId="23" fillId="13" borderId="0"/>
    <xf numFmtId="0" fontId="23" fillId="13" borderId="0"/>
    <xf numFmtId="0" fontId="23" fillId="13" borderId="0"/>
    <xf numFmtId="0" fontId="23" fillId="13" borderId="0"/>
    <xf numFmtId="0" fontId="23" fillId="17" borderId="0"/>
    <xf numFmtId="0" fontId="23" fillId="17" borderId="0"/>
    <xf numFmtId="0" fontId="23" fillId="17" borderId="0"/>
    <xf numFmtId="0" fontId="23" fillId="17" borderId="0"/>
    <xf numFmtId="0" fontId="23" fillId="17" borderId="0"/>
    <xf numFmtId="0" fontId="23" fillId="21" borderId="0"/>
    <xf numFmtId="0" fontId="23" fillId="21" borderId="0"/>
    <xf numFmtId="0" fontId="23" fillId="21" borderId="0"/>
    <xf numFmtId="0" fontId="23" fillId="21" borderId="0"/>
    <xf numFmtId="0" fontId="23" fillId="21" borderId="0"/>
    <xf numFmtId="0" fontId="23" fillId="25" borderId="0"/>
    <xf numFmtId="0" fontId="23" fillId="25" borderId="0"/>
    <xf numFmtId="0" fontId="23" fillId="25" borderId="0"/>
    <xf numFmtId="0" fontId="23" fillId="25" borderId="0"/>
    <xf numFmtId="0" fontId="23" fillId="25" borderId="0"/>
    <xf numFmtId="0" fontId="23" fillId="29" borderId="0"/>
    <xf numFmtId="0" fontId="23" fillId="29" borderId="0"/>
    <xf numFmtId="0" fontId="23" fillId="29" borderId="0"/>
    <xf numFmtId="0" fontId="23" fillId="29" borderId="0"/>
    <xf numFmtId="0" fontId="23" fillId="29" borderId="0"/>
    <xf numFmtId="0" fontId="14" fillId="3" borderId="0"/>
    <xf numFmtId="0" fontId="14" fillId="3" borderId="0"/>
    <xf numFmtId="0" fontId="14" fillId="3" borderId="0"/>
    <xf numFmtId="0" fontId="14" fillId="3" borderId="0"/>
    <xf numFmtId="0" fontId="14" fillId="3" borderId="0"/>
    <xf numFmtId="0" fontId="29" fillId="35" borderId="0"/>
    <xf numFmtId="0" fontId="13" fillId="2" borderId="0"/>
    <xf numFmtId="0" fontId="29" fillId="35" borderId="0"/>
    <xf numFmtId="0" fontId="13" fillId="2" borderId="0"/>
    <xf numFmtId="0" fontId="29" fillId="35" borderId="0"/>
    <xf numFmtId="0" fontId="29" fillId="35" borderId="0"/>
    <xf numFmtId="0" fontId="29" fillId="35" borderId="0"/>
    <xf numFmtId="0" fontId="13" fillId="2" borderId="0"/>
    <xf numFmtId="0" fontId="13" fillId="2" borderId="0"/>
    <xf numFmtId="0" fontId="29" fillId="35" borderId="0"/>
    <xf numFmtId="0" fontId="29" fillId="35" borderId="0"/>
    <xf numFmtId="0" fontId="13" fillId="2" borderId="0"/>
    <xf numFmtId="0" fontId="13" fillId="2" borderId="0"/>
    <xf numFmtId="0" fontId="13" fillId="2" borderId="0"/>
    <xf numFmtId="0" fontId="13" fillId="2" borderId="0"/>
    <xf numFmtId="0" fontId="13" fillId="2" borderId="0"/>
    <xf numFmtId="0" fontId="17" fillId="6" borderId="9"/>
    <xf numFmtId="0" fontId="17" fillId="6" borderId="9"/>
    <xf numFmtId="0" fontId="17" fillId="6" borderId="9"/>
    <xf numFmtId="0" fontId="17" fillId="6" borderId="9"/>
    <xf numFmtId="0" fontId="17" fillId="6" borderId="9"/>
    <xf numFmtId="0" fontId="30" fillId="65" borderId="15"/>
    <xf numFmtId="0" fontId="17" fillId="6" borderId="9"/>
    <xf numFmtId="0" fontId="30" fillId="65" borderId="15"/>
    <xf numFmtId="0" fontId="30" fillId="65" borderId="15"/>
    <xf numFmtId="0" fontId="17" fillId="6" borderId="9"/>
    <xf numFmtId="0" fontId="17" fillId="6" borderId="9"/>
    <xf numFmtId="0" fontId="17" fillId="6" borderId="9"/>
    <xf numFmtId="0" fontId="17" fillId="6" borderId="9"/>
    <xf numFmtId="0" fontId="31" fillId="66" borderId="16"/>
    <xf numFmtId="0" fontId="19" fillId="7" borderId="12"/>
    <xf numFmtId="0" fontId="31" fillId="66" borderId="16"/>
    <xf numFmtId="0" fontId="19" fillId="7" borderId="12"/>
    <xf numFmtId="0" fontId="31" fillId="66" borderId="16"/>
    <xf numFmtId="0" fontId="31" fillId="66" borderId="16"/>
    <xf numFmtId="0" fontId="31" fillId="66" borderId="16"/>
    <xf numFmtId="0" fontId="19" fillId="7" borderId="12"/>
    <xf numFmtId="0" fontId="19" fillId="7" borderId="12"/>
    <xf numFmtId="0" fontId="31" fillId="66" borderId="16"/>
    <xf numFmtId="0" fontId="31" fillId="66" borderId="16"/>
    <xf numFmtId="0" fontId="19" fillId="7" borderId="12"/>
    <xf numFmtId="0" fontId="19" fillId="7" borderId="12"/>
    <xf numFmtId="0" fontId="19" fillId="7" borderId="12"/>
    <xf numFmtId="0" fontId="19" fillId="7" borderId="12"/>
    <xf numFmtId="0" fontId="19" fillId="7" borderId="12"/>
    <xf numFmtId="0" fontId="32" fillId="0" borderId="17"/>
    <xf numFmtId="0" fontId="18" fillId="0" borderId="11"/>
    <xf numFmtId="0" fontId="32" fillId="0" borderId="17"/>
    <xf numFmtId="0" fontId="18" fillId="0" borderId="11"/>
    <xf numFmtId="0" fontId="32" fillId="0" borderId="17"/>
    <xf numFmtId="0" fontId="32" fillId="0" borderId="17"/>
    <xf numFmtId="0" fontId="32" fillId="0" borderId="17"/>
    <xf numFmtId="0" fontId="18" fillId="0" borderId="11"/>
    <xf numFmtId="0" fontId="18" fillId="0" borderId="11"/>
    <xf numFmtId="0" fontId="32" fillId="0" borderId="17"/>
    <xf numFmtId="0" fontId="32" fillId="0" borderId="17"/>
    <xf numFmtId="0" fontId="18" fillId="0" borderId="11"/>
    <xf numFmtId="0" fontId="18" fillId="0" borderId="11"/>
    <xf numFmtId="0" fontId="18" fillId="0" borderId="11"/>
    <xf numFmtId="0" fontId="18" fillId="0" borderId="11"/>
    <xf numFmtId="0" fontId="18" fillId="0" borderId="11"/>
    <xf numFmtId="0" fontId="19" fillId="7" borderId="12"/>
    <xf numFmtId="0" fontId="19" fillId="7" borderId="12"/>
    <xf numFmtId="0" fontId="19" fillId="7" borderId="12"/>
    <xf numFmtId="0" fontId="19" fillId="7" borderId="12"/>
    <xf numFmtId="0" fontId="19" fillId="7" borderId="12"/>
    <xf numFmtId="43" fontId="5" fillId="0" borderId="0"/>
    <xf numFmtId="0" fontId="33" fillId="0" borderId="0"/>
    <xf numFmtId="0" fontId="12" fillId="0" borderId="0"/>
    <xf numFmtId="0" fontId="33" fillId="0" borderId="0"/>
    <xf numFmtId="0" fontId="12" fillId="0" borderId="0"/>
    <xf numFmtId="0" fontId="33" fillId="0" borderId="0"/>
    <xf numFmtId="0" fontId="33" fillId="0" borderId="0"/>
    <xf numFmtId="0" fontId="33" fillId="0" borderId="0"/>
    <xf numFmtId="0" fontId="12" fillId="0" borderId="0"/>
    <xf numFmtId="0" fontId="12" fillId="0" borderId="0"/>
    <xf numFmtId="0" fontId="33" fillId="0" borderId="0"/>
    <xf numFmtId="0" fontId="33" fillId="0" borderId="0"/>
    <xf numFmtId="0" fontId="12" fillId="0" borderId="0"/>
    <xf numFmtId="0" fontId="12" fillId="0" borderId="0"/>
    <xf numFmtId="0" fontId="12" fillId="0" borderId="0"/>
    <xf numFmtId="0" fontId="12" fillId="0" borderId="0"/>
    <xf numFmtId="0" fontId="12" fillId="0" borderId="0"/>
    <xf numFmtId="0" fontId="27" fillId="67" borderId="0"/>
    <xf numFmtId="0" fontId="23" fillId="9" borderId="0"/>
    <xf numFmtId="0" fontId="27" fillId="67" borderId="0"/>
    <xf numFmtId="0" fontId="27" fillId="67" borderId="0"/>
    <xf numFmtId="0" fontId="23" fillId="9" borderId="0"/>
    <xf numFmtId="0" fontId="23" fillId="9" borderId="0"/>
    <xf numFmtId="0" fontId="23" fillId="9" borderId="0"/>
    <xf numFmtId="0" fontId="23" fillId="9" borderId="0"/>
    <xf numFmtId="0" fontId="27" fillId="68" borderId="0"/>
    <xf numFmtId="0" fontId="23" fillId="13" borderId="0"/>
    <xf numFmtId="0" fontId="27" fillId="68" borderId="0"/>
    <xf numFmtId="0" fontId="27" fillId="68" borderId="0"/>
    <xf numFmtId="0" fontId="23" fillId="13" borderId="0"/>
    <xf numFmtId="0" fontId="23" fillId="13" borderId="0"/>
    <xf numFmtId="0" fontId="23" fillId="13" borderId="0"/>
    <xf numFmtId="0" fontId="23" fillId="13" borderId="0"/>
    <xf numFmtId="0" fontId="27" fillId="69" borderId="0"/>
    <xf numFmtId="0" fontId="23" fillId="17" borderId="0"/>
    <xf numFmtId="0" fontId="27" fillId="69" borderId="0"/>
    <xf numFmtId="0" fontId="27" fillId="69" borderId="0"/>
    <xf numFmtId="0" fontId="23" fillId="17" borderId="0"/>
    <xf numFmtId="0" fontId="23" fillId="17" borderId="0"/>
    <xf numFmtId="0" fontId="23" fillId="17" borderId="0"/>
    <xf numFmtId="0" fontId="23" fillId="17" borderId="0"/>
    <xf numFmtId="0" fontId="27" fillId="56" borderId="0"/>
    <xf numFmtId="0" fontId="23" fillId="21" borderId="0"/>
    <xf numFmtId="0" fontId="27" fillId="56" borderId="0"/>
    <xf numFmtId="0" fontId="27" fillId="56" borderId="0"/>
    <xf numFmtId="0" fontId="23" fillId="21" borderId="0"/>
    <xf numFmtId="0" fontId="23" fillId="21" borderId="0"/>
    <xf numFmtId="0" fontId="23" fillId="21" borderId="0"/>
    <xf numFmtId="0" fontId="23" fillId="21" borderId="0"/>
    <xf numFmtId="0" fontId="27" fillId="57" borderId="0"/>
    <xf numFmtId="0" fontId="23" fillId="25" borderId="0"/>
    <xf numFmtId="0" fontId="27" fillId="57" borderId="0"/>
    <xf numFmtId="0" fontId="27" fillId="57" borderId="0"/>
    <xf numFmtId="0" fontId="23" fillId="25" borderId="0"/>
    <xf numFmtId="0" fontId="23" fillId="25" borderId="0"/>
    <xf numFmtId="0" fontId="23" fillId="25" borderId="0"/>
    <xf numFmtId="0" fontId="23" fillId="25" borderId="0"/>
    <xf numFmtId="0" fontId="27" fillId="70" borderId="0"/>
    <xf numFmtId="0" fontId="23" fillId="29" borderId="0"/>
    <xf numFmtId="0" fontId="27" fillId="70" borderId="0"/>
    <xf numFmtId="0" fontId="27" fillId="70" borderId="0"/>
    <xf numFmtId="0" fontId="23" fillId="29" borderId="0"/>
    <xf numFmtId="0" fontId="23" fillId="29" borderId="0"/>
    <xf numFmtId="0" fontId="23" fillId="29" borderId="0"/>
    <xf numFmtId="0" fontId="23" fillId="29" borderId="0"/>
    <xf numFmtId="0" fontId="34" fillId="38" borderId="15"/>
    <xf numFmtId="0" fontId="15" fillId="5" borderId="9"/>
    <xf numFmtId="0" fontId="34" fillId="38" borderId="15"/>
    <xf numFmtId="0" fontId="15" fillId="5" borderId="9"/>
    <xf numFmtId="0" fontId="34" fillId="38" borderId="15"/>
    <xf numFmtId="0" fontId="34" fillId="38" borderId="15"/>
    <xf numFmtId="0" fontId="34" fillId="38" borderId="15"/>
    <xf numFmtId="0" fontId="15" fillId="5" borderId="9"/>
    <xf numFmtId="0" fontId="15" fillId="5" borderId="9"/>
    <xf numFmtId="0" fontId="34" fillId="38" borderId="15"/>
    <xf numFmtId="0" fontId="34" fillId="38" borderId="15"/>
    <xf numFmtId="0" fontId="15" fillId="5" borderId="9"/>
    <xf numFmtId="0" fontId="15" fillId="5" borderId="9"/>
    <xf numFmtId="0" fontId="15" fillId="5" borderId="9"/>
    <xf numFmtId="0" fontId="15" fillId="5" borderId="9"/>
    <xf numFmtId="0" fontId="15" fillId="5" borderId="9"/>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2"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173" fontId="3" fillId="0" borderId="0"/>
    <xf numFmtId="174" fontId="35" fillId="0" borderId="0"/>
    <xf numFmtId="0" fontId="21" fillId="0" borderId="0"/>
    <xf numFmtId="0" fontId="21" fillId="0" borderId="0"/>
    <xf numFmtId="0" fontId="21" fillId="0" borderId="0"/>
    <xf numFmtId="0" fontId="21" fillId="0" borderId="0"/>
    <xf numFmtId="0" fontId="21" fillId="0" borderId="0"/>
    <xf numFmtId="0" fontId="13" fillId="2" borderId="0"/>
    <xf numFmtId="0" fontId="13" fillId="2" borderId="0"/>
    <xf numFmtId="0" fontId="13" fillId="2" borderId="0"/>
    <xf numFmtId="0" fontId="13" fillId="2" borderId="0"/>
    <xf numFmtId="0" fontId="13" fillId="2" borderId="0"/>
    <xf numFmtId="0" fontId="10" fillId="0" borderId="6"/>
    <xf numFmtId="0" fontId="10" fillId="0" borderId="6"/>
    <xf numFmtId="0" fontId="10" fillId="0" borderId="6"/>
    <xf numFmtId="0" fontId="10" fillId="0" borderId="6"/>
    <xf numFmtId="0" fontId="10" fillId="0" borderId="6"/>
    <xf numFmtId="0" fontId="11" fillId="0" borderId="7"/>
    <xf numFmtId="0" fontId="11" fillId="0" borderId="7"/>
    <xf numFmtId="0" fontId="11" fillId="0" borderId="7"/>
    <xf numFmtId="0" fontId="11" fillId="0" borderId="7"/>
    <xf numFmtId="0" fontId="11" fillId="0" borderId="7"/>
    <xf numFmtId="0" fontId="12" fillId="0" borderId="8"/>
    <xf numFmtId="0" fontId="12" fillId="0" borderId="8"/>
    <xf numFmtId="0" fontId="12" fillId="0" borderId="8"/>
    <xf numFmtId="0" fontId="12" fillId="0" borderId="8"/>
    <xf numFmtId="0" fontId="12" fillId="0" borderId="8"/>
    <xf numFmtId="0" fontId="12" fillId="0" borderId="0"/>
    <xf numFmtId="0" fontId="12" fillId="0" borderId="0"/>
    <xf numFmtId="0" fontId="12" fillId="0" borderId="0"/>
    <xf numFmtId="0" fontId="12" fillId="0" borderId="0"/>
    <xf numFmtId="0" fontId="12" fillId="0" borderId="0"/>
    <xf numFmtId="0" fontId="36" fillId="0" borderId="0">
      <alignment vertical="top"/>
      <protection locked="0"/>
    </xf>
    <xf numFmtId="0" fontId="36" fillId="0" borderId="0"/>
    <xf numFmtId="0" fontId="37" fillId="0" borderId="0">
      <alignment vertical="top"/>
      <protection locked="0"/>
    </xf>
    <xf numFmtId="0" fontId="7" fillId="0" borderId="0"/>
    <xf numFmtId="0" fontId="37" fillId="0" borderId="0">
      <alignment vertical="top"/>
      <protection locked="0"/>
    </xf>
    <xf numFmtId="0" fontId="38" fillId="0" borderId="0">
      <alignment vertical="top"/>
      <protection locked="0"/>
    </xf>
    <xf numFmtId="173" fontId="7" fillId="0" borderId="0"/>
    <xf numFmtId="0" fontId="39" fillId="34" borderId="0"/>
    <xf numFmtId="0" fontId="14" fillId="3" borderId="0"/>
    <xf numFmtId="0" fontId="39" fillId="34" borderId="0"/>
    <xf numFmtId="0" fontId="39" fillId="34" borderId="0"/>
    <xf numFmtId="0" fontId="14" fillId="3" borderId="0"/>
    <xf numFmtId="0" fontId="14" fillId="3" borderId="0"/>
    <xf numFmtId="0" fontId="14" fillId="3" borderId="0"/>
    <xf numFmtId="0" fontId="14" fillId="3" borderId="0"/>
    <xf numFmtId="0" fontId="15" fillId="5" borderId="9"/>
    <xf numFmtId="0" fontId="15" fillId="5" borderId="9"/>
    <xf numFmtId="0" fontId="15" fillId="5" borderId="9"/>
    <xf numFmtId="0" fontId="15" fillId="5" borderId="9"/>
    <xf numFmtId="0" fontId="15" fillId="5" borderId="9"/>
    <xf numFmtId="0" fontId="18" fillId="0" borderId="11"/>
    <xf numFmtId="0" fontId="18" fillId="0" borderId="11"/>
    <xf numFmtId="0" fontId="18" fillId="0" borderId="11"/>
    <xf numFmtId="0" fontId="18" fillId="0" borderId="11"/>
    <xf numFmtId="0" fontId="18" fillId="0" borderId="11"/>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43" fontId="1" fillId="0" borderId="0"/>
    <xf numFmtId="170" fontId="5" fillId="0" borderId="0"/>
    <xf numFmtId="170" fontId="5" fillId="0" borderId="0"/>
    <xf numFmtId="43" fontId="8" fillId="0" borderId="0"/>
    <xf numFmtId="170" fontId="5" fillId="0" borderId="0"/>
    <xf numFmtId="170" fontId="5" fillId="0" borderId="0"/>
    <xf numFmtId="170" fontId="5" fillId="0" borderId="0"/>
    <xf numFmtId="176" fontId="5" fillId="0" borderId="0"/>
    <xf numFmtId="170" fontId="5" fillId="0" borderId="0"/>
    <xf numFmtId="43" fontId="1" fillId="0" borderId="0"/>
    <xf numFmtId="170" fontId="5" fillId="0" borderId="0"/>
    <xf numFmtId="170" fontId="5" fillId="0" borderId="0"/>
    <xf numFmtId="43"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8"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7"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7"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8" fillId="0" borderId="0"/>
    <xf numFmtId="170" fontId="5" fillId="0" borderId="0"/>
    <xf numFmtId="170" fontId="5" fillId="0" borderId="0"/>
    <xf numFmtId="175" fontId="1" fillId="0" borderId="0"/>
    <xf numFmtId="170" fontId="5" fillId="0" borderId="0"/>
    <xf numFmtId="170" fontId="5" fillId="0" borderId="0"/>
    <xf numFmtId="43" fontId="8" fillId="0" borderId="0"/>
    <xf numFmtId="170" fontId="5" fillId="0" borderId="0"/>
    <xf numFmtId="170" fontId="5" fillId="0" borderId="0"/>
    <xf numFmtId="43" fontId="8" fillId="0" borderId="0"/>
    <xf numFmtId="170" fontId="5" fillId="0" borderId="0"/>
    <xf numFmtId="170" fontId="5" fillId="0" borderId="0"/>
    <xf numFmtId="43" fontId="8" fillId="0" borderId="0"/>
    <xf numFmtId="170" fontId="5" fillId="0" borderId="0"/>
    <xf numFmtId="170" fontId="5" fillId="0" borderId="0"/>
    <xf numFmtId="170" fontId="5" fillId="0" borderId="0"/>
    <xf numFmtId="170" fontId="5" fillId="0" borderId="0"/>
    <xf numFmtId="43"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5" fontId="1" fillId="0" borderId="0"/>
    <xf numFmtId="175" fontId="1"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5" fontId="1" fillId="0" borderId="0"/>
    <xf numFmtId="175" fontId="1"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5" fontId="1" fillId="0" borderId="0"/>
    <xf numFmtId="170" fontId="5" fillId="0" borderId="0"/>
    <xf numFmtId="175" fontId="1" fillId="0" borderId="0"/>
    <xf numFmtId="170" fontId="5" fillId="0" borderId="0"/>
    <xf numFmtId="175" fontId="1" fillId="0" borderId="0"/>
    <xf numFmtId="175" fontId="1" fillId="0" borderId="0"/>
    <xf numFmtId="170" fontId="5" fillId="0" borderId="0"/>
    <xf numFmtId="175" fontId="1" fillId="0" borderId="0"/>
    <xf numFmtId="175" fontId="1" fillId="0" borderId="0"/>
    <xf numFmtId="175" fontId="1"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8" fontId="5" fillId="0" borderId="0"/>
    <xf numFmtId="165" fontId="1" fillId="0" borderId="0"/>
    <xf numFmtId="165" fontId="1" fillId="0" borderId="0"/>
    <xf numFmtId="178" fontId="5" fillId="0" borderId="0"/>
    <xf numFmtId="165" fontId="1" fillId="0" borderId="0"/>
    <xf numFmtId="178" fontId="5" fillId="0" borderId="0"/>
    <xf numFmtId="165" fontId="1" fillId="0" borderId="0"/>
    <xf numFmtId="178" fontId="5" fillId="0" borderId="0"/>
    <xf numFmtId="165" fontId="1" fillId="0" borderId="0"/>
    <xf numFmtId="178" fontId="5" fillId="0" borderId="0"/>
    <xf numFmtId="178" fontId="5" fillId="0" borderId="0"/>
    <xf numFmtId="178" fontId="5" fillId="0" borderId="0"/>
    <xf numFmtId="178" fontId="5" fillId="0" borderId="0"/>
    <xf numFmtId="178" fontId="5" fillId="0" borderId="0"/>
    <xf numFmtId="165" fontId="5" fillId="0" borderId="0"/>
    <xf numFmtId="165"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1" fontId="1" fillId="0" borderId="0"/>
    <xf numFmtId="178" fontId="5" fillId="0" borderId="0"/>
    <xf numFmtId="178" fontId="5" fillId="0" borderId="0"/>
    <xf numFmtId="178" fontId="5" fillId="0" borderId="0"/>
    <xf numFmtId="178" fontId="5" fillId="0" borderId="0"/>
    <xf numFmtId="178" fontId="5" fillId="0" borderId="0"/>
    <xf numFmtId="171" fontId="1" fillId="0" borderId="0"/>
    <xf numFmtId="171" fontId="1" fillId="0" borderId="0"/>
    <xf numFmtId="165" fontId="1" fillId="0" borderId="0"/>
    <xf numFmtId="0" fontId="40" fillId="71" borderId="0"/>
    <xf numFmtId="0" fontId="40" fillId="71" borderId="0"/>
    <xf numFmtId="0" fontId="40" fillId="71"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168" fontId="5" fillId="0" borderId="0"/>
    <xf numFmtId="0" fontId="1"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173"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173" fontId="5" fillId="0" borderId="0"/>
    <xf numFmtId="0"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8"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8"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168"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168"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168"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5"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68" fontId="5" fillId="0" borderId="0"/>
    <xf numFmtId="168" fontId="5" fillId="0" borderId="0"/>
    <xf numFmtId="168" fontId="5"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0" fontId="1"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0" fontId="5" fillId="0" borderId="0">
      <alignment vertical="top"/>
    </xf>
    <xf numFmtId="168" fontId="5" fillId="0" borderId="0"/>
    <xf numFmtId="173" fontId="1" fillId="0" borderId="0"/>
    <xf numFmtId="168" fontId="5" fillId="0" borderId="0"/>
    <xf numFmtId="173" fontId="1" fillId="0" borderId="0"/>
    <xf numFmtId="168"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1" fillId="0" borderId="0"/>
    <xf numFmtId="0" fontId="5" fillId="0" borderId="0"/>
    <xf numFmtId="173" fontId="5" fillId="0" borderId="0"/>
    <xf numFmtId="0"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5"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5"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0" fontId="1" fillId="0" borderId="0"/>
    <xf numFmtId="173" fontId="1"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alignment vertical="top"/>
    </xf>
    <xf numFmtId="0" fontId="5" fillId="0" borderId="0">
      <alignment vertical="top"/>
    </xf>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8"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5"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0" fontId="5" fillId="0" borderId="0"/>
    <xf numFmtId="173" fontId="5" fillId="0" borderId="0"/>
    <xf numFmtId="0" fontId="5" fillId="0" borderId="0"/>
    <xf numFmtId="0" fontId="5" fillId="0" borderId="0"/>
    <xf numFmtId="0" fontId="26" fillId="0" borderId="0"/>
    <xf numFmtId="173" fontId="8" fillId="0" borderId="0"/>
    <xf numFmtId="0" fontId="5" fillId="0" borderId="0"/>
    <xf numFmtId="0" fontId="5" fillId="0" borderId="0"/>
    <xf numFmtId="0" fontId="26" fillId="0" borderId="0"/>
    <xf numFmtId="173" fontId="8" fillId="0" borderId="0"/>
    <xf numFmtId="0" fontId="5" fillId="0" borderId="0"/>
    <xf numFmtId="0" fontId="5" fillId="0" borderId="0"/>
    <xf numFmtId="0" fontId="42" fillId="0" borderId="0"/>
    <xf numFmtId="0" fontId="26" fillId="0" borderId="0"/>
    <xf numFmtId="0" fontId="42" fillId="0" borderId="0"/>
    <xf numFmtId="0" fontId="42" fillId="0" borderId="0"/>
    <xf numFmtId="0" fontId="26" fillId="0" borderId="0"/>
    <xf numFmtId="173" fontId="8" fillId="0" borderId="0"/>
    <xf numFmtId="0" fontId="42" fillId="0" borderId="0"/>
    <xf numFmtId="0" fontId="26" fillId="0" borderId="0"/>
    <xf numFmtId="0" fontId="42" fillId="0" borderId="0"/>
    <xf numFmtId="0" fontId="5" fillId="0" borderId="0"/>
    <xf numFmtId="0" fontId="5" fillId="0" borderId="0"/>
    <xf numFmtId="0" fontId="26" fillId="0" borderId="0"/>
    <xf numFmtId="173" fontId="5" fillId="0" borderId="0"/>
    <xf numFmtId="0" fontId="5" fillId="0" borderId="0"/>
    <xf numFmtId="0" fontId="5" fillId="0" borderId="0"/>
    <xf numFmtId="0" fontId="26" fillId="0" borderId="0"/>
    <xf numFmtId="173" fontId="8" fillId="0" borderId="0"/>
    <xf numFmtId="0" fontId="5" fillId="0" borderId="0"/>
    <xf numFmtId="0" fontId="5" fillId="0" borderId="0"/>
    <xf numFmtId="0" fontId="42" fillId="0" borderId="0"/>
    <xf numFmtId="173"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6" fillId="0" borderId="0"/>
    <xf numFmtId="0" fontId="5" fillId="0" borderId="0"/>
    <xf numFmtId="0" fontId="26" fillId="0" borderId="0"/>
    <xf numFmtId="0" fontId="5" fillId="0" borderId="0"/>
    <xf numFmtId="0" fontId="26" fillId="0" borderId="0"/>
    <xf numFmtId="0" fontId="26" fillId="0" borderId="0"/>
    <xf numFmtId="0" fontId="5" fillId="0" borderId="0"/>
    <xf numFmtId="0" fontId="26" fillId="0" borderId="0"/>
    <xf numFmtId="0" fontId="5" fillId="0" borderId="0"/>
    <xf numFmtId="168" fontId="8" fillId="0" borderId="0"/>
    <xf numFmtId="0" fontId="5" fillId="0" borderId="0"/>
    <xf numFmtId="0" fontId="2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8" fillId="0" borderId="0"/>
    <xf numFmtId="0" fontId="8" fillId="0" borderId="0"/>
    <xf numFmtId="0" fontId="5" fillId="0" borderId="0"/>
    <xf numFmtId="168" fontId="8" fillId="0" borderId="0"/>
    <xf numFmtId="0" fontId="5" fillId="0" borderId="0"/>
    <xf numFmtId="0" fontId="26" fillId="0" borderId="0"/>
    <xf numFmtId="173" fontId="8" fillId="0" borderId="0"/>
    <xf numFmtId="0" fontId="26" fillId="0" borderId="0"/>
    <xf numFmtId="168" fontId="8" fillId="0" borderId="0"/>
    <xf numFmtId="0" fontId="26" fillId="0" borderId="0"/>
    <xf numFmtId="0" fontId="26" fillId="0" borderId="0"/>
    <xf numFmtId="0" fontId="26" fillId="0" borderId="0"/>
    <xf numFmtId="0" fontId="26" fillId="0" borderId="0"/>
    <xf numFmtId="0" fontId="5" fillId="0" borderId="0"/>
    <xf numFmtId="0" fontId="5" fillId="0" borderId="0"/>
    <xf numFmtId="173"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168" fontId="5" fillId="0" borderId="0"/>
    <xf numFmtId="173"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5"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8" fillId="0" borderId="0"/>
    <xf numFmtId="0" fontId="5" fillId="0" borderId="0"/>
    <xf numFmtId="173" fontId="5" fillId="0" borderId="0"/>
    <xf numFmtId="0" fontId="26"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1" fillId="0" borderId="0"/>
    <xf numFmtId="168" fontId="1" fillId="0" borderId="0"/>
    <xf numFmtId="173" fontId="5" fillId="0" borderId="0"/>
    <xf numFmtId="0" fontId="42" fillId="0" borderId="0"/>
    <xf numFmtId="173" fontId="5" fillId="0" borderId="0"/>
    <xf numFmtId="173" fontId="5" fillId="0" borderId="0"/>
    <xf numFmtId="173" fontId="5" fillId="0" borderId="0"/>
    <xf numFmtId="173" fontId="5" fillId="0" borderId="0"/>
    <xf numFmtId="0" fontId="5" fillId="0" borderId="0"/>
    <xf numFmtId="173" fontId="8" fillId="0" borderId="0"/>
    <xf numFmtId="173" fontId="5" fillId="0" borderId="0"/>
    <xf numFmtId="0" fontId="5" fillId="0" borderId="0"/>
    <xf numFmtId="173" fontId="5" fillId="0" borderId="0"/>
    <xf numFmtId="0" fontId="26" fillId="0" borderId="0"/>
    <xf numFmtId="173" fontId="5" fillId="0" borderId="0"/>
    <xf numFmtId="0" fontId="42" fillId="0" borderId="0"/>
    <xf numFmtId="173" fontId="5" fillId="0" borderId="0"/>
    <xf numFmtId="0" fontId="42" fillId="0" borderId="0"/>
    <xf numFmtId="173" fontId="5" fillId="0" borderId="0"/>
    <xf numFmtId="173"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5" fillId="0" borderId="0"/>
    <xf numFmtId="0" fontId="5" fillId="0" borderId="0"/>
    <xf numFmtId="0" fontId="5" fillId="0" borderId="0"/>
    <xf numFmtId="0" fontId="5" fillId="0" borderId="0"/>
    <xf numFmtId="0" fontId="5" fillId="0" borderId="0"/>
    <xf numFmtId="173" fontId="5" fillId="0" borderId="0"/>
    <xf numFmtId="0"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0" fontId="5"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5" fillId="0" borderId="0"/>
    <xf numFmtId="0" fontId="5" fillId="0" borderId="0"/>
    <xf numFmtId="173" fontId="8"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173" fontId="5" fillId="0" borderId="0"/>
    <xf numFmtId="0" fontId="5" fillId="0" borderId="0"/>
    <xf numFmtId="0" fontId="5" fillId="0" borderId="0"/>
    <xf numFmtId="168" fontId="5" fillId="0" borderId="0"/>
    <xf numFmtId="0" fontId="5" fillId="0" borderId="0"/>
    <xf numFmtId="168" fontId="5" fillId="0" borderId="0"/>
    <xf numFmtId="0" fontId="5" fillId="0" borderId="0"/>
    <xf numFmtId="0" fontId="5" fillId="0" borderId="0"/>
    <xf numFmtId="0" fontId="5" fillId="0" borderId="0"/>
    <xf numFmtId="173"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0" fontId="41" fillId="0" borderId="0"/>
    <xf numFmtId="0" fontId="5" fillId="0" borderId="0"/>
    <xf numFmtId="0" fontId="5" fillId="0" borderId="0"/>
    <xf numFmtId="173" fontId="5" fillId="0" borderId="0"/>
    <xf numFmtId="0" fontId="5" fillId="0" borderId="0"/>
    <xf numFmtId="0" fontId="41" fillId="0" borderId="0"/>
    <xf numFmtId="173" fontId="5" fillId="0" borderId="0"/>
    <xf numFmtId="0" fontId="5" fillId="0" borderId="0"/>
    <xf numFmtId="0" fontId="5" fillId="0" borderId="0"/>
    <xf numFmtId="0" fontId="5" fillId="0" borderId="0"/>
    <xf numFmtId="0" fontId="5" fillId="0" borderId="0"/>
    <xf numFmtId="173" fontId="5" fillId="0" borderId="0"/>
    <xf numFmtId="0"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168" fontId="5"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5" fillId="0" borderId="0"/>
    <xf numFmtId="0" fontId="5" fillId="0" borderId="0"/>
    <xf numFmtId="0" fontId="43"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43" fillId="0" borderId="0"/>
    <xf numFmtId="0" fontId="5" fillId="0" borderId="0"/>
    <xf numFmtId="0" fontId="5" fillId="0" borderId="0"/>
    <xf numFmtId="0" fontId="43" fillId="0" borderId="0"/>
    <xf numFmtId="0" fontId="5" fillId="0" borderId="0"/>
    <xf numFmtId="0" fontId="5" fillId="0" borderId="0"/>
    <xf numFmtId="0" fontId="43" fillId="0" borderId="0"/>
    <xf numFmtId="0" fontId="5" fillId="0" borderId="0"/>
    <xf numFmtId="0" fontId="5"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5" fillId="0" borderId="0"/>
    <xf numFmtId="0" fontId="5" fillId="0" borderId="0"/>
    <xf numFmtId="0" fontId="5" fillId="0" borderId="0"/>
    <xf numFmtId="0" fontId="5" fillId="0" borderId="0"/>
    <xf numFmtId="173" fontId="8" fillId="0" borderId="0"/>
    <xf numFmtId="0" fontId="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 fillId="0" borderId="0"/>
    <xf numFmtId="0" fontId="5" fillId="0" borderId="0"/>
    <xf numFmtId="0" fontId="5" fillId="0" borderId="0"/>
    <xf numFmtId="0" fontId="5" fillId="0" borderId="0"/>
    <xf numFmtId="173" fontId="8" fillId="0" borderId="0"/>
    <xf numFmtId="0" fontId="5" fillId="0" borderId="0"/>
    <xf numFmtId="0" fontId="43" fillId="0" borderId="0"/>
    <xf numFmtId="0" fontId="43"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1" fillId="0" borderId="0"/>
    <xf numFmtId="0" fontId="5" fillId="0" borderId="0">
      <alignment vertical="top"/>
    </xf>
    <xf numFmtId="173" fontId="8" fillId="0" borderId="0"/>
    <xf numFmtId="0" fontId="5" fillId="0" borderId="0">
      <alignment vertical="top"/>
    </xf>
    <xf numFmtId="0" fontId="5"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alignment vertical="top"/>
    </xf>
    <xf numFmtId="168" fontId="5" fillId="0" borderId="0"/>
    <xf numFmtId="0" fontId="5" fillId="0" borderId="0">
      <alignment vertical="top"/>
    </xf>
    <xf numFmtId="173" fontId="8" fillId="0" borderId="0"/>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 fillId="0" borderId="0">
      <alignment vertical="top"/>
    </xf>
    <xf numFmtId="0" fontId="1" fillId="0" borderId="0"/>
    <xf numFmtId="0" fontId="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173" fontId="8"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173" fontId="5" fillId="0" borderId="0"/>
    <xf numFmtId="0" fontId="41" fillId="0" borderId="0"/>
    <xf numFmtId="0" fontId="1" fillId="0" borderId="0"/>
    <xf numFmtId="0" fontId="44" fillId="0" borderId="0"/>
    <xf numFmtId="0" fontId="41" fillId="0" borderId="0"/>
    <xf numFmtId="0" fontId="44" fillId="0" borderId="0"/>
    <xf numFmtId="168" fontId="1" fillId="0" borderId="0"/>
    <xf numFmtId="0" fontId="44" fillId="0" borderId="0"/>
    <xf numFmtId="0" fontId="41" fillId="0" borderId="0"/>
    <xf numFmtId="0" fontId="1" fillId="0" borderId="0"/>
    <xf numFmtId="0" fontId="1" fillId="0" borderId="0"/>
    <xf numFmtId="0" fontId="44" fillId="0" borderId="0"/>
    <xf numFmtId="0" fontId="41" fillId="0" borderId="0"/>
    <xf numFmtId="0" fontId="44" fillId="0" borderId="0"/>
    <xf numFmtId="0" fontId="44" fillId="0" borderId="0"/>
    <xf numFmtId="0" fontId="41" fillId="0" borderId="0"/>
    <xf numFmtId="0" fontId="44" fillId="0" borderId="0"/>
    <xf numFmtId="0" fontId="44" fillId="0" borderId="0"/>
    <xf numFmtId="0" fontId="41" fillId="0" borderId="0"/>
    <xf numFmtId="0" fontId="45" fillId="0" borderId="0"/>
    <xf numFmtId="0" fontId="41" fillId="0" borderId="0"/>
    <xf numFmtId="0" fontId="45" fillId="0" borderId="0"/>
    <xf numFmtId="0" fontId="41" fillId="0" borderId="0"/>
    <xf numFmtId="0" fontId="44" fillId="0" borderId="0"/>
    <xf numFmtId="0" fontId="4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168" fontId="5" fillId="0" borderId="0"/>
    <xf numFmtId="173"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0"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46" fillId="0" borderId="0"/>
    <xf numFmtId="0" fontId="1" fillId="0" borderId="0"/>
    <xf numFmtId="0" fontId="5" fillId="0" borderId="0"/>
    <xf numFmtId="0" fontId="5" fillId="0" borderId="0"/>
    <xf numFmtId="0" fontId="5" fillId="0" borderId="0"/>
    <xf numFmtId="0" fontId="5" fillId="0" borderId="0"/>
    <xf numFmtId="167" fontId="5" fillId="0" borderId="0"/>
    <xf numFmtId="173"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5" fillId="0" borderId="0"/>
    <xf numFmtId="0" fontId="5" fillId="0" borderId="0"/>
    <xf numFmtId="0" fontId="1" fillId="0" borderId="0"/>
    <xf numFmtId="0" fontId="5" fillId="0" borderId="0"/>
    <xf numFmtId="0" fontId="1" fillId="0" borderId="0"/>
    <xf numFmtId="168" fontId="5" fillId="0" borderId="0"/>
    <xf numFmtId="168" fontId="5" fillId="0" borderId="0"/>
    <xf numFmtId="168" fontId="5" fillId="0" borderId="0"/>
    <xf numFmtId="0" fontId="1" fillId="0" borderId="0"/>
    <xf numFmtId="0" fontId="1" fillId="0" borderId="0"/>
    <xf numFmtId="168" fontId="5"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3" fillId="72" borderId="18"/>
    <xf numFmtId="0" fontId="5" fillId="72" borderId="18"/>
    <xf numFmtId="0" fontId="3" fillId="8" borderId="13"/>
    <xf numFmtId="0" fontId="5" fillId="72" borderId="18"/>
    <xf numFmtId="0" fontId="3" fillId="8" borderId="13"/>
    <xf numFmtId="0" fontId="5" fillId="72" borderId="18"/>
    <xf numFmtId="0" fontId="5" fillId="72" borderId="18"/>
    <xf numFmtId="0" fontId="5" fillId="72" borderId="18"/>
    <xf numFmtId="0" fontId="1" fillId="0" borderId="0"/>
    <xf numFmtId="0" fontId="1" fillId="0" borderId="0"/>
    <xf numFmtId="0" fontId="5" fillId="72" borderId="18"/>
    <xf numFmtId="0" fontId="3" fillId="8" borderId="13"/>
    <xf numFmtId="0" fontId="3" fillId="8" borderId="13"/>
    <xf numFmtId="0" fontId="1" fillId="0" borderId="0"/>
    <xf numFmtId="0" fontId="1" fillId="0" borderId="0"/>
    <xf numFmtId="0" fontId="3" fillId="8" borderId="13"/>
    <xf numFmtId="0" fontId="5" fillId="72" borderId="18"/>
    <xf numFmtId="0" fontId="5" fillId="72" borderId="18"/>
    <xf numFmtId="0" fontId="1" fillId="0" borderId="0"/>
    <xf numFmtId="0" fontId="1" fillId="0" borderId="0"/>
    <xf numFmtId="0" fontId="5" fillId="72" borderId="18"/>
    <xf numFmtId="0" fontId="5" fillId="72" borderId="18"/>
    <xf numFmtId="0" fontId="5" fillId="72" borderId="18"/>
    <xf numFmtId="0" fontId="5" fillId="72" borderId="18"/>
    <xf numFmtId="0" fontId="1" fillId="0" borderId="0"/>
    <xf numFmtId="0" fontId="1" fillId="0" borderId="0"/>
    <xf numFmtId="0" fontId="5" fillId="72" borderId="18"/>
    <xf numFmtId="0" fontId="5" fillId="72" borderId="18"/>
    <xf numFmtId="0" fontId="5" fillId="72" borderId="18"/>
    <xf numFmtId="0" fontId="5" fillId="72" borderId="18"/>
    <xf numFmtId="0" fontId="1" fillId="0" borderId="0"/>
    <xf numFmtId="0" fontId="1" fillId="0" borderId="0"/>
    <xf numFmtId="0" fontId="5" fillId="72" borderId="18"/>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1" fillId="8" borderId="13"/>
    <xf numFmtId="0" fontId="1" fillId="8" borderId="13"/>
    <xf numFmtId="0" fontId="1" fillId="8" borderId="13"/>
    <xf numFmtId="0" fontId="1" fillId="0" borderId="0"/>
    <xf numFmtId="0" fontId="1" fillId="0" borderId="0"/>
    <xf numFmtId="0" fontId="1" fillId="8" borderId="13"/>
    <xf numFmtId="0" fontId="5" fillId="72" borderId="18"/>
    <xf numFmtId="0" fontId="5" fillId="72" borderId="18"/>
    <xf numFmtId="0" fontId="1" fillId="0" borderId="0"/>
    <xf numFmtId="0" fontId="1" fillId="0" borderId="0"/>
    <xf numFmtId="0" fontId="5" fillId="72" borderId="18"/>
    <xf numFmtId="0" fontId="5" fillId="72" borderId="18"/>
    <xf numFmtId="0" fontId="1" fillId="8" borderId="13"/>
    <xf numFmtId="0" fontId="1" fillId="8" borderId="13"/>
    <xf numFmtId="0" fontId="1" fillId="8" borderId="13"/>
    <xf numFmtId="0" fontId="1" fillId="0" borderId="0"/>
    <xf numFmtId="0" fontId="1" fillId="0" borderId="0"/>
    <xf numFmtId="0" fontId="1" fillId="8" borderId="13"/>
    <xf numFmtId="0" fontId="3" fillId="72" borderId="18"/>
    <xf numFmtId="0" fontId="5" fillId="72" borderId="18"/>
    <xf numFmtId="0" fontId="5" fillId="72" borderId="18"/>
    <xf numFmtId="0" fontId="1" fillId="0" borderId="0"/>
    <xf numFmtId="0" fontId="1" fillId="0" borderId="0"/>
    <xf numFmtId="0" fontId="5" fillId="72" borderId="18"/>
    <xf numFmtId="0" fontId="5" fillId="72" borderId="18"/>
    <xf numFmtId="0" fontId="5" fillId="72" borderId="18"/>
    <xf numFmtId="0" fontId="5" fillId="72" borderId="18"/>
    <xf numFmtId="0" fontId="1" fillId="0" borderId="0"/>
    <xf numFmtId="0" fontId="1" fillId="0" borderId="0"/>
    <xf numFmtId="0" fontId="5" fillId="72" borderId="18"/>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 fillId="0" borderId="0"/>
    <xf numFmtId="0" fontId="1" fillId="0" borderId="0"/>
    <xf numFmtId="0" fontId="16" fillId="6" borderId="10"/>
    <xf numFmtId="9" fontId="5"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0" fontId="1" fillId="0" borderId="0"/>
    <xf numFmtId="0" fontId="16" fillId="6" borderId="10"/>
    <xf numFmtId="0" fontId="47" fillId="65" borderId="19"/>
    <xf numFmtId="0" fontId="47" fillId="65" borderId="19"/>
    <xf numFmtId="0" fontId="47" fillId="65" borderId="19"/>
    <xf numFmtId="0" fontId="1" fillId="0" borderId="0"/>
    <xf numFmtId="0" fontId="16" fillId="6" borderId="10"/>
    <xf numFmtId="0" fontId="1" fillId="0" borderId="0"/>
    <xf numFmtId="0" fontId="47" fillId="65" borderId="19"/>
    <xf numFmtId="0" fontId="47" fillId="65" borderId="19"/>
    <xf numFmtId="0" fontId="47" fillId="65" borderId="19"/>
    <xf numFmtId="0" fontId="47" fillId="65" borderId="19"/>
    <xf numFmtId="0" fontId="1" fillId="0" borderId="0"/>
    <xf numFmtId="0" fontId="1" fillId="0" borderId="0"/>
    <xf numFmtId="0" fontId="47" fillId="65" borderId="19"/>
    <xf numFmtId="0" fontId="47" fillId="65" borderId="19"/>
    <xf numFmtId="0" fontId="47" fillId="65" borderId="19"/>
    <xf numFmtId="0" fontId="47" fillId="65" borderId="19"/>
    <xf numFmtId="0" fontId="1" fillId="0" borderId="0"/>
    <xf numFmtId="0" fontId="1" fillId="0" borderId="0"/>
    <xf numFmtId="0" fontId="47" fillId="65" borderId="19"/>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 fillId="0" borderId="0"/>
    <xf numFmtId="0" fontId="48" fillId="0" borderId="0"/>
    <xf numFmtId="0" fontId="48" fillId="0" borderId="0"/>
    <xf numFmtId="0" fontId="48" fillId="0" borderId="0"/>
    <xf numFmtId="0" fontId="1" fillId="0" borderId="0"/>
    <xf numFmtId="0" fontId="1" fillId="0" borderId="0"/>
    <xf numFmtId="0" fontId="48" fillId="0" borderId="0"/>
    <xf numFmtId="0" fontId="20" fillId="0" borderId="0"/>
    <xf numFmtId="0" fontId="20" fillId="0" borderId="0"/>
    <xf numFmtId="0" fontId="1" fillId="0" borderId="0"/>
    <xf numFmtId="0" fontId="1" fillId="0" borderId="0"/>
    <xf numFmtId="0" fontId="20" fillId="0" borderId="0"/>
    <xf numFmtId="0" fontId="49" fillId="0" borderId="0"/>
    <xf numFmtId="0" fontId="20" fillId="0" borderId="0"/>
    <xf numFmtId="0" fontId="49" fillId="0" borderId="0"/>
    <xf numFmtId="0" fontId="20"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1" fillId="0" borderId="0"/>
    <xf numFmtId="0" fontId="1" fillId="0" borderId="0"/>
    <xf numFmtId="0" fontId="20"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1" fillId="0" borderId="0"/>
    <xf numFmtId="0" fontId="21" fillId="0" borderId="0"/>
    <xf numFmtId="0" fontId="50" fillId="0" borderId="0"/>
    <xf numFmtId="0" fontId="50" fillId="0" borderId="0"/>
    <xf numFmtId="0" fontId="50" fillId="0" borderId="0"/>
    <xf numFmtId="0" fontId="1" fillId="0" borderId="0"/>
    <xf numFmtId="0" fontId="21" fillId="0" borderId="0"/>
    <xf numFmtId="0" fontId="1" fillId="0" borderId="0"/>
    <xf numFmtId="0" fontId="50" fillId="0" borderId="0"/>
    <xf numFmtId="0" fontId="50" fillId="0" borderId="0"/>
    <xf numFmtId="0" fontId="50" fillId="0" borderId="0"/>
    <xf numFmtId="0" fontId="50" fillId="0" borderId="0"/>
    <xf numFmtId="0" fontId="1" fillId="0" borderId="0"/>
    <xf numFmtId="0" fontId="1" fillId="0" borderId="0"/>
    <xf numFmtId="0" fontId="50" fillId="0" borderId="0"/>
    <xf numFmtId="0" fontId="50" fillId="0" borderId="0"/>
    <xf numFmtId="0" fontId="50" fillId="0" borderId="0"/>
    <xf numFmtId="0" fontId="50" fillId="0" borderId="0"/>
    <xf numFmtId="0" fontId="1" fillId="0" borderId="0"/>
    <xf numFmtId="0" fontId="1" fillId="0" borderId="0"/>
    <xf numFmtId="0" fontId="50"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1" fillId="0" borderId="0"/>
    <xf numFmtId="0" fontId="1" fillId="0" borderId="0"/>
    <xf numFmtId="0" fontId="25" fillId="0" borderId="0"/>
    <xf numFmtId="0" fontId="1" fillId="0" borderId="0"/>
    <xf numFmtId="0" fontId="10" fillId="0" borderId="6"/>
    <xf numFmtId="0" fontId="51" fillId="0" borderId="20"/>
    <xf numFmtId="0" fontId="51" fillId="0" borderId="20"/>
    <xf numFmtId="0" fontId="51" fillId="0" borderId="20"/>
    <xf numFmtId="0" fontId="1" fillId="0" borderId="0"/>
    <xf numFmtId="0" fontId="1" fillId="0" borderId="0"/>
    <xf numFmtId="0" fontId="51" fillId="0" borderId="20"/>
    <xf numFmtId="0" fontId="51" fillId="0" borderId="20"/>
    <xf numFmtId="0" fontId="51" fillId="0" borderId="20"/>
    <xf numFmtId="0" fontId="51" fillId="0" borderId="20"/>
    <xf numFmtId="0" fontId="1" fillId="0" borderId="0"/>
    <xf numFmtId="0" fontId="1" fillId="0" borderId="0"/>
    <xf numFmtId="0" fontId="51" fillId="0" borderId="20"/>
    <xf numFmtId="0" fontId="51" fillId="0" borderId="20"/>
    <xf numFmtId="0" fontId="51" fillId="0" borderId="20"/>
    <xf numFmtId="0" fontId="51" fillId="0" borderId="20"/>
    <xf numFmtId="0" fontId="1" fillId="0" borderId="0"/>
    <xf numFmtId="0" fontId="1" fillId="0" borderId="0"/>
    <xf numFmtId="0" fontId="51" fillId="0" borderId="20"/>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1" fillId="0" borderId="0"/>
    <xf numFmtId="0" fontId="1" fillId="0" borderId="0"/>
    <xf numFmtId="0" fontId="25" fillId="0" borderId="0"/>
    <xf numFmtId="0" fontId="1" fillId="0" borderId="0"/>
    <xf numFmtId="0" fontId="11" fillId="0" borderId="7"/>
    <xf numFmtId="0" fontId="52" fillId="0" borderId="21"/>
    <xf numFmtId="0" fontId="52" fillId="0" borderId="21"/>
    <xf numFmtId="0" fontId="52" fillId="0" borderId="21"/>
    <xf numFmtId="0" fontId="1" fillId="0" borderId="0"/>
    <xf numFmtId="0" fontId="11" fillId="0" borderId="7"/>
    <xf numFmtId="0" fontId="1" fillId="0" borderId="0"/>
    <xf numFmtId="0" fontId="52" fillId="0" borderId="21"/>
    <xf numFmtId="0" fontId="52" fillId="0" borderId="21"/>
    <xf numFmtId="0" fontId="52" fillId="0" borderId="21"/>
    <xf numFmtId="0" fontId="52" fillId="0" borderId="21"/>
    <xf numFmtId="0" fontId="1" fillId="0" borderId="0"/>
    <xf numFmtId="0" fontId="1" fillId="0" borderId="0"/>
    <xf numFmtId="0" fontId="52" fillId="0" borderId="21"/>
    <xf numFmtId="0" fontId="52" fillId="0" borderId="21"/>
    <xf numFmtId="0" fontId="52" fillId="0" borderId="21"/>
    <xf numFmtId="0" fontId="52" fillId="0" borderId="21"/>
    <xf numFmtId="0" fontId="1" fillId="0" borderId="0"/>
    <xf numFmtId="0" fontId="1" fillId="0" borderId="0"/>
    <xf numFmtId="0" fontId="52" fillId="0" borderId="21"/>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 fillId="0" borderId="0"/>
    <xf numFmtId="0" fontId="1" fillId="0" borderId="0"/>
    <xf numFmtId="0" fontId="12" fillId="0" borderId="8"/>
    <xf numFmtId="0" fontId="33" fillId="0" borderId="22"/>
    <xf numFmtId="0" fontId="33" fillId="0" borderId="22"/>
    <xf numFmtId="0" fontId="33" fillId="0" borderId="22"/>
    <xf numFmtId="0" fontId="1" fillId="0" borderId="0"/>
    <xf numFmtId="0" fontId="12" fillId="0" borderId="8"/>
    <xf numFmtId="0" fontId="1" fillId="0" borderId="0"/>
    <xf numFmtId="0" fontId="33" fillId="0" borderId="22"/>
    <xf numFmtId="0" fontId="33" fillId="0" borderId="22"/>
    <xf numFmtId="0" fontId="33" fillId="0" borderId="22"/>
    <xf numFmtId="0" fontId="33" fillId="0" borderId="22"/>
    <xf numFmtId="0" fontId="1" fillId="0" borderId="0"/>
    <xf numFmtId="0" fontId="1" fillId="0" borderId="0"/>
    <xf numFmtId="0" fontId="33" fillId="0" borderId="22"/>
    <xf numFmtId="0" fontId="33" fillId="0" borderId="22"/>
    <xf numFmtId="0" fontId="33" fillId="0" borderId="22"/>
    <xf numFmtId="0" fontId="33" fillId="0" borderId="22"/>
    <xf numFmtId="0" fontId="1" fillId="0" borderId="0"/>
    <xf numFmtId="0" fontId="1" fillId="0" borderId="0"/>
    <xf numFmtId="0" fontId="33" fillId="0" borderId="22"/>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 fillId="0" borderId="0"/>
    <xf numFmtId="0" fontId="53" fillId="0" borderId="0"/>
    <xf numFmtId="0" fontId="53" fillId="0" borderId="0"/>
    <xf numFmtId="0" fontId="53" fillId="0" borderId="0"/>
    <xf numFmtId="0" fontId="1" fillId="0" borderId="0"/>
    <xf numFmtId="0" fontId="25" fillId="0" borderId="0"/>
    <xf numFmtId="0" fontId="1" fillId="0" borderId="0"/>
    <xf numFmtId="0" fontId="53" fillId="0" borderId="0"/>
    <xf numFmtId="0" fontId="53" fillId="0" borderId="0"/>
    <xf numFmtId="0" fontId="53" fillId="0" borderId="0"/>
    <xf numFmtId="0" fontId="53" fillId="0" borderId="0"/>
    <xf numFmtId="0" fontId="1" fillId="0" borderId="0"/>
    <xf numFmtId="0" fontId="25" fillId="0" borderId="0"/>
    <xf numFmtId="0" fontId="1" fillId="0" borderId="0"/>
    <xf numFmtId="0" fontId="53" fillId="0" borderId="0"/>
    <xf numFmtId="0" fontId="53" fillId="0" borderId="0"/>
    <xf numFmtId="0" fontId="53" fillId="0" borderId="0"/>
    <xf numFmtId="0" fontId="53" fillId="0" borderId="0"/>
    <xf numFmtId="0" fontId="1" fillId="0" borderId="0"/>
    <xf numFmtId="0" fontId="1" fillId="0" borderId="0"/>
    <xf numFmtId="0" fontId="53"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54" fillId="0" borderId="23"/>
    <xf numFmtId="0" fontId="54" fillId="0" borderId="23"/>
    <xf numFmtId="0" fontId="54" fillId="0" borderId="23"/>
    <xf numFmtId="0" fontId="1" fillId="0" borderId="0"/>
    <xf numFmtId="0" fontId="1" fillId="0" borderId="0"/>
    <xf numFmtId="0" fontId="54" fillId="0" borderId="23"/>
    <xf numFmtId="0" fontId="54" fillId="0" borderId="23"/>
    <xf numFmtId="0" fontId="54" fillId="0" borderId="23"/>
    <xf numFmtId="0" fontId="54" fillId="0" borderId="23"/>
    <xf numFmtId="0" fontId="1" fillId="0" borderId="0"/>
    <xf numFmtId="0" fontId="1" fillId="0" borderId="0"/>
    <xf numFmtId="0" fontId="54" fillId="0" borderId="23"/>
    <xf numFmtId="0" fontId="54" fillId="0" borderId="23"/>
    <xf numFmtId="0" fontId="54" fillId="0" borderId="23"/>
    <xf numFmtId="0" fontId="54" fillId="0" borderId="23"/>
    <xf numFmtId="0" fontId="1" fillId="0" borderId="0"/>
    <xf numFmtId="0" fontId="1" fillId="0" borderId="0"/>
    <xf numFmtId="0" fontId="54" fillId="0" borderId="23"/>
    <xf numFmtId="0" fontId="22" fillId="0" borderId="14"/>
    <xf numFmtId="0" fontId="22" fillId="0" borderId="14"/>
    <xf numFmtId="0" fontId="1" fillId="0" borderId="0"/>
    <xf numFmtId="0" fontId="1" fillId="0" borderId="0"/>
    <xf numFmtId="0" fontId="22" fillId="0" borderId="14"/>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1" fillId="0" borderId="0"/>
    <xf numFmtId="0" fontId="1" fillId="0" borderId="0"/>
    <xf numFmtId="0" fontId="20" fillId="0" borderId="0"/>
    <xf numFmtId="0" fontId="55" fillId="2" borderId="0"/>
    <xf numFmtId="0" fontId="56" fillId="3" borderId="0"/>
    <xf numFmtId="0" fontId="28" fillId="73" borderId="0"/>
    <xf numFmtId="0" fontId="28" fillId="74" borderId="0"/>
    <xf numFmtId="0" fontId="28" fillId="75" borderId="0"/>
    <xf numFmtId="0" fontId="28" fillId="76" borderId="0"/>
    <xf numFmtId="0" fontId="28" fillId="77" borderId="0"/>
    <xf numFmtId="0" fontId="28" fillId="78" borderId="0"/>
    <xf numFmtId="0" fontId="57" fillId="0" borderId="0"/>
    <xf numFmtId="0" fontId="58" fillId="0" borderId="24"/>
    <xf numFmtId="0" fontId="59" fillId="0" borderId="25"/>
    <xf numFmtId="0" fontId="60" fillId="0" borderId="26"/>
    <xf numFmtId="0" fontId="60" fillId="0" borderId="0"/>
    <xf numFmtId="0" fontId="61" fillId="7" borderId="12"/>
    <xf numFmtId="0" fontId="62" fillId="0" borderId="27"/>
    <xf numFmtId="0" fontId="26" fillId="8" borderId="13"/>
    <xf numFmtId="0" fontId="63" fillId="0" borderId="0"/>
    <xf numFmtId="0" fontId="64" fillId="0" borderId="0"/>
    <xf numFmtId="0" fontId="65" fillId="6" borderId="9"/>
    <xf numFmtId="0" fontId="66" fillId="5" borderId="9"/>
    <xf numFmtId="0" fontId="67" fillId="6" borderId="10"/>
    <xf numFmtId="0" fontId="68" fillId="4" borderId="0"/>
    <xf numFmtId="0" fontId="69" fillId="0" borderId="11"/>
    <xf numFmtId="0" fontId="6" fillId="0" borderId="0"/>
    <xf numFmtId="0" fontId="70" fillId="0" borderId="0"/>
    <xf numFmtId="0" fontId="70"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77" fillId="0" borderId="0" applyFont="0" applyFill="0" applyBorder="0" applyAlignment="0" applyProtection="0"/>
  </cellStyleXfs>
  <cellXfs count="69">
    <xf numFmtId="0" fontId="0" fillId="0" borderId="0" xfId="0"/>
    <xf numFmtId="0" fontId="9" fillId="0" borderId="0" xfId="0" applyFont="1"/>
    <xf numFmtId="164" fontId="9" fillId="0" borderId="0" xfId="0" applyNumberFormat="1" applyFont="1"/>
    <xf numFmtId="0" fontId="72" fillId="0" borderId="0" xfId="0" applyFont="1"/>
    <xf numFmtId="0" fontId="75" fillId="0" borderId="1" xfId="0" applyFont="1" applyBorder="1" applyAlignment="1">
      <alignment vertical="center"/>
    </xf>
    <xf numFmtId="0" fontId="75" fillId="0" borderId="4" xfId="0" applyFont="1" applyBorder="1" applyAlignment="1">
      <alignment vertical="center"/>
    </xf>
    <xf numFmtId="0" fontId="75" fillId="0" borderId="0" xfId="0" applyFont="1" applyAlignment="1">
      <alignment vertical="center"/>
    </xf>
    <xf numFmtId="164" fontId="73" fillId="0" borderId="0" xfId="30" applyNumberFormat="1" applyFont="1" applyAlignment="1">
      <alignment horizontal="center" vertical="center"/>
    </xf>
    <xf numFmtId="165" fontId="71" fillId="79" borderId="1" xfId="30" applyFont="1" applyFill="1" applyBorder="1" applyAlignment="1">
      <alignment horizontal="center" vertical="center"/>
    </xf>
    <xf numFmtId="10" fontId="9" fillId="80" borderId="0" xfId="0" applyNumberFormat="1" applyFont="1" applyFill="1" applyAlignment="1">
      <alignment horizontal="center"/>
    </xf>
    <xf numFmtId="164" fontId="73" fillId="81" borderId="1" xfId="30" applyNumberFormat="1" applyFont="1" applyFill="1" applyBorder="1" applyAlignment="1">
      <alignment horizontal="center" vertical="center"/>
    </xf>
    <xf numFmtId="164" fontId="73" fillId="81" borderId="1" xfId="31" applyNumberFormat="1" applyFont="1" applyFill="1" applyBorder="1" applyAlignment="1">
      <alignment horizontal="center"/>
    </xf>
    <xf numFmtId="0" fontId="76" fillId="82" borderId="0" xfId="0" applyFont="1" applyFill="1" applyAlignment="1">
      <alignment horizontal="center" vertical="center" wrapText="1"/>
    </xf>
    <xf numFmtId="166" fontId="0" fillId="0" borderId="0" xfId="0" applyNumberFormat="1"/>
    <xf numFmtId="1" fontId="0" fillId="0" borderId="0" xfId="0" applyNumberFormat="1"/>
    <xf numFmtId="0" fontId="71" fillId="79" borderId="1" xfId="0" applyFont="1" applyFill="1" applyBorder="1" applyAlignment="1">
      <alignment horizontal="center"/>
    </xf>
    <xf numFmtId="0" fontId="73" fillId="0" borderId="1" xfId="70" applyFont="1" applyBorder="1" applyProtection="1">
      <protection locked="0"/>
    </xf>
    <xf numFmtId="0" fontId="73" fillId="0" borderId="1" xfId="70" applyFont="1" applyBorder="1"/>
    <xf numFmtId="0" fontId="78" fillId="0" borderId="1" xfId="0" applyFont="1" applyBorder="1" applyAlignment="1">
      <alignment horizontal="center"/>
    </xf>
    <xf numFmtId="0" fontId="71" fillId="79" borderId="1" xfId="70" applyFont="1" applyFill="1" applyBorder="1" applyAlignment="1">
      <alignment horizontal="center"/>
    </xf>
    <xf numFmtId="0" fontId="71" fillId="79" borderId="29" xfId="70" applyFont="1" applyFill="1" applyBorder="1" applyAlignment="1">
      <alignment horizontal="center"/>
    </xf>
    <xf numFmtId="179" fontId="71" fillId="79" borderId="1" xfId="70" applyNumberFormat="1" applyFont="1" applyFill="1" applyBorder="1" applyAlignment="1">
      <alignment horizontal="center" vertical="center"/>
    </xf>
    <xf numFmtId="0" fontId="71" fillId="79" borderId="1" xfId="0" applyFont="1" applyFill="1" applyBorder="1"/>
    <xf numFmtId="44" fontId="71" fillId="79" borderId="1" xfId="39246" applyFont="1" applyFill="1" applyBorder="1"/>
    <xf numFmtId="0" fontId="79" fillId="0" borderId="1" xfId="0" applyFont="1" applyBorder="1" applyAlignment="1">
      <alignment horizontal="center"/>
    </xf>
    <xf numFmtId="164" fontId="73" fillId="0" borderId="3" xfId="70" applyNumberFormat="1" applyFont="1" applyBorder="1" applyAlignment="1">
      <alignment vertical="center"/>
    </xf>
    <xf numFmtId="164" fontId="73" fillId="0" borderId="1" xfId="70" applyNumberFormat="1" applyFont="1" applyBorder="1" applyAlignment="1">
      <alignment vertical="center"/>
    </xf>
    <xf numFmtId="0" fontId="78" fillId="0" borderId="1" xfId="0" applyFont="1" applyBorder="1"/>
    <xf numFmtId="180" fontId="78" fillId="0" borderId="1" xfId="0" applyNumberFormat="1" applyFont="1" applyBorder="1" applyAlignment="1">
      <alignment horizontal="center"/>
    </xf>
    <xf numFmtId="164" fontId="78" fillId="0" borderId="1" xfId="39246" applyNumberFormat="1" applyFont="1" applyBorder="1"/>
    <xf numFmtId="164" fontId="78" fillId="0" borderId="1" xfId="39246" applyNumberFormat="1" applyFont="1" applyFill="1" applyBorder="1"/>
    <xf numFmtId="0" fontId="75" fillId="0" borderId="30" xfId="0" applyFont="1" applyBorder="1"/>
    <xf numFmtId="0" fontId="73" fillId="0" borderId="2" xfId="70" applyFont="1" applyBorder="1" applyAlignment="1" applyProtection="1">
      <alignment horizontal="center" vertical="center"/>
      <protection locked="0"/>
    </xf>
    <xf numFmtId="0" fontId="80" fillId="0" borderId="31" xfId="0" applyFont="1" applyBorder="1"/>
    <xf numFmtId="164" fontId="71" fillId="0" borderId="35" xfId="39246" applyNumberFormat="1" applyFont="1" applyBorder="1" applyAlignment="1">
      <alignment horizontal="center" vertical="center"/>
    </xf>
    <xf numFmtId="164" fontId="71" fillId="0" borderId="1" xfId="39246" applyNumberFormat="1" applyFont="1" applyBorder="1"/>
    <xf numFmtId="164" fontId="71" fillId="79" borderId="1" xfId="39246" applyNumberFormat="1" applyFont="1" applyFill="1" applyBorder="1"/>
    <xf numFmtId="179" fontId="71" fillId="79" borderId="2" xfId="70" applyNumberFormat="1" applyFont="1" applyFill="1" applyBorder="1" applyAlignment="1">
      <alignment horizontal="center" vertical="center"/>
    </xf>
    <xf numFmtId="179" fontId="71" fillId="79" borderId="3" xfId="70" applyNumberFormat="1" applyFont="1" applyFill="1" applyBorder="1" applyAlignment="1">
      <alignment horizontal="center" vertical="center"/>
    </xf>
    <xf numFmtId="179" fontId="71" fillId="79" borderId="35" xfId="70" applyNumberFormat="1" applyFont="1" applyFill="1" applyBorder="1" applyAlignment="1">
      <alignment horizontal="center" vertical="center"/>
    </xf>
    <xf numFmtId="0" fontId="61" fillId="82" borderId="0" xfId="0" applyFont="1" applyFill="1" applyAlignment="1">
      <alignment horizontal="center" vertical="center" wrapText="1"/>
    </xf>
    <xf numFmtId="0" fontId="2" fillId="0" borderId="0" xfId="0" applyFont="1"/>
    <xf numFmtId="49" fontId="0" fillId="0" borderId="0" xfId="0" applyNumberFormat="1"/>
    <xf numFmtId="0" fontId="74" fillId="79" borderId="1" xfId="0" applyFont="1" applyFill="1" applyBorder="1" applyAlignment="1">
      <alignment horizontal="center"/>
    </xf>
    <xf numFmtId="0" fontId="0" fillId="0" borderId="5" xfId="0" applyBorder="1"/>
    <xf numFmtId="0" fontId="0" fillId="0" borderId="3" xfId="0" applyBorder="1"/>
    <xf numFmtId="0" fontId="75" fillId="0" borderId="1" xfId="0" applyFont="1" applyBorder="1" applyAlignment="1">
      <alignment horizontal="left" vertical="center" wrapText="1"/>
    </xf>
    <xf numFmtId="0" fontId="71" fillId="0" borderId="32" xfId="0" applyFont="1" applyBorder="1" applyAlignment="1">
      <alignment horizontal="right"/>
    </xf>
    <xf numFmtId="0" fontId="71" fillId="0" borderId="33" xfId="0" applyFont="1" applyBorder="1" applyAlignment="1">
      <alignment horizontal="right"/>
    </xf>
    <xf numFmtId="0" fontId="71" fillId="0" borderId="34" xfId="0" applyFont="1" applyBorder="1" applyAlignment="1">
      <alignment horizontal="right"/>
    </xf>
    <xf numFmtId="165" fontId="71" fillId="0" borderId="2" xfId="5" applyFont="1" applyBorder="1" applyAlignment="1">
      <alignment horizontal="right" indent="1"/>
    </xf>
    <xf numFmtId="165" fontId="71" fillId="0" borderId="5" xfId="5" applyFont="1" applyBorder="1" applyAlignment="1">
      <alignment horizontal="right" indent="1"/>
    </xf>
    <xf numFmtId="165" fontId="71" fillId="0" borderId="3" xfId="5" applyFont="1" applyBorder="1" applyAlignment="1">
      <alignment horizontal="right" indent="1"/>
    </xf>
    <xf numFmtId="165" fontId="71" fillId="79" borderId="2" xfId="5" applyFont="1" applyFill="1" applyBorder="1" applyAlignment="1">
      <alignment horizontal="right"/>
    </xf>
    <xf numFmtId="165" fontId="71" fillId="79" borderId="5" xfId="5" applyFont="1" applyFill="1" applyBorder="1" applyAlignment="1">
      <alignment horizontal="right"/>
    </xf>
    <xf numFmtId="165" fontId="71" fillId="79" borderId="3" xfId="5" applyFont="1" applyFill="1" applyBorder="1" applyAlignment="1">
      <alignment horizontal="right"/>
    </xf>
    <xf numFmtId="0" fontId="71" fillId="79" borderId="28" xfId="0" applyFont="1" applyFill="1" applyBorder="1" applyAlignment="1">
      <alignment horizontal="center"/>
    </xf>
    <xf numFmtId="0" fontId="71" fillId="79" borderId="0" xfId="0" applyFont="1" applyFill="1" applyAlignment="1">
      <alignment horizontal="center"/>
    </xf>
    <xf numFmtId="0" fontId="71" fillId="79" borderId="2" xfId="70" applyFont="1" applyFill="1" applyBorder="1" applyAlignment="1">
      <alignment horizontal="center"/>
    </xf>
    <xf numFmtId="0" fontId="71" fillId="79" borderId="5" xfId="70" applyFont="1" applyFill="1" applyBorder="1" applyAlignment="1">
      <alignment horizontal="center"/>
    </xf>
    <xf numFmtId="0" fontId="71" fillId="79" borderId="3" xfId="70" applyFont="1" applyFill="1" applyBorder="1" applyAlignment="1">
      <alignment horizontal="center"/>
    </xf>
    <xf numFmtId="0" fontId="71" fillId="79" borderId="1" xfId="0" applyFont="1" applyFill="1" applyBorder="1" applyAlignment="1">
      <alignment horizontal="center"/>
    </xf>
    <xf numFmtId="17" fontId="71" fillId="79" borderId="2" xfId="70" applyNumberFormat="1" applyFont="1" applyFill="1" applyBorder="1" applyAlignment="1" applyProtection="1">
      <alignment horizontal="center"/>
      <protection locked="0"/>
    </xf>
    <xf numFmtId="17" fontId="71" fillId="79" borderId="5" xfId="70" applyNumberFormat="1" applyFont="1" applyFill="1" applyBorder="1" applyAlignment="1" applyProtection="1">
      <alignment horizontal="center"/>
      <protection locked="0"/>
    </xf>
    <xf numFmtId="17" fontId="71" fillId="79" borderId="3" xfId="70" applyNumberFormat="1" applyFont="1" applyFill="1" applyBorder="1" applyAlignment="1" applyProtection="1">
      <alignment horizontal="center"/>
      <protection locked="0"/>
    </xf>
    <xf numFmtId="17" fontId="71" fillId="79" borderId="1" xfId="0" applyNumberFormat="1" applyFont="1" applyFill="1" applyBorder="1" applyAlignment="1">
      <alignment horizontal="center"/>
    </xf>
    <xf numFmtId="0" fontId="78" fillId="0" borderId="1" xfId="0" applyFont="1" applyBorder="1" applyAlignment="1">
      <alignment horizontal="center"/>
    </xf>
    <xf numFmtId="1" fontId="0" fillId="0" borderId="0" xfId="0" applyNumberFormat="1" applyAlignment="1">
      <alignment horizontal="center"/>
    </xf>
    <xf numFmtId="0" fontId="0" fillId="0" borderId="0" xfId="0" applyAlignment="1">
      <alignment horizontal="center"/>
    </xf>
  </cellXfs>
  <cellStyles count="39247">
    <cellStyle name="20% - Accent1" xfId="81" xr:uid="{00000000-0005-0000-0000-000051000000}"/>
    <cellStyle name="20% - Accent1 2" xfId="82" xr:uid="{00000000-0005-0000-0000-000052000000}"/>
    <cellStyle name="20% - Accent1 3" xfId="83" xr:uid="{00000000-0005-0000-0000-000053000000}"/>
    <cellStyle name="20% - Accent1 4" xfId="84" xr:uid="{00000000-0005-0000-0000-000054000000}"/>
    <cellStyle name="20% - Accent1 5" xfId="85" xr:uid="{00000000-0005-0000-0000-000055000000}"/>
    <cellStyle name="20% - Accent2" xfId="86" xr:uid="{00000000-0005-0000-0000-000056000000}"/>
    <cellStyle name="20% - Accent2 2" xfId="87" xr:uid="{00000000-0005-0000-0000-000057000000}"/>
    <cellStyle name="20% - Accent2 3" xfId="88" xr:uid="{00000000-0005-0000-0000-000058000000}"/>
    <cellStyle name="20% - Accent2 4" xfId="89" xr:uid="{00000000-0005-0000-0000-000059000000}"/>
    <cellStyle name="20% - Accent2 5" xfId="90" xr:uid="{00000000-0005-0000-0000-00005A000000}"/>
    <cellStyle name="20% - Accent3" xfId="91" xr:uid="{00000000-0005-0000-0000-00005B000000}"/>
    <cellStyle name="20% - Accent3 2" xfId="92" xr:uid="{00000000-0005-0000-0000-00005C000000}"/>
    <cellStyle name="20% - Accent3 3" xfId="93" xr:uid="{00000000-0005-0000-0000-00005D000000}"/>
    <cellStyle name="20% - Accent3 4" xfId="94" xr:uid="{00000000-0005-0000-0000-00005E000000}"/>
    <cellStyle name="20% - Accent3 5" xfId="95" xr:uid="{00000000-0005-0000-0000-00005F000000}"/>
    <cellStyle name="20% - Accent4" xfId="96" xr:uid="{00000000-0005-0000-0000-000060000000}"/>
    <cellStyle name="20% - Accent4 2" xfId="97" xr:uid="{00000000-0005-0000-0000-000061000000}"/>
    <cellStyle name="20% - Accent4 3" xfId="98" xr:uid="{00000000-0005-0000-0000-000062000000}"/>
    <cellStyle name="20% - Accent4 4" xfId="99" xr:uid="{00000000-0005-0000-0000-000063000000}"/>
    <cellStyle name="20% - Accent4 5" xfId="100" xr:uid="{00000000-0005-0000-0000-000064000000}"/>
    <cellStyle name="20% - Accent5" xfId="101" xr:uid="{00000000-0005-0000-0000-000065000000}"/>
    <cellStyle name="20% - Accent5 2" xfId="102" xr:uid="{00000000-0005-0000-0000-000066000000}"/>
    <cellStyle name="20% - Accent5 3" xfId="103" xr:uid="{00000000-0005-0000-0000-000067000000}"/>
    <cellStyle name="20% - Accent5 4" xfId="104" xr:uid="{00000000-0005-0000-0000-000068000000}"/>
    <cellStyle name="20% - Accent5 5" xfId="105" xr:uid="{00000000-0005-0000-0000-000069000000}"/>
    <cellStyle name="20% - Accent6" xfId="106" xr:uid="{00000000-0005-0000-0000-00006A000000}"/>
    <cellStyle name="20% - Accent6 2" xfId="107" xr:uid="{00000000-0005-0000-0000-00006B000000}"/>
    <cellStyle name="20% - Accent6 3" xfId="108" xr:uid="{00000000-0005-0000-0000-00006C000000}"/>
    <cellStyle name="20% - Accent6 4" xfId="109" xr:uid="{00000000-0005-0000-0000-00006D000000}"/>
    <cellStyle name="20% - Accent6 5" xfId="110" xr:uid="{00000000-0005-0000-0000-00006E000000}"/>
    <cellStyle name="20% - Énfasis1 2" xfId="111" xr:uid="{00000000-0005-0000-0000-00006F000000}"/>
    <cellStyle name="20% - Énfasis1 2 2" xfId="112" xr:uid="{00000000-0005-0000-0000-000070000000}"/>
    <cellStyle name="20% - Énfasis1 3" xfId="113" xr:uid="{00000000-0005-0000-0000-000071000000}"/>
    <cellStyle name="20% - Énfasis1 4" xfId="114" xr:uid="{00000000-0005-0000-0000-000072000000}"/>
    <cellStyle name="20% - Énfasis1 5" xfId="115" xr:uid="{00000000-0005-0000-0000-000073000000}"/>
    <cellStyle name="20% - Énfasis1 6" xfId="116" xr:uid="{00000000-0005-0000-0000-000074000000}"/>
    <cellStyle name="20% - Énfasis1 7" xfId="117" xr:uid="{00000000-0005-0000-0000-000075000000}"/>
    <cellStyle name="20% - Énfasis1 8" xfId="118" xr:uid="{00000000-0005-0000-0000-000076000000}"/>
    <cellStyle name="20% - Énfasis2 2" xfId="119" xr:uid="{00000000-0005-0000-0000-000077000000}"/>
    <cellStyle name="20% - Énfasis2 2 2" xfId="120" xr:uid="{00000000-0005-0000-0000-000078000000}"/>
    <cellStyle name="20% - Énfasis2 3" xfId="121" xr:uid="{00000000-0005-0000-0000-000079000000}"/>
    <cellStyle name="20% - Énfasis2 4" xfId="122" xr:uid="{00000000-0005-0000-0000-00007A000000}"/>
    <cellStyle name="20% - Énfasis2 5" xfId="123" xr:uid="{00000000-0005-0000-0000-00007B000000}"/>
    <cellStyle name="20% - Énfasis2 6" xfId="124" xr:uid="{00000000-0005-0000-0000-00007C000000}"/>
    <cellStyle name="20% - Énfasis2 7" xfId="125" xr:uid="{00000000-0005-0000-0000-00007D000000}"/>
    <cellStyle name="20% - Énfasis2 8" xfId="126" xr:uid="{00000000-0005-0000-0000-00007E000000}"/>
    <cellStyle name="20% - Énfasis3 2" xfId="127" xr:uid="{00000000-0005-0000-0000-00007F000000}"/>
    <cellStyle name="20% - Énfasis3 2 2" xfId="128" xr:uid="{00000000-0005-0000-0000-000080000000}"/>
    <cellStyle name="20% - Énfasis3 3" xfId="129" xr:uid="{00000000-0005-0000-0000-000081000000}"/>
    <cellStyle name="20% - Énfasis3 4" xfId="130" xr:uid="{00000000-0005-0000-0000-000082000000}"/>
    <cellStyle name="20% - Énfasis3 5" xfId="131" xr:uid="{00000000-0005-0000-0000-000083000000}"/>
    <cellStyle name="20% - Énfasis3 6" xfId="132" xr:uid="{00000000-0005-0000-0000-000084000000}"/>
    <cellStyle name="20% - Énfasis3 7" xfId="133" xr:uid="{00000000-0005-0000-0000-000085000000}"/>
    <cellStyle name="20% - Énfasis3 8" xfId="134" xr:uid="{00000000-0005-0000-0000-000086000000}"/>
    <cellStyle name="20% - Énfasis4 2" xfId="135" xr:uid="{00000000-0005-0000-0000-000087000000}"/>
    <cellStyle name="20% - Énfasis4 2 2" xfId="136" xr:uid="{00000000-0005-0000-0000-000088000000}"/>
    <cellStyle name="20% - Énfasis4 3" xfId="137" xr:uid="{00000000-0005-0000-0000-000089000000}"/>
    <cellStyle name="20% - Énfasis4 4" xfId="138" xr:uid="{00000000-0005-0000-0000-00008A000000}"/>
    <cellStyle name="20% - Énfasis4 5" xfId="139" xr:uid="{00000000-0005-0000-0000-00008B000000}"/>
    <cellStyle name="20% - Énfasis4 6" xfId="140" xr:uid="{00000000-0005-0000-0000-00008C000000}"/>
    <cellStyle name="20% - Énfasis4 7" xfId="141" xr:uid="{00000000-0005-0000-0000-00008D000000}"/>
    <cellStyle name="20% - Énfasis4 8" xfId="142" xr:uid="{00000000-0005-0000-0000-00008E000000}"/>
    <cellStyle name="20% - Énfasis5 2" xfId="143" xr:uid="{00000000-0005-0000-0000-00008F000000}"/>
    <cellStyle name="20% - Énfasis5 2 2" xfId="144" xr:uid="{00000000-0005-0000-0000-000090000000}"/>
    <cellStyle name="20% - Énfasis5 3" xfId="145" xr:uid="{00000000-0005-0000-0000-000091000000}"/>
    <cellStyle name="20% - Énfasis5 4" xfId="146" xr:uid="{00000000-0005-0000-0000-000092000000}"/>
    <cellStyle name="20% - Énfasis5 5" xfId="147" xr:uid="{00000000-0005-0000-0000-000093000000}"/>
    <cellStyle name="20% - Énfasis5 6" xfId="148" xr:uid="{00000000-0005-0000-0000-000094000000}"/>
    <cellStyle name="20% - Énfasis5 7" xfId="149" xr:uid="{00000000-0005-0000-0000-000095000000}"/>
    <cellStyle name="20% - Énfasis5 8" xfId="150" xr:uid="{00000000-0005-0000-0000-000096000000}"/>
    <cellStyle name="20% - Énfasis6 2" xfId="151" xr:uid="{00000000-0005-0000-0000-000097000000}"/>
    <cellStyle name="20% - Énfasis6 2 2" xfId="152" xr:uid="{00000000-0005-0000-0000-000098000000}"/>
    <cellStyle name="20% - Énfasis6 3" xfId="153" xr:uid="{00000000-0005-0000-0000-000099000000}"/>
    <cellStyle name="20% - Énfasis6 4" xfId="154" xr:uid="{00000000-0005-0000-0000-00009A000000}"/>
    <cellStyle name="20% - Énfasis6 5" xfId="155" xr:uid="{00000000-0005-0000-0000-00009B000000}"/>
    <cellStyle name="20% - Énfasis6 6" xfId="156" xr:uid="{00000000-0005-0000-0000-00009C000000}"/>
    <cellStyle name="20% - Énfasis6 7" xfId="157" xr:uid="{00000000-0005-0000-0000-00009D000000}"/>
    <cellStyle name="20% - Énfasis6 8" xfId="158" xr:uid="{00000000-0005-0000-0000-00009E000000}"/>
    <cellStyle name="20% - 强调文字颜色 1" xfId="159" xr:uid="{00000000-0005-0000-0000-00009F000000}"/>
    <cellStyle name="20% - 强调文字颜色 2" xfId="160" xr:uid="{00000000-0005-0000-0000-0000A0000000}"/>
    <cellStyle name="20% - 强调文字颜色 3" xfId="161" xr:uid="{00000000-0005-0000-0000-0000A1000000}"/>
    <cellStyle name="20% - 强调文字颜色 4" xfId="162" xr:uid="{00000000-0005-0000-0000-0000A2000000}"/>
    <cellStyle name="20% - 强调文字颜色 5" xfId="163" xr:uid="{00000000-0005-0000-0000-0000A3000000}"/>
    <cellStyle name="20% - 强调文字颜色 6" xfId="164" xr:uid="{00000000-0005-0000-0000-0000A4000000}"/>
    <cellStyle name="40% - Accent1" xfId="165" xr:uid="{00000000-0005-0000-0000-0000A5000000}"/>
    <cellStyle name="40% - Accent1 2" xfId="166" xr:uid="{00000000-0005-0000-0000-0000A6000000}"/>
    <cellStyle name="40% - Accent1 3" xfId="167" xr:uid="{00000000-0005-0000-0000-0000A7000000}"/>
    <cellStyle name="40% - Accent1 4" xfId="168" xr:uid="{00000000-0005-0000-0000-0000A8000000}"/>
    <cellStyle name="40% - Accent1 5" xfId="169" xr:uid="{00000000-0005-0000-0000-0000A9000000}"/>
    <cellStyle name="40% - Accent2" xfId="170" xr:uid="{00000000-0005-0000-0000-0000AA000000}"/>
    <cellStyle name="40% - Accent2 2" xfId="171" xr:uid="{00000000-0005-0000-0000-0000AB000000}"/>
    <cellStyle name="40% - Accent2 3" xfId="172" xr:uid="{00000000-0005-0000-0000-0000AC000000}"/>
    <cellStyle name="40% - Accent2 4" xfId="173" xr:uid="{00000000-0005-0000-0000-0000AD000000}"/>
    <cellStyle name="40% - Accent2 5" xfId="174" xr:uid="{00000000-0005-0000-0000-0000AE000000}"/>
    <cellStyle name="40% - Accent3" xfId="175" xr:uid="{00000000-0005-0000-0000-0000AF000000}"/>
    <cellStyle name="40% - Accent3 2" xfId="176" xr:uid="{00000000-0005-0000-0000-0000B0000000}"/>
    <cellStyle name="40% - Accent3 3" xfId="177" xr:uid="{00000000-0005-0000-0000-0000B1000000}"/>
    <cellStyle name="40% - Accent3 4" xfId="178" xr:uid="{00000000-0005-0000-0000-0000B2000000}"/>
    <cellStyle name="40% - Accent3 5" xfId="179" xr:uid="{00000000-0005-0000-0000-0000B3000000}"/>
    <cellStyle name="40% - Accent4" xfId="180" xr:uid="{00000000-0005-0000-0000-0000B4000000}"/>
    <cellStyle name="40% - Accent4 2" xfId="181" xr:uid="{00000000-0005-0000-0000-0000B5000000}"/>
    <cellStyle name="40% - Accent4 3" xfId="182" xr:uid="{00000000-0005-0000-0000-0000B6000000}"/>
    <cellStyle name="40% - Accent4 4" xfId="183" xr:uid="{00000000-0005-0000-0000-0000B7000000}"/>
    <cellStyle name="40% - Accent4 5" xfId="184" xr:uid="{00000000-0005-0000-0000-0000B8000000}"/>
    <cellStyle name="40% - Accent5" xfId="185" xr:uid="{00000000-0005-0000-0000-0000B9000000}"/>
    <cellStyle name="40% - Accent5 2" xfId="186" xr:uid="{00000000-0005-0000-0000-0000BA000000}"/>
    <cellStyle name="40% - Accent5 3" xfId="187" xr:uid="{00000000-0005-0000-0000-0000BB000000}"/>
    <cellStyle name="40% - Accent5 4" xfId="188" xr:uid="{00000000-0005-0000-0000-0000BC000000}"/>
    <cellStyle name="40% - Accent5 5" xfId="189" xr:uid="{00000000-0005-0000-0000-0000BD000000}"/>
    <cellStyle name="40% - Accent6" xfId="190" xr:uid="{00000000-0005-0000-0000-0000BE000000}"/>
    <cellStyle name="40% - Accent6 2" xfId="191" xr:uid="{00000000-0005-0000-0000-0000BF000000}"/>
    <cellStyle name="40% - Accent6 3" xfId="192" xr:uid="{00000000-0005-0000-0000-0000C0000000}"/>
    <cellStyle name="40% - Accent6 4" xfId="193" xr:uid="{00000000-0005-0000-0000-0000C1000000}"/>
    <cellStyle name="40% - Accent6 5" xfId="194" xr:uid="{00000000-0005-0000-0000-0000C2000000}"/>
    <cellStyle name="40% - Énfasis1 2" xfId="195" xr:uid="{00000000-0005-0000-0000-0000C3000000}"/>
    <cellStyle name="40% - Énfasis1 2 2" xfId="196" xr:uid="{00000000-0005-0000-0000-0000C4000000}"/>
    <cellStyle name="40% - Énfasis1 3" xfId="197" xr:uid="{00000000-0005-0000-0000-0000C5000000}"/>
    <cellStyle name="40% - Énfasis1 4" xfId="198" xr:uid="{00000000-0005-0000-0000-0000C6000000}"/>
    <cellStyle name="40% - Énfasis1 5" xfId="199" xr:uid="{00000000-0005-0000-0000-0000C7000000}"/>
    <cellStyle name="40% - Énfasis1 6" xfId="200" xr:uid="{00000000-0005-0000-0000-0000C8000000}"/>
    <cellStyle name="40% - Énfasis1 7" xfId="201" xr:uid="{00000000-0005-0000-0000-0000C9000000}"/>
    <cellStyle name="40% - Énfasis1 8" xfId="202" xr:uid="{00000000-0005-0000-0000-0000CA000000}"/>
    <cellStyle name="40% - Énfasis2 2" xfId="203" xr:uid="{00000000-0005-0000-0000-0000CB000000}"/>
    <cellStyle name="40% - Énfasis2 2 2" xfId="204" xr:uid="{00000000-0005-0000-0000-0000CC000000}"/>
    <cellStyle name="40% - Énfasis2 3" xfId="205" xr:uid="{00000000-0005-0000-0000-0000CD000000}"/>
    <cellStyle name="40% - Énfasis2 4" xfId="206" xr:uid="{00000000-0005-0000-0000-0000CE000000}"/>
    <cellStyle name="40% - Énfasis2 5" xfId="207" xr:uid="{00000000-0005-0000-0000-0000CF000000}"/>
    <cellStyle name="40% - Énfasis2 6" xfId="208" xr:uid="{00000000-0005-0000-0000-0000D0000000}"/>
    <cellStyle name="40% - Énfasis2 7" xfId="209" xr:uid="{00000000-0005-0000-0000-0000D1000000}"/>
    <cellStyle name="40% - Énfasis2 8" xfId="210" xr:uid="{00000000-0005-0000-0000-0000D2000000}"/>
    <cellStyle name="40% - Énfasis3 2" xfId="211" xr:uid="{00000000-0005-0000-0000-0000D3000000}"/>
    <cellStyle name="40% - Énfasis3 2 2" xfId="212" xr:uid="{00000000-0005-0000-0000-0000D4000000}"/>
    <cellStyle name="40% - Énfasis3 3" xfId="213" xr:uid="{00000000-0005-0000-0000-0000D5000000}"/>
    <cellStyle name="40% - Énfasis3 4" xfId="214" xr:uid="{00000000-0005-0000-0000-0000D6000000}"/>
    <cellStyle name="40% - Énfasis3 5" xfId="215" xr:uid="{00000000-0005-0000-0000-0000D7000000}"/>
    <cellStyle name="40% - Énfasis3 6" xfId="216" xr:uid="{00000000-0005-0000-0000-0000D8000000}"/>
    <cellStyle name="40% - Énfasis3 7" xfId="217" xr:uid="{00000000-0005-0000-0000-0000D9000000}"/>
    <cellStyle name="40% - Énfasis3 8" xfId="218" xr:uid="{00000000-0005-0000-0000-0000DA000000}"/>
    <cellStyle name="40% - Énfasis4 2" xfId="219" xr:uid="{00000000-0005-0000-0000-0000DB000000}"/>
    <cellStyle name="40% - Énfasis4 2 2" xfId="220" xr:uid="{00000000-0005-0000-0000-0000DC000000}"/>
    <cellStyle name="40% - Énfasis4 3" xfId="221" xr:uid="{00000000-0005-0000-0000-0000DD000000}"/>
    <cellStyle name="40% - Énfasis4 4" xfId="222" xr:uid="{00000000-0005-0000-0000-0000DE000000}"/>
    <cellStyle name="40% - Énfasis4 5" xfId="223" xr:uid="{00000000-0005-0000-0000-0000DF000000}"/>
    <cellStyle name="40% - Énfasis4 6" xfId="224" xr:uid="{00000000-0005-0000-0000-0000E0000000}"/>
    <cellStyle name="40% - Énfasis4 7" xfId="225" xr:uid="{00000000-0005-0000-0000-0000E1000000}"/>
    <cellStyle name="40% - Énfasis4 8" xfId="226" xr:uid="{00000000-0005-0000-0000-0000E2000000}"/>
    <cellStyle name="40% - Énfasis5 2" xfId="227" xr:uid="{00000000-0005-0000-0000-0000E3000000}"/>
    <cellStyle name="40% - Énfasis5 2 2" xfId="228" xr:uid="{00000000-0005-0000-0000-0000E4000000}"/>
    <cellStyle name="40% - Énfasis5 3" xfId="229" xr:uid="{00000000-0005-0000-0000-0000E5000000}"/>
    <cellStyle name="40% - Énfasis5 4" xfId="230" xr:uid="{00000000-0005-0000-0000-0000E6000000}"/>
    <cellStyle name="40% - Énfasis5 5" xfId="231" xr:uid="{00000000-0005-0000-0000-0000E7000000}"/>
    <cellStyle name="40% - Énfasis5 6" xfId="232" xr:uid="{00000000-0005-0000-0000-0000E8000000}"/>
    <cellStyle name="40% - Énfasis5 7" xfId="233" xr:uid="{00000000-0005-0000-0000-0000E9000000}"/>
    <cellStyle name="40% - Énfasis5 8" xfId="234" xr:uid="{00000000-0005-0000-0000-0000EA000000}"/>
    <cellStyle name="40% - Énfasis6 2" xfId="235" xr:uid="{00000000-0005-0000-0000-0000EB000000}"/>
    <cellStyle name="40% - Énfasis6 2 2" xfId="236" xr:uid="{00000000-0005-0000-0000-0000EC000000}"/>
    <cellStyle name="40% - Énfasis6 3" xfId="237" xr:uid="{00000000-0005-0000-0000-0000ED000000}"/>
    <cellStyle name="40% - Énfasis6 4" xfId="238" xr:uid="{00000000-0005-0000-0000-0000EE000000}"/>
    <cellStyle name="40% - Énfasis6 5" xfId="239" xr:uid="{00000000-0005-0000-0000-0000EF000000}"/>
    <cellStyle name="40% - Énfasis6 6" xfId="240" xr:uid="{00000000-0005-0000-0000-0000F0000000}"/>
    <cellStyle name="40% - Énfasis6 7" xfId="241" xr:uid="{00000000-0005-0000-0000-0000F1000000}"/>
    <cellStyle name="40% - Énfasis6 8" xfId="242" xr:uid="{00000000-0005-0000-0000-0000F2000000}"/>
    <cellStyle name="40% - 强调文字颜色 1" xfId="243" xr:uid="{00000000-0005-0000-0000-0000F3000000}"/>
    <cellStyle name="40% - 强调文字颜色 2" xfId="244" xr:uid="{00000000-0005-0000-0000-0000F4000000}"/>
    <cellStyle name="40% - 强调文字颜色 3" xfId="245" xr:uid="{00000000-0005-0000-0000-0000F5000000}"/>
    <cellStyle name="40% - 强调文字颜色 4" xfId="246" xr:uid="{00000000-0005-0000-0000-0000F6000000}"/>
    <cellStyle name="40% - 强调文字颜色 5" xfId="247" xr:uid="{00000000-0005-0000-0000-0000F7000000}"/>
    <cellStyle name="40% - 强调文字颜色 6" xfId="248" xr:uid="{00000000-0005-0000-0000-0000F8000000}"/>
    <cellStyle name="60% - Accent1" xfId="249" xr:uid="{00000000-0005-0000-0000-0000F9000000}"/>
    <cellStyle name="60% - Accent1 2" xfId="250" xr:uid="{00000000-0005-0000-0000-0000FA000000}"/>
    <cellStyle name="60% - Accent1 3" xfId="251" xr:uid="{00000000-0005-0000-0000-0000FB000000}"/>
    <cellStyle name="60% - Accent1 4" xfId="252" xr:uid="{00000000-0005-0000-0000-0000FC000000}"/>
    <cellStyle name="60% - Accent1 5" xfId="253" xr:uid="{00000000-0005-0000-0000-0000FD000000}"/>
    <cellStyle name="60% - Accent2" xfId="254" xr:uid="{00000000-0005-0000-0000-0000FE000000}"/>
    <cellStyle name="60% - Accent2 2" xfId="255" xr:uid="{00000000-0005-0000-0000-0000FF000000}"/>
    <cellStyle name="60% - Accent2 3" xfId="256" xr:uid="{00000000-0005-0000-0000-000000010000}"/>
    <cellStyle name="60% - Accent2 4" xfId="257" xr:uid="{00000000-0005-0000-0000-000001010000}"/>
    <cellStyle name="60% - Accent2 5" xfId="258" xr:uid="{00000000-0005-0000-0000-000002010000}"/>
    <cellStyle name="60% - Accent3" xfId="259" xr:uid="{00000000-0005-0000-0000-000003010000}"/>
    <cellStyle name="60% - Accent3 2" xfId="260" xr:uid="{00000000-0005-0000-0000-000004010000}"/>
    <cellStyle name="60% - Accent3 3" xfId="261" xr:uid="{00000000-0005-0000-0000-000005010000}"/>
    <cellStyle name="60% - Accent3 4" xfId="262" xr:uid="{00000000-0005-0000-0000-000006010000}"/>
    <cellStyle name="60% - Accent3 5" xfId="263" xr:uid="{00000000-0005-0000-0000-000007010000}"/>
    <cellStyle name="60% - Accent4" xfId="264" xr:uid="{00000000-0005-0000-0000-000008010000}"/>
    <cellStyle name="60% - Accent4 2" xfId="265" xr:uid="{00000000-0005-0000-0000-000009010000}"/>
    <cellStyle name="60% - Accent4 3" xfId="266" xr:uid="{00000000-0005-0000-0000-00000A010000}"/>
    <cellStyle name="60% - Accent4 4" xfId="267" xr:uid="{00000000-0005-0000-0000-00000B010000}"/>
    <cellStyle name="60% - Accent4 5" xfId="268" xr:uid="{00000000-0005-0000-0000-00000C010000}"/>
    <cellStyle name="60% - Accent5" xfId="269" xr:uid="{00000000-0005-0000-0000-00000D010000}"/>
    <cellStyle name="60% - Accent5 2" xfId="270" xr:uid="{00000000-0005-0000-0000-00000E010000}"/>
    <cellStyle name="60% - Accent5 3" xfId="271" xr:uid="{00000000-0005-0000-0000-00000F010000}"/>
    <cellStyle name="60% - Accent5 4" xfId="272" xr:uid="{00000000-0005-0000-0000-000010010000}"/>
    <cellStyle name="60% - Accent5 5" xfId="273" xr:uid="{00000000-0005-0000-0000-000011010000}"/>
    <cellStyle name="60% - Accent6" xfId="274" xr:uid="{00000000-0005-0000-0000-000012010000}"/>
    <cellStyle name="60% - Accent6 2" xfId="275" xr:uid="{00000000-0005-0000-0000-000013010000}"/>
    <cellStyle name="60% - Accent6 3" xfId="276" xr:uid="{00000000-0005-0000-0000-000014010000}"/>
    <cellStyle name="60% - Accent6 4" xfId="277" xr:uid="{00000000-0005-0000-0000-000015010000}"/>
    <cellStyle name="60% - Accent6 5" xfId="278" xr:uid="{00000000-0005-0000-0000-000016010000}"/>
    <cellStyle name="60% - Énfasis1 2" xfId="279" xr:uid="{00000000-0005-0000-0000-000017010000}"/>
    <cellStyle name="60% - Énfasis1 2 2" xfId="280" xr:uid="{00000000-0005-0000-0000-000018010000}"/>
    <cellStyle name="60% - Énfasis1 3" xfId="281" xr:uid="{00000000-0005-0000-0000-000019010000}"/>
    <cellStyle name="60% - Énfasis1 4" xfId="282" xr:uid="{00000000-0005-0000-0000-00001A010000}"/>
    <cellStyle name="60% - Énfasis1 5" xfId="283" xr:uid="{00000000-0005-0000-0000-00001B010000}"/>
    <cellStyle name="60% - Énfasis1 6" xfId="284" xr:uid="{00000000-0005-0000-0000-00001C010000}"/>
    <cellStyle name="60% - Énfasis1 7" xfId="285" xr:uid="{00000000-0005-0000-0000-00001D010000}"/>
    <cellStyle name="60% - Énfasis1 8" xfId="286" xr:uid="{00000000-0005-0000-0000-00001E010000}"/>
    <cellStyle name="60% - Énfasis2 2" xfId="287" xr:uid="{00000000-0005-0000-0000-00001F010000}"/>
    <cellStyle name="60% - Énfasis2 2 2" xfId="288" xr:uid="{00000000-0005-0000-0000-000020010000}"/>
    <cellStyle name="60% - Énfasis2 3" xfId="289" xr:uid="{00000000-0005-0000-0000-000021010000}"/>
    <cellStyle name="60% - Énfasis2 4" xfId="290" xr:uid="{00000000-0005-0000-0000-000022010000}"/>
    <cellStyle name="60% - Énfasis2 5" xfId="291" xr:uid="{00000000-0005-0000-0000-000023010000}"/>
    <cellStyle name="60% - Énfasis2 6" xfId="292" xr:uid="{00000000-0005-0000-0000-000024010000}"/>
    <cellStyle name="60% - Énfasis2 7" xfId="293" xr:uid="{00000000-0005-0000-0000-000025010000}"/>
    <cellStyle name="60% - Énfasis2 8" xfId="294" xr:uid="{00000000-0005-0000-0000-000026010000}"/>
    <cellStyle name="60% - Énfasis3 2" xfId="295" xr:uid="{00000000-0005-0000-0000-000027010000}"/>
    <cellStyle name="60% - Énfasis3 2 2" xfId="296" xr:uid="{00000000-0005-0000-0000-000028010000}"/>
    <cellStyle name="60% - Énfasis3 3" xfId="297" xr:uid="{00000000-0005-0000-0000-000029010000}"/>
    <cellStyle name="60% - Énfasis3 4" xfId="298" xr:uid="{00000000-0005-0000-0000-00002A010000}"/>
    <cellStyle name="60% - Énfasis3 5" xfId="299" xr:uid="{00000000-0005-0000-0000-00002B010000}"/>
    <cellStyle name="60% - Énfasis3 6" xfId="300" xr:uid="{00000000-0005-0000-0000-00002C010000}"/>
    <cellStyle name="60% - Énfasis3 7" xfId="301" xr:uid="{00000000-0005-0000-0000-00002D010000}"/>
    <cellStyle name="60% - Énfasis3 8" xfId="302" xr:uid="{00000000-0005-0000-0000-00002E010000}"/>
    <cellStyle name="60% - Énfasis4 2" xfId="303" xr:uid="{00000000-0005-0000-0000-00002F010000}"/>
    <cellStyle name="60% - Énfasis4 2 2" xfId="304" xr:uid="{00000000-0005-0000-0000-000030010000}"/>
    <cellStyle name="60% - Énfasis4 3" xfId="305" xr:uid="{00000000-0005-0000-0000-000031010000}"/>
    <cellStyle name="60% - Énfasis4 4" xfId="306" xr:uid="{00000000-0005-0000-0000-000032010000}"/>
    <cellStyle name="60% - Énfasis4 5" xfId="307" xr:uid="{00000000-0005-0000-0000-000033010000}"/>
    <cellStyle name="60% - Énfasis4 6" xfId="308" xr:uid="{00000000-0005-0000-0000-000034010000}"/>
    <cellStyle name="60% - Énfasis4 7" xfId="309" xr:uid="{00000000-0005-0000-0000-000035010000}"/>
    <cellStyle name="60% - Énfasis4 8" xfId="310" xr:uid="{00000000-0005-0000-0000-000036010000}"/>
    <cellStyle name="60% - Énfasis5 2" xfId="311" xr:uid="{00000000-0005-0000-0000-000037010000}"/>
    <cellStyle name="60% - Énfasis5 2 2" xfId="312" xr:uid="{00000000-0005-0000-0000-000038010000}"/>
    <cellStyle name="60% - Énfasis5 3" xfId="313" xr:uid="{00000000-0005-0000-0000-000039010000}"/>
    <cellStyle name="60% - Énfasis5 4" xfId="314" xr:uid="{00000000-0005-0000-0000-00003A010000}"/>
    <cellStyle name="60% - Énfasis5 5" xfId="315" xr:uid="{00000000-0005-0000-0000-00003B010000}"/>
    <cellStyle name="60% - Énfasis5 6" xfId="316" xr:uid="{00000000-0005-0000-0000-00003C010000}"/>
    <cellStyle name="60% - Énfasis5 7" xfId="317" xr:uid="{00000000-0005-0000-0000-00003D010000}"/>
    <cellStyle name="60% - Énfasis5 8" xfId="318" xr:uid="{00000000-0005-0000-0000-00003E010000}"/>
    <cellStyle name="60% - Énfasis6 2" xfId="319" xr:uid="{00000000-0005-0000-0000-00003F010000}"/>
    <cellStyle name="60% - Énfasis6 2 2" xfId="320" xr:uid="{00000000-0005-0000-0000-000040010000}"/>
    <cellStyle name="60% - Énfasis6 3" xfId="321" xr:uid="{00000000-0005-0000-0000-000041010000}"/>
    <cellStyle name="60% - Énfasis6 4" xfId="322" xr:uid="{00000000-0005-0000-0000-000042010000}"/>
    <cellStyle name="60% - Énfasis6 5" xfId="323" xr:uid="{00000000-0005-0000-0000-000043010000}"/>
    <cellStyle name="60% - Énfasis6 6" xfId="324" xr:uid="{00000000-0005-0000-0000-000044010000}"/>
    <cellStyle name="60% - Énfasis6 7" xfId="325" xr:uid="{00000000-0005-0000-0000-000045010000}"/>
    <cellStyle name="60% - Énfasis6 8" xfId="326" xr:uid="{00000000-0005-0000-0000-000046010000}"/>
    <cellStyle name="60% - 强调文字颜色 1" xfId="327" xr:uid="{00000000-0005-0000-0000-000047010000}"/>
    <cellStyle name="60% - 强调文字颜色 2" xfId="328" xr:uid="{00000000-0005-0000-0000-000048010000}"/>
    <cellStyle name="60% - 强调文字颜色 3" xfId="329" xr:uid="{00000000-0005-0000-0000-000049010000}"/>
    <cellStyle name="60% - 强调文字颜色 4" xfId="330" xr:uid="{00000000-0005-0000-0000-00004A010000}"/>
    <cellStyle name="60% - 强调文字颜色 5" xfId="331" xr:uid="{00000000-0005-0000-0000-00004B010000}"/>
    <cellStyle name="60% - 强调文字颜色 6" xfId="332" xr:uid="{00000000-0005-0000-0000-00004C010000}"/>
    <cellStyle name="Accent1" xfId="333" xr:uid="{00000000-0005-0000-0000-00004D010000}"/>
    <cellStyle name="Accent1 2" xfId="334" xr:uid="{00000000-0005-0000-0000-00004E010000}"/>
    <cellStyle name="Accent1 3" xfId="335" xr:uid="{00000000-0005-0000-0000-00004F010000}"/>
    <cellStyle name="Accent1 4" xfId="336" xr:uid="{00000000-0005-0000-0000-000050010000}"/>
    <cellStyle name="Accent1 5" xfId="337" xr:uid="{00000000-0005-0000-0000-000051010000}"/>
    <cellStyle name="Accent2" xfId="338" xr:uid="{00000000-0005-0000-0000-000052010000}"/>
    <cellStyle name="Accent2 2" xfId="339" xr:uid="{00000000-0005-0000-0000-000053010000}"/>
    <cellStyle name="Accent2 3" xfId="340" xr:uid="{00000000-0005-0000-0000-000054010000}"/>
    <cellStyle name="Accent2 4" xfId="341" xr:uid="{00000000-0005-0000-0000-000055010000}"/>
    <cellStyle name="Accent2 5" xfId="342" xr:uid="{00000000-0005-0000-0000-000056010000}"/>
    <cellStyle name="Accent3" xfId="343" xr:uid="{00000000-0005-0000-0000-000057010000}"/>
    <cellStyle name="Accent3 2" xfId="344" xr:uid="{00000000-0005-0000-0000-000058010000}"/>
    <cellStyle name="Accent3 3" xfId="345" xr:uid="{00000000-0005-0000-0000-000059010000}"/>
    <cellStyle name="Accent3 4" xfId="346" xr:uid="{00000000-0005-0000-0000-00005A010000}"/>
    <cellStyle name="Accent3 5" xfId="347" xr:uid="{00000000-0005-0000-0000-00005B010000}"/>
    <cellStyle name="Accent4" xfId="348" xr:uid="{00000000-0005-0000-0000-00005C010000}"/>
    <cellStyle name="Accent4 2" xfId="349" xr:uid="{00000000-0005-0000-0000-00005D010000}"/>
    <cellStyle name="Accent4 3" xfId="350" xr:uid="{00000000-0005-0000-0000-00005E010000}"/>
    <cellStyle name="Accent4 4" xfId="351" xr:uid="{00000000-0005-0000-0000-00005F010000}"/>
    <cellStyle name="Accent4 5" xfId="352" xr:uid="{00000000-0005-0000-0000-000060010000}"/>
    <cellStyle name="Accent5" xfId="353" xr:uid="{00000000-0005-0000-0000-000061010000}"/>
    <cellStyle name="Accent5 2" xfId="354" xr:uid="{00000000-0005-0000-0000-000062010000}"/>
    <cellStyle name="Accent5 3" xfId="355" xr:uid="{00000000-0005-0000-0000-000063010000}"/>
    <cellStyle name="Accent5 4" xfId="356" xr:uid="{00000000-0005-0000-0000-000064010000}"/>
    <cellStyle name="Accent5 5" xfId="357" xr:uid="{00000000-0005-0000-0000-000065010000}"/>
    <cellStyle name="Accent6" xfId="358" xr:uid="{00000000-0005-0000-0000-000066010000}"/>
    <cellStyle name="Accent6 2" xfId="359" xr:uid="{00000000-0005-0000-0000-000067010000}"/>
    <cellStyle name="Accent6 3" xfId="360" xr:uid="{00000000-0005-0000-0000-000068010000}"/>
    <cellStyle name="Accent6 4" xfId="361" xr:uid="{00000000-0005-0000-0000-000069010000}"/>
    <cellStyle name="Accent6 5" xfId="362" xr:uid="{00000000-0005-0000-0000-00006A010000}"/>
    <cellStyle name="Bad" xfId="363" xr:uid="{00000000-0005-0000-0000-00006B010000}"/>
    <cellStyle name="Bad 2" xfId="364" xr:uid="{00000000-0005-0000-0000-00006C010000}"/>
    <cellStyle name="Bad 3" xfId="365" xr:uid="{00000000-0005-0000-0000-00006D010000}"/>
    <cellStyle name="Bad 4" xfId="366" xr:uid="{00000000-0005-0000-0000-00006E010000}"/>
    <cellStyle name="Bad 5" xfId="367" xr:uid="{00000000-0005-0000-0000-00006F010000}"/>
    <cellStyle name="Buena 2" xfId="368" xr:uid="{00000000-0005-0000-0000-000070010000}"/>
    <cellStyle name="Buena 2 2" xfId="369" xr:uid="{00000000-0005-0000-0000-000071010000}"/>
    <cellStyle name="Buena 2 2 2" xfId="370" xr:uid="{00000000-0005-0000-0000-000072010000}"/>
    <cellStyle name="Buena 2 2 2 2" xfId="371" xr:uid="{00000000-0005-0000-0000-000073010000}"/>
    <cellStyle name="Buena 2 2 2 2 2" xfId="372" xr:uid="{00000000-0005-0000-0000-000074010000}"/>
    <cellStyle name="Buena 2 2 3" xfId="373" xr:uid="{00000000-0005-0000-0000-000075010000}"/>
    <cellStyle name="Buena 2 2 4" xfId="374" xr:uid="{00000000-0005-0000-0000-000076010000}"/>
    <cellStyle name="Buena 2 3" xfId="375" xr:uid="{00000000-0005-0000-0000-000077010000}"/>
    <cellStyle name="Buena 2 4" xfId="376" xr:uid="{00000000-0005-0000-0000-000078010000}"/>
    <cellStyle name="Buena 3" xfId="377" xr:uid="{00000000-0005-0000-0000-000079010000}"/>
    <cellStyle name="Buena 4" xfId="378" xr:uid="{00000000-0005-0000-0000-00007A010000}"/>
    <cellStyle name="Buena 5" xfId="379" xr:uid="{00000000-0005-0000-0000-00007B010000}"/>
    <cellStyle name="Buena 6" xfId="380" xr:uid="{00000000-0005-0000-0000-00007C010000}"/>
    <cellStyle name="Buena 7" xfId="381" xr:uid="{00000000-0005-0000-0000-00007D010000}"/>
    <cellStyle name="Buena 8" xfId="382" xr:uid="{00000000-0005-0000-0000-00007E010000}"/>
    <cellStyle name="Buena 9" xfId="383" xr:uid="{00000000-0005-0000-0000-00007F010000}"/>
    <cellStyle name="Calculation" xfId="384" xr:uid="{00000000-0005-0000-0000-000080010000}"/>
    <cellStyle name="Calculation 2" xfId="385" xr:uid="{00000000-0005-0000-0000-000081010000}"/>
    <cellStyle name="Calculation 3" xfId="386" xr:uid="{00000000-0005-0000-0000-000082010000}"/>
    <cellStyle name="Calculation 4" xfId="387" xr:uid="{00000000-0005-0000-0000-000083010000}"/>
    <cellStyle name="Calculation 5" xfId="388" xr:uid="{00000000-0005-0000-0000-000084010000}"/>
    <cellStyle name="Cálculo 2" xfId="389" xr:uid="{00000000-0005-0000-0000-000085010000}"/>
    <cellStyle name="Cálculo 2 2" xfId="390" xr:uid="{00000000-0005-0000-0000-000086010000}"/>
    <cellStyle name="Cálculo 3" xfId="391" xr:uid="{00000000-0005-0000-0000-000087010000}"/>
    <cellStyle name="Cálculo 4" xfId="392" xr:uid="{00000000-0005-0000-0000-000088010000}"/>
    <cellStyle name="Cálculo 5" xfId="393" xr:uid="{00000000-0005-0000-0000-000089010000}"/>
    <cellStyle name="Cálculo 6" xfId="394" xr:uid="{00000000-0005-0000-0000-00008A010000}"/>
    <cellStyle name="Cálculo 7" xfId="395" xr:uid="{00000000-0005-0000-0000-00008B010000}"/>
    <cellStyle name="Cálculo 8" xfId="396" xr:uid="{00000000-0005-0000-0000-00008C010000}"/>
    <cellStyle name="Celda de comprobación 2" xfId="397" xr:uid="{00000000-0005-0000-0000-00008D010000}"/>
    <cellStyle name="Celda de comprobación 2 2" xfId="398" xr:uid="{00000000-0005-0000-0000-00008E010000}"/>
    <cellStyle name="Celda de comprobación 2 2 2" xfId="399" xr:uid="{00000000-0005-0000-0000-00008F010000}"/>
    <cellStyle name="Celda de comprobación 2 2 2 2" xfId="400" xr:uid="{00000000-0005-0000-0000-000090010000}"/>
    <cellStyle name="Celda de comprobación 2 2 2 2 2" xfId="401" xr:uid="{00000000-0005-0000-0000-000091010000}"/>
    <cellStyle name="Celda de comprobación 2 2 3" xfId="402" xr:uid="{00000000-0005-0000-0000-000092010000}"/>
    <cellStyle name="Celda de comprobación 2 2 4" xfId="403" xr:uid="{00000000-0005-0000-0000-000093010000}"/>
    <cellStyle name="Celda de comprobación 2 3" xfId="404" xr:uid="{00000000-0005-0000-0000-000094010000}"/>
    <cellStyle name="Celda de comprobación 2 4" xfId="405" xr:uid="{00000000-0005-0000-0000-000095010000}"/>
    <cellStyle name="Celda de comprobación 3" xfId="406" xr:uid="{00000000-0005-0000-0000-000096010000}"/>
    <cellStyle name="Celda de comprobación 4" xfId="407" xr:uid="{00000000-0005-0000-0000-000097010000}"/>
    <cellStyle name="Celda de comprobación 5" xfId="408" xr:uid="{00000000-0005-0000-0000-000098010000}"/>
    <cellStyle name="Celda de comprobación 6" xfId="409" xr:uid="{00000000-0005-0000-0000-000099010000}"/>
    <cellStyle name="Celda de comprobación 7" xfId="410" xr:uid="{00000000-0005-0000-0000-00009A010000}"/>
    <cellStyle name="Celda de comprobación 8" xfId="411" xr:uid="{00000000-0005-0000-0000-00009B010000}"/>
    <cellStyle name="Celda de comprobación 9" xfId="412" xr:uid="{00000000-0005-0000-0000-00009C010000}"/>
    <cellStyle name="Celda vinculada 2" xfId="413" xr:uid="{00000000-0005-0000-0000-00009D010000}"/>
    <cellStyle name="Celda vinculada 2 2" xfId="414" xr:uid="{00000000-0005-0000-0000-00009E010000}"/>
    <cellStyle name="Celda vinculada 2 2 2" xfId="415" xr:uid="{00000000-0005-0000-0000-00009F010000}"/>
    <cellStyle name="Celda vinculada 2 2 2 2" xfId="416" xr:uid="{00000000-0005-0000-0000-0000A0010000}"/>
    <cellStyle name="Celda vinculada 2 2 2 2 2" xfId="417" xr:uid="{00000000-0005-0000-0000-0000A1010000}"/>
    <cellStyle name="Celda vinculada 2 2 3" xfId="418" xr:uid="{00000000-0005-0000-0000-0000A2010000}"/>
    <cellStyle name="Celda vinculada 2 2 4" xfId="419" xr:uid="{00000000-0005-0000-0000-0000A3010000}"/>
    <cellStyle name="Celda vinculada 2 3" xfId="420" xr:uid="{00000000-0005-0000-0000-0000A4010000}"/>
    <cellStyle name="Celda vinculada 2 4" xfId="421" xr:uid="{00000000-0005-0000-0000-0000A5010000}"/>
    <cellStyle name="Celda vinculada 3" xfId="422" xr:uid="{00000000-0005-0000-0000-0000A6010000}"/>
    <cellStyle name="Celda vinculada 4" xfId="423" xr:uid="{00000000-0005-0000-0000-0000A7010000}"/>
    <cellStyle name="Celda vinculada 5" xfId="424" xr:uid="{00000000-0005-0000-0000-0000A8010000}"/>
    <cellStyle name="Celda vinculada 6" xfId="425" xr:uid="{00000000-0005-0000-0000-0000A9010000}"/>
    <cellStyle name="Celda vinculada 7" xfId="426" xr:uid="{00000000-0005-0000-0000-0000AA010000}"/>
    <cellStyle name="Celda vinculada 8" xfId="427" xr:uid="{00000000-0005-0000-0000-0000AB010000}"/>
    <cellStyle name="Celda vinculada 9" xfId="428" xr:uid="{00000000-0005-0000-0000-0000AC010000}"/>
    <cellStyle name="Check Cell" xfId="429" xr:uid="{00000000-0005-0000-0000-0000AD010000}"/>
    <cellStyle name="Check Cell 2" xfId="430" xr:uid="{00000000-0005-0000-0000-0000AE010000}"/>
    <cellStyle name="Check Cell 3" xfId="431" xr:uid="{00000000-0005-0000-0000-0000AF010000}"/>
    <cellStyle name="Check Cell 4" xfId="432" xr:uid="{00000000-0005-0000-0000-0000B0010000}"/>
    <cellStyle name="Check Cell 5" xfId="433" xr:uid="{00000000-0005-0000-0000-0000B1010000}"/>
    <cellStyle name="Coma 2" xfId="434" xr:uid="{00000000-0005-0000-0000-0000B2010000}"/>
    <cellStyle name="Encabezado 4 2" xfId="435" xr:uid="{00000000-0005-0000-0000-0000B3010000}"/>
    <cellStyle name="Encabezado 4 2 2" xfId="436" xr:uid="{00000000-0005-0000-0000-0000B4010000}"/>
    <cellStyle name="Encabezado 4 2 2 2" xfId="437" xr:uid="{00000000-0005-0000-0000-0000B5010000}"/>
    <cellStyle name="Encabezado 4 2 2 2 2" xfId="438" xr:uid="{00000000-0005-0000-0000-0000B6010000}"/>
    <cellStyle name="Encabezado 4 2 2 2 2 2" xfId="439" xr:uid="{00000000-0005-0000-0000-0000B7010000}"/>
    <cellStyle name="Encabezado 4 2 2 3" xfId="440" xr:uid="{00000000-0005-0000-0000-0000B8010000}"/>
    <cellStyle name="Encabezado 4 2 2 4" xfId="441" xr:uid="{00000000-0005-0000-0000-0000B9010000}"/>
    <cellStyle name="Encabezado 4 2 3" xfId="442" xr:uid="{00000000-0005-0000-0000-0000BA010000}"/>
    <cellStyle name="Encabezado 4 2 4" xfId="443" xr:uid="{00000000-0005-0000-0000-0000BB010000}"/>
    <cellStyle name="Encabezado 4 3" xfId="444" xr:uid="{00000000-0005-0000-0000-0000BC010000}"/>
    <cellStyle name="Encabezado 4 4" xfId="445" xr:uid="{00000000-0005-0000-0000-0000BD010000}"/>
    <cellStyle name="Encabezado 4 5" xfId="446" xr:uid="{00000000-0005-0000-0000-0000BE010000}"/>
    <cellStyle name="Encabezado 4 6" xfId="447" xr:uid="{00000000-0005-0000-0000-0000BF010000}"/>
    <cellStyle name="Encabezado 4 7" xfId="448" xr:uid="{00000000-0005-0000-0000-0000C0010000}"/>
    <cellStyle name="Encabezado 4 8" xfId="449" xr:uid="{00000000-0005-0000-0000-0000C1010000}"/>
    <cellStyle name="Encabezado 4 9" xfId="450" xr:uid="{00000000-0005-0000-0000-0000C2010000}"/>
    <cellStyle name="Énfasis1 2" xfId="451" xr:uid="{00000000-0005-0000-0000-0000C3010000}"/>
    <cellStyle name="Énfasis1 2 2" xfId="452" xr:uid="{00000000-0005-0000-0000-0000C4010000}"/>
    <cellStyle name="Énfasis1 3" xfId="453" xr:uid="{00000000-0005-0000-0000-0000C5010000}"/>
    <cellStyle name="Énfasis1 4" xfId="454" xr:uid="{00000000-0005-0000-0000-0000C6010000}"/>
    <cellStyle name="Énfasis1 5" xfId="455" xr:uid="{00000000-0005-0000-0000-0000C7010000}"/>
    <cellStyle name="Énfasis1 6" xfId="456" xr:uid="{00000000-0005-0000-0000-0000C8010000}"/>
    <cellStyle name="Énfasis1 7" xfId="457" xr:uid="{00000000-0005-0000-0000-0000C9010000}"/>
    <cellStyle name="Énfasis1 8" xfId="458" xr:uid="{00000000-0005-0000-0000-0000CA010000}"/>
    <cellStyle name="Énfasis2 2" xfId="459" xr:uid="{00000000-0005-0000-0000-0000CB010000}"/>
    <cellStyle name="Énfasis2 2 2" xfId="460" xr:uid="{00000000-0005-0000-0000-0000CC010000}"/>
    <cellStyle name="Énfasis2 3" xfId="461" xr:uid="{00000000-0005-0000-0000-0000CD010000}"/>
    <cellStyle name="Énfasis2 4" xfId="462" xr:uid="{00000000-0005-0000-0000-0000CE010000}"/>
    <cellStyle name="Énfasis2 5" xfId="463" xr:uid="{00000000-0005-0000-0000-0000CF010000}"/>
    <cellStyle name="Énfasis2 6" xfId="464" xr:uid="{00000000-0005-0000-0000-0000D0010000}"/>
    <cellStyle name="Énfasis2 7" xfId="465" xr:uid="{00000000-0005-0000-0000-0000D1010000}"/>
    <cellStyle name="Énfasis2 8" xfId="466" xr:uid="{00000000-0005-0000-0000-0000D2010000}"/>
    <cellStyle name="Énfasis3 2" xfId="467" xr:uid="{00000000-0005-0000-0000-0000D3010000}"/>
    <cellStyle name="Énfasis3 2 2" xfId="468" xr:uid="{00000000-0005-0000-0000-0000D4010000}"/>
    <cellStyle name="Énfasis3 3" xfId="469" xr:uid="{00000000-0005-0000-0000-0000D5010000}"/>
    <cellStyle name="Énfasis3 4" xfId="470" xr:uid="{00000000-0005-0000-0000-0000D6010000}"/>
    <cellStyle name="Énfasis3 5" xfId="471" xr:uid="{00000000-0005-0000-0000-0000D7010000}"/>
    <cellStyle name="Énfasis3 6" xfId="472" xr:uid="{00000000-0005-0000-0000-0000D8010000}"/>
    <cellStyle name="Énfasis3 7" xfId="473" xr:uid="{00000000-0005-0000-0000-0000D9010000}"/>
    <cellStyle name="Énfasis3 8" xfId="474" xr:uid="{00000000-0005-0000-0000-0000DA010000}"/>
    <cellStyle name="Énfasis4 2" xfId="475" xr:uid="{00000000-0005-0000-0000-0000DB010000}"/>
    <cellStyle name="Énfasis4 2 2" xfId="476" xr:uid="{00000000-0005-0000-0000-0000DC010000}"/>
    <cellStyle name="Énfasis4 3" xfId="477" xr:uid="{00000000-0005-0000-0000-0000DD010000}"/>
    <cellStyle name="Énfasis4 4" xfId="478" xr:uid="{00000000-0005-0000-0000-0000DE010000}"/>
    <cellStyle name="Énfasis4 5" xfId="479" xr:uid="{00000000-0005-0000-0000-0000DF010000}"/>
    <cellStyle name="Énfasis4 6" xfId="480" xr:uid="{00000000-0005-0000-0000-0000E0010000}"/>
    <cellStyle name="Énfasis4 7" xfId="481" xr:uid="{00000000-0005-0000-0000-0000E1010000}"/>
    <cellStyle name="Énfasis4 8" xfId="482" xr:uid="{00000000-0005-0000-0000-0000E2010000}"/>
    <cellStyle name="Énfasis5 2" xfId="483" xr:uid="{00000000-0005-0000-0000-0000E3010000}"/>
    <cellStyle name="Énfasis5 2 2" xfId="484" xr:uid="{00000000-0005-0000-0000-0000E4010000}"/>
    <cellStyle name="Énfasis5 3" xfId="485" xr:uid="{00000000-0005-0000-0000-0000E5010000}"/>
    <cellStyle name="Énfasis5 4" xfId="486" xr:uid="{00000000-0005-0000-0000-0000E6010000}"/>
    <cellStyle name="Énfasis5 5" xfId="487" xr:uid="{00000000-0005-0000-0000-0000E7010000}"/>
    <cellStyle name="Énfasis5 6" xfId="488" xr:uid="{00000000-0005-0000-0000-0000E8010000}"/>
    <cellStyle name="Énfasis5 7" xfId="489" xr:uid="{00000000-0005-0000-0000-0000E9010000}"/>
    <cellStyle name="Énfasis5 8" xfId="490" xr:uid="{00000000-0005-0000-0000-0000EA010000}"/>
    <cellStyle name="Énfasis6 2" xfId="491" xr:uid="{00000000-0005-0000-0000-0000EB010000}"/>
    <cellStyle name="Énfasis6 2 2" xfId="492" xr:uid="{00000000-0005-0000-0000-0000EC010000}"/>
    <cellStyle name="Énfasis6 3" xfId="493" xr:uid="{00000000-0005-0000-0000-0000ED010000}"/>
    <cellStyle name="Énfasis6 4" xfId="494" xr:uid="{00000000-0005-0000-0000-0000EE010000}"/>
    <cellStyle name="Énfasis6 5" xfId="495" xr:uid="{00000000-0005-0000-0000-0000EF010000}"/>
    <cellStyle name="Énfasis6 6" xfId="496" xr:uid="{00000000-0005-0000-0000-0000F0010000}"/>
    <cellStyle name="Énfasis6 7" xfId="497" xr:uid="{00000000-0005-0000-0000-0000F1010000}"/>
    <cellStyle name="Énfasis6 8" xfId="498" xr:uid="{00000000-0005-0000-0000-0000F2010000}"/>
    <cellStyle name="Entrada 2" xfId="499" xr:uid="{00000000-0005-0000-0000-0000F3010000}"/>
    <cellStyle name="Entrada 2 2" xfId="500" xr:uid="{00000000-0005-0000-0000-0000F4010000}"/>
    <cellStyle name="Entrada 2 2 2" xfId="501" xr:uid="{00000000-0005-0000-0000-0000F5010000}"/>
    <cellStyle name="Entrada 2 2 2 2" xfId="502" xr:uid="{00000000-0005-0000-0000-0000F6010000}"/>
    <cellStyle name="Entrada 2 2 2 2 2" xfId="503" xr:uid="{00000000-0005-0000-0000-0000F7010000}"/>
    <cellStyle name="Entrada 2 2 3" xfId="504" xr:uid="{00000000-0005-0000-0000-0000F8010000}"/>
    <cellStyle name="Entrada 2 2 4" xfId="505" xr:uid="{00000000-0005-0000-0000-0000F9010000}"/>
    <cellStyle name="Entrada 2 3" xfId="506" xr:uid="{00000000-0005-0000-0000-0000FA010000}"/>
    <cellStyle name="Entrada 2 4" xfId="507" xr:uid="{00000000-0005-0000-0000-0000FB010000}"/>
    <cellStyle name="Entrada 3" xfId="508" xr:uid="{00000000-0005-0000-0000-0000FC010000}"/>
    <cellStyle name="Entrada 4" xfId="509" xr:uid="{00000000-0005-0000-0000-0000FD010000}"/>
    <cellStyle name="Entrada 5" xfId="510" xr:uid="{00000000-0005-0000-0000-0000FE010000}"/>
    <cellStyle name="Entrada 6" xfId="511" xr:uid="{00000000-0005-0000-0000-0000FF010000}"/>
    <cellStyle name="Entrada 7" xfId="512" xr:uid="{00000000-0005-0000-0000-000000020000}"/>
    <cellStyle name="Entrada 8" xfId="513" xr:uid="{00000000-0005-0000-0000-000001020000}"/>
    <cellStyle name="Entrada 9" xfId="514" xr:uid="{00000000-0005-0000-0000-000002020000}"/>
    <cellStyle name="Estilo 1" xfId="515" xr:uid="{00000000-0005-0000-0000-000003020000}"/>
    <cellStyle name="Estilo 1 10" xfId="516" xr:uid="{00000000-0005-0000-0000-000004020000}"/>
    <cellStyle name="Estilo 1 10 2" xfId="517" xr:uid="{00000000-0005-0000-0000-000005020000}"/>
    <cellStyle name="Estilo 1 10 3" xfId="518" xr:uid="{00000000-0005-0000-0000-000006020000}"/>
    <cellStyle name="Estilo 1 10_Enlaces" xfId="519" xr:uid="{00000000-0005-0000-0000-000007020000}"/>
    <cellStyle name="Estilo 1 100" xfId="520" xr:uid="{00000000-0005-0000-0000-000008020000}"/>
    <cellStyle name="Estilo 1 100 2" xfId="521" xr:uid="{00000000-0005-0000-0000-000009020000}"/>
    <cellStyle name="Estilo 1 101" xfId="522" xr:uid="{00000000-0005-0000-0000-00000A020000}"/>
    <cellStyle name="Estilo 1 101 2" xfId="523" xr:uid="{00000000-0005-0000-0000-00000B020000}"/>
    <cellStyle name="Estilo 1 102" xfId="524" xr:uid="{00000000-0005-0000-0000-00000C020000}"/>
    <cellStyle name="Estilo 1 102 2" xfId="525" xr:uid="{00000000-0005-0000-0000-00000D020000}"/>
    <cellStyle name="Estilo 1 103" xfId="526" xr:uid="{00000000-0005-0000-0000-00000E020000}"/>
    <cellStyle name="Estilo 1 103 2" xfId="527" xr:uid="{00000000-0005-0000-0000-00000F020000}"/>
    <cellStyle name="Estilo 1 104" xfId="528" xr:uid="{00000000-0005-0000-0000-000010020000}"/>
    <cellStyle name="Estilo 1 104 2" xfId="529" xr:uid="{00000000-0005-0000-0000-000011020000}"/>
    <cellStyle name="Estilo 1 105" xfId="530" xr:uid="{00000000-0005-0000-0000-000012020000}"/>
    <cellStyle name="Estilo 1 105 2" xfId="531" xr:uid="{00000000-0005-0000-0000-000013020000}"/>
    <cellStyle name="Estilo 1 106" xfId="532" xr:uid="{00000000-0005-0000-0000-000014020000}"/>
    <cellStyle name="Estilo 1 106 2" xfId="533" xr:uid="{00000000-0005-0000-0000-000015020000}"/>
    <cellStyle name="Estilo 1 107" xfId="534" xr:uid="{00000000-0005-0000-0000-000016020000}"/>
    <cellStyle name="Estilo 1 107 2" xfId="535" xr:uid="{00000000-0005-0000-0000-000017020000}"/>
    <cellStyle name="Estilo 1 108" xfId="536" xr:uid="{00000000-0005-0000-0000-000018020000}"/>
    <cellStyle name="Estilo 1 108 2" xfId="537" xr:uid="{00000000-0005-0000-0000-000019020000}"/>
    <cellStyle name="Estilo 1 109" xfId="538" xr:uid="{00000000-0005-0000-0000-00001A020000}"/>
    <cellStyle name="Estilo 1 109 2" xfId="539" xr:uid="{00000000-0005-0000-0000-00001B020000}"/>
    <cellStyle name="Estilo 1 11" xfId="540" xr:uid="{00000000-0005-0000-0000-00001C020000}"/>
    <cellStyle name="Estilo 1 11 2" xfId="541" xr:uid="{00000000-0005-0000-0000-00001D020000}"/>
    <cellStyle name="Estilo 1 11 3" xfId="542" xr:uid="{00000000-0005-0000-0000-00001E020000}"/>
    <cellStyle name="Estilo 1 11_Enlaces" xfId="543" xr:uid="{00000000-0005-0000-0000-00001F020000}"/>
    <cellStyle name="Estilo 1 110" xfId="544" xr:uid="{00000000-0005-0000-0000-000020020000}"/>
    <cellStyle name="Estilo 1 110 2" xfId="545" xr:uid="{00000000-0005-0000-0000-000021020000}"/>
    <cellStyle name="Estilo 1 111" xfId="546" xr:uid="{00000000-0005-0000-0000-000022020000}"/>
    <cellStyle name="Estilo 1 111 2" xfId="547" xr:uid="{00000000-0005-0000-0000-000023020000}"/>
    <cellStyle name="Estilo 1 112" xfId="548" xr:uid="{00000000-0005-0000-0000-000024020000}"/>
    <cellStyle name="Estilo 1 112 2" xfId="549" xr:uid="{00000000-0005-0000-0000-000025020000}"/>
    <cellStyle name="Estilo 1 113" xfId="550" xr:uid="{00000000-0005-0000-0000-000026020000}"/>
    <cellStyle name="Estilo 1 113 2" xfId="551" xr:uid="{00000000-0005-0000-0000-000027020000}"/>
    <cellStyle name="Estilo 1 114" xfId="552" xr:uid="{00000000-0005-0000-0000-000028020000}"/>
    <cellStyle name="Estilo 1 114 2" xfId="553" xr:uid="{00000000-0005-0000-0000-000029020000}"/>
    <cellStyle name="Estilo 1 115" xfId="554" xr:uid="{00000000-0005-0000-0000-00002A020000}"/>
    <cellStyle name="Estilo 1 115 2" xfId="555" xr:uid="{00000000-0005-0000-0000-00002B020000}"/>
    <cellStyle name="Estilo 1 116" xfId="556" xr:uid="{00000000-0005-0000-0000-00002C020000}"/>
    <cellStyle name="Estilo 1 116 2" xfId="557" xr:uid="{00000000-0005-0000-0000-00002D020000}"/>
    <cellStyle name="Estilo 1 117" xfId="558" xr:uid="{00000000-0005-0000-0000-00002E020000}"/>
    <cellStyle name="Estilo 1 117 2" xfId="559" xr:uid="{00000000-0005-0000-0000-00002F020000}"/>
    <cellStyle name="Estilo 1 118" xfId="560" xr:uid="{00000000-0005-0000-0000-000030020000}"/>
    <cellStyle name="Estilo 1 118 2" xfId="561" xr:uid="{00000000-0005-0000-0000-000031020000}"/>
    <cellStyle name="Estilo 1 119" xfId="562" xr:uid="{00000000-0005-0000-0000-000032020000}"/>
    <cellStyle name="Estilo 1 119 2" xfId="563" xr:uid="{00000000-0005-0000-0000-000033020000}"/>
    <cellStyle name="Estilo 1 12" xfId="564" xr:uid="{00000000-0005-0000-0000-000034020000}"/>
    <cellStyle name="Estilo 1 12 2" xfId="565" xr:uid="{00000000-0005-0000-0000-000035020000}"/>
    <cellStyle name="Estilo 1 12 3" xfId="566" xr:uid="{00000000-0005-0000-0000-000036020000}"/>
    <cellStyle name="Estilo 1 12_Enlaces" xfId="567" xr:uid="{00000000-0005-0000-0000-000037020000}"/>
    <cellStyle name="Estilo 1 120" xfId="568" xr:uid="{00000000-0005-0000-0000-000038020000}"/>
    <cellStyle name="Estilo 1 120 2" xfId="569" xr:uid="{00000000-0005-0000-0000-000039020000}"/>
    <cellStyle name="Estilo 1 121" xfId="570" xr:uid="{00000000-0005-0000-0000-00003A020000}"/>
    <cellStyle name="Estilo 1 121 2" xfId="571" xr:uid="{00000000-0005-0000-0000-00003B020000}"/>
    <cellStyle name="Estilo 1 122" xfId="572" xr:uid="{00000000-0005-0000-0000-00003C020000}"/>
    <cellStyle name="Estilo 1 122 2" xfId="573" xr:uid="{00000000-0005-0000-0000-00003D020000}"/>
    <cellStyle name="Estilo 1 123" xfId="574" xr:uid="{00000000-0005-0000-0000-00003E020000}"/>
    <cellStyle name="Estilo 1 123 2" xfId="575" xr:uid="{00000000-0005-0000-0000-00003F020000}"/>
    <cellStyle name="Estilo 1 124" xfId="576" xr:uid="{00000000-0005-0000-0000-000040020000}"/>
    <cellStyle name="Estilo 1 124 2" xfId="577" xr:uid="{00000000-0005-0000-0000-000041020000}"/>
    <cellStyle name="Estilo 1 125" xfId="578" xr:uid="{00000000-0005-0000-0000-000042020000}"/>
    <cellStyle name="Estilo 1 125 2" xfId="579" xr:uid="{00000000-0005-0000-0000-000043020000}"/>
    <cellStyle name="Estilo 1 126" xfId="580" xr:uid="{00000000-0005-0000-0000-000044020000}"/>
    <cellStyle name="Estilo 1 126 2" xfId="581" xr:uid="{00000000-0005-0000-0000-000045020000}"/>
    <cellStyle name="Estilo 1 127" xfId="582" xr:uid="{00000000-0005-0000-0000-000046020000}"/>
    <cellStyle name="Estilo 1 127 2" xfId="583" xr:uid="{00000000-0005-0000-0000-000047020000}"/>
    <cellStyle name="Estilo 1 128" xfId="584" xr:uid="{00000000-0005-0000-0000-000048020000}"/>
    <cellStyle name="Estilo 1 128 2" xfId="585" xr:uid="{00000000-0005-0000-0000-000049020000}"/>
    <cellStyle name="Estilo 1 129" xfId="586" xr:uid="{00000000-0005-0000-0000-00004A020000}"/>
    <cellStyle name="Estilo 1 129 2" xfId="587" xr:uid="{00000000-0005-0000-0000-00004B020000}"/>
    <cellStyle name="Estilo 1 13" xfId="588" xr:uid="{00000000-0005-0000-0000-00004C020000}"/>
    <cellStyle name="Estilo 1 13 2" xfId="589" xr:uid="{00000000-0005-0000-0000-00004D020000}"/>
    <cellStyle name="Estilo 1 13 3" xfId="590" xr:uid="{00000000-0005-0000-0000-00004E020000}"/>
    <cellStyle name="Estilo 1 13_Enlaces" xfId="591" xr:uid="{00000000-0005-0000-0000-00004F020000}"/>
    <cellStyle name="Estilo 1 130" xfId="592" xr:uid="{00000000-0005-0000-0000-000050020000}"/>
    <cellStyle name="Estilo 1 130 2" xfId="593" xr:uid="{00000000-0005-0000-0000-000051020000}"/>
    <cellStyle name="Estilo 1 131" xfId="594" xr:uid="{00000000-0005-0000-0000-000052020000}"/>
    <cellStyle name="Estilo 1 131 2" xfId="595" xr:uid="{00000000-0005-0000-0000-000053020000}"/>
    <cellStyle name="Estilo 1 132" xfId="596" xr:uid="{00000000-0005-0000-0000-000054020000}"/>
    <cellStyle name="Estilo 1 132 2" xfId="597" xr:uid="{00000000-0005-0000-0000-000055020000}"/>
    <cellStyle name="Estilo 1 133" xfId="598" xr:uid="{00000000-0005-0000-0000-000056020000}"/>
    <cellStyle name="Estilo 1 133 2" xfId="599" xr:uid="{00000000-0005-0000-0000-000057020000}"/>
    <cellStyle name="Estilo 1 134" xfId="600" xr:uid="{00000000-0005-0000-0000-000058020000}"/>
    <cellStyle name="Estilo 1 134 2" xfId="601" xr:uid="{00000000-0005-0000-0000-000059020000}"/>
    <cellStyle name="Estilo 1 135" xfId="602" xr:uid="{00000000-0005-0000-0000-00005A020000}"/>
    <cellStyle name="Estilo 1 135 2" xfId="603" xr:uid="{00000000-0005-0000-0000-00005B020000}"/>
    <cellStyle name="Estilo 1 136" xfId="604" xr:uid="{00000000-0005-0000-0000-00005C020000}"/>
    <cellStyle name="Estilo 1 136 2" xfId="605" xr:uid="{00000000-0005-0000-0000-00005D020000}"/>
    <cellStyle name="Estilo 1 137" xfId="606" xr:uid="{00000000-0005-0000-0000-00005E020000}"/>
    <cellStyle name="Estilo 1 137 2" xfId="607" xr:uid="{00000000-0005-0000-0000-00005F020000}"/>
    <cellStyle name="Estilo 1 138" xfId="608" xr:uid="{00000000-0005-0000-0000-000060020000}"/>
    <cellStyle name="Estilo 1 138 2" xfId="609" xr:uid="{00000000-0005-0000-0000-000061020000}"/>
    <cellStyle name="Estilo 1 139" xfId="610" xr:uid="{00000000-0005-0000-0000-000062020000}"/>
    <cellStyle name="Estilo 1 139 2" xfId="611" xr:uid="{00000000-0005-0000-0000-000063020000}"/>
    <cellStyle name="Estilo 1 14" xfId="612" xr:uid="{00000000-0005-0000-0000-000064020000}"/>
    <cellStyle name="Estilo 1 14 2" xfId="613" xr:uid="{00000000-0005-0000-0000-000065020000}"/>
    <cellStyle name="Estilo 1 14 3" xfId="614" xr:uid="{00000000-0005-0000-0000-000066020000}"/>
    <cellStyle name="Estilo 1 14_Enlaces" xfId="615" xr:uid="{00000000-0005-0000-0000-000067020000}"/>
    <cellStyle name="Estilo 1 140" xfId="616" xr:uid="{00000000-0005-0000-0000-000068020000}"/>
    <cellStyle name="Estilo 1 140 2" xfId="617" xr:uid="{00000000-0005-0000-0000-000069020000}"/>
    <cellStyle name="Estilo 1 141" xfId="618" xr:uid="{00000000-0005-0000-0000-00006A020000}"/>
    <cellStyle name="Estilo 1 141 2" xfId="619" xr:uid="{00000000-0005-0000-0000-00006B020000}"/>
    <cellStyle name="Estilo 1 142" xfId="620" xr:uid="{00000000-0005-0000-0000-00006C020000}"/>
    <cellStyle name="Estilo 1 142 2" xfId="621" xr:uid="{00000000-0005-0000-0000-00006D020000}"/>
    <cellStyle name="Estilo 1 143" xfId="622" xr:uid="{00000000-0005-0000-0000-00006E020000}"/>
    <cellStyle name="Estilo 1 143 2" xfId="623" xr:uid="{00000000-0005-0000-0000-00006F020000}"/>
    <cellStyle name="Estilo 1 144" xfId="624" xr:uid="{00000000-0005-0000-0000-000070020000}"/>
    <cellStyle name="Estilo 1 144 2" xfId="625" xr:uid="{00000000-0005-0000-0000-000071020000}"/>
    <cellStyle name="Estilo 1 145" xfId="626" xr:uid="{00000000-0005-0000-0000-000072020000}"/>
    <cellStyle name="Estilo 1 145 2" xfId="627" xr:uid="{00000000-0005-0000-0000-000073020000}"/>
    <cellStyle name="Estilo 1 146" xfId="628" xr:uid="{00000000-0005-0000-0000-000074020000}"/>
    <cellStyle name="Estilo 1 146 2" xfId="629" xr:uid="{00000000-0005-0000-0000-000075020000}"/>
    <cellStyle name="Estilo 1 147" xfId="630" xr:uid="{00000000-0005-0000-0000-000076020000}"/>
    <cellStyle name="Estilo 1 147 2" xfId="631" xr:uid="{00000000-0005-0000-0000-000077020000}"/>
    <cellStyle name="Estilo 1 148" xfId="632" xr:uid="{00000000-0005-0000-0000-000078020000}"/>
    <cellStyle name="Estilo 1 148 2" xfId="633" xr:uid="{00000000-0005-0000-0000-000079020000}"/>
    <cellStyle name="Estilo 1 149" xfId="634" xr:uid="{00000000-0005-0000-0000-00007A020000}"/>
    <cellStyle name="Estilo 1 149 2" xfId="635" xr:uid="{00000000-0005-0000-0000-00007B020000}"/>
    <cellStyle name="Estilo 1 15" xfId="636" xr:uid="{00000000-0005-0000-0000-00007C020000}"/>
    <cellStyle name="Estilo 1 15 2" xfId="637" xr:uid="{00000000-0005-0000-0000-00007D020000}"/>
    <cellStyle name="Estilo 1 15 3" xfId="638" xr:uid="{00000000-0005-0000-0000-00007E020000}"/>
    <cellStyle name="Estilo 1 15_Enlaces" xfId="639" xr:uid="{00000000-0005-0000-0000-00007F020000}"/>
    <cellStyle name="Estilo 1 150" xfId="640" xr:uid="{00000000-0005-0000-0000-000080020000}"/>
    <cellStyle name="Estilo 1 150 2" xfId="641" xr:uid="{00000000-0005-0000-0000-000081020000}"/>
    <cellStyle name="Estilo 1 151" xfId="642" xr:uid="{00000000-0005-0000-0000-000082020000}"/>
    <cellStyle name="Estilo 1 151 2" xfId="643" xr:uid="{00000000-0005-0000-0000-000083020000}"/>
    <cellStyle name="Estilo 1 152" xfId="644" xr:uid="{00000000-0005-0000-0000-000084020000}"/>
    <cellStyle name="Estilo 1 152 2" xfId="645" xr:uid="{00000000-0005-0000-0000-000085020000}"/>
    <cellStyle name="Estilo 1 153" xfId="646" xr:uid="{00000000-0005-0000-0000-000086020000}"/>
    <cellStyle name="Estilo 1 153 2" xfId="647" xr:uid="{00000000-0005-0000-0000-000087020000}"/>
    <cellStyle name="Estilo 1 154" xfId="648" xr:uid="{00000000-0005-0000-0000-000088020000}"/>
    <cellStyle name="Estilo 1 154 2" xfId="649" xr:uid="{00000000-0005-0000-0000-000089020000}"/>
    <cellStyle name="Estilo 1 155" xfId="650" xr:uid="{00000000-0005-0000-0000-00008A020000}"/>
    <cellStyle name="Estilo 1 155 2" xfId="651" xr:uid="{00000000-0005-0000-0000-00008B020000}"/>
    <cellStyle name="Estilo 1 156" xfId="652" xr:uid="{00000000-0005-0000-0000-00008C020000}"/>
    <cellStyle name="Estilo 1 156 2" xfId="653" xr:uid="{00000000-0005-0000-0000-00008D020000}"/>
    <cellStyle name="Estilo 1 157" xfId="654" xr:uid="{00000000-0005-0000-0000-00008E020000}"/>
    <cellStyle name="Estilo 1 157 2" xfId="655" xr:uid="{00000000-0005-0000-0000-00008F020000}"/>
    <cellStyle name="Estilo 1 158" xfId="656" xr:uid="{00000000-0005-0000-0000-000090020000}"/>
    <cellStyle name="Estilo 1 158 2" xfId="657" xr:uid="{00000000-0005-0000-0000-000091020000}"/>
    <cellStyle name="Estilo 1 159" xfId="658" xr:uid="{00000000-0005-0000-0000-000092020000}"/>
    <cellStyle name="Estilo 1 159 2" xfId="659" xr:uid="{00000000-0005-0000-0000-000093020000}"/>
    <cellStyle name="Estilo 1 16" xfId="660" xr:uid="{00000000-0005-0000-0000-000094020000}"/>
    <cellStyle name="Estilo 1 16 2" xfId="661" xr:uid="{00000000-0005-0000-0000-000095020000}"/>
    <cellStyle name="Estilo 1 16 3" xfId="662" xr:uid="{00000000-0005-0000-0000-000096020000}"/>
    <cellStyle name="Estilo 1 16_Enlaces" xfId="663" xr:uid="{00000000-0005-0000-0000-000097020000}"/>
    <cellStyle name="Estilo 1 160" xfId="664" xr:uid="{00000000-0005-0000-0000-000098020000}"/>
    <cellStyle name="Estilo 1 160 2" xfId="665" xr:uid="{00000000-0005-0000-0000-000099020000}"/>
    <cellStyle name="Estilo 1 161" xfId="666" xr:uid="{00000000-0005-0000-0000-00009A020000}"/>
    <cellStyle name="Estilo 1 161 2" xfId="667" xr:uid="{00000000-0005-0000-0000-00009B020000}"/>
    <cellStyle name="Estilo 1 162" xfId="668" xr:uid="{00000000-0005-0000-0000-00009C020000}"/>
    <cellStyle name="Estilo 1 162 2" xfId="669" xr:uid="{00000000-0005-0000-0000-00009D020000}"/>
    <cellStyle name="Estilo 1 163" xfId="670" xr:uid="{00000000-0005-0000-0000-00009E020000}"/>
    <cellStyle name="Estilo 1 163 2" xfId="671" xr:uid="{00000000-0005-0000-0000-00009F020000}"/>
    <cellStyle name="Estilo 1 164" xfId="672" xr:uid="{00000000-0005-0000-0000-0000A0020000}"/>
    <cellStyle name="Estilo 1 164 2" xfId="673" xr:uid="{00000000-0005-0000-0000-0000A1020000}"/>
    <cellStyle name="Estilo 1 165" xfId="674" xr:uid="{00000000-0005-0000-0000-0000A2020000}"/>
    <cellStyle name="Estilo 1 165 2" xfId="675" xr:uid="{00000000-0005-0000-0000-0000A3020000}"/>
    <cellStyle name="Estilo 1 166" xfId="676" xr:uid="{00000000-0005-0000-0000-0000A4020000}"/>
    <cellStyle name="Estilo 1 166 2" xfId="677" xr:uid="{00000000-0005-0000-0000-0000A5020000}"/>
    <cellStyle name="Estilo 1 167" xfId="678" xr:uid="{00000000-0005-0000-0000-0000A6020000}"/>
    <cellStyle name="Estilo 1 167 2" xfId="679" xr:uid="{00000000-0005-0000-0000-0000A7020000}"/>
    <cellStyle name="Estilo 1 168" xfId="680" xr:uid="{00000000-0005-0000-0000-0000A8020000}"/>
    <cellStyle name="Estilo 1 168 2" xfId="681" xr:uid="{00000000-0005-0000-0000-0000A9020000}"/>
    <cellStyle name="Estilo 1 169" xfId="682" xr:uid="{00000000-0005-0000-0000-0000AA020000}"/>
    <cellStyle name="Estilo 1 169 2" xfId="683" xr:uid="{00000000-0005-0000-0000-0000AB020000}"/>
    <cellStyle name="Estilo 1 17" xfId="684" xr:uid="{00000000-0005-0000-0000-0000AC020000}"/>
    <cellStyle name="Estilo 1 17 2" xfId="685" xr:uid="{00000000-0005-0000-0000-0000AD020000}"/>
    <cellStyle name="Estilo 1 17 3" xfId="686" xr:uid="{00000000-0005-0000-0000-0000AE020000}"/>
    <cellStyle name="Estilo 1 17_Enlaces" xfId="687" xr:uid="{00000000-0005-0000-0000-0000AF020000}"/>
    <cellStyle name="Estilo 1 170" xfId="688" xr:uid="{00000000-0005-0000-0000-0000B0020000}"/>
    <cellStyle name="Estilo 1 170 2" xfId="689" xr:uid="{00000000-0005-0000-0000-0000B1020000}"/>
    <cellStyle name="Estilo 1 171" xfId="690" xr:uid="{00000000-0005-0000-0000-0000B2020000}"/>
    <cellStyle name="Estilo 1 171 2" xfId="691" xr:uid="{00000000-0005-0000-0000-0000B3020000}"/>
    <cellStyle name="Estilo 1 172" xfId="692" xr:uid="{00000000-0005-0000-0000-0000B4020000}"/>
    <cellStyle name="Estilo 1 172 2" xfId="693" xr:uid="{00000000-0005-0000-0000-0000B5020000}"/>
    <cellStyle name="Estilo 1 173" xfId="694" xr:uid="{00000000-0005-0000-0000-0000B6020000}"/>
    <cellStyle name="Estilo 1 173 2" xfId="695" xr:uid="{00000000-0005-0000-0000-0000B7020000}"/>
    <cellStyle name="Estilo 1 174" xfId="696" xr:uid="{00000000-0005-0000-0000-0000B8020000}"/>
    <cellStyle name="Estilo 1 174 2" xfId="697" xr:uid="{00000000-0005-0000-0000-0000B9020000}"/>
    <cellStyle name="Estilo 1 175" xfId="698" xr:uid="{00000000-0005-0000-0000-0000BA020000}"/>
    <cellStyle name="Estilo 1 175 2" xfId="699" xr:uid="{00000000-0005-0000-0000-0000BB020000}"/>
    <cellStyle name="Estilo 1 176" xfId="700" xr:uid="{00000000-0005-0000-0000-0000BC020000}"/>
    <cellStyle name="Estilo 1 176 2" xfId="701" xr:uid="{00000000-0005-0000-0000-0000BD020000}"/>
    <cellStyle name="Estilo 1 177" xfId="702" xr:uid="{00000000-0005-0000-0000-0000BE020000}"/>
    <cellStyle name="Estilo 1 177 2" xfId="703" xr:uid="{00000000-0005-0000-0000-0000BF020000}"/>
    <cellStyle name="Estilo 1 178" xfId="704" xr:uid="{00000000-0005-0000-0000-0000C0020000}"/>
    <cellStyle name="Estilo 1 178 2" xfId="705" xr:uid="{00000000-0005-0000-0000-0000C1020000}"/>
    <cellStyle name="Estilo 1 179" xfId="706" xr:uid="{00000000-0005-0000-0000-0000C2020000}"/>
    <cellStyle name="Estilo 1 179 2" xfId="707" xr:uid="{00000000-0005-0000-0000-0000C3020000}"/>
    <cellStyle name="Estilo 1 18" xfId="708" xr:uid="{00000000-0005-0000-0000-0000C4020000}"/>
    <cellStyle name="Estilo 1 18 2" xfId="709" xr:uid="{00000000-0005-0000-0000-0000C5020000}"/>
    <cellStyle name="Estilo 1 18 3" xfId="710" xr:uid="{00000000-0005-0000-0000-0000C6020000}"/>
    <cellStyle name="Estilo 1 18_Enlaces" xfId="711" xr:uid="{00000000-0005-0000-0000-0000C7020000}"/>
    <cellStyle name="Estilo 1 180" xfId="712" xr:uid="{00000000-0005-0000-0000-0000C8020000}"/>
    <cellStyle name="Estilo 1 180 2" xfId="713" xr:uid="{00000000-0005-0000-0000-0000C9020000}"/>
    <cellStyle name="Estilo 1 181" xfId="714" xr:uid="{00000000-0005-0000-0000-0000CA020000}"/>
    <cellStyle name="Estilo 1 181 2" xfId="715" xr:uid="{00000000-0005-0000-0000-0000CB020000}"/>
    <cellStyle name="Estilo 1 182" xfId="716" xr:uid="{00000000-0005-0000-0000-0000CC020000}"/>
    <cellStyle name="Estilo 1 182 2" xfId="717" xr:uid="{00000000-0005-0000-0000-0000CD020000}"/>
    <cellStyle name="Estilo 1 183" xfId="718" xr:uid="{00000000-0005-0000-0000-0000CE020000}"/>
    <cellStyle name="Estilo 1 183 2" xfId="719" xr:uid="{00000000-0005-0000-0000-0000CF020000}"/>
    <cellStyle name="Estilo 1 184" xfId="720" xr:uid="{00000000-0005-0000-0000-0000D0020000}"/>
    <cellStyle name="Estilo 1 184 2" xfId="721" xr:uid="{00000000-0005-0000-0000-0000D1020000}"/>
    <cellStyle name="Estilo 1 185" xfId="722" xr:uid="{00000000-0005-0000-0000-0000D2020000}"/>
    <cellStyle name="Estilo 1 185 2" xfId="723" xr:uid="{00000000-0005-0000-0000-0000D3020000}"/>
    <cellStyle name="Estilo 1 186" xfId="724" xr:uid="{00000000-0005-0000-0000-0000D4020000}"/>
    <cellStyle name="Estilo 1 186 2" xfId="725" xr:uid="{00000000-0005-0000-0000-0000D5020000}"/>
    <cellStyle name="Estilo 1 187" xfId="726" xr:uid="{00000000-0005-0000-0000-0000D6020000}"/>
    <cellStyle name="Estilo 1 187 2" xfId="727" xr:uid="{00000000-0005-0000-0000-0000D7020000}"/>
    <cellStyle name="Estilo 1 188" xfId="728" xr:uid="{00000000-0005-0000-0000-0000D8020000}"/>
    <cellStyle name="Estilo 1 188 2" xfId="729" xr:uid="{00000000-0005-0000-0000-0000D9020000}"/>
    <cellStyle name="Estilo 1 189" xfId="730" xr:uid="{00000000-0005-0000-0000-0000DA020000}"/>
    <cellStyle name="Estilo 1 189 2" xfId="731" xr:uid="{00000000-0005-0000-0000-0000DB020000}"/>
    <cellStyle name="Estilo 1 19" xfId="732" xr:uid="{00000000-0005-0000-0000-0000DC020000}"/>
    <cellStyle name="Estilo 1 19 2" xfId="733" xr:uid="{00000000-0005-0000-0000-0000DD020000}"/>
    <cellStyle name="Estilo 1 19 3" xfId="734" xr:uid="{00000000-0005-0000-0000-0000DE020000}"/>
    <cellStyle name="Estilo 1 19_Enlaces" xfId="735" xr:uid="{00000000-0005-0000-0000-0000DF020000}"/>
    <cellStyle name="Estilo 1 190" xfId="736" xr:uid="{00000000-0005-0000-0000-0000E0020000}"/>
    <cellStyle name="Estilo 1 190 2" xfId="737" xr:uid="{00000000-0005-0000-0000-0000E1020000}"/>
    <cellStyle name="Estilo 1 191" xfId="738" xr:uid="{00000000-0005-0000-0000-0000E2020000}"/>
    <cellStyle name="Estilo 1 191 2" xfId="739" xr:uid="{00000000-0005-0000-0000-0000E3020000}"/>
    <cellStyle name="Estilo 1 192" xfId="740" xr:uid="{00000000-0005-0000-0000-0000E4020000}"/>
    <cellStyle name="Estilo 1 192 2" xfId="741" xr:uid="{00000000-0005-0000-0000-0000E5020000}"/>
    <cellStyle name="Estilo 1 193" xfId="742" xr:uid="{00000000-0005-0000-0000-0000E6020000}"/>
    <cellStyle name="Estilo 1 193 2" xfId="743" xr:uid="{00000000-0005-0000-0000-0000E7020000}"/>
    <cellStyle name="Estilo 1 194" xfId="744" xr:uid="{00000000-0005-0000-0000-0000E8020000}"/>
    <cellStyle name="Estilo 1 194 2" xfId="745" xr:uid="{00000000-0005-0000-0000-0000E9020000}"/>
    <cellStyle name="Estilo 1 195" xfId="746" xr:uid="{00000000-0005-0000-0000-0000EA020000}"/>
    <cellStyle name="Estilo 1 195 2" xfId="747" xr:uid="{00000000-0005-0000-0000-0000EB020000}"/>
    <cellStyle name="Estilo 1 196" xfId="748" xr:uid="{00000000-0005-0000-0000-0000EC020000}"/>
    <cellStyle name="Estilo 1 196 2" xfId="749" xr:uid="{00000000-0005-0000-0000-0000ED020000}"/>
    <cellStyle name="Estilo 1 197" xfId="750" xr:uid="{00000000-0005-0000-0000-0000EE020000}"/>
    <cellStyle name="Estilo 1 197 2" xfId="751" xr:uid="{00000000-0005-0000-0000-0000EF020000}"/>
    <cellStyle name="Estilo 1 198" xfId="752" xr:uid="{00000000-0005-0000-0000-0000F0020000}"/>
    <cellStyle name="Estilo 1 198 2" xfId="753" xr:uid="{00000000-0005-0000-0000-0000F1020000}"/>
    <cellStyle name="Estilo 1 199" xfId="754" xr:uid="{00000000-0005-0000-0000-0000F2020000}"/>
    <cellStyle name="Estilo 1 199 2" xfId="755" xr:uid="{00000000-0005-0000-0000-0000F3020000}"/>
    <cellStyle name="Estilo 1 2" xfId="756" xr:uid="{00000000-0005-0000-0000-0000F4020000}"/>
    <cellStyle name="Estilo 1 2 2" xfId="757" xr:uid="{00000000-0005-0000-0000-0000F5020000}"/>
    <cellStyle name="Estilo 1 2 2 2" xfId="758" xr:uid="{00000000-0005-0000-0000-0000F6020000}"/>
    <cellStyle name="Estilo 1 2 3" xfId="759" xr:uid="{00000000-0005-0000-0000-0000F7020000}"/>
    <cellStyle name="Estilo 1 2 3 2" xfId="760" xr:uid="{00000000-0005-0000-0000-0000F8020000}"/>
    <cellStyle name="Estilo 1 2 4" xfId="761" xr:uid="{00000000-0005-0000-0000-0000F9020000}"/>
    <cellStyle name="Estilo 1 2 4 2" xfId="762" xr:uid="{00000000-0005-0000-0000-0000FA020000}"/>
    <cellStyle name="Estilo 1 2 5" xfId="763" xr:uid="{00000000-0005-0000-0000-0000FB020000}"/>
    <cellStyle name="Estilo 1 2 6" xfId="764" xr:uid="{00000000-0005-0000-0000-0000FC020000}"/>
    <cellStyle name="Estilo 1 2 7" xfId="765" xr:uid="{00000000-0005-0000-0000-0000FD020000}"/>
    <cellStyle name="Estilo 1 2 7 2" xfId="766" xr:uid="{00000000-0005-0000-0000-0000FE020000}"/>
    <cellStyle name="Estilo 1 2_Enlaces" xfId="767" xr:uid="{00000000-0005-0000-0000-0000FF020000}"/>
    <cellStyle name="Estilo 1 20" xfId="768" xr:uid="{00000000-0005-0000-0000-000000030000}"/>
    <cellStyle name="Estilo 1 20 2" xfId="769" xr:uid="{00000000-0005-0000-0000-000001030000}"/>
    <cellStyle name="Estilo 1 20 3" xfId="770" xr:uid="{00000000-0005-0000-0000-000002030000}"/>
    <cellStyle name="Estilo 1 20_Enlaces" xfId="771" xr:uid="{00000000-0005-0000-0000-000003030000}"/>
    <cellStyle name="Estilo 1 200" xfId="772" xr:uid="{00000000-0005-0000-0000-000004030000}"/>
    <cellStyle name="Estilo 1 200 2" xfId="773" xr:uid="{00000000-0005-0000-0000-000005030000}"/>
    <cellStyle name="Estilo 1 21" xfId="774" xr:uid="{00000000-0005-0000-0000-000006030000}"/>
    <cellStyle name="Estilo 1 21 2" xfId="775" xr:uid="{00000000-0005-0000-0000-000007030000}"/>
    <cellStyle name="Estilo 1 21_Enlaces" xfId="776" xr:uid="{00000000-0005-0000-0000-000008030000}"/>
    <cellStyle name="Estilo 1 22" xfId="777" xr:uid="{00000000-0005-0000-0000-000009030000}"/>
    <cellStyle name="Estilo 1 22 2" xfId="778" xr:uid="{00000000-0005-0000-0000-00000A030000}"/>
    <cellStyle name="Estilo 1 22_Enlaces" xfId="779" xr:uid="{00000000-0005-0000-0000-00000B030000}"/>
    <cellStyle name="Estilo 1 23" xfId="780" xr:uid="{00000000-0005-0000-0000-00000C030000}"/>
    <cellStyle name="Estilo 1 23 2" xfId="781" xr:uid="{00000000-0005-0000-0000-00000D030000}"/>
    <cellStyle name="Estilo 1 23_Enlaces" xfId="782" xr:uid="{00000000-0005-0000-0000-00000E030000}"/>
    <cellStyle name="Estilo 1 24" xfId="783" xr:uid="{00000000-0005-0000-0000-00000F030000}"/>
    <cellStyle name="Estilo 1 24 2" xfId="784" xr:uid="{00000000-0005-0000-0000-000010030000}"/>
    <cellStyle name="Estilo 1 24_Enlaces" xfId="785" xr:uid="{00000000-0005-0000-0000-000011030000}"/>
    <cellStyle name="Estilo 1 25" xfId="786" xr:uid="{00000000-0005-0000-0000-000012030000}"/>
    <cellStyle name="Estilo 1 25 2" xfId="787" xr:uid="{00000000-0005-0000-0000-000013030000}"/>
    <cellStyle name="Estilo 1 25_Enlaces" xfId="788" xr:uid="{00000000-0005-0000-0000-000014030000}"/>
    <cellStyle name="Estilo 1 26" xfId="789" xr:uid="{00000000-0005-0000-0000-000015030000}"/>
    <cellStyle name="Estilo 1 26 2" xfId="790" xr:uid="{00000000-0005-0000-0000-000016030000}"/>
    <cellStyle name="Estilo 1 26_Enlaces" xfId="791" xr:uid="{00000000-0005-0000-0000-000017030000}"/>
    <cellStyle name="Estilo 1 27" xfId="792" xr:uid="{00000000-0005-0000-0000-000018030000}"/>
    <cellStyle name="Estilo 1 27 2" xfId="793" xr:uid="{00000000-0005-0000-0000-000019030000}"/>
    <cellStyle name="Estilo 1 27_Enlaces" xfId="794" xr:uid="{00000000-0005-0000-0000-00001A030000}"/>
    <cellStyle name="Estilo 1 28" xfId="795" xr:uid="{00000000-0005-0000-0000-00001B030000}"/>
    <cellStyle name="Estilo 1 29" xfId="796" xr:uid="{00000000-0005-0000-0000-00001C030000}"/>
    <cellStyle name="Estilo 1 3" xfId="797" xr:uid="{00000000-0005-0000-0000-00001D030000}"/>
    <cellStyle name="Estilo 1 3 2" xfId="798" xr:uid="{00000000-0005-0000-0000-00001E030000}"/>
    <cellStyle name="Estilo 1 3 3" xfId="799" xr:uid="{00000000-0005-0000-0000-00001F030000}"/>
    <cellStyle name="Estilo 1 3_Enlaces" xfId="800" xr:uid="{00000000-0005-0000-0000-000020030000}"/>
    <cellStyle name="Estilo 1 30" xfId="801" xr:uid="{00000000-0005-0000-0000-000021030000}"/>
    <cellStyle name="Estilo 1 31" xfId="802" xr:uid="{00000000-0005-0000-0000-000022030000}"/>
    <cellStyle name="Estilo 1 32" xfId="803" xr:uid="{00000000-0005-0000-0000-000023030000}"/>
    <cellStyle name="Estilo 1 33" xfId="804" xr:uid="{00000000-0005-0000-0000-000024030000}"/>
    <cellStyle name="Estilo 1 34" xfId="805" xr:uid="{00000000-0005-0000-0000-000025030000}"/>
    <cellStyle name="Estilo 1 35" xfId="806" xr:uid="{00000000-0005-0000-0000-000026030000}"/>
    <cellStyle name="Estilo 1 36" xfId="807" xr:uid="{00000000-0005-0000-0000-000027030000}"/>
    <cellStyle name="Estilo 1 37" xfId="808" xr:uid="{00000000-0005-0000-0000-000028030000}"/>
    <cellStyle name="Estilo 1 38" xfId="809" xr:uid="{00000000-0005-0000-0000-000029030000}"/>
    <cellStyle name="Estilo 1 39" xfId="810" xr:uid="{00000000-0005-0000-0000-00002A030000}"/>
    <cellStyle name="Estilo 1 4" xfId="811" xr:uid="{00000000-0005-0000-0000-00002B030000}"/>
    <cellStyle name="Estilo 1 4 2" xfId="812" xr:uid="{00000000-0005-0000-0000-00002C030000}"/>
    <cellStyle name="Estilo 1 4 3" xfId="813" xr:uid="{00000000-0005-0000-0000-00002D030000}"/>
    <cellStyle name="Estilo 1 4_Enlaces" xfId="814" xr:uid="{00000000-0005-0000-0000-00002E030000}"/>
    <cellStyle name="Estilo 1 40" xfId="815" xr:uid="{00000000-0005-0000-0000-00002F030000}"/>
    <cellStyle name="Estilo 1 41" xfId="816" xr:uid="{00000000-0005-0000-0000-000030030000}"/>
    <cellStyle name="Estilo 1 42" xfId="817" xr:uid="{00000000-0005-0000-0000-000031030000}"/>
    <cellStyle name="Estilo 1 43" xfId="818" xr:uid="{00000000-0005-0000-0000-000032030000}"/>
    <cellStyle name="Estilo 1 44" xfId="819" xr:uid="{00000000-0005-0000-0000-000033030000}"/>
    <cellStyle name="Estilo 1 45" xfId="820" xr:uid="{00000000-0005-0000-0000-000034030000}"/>
    <cellStyle name="Estilo 1 46" xfId="821" xr:uid="{00000000-0005-0000-0000-000035030000}"/>
    <cellStyle name="Estilo 1 47" xfId="822" xr:uid="{00000000-0005-0000-0000-000036030000}"/>
    <cellStyle name="Estilo 1 48" xfId="823" xr:uid="{00000000-0005-0000-0000-000037030000}"/>
    <cellStyle name="Estilo 1 49" xfId="824" xr:uid="{00000000-0005-0000-0000-000038030000}"/>
    <cellStyle name="Estilo 1 5" xfId="825" xr:uid="{00000000-0005-0000-0000-000039030000}"/>
    <cellStyle name="Estilo 1 5 2" xfId="826" xr:uid="{00000000-0005-0000-0000-00003A030000}"/>
    <cellStyle name="Estilo 1 5 3" xfId="827" xr:uid="{00000000-0005-0000-0000-00003B030000}"/>
    <cellStyle name="Estilo 1 5_Enlaces" xfId="828" xr:uid="{00000000-0005-0000-0000-00003C030000}"/>
    <cellStyle name="Estilo 1 50" xfId="829" xr:uid="{00000000-0005-0000-0000-00003D030000}"/>
    <cellStyle name="Estilo 1 51" xfId="830" xr:uid="{00000000-0005-0000-0000-00003E030000}"/>
    <cellStyle name="Estilo 1 52" xfId="831" xr:uid="{00000000-0005-0000-0000-00003F030000}"/>
    <cellStyle name="Estilo 1 53" xfId="832" xr:uid="{00000000-0005-0000-0000-000040030000}"/>
    <cellStyle name="Estilo 1 54" xfId="833" xr:uid="{00000000-0005-0000-0000-000041030000}"/>
    <cellStyle name="Estilo 1 55" xfId="834" xr:uid="{00000000-0005-0000-0000-000042030000}"/>
    <cellStyle name="Estilo 1 56" xfId="835" xr:uid="{00000000-0005-0000-0000-000043030000}"/>
    <cellStyle name="Estilo 1 57" xfId="836" xr:uid="{00000000-0005-0000-0000-000044030000}"/>
    <cellStyle name="Estilo 1 57 2" xfId="837" xr:uid="{00000000-0005-0000-0000-000045030000}"/>
    <cellStyle name="Estilo 1 57 3" xfId="838" xr:uid="{00000000-0005-0000-0000-000046030000}"/>
    <cellStyle name="Estilo 1 57 4" xfId="839" xr:uid="{00000000-0005-0000-0000-000047030000}"/>
    <cellStyle name="Estilo 1 57 5" xfId="840" xr:uid="{00000000-0005-0000-0000-000048030000}"/>
    <cellStyle name="Estilo 1 57 6" xfId="841" xr:uid="{00000000-0005-0000-0000-000049030000}"/>
    <cellStyle name="Estilo 1 58" xfId="842" xr:uid="{00000000-0005-0000-0000-00004A030000}"/>
    <cellStyle name="Estilo 1 58 2" xfId="843" xr:uid="{00000000-0005-0000-0000-00004B030000}"/>
    <cellStyle name="Estilo 1 58 3" xfId="844" xr:uid="{00000000-0005-0000-0000-00004C030000}"/>
    <cellStyle name="Estilo 1 58 4" xfId="845" xr:uid="{00000000-0005-0000-0000-00004D030000}"/>
    <cellStyle name="Estilo 1 58 5" xfId="846" xr:uid="{00000000-0005-0000-0000-00004E030000}"/>
    <cellStyle name="Estilo 1 58 6" xfId="847" xr:uid="{00000000-0005-0000-0000-00004F030000}"/>
    <cellStyle name="Estilo 1 59" xfId="848" xr:uid="{00000000-0005-0000-0000-000050030000}"/>
    <cellStyle name="Estilo 1 59 2" xfId="849" xr:uid="{00000000-0005-0000-0000-000051030000}"/>
    <cellStyle name="Estilo 1 59 3" xfId="850" xr:uid="{00000000-0005-0000-0000-000052030000}"/>
    <cellStyle name="Estilo 1 6" xfId="851" xr:uid="{00000000-0005-0000-0000-000053030000}"/>
    <cellStyle name="Estilo 1 6 2" xfId="852" xr:uid="{00000000-0005-0000-0000-000054030000}"/>
    <cellStyle name="Estilo 1 6 3" xfId="853" xr:uid="{00000000-0005-0000-0000-000055030000}"/>
    <cellStyle name="Estilo 1 6_Enlaces" xfId="854" xr:uid="{00000000-0005-0000-0000-000056030000}"/>
    <cellStyle name="Estilo 1 60" xfId="855" xr:uid="{00000000-0005-0000-0000-000057030000}"/>
    <cellStyle name="Estilo 1 60 2" xfId="856" xr:uid="{00000000-0005-0000-0000-000058030000}"/>
    <cellStyle name="Estilo 1 60 3" xfId="857" xr:uid="{00000000-0005-0000-0000-000059030000}"/>
    <cellStyle name="Estilo 1 61" xfId="858" xr:uid="{00000000-0005-0000-0000-00005A030000}"/>
    <cellStyle name="Estilo 1 61 2" xfId="859" xr:uid="{00000000-0005-0000-0000-00005B030000}"/>
    <cellStyle name="Estilo 1 61 3" xfId="860" xr:uid="{00000000-0005-0000-0000-00005C030000}"/>
    <cellStyle name="Estilo 1 62" xfId="861" xr:uid="{00000000-0005-0000-0000-00005D030000}"/>
    <cellStyle name="Estilo 1 62 2" xfId="862" xr:uid="{00000000-0005-0000-0000-00005E030000}"/>
    <cellStyle name="Estilo 1 62 3" xfId="863" xr:uid="{00000000-0005-0000-0000-00005F030000}"/>
    <cellStyle name="Estilo 1 63" xfId="864" xr:uid="{00000000-0005-0000-0000-000060030000}"/>
    <cellStyle name="Estilo 1 63 2" xfId="865" xr:uid="{00000000-0005-0000-0000-000061030000}"/>
    <cellStyle name="Estilo 1 63 3" xfId="866" xr:uid="{00000000-0005-0000-0000-000062030000}"/>
    <cellStyle name="Estilo 1 64" xfId="867" xr:uid="{00000000-0005-0000-0000-000063030000}"/>
    <cellStyle name="Estilo 1 64 2" xfId="868" xr:uid="{00000000-0005-0000-0000-000064030000}"/>
    <cellStyle name="Estilo 1 64 3" xfId="869" xr:uid="{00000000-0005-0000-0000-000065030000}"/>
    <cellStyle name="Estilo 1 65" xfId="870" xr:uid="{00000000-0005-0000-0000-000066030000}"/>
    <cellStyle name="Estilo 1 65 2" xfId="871" xr:uid="{00000000-0005-0000-0000-000067030000}"/>
    <cellStyle name="Estilo 1 65 3" xfId="872" xr:uid="{00000000-0005-0000-0000-000068030000}"/>
    <cellStyle name="Estilo 1 66" xfId="873" xr:uid="{00000000-0005-0000-0000-000069030000}"/>
    <cellStyle name="Estilo 1 66 2" xfId="874" xr:uid="{00000000-0005-0000-0000-00006A030000}"/>
    <cellStyle name="Estilo 1 66 3" xfId="875" xr:uid="{00000000-0005-0000-0000-00006B030000}"/>
    <cellStyle name="Estilo 1 67" xfId="876" xr:uid="{00000000-0005-0000-0000-00006C030000}"/>
    <cellStyle name="Estilo 1 67 2" xfId="877" xr:uid="{00000000-0005-0000-0000-00006D030000}"/>
    <cellStyle name="Estilo 1 67 3" xfId="878" xr:uid="{00000000-0005-0000-0000-00006E030000}"/>
    <cellStyle name="Estilo 1 68" xfId="879" xr:uid="{00000000-0005-0000-0000-00006F030000}"/>
    <cellStyle name="Estilo 1 68 2" xfId="880" xr:uid="{00000000-0005-0000-0000-000070030000}"/>
    <cellStyle name="Estilo 1 68 3" xfId="881" xr:uid="{00000000-0005-0000-0000-000071030000}"/>
    <cellStyle name="Estilo 1 69" xfId="882" xr:uid="{00000000-0005-0000-0000-000072030000}"/>
    <cellStyle name="Estilo 1 69 2" xfId="883" xr:uid="{00000000-0005-0000-0000-000073030000}"/>
    <cellStyle name="Estilo 1 69 3" xfId="884" xr:uid="{00000000-0005-0000-0000-000074030000}"/>
    <cellStyle name="Estilo 1 7" xfId="885" xr:uid="{00000000-0005-0000-0000-000075030000}"/>
    <cellStyle name="Estilo 1 7 2" xfId="886" xr:uid="{00000000-0005-0000-0000-000076030000}"/>
    <cellStyle name="Estilo 1 7 3" xfId="887" xr:uid="{00000000-0005-0000-0000-000077030000}"/>
    <cellStyle name="Estilo 1 7_Enlaces" xfId="888" xr:uid="{00000000-0005-0000-0000-000078030000}"/>
    <cellStyle name="Estilo 1 70" xfId="889" xr:uid="{00000000-0005-0000-0000-000079030000}"/>
    <cellStyle name="Estilo 1 70 2" xfId="890" xr:uid="{00000000-0005-0000-0000-00007A030000}"/>
    <cellStyle name="Estilo 1 70 3" xfId="891" xr:uid="{00000000-0005-0000-0000-00007B030000}"/>
    <cellStyle name="Estilo 1 71" xfId="892" xr:uid="{00000000-0005-0000-0000-00007C030000}"/>
    <cellStyle name="Estilo 1 71 2" xfId="893" xr:uid="{00000000-0005-0000-0000-00007D030000}"/>
    <cellStyle name="Estilo 1 71 3" xfId="894" xr:uid="{00000000-0005-0000-0000-00007E030000}"/>
    <cellStyle name="Estilo 1 72" xfId="895" xr:uid="{00000000-0005-0000-0000-00007F030000}"/>
    <cellStyle name="Estilo 1 72 2" xfId="896" xr:uid="{00000000-0005-0000-0000-000080030000}"/>
    <cellStyle name="Estilo 1 72 3" xfId="897" xr:uid="{00000000-0005-0000-0000-000081030000}"/>
    <cellStyle name="Estilo 1 73" xfId="898" xr:uid="{00000000-0005-0000-0000-000082030000}"/>
    <cellStyle name="Estilo 1 73 2" xfId="899" xr:uid="{00000000-0005-0000-0000-000083030000}"/>
    <cellStyle name="Estilo 1 73 3" xfId="900" xr:uid="{00000000-0005-0000-0000-000084030000}"/>
    <cellStyle name="Estilo 1 74" xfId="901" xr:uid="{00000000-0005-0000-0000-000085030000}"/>
    <cellStyle name="Estilo 1 74 2" xfId="902" xr:uid="{00000000-0005-0000-0000-000086030000}"/>
    <cellStyle name="Estilo 1 74 3" xfId="903" xr:uid="{00000000-0005-0000-0000-000087030000}"/>
    <cellStyle name="Estilo 1 75" xfId="904" xr:uid="{00000000-0005-0000-0000-000088030000}"/>
    <cellStyle name="Estilo 1 75 2" xfId="905" xr:uid="{00000000-0005-0000-0000-000089030000}"/>
    <cellStyle name="Estilo 1 75 3" xfId="906" xr:uid="{00000000-0005-0000-0000-00008A030000}"/>
    <cellStyle name="Estilo 1 76" xfId="907" xr:uid="{00000000-0005-0000-0000-00008B030000}"/>
    <cellStyle name="Estilo 1 76 2" xfId="908" xr:uid="{00000000-0005-0000-0000-00008C030000}"/>
    <cellStyle name="Estilo 1 76 3" xfId="909" xr:uid="{00000000-0005-0000-0000-00008D030000}"/>
    <cellStyle name="Estilo 1 77" xfId="910" xr:uid="{00000000-0005-0000-0000-00008E030000}"/>
    <cellStyle name="Estilo 1 77 2" xfId="911" xr:uid="{00000000-0005-0000-0000-00008F030000}"/>
    <cellStyle name="Estilo 1 77 3" xfId="912" xr:uid="{00000000-0005-0000-0000-000090030000}"/>
    <cellStyle name="Estilo 1 78" xfId="913" xr:uid="{00000000-0005-0000-0000-000091030000}"/>
    <cellStyle name="Estilo 1 78 2" xfId="914" xr:uid="{00000000-0005-0000-0000-000092030000}"/>
    <cellStyle name="Estilo 1 78 3" xfId="915" xr:uid="{00000000-0005-0000-0000-000093030000}"/>
    <cellStyle name="Estilo 1 79" xfId="916" xr:uid="{00000000-0005-0000-0000-000094030000}"/>
    <cellStyle name="Estilo 1 79 2" xfId="917" xr:uid="{00000000-0005-0000-0000-000095030000}"/>
    <cellStyle name="Estilo 1 79 3" xfId="918" xr:uid="{00000000-0005-0000-0000-000096030000}"/>
    <cellStyle name="Estilo 1 8" xfId="919" xr:uid="{00000000-0005-0000-0000-000097030000}"/>
    <cellStyle name="Estilo 1 8 2" xfId="920" xr:uid="{00000000-0005-0000-0000-000098030000}"/>
    <cellStyle name="Estilo 1 8 3" xfId="921" xr:uid="{00000000-0005-0000-0000-000099030000}"/>
    <cellStyle name="Estilo 1 8_Enlaces" xfId="922" xr:uid="{00000000-0005-0000-0000-00009A030000}"/>
    <cellStyle name="Estilo 1 80" xfId="923" xr:uid="{00000000-0005-0000-0000-00009B030000}"/>
    <cellStyle name="Estilo 1 80 2" xfId="924" xr:uid="{00000000-0005-0000-0000-00009C030000}"/>
    <cellStyle name="Estilo 1 80 3" xfId="925" xr:uid="{00000000-0005-0000-0000-00009D030000}"/>
    <cellStyle name="Estilo 1 81" xfId="926" xr:uid="{00000000-0005-0000-0000-00009E030000}"/>
    <cellStyle name="Estilo 1 81 2" xfId="927" xr:uid="{00000000-0005-0000-0000-00009F030000}"/>
    <cellStyle name="Estilo 1 81 3" xfId="928" xr:uid="{00000000-0005-0000-0000-0000A0030000}"/>
    <cellStyle name="Estilo 1 82" xfId="929" xr:uid="{00000000-0005-0000-0000-0000A1030000}"/>
    <cellStyle name="Estilo 1 82 2" xfId="930" xr:uid="{00000000-0005-0000-0000-0000A2030000}"/>
    <cellStyle name="Estilo 1 82 3" xfId="931" xr:uid="{00000000-0005-0000-0000-0000A3030000}"/>
    <cellStyle name="Estilo 1 83" xfId="932" xr:uid="{00000000-0005-0000-0000-0000A4030000}"/>
    <cellStyle name="Estilo 1 84" xfId="933" xr:uid="{00000000-0005-0000-0000-0000A5030000}"/>
    <cellStyle name="Estilo 1 85" xfId="934" xr:uid="{00000000-0005-0000-0000-0000A6030000}"/>
    <cellStyle name="Estilo 1 86" xfId="935" xr:uid="{00000000-0005-0000-0000-0000A7030000}"/>
    <cellStyle name="Estilo 1 87" xfId="936" xr:uid="{00000000-0005-0000-0000-0000A8030000}"/>
    <cellStyle name="Estilo 1 88" xfId="937" xr:uid="{00000000-0005-0000-0000-0000A9030000}"/>
    <cellStyle name="Estilo 1 89" xfId="938" xr:uid="{00000000-0005-0000-0000-0000AA030000}"/>
    <cellStyle name="Estilo 1 9" xfId="939" xr:uid="{00000000-0005-0000-0000-0000AB030000}"/>
    <cellStyle name="Estilo 1 9 2" xfId="940" xr:uid="{00000000-0005-0000-0000-0000AC030000}"/>
    <cellStyle name="Estilo 1 9 3" xfId="941" xr:uid="{00000000-0005-0000-0000-0000AD030000}"/>
    <cellStyle name="Estilo 1 9_Enlaces" xfId="942" xr:uid="{00000000-0005-0000-0000-0000AE030000}"/>
    <cellStyle name="Estilo 1 90" xfId="943" xr:uid="{00000000-0005-0000-0000-0000AF030000}"/>
    <cellStyle name="Estilo 1 90 2" xfId="944" xr:uid="{00000000-0005-0000-0000-0000B0030000}"/>
    <cellStyle name="Estilo 1 91" xfId="945" xr:uid="{00000000-0005-0000-0000-0000B1030000}"/>
    <cellStyle name="Estilo 1 91 2" xfId="946" xr:uid="{00000000-0005-0000-0000-0000B2030000}"/>
    <cellStyle name="Estilo 1 92" xfId="947" xr:uid="{00000000-0005-0000-0000-0000B3030000}"/>
    <cellStyle name="Estilo 1 92 2" xfId="948" xr:uid="{00000000-0005-0000-0000-0000B4030000}"/>
    <cellStyle name="Estilo 1 93" xfId="949" xr:uid="{00000000-0005-0000-0000-0000B5030000}"/>
    <cellStyle name="Estilo 1 93 2" xfId="950" xr:uid="{00000000-0005-0000-0000-0000B6030000}"/>
    <cellStyle name="Estilo 1 94" xfId="951" xr:uid="{00000000-0005-0000-0000-0000B7030000}"/>
    <cellStyle name="Estilo 1 94 2" xfId="952" xr:uid="{00000000-0005-0000-0000-0000B8030000}"/>
    <cellStyle name="Estilo 1 95" xfId="953" xr:uid="{00000000-0005-0000-0000-0000B9030000}"/>
    <cellStyle name="Estilo 1 95 2" xfId="954" xr:uid="{00000000-0005-0000-0000-0000BA030000}"/>
    <cellStyle name="Estilo 1 96" xfId="955" xr:uid="{00000000-0005-0000-0000-0000BB030000}"/>
    <cellStyle name="Estilo 1 96 2" xfId="956" xr:uid="{00000000-0005-0000-0000-0000BC030000}"/>
    <cellStyle name="Estilo 1 97" xfId="957" xr:uid="{00000000-0005-0000-0000-0000BD030000}"/>
    <cellStyle name="Estilo 1 97 2" xfId="958" xr:uid="{00000000-0005-0000-0000-0000BE030000}"/>
    <cellStyle name="Estilo 1 98" xfId="959" xr:uid="{00000000-0005-0000-0000-0000BF030000}"/>
    <cellStyle name="Estilo 1 98 2" xfId="960" xr:uid="{00000000-0005-0000-0000-0000C0030000}"/>
    <cellStyle name="Estilo 1 99" xfId="961" xr:uid="{00000000-0005-0000-0000-0000C1030000}"/>
    <cellStyle name="Estilo 1 99 2" xfId="962" xr:uid="{00000000-0005-0000-0000-0000C2030000}"/>
    <cellStyle name="Estilo 1_Enlaces" xfId="963" xr:uid="{00000000-0005-0000-0000-0000C3030000}"/>
    <cellStyle name="Euro" xfId="964" xr:uid="{00000000-0005-0000-0000-0000C4030000}"/>
    <cellStyle name="Euro 10" xfId="965" xr:uid="{00000000-0005-0000-0000-0000C5030000}"/>
    <cellStyle name="Euro 11" xfId="966" xr:uid="{00000000-0005-0000-0000-0000C6030000}"/>
    <cellStyle name="Euro 12" xfId="967" xr:uid="{00000000-0005-0000-0000-0000C7030000}"/>
    <cellStyle name="Euro 13" xfId="968" xr:uid="{00000000-0005-0000-0000-0000C8030000}"/>
    <cellStyle name="Euro 14" xfId="969" xr:uid="{00000000-0005-0000-0000-0000C9030000}"/>
    <cellStyle name="Euro 15" xfId="970" xr:uid="{00000000-0005-0000-0000-0000CA030000}"/>
    <cellStyle name="Euro 16" xfId="971" xr:uid="{00000000-0005-0000-0000-0000CB030000}"/>
    <cellStyle name="Euro 17" xfId="972" xr:uid="{00000000-0005-0000-0000-0000CC030000}"/>
    <cellStyle name="Euro 18" xfId="973" xr:uid="{00000000-0005-0000-0000-0000CD030000}"/>
    <cellStyle name="Euro 19" xfId="974" xr:uid="{00000000-0005-0000-0000-0000CE030000}"/>
    <cellStyle name="Euro 2" xfId="975" xr:uid="{00000000-0005-0000-0000-0000CF030000}"/>
    <cellStyle name="Euro 2 2" xfId="976" xr:uid="{00000000-0005-0000-0000-0000D0030000}"/>
    <cellStyle name="Euro 20" xfId="977" xr:uid="{00000000-0005-0000-0000-0000D1030000}"/>
    <cellStyle name="Euro 21" xfId="978" xr:uid="{00000000-0005-0000-0000-0000D2030000}"/>
    <cellStyle name="Euro 3" xfId="979" xr:uid="{00000000-0005-0000-0000-0000D3030000}"/>
    <cellStyle name="Euro 4" xfId="980" xr:uid="{00000000-0005-0000-0000-0000D4030000}"/>
    <cellStyle name="Euro 5" xfId="981" xr:uid="{00000000-0005-0000-0000-0000D5030000}"/>
    <cellStyle name="Euro 6" xfId="982" xr:uid="{00000000-0005-0000-0000-0000D6030000}"/>
    <cellStyle name="Euro 7" xfId="983" xr:uid="{00000000-0005-0000-0000-0000D7030000}"/>
    <cellStyle name="Euro 8" xfId="984" xr:uid="{00000000-0005-0000-0000-0000D8030000}"/>
    <cellStyle name="Euro 9" xfId="985" xr:uid="{00000000-0005-0000-0000-0000D9030000}"/>
    <cellStyle name="Excel Built-in Normal" xfId="8" xr:uid="{00000000-0005-0000-0000-000008000000}"/>
    <cellStyle name="Excel Built-in Normal 2" xfId="986" xr:uid="{00000000-0005-0000-0000-0000DA030000}"/>
    <cellStyle name="Excel Built-in Normal 2 2" xfId="987" xr:uid="{00000000-0005-0000-0000-0000DB030000}"/>
    <cellStyle name="Excel Built-in Normal 3" xfId="988" xr:uid="{00000000-0005-0000-0000-0000DC030000}"/>
    <cellStyle name="Explanatory Text" xfId="989" xr:uid="{00000000-0005-0000-0000-0000DD030000}"/>
    <cellStyle name="Explanatory Text 2" xfId="990" xr:uid="{00000000-0005-0000-0000-0000DE030000}"/>
    <cellStyle name="Explanatory Text 3" xfId="991" xr:uid="{00000000-0005-0000-0000-0000DF030000}"/>
    <cellStyle name="Explanatory Text 4" xfId="992" xr:uid="{00000000-0005-0000-0000-0000E0030000}"/>
    <cellStyle name="Explanatory Text 5" xfId="993" xr:uid="{00000000-0005-0000-0000-0000E1030000}"/>
    <cellStyle name="Good" xfId="994" xr:uid="{00000000-0005-0000-0000-0000E2030000}"/>
    <cellStyle name="Good 2" xfId="995" xr:uid="{00000000-0005-0000-0000-0000E3030000}"/>
    <cellStyle name="Good 3" xfId="996" xr:uid="{00000000-0005-0000-0000-0000E4030000}"/>
    <cellStyle name="Good 4" xfId="997" xr:uid="{00000000-0005-0000-0000-0000E5030000}"/>
    <cellStyle name="Good 5" xfId="998" xr:uid="{00000000-0005-0000-0000-0000E6030000}"/>
    <cellStyle name="Heading 1" xfId="999" xr:uid="{00000000-0005-0000-0000-0000E7030000}"/>
    <cellStyle name="Heading 1 2" xfId="1000" xr:uid="{00000000-0005-0000-0000-0000E8030000}"/>
    <cellStyle name="Heading 1 3" xfId="1001" xr:uid="{00000000-0005-0000-0000-0000E9030000}"/>
    <cellStyle name="Heading 1 4" xfId="1002" xr:uid="{00000000-0005-0000-0000-0000EA030000}"/>
    <cellStyle name="Heading 1 5" xfId="1003" xr:uid="{00000000-0005-0000-0000-0000EB030000}"/>
    <cellStyle name="Heading 2" xfId="1004" xr:uid="{00000000-0005-0000-0000-0000EC030000}"/>
    <cellStyle name="Heading 2 2" xfId="1005" xr:uid="{00000000-0005-0000-0000-0000ED030000}"/>
    <cellStyle name="Heading 2 3" xfId="1006" xr:uid="{00000000-0005-0000-0000-0000EE030000}"/>
    <cellStyle name="Heading 2 4" xfId="1007" xr:uid="{00000000-0005-0000-0000-0000EF030000}"/>
    <cellStyle name="Heading 2 5" xfId="1008" xr:uid="{00000000-0005-0000-0000-0000F0030000}"/>
    <cellStyle name="Heading 3" xfId="1009" xr:uid="{00000000-0005-0000-0000-0000F1030000}"/>
    <cellStyle name="Heading 3 2" xfId="1010" xr:uid="{00000000-0005-0000-0000-0000F2030000}"/>
    <cellStyle name="Heading 3 3" xfId="1011" xr:uid="{00000000-0005-0000-0000-0000F3030000}"/>
    <cellStyle name="Heading 3 4" xfId="1012" xr:uid="{00000000-0005-0000-0000-0000F4030000}"/>
    <cellStyle name="Heading 3 5" xfId="1013" xr:uid="{00000000-0005-0000-0000-0000F5030000}"/>
    <cellStyle name="Heading 4" xfId="1014" xr:uid="{00000000-0005-0000-0000-0000F6030000}"/>
    <cellStyle name="Heading 4 2" xfId="1015" xr:uid="{00000000-0005-0000-0000-0000F7030000}"/>
    <cellStyle name="Heading 4 3" xfId="1016" xr:uid="{00000000-0005-0000-0000-0000F8030000}"/>
    <cellStyle name="Heading 4 4" xfId="1017" xr:uid="{00000000-0005-0000-0000-0000F9030000}"/>
    <cellStyle name="Heading 4 5" xfId="1018" xr:uid="{00000000-0005-0000-0000-0000FA030000}"/>
    <cellStyle name="Hipervínculo 2" xfId="1019" xr:uid="{00000000-0005-0000-0000-0000FB030000}"/>
    <cellStyle name="Hipervínculo 2 2" xfId="1020" xr:uid="{00000000-0005-0000-0000-0000FC030000}"/>
    <cellStyle name="Hipervínculo 3" xfId="1021" xr:uid="{00000000-0005-0000-0000-0000FD030000}"/>
    <cellStyle name="Hipervínculo 3 2" xfId="1022" xr:uid="{00000000-0005-0000-0000-0000FE030000}"/>
    <cellStyle name="Hipervínculo 4" xfId="1023" xr:uid="{00000000-0005-0000-0000-0000FF030000}"/>
    <cellStyle name="Hipervínculo 5" xfId="1024" xr:uid="{00000000-0005-0000-0000-000000040000}"/>
    <cellStyle name="Hipervínculo 6" xfId="1025" xr:uid="{00000000-0005-0000-0000-000001040000}"/>
    <cellStyle name="Hyperlink" xfId="42" xr:uid="{00000000-0005-0000-0000-00002A000000}"/>
    <cellStyle name="Incorrecto 2" xfId="1026" xr:uid="{00000000-0005-0000-0000-000002040000}"/>
    <cellStyle name="Incorrecto 2 2" xfId="1027" xr:uid="{00000000-0005-0000-0000-000003040000}"/>
    <cellStyle name="Incorrecto 3" xfId="1028" xr:uid="{00000000-0005-0000-0000-000004040000}"/>
    <cellStyle name="Incorrecto 4" xfId="1029" xr:uid="{00000000-0005-0000-0000-000005040000}"/>
    <cellStyle name="Incorrecto 5" xfId="1030" xr:uid="{00000000-0005-0000-0000-000006040000}"/>
    <cellStyle name="Incorrecto 6" xfId="1031" xr:uid="{00000000-0005-0000-0000-000007040000}"/>
    <cellStyle name="Incorrecto 7" xfId="1032" xr:uid="{00000000-0005-0000-0000-000008040000}"/>
    <cellStyle name="Incorrecto 8" xfId="1033" xr:uid="{00000000-0005-0000-0000-000009040000}"/>
    <cellStyle name="Input" xfId="1034" xr:uid="{00000000-0005-0000-0000-00000A040000}"/>
    <cellStyle name="Input 2" xfId="1035" xr:uid="{00000000-0005-0000-0000-00000B040000}"/>
    <cellStyle name="Input 3" xfId="1036" xr:uid="{00000000-0005-0000-0000-00000C040000}"/>
    <cellStyle name="Input 4" xfId="1037" xr:uid="{00000000-0005-0000-0000-00000D040000}"/>
    <cellStyle name="Input 5" xfId="1038" xr:uid="{00000000-0005-0000-0000-00000E040000}"/>
    <cellStyle name="Linked Cell" xfId="1039" xr:uid="{00000000-0005-0000-0000-00000F040000}"/>
    <cellStyle name="Linked Cell 2" xfId="1040" xr:uid="{00000000-0005-0000-0000-000010040000}"/>
    <cellStyle name="Linked Cell 3" xfId="1041" xr:uid="{00000000-0005-0000-0000-000011040000}"/>
    <cellStyle name="Linked Cell 4" xfId="1042" xr:uid="{00000000-0005-0000-0000-000012040000}"/>
    <cellStyle name="Linked Cell 5" xfId="1043" xr:uid="{00000000-0005-0000-0000-000013040000}"/>
    <cellStyle name="Millares 10" xfId="1044" xr:uid="{00000000-0005-0000-0000-000014040000}"/>
    <cellStyle name="Millares 10 10" xfId="1045" xr:uid="{00000000-0005-0000-0000-000015040000}"/>
    <cellStyle name="Millares 10 11" xfId="1046" xr:uid="{00000000-0005-0000-0000-000016040000}"/>
    <cellStyle name="Millares 10 12" xfId="1047" xr:uid="{00000000-0005-0000-0000-000017040000}"/>
    <cellStyle name="Millares 10 13" xfId="1048" xr:uid="{00000000-0005-0000-0000-000018040000}"/>
    <cellStyle name="Millares 10 14" xfId="1049" xr:uid="{00000000-0005-0000-0000-000019040000}"/>
    <cellStyle name="Millares 10 15" xfId="1050" xr:uid="{00000000-0005-0000-0000-00001A040000}"/>
    <cellStyle name="Millares 10 16" xfId="1051" xr:uid="{00000000-0005-0000-0000-00001B040000}"/>
    <cellStyle name="Millares 10 17" xfId="1052" xr:uid="{00000000-0005-0000-0000-00001C040000}"/>
    <cellStyle name="Millares 10 18" xfId="1053" xr:uid="{00000000-0005-0000-0000-00001D040000}"/>
    <cellStyle name="Millares 10 19" xfId="1054" xr:uid="{00000000-0005-0000-0000-00001E040000}"/>
    <cellStyle name="Millares 10 2" xfId="1055" xr:uid="{00000000-0005-0000-0000-00001F040000}"/>
    <cellStyle name="Millares 10 2 2" xfId="1056" xr:uid="{00000000-0005-0000-0000-000020040000}"/>
    <cellStyle name="Millares 10 2 3" xfId="1057" xr:uid="{00000000-0005-0000-0000-000021040000}"/>
    <cellStyle name="Millares 10 20" xfId="1058" xr:uid="{00000000-0005-0000-0000-000022040000}"/>
    <cellStyle name="Millares 10 21" xfId="1059" xr:uid="{00000000-0005-0000-0000-000023040000}"/>
    <cellStyle name="Millares 10 22" xfId="1060" xr:uid="{00000000-0005-0000-0000-000024040000}"/>
    <cellStyle name="Millares 10 23" xfId="1061" xr:uid="{00000000-0005-0000-0000-000025040000}"/>
    <cellStyle name="Millares 10 24" xfId="1062" xr:uid="{00000000-0005-0000-0000-000026040000}"/>
    <cellStyle name="Millares 10 25" xfId="1063" xr:uid="{00000000-0005-0000-0000-000027040000}"/>
    <cellStyle name="Millares 10 3" xfId="1064" xr:uid="{00000000-0005-0000-0000-000028040000}"/>
    <cellStyle name="Millares 10 3 2" xfId="1065" xr:uid="{00000000-0005-0000-0000-000029040000}"/>
    <cellStyle name="Millares 10 3 3" xfId="1066" xr:uid="{00000000-0005-0000-0000-00002A040000}"/>
    <cellStyle name="Millares 10 4" xfId="1067" xr:uid="{00000000-0005-0000-0000-00002B040000}"/>
    <cellStyle name="Millares 10 5" xfId="1068" xr:uid="{00000000-0005-0000-0000-00002C040000}"/>
    <cellStyle name="Millares 10 6" xfId="1069" xr:uid="{00000000-0005-0000-0000-00002D040000}"/>
    <cellStyle name="Millares 10 7" xfId="1070" xr:uid="{00000000-0005-0000-0000-00002E040000}"/>
    <cellStyle name="Millares 10 8" xfId="1071" xr:uid="{00000000-0005-0000-0000-00002F040000}"/>
    <cellStyle name="Millares 10 9" xfId="1072" xr:uid="{00000000-0005-0000-0000-000030040000}"/>
    <cellStyle name="Millares 11" xfId="1073" xr:uid="{00000000-0005-0000-0000-000031040000}"/>
    <cellStyle name="Millares 11 2" xfId="1074" xr:uid="{00000000-0005-0000-0000-000032040000}"/>
    <cellStyle name="Millares 12" xfId="1075" xr:uid="{00000000-0005-0000-0000-000033040000}"/>
    <cellStyle name="Millares 12 2" xfId="1076" xr:uid="{00000000-0005-0000-0000-000034040000}"/>
    <cellStyle name="Millares 13" xfId="1077" xr:uid="{00000000-0005-0000-0000-000035040000}"/>
    <cellStyle name="Millares 13 2" xfId="1078" xr:uid="{00000000-0005-0000-0000-000036040000}"/>
    <cellStyle name="Millares 14" xfId="1079" xr:uid="{00000000-0005-0000-0000-000037040000}"/>
    <cellStyle name="Millares 15" xfId="1080" xr:uid="{00000000-0005-0000-0000-000038040000}"/>
    <cellStyle name="Millares 15 2" xfId="1081" xr:uid="{00000000-0005-0000-0000-000039040000}"/>
    <cellStyle name="Millares 16" xfId="1082" xr:uid="{00000000-0005-0000-0000-00003A040000}"/>
    <cellStyle name="Millares 16 2" xfId="1083" xr:uid="{00000000-0005-0000-0000-00003B040000}"/>
    <cellStyle name="Millares 17" xfId="1084" xr:uid="{00000000-0005-0000-0000-00003C040000}"/>
    <cellStyle name="Millares 17 2" xfId="1085" xr:uid="{00000000-0005-0000-0000-00003D040000}"/>
    <cellStyle name="Millares 18" xfId="1086" xr:uid="{00000000-0005-0000-0000-00003E040000}"/>
    <cellStyle name="Millares 19" xfId="1087" xr:uid="{00000000-0005-0000-0000-00003F040000}"/>
    <cellStyle name="Millares 19 2" xfId="1088" xr:uid="{00000000-0005-0000-0000-000040040000}"/>
    <cellStyle name="Millares 19 3" xfId="1089" xr:uid="{00000000-0005-0000-0000-000041040000}"/>
    <cellStyle name="Millares 2" xfId="16" xr:uid="{00000000-0005-0000-0000-000010000000}"/>
    <cellStyle name="Millares 2 10" xfId="1091" xr:uid="{00000000-0005-0000-0000-000043040000}"/>
    <cellStyle name="Millares 2 10 2" xfId="1092" xr:uid="{00000000-0005-0000-0000-000044040000}"/>
    <cellStyle name="Millares 2 10 3" xfId="1093" xr:uid="{00000000-0005-0000-0000-000045040000}"/>
    <cellStyle name="Millares 2 11" xfId="1094" xr:uid="{00000000-0005-0000-0000-000046040000}"/>
    <cellStyle name="Millares 2 12" xfId="1095" xr:uid="{00000000-0005-0000-0000-000047040000}"/>
    <cellStyle name="Millares 2 13" xfId="1096" xr:uid="{00000000-0005-0000-0000-000048040000}"/>
    <cellStyle name="Millares 2 13 2" xfId="1097" xr:uid="{00000000-0005-0000-0000-000049040000}"/>
    <cellStyle name="Millares 2 13 2 2" xfId="1098" xr:uid="{00000000-0005-0000-0000-00004A040000}"/>
    <cellStyle name="Millares 2 14" xfId="1099" xr:uid="{00000000-0005-0000-0000-00004B040000}"/>
    <cellStyle name="Millares 2 14 2" xfId="1100" xr:uid="{00000000-0005-0000-0000-00004C040000}"/>
    <cellStyle name="Millares 2 14 3" xfId="1101" xr:uid="{00000000-0005-0000-0000-00004D040000}"/>
    <cellStyle name="Millares 2 15" xfId="1102" xr:uid="{00000000-0005-0000-0000-00004E040000}"/>
    <cellStyle name="Millares 2 15 2" xfId="1103" xr:uid="{00000000-0005-0000-0000-00004F040000}"/>
    <cellStyle name="Millares 2 15 3" xfId="1104" xr:uid="{00000000-0005-0000-0000-000050040000}"/>
    <cellStyle name="Millares 2 16" xfId="1105" xr:uid="{00000000-0005-0000-0000-000051040000}"/>
    <cellStyle name="Millares 2 16 2" xfId="1106" xr:uid="{00000000-0005-0000-0000-000052040000}"/>
    <cellStyle name="Millares 2 17" xfId="1107" xr:uid="{00000000-0005-0000-0000-000053040000}"/>
    <cellStyle name="Millares 2 17 2" xfId="1108" xr:uid="{00000000-0005-0000-0000-000054040000}"/>
    <cellStyle name="Millares 2 18" xfId="1109" xr:uid="{00000000-0005-0000-0000-000055040000}"/>
    <cellStyle name="Millares 2 19" xfId="1110" xr:uid="{00000000-0005-0000-0000-000056040000}"/>
    <cellStyle name="Millares 2 2" xfId="28" xr:uid="{00000000-0005-0000-0000-00001C000000}"/>
    <cellStyle name="Millares 2 2 10" xfId="1112" xr:uid="{00000000-0005-0000-0000-000058040000}"/>
    <cellStyle name="Millares 2 2 11" xfId="1113" xr:uid="{00000000-0005-0000-0000-000059040000}"/>
    <cellStyle name="Millares 2 2 12" xfId="1114" xr:uid="{00000000-0005-0000-0000-00005A040000}"/>
    <cellStyle name="Millares 2 2 13" xfId="1115" xr:uid="{00000000-0005-0000-0000-00005B040000}"/>
    <cellStyle name="Millares 2 2 14" xfId="1116" xr:uid="{00000000-0005-0000-0000-00005C040000}"/>
    <cellStyle name="Millares 2 2 15" xfId="1117" xr:uid="{00000000-0005-0000-0000-00005D040000}"/>
    <cellStyle name="Millares 2 2 16" xfId="1118" xr:uid="{00000000-0005-0000-0000-00005E040000}"/>
    <cellStyle name="Millares 2 2 17" xfId="1119" xr:uid="{00000000-0005-0000-0000-00005F040000}"/>
    <cellStyle name="Millares 2 2 18" xfId="1120" xr:uid="{00000000-0005-0000-0000-000060040000}"/>
    <cellStyle name="Millares 2 2 19" xfId="1121" xr:uid="{00000000-0005-0000-0000-000061040000}"/>
    <cellStyle name="Millares 2 2 2" xfId="1122" xr:uid="{00000000-0005-0000-0000-000062040000}"/>
    <cellStyle name="Millares 2 2 2 10" xfId="1123" xr:uid="{00000000-0005-0000-0000-000063040000}"/>
    <cellStyle name="Millares 2 2 2 11" xfId="1124" xr:uid="{00000000-0005-0000-0000-000064040000}"/>
    <cellStyle name="Millares 2 2 2 12" xfId="1125" xr:uid="{00000000-0005-0000-0000-000065040000}"/>
    <cellStyle name="Millares 2 2 2 13" xfId="1126" xr:uid="{00000000-0005-0000-0000-000066040000}"/>
    <cellStyle name="Millares 2 2 2 14" xfId="1127" xr:uid="{00000000-0005-0000-0000-000067040000}"/>
    <cellStyle name="Millares 2 2 2 15" xfId="1128" xr:uid="{00000000-0005-0000-0000-000068040000}"/>
    <cellStyle name="Millares 2 2 2 16" xfId="1129" xr:uid="{00000000-0005-0000-0000-000069040000}"/>
    <cellStyle name="Millares 2 2 2 17" xfId="1130" xr:uid="{00000000-0005-0000-0000-00006A040000}"/>
    <cellStyle name="Millares 2 2 2 18" xfId="1131" xr:uid="{00000000-0005-0000-0000-00006B040000}"/>
    <cellStyle name="Millares 2 2 2 19" xfId="1132" xr:uid="{00000000-0005-0000-0000-00006C040000}"/>
    <cellStyle name="Millares 2 2 2 2" xfId="1133" xr:uid="{00000000-0005-0000-0000-00006D040000}"/>
    <cellStyle name="Millares 2 2 2 2 10" xfId="1134" xr:uid="{00000000-0005-0000-0000-00006E040000}"/>
    <cellStyle name="Millares 2 2 2 2 11" xfId="1135" xr:uid="{00000000-0005-0000-0000-00006F040000}"/>
    <cellStyle name="Millares 2 2 2 2 12" xfId="1136" xr:uid="{00000000-0005-0000-0000-000070040000}"/>
    <cellStyle name="Millares 2 2 2 2 13" xfId="1137" xr:uid="{00000000-0005-0000-0000-000071040000}"/>
    <cellStyle name="Millares 2 2 2 2 14" xfId="1138" xr:uid="{00000000-0005-0000-0000-000072040000}"/>
    <cellStyle name="Millares 2 2 2 2 15" xfId="1139" xr:uid="{00000000-0005-0000-0000-000073040000}"/>
    <cellStyle name="Millares 2 2 2 2 16" xfId="1140" xr:uid="{00000000-0005-0000-0000-000074040000}"/>
    <cellStyle name="Millares 2 2 2 2 17" xfId="1141" xr:uid="{00000000-0005-0000-0000-000075040000}"/>
    <cellStyle name="Millares 2 2 2 2 18" xfId="1142" xr:uid="{00000000-0005-0000-0000-000076040000}"/>
    <cellStyle name="Millares 2 2 2 2 19" xfId="1143" xr:uid="{00000000-0005-0000-0000-000077040000}"/>
    <cellStyle name="Millares 2 2 2 2 2" xfId="1144" xr:uid="{00000000-0005-0000-0000-000078040000}"/>
    <cellStyle name="Millares 2 2 2 2 2 10" xfId="1145" xr:uid="{00000000-0005-0000-0000-000079040000}"/>
    <cellStyle name="Millares 2 2 2 2 2 11" xfId="1146" xr:uid="{00000000-0005-0000-0000-00007A040000}"/>
    <cellStyle name="Millares 2 2 2 2 2 12" xfId="1147" xr:uid="{00000000-0005-0000-0000-00007B040000}"/>
    <cellStyle name="Millares 2 2 2 2 2 13" xfId="1148" xr:uid="{00000000-0005-0000-0000-00007C040000}"/>
    <cellStyle name="Millares 2 2 2 2 2 14" xfId="1149" xr:uid="{00000000-0005-0000-0000-00007D040000}"/>
    <cellStyle name="Millares 2 2 2 2 2 15" xfId="1150" xr:uid="{00000000-0005-0000-0000-00007E040000}"/>
    <cellStyle name="Millares 2 2 2 2 2 16" xfId="1151" xr:uid="{00000000-0005-0000-0000-00007F040000}"/>
    <cellStyle name="Millares 2 2 2 2 2 17" xfId="1152" xr:uid="{00000000-0005-0000-0000-000080040000}"/>
    <cellStyle name="Millares 2 2 2 2 2 18" xfId="1153" xr:uid="{00000000-0005-0000-0000-000081040000}"/>
    <cellStyle name="Millares 2 2 2 2 2 19" xfId="1154" xr:uid="{00000000-0005-0000-0000-000082040000}"/>
    <cellStyle name="Millares 2 2 2 2 2 2" xfId="1155" xr:uid="{00000000-0005-0000-0000-000083040000}"/>
    <cellStyle name="Millares 2 2 2 2 2 2 10" xfId="1156" xr:uid="{00000000-0005-0000-0000-000084040000}"/>
    <cellStyle name="Millares 2 2 2 2 2 2 11" xfId="1157" xr:uid="{00000000-0005-0000-0000-000085040000}"/>
    <cellStyle name="Millares 2 2 2 2 2 2 12" xfId="1158" xr:uid="{00000000-0005-0000-0000-000086040000}"/>
    <cellStyle name="Millares 2 2 2 2 2 2 13" xfId="1159" xr:uid="{00000000-0005-0000-0000-000087040000}"/>
    <cellStyle name="Millares 2 2 2 2 2 2 14" xfId="1160" xr:uid="{00000000-0005-0000-0000-000088040000}"/>
    <cellStyle name="Millares 2 2 2 2 2 2 15" xfId="1161" xr:uid="{00000000-0005-0000-0000-000089040000}"/>
    <cellStyle name="Millares 2 2 2 2 2 2 16" xfId="1162" xr:uid="{00000000-0005-0000-0000-00008A040000}"/>
    <cellStyle name="Millares 2 2 2 2 2 2 17" xfId="1163" xr:uid="{00000000-0005-0000-0000-00008B040000}"/>
    <cellStyle name="Millares 2 2 2 2 2 2 18" xfId="1164" xr:uid="{00000000-0005-0000-0000-00008C040000}"/>
    <cellStyle name="Millares 2 2 2 2 2 2 19" xfId="1165" xr:uid="{00000000-0005-0000-0000-00008D040000}"/>
    <cellStyle name="Millares 2 2 2 2 2 2 2" xfId="1166" xr:uid="{00000000-0005-0000-0000-00008E040000}"/>
    <cellStyle name="Millares 2 2 2 2 2 2 2 10" xfId="1167" xr:uid="{00000000-0005-0000-0000-00008F040000}"/>
    <cellStyle name="Millares 2 2 2 2 2 2 2 11" xfId="1168" xr:uid="{00000000-0005-0000-0000-000090040000}"/>
    <cellStyle name="Millares 2 2 2 2 2 2 2 12" xfId="1169" xr:uid="{00000000-0005-0000-0000-000091040000}"/>
    <cellStyle name="Millares 2 2 2 2 2 2 2 13" xfId="1170" xr:uid="{00000000-0005-0000-0000-000092040000}"/>
    <cellStyle name="Millares 2 2 2 2 2 2 2 14" xfId="1171" xr:uid="{00000000-0005-0000-0000-000093040000}"/>
    <cellStyle name="Millares 2 2 2 2 2 2 2 15" xfId="1172" xr:uid="{00000000-0005-0000-0000-000094040000}"/>
    <cellStyle name="Millares 2 2 2 2 2 2 2 16" xfId="1173" xr:uid="{00000000-0005-0000-0000-000095040000}"/>
    <cellStyle name="Millares 2 2 2 2 2 2 2 17" xfId="1174" xr:uid="{00000000-0005-0000-0000-000096040000}"/>
    <cellStyle name="Millares 2 2 2 2 2 2 2 18" xfId="1175" xr:uid="{00000000-0005-0000-0000-000097040000}"/>
    <cellStyle name="Millares 2 2 2 2 2 2 2 19" xfId="1176" xr:uid="{00000000-0005-0000-0000-000098040000}"/>
    <cellStyle name="Millares 2 2 2 2 2 2 2 2" xfId="1177" xr:uid="{00000000-0005-0000-0000-000099040000}"/>
    <cellStyle name="Millares 2 2 2 2 2 2 2 2 10" xfId="1178" xr:uid="{00000000-0005-0000-0000-00009A040000}"/>
    <cellStyle name="Millares 2 2 2 2 2 2 2 2 11" xfId="1179" xr:uid="{00000000-0005-0000-0000-00009B040000}"/>
    <cellStyle name="Millares 2 2 2 2 2 2 2 2 12" xfId="1180" xr:uid="{00000000-0005-0000-0000-00009C040000}"/>
    <cellStyle name="Millares 2 2 2 2 2 2 2 2 13" xfId="1181" xr:uid="{00000000-0005-0000-0000-00009D040000}"/>
    <cellStyle name="Millares 2 2 2 2 2 2 2 2 14" xfId="1182" xr:uid="{00000000-0005-0000-0000-00009E040000}"/>
    <cellStyle name="Millares 2 2 2 2 2 2 2 2 15" xfId="1183" xr:uid="{00000000-0005-0000-0000-00009F040000}"/>
    <cellStyle name="Millares 2 2 2 2 2 2 2 2 2" xfId="1184" xr:uid="{00000000-0005-0000-0000-0000A0040000}"/>
    <cellStyle name="Millares 2 2 2 2 2 2 2 2 2 10" xfId="1185" xr:uid="{00000000-0005-0000-0000-0000A1040000}"/>
    <cellStyle name="Millares 2 2 2 2 2 2 2 2 2 11" xfId="1186" xr:uid="{00000000-0005-0000-0000-0000A2040000}"/>
    <cellStyle name="Millares 2 2 2 2 2 2 2 2 2 12" xfId="1187" xr:uid="{00000000-0005-0000-0000-0000A3040000}"/>
    <cellStyle name="Millares 2 2 2 2 2 2 2 2 2 13" xfId="1188" xr:uid="{00000000-0005-0000-0000-0000A4040000}"/>
    <cellStyle name="Millares 2 2 2 2 2 2 2 2 2 14" xfId="1189" xr:uid="{00000000-0005-0000-0000-0000A5040000}"/>
    <cellStyle name="Millares 2 2 2 2 2 2 2 2 2 15" xfId="1190" xr:uid="{00000000-0005-0000-0000-0000A6040000}"/>
    <cellStyle name="Millares 2 2 2 2 2 2 2 2 2 2" xfId="1191" xr:uid="{00000000-0005-0000-0000-0000A7040000}"/>
    <cellStyle name="Millares 2 2 2 2 2 2 2 2 2 2 10" xfId="1192" xr:uid="{00000000-0005-0000-0000-0000A8040000}"/>
    <cellStyle name="Millares 2 2 2 2 2 2 2 2 2 2 11" xfId="1193" xr:uid="{00000000-0005-0000-0000-0000A9040000}"/>
    <cellStyle name="Millares 2 2 2 2 2 2 2 2 2 2 12" xfId="1194" xr:uid="{00000000-0005-0000-0000-0000AA040000}"/>
    <cellStyle name="Millares 2 2 2 2 2 2 2 2 2 2 2" xfId="1195" xr:uid="{00000000-0005-0000-0000-0000AB040000}"/>
    <cellStyle name="Millares 2 2 2 2 2 2 2 2 2 2 2 10" xfId="1196" xr:uid="{00000000-0005-0000-0000-0000AC040000}"/>
    <cellStyle name="Millares 2 2 2 2 2 2 2 2 2 2 2 2" xfId="1197" xr:uid="{00000000-0005-0000-0000-0000AD040000}"/>
    <cellStyle name="Millares 2 2 2 2 2 2 2 2 2 2 2 3" xfId="1198" xr:uid="{00000000-0005-0000-0000-0000AE040000}"/>
    <cellStyle name="Millares 2 2 2 2 2 2 2 2 2 2 2 4" xfId="1199" xr:uid="{00000000-0005-0000-0000-0000AF040000}"/>
    <cellStyle name="Millares 2 2 2 2 2 2 2 2 2 2 2 5" xfId="1200" xr:uid="{00000000-0005-0000-0000-0000B0040000}"/>
    <cellStyle name="Millares 2 2 2 2 2 2 2 2 2 2 2 6" xfId="1201" xr:uid="{00000000-0005-0000-0000-0000B1040000}"/>
    <cellStyle name="Millares 2 2 2 2 2 2 2 2 2 2 2 7" xfId="1202" xr:uid="{00000000-0005-0000-0000-0000B2040000}"/>
    <cellStyle name="Millares 2 2 2 2 2 2 2 2 2 2 2 8" xfId="1203" xr:uid="{00000000-0005-0000-0000-0000B3040000}"/>
    <cellStyle name="Millares 2 2 2 2 2 2 2 2 2 2 2 9" xfId="1204" xr:uid="{00000000-0005-0000-0000-0000B4040000}"/>
    <cellStyle name="Millares 2 2 2 2 2 2 2 2 2 2 3" xfId="1205" xr:uid="{00000000-0005-0000-0000-0000B5040000}"/>
    <cellStyle name="Millares 2 2 2 2 2 2 2 2 2 2 4" xfId="1206" xr:uid="{00000000-0005-0000-0000-0000B6040000}"/>
    <cellStyle name="Millares 2 2 2 2 2 2 2 2 2 2 5" xfId="1207" xr:uid="{00000000-0005-0000-0000-0000B7040000}"/>
    <cellStyle name="Millares 2 2 2 2 2 2 2 2 2 2 6" xfId="1208" xr:uid="{00000000-0005-0000-0000-0000B8040000}"/>
    <cellStyle name="Millares 2 2 2 2 2 2 2 2 2 2 7" xfId="1209" xr:uid="{00000000-0005-0000-0000-0000B9040000}"/>
    <cellStyle name="Millares 2 2 2 2 2 2 2 2 2 2 8" xfId="1210" xr:uid="{00000000-0005-0000-0000-0000BA040000}"/>
    <cellStyle name="Millares 2 2 2 2 2 2 2 2 2 2 9" xfId="1211" xr:uid="{00000000-0005-0000-0000-0000BB040000}"/>
    <cellStyle name="Millares 2 2 2 2 2 2 2 2 2 3" xfId="1212" xr:uid="{00000000-0005-0000-0000-0000BC040000}"/>
    <cellStyle name="Millares 2 2 2 2 2 2 2 2 2 4" xfId="1213" xr:uid="{00000000-0005-0000-0000-0000BD040000}"/>
    <cellStyle name="Millares 2 2 2 2 2 2 2 2 2 5" xfId="1214" xr:uid="{00000000-0005-0000-0000-0000BE040000}"/>
    <cellStyle name="Millares 2 2 2 2 2 2 2 2 2 6" xfId="1215" xr:uid="{00000000-0005-0000-0000-0000BF040000}"/>
    <cellStyle name="Millares 2 2 2 2 2 2 2 2 2 6 10" xfId="1216" xr:uid="{00000000-0005-0000-0000-0000C0040000}"/>
    <cellStyle name="Millares 2 2 2 2 2 2 2 2 2 6 2" xfId="1217" xr:uid="{00000000-0005-0000-0000-0000C1040000}"/>
    <cellStyle name="Millares 2 2 2 2 2 2 2 2 2 6 3" xfId="1218" xr:uid="{00000000-0005-0000-0000-0000C2040000}"/>
    <cellStyle name="Millares 2 2 2 2 2 2 2 2 2 6 4" xfId="1219" xr:uid="{00000000-0005-0000-0000-0000C3040000}"/>
    <cellStyle name="Millares 2 2 2 2 2 2 2 2 2 6 5" xfId="1220" xr:uid="{00000000-0005-0000-0000-0000C4040000}"/>
    <cellStyle name="Millares 2 2 2 2 2 2 2 2 2 6 6" xfId="1221" xr:uid="{00000000-0005-0000-0000-0000C5040000}"/>
    <cellStyle name="Millares 2 2 2 2 2 2 2 2 2 6 7" xfId="1222" xr:uid="{00000000-0005-0000-0000-0000C6040000}"/>
    <cellStyle name="Millares 2 2 2 2 2 2 2 2 2 6 8" xfId="1223" xr:uid="{00000000-0005-0000-0000-0000C7040000}"/>
    <cellStyle name="Millares 2 2 2 2 2 2 2 2 2 6 9" xfId="1224" xr:uid="{00000000-0005-0000-0000-0000C8040000}"/>
    <cellStyle name="Millares 2 2 2 2 2 2 2 2 2 7" xfId="1225" xr:uid="{00000000-0005-0000-0000-0000C9040000}"/>
    <cellStyle name="Millares 2 2 2 2 2 2 2 2 2 8" xfId="1226" xr:uid="{00000000-0005-0000-0000-0000CA040000}"/>
    <cellStyle name="Millares 2 2 2 2 2 2 2 2 2 9" xfId="1227" xr:uid="{00000000-0005-0000-0000-0000CB040000}"/>
    <cellStyle name="Millares 2 2 2 2 2 2 2 2 3" xfId="1228" xr:uid="{00000000-0005-0000-0000-0000CC040000}"/>
    <cellStyle name="Millares 2 2 2 2 2 2 2 2 4" xfId="1229" xr:uid="{00000000-0005-0000-0000-0000CD040000}"/>
    <cellStyle name="Millares 2 2 2 2 2 2 2 2 5" xfId="1230" xr:uid="{00000000-0005-0000-0000-0000CE040000}"/>
    <cellStyle name="Millares 2 2 2 2 2 2 2 2 6" xfId="1231" xr:uid="{00000000-0005-0000-0000-0000CF040000}"/>
    <cellStyle name="Millares 2 2 2 2 2 2 2 2 6 10" xfId="1232" xr:uid="{00000000-0005-0000-0000-0000D0040000}"/>
    <cellStyle name="Millares 2 2 2 2 2 2 2 2 6 2" xfId="1233" xr:uid="{00000000-0005-0000-0000-0000D1040000}"/>
    <cellStyle name="Millares 2 2 2 2 2 2 2 2 6 3" xfId="1234" xr:uid="{00000000-0005-0000-0000-0000D2040000}"/>
    <cellStyle name="Millares 2 2 2 2 2 2 2 2 6 4" xfId="1235" xr:uid="{00000000-0005-0000-0000-0000D3040000}"/>
    <cellStyle name="Millares 2 2 2 2 2 2 2 2 6 5" xfId="1236" xr:uid="{00000000-0005-0000-0000-0000D4040000}"/>
    <cellStyle name="Millares 2 2 2 2 2 2 2 2 6 6" xfId="1237" xr:uid="{00000000-0005-0000-0000-0000D5040000}"/>
    <cellStyle name="Millares 2 2 2 2 2 2 2 2 6 7" xfId="1238" xr:uid="{00000000-0005-0000-0000-0000D6040000}"/>
    <cellStyle name="Millares 2 2 2 2 2 2 2 2 6 8" xfId="1239" xr:uid="{00000000-0005-0000-0000-0000D7040000}"/>
    <cellStyle name="Millares 2 2 2 2 2 2 2 2 6 9" xfId="1240" xr:uid="{00000000-0005-0000-0000-0000D8040000}"/>
    <cellStyle name="Millares 2 2 2 2 2 2 2 2 7" xfId="1241" xr:uid="{00000000-0005-0000-0000-0000D9040000}"/>
    <cellStyle name="Millares 2 2 2 2 2 2 2 2 8" xfId="1242" xr:uid="{00000000-0005-0000-0000-0000DA040000}"/>
    <cellStyle name="Millares 2 2 2 2 2 2 2 2 9" xfId="1243" xr:uid="{00000000-0005-0000-0000-0000DB040000}"/>
    <cellStyle name="Millares 2 2 2 2 2 2 2 20" xfId="1244" xr:uid="{00000000-0005-0000-0000-0000DC040000}"/>
    <cellStyle name="Millares 2 2 2 2 2 2 2 21" xfId="1245" xr:uid="{00000000-0005-0000-0000-0000DD040000}"/>
    <cellStyle name="Millares 2 2 2 2 2 2 2 22" xfId="1246" xr:uid="{00000000-0005-0000-0000-0000DE040000}"/>
    <cellStyle name="Millares 2 2 2 2 2 2 2 23" xfId="1247" xr:uid="{00000000-0005-0000-0000-0000DF040000}"/>
    <cellStyle name="Millares 2 2 2 2 2 2 2 24" xfId="1248" xr:uid="{00000000-0005-0000-0000-0000E0040000}"/>
    <cellStyle name="Millares 2 2 2 2 2 2 2 25" xfId="1249" xr:uid="{00000000-0005-0000-0000-0000E1040000}"/>
    <cellStyle name="Millares 2 2 2 2 2 2 2 25 10" xfId="1250" xr:uid="{00000000-0005-0000-0000-0000E2040000}"/>
    <cellStyle name="Millares 2 2 2 2 2 2 2 25 2" xfId="1251" xr:uid="{00000000-0005-0000-0000-0000E3040000}"/>
    <cellStyle name="Millares 2 2 2 2 2 2 2 25 3" xfId="1252" xr:uid="{00000000-0005-0000-0000-0000E4040000}"/>
    <cellStyle name="Millares 2 2 2 2 2 2 2 25 4" xfId="1253" xr:uid="{00000000-0005-0000-0000-0000E5040000}"/>
    <cellStyle name="Millares 2 2 2 2 2 2 2 25 5" xfId="1254" xr:uid="{00000000-0005-0000-0000-0000E6040000}"/>
    <cellStyle name="Millares 2 2 2 2 2 2 2 25 6" xfId="1255" xr:uid="{00000000-0005-0000-0000-0000E7040000}"/>
    <cellStyle name="Millares 2 2 2 2 2 2 2 25 7" xfId="1256" xr:uid="{00000000-0005-0000-0000-0000E8040000}"/>
    <cellStyle name="Millares 2 2 2 2 2 2 2 25 8" xfId="1257" xr:uid="{00000000-0005-0000-0000-0000E9040000}"/>
    <cellStyle name="Millares 2 2 2 2 2 2 2 25 9" xfId="1258" xr:uid="{00000000-0005-0000-0000-0000EA040000}"/>
    <cellStyle name="Millares 2 2 2 2 2 2 2 26" xfId="1259" xr:uid="{00000000-0005-0000-0000-0000EB040000}"/>
    <cellStyle name="Millares 2 2 2 2 2 2 2 27" xfId="1260" xr:uid="{00000000-0005-0000-0000-0000EC040000}"/>
    <cellStyle name="Millares 2 2 2 2 2 2 2 28" xfId="1261" xr:uid="{00000000-0005-0000-0000-0000ED040000}"/>
    <cellStyle name="Millares 2 2 2 2 2 2 2 29" xfId="1262" xr:uid="{00000000-0005-0000-0000-0000EE040000}"/>
    <cellStyle name="Millares 2 2 2 2 2 2 2 3" xfId="1263" xr:uid="{00000000-0005-0000-0000-0000EF040000}"/>
    <cellStyle name="Millares 2 2 2 2 2 2 2 30" xfId="1264" xr:uid="{00000000-0005-0000-0000-0000F0040000}"/>
    <cellStyle name="Millares 2 2 2 2 2 2 2 31" xfId="1265" xr:uid="{00000000-0005-0000-0000-0000F1040000}"/>
    <cellStyle name="Millares 2 2 2 2 2 2 2 32" xfId="1266" xr:uid="{00000000-0005-0000-0000-0000F2040000}"/>
    <cellStyle name="Millares 2 2 2 2 2 2 2 33" xfId="1267" xr:uid="{00000000-0005-0000-0000-0000F3040000}"/>
    <cellStyle name="Millares 2 2 2 2 2 2 2 34" xfId="1268" xr:uid="{00000000-0005-0000-0000-0000F4040000}"/>
    <cellStyle name="Millares 2 2 2 2 2 2 2 4" xfId="1269" xr:uid="{00000000-0005-0000-0000-0000F5040000}"/>
    <cellStyle name="Millares 2 2 2 2 2 2 2 5" xfId="1270" xr:uid="{00000000-0005-0000-0000-0000F6040000}"/>
    <cellStyle name="Millares 2 2 2 2 2 2 2 6" xfId="1271" xr:uid="{00000000-0005-0000-0000-0000F7040000}"/>
    <cellStyle name="Millares 2 2 2 2 2 2 2 7" xfId="1272" xr:uid="{00000000-0005-0000-0000-0000F8040000}"/>
    <cellStyle name="Millares 2 2 2 2 2 2 2 8" xfId="1273" xr:uid="{00000000-0005-0000-0000-0000F9040000}"/>
    <cellStyle name="Millares 2 2 2 2 2 2 2 9" xfId="1274" xr:uid="{00000000-0005-0000-0000-0000FA040000}"/>
    <cellStyle name="Millares 2 2 2 2 2 2 20" xfId="1275" xr:uid="{00000000-0005-0000-0000-0000FB040000}"/>
    <cellStyle name="Millares 2 2 2 2 2 2 21" xfId="1276" xr:uid="{00000000-0005-0000-0000-0000FC040000}"/>
    <cellStyle name="Millares 2 2 2 2 2 2 22" xfId="1277" xr:uid="{00000000-0005-0000-0000-0000FD040000}"/>
    <cellStyle name="Millares 2 2 2 2 2 2 23" xfId="1278" xr:uid="{00000000-0005-0000-0000-0000FE040000}"/>
    <cellStyle name="Millares 2 2 2 2 2 2 24" xfId="1279" xr:uid="{00000000-0005-0000-0000-0000FF040000}"/>
    <cellStyle name="Millares 2 2 2 2 2 2 25" xfId="1280" xr:uid="{00000000-0005-0000-0000-000000050000}"/>
    <cellStyle name="Millares 2 2 2 2 2 2 25 10" xfId="1281" xr:uid="{00000000-0005-0000-0000-000001050000}"/>
    <cellStyle name="Millares 2 2 2 2 2 2 25 2" xfId="1282" xr:uid="{00000000-0005-0000-0000-000002050000}"/>
    <cellStyle name="Millares 2 2 2 2 2 2 25 3" xfId="1283" xr:uid="{00000000-0005-0000-0000-000003050000}"/>
    <cellStyle name="Millares 2 2 2 2 2 2 25 4" xfId="1284" xr:uid="{00000000-0005-0000-0000-000004050000}"/>
    <cellStyle name="Millares 2 2 2 2 2 2 25 5" xfId="1285" xr:uid="{00000000-0005-0000-0000-000005050000}"/>
    <cellStyle name="Millares 2 2 2 2 2 2 25 6" xfId="1286" xr:uid="{00000000-0005-0000-0000-000006050000}"/>
    <cellStyle name="Millares 2 2 2 2 2 2 25 7" xfId="1287" xr:uid="{00000000-0005-0000-0000-000007050000}"/>
    <cellStyle name="Millares 2 2 2 2 2 2 25 8" xfId="1288" xr:uid="{00000000-0005-0000-0000-000008050000}"/>
    <cellStyle name="Millares 2 2 2 2 2 2 25 9" xfId="1289" xr:uid="{00000000-0005-0000-0000-000009050000}"/>
    <cellStyle name="Millares 2 2 2 2 2 2 26" xfId="1290" xr:uid="{00000000-0005-0000-0000-00000A050000}"/>
    <cellStyle name="Millares 2 2 2 2 2 2 27" xfId="1291" xr:uid="{00000000-0005-0000-0000-00000B050000}"/>
    <cellStyle name="Millares 2 2 2 2 2 2 28" xfId="1292" xr:uid="{00000000-0005-0000-0000-00000C050000}"/>
    <cellStyle name="Millares 2 2 2 2 2 2 29" xfId="1293" xr:uid="{00000000-0005-0000-0000-00000D050000}"/>
    <cellStyle name="Millares 2 2 2 2 2 2 3" xfId="1294" xr:uid="{00000000-0005-0000-0000-00000E050000}"/>
    <cellStyle name="Millares 2 2 2 2 2 2 30" xfId="1295" xr:uid="{00000000-0005-0000-0000-00000F050000}"/>
    <cellStyle name="Millares 2 2 2 2 2 2 31" xfId="1296" xr:uid="{00000000-0005-0000-0000-000010050000}"/>
    <cellStyle name="Millares 2 2 2 2 2 2 32" xfId="1297" xr:uid="{00000000-0005-0000-0000-000011050000}"/>
    <cellStyle name="Millares 2 2 2 2 2 2 33" xfId="1298" xr:uid="{00000000-0005-0000-0000-000012050000}"/>
    <cellStyle name="Millares 2 2 2 2 2 2 34" xfId="1299" xr:uid="{00000000-0005-0000-0000-000013050000}"/>
    <cellStyle name="Millares 2 2 2 2 2 2 35" xfId="1300" xr:uid="{00000000-0005-0000-0000-000014050000}"/>
    <cellStyle name="Millares 2 2 2 2 2 2 4" xfId="1301" xr:uid="{00000000-0005-0000-0000-000015050000}"/>
    <cellStyle name="Millares 2 2 2 2 2 2 5" xfId="1302" xr:uid="{00000000-0005-0000-0000-000016050000}"/>
    <cellStyle name="Millares 2 2 2 2 2 2 6" xfId="1303" xr:uid="{00000000-0005-0000-0000-000017050000}"/>
    <cellStyle name="Millares 2 2 2 2 2 2 7" xfId="1304" xr:uid="{00000000-0005-0000-0000-000018050000}"/>
    <cellStyle name="Millares 2 2 2 2 2 2 8" xfId="1305" xr:uid="{00000000-0005-0000-0000-000019050000}"/>
    <cellStyle name="Millares 2 2 2 2 2 2 9" xfId="1306" xr:uid="{00000000-0005-0000-0000-00001A050000}"/>
    <cellStyle name="Millares 2 2 2 2 2 20" xfId="1307" xr:uid="{00000000-0005-0000-0000-00001B050000}"/>
    <cellStyle name="Millares 2 2 2 2 2 21" xfId="1308" xr:uid="{00000000-0005-0000-0000-00001C050000}"/>
    <cellStyle name="Millares 2 2 2 2 2 22" xfId="1309" xr:uid="{00000000-0005-0000-0000-00001D050000}"/>
    <cellStyle name="Millares 2 2 2 2 2 23" xfId="1310" xr:uid="{00000000-0005-0000-0000-00001E050000}"/>
    <cellStyle name="Millares 2 2 2 2 2 24" xfId="1311" xr:uid="{00000000-0005-0000-0000-00001F050000}"/>
    <cellStyle name="Millares 2 2 2 2 2 25" xfId="1312" xr:uid="{00000000-0005-0000-0000-000020050000}"/>
    <cellStyle name="Millares 2 2 2 2 2 26" xfId="1313" xr:uid="{00000000-0005-0000-0000-000021050000}"/>
    <cellStyle name="Millares 2 2 2 2 2 27" xfId="1314" xr:uid="{00000000-0005-0000-0000-000022050000}"/>
    <cellStyle name="Millares 2 2 2 2 2 28" xfId="1315" xr:uid="{00000000-0005-0000-0000-000023050000}"/>
    <cellStyle name="Millares 2 2 2 2 2 29" xfId="1316" xr:uid="{00000000-0005-0000-0000-000024050000}"/>
    <cellStyle name="Millares 2 2 2 2 2 3" xfId="1317" xr:uid="{00000000-0005-0000-0000-000025050000}"/>
    <cellStyle name="Millares 2 2 2 2 2 30" xfId="1318" xr:uid="{00000000-0005-0000-0000-000026050000}"/>
    <cellStyle name="Millares 2 2 2 2 2 31" xfId="1319" xr:uid="{00000000-0005-0000-0000-000027050000}"/>
    <cellStyle name="Millares 2 2 2 2 2 32" xfId="1320" xr:uid="{00000000-0005-0000-0000-000028050000}"/>
    <cellStyle name="Millares 2 2 2 2 2 33" xfId="1321" xr:uid="{00000000-0005-0000-0000-000029050000}"/>
    <cellStyle name="Millares 2 2 2 2 2 34" xfId="1322" xr:uid="{00000000-0005-0000-0000-00002A050000}"/>
    <cellStyle name="Millares 2 2 2 2 2 35" xfId="1323" xr:uid="{00000000-0005-0000-0000-00002B050000}"/>
    <cellStyle name="Millares 2 2 2 2 2 36" xfId="1324" xr:uid="{00000000-0005-0000-0000-00002C050000}"/>
    <cellStyle name="Millares 2 2 2 2 2 37" xfId="1325" xr:uid="{00000000-0005-0000-0000-00002D050000}"/>
    <cellStyle name="Millares 2 2 2 2 2 38" xfId="1326" xr:uid="{00000000-0005-0000-0000-00002E050000}"/>
    <cellStyle name="Millares 2 2 2 2 2 38 10" xfId="1327" xr:uid="{00000000-0005-0000-0000-00002F050000}"/>
    <cellStyle name="Millares 2 2 2 2 2 38 2" xfId="1328" xr:uid="{00000000-0005-0000-0000-000030050000}"/>
    <cellStyle name="Millares 2 2 2 2 2 38 3" xfId="1329" xr:uid="{00000000-0005-0000-0000-000031050000}"/>
    <cellStyle name="Millares 2 2 2 2 2 38 4" xfId="1330" xr:uid="{00000000-0005-0000-0000-000032050000}"/>
    <cellStyle name="Millares 2 2 2 2 2 38 5" xfId="1331" xr:uid="{00000000-0005-0000-0000-000033050000}"/>
    <cellStyle name="Millares 2 2 2 2 2 38 6" xfId="1332" xr:uid="{00000000-0005-0000-0000-000034050000}"/>
    <cellStyle name="Millares 2 2 2 2 2 38 7" xfId="1333" xr:uid="{00000000-0005-0000-0000-000035050000}"/>
    <cellStyle name="Millares 2 2 2 2 2 38 8" xfId="1334" xr:uid="{00000000-0005-0000-0000-000036050000}"/>
    <cellStyle name="Millares 2 2 2 2 2 38 9" xfId="1335" xr:uid="{00000000-0005-0000-0000-000037050000}"/>
    <cellStyle name="Millares 2 2 2 2 2 39" xfId="1336" xr:uid="{00000000-0005-0000-0000-000038050000}"/>
    <cellStyle name="Millares 2 2 2 2 2 4" xfId="1337" xr:uid="{00000000-0005-0000-0000-000039050000}"/>
    <cellStyle name="Millares 2 2 2 2 2 40" xfId="1338" xr:uid="{00000000-0005-0000-0000-00003A050000}"/>
    <cellStyle name="Millares 2 2 2 2 2 41" xfId="1339" xr:uid="{00000000-0005-0000-0000-00003B050000}"/>
    <cellStyle name="Millares 2 2 2 2 2 42" xfId="1340" xr:uid="{00000000-0005-0000-0000-00003C050000}"/>
    <cellStyle name="Millares 2 2 2 2 2 43" xfId="1341" xr:uid="{00000000-0005-0000-0000-00003D050000}"/>
    <cellStyle name="Millares 2 2 2 2 2 44" xfId="1342" xr:uid="{00000000-0005-0000-0000-00003E050000}"/>
    <cellStyle name="Millares 2 2 2 2 2 45" xfId="1343" xr:uid="{00000000-0005-0000-0000-00003F050000}"/>
    <cellStyle name="Millares 2 2 2 2 2 46" xfId="1344" xr:uid="{00000000-0005-0000-0000-000040050000}"/>
    <cellStyle name="Millares 2 2 2 2 2 47" xfId="1345" xr:uid="{00000000-0005-0000-0000-000041050000}"/>
    <cellStyle name="Millares 2 2 2 2 2 48" xfId="1346" xr:uid="{00000000-0005-0000-0000-000042050000}"/>
    <cellStyle name="Millares 2 2 2 2 2 5" xfId="1347" xr:uid="{00000000-0005-0000-0000-000043050000}"/>
    <cellStyle name="Millares 2 2 2 2 2 6" xfId="1348" xr:uid="{00000000-0005-0000-0000-000044050000}"/>
    <cellStyle name="Millares 2 2 2 2 2 7" xfId="1349" xr:uid="{00000000-0005-0000-0000-000045050000}"/>
    <cellStyle name="Millares 2 2 2 2 2 8" xfId="1350" xr:uid="{00000000-0005-0000-0000-000046050000}"/>
    <cellStyle name="Millares 2 2 2 2 2 9" xfId="1351" xr:uid="{00000000-0005-0000-0000-000047050000}"/>
    <cellStyle name="Millares 2 2 2 2 20" xfId="1352" xr:uid="{00000000-0005-0000-0000-000048050000}"/>
    <cellStyle name="Millares 2 2 2 2 21" xfId="1353" xr:uid="{00000000-0005-0000-0000-000049050000}"/>
    <cellStyle name="Millares 2 2 2 2 22" xfId="1354" xr:uid="{00000000-0005-0000-0000-00004A050000}"/>
    <cellStyle name="Millares 2 2 2 2 23" xfId="1355" xr:uid="{00000000-0005-0000-0000-00004B050000}"/>
    <cellStyle name="Millares 2 2 2 2 24" xfId="1356" xr:uid="{00000000-0005-0000-0000-00004C050000}"/>
    <cellStyle name="Millares 2 2 2 2 25" xfId="1357" xr:uid="{00000000-0005-0000-0000-00004D050000}"/>
    <cellStyle name="Millares 2 2 2 2 26" xfId="1358" xr:uid="{00000000-0005-0000-0000-00004E050000}"/>
    <cellStyle name="Millares 2 2 2 2 27" xfId="1359" xr:uid="{00000000-0005-0000-0000-00004F050000}"/>
    <cellStyle name="Millares 2 2 2 2 28" xfId="1360" xr:uid="{00000000-0005-0000-0000-000050050000}"/>
    <cellStyle name="Millares 2 2 2 2 29" xfId="1361" xr:uid="{00000000-0005-0000-0000-000051050000}"/>
    <cellStyle name="Millares 2 2 2 2 3" xfId="1362" xr:uid="{00000000-0005-0000-0000-000052050000}"/>
    <cellStyle name="Millares 2 2 2 2 30" xfId="1363" xr:uid="{00000000-0005-0000-0000-000053050000}"/>
    <cellStyle name="Millares 2 2 2 2 31" xfId="1364" xr:uid="{00000000-0005-0000-0000-000054050000}"/>
    <cellStyle name="Millares 2 2 2 2 32" xfId="1365" xr:uid="{00000000-0005-0000-0000-000055050000}"/>
    <cellStyle name="Millares 2 2 2 2 33" xfId="1366" xr:uid="{00000000-0005-0000-0000-000056050000}"/>
    <cellStyle name="Millares 2 2 2 2 34" xfId="1367" xr:uid="{00000000-0005-0000-0000-000057050000}"/>
    <cellStyle name="Millares 2 2 2 2 35" xfId="1368" xr:uid="{00000000-0005-0000-0000-000058050000}"/>
    <cellStyle name="Millares 2 2 2 2 36" xfId="1369" xr:uid="{00000000-0005-0000-0000-000059050000}"/>
    <cellStyle name="Millares 2 2 2 2 37" xfId="1370" xr:uid="{00000000-0005-0000-0000-00005A050000}"/>
    <cellStyle name="Millares 2 2 2 2 38" xfId="1371" xr:uid="{00000000-0005-0000-0000-00005B050000}"/>
    <cellStyle name="Millares 2 2 2 2 39" xfId="1372" xr:uid="{00000000-0005-0000-0000-00005C050000}"/>
    <cellStyle name="Millares 2 2 2 2 39 10" xfId="1373" xr:uid="{00000000-0005-0000-0000-00005D050000}"/>
    <cellStyle name="Millares 2 2 2 2 39 2" xfId="1374" xr:uid="{00000000-0005-0000-0000-00005E050000}"/>
    <cellStyle name="Millares 2 2 2 2 39 3" xfId="1375" xr:uid="{00000000-0005-0000-0000-00005F050000}"/>
    <cellStyle name="Millares 2 2 2 2 39 4" xfId="1376" xr:uid="{00000000-0005-0000-0000-000060050000}"/>
    <cellStyle name="Millares 2 2 2 2 39 5" xfId="1377" xr:uid="{00000000-0005-0000-0000-000061050000}"/>
    <cellStyle name="Millares 2 2 2 2 39 6" xfId="1378" xr:uid="{00000000-0005-0000-0000-000062050000}"/>
    <cellStyle name="Millares 2 2 2 2 39 7" xfId="1379" xr:uid="{00000000-0005-0000-0000-000063050000}"/>
    <cellStyle name="Millares 2 2 2 2 39 8" xfId="1380" xr:uid="{00000000-0005-0000-0000-000064050000}"/>
    <cellStyle name="Millares 2 2 2 2 39 9" xfId="1381" xr:uid="{00000000-0005-0000-0000-000065050000}"/>
    <cellStyle name="Millares 2 2 2 2 4" xfId="1382" xr:uid="{00000000-0005-0000-0000-000066050000}"/>
    <cellStyle name="Millares 2 2 2 2 4 10" xfId="1383" xr:uid="{00000000-0005-0000-0000-000067050000}"/>
    <cellStyle name="Millares 2 2 2 2 4 11" xfId="1384" xr:uid="{00000000-0005-0000-0000-000068050000}"/>
    <cellStyle name="Millares 2 2 2 2 4 12" xfId="1385" xr:uid="{00000000-0005-0000-0000-000069050000}"/>
    <cellStyle name="Millares 2 2 2 2 4 13" xfId="1386" xr:uid="{00000000-0005-0000-0000-00006A050000}"/>
    <cellStyle name="Millares 2 2 2 2 4 14" xfId="1387" xr:uid="{00000000-0005-0000-0000-00006B050000}"/>
    <cellStyle name="Millares 2 2 2 2 4 15" xfId="1388" xr:uid="{00000000-0005-0000-0000-00006C050000}"/>
    <cellStyle name="Millares 2 2 2 2 4 16" xfId="1389" xr:uid="{00000000-0005-0000-0000-00006D050000}"/>
    <cellStyle name="Millares 2 2 2 2 4 17" xfId="1390" xr:uid="{00000000-0005-0000-0000-00006E050000}"/>
    <cellStyle name="Millares 2 2 2 2 4 18" xfId="1391" xr:uid="{00000000-0005-0000-0000-00006F050000}"/>
    <cellStyle name="Millares 2 2 2 2 4 19" xfId="1392" xr:uid="{00000000-0005-0000-0000-000070050000}"/>
    <cellStyle name="Millares 2 2 2 2 4 2" xfId="1393" xr:uid="{00000000-0005-0000-0000-000071050000}"/>
    <cellStyle name="Millares 2 2 2 2 4 2 10" xfId="1394" xr:uid="{00000000-0005-0000-0000-000072050000}"/>
    <cellStyle name="Millares 2 2 2 2 4 2 11" xfId="1395" xr:uid="{00000000-0005-0000-0000-000073050000}"/>
    <cellStyle name="Millares 2 2 2 2 4 2 12" xfId="1396" xr:uid="{00000000-0005-0000-0000-000074050000}"/>
    <cellStyle name="Millares 2 2 2 2 4 2 13" xfId="1397" xr:uid="{00000000-0005-0000-0000-000075050000}"/>
    <cellStyle name="Millares 2 2 2 2 4 2 14" xfId="1398" xr:uid="{00000000-0005-0000-0000-000076050000}"/>
    <cellStyle name="Millares 2 2 2 2 4 2 15" xfId="1399" xr:uid="{00000000-0005-0000-0000-000077050000}"/>
    <cellStyle name="Millares 2 2 2 2 4 2 16" xfId="1400" xr:uid="{00000000-0005-0000-0000-000078050000}"/>
    <cellStyle name="Millares 2 2 2 2 4 2 17" xfId="1401" xr:uid="{00000000-0005-0000-0000-000079050000}"/>
    <cellStyle name="Millares 2 2 2 2 4 2 18" xfId="1402" xr:uid="{00000000-0005-0000-0000-00007A050000}"/>
    <cellStyle name="Millares 2 2 2 2 4 2 19" xfId="1403" xr:uid="{00000000-0005-0000-0000-00007B050000}"/>
    <cellStyle name="Millares 2 2 2 2 4 2 2" xfId="1404" xr:uid="{00000000-0005-0000-0000-00007C050000}"/>
    <cellStyle name="Millares 2 2 2 2 4 2 20" xfId="1405" xr:uid="{00000000-0005-0000-0000-00007D050000}"/>
    <cellStyle name="Millares 2 2 2 2 4 2 3" xfId="1406" xr:uid="{00000000-0005-0000-0000-00007E050000}"/>
    <cellStyle name="Millares 2 2 2 2 4 2 4" xfId="1407" xr:uid="{00000000-0005-0000-0000-00007F050000}"/>
    <cellStyle name="Millares 2 2 2 2 4 2 5" xfId="1408" xr:uid="{00000000-0005-0000-0000-000080050000}"/>
    <cellStyle name="Millares 2 2 2 2 4 2 6" xfId="1409" xr:uid="{00000000-0005-0000-0000-000081050000}"/>
    <cellStyle name="Millares 2 2 2 2 4 2 7" xfId="1410" xr:uid="{00000000-0005-0000-0000-000082050000}"/>
    <cellStyle name="Millares 2 2 2 2 4 2 8" xfId="1411" xr:uid="{00000000-0005-0000-0000-000083050000}"/>
    <cellStyle name="Millares 2 2 2 2 4 2 9" xfId="1412" xr:uid="{00000000-0005-0000-0000-000084050000}"/>
    <cellStyle name="Millares 2 2 2 2 4 20" xfId="1413" xr:uid="{00000000-0005-0000-0000-000085050000}"/>
    <cellStyle name="Millares 2 2 2 2 4 3" xfId="1414" xr:uid="{00000000-0005-0000-0000-000086050000}"/>
    <cellStyle name="Millares 2 2 2 2 4 4" xfId="1415" xr:uid="{00000000-0005-0000-0000-000087050000}"/>
    <cellStyle name="Millares 2 2 2 2 4 5" xfId="1416" xr:uid="{00000000-0005-0000-0000-000088050000}"/>
    <cellStyle name="Millares 2 2 2 2 4 6" xfId="1417" xr:uid="{00000000-0005-0000-0000-000089050000}"/>
    <cellStyle name="Millares 2 2 2 2 4 7" xfId="1418" xr:uid="{00000000-0005-0000-0000-00008A050000}"/>
    <cellStyle name="Millares 2 2 2 2 4 8" xfId="1419" xr:uid="{00000000-0005-0000-0000-00008B050000}"/>
    <cellStyle name="Millares 2 2 2 2 4 9" xfId="1420" xr:uid="{00000000-0005-0000-0000-00008C050000}"/>
    <cellStyle name="Millares 2 2 2 2 40" xfId="1421" xr:uid="{00000000-0005-0000-0000-00008D050000}"/>
    <cellStyle name="Millares 2 2 2 2 41" xfId="1422" xr:uid="{00000000-0005-0000-0000-00008E050000}"/>
    <cellStyle name="Millares 2 2 2 2 42" xfId="1423" xr:uid="{00000000-0005-0000-0000-00008F050000}"/>
    <cellStyle name="Millares 2 2 2 2 43" xfId="1424" xr:uid="{00000000-0005-0000-0000-000090050000}"/>
    <cellStyle name="Millares 2 2 2 2 44" xfId="1425" xr:uid="{00000000-0005-0000-0000-000091050000}"/>
    <cellStyle name="Millares 2 2 2 2 45" xfId="1426" xr:uid="{00000000-0005-0000-0000-000092050000}"/>
    <cellStyle name="Millares 2 2 2 2 46" xfId="1427" xr:uid="{00000000-0005-0000-0000-000093050000}"/>
    <cellStyle name="Millares 2 2 2 2 47" xfId="1428" xr:uid="{00000000-0005-0000-0000-000094050000}"/>
    <cellStyle name="Millares 2 2 2 2 48" xfId="1429" xr:uid="{00000000-0005-0000-0000-000095050000}"/>
    <cellStyle name="Millares 2 2 2 2 5" xfId="1430" xr:uid="{00000000-0005-0000-0000-000096050000}"/>
    <cellStyle name="Millares 2 2 2 2 6" xfId="1431" xr:uid="{00000000-0005-0000-0000-000097050000}"/>
    <cellStyle name="Millares 2 2 2 2 7" xfId="1432" xr:uid="{00000000-0005-0000-0000-000098050000}"/>
    <cellStyle name="Millares 2 2 2 2 8" xfId="1433" xr:uid="{00000000-0005-0000-0000-000099050000}"/>
    <cellStyle name="Millares 2 2 2 2 9" xfId="1434" xr:uid="{00000000-0005-0000-0000-00009A050000}"/>
    <cellStyle name="Millares 2 2 2 20" xfId="1435" xr:uid="{00000000-0005-0000-0000-00009B050000}"/>
    <cellStyle name="Millares 2 2 2 21" xfId="1436" xr:uid="{00000000-0005-0000-0000-00009C050000}"/>
    <cellStyle name="Millares 2 2 2 22" xfId="1437" xr:uid="{00000000-0005-0000-0000-00009D050000}"/>
    <cellStyle name="Millares 2 2 2 23" xfId="1438" xr:uid="{00000000-0005-0000-0000-00009E050000}"/>
    <cellStyle name="Millares 2 2 2 24" xfId="1439" xr:uid="{00000000-0005-0000-0000-00009F050000}"/>
    <cellStyle name="Millares 2 2 2 25" xfId="1440" xr:uid="{00000000-0005-0000-0000-0000A0050000}"/>
    <cellStyle name="Millares 2 2 2 26" xfId="1441" xr:uid="{00000000-0005-0000-0000-0000A1050000}"/>
    <cellStyle name="Millares 2 2 2 27" xfId="1442" xr:uid="{00000000-0005-0000-0000-0000A2050000}"/>
    <cellStyle name="Millares 2 2 2 28" xfId="1443" xr:uid="{00000000-0005-0000-0000-0000A3050000}"/>
    <cellStyle name="Millares 2 2 2 29" xfId="1444" xr:uid="{00000000-0005-0000-0000-0000A4050000}"/>
    <cellStyle name="Millares 2 2 2 3" xfId="1445" xr:uid="{00000000-0005-0000-0000-0000A5050000}"/>
    <cellStyle name="Millares 2 2 2 3 10" xfId="1446" xr:uid="{00000000-0005-0000-0000-0000A6050000}"/>
    <cellStyle name="Millares 2 2 2 3 11" xfId="1447" xr:uid="{00000000-0005-0000-0000-0000A7050000}"/>
    <cellStyle name="Millares 2 2 2 3 12" xfId="1448" xr:uid="{00000000-0005-0000-0000-0000A8050000}"/>
    <cellStyle name="Millares 2 2 2 3 13" xfId="1449" xr:uid="{00000000-0005-0000-0000-0000A9050000}"/>
    <cellStyle name="Millares 2 2 2 3 14" xfId="1450" xr:uid="{00000000-0005-0000-0000-0000AA050000}"/>
    <cellStyle name="Millares 2 2 2 3 15" xfId="1451" xr:uid="{00000000-0005-0000-0000-0000AB050000}"/>
    <cellStyle name="Millares 2 2 2 3 16" xfId="1452" xr:uid="{00000000-0005-0000-0000-0000AC050000}"/>
    <cellStyle name="Millares 2 2 2 3 17" xfId="1453" xr:uid="{00000000-0005-0000-0000-0000AD050000}"/>
    <cellStyle name="Millares 2 2 2 3 18" xfId="1454" xr:uid="{00000000-0005-0000-0000-0000AE050000}"/>
    <cellStyle name="Millares 2 2 2 3 19" xfId="1455" xr:uid="{00000000-0005-0000-0000-0000AF050000}"/>
    <cellStyle name="Millares 2 2 2 3 2" xfId="1456" xr:uid="{00000000-0005-0000-0000-0000B0050000}"/>
    <cellStyle name="Millares 2 2 2 3 2 10" xfId="1457" xr:uid="{00000000-0005-0000-0000-0000B1050000}"/>
    <cellStyle name="Millares 2 2 2 3 2 11" xfId="1458" xr:uid="{00000000-0005-0000-0000-0000B2050000}"/>
    <cellStyle name="Millares 2 2 2 3 2 12" xfId="1459" xr:uid="{00000000-0005-0000-0000-0000B3050000}"/>
    <cellStyle name="Millares 2 2 2 3 2 13" xfId="1460" xr:uid="{00000000-0005-0000-0000-0000B4050000}"/>
    <cellStyle name="Millares 2 2 2 3 2 14" xfId="1461" xr:uid="{00000000-0005-0000-0000-0000B5050000}"/>
    <cellStyle name="Millares 2 2 2 3 2 15" xfId="1462" xr:uid="{00000000-0005-0000-0000-0000B6050000}"/>
    <cellStyle name="Millares 2 2 2 3 2 16" xfId="1463" xr:uid="{00000000-0005-0000-0000-0000B7050000}"/>
    <cellStyle name="Millares 2 2 2 3 2 17" xfId="1464" xr:uid="{00000000-0005-0000-0000-0000B8050000}"/>
    <cellStyle name="Millares 2 2 2 3 2 18" xfId="1465" xr:uid="{00000000-0005-0000-0000-0000B9050000}"/>
    <cellStyle name="Millares 2 2 2 3 2 19" xfId="1466" xr:uid="{00000000-0005-0000-0000-0000BA050000}"/>
    <cellStyle name="Millares 2 2 2 3 2 2" xfId="1467" xr:uid="{00000000-0005-0000-0000-0000BB050000}"/>
    <cellStyle name="Millares 2 2 2 3 2 2 10" xfId="1468" xr:uid="{00000000-0005-0000-0000-0000BC050000}"/>
    <cellStyle name="Millares 2 2 2 3 2 2 11" xfId="1469" xr:uid="{00000000-0005-0000-0000-0000BD050000}"/>
    <cellStyle name="Millares 2 2 2 3 2 2 12" xfId="1470" xr:uid="{00000000-0005-0000-0000-0000BE050000}"/>
    <cellStyle name="Millares 2 2 2 3 2 2 13" xfId="1471" xr:uid="{00000000-0005-0000-0000-0000BF050000}"/>
    <cellStyle name="Millares 2 2 2 3 2 2 14" xfId="1472" xr:uid="{00000000-0005-0000-0000-0000C0050000}"/>
    <cellStyle name="Millares 2 2 2 3 2 2 15" xfId="1473" xr:uid="{00000000-0005-0000-0000-0000C1050000}"/>
    <cellStyle name="Millares 2 2 2 3 2 2 16" xfId="1474" xr:uid="{00000000-0005-0000-0000-0000C2050000}"/>
    <cellStyle name="Millares 2 2 2 3 2 2 17" xfId="1475" xr:uid="{00000000-0005-0000-0000-0000C3050000}"/>
    <cellStyle name="Millares 2 2 2 3 2 2 18" xfId="1476" xr:uid="{00000000-0005-0000-0000-0000C4050000}"/>
    <cellStyle name="Millares 2 2 2 3 2 2 19" xfId="1477" xr:uid="{00000000-0005-0000-0000-0000C5050000}"/>
    <cellStyle name="Millares 2 2 2 3 2 2 2" xfId="1478" xr:uid="{00000000-0005-0000-0000-0000C6050000}"/>
    <cellStyle name="Millares 2 2 2 3 2 2 20" xfId="1479" xr:uid="{00000000-0005-0000-0000-0000C7050000}"/>
    <cellStyle name="Millares 2 2 2 3 2 2 3" xfId="1480" xr:uid="{00000000-0005-0000-0000-0000C8050000}"/>
    <cellStyle name="Millares 2 2 2 3 2 2 4" xfId="1481" xr:uid="{00000000-0005-0000-0000-0000C9050000}"/>
    <cellStyle name="Millares 2 2 2 3 2 2 5" xfId="1482" xr:uid="{00000000-0005-0000-0000-0000CA050000}"/>
    <cellStyle name="Millares 2 2 2 3 2 2 6" xfId="1483" xr:uid="{00000000-0005-0000-0000-0000CB050000}"/>
    <cellStyle name="Millares 2 2 2 3 2 2 7" xfId="1484" xr:uid="{00000000-0005-0000-0000-0000CC050000}"/>
    <cellStyle name="Millares 2 2 2 3 2 2 8" xfId="1485" xr:uid="{00000000-0005-0000-0000-0000CD050000}"/>
    <cellStyle name="Millares 2 2 2 3 2 2 9" xfId="1486" xr:uid="{00000000-0005-0000-0000-0000CE050000}"/>
    <cellStyle name="Millares 2 2 2 3 2 20" xfId="1487" xr:uid="{00000000-0005-0000-0000-0000CF050000}"/>
    <cellStyle name="Millares 2 2 2 3 2 3" xfId="1488" xr:uid="{00000000-0005-0000-0000-0000D0050000}"/>
    <cellStyle name="Millares 2 2 2 3 2 4" xfId="1489" xr:uid="{00000000-0005-0000-0000-0000D1050000}"/>
    <cellStyle name="Millares 2 2 2 3 2 5" xfId="1490" xr:uid="{00000000-0005-0000-0000-0000D2050000}"/>
    <cellStyle name="Millares 2 2 2 3 2 6" xfId="1491" xr:uid="{00000000-0005-0000-0000-0000D3050000}"/>
    <cellStyle name="Millares 2 2 2 3 2 7" xfId="1492" xr:uid="{00000000-0005-0000-0000-0000D4050000}"/>
    <cellStyle name="Millares 2 2 2 3 2 8" xfId="1493" xr:uid="{00000000-0005-0000-0000-0000D5050000}"/>
    <cellStyle name="Millares 2 2 2 3 2 9" xfId="1494" xr:uid="{00000000-0005-0000-0000-0000D6050000}"/>
    <cellStyle name="Millares 2 2 2 3 20" xfId="1495" xr:uid="{00000000-0005-0000-0000-0000D7050000}"/>
    <cellStyle name="Millares 2 2 2 3 21" xfId="1496" xr:uid="{00000000-0005-0000-0000-0000D8050000}"/>
    <cellStyle name="Millares 2 2 2 3 22" xfId="1497" xr:uid="{00000000-0005-0000-0000-0000D9050000}"/>
    <cellStyle name="Millares 2 2 2 3 23" xfId="1498" xr:uid="{00000000-0005-0000-0000-0000DA050000}"/>
    <cellStyle name="Millares 2 2 2 3 24" xfId="1499" xr:uid="{00000000-0005-0000-0000-0000DB050000}"/>
    <cellStyle name="Millares 2 2 2 3 25" xfId="1500" xr:uid="{00000000-0005-0000-0000-0000DC050000}"/>
    <cellStyle name="Millares 2 2 2 3 26" xfId="1501" xr:uid="{00000000-0005-0000-0000-0000DD050000}"/>
    <cellStyle name="Millares 2 2 2 3 27" xfId="1502" xr:uid="{00000000-0005-0000-0000-0000DE050000}"/>
    <cellStyle name="Millares 2 2 2 3 28" xfId="1503" xr:uid="{00000000-0005-0000-0000-0000DF050000}"/>
    <cellStyle name="Millares 2 2 2 3 29" xfId="1504" xr:uid="{00000000-0005-0000-0000-0000E0050000}"/>
    <cellStyle name="Millares 2 2 2 3 3" xfId="1505" xr:uid="{00000000-0005-0000-0000-0000E1050000}"/>
    <cellStyle name="Millares 2 2 2 3 30" xfId="1506" xr:uid="{00000000-0005-0000-0000-0000E2050000}"/>
    <cellStyle name="Millares 2 2 2 3 31" xfId="1507" xr:uid="{00000000-0005-0000-0000-0000E3050000}"/>
    <cellStyle name="Millares 2 2 2 3 32" xfId="1508" xr:uid="{00000000-0005-0000-0000-0000E4050000}"/>
    <cellStyle name="Millares 2 2 2 3 33" xfId="1509" xr:uid="{00000000-0005-0000-0000-0000E5050000}"/>
    <cellStyle name="Millares 2 2 2 3 4" xfId="1510" xr:uid="{00000000-0005-0000-0000-0000E6050000}"/>
    <cellStyle name="Millares 2 2 2 3 5" xfId="1511" xr:uid="{00000000-0005-0000-0000-0000E7050000}"/>
    <cellStyle name="Millares 2 2 2 3 6" xfId="1512" xr:uid="{00000000-0005-0000-0000-0000E8050000}"/>
    <cellStyle name="Millares 2 2 2 3 7" xfId="1513" xr:uid="{00000000-0005-0000-0000-0000E9050000}"/>
    <cellStyle name="Millares 2 2 2 3 8" xfId="1514" xr:uid="{00000000-0005-0000-0000-0000EA050000}"/>
    <cellStyle name="Millares 2 2 2 3 9" xfId="1515" xr:uid="{00000000-0005-0000-0000-0000EB050000}"/>
    <cellStyle name="Millares 2 2 2 30" xfId="1516" xr:uid="{00000000-0005-0000-0000-0000EC050000}"/>
    <cellStyle name="Millares 2 2 2 31" xfId="1517" xr:uid="{00000000-0005-0000-0000-0000ED050000}"/>
    <cellStyle name="Millares 2 2 2 32" xfId="1518" xr:uid="{00000000-0005-0000-0000-0000EE050000}"/>
    <cellStyle name="Millares 2 2 2 33" xfId="1519" xr:uid="{00000000-0005-0000-0000-0000EF050000}"/>
    <cellStyle name="Millares 2 2 2 34" xfId="1520" xr:uid="{00000000-0005-0000-0000-0000F0050000}"/>
    <cellStyle name="Millares 2 2 2 35" xfId="1521" xr:uid="{00000000-0005-0000-0000-0000F1050000}"/>
    <cellStyle name="Millares 2 2 2 36" xfId="1522" xr:uid="{00000000-0005-0000-0000-0000F2050000}"/>
    <cellStyle name="Millares 2 2 2 37" xfId="1523" xr:uid="{00000000-0005-0000-0000-0000F3050000}"/>
    <cellStyle name="Millares 2 2 2 38" xfId="1524" xr:uid="{00000000-0005-0000-0000-0000F4050000}"/>
    <cellStyle name="Millares 2 2 2 39" xfId="1525" xr:uid="{00000000-0005-0000-0000-0000F5050000}"/>
    <cellStyle name="Millares 2 2 2 39 10" xfId="1526" xr:uid="{00000000-0005-0000-0000-0000F6050000}"/>
    <cellStyle name="Millares 2 2 2 39 2" xfId="1527" xr:uid="{00000000-0005-0000-0000-0000F7050000}"/>
    <cellStyle name="Millares 2 2 2 39 3" xfId="1528" xr:uid="{00000000-0005-0000-0000-0000F8050000}"/>
    <cellStyle name="Millares 2 2 2 39 4" xfId="1529" xr:uid="{00000000-0005-0000-0000-0000F9050000}"/>
    <cellStyle name="Millares 2 2 2 39 5" xfId="1530" xr:uid="{00000000-0005-0000-0000-0000FA050000}"/>
    <cellStyle name="Millares 2 2 2 39 6" xfId="1531" xr:uid="{00000000-0005-0000-0000-0000FB050000}"/>
    <cellStyle name="Millares 2 2 2 39 7" xfId="1532" xr:uid="{00000000-0005-0000-0000-0000FC050000}"/>
    <cellStyle name="Millares 2 2 2 39 8" xfId="1533" xr:uid="{00000000-0005-0000-0000-0000FD050000}"/>
    <cellStyle name="Millares 2 2 2 39 9" xfId="1534" xr:uid="{00000000-0005-0000-0000-0000FE050000}"/>
    <cellStyle name="Millares 2 2 2 4" xfId="1535" xr:uid="{00000000-0005-0000-0000-0000FF050000}"/>
    <cellStyle name="Millares 2 2 2 4 10" xfId="1536" xr:uid="{00000000-0005-0000-0000-000000060000}"/>
    <cellStyle name="Millares 2 2 2 4 11" xfId="1537" xr:uid="{00000000-0005-0000-0000-000001060000}"/>
    <cellStyle name="Millares 2 2 2 4 12" xfId="1538" xr:uid="{00000000-0005-0000-0000-000002060000}"/>
    <cellStyle name="Millares 2 2 2 4 13" xfId="1539" xr:uid="{00000000-0005-0000-0000-000003060000}"/>
    <cellStyle name="Millares 2 2 2 4 14" xfId="1540" xr:uid="{00000000-0005-0000-0000-000004060000}"/>
    <cellStyle name="Millares 2 2 2 4 15" xfId="1541" xr:uid="{00000000-0005-0000-0000-000005060000}"/>
    <cellStyle name="Millares 2 2 2 4 16" xfId="1542" xr:uid="{00000000-0005-0000-0000-000006060000}"/>
    <cellStyle name="Millares 2 2 2 4 17" xfId="1543" xr:uid="{00000000-0005-0000-0000-000007060000}"/>
    <cellStyle name="Millares 2 2 2 4 18" xfId="1544" xr:uid="{00000000-0005-0000-0000-000008060000}"/>
    <cellStyle name="Millares 2 2 2 4 19" xfId="1545" xr:uid="{00000000-0005-0000-0000-000009060000}"/>
    <cellStyle name="Millares 2 2 2 4 2" xfId="1546" xr:uid="{00000000-0005-0000-0000-00000A060000}"/>
    <cellStyle name="Millares 2 2 2 4 2 10" xfId="1547" xr:uid="{00000000-0005-0000-0000-00000B060000}"/>
    <cellStyle name="Millares 2 2 2 4 2 11" xfId="1548" xr:uid="{00000000-0005-0000-0000-00000C060000}"/>
    <cellStyle name="Millares 2 2 2 4 2 12" xfId="1549" xr:uid="{00000000-0005-0000-0000-00000D060000}"/>
    <cellStyle name="Millares 2 2 2 4 2 13" xfId="1550" xr:uid="{00000000-0005-0000-0000-00000E060000}"/>
    <cellStyle name="Millares 2 2 2 4 2 14" xfId="1551" xr:uid="{00000000-0005-0000-0000-00000F060000}"/>
    <cellStyle name="Millares 2 2 2 4 2 15" xfId="1552" xr:uid="{00000000-0005-0000-0000-000010060000}"/>
    <cellStyle name="Millares 2 2 2 4 2 16" xfId="1553" xr:uid="{00000000-0005-0000-0000-000011060000}"/>
    <cellStyle name="Millares 2 2 2 4 2 17" xfId="1554" xr:uid="{00000000-0005-0000-0000-000012060000}"/>
    <cellStyle name="Millares 2 2 2 4 2 18" xfId="1555" xr:uid="{00000000-0005-0000-0000-000013060000}"/>
    <cellStyle name="Millares 2 2 2 4 2 19" xfId="1556" xr:uid="{00000000-0005-0000-0000-000014060000}"/>
    <cellStyle name="Millares 2 2 2 4 2 2" xfId="1557" xr:uid="{00000000-0005-0000-0000-000015060000}"/>
    <cellStyle name="Millares 2 2 2 4 2 20" xfId="1558" xr:uid="{00000000-0005-0000-0000-000016060000}"/>
    <cellStyle name="Millares 2 2 2 4 2 3" xfId="1559" xr:uid="{00000000-0005-0000-0000-000017060000}"/>
    <cellStyle name="Millares 2 2 2 4 2 4" xfId="1560" xr:uid="{00000000-0005-0000-0000-000018060000}"/>
    <cellStyle name="Millares 2 2 2 4 2 5" xfId="1561" xr:uid="{00000000-0005-0000-0000-000019060000}"/>
    <cellStyle name="Millares 2 2 2 4 2 6" xfId="1562" xr:uid="{00000000-0005-0000-0000-00001A060000}"/>
    <cellStyle name="Millares 2 2 2 4 2 7" xfId="1563" xr:uid="{00000000-0005-0000-0000-00001B060000}"/>
    <cellStyle name="Millares 2 2 2 4 2 8" xfId="1564" xr:uid="{00000000-0005-0000-0000-00001C060000}"/>
    <cellStyle name="Millares 2 2 2 4 2 9" xfId="1565" xr:uid="{00000000-0005-0000-0000-00001D060000}"/>
    <cellStyle name="Millares 2 2 2 4 20" xfId="1566" xr:uid="{00000000-0005-0000-0000-00001E060000}"/>
    <cellStyle name="Millares 2 2 2 4 3" xfId="1567" xr:uid="{00000000-0005-0000-0000-00001F060000}"/>
    <cellStyle name="Millares 2 2 2 4 4" xfId="1568" xr:uid="{00000000-0005-0000-0000-000020060000}"/>
    <cellStyle name="Millares 2 2 2 4 5" xfId="1569" xr:uid="{00000000-0005-0000-0000-000021060000}"/>
    <cellStyle name="Millares 2 2 2 4 6" xfId="1570" xr:uid="{00000000-0005-0000-0000-000022060000}"/>
    <cellStyle name="Millares 2 2 2 4 7" xfId="1571" xr:uid="{00000000-0005-0000-0000-000023060000}"/>
    <cellStyle name="Millares 2 2 2 4 8" xfId="1572" xr:uid="{00000000-0005-0000-0000-000024060000}"/>
    <cellStyle name="Millares 2 2 2 4 9" xfId="1573" xr:uid="{00000000-0005-0000-0000-000025060000}"/>
    <cellStyle name="Millares 2 2 2 40" xfId="1574" xr:uid="{00000000-0005-0000-0000-000026060000}"/>
    <cellStyle name="Millares 2 2 2 41" xfId="1575" xr:uid="{00000000-0005-0000-0000-000027060000}"/>
    <cellStyle name="Millares 2 2 2 42" xfId="1576" xr:uid="{00000000-0005-0000-0000-000028060000}"/>
    <cellStyle name="Millares 2 2 2 43" xfId="1577" xr:uid="{00000000-0005-0000-0000-000029060000}"/>
    <cellStyle name="Millares 2 2 2 44" xfId="1578" xr:uid="{00000000-0005-0000-0000-00002A060000}"/>
    <cellStyle name="Millares 2 2 2 45" xfId="1579" xr:uid="{00000000-0005-0000-0000-00002B060000}"/>
    <cellStyle name="Millares 2 2 2 46" xfId="1580" xr:uid="{00000000-0005-0000-0000-00002C060000}"/>
    <cellStyle name="Millares 2 2 2 47" xfId="1581" xr:uid="{00000000-0005-0000-0000-00002D060000}"/>
    <cellStyle name="Millares 2 2 2 48" xfId="1582" xr:uid="{00000000-0005-0000-0000-00002E060000}"/>
    <cellStyle name="Millares 2 2 2 49" xfId="1583" xr:uid="{00000000-0005-0000-0000-00002F060000}"/>
    <cellStyle name="Millares 2 2 2 5" xfId="1584" xr:uid="{00000000-0005-0000-0000-000030060000}"/>
    <cellStyle name="Millares 2 2 2 6" xfId="1585" xr:uid="{00000000-0005-0000-0000-000031060000}"/>
    <cellStyle name="Millares 2 2 2 7" xfId="1586" xr:uid="{00000000-0005-0000-0000-000032060000}"/>
    <cellStyle name="Millares 2 2 2 8" xfId="1587" xr:uid="{00000000-0005-0000-0000-000033060000}"/>
    <cellStyle name="Millares 2 2 2 9" xfId="1588" xr:uid="{00000000-0005-0000-0000-000034060000}"/>
    <cellStyle name="Millares 2 2 20" xfId="1589" xr:uid="{00000000-0005-0000-0000-000035060000}"/>
    <cellStyle name="Millares 2 2 21" xfId="1590" xr:uid="{00000000-0005-0000-0000-000036060000}"/>
    <cellStyle name="Millares 2 2 22" xfId="1591" xr:uid="{00000000-0005-0000-0000-000037060000}"/>
    <cellStyle name="Millares 2 2 23" xfId="1592" xr:uid="{00000000-0005-0000-0000-000038060000}"/>
    <cellStyle name="Millares 2 2 24" xfId="1593" xr:uid="{00000000-0005-0000-0000-000039060000}"/>
    <cellStyle name="Millares 2 2 25" xfId="1594" xr:uid="{00000000-0005-0000-0000-00003A060000}"/>
    <cellStyle name="Millares 2 2 26" xfId="1595" xr:uid="{00000000-0005-0000-0000-00003B060000}"/>
    <cellStyle name="Millares 2 2 27" xfId="1596" xr:uid="{00000000-0005-0000-0000-00003C060000}"/>
    <cellStyle name="Millares 2 2 28" xfId="1597" xr:uid="{00000000-0005-0000-0000-00003D060000}"/>
    <cellStyle name="Millares 2 2 29" xfId="1598" xr:uid="{00000000-0005-0000-0000-00003E060000}"/>
    <cellStyle name="Millares 2 2 3" xfId="1599" xr:uid="{00000000-0005-0000-0000-00003F060000}"/>
    <cellStyle name="Millares 2 2 3 10" xfId="1600" xr:uid="{00000000-0005-0000-0000-000040060000}"/>
    <cellStyle name="Millares 2 2 3 11" xfId="1601" xr:uid="{00000000-0005-0000-0000-000041060000}"/>
    <cellStyle name="Millares 2 2 3 12" xfId="1602" xr:uid="{00000000-0005-0000-0000-000042060000}"/>
    <cellStyle name="Millares 2 2 3 13" xfId="1603" xr:uid="{00000000-0005-0000-0000-000043060000}"/>
    <cellStyle name="Millares 2 2 3 14" xfId="1604" xr:uid="{00000000-0005-0000-0000-000044060000}"/>
    <cellStyle name="Millares 2 2 3 15" xfId="1605" xr:uid="{00000000-0005-0000-0000-000045060000}"/>
    <cellStyle name="Millares 2 2 3 16" xfId="1606" xr:uid="{00000000-0005-0000-0000-000046060000}"/>
    <cellStyle name="Millares 2 2 3 17" xfId="1607" xr:uid="{00000000-0005-0000-0000-000047060000}"/>
    <cellStyle name="Millares 2 2 3 18" xfId="1608" xr:uid="{00000000-0005-0000-0000-000048060000}"/>
    <cellStyle name="Millares 2 2 3 19" xfId="1609" xr:uid="{00000000-0005-0000-0000-000049060000}"/>
    <cellStyle name="Millares 2 2 3 2" xfId="1610" xr:uid="{00000000-0005-0000-0000-00004A060000}"/>
    <cellStyle name="Millares 2 2 3 2 10" xfId="1611" xr:uid="{00000000-0005-0000-0000-00004B060000}"/>
    <cellStyle name="Millares 2 2 3 2 11" xfId="1612" xr:uid="{00000000-0005-0000-0000-00004C060000}"/>
    <cellStyle name="Millares 2 2 3 2 12" xfId="1613" xr:uid="{00000000-0005-0000-0000-00004D060000}"/>
    <cellStyle name="Millares 2 2 3 2 13" xfId="1614" xr:uid="{00000000-0005-0000-0000-00004E060000}"/>
    <cellStyle name="Millares 2 2 3 2 14" xfId="1615" xr:uid="{00000000-0005-0000-0000-00004F060000}"/>
    <cellStyle name="Millares 2 2 3 2 15" xfId="1616" xr:uid="{00000000-0005-0000-0000-000050060000}"/>
    <cellStyle name="Millares 2 2 3 2 16" xfId="1617" xr:uid="{00000000-0005-0000-0000-000051060000}"/>
    <cellStyle name="Millares 2 2 3 2 17" xfId="1618" xr:uid="{00000000-0005-0000-0000-000052060000}"/>
    <cellStyle name="Millares 2 2 3 2 18" xfId="1619" xr:uid="{00000000-0005-0000-0000-000053060000}"/>
    <cellStyle name="Millares 2 2 3 2 19" xfId="1620" xr:uid="{00000000-0005-0000-0000-000054060000}"/>
    <cellStyle name="Millares 2 2 3 2 2" xfId="1621" xr:uid="{00000000-0005-0000-0000-000055060000}"/>
    <cellStyle name="Millares 2 2 3 2 2 10" xfId="1622" xr:uid="{00000000-0005-0000-0000-000056060000}"/>
    <cellStyle name="Millares 2 2 3 2 2 11" xfId="1623" xr:uid="{00000000-0005-0000-0000-000057060000}"/>
    <cellStyle name="Millares 2 2 3 2 2 12" xfId="1624" xr:uid="{00000000-0005-0000-0000-000058060000}"/>
    <cellStyle name="Millares 2 2 3 2 2 13" xfId="1625" xr:uid="{00000000-0005-0000-0000-000059060000}"/>
    <cellStyle name="Millares 2 2 3 2 2 14" xfId="1626" xr:uid="{00000000-0005-0000-0000-00005A060000}"/>
    <cellStyle name="Millares 2 2 3 2 2 15" xfId="1627" xr:uid="{00000000-0005-0000-0000-00005B060000}"/>
    <cellStyle name="Millares 2 2 3 2 2 16" xfId="1628" xr:uid="{00000000-0005-0000-0000-00005C060000}"/>
    <cellStyle name="Millares 2 2 3 2 2 17" xfId="1629" xr:uid="{00000000-0005-0000-0000-00005D060000}"/>
    <cellStyle name="Millares 2 2 3 2 2 18" xfId="1630" xr:uid="{00000000-0005-0000-0000-00005E060000}"/>
    <cellStyle name="Millares 2 2 3 2 2 19" xfId="1631" xr:uid="{00000000-0005-0000-0000-00005F060000}"/>
    <cellStyle name="Millares 2 2 3 2 2 2" xfId="1632" xr:uid="{00000000-0005-0000-0000-000060060000}"/>
    <cellStyle name="Millares 2 2 3 2 2 20" xfId="1633" xr:uid="{00000000-0005-0000-0000-000061060000}"/>
    <cellStyle name="Millares 2 2 3 2 2 3" xfId="1634" xr:uid="{00000000-0005-0000-0000-000062060000}"/>
    <cellStyle name="Millares 2 2 3 2 2 4" xfId="1635" xr:uid="{00000000-0005-0000-0000-000063060000}"/>
    <cellStyle name="Millares 2 2 3 2 2 5" xfId="1636" xr:uid="{00000000-0005-0000-0000-000064060000}"/>
    <cellStyle name="Millares 2 2 3 2 2 6" xfId="1637" xr:uid="{00000000-0005-0000-0000-000065060000}"/>
    <cellStyle name="Millares 2 2 3 2 2 7" xfId="1638" xr:uid="{00000000-0005-0000-0000-000066060000}"/>
    <cellStyle name="Millares 2 2 3 2 2 8" xfId="1639" xr:uid="{00000000-0005-0000-0000-000067060000}"/>
    <cellStyle name="Millares 2 2 3 2 2 9" xfId="1640" xr:uid="{00000000-0005-0000-0000-000068060000}"/>
    <cellStyle name="Millares 2 2 3 2 20" xfId="1641" xr:uid="{00000000-0005-0000-0000-000069060000}"/>
    <cellStyle name="Millares 2 2 3 2 3" xfId="1642" xr:uid="{00000000-0005-0000-0000-00006A060000}"/>
    <cellStyle name="Millares 2 2 3 2 4" xfId="1643" xr:uid="{00000000-0005-0000-0000-00006B060000}"/>
    <cellStyle name="Millares 2 2 3 2 5" xfId="1644" xr:uid="{00000000-0005-0000-0000-00006C060000}"/>
    <cellStyle name="Millares 2 2 3 2 6" xfId="1645" xr:uid="{00000000-0005-0000-0000-00006D060000}"/>
    <cellStyle name="Millares 2 2 3 2 7" xfId="1646" xr:uid="{00000000-0005-0000-0000-00006E060000}"/>
    <cellStyle name="Millares 2 2 3 2 8" xfId="1647" xr:uid="{00000000-0005-0000-0000-00006F060000}"/>
    <cellStyle name="Millares 2 2 3 2 9" xfId="1648" xr:uid="{00000000-0005-0000-0000-000070060000}"/>
    <cellStyle name="Millares 2 2 3 20" xfId="1649" xr:uid="{00000000-0005-0000-0000-000071060000}"/>
    <cellStyle name="Millares 2 2 3 21" xfId="1650" xr:uid="{00000000-0005-0000-0000-000072060000}"/>
    <cellStyle name="Millares 2 2 3 22" xfId="1651" xr:uid="{00000000-0005-0000-0000-000073060000}"/>
    <cellStyle name="Millares 2 2 3 23" xfId="1652" xr:uid="{00000000-0005-0000-0000-000074060000}"/>
    <cellStyle name="Millares 2 2 3 24" xfId="1653" xr:uid="{00000000-0005-0000-0000-000075060000}"/>
    <cellStyle name="Millares 2 2 3 25" xfId="1654" xr:uid="{00000000-0005-0000-0000-000076060000}"/>
    <cellStyle name="Millares 2 2 3 26" xfId="1655" xr:uid="{00000000-0005-0000-0000-000077060000}"/>
    <cellStyle name="Millares 2 2 3 27" xfId="1656" xr:uid="{00000000-0005-0000-0000-000078060000}"/>
    <cellStyle name="Millares 2 2 3 28" xfId="1657" xr:uid="{00000000-0005-0000-0000-000079060000}"/>
    <cellStyle name="Millares 2 2 3 29" xfId="1658" xr:uid="{00000000-0005-0000-0000-00007A060000}"/>
    <cellStyle name="Millares 2 2 3 3" xfId="1659" xr:uid="{00000000-0005-0000-0000-00007B060000}"/>
    <cellStyle name="Millares 2 2 3 30" xfId="1660" xr:uid="{00000000-0005-0000-0000-00007C060000}"/>
    <cellStyle name="Millares 2 2 3 31" xfId="1661" xr:uid="{00000000-0005-0000-0000-00007D060000}"/>
    <cellStyle name="Millares 2 2 3 32" xfId="1662" xr:uid="{00000000-0005-0000-0000-00007E060000}"/>
    <cellStyle name="Millares 2 2 3 33" xfId="1663" xr:uid="{00000000-0005-0000-0000-00007F060000}"/>
    <cellStyle name="Millares 2 2 3 34" xfId="1664" xr:uid="{00000000-0005-0000-0000-000080060000}"/>
    <cellStyle name="Millares 2 2 3 35" xfId="1665" xr:uid="{00000000-0005-0000-0000-000081060000}"/>
    <cellStyle name="Millares 2 2 3 4" xfId="1666" xr:uid="{00000000-0005-0000-0000-000082060000}"/>
    <cellStyle name="Millares 2 2 3 5" xfId="1667" xr:uid="{00000000-0005-0000-0000-000083060000}"/>
    <cellStyle name="Millares 2 2 3 6" xfId="1668" xr:uid="{00000000-0005-0000-0000-000084060000}"/>
    <cellStyle name="Millares 2 2 3 7" xfId="1669" xr:uid="{00000000-0005-0000-0000-000085060000}"/>
    <cellStyle name="Millares 2 2 3 8" xfId="1670" xr:uid="{00000000-0005-0000-0000-000086060000}"/>
    <cellStyle name="Millares 2 2 3 9" xfId="1671" xr:uid="{00000000-0005-0000-0000-000087060000}"/>
    <cellStyle name="Millares 2 2 30" xfId="1672" xr:uid="{00000000-0005-0000-0000-000088060000}"/>
    <cellStyle name="Millares 2 2 31" xfId="1673" xr:uid="{00000000-0005-0000-0000-000089060000}"/>
    <cellStyle name="Millares 2 2 32" xfId="1674" xr:uid="{00000000-0005-0000-0000-00008A060000}"/>
    <cellStyle name="Millares 2 2 33" xfId="1675" xr:uid="{00000000-0005-0000-0000-00008B060000}"/>
    <cellStyle name="Millares 2 2 34" xfId="1676" xr:uid="{00000000-0005-0000-0000-00008C060000}"/>
    <cellStyle name="Millares 2 2 35" xfId="1677" xr:uid="{00000000-0005-0000-0000-00008D060000}"/>
    <cellStyle name="Millares 2 2 36" xfId="1678" xr:uid="{00000000-0005-0000-0000-00008E060000}"/>
    <cellStyle name="Millares 2 2 37" xfId="1679" xr:uid="{00000000-0005-0000-0000-00008F060000}"/>
    <cellStyle name="Millares 2 2 38" xfId="1680" xr:uid="{00000000-0005-0000-0000-000090060000}"/>
    <cellStyle name="Millares 2 2 39" xfId="1681" xr:uid="{00000000-0005-0000-0000-000091060000}"/>
    <cellStyle name="Millares 2 2 39 10" xfId="1682" xr:uid="{00000000-0005-0000-0000-000092060000}"/>
    <cellStyle name="Millares 2 2 39 2" xfId="1683" xr:uid="{00000000-0005-0000-0000-000093060000}"/>
    <cellStyle name="Millares 2 2 39 3" xfId="1684" xr:uid="{00000000-0005-0000-0000-000094060000}"/>
    <cellStyle name="Millares 2 2 39 4" xfId="1685" xr:uid="{00000000-0005-0000-0000-000095060000}"/>
    <cellStyle name="Millares 2 2 39 5" xfId="1686" xr:uid="{00000000-0005-0000-0000-000096060000}"/>
    <cellStyle name="Millares 2 2 39 6" xfId="1687" xr:uid="{00000000-0005-0000-0000-000097060000}"/>
    <cellStyle name="Millares 2 2 39 7" xfId="1688" xr:uid="{00000000-0005-0000-0000-000098060000}"/>
    <cellStyle name="Millares 2 2 39 8" xfId="1689" xr:uid="{00000000-0005-0000-0000-000099060000}"/>
    <cellStyle name="Millares 2 2 39 9" xfId="1690" xr:uid="{00000000-0005-0000-0000-00009A060000}"/>
    <cellStyle name="Millares 2 2 4" xfId="1691" xr:uid="{00000000-0005-0000-0000-00009B060000}"/>
    <cellStyle name="Millares 2 2 4 10" xfId="1692" xr:uid="{00000000-0005-0000-0000-00009C060000}"/>
    <cellStyle name="Millares 2 2 4 11" xfId="1693" xr:uid="{00000000-0005-0000-0000-00009D060000}"/>
    <cellStyle name="Millares 2 2 4 12" xfId="1694" xr:uid="{00000000-0005-0000-0000-00009E060000}"/>
    <cellStyle name="Millares 2 2 4 13" xfId="1695" xr:uid="{00000000-0005-0000-0000-00009F060000}"/>
    <cellStyle name="Millares 2 2 4 14" xfId="1696" xr:uid="{00000000-0005-0000-0000-0000A0060000}"/>
    <cellStyle name="Millares 2 2 4 15" xfId="1697" xr:uid="{00000000-0005-0000-0000-0000A1060000}"/>
    <cellStyle name="Millares 2 2 4 16" xfId="1698" xr:uid="{00000000-0005-0000-0000-0000A2060000}"/>
    <cellStyle name="Millares 2 2 4 17" xfId="1699" xr:uid="{00000000-0005-0000-0000-0000A3060000}"/>
    <cellStyle name="Millares 2 2 4 18" xfId="1700" xr:uid="{00000000-0005-0000-0000-0000A4060000}"/>
    <cellStyle name="Millares 2 2 4 19" xfId="1701" xr:uid="{00000000-0005-0000-0000-0000A5060000}"/>
    <cellStyle name="Millares 2 2 4 2" xfId="1702" xr:uid="{00000000-0005-0000-0000-0000A6060000}"/>
    <cellStyle name="Millares 2 2 4 2 10" xfId="1703" xr:uid="{00000000-0005-0000-0000-0000A7060000}"/>
    <cellStyle name="Millares 2 2 4 2 11" xfId="1704" xr:uid="{00000000-0005-0000-0000-0000A8060000}"/>
    <cellStyle name="Millares 2 2 4 2 12" xfId="1705" xr:uid="{00000000-0005-0000-0000-0000A9060000}"/>
    <cellStyle name="Millares 2 2 4 2 13" xfId="1706" xr:uid="{00000000-0005-0000-0000-0000AA060000}"/>
    <cellStyle name="Millares 2 2 4 2 14" xfId="1707" xr:uid="{00000000-0005-0000-0000-0000AB060000}"/>
    <cellStyle name="Millares 2 2 4 2 15" xfId="1708" xr:uid="{00000000-0005-0000-0000-0000AC060000}"/>
    <cellStyle name="Millares 2 2 4 2 16" xfId="1709" xr:uid="{00000000-0005-0000-0000-0000AD060000}"/>
    <cellStyle name="Millares 2 2 4 2 17" xfId="1710" xr:uid="{00000000-0005-0000-0000-0000AE060000}"/>
    <cellStyle name="Millares 2 2 4 2 18" xfId="1711" xr:uid="{00000000-0005-0000-0000-0000AF060000}"/>
    <cellStyle name="Millares 2 2 4 2 19" xfId="1712" xr:uid="{00000000-0005-0000-0000-0000B0060000}"/>
    <cellStyle name="Millares 2 2 4 2 2" xfId="1713" xr:uid="{00000000-0005-0000-0000-0000B1060000}"/>
    <cellStyle name="Millares 2 2 4 2 20" xfId="1714" xr:uid="{00000000-0005-0000-0000-0000B2060000}"/>
    <cellStyle name="Millares 2 2 4 2 3" xfId="1715" xr:uid="{00000000-0005-0000-0000-0000B3060000}"/>
    <cellStyle name="Millares 2 2 4 2 4" xfId="1716" xr:uid="{00000000-0005-0000-0000-0000B4060000}"/>
    <cellStyle name="Millares 2 2 4 2 5" xfId="1717" xr:uid="{00000000-0005-0000-0000-0000B5060000}"/>
    <cellStyle name="Millares 2 2 4 2 6" xfId="1718" xr:uid="{00000000-0005-0000-0000-0000B6060000}"/>
    <cellStyle name="Millares 2 2 4 2 7" xfId="1719" xr:uid="{00000000-0005-0000-0000-0000B7060000}"/>
    <cellStyle name="Millares 2 2 4 2 8" xfId="1720" xr:uid="{00000000-0005-0000-0000-0000B8060000}"/>
    <cellStyle name="Millares 2 2 4 2 9" xfId="1721" xr:uid="{00000000-0005-0000-0000-0000B9060000}"/>
    <cellStyle name="Millares 2 2 4 20" xfId="1722" xr:uid="{00000000-0005-0000-0000-0000BA060000}"/>
    <cellStyle name="Millares 2 2 4 3" xfId="1723" xr:uid="{00000000-0005-0000-0000-0000BB060000}"/>
    <cellStyle name="Millares 2 2 4 4" xfId="1724" xr:uid="{00000000-0005-0000-0000-0000BC060000}"/>
    <cellStyle name="Millares 2 2 4 5" xfId="1725" xr:uid="{00000000-0005-0000-0000-0000BD060000}"/>
    <cellStyle name="Millares 2 2 4 6" xfId="1726" xr:uid="{00000000-0005-0000-0000-0000BE060000}"/>
    <cellStyle name="Millares 2 2 4 7" xfId="1727" xr:uid="{00000000-0005-0000-0000-0000BF060000}"/>
    <cellStyle name="Millares 2 2 4 8" xfId="1728" xr:uid="{00000000-0005-0000-0000-0000C0060000}"/>
    <cellStyle name="Millares 2 2 4 9" xfId="1729" xr:uid="{00000000-0005-0000-0000-0000C1060000}"/>
    <cellStyle name="Millares 2 2 40" xfId="1730" xr:uid="{00000000-0005-0000-0000-0000C2060000}"/>
    <cellStyle name="Millares 2 2 41" xfId="1731" xr:uid="{00000000-0005-0000-0000-0000C3060000}"/>
    <cellStyle name="Millares 2 2 42" xfId="1732" xr:uid="{00000000-0005-0000-0000-0000C4060000}"/>
    <cellStyle name="Millares 2 2 43" xfId="1733" xr:uid="{00000000-0005-0000-0000-0000C5060000}"/>
    <cellStyle name="Millares 2 2 44" xfId="1734" xr:uid="{00000000-0005-0000-0000-0000C6060000}"/>
    <cellStyle name="Millares 2 2 45" xfId="1735" xr:uid="{00000000-0005-0000-0000-0000C7060000}"/>
    <cellStyle name="Millares 2 2 46" xfId="1736" xr:uid="{00000000-0005-0000-0000-0000C8060000}"/>
    <cellStyle name="Millares 2 2 47" xfId="1737" xr:uid="{00000000-0005-0000-0000-0000C9060000}"/>
    <cellStyle name="Millares 2 2 48" xfId="1738" xr:uid="{00000000-0005-0000-0000-0000CA060000}"/>
    <cellStyle name="Millares 2 2 49" xfId="1111" xr:uid="{00000000-0005-0000-0000-000057040000}"/>
    <cellStyle name="Millares 2 2 5" xfId="1739" xr:uid="{00000000-0005-0000-0000-0000CB060000}"/>
    <cellStyle name="Millares 2 2 6" xfId="1740" xr:uid="{00000000-0005-0000-0000-0000CC060000}"/>
    <cellStyle name="Millares 2 2 7" xfId="1741" xr:uid="{00000000-0005-0000-0000-0000CD060000}"/>
    <cellStyle name="Millares 2 2 8" xfId="1742" xr:uid="{00000000-0005-0000-0000-0000CE060000}"/>
    <cellStyle name="Millares 2 2 9" xfId="1743" xr:uid="{00000000-0005-0000-0000-0000CF060000}"/>
    <cellStyle name="Millares 2 20" xfId="1744" xr:uid="{00000000-0005-0000-0000-0000D0060000}"/>
    <cellStyle name="Millares 2 21" xfId="1090" xr:uid="{00000000-0005-0000-0000-000042040000}"/>
    <cellStyle name="Millares 2 22" xfId="1745" xr:uid="{00000000-0005-0000-0000-0000D1060000}"/>
    <cellStyle name="Millares 2 24" xfId="1746" xr:uid="{00000000-0005-0000-0000-0000D2060000}"/>
    <cellStyle name="Millares 2 26" xfId="1747" xr:uid="{00000000-0005-0000-0000-0000D3060000}"/>
    <cellStyle name="Millares 2 28" xfId="1748" xr:uid="{00000000-0005-0000-0000-0000D4060000}"/>
    <cellStyle name="Millares 2 3" xfId="44" xr:uid="{00000000-0005-0000-0000-00002C000000}"/>
    <cellStyle name="Millares 2 3 2" xfId="1750" xr:uid="{00000000-0005-0000-0000-0000D6060000}"/>
    <cellStyle name="Millares 2 3 3" xfId="1751" xr:uid="{00000000-0005-0000-0000-0000D7060000}"/>
    <cellStyle name="Millares 2 3 4" xfId="1752" xr:uid="{00000000-0005-0000-0000-0000D8060000}"/>
    <cellStyle name="Millares 2 3 5" xfId="1753" xr:uid="{00000000-0005-0000-0000-0000D9060000}"/>
    <cellStyle name="Millares 2 3 6" xfId="1754" xr:uid="{00000000-0005-0000-0000-0000DA060000}"/>
    <cellStyle name="Millares 2 3 7" xfId="1749" xr:uid="{00000000-0005-0000-0000-0000D5060000}"/>
    <cellStyle name="Millares 2 30" xfId="1755" xr:uid="{00000000-0005-0000-0000-0000DB060000}"/>
    <cellStyle name="Millares 2 32" xfId="1756" xr:uid="{00000000-0005-0000-0000-0000DC060000}"/>
    <cellStyle name="Millares 2 34" xfId="1757" xr:uid="{00000000-0005-0000-0000-0000DD060000}"/>
    <cellStyle name="Millares 2 36" xfId="1758" xr:uid="{00000000-0005-0000-0000-0000DE060000}"/>
    <cellStyle name="Millares 2 4" xfId="1759" xr:uid="{00000000-0005-0000-0000-0000DF060000}"/>
    <cellStyle name="Millares 2 4 2" xfId="1760" xr:uid="{00000000-0005-0000-0000-0000E0060000}"/>
    <cellStyle name="Millares 2 4 3" xfId="1761" xr:uid="{00000000-0005-0000-0000-0000E1060000}"/>
    <cellStyle name="Millares 2 4 4" xfId="1762" xr:uid="{00000000-0005-0000-0000-0000E2060000}"/>
    <cellStyle name="Millares 2 4 5" xfId="1763" xr:uid="{00000000-0005-0000-0000-0000E3060000}"/>
    <cellStyle name="Millares 2 4 6" xfId="1764" xr:uid="{00000000-0005-0000-0000-0000E4060000}"/>
    <cellStyle name="Millares 2 4 7" xfId="1765" xr:uid="{00000000-0005-0000-0000-0000E5060000}"/>
    <cellStyle name="Millares 2 4 8" xfId="1766" xr:uid="{00000000-0005-0000-0000-0000E6060000}"/>
    <cellStyle name="Millares 2 5" xfId="1767" xr:uid="{00000000-0005-0000-0000-0000E7060000}"/>
    <cellStyle name="Millares 2 6" xfId="1768" xr:uid="{00000000-0005-0000-0000-0000E8060000}"/>
    <cellStyle name="Millares 2 6 2" xfId="1769" xr:uid="{00000000-0005-0000-0000-0000E9060000}"/>
    <cellStyle name="Millares 2 7" xfId="1770" xr:uid="{00000000-0005-0000-0000-0000EA060000}"/>
    <cellStyle name="Millares 2 7 2" xfId="1771" xr:uid="{00000000-0005-0000-0000-0000EB060000}"/>
    <cellStyle name="Millares 2 7 3" xfId="1772" xr:uid="{00000000-0005-0000-0000-0000EC060000}"/>
    <cellStyle name="Millares 2 8" xfId="1773" xr:uid="{00000000-0005-0000-0000-0000ED060000}"/>
    <cellStyle name="Millares 2 8 2" xfId="1774" xr:uid="{00000000-0005-0000-0000-0000EE060000}"/>
    <cellStyle name="Millares 2 8 3" xfId="1775" xr:uid="{00000000-0005-0000-0000-0000EF060000}"/>
    <cellStyle name="Millares 2 9" xfId="1776" xr:uid="{00000000-0005-0000-0000-0000F0060000}"/>
    <cellStyle name="Millares 2 9 2" xfId="1777" xr:uid="{00000000-0005-0000-0000-0000F1060000}"/>
    <cellStyle name="Millares 2 9 3" xfId="1778" xr:uid="{00000000-0005-0000-0000-0000F2060000}"/>
    <cellStyle name="Millares 20" xfId="1779" xr:uid="{00000000-0005-0000-0000-0000F3060000}"/>
    <cellStyle name="Millares 20 2" xfId="1780" xr:uid="{00000000-0005-0000-0000-0000F4060000}"/>
    <cellStyle name="Millares 21" xfId="1781" xr:uid="{00000000-0005-0000-0000-0000F5060000}"/>
    <cellStyle name="Millares 21 2" xfId="1782" xr:uid="{00000000-0005-0000-0000-0000F6060000}"/>
    <cellStyle name="Millares 22" xfId="1783" xr:uid="{00000000-0005-0000-0000-0000F7060000}"/>
    <cellStyle name="Millares 28" xfId="1784" xr:uid="{00000000-0005-0000-0000-0000F8060000}"/>
    <cellStyle name="Millares 28 10" xfId="1785" xr:uid="{00000000-0005-0000-0000-0000F9060000}"/>
    <cellStyle name="Millares 28 11" xfId="1786" xr:uid="{00000000-0005-0000-0000-0000FA060000}"/>
    <cellStyle name="Millares 28 12" xfId="1787" xr:uid="{00000000-0005-0000-0000-0000FB060000}"/>
    <cellStyle name="Millares 28 13" xfId="1788" xr:uid="{00000000-0005-0000-0000-0000FC060000}"/>
    <cellStyle name="Millares 28 14" xfId="1789" xr:uid="{00000000-0005-0000-0000-0000FD060000}"/>
    <cellStyle name="Millares 28 15" xfId="1790" xr:uid="{00000000-0005-0000-0000-0000FE060000}"/>
    <cellStyle name="Millares 28 16" xfId="1791" xr:uid="{00000000-0005-0000-0000-0000FF060000}"/>
    <cellStyle name="Millares 28 17" xfId="1792" xr:uid="{00000000-0005-0000-0000-000000070000}"/>
    <cellStyle name="Millares 28 18" xfId="1793" xr:uid="{00000000-0005-0000-0000-000001070000}"/>
    <cellStyle name="Millares 28 19" xfId="1794" xr:uid="{00000000-0005-0000-0000-000002070000}"/>
    <cellStyle name="Millares 28 2" xfId="1795" xr:uid="{00000000-0005-0000-0000-000003070000}"/>
    <cellStyle name="Millares 28 2 2" xfId="1796" xr:uid="{00000000-0005-0000-0000-000004070000}"/>
    <cellStyle name="Millares 28 2 3" xfId="1797" xr:uid="{00000000-0005-0000-0000-000005070000}"/>
    <cellStyle name="Millares 28 20" xfId="1798" xr:uid="{00000000-0005-0000-0000-000006070000}"/>
    <cellStyle name="Millares 28 21" xfId="1799" xr:uid="{00000000-0005-0000-0000-000007070000}"/>
    <cellStyle name="Millares 28 22" xfId="1800" xr:uid="{00000000-0005-0000-0000-000008070000}"/>
    <cellStyle name="Millares 28 23" xfId="1801" xr:uid="{00000000-0005-0000-0000-000009070000}"/>
    <cellStyle name="Millares 28 24" xfId="1802" xr:uid="{00000000-0005-0000-0000-00000A070000}"/>
    <cellStyle name="Millares 28 25" xfId="1803" xr:uid="{00000000-0005-0000-0000-00000B070000}"/>
    <cellStyle name="Millares 28 3" xfId="1804" xr:uid="{00000000-0005-0000-0000-00000C070000}"/>
    <cellStyle name="Millares 28 3 2" xfId="1805" xr:uid="{00000000-0005-0000-0000-00000D070000}"/>
    <cellStyle name="Millares 28 3 3" xfId="1806" xr:uid="{00000000-0005-0000-0000-00000E070000}"/>
    <cellStyle name="Millares 28 4" xfId="1807" xr:uid="{00000000-0005-0000-0000-00000F070000}"/>
    <cellStyle name="Millares 28 5" xfId="1808" xr:uid="{00000000-0005-0000-0000-000010070000}"/>
    <cellStyle name="Millares 28 6" xfId="1809" xr:uid="{00000000-0005-0000-0000-000011070000}"/>
    <cellStyle name="Millares 28 7" xfId="1810" xr:uid="{00000000-0005-0000-0000-000012070000}"/>
    <cellStyle name="Millares 28 8" xfId="1811" xr:uid="{00000000-0005-0000-0000-000013070000}"/>
    <cellStyle name="Millares 28 9" xfId="1812" xr:uid="{00000000-0005-0000-0000-000014070000}"/>
    <cellStyle name="Millares 29" xfId="1813" xr:uid="{00000000-0005-0000-0000-000015070000}"/>
    <cellStyle name="Millares 29 10" xfId="1814" xr:uid="{00000000-0005-0000-0000-000016070000}"/>
    <cellStyle name="Millares 29 11" xfId="1815" xr:uid="{00000000-0005-0000-0000-000017070000}"/>
    <cellStyle name="Millares 29 12" xfId="1816" xr:uid="{00000000-0005-0000-0000-000018070000}"/>
    <cellStyle name="Millares 29 13" xfId="1817" xr:uid="{00000000-0005-0000-0000-000019070000}"/>
    <cellStyle name="Millares 29 14" xfId="1818" xr:uid="{00000000-0005-0000-0000-00001A070000}"/>
    <cellStyle name="Millares 29 15" xfId="1819" xr:uid="{00000000-0005-0000-0000-00001B070000}"/>
    <cellStyle name="Millares 29 16" xfId="1820" xr:uid="{00000000-0005-0000-0000-00001C070000}"/>
    <cellStyle name="Millares 29 17" xfId="1821" xr:uid="{00000000-0005-0000-0000-00001D070000}"/>
    <cellStyle name="Millares 29 18" xfId="1822" xr:uid="{00000000-0005-0000-0000-00001E070000}"/>
    <cellStyle name="Millares 29 19" xfId="1823" xr:uid="{00000000-0005-0000-0000-00001F070000}"/>
    <cellStyle name="Millares 29 2" xfId="1824" xr:uid="{00000000-0005-0000-0000-000020070000}"/>
    <cellStyle name="Millares 29 2 2" xfId="1825" xr:uid="{00000000-0005-0000-0000-000021070000}"/>
    <cellStyle name="Millares 29 2 3" xfId="1826" xr:uid="{00000000-0005-0000-0000-000022070000}"/>
    <cellStyle name="Millares 29 20" xfId="1827" xr:uid="{00000000-0005-0000-0000-000023070000}"/>
    <cellStyle name="Millares 29 21" xfId="1828" xr:uid="{00000000-0005-0000-0000-000024070000}"/>
    <cellStyle name="Millares 29 22" xfId="1829" xr:uid="{00000000-0005-0000-0000-000025070000}"/>
    <cellStyle name="Millares 29 23" xfId="1830" xr:uid="{00000000-0005-0000-0000-000026070000}"/>
    <cellStyle name="Millares 29 24" xfId="1831" xr:uid="{00000000-0005-0000-0000-000027070000}"/>
    <cellStyle name="Millares 29 25" xfId="1832" xr:uid="{00000000-0005-0000-0000-000028070000}"/>
    <cellStyle name="Millares 29 3" xfId="1833" xr:uid="{00000000-0005-0000-0000-000029070000}"/>
    <cellStyle name="Millares 29 3 2" xfId="1834" xr:uid="{00000000-0005-0000-0000-00002A070000}"/>
    <cellStyle name="Millares 29 3 3" xfId="1835" xr:uid="{00000000-0005-0000-0000-00002B070000}"/>
    <cellStyle name="Millares 29 4" xfId="1836" xr:uid="{00000000-0005-0000-0000-00002C070000}"/>
    <cellStyle name="Millares 29 5" xfId="1837" xr:uid="{00000000-0005-0000-0000-00002D070000}"/>
    <cellStyle name="Millares 29 6" xfId="1838" xr:uid="{00000000-0005-0000-0000-00002E070000}"/>
    <cellStyle name="Millares 29 7" xfId="1839" xr:uid="{00000000-0005-0000-0000-00002F070000}"/>
    <cellStyle name="Millares 29 8" xfId="1840" xr:uid="{00000000-0005-0000-0000-000030070000}"/>
    <cellStyle name="Millares 29 9" xfId="1841" xr:uid="{00000000-0005-0000-0000-000031070000}"/>
    <cellStyle name="Millares 3" xfId="45" xr:uid="{00000000-0005-0000-0000-00002D000000}"/>
    <cellStyle name="Millares 3 10" xfId="1843" xr:uid="{00000000-0005-0000-0000-000033070000}"/>
    <cellStyle name="Millares 3 10 10" xfId="1844" xr:uid="{00000000-0005-0000-0000-000034070000}"/>
    <cellStyle name="Millares 3 10 11" xfId="1845" xr:uid="{00000000-0005-0000-0000-000035070000}"/>
    <cellStyle name="Millares 3 10 12" xfId="1846" xr:uid="{00000000-0005-0000-0000-000036070000}"/>
    <cellStyle name="Millares 3 10 13" xfId="1847" xr:uid="{00000000-0005-0000-0000-000037070000}"/>
    <cellStyle name="Millares 3 10 14" xfId="1848" xr:uid="{00000000-0005-0000-0000-000038070000}"/>
    <cellStyle name="Millares 3 10 15" xfId="1849" xr:uid="{00000000-0005-0000-0000-000039070000}"/>
    <cellStyle name="Millares 3 10 16" xfId="1850" xr:uid="{00000000-0005-0000-0000-00003A070000}"/>
    <cellStyle name="Millares 3 10 17" xfId="1851" xr:uid="{00000000-0005-0000-0000-00003B070000}"/>
    <cellStyle name="Millares 3 10 18" xfId="1852" xr:uid="{00000000-0005-0000-0000-00003C070000}"/>
    <cellStyle name="Millares 3 10 19" xfId="1853" xr:uid="{00000000-0005-0000-0000-00003D070000}"/>
    <cellStyle name="Millares 3 10 2" xfId="1854" xr:uid="{00000000-0005-0000-0000-00003E070000}"/>
    <cellStyle name="Millares 3 10 2 10" xfId="1855" xr:uid="{00000000-0005-0000-0000-00003F070000}"/>
    <cellStyle name="Millares 3 10 2 11" xfId="1856" xr:uid="{00000000-0005-0000-0000-000040070000}"/>
    <cellStyle name="Millares 3 10 2 12" xfId="1857" xr:uid="{00000000-0005-0000-0000-000041070000}"/>
    <cellStyle name="Millares 3 10 2 13" xfId="1858" xr:uid="{00000000-0005-0000-0000-000042070000}"/>
    <cellStyle name="Millares 3 10 2 14" xfId="1859" xr:uid="{00000000-0005-0000-0000-000043070000}"/>
    <cellStyle name="Millares 3 10 2 15" xfId="1860" xr:uid="{00000000-0005-0000-0000-000044070000}"/>
    <cellStyle name="Millares 3 10 2 16" xfId="1861" xr:uid="{00000000-0005-0000-0000-000045070000}"/>
    <cellStyle name="Millares 3 10 2 17" xfId="1862" xr:uid="{00000000-0005-0000-0000-000046070000}"/>
    <cellStyle name="Millares 3 10 2 2" xfId="1863" xr:uid="{00000000-0005-0000-0000-000047070000}"/>
    <cellStyle name="Millares 3 10 2 3" xfId="1864" xr:uid="{00000000-0005-0000-0000-000048070000}"/>
    <cellStyle name="Millares 3 10 2 3 2" xfId="1865" xr:uid="{00000000-0005-0000-0000-000049070000}"/>
    <cellStyle name="Millares 3 10 2 4" xfId="1866" xr:uid="{00000000-0005-0000-0000-00004A070000}"/>
    <cellStyle name="Millares 3 10 2 5" xfId="1867" xr:uid="{00000000-0005-0000-0000-00004B070000}"/>
    <cellStyle name="Millares 3 10 2 6" xfId="1868" xr:uid="{00000000-0005-0000-0000-00004C070000}"/>
    <cellStyle name="Millares 3 10 2 7" xfId="1869" xr:uid="{00000000-0005-0000-0000-00004D070000}"/>
    <cellStyle name="Millares 3 10 2 8" xfId="1870" xr:uid="{00000000-0005-0000-0000-00004E070000}"/>
    <cellStyle name="Millares 3 10 2 9" xfId="1871" xr:uid="{00000000-0005-0000-0000-00004F070000}"/>
    <cellStyle name="Millares 3 10 3" xfId="1872" xr:uid="{00000000-0005-0000-0000-000050070000}"/>
    <cellStyle name="Millares 3 10 4" xfId="1873" xr:uid="{00000000-0005-0000-0000-000051070000}"/>
    <cellStyle name="Millares 3 10 5" xfId="1874" xr:uid="{00000000-0005-0000-0000-000052070000}"/>
    <cellStyle name="Millares 3 10 6" xfId="1875" xr:uid="{00000000-0005-0000-0000-000053070000}"/>
    <cellStyle name="Millares 3 10 7" xfId="1876" xr:uid="{00000000-0005-0000-0000-000054070000}"/>
    <cellStyle name="Millares 3 10 8" xfId="1877" xr:uid="{00000000-0005-0000-0000-000055070000}"/>
    <cellStyle name="Millares 3 10 9" xfId="1878" xr:uid="{00000000-0005-0000-0000-000056070000}"/>
    <cellStyle name="Millares 3 11" xfId="1879" xr:uid="{00000000-0005-0000-0000-000057070000}"/>
    <cellStyle name="Millares 3 11 10" xfId="1880" xr:uid="{00000000-0005-0000-0000-000058070000}"/>
    <cellStyle name="Millares 3 11 11" xfId="1881" xr:uid="{00000000-0005-0000-0000-000059070000}"/>
    <cellStyle name="Millares 3 11 12" xfId="1882" xr:uid="{00000000-0005-0000-0000-00005A070000}"/>
    <cellStyle name="Millares 3 11 13" xfId="1883" xr:uid="{00000000-0005-0000-0000-00005B070000}"/>
    <cellStyle name="Millares 3 11 14" xfId="1884" xr:uid="{00000000-0005-0000-0000-00005C070000}"/>
    <cellStyle name="Millares 3 11 15" xfId="1885" xr:uid="{00000000-0005-0000-0000-00005D070000}"/>
    <cellStyle name="Millares 3 11 16" xfId="1886" xr:uid="{00000000-0005-0000-0000-00005E070000}"/>
    <cellStyle name="Millares 3 11 17" xfId="1887" xr:uid="{00000000-0005-0000-0000-00005F070000}"/>
    <cellStyle name="Millares 3 11 18" xfId="1888" xr:uid="{00000000-0005-0000-0000-000060070000}"/>
    <cellStyle name="Millares 3 11 19" xfId="1889" xr:uid="{00000000-0005-0000-0000-000061070000}"/>
    <cellStyle name="Millares 3 11 2" xfId="1890" xr:uid="{00000000-0005-0000-0000-000062070000}"/>
    <cellStyle name="Millares 3 11 2 10" xfId="1891" xr:uid="{00000000-0005-0000-0000-000063070000}"/>
    <cellStyle name="Millares 3 11 2 11" xfId="1892" xr:uid="{00000000-0005-0000-0000-000064070000}"/>
    <cellStyle name="Millares 3 11 2 12" xfId="1893" xr:uid="{00000000-0005-0000-0000-000065070000}"/>
    <cellStyle name="Millares 3 11 2 13" xfId="1894" xr:uid="{00000000-0005-0000-0000-000066070000}"/>
    <cellStyle name="Millares 3 11 2 14" xfId="1895" xr:uid="{00000000-0005-0000-0000-000067070000}"/>
    <cellStyle name="Millares 3 11 2 15" xfId="1896" xr:uid="{00000000-0005-0000-0000-000068070000}"/>
    <cellStyle name="Millares 3 11 2 16" xfId="1897" xr:uid="{00000000-0005-0000-0000-000069070000}"/>
    <cellStyle name="Millares 3 11 2 17" xfId="1898" xr:uid="{00000000-0005-0000-0000-00006A070000}"/>
    <cellStyle name="Millares 3 11 2 2" xfId="1899" xr:uid="{00000000-0005-0000-0000-00006B070000}"/>
    <cellStyle name="Millares 3 11 2 3" xfId="1900" xr:uid="{00000000-0005-0000-0000-00006C070000}"/>
    <cellStyle name="Millares 3 11 2 3 2" xfId="1901" xr:uid="{00000000-0005-0000-0000-00006D070000}"/>
    <cellStyle name="Millares 3 11 2 4" xfId="1902" xr:uid="{00000000-0005-0000-0000-00006E070000}"/>
    <cellStyle name="Millares 3 11 2 5" xfId="1903" xr:uid="{00000000-0005-0000-0000-00006F070000}"/>
    <cellStyle name="Millares 3 11 2 6" xfId="1904" xr:uid="{00000000-0005-0000-0000-000070070000}"/>
    <cellStyle name="Millares 3 11 2 7" xfId="1905" xr:uid="{00000000-0005-0000-0000-000071070000}"/>
    <cellStyle name="Millares 3 11 2 8" xfId="1906" xr:uid="{00000000-0005-0000-0000-000072070000}"/>
    <cellStyle name="Millares 3 11 2 9" xfId="1907" xr:uid="{00000000-0005-0000-0000-000073070000}"/>
    <cellStyle name="Millares 3 11 3" xfId="1908" xr:uid="{00000000-0005-0000-0000-000074070000}"/>
    <cellStyle name="Millares 3 11 4" xfId="1909" xr:uid="{00000000-0005-0000-0000-000075070000}"/>
    <cellStyle name="Millares 3 11 5" xfId="1910" xr:uid="{00000000-0005-0000-0000-000076070000}"/>
    <cellStyle name="Millares 3 11 6" xfId="1911" xr:uid="{00000000-0005-0000-0000-000077070000}"/>
    <cellStyle name="Millares 3 11 7" xfId="1912" xr:uid="{00000000-0005-0000-0000-000078070000}"/>
    <cellStyle name="Millares 3 11 8" xfId="1913" xr:uid="{00000000-0005-0000-0000-000079070000}"/>
    <cellStyle name="Millares 3 11 9" xfId="1914" xr:uid="{00000000-0005-0000-0000-00007A070000}"/>
    <cellStyle name="Millares 3 12" xfId="1915" xr:uid="{00000000-0005-0000-0000-00007B070000}"/>
    <cellStyle name="Millares 3 12 10" xfId="1916" xr:uid="{00000000-0005-0000-0000-00007C070000}"/>
    <cellStyle name="Millares 3 12 11" xfId="1917" xr:uid="{00000000-0005-0000-0000-00007D070000}"/>
    <cellStyle name="Millares 3 12 12" xfId="1918" xr:uid="{00000000-0005-0000-0000-00007E070000}"/>
    <cellStyle name="Millares 3 12 13" xfId="1919" xr:uid="{00000000-0005-0000-0000-00007F070000}"/>
    <cellStyle name="Millares 3 12 14" xfId="1920" xr:uid="{00000000-0005-0000-0000-000080070000}"/>
    <cellStyle name="Millares 3 12 15" xfId="1921" xr:uid="{00000000-0005-0000-0000-000081070000}"/>
    <cellStyle name="Millares 3 12 16" xfId="1922" xr:uid="{00000000-0005-0000-0000-000082070000}"/>
    <cellStyle name="Millares 3 12 17" xfId="1923" xr:uid="{00000000-0005-0000-0000-000083070000}"/>
    <cellStyle name="Millares 3 12 2" xfId="1924" xr:uid="{00000000-0005-0000-0000-000084070000}"/>
    <cellStyle name="Millares 3 12 3" xfId="1925" xr:uid="{00000000-0005-0000-0000-000085070000}"/>
    <cellStyle name="Millares 3 12 3 2" xfId="1926" xr:uid="{00000000-0005-0000-0000-000086070000}"/>
    <cellStyle name="Millares 3 12 4" xfId="1927" xr:uid="{00000000-0005-0000-0000-000087070000}"/>
    <cellStyle name="Millares 3 12 5" xfId="1928" xr:uid="{00000000-0005-0000-0000-000088070000}"/>
    <cellStyle name="Millares 3 12 6" xfId="1929" xr:uid="{00000000-0005-0000-0000-000089070000}"/>
    <cellStyle name="Millares 3 12 7" xfId="1930" xr:uid="{00000000-0005-0000-0000-00008A070000}"/>
    <cellStyle name="Millares 3 12 8" xfId="1931" xr:uid="{00000000-0005-0000-0000-00008B070000}"/>
    <cellStyle name="Millares 3 12 9" xfId="1932" xr:uid="{00000000-0005-0000-0000-00008C070000}"/>
    <cellStyle name="Millares 3 13" xfId="1933" xr:uid="{00000000-0005-0000-0000-00008D070000}"/>
    <cellStyle name="Millares 3 13 10" xfId="1934" xr:uid="{00000000-0005-0000-0000-00008E070000}"/>
    <cellStyle name="Millares 3 13 11" xfId="1935" xr:uid="{00000000-0005-0000-0000-00008F070000}"/>
    <cellStyle name="Millares 3 13 12" xfId="1936" xr:uid="{00000000-0005-0000-0000-000090070000}"/>
    <cellStyle name="Millares 3 13 13" xfId="1937" xr:uid="{00000000-0005-0000-0000-000091070000}"/>
    <cellStyle name="Millares 3 13 14" xfId="1938" xr:uid="{00000000-0005-0000-0000-000092070000}"/>
    <cellStyle name="Millares 3 13 15" xfId="1939" xr:uid="{00000000-0005-0000-0000-000093070000}"/>
    <cellStyle name="Millares 3 13 16" xfId="1940" xr:uid="{00000000-0005-0000-0000-000094070000}"/>
    <cellStyle name="Millares 3 13 17" xfId="1941" xr:uid="{00000000-0005-0000-0000-000095070000}"/>
    <cellStyle name="Millares 3 13 2" xfId="1942" xr:uid="{00000000-0005-0000-0000-000096070000}"/>
    <cellStyle name="Millares 3 13 3" xfId="1943" xr:uid="{00000000-0005-0000-0000-000097070000}"/>
    <cellStyle name="Millares 3 13 3 2" xfId="1944" xr:uid="{00000000-0005-0000-0000-000098070000}"/>
    <cellStyle name="Millares 3 13 4" xfId="1945" xr:uid="{00000000-0005-0000-0000-000099070000}"/>
    <cellStyle name="Millares 3 13 5" xfId="1946" xr:uid="{00000000-0005-0000-0000-00009A070000}"/>
    <cellStyle name="Millares 3 13 6" xfId="1947" xr:uid="{00000000-0005-0000-0000-00009B070000}"/>
    <cellStyle name="Millares 3 13 7" xfId="1948" xr:uid="{00000000-0005-0000-0000-00009C070000}"/>
    <cellStyle name="Millares 3 13 8" xfId="1949" xr:uid="{00000000-0005-0000-0000-00009D070000}"/>
    <cellStyle name="Millares 3 13 9" xfId="1950" xr:uid="{00000000-0005-0000-0000-00009E070000}"/>
    <cellStyle name="Millares 3 14" xfId="1951" xr:uid="{00000000-0005-0000-0000-00009F070000}"/>
    <cellStyle name="Millares 3 14 10" xfId="1952" xr:uid="{00000000-0005-0000-0000-0000A0070000}"/>
    <cellStyle name="Millares 3 14 11" xfId="1953" xr:uid="{00000000-0005-0000-0000-0000A1070000}"/>
    <cellStyle name="Millares 3 14 12" xfId="1954" xr:uid="{00000000-0005-0000-0000-0000A2070000}"/>
    <cellStyle name="Millares 3 14 13" xfId="1955" xr:uid="{00000000-0005-0000-0000-0000A3070000}"/>
    <cellStyle name="Millares 3 14 14" xfId="1956" xr:uid="{00000000-0005-0000-0000-0000A4070000}"/>
    <cellStyle name="Millares 3 14 15" xfId="1957" xr:uid="{00000000-0005-0000-0000-0000A5070000}"/>
    <cellStyle name="Millares 3 14 16" xfId="1958" xr:uid="{00000000-0005-0000-0000-0000A6070000}"/>
    <cellStyle name="Millares 3 14 17" xfId="1959" xr:uid="{00000000-0005-0000-0000-0000A7070000}"/>
    <cellStyle name="Millares 3 14 2" xfId="1960" xr:uid="{00000000-0005-0000-0000-0000A8070000}"/>
    <cellStyle name="Millares 3 14 3" xfId="1961" xr:uid="{00000000-0005-0000-0000-0000A9070000}"/>
    <cellStyle name="Millares 3 14 3 2" xfId="1962" xr:uid="{00000000-0005-0000-0000-0000AA070000}"/>
    <cellStyle name="Millares 3 14 4" xfId="1963" xr:uid="{00000000-0005-0000-0000-0000AB070000}"/>
    <cellStyle name="Millares 3 14 5" xfId="1964" xr:uid="{00000000-0005-0000-0000-0000AC070000}"/>
    <cellStyle name="Millares 3 14 6" xfId="1965" xr:uid="{00000000-0005-0000-0000-0000AD070000}"/>
    <cellStyle name="Millares 3 14 7" xfId="1966" xr:uid="{00000000-0005-0000-0000-0000AE070000}"/>
    <cellStyle name="Millares 3 14 8" xfId="1967" xr:uid="{00000000-0005-0000-0000-0000AF070000}"/>
    <cellStyle name="Millares 3 14 9" xfId="1968" xr:uid="{00000000-0005-0000-0000-0000B0070000}"/>
    <cellStyle name="Millares 3 15" xfId="1969" xr:uid="{00000000-0005-0000-0000-0000B1070000}"/>
    <cellStyle name="Millares 3 16" xfId="1970" xr:uid="{00000000-0005-0000-0000-0000B2070000}"/>
    <cellStyle name="Millares 3 17" xfId="1971" xr:uid="{00000000-0005-0000-0000-0000B3070000}"/>
    <cellStyle name="Millares 3 18" xfId="1972" xr:uid="{00000000-0005-0000-0000-0000B4070000}"/>
    <cellStyle name="Millares 3 19" xfId="1973" xr:uid="{00000000-0005-0000-0000-0000B5070000}"/>
    <cellStyle name="Millares 3 2" xfId="1974" xr:uid="{00000000-0005-0000-0000-0000B6070000}"/>
    <cellStyle name="Millares 3 2 10" xfId="1975" xr:uid="{00000000-0005-0000-0000-0000B7070000}"/>
    <cellStyle name="Millares 3 2 11" xfId="1976" xr:uid="{00000000-0005-0000-0000-0000B8070000}"/>
    <cellStyle name="Millares 3 2 12" xfId="1977" xr:uid="{00000000-0005-0000-0000-0000B9070000}"/>
    <cellStyle name="Millares 3 2 13" xfId="1978" xr:uid="{00000000-0005-0000-0000-0000BA070000}"/>
    <cellStyle name="Millares 3 2 14" xfId="1979" xr:uid="{00000000-0005-0000-0000-0000BB070000}"/>
    <cellStyle name="Millares 3 2 15" xfId="1980" xr:uid="{00000000-0005-0000-0000-0000BC070000}"/>
    <cellStyle name="Millares 3 2 16" xfId="1981" xr:uid="{00000000-0005-0000-0000-0000BD070000}"/>
    <cellStyle name="Millares 3 2 17" xfId="1982" xr:uid="{00000000-0005-0000-0000-0000BE070000}"/>
    <cellStyle name="Millares 3 2 18" xfId="1983" xr:uid="{00000000-0005-0000-0000-0000BF070000}"/>
    <cellStyle name="Millares 3 2 19" xfId="1984" xr:uid="{00000000-0005-0000-0000-0000C0070000}"/>
    <cellStyle name="Millares 3 2 2" xfId="1985" xr:uid="{00000000-0005-0000-0000-0000C1070000}"/>
    <cellStyle name="Millares 3 2 2 10" xfId="1986" xr:uid="{00000000-0005-0000-0000-0000C2070000}"/>
    <cellStyle name="Millares 3 2 2 11" xfId="1987" xr:uid="{00000000-0005-0000-0000-0000C3070000}"/>
    <cellStyle name="Millares 3 2 2 12" xfId="1988" xr:uid="{00000000-0005-0000-0000-0000C4070000}"/>
    <cellStyle name="Millares 3 2 2 13" xfId="1989" xr:uid="{00000000-0005-0000-0000-0000C5070000}"/>
    <cellStyle name="Millares 3 2 2 14" xfId="1990" xr:uid="{00000000-0005-0000-0000-0000C6070000}"/>
    <cellStyle name="Millares 3 2 2 15" xfId="1991" xr:uid="{00000000-0005-0000-0000-0000C7070000}"/>
    <cellStyle name="Millares 3 2 2 16" xfId="1992" xr:uid="{00000000-0005-0000-0000-0000C8070000}"/>
    <cellStyle name="Millares 3 2 2 17" xfId="1993" xr:uid="{00000000-0005-0000-0000-0000C9070000}"/>
    <cellStyle name="Millares 3 2 2 18" xfId="1994" xr:uid="{00000000-0005-0000-0000-0000CA070000}"/>
    <cellStyle name="Millares 3 2 2 2" xfId="1995" xr:uid="{00000000-0005-0000-0000-0000CB070000}"/>
    <cellStyle name="Millares 3 2 2 2 2" xfId="1996" xr:uid="{00000000-0005-0000-0000-0000CC070000}"/>
    <cellStyle name="Millares 3 2 2 2 2 2" xfId="1997" xr:uid="{00000000-0005-0000-0000-0000CD070000}"/>
    <cellStyle name="Millares 3 2 2 2 2 2 2" xfId="1998" xr:uid="{00000000-0005-0000-0000-0000CE070000}"/>
    <cellStyle name="Millares 3 2 2 2 2 2 2 2" xfId="1999" xr:uid="{00000000-0005-0000-0000-0000CF070000}"/>
    <cellStyle name="Millares 3 2 2 2 2 2 2 3" xfId="2000" xr:uid="{00000000-0005-0000-0000-0000D0070000}"/>
    <cellStyle name="Millares 3 2 2 2 2 2 3" xfId="2001" xr:uid="{00000000-0005-0000-0000-0000D1070000}"/>
    <cellStyle name="Millares 3 2 2 2 2 3" xfId="2002" xr:uid="{00000000-0005-0000-0000-0000D2070000}"/>
    <cellStyle name="Millares 3 2 2 2 2 4" xfId="2003" xr:uid="{00000000-0005-0000-0000-0000D3070000}"/>
    <cellStyle name="Millares 3 2 2 2 2 5" xfId="2004" xr:uid="{00000000-0005-0000-0000-0000D4070000}"/>
    <cellStyle name="Millares 3 2 2 2 3" xfId="2005" xr:uid="{00000000-0005-0000-0000-0000D5070000}"/>
    <cellStyle name="Millares 3 2 2 2 4" xfId="2006" xr:uid="{00000000-0005-0000-0000-0000D6070000}"/>
    <cellStyle name="Millares 3 2 2 2 5" xfId="2007" xr:uid="{00000000-0005-0000-0000-0000D7070000}"/>
    <cellStyle name="Millares 3 2 2 3" xfId="2008" xr:uid="{00000000-0005-0000-0000-0000D8070000}"/>
    <cellStyle name="Millares 3 2 2 4" xfId="2009" xr:uid="{00000000-0005-0000-0000-0000D9070000}"/>
    <cellStyle name="Millares 3 2 2 5" xfId="2010" xr:uid="{00000000-0005-0000-0000-0000DA070000}"/>
    <cellStyle name="Millares 3 2 2 5 10" xfId="2011" xr:uid="{00000000-0005-0000-0000-0000DB070000}"/>
    <cellStyle name="Millares 3 2 2 5 11" xfId="2012" xr:uid="{00000000-0005-0000-0000-0000DC070000}"/>
    <cellStyle name="Millares 3 2 2 5 12" xfId="2013" xr:uid="{00000000-0005-0000-0000-0000DD070000}"/>
    <cellStyle name="Millares 3 2 2 5 13" xfId="2014" xr:uid="{00000000-0005-0000-0000-0000DE070000}"/>
    <cellStyle name="Millares 3 2 2 5 14" xfId="2015" xr:uid="{00000000-0005-0000-0000-0000DF070000}"/>
    <cellStyle name="Millares 3 2 2 5 15" xfId="2016" xr:uid="{00000000-0005-0000-0000-0000E0070000}"/>
    <cellStyle name="Millares 3 2 2 5 16" xfId="2017" xr:uid="{00000000-0005-0000-0000-0000E1070000}"/>
    <cellStyle name="Millares 3 2 2 5 17" xfId="2018" xr:uid="{00000000-0005-0000-0000-0000E2070000}"/>
    <cellStyle name="Millares 3 2 2 5 18" xfId="2019" xr:uid="{00000000-0005-0000-0000-0000E3070000}"/>
    <cellStyle name="Millares 3 2 2 5 2" xfId="2020" xr:uid="{00000000-0005-0000-0000-0000E4070000}"/>
    <cellStyle name="Millares 3 2 2 5 2 10" xfId="2021" xr:uid="{00000000-0005-0000-0000-0000E5070000}"/>
    <cellStyle name="Millares 3 2 2 5 2 11" xfId="2022" xr:uid="{00000000-0005-0000-0000-0000E6070000}"/>
    <cellStyle name="Millares 3 2 2 5 2 12" xfId="2023" xr:uid="{00000000-0005-0000-0000-0000E7070000}"/>
    <cellStyle name="Millares 3 2 2 5 2 13" xfId="2024" xr:uid="{00000000-0005-0000-0000-0000E8070000}"/>
    <cellStyle name="Millares 3 2 2 5 2 14" xfId="2025" xr:uid="{00000000-0005-0000-0000-0000E9070000}"/>
    <cellStyle name="Millares 3 2 2 5 2 15" xfId="2026" xr:uid="{00000000-0005-0000-0000-0000EA070000}"/>
    <cellStyle name="Millares 3 2 2 5 2 2" xfId="2027" xr:uid="{00000000-0005-0000-0000-0000EB070000}"/>
    <cellStyle name="Millares 3 2 2 5 2 2 2" xfId="2028" xr:uid="{00000000-0005-0000-0000-0000EC070000}"/>
    <cellStyle name="Millares 3 2 2 5 2 2 3" xfId="2029" xr:uid="{00000000-0005-0000-0000-0000ED070000}"/>
    <cellStyle name="Millares 3 2 2 5 2 2 4" xfId="2030" xr:uid="{00000000-0005-0000-0000-0000EE070000}"/>
    <cellStyle name="Millares 3 2 2 5 2 2 5" xfId="2031" xr:uid="{00000000-0005-0000-0000-0000EF070000}"/>
    <cellStyle name="Millares 3 2 2 5 2 2 6" xfId="2032" xr:uid="{00000000-0005-0000-0000-0000F0070000}"/>
    <cellStyle name="Millares 3 2 2 5 2 3" xfId="2033" xr:uid="{00000000-0005-0000-0000-0000F1070000}"/>
    <cellStyle name="Millares 3 2 2 5 2 4" xfId="2034" xr:uid="{00000000-0005-0000-0000-0000F2070000}"/>
    <cellStyle name="Millares 3 2 2 5 2 5" xfId="2035" xr:uid="{00000000-0005-0000-0000-0000F3070000}"/>
    <cellStyle name="Millares 3 2 2 5 2 6" xfId="2036" xr:uid="{00000000-0005-0000-0000-0000F4070000}"/>
    <cellStyle name="Millares 3 2 2 5 2 7" xfId="2037" xr:uid="{00000000-0005-0000-0000-0000F5070000}"/>
    <cellStyle name="Millares 3 2 2 5 2 8" xfId="2038" xr:uid="{00000000-0005-0000-0000-0000F6070000}"/>
    <cellStyle name="Millares 3 2 2 5 2 9" xfId="2039" xr:uid="{00000000-0005-0000-0000-0000F7070000}"/>
    <cellStyle name="Millares 3 2 2 5 3" xfId="2040" xr:uid="{00000000-0005-0000-0000-0000F8070000}"/>
    <cellStyle name="Millares 3 2 2 5 3 10" xfId="2041" xr:uid="{00000000-0005-0000-0000-0000F9070000}"/>
    <cellStyle name="Millares 3 2 2 5 3 2" xfId="2042" xr:uid="{00000000-0005-0000-0000-0000FA070000}"/>
    <cellStyle name="Millares 3 2 2 5 3 3" xfId="2043" xr:uid="{00000000-0005-0000-0000-0000FB070000}"/>
    <cellStyle name="Millares 3 2 2 5 3 4" xfId="2044" xr:uid="{00000000-0005-0000-0000-0000FC070000}"/>
    <cellStyle name="Millares 3 2 2 5 3 5" xfId="2045" xr:uid="{00000000-0005-0000-0000-0000FD070000}"/>
    <cellStyle name="Millares 3 2 2 5 3 6" xfId="2046" xr:uid="{00000000-0005-0000-0000-0000FE070000}"/>
    <cellStyle name="Millares 3 2 2 5 3 7" xfId="2047" xr:uid="{00000000-0005-0000-0000-0000FF070000}"/>
    <cellStyle name="Millares 3 2 2 5 3 8" xfId="2048" xr:uid="{00000000-0005-0000-0000-000000080000}"/>
    <cellStyle name="Millares 3 2 2 5 3 9" xfId="2049" xr:uid="{00000000-0005-0000-0000-000001080000}"/>
    <cellStyle name="Millares 3 2 2 5 4" xfId="2050" xr:uid="{00000000-0005-0000-0000-000002080000}"/>
    <cellStyle name="Millares 3 2 2 5 5" xfId="2051" xr:uid="{00000000-0005-0000-0000-000003080000}"/>
    <cellStyle name="Millares 3 2 2 5 6" xfId="2052" xr:uid="{00000000-0005-0000-0000-000004080000}"/>
    <cellStyle name="Millares 3 2 2 5 7" xfId="2053" xr:uid="{00000000-0005-0000-0000-000005080000}"/>
    <cellStyle name="Millares 3 2 2 5 8" xfId="2054" xr:uid="{00000000-0005-0000-0000-000006080000}"/>
    <cellStyle name="Millares 3 2 2 5 9" xfId="2055" xr:uid="{00000000-0005-0000-0000-000007080000}"/>
    <cellStyle name="Millares 3 2 2 6" xfId="2056" xr:uid="{00000000-0005-0000-0000-000008080000}"/>
    <cellStyle name="Millares 3 2 2 7" xfId="2057" xr:uid="{00000000-0005-0000-0000-000009080000}"/>
    <cellStyle name="Millares 3 2 2 8" xfId="2058" xr:uid="{00000000-0005-0000-0000-00000A080000}"/>
    <cellStyle name="Millares 3 2 2 9" xfId="2059" xr:uid="{00000000-0005-0000-0000-00000B080000}"/>
    <cellStyle name="Millares 3 2 20" xfId="2060" xr:uid="{00000000-0005-0000-0000-00000C080000}"/>
    <cellStyle name="Millares 3 2 21" xfId="2061" xr:uid="{00000000-0005-0000-0000-00000D080000}"/>
    <cellStyle name="Millares 3 2 22" xfId="2062" xr:uid="{00000000-0005-0000-0000-00000E080000}"/>
    <cellStyle name="Millares 3 2 23" xfId="2063" xr:uid="{00000000-0005-0000-0000-00000F080000}"/>
    <cellStyle name="Millares 3 2 24" xfId="2064" xr:uid="{00000000-0005-0000-0000-000010080000}"/>
    <cellStyle name="Millares 3 2 3" xfId="2065" xr:uid="{00000000-0005-0000-0000-000011080000}"/>
    <cellStyle name="Millares 3 2 4" xfId="2066" xr:uid="{00000000-0005-0000-0000-000012080000}"/>
    <cellStyle name="Millares 3 2 5" xfId="2067" xr:uid="{00000000-0005-0000-0000-000013080000}"/>
    <cellStyle name="Millares 3 2 6" xfId="2068" xr:uid="{00000000-0005-0000-0000-000014080000}"/>
    <cellStyle name="Millares 3 2 7" xfId="2069" xr:uid="{00000000-0005-0000-0000-000015080000}"/>
    <cellStyle name="Millares 3 2 8" xfId="2070" xr:uid="{00000000-0005-0000-0000-000016080000}"/>
    <cellStyle name="Millares 3 2 9" xfId="2071" xr:uid="{00000000-0005-0000-0000-000017080000}"/>
    <cellStyle name="Millares 3 20" xfId="2072" xr:uid="{00000000-0005-0000-0000-000018080000}"/>
    <cellStyle name="Millares 3 21" xfId="2073" xr:uid="{00000000-0005-0000-0000-000019080000}"/>
    <cellStyle name="Millares 3 22" xfId="2074" xr:uid="{00000000-0005-0000-0000-00001A080000}"/>
    <cellStyle name="Millares 3 23" xfId="2075" xr:uid="{00000000-0005-0000-0000-00001B080000}"/>
    <cellStyle name="Millares 3 24" xfId="2076" xr:uid="{00000000-0005-0000-0000-00001C080000}"/>
    <cellStyle name="Millares 3 25" xfId="2077" xr:uid="{00000000-0005-0000-0000-00001D080000}"/>
    <cellStyle name="Millares 3 26" xfId="2078" xr:uid="{00000000-0005-0000-0000-00001E080000}"/>
    <cellStyle name="Millares 3 27" xfId="2079" xr:uid="{00000000-0005-0000-0000-00001F080000}"/>
    <cellStyle name="Millares 3 28" xfId="2080" xr:uid="{00000000-0005-0000-0000-000020080000}"/>
    <cellStyle name="Millares 3 29" xfId="2081" xr:uid="{00000000-0005-0000-0000-000021080000}"/>
    <cellStyle name="Millares 3 3" xfId="2082" xr:uid="{00000000-0005-0000-0000-000022080000}"/>
    <cellStyle name="Millares 3 30" xfId="2083" xr:uid="{00000000-0005-0000-0000-000023080000}"/>
    <cellStyle name="Millares 3 31" xfId="1842" xr:uid="{00000000-0005-0000-0000-000032070000}"/>
    <cellStyle name="Millares 3 4" xfId="2084" xr:uid="{00000000-0005-0000-0000-000024080000}"/>
    <cellStyle name="Millares 3 5" xfId="2085" xr:uid="{00000000-0005-0000-0000-000025080000}"/>
    <cellStyle name="Millares 3 6" xfId="2086" xr:uid="{00000000-0005-0000-0000-000026080000}"/>
    <cellStyle name="Millares 3 7" xfId="2087" xr:uid="{00000000-0005-0000-0000-000027080000}"/>
    <cellStyle name="Millares 3 8" xfId="2088" xr:uid="{00000000-0005-0000-0000-000028080000}"/>
    <cellStyle name="Millares 3 9" xfId="2089" xr:uid="{00000000-0005-0000-0000-000029080000}"/>
    <cellStyle name="Millares 30" xfId="2090" xr:uid="{00000000-0005-0000-0000-00002A080000}"/>
    <cellStyle name="Millares 30 10" xfId="2091" xr:uid="{00000000-0005-0000-0000-00002B080000}"/>
    <cellStyle name="Millares 30 11" xfId="2092" xr:uid="{00000000-0005-0000-0000-00002C080000}"/>
    <cellStyle name="Millares 30 12" xfId="2093" xr:uid="{00000000-0005-0000-0000-00002D080000}"/>
    <cellStyle name="Millares 30 13" xfId="2094" xr:uid="{00000000-0005-0000-0000-00002E080000}"/>
    <cellStyle name="Millares 30 14" xfId="2095" xr:uid="{00000000-0005-0000-0000-00002F080000}"/>
    <cellStyle name="Millares 30 15" xfId="2096" xr:uid="{00000000-0005-0000-0000-000030080000}"/>
    <cellStyle name="Millares 30 16" xfId="2097" xr:uid="{00000000-0005-0000-0000-000031080000}"/>
    <cellStyle name="Millares 30 17" xfId="2098" xr:uid="{00000000-0005-0000-0000-000032080000}"/>
    <cellStyle name="Millares 30 18" xfId="2099" xr:uid="{00000000-0005-0000-0000-000033080000}"/>
    <cellStyle name="Millares 30 19" xfId="2100" xr:uid="{00000000-0005-0000-0000-000034080000}"/>
    <cellStyle name="Millares 30 2" xfId="2101" xr:uid="{00000000-0005-0000-0000-000035080000}"/>
    <cellStyle name="Millares 30 2 2" xfId="2102" xr:uid="{00000000-0005-0000-0000-000036080000}"/>
    <cellStyle name="Millares 30 2 3" xfId="2103" xr:uid="{00000000-0005-0000-0000-000037080000}"/>
    <cellStyle name="Millares 30 20" xfId="2104" xr:uid="{00000000-0005-0000-0000-000038080000}"/>
    <cellStyle name="Millares 30 21" xfId="2105" xr:uid="{00000000-0005-0000-0000-000039080000}"/>
    <cellStyle name="Millares 30 22" xfId="2106" xr:uid="{00000000-0005-0000-0000-00003A080000}"/>
    <cellStyle name="Millares 30 23" xfId="2107" xr:uid="{00000000-0005-0000-0000-00003B080000}"/>
    <cellStyle name="Millares 30 24" xfId="2108" xr:uid="{00000000-0005-0000-0000-00003C080000}"/>
    <cellStyle name="Millares 30 25" xfId="2109" xr:uid="{00000000-0005-0000-0000-00003D080000}"/>
    <cellStyle name="Millares 30 3" xfId="2110" xr:uid="{00000000-0005-0000-0000-00003E080000}"/>
    <cellStyle name="Millares 30 3 2" xfId="2111" xr:uid="{00000000-0005-0000-0000-00003F080000}"/>
    <cellStyle name="Millares 30 3 3" xfId="2112" xr:uid="{00000000-0005-0000-0000-000040080000}"/>
    <cellStyle name="Millares 30 4" xfId="2113" xr:uid="{00000000-0005-0000-0000-000041080000}"/>
    <cellStyle name="Millares 30 5" xfId="2114" xr:uid="{00000000-0005-0000-0000-000042080000}"/>
    <cellStyle name="Millares 30 6" xfId="2115" xr:uid="{00000000-0005-0000-0000-000043080000}"/>
    <cellStyle name="Millares 30 7" xfId="2116" xr:uid="{00000000-0005-0000-0000-000044080000}"/>
    <cellStyle name="Millares 30 8" xfId="2117" xr:uid="{00000000-0005-0000-0000-000045080000}"/>
    <cellStyle name="Millares 30 9" xfId="2118" xr:uid="{00000000-0005-0000-0000-000046080000}"/>
    <cellStyle name="Millares 4" xfId="2119" xr:uid="{00000000-0005-0000-0000-000047080000}"/>
    <cellStyle name="Millares 4 2" xfId="2120" xr:uid="{00000000-0005-0000-0000-000048080000}"/>
    <cellStyle name="Millares 4 3" xfId="2121" xr:uid="{00000000-0005-0000-0000-000049080000}"/>
    <cellStyle name="Millares 5" xfId="2122" xr:uid="{00000000-0005-0000-0000-00004A080000}"/>
    <cellStyle name="Millares 5 10" xfId="2123" xr:uid="{00000000-0005-0000-0000-00004B080000}"/>
    <cellStyle name="Millares 5 11" xfId="2124" xr:uid="{00000000-0005-0000-0000-00004C080000}"/>
    <cellStyle name="Millares 5 12" xfId="2125" xr:uid="{00000000-0005-0000-0000-00004D080000}"/>
    <cellStyle name="Millares 5 13" xfId="2126" xr:uid="{00000000-0005-0000-0000-00004E080000}"/>
    <cellStyle name="Millares 5 14" xfId="2127" xr:uid="{00000000-0005-0000-0000-00004F080000}"/>
    <cellStyle name="Millares 5 15" xfId="2128" xr:uid="{00000000-0005-0000-0000-000050080000}"/>
    <cellStyle name="Millares 5 16" xfId="2129" xr:uid="{00000000-0005-0000-0000-000051080000}"/>
    <cellStyle name="Millares 5 17" xfId="2130" xr:uid="{00000000-0005-0000-0000-000052080000}"/>
    <cellStyle name="Millares 5 18" xfId="2131" xr:uid="{00000000-0005-0000-0000-000053080000}"/>
    <cellStyle name="Millares 5 19" xfId="2132" xr:uid="{00000000-0005-0000-0000-000054080000}"/>
    <cellStyle name="Millares 5 2" xfId="2133" xr:uid="{00000000-0005-0000-0000-000055080000}"/>
    <cellStyle name="Millares 5 2 2" xfId="2134" xr:uid="{00000000-0005-0000-0000-000056080000}"/>
    <cellStyle name="Millares 5 20" xfId="2135" xr:uid="{00000000-0005-0000-0000-000057080000}"/>
    <cellStyle name="Millares 5 21" xfId="2136" xr:uid="{00000000-0005-0000-0000-000058080000}"/>
    <cellStyle name="Millares 5 22" xfId="2137" xr:uid="{00000000-0005-0000-0000-000059080000}"/>
    <cellStyle name="Millares 5 23" xfId="2138" xr:uid="{00000000-0005-0000-0000-00005A080000}"/>
    <cellStyle name="Millares 5 24" xfId="2139" xr:uid="{00000000-0005-0000-0000-00005B080000}"/>
    <cellStyle name="Millares 5 25" xfId="2140" xr:uid="{00000000-0005-0000-0000-00005C080000}"/>
    <cellStyle name="Millares 5 26" xfId="2141" xr:uid="{00000000-0005-0000-0000-00005D080000}"/>
    <cellStyle name="Millares 5 3" xfId="2142" xr:uid="{00000000-0005-0000-0000-00005E080000}"/>
    <cellStyle name="Millares 5 4" xfId="2143" xr:uid="{00000000-0005-0000-0000-00005F080000}"/>
    <cellStyle name="Millares 5 5" xfId="2144" xr:uid="{00000000-0005-0000-0000-000060080000}"/>
    <cellStyle name="Millares 5 6" xfId="2145" xr:uid="{00000000-0005-0000-0000-000061080000}"/>
    <cellStyle name="Millares 5 7" xfId="2146" xr:uid="{00000000-0005-0000-0000-000062080000}"/>
    <cellStyle name="Millares 5 8" xfId="2147" xr:uid="{00000000-0005-0000-0000-000063080000}"/>
    <cellStyle name="Millares 5 9" xfId="2148" xr:uid="{00000000-0005-0000-0000-000064080000}"/>
    <cellStyle name="Millares 6" xfId="2149" xr:uid="{00000000-0005-0000-0000-000065080000}"/>
    <cellStyle name="Millares 6 2" xfId="2150" xr:uid="{00000000-0005-0000-0000-000066080000}"/>
    <cellStyle name="Millares 7" xfId="2151" xr:uid="{00000000-0005-0000-0000-000067080000}"/>
    <cellStyle name="Millares 7 10" xfId="2152" xr:uid="{00000000-0005-0000-0000-000068080000}"/>
    <cellStyle name="Millares 7 11" xfId="2153" xr:uid="{00000000-0005-0000-0000-000069080000}"/>
    <cellStyle name="Millares 7 12" xfId="2154" xr:uid="{00000000-0005-0000-0000-00006A080000}"/>
    <cellStyle name="Millares 7 13" xfId="2155" xr:uid="{00000000-0005-0000-0000-00006B080000}"/>
    <cellStyle name="Millares 7 14" xfId="2156" xr:uid="{00000000-0005-0000-0000-00006C080000}"/>
    <cellStyle name="Millares 7 15" xfId="2157" xr:uid="{00000000-0005-0000-0000-00006D080000}"/>
    <cellStyle name="Millares 7 16" xfId="2158" xr:uid="{00000000-0005-0000-0000-00006E080000}"/>
    <cellStyle name="Millares 7 17" xfId="2159" xr:uid="{00000000-0005-0000-0000-00006F080000}"/>
    <cellStyle name="Millares 7 18" xfId="2160" xr:uid="{00000000-0005-0000-0000-000070080000}"/>
    <cellStyle name="Millares 7 19" xfId="2161" xr:uid="{00000000-0005-0000-0000-000071080000}"/>
    <cellStyle name="Millares 7 2" xfId="2162" xr:uid="{00000000-0005-0000-0000-000072080000}"/>
    <cellStyle name="Millares 7 20" xfId="2163" xr:uid="{00000000-0005-0000-0000-000073080000}"/>
    <cellStyle name="Millares 7 21" xfId="2164" xr:uid="{00000000-0005-0000-0000-000074080000}"/>
    <cellStyle name="Millares 7 22" xfId="2165" xr:uid="{00000000-0005-0000-0000-000075080000}"/>
    <cellStyle name="Millares 7 23" xfId="2166" xr:uid="{00000000-0005-0000-0000-000076080000}"/>
    <cellStyle name="Millares 7 24" xfId="2167" xr:uid="{00000000-0005-0000-0000-000077080000}"/>
    <cellStyle name="Millares 7 3" xfId="2168" xr:uid="{00000000-0005-0000-0000-000078080000}"/>
    <cellStyle name="Millares 7 4" xfId="2169" xr:uid="{00000000-0005-0000-0000-000079080000}"/>
    <cellStyle name="Millares 7 5" xfId="2170" xr:uid="{00000000-0005-0000-0000-00007A080000}"/>
    <cellStyle name="Millares 7 6" xfId="2171" xr:uid="{00000000-0005-0000-0000-00007B080000}"/>
    <cellStyle name="Millares 7 7" xfId="2172" xr:uid="{00000000-0005-0000-0000-00007C080000}"/>
    <cellStyle name="Millares 7 8" xfId="2173" xr:uid="{00000000-0005-0000-0000-00007D080000}"/>
    <cellStyle name="Millares 7 9" xfId="2174" xr:uid="{00000000-0005-0000-0000-00007E080000}"/>
    <cellStyle name="Millares 8" xfId="2175" xr:uid="{00000000-0005-0000-0000-00007F080000}"/>
    <cellStyle name="Millares 8 10" xfId="2176" xr:uid="{00000000-0005-0000-0000-000080080000}"/>
    <cellStyle name="Millares 8 11" xfId="2177" xr:uid="{00000000-0005-0000-0000-000081080000}"/>
    <cellStyle name="Millares 8 12" xfId="2178" xr:uid="{00000000-0005-0000-0000-000082080000}"/>
    <cellStyle name="Millares 8 13" xfId="2179" xr:uid="{00000000-0005-0000-0000-000083080000}"/>
    <cellStyle name="Millares 8 14" xfId="2180" xr:uid="{00000000-0005-0000-0000-000084080000}"/>
    <cellStyle name="Millares 8 15" xfId="2181" xr:uid="{00000000-0005-0000-0000-000085080000}"/>
    <cellStyle name="Millares 8 16" xfId="2182" xr:uid="{00000000-0005-0000-0000-000086080000}"/>
    <cellStyle name="Millares 8 17" xfId="2183" xr:uid="{00000000-0005-0000-0000-000087080000}"/>
    <cellStyle name="Millares 8 18" xfId="2184" xr:uid="{00000000-0005-0000-0000-000088080000}"/>
    <cellStyle name="Millares 8 19" xfId="2185" xr:uid="{00000000-0005-0000-0000-000089080000}"/>
    <cellStyle name="Millares 8 2" xfId="2186" xr:uid="{00000000-0005-0000-0000-00008A080000}"/>
    <cellStyle name="Millares 8 20" xfId="2187" xr:uid="{00000000-0005-0000-0000-00008B080000}"/>
    <cellStyle name="Millares 8 21" xfId="2188" xr:uid="{00000000-0005-0000-0000-00008C080000}"/>
    <cellStyle name="Millares 8 22" xfId="2189" xr:uid="{00000000-0005-0000-0000-00008D080000}"/>
    <cellStyle name="Millares 8 23" xfId="2190" xr:uid="{00000000-0005-0000-0000-00008E080000}"/>
    <cellStyle name="Millares 8 24" xfId="2191" xr:uid="{00000000-0005-0000-0000-00008F080000}"/>
    <cellStyle name="Millares 8 3" xfId="2192" xr:uid="{00000000-0005-0000-0000-000090080000}"/>
    <cellStyle name="Millares 8 4" xfId="2193" xr:uid="{00000000-0005-0000-0000-000091080000}"/>
    <cellStyle name="Millares 8 5" xfId="2194" xr:uid="{00000000-0005-0000-0000-000092080000}"/>
    <cellStyle name="Millares 8 6" xfId="2195" xr:uid="{00000000-0005-0000-0000-000093080000}"/>
    <cellStyle name="Millares 8 7" xfId="2196" xr:uid="{00000000-0005-0000-0000-000094080000}"/>
    <cellStyle name="Millares 8 8" xfId="2197" xr:uid="{00000000-0005-0000-0000-000095080000}"/>
    <cellStyle name="Millares 8 9" xfId="2198" xr:uid="{00000000-0005-0000-0000-000096080000}"/>
    <cellStyle name="Millares 9" xfId="2199" xr:uid="{00000000-0005-0000-0000-000097080000}"/>
    <cellStyle name="Moneda" xfId="39246" builtinId="4"/>
    <cellStyle name="Moneda 2" xfId="5" xr:uid="{00000000-0005-0000-0000-000005000000}"/>
    <cellStyle name="Moneda 2 10" xfId="30" xr:uid="{00000000-0005-0000-0000-00001E000000}"/>
    <cellStyle name="Moneda 2 10 2" xfId="74" xr:uid="{00000000-0005-0000-0000-00004A000000}"/>
    <cellStyle name="Moneda 2 2" xfId="2200" xr:uid="{00000000-0005-0000-0000-000098080000}"/>
    <cellStyle name="Moneda 2 2 2" xfId="46" xr:uid="{00000000-0005-0000-0000-00002E000000}"/>
    <cellStyle name="Moneda 2 2 2 2" xfId="2201" xr:uid="{00000000-0005-0000-0000-000099080000}"/>
    <cellStyle name="Moneda 2 2 3" xfId="2202" xr:uid="{00000000-0005-0000-0000-00009A080000}"/>
    <cellStyle name="Moneda 2 3" xfId="2203" xr:uid="{00000000-0005-0000-0000-00009B080000}"/>
    <cellStyle name="Moneda 2 3 2" xfId="2204" xr:uid="{00000000-0005-0000-0000-00009C080000}"/>
    <cellStyle name="Moneda 2 4" xfId="2205" xr:uid="{00000000-0005-0000-0000-00009D080000}"/>
    <cellStyle name="Moneda 2 4 2" xfId="2206" xr:uid="{00000000-0005-0000-0000-00009E080000}"/>
    <cellStyle name="Moneda 2 5" xfId="2207" xr:uid="{00000000-0005-0000-0000-00009F080000}"/>
    <cellStyle name="Moneda 2 5 2" xfId="2208" xr:uid="{00000000-0005-0000-0000-0000A0080000}"/>
    <cellStyle name="Moneda 2 6" xfId="2209" xr:uid="{00000000-0005-0000-0000-0000A1080000}"/>
    <cellStyle name="Moneda 2 6 2" xfId="2210" xr:uid="{00000000-0005-0000-0000-0000A2080000}"/>
    <cellStyle name="Moneda 2 7" xfId="2211" xr:uid="{00000000-0005-0000-0000-0000A3080000}"/>
    <cellStyle name="Moneda 2 7 2" xfId="2212" xr:uid="{00000000-0005-0000-0000-0000A4080000}"/>
    <cellStyle name="Moneda 2 8" xfId="2213" xr:uid="{00000000-0005-0000-0000-0000A5080000}"/>
    <cellStyle name="Moneda 2 8 2" xfId="2214" xr:uid="{00000000-0005-0000-0000-0000A6080000}"/>
    <cellStyle name="Moneda 2 9" xfId="2215" xr:uid="{00000000-0005-0000-0000-0000A7080000}"/>
    <cellStyle name="Moneda 26" xfId="2216" xr:uid="{00000000-0005-0000-0000-0000A8080000}"/>
    <cellStyle name="Moneda 26 2" xfId="2217" xr:uid="{00000000-0005-0000-0000-0000A9080000}"/>
    <cellStyle name="Moneda 26 2 2" xfId="2218" xr:uid="{00000000-0005-0000-0000-0000AA080000}"/>
    <cellStyle name="Moneda 26 2 3" xfId="2219" xr:uid="{00000000-0005-0000-0000-0000AB080000}"/>
    <cellStyle name="Moneda 26 3" xfId="2220" xr:uid="{00000000-0005-0000-0000-0000AC080000}"/>
    <cellStyle name="Moneda 26 3 2" xfId="2221" xr:uid="{00000000-0005-0000-0000-0000AD080000}"/>
    <cellStyle name="Moneda 26 3 3" xfId="2222" xr:uid="{00000000-0005-0000-0000-0000AE080000}"/>
    <cellStyle name="Moneda 26 4" xfId="2223" xr:uid="{00000000-0005-0000-0000-0000AF080000}"/>
    <cellStyle name="Moneda 3" xfId="47" xr:uid="{00000000-0005-0000-0000-00002F000000}"/>
    <cellStyle name="Moneda 3 2" xfId="2225" xr:uid="{00000000-0005-0000-0000-0000B1080000}"/>
    <cellStyle name="Moneda 3 3" xfId="2226" xr:uid="{00000000-0005-0000-0000-0000B2080000}"/>
    <cellStyle name="Moneda 3 4" xfId="2227" xr:uid="{00000000-0005-0000-0000-0000B3080000}"/>
    <cellStyle name="Moneda 3 5" xfId="2228" xr:uid="{00000000-0005-0000-0000-0000B4080000}"/>
    <cellStyle name="Moneda 3 6" xfId="2229" xr:uid="{00000000-0005-0000-0000-0000B5080000}"/>
    <cellStyle name="Moneda 3 7" xfId="79" xr:uid="{00000000-0005-0000-0000-00004F000000}"/>
    <cellStyle name="Moneda 3 7 2" xfId="2230" xr:uid="{00000000-0005-0000-0000-0000B6080000}"/>
    <cellStyle name="Moneda 3 8" xfId="2231" xr:uid="{00000000-0005-0000-0000-0000B7080000}"/>
    <cellStyle name="Moneda 3 9" xfId="2224" xr:uid="{00000000-0005-0000-0000-0000B0080000}"/>
    <cellStyle name="Moneda 4" xfId="31" xr:uid="{00000000-0005-0000-0000-00001F000000}"/>
    <cellStyle name="Moneda 4 2" xfId="48" xr:uid="{00000000-0005-0000-0000-000030000000}"/>
    <cellStyle name="Moneda 4 3" xfId="75" xr:uid="{00000000-0005-0000-0000-00004B000000}"/>
    <cellStyle name="Moneda 4 4" xfId="2232" xr:uid="{00000000-0005-0000-0000-0000B8080000}"/>
    <cellStyle name="Moneda 5" xfId="73" xr:uid="{00000000-0005-0000-0000-000049000000}"/>
    <cellStyle name="Moneda 6" xfId="77" xr:uid="{00000000-0005-0000-0000-00004D000000}"/>
    <cellStyle name="Neutral 2" xfId="2233" xr:uid="{00000000-0005-0000-0000-0000B9080000}"/>
    <cellStyle name="Neutral 3" xfId="2234" xr:uid="{00000000-0005-0000-0000-0000BA080000}"/>
    <cellStyle name="Neutral 4" xfId="2235" xr:uid="{00000000-0005-0000-0000-0000BB080000}"/>
    <cellStyle name="Normal" xfId="0" builtinId="0"/>
    <cellStyle name="Normal 10" xfId="32" xr:uid="{00000000-0005-0000-0000-000020000000}"/>
    <cellStyle name="Normal 10 10" xfId="2237" xr:uid="{00000000-0005-0000-0000-0000BD080000}"/>
    <cellStyle name="Normal 10 11" xfId="2238" xr:uid="{00000000-0005-0000-0000-0000BE080000}"/>
    <cellStyle name="Normal 10 12" xfId="2239" xr:uid="{00000000-0005-0000-0000-0000BF080000}"/>
    <cellStyle name="Normal 10 13" xfId="2240" xr:uid="{00000000-0005-0000-0000-0000C0080000}"/>
    <cellStyle name="Normal 10 14" xfId="2241" xr:uid="{00000000-0005-0000-0000-0000C1080000}"/>
    <cellStyle name="Normal 10 15" xfId="2242" xr:uid="{00000000-0005-0000-0000-0000C2080000}"/>
    <cellStyle name="Normal 10 16" xfId="2243" xr:uid="{00000000-0005-0000-0000-0000C3080000}"/>
    <cellStyle name="Normal 10 17" xfId="2244" xr:uid="{00000000-0005-0000-0000-0000C4080000}"/>
    <cellStyle name="Normal 10 18" xfId="2245" xr:uid="{00000000-0005-0000-0000-0000C5080000}"/>
    <cellStyle name="Normal 10 19" xfId="2246" xr:uid="{00000000-0005-0000-0000-0000C6080000}"/>
    <cellStyle name="Normal 10 2" xfId="2247" xr:uid="{00000000-0005-0000-0000-0000C7080000}"/>
    <cellStyle name="Normal 10 2 10" xfId="10" xr:uid="{00000000-0005-0000-0000-00000A000000}"/>
    <cellStyle name="Normal 10 2 10 10" xfId="2249" xr:uid="{00000000-0005-0000-0000-0000C9080000}"/>
    <cellStyle name="Normal 10 2 10 10 10" xfId="2250" xr:uid="{00000000-0005-0000-0000-0000CA080000}"/>
    <cellStyle name="Normal 10 2 10 10 11" xfId="2251" xr:uid="{00000000-0005-0000-0000-0000CB080000}"/>
    <cellStyle name="Normal 10 2 10 10 12" xfId="2252" xr:uid="{00000000-0005-0000-0000-0000CC080000}"/>
    <cellStyle name="Normal 10 2 10 10 13" xfId="2253" xr:uid="{00000000-0005-0000-0000-0000CD080000}"/>
    <cellStyle name="Normal 10 2 10 10 14" xfId="2254" xr:uid="{00000000-0005-0000-0000-0000CE080000}"/>
    <cellStyle name="Normal 10 2 10 10 2" xfId="2255" xr:uid="{00000000-0005-0000-0000-0000CF080000}"/>
    <cellStyle name="Normal 10 2 10 10 2 10" xfId="2256" xr:uid="{00000000-0005-0000-0000-0000D0080000}"/>
    <cellStyle name="Normal 10 2 10 10 2 2" xfId="2257" xr:uid="{00000000-0005-0000-0000-0000D1080000}"/>
    <cellStyle name="Normal 10 2 10 10 2 3" xfId="2258" xr:uid="{00000000-0005-0000-0000-0000D2080000}"/>
    <cellStyle name="Normal 10 2 10 10 2 4" xfId="2259" xr:uid="{00000000-0005-0000-0000-0000D3080000}"/>
    <cellStyle name="Normal 10 2 10 10 2 5" xfId="2260" xr:uid="{00000000-0005-0000-0000-0000D4080000}"/>
    <cellStyle name="Normal 10 2 10 10 2 6" xfId="2261" xr:uid="{00000000-0005-0000-0000-0000D5080000}"/>
    <cellStyle name="Normal 10 2 10 10 2 7" xfId="2262" xr:uid="{00000000-0005-0000-0000-0000D6080000}"/>
    <cellStyle name="Normal 10 2 10 10 2 8" xfId="2263" xr:uid="{00000000-0005-0000-0000-0000D7080000}"/>
    <cellStyle name="Normal 10 2 10 10 2 9" xfId="2264" xr:uid="{00000000-0005-0000-0000-0000D8080000}"/>
    <cellStyle name="Normal 10 2 10 10 3" xfId="2265" xr:uid="{00000000-0005-0000-0000-0000D9080000}"/>
    <cellStyle name="Normal 10 2 10 10 3 10" xfId="2266" xr:uid="{00000000-0005-0000-0000-0000DA080000}"/>
    <cellStyle name="Normal 10 2 10 10 3 2" xfId="2267" xr:uid="{00000000-0005-0000-0000-0000DB080000}"/>
    <cellStyle name="Normal 10 2 10 10 3 3" xfId="2268" xr:uid="{00000000-0005-0000-0000-0000DC080000}"/>
    <cellStyle name="Normal 10 2 10 10 3 4" xfId="2269" xr:uid="{00000000-0005-0000-0000-0000DD080000}"/>
    <cellStyle name="Normal 10 2 10 10 3 5" xfId="2270" xr:uid="{00000000-0005-0000-0000-0000DE080000}"/>
    <cellStyle name="Normal 10 2 10 10 3 6" xfId="2271" xr:uid="{00000000-0005-0000-0000-0000DF080000}"/>
    <cellStyle name="Normal 10 2 10 10 3 7" xfId="2272" xr:uid="{00000000-0005-0000-0000-0000E0080000}"/>
    <cellStyle name="Normal 10 2 10 10 3 8" xfId="2273" xr:uid="{00000000-0005-0000-0000-0000E1080000}"/>
    <cellStyle name="Normal 10 2 10 10 3 9" xfId="2274" xr:uid="{00000000-0005-0000-0000-0000E2080000}"/>
    <cellStyle name="Normal 10 2 10 10 4" xfId="2275" xr:uid="{00000000-0005-0000-0000-0000E3080000}"/>
    <cellStyle name="Normal 10 2 10 10 4 10" xfId="2276" xr:uid="{00000000-0005-0000-0000-0000E4080000}"/>
    <cellStyle name="Normal 10 2 10 10 4 2" xfId="2277" xr:uid="{00000000-0005-0000-0000-0000E5080000}"/>
    <cellStyle name="Normal 10 2 10 10 4 3" xfId="2278" xr:uid="{00000000-0005-0000-0000-0000E6080000}"/>
    <cellStyle name="Normal 10 2 10 10 4 4" xfId="2279" xr:uid="{00000000-0005-0000-0000-0000E7080000}"/>
    <cellStyle name="Normal 10 2 10 10 4 5" xfId="2280" xr:uid="{00000000-0005-0000-0000-0000E8080000}"/>
    <cellStyle name="Normal 10 2 10 10 4 6" xfId="2281" xr:uid="{00000000-0005-0000-0000-0000E9080000}"/>
    <cellStyle name="Normal 10 2 10 10 4 7" xfId="2282" xr:uid="{00000000-0005-0000-0000-0000EA080000}"/>
    <cellStyle name="Normal 10 2 10 10 4 8" xfId="2283" xr:uid="{00000000-0005-0000-0000-0000EB080000}"/>
    <cellStyle name="Normal 10 2 10 10 4 9" xfId="2284" xr:uid="{00000000-0005-0000-0000-0000EC080000}"/>
    <cellStyle name="Normal 10 2 10 10 5" xfId="2285" xr:uid="{00000000-0005-0000-0000-0000ED080000}"/>
    <cellStyle name="Normal 10 2 10 10 5 10" xfId="2286" xr:uid="{00000000-0005-0000-0000-0000EE080000}"/>
    <cellStyle name="Normal 10 2 10 10 5 2" xfId="2287" xr:uid="{00000000-0005-0000-0000-0000EF080000}"/>
    <cellStyle name="Normal 10 2 10 10 5 3" xfId="2288" xr:uid="{00000000-0005-0000-0000-0000F0080000}"/>
    <cellStyle name="Normal 10 2 10 10 5 4" xfId="2289" xr:uid="{00000000-0005-0000-0000-0000F1080000}"/>
    <cellStyle name="Normal 10 2 10 10 5 5" xfId="2290" xr:uid="{00000000-0005-0000-0000-0000F2080000}"/>
    <cellStyle name="Normal 10 2 10 10 5 6" xfId="2291" xr:uid="{00000000-0005-0000-0000-0000F3080000}"/>
    <cellStyle name="Normal 10 2 10 10 5 7" xfId="2292" xr:uid="{00000000-0005-0000-0000-0000F4080000}"/>
    <cellStyle name="Normal 10 2 10 10 5 8" xfId="2293" xr:uid="{00000000-0005-0000-0000-0000F5080000}"/>
    <cellStyle name="Normal 10 2 10 10 5 9" xfId="2294" xr:uid="{00000000-0005-0000-0000-0000F6080000}"/>
    <cellStyle name="Normal 10 2 10 10 6" xfId="2295" xr:uid="{00000000-0005-0000-0000-0000F7080000}"/>
    <cellStyle name="Normal 10 2 10 10 7" xfId="2296" xr:uid="{00000000-0005-0000-0000-0000F8080000}"/>
    <cellStyle name="Normal 10 2 10 10 8" xfId="2297" xr:uid="{00000000-0005-0000-0000-0000F9080000}"/>
    <cellStyle name="Normal 10 2 10 10 9" xfId="2298" xr:uid="{00000000-0005-0000-0000-0000FA080000}"/>
    <cellStyle name="Normal 10 2 10 11" xfId="2299" xr:uid="{00000000-0005-0000-0000-0000FB080000}"/>
    <cellStyle name="Normal 10 2 10 11 10" xfId="2300" xr:uid="{00000000-0005-0000-0000-0000FC080000}"/>
    <cellStyle name="Normal 10 2 10 11 11" xfId="2301" xr:uid="{00000000-0005-0000-0000-0000FD080000}"/>
    <cellStyle name="Normal 10 2 10 11 12" xfId="2302" xr:uid="{00000000-0005-0000-0000-0000FE080000}"/>
    <cellStyle name="Normal 10 2 10 11 13" xfId="2303" xr:uid="{00000000-0005-0000-0000-0000FF080000}"/>
    <cellStyle name="Normal 10 2 10 11 14" xfId="2304" xr:uid="{00000000-0005-0000-0000-000000090000}"/>
    <cellStyle name="Normal 10 2 10 11 2" xfId="2305" xr:uid="{00000000-0005-0000-0000-000001090000}"/>
    <cellStyle name="Normal 10 2 10 11 2 10" xfId="2306" xr:uid="{00000000-0005-0000-0000-000002090000}"/>
    <cellStyle name="Normal 10 2 10 11 2 2" xfId="2307" xr:uid="{00000000-0005-0000-0000-000003090000}"/>
    <cellStyle name="Normal 10 2 10 11 2 3" xfId="2308" xr:uid="{00000000-0005-0000-0000-000004090000}"/>
    <cellStyle name="Normal 10 2 10 11 2 4" xfId="2309" xr:uid="{00000000-0005-0000-0000-000005090000}"/>
    <cellStyle name="Normal 10 2 10 11 2 5" xfId="2310" xr:uid="{00000000-0005-0000-0000-000006090000}"/>
    <cellStyle name="Normal 10 2 10 11 2 6" xfId="2311" xr:uid="{00000000-0005-0000-0000-000007090000}"/>
    <cellStyle name="Normal 10 2 10 11 2 7" xfId="2312" xr:uid="{00000000-0005-0000-0000-000008090000}"/>
    <cellStyle name="Normal 10 2 10 11 2 8" xfId="2313" xr:uid="{00000000-0005-0000-0000-000009090000}"/>
    <cellStyle name="Normal 10 2 10 11 2 9" xfId="2314" xr:uid="{00000000-0005-0000-0000-00000A090000}"/>
    <cellStyle name="Normal 10 2 10 11 3" xfId="2315" xr:uid="{00000000-0005-0000-0000-00000B090000}"/>
    <cellStyle name="Normal 10 2 10 11 3 10" xfId="2316" xr:uid="{00000000-0005-0000-0000-00000C090000}"/>
    <cellStyle name="Normal 10 2 10 11 3 2" xfId="2317" xr:uid="{00000000-0005-0000-0000-00000D090000}"/>
    <cellStyle name="Normal 10 2 10 11 3 3" xfId="2318" xr:uid="{00000000-0005-0000-0000-00000E090000}"/>
    <cellStyle name="Normal 10 2 10 11 3 4" xfId="2319" xr:uid="{00000000-0005-0000-0000-00000F090000}"/>
    <cellStyle name="Normal 10 2 10 11 3 5" xfId="2320" xr:uid="{00000000-0005-0000-0000-000010090000}"/>
    <cellStyle name="Normal 10 2 10 11 3 6" xfId="2321" xr:uid="{00000000-0005-0000-0000-000011090000}"/>
    <cellStyle name="Normal 10 2 10 11 3 7" xfId="2322" xr:uid="{00000000-0005-0000-0000-000012090000}"/>
    <cellStyle name="Normal 10 2 10 11 3 8" xfId="2323" xr:uid="{00000000-0005-0000-0000-000013090000}"/>
    <cellStyle name="Normal 10 2 10 11 3 9" xfId="2324" xr:uid="{00000000-0005-0000-0000-000014090000}"/>
    <cellStyle name="Normal 10 2 10 11 4" xfId="2325" xr:uid="{00000000-0005-0000-0000-000015090000}"/>
    <cellStyle name="Normal 10 2 10 11 4 10" xfId="2326" xr:uid="{00000000-0005-0000-0000-000016090000}"/>
    <cellStyle name="Normal 10 2 10 11 4 2" xfId="2327" xr:uid="{00000000-0005-0000-0000-000017090000}"/>
    <cellStyle name="Normal 10 2 10 11 4 3" xfId="2328" xr:uid="{00000000-0005-0000-0000-000018090000}"/>
    <cellStyle name="Normal 10 2 10 11 4 4" xfId="2329" xr:uid="{00000000-0005-0000-0000-000019090000}"/>
    <cellStyle name="Normal 10 2 10 11 4 5" xfId="2330" xr:uid="{00000000-0005-0000-0000-00001A090000}"/>
    <cellStyle name="Normal 10 2 10 11 4 6" xfId="2331" xr:uid="{00000000-0005-0000-0000-00001B090000}"/>
    <cellStyle name="Normal 10 2 10 11 4 7" xfId="2332" xr:uid="{00000000-0005-0000-0000-00001C090000}"/>
    <cellStyle name="Normal 10 2 10 11 4 8" xfId="2333" xr:uid="{00000000-0005-0000-0000-00001D090000}"/>
    <cellStyle name="Normal 10 2 10 11 4 9" xfId="2334" xr:uid="{00000000-0005-0000-0000-00001E090000}"/>
    <cellStyle name="Normal 10 2 10 11 5" xfId="2335" xr:uid="{00000000-0005-0000-0000-00001F090000}"/>
    <cellStyle name="Normal 10 2 10 11 5 10" xfId="2336" xr:uid="{00000000-0005-0000-0000-000020090000}"/>
    <cellStyle name="Normal 10 2 10 11 5 2" xfId="2337" xr:uid="{00000000-0005-0000-0000-000021090000}"/>
    <cellStyle name="Normal 10 2 10 11 5 3" xfId="2338" xr:uid="{00000000-0005-0000-0000-000022090000}"/>
    <cellStyle name="Normal 10 2 10 11 5 4" xfId="2339" xr:uid="{00000000-0005-0000-0000-000023090000}"/>
    <cellStyle name="Normal 10 2 10 11 5 5" xfId="2340" xr:uid="{00000000-0005-0000-0000-000024090000}"/>
    <cellStyle name="Normal 10 2 10 11 5 6" xfId="2341" xr:uid="{00000000-0005-0000-0000-000025090000}"/>
    <cellStyle name="Normal 10 2 10 11 5 7" xfId="2342" xr:uid="{00000000-0005-0000-0000-000026090000}"/>
    <cellStyle name="Normal 10 2 10 11 5 8" xfId="2343" xr:uid="{00000000-0005-0000-0000-000027090000}"/>
    <cellStyle name="Normal 10 2 10 11 5 9" xfId="2344" xr:uid="{00000000-0005-0000-0000-000028090000}"/>
    <cellStyle name="Normal 10 2 10 11 6" xfId="2345" xr:uid="{00000000-0005-0000-0000-000029090000}"/>
    <cellStyle name="Normal 10 2 10 11 7" xfId="2346" xr:uid="{00000000-0005-0000-0000-00002A090000}"/>
    <cellStyle name="Normal 10 2 10 11 8" xfId="2347" xr:uid="{00000000-0005-0000-0000-00002B090000}"/>
    <cellStyle name="Normal 10 2 10 11 9" xfId="2348" xr:uid="{00000000-0005-0000-0000-00002C090000}"/>
    <cellStyle name="Normal 10 2 10 12" xfId="2349" xr:uid="{00000000-0005-0000-0000-00002D090000}"/>
    <cellStyle name="Normal 10 2 10 12 10" xfId="2350" xr:uid="{00000000-0005-0000-0000-00002E090000}"/>
    <cellStyle name="Normal 10 2 10 12 11" xfId="2351" xr:uid="{00000000-0005-0000-0000-00002F090000}"/>
    <cellStyle name="Normal 10 2 10 12 12" xfId="2352" xr:uid="{00000000-0005-0000-0000-000030090000}"/>
    <cellStyle name="Normal 10 2 10 12 13" xfId="2353" xr:uid="{00000000-0005-0000-0000-000031090000}"/>
    <cellStyle name="Normal 10 2 10 12 14" xfId="2354" xr:uid="{00000000-0005-0000-0000-000032090000}"/>
    <cellStyle name="Normal 10 2 10 12 2" xfId="2355" xr:uid="{00000000-0005-0000-0000-000033090000}"/>
    <cellStyle name="Normal 10 2 10 12 2 10" xfId="2356" xr:uid="{00000000-0005-0000-0000-000034090000}"/>
    <cellStyle name="Normal 10 2 10 12 2 2" xfId="2357" xr:uid="{00000000-0005-0000-0000-000035090000}"/>
    <cellStyle name="Normal 10 2 10 12 2 3" xfId="2358" xr:uid="{00000000-0005-0000-0000-000036090000}"/>
    <cellStyle name="Normal 10 2 10 12 2 4" xfId="2359" xr:uid="{00000000-0005-0000-0000-000037090000}"/>
    <cellStyle name="Normal 10 2 10 12 2 5" xfId="2360" xr:uid="{00000000-0005-0000-0000-000038090000}"/>
    <cellStyle name="Normal 10 2 10 12 2 6" xfId="2361" xr:uid="{00000000-0005-0000-0000-000039090000}"/>
    <cellStyle name="Normal 10 2 10 12 2 7" xfId="2362" xr:uid="{00000000-0005-0000-0000-00003A090000}"/>
    <cellStyle name="Normal 10 2 10 12 2 8" xfId="2363" xr:uid="{00000000-0005-0000-0000-00003B090000}"/>
    <cellStyle name="Normal 10 2 10 12 2 9" xfId="2364" xr:uid="{00000000-0005-0000-0000-00003C090000}"/>
    <cellStyle name="Normal 10 2 10 12 3" xfId="2365" xr:uid="{00000000-0005-0000-0000-00003D090000}"/>
    <cellStyle name="Normal 10 2 10 12 3 10" xfId="2366" xr:uid="{00000000-0005-0000-0000-00003E090000}"/>
    <cellStyle name="Normal 10 2 10 12 3 2" xfId="2367" xr:uid="{00000000-0005-0000-0000-00003F090000}"/>
    <cellStyle name="Normal 10 2 10 12 3 3" xfId="2368" xr:uid="{00000000-0005-0000-0000-000040090000}"/>
    <cellStyle name="Normal 10 2 10 12 3 4" xfId="2369" xr:uid="{00000000-0005-0000-0000-000041090000}"/>
    <cellStyle name="Normal 10 2 10 12 3 5" xfId="2370" xr:uid="{00000000-0005-0000-0000-000042090000}"/>
    <cellStyle name="Normal 10 2 10 12 3 6" xfId="2371" xr:uid="{00000000-0005-0000-0000-000043090000}"/>
    <cellStyle name="Normal 10 2 10 12 3 7" xfId="2372" xr:uid="{00000000-0005-0000-0000-000044090000}"/>
    <cellStyle name="Normal 10 2 10 12 3 8" xfId="2373" xr:uid="{00000000-0005-0000-0000-000045090000}"/>
    <cellStyle name="Normal 10 2 10 12 3 9" xfId="2374" xr:uid="{00000000-0005-0000-0000-000046090000}"/>
    <cellStyle name="Normal 10 2 10 12 4" xfId="2375" xr:uid="{00000000-0005-0000-0000-000047090000}"/>
    <cellStyle name="Normal 10 2 10 12 4 10" xfId="2376" xr:uid="{00000000-0005-0000-0000-000048090000}"/>
    <cellStyle name="Normal 10 2 10 12 4 2" xfId="2377" xr:uid="{00000000-0005-0000-0000-000049090000}"/>
    <cellStyle name="Normal 10 2 10 12 4 3" xfId="2378" xr:uid="{00000000-0005-0000-0000-00004A090000}"/>
    <cellStyle name="Normal 10 2 10 12 4 4" xfId="2379" xr:uid="{00000000-0005-0000-0000-00004B090000}"/>
    <cellStyle name="Normal 10 2 10 12 4 5" xfId="2380" xr:uid="{00000000-0005-0000-0000-00004C090000}"/>
    <cellStyle name="Normal 10 2 10 12 4 6" xfId="2381" xr:uid="{00000000-0005-0000-0000-00004D090000}"/>
    <cellStyle name="Normal 10 2 10 12 4 7" xfId="2382" xr:uid="{00000000-0005-0000-0000-00004E090000}"/>
    <cellStyle name="Normal 10 2 10 12 4 8" xfId="2383" xr:uid="{00000000-0005-0000-0000-00004F090000}"/>
    <cellStyle name="Normal 10 2 10 12 4 9" xfId="2384" xr:uid="{00000000-0005-0000-0000-000050090000}"/>
    <cellStyle name="Normal 10 2 10 12 5" xfId="2385" xr:uid="{00000000-0005-0000-0000-000051090000}"/>
    <cellStyle name="Normal 10 2 10 12 5 10" xfId="2386" xr:uid="{00000000-0005-0000-0000-000052090000}"/>
    <cellStyle name="Normal 10 2 10 12 5 2" xfId="2387" xr:uid="{00000000-0005-0000-0000-000053090000}"/>
    <cellStyle name="Normal 10 2 10 12 5 3" xfId="2388" xr:uid="{00000000-0005-0000-0000-000054090000}"/>
    <cellStyle name="Normal 10 2 10 12 5 4" xfId="2389" xr:uid="{00000000-0005-0000-0000-000055090000}"/>
    <cellStyle name="Normal 10 2 10 12 5 5" xfId="2390" xr:uid="{00000000-0005-0000-0000-000056090000}"/>
    <cellStyle name="Normal 10 2 10 12 5 6" xfId="2391" xr:uid="{00000000-0005-0000-0000-000057090000}"/>
    <cellStyle name="Normal 10 2 10 12 5 7" xfId="2392" xr:uid="{00000000-0005-0000-0000-000058090000}"/>
    <cellStyle name="Normal 10 2 10 12 5 8" xfId="2393" xr:uid="{00000000-0005-0000-0000-000059090000}"/>
    <cellStyle name="Normal 10 2 10 12 5 9" xfId="2394" xr:uid="{00000000-0005-0000-0000-00005A090000}"/>
    <cellStyle name="Normal 10 2 10 12 6" xfId="2395" xr:uid="{00000000-0005-0000-0000-00005B090000}"/>
    <cellStyle name="Normal 10 2 10 12 7" xfId="2396" xr:uid="{00000000-0005-0000-0000-00005C090000}"/>
    <cellStyle name="Normal 10 2 10 12 8" xfId="2397" xr:uid="{00000000-0005-0000-0000-00005D090000}"/>
    <cellStyle name="Normal 10 2 10 12 9" xfId="2398" xr:uid="{00000000-0005-0000-0000-00005E090000}"/>
    <cellStyle name="Normal 10 2 10 13" xfId="2399" xr:uid="{00000000-0005-0000-0000-00005F090000}"/>
    <cellStyle name="Normal 10 2 10 13 10" xfId="2400" xr:uid="{00000000-0005-0000-0000-000060090000}"/>
    <cellStyle name="Normal 10 2 10 13 11" xfId="2401" xr:uid="{00000000-0005-0000-0000-000061090000}"/>
    <cellStyle name="Normal 10 2 10 13 12" xfId="2402" xr:uid="{00000000-0005-0000-0000-000062090000}"/>
    <cellStyle name="Normal 10 2 10 13 13" xfId="2403" xr:uid="{00000000-0005-0000-0000-000063090000}"/>
    <cellStyle name="Normal 10 2 10 13 14" xfId="2404" xr:uid="{00000000-0005-0000-0000-000064090000}"/>
    <cellStyle name="Normal 10 2 10 13 2" xfId="2405" xr:uid="{00000000-0005-0000-0000-000065090000}"/>
    <cellStyle name="Normal 10 2 10 13 2 10" xfId="2406" xr:uid="{00000000-0005-0000-0000-000066090000}"/>
    <cellStyle name="Normal 10 2 10 13 2 2" xfId="2407" xr:uid="{00000000-0005-0000-0000-000067090000}"/>
    <cellStyle name="Normal 10 2 10 13 2 3" xfId="2408" xr:uid="{00000000-0005-0000-0000-000068090000}"/>
    <cellStyle name="Normal 10 2 10 13 2 4" xfId="2409" xr:uid="{00000000-0005-0000-0000-000069090000}"/>
    <cellStyle name="Normal 10 2 10 13 2 5" xfId="2410" xr:uid="{00000000-0005-0000-0000-00006A090000}"/>
    <cellStyle name="Normal 10 2 10 13 2 6" xfId="2411" xr:uid="{00000000-0005-0000-0000-00006B090000}"/>
    <cellStyle name="Normal 10 2 10 13 2 7" xfId="2412" xr:uid="{00000000-0005-0000-0000-00006C090000}"/>
    <cellStyle name="Normal 10 2 10 13 2 8" xfId="2413" xr:uid="{00000000-0005-0000-0000-00006D090000}"/>
    <cellStyle name="Normal 10 2 10 13 2 9" xfId="2414" xr:uid="{00000000-0005-0000-0000-00006E090000}"/>
    <cellStyle name="Normal 10 2 10 13 3" xfId="2415" xr:uid="{00000000-0005-0000-0000-00006F090000}"/>
    <cellStyle name="Normal 10 2 10 13 3 10" xfId="2416" xr:uid="{00000000-0005-0000-0000-000070090000}"/>
    <cellStyle name="Normal 10 2 10 13 3 2" xfId="2417" xr:uid="{00000000-0005-0000-0000-000071090000}"/>
    <cellStyle name="Normal 10 2 10 13 3 3" xfId="2418" xr:uid="{00000000-0005-0000-0000-000072090000}"/>
    <cellStyle name="Normal 10 2 10 13 3 4" xfId="2419" xr:uid="{00000000-0005-0000-0000-000073090000}"/>
    <cellStyle name="Normal 10 2 10 13 3 5" xfId="2420" xr:uid="{00000000-0005-0000-0000-000074090000}"/>
    <cellStyle name="Normal 10 2 10 13 3 6" xfId="2421" xr:uid="{00000000-0005-0000-0000-000075090000}"/>
    <cellStyle name="Normal 10 2 10 13 3 7" xfId="2422" xr:uid="{00000000-0005-0000-0000-000076090000}"/>
    <cellStyle name="Normal 10 2 10 13 3 8" xfId="2423" xr:uid="{00000000-0005-0000-0000-000077090000}"/>
    <cellStyle name="Normal 10 2 10 13 3 9" xfId="2424" xr:uid="{00000000-0005-0000-0000-000078090000}"/>
    <cellStyle name="Normal 10 2 10 13 4" xfId="2425" xr:uid="{00000000-0005-0000-0000-000079090000}"/>
    <cellStyle name="Normal 10 2 10 13 4 10" xfId="2426" xr:uid="{00000000-0005-0000-0000-00007A090000}"/>
    <cellStyle name="Normal 10 2 10 13 4 2" xfId="2427" xr:uid="{00000000-0005-0000-0000-00007B090000}"/>
    <cellStyle name="Normal 10 2 10 13 4 3" xfId="2428" xr:uid="{00000000-0005-0000-0000-00007C090000}"/>
    <cellStyle name="Normal 10 2 10 13 4 4" xfId="2429" xr:uid="{00000000-0005-0000-0000-00007D090000}"/>
    <cellStyle name="Normal 10 2 10 13 4 5" xfId="2430" xr:uid="{00000000-0005-0000-0000-00007E090000}"/>
    <cellStyle name="Normal 10 2 10 13 4 6" xfId="2431" xr:uid="{00000000-0005-0000-0000-00007F090000}"/>
    <cellStyle name="Normal 10 2 10 13 4 7" xfId="2432" xr:uid="{00000000-0005-0000-0000-000080090000}"/>
    <cellStyle name="Normal 10 2 10 13 4 8" xfId="2433" xr:uid="{00000000-0005-0000-0000-000081090000}"/>
    <cellStyle name="Normal 10 2 10 13 4 9" xfId="2434" xr:uid="{00000000-0005-0000-0000-000082090000}"/>
    <cellStyle name="Normal 10 2 10 13 5" xfId="2435" xr:uid="{00000000-0005-0000-0000-000083090000}"/>
    <cellStyle name="Normal 10 2 10 13 5 10" xfId="2436" xr:uid="{00000000-0005-0000-0000-000084090000}"/>
    <cellStyle name="Normal 10 2 10 13 5 2" xfId="2437" xr:uid="{00000000-0005-0000-0000-000085090000}"/>
    <cellStyle name="Normal 10 2 10 13 5 3" xfId="2438" xr:uid="{00000000-0005-0000-0000-000086090000}"/>
    <cellStyle name="Normal 10 2 10 13 5 4" xfId="2439" xr:uid="{00000000-0005-0000-0000-000087090000}"/>
    <cellStyle name="Normal 10 2 10 13 5 5" xfId="2440" xr:uid="{00000000-0005-0000-0000-000088090000}"/>
    <cellStyle name="Normal 10 2 10 13 5 6" xfId="2441" xr:uid="{00000000-0005-0000-0000-000089090000}"/>
    <cellStyle name="Normal 10 2 10 13 5 7" xfId="2442" xr:uid="{00000000-0005-0000-0000-00008A090000}"/>
    <cellStyle name="Normal 10 2 10 13 5 8" xfId="2443" xr:uid="{00000000-0005-0000-0000-00008B090000}"/>
    <cellStyle name="Normal 10 2 10 13 5 9" xfId="2444" xr:uid="{00000000-0005-0000-0000-00008C090000}"/>
    <cellStyle name="Normal 10 2 10 13 6" xfId="2445" xr:uid="{00000000-0005-0000-0000-00008D090000}"/>
    <cellStyle name="Normal 10 2 10 13 7" xfId="2446" xr:uid="{00000000-0005-0000-0000-00008E090000}"/>
    <cellStyle name="Normal 10 2 10 13 8" xfId="2447" xr:uid="{00000000-0005-0000-0000-00008F090000}"/>
    <cellStyle name="Normal 10 2 10 13 9" xfId="2448" xr:uid="{00000000-0005-0000-0000-000090090000}"/>
    <cellStyle name="Normal 10 2 10 14" xfId="2449" xr:uid="{00000000-0005-0000-0000-000091090000}"/>
    <cellStyle name="Normal 10 2 10 14 10" xfId="2450" xr:uid="{00000000-0005-0000-0000-000092090000}"/>
    <cellStyle name="Normal 10 2 10 14 11" xfId="2451" xr:uid="{00000000-0005-0000-0000-000093090000}"/>
    <cellStyle name="Normal 10 2 10 14 12" xfId="2452" xr:uid="{00000000-0005-0000-0000-000094090000}"/>
    <cellStyle name="Normal 10 2 10 14 13" xfId="2453" xr:uid="{00000000-0005-0000-0000-000095090000}"/>
    <cellStyle name="Normal 10 2 10 14 14" xfId="2454" xr:uid="{00000000-0005-0000-0000-000096090000}"/>
    <cellStyle name="Normal 10 2 10 14 2" xfId="2455" xr:uid="{00000000-0005-0000-0000-000097090000}"/>
    <cellStyle name="Normal 10 2 10 14 2 10" xfId="2456" xr:uid="{00000000-0005-0000-0000-000098090000}"/>
    <cellStyle name="Normal 10 2 10 14 2 2" xfId="2457" xr:uid="{00000000-0005-0000-0000-000099090000}"/>
    <cellStyle name="Normal 10 2 10 14 2 3" xfId="2458" xr:uid="{00000000-0005-0000-0000-00009A090000}"/>
    <cellStyle name="Normal 10 2 10 14 2 4" xfId="2459" xr:uid="{00000000-0005-0000-0000-00009B090000}"/>
    <cellStyle name="Normal 10 2 10 14 2 5" xfId="2460" xr:uid="{00000000-0005-0000-0000-00009C090000}"/>
    <cellStyle name="Normal 10 2 10 14 2 6" xfId="2461" xr:uid="{00000000-0005-0000-0000-00009D090000}"/>
    <cellStyle name="Normal 10 2 10 14 2 7" xfId="2462" xr:uid="{00000000-0005-0000-0000-00009E090000}"/>
    <cellStyle name="Normal 10 2 10 14 2 8" xfId="2463" xr:uid="{00000000-0005-0000-0000-00009F090000}"/>
    <cellStyle name="Normal 10 2 10 14 2 9" xfId="2464" xr:uid="{00000000-0005-0000-0000-0000A0090000}"/>
    <cellStyle name="Normal 10 2 10 14 3" xfId="2465" xr:uid="{00000000-0005-0000-0000-0000A1090000}"/>
    <cellStyle name="Normal 10 2 10 14 3 10" xfId="2466" xr:uid="{00000000-0005-0000-0000-0000A2090000}"/>
    <cellStyle name="Normal 10 2 10 14 3 2" xfId="2467" xr:uid="{00000000-0005-0000-0000-0000A3090000}"/>
    <cellStyle name="Normal 10 2 10 14 3 3" xfId="2468" xr:uid="{00000000-0005-0000-0000-0000A4090000}"/>
    <cellStyle name="Normal 10 2 10 14 3 4" xfId="2469" xr:uid="{00000000-0005-0000-0000-0000A5090000}"/>
    <cellStyle name="Normal 10 2 10 14 3 5" xfId="2470" xr:uid="{00000000-0005-0000-0000-0000A6090000}"/>
    <cellStyle name="Normal 10 2 10 14 3 6" xfId="2471" xr:uid="{00000000-0005-0000-0000-0000A7090000}"/>
    <cellStyle name="Normal 10 2 10 14 3 7" xfId="2472" xr:uid="{00000000-0005-0000-0000-0000A8090000}"/>
    <cellStyle name="Normal 10 2 10 14 3 8" xfId="2473" xr:uid="{00000000-0005-0000-0000-0000A9090000}"/>
    <cellStyle name="Normal 10 2 10 14 3 9" xfId="2474" xr:uid="{00000000-0005-0000-0000-0000AA090000}"/>
    <cellStyle name="Normal 10 2 10 14 4" xfId="2475" xr:uid="{00000000-0005-0000-0000-0000AB090000}"/>
    <cellStyle name="Normal 10 2 10 14 4 10" xfId="2476" xr:uid="{00000000-0005-0000-0000-0000AC090000}"/>
    <cellStyle name="Normal 10 2 10 14 4 2" xfId="2477" xr:uid="{00000000-0005-0000-0000-0000AD090000}"/>
    <cellStyle name="Normal 10 2 10 14 4 3" xfId="2478" xr:uid="{00000000-0005-0000-0000-0000AE090000}"/>
    <cellStyle name="Normal 10 2 10 14 4 4" xfId="2479" xr:uid="{00000000-0005-0000-0000-0000AF090000}"/>
    <cellStyle name="Normal 10 2 10 14 4 5" xfId="2480" xr:uid="{00000000-0005-0000-0000-0000B0090000}"/>
    <cellStyle name="Normal 10 2 10 14 4 6" xfId="2481" xr:uid="{00000000-0005-0000-0000-0000B1090000}"/>
    <cellStyle name="Normal 10 2 10 14 4 7" xfId="2482" xr:uid="{00000000-0005-0000-0000-0000B2090000}"/>
    <cellStyle name="Normal 10 2 10 14 4 8" xfId="2483" xr:uid="{00000000-0005-0000-0000-0000B3090000}"/>
    <cellStyle name="Normal 10 2 10 14 4 9" xfId="2484" xr:uid="{00000000-0005-0000-0000-0000B4090000}"/>
    <cellStyle name="Normal 10 2 10 14 5" xfId="2485" xr:uid="{00000000-0005-0000-0000-0000B5090000}"/>
    <cellStyle name="Normal 10 2 10 14 5 10" xfId="2486" xr:uid="{00000000-0005-0000-0000-0000B6090000}"/>
    <cellStyle name="Normal 10 2 10 14 5 2" xfId="2487" xr:uid="{00000000-0005-0000-0000-0000B7090000}"/>
    <cellStyle name="Normal 10 2 10 14 5 3" xfId="2488" xr:uid="{00000000-0005-0000-0000-0000B8090000}"/>
    <cellStyle name="Normal 10 2 10 14 5 4" xfId="2489" xr:uid="{00000000-0005-0000-0000-0000B9090000}"/>
    <cellStyle name="Normal 10 2 10 14 5 5" xfId="2490" xr:uid="{00000000-0005-0000-0000-0000BA090000}"/>
    <cellStyle name="Normal 10 2 10 14 5 6" xfId="2491" xr:uid="{00000000-0005-0000-0000-0000BB090000}"/>
    <cellStyle name="Normal 10 2 10 14 5 7" xfId="2492" xr:uid="{00000000-0005-0000-0000-0000BC090000}"/>
    <cellStyle name="Normal 10 2 10 14 5 8" xfId="2493" xr:uid="{00000000-0005-0000-0000-0000BD090000}"/>
    <cellStyle name="Normal 10 2 10 14 5 9" xfId="2494" xr:uid="{00000000-0005-0000-0000-0000BE090000}"/>
    <cellStyle name="Normal 10 2 10 14 6" xfId="2495" xr:uid="{00000000-0005-0000-0000-0000BF090000}"/>
    <cellStyle name="Normal 10 2 10 14 7" xfId="2496" xr:uid="{00000000-0005-0000-0000-0000C0090000}"/>
    <cellStyle name="Normal 10 2 10 14 8" xfId="2497" xr:uid="{00000000-0005-0000-0000-0000C1090000}"/>
    <cellStyle name="Normal 10 2 10 14 9" xfId="2498" xr:uid="{00000000-0005-0000-0000-0000C2090000}"/>
    <cellStyle name="Normal 10 2 10 15" xfId="2499" xr:uid="{00000000-0005-0000-0000-0000C3090000}"/>
    <cellStyle name="Normal 10 2 10 15 10" xfId="2500" xr:uid="{00000000-0005-0000-0000-0000C4090000}"/>
    <cellStyle name="Normal 10 2 10 15 11" xfId="2501" xr:uid="{00000000-0005-0000-0000-0000C5090000}"/>
    <cellStyle name="Normal 10 2 10 15 12" xfId="2502" xr:uid="{00000000-0005-0000-0000-0000C6090000}"/>
    <cellStyle name="Normal 10 2 10 15 13" xfId="2503" xr:uid="{00000000-0005-0000-0000-0000C7090000}"/>
    <cellStyle name="Normal 10 2 10 15 14" xfId="2504" xr:uid="{00000000-0005-0000-0000-0000C8090000}"/>
    <cellStyle name="Normal 10 2 10 15 2" xfId="2505" xr:uid="{00000000-0005-0000-0000-0000C9090000}"/>
    <cellStyle name="Normal 10 2 10 15 2 10" xfId="2506" xr:uid="{00000000-0005-0000-0000-0000CA090000}"/>
    <cellStyle name="Normal 10 2 10 15 2 2" xfId="2507" xr:uid="{00000000-0005-0000-0000-0000CB090000}"/>
    <cellStyle name="Normal 10 2 10 15 2 3" xfId="2508" xr:uid="{00000000-0005-0000-0000-0000CC090000}"/>
    <cellStyle name="Normal 10 2 10 15 2 4" xfId="2509" xr:uid="{00000000-0005-0000-0000-0000CD090000}"/>
    <cellStyle name="Normal 10 2 10 15 2 5" xfId="2510" xr:uid="{00000000-0005-0000-0000-0000CE090000}"/>
    <cellStyle name="Normal 10 2 10 15 2 6" xfId="2511" xr:uid="{00000000-0005-0000-0000-0000CF090000}"/>
    <cellStyle name="Normal 10 2 10 15 2 7" xfId="2512" xr:uid="{00000000-0005-0000-0000-0000D0090000}"/>
    <cellStyle name="Normal 10 2 10 15 2 8" xfId="2513" xr:uid="{00000000-0005-0000-0000-0000D1090000}"/>
    <cellStyle name="Normal 10 2 10 15 2 9" xfId="2514" xr:uid="{00000000-0005-0000-0000-0000D2090000}"/>
    <cellStyle name="Normal 10 2 10 15 3" xfId="2515" xr:uid="{00000000-0005-0000-0000-0000D3090000}"/>
    <cellStyle name="Normal 10 2 10 15 3 10" xfId="2516" xr:uid="{00000000-0005-0000-0000-0000D4090000}"/>
    <cellStyle name="Normal 10 2 10 15 3 2" xfId="2517" xr:uid="{00000000-0005-0000-0000-0000D5090000}"/>
    <cellStyle name="Normal 10 2 10 15 3 3" xfId="2518" xr:uid="{00000000-0005-0000-0000-0000D6090000}"/>
    <cellStyle name="Normal 10 2 10 15 3 4" xfId="2519" xr:uid="{00000000-0005-0000-0000-0000D7090000}"/>
    <cellStyle name="Normal 10 2 10 15 3 5" xfId="2520" xr:uid="{00000000-0005-0000-0000-0000D8090000}"/>
    <cellStyle name="Normal 10 2 10 15 3 6" xfId="2521" xr:uid="{00000000-0005-0000-0000-0000D9090000}"/>
    <cellStyle name="Normal 10 2 10 15 3 7" xfId="2522" xr:uid="{00000000-0005-0000-0000-0000DA090000}"/>
    <cellStyle name="Normal 10 2 10 15 3 8" xfId="2523" xr:uid="{00000000-0005-0000-0000-0000DB090000}"/>
    <cellStyle name="Normal 10 2 10 15 3 9" xfId="2524" xr:uid="{00000000-0005-0000-0000-0000DC090000}"/>
    <cellStyle name="Normal 10 2 10 15 4" xfId="2525" xr:uid="{00000000-0005-0000-0000-0000DD090000}"/>
    <cellStyle name="Normal 10 2 10 15 4 10" xfId="2526" xr:uid="{00000000-0005-0000-0000-0000DE090000}"/>
    <cellStyle name="Normal 10 2 10 15 4 2" xfId="2527" xr:uid="{00000000-0005-0000-0000-0000DF090000}"/>
    <cellStyle name="Normal 10 2 10 15 4 3" xfId="2528" xr:uid="{00000000-0005-0000-0000-0000E0090000}"/>
    <cellStyle name="Normal 10 2 10 15 4 4" xfId="2529" xr:uid="{00000000-0005-0000-0000-0000E1090000}"/>
    <cellStyle name="Normal 10 2 10 15 4 5" xfId="2530" xr:uid="{00000000-0005-0000-0000-0000E2090000}"/>
    <cellStyle name="Normal 10 2 10 15 4 6" xfId="2531" xr:uid="{00000000-0005-0000-0000-0000E3090000}"/>
    <cellStyle name="Normal 10 2 10 15 4 7" xfId="2532" xr:uid="{00000000-0005-0000-0000-0000E4090000}"/>
    <cellStyle name="Normal 10 2 10 15 4 8" xfId="2533" xr:uid="{00000000-0005-0000-0000-0000E5090000}"/>
    <cellStyle name="Normal 10 2 10 15 4 9" xfId="2534" xr:uid="{00000000-0005-0000-0000-0000E6090000}"/>
    <cellStyle name="Normal 10 2 10 15 5" xfId="2535" xr:uid="{00000000-0005-0000-0000-0000E7090000}"/>
    <cellStyle name="Normal 10 2 10 15 5 10" xfId="2536" xr:uid="{00000000-0005-0000-0000-0000E8090000}"/>
    <cellStyle name="Normal 10 2 10 15 5 2" xfId="2537" xr:uid="{00000000-0005-0000-0000-0000E9090000}"/>
    <cellStyle name="Normal 10 2 10 15 5 3" xfId="2538" xr:uid="{00000000-0005-0000-0000-0000EA090000}"/>
    <cellStyle name="Normal 10 2 10 15 5 4" xfId="2539" xr:uid="{00000000-0005-0000-0000-0000EB090000}"/>
    <cellStyle name="Normal 10 2 10 15 5 5" xfId="2540" xr:uid="{00000000-0005-0000-0000-0000EC090000}"/>
    <cellStyle name="Normal 10 2 10 15 5 6" xfId="2541" xr:uid="{00000000-0005-0000-0000-0000ED090000}"/>
    <cellStyle name="Normal 10 2 10 15 5 7" xfId="2542" xr:uid="{00000000-0005-0000-0000-0000EE090000}"/>
    <cellStyle name="Normal 10 2 10 15 5 8" xfId="2543" xr:uid="{00000000-0005-0000-0000-0000EF090000}"/>
    <cellStyle name="Normal 10 2 10 15 5 9" xfId="2544" xr:uid="{00000000-0005-0000-0000-0000F0090000}"/>
    <cellStyle name="Normal 10 2 10 15 6" xfId="2545" xr:uid="{00000000-0005-0000-0000-0000F1090000}"/>
    <cellStyle name="Normal 10 2 10 15 7" xfId="2546" xr:uid="{00000000-0005-0000-0000-0000F2090000}"/>
    <cellStyle name="Normal 10 2 10 15 8" xfId="2547" xr:uid="{00000000-0005-0000-0000-0000F3090000}"/>
    <cellStyle name="Normal 10 2 10 15 9" xfId="2548" xr:uid="{00000000-0005-0000-0000-0000F4090000}"/>
    <cellStyle name="Normal 10 2 10 16" xfId="2549" xr:uid="{00000000-0005-0000-0000-0000F5090000}"/>
    <cellStyle name="Normal 10 2 10 16 10" xfId="2550" xr:uid="{00000000-0005-0000-0000-0000F6090000}"/>
    <cellStyle name="Normal 10 2 10 16 11" xfId="2551" xr:uid="{00000000-0005-0000-0000-0000F7090000}"/>
    <cellStyle name="Normal 10 2 10 16 12" xfId="2552" xr:uid="{00000000-0005-0000-0000-0000F8090000}"/>
    <cellStyle name="Normal 10 2 10 16 13" xfId="2553" xr:uid="{00000000-0005-0000-0000-0000F9090000}"/>
    <cellStyle name="Normal 10 2 10 16 14" xfId="2554" xr:uid="{00000000-0005-0000-0000-0000FA090000}"/>
    <cellStyle name="Normal 10 2 10 16 2" xfId="2555" xr:uid="{00000000-0005-0000-0000-0000FB090000}"/>
    <cellStyle name="Normal 10 2 10 16 2 10" xfId="2556" xr:uid="{00000000-0005-0000-0000-0000FC090000}"/>
    <cellStyle name="Normal 10 2 10 16 2 2" xfId="2557" xr:uid="{00000000-0005-0000-0000-0000FD090000}"/>
    <cellStyle name="Normal 10 2 10 16 2 3" xfId="2558" xr:uid="{00000000-0005-0000-0000-0000FE090000}"/>
    <cellStyle name="Normal 10 2 10 16 2 4" xfId="2559" xr:uid="{00000000-0005-0000-0000-0000FF090000}"/>
    <cellStyle name="Normal 10 2 10 16 2 5" xfId="2560" xr:uid="{00000000-0005-0000-0000-0000000A0000}"/>
    <cellStyle name="Normal 10 2 10 16 2 6" xfId="2561" xr:uid="{00000000-0005-0000-0000-0000010A0000}"/>
    <cellStyle name="Normal 10 2 10 16 2 7" xfId="2562" xr:uid="{00000000-0005-0000-0000-0000020A0000}"/>
    <cellStyle name="Normal 10 2 10 16 2 8" xfId="2563" xr:uid="{00000000-0005-0000-0000-0000030A0000}"/>
    <cellStyle name="Normal 10 2 10 16 2 9" xfId="2564" xr:uid="{00000000-0005-0000-0000-0000040A0000}"/>
    <cellStyle name="Normal 10 2 10 16 3" xfId="2565" xr:uid="{00000000-0005-0000-0000-0000050A0000}"/>
    <cellStyle name="Normal 10 2 10 16 3 10" xfId="2566" xr:uid="{00000000-0005-0000-0000-0000060A0000}"/>
    <cellStyle name="Normal 10 2 10 16 3 2" xfId="2567" xr:uid="{00000000-0005-0000-0000-0000070A0000}"/>
    <cellStyle name="Normal 10 2 10 16 3 3" xfId="2568" xr:uid="{00000000-0005-0000-0000-0000080A0000}"/>
    <cellStyle name="Normal 10 2 10 16 3 4" xfId="2569" xr:uid="{00000000-0005-0000-0000-0000090A0000}"/>
    <cellStyle name="Normal 10 2 10 16 3 5" xfId="2570" xr:uid="{00000000-0005-0000-0000-00000A0A0000}"/>
    <cellStyle name="Normal 10 2 10 16 3 6" xfId="2571" xr:uid="{00000000-0005-0000-0000-00000B0A0000}"/>
    <cellStyle name="Normal 10 2 10 16 3 7" xfId="2572" xr:uid="{00000000-0005-0000-0000-00000C0A0000}"/>
    <cellStyle name="Normal 10 2 10 16 3 8" xfId="2573" xr:uid="{00000000-0005-0000-0000-00000D0A0000}"/>
    <cellStyle name="Normal 10 2 10 16 3 9" xfId="2574" xr:uid="{00000000-0005-0000-0000-00000E0A0000}"/>
    <cellStyle name="Normal 10 2 10 16 4" xfId="2575" xr:uid="{00000000-0005-0000-0000-00000F0A0000}"/>
    <cellStyle name="Normal 10 2 10 16 4 10" xfId="2576" xr:uid="{00000000-0005-0000-0000-0000100A0000}"/>
    <cellStyle name="Normal 10 2 10 16 4 2" xfId="2577" xr:uid="{00000000-0005-0000-0000-0000110A0000}"/>
    <cellStyle name="Normal 10 2 10 16 4 3" xfId="2578" xr:uid="{00000000-0005-0000-0000-0000120A0000}"/>
    <cellStyle name="Normal 10 2 10 16 4 4" xfId="2579" xr:uid="{00000000-0005-0000-0000-0000130A0000}"/>
    <cellStyle name="Normal 10 2 10 16 4 5" xfId="2580" xr:uid="{00000000-0005-0000-0000-0000140A0000}"/>
    <cellStyle name="Normal 10 2 10 16 4 6" xfId="2581" xr:uid="{00000000-0005-0000-0000-0000150A0000}"/>
    <cellStyle name="Normal 10 2 10 16 4 7" xfId="2582" xr:uid="{00000000-0005-0000-0000-0000160A0000}"/>
    <cellStyle name="Normal 10 2 10 16 4 8" xfId="2583" xr:uid="{00000000-0005-0000-0000-0000170A0000}"/>
    <cellStyle name="Normal 10 2 10 16 4 9" xfId="2584" xr:uid="{00000000-0005-0000-0000-0000180A0000}"/>
    <cellStyle name="Normal 10 2 10 16 5" xfId="2585" xr:uid="{00000000-0005-0000-0000-0000190A0000}"/>
    <cellStyle name="Normal 10 2 10 16 5 10" xfId="2586" xr:uid="{00000000-0005-0000-0000-00001A0A0000}"/>
    <cellStyle name="Normal 10 2 10 16 5 2" xfId="2587" xr:uid="{00000000-0005-0000-0000-00001B0A0000}"/>
    <cellStyle name="Normal 10 2 10 16 5 3" xfId="2588" xr:uid="{00000000-0005-0000-0000-00001C0A0000}"/>
    <cellStyle name="Normal 10 2 10 16 5 4" xfId="2589" xr:uid="{00000000-0005-0000-0000-00001D0A0000}"/>
    <cellStyle name="Normal 10 2 10 16 5 5" xfId="2590" xr:uid="{00000000-0005-0000-0000-00001E0A0000}"/>
    <cellStyle name="Normal 10 2 10 16 5 6" xfId="2591" xr:uid="{00000000-0005-0000-0000-00001F0A0000}"/>
    <cellStyle name="Normal 10 2 10 16 5 7" xfId="2592" xr:uid="{00000000-0005-0000-0000-0000200A0000}"/>
    <cellStyle name="Normal 10 2 10 16 5 8" xfId="2593" xr:uid="{00000000-0005-0000-0000-0000210A0000}"/>
    <cellStyle name="Normal 10 2 10 16 5 9" xfId="2594" xr:uid="{00000000-0005-0000-0000-0000220A0000}"/>
    <cellStyle name="Normal 10 2 10 16 6" xfId="2595" xr:uid="{00000000-0005-0000-0000-0000230A0000}"/>
    <cellStyle name="Normal 10 2 10 16 7" xfId="2596" xr:uid="{00000000-0005-0000-0000-0000240A0000}"/>
    <cellStyle name="Normal 10 2 10 16 8" xfId="2597" xr:uid="{00000000-0005-0000-0000-0000250A0000}"/>
    <cellStyle name="Normal 10 2 10 16 9" xfId="2598" xr:uid="{00000000-0005-0000-0000-0000260A0000}"/>
    <cellStyle name="Normal 10 2 10 17" xfId="2599" xr:uid="{00000000-0005-0000-0000-0000270A0000}"/>
    <cellStyle name="Normal 10 2 10 17 10" xfId="2600" xr:uid="{00000000-0005-0000-0000-0000280A0000}"/>
    <cellStyle name="Normal 10 2 10 17 11" xfId="2601" xr:uid="{00000000-0005-0000-0000-0000290A0000}"/>
    <cellStyle name="Normal 10 2 10 17 12" xfId="2602" xr:uid="{00000000-0005-0000-0000-00002A0A0000}"/>
    <cellStyle name="Normal 10 2 10 17 13" xfId="2603" xr:uid="{00000000-0005-0000-0000-00002B0A0000}"/>
    <cellStyle name="Normal 10 2 10 17 14" xfId="2604" xr:uid="{00000000-0005-0000-0000-00002C0A0000}"/>
    <cellStyle name="Normal 10 2 10 17 2" xfId="2605" xr:uid="{00000000-0005-0000-0000-00002D0A0000}"/>
    <cellStyle name="Normal 10 2 10 17 2 10" xfId="2606" xr:uid="{00000000-0005-0000-0000-00002E0A0000}"/>
    <cellStyle name="Normal 10 2 10 17 2 2" xfId="2607" xr:uid="{00000000-0005-0000-0000-00002F0A0000}"/>
    <cellStyle name="Normal 10 2 10 17 2 3" xfId="2608" xr:uid="{00000000-0005-0000-0000-0000300A0000}"/>
    <cellStyle name="Normal 10 2 10 17 2 4" xfId="2609" xr:uid="{00000000-0005-0000-0000-0000310A0000}"/>
    <cellStyle name="Normal 10 2 10 17 2 5" xfId="2610" xr:uid="{00000000-0005-0000-0000-0000320A0000}"/>
    <cellStyle name="Normal 10 2 10 17 2 6" xfId="2611" xr:uid="{00000000-0005-0000-0000-0000330A0000}"/>
    <cellStyle name="Normal 10 2 10 17 2 7" xfId="2612" xr:uid="{00000000-0005-0000-0000-0000340A0000}"/>
    <cellStyle name="Normal 10 2 10 17 2 8" xfId="2613" xr:uid="{00000000-0005-0000-0000-0000350A0000}"/>
    <cellStyle name="Normal 10 2 10 17 2 9" xfId="2614" xr:uid="{00000000-0005-0000-0000-0000360A0000}"/>
    <cellStyle name="Normal 10 2 10 17 3" xfId="2615" xr:uid="{00000000-0005-0000-0000-0000370A0000}"/>
    <cellStyle name="Normal 10 2 10 17 3 10" xfId="2616" xr:uid="{00000000-0005-0000-0000-0000380A0000}"/>
    <cellStyle name="Normal 10 2 10 17 3 2" xfId="2617" xr:uid="{00000000-0005-0000-0000-0000390A0000}"/>
    <cellStyle name="Normal 10 2 10 17 3 3" xfId="2618" xr:uid="{00000000-0005-0000-0000-00003A0A0000}"/>
    <cellStyle name="Normal 10 2 10 17 3 4" xfId="2619" xr:uid="{00000000-0005-0000-0000-00003B0A0000}"/>
    <cellStyle name="Normal 10 2 10 17 3 5" xfId="2620" xr:uid="{00000000-0005-0000-0000-00003C0A0000}"/>
    <cellStyle name="Normal 10 2 10 17 3 6" xfId="2621" xr:uid="{00000000-0005-0000-0000-00003D0A0000}"/>
    <cellStyle name="Normal 10 2 10 17 3 7" xfId="2622" xr:uid="{00000000-0005-0000-0000-00003E0A0000}"/>
    <cellStyle name="Normal 10 2 10 17 3 8" xfId="2623" xr:uid="{00000000-0005-0000-0000-00003F0A0000}"/>
    <cellStyle name="Normal 10 2 10 17 3 9" xfId="2624" xr:uid="{00000000-0005-0000-0000-0000400A0000}"/>
    <cellStyle name="Normal 10 2 10 17 4" xfId="2625" xr:uid="{00000000-0005-0000-0000-0000410A0000}"/>
    <cellStyle name="Normal 10 2 10 17 4 10" xfId="2626" xr:uid="{00000000-0005-0000-0000-0000420A0000}"/>
    <cellStyle name="Normal 10 2 10 17 4 2" xfId="2627" xr:uid="{00000000-0005-0000-0000-0000430A0000}"/>
    <cellStyle name="Normal 10 2 10 17 4 3" xfId="2628" xr:uid="{00000000-0005-0000-0000-0000440A0000}"/>
    <cellStyle name="Normal 10 2 10 17 4 4" xfId="2629" xr:uid="{00000000-0005-0000-0000-0000450A0000}"/>
    <cellStyle name="Normal 10 2 10 17 4 5" xfId="2630" xr:uid="{00000000-0005-0000-0000-0000460A0000}"/>
    <cellStyle name="Normal 10 2 10 17 4 6" xfId="2631" xr:uid="{00000000-0005-0000-0000-0000470A0000}"/>
    <cellStyle name="Normal 10 2 10 17 4 7" xfId="2632" xr:uid="{00000000-0005-0000-0000-0000480A0000}"/>
    <cellStyle name="Normal 10 2 10 17 4 8" xfId="2633" xr:uid="{00000000-0005-0000-0000-0000490A0000}"/>
    <cellStyle name="Normal 10 2 10 17 4 9" xfId="2634" xr:uid="{00000000-0005-0000-0000-00004A0A0000}"/>
    <cellStyle name="Normal 10 2 10 17 5" xfId="2635" xr:uid="{00000000-0005-0000-0000-00004B0A0000}"/>
    <cellStyle name="Normal 10 2 10 17 5 10" xfId="2636" xr:uid="{00000000-0005-0000-0000-00004C0A0000}"/>
    <cellStyle name="Normal 10 2 10 17 5 2" xfId="2637" xr:uid="{00000000-0005-0000-0000-00004D0A0000}"/>
    <cellStyle name="Normal 10 2 10 17 5 3" xfId="2638" xr:uid="{00000000-0005-0000-0000-00004E0A0000}"/>
    <cellStyle name="Normal 10 2 10 17 5 4" xfId="2639" xr:uid="{00000000-0005-0000-0000-00004F0A0000}"/>
    <cellStyle name="Normal 10 2 10 17 5 5" xfId="2640" xr:uid="{00000000-0005-0000-0000-0000500A0000}"/>
    <cellStyle name="Normal 10 2 10 17 5 6" xfId="2641" xr:uid="{00000000-0005-0000-0000-0000510A0000}"/>
    <cellStyle name="Normal 10 2 10 17 5 7" xfId="2642" xr:uid="{00000000-0005-0000-0000-0000520A0000}"/>
    <cellStyle name="Normal 10 2 10 17 5 8" xfId="2643" xr:uid="{00000000-0005-0000-0000-0000530A0000}"/>
    <cellStyle name="Normal 10 2 10 17 5 9" xfId="2644" xr:uid="{00000000-0005-0000-0000-0000540A0000}"/>
    <cellStyle name="Normal 10 2 10 17 6" xfId="2645" xr:uid="{00000000-0005-0000-0000-0000550A0000}"/>
    <cellStyle name="Normal 10 2 10 17 7" xfId="2646" xr:uid="{00000000-0005-0000-0000-0000560A0000}"/>
    <cellStyle name="Normal 10 2 10 17 8" xfId="2647" xr:uid="{00000000-0005-0000-0000-0000570A0000}"/>
    <cellStyle name="Normal 10 2 10 17 9" xfId="2648" xr:uid="{00000000-0005-0000-0000-0000580A0000}"/>
    <cellStyle name="Normal 10 2 10 18" xfId="2649" xr:uid="{00000000-0005-0000-0000-0000590A0000}"/>
    <cellStyle name="Normal 10 2 10 18 10" xfId="2650" xr:uid="{00000000-0005-0000-0000-00005A0A0000}"/>
    <cellStyle name="Normal 10 2 10 18 11" xfId="2651" xr:uid="{00000000-0005-0000-0000-00005B0A0000}"/>
    <cellStyle name="Normal 10 2 10 18 12" xfId="2652" xr:uid="{00000000-0005-0000-0000-00005C0A0000}"/>
    <cellStyle name="Normal 10 2 10 18 13" xfId="2653" xr:uid="{00000000-0005-0000-0000-00005D0A0000}"/>
    <cellStyle name="Normal 10 2 10 18 14" xfId="2654" xr:uid="{00000000-0005-0000-0000-00005E0A0000}"/>
    <cellStyle name="Normal 10 2 10 18 2" xfId="2655" xr:uid="{00000000-0005-0000-0000-00005F0A0000}"/>
    <cellStyle name="Normal 10 2 10 18 2 10" xfId="2656" xr:uid="{00000000-0005-0000-0000-0000600A0000}"/>
    <cellStyle name="Normal 10 2 10 18 2 2" xfId="2657" xr:uid="{00000000-0005-0000-0000-0000610A0000}"/>
    <cellStyle name="Normal 10 2 10 18 2 3" xfId="2658" xr:uid="{00000000-0005-0000-0000-0000620A0000}"/>
    <cellStyle name="Normal 10 2 10 18 2 4" xfId="2659" xr:uid="{00000000-0005-0000-0000-0000630A0000}"/>
    <cellStyle name="Normal 10 2 10 18 2 5" xfId="2660" xr:uid="{00000000-0005-0000-0000-0000640A0000}"/>
    <cellStyle name="Normal 10 2 10 18 2 6" xfId="2661" xr:uid="{00000000-0005-0000-0000-0000650A0000}"/>
    <cellStyle name="Normal 10 2 10 18 2 7" xfId="2662" xr:uid="{00000000-0005-0000-0000-0000660A0000}"/>
    <cellStyle name="Normal 10 2 10 18 2 8" xfId="2663" xr:uid="{00000000-0005-0000-0000-0000670A0000}"/>
    <cellStyle name="Normal 10 2 10 18 2 9" xfId="2664" xr:uid="{00000000-0005-0000-0000-0000680A0000}"/>
    <cellStyle name="Normal 10 2 10 18 3" xfId="2665" xr:uid="{00000000-0005-0000-0000-0000690A0000}"/>
    <cellStyle name="Normal 10 2 10 18 3 10" xfId="2666" xr:uid="{00000000-0005-0000-0000-00006A0A0000}"/>
    <cellStyle name="Normal 10 2 10 18 3 2" xfId="2667" xr:uid="{00000000-0005-0000-0000-00006B0A0000}"/>
    <cellStyle name="Normal 10 2 10 18 3 3" xfId="2668" xr:uid="{00000000-0005-0000-0000-00006C0A0000}"/>
    <cellStyle name="Normal 10 2 10 18 3 4" xfId="2669" xr:uid="{00000000-0005-0000-0000-00006D0A0000}"/>
    <cellStyle name="Normal 10 2 10 18 3 5" xfId="2670" xr:uid="{00000000-0005-0000-0000-00006E0A0000}"/>
    <cellStyle name="Normal 10 2 10 18 3 6" xfId="2671" xr:uid="{00000000-0005-0000-0000-00006F0A0000}"/>
    <cellStyle name="Normal 10 2 10 18 3 7" xfId="2672" xr:uid="{00000000-0005-0000-0000-0000700A0000}"/>
    <cellStyle name="Normal 10 2 10 18 3 8" xfId="2673" xr:uid="{00000000-0005-0000-0000-0000710A0000}"/>
    <cellStyle name="Normal 10 2 10 18 3 9" xfId="2674" xr:uid="{00000000-0005-0000-0000-0000720A0000}"/>
    <cellStyle name="Normal 10 2 10 18 4" xfId="2675" xr:uid="{00000000-0005-0000-0000-0000730A0000}"/>
    <cellStyle name="Normal 10 2 10 18 4 10" xfId="2676" xr:uid="{00000000-0005-0000-0000-0000740A0000}"/>
    <cellStyle name="Normal 10 2 10 18 4 2" xfId="2677" xr:uid="{00000000-0005-0000-0000-0000750A0000}"/>
    <cellStyle name="Normal 10 2 10 18 4 3" xfId="2678" xr:uid="{00000000-0005-0000-0000-0000760A0000}"/>
    <cellStyle name="Normal 10 2 10 18 4 4" xfId="2679" xr:uid="{00000000-0005-0000-0000-0000770A0000}"/>
    <cellStyle name="Normal 10 2 10 18 4 5" xfId="2680" xr:uid="{00000000-0005-0000-0000-0000780A0000}"/>
    <cellStyle name="Normal 10 2 10 18 4 6" xfId="2681" xr:uid="{00000000-0005-0000-0000-0000790A0000}"/>
    <cellStyle name="Normal 10 2 10 18 4 7" xfId="2682" xr:uid="{00000000-0005-0000-0000-00007A0A0000}"/>
    <cellStyle name="Normal 10 2 10 18 4 8" xfId="2683" xr:uid="{00000000-0005-0000-0000-00007B0A0000}"/>
    <cellStyle name="Normal 10 2 10 18 4 9" xfId="2684" xr:uid="{00000000-0005-0000-0000-00007C0A0000}"/>
    <cellStyle name="Normal 10 2 10 18 5" xfId="2685" xr:uid="{00000000-0005-0000-0000-00007D0A0000}"/>
    <cellStyle name="Normal 10 2 10 18 5 10" xfId="2686" xr:uid="{00000000-0005-0000-0000-00007E0A0000}"/>
    <cellStyle name="Normal 10 2 10 18 5 2" xfId="2687" xr:uid="{00000000-0005-0000-0000-00007F0A0000}"/>
    <cellStyle name="Normal 10 2 10 18 5 3" xfId="2688" xr:uid="{00000000-0005-0000-0000-0000800A0000}"/>
    <cellStyle name="Normal 10 2 10 18 5 4" xfId="2689" xr:uid="{00000000-0005-0000-0000-0000810A0000}"/>
    <cellStyle name="Normal 10 2 10 18 5 5" xfId="2690" xr:uid="{00000000-0005-0000-0000-0000820A0000}"/>
    <cellStyle name="Normal 10 2 10 18 5 6" xfId="2691" xr:uid="{00000000-0005-0000-0000-0000830A0000}"/>
    <cellStyle name="Normal 10 2 10 18 5 7" xfId="2692" xr:uid="{00000000-0005-0000-0000-0000840A0000}"/>
    <cellStyle name="Normal 10 2 10 18 5 8" xfId="2693" xr:uid="{00000000-0005-0000-0000-0000850A0000}"/>
    <cellStyle name="Normal 10 2 10 18 5 9" xfId="2694" xr:uid="{00000000-0005-0000-0000-0000860A0000}"/>
    <cellStyle name="Normal 10 2 10 18 6" xfId="2695" xr:uid="{00000000-0005-0000-0000-0000870A0000}"/>
    <cellStyle name="Normal 10 2 10 18 7" xfId="2696" xr:uid="{00000000-0005-0000-0000-0000880A0000}"/>
    <cellStyle name="Normal 10 2 10 18 8" xfId="2697" xr:uid="{00000000-0005-0000-0000-0000890A0000}"/>
    <cellStyle name="Normal 10 2 10 18 9" xfId="2698" xr:uid="{00000000-0005-0000-0000-00008A0A0000}"/>
    <cellStyle name="Normal 10 2 10 19" xfId="2699" xr:uid="{00000000-0005-0000-0000-00008B0A0000}"/>
    <cellStyle name="Normal 10 2 10 19 10" xfId="2700" xr:uid="{00000000-0005-0000-0000-00008C0A0000}"/>
    <cellStyle name="Normal 10 2 10 19 11" xfId="2701" xr:uid="{00000000-0005-0000-0000-00008D0A0000}"/>
    <cellStyle name="Normal 10 2 10 19 12" xfId="2702" xr:uid="{00000000-0005-0000-0000-00008E0A0000}"/>
    <cellStyle name="Normal 10 2 10 19 13" xfId="2703" xr:uid="{00000000-0005-0000-0000-00008F0A0000}"/>
    <cellStyle name="Normal 10 2 10 19 14" xfId="2704" xr:uid="{00000000-0005-0000-0000-0000900A0000}"/>
    <cellStyle name="Normal 10 2 10 19 2" xfId="2705" xr:uid="{00000000-0005-0000-0000-0000910A0000}"/>
    <cellStyle name="Normal 10 2 10 19 2 10" xfId="2706" xr:uid="{00000000-0005-0000-0000-0000920A0000}"/>
    <cellStyle name="Normal 10 2 10 19 2 2" xfId="2707" xr:uid="{00000000-0005-0000-0000-0000930A0000}"/>
    <cellStyle name="Normal 10 2 10 19 2 3" xfId="2708" xr:uid="{00000000-0005-0000-0000-0000940A0000}"/>
    <cellStyle name="Normal 10 2 10 19 2 4" xfId="2709" xr:uid="{00000000-0005-0000-0000-0000950A0000}"/>
    <cellStyle name="Normal 10 2 10 19 2 5" xfId="2710" xr:uid="{00000000-0005-0000-0000-0000960A0000}"/>
    <cellStyle name="Normal 10 2 10 19 2 6" xfId="2711" xr:uid="{00000000-0005-0000-0000-0000970A0000}"/>
    <cellStyle name="Normal 10 2 10 19 2 7" xfId="2712" xr:uid="{00000000-0005-0000-0000-0000980A0000}"/>
    <cellStyle name="Normal 10 2 10 19 2 8" xfId="2713" xr:uid="{00000000-0005-0000-0000-0000990A0000}"/>
    <cellStyle name="Normal 10 2 10 19 2 9" xfId="2714" xr:uid="{00000000-0005-0000-0000-00009A0A0000}"/>
    <cellStyle name="Normal 10 2 10 19 3" xfId="2715" xr:uid="{00000000-0005-0000-0000-00009B0A0000}"/>
    <cellStyle name="Normal 10 2 10 19 3 10" xfId="2716" xr:uid="{00000000-0005-0000-0000-00009C0A0000}"/>
    <cellStyle name="Normal 10 2 10 19 3 2" xfId="2717" xr:uid="{00000000-0005-0000-0000-00009D0A0000}"/>
    <cellStyle name="Normal 10 2 10 19 3 3" xfId="2718" xr:uid="{00000000-0005-0000-0000-00009E0A0000}"/>
    <cellStyle name="Normal 10 2 10 19 3 4" xfId="2719" xr:uid="{00000000-0005-0000-0000-00009F0A0000}"/>
    <cellStyle name="Normal 10 2 10 19 3 5" xfId="2720" xr:uid="{00000000-0005-0000-0000-0000A00A0000}"/>
    <cellStyle name="Normal 10 2 10 19 3 6" xfId="2721" xr:uid="{00000000-0005-0000-0000-0000A10A0000}"/>
    <cellStyle name="Normal 10 2 10 19 3 7" xfId="2722" xr:uid="{00000000-0005-0000-0000-0000A20A0000}"/>
    <cellStyle name="Normal 10 2 10 19 3 8" xfId="2723" xr:uid="{00000000-0005-0000-0000-0000A30A0000}"/>
    <cellStyle name="Normal 10 2 10 19 3 9" xfId="2724" xr:uid="{00000000-0005-0000-0000-0000A40A0000}"/>
    <cellStyle name="Normal 10 2 10 19 4" xfId="2725" xr:uid="{00000000-0005-0000-0000-0000A50A0000}"/>
    <cellStyle name="Normal 10 2 10 19 4 10" xfId="2726" xr:uid="{00000000-0005-0000-0000-0000A60A0000}"/>
    <cellStyle name="Normal 10 2 10 19 4 2" xfId="2727" xr:uid="{00000000-0005-0000-0000-0000A70A0000}"/>
    <cellStyle name="Normal 10 2 10 19 4 3" xfId="2728" xr:uid="{00000000-0005-0000-0000-0000A80A0000}"/>
    <cellStyle name="Normal 10 2 10 19 4 4" xfId="2729" xr:uid="{00000000-0005-0000-0000-0000A90A0000}"/>
    <cellStyle name="Normal 10 2 10 19 4 5" xfId="2730" xr:uid="{00000000-0005-0000-0000-0000AA0A0000}"/>
    <cellStyle name="Normal 10 2 10 19 4 6" xfId="2731" xr:uid="{00000000-0005-0000-0000-0000AB0A0000}"/>
    <cellStyle name="Normal 10 2 10 19 4 7" xfId="2732" xr:uid="{00000000-0005-0000-0000-0000AC0A0000}"/>
    <cellStyle name="Normal 10 2 10 19 4 8" xfId="2733" xr:uid="{00000000-0005-0000-0000-0000AD0A0000}"/>
    <cellStyle name="Normal 10 2 10 19 4 9" xfId="2734" xr:uid="{00000000-0005-0000-0000-0000AE0A0000}"/>
    <cellStyle name="Normal 10 2 10 19 5" xfId="2735" xr:uid="{00000000-0005-0000-0000-0000AF0A0000}"/>
    <cellStyle name="Normal 10 2 10 19 5 10" xfId="2736" xr:uid="{00000000-0005-0000-0000-0000B00A0000}"/>
    <cellStyle name="Normal 10 2 10 19 5 2" xfId="2737" xr:uid="{00000000-0005-0000-0000-0000B10A0000}"/>
    <cellStyle name="Normal 10 2 10 19 5 3" xfId="2738" xr:uid="{00000000-0005-0000-0000-0000B20A0000}"/>
    <cellStyle name="Normal 10 2 10 19 5 4" xfId="2739" xr:uid="{00000000-0005-0000-0000-0000B30A0000}"/>
    <cellStyle name="Normal 10 2 10 19 5 5" xfId="2740" xr:uid="{00000000-0005-0000-0000-0000B40A0000}"/>
    <cellStyle name="Normal 10 2 10 19 5 6" xfId="2741" xr:uid="{00000000-0005-0000-0000-0000B50A0000}"/>
    <cellStyle name="Normal 10 2 10 19 5 7" xfId="2742" xr:uid="{00000000-0005-0000-0000-0000B60A0000}"/>
    <cellStyle name="Normal 10 2 10 19 5 8" xfId="2743" xr:uid="{00000000-0005-0000-0000-0000B70A0000}"/>
    <cellStyle name="Normal 10 2 10 19 5 9" xfId="2744" xr:uid="{00000000-0005-0000-0000-0000B80A0000}"/>
    <cellStyle name="Normal 10 2 10 19 6" xfId="2745" xr:uid="{00000000-0005-0000-0000-0000B90A0000}"/>
    <cellStyle name="Normal 10 2 10 19 7" xfId="2746" xr:uid="{00000000-0005-0000-0000-0000BA0A0000}"/>
    <cellStyle name="Normal 10 2 10 19 8" xfId="2747" xr:uid="{00000000-0005-0000-0000-0000BB0A0000}"/>
    <cellStyle name="Normal 10 2 10 19 9" xfId="2748" xr:uid="{00000000-0005-0000-0000-0000BC0A0000}"/>
    <cellStyle name="Normal 10 2 10 2" xfId="49" xr:uid="{00000000-0005-0000-0000-000031000000}"/>
    <cellStyle name="Normal 10 2 10 2 10" xfId="2750" xr:uid="{00000000-0005-0000-0000-0000BE0A0000}"/>
    <cellStyle name="Normal 10 2 10 2 10 10" xfId="2751" xr:uid="{00000000-0005-0000-0000-0000BF0A0000}"/>
    <cellStyle name="Normal 10 2 10 2 10 11" xfId="2752" xr:uid="{00000000-0005-0000-0000-0000C00A0000}"/>
    <cellStyle name="Normal 10 2 10 2 10 12" xfId="2753" xr:uid="{00000000-0005-0000-0000-0000C10A0000}"/>
    <cellStyle name="Normal 10 2 10 2 10 13" xfId="2754" xr:uid="{00000000-0005-0000-0000-0000C20A0000}"/>
    <cellStyle name="Normal 10 2 10 2 10 14" xfId="2755" xr:uid="{00000000-0005-0000-0000-0000C30A0000}"/>
    <cellStyle name="Normal 10 2 10 2 10 2" xfId="2756" xr:uid="{00000000-0005-0000-0000-0000C40A0000}"/>
    <cellStyle name="Normal 10 2 10 2 10 2 10" xfId="2757" xr:uid="{00000000-0005-0000-0000-0000C50A0000}"/>
    <cellStyle name="Normal 10 2 10 2 10 2 2" xfId="2758" xr:uid="{00000000-0005-0000-0000-0000C60A0000}"/>
    <cellStyle name="Normal 10 2 10 2 10 2 3" xfId="2759" xr:uid="{00000000-0005-0000-0000-0000C70A0000}"/>
    <cellStyle name="Normal 10 2 10 2 10 2 4" xfId="2760" xr:uid="{00000000-0005-0000-0000-0000C80A0000}"/>
    <cellStyle name="Normal 10 2 10 2 10 2 5" xfId="2761" xr:uid="{00000000-0005-0000-0000-0000C90A0000}"/>
    <cellStyle name="Normal 10 2 10 2 10 2 6" xfId="2762" xr:uid="{00000000-0005-0000-0000-0000CA0A0000}"/>
    <cellStyle name="Normal 10 2 10 2 10 2 7" xfId="2763" xr:uid="{00000000-0005-0000-0000-0000CB0A0000}"/>
    <cellStyle name="Normal 10 2 10 2 10 2 8" xfId="2764" xr:uid="{00000000-0005-0000-0000-0000CC0A0000}"/>
    <cellStyle name="Normal 10 2 10 2 10 2 9" xfId="2765" xr:uid="{00000000-0005-0000-0000-0000CD0A0000}"/>
    <cellStyle name="Normal 10 2 10 2 10 3" xfId="2766" xr:uid="{00000000-0005-0000-0000-0000CE0A0000}"/>
    <cellStyle name="Normal 10 2 10 2 10 3 10" xfId="2767" xr:uid="{00000000-0005-0000-0000-0000CF0A0000}"/>
    <cellStyle name="Normal 10 2 10 2 10 3 2" xfId="2768" xr:uid="{00000000-0005-0000-0000-0000D00A0000}"/>
    <cellStyle name="Normal 10 2 10 2 10 3 3" xfId="2769" xr:uid="{00000000-0005-0000-0000-0000D10A0000}"/>
    <cellStyle name="Normal 10 2 10 2 10 3 4" xfId="2770" xr:uid="{00000000-0005-0000-0000-0000D20A0000}"/>
    <cellStyle name="Normal 10 2 10 2 10 3 5" xfId="2771" xr:uid="{00000000-0005-0000-0000-0000D30A0000}"/>
    <cellStyle name="Normal 10 2 10 2 10 3 6" xfId="2772" xr:uid="{00000000-0005-0000-0000-0000D40A0000}"/>
    <cellStyle name="Normal 10 2 10 2 10 3 7" xfId="2773" xr:uid="{00000000-0005-0000-0000-0000D50A0000}"/>
    <cellStyle name="Normal 10 2 10 2 10 3 8" xfId="2774" xr:uid="{00000000-0005-0000-0000-0000D60A0000}"/>
    <cellStyle name="Normal 10 2 10 2 10 3 9" xfId="2775" xr:uid="{00000000-0005-0000-0000-0000D70A0000}"/>
    <cellStyle name="Normal 10 2 10 2 10 4" xfId="2776" xr:uid="{00000000-0005-0000-0000-0000D80A0000}"/>
    <cellStyle name="Normal 10 2 10 2 10 4 10" xfId="2777" xr:uid="{00000000-0005-0000-0000-0000D90A0000}"/>
    <cellStyle name="Normal 10 2 10 2 10 4 2" xfId="2778" xr:uid="{00000000-0005-0000-0000-0000DA0A0000}"/>
    <cellStyle name="Normal 10 2 10 2 10 4 3" xfId="2779" xr:uid="{00000000-0005-0000-0000-0000DB0A0000}"/>
    <cellStyle name="Normal 10 2 10 2 10 4 4" xfId="2780" xr:uid="{00000000-0005-0000-0000-0000DC0A0000}"/>
    <cellStyle name="Normal 10 2 10 2 10 4 5" xfId="2781" xr:uid="{00000000-0005-0000-0000-0000DD0A0000}"/>
    <cellStyle name="Normal 10 2 10 2 10 4 6" xfId="2782" xr:uid="{00000000-0005-0000-0000-0000DE0A0000}"/>
    <cellStyle name="Normal 10 2 10 2 10 4 7" xfId="2783" xr:uid="{00000000-0005-0000-0000-0000DF0A0000}"/>
    <cellStyle name="Normal 10 2 10 2 10 4 8" xfId="2784" xr:uid="{00000000-0005-0000-0000-0000E00A0000}"/>
    <cellStyle name="Normal 10 2 10 2 10 4 9" xfId="2785" xr:uid="{00000000-0005-0000-0000-0000E10A0000}"/>
    <cellStyle name="Normal 10 2 10 2 10 5" xfId="2786" xr:uid="{00000000-0005-0000-0000-0000E20A0000}"/>
    <cellStyle name="Normal 10 2 10 2 10 5 10" xfId="2787" xr:uid="{00000000-0005-0000-0000-0000E30A0000}"/>
    <cellStyle name="Normal 10 2 10 2 10 5 2" xfId="2788" xr:uid="{00000000-0005-0000-0000-0000E40A0000}"/>
    <cellStyle name="Normal 10 2 10 2 10 5 3" xfId="2789" xr:uid="{00000000-0005-0000-0000-0000E50A0000}"/>
    <cellStyle name="Normal 10 2 10 2 10 5 4" xfId="2790" xr:uid="{00000000-0005-0000-0000-0000E60A0000}"/>
    <cellStyle name="Normal 10 2 10 2 10 5 5" xfId="2791" xr:uid="{00000000-0005-0000-0000-0000E70A0000}"/>
    <cellStyle name="Normal 10 2 10 2 10 5 6" xfId="2792" xr:uid="{00000000-0005-0000-0000-0000E80A0000}"/>
    <cellStyle name="Normal 10 2 10 2 10 5 7" xfId="2793" xr:uid="{00000000-0005-0000-0000-0000E90A0000}"/>
    <cellStyle name="Normal 10 2 10 2 10 5 8" xfId="2794" xr:uid="{00000000-0005-0000-0000-0000EA0A0000}"/>
    <cellStyle name="Normal 10 2 10 2 10 5 9" xfId="2795" xr:uid="{00000000-0005-0000-0000-0000EB0A0000}"/>
    <cellStyle name="Normal 10 2 10 2 10 6" xfId="2796" xr:uid="{00000000-0005-0000-0000-0000EC0A0000}"/>
    <cellStyle name="Normal 10 2 10 2 10 7" xfId="2797" xr:uid="{00000000-0005-0000-0000-0000ED0A0000}"/>
    <cellStyle name="Normal 10 2 10 2 10 8" xfId="2798" xr:uid="{00000000-0005-0000-0000-0000EE0A0000}"/>
    <cellStyle name="Normal 10 2 10 2 10 9" xfId="2799" xr:uid="{00000000-0005-0000-0000-0000EF0A0000}"/>
    <cellStyle name="Normal 10 2 10 2 11" xfId="2800" xr:uid="{00000000-0005-0000-0000-0000F00A0000}"/>
    <cellStyle name="Normal 10 2 10 2 11 10" xfId="2801" xr:uid="{00000000-0005-0000-0000-0000F10A0000}"/>
    <cellStyle name="Normal 10 2 10 2 11 11" xfId="2802" xr:uid="{00000000-0005-0000-0000-0000F20A0000}"/>
    <cellStyle name="Normal 10 2 10 2 11 12" xfId="2803" xr:uid="{00000000-0005-0000-0000-0000F30A0000}"/>
    <cellStyle name="Normal 10 2 10 2 11 13" xfId="2804" xr:uid="{00000000-0005-0000-0000-0000F40A0000}"/>
    <cellStyle name="Normal 10 2 10 2 11 14" xfId="2805" xr:uid="{00000000-0005-0000-0000-0000F50A0000}"/>
    <cellStyle name="Normal 10 2 10 2 11 2" xfId="2806" xr:uid="{00000000-0005-0000-0000-0000F60A0000}"/>
    <cellStyle name="Normal 10 2 10 2 11 2 10" xfId="2807" xr:uid="{00000000-0005-0000-0000-0000F70A0000}"/>
    <cellStyle name="Normal 10 2 10 2 11 2 2" xfId="2808" xr:uid="{00000000-0005-0000-0000-0000F80A0000}"/>
    <cellStyle name="Normal 10 2 10 2 11 2 3" xfId="2809" xr:uid="{00000000-0005-0000-0000-0000F90A0000}"/>
    <cellStyle name="Normal 10 2 10 2 11 2 4" xfId="2810" xr:uid="{00000000-0005-0000-0000-0000FA0A0000}"/>
    <cellStyle name="Normal 10 2 10 2 11 2 5" xfId="2811" xr:uid="{00000000-0005-0000-0000-0000FB0A0000}"/>
    <cellStyle name="Normal 10 2 10 2 11 2 6" xfId="2812" xr:uid="{00000000-0005-0000-0000-0000FC0A0000}"/>
    <cellStyle name="Normal 10 2 10 2 11 2 7" xfId="2813" xr:uid="{00000000-0005-0000-0000-0000FD0A0000}"/>
    <cellStyle name="Normal 10 2 10 2 11 2 8" xfId="2814" xr:uid="{00000000-0005-0000-0000-0000FE0A0000}"/>
    <cellStyle name="Normal 10 2 10 2 11 2 9" xfId="2815" xr:uid="{00000000-0005-0000-0000-0000FF0A0000}"/>
    <cellStyle name="Normal 10 2 10 2 11 3" xfId="2816" xr:uid="{00000000-0005-0000-0000-0000000B0000}"/>
    <cellStyle name="Normal 10 2 10 2 11 3 10" xfId="2817" xr:uid="{00000000-0005-0000-0000-0000010B0000}"/>
    <cellStyle name="Normal 10 2 10 2 11 3 2" xfId="2818" xr:uid="{00000000-0005-0000-0000-0000020B0000}"/>
    <cellStyle name="Normal 10 2 10 2 11 3 3" xfId="2819" xr:uid="{00000000-0005-0000-0000-0000030B0000}"/>
    <cellStyle name="Normal 10 2 10 2 11 3 4" xfId="2820" xr:uid="{00000000-0005-0000-0000-0000040B0000}"/>
    <cellStyle name="Normal 10 2 10 2 11 3 5" xfId="2821" xr:uid="{00000000-0005-0000-0000-0000050B0000}"/>
    <cellStyle name="Normal 10 2 10 2 11 3 6" xfId="2822" xr:uid="{00000000-0005-0000-0000-0000060B0000}"/>
    <cellStyle name="Normal 10 2 10 2 11 3 7" xfId="2823" xr:uid="{00000000-0005-0000-0000-0000070B0000}"/>
    <cellStyle name="Normal 10 2 10 2 11 3 8" xfId="2824" xr:uid="{00000000-0005-0000-0000-0000080B0000}"/>
    <cellStyle name="Normal 10 2 10 2 11 3 9" xfId="2825" xr:uid="{00000000-0005-0000-0000-0000090B0000}"/>
    <cellStyle name="Normal 10 2 10 2 11 4" xfId="2826" xr:uid="{00000000-0005-0000-0000-00000A0B0000}"/>
    <cellStyle name="Normal 10 2 10 2 11 4 10" xfId="2827" xr:uid="{00000000-0005-0000-0000-00000B0B0000}"/>
    <cellStyle name="Normal 10 2 10 2 11 4 2" xfId="2828" xr:uid="{00000000-0005-0000-0000-00000C0B0000}"/>
    <cellStyle name="Normal 10 2 10 2 11 4 3" xfId="2829" xr:uid="{00000000-0005-0000-0000-00000D0B0000}"/>
    <cellStyle name="Normal 10 2 10 2 11 4 4" xfId="2830" xr:uid="{00000000-0005-0000-0000-00000E0B0000}"/>
    <cellStyle name="Normal 10 2 10 2 11 4 5" xfId="2831" xr:uid="{00000000-0005-0000-0000-00000F0B0000}"/>
    <cellStyle name="Normal 10 2 10 2 11 4 6" xfId="2832" xr:uid="{00000000-0005-0000-0000-0000100B0000}"/>
    <cellStyle name="Normal 10 2 10 2 11 4 7" xfId="2833" xr:uid="{00000000-0005-0000-0000-0000110B0000}"/>
    <cellStyle name="Normal 10 2 10 2 11 4 8" xfId="2834" xr:uid="{00000000-0005-0000-0000-0000120B0000}"/>
    <cellStyle name="Normal 10 2 10 2 11 4 9" xfId="2835" xr:uid="{00000000-0005-0000-0000-0000130B0000}"/>
    <cellStyle name="Normal 10 2 10 2 11 5" xfId="2836" xr:uid="{00000000-0005-0000-0000-0000140B0000}"/>
    <cellStyle name="Normal 10 2 10 2 11 5 10" xfId="2837" xr:uid="{00000000-0005-0000-0000-0000150B0000}"/>
    <cellStyle name="Normal 10 2 10 2 11 5 2" xfId="2838" xr:uid="{00000000-0005-0000-0000-0000160B0000}"/>
    <cellStyle name="Normal 10 2 10 2 11 5 3" xfId="2839" xr:uid="{00000000-0005-0000-0000-0000170B0000}"/>
    <cellStyle name="Normal 10 2 10 2 11 5 4" xfId="2840" xr:uid="{00000000-0005-0000-0000-0000180B0000}"/>
    <cellStyle name="Normal 10 2 10 2 11 5 5" xfId="2841" xr:uid="{00000000-0005-0000-0000-0000190B0000}"/>
    <cellStyle name="Normal 10 2 10 2 11 5 6" xfId="2842" xr:uid="{00000000-0005-0000-0000-00001A0B0000}"/>
    <cellStyle name="Normal 10 2 10 2 11 5 7" xfId="2843" xr:uid="{00000000-0005-0000-0000-00001B0B0000}"/>
    <cellStyle name="Normal 10 2 10 2 11 5 8" xfId="2844" xr:uid="{00000000-0005-0000-0000-00001C0B0000}"/>
    <cellStyle name="Normal 10 2 10 2 11 5 9" xfId="2845" xr:uid="{00000000-0005-0000-0000-00001D0B0000}"/>
    <cellStyle name="Normal 10 2 10 2 11 6" xfId="2846" xr:uid="{00000000-0005-0000-0000-00001E0B0000}"/>
    <cellStyle name="Normal 10 2 10 2 11 7" xfId="2847" xr:uid="{00000000-0005-0000-0000-00001F0B0000}"/>
    <cellStyle name="Normal 10 2 10 2 11 8" xfId="2848" xr:uid="{00000000-0005-0000-0000-0000200B0000}"/>
    <cellStyle name="Normal 10 2 10 2 11 9" xfId="2849" xr:uid="{00000000-0005-0000-0000-0000210B0000}"/>
    <cellStyle name="Normal 10 2 10 2 12" xfId="2850" xr:uid="{00000000-0005-0000-0000-0000220B0000}"/>
    <cellStyle name="Normal 10 2 10 2 12 10" xfId="2851" xr:uid="{00000000-0005-0000-0000-0000230B0000}"/>
    <cellStyle name="Normal 10 2 10 2 12 11" xfId="2852" xr:uid="{00000000-0005-0000-0000-0000240B0000}"/>
    <cellStyle name="Normal 10 2 10 2 12 12" xfId="2853" xr:uid="{00000000-0005-0000-0000-0000250B0000}"/>
    <cellStyle name="Normal 10 2 10 2 12 13" xfId="2854" xr:uid="{00000000-0005-0000-0000-0000260B0000}"/>
    <cellStyle name="Normal 10 2 10 2 12 14" xfId="2855" xr:uid="{00000000-0005-0000-0000-0000270B0000}"/>
    <cellStyle name="Normal 10 2 10 2 12 2" xfId="2856" xr:uid="{00000000-0005-0000-0000-0000280B0000}"/>
    <cellStyle name="Normal 10 2 10 2 12 2 10" xfId="2857" xr:uid="{00000000-0005-0000-0000-0000290B0000}"/>
    <cellStyle name="Normal 10 2 10 2 12 2 2" xfId="2858" xr:uid="{00000000-0005-0000-0000-00002A0B0000}"/>
    <cellStyle name="Normal 10 2 10 2 12 2 3" xfId="2859" xr:uid="{00000000-0005-0000-0000-00002B0B0000}"/>
    <cellStyle name="Normal 10 2 10 2 12 2 4" xfId="2860" xr:uid="{00000000-0005-0000-0000-00002C0B0000}"/>
    <cellStyle name="Normal 10 2 10 2 12 2 5" xfId="2861" xr:uid="{00000000-0005-0000-0000-00002D0B0000}"/>
    <cellStyle name="Normal 10 2 10 2 12 2 6" xfId="2862" xr:uid="{00000000-0005-0000-0000-00002E0B0000}"/>
    <cellStyle name="Normal 10 2 10 2 12 2 7" xfId="2863" xr:uid="{00000000-0005-0000-0000-00002F0B0000}"/>
    <cellStyle name="Normal 10 2 10 2 12 2 8" xfId="2864" xr:uid="{00000000-0005-0000-0000-0000300B0000}"/>
    <cellStyle name="Normal 10 2 10 2 12 2 9" xfId="2865" xr:uid="{00000000-0005-0000-0000-0000310B0000}"/>
    <cellStyle name="Normal 10 2 10 2 12 3" xfId="2866" xr:uid="{00000000-0005-0000-0000-0000320B0000}"/>
    <cellStyle name="Normal 10 2 10 2 12 3 10" xfId="2867" xr:uid="{00000000-0005-0000-0000-0000330B0000}"/>
    <cellStyle name="Normal 10 2 10 2 12 3 2" xfId="2868" xr:uid="{00000000-0005-0000-0000-0000340B0000}"/>
    <cellStyle name="Normal 10 2 10 2 12 3 3" xfId="2869" xr:uid="{00000000-0005-0000-0000-0000350B0000}"/>
    <cellStyle name="Normal 10 2 10 2 12 3 4" xfId="2870" xr:uid="{00000000-0005-0000-0000-0000360B0000}"/>
    <cellStyle name="Normal 10 2 10 2 12 3 5" xfId="2871" xr:uid="{00000000-0005-0000-0000-0000370B0000}"/>
    <cellStyle name="Normal 10 2 10 2 12 3 6" xfId="2872" xr:uid="{00000000-0005-0000-0000-0000380B0000}"/>
    <cellStyle name="Normal 10 2 10 2 12 3 7" xfId="2873" xr:uid="{00000000-0005-0000-0000-0000390B0000}"/>
    <cellStyle name="Normal 10 2 10 2 12 3 8" xfId="2874" xr:uid="{00000000-0005-0000-0000-00003A0B0000}"/>
    <cellStyle name="Normal 10 2 10 2 12 3 9" xfId="2875" xr:uid="{00000000-0005-0000-0000-00003B0B0000}"/>
    <cellStyle name="Normal 10 2 10 2 12 4" xfId="2876" xr:uid="{00000000-0005-0000-0000-00003C0B0000}"/>
    <cellStyle name="Normal 10 2 10 2 12 4 10" xfId="2877" xr:uid="{00000000-0005-0000-0000-00003D0B0000}"/>
    <cellStyle name="Normal 10 2 10 2 12 4 2" xfId="2878" xr:uid="{00000000-0005-0000-0000-00003E0B0000}"/>
    <cellStyle name="Normal 10 2 10 2 12 4 3" xfId="2879" xr:uid="{00000000-0005-0000-0000-00003F0B0000}"/>
    <cellStyle name="Normal 10 2 10 2 12 4 4" xfId="2880" xr:uid="{00000000-0005-0000-0000-0000400B0000}"/>
    <cellStyle name="Normal 10 2 10 2 12 4 5" xfId="2881" xr:uid="{00000000-0005-0000-0000-0000410B0000}"/>
    <cellStyle name="Normal 10 2 10 2 12 4 6" xfId="2882" xr:uid="{00000000-0005-0000-0000-0000420B0000}"/>
    <cellStyle name="Normal 10 2 10 2 12 4 7" xfId="2883" xr:uid="{00000000-0005-0000-0000-0000430B0000}"/>
    <cellStyle name="Normal 10 2 10 2 12 4 8" xfId="2884" xr:uid="{00000000-0005-0000-0000-0000440B0000}"/>
    <cellStyle name="Normal 10 2 10 2 12 4 9" xfId="2885" xr:uid="{00000000-0005-0000-0000-0000450B0000}"/>
    <cellStyle name="Normal 10 2 10 2 12 5" xfId="2886" xr:uid="{00000000-0005-0000-0000-0000460B0000}"/>
    <cellStyle name="Normal 10 2 10 2 12 5 10" xfId="2887" xr:uid="{00000000-0005-0000-0000-0000470B0000}"/>
    <cellStyle name="Normal 10 2 10 2 12 5 2" xfId="2888" xr:uid="{00000000-0005-0000-0000-0000480B0000}"/>
    <cellStyle name="Normal 10 2 10 2 12 5 3" xfId="2889" xr:uid="{00000000-0005-0000-0000-0000490B0000}"/>
    <cellStyle name="Normal 10 2 10 2 12 5 4" xfId="2890" xr:uid="{00000000-0005-0000-0000-00004A0B0000}"/>
    <cellStyle name="Normal 10 2 10 2 12 5 5" xfId="2891" xr:uid="{00000000-0005-0000-0000-00004B0B0000}"/>
    <cellStyle name="Normal 10 2 10 2 12 5 6" xfId="2892" xr:uid="{00000000-0005-0000-0000-00004C0B0000}"/>
    <cellStyle name="Normal 10 2 10 2 12 5 7" xfId="2893" xr:uid="{00000000-0005-0000-0000-00004D0B0000}"/>
    <cellStyle name="Normal 10 2 10 2 12 5 8" xfId="2894" xr:uid="{00000000-0005-0000-0000-00004E0B0000}"/>
    <cellStyle name="Normal 10 2 10 2 12 5 9" xfId="2895" xr:uid="{00000000-0005-0000-0000-00004F0B0000}"/>
    <cellStyle name="Normal 10 2 10 2 12 6" xfId="2896" xr:uid="{00000000-0005-0000-0000-0000500B0000}"/>
    <cellStyle name="Normal 10 2 10 2 12 7" xfId="2897" xr:uid="{00000000-0005-0000-0000-0000510B0000}"/>
    <cellStyle name="Normal 10 2 10 2 12 8" xfId="2898" xr:uid="{00000000-0005-0000-0000-0000520B0000}"/>
    <cellStyle name="Normal 10 2 10 2 12 9" xfId="2899" xr:uid="{00000000-0005-0000-0000-0000530B0000}"/>
    <cellStyle name="Normal 10 2 10 2 13" xfId="2900" xr:uid="{00000000-0005-0000-0000-0000540B0000}"/>
    <cellStyle name="Normal 10 2 10 2 13 10" xfId="2901" xr:uid="{00000000-0005-0000-0000-0000550B0000}"/>
    <cellStyle name="Normal 10 2 10 2 13 11" xfId="2902" xr:uid="{00000000-0005-0000-0000-0000560B0000}"/>
    <cellStyle name="Normal 10 2 10 2 13 12" xfId="2903" xr:uid="{00000000-0005-0000-0000-0000570B0000}"/>
    <cellStyle name="Normal 10 2 10 2 13 13" xfId="2904" xr:uid="{00000000-0005-0000-0000-0000580B0000}"/>
    <cellStyle name="Normal 10 2 10 2 13 14" xfId="2905" xr:uid="{00000000-0005-0000-0000-0000590B0000}"/>
    <cellStyle name="Normal 10 2 10 2 13 2" xfId="2906" xr:uid="{00000000-0005-0000-0000-00005A0B0000}"/>
    <cellStyle name="Normal 10 2 10 2 13 2 10" xfId="2907" xr:uid="{00000000-0005-0000-0000-00005B0B0000}"/>
    <cellStyle name="Normal 10 2 10 2 13 2 2" xfId="2908" xr:uid="{00000000-0005-0000-0000-00005C0B0000}"/>
    <cellStyle name="Normal 10 2 10 2 13 2 3" xfId="2909" xr:uid="{00000000-0005-0000-0000-00005D0B0000}"/>
    <cellStyle name="Normal 10 2 10 2 13 2 4" xfId="2910" xr:uid="{00000000-0005-0000-0000-00005E0B0000}"/>
    <cellStyle name="Normal 10 2 10 2 13 2 5" xfId="2911" xr:uid="{00000000-0005-0000-0000-00005F0B0000}"/>
    <cellStyle name="Normal 10 2 10 2 13 2 6" xfId="2912" xr:uid="{00000000-0005-0000-0000-0000600B0000}"/>
    <cellStyle name="Normal 10 2 10 2 13 2 7" xfId="2913" xr:uid="{00000000-0005-0000-0000-0000610B0000}"/>
    <cellStyle name="Normal 10 2 10 2 13 2 8" xfId="2914" xr:uid="{00000000-0005-0000-0000-0000620B0000}"/>
    <cellStyle name="Normal 10 2 10 2 13 2 9" xfId="2915" xr:uid="{00000000-0005-0000-0000-0000630B0000}"/>
    <cellStyle name="Normal 10 2 10 2 13 3" xfId="2916" xr:uid="{00000000-0005-0000-0000-0000640B0000}"/>
    <cellStyle name="Normal 10 2 10 2 13 3 10" xfId="2917" xr:uid="{00000000-0005-0000-0000-0000650B0000}"/>
    <cellStyle name="Normal 10 2 10 2 13 3 2" xfId="2918" xr:uid="{00000000-0005-0000-0000-0000660B0000}"/>
    <cellStyle name="Normal 10 2 10 2 13 3 3" xfId="2919" xr:uid="{00000000-0005-0000-0000-0000670B0000}"/>
    <cellStyle name="Normal 10 2 10 2 13 3 4" xfId="2920" xr:uid="{00000000-0005-0000-0000-0000680B0000}"/>
    <cellStyle name="Normal 10 2 10 2 13 3 5" xfId="2921" xr:uid="{00000000-0005-0000-0000-0000690B0000}"/>
    <cellStyle name="Normal 10 2 10 2 13 3 6" xfId="2922" xr:uid="{00000000-0005-0000-0000-00006A0B0000}"/>
    <cellStyle name="Normal 10 2 10 2 13 3 7" xfId="2923" xr:uid="{00000000-0005-0000-0000-00006B0B0000}"/>
    <cellStyle name="Normal 10 2 10 2 13 3 8" xfId="2924" xr:uid="{00000000-0005-0000-0000-00006C0B0000}"/>
    <cellStyle name="Normal 10 2 10 2 13 3 9" xfId="2925" xr:uid="{00000000-0005-0000-0000-00006D0B0000}"/>
    <cellStyle name="Normal 10 2 10 2 13 4" xfId="2926" xr:uid="{00000000-0005-0000-0000-00006E0B0000}"/>
    <cellStyle name="Normal 10 2 10 2 13 4 10" xfId="2927" xr:uid="{00000000-0005-0000-0000-00006F0B0000}"/>
    <cellStyle name="Normal 10 2 10 2 13 4 2" xfId="2928" xr:uid="{00000000-0005-0000-0000-0000700B0000}"/>
    <cellStyle name="Normal 10 2 10 2 13 4 3" xfId="2929" xr:uid="{00000000-0005-0000-0000-0000710B0000}"/>
    <cellStyle name="Normal 10 2 10 2 13 4 4" xfId="2930" xr:uid="{00000000-0005-0000-0000-0000720B0000}"/>
    <cellStyle name="Normal 10 2 10 2 13 4 5" xfId="2931" xr:uid="{00000000-0005-0000-0000-0000730B0000}"/>
    <cellStyle name="Normal 10 2 10 2 13 4 6" xfId="2932" xr:uid="{00000000-0005-0000-0000-0000740B0000}"/>
    <cellStyle name="Normal 10 2 10 2 13 4 7" xfId="2933" xr:uid="{00000000-0005-0000-0000-0000750B0000}"/>
    <cellStyle name="Normal 10 2 10 2 13 4 8" xfId="2934" xr:uid="{00000000-0005-0000-0000-0000760B0000}"/>
    <cellStyle name="Normal 10 2 10 2 13 4 9" xfId="2935" xr:uid="{00000000-0005-0000-0000-0000770B0000}"/>
    <cellStyle name="Normal 10 2 10 2 13 5" xfId="2936" xr:uid="{00000000-0005-0000-0000-0000780B0000}"/>
    <cellStyle name="Normal 10 2 10 2 13 5 10" xfId="2937" xr:uid="{00000000-0005-0000-0000-0000790B0000}"/>
    <cellStyle name="Normal 10 2 10 2 13 5 2" xfId="2938" xr:uid="{00000000-0005-0000-0000-00007A0B0000}"/>
    <cellStyle name="Normal 10 2 10 2 13 5 3" xfId="2939" xr:uid="{00000000-0005-0000-0000-00007B0B0000}"/>
    <cellStyle name="Normal 10 2 10 2 13 5 4" xfId="2940" xr:uid="{00000000-0005-0000-0000-00007C0B0000}"/>
    <cellStyle name="Normal 10 2 10 2 13 5 5" xfId="2941" xr:uid="{00000000-0005-0000-0000-00007D0B0000}"/>
    <cellStyle name="Normal 10 2 10 2 13 5 6" xfId="2942" xr:uid="{00000000-0005-0000-0000-00007E0B0000}"/>
    <cellStyle name="Normal 10 2 10 2 13 5 7" xfId="2943" xr:uid="{00000000-0005-0000-0000-00007F0B0000}"/>
    <cellStyle name="Normal 10 2 10 2 13 5 8" xfId="2944" xr:uid="{00000000-0005-0000-0000-0000800B0000}"/>
    <cellStyle name="Normal 10 2 10 2 13 5 9" xfId="2945" xr:uid="{00000000-0005-0000-0000-0000810B0000}"/>
    <cellStyle name="Normal 10 2 10 2 13 6" xfId="2946" xr:uid="{00000000-0005-0000-0000-0000820B0000}"/>
    <cellStyle name="Normal 10 2 10 2 13 7" xfId="2947" xr:uid="{00000000-0005-0000-0000-0000830B0000}"/>
    <cellStyle name="Normal 10 2 10 2 13 8" xfId="2948" xr:uid="{00000000-0005-0000-0000-0000840B0000}"/>
    <cellStyle name="Normal 10 2 10 2 13 9" xfId="2949" xr:uid="{00000000-0005-0000-0000-0000850B0000}"/>
    <cellStyle name="Normal 10 2 10 2 14" xfId="2950" xr:uid="{00000000-0005-0000-0000-0000860B0000}"/>
    <cellStyle name="Normal 10 2 10 2 14 10" xfId="2951" xr:uid="{00000000-0005-0000-0000-0000870B0000}"/>
    <cellStyle name="Normal 10 2 10 2 14 11" xfId="2952" xr:uid="{00000000-0005-0000-0000-0000880B0000}"/>
    <cellStyle name="Normal 10 2 10 2 14 12" xfId="2953" xr:uid="{00000000-0005-0000-0000-0000890B0000}"/>
    <cellStyle name="Normal 10 2 10 2 14 13" xfId="2954" xr:uid="{00000000-0005-0000-0000-00008A0B0000}"/>
    <cellStyle name="Normal 10 2 10 2 14 14" xfId="2955" xr:uid="{00000000-0005-0000-0000-00008B0B0000}"/>
    <cellStyle name="Normal 10 2 10 2 14 2" xfId="2956" xr:uid="{00000000-0005-0000-0000-00008C0B0000}"/>
    <cellStyle name="Normal 10 2 10 2 14 2 10" xfId="2957" xr:uid="{00000000-0005-0000-0000-00008D0B0000}"/>
    <cellStyle name="Normal 10 2 10 2 14 2 2" xfId="2958" xr:uid="{00000000-0005-0000-0000-00008E0B0000}"/>
    <cellStyle name="Normal 10 2 10 2 14 2 3" xfId="2959" xr:uid="{00000000-0005-0000-0000-00008F0B0000}"/>
    <cellStyle name="Normal 10 2 10 2 14 2 4" xfId="2960" xr:uid="{00000000-0005-0000-0000-0000900B0000}"/>
    <cellStyle name="Normal 10 2 10 2 14 2 5" xfId="2961" xr:uid="{00000000-0005-0000-0000-0000910B0000}"/>
    <cellStyle name="Normal 10 2 10 2 14 2 6" xfId="2962" xr:uid="{00000000-0005-0000-0000-0000920B0000}"/>
    <cellStyle name="Normal 10 2 10 2 14 2 7" xfId="2963" xr:uid="{00000000-0005-0000-0000-0000930B0000}"/>
    <cellStyle name="Normal 10 2 10 2 14 2 8" xfId="2964" xr:uid="{00000000-0005-0000-0000-0000940B0000}"/>
    <cellStyle name="Normal 10 2 10 2 14 2 9" xfId="2965" xr:uid="{00000000-0005-0000-0000-0000950B0000}"/>
    <cellStyle name="Normal 10 2 10 2 14 3" xfId="2966" xr:uid="{00000000-0005-0000-0000-0000960B0000}"/>
    <cellStyle name="Normal 10 2 10 2 14 3 10" xfId="2967" xr:uid="{00000000-0005-0000-0000-0000970B0000}"/>
    <cellStyle name="Normal 10 2 10 2 14 3 2" xfId="2968" xr:uid="{00000000-0005-0000-0000-0000980B0000}"/>
    <cellStyle name="Normal 10 2 10 2 14 3 3" xfId="2969" xr:uid="{00000000-0005-0000-0000-0000990B0000}"/>
    <cellStyle name="Normal 10 2 10 2 14 3 4" xfId="2970" xr:uid="{00000000-0005-0000-0000-00009A0B0000}"/>
    <cellStyle name="Normal 10 2 10 2 14 3 5" xfId="2971" xr:uid="{00000000-0005-0000-0000-00009B0B0000}"/>
    <cellStyle name="Normal 10 2 10 2 14 3 6" xfId="2972" xr:uid="{00000000-0005-0000-0000-00009C0B0000}"/>
    <cellStyle name="Normal 10 2 10 2 14 3 7" xfId="2973" xr:uid="{00000000-0005-0000-0000-00009D0B0000}"/>
    <cellStyle name="Normal 10 2 10 2 14 3 8" xfId="2974" xr:uid="{00000000-0005-0000-0000-00009E0B0000}"/>
    <cellStyle name="Normal 10 2 10 2 14 3 9" xfId="2975" xr:uid="{00000000-0005-0000-0000-00009F0B0000}"/>
    <cellStyle name="Normal 10 2 10 2 14 4" xfId="2976" xr:uid="{00000000-0005-0000-0000-0000A00B0000}"/>
    <cellStyle name="Normal 10 2 10 2 14 4 10" xfId="2977" xr:uid="{00000000-0005-0000-0000-0000A10B0000}"/>
    <cellStyle name="Normal 10 2 10 2 14 4 2" xfId="2978" xr:uid="{00000000-0005-0000-0000-0000A20B0000}"/>
    <cellStyle name="Normal 10 2 10 2 14 4 3" xfId="2979" xr:uid="{00000000-0005-0000-0000-0000A30B0000}"/>
    <cellStyle name="Normal 10 2 10 2 14 4 4" xfId="2980" xr:uid="{00000000-0005-0000-0000-0000A40B0000}"/>
    <cellStyle name="Normal 10 2 10 2 14 4 5" xfId="2981" xr:uid="{00000000-0005-0000-0000-0000A50B0000}"/>
    <cellStyle name="Normal 10 2 10 2 14 4 6" xfId="2982" xr:uid="{00000000-0005-0000-0000-0000A60B0000}"/>
    <cellStyle name="Normal 10 2 10 2 14 4 7" xfId="2983" xr:uid="{00000000-0005-0000-0000-0000A70B0000}"/>
    <cellStyle name="Normal 10 2 10 2 14 4 8" xfId="2984" xr:uid="{00000000-0005-0000-0000-0000A80B0000}"/>
    <cellStyle name="Normal 10 2 10 2 14 4 9" xfId="2985" xr:uid="{00000000-0005-0000-0000-0000A90B0000}"/>
    <cellStyle name="Normal 10 2 10 2 14 5" xfId="2986" xr:uid="{00000000-0005-0000-0000-0000AA0B0000}"/>
    <cellStyle name="Normal 10 2 10 2 14 5 10" xfId="2987" xr:uid="{00000000-0005-0000-0000-0000AB0B0000}"/>
    <cellStyle name="Normal 10 2 10 2 14 5 2" xfId="2988" xr:uid="{00000000-0005-0000-0000-0000AC0B0000}"/>
    <cellStyle name="Normal 10 2 10 2 14 5 3" xfId="2989" xr:uid="{00000000-0005-0000-0000-0000AD0B0000}"/>
    <cellStyle name="Normal 10 2 10 2 14 5 4" xfId="2990" xr:uid="{00000000-0005-0000-0000-0000AE0B0000}"/>
    <cellStyle name="Normal 10 2 10 2 14 5 5" xfId="2991" xr:uid="{00000000-0005-0000-0000-0000AF0B0000}"/>
    <cellStyle name="Normal 10 2 10 2 14 5 6" xfId="2992" xr:uid="{00000000-0005-0000-0000-0000B00B0000}"/>
    <cellStyle name="Normal 10 2 10 2 14 5 7" xfId="2993" xr:uid="{00000000-0005-0000-0000-0000B10B0000}"/>
    <cellStyle name="Normal 10 2 10 2 14 5 8" xfId="2994" xr:uid="{00000000-0005-0000-0000-0000B20B0000}"/>
    <cellStyle name="Normal 10 2 10 2 14 5 9" xfId="2995" xr:uid="{00000000-0005-0000-0000-0000B30B0000}"/>
    <cellStyle name="Normal 10 2 10 2 14 6" xfId="2996" xr:uid="{00000000-0005-0000-0000-0000B40B0000}"/>
    <cellStyle name="Normal 10 2 10 2 14 7" xfId="2997" xr:uid="{00000000-0005-0000-0000-0000B50B0000}"/>
    <cellStyle name="Normal 10 2 10 2 14 8" xfId="2998" xr:uid="{00000000-0005-0000-0000-0000B60B0000}"/>
    <cellStyle name="Normal 10 2 10 2 14 9" xfId="2999" xr:uid="{00000000-0005-0000-0000-0000B70B0000}"/>
    <cellStyle name="Normal 10 2 10 2 15" xfId="3000" xr:uid="{00000000-0005-0000-0000-0000B80B0000}"/>
    <cellStyle name="Normal 10 2 10 2 15 10" xfId="3001" xr:uid="{00000000-0005-0000-0000-0000B90B0000}"/>
    <cellStyle name="Normal 10 2 10 2 15 11" xfId="3002" xr:uid="{00000000-0005-0000-0000-0000BA0B0000}"/>
    <cellStyle name="Normal 10 2 10 2 15 12" xfId="3003" xr:uid="{00000000-0005-0000-0000-0000BB0B0000}"/>
    <cellStyle name="Normal 10 2 10 2 15 13" xfId="3004" xr:uid="{00000000-0005-0000-0000-0000BC0B0000}"/>
    <cellStyle name="Normal 10 2 10 2 15 14" xfId="3005" xr:uid="{00000000-0005-0000-0000-0000BD0B0000}"/>
    <cellStyle name="Normal 10 2 10 2 15 2" xfId="3006" xr:uid="{00000000-0005-0000-0000-0000BE0B0000}"/>
    <cellStyle name="Normal 10 2 10 2 15 2 10" xfId="3007" xr:uid="{00000000-0005-0000-0000-0000BF0B0000}"/>
    <cellStyle name="Normal 10 2 10 2 15 2 2" xfId="3008" xr:uid="{00000000-0005-0000-0000-0000C00B0000}"/>
    <cellStyle name="Normal 10 2 10 2 15 2 3" xfId="3009" xr:uid="{00000000-0005-0000-0000-0000C10B0000}"/>
    <cellStyle name="Normal 10 2 10 2 15 2 4" xfId="3010" xr:uid="{00000000-0005-0000-0000-0000C20B0000}"/>
    <cellStyle name="Normal 10 2 10 2 15 2 5" xfId="3011" xr:uid="{00000000-0005-0000-0000-0000C30B0000}"/>
    <cellStyle name="Normal 10 2 10 2 15 2 6" xfId="3012" xr:uid="{00000000-0005-0000-0000-0000C40B0000}"/>
    <cellStyle name="Normal 10 2 10 2 15 2 7" xfId="3013" xr:uid="{00000000-0005-0000-0000-0000C50B0000}"/>
    <cellStyle name="Normal 10 2 10 2 15 2 8" xfId="3014" xr:uid="{00000000-0005-0000-0000-0000C60B0000}"/>
    <cellStyle name="Normal 10 2 10 2 15 2 9" xfId="3015" xr:uid="{00000000-0005-0000-0000-0000C70B0000}"/>
    <cellStyle name="Normal 10 2 10 2 15 3" xfId="3016" xr:uid="{00000000-0005-0000-0000-0000C80B0000}"/>
    <cellStyle name="Normal 10 2 10 2 15 3 10" xfId="3017" xr:uid="{00000000-0005-0000-0000-0000C90B0000}"/>
    <cellStyle name="Normal 10 2 10 2 15 3 2" xfId="3018" xr:uid="{00000000-0005-0000-0000-0000CA0B0000}"/>
    <cellStyle name="Normal 10 2 10 2 15 3 3" xfId="3019" xr:uid="{00000000-0005-0000-0000-0000CB0B0000}"/>
    <cellStyle name="Normal 10 2 10 2 15 3 4" xfId="3020" xr:uid="{00000000-0005-0000-0000-0000CC0B0000}"/>
    <cellStyle name="Normal 10 2 10 2 15 3 5" xfId="3021" xr:uid="{00000000-0005-0000-0000-0000CD0B0000}"/>
    <cellStyle name="Normal 10 2 10 2 15 3 6" xfId="3022" xr:uid="{00000000-0005-0000-0000-0000CE0B0000}"/>
    <cellStyle name="Normal 10 2 10 2 15 3 7" xfId="3023" xr:uid="{00000000-0005-0000-0000-0000CF0B0000}"/>
    <cellStyle name="Normal 10 2 10 2 15 3 8" xfId="3024" xr:uid="{00000000-0005-0000-0000-0000D00B0000}"/>
    <cellStyle name="Normal 10 2 10 2 15 3 9" xfId="3025" xr:uid="{00000000-0005-0000-0000-0000D10B0000}"/>
    <cellStyle name="Normal 10 2 10 2 15 4" xfId="3026" xr:uid="{00000000-0005-0000-0000-0000D20B0000}"/>
    <cellStyle name="Normal 10 2 10 2 15 4 10" xfId="3027" xr:uid="{00000000-0005-0000-0000-0000D30B0000}"/>
    <cellStyle name="Normal 10 2 10 2 15 4 2" xfId="3028" xr:uid="{00000000-0005-0000-0000-0000D40B0000}"/>
    <cellStyle name="Normal 10 2 10 2 15 4 3" xfId="3029" xr:uid="{00000000-0005-0000-0000-0000D50B0000}"/>
    <cellStyle name="Normal 10 2 10 2 15 4 4" xfId="3030" xr:uid="{00000000-0005-0000-0000-0000D60B0000}"/>
    <cellStyle name="Normal 10 2 10 2 15 4 5" xfId="3031" xr:uid="{00000000-0005-0000-0000-0000D70B0000}"/>
    <cellStyle name="Normal 10 2 10 2 15 4 6" xfId="3032" xr:uid="{00000000-0005-0000-0000-0000D80B0000}"/>
    <cellStyle name="Normal 10 2 10 2 15 4 7" xfId="3033" xr:uid="{00000000-0005-0000-0000-0000D90B0000}"/>
    <cellStyle name="Normal 10 2 10 2 15 4 8" xfId="3034" xr:uid="{00000000-0005-0000-0000-0000DA0B0000}"/>
    <cellStyle name="Normal 10 2 10 2 15 4 9" xfId="3035" xr:uid="{00000000-0005-0000-0000-0000DB0B0000}"/>
    <cellStyle name="Normal 10 2 10 2 15 5" xfId="3036" xr:uid="{00000000-0005-0000-0000-0000DC0B0000}"/>
    <cellStyle name="Normal 10 2 10 2 15 5 10" xfId="3037" xr:uid="{00000000-0005-0000-0000-0000DD0B0000}"/>
    <cellStyle name="Normal 10 2 10 2 15 5 2" xfId="3038" xr:uid="{00000000-0005-0000-0000-0000DE0B0000}"/>
    <cellStyle name="Normal 10 2 10 2 15 5 3" xfId="3039" xr:uid="{00000000-0005-0000-0000-0000DF0B0000}"/>
    <cellStyle name="Normal 10 2 10 2 15 5 4" xfId="3040" xr:uid="{00000000-0005-0000-0000-0000E00B0000}"/>
    <cellStyle name="Normal 10 2 10 2 15 5 5" xfId="3041" xr:uid="{00000000-0005-0000-0000-0000E10B0000}"/>
    <cellStyle name="Normal 10 2 10 2 15 5 6" xfId="3042" xr:uid="{00000000-0005-0000-0000-0000E20B0000}"/>
    <cellStyle name="Normal 10 2 10 2 15 5 7" xfId="3043" xr:uid="{00000000-0005-0000-0000-0000E30B0000}"/>
    <cellStyle name="Normal 10 2 10 2 15 5 8" xfId="3044" xr:uid="{00000000-0005-0000-0000-0000E40B0000}"/>
    <cellStyle name="Normal 10 2 10 2 15 5 9" xfId="3045" xr:uid="{00000000-0005-0000-0000-0000E50B0000}"/>
    <cellStyle name="Normal 10 2 10 2 15 6" xfId="3046" xr:uid="{00000000-0005-0000-0000-0000E60B0000}"/>
    <cellStyle name="Normal 10 2 10 2 15 7" xfId="3047" xr:uid="{00000000-0005-0000-0000-0000E70B0000}"/>
    <cellStyle name="Normal 10 2 10 2 15 8" xfId="3048" xr:uid="{00000000-0005-0000-0000-0000E80B0000}"/>
    <cellStyle name="Normal 10 2 10 2 15 9" xfId="3049" xr:uid="{00000000-0005-0000-0000-0000E90B0000}"/>
    <cellStyle name="Normal 10 2 10 2 16" xfId="3050" xr:uid="{00000000-0005-0000-0000-0000EA0B0000}"/>
    <cellStyle name="Normal 10 2 10 2 16 10" xfId="3051" xr:uid="{00000000-0005-0000-0000-0000EB0B0000}"/>
    <cellStyle name="Normal 10 2 10 2 16 11" xfId="3052" xr:uid="{00000000-0005-0000-0000-0000EC0B0000}"/>
    <cellStyle name="Normal 10 2 10 2 16 12" xfId="3053" xr:uid="{00000000-0005-0000-0000-0000ED0B0000}"/>
    <cellStyle name="Normal 10 2 10 2 16 13" xfId="3054" xr:uid="{00000000-0005-0000-0000-0000EE0B0000}"/>
    <cellStyle name="Normal 10 2 10 2 16 14" xfId="3055" xr:uid="{00000000-0005-0000-0000-0000EF0B0000}"/>
    <cellStyle name="Normal 10 2 10 2 16 2" xfId="3056" xr:uid="{00000000-0005-0000-0000-0000F00B0000}"/>
    <cellStyle name="Normal 10 2 10 2 16 2 10" xfId="3057" xr:uid="{00000000-0005-0000-0000-0000F10B0000}"/>
    <cellStyle name="Normal 10 2 10 2 16 2 2" xfId="3058" xr:uid="{00000000-0005-0000-0000-0000F20B0000}"/>
    <cellStyle name="Normal 10 2 10 2 16 2 3" xfId="3059" xr:uid="{00000000-0005-0000-0000-0000F30B0000}"/>
    <cellStyle name="Normal 10 2 10 2 16 2 4" xfId="3060" xr:uid="{00000000-0005-0000-0000-0000F40B0000}"/>
    <cellStyle name="Normal 10 2 10 2 16 2 5" xfId="3061" xr:uid="{00000000-0005-0000-0000-0000F50B0000}"/>
    <cellStyle name="Normal 10 2 10 2 16 2 6" xfId="3062" xr:uid="{00000000-0005-0000-0000-0000F60B0000}"/>
    <cellStyle name="Normal 10 2 10 2 16 2 7" xfId="3063" xr:uid="{00000000-0005-0000-0000-0000F70B0000}"/>
    <cellStyle name="Normal 10 2 10 2 16 2 8" xfId="3064" xr:uid="{00000000-0005-0000-0000-0000F80B0000}"/>
    <cellStyle name="Normal 10 2 10 2 16 2 9" xfId="3065" xr:uid="{00000000-0005-0000-0000-0000F90B0000}"/>
    <cellStyle name="Normal 10 2 10 2 16 3" xfId="3066" xr:uid="{00000000-0005-0000-0000-0000FA0B0000}"/>
    <cellStyle name="Normal 10 2 10 2 16 3 10" xfId="3067" xr:uid="{00000000-0005-0000-0000-0000FB0B0000}"/>
    <cellStyle name="Normal 10 2 10 2 16 3 2" xfId="3068" xr:uid="{00000000-0005-0000-0000-0000FC0B0000}"/>
    <cellStyle name="Normal 10 2 10 2 16 3 3" xfId="3069" xr:uid="{00000000-0005-0000-0000-0000FD0B0000}"/>
    <cellStyle name="Normal 10 2 10 2 16 3 4" xfId="3070" xr:uid="{00000000-0005-0000-0000-0000FE0B0000}"/>
    <cellStyle name="Normal 10 2 10 2 16 3 5" xfId="3071" xr:uid="{00000000-0005-0000-0000-0000FF0B0000}"/>
    <cellStyle name="Normal 10 2 10 2 16 3 6" xfId="3072" xr:uid="{00000000-0005-0000-0000-0000000C0000}"/>
    <cellStyle name="Normal 10 2 10 2 16 3 7" xfId="3073" xr:uid="{00000000-0005-0000-0000-0000010C0000}"/>
    <cellStyle name="Normal 10 2 10 2 16 3 8" xfId="3074" xr:uid="{00000000-0005-0000-0000-0000020C0000}"/>
    <cellStyle name="Normal 10 2 10 2 16 3 9" xfId="3075" xr:uid="{00000000-0005-0000-0000-0000030C0000}"/>
    <cellStyle name="Normal 10 2 10 2 16 4" xfId="3076" xr:uid="{00000000-0005-0000-0000-0000040C0000}"/>
    <cellStyle name="Normal 10 2 10 2 16 4 10" xfId="3077" xr:uid="{00000000-0005-0000-0000-0000050C0000}"/>
    <cellStyle name="Normal 10 2 10 2 16 4 2" xfId="3078" xr:uid="{00000000-0005-0000-0000-0000060C0000}"/>
    <cellStyle name="Normal 10 2 10 2 16 4 3" xfId="3079" xr:uid="{00000000-0005-0000-0000-0000070C0000}"/>
    <cellStyle name="Normal 10 2 10 2 16 4 4" xfId="3080" xr:uid="{00000000-0005-0000-0000-0000080C0000}"/>
    <cellStyle name="Normal 10 2 10 2 16 4 5" xfId="3081" xr:uid="{00000000-0005-0000-0000-0000090C0000}"/>
    <cellStyle name="Normal 10 2 10 2 16 4 6" xfId="3082" xr:uid="{00000000-0005-0000-0000-00000A0C0000}"/>
    <cellStyle name="Normal 10 2 10 2 16 4 7" xfId="3083" xr:uid="{00000000-0005-0000-0000-00000B0C0000}"/>
    <cellStyle name="Normal 10 2 10 2 16 4 8" xfId="3084" xr:uid="{00000000-0005-0000-0000-00000C0C0000}"/>
    <cellStyle name="Normal 10 2 10 2 16 4 9" xfId="3085" xr:uid="{00000000-0005-0000-0000-00000D0C0000}"/>
    <cellStyle name="Normal 10 2 10 2 16 5" xfId="3086" xr:uid="{00000000-0005-0000-0000-00000E0C0000}"/>
    <cellStyle name="Normal 10 2 10 2 16 5 10" xfId="3087" xr:uid="{00000000-0005-0000-0000-00000F0C0000}"/>
    <cellStyle name="Normal 10 2 10 2 16 5 2" xfId="3088" xr:uid="{00000000-0005-0000-0000-0000100C0000}"/>
    <cellStyle name="Normal 10 2 10 2 16 5 3" xfId="3089" xr:uid="{00000000-0005-0000-0000-0000110C0000}"/>
    <cellStyle name="Normal 10 2 10 2 16 5 4" xfId="3090" xr:uid="{00000000-0005-0000-0000-0000120C0000}"/>
    <cellStyle name="Normal 10 2 10 2 16 5 5" xfId="3091" xr:uid="{00000000-0005-0000-0000-0000130C0000}"/>
    <cellStyle name="Normal 10 2 10 2 16 5 6" xfId="3092" xr:uid="{00000000-0005-0000-0000-0000140C0000}"/>
    <cellStyle name="Normal 10 2 10 2 16 5 7" xfId="3093" xr:uid="{00000000-0005-0000-0000-0000150C0000}"/>
    <cellStyle name="Normal 10 2 10 2 16 5 8" xfId="3094" xr:uid="{00000000-0005-0000-0000-0000160C0000}"/>
    <cellStyle name="Normal 10 2 10 2 16 5 9" xfId="3095" xr:uid="{00000000-0005-0000-0000-0000170C0000}"/>
    <cellStyle name="Normal 10 2 10 2 16 6" xfId="3096" xr:uid="{00000000-0005-0000-0000-0000180C0000}"/>
    <cellStyle name="Normal 10 2 10 2 16 7" xfId="3097" xr:uid="{00000000-0005-0000-0000-0000190C0000}"/>
    <cellStyle name="Normal 10 2 10 2 16 8" xfId="3098" xr:uid="{00000000-0005-0000-0000-00001A0C0000}"/>
    <cellStyle name="Normal 10 2 10 2 16 9" xfId="3099" xr:uid="{00000000-0005-0000-0000-00001B0C0000}"/>
    <cellStyle name="Normal 10 2 10 2 17" xfId="3100" xr:uid="{00000000-0005-0000-0000-00001C0C0000}"/>
    <cellStyle name="Normal 10 2 10 2 17 10" xfId="3101" xr:uid="{00000000-0005-0000-0000-00001D0C0000}"/>
    <cellStyle name="Normal 10 2 10 2 17 11" xfId="3102" xr:uid="{00000000-0005-0000-0000-00001E0C0000}"/>
    <cellStyle name="Normal 10 2 10 2 17 12" xfId="3103" xr:uid="{00000000-0005-0000-0000-00001F0C0000}"/>
    <cellStyle name="Normal 10 2 10 2 17 13" xfId="3104" xr:uid="{00000000-0005-0000-0000-0000200C0000}"/>
    <cellStyle name="Normal 10 2 10 2 17 14" xfId="3105" xr:uid="{00000000-0005-0000-0000-0000210C0000}"/>
    <cellStyle name="Normal 10 2 10 2 17 2" xfId="3106" xr:uid="{00000000-0005-0000-0000-0000220C0000}"/>
    <cellStyle name="Normal 10 2 10 2 17 2 10" xfId="3107" xr:uid="{00000000-0005-0000-0000-0000230C0000}"/>
    <cellStyle name="Normal 10 2 10 2 17 2 2" xfId="3108" xr:uid="{00000000-0005-0000-0000-0000240C0000}"/>
    <cellStyle name="Normal 10 2 10 2 17 2 3" xfId="3109" xr:uid="{00000000-0005-0000-0000-0000250C0000}"/>
    <cellStyle name="Normal 10 2 10 2 17 2 4" xfId="3110" xr:uid="{00000000-0005-0000-0000-0000260C0000}"/>
    <cellStyle name="Normal 10 2 10 2 17 2 5" xfId="3111" xr:uid="{00000000-0005-0000-0000-0000270C0000}"/>
    <cellStyle name="Normal 10 2 10 2 17 2 6" xfId="3112" xr:uid="{00000000-0005-0000-0000-0000280C0000}"/>
    <cellStyle name="Normal 10 2 10 2 17 2 7" xfId="3113" xr:uid="{00000000-0005-0000-0000-0000290C0000}"/>
    <cellStyle name="Normal 10 2 10 2 17 2 8" xfId="3114" xr:uid="{00000000-0005-0000-0000-00002A0C0000}"/>
    <cellStyle name="Normal 10 2 10 2 17 2 9" xfId="3115" xr:uid="{00000000-0005-0000-0000-00002B0C0000}"/>
    <cellStyle name="Normal 10 2 10 2 17 3" xfId="3116" xr:uid="{00000000-0005-0000-0000-00002C0C0000}"/>
    <cellStyle name="Normal 10 2 10 2 17 3 10" xfId="3117" xr:uid="{00000000-0005-0000-0000-00002D0C0000}"/>
    <cellStyle name="Normal 10 2 10 2 17 3 2" xfId="3118" xr:uid="{00000000-0005-0000-0000-00002E0C0000}"/>
    <cellStyle name="Normal 10 2 10 2 17 3 3" xfId="3119" xr:uid="{00000000-0005-0000-0000-00002F0C0000}"/>
    <cellStyle name="Normal 10 2 10 2 17 3 4" xfId="3120" xr:uid="{00000000-0005-0000-0000-0000300C0000}"/>
    <cellStyle name="Normal 10 2 10 2 17 3 5" xfId="3121" xr:uid="{00000000-0005-0000-0000-0000310C0000}"/>
    <cellStyle name="Normal 10 2 10 2 17 3 6" xfId="3122" xr:uid="{00000000-0005-0000-0000-0000320C0000}"/>
    <cellStyle name="Normal 10 2 10 2 17 3 7" xfId="3123" xr:uid="{00000000-0005-0000-0000-0000330C0000}"/>
    <cellStyle name="Normal 10 2 10 2 17 3 8" xfId="3124" xr:uid="{00000000-0005-0000-0000-0000340C0000}"/>
    <cellStyle name="Normal 10 2 10 2 17 3 9" xfId="3125" xr:uid="{00000000-0005-0000-0000-0000350C0000}"/>
    <cellStyle name="Normal 10 2 10 2 17 4" xfId="3126" xr:uid="{00000000-0005-0000-0000-0000360C0000}"/>
    <cellStyle name="Normal 10 2 10 2 17 4 10" xfId="3127" xr:uid="{00000000-0005-0000-0000-0000370C0000}"/>
    <cellStyle name="Normal 10 2 10 2 17 4 2" xfId="3128" xr:uid="{00000000-0005-0000-0000-0000380C0000}"/>
    <cellStyle name="Normal 10 2 10 2 17 4 3" xfId="3129" xr:uid="{00000000-0005-0000-0000-0000390C0000}"/>
    <cellStyle name="Normal 10 2 10 2 17 4 4" xfId="3130" xr:uid="{00000000-0005-0000-0000-00003A0C0000}"/>
    <cellStyle name="Normal 10 2 10 2 17 4 5" xfId="3131" xr:uid="{00000000-0005-0000-0000-00003B0C0000}"/>
    <cellStyle name="Normal 10 2 10 2 17 4 6" xfId="3132" xr:uid="{00000000-0005-0000-0000-00003C0C0000}"/>
    <cellStyle name="Normal 10 2 10 2 17 4 7" xfId="3133" xr:uid="{00000000-0005-0000-0000-00003D0C0000}"/>
    <cellStyle name="Normal 10 2 10 2 17 4 8" xfId="3134" xr:uid="{00000000-0005-0000-0000-00003E0C0000}"/>
    <cellStyle name="Normal 10 2 10 2 17 4 9" xfId="3135" xr:uid="{00000000-0005-0000-0000-00003F0C0000}"/>
    <cellStyle name="Normal 10 2 10 2 17 5" xfId="3136" xr:uid="{00000000-0005-0000-0000-0000400C0000}"/>
    <cellStyle name="Normal 10 2 10 2 17 5 10" xfId="3137" xr:uid="{00000000-0005-0000-0000-0000410C0000}"/>
    <cellStyle name="Normal 10 2 10 2 17 5 2" xfId="3138" xr:uid="{00000000-0005-0000-0000-0000420C0000}"/>
    <cellStyle name="Normal 10 2 10 2 17 5 3" xfId="3139" xr:uid="{00000000-0005-0000-0000-0000430C0000}"/>
    <cellStyle name="Normal 10 2 10 2 17 5 4" xfId="3140" xr:uid="{00000000-0005-0000-0000-0000440C0000}"/>
    <cellStyle name="Normal 10 2 10 2 17 5 5" xfId="3141" xr:uid="{00000000-0005-0000-0000-0000450C0000}"/>
    <cellStyle name="Normal 10 2 10 2 17 5 6" xfId="3142" xr:uid="{00000000-0005-0000-0000-0000460C0000}"/>
    <cellStyle name="Normal 10 2 10 2 17 5 7" xfId="3143" xr:uid="{00000000-0005-0000-0000-0000470C0000}"/>
    <cellStyle name="Normal 10 2 10 2 17 5 8" xfId="3144" xr:uid="{00000000-0005-0000-0000-0000480C0000}"/>
    <cellStyle name="Normal 10 2 10 2 17 5 9" xfId="3145" xr:uid="{00000000-0005-0000-0000-0000490C0000}"/>
    <cellStyle name="Normal 10 2 10 2 17 6" xfId="3146" xr:uid="{00000000-0005-0000-0000-00004A0C0000}"/>
    <cellStyle name="Normal 10 2 10 2 17 7" xfId="3147" xr:uid="{00000000-0005-0000-0000-00004B0C0000}"/>
    <cellStyle name="Normal 10 2 10 2 17 8" xfId="3148" xr:uid="{00000000-0005-0000-0000-00004C0C0000}"/>
    <cellStyle name="Normal 10 2 10 2 17 9" xfId="3149" xr:uid="{00000000-0005-0000-0000-00004D0C0000}"/>
    <cellStyle name="Normal 10 2 10 2 18" xfId="3150" xr:uid="{00000000-0005-0000-0000-00004E0C0000}"/>
    <cellStyle name="Normal 10 2 10 2 18 10" xfId="3151" xr:uid="{00000000-0005-0000-0000-00004F0C0000}"/>
    <cellStyle name="Normal 10 2 10 2 18 11" xfId="3152" xr:uid="{00000000-0005-0000-0000-0000500C0000}"/>
    <cellStyle name="Normal 10 2 10 2 18 12" xfId="3153" xr:uid="{00000000-0005-0000-0000-0000510C0000}"/>
    <cellStyle name="Normal 10 2 10 2 18 13" xfId="3154" xr:uid="{00000000-0005-0000-0000-0000520C0000}"/>
    <cellStyle name="Normal 10 2 10 2 18 14" xfId="3155" xr:uid="{00000000-0005-0000-0000-0000530C0000}"/>
    <cellStyle name="Normal 10 2 10 2 18 2" xfId="3156" xr:uid="{00000000-0005-0000-0000-0000540C0000}"/>
    <cellStyle name="Normal 10 2 10 2 18 2 10" xfId="3157" xr:uid="{00000000-0005-0000-0000-0000550C0000}"/>
    <cellStyle name="Normal 10 2 10 2 18 2 2" xfId="3158" xr:uid="{00000000-0005-0000-0000-0000560C0000}"/>
    <cellStyle name="Normal 10 2 10 2 18 2 3" xfId="3159" xr:uid="{00000000-0005-0000-0000-0000570C0000}"/>
    <cellStyle name="Normal 10 2 10 2 18 2 4" xfId="3160" xr:uid="{00000000-0005-0000-0000-0000580C0000}"/>
    <cellStyle name="Normal 10 2 10 2 18 2 5" xfId="3161" xr:uid="{00000000-0005-0000-0000-0000590C0000}"/>
    <cellStyle name="Normal 10 2 10 2 18 2 6" xfId="3162" xr:uid="{00000000-0005-0000-0000-00005A0C0000}"/>
    <cellStyle name="Normal 10 2 10 2 18 2 7" xfId="3163" xr:uid="{00000000-0005-0000-0000-00005B0C0000}"/>
    <cellStyle name="Normal 10 2 10 2 18 2 8" xfId="3164" xr:uid="{00000000-0005-0000-0000-00005C0C0000}"/>
    <cellStyle name="Normal 10 2 10 2 18 2 9" xfId="3165" xr:uid="{00000000-0005-0000-0000-00005D0C0000}"/>
    <cellStyle name="Normal 10 2 10 2 18 3" xfId="3166" xr:uid="{00000000-0005-0000-0000-00005E0C0000}"/>
    <cellStyle name="Normal 10 2 10 2 18 3 10" xfId="3167" xr:uid="{00000000-0005-0000-0000-00005F0C0000}"/>
    <cellStyle name="Normal 10 2 10 2 18 3 2" xfId="3168" xr:uid="{00000000-0005-0000-0000-0000600C0000}"/>
    <cellStyle name="Normal 10 2 10 2 18 3 3" xfId="3169" xr:uid="{00000000-0005-0000-0000-0000610C0000}"/>
    <cellStyle name="Normal 10 2 10 2 18 3 4" xfId="3170" xr:uid="{00000000-0005-0000-0000-0000620C0000}"/>
    <cellStyle name="Normal 10 2 10 2 18 3 5" xfId="3171" xr:uid="{00000000-0005-0000-0000-0000630C0000}"/>
    <cellStyle name="Normal 10 2 10 2 18 3 6" xfId="3172" xr:uid="{00000000-0005-0000-0000-0000640C0000}"/>
    <cellStyle name="Normal 10 2 10 2 18 3 7" xfId="3173" xr:uid="{00000000-0005-0000-0000-0000650C0000}"/>
    <cellStyle name="Normal 10 2 10 2 18 3 8" xfId="3174" xr:uid="{00000000-0005-0000-0000-0000660C0000}"/>
    <cellStyle name="Normal 10 2 10 2 18 3 9" xfId="3175" xr:uid="{00000000-0005-0000-0000-0000670C0000}"/>
    <cellStyle name="Normal 10 2 10 2 18 4" xfId="3176" xr:uid="{00000000-0005-0000-0000-0000680C0000}"/>
    <cellStyle name="Normal 10 2 10 2 18 4 10" xfId="3177" xr:uid="{00000000-0005-0000-0000-0000690C0000}"/>
    <cellStyle name="Normal 10 2 10 2 18 4 2" xfId="3178" xr:uid="{00000000-0005-0000-0000-00006A0C0000}"/>
    <cellStyle name="Normal 10 2 10 2 18 4 3" xfId="3179" xr:uid="{00000000-0005-0000-0000-00006B0C0000}"/>
    <cellStyle name="Normal 10 2 10 2 18 4 4" xfId="3180" xr:uid="{00000000-0005-0000-0000-00006C0C0000}"/>
    <cellStyle name="Normal 10 2 10 2 18 4 5" xfId="3181" xr:uid="{00000000-0005-0000-0000-00006D0C0000}"/>
    <cellStyle name="Normal 10 2 10 2 18 4 6" xfId="3182" xr:uid="{00000000-0005-0000-0000-00006E0C0000}"/>
    <cellStyle name="Normal 10 2 10 2 18 4 7" xfId="3183" xr:uid="{00000000-0005-0000-0000-00006F0C0000}"/>
    <cellStyle name="Normal 10 2 10 2 18 4 8" xfId="3184" xr:uid="{00000000-0005-0000-0000-0000700C0000}"/>
    <cellStyle name="Normal 10 2 10 2 18 4 9" xfId="3185" xr:uid="{00000000-0005-0000-0000-0000710C0000}"/>
    <cellStyle name="Normal 10 2 10 2 18 5" xfId="3186" xr:uid="{00000000-0005-0000-0000-0000720C0000}"/>
    <cellStyle name="Normal 10 2 10 2 18 5 10" xfId="3187" xr:uid="{00000000-0005-0000-0000-0000730C0000}"/>
    <cellStyle name="Normal 10 2 10 2 18 5 2" xfId="3188" xr:uid="{00000000-0005-0000-0000-0000740C0000}"/>
    <cellStyle name="Normal 10 2 10 2 18 5 3" xfId="3189" xr:uid="{00000000-0005-0000-0000-0000750C0000}"/>
    <cellStyle name="Normal 10 2 10 2 18 5 4" xfId="3190" xr:uid="{00000000-0005-0000-0000-0000760C0000}"/>
    <cellStyle name="Normal 10 2 10 2 18 5 5" xfId="3191" xr:uid="{00000000-0005-0000-0000-0000770C0000}"/>
    <cellStyle name="Normal 10 2 10 2 18 5 6" xfId="3192" xr:uid="{00000000-0005-0000-0000-0000780C0000}"/>
    <cellStyle name="Normal 10 2 10 2 18 5 7" xfId="3193" xr:uid="{00000000-0005-0000-0000-0000790C0000}"/>
    <cellStyle name="Normal 10 2 10 2 18 5 8" xfId="3194" xr:uid="{00000000-0005-0000-0000-00007A0C0000}"/>
    <cellStyle name="Normal 10 2 10 2 18 5 9" xfId="3195" xr:uid="{00000000-0005-0000-0000-00007B0C0000}"/>
    <cellStyle name="Normal 10 2 10 2 18 6" xfId="3196" xr:uid="{00000000-0005-0000-0000-00007C0C0000}"/>
    <cellStyle name="Normal 10 2 10 2 18 7" xfId="3197" xr:uid="{00000000-0005-0000-0000-00007D0C0000}"/>
    <cellStyle name="Normal 10 2 10 2 18 8" xfId="3198" xr:uid="{00000000-0005-0000-0000-00007E0C0000}"/>
    <cellStyle name="Normal 10 2 10 2 18 9" xfId="3199" xr:uid="{00000000-0005-0000-0000-00007F0C0000}"/>
    <cellStyle name="Normal 10 2 10 2 19" xfId="3200" xr:uid="{00000000-0005-0000-0000-0000800C0000}"/>
    <cellStyle name="Normal 10 2 10 2 19 10" xfId="3201" xr:uid="{00000000-0005-0000-0000-0000810C0000}"/>
    <cellStyle name="Normal 10 2 10 2 19 11" xfId="3202" xr:uid="{00000000-0005-0000-0000-0000820C0000}"/>
    <cellStyle name="Normal 10 2 10 2 19 12" xfId="3203" xr:uid="{00000000-0005-0000-0000-0000830C0000}"/>
    <cellStyle name="Normal 10 2 10 2 19 13" xfId="3204" xr:uid="{00000000-0005-0000-0000-0000840C0000}"/>
    <cellStyle name="Normal 10 2 10 2 19 14" xfId="3205" xr:uid="{00000000-0005-0000-0000-0000850C0000}"/>
    <cellStyle name="Normal 10 2 10 2 19 2" xfId="3206" xr:uid="{00000000-0005-0000-0000-0000860C0000}"/>
    <cellStyle name="Normal 10 2 10 2 19 2 10" xfId="3207" xr:uid="{00000000-0005-0000-0000-0000870C0000}"/>
    <cellStyle name="Normal 10 2 10 2 19 2 2" xfId="3208" xr:uid="{00000000-0005-0000-0000-0000880C0000}"/>
    <cellStyle name="Normal 10 2 10 2 19 2 3" xfId="3209" xr:uid="{00000000-0005-0000-0000-0000890C0000}"/>
    <cellStyle name="Normal 10 2 10 2 19 2 4" xfId="3210" xr:uid="{00000000-0005-0000-0000-00008A0C0000}"/>
    <cellStyle name="Normal 10 2 10 2 19 2 5" xfId="3211" xr:uid="{00000000-0005-0000-0000-00008B0C0000}"/>
    <cellStyle name="Normal 10 2 10 2 19 2 6" xfId="3212" xr:uid="{00000000-0005-0000-0000-00008C0C0000}"/>
    <cellStyle name="Normal 10 2 10 2 19 2 7" xfId="3213" xr:uid="{00000000-0005-0000-0000-00008D0C0000}"/>
    <cellStyle name="Normal 10 2 10 2 19 2 8" xfId="3214" xr:uid="{00000000-0005-0000-0000-00008E0C0000}"/>
    <cellStyle name="Normal 10 2 10 2 19 2 9" xfId="3215" xr:uid="{00000000-0005-0000-0000-00008F0C0000}"/>
    <cellStyle name="Normal 10 2 10 2 19 3" xfId="3216" xr:uid="{00000000-0005-0000-0000-0000900C0000}"/>
    <cellStyle name="Normal 10 2 10 2 19 3 10" xfId="3217" xr:uid="{00000000-0005-0000-0000-0000910C0000}"/>
    <cellStyle name="Normal 10 2 10 2 19 3 2" xfId="3218" xr:uid="{00000000-0005-0000-0000-0000920C0000}"/>
    <cellStyle name="Normal 10 2 10 2 19 3 3" xfId="3219" xr:uid="{00000000-0005-0000-0000-0000930C0000}"/>
    <cellStyle name="Normal 10 2 10 2 19 3 4" xfId="3220" xr:uid="{00000000-0005-0000-0000-0000940C0000}"/>
    <cellStyle name="Normal 10 2 10 2 19 3 5" xfId="3221" xr:uid="{00000000-0005-0000-0000-0000950C0000}"/>
    <cellStyle name="Normal 10 2 10 2 19 3 6" xfId="3222" xr:uid="{00000000-0005-0000-0000-0000960C0000}"/>
    <cellStyle name="Normal 10 2 10 2 19 3 7" xfId="3223" xr:uid="{00000000-0005-0000-0000-0000970C0000}"/>
    <cellStyle name="Normal 10 2 10 2 19 3 8" xfId="3224" xr:uid="{00000000-0005-0000-0000-0000980C0000}"/>
    <cellStyle name="Normal 10 2 10 2 19 3 9" xfId="3225" xr:uid="{00000000-0005-0000-0000-0000990C0000}"/>
    <cellStyle name="Normal 10 2 10 2 19 4" xfId="3226" xr:uid="{00000000-0005-0000-0000-00009A0C0000}"/>
    <cellStyle name="Normal 10 2 10 2 19 4 10" xfId="3227" xr:uid="{00000000-0005-0000-0000-00009B0C0000}"/>
    <cellStyle name="Normal 10 2 10 2 19 4 2" xfId="3228" xr:uid="{00000000-0005-0000-0000-00009C0C0000}"/>
    <cellStyle name="Normal 10 2 10 2 19 4 3" xfId="3229" xr:uid="{00000000-0005-0000-0000-00009D0C0000}"/>
    <cellStyle name="Normal 10 2 10 2 19 4 4" xfId="3230" xr:uid="{00000000-0005-0000-0000-00009E0C0000}"/>
    <cellStyle name="Normal 10 2 10 2 19 4 5" xfId="3231" xr:uid="{00000000-0005-0000-0000-00009F0C0000}"/>
    <cellStyle name="Normal 10 2 10 2 19 4 6" xfId="3232" xr:uid="{00000000-0005-0000-0000-0000A00C0000}"/>
    <cellStyle name="Normal 10 2 10 2 19 4 7" xfId="3233" xr:uid="{00000000-0005-0000-0000-0000A10C0000}"/>
    <cellStyle name="Normal 10 2 10 2 19 4 8" xfId="3234" xr:uid="{00000000-0005-0000-0000-0000A20C0000}"/>
    <cellStyle name="Normal 10 2 10 2 19 4 9" xfId="3235" xr:uid="{00000000-0005-0000-0000-0000A30C0000}"/>
    <cellStyle name="Normal 10 2 10 2 19 5" xfId="3236" xr:uid="{00000000-0005-0000-0000-0000A40C0000}"/>
    <cellStyle name="Normal 10 2 10 2 19 5 10" xfId="3237" xr:uid="{00000000-0005-0000-0000-0000A50C0000}"/>
    <cellStyle name="Normal 10 2 10 2 19 5 2" xfId="3238" xr:uid="{00000000-0005-0000-0000-0000A60C0000}"/>
    <cellStyle name="Normal 10 2 10 2 19 5 3" xfId="3239" xr:uid="{00000000-0005-0000-0000-0000A70C0000}"/>
    <cellStyle name="Normal 10 2 10 2 19 5 4" xfId="3240" xr:uid="{00000000-0005-0000-0000-0000A80C0000}"/>
    <cellStyle name="Normal 10 2 10 2 19 5 5" xfId="3241" xr:uid="{00000000-0005-0000-0000-0000A90C0000}"/>
    <cellStyle name="Normal 10 2 10 2 19 5 6" xfId="3242" xr:uid="{00000000-0005-0000-0000-0000AA0C0000}"/>
    <cellStyle name="Normal 10 2 10 2 19 5 7" xfId="3243" xr:uid="{00000000-0005-0000-0000-0000AB0C0000}"/>
    <cellStyle name="Normal 10 2 10 2 19 5 8" xfId="3244" xr:uid="{00000000-0005-0000-0000-0000AC0C0000}"/>
    <cellStyle name="Normal 10 2 10 2 19 5 9" xfId="3245" xr:uid="{00000000-0005-0000-0000-0000AD0C0000}"/>
    <cellStyle name="Normal 10 2 10 2 19 6" xfId="3246" xr:uid="{00000000-0005-0000-0000-0000AE0C0000}"/>
    <cellStyle name="Normal 10 2 10 2 19 7" xfId="3247" xr:uid="{00000000-0005-0000-0000-0000AF0C0000}"/>
    <cellStyle name="Normal 10 2 10 2 19 8" xfId="3248" xr:uid="{00000000-0005-0000-0000-0000B00C0000}"/>
    <cellStyle name="Normal 10 2 10 2 19 9" xfId="3249" xr:uid="{00000000-0005-0000-0000-0000B10C0000}"/>
    <cellStyle name="Normal 10 2 10 2 2" xfId="3250" xr:uid="{00000000-0005-0000-0000-0000B20C0000}"/>
    <cellStyle name="Normal 10 2 10 2 2 10" xfId="3251" xr:uid="{00000000-0005-0000-0000-0000B30C0000}"/>
    <cellStyle name="Normal 10 2 10 2 2 11" xfId="3252" xr:uid="{00000000-0005-0000-0000-0000B40C0000}"/>
    <cellStyle name="Normal 10 2 10 2 2 12" xfId="3253" xr:uid="{00000000-0005-0000-0000-0000B50C0000}"/>
    <cellStyle name="Normal 10 2 10 2 2 13" xfId="3254" xr:uid="{00000000-0005-0000-0000-0000B60C0000}"/>
    <cellStyle name="Normal 10 2 10 2 2 14" xfId="3255" xr:uid="{00000000-0005-0000-0000-0000B70C0000}"/>
    <cellStyle name="Normal 10 2 10 2 2 2" xfId="3256" xr:uid="{00000000-0005-0000-0000-0000B80C0000}"/>
    <cellStyle name="Normal 10 2 10 2 2 2 10" xfId="3257" xr:uid="{00000000-0005-0000-0000-0000B90C0000}"/>
    <cellStyle name="Normal 10 2 10 2 2 2 2" xfId="3258" xr:uid="{00000000-0005-0000-0000-0000BA0C0000}"/>
    <cellStyle name="Normal 10 2 10 2 2 2 3" xfId="3259" xr:uid="{00000000-0005-0000-0000-0000BB0C0000}"/>
    <cellStyle name="Normal 10 2 10 2 2 2 4" xfId="3260" xr:uid="{00000000-0005-0000-0000-0000BC0C0000}"/>
    <cellStyle name="Normal 10 2 10 2 2 2 5" xfId="3261" xr:uid="{00000000-0005-0000-0000-0000BD0C0000}"/>
    <cellStyle name="Normal 10 2 10 2 2 2 6" xfId="3262" xr:uid="{00000000-0005-0000-0000-0000BE0C0000}"/>
    <cellStyle name="Normal 10 2 10 2 2 2 7" xfId="3263" xr:uid="{00000000-0005-0000-0000-0000BF0C0000}"/>
    <cellStyle name="Normal 10 2 10 2 2 2 8" xfId="3264" xr:uid="{00000000-0005-0000-0000-0000C00C0000}"/>
    <cellStyle name="Normal 10 2 10 2 2 2 9" xfId="3265" xr:uid="{00000000-0005-0000-0000-0000C10C0000}"/>
    <cellStyle name="Normal 10 2 10 2 2 3" xfId="3266" xr:uid="{00000000-0005-0000-0000-0000C20C0000}"/>
    <cellStyle name="Normal 10 2 10 2 2 3 10" xfId="3267" xr:uid="{00000000-0005-0000-0000-0000C30C0000}"/>
    <cellStyle name="Normal 10 2 10 2 2 3 2" xfId="3268" xr:uid="{00000000-0005-0000-0000-0000C40C0000}"/>
    <cellStyle name="Normal 10 2 10 2 2 3 3" xfId="3269" xr:uid="{00000000-0005-0000-0000-0000C50C0000}"/>
    <cellStyle name="Normal 10 2 10 2 2 3 4" xfId="3270" xr:uid="{00000000-0005-0000-0000-0000C60C0000}"/>
    <cellStyle name="Normal 10 2 10 2 2 3 5" xfId="3271" xr:uid="{00000000-0005-0000-0000-0000C70C0000}"/>
    <cellStyle name="Normal 10 2 10 2 2 3 6" xfId="3272" xr:uid="{00000000-0005-0000-0000-0000C80C0000}"/>
    <cellStyle name="Normal 10 2 10 2 2 3 7" xfId="3273" xr:uid="{00000000-0005-0000-0000-0000C90C0000}"/>
    <cellStyle name="Normal 10 2 10 2 2 3 8" xfId="3274" xr:uid="{00000000-0005-0000-0000-0000CA0C0000}"/>
    <cellStyle name="Normal 10 2 10 2 2 3 9" xfId="3275" xr:uid="{00000000-0005-0000-0000-0000CB0C0000}"/>
    <cellStyle name="Normal 10 2 10 2 2 4" xfId="3276" xr:uid="{00000000-0005-0000-0000-0000CC0C0000}"/>
    <cellStyle name="Normal 10 2 10 2 2 4 10" xfId="3277" xr:uid="{00000000-0005-0000-0000-0000CD0C0000}"/>
    <cellStyle name="Normal 10 2 10 2 2 4 2" xfId="3278" xr:uid="{00000000-0005-0000-0000-0000CE0C0000}"/>
    <cellStyle name="Normal 10 2 10 2 2 4 3" xfId="3279" xr:uid="{00000000-0005-0000-0000-0000CF0C0000}"/>
    <cellStyle name="Normal 10 2 10 2 2 4 4" xfId="3280" xr:uid="{00000000-0005-0000-0000-0000D00C0000}"/>
    <cellStyle name="Normal 10 2 10 2 2 4 5" xfId="3281" xr:uid="{00000000-0005-0000-0000-0000D10C0000}"/>
    <cellStyle name="Normal 10 2 10 2 2 4 6" xfId="3282" xr:uid="{00000000-0005-0000-0000-0000D20C0000}"/>
    <cellStyle name="Normal 10 2 10 2 2 4 7" xfId="3283" xr:uid="{00000000-0005-0000-0000-0000D30C0000}"/>
    <cellStyle name="Normal 10 2 10 2 2 4 8" xfId="3284" xr:uid="{00000000-0005-0000-0000-0000D40C0000}"/>
    <cellStyle name="Normal 10 2 10 2 2 4 9" xfId="3285" xr:uid="{00000000-0005-0000-0000-0000D50C0000}"/>
    <cellStyle name="Normal 10 2 10 2 2 5" xfId="3286" xr:uid="{00000000-0005-0000-0000-0000D60C0000}"/>
    <cellStyle name="Normal 10 2 10 2 2 5 10" xfId="3287" xr:uid="{00000000-0005-0000-0000-0000D70C0000}"/>
    <cellStyle name="Normal 10 2 10 2 2 5 2" xfId="3288" xr:uid="{00000000-0005-0000-0000-0000D80C0000}"/>
    <cellStyle name="Normal 10 2 10 2 2 5 3" xfId="3289" xr:uid="{00000000-0005-0000-0000-0000D90C0000}"/>
    <cellStyle name="Normal 10 2 10 2 2 5 4" xfId="3290" xr:uid="{00000000-0005-0000-0000-0000DA0C0000}"/>
    <cellStyle name="Normal 10 2 10 2 2 5 5" xfId="3291" xr:uid="{00000000-0005-0000-0000-0000DB0C0000}"/>
    <cellStyle name="Normal 10 2 10 2 2 5 6" xfId="3292" xr:uid="{00000000-0005-0000-0000-0000DC0C0000}"/>
    <cellStyle name="Normal 10 2 10 2 2 5 7" xfId="3293" xr:uid="{00000000-0005-0000-0000-0000DD0C0000}"/>
    <cellStyle name="Normal 10 2 10 2 2 5 8" xfId="3294" xr:uid="{00000000-0005-0000-0000-0000DE0C0000}"/>
    <cellStyle name="Normal 10 2 10 2 2 5 9" xfId="3295" xr:uid="{00000000-0005-0000-0000-0000DF0C0000}"/>
    <cellStyle name="Normal 10 2 10 2 2 6" xfId="3296" xr:uid="{00000000-0005-0000-0000-0000E00C0000}"/>
    <cellStyle name="Normal 10 2 10 2 2 7" xfId="3297" xr:uid="{00000000-0005-0000-0000-0000E10C0000}"/>
    <cellStyle name="Normal 10 2 10 2 2 8" xfId="3298" xr:uid="{00000000-0005-0000-0000-0000E20C0000}"/>
    <cellStyle name="Normal 10 2 10 2 2 9" xfId="3299" xr:uid="{00000000-0005-0000-0000-0000E30C0000}"/>
    <cellStyle name="Normal 10 2 10 2 20" xfId="3300" xr:uid="{00000000-0005-0000-0000-0000E40C0000}"/>
    <cellStyle name="Normal 10 2 10 2 20 10" xfId="3301" xr:uid="{00000000-0005-0000-0000-0000E50C0000}"/>
    <cellStyle name="Normal 10 2 10 2 20 11" xfId="3302" xr:uid="{00000000-0005-0000-0000-0000E60C0000}"/>
    <cellStyle name="Normal 10 2 10 2 20 12" xfId="3303" xr:uid="{00000000-0005-0000-0000-0000E70C0000}"/>
    <cellStyle name="Normal 10 2 10 2 20 13" xfId="3304" xr:uid="{00000000-0005-0000-0000-0000E80C0000}"/>
    <cellStyle name="Normal 10 2 10 2 20 14" xfId="3305" xr:uid="{00000000-0005-0000-0000-0000E90C0000}"/>
    <cellStyle name="Normal 10 2 10 2 20 2" xfId="3306" xr:uid="{00000000-0005-0000-0000-0000EA0C0000}"/>
    <cellStyle name="Normal 10 2 10 2 20 2 10" xfId="3307" xr:uid="{00000000-0005-0000-0000-0000EB0C0000}"/>
    <cellStyle name="Normal 10 2 10 2 20 2 2" xfId="3308" xr:uid="{00000000-0005-0000-0000-0000EC0C0000}"/>
    <cellStyle name="Normal 10 2 10 2 20 2 3" xfId="3309" xr:uid="{00000000-0005-0000-0000-0000ED0C0000}"/>
    <cellStyle name="Normal 10 2 10 2 20 2 4" xfId="3310" xr:uid="{00000000-0005-0000-0000-0000EE0C0000}"/>
    <cellStyle name="Normal 10 2 10 2 20 2 5" xfId="3311" xr:uid="{00000000-0005-0000-0000-0000EF0C0000}"/>
    <cellStyle name="Normal 10 2 10 2 20 2 6" xfId="3312" xr:uid="{00000000-0005-0000-0000-0000F00C0000}"/>
    <cellStyle name="Normal 10 2 10 2 20 2 7" xfId="3313" xr:uid="{00000000-0005-0000-0000-0000F10C0000}"/>
    <cellStyle name="Normal 10 2 10 2 20 2 8" xfId="3314" xr:uid="{00000000-0005-0000-0000-0000F20C0000}"/>
    <cellStyle name="Normal 10 2 10 2 20 2 9" xfId="3315" xr:uid="{00000000-0005-0000-0000-0000F30C0000}"/>
    <cellStyle name="Normal 10 2 10 2 20 3" xfId="3316" xr:uid="{00000000-0005-0000-0000-0000F40C0000}"/>
    <cellStyle name="Normal 10 2 10 2 20 3 10" xfId="3317" xr:uid="{00000000-0005-0000-0000-0000F50C0000}"/>
    <cellStyle name="Normal 10 2 10 2 20 3 2" xfId="3318" xr:uid="{00000000-0005-0000-0000-0000F60C0000}"/>
    <cellStyle name="Normal 10 2 10 2 20 3 3" xfId="3319" xr:uid="{00000000-0005-0000-0000-0000F70C0000}"/>
    <cellStyle name="Normal 10 2 10 2 20 3 4" xfId="3320" xr:uid="{00000000-0005-0000-0000-0000F80C0000}"/>
    <cellStyle name="Normal 10 2 10 2 20 3 5" xfId="3321" xr:uid="{00000000-0005-0000-0000-0000F90C0000}"/>
    <cellStyle name="Normal 10 2 10 2 20 3 6" xfId="3322" xr:uid="{00000000-0005-0000-0000-0000FA0C0000}"/>
    <cellStyle name="Normal 10 2 10 2 20 3 7" xfId="3323" xr:uid="{00000000-0005-0000-0000-0000FB0C0000}"/>
    <cellStyle name="Normal 10 2 10 2 20 3 8" xfId="3324" xr:uid="{00000000-0005-0000-0000-0000FC0C0000}"/>
    <cellStyle name="Normal 10 2 10 2 20 3 9" xfId="3325" xr:uid="{00000000-0005-0000-0000-0000FD0C0000}"/>
    <cellStyle name="Normal 10 2 10 2 20 4" xfId="3326" xr:uid="{00000000-0005-0000-0000-0000FE0C0000}"/>
    <cellStyle name="Normal 10 2 10 2 20 4 10" xfId="3327" xr:uid="{00000000-0005-0000-0000-0000FF0C0000}"/>
    <cellStyle name="Normal 10 2 10 2 20 4 2" xfId="3328" xr:uid="{00000000-0005-0000-0000-0000000D0000}"/>
    <cellStyle name="Normal 10 2 10 2 20 4 3" xfId="3329" xr:uid="{00000000-0005-0000-0000-0000010D0000}"/>
    <cellStyle name="Normal 10 2 10 2 20 4 4" xfId="3330" xr:uid="{00000000-0005-0000-0000-0000020D0000}"/>
    <cellStyle name="Normal 10 2 10 2 20 4 5" xfId="3331" xr:uid="{00000000-0005-0000-0000-0000030D0000}"/>
    <cellStyle name="Normal 10 2 10 2 20 4 6" xfId="3332" xr:uid="{00000000-0005-0000-0000-0000040D0000}"/>
    <cellStyle name="Normal 10 2 10 2 20 4 7" xfId="3333" xr:uid="{00000000-0005-0000-0000-0000050D0000}"/>
    <cellStyle name="Normal 10 2 10 2 20 4 8" xfId="3334" xr:uid="{00000000-0005-0000-0000-0000060D0000}"/>
    <cellStyle name="Normal 10 2 10 2 20 4 9" xfId="3335" xr:uid="{00000000-0005-0000-0000-0000070D0000}"/>
    <cellStyle name="Normal 10 2 10 2 20 5" xfId="3336" xr:uid="{00000000-0005-0000-0000-0000080D0000}"/>
    <cellStyle name="Normal 10 2 10 2 20 5 10" xfId="3337" xr:uid="{00000000-0005-0000-0000-0000090D0000}"/>
    <cellStyle name="Normal 10 2 10 2 20 5 2" xfId="3338" xr:uid="{00000000-0005-0000-0000-00000A0D0000}"/>
    <cellStyle name="Normal 10 2 10 2 20 5 3" xfId="3339" xr:uid="{00000000-0005-0000-0000-00000B0D0000}"/>
    <cellStyle name="Normal 10 2 10 2 20 5 4" xfId="3340" xr:uid="{00000000-0005-0000-0000-00000C0D0000}"/>
    <cellStyle name="Normal 10 2 10 2 20 5 5" xfId="3341" xr:uid="{00000000-0005-0000-0000-00000D0D0000}"/>
    <cellStyle name="Normal 10 2 10 2 20 5 6" xfId="3342" xr:uid="{00000000-0005-0000-0000-00000E0D0000}"/>
    <cellStyle name="Normal 10 2 10 2 20 5 7" xfId="3343" xr:uid="{00000000-0005-0000-0000-00000F0D0000}"/>
    <cellStyle name="Normal 10 2 10 2 20 5 8" xfId="3344" xr:uid="{00000000-0005-0000-0000-0000100D0000}"/>
    <cellStyle name="Normal 10 2 10 2 20 5 9" xfId="3345" xr:uid="{00000000-0005-0000-0000-0000110D0000}"/>
    <cellStyle name="Normal 10 2 10 2 20 6" xfId="3346" xr:uid="{00000000-0005-0000-0000-0000120D0000}"/>
    <cellStyle name="Normal 10 2 10 2 20 7" xfId="3347" xr:uid="{00000000-0005-0000-0000-0000130D0000}"/>
    <cellStyle name="Normal 10 2 10 2 20 8" xfId="3348" xr:uid="{00000000-0005-0000-0000-0000140D0000}"/>
    <cellStyle name="Normal 10 2 10 2 20 9" xfId="3349" xr:uid="{00000000-0005-0000-0000-0000150D0000}"/>
    <cellStyle name="Normal 10 2 10 2 21" xfId="3350" xr:uid="{00000000-0005-0000-0000-0000160D0000}"/>
    <cellStyle name="Normal 10 2 10 2 21 10" xfId="3351" xr:uid="{00000000-0005-0000-0000-0000170D0000}"/>
    <cellStyle name="Normal 10 2 10 2 21 11" xfId="3352" xr:uid="{00000000-0005-0000-0000-0000180D0000}"/>
    <cellStyle name="Normal 10 2 10 2 21 12" xfId="3353" xr:uid="{00000000-0005-0000-0000-0000190D0000}"/>
    <cellStyle name="Normal 10 2 10 2 21 13" xfId="3354" xr:uid="{00000000-0005-0000-0000-00001A0D0000}"/>
    <cellStyle name="Normal 10 2 10 2 21 14" xfId="3355" xr:uid="{00000000-0005-0000-0000-00001B0D0000}"/>
    <cellStyle name="Normal 10 2 10 2 21 2" xfId="3356" xr:uid="{00000000-0005-0000-0000-00001C0D0000}"/>
    <cellStyle name="Normal 10 2 10 2 21 2 10" xfId="3357" xr:uid="{00000000-0005-0000-0000-00001D0D0000}"/>
    <cellStyle name="Normal 10 2 10 2 21 2 2" xfId="3358" xr:uid="{00000000-0005-0000-0000-00001E0D0000}"/>
    <cellStyle name="Normal 10 2 10 2 21 2 3" xfId="3359" xr:uid="{00000000-0005-0000-0000-00001F0D0000}"/>
    <cellStyle name="Normal 10 2 10 2 21 2 4" xfId="3360" xr:uid="{00000000-0005-0000-0000-0000200D0000}"/>
    <cellStyle name="Normal 10 2 10 2 21 2 5" xfId="3361" xr:uid="{00000000-0005-0000-0000-0000210D0000}"/>
    <cellStyle name="Normal 10 2 10 2 21 2 6" xfId="3362" xr:uid="{00000000-0005-0000-0000-0000220D0000}"/>
    <cellStyle name="Normal 10 2 10 2 21 2 7" xfId="3363" xr:uid="{00000000-0005-0000-0000-0000230D0000}"/>
    <cellStyle name="Normal 10 2 10 2 21 2 8" xfId="3364" xr:uid="{00000000-0005-0000-0000-0000240D0000}"/>
    <cellStyle name="Normal 10 2 10 2 21 2 9" xfId="3365" xr:uid="{00000000-0005-0000-0000-0000250D0000}"/>
    <cellStyle name="Normal 10 2 10 2 21 3" xfId="3366" xr:uid="{00000000-0005-0000-0000-0000260D0000}"/>
    <cellStyle name="Normal 10 2 10 2 21 3 10" xfId="3367" xr:uid="{00000000-0005-0000-0000-0000270D0000}"/>
    <cellStyle name="Normal 10 2 10 2 21 3 2" xfId="3368" xr:uid="{00000000-0005-0000-0000-0000280D0000}"/>
    <cellStyle name="Normal 10 2 10 2 21 3 3" xfId="3369" xr:uid="{00000000-0005-0000-0000-0000290D0000}"/>
    <cellStyle name="Normal 10 2 10 2 21 3 4" xfId="3370" xr:uid="{00000000-0005-0000-0000-00002A0D0000}"/>
    <cellStyle name="Normal 10 2 10 2 21 3 5" xfId="3371" xr:uid="{00000000-0005-0000-0000-00002B0D0000}"/>
    <cellStyle name="Normal 10 2 10 2 21 3 6" xfId="3372" xr:uid="{00000000-0005-0000-0000-00002C0D0000}"/>
    <cellStyle name="Normal 10 2 10 2 21 3 7" xfId="3373" xr:uid="{00000000-0005-0000-0000-00002D0D0000}"/>
    <cellStyle name="Normal 10 2 10 2 21 3 8" xfId="3374" xr:uid="{00000000-0005-0000-0000-00002E0D0000}"/>
    <cellStyle name="Normal 10 2 10 2 21 3 9" xfId="3375" xr:uid="{00000000-0005-0000-0000-00002F0D0000}"/>
    <cellStyle name="Normal 10 2 10 2 21 4" xfId="3376" xr:uid="{00000000-0005-0000-0000-0000300D0000}"/>
    <cellStyle name="Normal 10 2 10 2 21 4 10" xfId="3377" xr:uid="{00000000-0005-0000-0000-0000310D0000}"/>
    <cellStyle name="Normal 10 2 10 2 21 4 2" xfId="3378" xr:uid="{00000000-0005-0000-0000-0000320D0000}"/>
    <cellStyle name="Normal 10 2 10 2 21 4 3" xfId="3379" xr:uid="{00000000-0005-0000-0000-0000330D0000}"/>
    <cellStyle name="Normal 10 2 10 2 21 4 4" xfId="3380" xr:uid="{00000000-0005-0000-0000-0000340D0000}"/>
    <cellStyle name="Normal 10 2 10 2 21 4 5" xfId="3381" xr:uid="{00000000-0005-0000-0000-0000350D0000}"/>
    <cellStyle name="Normal 10 2 10 2 21 4 6" xfId="3382" xr:uid="{00000000-0005-0000-0000-0000360D0000}"/>
    <cellStyle name="Normal 10 2 10 2 21 4 7" xfId="3383" xr:uid="{00000000-0005-0000-0000-0000370D0000}"/>
    <cellStyle name="Normal 10 2 10 2 21 4 8" xfId="3384" xr:uid="{00000000-0005-0000-0000-0000380D0000}"/>
    <cellStyle name="Normal 10 2 10 2 21 4 9" xfId="3385" xr:uid="{00000000-0005-0000-0000-0000390D0000}"/>
    <cellStyle name="Normal 10 2 10 2 21 5" xfId="3386" xr:uid="{00000000-0005-0000-0000-00003A0D0000}"/>
    <cellStyle name="Normal 10 2 10 2 21 5 10" xfId="3387" xr:uid="{00000000-0005-0000-0000-00003B0D0000}"/>
    <cellStyle name="Normal 10 2 10 2 21 5 2" xfId="3388" xr:uid="{00000000-0005-0000-0000-00003C0D0000}"/>
    <cellStyle name="Normal 10 2 10 2 21 5 3" xfId="3389" xr:uid="{00000000-0005-0000-0000-00003D0D0000}"/>
    <cellStyle name="Normal 10 2 10 2 21 5 4" xfId="3390" xr:uid="{00000000-0005-0000-0000-00003E0D0000}"/>
    <cellStyle name="Normal 10 2 10 2 21 5 5" xfId="3391" xr:uid="{00000000-0005-0000-0000-00003F0D0000}"/>
    <cellStyle name="Normal 10 2 10 2 21 5 6" xfId="3392" xr:uid="{00000000-0005-0000-0000-0000400D0000}"/>
    <cellStyle name="Normal 10 2 10 2 21 5 7" xfId="3393" xr:uid="{00000000-0005-0000-0000-0000410D0000}"/>
    <cellStyle name="Normal 10 2 10 2 21 5 8" xfId="3394" xr:uid="{00000000-0005-0000-0000-0000420D0000}"/>
    <cellStyle name="Normal 10 2 10 2 21 5 9" xfId="3395" xr:uid="{00000000-0005-0000-0000-0000430D0000}"/>
    <cellStyle name="Normal 10 2 10 2 21 6" xfId="3396" xr:uid="{00000000-0005-0000-0000-0000440D0000}"/>
    <cellStyle name="Normal 10 2 10 2 21 7" xfId="3397" xr:uid="{00000000-0005-0000-0000-0000450D0000}"/>
    <cellStyle name="Normal 10 2 10 2 21 8" xfId="3398" xr:uid="{00000000-0005-0000-0000-0000460D0000}"/>
    <cellStyle name="Normal 10 2 10 2 21 9" xfId="3399" xr:uid="{00000000-0005-0000-0000-0000470D0000}"/>
    <cellStyle name="Normal 10 2 10 2 22" xfId="3400" xr:uid="{00000000-0005-0000-0000-0000480D0000}"/>
    <cellStyle name="Normal 10 2 10 2 22 10" xfId="3401" xr:uid="{00000000-0005-0000-0000-0000490D0000}"/>
    <cellStyle name="Normal 10 2 10 2 22 11" xfId="3402" xr:uid="{00000000-0005-0000-0000-00004A0D0000}"/>
    <cellStyle name="Normal 10 2 10 2 22 12" xfId="3403" xr:uid="{00000000-0005-0000-0000-00004B0D0000}"/>
    <cellStyle name="Normal 10 2 10 2 22 13" xfId="3404" xr:uid="{00000000-0005-0000-0000-00004C0D0000}"/>
    <cellStyle name="Normal 10 2 10 2 22 14" xfId="3405" xr:uid="{00000000-0005-0000-0000-00004D0D0000}"/>
    <cellStyle name="Normal 10 2 10 2 22 2" xfId="3406" xr:uid="{00000000-0005-0000-0000-00004E0D0000}"/>
    <cellStyle name="Normal 10 2 10 2 22 2 10" xfId="3407" xr:uid="{00000000-0005-0000-0000-00004F0D0000}"/>
    <cellStyle name="Normal 10 2 10 2 22 2 2" xfId="3408" xr:uid="{00000000-0005-0000-0000-0000500D0000}"/>
    <cellStyle name="Normal 10 2 10 2 22 2 3" xfId="3409" xr:uid="{00000000-0005-0000-0000-0000510D0000}"/>
    <cellStyle name="Normal 10 2 10 2 22 2 4" xfId="3410" xr:uid="{00000000-0005-0000-0000-0000520D0000}"/>
    <cellStyle name="Normal 10 2 10 2 22 2 5" xfId="3411" xr:uid="{00000000-0005-0000-0000-0000530D0000}"/>
    <cellStyle name="Normal 10 2 10 2 22 2 6" xfId="3412" xr:uid="{00000000-0005-0000-0000-0000540D0000}"/>
    <cellStyle name="Normal 10 2 10 2 22 2 7" xfId="3413" xr:uid="{00000000-0005-0000-0000-0000550D0000}"/>
    <cellStyle name="Normal 10 2 10 2 22 2 8" xfId="3414" xr:uid="{00000000-0005-0000-0000-0000560D0000}"/>
    <cellStyle name="Normal 10 2 10 2 22 2 9" xfId="3415" xr:uid="{00000000-0005-0000-0000-0000570D0000}"/>
    <cellStyle name="Normal 10 2 10 2 22 3" xfId="3416" xr:uid="{00000000-0005-0000-0000-0000580D0000}"/>
    <cellStyle name="Normal 10 2 10 2 22 3 10" xfId="3417" xr:uid="{00000000-0005-0000-0000-0000590D0000}"/>
    <cellStyle name="Normal 10 2 10 2 22 3 2" xfId="3418" xr:uid="{00000000-0005-0000-0000-00005A0D0000}"/>
    <cellStyle name="Normal 10 2 10 2 22 3 3" xfId="3419" xr:uid="{00000000-0005-0000-0000-00005B0D0000}"/>
    <cellStyle name="Normal 10 2 10 2 22 3 4" xfId="3420" xr:uid="{00000000-0005-0000-0000-00005C0D0000}"/>
    <cellStyle name="Normal 10 2 10 2 22 3 5" xfId="3421" xr:uid="{00000000-0005-0000-0000-00005D0D0000}"/>
    <cellStyle name="Normal 10 2 10 2 22 3 6" xfId="3422" xr:uid="{00000000-0005-0000-0000-00005E0D0000}"/>
    <cellStyle name="Normal 10 2 10 2 22 3 7" xfId="3423" xr:uid="{00000000-0005-0000-0000-00005F0D0000}"/>
    <cellStyle name="Normal 10 2 10 2 22 3 8" xfId="3424" xr:uid="{00000000-0005-0000-0000-0000600D0000}"/>
    <cellStyle name="Normal 10 2 10 2 22 3 9" xfId="3425" xr:uid="{00000000-0005-0000-0000-0000610D0000}"/>
    <cellStyle name="Normal 10 2 10 2 22 4" xfId="3426" xr:uid="{00000000-0005-0000-0000-0000620D0000}"/>
    <cellStyle name="Normal 10 2 10 2 22 4 10" xfId="3427" xr:uid="{00000000-0005-0000-0000-0000630D0000}"/>
    <cellStyle name="Normal 10 2 10 2 22 4 2" xfId="3428" xr:uid="{00000000-0005-0000-0000-0000640D0000}"/>
    <cellStyle name="Normal 10 2 10 2 22 4 3" xfId="3429" xr:uid="{00000000-0005-0000-0000-0000650D0000}"/>
    <cellStyle name="Normal 10 2 10 2 22 4 4" xfId="3430" xr:uid="{00000000-0005-0000-0000-0000660D0000}"/>
    <cellStyle name="Normal 10 2 10 2 22 4 5" xfId="3431" xr:uid="{00000000-0005-0000-0000-0000670D0000}"/>
    <cellStyle name="Normal 10 2 10 2 22 4 6" xfId="3432" xr:uid="{00000000-0005-0000-0000-0000680D0000}"/>
    <cellStyle name="Normal 10 2 10 2 22 4 7" xfId="3433" xr:uid="{00000000-0005-0000-0000-0000690D0000}"/>
    <cellStyle name="Normal 10 2 10 2 22 4 8" xfId="3434" xr:uid="{00000000-0005-0000-0000-00006A0D0000}"/>
    <cellStyle name="Normal 10 2 10 2 22 4 9" xfId="3435" xr:uid="{00000000-0005-0000-0000-00006B0D0000}"/>
    <cellStyle name="Normal 10 2 10 2 22 5" xfId="3436" xr:uid="{00000000-0005-0000-0000-00006C0D0000}"/>
    <cellStyle name="Normal 10 2 10 2 22 5 10" xfId="3437" xr:uid="{00000000-0005-0000-0000-00006D0D0000}"/>
    <cellStyle name="Normal 10 2 10 2 22 5 2" xfId="3438" xr:uid="{00000000-0005-0000-0000-00006E0D0000}"/>
    <cellStyle name="Normal 10 2 10 2 22 5 3" xfId="3439" xr:uid="{00000000-0005-0000-0000-00006F0D0000}"/>
    <cellStyle name="Normal 10 2 10 2 22 5 4" xfId="3440" xr:uid="{00000000-0005-0000-0000-0000700D0000}"/>
    <cellStyle name="Normal 10 2 10 2 22 5 5" xfId="3441" xr:uid="{00000000-0005-0000-0000-0000710D0000}"/>
    <cellStyle name="Normal 10 2 10 2 22 5 6" xfId="3442" xr:uid="{00000000-0005-0000-0000-0000720D0000}"/>
    <cellStyle name="Normal 10 2 10 2 22 5 7" xfId="3443" xr:uid="{00000000-0005-0000-0000-0000730D0000}"/>
    <cellStyle name="Normal 10 2 10 2 22 5 8" xfId="3444" xr:uid="{00000000-0005-0000-0000-0000740D0000}"/>
    <cellStyle name="Normal 10 2 10 2 22 5 9" xfId="3445" xr:uid="{00000000-0005-0000-0000-0000750D0000}"/>
    <cellStyle name="Normal 10 2 10 2 22 6" xfId="3446" xr:uid="{00000000-0005-0000-0000-0000760D0000}"/>
    <cellStyle name="Normal 10 2 10 2 22 7" xfId="3447" xr:uid="{00000000-0005-0000-0000-0000770D0000}"/>
    <cellStyle name="Normal 10 2 10 2 22 8" xfId="3448" xr:uid="{00000000-0005-0000-0000-0000780D0000}"/>
    <cellStyle name="Normal 10 2 10 2 22 9" xfId="3449" xr:uid="{00000000-0005-0000-0000-0000790D0000}"/>
    <cellStyle name="Normal 10 2 10 2 23" xfId="3450" xr:uid="{00000000-0005-0000-0000-00007A0D0000}"/>
    <cellStyle name="Normal 10 2 10 2 23 10" xfId="3451" xr:uid="{00000000-0005-0000-0000-00007B0D0000}"/>
    <cellStyle name="Normal 10 2 10 2 23 11" xfId="3452" xr:uid="{00000000-0005-0000-0000-00007C0D0000}"/>
    <cellStyle name="Normal 10 2 10 2 23 12" xfId="3453" xr:uid="{00000000-0005-0000-0000-00007D0D0000}"/>
    <cellStyle name="Normal 10 2 10 2 23 13" xfId="3454" xr:uid="{00000000-0005-0000-0000-00007E0D0000}"/>
    <cellStyle name="Normal 10 2 10 2 23 14" xfId="3455" xr:uid="{00000000-0005-0000-0000-00007F0D0000}"/>
    <cellStyle name="Normal 10 2 10 2 23 2" xfId="3456" xr:uid="{00000000-0005-0000-0000-0000800D0000}"/>
    <cellStyle name="Normal 10 2 10 2 23 2 10" xfId="3457" xr:uid="{00000000-0005-0000-0000-0000810D0000}"/>
    <cellStyle name="Normal 10 2 10 2 23 2 2" xfId="3458" xr:uid="{00000000-0005-0000-0000-0000820D0000}"/>
    <cellStyle name="Normal 10 2 10 2 23 2 3" xfId="3459" xr:uid="{00000000-0005-0000-0000-0000830D0000}"/>
    <cellStyle name="Normal 10 2 10 2 23 2 4" xfId="3460" xr:uid="{00000000-0005-0000-0000-0000840D0000}"/>
    <cellStyle name="Normal 10 2 10 2 23 2 5" xfId="3461" xr:uid="{00000000-0005-0000-0000-0000850D0000}"/>
    <cellStyle name="Normal 10 2 10 2 23 2 6" xfId="3462" xr:uid="{00000000-0005-0000-0000-0000860D0000}"/>
    <cellStyle name="Normal 10 2 10 2 23 2 7" xfId="3463" xr:uid="{00000000-0005-0000-0000-0000870D0000}"/>
    <cellStyle name="Normal 10 2 10 2 23 2 8" xfId="3464" xr:uid="{00000000-0005-0000-0000-0000880D0000}"/>
    <cellStyle name="Normal 10 2 10 2 23 2 9" xfId="3465" xr:uid="{00000000-0005-0000-0000-0000890D0000}"/>
    <cellStyle name="Normal 10 2 10 2 23 3" xfId="3466" xr:uid="{00000000-0005-0000-0000-00008A0D0000}"/>
    <cellStyle name="Normal 10 2 10 2 23 3 10" xfId="3467" xr:uid="{00000000-0005-0000-0000-00008B0D0000}"/>
    <cellStyle name="Normal 10 2 10 2 23 3 2" xfId="3468" xr:uid="{00000000-0005-0000-0000-00008C0D0000}"/>
    <cellStyle name="Normal 10 2 10 2 23 3 3" xfId="3469" xr:uid="{00000000-0005-0000-0000-00008D0D0000}"/>
    <cellStyle name="Normal 10 2 10 2 23 3 4" xfId="3470" xr:uid="{00000000-0005-0000-0000-00008E0D0000}"/>
    <cellStyle name="Normal 10 2 10 2 23 3 5" xfId="3471" xr:uid="{00000000-0005-0000-0000-00008F0D0000}"/>
    <cellStyle name="Normal 10 2 10 2 23 3 6" xfId="3472" xr:uid="{00000000-0005-0000-0000-0000900D0000}"/>
    <cellStyle name="Normal 10 2 10 2 23 3 7" xfId="3473" xr:uid="{00000000-0005-0000-0000-0000910D0000}"/>
    <cellStyle name="Normal 10 2 10 2 23 3 8" xfId="3474" xr:uid="{00000000-0005-0000-0000-0000920D0000}"/>
    <cellStyle name="Normal 10 2 10 2 23 3 9" xfId="3475" xr:uid="{00000000-0005-0000-0000-0000930D0000}"/>
    <cellStyle name="Normal 10 2 10 2 23 4" xfId="3476" xr:uid="{00000000-0005-0000-0000-0000940D0000}"/>
    <cellStyle name="Normal 10 2 10 2 23 4 10" xfId="3477" xr:uid="{00000000-0005-0000-0000-0000950D0000}"/>
    <cellStyle name="Normal 10 2 10 2 23 4 2" xfId="3478" xr:uid="{00000000-0005-0000-0000-0000960D0000}"/>
    <cellStyle name="Normal 10 2 10 2 23 4 3" xfId="3479" xr:uid="{00000000-0005-0000-0000-0000970D0000}"/>
    <cellStyle name="Normal 10 2 10 2 23 4 4" xfId="3480" xr:uid="{00000000-0005-0000-0000-0000980D0000}"/>
    <cellStyle name="Normal 10 2 10 2 23 4 5" xfId="3481" xr:uid="{00000000-0005-0000-0000-0000990D0000}"/>
    <cellStyle name="Normal 10 2 10 2 23 4 6" xfId="3482" xr:uid="{00000000-0005-0000-0000-00009A0D0000}"/>
    <cellStyle name="Normal 10 2 10 2 23 4 7" xfId="3483" xr:uid="{00000000-0005-0000-0000-00009B0D0000}"/>
    <cellStyle name="Normal 10 2 10 2 23 4 8" xfId="3484" xr:uid="{00000000-0005-0000-0000-00009C0D0000}"/>
    <cellStyle name="Normal 10 2 10 2 23 4 9" xfId="3485" xr:uid="{00000000-0005-0000-0000-00009D0D0000}"/>
    <cellStyle name="Normal 10 2 10 2 23 5" xfId="3486" xr:uid="{00000000-0005-0000-0000-00009E0D0000}"/>
    <cellStyle name="Normal 10 2 10 2 23 5 10" xfId="3487" xr:uid="{00000000-0005-0000-0000-00009F0D0000}"/>
    <cellStyle name="Normal 10 2 10 2 23 5 2" xfId="3488" xr:uid="{00000000-0005-0000-0000-0000A00D0000}"/>
    <cellStyle name="Normal 10 2 10 2 23 5 3" xfId="3489" xr:uid="{00000000-0005-0000-0000-0000A10D0000}"/>
    <cellStyle name="Normal 10 2 10 2 23 5 4" xfId="3490" xr:uid="{00000000-0005-0000-0000-0000A20D0000}"/>
    <cellStyle name="Normal 10 2 10 2 23 5 5" xfId="3491" xr:uid="{00000000-0005-0000-0000-0000A30D0000}"/>
    <cellStyle name="Normal 10 2 10 2 23 5 6" xfId="3492" xr:uid="{00000000-0005-0000-0000-0000A40D0000}"/>
    <cellStyle name="Normal 10 2 10 2 23 5 7" xfId="3493" xr:uid="{00000000-0005-0000-0000-0000A50D0000}"/>
    <cellStyle name="Normal 10 2 10 2 23 5 8" xfId="3494" xr:uid="{00000000-0005-0000-0000-0000A60D0000}"/>
    <cellStyle name="Normal 10 2 10 2 23 5 9" xfId="3495" xr:uid="{00000000-0005-0000-0000-0000A70D0000}"/>
    <cellStyle name="Normal 10 2 10 2 23 6" xfId="3496" xr:uid="{00000000-0005-0000-0000-0000A80D0000}"/>
    <cellStyle name="Normal 10 2 10 2 23 7" xfId="3497" xr:uid="{00000000-0005-0000-0000-0000A90D0000}"/>
    <cellStyle name="Normal 10 2 10 2 23 8" xfId="3498" xr:uid="{00000000-0005-0000-0000-0000AA0D0000}"/>
    <cellStyle name="Normal 10 2 10 2 23 9" xfId="3499" xr:uid="{00000000-0005-0000-0000-0000AB0D0000}"/>
    <cellStyle name="Normal 10 2 10 2 24" xfId="3500" xr:uid="{00000000-0005-0000-0000-0000AC0D0000}"/>
    <cellStyle name="Normal 10 2 10 2 24 10" xfId="3501" xr:uid="{00000000-0005-0000-0000-0000AD0D0000}"/>
    <cellStyle name="Normal 10 2 10 2 24 11" xfId="3502" xr:uid="{00000000-0005-0000-0000-0000AE0D0000}"/>
    <cellStyle name="Normal 10 2 10 2 24 12" xfId="3503" xr:uid="{00000000-0005-0000-0000-0000AF0D0000}"/>
    <cellStyle name="Normal 10 2 10 2 24 13" xfId="3504" xr:uid="{00000000-0005-0000-0000-0000B00D0000}"/>
    <cellStyle name="Normal 10 2 10 2 24 14" xfId="3505" xr:uid="{00000000-0005-0000-0000-0000B10D0000}"/>
    <cellStyle name="Normal 10 2 10 2 24 2" xfId="3506" xr:uid="{00000000-0005-0000-0000-0000B20D0000}"/>
    <cellStyle name="Normal 10 2 10 2 24 2 10" xfId="3507" xr:uid="{00000000-0005-0000-0000-0000B30D0000}"/>
    <cellStyle name="Normal 10 2 10 2 24 2 2" xfId="3508" xr:uid="{00000000-0005-0000-0000-0000B40D0000}"/>
    <cellStyle name="Normal 10 2 10 2 24 2 3" xfId="3509" xr:uid="{00000000-0005-0000-0000-0000B50D0000}"/>
    <cellStyle name="Normal 10 2 10 2 24 2 4" xfId="3510" xr:uid="{00000000-0005-0000-0000-0000B60D0000}"/>
    <cellStyle name="Normal 10 2 10 2 24 2 5" xfId="3511" xr:uid="{00000000-0005-0000-0000-0000B70D0000}"/>
    <cellStyle name="Normal 10 2 10 2 24 2 6" xfId="3512" xr:uid="{00000000-0005-0000-0000-0000B80D0000}"/>
    <cellStyle name="Normal 10 2 10 2 24 2 7" xfId="3513" xr:uid="{00000000-0005-0000-0000-0000B90D0000}"/>
    <cellStyle name="Normal 10 2 10 2 24 2 8" xfId="3514" xr:uid="{00000000-0005-0000-0000-0000BA0D0000}"/>
    <cellStyle name="Normal 10 2 10 2 24 2 9" xfId="3515" xr:uid="{00000000-0005-0000-0000-0000BB0D0000}"/>
    <cellStyle name="Normal 10 2 10 2 24 3" xfId="3516" xr:uid="{00000000-0005-0000-0000-0000BC0D0000}"/>
    <cellStyle name="Normal 10 2 10 2 24 3 10" xfId="3517" xr:uid="{00000000-0005-0000-0000-0000BD0D0000}"/>
    <cellStyle name="Normal 10 2 10 2 24 3 2" xfId="3518" xr:uid="{00000000-0005-0000-0000-0000BE0D0000}"/>
    <cellStyle name="Normal 10 2 10 2 24 3 3" xfId="3519" xr:uid="{00000000-0005-0000-0000-0000BF0D0000}"/>
    <cellStyle name="Normal 10 2 10 2 24 3 4" xfId="3520" xr:uid="{00000000-0005-0000-0000-0000C00D0000}"/>
    <cellStyle name="Normal 10 2 10 2 24 3 5" xfId="3521" xr:uid="{00000000-0005-0000-0000-0000C10D0000}"/>
    <cellStyle name="Normal 10 2 10 2 24 3 6" xfId="3522" xr:uid="{00000000-0005-0000-0000-0000C20D0000}"/>
    <cellStyle name="Normal 10 2 10 2 24 3 7" xfId="3523" xr:uid="{00000000-0005-0000-0000-0000C30D0000}"/>
    <cellStyle name="Normal 10 2 10 2 24 3 8" xfId="3524" xr:uid="{00000000-0005-0000-0000-0000C40D0000}"/>
    <cellStyle name="Normal 10 2 10 2 24 3 9" xfId="3525" xr:uid="{00000000-0005-0000-0000-0000C50D0000}"/>
    <cellStyle name="Normal 10 2 10 2 24 4" xfId="3526" xr:uid="{00000000-0005-0000-0000-0000C60D0000}"/>
    <cellStyle name="Normal 10 2 10 2 24 4 10" xfId="3527" xr:uid="{00000000-0005-0000-0000-0000C70D0000}"/>
    <cellStyle name="Normal 10 2 10 2 24 4 2" xfId="3528" xr:uid="{00000000-0005-0000-0000-0000C80D0000}"/>
    <cellStyle name="Normal 10 2 10 2 24 4 3" xfId="3529" xr:uid="{00000000-0005-0000-0000-0000C90D0000}"/>
    <cellStyle name="Normal 10 2 10 2 24 4 4" xfId="3530" xr:uid="{00000000-0005-0000-0000-0000CA0D0000}"/>
    <cellStyle name="Normal 10 2 10 2 24 4 5" xfId="3531" xr:uid="{00000000-0005-0000-0000-0000CB0D0000}"/>
    <cellStyle name="Normal 10 2 10 2 24 4 6" xfId="3532" xr:uid="{00000000-0005-0000-0000-0000CC0D0000}"/>
    <cellStyle name="Normal 10 2 10 2 24 4 7" xfId="3533" xr:uid="{00000000-0005-0000-0000-0000CD0D0000}"/>
    <cellStyle name="Normal 10 2 10 2 24 4 8" xfId="3534" xr:uid="{00000000-0005-0000-0000-0000CE0D0000}"/>
    <cellStyle name="Normal 10 2 10 2 24 4 9" xfId="3535" xr:uid="{00000000-0005-0000-0000-0000CF0D0000}"/>
    <cellStyle name="Normal 10 2 10 2 24 5" xfId="3536" xr:uid="{00000000-0005-0000-0000-0000D00D0000}"/>
    <cellStyle name="Normal 10 2 10 2 24 5 10" xfId="3537" xr:uid="{00000000-0005-0000-0000-0000D10D0000}"/>
    <cellStyle name="Normal 10 2 10 2 24 5 2" xfId="3538" xr:uid="{00000000-0005-0000-0000-0000D20D0000}"/>
    <cellStyle name="Normal 10 2 10 2 24 5 3" xfId="3539" xr:uid="{00000000-0005-0000-0000-0000D30D0000}"/>
    <cellStyle name="Normal 10 2 10 2 24 5 4" xfId="3540" xr:uid="{00000000-0005-0000-0000-0000D40D0000}"/>
    <cellStyle name="Normal 10 2 10 2 24 5 5" xfId="3541" xr:uid="{00000000-0005-0000-0000-0000D50D0000}"/>
    <cellStyle name="Normal 10 2 10 2 24 5 6" xfId="3542" xr:uid="{00000000-0005-0000-0000-0000D60D0000}"/>
    <cellStyle name="Normal 10 2 10 2 24 5 7" xfId="3543" xr:uid="{00000000-0005-0000-0000-0000D70D0000}"/>
    <cellStyle name="Normal 10 2 10 2 24 5 8" xfId="3544" xr:uid="{00000000-0005-0000-0000-0000D80D0000}"/>
    <cellStyle name="Normal 10 2 10 2 24 5 9" xfId="3545" xr:uid="{00000000-0005-0000-0000-0000D90D0000}"/>
    <cellStyle name="Normal 10 2 10 2 24 6" xfId="3546" xr:uid="{00000000-0005-0000-0000-0000DA0D0000}"/>
    <cellStyle name="Normal 10 2 10 2 24 7" xfId="3547" xr:uid="{00000000-0005-0000-0000-0000DB0D0000}"/>
    <cellStyle name="Normal 10 2 10 2 24 8" xfId="3548" xr:uid="{00000000-0005-0000-0000-0000DC0D0000}"/>
    <cellStyle name="Normal 10 2 10 2 24 9" xfId="3549" xr:uid="{00000000-0005-0000-0000-0000DD0D0000}"/>
    <cellStyle name="Normal 10 2 10 2 25" xfId="3550" xr:uid="{00000000-0005-0000-0000-0000DE0D0000}"/>
    <cellStyle name="Normal 10 2 10 2 25 10" xfId="3551" xr:uid="{00000000-0005-0000-0000-0000DF0D0000}"/>
    <cellStyle name="Normal 10 2 10 2 25 11" xfId="3552" xr:uid="{00000000-0005-0000-0000-0000E00D0000}"/>
    <cellStyle name="Normal 10 2 10 2 25 12" xfId="3553" xr:uid="{00000000-0005-0000-0000-0000E10D0000}"/>
    <cellStyle name="Normal 10 2 10 2 25 13" xfId="3554" xr:uid="{00000000-0005-0000-0000-0000E20D0000}"/>
    <cellStyle name="Normal 10 2 10 2 25 14" xfId="3555" xr:uid="{00000000-0005-0000-0000-0000E30D0000}"/>
    <cellStyle name="Normal 10 2 10 2 25 2" xfId="3556" xr:uid="{00000000-0005-0000-0000-0000E40D0000}"/>
    <cellStyle name="Normal 10 2 10 2 25 2 10" xfId="3557" xr:uid="{00000000-0005-0000-0000-0000E50D0000}"/>
    <cellStyle name="Normal 10 2 10 2 25 2 2" xfId="3558" xr:uid="{00000000-0005-0000-0000-0000E60D0000}"/>
    <cellStyle name="Normal 10 2 10 2 25 2 3" xfId="3559" xr:uid="{00000000-0005-0000-0000-0000E70D0000}"/>
    <cellStyle name="Normal 10 2 10 2 25 2 4" xfId="3560" xr:uid="{00000000-0005-0000-0000-0000E80D0000}"/>
    <cellStyle name="Normal 10 2 10 2 25 2 5" xfId="3561" xr:uid="{00000000-0005-0000-0000-0000E90D0000}"/>
    <cellStyle name="Normal 10 2 10 2 25 2 6" xfId="3562" xr:uid="{00000000-0005-0000-0000-0000EA0D0000}"/>
    <cellStyle name="Normal 10 2 10 2 25 2 7" xfId="3563" xr:uid="{00000000-0005-0000-0000-0000EB0D0000}"/>
    <cellStyle name="Normal 10 2 10 2 25 2 8" xfId="3564" xr:uid="{00000000-0005-0000-0000-0000EC0D0000}"/>
    <cellStyle name="Normal 10 2 10 2 25 2 9" xfId="3565" xr:uid="{00000000-0005-0000-0000-0000ED0D0000}"/>
    <cellStyle name="Normal 10 2 10 2 25 3" xfId="3566" xr:uid="{00000000-0005-0000-0000-0000EE0D0000}"/>
    <cellStyle name="Normal 10 2 10 2 25 3 10" xfId="3567" xr:uid="{00000000-0005-0000-0000-0000EF0D0000}"/>
    <cellStyle name="Normal 10 2 10 2 25 3 2" xfId="3568" xr:uid="{00000000-0005-0000-0000-0000F00D0000}"/>
    <cellStyle name="Normal 10 2 10 2 25 3 3" xfId="3569" xr:uid="{00000000-0005-0000-0000-0000F10D0000}"/>
    <cellStyle name="Normal 10 2 10 2 25 3 4" xfId="3570" xr:uid="{00000000-0005-0000-0000-0000F20D0000}"/>
    <cellStyle name="Normal 10 2 10 2 25 3 5" xfId="3571" xr:uid="{00000000-0005-0000-0000-0000F30D0000}"/>
    <cellStyle name="Normal 10 2 10 2 25 3 6" xfId="3572" xr:uid="{00000000-0005-0000-0000-0000F40D0000}"/>
    <cellStyle name="Normal 10 2 10 2 25 3 7" xfId="3573" xr:uid="{00000000-0005-0000-0000-0000F50D0000}"/>
    <cellStyle name="Normal 10 2 10 2 25 3 8" xfId="3574" xr:uid="{00000000-0005-0000-0000-0000F60D0000}"/>
    <cellStyle name="Normal 10 2 10 2 25 3 9" xfId="3575" xr:uid="{00000000-0005-0000-0000-0000F70D0000}"/>
    <cellStyle name="Normal 10 2 10 2 25 4" xfId="3576" xr:uid="{00000000-0005-0000-0000-0000F80D0000}"/>
    <cellStyle name="Normal 10 2 10 2 25 4 10" xfId="3577" xr:uid="{00000000-0005-0000-0000-0000F90D0000}"/>
    <cellStyle name="Normal 10 2 10 2 25 4 2" xfId="3578" xr:uid="{00000000-0005-0000-0000-0000FA0D0000}"/>
    <cellStyle name="Normal 10 2 10 2 25 4 3" xfId="3579" xr:uid="{00000000-0005-0000-0000-0000FB0D0000}"/>
    <cellStyle name="Normal 10 2 10 2 25 4 4" xfId="3580" xr:uid="{00000000-0005-0000-0000-0000FC0D0000}"/>
    <cellStyle name="Normal 10 2 10 2 25 4 5" xfId="3581" xr:uid="{00000000-0005-0000-0000-0000FD0D0000}"/>
    <cellStyle name="Normal 10 2 10 2 25 4 6" xfId="3582" xr:uid="{00000000-0005-0000-0000-0000FE0D0000}"/>
    <cellStyle name="Normal 10 2 10 2 25 4 7" xfId="3583" xr:uid="{00000000-0005-0000-0000-0000FF0D0000}"/>
    <cellStyle name="Normal 10 2 10 2 25 4 8" xfId="3584" xr:uid="{00000000-0005-0000-0000-0000000E0000}"/>
    <cellStyle name="Normal 10 2 10 2 25 4 9" xfId="3585" xr:uid="{00000000-0005-0000-0000-0000010E0000}"/>
    <cellStyle name="Normal 10 2 10 2 25 5" xfId="3586" xr:uid="{00000000-0005-0000-0000-0000020E0000}"/>
    <cellStyle name="Normal 10 2 10 2 25 5 10" xfId="3587" xr:uid="{00000000-0005-0000-0000-0000030E0000}"/>
    <cellStyle name="Normal 10 2 10 2 25 5 2" xfId="3588" xr:uid="{00000000-0005-0000-0000-0000040E0000}"/>
    <cellStyle name="Normal 10 2 10 2 25 5 3" xfId="3589" xr:uid="{00000000-0005-0000-0000-0000050E0000}"/>
    <cellStyle name="Normal 10 2 10 2 25 5 4" xfId="3590" xr:uid="{00000000-0005-0000-0000-0000060E0000}"/>
    <cellStyle name="Normal 10 2 10 2 25 5 5" xfId="3591" xr:uid="{00000000-0005-0000-0000-0000070E0000}"/>
    <cellStyle name="Normal 10 2 10 2 25 5 6" xfId="3592" xr:uid="{00000000-0005-0000-0000-0000080E0000}"/>
    <cellStyle name="Normal 10 2 10 2 25 5 7" xfId="3593" xr:uid="{00000000-0005-0000-0000-0000090E0000}"/>
    <cellStyle name="Normal 10 2 10 2 25 5 8" xfId="3594" xr:uid="{00000000-0005-0000-0000-00000A0E0000}"/>
    <cellStyle name="Normal 10 2 10 2 25 5 9" xfId="3595" xr:uid="{00000000-0005-0000-0000-00000B0E0000}"/>
    <cellStyle name="Normal 10 2 10 2 25 6" xfId="3596" xr:uid="{00000000-0005-0000-0000-00000C0E0000}"/>
    <cellStyle name="Normal 10 2 10 2 25 7" xfId="3597" xr:uid="{00000000-0005-0000-0000-00000D0E0000}"/>
    <cellStyle name="Normal 10 2 10 2 25 8" xfId="3598" xr:uid="{00000000-0005-0000-0000-00000E0E0000}"/>
    <cellStyle name="Normal 10 2 10 2 25 9" xfId="3599" xr:uid="{00000000-0005-0000-0000-00000F0E0000}"/>
    <cellStyle name="Normal 10 2 10 2 26" xfId="3600" xr:uid="{00000000-0005-0000-0000-0000100E0000}"/>
    <cellStyle name="Normal 10 2 10 2 26 10" xfId="3601" xr:uid="{00000000-0005-0000-0000-0000110E0000}"/>
    <cellStyle name="Normal 10 2 10 2 26 11" xfId="3602" xr:uid="{00000000-0005-0000-0000-0000120E0000}"/>
    <cellStyle name="Normal 10 2 10 2 26 12" xfId="3603" xr:uid="{00000000-0005-0000-0000-0000130E0000}"/>
    <cellStyle name="Normal 10 2 10 2 26 13" xfId="3604" xr:uid="{00000000-0005-0000-0000-0000140E0000}"/>
    <cellStyle name="Normal 10 2 10 2 26 14" xfId="3605" xr:uid="{00000000-0005-0000-0000-0000150E0000}"/>
    <cellStyle name="Normal 10 2 10 2 26 2" xfId="3606" xr:uid="{00000000-0005-0000-0000-0000160E0000}"/>
    <cellStyle name="Normal 10 2 10 2 26 2 10" xfId="3607" xr:uid="{00000000-0005-0000-0000-0000170E0000}"/>
    <cellStyle name="Normal 10 2 10 2 26 2 2" xfId="3608" xr:uid="{00000000-0005-0000-0000-0000180E0000}"/>
    <cellStyle name="Normal 10 2 10 2 26 2 3" xfId="3609" xr:uid="{00000000-0005-0000-0000-0000190E0000}"/>
    <cellStyle name="Normal 10 2 10 2 26 2 4" xfId="3610" xr:uid="{00000000-0005-0000-0000-00001A0E0000}"/>
    <cellStyle name="Normal 10 2 10 2 26 2 5" xfId="3611" xr:uid="{00000000-0005-0000-0000-00001B0E0000}"/>
    <cellStyle name="Normal 10 2 10 2 26 2 6" xfId="3612" xr:uid="{00000000-0005-0000-0000-00001C0E0000}"/>
    <cellStyle name="Normal 10 2 10 2 26 2 7" xfId="3613" xr:uid="{00000000-0005-0000-0000-00001D0E0000}"/>
    <cellStyle name="Normal 10 2 10 2 26 2 8" xfId="3614" xr:uid="{00000000-0005-0000-0000-00001E0E0000}"/>
    <cellStyle name="Normal 10 2 10 2 26 2 9" xfId="3615" xr:uid="{00000000-0005-0000-0000-00001F0E0000}"/>
    <cellStyle name="Normal 10 2 10 2 26 3" xfId="3616" xr:uid="{00000000-0005-0000-0000-0000200E0000}"/>
    <cellStyle name="Normal 10 2 10 2 26 3 10" xfId="3617" xr:uid="{00000000-0005-0000-0000-0000210E0000}"/>
    <cellStyle name="Normal 10 2 10 2 26 3 2" xfId="3618" xr:uid="{00000000-0005-0000-0000-0000220E0000}"/>
    <cellStyle name="Normal 10 2 10 2 26 3 3" xfId="3619" xr:uid="{00000000-0005-0000-0000-0000230E0000}"/>
    <cellStyle name="Normal 10 2 10 2 26 3 4" xfId="3620" xr:uid="{00000000-0005-0000-0000-0000240E0000}"/>
    <cellStyle name="Normal 10 2 10 2 26 3 5" xfId="3621" xr:uid="{00000000-0005-0000-0000-0000250E0000}"/>
    <cellStyle name="Normal 10 2 10 2 26 3 6" xfId="3622" xr:uid="{00000000-0005-0000-0000-0000260E0000}"/>
    <cellStyle name="Normal 10 2 10 2 26 3 7" xfId="3623" xr:uid="{00000000-0005-0000-0000-0000270E0000}"/>
    <cellStyle name="Normal 10 2 10 2 26 3 8" xfId="3624" xr:uid="{00000000-0005-0000-0000-0000280E0000}"/>
    <cellStyle name="Normal 10 2 10 2 26 3 9" xfId="3625" xr:uid="{00000000-0005-0000-0000-0000290E0000}"/>
    <cellStyle name="Normal 10 2 10 2 26 4" xfId="3626" xr:uid="{00000000-0005-0000-0000-00002A0E0000}"/>
    <cellStyle name="Normal 10 2 10 2 26 4 10" xfId="3627" xr:uid="{00000000-0005-0000-0000-00002B0E0000}"/>
    <cellStyle name="Normal 10 2 10 2 26 4 2" xfId="3628" xr:uid="{00000000-0005-0000-0000-00002C0E0000}"/>
    <cellStyle name="Normal 10 2 10 2 26 4 3" xfId="3629" xr:uid="{00000000-0005-0000-0000-00002D0E0000}"/>
    <cellStyle name="Normal 10 2 10 2 26 4 4" xfId="3630" xr:uid="{00000000-0005-0000-0000-00002E0E0000}"/>
    <cellStyle name="Normal 10 2 10 2 26 4 5" xfId="3631" xr:uid="{00000000-0005-0000-0000-00002F0E0000}"/>
    <cellStyle name="Normal 10 2 10 2 26 4 6" xfId="3632" xr:uid="{00000000-0005-0000-0000-0000300E0000}"/>
    <cellStyle name="Normal 10 2 10 2 26 4 7" xfId="3633" xr:uid="{00000000-0005-0000-0000-0000310E0000}"/>
    <cellStyle name="Normal 10 2 10 2 26 4 8" xfId="3634" xr:uid="{00000000-0005-0000-0000-0000320E0000}"/>
    <cellStyle name="Normal 10 2 10 2 26 4 9" xfId="3635" xr:uid="{00000000-0005-0000-0000-0000330E0000}"/>
    <cellStyle name="Normal 10 2 10 2 26 5" xfId="3636" xr:uid="{00000000-0005-0000-0000-0000340E0000}"/>
    <cellStyle name="Normal 10 2 10 2 26 5 10" xfId="3637" xr:uid="{00000000-0005-0000-0000-0000350E0000}"/>
    <cellStyle name="Normal 10 2 10 2 26 5 2" xfId="3638" xr:uid="{00000000-0005-0000-0000-0000360E0000}"/>
    <cellStyle name="Normal 10 2 10 2 26 5 3" xfId="3639" xr:uid="{00000000-0005-0000-0000-0000370E0000}"/>
    <cellStyle name="Normal 10 2 10 2 26 5 4" xfId="3640" xr:uid="{00000000-0005-0000-0000-0000380E0000}"/>
    <cellStyle name="Normal 10 2 10 2 26 5 5" xfId="3641" xr:uid="{00000000-0005-0000-0000-0000390E0000}"/>
    <cellStyle name="Normal 10 2 10 2 26 5 6" xfId="3642" xr:uid="{00000000-0005-0000-0000-00003A0E0000}"/>
    <cellStyle name="Normal 10 2 10 2 26 5 7" xfId="3643" xr:uid="{00000000-0005-0000-0000-00003B0E0000}"/>
    <cellStyle name="Normal 10 2 10 2 26 5 8" xfId="3644" xr:uid="{00000000-0005-0000-0000-00003C0E0000}"/>
    <cellStyle name="Normal 10 2 10 2 26 5 9" xfId="3645" xr:uid="{00000000-0005-0000-0000-00003D0E0000}"/>
    <cellStyle name="Normal 10 2 10 2 26 6" xfId="3646" xr:uid="{00000000-0005-0000-0000-00003E0E0000}"/>
    <cellStyle name="Normal 10 2 10 2 26 7" xfId="3647" xr:uid="{00000000-0005-0000-0000-00003F0E0000}"/>
    <cellStyle name="Normal 10 2 10 2 26 8" xfId="3648" xr:uid="{00000000-0005-0000-0000-0000400E0000}"/>
    <cellStyle name="Normal 10 2 10 2 26 9" xfId="3649" xr:uid="{00000000-0005-0000-0000-0000410E0000}"/>
    <cellStyle name="Normal 10 2 10 2 27" xfId="3650" xr:uid="{00000000-0005-0000-0000-0000420E0000}"/>
    <cellStyle name="Normal 10 2 10 2 27 10" xfId="3651" xr:uid="{00000000-0005-0000-0000-0000430E0000}"/>
    <cellStyle name="Normal 10 2 10 2 27 11" xfId="3652" xr:uid="{00000000-0005-0000-0000-0000440E0000}"/>
    <cellStyle name="Normal 10 2 10 2 27 12" xfId="3653" xr:uid="{00000000-0005-0000-0000-0000450E0000}"/>
    <cellStyle name="Normal 10 2 10 2 27 13" xfId="3654" xr:uid="{00000000-0005-0000-0000-0000460E0000}"/>
    <cellStyle name="Normal 10 2 10 2 27 14" xfId="3655" xr:uid="{00000000-0005-0000-0000-0000470E0000}"/>
    <cellStyle name="Normal 10 2 10 2 27 2" xfId="3656" xr:uid="{00000000-0005-0000-0000-0000480E0000}"/>
    <cellStyle name="Normal 10 2 10 2 27 2 10" xfId="3657" xr:uid="{00000000-0005-0000-0000-0000490E0000}"/>
    <cellStyle name="Normal 10 2 10 2 27 2 2" xfId="3658" xr:uid="{00000000-0005-0000-0000-00004A0E0000}"/>
    <cellStyle name="Normal 10 2 10 2 27 2 3" xfId="3659" xr:uid="{00000000-0005-0000-0000-00004B0E0000}"/>
    <cellStyle name="Normal 10 2 10 2 27 2 4" xfId="3660" xr:uid="{00000000-0005-0000-0000-00004C0E0000}"/>
    <cellStyle name="Normal 10 2 10 2 27 2 5" xfId="3661" xr:uid="{00000000-0005-0000-0000-00004D0E0000}"/>
    <cellStyle name="Normal 10 2 10 2 27 2 6" xfId="3662" xr:uid="{00000000-0005-0000-0000-00004E0E0000}"/>
    <cellStyle name="Normal 10 2 10 2 27 2 7" xfId="3663" xr:uid="{00000000-0005-0000-0000-00004F0E0000}"/>
    <cellStyle name="Normal 10 2 10 2 27 2 8" xfId="3664" xr:uid="{00000000-0005-0000-0000-0000500E0000}"/>
    <cellStyle name="Normal 10 2 10 2 27 2 9" xfId="3665" xr:uid="{00000000-0005-0000-0000-0000510E0000}"/>
    <cellStyle name="Normal 10 2 10 2 27 3" xfId="3666" xr:uid="{00000000-0005-0000-0000-0000520E0000}"/>
    <cellStyle name="Normal 10 2 10 2 27 3 10" xfId="3667" xr:uid="{00000000-0005-0000-0000-0000530E0000}"/>
    <cellStyle name="Normal 10 2 10 2 27 3 2" xfId="3668" xr:uid="{00000000-0005-0000-0000-0000540E0000}"/>
    <cellStyle name="Normal 10 2 10 2 27 3 3" xfId="3669" xr:uid="{00000000-0005-0000-0000-0000550E0000}"/>
    <cellStyle name="Normal 10 2 10 2 27 3 4" xfId="3670" xr:uid="{00000000-0005-0000-0000-0000560E0000}"/>
    <cellStyle name="Normal 10 2 10 2 27 3 5" xfId="3671" xr:uid="{00000000-0005-0000-0000-0000570E0000}"/>
    <cellStyle name="Normal 10 2 10 2 27 3 6" xfId="3672" xr:uid="{00000000-0005-0000-0000-0000580E0000}"/>
    <cellStyle name="Normal 10 2 10 2 27 3 7" xfId="3673" xr:uid="{00000000-0005-0000-0000-0000590E0000}"/>
    <cellStyle name="Normal 10 2 10 2 27 3 8" xfId="3674" xr:uid="{00000000-0005-0000-0000-00005A0E0000}"/>
    <cellStyle name="Normal 10 2 10 2 27 3 9" xfId="3675" xr:uid="{00000000-0005-0000-0000-00005B0E0000}"/>
    <cellStyle name="Normal 10 2 10 2 27 4" xfId="3676" xr:uid="{00000000-0005-0000-0000-00005C0E0000}"/>
    <cellStyle name="Normal 10 2 10 2 27 4 10" xfId="3677" xr:uid="{00000000-0005-0000-0000-00005D0E0000}"/>
    <cellStyle name="Normal 10 2 10 2 27 4 2" xfId="3678" xr:uid="{00000000-0005-0000-0000-00005E0E0000}"/>
    <cellStyle name="Normal 10 2 10 2 27 4 3" xfId="3679" xr:uid="{00000000-0005-0000-0000-00005F0E0000}"/>
    <cellStyle name="Normal 10 2 10 2 27 4 4" xfId="3680" xr:uid="{00000000-0005-0000-0000-0000600E0000}"/>
    <cellStyle name="Normal 10 2 10 2 27 4 5" xfId="3681" xr:uid="{00000000-0005-0000-0000-0000610E0000}"/>
    <cellStyle name="Normal 10 2 10 2 27 4 6" xfId="3682" xr:uid="{00000000-0005-0000-0000-0000620E0000}"/>
    <cellStyle name="Normal 10 2 10 2 27 4 7" xfId="3683" xr:uid="{00000000-0005-0000-0000-0000630E0000}"/>
    <cellStyle name="Normal 10 2 10 2 27 4 8" xfId="3684" xr:uid="{00000000-0005-0000-0000-0000640E0000}"/>
    <cellStyle name="Normal 10 2 10 2 27 4 9" xfId="3685" xr:uid="{00000000-0005-0000-0000-0000650E0000}"/>
    <cellStyle name="Normal 10 2 10 2 27 5" xfId="3686" xr:uid="{00000000-0005-0000-0000-0000660E0000}"/>
    <cellStyle name="Normal 10 2 10 2 27 5 10" xfId="3687" xr:uid="{00000000-0005-0000-0000-0000670E0000}"/>
    <cellStyle name="Normal 10 2 10 2 27 5 2" xfId="3688" xr:uid="{00000000-0005-0000-0000-0000680E0000}"/>
    <cellStyle name="Normal 10 2 10 2 27 5 3" xfId="3689" xr:uid="{00000000-0005-0000-0000-0000690E0000}"/>
    <cellStyle name="Normal 10 2 10 2 27 5 4" xfId="3690" xr:uid="{00000000-0005-0000-0000-00006A0E0000}"/>
    <cellStyle name="Normal 10 2 10 2 27 5 5" xfId="3691" xr:uid="{00000000-0005-0000-0000-00006B0E0000}"/>
    <cellStyle name="Normal 10 2 10 2 27 5 6" xfId="3692" xr:uid="{00000000-0005-0000-0000-00006C0E0000}"/>
    <cellStyle name="Normal 10 2 10 2 27 5 7" xfId="3693" xr:uid="{00000000-0005-0000-0000-00006D0E0000}"/>
    <cellStyle name="Normal 10 2 10 2 27 5 8" xfId="3694" xr:uid="{00000000-0005-0000-0000-00006E0E0000}"/>
    <cellStyle name="Normal 10 2 10 2 27 5 9" xfId="3695" xr:uid="{00000000-0005-0000-0000-00006F0E0000}"/>
    <cellStyle name="Normal 10 2 10 2 27 6" xfId="3696" xr:uid="{00000000-0005-0000-0000-0000700E0000}"/>
    <cellStyle name="Normal 10 2 10 2 27 7" xfId="3697" xr:uid="{00000000-0005-0000-0000-0000710E0000}"/>
    <cellStyle name="Normal 10 2 10 2 27 8" xfId="3698" xr:uid="{00000000-0005-0000-0000-0000720E0000}"/>
    <cellStyle name="Normal 10 2 10 2 27 9" xfId="3699" xr:uid="{00000000-0005-0000-0000-0000730E0000}"/>
    <cellStyle name="Normal 10 2 10 2 28" xfId="3700" xr:uid="{00000000-0005-0000-0000-0000740E0000}"/>
    <cellStyle name="Normal 10 2 10 2 28 10" xfId="3701" xr:uid="{00000000-0005-0000-0000-0000750E0000}"/>
    <cellStyle name="Normal 10 2 10 2 28 11" xfId="3702" xr:uid="{00000000-0005-0000-0000-0000760E0000}"/>
    <cellStyle name="Normal 10 2 10 2 28 12" xfId="3703" xr:uid="{00000000-0005-0000-0000-0000770E0000}"/>
    <cellStyle name="Normal 10 2 10 2 28 13" xfId="3704" xr:uid="{00000000-0005-0000-0000-0000780E0000}"/>
    <cellStyle name="Normal 10 2 10 2 28 14" xfId="3705" xr:uid="{00000000-0005-0000-0000-0000790E0000}"/>
    <cellStyle name="Normal 10 2 10 2 28 2" xfId="3706" xr:uid="{00000000-0005-0000-0000-00007A0E0000}"/>
    <cellStyle name="Normal 10 2 10 2 28 2 10" xfId="3707" xr:uid="{00000000-0005-0000-0000-00007B0E0000}"/>
    <cellStyle name="Normal 10 2 10 2 28 2 2" xfId="3708" xr:uid="{00000000-0005-0000-0000-00007C0E0000}"/>
    <cellStyle name="Normal 10 2 10 2 28 2 3" xfId="3709" xr:uid="{00000000-0005-0000-0000-00007D0E0000}"/>
    <cellStyle name="Normal 10 2 10 2 28 2 4" xfId="3710" xr:uid="{00000000-0005-0000-0000-00007E0E0000}"/>
    <cellStyle name="Normal 10 2 10 2 28 2 5" xfId="3711" xr:uid="{00000000-0005-0000-0000-00007F0E0000}"/>
    <cellStyle name="Normal 10 2 10 2 28 2 6" xfId="3712" xr:uid="{00000000-0005-0000-0000-0000800E0000}"/>
    <cellStyle name="Normal 10 2 10 2 28 2 7" xfId="3713" xr:uid="{00000000-0005-0000-0000-0000810E0000}"/>
    <cellStyle name="Normal 10 2 10 2 28 2 8" xfId="3714" xr:uid="{00000000-0005-0000-0000-0000820E0000}"/>
    <cellStyle name="Normal 10 2 10 2 28 2 9" xfId="3715" xr:uid="{00000000-0005-0000-0000-0000830E0000}"/>
    <cellStyle name="Normal 10 2 10 2 28 3" xfId="3716" xr:uid="{00000000-0005-0000-0000-0000840E0000}"/>
    <cellStyle name="Normal 10 2 10 2 28 3 10" xfId="3717" xr:uid="{00000000-0005-0000-0000-0000850E0000}"/>
    <cellStyle name="Normal 10 2 10 2 28 3 2" xfId="3718" xr:uid="{00000000-0005-0000-0000-0000860E0000}"/>
    <cellStyle name="Normal 10 2 10 2 28 3 3" xfId="3719" xr:uid="{00000000-0005-0000-0000-0000870E0000}"/>
    <cellStyle name="Normal 10 2 10 2 28 3 4" xfId="3720" xr:uid="{00000000-0005-0000-0000-0000880E0000}"/>
    <cellStyle name="Normal 10 2 10 2 28 3 5" xfId="3721" xr:uid="{00000000-0005-0000-0000-0000890E0000}"/>
    <cellStyle name="Normal 10 2 10 2 28 3 6" xfId="3722" xr:uid="{00000000-0005-0000-0000-00008A0E0000}"/>
    <cellStyle name="Normal 10 2 10 2 28 3 7" xfId="3723" xr:uid="{00000000-0005-0000-0000-00008B0E0000}"/>
    <cellStyle name="Normal 10 2 10 2 28 3 8" xfId="3724" xr:uid="{00000000-0005-0000-0000-00008C0E0000}"/>
    <cellStyle name="Normal 10 2 10 2 28 3 9" xfId="3725" xr:uid="{00000000-0005-0000-0000-00008D0E0000}"/>
    <cellStyle name="Normal 10 2 10 2 28 4" xfId="3726" xr:uid="{00000000-0005-0000-0000-00008E0E0000}"/>
    <cellStyle name="Normal 10 2 10 2 28 4 10" xfId="3727" xr:uid="{00000000-0005-0000-0000-00008F0E0000}"/>
    <cellStyle name="Normal 10 2 10 2 28 4 2" xfId="3728" xr:uid="{00000000-0005-0000-0000-0000900E0000}"/>
    <cellStyle name="Normal 10 2 10 2 28 4 3" xfId="3729" xr:uid="{00000000-0005-0000-0000-0000910E0000}"/>
    <cellStyle name="Normal 10 2 10 2 28 4 4" xfId="3730" xr:uid="{00000000-0005-0000-0000-0000920E0000}"/>
    <cellStyle name="Normal 10 2 10 2 28 4 5" xfId="3731" xr:uid="{00000000-0005-0000-0000-0000930E0000}"/>
    <cellStyle name="Normal 10 2 10 2 28 4 6" xfId="3732" xr:uid="{00000000-0005-0000-0000-0000940E0000}"/>
    <cellStyle name="Normal 10 2 10 2 28 4 7" xfId="3733" xr:uid="{00000000-0005-0000-0000-0000950E0000}"/>
    <cellStyle name="Normal 10 2 10 2 28 4 8" xfId="3734" xr:uid="{00000000-0005-0000-0000-0000960E0000}"/>
    <cellStyle name="Normal 10 2 10 2 28 4 9" xfId="3735" xr:uid="{00000000-0005-0000-0000-0000970E0000}"/>
    <cellStyle name="Normal 10 2 10 2 28 5" xfId="3736" xr:uid="{00000000-0005-0000-0000-0000980E0000}"/>
    <cellStyle name="Normal 10 2 10 2 28 5 10" xfId="3737" xr:uid="{00000000-0005-0000-0000-0000990E0000}"/>
    <cellStyle name="Normal 10 2 10 2 28 5 2" xfId="3738" xr:uid="{00000000-0005-0000-0000-00009A0E0000}"/>
    <cellStyle name="Normal 10 2 10 2 28 5 3" xfId="3739" xr:uid="{00000000-0005-0000-0000-00009B0E0000}"/>
    <cellStyle name="Normal 10 2 10 2 28 5 4" xfId="3740" xr:uid="{00000000-0005-0000-0000-00009C0E0000}"/>
    <cellStyle name="Normal 10 2 10 2 28 5 5" xfId="3741" xr:uid="{00000000-0005-0000-0000-00009D0E0000}"/>
    <cellStyle name="Normal 10 2 10 2 28 5 6" xfId="3742" xr:uid="{00000000-0005-0000-0000-00009E0E0000}"/>
    <cellStyle name="Normal 10 2 10 2 28 5 7" xfId="3743" xr:uid="{00000000-0005-0000-0000-00009F0E0000}"/>
    <cellStyle name="Normal 10 2 10 2 28 5 8" xfId="3744" xr:uid="{00000000-0005-0000-0000-0000A00E0000}"/>
    <cellStyle name="Normal 10 2 10 2 28 5 9" xfId="3745" xr:uid="{00000000-0005-0000-0000-0000A10E0000}"/>
    <cellStyle name="Normal 10 2 10 2 28 6" xfId="3746" xr:uid="{00000000-0005-0000-0000-0000A20E0000}"/>
    <cellStyle name="Normal 10 2 10 2 28 7" xfId="3747" xr:uid="{00000000-0005-0000-0000-0000A30E0000}"/>
    <cellStyle name="Normal 10 2 10 2 28 8" xfId="3748" xr:uid="{00000000-0005-0000-0000-0000A40E0000}"/>
    <cellStyle name="Normal 10 2 10 2 28 9" xfId="3749" xr:uid="{00000000-0005-0000-0000-0000A50E0000}"/>
    <cellStyle name="Normal 10 2 10 2 29" xfId="3750" xr:uid="{00000000-0005-0000-0000-0000A60E0000}"/>
    <cellStyle name="Normal 10 2 10 2 29 10" xfId="3751" xr:uid="{00000000-0005-0000-0000-0000A70E0000}"/>
    <cellStyle name="Normal 10 2 10 2 29 11" xfId="3752" xr:uid="{00000000-0005-0000-0000-0000A80E0000}"/>
    <cellStyle name="Normal 10 2 10 2 29 12" xfId="3753" xr:uid="{00000000-0005-0000-0000-0000A90E0000}"/>
    <cellStyle name="Normal 10 2 10 2 29 13" xfId="3754" xr:uid="{00000000-0005-0000-0000-0000AA0E0000}"/>
    <cellStyle name="Normal 10 2 10 2 29 14" xfId="3755" xr:uid="{00000000-0005-0000-0000-0000AB0E0000}"/>
    <cellStyle name="Normal 10 2 10 2 29 2" xfId="3756" xr:uid="{00000000-0005-0000-0000-0000AC0E0000}"/>
    <cellStyle name="Normal 10 2 10 2 29 2 10" xfId="3757" xr:uid="{00000000-0005-0000-0000-0000AD0E0000}"/>
    <cellStyle name="Normal 10 2 10 2 29 2 2" xfId="3758" xr:uid="{00000000-0005-0000-0000-0000AE0E0000}"/>
    <cellStyle name="Normal 10 2 10 2 29 2 3" xfId="3759" xr:uid="{00000000-0005-0000-0000-0000AF0E0000}"/>
    <cellStyle name="Normal 10 2 10 2 29 2 4" xfId="3760" xr:uid="{00000000-0005-0000-0000-0000B00E0000}"/>
    <cellStyle name="Normal 10 2 10 2 29 2 5" xfId="3761" xr:uid="{00000000-0005-0000-0000-0000B10E0000}"/>
    <cellStyle name="Normal 10 2 10 2 29 2 6" xfId="3762" xr:uid="{00000000-0005-0000-0000-0000B20E0000}"/>
    <cellStyle name="Normal 10 2 10 2 29 2 7" xfId="3763" xr:uid="{00000000-0005-0000-0000-0000B30E0000}"/>
    <cellStyle name="Normal 10 2 10 2 29 2 8" xfId="3764" xr:uid="{00000000-0005-0000-0000-0000B40E0000}"/>
    <cellStyle name="Normal 10 2 10 2 29 2 9" xfId="3765" xr:uid="{00000000-0005-0000-0000-0000B50E0000}"/>
    <cellStyle name="Normal 10 2 10 2 29 3" xfId="3766" xr:uid="{00000000-0005-0000-0000-0000B60E0000}"/>
    <cellStyle name="Normal 10 2 10 2 29 3 10" xfId="3767" xr:uid="{00000000-0005-0000-0000-0000B70E0000}"/>
    <cellStyle name="Normal 10 2 10 2 29 3 2" xfId="3768" xr:uid="{00000000-0005-0000-0000-0000B80E0000}"/>
    <cellStyle name="Normal 10 2 10 2 29 3 3" xfId="3769" xr:uid="{00000000-0005-0000-0000-0000B90E0000}"/>
    <cellStyle name="Normal 10 2 10 2 29 3 4" xfId="3770" xr:uid="{00000000-0005-0000-0000-0000BA0E0000}"/>
    <cellStyle name="Normal 10 2 10 2 29 3 5" xfId="3771" xr:uid="{00000000-0005-0000-0000-0000BB0E0000}"/>
    <cellStyle name="Normal 10 2 10 2 29 3 6" xfId="3772" xr:uid="{00000000-0005-0000-0000-0000BC0E0000}"/>
    <cellStyle name="Normal 10 2 10 2 29 3 7" xfId="3773" xr:uid="{00000000-0005-0000-0000-0000BD0E0000}"/>
    <cellStyle name="Normal 10 2 10 2 29 3 8" xfId="3774" xr:uid="{00000000-0005-0000-0000-0000BE0E0000}"/>
    <cellStyle name="Normal 10 2 10 2 29 3 9" xfId="3775" xr:uid="{00000000-0005-0000-0000-0000BF0E0000}"/>
    <cellStyle name="Normal 10 2 10 2 29 4" xfId="3776" xr:uid="{00000000-0005-0000-0000-0000C00E0000}"/>
    <cellStyle name="Normal 10 2 10 2 29 4 10" xfId="3777" xr:uid="{00000000-0005-0000-0000-0000C10E0000}"/>
    <cellStyle name="Normal 10 2 10 2 29 4 2" xfId="3778" xr:uid="{00000000-0005-0000-0000-0000C20E0000}"/>
    <cellStyle name="Normal 10 2 10 2 29 4 3" xfId="3779" xr:uid="{00000000-0005-0000-0000-0000C30E0000}"/>
    <cellStyle name="Normal 10 2 10 2 29 4 4" xfId="3780" xr:uid="{00000000-0005-0000-0000-0000C40E0000}"/>
    <cellStyle name="Normal 10 2 10 2 29 4 5" xfId="3781" xr:uid="{00000000-0005-0000-0000-0000C50E0000}"/>
    <cellStyle name="Normal 10 2 10 2 29 4 6" xfId="3782" xr:uid="{00000000-0005-0000-0000-0000C60E0000}"/>
    <cellStyle name="Normal 10 2 10 2 29 4 7" xfId="3783" xr:uid="{00000000-0005-0000-0000-0000C70E0000}"/>
    <cellStyle name="Normal 10 2 10 2 29 4 8" xfId="3784" xr:uid="{00000000-0005-0000-0000-0000C80E0000}"/>
    <cellStyle name="Normal 10 2 10 2 29 4 9" xfId="3785" xr:uid="{00000000-0005-0000-0000-0000C90E0000}"/>
    <cellStyle name="Normal 10 2 10 2 29 5" xfId="3786" xr:uid="{00000000-0005-0000-0000-0000CA0E0000}"/>
    <cellStyle name="Normal 10 2 10 2 29 5 10" xfId="3787" xr:uid="{00000000-0005-0000-0000-0000CB0E0000}"/>
    <cellStyle name="Normal 10 2 10 2 29 5 2" xfId="3788" xr:uid="{00000000-0005-0000-0000-0000CC0E0000}"/>
    <cellStyle name="Normal 10 2 10 2 29 5 3" xfId="3789" xr:uid="{00000000-0005-0000-0000-0000CD0E0000}"/>
    <cellStyle name="Normal 10 2 10 2 29 5 4" xfId="3790" xr:uid="{00000000-0005-0000-0000-0000CE0E0000}"/>
    <cellStyle name="Normal 10 2 10 2 29 5 5" xfId="3791" xr:uid="{00000000-0005-0000-0000-0000CF0E0000}"/>
    <cellStyle name="Normal 10 2 10 2 29 5 6" xfId="3792" xr:uid="{00000000-0005-0000-0000-0000D00E0000}"/>
    <cellStyle name="Normal 10 2 10 2 29 5 7" xfId="3793" xr:uid="{00000000-0005-0000-0000-0000D10E0000}"/>
    <cellStyle name="Normal 10 2 10 2 29 5 8" xfId="3794" xr:uid="{00000000-0005-0000-0000-0000D20E0000}"/>
    <cellStyle name="Normal 10 2 10 2 29 5 9" xfId="3795" xr:uid="{00000000-0005-0000-0000-0000D30E0000}"/>
    <cellStyle name="Normal 10 2 10 2 29 6" xfId="3796" xr:uid="{00000000-0005-0000-0000-0000D40E0000}"/>
    <cellStyle name="Normal 10 2 10 2 29 7" xfId="3797" xr:uid="{00000000-0005-0000-0000-0000D50E0000}"/>
    <cellStyle name="Normal 10 2 10 2 29 8" xfId="3798" xr:uid="{00000000-0005-0000-0000-0000D60E0000}"/>
    <cellStyle name="Normal 10 2 10 2 29 9" xfId="3799" xr:uid="{00000000-0005-0000-0000-0000D70E0000}"/>
    <cellStyle name="Normal 10 2 10 2 3" xfId="3800" xr:uid="{00000000-0005-0000-0000-0000D80E0000}"/>
    <cellStyle name="Normal 10 2 10 2 3 10" xfId="3801" xr:uid="{00000000-0005-0000-0000-0000D90E0000}"/>
    <cellStyle name="Normal 10 2 10 2 3 11" xfId="3802" xr:uid="{00000000-0005-0000-0000-0000DA0E0000}"/>
    <cellStyle name="Normal 10 2 10 2 3 12" xfId="3803" xr:uid="{00000000-0005-0000-0000-0000DB0E0000}"/>
    <cellStyle name="Normal 10 2 10 2 3 13" xfId="3804" xr:uid="{00000000-0005-0000-0000-0000DC0E0000}"/>
    <cellStyle name="Normal 10 2 10 2 3 14" xfId="3805" xr:uid="{00000000-0005-0000-0000-0000DD0E0000}"/>
    <cellStyle name="Normal 10 2 10 2 3 2" xfId="3806" xr:uid="{00000000-0005-0000-0000-0000DE0E0000}"/>
    <cellStyle name="Normal 10 2 10 2 3 2 10" xfId="3807" xr:uid="{00000000-0005-0000-0000-0000DF0E0000}"/>
    <cellStyle name="Normal 10 2 10 2 3 2 2" xfId="3808" xr:uid="{00000000-0005-0000-0000-0000E00E0000}"/>
    <cellStyle name="Normal 10 2 10 2 3 2 3" xfId="3809" xr:uid="{00000000-0005-0000-0000-0000E10E0000}"/>
    <cellStyle name="Normal 10 2 10 2 3 2 4" xfId="3810" xr:uid="{00000000-0005-0000-0000-0000E20E0000}"/>
    <cellStyle name="Normal 10 2 10 2 3 2 5" xfId="3811" xr:uid="{00000000-0005-0000-0000-0000E30E0000}"/>
    <cellStyle name="Normal 10 2 10 2 3 2 6" xfId="3812" xr:uid="{00000000-0005-0000-0000-0000E40E0000}"/>
    <cellStyle name="Normal 10 2 10 2 3 2 7" xfId="3813" xr:uid="{00000000-0005-0000-0000-0000E50E0000}"/>
    <cellStyle name="Normal 10 2 10 2 3 2 8" xfId="3814" xr:uid="{00000000-0005-0000-0000-0000E60E0000}"/>
    <cellStyle name="Normal 10 2 10 2 3 2 9" xfId="3815" xr:uid="{00000000-0005-0000-0000-0000E70E0000}"/>
    <cellStyle name="Normal 10 2 10 2 3 3" xfId="3816" xr:uid="{00000000-0005-0000-0000-0000E80E0000}"/>
    <cellStyle name="Normal 10 2 10 2 3 3 10" xfId="3817" xr:uid="{00000000-0005-0000-0000-0000E90E0000}"/>
    <cellStyle name="Normal 10 2 10 2 3 3 2" xfId="3818" xr:uid="{00000000-0005-0000-0000-0000EA0E0000}"/>
    <cellStyle name="Normal 10 2 10 2 3 3 3" xfId="3819" xr:uid="{00000000-0005-0000-0000-0000EB0E0000}"/>
    <cellStyle name="Normal 10 2 10 2 3 3 4" xfId="3820" xr:uid="{00000000-0005-0000-0000-0000EC0E0000}"/>
    <cellStyle name="Normal 10 2 10 2 3 3 5" xfId="3821" xr:uid="{00000000-0005-0000-0000-0000ED0E0000}"/>
    <cellStyle name="Normal 10 2 10 2 3 3 6" xfId="3822" xr:uid="{00000000-0005-0000-0000-0000EE0E0000}"/>
    <cellStyle name="Normal 10 2 10 2 3 3 7" xfId="3823" xr:uid="{00000000-0005-0000-0000-0000EF0E0000}"/>
    <cellStyle name="Normal 10 2 10 2 3 3 8" xfId="3824" xr:uid="{00000000-0005-0000-0000-0000F00E0000}"/>
    <cellStyle name="Normal 10 2 10 2 3 3 9" xfId="3825" xr:uid="{00000000-0005-0000-0000-0000F10E0000}"/>
    <cellStyle name="Normal 10 2 10 2 3 4" xfId="3826" xr:uid="{00000000-0005-0000-0000-0000F20E0000}"/>
    <cellStyle name="Normal 10 2 10 2 3 4 10" xfId="3827" xr:uid="{00000000-0005-0000-0000-0000F30E0000}"/>
    <cellStyle name="Normal 10 2 10 2 3 4 2" xfId="3828" xr:uid="{00000000-0005-0000-0000-0000F40E0000}"/>
    <cellStyle name="Normal 10 2 10 2 3 4 3" xfId="3829" xr:uid="{00000000-0005-0000-0000-0000F50E0000}"/>
    <cellStyle name="Normal 10 2 10 2 3 4 4" xfId="3830" xr:uid="{00000000-0005-0000-0000-0000F60E0000}"/>
    <cellStyle name="Normal 10 2 10 2 3 4 5" xfId="3831" xr:uid="{00000000-0005-0000-0000-0000F70E0000}"/>
    <cellStyle name="Normal 10 2 10 2 3 4 6" xfId="3832" xr:uid="{00000000-0005-0000-0000-0000F80E0000}"/>
    <cellStyle name="Normal 10 2 10 2 3 4 7" xfId="3833" xr:uid="{00000000-0005-0000-0000-0000F90E0000}"/>
    <cellStyle name="Normal 10 2 10 2 3 4 8" xfId="3834" xr:uid="{00000000-0005-0000-0000-0000FA0E0000}"/>
    <cellStyle name="Normal 10 2 10 2 3 4 9" xfId="3835" xr:uid="{00000000-0005-0000-0000-0000FB0E0000}"/>
    <cellStyle name="Normal 10 2 10 2 3 5" xfId="3836" xr:uid="{00000000-0005-0000-0000-0000FC0E0000}"/>
    <cellStyle name="Normal 10 2 10 2 3 5 10" xfId="3837" xr:uid="{00000000-0005-0000-0000-0000FD0E0000}"/>
    <cellStyle name="Normal 10 2 10 2 3 5 2" xfId="3838" xr:uid="{00000000-0005-0000-0000-0000FE0E0000}"/>
    <cellStyle name="Normal 10 2 10 2 3 5 3" xfId="3839" xr:uid="{00000000-0005-0000-0000-0000FF0E0000}"/>
    <cellStyle name="Normal 10 2 10 2 3 5 4" xfId="3840" xr:uid="{00000000-0005-0000-0000-0000000F0000}"/>
    <cellStyle name="Normal 10 2 10 2 3 5 5" xfId="3841" xr:uid="{00000000-0005-0000-0000-0000010F0000}"/>
    <cellStyle name="Normal 10 2 10 2 3 5 6" xfId="3842" xr:uid="{00000000-0005-0000-0000-0000020F0000}"/>
    <cellStyle name="Normal 10 2 10 2 3 5 7" xfId="3843" xr:uid="{00000000-0005-0000-0000-0000030F0000}"/>
    <cellStyle name="Normal 10 2 10 2 3 5 8" xfId="3844" xr:uid="{00000000-0005-0000-0000-0000040F0000}"/>
    <cellStyle name="Normal 10 2 10 2 3 5 9" xfId="3845" xr:uid="{00000000-0005-0000-0000-0000050F0000}"/>
    <cellStyle name="Normal 10 2 10 2 3 6" xfId="3846" xr:uid="{00000000-0005-0000-0000-0000060F0000}"/>
    <cellStyle name="Normal 10 2 10 2 3 7" xfId="3847" xr:uid="{00000000-0005-0000-0000-0000070F0000}"/>
    <cellStyle name="Normal 10 2 10 2 3 8" xfId="3848" xr:uid="{00000000-0005-0000-0000-0000080F0000}"/>
    <cellStyle name="Normal 10 2 10 2 3 9" xfId="3849" xr:uid="{00000000-0005-0000-0000-0000090F0000}"/>
    <cellStyle name="Normal 10 2 10 2 30" xfId="3850" xr:uid="{00000000-0005-0000-0000-00000A0F0000}"/>
    <cellStyle name="Normal 10 2 10 2 30 10" xfId="3851" xr:uid="{00000000-0005-0000-0000-00000B0F0000}"/>
    <cellStyle name="Normal 10 2 10 2 30 11" xfId="3852" xr:uid="{00000000-0005-0000-0000-00000C0F0000}"/>
    <cellStyle name="Normal 10 2 10 2 30 12" xfId="3853" xr:uid="{00000000-0005-0000-0000-00000D0F0000}"/>
    <cellStyle name="Normal 10 2 10 2 30 13" xfId="3854" xr:uid="{00000000-0005-0000-0000-00000E0F0000}"/>
    <cellStyle name="Normal 10 2 10 2 30 14" xfId="3855" xr:uid="{00000000-0005-0000-0000-00000F0F0000}"/>
    <cellStyle name="Normal 10 2 10 2 30 2" xfId="3856" xr:uid="{00000000-0005-0000-0000-0000100F0000}"/>
    <cellStyle name="Normal 10 2 10 2 30 2 10" xfId="3857" xr:uid="{00000000-0005-0000-0000-0000110F0000}"/>
    <cellStyle name="Normal 10 2 10 2 30 2 2" xfId="3858" xr:uid="{00000000-0005-0000-0000-0000120F0000}"/>
    <cellStyle name="Normal 10 2 10 2 30 2 3" xfId="3859" xr:uid="{00000000-0005-0000-0000-0000130F0000}"/>
    <cellStyle name="Normal 10 2 10 2 30 2 4" xfId="3860" xr:uid="{00000000-0005-0000-0000-0000140F0000}"/>
    <cellStyle name="Normal 10 2 10 2 30 2 5" xfId="3861" xr:uid="{00000000-0005-0000-0000-0000150F0000}"/>
    <cellStyle name="Normal 10 2 10 2 30 2 6" xfId="3862" xr:uid="{00000000-0005-0000-0000-0000160F0000}"/>
    <cellStyle name="Normal 10 2 10 2 30 2 7" xfId="3863" xr:uid="{00000000-0005-0000-0000-0000170F0000}"/>
    <cellStyle name="Normal 10 2 10 2 30 2 8" xfId="3864" xr:uid="{00000000-0005-0000-0000-0000180F0000}"/>
    <cellStyle name="Normal 10 2 10 2 30 2 9" xfId="3865" xr:uid="{00000000-0005-0000-0000-0000190F0000}"/>
    <cellStyle name="Normal 10 2 10 2 30 3" xfId="3866" xr:uid="{00000000-0005-0000-0000-00001A0F0000}"/>
    <cellStyle name="Normal 10 2 10 2 30 3 10" xfId="3867" xr:uid="{00000000-0005-0000-0000-00001B0F0000}"/>
    <cellStyle name="Normal 10 2 10 2 30 3 2" xfId="3868" xr:uid="{00000000-0005-0000-0000-00001C0F0000}"/>
    <cellStyle name="Normal 10 2 10 2 30 3 3" xfId="3869" xr:uid="{00000000-0005-0000-0000-00001D0F0000}"/>
    <cellStyle name="Normal 10 2 10 2 30 3 4" xfId="3870" xr:uid="{00000000-0005-0000-0000-00001E0F0000}"/>
    <cellStyle name="Normal 10 2 10 2 30 3 5" xfId="3871" xr:uid="{00000000-0005-0000-0000-00001F0F0000}"/>
    <cellStyle name="Normal 10 2 10 2 30 3 6" xfId="3872" xr:uid="{00000000-0005-0000-0000-0000200F0000}"/>
    <cellStyle name="Normal 10 2 10 2 30 3 7" xfId="3873" xr:uid="{00000000-0005-0000-0000-0000210F0000}"/>
    <cellStyle name="Normal 10 2 10 2 30 3 8" xfId="3874" xr:uid="{00000000-0005-0000-0000-0000220F0000}"/>
    <cellStyle name="Normal 10 2 10 2 30 3 9" xfId="3875" xr:uid="{00000000-0005-0000-0000-0000230F0000}"/>
    <cellStyle name="Normal 10 2 10 2 30 4" xfId="3876" xr:uid="{00000000-0005-0000-0000-0000240F0000}"/>
    <cellStyle name="Normal 10 2 10 2 30 4 10" xfId="3877" xr:uid="{00000000-0005-0000-0000-0000250F0000}"/>
    <cellStyle name="Normal 10 2 10 2 30 4 2" xfId="3878" xr:uid="{00000000-0005-0000-0000-0000260F0000}"/>
    <cellStyle name="Normal 10 2 10 2 30 4 3" xfId="3879" xr:uid="{00000000-0005-0000-0000-0000270F0000}"/>
    <cellStyle name="Normal 10 2 10 2 30 4 4" xfId="3880" xr:uid="{00000000-0005-0000-0000-0000280F0000}"/>
    <cellStyle name="Normal 10 2 10 2 30 4 5" xfId="3881" xr:uid="{00000000-0005-0000-0000-0000290F0000}"/>
    <cellStyle name="Normal 10 2 10 2 30 4 6" xfId="3882" xr:uid="{00000000-0005-0000-0000-00002A0F0000}"/>
    <cellStyle name="Normal 10 2 10 2 30 4 7" xfId="3883" xr:uid="{00000000-0005-0000-0000-00002B0F0000}"/>
    <cellStyle name="Normal 10 2 10 2 30 4 8" xfId="3884" xr:uid="{00000000-0005-0000-0000-00002C0F0000}"/>
    <cellStyle name="Normal 10 2 10 2 30 4 9" xfId="3885" xr:uid="{00000000-0005-0000-0000-00002D0F0000}"/>
    <cellStyle name="Normal 10 2 10 2 30 5" xfId="3886" xr:uid="{00000000-0005-0000-0000-00002E0F0000}"/>
    <cellStyle name="Normal 10 2 10 2 30 5 10" xfId="3887" xr:uid="{00000000-0005-0000-0000-00002F0F0000}"/>
    <cellStyle name="Normal 10 2 10 2 30 5 2" xfId="3888" xr:uid="{00000000-0005-0000-0000-0000300F0000}"/>
    <cellStyle name="Normal 10 2 10 2 30 5 3" xfId="3889" xr:uid="{00000000-0005-0000-0000-0000310F0000}"/>
    <cellStyle name="Normal 10 2 10 2 30 5 4" xfId="3890" xr:uid="{00000000-0005-0000-0000-0000320F0000}"/>
    <cellStyle name="Normal 10 2 10 2 30 5 5" xfId="3891" xr:uid="{00000000-0005-0000-0000-0000330F0000}"/>
    <cellStyle name="Normal 10 2 10 2 30 5 6" xfId="3892" xr:uid="{00000000-0005-0000-0000-0000340F0000}"/>
    <cellStyle name="Normal 10 2 10 2 30 5 7" xfId="3893" xr:uid="{00000000-0005-0000-0000-0000350F0000}"/>
    <cellStyle name="Normal 10 2 10 2 30 5 8" xfId="3894" xr:uid="{00000000-0005-0000-0000-0000360F0000}"/>
    <cellStyle name="Normal 10 2 10 2 30 5 9" xfId="3895" xr:uid="{00000000-0005-0000-0000-0000370F0000}"/>
    <cellStyle name="Normal 10 2 10 2 30 6" xfId="3896" xr:uid="{00000000-0005-0000-0000-0000380F0000}"/>
    <cellStyle name="Normal 10 2 10 2 30 7" xfId="3897" xr:uid="{00000000-0005-0000-0000-0000390F0000}"/>
    <cellStyle name="Normal 10 2 10 2 30 8" xfId="3898" xr:uid="{00000000-0005-0000-0000-00003A0F0000}"/>
    <cellStyle name="Normal 10 2 10 2 30 9" xfId="3899" xr:uid="{00000000-0005-0000-0000-00003B0F0000}"/>
    <cellStyle name="Normal 10 2 10 2 31" xfId="3900" xr:uid="{00000000-0005-0000-0000-00003C0F0000}"/>
    <cellStyle name="Normal 10 2 10 2 31 10" xfId="3901" xr:uid="{00000000-0005-0000-0000-00003D0F0000}"/>
    <cellStyle name="Normal 10 2 10 2 31 11" xfId="3902" xr:uid="{00000000-0005-0000-0000-00003E0F0000}"/>
    <cellStyle name="Normal 10 2 10 2 31 12" xfId="3903" xr:uid="{00000000-0005-0000-0000-00003F0F0000}"/>
    <cellStyle name="Normal 10 2 10 2 31 13" xfId="3904" xr:uid="{00000000-0005-0000-0000-0000400F0000}"/>
    <cellStyle name="Normal 10 2 10 2 31 14" xfId="3905" xr:uid="{00000000-0005-0000-0000-0000410F0000}"/>
    <cellStyle name="Normal 10 2 10 2 31 2" xfId="3906" xr:uid="{00000000-0005-0000-0000-0000420F0000}"/>
    <cellStyle name="Normal 10 2 10 2 31 2 10" xfId="3907" xr:uid="{00000000-0005-0000-0000-0000430F0000}"/>
    <cellStyle name="Normal 10 2 10 2 31 2 2" xfId="3908" xr:uid="{00000000-0005-0000-0000-0000440F0000}"/>
    <cellStyle name="Normal 10 2 10 2 31 2 3" xfId="3909" xr:uid="{00000000-0005-0000-0000-0000450F0000}"/>
    <cellStyle name="Normal 10 2 10 2 31 2 4" xfId="3910" xr:uid="{00000000-0005-0000-0000-0000460F0000}"/>
    <cellStyle name="Normal 10 2 10 2 31 2 5" xfId="3911" xr:uid="{00000000-0005-0000-0000-0000470F0000}"/>
    <cellStyle name="Normal 10 2 10 2 31 2 6" xfId="3912" xr:uid="{00000000-0005-0000-0000-0000480F0000}"/>
    <cellStyle name="Normal 10 2 10 2 31 2 7" xfId="3913" xr:uid="{00000000-0005-0000-0000-0000490F0000}"/>
    <cellStyle name="Normal 10 2 10 2 31 2 8" xfId="3914" xr:uid="{00000000-0005-0000-0000-00004A0F0000}"/>
    <cellStyle name="Normal 10 2 10 2 31 2 9" xfId="3915" xr:uid="{00000000-0005-0000-0000-00004B0F0000}"/>
    <cellStyle name="Normal 10 2 10 2 31 3" xfId="3916" xr:uid="{00000000-0005-0000-0000-00004C0F0000}"/>
    <cellStyle name="Normal 10 2 10 2 31 3 10" xfId="3917" xr:uid="{00000000-0005-0000-0000-00004D0F0000}"/>
    <cellStyle name="Normal 10 2 10 2 31 3 2" xfId="3918" xr:uid="{00000000-0005-0000-0000-00004E0F0000}"/>
    <cellStyle name="Normal 10 2 10 2 31 3 3" xfId="3919" xr:uid="{00000000-0005-0000-0000-00004F0F0000}"/>
    <cellStyle name="Normal 10 2 10 2 31 3 4" xfId="3920" xr:uid="{00000000-0005-0000-0000-0000500F0000}"/>
    <cellStyle name="Normal 10 2 10 2 31 3 5" xfId="3921" xr:uid="{00000000-0005-0000-0000-0000510F0000}"/>
    <cellStyle name="Normal 10 2 10 2 31 3 6" xfId="3922" xr:uid="{00000000-0005-0000-0000-0000520F0000}"/>
    <cellStyle name="Normal 10 2 10 2 31 3 7" xfId="3923" xr:uid="{00000000-0005-0000-0000-0000530F0000}"/>
    <cellStyle name="Normal 10 2 10 2 31 3 8" xfId="3924" xr:uid="{00000000-0005-0000-0000-0000540F0000}"/>
    <cellStyle name="Normal 10 2 10 2 31 3 9" xfId="3925" xr:uid="{00000000-0005-0000-0000-0000550F0000}"/>
    <cellStyle name="Normal 10 2 10 2 31 4" xfId="3926" xr:uid="{00000000-0005-0000-0000-0000560F0000}"/>
    <cellStyle name="Normal 10 2 10 2 31 4 10" xfId="3927" xr:uid="{00000000-0005-0000-0000-0000570F0000}"/>
    <cellStyle name="Normal 10 2 10 2 31 4 2" xfId="3928" xr:uid="{00000000-0005-0000-0000-0000580F0000}"/>
    <cellStyle name="Normal 10 2 10 2 31 4 3" xfId="3929" xr:uid="{00000000-0005-0000-0000-0000590F0000}"/>
    <cellStyle name="Normal 10 2 10 2 31 4 4" xfId="3930" xr:uid="{00000000-0005-0000-0000-00005A0F0000}"/>
    <cellStyle name="Normal 10 2 10 2 31 4 5" xfId="3931" xr:uid="{00000000-0005-0000-0000-00005B0F0000}"/>
    <cellStyle name="Normal 10 2 10 2 31 4 6" xfId="3932" xr:uid="{00000000-0005-0000-0000-00005C0F0000}"/>
    <cellStyle name="Normal 10 2 10 2 31 4 7" xfId="3933" xr:uid="{00000000-0005-0000-0000-00005D0F0000}"/>
    <cellStyle name="Normal 10 2 10 2 31 4 8" xfId="3934" xr:uid="{00000000-0005-0000-0000-00005E0F0000}"/>
    <cellStyle name="Normal 10 2 10 2 31 4 9" xfId="3935" xr:uid="{00000000-0005-0000-0000-00005F0F0000}"/>
    <cellStyle name="Normal 10 2 10 2 31 5" xfId="3936" xr:uid="{00000000-0005-0000-0000-0000600F0000}"/>
    <cellStyle name="Normal 10 2 10 2 31 5 10" xfId="3937" xr:uid="{00000000-0005-0000-0000-0000610F0000}"/>
    <cellStyle name="Normal 10 2 10 2 31 5 2" xfId="3938" xr:uid="{00000000-0005-0000-0000-0000620F0000}"/>
    <cellStyle name="Normal 10 2 10 2 31 5 3" xfId="3939" xr:uid="{00000000-0005-0000-0000-0000630F0000}"/>
    <cellStyle name="Normal 10 2 10 2 31 5 4" xfId="3940" xr:uid="{00000000-0005-0000-0000-0000640F0000}"/>
    <cellStyle name="Normal 10 2 10 2 31 5 5" xfId="3941" xr:uid="{00000000-0005-0000-0000-0000650F0000}"/>
    <cellStyle name="Normal 10 2 10 2 31 5 6" xfId="3942" xr:uid="{00000000-0005-0000-0000-0000660F0000}"/>
    <cellStyle name="Normal 10 2 10 2 31 5 7" xfId="3943" xr:uid="{00000000-0005-0000-0000-0000670F0000}"/>
    <cellStyle name="Normal 10 2 10 2 31 5 8" xfId="3944" xr:uid="{00000000-0005-0000-0000-0000680F0000}"/>
    <cellStyle name="Normal 10 2 10 2 31 5 9" xfId="3945" xr:uid="{00000000-0005-0000-0000-0000690F0000}"/>
    <cellStyle name="Normal 10 2 10 2 31 6" xfId="3946" xr:uid="{00000000-0005-0000-0000-00006A0F0000}"/>
    <cellStyle name="Normal 10 2 10 2 31 7" xfId="3947" xr:uid="{00000000-0005-0000-0000-00006B0F0000}"/>
    <cellStyle name="Normal 10 2 10 2 31 8" xfId="3948" xr:uid="{00000000-0005-0000-0000-00006C0F0000}"/>
    <cellStyle name="Normal 10 2 10 2 31 9" xfId="3949" xr:uid="{00000000-0005-0000-0000-00006D0F0000}"/>
    <cellStyle name="Normal 10 2 10 2 32" xfId="3950" xr:uid="{00000000-0005-0000-0000-00006E0F0000}"/>
    <cellStyle name="Normal 10 2 10 2 32 10" xfId="3951" xr:uid="{00000000-0005-0000-0000-00006F0F0000}"/>
    <cellStyle name="Normal 10 2 10 2 32 11" xfId="3952" xr:uid="{00000000-0005-0000-0000-0000700F0000}"/>
    <cellStyle name="Normal 10 2 10 2 32 12" xfId="3953" xr:uid="{00000000-0005-0000-0000-0000710F0000}"/>
    <cellStyle name="Normal 10 2 10 2 32 13" xfId="3954" xr:uid="{00000000-0005-0000-0000-0000720F0000}"/>
    <cellStyle name="Normal 10 2 10 2 32 14" xfId="3955" xr:uid="{00000000-0005-0000-0000-0000730F0000}"/>
    <cellStyle name="Normal 10 2 10 2 32 2" xfId="3956" xr:uid="{00000000-0005-0000-0000-0000740F0000}"/>
    <cellStyle name="Normal 10 2 10 2 32 2 10" xfId="3957" xr:uid="{00000000-0005-0000-0000-0000750F0000}"/>
    <cellStyle name="Normal 10 2 10 2 32 2 2" xfId="3958" xr:uid="{00000000-0005-0000-0000-0000760F0000}"/>
    <cellStyle name="Normal 10 2 10 2 32 2 3" xfId="3959" xr:uid="{00000000-0005-0000-0000-0000770F0000}"/>
    <cellStyle name="Normal 10 2 10 2 32 2 4" xfId="3960" xr:uid="{00000000-0005-0000-0000-0000780F0000}"/>
    <cellStyle name="Normal 10 2 10 2 32 2 5" xfId="3961" xr:uid="{00000000-0005-0000-0000-0000790F0000}"/>
    <cellStyle name="Normal 10 2 10 2 32 2 6" xfId="3962" xr:uid="{00000000-0005-0000-0000-00007A0F0000}"/>
    <cellStyle name="Normal 10 2 10 2 32 2 7" xfId="3963" xr:uid="{00000000-0005-0000-0000-00007B0F0000}"/>
    <cellStyle name="Normal 10 2 10 2 32 2 8" xfId="3964" xr:uid="{00000000-0005-0000-0000-00007C0F0000}"/>
    <cellStyle name="Normal 10 2 10 2 32 2 9" xfId="3965" xr:uid="{00000000-0005-0000-0000-00007D0F0000}"/>
    <cellStyle name="Normal 10 2 10 2 32 3" xfId="3966" xr:uid="{00000000-0005-0000-0000-00007E0F0000}"/>
    <cellStyle name="Normal 10 2 10 2 32 3 10" xfId="3967" xr:uid="{00000000-0005-0000-0000-00007F0F0000}"/>
    <cellStyle name="Normal 10 2 10 2 32 3 2" xfId="3968" xr:uid="{00000000-0005-0000-0000-0000800F0000}"/>
    <cellStyle name="Normal 10 2 10 2 32 3 3" xfId="3969" xr:uid="{00000000-0005-0000-0000-0000810F0000}"/>
    <cellStyle name="Normal 10 2 10 2 32 3 4" xfId="3970" xr:uid="{00000000-0005-0000-0000-0000820F0000}"/>
    <cellStyle name="Normal 10 2 10 2 32 3 5" xfId="3971" xr:uid="{00000000-0005-0000-0000-0000830F0000}"/>
    <cellStyle name="Normal 10 2 10 2 32 3 6" xfId="3972" xr:uid="{00000000-0005-0000-0000-0000840F0000}"/>
    <cellStyle name="Normal 10 2 10 2 32 3 7" xfId="3973" xr:uid="{00000000-0005-0000-0000-0000850F0000}"/>
    <cellStyle name="Normal 10 2 10 2 32 3 8" xfId="3974" xr:uid="{00000000-0005-0000-0000-0000860F0000}"/>
    <cellStyle name="Normal 10 2 10 2 32 3 9" xfId="3975" xr:uid="{00000000-0005-0000-0000-0000870F0000}"/>
    <cellStyle name="Normal 10 2 10 2 32 4" xfId="3976" xr:uid="{00000000-0005-0000-0000-0000880F0000}"/>
    <cellStyle name="Normal 10 2 10 2 32 4 10" xfId="3977" xr:uid="{00000000-0005-0000-0000-0000890F0000}"/>
    <cellStyle name="Normal 10 2 10 2 32 4 2" xfId="3978" xr:uid="{00000000-0005-0000-0000-00008A0F0000}"/>
    <cellStyle name="Normal 10 2 10 2 32 4 3" xfId="3979" xr:uid="{00000000-0005-0000-0000-00008B0F0000}"/>
    <cellStyle name="Normal 10 2 10 2 32 4 4" xfId="3980" xr:uid="{00000000-0005-0000-0000-00008C0F0000}"/>
    <cellStyle name="Normal 10 2 10 2 32 4 5" xfId="3981" xr:uid="{00000000-0005-0000-0000-00008D0F0000}"/>
    <cellStyle name="Normal 10 2 10 2 32 4 6" xfId="3982" xr:uid="{00000000-0005-0000-0000-00008E0F0000}"/>
    <cellStyle name="Normal 10 2 10 2 32 4 7" xfId="3983" xr:uid="{00000000-0005-0000-0000-00008F0F0000}"/>
    <cellStyle name="Normal 10 2 10 2 32 4 8" xfId="3984" xr:uid="{00000000-0005-0000-0000-0000900F0000}"/>
    <cellStyle name="Normal 10 2 10 2 32 4 9" xfId="3985" xr:uid="{00000000-0005-0000-0000-0000910F0000}"/>
    <cellStyle name="Normal 10 2 10 2 32 5" xfId="3986" xr:uid="{00000000-0005-0000-0000-0000920F0000}"/>
    <cellStyle name="Normal 10 2 10 2 32 5 10" xfId="3987" xr:uid="{00000000-0005-0000-0000-0000930F0000}"/>
    <cellStyle name="Normal 10 2 10 2 32 5 2" xfId="3988" xr:uid="{00000000-0005-0000-0000-0000940F0000}"/>
    <cellStyle name="Normal 10 2 10 2 32 5 3" xfId="3989" xr:uid="{00000000-0005-0000-0000-0000950F0000}"/>
    <cellStyle name="Normal 10 2 10 2 32 5 4" xfId="3990" xr:uid="{00000000-0005-0000-0000-0000960F0000}"/>
    <cellStyle name="Normal 10 2 10 2 32 5 5" xfId="3991" xr:uid="{00000000-0005-0000-0000-0000970F0000}"/>
    <cellStyle name="Normal 10 2 10 2 32 5 6" xfId="3992" xr:uid="{00000000-0005-0000-0000-0000980F0000}"/>
    <cellStyle name="Normal 10 2 10 2 32 5 7" xfId="3993" xr:uid="{00000000-0005-0000-0000-0000990F0000}"/>
    <cellStyle name="Normal 10 2 10 2 32 5 8" xfId="3994" xr:uid="{00000000-0005-0000-0000-00009A0F0000}"/>
    <cellStyle name="Normal 10 2 10 2 32 5 9" xfId="3995" xr:uid="{00000000-0005-0000-0000-00009B0F0000}"/>
    <cellStyle name="Normal 10 2 10 2 32 6" xfId="3996" xr:uid="{00000000-0005-0000-0000-00009C0F0000}"/>
    <cellStyle name="Normal 10 2 10 2 32 7" xfId="3997" xr:uid="{00000000-0005-0000-0000-00009D0F0000}"/>
    <cellStyle name="Normal 10 2 10 2 32 8" xfId="3998" xr:uid="{00000000-0005-0000-0000-00009E0F0000}"/>
    <cellStyle name="Normal 10 2 10 2 32 9" xfId="3999" xr:uid="{00000000-0005-0000-0000-00009F0F0000}"/>
    <cellStyle name="Normal 10 2 10 2 33" xfId="4000" xr:uid="{00000000-0005-0000-0000-0000A00F0000}"/>
    <cellStyle name="Normal 10 2 10 2 33 10" xfId="4001" xr:uid="{00000000-0005-0000-0000-0000A10F0000}"/>
    <cellStyle name="Normal 10 2 10 2 33 11" xfId="4002" xr:uid="{00000000-0005-0000-0000-0000A20F0000}"/>
    <cellStyle name="Normal 10 2 10 2 33 12" xfId="4003" xr:uid="{00000000-0005-0000-0000-0000A30F0000}"/>
    <cellStyle name="Normal 10 2 10 2 33 13" xfId="4004" xr:uid="{00000000-0005-0000-0000-0000A40F0000}"/>
    <cellStyle name="Normal 10 2 10 2 33 14" xfId="4005" xr:uid="{00000000-0005-0000-0000-0000A50F0000}"/>
    <cellStyle name="Normal 10 2 10 2 33 2" xfId="4006" xr:uid="{00000000-0005-0000-0000-0000A60F0000}"/>
    <cellStyle name="Normal 10 2 10 2 33 2 10" xfId="4007" xr:uid="{00000000-0005-0000-0000-0000A70F0000}"/>
    <cellStyle name="Normal 10 2 10 2 33 2 2" xfId="4008" xr:uid="{00000000-0005-0000-0000-0000A80F0000}"/>
    <cellStyle name="Normal 10 2 10 2 33 2 3" xfId="4009" xr:uid="{00000000-0005-0000-0000-0000A90F0000}"/>
    <cellStyle name="Normal 10 2 10 2 33 2 4" xfId="4010" xr:uid="{00000000-0005-0000-0000-0000AA0F0000}"/>
    <cellStyle name="Normal 10 2 10 2 33 2 5" xfId="4011" xr:uid="{00000000-0005-0000-0000-0000AB0F0000}"/>
    <cellStyle name="Normal 10 2 10 2 33 2 6" xfId="4012" xr:uid="{00000000-0005-0000-0000-0000AC0F0000}"/>
    <cellStyle name="Normal 10 2 10 2 33 2 7" xfId="4013" xr:uid="{00000000-0005-0000-0000-0000AD0F0000}"/>
    <cellStyle name="Normal 10 2 10 2 33 2 8" xfId="4014" xr:uid="{00000000-0005-0000-0000-0000AE0F0000}"/>
    <cellStyle name="Normal 10 2 10 2 33 2 9" xfId="4015" xr:uid="{00000000-0005-0000-0000-0000AF0F0000}"/>
    <cellStyle name="Normal 10 2 10 2 33 3" xfId="4016" xr:uid="{00000000-0005-0000-0000-0000B00F0000}"/>
    <cellStyle name="Normal 10 2 10 2 33 3 10" xfId="4017" xr:uid="{00000000-0005-0000-0000-0000B10F0000}"/>
    <cellStyle name="Normal 10 2 10 2 33 3 2" xfId="4018" xr:uid="{00000000-0005-0000-0000-0000B20F0000}"/>
    <cellStyle name="Normal 10 2 10 2 33 3 3" xfId="4019" xr:uid="{00000000-0005-0000-0000-0000B30F0000}"/>
    <cellStyle name="Normal 10 2 10 2 33 3 4" xfId="4020" xr:uid="{00000000-0005-0000-0000-0000B40F0000}"/>
    <cellStyle name="Normal 10 2 10 2 33 3 5" xfId="4021" xr:uid="{00000000-0005-0000-0000-0000B50F0000}"/>
    <cellStyle name="Normal 10 2 10 2 33 3 6" xfId="4022" xr:uid="{00000000-0005-0000-0000-0000B60F0000}"/>
    <cellStyle name="Normal 10 2 10 2 33 3 7" xfId="4023" xr:uid="{00000000-0005-0000-0000-0000B70F0000}"/>
    <cellStyle name="Normal 10 2 10 2 33 3 8" xfId="4024" xr:uid="{00000000-0005-0000-0000-0000B80F0000}"/>
    <cellStyle name="Normal 10 2 10 2 33 3 9" xfId="4025" xr:uid="{00000000-0005-0000-0000-0000B90F0000}"/>
    <cellStyle name="Normal 10 2 10 2 33 4" xfId="4026" xr:uid="{00000000-0005-0000-0000-0000BA0F0000}"/>
    <cellStyle name="Normal 10 2 10 2 33 4 10" xfId="4027" xr:uid="{00000000-0005-0000-0000-0000BB0F0000}"/>
    <cellStyle name="Normal 10 2 10 2 33 4 2" xfId="4028" xr:uid="{00000000-0005-0000-0000-0000BC0F0000}"/>
    <cellStyle name="Normal 10 2 10 2 33 4 3" xfId="4029" xr:uid="{00000000-0005-0000-0000-0000BD0F0000}"/>
    <cellStyle name="Normal 10 2 10 2 33 4 4" xfId="4030" xr:uid="{00000000-0005-0000-0000-0000BE0F0000}"/>
    <cellStyle name="Normal 10 2 10 2 33 4 5" xfId="4031" xr:uid="{00000000-0005-0000-0000-0000BF0F0000}"/>
    <cellStyle name="Normal 10 2 10 2 33 4 6" xfId="4032" xr:uid="{00000000-0005-0000-0000-0000C00F0000}"/>
    <cellStyle name="Normal 10 2 10 2 33 4 7" xfId="4033" xr:uid="{00000000-0005-0000-0000-0000C10F0000}"/>
    <cellStyle name="Normal 10 2 10 2 33 4 8" xfId="4034" xr:uid="{00000000-0005-0000-0000-0000C20F0000}"/>
    <cellStyle name="Normal 10 2 10 2 33 4 9" xfId="4035" xr:uid="{00000000-0005-0000-0000-0000C30F0000}"/>
    <cellStyle name="Normal 10 2 10 2 33 5" xfId="4036" xr:uid="{00000000-0005-0000-0000-0000C40F0000}"/>
    <cellStyle name="Normal 10 2 10 2 33 5 10" xfId="4037" xr:uid="{00000000-0005-0000-0000-0000C50F0000}"/>
    <cellStyle name="Normal 10 2 10 2 33 5 2" xfId="4038" xr:uid="{00000000-0005-0000-0000-0000C60F0000}"/>
    <cellStyle name="Normal 10 2 10 2 33 5 3" xfId="4039" xr:uid="{00000000-0005-0000-0000-0000C70F0000}"/>
    <cellStyle name="Normal 10 2 10 2 33 5 4" xfId="4040" xr:uid="{00000000-0005-0000-0000-0000C80F0000}"/>
    <cellStyle name="Normal 10 2 10 2 33 5 5" xfId="4041" xr:uid="{00000000-0005-0000-0000-0000C90F0000}"/>
    <cellStyle name="Normal 10 2 10 2 33 5 6" xfId="4042" xr:uid="{00000000-0005-0000-0000-0000CA0F0000}"/>
    <cellStyle name="Normal 10 2 10 2 33 5 7" xfId="4043" xr:uid="{00000000-0005-0000-0000-0000CB0F0000}"/>
    <cellStyle name="Normal 10 2 10 2 33 5 8" xfId="4044" xr:uid="{00000000-0005-0000-0000-0000CC0F0000}"/>
    <cellStyle name="Normal 10 2 10 2 33 5 9" xfId="4045" xr:uid="{00000000-0005-0000-0000-0000CD0F0000}"/>
    <cellStyle name="Normal 10 2 10 2 33 6" xfId="4046" xr:uid="{00000000-0005-0000-0000-0000CE0F0000}"/>
    <cellStyle name="Normal 10 2 10 2 33 7" xfId="4047" xr:uid="{00000000-0005-0000-0000-0000CF0F0000}"/>
    <cellStyle name="Normal 10 2 10 2 33 8" xfId="4048" xr:uid="{00000000-0005-0000-0000-0000D00F0000}"/>
    <cellStyle name="Normal 10 2 10 2 33 9" xfId="4049" xr:uid="{00000000-0005-0000-0000-0000D10F0000}"/>
    <cellStyle name="Normal 10 2 10 2 34" xfId="4050" xr:uid="{00000000-0005-0000-0000-0000D20F0000}"/>
    <cellStyle name="Normal 10 2 10 2 34 10" xfId="4051" xr:uid="{00000000-0005-0000-0000-0000D30F0000}"/>
    <cellStyle name="Normal 10 2 10 2 34 2" xfId="4052" xr:uid="{00000000-0005-0000-0000-0000D40F0000}"/>
    <cellStyle name="Normal 10 2 10 2 34 3" xfId="4053" xr:uid="{00000000-0005-0000-0000-0000D50F0000}"/>
    <cellStyle name="Normal 10 2 10 2 34 4" xfId="4054" xr:uid="{00000000-0005-0000-0000-0000D60F0000}"/>
    <cellStyle name="Normal 10 2 10 2 34 5" xfId="4055" xr:uid="{00000000-0005-0000-0000-0000D70F0000}"/>
    <cellStyle name="Normal 10 2 10 2 34 6" xfId="4056" xr:uid="{00000000-0005-0000-0000-0000D80F0000}"/>
    <cellStyle name="Normal 10 2 10 2 34 7" xfId="4057" xr:uid="{00000000-0005-0000-0000-0000D90F0000}"/>
    <cellStyle name="Normal 10 2 10 2 34 8" xfId="4058" xr:uid="{00000000-0005-0000-0000-0000DA0F0000}"/>
    <cellStyle name="Normal 10 2 10 2 34 9" xfId="4059" xr:uid="{00000000-0005-0000-0000-0000DB0F0000}"/>
    <cellStyle name="Normal 10 2 10 2 35" xfId="4060" xr:uid="{00000000-0005-0000-0000-0000DC0F0000}"/>
    <cellStyle name="Normal 10 2 10 2 35 10" xfId="4061" xr:uid="{00000000-0005-0000-0000-0000DD0F0000}"/>
    <cellStyle name="Normal 10 2 10 2 35 2" xfId="4062" xr:uid="{00000000-0005-0000-0000-0000DE0F0000}"/>
    <cellStyle name="Normal 10 2 10 2 35 3" xfId="4063" xr:uid="{00000000-0005-0000-0000-0000DF0F0000}"/>
    <cellStyle name="Normal 10 2 10 2 35 4" xfId="4064" xr:uid="{00000000-0005-0000-0000-0000E00F0000}"/>
    <cellStyle name="Normal 10 2 10 2 35 5" xfId="4065" xr:uid="{00000000-0005-0000-0000-0000E10F0000}"/>
    <cellStyle name="Normal 10 2 10 2 35 6" xfId="4066" xr:uid="{00000000-0005-0000-0000-0000E20F0000}"/>
    <cellStyle name="Normal 10 2 10 2 35 7" xfId="4067" xr:uid="{00000000-0005-0000-0000-0000E30F0000}"/>
    <cellStyle name="Normal 10 2 10 2 35 8" xfId="4068" xr:uid="{00000000-0005-0000-0000-0000E40F0000}"/>
    <cellStyle name="Normal 10 2 10 2 35 9" xfId="4069" xr:uid="{00000000-0005-0000-0000-0000E50F0000}"/>
    <cellStyle name="Normal 10 2 10 2 36" xfId="4070" xr:uid="{00000000-0005-0000-0000-0000E60F0000}"/>
    <cellStyle name="Normal 10 2 10 2 36 10" xfId="4071" xr:uid="{00000000-0005-0000-0000-0000E70F0000}"/>
    <cellStyle name="Normal 10 2 10 2 36 2" xfId="4072" xr:uid="{00000000-0005-0000-0000-0000E80F0000}"/>
    <cellStyle name="Normal 10 2 10 2 36 3" xfId="4073" xr:uid="{00000000-0005-0000-0000-0000E90F0000}"/>
    <cellStyle name="Normal 10 2 10 2 36 4" xfId="4074" xr:uid="{00000000-0005-0000-0000-0000EA0F0000}"/>
    <cellStyle name="Normal 10 2 10 2 36 5" xfId="4075" xr:uid="{00000000-0005-0000-0000-0000EB0F0000}"/>
    <cellStyle name="Normal 10 2 10 2 36 6" xfId="4076" xr:uid="{00000000-0005-0000-0000-0000EC0F0000}"/>
    <cellStyle name="Normal 10 2 10 2 36 7" xfId="4077" xr:uid="{00000000-0005-0000-0000-0000ED0F0000}"/>
    <cellStyle name="Normal 10 2 10 2 36 8" xfId="4078" xr:uid="{00000000-0005-0000-0000-0000EE0F0000}"/>
    <cellStyle name="Normal 10 2 10 2 36 9" xfId="4079" xr:uid="{00000000-0005-0000-0000-0000EF0F0000}"/>
    <cellStyle name="Normal 10 2 10 2 37" xfId="4080" xr:uid="{00000000-0005-0000-0000-0000F00F0000}"/>
    <cellStyle name="Normal 10 2 10 2 37 10" xfId="4081" xr:uid="{00000000-0005-0000-0000-0000F10F0000}"/>
    <cellStyle name="Normal 10 2 10 2 37 2" xfId="4082" xr:uid="{00000000-0005-0000-0000-0000F20F0000}"/>
    <cellStyle name="Normal 10 2 10 2 37 3" xfId="4083" xr:uid="{00000000-0005-0000-0000-0000F30F0000}"/>
    <cellStyle name="Normal 10 2 10 2 37 4" xfId="4084" xr:uid="{00000000-0005-0000-0000-0000F40F0000}"/>
    <cellStyle name="Normal 10 2 10 2 37 5" xfId="4085" xr:uid="{00000000-0005-0000-0000-0000F50F0000}"/>
    <cellStyle name="Normal 10 2 10 2 37 6" xfId="4086" xr:uid="{00000000-0005-0000-0000-0000F60F0000}"/>
    <cellStyle name="Normal 10 2 10 2 37 7" xfId="4087" xr:uid="{00000000-0005-0000-0000-0000F70F0000}"/>
    <cellStyle name="Normal 10 2 10 2 37 8" xfId="4088" xr:uid="{00000000-0005-0000-0000-0000F80F0000}"/>
    <cellStyle name="Normal 10 2 10 2 37 9" xfId="4089" xr:uid="{00000000-0005-0000-0000-0000F90F0000}"/>
    <cellStyle name="Normal 10 2 10 2 38" xfId="4090" xr:uid="{00000000-0005-0000-0000-0000FA0F0000}"/>
    <cellStyle name="Normal 10 2 10 2 39" xfId="4091" xr:uid="{00000000-0005-0000-0000-0000FB0F0000}"/>
    <cellStyle name="Normal 10 2 10 2 4" xfId="4092" xr:uid="{00000000-0005-0000-0000-0000FC0F0000}"/>
    <cellStyle name="Normal 10 2 10 2 4 10" xfId="4093" xr:uid="{00000000-0005-0000-0000-0000FD0F0000}"/>
    <cellStyle name="Normal 10 2 10 2 4 11" xfId="4094" xr:uid="{00000000-0005-0000-0000-0000FE0F0000}"/>
    <cellStyle name="Normal 10 2 10 2 4 12" xfId="4095" xr:uid="{00000000-0005-0000-0000-0000FF0F0000}"/>
    <cellStyle name="Normal 10 2 10 2 4 13" xfId="4096" xr:uid="{00000000-0005-0000-0000-000000100000}"/>
    <cellStyle name="Normal 10 2 10 2 4 14" xfId="4097" xr:uid="{00000000-0005-0000-0000-000001100000}"/>
    <cellStyle name="Normal 10 2 10 2 4 2" xfId="4098" xr:uid="{00000000-0005-0000-0000-000002100000}"/>
    <cellStyle name="Normal 10 2 10 2 4 2 10" xfId="4099" xr:uid="{00000000-0005-0000-0000-000003100000}"/>
    <cellStyle name="Normal 10 2 10 2 4 2 2" xfId="4100" xr:uid="{00000000-0005-0000-0000-000004100000}"/>
    <cellStyle name="Normal 10 2 10 2 4 2 3" xfId="4101" xr:uid="{00000000-0005-0000-0000-000005100000}"/>
    <cellStyle name="Normal 10 2 10 2 4 2 4" xfId="4102" xr:uid="{00000000-0005-0000-0000-000006100000}"/>
    <cellStyle name="Normal 10 2 10 2 4 2 5" xfId="4103" xr:uid="{00000000-0005-0000-0000-000007100000}"/>
    <cellStyle name="Normal 10 2 10 2 4 2 6" xfId="4104" xr:uid="{00000000-0005-0000-0000-000008100000}"/>
    <cellStyle name="Normal 10 2 10 2 4 2 7" xfId="4105" xr:uid="{00000000-0005-0000-0000-000009100000}"/>
    <cellStyle name="Normal 10 2 10 2 4 2 8" xfId="4106" xr:uid="{00000000-0005-0000-0000-00000A100000}"/>
    <cellStyle name="Normal 10 2 10 2 4 2 9" xfId="4107" xr:uid="{00000000-0005-0000-0000-00000B100000}"/>
    <cellStyle name="Normal 10 2 10 2 4 3" xfId="4108" xr:uid="{00000000-0005-0000-0000-00000C100000}"/>
    <cellStyle name="Normal 10 2 10 2 4 3 10" xfId="4109" xr:uid="{00000000-0005-0000-0000-00000D100000}"/>
    <cellStyle name="Normal 10 2 10 2 4 3 2" xfId="4110" xr:uid="{00000000-0005-0000-0000-00000E100000}"/>
    <cellStyle name="Normal 10 2 10 2 4 3 3" xfId="4111" xr:uid="{00000000-0005-0000-0000-00000F100000}"/>
    <cellStyle name="Normal 10 2 10 2 4 3 4" xfId="4112" xr:uid="{00000000-0005-0000-0000-000010100000}"/>
    <cellStyle name="Normal 10 2 10 2 4 3 5" xfId="4113" xr:uid="{00000000-0005-0000-0000-000011100000}"/>
    <cellStyle name="Normal 10 2 10 2 4 3 6" xfId="4114" xr:uid="{00000000-0005-0000-0000-000012100000}"/>
    <cellStyle name="Normal 10 2 10 2 4 3 7" xfId="4115" xr:uid="{00000000-0005-0000-0000-000013100000}"/>
    <cellStyle name="Normal 10 2 10 2 4 3 8" xfId="4116" xr:uid="{00000000-0005-0000-0000-000014100000}"/>
    <cellStyle name="Normal 10 2 10 2 4 3 9" xfId="4117" xr:uid="{00000000-0005-0000-0000-000015100000}"/>
    <cellStyle name="Normal 10 2 10 2 4 4" xfId="4118" xr:uid="{00000000-0005-0000-0000-000016100000}"/>
    <cellStyle name="Normal 10 2 10 2 4 4 10" xfId="4119" xr:uid="{00000000-0005-0000-0000-000017100000}"/>
    <cellStyle name="Normal 10 2 10 2 4 4 2" xfId="4120" xr:uid="{00000000-0005-0000-0000-000018100000}"/>
    <cellStyle name="Normal 10 2 10 2 4 4 3" xfId="4121" xr:uid="{00000000-0005-0000-0000-000019100000}"/>
    <cellStyle name="Normal 10 2 10 2 4 4 4" xfId="4122" xr:uid="{00000000-0005-0000-0000-00001A100000}"/>
    <cellStyle name="Normal 10 2 10 2 4 4 5" xfId="4123" xr:uid="{00000000-0005-0000-0000-00001B100000}"/>
    <cellStyle name="Normal 10 2 10 2 4 4 6" xfId="4124" xr:uid="{00000000-0005-0000-0000-00001C100000}"/>
    <cellStyle name="Normal 10 2 10 2 4 4 7" xfId="4125" xr:uid="{00000000-0005-0000-0000-00001D100000}"/>
    <cellStyle name="Normal 10 2 10 2 4 4 8" xfId="4126" xr:uid="{00000000-0005-0000-0000-00001E100000}"/>
    <cellStyle name="Normal 10 2 10 2 4 4 9" xfId="4127" xr:uid="{00000000-0005-0000-0000-00001F100000}"/>
    <cellStyle name="Normal 10 2 10 2 4 5" xfId="4128" xr:uid="{00000000-0005-0000-0000-000020100000}"/>
    <cellStyle name="Normal 10 2 10 2 4 5 10" xfId="4129" xr:uid="{00000000-0005-0000-0000-000021100000}"/>
    <cellStyle name="Normal 10 2 10 2 4 5 2" xfId="4130" xr:uid="{00000000-0005-0000-0000-000022100000}"/>
    <cellStyle name="Normal 10 2 10 2 4 5 3" xfId="4131" xr:uid="{00000000-0005-0000-0000-000023100000}"/>
    <cellStyle name="Normal 10 2 10 2 4 5 4" xfId="4132" xr:uid="{00000000-0005-0000-0000-000024100000}"/>
    <cellStyle name="Normal 10 2 10 2 4 5 5" xfId="4133" xr:uid="{00000000-0005-0000-0000-000025100000}"/>
    <cellStyle name="Normal 10 2 10 2 4 5 6" xfId="4134" xr:uid="{00000000-0005-0000-0000-000026100000}"/>
    <cellStyle name="Normal 10 2 10 2 4 5 7" xfId="4135" xr:uid="{00000000-0005-0000-0000-000027100000}"/>
    <cellStyle name="Normal 10 2 10 2 4 5 8" xfId="4136" xr:uid="{00000000-0005-0000-0000-000028100000}"/>
    <cellStyle name="Normal 10 2 10 2 4 5 9" xfId="4137" xr:uid="{00000000-0005-0000-0000-000029100000}"/>
    <cellStyle name="Normal 10 2 10 2 4 6" xfId="4138" xr:uid="{00000000-0005-0000-0000-00002A100000}"/>
    <cellStyle name="Normal 10 2 10 2 4 7" xfId="4139" xr:uid="{00000000-0005-0000-0000-00002B100000}"/>
    <cellStyle name="Normal 10 2 10 2 4 8" xfId="4140" xr:uid="{00000000-0005-0000-0000-00002C100000}"/>
    <cellStyle name="Normal 10 2 10 2 4 9" xfId="4141" xr:uid="{00000000-0005-0000-0000-00002D100000}"/>
    <cellStyle name="Normal 10 2 10 2 40" xfId="4142" xr:uid="{00000000-0005-0000-0000-00002E100000}"/>
    <cellStyle name="Normal 10 2 10 2 41" xfId="4143" xr:uid="{00000000-0005-0000-0000-00002F100000}"/>
    <cellStyle name="Normal 10 2 10 2 42" xfId="4144" xr:uid="{00000000-0005-0000-0000-000030100000}"/>
    <cellStyle name="Normal 10 2 10 2 43" xfId="4145" xr:uid="{00000000-0005-0000-0000-000031100000}"/>
    <cellStyle name="Normal 10 2 10 2 44" xfId="4146" xr:uid="{00000000-0005-0000-0000-000032100000}"/>
    <cellStyle name="Normal 10 2 10 2 45" xfId="4147" xr:uid="{00000000-0005-0000-0000-000033100000}"/>
    <cellStyle name="Normal 10 2 10 2 46" xfId="4148" xr:uid="{00000000-0005-0000-0000-000034100000}"/>
    <cellStyle name="Normal 10 2 10 2 47" xfId="4149" xr:uid="{00000000-0005-0000-0000-000035100000}"/>
    <cellStyle name="Normal 10 2 10 2 48" xfId="4150" xr:uid="{00000000-0005-0000-0000-000036100000}"/>
    <cellStyle name="Normal 10 2 10 2 49" xfId="2749" xr:uid="{00000000-0005-0000-0000-0000BD0A0000}"/>
    <cellStyle name="Normal 10 2 10 2 5" xfId="4151" xr:uid="{00000000-0005-0000-0000-000037100000}"/>
    <cellStyle name="Normal 10 2 10 2 5 10" xfId="4152" xr:uid="{00000000-0005-0000-0000-000038100000}"/>
    <cellStyle name="Normal 10 2 10 2 5 11" xfId="4153" xr:uid="{00000000-0005-0000-0000-000039100000}"/>
    <cellStyle name="Normal 10 2 10 2 5 12" xfId="4154" xr:uid="{00000000-0005-0000-0000-00003A100000}"/>
    <cellStyle name="Normal 10 2 10 2 5 13" xfId="4155" xr:uid="{00000000-0005-0000-0000-00003B100000}"/>
    <cellStyle name="Normal 10 2 10 2 5 14" xfId="4156" xr:uid="{00000000-0005-0000-0000-00003C100000}"/>
    <cellStyle name="Normal 10 2 10 2 5 2" xfId="4157" xr:uid="{00000000-0005-0000-0000-00003D100000}"/>
    <cellStyle name="Normal 10 2 10 2 5 2 10" xfId="4158" xr:uid="{00000000-0005-0000-0000-00003E100000}"/>
    <cellStyle name="Normal 10 2 10 2 5 2 2" xfId="4159" xr:uid="{00000000-0005-0000-0000-00003F100000}"/>
    <cellStyle name="Normal 10 2 10 2 5 2 3" xfId="4160" xr:uid="{00000000-0005-0000-0000-000040100000}"/>
    <cellStyle name="Normal 10 2 10 2 5 2 4" xfId="4161" xr:uid="{00000000-0005-0000-0000-000041100000}"/>
    <cellStyle name="Normal 10 2 10 2 5 2 5" xfId="4162" xr:uid="{00000000-0005-0000-0000-000042100000}"/>
    <cellStyle name="Normal 10 2 10 2 5 2 6" xfId="4163" xr:uid="{00000000-0005-0000-0000-000043100000}"/>
    <cellStyle name="Normal 10 2 10 2 5 2 7" xfId="4164" xr:uid="{00000000-0005-0000-0000-000044100000}"/>
    <cellStyle name="Normal 10 2 10 2 5 2 8" xfId="4165" xr:uid="{00000000-0005-0000-0000-000045100000}"/>
    <cellStyle name="Normal 10 2 10 2 5 2 9" xfId="4166" xr:uid="{00000000-0005-0000-0000-000046100000}"/>
    <cellStyle name="Normal 10 2 10 2 5 3" xfId="4167" xr:uid="{00000000-0005-0000-0000-000047100000}"/>
    <cellStyle name="Normal 10 2 10 2 5 3 10" xfId="4168" xr:uid="{00000000-0005-0000-0000-000048100000}"/>
    <cellStyle name="Normal 10 2 10 2 5 3 2" xfId="4169" xr:uid="{00000000-0005-0000-0000-000049100000}"/>
    <cellStyle name="Normal 10 2 10 2 5 3 3" xfId="4170" xr:uid="{00000000-0005-0000-0000-00004A100000}"/>
    <cellStyle name="Normal 10 2 10 2 5 3 4" xfId="4171" xr:uid="{00000000-0005-0000-0000-00004B100000}"/>
    <cellStyle name="Normal 10 2 10 2 5 3 5" xfId="4172" xr:uid="{00000000-0005-0000-0000-00004C100000}"/>
    <cellStyle name="Normal 10 2 10 2 5 3 6" xfId="4173" xr:uid="{00000000-0005-0000-0000-00004D100000}"/>
    <cellStyle name="Normal 10 2 10 2 5 3 7" xfId="4174" xr:uid="{00000000-0005-0000-0000-00004E100000}"/>
    <cellStyle name="Normal 10 2 10 2 5 3 8" xfId="4175" xr:uid="{00000000-0005-0000-0000-00004F100000}"/>
    <cellStyle name="Normal 10 2 10 2 5 3 9" xfId="4176" xr:uid="{00000000-0005-0000-0000-000050100000}"/>
    <cellStyle name="Normal 10 2 10 2 5 4" xfId="4177" xr:uid="{00000000-0005-0000-0000-000051100000}"/>
    <cellStyle name="Normal 10 2 10 2 5 4 10" xfId="4178" xr:uid="{00000000-0005-0000-0000-000052100000}"/>
    <cellStyle name="Normal 10 2 10 2 5 4 2" xfId="4179" xr:uid="{00000000-0005-0000-0000-000053100000}"/>
    <cellStyle name="Normal 10 2 10 2 5 4 3" xfId="4180" xr:uid="{00000000-0005-0000-0000-000054100000}"/>
    <cellStyle name="Normal 10 2 10 2 5 4 4" xfId="4181" xr:uid="{00000000-0005-0000-0000-000055100000}"/>
    <cellStyle name="Normal 10 2 10 2 5 4 5" xfId="4182" xr:uid="{00000000-0005-0000-0000-000056100000}"/>
    <cellStyle name="Normal 10 2 10 2 5 4 6" xfId="4183" xr:uid="{00000000-0005-0000-0000-000057100000}"/>
    <cellStyle name="Normal 10 2 10 2 5 4 7" xfId="4184" xr:uid="{00000000-0005-0000-0000-000058100000}"/>
    <cellStyle name="Normal 10 2 10 2 5 4 8" xfId="4185" xr:uid="{00000000-0005-0000-0000-000059100000}"/>
    <cellStyle name="Normal 10 2 10 2 5 4 9" xfId="4186" xr:uid="{00000000-0005-0000-0000-00005A100000}"/>
    <cellStyle name="Normal 10 2 10 2 5 5" xfId="4187" xr:uid="{00000000-0005-0000-0000-00005B100000}"/>
    <cellStyle name="Normal 10 2 10 2 5 5 10" xfId="4188" xr:uid="{00000000-0005-0000-0000-00005C100000}"/>
    <cellStyle name="Normal 10 2 10 2 5 5 2" xfId="4189" xr:uid="{00000000-0005-0000-0000-00005D100000}"/>
    <cellStyle name="Normal 10 2 10 2 5 5 3" xfId="4190" xr:uid="{00000000-0005-0000-0000-00005E100000}"/>
    <cellStyle name="Normal 10 2 10 2 5 5 4" xfId="4191" xr:uid="{00000000-0005-0000-0000-00005F100000}"/>
    <cellStyle name="Normal 10 2 10 2 5 5 5" xfId="4192" xr:uid="{00000000-0005-0000-0000-000060100000}"/>
    <cellStyle name="Normal 10 2 10 2 5 5 6" xfId="4193" xr:uid="{00000000-0005-0000-0000-000061100000}"/>
    <cellStyle name="Normal 10 2 10 2 5 5 7" xfId="4194" xr:uid="{00000000-0005-0000-0000-000062100000}"/>
    <cellStyle name="Normal 10 2 10 2 5 5 8" xfId="4195" xr:uid="{00000000-0005-0000-0000-000063100000}"/>
    <cellStyle name="Normal 10 2 10 2 5 5 9" xfId="4196" xr:uid="{00000000-0005-0000-0000-000064100000}"/>
    <cellStyle name="Normal 10 2 10 2 5 6" xfId="4197" xr:uid="{00000000-0005-0000-0000-000065100000}"/>
    <cellStyle name="Normal 10 2 10 2 5 7" xfId="4198" xr:uid="{00000000-0005-0000-0000-000066100000}"/>
    <cellStyle name="Normal 10 2 10 2 5 8" xfId="4199" xr:uid="{00000000-0005-0000-0000-000067100000}"/>
    <cellStyle name="Normal 10 2 10 2 5 9" xfId="4200" xr:uid="{00000000-0005-0000-0000-000068100000}"/>
    <cellStyle name="Normal 10 2 10 2 6" xfId="4201" xr:uid="{00000000-0005-0000-0000-000069100000}"/>
    <cellStyle name="Normal 10 2 10 2 6 10" xfId="4202" xr:uid="{00000000-0005-0000-0000-00006A100000}"/>
    <cellStyle name="Normal 10 2 10 2 6 11" xfId="4203" xr:uid="{00000000-0005-0000-0000-00006B100000}"/>
    <cellStyle name="Normal 10 2 10 2 6 12" xfId="4204" xr:uid="{00000000-0005-0000-0000-00006C100000}"/>
    <cellStyle name="Normal 10 2 10 2 6 13" xfId="4205" xr:uid="{00000000-0005-0000-0000-00006D100000}"/>
    <cellStyle name="Normal 10 2 10 2 6 14" xfId="4206" xr:uid="{00000000-0005-0000-0000-00006E100000}"/>
    <cellStyle name="Normal 10 2 10 2 6 2" xfId="4207" xr:uid="{00000000-0005-0000-0000-00006F100000}"/>
    <cellStyle name="Normal 10 2 10 2 6 2 10" xfId="4208" xr:uid="{00000000-0005-0000-0000-000070100000}"/>
    <cellStyle name="Normal 10 2 10 2 6 2 2" xfId="4209" xr:uid="{00000000-0005-0000-0000-000071100000}"/>
    <cellStyle name="Normal 10 2 10 2 6 2 3" xfId="4210" xr:uid="{00000000-0005-0000-0000-000072100000}"/>
    <cellStyle name="Normal 10 2 10 2 6 2 4" xfId="4211" xr:uid="{00000000-0005-0000-0000-000073100000}"/>
    <cellStyle name="Normal 10 2 10 2 6 2 5" xfId="4212" xr:uid="{00000000-0005-0000-0000-000074100000}"/>
    <cellStyle name="Normal 10 2 10 2 6 2 6" xfId="4213" xr:uid="{00000000-0005-0000-0000-000075100000}"/>
    <cellStyle name="Normal 10 2 10 2 6 2 7" xfId="4214" xr:uid="{00000000-0005-0000-0000-000076100000}"/>
    <cellStyle name="Normal 10 2 10 2 6 2 8" xfId="4215" xr:uid="{00000000-0005-0000-0000-000077100000}"/>
    <cellStyle name="Normal 10 2 10 2 6 2 9" xfId="4216" xr:uid="{00000000-0005-0000-0000-000078100000}"/>
    <cellStyle name="Normal 10 2 10 2 6 3" xfId="4217" xr:uid="{00000000-0005-0000-0000-000079100000}"/>
    <cellStyle name="Normal 10 2 10 2 6 3 10" xfId="4218" xr:uid="{00000000-0005-0000-0000-00007A100000}"/>
    <cellStyle name="Normal 10 2 10 2 6 3 2" xfId="4219" xr:uid="{00000000-0005-0000-0000-00007B100000}"/>
    <cellStyle name="Normal 10 2 10 2 6 3 3" xfId="4220" xr:uid="{00000000-0005-0000-0000-00007C100000}"/>
    <cellStyle name="Normal 10 2 10 2 6 3 4" xfId="4221" xr:uid="{00000000-0005-0000-0000-00007D100000}"/>
    <cellStyle name="Normal 10 2 10 2 6 3 5" xfId="4222" xr:uid="{00000000-0005-0000-0000-00007E100000}"/>
    <cellStyle name="Normal 10 2 10 2 6 3 6" xfId="4223" xr:uid="{00000000-0005-0000-0000-00007F100000}"/>
    <cellStyle name="Normal 10 2 10 2 6 3 7" xfId="4224" xr:uid="{00000000-0005-0000-0000-000080100000}"/>
    <cellStyle name="Normal 10 2 10 2 6 3 8" xfId="4225" xr:uid="{00000000-0005-0000-0000-000081100000}"/>
    <cellStyle name="Normal 10 2 10 2 6 3 9" xfId="4226" xr:uid="{00000000-0005-0000-0000-000082100000}"/>
    <cellStyle name="Normal 10 2 10 2 6 4" xfId="4227" xr:uid="{00000000-0005-0000-0000-000083100000}"/>
    <cellStyle name="Normal 10 2 10 2 6 4 10" xfId="4228" xr:uid="{00000000-0005-0000-0000-000084100000}"/>
    <cellStyle name="Normal 10 2 10 2 6 4 2" xfId="4229" xr:uid="{00000000-0005-0000-0000-000085100000}"/>
    <cellStyle name="Normal 10 2 10 2 6 4 3" xfId="4230" xr:uid="{00000000-0005-0000-0000-000086100000}"/>
    <cellStyle name="Normal 10 2 10 2 6 4 4" xfId="4231" xr:uid="{00000000-0005-0000-0000-000087100000}"/>
    <cellStyle name="Normal 10 2 10 2 6 4 5" xfId="4232" xr:uid="{00000000-0005-0000-0000-000088100000}"/>
    <cellStyle name="Normal 10 2 10 2 6 4 6" xfId="4233" xr:uid="{00000000-0005-0000-0000-000089100000}"/>
    <cellStyle name="Normal 10 2 10 2 6 4 7" xfId="4234" xr:uid="{00000000-0005-0000-0000-00008A100000}"/>
    <cellStyle name="Normal 10 2 10 2 6 4 8" xfId="4235" xr:uid="{00000000-0005-0000-0000-00008B100000}"/>
    <cellStyle name="Normal 10 2 10 2 6 4 9" xfId="4236" xr:uid="{00000000-0005-0000-0000-00008C100000}"/>
    <cellStyle name="Normal 10 2 10 2 6 5" xfId="4237" xr:uid="{00000000-0005-0000-0000-00008D100000}"/>
    <cellStyle name="Normal 10 2 10 2 6 5 10" xfId="4238" xr:uid="{00000000-0005-0000-0000-00008E100000}"/>
    <cellStyle name="Normal 10 2 10 2 6 5 2" xfId="4239" xr:uid="{00000000-0005-0000-0000-00008F100000}"/>
    <cellStyle name="Normal 10 2 10 2 6 5 3" xfId="4240" xr:uid="{00000000-0005-0000-0000-000090100000}"/>
    <cellStyle name="Normal 10 2 10 2 6 5 4" xfId="4241" xr:uid="{00000000-0005-0000-0000-000091100000}"/>
    <cellStyle name="Normal 10 2 10 2 6 5 5" xfId="4242" xr:uid="{00000000-0005-0000-0000-000092100000}"/>
    <cellStyle name="Normal 10 2 10 2 6 5 6" xfId="4243" xr:uid="{00000000-0005-0000-0000-000093100000}"/>
    <cellStyle name="Normal 10 2 10 2 6 5 7" xfId="4244" xr:uid="{00000000-0005-0000-0000-000094100000}"/>
    <cellStyle name="Normal 10 2 10 2 6 5 8" xfId="4245" xr:uid="{00000000-0005-0000-0000-000095100000}"/>
    <cellStyle name="Normal 10 2 10 2 6 5 9" xfId="4246" xr:uid="{00000000-0005-0000-0000-000096100000}"/>
    <cellStyle name="Normal 10 2 10 2 6 6" xfId="4247" xr:uid="{00000000-0005-0000-0000-000097100000}"/>
    <cellStyle name="Normal 10 2 10 2 6 7" xfId="4248" xr:uid="{00000000-0005-0000-0000-000098100000}"/>
    <cellStyle name="Normal 10 2 10 2 6 8" xfId="4249" xr:uid="{00000000-0005-0000-0000-000099100000}"/>
    <cellStyle name="Normal 10 2 10 2 6 9" xfId="4250" xr:uid="{00000000-0005-0000-0000-00009A100000}"/>
    <cellStyle name="Normal 10 2 10 2 7" xfId="4251" xr:uid="{00000000-0005-0000-0000-00009B100000}"/>
    <cellStyle name="Normal 10 2 10 2 7 10" xfId="4252" xr:uid="{00000000-0005-0000-0000-00009C100000}"/>
    <cellStyle name="Normal 10 2 10 2 7 11" xfId="4253" xr:uid="{00000000-0005-0000-0000-00009D100000}"/>
    <cellStyle name="Normal 10 2 10 2 7 12" xfId="4254" xr:uid="{00000000-0005-0000-0000-00009E100000}"/>
    <cellStyle name="Normal 10 2 10 2 7 13" xfId="4255" xr:uid="{00000000-0005-0000-0000-00009F100000}"/>
    <cellStyle name="Normal 10 2 10 2 7 14" xfId="4256" xr:uid="{00000000-0005-0000-0000-0000A0100000}"/>
    <cellStyle name="Normal 10 2 10 2 7 2" xfId="4257" xr:uid="{00000000-0005-0000-0000-0000A1100000}"/>
    <cellStyle name="Normal 10 2 10 2 7 2 10" xfId="4258" xr:uid="{00000000-0005-0000-0000-0000A2100000}"/>
    <cellStyle name="Normal 10 2 10 2 7 2 2" xfId="4259" xr:uid="{00000000-0005-0000-0000-0000A3100000}"/>
    <cellStyle name="Normal 10 2 10 2 7 2 3" xfId="4260" xr:uid="{00000000-0005-0000-0000-0000A4100000}"/>
    <cellStyle name="Normal 10 2 10 2 7 2 4" xfId="4261" xr:uid="{00000000-0005-0000-0000-0000A5100000}"/>
    <cellStyle name="Normal 10 2 10 2 7 2 5" xfId="4262" xr:uid="{00000000-0005-0000-0000-0000A6100000}"/>
    <cellStyle name="Normal 10 2 10 2 7 2 6" xfId="4263" xr:uid="{00000000-0005-0000-0000-0000A7100000}"/>
    <cellStyle name="Normal 10 2 10 2 7 2 7" xfId="4264" xr:uid="{00000000-0005-0000-0000-0000A8100000}"/>
    <cellStyle name="Normal 10 2 10 2 7 2 8" xfId="4265" xr:uid="{00000000-0005-0000-0000-0000A9100000}"/>
    <cellStyle name="Normal 10 2 10 2 7 2 9" xfId="4266" xr:uid="{00000000-0005-0000-0000-0000AA100000}"/>
    <cellStyle name="Normal 10 2 10 2 7 3" xfId="4267" xr:uid="{00000000-0005-0000-0000-0000AB100000}"/>
    <cellStyle name="Normal 10 2 10 2 7 3 10" xfId="4268" xr:uid="{00000000-0005-0000-0000-0000AC100000}"/>
    <cellStyle name="Normal 10 2 10 2 7 3 2" xfId="4269" xr:uid="{00000000-0005-0000-0000-0000AD100000}"/>
    <cellStyle name="Normal 10 2 10 2 7 3 3" xfId="4270" xr:uid="{00000000-0005-0000-0000-0000AE100000}"/>
    <cellStyle name="Normal 10 2 10 2 7 3 4" xfId="4271" xr:uid="{00000000-0005-0000-0000-0000AF100000}"/>
    <cellStyle name="Normal 10 2 10 2 7 3 5" xfId="4272" xr:uid="{00000000-0005-0000-0000-0000B0100000}"/>
    <cellStyle name="Normal 10 2 10 2 7 3 6" xfId="4273" xr:uid="{00000000-0005-0000-0000-0000B1100000}"/>
    <cellStyle name="Normal 10 2 10 2 7 3 7" xfId="4274" xr:uid="{00000000-0005-0000-0000-0000B2100000}"/>
    <cellStyle name="Normal 10 2 10 2 7 3 8" xfId="4275" xr:uid="{00000000-0005-0000-0000-0000B3100000}"/>
    <cellStyle name="Normal 10 2 10 2 7 3 9" xfId="4276" xr:uid="{00000000-0005-0000-0000-0000B4100000}"/>
    <cellStyle name="Normal 10 2 10 2 7 4" xfId="4277" xr:uid="{00000000-0005-0000-0000-0000B5100000}"/>
    <cellStyle name="Normal 10 2 10 2 7 4 10" xfId="4278" xr:uid="{00000000-0005-0000-0000-0000B6100000}"/>
    <cellStyle name="Normal 10 2 10 2 7 4 2" xfId="4279" xr:uid="{00000000-0005-0000-0000-0000B7100000}"/>
    <cellStyle name="Normal 10 2 10 2 7 4 3" xfId="4280" xr:uid="{00000000-0005-0000-0000-0000B8100000}"/>
    <cellStyle name="Normal 10 2 10 2 7 4 4" xfId="4281" xr:uid="{00000000-0005-0000-0000-0000B9100000}"/>
    <cellStyle name="Normal 10 2 10 2 7 4 5" xfId="4282" xr:uid="{00000000-0005-0000-0000-0000BA100000}"/>
    <cellStyle name="Normal 10 2 10 2 7 4 6" xfId="4283" xr:uid="{00000000-0005-0000-0000-0000BB100000}"/>
    <cellStyle name="Normal 10 2 10 2 7 4 7" xfId="4284" xr:uid="{00000000-0005-0000-0000-0000BC100000}"/>
    <cellStyle name="Normal 10 2 10 2 7 4 8" xfId="4285" xr:uid="{00000000-0005-0000-0000-0000BD100000}"/>
    <cellStyle name="Normal 10 2 10 2 7 4 9" xfId="4286" xr:uid="{00000000-0005-0000-0000-0000BE100000}"/>
    <cellStyle name="Normal 10 2 10 2 7 5" xfId="4287" xr:uid="{00000000-0005-0000-0000-0000BF100000}"/>
    <cellStyle name="Normal 10 2 10 2 7 5 10" xfId="4288" xr:uid="{00000000-0005-0000-0000-0000C0100000}"/>
    <cellStyle name="Normal 10 2 10 2 7 5 2" xfId="4289" xr:uid="{00000000-0005-0000-0000-0000C1100000}"/>
    <cellStyle name="Normal 10 2 10 2 7 5 3" xfId="4290" xr:uid="{00000000-0005-0000-0000-0000C2100000}"/>
    <cellStyle name="Normal 10 2 10 2 7 5 4" xfId="4291" xr:uid="{00000000-0005-0000-0000-0000C3100000}"/>
    <cellStyle name="Normal 10 2 10 2 7 5 5" xfId="4292" xr:uid="{00000000-0005-0000-0000-0000C4100000}"/>
    <cellStyle name="Normal 10 2 10 2 7 5 6" xfId="4293" xr:uid="{00000000-0005-0000-0000-0000C5100000}"/>
    <cellStyle name="Normal 10 2 10 2 7 5 7" xfId="4294" xr:uid="{00000000-0005-0000-0000-0000C6100000}"/>
    <cellStyle name="Normal 10 2 10 2 7 5 8" xfId="4295" xr:uid="{00000000-0005-0000-0000-0000C7100000}"/>
    <cellStyle name="Normal 10 2 10 2 7 5 9" xfId="4296" xr:uid="{00000000-0005-0000-0000-0000C8100000}"/>
    <cellStyle name="Normal 10 2 10 2 7 6" xfId="4297" xr:uid="{00000000-0005-0000-0000-0000C9100000}"/>
    <cellStyle name="Normal 10 2 10 2 7 7" xfId="4298" xr:uid="{00000000-0005-0000-0000-0000CA100000}"/>
    <cellStyle name="Normal 10 2 10 2 7 8" xfId="4299" xr:uid="{00000000-0005-0000-0000-0000CB100000}"/>
    <cellStyle name="Normal 10 2 10 2 7 9" xfId="4300" xr:uid="{00000000-0005-0000-0000-0000CC100000}"/>
    <cellStyle name="Normal 10 2 10 2 8" xfId="4301" xr:uid="{00000000-0005-0000-0000-0000CD100000}"/>
    <cellStyle name="Normal 10 2 10 2 8 10" xfId="4302" xr:uid="{00000000-0005-0000-0000-0000CE100000}"/>
    <cellStyle name="Normal 10 2 10 2 8 11" xfId="4303" xr:uid="{00000000-0005-0000-0000-0000CF100000}"/>
    <cellStyle name="Normal 10 2 10 2 8 12" xfId="4304" xr:uid="{00000000-0005-0000-0000-0000D0100000}"/>
    <cellStyle name="Normal 10 2 10 2 8 13" xfId="4305" xr:uid="{00000000-0005-0000-0000-0000D1100000}"/>
    <cellStyle name="Normal 10 2 10 2 8 14" xfId="4306" xr:uid="{00000000-0005-0000-0000-0000D2100000}"/>
    <cellStyle name="Normal 10 2 10 2 8 2" xfId="4307" xr:uid="{00000000-0005-0000-0000-0000D3100000}"/>
    <cellStyle name="Normal 10 2 10 2 8 2 10" xfId="4308" xr:uid="{00000000-0005-0000-0000-0000D4100000}"/>
    <cellStyle name="Normal 10 2 10 2 8 2 2" xfId="4309" xr:uid="{00000000-0005-0000-0000-0000D5100000}"/>
    <cellStyle name="Normal 10 2 10 2 8 2 3" xfId="4310" xr:uid="{00000000-0005-0000-0000-0000D6100000}"/>
    <cellStyle name="Normal 10 2 10 2 8 2 4" xfId="4311" xr:uid="{00000000-0005-0000-0000-0000D7100000}"/>
    <cellStyle name="Normal 10 2 10 2 8 2 5" xfId="4312" xr:uid="{00000000-0005-0000-0000-0000D8100000}"/>
    <cellStyle name="Normal 10 2 10 2 8 2 6" xfId="4313" xr:uid="{00000000-0005-0000-0000-0000D9100000}"/>
    <cellStyle name="Normal 10 2 10 2 8 2 7" xfId="4314" xr:uid="{00000000-0005-0000-0000-0000DA100000}"/>
    <cellStyle name="Normal 10 2 10 2 8 2 8" xfId="4315" xr:uid="{00000000-0005-0000-0000-0000DB100000}"/>
    <cellStyle name="Normal 10 2 10 2 8 2 9" xfId="4316" xr:uid="{00000000-0005-0000-0000-0000DC100000}"/>
    <cellStyle name="Normal 10 2 10 2 8 3" xfId="4317" xr:uid="{00000000-0005-0000-0000-0000DD100000}"/>
    <cellStyle name="Normal 10 2 10 2 8 3 10" xfId="4318" xr:uid="{00000000-0005-0000-0000-0000DE100000}"/>
    <cellStyle name="Normal 10 2 10 2 8 3 2" xfId="4319" xr:uid="{00000000-0005-0000-0000-0000DF100000}"/>
    <cellStyle name="Normal 10 2 10 2 8 3 3" xfId="4320" xr:uid="{00000000-0005-0000-0000-0000E0100000}"/>
    <cellStyle name="Normal 10 2 10 2 8 3 4" xfId="4321" xr:uid="{00000000-0005-0000-0000-0000E1100000}"/>
    <cellStyle name="Normal 10 2 10 2 8 3 5" xfId="4322" xr:uid="{00000000-0005-0000-0000-0000E2100000}"/>
    <cellStyle name="Normal 10 2 10 2 8 3 6" xfId="4323" xr:uid="{00000000-0005-0000-0000-0000E3100000}"/>
    <cellStyle name="Normal 10 2 10 2 8 3 7" xfId="4324" xr:uid="{00000000-0005-0000-0000-0000E4100000}"/>
    <cellStyle name="Normal 10 2 10 2 8 3 8" xfId="4325" xr:uid="{00000000-0005-0000-0000-0000E5100000}"/>
    <cellStyle name="Normal 10 2 10 2 8 3 9" xfId="4326" xr:uid="{00000000-0005-0000-0000-0000E6100000}"/>
    <cellStyle name="Normal 10 2 10 2 8 4" xfId="4327" xr:uid="{00000000-0005-0000-0000-0000E7100000}"/>
    <cellStyle name="Normal 10 2 10 2 8 4 10" xfId="4328" xr:uid="{00000000-0005-0000-0000-0000E8100000}"/>
    <cellStyle name="Normal 10 2 10 2 8 4 2" xfId="4329" xr:uid="{00000000-0005-0000-0000-0000E9100000}"/>
    <cellStyle name="Normal 10 2 10 2 8 4 3" xfId="4330" xr:uid="{00000000-0005-0000-0000-0000EA100000}"/>
    <cellStyle name="Normal 10 2 10 2 8 4 4" xfId="4331" xr:uid="{00000000-0005-0000-0000-0000EB100000}"/>
    <cellStyle name="Normal 10 2 10 2 8 4 5" xfId="4332" xr:uid="{00000000-0005-0000-0000-0000EC100000}"/>
    <cellStyle name="Normal 10 2 10 2 8 4 6" xfId="4333" xr:uid="{00000000-0005-0000-0000-0000ED100000}"/>
    <cellStyle name="Normal 10 2 10 2 8 4 7" xfId="4334" xr:uid="{00000000-0005-0000-0000-0000EE100000}"/>
    <cellStyle name="Normal 10 2 10 2 8 4 8" xfId="4335" xr:uid="{00000000-0005-0000-0000-0000EF100000}"/>
    <cellStyle name="Normal 10 2 10 2 8 4 9" xfId="4336" xr:uid="{00000000-0005-0000-0000-0000F0100000}"/>
    <cellStyle name="Normal 10 2 10 2 8 5" xfId="4337" xr:uid="{00000000-0005-0000-0000-0000F1100000}"/>
    <cellStyle name="Normal 10 2 10 2 8 5 10" xfId="4338" xr:uid="{00000000-0005-0000-0000-0000F2100000}"/>
    <cellStyle name="Normal 10 2 10 2 8 5 2" xfId="4339" xr:uid="{00000000-0005-0000-0000-0000F3100000}"/>
    <cellStyle name="Normal 10 2 10 2 8 5 3" xfId="4340" xr:uid="{00000000-0005-0000-0000-0000F4100000}"/>
    <cellStyle name="Normal 10 2 10 2 8 5 4" xfId="4341" xr:uid="{00000000-0005-0000-0000-0000F5100000}"/>
    <cellStyle name="Normal 10 2 10 2 8 5 5" xfId="4342" xr:uid="{00000000-0005-0000-0000-0000F6100000}"/>
    <cellStyle name="Normal 10 2 10 2 8 5 6" xfId="4343" xr:uid="{00000000-0005-0000-0000-0000F7100000}"/>
    <cellStyle name="Normal 10 2 10 2 8 5 7" xfId="4344" xr:uid="{00000000-0005-0000-0000-0000F8100000}"/>
    <cellStyle name="Normal 10 2 10 2 8 5 8" xfId="4345" xr:uid="{00000000-0005-0000-0000-0000F9100000}"/>
    <cellStyle name="Normal 10 2 10 2 8 5 9" xfId="4346" xr:uid="{00000000-0005-0000-0000-0000FA100000}"/>
    <cellStyle name="Normal 10 2 10 2 8 6" xfId="4347" xr:uid="{00000000-0005-0000-0000-0000FB100000}"/>
    <cellStyle name="Normal 10 2 10 2 8 7" xfId="4348" xr:uid="{00000000-0005-0000-0000-0000FC100000}"/>
    <cellStyle name="Normal 10 2 10 2 8 8" xfId="4349" xr:uid="{00000000-0005-0000-0000-0000FD100000}"/>
    <cellStyle name="Normal 10 2 10 2 8 9" xfId="4350" xr:uid="{00000000-0005-0000-0000-0000FE100000}"/>
    <cellStyle name="Normal 10 2 10 2 9" xfId="4351" xr:uid="{00000000-0005-0000-0000-0000FF100000}"/>
    <cellStyle name="Normal 10 2 10 2 9 10" xfId="4352" xr:uid="{00000000-0005-0000-0000-000000110000}"/>
    <cellStyle name="Normal 10 2 10 2 9 11" xfId="4353" xr:uid="{00000000-0005-0000-0000-000001110000}"/>
    <cellStyle name="Normal 10 2 10 2 9 12" xfId="4354" xr:uid="{00000000-0005-0000-0000-000002110000}"/>
    <cellStyle name="Normal 10 2 10 2 9 13" xfId="4355" xr:uid="{00000000-0005-0000-0000-000003110000}"/>
    <cellStyle name="Normal 10 2 10 2 9 14" xfId="4356" xr:uid="{00000000-0005-0000-0000-000004110000}"/>
    <cellStyle name="Normal 10 2 10 2 9 2" xfId="4357" xr:uid="{00000000-0005-0000-0000-000005110000}"/>
    <cellStyle name="Normal 10 2 10 2 9 2 10" xfId="4358" xr:uid="{00000000-0005-0000-0000-000006110000}"/>
    <cellStyle name="Normal 10 2 10 2 9 2 2" xfId="4359" xr:uid="{00000000-0005-0000-0000-000007110000}"/>
    <cellStyle name="Normal 10 2 10 2 9 2 3" xfId="4360" xr:uid="{00000000-0005-0000-0000-000008110000}"/>
    <cellStyle name="Normal 10 2 10 2 9 2 4" xfId="4361" xr:uid="{00000000-0005-0000-0000-000009110000}"/>
    <cellStyle name="Normal 10 2 10 2 9 2 5" xfId="4362" xr:uid="{00000000-0005-0000-0000-00000A110000}"/>
    <cellStyle name="Normal 10 2 10 2 9 2 6" xfId="4363" xr:uid="{00000000-0005-0000-0000-00000B110000}"/>
    <cellStyle name="Normal 10 2 10 2 9 2 7" xfId="4364" xr:uid="{00000000-0005-0000-0000-00000C110000}"/>
    <cellStyle name="Normal 10 2 10 2 9 2 8" xfId="4365" xr:uid="{00000000-0005-0000-0000-00000D110000}"/>
    <cellStyle name="Normal 10 2 10 2 9 2 9" xfId="4366" xr:uid="{00000000-0005-0000-0000-00000E110000}"/>
    <cellStyle name="Normal 10 2 10 2 9 3" xfId="4367" xr:uid="{00000000-0005-0000-0000-00000F110000}"/>
    <cellStyle name="Normal 10 2 10 2 9 3 10" xfId="4368" xr:uid="{00000000-0005-0000-0000-000010110000}"/>
    <cellStyle name="Normal 10 2 10 2 9 3 2" xfId="4369" xr:uid="{00000000-0005-0000-0000-000011110000}"/>
    <cellStyle name="Normal 10 2 10 2 9 3 3" xfId="4370" xr:uid="{00000000-0005-0000-0000-000012110000}"/>
    <cellStyle name="Normal 10 2 10 2 9 3 4" xfId="4371" xr:uid="{00000000-0005-0000-0000-000013110000}"/>
    <cellStyle name="Normal 10 2 10 2 9 3 5" xfId="4372" xr:uid="{00000000-0005-0000-0000-000014110000}"/>
    <cellStyle name="Normal 10 2 10 2 9 3 6" xfId="4373" xr:uid="{00000000-0005-0000-0000-000015110000}"/>
    <cellStyle name="Normal 10 2 10 2 9 3 7" xfId="4374" xr:uid="{00000000-0005-0000-0000-000016110000}"/>
    <cellStyle name="Normal 10 2 10 2 9 3 8" xfId="4375" xr:uid="{00000000-0005-0000-0000-000017110000}"/>
    <cellStyle name="Normal 10 2 10 2 9 3 9" xfId="4376" xr:uid="{00000000-0005-0000-0000-000018110000}"/>
    <cellStyle name="Normal 10 2 10 2 9 4" xfId="4377" xr:uid="{00000000-0005-0000-0000-000019110000}"/>
    <cellStyle name="Normal 10 2 10 2 9 4 10" xfId="4378" xr:uid="{00000000-0005-0000-0000-00001A110000}"/>
    <cellStyle name="Normal 10 2 10 2 9 4 2" xfId="4379" xr:uid="{00000000-0005-0000-0000-00001B110000}"/>
    <cellStyle name="Normal 10 2 10 2 9 4 3" xfId="4380" xr:uid="{00000000-0005-0000-0000-00001C110000}"/>
    <cellStyle name="Normal 10 2 10 2 9 4 4" xfId="4381" xr:uid="{00000000-0005-0000-0000-00001D110000}"/>
    <cellStyle name="Normal 10 2 10 2 9 4 5" xfId="4382" xr:uid="{00000000-0005-0000-0000-00001E110000}"/>
    <cellStyle name="Normal 10 2 10 2 9 4 6" xfId="4383" xr:uid="{00000000-0005-0000-0000-00001F110000}"/>
    <cellStyle name="Normal 10 2 10 2 9 4 7" xfId="4384" xr:uid="{00000000-0005-0000-0000-000020110000}"/>
    <cellStyle name="Normal 10 2 10 2 9 4 8" xfId="4385" xr:uid="{00000000-0005-0000-0000-000021110000}"/>
    <cellStyle name="Normal 10 2 10 2 9 4 9" xfId="4386" xr:uid="{00000000-0005-0000-0000-000022110000}"/>
    <cellStyle name="Normal 10 2 10 2 9 5" xfId="4387" xr:uid="{00000000-0005-0000-0000-000023110000}"/>
    <cellStyle name="Normal 10 2 10 2 9 5 10" xfId="4388" xr:uid="{00000000-0005-0000-0000-000024110000}"/>
    <cellStyle name="Normal 10 2 10 2 9 5 2" xfId="4389" xr:uid="{00000000-0005-0000-0000-000025110000}"/>
    <cellStyle name="Normal 10 2 10 2 9 5 3" xfId="4390" xr:uid="{00000000-0005-0000-0000-000026110000}"/>
    <cellStyle name="Normal 10 2 10 2 9 5 4" xfId="4391" xr:uid="{00000000-0005-0000-0000-000027110000}"/>
    <cellStyle name="Normal 10 2 10 2 9 5 5" xfId="4392" xr:uid="{00000000-0005-0000-0000-000028110000}"/>
    <cellStyle name="Normal 10 2 10 2 9 5 6" xfId="4393" xr:uid="{00000000-0005-0000-0000-000029110000}"/>
    <cellStyle name="Normal 10 2 10 2 9 5 7" xfId="4394" xr:uid="{00000000-0005-0000-0000-00002A110000}"/>
    <cellStyle name="Normal 10 2 10 2 9 5 8" xfId="4395" xr:uid="{00000000-0005-0000-0000-00002B110000}"/>
    <cellStyle name="Normal 10 2 10 2 9 5 9" xfId="4396" xr:uid="{00000000-0005-0000-0000-00002C110000}"/>
    <cellStyle name="Normal 10 2 10 2 9 6" xfId="4397" xr:uid="{00000000-0005-0000-0000-00002D110000}"/>
    <cellStyle name="Normal 10 2 10 2 9 7" xfId="4398" xr:uid="{00000000-0005-0000-0000-00002E110000}"/>
    <cellStyle name="Normal 10 2 10 2 9 8" xfId="4399" xr:uid="{00000000-0005-0000-0000-00002F110000}"/>
    <cellStyle name="Normal 10 2 10 2 9 9" xfId="4400" xr:uid="{00000000-0005-0000-0000-000030110000}"/>
    <cellStyle name="Normal 10 2 10 20" xfId="4401" xr:uid="{00000000-0005-0000-0000-000031110000}"/>
    <cellStyle name="Normal 10 2 10 20 10" xfId="4402" xr:uid="{00000000-0005-0000-0000-000032110000}"/>
    <cellStyle name="Normal 10 2 10 20 11" xfId="4403" xr:uid="{00000000-0005-0000-0000-000033110000}"/>
    <cellStyle name="Normal 10 2 10 20 12" xfId="4404" xr:uid="{00000000-0005-0000-0000-000034110000}"/>
    <cellStyle name="Normal 10 2 10 20 13" xfId="4405" xr:uid="{00000000-0005-0000-0000-000035110000}"/>
    <cellStyle name="Normal 10 2 10 20 14" xfId="4406" xr:uid="{00000000-0005-0000-0000-000036110000}"/>
    <cellStyle name="Normal 10 2 10 20 2" xfId="4407" xr:uid="{00000000-0005-0000-0000-000037110000}"/>
    <cellStyle name="Normal 10 2 10 20 2 10" xfId="4408" xr:uid="{00000000-0005-0000-0000-000038110000}"/>
    <cellStyle name="Normal 10 2 10 20 2 2" xfId="4409" xr:uid="{00000000-0005-0000-0000-000039110000}"/>
    <cellStyle name="Normal 10 2 10 20 2 3" xfId="4410" xr:uid="{00000000-0005-0000-0000-00003A110000}"/>
    <cellStyle name="Normal 10 2 10 20 2 4" xfId="4411" xr:uid="{00000000-0005-0000-0000-00003B110000}"/>
    <cellStyle name="Normal 10 2 10 20 2 5" xfId="4412" xr:uid="{00000000-0005-0000-0000-00003C110000}"/>
    <cellStyle name="Normal 10 2 10 20 2 6" xfId="4413" xr:uid="{00000000-0005-0000-0000-00003D110000}"/>
    <cellStyle name="Normal 10 2 10 20 2 7" xfId="4414" xr:uid="{00000000-0005-0000-0000-00003E110000}"/>
    <cellStyle name="Normal 10 2 10 20 2 8" xfId="4415" xr:uid="{00000000-0005-0000-0000-00003F110000}"/>
    <cellStyle name="Normal 10 2 10 20 2 9" xfId="4416" xr:uid="{00000000-0005-0000-0000-000040110000}"/>
    <cellStyle name="Normal 10 2 10 20 3" xfId="4417" xr:uid="{00000000-0005-0000-0000-000041110000}"/>
    <cellStyle name="Normal 10 2 10 20 3 10" xfId="4418" xr:uid="{00000000-0005-0000-0000-000042110000}"/>
    <cellStyle name="Normal 10 2 10 20 3 2" xfId="4419" xr:uid="{00000000-0005-0000-0000-000043110000}"/>
    <cellStyle name="Normal 10 2 10 20 3 3" xfId="4420" xr:uid="{00000000-0005-0000-0000-000044110000}"/>
    <cellStyle name="Normal 10 2 10 20 3 4" xfId="4421" xr:uid="{00000000-0005-0000-0000-000045110000}"/>
    <cellStyle name="Normal 10 2 10 20 3 5" xfId="4422" xr:uid="{00000000-0005-0000-0000-000046110000}"/>
    <cellStyle name="Normal 10 2 10 20 3 6" xfId="4423" xr:uid="{00000000-0005-0000-0000-000047110000}"/>
    <cellStyle name="Normal 10 2 10 20 3 7" xfId="4424" xr:uid="{00000000-0005-0000-0000-000048110000}"/>
    <cellStyle name="Normal 10 2 10 20 3 8" xfId="4425" xr:uid="{00000000-0005-0000-0000-000049110000}"/>
    <cellStyle name="Normal 10 2 10 20 3 9" xfId="4426" xr:uid="{00000000-0005-0000-0000-00004A110000}"/>
    <cellStyle name="Normal 10 2 10 20 4" xfId="4427" xr:uid="{00000000-0005-0000-0000-00004B110000}"/>
    <cellStyle name="Normal 10 2 10 20 4 10" xfId="4428" xr:uid="{00000000-0005-0000-0000-00004C110000}"/>
    <cellStyle name="Normal 10 2 10 20 4 2" xfId="4429" xr:uid="{00000000-0005-0000-0000-00004D110000}"/>
    <cellStyle name="Normal 10 2 10 20 4 3" xfId="4430" xr:uid="{00000000-0005-0000-0000-00004E110000}"/>
    <cellStyle name="Normal 10 2 10 20 4 4" xfId="4431" xr:uid="{00000000-0005-0000-0000-00004F110000}"/>
    <cellStyle name="Normal 10 2 10 20 4 5" xfId="4432" xr:uid="{00000000-0005-0000-0000-000050110000}"/>
    <cellStyle name="Normal 10 2 10 20 4 6" xfId="4433" xr:uid="{00000000-0005-0000-0000-000051110000}"/>
    <cellStyle name="Normal 10 2 10 20 4 7" xfId="4434" xr:uid="{00000000-0005-0000-0000-000052110000}"/>
    <cellStyle name="Normal 10 2 10 20 4 8" xfId="4435" xr:uid="{00000000-0005-0000-0000-000053110000}"/>
    <cellStyle name="Normal 10 2 10 20 4 9" xfId="4436" xr:uid="{00000000-0005-0000-0000-000054110000}"/>
    <cellStyle name="Normal 10 2 10 20 5" xfId="4437" xr:uid="{00000000-0005-0000-0000-000055110000}"/>
    <cellStyle name="Normal 10 2 10 20 5 10" xfId="4438" xr:uid="{00000000-0005-0000-0000-000056110000}"/>
    <cellStyle name="Normal 10 2 10 20 5 2" xfId="4439" xr:uid="{00000000-0005-0000-0000-000057110000}"/>
    <cellStyle name="Normal 10 2 10 20 5 3" xfId="4440" xr:uid="{00000000-0005-0000-0000-000058110000}"/>
    <cellStyle name="Normal 10 2 10 20 5 4" xfId="4441" xr:uid="{00000000-0005-0000-0000-000059110000}"/>
    <cellStyle name="Normal 10 2 10 20 5 5" xfId="4442" xr:uid="{00000000-0005-0000-0000-00005A110000}"/>
    <cellStyle name="Normal 10 2 10 20 5 6" xfId="4443" xr:uid="{00000000-0005-0000-0000-00005B110000}"/>
    <cellStyle name="Normal 10 2 10 20 5 7" xfId="4444" xr:uid="{00000000-0005-0000-0000-00005C110000}"/>
    <cellStyle name="Normal 10 2 10 20 5 8" xfId="4445" xr:uid="{00000000-0005-0000-0000-00005D110000}"/>
    <cellStyle name="Normal 10 2 10 20 5 9" xfId="4446" xr:uid="{00000000-0005-0000-0000-00005E110000}"/>
    <cellStyle name="Normal 10 2 10 20 6" xfId="4447" xr:uid="{00000000-0005-0000-0000-00005F110000}"/>
    <cellStyle name="Normal 10 2 10 20 7" xfId="4448" xr:uid="{00000000-0005-0000-0000-000060110000}"/>
    <cellStyle name="Normal 10 2 10 20 8" xfId="4449" xr:uid="{00000000-0005-0000-0000-000061110000}"/>
    <cellStyle name="Normal 10 2 10 20 9" xfId="4450" xr:uid="{00000000-0005-0000-0000-000062110000}"/>
    <cellStyle name="Normal 10 2 10 21" xfId="4451" xr:uid="{00000000-0005-0000-0000-000063110000}"/>
    <cellStyle name="Normal 10 2 10 21 10" xfId="4452" xr:uid="{00000000-0005-0000-0000-000064110000}"/>
    <cellStyle name="Normal 10 2 10 21 11" xfId="4453" xr:uid="{00000000-0005-0000-0000-000065110000}"/>
    <cellStyle name="Normal 10 2 10 21 12" xfId="4454" xr:uid="{00000000-0005-0000-0000-000066110000}"/>
    <cellStyle name="Normal 10 2 10 21 13" xfId="4455" xr:uid="{00000000-0005-0000-0000-000067110000}"/>
    <cellStyle name="Normal 10 2 10 21 14" xfId="4456" xr:uid="{00000000-0005-0000-0000-000068110000}"/>
    <cellStyle name="Normal 10 2 10 21 2" xfId="4457" xr:uid="{00000000-0005-0000-0000-000069110000}"/>
    <cellStyle name="Normal 10 2 10 21 2 10" xfId="4458" xr:uid="{00000000-0005-0000-0000-00006A110000}"/>
    <cellStyle name="Normal 10 2 10 21 2 2" xfId="4459" xr:uid="{00000000-0005-0000-0000-00006B110000}"/>
    <cellStyle name="Normal 10 2 10 21 2 3" xfId="4460" xr:uid="{00000000-0005-0000-0000-00006C110000}"/>
    <cellStyle name="Normal 10 2 10 21 2 4" xfId="4461" xr:uid="{00000000-0005-0000-0000-00006D110000}"/>
    <cellStyle name="Normal 10 2 10 21 2 5" xfId="4462" xr:uid="{00000000-0005-0000-0000-00006E110000}"/>
    <cellStyle name="Normal 10 2 10 21 2 6" xfId="4463" xr:uid="{00000000-0005-0000-0000-00006F110000}"/>
    <cellStyle name="Normal 10 2 10 21 2 7" xfId="4464" xr:uid="{00000000-0005-0000-0000-000070110000}"/>
    <cellStyle name="Normal 10 2 10 21 2 8" xfId="4465" xr:uid="{00000000-0005-0000-0000-000071110000}"/>
    <cellStyle name="Normal 10 2 10 21 2 9" xfId="4466" xr:uid="{00000000-0005-0000-0000-000072110000}"/>
    <cellStyle name="Normal 10 2 10 21 3" xfId="4467" xr:uid="{00000000-0005-0000-0000-000073110000}"/>
    <cellStyle name="Normal 10 2 10 21 3 10" xfId="4468" xr:uid="{00000000-0005-0000-0000-000074110000}"/>
    <cellStyle name="Normal 10 2 10 21 3 2" xfId="4469" xr:uid="{00000000-0005-0000-0000-000075110000}"/>
    <cellStyle name="Normal 10 2 10 21 3 3" xfId="4470" xr:uid="{00000000-0005-0000-0000-000076110000}"/>
    <cellStyle name="Normal 10 2 10 21 3 4" xfId="4471" xr:uid="{00000000-0005-0000-0000-000077110000}"/>
    <cellStyle name="Normal 10 2 10 21 3 5" xfId="4472" xr:uid="{00000000-0005-0000-0000-000078110000}"/>
    <cellStyle name="Normal 10 2 10 21 3 6" xfId="4473" xr:uid="{00000000-0005-0000-0000-000079110000}"/>
    <cellStyle name="Normal 10 2 10 21 3 7" xfId="4474" xr:uid="{00000000-0005-0000-0000-00007A110000}"/>
    <cellStyle name="Normal 10 2 10 21 3 8" xfId="4475" xr:uid="{00000000-0005-0000-0000-00007B110000}"/>
    <cellStyle name="Normal 10 2 10 21 3 9" xfId="4476" xr:uid="{00000000-0005-0000-0000-00007C110000}"/>
    <cellStyle name="Normal 10 2 10 21 4" xfId="4477" xr:uid="{00000000-0005-0000-0000-00007D110000}"/>
    <cellStyle name="Normal 10 2 10 21 4 10" xfId="4478" xr:uid="{00000000-0005-0000-0000-00007E110000}"/>
    <cellStyle name="Normal 10 2 10 21 4 2" xfId="4479" xr:uid="{00000000-0005-0000-0000-00007F110000}"/>
    <cellStyle name="Normal 10 2 10 21 4 3" xfId="4480" xr:uid="{00000000-0005-0000-0000-000080110000}"/>
    <cellStyle name="Normal 10 2 10 21 4 4" xfId="4481" xr:uid="{00000000-0005-0000-0000-000081110000}"/>
    <cellStyle name="Normal 10 2 10 21 4 5" xfId="4482" xr:uid="{00000000-0005-0000-0000-000082110000}"/>
    <cellStyle name="Normal 10 2 10 21 4 6" xfId="4483" xr:uid="{00000000-0005-0000-0000-000083110000}"/>
    <cellStyle name="Normal 10 2 10 21 4 7" xfId="4484" xr:uid="{00000000-0005-0000-0000-000084110000}"/>
    <cellStyle name="Normal 10 2 10 21 4 8" xfId="4485" xr:uid="{00000000-0005-0000-0000-000085110000}"/>
    <cellStyle name="Normal 10 2 10 21 4 9" xfId="4486" xr:uid="{00000000-0005-0000-0000-000086110000}"/>
    <cellStyle name="Normal 10 2 10 21 5" xfId="4487" xr:uid="{00000000-0005-0000-0000-000087110000}"/>
    <cellStyle name="Normal 10 2 10 21 5 10" xfId="4488" xr:uid="{00000000-0005-0000-0000-000088110000}"/>
    <cellStyle name="Normal 10 2 10 21 5 2" xfId="4489" xr:uid="{00000000-0005-0000-0000-000089110000}"/>
    <cellStyle name="Normal 10 2 10 21 5 3" xfId="4490" xr:uid="{00000000-0005-0000-0000-00008A110000}"/>
    <cellStyle name="Normal 10 2 10 21 5 4" xfId="4491" xr:uid="{00000000-0005-0000-0000-00008B110000}"/>
    <cellStyle name="Normal 10 2 10 21 5 5" xfId="4492" xr:uid="{00000000-0005-0000-0000-00008C110000}"/>
    <cellStyle name="Normal 10 2 10 21 5 6" xfId="4493" xr:uid="{00000000-0005-0000-0000-00008D110000}"/>
    <cellStyle name="Normal 10 2 10 21 5 7" xfId="4494" xr:uid="{00000000-0005-0000-0000-00008E110000}"/>
    <cellStyle name="Normal 10 2 10 21 5 8" xfId="4495" xr:uid="{00000000-0005-0000-0000-00008F110000}"/>
    <cellStyle name="Normal 10 2 10 21 5 9" xfId="4496" xr:uid="{00000000-0005-0000-0000-000090110000}"/>
    <cellStyle name="Normal 10 2 10 21 6" xfId="4497" xr:uid="{00000000-0005-0000-0000-000091110000}"/>
    <cellStyle name="Normal 10 2 10 21 7" xfId="4498" xr:uid="{00000000-0005-0000-0000-000092110000}"/>
    <cellStyle name="Normal 10 2 10 21 8" xfId="4499" xr:uid="{00000000-0005-0000-0000-000093110000}"/>
    <cellStyle name="Normal 10 2 10 21 9" xfId="4500" xr:uid="{00000000-0005-0000-0000-000094110000}"/>
    <cellStyle name="Normal 10 2 10 22" xfId="4501" xr:uid="{00000000-0005-0000-0000-000095110000}"/>
    <cellStyle name="Normal 10 2 10 22 10" xfId="4502" xr:uid="{00000000-0005-0000-0000-000096110000}"/>
    <cellStyle name="Normal 10 2 10 22 11" xfId="4503" xr:uid="{00000000-0005-0000-0000-000097110000}"/>
    <cellStyle name="Normal 10 2 10 22 12" xfId="4504" xr:uid="{00000000-0005-0000-0000-000098110000}"/>
    <cellStyle name="Normal 10 2 10 22 13" xfId="4505" xr:uid="{00000000-0005-0000-0000-000099110000}"/>
    <cellStyle name="Normal 10 2 10 22 14" xfId="4506" xr:uid="{00000000-0005-0000-0000-00009A110000}"/>
    <cellStyle name="Normal 10 2 10 22 2" xfId="4507" xr:uid="{00000000-0005-0000-0000-00009B110000}"/>
    <cellStyle name="Normal 10 2 10 22 2 10" xfId="4508" xr:uid="{00000000-0005-0000-0000-00009C110000}"/>
    <cellStyle name="Normal 10 2 10 22 2 2" xfId="4509" xr:uid="{00000000-0005-0000-0000-00009D110000}"/>
    <cellStyle name="Normal 10 2 10 22 2 3" xfId="4510" xr:uid="{00000000-0005-0000-0000-00009E110000}"/>
    <cellStyle name="Normal 10 2 10 22 2 4" xfId="4511" xr:uid="{00000000-0005-0000-0000-00009F110000}"/>
    <cellStyle name="Normal 10 2 10 22 2 5" xfId="4512" xr:uid="{00000000-0005-0000-0000-0000A0110000}"/>
    <cellStyle name="Normal 10 2 10 22 2 6" xfId="4513" xr:uid="{00000000-0005-0000-0000-0000A1110000}"/>
    <cellStyle name="Normal 10 2 10 22 2 7" xfId="4514" xr:uid="{00000000-0005-0000-0000-0000A2110000}"/>
    <cellStyle name="Normal 10 2 10 22 2 8" xfId="4515" xr:uid="{00000000-0005-0000-0000-0000A3110000}"/>
    <cellStyle name="Normal 10 2 10 22 2 9" xfId="4516" xr:uid="{00000000-0005-0000-0000-0000A4110000}"/>
    <cellStyle name="Normal 10 2 10 22 3" xfId="4517" xr:uid="{00000000-0005-0000-0000-0000A5110000}"/>
    <cellStyle name="Normal 10 2 10 22 3 10" xfId="4518" xr:uid="{00000000-0005-0000-0000-0000A6110000}"/>
    <cellStyle name="Normal 10 2 10 22 3 2" xfId="4519" xr:uid="{00000000-0005-0000-0000-0000A7110000}"/>
    <cellStyle name="Normal 10 2 10 22 3 3" xfId="4520" xr:uid="{00000000-0005-0000-0000-0000A8110000}"/>
    <cellStyle name="Normal 10 2 10 22 3 4" xfId="4521" xr:uid="{00000000-0005-0000-0000-0000A9110000}"/>
    <cellStyle name="Normal 10 2 10 22 3 5" xfId="4522" xr:uid="{00000000-0005-0000-0000-0000AA110000}"/>
    <cellStyle name="Normal 10 2 10 22 3 6" xfId="4523" xr:uid="{00000000-0005-0000-0000-0000AB110000}"/>
    <cellStyle name="Normal 10 2 10 22 3 7" xfId="4524" xr:uid="{00000000-0005-0000-0000-0000AC110000}"/>
    <cellStyle name="Normal 10 2 10 22 3 8" xfId="4525" xr:uid="{00000000-0005-0000-0000-0000AD110000}"/>
    <cellStyle name="Normal 10 2 10 22 3 9" xfId="4526" xr:uid="{00000000-0005-0000-0000-0000AE110000}"/>
    <cellStyle name="Normal 10 2 10 22 4" xfId="4527" xr:uid="{00000000-0005-0000-0000-0000AF110000}"/>
    <cellStyle name="Normal 10 2 10 22 4 10" xfId="4528" xr:uid="{00000000-0005-0000-0000-0000B0110000}"/>
    <cellStyle name="Normal 10 2 10 22 4 2" xfId="4529" xr:uid="{00000000-0005-0000-0000-0000B1110000}"/>
    <cellStyle name="Normal 10 2 10 22 4 3" xfId="4530" xr:uid="{00000000-0005-0000-0000-0000B2110000}"/>
    <cellStyle name="Normal 10 2 10 22 4 4" xfId="4531" xr:uid="{00000000-0005-0000-0000-0000B3110000}"/>
    <cellStyle name="Normal 10 2 10 22 4 5" xfId="4532" xr:uid="{00000000-0005-0000-0000-0000B4110000}"/>
    <cellStyle name="Normal 10 2 10 22 4 6" xfId="4533" xr:uid="{00000000-0005-0000-0000-0000B5110000}"/>
    <cellStyle name="Normal 10 2 10 22 4 7" xfId="4534" xr:uid="{00000000-0005-0000-0000-0000B6110000}"/>
    <cellStyle name="Normal 10 2 10 22 4 8" xfId="4535" xr:uid="{00000000-0005-0000-0000-0000B7110000}"/>
    <cellStyle name="Normal 10 2 10 22 4 9" xfId="4536" xr:uid="{00000000-0005-0000-0000-0000B8110000}"/>
    <cellStyle name="Normal 10 2 10 22 5" xfId="4537" xr:uid="{00000000-0005-0000-0000-0000B9110000}"/>
    <cellStyle name="Normal 10 2 10 22 5 10" xfId="4538" xr:uid="{00000000-0005-0000-0000-0000BA110000}"/>
    <cellStyle name="Normal 10 2 10 22 5 2" xfId="4539" xr:uid="{00000000-0005-0000-0000-0000BB110000}"/>
    <cellStyle name="Normal 10 2 10 22 5 3" xfId="4540" xr:uid="{00000000-0005-0000-0000-0000BC110000}"/>
    <cellStyle name="Normal 10 2 10 22 5 4" xfId="4541" xr:uid="{00000000-0005-0000-0000-0000BD110000}"/>
    <cellStyle name="Normal 10 2 10 22 5 5" xfId="4542" xr:uid="{00000000-0005-0000-0000-0000BE110000}"/>
    <cellStyle name="Normal 10 2 10 22 5 6" xfId="4543" xr:uid="{00000000-0005-0000-0000-0000BF110000}"/>
    <cellStyle name="Normal 10 2 10 22 5 7" xfId="4544" xr:uid="{00000000-0005-0000-0000-0000C0110000}"/>
    <cellStyle name="Normal 10 2 10 22 5 8" xfId="4545" xr:uid="{00000000-0005-0000-0000-0000C1110000}"/>
    <cellStyle name="Normal 10 2 10 22 5 9" xfId="4546" xr:uid="{00000000-0005-0000-0000-0000C2110000}"/>
    <cellStyle name="Normal 10 2 10 22 6" xfId="4547" xr:uid="{00000000-0005-0000-0000-0000C3110000}"/>
    <cellStyle name="Normal 10 2 10 22 7" xfId="4548" xr:uid="{00000000-0005-0000-0000-0000C4110000}"/>
    <cellStyle name="Normal 10 2 10 22 8" xfId="4549" xr:uid="{00000000-0005-0000-0000-0000C5110000}"/>
    <cellStyle name="Normal 10 2 10 22 9" xfId="4550" xr:uid="{00000000-0005-0000-0000-0000C6110000}"/>
    <cellStyle name="Normal 10 2 10 23" xfId="4551" xr:uid="{00000000-0005-0000-0000-0000C7110000}"/>
    <cellStyle name="Normal 10 2 10 23 10" xfId="4552" xr:uid="{00000000-0005-0000-0000-0000C8110000}"/>
    <cellStyle name="Normal 10 2 10 23 11" xfId="4553" xr:uid="{00000000-0005-0000-0000-0000C9110000}"/>
    <cellStyle name="Normal 10 2 10 23 12" xfId="4554" xr:uid="{00000000-0005-0000-0000-0000CA110000}"/>
    <cellStyle name="Normal 10 2 10 23 13" xfId="4555" xr:uid="{00000000-0005-0000-0000-0000CB110000}"/>
    <cellStyle name="Normal 10 2 10 23 14" xfId="4556" xr:uid="{00000000-0005-0000-0000-0000CC110000}"/>
    <cellStyle name="Normal 10 2 10 23 2" xfId="4557" xr:uid="{00000000-0005-0000-0000-0000CD110000}"/>
    <cellStyle name="Normal 10 2 10 23 2 10" xfId="4558" xr:uid="{00000000-0005-0000-0000-0000CE110000}"/>
    <cellStyle name="Normal 10 2 10 23 2 2" xfId="4559" xr:uid="{00000000-0005-0000-0000-0000CF110000}"/>
    <cellStyle name="Normal 10 2 10 23 2 3" xfId="4560" xr:uid="{00000000-0005-0000-0000-0000D0110000}"/>
    <cellStyle name="Normal 10 2 10 23 2 4" xfId="4561" xr:uid="{00000000-0005-0000-0000-0000D1110000}"/>
    <cellStyle name="Normal 10 2 10 23 2 5" xfId="4562" xr:uid="{00000000-0005-0000-0000-0000D2110000}"/>
    <cellStyle name="Normal 10 2 10 23 2 6" xfId="4563" xr:uid="{00000000-0005-0000-0000-0000D3110000}"/>
    <cellStyle name="Normal 10 2 10 23 2 7" xfId="4564" xr:uid="{00000000-0005-0000-0000-0000D4110000}"/>
    <cellStyle name="Normal 10 2 10 23 2 8" xfId="4565" xr:uid="{00000000-0005-0000-0000-0000D5110000}"/>
    <cellStyle name="Normal 10 2 10 23 2 9" xfId="4566" xr:uid="{00000000-0005-0000-0000-0000D6110000}"/>
    <cellStyle name="Normal 10 2 10 23 3" xfId="4567" xr:uid="{00000000-0005-0000-0000-0000D7110000}"/>
    <cellStyle name="Normal 10 2 10 23 3 10" xfId="4568" xr:uid="{00000000-0005-0000-0000-0000D8110000}"/>
    <cellStyle name="Normal 10 2 10 23 3 2" xfId="4569" xr:uid="{00000000-0005-0000-0000-0000D9110000}"/>
    <cellStyle name="Normal 10 2 10 23 3 3" xfId="4570" xr:uid="{00000000-0005-0000-0000-0000DA110000}"/>
    <cellStyle name="Normal 10 2 10 23 3 4" xfId="4571" xr:uid="{00000000-0005-0000-0000-0000DB110000}"/>
    <cellStyle name="Normal 10 2 10 23 3 5" xfId="4572" xr:uid="{00000000-0005-0000-0000-0000DC110000}"/>
    <cellStyle name="Normal 10 2 10 23 3 6" xfId="4573" xr:uid="{00000000-0005-0000-0000-0000DD110000}"/>
    <cellStyle name="Normal 10 2 10 23 3 7" xfId="4574" xr:uid="{00000000-0005-0000-0000-0000DE110000}"/>
    <cellStyle name="Normal 10 2 10 23 3 8" xfId="4575" xr:uid="{00000000-0005-0000-0000-0000DF110000}"/>
    <cellStyle name="Normal 10 2 10 23 3 9" xfId="4576" xr:uid="{00000000-0005-0000-0000-0000E0110000}"/>
    <cellStyle name="Normal 10 2 10 23 4" xfId="4577" xr:uid="{00000000-0005-0000-0000-0000E1110000}"/>
    <cellStyle name="Normal 10 2 10 23 4 10" xfId="4578" xr:uid="{00000000-0005-0000-0000-0000E2110000}"/>
    <cellStyle name="Normal 10 2 10 23 4 2" xfId="4579" xr:uid="{00000000-0005-0000-0000-0000E3110000}"/>
    <cellStyle name="Normal 10 2 10 23 4 3" xfId="4580" xr:uid="{00000000-0005-0000-0000-0000E4110000}"/>
    <cellStyle name="Normal 10 2 10 23 4 4" xfId="4581" xr:uid="{00000000-0005-0000-0000-0000E5110000}"/>
    <cellStyle name="Normal 10 2 10 23 4 5" xfId="4582" xr:uid="{00000000-0005-0000-0000-0000E6110000}"/>
    <cellStyle name="Normal 10 2 10 23 4 6" xfId="4583" xr:uid="{00000000-0005-0000-0000-0000E7110000}"/>
    <cellStyle name="Normal 10 2 10 23 4 7" xfId="4584" xr:uid="{00000000-0005-0000-0000-0000E8110000}"/>
    <cellStyle name="Normal 10 2 10 23 4 8" xfId="4585" xr:uid="{00000000-0005-0000-0000-0000E9110000}"/>
    <cellStyle name="Normal 10 2 10 23 4 9" xfId="4586" xr:uid="{00000000-0005-0000-0000-0000EA110000}"/>
    <cellStyle name="Normal 10 2 10 23 5" xfId="4587" xr:uid="{00000000-0005-0000-0000-0000EB110000}"/>
    <cellStyle name="Normal 10 2 10 23 5 10" xfId="4588" xr:uid="{00000000-0005-0000-0000-0000EC110000}"/>
    <cellStyle name="Normal 10 2 10 23 5 2" xfId="4589" xr:uid="{00000000-0005-0000-0000-0000ED110000}"/>
    <cellStyle name="Normal 10 2 10 23 5 3" xfId="4590" xr:uid="{00000000-0005-0000-0000-0000EE110000}"/>
    <cellStyle name="Normal 10 2 10 23 5 4" xfId="4591" xr:uid="{00000000-0005-0000-0000-0000EF110000}"/>
    <cellStyle name="Normal 10 2 10 23 5 5" xfId="4592" xr:uid="{00000000-0005-0000-0000-0000F0110000}"/>
    <cellStyle name="Normal 10 2 10 23 5 6" xfId="4593" xr:uid="{00000000-0005-0000-0000-0000F1110000}"/>
    <cellStyle name="Normal 10 2 10 23 5 7" xfId="4594" xr:uid="{00000000-0005-0000-0000-0000F2110000}"/>
    <cellStyle name="Normal 10 2 10 23 5 8" xfId="4595" xr:uid="{00000000-0005-0000-0000-0000F3110000}"/>
    <cellStyle name="Normal 10 2 10 23 5 9" xfId="4596" xr:uid="{00000000-0005-0000-0000-0000F4110000}"/>
    <cellStyle name="Normal 10 2 10 23 6" xfId="4597" xr:uid="{00000000-0005-0000-0000-0000F5110000}"/>
    <cellStyle name="Normal 10 2 10 23 7" xfId="4598" xr:uid="{00000000-0005-0000-0000-0000F6110000}"/>
    <cellStyle name="Normal 10 2 10 23 8" xfId="4599" xr:uid="{00000000-0005-0000-0000-0000F7110000}"/>
    <cellStyle name="Normal 10 2 10 23 9" xfId="4600" xr:uid="{00000000-0005-0000-0000-0000F8110000}"/>
    <cellStyle name="Normal 10 2 10 24" xfId="4601" xr:uid="{00000000-0005-0000-0000-0000F9110000}"/>
    <cellStyle name="Normal 10 2 10 24 10" xfId="4602" xr:uid="{00000000-0005-0000-0000-0000FA110000}"/>
    <cellStyle name="Normal 10 2 10 24 11" xfId="4603" xr:uid="{00000000-0005-0000-0000-0000FB110000}"/>
    <cellStyle name="Normal 10 2 10 24 12" xfId="4604" xr:uid="{00000000-0005-0000-0000-0000FC110000}"/>
    <cellStyle name="Normal 10 2 10 24 13" xfId="4605" xr:uid="{00000000-0005-0000-0000-0000FD110000}"/>
    <cellStyle name="Normal 10 2 10 24 14" xfId="4606" xr:uid="{00000000-0005-0000-0000-0000FE110000}"/>
    <cellStyle name="Normal 10 2 10 24 2" xfId="4607" xr:uid="{00000000-0005-0000-0000-0000FF110000}"/>
    <cellStyle name="Normal 10 2 10 24 2 10" xfId="4608" xr:uid="{00000000-0005-0000-0000-000000120000}"/>
    <cellStyle name="Normal 10 2 10 24 2 2" xfId="4609" xr:uid="{00000000-0005-0000-0000-000001120000}"/>
    <cellStyle name="Normal 10 2 10 24 2 3" xfId="4610" xr:uid="{00000000-0005-0000-0000-000002120000}"/>
    <cellStyle name="Normal 10 2 10 24 2 4" xfId="4611" xr:uid="{00000000-0005-0000-0000-000003120000}"/>
    <cellStyle name="Normal 10 2 10 24 2 5" xfId="4612" xr:uid="{00000000-0005-0000-0000-000004120000}"/>
    <cellStyle name="Normal 10 2 10 24 2 6" xfId="4613" xr:uid="{00000000-0005-0000-0000-000005120000}"/>
    <cellStyle name="Normal 10 2 10 24 2 7" xfId="4614" xr:uid="{00000000-0005-0000-0000-000006120000}"/>
    <cellStyle name="Normal 10 2 10 24 2 8" xfId="4615" xr:uid="{00000000-0005-0000-0000-000007120000}"/>
    <cellStyle name="Normal 10 2 10 24 2 9" xfId="4616" xr:uid="{00000000-0005-0000-0000-000008120000}"/>
    <cellStyle name="Normal 10 2 10 24 3" xfId="4617" xr:uid="{00000000-0005-0000-0000-000009120000}"/>
    <cellStyle name="Normal 10 2 10 24 3 10" xfId="4618" xr:uid="{00000000-0005-0000-0000-00000A120000}"/>
    <cellStyle name="Normal 10 2 10 24 3 2" xfId="4619" xr:uid="{00000000-0005-0000-0000-00000B120000}"/>
    <cellStyle name="Normal 10 2 10 24 3 3" xfId="4620" xr:uid="{00000000-0005-0000-0000-00000C120000}"/>
    <cellStyle name="Normal 10 2 10 24 3 4" xfId="4621" xr:uid="{00000000-0005-0000-0000-00000D120000}"/>
    <cellStyle name="Normal 10 2 10 24 3 5" xfId="4622" xr:uid="{00000000-0005-0000-0000-00000E120000}"/>
    <cellStyle name="Normal 10 2 10 24 3 6" xfId="4623" xr:uid="{00000000-0005-0000-0000-00000F120000}"/>
    <cellStyle name="Normal 10 2 10 24 3 7" xfId="4624" xr:uid="{00000000-0005-0000-0000-000010120000}"/>
    <cellStyle name="Normal 10 2 10 24 3 8" xfId="4625" xr:uid="{00000000-0005-0000-0000-000011120000}"/>
    <cellStyle name="Normal 10 2 10 24 3 9" xfId="4626" xr:uid="{00000000-0005-0000-0000-000012120000}"/>
    <cellStyle name="Normal 10 2 10 24 4" xfId="4627" xr:uid="{00000000-0005-0000-0000-000013120000}"/>
    <cellStyle name="Normal 10 2 10 24 4 10" xfId="4628" xr:uid="{00000000-0005-0000-0000-000014120000}"/>
    <cellStyle name="Normal 10 2 10 24 4 2" xfId="4629" xr:uid="{00000000-0005-0000-0000-000015120000}"/>
    <cellStyle name="Normal 10 2 10 24 4 3" xfId="4630" xr:uid="{00000000-0005-0000-0000-000016120000}"/>
    <cellStyle name="Normal 10 2 10 24 4 4" xfId="4631" xr:uid="{00000000-0005-0000-0000-000017120000}"/>
    <cellStyle name="Normal 10 2 10 24 4 5" xfId="4632" xr:uid="{00000000-0005-0000-0000-000018120000}"/>
    <cellStyle name="Normal 10 2 10 24 4 6" xfId="4633" xr:uid="{00000000-0005-0000-0000-000019120000}"/>
    <cellStyle name="Normal 10 2 10 24 4 7" xfId="4634" xr:uid="{00000000-0005-0000-0000-00001A120000}"/>
    <cellStyle name="Normal 10 2 10 24 4 8" xfId="4635" xr:uid="{00000000-0005-0000-0000-00001B120000}"/>
    <cellStyle name="Normal 10 2 10 24 4 9" xfId="4636" xr:uid="{00000000-0005-0000-0000-00001C120000}"/>
    <cellStyle name="Normal 10 2 10 24 5" xfId="4637" xr:uid="{00000000-0005-0000-0000-00001D120000}"/>
    <cellStyle name="Normal 10 2 10 24 5 10" xfId="4638" xr:uid="{00000000-0005-0000-0000-00001E120000}"/>
    <cellStyle name="Normal 10 2 10 24 5 2" xfId="4639" xr:uid="{00000000-0005-0000-0000-00001F120000}"/>
    <cellStyle name="Normal 10 2 10 24 5 3" xfId="4640" xr:uid="{00000000-0005-0000-0000-000020120000}"/>
    <cellStyle name="Normal 10 2 10 24 5 4" xfId="4641" xr:uid="{00000000-0005-0000-0000-000021120000}"/>
    <cellStyle name="Normal 10 2 10 24 5 5" xfId="4642" xr:uid="{00000000-0005-0000-0000-000022120000}"/>
    <cellStyle name="Normal 10 2 10 24 5 6" xfId="4643" xr:uid="{00000000-0005-0000-0000-000023120000}"/>
    <cellStyle name="Normal 10 2 10 24 5 7" xfId="4644" xr:uid="{00000000-0005-0000-0000-000024120000}"/>
    <cellStyle name="Normal 10 2 10 24 5 8" xfId="4645" xr:uid="{00000000-0005-0000-0000-000025120000}"/>
    <cellStyle name="Normal 10 2 10 24 5 9" xfId="4646" xr:uid="{00000000-0005-0000-0000-000026120000}"/>
    <cellStyle name="Normal 10 2 10 24 6" xfId="4647" xr:uid="{00000000-0005-0000-0000-000027120000}"/>
    <cellStyle name="Normal 10 2 10 24 7" xfId="4648" xr:uid="{00000000-0005-0000-0000-000028120000}"/>
    <cellStyle name="Normal 10 2 10 24 8" xfId="4649" xr:uid="{00000000-0005-0000-0000-000029120000}"/>
    <cellStyle name="Normal 10 2 10 24 9" xfId="4650" xr:uid="{00000000-0005-0000-0000-00002A120000}"/>
    <cellStyle name="Normal 10 2 10 25" xfId="4651" xr:uid="{00000000-0005-0000-0000-00002B120000}"/>
    <cellStyle name="Normal 10 2 10 25 10" xfId="4652" xr:uid="{00000000-0005-0000-0000-00002C120000}"/>
    <cellStyle name="Normal 10 2 10 25 11" xfId="4653" xr:uid="{00000000-0005-0000-0000-00002D120000}"/>
    <cellStyle name="Normal 10 2 10 25 12" xfId="4654" xr:uid="{00000000-0005-0000-0000-00002E120000}"/>
    <cellStyle name="Normal 10 2 10 25 13" xfId="4655" xr:uid="{00000000-0005-0000-0000-00002F120000}"/>
    <cellStyle name="Normal 10 2 10 25 14" xfId="4656" xr:uid="{00000000-0005-0000-0000-000030120000}"/>
    <cellStyle name="Normal 10 2 10 25 2" xfId="4657" xr:uid="{00000000-0005-0000-0000-000031120000}"/>
    <cellStyle name="Normal 10 2 10 25 2 10" xfId="4658" xr:uid="{00000000-0005-0000-0000-000032120000}"/>
    <cellStyle name="Normal 10 2 10 25 2 2" xfId="4659" xr:uid="{00000000-0005-0000-0000-000033120000}"/>
    <cellStyle name="Normal 10 2 10 25 2 3" xfId="4660" xr:uid="{00000000-0005-0000-0000-000034120000}"/>
    <cellStyle name="Normal 10 2 10 25 2 4" xfId="4661" xr:uid="{00000000-0005-0000-0000-000035120000}"/>
    <cellStyle name="Normal 10 2 10 25 2 5" xfId="4662" xr:uid="{00000000-0005-0000-0000-000036120000}"/>
    <cellStyle name="Normal 10 2 10 25 2 6" xfId="4663" xr:uid="{00000000-0005-0000-0000-000037120000}"/>
    <cellStyle name="Normal 10 2 10 25 2 7" xfId="4664" xr:uid="{00000000-0005-0000-0000-000038120000}"/>
    <cellStyle name="Normal 10 2 10 25 2 8" xfId="4665" xr:uid="{00000000-0005-0000-0000-000039120000}"/>
    <cellStyle name="Normal 10 2 10 25 2 9" xfId="4666" xr:uid="{00000000-0005-0000-0000-00003A120000}"/>
    <cellStyle name="Normal 10 2 10 25 3" xfId="4667" xr:uid="{00000000-0005-0000-0000-00003B120000}"/>
    <cellStyle name="Normal 10 2 10 25 3 10" xfId="4668" xr:uid="{00000000-0005-0000-0000-00003C120000}"/>
    <cellStyle name="Normal 10 2 10 25 3 2" xfId="4669" xr:uid="{00000000-0005-0000-0000-00003D120000}"/>
    <cellStyle name="Normal 10 2 10 25 3 3" xfId="4670" xr:uid="{00000000-0005-0000-0000-00003E120000}"/>
    <cellStyle name="Normal 10 2 10 25 3 4" xfId="4671" xr:uid="{00000000-0005-0000-0000-00003F120000}"/>
    <cellStyle name="Normal 10 2 10 25 3 5" xfId="4672" xr:uid="{00000000-0005-0000-0000-000040120000}"/>
    <cellStyle name="Normal 10 2 10 25 3 6" xfId="4673" xr:uid="{00000000-0005-0000-0000-000041120000}"/>
    <cellStyle name="Normal 10 2 10 25 3 7" xfId="4674" xr:uid="{00000000-0005-0000-0000-000042120000}"/>
    <cellStyle name="Normal 10 2 10 25 3 8" xfId="4675" xr:uid="{00000000-0005-0000-0000-000043120000}"/>
    <cellStyle name="Normal 10 2 10 25 3 9" xfId="4676" xr:uid="{00000000-0005-0000-0000-000044120000}"/>
    <cellStyle name="Normal 10 2 10 25 4" xfId="4677" xr:uid="{00000000-0005-0000-0000-000045120000}"/>
    <cellStyle name="Normal 10 2 10 25 4 10" xfId="4678" xr:uid="{00000000-0005-0000-0000-000046120000}"/>
    <cellStyle name="Normal 10 2 10 25 4 2" xfId="4679" xr:uid="{00000000-0005-0000-0000-000047120000}"/>
    <cellStyle name="Normal 10 2 10 25 4 3" xfId="4680" xr:uid="{00000000-0005-0000-0000-000048120000}"/>
    <cellStyle name="Normal 10 2 10 25 4 4" xfId="4681" xr:uid="{00000000-0005-0000-0000-000049120000}"/>
    <cellStyle name="Normal 10 2 10 25 4 5" xfId="4682" xr:uid="{00000000-0005-0000-0000-00004A120000}"/>
    <cellStyle name="Normal 10 2 10 25 4 6" xfId="4683" xr:uid="{00000000-0005-0000-0000-00004B120000}"/>
    <cellStyle name="Normal 10 2 10 25 4 7" xfId="4684" xr:uid="{00000000-0005-0000-0000-00004C120000}"/>
    <cellStyle name="Normal 10 2 10 25 4 8" xfId="4685" xr:uid="{00000000-0005-0000-0000-00004D120000}"/>
    <cellStyle name="Normal 10 2 10 25 4 9" xfId="4686" xr:uid="{00000000-0005-0000-0000-00004E120000}"/>
    <cellStyle name="Normal 10 2 10 25 5" xfId="4687" xr:uid="{00000000-0005-0000-0000-00004F120000}"/>
    <cellStyle name="Normal 10 2 10 25 5 10" xfId="4688" xr:uid="{00000000-0005-0000-0000-000050120000}"/>
    <cellStyle name="Normal 10 2 10 25 5 2" xfId="4689" xr:uid="{00000000-0005-0000-0000-000051120000}"/>
    <cellStyle name="Normal 10 2 10 25 5 3" xfId="4690" xr:uid="{00000000-0005-0000-0000-000052120000}"/>
    <cellStyle name="Normal 10 2 10 25 5 4" xfId="4691" xr:uid="{00000000-0005-0000-0000-000053120000}"/>
    <cellStyle name="Normal 10 2 10 25 5 5" xfId="4692" xr:uid="{00000000-0005-0000-0000-000054120000}"/>
    <cellStyle name="Normal 10 2 10 25 5 6" xfId="4693" xr:uid="{00000000-0005-0000-0000-000055120000}"/>
    <cellStyle name="Normal 10 2 10 25 5 7" xfId="4694" xr:uid="{00000000-0005-0000-0000-000056120000}"/>
    <cellStyle name="Normal 10 2 10 25 5 8" xfId="4695" xr:uid="{00000000-0005-0000-0000-000057120000}"/>
    <cellStyle name="Normal 10 2 10 25 5 9" xfId="4696" xr:uid="{00000000-0005-0000-0000-000058120000}"/>
    <cellStyle name="Normal 10 2 10 25 6" xfId="4697" xr:uid="{00000000-0005-0000-0000-000059120000}"/>
    <cellStyle name="Normal 10 2 10 25 7" xfId="4698" xr:uid="{00000000-0005-0000-0000-00005A120000}"/>
    <cellStyle name="Normal 10 2 10 25 8" xfId="4699" xr:uid="{00000000-0005-0000-0000-00005B120000}"/>
    <cellStyle name="Normal 10 2 10 25 9" xfId="4700" xr:uid="{00000000-0005-0000-0000-00005C120000}"/>
    <cellStyle name="Normal 10 2 10 26" xfId="4701" xr:uid="{00000000-0005-0000-0000-00005D120000}"/>
    <cellStyle name="Normal 10 2 10 26 10" xfId="4702" xr:uid="{00000000-0005-0000-0000-00005E120000}"/>
    <cellStyle name="Normal 10 2 10 26 11" xfId="4703" xr:uid="{00000000-0005-0000-0000-00005F120000}"/>
    <cellStyle name="Normal 10 2 10 26 12" xfId="4704" xr:uid="{00000000-0005-0000-0000-000060120000}"/>
    <cellStyle name="Normal 10 2 10 26 13" xfId="4705" xr:uid="{00000000-0005-0000-0000-000061120000}"/>
    <cellStyle name="Normal 10 2 10 26 14" xfId="4706" xr:uid="{00000000-0005-0000-0000-000062120000}"/>
    <cellStyle name="Normal 10 2 10 26 2" xfId="4707" xr:uid="{00000000-0005-0000-0000-000063120000}"/>
    <cellStyle name="Normal 10 2 10 26 2 10" xfId="4708" xr:uid="{00000000-0005-0000-0000-000064120000}"/>
    <cellStyle name="Normal 10 2 10 26 2 2" xfId="4709" xr:uid="{00000000-0005-0000-0000-000065120000}"/>
    <cellStyle name="Normal 10 2 10 26 2 3" xfId="4710" xr:uid="{00000000-0005-0000-0000-000066120000}"/>
    <cellStyle name="Normal 10 2 10 26 2 4" xfId="4711" xr:uid="{00000000-0005-0000-0000-000067120000}"/>
    <cellStyle name="Normal 10 2 10 26 2 5" xfId="4712" xr:uid="{00000000-0005-0000-0000-000068120000}"/>
    <cellStyle name="Normal 10 2 10 26 2 6" xfId="4713" xr:uid="{00000000-0005-0000-0000-000069120000}"/>
    <cellStyle name="Normal 10 2 10 26 2 7" xfId="4714" xr:uid="{00000000-0005-0000-0000-00006A120000}"/>
    <cellStyle name="Normal 10 2 10 26 2 8" xfId="4715" xr:uid="{00000000-0005-0000-0000-00006B120000}"/>
    <cellStyle name="Normal 10 2 10 26 2 9" xfId="4716" xr:uid="{00000000-0005-0000-0000-00006C120000}"/>
    <cellStyle name="Normal 10 2 10 26 3" xfId="4717" xr:uid="{00000000-0005-0000-0000-00006D120000}"/>
    <cellStyle name="Normal 10 2 10 26 3 10" xfId="4718" xr:uid="{00000000-0005-0000-0000-00006E120000}"/>
    <cellStyle name="Normal 10 2 10 26 3 2" xfId="4719" xr:uid="{00000000-0005-0000-0000-00006F120000}"/>
    <cellStyle name="Normal 10 2 10 26 3 3" xfId="4720" xr:uid="{00000000-0005-0000-0000-000070120000}"/>
    <cellStyle name="Normal 10 2 10 26 3 4" xfId="4721" xr:uid="{00000000-0005-0000-0000-000071120000}"/>
    <cellStyle name="Normal 10 2 10 26 3 5" xfId="4722" xr:uid="{00000000-0005-0000-0000-000072120000}"/>
    <cellStyle name="Normal 10 2 10 26 3 6" xfId="4723" xr:uid="{00000000-0005-0000-0000-000073120000}"/>
    <cellStyle name="Normal 10 2 10 26 3 7" xfId="4724" xr:uid="{00000000-0005-0000-0000-000074120000}"/>
    <cellStyle name="Normal 10 2 10 26 3 8" xfId="4725" xr:uid="{00000000-0005-0000-0000-000075120000}"/>
    <cellStyle name="Normal 10 2 10 26 3 9" xfId="4726" xr:uid="{00000000-0005-0000-0000-000076120000}"/>
    <cellStyle name="Normal 10 2 10 26 4" xfId="4727" xr:uid="{00000000-0005-0000-0000-000077120000}"/>
    <cellStyle name="Normal 10 2 10 26 4 10" xfId="4728" xr:uid="{00000000-0005-0000-0000-000078120000}"/>
    <cellStyle name="Normal 10 2 10 26 4 2" xfId="4729" xr:uid="{00000000-0005-0000-0000-000079120000}"/>
    <cellStyle name="Normal 10 2 10 26 4 3" xfId="4730" xr:uid="{00000000-0005-0000-0000-00007A120000}"/>
    <cellStyle name="Normal 10 2 10 26 4 4" xfId="4731" xr:uid="{00000000-0005-0000-0000-00007B120000}"/>
    <cellStyle name="Normal 10 2 10 26 4 5" xfId="4732" xr:uid="{00000000-0005-0000-0000-00007C120000}"/>
    <cellStyle name="Normal 10 2 10 26 4 6" xfId="4733" xr:uid="{00000000-0005-0000-0000-00007D120000}"/>
    <cellStyle name="Normal 10 2 10 26 4 7" xfId="4734" xr:uid="{00000000-0005-0000-0000-00007E120000}"/>
    <cellStyle name="Normal 10 2 10 26 4 8" xfId="4735" xr:uid="{00000000-0005-0000-0000-00007F120000}"/>
    <cellStyle name="Normal 10 2 10 26 4 9" xfId="4736" xr:uid="{00000000-0005-0000-0000-000080120000}"/>
    <cellStyle name="Normal 10 2 10 26 5" xfId="4737" xr:uid="{00000000-0005-0000-0000-000081120000}"/>
    <cellStyle name="Normal 10 2 10 26 5 10" xfId="4738" xr:uid="{00000000-0005-0000-0000-000082120000}"/>
    <cellStyle name="Normal 10 2 10 26 5 2" xfId="4739" xr:uid="{00000000-0005-0000-0000-000083120000}"/>
    <cellStyle name="Normal 10 2 10 26 5 3" xfId="4740" xr:uid="{00000000-0005-0000-0000-000084120000}"/>
    <cellStyle name="Normal 10 2 10 26 5 4" xfId="4741" xr:uid="{00000000-0005-0000-0000-000085120000}"/>
    <cellStyle name="Normal 10 2 10 26 5 5" xfId="4742" xr:uid="{00000000-0005-0000-0000-000086120000}"/>
    <cellStyle name="Normal 10 2 10 26 5 6" xfId="4743" xr:uid="{00000000-0005-0000-0000-000087120000}"/>
    <cellStyle name="Normal 10 2 10 26 5 7" xfId="4744" xr:uid="{00000000-0005-0000-0000-000088120000}"/>
    <cellStyle name="Normal 10 2 10 26 5 8" xfId="4745" xr:uid="{00000000-0005-0000-0000-000089120000}"/>
    <cellStyle name="Normal 10 2 10 26 5 9" xfId="4746" xr:uid="{00000000-0005-0000-0000-00008A120000}"/>
    <cellStyle name="Normal 10 2 10 26 6" xfId="4747" xr:uid="{00000000-0005-0000-0000-00008B120000}"/>
    <cellStyle name="Normal 10 2 10 26 7" xfId="4748" xr:uid="{00000000-0005-0000-0000-00008C120000}"/>
    <cellStyle name="Normal 10 2 10 26 8" xfId="4749" xr:uid="{00000000-0005-0000-0000-00008D120000}"/>
    <cellStyle name="Normal 10 2 10 26 9" xfId="4750" xr:uid="{00000000-0005-0000-0000-00008E120000}"/>
    <cellStyle name="Normal 10 2 10 27" xfId="4751" xr:uid="{00000000-0005-0000-0000-00008F120000}"/>
    <cellStyle name="Normal 10 2 10 27 10" xfId="4752" xr:uid="{00000000-0005-0000-0000-000090120000}"/>
    <cellStyle name="Normal 10 2 10 27 11" xfId="4753" xr:uid="{00000000-0005-0000-0000-000091120000}"/>
    <cellStyle name="Normal 10 2 10 27 12" xfId="4754" xr:uid="{00000000-0005-0000-0000-000092120000}"/>
    <cellStyle name="Normal 10 2 10 27 13" xfId="4755" xr:uid="{00000000-0005-0000-0000-000093120000}"/>
    <cellStyle name="Normal 10 2 10 27 14" xfId="4756" xr:uid="{00000000-0005-0000-0000-000094120000}"/>
    <cellStyle name="Normal 10 2 10 27 2" xfId="4757" xr:uid="{00000000-0005-0000-0000-000095120000}"/>
    <cellStyle name="Normal 10 2 10 27 2 10" xfId="4758" xr:uid="{00000000-0005-0000-0000-000096120000}"/>
    <cellStyle name="Normal 10 2 10 27 2 2" xfId="4759" xr:uid="{00000000-0005-0000-0000-000097120000}"/>
    <cellStyle name="Normal 10 2 10 27 2 3" xfId="4760" xr:uid="{00000000-0005-0000-0000-000098120000}"/>
    <cellStyle name="Normal 10 2 10 27 2 4" xfId="4761" xr:uid="{00000000-0005-0000-0000-000099120000}"/>
    <cellStyle name="Normal 10 2 10 27 2 5" xfId="4762" xr:uid="{00000000-0005-0000-0000-00009A120000}"/>
    <cellStyle name="Normal 10 2 10 27 2 6" xfId="4763" xr:uid="{00000000-0005-0000-0000-00009B120000}"/>
    <cellStyle name="Normal 10 2 10 27 2 7" xfId="4764" xr:uid="{00000000-0005-0000-0000-00009C120000}"/>
    <cellStyle name="Normal 10 2 10 27 2 8" xfId="4765" xr:uid="{00000000-0005-0000-0000-00009D120000}"/>
    <cellStyle name="Normal 10 2 10 27 2 9" xfId="4766" xr:uid="{00000000-0005-0000-0000-00009E120000}"/>
    <cellStyle name="Normal 10 2 10 27 3" xfId="4767" xr:uid="{00000000-0005-0000-0000-00009F120000}"/>
    <cellStyle name="Normal 10 2 10 27 3 10" xfId="4768" xr:uid="{00000000-0005-0000-0000-0000A0120000}"/>
    <cellStyle name="Normal 10 2 10 27 3 2" xfId="4769" xr:uid="{00000000-0005-0000-0000-0000A1120000}"/>
    <cellStyle name="Normal 10 2 10 27 3 3" xfId="4770" xr:uid="{00000000-0005-0000-0000-0000A2120000}"/>
    <cellStyle name="Normal 10 2 10 27 3 4" xfId="4771" xr:uid="{00000000-0005-0000-0000-0000A3120000}"/>
    <cellStyle name="Normal 10 2 10 27 3 5" xfId="4772" xr:uid="{00000000-0005-0000-0000-0000A4120000}"/>
    <cellStyle name="Normal 10 2 10 27 3 6" xfId="4773" xr:uid="{00000000-0005-0000-0000-0000A5120000}"/>
    <cellStyle name="Normal 10 2 10 27 3 7" xfId="4774" xr:uid="{00000000-0005-0000-0000-0000A6120000}"/>
    <cellStyle name="Normal 10 2 10 27 3 8" xfId="4775" xr:uid="{00000000-0005-0000-0000-0000A7120000}"/>
    <cellStyle name="Normal 10 2 10 27 3 9" xfId="4776" xr:uid="{00000000-0005-0000-0000-0000A8120000}"/>
    <cellStyle name="Normal 10 2 10 27 4" xfId="4777" xr:uid="{00000000-0005-0000-0000-0000A9120000}"/>
    <cellStyle name="Normal 10 2 10 27 4 10" xfId="4778" xr:uid="{00000000-0005-0000-0000-0000AA120000}"/>
    <cellStyle name="Normal 10 2 10 27 4 2" xfId="4779" xr:uid="{00000000-0005-0000-0000-0000AB120000}"/>
    <cellStyle name="Normal 10 2 10 27 4 3" xfId="4780" xr:uid="{00000000-0005-0000-0000-0000AC120000}"/>
    <cellStyle name="Normal 10 2 10 27 4 4" xfId="4781" xr:uid="{00000000-0005-0000-0000-0000AD120000}"/>
    <cellStyle name="Normal 10 2 10 27 4 5" xfId="4782" xr:uid="{00000000-0005-0000-0000-0000AE120000}"/>
    <cellStyle name="Normal 10 2 10 27 4 6" xfId="4783" xr:uid="{00000000-0005-0000-0000-0000AF120000}"/>
    <cellStyle name="Normal 10 2 10 27 4 7" xfId="4784" xr:uid="{00000000-0005-0000-0000-0000B0120000}"/>
    <cellStyle name="Normal 10 2 10 27 4 8" xfId="4785" xr:uid="{00000000-0005-0000-0000-0000B1120000}"/>
    <cellStyle name="Normal 10 2 10 27 4 9" xfId="4786" xr:uid="{00000000-0005-0000-0000-0000B2120000}"/>
    <cellStyle name="Normal 10 2 10 27 5" xfId="4787" xr:uid="{00000000-0005-0000-0000-0000B3120000}"/>
    <cellStyle name="Normal 10 2 10 27 5 10" xfId="4788" xr:uid="{00000000-0005-0000-0000-0000B4120000}"/>
    <cellStyle name="Normal 10 2 10 27 5 2" xfId="4789" xr:uid="{00000000-0005-0000-0000-0000B5120000}"/>
    <cellStyle name="Normal 10 2 10 27 5 3" xfId="4790" xr:uid="{00000000-0005-0000-0000-0000B6120000}"/>
    <cellStyle name="Normal 10 2 10 27 5 4" xfId="4791" xr:uid="{00000000-0005-0000-0000-0000B7120000}"/>
    <cellStyle name="Normal 10 2 10 27 5 5" xfId="4792" xr:uid="{00000000-0005-0000-0000-0000B8120000}"/>
    <cellStyle name="Normal 10 2 10 27 5 6" xfId="4793" xr:uid="{00000000-0005-0000-0000-0000B9120000}"/>
    <cellStyle name="Normal 10 2 10 27 5 7" xfId="4794" xr:uid="{00000000-0005-0000-0000-0000BA120000}"/>
    <cellStyle name="Normal 10 2 10 27 5 8" xfId="4795" xr:uid="{00000000-0005-0000-0000-0000BB120000}"/>
    <cellStyle name="Normal 10 2 10 27 5 9" xfId="4796" xr:uid="{00000000-0005-0000-0000-0000BC120000}"/>
    <cellStyle name="Normal 10 2 10 27 6" xfId="4797" xr:uid="{00000000-0005-0000-0000-0000BD120000}"/>
    <cellStyle name="Normal 10 2 10 27 7" xfId="4798" xr:uid="{00000000-0005-0000-0000-0000BE120000}"/>
    <cellStyle name="Normal 10 2 10 27 8" xfId="4799" xr:uid="{00000000-0005-0000-0000-0000BF120000}"/>
    <cellStyle name="Normal 10 2 10 27 9" xfId="4800" xr:uid="{00000000-0005-0000-0000-0000C0120000}"/>
    <cellStyle name="Normal 10 2 10 28" xfId="4801" xr:uid="{00000000-0005-0000-0000-0000C1120000}"/>
    <cellStyle name="Normal 10 2 10 28 10" xfId="4802" xr:uid="{00000000-0005-0000-0000-0000C2120000}"/>
    <cellStyle name="Normal 10 2 10 28 11" xfId="4803" xr:uid="{00000000-0005-0000-0000-0000C3120000}"/>
    <cellStyle name="Normal 10 2 10 28 12" xfId="4804" xr:uid="{00000000-0005-0000-0000-0000C4120000}"/>
    <cellStyle name="Normal 10 2 10 28 13" xfId="4805" xr:uid="{00000000-0005-0000-0000-0000C5120000}"/>
    <cellStyle name="Normal 10 2 10 28 14" xfId="4806" xr:uid="{00000000-0005-0000-0000-0000C6120000}"/>
    <cellStyle name="Normal 10 2 10 28 2" xfId="4807" xr:uid="{00000000-0005-0000-0000-0000C7120000}"/>
    <cellStyle name="Normal 10 2 10 28 2 10" xfId="4808" xr:uid="{00000000-0005-0000-0000-0000C8120000}"/>
    <cellStyle name="Normal 10 2 10 28 2 2" xfId="4809" xr:uid="{00000000-0005-0000-0000-0000C9120000}"/>
    <cellStyle name="Normal 10 2 10 28 2 3" xfId="4810" xr:uid="{00000000-0005-0000-0000-0000CA120000}"/>
    <cellStyle name="Normal 10 2 10 28 2 4" xfId="4811" xr:uid="{00000000-0005-0000-0000-0000CB120000}"/>
    <cellStyle name="Normal 10 2 10 28 2 5" xfId="4812" xr:uid="{00000000-0005-0000-0000-0000CC120000}"/>
    <cellStyle name="Normal 10 2 10 28 2 6" xfId="4813" xr:uid="{00000000-0005-0000-0000-0000CD120000}"/>
    <cellStyle name="Normal 10 2 10 28 2 7" xfId="4814" xr:uid="{00000000-0005-0000-0000-0000CE120000}"/>
    <cellStyle name="Normal 10 2 10 28 2 8" xfId="4815" xr:uid="{00000000-0005-0000-0000-0000CF120000}"/>
    <cellStyle name="Normal 10 2 10 28 2 9" xfId="4816" xr:uid="{00000000-0005-0000-0000-0000D0120000}"/>
    <cellStyle name="Normal 10 2 10 28 3" xfId="4817" xr:uid="{00000000-0005-0000-0000-0000D1120000}"/>
    <cellStyle name="Normal 10 2 10 28 3 10" xfId="4818" xr:uid="{00000000-0005-0000-0000-0000D2120000}"/>
    <cellStyle name="Normal 10 2 10 28 3 2" xfId="4819" xr:uid="{00000000-0005-0000-0000-0000D3120000}"/>
    <cellStyle name="Normal 10 2 10 28 3 3" xfId="4820" xr:uid="{00000000-0005-0000-0000-0000D4120000}"/>
    <cellStyle name="Normal 10 2 10 28 3 4" xfId="4821" xr:uid="{00000000-0005-0000-0000-0000D5120000}"/>
    <cellStyle name="Normal 10 2 10 28 3 5" xfId="4822" xr:uid="{00000000-0005-0000-0000-0000D6120000}"/>
    <cellStyle name="Normal 10 2 10 28 3 6" xfId="4823" xr:uid="{00000000-0005-0000-0000-0000D7120000}"/>
    <cellStyle name="Normal 10 2 10 28 3 7" xfId="4824" xr:uid="{00000000-0005-0000-0000-0000D8120000}"/>
    <cellStyle name="Normal 10 2 10 28 3 8" xfId="4825" xr:uid="{00000000-0005-0000-0000-0000D9120000}"/>
    <cellStyle name="Normal 10 2 10 28 3 9" xfId="4826" xr:uid="{00000000-0005-0000-0000-0000DA120000}"/>
    <cellStyle name="Normal 10 2 10 28 4" xfId="4827" xr:uid="{00000000-0005-0000-0000-0000DB120000}"/>
    <cellStyle name="Normal 10 2 10 28 4 10" xfId="4828" xr:uid="{00000000-0005-0000-0000-0000DC120000}"/>
    <cellStyle name="Normal 10 2 10 28 4 2" xfId="4829" xr:uid="{00000000-0005-0000-0000-0000DD120000}"/>
    <cellStyle name="Normal 10 2 10 28 4 3" xfId="4830" xr:uid="{00000000-0005-0000-0000-0000DE120000}"/>
    <cellStyle name="Normal 10 2 10 28 4 4" xfId="4831" xr:uid="{00000000-0005-0000-0000-0000DF120000}"/>
    <cellStyle name="Normal 10 2 10 28 4 5" xfId="4832" xr:uid="{00000000-0005-0000-0000-0000E0120000}"/>
    <cellStyle name="Normal 10 2 10 28 4 6" xfId="4833" xr:uid="{00000000-0005-0000-0000-0000E1120000}"/>
    <cellStyle name="Normal 10 2 10 28 4 7" xfId="4834" xr:uid="{00000000-0005-0000-0000-0000E2120000}"/>
    <cellStyle name="Normal 10 2 10 28 4 8" xfId="4835" xr:uid="{00000000-0005-0000-0000-0000E3120000}"/>
    <cellStyle name="Normal 10 2 10 28 4 9" xfId="4836" xr:uid="{00000000-0005-0000-0000-0000E4120000}"/>
    <cellStyle name="Normal 10 2 10 28 5" xfId="4837" xr:uid="{00000000-0005-0000-0000-0000E5120000}"/>
    <cellStyle name="Normal 10 2 10 28 5 10" xfId="4838" xr:uid="{00000000-0005-0000-0000-0000E6120000}"/>
    <cellStyle name="Normal 10 2 10 28 5 2" xfId="4839" xr:uid="{00000000-0005-0000-0000-0000E7120000}"/>
    <cellStyle name="Normal 10 2 10 28 5 3" xfId="4840" xr:uid="{00000000-0005-0000-0000-0000E8120000}"/>
    <cellStyle name="Normal 10 2 10 28 5 4" xfId="4841" xr:uid="{00000000-0005-0000-0000-0000E9120000}"/>
    <cellStyle name="Normal 10 2 10 28 5 5" xfId="4842" xr:uid="{00000000-0005-0000-0000-0000EA120000}"/>
    <cellStyle name="Normal 10 2 10 28 5 6" xfId="4843" xr:uid="{00000000-0005-0000-0000-0000EB120000}"/>
    <cellStyle name="Normal 10 2 10 28 5 7" xfId="4844" xr:uid="{00000000-0005-0000-0000-0000EC120000}"/>
    <cellStyle name="Normal 10 2 10 28 5 8" xfId="4845" xr:uid="{00000000-0005-0000-0000-0000ED120000}"/>
    <cellStyle name="Normal 10 2 10 28 5 9" xfId="4846" xr:uid="{00000000-0005-0000-0000-0000EE120000}"/>
    <cellStyle name="Normal 10 2 10 28 6" xfId="4847" xr:uid="{00000000-0005-0000-0000-0000EF120000}"/>
    <cellStyle name="Normal 10 2 10 28 7" xfId="4848" xr:uid="{00000000-0005-0000-0000-0000F0120000}"/>
    <cellStyle name="Normal 10 2 10 28 8" xfId="4849" xr:uid="{00000000-0005-0000-0000-0000F1120000}"/>
    <cellStyle name="Normal 10 2 10 28 9" xfId="4850" xr:uid="{00000000-0005-0000-0000-0000F2120000}"/>
    <cellStyle name="Normal 10 2 10 29" xfId="4851" xr:uid="{00000000-0005-0000-0000-0000F3120000}"/>
    <cellStyle name="Normal 10 2 10 29 10" xfId="4852" xr:uid="{00000000-0005-0000-0000-0000F4120000}"/>
    <cellStyle name="Normal 10 2 10 29 11" xfId="4853" xr:uid="{00000000-0005-0000-0000-0000F5120000}"/>
    <cellStyle name="Normal 10 2 10 29 12" xfId="4854" xr:uid="{00000000-0005-0000-0000-0000F6120000}"/>
    <cellStyle name="Normal 10 2 10 29 13" xfId="4855" xr:uid="{00000000-0005-0000-0000-0000F7120000}"/>
    <cellStyle name="Normal 10 2 10 29 14" xfId="4856" xr:uid="{00000000-0005-0000-0000-0000F8120000}"/>
    <cellStyle name="Normal 10 2 10 29 2" xfId="4857" xr:uid="{00000000-0005-0000-0000-0000F9120000}"/>
    <cellStyle name="Normal 10 2 10 29 2 10" xfId="4858" xr:uid="{00000000-0005-0000-0000-0000FA120000}"/>
    <cellStyle name="Normal 10 2 10 29 2 2" xfId="4859" xr:uid="{00000000-0005-0000-0000-0000FB120000}"/>
    <cellStyle name="Normal 10 2 10 29 2 3" xfId="4860" xr:uid="{00000000-0005-0000-0000-0000FC120000}"/>
    <cellStyle name="Normal 10 2 10 29 2 4" xfId="4861" xr:uid="{00000000-0005-0000-0000-0000FD120000}"/>
    <cellStyle name="Normal 10 2 10 29 2 5" xfId="4862" xr:uid="{00000000-0005-0000-0000-0000FE120000}"/>
    <cellStyle name="Normal 10 2 10 29 2 6" xfId="4863" xr:uid="{00000000-0005-0000-0000-0000FF120000}"/>
    <cellStyle name="Normal 10 2 10 29 2 7" xfId="4864" xr:uid="{00000000-0005-0000-0000-000000130000}"/>
    <cellStyle name="Normal 10 2 10 29 2 8" xfId="4865" xr:uid="{00000000-0005-0000-0000-000001130000}"/>
    <cellStyle name="Normal 10 2 10 29 2 9" xfId="4866" xr:uid="{00000000-0005-0000-0000-000002130000}"/>
    <cellStyle name="Normal 10 2 10 29 3" xfId="4867" xr:uid="{00000000-0005-0000-0000-000003130000}"/>
    <cellStyle name="Normal 10 2 10 29 3 10" xfId="4868" xr:uid="{00000000-0005-0000-0000-000004130000}"/>
    <cellStyle name="Normal 10 2 10 29 3 2" xfId="4869" xr:uid="{00000000-0005-0000-0000-000005130000}"/>
    <cellStyle name="Normal 10 2 10 29 3 3" xfId="4870" xr:uid="{00000000-0005-0000-0000-000006130000}"/>
    <cellStyle name="Normal 10 2 10 29 3 4" xfId="4871" xr:uid="{00000000-0005-0000-0000-000007130000}"/>
    <cellStyle name="Normal 10 2 10 29 3 5" xfId="4872" xr:uid="{00000000-0005-0000-0000-000008130000}"/>
    <cellStyle name="Normal 10 2 10 29 3 6" xfId="4873" xr:uid="{00000000-0005-0000-0000-000009130000}"/>
    <cellStyle name="Normal 10 2 10 29 3 7" xfId="4874" xr:uid="{00000000-0005-0000-0000-00000A130000}"/>
    <cellStyle name="Normal 10 2 10 29 3 8" xfId="4875" xr:uid="{00000000-0005-0000-0000-00000B130000}"/>
    <cellStyle name="Normal 10 2 10 29 3 9" xfId="4876" xr:uid="{00000000-0005-0000-0000-00000C130000}"/>
    <cellStyle name="Normal 10 2 10 29 4" xfId="4877" xr:uid="{00000000-0005-0000-0000-00000D130000}"/>
    <cellStyle name="Normal 10 2 10 29 4 10" xfId="4878" xr:uid="{00000000-0005-0000-0000-00000E130000}"/>
    <cellStyle name="Normal 10 2 10 29 4 2" xfId="4879" xr:uid="{00000000-0005-0000-0000-00000F130000}"/>
    <cellStyle name="Normal 10 2 10 29 4 3" xfId="4880" xr:uid="{00000000-0005-0000-0000-000010130000}"/>
    <cellStyle name="Normal 10 2 10 29 4 4" xfId="4881" xr:uid="{00000000-0005-0000-0000-000011130000}"/>
    <cellStyle name="Normal 10 2 10 29 4 5" xfId="4882" xr:uid="{00000000-0005-0000-0000-000012130000}"/>
    <cellStyle name="Normal 10 2 10 29 4 6" xfId="4883" xr:uid="{00000000-0005-0000-0000-000013130000}"/>
    <cellStyle name="Normal 10 2 10 29 4 7" xfId="4884" xr:uid="{00000000-0005-0000-0000-000014130000}"/>
    <cellStyle name="Normal 10 2 10 29 4 8" xfId="4885" xr:uid="{00000000-0005-0000-0000-000015130000}"/>
    <cellStyle name="Normal 10 2 10 29 4 9" xfId="4886" xr:uid="{00000000-0005-0000-0000-000016130000}"/>
    <cellStyle name="Normal 10 2 10 29 5" xfId="4887" xr:uid="{00000000-0005-0000-0000-000017130000}"/>
    <cellStyle name="Normal 10 2 10 29 5 10" xfId="4888" xr:uid="{00000000-0005-0000-0000-000018130000}"/>
    <cellStyle name="Normal 10 2 10 29 5 2" xfId="4889" xr:uid="{00000000-0005-0000-0000-000019130000}"/>
    <cellStyle name="Normal 10 2 10 29 5 3" xfId="4890" xr:uid="{00000000-0005-0000-0000-00001A130000}"/>
    <cellStyle name="Normal 10 2 10 29 5 4" xfId="4891" xr:uid="{00000000-0005-0000-0000-00001B130000}"/>
    <cellStyle name="Normal 10 2 10 29 5 5" xfId="4892" xr:uid="{00000000-0005-0000-0000-00001C130000}"/>
    <cellStyle name="Normal 10 2 10 29 5 6" xfId="4893" xr:uid="{00000000-0005-0000-0000-00001D130000}"/>
    <cellStyle name="Normal 10 2 10 29 5 7" xfId="4894" xr:uid="{00000000-0005-0000-0000-00001E130000}"/>
    <cellStyle name="Normal 10 2 10 29 5 8" xfId="4895" xr:uid="{00000000-0005-0000-0000-00001F130000}"/>
    <cellStyle name="Normal 10 2 10 29 5 9" xfId="4896" xr:uid="{00000000-0005-0000-0000-000020130000}"/>
    <cellStyle name="Normal 10 2 10 29 6" xfId="4897" xr:uid="{00000000-0005-0000-0000-000021130000}"/>
    <cellStyle name="Normal 10 2 10 29 7" xfId="4898" xr:uid="{00000000-0005-0000-0000-000022130000}"/>
    <cellStyle name="Normal 10 2 10 29 8" xfId="4899" xr:uid="{00000000-0005-0000-0000-000023130000}"/>
    <cellStyle name="Normal 10 2 10 29 9" xfId="4900" xr:uid="{00000000-0005-0000-0000-000024130000}"/>
    <cellStyle name="Normal 10 2 10 3" xfId="34" xr:uid="{00000000-0005-0000-0000-000022000000}"/>
    <cellStyle name="Normal 10 2 10 3 10" xfId="4902" xr:uid="{00000000-0005-0000-0000-000026130000}"/>
    <cellStyle name="Normal 10 2 10 3 11" xfId="4903" xr:uid="{00000000-0005-0000-0000-000027130000}"/>
    <cellStyle name="Normal 10 2 10 3 12" xfId="4904" xr:uid="{00000000-0005-0000-0000-000028130000}"/>
    <cellStyle name="Normal 10 2 10 3 13" xfId="4905" xr:uid="{00000000-0005-0000-0000-000029130000}"/>
    <cellStyle name="Normal 10 2 10 3 14" xfId="4906" xr:uid="{00000000-0005-0000-0000-00002A130000}"/>
    <cellStyle name="Normal 10 2 10 3 15" xfId="4907" xr:uid="{00000000-0005-0000-0000-00002B130000}"/>
    <cellStyle name="Normal 10 2 10 3 16" xfId="4901" xr:uid="{00000000-0005-0000-0000-000025130000}"/>
    <cellStyle name="Normal 10 2 10 3 2" xfId="4908" xr:uid="{00000000-0005-0000-0000-00002C130000}"/>
    <cellStyle name="Normal 10 2 10 3 2 10" xfId="4909" xr:uid="{00000000-0005-0000-0000-00002D130000}"/>
    <cellStyle name="Normal 10 2 10 3 2 2" xfId="4910" xr:uid="{00000000-0005-0000-0000-00002E130000}"/>
    <cellStyle name="Normal 10 2 10 3 2 3" xfId="4911" xr:uid="{00000000-0005-0000-0000-00002F130000}"/>
    <cellStyle name="Normal 10 2 10 3 2 4" xfId="4912" xr:uid="{00000000-0005-0000-0000-000030130000}"/>
    <cellStyle name="Normal 10 2 10 3 2 5" xfId="4913" xr:uid="{00000000-0005-0000-0000-000031130000}"/>
    <cellStyle name="Normal 10 2 10 3 2 6" xfId="4914" xr:uid="{00000000-0005-0000-0000-000032130000}"/>
    <cellStyle name="Normal 10 2 10 3 2 7" xfId="4915" xr:uid="{00000000-0005-0000-0000-000033130000}"/>
    <cellStyle name="Normal 10 2 10 3 2 8" xfId="4916" xr:uid="{00000000-0005-0000-0000-000034130000}"/>
    <cellStyle name="Normal 10 2 10 3 2 9" xfId="4917" xr:uid="{00000000-0005-0000-0000-000035130000}"/>
    <cellStyle name="Normal 10 2 10 3 3" xfId="4918" xr:uid="{00000000-0005-0000-0000-000036130000}"/>
    <cellStyle name="Normal 10 2 10 3 3 10" xfId="4919" xr:uid="{00000000-0005-0000-0000-000037130000}"/>
    <cellStyle name="Normal 10 2 10 3 3 2" xfId="4920" xr:uid="{00000000-0005-0000-0000-000038130000}"/>
    <cellStyle name="Normal 10 2 10 3 3 3" xfId="4921" xr:uid="{00000000-0005-0000-0000-000039130000}"/>
    <cellStyle name="Normal 10 2 10 3 3 4" xfId="4922" xr:uid="{00000000-0005-0000-0000-00003A130000}"/>
    <cellStyle name="Normal 10 2 10 3 3 5" xfId="4923" xr:uid="{00000000-0005-0000-0000-00003B130000}"/>
    <cellStyle name="Normal 10 2 10 3 3 6" xfId="4924" xr:uid="{00000000-0005-0000-0000-00003C130000}"/>
    <cellStyle name="Normal 10 2 10 3 3 7" xfId="4925" xr:uid="{00000000-0005-0000-0000-00003D130000}"/>
    <cellStyle name="Normal 10 2 10 3 3 8" xfId="4926" xr:uid="{00000000-0005-0000-0000-00003E130000}"/>
    <cellStyle name="Normal 10 2 10 3 3 9" xfId="4927" xr:uid="{00000000-0005-0000-0000-00003F130000}"/>
    <cellStyle name="Normal 10 2 10 3 4" xfId="4928" xr:uid="{00000000-0005-0000-0000-000040130000}"/>
    <cellStyle name="Normal 10 2 10 3 4 10" xfId="4929" xr:uid="{00000000-0005-0000-0000-000041130000}"/>
    <cellStyle name="Normal 10 2 10 3 4 2" xfId="4930" xr:uid="{00000000-0005-0000-0000-000042130000}"/>
    <cellStyle name="Normal 10 2 10 3 4 3" xfId="4931" xr:uid="{00000000-0005-0000-0000-000043130000}"/>
    <cellStyle name="Normal 10 2 10 3 4 4" xfId="4932" xr:uid="{00000000-0005-0000-0000-000044130000}"/>
    <cellStyle name="Normal 10 2 10 3 4 5" xfId="4933" xr:uid="{00000000-0005-0000-0000-000045130000}"/>
    <cellStyle name="Normal 10 2 10 3 4 6" xfId="4934" xr:uid="{00000000-0005-0000-0000-000046130000}"/>
    <cellStyle name="Normal 10 2 10 3 4 7" xfId="4935" xr:uid="{00000000-0005-0000-0000-000047130000}"/>
    <cellStyle name="Normal 10 2 10 3 4 8" xfId="4936" xr:uid="{00000000-0005-0000-0000-000048130000}"/>
    <cellStyle name="Normal 10 2 10 3 4 9" xfId="4937" xr:uid="{00000000-0005-0000-0000-000049130000}"/>
    <cellStyle name="Normal 10 2 10 3 5" xfId="4938" xr:uid="{00000000-0005-0000-0000-00004A130000}"/>
    <cellStyle name="Normal 10 2 10 3 5 10" xfId="4939" xr:uid="{00000000-0005-0000-0000-00004B130000}"/>
    <cellStyle name="Normal 10 2 10 3 5 2" xfId="4940" xr:uid="{00000000-0005-0000-0000-00004C130000}"/>
    <cellStyle name="Normal 10 2 10 3 5 3" xfId="4941" xr:uid="{00000000-0005-0000-0000-00004D130000}"/>
    <cellStyle name="Normal 10 2 10 3 5 4" xfId="4942" xr:uid="{00000000-0005-0000-0000-00004E130000}"/>
    <cellStyle name="Normal 10 2 10 3 5 5" xfId="4943" xr:uid="{00000000-0005-0000-0000-00004F130000}"/>
    <cellStyle name="Normal 10 2 10 3 5 6" xfId="4944" xr:uid="{00000000-0005-0000-0000-000050130000}"/>
    <cellStyle name="Normal 10 2 10 3 5 7" xfId="4945" xr:uid="{00000000-0005-0000-0000-000051130000}"/>
    <cellStyle name="Normal 10 2 10 3 5 8" xfId="4946" xr:uid="{00000000-0005-0000-0000-000052130000}"/>
    <cellStyle name="Normal 10 2 10 3 5 9" xfId="4947" xr:uid="{00000000-0005-0000-0000-000053130000}"/>
    <cellStyle name="Normal 10 2 10 3 6" xfId="4948" xr:uid="{00000000-0005-0000-0000-000054130000}"/>
    <cellStyle name="Normal 10 2 10 3 7" xfId="4949" xr:uid="{00000000-0005-0000-0000-000055130000}"/>
    <cellStyle name="Normal 10 2 10 3 8" xfId="4950" xr:uid="{00000000-0005-0000-0000-000056130000}"/>
    <cellStyle name="Normal 10 2 10 3 9" xfId="4951" xr:uid="{00000000-0005-0000-0000-000057130000}"/>
    <cellStyle name="Normal 10 2 10 30" xfId="4952" xr:uid="{00000000-0005-0000-0000-000058130000}"/>
    <cellStyle name="Normal 10 2 10 30 10" xfId="4953" xr:uid="{00000000-0005-0000-0000-000059130000}"/>
    <cellStyle name="Normal 10 2 10 30 11" xfId="4954" xr:uid="{00000000-0005-0000-0000-00005A130000}"/>
    <cellStyle name="Normal 10 2 10 30 12" xfId="4955" xr:uid="{00000000-0005-0000-0000-00005B130000}"/>
    <cellStyle name="Normal 10 2 10 30 13" xfId="4956" xr:uid="{00000000-0005-0000-0000-00005C130000}"/>
    <cellStyle name="Normal 10 2 10 30 14" xfId="4957" xr:uid="{00000000-0005-0000-0000-00005D130000}"/>
    <cellStyle name="Normal 10 2 10 30 2" xfId="4958" xr:uid="{00000000-0005-0000-0000-00005E130000}"/>
    <cellStyle name="Normal 10 2 10 30 2 10" xfId="4959" xr:uid="{00000000-0005-0000-0000-00005F130000}"/>
    <cellStyle name="Normal 10 2 10 30 2 2" xfId="4960" xr:uid="{00000000-0005-0000-0000-000060130000}"/>
    <cellStyle name="Normal 10 2 10 30 2 3" xfId="4961" xr:uid="{00000000-0005-0000-0000-000061130000}"/>
    <cellStyle name="Normal 10 2 10 30 2 4" xfId="4962" xr:uid="{00000000-0005-0000-0000-000062130000}"/>
    <cellStyle name="Normal 10 2 10 30 2 5" xfId="4963" xr:uid="{00000000-0005-0000-0000-000063130000}"/>
    <cellStyle name="Normal 10 2 10 30 2 6" xfId="4964" xr:uid="{00000000-0005-0000-0000-000064130000}"/>
    <cellStyle name="Normal 10 2 10 30 2 7" xfId="4965" xr:uid="{00000000-0005-0000-0000-000065130000}"/>
    <cellStyle name="Normal 10 2 10 30 2 8" xfId="4966" xr:uid="{00000000-0005-0000-0000-000066130000}"/>
    <cellStyle name="Normal 10 2 10 30 2 9" xfId="4967" xr:uid="{00000000-0005-0000-0000-000067130000}"/>
    <cellStyle name="Normal 10 2 10 30 3" xfId="4968" xr:uid="{00000000-0005-0000-0000-000068130000}"/>
    <cellStyle name="Normal 10 2 10 30 3 10" xfId="4969" xr:uid="{00000000-0005-0000-0000-000069130000}"/>
    <cellStyle name="Normal 10 2 10 30 3 2" xfId="4970" xr:uid="{00000000-0005-0000-0000-00006A130000}"/>
    <cellStyle name="Normal 10 2 10 30 3 3" xfId="4971" xr:uid="{00000000-0005-0000-0000-00006B130000}"/>
    <cellStyle name="Normal 10 2 10 30 3 4" xfId="4972" xr:uid="{00000000-0005-0000-0000-00006C130000}"/>
    <cellStyle name="Normal 10 2 10 30 3 5" xfId="4973" xr:uid="{00000000-0005-0000-0000-00006D130000}"/>
    <cellStyle name="Normal 10 2 10 30 3 6" xfId="4974" xr:uid="{00000000-0005-0000-0000-00006E130000}"/>
    <cellStyle name="Normal 10 2 10 30 3 7" xfId="4975" xr:uid="{00000000-0005-0000-0000-00006F130000}"/>
    <cellStyle name="Normal 10 2 10 30 3 8" xfId="4976" xr:uid="{00000000-0005-0000-0000-000070130000}"/>
    <cellStyle name="Normal 10 2 10 30 3 9" xfId="4977" xr:uid="{00000000-0005-0000-0000-000071130000}"/>
    <cellStyle name="Normal 10 2 10 30 4" xfId="4978" xr:uid="{00000000-0005-0000-0000-000072130000}"/>
    <cellStyle name="Normal 10 2 10 30 4 10" xfId="4979" xr:uid="{00000000-0005-0000-0000-000073130000}"/>
    <cellStyle name="Normal 10 2 10 30 4 2" xfId="4980" xr:uid="{00000000-0005-0000-0000-000074130000}"/>
    <cellStyle name="Normal 10 2 10 30 4 3" xfId="4981" xr:uid="{00000000-0005-0000-0000-000075130000}"/>
    <cellStyle name="Normal 10 2 10 30 4 4" xfId="4982" xr:uid="{00000000-0005-0000-0000-000076130000}"/>
    <cellStyle name="Normal 10 2 10 30 4 5" xfId="4983" xr:uid="{00000000-0005-0000-0000-000077130000}"/>
    <cellStyle name="Normal 10 2 10 30 4 6" xfId="4984" xr:uid="{00000000-0005-0000-0000-000078130000}"/>
    <cellStyle name="Normal 10 2 10 30 4 7" xfId="4985" xr:uid="{00000000-0005-0000-0000-000079130000}"/>
    <cellStyle name="Normal 10 2 10 30 4 8" xfId="4986" xr:uid="{00000000-0005-0000-0000-00007A130000}"/>
    <cellStyle name="Normal 10 2 10 30 4 9" xfId="4987" xr:uid="{00000000-0005-0000-0000-00007B130000}"/>
    <cellStyle name="Normal 10 2 10 30 5" xfId="4988" xr:uid="{00000000-0005-0000-0000-00007C130000}"/>
    <cellStyle name="Normal 10 2 10 30 5 10" xfId="4989" xr:uid="{00000000-0005-0000-0000-00007D130000}"/>
    <cellStyle name="Normal 10 2 10 30 5 2" xfId="4990" xr:uid="{00000000-0005-0000-0000-00007E130000}"/>
    <cellStyle name="Normal 10 2 10 30 5 3" xfId="4991" xr:uid="{00000000-0005-0000-0000-00007F130000}"/>
    <cellStyle name="Normal 10 2 10 30 5 4" xfId="4992" xr:uid="{00000000-0005-0000-0000-000080130000}"/>
    <cellStyle name="Normal 10 2 10 30 5 5" xfId="4993" xr:uid="{00000000-0005-0000-0000-000081130000}"/>
    <cellStyle name="Normal 10 2 10 30 5 6" xfId="4994" xr:uid="{00000000-0005-0000-0000-000082130000}"/>
    <cellStyle name="Normal 10 2 10 30 5 7" xfId="4995" xr:uid="{00000000-0005-0000-0000-000083130000}"/>
    <cellStyle name="Normal 10 2 10 30 5 8" xfId="4996" xr:uid="{00000000-0005-0000-0000-000084130000}"/>
    <cellStyle name="Normal 10 2 10 30 5 9" xfId="4997" xr:uid="{00000000-0005-0000-0000-000085130000}"/>
    <cellStyle name="Normal 10 2 10 30 6" xfId="4998" xr:uid="{00000000-0005-0000-0000-000086130000}"/>
    <cellStyle name="Normal 10 2 10 30 7" xfId="4999" xr:uid="{00000000-0005-0000-0000-000087130000}"/>
    <cellStyle name="Normal 10 2 10 30 8" xfId="5000" xr:uid="{00000000-0005-0000-0000-000088130000}"/>
    <cellStyle name="Normal 10 2 10 30 9" xfId="5001" xr:uid="{00000000-0005-0000-0000-000089130000}"/>
    <cellStyle name="Normal 10 2 10 31" xfId="5002" xr:uid="{00000000-0005-0000-0000-00008A130000}"/>
    <cellStyle name="Normal 10 2 10 31 10" xfId="5003" xr:uid="{00000000-0005-0000-0000-00008B130000}"/>
    <cellStyle name="Normal 10 2 10 31 11" xfId="5004" xr:uid="{00000000-0005-0000-0000-00008C130000}"/>
    <cellStyle name="Normal 10 2 10 31 12" xfId="5005" xr:uid="{00000000-0005-0000-0000-00008D130000}"/>
    <cellStyle name="Normal 10 2 10 31 13" xfId="5006" xr:uid="{00000000-0005-0000-0000-00008E130000}"/>
    <cellStyle name="Normal 10 2 10 31 14" xfId="5007" xr:uid="{00000000-0005-0000-0000-00008F130000}"/>
    <cellStyle name="Normal 10 2 10 31 2" xfId="5008" xr:uid="{00000000-0005-0000-0000-000090130000}"/>
    <cellStyle name="Normal 10 2 10 31 2 10" xfId="5009" xr:uid="{00000000-0005-0000-0000-000091130000}"/>
    <cellStyle name="Normal 10 2 10 31 2 2" xfId="5010" xr:uid="{00000000-0005-0000-0000-000092130000}"/>
    <cellStyle name="Normal 10 2 10 31 2 3" xfId="5011" xr:uid="{00000000-0005-0000-0000-000093130000}"/>
    <cellStyle name="Normal 10 2 10 31 2 4" xfId="5012" xr:uid="{00000000-0005-0000-0000-000094130000}"/>
    <cellStyle name="Normal 10 2 10 31 2 5" xfId="5013" xr:uid="{00000000-0005-0000-0000-000095130000}"/>
    <cellStyle name="Normal 10 2 10 31 2 6" xfId="5014" xr:uid="{00000000-0005-0000-0000-000096130000}"/>
    <cellStyle name="Normal 10 2 10 31 2 7" xfId="5015" xr:uid="{00000000-0005-0000-0000-000097130000}"/>
    <cellStyle name="Normal 10 2 10 31 2 8" xfId="5016" xr:uid="{00000000-0005-0000-0000-000098130000}"/>
    <cellStyle name="Normal 10 2 10 31 2 9" xfId="5017" xr:uid="{00000000-0005-0000-0000-000099130000}"/>
    <cellStyle name="Normal 10 2 10 31 3" xfId="5018" xr:uid="{00000000-0005-0000-0000-00009A130000}"/>
    <cellStyle name="Normal 10 2 10 31 3 10" xfId="5019" xr:uid="{00000000-0005-0000-0000-00009B130000}"/>
    <cellStyle name="Normal 10 2 10 31 3 2" xfId="5020" xr:uid="{00000000-0005-0000-0000-00009C130000}"/>
    <cellStyle name="Normal 10 2 10 31 3 3" xfId="5021" xr:uid="{00000000-0005-0000-0000-00009D130000}"/>
    <cellStyle name="Normal 10 2 10 31 3 4" xfId="5022" xr:uid="{00000000-0005-0000-0000-00009E130000}"/>
    <cellStyle name="Normal 10 2 10 31 3 5" xfId="5023" xr:uid="{00000000-0005-0000-0000-00009F130000}"/>
    <cellStyle name="Normal 10 2 10 31 3 6" xfId="5024" xr:uid="{00000000-0005-0000-0000-0000A0130000}"/>
    <cellStyle name="Normal 10 2 10 31 3 7" xfId="5025" xr:uid="{00000000-0005-0000-0000-0000A1130000}"/>
    <cellStyle name="Normal 10 2 10 31 3 8" xfId="5026" xr:uid="{00000000-0005-0000-0000-0000A2130000}"/>
    <cellStyle name="Normal 10 2 10 31 3 9" xfId="5027" xr:uid="{00000000-0005-0000-0000-0000A3130000}"/>
    <cellStyle name="Normal 10 2 10 31 4" xfId="5028" xr:uid="{00000000-0005-0000-0000-0000A4130000}"/>
    <cellStyle name="Normal 10 2 10 31 4 10" xfId="5029" xr:uid="{00000000-0005-0000-0000-0000A5130000}"/>
    <cellStyle name="Normal 10 2 10 31 4 2" xfId="5030" xr:uid="{00000000-0005-0000-0000-0000A6130000}"/>
    <cellStyle name="Normal 10 2 10 31 4 3" xfId="5031" xr:uid="{00000000-0005-0000-0000-0000A7130000}"/>
    <cellStyle name="Normal 10 2 10 31 4 4" xfId="5032" xr:uid="{00000000-0005-0000-0000-0000A8130000}"/>
    <cellStyle name="Normal 10 2 10 31 4 5" xfId="5033" xr:uid="{00000000-0005-0000-0000-0000A9130000}"/>
    <cellStyle name="Normal 10 2 10 31 4 6" xfId="5034" xr:uid="{00000000-0005-0000-0000-0000AA130000}"/>
    <cellStyle name="Normal 10 2 10 31 4 7" xfId="5035" xr:uid="{00000000-0005-0000-0000-0000AB130000}"/>
    <cellStyle name="Normal 10 2 10 31 4 8" xfId="5036" xr:uid="{00000000-0005-0000-0000-0000AC130000}"/>
    <cellStyle name="Normal 10 2 10 31 4 9" xfId="5037" xr:uid="{00000000-0005-0000-0000-0000AD130000}"/>
    <cellStyle name="Normal 10 2 10 31 5" xfId="5038" xr:uid="{00000000-0005-0000-0000-0000AE130000}"/>
    <cellStyle name="Normal 10 2 10 31 5 10" xfId="5039" xr:uid="{00000000-0005-0000-0000-0000AF130000}"/>
    <cellStyle name="Normal 10 2 10 31 5 2" xfId="5040" xr:uid="{00000000-0005-0000-0000-0000B0130000}"/>
    <cellStyle name="Normal 10 2 10 31 5 3" xfId="5041" xr:uid="{00000000-0005-0000-0000-0000B1130000}"/>
    <cellStyle name="Normal 10 2 10 31 5 4" xfId="5042" xr:uid="{00000000-0005-0000-0000-0000B2130000}"/>
    <cellStyle name="Normal 10 2 10 31 5 5" xfId="5043" xr:uid="{00000000-0005-0000-0000-0000B3130000}"/>
    <cellStyle name="Normal 10 2 10 31 5 6" xfId="5044" xr:uid="{00000000-0005-0000-0000-0000B4130000}"/>
    <cellStyle name="Normal 10 2 10 31 5 7" xfId="5045" xr:uid="{00000000-0005-0000-0000-0000B5130000}"/>
    <cellStyle name="Normal 10 2 10 31 5 8" xfId="5046" xr:uid="{00000000-0005-0000-0000-0000B6130000}"/>
    <cellStyle name="Normal 10 2 10 31 5 9" xfId="5047" xr:uid="{00000000-0005-0000-0000-0000B7130000}"/>
    <cellStyle name="Normal 10 2 10 31 6" xfId="5048" xr:uid="{00000000-0005-0000-0000-0000B8130000}"/>
    <cellStyle name="Normal 10 2 10 31 7" xfId="5049" xr:uid="{00000000-0005-0000-0000-0000B9130000}"/>
    <cellStyle name="Normal 10 2 10 31 8" xfId="5050" xr:uid="{00000000-0005-0000-0000-0000BA130000}"/>
    <cellStyle name="Normal 10 2 10 31 9" xfId="5051" xr:uid="{00000000-0005-0000-0000-0000BB130000}"/>
    <cellStyle name="Normal 10 2 10 32" xfId="5052" xr:uid="{00000000-0005-0000-0000-0000BC130000}"/>
    <cellStyle name="Normal 10 2 10 32 10" xfId="5053" xr:uid="{00000000-0005-0000-0000-0000BD130000}"/>
    <cellStyle name="Normal 10 2 10 32 11" xfId="5054" xr:uid="{00000000-0005-0000-0000-0000BE130000}"/>
    <cellStyle name="Normal 10 2 10 32 12" xfId="5055" xr:uid="{00000000-0005-0000-0000-0000BF130000}"/>
    <cellStyle name="Normal 10 2 10 32 13" xfId="5056" xr:uid="{00000000-0005-0000-0000-0000C0130000}"/>
    <cellStyle name="Normal 10 2 10 32 14" xfId="5057" xr:uid="{00000000-0005-0000-0000-0000C1130000}"/>
    <cellStyle name="Normal 10 2 10 32 2" xfId="5058" xr:uid="{00000000-0005-0000-0000-0000C2130000}"/>
    <cellStyle name="Normal 10 2 10 32 2 10" xfId="5059" xr:uid="{00000000-0005-0000-0000-0000C3130000}"/>
    <cellStyle name="Normal 10 2 10 32 2 2" xfId="5060" xr:uid="{00000000-0005-0000-0000-0000C4130000}"/>
    <cellStyle name="Normal 10 2 10 32 2 3" xfId="5061" xr:uid="{00000000-0005-0000-0000-0000C5130000}"/>
    <cellStyle name="Normal 10 2 10 32 2 4" xfId="5062" xr:uid="{00000000-0005-0000-0000-0000C6130000}"/>
    <cellStyle name="Normal 10 2 10 32 2 5" xfId="5063" xr:uid="{00000000-0005-0000-0000-0000C7130000}"/>
    <cellStyle name="Normal 10 2 10 32 2 6" xfId="5064" xr:uid="{00000000-0005-0000-0000-0000C8130000}"/>
    <cellStyle name="Normal 10 2 10 32 2 7" xfId="5065" xr:uid="{00000000-0005-0000-0000-0000C9130000}"/>
    <cellStyle name="Normal 10 2 10 32 2 8" xfId="5066" xr:uid="{00000000-0005-0000-0000-0000CA130000}"/>
    <cellStyle name="Normal 10 2 10 32 2 9" xfId="5067" xr:uid="{00000000-0005-0000-0000-0000CB130000}"/>
    <cellStyle name="Normal 10 2 10 32 3" xfId="5068" xr:uid="{00000000-0005-0000-0000-0000CC130000}"/>
    <cellStyle name="Normal 10 2 10 32 3 10" xfId="5069" xr:uid="{00000000-0005-0000-0000-0000CD130000}"/>
    <cellStyle name="Normal 10 2 10 32 3 2" xfId="5070" xr:uid="{00000000-0005-0000-0000-0000CE130000}"/>
    <cellStyle name="Normal 10 2 10 32 3 3" xfId="5071" xr:uid="{00000000-0005-0000-0000-0000CF130000}"/>
    <cellStyle name="Normal 10 2 10 32 3 4" xfId="5072" xr:uid="{00000000-0005-0000-0000-0000D0130000}"/>
    <cellStyle name="Normal 10 2 10 32 3 5" xfId="5073" xr:uid="{00000000-0005-0000-0000-0000D1130000}"/>
    <cellStyle name="Normal 10 2 10 32 3 6" xfId="5074" xr:uid="{00000000-0005-0000-0000-0000D2130000}"/>
    <cellStyle name="Normal 10 2 10 32 3 7" xfId="5075" xr:uid="{00000000-0005-0000-0000-0000D3130000}"/>
    <cellStyle name="Normal 10 2 10 32 3 8" xfId="5076" xr:uid="{00000000-0005-0000-0000-0000D4130000}"/>
    <cellStyle name="Normal 10 2 10 32 3 9" xfId="5077" xr:uid="{00000000-0005-0000-0000-0000D5130000}"/>
    <cellStyle name="Normal 10 2 10 32 4" xfId="5078" xr:uid="{00000000-0005-0000-0000-0000D6130000}"/>
    <cellStyle name="Normal 10 2 10 32 4 10" xfId="5079" xr:uid="{00000000-0005-0000-0000-0000D7130000}"/>
    <cellStyle name="Normal 10 2 10 32 4 2" xfId="5080" xr:uid="{00000000-0005-0000-0000-0000D8130000}"/>
    <cellStyle name="Normal 10 2 10 32 4 3" xfId="5081" xr:uid="{00000000-0005-0000-0000-0000D9130000}"/>
    <cellStyle name="Normal 10 2 10 32 4 4" xfId="5082" xr:uid="{00000000-0005-0000-0000-0000DA130000}"/>
    <cellStyle name="Normal 10 2 10 32 4 5" xfId="5083" xr:uid="{00000000-0005-0000-0000-0000DB130000}"/>
    <cellStyle name="Normal 10 2 10 32 4 6" xfId="5084" xr:uid="{00000000-0005-0000-0000-0000DC130000}"/>
    <cellStyle name="Normal 10 2 10 32 4 7" xfId="5085" xr:uid="{00000000-0005-0000-0000-0000DD130000}"/>
    <cellStyle name="Normal 10 2 10 32 4 8" xfId="5086" xr:uid="{00000000-0005-0000-0000-0000DE130000}"/>
    <cellStyle name="Normal 10 2 10 32 4 9" xfId="5087" xr:uid="{00000000-0005-0000-0000-0000DF130000}"/>
    <cellStyle name="Normal 10 2 10 32 5" xfId="5088" xr:uid="{00000000-0005-0000-0000-0000E0130000}"/>
    <cellStyle name="Normal 10 2 10 32 5 10" xfId="5089" xr:uid="{00000000-0005-0000-0000-0000E1130000}"/>
    <cellStyle name="Normal 10 2 10 32 5 2" xfId="5090" xr:uid="{00000000-0005-0000-0000-0000E2130000}"/>
    <cellStyle name="Normal 10 2 10 32 5 3" xfId="5091" xr:uid="{00000000-0005-0000-0000-0000E3130000}"/>
    <cellStyle name="Normal 10 2 10 32 5 4" xfId="5092" xr:uid="{00000000-0005-0000-0000-0000E4130000}"/>
    <cellStyle name="Normal 10 2 10 32 5 5" xfId="5093" xr:uid="{00000000-0005-0000-0000-0000E5130000}"/>
    <cellStyle name="Normal 10 2 10 32 5 6" xfId="5094" xr:uid="{00000000-0005-0000-0000-0000E6130000}"/>
    <cellStyle name="Normal 10 2 10 32 5 7" xfId="5095" xr:uid="{00000000-0005-0000-0000-0000E7130000}"/>
    <cellStyle name="Normal 10 2 10 32 5 8" xfId="5096" xr:uid="{00000000-0005-0000-0000-0000E8130000}"/>
    <cellStyle name="Normal 10 2 10 32 5 9" xfId="5097" xr:uid="{00000000-0005-0000-0000-0000E9130000}"/>
    <cellStyle name="Normal 10 2 10 32 6" xfId="5098" xr:uid="{00000000-0005-0000-0000-0000EA130000}"/>
    <cellStyle name="Normal 10 2 10 32 7" xfId="5099" xr:uid="{00000000-0005-0000-0000-0000EB130000}"/>
    <cellStyle name="Normal 10 2 10 32 8" xfId="5100" xr:uid="{00000000-0005-0000-0000-0000EC130000}"/>
    <cellStyle name="Normal 10 2 10 32 9" xfId="5101" xr:uid="{00000000-0005-0000-0000-0000ED130000}"/>
    <cellStyle name="Normal 10 2 10 33" xfId="5102" xr:uid="{00000000-0005-0000-0000-0000EE130000}"/>
    <cellStyle name="Normal 10 2 10 33 10" xfId="5103" xr:uid="{00000000-0005-0000-0000-0000EF130000}"/>
    <cellStyle name="Normal 10 2 10 33 11" xfId="5104" xr:uid="{00000000-0005-0000-0000-0000F0130000}"/>
    <cellStyle name="Normal 10 2 10 33 12" xfId="5105" xr:uid="{00000000-0005-0000-0000-0000F1130000}"/>
    <cellStyle name="Normal 10 2 10 33 13" xfId="5106" xr:uid="{00000000-0005-0000-0000-0000F2130000}"/>
    <cellStyle name="Normal 10 2 10 33 14" xfId="5107" xr:uid="{00000000-0005-0000-0000-0000F3130000}"/>
    <cellStyle name="Normal 10 2 10 33 2" xfId="5108" xr:uid="{00000000-0005-0000-0000-0000F4130000}"/>
    <cellStyle name="Normal 10 2 10 33 2 10" xfId="5109" xr:uid="{00000000-0005-0000-0000-0000F5130000}"/>
    <cellStyle name="Normal 10 2 10 33 2 2" xfId="5110" xr:uid="{00000000-0005-0000-0000-0000F6130000}"/>
    <cellStyle name="Normal 10 2 10 33 2 3" xfId="5111" xr:uid="{00000000-0005-0000-0000-0000F7130000}"/>
    <cellStyle name="Normal 10 2 10 33 2 4" xfId="5112" xr:uid="{00000000-0005-0000-0000-0000F8130000}"/>
    <cellStyle name="Normal 10 2 10 33 2 5" xfId="5113" xr:uid="{00000000-0005-0000-0000-0000F9130000}"/>
    <cellStyle name="Normal 10 2 10 33 2 6" xfId="5114" xr:uid="{00000000-0005-0000-0000-0000FA130000}"/>
    <cellStyle name="Normal 10 2 10 33 2 7" xfId="5115" xr:uid="{00000000-0005-0000-0000-0000FB130000}"/>
    <cellStyle name="Normal 10 2 10 33 2 8" xfId="5116" xr:uid="{00000000-0005-0000-0000-0000FC130000}"/>
    <cellStyle name="Normal 10 2 10 33 2 9" xfId="5117" xr:uid="{00000000-0005-0000-0000-0000FD130000}"/>
    <cellStyle name="Normal 10 2 10 33 3" xfId="5118" xr:uid="{00000000-0005-0000-0000-0000FE130000}"/>
    <cellStyle name="Normal 10 2 10 33 3 10" xfId="5119" xr:uid="{00000000-0005-0000-0000-0000FF130000}"/>
    <cellStyle name="Normal 10 2 10 33 3 2" xfId="5120" xr:uid="{00000000-0005-0000-0000-000000140000}"/>
    <cellStyle name="Normal 10 2 10 33 3 3" xfId="5121" xr:uid="{00000000-0005-0000-0000-000001140000}"/>
    <cellStyle name="Normal 10 2 10 33 3 4" xfId="5122" xr:uid="{00000000-0005-0000-0000-000002140000}"/>
    <cellStyle name="Normal 10 2 10 33 3 5" xfId="5123" xr:uid="{00000000-0005-0000-0000-000003140000}"/>
    <cellStyle name="Normal 10 2 10 33 3 6" xfId="5124" xr:uid="{00000000-0005-0000-0000-000004140000}"/>
    <cellStyle name="Normal 10 2 10 33 3 7" xfId="5125" xr:uid="{00000000-0005-0000-0000-000005140000}"/>
    <cellStyle name="Normal 10 2 10 33 3 8" xfId="5126" xr:uid="{00000000-0005-0000-0000-000006140000}"/>
    <cellStyle name="Normal 10 2 10 33 3 9" xfId="5127" xr:uid="{00000000-0005-0000-0000-000007140000}"/>
    <cellStyle name="Normal 10 2 10 33 4" xfId="5128" xr:uid="{00000000-0005-0000-0000-000008140000}"/>
    <cellStyle name="Normal 10 2 10 33 4 10" xfId="5129" xr:uid="{00000000-0005-0000-0000-000009140000}"/>
    <cellStyle name="Normal 10 2 10 33 4 2" xfId="5130" xr:uid="{00000000-0005-0000-0000-00000A140000}"/>
    <cellStyle name="Normal 10 2 10 33 4 3" xfId="5131" xr:uid="{00000000-0005-0000-0000-00000B140000}"/>
    <cellStyle name="Normal 10 2 10 33 4 4" xfId="5132" xr:uid="{00000000-0005-0000-0000-00000C140000}"/>
    <cellStyle name="Normal 10 2 10 33 4 5" xfId="5133" xr:uid="{00000000-0005-0000-0000-00000D140000}"/>
    <cellStyle name="Normal 10 2 10 33 4 6" xfId="5134" xr:uid="{00000000-0005-0000-0000-00000E140000}"/>
    <cellStyle name="Normal 10 2 10 33 4 7" xfId="5135" xr:uid="{00000000-0005-0000-0000-00000F140000}"/>
    <cellStyle name="Normal 10 2 10 33 4 8" xfId="5136" xr:uid="{00000000-0005-0000-0000-000010140000}"/>
    <cellStyle name="Normal 10 2 10 33 4 9" xfId="5137" xr:uid="{00000000-0005-0000-0000-000011140000}"/>
    <cellStyle name="Normal 10 2 10 33 5" xfId="5138" xr:uid="{00000000-0005-0000-0000-000012140000}"/>
    <cellStyle name="Normal 10 2 10 33 5 10" xfId="5139" xr:uid="{00000000-0005-0000-0000-000013140000}"/>
    <cellStyle name="Normal 10 2 10 33 5 2" xfId="5140" xr:uid="{00000000-0005-0000-0000-000014140000}"/>
    <cellStyle name="Normal 10 2 10 33 5 3" xfId="5141" xr:uid="{00000000-0005-0000-0000-000015140000}"/>
    <cellStyle name="Normal 10 2 10 33 5 4" xfId="5142" xr:uid="{00000000-0005-0000-0000-000016140000}"/>
    <cellStyle name="Normal 10 2 10 33 5 5" xfId="5143" xr:uid="{00000000-0005-0000-0000-000017140000}"/>
    <cellStyle name="Normal 10 2 10 33 5 6" xfId="5144" xr:uid="{00000000-0005-0000-0000-000018140000}"/>
    <cellStyle name="Normal 10 2 10 33 5 7" xfId="5145" xr:uid="{00000000-0005-0000-0000-000019140000}"/>
    <cellStyle name="Normal 10 2 10 33 5 8" xfId="5146" xr:uid="{00000000-0005-0000-0000-00001A140000}"/>
    <cellStyle name="Normal 10 2 10 33 5 9" xfId="5147" xr:uid="{00000000-0005-0000-0000-00001B140000}"/>
    <cellStyle name="Normal 10 2 10 33 6" xfId="5148" xr:uid="{00000000-0005-0000-0000-00001C140000}"/>
    <cellStyle name="Normal 10 2 10 33 7" xfId="5149" xr:uid="{00000000-0005-0000-0000-00001D140000}"/>
    <cellStyle name="Normal 10 2 10 33 8" xfId="5150" xr:uid="{00000000-0005-0000-0000-00001E140000}"/>
    <cellStyle name="Normal 10 2 10 33 9" xfId="5151" xr:uid="{00000000-0005-0000-0000-00001F140000}"/>
    <cellStyle name="Normal 10 2 10 34" xfId="5152" xr:uid="{00000000-0005-0000-0000-000020140000}"/>
    <cellStyle name="Normal 10 2 10 34 10" xfId="5153" xr:uid="{00000000-0005-0000-0000-000021140000}"/>
    <cellStyle name="Normal 10 2 10 34 11" xfId="5154" xr:uid="{00000000-0005-0000-0000-000022140000}"/>
    <cellStyle name="Normal 10 2 10 34 12" xfId="5155" xr:uid="{00000000-0005-0000-0000-000023140000}"/>
    <cellStyle name="Normal 10 2 10 34 13" xfId="5156" xr:uid="{00000000-0005-0000-0000-000024140000}"/>
    <cellStyle name="Normal 10 2 10 34 14" xfId="5157" xr:uid="{00000000-0005-0000-0000-000025140000}"/>
    <cellStyle name="Normal 10 2 10 34 2" xfId="5158" xr:uid="{00000000-0005-0000-0000-000026140000}"/>
    <cellStyle name="Normal 10 2 10 34 2 10" xfId="5159" xr:uid="{00000000-0005-0000-0000-000027140000}"/>
    <cellStyle name="Normal 10 2 10 34 2 2" xfId="5160" xr:uid="{00000000-0005-0000-0000-000028140000}"/>
    <cellStyle name="Normal 10 2 10 34 2 3" xfId="5161" xr:uid="{00000000-0005-0000-0000-000029140000}"/>
    <cellStyle name="Normal 10 2 10 34 2 4" xfId="5162" xr:uid="{00000000-0005-0000-0000-00002A140000}"/>
    <cellStyle name="Normal 10 2 10 34 2 5" xfId="5163" xr:uid="{00000000-0005-0000-0000-00002B140000}"/>
    <cellStyle name="Normal 10 2 10 34 2 6" xfId="5164" xr:uid="{00000000-0005-0000-0000-00002C140000}"/>
    <cellStyle name="Normal 10 2 10 34 2 7" xfId="5165" xr:uid="{00000000-0005-0000-0000-00002D140000}"/>
    <cellStyle name="Normal 10 2 10 34 2 8" xfId="5166" xr:uid="{00000000-0005-0000-0000-00002E140000}"/>
    <cellStyle name="Normal 10 2 10 34 2 9" xfId="5167" xr:uid="{00000000-0005-0000-0000-00002F140000}"/>
    <cellStyle name="Normal 10 2 10 34 3" xfId="5168" xr:uid="{00000000-0005-0000-0000-000030140000}"/>
    <cellStyle name="Normal 10 2 10 34 3 10" xfId="5169" xr:uid="{00000000-0005-0000-0000-000031140000}"/>
    <cellStyle name="Normal 10 2 10 34 3 2" xfId="5170" xr:uid="{00000000-0005-0000-0000-000032140000}"/>
    <cellStyle name="Normal 10 2 10 34 3 3" xfId="5171" xr:uid="{00000000-0005-0000-0000-000033140000}"/>
    <cellStyle name="Normal 10 2 10 34 3 4" xfId="5172" xr:uid="{00000000-0005-0000-0000-000034140000}"/>
    <cellStyle name="Normal 10 2 10 34 3 5" xfId="5173" xr:uid="{00000000-0005-0000-0000-000035140000}"/>
    <cellStyle name="Normal 10 2 10 34 3 6" xfId="5174" xr:uid="{00000000-0005-0000-0000-000036140000}"/>
    <cellStyle name="Normal 10 2 10 34 3 7" xfId="5175" xr:uid="{00000000-0005-0000-0000-000037140000}"/>
    <cellStyle name="Normal 10 2 10 34 3 8" xfId="5176" xr:uid="{00000000-0005-0000-0000-000038140000}"/>
    <cellStyle name="Normal 10 2 10 34 3 9" xfId="5177" xr:uid="{00000000-0005-0000-0000-000039140000}"/>
    <cellStyle name="Normal 10 2 10 34 4" xfId="5178" xr:uid="{00000000-0005-0000-0000-00003A140000}"/>
    <cellStyle name="Normal 10 2 10 34 4 10" xfId="5179" xr:uid="{00000000-0005-0000-0000-00003B140000}"/>
    <cellStyle name="Normal 10 2 10 34 4 2" xfId="5180" xr:uid="{00000000-0005-0000-0000-00003C140000}"/>
    <cellStyle name="Normal 10 2 10 34 4 3" xfId="5181" xr:uid="{00000000-0005-0000-0000-00003D140000}"/>
    <cellStyle name="Normal 10 2 10 34 4 4" xfId="5182" xr:uid="{00000000-0005-0000-0000-00003E140000}"/>
    <cellStyle name="Normal 10 2 10 34 4 5" xfId="5183" xr:uid="{00000000-0005-0000-0000-00003F140000}"/>
    <cellStyle name="Normal 10 2 10 34 4 6" xfId="5184" xr:uid="{00000000-0005-0000-0000-000040140000}"/>
    <cellStyle name="Normal 10 2 10 34 4 7" xfId="5185" xr:uid="{00000000-0005-0000-0000-000041140000}"/>
    <cellStyle name="Normal 10 2 10 34 4 8" xfId="5186" xr:uid="{00000000-0005-0000-0000-000042140000}"/>
    <cellStyle name="Normal 10 2 10 34 4 9" xfId="5187" xr:uid="{00000000-0005-0000-0000-000043140000}"/>
    <cellStyle name="Normal 10 2 10 34 5" xfId="5188" xr:uid="{00000000-0005-0000-0000-000044140000}"/>
    <cellStyle name="Normal 10 2 10 34 5 10" xfId="5189" xr:uid="{00000000-0005-0000-0000-000045140000}"/>
    <cellStyle name="Normal 10 2 10 34 5 2" xfId="5190" xr:uid="{00000000-0005-0000-0000-000046140000}"/>
    <cellStyle name="Normal 10 2 10 34 5 3" xfId="5191" xr:uid="{00000000-0005-0000-0000-000047140000}"/>
    <cellStyle name="Normal 10 2 10 34 5 4" xfId="5192" xr:uid="{00000000-0005-0000-0000-000048140000}"/>
    <cellStyle name="Normal 10 2 10 34 5 5" xfId="5193" xr:uid="{00000000-0005-0000-0000-000049140000}"/>
    <cellStyle name="Normal 10 2 10 34 5 6" xfId="5194" xr:uid="{00000000-0005-0000-0000-00004A140000}"/>
    <cellStyle name="Normal 10 2 10 34 5 7" xfId="5195" xr:uid="{00000000-0005-0000-0000-00004B140000}"/>
    <cellStyle name="Normal 10 2 10 34 5 8" xfId="5196" xr:uid="{00000000-0005-0000-0000-00004C140000}"/>
    <cellStyle name="Normal 10 2 10 34 5 9" xfId="5197" xr:uid="{00000000-0005-0000-0000-00004D140000}"/>
    <cellStyle name="Normal 10 2 10 34 6" xfId="5198" xr:uid="{00000000-0005-0000-0000-00004E140000}"/>
    <cellStyle name="Normal 10 2 10 34 7" xfId="5199" xr:uid="{00000000-0005-0000-0000-00004F140000}"/>
    <cellStyle name="Normal 10 2 10 34 8" xfId="5200" xr:uid="{00000000-0005-0000-0000-000050140000}"/>
    <cellStyle name="Normal 10 2 10 34 9" xfId="5201" xr:uid="{00000000-0005-0000-0000-000051140000}"/>
    <cellStyle name="Normal 10 2 10 35" xfId="5202" xr:uid="{00000000-0005-0000-0000-000052140000}"/>
    <cellStyle name="Normal 10 2 10 35 10" xfId="5203" xr:uid="{00000000-0005-0000-0000-000053140000}"/>
    <cellStyle name="Normal 10 2 10 35 2" xfId="5204" xr:uid="{00000000-0005-0000-0000-000054140000}"/>
    <cellStyle name="Normal 10 2 10 35 3" xfId="5205" xr:uid="{00000000-0005-0000-0000-000055140000}"/>
    <cellStyle name="Normal 10 2 10 35 4" xfId="5206" xr:uid="{00000000-0005-0000-0000-000056140000}"/>
    <cellStyle name="Normal 10 2 10 35 5" xfId="5207" xr:uid="{00000000-0005-0000-0000-000057140000}"/>
    <cellStyle name="Normal 10 2 10 35 6" xfId="5208" xr:uid="{00000000-0005-0000-0000-000058140000}"/>
    <cellStyle name="Normal 10 2 10 35 7" xfId="5209" xr:uid="{00000000-0005-0000-0000-000059140000}"/>
    <cellStyle name="Normal 10 2 10 35 8" xfId="5210" xr:uid="{00000000-0005-0000-0000-00005A140000}"/>
    <cellStyle name="Normal 10 2 10 35 9" xfId="5211" xr:uid="{00000000-0005-0000-0000-00005B140000}"/>
    <cellStyle name="Normal 10 2 10 36" xfId="5212" xr:uid="{00000000-0005-0000-0000-00005C140000}"/>
    <cellStyle name="Normal 10 2 10 36 10" xfId="5213" xr:uid="{00000000-0005-0000-0000-00005D140000}"/>
    <cellStyle name="Normal 10 2 10 36 2" xfId="5214" xr:uid="{00000000-0005-0000-0000-00005E140000}"/>
    <cellStyle name="Normal 10 2 10 36 3" xfId="5215" xr:uid="{00000000-0005-0000-0000-00005F140000}"/>
    <cellStyle name="Normal 10 2 10 36 4" xfId="5216" xr:uid="{00000000-0005-0000-0000-000060140000}"/>
    <cellStyle name="Normal 10 2 10 36 5" xfId="5217" xr:uid="{00000000-0005-0000-0000-000061140000}"/>
    <cellStyle name="Normal 10 2 10 36 6" xfId="5218" xr:uid="{00000000-0005-0000-0000-000062140000}"/>
    <cellStyle name="Normal 10 2 10 36 7" xfId="5219" xr:uid="{00000000-0005-0000-0000-000063140000}"/>
    <cellStyle name="Normal 10 2 10 36 8" xfId="5220" xr:uid="{00000000-0005-0000-0000-000064140000}"/>
    <cellStyle name="Normal 10 2 10 36 9" xfId="5221" xr:uid="{00000000-0005-0000-0000-000065140000}"/>
    <cellStyle name="Normal 10 2 10 37" xfId="5222" xr:uid="{00000000-0005-0000-0000-000066140000}"/>
    <cellStyle name="Normal 10 2 10 37 10" xfId="5223" xr:uid="{00000000-0005-0000-0000-000067140000}"/>
    <cellStyle name="Normal 10 2 10 37 2" xfId="5224" xr:uid="{00000000-0005-0000-0000-000068140000}"/>
    <cellStyle name="Normal 10 2 10 37 3" xfId="5225" xr:uid="{00000000-0005-0000-0000-000069140000}"/>
    <cellStyle name="Normal 10 2 10 37 4" xfId="5226" xr:uid="{00000000-0005-0000-0000-00006A140000}"/>
    <cellStyle name="Normal 10 2 10 37 5" xfId="5227" xr:uid="{00000000-0005-0000-0000-00006B140000}"/>
    <cellStyle name="Normal 10 2 10 37 6" xfId="5228" xr:uid="{00000000-0005-0000-0000-00006C140000}"/>
    <cellStyle name="Normal 10 2 10 37 7" xfId="5229" xr:uid="{00000000-0005-0000-0000-00006D140000}"/>
    <cellStyle name="Normal 10 2 10 37 8" xfId="5230" xr:uid="{00000000-0005-0000-0000-00006E140000}"/>
    <cellStyle name="Normal 10 2 10 37 9" xfId="5231" xr:uid="{00000000-0005-0000-0000-00006F140000}"/>
    <cellStyle name="Normal 10 2 10 38" xfId="5232" xr:uid="{00000000-0005-0000-0000-000070140000}"/>
    <cellStyle name="Normal 10 2 10 38 10" xfId="5233" xr:uid="{00000000-0005-0000-0000-000071140000}"/>
    <cellStyle name="Normal 10 2 10 38 2" xfId="5234" xr:uid="{00000000-0005-0000-0000-000072140000}"/>
    <cellStyle name="Normal 10 2 10 38 3" xfId="5235" xr:uid="{00000000-0005-0000-0000-000073140000}"/>
    <cellStyle name="Normal 10 2 10 38 4" xfId="5236" xr:uid="{00000000-0005-0000-0000-000074140000}"/>
    <cellStyle name="Normal 10 2 10 38 5" xfId="5237" xr:uid="{00000000-0005-0000-0000-000075140000}"/>
    <cellStyle name="Normal 10 2 10 38 6" xfId="5238" xr:uid="{00000000-0005-0000-0000-000076140000}"/>
    <cellStyle name="Normal 10 2 10 38 7" xfId="5239" xr:uid="{00000000-0005-0000-0000-000077140000}"/>
    <cellStyle name="Normal 10 2 10 38 8" xfId="5240" xr:uid="{00000000-0005-0000-0000-000078140000}"/>
    <cellStyle name="Normal 10 2 10 38 9" xfId="5241" xr:uid="{00000000-0005-0000-0000-000079140000}"/>
    <cellStyle name="Normal 10 2 10 39" xfId="5242" xr:uid="{00000000-0005-0000-0000-00007A140000}"/>
    <cellStyle name="Normal 10 2 10 4" xfId="5243" xr:uid="{00000000-0005-0000-0000-00007B140000}"/>
    <cellStyle name="Normal 10 2 10 4 10" xfId="5244" xr:uid="{00000000-0005-0000-0000-00007C140000}"/>
    <cellStyle name="Normal 10 2 10 4 11" xfId="5245" xr:uid="{00000000-0005-0000-0000-00007D140000}"/>
    <cellStyle name="Normal 10 2 10 4 12" xfId="5246" xr:uid="{00000000-0005-0000-0000-00007E140000}"/>
    <cellStyle name="Normal 10 2 10 4 13" xfId="5247" xr:uid="{00000000-0005-0000-0000-00007F140000}"/>
    <cellStyle name="Normal 10 2 10 4 14" xfId="5248" xr:uid="{00000000-0005-0000-0000-000080140000}"/>
    <cellStyle name="Normal 10 2 10 4 2" xfId="5249" xr:uid="{00000000-0005-0000-0000-000081140000}"/>
    <cellStyle name="Normal 10 2 10 4 2 10" xfId="5250" xr:uid="{00000000-0005-0000-0000-000082140000}"/>
    <cellStyle name="Normal 10 2 10 4 2 2" xfId="5251" xr:uid="{00000000-0005-0000-0000-000083140000}"/>
    <cellStyle name="Normal 10 2 10 4 2 3" xfId="5252" xr:uid="{00000000-0005-0000-0000-000084140000}"/>
    <cellStyle name="Normal 10 2 10 4 2 4" xfId="5253" xr:uid="{00000000-0005-0000-0000-000085140000}"/>
    <cellStyle name="Normal 10 2 10 4 2 5" xfId="5254" xr:uid="{00000000-0005-0000-0000-000086140000}"/>
    <cellStyle name="Normal 10 2 10 4 2 6" xfId="5255" xr:uid="{00000000-0005-0000-0000-000087140000}"/>
    <cellStyle name="Normal 10 2 10 4 2 7" xfId="5256" xr:uid="{00000000-0005-0000-0000-000088140000}"/>
    <cellStyle name="Normal 10 2 10 4 2 8" xfId="5257" xr:uid="{00000000-0005-0000-0000-000089140000}"/>
    <cellStyle name="Normal 10 2 10 4 2 9" xfId="5258" xr:uid="{00000000-0005-0000-0000-00008A140000}"/>
    <cellStyle name="Normal 10 2 10 4 3" xfId="5259" xr:uid="{00000000-0005-0000-0000-00008B140000}"/>
    <cellStyle name="Normal 10 2 10 4 3 10" xfId="5260" xr:uid="{00000000-0005-0000-0000-00008C140000}"/>
    <cellStyle name="Normal 10 2 10 4 3 2" xfId="5261" xr:uid="{00000000-0005-0000-0000-00008D140000}"/>
    <cellStyle name="Normal 10 2 10 4 3 3" xfId="5262" xr:uid="{00000000-0005-0000-0000-00008E140000}"/>
    <cellStyle name="Normal 10 2 10 4 3 4" xfId="5263" xr:uid="{00000000-0005-0000-0000-00008F140000}"/>
    <cellStyle name="Normal 10 2 10 4 3 5" xfId="5264" xr:uid="{00000000-0005-0000-0000-000090140000}"/>
    <cellStyle name="Normal 10 2 10 4 3 6" xfId="5265" xr:uid="{00000000-0005-0000-0000-000091140000}"/>
    <cellStyle name="Normal 10 2 10 4 3 7" xfId="5266" xr:uid="{00000000-0005-0000-0000-000092140000}"/>
    <cellStyle name="Normal 10 2 10 4 3 8" xfId="5267" xr:uid="{00000000-0005-0000-0000-000093140000}"/>
    <cellStyle name="Normal 10 2 10 4 3 9" xfId="5268" xr:uid="{00000000-0005-0000-0000-000094140000}"/>
    <cellStyle name="Normal 10 2 10 4 4" xfId="5269" xr:uid="{00000000-0005-0000-0000-000095140000}"/>
    <cellStyle name="Normal 10 2 10 4 4 10" xfId="5270" xr:uid="{00000000-0005-0000-0000-000096140000}"/>
    <cellStyle name="Normal 10 2 10 4 4 2" xfId="5271" xr:uid="{00000000-0005-0000-0000-000097140000}"/>
    <cellStyle name="Normal 10 2 10 4 4 3" xfId="5272" xr:uid="{00000000-0005-0000-0000-000098140000}"/>
    <cellStyle name="Normal 10 2 10 4 4 4" xfId="5273" xr:uid="{00000000-0005-0000-0000-000099140000}"/>
    <cellStyle name="Normal 10 2 10 4 4 5" xfId="5274" xr:uid="{00000000-0005-0000-0000-00009A140000}"/>
    <cellStyle name="Normal 10 2 10 4 4 6" xfId="5275" xr:uid="{00000000-0005-0000-0000-00009B140000}"/>
    <cellStyle name="Normal 10 2 10 4 4 7" xfId="5276" xr:uid="{00000000-0005-0000-0000-00009C140000}"/>
    <cellStyle name="Normal 10 2 10 4 4 8" xfId="5277" xr:uid="{00000000-0005-0000-0000-00009D140000}"/>
    <cellStyle name="Normal 10 2 10 4 4 9" xfId="5278" xr:uid="{00000000-0005-0000-0000-00009E140000}"/>
    <cellStyle name="Normal 10 2 10 4 5" xfId="5279" xr:uid="{00000000-0005-0000-0000-00009F140000}"/>
    <cellStyle name="Normal 10 2 10 4 5 10" xfId="5280" xr:uid="{00000000-0005-0000-0000-0000A0140000}"/>
    <cellStyle name="Normal 10 2 10 4 5 2" xfId="5281" xr:uid="{00000000-0005-0000-0000-0000A1140000}"/>
    <cellStyle name="Normal 10 2 10 4 5 3" xfId="5282" xr:uid="{00000000-0005-0000-0000-0000A2140000}"/>
    <cellStyle name="Normal 10 2 10 4 5 4" xfId="5283" xr:uid="{00000000-0005-0000-0000-0000A3140000}"/>
    <cellStyle name="Normal 10 2 10 4 5 5" xfId="5284" xr:uid="{00000000-0005-0000-0000-0000A4140000}"/>
    <cellStyle name="Normal 10 2 10 4 5 6" xfId="5285" xr:uid="{00000000-0005-0000-0000-0000A5140000}"/>
    <cellStyle name="Normal 10 2 10 4 5 7" xfId="5286" xr:uid="{00000000-0005-0000-0000-0000A6140000}"/>
    <cellStyle name="Normal 10 2 10 4 5 8" xfId="5287" xr:uid="{00000000-0005-0000-0000-0000A7140000}"/>
    <cellStyle name="Normal 10 2 10 4 5 9" xfId="5288" xr:uid="{00000000-0005-0000-0000-0000A8140000}"/>
    <cellStyle name="Normal 10 2 10 4 6" xfId="5289" xr:uid="{00000000-0005-0000-0000-0000A9140000}"/>
    <cellStyle name="Normal 10 2 10 4 7" xfId="5290" xr:uid="{00000000-0005-0000-0000-0000AA140000}"/>
    <cellStyle name="Normal 10 2 10 4 8" xfId="5291" xr:uid="{00000000-0005-0000-0000-0000AB140000}"/>
    <cellStyle name="Normal 10 2 10 4 9" xfId="5292" xr:uid="{00000000-0005-0000-0000-0000AC140000}"/>
    <cellStyle name="Normal 10 2 10 40" xfId="5293" xr:uid="{00000000-0005-0000-0000-0000AD140000}"/>
    <cellStyle name="Normal 10 2 10 41" xfId="5294" xr:uid="{00000000-0005-0000-0000-0000AE140000}"/>
    <cellStyle name="Normal 10 2 10 42" xfId="5295" xr:uid="{00000000-0005-0000-0000-0000AF140000}"/>
    <cellStyle name="Normal 10 2 10 43" xfId="5296" xr:uid="{00000000-0005-0000-0000-0000B0140000}"/>
    <cellStyle name="Normal 10 2 10 44" xfId="5297" xr:uid="{00000000-0005-0000-0000-0000B1140000}"/>
    <cellStyle name="Normal 10 2 10 45" xfId="5298" xr:uid="{00000000-0005-0000-0000-0000B2140000}"/>
    <cellStyle name="Normal 10 2 10 46" xfId="5299" xr:uid="{00000000-0005-0000-0000-0000B3140000}"/>
    <cellStyle name="Normal 10 2 10 47" xfId="5300" xr:uid="{00000000-0005-0000-0000-0000B4140000}"/>
    <cellStyle name="Normal 10 2 10 48" xfId="5301" xr:uid="{00000000-0005-0000-0000-0000B5140000}"/>
    <cellStyle name="Normal 10 2 10 49" xfId="5302" xr:uid="{00000000-0005-0000-0000-0000B6140000}"/>
    <cellStyle name="Normal 10 2 10 5" xfId="5303" xr:uid="{00000000-0005-0000-0000-0000B7140000}"/>
    <cellStyle name="Normal 10 2 10 5 10" xfId="5304" xr:uid="{00000000-0005-0000-0000-0000B8140000}"/>
    <cellStyle name="Normal 10 2 10 5 11" xfId="5305" xr:uid="{00000000-0005-0000-0000-0000B9140000}"/>
    <cellStyle name="Normal 10 2 10 5 12" xfId="5306" xr:uid="{00000000-0005-0000-0000-0000BA140000}"/>
    <cellStyle name="Normal 10 2 10 5 13" xfId="5307" xr:uid="{00000000-0005-0000-0000-0000BB140000}"/>
    <cellStyle name="Normal 10 2 10 5 14" xfId="5308" xr:uid="{00000000-0005-0000-0000-0000BC140000}"/>
    <cellStyle name="Normal 10 2 10 5 2" xfId="5309" xr:uid="{00000000-0005-0000-0000-0000BD140000}"/>
    <cellStyle name="Normal 10 2 10 5 2 10" xfId="5310" xr:uid="{00000000-0005-0000-0000-0000BE140000}"/>
    <cellStyle name="Normal 10 2 10 5 2 2" xfId="5311" xr:uid="{00000000-0005-0000-0000-0000BF140000}"/>
    <cellStyle name="Normal 10 2 10 5 2 3" xfId="5312" xr:uid="{00000000-0005-0000-0000-0000C0140000}"/>
    <cellStyle name="Normal 10 2 10 5 2 4" xfId="5313" xr:uid="{00000000-0005-0000-0000-0000C1140000}"/>
    <cellStyle name="Normal 10 2 10 5 2 5" xfId="5314" xr:uid="{00000000-0005-0000-0000-0000C2140000}"/>
    <cellStyle name="Normal 10 2 10 5 2 6" xfId="5315" xr:uid="{00000000-0005-0000-0000-0000C3140000}"/>
    <cellStyle name="Normal 10 2 10 5 2 7" xfId="5316" xr:uid="{00000000-0005-0000-0000-0000C4140000}"/>
    <cellStyle name="Normal 10 2 10 5 2 8" xfId="5317" xr:uid="{00000000-0005-0000-0000-0000C5140000}"/>
    <cellStyle name="Normal 10 2 10 5 2 9" xfId="5318" xr:uid="{00000000-0005-0000-0000-0000C6140000}"/>
    <cellStyle name="Normal 10 2 10 5 3" xfId="5319" xr:uid="{00000000-0005-0000-0000-0000C7140000}"/>
    <cellStyle name="Normal 10 2 10 5 3 10" xfId="5320" xr:uid="{00000000-0005-0000-0000-0000C8140000}"/>
    <cellStyle name="Normal 10 2 10 5 3 2" xfId="5321" xr:uid="{00000000-0005-0000-0000-0000C9140000}"/>
    <cellStyle name="Normal 10 2 10 5 3 3" xfId="5322" xr:uid="{00000000-0005-0000-0000-0000CA140000}"/>
    <cellStyle name="Normal 10 2 10 5 3 4" xfId="5323" xr:uid="{00000000-0005-0000-0000-0000CB140000}"/>
    <cellStyle name="Normal 10 2 10 5 3 5" xfId="5324" xr:uid="{00000000-0005-0000-0000-0000CC140000}"/>
    <cellStyle name="Normal 10 2 10 5 3 6" xfId="5325" xr:uid="{00000000-0005-0000-0000-0000CD140000}"/>
    <cellStyle name="Normal 10 2 10 5 3 7" xfId="5326" xr:uid="{00000000-0005-0000-0000-0000CE140000}"/>
    <cellStyle name="Normal 10 2 10 5 3 8" xfId="5327" xr:uid="{00000000-0005-0000-0000-0000CF140000}"/>
    <cellStyle name="Normal 10 2 10 5 3 9" xfId="5328" xr:uid="{00000000-0005-0000-0000-0000D0140000}"/>
    <cellStyle name="Normal 10 2 10 5 4" xfId="5329" xr:uid="{00000000-0005-0000-0000-0000D1140000}"/>
    <cellStyle name="Normal 10 2 10 5 4 10" xfId="5330" xr:uid="{00000000-0005-0000-0000-0000D2140000}"/>
    <cellStyle name="Normal 10 2 10 5 4 2" xfId="5331" xr:uid="{00000000-0005-0000-0000-0000D3140000}"/>
    <cellStyle name="Normal 10 2 10 5 4 3" xfId="5332" xr:uid="{00000000-0005-0000-0000-0000D4140000}"/>
    <cellStyle name="Normal 10 2 10 5 4 4" xfId="5333" xr:uid="{00000000-0005-0000-0000-0000D5140000}"/>
    <cellStyle name="Normal 10 2 10 5 4 5" xfId="5334" xr:uid="{00000000-0005-0000-0000-0000D6140000}"/>
    <cellStyle name="Normal 10 2 10 5 4 6" xfId="5335" xr:uid="{00000000-0005-0000-0000-0000D7140000}"/>
    <cellStyle name="Normal 10 2 10 5 4 7" xfId="5336" xr:uid="{00000000-0005-0000-0000-0000D8140000}"/>
    <cellStyle name="Normal 10 2 10 5 4 8" xfId="5337" xr:uid="{00000000-0005-0000-0000-0000D9140000}"/>
    <cellStyle name="Normal 10 2 10 5 4 9" xfId="5338" xr:uid="{00000000-0005-0000-0000-0000DA140000}"/>
    <cellStyle name="Normal 10 2 10 5 5" xfId="5339" xr:uid="{00000000-0005-0000-0000-0000DB140000}"/>
    <cellStyle name="Normal 10 2 10 5 5 10" xfId="5340" xr:uid="{00000000-0005-0000-0000-0000DC140000}"/>
    <cellStyle name="Normal 10 2 10 5 5 2" xfId="5341" xr:uid="{00000000-0005-0000-0000-0000DD140000}"/>
    <cellStyle name="Normal 10 2 10 5 5 3" xfId="5342" xr:uid="{00000000-0005-0000-0000-0000DE140000}"/>
    <cellStyle name="Normal 10 2 10 5 5 4" xfId="5343" xr:uid="{00000000-0005-0000-0000-0000DF140000}"/>
    <cellStyle name="Normal 10 2 10 5 5 5" xfId="5344" xr:uid="{00000000-0005-0000-0000-0000E0140000}"/>
    <cellStyle name="Normal 10 2 10 5 5 6" xfId="5345" xr:uid="{00000000-0005-0000-0000-0000E1140000}"/>
    <cellStyle name="Normal 10 2 10 5 5 7" xfId="5346" xr:uid="{00000000-0005-0000-0000-0000E2140000}"/>
    <cellStyle name="Normal 10 2 10 5 5 8" xfId="5347" xr:uid="{00000000-0005-0000-0000-0000E3140000}"/>
    <cellStyle name="Normal 10 2 10 5 5 9" xfId="5348" xr:uid="{00000000-0005-0000-0000-0000E4140000}"/>
    <cellStyle name="Normal 10 2 10 5 6" xfId="5349" xr:uid="{00000000-0005-0000-0000-0000E5140000}"/>
    <cellStyle name="Normal 10 2 10 5 7" xfId="5350" xr:uid="{00000000-0005-0000-0000-0000E6140000}"/>
    <cellStyle name="Normal 10 2 10 5 8" xfId="5351" xr:uid="{00000000-0005-0000-0000-0000E7140000}"/>
    <cellStyle name="Normal 10 2 10 5 9" xfId="5352" xr:uid="{00000000-0005-0000-0000-0000E8140000}"/>
    <cellStyle name="Normal 10 2 10 50" xfId="21" xr:uid="{00000000-0005-0000-0000-000015000000}"/>
    <cellStyle name="Normal 10 2 10 50 2" xfId="50" xr:uid="{00000000-0005-0000-0000-000032000000}"/>
    <cellStyle name="Normal 10 2 10 50 3" xfId="5353" xr:uid="{00000000-0005-0000-0000-0000E9140000}"/>
    <cellStyle name="Normal 10 2 10 51" xfId="2248" xr:uid="{00000000-0005-0000-0000-0000C8080000}"/>
    <cellStyle name="Normal 10 2 10 6" xfId="5354" xr:uid="{00000000-0005-0000-0000-0000EA140000}"/>
    <cellStyle name="Normal 10 2 10 6 10" xfId="5355" xr:uid="{00000000-0005-0000-0000-0000EB140000}"/>
    <cellStyle name="Normal 10 2 10 6 11" xfId="5356" xr:uid="{00000000-0005-0000-0000-0000EC140000}"/>
    <cellStyle name="Normal 10 2 10 6 12" xfId="5357" xr:uid="{00000000-0005-0000-0000-0000ED140000}"/>
    <cellStyle name="Normal 10 2 10 6 13" xfId="5358" xr:uid="{00000000-0005-0000-0000-0000EE140000}"/>
    <cellStyle name="Normal 10 2 10 6 14" xfId="5359" xr:uid="{00000000-0005-0000-0000-0000EF140000}"/>
    <cellStyle name="Normal 10 2 10 6 2" xfId="5360" xr:uid="{00000000-0005-0000-0000-0000F0140000}"/>
    <cellStyle name="Normal 10 2 10 6 2 10" xfId="5361" xr:uid="{00000000-0005-0000-0000-0000F1140000}"/>
    <cellStyle name="Normal 10 2 10 6 2 2" xfId="5362" xr:uid="{00000000-0005-0000-0000-0000F2140000}"/>
    <cellStyle name="Normal 10 2 10 6 2 3" xfId="5363" xr:uid="{00000000-0005-0000-0000-0000F3140000}"/>
    <cellStyle name="Normal 10 2 10 6 2 4" xfId="5364" xr:uid="{00000000-0005-0000-0000-0000F4140000}"/>
    <cellStyle name="Normal 10 2 10 6 2 5" xfId="5365" xr:uid="{00000000-0005-0000-0000-0000F5140000}"/>
    <cellStyle name="Normal 10 2 10 6 2 6" xfId="5366" xr:uid="{00000000-0005-0000-0000-0000F6140000}"/>
    <cellStyle name="Normal 10 2 10 6 2 7" xfId="5367" xr:uid="{00000000-0005-0000-0000-0000F7140000}"/>
    <cellStyle name="Normal 10 2 10 6 2 8" xfId="5368" xr:uid="{00000000-0005-0000-0000-0000F8140000}"/>
    <cellStyle name="Normal 10 2 10 6 2 9" xfId="5369" xr:uid="{00000000-0005-0000-0000-0000F9140000}"/>
    <cellStyle name="Normal 10 2 10 6 3" xfId="5370" xr:uid="{00000000-0005-0000-0000-0000FA140000}"/>
    <cellStyle name="Normal 10 2 10 6 3 10" xfId="5371" xr:uid="{00000000-0005-0000-0000-0000FB140000}"/>
    <cellStyle name="Normal 10 2 10 6 3 2" xfId="5372" xr:uid="{00000000-0005-0000-0000-0000FC140000}"/>
    <cellStyle name="Normal 10 2 10 6 3 3" xfId="5373" xr:uid="{00000000-0005-0000-0000-0000FD140000}"/>
    <cellStyle name="Normal 10 2 10 6 3 4" xfId="5374" xr:uid="{00000000-0005-0000-0000-0000FE140000}"/>
    <cellStyle name="Normal 10 2 10 6 3 5" xfId="5375" xr:uid="{00000000-0005-0000-0000-0000FF140000}"/>
    <cellStyle name="Normal 10 2 10 6 3 6" xfId="5376" xr:uid="{00000000-0005-0000-0000-000000150000}"/>
    <cellStyle name="Normal 10 2 10 6 3 7" xfId="5377" xr:uid="{00000000-0005-0000-0000-000001150000}"/>
    <cellStyle name="Normal 10 2 10 6 3 8" xfId="5378" xr:uid="{00000000-0005-0000-0000-000002150000}"/>
    <cellStyle name="Normal 10 2 10 6 3 9" xfId="5379" xr:uid="{00000000-0005-0000-0000-000003150000}"/>
    <cellStyle name="Normal 10 2 10 6 4" xfId="5380" xr:uid="{00000000-0005-0000-0000-000004150000}"/>
    <cellStyle name="Normal 10 2 10 6 4 10" xfId="5381" xr:uid="{00000000-0005-0000-0000-000005150000}"/>
    <cellStyle name="Normal 10 2 10 6 4 2" xfId="5382" xr:uid="{00000000-0005-0000-0000-000006150000}"/>
    <cellStyle name="Normal 10 2 10 6 4 3" xfId="5383" xr:uid="{00000000-0005-0000-0000-000007150000}"/>
    <cellStyle name="Normal 10 2 10 6 4 4" xfId="5384" xr:uid="{00000000-0005-0000-0000-000008150000}"/>
    <cellStyle name="Normal 10 2 10 6 4 5" xfId="5385" xr:uid="{00000000-0005-0000-0000-000009150000}"/>
    <cellStyle name="Normal 10 2 10 6 4 6" xfId="5386" xr:uid="{00000000-0005-0000-0000-00000A150000}"/>
    <cellStyle name="Normal 10 2 10 6 4 7" xfId="5387" xr:uid="{00000000-0005-0000-0000-00000B150000}"/>
    <cellStyle name="Normal 10 2 10 6 4 8" xfId="5388" xr:uid="{00000000-0005-0000-0000-00000C150000}"/>
    <cellStyle name="Normal 10 2 10 6 4 9" xfId="5389" xr:uid="{00000000-0005-0000-0000-00000D150000}"/>
    <cellStyle name="Normal 10 2 10 6 5" xfId="5390" xr:uid="{00000000-0005-0000-0000-00000E150000}"/>
    <cellStyle name="Normal 10 2 10 6 5 10" xfId="5391" xr:uid="{00000000-0005-0000-0000-00000F150000}"/>
    <cellStyle name="Normal 10 2 10 6 5 2" xfId="5392" xr:uid="{00000000-0005-0000-0000-000010150000}"/>
    <cellStyle name="Normal 10 2 10 6 5 3" xfId="5393" xr:uid="{00000000-0005-0000-0000-000011150000}"/>
    <cellStyle name="Normal 10 2 10 6 5 4" xfId="5394" xr:uid="{00000000-0005-0000-0000-000012150000}"/>
    <cellStyle name="Normal 10 2 10 6 5 5" xfId="5395" xr:uid="{00000000-0005-0000-0000-000013150000}"/>
    <cellStyle name="Normal 10 2 10 6 5 6" xfId="5396" xr:uid="{00000000-0005-0000-0000-000014150000}"/>
    <cellStyle name="Normal 10 2 10 6 5 7" xfId="5397" xr:uid="{00000000-0005-0000-0000-000015150000}"/>
    <cellStyle name="Normal 10 2 10 6 5 8" xfId="5398" xr:uid="{00000000-0005-0000-0000-000016150000}"/>
    <cellStyle name="Normal 10 2 10 6 5 9" xfId="5399" xr:uid="{00000000-0005-0000-0000-000017150000}"/>
    <cellStyle name="Normal 10 2 10 6 6" xfId="5400" xr:uid="{00000000-0005-0000-0000-000018150000}"/>
    <cellStyle name="Normal 10 2 10 6 7" xfId="5401" xr:uid="{00000000-0005-0000-0000-000019150000}"/>
    <cellStyle name="Normal 10 2 10 6 8" xfId="5402" xr:uid="{00000000-0005-0000-0000-00001A150000}"/>
    <cellStyle name="Normal 10 2 10 6 9" xfId="5403" xr:uid="{00000000-0005-0000-0000-00001B150000}"/>
    <cellStyle name="Normal 10 2 10 7" xfId="5404" xr:uid="{00000000-0005-0000-0000-00001C150000}"/>
    <cellStyle name="Normal 10 2 10 7 10" xfId="5405" xr:uid="{00000000-0005-0000-0000-00001D150000}"/>
    <cellStyle name="Normal 10 2 10 7 11" xfId="5406" xr:uid="{00000000-0005-0000-0000-00001E150000}"/>
    <cellStyle name="Normal 10 2 10 7 12" xfId="5407" xr:uid="{00000000-0005-0000-0000-00001F150000}"/>
    <cellStyle name="Normal 10 2 10 7 13" xfId="5408" xr:uid="{00000000-0005-0000-0000-000020150000}"/>
    <cellStyle name="Normal 10 2 10 7 14" xfId="5409" xr:uid="{00000000-0005-0000-0000-000021150000}"/>
    <cellStyle name="Normal 10 2 10 7 2" xfId="5410" xr:uid="{00000000-0005-0000-0000-000022150000}"/>
    <cellStyle name="Normal 10 2 10 7 2 10" xfId="5411" xr:uid="{00000000-0005-0000-0000-000023150000}"/>
    <cellStyle name="Normal 10 2 10 7 2 2" xfId="5412" xr:uid="{00000000-0005-0000-0000-000024150000}"/>
    <cellStyle name="Normal 10 2 10 7 2 3" xfId="5413" xr:uid="{00000000-0005-0000-0000-000025150000}"/>
    <cellStyle name="Normal 10 2 10 7 2 4" xfId="5414" xr:uid="{00000000-0005-0000-0000-000026150000}"/>
    <cellStyle name="Normal 10 2 10 7 2 5" xfId="5415" xr:uid="{00000000-0005-0000-0000-000027150000}"/>
    <cellStyle name="Normal 10 2 10 7 2 6" xfId="5416" xr:uid="{00000000-0005-0000-0000-000028150000}"/>
    <cellStyle name="Normal 10 2 10 7 2 7" xfId="5417" xr:uid="{00000000-0005-0000-0000-000029150000}"/>
    <cellStyle name="Normal 10 2 10 7 2 8" xfId="5418" xr:uid="{00000000-0005-0000-0000-00002A150000}"/>
    <cellStyle name="Normal 10 2 10 7 2 9" xfId="5419" xr:uid="{00000000-0005-0000-0000-00002B150000}"/>
    <cellStyle name="Normal 10 2 10 7 3" xfId="5420" xr:uid="{00000000-0005-0000-0000-00002C150000}"/>
    <cellStyle name="Normal 10 2 10 7 3 10" xfId="5421" xr:uid="{00000000-0005-0000-0000-00002D150000}"/>
    <cellStyle name="Normal 10 2 10 7 3 2" xfId="5422" xr:uid="{00000000-0005-0000-0000-00002E150000}"/>
    <cellStyle name="Normal 10 2 10 7 3 3" xfId="5423" xr:uid="{00000000-0005-0000-0000-00002F150000}"/>
    <cellStyle name="Normal 10 2 10 7 3 4" xfId="5424" xr:uid="{00000000-0005-0000-0000-000030150000}"/>
    <cellStyle name="Normal 10 2 10 7 3 5" xfId="5425" xr:uid="{00000000-0005-0000-0000-000031150000}"/>
    <cellStyle name="Normal 10 2 10 7 3 6" xfId="5426" xr:uid="{00000000-0005-0000-0000-000032150000}"/>
    <cellStyle name="Normal 10 2 10 7 3 7" xfId="5427" xr:uid="{00000000-0005-0000-0000-000033150000}"/>
    <cellStyle name="Normal 10 2 10 7 3 8" xfId="5428" xr:uid="{00000000-0005-0000-0000-000034150000}"/>
    <cellStyle name="Normal 10 2 10 7 3 9" xfId="5429" xr:uid="{00000000-0005-0000-0000-000035150000}"/>
    <cellStyle name="Normal 10 2 10 7 4" xfId="5430" xr:uid="{00000000-0005-0000-0000-000036150000}"/>
    <cellStyle name="Normal 10 2 10 7 4 10" xfId="5431" xr:uid="{00000000-0005-0000-0000-000037150000}"/>
    <cellStyle name="Normal 10 2 10 7 4 2" xfId="5432" xr:uid="{00000000-0005-0000-0000-000038150000}"/>
    <cellStyle name="Normal 10 2 10 7 4 3" xfId="5433" xr:uid="{00000000-0005-0000-0000-000039150000}"/>
    <cellStyle name="Normal 10 2 10 7 4 4" xfId="5434" xr:uid="{00000000-0005-0000-0000-00003A150000}"/>
    <cellStyle name="Normal 10 2 10 7 4 5" xfId="5435" xr:uid="{00000000-0005-0000-0000-00003B150000}"/>
    <cellStyle name="Normal 10 2 10 7 4 6" xfId="5436" xr:uid="{00000000-0005-0000-0000-00003C150000}"/>
    <cellStyle name="Normal 10 2 10 7 4 7" xfId="5437" xr:uid="{00000000-0005-0000-0000-00003D150000}"/>
    <cellStyle name="Normal 10 2 10 7 4 8" xfId="5438" xr:uid="{00000000-0005-0000-0000-00003E150000}"/>
    <cellStyle name="Normal 10 2 10 7 4 9" xfId="5439" xr:uid="{00000000-0005-0000-0000-00003F150000}"/>
    <cellStyle name="Normal 10 2 10 7 5" xfId="5440" xr:uid="{00000000-0005-0000-0000-000040150000}"/>
    <cellStyle name="Normal 10 2 10 7 5 10" xfId="5441" xr:uid="{00000000-0005-0000-0000-000041150000}"/>
    <cellStyle name="Normal 10 2 10 7 5 2" xfId="5442" xr:uid="{00000000-0005-0000-0000-000042150000}"/>
    <cellStyle name="Normal 10 2 10 7 5 3" xfId="5443" xr:uid="{00000000-0005-0000-0000-000043150000}"/>
    <cellStyle name="Normal 10 2 10 7 5 4" xfId="5444" xr:uid="{00000000-0005-0000-0000-000044150000}"/>
    <cellStyle name="Normal 10 2 10 7 5 5" xfId="5445" xr:uid="{00000000-0005-0000-0000-000045150000}"/>
    <cellStyle name="Normal 10 2 10 7 5 6" xfId="5446" xr:uid="{00000000-0005-0000-0000-000046150000}"/>
    <cellStyle name="Normal 10 2 10 7 5 7" xfId="5447" xr:uid="{00000000-0005-0000-0000-000047150000}"/>
    <cellStyle name="Normal 10 2 10 7 5 8" xfId="5448" xr:uid="{00000000-0005-0000-0000-000048150000}"/>
    <cellStyle name="Normal 10 2 10 7 5 9" xfId="5449" xr:uid="{00000000-0005-0000-0000-000049150000}"/>
    <cellStyle name="Normal 10 2 10 7 6" xfId="5450" xr:uid="{00000000-0005-0000-0000-00004A150000}"/>
    <cellStyle name="Normal 10 2 10 7 7" xfId="5451" xr:uid="{00000000-0005-0000-0000-00004B150000}"/>
    <cellStyle name="Normal 10 2 10 7 8" xfId="5452" xr:uid="{00000000-0005-0000-0000-00004C150000}"/>
    <cellStyle name="Normal 10 2 10 7 9" xfId="5453" xr:uid="{00000000-0005-0000-0000-00004D150000}"/>
    <cellStyle name="Normal 10 2 10 8" xfId="5454" xr:uid="{00000000-0005-0000-0000-00004E150000}"/>
    <cellStyle name="Normal 10 2 10 8 10" xfId="5455" xr:uid="{00000000-0005-0000-0000-00004F150000}"/>
    <cellStyle name="Normal 10 2 10 8 11" xfId="5456" xr:uid="{00000000-0005-0000-0000-000050150000}"/>
    <cellStyle name="Normal 10 2 10 8 12" xfId="5457" xr:uid="{00000000-0005-0000-0000-000051150000}"/>
    <cellStyle name="Normal 10 2 10 8 13" xfId="5458" xr:uid="{00000000-0005-0000-0000-000052150000}"/>
    <cellStyle name="Normal 10 2 10 8 14" xfId="5459" xr:uid="{00000000-0005-0000-0000-000053150000}"/>
    <cellStyle name="Normal 10 2 10 8 2" xfId="5460" xr:uid="{00000000-0005-0000-0000-000054150000}"/>
    <cellStyle name="Normal 10 2 10 8 2 10" xfId="5461" xr:uid="{00000000-0005-0000-0000-000055150000}"/>
    <cellStyle name="Normal 10 2 10 8 2 2" xfId="5462" xr:uid="{00000000-0005-0000-0000-000056150000}"/>
    <cellStyle name="Normal 10 2 10 8 2 3" xfId="5463" xr:uid="{00000000-0005-0000-0000-000057150000}"/>
    <cellStyle name="Normal 10 2 10 8 2 4" xfId="5464" xr:uid="{00000000-0005-0000-0000-000058150000}"/>
    <cellStyle name="Normal 10 2 10 8 2 5" xfId="5465" xr:uid="{00000000-0005-0000-0000-000059150000}"/>
    <cellStyle name="Normal 10 2 10 8 2 6" xfId="5466" xr:uid="{00000000-0005-0000-0000-00005A150000}"/>
    <cellStyle name="Normal 10 2 10 8 2 7" xfId="5467" xr:uid="{00000000-0005-0000-0000-00005B150000}"/>
    <cellStyle name="Normal 10 2 10 8 2 8" xfId="5468" xr:uid="{00000000-0005-0000-0000-00005C150000}"/>
    <cellStyle name="Normal 10 2 10 8 2 9" xfId="5469" xr:uid="{00000000-0005-0000-0000-00005D150000}"/>
    <cellStyle name="Normal 10 2 10 8 3" xfId="5470" xr:uid="{00000000-0005-0000-0000-00005E150000}"/>
    <cellStyle name="Normal 10 2 10 8 3 10" xfId="5471" xr:uid="{00000000-0005-0000-0000-00005F150000}"/>
    <cellStyle name="Normal 10 2 10 8 3 2" xfId="5472" xr:uid="{00000000-0005-0000-0000-000060150000}"/>
    <cellStyle name="Normal 10 2 10 8 3 3" xfId="5473" xr:uid="{00000000-0005-0000-0000-000061150000}"/>
    <cellStyle name="Normal 10 2 10 8 3 4" xfId="5474" xr:uid="{00000000-0005-0000-0000-000062150000}"/>
    <cellStyle name="Normal 10 2 10 8 3 5" xfId="5475" xr:uid="{00000000-0005-0000-0000-000063150000}"/>
    <cellStyle name="Normal 10 2 10 8 3 6" xfId="5476" xr:uid="{00000000-0005-0000-0000-000064150000}"/>
    <cellStyle name="Normal 10 2 10 8 3 7" xfId="5477" xr:uid="{00000000-0005-0000-0000-000065150000}"/>
    <cellStyle name="Normal 10 2 10 8 3 8" xfId="5478" xr:uid="{00000000-0005-0000-0000-000066150000}"/>
    <cellStyle name="Normal 10 2 10 8 3 9" xfId="5479" xr:uid="{00000000-0005-0000-0000-000067150000}"/>
    <cellStyle name="Normal 10 2 10 8 4" xfId="5480" xr:uid="{00000000-0005-0000-0000-000068150000}"/>
    <cellStyle name="Normal 10 2 10 8 4 10" xfId="5481" xr:uid="{00000000-0005-0000-0000-000069150000}"/>
    <cellStyle name="Normal 10 2 10 8 4 2" xfId="5482" xr:uid="{00000000-0005-0000-0000-00006A150000}"/>
    <cellStyle name="Normal 10 2 10 8 4 3" xfId="5483" xr:uid="{00000000-0005-0000-0000-00006B150000}"/>
    <cellStyle name="Normal 10 2 10 8 4 4" xfId="5484" xr:uid="{00000000-0005-0000-0000-00006C150000}"/>
    <cellStyle name="Normal 10 2 10 8 4 5" xfId="5485" xr:uid="{00000000-0005-0000-0000-00006D150000}"/>
    <cellStyle name="Normal 10 2 10 8 4 6" xfId="5486" xr:uid="{00000000-0005-0000-0000-00006E150000}"/>
    <cellStyle name="Normal 10 2 10 8 4 7" xfId="5487" xr:uid="{00000000-0005-0000-0000-00006F150000}"/>
    <cellStyle name="Normal 10 2 10 8 4 8" xfId="5488" xr:uid="{00000000-0005-0000-0000-000070150000}"/>
    <cellStyle name="Normal 10 2 10 8 4 9" xfId="5489" xr:uid="{00000000-0005-0000-0000-000071150000}"/>
    <cellStyle name="Normal 10 2 10 8 5" xfId="5490" xr:uid="{00000000-0005-0000-0000-000072150000}"/>
    <cellStyle name="Normal 10 2 10 8 5 10" xfId="5491" xr:uid="{00000000-0005-0000-0000-000073150000}"/>
    <cellStyle name="Normal 10 2 10 8 5 2" xfId="5492" xr:uid="{00000000-0005-0000-0000-000074150000}"/>
    <cellStyle name="Normal 10 2 10 8 5 3" xfId="5493" xr:uid="{00000000-0005-0000-0000-000075150000}"/>
    <cellStyle name="Normal 10 2 10 8 5 4" xfId="5494" xr:uid="{00000000-0005-0000-0000-000076150000}"/>
    <cellStyle name="Normal 10 2 10 8 5 5" xfId="5495" xr:uid="{00000000-0005-0000-0000-000077150000}"/>
    <cellStyle name="Normal 10 2 10 8 5 6" xfId="5496" xr:uid="{00000000-0005-0000-0000-000078150000}"/>
    <cellStyle name="Normal 10 2 10 8 5 7" xfId="5497" xr:uid="{00000000-0005-0000-0000-000079150000}"/>
    <cellStyle name="Normal 10 2 10 8 5 8" xfId="5498" xr:uid="{00000000-0005-0000-0000-00007A150000}"/>
    <cellStyle name="Normal 10 2 10 8 5 9" xfId="5499" xr:uid="{00000000-0005-0000-0000-00007B150000}"/>
    <cellStyle name="Normal 10 2 10 8 6" xfId="5500" xr:uid="{00000000-0005-0000-0000-00007C150000}"/>
    <cellStyle name="Normal 10 2 10 8 7" xfId="5501" xr:uid="{00000000-0005-0000-0000-00007D150000}"/>
    <cellStyle name="Normal 10 2 10 8 8" xfId="5502" xr:uid="{00000000-0005-0000-0000-00007E150000}"/>
    <cellStyle name="Normal 10 2 10 8 9" xfId="5503" xr:uid="{00000000-0005-0000-0000-00007F150000}"/>
    <cellStyle name="Normal 10 2 10 9" xfId="5504" xr:uid="{00000000-0005-0000-0000-000080150000}"/>
    <cellStyle name="Normal 10 2 10 9 10" xfId="5505" xr:uid="{00000000-0005-0000-0000-000081150000}"/>
    <cellStyle name="Normal 10 2 10 9 11" xfId="5506" xr:uid="{00000000-0005-0000-0000-000082150000}"/>
    <cellStyle name="Normal 10 2 10 9 12" xfId="5507" xr:uid="{00000000-0005-0000-0000-000083150000}"/>
    <cellStyle name="Normal 10 2 10 9 13" xfId="5508" xr:uid="{00000000-0005-0000-0000-000084150000}"/>
    <cellStyle name="Normal 10 2 10 9 14" xfId="5509" xr:uid="{00000000-0005-0000-0000-000085150000}"/>
    <cellStyle name="Normal 10 2 10 9 2" xfId="5510" xr:uid="{00000000-0005-0000-0000-000086150000}"/>
    <cellStyle name="Normal 10 2 10 9 2 10" xfId="5511" xr:uid="{00000000-0005-0000-0000-000087150000}"/>
    <cellStyle name="Normal 10 2 10 9 2 2" xfId="5512" xr:uid="{00000000-0005-0000-0000-000088150000}"/>
    <cellStyle name="Normal 10 2 10 9 2 3" xfId="5513" xr:uid="{00000000-0005-0000-0000-000089150000}"/>
    <cellStyle name="Normal 10 2 10 9 2 4" xfId="5514" xr:uid="{00000000-0005-0000-0000-00008A150000}"/>
    <cellStyle name="Normal 10 2 10 9 2 5" xfId="5515" xr:uid="{00000000-0005-0000-0000-00008B150000}"/>
    <cellStyle name="Normal 10 2 10 9 2 6" xfId="5516" xr:uid="{00000000-0005-0000-0000-00008C150000}"/>
    <cellStyle name="Normal 10 2 10 9 2 7" xfId="5517" xr:uid="{00000000-0005-0000-0000-00008D150000}"/>
    <cellStyle name="Normal 10 2 10 9 2 8" xfId="5518" xr:uid="{00000000-0005-0000-0000-00008E150000}"/>
    <cellStyle name="Normal 10 2 10 9 2 9" xfId="5519" xr:uid="{00000000-0005-0000-0000-00008F150000}"/>
    <cellStyle name="Normal 10 2 10 9 3" xfId="5520" xr:uid="{00000000-0005-0000-0000-000090150000}"/>
    <cellStyle name="Normal 10 2 10 9 3 10" xfId="5521" xr:uid="{00000000-0005-0000-0000-000091150000}"/>
    <cellStyle name="Normal 10 2 10 9 3 2" xfId="5522" xr:uid="{00000000-0005-0000-0000-000092150000}"/>
    <cellStyle name="Normal 10 2 10 9 3 3" xfId="5523" xr:uid="{00000000-0005-0000-0000-000093150000}"/>
    <cellStyle name="Normal 10 2 10 9 3 4" xfId="5524" xr:uid="{00000000-0005-0000-0000-000094150000}"/>
    <cellStyle name="Normal 10 2 10 9 3 5" xfId="5525" xr:uid="{00000000-0005-0000-0000-000095150000}"/>
    <cellStyle name="Normal 10 2 10 9 3 6" xfId="5526" xr:uid="{00000000-0005-0000-0000-000096150000}"/>
    <cellStyle name="Normal 10 2 10 9 3 7" xfId="5527" xr:uid="{00000000-0005-0000-0000-000097150000}"/>
    <cellStyle name="Normal 10 2 10 9 3 8" xfId="5528" xr:uid="{00000000-0005-0000-0000-000098150000}"/>
    <cellStyle name="Normal 10 2 10 9 3 9" xfId="5529" xr:uid="{00000000-0005-0000-0000-000099150000}"/>
    <cellStyle name="Normal 10 2 10 9 4" xfId="5530" xr:uid="{00000000-0005-0000-0000-00009A150000}"/>
    <cellStyle name="Normal 10 2 10 9 4 10" xfId="5531" xr:uid="{00000000-0005-0000-0000-00009B150000}"/>
    <cellStyle name="Normal 10 2 10 9 4 2" xfId="5532" xr:uid="{00000000-0005-0000-0000-00009C150000}"/>
    <cellStyle name="Normal 10 2 10 9 4 3" xfId="5533" xr:uid="{00000000-0005-0000-0000-00009D150000}"/>
    <cellStyle name="Normal 10 2 10 9 4 4" xfId="5534" xr:uid="{00000000-0005-0000-0000-00009E150000}"/>
    <cellStyle name="Normal 10 2 10 9 4 5" xfId="5535" xr:uid="{00000000-0005-0000-0000-00009F150000}"/>
    <cellStyle name="Normal 10 2 10 9 4 6" xfId="5536" xr:uid="{00000000-0005-0000-0000-0000A0150000}"/>
    <cellStyle name="Normal 10 2 10 9 4 7" xfId="5537" xr:uid="{00000000-0005-0000-0000-0000A1150000}"/>
    <cellStyle name="Normal 10 2 10 9 4 8" xfId="5538" xr:uid="{00000000-0005-0000-0000-0000A2150000}"/>
    <cellStyle name="Normal 10 2 10 9 4 9" xfId="5539" xr:uid="{00000000-0005-0000-0000-0000A3150000}"/>
    <cellStyle name="Normal 10 2 10 9 5" xfId="5540" xr:uid="{00000000-0005-0000-0000-0000A4150000}"/>
    <cellStyle name="Normal 10 2 10 9 5 10" xfId="5541" xr:uid="{00000000-0005-0000-0000-0000A5150000}"/>
    <cellStyle name="Normal 10 2 10 9 5 2" xfId="5542" xr:uid="{00000000-0005-0000-0000-0000A6150000}"/>
    <cellStyle name="Normal 10 2 10 9 5 3" xfId="5543" xr:uid="{00000000-0005-0000-0000-0000A7150000}"/>
    <cellStyle name="Normal 10 2 10 9 5 4" xfId="5544" xr:uid="{00000000-0005-0000-0000-0000A8150000}"/>
    <cellStyle name="Normal 10 2 10 9 5 5" xfId="5545" xr:uid="{00000000-0005-0000-0000-0000A9150000}"/>
    <cellStyle name="Normal 10 2 10 9 5 6" xfId="5546" xr:uid="{00000000-0005-0000-0000-0000AA150000}"/>
    <cellStyle name="Normal 10 2 10 9 5 7" xfId="5547" xr:uid="{00000000-0005-0000-0000-0000AB150000}"/>
    <cellStyle name="Normal 10 2 10 9 5 8" xfId="5548" xr:uid="{00000000-0005-0000-0000-0000AC150000}"/>
    <cellStyle name="Normal 10 2 10 9 5 9" xfId="5549" xr:uid="{00000000-0005-0000-0000-0000AD150000}"/>
    <cellStyle name="Normal 10 2 10 9 6" xfId="5550" xr:uid="{00000000-0005-0000-0000-0000AE150000}"/>
    <cellStyle name="Normal 10 2 10 9 7" xfId="5551" xr:uid="{00000000-0005-0000-0000-0000AF150000}"/>
    <cellStyle name="Normal 10 2 10 9 8" xfId="5552" xr:uid="{00000000-0005-0000-0000-0000B0150000}"/>
    <cellStyle name="Normal 10 2 10 9 9" xfId="5553" xr:uid="{00000000-0005-0000-0000-0000B1150000}"/>
    <cellStyle name="Normal 10 2 11" xfId="5554" xr:uid="{00000000-0005-0000-0000-0000B2150000}"/>
    <cellStyle name="Normal 10 2 12" xfId="5555" xr:uid="{00000000-0005-0000-0000-0000B3150000}"/>
    <cellStyle name="Normal 10 2 13" xfId="5556" xr:uid="{00000000-0005-0000-0000-0000B4150000}"/>
    <cellStyle name="Normal 10 2 14" xfId="5557" xr:uid="{00000000-0005-0000-0000-0000B5150000}"/>
    <cellStyle name="Normal 10 2 15" xfId="5558" xr:uid="{00000000-0005-0000-0000-0000B6150000}"/>
    <cellStyle name="Normal 10 2 16" xfId="5559" xr:uid="{00000000-0005-0000-0000-0000B7150000}"/>
    <cellStyle name="Normal 10 2 17" xfId="5560" xr:uid="{00000000-0005-0000-0000-0000B8150000}"/>
    <cellStyle name="Normal 10 2 18" xfId="5561" xr:uid="{00000000-0005-0000-0000-0000B9150000}"/>
    <cellStyle name="Normal 10 2 19" xfId="5562" xr:uid="{00000000-0005-0000-0000-0000BA150000}"/>
    <cellStyle name="Normal 10 2 2" xfId="5563" xr:uid="{00000000-0005-0000-0000-0000BB150000}"/>
    <cellStyle name="Normal 10 2 2 2" xfId="5564" xr:uid="{00000000-0005-0000-0000-0000BC150000}"/>
    <cellStyle name="Normal 10 2 2 2 2" xfId="5565" xr:uid="{00000000-0005-0000-0000-0000BD150000}"/>
    <cellStyle name="Normal 10 2 20" xfId="5566" xr:uid="{00000000-0005-0000-0000-0000BE150000}"/>
    <cellStyle name="Normal 10 2 21" xfId="5567" xr:uid="{00000000-0005-0000-0000-0000BF150000}"/>
    <cellStyle name="Normal 10 2 22" xfId="5568" xr:uid="{00000000-0005-0000-0000-0000C0150000}"/>
    <cellStyle name="Normal 10 2 23" xfId="5569" xr:uid="{00000000-0005-0000-0000-0000C1150000}"/>
    <cellStyle name="Normal 10 2 24" xfId="5570" xr:uid="{00000000-0005-0000-0000-0000C2150000}"/>
    <cellStyle name="Normal 10 2 25" xfId="5571" xr:uid="{00000000-0005-0000-0000-0000C3150000}"/>
    <cellStyle name="Normal 10 2 26" xfId="5572" xr:uid="{00000000-0005-0000-0000-0000C4150000}"/>
    <cellStyle name="Normal 10 2 27" xfId="5573" xr:uid="{00000000-0005-0000-0000-0000C5150000}"/>
    <cellStyle name="Normal 10 2 28" xfId="5574" xr:uid="{00000000-0005-0000-0000-0000C6150000}"/>
    <cellStyle name="Normal 10 2 29" xfId="5575" xr:uid="{00000000-0005-0000-0000-0000C7150000}"/>
    <cellStyle name="Normal 10 2 3" xfId="5576" xr:uid="{00000000-0005-0000-0000-0000C8150000}"/>
    <cellStyle name="Normal 10 2 30" xfId="5577" xr:uid="{00000000-0005-0000-0000-0000C9150000}"/>
    <cellStyle name="Normal 10 2 31" xfId="5578" xr:uid="{00000000-0005-0000-0000-0000CA150000}"/>
    <cellStyle name="Normal 10 2 32" xfId="5579" xr:uid="{00000000-0005-0000-0000-0000CB150000}"/>
    <cellStyle name="Normal 10 2 33" xfId="5580" xr:uid="{00000000-0005-0000-0000-0000CC150000}"/>
    <cellStyle name="Normal 10 2 34" xfId="5581" xr:uid="{00000000-0005-0000-0000-0000CD150000}"/>
    <cellStyle name="Normal 10 2 35" xfId="5582" xr:uid="{00000000-0005-0000-0000-0000CE150000}"/>
    <cellStyle name="Normal 10 2 36" xfId="5583" xr:uid="{00000000-0005-0000-0000-0000CF150000}"/>
    <cellStyle name="Normal 10 2 37" xfId="5584" xr:uid="{00000000-0005-0000-0000-0000D0150000}"/>
    <cellStyle name="Normal 10 2 38" xfId="5585" xr:uid="{00000000-0005-0000-0000-0000D1150000}"/>
    <cellStyle name="Normal 10 2 39" xfId="5586" xr:uid="{00000000-0005-0000-0000-0000D2150000}"/>
    <cellStyle name="Normal 10 2 4" xfId="5587" xr:uid="{00000000-0005-0000-0000-0000D3150000}"/>
    <cellStyle name="Normal 10 2 40" xfId="5588" xr:uid="{00000000-0005-0000-0000-0000D4150000}"/>
    <cellStyle name="Normal 10 2 41" xfId="5589" xr:uid="{00000000-0005-0000-0000-0000D5150000}"/>
    <cellStyle name="Normal 10 2 42" xfId="5590" xr:uid="{00000000-0005-0000-0000-0000D6150000}"/>
    <cellStyle name="Normal 10 2 43" xfId="5591" xr:uid="{00000000-0005-0000-0000-0000D7150000}"/>
    <cellStyle name="Normal 10 2 44" xfId="5592" xr:uid="{00000000-0005-0000-0000-0000D8150000}"/>
    <cellStyle name="Normal 10 2 45" xfId="5593" xr:uid="{00000000-0005-0000-0000-0000D9150000}"/>
    <cellStyle name="Normal 10 2 46" xfId="5594" xr:uid="{00000000-0005-0000-0000-0000DA150000}"/>
    <cellStyle name="Normal 10 2 47" xfId="5595" xr:uid="{00000000-0005-0000-0000-0000DB150000}"/>
    <cellStyle name="Normal 10 2 48" xfId="5596" xr:uid="{00000000-0005-0000-0000-0000DC150000}"/>
    <cellStyle name="Normal 10 2 49" xfId="5597" xr:uid="{00000000-0005-0000-0000-0000DD150000}"/>
    <cellStyle name="Normal 10 2 5" xfId="5598" xr:uid="{00000000-0005-0000-0000-0000DE150000}"/>
    <cellStyle name="Normal 10 2 50" xfId="5599" xr:uid="{00000000-0005-0000-0000-0000DF150000}"/>
    <cellStyle name="Normal 10 2 51" xfId="5600" xr:uid="{00000000-0005-0000-0000-0000E0150000}"/>
    <cellStyle name="Normal 10 2 52" xfId="5601" xr:uid="{00000000-0005-0000-0000-0000E1150000}"/>
    <cellStyle name="Normal 10 2 53" xfId="5602" xr:uid="{00000000-0005-0000-0000-0000E2150000}"/>
    <cellStyle name="Normal 10 2 54" xfId="5603" xr:uid="{00000000-0005-0000-0000-0000E3150000}"/>
    <cellStyle name="Normal 10 2 55" xfId="5604" xr:uid="{00000000-0005-0000-0000-0000E4150000}"/>
    <cellStyle name="Normal 10 2 56" xfId="5605" xr:uid="{00000000-0005-0000-0000-0000E5150000}"/>
    <cellStyle name="Normal 10 2 57" xfId="5606" xr:uid="{00000000-0005-0000-0000-0000E6150000}"/>
    <cellStyle name="Normal 10 2 58" xfId="5607" xr:uid="{00000000-0005-0000-0000-0000E7150000}"/>
    <cellStyle name="Normal 10 2 59" xfId="5608" xr:uid="{00000000-0005-0000-0000-0000E8150000}"/>
    <cellStyle name="Normal 10 2 6" xfId="5609" xr:uid="{00000000-0005-0000-0000-0000E9150000}"/>
    <cellStyle name="Normal 10 2 60" xfId="5610" xr:uid="{00000000-0005-0000-0000-0000EA150000}"/>
    <cellStyle name="Normal 10 2 61" xfId="5611" xr:uid="{00000000-0005-0000-0000-0000EB150000}"/>
    <cellStyle name="Normal 10 2 62" xfId="5612" xr:uid="{00000000-0005-0000-0000-0000EC150000}"/>
    <cellStyle name="Normal 10 2 63" xfId="5613" xr:uid="{00000000-0005-0000-0000-0000ED150000}"/>
    <cellStyle name="Normal 10 2 64" xfId="5614" xr:uid="{00000000-0005-0000-0000-0000EE150000}"/>
    <cellStyle name="Normal 10 2 65" xfId="5615" xr:uid="{00000000-0005-0000-0000-0000EF150000}"/>
    <cellStyle name="Normal 10 2 66" xfId="5616" xr:uid="{00000000-0005-0000-0000-0000F0150000}"/>
    <cellStyle name="Normal 10 2 67" xfId="5617" xr:uid="{00000000-0005-0000-0000-0000F1150000}"/>
    <cellStyle name="Normal 10 2 68" xfId="5618" xr:uid="{00000000-0005-0000-0000-0000F2150000}"/>
    <cellStyle name="Normal 10 2 69" xfId="5619" xr:uid="{00000000-0005-0000-0000-0000F3150000}"/>
    <cellStyle name="Normal 10 2 7" xfId="5620" xr:uid="{00000000-0005-0000-0000-0000F4150000}"/>
    <cellStyle name="Normal 10 2 70" xfId="5621" xr:uid="{00000000-0005-0000-0000-0000F5150000}"/>
    <cellStyle name="Normal 10 2 71" xfId="5622" xr:uid="{00000000-0005-0000-0000-0000F6150000}"/>
    <cellStyle name="Normal 10 2 72" xfId="5623" xr:uid="{00000000-0005-0000-0000-0000F7150000}"/>
    <cellStyle name="Normal 10 2 73" xfId="5624" xr:uid="{00000000-0005-0000-0000-0000F8150000}"/>
    <cellStyle name="Normal 10 2 74" xfId="5625" xr:uid="{00000000-0005-0000-0000-0000F9150000}"/>
    <cellStyle name="Normal 10 2 75" xfId="5626" xr:uid="{00000000-0005-0000-0000-0000FA150000}"/>
    <cellStyle name="Normal 10 2 76" xfId="5627" xr:uid="{00000000-0005-0000-0000-0000FB150000}"/>
    <cellStyle name="Normal 10 2 77" xfId="5628" xr:uid="{00000000-0005-0000-0000-0000FC150000}"/>
    <cellStyle name="Normal 10 2 78" xfId="5629" xr:uid="{00000000-0005-0000-0000-0000FD150000}"/>
    <cellStyle name="Normal 10 2 79" xfId="5630" xr:uid="{00000000-0005-0000-0000-0000FE150000}"/>
    <cellStyle name="Normal 10 2 8" xfId="5631" xr:uid="{00000000-0005-0000-0000-0000FF150000}"/>
    <cellStyle name="Normal 10 2 9" xfId="5632" xr:uid="{00000000-0005-0000-0000-000000160000}"/>
    <cellStyle name="Normal 10 2_Enlaces" xfId="5633" xr:uid="{00000000-0005-0000-0000-000001160000}"/>
    <cellStyle name="Normal 10 20" xfId="5634" xr:uid="{00000000-0005-0000-0000-000002160000}"/>
    <cellStyle name="Normal 10 21" xfId="5635" xr:uid="{00000000-0005-0000-0000-000003160000}"/>
    <cellStyle name="Normal 10 22" xfId="5636" xr:uid="{00000000-0005-0000-0000-000004160000}"/>
    <cellStyle name="Normal 10 23" xfId="5637" xr:uid="{00000000-0005-0000-0000-000005160000}"/>
    <cellStyle name="Normal 10 24" xfId="5638" xr:uid="{00000000-0005-0000-0000-000006160000}"/>
    <cellStyle name="Normal 10 25" xfId="5639" xr:uid="{00000000-0005-0000-0000-000007160000}"/>
    <cellStyle name="Normal 10 26" xfId="5640" xr:uid="{00000000-0005-0000-0000-000008160000}"/>
    <cellStyle name="Normal 10 27" xfId="5641" xr:uid="{00000000-0005-0000-0000-000009160000}"/>
    <cellStyle name="Normal 10 28" xfId="5642" xr:uid="{00000000-0005-0000-0000-00000A160000}"/>
    <cellStyle name="Normal 10 29" xfId="5643" xr:uid="{00000000-0005-0000-0000-00000B160000}"/>
    <cellStyle name="Normal 10 3" xfId="5644" xr:uid="{00000000-0005-0000-0000-00000C160000}"/>
    <cellStyle name="Normal 10 3 2" xfId="5645" xr:uid="{00000000-0005-0000-0000-00000D160000}"/>
    <cellStyle name="Normal 10 3 3" xfId="5646" xr:uid="{00000000-0005-0000-0000-00000E160000}"/>
    <cellStyle name="Normal 10 3 4" xfId="5647" xr:uid="{00000000-0005-0000-0000-00000F160000}"/>
    <cellStyle name="Normal 10 3 4 2" xfId="5648" xr:uid="{00000000-0005-0000-0000-000010160000}"/>
    <cellStyle name="Normal 10 3 4 2 2" xfId="5649" xr:uid="{00000000-0005-0000-0000-000011160000}"/>
    <cellStyle name="Normal 10 3 4 3" xfId="5650" xr:uid="{00000000-0005-0000-0000-000012160000}"/>
    <cellStyle name="Normal 10 3 5" xfId="5651" xr:uid="{00000000-0005-0000-0000-000013160000}"/>
    <cellStyle name="Normal 10 3 6" xfId="5652" xr:uid="{00000000-0005-0000-0000-000014160000}"/>
    <cellStyle name="Normal 10 3 7" xfId="5653" xr:uid="{00000000-0005-0000-0000-000015160000}"/>
    <cellStyle name="Normal 10 3 7 2" xfId="5654" xr:uid="{00000000-0005-0000-0000-000016160000}"/>
    <cellStyle name="Normal 10 3 8" xfId="5655" xr:uid="{00000000-0005-0000-0000-000017160000}"/>
    <cellStyle name="Normal 10 3 9" xfId="5656" xr:uid="{00000000-0005-0000-0000-000018160000}"/>
    <cellStyle name="Normal 10 3_Implem" xfId="5657" xr:uid="{00000000-0005-0000-0000-000019160000}"/>
    <cellStyle name="Normal 10 30" xfId="5658" xr:uid="{00000000-0005-0000-0000-00001A160000}"/>
    <cellStyle name="Normal 10 31" xfId="5659" xr:uid="{00000000-0005-0000-0000-00001B160000}"/>
    <cellStyle name="Normal 10 32" xfId="2236" xr:uid="{00000000-0005-0000-0000-0000BC080000}"/>
    <cellStyle name="Normal 10 4" xfId="5660" xr:uid="{00000000-0005-0000-0000-00001C160000}"/>
    <cellStyle name="Normal 10 5" xfId="5661" xr:uid="{00000000-0005-0000-0000-00001D160000}"/>
    <cellStyle name="Normal 10 6" xfId="5662" xr:uid="{00000000-0005-0000-0000-00001E160000}"/>
    <cellStyle name="Normal 10 7" xfId="5663" xr:uid="{00000000-0005-0000-0000-00001F160000}"/>
    <cellStyle name="Normal 10 8" xfId="5664" xr:uid="{00000000-0005-0000-0000-000020160000}"/>
    <cellStyle name="Normal 10 9" xfId="5665" xr:uid="{00000000-0005-0000-0000-000021160000}"/>
    <cellStyle name="Normal 100" xfId="5666" xr:uid="{00000000-0005-0000-0000-000022160000}"/>
    <cellStyle name="Normal 100 2" xfId="5667" xr:uid="{00000000-0005-0000-0000-000023160000}"/>
    <cellStyle name="Normal 100 3" xfId="5668" xr:uid="{00000000-0005-0000-0000-000024160000}"/>
    <cellStyle name="Normal 101" xfId="5669" xr:uid="{00000000-0005-0000-0000-000025160000}"/>
    <cellStyle name="Normal 101 2" xfId="5670" xr:uid="{00000000-0005-0000-0000-000026160000}"/>
    <cellStyle name="Normal 101 3" xfId="5671" xr:uid="{00000000-0005-0000-0000-000027160000}"/>
    <cellStyle name="Normal 102" xfId="5672" xr:uid="{00000000-0005-0000-0000-000028160000}"/>
    <cellStyle name="Normal 102 2" xfId="5673" xr:uid="{00000000-0005-0000-0000-000029160000}"/>
    <cellStyle name="Normal 102 3" xfId="5674" xr:uid="{00000000-0005-0000-0000-00002A160000}"/>
    <cellStyle name="Normal 103" xfId="5675" xr:uid="{00000000-0005-0000-0000-00002B160000}"/>
    <cellStyle name="Normal 103 2" xfId="5676" xr:uid="{00000000-0005-0000-0000-00002C160000}"/>
    <cellStyle name="Normal 104" xfId="5677" xr:uid="{00000000-0005-0000-0000-00002D160000}"/>
    <cellStyle name="Normal 104 2" xfId="5678" xr:uid="{00000000-0005-0000-0000-00002E160000}"/>
    <cellStyle name="Normal 105" xfId="5679" xr:uid="{00000000-0005-0000-0000-00002F160000}"/>
    <cellStyle name="Normal 105 2" xfId="5680" xr:uid="{00000000-0005-0000-0000-000030160000}"/>
    <cellStyle name="Normal 106" xfId="5681" xr:uid="{00000000-0005-0000-0000-000031160000}"/>
    <cellStyle name="Normal 106 2" xfId="5682" xr:uid="{00000000-0005-0000-0000-000032160000}"/>
    <cellStyle name="Normal 107" xfId="5683" xr:uid="{00000000-0005-0000-0000-000033160000}"/>
    <cellStyle name="Normal 107 2" xfId="5684" xr:uid="{00000000-0005-0000-0000-000034160000}"/>
    <cellStyle name="Normal 108" xfId="5685" xr:uid="{00000000-0005-0000-0000-000035160000}"/>
    <cellStyle name="Normal 108 2" xfId="5686" xr:uid="{00000000-0005-0000-0000-000036160000}"/>
    <cellStyle name="Normal 109" xfId="5687" xr:uid="{00000000-0005-0000-0000-000037160000}"/>
    <cellStyle name="Normal 109 2" xfId="5688" xr:uid="{00000000-0005-0000-0000-000038160000}"/>
    <cellStyle name="Normal 11" xfId="69" xr:uid="{00000000-0005-0000-0000-000045000000}"/>
    <cellStyle name="Normal 11 10" xfId="5690" xr:uid="{00000000-0005-0000-0000-00003A160000}"/>
    <cellStyle name="Normal 11 11" xfId="5691" xr:uid="{00000000-0005-0000-0000-00003B160000}"/>
    <cellStyle name="Normal 11 12" xfId="5692" xr:uid="{00000000-0005-0000-0000-00003C160000}"/>
    <cellStyle name="Normal 11 13" xfId="5693" xr:uid="{00000000-0005-0000-0000-00003D160000}"/>
    <cellStyle name="Normal 11 14" xfId="5694" xr:uid="{00000000-0005-0000-0000-00003E160000}"/>
    <cellStyle name="Normal 11 15" xfId="5695" xr:uid="{00000000-0005-0000-0000-00003F160000}"/>
    <cellStyle name="Normal 11 16" xfId="5696" xr:uid="{00000000-0005-0000-0000-000040160000}"/>
    <cellStyle name="Normal 11 17" xfId="5697" xr:uid="{00000000-0005-0000-0000-000041160000}"/>
    <cellStyle name="Normal 11 18" xfId="5698" xr:uid="{00000000-0005-0000-0000-000042160000}"/>
    <cellStyle name="Normal 11 19" xfId="5699" xr:uid="{00000000-0005-0000-0000-000043160000}"/>
    <cellStyle name="Normal 11 2" xfId="5700" xr:uid="{00000000-0005-0000-0000-000044160000}"/>
    <cellStyle name="Normal 11 2 2" xfId="5701" xr:uid="{00000000-0005-0000-0000-000045160000}"/>
    <cellStyle name="Normal 11 2 3" xfId="5702" xr:uid="{00000000-0005-0000-0000-000046160000}"/>
    <cellStyle name="Normal 11 20" xfId="5703" xr:uid="{00000000-0005-0000-0000-000047160000}"/>
    <cellStyle name="Normal 11 21" xfId="5704" xr:uid="{00000000-0005-0000-0000-000048160000}"/>
    <cellStyle name="Normal 11 22" xfId="5705" xr:uid="{00000000-0005-0000-0000-000049160000}"/>
    <cellStyle name="Normal 11 23" xfId="5706" xr:uid="{00000000-0005-0000-0000-00004A160000}"/>
    <cellStyle name="Normal 11 24" xfId="5707" xr:uid="{00000000-0005-0000-0000-00004B160000}"/>
    <cellStyle name="Normal 11 25" xfId="5708" xr:uid="{00000000-0005-0000-0000-00004C160000}"/>
    <cellStyle name="Normal 11 26" xfId="5689" xr:uid="{00000000-0005-0000-0000-000039160000}"/>
    <cellStyle name="Normal 11 3" xfId="5709" xr:uid="{00000000-0005-0000-0000-00004D160000}"/>
    <cellStyle name="Normal 11 3 2" xfId="5710" xr:uid="{00000000-0005-0000-0000-00004E160000}"/>
    <cellStyle name="Normal 11 3 3" xfId="5711" xr:uid="{00000000-0005-0000-0000-00004F160000}"/>
    <cellStyle name="Normal 11 4" xfId="5712" xr:uid="{00000000-0005-0000-0000-000050160000}"/>
    <cellStyle name="Normal 11 5" xfId="5713" xr:uid="{00000000-0005-0000-0000-000051160000}"/>
    <cellStyle name="Normal 11 6" xfId="5714" xr:uid="{00000000-0005-0000-0000-000052160000}"/>
    <cellStyle name="Normal 11 7" xfId="5715" xr:uid="{00000000-0005-0000-0000-000053160000}"/>
    <cellStyle name="Normal 11 8" xfId="5716" xr:uid="{00000000-0005-0000-0000-000054160000}"/>
    <cellStyle name="Normal 11 9" xfId="5717" xr:uid="{00000000-0005-0000-0000-000055160000}"/>
    <cellStyle name="Normal 110" xfId="5718" xr:uid="{00000000-0005-0000-0000-000056160000}"/>
    <cellStyle name="Normal 110 2" xfId="5719" xr:uid="{00000000-0005-0000-0000-000057160000}"/>
    <cellStyle name="Normal 111" xfId="5720" xr:uid="{00000000-0005-0000-0000-000058160000}"/>
    <cellStyle name="Normal 111 2" xfId="5721" xr:uid="{00000000-0005-0000-0000-000059160000}"/>
    <cellStyle name="Normal 112" xfId="5722" xr:uid="{00000000-0005-0000-0000-00005A160000}"/>
    <cellStyle name="Normal 112 2" xfId="5723" xr:uid="{00000000-0005-0000-0000-00005B160000}"/>
    <cellStyle name="Normal 113" xfId="5724" xr:uid="{00000000-0005-0000-0000-00005C160000}"/>
    <cellStyle name="Normal 113 2" xfId="5725" xr:uid="{00000000-0005-0000-0000-00005D160000}"/>
    <cellStyle name="Normal 114" xfId="5726" xr:uid="{00000000-0005-0000-0000-00005E160000}"/>
    <cellStyle name="Normal 114 2" xfId="5727" xr:uid="{00000000-0005-0000-0000-00005F160000}"/>
    <cellStyle name="Normal 115" xfId="5728" xr:uid="{00000000-0005-0000-0000-000060160000}"/>
    <cellStyle name="Normal 115 2" xfId="5729" xr:uid="{00000000-0005-0000-0000-000061160000}"/>
    <cellStyle name="Normal 116" xfId="5730" xr:uid="{00000000-0005-0000-0000-000062160000}"/>
    <cellStyle name="Normal 116 2" xfId="5731" xr:uid="{00000000-0005-0000-0000-000063160000}"/>
    <cellStyle name="Normal 117" xfId="5732" xr:uid="{00000000-0005-0000-0000-000064160000}"/>
    <cellStyle name="Normal 117 2" xfId="5733" xr:uid="{00000000-0005-0000-0000-000065160000}"/>
    <cellStyle name="Normal 118" xfId="5734" xr:uid="{00000000-0005-0000-0000-000066160000}"/>
    <cellStyle name="Normal 118 2" xfId="5735" xr:uid="{00000000-0005-0000-0000-000067160000}"/>
    <cellStyle name="Normal 119" xfId="5736" xr:uid="{00000000-0005-0000-0000-000068160000}"/>
    <cellStyle name="Normal 119 2" xfId="5737" xr:uid="{00000000-0005-0000-0000-000069160000}"/>
    <cellStyle name="Normal 12" xfId="71" xr:uid="{00000000-0005-0000-0000-000047000000}"/>
    <cellStyle name="Normal 12 10" xfId="5739" xr:uid="{00000000-0005-0000-0000-00006B160000}"/>
    <cellStyle name="Normal 12 11" xfId="5740" xr:uid="{00000000-0005-0000-0000-00006C160000}"/>
    <cellStyle name="Normal 12 12" xfId="5741" xr:uid="{00000000-0005-0000-0000-00006D160000}"/>
    <cellStyle name="Normal 12 13" xfId="5742" xr:uid="{00000000-0005-0000-0000-00006E160000}"/>
    <cellStyle name="Normal 12 14" xfId="5743" xr:uid="{00000000-0005-0000-0000-00006F160000}"/>
    <cellStyle name="Normal 12 15" xfId="5744" xr:uid="{00000000-0005-0000-0000-000070160000}"/>
    <cellStyle name="Normal 12 16" xfId="5745" xr:uid="{00000000-0005-0000-0000-000071160000}"/>
    <cellStyle name="Normal 12 17" xfId="5746" xr:uid="{00000000-0005-0000-0000-000072160000}"/>
    <cellStyle name="Normal 12 18" xfId="5747" xr:uid="{00000000-0005-0000-0000-000073160000}"/>
    <cellStyle name="Normal 12 19" xfId="5748" xr:uid="{00000000-0005-0000-0000-000074160000}"/>
    <cellStyle name="Normal 12 2" xfId="5749" xr:uid="{00000000-0005-0000-0000-000075160000}"/>
    <cellStyle name="Normal 12 2 2" xfId="5750" xr:uid="{00000000-0005-0000-0000-000076160000}"/>
    <cellStyle name="Normal 12 2 3" xfId="5751" xr:uid="{00000000-0005-0000-0000-000077160000}"/>
    <cellStyle name="Normal 12 20" xfId="5752" xr:uid="{00000000-0005-0000-0000-000078160000}"/>
    <cellStyle name="Normal 12 21" xfId="5753" xr:uid="{00000000-0005-0000-0000-000079160000}"/>
    <cellStyle name="Normal 12 22" xfId="5754" xr:uid="{00000000-0005-0000-0000-00007A160000}"/>
    <cellStyle name="Normal 12 23" xfId="5755" xr:uid="{00000000-0005-0000-0000-00007B160000}"/>
    <cellStyle name="Normal 12 24" xfId="5756" xr:uid="{00000000-0005-0000-0000-00007C160000}"/>
    <cellStyle name="Normal 12 25" xfId="5757" xr:uid="{00000000-0005-0000-0000-00007D160000}"/>
    <cellStyle name="Normal 12 26" xfId="5738" xr:uid="{00000000-0005-0000-0000-00006A160000}"/>
    <cellStyle name="Normal 12 3" xfId="5758" xr:uid="{00000000-0005-0000-0000-00007E160000}"/>
    <cellStyle name="Normal 12 3 2" xfId="5759" xr:uid="{00000000-0005-0000-0000-00007F160000}"/>
    <cellStyle name="Normal 12 3 3" xfId="5760" xr:uid="{00000000-0005-0000-0000-000080160000}"/>
    <cellStyle name="Normal 12 4" xfId="5761" xr:uid="{00000000-0005-0000-0000-000081160000}"/>
    <cellStyle name="Normal 12 5" xfId="5762" xr:uid="{00000000-0005-0000-0000-000082160000}"/>
    <cellStyle name="Normal 12 6" xfId="5763" xr:uid="{00000000-0005-0000-0000-000083160000}"/>
    <cellStyle name="Normal 12 7" xfId="5764" xr:uid="{00000000-0005-0000-0000-000084160000}"/>
    <cellStyle name="Normal 12 8" xfId="5765" xr:uid="{00000000-0005-0000-0000-000085160000}"/>
    <cellStyle name="Normal 12 9" xfId="5766" xr:uid="{00000000-0005-0000-0000-000086160000}"/>
    <cellStyle name="Normal 120" xfId="5767" xr:uid="{00000000-0005-0000-0000-000087160000}"/>
    <cellStyle name="Normal 120 2" xfId="5768" xr:uid="{00000000-0005-0000-0000-000088160000}"/>
    <cellStyle name="Normal 121" xfId="5769" xr:uid="{00000000-0005-0000-0000-000089160000}"/>
    <cellStyle name="Normal 121 2" xfId="5770" xr:uid="{00000000-0005-0000-0000-00008A160000}"/>
    <cellStyle name="Normal 122" xfId="5771" xr:uid="{00000000-0005-0000-0000-00008B160000}"/>
    <cellStyle name="Normal 122 2" xfId="5772" xr:uid="{00000000-0005-0000-0000-00008C160000}"/>
    <cellStyle name="Normal 123" xfId="5773" xr:uid="{00000000-0005-0000-0000-00008D160000}"/>
    <cellStyle name="Normal 123 2" xfId="5774" xr:uid="{00000000-0005-0000-0000-00008E160000}"/>
    <cellStyle name="Normal 124" xfId="5775" xr:uid="{00000000-0005-0000-0000-00008F160000}"/>
    <cellStyle name="Normal 124 2" xfId="5776" xr:uid="{00000000-0005-0000-0000-000090160000}"/>
    <cellStyle name="Normal 125" xfId="5777" xr:uid="{00000000-0005-0000-0000-000091160000}"/>
    <cellStyle name="Normal 125 2" xfId="5778" xr:uid="{00000000-0005-0000-0000-000092160000}"/>
    <cellStyle name="Normal 126" xfId="5779" xr:uid="{00000000-0005-0000-0000-000093160000}"/>
    <cellStyle name="Normal 126 2" xfId="5780" xr:uid="{00000000-0005-0000-0000-000094160000}"/>
    <cellStyle name="Normal 127" xfId="5781" xr:uid="{00000000-0005-0000-0000-000095160000}"/>
    <cellStyle name="Normal 127 2" xfId="5782" xr:uid="{00000000-0005-0000-0000-000096160000}"/>
    <cellStyle name="Normal 128" xfId="5783" xr:uid="{00000000-0005-0000-0000-000097160000}"/>
    <cellStyle name="Normal 128 2" xfId="5784" xr:uid="{00000000-0005-0000-0000-000098160000}"/>
    <cellStyle name="Normal 129" xfId="5785" xr:uid="{00000000-0005-0000-0000-000099160000}"/>
    <cellStyle name="Normal 129 2" xfId="5786" xr:uid="{00000000-0005-0000-0000-00009A160000}"/>
    <cellStyle name="Normal 13" xfId="78" xr:uid="{00000000-0005-0000-0000-00004E000000}"/>
    <cellStyle name="Normal 13 10" xfId="5788" xr:uid="{00000000-0005-0000-0000-00009C160000}"/>
    <cellStyle name="Normal 13 11" xfId="5789" xr:uid="{00000000-0005-0000-0000-00009D160000}"/>
    <cellStyle name="Normal 13 12" xfId="5790" xr:uid="{00000000-0005-0000-0000-00009E160000}"/>
    <cellStyle name="Normal 13 13" xfId="5791" xr:uid="{00000000-0005-0000-0000-00009F160000}"/>
    <cellStyle name="Normal 13 14" xfId="5792" xr:uid="{00000000-0005-0000-0000-0000A0160000}"/>
    <cellStyle name="Normal 13 15" xfId="5793" xr:uid="{00000000-0005-0000-0000-0000A1160000}"/>
    <cellStyle name="Normal 13 16" xfId="5794" xr:uid="{00000000-0005-0000-0000-0000A2160000}"/>
    <cellStyle name="Normal 13 17" xfId="5795" xr:uid="{00000000-0005-0000-0000-0000A3160000}"/>
    <cellStyle name="Normal 13 18" xfId="5796" xr:uid="{00000000-0005-0000-0000-0000A4160000}"/>
    <cellStyle name="Normal 13 19" xfId="5797" xr:uid="{00000000-0005-0000-0000-0000A5160000}"/>
    <cellStyle name="Normal 13 2" xfId="5798" xr:uid="{00000000-0005-0000-0000-0000A6160000}"/>
    <cellStyle name="Normal 13 2 2" xfId="5799" xr:uid="{00000000-0005-0000-0000-0000A7160000}"/>
    <cellStyle name="Normal 13 2 3" xfId="5800" xr:uid="{00000000-0005-0000-0000-0000A8160000}"/>
    <cellStyle name="Normal 13 20" xfId="5801" xr:uid="{00000000-0005-0000-0000-0000A9160000}"/>
    <cellStyle name="Normal 13 21" xfId="5802" xr:uid="{00000000-0005-0000-0000-0000AA160000}"/>
    <cellStyle name="Normal 13 22" xfId="5803" xr:uid="{00000000-0005-0000-0000-0000AB160000}"/>
    <cellStyle name="Normal 13 23" xfId="5804" xr:uid="{00000000-0005-0000-0000-0000AC160000}"/>
    <cellStyle name="Normal 13 24" xfId="5805" xr:uid="{00000000-0005-0000-0000-0000AD160000}"/>
    <cellStyle name="Normal 13 25" xfId="5806" xr:uid="{00000000-0005-0000-0000-0000AE160000}"/>
    <cellStyle name="Normal 13 26" xfId="5807" xr:uid="{00000000-0005-0000-0000-0000AF160000}"/>
    <cellStyle name="Normal 13 27" xfId="5787" xr:uid="{00000000-0005-0000-0000-00009B160000}"/>
    <cellStyle name="Normal 13 3" xfId="5808" xr:uid="{00000000-0005-0000-0000-0000B0160000}"/>
    <cellStyle name="Normal 13 3 2" xfId="5809" xr:uid="{00000000-0005-0000-0000-0000B1160000}"/>
    <cellStyle name="Normal 13 3 3" xfId="5810" xr:uid="{00000000-0005-0000-0000-0000B2160000}"/>
    <cellStyle name="Normal 13 4" xfId="5811" xr:uid="{00000000-0005-0000-0000-0000B3160000}"/>
    <cellStyle name="Normal 13 5" xfId="5812" xr:uid="{00000000-0005-0000-0000-0000B4160000}"/>
    <cellStyle name="Normal 13 6" xfId="5813" xr:uid="{00000000-0005-0000-0000-0000B5160000}"/>
    <cellStyle name="Normal 13 7" xfId="5814" xr:uid="{00000000-0005-0000-0000-0000B6160000}"/>
    <cellStyle name="Normal 13 8" xfId="5815" xr:uid="{00000000-0005-0000-0000-0000B7160000}"/>
    <cellStyle name="Normal 13 9" xfId="5816" xr:uid="{00000000-0005-0000-0000-0000B8160000}"/>
    <cellStyle name="Normal 130" xfId="5817" xr:uid="{00000000-0005-0000-0000-0000B9160000}"/>
    <cellStyle name="Normal 130 2" xfId="5818" xr:uid="{00000000-0005-0000-0000-0000BA160000}"/>
    <cellStyle name="Normal 131" xfId="5819" xr:uid="{00000000-0005-0000-0000-0000BB160000}"/>
    <cellStyle name="Normal 131 2" xfId="5820" xr:uid="{00000000-0005-0000-0000-0000BC160000}"/>
    <cellStyle name="Normal 132" xfId="5821" xr:uid="{00000000-0005-0000-0000-0000BD160000}"/>
    <cellStyle name="Normal 132 2" xfId="5822" xr:uid="{00000000-0005-0000-0000-0000BE160000}"/>
    <cellStyle name="Normal 133" xfId="5823" xr:uid="{00000000-0005-0000-0000-0000BF160000}"/>
    <cellStyle name="Normal 133 2" xfId="5824" xr:uid="{00000000-0005-0000-0000-0000C0160000}"/>
    <cellStyle name="Normal 134" xfId="5825" xr:uid="{00000000-0005-0000-0000-0000C1160000}"/>
    <cellStyle name="Normal 134 2" xfId="5826" xr:uid="{00000000-0005-0000-0000-0000C2160000}"/>
    <cellStyle name="Normal 135" xfId="5827" xr:uid="{00000000-0005-0000-0000-0000C3160000}"/>
    <cellStyle name="Normal 135 2" xfId="5828" xr:uid="{00000000-0005-0000-0000-0000C4160000}"/>
    <cellStyle name="Normal 136" xfId="5829" xr:uid="{00000000-0005-0000-0000-0000C5160000}"/>
    <cellStyle name="Normal 136 2" xfId="5830" xr:uid="{00000000-0005-0000-0000-0000C6160000}"/>
    <cellStyle name="Normal 137" xfId="5831" xr:uid="{00000000-0005-0000-0000-0000C7160000}"/>
    <cellStyle name="Normal 137 2" xfId="5832" xr:uid="{00000000-0005-0000-0000-0000C8160000}"/>
    <cellStyle name="Normal 138" xfId="5833" xr:uid="{00000000-0005-0000-0000-0000C9160000}"/>
    <cellStyle name="Normal 138 2" xfId="5834" xr:uid="{00000000-0005-0000-0000-0000CA160000}"/>
    <cellStyle name="Normal 139" xfId="5835" xr:uid="{00000000-0005-0000-0000-0000CB160000}"/>
    <cellStyle name="Normal 139 2" xfId="5836" xr:uid="{00000000-0005-0000-0000-0000CC160000}"/>
    <cellStyle name="Normal 14" xfId="5837" xr:uid="{00000000-0005-0000-0000-0000CD160000}"/>
    <cellStyle name="Normal 14 2" xfId="5838" xr:uid="{00000000-0005-0000-0000-0000CE160000}"/>
    <cellStyle name="Normal 14 3" xfId="5839" xr:uid="{00000000-0005-0000-0000-0000CF160000}"/>
    <cellStyle name="Normal 14 3 2" xfId="5840" xr:uid="{00000000-0005-0000-0000-0000D0160000}"/>
    <cellStyle name="Normal 14 4" xfId="5841" xr:uid="{00000000-0005-0000-0000-0000D1160000}"/>
    <cellStyle name="Normal 14 5" xfId="5842" xr:uid="{00000000-0005-0000-0000-0000D2160000}"/>
    <cellStyle name="Normal 140" xfId="5843" xr:uid="{00000000-0005-0000-0000-0000D3160000}"/>
    <cellStyle name="Normal 140 2" xfId="5844" xr:uid="{00000000-0005-0000-0000-0000D4160000}"/>
    <cellStyle name="Normal 141" xfId="5845" xr:uid="{00000000-0005-0000-0000-0000D5160000}"/>
    <cellStyle name="Normal 141 2" xfId="5846" xr:uid="{00000000-0005-0000-0000-0000D6160000}"/>
    <cellStyle name="Normal 142" xfId="5847" xr:uid="{00000000-0005-0000-0000-0000D7160000}"/>
    <cellStyle name="Normal 142 2" xfId="5848" xr:uid="{00000000-0005-0000-0000-0000D8160000}"/>
    <cellStyle name="Normal 143" xfId="5849" xr:uid="{00000000-0005-0000-0000-0000D9160000}"/>
    <cellStyle name="Normal 143 2" xfId="5850" xr:uid="{00000000-0005-0000-0000-0000DA160000}"/>
    <cellStyle name="Normal 144" xfId="5851" xr:uid="{00000000-0005-0000-0000-0000DB160000}"/>
    <cellStyle name="Normal 144 2" xfId="5852" xr:uid="{00000000-0005-0000-0000-0000DC160000}"/>
    <cellStyle name="Normal 145" xfId="5853" xr:uid="{00000000-0005-0000-0000-0000DD160000}"/>
    <cellStyle name="Normal 145 2" xfId="5854" xr:uid="{00000000-0005-0000-0000-0000DE160000}"/>
    <cellStyle name="Normal 146" xfId="5855" xr:uid="{00000000-0005-0000-0000-0000DF160000}"/>
    <cellStyle name="Normal 146 2" xfId="5856" xr:uid="{00000000-0005-0000-0000-0000E0160000}"/>
    <cellStyle name="Normal 147" xfId="5857" xr:uid="{00000000-0005-0000-0000-0000E1160000}"/>
    <cellStyle name="Normal 147 2" xfId="5858" xr:uid="{00000000-0005-0000-0000-0000E2160000}"/>
    <cellStyle name="Normal 148" xfId="5859" xr:uid="{00000000-0005-0000-0000-0000E3160000}"/>
    <cellStyle name="Normal 148 2" xfId="5860" xr:uid="{00000000-0005-0000-0000-0000E4160000}"/>
    <cellStyle name="Normal 149" xfId="5861" xr:uid="{00000000-0005-0000-0000-0000E5160000}"/>
    <cellStyle name="Normal 149 2" xfId="5862" xr:uid="{00000000-0005-0000-0000-0000E6160000}"/>
    <cellStyle name="Normal 15" xfId="17" xr:uid="{00000000-0005-0000-0000-000011000000}"/>
    <cellStyle name="Normal 15 10" xfId="5863" xr:uid="{00000000-0005-0000-0000-0000E7160000}"/>
    <cellStyle name="Normal 15 11" xfId="5864" xr:uid="{00000000-0005-0000-0000-0000E8160000}"/>
    <cellStyle name="Normal 15 12" xfId="5865" xr:uid="{00000000-0005-0000-0000-0000E9160000}"/>
    <cellStyle name="Normal 15 13" xfId="5866" xr:uid="{00000000-0005-0000-0000-0000EA160000}"/>
    <cellStyle name="Normal 15 14" xfId="5867" xr:uid="{00000000-0005-0000-0000-0000EB160000}"/>
    <cellStyle name="Normal 15 15" xfId="5868" xr:uid="{00000000-0005-0000-0000-0000EC160000}"/>
    <cellStyle name="Normal 15 16" xfId="5869" xr:uid="{00000000-0005-0000-0000-0000ED160000}"/>
    <cellStyle name="Normal 15 17" xfId="5870" xr:uid="{00000000-0005-0000-0000-0000EE160000}"/>
    <cellStyle name="Normal 15 18" xfId="5871" xr:uid="{00000000-0005-0000-0000-0000EF160000}"/>
    <cellStyle name="Normal 15 19" xfId="5872" xr:uid="{00000000-0005-0000-0000-0000F0160000}"/>
    <cellStyle name="Normal 15 2" xfId="5873" xr:uid="{00000000-0005-0000-0000-0000F1160000}"/>
    <cellStyle name="Normal 15 2 2" xfId="5874" xr:uid="{00000000-0005-0000-0000-0000F2160000}"/>
    <cellStyle name="Normal 15 2 3" xfId="5875" xr:uid="{00000000-0005-0000-0000-0000F3160000}"/>
    <cellStyle name="Normal 15 20" xfId="5876" xr:uid="{00000000-0005-0000-0000-0000F4160000}"/>
    <cellStyle name="Normal 15 21" xfId="5877" xr:uid="{00000000-0005-0000-0000-0000F5160000}"/>
    <cellStyle name="Normal 15 22" xfId="5878" xr:uid="{00000000-0005-0000-0000-0000F6160000}"/>
    <cellStyle name="Normal 15 23" xfId="5879" xr:uid="{00000000-0005-0000-0000-0000F7160000}"/>
    <cellStyle name="Normal 15 24" xfId="5880" xr:uid="{00000000-0005-0000-0000-0000F8160000}"/>
    <cellStyle name="Normal 15 25" xfId="5881" xr:uid="{00000000-0005-0000-0000-0000F9160000}"/>
    <cellStyle name="Normal 15 3" xfId="5882" xr:uid="{00000000-0005-0000-0000-0000FA160000}"/>
    <cellStyle name="Normal 15 3 2" xfId="5883" xr:uid="{00000000-0005-0000-0000-0000FB160000}"/>
    <cellStyle name="Normal 15 3 3" xfId="5884" xr:uid="{00000000-0005-0000-0000-0000FC160000}"/>
    <cellStyle name="Normal 15 4" xfId="5885" xr:uid="{00000000-0005-0000-0000-0000FD160000}"/>
    <cellStyle name="Normal 15 5" xfId="5886" xr:uid="{00000000-0005-0000-0000-0000FE160000}"/>
    <cellStyle name="Normal 15 6" xfId="5887" xr:uid="{00000000-0005-0000-0000-0000FF160000}"/>
    <cellStyle name="Normal 15 7" xfId="5888" xr:uid="{00000000-0005-0000-0000-000000170000}"/>
    <cellStyle name="Normal 15 8" xfId="5889" xr:uid="{00000000-0005-0000-0000-000001170000}"/>
    <cellStyle name="Normal 15 9" xfId="5890" xr:uid="{00000000-0005-0000-0000-000002170000}"/>
    <cellStyle name="Normal 150" xfId="5891" xr:uid="{00000000-0005-0000-0000-000003170000}"/>
    <cellStyle name="Normal 150 2" xfId="5892" xr:uid="{00000000-0005-0000-0000-000004170000}"/>
    <cellStyle name="Normal 151" xfId="5893" xr:uid="{00000000-0005-0000-0000-000005170000}"/>
    <cellStyle name="Normal 151 2" xfId="5894" xr:uid="{00000000-0005-0000-0000-000006170000}"/>
    <cellStyle name="Normal 152" xfId="5895" xr:uid="{00000000-0005-0000-0000-000007170000}"/>
    <cellStyle name="Normal 152 2" xfId="5896" xr:uid="{00000000-0005-0000-0000-000008170000}"/>
    <cellStyle name="Normal 153" xfId="5897" xr:uid="{00000000-0005-0000-0000-000009170000}"/>
    <cellStyle name="Normal 153 2" xfId="5898" xr:uid="{00000000-0005-0000-0000-00000A170000}"/>
    <cellStyle name="Normal 154" xfId="5899" xr:uid="{00000000-0005-0000-0000-00000B170000}"/>
    <cellStyle name="Normal 154 2" xfId="5900" xr:uid="{00000000-0005-0000-0000-00000C170000}"/>
    <cellStyle name="Normal 155" xfId="5901" xr:uid="{00000000-0005-0000-0000-00000D170000}"/>
    <cellStyle name="Normal 155 2" xfId="5902" xr:uid="{00000000-0005-0000-0000-00000E170000}"/>
    <cellStyle name="Normal 156" xfId="5903" xr:uid="{00000000-0005-0000-0000-00000F170000}"/>
    <cellStyle name="Normal 156 2" xfId="5904" xr:uid="{00000000-0005-0000-0000-000010170000}"/>
    <cellStyle name="Normal 157" xfId="5905" xr:uid="{00000000-0005-0000-0000-000011170000}"/>
    <cellStyle name="Normal 157 2" xfId="5906" xr:uid="{00000000-0005-0000-0000-000012170000}"/>
    <cellStyle name="Normal 158" xfId="5907" xr:uid="{00000000-0005-0000-0000-000013170000}"/>
    <cellStyle name="Normal 158 2" xfId="5908" xr:uid="{00000000-0005-0000-0000-000014170000}"/>
    <cellStyle name="Normal 159" xfId="5909" xr:uid="{00000000-0005-0000-0000-000015170000}"/>
    <cellStyle name="Normal 159 2" xfId="5910" xr:uid="{00000000-0005-0000-0000-000016170000}"/>
    <cellStyle name="Normal 16" xfId="5911" xr:uid="{00000000-0005-0000-0000-000017170000}"/>
    <cellStyle name="Normal 16 10" xfId="5912" xr:uid="{00000000-0005-0000-0000-000018170000}"/>
    <cellStyle name="Normal 16 11" xfId="5913" xr:uid="{00000000-0005-0000-0000-000019170000}"/>
    <cellStyle name="Normal 16 12" xfId="5914" xr:uid="{00000000-0005-0000-0000-00001A170000}"/>
    <cellStyle name="Normal 16 13" xfId="5915" xr:uid="{00000000-0005-0000-0000-00001B170000}"/>
    <cellStyle name="Normal 16 14" xfId="5916" xr:uid="{00000000-0005-0000-0000-00001C170000}"/>
    <cellStyle name="Normal 16 15" xfId="5917" xr:uid="{00000000-0005-0000-0000-00001D170000}"/>
    <cellStyle name="Normal 16 16" xfId="5918" xr:uid="{00000000-0005-0000-0000-00001E170000}"/>
    <cellStyle name="Normal 16 17" xfId="5919" xr:uid="{00000000-0005-0000-0000-00001F170000}"/>
    <cellStyle name="Normal 16 18" xfId="5920" xr:uid="{00000000-0005-0000-0000-000020170000}"/>
    <cellStyle name="Normal 16 19" xfId="5921" xr:uid="{00000000-0005-0000-0000-000021170000}"/>
    <cellStyle name="Normal 16 2" xfId="5922" xr:uid="{00000000-0005-0000-0000-000022170000}"/>
    <cellStyle name="Normal 16 2 2" xfId="5923" xr:uid="{00000000-0005-0000-0000-000023170000}"/>
    <cellStyle name="Normal 16 2 3" xfId="5924" xr:uid="{00000000-0005-0000-0000-000024170000}"/>
    <cellStyle name="Normal 16 20" xfId="5925" xr:uid="{00000000-0005-0000-0000-000025170000}"/>
    <cellStyle name="Normal 16 21" xfId="5926" xr:uid="{00000000-0005-0000-0000-000026170000}"/>
    <cellStyle name="Normal 16 22" xfId="5927" xr:uid="{00000000-0005-0000-0000-000027170000}"/>
    <cellStyle name="Normal 16 23" xfId="5928" xr:uid="{00000000-0005-0000-0000-000028170000}"/>
    <cellStyle name="Normal 16 24" xfId="5929" xr:uid="{00000000-0005-0000-0000-000029170000}"/>
    <cellStyle name="Normal 16 25" xfId="5930" xr:uid="{00000000-0005-0000-0000-00002A170000}"/>
    <cellStyle name="Normal 16 26" xfId="5931" xr:uid="{00000000-0005-0000-0000-00002B170000}"/>
    <cellStyle name="Normal 16 3" xfId="5932" xr:uid="{00000000-0005-0000-0000-00002C170000}"/>
    <cellStyle name="Normal 16 3 2" xfId="5933" xr:uid="{00000000-0005-0000-0000-00002D170000}"/>
    <cellStyle name="Normal 16 3 3" xfId="5934" xr:uid="{00000000-0005-0000-0000-00002E170000}"/>
    <cellStyle name="Normal 16 4" xfId="5935" xr:uid="{00000000-0005-0000-0000-00002F170000}"/>
    <cellStyle name="Normal 16 5" xfId="5936" xr:uid="{00000000-0005-0000-0000-000030170000}"/>
    <cellStyle name="Normal 16 6" xfId="5937" xr:uid="{00000000-0005-0000-0000-000031170000}"/>
    <cellStyle name="Normal 16 7" xfId="5938" xr:uid="{00000000-0005-0000-0000-000032170000}"/>
    <cellStyle name="Normal 16 8" xfId="5939" xr:uid="{00000000-0005-0000-0000-000033170000}"/>
    <cellStyle name="Normal 16 9" xfId="5940" xr:uid="{00000000-0005-0000-0000-000034170000}"/>
    <cellStyle name="Normal 160" xfId="5941" xr:uid="{00000000-0005-0000-0000-000035170000}"/>
    <cellStyle name="Normal 160 2" xfId="5942" xr:uid="{00000000-0005-0000-0000-000036170000}"/>
    <cellStyle name="Normal 161" xfId="5943" xr:uid="{00000000-0005-0000-0000-000037170000}"/>
    <cellStyle name="Normal 161 2" xfId="5944" xr:uid="{00000000-0005-0000-0000-000038170000}"/>
    <cellStyle name="Normal 162" xfId="5945" xr:uid="{00000000-0005-0000-0000-000039170000}"/>
    <cellStyle name="Normal 162 2" xfId="5946" xr:uid="{00000000-0005-0000-0000-00003A170000}"/>
    <cellStyle name="Normal 163" xfId="5947" xr:uid="{00000000-0005-0000-0000-00003B170000}"/>
    <cellStyle name="Normal 163 2" xfId="5948" xr:uid="{00000000-0005-0000-0000-00003C170000}"/>
    <cellStyle name="Normal 164" xfId="5949" xr:uid="{00000000-0005-0000-0000-00003D170000}"/>
    <cellStyle name="Normal 164 2" xfId="5950" xr:uid="{00000000-0005-0000-0000-00003E170000}"/>
    <cellStyle name="Normal 165" xfId="5951" xr:uid="{00000000-0005-0000-0000-00003F170000}"/>
    <cellStyle name="Normal 165 2" xfId="5952" xr:uid="{00000000-0005-0000-0000-000040170000}"/>
    <cellStyle name="Normal 166" xfId="5953" xr:uid="{00000000-0005-0000-0000-000041170000}"/>
    <cellStyle name="Normal 166 2" xfId="5954" xr:uid="{00000000-0005-0000-0000-000042170000}"/>
    <cellStyle name="Normal 167" xfId="5955" xr:uid="{00000000-0005-0000-0000-000043170000}"/>
    <cellStyle name="Normal 167 2" xfId="5956" xr:uid="{00000000-0005-0000-0000-000044170000}"/>
    <cellStyle name="Normal 168" xfId="5957" xr:uid="{00000000-0005-0000-0000-000045170000}"/>
    <cellStyle name="Normal 168 2" xfId="5958" xr:uid="{00000000-0005-0000-0000-000046170000}"/>
    <cellStyle name="Normal 169" xfId="5959" xr:uid="{00000000-0005-0000-0000-000047170000}"/>
    <cellStyle name="Normal 169 2" xfId="5960" xr:uid="{00000000-0005-0000-0000-000048170000}"/>
    <cellStyle name="Normal 17" xfId="18" xr:uid="{00000000-0005-0000-0000-000012000000}"/>
    <cellStyle name="Normal 17 10" xfId="5962" xr:uid="{00000000-0005-0000-0000-00004A170000}"/>
    <cellStyle name="Normal 17 11" xfId="5963" xr:uid="{00000000-0005-0000-0000-00004B170000}"/>
    <cellStyle name="Normal 17 12" xfId="5964" xr:uid="{00000000-0005-0000-0000-00004C170000}"/>
    <cellStyle name="Normal 17 13" xfId="5965" xr:uid="{00000000-0005-0000-0000-00004D170000}"/>
    <cellStyle name="Normal 17 14" xfId="5966" xr:uid="{00000000-0005-0000-0000-00004E170000}"/>
    <cellStyle name="Normal 17 15" xfId="5967" xr:uid="{00000000-0005-0000-0000-00004F170000}"/>
    <cellStyle name="Normal 17 16" xfId="5968" xr:uid="{00000000-0005-0000-0000-000050170000}"/>
    <cellStyle name="Normal 17 17" xfId="5969" xr:uid="{00000000-0005-0000-0000-000051170000}"/>
    <cellStyle name="Normal 17 18" xfId="5970" xr:uid="{00000000-0005-0000-0000-000052170000}"/>
    <cellStyle name="Normal 17 19" xfId="5971" xr:uid="{00000000-0005-0000-0000-000053170000}"/>
    <cellStyle name="Normal 17 2" xfId="5972" xr:uid="{00000000-0005-0000-0000-000054170000}"/>
    <cellStyle name="Normal 17 2 2" xfId="5973" xr:uid="{00000000-0005-0000-0000-000055170000}"/>
    <cellStyle name="Normal 17 2 3" xfId="5974" xr:uid="{00000000-0005-0000-0000-000056170000}"/>
    <cellStyle name="Normal 17 20" xfId="5975" xr:uid="{00000000-0005-0000-0000-000057170000}"/>
    <cellStyle name="Normal 17 21" xfId="5976" xr:uid="{00000000-0005-0000-0000-000058170000}"/>
    <cellStyle name="Normal 17 22" xfId="5977" xr:uid="{00000000-0005-0000-0000-000059170000}"/>
    <cellStyle name="Normal 17 23" xfId="5978" xr:uid="{00000000-0005-0000-0000-00005A170000}"/>
    <cellStyle name="Normal 17 24" xfId="5979" xr:uid="{00000000-0005-0000-0000-00005B170000}"/>
    <cellStyle name="Normal 17 25" xfId="5980" xr:uid="{00000000-0005-0000-0000-00005C170000}"/>
    <cellStyle name="Normal 17 26" xfId="5981" xr:uid="{00000000-0005-0000-0000-00005D170000}"/>
    <cellStyle name="Normal 17 27" xfId="5982" xr:uid="{00000000-0005-0000-0000-00005E170000}"/>
    <cellStyle name="Normal 17 28" xfId="5983" xr:uid="{00000000-0005-0000-0000-00005F170000}"/>
    <cellStyle name="Normal 17 29" xfId="5984" xr:uid="{00000000-0005-0000-0000-000060170000}"/>
    <cellStyle name="Normal 17 3" xfId="5985" xr:uid="{00000000-0005-0000-0000-000061170000}"/>
    <cellStyle name="Normal 17 3 2" xfId="5986" xr:uid="{00000000-0005-0000-0000-000062170000}"/>
    <cellStyle name="Normal 17 3 3" xfId="5987" xr:uid="{00000000-0005-0000-0000-000063170000}"/>
    <cellStyle name="Normal 17 3 4" xfId="5988" xr:uid="{00000000-0005-0000-0000-000064170000}"/>
    <cellStyle name="Normal 17 3 5" xfId="5989" xr:uid="{00000000-0005-0000-0000-000065170000}"/>
    <cellStyle name="Normal 17 30" xfId="5961" xr:uid="{00000000-0005-0000-0000-000049170000}"/>
    <cellStyle name="Normal 17 4" xfId="5990" xr:uid="{00000000-0005-0000-0000-000066170000}"/>
    <cellStyle name="Normal 17 5" xfId="5991" xr:uid="{00000000-0005-0000-0000-000067170000}"/>
    <cellStyle name="Normal 17 6" xfId="5992" xr:uid="{00000000-0005-0000-0000-000068170000}"/>
    <cellStyle name="Normal 17 7" xfId="5993" xr:uid="{00000000-0005-0000-0000-000069170000}"/>
    <cellStyle name="Normal 17 8" xfId="5994" xr:uid="{00000000-0005-0000-0000-00006A170000}"/>
    <cellStyle name="Normal 17 9" xfId="5995" xr:uid="{00000000-0005-0000-0000-00006B170000}"/>
    <cellStyle name="Normal 170" xfId="5996" xr:uid="{00000000-0005-0000-0000-00006C170000}"/>
    <cellStyle name="Normal 171" xfId="5997" xr:uid="{00000000-0005-0000-0000-00006D170000}"/>
    <cellStyle name="Normal 172" xfId="68" xr:uid="{00000000-0005-0000-0000-000044000000}"/>
    <cellStyle name="Normal 172 2" xfId="39187" xr:uid="{00000000-0005-0000-0000-000013990000}"/>
    <cellStyle name="Normal 173" xfId="80" xr:uid="{00000000-0005-0000-0000-000050000000}"/>
    <cellStyle name="Normal 174" xfId="5998" xr:uid="{00000000-0005-0000-0000-00006E170000}"/>
    <cellStyle name="Normal 175" xfId="5999" xr:uid="{00000000-0005-0000-0000-00006F170000}"/>
    <cellStyle name="Normal 176" xfId="6000" xr:uid="{00000000-0005-0000-0000-000070170000}"/>
    <cellStyle name="Normal 177" xfId="39208" xr:uid="{00000000-0005-0000-0000-000028990000}"/>
    <cellStyle name="Normal 178" xfId="39209" xr:uid="{00000000-0005-0000-0000-000029990000}"/>
    <cellStyle name="Normal 179" xfId="39210" xr:uid="{00000000-0005-0000-0000-00002A990000}"/>
    <cellStyle name="Normal 18" xfId="6001" xr:uid="{00000000-0005-0000-0000-000071170000}"/>
    <cellStyle name="Normal 18 10" xfId="6002" xr:uid="{00000000-0005-0000-0000-000072170000}"/>
    <cellStyle name="Normal 18 11" xfId="6003" xr:uid="{00000000-0005-0000-0000-000073170000}"/>
    <cellStyle name="Normal 18 12" xfId="6004" xr:uid="{00000000-0005-0000-0000-000074170000}"/>
    <cellStyle name="Normal 18 13" xfId="6005" xr:uid="{00000000-0005-0000-0000-000075170000}"/>
    <cellStyle name="Normal 18 14" xfId="6006" xr:uid="{00000000-0005-0000-0000-000076170000}"/>
    <cellStyle name="Normal 18 15" xfId="6007" xr:uid="{00000000-0005-0000-0000-000077170000}"/>
    <cellStyle name="Normal 18 16" xfId="6008" xr:uid="{00000000-0005-0000-0000-000078170000}"/>
    <cellStyle name="Normal 18 17" xfId="6009" xr:uid="{00000000-0005-0000-0000-000079170000}"/>
    <cellStyle name="Normal 18 18" xfId="6010" xr:uid="{00000000-0005-0000-0000-00007A170000}"/>
    <cellStyle name="Normal 18 19" xfId="6011" xr:uid="{00000000-0005-0000-0000-00007B170000}"/>
    <cellStyle name="Normal 18 2" xfId="6012" xr:uid="{00000000-0005-0000-0000-00007C170000}"/>
    <cellStyle name="Normal 18 2 2" xfId="6013" xr:uid="{00000000-0005-0000-0000-00007D170000}"/>
    <cellStyle name="Normal 18 2 3" xfId="6014" xr:uid="{00000000-0005-0000-0000-00007E170000}"/>
    <cellStyle name="Normal 18 20" xfId="6015" xr:uid="{00000000-0005-0000-0000-00007F170000}"/>
    <cellStyle name="Normal 18 21" xfId="6016" xr:uid="{00000000-0005-0000-0000-000080170000}"/>
    <cellStyle name="Normal 18 22" xfId="6017" xr:uid="{00000000-0005-0000-0000-000081170000}"/>
    <cellStyle name="Normal 18 23" xfId="6018" xr:uid="{00000000-0005-0000-0000-000082170000}"/>
    <cellStyle name="Normal 18 24" xfId="6019" xr:uid="{00000000-0005-0000-0000-000083170000}"/>
    <cellStyle name="Normal 18 25" xfId="6020" xr:uid="{00000000-0005-0000-0000-000084170000}"/>
    <cellStyle name="Normal 18 3" xfId="6021" xr:uid="{00000000-0005-0000-0000-000085170000}"/>
    <cellStyle name="Normal 18 3 2" xfId="6022" xr:uid="{00000000-0005-0000-0000-000086170000}"/>
    <cellStyle name="Normal 18 3 3" xfId="6023" xr:uid="{00000000-0005-0000-0000-000087170000}"/>
    <cellStyle name="Normal 18 3 4" xfId="6024" xr:uid="{00000000-0005-0000-0000-000088170000}"/>
    <cellStyle name="Normal 18 3 5" xfId="6025" xr:uid="{00000000-0005-0000-0000-000089170000}"/>
    <cellStyle name="Normal 18 4" xfId="6026" xr:uid="{00000000-0005-0000-0000-00008A170000}"/>
    <cellStyle name="Normal 18 5" xfId="6027" xr:uid="{00000000-0005-0000-0000-00008B170000}"/>
    <cellStyle name="Normal 18 6" xfId="6028" xr:uid="{00000000-0005-0000-0000-00008C170000}"/>
    <cellStyle name="Normal 18 7" xfId="6029" xr:uid="{00000000-0005-0000-0000-00008D170000}"/>
    <cellStyle name="Normal 18 8" xfId="6030" xr:uid="{00000000-0005-0000-0000-00008E170000}"/>
    <cellStyle name="Normal 18 9" xfId="6031" xr:uid="{00000000-0005-0000-0000-00008F170000}"/>
    <cellStyle name="Normal 180" xfId="39211" xr:uid="{00000000-0005-0000-0000-00002B990000}"/>
    <cellStyle name="Normal 181" xfId="39212" xr:uid="{00000000-0005-0000-0000-00002C990000}"/>
    <cellStyle name="Normal 182" xfId="39213" xr:uid="{00000000-0005-0000-0000-00002D990000}"/>
    <cellStyle name="Normal 183" xfId="39214" xr:uid="{00000000-0005-0000-0000-00002E990000}"/>
    <cellStyle name="Normal 184" xfId="39215" xr:uid="{00000000-0005-0000-0000-00002F990000}"/>
    <cellStyle name="Normal 185" xfId="39216" xr:uid="{00000000-0005-0000-0000-000030990000}"/>
    <cellStyle name="Normal 186" xfId="39217" xr:uid="{00000000-0005-0000-0000-000031990000}"/>
    <cellStyle name="Normal 187" xfId="39218" xr:uid="{00000000-0005-0000-0000-000032990000}"/>
    <cellStyle name="Normal 188" xfId="39219" xr:uid="{00000000-0005-0000-0000-000033990000}"/>
    <cellStyle name="Normal 189" xfId="39220" xr:uid="{00000000-0005-0000-0000-000034990000}"/>
    <cellStyle name="Normal 19" xfId="6032" xr:uid="{00000000-0005-0000-0000-000090170000}"/>
    <cellStyle name="Normal 19 10" xfId="6033" xr:uid="{00000000-0005-0000-0000-000091170000}"/>
    <cellStyle name="Normal 19 11" xfId="6034" xr:uid="{00000000-0005-0000-0000-000092170000}"/>
    <cellStyle name="Normal 19 12" xfId="6035" xr:uid="{00000000-0005-0000-0000-000093170000}"/>
    <cellStyle name="Normal 19 13" xfId="6036" xr:uid="{00000000-0005-0000-0000-000094170000}"/>
    <cellStyle name="Normal 19 14" xfId="6037" xr:uid="{00000000-0005-0000-0000-000095170000}"/>
    <cellStyle name="Normal 19 15" xfId="6038" xr:uid="{00000000-0005-0000-0000-000096170000}"/>
    <cellStyle name="Normal 19 16" xfId="6039" xr:uid="{00000000-0005-0000-0000-000097170000}"/>
    <cellStyle name="Normal 19 17" xfId="6040" xr:uid="{00000000-0005-0000-0000-000098170000}"/>
    <cellStyle name="Normal 19 18" xfId="6041" xr:uid="{00000000-0005-0000-0000-000099170000}"/>
    <cellStyle name="Normal 19 19" xfId="6042" xr:uid="{00000000-0005-0000-0000-00009A170000}"/>
    <cellStyle name="Normal 19 2" xfId="6043" xr:uid="{00000000-0005-0000-0000-00009B170000}"/>
    <cellStyle name="Normal 19 2 2" xfId="6044" xr:uid="{00000000-0005-0000-0000-00009C170000}"/>
    <cellStyle name="Normal 19 2 3" xfId="6045" xr:uid="{00000000-0005-0000-0000-00009D170000}"/>
    <cellStyle name="Normal 19 20" xfId="6046" xr:uid="{00000000-0005-0000-0000-00009E170000}"/>
    <cellStyle name="Normal 19 21" xfId="6047" xr:uid="{00000000-0005-0000-0000-00009F170000}"/>
    <cellStyle name="Normal 19 22" xfId="6048" xr:uid="{00000000-0005-0000-0000-0000A0170000}"/>
    <cellStyle name="Normal 19 23" xfId="6049" xr:uid="{00000000-0005-0000-0000-0000A1170000}"/>
    <cellStyle name="Normal 19 24" xfId="6050" xr:uid="{00000000-0005-0000-0000-0000A2170000}"/>
    <cellStyle name="Normal 19 25" xfId="6051" xr:uid="{00000000-0005-0000-0000-0000A3170000}"/>
    <cellStyle name="Normal 19 3" xfId="6052" xr:uid="{00000000-0005-0000-0000-0000A4170000}"/>
    <cellStyle name="Normal 19 3 2" xfId="6053" xr:uid="{00000000-0005-0000-0000-0000A5170000}"/>
    <cellStyle name="Normal 19 3 3" xfId="6054" xr:uid="{00000000-0005-0000-0000-0000A6170000}"/>
    <cellStyle name="Normal 19 3 4" xfId="6055" xr:uid="{00000000-0005-0000-0000-0000A7170000}"/>
    <cellStyle name="Normal 19 3 5" xfId="6056" xr:uid="{00000000-0005-0000-0000-0000A8170000}"/>
    <cellStyle name="Normal 19 4" xfId="6057" xr:uid="{00000000-0005-0000-0000-0000A9170000}"/>
    <cellStyle name="Normal 19 5" xfId="6058" xr:uid="{00000000-0005-0000-0000-0000AA170000}"/>
    <cellStyle name="Normal 19 6" xfId="6059" xr:uid="{00000000-0005-0000-0000-0000AB170000}"/>
    <cellStyle name="Normal 19 7" xfId="6060" xr:uid="{00000000-0005-0000-0000-0000AC170000}"/>
    <cellStyle name="Normal 19 8" xfId="6061" xr:uid="{00000000-0005-0000-0000-0000AD170000}"/>
    <cellStyle name="Normal 19 9" xfId="6062" xr:uid="{00000000-0005-0000-0000-0000AE170000}"/>
    <cellStyle name="Normal 190" xfId="39221" xr:uid="{00000000-0005-0000-0000-000035990000}"/>
    <cellStyle name="Normal 191" xfId="39222" xr:uid="{00000000-0005-0000-0000-000036990000}"/>
    <cellStyle name="Normal 192" xfId="39223" xr:uid="{00000000-0005-0000-0000-000037990000}"/>
    <cellStyle name="Normal 193" xfId="39224" xr:uid="{00000000-0005-0000-0000-000038990000}"/>
    <cellStyle name="Normal 194" xfId="39225" xr:uid="{00000000-0005-0000-0000-000039990000}"/>
    <cellStyle name="Normal 195" xfId="39226" xr:uid="{00000000-0005-0000-0000-00003A990000}"/>
    <cellStyle name="Normal 196" xfId="39227" xr:uid="{00000000-0005-0000-0000-00003B990000}"/>
    <cellStyle name="Normal 197" xfId="39228" xr:uid="{00000000-0005-0000-0000-00003C990000}"/>
    <cellStyle name="Normal 198" xfId="39229" xr:uid="{00000000-0005-0000-0000-00003D990000}"/>
    <cellStyle name="Normal 199" xfId="39230" xr:uid="{00000000-0005-0000-0000-00003E990000}"/>
    <cellStyle name="Normal 2" xfId="4" xr:uid="{00000000-0005-0000-0000-000004000000}"/>
    <cellStyle name="Normal 2 10" xfId="13" xr:uid="{00000000-0005-0000-0000-00000D000000}"/>
    <cellStyle name="Normal 2 10 10" xfId="6063" xr:uid="{00000000-0005-0000-0000-0000AF170000}"/>
    <cellStyle name="Normal 2 10 2" xfId="70" xr:uid="{00000000-0005-0000-0000-000046000000}"/>
    <cellStyle name="Normal 2 10 3" xfId="6064" xr:uid="{00000000-0005-0000-0000-0000B0170000}"/>
    <cellStyle name="Normal 2 10 4" xfId="6065" xr:uid="{00000000-0005-0000-0000-0000B1170000}"/>
    <cellStyle name="Normal 2 10_Enlaces" xfId="6066" xr:uid="{00000000-0005-0000-0000-0000B2170000}"/>
    <cellStyle name="Normal 2 100" xfId="6067" xr:uid="{00000000-0005-0000-0000-0000B3170000}"/>
    <cellStyle name="Normal 2 100 2" xfId="6068" xr:uid="{00000000-0005-0000-0000-0000B4170000}"/>
    <cellStyle name="Normal 2 101" xfId="6069" xr:uid="{00000000-0005-0000-0000-0000B5170000}"/>
    <cellStyle name="Normal 2 101 2" xfId="6070" xr:uid="{00000000-0005-0000-0000-0000B6170000}"/>
    <cellStyle name="Normal 2 102" xfId="6071" xr:uid="{00000000-0005-0000-0000-0000B7170000}"/>
    <cellStyle name="Normal 2 102 2" xfId="6072" xr:uid="{00000000-0005-0000-0000-0000B8170000}"/>
    <cellStyle name="Normal 2 103" xfId="6073" xr:uid="{00000000-0005-0000-0000-0000B9170000}"/>
    <cellStyle name="Normal 2 103 2" xfId="6074" xr:uid="{00000000-0005-0000-0000-0000BA170000}"/>
    <cellStyle name="Normal 2 104" xfId="6075" xr:uid="{00000000-0005-0000-0000-0000BB170000}"/>
    <cellStyle name="Normal 2 104 2" xfId="6076" xr:uid="{00000000-0005-0000-0000-0000BC170000}"/>
    <cellStyle name="Normal 2 105" xfId="6077" xr:uid="{00000000-0005-0000-0000-0000BD170000}"/>
    <cellStyle name="Normal 2 106" xfId="6078" xr:uid="{00000000-0005-0000-0000-0000BE170000}"/>
    <cellStyle name="Normal 2 107" xfId="6079" xr:uid="{00000000-0005-0000-0000-0000BF170000}"/>
    <cellStyle name="Normal 2 108" xfId="6080" xr:uid="{00000000-0005-0000-0000-0000C0170000}"/>
    <cellStyle name="Normal 2 109" xfId="6081" xr:uid="{00000000-0005-0000-0000-0000C1170000}"/>
    <cellStyle name="Normal 2 11" xfId="6082" xr:uid="{00000000-0005-0000-0000-0000C2170000}"/>
    <cellStyle name="Normal 2 11 2" xfId="6083" xr:uid="{00000000-0005-0000-0000-0000C3170000}"/>
    <cellStyle name="Normal 2 11 3" xfId="6084" xr:uid="{00000000-0005-0000-0000-0000C4170000}"/>
    <cellStyle name="Normal 2 11 4" xfId="6085" xr:uid="{00000000-0005-0000-0000-0000C5170000}"/>
    <cellStyle name="Normal 2 11 5" xfId="6086" xr:uid="{00000000-0005-0000-0000-0000C6170000}"/>
    <cellStyle name="Normal 2 110" xfId="6087" xr:uid="{00000000-0005-0000-0000-0000C7170000}"/>
    <cellStyle name="Normal 2 111" xfId="6088" xr:uid="{00000000-0005-0000-0000-0000C8170000}"/>
    <cellStyle name="Normal 2 112" xfId="6089" xr:uid="{00000000-0005-0000-0000-0000C9170000}"/>
    <cellStyle name="Normal 2 113" xfId="6090" xr:uid="{00000000-0005-0000-0000-0000CA170000}"/>
    <cellStyle name="Normal 2 114" xfId="6091" xr:uid="{00000000-0005-0000-0000-0000CB170000}"/>
    <cellStyle name="Normal 2 115" xfId="6092" xr:uid="{00000000-0005-0000-0000-0000CC170000}"/>
    <cellStyle name="Normal 2 116" xfId="6093" xr:uid="{00000000-0005-0000-0000-0000CD170000}"/>
    <cellStyle name="Normal 2 117" xfId="6094" xr:uid="{00000000-0005-0000-0000-0000CE170000}"/>
    <cellStyle name="Normal 2 118" xfId="6095" xr:uid="{00000000-0005-0000-0000-0000CF170000}"/>
    <cellStyle name="Normal 2 119" xfId="6096" xr:uid="{00000000-0005-0000-0000-0000D0170000}"/>
    <cellStyle name="Normal 2 12" xfId="6097" xr:uid="{00000000-0005-0000-0000-0000D1170000}"/>
    <cellStyle name="Normal 2 12 2" xfId="6098" xr:uid="{00000000-0005-0000-0000-0000D2170000}"/>
    <cellStyle name="Normal 2 12 3" xfId="6099" xr:uid="{00000000-0005-0000-0000-0000D3170000}"/>
    <cellStyle name="Normal 2 12 4" xfId="6100" xr:uid="{00000000-0005-0000-0000-0000D4170000}"/>
    <cellStyle name="Normal 2 12 5" xfId="6101" xr:uid="{00000000-0005-0000-0000-0000D5170000}"/>
    <cellStyle name="Normal 2 12 6" xfId="6102" xr:uid="{00000000-0005-0000-0000-0000D6170000}"/>
    <cellStyle name="Normal 2 120" xfId="6103" xr:uid="{00000000-0005-0000-0000-0000D7170000}"/>
    <cellStyle name="Normal 2 121" xfId="6104" xr:uid="{00000000-0005-0000-0000-0000D8170000}"/>
    <cellStyle name="Normal 2 122" xfId="6105" xr:uid="{00000000-0005-0000-0000-0000D9170000}"/>
    <cellStyle name="Normal 2 123" xfId="6106" xr:uid="{00000000-0005-0000-0000-0000DA170000}"/>
    <cellStyle name="Normal 2 124" xfId="6107" xr:uid="{00000000-0005-0000-0000-0000DB170000}"/>
    <cellStyle name="Normal 2 125" xfId="6108" xr:uid="{00000000-0005-0000-0000-0000DC170000}"/>
    <cellStyle name="Normal 2 126" xfId="6109" xr:uid="{00000000-0005-0000-0000-0000DD170000}"/>
    <cellStyle name="Normal 2 127" xfId="6110" xr:uid="{00000000-0005-0000-0000-0000DE170000}"/>
    <cellStyle name="Normal 2 128" xfId="6111" xr:uid="{00000000-0005-0000-0000-0000DF170000}"/>
    <cellStyle name="Normal 2 129" xfId="6112" xr:uid="{00000000-0005-0000-0000-0000E0170000}"/>
    <cellStyle name="Normal 2 13" xfId="6113" xr:uid="{00000000-0005-0000-0000-0000E1170000}"/>
    <cellStyle name="Normal 2 13 2" xfId="6114" xr:uid="{00000000-0005-0000-0000-0000E2170000}"/>
    <cellStyle name="Normal 2 13 3" xfId="6115" xr:uid="{00000000-0005-0000-0000-0000E3170000}"/>
    <cellStyle name="Normal 2 13 4" xfId="6116" xr:uid="{00000000-0005-0000-0000-0000E4170000}"/>
    <cellStyle name="Normal 2 13 5" xfId="6117" xr:uid="{00000000-0005-0000-0000-0000E5170000}"/>
    <cellStyle name="Normal 2 13 6" xfId="6118" xr:uid="{00000000-0005-0000-0000-0000E6170000}"/>
    <cellStyle name="Normal 2 130" xfId="6119" xr:uid="{00000000-0005-0000-0000-0000E7170000}"/>
    <cellStyle name="Normal 2 131" xfId="6120" xr:uid="{00000000-0005-0000-0000-0000E8170000}"/>
    <cellStyle name="Normal 2 132" xfId="6121" xr:uid="{00000000-0005-0000-0000-0000E9170000}"/>
    <cellStyle name="Normal 2 133" xfId="6122" xr:uid="{00000000-0005-0000-0000-0000EA170000}"/>
    <cellStyle name="Normal 2 134" xfId="6123" xr:uid="{00000000-0005-0000-0000-0000EB170000}"/>
    <cellStyle name="Normal 2 135" xfId="6124" xr:uid="{00000000-0005-0000-0000-0000EC170000}"/>
    <cellStyle name="Normal 2 136" xfId="6125" xr:uid="{00000000-0005-0000-0000-0000ED170000}"/>
    <cellStyle name="Normal 2 137" xfId="6126" xr:uid="{00000000-0005-0000-0000-0000EE170000}"/>
    <cellStyle name="Normal 2 138" xfId="6127" xr:uid="{00000000-0005-0000-0000-0000EF170000}"/>
    <cellStyle name="Normal 2 139" xfId="6128" xr:uid="{00000000-0005-0000-0000-0000F0170000}"/>
    <cellStyle name="Normal 2 14" xfId="6129" xr:uid="{00000000-0005-0000-0000-0000F1170000}"/>
    <cellStyle name="Normal 2 14 2" xfId="6130" xr:uid="{00000000-0005-0000-0000-0000F2170000}"/>
    <cellStyle name="Normal 2 14 3" xfId="6131" xr:uid="{00000000-0005-0000-0000-0000F3170000}"/>
    <cellStyle name="Normal 2 14 4" xfId="6132" xr:uid="{00000000-0005-0000-0000-0000F4170000}"/>
    <cellStyle name="Normal 2 14 5" xfId="6133" xr:uid="{00000000-0005-0000-0000-0000F5170000}"/>
    <cellStyle name="Normal 2 140" xfId="6134" xr:uid="{00000000-0005-0000-0000-0000F6170000}"/>
    <cellStyle name="Normal 2 141" xfId="6135" xr:uid="{00000000-0005-0000-0000-0000F7170000}"/>
    <cellStyle name="Normal 2 142" xfId="6136" xr:uid="{00000000-0005-0000-0000-0000F8170000}"/>
    <cellStyle name="Normal 2 143" xfId="6137" xr:uid="{00000000-0005-0000-0000-0000F9170000}"/>
    <cellStyle name="Normal 2 144" xfId="6138" xr:uid="{00000000-0005-0000-0000-0000FA170000}"/>
    <cellStyle name="Normal 2 145" xfId="6139" xr:uid="{00000000-0005-0000-0000-0000FB170000}"/>
    <cellStyle name="Normal 2 146" xfId="6140" xr:uid="{00000000-0005-0000-0000-0000FC170000}"/>
    <cellStyle name="Normal 2 147" xfId="6141" xr:uid="{00000000-0005-0000-0000-0000FD170000}"/>
    <cellStyle name="Normal 2 148" xfId="6142" xr:uid="{00000000-0005-0000-0000-0000FE170000}"/>
    <cellStyle name="Normal 2 149" xfId="6143" xr:uid="{00000000-0005-0000-0000-0000FF170000}"/>
    <cellStyle name="Normal 2 15" xfId="6144" xr:uid="{00000000-0005-0000-0000-000000180000}"/>
    <cellStyle name="Normal 2 15 2" xfId="6145" xr:uid="{00000000-0005-0000-0000-000001180000}"/>
    <cellStyle name="Normal 2 15 3" xfId="6146" xr:uid="{00000000-0005-0000-0000-000002180000}"/>
    <cellStyle name="Normal 2 15 4" xfId="6147" xr:uid="{00000000-0005-0000-0000-000003180000}"/>
    <cellStyle name="Normal 2 15 5" xfId="6148" xr:uid="{00000000-0005-0000-0000-000004180000}"/>
    <cellStyle name="Normal 2 15 6" xfId="6149" xr:uid="{00000000-0005-0000-0000-000005180000}"/>
    <cellStyle name="Normal 2 150" xfId="6150" xr:uid="{00000000-0005-0000-0000-000006180000}"/>
    <cellStyle name="Normal 2 151" xfId="6151" xr:uid="{00000000-0005-0000-0000-000007180000}"/>
    <cellStyle name="Normal 2 152" xfId="6152" xr:uid="{00000000-0005-0000-0000-000008180000}"/>
    <cellStyle name="Normal 2 153" xfId="6153" xr:uid="{00000000-0005-0000-0000-000009180000}"/>
    <cellStyle name="Normal 2 154" xfId="6154" xr:uid="{00000000-0005-0000-0000-00000A180000}"/>
    <cellStyle name="Normal 2 155" xfId="6155" xr:uid="{00000000-0005-0000-0000-00000B180000}"/>
    <cellStyle name="Normal 2 156" xfId="6156" xr:uid="{00000000-0005-0000-0000-00000C180000}"/>
    <cellStyle name="Normal 2 157" xfId="6157" xr:uid="{00000000-0005-0000-0000-00000D180000}"/>
    <cellStyle name="Normal 2 158" xfId="6158" xr:uid="{00000000-0005-0000-0000-00000E180000}"/>
    <cellStyle name="Normal 2 159" xfId="6159" xr:uid="{00000000-0005-0000-0000-00000F180000}"/>
    <cellStyle name="Normal 2 16" xfId="6160" xr:uid="{00000000-0005-0000-0000-000010180000}"/>
    <cellStyle name="Normal 2 16 2" xfId="6161" xr:uid="{00000000-0005-0000-0000-000011180000}"/>
    <cellStyle name="Normal 2 16 3" xfId="6162" xr:uid="{00000000-0005-0000-0000-000012180000}"/>
    <cellStyle name="Normal 2 16 4" xfId="6163" xr:uid="{00000000-0005-0000-0000-000013180000}"/>
    <cellStyle name="Normal 2 16 5" xfId="6164" xr:uid="{00000000-0005-0000-0000-000014180000}"/>
    <cellStyle name="Normal 2 160" xfId="6165" xr:uid="{00000000-0005-0000-0000-000015180000}"/>
    <cellStyle name="Normal 2 161" xfId="6166" xr:uid="{00000000-0005-0000-0000-000016180000}"/>
    <cellStyle name="Normal 2 162" xfId="6167" xr:uid="{00000000-0005-0000-0000-000017180000}"/>
    <cellStyle name="Normal 2 163" xfId="6168" xr:uid="{00000000-0005-0000-0000-000018180000}"/>
    <cellStyle name="Normal 2 164" xfId="6169" xr:uid="{00000000-0005-0000-0000-000019180000}"/>
    <cellStyle name="Normal 2 165" xfId="6170" xr:uid="{00000000-0005-0000-0000-00001A180000}"/>
    <cellStyle name="Normal 2 166" xfId="6171" xr:uid="{00000000-0005-0000-0000-00001B180000}"/>
    <cellStyle name="Normal 2 167" xfId="6172" xr:uid="{00000000-0005-0000-0000-00001C180000}"/>
    <cellStyle name="Normal 2 168" xfId="6173" xr:uid="{00000000-0005-0000-0000-00001D180000}"/>
    <cellStyle name="Normal 2 169" xfId="6174" xr:uid="{00000000-0005-0000-0000-00001E180000}"/>
    <cellStyle name="Normal 2 17" xfId="6175" xr:uid="{00000000-0005-0000-0000-00001F180000}"/>
    <cellStyle name="Normal 2 17 2" xfId="6176" xr:uid="{00000000-0005-0000-0000-000020180000}"/>
    <cellStyle name="Normal 2 17 3" xfId="6177" xr:uid="{00000000-0005-0000-0000-000021180000}"/>
    <cellStyle name="Normal 2 17 4" xfId="6178" xr:uid="{00000000-0005-0000-0000-000022180000}"/>
    <cellStyle name="Normal 2 17 5" xfId="6179" xr:uid="{00000000-0005-0000-0000-000023180000}"/>
    <cellStyle name="Normal 2 170" xfId="6180" xr:uid="{00000000-0005-0000-0000-000024180000}"/>
    <cellStyle name="Normal 2 171" xfId="6181" xr:uid="{00000000-0005-0000-0000-000025180000}"/>
    <cellStyle name="Normal 2 172" xfId="6182" xr:uid="{00000000-0005-0000-0000-000026180000}"/>
    <cellStyle name="Normal 2 173" xfId="6183" xr:uid="{00000000-0005-0000-0000-000027180000}"/>
    <cellStyle name="Normal 2 174" xfId="6184" xr:uid="{00000000-0005-0000-0000-000028180000}"/>
    <cellStyle name="Normal 2 175" xfId="6185" xr:uid="{00000000-0005-0000-0000-000029180000}"/>
    <cellStyle name="Normal 2 176" xfId="6186" xr:uid="{00000000-0005-0000-0000-00002A180000}"/>
    <cellStyle name="Normal 2 177" xfId="6187" xr:uid="{00000000-0005-0000-0000-00002B180000}"/>
    <cellStyle name="Normal 2 178" xfId="6188" xr:uid="{00000000-0005-0000-0000-00002C180000}"/>
    <cellStyle name="Normal 2 179" xfId="6189" xr:uid="{00000000-0005-0000-0000-00002D180000}"/>
    <cellStyle name="Normal 2 18" xfId="6190" xr:uid="{00000000-0005-0000-0000-00002E180000}"/>
    <cellStyle name="Normal 2 18 2" xfId="6191" xr:uid="{00000000-0005-0000-0000-00002F180000}"/>
    <cellStyle name="Normal 2 18 3" xfId="6192" xr:uid="{00000000-0005-0000-0000-000030180000}"/>
    <cellStyle name="Normal 2 18 4" xfId="6193" xr:uid="{00000000-0005-0000-0000-000031180000}"/>
    <cellStyle name="Normal 2 18 5" xfId="6194" xr:uid="{00000000-0005-0000-0000-000032180000}"/>
    <cellStyle name="Normal 2 19" xfId="6195" xr:uid="{00000000-0005-0000-0000-000033180000}"/>
    <cellStyle name="Normal 2 19 2" xfId="6196" xr:uid="{00000000-0005-0000-0000-000034180000}"/>
    <cellStyle name="Normal 2 19 3" xfId="6197" xr:uid="{00000000-0005-0000-0000-000035180000}"/>
    <cellStyle name="Normal 2 19 4" xfId="6198" xr:uid="{00000000-0005-0000-0000-000036180000}"/>
    <cellStyle name="Normal 2 19 5" xfId="6199" xr:uid="{00000000-0005-0000-0000-000037180000}"/>
    <cellStyle name="Normal 2 2" xfId="7" xr:uid="{00000000-0005-0000-0000-000007000000}"/>
    <cellStyle name="Normal 2 2 10" xfId="6201" xr:uid="{00000000-0005-0000-0000-000039180000}"/>
    <cellStyle name="Normal 2 2 10 10" xfId="6202" xr:uid="{00000000-0005-0000-0000-00003A180000}"/>
    <cellStyle name="Normal 2 2 10 10 10" xfId="6203" xr:uid="{00000000-0005-0000-0000-00003B180000}"/>
    <cellStyle name="Normal 2 2 10 10 11" xfId="6204" xr:uid="{00000000-0005-0000-0000-00003C180000}"/>
    <cellStyle name="Normal 2 2 10 10 12" xfId="6205" xr:uid="{00000000-0005-0000-0000-00003D180000}"/>
    <cellStyle name="Normal 2 2 10 10 13" xfId="6206" xr:uid="{00000000-0005-0000-0000-00003E180000}"/>
    <cellStyle name="Normal 2 2 10 10 14" xfId="6207" xr:uid="{00000000-0005-0000-0000-00003F180000}"/>
    <cellStyle name="Normal 2 2 10 10 2" xfId="6208" xr:uid="{00000000-0005-0000-0000-000040180000}"/>
    <cellStyle name="Normal 2 2 10 10 2 10" xfId="6209" xr:uid="{00000000-0005-0000-0000-000041180000}"/>
    <cellStyle name="Normal 2 2 10 10 2 2" xfId="6210" xr:uid="{00000000-0005-0000-0000-000042180000}"/>
    <cellStyle name="Normal 2 2 10 10 2 3" xfId="6211" xr:uid="{00000000-0005-0000-0000-000043180000}"/>
    <cellStyle name="Normal 2 2 10 10 2 4" xfId="6212" xr:uid="{00000000-0005-0000-0000-000044180000}"/>
    <cellStyle name="Normal 2 2 10 10 2 5" xfId="6213" xr:uid="{00000000-0005-0000-0000-000045180000}"/>
    <cellStyle name="Normal 2 2 10 10 2 6" xfId="6214" xr:uid="{00000000-0005-0000-0000-000046180000}"/>
    <cellStyle name="Normal 2 2 10 10 2 7" xfId="6215" xr:uid="{00000000-0005-0000-0000-000047180000}"/>
    <cellStyle name="Normal 2 2 10 10 2 8" xfId="6216" xr:uid="{00000000-0005-0000-0000-000048180000}"/>
    <cellStyle name="Normal 2 2 10 10 2 9" xfId="6217" xr:uid="{00000000-0005-0000-0000-000049180000}"/>
    <cellStyle name="Normal 2 2 10 10 3" xfId="6218" xr:uid="{00000000-0005-0000-0000-00004A180000}"/>
    <cellStyle name="Normal 2 2 10 10 3 10" xfId="6219" xr:uid="{00000000-0005-0000-0000-00004B180000}"/>
    <cellStyle name="Normal 2 2 10 10 3 2" xfId="6220" xr:uid="{00000000-0005-0000-0000-00004C180000}"/>
    <cellStyle name="Normal 2 2 10 10 3 3" xfId="6221" xr:uid="{00000000-0005-0000-0000-00004D180000}"/>
    <cellStyle name="Normal 2 2 10 10 3 4" xfId="6222" xr:uid="{00000000-0005-0000-0000-00004E180000}"/>
    <cellStyle name="Normal 2 2 10 10 3 5" xfId="6223" xr:uid="{00000000-0005-0000-0000-00004F180000}"/>
    <cellStyle name="Normal 2 2 10 10 3 6" xfId="6224" xr:uid="{00000000-0005-0000-0000-000050180000}"/>
    <cellStyle name="Normal 2 2 10 10 3 7" xfId="6225" xr:uid="{00000000-0005-0000-0000-000051180000}"/>
    <cellStyle name="Normal 2 2 10 10 3 8" xfId="6226" xr:uid="{00000000-0005-0000-0000-000052180000}"/>
    <cellStyle name="Normal 2 2 10 10 3 9" xfId="6227" xr:uid="{00000000-0005-0000-0000-000053180000}"/>
    <cellStyle name="Normal 2 2 10 10 4" xfId="6228" xr:uid="{00000000-0005-0000-0000-000054180000}"/>
    <cellStyle name="Normal 2 2 10 10 4 10" xfId="6229" xr:uid="{00000000-0005-0000-0000-000055180000}"/>
    <cellStyle name="Normal 2 2 10 10 4 2" xfId="6230" xr:uid="{00000000-0005-0000-0000-000056180000}"/>
    <cellStyle name="Normal 2 2 10 10 4 3" xfId="6231" xr:uid="{00000000-0005-0000-0000-000057180000}"/>
    <cellStyle name="Normal 2 2 10 10 4 4" xfId="6232" xr:uid="{00000000-0005-0000-0000-000058180000}"/>
    <cellStyle name="Normal 2 2 10 10 4 5" xfId="6233" xr:uid="{00000000-0005-0000-0000-000059180000}"/>
    <cellStyle name="Normal 2 2 10 10 4 6" xfId="6234" xr:uid="{00000000-0005-0000-0000-00005A180000}"/>
    <cellStyle name="Normal 2 2 10 10 4 7" xfId="6235" xr:uid="{00000000-0005-0000-0000-00005B180000}"/>
    <cellStyle name="Normal 2 2 10 10 4 8" xfId="6236" xr:uid="{00000000-0005-0000-0000-00005C180000}"/>
    <cellStyle name="Normal 2 2 10 10 4 9" xfId="6237" xr:uid="{00000000-0005-0000-0000-00005D180000}"/>
    <cellStyle name="Normal 2 2 10 10 5" xfId="6238" xr:uid="{00000000-0005-0000-0000-00005E180000}"/>
    <cellStyle name="Normal 2 2 10 10 5 10" xfId="6239" xr:uid="{00000000-0005-0000-0000-00005F180000}"/>
    <cellStyle name="Normal 2 2 10 10 5 2" xfId="6240" xr:uid="{00000000-0005-0000-0000-000060180000}"/>
    <cellStyle name="Normal 2 2 10 10 5 3" xfId="6241" xr:uid="{00000000-0005-0000-0000-000061180000}"/>
    <cellStyle name="Normal 2 2 10 10 5 4" xfId="6242" xr:uid="{00000000-0005-0000-0000-000062180000}"/>
    <cellStyle name="Normal 2 2 10 10 5 5" xfId="6243" xr:uid="{00000000-0005-0000-0000-000063180000}"/>
    <cellStyle name="Normal 2 2 10 10 5 6" xfId="6244" xr:uid="{00000000-0005-0000-0000-000064180000}"/>
    <cellStyle name="Normal 2 2 10 10 5 7" xfId="6245" xr:uid="{00000000-0005-0000-0000-000065180000}"/>
    <cellStyle name="Normal 2 2 10 10 5 8" xfId="6246" xr:uid="{00000000-0005-0000-0000-000066180000}"/>
    <cellStyle name="Normal 2 2 10 10 5 9" xfId="6247" xr:uid="{00000000-0005-0000-0000-000067180000}"/>
    <cellStyle name="Normal 2 2 10 10 6" xfId="6248" xr:uid="{00000000-0005-0000-0000-000068180000}"/>
    <cellStyle name="Normal 2 2 10 10 7" xfId="6249" xr:uid="{00000000-0005-0000-0000-000069180000}"/>
    <cellStyle name="Normal 2 2 10 10 8" xfId="6250" xr:uid="{00000000-0005-0000-0000-00006A180000}"/>
    <cellStyle name="Normal 2 2 10 10 9" xfId="6251" xr:uid="{00000000-0005-0000-0000-00006B180000}"/>
    <cellStyle name="Normal 2 2 10 11" xfId="6252" xr:uid="{00000000-0005-0000-0000-00006C180000}"/>
    <cellStyle name="Normal 2 2 10 11 10" xfId="6253" xr:uid="{00000000-0005-0000-0000-00006D180000}"/>
    <cellStyle name="Normal 2 2 10 11 11" xfId="6254" xr:uid="{00000000-0005-0000-0000-00006E180000}"/>
    <cellStyle name="Normal 2 2 10 11 12" xfId="6255" xr:uid="{00000000-0005-0000-0000-00006F180000}"/>
    <cellStyle name="Normal 2 2 10 11 13" xfId="6256" xr:uid="{00000000-0005-0000-0000-000070180000}"/>
    <cellStyle name="Normal 2 2 10 11 14" xfId="6257" xr:uid="{00000000-0005-0000-0000-000071180000}"/>
    <cellStyle name="Normal 2 2 10 11 2" xfId="6258" xr:uid="{00000000-0005-0000-0000-000072180000}"/>
    <cellStyle name="Normal 2 2 10 11 2 10" xfId="6259" xr:uid="{00000000-0005-0000-0000-000073180000}"/>
    <cellStyle name="Normal 2 2 10 11 2 2" xfId="6260" xr:uid="{00000000-0005-0000-0000-000074180000}"/>
    <cellStyle name="Normal 2 2 10 11 2 3" xfId="6261" xr:uid="{00000000-0005-0000-0000-000075180000}"/>
    <cellStyle name="Normal 2 2 10 11 2 4" xfId="6262" xr:uid="{00000000-0005-0000-0000-000076180000}"/>
    <cellStyle name="Normal 2 2 10 11 2 5" xfId="6263" xr:uid="{00000000-0005-0000-0000-000077180000}"/>
    <cellStyle name="Normal 2 2 10 11 2 6" xfId="6264" xr:uid="{00000000-0005-0000-0000-000078180000}"/>
    <cellStyle name="Normal 2 2 10 11 2 7" xfId="6265" xr:uid="{00000000-0005-0000-0000-000079180000}"/>
    <cellStyle name="Normal 2 2 10 11 2 8" xfId="6266" xr:uid="{00000000-0005-0000-0000-00007A180000}"/>
    <cellStyle name="Normal 2 2 10 11 2 9" xfId="6267" xr:uid="{00000000-0005-0000-0000-00007B180000}"/>
    <cellStyle name="Normal 2 2 10 11 3" xfId="6268" xr:uid="{00000000-0005-0000-0000-00007C180000}"/>
    <cellStyle name="Normal 2 2 10 11 3 10" xfId="6269" xr:uid="{00000000-0005-0000-0000-00007D180000}"/>
    <cellStyle name="Normal 2 2 10 11 3 2" xfId="6270" xr:uid="{00000000-0005-0000-0000-00007E180000}"/>
    <cellStyle name="Normal 2 2 10 11 3 3" xfId="6271" xr:uid="{00000000-0005-0000-0000-00007F180000}"/>
    <cellStyle name="Normal 2 2 10 11 3 4" xfId="6272" xr:uid="{00000000-0005-0000-0000-000080180000}"/>
    <cellStyle name="Normal 2 2 10 11 3 5" xfId="6273" xr:uid="{00000000-0005-0000-0000-000081180000}"/>
    <cellStyle name="Normal 2 2 10 11 3 6" xfId="6274" xr:uid="{00000000-0005-0000-0000-000082180000}"/>
    <cellStyle name="Normal 2 2 10 11 3 7" xfId="6275" xr:uid="{00000000-0005-0000-0000-000083180000}"/>
    <cellStyle name="Normal 2 2 10 11 3 8" xfId="6276" xr:uid="{00000000-0005-0000-0000-000084180000}"/>
    <cellStyle name="Normal 2 2 10 11 3 9" xfId="6277" xr:uid="{00000000-0005-0000-0000-000085180000}"/>
    <cellStyle name="Normal 2 2 10 11 4" xfId="6278" xr:uid="{00000000-0005-0000-0000-000086180000}"/>
    <cellStyle name="Normal 2 2 10 11 4 10" xfId="6279" xr:uid="{00000000-0005-0000-0000-000087180000}"/>
    <cellStyle name="Normal 2 2 10 11 4 2" xfId="6280" xr:uid="{00000000-0005-0000-0000-000088180000}"/>
    <cellStyle name="Normal 2 2 10 11 4 3" xfId="6281" xr:uid="{00000000-0005-0000-0000-000089180000}"/>
    <cellStyle name="Normal 2 2 10 11 4 4" xfId="6282" xr:uid="{00000000-0005-0000-0000-00008A180000}"/>
    <cellStyle name="Normal 2 2 10 11 4 5" xfId="6283" xr:uid="{00000000-0005-0000-0000-00008B180000}"/>
    <cellStyle name="Normal 2 2 10 11 4 6" xfId="6284" xr:uid="{00000000-0005-0000-0000-00008C180000}"/>
    <cellStyle name="Normal 2 2 10 11 4 7" xfId="6285" xr:uid="{00000000-0005-0000-0000-00008D180000}"/>
    <cellStyle name="Normal 2 2 10 11 4 8" xfId="6286" xr:uid="{00000000-0005-0000-0000-00008E180000}"/>
    <cellStyle name="Normal 2 2 10 11 4 9" xfId="6287" xr:uid="{00000000-0005-0000-0000-00008F180000}"/>
    <cellStyle name="Normal 2 2 10 11 5" xfId="6288" xr:uid="{00000000-0005-0000-0000-000090180000}"/>
    <cellStyle name="Normal 2 2 10 11 5 10" xfId="6289" xr:uid="{00000000-0005-0000-0000-000091180000}"/>
    <cellStyle name="Normal 2 2 10 11 5 2" xfId="6290" xr:uid="{00000000-0005-0000-0000-000092180000}"/>
    <cellStyle name="Normal 2 2 10 11 5 3" xfId="6291" xr:uid="{00000000-0005-0000-0000-000093180000}"/>
    <cellStyle name="Normal 2 2 10 11 5 4" xfId="6292" xr:uid="{00000000-0005-0000-0000-000094180000}"/>
    <cellStyle name="Normal 2 2 10 11 5 5" xfId="6293" xr:uid="{00000000-0005-0000-0000-000095180000}"/>
    <cellStyle name="Normal 2 2 10 11 5 6" xfId="6294" xr:uid="{00000000-0005-0000-0000-000096180000}"/>
    <cellStyle name="Normal 2 2 10 11 5 7" xfId="6295" xr:uid="{00000000-0005-0000-0000-000097180000}"/>
    <cellStyle name="Normal 2 2 10 11 5 8" xfId="6296" xr:uid="{00000000-0005-0000-0000-000098180000}"/>
    <cellStyle name="Normal 2 2 10 11 5 9" xfId="6297" xr:uid="{00000000-0005-0000-0000-000099180000}"/>
    <cellStyle name="Normal 2 2 10 11 6" xfId="6298" xr:uid="{00000000-0005-0000-0000-00009A180000}"/>
    <cellStyle name="Normal 2 2 10 11 7" xfId="6299" xr:uid="{00000000-0005-0000-0000-00009B180000}"/>
    <cellStyle name="Normal 2 2 10 11 8" xfId="6300" xr:uid="{00000000-0005-0000-0000-00009C180000}"/>
    <cellStyle name="Normal 2 2 10 11 9" xfId="6301" xr:uid="{00000000-0005-0000-0000-00009D180000}"/>
    <cellStyle name="Normal 2 2 10 12" xfId="6302" xr:uid="{00000000-0005-0000-0000-00009E180000}"/>
    <cellStyle name="Normal 2 2 10 12 10" xfId="6303" xr:uid="{00000000-0005-0000-0000-00009F180000}"/>
    <cellStyle name="Normal 2 2 10 12 11" xfId="6304" xr:uid="{00000000-0005-0000-0000-0000A0180000}"/>
    <cellStyle name="Normal 2 2 10 12 12" xfId="6305" xr:uid="{00000000-0005-0000-0000-0000A1180000}"/>
    <cellStyle name="Normal 2 2 10 12 13" xfId="6306" xr:uid="{00000000-0005-0000-0000-0000A2180000}"/>
    <cellStyle name="Normal 2 2 10 12 14" xfId="6307" xr:uid="{00000000-0005-0000-0000-0000A3180000}"/>
    <cellStyle name="Normal 2 2 10 12 2" xfId="6308" xr:uid="{00000000-0005-0000-0000-0000A4180000}"/>
    <cellStyle name="Normal 2 2 10 12 2 10" xfId="6309" xr:uid="{00000000-0005-0000-0000-0000A5180000}"/>
    <cellStyle name="Normal 2 2 10 12 2 2" xfId="6310" xr:uid="{00000000-0005-0000-0000-0000A6180000}"/>
    <cellStyle name="Normal 2 2 10 12 2 3" xfId="6311" xr:uid="{00000000-0005-0000-0000-0000A7180000}"/>
    <cellStyle name="Normal 2 2 10 12 2 4" xfId="6312" xr:uid="{00000000-0005-0000-0000-0000A8180000}"/>
    <cellStyle name="Normal 2 2 10 12 2 5" xfId="6313" xr:uid="{00000000-0005-0000-0000-0000A9180000}"/>
    <cellStyle name="Normal 2 2 10 12 2 6" xfId="6314" xr:uid="{00000000-0005-0000-0000-0000AA180000}"/>
    <cellStyle name="Normal 2 2 10 12 2 7" xfId="6315" xr:uid="{00000000-0005-0000-0000-0000AB180000}"/>
    <cellStyle name="Normal 2 2 10 12 2 8" xfId="6316" xr:uid="{00000000-0005-0000-0000-0000AC180000}"/>
    <cellStyle name="Normal 2 2 10 12 2 9" xfId="6317" xr:uid="{00000000-0005-0000-0000-0000AD180000}"/>
    <cellStyle name="Normal 2 2 10 12 3" xfId="6318" xr:uid="{00000000-0005-0000-0000-0000AE180000}"/>
    <cellStyle name="Normal 2 2 10 12 3 10" xfId="6319" xr:uid="{00000000-0005-0000-0000-0000AF180000}"/>
    <cellStyle name="Normal 2 2 10 12 3 2" xfId="6320" xr:uid="{00000000-0005-0000-0000-0000B0180000}"/>
    <cellStyle name="Normal 2 2 10 12 3 3" xfId="6321" xr:uid="{00000000-0005-0000-0000-0000B1180000}"/>
    <cellStyle name="Normal 2 2 10 12 3 4" xfId="6322" xr:uid="{00000000-0005-0000-0000-0000B2180000}"/>
    <cellStyle name="Normal 2 2 10 12 3 5" xfId="6323" xr:uid="{00000000-0005-0000-0000-0000B3180000}"/>
    <cellStyle name="Normal 2 2 10 12 3 6" xfId="6324" xr:uid="{00000000-0005-0000-0000-0000B4180000}"/>
    <cellStyle name="Normal 2 2 10 12 3 7" xfId="6325" xr:uid="{00000000-0005-0000-0000-0000B5180000}"/>
    <cellStyle name="Normal 2 2 10 12 3 8" xfId="6326" xr:uid="{00000000-0005-0000-0000-0000B6180000}"/>
    <cellStyle name="Normal 2 2 10 12 3 9" xfId="6327" xr:uid="{00000000-0005-0000-0000-0000B7180000}"/>
    <cellStyle name="Normal 2 2 10 12 4" xfId="6328" xr:uid="{00000000-0005-0000-0000-0000B8180000}"/>
    <cellStyle name="Normal 2 2 10 12 4 10" xfId="6329" xr:uid="{00000000-0005-0000-0000-0000B9180000}"/>
    <cellStyle name="Normal 2 2 10 12 4 2" xfId="6330" xr:uid="{00000000-0005-0000-0000-0000BA180000}"/>
    <cellStyle name="Normal 2 2 10 12 4 3" xfId="6331" xr:uid="{00000000-0005-0000-0000-0000BB180000}"/>
    <cellStyle name="Normal 2 2 10 12 4 4" xfId="6332" xr:uid="{00000000-0005-0000-0000-0000BC180000}"/>
    <cellStyle name="Normal 2 2 10 12 4 5" xfId="6333" xr:uid="{00000000-0005-0000-0000-0000BD180000}"/>
    <cellStyle name="Normal 2 2 10 12 4 6" xfId="6334" xr:uid="{00000000-0005-0000-0000-0000BE180000}"/>
    <cellStyle name="Normal 2 2 10 12 4 7" xfId="6335" xr:uid="{00000000-0005-0000-0000-0000BF180000}"/>
    <cellStyle name="Normal 2 2 10 12 4 8" xfId="6336" xr:uid="{00000000-0005-0000-0000-0000C0180000}"/>
    <cellStyle name="Normal 2 2 10 12 4 9" xfId="6337" xr:uid="{00000000-0005-0000-0000-0000C1180000}"/>
    <cellStyle name="Normal 2 2 10 12 5" xfId="6338" xr:uid="{00000000-0005-0000-0000-0000C2180000}"/>
    <cellStyle name="Normal 2 2 10 12 5 10" xfId="6339" xr:uid="{00000000-0005-0000-0000-0000C3180000}"/>
    <cellStyle name="Normal 2 2 10 12 5 2" xfId="6340" xr:uid="{00000000-0005-0000-0000-0000C4180000}"/>
    <cellStyle name="Normal 2 2 10 12 5 3" xfId="6341" xr:uid="{00000000-0005-0000-0000-0000C5180000}"/>
    <cellStyle name="Normal 2 2 10 12 5 4" xfId="6342" xr:uid="{00000000-0005-0000-0000-0000C6180000}"/>
    <cellStyle name="Normal 2 2 10 12 5 5" xfId="6343" xr:uid="{00000000-0005-0000-0000-0000C7180000}"/>
    <cellStyle name="Normal 2 2 10 12 5 6" xfId="6344" xr:uid="{00000000-0005-0000-0000-0000C8180000}"/>
    <cellStyle name="Normal 2 2 10 12 5 7" xfId="6345" xr:uid="{00000000-0005-0000-0000-0000C9180000}"/>
    <cellStyle name="Normal 2 2 10 12 5 8" xfId="6346" xr:uid="{00000000-0005-0000-0000-0000CA180000}"/>
    <cellStyle name="Normal 2 2 10 12 5 9" xfId="6347" xr:uid="{00000000-0005-0000-0000-0000CB180000}"/>
    <cellStyle name="Normal 2 2 10 12 6" xfId="6348" xr:uid="{00000000-0005-0000-0000-0000CC180000}"/>
    <cellStyle name="Normal 2 2 10 12 7" xfId="6349" xr:uid="{00000000-0005-0000-0000-0000CD180000}"/>
    <cellStyle name="Normal 2 2 10 12 8" xfId="6350" xr:uid="{00000000-0005-0000-0000-0000CE180000}"/>
    <cellStyle name="Normal 2 2 10 12 9" xfId="6351" xr:uid="{00000000-0005-0000-0000-0000CF180000}"/>
    <cellStyle name="Normal 2 2 10 13" xfId="6352" xr:uid="{00000000-0005-0000-0000-0000D0180000}"/>
    <cellStyle name="Normal 2 2 10 13 10" xfId="6353" xr:uid="{00000000-0005-0000-0000-0000D1180000}"/>
    <cellStyle name="Normal 2 2 10 13 11" xfId="6354" xr:uid="{00000000-0005-0000-0000-0000D2180000}"/>
    <cellStyle name="Normal 2 2 10 13 12" xfId="6355" xr:uid="{00000000-0005-0000-0000-0000D3180000}"/>
    <cellStyle name="Normal 2 2 10 13 13" xfId="6356" xr:uid="{00000000-0005-0000-0000-0000D4180000}"/>
    <cellStyle name="Normal 2 2 10 13 14" xfId="6357" xr:uid="{00000000-0005-0000-0000-0000D5180000}"/>
    <cellStyle name="Normal 2 2 10 13 2" xfId="6358" xr:uid="{00000000-0005-0000-0000-0000D6180000}"/>
    <cellStyle name="Normal 2 2 10 13 2 10" xfId="6359" xr:uid="{00000000-0005-0000-0000-0000D7180000}"/>
    <cellStyle name="Normal 2 2 10 13 2 2" xfId="6360" xr:uid="{00000000-0005-0000-0000-0000D8180000}"/>
    <cellStyle name="Normal 2 2 10 13 2 3" xfId="6361" xr:uid="{00000000-0005-0000-0000-0000D9180000}"/>
    <cellStyle name="Normal 2 2 10 13 2 4" xfId="6362" xr:uid="{00000000-0005-0000-0000-0000DA180000}"/>
    <cellStyle name="Normal 2 2 10 13 2 5" xfId="6363" xr:uid="{00000000-0005-0000-0000-0000DB180000}"/>
    <cellStyle name="Normal 2 2 10 13 2 6" xfId="6364" xr:uid="{00000000-0005-0000-0000-0000DC180000}"/>
    <cellStyle name="Normal 2 2 10 13 2 7" xfId="6365" xr:uid="{00000000-0005-0000-0000-0000DD180000}"/>
    <cellStyle name="Normal 2 2 10 13 2 8" xfId="6366" xr:uid="{00000000-0005-0000-0000-0000DE180000}"/>
    <cellStyle name="Normal 2 2 10 13 2 9" xfId="6367" xr:uid="{00000000-0005-0000-0000-0000DF180000}"/>
    <cellStyle name="Normal 2 2 10 13 3" xfId="6368" xr:uid="{00000000-0005-0000-0000-0000E0180000}"/>
    <cellStyle name="Normal 2 2 10 13 3 10" xfId="6369" xr:uid="{00000000-0005-0000-0000-0000E1180000}"/>
    <cellStyle name="Normal 2 2 10 13 3 2" xfId="6370" xr:uid="{00000000-0005-0000-0000-0000E2180000}"/>
    <cellStyle name="Normal 2 2 10 13 3 3" xfId="6371" xr:uid="{00000000-0005-0000-0000-0000E3180000}"/>
    <cellStyle name="Normal 2 2 10 13 3 4" xfId="6372" xr:uid="{00000000-0005-0000-0000-0000E4180000}"/>
    <cellStyle name="Normal 2 2 10 13 3 5" xfId="6373" xr:uid="{00000000-0005-0000-0000-0000E5180000}"/>
    <cellStyle name="Normal 2 2 10 13 3 6" xfId="6374" xr:uid="{00000000-0005-0000-0000-0000E6180000}"/>
    <cellStyle name="Normal 2 2 10 13 3 7" xfId="6375" xr:uid="{00000000-0005-0000-0000-0000E7180000}"/>
    <cellStyle name="Normal 2 2 10 13 3 8" xfId="6376" xr:uid="{00000000-0005-0000-0000-0000E8180000}"/>
    <cellStyle name="Normal 2 2 10 13 3 9" xfId="6377" xr:uid="{00000000-0005-0000-0000-0000E9180000}"/>
    <cellStyle name="Normal 2 2 10 13 4" xfId="6378" xr:uid="{00000000-0005-0000-0000-0000EA180000}"/>
    <cellStyle name="Normal 2 2 10 13 4 10" xfId="6379" xr:uid="{00000000-0005-0000-0000-0000EB180000}"/>
    <cellStyle name="Normal 2 2 10 13 4 2" xfId="6380" xr:uid="{00000000-0005-0000-0000-0000EC180000}"/>
    <cellStyle name="Normal 2 2 10 13 4 3" xfId="6381" xr:uid="{00000000-0005-0000-0000-0000ED180000}"/>
    <cellStyle name="Normal 2 2 10 13 4 4" xfId="6382" xr:uid="{00000000-0005-0000-0000-0000EE180000}"/>
    <cellStyle name="Normal 2 2 10 13 4 5" xfId="6383" xr:uid="{00000000-0005-0000-0000-0000EF180000}"/>
    <cellStyle name="Normal 2 2 10 13 4 6" xfId="6384" xr:uid="{00000000-0005-0000-0000-0000F0180000}"/>
    <cellStyle name="Normal 2 2 10 13 4 7" xfId="6385" xr:uid="{00000000-0005-0000-0000-0000F1180000}"/>
    <cellStyle name="Normal 2 2 10 13 4 8" xfId="6386" xr:uid="{00000000-0005-0000-0000-0000F2180000}"/>
    <cellStyle name="Normal 2 2 10 13 4 9" xfId="6387" xr:uid="{00000000-0005-0000-0000-0000F3180000}"/>
    <cellStyle name="Normal 2 2 10 13 5" xfId="6388" xr:uid="{00000000-0005-0000-0000-0000F4180000}"/>
    <cellStyle name="Normal 2 2 10 13 5 10" xfId="6389" xr:uid="{00000000-0005-0000-0000-0000F5180000}"/>
    <cellStyle name="Normal 2 2 10 13 5 2" xfId="6390" xr:uid="{00000000-0005-0000-0000-0000F6180000}"/>
    <cellStyle name="Normal 2 2 10 13 5 3" xfId="6391" xr:uid="{00000000-0005-0000-0000-0000F7180000}"/>
    <cellStyle name="Normal 2 2 10 13 5 4" xfId="6392" xr:uid="{00000000-0005-0000-0000-0000F8180000}"/>
    <cellStyle name="Normal 2 2 10 13 5 5" xfId="6393" xr:uid="{00000000-0005-0000-0000-0000F9180000}"/>
    <cellStyle name="Normal 2 2 10 13 5 6" xfId="6394" xr:uid="{00000000-0005-0000-0000-0000FA180000}"/>
    <cellStyle name="Normal 2 2 10 13 5 7" xfId="6395" xr:uid="{00000000-0005-0000-0000-0000FB180000}"/>
    <cellStyle name="Normal 2 2 10 13 5 8" xfId="6396" xr:uid="{00000000-0005-0000-0000-0000FC180000}"/>
    <cellStyle name="Normal 2 2 10 13 5 9" xfId="6397" xr:uid="{00000000-0005-0000-0000-0000FD180000}"/>
    <cellStyle name="Normal 2 2 10 13 6" xfId="6398" xr:uid="{00000000-0005-0000-0000-0000FE180000}"/>
    <cellStyle name="Normal 2 2 10 13 7" xfId="6399" xr:uid="{00000000-0005-0000-0000-0000FF180000}"/>
    <cellStyle name="Normal 2 2 10 13 8" xfId="6400" xr:uid="{00000000-0005-0000-0000-000000190000}"/>
    <cellStyle name="Normal 2 2 10 13 9" xfId="6401" xr:uid="{00000000-0005-0000-0000-000001190000}"/>
    <cellStyle name="Normal 2 2 10 14" xfId="6402" xr:uid="{00000000-0005-0000-0000-000002190000}"/>
    <cellStyle name="Normal 2 2 10 14 10" xfId="6403" xr:uid="{00000000-0005-0000-0000-000003190000}"/>
    <cellStyle name="Normal 2 2 10 14 11" xfId="6404" xr:uid="{00000000-0005-0000-0000-000004190000}"/>
    <cellStyle name="Normal 2 2 10 14 12" xfId="6405" xr:uid="{00000000-0005-0000-0000-000005190000}"/>
    <cellStyle name="Normal 2 2 10 14 13" xfId="6406" xr:uid="{00000000-0005-0000-0000-000006190000}"/>
    <cellStyle name="Normal 2 2 10 14 14" xfId="6407" xr:uid="{00000000-0005-0000-0000-000007190000}"/>
    <cellStyle name="Normal 2 2 10 14 2" xfId="6408" xr:uid="{00000000-0005-0000-0000-000008190000}"/>
    <cellStyle name="Normal 2 2 10 14 2 10" xfId="6409" xr:uid="{00000000-0005-0000-0000-000009190000}"/>
    <cellStyle name="Normal 2 2 10 14 2 2" xfId="6410" xr:uid="{00000000-0005-0000-0000-00000A190000}"/>
    <cellStyle name="Normal 2 2 10 14 2 3" xfId="6411" xr:uid="{00000000-0005-0000-0000-00000B190000}"/>
    <cellStyle name="Normal 2 2 10 14 2 4" xfId="6412" xr:uid="{00000000-0005-0000-0000-00000C190000}"/>
    <cellStyle name="Normal 2 2 10 14 2 5" xfId="6413" xr:uid="{00000000-0005-0000-0000-00000D190000}"/>
    <cellStyle name="Normal 2 2 10 14 2 6" xfId="6414" xr:uid="{00000000-0005-0000-0000-00000E190000}"/>
    <cellStyle name="Normal 2 2 10 14 2 7" xfId="6415" xr:uid="{00000000-0005-0000-0000-00000F190000}"/>
    <cellStyle name="Normal 2 2 10 14 2 8" xfId="6416" xr:uid="{00000000-0005-0000-0000-000010190000}"/>
    <cellStyle name="Normal 2 2 10 14 2 9" xfId="6417" xr:uid="{00000000-0005-0000-0000-000011190000}"/>
    <cellStyle name="Normal 2 2 10 14 3" xfId="6418" xr:uid="{00000000-0005-0000-0000-000012190000}"/>
    <cellStyle name="Normal 2 2 10 14 3 10" xfId="6419" xr:uid="{00000000-0005-0000-0000-000013190000}"/>
    <cellStyle name="Normal 2 2 10 14 3 2" xfId="6420" xr:uid="{00000000-0005-0000-0000-000014190000}"/>
    <cellStyle name="Normal 2 2 10 14 3 3" xfId="6421" xr:uid="{00000000-0005-0000-0000-000015190000}"/>
    <cellStyle name="Normal 2 2 10 14 3 4" xfId="6422" xr:uid="{00000000-0005-0000-0000-000016190000}"/>
    <cellStyle name="Normal 2 2 10 14 3 5" xfId="6423" xr:uid="{00000000-0005-0000-0000-000017190000}"/>
    <cellStyle name="Normal 2 2 10 14 3 6" xfId="6424" xr:uid="{00000000-0005-0000-0000-000018190000}"/>
    <cellStyle name="Normal 2 2 10 14 3 7" xfId="6425" xr:uid="{00000000-0005-0000-0000-000019190000}"/>
    <cellStyle name="Normal 2 2 10 14 3 8" xfId="6426" xr:uid="{00000000-0005-0000-0000-00001A190000}"/>
    <cellStyle name="Normal 2 2 10 14 3 9" xfId="6427" xr:uid="{00000000-0005-0000-0000-00001B190000}"/>
    <cellStyle name="Normal 2 2 10 14 4" xfId="6428" xr:uid="{00000000-0005-0000-0000-00001C190000}"/>
    <cellStyle name="Normal 2 2 10 14 4 10" xfId="6429" xr:uid="{00000000-0005-0000-0000-00001D190000}"/>
    <cellStyle name="Normal 2 2 10 14 4 2" xfId="6430" xr:uid="{00000000-0005-0000-0000-00001E190000}"/>
    <cellStyle name="Normal 2 2 10 14 4 3" xfId="6431" xr:uid="{00000000-0005-0000-0000-00001F190000}"/>
    <cellStyle name="Normal 2 2 10 14 4 4" xfId="6432" xr:uid="{00000000-0005-0000-0000-000020190000}"/>
    <cellStyle name="Normal 2 2 10 14 4 5" xfId="6433" xr:uid="{00000000-0005-0000-0000-000021190000}"/>
    <cellStyle name="Normal 2 2 10 14 4 6" xfId="6434" xr:uid="{00000000-0005-0000-0000-000022190000}"/>
    <cellStyle name="Normal 2 2 10 14 4 7" xfId="6435" xr:uid="{00000000-0005-0000-0000-000023190000}"/>
    <cellStyle name="Normal 2 2 10 14 4 8" xfId="6436" xr:uid="{00000000-0005-0000-0000-000024190000}"/>
    <cellStyle name="Normal 2 2 10 14 4 9" xfId="6437" xr:uid="{00000000-0005-0000-0000-000025190000}"/>
    <cellStyle name="Normal 2 2 10 14 5" xfId="6438" xr:uid="{00000000-0005-0000-0000-000026190000}"/>
    <cellStyle name="Normal 2 2 10 14 5 10" xfId="6439" xr:uid="{00000000-0005-0000-0000-000027190000}"/>
    <cellStyle name="Normal 2 2 10 14 5 2" xfId="6440" xr:uid="{00000000-0005-0000-0000-000028190000}"/>
    <cellStyle name="Normal 2 2 10 14 5 3" xfId="6441" xr:uid="{00000000-0005-0000-0000-000029190000}"/>
    <cellStyle name="Normal 2 2 10 14 5 4" xfId="6442" xr:uid="{00000000-0005-0000-0000-00002A190000}"/>
    <cellStyle name="Normal 2 2 10 14 5 5" xfId="6443" xr:uid="{00000000-0005-0000-0000-00002B190000}"/>
    <cellStyle name="Normal 2 2 10 14 5 6" xfId="6444" xr:uid="{00000000-0005-0000-0000-00002C190000}"/>
    <cellStyle name="Normal 2 2 10 14 5 7" xfId="6445" xr:uid="{00000000-0005-0000-0000-00002D190000}"/>
    <cellStyle name="Normal 2 2 10 14 5 8" xfId="6446" xr:uid="{00000000-0005-0000-0000-00002E190000}"/>
    <cellStyle name="Normal 2 2 10 14 5 9" xfId="6447" xr:uid="{00000000-0005-0000-0000-00002F190000}"/>
    <cellStyle name="Normal 2 2 10 14 6" xfId="6448" xr:uid="{00000000-0005-0000-0000-000030190000}"/>
    <cellStyle name="Normal 2 2 10 14 7" xfId="6449" xr:uid="{00000000-0005-0000-0000-000031190000}"/>
    <cellStyle name="Normal 2 2 10 14 8" xfId="6450" xr:uid="{00000000-0005-0000-0000-000032190000}"/>
    <cellStyle name="Normal 2 2 10 14 9" xfId="6451" xr:uid="{00000000-0005-0000-0000-000033190000}"/>
    <cellStyle name="Normal 2 2 10 15" xfId="6452" xr:uid="{00000000-0005-0000-0000-000034190000}"/>
    <cellStyle name="Normal 2 2 10 15 10" xfId="6453" xr:uid="{00000000-0005-0000-0000-000035190000}"/>
    <cellStyle name="Normal 2 2 10 15 11" xfId="6454" xr:uid="{00000000-0005-0000-0000-000036190000}"/>
    <cellStyle name="Normal 2 2 10 15 12" xfId="6455" xr:uid="{00000000-0005-0000-0000-000037190000}"/>
    <cellStyle name="Normal 2 2 10 15 13" xfId="6456" xr:uid="{00000000-0005-0000-0000-000038190000}"/>
    <cellStyle name="Normal 2 2 10 15 14" xfId="6457" xr:uid="{00000000-0005-0000-0000-000039190000}"/>
    <cellStyle name="Normal 2 2 10 15 2" xfId="6458" xr:uid="{00000000-0005-0000-0000-00003A190000}"/>
    <cellStyle name="Normal 2 2 10 15 2 10" xfId="6459" xr:uid="{00000000-0005-0000-0000-00003B190000}"/>
    <cellStyle name="Normal 2 2 10 15 2 2" xfId="6460" xr:uid="{00000000-0005-0000-0000-00003C190000}"/>
    <cellStyle name="Normal 2 2 10 15 2 3" xfId="6461" xr:uid="{00000000-0005-0000-0000-00003D190000}"/>
    <cellStyle name="Normal 2 2 10 15 2 4" xfId="6462" xr:uid="{00000000-0005-0000-0000-00003E190000}"/>
    <cellStyle name="Normal 2 2 10 15 2 5" xfId="6463" xr:uid="{00000000-0005-0000-0000-00003F190000}"/>
    <cellStyle name="Normal 2 2 10 15 2 6" xfId="6464" xr:uid="{00000000-0005-0000-0000-000040190000}"/>
    <cellStyle name="Normal 2 2 10 15 2 7" xfId="6465" xr:uid="{00000000-0005-0000-0000-000041190000}"/>
    <cellStyle name="Normal 2 2 10 15 2 8" xfId="6466" xr:uid="{00000000-0005-0000-0000-000042190000}"/>
    <cellStyle name="Normal 2 2 10 15 2 9" xfId="6467" xr:uid="{00000000-0005-0000-0000-000043190000}"/>
    <cellStyle name="Normal 2 2 10 15 3" xfId="6468" xr:uid="{00000000-0005-0000-0000-000044190000}"/>
    <cellStyle name="Normal 2 2 10 15 3 10" xfId="6469" xr:uid="{00000000-0005-0000-0000-000045190000}"/>
    <cellStyle name="Normal 2 2 10 15 3 2" xfId="6470" xr:uid="{00000000-0005-0000-0000-000046190000}"/>
    <cellStyle name="Normal 2 2 10 15 3 3" xfId="6471" xr:uid="{00000000-0005-0000-0000-000047190000}"/>
    <cellStyle name="Normal 2 2 10 15 3 4" xfId="6472" xr:uid="{00000000-0005-0000-0000-000048190000}"/>
    <cellStyle name="Normal 2 2 10 15 3 5" xfId="6473" xr:uid="{00000000-0005-0000-0000-000049190000}"/>
    <cellStyle name="Normal 2 2 10 15 3 6" xfId="6474" xr:uid="{00000000-0005-0000-0000-00004A190000}"/>
    <cellStyle name="Normal 2 2 10 15 3 7" xfId="6475" xr:uid="{00000000-0005-0000-0000-00004B190000}"/>
    <cellStyle name="Normal 2 2 10 15 3 8" xfId="6476" xr:uid="{00000000-0005-0000-0000-00004C190000}"/>
    <cellStyle name="Normal 2 2 10 15 3 9" xfId="6477" xr:uid="{00000000-0005-0000-0000-00004D190000}"/>
    <cellStyle name="Normal 2 2 10 15 4" xfId="6478" xr:uid="{00000000-0005-0000-0000-00004E190000}"/>
    <cellStyle name="Normal 2 2 10 15 4 10" xfId="6479" xr:uid="{00000000-0005-0000-0000-00004F190000}"/>
    <cellStyle name="Normal 2 2 10 15 4 2" xfId="6480" xr:uid="{00000000-0005-0000-0000-000050190000}"/>
    <cellStyle name="Normal 2 2 10 15 4 3" xfId="6481" xr:uid="{00000000-0005-0000-0000-000051190000}"/>
    <cellStyle name="Normal 2 2 10 15 4 4" xfId="6482" xr:uid="{00000000-0005-0000-0000-000052190000}"/>
    <cellStyle name="Normal 2 2 10 15 4 5" xfId="6483" xr:uid="{00000000-0005-0000-0000-000053190000}"/>
    <cellStyle name="Normal 2 2 10 15 4 6" xfId="6484" xr:uid="{00000000-0005-0000-0000-000054190000}"/>
    <cellStyle name="Normal 2 2 10 15 4 7" xfId="6485" xr:uid="{00000000-0005-0000-0000-000055190000}"/>
    <cellStyle name="Normal 2 2 10 15 4 8" xfId="6486" xr:uid="{00000000-0005-0000-0000-000056190000}"/>
    <cellStyle name="Normal 2 2 10 15 4 9" xfId="6487" xr:uid="{00000000-0005-0000-0000-000057190000}"/>
    <cellStyle name="Normal 2 2 10 15 5" xfId="6488" xr:uid="{00000000-0005-0000-0000-000058190000}"/>
    <cellStyle name="Normal 2 2 10 15 5 10" xfId="6489" xr:uid="{00000000-0005-0000-0000-000059190000}"/>
    <cellStyle name="Normal 2 2 10 15 5 2" xfId="6490" xr:uid="{00000000-0005-0000-0000-00005A190000}"/>
    <cellStyle name="Normal 2 2 10 15 5 3" xfId="6491" xr:uid="{00000000-0005-0000-0000-00005B190000}"/>
    <cellStyle name="Normal 2 2 10 15 5 4" xfId="6492" xr:uid="{00000000-0005-0000-0000-00005C190000}"/>
    <cellStyle name="Normal 2 2 10 15 5 5" xfId="6493" xr:uid="{00000000-0005-0000-0000-00005D190000}"/>
    <cellStyle name="Normal 2 2 10 15 5 6" xfId="6494" xr:uid="{00000000-0005-0000-0000-00005E190000}"/>
    <cellStyle name="Normal 2 2 10 15 5 7" xfId="6495" xr:uid="{00000000-0005-0000-0000-00005F190000}"/>
    <cellStyle name="Normal 2 2 10 15 5 8" xfId="6496" xr:uid="{00000000-0005-0000-0000-000060190000}"/>
    <cellStyle name="Normal 2 2 10 15 5 9" xfId="6497" xr:uid="{00000000-0005-0000-0000-000061190000}"/>
    <cellStyle name="Normal 2 2 10 15 6" xfId="6498" xr:uid="{00000000-0005-0000-0000-000062190000}"/>
    <cellStyle name="Normal 2 2 10 15 7" xfId="6499" xr:uid="{00000000-0005-0000-0000-000063190000}"/>
    <cellStyle name="Normal 2 2 10 15 8" xfId="6500" xr:uid="{00000000-0005-0000-0000-000064190000}"/>
    <cellStyle name="Normal 2 2 10 15 9" xfId="6501" xr:uid="{00000000-0005-0000-0000-000065190000}"/>
    <cellStyle name="Normal 2 2 10 16" xfId="6502" xr:uid="{00000000-0005-0000-0000-000066190000}"/>
    <cellStyle name="Normal 2 2 10 16 10" xfId="6503" xr:uid="{00000000-0005-0000-0000-000067190000}"/>
    <cellStyle name="Normal 2 2 10 16 11" xfId="6504" xr:uid="{00000000-0005-0000-0000-000068190000}"/>
    <cellStyle name="Normal 2 2 10 16 12" xfId="6505" xr:uid="{00000000-0005-0000-0000-000069190000}"/>
    <cellStyle name="Normal 2 2 10 16 13" xfId="6506" xr:uid="{00000000-0005-0000-0000-00006A190000}"/>
    <cellStyle name="Normal 2 2 10 16 14" xfId="6507" xr:uid="{00000000-0005-0000-0000-00006B190000}"/>
    <cellStyle name="Normal 2 2 10 16 2" xfId="6508" xr:uid="{00000000-0005-0000-0000-00006C190000}"/>
    <cellStyle name="Normal 2 2 10 16 2 10" xfId="6509" xr:uid="{00000000-0005-0000-0000-00006D190000}"/>
    <cellStyle name="Normal 2 2 10 16 2 2" xfId="6510" xr:uid="{00000000-0005-0000-0000-00006E190000}"/>
    <cellStyle name="Normal 2 2 10 16 2 3" xfId="6511" xr:uid="{00000000-0005-0000-0000-00006F190000}"/>
    <cellStyle name="Normal 2 2 10 16 2 4" xfId="6512" xr:uid="{00000000-0005-0000-0000-000070190000}"/>
    <cellStyle name="Normal 2 2 10 16 2 5" xfId="6513" xr:uid="{00000000-0005-0000-0000-000071190000}"/>
    <cellStyle name="Normal 2 2 10 16 2 6" xfId="6514" xr:uid="{00000000-0005-0000-0000-000072190000}"/>
    <cellStyle name="Normal 2 2 10 16 2 7" xfId="6515" xr:uid="{00000000-0005-0000-0000-000073190000}"/>
    <cellStyle name="Normal 2 2 10 16 2 8" xfId="6516" xr:uid="{00000000-0005-0000-0000-000074190000}"/>
    <cellStyle name="Normal 2 2 10 16 2 9" xfId="6517" xr:uid="{00000000-0005-0000-0000-000075190000}"/>
    <cellStyle name="Normal 2 2 10 16 3" xfId="6518" xr:uid="{00000000-0005-0000-0000-000076190000}"/>
    <cellStyle name="Normal 2 2 10 16 3 10" xfId="6519" xr:uid="{00000000-0005-0000-0000-000077190000}"/>
    <cellStyle name="Normal 2 2 10 16 3 2" xfId="6520" xr:uid="{00000000-0005-0000-0000-000078190000}"/>
    <cellStyle name="Normal 2 2 10 16 3 3" xfId="6521" xr:uid="{00000000-0005-0000-0000-000079190000}"/>
    <cellStyle name="Normal 2 2 10 16 3 4" xfId="6522" xr:uid="{00000000-0005-0000-0000-00007A190000}"/>
    <cellStyle name="Normal 2 2 10 16 3 5" xfId="6523" xr:uid="{00000000-0005-0000-0000-00007B190000}"/>
    <cellStyle name="Normal 2 2 10 16 3 6" xfId="6524" xr:uid="{00000000-0005-0000-0000-00007C190000}"/>
    <cellStyle name="Normal 2 2 10 16 3 7" xfId="6525" xr:uid="{00000000-0005-0000-0000-00007D190000}"/>
    <cellStyle name="Normal 2 2 10 16 3 8" xfId="6526" xr:uid="{00000000-0005-0000-0000-00007E190000}"/>
    <cellStyle name="Normal 2 2 10 16 3 9" xfId="6527" xr:uid="{00000000-0005-0000-0000-00007F190000}"/>
    <cellStyle name="Normal 2 2 10 16 4" xfId="6528" xr:uid="{00000000-0005-0000-0000-000080190000}"/>
    <cellStyle name="Normal 2 2 10 16 4 10" xfId="6529" xr:uid="{00000000-0005-0000-0000-000081190000}"/>
    <cellStyle name="Normal 2 2 10 16 4 2" xfId="6530" xr:uid="{00000000-0005-0000-0000-000082190000}"/>
    <cellStyle name="Normal 2 2 10 16 4 3" xfId="6531" xr:uid="{00000000-0005-0000-0000-000083190000}"/>
    <cellStyle name="Normal 2 2 10 16 4 4" xfId="6532" xr:uid="{00000000-0005-0000-0000-000084190000}"/>
    <cellStyle name="Normal 2 2 10 16 4 5" xfId="6533" xr:uid="{00000000-0005-0000-0000-000085190000}"/>
    <cellStyle name="Normal 2 2 10 16 4 6" xfId="6534" xr:uid="{00000000-0005-0000-0000-000086190000}"/>
    <cellStyle name="Normal 2 2 10 16 4 7" xfId="6535" xr:uid="{00000000-0005-0000-0000-000087190000}"/>
    <cellStyle name="Normal 2 2 10 16 4 8" xfId="6536" xr:uid="{00000000-0005-0000-0000-000088190000}"/>
    <cellStyle name="Normal 2 2 10 16 4 9" xfId="6537" xr:uid="{00000000-0005-0000-0000-000089190000}"/>
    <cellStyle name="Normal 2 2 10 16 5" xfId="6538" xr:uid="{00000000-0005-0000-0000-00008A190000}"/>
    <cellStyle name="Normal 2 2 10 16 5 10" xfId="6539" xr:uid="{00000000-0005-0000-0000-00008B190000}"/>
    <cellStyle name="Normal 2 2 10 16 5 2" xfId="6540" xr:uid="{00000000-0005-0000-0000-00008C190000}"/>
    <cellStyle name="Normal 2 2 10 16 5 3" xfId="6541" xr:uid="{00000000-0005-0000-0000-00008D190000}"/>
    <cellStyle name="Normal 2 2 10 16 5 4" xfId="6542" xr:uid="{00000000-0005-0000-0000-00008E190000}"/>
    <cellStyle name="Normal 2 2 10 16 5 5" xfId="6543" xr:uid="{00000000-0005-0000-0000-00008F190000}"/>
    <cellStyle name="Normal 2 2 10 16 5 6" xfId="6544" xr:uid="{00000000-0005-0000-0000-000090190000}"/>
    <cellStyle name="Normal 2 2 10 16 5 7" xfId="6545" xr:uid="{00000000-0005-0000-0000-000091190000}"/>
    <cellStyle name="Normal 2 2 10 16 5 8" xfId="6546" xr:uid="{00000000-0005-0000-0000-000092190000}"/>
    <cellStyle name="Normal 2 2 10 16 5 9" xfId="6547" xr:uid="{00000000-0005-0000-0000-000093190000}"/>
    <cellStyle name="Normal 2 2 10 16 6" xfId="6548" xr:uid="{00000000-0005-0000-0000-000094190000}"/>
    <cellStyle name="Normal 2 2 10 16 7" xfId="6549" xr:uid="{00000000-0005-0000-0000-000095190000}"/>
    <cellStyle name="Normal 2 2 10 16 8" xfId="6550" xr:uid="{00000000-0005-0000-0000-000096190000}"/>
    <cellStyle name="Normal 2 2 10 16 9" xfId="6551" xr:uid="{00000000-0005-0000-0000-000097190000}"/>
    <cellStyle name="Normal 2 2 10 17" xfId="6552" xr:uid="{00000000-0005-0000-0000-000098190000}"/>
    <cellStyle name="Normal 2 2 10 17 10" xfId="6553" xr:uid="{00000000-0005-0000-0000-000099190000}"/>
    <cellStyle name="Normal 2 2 10 17 11" xfId="6554" xr:uid="{00000000-0005-0000-0000-00009A190000}"/>
    <cellStyle name="Normal 2 2 10 17 12" xfId="6555" xr:uid="{00000000-0005-0000-0000-00009B190000}"/>
    <cellStyle name="Normal 2 2 10 17 13" xfId="6556" xr:uid="{00000000-0005-0000-0000-00009C190000}"/>
    <cellStyle name="Normal 2 2 10 17 14" xfId="6557" xr:uid="{00000000-0005-0000-0000-00009D190000}"/>
    <cellStyle name="Normal 2 2 10 17 2" xfId="6558" xr:uid="{00000000-0005-0000-0000-00009E190000}"/>
    <cellStyle name="Normal 2 2 10 17 2 10" xfId="6559" xr:uid="{00000000-0005-0000-0000-00009F190000}"/>
    <cellStyle name="Normal 2 2 10 17 2 2" xfId="6560" xr:uid="{00000000-0005-0000-0000-0000A0190000}"/>
    <cellStyle name="Normal 2 2 10 17 2 3" xfId="6561" xr:uid="{00000000-0005-0000-0000-0000A1190000}"/>
    <cellStyle name="Normal 2 2 10 17 2 4" xfId="6562" xr:uid="{00000000-0005-0000-0000-0000A2190000}"/>
    <cellStyle name="Normal 2 2 10 17 2 5" xfId="6563" xr:uid="{00000000-0005-0000-0000-0000A3190000}"/>
    <cellStyle name="Normal 2 2 10 17 2 6" xfId="6564" xr:uid="{00000000-0005-0000-0000-0000A4190000}"/>
    <cellStyle name="Normal 2 2 10 17 2 7" xfId="6565" xr:uid="{00000000-0005-0000-0000-0000A5190000}"/>
    <cellStyle name="Normal 2 2 10 17 2 8" xfId="6566" xr:uid="{00000000-0005-0000-0000-0000A6190000}"/>
    <cellStyle name="Normal 2 2 10 17 2 9" xfId="6567" xr:uid="{00000000-0005-0000-0000-0000A7190000}"/>
    <cellStyle name="Normal 2 2 10 17 3" xfId="6568" xr:uid="{00000000-0005-0000-0000-0000A8190000}"/>
    <cellStyle name="Normal 2 2 10 17 3 10" xfId="6569" xr:uid="{00000000-0005-0000-0000-0000A9190000}"/>
    <cellStyle name="Normal 2 2 10 17 3 2" xfId="6570" xr:uid="{00000000-0005-0000-0000-0000AA190000}"/>
    <cellStyle name="Normal 2 2 10 17 3 3" xfId="6571" xr:uid="{00000000-0005-0000-0000-0000AB190000}"/>
    <cellStyle name="Normal 2 2 10 17 3 4" xfId="6572" xr:uid="{00000000-0005-0000-0000-0000AC190000}"/>
    <cellStyle name="Normal 2 2 10 17 3 5" xfId="6573" xr:uid="{00000000-0005-0000-0000-0000AD190000}"/>
    <cellStyle name="Normal 2 2 10 17 3 6" xfId="6574" xr:uid="{00000000-0005-0000-0000-0000AE190000}"/>
    <cellStyle name="Normal 2 2 10 17 3 7" xfId="6575" xr:uid="{00000000-0005-0000-0000-0000AF190000}"/>
    <cellStyle name="Normal 2 2 10 17 3 8" xfId="6576" xr:uid="{00000000-0005-0000-0000-0000B0190000}"/>
    <cellStyle name="Normal 2 2 10 17 3 9" xfId="6577" xr:uid="{00000000-0005-0000-0000-0000B1190000}"/>
    <cellStyle name="Normal 2 2 10 17 4" xfId="6578" xr:uid="{00000000-0005-0000-0000-0000B2190000}"/>
    <cellStyle name="Normal 2 2 10 17 4 10" xfId="6579" xr:uid="{00000000-0005-0000-0000-0000B3190000}"/>
    <cellStyle name="Normal 2 2 10 17 4 2" xfId="6580" xr:uid="{00000000-0005-0000-0000-0000B4190000}"/>
    <cellStyle name="Normal 2 2 10 17 4 3" xfId="6581" xr:uid="{00000000-0005-0000-0000-0000B5190000}"/>
    <cellStyle name="Normal 2 2 10 17 4 4" xfId="6582" xr:uid="{00000000-0005-0000-0000-0000B6190000}"/>
    <cellStyle name="Normal 2 2 10 17 4 5" xfId="6583" xr:uid="{00000000-0005-0000-0000-0000B7190000}"/>
    <cellStyle name="Normal 2 2 10 17 4 6" xfId="6584" xr:uid="{00000000-0005-0000-0000-0000B8190000}"/>
    <cellStyle name="Normal 2 2 10 17 4 7" xfId="6585" xr:uid="{00000000-0005-0000-0000-0000B9190000}"/>
    <cellStyle name="Normal 2 2 10 17 4 8" xfId="6586" xr:uid="{00000000-0005-0000-0000-0000BA190000}"/>
    <cellStyle name="Normal 2 2 10 17 4 9" xfId="6587" xr:uid="{00000000-0005-0000-0000-0000BB190000}"/>
    <cellStyle name="Normal 2 2 10 17 5" xfId="6588" xr:uid="{00000000-0005-0000-0000-0000BC190000}"/>
    <cellStyle name="Normal 2 2 10 17 5 10" xfId="6589" xr:uid="{00000000-0005-0000-0000-0000BD190000}"/>
    <cellStyle name="Normal 2 2 10 17 5 2" xfId="6590" xr:uid="{00000000-0005-0000-0000-0000BE190000}"/>
    <cellStyle name="Normal 2 2 10 17 5 3" xfId="6591" xr:uid="{00000000-0005-0000-0000-0000BF190000}"/>
    <cellStyle name="Normal 2 2 10 17 5 4" xfId="6592" xr:uid="{00000000-0005-0000-0000-0000C0190000}"/>
    <cellStyle name="Normal 2 2 10 17 5 5" xfId="6593" xr:uid="{00000000-0005-0000-0000-0000C1190000}"/>
    <cellStyle name="Normal 2 2 10 17 5 6" xfId="6594" xr:uid="{00000000-0005-0000-0000-0000C2190000}"/>
    <cellStyle name="Normal 2 2 10 17 5 7" xfId="6595" xr:uid="{00000000-0005-0000-0000-0000C3190000}"/>
    <cellStyle name="Normal 2 2 10 17 5 8" xfId="6596" xr:uid="{00000000-0005-0000-0000-0000C4190000}"/>
    <cellStyle name="Normal 2 2 10 17 5 9" xfId="6597" xr:uid="{00000000-0005-0000-0000-0000C5190000}"/>
    <cellStyle name="Normal 2 2 10 17 6" xfId="6598" xr:uid="{00000000-0005-0000-0000-0000C6190000}"/>
    <cellStyle name="Normal 2 2 10 17 7" xfId="6599" xr:uid="{00000000-0005-0000-0000-0000C7190000}"/>
    <cellStyle name="Normal 2 2 10 17 8" xfId="6600" xr:uid="{00000000-0005-0000-0000-0000C8190000}"/>
    <cellStyle name="Normal 2 2 10 17 9" xfId="6601" xr:uid="{00000000-0005-0000-0000-0000C9190000}"/>
    <cellStyle name="Normal 2 2 10 18" xfId="6602" xr:uid="{00000000-0005-0000-0000-0000CA190000}"/>
    <cellStyle name="Normal 2 2 10 18 10" xfId="6603" xr:uid="{00000000-0005-0000-0000-0000CB190000}"/>
    <cellStyle name="Normal 2 2 10 18 11" xfId="6604" xr:uid="{00000000-0005-0000-0000-0000CC190000}"/>
    <cellStyle name="Normal 2 2 10 18 12" xfId="6605" xr:uid="{00000000-0005-0000-0000-0000CD190000}"/>
    <cellStyle name="Normal 2 2 10 18 13" xfId="6606" xr:uid="{00000000-0005-0000-0000-0000CE190000}"/>
    <cellStyle name="Normal 2 2 10 18 14" xfId="6607" xr:uid="{00000000-0005-0000-0000-0000CF190000}"/>
    <cellStyle name="Normal 2 2 10 18 2" xfId="6608" xr:uid="{00000000-0005-0000-0000-0000D0190000}"/>
    <cellStyle name="Normal 2 2 10 18 2 10" xfId="6609" xr:uid="{00000000-0005-0000-0000-0000D1190000}"/>
    <cellStyle name="Normal 2 2 10 18 2 2" xfId="6610" xr:uid="{00000000-0005-0000-0000-0000D2190000}"/>
    <cellStyle name="Normal 2 2 10 18 2 3" xfId="6611" xr:uid="{00000000-0005-0000-0000-0000D3190000}"/>
    <cellStyle name="Normal 2 2 10 18 2 4" xfId="6612" xr:uid="{00000000-0005-0000-0000-0000D4190000}"/>
    <cellStyle name="Normal 2 2 10 18 2 5" xfId="6613" xr:uid="{00000000-0005-0000-0000-0000D5190000}"/>
    <cellStyle name="Normal 2 2 10 18 2 6" xfId="6614" xr:uid="{00000000-0005-0000-0000-0000D6190000}"/>
    <cellStyle name="Normal 2 2 10 18 2 7" xfId="6615" xr:uid="{00000000-0005-0000-0000-0000D7190000}"/>
    <cellStyle name="Normal 2 2 10 18 2 8" xfId="6616" xr:uid="{00000000-0005-0000-0000-0000D8190000}"/>
    <cellStyle name="Normal 2 2 10 18 2 9" xfId="6617" xr:uid="{00000000-0005-0000-0000-0000D9190000}"/>
    <cellStyle name="Normal 2 2 10 18 3" xfId="6618" xr:uid="{00000000-0005-0000-0000-0000DA190000}"/>
    <cellStyle name="Normal 2 2 10 18 3 10" xfId="6619" xr:uid="{00000000-0005-0000-0000-0000DB190000}"/>
    <cellStyle name="Normal 2 2 10 18 3 2" xfId="6620" xr:uid="{00000000-0005-0000-0000-0000DC190000}"/>
    <cellStyle name="Normal 2 2 10 18 3 3" xfId="6621" xr:uid="{00000000-0005-0000-0000-0000DD190000}"/>
    <cellStyle name="Normal 2 2 10 18 3 4" xfId="6622" xr:uid="{00000000-0005-0000-0000-0000DE190000}"/>
    <cellStyle name="Normal 2 2 10 18 3 5" xfId="6623" xr:uid="{00000000-0005-0000-0000-0000DF190000}"/>
    <cellStyle name="Normal 2 2 10 18 3 6" xfId="6624" xr:uid="{00000000-0005-0000-0000-0000E0190000}"/>
    <cellStyle name="Normal 2 2 10 18 3 7" xfId="6625" xr:uid="{00000000-0005-0000-0000-0000E1190000}"/>
    <cellStyle name="Normal 2 2 10 18 3 8" xfId="6626" xr:uid="{00000000-0005-0000-0000-0000E2190000}"/>
    <cellStyle name="Normal 2 2 10 18 3 9" xfId="6627" xr:uid="{00000000-0005-0000-0000-0000E3190000}"/>
    <cellStyle name="Normal 2 2 10 18 4" xfId="6628" xr:uid="{00000000-0005-0000-0000-0000E4190000}"/>
    <cellStyle name="Normal 2 2 10 18 4 10" xfId="6629" xr:uid="{00000000-0005-0000-0000-0000E5190000}"/>
    <cellStyle name="Normal 2 2 10 18 4 2" xfId="6630" xr:uid="{00000000-0005-0000-0000-0000E6190000}"/>
    <cellStyle name="Normal 2 2 10 18 4 3" xfId="6631" xr:uid="{00000000-0005-0000-0000-0000E7190000}"/>
    <cellStyle name="Normal 2 2 10 18 4 4" xfId="6632" xr:uid="{00000000-0005-0000-0000-0000E8190000}"/>
    <cellStyle name="Normal 2 2 10 18 4 5" xfId="6633" xr:uid="{00000000-0005-0000-0000-0000E9190000}"/>
    <cellStyle name="Normal 2 2 10 18 4 6" xfId="6634" xr:uid="{00000000-0005-0000-0000-0000EA190000}"/>
    <cellStyle name="Normal 2 2 10 18 4 7" xfId="6635" xr:uid="{00000000-0005-0000-0000-0000EB190000}"/>
    <cellStyle name="Normal 2 2 10 18 4 8" xfId="6636" xr:uid="{00000000-0005-0000-0000-0000EC190000}"/>
    <cellStyle name="Normal 2 2 10 18 4 9" xfId="6637" xr:uid="{00000000-0005-0000-0000-0000ED190000}"/>
    <cellStyle name="Normal 2 2 10 18 5" xfId="6638" xr:uid="{00000000-0005-0000-0000-0000EE190000}"/>
    <cellStyle name="Normal 2 2 10 18 5 10" xfId="6639" xr:uid="{00000000-0005-0000-0000-0000EF190000}"/>
    <cellStyle name="Normal 2 2 10 18 5 2" xfId="6640" xr:uid="{00000000-0005-0000-0000-0000F0190000}"/>
    <cellStyle name="Normal 2 2 10 18 5 3" xfId="6641" xr:uid="{00000000-0005-0000-0000-0000F1190000}"/>
    <cellStyle name="Normal 2 2 10 18 5 4" xfId="6642" xr:uid="{00000000-0005-0000-0000-0000F2190000}"/>
    <cellStyle name="Normal 2 2 10 18 5 5" xfId="6643" xr:uid="{00000000-0005-0000-0000-0000F3190000}"/>
    <cellStyle name="Normal 2 2 10 18 5 6" xfId="6644" xr:uid="{00000000-0005-0000-0000-0000F4190000}"/>
    <cellStyle name="Normal 2 2 10 18 5 7" xfId="6645" xr:uid="{00000000-0005-0000-0000-0000F5190000}"/>
    <cellStyle name="Normal 2 2 10 18 5 8" xfId="6646" xr:uid="{00000000-0005-0000-0000-0000F6190000}"/>
    <cellStyle name="Normal 2 2 10 18 5 9" xfId="6647" xr:uid="{00000000-0005-0000-0000-0000F7190000}"/>
    <cellStyle name="Normal 2 2 10 18 6" xfId="6648" xr:uid="{00000000-0005-0000-0000-0000F8190000}"/>
    <cellStyle name="Normal 2 2 10 18 7" xfId="6649" xr:uid="{00000000-0005-0000-0000-0000F9190000}"/>
    <cellStyle name="Normal 2 2 10 18 8" xfId="6650" xr:uid="{00000000-0005-0000-0000-0000FA190000}"/>
    <cellStyle name="Normal 2 2 10 18 9" xfId="6651" xr:uid="{00000000-0005-0000-0000-0000FB190000}"/>
    <cellStyle name="Normal 2 2 10 19" xfId="6652" xr:uid="{00000000-0005-0000-0000-0000FC190000}"/>
    <cellStyle name="Normal 2 2 10 19 10" xfId="6653" xr:uid="{00000000-0005-0000-0000-0000FD190000}"/>
    <cellStyle name="Normal 2 2 10 19 11" xfId="6654" xr:uid="{00000000-0005-0000-0000-0000FE190000}"/>
    <cellStyle name="Normal 2 2 10 19 12" xfId="6655" xr:uid="{00000000-0005-0000-0000-0000FF190000}"/>
    <cellStyle name="Normal 2 2 10 19 13" xfId="6656" xr:uid="{00000000-0005-0000-0000-0000001A0000}"/>
    <cellStyle name="Normal 2 2 10 19 14" xfId="6657" xr:uid="{00000000-0005-0000-0000-0000011A0000}"/>
    <cellStyle name="Normal 2 2 10 19 2" xfId="6658" xr:uid="{00000000-0005-0000-0000-0000021A0000}"/>
    <cellStyle name="Normal 2 2 10 19 2 10" xfId="6659" xr:uid="{00000000-0005-0000-0000-0000031A0000}"/>
    <cellStyle name="Normal 2 2 10 19 2 2" xfId="6660" xr:uid="{00000000-0005-0000-0000-0000041A0000}"/>
    <cellStyle name="Normal 2 2 10 19 2 3" xfId="6661" xr:uid="{00000000-0005-0000-0000-0000051A0000}"/>
    <cellStyle name="Normal 2 2 10 19 2 4" xfId="6662" xr:uid="{00000000-0005-0000-0000-0000061A0000}"/>
    <cellStyle name="Normal 2 2 10 19 2 5" xfId="6663" xr:uid="{00000000-0005-0000-0000-0000071A0000}"/>
    <cellStyle name="Normal 2 2 10 19 2 6" xfId="6664" xr:uid="{00000000-0005-0000-0000-0000081A0000}"/>
    <cellStyle name="Normal 2 2 10 19 2 7" xfId="6665" xr:uid="{00000000-0005-0000-0000-0000091A0000}"/>
    <cellStyle name="Normal 2 2 10 19 2 8" xfId="6666" xr:uid="{00000000-0005-0000-0000-00000A1A0000}"/>
    <cellStyle name="Normal 2 2 10 19 2 9" xfId="6667" xr:uid="{00000000-0005-0000-0000-00000B1A0000}"/>
    <cellStyle name="Normal 2 2 10 19 3" xfId="6668" xr:uid="{00000000-0005-0000-0000-00000C1A0000}"/>
    <cellStyle name="Normal 2 2 10 19 3 10" xfId="6669" xr:uid="{00000000-0005-0000-0000-00000D1A0000}"/>
    <cellStyle name="Normal 2 2 10 19 3 2" xfId="6670" xr:uid="{00000000-0005-0000-0000-00000E1A0000}"/>
    <cellStyle name="Normal 2 2 10 19 3 3" xfId="6671" xr:uid="{00000000-0005-0000-0000-00000F1A0000}"/>
    <cellStyle name="Normal 2 2 10 19 3 4" xfId="6672" xr:uid="{00000000-0005-0000-0000-0000101A0000}"/>
    <cellStyle name="Normal 2 2 10 19 3 5" xfId="6673" xr:uid="{00000000-0005-0000-0000-0000111A0000}"/>
    <cellStyle name="Normal 2 2 10 19 3 6" xfId="6674" xr:uid="{00000000-0005-0000-0000-0000121A0000}"/>
    <cellStyle name="Normal 2 2 10 19 3 7" xfId="6675" xr:uid="{00000000-0005-0000-0000-0000131A0000}"/>
    <cellStyle name="Normal 2 2 10 19 3 8" xfId="6676" xr:uid="{00000000-0005-0000-0000-0000141A0000}"/>
    <cellStyle name="Normal 2 2 10 19 3 9" xfId="6677" xr:uid="{00000000-0005-0000-0000-0000151A0000}"/>
    <cellStyle name="Normal 2 2 10 19 4" xfId="6678" xr:uid="{00000000-0005-0000-0000-0000161A0000}"/>
    <cellStyle name="Normal 2 2 10 19 4 10" xfId="6679" xr:uid="{00000000-0005-0000-0000-0000171A0000}"/>
    <cellStyle name="Normal 2 2 10 19 4 2" xfId="6680" xr:uid="{00000000-0005-0000-0000-0000181A0000}"/>
    <cellStyle name="Normal 2 2 10 19 4 3" xfId="6681" xr:uid="{00000000-0005-0000-0000-0000191A0000}"/>
    <cellStyle name="Normal 2 2 10 19 4 4" xfId="6682" xr:uid="{00000000-0005-0000-0000-00001A1A0000}"/>
    <cellStyle name="Normal 2 2 10 19 4 5" xfId="6683" xr:uid="{00000000-0005-0000-0000-00001B1A0000}"/>
    <cellStyle name="Normal 2 2 10 19 4 6" xfId="6684" xr:uid="{00000000-0005-0000-0000-00001C1A0000}"/>
    <cellStyle name="Normal 2 2 10 19 4 7" xfId="6685" xr:uid="{00000000-0005-0000-0000-00001D1A0000}"/>
    <cellStyle name="Normal 2 2 10 19 4 8" xfId="6686" xr:uid="{00000000-0005-0000-0000-00001E1A0000}"/>
    <cellStyle name="Normal 2 2 10 19 4 9" xfId="6687" xr:uid="{00000000-0005-0000-0000-00001F1A0000}"/>
    <cellStyle name="Normal 2 2 10 19 5" xfId="6688" xr:uid="{00000000-0005-0000-0000-0000201A0000}"/>
    <cellStyle name="Normal 2 2 10 19 5 10" xfId="6689" xr:uid="{00000000-0005-0000-0000-0000211A0000}"/>
    <cellStyle name="Normal 2 2 10 19 5 2" xfId="6690" xr:uid="{00000000-0005-0000-0000-0000221A0000}"/>
    <cellStyle name="Normal 2 2 10 19 5 3" xfId="6691" xr:uid="{00000000-0005-0000-0000-0000231A0000}"/>
    <cellStyle name="Normal 2 2 10 19 5 4" xfId="6692" xr:uid="{00000000-0005-0000-0000-0000241A0000}"/>
    <cellStyle name="Normal 2 2 10 19 5 5" xfId="6693" xr:uid="{00000000-0005-0000-0000-0000251A0000}"/>
    <cellStyle name="Normal 2 2 10 19 5 6" xfId="6694" xr:uid="{00000000-0005-0000-0000-0000261A0000}"/>
    <cellStyle name="Normal 2 2 10 19 5 7" xfId="6695" xr:uid="{00000000-0005-0000-0000-0000271A0000}"/>
    <cellStyle name="Normal 2 2 10 19 5 8" xfId="6696" xr:uid="{00000000-0005-0000-0000-0000281A0000}"/>
    <cellStyle name="Normal 2 2 10 19 5 9" xfId="6697" xr:uid="{00000000-0005-0000-0000-0000291A0000}"/>
    <cellStyle name="Normal 2 2 10 19 6" xfId="6698" xr:uid="{00000000-0005-0000-0000-00002A1A0000}"/>
    <cellStyle name="Normal 2 2 10 19 7" xfId="6699" xr:uid="{00000000-0005-0000-0000-00002B1A0000}"/>
    <cellStyle name="Normal 2 2 10 19 8" xfId="6700" xr:uid="{00000000-0005-0000-0000-00002C1A0000}"/>
    <cellStyle name="Normal 2 2 10 19 9" xfId="6701" xr:uid="{00000000-0005-0000-0000-00002D1A0000}"/>
    <cellStyle name="Normal 2 2 10 2" xfId="6702" xr:uid="{00000000-0005-0000-0000-00002E1A0000}"/>
    <cellStyle name="Normal 2 2 10 2 10" xfId="6703" xr:uid="{00000000-0005-0000-0000-00002F1A0000}"/>
    <cellStyle name="Normal 2 2 10 2 10 10" xfId="6704" xr:uid="{00000000-0005-0000-0000-0000301A0000}"/>
    <cellStyle name="Normal 2 2 10 2 10 11" xfId="6705" xr:uid="{00000000-0005-0000-0000-0000311A0000}"/>
    <cellStyle name="Normal 2 2 10 2 10 12" xfId="6706" xr:uid="{00000000-0005-0000-0000-0000321A0000}"/>
    <cellStyle name="Normal 2 2 10 2 10 13" xfId="6707" xr:uid="{00000000-0005-0000-0000-0000331A0000}"/>
    <cellStyle name="Normal 2 2 10 2 10 14" xfId="6708" xr:uid="{00000000-0005-0000-0000-0000341A0000}"/>
    <cellStyle name="Normal 2 2 10 2 10 2" xfId="6709" xr:uid="{00000000-0005-0000-0000-0000351A0000}"/>
    <cellStyle name="Normal 2 2 10 2 10 2 10" xfId="6710" xr:uid="{00000000-0005-0000-0000-0000361A0000}"/>
    <cellStyle name="Normal 2 2 10 2 10 2 2" xfId="6711" xr:uid="{00000000-0005-0000-0000-0000371A0000}"/>
    <cellStyle name="Normal 2 2 10 2 10 2 3" xfId="6712" xr:uid="{00000000-0005-0000-0000-0000381A0000}"/>
    <cellStyle name="Normal 2 2 10 2 10 2 4" xfId="6713" xr:uid="{00000000-0005-0000-0000-0000391A0000}"/>
    <cellStyle name="Normal 2 2 10 2 10 2 5" xfId="6714" xr:uid="{00000000-0005-0000-0000-00003A1A0000}"/>
    <cellStyle name="Normal 2 2 10 2 10 2 6" xfId="6715" xr:uid="{00000000-0005-0000-0000-00003B1A0000}"/>
    <cellStyle name="Normal 2 2 10 2 10 2 7" xfId="6716" xr:uid="{00000000-0005-0000-0000-00003C1A0000}"/>
    <cellStyle name="Normal 2 2 10 2 10 2 8" xfId="6717" xr:uid="{00000000-0005-0000-0000-00003D1A0000}"/>
    <cellStyle name="Normal 2 2 10 2 10 2 9" xfId="6718" xr:uid="{00000000-0005-0000-0000-00003E1A0000}"/>
    <cellStyle name="Normal 2 2 10 2 10 3" xfId="6719" xr:uid="{00000000-0005-0000-0000-00003F1A0000}"/>
    <cellStyle name="Normal 2 2 10 2 10 3 10" xfId="6720" xr:uid="{00000000-0005-0000-0000-0000401A0000}"/>
    <cellStyle name="Normal 2 2 10 2 10 3 2" xfId="6721" xr:uid="{00000000-0005-0000-0000-0000411A0000}"/>
    <cellStyle name="Normal 2 2 10 2 10 3 3" xfId="6722" xr:uid="{00000000-0005-0000-0000-0000421A0000}"/>
    <cellStyle name="Normal 2 2 10 2 10 3 4" xfId="6723" xr:uid="{00000000-0005-0000-0000-0000431A0000}"/>
    <cellStyle name="Normal 2 2 10 2 10 3 5" xfId="6724" xr:uid="{00000000-0005-0000-0000-0000441A0000}"/>
    <cellStyle name="Normal 2 2 10 2 10 3 6" xfId="6725" xr:uid="{00000000-0005-0000-0000-0000451A0000}"/>
    <cellStyle name="Normal 2 2 10 2 10 3 7" xfId="6726" xr:uid="{00000000-0005-0000-0000-0000461A0000}"/>
    <cellStyle name="Normal 2 2 10 2 10 3 8" xfId="6727" xr:uid="{00000000-0005-0000-0000-0000471A0000}"/>
    <cellStyle name="Normal 2 2 10 2 10 3 9" xfId="6728" xr:uid="{00000000-0005-0000-0000-0000481A0000}"/>
    <cellStyle name="Normal 2 2 10 2 10 4" xfId="6729" xr:uid="{00000000-0005-0000-0000-0000491A0000}"/>
    <cellStyle name="Normal 2 2 10 2 10 4 10" xfId="6730" xr:uid="{00000000-0005-0000-0000-00004A1A0000}"/>
    <cellStyle name="Normal 2 2 10 2 10 4 2" xfId="6731" xr:uid="{00000000-0005-0000-0000-00004B1A0000}"/>
    <cellStyle name="Normal 2 2 10 2 10 4 3" xfId="6732" xr:uid="{00000000-0005-0000-0000-00004C1A0000}"/>
    <cellStyle name="Normal 2 2 10 2 10 4 4" xfId="6733" xr:uid="{00000000-0005-0000-0000-00004D1A0000}"/>
    <cellStyle name="Normal 2 2 10 2 10 4 5" xfId="6734" xr:uid="{00000000-0005-0000-0000-00004E1A0000}"/>
    <cellStyle name="Normal 2 2 10 2 10 4 6" xfId="6735" xr:uid="{00000000-0005-0000-0000-00004F1A0000}"/>
    <cellStyle name="Normal 2 2 10 2 10 4 7" xfId="6736" xr:uid="{00000000-0005-0000-0000-0000501A0000}"/>
    <cellStyle name="Normal 2 2 10 2 10 4 8" xfId="6737" xr:uid="{00000000-0005-0000-0000-0000511A0000}"/>
    <cellStyle name="Normal 2 2 10 2 10 4 9" xfId="6738" xr:uid="{00000000-0005-0000-0000-0000521A0000}"/>
    <cellStyle name="Normal 2 2 10 2 10 5" xfId="6739" xr:uid="{00000000-0005-0000-0000-0000531A0000}"/>
    <cellStyle name="Normal 2 2 10 2 10 5 10" xfId="6740" xr:uid="{00000000-0005-0000-0000-0000541A0000}"/>
    <cellStyle name="Normal 2 2 10 2 10 5 2" xfId="6741" xr:uid="{00000000-0005-0000-0000-0000551A0000}"/>
    <cellStyle name="Normal 2 2 10 2 10 5 3" xfId="6742" xr:uid="{00000000-0005-0000-0000-0000561A0000}"/>
    <cellStyle name="Normal 2 2 10 2 10 5 4" xfId="6743" xr:uid="{00000000-0005-0000-0000-0000571A0000}"/>
    <cellStyle name="Normal 2 2 10 2 10 5 5" xfId="6744" xr:uid="{00000000-0005-0000-0000-0000581A0000}"/>
    <cellStyle name="Normal 2 2 10 2 10 5 6" xfId="6745" xr:uid="{00000000-0005-0000-0000-0000591A0000}"/>
    <cellStyle name="Normal 2 2 10 2 10 5 7" xfId="6746" xr:uid="{00000000-0005-0000-0000-00005A1A0000}"/>
    <cellStyle name="Normal 2 2 10 2 10 5 8" xfId="6747" xr:uid="{00000000-0005-0000-0000-00005B1A0000}"/>
    <cellStyle name="Normal 2 2 10 2 10 5 9" xfId="6748" xr:uid="{00000000-0005-0000-0000-00005C1A0000}"/>
    <cellStyle name="Normal 2 2 10 2 10 6" xfId="6749" xr:uid="{00000000-0005-0000-0000-00005D1A0000}"/>
    <cellStyle name="Normal 2 2 10 2 10 7" xfId="6750" xr:uid="{00000000-0005-0000-0000-00005E1A0000}"/>
    <cellStyle name="Normal 2 2 10 2 10 8" xfId="6751" xr:uid="{00000000-0005-0000-0000-00005F1A0000}"/>
    <cellStyle name="Normal 2 2 10 2 10 9" xfId="6752" xr:uid="{00000000-0005-0000-0000-0000601A0000}"/>
    <cellStyle name="Normal 2 2 10 2 11" xfId="6753" xr:uid="{00000000-0005-0000-0000-0000611A0000}"/>
    <cellStyle name="Normal 2 2 10 2 11 10" xfId="6754" xr:uid="{00000000-0005-0000-0000-0000621A0000}"/>
    <cellStyle name="Normal 2 2 10 2 11 11" xfId="6755" xr:uid="{00000000-0005-0000-0000-0000631A0000}"/>
    <cellStyle name="Normal 2 2 10 2 11 12" xfId="6756" xr:uid="{00000000-0005-0000-0000-0000641A0000}"/>
    <cellStyle name="Normal 2 2 10 2 11 13" xfId="6757" xr:uid="{00000000-0005-0000-0000-0000651A0000}"/>
    <cellStyle name="Normal 2 2 10 2 11 14" xfId="6758" xr:uid="{00000000-0005-0000-0000-0000661A0000}"/>
    <cellStyle name="Normal 2 2 10 2 11 2" xfId="6759" xr:uid="{00000000-0005-0000-0000-0000671A0000}"/>
    <cellStyle name="Normal 2 2 10 2 11 2 10" xfId="6760" xr:uid="{00000000-0005-0000-0000-0000681A0000}"/>
    <cellStyle name="Normal 2 2 10 2 11 2 2" xfId="6761" xr:uid="{00000000-0005-0000-0000-0000691A0000}"/>
    <cellStyle name="Normal 2 2 10 2 11 2 3" xfId="6762" xr:uid="{00000000-0005-0000-0000-00006A1A0000}"/>
    <cellStyle name="Normal 2 2 10 2 11 2 4" xfId="6763" xr:uid="{00000000-0005-0000-0000-00006B1A0000}"/>
    <cellStyle name="Normal 2 2 10 2 11 2 5" xfId="6764" xr:uid="{00000000-0005-0000-0000-00006C1A0000}"/>
    <cellStyle name="Normal 2 2 10 2 11 2 6" xfId="6765" xr:uid="{00000000-0005-0000-0000-00006D1A0000}"/>
    <cellStyle name="Normal 2 2 10 2 11 2 7" xfId="6766" xr:uid="{00000000-0005-0000-0000-00006E1A0000}"/>
    <cellStyle name="Normal 2 2 10 2 11 2 8" xfId="6767" xr:uid="{00000000-0005-0000-0000-00006F1A0000}"/>
    <cellStyle name="Normal 2 2 10 2 11 2 9" xfId="6768" xr:uid="{00000000-0005-0000-0000-0000701A0000}"/>
    <cellStyle name="Normal 2 2 10 2 11 3" xfId="6769" xr:uid="{00000000-0005-0000-0000-0000711A0000}"/>
    <cellStyle name="Normal 2 2 10 2 11 3 10" xfId="6770" xr:uid="{00000000-0005-0000-0000-0000721A0000}"/>
    <cellStyle name="Normal 2 2 10 2 11 3 2" xfId="6771" xr:uid="{00000000-0005-0000-0000-0000731A0000}"/>
    <cellStyle name="Normal 2 2 10 2 11 3 3" xfId="6772" xr:uid="{00000000-0005-0000-0000-0000741A0000}"/>
    <cellStyle name="Normal 2 2 10 2 11 3 4" xfId="6773" xr:uid="{00000000-0005-0000-0000-0000751A0000}"/>
    <cellStyle name="Normal 2 2 10 2 11 3 5" xfId="6774" xr:uid="{00000000-0005-0000-0000-0000761A0000}"/>
    <cellStyle name="Normal 2 2 10 2 11 3 6" xfId="6775" xr:uid="{00000000-0005-0000-0000-0000771A0000}"/>
    <cellStyle name="Normal 2 2 10 2 11 3 7" xfId="6776" xr:uid="{00000000-0005-0000-0000-0000781A0000}"/>
    <cellStyle name="Normal 2 2 10 2 11 3 8" xfId="6777" xr:uid="{00000000-0005-0000-0000-0000791A0000}"/>
    <cellStyle name="Normal 2 2 10 2 11 3 9" xfId="6778" xr:uid="{00000000-0005-0000-0000-00007A1A0000}"/>
    <cellStyle name="Normal 2 2 10 2 11 4" xfId="6779" xr:uid="{00000000-0005-0000-0000-00007B1A0000}"/>
    <cellStyle name="Normal 2 2 10 2 11 4 10" xfId="6780" xr:uid="{00000000-0005-0000-0000-00007C1A0000}"/>
    <cellStyle name="Normal 2 2 10 2 11 4 2" xfId="6781" xr:uid="{00000000-0005-0000-0000-00007D1A0000}"/>
    <cellStyle name="Normal 2 2 10 2 11 4 3" xfId="6782" xr:uid="{00000000-0005-0000-0000-00007E1A0000}"/>
    <cellStyle name="Normal 2 2 10 2 11 4 4" xfId="6783" xr:uid="{00000000-0005-0000-0000-00007F1A0000}"/>
    <cellStyle name="Normal 2 2 10 2 11 4 5" xfId="6784" xr:uid="{00000000-0005-0000-0000-0000801A0000}"/>
    <cellStyle name="Normal 2 2 10 2 11 4 6" xfId="6785" xr:uid="{00000000-0005-0000-0000-0000811A0000}"/>
    <cellStyle name="Normal 2 2 10 2 11 4 7" xfId="6786" xr:uid="{00000000-0005-0000-0000-0000821A0000}"/>
    <cellStyle name="Normal 2 2 10 2 11 4 8" xfId="6787" xr:uid="{00000000-0005-0000-0000-0000831A0000}"/>
    <cellStyle name="Normal 2 2 10 2 11 4 9" xfId="6788" xr:uid="{00000000-0005-0000-0000-0000841A0000}"/>
    <cellStyle name="Normal 2 2 10 2 11 5" xfId="6789" xr:uid="{00000000-0005-0000-0000-0000851A0000}"/>
    <cellStyle name="Normal 2 2 10 2 11 5 10" xfId="6790" xr:uid="{00000000-0005-0000-0000-0000861A0000}"/>
    <cellStyle name="Normal 2 2 10 2 11 5 2" xfId="6791" xr:uid="{00000000-0005-0000-0000-0000871A0000}"/>
    <cellStyle name="Normal 2 2 10 2 11 5 3" xfId="6792" xr:uid="{00000000-0005-0000-0000-0000881A0000}"/>
    <cellStyle name="Normal 2 2 10 2 11 5 4" xfId="6793" xr:uid="{00000000-0005-0000-0000-0000891A0000}"/>
    <cellStyle name="Normal 2 2 10 2 11 5 5" xfId="6794" xr:uid="{00000000-0005-0000-0000-00008A1A0000}"/>
    <cellStyle name="Normal 2 2 10 2 11 5 6" xfId="6795" xr:uid="{00000000-0005-0000-0000-00008B1A0000}"/>
    <cellStyle name="Normal 2 2 10 2 11 5 7" xfId="6796" xr:uid="{00000000-0005-0000-0000-00008C1A0000}"/>
    <cellStyle name="Normal 2 2 10 2 11 5 8" xfId="6797" xr:uid="{00000000-0005-0000-0000-00008D1A0000}"/>
    <cellStyle name="Normal 2 2 10 2 11 5 9" xfId="6798" xr:uid="{00000000-0005-0000-0000-00008E1A0000}"/>
    <cellStyle name="Normal 2 2 10 2 11 6" xfId="6799" xr:uid="{00000000-0005-0000-0000-00008F1A0000}"/>
    <cellStyle name="Normal 2 2 10 2 11 7" xfId="6800" xr:uid="{00000000-0005-0000-0000-0000901A0000}"/>
    <cellStyle name="Normal 2 2 10 2 11 8" xfId="6801" xr:uid="{00000000-0005-0000-0000-0000911A0000}"/>
    <cellStyle name="Normal 2 2 10 2 11 9" xfId="6802" xr:uid="{00000000-0005-0000-0000-0000921A0000}"/>
    <cellStyle name="Normal 2 2 10 2 12" xfId="6803" xr:uid="{00000000-0005-0000-0000-0000931A0000}"/>
    <cellStyle name="Normal 2 2 10 2 12 10" xfId="6804" xr:uid="{00000000-0005-0000-0000-0000941A0000}"/>
    <cellStyle name="Normal 2 2 10 2 12 11" xfId="6805" xr:uid="{00000000-0005-0000-0000-0000951A0000}"/>
    <cellStyle name="Normal 2 2 10 2 12 12" xfId="6806" xr:uid="{00000000-0005-0000-0000-0000961A0000}"/>
    <cellStyle name="Normal 2 2 10 2 12 13" xfId="6807" xr:uid="{00000000-0005-0000-0000-0000971A0000}"/>
    <cellStyle name="Normal 2 2 10 2 12 14" xfId="6808" xr:uid="{00000000-0005-0000-0000-0000981A0000}"/>
    <cellStyle name="Normal 2 2 10 2 12 2" xfId="6809" xr:uid="{00000000-0005-0000-0000-0000991A0000}"/>
    <cellStyle name="Normal 2 2 10 2 12 2 10" xfId="6810" xr:uid="{00000000-0005-0000-0000-00009A1A0000}"/>
    <cellStyle name="Normal 2 2 10 2 12 2 2" xfId="6811" xr:uid="{00000000-0005-0000-0000-00009B1A0000}"/>
    <cellStyle name="Normal 2 2 10 2 12 2 3" xfId="6812" xr:uid="{00000000-0005-0000-0000-00009C1A0000}"/>
    <cellStyle name="Normal 2 2 10 2 12 2 4" xfId="6813" xr:uid="{00000000-0005-0000-0000-00009D1A0000}"/>
    <cellStyle name="Normal 2 2 10 2 12 2 5" xfId="6814" xr:uid="{00000000-0005-0000-0000-00009E1A0000}"/>
    <cellStyle name="Normal 2 2 10 2 12 2 6" xfId="6815" xr:uid="{00000000-0005-0000-0000-00009F1A0000}"/>
    <cellStyle name="Normal 2 2 10 2 12 2 7" xfId="6816" xr:uid="{00000000-0005-0000-0000-0000A01A0000}"/>
    <cellStyle name="Normal 2 2 10 2 12 2 8" xfId="6817" xr:uid="{00000000-0005-0000-0000-0000A11A0000}"/>
    <cellStyle name="Normal 2 2 10 2 12 2 9" xfId="6818" xr:uid="{00000000-0005-0000-0000-0000A21A0000}"/>
    <cellStyle name="Normal 2 2 10 2 12 3" xfId="6819" xr:uid="{00000000-0005-0000-0000-0000A31A0000}"/>
    <cellStyle name="Normal 2 2 10 2 12 3 10" xfId="6820" xr:uid="{00000000-0005-0000-0000-0000A41A0000}"/>
    <cellStyle name="Normal 2 2 10 2 12 3 2" xfId="6821" xr:uid="{00000000-0005-0000-0000-0000A51A0000}"/>
    <cellStyle name="Normal 2 2 10 2 12 3 3" xfId="6822" xr:uid="{00000000-0005-0000-0000-0000A61A0000}"/>
    <cellStyle name="Normal 2 2 10 2 12 3 4" xfId="6823" xr:uid="{00000000-0005-0000-0000-0000A71A0000}"/>
    <cellStyle name="Normal 2 2 10 2 12 3 5" xfId="6824" xr:uid="{00000000-0005-0000-0000-0000A81A0000}"/>
    <cellStyle name="Normal 2 2 10 2 12 3 6" xfId="6825" xr:uid="{00000000-0005-0000-0000-0000A91A0000}"/>
    <cellStyle name="Normal 2 2 10 2 12 3 7" xfId="6826" xr:uid="{00000000-0005-0000-0000-0000AA1A0000}"/>
    <cellStyle name="Normal 2 2 10 2 12 3 8" xfId="6827" xr:uid="{00000000-0005-0000-0000-0000AB1A0000}"/>
    <cellStyle name="Normal 2 2 10 2 12 3 9" xfId="6828" xr:uid="{00000000-0005-0000-0000-0000AC1A0000}"/>
    <cellStyle name="Normal 2 2 10 2 12 4" xfId="6829" xr:uid="{00000000-0005-0000-0000-0000AD1A0000}"/>
    <cellStyle name="Normal 2 2 10 2 12 4 10" xfId="6830" xr:uid="{00000000-0005-0000-0000-0000AE1A0000}"/>
    <cellStyle name="Normal 2 2 10 2 12 4 2" xfId="6831" xr:uid="{00000000-0005-0000-0000-0000AF1A0000}"/>
    <cellStyle name="Normal 2 2 10 2 12 4 3" xfId="6832" xr:uid="{00000000-0005-0000-0000-0000B01A0000}"/>
    <cellStyle name="Normal 2 2 10 2 12 4 4" xfId="6833" xr:uid="{00000000-0005-0000-0000-0000B11A0000}"/>
    <cellStyle name="Normal 2 2 10 2 12 4 5" xfId="6834" xr:uid="{00000000-0005-0000-0000-0000B21A0000}"/>
    <cellStyle name="Normal 2 2 10 2 12 4 6" xfId="6835" xr:uid="{00000000-0005-0000-0000-0000B31A0000}"/>
    <cellStyle name="Normal 2 2 10 2 12 4 7" xfId="6836" xr:uid="{00000000-0005-0000-0000-0000B41A0000}"/>
    <cellStyle name="Normal 2 2 10 2 12 4 8" xfId="6837" xr:uid="{00000000-0005-0000-0000-0000B51A0000}"/>
    <cellStyle name="Normal 2 2 10 2 12 4 9" xfId="6838" xr:uid="{00000000-0005-0000-0000-0000B61A0000}"/>
    <cellStyle name="Normal 2 2 10 2 12 5" xfId="6839" xr:uid="{00000000-0005-0000-0000-0000B71A0000}"/>
    <cellStyle name="Normal 2 2 10 2 12 5 10" xfId="6840" xr:uid="{00000000-0005-0000-0000-0000B81A0000}"/>
    <cellStyle name="Normal 2 2 10 2 12 5 2" xfId="6841" xr:uid="{00000000-0005-0000-0000-0000B91A0000}"/>
    <cellStyle name="Normal 2 2 10 2 12 5 3" xfId="6842" xr:uid="{00000000-0005-0000-0000-0000BA1A0000}"/>
    <cellStyle name="Normal 2 2 10 2 12 5 4" xfId="6843" xr:uid="{00000000-0005-0000-0000-0000BB1A0000}"/>
    <cellStyle name="Normal 2 2 10 2 12 5 5" xfId="6844" xr:uid="{00000000-0005-0000-0000-0000BC1A0000}"/>
    <cellStyle name="Normal 2 2 10 2 12 5 6" xfId="6845" xr:uid="{00000000-0005-0000-0000-0000BD1A0000}"/>
    <cellStyle name="Normal 2 2 10 2 12 5 7" xfId="6846" xr:uid="{00000000-0005-0000-0000-0000BE1A0000}"/>
    <cellStyle name="Normal 2 2 10 2 12 5 8" xfId="6847" xr:uid="{00000000-0005-0000-0000-0000BF1A0000}"/>
    <cellStyle name="Normal 2 2 10 2 12 5 9" xfId="6848" xr:uid="{00000000-0005-0000-0000-0000C01A0000}"/>
    <cellStyle name="Normal 2 2 10 2 12 6" xfId="6849" xr:uid="{00000000-0005-0000-0000-0000C11A0000}"/>
    <cellStyle name="Normal 2 2 10 2 12 7" xfId="6850" xr:uid="{00000000-0005-0000-0000-0000C21A0000}"/>
    <cellStyle name="Normal 2 2 10 2 12 8" xfId="6851" xr:uid="{00000000-0005-0000-0000-0000C31A0000}"/>
    <cellStyle name="Normal 2 2 10 2 12 9" xfId="6852" xr:uid="{00000000-0005-0000-0000-0000C41A0000}"/>
    <cellStyle name="Normal 2 2 10 2 13" xfId="6853" xr:uid="{00000000-0005-0000-0000-0000C51A0000}"/>
    <cellStyle name="Normal 2 2 10 2 13 10" xfId="6854" xr:uid="{00000000-0005-0000-0000-0000C61A0000}"/>
    <cellStyle name="Normal 2 2 10 2 13 11" xfId="6855" xr:uid="{00000000-0005-0000-0000-0000C71A0000}"/>
    <cellStyle name="Normal 2 2 10 2 13 12" xfId="6856" xr:uid="{00000000-0005-0000-0000-0000C81A0000}"/>
    <cellStyle name="Normal 2 2 10 2 13 13" xfId="6857" xr:uid="{00000000-0005-0000-0000-0000C91A0000}"/>
    <cellStyle name="Normal 2 2 10 2 13 14" xfId="6858" xr:uid="{00000000-0005-0000-0000-0000CA1A0000}"/>
    <cellStyle name="Normal 2 2 10 2 13 2" xfId="6859" xr:uid="{00000000-0005-0000-0000-0000CB1A0000}"/>
    <cellStyle name="Normal 2 2 10 2 13 2 10" xfId="6860" xr:uid="{00000000-0005-0000-0000-0000CC1A0000}"/>
    <cellStyle name="Normal 2 2 10 2 13 2 2" xfId="6861" xr:uid="{00000000-0005-0000-0000-0000CD1A0000}"/>
    <cellStyle name="Normal 2 2 10 2 13 2 3" xfId="6862" xr:uid="{00000000-0005-0000-0000-0000CE1A0000}"/>
    <cellStyle name="Normal 2 2 10 2 13 2 4" xfId="6863" xr:uid="{00000000-0005-0000-0000-0000CF1A0000}"/>
    <cellStyle name="Normal 2 2 10 2 13 2 5" xfId="6864" xr:uid="{00000000-0005-0000-0000-0000D01A0000}"/>
    <cellStyle name="Normal 2 2 10 2 13 2 6" xfId="6865" xr:uid="{00000000-0005-0000-0000-0000D11A0000}"/>
    <cellStyle name="Normal 2 2 10 2 13 2 7" xfId="6866" xr:uid="{00000000-0005-0000-0000-0000D21A0000}"/>
    <cellStyle name="Normal 2 2 10 2 13 2 8" xfId="6867" xr:uid="{00000000-0005-0000-0000-0000D31A0000}"/>
    <cellStyle name="Normal 2 2 10 2 13 2 9" xfId="6868" xr:uid="{00000000-0005-0000-0000-0000D41A0000}"/>
    <cellStyle name="Normal 2 2 10 2 13 3" xfId="6869" xr:uid="{00000000-0005-0000-0000-0000D51A0000}"/>
    <cellStyle name="Normal 2 2 10 2 13 3 10" xfId="6870" xr:uid="{00000000-0005-0000-0000-0000D61A0000}"/>
    <cellStyle name="Normal 2 2 10 2 13 3 2" xfId="6871" xr:uid="{00000000-0005-0000-0000-0000D71A0000}"/>
    <cellStyle name="Normal 2 2 10 2 13 3 3" xfId="6872" xr:uid="{00000000-0005-0000-0000-0000D81A0000}"/>
    <cellStyle name="Normal 2 2 10 2 13 3 4" xfId="6873" xr:uid="{00000000-0005-0000-0000-0000D91A0000}"/>
    <cellStyle name="Normal 2 2 10 2 13 3 5" xfId="6874" xr:uid="{00000000-0005-0000-0000-0000DA1A0000}"/>
    <cellStyle name="Normal 2 2 10 2 13 3 6" xfId="6875" xr:uid="{00000000-0005-0000-0000-0000DB1A0000}"/>
    <cellStyle name="Normal 2 2 10 2 13 3 7" xfId="6876" xr:uid="{00000000-0005-0000-0000-0000DC1A0000}"/>
    <cellStyle name="Normal 2 2 10 2 13 3 8" xfId="6877" xr:uid="{00000000-0005-0000-0000-0000DD1A0000}"/>
    <cellStyle name="Normal 2 2 10 2 13 3 9" xfId="6878" xr:uid="{00000000-0005-0000-0000-0000DE1A0000}"/>
    <cellStyle name="Normal 2 2 10 2 13 4" xfId="6879" xr:uid="{00000000-0005-0000-0000-0000DF1A0000}"/>
    <cellStyle name="Normal 2 2 10 2 13 4 10" xfId="6880" xr:uid="{00000000-0005-0000-0000-0000E01A0000}"/>
    <cellStyle name="Normal 2 2 10 2 13 4 2" xfId="6881" xr:uid="{00000000-0005-0000-0000-0000E11A0000}"/>
    <cellStyle name="Normal 2 2 10 2 13 4 3" xfId="6882" xr:uid="{00000000-0005-0000-0000-0000E21A0000}"/>
    <cellStyle name="Normal 2 2 10 2 13 4 4" xfId="6883" xr:uid="{00000000-0005-0000-0000-0000E31A0000}"/>
    <cellStyle name="Normal 2 2 10 2 13 4 5" xfId="6884" xr:uid="{00000000-0005-0000-0000-0000E41A0000}"/>
    <cellStyle name="Normal 2 2 10 2 13 4 6" xfId="6885" xr:uid="{00000000-0005-0000-0000-0000E51A0000}"/>
    <cellStyle name="Normal 2 2 10 2 13 4 7" xfId="6886" xr:uid="{00000000-0005-0000-0000-0000E61A0000}"/>
    <cellStyle name="Normal 2 2 10 2 13 4 8" xfId="6887" xr:uid="{00000000-0005-0000-0000-0000E71A0000}"/>
    <cellStyle name="Normal 2 2 10 2 13 4 9" xfId="6888" xr:uid="{00000000-0005-0000-0000-0000E81A0000}"/>
    <cellStyle name="Normal 2 2 10 2 13 5" xfId="6889" xr:uid="{00000000-0005-0000-0000-0000E91A0000}"/>
    <cellStyle name="Normal 2 2 10 2 13 5 10" xfId="6890" xr:uid="{00000000-0005-0000-0000-0000EA1A0000}"/>
    <cellStyle name="Normal 2 2 10 2 13 5 2" xfId="6891" xr:uid="{00000000-0005-0000-0000-0000EB1A0000}"/>
    <cellStyle name="Normal 2 2 10 2 13 5 3" xfId="6892" xr:uid="{00000000-0005-0000-0000-0000EC1A0000}"/>
    <cellStyle name="Normal 2 2 10 2 13 5 4" xfId="6893" xr:uid="{00000000-0005-0000-0000-0000ED1A0000}"/>
    <cellStyle name="Normal 2 2 10 2 13 5 5" xfId="6894" xr:uid="{00000000-0005-0000-0000-0000EE1A0000}"/>
    <cellStyle name="Normal 2 2 10 2 13 5 6" xfId="6895" xr:uid="{00000000-0005-0000-0000-0000EF1A0000}"/>
    <cellStyle name="Normal 2 2 10 2 13 5 7" xfId="6896" xr:uid="{00000000-0005-0000-0000-0000F01A0000}"/>
    <cellStyle name="Normal 2 2 10 2 13 5 8" xfId="6897" xr:uid="{00000000-0005-0000-0000-0000F11A0000}"/>
    <cellStyle name="Normal 2 2 10 2 13 5 9" xfId="6898" xr:uid="{00000000-0005-0000-0000-0000F21A0000}"/>
    <cellStyle name="Normal 2 2 10 2 13 6" xfId="6899" xr:uid="{00000000-0005-0000-0000-0000F31A0000}"/>
    <cellStyle name="Normal 2 2 10 2 13 7" xfId="6900" xr:uid="{00000000-0005-0000-0000-0000F41A0000}"/>
    <cellStyle name="Normal 2 2 10 2 13 8" xfId="6901" xr:uid="{00000000-0005-0000-0000-0000F51A0000}"/>
    <cellStyle name="Normal 2 2 10 2 13 9" xfId="6902" xr:uid="{00000000-0005-0000-0000-0000F61A0000}"/>
    <cellStyle name="Normal 2 2 10 2 14" xfId="6903" xr:uid="{00000000-0005-0000-0000-0000F71A0000}"/>
    <cellStyle name="Normal 2 2 10 2 14 10" xfId="6904" xr:uid="{00000000-0005-0000-0000-0000F81A0000}"/>
    <cellStyle name="Normal 2 2 10 2 14 11" xfId="6905" xr:uid="{00000000-0005-0000-0000-0000F91A0000}"/>
    <cellStyle name="Normal 2 2 10 2 14 12" xfId="6906" xr:uid="{00000000-0005-0000-0000-0000FA1A0000}"/>
    <cellStyle name="Normal 2 2 10 2 14 13" xfId="6907" xr:uid="{00000000-0005-0000-0000-0000FB1A0000}"/>
    <cellStyle name="Normal 2 2 10 2 14 14" xfId="6908" xr:uid="{00000000-0005-0000-0000-0000FC1A0000}"/>
    <cellStyle name="Normal 2 2 10 2 14 2" xfId="6909" xr:uid="{00000000-0005-0000-0000-0000FD1A0000}"/>
    <cellStyle name="Normal 2 2 10 2 14 2 10" xfId="6910" xr:uid="{00000000-0005-0000-0000-0000FE1A0000}"/>
    <cellStyle name="Normal 2 2 10 2 14 2 2" xfId="6911" xr:uid="{00000000-0005-0000-0000-0000FF1A0000}"/>
    <cellStyle name="Normal 2 2 10 2 14 2 3" xfId="6912" xr:uid="{00000000-0005-0000-0000-0000001B0000}"/>
    <cellStyle name="Normal 2 2 10 2 14 2 4" xfId="6913" xr:uid="{00000000-0005-0000-0000-0000011B0000}"/>
    <cellStyle name="Normal 2 2 10 2 14 2 5" xfId="6914" xr:uid="{00000000-0005-0000-0000-0000021B0000}"/>
    <cellStyle name="Normal 2 2 10 2 14 2 6" xfId="6915" xr:uid="{00000000-0005-0000-0000-0000031B0000}"/>
    <cellStyle name="Normal 2 2 10 2 14 2 7" xfId="6916" xr:uid="{00000000-0005-0000-0000-0000041B0000}"/>
    <cellStyle name="Normal 2 2 10 2 14 2 8" xfId="6917" xr:uid="{00000000-0005-0000-0000-0000051B0000}"/>
    <cellStyle name="Normal 2 2 10 2 14 2 9" xfId="6918" xr:uid="{00000000-0005-0000-0000-0000061B0000}"/>
    <cellStyle name="Normal 2 2 10 2 14 3" xfId="6919" xr:uid="{00000000-0005-0000-0000-0000071B0000}"/>
    <cellStyle name="Normal 2 2 10 2 14 3 10" xfId="6920" xr:uid="{00000000-0005-0000-0000-0000081B0000}"/>
    <cellStyle name="Normal 2 2 10 2 14 3 2" xfId="6921" xr:uid="{00000000-0005-0000-0000-0000091B0000}"/>
    <cellStyle name="Normal 2 2 10 2 14 3 3" xfId="6922" xr:uid="{00000000-0005-0000-0000-00000A1B0000}"/>
    <cellStyle name="Normal 2 2 10 2 14 3 4" xfId="6923" xr:uid="{00000000-0005-0000-0000-00000B1B0000}"/>
    <cellStyle name="Normal 2 2 10 2 14 3 5" xfId="6924" xr:uid="{00000000-0005-0000-0000-00000C1B0000}"/>
    <cellStyle name="Normal 2 2 10 2 14 3 6" xfId="6925" xr:uid="{00000000-0005-0000-0000-00000D1B0000}"/>
    <cellStyle name="Normal 2 2 10 2 14 3 7" xfId="6926" xr:uid="{00000000-0005-0000-0000-00000E1B0000}"/>
    <cellStyle name="Normal 2 2 10 2 14 3 8" xfId="6927" xr:uid="{00000000-0005-0000-0000-00000F1B0000}"/>
    <cellStyle name="Normal 2 2 10 2 14 3 9" xfId="6928" xr:uid="{00000000-0005-0000-0000-0000101B0000}"/>
    <cellStyle name="Normal 2 2 10 2 14 4" xfId="6929" xr:uid="{00000000-0005-0000-0000-0000111B0000}"/>
    <cellStyle name="Normal 2 2 10 2 14 4 10" xfId="6930" xr:uid="{00000000-0005-0000-0000-0000121B0000}"/>
    <cellStyle name="Normal 2 2 10 2 14 4 2" xfId="6931" xr:uid="{00000000-0005-0000-0000-0000131B0000}"/>
    <cellStyle name="Normal 2 2 10 2 14 4 3" xfId="6932" xr:uid="{00000000-0005-0000-0000-0000141B0000}"/>
    <cellStyle name="Normal 2 2 10 2 14 4 4" xfId="6933" xr:uid="{00000000-0005-0000-0000-0000151B0000}"/>
    <cellStyle name="Normal 2 2 10 2 14 4 5" xfId="6934" xr:uid="{00000000-0005-0000-0000-0000161B0000}"/>
    <cellStyle name="Normal 2 2 10 2 14 4 6" xfId="6935" xr:uid="{00000000-0005-0000-0000-0000171B0000}"/>
    <cellStyle name="Normal 2 2 10 2 14 4 7" xfId="6936" xr:uid="{00000000-0005-0000-0000-0000181B0000}"/>
    <cellStyle name="Normal 2 2 10 2 14 4 8" xfId="6937" xr:uid="{00000000-0005-0000-0000-0000191B0000}"/>
    <cellStyle name="Normal 2 2 10 2 14 4 9" xfId="6938" xr:uid="{00000000-0005-0000-0000-00001A1B0000}"/>
    <cellStyle name="Normal 2 2 10 2 14 5" xfId="6939" xr:uid="{00000000-0005-0000-0000-00001B1B0000}"/>
    <cellStyle name="Normal 2 2 10 2 14 5 10" xfId="6940" xr:uid="{00000000-0005-0000-0000-00001C1B0000}"/>
    <cellStyle name="Normal 2 2 10 2 14 5 2" xfId="6941" xr:uid="{00000000-0005-0000-0000-00001D1B0000}"/>
    <cellStyle name="Normal 2 2 10 2 14 5 3" xfId="6942" xr:uid="{00000000-0005-0000-0000-00001E1B0000}"/>
    <cellStyle name="Normal 2 2 10 2 14 5 4" xfId="6943" xr:uid="{00000000-0005-0000-0000-00001F1B0000}"/>
    <cellStyle name="Normal 2 2 10 2 14 5 5" xfId="6944" xr:uid="{00000000-0005-0000-0000-0000201B0000}"/>
    <cellStyle name="Normal 2 2 10 2 14 5 6" xfId="6945" xr:uid="{00000000-0005-0000-0000-0000211B0000}"/>
    <cellStyle name="Normal 2 2 10 2 14 5 7" xfId="6946" xr:uid="{00000000-0005-0000-0000-0000221B0000}"/>
    <cellStyle name="Normal 2 2 10 2 14 5 8" xfId="6947" xr:uid="{00000000-0005-0000-0000-0000231B0000}"/>
    <cellStyle name="Normal 2 2 10 2 14 5 9" xfId="6948" xr:uid="{00000000-0005-0000-0000-0000241B0000}"/>
    <cellStyle name="Normal 2 2 10 2 14 6" xfId="6949" xr:uid="{00000000-0005-0000-0000-0000251B0000}"/>
    <cellStyle name="Normal 2 2 10 2 14 7" xfId="6950" xr:uid="{00000000-0005-0000-0000-0000261B0000}"/>
    <cellStyle name="Normal 2 2 10 2 14 8" xfId="6951" xr:uid="{00000000-0005-0000-0000-0000271B0000}"/>
    <cellStyle name="Normal 2 2 10 2 14 9" xfId="6952" xr:uid="{00000000-0005-0000-0000-0000281B0000}"/>
    <cellStyle name="Normal 2 2 10 2 15" xfId="6953" xr:uid="{00000000-0005-0000-0000-0000291B0000}"/>
    <cellStyle name="Normal 2 2 10 2 15 10" xfId="6954" xr:uid="{00000000-0005-0000-0000-00002A1B0000}"/>
    <cellStyle name="Normal 2 2 10 2 15 11" xfId="6955" xr:uid="{00000000-0005-0000-0000-00002B1B0000}"/>
    <cellStyle name="Normal 2 2 10 2 15 12" xfId="6956" xr:uid="{00000000-0005-0000-0000-00002C1B0000}"/>
    <cellStyle name="Normal 2 2 10 2 15 13" xfId="6957" xr:uid="{00000000-0005-0000-0000-00002D1B0000}"/>
    <cellStyle name="Normal 2 2 10 2 15 14" xfId="6958" xr:uid="{00000000-0005-0000-0000-00002E1B0000}"/>
    <cellStyle name="Normal 2 2 10 2 15 2" xfId="6959" xr:uid="{00000000-0005-0000-0000-00002F1B0000}"/>
    <cellStyle name="Normal 2 2 10 2 15 2 10" xfId="6960" xr:uid="{00000000-0005-0000-0000-0000301B0000}"/>
    <cellStyle name="Normal 2 2 10 2 15 2 2" xfId="6961" xr:uid="{00000000-0005-0000-0000-0000311B0000}"/>
    <cellStyle name="Normal 2 2 10 2 15 2 3" xfId="6962" xr:uid="{00000000-0005-0000-0000-0000321B0000}"/>
    <cellStyle name="Normal 2 2 10 2 15 2 4" xfId="6963" xr:uid="{00000000-0005-0000-0000-0000331B0000}"/>
    <cellStyle name="Normal 2 2 10 2 15 2 5" xfId="6964" xr:uid="{00000000-0005-0000-0000-0000341B0000}"/>
    <cellStyle name="Normal 2 2 10 2 15 2 6" xfId="6965" xr:uid="{00000000-0005-0000-0000-0000351B0000}"/>
    <cellStyle name="Normal 2 2 10 2 15 2 7" xfId="6966" xr:uid="{00000000-0005-0000-0000-0000361B0000}"/>
    <cellStyle name="Normal 2 2 10 2 15 2 8" xfId="6967" xr:uid="{00000000-0005-0000-0000-0000371B0000}"/>
    <cellStyle name="Normal 2 2 10 2 15 2 9" xfId="6968" xr:uid="{00000000-0005-0000-0000-0000381B0000}"/>
    <cellStyle name="Normal 2 2 10 2 15 3" xfId="6969" xr:uid="{00000000-0005-0000-0000-0000391B0000}"/>
    <cellStyle name="Normal 2 2 10 2 15 3 10" xfId="6970" xr:uid="{00000000-0005-0000-0000-00003A1B0000}"/>
    <cellStyle name="Normal 2 2 10 2 15 3 2" xfId="6971" xr:uid="{00000000-0005-0000-0000-00003B1B0000}"/>
    <cellStyle name="Normal 2 2 10 2 15 3 3" xfId="6972" xr:uid="{00000000-0005-0000-0000-00003C1B0000}"/>
    <cellStyle name="Normal 2 2 10 2 15 3 4" xfId="6973" xr:uid="{00000000-0005-0000-0000-00003D1B0000}"/>
    <cellStyle name="Normal 2 2 10 2 15 3 5" xfId="6974" xr:uid="{00000000-0005-0000-0000-00003E1B0000}"/>
    <cellStyle name="Normal 2 2 10 2 15 3 6" xfId="6975" xr:uid="{00000000-0005-0000-0000-00003F1B0000}"/>
    <cellStyle name="Normal 2 2 10 2 15 3 7" xfId="6976" xr:uid="{00000000-0005-0000-0000-0000401B0000}"/>
    <cellStyle name="Normal 2 2 10 2 15 3 8" xfId="6977" xr:uid="{00000000-0005-0000-0000-0000411B0000}"/>
    <cellStyle name="Normal 2 2 10 2 15 3 9" xfId="6978" xr:uid="{00000000-0005-0000-0000-0000421B0000}"/>
    <cellStyle name="Normal 2 2 10 2 15 4" xfId="6979" xr:uid="{00000000-0005-0000-0000-0000431B0000}"/>
    <cellStyle name="Normal 2 2 10 2 15 4 10" xfId="6980" xr:uid="{00000000-0005-0000-0000-0000441B0000}"/>
    <cellStyle name="Normal 2 2 10 2 15 4 2" xfId="6981" xr:uid="{00000000-0005-0000-0000-0000451B0000}"/>
    <cellStyle name="Normal 2 2 10 2 15 4 3" xfId="6982" xr:uid="{00000000-0005-0000-0000-0000461B0000}"/>
    <cellStyle name="Normal 2 2 10 2 15 4 4" xfId="6983" xr:uid="{00000000-0005-0000-0000-0000471B0000}"/>
    <cellStyle name="Normal 2 2 10 2 15 4 5" xfId="6984" xr:uid="{00000000-0005-0000-0000-0000481B0000}"/>
    <cellStyle name="Normal 2 2 10 2 15 4 6" xfId="6985" xr:uid="{00000000-0005-0000-0000-0000491B0000}"/>
    <cellStyle name="Normal 2 2 10 2 15 4 7" xfId="6986" xr:uid="{00000000-0005-0000-0000-00004A1B0000}"/>
    <cellStyle name="Normal 2 2 10 2 15 4 8" xfId="6987" xr:uid="{00000000-0005-0000-0000-00004B1B0000}"/>
    <cellStyle name="Normal 2 2 10 2 15 4 9" xfId="6988" xr:uid="{00000000-0005-0000-0000-00004C1B0000}"/>
    <cellStyle name="Normal 2 2 10 2 15 5" xfId="6989" xr:uid="{00000000-0005-0000-0000-00004D1B0000}"/>
    <cellStyle name="Normal 2 2 10 2 15 5 10" xfId="6990" xr:uid="{00000000-0005-0000-0000-00004E1B0000}"/>
    <cellStyle name="Normal 2 2 10 2 15 5 2" xfId="6991" xr:uid="{00000000-0005-0000-0000-00004F1B0000}"/>
    <cellStyle name="Normal 2 2 10 2 15 5 3" xfId="6992" xr:uid="{00000000-0005-0000-0000-0000501B0000}"/>
    <cellStyle name="Normal 2 2 10 2 15 5 4" xfId="6993" xr:uid="{00000000-0005-0000-0000-0000511B0000}"/>
    <cellStyle name="Normal 2 2 10 2 15 5 5" xfId="6994" xr:uid="{00000000-0005-0000-0000-0000521B0000}"/>
    <cellStyle name="Normal 2 2 10 2 15 5 6" xfId="6995" xr:uid="{00000000-0005-0000-0000-0000531B0000}"/>
    <cellStyle name="Normal 2 2 10 2 15 5 7" xfId="6996" xr:uid="{00000000-0005-0000-0000-0000541B0000}"/>
    <cellStyle name="Normal 2 2 10 2 15 5 8" xfId="6997" xr:uid="{00000000-0005-0000-0000-0000551B0000}"/>
    <cellStyle name="Normal 2 2 10 2 15 5 9" xfId="6998" xr:uid="{00000000-0005-0000-0000-0000561B0000}"/>
    <cellStyle name="Normal 2 2 10 2 15 6" xfId="6999" xr:uid="{00000000-0005-0000-0000-0000571B0000}"/>
    <cellStyle name="Normal 2 2 10 2 15 7" xfId="7000" xr:uid="{00000000-0005-0000-0000-0000581B0000}"/>
    <cellStyle name="Normal 2 2 10 2 15 8" xfId="7001" xr:uid="{00000000-0005-0000-0000-0000591B0000}"/>
    <cellStyle name="Normal 2 2 10 2 15 9" xfId="7002" xr:uid="{00000000-0005-0000-0000-00005A1B0000}"/>
    <cellStyle name="Normal 2 2 10 2 16" xfId="7003" xr:uid="{00000000-0005-0000-0000-00005B1B0000}"/>
    <cellStyle name="Normal 2 2 10 2 16 10" xfId="7004" xr:uid="{00000000-0005-0000-0000-00005C1B0000}"/>
    <cellStyle name="Normal 2 2 10 2 16 11" xfId="7005" xr:uid="{00000000-0005-0000-0000-00005D1B0000}"/>
    <cellStyle name="Normal 2 2 10 2 16 12" xfId="7006" xr:uid="{00000000-0005-0000-0000-00005E1B0000}"/>
    <cellStyle name="Normal 2 2 10 2 16 13" xfId="7007" xr:uid="{00000000-0005-0000-0000-00005F1B0000}"/>
    <cellStyle name="Normal 2 2 10 2 16 14" xfId="7008" xr:uid="{00000000-0005-0000-0000-0000601B0000}"/>
    <cellStyle name="Normal 2 2 10 2 16 2" xfId="7009" xr:uid="{00000000-0005-0000-0000-0000611B0000}"/>
    <cellStyle name="Normal 2 2 10 2 16 2 10" xfId="7010" xr:uid="{00000000-0005-0000-0000-0000621B0000}"/>
    <cellStyle name="Normal 2 2 10 2 16 2 2" xfId="7011" xr:uid="{00000000-0005-0000-0000-0000631B0000}"/>
    <cellStyle name="Normal 2 2 10 2 16 2 3" xfId="7012" xr:uid="{00000000-0005-0000-0000-0000641B0000}"/>
    <cellStyle name="Normal 2 2 10 2 16 2 4" xfId="7013" xr:uid="{00000000-0005-0000-0000-0000651B0000}"/>
    <cellStyle name="Normal 2 2 10 2 16 2 5" xfId="7014" xr:uid="{00000000-0005-0000-0000-0000661B0000}"/>
    <cellStyle name="Normal 2 2 10 2 16 2 6" xfId="7015" xr:uid="{00000000-0005-0000-0000-0000671B0000}"/>
    <cellStyle name="Normal 2 2 10 2 16 2 7" xfId="7016" xr:uid="{00000000-0005-0000-0000-0000681B0000}"/>
    <cellStyle name="Normal 2 2 10 2 16 2 8" xfId="7017" xr:uid="{00000000-0005-0000-0000-0000691B0000}"/>
    <cellStyle name="Normal 2 2 10 2 16 2 9" xfId="7018" xr:uid="{00000000-0005-0000-0000-00006A1B0000}"/>
    <cellStyle name="Normal 2 2 10 2 16 3" xfId="7019" xr:uid="{00000000-0005-0000-0000-00006B1B0000}"/>
    <cellStyle name="Normal 2 2 10 2 16 3 10" xfId="7020" xr:uid="{00000000-0005-0000-0000-00006C1B0000}"/>
    <cellStyle name="Normal 2 2 10 2 16 3 2" xfId="7021" xr:uid="{00000000-0005-0000-0000-00006D1B0000}"/>
    <cellStyle name="Normal 2 2 10 2 16 3 3" xfId="7022" xr:uid="{00000000-0005-0000-0000-00006E1B0000}"/>
    <cellStyle name="Normal 2 2 10 2 16 3 4" xfId="7023" xr:uid="{00000000-0005-0000-0000-00006F1B0000}"/>
    <cellStyle name="Normal 2 2 10 2 16 3 5" xfId="7024" xr:uid="{00000000-0005-0000-0000-0000701B0000}"/>
    <cellStyle name="Normal 2 2 10 2 16 3 6" xfId="7025" xr:uid="{00000000-0005-0000-0000-0000711B0000}"/>
    <cellStyle name="Normal 2 2 10 2 16 3 7" xfId="7026" xr:uid="{00000000-0005-0000-0000-0000721B0000}"/>
    <cellStyle name="Normal 2 2 10 2 16 3 8" xfId="7027" xr:uid="{00000000-0005-0000-0000-0000731B0000}"/>
    <cellStyle name="Normal 2 2 10 2 16 3 9" xfId="7028" xr:uid="{00000000-0005-0000-0000-0000741B0000}"/>
    <cellStyle name="Normal 2 2 10 2 16 4" xfId="7029" xr:uid="{00000000-0005-0000-0000-0000751B0000}"/>
    <cellStyle name="Normal 2 2 10 2 16 4 10" xfId="7030" xr:uid="{00000000-0005-0000-0000-0000761B0000}"/>
    <cellStyle name="Normal 2 2 10 2 16 4 2" xfId="7031" xr:uid="{00000000-0005-0000-0000-0000771B0000}"/>
    <cellStyle name="Normal 2 2 10 2 16 4 3" xfId="7032" xr:uid="{00000000-0005-0000-0000-0000781B0000}"/>
    <cellStyle name="Normal 2 2 10 2 16 4 4" xfId="7033" xr:uid="{00000000-0005-0000-0000-0000791B0000}"/>
    <cellStyle name="Normal 2 2 10 2 16 4 5" xfId="7034" xr:uid="{00000000-0005-0000-0000-00007A1B0000}"/>
    <cellStyle name="Normal 2 2 10 2 16 4 6" xfId="7035" xr:uid="{00000000-0005-0000-0000-00007B1B0000}"/>
    <cellStyle name="Normal 2 2 10 2 16 4 7" xfId="7036" xr:uid="{00000000-0005-0000-0000-00007C1B0000}"/>
    <cellStyle name="Normal 2 2 10 2 16 4 8" xfId="7037" xr:uid="{00000000-0005-0000-0000-00007D1B0000}"/>
    <cellStyle name="Normal 2 2 10 2 16 4 9" xfId="7038" xr:uid="{00000000-0005-0000-0000-00007E1B0000}"/>
    <cellStyle name="Normal 2 2 10 2 16 5" xfId="7039" xr:uid="{00000000-0005-0000-0000-00007F1B0000}"/>
    <cellStyle name="Normal 2 2 10 2 16 5 10" xfId="7040" xr:uid="{00000000-0005-0000-0000-0000801B0000}"/>
    <cellStyle name="Normal 2 2 10 2 16 5 2" xfId="7041" xr:uid="{00000000-0005-0000-0000-0000811B0000}"/>
    <cellStyle name="Normal 2 2 10 2 16 5 3" xfId="7042" xr:uid="{00000000-0005-0000-0000-0000821B0000}"/>
    <cellStyle name="Normal 2 2 10 2 16 5 4" xfId="7043" xr:uid="{00000000-0005-0000-0000-0000831B0000}"/>
    <cellStyle name="Normal 2 2 10 2 16 5 5" xfId="7044" xr:uid="{00000000-0005-0000-0000-0000841B0000}"/>
    <cellStyle name="Normal 2 2 10 2 16 5 6" xfId="7045" xr:uid="{00000000-0005-0000-0000-0000851B0000}"/>
    <cellStyle name="Normal 2 2 10 2 16 5 7" xfId="7046" xr:uid="{00000000-0005-0000-0000-0000861B0000}"/>
    <cellStyle name="Normal 2 2 10 2 16 5 8" xfId="7047" xr:uid="{00000000-0005-0000-0000-0000871B0000}"/>
    <cellStyle name="Normal 2 2 10 2 16 5 9" xfId="7048" xr:uid="{00000000-0005-0000-0000-0000881B0000}"/>
    <cellStyle name="Normal 2 2 10 2 16 6" xfId="7049" xr:uid="{00000000-0005-0000-0000-0000891B0000}"/>
    <cellStyle name="Normal 2 2 10 2 16 7" xfId="7050" xr:uid="{00000000-0005-0000-0000-00008A1B0000}"/>
    <cellStyle name="Normal 2 2 10 2 16 8" xfId="7051" xr:uid="{00000000-0005-0000-0000-00008B1B0000}"/>
    <cellStyle name="Normal 2 2 10 2 16 9" xfId="7052" xr:uid="{00000000-0005-0000-0000-00008C1B0000}"/>
    <cellStyle name="Normal 2 2 10 2 17" xfId="7053" xr:uid="{00000000-0005-0000-0000-00008D1B0000}"/>
    <cellStyle name="Normal 2 2 10 2 17 10" xfId="7054" xr:uid="{00000000-0005-0000-0000-00008E1B0000}"/>
    <cellStyle name="Normal 2 2 10 2 17 11" xfId="7055" xr:uid="{00000000-0005-0000-0000-00008F1B0000}"/>
    <cellStyle name="Normal 2 2 10 2 17 12" xfId="7056" xr:uid="{00000000-0005-0000-0000-0000901B0000}"/>
    <cellStyle name="Normal 2 2 10 2 17 13" xfId="7057" xr:uid="{00000000-0005-0000-0000-0000911B0000}"/>
    <cellStyle name="Normal 2 2 10 2 17 14" xfId="7058" xr:uid="{00000000-0005-0000-0000-0000921B0000}"/>
    <cellStyle name="Normal 2 2 10 2 17 2" xfId="7059" xr:uid="{00000000-0005-0000-0000-0000931B0000}"/>
    <cellStyle name="Normal 2 2 10 2 17 2 10" xfId="7060" xr:uid="{00000000-0005-0000-0000-0000941B0000}"/>
    <cellStyle name="Normal 2 2 10 2 17 2 2" xfId="7061" xr:uid="{00000000-0005-0000-0000-0000951B0000}"/>
    <cellStyle name="Normal 2 2 10 2 17 2 3" xfId="7062" xr:uid="{00000000-0005-0000-0000-0000961B0000}"/>
    <cellStyle name="Normal 2 2 10 2 17 2 4" xfId="7063" xr:uid="{00000000-0005-0000-0000-0000971B0000}"/>
    <cellStyle name="Normal 2 2 10 2 17 2 5" xfId="7064" xr:uid="{00000000-0005-0000-0000-0000981B0000}"/>
    <cellStyle name="Normal 2 2 10 2 17 2 6" xfId="7065" xr:uid="{00000000-0005-0000-0000-0000991B0000}"/>
    <cellStyle name="Normal 2 2 10 2 17 2 7" xfId="7066" xr:uid="{00000000-0005-0000-0000-00009A1B0000}"/>
    <cellStyle name="Normal 2 2 10 2 17 2 8" xfId="7067" xr:uid="{00000000-0005-0000-0000-00009B1B0000}"/>
    <cellStyle name="Normal 2 2 10 2 17 2 9" xfId="7068" xr:uid="{00000000-0005-0000-0000-00009C1B0000}"/>
    <cellStyle name="Normal 2 2 10 2 17 3" xfId="7069" xr:uid="{00000000-0005-0000-0000-00009D1B0000}"/>
    <cellStyle name="Normal 2 2 10 2 17 3 10" xfId="7070" xr:uid="{00000000-0005-0000-0000-00009E1B0000}"/>
    <cellStyle name="Normal 2 2 10 2 17 3 2" xfId="7071" xr:uid="{00000000-0005-0000-0000-00009F1B0000}"/>
    <cellStyle name="Normal 2 2 10 2 17 3 3" xfId="7072" xr:uid="{00000000-0005-0000-0000-0000A01B0000}"/>
    <cellStyle name="Normal 2 2 10 2 17 3 4" xfId="7073" xr:uid="{00000000-0005-0000-0000-0000A11B0000}"/>
    <cellStyle name="Normal 2 2 10 2 17 3 5" xfId="7074" xr:uid="{00000000-0005-0000-0000-0000A21B0000}"/>
    <cellStyle name="Normal 2 2 10 2 17 3 6" xfId="7075" xr:uid="{00000000-0005-0000-0000-0000A31B0000}"/>
    <cellStyle name="Normal 2 2 10 2 17 3 7" xfId="7076" xr:uid="{00000000-0005-0000-0000-0000A41B0000}"/>
    <cellStyle name="Normal 2 2 10 2 17 3 8" xfId="7077" xr:uid="{00000000-0005-0000-0000-0000A51B0000}"/>
    <cellStyle name="Normal 2 2 10 2 17 3 9" xfId="7078" xr:uid="{00000000-0005-0000-0000-0000A61B0000}"/>
    <cellStyle name="Normal 2 2 10 2 17 4" xfId="7079" xr:uid="{00000000-0005-0000-0000-0000A71B0000}"/>
    <cellStyle name="Normal 2 2 10 2 17 4 10" xfId="7080" xr:uid="{00000000-0005-0000-0000-0000A81B0000}"/>
    <cellStyle name="Normal 2 2 10 2 17 4 2" xfId="7081" xr:uid="{00000000-0005-0000-0000-0000A91B0000}"/>
    <cellStyle name="Normal 2 2 10 2 17 4 3" xfId="7082" xr:uid="{00000000-0005-0000-0000-0000AA1B0000}"/>
    <cellStyle name="Normal 2 2 10 2 17 4 4" xfId="7083" xr:uid="{00000000-0005-0000-0000-0000AB1B0000}"/>
    <cellStyle name="Normal 2 2 10 2 17 4 5" xfId="7084" xr:uid="{00000000-0005-0000-0000-0000AC1B0000}"/>
    <cellStyle name="Normal 2 2 10 2 17 4 6" xfId="7085" xr:uid="{00000000-0005-0000-0000-0000AD1B0000}"/>
    <cellStyle name="Normal 2 2 10 2 17 4 7" xfId="7086" xr:uid="{00000000-0005-0000-0000-0000AE1B0000}"/>
    <cellStyle name="Normal 2 2 10 2 17 4 8" xfId="7087" xr:uid="{00000000-0005-0000-0000-0000AF1B0000}"/>
    <cellStyle name="Normal 2 2 10 2 17 4 9" xfId="7088" xr:uid="{00000000-0005-0000-0000-0000B01B0000}"/>
    <cellStyle name="Normal 2 2 10 2 17 5" xfId="7089" xr:uid="{00000000-0005-0000-0000-0000B11B0000}"/>
    <cellStyle name="Normal 2 2 10 2 17 5 10" xfId="7090" xr:uid="{00000000-0005-0000-0000-0000B21B0000}"/>
    <cellStyle name="Normal 2 2 10 2 17 5 2" xfId="7091" xr:uid="{00000000-0005-0000-0000-0000B31B0000}"/>
    <cellStyle name="Normal 2 2 10 2 17 5 3" xfId="7092" xr:uid="{00000000-0005-0000-0000-0000B41B0000}"/>
    <cellStyle name="Normal 2 2 10 2 17 5 4" xfId="7093" xr:uid="{00000000-0005-0000-0000-0000B51B0000}"/>
    <cellStyle name="Normal 2 2 10 2 17 5 5" xfId="7094" xr:uid="{00000000-0005-0000-0000-0000B61B0000}"/>
    <cellStyle name="Normal 2 2 10 2 17 5 6" xfId="7095" xr:uid="{00000000-0005-0000-0000-0000B71B0000}"/>
    <cellStyle name="Normal 2 2 10 2 17 5 7" xfId="7096" xr:uid="{00000000-0005-0000-0000-0000B81B0000}"/>
    <cellStyle name="Normal 2 2 10 2 17 5 8" xfId="7097" xr:uid="{00000000-0005-0000-0000-0000B91B0000}"/>
    <cellStyle name="Normal 2 2 10 2 17 5 9" xfId="7098" xr:uid="{00000000-0005-0000-0000-0000BA1B0000}"/>
    <cellStyle name="Normal 2 2 10 2 17 6" xfId="7099" xr:uid="{00000000-0005-0000-0000-0000BB1B0000}"/>
    <cellStyle name="Normal 2 2 10 2 17 7" xfId="7100" xr:uid="{00000000-0005-0000-0000-0000BC1B0000}"/>
    <cellStyle name="Normal 2 2 10 2 17 8" xfId="7101" xr:uid="{00000000-0005-0000-0000-0000BD1B0000}"/>
    <cellStyle name="Normal 2 2 10 2 17 9" xfId="7102" xr:uid="{00000000-0005-0000-0000-0000BE1B0000}"/>
    <cellStyle name="Normal 2 2 10 2 18" xfId="7103" xr:uid="{00000000-0005-0000-0000-0000BF1B0000}"/>
    <cellStyle name="Normal 2 2 10 2 18 10" xfId="7104" xr:uid="{00000000-0005-0000-0000-0000C01B0000}"/>
    <cellStyle name="Normal 2 2 10 2 18 11" xfId="7105" xr:uid="{00000000-0005-0000-0000-0000C11B0000}"/>
    <cellStyle name="Normal 2 2 10 2 18 12" xfId="7106" xr:uid="{00000000-0005-0000-0000-0000C21B0000}"/>
    <cellStyle name="Normal 2 2 10 2 18 13" xfId="7107" xr:uid="{00000000-0005-0000-0000-0000C31B0000}"/>
    <cellStyle name="Normal 2 2 10 2 18 14" xfId="7108" xr:uid="{00000000-0005-0000-0000-0000C41B0000}"/>
    <cellStyle name="Normal 2 2 10 2 18 2" xfId="7109" xr:uid="{00000000-0005-0000-0000-0000C51B0000}"/>
    <cellStyle name="Normal 2 2 10 2 18 2 10" xfId="7110" xr:uid="{00000000-0005-0000-0000-0000C61B0000}"/>
    <cellStyle name="Normal 2 2 10 2 18 2 2" xfId="7111" xr:uid="{00000000-0005-0000-0000-0000C71B0000}"/>
    <cellStyle name="Normal 2 2 10 2 18 2 3" xfId="7112" xr:uid="{00000000-0005-0000-0000-0000C81B0000}"/>
    <cellStyle name="Normal 2 2 10 2 18 2 4" xfId="7113" xr:uid="{00000000-0005-0000-0000-0000C91B0000}"/>
    <cellStyle name="Normal 2 2 10 2 18 2 5" xfId="7114" xr:uid="{00000000-0005-0000-0000-0000CA1B0000}"/>
    <cellStyle name="Normal 2 2 10 2 18 2 6" xfId="7115" xr:uid="{00000000-0005-0000-0000-0000CB1B0000}"/>
    <cellStyle name="Normal 2 2 10 2 18 2 7" xfId="7116" xr:uid="{00000000-0005-0000-0000-0000CC1B0000}"/>
    <cellStyle name="Normal 2 2 10 2 18 2 8" xfId="7117" xr:uid="{00000000-0005-0000-0000-0000CD1B0000}"/>
    <cellStyle name="Normal 2 2 10 2 18 2 9" xfId="7118" xr:uid="{00000000-0005-0000-0000-0000CE1B0000}"/>
    <cellStyle name="Normal 2 2 10 2 18 3" xfId="7119" xr:uid="{00000000-0005-0000-0000-0000CF1B0000}"/>
    <cellStyle name="Normal 2 2 10 2 18 3 10" xfId="7120" xr:uid="{00000000-0005-0000-0000-0000D01B0000}"/>
    <cellStyle name="Normal 2 2 10 2 18 3 2" xfId="7121" xr:uid="{00000000-0005-0000-0000-0000D11B0000}"/>
    <cellStyle name="Normal 2 2 10 2 18 3 3" xfId="7122" xr:uid="{00000000-0005-0000-0000-0000D21B0000}"/>
    <cellStyle name="Normal 2 2 10 2 18 3 4" xfId="7123" xr:uid="{00000000-0005-0000-0000-0000D31B0000}"/>
    <cellStyle name="Normal 2 2 10 2 18 3 5" xfId="7124" xr:uid="{00000000-0005-0000-0000-0000D41B0000}"/>
    <cellStyle name="Normal 2 2 10 2 18 3 6" xfId="7125" xr:uid="{00000000-0005-0000-0000-0000D51B0000}"/>
    <cellStyle name="Normal 2 2 10 2 18 3 7" xfId="7126" xr:uid="{00000000-0005-0000-0000-0000D61B0000}"/>
    <cellStyle name="Normal 2 2 10 2 18 3 8" xfId="7127" xr:uid="{00000000-0005-0000-0000-0000D71B0000}"/>
    <cellStyle name="Normal 2 2 10 2 18 3 9" xfId="7128" xr:uid="{00000000-0005-0000-0000-0000D81B0000}"/>
    <cellStyle name="Normal 2 2 10 2 18 4" xfId="7129" xr:uid="{00000000-0005-0000-0000-0000D91B0000}"/>
    <cellStyle name="Normal 2 2 10 2 18 4 10" xfId="7130" xr:uid="{00000000-0005-0000-0000-0000DA1B0000}"/>
    <cellStyle name="Normal 2 2 10 2 18 4 2" xfId="7131" xr:uid="{00000000-0005-0000-0000-0000DB1B0000}"/>
    <cellStyle name="Normal 2 2 10 2 18 4 3" xfId="7132" xr:uid="{00000000-0005-0000-0000-0000DC1B0000}"/>
    <cellStyle name="Normal 2 2 10 2 18 4 4" xfId="7133" xr:uid="{00000000-0005-0000-0000-0000DD1B0000}"/>
    <cellStyle name="Normal 2 2 10 2 18 4 5" xfId="7134" xr:uid="{00000000-0005-0000-0000-0000DE1B0000}"/>
    <cellStyle name="Normal 2 2 10 2 18 4 6" xfId="7135" xr:uid="{00000000-0005-0000-0000-0000DF1B0000}"/>
    <cellStyle name="Normal 2 2 10 2 18 4 7" xfId="7136" xr:uid="{00000000-0005-0000-0000-0000E01B0000}"/>
    <cellStyle name="Normal 2 2 10 2 18 4 8" xfId="7137" xr:uid="{00000000-0005-0000-0000-0000E11B0000}"/>
    <cellStyle name="Normal 2 2 10 2 18 4 9" xfId="7138" xr:uid="{00000000-0005-0000-0000-0000E21B0000}"/>
    <cellStyle name="Normal 2 2 10 2 18 5" xfId="7139" xr:uid="{00000000-0005-0000-0000-0000E31B0000}"/>
    <cellStyle name="Normal 2 2 10 2 18 5 10" xfId="7140" xr:uid="{00000000-0005-0000-0000-0000E41B0000}"/>
    <cellStyle name="Normal 2 2 10 2 18 5 2" xfId="7141" xr:uid="{00000000-0005-0000-0000-0000E51B0000}"/>
    <cellStyle name="Normal 2 2 10 2 18 5 3" xfId="7142" xr:uid="{00000000-0005-0000-0000-0000E61B0000}"/>
    <cellStyle name="Normal 2 2 10 2 18 5 4" xfId="7143" xr:uid="{00000000-0005-0000-0000-0000E71B0000}"/>
    <cellStyle name="Normal 2 2 10 2 18 5 5" xfId="7144" xr:uid="{00000000-0005-0000-0000-0000E81B0000}"/>
    <cellStyle name="Normal 2 2 10 2 18 5 6" xfId="7145" xr:uid="{00000000-0005-0000-0000-0000E91B0000}"/>
    <cellStyle name="Normal 2 2 10 2 18 5 7" xfId="7146" xr:uid="{00000000-0005-0000-0000-0000EA1B0000}"/>
    <cellStyle name="Normal 2 2 10 2 18 5 8" xfId="7147" xr:uid="{00000000-0005-0000-0000-0000EB1B0000}"/>
    <cellStyle name="Normal 2 2 10 2 18 5 9" xfId="7148" xr:uid="{00000000-0005-0000-0000-0000EC1B0000}"/>
    <cellStyle name="Normal 2 2 10 2 18 6" xfId="7149" xr:uid="{00000000-0005-0000-0000-0000ED1B0000}"/>
    <cellStyle name="Normal 2 2 10 2 18 7" xfId="7150" xr:uid="{00000000-0005-0000-0000-0000EE1B0000}"/>
    <cellStyle name="Normal 2 2 10 2 18 8" xfId="7151" xr:uid="{00000000-0005-0000-0000-0000EF1B0000}"/>
    <cellStyle name="Normal 2 2 10 2 18 9" xfId="7152" xr:uid="{00000000-0005-0000-0000-0000F01B0000}"/>
    <cellStyle name="Normal 2 2 10 2 19" xfId="7153" xr:uid="{00000000-0005-0000-0000-0000F11B0000}"/>
    <cellStyle name="Normal 2 2 10 2 19 10" xfId="7154" xr:uid="{00000000-0005-0000-0000-0000F21B0000}"/>
    <cellStyle name="Normal 2 2 10 2 19 11" xfId="7155" xr:uid="{00000000-0005-0000-0000-0000F31B0000}"/>
    <cellStyle name="Normal 2 2 10 2 19 12" xfId="7156" xr:uid="{00000000-0005-0000-0000-0000F41B0000}"/>
    <cellStyle name="Normal 2 2 10 2 19 13" xfId="7157" xr:uid="{00000000-0005-0000-0000-0000F51B0000}"/>
    <cellStyle name="Normal 2 2 10 2 19 14" xfId="7158" xr:uid="{00000000-0005-0000-0000-0000F61B0000}"/>
    <cellStyle name="Normal 2 2 10 2 19 2" xfId="7159" xr:uid="{00000000-0005-0000-0000-0000F71B0000}"/>
    <cellStyle name="Normal 2 2 10 2 19 2 10" xfId="7160" xr:uid="{00000000-0005-0000-0000-0000F81B0000}"/>
    <cellStyle name="Normal 2 2 10 2 19 2 2" xfId="7161" xr:uid="{00000000-0005-0000-0000-0000F91B0000}"/>
    <cellStyle name="Normal 2 2 10 2 19 2 3" xfId="7162" xr:uid="{00000000-0005-0000-0000-0000FA1B0000}"/>
    <cellStyle name="Normal 2 2 10 2 19 2 4" xfId="7163" xr:uid="{00000000-0005-0000-0000-0000FB1B0000}"/>
    <cellStyle name="Normal 2 2 10 2 19 2 5" xfId="7164" xr:uid="{00000000-0005-0000-0000-0000FC1B0000}"/>
    <cellStyle name="Normal 2 2 10 2 19 2 6" xfId="7165" xr:uid="{00000000-0005-0000-0000-0000FD1B0000}"/>
    <cellStyle name="Normal 2 2 10 2 19 2 7" xfId="7166" xr:uid="{00000000-0005-0000-0000-0000FE1B0000}"/>
    <cellStyle name="Normal 2 2 10 2 19 2 8" xfId="7167" xr:uid="{00000000-0005-0000-0000-0000FF1B0000}"/>
    <cellStyle name="Normal 2 2 10 2 19 2 9" xfId="7168" xr:uid="{00000000-0005-0000-0000-0000001C0000}"/>
    <cellStyle name="Normal 2 2 10 2 19 3" xfId="7169" xr:uid="{00000000-0005-0000-0000-0000011C0000}"/>
    <cellStyle name="Normal 2 2 10 2 19 3 10" xfId="7170" xr:uid="{00000000-0005-0000-0000-0000021C0000}"/>
    <cellStyle name="Normal 2 2 10 2 19 3 2" xfId="7171" xr:uid="{00000000-0005-0000-0000-0000031C0000}"/>
    <cellStyle name="Normal 2 2 10 2 19 3 3" xfId="7172" xr:uid="{00000000-0005-0000-0000-0000041C0000}"/>
    <cellStyle name="Normal 2 2 10 2 19 3 4" xfId="7173" xr:uid="{00000000-0005-0000-0000-0000051C0000}"/>
    <cellStyle name="Normal 2 2 10 2 19 3 5" xfId="7174" xr:uid="{00000000-0005-0000-0000-0000061C0000}"/>
    <cellStyle name="Normal 2 2 10 2 19 3 6" xfId="7175" xr:uid="{00000000-0005-0000-0000-0000071C0000}"/>
    <cellStyle name="Normal 2 2 10 2 19 3 7" xfId="7176" xr:uid="{00000000-0005-0000-0000-0000081C0000}"/>
    <cellStyle name="Normal 2 2 10 2 19 3 8" xfId="7177" xr:uid="{00000000-0005-0000-0000-0000091C0000}"/>
    <cellStyle name="Normal 2 2 10 2 19 3 9" xfId="7178" xr:uid="{00000000-0005-0000-0000-00000A1C0000}"/>
    <cellStyle name="Normal 2 2 10 2 19 4" xfId="7179" xr:uid="{00000000-0005-0000-0000-00000B1C0000}"/>
    <cellStyle name="Normal 2 2 10 2 19 4 10" xfId="7180" xr:uid="{00000000-0005-0000-0000-00000C1C0000}"/>
    <cellStyle name="Normal 2 2 10 2 19 4 2" xfId="7181" xr:uid="{00000000-0005-0000-0000-00000D1C0000}"/>
    <cellStyle name="Normal 2 2 10 2 19 4 3" xfId="7182" xr:uid="{00000000-0005-0000-0000-00000E1C0000}"/>
    <cellStyle name="Normal 2 2 10 2 19 4 4" xfId="7183" xr:uid="{00000000-0005-0000-0000-00000F1C0000}"/>
    <cellStyle name="Normal 2 2 10 2 19 4 5" xfId="7184" xr:uid="{00000000-0005-0000-0000-0000101C0000}"/>
    <cellStyle name="Normal 2 2 10 2 19 4 6" xfId="7185" xr:uid="{00000000-0005-0000-0000-0000111C0000}"/>
    <cellStyle name="Normal 2 2 10 2 19 4 7" xfId="7186" xr:uid="{00000000-0005-0000-0000-0000121C0000}"/>
    <cellStyle name="Normal 2 2 10 2 19 4 8" xfId="7187" xr:uid="{00000000-0005-0000-0000-0000131C0000}"/>
    <cellStyle name="Normal 2 2 10 2 19 4 9" xfId="7188" xr:uid="{00000000-0005-0000-0000-0000141C0000}"/>
    <cellStyle name="Normal 2 2 10 2 19 5" xfId="7189" xr:uid="{00000000-0005-0000-0000-0000151C0000}"/>
    <cellStyle name="Normal 2 2 10 2 19 5 10" xfId="7190" xr:uid="{00000000-0005-0000-0000-0000161C0000}"/>
    <cellStyle name="Normal 2 2 10 2 19 5 2" xfId="7191" xr:uid="{00000000-0005-0000-0000-0000171C0000}"/>
    <cellStyle name="Normal 2 2 10 2 19 5 3" xfId="7192" xr:uid="{00000000-0005-0000-0000-0000181C0000}"/>
    <cellStyle name="Normal 2 2 10 2 19 5 4" xfId="7193" xr:uid="{00000000-0005-0000-0000-0000191C0000}"/>
    <cellStyle name="Normal 2 2 10 2 19 5 5" xfId="7194" xr:uid="{00000000-0005-0000-0000-00001A1C0000}"/>
    <cellStyle name="Normal 2 2 10 2 19 5 6" xfId="7195" xr:uid="{00000000-0005-0000-0000-00001B1C0000}"/>
    <cellStyle name="Normal 2 2 10 2 19 5 7" xfId="7196" xr:uid="{00000000-0005-0000-0000-00001C1C0000}"/>
    <cellStyle name="Normal 2 2 10 2 19 5 8" xfId="7197" xr:uid="{00000000-0005-0000-0000-00001D1C0000}"/>
    <cellStyle name="Normal 2 2 10 2 19 5 9" xfId="7198" xr:uid="{00000000-0005-0000-0000-00001E1C0000}"/>
    <cellStyle name="Normal 2 2 10 2 19 6" xfId="7199" xr:uid="{00000000-0005-0000-0000-00001F1C0000}"/>
    <cellStyle name="Normal 2 2 10 2 19 7" xfId="7200" xr:uid="{00000000-0005-0000-0000-0000201C0000}"/>
    <cellStyle name="Normal 2 2 10 2 19 8" xfId="7201" xr:uid="{00000000-0005-0000-0000-0000211C0000}"/>
    <cellStyle name="Normal 2 2 10 2 19 9" xfId="7202" xr:uid="{00000000-0005-0000-0000-0000221C0000}"/>
    <cellStyle name="Normal 2 2 10 2 2" xfId="7203" xr:uid="{00000000-0005-0000-0000-0000231C0000}"/>
    <cellStyle name="Normal 2 2 10 2 2 10" xfId="7204" xr:uid="{00000000-0005-0000-0000-0000241C0000}"/>
    <cellStyle name="Normal 2 2 10 2 2 11" xfId="7205" xr:uid="{00000000-0005-0000-0000-0000251C0000}"/>
    <cellStyle name="Normal 2 2 10 2 2 12" xfId="7206" xr:uid="{00000000-0005-0000-0000-0000261C0000}"/>
    <cellStyle name="Normal 2 2 10 2 2 13" xfId="7207" xr:uid="{00000000-0005-0000-0000-0000271C0000}"/>
    <cellStyle name="Normal 2 2 10 2 2 14" xfId="7208" xr:uid="{00000000-0005-0000-0000-0000281C0000}"/>
    <cellStyle name="Normal 2 2 10 2 2 2" xfId="7209" xr:uid="{00000000-0005-0000-0000-0000291C0000}"/>
    <cellStyle name="Normal 2 2 10 2 2 2 10" xfId="7210" xr:uid="{00000000-0005-0000-0000-00002A1C0000}"/>
    <cellStyle name="Normal 2 2 10 2 2 2 2" xfId="7211" xr:uid="{00000000-0005-0000-0000-00002B1C0000}"/>
    <cellStyle name="Normal 2 2 10 2 2 2 3" xfId="7212" xr:uid="{00000000-0005-0000-0000-00002C1C0000}"/>
    <cellStyle name="Normal 2 2 10 2 2 2 4" xfId="7213" xr:uid="{00000000-0005-0000-0000-00002D1C0000}"/>
    <cellStyle name="Normal 2 2 10 2 2 2 5" xfId="7214" xr:uid="{00000000-0005-0000-0000-00002E1C0000}"/>
    <cellStyle name="Normal 2 2 10 2 2 2 6" xfId="7215" xr:uid="{00000000-0005-0000-0000-00002F1C0000}"/>
    <cellStyle name="Normal 2 2 10 2 2 2 7" xfId="7216" xr:uid="{00000000-0005-0000-0000-0000301C0000}"/>
    <cellStyle name="Normal 2 2 10 2 2 2 8" xfId="7217" xr:uid="{00000000-0005-0000-0000-0000311C0000}"/>
    <cellStyle name="Normal 2 2 10 2 2 2 9" xfId="7218" xr:uid="{00000000-0005-0000-0000-0000321C0000}"/>
    <cellStyle name="Normal 2 2 10 2 2 3" xfId="7219" xr:uid="{00000000-0005-0000-0000-0000331C0000}"/>
    <cellStyle name="Normal 2 2 10 2 2 3 10" xfId="7220" xr:uid="{00000000-0005-0000-0000-0000341C0000}"/>
    <cellStyle name="Normal 2 2 10 2 2 3 2" xfId="7221" xr:uid="{00000000-0005-0000-0000-0000351C0000}"/>
    <cellStyle name="Normal 2 2 10 2 2 3 3" xfId="7222" xr:uid="{00000000-0005-0000-0000-0000361C0000}"/>
    <cellStyle name="Normal 2 2 10 2 2 3 4" xfId="7223" xr:uid="{00000000-0005-0000-0000-0000371C0000}"/>
    <cellStyle name="Normal 2 2 10 2 2 3 5" xfId="7224" xr:uid="{00000000-0005-0000-0000-0000381C0000}"/>
    <cellStyle name="Normal 2 2 10 2 2 3 6" xfId="7225" xr:uid="{00000000-0005-0000-0000-0000391C0000}"/>
    <cellStyle name="Normal 2 2 10 2 2 3 7" xfId="7226" xr:uid="{00000000-0005-0000-0000-00003A1C0000}"/>
    <cellStyle name="Normal 2 2 10 2 2 3 8" xfId="7227" xr:uid="{00000000-0005-0000-0000-00003B1C0000}"/>
    <cellStyle name="Normal 2 2 10 2 2 3 9" xfId="7228" xr:uid="{00000000-0005-0000-0000-00003C1C0000}"/>
    <cellStyle name="Normal 2 2 10 2 2 4" xfId="7229" xr:uid="{00000000-0005-0000-0000-00003D1C0000}"/>
    <cellStyle name="Normal 2 2 10 2 2 4 10" xfId="7230" xr:uid="{00000000-0005-0000-0000-00003E1C0000}"/>
    <cellStyle name="Normal 2 2 10 2 2 4 2" xfId="7231" xr:uid="{00000000-0005-0000-0000-00003F1C0000}"/>
    <cellStyle name="Normal 2 2 10 2 2 4 3" xfId="7232" xr:uid="{00000000-0005-0000-0000-0000401C0000}"/>
    <cellStyle name="Normal 2 2 10 2 2 4 4" xfId="7233" xr:uid="{00000000-0005-0000-0000-0000411C0000}"/>
    <cellStyle name="Normal 2 2 10 2 2 4 5" xfId="7234" xr:uid="{00000000-0005-0000-0000-0000421C0000}"/>
    <cellStyle name="Normal 2 2 10 2 2 4 6" xfId="7235" xr:uid="{00000000-0005-0000-0000-0000431C0000}"/>
    <cellStyle name="Normal 2 2 10 2 2 4 7" xfId="7236" xr:uid="{00000000-0005-0000-0000-0000441C0000}"/>
    <cellStyle name="Normal 2 2 10 2 2 4 8" xfId="7237" xr:uid="{00000000-0005-0000-0000-0000451C0000}"/>
    <cellStyle name="Normal 2 2 10 2 2 4 9" xfId="7238" xr:uid="{00000000-0005-0000-0000-0000461C0000}"/>
    <cellStyle name="Normal 2 2 10 2 2 5" xfId="7239" xr:uid="{00000000-0005-0000-0000-0000471C0000}"/>
    <cellStyle name="Normal 2 2 10 2 2 5 10" xfId="7240" xr:uid="{00000000-0005-0000-0000-0000481C0000}"/>
    <cellStyle name="Normal 2 2 10 2 2 5 2" xfId="7241" xr:uid="{00000000-0005-0000-0000-0000491C0000}"/>
    <cellStyle name="Normal 2 2 10 2 2 5 3" xfId="7242" xr:uid="{00000000-0005-0000-0000-00004A1C0000}"/>
    <cellStyle name="Normal 2 2 10 2 2 5 4" xfId="7243" xr:uid="{00000000-0005-0000-0000-00004B1C0000}"/>
    <cellStyle name="Normal 2 2 10 2 2 5 5" xfId="7244" xr:uid="{00000000-0005-0000-0000-00004C1C0000}"/>
    <cellStyle name="Normal 2 2 10 2 2 5 6" xfId="7245" xr:uid="{00000000-0005-0000-0000-00004D1C0000}"/>
    <cellStyle name="Normal 2 2 10 2 2 5 7" xfId="7246" xr:uid="{00000000-0005-0000-0000-00004E1C0000}"/>
    <cellStyle name="Normal 2 2 10 2 2 5 8" xfId="7247" xr:uid="{00000000-0005-0000-0000-00004F1C0000}"/>
    <cellStyle name="Normal 2 2 10 2 2 5 9" xfId="7248" xr:uid="{00000000-0005-0000-0000-0000501C0000}"/>
    <cellStyle name="Normal 2 2 10 2 2 6" xfId="7249" xr:uid="{00000000-0005-0000-0000-0000511C0000}"/>
    <cellStyle name="Normal 2 2 10 2 2 7" xfId="7250" xr:uid="{00000000-0005-0000-0000-0000521C0000}"/>
    <cellStyle name="Normal 2 2 10 2 2 8" xfId="7251" xr:uid="{00000000-0005-0000-0000-0000531C0000}"/>
    <cellStyle name="Normal 2 2 10 2 2 9" xfId="7252" xr:uid="{00000000-0005-0000-0000-0000541C0000}"/>
    <cellStyle name="Normal 2 2 10 2 20" xfId="7253" xr:uid="{00000000-0005-0000-0000-0000551C0000}"/>
    <cellStyle name="Normal 2 2 10 2 20 10" xfId="7254" xr:uid="{00000000-0005-0000-0000-0000561C0000}"/>
    <cellStyle name="Normal 2 2 10 2 20 11" xfId="7255" xr:uid="{00000000-0005-0000-0000-0000571C0000}"/>
    <cellStyle name="Normal 2 2 10 2 20 12" xfId="7256" xr:uid="{00000000-0005-0000-0000-0000581C0000}"/>
    <cellStyle name="Normal 2 2 10 2 20 13" xfId="7257" xr:uid="{00000000-0005-0000-0000-0000591C0000}"/>
    <cellStyle name="Normal 2 2 10 2 20 14" xfId="7258" xr:uid="{00000000-0005-0000-0000-00005A1C0000}"/>
    <cellStyle name="Normal 2 2 10 2 20 2" xfId="7259" xr:uid="{00000000-0005-0000-0000-00005B1C0000}"/>
    <cellStyle name="Normal 2 2 10 2 20 2 10" xfId="7260" xr:uid="{00000000-0005-0000-0000-00005C1C0000}"/>
    <cellStyle name="Normal 2 2 10 2 20 2 2" xfId="7261" xr:uid="{00000000-0005-0000-0000-00005D1C0000}"/>
    <cellStyle name="Normal 2 2 10 2 20 2 3" xfId="7262" xr:uid="{00000000-0005-0000-0000-00005E1C0000}"/>
    <cellStyle name="Normal 2 2 10 2 20 2 4" xfId="7263" xr:uid="{00000000-0005-0000-0000-00005F1C0000}"/>
    <cellStyle name="Normal 2 2 10 2 20 2 5" xfId="7264" xr:uid="{00000000-0005-0000-0000-0000601C0000}"/>
    <cellStyle name="Normal 2 2 10 2 20 2 6" xfId="7265" xr:uid="{00000000-0005-0000-0000-0000611C0000}"/>
    <cellStyle name="Normal 2 2 10 2 20 2 7" xfId="7266" xr:uid="{00000000-0005-0000-0000-0000621C0000}"/>
    <cellStyle name="Normal 2 2 10 2 20 2 8" xfId="7267" xr:uid="{00000000-0005-0000-0000-0000631C0000}"/>
    <cellStyle name="Normal 2 2 10 2 20 2 9" xfId="7268" xr:uid="{00000000-0005-0000-0000-0000641C0000}"/>
    <cellStyle name="Normal 2 2 10 2 20 3" xfId="7269" xr:uid="{00000000-0005-0000-0000-0000651C0000}"/>
    <cellStyle name="Normal 2 2 10 2 20 3 10" xfId="7270" xr:uid="{00000000-0005-0000-0000-0000661C0000}"/>
    <cellStyle name="Normal 2 2 10 2 20 3 2" xfId="7271" xr:uid="{00000000-0005-0000-0000-0000671C0000}"/>
    <cellStyle name="Normal 2 2 10 2 20 3 3" xfId="7272" xr:uid="{00000000-0005-0000-0000-0000681C0000}"/>
    <cellStyle name="Normal 2 2 10 2 20 3 4" xfId="7273" xr:uid="{00000000-0005-0000-0000-0000691C0000}"/>
    <cellStyle name="Normal 2 2 10 2 20 3 5" xfId="7274" xr:uid="{00000000-0005-0000-0000-00006A1C0000}"/>
    <cellStyle name="Normal 2 2 10 2 20 3 6" xfId="7275" xr:uid="{00000000-0005-0000-0000-00006B1C0000}"/>
    <cellStyle name="Normal 2 2 10 2 20 3 7" xfId="7276" xr:uid="{00000000-0005-0000-0000-00006C1C0000}"/>
    <cellStyle name="Normal 2 2 10 2 20 3 8" xfId="7277" xr:uid="{00000000-0005-0000-0000-00006D1C0000}"/>
    <cellStyle name="Normal 2 2 10 2 20 3 9" xfId="7278" xr:uid="{00000000-0005-0000-0000-00006E1C0000}"/>
    <cellStyle name="Normal 2 2 10 2 20 4" xfId="7279" xr:uid="{00000000-0005-0000-0000-00006F1C0000}"/>
    <cellStyle name="Normal 2 2 10 2 20 4 10" xfId="7280" xr:uid="{00000000-0005-0000-0000-0000701C0000}"/>
    <cellStyle name="Normal 2 2 10 2 20 4 2" xfId="7281" xr:uid="{00000000-0005-0000-0000-0000711C0000}"/>
    <cellStyle name="Normal 2 2 10 2 20 4 3" xfId="7282" xr:uid="{00000000-0005-0000-0000-0000721C0000}"/>
    <cellStyle name="Normal 2 2 10 2 20 4 4" xfId="7283" xr:uid="{00000000-0005-0000-0000-0000731C0000}"/>
    <cellStyle name="Normal 2 2 10 2 20 4 5" xfId="7284" xr:uid="{00000000-0005-0000-0000-0000741C0000}"/>
    <cellStyle name="Normal 2 2 10 2 20 4 6" xfId="7285" xr:uid="{00000000-0005-0000-0000-0000751C0000}"/>
    <cellStyle name="Normal 2 2 10 2 20 4 7" xfId="7286" xr:uid="{00000000-0005-0000-0000-0000761C0000}"/>
    <cellStyle name="Normal 2 2 10 2 20 4 8" xfId="7287" xr:uid="{00000000-0005-0000-0000-0000771C0000}"/>
    <cellStyle name="Normal 2 2 10 2 20 4 9" xfId="7288" xr:uid="{00000000-0005-0000-0000-0000781C0000}"/>
    <cellStyle name="Normal 2 2 10 2 20 5" xfId="7289" xr:uid="{00000000-0005-0000-0000-0000791C0000}"/>
    <cellStyle name="Normal 2 2 10 2 20 5 10" xfId="7290" xr:uid="{00000000-0005-0000-0000-00007A1C0000}"/>
    <cellStyle name="Normal 2 2 10 2 20 5 2" xfId="7291" xr:uid="{00000000-0005-0000-0000-00007B1C0000}"/>
    <cellStyle name="Normal 2 2 10 2 20 5 3" xfId="7292" xr:uid="{00000000-0005-0000-0000-00007C1C0000}"/>
    <cellStyle name="Normal 2 2 10 2 20 5 4" xfId="7293" xr:uid="{00000000-0005-0000-0000-00007D1C0000}"/>
    <cellStyle name="Normal 2 2 10 2 20 5 5" xfId="7294" xr:uid="{00000000-0005-0000-0000-00007E1C0000}"/>
    <cellStyle name="Normal 2 2 10 2 20 5 6" xfId="7295" xr:uid="{00000000-0005-0000-0000-00007F1C0000}"/>
    <cellStyle name="Normal 2 2 10 2 20 5 7" xfId="7296" xr:uid="{00000000-0005-0000-0000-0000801C0000}"/>
    <cellStyle name="Normal 2 2 10 2 20 5 8" xfId="7297" xr:uid="{00000000-0005-0000-0000-0000811C0000}"/>
    <cellStyle name="Normal 2 2 10 2 20 5 9" xfId="7298" xr:uid="{00000000-0005-0000-0000-0000821C0000}"/>
    <cellStyle name="Normal 2 2 10 2 20 6" xfId="7299" xr:uid="{00000000-0005-0000-0000-0000831C0000}"/>
    <cellStyle name="Normal 2 2 10 2 20 7" xfId="7300" xr:uid="{00000000-0005-0000-0000-0000841C0000}"/>
    <cellStyle name="Normal 2 2 10 2 20 8" xfId="7301" xr:uid="{00000000-0005-0000-0000-0000851C0000}"/>
    <cellStyle name="Normal 2 2 10 2 20 9" xfId="7302" xr:uid="{00000000-0005-0000-0000-0000861C0000}"/>
    <cellStyle name="Normal 2 2 10 2 21" xfId="7303" xr:uid="{00000000-0005-0000-0000-0000871C0000}"/>
    <cellStyle name="Normal 2 2 10 2 21 10" xfId="7304" xr:uid="{00000000-0005-0000-0000-0000881C0000}"/>
    <cellStyle name="Normal 2 2 10 2 21 11" xfId="7305" xr:uid="{00000000-0005-0000-0000-0000891C0000}"/>
    <cellStyle name="Normal 2 2 10 2 21 12" xfId="7306" xr:uid="{00000000-0005-0000-0000-00008A1C0000}"/>
    <cellStyle name="Normal 2 2 10 2 21 13" xfId="7307" xr:uid="{00000000-0005-0000-0000-00008B1C0000}"/>
    <cellStyle name="Normal 2 2 10 2 21 14" xfId="7308" xr:uid="{00000000-0005-0000-0000-00008C1C0000}"/>
    <cellStyle name="Normal 2 2 10 2 21 2" xfId="7309" xr:uid="{00000000-0005-0000-0000-00008D1C0000}"/>
    <cellStyle name="Normal 2 2 10 2 21 2 10" xfId="7310" xr:uid="{00000000-0005-0000-0000-00008E1C0000}"/>
    <cellStyle name="Normal 2 2 10 2 21 2 2" xfId="7311" xr:uid="{00000000-0005-0000-0000-00008F1C0000}"/>
    <cellStyle name="Normal 2 2 10 2 21 2 3" xfId="7312" xr:uid="{00000000-0005-0000-0000-0000901C0000}"/>
    <cellStyle name="Normal 2 2 10 2 21 2 4" xfId="7313" xr:uid="{00000000-0005-0000-0000-0000911C0000}"/>
    <cellStyle name="Normal 2 2 10 2 21 2 5" xfId="7314" xr:uid="{00000000-0005-0000-0000-0000921C0000}"/>
    <cellStyle name="Normal 2 2 10 2 21 2 6" xfId="7315" xr:uid="{00000000-0005-0000-0000-0000931C0000}"/>
    <cellStyle name="Normal 2 2 10 2 21 2 7" xfId="7316" xr:uid="{00000000-0005-0000-0000-0000941C0000}"/>
    <cellStyle name="Normal 2 2 10 2 21 2 8" xfId="7317" xr:uid="{00000000-0005-0000-0000-0000951C0000}"/>
    <cellStyle name="Normal 2 2 10 2 21 2 9" xfId="7318" xr:uid="{00000000-0005-0000-0000-0000961C0000}"/>
    <cellStyle name="Normal 2 2 10 2 21 3" xfId="7319" xr:uid="{00000000-0005-0000-0000-0000971C0000}"/>
    <cellStyle name="Normal 2 2 10 2 21 3 10" xfId="7320" xr:uid="{00000000-0005-0000-0000-0000981C0000}"/>
    <cellStyle name="Normal 2 2 10 2 21 3 2" xfId="7321" xr:uid="{00000000-0005-0000-0000-0000991C0000}"/>
    <cellStyle name="Normal 2 2 10 2 21 3 3" xfId="7322" xr:uid="{00000000-0005-0000-0000-00009A1C0000}"/>
    <cellStyle name="Normal 2 2 10 2 21 3 4" xfId="7323" xr:uid="{00000000-0005-0000-0000-00009B1C0000}"/>
    <cellStyle name="Normal 2 2 10 2 21 3 5" xfId="7324" xr:uid="{00000000-0005-0000-0000-00009C1C0000}"/>
    <cellStyle name="Normal 2 2 10 2 21 3 6" xfId="7325" xr:uid="{00000000-0005-0000-0000-00009D1C0000}"/>
    <cellStyle name="Normal 2 2 10 2 21 3 7" xfId="7326" xr:uid="{00000000-0005-0000-0000-00009E1C0000}"/>
    <cellStyle name="Normal 2 2 10 2 21 3 8" xfId="7327" xr:uid="{00000000-0005-0000-0000-00009F1C0000}"/>
    <cellStyle name="Normal 2 2 10 2 21 3 9" xfId="7328" xr:uid="{00000000-0005-0000-0000-0000A01C0000}"/>
    <cellStyle name="Normal 2 2 10 2 21 4" xfId="7329" xr:uid="{00000000-0005-0000-0000-0000A11C0000}"/>
    <cellStyle name="Normal 2 2 10 2 21 4 10" xfId="7330" xr:uid="{00000000-0005-0000-0000-0000A21C0000}"/>
    <cellStyle name="Normal 2 2 10 2 21 4 2" xfId="7331" xr:uid="{00000000-0005-0000-0000-0000A31C0000}"/>
    <cellStyle name="Normal 2 2 10 2 21 4 3" xfId="7332" xr:uid="{00000000-0005-0000-0000-0000A41C0000}"/>
    <cellStyle name="Normal 2 2 10 2 21 4 4" xfId="7333" xr:uid="{00000000-0005-0000-0000-0000A51C0000}"/>
    <cellStyle name="Normal 2 2 10 2 21 4 5" xfId="7334" xr:uid="{00000000-0005-0000-0000-0000A61C0000}"/>
    <cellStyle name="Normal 2 2 10 2 21 4 6" xfId="7335" xr:uid="{00000000-0005-0000-0000-0000A71C0000}"/>
    <cellStyle name="Normal 2 2 10 2 21 4 7" xfId="7336" xr:uid="{00000000-0005-0000-0000-0000A81C0000}"/>
    <cellStyle name="Normal 2 2 10 2 21 4 8" xfId="7337" xr:uid="{00000000-0005-0000-0000-0000A91C0000}"/>
    <cellStyle name="Normal 2 2 10 2 21 4 9" xfId="7338" xr:uid="{00000000-0005-0000-0000-0000AA1C0000}"/>
    <cellStyle name="Normal 2 2 10 2 21 5" xfId="7339" xr:uid="{00000000-0005-0000-0000-0000AB1C0000}"/>
    <cellStyle name="Normal 2 2 10 2 21 5 10" xfId="7340" xr:uid="{00000000-0005-0000-0000-0000AC1C0000}"/>
    <cellStyle name="Normal 2 2 10 2 21 5 2" xfId="7341" xr:uid="{00000000-0005-0000-0000-0000AD1C0000}"/>
    <cellStyle name="Normal 2 2 10 2 21 5 3" xfId="7342" xr:uid="{00000000-0005-0000-0000-0000AE1C0000}"/>
    <cellStyle name="Normal 2 2 10 2 21 5 4" xfId="7343" xr:uid="{00000000-0005-0000-0000-0000AF1C0000}"/>
    <cellStyle name="Normal 2 2 10 2 21 5 5" xfId="7344" xr:uid="{00000000-0005-0000-0000-0000B01C0000}"/>
    <cellStyle name="Normal 2 2 10 2 21 5 6" xfId="7345" xr:uid="{00000000-0005-0000-0000-0000B11C0000}"/>
    <cellStyle name="Normal 2 2 10 2 21 5 7" xfId="7346" xr:uid="{00000000-0005-0000-0000-0000B21C0000}"/>
    <cellStyle name="Normal 2 2 10 2 21 5 8" xfId="7347" xr:uid="{00000000-0005-0000-0000-0000B31C0000}"/>
    <cellStyle name="Normal 2 2 10 2 21 5 9" xfId="7348" xr:uid="{00000000-0005-0000-0000-0000B41C0000}"/>
    <cellStyle name="Normal 2 2 10 2 21 6" xfId="7349" xr:uid="{00000000-0005-0000-0000-0000B51C0000}"/>
    <cellStyle name="Normal 2 2 10 2 21 7" xfId="7350" xr:uid="{00000000-0005-0000-0000-0000B61C0000}"/>
    <cellStyle name="Normal 2 2 10 2 21 8" xfId="7351" xr:uid="{00000000-0005-0000-0000-0000B71C0000}"/>
    <cellStyle name="Normal 2 2 10 2 21 9" xfId="7352" xr:uid="{00000000-0005-0000-0000-0000B81C0000}"/>
    <cellStyle name="Normal 2 2 10 2 22" xfId="7353" xr:uid="{00000000-0005-0000-0000-0000B91C0000}"/>
    <cellStyle name="Normal 2 2 10 2 22 10" xfId="7354" xr:uid="{00000000-0005-0000-0000-0000BA1C0000}"/>
    <cellStyle name="Normal 2 2 10 2 22 11" xfId="7355" xr:uid="{00000000-0005-0000-0000-0000BB1C0000}"/>
    <cellStyle name="Normal 2 2 10 2 22 12" xfId="7356" xr:uid="{00000000-0005-0000-0000-0000BC1C0000}"/>
    <cellStyle name="Normal 2 2 10 2 22 13" xfId="7357" xr:uid="{00000000-0005-0000-0000-0000BD1C0000}"/>
    <cellStyle name="Normal 2 2 10 2 22 14" xfId="7358" xr:uid="{00000000-0005-0000-0000-0000BE1C0000}"/>
    <cellStyle name="Normal 2 2 10 2 22 2" xfId="7359" xr:uid="{00000000-0005-0000-0000-0000BF1C0000}"/>
    <cellStyle name="Normal 2 2 10 2 22 2 10" xfId="7360" xr:uid="{00000000-0005-0000-0000-0000C01C0000}"/>
    <cellStyle name="Normal 2 2 10 2 22 2 2" xfId="7361" xr:uid="{00000000-0005-0000-0000-0000C11C0000}"/>
    <cellStyle name="Normal 2 2 10 2 22 2 3" xfId="7362" xr:uid="{00000000-0005-0000-0000-0000C21C0000}"/>
    <cellStyle name="Normal 2 2 10 2 22 2 4" xfId="7363" xr:uid="{00000000-0005-0000-0000-0000C31C0000}"/>
    <cellStyle name="Normal 2 2 10 2 22 2 5" xfId="7364" xr:uid="{00000000-0005-0000-0000-0000C41C0000}"/>
    <cellStyle name="Normal 2 2 10 2 22 2 6" xfId="7365" xr:uid="{00000000-0005-0000-0000-0000C51C0000}"/>
    <cellStyle name="Normal 2 2 10 2 22 2 7" xfId="7366" xr:uid="{00000000-0005-0000-0000-0000C61C0000}"/>
    <cellStyle name="Normal 2 2 10 2 22 2 8" xfId="7367" xr:uid="{00000000-0005-0000-0000-0000C71C0000}"/>
    <cellStyle name="Normal 2 2 10 2 22 2 9" xfId="7368" xr:uid="{00000000-0005-0000-0000-0000C81C0000}"/>
    <cellStyle name="Normal 2 2 10 2 22 3" xfId="7369" xr:uid="{00000000-0005-0000-0000-0000C91C0000}"/>
    <cellStyle name="Normal 2 2 10 2 22 3 10" xfId="7370" xr:uid="{00000000-0005-0000-0000-0000CA1C0000}"/>
    <cellStyle name="Normal 2 2 10 2 22 3 2" xfId="7371" xr:uid="{00000000-0005-0000-0000-0000CB1C0000}"/>
    <cellStyle name="Normal 2 2 10 2 22 3 3" xfId="7372" xr:uid="{00000000-0005-0000-0000-0000CC1C0000}"/>
    <cellStyle name="Normal 2 2 10 2 22 3 4" xfId="7373" xr:uid="{00000000-0005-0000-0000-0000CD1C0000}"/>
    <cellStyle name="Normal 2 2 10 2 22 3 5" xfId="7374" xr:uid="{00000000-0005-0000-0000-0000CE1C0000}"/>
    <cellStyle name="Normal 2 2 10 2 22 3 6" xfId="7375" xr:uid="{00000000-0005-0000-0000-0000CF1C0000}"/>
    <cellStyle name="Normal 2 2 10 2 22 3 7" xfId="7376" xr:uid="{00000000-0005-0000-0000-0000D01C0000}"/>
    <cellStyle name="Normal 2 2 10 2 22 3 8" xfId="7377" xr:uid="{00000000-0005-0000-0000-0000D11C0000}"/>
    <cellStyle name="Normal 2 2 10 2 22 3 9" xfId="7378" xr:uid="{00000000-0005-0000-0000-0000D21C0000}"/>
    <cellStyle name="Normal 2 2 10 2 22 4" xfId="7379" xr:uid="{00000000-0005-0000-0000-0000D31C0000}"/>
    <cellStyle name="Normal 2 2 10 2 22 4 10" xfId="7380" xr:uid="{00000000-0005-0000-0000-0000D41C0000}"/>
    <cellStyle name="Normal 2 2 10 2 22 4 2" xfId="7381" xr:uid="{00000000-0005-0000-0000-0000D51C0000}"/>
    <cellStyle name="Normal 2 2 10 2 22 4 3" xfId="7382" xr:uid="{00000000-0005-0000-0000-0000D61C0000}"/>
    <cellStyle name="Normal 2 2 10 2 22 4 4" xfId="7383" xr:uid="{00000000-0005-0000-0000-0000D71C0000}"/>
    <cellStyle name="Normal 2 2 10 2 22 4 5" xfId="7384" xr:uid="{00000000-0005-0000-0000-0000D81C0000}"/>
    <cellStyle name="Normal 2 2 10 2 22 4 6" xfId="7385" xr:uid="{00000000-0005-0000-0000-0000D91C0000}"/>
    <cellStyle name="Normal 2 2 10 2 22 4 7" xfId="7386" xr:uid="{00000000-0005-0000-0000-0000DA1C0000}"/>
    <cellStyle name="Normal 2 2 10 2 22 4 8" xfId="7387" xr:uid="{00000000-0005-0000-0000-0000DB1C0000}"/>
    <cellStyle name="Normal 2 2 10 2 22 4 9" xfId="7388" xr:uid="{00000000-0005-0000-0000-0000DC1C0000}"/>
    <cellStyle name="Normal 2 2 10 2 22 5" xfId="7389" xr:uid="{00000000-0005-0000-0000-0000DD1C0000}"/>
    <cellStyle name="Normal 2 2 10 2 22 5 10" xfId="7390" xr:uid="{00000000-0005-0000-0000-0000DE1C0000}"/>
    <cellStyle name="Normal 2 2 10 2 22 5 2" xfId="7391" xr:uid="{00000000-0005-0000-0000-0000DF1C0000}"/>
    <cellStyle name="Normal 2 2 10 2 22 5 3" xfId="7392" xr:uid="{00000000-0005-0000-0000-0000E01C0000}"/>
    <cellStyle name="Normal 2 2 10 2 22 5 4" xfId="7393" xr:uid="{00000000-0005-0000-0000-0000E11C0000}"/>
    <cellStyle name="Normal 2 2 10 2 22 5 5" xfId="7394" xr:uid="{00000000-0005-0000-0000-0000E21C0000}"/>
    <cellStyle name="Normal 2 2 10 2 22 5 6" xfId="7395" xr:uid="{00000000-0005-0000-0000-0000E31C0000}"/>
    <cellStyle name="Normal 2 2 10 2 22 5 7" xfId="7396" xr:uid="{00000000-0005-0000-0000-0000E41C0000}"/>
    <cellStyle name="Normal 2 2 10 2 22 5 8" xfId="7397" xr:uid="{00000000-0005-0000-0000-0000E51C0000}"/>
    <cellStyle name="Normal 2 2 10 2 22 5 9" xfId="7398" xr:uid="{00000000-0005-0000-0000-0000E61C0000}"/>
    <cellStyle name="Normal 2 2 10 2 22 6" xfId="7399" xr:uid="{00000000-0005-0000-0000-0000E71C0000}"/>
    <cellStyle name="Normal 2 2 10 2 22 7" xfId="7400" xr:uid="{00000000-0005-0000-0000-0000E81C0000}"/>
    <cellStyle name="Normal 2 2 10 2 22 8" xfId="7401" xr:uid="{00000000-0005-0000-0000-0000E91C0000}"/>
    <cellStyle name="Normal 2 2 10 2 22 9" xfId="7402" xr:uid="{00000000-0005-0000-0000-0000EA1C0000}"/>
    <cellStyle name="Normal 2 2 10 2 23" xfId="7403" xr:uid="{00000000-0005-0000-0000-0000EB1C0000}"/>
    <cellStyle name="Normal 2 2 10 2 23 10" xfId="7404" xr:uid="{00000000-0005-0000-0000-0000EC1C0000}"/>
    <cellStyle name="Normal 2 2 10 2 23 11" xfId="7405" xr:uid="{00000000-0005-0000-0000-0000ED1C0000}"/>
    <cellStyle name="Normal 2 2 10 2 23 12" xfId="7406" xr:uid="{00000000-0005-0000-0000-0000EE1C0000}"/>
    <cellStyle name="Normal 2 2 10 2 23 13" xfId="7407" xr:uid="{00000000-0005-0000-0000-0000EF1C0000}"/>
    <cellStyle name="Normal 2 2 10 2 23 14" xfId="7408" xr:uid="{00000000-0005-0000-0000-0000F01C0000}"/>
    <cellStyle name="Normal 2 2 10 2 23 2" xfId="7409" xr:uid="{00000000-0005-0000-0000-0000F11C0000}"/>
    <cellStyle name="Normal 2 2 10 2 23 2 10" xfId="7410" xr:uid="{00000000-0005-0000-0000-0000F21C0000}"/>
    <cellStyle name="Normal 2 2 10 2 23 2 2" xfId="7411" xr:uid="{00000000-0005-0000-0000-0000F31C0000}"/>
    <cellStyle name="Normal 2 2 10 2 23 2 3" xfId="7412" xr:uid="{00000000-0005-0000-0000-0000F41C0000}"/>
    <cellStyle name="Normal 2 2 10 2 23 2 4" xfId="7413" xr:uid="{00000000-0005-0000-0000-0000F51C0000}"/>
    <cellStyle name="Normal 2 2 10 2 23 2 5" xfId="7414" xr:uid="{00000000-0005-0000-0000-0000F61C0000}"/>
    <cellStyle name="Normal 2 2 10 2 23 2 6" xfId="7415" xr:uid="{00000000-0005-0000-0000-0000F71C0000}"/>
    <cellStyle name="Normal 2 2 10 2 23 2 7" xfId="7416" xr:uid="{00000000-0005-0000-0000-0000F81C0000}"/>
    <cellStyle name="Normal 2 2 10 2 23 2 8" xfId="7417" xr:uid="{00000000-0005-0000-0000-0000F91C0000}"/>
    <cellStyle name="Normal 2 2 10 2 23 2 9" xfId="7418" xr:uid="{00000000-0005-0000-0000-0000FA1C0000}"/>
    <cellStyle name="Normal 2 2 10 2 23 3" xfId="7419" xr:uid="{00000000-0005-0000-0000-0000FB1C0000}"/>
    <cellStyle name="Normal 2 2 10 2 23 3 10" xfId="7420" xr:uid="{00000000-0005-0000-0000-0000FC1C0000}"/>
    <cellStyle name="Normal 2 2 10 2 23 3 2" xfId="7421" xr:uid="{00000000-0005-0000-0000-0000FD1C0000}"/>
    <cellStyle name="Normal 2 2 10 2 23 3 3" xfId="7422" xr:uid="{00000000-0005-0000-0000-0000FE1C0000}"/>
    <cellStyle name="Normal 2 2 10 2 23 3 4" xfId="7423" xr:uid="{00000000-0005-0000-0000-0000FF1C0000}"/>
    <cellStyle name="Normal 2 2 10 2 23 3 5" xfId="7424" xr:uid="{00000000-0005-0000-0000-0000001D0000}"/>
    <cellStyle name="Normal 2 2 10 2 23 3 6" xfId="7425" xr:uid="{00000000-0005-0000-0000-0000011D0000}"/>
    <cellStyle name="Normal 2 2 10 2 23 3 7" xfId="7426" xr:uid="{00000000-0005-0000-0000-0000021D0000}"/>
    <cellStyle name="Normal 2 2 10 2 23 3 8" xfId="7427" xr:uid="{00000000-0005-0000-0000-0000031D0000}"/>
    <cellStyle name="Normal 2 2 10 2 23 3 9" xfId="7428" xr:uid="{00000000-0005-0000-0000-0000041D0000}"/>
    <cellStyle name="Normal 2 2 10 2 23 4" xfId="7429" xr:uid="{00000000-0005-0000-0000-0000051D0000}"/>
    <cellStyle name="Normal 2 2 10 2 23 4 10" xfId="7430" xr:uid="{00000000-0005-0000-0000-0000061D0000}"/>
    <cellStyle name="Normal 2 2 10 2 23 4 2" xfId="7431" xr:uid="{00000000-0005-0000-0000-0000071D0000}"/>
    <cellStyle name="Normal 2 2 10 2 23 4 3" xfId="7432" xr:uid="{00000000-0005-0000-0000-0000081D0000}"/>
    <cellStyle name="Normal 2 2 10 2 23 4 4" xfId="7433" xr:uid="{00000000-0005-0000-0000-0000091D0000}"/>
    <cellStyle name="Normal 2 2 10 2 23 4 5" xfId="7434" xr:uid="{00000000-0005-0000-0000-00000A1D0000}"/>
    <cellStyle name="Normal 2 2 10 2 23 4 6" xfId="7435" xr:uid="{00000000-0005-0000-0000-00000B1D0000}"/>
    <cellStyle name="Normal 2 2 10 2 23 4 7" xfId="7436" xr:uid="{00000000-0005-0000-0000-00000C1D0000}"/>
    <cellStyle name="Normal 2 2 10 2 23 4 8" xfId="7437" xr:uid="{00000000-0005-0000-0000-00000D1D0000}"/>
    <cellStyle name="Normal 2 2 10 2 23 4 9" xfId="7438" xr:uid="{00000000-0005-0000-0000-00000E1D0000}"/>
    <cellStyle name="Normal 2 2 10 2 23 5" xfId="7439" xr:uid="{00000000-0005-0000-0000-00000F1D0000}"/>
    <cellStyle name="Normal 2 2 10 2 23 5 10" xfId="7440" xr:uid="{00000000-0005-0000-0000-0000101D0000}"/>
    <cellStyle name="Normal 2 2 10 2 23 5 2" xfId="7441" xr:uid="{00000000-0005-0000-0000-0000111D0000}"/>
    <cellStyle name="Normal 2 2 10 2 23 5 3" xfId="7442" xr:uid="{00000000-0005-0000-0000-0000121D0000}"/>
    <cellStyle name="Normal 2 2 10 2 23 5 4" xfId="7443" xr:uid="{00000000-0005-0000-0000-0000131D0000}"/>
    <cellStyle name="Normal 2 2 10 2 23 5 5" xfId="7444" xr:uid="{00000000-0005-0000-0000-0000141D0000}"/>
    <cellStyle name="Normal 2 2 10 2 23 5 6" xfId="7445" xr:uid="{00000000-0005-0000-0000-0000151D0000}"/>
    <cellStyle name="Normal 2 2 10 2 23 5 7" xfId="7446" xr:uid="{00000000-0005-0000-0000-0000161D0000}"/>
    <cellStyle name="Normal 2 2 10 2 23 5 8" xfId="7447" xr:uid="{00000000-0005-0000-0000-0000171D0000}"/>
    <cellStyle name="Normal 2 2 10 2 23 5 9" xfId="7448" xr:uid="{00000000-0005-0000-0000-0000181D0000}"/>
    <cellStyle name="Normal 2 2 10 2 23 6" xfId="7449" xr:uid="{00000000-0005-0000-0000-0000191D0000}"/>
    <cellStyle name="Normal 2 2 10 2 23 7" xfId="7450" xr:uid="{00000000-0005-0000-0000-00001A1D0000}"/>
    <cellStyle name="Normal 2 2 10 2 23 8" xfId="7451" xr:uid="{00000000-0005-0000-0000-00001B1D0000}"/>
    <cellStyle name="Normal 2 2 10 2 23 9" xfId="7452" xr:uid="{00000000-0005-0000-0000-00001C1D0000}"/>
    <cellStyle name="Normal 2 2 10 2 24" xfId="7453" xr:uid="{00000000-0005-0000-0000-00001D1D0000}"/>
    <cellStyle name="Normal 2 2 10 2 24 10" xfId="7454" xr:uid="{00000000-0005-0000-0000-00001E1D0000}"/>
    <cellStyle name="Normal 2 2 10 2 24 11" xfId="7455" xr:uid="{00000000-0005-0000-0000-00001F1D0000}"/>
    <cellStyle name="Normal 2 2 10 2 24 12" xfId="7456" xr:uid="{00000000-0005-0000-0000-0000201D0000}"/>
    <cellStyle name="Normal 2 2 10 2 24 13" xfId="7457" xr:uid="{00000000-0005-0000-0000-0000211D0000}"/>
    <cellStyle name="Normal 2 2 10 2 24 14" xfId="7458" xr:uid="{00000000-0005-0000-0000-0000221D0000}"/>
    <cellStyle name="Normal 2 2 10 2 24 2" xfId="7459" xr:uid="{00000000-0005-0000-0000-0000231D0000}"/>
    <cellStyle name="Normal 2 2 10 2 24 2 10" xfId="7460" xr:uid="{00000000-0005-0000-0000-0000241D0000}"/>
    <cellStyle name="Normal 2 2 10 2 24 2 2" xfId="7461" xr:uid="{00000000-0005-0000-0000-0000251D0000}"/>
    <cellStyle name="Normal 2 2 10 2 24 2 3" xfId="7462" xr:uid="{00000000-0005-0000-0000-0000261D0000}"/>
    <cellStyle name="Normal 2 2 10 2 24 2 4" xfId="7463" xr:uid="{00000000-0005-0000-0000-0000271D0000}"/>
    <cellStyle name="Normal 2 2 10 2 24 2 5" xfId="7464" xr:uid="{00000000-0005-0000-0000-0000281D0000}"/>
    <cellStyle name="Normal 2 2 10 2 24 2 6" xfId="7465" xr:uid="{00000000-0005-0000-0000-0000291D0000}"/>
    <cellStyle name="Normal 2 2 10 2 24 2 7" xfId="7466" xr:uid="{00000000-0005-0000-0000-00002A1D0000}"/>
    <cellStyle name="Normal 2 2 10 2 24 2 8" xfId="7467" xr:uid="{00000000-0005-0000-0000-00002B1D0000}"/>
    <cellStyle name="Normal 2 2 10 2 24 2 9" xfId="7468" xr:uid="{00000000-0005-0000-0000-00002C1D0000}"/>
    <cellStyle name="Normal 2 2 10 2 24 3" xfId="7469" xr:uid="{00000000-0005-0000-0000-00002D1D0000}"/>
    <cellStyle name="Normal 2 2 10 2 24 3 10" xfId="7470" xr:uid="{00000000-0005-0000-0000-00002E1D0000}"/>
    <cellStyle name="Normal 2 2 10 2 24 3 2" xfId="7471" xr:uid="{00000000-0005-0000-0000-00002F1D0000}"/>
    <cellStyle name="Normal 2 2 10 2 24 3 3" xfId="7472" xr:uid="{00000000-0005-0000-0000-0000301D0000}"/>
    <cellStyle name="Normal 2 2 10 2 24 3 4" xfId="7473" xr:uid="{00000000-0005-0000-0000-0000311D0000}"/>
    <cellStyle name="Normal 2 2 10 2 24 3 5" xfId="7474" xr:uid="{00000000-0005-0000-0000-0000321D0000}"/>
    <cellStyle name="Normal 2 2 10 2 24 3 6" xfId="7475" xr:uid="{00000000-0005-0000-0000-0000331D0000}"/>
    <cellStyle name="Normal 2 2 10 2 24 3 7" xfId="7476" xr:uid="{00000000-0005-0000-0000-0000341D0000}"/>
    <cellStyle name="Normal 2 2 10 2 24 3 8" xfId="7477" xr:uid="{00000000-0005-0000-0000-0000351D0000}"/>
    <cellStyle name="Normal 2 2 10 2 24 3 9" xfId="7478" xr:uid="{00000000-0005-0000-0000-0000361D0000}"/>
    <cellStyle name="Normal 2 2 10 2 24 4" xfId="7479" xr:uid="{00000000-0005-0000-0000-0000371D0000}"/>
    <cellStyle name="Normal 2 2 10 2 24 4 10" xfId="7480" xr:uid="{00000000-0005-0000-0000-0000381D0000}"/>
    <cellStyle name="Normal 2 2 10 2 24 4 2" xfId="7481" xr:uid="{00000000-0005-0000-0000-0000391D0000}"/>
    <cellStyle name="Normal 2 2 10 2 24 4 3" xfId="7482" xr:uid="{00000000-0005-0000-0000-00003A1D0000}"/>
    <cellStyle name="Normal 2 2 10 2 24 4 4" xfId="7483" xr:uid="{00000000-0005-0000-0000-00003B1D0000}"/>
    <cellStyle name="Normal 2 2 10 2 24 4 5" xfId="7484" xr:uid="{00000000-0005-0000-0000-00003C1D0000}"/>
    <cellStyle name="Normal 2 2 10 2 24 4 6" xfId="7485" xr:uid="{00000000-0005-0000-0000-00003D1D0000}"/>
    <cellStyle name="Normal 2 2 10 2 24 4 7" xfId="7486" xr:uid="{00000000-0005-0000-0000-00003E1D0000}"/>
    <cellStyle name="Normal 2 2 10 2 24 4 8" xfId="7487" xr:uid="{00000000-0005-0000-0000-00003F1D0000}"/>
    <cellStyle name="Normal 2 2 10 2 24 4 9" xfId="7488" xr:uid="{00000000-0005-0000-0000-0000401D0000}"/>
    <cellStyle name="Normal 2 2 10 2 24 5" xfId="7489" xr:uid="{00000000-0005-0000-0000-0000411D0000}"/>
    <cellStyle name="Normal 2 2 10 2 24 5 10" xfId="7490" xr:uid="{00000000-0005-0000-0000-0000421D0000}"/>
    <cellStyle name="Normal 2 2 10 2 24 5 2" xfId="7491" xr:uid="{00000000-0005-0000-0000-0000431D0000}"/>
    <cellStyle name="Normal 2 2 10 2 24 5 3" xfId="7492" xr:uid="{00000000-0005-0000-0000-0000441D0000}"/>
    <cellStyle name="Normal 2 2 10 2 24 5 4" xfId="7493" xr:uid="{00000000-0005-0000-0000-0000451D0000}"/>
    <cellStyle name="Normal 2 2 10 2 24 5 5" xfId="7494" xr:uid="{00000000-0005-0000-0000-0000461D0000}"/>
    <cellStyle name="Normal 2 2 10 2 24 5 6" xfId="7495" xr:uid="{00000000-0005-0000-0000-0000471D0000}"/>
    <cellStyle name="Normal 2 2 10 2 24 5 7" xfId="7496" xr:uid="{00000000-0005-0000-0000-0000481D0000}"/>
    <cellStyle name="Normal 2 2 10 2 24 5 8" xfId="7497" xr:uid="{00000000-0005-0000-0000-0000491D0000}"/>
    <cellStyle name="Normal 2 2 10 2 24 5 9" xfId="7498" xr:uid="{00000000-0005-0000-0000-00004A1D0000}"/>
    <cellStyle name="Normal 2 2 10 2 24 6" xfId="7499" xr:uid="{00000000-0005-0000-0000-00004B1D0000}"/>
    <cellStyle name="Normal 2 2 10 2 24 7" xfId="7500" xr:uid="{00000000-0005-0000-0000-00004C1D0000}"/>
    <cellStyle name="Normal 2 2 10 2 24 8" xfId="7501" xr:uid="{00000000-0005-0000-0000-00004D1D0000}"/>
    <cellStyle name="Normal 2 2 10 2 24 9" xfId="7502" xr:uid="{00000000-0005-0000-0000-00004E1D0000}"/>
    <cellStyle name="Normal 2 2 10 2 25" xfId="7503" xr:uid="{00000000-0005-0000-0000-00004F1D0000}"/>
    <cellStyle name="Normal 2 2 10 2 25 10" xfId="7504" xr:uid="{00000000-0005-0000-0000-0000501D0000}"/>
    <cellStyle name="Normal 2 2 10 2 25 11" xfId="7505" xr:uid="{00000000-0005-0000-0000-0000511D0000}"/>
    <cellStyle name="Normal 2 2 10 2 25 12" xfId="7506" xr:uid="{00000000-0005-0000-0000-0000521D0000}"/>
    <cellStyle name="Normal 2 2 10 2 25 13" xfId="7507" xr:uid="{00000000-0005-0000-0000-0000531D0000}"/>
    <cellStyle name="Normal 2 2 10 2 25 14" xfId="7508" xr:uid="{00000000-0005-0000-0000-0000541D0000}"/>
    <cellStyle name="Normal 2 2 10 2 25 2" xfId="7509" xr:uid="{00000000-0005-0000-0000-0000551D0000}"/>
    <cellStyle name="Normal 2 2 10 2 25 2 10" xfId="7510" xr:uid="{00000000-0005-0000-0000-0000561D0000}"/>
    <cellStyle name="Normal 2 2 10 2 25 2 2" xfId="7511" xr:uid="{00000000-0005-0000-0000-0000571D0000}"/>
    <cellStyle name="Normal 2 2 10 2 25 2 3" xfId="7512" xr:uid="{00000000-0005-0000-0000-0000581D0000}"/>
    <cellStyle name="Normal 2 2 10 2 25 2 4" xfId="7513" xr:uid="{00000000-0005-0000-0000-0000591D0000}"/>
    <cellStyle name="Normal 2 2 10 2 25 2 5" xfId="7514" xr:uid="{00000000-0005-0000-0000-00005A1D0000}"/>
    <cellStyle name="Normal 2 2 10 2 25 2 6" xfId="7515" xr:uid="{00000000-0005-0000-0000-00005B1D0000}"/>
    <cellStyle name="Normal 2 2 10 2 25 2 7" xfId="7516" xr:uid="{00000000-0005-0000-0000-00005C1D0000}"/>
    <cellStyle name="Normal 2 2 10 2 25 2 8" xfId="7517" xr:uid="{00000000-0005-0000-0000-00005D1D0000}"/>
    <cellStyle name="Normal 2 2 10 2 25 2 9" xfId="7518" xr:uid="{00000000-0005-0000-0000-00005E1D0000}"/>
    <cellStyle name="Normal 2 2 10 2 25 3" xfId="7519" xr:uid="{00000000-0005-0000-0000-00005F1D0000}"/>
    <cellStyle name="Normal 2 2 10 2 25 3 10" xfId="7520" xr:uid="{00000000-0005-0000-0000-0000601D0000}"/>
    <cellStyle name="Normal 2 2 10 2 25 3 2" xfId="7521" xr:uid="{00000000-0005-0000-0000-0000611D0000}"/>
    <cellStyle name="Normal 2 2 10 2 25 3 3" xfId="7522" xr:uid="{00000000-0005-0000-0000-0000621D0000}"/>
    <cellStyle name="Normal 2 2 10 2 25 3 4" xfId="7523" xr:uid="{00000000-0005-0000-0000-0000631D0000}"/>
    <cellStyle name="Normal 2 2 10 2 25 3 5" xfId="7524" xr:uid="{00000000-0005-0000-0000-0000641D0000}"/>
    <cellStyle name="Normal 2 2 10 2 25 3 6" xfId="7525" xr:uid="{00000000-0005-0000-0000-0000651D0000}"/>
    <cellStyle name="Normal 2 2 10 2 25 3 7" xfId="7526" xr:uid="{00000000-0005-0000-0000-0000661D0000}"/>
    <cellStyle name="Normal 2 2 10 2 25 3 8" xfId="7527" xr:uid="{00000000-0005-0000-0000-0000671D0000}"/>
    <cellStyle name="Normal 2 2 10 2 25 3 9" xfId="7528" xr:uid="{00000000-0005-0000-0000-0000681D0000}"/>
    <cellStyle name="Normal 2 2 10 2 25 4" xfId="7529" xr:uid="{00000000-0005-0000-0000-0000691D0000}"/>
    <cellStyle name="Normal 2 2 10 2 25 4 10" xfId="7530" xr:uid="{00000000-0005-0000-0000-00006A1D0000}"/>
    <cellStyle name="Normal 2 2 10 2 25 4 2" xfId="7531" xr:uid="{00000000-0005-0000-0000-00006B1D0000}"/>
    <cellStyle name="Normal 2 2 10 2 25 4 3" xfId="7532" xr:uid="{00000000-0005-0000-0000-00006C1D0000}"/>
    <cellStyle name="Normal 2 2 10 2 25 4 4" xfId="7533" xr:uid="{00000000-0005-0000-0000-00006D1D0000}"/>
    <cellStyle name="Normal 2 2 10 2 25 4 5" xfId="7534" xr:uid="{00000000-0005-0000-0000-00006E1D0000}"/>
    <cellStyle name="Normal 2 2 10 2 25 4 6" xfId="7535" xr:uid="{00000000-0005-0000-0000-00006F1D0000}"/>
    <cellStyle name="Normal 2 2 10 2 25 4 7" xfId="7536" xr:uid="{00000000-0005-0000-0000-0000701D0000}"/>
    <cellStyle name="Normal 2 2 10 2 25 4 8" xfId="7537" xr:uid="{00000000-0005-0000-0000-0000711D0000}"/>
    <cellStyle name="Normal 2 2 10 2 25 4 9" xfId="7538" xr:uid="{00000000-0005-0000-0000-0000721D0000}"/>
    <cellStyle name="Normal 2 2 10 2 25 5" xfId="7539" xr:uid="{00000000-0005-0000-0000-0000731D0000}"/>
    <cellStyle name="Normal 2 2 10 2 25 5 10" xfId="7540" xr:uid="{00000000-0005-0000-0000-0000741D0000}"/>
    <cellStyle name="Normal 2 2 10 2 25 5 2" xfId="7541" xr:uid="{00000000-0005-0000-0000-0000751D0000}"/>
    <cellStyle name="Normal 2 2 10 2 25 5 3" xfId="7542" xr:uid="{00000000-0005-0000-0000-0000761D0000}"/>
    <cellStyle name="Normal 2 2 10 2 25 5 4" xfId="7543" xr:uid="{00000000-0005-0000-0000-0000771D0000}"/>
    <cellStyle name="Normal 2 2 10 2 25 5 5" xfId="7544" xr:uid="{00000000-0005-0000-0000-0000781D0000}"/>
    <cellStyle name="Normal 2 2 10 2 25 5 6" xfId="7545" xr:uid="{00000000-0005-0000-0000-0000791D0000}"/>
    <cellStyle name="Normal 2 2 10 2 25 5 7" xfId="7546" xr:uid="{00000000-0005-0000-0000-00007A1D0000}"/>
    <cellStyle name="Normal 2 2 10 2 25 5 8" xfId="7547" xr:uid="{00000000-0005-0000-0000-00007B1D0000}"/>
    <cellStyle name="Normal 2 2 10 2 25 5 9" xfId="7548" xr:uid="{00000000-0005-0000-0000-00007C1D0000}"/>
    <cellStyle name="Normal 2 2 10 2 25 6" xfId="7549" xr:uid="{00000000-0005-0000-0000-00007D1D0000}"/>
    <cellStyle name="Normal 2 2 10 2 25 7" xfId="7550" xr:uid="{00000000-0005-0000-0000-00007E1D0000}"/>
    <cellStyle name="Normal 2 2 10 2 25 8" xfId="7551" xr:uid="{00000000-0005-0000-0000-00007F1D0000}"/>
    <cellStyle name="Normal 2 2 10 2 25 9" xfId="7552" xr:uid="{00000000-0005-0000-0000-0000801D0000}"/>
    <cellStyle name="Normal 2 2 10 2 26" xfId="7553" xr:uid="{00000000-0005-0000-0000-0000811D0000}"/>
    <cellStyle name="Normal 2 2 10 2 26 10" xfId="7554" xr:uid="{00000000-0005-0000-0000-0000821D0000}"/>
    <cellStyle name="Normal 2 2 10 2 26 11" xfId="7555" xr:uid="{00000000-0005-0000-0000-0000831D0000}"/>
    <cellStyle name="Normal 2 2 10 2 26 12" xfId="7556" xr:uid="{00000000-0005-0000-0000-0000841D0000}"/>
    <cellStyle name="Normal 2 2 10 2 26 13" xfId="7557" xr:uid="{00000000-0005-0000-0000-0000851D0000}"/>
    <cellStyle name="Normal 2 2 10 2 26 14" xfId="7558" xr:uid="{00000000-0005-0000-0000-0000861D0000}"/>
    <cellStyle name="Normal 2 2 10 2 26 2" xfId="7559" xr:uid="{00000000-0005-0000-0000-0000871D0000}"/>
    <cellStyle name="Normal 2 2 10 2 26 2 10" xfId="7560" xr:uid="{00000000-0005-0000-0000-0000881D0000}"/>
    <cellStyle name="Normal 2 2 10 2 26 2 2" xfId="7561" xr:uid="{00000000-0005-0000-0000-0000891D0000}"/>
    <cellStyle name="Normal 2 2 10 2 26 2 3" xfId="7562" xr:uid="{00000000-0005-0000-0000-00008A1D0000}"/>
    <cellStyle name="Normal 2 2 10 2 26 2 4" xfId="7563" xr:uid="{00000000-0005-0000-0000-00008B1D0000}"/>
    <cellStyle name="Normal 2 2 10 2 26 2 5" xfId="7564" xr:uid="{00000000-0005-0000-0000-00008C1D0000}"/>
    <cellStyle name="Normal 2 2 10 2 26 2 6" xfId="7565" xr:uid="{00000000-0005-0000-0000-00008D1D0000}"/>
    <cellStyle name="Normal 2 2 10 2 26 2 7" xfId="7566" xr:uid="{00000000-0005-0000-0000-00008E1D0000}"/>
    <cellStyle name="Normal 2 2 10 2 26 2 8" xfId="7567" xr:uid="{00000000-0005-0000-0000-00008F1D0000}"/>
    <cellStyle name="Normal 2 2 10 2 26 2 9" xfId="7568" xr:uid="{00000000-0005-0000-0000-0000901D0000}"/>
    <cellStyle name="Normal 2 2 10 2 26 3" xfId="7569" xr:uid="{00000000-0005-0000-0000-0000911D0000}"/>
    <cellStyle name="Normal 2 2 10 2 26 3 10" xfId="7570" xr:uid="{00000000-0005-0000-0000-0000921D0000}"/>
    <cellStyle name="Normal 2 2 10 2 26 3 2" xfId="7571" xr:uid="{00000000-0005-0000-0000-0000931D0000}"/>
    <cellStyle name="Normal 2 2 10 2 26 3 3" xfId="7572" xr:uid="{00000000-0005-0000-0000-0000941D0000}"/>
    <cellStyle name="Normal 2 2 10 2 26 3 4" xfId="7573" xr:uid="{00000000-0005-0000-0000-0000951D0000}"/>
    <cellStyle name="Normal 2 2 10 2 26 3 5" xfId="7574" xr:uid="{00000000-0005-0000-0000-0000961D0000}"/>
    <cellStyle name="Normal 2 2 10 2 26 3 6" xfId="7575" xr:uid="{00000000-0005-0000-0000-0000971D0000}"/>
    <cellStyle name="Normal 2 2 10 2 26 3 7" xfId="7576" xr:uid="{00000000-0005-0000-0000-0000981D0000}"/>
    <cellStyle name="Normal 2 2 10 2 26 3 8" xfId="7577" xr:uid="{00000000-0005-0000-0000-0000991D0000}"/>
    <cellStyle name="Normal 2 2 10 2 26 3 9" xfId="7578" xr:uid="{00000000-0005-0000-0000-00009A1D0000}"/>
    <cellStyle name="Normal 2 2 10 2 26 4" xfId="7579" xr:uid="{00000000-0005-0000-0000-00009B1D0000}"/>
    <cellStyle name="Normal 2 2 10 2 26 4 10" xfId="7580" xr:uid="{00000000-0005-0000-0000-00009C1D0000}"/>
    <cellStyle name="Normal 2 2 10 2 26 4 2" xfId="7581" xr:uid="{00000000-0005-0000-0000-00009D1D0000}"/>
    <cellStyle name="Normal 2 2 10 2 26 4 3" xfId="7582" xr:uid="{00000000-0005-0000-0000-00009E1D0000}"/>
    <cellStyle name="Normal 2 2 10 2 26 4 4" xfId="7583" xr:uid="{00000000-0005-0000-0000-00009F1D0000}"/>
    <cellStyle name="Normal 2 2 10 2 26 4 5" xfId="7584" xr:uid="{00000000-0005-0000-0000-0000A01D0000}"/>
    <cellStyle name="Normal 2 2 10 2 26 4 6" xfId="7585" xr:uid="{00000000-0005-0000-0000-0000A11D0000}"/>
    <cellStyle name="Normal 2 2 10 2 26 4 7" xfId="7586" xr:uid="{00000000-0005-0000-0000-0000A21D0000}"/>
    <cellStyle name="Normal 2 2 10 2 26 4 8" xfId="7587" xr:uid="{00000000-0005-0000-0000-0000A31D0000}"/>
    <cellStyle name="Normal 2 2 10 2 26 4 9" xfId="7588" xr:uid="{00000000-0005-0000-0000-0000A41D0000}"/>
    <cellStyle name="Normal 2 2 10 2 26 5" xfId="7589" xr:uid="{00000000-0005-0000-0000-0000A51D0000}"/>
    <cellStyle name="Normal 2 2 10 2 26 5 10" xfId="7590" xr:uid="{00000000-0005-0000-0000-0000A61D0000}"/>
    <cellStyle name="Normal 2 2 10 2 26 5 2" xfId="7591" xr:uid="{00000000-0005-0000-0000-0000A71D0000}"/>
    <cellStyle name="Normal 2 2 10 2 26 5 3" xfId="7592" xr:uid="{00000000-0005-0000-0000-0000A81D0000}"/>
    <cellStyle name="Normal 2 2 10 2 26 5 4" xfId="7593" xr:uid="{00000000-0005-0000-0000-0000A91D0000}"/>
    <cellStyle name="Normal 2 2 10 2 26 5 5" xfId="7594" xr:uid="{00000000-0005-0000-0000-0000AA1D0000}"/>
    <cellStyle name="Normal 2 2 10 2 26 5 6" xfId="7595" xr:uid="{00000000-0005-0000-0000-0000AB1D0000}"/>
    <cellStyle name="Normal 2 2 10 2 26 5 7" xfId="7596" xr:uid="{00000000-0005-0000-0000-0000AC1D0000}"/>
    <cellStyle name="Normal 2 2 10 2 26 5 8" xfId="7597" xr:uid="{00000000-0005-0000-0000-0000AD1D0000}"/>
    <cellStyle name="Normal 2 2 10 2 26 5 9" xfId="7598" xr:uid="{00000000-0005-0000-0000-0000AE1D0000}"/>
    <cellStyle name="Normal 2 2 10 2 26 6" xfId="7599" xr:uid="{00000000-0005-0000-0000-0000AF1D0000}"/>
    <cellStyle name="Normal 2 2 10 2 26 7" xfId="7600" xr:uid="{00000000-0005-0000-0000-0000B01D0000}"/>
    <cellStyle name="Normal 2 2 10 2 26 8" xfId="7601" xr:uid="{00000000-0005-0000-0000-0000B11D0000}"/>
    <cellStyle name="Normal 2 2 10 2 26 9" xfId="7602" xr:uid="{00000000-0005-0000-0000-0000B21D0000}"/>
    <cellStyle name="Normal 2 2 10 2 27" xfId="7603" xr:uid="{00000000-0005-0000-0000-0000B31D0000}"/>
    <cellStyle name="Normal 2 2 10 2 27 10" xfId="7604" xr:uid="{00000000-0005-0000-0000-0000B41D0000}"/>
    <cellStyle name="Normal 2 2 10 2 27 11" xfId="7605" xr:uid="{00000000-0005-0000-0000-0000B51D0000}"/>
    <cellStyle name="Normal 2 2 10 2 27 12" xfId="7606" xr:uid="{00000000-0005-0000-0000-0000B61D0000}"/>
    <cellStyle name="Normal 2 2 10 2 27 13" xfId="7607" xr:uid="{00000000-0005-0000-0000-0000B71D0000}"/>
    <cellStyle name="Normal 2 2 10 2 27 14" xfId="7608" xr:uid="{00000000-0005-0000-0000-0000B81D0000}"/>
    <cellStyle name="Normal 2 2 10 2 27 2" xfId="7609" xr:uid="{00000000-0005-0000-0000-0000B91D0000}"/>
    <cellStyle name="Normal 2 2 10 2 27 2 10" xfId="7610" xr:uid="{00000000-0005-0000-0000-0000BA1D0000}"/>
    <cellStyle name="Normal 2 2 10 2 27 2 2" xfId="7611" xr:uid="{00000000-0005-0000-0000-0000BB1D0000}"/>
    <cellStyle name="Normal 2 2 10 2 27 2 3" xfId="7612" xr:uid="{00000000-0005-0000-0000-0000BC1D0000}"/>
    <cellStyle name="Normal 2 2 10 2 27 2 4" xfId="7613" xr:uid="{00000000-0005-0000-0000-0000BD1D0000}"/>
    <cellStyle name="Normal 2 2 10 2 27 2 5" xfId="7614" xr:uid="{00000000-0005-0000-0000-0000BE1D0000}"/>
    <cellStyle name="Normal 2 2 10 2 27 2 6" xfId="7615" xr:uid="{00000000-0005-0000-0000-0000BF1D0000}"/>
    <cellStyle name="Normal 2 2 10 2 27 2 7" xfId="7616" xr:uid="{00000000-0005-0000-0000-0000C01D0000}"/>
    <cellStyle name="Normal 2 2 10 2 27 2 8" xfId="7617" xr:uid="{00000000-0005-0000-0000-0000C11D0000}"/>
    <cellStyle name="Normal 2 2 10 2 27 2 9" xfId="7618" xr:uid="{00000000-0005-0000-0000-0000C21D0000}"/>
    <cellStyle name="Normal 2 2 10 2 27 3" xfId="7619" xr:uid="{00000000-0005-0000-0000-0000C31D0000}"/>
    <cellStyle name="Normal 2 2 10 2 27 3 10" xfId="7620" xr:uid="{00000000-0005-0000-0000-0000C41D0000}"/>
    <cellStyle name="Normal 2 2 10 2 27 3 2" xfId="7621" xr:uid="{00000000-0005-0000-0000-0000C51D0000}"/>
    <cellStyle name="Normal 2 2 10 2 27 3 3" xfId="7622" xr:uid="{00000000-0005-0000-0000-0000C61D0000}"/>
    <cellStyle name="Normal 2 2 10 2 27 3 4" xfId="7623" xr:uid="{00000000-0005-0000-0000-0000C71D0000}"/>
    <cellStyle name="Normal 2 2 10 2 27 3 5" xfId="7624" xr:uid="{00000000-0005-0000-0000-0000C81D0000}"/>
    <cellStyle name="Normal 2 2 10 2 27 3 6" xfId="7625" xr:uid="{00000000-0005-0000-0000-0000C91D0000}"/>
    <cellStyle name="Normal 2 2 10 2 27 3 7" xfId="7626" xr:uid="{00000000-0005-0000-0000-0000CA1D0000}"/>
    <cellStyle name="Normal 2 2 10 2 27 3 8" xfId="7627" xr:uid="{00000000-0005-0000-0000-0000CB1D0000}"/>
    <cellStyle name="Normal 2 2 10 2 27 3 9" xfId="7628" xr:uid="{00000000-0005-0000-0000-0000CC1D0000}"/>
    <cellStyle name="Normal 2 2 10 2 27 4" xfId="7629" xr:uid="{00000000-0005-0000-0000-0000CD1D0000}"/>
    <cellStyle name="Normal 2 2 10 2 27 4 10" xfId="7630" xr:uid="{00000000-0005-0000-0000-0000CE1D0000}"/>
    <cellStyle name="Normal 2 2 10 2 27 4 2" xfId="7631" xr:uid="{00000000-0005-0000-0000-0000CF1D0000}"/>
    <cellStyle name="Normal 2 2 10 2 27 4 3" xfId="7632" xr:uid="{00000000-0005-0000-0000-0000D01D0000}"/>
    <cellStyle name="Normal 2 2 10 2 27 4 4" xfId="7633" xr:uid="{00000000-0005-0000-0000-0000D11D0000}"/>
    <cellStyle name="Normal 2 2 10 2 27 4 5" xfId="7634" xr:uid="{00000000-0005-0000-0000-0000D21D0000}"/>
    <cellStyle name="Normal 2 2 10 2 27 4 6" xfId="7635" xr:uid="{00000000-0005-0000-0000-0000D31D0000}"/>
    <cellStyle name="Normal 2 2 10 2 27 4 7" xfId="7636" xr:uid="{00000000-0005-0000-0000-0000D41D0000}"/>
    <cellStyle name="Normal 2 2 10 2 27 4 8" xfId="7637" xr:uid="{00000000-0005-0000-0000-0000D51D0000}"/>
    <cellStyle name="Normal 2 2 10 2 27 4 9" xfId="7638" xr:uid="{00000000-0005-0000-0000-0000D61D0000}"/>
    <cellStyle name="Normal 2 2 10 2 27 5" xfId="7639" xr:uid="{00000000-0005-0000-0000-0000D71D0000}"/>
    <cellStyle name="Normal 2 2 10 2 27 5 10" xfId="7640" xr:uid="{00000000-0005-0000-0000-0000D81D0000}"/>
    <cellStyle name="Normal 2 2 10 2 27 5 2" xfId="7641" xr:uid="{00000000-0005-0000-0000-0000D91D0000}"/>
    <cellStyle name="Normal 2 2 10 2 27 5 3" xfId="7642" xr:uid="{00000000-0005-0000-0000-0000DA1D0000}"/>
    <cellStyle name="Normal 2 2 10 2 27 5 4" xfId="7643" xr:uid="{00000000-0005-0000-0000-0000DB1D0000}"/>
    <cellStyle name="Normal 2 2 10 2 27 5 5" xfId="7644" xr:uid="{00000000-0005-0000-0000-0000DC1D0000}"/>
    <cellStyle name="Normal 2 2 10 2 27 5 6" xfId="7645" xr:uid="{00000000-0005-0000-0000-0000DD1D0000}"/>
    <cellStyle name="Normal 2 2 10 2 27 5 7" xfId="7646" xr:uid="{00000000-0005-0000-0000-0000DE1D0000}"/>
    <cellStyle name="Normal 2 2 10 2 27 5 8" xfId="7647" xr:uid="{00000000-0005-0000-0000-0000DF1D0000}"/>
    <cellStyle name="Normal 2 2 10 2 27 5 9" xfId="7648" xr:uid="{00000000-0005-0000-0000-0000E01D0000}"/>
    <cellStyle name="Normal 2 2 10 2 27 6" xfId="7649" xr:uid="{00000000-0005-0000-0000-0000E11D0000}"/>
    <cellStyle name="Normal 2 2 10 2 27 7" xfId="7650" xr:uid="{00000000-0005-0000-0000-0000E21D0000}"/>
    <cellStyle name="Normal 2 2 10 2 27 8" xfId="7651" xr:uid="{00000000-0005-0000-0000-0000E31D0000}"/>
    <cellStyle name="Normal 2 2 10 2 27 9" xfId="7652" xr:uid="{00000000-0005-0000-0000-0000E41D0000}"/>
    <cellStyle name="Normal 2 2 10 2 28" xfId="7653" xr:uid="{00000000-0005-0000-0000-0000E51D0000}"/>
    <cellStyle name="Normal 2 2 10 2 28 10" xfId="7654" xr:uid="{00000000-0005-0000-0000-0000E61D0000}"/>
    <cellStyle name="Normal 2 2 10 2 28 11" xfId="7655" xr:uid="{00000000-0005-0000-0000-0000E71D0000}"/>
    <cellStyle name="Normal 2 2 10 2 28 12" xfId="7656" xr:uid="{00000000-0005-0000-0000-0000E81D0000}"/>
    <cellStyle name="Normal 2 2 10 2 28 13" xfId="7657" xr:uid="{00000000-0005-0000-0000-0000E91D0000}"/>
    <cellStyle name="Normal 2 2 10 2 28 14" xfId="7658" xr:uid="{00000000-0005-0000-0000-0000EA1D0000}"/>
    <cellStyle name="Normal 2 2 10 2 28 2" xfId="7659" xr:uid="{00000000-0005-0000-0000-0000EB1D0000}"/>
    <cellStyle name="Normal 2 2 10 2 28 2 10" xfId="7660" xr:uid="{00000000-0005-0000-0000-0000EC1D0000}"/>
    <cellStyle name="Normal 2 2 10 2 28 2 2" xfId="7661" xr:uid="{00000000-0005-0000-0000-0000ED1D0000}"/>
    <cellStyle name="Normal 2 2 10 2 28 2 3" xfId="7662" xr:uid="{00000000-0005-0000-0000-0000EE1D0000}"/>
    <cellStyle name="Normal 2 2 10 2 28 2 4" xfId="7663" xr:uid="{00000000-0005-0000-0000-0000EF1D0000}"/>
    <cellStyle name="Normal 2 2 10 2 28 2 5" xfId="7664" xr:uid="{00000000-0005-0000-0000-0000F01D0000}"/>
    <cellStyle name="Normal 2 2 10 2 28 2 6" xfId="7665" xr:uid="{00000000-0005-0000-0000-0000F11D0000}"/>
    <cellStyle name="Normal 2 2 10 2 28 2 7" xfId="7666" xr:uid="{00000000-0005-0000-0000-0000F21D0000}"/>
    <cellStyle name="Normal 2 2 10 2 28 2 8" xfId="7667" xr:uid="{00000000-0005-0000-0000-0000F31D0000}"/>
    <cellStyle name="Normal 2 2 10 2 28 2 9" xfId="7668" xr:uid="{00000000-0005-0000-0000-0000F41D0000}"/>
    <cellStyle name="Normal 2 2 10 2 28 3" xfId="7669" xr:uid="{00000000-0005-0000-0000-0000F51D0000}"/>
    <cellStyle name="Normal 2 2 10 2 28 3 10" xfId="7670" xr:uid="{00000000-0005-0000-0000-0000F61D0000}"/>
    <cellStyle name="Normal 2 2 10 2 28 3 2" xfId="7671" xr:uid="{00000000-0005-0000-0000-0000F71D0000}"/>
    <cellStyle name="Normal 2 2 10 2 28 3 3" xfId="7672" xr:uid="{00000000-0005-0000-0000-0000F81D0000}"/>
    <cellStyle name="Normal 2 2 10 2 28 3 4" xfId="7673" xr:uid="{00000000-0005-0000-0000-0000F91D0000}"/>
    <cellStyle name="Normal 2 2 10 2 28 3 5" xfId="7674" xr:uid="{00000000-0005-0000-0000-0000FA1D0000}"/>
    <cellStyle name="Normal 2 2 10 2 28 3 6" xfId="7675" xr:uid="{00000000-0005-0000-0000-0000FB1D0000}"/>
    <cellStyle name="Normal 2 2 10 2 28 3 7" xfId="7676" xr:uid="{00000000-0005-0000-0000-0000FC1D0000}"/>
    <cellStyle name="Normal 2 2 10 2 28 3 8" xfId="7677" xr:uid="{00000000-0005-0000-0000-0000FD1D0000}"/>
    <cellStyle name="Normal 2 2 10 2 28 3 9" xfId="7678" xr:uid="{00000000-0005-0000-0000-0000FE1D0000}"/>
    <cellStyle name="Normal 2 2 10 2 28 4" xfId="7679" xr:uid="{00000000-0005-0000-0000-0000FF1D0000}"/>
    <cellStyle name="Normal 2 2 10 2 28 4 10" xfId="7680" xr:uid="{00000000-0005-0000-0000-0000001E0000}"/>
    <cellStyle name="Normal 2 2 10 2 28 4 2" xfId="7681" xr:uid="{00000000-0005-0000-0000-0000011E0000}"/>
    <cellStyle name="Normal 2 2 10 2 28 4 3" xfId="7682" xr:uid="{00000000-0005-0000-0000-0000021E0000}"/>
    <cellStyle name="Normal 2 2 10 2 28 4 4" xfId="7683" xr:uid="{00000000-0005-0000-0000-0000031E0000}"/>
    <cellStyle name="Normal 2 2 10 2 28 4 5" xfId="7684" xr:uid="{00000000-0005-0000-0000-0000041E0000}"/>
    <cellStyle name="Normal 2 2 10 2 28 4 6" xfId="7685" xr:uid="{00000000-0005-0000-0000-0000051E0000}"/>
    <cellStyle name="Normal 2 2 10 2 28 4 7" xfId="7686" xr:uid="{00000000-0005-0000-0000-0000061E0000}"/>
    <cellStyle name="Normal 2 2 10 2 28 4 8" xfId="7687" xr:uid="{00000000-0005-0000-0000-0000071E0000}"/>
    <cellStyle name="Normal 2 2 10 2 28 4 9" xfId="7688" xr:uid="{00000000-0005-0000-0000-0000081E0000}"/>
    <cellStyle name="Normal 2 2 10 2 28 5" xfId="7689" xr:uid="{00000000-0005-0000-0000-0000091E0000}"/>
    <cellStyle name="Normal 2 2 10 2 28 5 10" xfId="7690" xr:uid="{00000000-0005-0000-0000-00000A1E0000}"/>
    <cellStyle name="Normal 2 2 10 2 28 5 2" xfId="7691" xr:uid="{00000000-0005-0000-0000-00000B1E0000}"/>
    <cellStyle name="Normal 2 2 10 2 28 5 3" xfId="7692" xr:uid="{00000000-0005-0000-0000-00000C1E0000}"/>
    <cellStyle name="Normal 2 2 10 2 28 5 4" xfId="7693" xr:uid="{00000000-0005-0000-0000-00000D1E0000}"/>
    <cellStyle name="Normal 2 2 10 2 28 5 5" xfId="7694" xr:uid="{00000000-0005-0000-0000-00000E1E0000}"/>
    <cellStyle name="Normal 2 2 10 2 28 5 6" xfId="7695" xr:uid="{00000000-0005-0000-0000-00000F1E0000}"/>
    <cellStyle name="Normal 2 2 10 2 28 5 7" xfId="7696" xr:uid="{00000000-0005-0000-0000-0000101E0000}"/>
    <cellStyle name="Normal 2 2 10 2 28 5 8" xfId="7697" xr:uid="{00000000-0005-0000-0000-0000111E0000}"/>
    <cellStyle name="Normal 2 2 10 2 28 5 9" xfId="7698" xr:uid="{00000000-0005-0000-0000-0000121E0000}"/>
    <cellStyle name="Normal 2 2 10 2 28 6" xfId="7699" xr:uid="{00000000-0005-0000-0000-0000131E0000}"/>
    <cellStyle name="Normal 2 2 10 2 28 7" xfId="7700" xr:uid="{00000000-0005-0000-0000-0000141E0000}"/>
    <cellStyle name="Normal 2 2 10 2 28 8" xfId="7701" xr:uid="{00000000-0005-0000-0000-0000151E0000}"/>
    <cellStyle name="Normal 2 2 10 2 28 9" xfId="7702" xr:uid="{00000000-0005-0000-0000-0000161E0000}"/>
    <cellStyle name="Normal 2 2 10 2 29" xfId="7703" xr:uid="{00000000-0005-0000-0000-0000171E0000}"/>
    <cellStyle name="Normal 2 2 10 2 29 10" xfId="7704" xr:uid="{00000000-0005-0000-0000-0000181E0000}"/>
    <cellStyle name="Normal 2 2 10 2 29 11" xfId="7705" xr:uid="{00000000-0005-0000-0000-0000191E0000}"/>
    <cellStyle name="Normal 2 2 10 2 29 12" xfId="7706" xr:uid="{00000000-0005-0000-0000-00001A1E0000}"/>
    <cellStyle name="Normal 2 2 10 2 29 13" xfId="7707" xr:uid="{00000000-0005-0000-0000-00001B1E0000}"/>
    <cellStyle name="Normal 2 2 10 2 29 14" xfId="7708" xr:uid="{00000000-0005-0000-0000-00001C1E0000}"/>
    <cellStyle name="Normal 2 2 10 2 29 2" xfId="7709" xr:uid="{00000000-0005-0000-0000-00001D1E0000}"/>
    <cellStyle name="Normal 2 2 10 2 29 2 10" xfId="7710" xr:uid="{00000000-0005-0000-0000-00001E1E0000}"/>
    <cellStyle name="Normal 2 2 10 2 29 2 2" xfId="7711" xr:uid="{00000000-0005-0000-0000-00001F1E0000}"/>
    <cellStyle name="Normal 2 2 10 2 29 2 3" xfId="7712" xr:uid="{00000000-0005-0000-0000-0000201E0000}"/>
    <cellStyle name="Normal 2 2 10 2 29 2 4" xfId="7713" xr:uid="{00000000-0005-0000-0000-0000211E0000}"/>
    <cellStyle name="Normal 2 2 10 2 29 2 5" xfId="7714" xr:uid="{00000000-0005-0000-0000-0000221E0000}"/>
    <cellStyle name="Normal 2 2 10 2 29 2 6" xfId="7715" xr:uid="{00000000-0005-0000-0000-0000231E0000}"/>
    <cellStyle name="Normal 2 2 10 2 29 2 7" xfId="7716" xr:uid="{00000000-0005-0000-0000-0000241E0000}"/>
    <cellStyle name="Normal 2 2 10 2 29 2 8" xfId="7717" xr:uid="{00000000-0005-0000-0000-0000251E0000}"/>
    <cellStyle name="Normal 2 2 10 2 29 2 9" xfId="7718" xr:uid="{00000000-0005-0000-0000-0000261E0000}"/>
    <cellStyle name="Normal 2 2 10 2 29 3" xfId="7719" xr:uid="{00000000-0005-0000-0000-0000271E0000}"/>
    <cellStyle name="Normal 2 2 10 2 29 3 10" xfId="7720" xr:uid="{00000000-0005-0000-0000-0000281E0000}"/>
    <cellStyle name="Normal 2 2 10 2 29 3 2" xfId="7721" xr:uid="{00000000-0005-0000-0000-0000291E0000}"/>
    <cellStyle name="Normal 2 2 10 2 29 3 3" xfId="7722" xr:uid="{00000000-0005-0000-0000-00002A1E0000}"/>
    <cellStyle name="Normal 2 2 10 2 29 3 4" xfId="7723" xr:uid="{00000000-0005-0000-0000-00002B1E0000}"/>
    <cellStyle name="Normal 2 2 10 2 29 3 5" xfId="7724" xr:uid="{00000000-0005-0000-0000-00002C1E0000}"/>
    <cellStyle name="Normal 2 2 10 2 29 3 6" xfId="7725" xr:uid="{00000000-0005-0000-0000-00002D1E0000}"/>
    <cellStyle name="Normal 2 2 10 2 29 3 7" xfId="7726" xr:uid="{00000000-0005-0000-0000-00002E1E0000}"/>
    <cellStyle name="Normal 2 2 10 2 29 3 8" xfId="7727" xr:uid="{00000000-0005-0000-0000-00002F1E0000}"/>
    <cellStyle name="Normal 2 2 10 2 29 3 9" xfId="7728" xr:uid="{00000000-0005-0000-0000-0000301E0000}"/>
    <cellStyle name="Normal 2 2 10 2 29 4" xfId="7729" xr:uid="{00000000-0005-0000-0000-0000311E0000}"/>
    <cellStyle name="Normal 2 2 10 2 29 4 10" xfId="7730" xr:uid="{00000000-0005-0000-0000-0000321E0000}"/>
    <cellStyle name="Normal 2 2 10 2 29 4 2" xfId="7731" xr:uid="{00000000-0005-0000-0000-0000331E0000}"/>
    <cellStyle name="Normal 2 2 10 2 29 4 3" xfId="7732" xr:uid="{00000000-0005-0000-0000-0000341E0000}"/>
    <cellStyle name="Normal 2 2 10 2 29 4 4" xfId="7733" xr:uid="{00000000-0005-0000-0000-0000351E0000}"/>
    <cellStyle name="Normal 2 2 10 2 29 4 5" xfId="7734" xr:uid="{00000000-0005-0000-0000-0000361E0000}"/>
    <cellStyle name="Normal 2 2 10 2 29 4 6" xfId="7735" xr:uid="{00000000-0005-0000-0000-0000371E0000}"/>
    <cellStyle name="Normal 2 2 10 2 29 4 7" xfId="7736" xr:uid="{00000000-0005-0000-0000-0000381E0000}"/>
    <cellStyle name="Normal 2 2 10 2 29 4 8" xfId="7737" xr:uid="{00000000-0005-0000-0000-0000391E0000}"/>
    <cellStyle name="Normal 2 2 10 2 29 4 9" xfId="7738" xr:uid="{00000000-0005-0000-0000-00003A1E0000}"/>
    <cellStyle name="Normal 2 2 10 2 29 5" xfId="7739" xr:uid="{00000000-0005-0000-0000-00003B1E0000}"/>
    <cellStyle name="Normal 2 2 10 2 29 5 10" xfId="7740" xr:uid="{00000000-0005-0000-0000-00003C1E0000}"/>
    <cellStyle name="Normal 2 2 10 2 29 5 2" xfId="7741" xr:uid="{00000000-0005-0000-0000-00003D1E0000}"/>
    <cellStyle name="Normal 2 2 10 2 29 5 3" xfId="7742" xr:uid="{00000000-0005-0000-0000-00003E1E0000}"/>
    <cellStyle name="Normal 2 2 10 2 29 5 4" xfId="7743" xr:uid="{00000000-0005-0000-0000-00003F1E0000}"/>
    <cellStyle name="Normal 2 2 10 2 29 5 5" xfId="7744" xr:uid="{00000000-0005-0000-0000-0000401E0000}"/>
    <cellStyle name="Normal 2 2 10 2 29 5 6" xfId="7745" xr:uid="{00000000-0005-0000-0000-0000411E0000}"/>
    <cellStyle name="Normal 2 2 10 2 29 5 7" xfId="7746" xr:uid="{00000000-0005-0000-0000-0000421E0000}"/>
    <cellStyle name="Normal 2 2 10 2 29 5 8" xfId="7747" xr:uid="{00000000-0005-0000-0000-0000431E0000}"/>
    <cellStyle name="Normal 2 2 10 2 29 5 9" xfId="7748" xr:uid="{00000000-0005-0000-0000-0000441E0000}"/>
    <cellStyle name="Normal 2 2 10 2 29 6" xfId="7749" xr:uid="{00000000-0005-0000-0000-0000451E0000}"/>
    <cellStyle name="Normal 2 2 10 2 29 7" xfId="7750" xr:uid="{00000000-0005-0000-0000-0000461E0000}"/>
    <cellStyle name="Normal 2 2 10 2 29 8" xfId="7751" xr:uid="{00000000-0005-0000-0000-0000471E0000}"/>
    <cellStyle name="Normal 2 2 10 2 29 9" xfId="7752" xr:uid="{00000000-0005-0000-0000-0000481E0000}"/>
    <cellStyle name="Normal 2 2 10 2 3" xfId="7753" xr:uid="{00000000-0005-0000-0000-0000491E0000}"/>
    <cellStyle name="Normal 2 2 10 2 3 10" xfId="7754" xr:uid="{00000000-0005-0000-0000-00004A1E0000}"/>
    <cellStyle name="Normal 2 2 10 2 3 11" xfId="7755" xr:uid="{00000000-0005-0000-0000-00004B1E0000}"/>
    <cellStyle name="Normal 2 2 10 2 3 12" xfId="7756" xr:uid="{00000000-0005-0000-0000-00004C1E0000}"/>
    <cellStyle name="Normal 2 2 10 2 3 13" xfId="7757" xr:uid="{00000000-0005-0000-0000-00004D1E0000}"/>
    <cellStyle name="Normal 2 2 10 2 3 14" xfId="7758" xr:uid="{00000000-0005-0000-0000-00004E1E0000}"/>
    <cellStyle name="Normal 2 2 10 2 3 2" xfId="7759" xr:uid="{00000000-0005-0000-0000-00004F1E0000}"/>
    <cellStyle name="Normal 2 2 10 2 3 2 10" xfId="7760" xr:uid="{00000000-0005-0000-0000-0000501E0000}"/>
    <cellStyle name="Normal 2 2 10 2 3 2 2" xfId="7761" xr:uid="{00000000-0005-0000-0000-0000511E0000}"/>
    <cellStyle name="Normal 2 2 10 2 3 2 3" xfId="7762" xr:uid="{00000000-0005-0000-0000-0000521E0000}"/>
    <cellStyle name="Normal 2 2 10 2 3 2 4" xfId="7763" xr:uid="{00000000-0005-0000-0000-0000531E0000}"/>
    <cellStyle name="Normal 2 2 10 2 3 2 5" xfId="7764" xr:uid="{00000000-0005-0000-0000-0000541E0000}"/>
    <cellStyle name="Normal 2 2 10 2 3 2 6" xfId="7765" xr:uid="{00000000-0005-0000-0000-0000551E0000}"/>
    <cellStyle name="Normal 2 2 10 2 3 2 7" xfId="7766" xr:uid="{00000000-0005-0000-0000-0000561E0000}"/>
    <cellStyle name="Normal 2 2 10 2 3 2 8" xfId="7767" xr:uid="{00000000-0005-0000-0000-0000571E0000}"/>
    <cellStyle name="Normal 2 2 10 2 3 2 9" xfId="7768" xr:uid="{00000000-0005-0000-0000-0000581E0000}"/>
    <cellStyle name="Normal 2 2 10 2 3 3" xfId="7769" xr:uid="{00000000-0005-0000-0000-0000591E0000}"/>
    <cellStyle name="Normal 2 2 10 2 3 3 10" xfId="7770" xr:uid="{00000000-0005-0000-0000-00005A1E0000}"/>
    <cellStyle name="Normal 2 2 10 2 3 3 2" xfId="7771" xr:uid="{00000000-0005-0000-0000-00005B1E0000}"/>
    <cellStyle name="Normal 2 2 10 2 3 3 3" xfId="7772" xr:uid="{00000000-0005-0000-0000-00005C1E0000}"/>
    <cellStyle name="Normal 2 2 10 2 3 3 4" xfId="7773" xr:uid="{00000000-0005-0000-0000-00005D1E0000}"/>
    <cellStyle name="Normal 2 2 10 2 3 3 5" xfId="7774" xr:uid="{00000000-0005-0000-0000-00005E1E0000}"/>
    <cellStyle name="Normal 2 2 10 2 3 3 6" xfId="7775" xr:uid="{00000000-0005-0000-0000-00005F1E0000}"/>
    <cellStyle name="Normal 2 2 10 2 3 3 7" xfId="7776" xr:uid="{00000000-0005-0000-0000-0000601E0000}"/>
    <cellStyle name="Normal 2 2 10 2 3 3 8" xfId="7777" xr:uid="{00000000-0005-0000-0000-0000611E0000}"/>
    <cellStyle name="Normal 2 2 10 2 3 3 9" xfId="7778" xr:uid="{00000000-0005-0000-0000-0000621E0000}"/>
    <cellStyle name="Normal 2 2 10 2 3 4" xfId="7779" xr:uid="{00000000-0005-0000-0000-0000631E0000}"/>
    <cellStyle name="Normal 2 2 10 2 3 4 10" xfId="7780" xr:uid="{00000000-0005-0000-0000-0000641E0000}"/>
    <cellStyle name="Normal 2 2 10 2 3 4 2" xfId="7781" xr:uid="{00000000-0005-0000-0000-0000651E0000}"/>
    <cellStyle name="Normal 2 2 10 2 3 4 3" xfId="7782" xr:uid="{00000000-0005-0000-0000-0000661E0000}"/>
    <cellStyle name="Normal 2 2 10 2 3 4 4" xfId="7783" xr:uid="{00000000-0005-0000-0000-0000671E0000}"/>
    <cellStyle name="Normal 2 2 10 2 3 4 5" xfId="7784" xr:uid="{00000000-0005-0000-0000-0000681E0000}"/>
    <cellStyle name="Normal 2 2 10 2 3 4 6" xfId="7785" xr:uid="{00000000-0005-0000-0000-0000691E0000}"/>
    <cellStyle name="Normal 2 2 10 2 3 4 7" xfId="7786" xr:uid="{00000000-0005-0000-0000-00006A1E0000}"/>
    <cellStyle name="Normal 2 2 10 2 3 4 8" xfId="7787" xr:uid="{00000000-0005-0000-0000-00006B1E0000}"/>
    <cellStyle name="Normal 2 2 10 2 3 4 9" xfId="7788" xr:uid="{00000000-0005-0000-0000-00006C1E0000}"/>
    <cellStyle name="Normal 2 2 10 2 3 5" xfId="7789" xr:uid="{00000000-0005-0000-0000-00006D1E0000}"/>
    <cellStyle name="Normal 2 2 10 2 3 5 10" xfId="7790" xr:uid="{00000000-0005-0000-0000-00006E1E0000}"/>
    <cellStyle name="Normal 2 2 10 2 3 5 2" xfId="7791" xr:uid="{00000000-0005-0000-0000-00006F1E0000}"/>
    <cellStyle name="Normal 2 2 10 2 3 5 3" xfId="7792" xr:uid="{00000000-0005-0000-0000-0000701E0000}"/>
    <cellStyle name="Normal 2 2 10 2 3 5 4" xfId="7793" xr:uid="{00000000-0005-0000-0000-0000711E0000}"/>
    <cellStyle name="Normal 2 2 10 2 3 5 5" xfId="7794" xr:uid="{00000000-0005-0000-0000-0000721E0000}"/>
    <cellStyle name="Normal 2 2 10 2 3 5 6" xfId="7795" xr:uid="{00000000-0005-0000-0000-0000731E0000}"/>
    <cellStyle name="Normal 2 2 10 2 3 5 7" xfId="7796" xr:uid="{00000000-0005-0000-0000-0000741E0000}"/>
    <cellStyle name="Normal 2 2 10 2 3 5 8" xfId="7797" xr:uid="{00000000-0005-0000-0000-0000751E0000}"/>
    <cellStyle name="Normal 2 2 10 2 3 5 9" xfId="7798" xr:uid="{00000000-0005-0000-0000-0000761E0000}"/>
    <cellStyle name="Normal 2 2 10 2 3 6" xfId="7799" xr:uid="{00000000-0005-0000-0000-0000771E0000}"/>
    <cellStyle name="Normal 2 2 10 2 3 7" xfId="7800" xr:uid="{00000000-0005-0000-0000-0000781E0000}"/>
    <cellStyle name="Normal 2 2 10 2 3 8" xfId="7801" xr:uid="{00000000-0005-0000-0000-0000791E0000}"/>
    <cellStyle name="Normal 2 2 10 2 3 9" xfId="7802" xr:uid="{00000000-0005-0000-0000-00007A1E0000}"/>
    <cellStyle name="Normal 2 2 10 2 30" xfId="7803" xr:uid="{00000000-0005-0000-0000-00007B1E0000}"/>
    <cellStyle name="Normal 2 2 10 2 30 10" xfId="7804" xr:uid="{00000000-0005-0000-0000-00007C1E0000}"/>
    <cellStyle name="Normal 2 2 10 2 30 11" xfId="7805" xr:uid="{00000000-0005-0000-0000-00007D1E0000}"/>
    <cellStyle name="Normal 2 2 10 2 30 12" xfId="7806" xr:uid="{00000000-0005-0000-0000-00007E1E0000}"/>
    <cellStyle name="Normal 2 2 10 2 30 13" xfId="7807" xr:uid="{00000000-0005-0000-0000-00007F1E0000}"/>
    <cellStyle name="Normal 2 2 10 2 30 14" xfId="7808" xr:uid="{00000000-0005-0000-0000-0000801E0000}"/>
    <cellStyle name="Normal 2 2 10 2 30 2" xfId="7809" xr:uid="{00000000-0005-0000-0000-0000811E0000}"/>
    <cellStyle name="Normal 2 2 10 2 30 2 10" xfId="7810" xr:uid="{00000000-0005-0000-0000-0000821E0000}"/>
    <cellStyle name="Normal 2 2 10 2 30 2 2" xfId="7811" xr:uid="{00000000-0005-0000-0000-0000831E0000}"/>
    <cellStyle name="Normal 2 2 10 2 30 2 3" xfId="7812" xr:uid="{00000000-0005-0000-0000-0000841E0000}"/>
    <cellStyle name="Normal 2 2 10 2 30 2 4" xfId="7813" xr:uid="{00000000-0005-0000-0000-0000851E0000}"/>
    <cellStyle name="Normal 2 2 10 2 30 2 5" xfId="7814" xr:uid="{00000000-0005-0000-0000-0000861E0000}"/>
    <cellStyle name="Normal 2 2 10 2 30 2 6" xfId="7815" xr:uid="{00000000-0005-0000-0000-0000871E0000}"/>
    <cellStyle name="Normal 2 2 10 2 30 2 7" xfId="7816" xr:uid="{00000000-0005-0000-0000-0000881E0000}"/>
    <cellStyle name="Normal 2 2 10 2 30 2 8" xfId="7817" xr:uid="{00000000-0005-0000-0000-0000891E0000}"/>
    <cellStyle name="Normal 2 2 10 2 30 2 9" xfId="7818" xr:uid="{00000000-0005-0000-0000-00008A1E0000}"/>
    <cellStyle name="Normal 2 2 10 2 30 3" xfId="7819" xr:uid="{00000000-0005-0000-0000-00008B1E0000}"/>
    <cellStyle name="Normal 2 2 10 2 30 3 10" xfId="7820" xr:uid="{00000000-0005-0000-0000-00008C1E0000}"/>
    <cellStyle name="Normal 2 2 10 2 30 3 2" xfId="7821" xr:uid="{00000000-0005-0000-0000-00008D1E0000}"/>
    <cellStyle name="Normal 2 2 10 2 30 3 3" xfId="7822" xr:uid="{00000000-0005-0000-0000-00008E1E0000}"/>
    <cellStyle name="Normal 2 2 10 2 30 3 4" xfId="7823" xr:uid="{00000000-0005-0000-0000-00008F1E0000}"/>
    <cellStyle name="Normal 2 2 10 2 30 3 5" xfId="7824" xr:uid="{00000000-0005-0000-0000-0000901E0000}"/>
    <cellStyle name="Normal 2 2 10 2 30 3 6" xfId="7825" xr:uid="{00000000-0005-0000-0000-0000911E0000}"/>
    <cellStyle name="Normal 2 2 10 2 30 3 7" xfId="7826" xr:uid="{00000000-0005-0000-0000-0000921E0000}"/>
    <cellStyle name="Normal 2 2 10 2 30 3 8" xfId="7827" xr:uid="{00000000-0005-0000-0000-0000931E0000}"/>
    <cellStyle name="Normal 2 2 10 2 30 3 9" xfId="7828" xr:uid="{00000000-0005-0000-0000-0000941E0000}"/>
    <cellStyle name="Normal 2 2 10 2 30 4" xfId="7829" xr:uid="{00000000-0005-0000-0000-0000951E0000}"/>
    <cellStyle name="Normal 2 2 10 2 30 4 10" xfId="7830" xr:uid="{00000000-0005-0000-0000-0000961E0000}"/>
    <cellStyle name="Normal 2 2 10 2 30 4 2" xfId="7831" xr:uid="{00000000-0005-0000-0000-0000971E0000}"/>
    <cellStyle name="Normal 2 2 10 2 30 4 3" xfId="7832" xr:uid="{00000000-0005-0000-0000-0000981E0000}"/>
    <cellStyle name="Normal 2 2 10 2 30 4 4" xfId="7833" xr:uid="{00000000-0005-0000-0000-0000991E0000}"/>
    <cellStyle name="Normal 2 2 10 2 30 4 5" xfId="7834" xr:uid="{00000000-0005-0000-0000-00009A1E0000}"/>
    <cellStyle name="Normal 2 2 10 2 30 4 6" xfId="7835" xr:uid="{00000000-0005-0000-0000-00009B1E0000}"/>
    <cellStyle name="Normal 2 2 10 2 30 4 7" xfId="7836" xr:uid="{00000000-0005-0000-0000-00009C1E0000}"/>
    <cellStyle name="Normal 2 2 10 2 30 4 8" xfId="7837" xr:uid="{00000000-0005-0000-0000-00009D1E0000}"/>
    <cellStyle name="Normal 2 2 10 2 30 4 9" xfId="7838" xr:uid="{00000000-0005-0000-0000-00009E1E0000}"/>
    <cellStyle name="Normal 2 2 10 2 30 5" xfId="7839" xr:uid="{00000000-0005-0000-0000-00009F1E0000}"/>
    <cellStyle name="Normal 2 2 10 2 30 5 10" xfId="7840" xr:uid="{00000000-0005-0000-0000-0000A01E0000}"/>
    <cellStyle name="Normal 2 2 10 2 30 5 2" xfId="7841" xr:uid="{00000000-0005-0000-0000-0000A11E0000}"/>
    <cellStyle name="Normal 2 2 10 2 30 5 3" xfId="7842" xr:uid="{00000000-0005-0000-0000-0000A21E0000}"/>
    <cellStyle name="Normal 2 2 10 2 30 5 4" xfId="7843" xr:uid="{00000000-0005-0000-0000-0000A31E0000}"/>
    <cellStyle name="Normal 2 2 10 2 30 5 5" xfId="7844" xr:uid="{00000000-0005-0000-0000-0000A41E0000}"/>
    <cellStyle name="Normal 2 2 10 2 30 5 6" xfId="7845" xr:uid="{00000000-0005-0000-0000-0000A51E0000}"/>
    <cellStyle name="Normal 2 2 10 2 30 5 7" xfId="7846" xr:uid="{00000000-0005-0000-0000-0000A61E0000}"/>
    <cellStyle name="Normal 2 2 10 2 30 5 8" xfId="7847" xr:uid="{00000000-0005-0000-0000-0000A71E0000}"/>
    <cellStyle name="Normal 2 2 10 2 30 5 9" xfId="7848" xr:uid="{00000000-0005-0000-0000-0000A81E0000}"/>
    <cellStyle name="Normal 2 2 10 2 30 6" xfId="7849" xr:uid="{00000000-0005-0000-0000-0000A91E0000}"/>
    <cellStyle name="Normal 2 2 10 2 30 7" xfId="7850" xr:uid="{00000000-0005-0000-0000-0000AA1E0000}"/>
    <cellStyle name="Normal 2 2 10 2 30 8" xfId="7851" xr:uid="{00000000-0005-0000-0000-0000AB1E0000}"/>
    <cellStyle name="Normal 2 2 10 2 30 9" xfId="7852" xr:uid="{00000000-0005-0000-0000-0000AC1E0000}"/>
    <cellStyle name="Normal 2 2 10 2 31" xfId="7853" xr:uid="{00000000-0005-0000-0000-0000AD1E0000}"/>
    <cellStyle name="Normal 2 2 10 2 31 10" xfId="7854" xr:uid="{00000000-0005-0000-0000-0000AE1E0000}"/>
    <cellStyle name="Normal 2 2 10 2 31 11" xfId="7855" xr:uid="{00000000-0005-0000-0000-0000AF1E0000}"/>
    <cellStyle name="Normal 2 2 10 2 31 12" xfId="7856" xr:uid="{00000000-0005-0000-0000-0000B01E0000}"/>
    <cellStyle name="Normal 2 2 10 2 31 13" xfId="7857" xr:uid="{00000000-0005-0000-0000-0000B11E0000}"/>
    <cellStyle name="Normal 2 2 10 2 31 14" xfId="7858" xr:uid="{00000000-0005-0000-0000-0000B21E0000}"/>
    <cellStyle name="Normal 2 2 10 2 31 2" xfId="7859" xr:uid="{00000000-0005-0000-0000-0000B31E0000}"/>
    <cellStyle name="Normal 2 2 10 2 31 2 10" xfId="7860" xr:uid="{00000000-0005-0000-0000-0000B41E0000}"/>
    <cellStyle name="Normal 2 2 10 2 31 2 2" xfId="7861" xr:uid="{00000000-0005-0000-0000-0000B51E0000}"/>
    <cellStyle name="Normal 2 2 10 2 31 2 3" xfId="7862" xr:uid="{00000000-0005-0000-0000-0000B61E0000}"/>
    <cellStyle name="Normal 2 2 10 2 31 2 4" xfId="7863" xr:uid="{00000000-0005-0000-0000-0000B71E0000}"/>
    <cellStyle name="Normal 2 2 10 2 31 2 5" xfId="7864" xr:uid="{00000000-0005-0000-0000-0000B81E0000}"/>
    <cellStyle name="Normal 2 2 10 2 31 2 6" xfId="7865" xr:uid="{00000000-0005-0000-0000-0000B91E0000}"/>
    <cellStyle name="Normal 2 2 10 2 31 2 7" xfId="7866" xr:uid="{00000000-0005-0000-0000-0000BA1E0000}"/>
    <cellStyle name="Normal 2 2 10 2 31 2 8" xfId="7867" xr:uid="{00000000-0005-0000-0000-0000BB1E0000}"/>
    <cellStyle name="Normal 2 2 10 2 31 2 9" xfId="7868" xr:uid="{00000000-0005-0000-0000-0000BC1E0000}"/>
    <cellStyle name="Normal 2 2 10 2 31 3" xfId="7869" xr:uid="{00000000-0005-0000-0000-0000BD1E0000}"/>
    <cellStyle name="Normal 2 2 10 2 31 3 10" xfId="7870" xr:uid="{00000000-0005-0000-0000-0000BE1E0000}"/>
    <cellStyle name="Normal 2 2 10 2 31 3 2" xfId="7871" xr:uid="{00000000-0005-0000-0000-0000BF1E0000}"/>
    <cellStyle name="Normal 2 2 10 2 31 3 3" xfId="7872" xr:uid="{00000000-0005-0000-0000-0000C01E0000}"/>
    <cellStyle name="Normal 2 2 10 2 31 3 4" xfId="7873" xr:uid="{00000000-0005-0000-0000-0000C11E0000}"/>
    <cellStyle name="Normal 2 2 10 2 31 3 5" xfId="7874" xr:uid="{00000000-0005-0000-0000-0000C21E0000}"/>
    <cellStyle name="Normal 2 2 10 2 31 3 6" xfId="7875" xr:uid="{00000000-0005-0000-0000-0000C31E0000}"/>
    <cellStyle name="Normal 2 2 10 2 31 3 7" xfId="7876" xr:uid="{00000000-0005-0000-0000-0000C41E0000}"/>
    <cellStyle name="Normal 2 2 10 2 31 3 8" xfId="7877" xr:uid="{00000000-0005-0000-0000-0000C51E0000}"/>
    <cellStyle name="Normal 2 2 10 2 31 3 9" xfId="7878" xr:uid="{00000000-0005-0000-0000-0000C61E0000}"/>
    <cellStyle name="Normal 2 2 10 2 31 4" xfId="7879" xr:uid="{00000000-0005-0000-0000-0000C71E0000}"/>
    <cellStyle name="Normal 2 2 10 2 31 4 10" xfId="7880" xr:uid="{00000000-0005-0000-0000-0000C81E0000}"/>
    <cellStyle name="Normal 2 2 10 2 31 4 2" xfId="7881" xr:uid="{00000000-0005-0000-0000-0000C91E0000}"/>
    <cellStyle name="Normal 2 2 10 2 31 4 3" xfId="7882" xr:uid="{00000000-0005-0000-0000-0000CA1E0000}"/>
    <cellStyle name="Normal 2 2 10 2 31 4 4" xfId="7883" xr:uid="{00000000-0005-0000-0000-0000CB1E0000}"/>
    <cellStyle name="Normal 2 2 10 2 31 4 5" xfId="7884" xr:uid="{00000000-0005-0000-0000-0000CC1E0000}"/>
    <cellStyle name="Normal 2 2 10 2 31 4 6" xfId="7885" xr:uid="{00000000-0005-0000-0000-0000CD1E0000}"/>
    <cellStyle name="Normal 2 2 10 2 31 4 7" xfId="7886" xr:uid="{00000000-0005-0000-0000-0000CE1E0000}"/>
    <cellStyle name="Normal 2 2 10 2 31 4 8" xfId="7887" xr:uid="{00000000-0005-0000-0000-0000CF1E0000}"/>
    <cellStyle name="Normal 2 2 10 2 31 4 9" xfId="7888" xr:uid="{00000000-0005-0000-0000-0000D01E0000}"/>
    <cellStyle name="Normal 2 2 10 2 31 5" xfId="7889" xr:uid="{00000000-0005-0000-0000-0000D11E0000}"/>
    <cellStyle name="Normal 2 2 10 2 31 5 10" xfId="7890" xr:uid="{00000000-0005-0000-0000-0000D21E0000}"/>
    <cellStyle name="Normal 2 2 10 2 31 5 2" xfId="7891" xr:uid="{00000000-0005-0000-0000-0000D31E0000}"/>
    <cellStyle name="Normal 2 2 10 2 31 5 3" xfId="7892" xr:uid="{00000000-0005-0000-0000-0000D41E0000}"/>
    <cellStyle name="Normal 2 2 10 2 31 5 4" xfId="7893" xr:uid="{00000000-0005-0000-0000-0000D51E0000}"/>
    <cellStyle name="Normal 2 2 10 2 31 5 5" xfId="7894" xr:uid="{00000000-0005-0000-0000-0000D61E0000}"/>
    <cellStyle name="Normal 2 2 10 2 31 5 6" xfId="7895" xr:uid="{00000000-0005-0000-0000-0000D71E0000}"/>
    <cellStyle name="Normal 2 2 10 2 31 5 7" xfId="7896" xr:uid="{00000000-0005-0000-0000-0000D81E0000}"/>
    <cellStyle name="Normal 2 2 10 2 31 5 8" xfId="7897" xr:uid="{00000000-0005-0000-0000-0000D91E0000}"/>
    <cellStyle name="Normal 2 2 10 2 31 5 9" xfId="7898" xr:uid="{00000000-0005-0000-0000-0000DA1E0000}"/>
    <cellStyle name="Normal 2 2 10 2 31 6" xfId="7899" xr:uid="{00000000-0005-0000-0000-0000DB1E0000}"/>
    <cellStyle name="Normal 2 2 10 2 31 7" xfId="7900" xr:uid="{00000000-0005-0000-0000-0000DC1E0000}"/>
    <cellStyle name="Normal 2 2 10 2 31 8" xfId="7901" xr:uid="{00000000-0005-0000-0000-0000DD1E0000}"/>
    <cellStyle name="Normal 2 2 10 2 31 9" xfId="7902" xr:uid="{00000000-0005-0000-0000-0000DE1E0000}"/>
    <cellStyle name="Normal 2 2 10 2 32" xfId="7903" xr:uid="{00000000-0005-0000-0000-0000DF1E0000}"/>
    <cellStyle name="Normal 2 2 10 2 32 10" xfId="7904" xr:uid="{00000000-0005-0000-0000-0000E01E0000}"/>
    <cellStyle name="Normal 2 2 10 2 32 11" xfId="7905" xr:uid="{00000000-0005-0000-0000-0000E11E0000}"/>
    <cellStyle name="Normal 2 2 10 2 32 12" xfId="7906" xr:uid="{00000000-0005-0000-0000-0000E21E0000}"/>
    <cellStyle name="Normal 2 2 10 2 32 13" xfId="7907" xr:uid="{00000000-0005-0000-0000-0000E31E0000}"/>
    <cellStyle name="Normal 2 2 10 2 32 14" xfId="7908" xr:uid="{00000000-0005-0000-0000-0000E41E0000}"/>
    <cellStyle name="Normal 2 2 10 2 32 2" xfId="7909" xr:uid="{00000000-0005-0000-0000-0000E51E0000}"/>
    <cellStyle name="Normal 2 2 10 2 32 2 10" xfId="7910" xr:uid="{00000000-0005-0000-0000-0000E61E0000}"/>
    <cellStyle name="Normal 2 2 10 2 32 2 2" xfId="7911" xr:uid="{00000000-0005-0000-0000-0000E71E0000}"/>
    <cellStyle name="Normal 2 2 10 2 32 2 3" xfId="7912" xr:uid="{00000000-0005-0000-0000-0000E81E0000}"/>
    <cellStyle name="Normal 2 2 10 2 32 2 4" xfId="7913" xr:uid="{00000000-0005-0000-0000-0000E91E0000}"/>
    <cellStyle name="Normal 2 2 10 2 32 2 5" xfId="7914" xr:uid="{00000000-0005-0000-0000-0000EA1E0000}"/>
    <cellStyle name="Normal 2 2 10 2 32 2 6" xfId="7915" xr:uid="{00000000-0005-0000-0000-0000EB1E0000}"/>
    <cellStyle name="Normal 2 2 10 2 32 2 7" xfId="7916" xr:uid="{00000000-0005-0000-0000-0000EC1E0000}"/>
    <cellStyle name="Normal 2 2 10 2 32 2 8" xfId="7917" xr:uid="{00000000-0005-0000-0000-0000ED1E0000}"/>
    <cellStyle name="Normal 2 2 10 2 32 2 9" xfId="7918" xr:uid="{00000000-0005-0000-0000-0000EE1E0000}"/>
    <cellStyle name="Normal 2 2 10 2 32 3" xfId="7919" xr:uid="{00000000-0005-0000-0000-0000EF1E0000}"/>
    <cellStyle name="Normal 2 2 10 2 32 3 10" xfId="7920" xr:uid="{00000000-0005-0000-0000-0000F01E0000}"/>
    <cellStyle name="Normal 2 2 10 2 32 3 2" xfId="7921" xr:uid="{00000000-0005-0000-0000-0000F11E0000}"/>
    <cellStyle name="Normal 2 2 10 2 32 3 3" xfId="7922" xr:uid="{00000000-0005-0000-0000-0000F21E0000}"/>
    <cellStyle name="Normal 2 2 10 2 32 3 4" xfId="7923" xr:uid="{00000000-0005-0000-0000-0000F31E0000}"/>
    <cellStyle name="Normal 2 2 10 2 32 3 5" xfId="7924" xr:uid="{00000000-0005-0000-0000-0000F41E0000}"/>
    <cellStyle name="Normal 2 2 10 2 32 3 6" xfId="7925" xr:uid="{00000000-0005-0000-0000-0000F51E0000}"/>
    <cellStyle name="Normal 2 2 10 2 32 3 7" xfId="7926" xr:uid="{00000000-0005-0000-0000-0000F61E0000}"/>
    <cellStyle name="Normal 2 2 10 2 32 3 8" xfId="7927" xr:uid="{00000000-0005-0000-0000-0000F71E0000}"/>
    <cellStyle name="Normal 2 2 10 2 32 3 9" xfId="7928" xr:uid="{00000000-0005-0000-0000-0000F81E0000}"/>
    <cellStyle name="Normal 2 2 10 2 32 4" xfId="7929" xr:uid="{00000000-0005-0000-0000-0000F91E0000}"/>
    <cellStyle name="Normal 2 2 10 2 32 4 10" xfId="7930" xr:uid="{00000000-0005-0000-0000-0000FA1E0000}"/>
    <cellStyle name="Normal 2 2 10 2 32 4 2" xfId="7931" xr:uid="{00000000-0005-0000-0000-0000FB1E0000}"/>
    <cellStyle name="Normal 2 2 10 2 32 4 3" xfId="7932" xr:uid="{00000000-0005-0000-0000-0000FC1E0000}"/>
    <cellStyle name="Normal 2 2 10 2 32 4 4" xfId="7933" xr:uid="{00000000-0005-0000-0000-0000FD1E0000}"/>
    <cellStyle name="Normal 2 2 10 2 32 4 5" xfId="7934" xr:uid="{00000000-0005-0000-0000-0000FE1E0000}"/>
    <cellStyle name="Normal 2 2 10 2 32 4 6" xfId="7935" xr:uid="{00000000-0005-0000-0000-0000FF1E0000}"/>
    <cellStyle name="Normal 2 2 10 2 32 4 7" xfId="7936" xr:uid="{00000000-0005-0000-0000-0000001F0000}"/>
    <cellStyle name="Normal 2 2 10 2 32 4 8" xfId="7937" xr:uid="{00000000-0005-0000-0000-0000011F0000}"/>
    <cellStyle name="Normal 2 2 10 2 32 4 9" xfId="7938" xr:uid="{00000000-0005-0000-0000-0000021F0000}"/>
    <cellStyle name="Normal 2 2 10 2 32 5" xfId="7939" xr:uid="{00000000-0005-0000-0000-0000031F0000}"/>
    <cellStyle name="Normal 2 2 10 2 32 5 10" xfId="7940" xr:uid="{00000000-0005-0000-0000-0000041F0000}"/>
    <cellStyle name="Normal 2 2 10 2 32 5 2" xfId="7941" xr:uid="{00000000-0005-0000-0000-0000051F0000}"/>
    <cellStyle name="Normal 2 2 10 2 32 5 3" xfId="7942" xr:uid="{00000000-0005-0000-0000-0000061F0000}"/>
    <cellStyle name="Normal 2 2 10 2 32 5 4" xfId="7943" xr:uid="{00000000-0005-0000-0000-0000071F0000}"/>
    <cellStyle name="Normal 2 2 10 2 32 5 5" xfId="7944" xr:uid="{00000000-0005-0000-0000-0000081F0000}"/>
    <cellStyle name="Normal 2 2 10 2 32 5 6" xfId="7945" xr:uid="{00000000-0005-0000-0000-0000091F0000}"/>
    <cellStyle name="Normal 2 2 10 2 32 5 7" xfId="7946" xr:uid="{00000000-0005-0000-0000-00000A1F0000}"/>
    <cellStyle name="Normal 2 2 10 2 32 5 8" xfId="7947" xr:uid="{00000000-0005-0000-0000-00000B1F0000}"/>
    <cellStyle name="Normal 2 2 10 2 32 5 9" xfId="7948" xr:uid="{00000000-0005-0000-0000-00000C1F0000}"/>
    <cellStyle name="Normal 2 2 10 2 32 6" xfId="7949" xr:uid="{00000000-0005-0000-0000-00000D1F0000}"/>
    <cellStyle name="Normal 2 2 10 2 32 7" xfId="7950" xr:uid="{00000000-0005-0000-0000-00000E1F0000}"/>
    <cellStyle name="Normal 2 2 10 2 32 8" xfId="7951" xr:uid="{00000000-0005-0000-0000-00000F1F0000}"/>
    <cellStyle name="Normal 2 2 10 2 32 9" xfId="7952" xr:uid="{00000000-0005-0000-0000-0000101F0000}"/>
    <cellStyle name="Normal 2 2 10 2 33" xfId="7953" xr:uid="{00000000-0005-0000-0000-0000111F0000}"/>
    <cellStyle name="Normal 2 2 10 2 33 10" xfId="7954" xr:uid="{00000000-0005-0000-0000-0000121F0000}"/>
    <cellStyle name="Normal 2 2 10 2 33 11" xfId="7955" xr:uid="{00000000-0005-0000-0000-0000131F0000}"/>
    <cellStyle name="Normal 2 2 10 2 33 12" xfId="7956" xr:uid="{00000000-0005-0000-0000-0000141F0000}"/>
    <cellStyle name="Normal 2 2 10 2 33 13" xfId="7957" xr:uid="{00000000-0005-0000-0000-0000151F0000}"/>
    <cellStyle name="Normal 2 2 10 2 33 14" xfId="7958" xr:uid="{00000000-0005-0000-0000-0000161F0000}"/>
    <cellStyle name="Normal 2 2 10 2 33 2" xfId="7959" xr:uid="{00000000-0005-0000-0000-0000171F0000}"/>
    <cellStyle name="Normal 2 2 10 2 33 2 10" xfId="7960" xr:uid="{00000000-0005-0000-0000-0000181F0000}"/>
    <cellStyle name="Normal 2 2 10 2 33 2 2" xfId="7961" xr:uid="{00000000-0005-0000-0000-0000191F0000}"/>
    <cellStyle name="Normal 2 2 10 2 33 2 3" xfId="7962" xr:uid="{00000000-0005-0000-0000-00001A1F0000}"/>
    <cellStyle name="Normal 2 2 10 2 33 2 4" xfId="7963" xr:uid="{00000000-0005-0000-0000-00001B1F0000}"/>
    <cellStyle name="Normal 2 2 10 2 33 2 5" xfId="7964" xr:uid="{00000000-0005-0000-0000-00001C1F0000}"/>
    <cellStyle name="Normal 2 2 10 2 33 2 6" xfId="7965" xr:uid="{00000000-0005-0000-0000-00001D1F0000}"/>
    <cellStyle name="Normal 2 2 10 2 33 2 7" xfId="7966" xr:uid="{00000000-0005-0000-0000-00001E1F0000}"/>
    <cellStyle name="Normal 2 2 10 2 33 2 8" xfId="7967" xr:uid="{00000000-0005-0000-0000-00001F1F0000}"/>
    <cellStyle name="Normal 2 2 10 2 33 2 9" xfId="7968" xr:uid="{00000000-0005-0000-0000-0000201F0000}"/>
    <cellStyle name="Normal 2 2 10 2 33 3" xfId="7969" xr:uid="{00000000-0005-0000-0000-0000211F0000}"/>
    <cellStyle name="Normal 2 2 10 2 33 3 10" xfId="7970" xr:uid="{00000000-0005-0000-0000-0000221F0000}"/>
    <cellStyle name="Normal 2 2 10 2 33 3 2" xfId="7971" xr:uid="{00000000-0005-0000-0000-0000231F0000}"/>
    <cellStyle name="Normal 2 2 10 2 33 3 3" xfId="7972" xr:uid="{00000000-0005-0000-0000-0000241F0000}"/>
    <cellStyle name="Normal 2 2 10 2 33 3 4" xfId="7973" xr:uid="{00000000-0005-0000-0000-0000251F0000}"/>
    <cellStyle name="Normal 2 2 10 2 33 3 5" xfId="7974" xr:uid="{00000000-0005-0000-0000-0000261F0000}"/>
    <cellStyle name="Normal 2 2 10 2 33 3 6" xfId="7975" xr:uid="{00000000-0005-0000-0000-0000271F0000}"/>
    <cellStyle name="Normal 2 2 10 2 33 3 7" xfId="7976" xr:uid="{00000000-0005-0000-0000-0000281F0000}"/>
    <cellStyle name="Normal 2 2 10 2 33 3 8" xfId="7977" xr:uid="{00000000-0005-0000-0000-0000291F0000}"/>
    <cellStyle name="Normal 2 2 10 2 33 3 9" xfId="7978" xr:uid="{00000000-0005-0000-0000-00002A1F0000}"/>
    <cellStyle name="Normal 2 2 10 2 33 4" xfId="7979" xr:uid="{00000000-0005-0000-0000-00002B1F0000}"/>
    <cellStyle name="Normal 2 2 10 2 33 4 10" xfId="7980" xr:uid="{00000000-0005-0000-0000-00002C1F0000}"/>
    <cellStyle name="Normal 2 2 10 2 33 4 2" xfId="7981" xr:uid="{00000000-0005-0000-0000-00002D1F0000}"/>
    <cellStyle name="Normal 2 2 10 2 33 4 3" xfId="7982" xr:uid="{00000000-0005-0000-0000-00002E1F0000}"/>
    <cellStyle name="Normal 2 2 10 2 33 4 4" xfId="7983" xr:uid="{00000000-0005-0000-0000-00002F1F0000}"/>
    <cellStyle name="Normal 2 2 10 2 33 4 5" xfId="7984" xr:uid="{00000000-0005-0000-0000-0000301F0000}"/>
    <cellStyle name="Normal 2 2 10 2 33 4 6" xfId="7985" xr:uid="{00000000-0005-0000-0000-0000311F0000}"/>
    <cellStyle name="Normal 2 2 10 2 33 4 7" xfId="7986" xr:uid="{00000000-0005-0000-0000-0000321F0000}"/>
    <cellStyle name="Normal 2 2 10 2 33 4 8" xfId="7987" xr:uid="{00000000-0005-0000-0000-0000331F0000}"/>
    <cellStyle name="Normal 2 2 10 2 33 4 9" xfId="7988" xr:uid="{00000000-0005-0000-0000-0000341F0000}"/>
    <cellStyle name="Normal 2 2 10 2 33 5" xfId="7989" xr:uid="{00000000-0005-0000-0000-0000351F0000}"/>
    <cellStyle name="Normal 2 2 10 2 33 5 10" xfId="7990" xr:uid="{00000000-0005-0000-0000-0000361F0000}"/>
    <cellStyle name="Normal 2 2 10 2 33 5 2" xfId="7991" xr:uid="{00000000-0005-0000-0000-0000371F0000}"/>
    <cellStyle name="Normal 2 2 10 2 33 5 3" xfId="7992" xr:uid="{00000000-0005-0000-0000-0000381F0000}"/>
    <cellStyle name="Normal 2 2 10 2 33 5 4" xfId="7993" xr:uid="{00000000-0005-0000-0000-0000391F0000}"/>
    <cellStyle name="Normal 2 2 10 2 33 5 5" xfId="7994" xr:uid="{00000000-0005-0000-0000-00003A1F0000}"/>
    <cellStyle name="Normal 2 2 10 2 33 5 6" xfId="7995" xr:uid="{00000000-0005-0000-0000-00003B1F0000}"/>
    <cellStyle name="Normal 2 2 10 2 33 5 7" xfId="7996" xr:uid="{00000000-0005-0000-0000-00003C1F0000}"/>
    <cellStyle name="Normal 2 2 10 2 33 5 8" xfId="7997" xr:uid="{00000000-0005-0000-0000-00003D1F0000}"/>
    <cellStyle name="Normal 2 2 10 2 33 5 9" xfId="7998" xr:uid="{00000000-0005-0000-0000-00003E1F0000}"/>
    <cellStyle name="Normal 2 2 10 2 33 6" xfId="7999" xr:uid="{00000000-0005-0000-0000-00003F1F0000}"/>
    <cellStyle name="Normal 2 2 10 2 33 7" xfId="8000" xr:uid="{00000000-0005-0000-0000-0000401F0000}"/>
    <cellStyle name="Normal 2 2 10 2 33 8" xfId="8001" xr:uid="{00000000-0005-0000-0000-0000411F0000}"/>
    <cellStyle name="Normal 2 2 10 2 33 9" xfId="8002" xr:uid="{00000000-0005-0000-0000-0000421F0000}"/>
    <cellStyle name="Normal 2 2 10 2 34" xfId="8003" xr:uid="{00000000-0005-0000-0000-0000431F0000}"/>
    <cellStyle name="Normal 2 2 10 2 34 10" xfId="8004" xr:uid="{00000000-0005-0000-0000-0000441F0000}"/>
    <cellStyle name="Normal 2 2 10 2 34 2" xfId="8005" xr:uid="{00000000-0005-0000-0000-0000451F0000}"/>
    <cellStyle name="Normal 2 2 10 2 34 3" xfId="8006" xr:uid="{00000000-0005-0000-0000-0000461F0000}"/>
    <cellStyle name="Normal 2 2 10 2 34 4" xfId="8007" xr:uid="{00000000-0005-0000-0000-0000471F0000}"/>
    <cellStyle name="Normal 2 2 10 2 34 5" xfId="8008" xr:uid="{00000000-0005-0000-0000-0000481F0000}"/>
    <cellStyle name="Normal 2 2 10 2 34 6" xfId="8009" xr:uid="{00000000-0005-0000-0000-0000491F0000}"/>
    <cellStyle name="Normal 2 2 10 2 34 7" xfId="8010" xr:uid="{00000000-0005-0000-0000-00004A1F0000}"/>
    <cellStyle name="Normal 2 2 10 2 34 8" xfId="8011" xr:uid="{00000000-0005-0000-0000-00004B1F0000}"/>
    <cellStyle name="Normal 2 2 10 2 34 9" xfId="8012" xr:uid="{00000000-0005-0000-0000-00004C1F0000}"/>
    <cellStyle name="Normal 2 2 10 2 35" xfId="8013" xr:uid="{00000000-0005-0000-0000-00004D1F0000}"/>
    <cellStyle name="Normal 2 2 10 2 35 10" xfId="8014" xr:uid="{00000000-0005-0000-0000-00004E1F0000}"/>
    <cellStyle name="Normal 2 2 10 2 35 2" xfId="8015" xr:uid="{00000000-0005-0000-0000-00004F1F0000}"/>
    <cellStyle name="Normal 2 2 10 2 35 3" xfId="8016" xr:uid="{00000000-0005-0000-0000-0000501F0000}"/>
    <cellStyle name="Normal 2 2 10 2 35 4" xfId="8017" xr:uid="{00000000-0005-0000-0000-0000511F0000}"/>
    <cellStyle name="Normal 2 2 10 2 35 5" xfId="8018" xr:uid="{00000000-0005-0000-0000-0000521F0000}"/>
    <cellStyle name="Normal 2 2 10 2 35 6" xfId="8019" xr:uid="{00000000-0005-0000-0000-0000531F0000}"/>
    <cellStyle name="Normal 2 2 10 2 35 7" xfId="8020" xr:uid="{00000000-0005-0000-0000-0000541F0000}"/>
    <cellStyle name="Normal 2 2 10 2 35 8" xfId="8021" xr:uid="{00000000-0005-0000-0000-0000551F0000}"/>
    <cellStyle name="Normal 2 2 10 2 35 9" xfId="8022" xr:uid="{00000000-0005-0000-0000-0000561F0000}"/>
    <cellStyle name="Normal 2 2 10 2 36" xfId="8023" xr:uid="{00000000-0005-0000-0000-0000571F0000}"/>
    <cellStyle name="Normal 2 2 10 2 36 10" xfId="8024" xr:uid="{00000000-0005-0000-0000-0000581F0000}"/>
    <cellStyle name="Normal 2 2 10 2 36 2" xfId="8025" xr:uid="{00000000-0005-0000-0000-0000591F0000}"/>
    <cellStyle name="Normal 2 2 10 2 36 3" xfId="8026" xr:uid="{00000000-0005-0000-0000-00005A1F0000}"/>
    <cellStyle name="Normal 2 2 10 2 36 4" xfId="8027" xr:uid="{00000000-0005-0000-0000-00005B1F0000}"/>
    <cellStyle name="Normal 2 2 10 2 36 5" xfId="8028" xr:uid="{00000000-0005-0000-0000-00005C1F0000}"/>
    <cellStyle name="Normal 2 2 10 2 36 6" xfId="8029" xr:uid="{00000000-0005-0000-0000-00005D1F0000}"/>
    <cellStyle name="Normal 2 2 10 2 36 7" xfId="8030" xr:uid="{00000000-0005-0000-0000-00005E1F0000}"/>
    <cellStyle name="Normal 2 2 10 2 36 8" xfId="8031" xr:uid="{00000000-0005-0000-0000-00005F1F0000}"/>
    <cellStyle name="Normal 2 2 10 2 36 9" xfId="8032" xr:uid="{00000000-0005-0000-0000-0000601F0000}"/>
    <cellStyle name="Normal 2 2 10 2 37" xfId="8033" xr:uid="{00000000-0005-0000-0000-0000611F0000}"/>
    <cellStyle name="Normal 2 2 10 2 37 10" xfId="8034" xr:uid="{00000000-0005-0000-0000-0000621F0000}"/>
    <cellStyle name="Normal 2 2 10 2 37 2" xfId="8035" xr:uid="{00000000-0005-0000-0000-0000631F0000}"/>
    <cellStyle name="Normal 2 2 10 2 37 3" xfId="8036" xr:uid="{00000000-0005-0000-0000-0000641F0000}"/>
    <cellStyle name="Normal 2 2 10 2 37 4" xfId="8037" xr:uid="{00000000-0005-0000-0000-0000651F0000}"/>
    <cellStyle name="Normal 2 2 10 2 37 5" xfId="8038" xr:uid="{00000000-0005-0000-0000-0000661F0000}"/>
    <cellStyle name="Normal 2 2 10 2 37 6" xfId="8039" xr:uid="{00000000-0005-0000-0000-0000671F0000}"/>
    <cellStyle name="Normal 2 2 10 2 37 7" xfId="8040" xr:uid="{00000000-0005-0000-0000-0000681F0000}"/>
    <cellStyle name="Normal 2 2 10 2 37 8" xfId="8041" xr:uid="{00000000-0005-0000-0000-0000691F0000}"/>
    <cellStyle name="Normal 2 2 10 2 37 9" xfId="8042" xr:uid="{00000000-0005-0000-0000-00006A1F0000}"/>
    <cellStyle name="Normal 2 2 10 2 38" xfId="8043" xr:uid="{00000000-0005-0000-0000-00006B1F0000}"/>
    <cellStyle name="Normal 2 2 10 2 39" xfId="8044" xr:uid="{00000000-0005-0000-0000-00006C1F0000}"/>
    <cellStyle name="Normal 2 2 10 2 4" xfId="8045" xr:uid="{00000000-0005-0000-0000-00006D1F0000}"/>
    <cellStyle name="Normal 2 2 10 2 4 10" xfId="8046" xr:uid="{00000000-0005-0000-0000-00006E1F0000}"/>
    <cellStyle name="Normal 2 2 10 2 4 11" xfId="8047" xr:uid="{00000000-0005-0000-0000-00006F1F0000}"/>
    <cellStyle name="Normal 2 2 10 2 4 12" xfId="8048" xr:uid="{00000000-0005-0000-0000-0000701F0000}"/>
    <cellStyle name="Normal 2 2 10 2 4 13" xfId="8049" xr:uid="{00000000-0005-0000-0000-0000711F0000}"/>
    <cellStyle name="Normal 2 2 10 2 4 14" xfId="8050" xr:uid="{00000000-0005-0000-0000-0000721F0000}"/>
    <cellStyle name="Normal 2 2 10 2 4 2" xfId="8051" xr:uid="{00000000-0005-0000-0000-0000731F0000}"/>
    <cellStyle name="Normal 2 2 10 2 4 2 10" xfId="8052" xr:uid="{00000000-0005-0000-0000-0000741F0000}"/>
    <cellStyle name="Normal 2 2 10 2 4 2 2" xfId="8053" xr:uid="{00000000-0005-0000-0000-0000751F0000}"/>
    <cellStyle name="Normal 2 2 10 2 4 2 3" xfId="8054" xr:uid="{00000000-0005-0000-0000-0000761F0000}"/>
    <cellStyle name="Normal 2 2 10 2 4 2 4" xfId="8055" xr:uid="{00000000-0005-0000-0000-0000771F0000}"/>
    <cellStyle name="Normal 2 2 10 2 4 2 5" xfId="8056" xr:uid="{00000000-0005-0000-0000-0000781F0000}"/>
    <cellStyle name="Normal 2 2 10 2 4 2 6" xfId="8057" xr:uid="{00000000-0005-0000-0000-0000791F0000}"/>
    <cellStyle name="Normal 2 2 10 2 4 2 7" xfId="8058" xr:uid="{00000000-0005-0000-0000-00007A1F0000}"/>
    <cellStyle name="Normal 2 2 10 2 4 2 8" xfId="8059" xr:uid="{00000000-0005-0000-0000-00007B1F0000}"/>
    <cellStyle name="Normal 2 2 10 2 4 2 9" xfId="8060" xr:uid="{00000000-0005-0000-0000-00007C1F0000}"/>
    <cellStyle name="Normal 2 2 10 2 4 3" xfId="8061" xr:uid="{00000000-0005-0000-0000-00007D1F0000}"/>
    <cellStyle name="Normal 2 2 10 2 4 3 10" xfId="8062" xr:uid="{00000000-0005-0000-0000-00007E1F0000}"/>
    <cellStyle name="Normal 2 2 10 2 4 3 2" xfId="8063" xr:uid="{00000000-0005-0000-0000-00007F1F0000}"/>
    <cellStyle name="Normal 2 2 10 2 4 3 3" xfId="8064" xr:uid="{00000000-0005-0000-0000-0000801F0000}"/>
    <cellStyle name="Normal 2 2 10 2 4 3 4" xfId="8065" xr:uid="{00000000-0005-0000-0000-0000811F0000}"/>
    <cellStyle name="Normal 2 2 10 2 4 3 5" xfId="8066" xr:uid="{00000000-0005-0000-0000-0000821F0000}"/>
    <cellStyle name="Normal 2 2 10 2 4 3 6" xfId="8067" xr:uid="{00000000-0005-0000-0000-0000831F0000}"/>
    <cellStyle name="Normal 2 2 10 2 4 3 7" xfId="8068" xr:uid="{00000000-0005-0000-0000-0000841F0000}"/>
    <cellStyle name="Normal 2 2 10 2 4 3 8" xfId="8069" xr:uid="{00000000-0005-0000-0000-0000851F0000}"/>
    <cellStyle name="Normal 2 2 10 2 4 3 9" xfId="8070" xr:uid="{00000000-0005-0000-0000-0000861F0000}"/>
    <cellStyle name="Normal 2 2 10 2 4 4" xfId="8071" xr:uid="{00000000-0005-0000-0000-0000871F0000}"/>
    <cellStyle name="Normal 2 2 10 2 4 4 10" xfId="8072" xr:uid="{00000000-0005-0000-0000-0000881F0000}"/>
    <cellStyle name="Normal 2 2 10 2 4 4 2" xfId="8073" xr:uid="{00000000-0005-0000-0000-0000891F0000}"/>
    <cellStyle name="Normal 2 2 10 2 4 4 3" xfId="8074" xr:uid="{00000000-0005-0000-0000-00008A1F0000}"/>
    <cellStyle name="Normal 2 2 10 2 4 4 4" xfId="8075" xr:uid="{00000000-0005-0000-0000-00008B1F0000}"/>
    <cellStyle name="Normal 2 2 10 2 4 4 5" xfId="8076" xr:uid="{00000000-0005-0000-0000-00008C1F0000}"/>
    <cellStyle name="Normal 2 2 10 2 4 4 6" xfId="8077" xr:uid="{00000000-0005-0000-0000-00008D1F0000}"/>
    <cellStyle name="Normal 2 2 10 2 4 4 7" xfId="8078" xr:uid="{00000000-0005-0000-0000-00008E1F0000}"/>
    <cellStyle name="Normal 2 2 10 2 4 4 8" xfId="8079" xr:uid="{00000000-0005-0000-0000-00008F1F0000}"/>
    <cellStyle name="Normal 2 2 10 2 4 4 9" xfId="8080" xr:uid="{00000000-0005-0000-0000-0000901F0000}"/>
    <cellStyle name="Normal 2 2 10 2 4 5" xfId="8081" xr:uid="{00000000-0005-0000-0000-0000911F0000}"/>
    <cellStyle name="Normal 2 2 10 2 4 5 10" xfId="8082" xr:uid="{00000000-0005-0000-0000-0000921F0000}"/>
    <cellStyle name="Normal 2 2 10 2 4 5 2" xfId="8083" xr:uid="{00000000-0005-0000-0000-0000931F0000}"/>
    <cellStyle name="Normal 2 2 10 2 4 5 3" xfId="8084" xr:uid="{00000000-0005-0000-0000-0000941F0000}"/>
    <cellStyle name="Normal 2 2 10 2 4 5 4" xfId="8085" xr:uid="{00000000-0005-0000-0000-0000951F0000}"/>
    <cellStyle name="Normal 2 2 10 2 4 5 5" xfId="8086" xr:uid="{00000000-0005-0000-0000-0000961F0000}"/>
    <cellStyle name="Normal 2 2 10 2 4 5 6" xfId="8087" xr:uid="{00000000-0005-0000-0000-0000971F0000}"/>
    <cellStyle name="Normal 2 2 10 2 4 5 7" xfId="8088" xr:uid="{00000000-0005-0000-0000-0000981F0000}"/>
    <cellStyle name="Normal 2 2 10 2 4 5 8" xfId="8089" xr:uid="{00000000-0005-0000-0000-0000991F0000}"/>
    <cellStyle name="Normal 2 2 10 2 4 5 9" xfId="8090" xr:uid="{00000000-0005-0000-0000-00009A1F0000}"/>
    <cellStyle name="Normal 2 2 10 2 4 6" xfId="8091" xr:uid="{00000000-0005-0000-0000-00009B1F0000}"/>
    <cellStyle name="Normal 2 2 10 2 4 7" xfId="8092" xr:uid="{00000000-0005-0000-0000-00009C1F0000}"/>
    <cellStyle name="Normal 2 2 10 2 4 8" xfId="8093" xr:uid="{00000000-0005-0000-0000-00009D1F0000}"/>
    <cellStyle name="Normal 2 2 10 2 4 9" xfId="8094" xr:uid="{00000000-0005-0000-0000-00009E1F0000}"/>
    <cellStyle name="Normal 2 2 10 2 40" xfId="8095" xr:uid="{00000000-0005-0000-0000-00009F1F0000}"/>
    <cellStyle name="Normal 2 2 10 2 41" xfId="8096" xr:uid="{00000000-0005-0000-0000-0000A01F0000}"/>
    <cellStyle name="Normal 2 2 10 2 42" xfId="8097" xr:uid="{00000000-0005-0000-0000-0000A11F0000}"/>
    <cellStyle name="Normal 2 2 10 2 43" xfId="8098" xr:uid="{00000000-0005-0000-0000-0000A21F0000}"/>
    <cellStyle name="Normal 2 2 10 2 44" xfId="8099" xr:uid="{00000000-0005-0000-0000-0000A31F0000}"/>
    <cellStyle name="Normal 2 2 10 2 45" xfId="8100" xr:uid="{00000000-0005-0000-0000-0000A41F0000}"/>
    <cellStyle name="Normal 2 2 10 2 46" xfId="8101" xr:uid="{00000000-0005-0000-0000-0000A51F0000}"/>
    <cellStyle name="Normal 2 2 10 2 5" xfId="8102" xr:uid="{00000000-0005-0000-0000-0000A61F0000}"/>
    <cellStyle name="Normal 2 2 10 2 5 10" xfId="8103" xr:uid="{00000000-0005-0000-0000-0000A71F0000}"/>
    <cellStyle name="Normal 2 2 10 2 5 11" xfId="8104" xr:uid="{00000000-0005-0000-0000-0000A81F0000}"/>
    <cellStyle name="Normal 2 2 10 2 5 12" xfId="8105" xr:uid="{00000000-0005-0000-0000-0000A91F0000}"/>
    <cellStyle name="Normal 2 2 10 2 5 13" xfId="8106" xr:uid="{00000000-0005-0000-0000-0000AA1F0000}"/>
    <cellStyle name="Normal 2 2 10 2 5 14" xfId="8107" xr:uid="{00000000-0005-0000-0000-0000AB1F0000}"/>
    <cellStyle name="Normal 2 2 10 2 5 2" xfId="8108" xr:uid="{00000000-0005-0000-0000-0000AC1F0000}"/>
    <cellStyle name="Normal 2 2 10 2 5 2 10" xfId="8109" xr:uid="{00000000-0005-0000-0000-0000AD1F0000}"/>
    <cellStyle name="Normal 2 2 10 2 5 2 2" xfId="8110" xr:uid="{00000000-0005-0000-0000-0000AE1F0000}"/>
    <cellStyle name="Normal 2 2 10 2 5 2 3" xfId="8111" xr:uid="{00000000-0005-0000-0000-0000AF1F0000}"/>
    <cellStyle name="Normal 2 2 10 2 5 2 4" xfId="8112" xr:uid="{00000000-0005-0000-0000-0000B01F0000}"/>
    <cellStyle name="Normal 2 2 10 2 5 2 5" xfId="8113" xr:uid="{00000000-0005-0000-0000-0000B11F0000}"/>
    <cellStyle name="Normal 2 2 10 2 5 2 6" xfId="8114" xr:uid="{00000000-0005-0000-0000-0000B21F0000}"/>
    <cellStyle name="Normal 2 2 10 2 5 2 7" xfId="8115" xr:uid="{00000000-0005-0000-0000-0000B31F0000}"/>
    <cellStyle name="Normal 2 2 10 2 5 2 8" xfId="8116" xr:uid="{00000000-0005-0000-0000-0000B41F0000}"/>
    <cellStyle name="Normal 2 2 10 2 5 2 9" xfId="8117" xr:uid="{00000000-0005-0000-0000-0000B51F0000}"/>
    <cellStyle name="Normal 2 2 10 2 5 3" xfId="8118" xr:uid="{00000000-0005-0000-0000-0000B61F0000}"/>
    <cellStyle name="Normal 2 2 10 2 5 3 10" xfId="8119" xr:uid="{00000000-0005-0000-0000-0000B71F0000}"/>
    <cellStyle name="Normal 2 2 10 2 5 3 2" xfId="8120" xr:uid="{00000000-0005-0000-0000-0000B81F0000}"/>
    <cellStyle name="Normal 2 2 10 2 5 3 3" xfId="8121" xr:uid="{00000000-0005-0000-0000-0000B91F0000}"/>
    <cellStyle name="Normal 2 2 10 2 5 3 4" xfId="8122" xr:uid="{00000000-0005-0000-0000-0000BA1F0000}"/>
    <cellStyle name="Normal 2 2 10 2 5 3 5" xfId="8123" xr:uid="{00000000-0005-0000-0000-0000BB1F0000}"/>
    <cellStyle name="Normal 2 2 10 2 5 3 6" xfId="8124" xr:uid="{00000000-0005-0000-0000-0000BC1F0000}"/>
    <cellStyle name="Normal 2 2 10 2 5 3 7" xfId="8125" xr:uid="{00000000-0005-0000-0000-0000BD1F0000}"/>
    <cellStyle name="Normal 2 2 10 2 5 3 8" xfId="8126" xr:uid="{00000000-0005-0000-0000-0000BE1F0000}"/>
    <cellStyle name="Normal 2 2 10 2 5 3 9" xfId="8127" xr:uid="{00000000-0005-0000-0000-0000BF1F0000}"/>
    <cellStyle name="Normal 2 2 10 2 5 4" xfId="8128" xr:uid="{00000000-0005-0000-0000-0000C01F0000}"/>
    <cellStyle name="Normal 2 2 10 2 5 4 10" xfId="8129" xr:uid="{00000000-0005-0000-0000-0000C11F0000}"/>
    <cellStyle name="Normal 2 2 10 2 5 4 2" xfId="8130" xr:uid="{00000000-0005-0000-0000-0000C21F0000}"/>
    <cellStyle name="Normal 2 2 10 2 5 4 3" xfId="8131" xr:uid="{00000000-0005-0000-0000-0000C31F0000}"/>
    <cellStyle name="Normal 2 2 10 2 5 4 4" xfId="8132" xr:uid="{00000000-0005-0000-0000-0000C41F0000}"/>
    <cellStyle name="Normal 2 2 10 2 5 4 5" xfId="8133" xr:uid="{00000000-0005-0000-0000-0000C51F0000}"/>
    <cellStyle name="Normal 2 2 10 2 5 4 6" xfId="8134" xr:uid="{00000000-0005-0000-0000-0000C61F0000}"/>
    <cellStyle name="Normal 2 2 10 2 5 4 7" xfId="8135" xr:uid="{00000000-0005-0000-0000-0000C71F0000}"/>
    <cellStyle name="Normal 2 2 10 2 5 4 8" xfId="8136" xr:uid="{00000000-0005-0000-0000-0000C81F0000}"/>
    <cellStyle name="Normal 2 2 10 2 5 4 9" xfId="8137" xr:uid="{00000000-0005-0000-0000-0000C91F0000}"/>
    <cellStyle name="Normal 2 2 10 2 5 5" xfId="8138" xr:uid="{00000000-0005-0000-0000-0000CA1F0000}"/>
    <cellStyle name="Normal 2 2 10 2 5 5 10" xfId="8139" xr:uid="{00000000-0005-0000-0000-0000CB1F0000}"/>
    <cellStyle name="Normal 2 2 10 2 5 5 2" xfId="8140" xr:uid="{00000000-0005-0000-0000-0000CC1F0000}"/>
    <cellStyle name="Normal 2 2 10 2 5 5 3" xfId="8141" xr:uid="{00000000-0005-0000-0000-0000CD1F0000}"/>
    <cellStyle name="Normal 2 2 10 2 5 5 4" xfId="8142" xr:uid="{00000000-0005-0000-0000-0000CE1F0000}"/>
    <cellStyle name="Normal 2 2 10 2 5 5 5" xfId="8143" xr:uid="{00000000-0005-0000-0000-0000CF1F0000}"/>
    <cellStyle name="Normal 2 2 10 2 5 5 6" xfId="8144" xr:uid="{00000000-0005-0000-0000-0000D01F0000}"/>
    <cellStyle name="Normal 2 2 10 2 5 5 7" xfId="8145" xr:uid="{00000000-0005-0000-0000-0000D11F0000}"/>
    <cellStyle name="Normal 2 2 10 2 5 5 8" xfId="8146" xr:uid="{00000000-0005-0000-0000-0000D21F0000}"/>
    <cellStyle name="Normal 2 2 10 2 5 5 9" xfId="8147" xr:uid="{00000000-0005-0000-0000-0000D31F0000}"/>
    <cellStyle name="Normal 2 2 10 2 5 6" xfId="8148" xr:uid="{00000000-0005-0000-0000-0000D41F0000}"/>
    <cellStyle name="Normal 2 2 10 2 5 7" xfId="8149" xr:uid="{00000000-0005-0000-0000-0000D51F0000}"/>
    <cellStyle name="Normal 2 2 10 2 5 8" xfId="8150" xr:uid="{00000000-0005-0000-0000-0000D61F0000}"/>
    <cellStyle name="Normal 2 2 10 2 5 9" xfId="8151" xr:uid="{00000000-0005-0000-0000-0000D71F0000}"/>
    <cellStyle name="Normal 2 2 10 2 6" xfId="8152" xr:uid="{00000000-0005-0000-0000-0000D81F0000}"/>
    <cellStyle name="Normal 2 2 10 2 6 10" xfId="8153" xr:uid="{00000000-0005-0000-0000-0000D91F0000}"/>
    <cellStyle name="Normal 2 2 10 2 6 11" xfId="8154" xr:uid="{00000000-0005-0000-0000-0000DA1F0000}"/>
    <cellStyle name="Normal 2 2 10 2 6 12" xfId="8155" xr:uid="{00000000-0005-0000-0000-0000DB1F0000}"/>
    <cellStyle name="Normal 2 2 10 2 6 13" xfId="8156" xr:uid="{00000000-0005-0000-0000-0000DC1F0000}"/>
    <cellStyle name="Normal 2 2 10 2 6 14" xfId="8157" xr:uid="{00000000-0005-0000-0000-0000DD1F0000}"/>
    <cellStyle name="Normal 2 2 10 2 6 2" xfId="8158" xr:uid="{00000000-0005-0000-0000-0000DE1F0000}"/>
    <cellStyle name="Normal 2 2 10 2 6 2 10" xfId="8159" xr:uid="{00000000-0005-0000-0000-0000DF1F0000}"/>
    <cellStyle name="Normal 2 2 10 2 6 2 2" xfId="8160" xr:uid="{00000000-0005-0000-0000-0000E01F0000}"/>
    <cellStyle name="Normal 2 2 10 2 6 2 3" xfId="8161" xr:uid="{00000000-0005-0000-0000-0000E11F0000}"/>
    <cellStyle name="Normal 2 2 10 2 6 2 4" xfId="8162" xr:uid="{00000000-0005-0000-0000-0000E21F0000}"/>
    <cellStyle name="Normal 2 2 10 2 6 2 5" xfId="8163" xr:uid="{00000000-0005-0000-0000-0000E31F0000}"/>
    <cellStyle name="Normal 2 2 10 2 6 2 6" xfId="8164" xr:uid="{00000000-0005-0000-0000-0000E41F0000}"/>
    <cellStyle name="Normal 2 2 10 2 6 2 7" xfId="8165" xr:uid="{00000000-0005-0000-0000-0000E51F0000}"/>
    <cellStyle name="Normal 2 2 10 2 6 2 8" xfId="8166" xr:uid="{00000000-0005-0000-0000-0000E61F0000}"/>
    <cellStyle name="Normal 2 2 10 2 6 2 9" xfId="8167" xr:uid="{00000000-0005-0000-0000-0000E71F0000}"/>
    <cellStyle name="Normal 2 2 10 2 6 3" xfId="8168" xr:uid="{00000000-0005-0000-0000-0000E81F0000}"/>
    <cellStyle name="Normal 2 2 10 2 6 3 10" xfId="8169" xr:uid="{00000000-0005-0000-0000-0000E91F0000}"/>
    <cellStyle name="Normal 2 2 10 2 6 3 2" xfId="8170" xr:uid="{00000000-0005-0000-0000-0000EA1F0000}"/>
    <cellStyle name="Normal 2 2 10 2 6 3 3" xfId="8171" xr:uid="{00000000-0005-0000-0000-0000EB1F0000}"/>
    <cellStyle name="Normal 2 2 10 2 6 3 4" xfId="8172" xr:uid="{00000000-0005-0000-0000-0000EC1F0000}"/>
    <cellStyle name="Normal 2 2 10 2 6 3 5" xfId="8173" xr:uid="{00000000-0005-0000-0000-0000ED1F0000}"/>
    <cellStyle name="Normal 2 2 10 2 6 3 6" xfId="8174" xr:uid="{00000000-0005-0000-0000-0000EE1F0000}"/>
    <cellStyle name="Normal 2 2 10 2 6 3 7" xfId="8175" xr:uid="{00000000-0005-0000-0000-0000EF1F0000}"/>
    <cellStyle name="Normal 2 2 10 2 6 3 8" xfId="8176" xr:uid="{00000000-0005-0000-0000-0000F01F0000}"/>
    <cellStyle name="Normal 2 2 10 2 6 3 9" xfId="8177" xr:uid="{00000000-0005-0000-0000-0000F11F0000}"/>
    <cellStyle name="Normal 2 2 10 2 6 4" xfId="8178" xr:uid="{00000000-0005-0000-0000-0000F21F0000}"/>
    <cellStyle name="Normal 2 2 10 2 6 4 10" xfId="8179" xr:uid="{00000000-0005-0000-0000-0000F31F0000}"/>
    <cellStyle name="Normal 2 2 10 2 6 4 2" xfId="8180" xr:uid="{00000000-0005-0000-0000-0000F41F0000}"/>
    <cellStyle name="Normal 2 2 10 2 6 4 3" xfId="8181" xr:uid="{00000000-0005-0000-0000-0000F51F0000}"/>
    <cellStyle name="Normal 2 2 10 2 6 4 4" xfId="8182" xr:uid="{00000000-0005-0000-0000-0000F61F0000}"/>
    <cellStyle name="Normal 2 2 10 2 6 4 5" xfId="8183" xr:uid="{00000000-0005-0000-0000-0000F71F0000}"/>
    <cellStyle name="Normal 2 2 10 2 6 4 6" xfId="8184" xr:uid="{00000000-0005-0000-0000-0000F81F0000}"/>
    <cellStyle name="Normal 2 2 10 2 6 4 7" xfId="8185" xr:uid="{00000000-0005-0000-0000-0000F91F0000}"/>
    <cellStyle name="Normal 2 2 10 2 6 4 8" xfId="8186" xr:uid="{00000000-0005-0000-0000-0000FA1F0000}"/>
    <cellStyle name="Normal 2 2 10 2 6 4 9" xfId="8187" xr:uid="{00000000-0005-0000-0000-0000FB1F0000}"/>
    <cellStyle name="Normal 2 2 10 2 6 5" xfId="8188" xr:uid="{00000000-0005-0000-0000-0000FC1F0000}"/>
    <cellStyle name="Normal 2 2 10 2 6 5 10" xfId="8189" xr:uid="{00000000-0005-0000-0000-0000FD1F0000}"/>
    <cellStyle name="Normal 2 2 10 2 6 5 2" xfId="8190" xr:uid="{00000000-0005-0000-0000-0000FE1F0000}"/>
    <cellStyle name="Normal 2 2 10 2 6 5 3" xfId="8191" xr:uid="{00000000-0005-0000-0000-0000FF1F0000}"/>
    <cellStyle name="Normal 2 2 10 2 6 5 4" xfId="8192" xr:uid="{00000000-0005-0000-0000-000000200000}"/>
    <cellStyle name="Normal 2 2 10 2 6 5 5" xfId="8193" xr:uid="{00000000-0005-0000-0000-000001200000}"/>
    <cellStyle name="Normal 2 2 10 2 6 5 6" xfId="8194" xr:uid="{00000000-0005-0000-0000-000002200000}"/>
    <cellStyle name="Normal 2 2 10 2 6 5 7" xfId="8195" xr:uid="{00000000-0005-0000-0000-000003200000}"/>
    <cellStyle name="Normal 2 2 10 2 6 5 8" xfId="8196" xr:uid="{00000000-0005-0000-0000-000004200000}"/>
    <cellStyle name="Normal 2 2 10 2 6 5 9" xfId="8197" xr:uid="{00000000-0005-0000-0000-000005200000}"/>
    <cellStyle name="Normal 2 2 10 2 6 6" xfId="8198" xr:uid="{00000000-0005-0000-0000-000006200000}"/>
    <cellStyle name="Normal 2 2 10 2 6 7" xfId="8199" xr:uid="{00000000-0005-0000-0000-000007200000}"/>
    <cellStyle name="Normal 2 2 10 2 6 8" xfId="8200" xr:uid="{00000000-0005-0000-0000-000008200000}"/>
    <cellStyle name="Normal 2 2 10 2 6 9" xfId="8201" xr:uid="{00000000-0005-0000-0000-000009200000}"/>
    <cellStyle name="Normal 2 2 10 2 7" xfId="8202" xr:uid="{00000000-0005-0000-0000-00000A200000}"/>
    <cellStyle name="Normal 2 2 10 2 7 10" xfId="8203" xr:uid="{00000000-0005-0000-0000-00000B200000}"/>
    <cellStyle name="Normal 2 2 10 2 7 11" xfId="8204" xr:uid="{00000000-0005-0000-0000-00000C200000}"/>
    <cellStyle name="Normal 2 2 10 2 7 12" xfId="8205" xr:uid="{00000000-0005-0000-0000-00000D200000}"/>
    <cellStyle name="Normal 2 2 10 2 7 13" xfId="8206" xr:uid="{00000000-0005-0000-0000-00000E200000}"/>
    <cellStyle name="Normal 2 2 10 2 7 14" xfId="8207" xr:uid="{00000000-0005-0000-0000-00000F200000}"/>
    <cellStyle name="Normal 2 2 10 2 7 2" xfId="8208" xr:uid="{00000000-0005-0000-0000-000010200000}"/>
    <cellStyle name="Normal 2 2 10 2 7 2 10" xfId="8209" xr:uid="{00000000-0005-0000-0000-000011200000}"/>
    <cellStyle name="Normal 2 2 10 2 7 2 2" xfId="8210" xr:uid="{00000000-0005-0000-0000-000012200000}"/>
    <cellStyle name="Normal 2 2 10 2 7 2 3" xfId="8211" xr:uid="{00000000-0005-0000-0000-000013200000}"/>
    <cellStyle name="Normal 2 2 10 2 7 2 4" xfId="8212" xr:uid="{00000000-0005-0000-0000-000014200000}"/>
    <cellStyle name="Normal 2 2 10 2 7 2 5" xfId="8213" xr:uid="{00000000-0005-0000-0000-000015200000}"/>
    <cellStyle name="Normal 2 2 10 2 7 2 6" xfId="8214" xr:uid="{00000000-0005-0000-0000-000016200000}"/>
    <cellStyle name="Normal 2 2 10 2 7 2 7" xfId="8215" xr:uid="{00000000-0005-0000-0000-000017200000}"/>
    <cellStyle name="Normal 2 2 10 2 7 2 8" xfId="8216" xr:uid="{00000000-0005-0000-0000-000018200000}"/>
    <cellStyle name="Normal 2 2 10 2 7 2 9" xfId="8217" xr:uid="{00000000-0005-0000-0000-000019200000}"/>
    <cellStyle name="Normal 2 2 10 2 7 3" xfId="8218" xr:uid="{00000000-0005-0000-0000-00001A200000}"/>
    <cellStyle name="Normal 2 2 10 2 7 3 10" xfId="8219" xr:uid="{00000000-0005-0000-0000-00001B200000}"/>
    <cellStyle name="Normal 2 2 10 2 7 3 2" xfId="8220" xr:uid="{00000000-0005-0000-0000-00001C200000}"/>
    <cellStyle name="Normal 2 2 10 2 7 3 3" xfId="8221" xr:uid="{00000000-0005-0000-0000-00001D200000}"/>
    <cellStyle name="Normal 2 2 10 2 7 3 4" xfId="8222" xr:uid="{00000000-0005-0000-0000-00001E200000}"/>
    <cellStyle name="Normal 2 2 10 2 7 3 5" xfId="8223" xr:uid="{00000000-0005-0000-0000-00001F200000}"/>
    <cellStyle name="Normal 2 2 10 2 7 3 6" xfId="8224" xr:uid="{00000000-0005-0000-0000-000020200000}"/>
    <cellStyle name="Normal 2 2 10 2 7 3 7" xfId="8225" xr:uid="{00000000-0005-0000-0000-000021200000}"/>
    <cellStyle name="Normal 2 2 10 2 7 3 8" xfId="8226" xr:uid="{00000000-0005-0000-0000-000022200000}"/>
    <cellStyle name="Normal 2 2 10 2 7 3 9" xfId="8227" xr:uid="{00000000-0005-0000-0000-000023200000}"/>
    <cellStyle name="Normal 2 2 10 2 7 4" xfId="8228" xr:uid="{00000000-0005-0000-0000-000024200000}"/>
    <cellStyle name="Normal 2 2 10 2 7 4 10" xfId="8229" xr:uid="{00000000-0005-0000-0000-000025200000}"/>
    <cellStyle name="Normal 2 2 10 2 7 4 2" xfId="8230" xr:uid="{00000000-0005-0000-0000-000026200000}"/>
    <cellStyle name="Normal 2 2 10 2 7 4 3" xfId="8231" xr:uid="{00000000-0005-0000-0000-000027200000}"/>
    <cellStyle name="Normal 2 2 10 2 7 4 4" xfId="8232" xr:uid="{00000000-0005-0000-0000-000028200000}"/>
    <cellStyle name="Normal 2 2 10 2 7 4 5" xfId="8233" xr:uid="{00000000-0005-0000-0000-000029200000}"/>
    <cellStyle name="Normal 2 2 10 2 7 4 6" xfId="8234" xr:uid="{00000000-0005-0000-0000-00002A200000}"/>
    <cellStyle name="Normal 2 2 10 2 7 4 7" xfId="8235" xr:uid="{00000000-0005-0000-0000-00002B200000}"/>
    <cellStyle name="Normal 2 2 10 2 7 4 8" xfId="8236" xr:uid="{00000000-0005-0000-0000-00002C200000}"/>
    <cellStyle name="Normal 2 2 10 2 7 4 9" xfId="8237" xr:uid="{00000000-0005-0000-0000-00002D200000}"/>
    <cellStyle name="Normal 2 2 10 2 7 5" xfId="8238" xr:uid="{00000000-0005-0000-0000-00002E200000}"/>
    <cellStyle name="Normal 2 2 10 2 7 5 10" xfId="8239" xr:uid="{00000000-0005-0000-0000-00002F200000}"/>
    <cellStyle name="Normal 2 2 10 2 7 5 2" xfId="8240" xr:uid="{00000000-0005-0000-0000-000030200000}"/>
    <cellStyle name="Normal 2 2 10 2 7 5 3" xfId="8241" xr:uid="{00000000-0005-0000-0000-000031200000}"/>
    <cellStyle name="Normal 2 2 10 2 7 5 4" xfId="8242" xr:uid="{00000000-0005-0000-0000-000032200000}"/>
    <cellStyle name="Normal 2 2 10 2 7 5 5" xfId="8243" xr:uid="{00000000-0005-0000-0000-000033200000}"/>
    <cellStyle name="Normal 2 2 10 2 7 5 6" xfId="8244" xr:uid="{00000000-0005-0000-0000-000034200000}"/>
    <cellStyle name="Normal 2 2 10 2 7 5 7" xfId="8245" xr:uid="{00000000-0005-0000-0000-000035200000}"/>
    <cellStyle name="Normal 2 2 10 2 7 5 8" xfId="8246" xr:uid="{00000000-0005-0000-0000-000036200000}"/>
    <cellStyle name="Normal 2 2 10 2 7 5 9" xfId="8247" xr:uid="{00000000-0005-0000-0000-000037200000}"/>
    <cellStyle name="Normal 2 2 10 2 7 6" xfId="8248" xr:uid="{00000000-0005-0000-0000-000038200000}"/>
    <cellStyle name="Normal 2 2 10 2 7 7" xfId="8249" xr:uid="{00000000-0005-0000-0000-000039200000}"/>
    <cellStyle name="Normal 2 2 10 2 7 8" xfId="8250" xr:uid="{00000000-0005-0000-0000-00003A200000}"/>
    <cellStyle name="Normal 2 2 10 2 7 9" xfId="8251" xr:uid="{00000000-0005-0000-0000-00003B200000}"/>
    <cellStyle name="Normal 2 2 10 2 8" xfId="8252" xr:uid="{00000000-0005-0000-0000-00003C200000}"/>
    <cellStyle name="Normal 2 2 10 2 8 10" xfId="8253" xr:uid="{00000000-0005-0000-0000-00003D200000}"/>
    <cellStyle name="Normal 2 2 10 2 8 11" xfId="8254" xr:uid="{00000000-0005-0000-0000-00003E200000}"/>
    <cellStyle name="Normal 2 2 10 2 8 12" xfId="8255" xr:uid="{00000000-0005-0000-0000-00003F200000}"/>
    <cellStyle name="Normal 2 2 10 2 8 13" xfId="8256" xr:uid="{00000000-0005-0000-0000-000040200000}"/>
    <cellStyle name="Normal 2 2 10 2 8 14" xfId="8257" xr:uid="{00000000-0005-0000-0000-000041200000}"/>
    <cellStyle name="Normal 2 2 10 2 8 2" xfId="8258" xr:uid="{00000000-0005-0000-0000-000042200000}"/>
    <cellStyle name="Normal 2 2 10 2 8 2 10" xfId="8259" xr:uid="{00000000-0005-0000-0000-000043200000}"/>
    <cellStyle name="Normal 2 2 10 2 8 2 2" xfId="8260" xr:uid="{00000000-0005-0000-0000-000044200000}"/>
    <cellStyle name="Normal 2 2 10 2 8 2 3" xfId="8261" xr:uid="{00000000-0005-0000-0000-000045200000}"/>
    <cellStyle name="Normal 2 2 10 2 8 2 4" xfId="8262" xr:uid="{00000000-0005-0000-0000-000046200000}"/>
    <cellStyle name="Normal 2 2 10 2 8 2 5" xfId="8263" xr:uid="{00000000-0005-0000-0000-000047200000}"/>
    <cellStyle name="Normal 2 2 10 2 8 2 6" xfId="8264" xr:uid="{00000000-0005-0000-0000-000048200000}"/>
    <cellStyle name="Normal 2 2 10 2 8 2 7" xfId="8265" xr:uid="{00000000-0005-0000-0000-000049200000}"/>
    <cellStyle name="Normal 2 2 10 2 8 2 8" xfId="8266" xr:uid="{00000000-0005-0000-0000-00004A200000}"/>
    <cellStyle name="Normal 2 2 10 2 8 2 9" xfId="8267" xr:uid="{00000000-0005-0000-0000-00004B200000}"/>
    <cellStyle name="Normal 2 2 10 2 8 3" xfId="8268" xr:uid="{00000000-0005-0000-0000-00004C200000}"/>
    <cellStyle name="Normal 2 2 10 2 8 3 10" xfId="8269" xr:uid="{00000000-0005-0000-0000-00004D200000}"/>
    <cellStyle name="Normal 2 2 10 2 8 3 2" xfId="8270" xr:uid="{00000000-0005-0000-0000-00004E200000}"/>
    <cellStyle name="Normal 2 2 10 2 8 3 3" xfId="8271" xr:uid="{00000000-0005-0000-0000-00004F200000}"/>
    <cellStyle name="Normal 2 2 10 2 8 3 4" xfId="8272" xr:uid="{00000000-0005-0000-0000-000050200000}"/>
    <cellStyle name="Normal 2 2 10 2 8 3 5" xfId="8273" xr:uid="{00000000-0005-0000-0000-000051200000}"/>
    <cellStyle name="Normal 2 2 10 2 8 3 6" xfId="8274" xr:uid="{00000000-0005-0000-0000-000052200000}"/>
    <cellStyle name="Normal 2 2 10 2 8 3 7" xfId="8275" xr:uid="{00000000-0005-0000-0000-000053200000}"/>
    <cellStyle name="Normal 2 2 10 2 8 3 8" xfId="8276" xr:uid="{00000000-0005-0000-0000-000054200000}"/>
    <cellStyle name="Normal 2 2 10 2 8 3 9" xfId="8277" xr:uid="{00000000-0005-0000-0000-000055200000}"/>
    <cellStyle name="Normal 2 2 10 2 8 4" xfId="8278" xr:uid="{00000000-0005-0000-0000-000056200000}"/>
    <cellStyle name="Normal 2 2 10 2 8 4 10" xfId="8279" xr:uid="{00000000-0005-0000-0000-000057200000}"/>
    <cellStyle name="Normal 2 2 10 2 8 4 2" xfId="8280" xr:uid="{00000000-0005-0000-0000-000058200000}"/>
    <cellStyle name="Normal 2 2 10 2 8 4 3" xfId="8281" xr:uid="{00000000-0005-0000-0000-000059200000}"/>
    <cellStyle name="Normal 2 2 10 2 8 4 4" xfId="8282" xr:uid="{00000000-0005-0000-0000-00005A200000}"/>
    <cellStyle name="Normal 2 2 10 2 8 4 5" xfId="8283" xr:uid="{00000000-0005-0000-0000-00005B200000}"/>
    <cellStyle name="Normal 2 2 10 2 8 4 6" xfId="8284" xr:uid="{00000000-0005-0000-0000-00005C200000}"/>
    <cellStyle name="Normal 2 2 10 2 8 4 7" xfId="8285" xr:uid="{00000000-0005-0000-0000-00005D200000}"/>
    <cellStyle name="Normal 2 2 10 2 8 4 8" xfId="8286" xr:uid="{00000000-0005-0000-0000-00005E200000}"/>
    <cellStyle name="Normal 2 2 10 2 8 4 9" xfId="8287" xr:uid="{00000000-0005-0000-0000-00005F200000}"/>
    <cellStyle name="Normal 2 2 10 2 8 5" xfId="8288" xr:uid="{00000000-0005-0000-0000-000060200000}"/>
    <cellStyle name="Normal 2 2 10 2 8 5 10" xfId="8289" xr:uid="{00000000-0005-0000-0000-000061200000}"/>
    <cellStyle name="Normal 2 2 10 2 8 5 2" xfId="8290" xr:uid="{00000000-0005-0000-0000-000062200000}"/>
    <cellStyle name="Normal 2 2 10 2 8 5 3" xfId="8291" xr:uid="{00000000-0005-0000-0000-000063200000}"/>
    <cellStyle name="Normal 2 2 10 2 8 5 4" xfId="8292" xr:uid="{00000000-0005-0000-0000-000064200000}"/>
    <cellStyle name="Normal 2 2 10 2 8 5 5" xfId="8293" xr:uid="{00000000-0005-0000-0000-000065200000}"/>
    <cellStyle name="Normal 2 2 10 2 8 5 6" xfId="8294" xr:uid="{00000000-0005-0000-0000-000066200000}"/>
    <cellStyle name="Normal 2 2 10 2 8 5 7" xfId="8295" xr:uid="{00000000-0005-0000-0000-000067200000}"/>
    <cellStyle name="Normal 2 2 10 2 8 5 8" xfId="8296" xr:uid="{00000000-0005-0000-0000-000068200000}"/>
    <cellStyle name="Normal 2 2 10 2 8 5 9" xfId="8297" xr:uid="{00000000-0005-0000-0000-000069200000}"/>
    <cellStyle name="Normal 2 2 10 2 8 6" xfId="8298" xr:uid="{00000000-0005-0000-0000-00006A200000}"/>
    <cellStyle name="Normal 2 2 10 2 8 7" xfId="8299" xr:uid="{00000000-0005-0000-0000-00006B200000}"/>
    <cellStyle name="Normal 2 2 10 2 8 8" xfId="8300" xr:uid="{00000000-0005-0000-0000-00006C200000}"/>
    <cellStyle name="Normal 2 2 10 2 8 9" xfId="8301" xr:uid="{00000000-0005-0000-0000-00006D200000}"/>
    <cellStyle name="Normal 2 2 10 2 9" xfId="8302" xr:uid="{00000000-0005-0000-0000-00006E200000}"/>
    <cellStyle name="Normal 2 2 10 2 9 10" xfId="8303" xr:uid="{00000000-0005-0000-0000-00006F200000}"/>
    <cellStyle name="Normal 2 2 10 2 9 11" xfId="8304" xr:uid="{00000000-0005-0000-0000-000070200000}"/>
    <cellStyle name="Normal 2 2 10 2 9 12" xfId="8305" xr:uid="{00000000-0005-0000-0000-000071200000}"/>
    <cellStyle name="Normal 2 2 10 2 9 13" xfId="8306" xr:uid="{00000000-0005-0000-0000-000072200000}"/>
    <cellStyle name="Normal 2 2 10 2 9 14" xfId="8307" xr:uid="{00000000-0005-0000-0000-000073200000}"/>
    <cellStyle name="Normal 2 2 10 2 9 2" xfId="8308" xr:uid="{00000000-0005-0000-0000-000074200000}"/>
    <cellStyle name="Normal 2 2 10 2 9 2 10" xfId="8309" xr:uid="{00000000-0005-0000-0000-000075200000}"/>
    <cellStyle name="Normal 2 2 10 2 9 2 2" xfId="8310" xr:uid="{00000000-0005-0000-0000-000076200000}"/>
    <cellStyle name="Normal 2 2 10 2 9 2 3" xfId="8311" xr:uid="{00000000-0005-0000-0000-000077200000}"/>
    <cellStyle name="Normal 2 2 10 2 9 2 4" xfId="8312" xr:uid="{00000000-0005-0000-0000-000078200000}"/>
    <cellStyle name="Normal 2 2 10 2 9 2 5" xfId="8313" xr:uid="{00000000-0005-0000-0000-000079200000}"/>
    <cellStyle name="Normal 2 2 10 2 9 2 6" xfId="8314" xr:uid="{00000000-0005-0000-0000-00007A200000}"/>
    <cellStyle name="Normal 2 2 10 2 9 2 7" xfId="8315" xr:uid="{00000000-0005-0000-0000-00007B200000}"/>
    <cellStyle name="Normal 2 2 10 2 9 2 8" xfId="8316" xr:uid="{00000000-0005-0000-0000-00007C200000}"/>
    <cellStyle name="Normal 2 2 10 2 9 2 9" xfId="8317" xr:uid="{00000000-0005-0000-0000-00007D200000}"/>
    <cellStyle name="Normal 2 2 10 2 9 3" xfId="8318" xr:uid="{00000000-0005-0000-0000-00007E200000}"/>
    <cellStyle name="Normal 2 2 10 2 9 3 10" xfId="8319" xr:uid="{00000000-0005-0000-0000-00007F200000}"/>
    <cellStyle name="Normal 2 2 10 2 9 3 2" xfId="8320" xr:uid="{00000000-0005-0000-0000-000080200000}"/>
    <cellStyle name="Normal 2 2 10 2 9 3 3" xfId="8321" xr:uid="{00000000-0005-0000-0000-000081200000}"/>
    <cellStyle name="Normal 2 2 10 2 9 3 4" xfId="8322" xr:uid="{00000000-0005-0000-0000-000082200000}"/>
    <cellStyle name="Normal 2 2 10 2 9 3 5" xfId="8323" xr:uid="{00000000-0005-0000-0000-000083200000}"/>
    <cellStyle name="Normal 2 2 10 2 9 3 6" xfId="8324" xr:uid="{00000000-0005-0000-0000-000084200000}"/>
    <cellStyle name="Normal 2 2 10 2 9 3 7" xfId="8325" xr:uid="{00000000-0005-0000-0000-000085200000}"/>
    <cellStyle name="Normal 2 2 10 2 9 3 8" xfId="8326" xr:uid="{00000000-0005-0000-0000-000086200000}"/>
    <cellStyle name="Normal 2 2 10 2 9 3 9" xfId="8327" xr:uid="{00000000-0005-0000-0000-000087200000}"/>
    <cellStyle name="Normal 2 2 10 2 9 4" xfId="8328" xr:uid="{00000000-0005-0000-0000-000088200000}"/>
    <cellStyle name="Normal 2 2 10 2 9 4 10" xfId="8329" xr:uid="{00000000-0005-0000-0000-000089200000}"/>
    <cellStyle name="Normal 2 2 10 2 9 4 2" xfId="8330" xr:uid="{00000000-0005-0000-0000-00008A200000}"/>
    <cellStyle name="Normal 2 2 10 2 9 4 3" xfId="8331" xr:uid="{00000000-0005-0000-0000-00008B200000}"/>
    <cellStyle name="Normal 2 2 10 2 9 4 4" xfId="8332" xr:uid="{00000000-0005-0000-0000-00008C200000}"/>
    <cellStyle name="Normal 2 2 10 2 9 4 5" xfId="8333" xr:uid="{00000000-0005-0000-0000-00008D200000}"/>
    <cellStyle name="Normal 2 2 10 2 9 4 6" xfId="8334" xr:uid="{00000000-0005-0000-0000-00008E200000}"/>
    <cellStyle name="Normal 2 2 10 2 9 4 7" xfId="8335" xr:uid="{00000000-0005-0000-0000-00008F200000}"/>
    <cellStyle name="Normal 2 2 10 2 9 4 8" xfId="8336" xr:uid="{00000000-0005-0000-0000-000090200000}"/>
    <cellStyle name="Normal 2 2 10 2 9 4 9" xfId="8337" xr:uid="{00000000-0005-0000-0000-000091200000}"/>
    <cellStyle name="Normal 2 2 10 2 9 5" xfId="8338" xr:uid="{00000000-0005-0000-0000-000092200000}"/>
    <cellStyle name="Normal 2 2 10 2 9 5 10" xfId="8339" xr:uid="{00000000-0005-0000-0000-000093200000}"/>
    <cellStyle name="Normal 2 2 10 2 9 5 2" xfId="8340" xr:uid="{00000000-0005-0000-0000-000094200000}"/>
    <cellStyle name="Normal 2 2 10 2 9 5 3" xfId="8341" xr:uid="{00000000-0005-0000-0000-000095200000}"/>
    <cellStyle name="Normal 2 2 10 2 9 5 4" xfId="8342" xr:uid="{00000000-0005-0000-0000-000096200000}"/>
    <cellStyle name="Normal 2 2 10 2 9 5 5" xfId="8343" xr:uid="{00000000-0005-0000-0000-000097200000}"/>
    <cellStyle name="Normal 2 2 10 2 9 5 6" xfId="8344" xr:uid="{00000000-0005-0000-0000-000098200000}"/>
    <cellStyle name="Normal 2 2 10 2 9 5 7" xfId="8345" xr:uid="{00000000-0005-0000-0000-000099200000}"/>
    <cellStyle name="Normal 2 2 10 2 9 5 8" xfId="8346" xr:uid="{00000000-0005-0000-0000-00009A200000}"/>
    <cellStyle name="Normal 2 2 10 2 9 5 9" xfId="8347" xr:uid="{00000000-0005-0000-0000-00009B200000}"/>
    <cellStyle name="Normal 2 2 10 2 9 6" xfId="8348" xr:uid="{00000000-0005-0000-0000-00009C200000}"/>
    <cellStyle name="Normal 2 2 10 2 9 7" xfId="8349" xr:uid="{00000000-0005-0000-0000-00009D200000}"/>
    <cellStyle name="Normal 2 2 10 2 9 8" xfId="8350" xr:uid="{00000000-0005-0000-0000-00009E200000}"/>
    <cellStyle name="Normal 2 2 10 2 9 9" xfId="8351" xr:uid="{00000000-0005-0000-0000-00009F200000}"/>
    <cellStyle name="Normal 2 2 10 20" xfId="8352" xr:uid="{00000000-0005-0000-0000-0000A0200000}"/>
    <cellStyle name="Normal 2 2 10 20 10" xfId="8353" xr:uid="{00000000-0005-0000-0000-0000A1200000}"/>
    <cellStyle name="Normal 2 2 10 20 11" xfId="8354" xr:uid="{00000000-0005-0000-0000-0000A2200000}"/>
    <cellStyle name="Normal 2 2 10 20 12" xfId="8355" xr:uid="{00000000-0005-0000-0000-0000A3200000}"/>
    <cellStyle name="Normal 2 2 10 20 13" xfId="8356" xr:uid="{00000000-0005-0000-0000-0000A4200000}"/>
    <cellStyle name="Normal 2 2 10 20 14" xfId="8357" xr:uid="{00000000-0005-0000-0000-0000A5200000}"/>
    <cellStyle name="Normal 2 2 10 20 2" xfId="8358" xr:uid="{00000000-0005-0000-0000-0000A6200000}"/>
    <cellStyle name="Normal 2 2 10 20 2 10" xfId="8359" xr:uid="{00000000-0005-0000-0000-0000A7200000}"/>
    <cellStyle name="Normal 2 2 10 20 2 2" xfId="8360" xr:uid="{00000000-0005-0000-0000-0000A8200000}"/>
    <cellStyle name="Normal 2 2 10 20 2 3" xfId="8361" xr:uid="{00000000-0005-0000-0000-0000A9200000}"/>
    <cellStyle name="Normal 2 2 10 20 2 4" xfId="8362" xr:uid="{00000000-0005-0000-0000-0000AA200000}"/>
    <cellStyle name="Normal 2 2 10 20 2 5" xfId="8363" xr:uid="{00000000-0005-0000-0000-0000AB200000}"/>
    <cellStyle name="Normal 2 2 10 20 2 6" xfId="8364" xr:uid="{00000000-0005-0000-0000-0000AC200000}"/>
    <cellStyle name="Normal 2 2 10 20 2 7" xfId="8365" xr:uid="{00000000-0005-0000-0000-0000AD200000}"/>
    <cellStyle name="Normal 2 2 10 20 2 8" xfId="8366" xr:uid="{00000000-0005-0000-0000-0000AE200000}"/>
    <cellStyle name="Normal 2 2 10 20 2 9" xfId="8367" xr:uid="{00000000-0005-0000-0000-0000AF200000}"/>
    <cellStyle name="Normal 2 2 10 20 3" xfId="8368" xr:uid="{00000000-0005-0000-0000-0000B0200000}"/>
    <cellStyle name="Normal 2 2 10 20 3 10" xfId="8369" xr:uid="{00000000-0005-0000-0000-0000B1200000}"/>
    <cellStyle name="Normal 2 2 10 20 3 2" xfId="8370" xr:uid="{00000000-0005-0000-0000-0000B2200000}"/>
    <cellStyle name="Normal 2 2 10 20 3 3" xfId="8371" xr:uid="{00000000-0005-0000-0000-0000B3200000}"/>
    <cellStyle name="Normal 2 2 10 20 3 4" xfId="8372" xr:uid="{00000000-0005-0000-0000-0000B4200000}"/>
    <cellStyle name="Normal 2 2 10 20 3 5" xfId="8373" xr:uid="{00000000-0005-0000-0000-0000B5200000}"/>
    <cellStyle name="Normal 2 2 10 20 3 6" xfId="8374" xr:uid="{00000000-0005-0000-0000-0000B6200000}"/>
    <cellStyle name="Normal 2 2 10 20 3 7" xfId="8375" xr:uid="{00000000-0005-0000-0000-0000B7200000}"/>
    <cellStyle name="Normal 2 2 10 20 3 8" xfId="8376" xr:uid="{00000000-0005-0000-0000-0000B8200000}"/>
    <cellStyle name="Normal 2 2 10 20 3 9" xfId="8377" xr:uid="{00000000-0005-0000-0000-0000B9200000}"/>
    <cellStyle name="Normal 2 2 10 20 4" xfId="8378" xr:uid="{00000000-0005-0000-0000-0000BA200000}"/>
    <cellStyle name="Normal 2 2 10 20 4 10" xfId="8379" xr:uid="{00000000-0005-0000-0000-0000BB200000}"/>
    <cellStyle name="Normal 2 2 10 20 4 2" xfId="8380" xr:uid="{00000000-0005-0000-0000-0000BC200000}"/>
    <cellStyle name="Normal 2 2 10 20 4 3" xfId="8381" xr:uid="{00000000-0005-0000-0000-0000BD200000}"/>
    <cellStyle name="Normal 2 2 10 20 4 4" xfId="8382" xr:uid="{00000000-0005-0000-0000-0000BE200000}"/>
    <cellStyle name="Normal 2 2 10 20 4 5" xfId="8383" xr:uid="{00000000-0005-0000-0000-0000BF200000}"/>
    <cellStyle name="Normal 2 2 10 20 4 6" xfId="8384" xr:uid="{00000000-0005-0000-0000-0000C0200000}"/>
    <cellStyle name="Normal 2 2 10 20 4 7" xfId="8385" xr:uid="{00000000-0005-0000-0000-0000C1200000}"/>
    <cellStyle name="Normal 2 2 10 20 4 8" xfId="8386" xr:uid="{00000000-0005-0000-0000-0000C2200000}"/>
    <cellStyle name="Normal 2 2 10 20 4 9" xfId="8387" xr:uid="{00000000-0005-0000-0000-0000C3200000}"/>
    <cellStyle name="Normal 2 2 10 20 5" xfId="8388" xr:uid="{00000000-0005-0000-0000-0000C4200000}"/>
    <cellStyle name="Normal 2 2 10 20 5 10" xfId="8389" xr:uid="{00000000-0005-0000-0000-0000C5200000}"/>
    <cellStyle name="Normal 2 2 10 20 5 2" xfId="8390" xr:uid="{00000000-0005-0000-0000-0000C6200000}"/>
    <cellStyle name="Normal 2 2 10 20 5 3" xfId="8391" xr:uid="{00000000-0005-0000-0000-0000C7200000}"/>
    <cellStyle name="Normal 2 2 10 20 5 4" xfId="8392" xr:uid="{00000000-0005-0000-0000-0000C8200000}"/>
    <cellStyle name="Normal 2 2 10 20 5 5" xfId="8393" xr:uid="{00000000-0005-0000-0000-0000C9200000}"/>
    <cellStyle name="Normal 2 2 10 20 5 6" xfId="8394" xr:uid="{00000000-0005-0000-0000-0000CA200000}"/>
    <cellStyle name="Normal 2 2 10 20 5 7" xfId="8395" xr:uid="{00000000-0005-0000-0000-0000CB200000}"/>
    <cellStyle name="Normal 2 2 10 20 5 8" xfId="8396" xr:uid="{00000000-0005-0000-0000-0000CC200000}"/>
    <cellStyle name="Normal 2 2 10 20 5 9" xfId="8397" xr:uid="{00000000-0005-0000-0000-0000CD200000}"/>
    <cellStyle name="Normal 2 2 10 20 6" xfId="8398" xr:uid="{00000000-0005-0000-0000-0000CE200000}"/>
    <cellStyle name="Normal 2 2 10 20 7" xfId="8399" xr:uid="{00000000-0005-0000-0000-0000CF200000}"/>
    <cellStyle name="Normal 2 2 10 20 8" xfId="8400" xr:uid="{00000000-0005-0000-0000-0000D0200000}"/>
    <cellStyle name="Normal 2 2 10 20 9" xfId="8401" xr:uid="{00000000-0005-0000-0000-0000D1200000}"/>
    <cellStyle name="Normal 2 2 10 21" xfId="8402" xr:uid="{00000000-0005-0000-0000-0000D2200000}"/>
    <cellStyle name="Normal 2 2 10 21 10" xfId="8403" xr:uid="{00000000-0005-0000-0000-0000D3200000}"/>
    <cellStyle name="Normal 2 2 10 21 11" xfId="8404" xr:uid="{00000000-0005-0000-0000-0000D4200000}"/>
    <cellStyle name="Normal 2 2 10 21 12" xfId="8405" xr:uid="{00000000-0005-0000-0000-0000D5200000}"/>
    <cellStyle name="Normal 2 2 10 21 13" xfId="8406" xr:uid="{00000000-0005-0000-0000-0000D6200000}"/>
    <cellStyle name="Normal 2 2 10 21 14" xfId="8407" xr:uid="{00000000-0005-0000-0000-0000D7200000}"/>
    <cellStyle name="Normal 2 2 10 21 2" xfId="8408" xr:uid="{00000000-0005-0000-0000-0000D8200000}"/>
    <cellStyle name="Normal 2 2 10 21 2 10" xfId="8409" xr:uid="{00000000-0005-0000-0000-0000D9200000}"/>
    <cellStyle name="Normal 2 2 10 21 2 2" xfId="8410" xr:uid="{00000000-0005-0000-0000-0000DA200000}"/>
    <cellStyle name="Normal 2 2 10 21 2 3" xfId="8411" xr:uid="{00000000-0005-0000-0000-0000DB200000}"/>
    <cellStyle name="Normal 2 2 10 21 2 4" xfId="8412" xr:uid="{00000000-0005-0000-0000-0000DC200000}"/>
    <cellStyle name="Normal 2 2 10 21 2 5" xfId="8413" xr:uid="{00000000-0005-0000-0000-0000DD200000}"/>
    <cellStyle name="Normal 2 2 10 21 2 6" xfId="8414" xr:uid="{00000000-0005-0000-0000-0000DE200000}"/>
    <cellStyle name="Normal 2 2 10 21 2 7" xfId="8415" xr:uid="{00000000-0005-0000-0000-0000DF200000}"/>
    <cellStyle name="Normal 2 2 10 21 2 8" xfId="8416" xr:uid="{00000000-0005-0000-0000-0000E0200000}"/>
    <cellStyle name="Normal 2 2 10 21 2 9" xfId="8417" xr:uid="{00000000-0005-0000-0000-0000E1200000}"/>
    <cellStyle name="Normal 2 2 10 21 3" xfId="8418" xr:uid="{00000000-0005-0000-0000-0000E2200000}"/>
    <cellStyle name="Normal 2 2 10 21 3 10" xfId="8419" xr:uid="{00000000-0005-0000-0000-0000E3200000}"/>
    <cellStyle name="Normal 2 2 10 21 3 2" xfId="8420" xr:uid="{00000000-0005-0000-0000-0000E4200000}"/>
    <cellStyle name="Normal 2 2 10 21 3 3" xfId="8421" xr:uid="{00000000-0005-0000-0000-0000E5200000}"/>
    <cellStyle name="Normal 2 2 10 21 3 4" xfId="8422" xr:uid="{00000000-0005-0000-0000-0000E6200000}"/>
    <cellStyle name="Normal 2 2 10 21 3 5" xfId="8423" xr:uid="{00000000-0005-0000-0000-0000E7200000}"/>
    <cellStyle name="Normal 2 2 10 21 3 6" xfId="8424" xr:uid="{00000000-0005-0000-0000-0000E8200000}"/>
    <cellStyle name="Normal 2 2 10 21 3 7" xfId="8425" xr:uid="{00000000-0005-0000-0000-0000E9200000}"/>
    <cellStyle name="Normal 2 2 10 21 3 8" xfId="8426" xr:uid="{00000000-0005-0000-0000-0000EA200000}"/>
    <cellStyle name="Normal 2 2 10 21 3 9" xfId="8427" xr:uid="{00000000-0005-0000-0000-0000EB200000}"/>
    <cellStyle name="Normal 2 2 10 21 4" xfId="8428" xr:uid="{00000000-0005-0000-0000-0000EC200000}"/>
    <cellStyle name="Normal 2 2 10 21 4 10" xfId="8429" xr:uid="{00000000-0005-0000-0000-0000ED200000}"/>
    <cellStyle name="Normal 2 2 10 21 4 2" xfId="8430" xr:uid="{00000000-0005-0000-0000-0000EE200000}"/>
    <cellStyle name="Normal 2 2 10 21 4 3" xfId="8431" xr:uid="{00000000-0005-0000-0000-0000EF200000}"/>
    <cellStyle name="Normal 2 2 10 21 4 4" xfId="8432" xr:uid="{00000000-0005-0000-0000-0000F0200000}"/>
    <cellStyle name="Normal 2 2 10 21 4 5" xfId="8433" xr:uid="{00000000-0005-0000-0000-0000F1200000}"/>
    <cellStyle name="Normal 2 2 10 21 4 6" xfId="8434" xr:uid="{00000000-0005-0000-0000-0000F2200000}"/>
    <cellStyle name="Normal 2 2 10 21 4 7" xfId="8435" xr:uid="{00000000-0005-0000-0000-0000F3200000}"/>
    <cellStyle name="Normal 2 2 10 21 4 8" xfId="8436" xr:uid="{00000000-0005-0000-0000-0000F4200000}"/>
    <cellStyle name="Normal 2 2 10 21 4 9" xfId="8437" xr:uid="{00000000-0005-0000-0000-0000F5200000}"/>
    <cellStyle name="Normal 2 2 10 21 5" xfId="8438" xr:uid="{00000000-0005-0000-0000-0000F6200000}"/>
    <cellStyle name="Normal 2 2 10 21 5 10" xfId="8439" xr:uid="{00000000-0005-0000-0000-0000F7200000}"/>
    <cellStyle name="Normal 2 2 10 21 5 2" xfId="8440" xr:uid="{00000000-0005-0000-0000-0000F8200000}"/>
    <cellStyle name="Normal 2 2 10 21 5 3" xfId="8441" xr:uid="{00000000-0005-0000-0000-0000F9200000}"/>
    <cellStyle name="Normal 2 2 10 21 5 4" xfId="8442" xr:uid="{00000000-0005-0000-0000-0000FA200000}"/>
    <cellStyle name="Normal 2 2 10 21 5 5" xfId="8443" xr:uid="{00000000-0005-0000-0000-0000FB200000}"/>
    <cellStyle name="Normal 2 2 10 21 5 6" xfId="8444" xr:uid="{00000000-0005-0000-0000-0000FC200000}"/>
    <cellStyle name="Normal 2 2 10 21 5 7" xfId="8445" xr:uid="{00000000-0005-0000-0000-0000FD200000}"/>
    <cellStyle name="Normal 2 2 10 21 5 8" xfId="8446" xr:uid="{00000000-0005-0000-0000-0000FE200000}"/>
    <cellStyle name="Normal 2 2 10 21 5 9" xfId="8447" xr:uid="{00000000-0005-0000-0000-0000FF200000}"/>
    <cellStyle name="Normal 2 2 10 21 6" xfId="8448" xr:uid="{00000000-0005-0000-0000-000000210000}"/>
    <cellStyle name="Normal 2 2 10 21 7" xfId="8449" xr:uid="{00000000-0005-0000-0000-000001210000}"/>
    <cellStyle name="Normal 2 2 10 21 8" xfId="8450" xr:uid="{00000000-0005-0000-0000-000002210000}"/>
    <cellStyle name="Normal 2 2 10 21 9" xfId="8451" xr:uid="{00000000-0005-0000-0000-000003210000}"/>
    <cellStyle name="Normal 2 2 10 22" xfId="8452" xr:uid="{00000000-0005-0000-0000-000004210000}"/>
    <cellStyle name="Normal 2 2 10 22 10" xfId="8453" xr:uid="{00000000-0005-0000-0000-000005210000}"/>
    <cellStyle name="Normal 2 2 10 22 11" xfId="8454" xr:uid="{00000000-0005-0000-0000-000006210000}"/>
    <cellStyle name="Normal 2 2 10 22 12" xfId="8455" xr:uid="{00000000-0005-0000-0000-000007210000}"/>
    <cellStyle name="Normal 2 2 10 22 13" xfId="8456" xr:uid="{00000000-0005-0000-0000-000008210000}"/>
    <cellStyle name="Normal 2 2 10 22 14" xfId="8457" xr:uid="{00000000-0005-0000-0000-000009210000}"/>
    <cellStyle name="Normal 2 2 10 22 2" xfId="8458" xr:uid="{00000000-0005-0000-0000-00000A210000}"/>
    <cellStyle name="Normal 2 2 10 22 2 10" xfId="8459" xr:uid="{00000000-0005-0000-0000-00000B210000}"/>
    <cellStyle name="Normal 2 2 10 22 2 2" xfId="8460" xr:uid="{00000000-0005-0000-0000-00000C210000}"/>
    <cellStyle name="Normal 2 2 10 22 2 3" xfId="8461" xr:uid="{00000000-0005-0000-0000-00000D210000}"/>
    <cellStyle name="Normal 2 2 10 22 2 4" xfId="8462" xr:uid="{00000000-0005-0000-0000-00000E210000}"/>
    <cellStyle name="Normal 2 2 10 22 2 5" xfId="8463" xr:uid="{00000000-0005-0000-0000-00000F210000}"/>
    <cellStyle name="Normal 2 2 10 22 2 6" xfId="8464" xr:uid="{00000000-0005-0000-0000-000010210000}"/>
    <cellStyle name="Normal 2 2 10 22 2 7" xfId="8465" xr:uid="{00000000-0005-0000-0000-000011210000}"/>
    <cellStyle name="Normal 2 2 10 22 2 8" xfId="8466" xr:uid="{00000000-0005-0000-0000-000012210000}"/>
    <cellStyle name="Normal 2 2 10 22 2 9" xfId="8467" xr:uid="{00000000-0005-0000-0000-000013210000}"/>
    <cellStyle name="Normal 2 2 10 22 3" xfId="8468" xr:uid="{00000000-0005-0000-0000-000014210000}"/>
    <cellStyle name="Normal 2 2 10 22 3 10" xfId="8469" xr:uid="{00000000-0005-0000-0000-000015210000}"/>
    <cellStyle name="Normal 2 2 10 22 3 2" xfId="8470" xr:uid="{00000000-0005-0000-0000-000016210000}"/>
    <cellStyle name="Normal 2 2 10 22 3 3" xfId="8471" xr:uid="{00000000-0005-0000-0000-000017210000}"/>
    <cellStyle name="Normal 2 2 10 22 3 4" xfId="8472" xr:uid="{00000000-0005-0000-0000-000018210000}"/>
    <cellStyle name="Normal 2 2 10 22 3 5" xfId="8473" xr:uid="{00000000-0005-0000-0000-000019210000}"/>
    <cellStyle name="Normal 2 2 10 22 3 6" xfId="8474" xr:uid="{00000000-0005-0000-0000-00001A210000}"/>
    <cellStyle name="Normal 2 2 10 22 3 7" xfId="8475" xr:uid="{00000000-0005-0000-0000-00001B210000}"/>
    <cellStyle name="Normal 2 2 10 22 3 8" xfId="8476" xr:uid="{00000000-0005-0000-0000-00001C210000}"/>
    <cellStyle name="Normal 2 2 10 22 3 9" xfId="8477" xr:uid="{00000000-0005-0000-0000-00001D210000}"/>
    <cellStyle name="Normal 2 2 10 22 4" xfId="8478" xr:uid="{00000000-0005-0000-0000-00001E210000}"/>
    <cellStyle name="Normal 2 2 10 22 4 10" xfId="8479" xr:uid="{00000000-0005-0000-0000-00001F210000}"/>
    <cellStyle name="Normal 2 2 10 22 4 2" xfId="8480" xr:uid="{00000000-0005-0000-0000-000020210000}"/>
    <cellStyle name="Normal 2 2 10 22 4 3" xfId="8481" xr:uid="{00000000-0005-0000-0000-000021210000}"/>
    <cellStyle name="Normal 2 2 10 22 4 4" xfId="8482" xr:uid="{00000000-0005-0000-0000-000022210000}"/>
    <cellStyle name="Normal 2 2 10 22 4 5" xfId="8483" xr:uid="{00000000-0005-0000-0000-000023210000}"/>
    <cellStyle name="Normal 2 2 10 22 4 6" xfId="8484" xr:uid="{00000000-0005-0000-0000-000024210000}"/>
    <cellStyle name="Normal 2 2 10 22 4 7" xfId="8485" xr:uid="{00000000-0005-0000-0000-000025210000}"/>
    <cellStyle name="Normal 2 2 10 22 4 8" xfId="8486" xr:uid="{00000000-0005-0000-0000-000026210000}"/>
    <cellStyle name="Normal 2 2 10 22 4 9" xfId="8487" xr:uid="{00000000-0005-0000-0000-000027210000}"/>
    <cellStyle name="Normal 2 2 10 22 5" xfId="8488" xr:uid="{00000000-0005-0000-0000-000028210000}"/>
    <cellStyle name="Normal 2 2 10 22 5 10" xfId="8489" xr:uid="{00000000-0005-0000-0000-000029210000}"/>
    <cellStyle name="Normal 2 2 10 22 5 2" xfId="8490" xr:uid="{00000000-0005-0000-0000-00002A210000}"/>
    <cellStyle name="Normal 2 2 10 22 5 3" xfId="8491" xr:uid="{00000000-0005-0000-0000-00002B210000}"/>
    <cellStyle name="Normal 2 2 10 22 5 4" xfId="8492" xr:uid="{00000000-0005-0000-0000-00002C210000}"/>
    <cellStyle name="Normal 2 2 10 22 5 5" xfId="8493" xr:uid="{00000000-0005-0000-0000-00002D210000}"/>
    <cellStyle name="Normal 2 2 10 22 5 6" xfId="8494" xr:uid="{00000000-0005-0000-0000-00002E210000}"/>
    <cellStyle name="Normal 2 2 10 22 5 7" xfId="8495" xr:uid="{00000000-0005-0000-0000-00002F210000}"/>
    <cellStyle name="Normal 2 2 10 22 5 8" xfId="8496" xr:uid="{00000000-0005-0000-0000-000030210000}"/>
    <cellStyle name="Normal 2 2 10 22 5 9" xfId="8497" xr:uid="{00000000-0005-0000-0000-000031210000}"/>
    <cellStyle name="Normal 2 2 10 22 6" xfId="8498" xr:uid="{00000000-0005-0000-0000-000032210000}"/>
    <cellStyle name="Normal 2 2 10 22 7" xfId="8499" xr:uid="{00000000-0005-0000-0000-000033210000}"/>
    <cellStyle name="Normal 2 2 10 22 8" xfId="8500" xr:uid="{00000000-0005-0000-0000-000034210000}"/>
    <cellStyle name="Normal 2 2 10 22 9" xfId="8501" xr:uid="{00000000-0005-0000-0000-000035210000}"/>
    <cellStyle name="Normal 2 2 10 23" xfId="8502" xr:uid="{00000000-0005-0000-0000-000036210000}"/>
    <cellStyle name="Normal 2 2 10 23 10" xfId="8503" xr:uid="{00000000-0005-0000-0000-000037210000}"/>
    <cellStyle name="Normal 2 2 10 23 11" xfId="8504" xr:uid="{00000000-0005-0000-0000-000038210000}"/>
    <cellStyle name="Normal 2 2 10 23 12" xfId="8505" xr:uid="{00000000-0005-0000-0000-000039210000}"/>
    <cellStyle name="Normal 2 2 10 23 13" xfId="8506" xr:uid="{00000000-0005-0000-0000-00003A210000}"/>
    <cellStyle name="Normal 2 2 10 23 14" xfId="8507" xr:uid="{00000000-0005-0000-0000-00003B210000}"/>
    <cellStyle name="Normal 2 2 10 23 2" xfId="8508" xr:uid="{00000000-0005-0000-0000-00003C210000}"/>
    <cellStyle name="Normal 2 2 10 23 2 10" xfId="8509" xr:uid="{00000000-0005-0000-0000-00003D210000}"/>
    <cellStyle name="Normal 2 2 10 23 2 2" xfId="8510" xr:uid="{00000000-0005-0000-0000-00003E210000}"/>
    <cellStyle name="Normal 2 2 10 23 2 3" xfId="8511" xr:uid="{00000000-0005-0000-0000-00003F210000}"/>
    <cellStyle name="Normal 2 2 10 23 2 4" xfId="8512" xr:uid="{00000000-0005-0000-0000-000040210000}"/>
    <cellStyle name="Normal 2 2 10 23 2 5" xfId="8513" xr:uid="{00000000-0005-0000-0000-000041210000}"/>
    <cellStyle name="Normal 2 2 10 23 2 6" xfId="8514" xr:uid="{00000000-0005-0000-0000-000042210000}"/>
    <cellStyle name="Normal 2 2 10 23 2 7" xfId="8515" xr:uid="{00000000-0005-0000-0000-000043210000}"/>
    <cellStyle name="Normal 2 2 10 23 2 8" xfId="8516" xr:uid="{00000000-0005-0000-0000-000044210000}"/>
    <cellStyle name="Normal 2 2 10 23 2 9" xfId="8517" xr:uid="{00000000-0005-0000-0000-000045210000}"/>
    <cellStyle name="Normal 2 2 10 23 3" xfId="8518" xr:uid="{00000000-0005-0000-0000-000046210000}"/>
    <cellStyle name="Normal 2 2 10 23 3 10" xfId="8519" xr:uid="{00000000-0005-0000-0000-000047210000}"/>
    <cellStyle name="Normal 2 2 10 23 3 2" xfId="8520" xr:uid="{00000000-0005-0000-0000-000048210000}"/>
    <cellStyle name="Normal 2 2 10 23 3 3" xfId="8521" xr:uid="{00000000-0005-0000-0000-000049210000}"/>
    <cellStyle name="Normal 2 2 10 23 3 4" xfId="8522" xr:uid="{00000000-0005-0000-0000-00004A210000}"/>
    <cellStyle name="Normal 2 2 10 23 3 5" xfId="8523" xr:uid="{00000000-0005-0000-0000-00004B210000}"/>
    <cellStyle name="Normal 2 2 10 23 3 6" xfId="8524" xr:uid="{00000000-0005-0000-0000-00004C210000}"/>
    <cellStyle name="Normal 2 2 10 23 3 7" xfId="8525" xr:uid="{00000000-0005-0000-0000-00004D210000}"/>
    <cellStyle name="Normal 2 2 10 23 3 8" xfId="8526" xr:uid="{00000000-0005-0000-0000-00004E210000}"/>
    <cellStyle name="Normal 2 2 10 23 3 9" xfId="8527" xr:uid="{00000000-0005-0000-0000-00004F210000}"/>
    <cellStyle name="Normal 2 2 10 23 4" xfId="8528" xr:uid="{00000000-0005-0000-0000-000050210000}"/>
    <cellStyle name="Normal 2 2 10 23 4 10" xfId="8529" xr:uid="{00000000-0005-0000-0000-000051210000}"/>
    <cellStyle name="Normal 2 2 10 23 4 2" xfId="8530" xr:uid="{00000000-0005-0000-0000-000052210000}"/>
    <cellStyle name="Normal 2 2 10 23 4 3" xfId="8531" xr:uid="{00000000-0005-0000-0000-000053210000}"/>
    <cellStyle name="Normal 2 2 10 23 4 4" xfId="8532" xr:uid="{00000000-0005-0000-0000-000054210000}"/>
    <cellStyle name="Normal 2 2 10 23 4 5" xfId="8533" xr:uid="{00000000-0005-0000-0000-000055210000}"/>
    <cellStyle name="Normal 2 2 10 23 4 6" xfId="8534" xr:uid="{00000000-0005-0000-0000-000056210000}"/>
    <cellStyle name="Normal 2 2 10 23 4 7" xfId="8535" xr:uid="{00000000-0005-0000-0000-000057210000}"/>
    <cellStyle name="Normal 2 2 10 23 4 8" xfId="8536" xr:uid="{00000000-0005-0000-0000-000058210000}"/>
    <cellStyle name="Normal 2 2 10 23 4 9" xfId="8537" xr:uid="{00000000-0005-0000-0000-000059210000}"/>
    <cellStyle name="Normal 2 2 10 23 5" xfId="8538" xr:uid="{00000000-0005-0000-0000-00005A210000}"/>
    <cellStyle name="Normal 2 2 10 23 5 10" xfId="8539" xr:uid="{00000000-0005-0000-0000-00005B210000}"/>
    <cellStyle name="Normal 2 2 10 23 5 2" xfId="8540" xr:uid="{00000000-0005-0000-0000-00005C210000}"/>
    <cellStyle name="Normal 2 2 10 23 5 3" xfId="8541" xr:uid="{00000000-0005-0000-0000-00005D210000}"/>
    <cellStyle name="Normal 2 2 10 23 5 4" xfId="8542" xr:uid="{00000000-0005-0000-0000-00005E210000}"/>
    <cellStyle name="Normal 2 2 10 23 5 5" xfId="8543" xr:uid="{00000000-0005-0000-0000-00005F210000}"/>
    <cellStyle name="Normal 2 2 10 23 5 6" xfId="8544" xr:uid="{00000000-0005-0000-0000-000060210000}"/>
    <cellStyle name="Normal 2 2 10 23 5 7" xfId="8545" xr:uid="{00000000-0005-0000-0000-000061210000}"/>
    <cellStyle name="Normal 2 2 10 23 5 8" xfId="8546" xr:uid="{00000000-0005-0000-0000-000062210000}"/>
    <cellStyle name="Normal 2 2 10 23 5 9" xfId="8547" xr:uid="{00000000-0005-0000-0000-000063210000}"/>
    <cellStyle name="Normal 2 2 10 23 6" xfId="8548" xr:uid="{00000000-0005-0000-0000-000064210000}"/>
    <cellStyle name="Normal 2 2 10 23 7" xfId="8549" xr:uid="{00000000-0005-0000-0000-000065210000}"/>
    <cellStyle name="Normal 2 2 10 23 8" xfId="8550" xr:uid="{00000000-0005-0000-0000-000066210000}"/>
    <cellStyle name="Normal 2 2 10 23 9" xfId="8551" xr:uid="{00000000-0005-0000-0000-000067210000}"/>
    <cellStyle name="Normal 2 2 10 24" xfId="8552" xr:uid="{00000000-0005-0000-0000-000068210000}"/>
    <cellStyle name="Normal 2 2 10 24 10" xfId="8553" xr:uid="{00000000-0005-0000-0000-000069210000}"/>
    <cellStyle name="Normal 2 2 10 24 11" xfId="8554" xr:uid="{00000000-0005-0000-0000-00006A210000}"/>
    <cellStyle name="Normal 2 2 10 24 12" xfId="8555" xr:uid="{00000000-0005-0000-0000-00006B210000}"/>
    <cellStyle name="Normal 2 2 10 24 13" xfId="8556" xr:uid="{00000000-0005-0000-0000-00006C210000}"/>
    <cellStyle name="Normal 2 2 10 24 14" xfId="8557" xr:uid="{00000000-0005-0000-0000-00006D210000}"/>
    <cellStyle name="Normal 2 2 10 24 2" xfId="8558" xr:uid="{00000000-0005-0000-0000-00006E210000}"/>
    <cellStyle name="Normal 2 2 10 24 2 10" xfId="8559" xr:uid="{00000000-0005-0000-0000-00006F210000}"/>
    <cellStyle name="Normal 2 2 10 24 2 2" xfId="8560" xr:uid="{00000000-0005-0000-0000-000070210000}"/>
    <cellStyle name="Normal 2 2 10 24 2 3" xfId="8561" xr:uid="{00000000-0005-0000-0000-000071210000}"/>
    <cellStyle name="Normal 2 2 10 24 2 4" xfId="8562" xr:uid="{00000000-0005-0000-0000-000072210000}"/>
    <cellStyle name="Normal 2 2 10 24 2 5" xfId="8563" xr:uid="{00000000-0005-0000-0000-000073210000}"/>
    <cellStyle name="Normal 2 2 10 24 2 6" xfId="8564" xr:uid="{00000000-0005-0000-0000-000074210000}"/>
    <cellStyle name="Normal 2 2 10 24 2 7" xfId="8565" xr:uid="{00000000-0005-0000-0000-000075210000}"/>
    <cellStyle name="Normal 2 2 10 24 2 8" xfId="8566" xr:uid="{00000000-0005-0000-0000-000076210000}"/>
    <cellStyle name="Normal 2 2 10 24 2 9" xfId="8567" xr:uid="{00000000-0005-0000-0000-000077210000}"/>
    <cellStyle name="Normal 2 2 10 24 3" xfId="8568" xr:uid="{00000000-0005-0000-0000-000078210000}"/>
    <cellStyle name="Normal 2 2 10 24 3 10" xfId="8569" xr:uid="{00000000-0005-0000-0000-000079210000}"/>
    <cellStyle name="Normal 2 2 10 24 3 2" xfId="8570" xr:uid="{00000000-0005-0000-0000-00007A210000}"/>
    <cellStyle name="Normal 2 2 10 24 3 3" xfId="8571" xr:uid="{00000000-0005-0000-0000-00007B210000}"/>
    <cellStyle name="Normal 2 2 10 24 3 4" xfId="8572" xr:uid="{00000000-0005-0000-0000-00007C210000}"/>
    <cellStyle name="Normal 2 2 10 24 3 5" xfId="8573" xr:uid="{00000000-0005-0000-0000-00007D210000}"/>
    <cellStyle name="Normal 2 2 10 24 3 6" xfId="8574" xr:uid="{00000000-0005-0000-0000-00007E210000}"/>
    <cellStyle name="Normal 2 2 10 24 3 7" xfId="8575" xr:uid="{00000000-0005-0000-0000-00007F210000}"/>
    <cellStyle name="Normal 2 2 10 24 3 8" xfId="8576" xr:uid="{00000000-0005-0000-0000-000080210000}"/>
    <cellStyle name="Normal 2 2 10 24 3 9" xfId="8577" xr:uid="{00000000-0005-0000-0000-000081210000}"/>
    <cellStyle name="Normal 2 2 10 24 4" xfId="8578" xr:uid="{00000000-0005-0000-0000-000082210000}"/>
    <cellStyle name="Normal 2 2 10 24 4 10" xfId="8579" xr:uid="{00000000-0005-0000-0000-000083210000}"/>
    <cellStyle name="Normal 2 2 10 24 4 2" xfId="8580" xr:uid="{00000000-0005-0000-0000-000084210000}"/>
    <cellStyle name="Normal 2 2 10 24 4 3" xfId="8581" xr:uid="{00000000-0005-0000-0000-000085210000}"/>
    <cellStyle name="Normal 2 2 10 24 4 4" xfId="8582" xr:uid="{00000000-0005-0000-0000-000086210000}"/>
    <cellStyle name="Normal 2 2 10 24 4 5" xfId="8583" xr:uid="{00000000-0005-0000-0000-000087210000}"/>
    <cellStyle name="Normal 2 2 10 24 4 6" xfId="8584" xr:uid="{00000000-0005-0000-0000-000088210000}"/>
    <cellStyle name="Normal 2 2 10 24 4 7" xfId="8585" xr:uid="{00000000-0005-0000-0000-000089210000}"/>
    <cellStyle name="Normal 2 2 10 24 4 8" xfId="8586" xr:uid="{00000000-0005-0000-0000-00008A210000}"/>
    <cellStyle name="Normal 2 2 10 24 4 9" xfId="8587" xr:uid="{00000000-0005-0000-0000-00008B210000}"/>
    <cellStyle name="Normal 2 2 10 24 5" xfId="8588" xr:uid="{00000000-0005-0000-0000-00008C210000}"/>
    <cellStyle name="Normal 2 2 10 24 5 10" xfId="8589" xr:uid="{00000000-0005-0000-0000-00008D210000}"/>
    <cellStyle name="Normal 2 2 10 24 5 2" xfId="8590" xr:uid="{00000000-0005-0000-0000-00008E210000}"/>
    <cellStyle name="Normal 2 2 10 24 5 3" xfId="8591" xr:uid="{00000000-0005-0000-0000-00008F210000}"/>
    <cellStyle name="Normal 2 2 10 24 5 4" xfId="8592" xr:uid="{00000000-0005-0000-0000-000090210000}"/>
    <cellStyle name="Normal 2 2 10 24 5 5" xfId="8593" xr:uid="{00000000-0005-0000-0000-000091210000}"/>
    <cellStyle name="Normal 2 2 10 24 5 6" xfId="8594" xr:uid="{00000000-0005-0000-0000-000092210000}"/>
    <cellStyle name="Normal 2 2 10 24 5 7" xfId="8595" xr:uid="{00000000-0005-0000-0000-000093210000}"/>
    <cellStyle name="Normal 2 2 10 24 5 8" xfId="8596" xr:uid="{00000000-0005-0000-0000-000094210000}"/>
    <cellStyle name="Normal 2 2 10 24 5 9" xfId="8597" xr:uid="{00000000-0005-0000-0000-000095210000}"/>
    <cellStyle name="Normal 2 2 10 24 6" xfId="8598" xr:uid="{00000000-0005-0000-0000-000096210000}"/>
    <cellStyle name="Normal 2 2 10 24 7" xfId="8599" xr:uid="{00000000-0005-0000-0000-000097210000}"/>
    <cellStyle name="Normal 2 2 10 24 8" xfId="8600" xr:uid="{00000000-0005-0000-0000-000098210000}"/>
    <cellStyle name="Normal 2 2 10 24 9" xfId="8601" xr:uid="{00000000-0005-0000-0000-000099210000}"/>
    <cellStyle name="Normal 2 2 10 25" xfId="8602" xr:uid="{00000000-0005-0000-0000-00009A210000}"/>
    <cellStyle name="Normal 2 2 10 25 10" xfId="8603" xr:uid="{00000000-0005-0000-0000-00009B210000}"/>
    <cellStyle name="Normal 2 2 10 25 11" xfId="8604" xr:uid="{00000000-0005-0000-0000-00009C210000}"/>
    <cellStyle name="Normal 2 2 10 25 12" xfId="8605" xr:uid="{00000000-0005-0000-0000-00009D210000}"/>
    <cellStyle name="Normal 2 2 10 25 13" xfId="8606" xr:uid="{00000000-0005-0000-0000-00009E210000}"/>
    <cellStyle name="Normal 2 2 10 25 14" xfId="8607" xr:uid="{00000000-0005-0000-0000-00009F210000}"/>
    <cellStyle name="Normal 2 2 10 25 2" xfId="8608" xr:uid="{00000000-0005-0000-0000-0000A0210000}"/>
    <cellStyle name="Normal 2 2 10 25 2 10" xfId="8609" xr:uid="{00000000-0005-0000-0000-0000A1210000}"/>
    <cellStyle name="Normal 2 2 10 25 2 2" xfId="8610" xr:uid="{00000000-0005-0000-0000-0000A2210000}"/>
    <cellStyle name="Normal 2 2 10 25 2 3" xfId="8611" xr:uid="{00000000-0005-0000-0000-0000A3210000}"/>
    <cellStyle name="Normal 2 2 10 25 2 4" xfId="8612" xr:uid="{00000000-0005-0000-0000-0000A4210000}"/>
    <cellStyle name="Normal 2 2 10 25 2 5" xfId="8613" xr:uid="{00000000-0005-0000-0000-0000A5210000}"/>
    <cellStyle name="Normal 2 2 10 25 2 6" xfId="8614" xr:uid="{00000000-0005-0000-0000-0000A6210000}"/>
    <cellStyle name="Normal 2 2 10 25 2 7" xfId="8615" xr:uid="{00000000-0005-0000-0000-0000A7210000}"/>
    <cellStyle name="Normal 2 2 10 25 2 8" xfId="8616" xr:uid="{00000000-0005-0000-0000-0000A8210000}"/>
    <cellStyle name="Normal 2 2 10 25 2 9" xfId="8617" xr:uid="{00000000-0005-0000-0000-0000A9210000}"/>
    <cellStyle name="Normal 2 2 10 25 3" xfId="8618" xr:uid="{00000000-0005-0000-0000-0000AA210000}"/>
    <cellStyle name="Normal 2 2 10 25 3 10" xfId="8619" xr:uid="{00000000-0005-0000-0000-0000AB210000}"/>
    <cellStyle name="Normal 2 2 10 25 3 2" xfId="8620" xr:uid="{00000000-0005-0000-0000-0000AC210000}"/>
    <cellStyle name="Normal 2 2 10 25 3 3" xfId="8621" xr:uid="{00000000-0005-0000-0000-0000AD210000}"/>
    <cellStyle name="Normal 2 2 10 25 3 4" xfId="8622" xr:uid="{00000000-0005-0000-0000-0000AE210000}"/>
    <cellStyle name="Normal 2 2 10 25 3 5" xfId="8623" xr:uid="{00000000-0005-0000-0000-0000AF210000}"/>
    <cellStyle name="Normal 2 2 10 25 3 6" xfId="8624" xr:uid="{00000000-0005-0000-0000-0000B0210000}"/>
    <cellStyle name="Normal 2 2 10 25 3 7" xfId="8625" xr:uid="{00000000-0005-0000-0000-0000B1210000}"/>
    <cellStyle name="Normal 2 2 10 25 3 8" xfId="8626" xr:uid="{00000000-0005-0000-0000-0000B2210000}"/>
    <cellStyle name="Normal 2 2 10 25 3 9" xfId="8627" xr:uid="{00000000-0005-0000-0000-0000B3210000}"/>
    <cellStyle name="Normal 2 2 10 25 4" xfId="8628" xr:uid="{00000000-0005-0000-0000-0000B4210000}"/>
    <cellStyle name="Normal 2 2 10 25 4 10" xfId="8629" xr:uid="{00000000-0005-0000-0000-0000B5210000}"/>
    <cellStyle name="Normal 2 2 10 25 4 2" xfId="8630" xr:uid="{00000000-0005-0000-0000-0000B6210000}"/>
    <cellStyle name="Normal 2 2 10 25 4 3" xfId="8631" xr:uid="{00000000-0005-0000-0000-0000B7210000}"/>
    <cellStyle name="Normal 2 2 10 25 4 4" xfId="8632" xr:uid="{00000000-0005-0000-0000-0000B8210000}"/>
    <cellStyle name="Normal 2 2 10 25 4 5" xfId="8633" xr:uid="{00000000-0005-0000-0000-0000B9210000}"/>
    <cellStyle name="Normal 2 2 10 25 4 6" xfId="8634" xr:uid="{00000000-0005-0000-0000-0000BA210000}"/>
    <cellStyle name="Normal 2 2 10 25 4 7" xfId="8635" xr:uid="{00000000-0005-0000-0000-0000BB210000}"/>
    <cellStyle name="Normal 2 2 10 25 4 8" xfId="8636" xr:uid="{00000000-0005-0000-0000-0000BC210000}"/>
    <cellStyle name="Normal 2 2 10 25 4 9" xfId="8637" xr:uid="{00000000-0005-0000-0000-0000BD210000}"/>
    <cellStyle name="Normal 2 2 10 25 5" xfId="8638" xr:uid="{00000000-0005-0000-0000-0000BE210000}"/>
    <cellStyle name="Normal 2 2 10 25 5 10" xfId="8639" xr:uid="{00000000-0005-0000-0000-0000BF210000}"/>
    <cellStyle name="Normal 2 2 10 25 5 2" xfId="8640" xr:uid="{00000000-0005-0000-0000-0000C0210000}"/>
    <cellStyle name="Normal 2 2 10 25 5 3" xfId="8641" xr:uid="{00000000-0005-0000-0000-0000C1210000}"/>
    <cellStyle name="Normal 2 2 10 25 5 4" xfId="8642" xr:uid="{00000000-0005-0000-0000-0000C2210000}"/>
    <cellStyle name="Normal 2 2 10 25 5 5" xfId="8643" xr:uid="{00000000-0005-0000-0000-0000C3210000}"/>
    <cellStyle name="Normal 2 2 10 25 5 6" xfId="8644" xr:uid="{00000000-0005-0000-0000-0000C4210000}"/>
    <cellStyle name="Normal 2 2 10 25 5 7" xfId="8645" xr:uid="{00000000-0005-0000-0000-0000C5210000}"/>
    <cellStyle name="Normal 2 2 10 25 5 8" xfId="8646" xr:uid="{00000000-0005-0000-0000-0000C6210000}"/>
    <cellStyle name="Normal 2 2 10 25 5 9" xfId="8647" xr:uid="{00000000-0005-0000-0000-0000C7210000}"/>
    <cellStyle name="Normal 2 2 10 25 6" xfId="8648" xr:uid="{00000000-0005-0000-0000-0000C8210000}"/>
    <cellStyle name="Normal 2 2 10 25 7" xfId="8649" xr:uid="{00000000-0005-0000-0000-0000C9210000}"/>
    <cellStyle name="Normal 2 2 10 25 8" xfId="8650" xr:uid="{00000000-0005-0000-0000-0000CA210000}"/>
    <cellStyle name="Normal 2 2 10 25 9" xfId="8651" xr:uid="{00000000-0005-0000-0000-0000CB210000}"/>
    <cellStyle name="Normal 2 2 10 26" xfId="8652" xr:uid="{00000000-0005-0000-0000-0000CC210000}"/>
    <cellStyle name="Normal 2 2 10 26 10" xfId="8653" xr:uid="{00000000-0005-0000-0000-0000CD210000}"/>
    <cellStyle name="Normal 2 2 10 26 11" xfId="8654" xr:uid="{00000000-0005-0000-0000-0000CE210000}"/>
    <cellStyle name="Normal 2 2 10 26 12" xfId="8655" xr:uid="{00000000-0005-0000-0000-0000CF210000}"/>
    <cellStyle name="Normal 2 2 10 26 13" xfId="8656" xr:uid="{00000000-0005-0000-0000-0000D0210000}"/>
    <cellStyle name="Normal 2 2 10 26 14" xfId="8657" xr:uid="{00000000-0005-0000-0000-0000D1210000}"/>
    <cellStyle name="Normal 2 2 10 26 2" xfId="8658" xr:uid="{00000000-0005-0000-0000-0000D2210000}"/>
    <cellStyle name="Normal 2 2 10 26 2 10" xfId="8659" xr:uid="{00000000-0005-0000-0000-0000D3210000}"/>
    <cellStyle name="Normal 2 2 10 26 2 2" xfId="8660" xr:uid="{00000000-0005-0000-0000-0000D4210000}"/>
    <cellStyle name="Normal 2 2 10 26 2 3" xfId="8661" xr:uid="{00000000-0005-0000-0000-0000D5210000}"/>
    <cellStyle name="Normal 2 2 10 26 2 4" xfId="8662" xr:uid="{00000000-0005-0000-0000-0000D6210000}"/>
    <cellStyle name="Normal 2 2 10 26 2 5" xfId="8663" xr:uid="{00000000-0005-0000-0000-0000D7210000}"/>
    <cellStyle name="Normal 2 2 10 26 2 6" xfId="8664" xr:uid="{00000000-0005-0000-0000-0000D8210000}"/>
    <cellStyle name="Normal 2 2 10 26 2 7" xfId="8665" xr:uid="{00000000-0005-0000-0000-0000D9210000}"/>
    <cellStyle name="Normal 2 2 10 26 2 8" xfId="8666" xr:uid="{00000000-0005-0000-0000-0000DA210000}"/>
    <cellStyle name="Normal 2 2 10 26 2 9" xfId="8667" xr:uid="{00000000-0005-0000-0000-0000DB210000}"/>
    <cellStyle name="Normal 2 2 10 26 3" xfId="8668" xr:uid="{00000000-0005-0000-0000-0000DC210000}"/>
    <cellStyle name="Normal 2 2 10 26 3 10" xfId="8669" xr:uid="{00000000-0005-0000-0000-0000DD210000}"/>
    <cellStyle name="Normal 2 2 10 26 3 2" xfId="8670" xr:uid="{00000000-0005-0000-0000-0000DE210000}"/>
    <cellStyle name="Normal 2 2 10 26 3 3" xfId="8671" xr:uid="{00000000-0005-0000-0000-0000DF210000}"/>
    <cellStyle name="Normal 2 2 10 26 3 4" xfId="8672" xr:uid="{00000000-0005-0000-0000-0000E0210000}"/>
    <cellStyle name="Normal 2 2 10 26 3 5" xfId="8673" xr:uid="{00000000-0005-0000-0000-0000E1210000}"/>
    <cellStyle name="Normal 2 2 10 26 3 6" xfId="8674" xr:uid="{00000000-0005-0000-0000-0000E2210000}"/>
    <cellStyle name="Normal 2 2 10 26 3 7" xfId="8675" xr:uid="{00000000-0005-0000-0000-0000E3210000}"/>
    <cellStyle name="Normal 2 2 10 26 3 8" xfId="8676" xr:uid="{00000000-0005-0000-0000-0000E4210000}"/>
    <cellStyle name="Normal 2 2 10 26 3 9" xfId="8677" xr:uid="{00000000-0005-0000-0000-0000E5210000}"/>
    <cellStyle name="Normal 2 2 10 26 4" xfId="8678" xr:uid="{00000000-0005-0000-0000-0000E6210000}"/>
    <cellStyle name="Normal 2 2 10 26 4 10" xfId="8679" xr:uid="{00000000-0005-0000-0000-0000E7210000}"/>
    <cellStyle name="Normal 2 2 10 26 4 2" xfId="8680" xr:uid="{00000000-0005-0000-0000-0000E8210000}"/>
    <cellStyle name="Normal 2 2 10 26 4 3" xfId="8681" xr:uid="{00000000-0005-0000-0000-0000E9210000}"/>
    <cellStyle name="Normal 2 2 10 26 4 4" xfId="8682" xr:uid="{00000000-0005-0000-0000-0000EA210000}"/>
    <cellStyle name="Normal 2 2 10 26 4 5" xfId="8683" xr:uid="{00000000-0005-0000-0000-0000EB210000}"/>
    <cellStyle name="Normal 2 2 10 26 4 6" xfId="8684" xr:uid="{00000000-0005-0000-0000-0000EC210000}"/>
    <cellStyle name="Normal 2 2 10 26 4 7" xfId="8685" xr:uid="{00000000-0005-0000-0000-0000ED210000}"/>
    <cellStyle name="Normal 2 2 10 26 4 8" xfId="8686" xr:uid="{00000000-0005-0000-0000-0000EE210000}"/>
    <cellStyle name="Normal 2 2 10 26 4 9" xfId="8687" xr:uid="{00000000-0005-0000-0000-0000EF210000}"/>
    <cellStyle name="Normal 2 2 10 26 5" xfId="8688" xr:uid="{00000000-0005-0000-0000-0000F0210000}"/>
    <cellStyle name="Normal 2 2 10 26 5 10" xfId="8689" xr:uid="{00000000-0005-0000-0000-0000F1210000}"/>
    <cellStyle name="Normal 2 2 10 26 5 2" xfId="8690" xr:uid="{00000000-0005-0000-0000-0000F2210000}"/>
    <cellStyle name="Normal 2 2 10 26 5 3" xfId="8691" xr:uid="{00000000-0005-0000-0000-0000F3210000}"/>
    <cellStyle name="Normal 2 2 10 26 5 4" xfId="8692" xr:uid="{00000000-0005-0000-0000-0000F4210000}"/>
    <cellStyle name="Normal 2 2 10 26 5 5" xfId="8693" xr:uid="{00000000-0005-0000-0000-0000F5210000}"/>
    <cellStyle name="Normal 2 2 10 26 5 6" xfId="8694" xr:uid="{00000000-0005-0000-0000-0000F6210000}"/>
    <cellStyle name="Normal 2 2 10 26 5 7" xfId="8695" xr:uid="{00000000-0005-0000-0000-0000F7210000}"/>
    <cellStyle name="Normal 2 2 10 26 5 8" xfId="8696" xr:uid="{00000000-0005-0000-0000-0000F8210000}"/>
    <cellStyle name="Normal 2 2 10 26 5 9" xfId="8697" xr:uid="{00000000-0005-0000-0000-0000F9210000}"/>
    <cellStyle name="Normal 2 2 10 26 6" xfId="8698" xr:uid="{00000000-0005-0000-0000-0000FA210000}"/>
    <cellStyle name="Normal 2 2 10 26 7" xfId="8699" xr:uid="{00000000-0005-0000-0000-0000FB210000}"/>
    <cellStyle name="Normal 2 2 10 26 8" xfId="8700" xr:uid="{00000000-0005-0000-0000-0000FC210000}"/>
    <cellStyle name="Normal 2 2 10 26 9" xfId="8701" xr:uid="{00000000-0005-0000-0000-0000FD210000}"/>
    <cellStyle name="Normal 2 2 10 27" xfId="8702" xr:uid="{00000000-0005-0000-0000-0000FE210000}"/>
    <cellStyle name="Normal 2 2 10 27 10" xfId="8703" xr:uid="{00000000-0005-0000-0000-0000FF210000}"/>
    <cellStyle name="Normal 2 2 10 27 11" xfId="8704" xr:uid="{00000000-0005-0000-0000-000000220000}"/>
    <cellStyle name="Normal 2 2 10 27 12" xfId="8705" xr:uid="{00000000-0005-0000-0000-000001220000}"/>
    <cellStyle name="Normal 2 2 10 27 13" xfId="8706" xr:uid="{00000000-0005-0000-0000-000002220000}"/>
    <cellStyle name="Normal 2 2 10 27 14" xfId="8707" xr:uid="{00000000-0005-0000-0000-000003220000}"/>
    <cellStyle name="Normal 2 2 10 27 2" xfId="8708" xr:uid="{00000000-0005-0000-0000-000004220000}"/>
    <cellStyle name="Normal 2 2 10 27 2 10" xfId="8709" xr:uid="{00000000-0005-0000-0000-000005220000}"/>
    <cellStyle name="Normal 2 2 10 27 2 2" xfId="8710" xr:uid="{00000000-0005-0000-0000-000006220000}"/>
    <cellStyle name="Normal 2 2 10 27 2 3" xfId="8711" xr:uid="{00000000-0005-0000-0000-000007220000}"/>
    <cellStyle name="Normal 2 2 10 27 2 4" xfId="8712" xr:uid="{00000000-0005-0000-0000-000008220000}"/>
    <cellStyle name="Normal 2 2 10 27 2 5" xfId="8713" xr:uid="{00000000-0005-0000-0000-000009220000}"/>
    <cellStyle name="Normal 2 2 10 27 2 6" xfId="8714" xr:uid="{00000000-0005-0000-0000-00000A220000}"/>
    <cellStyle name="Normal 2 2 10 27 2 7" xfId="8715" xr:uid="{00000000-0005-0000-0000-00000B220000}"/>
    <cellStyle name="Normal 2 2 10 27 2 8" xfId="8716" xr:uid="{00000000-0005-0000-0000-00000C220000}"/>
    <cellStyle name="Normal 2 2 10 27 2 9" xfId="8717" xr:uid="{00000000-0005-0000-0000-00000D220000}"/>
    <cellStyle name="Normal 2 2 10 27 3" xfId="8718" xr:uid="{00000000-0005-0000-0000-00000E220000}"/>
    <cellStyle name="Normal 2 2 10 27 3 10" xfId="8719" xr:uid="{00000000-0005-0000-0000-00000F220000}"/>
    <cellStyle name="Normal 2 2 10 27 3 2" xfId="8720" xr:uid="{00000000-0005-0000-0000-000010220000}"/>
    <cellStyle name="Normal 2 2 10 27 3 3" xfId="8721" xr:uid="{00000000-0005-0000-0000-000011220000}"/>
    <cellStyle name="Normal 2 2 10 27 3 4" xfId="8722" xr:uid="{00000000-0005-0000-0000-000012220000}"/>
    <cellStyle name="Normal 2 2 10 27 3 5" xfId="8723" xr:uid="{00000000-0005-0000-0000-000013220000}"/>
    <cellStyle name="Normal 2 2 10 27 3 6" xfId="8724" xr:uid="{00000000-0005-0000-0000-000014220000}"/>
    <cellStyle name="Normal 2 2 10 27 3 7" xfId="8725" xr:uid="{00000000-0005-0000-0000-000015220000}"/>
    <cellStyle name="Normal 2 2 10 27 3 8" xfId="8726" xr:uid="{00000000-0005-0000-0000-000016220000}"/>
    <cellStyle name="Normal 2 2 10 27 3 9" xfId="8727" xr:uid="{00000000-0005-0000-0000-000017220000}"/>
    <cellStyle name="Normal 2 2 10 27 4" xfId="8728" xr:uid="{00000000-0005-0000-0000-000018220000}"/>
    <cellStyle name="Normal 2 2 10 27 4 10" xfId="8729" xr:uid="{00000000-0005-0000-0000-000019220000}"/>
    <cellStyle name="Normal 2 2 10 27 4 2" xfId="8730" xr:uid="{00000000-0005-0000-0000-00001A220000}"/>
    <cellStyle name="Normal 2 2 10 27 4 3" xfId="8731" xr:uid="{00000000-0005-0000-0000-00001B220000}"/>
    <cellStyle name="Normal 2 2 10 27 4 4" xfId="8732" xr:uid="{00000000-0005-0000-0000-00001C220000}"/>
    <cellStyle name="Normal 2 2 10 27 4 5" xfId="8733" xr:uid="{00000000-0005-0000-0000-00001D220000}"/>
    <cellStyle name="Normal 2 2 10 27 4 6" xfId="8734" xr:uid="{00000000-0005-0000-0000-00001E220000}"/>
    <cellStyle name="Normal 2 2 10 27 4 7" xfId="8735" xr:uid="{00000000-0005-0000-0000-00001F220000}"/>
    <cellStyle name="Normal 2 2 10 27 4 8" xfId="8736" xr:uid="{00000000-0005-0000-0000-000020220000}"/>
    <cellStyle name="Normal 2 2 10 27 4 9" xfId="8737" xr:uid="{00000000-0005-0000-0000-000021220000}"/>
    <cellStyle name="Normal 2 2 10 27 5" xfId="8738" xr:uid="{00000000-0005-0000-0000-000022220000}"/>
    <cellStyle name="Normal 2 2 10 27 5 10" xfId="8739" xr:uid="{00000000-0005-0000-0000-000023220000}"/>
    <cellStyle name="Normal 2 2 10 27 5 2" xfId="8740" xr:uid="{00000000-0005-0000-0000-000024220000}"/>
    <cellStyle name="Normal 2 2 10 27 5 3" xfId="8741" xr:uid="{00000000-0005-0000-0000-000025220000}"/>
    <cellStyle name="Normal 2 2 10 27 5 4" xfId="8742" xr:uid="{00000000-0005-0000-0000-000026220000}"/>
    <cellStyle name="Normal 2 2 10 27 5 5" xfId="8743" xr:uid="{00000000-0005-0000-0000-000027220000}"/>
    <cellStyle name="Normal 2 2 10 27 5 6" xfId="8744" xr:uid="{00000000-0005-0000-0000-000028220000}"/>
    <cellStyle name="Normal 2 2 10 27 5 7" xfId="8745" xr:uid="{00000000-0005-0000-0000-000029220000}"/>
    <cellStyle name="Normal 2 2 10 27 5 8" xfId="8746" xr:uid="{00000000-0005-0000-0000-00002A220000}"/>
    <cellStyle name="Normal 2 2 10 27 5 9" xfId="8747" xr:uid="{00000000-0005-0000-0000-00002B220000}"/>
    <cellStyle name="Normal 2 2 10 27 6" xfId="8748" xr:uid="{00000000-0005-0000-0000-00002C220000}"/>
    <cellStyle name="Normal 2 2 10 27 7" xfId="8749" xr:uid="{00000000-0005-0000-0000-00002D220000}"/>
    <cellStyle name="Normal 2 2 10 27 8" xfId="8750" xr:uid="{00000000-0005-0000-0000-00002E220000}"/>
    <cellStyle name="Normal 2 2 10 27 9" xfId="8751" xr:uid="{00000000-0005-0000-0000-00002F220000}"/>
    <cellStyle name="Normal 2 2 10 28" xfId="8752" xr:uid="{00000000-0005-0000-0000-000030220000}"/>
    <cellStyle name="Normal 2 2 10 28 10" xfId="8753" xr:uid="{00000000-0005-0000-0000-000031220000}"/>
    <cellStyle name="Normal 2 2 10 28 11" xfId="8754" xr:uid="{00000000-0005-0000-0000-000032220000}"/>
    <cellStyle name="Normal 2 2 10 28 12" xfId="8755" xr:uid="{00000000-0005-0000-0000-000033220000}"/>
    <cellStyle name="Normal 2 2 10 28 13" xfId="8756" xr:uid="{00000000-0005-0000-0000-000034220000}"/>
    <cellStyle name="Normal 2 2 10 28 14" xfId="8757" xr:uid="{00000000-0005-0000-0000-000035220000}"/>
    <cellStyle name="Normal 2 2 10 28 2" xfId="8758" xr:uid="{00000000-0005-0000-0000-000036220000}"/>
    <cellStyle name="Normal 2 2 10 28 2 10" xfId="8759" xr:uid="{00000000-0005-0000-0000-000037220000}"/>
    <cellStyle name="Normal 2 2 10 28 2 2" xfId="8760" xr:uid="{00000000-0005-0000-0000-000038220000}"/>
    <cellStyle name="Normal 2 2 10 28 2 3" xfId="8761" xr:uid="{00000000-0005-0000-0000-000039220000}"/>
    <cellStyle name="Normal 2 2 10 28 2 4" xfId="8762" xr:uid="{00000000-0005-0000-0000-00003A220000}"/>
    <cellStyle name="Normal 2 2 10 28 2 5" xfId="8763" xr:uid="{00000000-0005-0000-0000-00003B220000}"/>
    <cellStyle name="Normal 2 2 10 28 2 6" xfId="8764" xr:uid="{00000000-0005-0000-0000-00003C220000}"/>
    <cellStyle name="Normal 2 2 10 28 2 7" xfId="8765" xr:uid="{00000000-0005-0000-0000-00003D220000}"/>
    <cellStyle name="Normal 2 2 10 28 2 8" xfId="8766" xr:uid="{00000000-0005-0000-0000-00003E220000}"/>
    <cellStyle name="Normal 2 2 10 28 2 9" xfId="8767" xr:uid="{00000000-0005-0000-0000-00003F220000}"/>
    <cellStyle name="Normal 2 2 10 28 3" xfId="8768" xr:uid="{00000000-0005-0000-0000-000040220000}"/>
    <cellStyle name="Normal 2 2 10 28 3 10" xfId="8769" xr:uid="{00000000-0005-0000-0000-000041220000}"/>
    <cellStyle name="Normal 2 2 10 28 3 2" xfId="8770" xr:uid="{00000000-0005-0000-0000-000042220000}"/>
    <cellStyle name="Normal 2 2 10 28 3 3" xfId="8771" xr:uid="{00000000-0005-0000-0000-000043220000}"/>
    <cellStyle name="Normal 2 2 10 28 3 4" xfId="8772" xr:uid="{00000000-0005-0000-0000-000044220000}"/>
    <cellStyle name="Normal 2 2 10 28 3 5" xfId="8773" xr:uid="{00000000-0005-0000-0000-000045220000}"/>
    <cellStyle name="Normal 2 2 10 28 3 6" xfId="8774" xr:uid="{00000000-0005-0000-0000-000046220000}"/>
    <cellStyle name="Normal 2 2 10 28 3 7" xfId="8775" xr:uid="{00000000-0005-0000-0000-000047220000}"/>
    <cellStyle name="Normal 2 2 10 28 3 8" xfId="8776" xr:uid="{00000000-0005-0000-0000-000048220000}"/>
    <cellStyle name="Normal 2 2 10 28 3 9" xfId="8777" xr:uid="{00000000-0005-0000-0000-000049220000}"/>
    <cellStyle name="Normal 2 2 10 28 4" xfId="8778" xr:uid="{00000000-0005-0000-0000-00004A220000}"/>
    <cellStyle name="Normal 2 2 10 28 4 10" xfId="8779" xr:uid="{00000000-0005-0000-0000-00004B220000}"/>
    <cellStyle name="Normal 2 2 10 28 4 2" xfId="8780" xr:uid="{00000000-0005-0000-0000-00004C220000}"/>
    <cellStyle name="Normal 2 2 10 28 4 3" xfId="8781" xr:uid="{00000000-0005-0000-0000-00004D220000}"/>
    <cellStyle name="Normal 2 2 10 28 4 4" xfId="8782" xr:uid="{00000000-0005-0000-0000-00004E220000}"/>
    <cellStyle name="Normal 2 2 10 28 4 5" xfId="8783" xr:uid="{00000000-0005-0000-0000-00004F220000}"/>
    <cellStyle name="Normal 2 2 10 28 4 6" xfId="8784" xr:uid="{00000000-0005-0000-0000-000050220000}"/>
    <cellStyle name="Normal 2 2 10 28 4 7" xfId="8785" xr:uid="{00000000-0005-0000-0000-000051220000}"/>
    <cellStyle name="Normal 2 2 10 28 4 8" xfId="8786" xr:uid="{00000000-0005-0000-0000-000052220000}"/>
    <cellStyle name="Normal 2 2 10 28 4 9" xfId="8787" xr:uid="{00000000-0005-0000-0000-000053220000}"/>
    <cellStyle name="Normal 2 2 10 28 5" xfId="8788" xr:uid="{00000000-0005-0000-0000-000054220000}"/>
    <cellStyle name="Normal 2 2 10 28 5 10" xfId="8789" xr:uid="{00000000-0005-0000-0000-000055220000}"/>
    <cellStyle name="Normal 2 2 10 28 5 2" xfId="8790" xr:uid="{00000000-0005-0000-0000-000056220000}"/>
    <cellStyle name="Normal 2 2 10 28 5 3" xfId="8791" xr:uid="{00000000-0005-0000-0000-000057220000}"/>
    <cellStyle name="Normal 2 2 10 28 5 4" xfId="8792" xr:uid="{00000000-0005-0000-0000-000058220000}"/>
    <cellStyle name="Normal 2 2 10 28 5 5" xfId="8793" xr:uid="{00000000-0005-0000-0000-000059220000}"/>
    <cellStyle name="Normal 2 2 10 28 5 6" xfId="8794" xr:uid="{00000000-0005-0000-0000-00005A220000}"/>
    <cellStyle name="Normal 2 2 10 28 5 7" xfId="8795" xr:uid="{00000000-0005-0000-0000-00005B220000}"/>
    <cellStyle name="Normal 2 2 10 28 5 8" xfId="8796" xr:uid="{00000000-0005-0000-0000-00005C220000}"/>
    <cellStyle name="Normal 2 2 10 28 5 9" xfId="8797" xr:uid="{00000000-0005-0000-0000-00005D220000}"/>
    <cellStyle name="Normal 2 2 10 28 6" xfId="8798" xr:uid="{00000000-0005-0000-0000-00005E220000}"/>
    <cellStyle name="Normal 2 2 10 28 7" xfId="8799" xr:uid="{00000000-0005-0000-0000-00005F220000}"/>
    <cellStyle name="Normal 2 2 10 28 8" xfId="8800" xr:uid="{00000000-0005-0000-0000-000060220000}"/>
    <cellStyle name="Normal 2 2 10 28 9" xfId="8801" xr:uid="{00000000-0005-0000-0000-000061220000}"/>
    <cellStyle name="Normal 2 2 10 29" xfId="8802" xr:uid="{00000000-0005-0000-0000-000062220000}"/>
    <cellStyle name="Normal 2 2 10 29 10" xfId="8803" xr:uid="{00000000-0005-0000-0000-000063220000}"/>
    <cellStyle name="Normal 2 2 10 29 11" xfId="8804" xr:uid="{00000000-0005-0000-0000-000064220000}"/>
    <cellStyle name="Normal 2 2 10 29 12" xfId="8805" xr:uid="{00000000-0005-0000-0000-000065220000}"/>
    <cellStyle name="Normal 2 2 10 29 13" xfId="8806" xr:uid="{00000000-0005-0000-0000-000066220000}"/>
    <cellStyle name="Normal 2 2 10 29 14" xfId="8807" xr:uid="{00000000-0005-0000-0000-000067220000}"/>
    <cellStyle name="Normal 2 2 10 29 2" xfId="8808" xr:uid="{00000000-0005-0000-0000-000068220000}"/>
    <cellStyle name="Normal 2 2 10 29 2 10" xfId="8809" xr:uid="{00000000-0005-0000-0000-000069220000}"/>
    <cellStyle name="Normal 2 2 10 29 2 2" xfId="8810" xr:uid="{00000000-0005-0000-0000-00006A220000}"/>
    <cellStyle name="Normal 2 2 10 29 2 3" xfId="8811" xr:uid="{00000000-0005-0000-0000-00006B220000}"/>
    <cellStyle name="Normal 2 2 10 29 2 4" xfId="8812" xr:uid="{00000000-0005-0000-0000-00006C220000}"/>
    <cellStyle name="Normal 2 2 10 29 2 5" xfId="8813" xr:uid="{00000000-0005-0000-0000-00006D220000}"/>
    <cellStyle name="Normal 2 2 10 29 2 6" xfId="8814" xr:uid="{00000000-0005-0000-0000-00006E220000}"/>
    <cellStyle name="Normal 2 2 10 29 2 7" xfId="8815" xr:uid="{00000000-0005-0000-0000-00006F220000}"/>
    <cellStyle name="Normal 2 2 10 29 2 8" xfId="8816" xr:uid="{00000000-0005-0000-0000-000070220000}"/>
    <cellStyle name="Normal 2 2 10 29 2 9" xfId="8817" xr:uid="{00000000-0005-0000-0000-000071220000}"/>
    <cellStyle name="Normal 2 2 10 29 3" xfId="8818" xr:uid="{00000000-0005-0000-0000-000072220000}"/>
    <cellStyle name="Normal 2 2 10 29 3 10" xfId="8819" xr:uid="{00000000-0005-0000-0000-000073220000}"/>
    <cellStyle name="Normal 2 2 10 29 3 2" xfId="8820" xr:uid="{00000000-0005-0000-0000-000074220000}"/>
    <cellStyle name="Normal 2 2 10 29 3 3" xfId="8821" xr:uid="{00000000-0005-0000-0000-000075220000}"/>
    <cellStyle name="Normal 2 2 10 29 3 4" xfId="8822" xr:uid="{00000000-0005-0000-0000-000076220000}"/>
    <cellStyle name="Normal 2 2 10 29 3 5" xfId="8823" xr:uid="{00000000-0005-0000-0000-000077220000}"/>
    <cellStyle name="Normal 2 2 10 29 3 6" xfId="8824" xr:uid="{00000000-0005-0000-0000-000078220000}"/>
    <cellStyle name="Normal 2 2 10 29 3 7" xfId="8825" xr:uid="{00000000-0005-0000-0000-000079220000}"/>
    <cellStyle name="Normal 2 2 10 29 3 8" xfId="8826" xr:uid="{00000000-0005-0000-0000-00007A220000}"/>
    <cellStyle name="Normal 2 2 10 29 3 9" xfId="8827" xr:uid="{00000000-0005-0000-0000-00007B220000}"/>
    <cellStyle name="Normal 2 2 10 29 4" xfId="8828" xr:uid="{00000000-0005-0000-0000-00007C220000}"/>
    <cellStyle name="Normal 2 2 10 29 4 10" xfId="8829" xr:uid="{00000000-0005-0000-0000-00007D220000}"/>
    <cellStyle name="Normal 2 2 10 29 4 2" xfId="8830" xr:uid="{00000000-0005-0000-0000-00007E220000}"/>
    <cellStyle name="Normal 2 2 10 29 4 3" xfId="8831" xr:uid="{00000000-0005-0000-0000-00007F220000}"/>
    <cellStyle name="Normal 2 2 10 29 4 4" xfId="8832" xr:uid="{00000000-0005-0000-0000-000080220000}"/>
    <cellStyle name="Normal 2 2 10 29 4 5" xfId="8833" xr:uid="{00000000-0005-0000-0000-000081220000}"/>
    <cellStyle name="Normal 2 2 10 29 4 6" xfId="8834" xr:uid="{00000000-0005-0000-0000-000082220000}"/>
    <cellStyle name="Normal 2 2 10 29 4 7" xfId="8835" xr:uid="{00000000-0005-0000-0000-000083220000}"/>
    <cellStyle name="Normal 2 2 10 29 4 8" xfId="8836" xr:uid="{00000000-0005-0000-0000-000084220000}"/>
    <cellStyle name="Normal 2 2 10 29 4 9" xfId="8837" xr:uid="{00000000-0005-0000-0000-000085220000}"/>
    <cellStyle name="Normal 2 2 10 29 5" xfId="8838" xr:uid="{00000000-0005-0000-0000-000086220000}"/>
    <cellStyle name="Normal 2 2 10 29 5 10" xfId="8839" xr:uid="{00000000-0005-0000-0000-000087220000}"/>
    <cellStyle name="Normal 2 2 10 29 5 2" xfId="8840" xr:uid="{00000000-0005-0000-0000-000088220000}"/>
    <cellStyle name="Normal 2 2 10 29 5 3" xfId="8841" xr:uid="{00000000-0005-0000-0000-000089220000}"/>
    <cellStyle name="Normal 2 2 10 29 5 4" xfId="8842" xr:uid="{00000000-0005-0000-0000-00008A220000}"/>
    <cellStyle name="Normal 2 2 10 29 5 5" xfId="8843" xr:uid="{00000000-0005-0000-0000-00008B220000}"/>
    <cellStyle name="Normal 2 2 10 29 5 6" xfId="8844" xr:uid="{00000000-0005-0000-0000-00008C220000}"/>
    <cellStyle name="Normal 2 2 10 29 5 7" xfId="8845" xr:uid="{00000000-0005-0000-0000-00008D220000}"/>
    <cellStyle name="Normal 2 2 10 29 5 8" xfId="8846" xr:uid="{00000000-0005-0000-0000-00008E220000}"/>
    <cellStyle name="Normal 2 2 10 29 5 9" xfId="8847" xr:uid="{00000000-0005-0000-0000-00008F220000}"/>
    <cellStyle name="Normal 2 2 10 29 6" xfId="8848" xr:uid="{00000000-0005-0000-0000-000090220000}"/>
    <cellStyle name="Normal 2 2 10 29 7" xfId="8849" xr:uid="{00000000-0005-0000-0000-000091220000}"/>
    <cellStyle name="Normal 2 2 10 29 8" xfId="8850" xr:uid="{00000000-0005-0000-0000-000092220000}"/>
    <cellStyle name="Normal 2 2 10 29 9" xfId="8851" xr:uid="{00000000-0005-0000-0000-000093220000}"/>
    <cellStyle name="Normal 2 2 10 3" xfId="8852" xr:uid="{00000000-0005-0000-0000-000094220000}"/>
    <cellStyle name="Normal 2 2 10 3 10" xfId="8853" xr:uid="{00000000-0005-0000-0000-000095220000}"/>
    <cellStyle name="Normal 2 2 10 3 11" xfId="8854" xr:uid="{00000000-0005-0000-0000-000096220000}"/>
    <cellStyle name="Normal 2 2 10 3 12" xfId="8855" xr:uid="{00000000-0005-0000-0000-000097220000}"/>
    <cellStyle name="Normal 2 2 10 3 13" xfId="8856" xr:uid="{00000000-0005-0000-0000-000098220000}"/>
    <cellStyle name="Normal 2 2 10 3 14" xfId="8857" xr:uid="{00000000-0005-0000-0000-000099220000}"/>
    <cellStyle name="Normal 2 2 10 3 2" xfId="8858" xr:uid="{00000000-0005-0000-0000-00009A220000}"/>
    <cellStyle name="Normal 2 2 10 3 2 10" xfId="8859" xr:uid="{00000000-0005-0000-0000-00009B220000}"/>
    <cellStyle name="Normal 2 2 10 3 2 2" xfId="8860" xr:uid="{00000000-0005-0000-0000-00009C220000}"/>
    <cellStyle name="Normal 2 2 10 3 2 3" xfId="8861" xr:uid="{00000000-0005-0000-0000-00009D220000}"/>
    <cellStyle name="Normal 2 2 10 3 2 4" xfId="8862" xr:uid="{00000000-0005-0000-0000-00009E220000}"/>
    <cellStyle name="Normal 2 2 10 3 2 5" xfId="8863" xr:uid="{00000000-0005-0000-0000-00009F220000}"/>
    <cellStyle name="Normal 2 2 10 3 2 6" xfId="8864" xr:uid="{00000000-0005-0000-0000-0000A0220000}"/>
    <cellStyle name="Normal 2 2 10 3 2 7" xfId="8865" xr:uid="{00000000-0005-0000-0000-0000A1220000}"/>
    <cellStyle name="Normal 2 2 10 3 2 8" xfId="8866" xr:uid="{00000000-0005-0000-0000-0000A2220000}"/>
    <cellStyle name="Normal 2 2 10 3 2 9" xfId="8867" xr:uid="{00000000-0005-0000-0000-0000A3220000}"/>
    <cellStyle name="Normal 2 2 10 3 3" xfId="8868" xr:uid="{00000000-0005-0000-0000-0000A4220000}"/>
    <cellStyle name="Normal 2 2 10 3 3 10" xfId="8869" xr:uid="{00000000-0005-0000-0000-0000A5220000}"/>
    <cellStyle name="Normal 2 2 10 3 3 2" xfId="8870" xr:uid="{00000000-0005-0000-0000-0000A6220000}"/>
    <cellStyle name="Normal 2 2 10 3 3 3" xfId="8871" xr:uid="{00000000-0005-0000-0000-0000A7220000}"/>
    <cellStyle name="Normal 2 2 10 3 3 4" xfId="8872" xr:uid="{00000000-0005-0000-0000-0000A8220000}"/>
    <cellStyle name="Normal 2 2 10 3 3 5" xfId="8873" xr:uid="{00000000-0005-0000-0000-0000A9220000}"/>
    <cellStyle name="Normal 2 2 10 3 3 6" xfId="8874" xr:uid="{00000000-0005-0000-0000-0000AA220000}"/>
    <cellStyle name="Normal 2 2 10 3 3 7" xfId="8875" xr:uid="{00000000-0005-0000-0000-0000AB220000}"/>
    <cellStyle name="Normal 2 2 10 3 3 8" xfId="8876" xr:uid="{00000000-0005-0000-0000-0000AC220000}"/>
    <cellStyle name="Normal 2 2 10 3 3 9" xfId="8877" xr:uid="{00000000-0005-0000-0000-0000AD220000}"/>
    <cellStyle name="Normal 2 2 10 3 4" xfId="8878" xr:uid="{00000000-0005-0000-0000-0000AE220000}"/>
    <cellStyle name="Normal 2 2 10 3 4 10" xfId="8879" xr:uid="{00000000-0005-0000-0000-0000AF220000}"/>
    <cellStyle name="Normal 2 2 10 3 4 2" xfId="8880" xr:uid="{00000000-0005-0000-0000-0000B0220000}"/>
    <cellStyle name="Normal 2 2 10 3 4 3" xfId="8881" xr:uid="{00000000-0005-0000-0000-0000B1220000}"/>
    <cellStyle name="Normal 2 2 10 3 4 4" xfId="8882" xr:uid="{00000000-0005-0000-0000-0000B2220000}"/>
    <cellStyle name="Normal 2 2 10 3 4 5" xfId="8883" xr:uid="{00000000-0005-0000-0000-0000B3220000}"/>
    <cellStyle name="Normal 2 2 10 3 4 6" xfId="8884" xr:uid="{00000000-0005-0000-0000-0000B4220000}"/>
    <cellStyle name="Normal 2 2 10 3 4 7" xfId="8885" xr:uid="{00000000-0005-0000-0000-0000B5220000}"/>
    <cellStyle name="Normal 2 2 10 3 4 8" xfId="8886" xr:uid="{00000000-0005-0000-0000-0000B6220000}"/>
    <cellStyle name="Normal 2 2 10 3 4 9" xfId="8887" xr:uid="{00000000-0005-0000-0000-0000B7220000}"/>
    <cellStyle name="Normal 2 2 10 3 5" xfId="8888" xr:uid="{00000000-0005-0000-0000-0000B8220000}"/>
    <cellStyle name="Normal 2 2 10 3 5 10" xfId="8889" xr:uid="{00000000-0005-0000-0000-0000B9220000}"/>
    <cellStyle name="Normal 2 2 10 3 5 2" xfId="8890" xr:uid="{00000000-0005-0000-0000-0000BA220000}"/>
    <cellStyle name="Normal 2 2 10 3 5 3" xfId="8891" xr:uid="{00000000-0005-0000-0000-0000BB220000}"/>
    <cellStyle name="Normal 2 2 10 3 5 4" xfId="8892" xr:uid="{00000000-0005-0000-0000-0000BC220000}"/>
    <cellStyle name="Normal 2 2 10 3 5 5" xfId="8893" xr:uid="{00000000-0005-0000-0000-0000BD220000}"/>
    <cellStyle name="Normal 2 2 10 3 5 6" xfId="8894" xr:uid="{00000000-0005-0000-0000-0000BE220000}"/>
    <cellStyle name="Normal 2 2 10 3 5 7" xfId="8895" xr:uid="{00000000-0005-0000-0000-0000BF220000}"/>
    <cellStyle name="Normal 2 2 10 3 5 8" xfId="8896" xr:uid="{00000000-0005-0000-0000-0000C0220000}"/>
    <cellStyle name="Normal 2 2 10 3 5 9" xfId="8897" xr:uid="{00000000-0005-0000-0000-0000C1220000}"/>
    <cellStyle name="Normal 2 2 10 3 6" xfId="8898" xr:uid="{00000000-0005-0000-0000-0000C2220000}"/>
    <cellStyle name="Normal 2 2 10 3 7" xfId="8899" xr:uid="{00000000-0005-0000-0000-0000C3220000}"/>
    <cellStyle name="Normal 2 2 10 3 8" xfId="8900" xr:uid="{00000000-0005-0000-0000-0000C4220000}"/>
    <cellStyle name="Normal 2 2 10 3 9" xfId="8901" xr:uid="{00000000-0005-0000-0000-0000C5220000}"/>
    <cellStyle name="Normal 2 2 10 30" xfId="8902" xr:uid="{00000000-0005-0000-0000-0000C6220000}"/>
    <cellStyle name="Normal 2 2 10 30 10" xfId="8903" xr:uid="{00000000-0005-0000-0000-0000C7220000}"/>
    <cellStyle name="Normal 2 2 10 30 11" xfId="8904" xr:uid="{00000000-0005-0000-0000-0000C8220000}"/>
    <cellStyle name="Normal 2 2 10 30 12" xfId="8905" xr:uid="{00000000-0005-0000-0000-0000C9220000}"/>
    <cellStyle name="Normal 2 2 10 30 13" xfId="8906" xr:uid="{00000000-0005-0000-0000-0000CA220000}"/>
    <cellStyle name="Normal 2 2 10 30 14" xfId="8907" xr:uid="{00000000-0005-0000-0000-0000CB220000}"/>
    <cellStyle name="Normal 2 2 10 30 2" xfId="8908" xr:uid="{00000000-0005-0000-0000-0000CC220000}"/>
    <cellStyle name="Normal 2 2 10 30 2 10" xfId="8909" xr:uid="{00000000-0005-0000-0000-0000CD220000}"/>
    <cellStyle name="Normal 2 2 10 30 2 2" xfId="8910" xr:uid="{00000000-0005-0000-0000-0000CE220000}"/>
    <cellStyle name="Normal 2 2 10 30 2 3" xfId="8911" xr:uid="{00000000-0005-0000-0000-0000CF220000}"/>
    <cellStyle name="Normal 2 2 10 30 2 4" xfId="8912" xr:uid="{00000000-0005-0000-0000-0000D0220000}"/>
    <cellStyle name="Normal 2 2 10 30 2 5" xfId="8913" xr:uid="{00000000-0005-0000-0000-0000D1220000}"/>
    <cellStyle name="Normal 2 2 10 30 2 6" xfId="8914" xr:uid="{00000000-0005-0000-0000-0000D2220000}"/>
    <cellStyle name="Normal 2 2 10 30 2 7" xfId="8915" xr:uid="{00000000-0005-0000-0000-0000D3220000}"/>
    <cellStyle name="Normal 2 2 10 30 2 8" xfId="8916" xr:uid="{00000000-0005-0000-0000-0000D4220000}"/>
    <cellStyle name="Normal 2 2 10 30 2 9" xfId="8917" xr:uid="{00000000-0005-0000-0000-0000D5220000}"/>
    <cellStyle name="Normal 2 2 10 30 3" xfId="8918" xr:uid="{00000000-0005-0000-0000-0000D6220000}"/>
    <cellStyle name="Normal 2 2 10 30 3 10" xfId="8919" xr:uid="{00000000-0005-0000-0000-0000D7220000}"/>
    <cellStyle name="Normal 2 2 10 30 3 2" xfId="8920" xr:uid="{00000000-0005-0000-0000-0000D8220000}"/>
    <cellStyle name="Normal 2 2 10 30 3 3" xfId="8921" xr:uid="{00000000-0005-0000-0000-0000D9220000}"/>
    <cellStyle name="Normal 2 2 10 30 3 4" xfId="8922" xr:uid="{00000000-0005-0000-0000-0000DA220000}"/>
    <cellStyle name="Normal 2 2 10 30 3 5" xfId="8923" xr:uid="{00000000-0005-0000-0000-0000DB220000}"/>
    <cellStyle name="Normal 2 2 10 30 3 6" xfId="8924" xr:uid="{00000000-0005-0000-0000-0000DC220000}"/>
    <cellStyle name="Normal 2 2 10 30 3 7" xfId="8925" xr:uid="{00000000-0005-0000-0000-0000DD220000}"/>
    <cellStyle name="Normal 2 2 10 30 3 8" xfId="8926" xr:uid="{00000000-0005-0000-0000-0000DE220000}"/>
    <cellStyle name="Normal 2 2 10 30 3 9" xfId="8927" xr:uid="{00000000-0005-0000-0000-0000DF220000}"/>
    <cellStyle name="Normal 2 2 10 30 4" xfId="8928" xr:uid="{00000000-0005-0000-0000-0000E0220000}"/>
    <cellStyle name="Normal 2 2 10 30 4 10" xfId="8929" xr:uid="{00000000-0005-0000-0000-0000E1220000}"/>
    <cellStyle name="Normal 2 2 10 30 4 2" xfId="8930" xr:uid="{00000000-0005-0000-0000-0000E2220000}"/>
    <cellStyle name="Normal 2 2 10 30 4 3" xfId="8931" xr:uid="{00000000-0005-0000-0000-0000E3220000}"/>
    <cellStyle name="Normal 2 2 10 30 4 4" xfId="8932" xr:uid="{00000000-0005-0000-0000-0000E4220000}"/>
    <cellStyle name="Normal 2 2 10 30 4 5" xfId="8933" xr:uid="{00000000-0005-0000-0000-0000E5220000}"/>
    <cellStyle name="Normal 2 2 10 30 4 6" xfId="8934" xr:uid="{00000000-0005-0000-0000-0000E6220000}"/>
    <cellStyle name="Normal 2 2 10 30 4 7" xfId="8935" xr:uid="{00000000-0005-0000-0000-0000E7220000}"/>
    <cellStyle name="Normal 2 2 10 30 4 8" xfId="8936" xr:uid="{00000000-0005-0000-0000-0000E8220000}"/>
    <cellStyle name="Normal 2 2 10 30 4 9" xfId="8937" xr:uid="{00000000-0005-0000-0000-0000E9220000}"/>
    <cellStyle name="Normal 2 2 10 30 5" xfId="8938" xr:uid="{00000000-0005-0000-0000-0000EA220000}"/>
    <cellStyle name="Normal 2 2 10 30 5 10" xfId="8939" xr:uid="{00000000-0005-0000-0000-0000EB220000}"/>
    <cellStyle name="Normal 2 2 10 30 5 2" xfId="8940" xr:uid="{00000000-0005-0000-0000-0000EC220000}"/>
    <cellStyle name="Normal 2 2 10 30 5 3" xfId="8941" xr:uid="{00000000-0005-0000-0000-0000ED220000}"/>
    <cellStyle name="Normal 2 2 10 30 5 4" xfId="8942" xr:uid="{00000000-0005-0000-0000-0000EE220000}"/>
    <cellStyle name="Normal 2 2 10 30 5 5" xfId="8943" xr:uid="{00000000-0005-0000-0000-0000EF220000}"/>
    <cellStyle name="Normal 2 2 10 30 5 6" xfId="8944" xr:uid="{00000000-0005-0000-0000-0000F0220000}"/>
    <cellStyle name="Normal 2 2 10 30 5 7" xfId="8945" xr:uid="{00000000-0005-0000-0000-0000F1220000}"/>
    <cellStyle name="Normal 2 2 10 30 5 8" xfId="8946" xr:uid="{00000000-0005-0000-0000-0000F2220000}"/>
    <cellStyle name="Normal 2 2 10 30 5 9" xfId="8947" xr:uid="{00000000-0005-0000-0000-0000F3220000}"/>
    <cellStyle name="Normal 2 2 10 30 6" xfId="8948" xr:uid="{00000000-0005-0000-0000-0000F4220000}"/>
    <cellStyle name="Normal 2 2 10 30 7" xfId="8949" xr:uid="{00000000-0005-0000-0000-0000F5220000}"/>
    <cellStyle name="Normal 2 2 10 30 8" xfId="8950" xr:uid="{00000000-0005-0000-0000-0000F6220000}"/>
    <cellStyle name="Normal 2 2 10 30 9" xfId="8951" xr:uid="{00000000-0005-0000-0000-0000F7220000}"/>
    <cellStyle name="Normal 2 2 10 31" xfId="8952" xr:uid="{00000000-0005-0000-0000-0000F8220000}"/>
    <cellStyle name="Normal 2 2 10 31 10" xfId="8953" xr:uid="{00000000-0005-0000-0000-0000F9220000}"/>
    <cellStyle name="Normal 2 2 10 31 11" xfId="8954" xr:uid="{00000000-0005-0000-0000-0000FA220000}"/>
    <cellStyle name="Normal 2 2 10 31 12" xfId="8955" xr:uid="{00000000-0005-0000-0000-0000FB220000}"/>
    <cellStyle name="Normal 2 2 10 31 13" xfId="8956" xr:uid="{00000000-0005-0000-0000-0000FC220000}"/>
    <cellStyle name="Normal 2 2 10 31 14" xfId="8957" xr:uid="{00000000-0005-0000-0000-0000FD220000}"/>
    <cellStyle name="Normal 2 2 10 31 2" xfId="8958" xr:uid="{00000000-0005-0000-0000-0000FE220000}"/>
    <cellStyle name="Normal 2 2 10 31 2 10" xfId="8959" xr:uid="{00000000-0005-0000-0000-0000FF220000}"/>
    <cellStyle name="Normal 2 2 10 31 2 2" xfId="8960" xr:uid="{00000000-0005-0000-0000-000000230000}"/>
    <cellStyle name="Normal 2 2 10 31 2 3" xfId="8961" xr:uid="{00000000-0005-0000-0000-000001230000}"/>
    <cellStyle name="Normal 2 2 10 31 2 4" xfId="8962" xr:uid="{00000000-0005-0000-0000-000002230000}"/>
    <cellStyle name="Normal 2 2 10 31 2 5" xfId="8963" xr:uid="{00000000-0005-0000-0000-000003230000}"/>
    <cellStyle name="Normal 2 2 10 31 2 6" xfId="8964" xr:uid="{00000000-0005-0000-0000-000004230000}"/>
    <cellStyle name="Normal 2 2 10 31 2 7" xfId="8965" xr:uid="{00000000-0005-0000-0000-000005230000}"/>
    <cellStyle name="Normal 2 2 10 31 2 8" xfId="8966" xr:uid="{00000000-0005-0000-0000-000006230000}"/>
    <cellStyle name="Normal 2 2 10 31 2 9" xfId="8967" xr:uid="{00000000-0005-0000-0000-000007230000}"/>
    <cellStyle name="Normal 2 2 10 31 3" xfId="8968" xr:uid="{00000000-0005-0000-0000-000008230000}"/>
    <cellStyle name="Normal 2 2 10 31 3 10" xfId="8969" xr:uid="{00000000-0005-0000-0000-000009230000}"/>
    <cellStyle name="Normal 2 2 10 31 3 2" xfId="8970" xr:uid="{00000000-0005-0000-0000-00000A230000}"/>
    <cellStyle name="Normal 2 2 10 31 3 3" xfId="8971" xr:uid="{00000000-0005-0000-0000-00000B230000}"/>
    <cellStyle name="Normal 2 2 10 31 3 4" xfId="8972" xr:uid="{00000000-0005-0000-0000-00000C230000}"/>
    <cellStyle name="Normal 2 2 10 31 3 5" xfId="8973" xr:uid="{00000000-0005-0000-0000-00000D230000}"/>
    <cellStyle name="Normal 2 2 10 31 3 6" xfId="8974" xr:uid="{00000000-0005-0000-0000-00000E230000}"/>
    <cellStyle name="Normal 2 2 10 31 3 7" xfId="8975" xr:uid="{00000000-0005-0000-0000-00000F230000}"/>
    <cellStyle name="Normal 2 2 10 31 3 8" xfId="8976" xr:uid="{00000000-0005-0000-0000-000010230000}"/>
    <cellStyle name="Normal 2 2 10 31 3 9" xfId="8977" xr:uid="{00000000-0005-0000-0000-000011230000}"/>
    <cellStyle name="Normal 2 2 10 31 4" xfId="8978" xr:uid="{00000000-0005-0000-0000-000012230000}"/>
    <cellStyle name="Normal 2 2 10 31 4 10" xfId="8979" xr:uid="{00000000-0005-0000-0000-000013230000}"/>
    <cellStyle name="Normal 2 2 10 31 4 2" xfId="8980" xr:uid="{00000000-0005-0000-0000-000014230000}"/>
    <cellStyle name="Normal 2 2 10 31 4 3" xfId="8981" xr:uid="{00000000-0005-0000-0000-000015230000}"/>
    <cellStyle name="Normal 2 2 10 31 4 4" xfId="8982" xr:uid="{00000000-0005-0000-0000-000016230000}"/>
    <cellStyle name="Normal 2 2 10 31 4 5" xfId="8983" xr:uid="{00000000-0005-0000-0000-000017230000}"/>
    <cellStyle name="Normal 2 2 10 31 4 6" xfId="8984" xr:uid="{00000000-0005-0000-0000-000018230000}"/>
    <cellStyle name="Normal 2 2 10 31 4 7" xfId="8985" xr:uid="{00000000-0005-0000-0000-000019230000}"/>
    <cellStyle name="Normal 2 2 10 31 4 8" xfId="8986" xr:uid="{00000000-0005-0000-0000-00001A230000}"/>
    <cellStyle name="Normal 2 2 10 31 4 9" xfId="8987" xr:uid="{00000000-0005-0000-0000-00001B230000}"/>
    <cellStyle name="Normal 2 2 10 31 5" xfId="8988" xr:uid="{00000000-0005-0000-0000-00001C230000}"/>
    <cellStyle name="Normal 2 2 10 31 5 10" xfId="8989" xr:uid="{00000000-0005-0000-0000-00001D230000}"/>
    <cellStyle name="Normal 2 2 10 31 5 2" xfId="8990" xr:uid="{00000000-0005-0000-0000-00001E230000}"/>
    <cellStyle name="Normal 2 2 10 31 5 3" xfId="8991" xr:uid="{00000000-0005-0000-0000-00001F230000}"/>
    <cellStyle name="Normal 2 2 10 31 5 4" xfId="8992" xr:uid="{00000000-0005-0000-0000-000020230000}"/>
    <cellStyle name="Normal 2 2 10 31 5 5" xfId="8993" xr:uid="{00000000-0005-0000-0000-000021230000}"/>
    <cellStyle name="Normal 2 2 10 31 5 6" xfId="8994" xr:uid="{00000000-0005-0000-0000-000022230000}"/>
    <cellStyle name="Normal 2 2 10 31 5 7" xfId="8995" xr:uid="{00000000-0005-0000-0000-000023230000}"/>
    <cellStyle name="Normal 2 2 10 31 5 8" xfId="8996" xr:uid="{00000000-0005-0000-0000-000024230000}"/>
    <cellStyle name="Normal 2 2 10 31 5 9" xfId="8997" xr:uid="{00000000-0005-0000-0000-000025230000}"/>
    <cellStyle name="Normal 2 2 10 31 6" xfId="8998" xr:uid="{00000000-0005-0000-0000-000026230000}"/>
    <cellStyle name="Normal 2 2 10 31 7" xfId="8999" xr:uid="{00000000-0005-0000-0000-000027230000}"/>
    <cellStyle name="Normal 2 2 10 31 8" xfId="9000" xr:uid="{00000000-0005-0000-0000-000028230000}"/>
    <cellStyle name="Normal 2 2 10 31 9" xfId="9001" xr:uid="{00000000-0005-0000-0000-000029230000}"/>
    <cellStyle name="Normal 2 2 10 32" xfId="9002" xr:uid="{00000000-0005-0000-0000-00002A230000}"/>
    <cellStyle name="Normal 2 2 10 32 10" xfId="9003" xr:uid="{00000000-0005-0000-0000-00002B230000}"/>
    <cellStyle name="Normal 2 2 10 32 11" xfId="9004" xr:uid="{00000000-0005-0000-0000-00002C230000}"/>
    <cellStyle name="Normal 2 2 10 32 12" xfId="9005" xr:uid="{00000000-0005-0000-0000-00002D230000}"/>
    <cellStyle name="Normal 2 2 10 32 13" xfId="9006" xr:uid="{00000000-0005-0000-0000-00002E230000}"/>
    <cellStyle name="Normal 2 2 10 32 14" xfId="9007" xr:uid="{00000000-0005-0000-0000-00002F230000}"/>
    <cellStyle name="Normal 2 2 10 32 2" xfId="9008" xr:uid="{00000000-0005-0000-0000-000030230000}"/>
    <cellStyle name="Normal 2 2 10 32 2 10" xfId="9009" xr:uid="{00000000-0005-0000-0000-000031230000}"/>
    <cellStyle name="Normal 2 2 10 32 2 2" xfId="9010" xr:uid="{00000000-0005-0000-0000-000032230000}"/>
    <cellStyle name="Normal 2 2 10 32 2 3" xfId="9011" xr:uid="{00000000-0005-0000-0000-000033230000}"/>
    <cellStyle name="Normal 2 2 10 32 2 4" xfId="9012" xr:uid="{00000000-0005-0000-0000-000034230000}"/>
    <cellStyle name="Normal 2 2 10 32 2 5" xfId="9013" xr:uid="{00000000-0005-0000-0000-000035230000}"/>
    <cellStyle name="Normal 2 2 10 32 2 6" xfId="9014" xr:uid="{00000000-0005-0000-0000-000036230000}"/>
    <cellStyle name="Normal 2 2 10 32 2 7" xfId="9015" xr:uid="{00000000-0005-0000-0000-000037230000}"/>
    <cellStyle name="Normal 2 2 10 32 2 8" xfId="9016" xr:uid="{00000000-0005-0000-0000-000038230000}"/>
    <cellStyle name="Normal 2 2 10 32 2 9" xfId="9017" xr:uid="{00000000-0005-0000-0000-000039230000}"/>
    <cellStyle name="Normal 2 2 10 32 3" xfId="9018" xr:uid="{00000000-0005-0000-0000-00003A230000}"/>
    <cellStyle name="Normal 2 2 10 32 3 10" xfId="9019" xr:uid="{00000000-0005-0000-0000-00003B230000}"/>
    <cellStyle name="Normal 2 2 10 32 3 2" xfId="9020" xr:uid="{00000000-0005-0000-0000-00003C230000}"/>
    <cellStyle name="Normal 2 2 10 32 3 3" xfId="9021" xr:uid="{00000000-0005-0000-0000-00003D230000}"/>
    <cellStyle name="Normal 2 2 10 32 3 4" xfId="9022" xr:uid="{00000000-0005-0000-0000-00003E230000}"/>
    <cellStyle name="Normal 2 2 10 32 3 5" xfId="9023" xr:uid="{00000000-0005-0000-0000-00003F230000}"/>
    <cellStyle name="Normal 2 2 10 32 3 6" xfId="9024" xr:uid="{00000000-0005-0000-0000-000040230000}"/>
    <cellStyle name="Normal 2 2 10 32 3 7" xfId="9025" xr:uid="{00000000-0005-0000-0000-000041230000}"/>
    <cellStyle name="Normal 2 2 10 32 3 8" xfId="9026" xr:uid="{00000000-0005-0000-0000-000042230000}"/>
    <cellStyle name="Normal 2 2 10 32 3 9" xfId="9027" xr:uid="{00000000-0005-0000-0000-000043230000}"/>
    <cellStyle name="Normal 2 2 10 32 4" xfId="9028" xr:uid="{00000000-0005-0000-0000-000044230000}"/>
    <cellStyle name="Normal 2 2 10 32 4 10" xfId="9029" xr:uid="{00000000-0005-0000-0000-000045230000}"/>
    <cellStyle name="Normal 2 2 10 32 4 2" xfId="9030" xr:uid="{00000000-0005-0000-0000-000046230000}"/>
    <cellStyle name="Normal 2 2 10 32 4 3" xfId="9031" xr:uid="{00000000-0005-0000-0000-000047230000}"/>
    <cellStyle name="Normal 2 2 10 32 4 4" xfId="9032" xr:uid="{00000000-0005-0000-0000-000048230000}"/>
    <cellStyle name="Normal 2 2 10 32 4 5" xfId="9033" xr:uid="{00000000-0005-0000-0000-000049230000}"/>
    <cellStyle name="Normal 2 2 10 32 4 6" xfId="9034" xr:uid="{00000000-0005-0000-0000-00004A230000}"/>
    <cellStyle name="Normal 2 2 10 32 4 7" xfId="9035" xr:uid="{00000000-0005-0000-0000-00004B230000}"/>
    <cellStyle name="Normal 2 2 10 32 4 8" xfId="9036" xr:uid="{00000000-0005-0000-0000-00004C230000}"/>
    <cellStyle name="Normal 2 2 10 32 4 9" xfId="9037" xr:uid="{00000000-0005-0000-0000-00004D230000}"/>
    <cellStyle name="Normal 2 2 10 32 5" xfId="9038" xr:uid="{00000000-0005-0000-0000-00004E230000}"/>
    <cellStyle name="Normal 2 2 10 32 5 10" xfId="9039" xr:uid="{00000000-0005-0000-0000-00004F230000}"/>
    <cellStyle name="Normal 2 2 10 32 5 2" xfId="9040" xr:uid="{00000000-0005-0000-0000-000050230000}"/>
    <cellStyle name="Normal 2 2 10 32 5 3" xfId="9041" xr:uid="{00000000-0005-0000-0000-000051230000}"/>
    <cellStyle name="Normal 2 2 10 32 5 4" xfId="9042" xr:uid="{00000000-0005-0000-0000-000052230000}"/>
    <cellStyle name="Normal 2 2 10 32 5 5" xfId="9043" xr:uid="{00000000-0005-0000-0000-000053230000}"/>
    <cellStyle name="Normal 2 2 10 32 5 6" xfId="9044" xr:uid="{00000000-0005-0000-0000-000054230000}"/>
    <cellStyle name="Normal 2 2 10 32 5 7" xfId="9045" xr:uid="{00000000-0005-0000-0000-000055230000}"/>
    <cellStyle name="Normal 2 2 10 32 5 8" xfId="9046" xr:uid="{00000000-0005-0000-0000-000056230000}"/>
    <cellStyle name="Normal 2 2 10 32 5 9" xfId="9047" xr:uid="{00000000-0005-0000-0000-000057230000}"/>
    <cellStyle name="Normal 2 2 10 32 6" xfId="9048" xr:uid="{00000000-0005-0000-0000-000058230000}"/>
    <cellStyle name="Normal 2 2 10 32 7" xfId="9049" xr:uid="{00000000-0005-0000-0000-000059230000}"/>
    <cellStyle name="Normal 2 2 10 32 8" xfId="9050" xr:uid="{00000000-0005-0000-0000-00005A230000}"/>
    <cellStyle name="Normal 2 2 10 32 9" xfId="9051" xr:uid="{00000000-0005-0000-0000-00005B230000}"/>
    <cellStyle name="Normal 2 2 10 33" xfId="9052" xr:uid="{00000000-0005-0000-0000-00005C230000}"/>
    <cellStyle name="Normal 2 2 10 33 10" xfId="9053" xr:uid="{00000000-0005-0000-0000-00005D230000}"/>
    <cellStyle name="Normal 2 2 10 33 11" xfId="9054" xr:uid="{00000000-0005-0000-0000-00005E230000}"/>
    <cellStyle name="Normal 2 2 10 33 12" xfId="9055" xr:uid="{00000000-0005-0000-0000-00005F230000}"/>
    <cellStyle name="Normal 2 2 10 33 13" xfId="9056" xr:uid="{00000000-0005-0000-0000-000060230000}"/>
    <cellStyle name="Normal 2 2 10 33 14" xfId="9057" xr:uid="{00000000-0005-0000-0000-000061230000}"/>
    <cellStyle name="Normal 2 2 10 33 2" xfId="9058" xr:uid="{00000000-0005-0000-0000-000062230000}"/>
    <cellStyle name="Normal 2 2 10 33 2 10" xfId="9059" xr:uid="{00000000-0005-0000-0000-000063230000}"/>
    <cellStyle name="Normal 2 2 10 33 2 2" xfId="9060" xr:uid="{00000000-0005-0000-0000-000064230000}"/>
    <cellStyle name="Normal 2 2 10 33 2 3" xfId="9061" xr:uid="{00000000-0005-0000-0000-000065230000}"/>
    <cellStyle name="Normal 2 2 10 33 2 4" xfId="9062" xr:uid="{00000000-0005-0000-0000-000066230000}"/>
    <cellStyle name="Normal 2 2 10 33 2 5" xfId="9063" xr:uid="{00000000-0005-0000-0000-000067230000}"/>
    <cellStyle name="Normal 2 2 10 33 2 6" xfId="9064" xr:uid="{00000000-0005-0000-0000-000068230000}"/>
    <cellStyle name="Normal 2 2 10 33 2 7" xfId="9065" xr:uid="{00000000-0005-0000-0000-000069230000}"/>
    <cellStyle name="Normal 2 2 10 33 2 8" xfId="9066" xr:uid="{00000000-0005-0000-0000-00006A230000}"/>
    <cellStyle name="Normal 2 2 10 33 2 9" xfId="9067" xr:uid="{00000000-0005-0000-0000-00006B230000}"/>
    <cellStyle name="Normal 2 2 10 33 3" xfId="9068" xr:uid="{00000000-0005-0000-0000-00006C230000}"/>
    <cellStyle name="Normal 2 2 10 33 3 10" xfId="9069" xr:uid="{00000000-0005-0000-0000-00006D230000}"/>
    <cellStyle name="Normal 2 2 10 33 3 2" xfId="9070" xr:uid="{00000000-0005-0000-0000-00006E230000}"/>
    <cellStyle name="Normal 2 2 10 33 3 3" xfId="9071" xr:uid="{00000000-0005-0000-0000-00006F230000}"/>
    <cellStyle name="Normal 2 2 10 33 3 4" xfId="9072" xr:uid="{00000000-0005-0000-0000-000070230000}"/>
    <cellStyle name="Normal 2 2 10 33 3 5" xfId="9073" xr:uid="{00000000-0005-0000-0000-000071230000}"/>
    <cellStyle name="Normal 2 2 10 33 3 6" xfId="9074" xr:uid="{00000000-0005-0000-0000-000072230000}"/>
    <cellStyle name="Normal 2 2 10 33 3 7" xfId="9075" xr:uid="{00000000-0005-0000-0000-000073230000}"/>
    <cellStyle name="Normal 2 2 10 33 3 8" xfId="9076" xr:uid="{00000000-0005-0000-0000-000074230000}"/>
    <cellStyle name="Normal 2 2 10 33 3 9" xfId="9077" xr:uid="{00000000-0005-0000-0000-000075230000}"/>
    <cellStyle name="Normal 2 2 10 33 4" xfId="9078" xr:uid="{00000000-0005-0000-0000-000076230000}"/>
    <cellStyle name="Normal 2 2 10 33 4 10" xfId="9079" xr:uid="{00000000-0005-0000-0000-000077230000}"/>
    <cellStyle name="Normal 2 2 10 33 4 2" xfId="9080" xr:uid="{00000000-0005-0000-0000-000078230000}"/>
    <cellStyle name="Normal 2 2 10 33 4 3" xfId="9081" xr:uid="{00000000-0005-0000-0000-000079230000}"/>
    <cellStyle name="Normal 2 2 10 33 4 4" xfId="9082" xr:uid="{00000000-0005-0000-0000-00007A230000}"/>
    <cellStyle name="Normal 2 2 10 33 4 5" xfId="9083" xr:uid="{00000000-0005-0000-0000-00007B230000}"/>
    <cellStyle name="Normal 2 2 10 33 4 6" xfId="9084" xr:uid="{00000000-0005-0000-0000-00007C230000}"/>
    <cellStyle name="Normal 2 2 10 33 4 7" xfId="9085" xr:uid="{00000000-0005-0000-0000-00007D230000}"/>
    <cellStyle name="Normal 2 2 10 33 4 8" xfId="9086" xr:uid="{00000000-0005-0000-0000-00007E230000}"/>
    <cellStyle name="Normal 2 2 10 33 4 9" xfId="9087" xr:uid="{00000000-0005-0000-0000-00007F230000}"/>
    <cellStyle name="Normal 2 2 10 33 5" xfId="9088" xr:uid="{00000000-0005-0000-0000-000080230000}"/>
    <cellStyle name="Normal 2 2 10 33 5 10" xfId="9089" xr:uid="{00000000-0005-0000-0000-000081230000}"/>
    <cellStyle name="Normal 2 2 10 33 5 2" xfId="9090" xr:uid="{00000000-0005-0000-0000-000082230000}"/>
    <cellStyle name="Normal 2 2 10 33 5 3" xfId="9091" xr:uid="{00000000-0005-0000-0000-000083230000}"/>
    <cellStyle name="Normal 2 2 10 33 5 4" xfId="9092" xr:uid="{00000000-0005-0000-0000-000084230000}"/>
    <cellStyle name="Normal 2 2 10 33 5 5" xfId="9093" xr:uid="{00000000-0005-0000-0000-000085230000}"/>
    <cellStyle name="Normal 2 2 10 33 5 6" xfId="9094" xr:uid="{00000000-0005-0000-0000-000086230000}"/>
    <cellStyle name="Normal 2 2 10 33 5 7" xfId="9095" xr:uid="{00000000-0005-0000-0000-000087230000}"/>
    <cellStyle name="Normal 2 2 10 33 5 8" xfId="9096" xr:uid="{00000000-0005-0000-0000-000088230000}"/>
    <cellStyle name="Normal 2 2 10 33 5 9" xfId="9097" xr:uid="{00000000-0005-0000-0000-000089230000}"/>
    <cellStyle name="Normal 2 2 10 33 6" xfId="9098" xr:uid="{00000000-0005-0000-0000-00008A230000}"/>
    <cellStyle name="Normal 2 2 10 33 7" xfId="9099" xr:uid="{00000000-0005-0000-0000-00008B230000}"/>
    <cellStyle name="Normal 2 2 10 33 8" xfId="9100" xr:uid="{00000000-0005-0000-0000-00008C230000}"/>
    <cellStyle name="Normal 2 2 10 33 9" xfId="9101" xr:uid="{00000000-0005-0000-0000-00008D230000}"/>
    <cellStyle name="Normal 2 2 10 34" xfId="9102" xr:uid="{00000000-0005-0000-0000-00008E230000}"/>
    <cellStyle name="Normal 2 2 10 34 10" xfId="9103" xr:uid="{00000000-0005-0000-0000-00008F230000}"/>
    <cellStyle name="Normal 2 2 10 34 11" xfId="9104" xr:uid="{00000000-0005-0000-0000-000090230000}"/>
    <cellStyle name="Normal 2 2 10 34 12" xfId="9105" xr:uid="{00000000-0005-0000-0000-000091230000}"/>
    <cellStyle name="Normal 2 2 10 34 13" xfId="9106" xr:uid="{00000000-0005-0000-0000-000092230000}"/>
    <cellStyle name="Normal 2 2 10 34 14" xfId="9107" xr:uid="{00000000-0005-0000-0000-000093230000}"/>
    <cellStyle name="Normal 2 2 10 34 2" xfId="9108" xr:uid="{00000000-0005-0000-0000-000094230000}"/>
    <cellStyle name="Normal 2 2 10 34 2 10" xfId="9109" xr:uid="{00000000-0005-0000-0000-000095230000}"/>
    <cellStyle name="Normal 2 2 10 34 2 2" xfId="9110" xr:uid="{00000000-0005-0000-0000-000096230000}"/>
    <cellStyle name="Normal 2 2 10 34 2 3" xfId="9111" xr:uid="{00000000-0005-0000-0000-000097230000}"/>
    <cellStyle name="Normal 2 2 10 34 2 4" xfId="9112" xr:uid="{00000000-0005-0000-0000-000098230000}"/>
    <cellStyle name="Normal 2 2 10 34 2 5" xfId="9113" xr:uid="{00000000-0005-0000-0000-000099230000}"/>
    <cellStyle name="Normal 2 2 10 34 2 6" xfId="9114" xr:uid="{00000000-0005-0000-0000-00009A230000}"/>
    <cellStyle name="Normal 2 2 10 34 2 7" xfId="9115" xr:uid="{00000000-0005-0000-0000-00009B230000}"/>
    <cellStyle name="Normal 2 2 10 34 2 8" xfId="9116" xr:uid="{00000000-0005-0000-0000-00009C230000}"/>
    <cellStyle name="Normal 2 2 10 34 2 9" xfId="9117" xr:uid="{00000000-0005-0000-0000-00009D230000}"/>
    <cellStyle name="Normal 2 2 10 34 3" xfId="9118" xr:uid="{00000000-0005-0000-0000-00009E230000}"/>
    <cellStyle name="Normal 2 2 10 34 3 10" xfId="9119" xr:uid="{00000000-0005-0000-0000-00009F230000}"/>
    <cellStyle name="Normal 2 2 10 34 3 2" xfId="9120" xr:uid="{00000000-0005-0000-0000-0000A0230000}"/>
    <cellStyle name="Normal 2 2 10 34 3 3" xfId="9121" xr:uid="{00000000-0005-0000-0000-0000A1230000}"/>
    <cellStyle name="Normal 2 2 10 34 3 4" xfId="9122" xr:uid="{00000000-0005-0000-0000-0000A2230000}"/>
    <cellStyle name="Normal 2 2 10 34 3 5" xfId="9123" xr:uid="{00000000-0005-0000-0000-0000A3230000}"/>
    <cellStyle name="Normal 2 2 10 34 3 6" xfId="9124" xr:uid="{00000000-0005-0000-0000-0000A4230000}"/>
    <cellStyle name="Normal 2 2 10 34 3 7" xfId="9125" xr:uid="{00000000-0005-0000-0000-0000A5230000}"/>
    <cellStyle name="Normal 2 2 10 34 3 8" xfId="9126" xr:uid="{00000000-0005-0000-0000-0000A6230000}"/>
    <cellStyle name="Normal 2 2 10 34 3 9" xfId="9127" xr:uid="{00000000-0005-0000-0000-0000A7230000}"/>
    <cellStyle name="Normal 2 2 10 34 4" xfId="9128" xr:uid="{00000000-0005-0000-0000-0000A8230000}"/>
    <cellStyle name="Normal 2 2 10 34 4 10" xfId="9129" xr:uid="{00000000-0005-0000-0000-0000A9230000}"/>
    <cellStyle name="Normal 2 2 10 34 4 2" xfId="9130" xr:uid="{00000000-0005-0000-0000-0000AA230000}"/>
    <cellStyle name="Normal 2 2 10 34 4 3" xfId="9131" xr:uid="{00000000-0005-0000-0000-0000AB230000}"/>
    <cellStyle name="Normal 2 2 10 34 4 4" xfId="9132" xr:uid="{00000000-0005-0000-0000-0000AC230000}"/>
    <cellStyle name="Normal 2 2 10 34 4 5" xfId="9133" xr:uid="{00000000-0005-0000-0000-0000AD230000}"/>
    <cellStyle name="Normal 2 2 10 34 4 6" xfId="9134" xr:uid="{00000000-0005-0000-0000-0000AE230000}"/>
    <cellStyle name="Normal 2 2 10 34 4 7" xfId="9135" xr:uid="{00000000-0005-0000-0000-0000AF230000}"/>
    <cellStyle name="Normal 2 2 10 34 4 8" xfId="9136" xr:uid="{00000000-0005-0000-0000-0000B0230000}"/>
    <cellStyle name="Normal 2 2 10 34 4 9" xfId="9137" xr:uid="{00000000-0005-0000-0000-0000B1230000}"/>
    <cellStyle name="Normal 2 2 10 34 5" xfId="9138" xr:uid="{00000000-0005-0000-0000-0000B2230000}"/>
    <cellStyle name="Normal 2 2 10 34 5 10" xfId="9139" xr:uid="{00000000-0005-0000-0000-0000B3230000}"/>
    <cellStyle name="Normal 2 2 10 34 5 2" xfId="9140" xr:uid="{00000000-0005-0000-0000-0000B4230000}"/>
    <cellStyle name="Normal 2 2 10 34 5 3" xfId="9141" xr:uid="{00000000-0005-0000-0000-0000B5230000}"/>
    <cellStyle name="Normal 2 2 10 34 5 4" xfId="9142" xr:uid="{00000000-0005-0000-0000-0000B6230000}"/>
    <cellStyle name="Normal 2 2 10 34 5 5" xfId="9143" xr:uid="{00000000-0005-0000-0000-0000B7230000}"/>
    <cellStyle name="Normal 2 2 10 34 5 6" xfId="9144" xr:uid="{00000000-0005-0000-0000-0000B8230000}"/>
    <cellStyle name="Normal 2 2 10 34 5 7" xfId="9145" xr:uid="{00000000-0005-0000-0000-0000B9230000}"/>
    <cellStyle name="Normal 2 2 10 34 5 8" xfId="9146" xr:uid="{00000000-0005-0000-0000-0000BA230000}"/>
    <cellStyle name="Normal 2 2 10 34 5 9" xfId="9147" xr:uid="{00000000-0005-0000-0000-0000BB230000}"/>
    <cellStyle name="Normal 2 2 10 34 6" xfId="9148" xr:uid="{00000000-0005-0000-0000-0000BC230000}"/>
    <cellStyle name="Normal 2 2 10 34 7" xfId="9149" xr:uid="{00000000-0005-0000-0000-0000BD230000}"/>
    <cellStyle name="Normal 2 2 10 34 8" xfId="9150" xr:uid="{00000000-0005-0000-0000-0000BE230000}"/>
    <cellStyle name="Normal 2 2 10 34 9" xfId="9151" xr:uid="{00000000-0005-0000-0000-0000BF230000}"/>
    <cellStyle name="Normal 2 2 10 35" xfId="9152" xr:uid="{00000000-0005-0000-0000-0000C0230000}"/>
    <cellStyle name="Normal 2 2 10 35 10" xfId="9153" xr:uid="{00000000-0005-0000-0000-0000C1230000}"/>
    <cellStyle name="Normal 2 2 10 35 2" xfId="9154" xr:uid="{00000000-0005-0000-0000-0000C2230000}"/>
    <cellStyle name="Normal 2 2 10 35 3" xfId="9155" xr:uid="{00000000-0005-0000-0000-0000C3230000}"/>
    <cellStyle name="Normal 2 2 10 35 4" xfId="9156" xr:uid="{00000000-0005-0000-0000-0000C4230000}"/>
    <cellStyle name="Normal 2 2 10 35 5" xfId="9157" xr:uid="{00000000-0005-0000-0000-0000C5230000}"/>
    <cellStyle name="Normal 2 2 10 35 6" xfId="9158" xr:uid="{00000000-0005-0000-0000-0000C6230000}"/>
    <cellStyle name="Normal 2 2 10 35 7" xfId="9159" xr:uid="{00000000-0005-0000-0000-0000C7230000}"/>
    <cellStyle name="Normal 2 2 10 35 8" xfId="9160" xr:uid="{00000000-0005-0000-0000-0000C8230000}"/>
    <cellStyle name="Normal 2 2 10 35 9" xfId="9161" xr:uid="{00000000-0005-0000-0000-0000C9230000}"/>
    <cellStyle name="Normal 2 2 10 36" xfId="9162" xr:uid="{00000000-0005-0000-0000-0000CA230000}"/>
    <cellStyle name="Normal 2 2 10 36 10" xfId="9163" xr:uid="{00000000-0005-0000-0000-0000CB230000}"/>
    <cellStyle name="Normal 2 2 10 36 2" xfId="9164" xr:uid="{00000000-0005-0000-0000-0000CC230000}"/>
    <cellStyle name="Normal 2 2 10 36 3" xfId="9165" xr:uid="{00000000-0005-0000-0000-0000CD230000}"/>
    <cellStyle name="Normal 2 2 10 36 4" xfId="9166" xr:uid="{00000000-0005-0000-0000-0000CE230000}"/>
    <cellStyle name="Normal 2 2 10 36 5" xfId="9167" xr:uid="{00000000-0005-0000-0000-0000CF230000}"/>
    <cellStyle name="Normal 2 2 10 36 6" xfId="9168" xr:uid="{00000000-0005-0000-0000-0000D0230000}"/>
    <cellStyle name="Normal 2 2 10 36 7" xfId="9169" xr:uid="{00000000-0005-0000-0000-0000D1230000}"/>
    <cellStyle name="Normal 2 2 10 36 8" xfId="9170" xr:uid="{00000000-0005-0000-0000-0000D2230000}"/>
    <cellStyle name="Normal 2 2 10 36 9" xfId="9171" xr:uid="{00000000-0005-0000-0000-0000D3230000}"/>
    <cellStyle name="Normal 2 2 10 37" xfId="9172" xr:uid="{00000000-0005-0000-0000-0000D4230000}"/>
    <cellStyle name="Normal 2 2 10 37 10" xfId="9173" xr:uid="{00000000-0005-0000-0000-0000D5230000}"/>
    <cellStyle name="Normal 2 2 10 37 2" xfId="9174" xr:uid="{00000000-0005-0000-0000-0000D6230000}"/>
    <cellStyle name="Normal 2 2 10 37 3" xfId="9175" xr:uid="{00000000-0005-0000-0000-0000D7230000}"/>
    <cellStyle name="Normal 2 2 10 37 4" xfId="9176" xr:uid="{00000000-0005-0000-0000-0000D8230000}"/>
    <cellStyle name="Normal 2 2 10 37 5" xfId="9177" xr:uid="{00000000-0005-0000-0000-0000D9230000}"/>
    <cellStyle name="Normal 2 2 10 37 6" xfId="9178" xr:uid="{00000000-0005-0000-0000-0000DA230000}"/>
    <cellStyle name="Normal 2 2 10 37 7" xfId="9179" xr:uid="{00000000-0005-0000-0000-0000DB230000}"/>
    <cellStyle name="Normal 2 2 10 37 8" xfId="9180" xr:uid="{00000000-0005-0000-0000-0000DC230000}"/>
    <cellStyle name="Normal 2 2 10 37 9" xfId="9181" xr:uid="{00000000-0005-0000-0000-0000DD230000}"/>
    <cellStyle name="Normal 2 2 10 38" xfId="9182" xr:uid="{00000000-0005-0000-0000-0000DE230000}"/>
    <cellStyle name="Normal 2 2 10 38 10" xfId="9183" xr:uid="{00000000-0005-0000-0000-0000DF230000}"/>
    <cellStyle name="Normal 2 2 10 38 2" xfId="9184" xr:uid="{00000000-0005-0000-0000-0000E0230000}"/>
    <cellStyle name="Normal 2 2 10 38 3" xfId="9185" xr:uid="{00000000-0005-0000-0000-0000E1230000}"/>
    <cellStyle name="Normal 2 2 10 38 4" xfId="9186" xr:uid="{00000000-0005-0000-0000-0000E2230000}"/>
    <cellStyle name="Normal 2 2 10 38 5" xfId="9187" xr:uid="{00000000-0005-0000-0000-0000E3230000}"/>
    <cellStyle name="Normal 2 2 10 38 6" xfId="9188" xr:uid="{00000000-0005-0000-0000-0000E4230000}"/>
    <cellStyle name="Normal 2 2 10 38 7" xfId="9189" xr:uid="{00000000-0005-0000-0000-0000E5230000}"/>
    <cellStyle name="Normal 2 2 10 38 8" xfId="9190" xr:uid="{00000000-0005-0000-0000-0000E6230000}"/>
    <cellStyle name="Normal 2 2 10 38 9" xfId="9191" xr:uid="{00000000-0005-0000-0000-0000E7230000}"/>
    <cellStyle name="Normal 2 2 10 39" xfId="9192" xr:uid="{00000000-0005-0000-0000-0000E8230000}"/>
    <cellStyle name="Normal 2 2 10 4" xfId="9193" xr:uid="{00000000-0005-0000-0000-0000E9230000}"/>
    <cellStyle name="Normal 2 2 10 4 10" xfId="9194" xr:uid="{00000000-0005-0000-0000-0000EA230000}"/>
    <cellStyle name="Normal 2 2 10 4 11" xfId="9195" xr:uid="{00000000-0005-0000-0000-0000EB230000}"/>
    <cellStyle name="Normal 2 2 10 4 12" xfId="9196" xr:uid="{00000000-0005-0000-0000-0000EC230000}"/>
    <cellStyle name="Normal 2 2 10 4 13" xfId="9197" xr:uid="{00000000-0005-0000-0000-0000ED230000}"/>
    <cellStyle name="Normal 2 2 10 4 14" xfId="9198" xr:uid="{00000000-0005-0000-0000-0000EE230000}"/>
    <cellStyle name="Normal 2 2 10 4 2" xfId="9199" xr:uid="{00000000-0005-0000-0000-0000EF230000}"/>
    <cellStyle name="Normal 2 2 10 4 2 10" xfId="9200" xr:uid="{00000000-0005-0000-0000-0000F0230000}"/>
    <cellStyle name="Normal 2 2 10 4 2 2" xfId="9201" xr:uid="{00000000-0005-0000-0000-0000F1230000}"/>
    <cellStyle name="Normal 2 2 10 4 2 3" xfId="9202" xr:uid="{00000000-0005-0000-0000-0000F2230000}"/>
    <cellStyle name="Normal 2 2 10 4 2 4" xfId="9203" xr:uid="{00000000-0005-0000-0000-0000F3230000}"/>
    <cellStyle name="Normal 2 2 10 4 2 5" xfId="9204" xr:uid="{00000000-0005-0000-0000-0000F4230000}"/>
    <cellStyle name="Normal 2 2 10 4 2 6" xfId="9205" xr:uid="{00000000-0005-0000-0000-0000F5230000}"/>
    <cellStyle name="Normal 2 2 10 4 2 7" xfId="9206" xr:uid="{00000000-0005-0000-0000-0000F6230000}"/>
    <cellStyle name="Normal 2 2 10 4 2 8" xfId="9207" xr:uid="{00000000-0005-0000-0000-0000F7230000}"/>
    <cellStyle name="Normal 2 2 10 4 2 9" xfId="9208" xr:uid="{00000000-0005-0000-0000-0000F8230000}"/>
    <cellStyle name="Normal 2 2 10 4 3" xfId="9209" xr:uid="{00000000-0005-0000-0000-0000F9230000}"/>
    <cellStyle name="Normal 2 2 10 4 3 10" xfId="9210" xr:uid="{00000000-0005-0000-0000-0000FA230000}"/>
    <cellStyle name="Normal 2 2 10 4 3 2" xfId="9211" xr:uid="{00000000-0005-0000-0000-0000FB230000}"/>
    <cellStyle name="Normal 2 2 10 4 3 3" xfId="9212" xr:uid="{00000000-0005-0000-0000-0000FC230000}"/>
    <cellStyle name="Normal 2 2 10 4 3 4" xfId="9213" xr:uid="{00000000-0005-0000-0000-0000FD230000}"/>
    <cellStyle name="Normal 2 2 10 4 3 5" xfId="9214" xr:uid="{00000000-0005-0000-0000-0000FE230000}"/>
    <cellStyle name="Normal 2 2 10 4 3 6" xfId="9215" xr:uid="{00000000-0005-0000-0000-0000FF230000}"/>
    <cellStyle name="Normal 2 2 10 4 3 7" xfId="9216" xr:uid="{00000000-0005-0000-0000-000000240000}"/>
    <cellStyle name="Normal 2 2 10 4 3 8" xfId="9217" xr:uid="{00000000-0005-0000-0000-000001240000}"/>
    <cellStyle name="Normal 2 2 10 4 3 9" xfId="9218" xr:uid="{00000000-0005-0000-0000-000002240000}"/>
    <cellStyle name="Normal 2 2 10 4 4" xfId="9219" xr:uid="{00000000-0005-0000-0000-000003240000}"/>
    <cellStyle name="Normal 2 2 10 4 4 10" xfId="9220" xr:uid="{00000000-0005-0000-0000-000004240000}"/>
    <cellStyle name="Normal 2 2 10 4 4 2" xfId="9221" xr:uid="{00000000-0005-0000-0000-000005240000}"/>
    <cellStyle name="Normal 2 2 10 4 4 3" xfId="9222" xr:uid="{00000000-0005-0000-0000-000006240000}"/>
    <cellStyle name="Normal 2 2 10 4 4 4" xfId="9223" xr:uid="{00000000-0005-0000-0000-000007240000}"/>
    <cellStyle name="Normal 2 2 10 4 4 5" xfId="9224" xr:uid="{00000000-0005-0000-0000-000008240000}"/>
    <cellStyle name="Normal 2 2 10 4 4 6" xfId="9225" xr:uid="{00000000-0005-0000-0000-000009240000}"/>
    <cellStyle name="Normal 2 2 10 4 4 7" xfId="9226" xr:uid="{00000000-0005-0000-0000-00000A240000}"/>
    <cellStyle name="Normal 2 2 10 4 4 8" xfId="9227" xr:uid="{00000000-0005-0000-0000-00000B240000}"/>
    <cellStyle name="Normal 2 2 10 4 4 9" xfId="9228" xr:uid="{00000000-0005-0000-0000-00000C240000}"/>
    <cellStyle name="Normal 2 2 10 4 5" xfId="9229" xr:uid="{00000000-0005-0000-0000-00000D240000}"/>
    <cellStyle name="Normal 2 2 10 4 5 10" xfId="9230" xr:uid="{00000000-0005-0000-0000-00000E240000}"/>
    <cellStyle name="Normal 2 2 10 4 5 2" xfId="9231" xr:uid="{00000000-0005-0000-0000-00000F240000}"/>
    <cellStyle name="Normal 2 2 10 4 5 3" xfId="9232" xr:uid="{00000000-0005-0000-0000-000010240000}"/>
    <cellStyle name="Normal 2 2 10 4 5 4" xfId="9233" xr:uid="{00000000-0005-0000-0000-000011240000}"/>
    <cellStyle name="Normal 2 2 10 4 5 5" xfId="9234" xr:uid="{00000000-0005-0000-0000-000012240000}"/>
    <cellStyle name="Normal 2 2 10 4 5 6" xfId="9235" xr:uid="{00000000-0005-0000-0000-000013240000}"/>
    <cellStyle name="Normal 2 2 10 4 5 7" xfId="9236" xr:uid="{00000000-0005-0000-0000-000014240000}"/>
    <cellStyle name="Normal 2 2 10 4 5 8" xfId="9237" xr:uid="{00000000-0005-0000-0000-000015240000}"/>
    <cellStyle name="Normal 2 2 10 4 5 9" xfId="9238" xr:uid="{00000000-0005-0000-0000-000016240000}"/>
    <cellStyle name="Normal 2 2 10 4 6" xfId="9239" xr:uid="{00000000-0005-0000-0000-000017240000}"/>
    <cellStyle name="Normal 2 2 10 4 7" xfId="9240" xr:uid="{00000000-0005-0000-0000-000018240000}"/>
    <cellStyle name="Normal 2 2 10 4 8" xfId="9241" xr:uid="{00000000-0005-0000-0000-000019240000}"/>
    <cellStyle name="Normal 2 2 10 4 9" xfId="9242" xr:uid="{00000000-0005-0000-0000-00001A240000}"/>
    <cellStyle name="Normal 2 2 10 40" xfId="9243" xr:uid="{00000000-0005-0000-0000-00001B240000}"/>
    <cellStyle name="Normal 2 2 10 41" xfId="9244" xr:uid="{00000000-0005-0000-0000-00001C240000}"/>
    <cellStyle name="Normal 2 2 10 42" xfId="9245" xr:uid="{00000000-0005-0000-0000-00001D240000}"/>
    <cellStyle name="Normal 2 2 10 43" xfId="9246" xr:uid="{00000000-0005-0000-0000-00001E240000}"/>
    <cellStyle name="Normal 2 2 10 44" xfId="9247" xr:uid="{00000000-0005-0000-0000-00001F240000}"/>
    <cellStyle name="Normal 2 2 10 45" xfId="9248" xr:uid="{00000000-0005-0000-0000-000020240000}"/>
    <cellStyle name="Normal 2 2 10 46" xfId="9249" xr:uid="{00000000-0005-0000-0000-000021240000}"/>
    <cellStyle name="Normal 2 2 10 47" xfId="9250" xr:uid="{00000000-0005-0000-0000-000022240000}"/>
    <cellStyle name="Normal 2 2 10 5" xfId="9251" xr:uid="{00000000-0005-0000-0000-000023240000}"/>
    <cellStyle name="Normal 2 2 10 5 10" xfId="9252" xr:uid="{00000000-0005-0000-0000-000024240000}"/>
    <cellStyle name="Normal 2 2 10 5 11" xfId="9253" xr:uid="{00000000-0005-0000-0000-000025240000}"/>
    <cellStyle name="Normal 2 2 10 5 12" xfId="9254" xr:uid="{00000000-0005-0000-0000-000026240000}"/>
    <cellStyle name="Normal 2 2 10 5 13" xfId="9255" xr:uid="{00000000-0005-0000-0000-000027240000}"/>
    <cellStyle name="Normal 2 2 10 5 14" xfId="9256" xr:uid="{00000000-0005-0000-0000-000028240000}"/>
    <cellStyle name="Normal 2 2 10 5 2" xfId="9257" xr:uid="{00000000-0005-0000-0000-000029240000}"/>
    <cellStyle name="Normal 2 2 10 5 2 10" xfId="9258" xr:uid="{00000000-0005-0000-0000-00002A240000}"/>
    <cellStyle name="Normal 2 2 10 5 2 2" xfId="9259" xr:uid="{00000000-0005-0000-0000-00002B240000}"/>
    <cellStyle name="Normal 2 2 10 5 2 3" xfId="9260" xr:uid="{00000000-0005-0000-0000-00002C240000}"/>
    <cellStyle name="Normal 2 2 10 5 2 4" xfId="9261" xr:uid="{00000000-0005-0000-0000-00002D240000}"/>
    <cellStyle name="Normal 2 2 10 5 2 5" xfId="9262" xr:uid="{00000000-0005-0000-0000-00002E240000}"/>
    <cellStyle name="Normal 2 2 10 5 2 6" xfId="9263" xr:uid="{00000000-0005-0000-0000-00002F240000}"/>
    <cellStyle name="Normal 2 2 10 5 2 7" xfId="9264" xr:uid="{00000000-0005-0000-0000-000030240000}"/>
    <cellStyle name="Normal 2 2 10 5 2 8" xfId="9265" xr:uid="{00000000-0005-0000-0000-000031240000}"/>
    <cellStyle name="Normal 2 2 10 5 2 9" xfId="9266" xr:uid="{00000000-0005-0000-0000-000032240000}"/>
    <cellStyle name="Normal 2 2 10 5 3" xfId="9267" xr:uid="{00000000-0005-0000-0000-000033240000}"/>
    <cellStyle name="Normal 2 2 10 5 3 10" xfId="9268" xr:uid="{00000000-0005-0000-0000-000034240000}"/>
    <cellStyle name="Normal 2 2 10 5 3 2" xfId="9269" xr:uid="{00000000-0005-0000-0000-000035240000}"/>
    <cellStyle name="Normal 2 2 10 5 3 3" xfId="9270" xr:uid="{00000000-0005-0000-0000-000036240000}"/>
    <cellStyle name="Normal 2 2 10 5 3 4" xfId="9271" xr:uid="{00000000-0005-0000-0000-000037240000}"/>
    <cellStyle name="Normal 2 2 10 5 3 5" xfId="9272" xr:uid="{00000000-0005-0000-0000-000038240000}"/>
    <cellStyle name="Normal 2 2 10 5 3 6" xfId="9273" xr:uid="{00000000-0005-0000-0000-000039240000}"/>
    <cellStyle name="Normal 2 2 10 5 3 7" xfId="9274" xr:uid="{00000000-0005-0000-0000-00003A240000}"/>
    <cellStyle name="Normal 2 2 10 5 3 8" xfId="9275" xr:uid="{00000000-0005-0000-0000-00003B240000}"/>
    <cellStyle name="Normal 2 2 10 5 3 9" xfId="9276" xr:uid="{00000000-0005-0000-0000-00003C240000}"/>
    <cellStyle name="Normal 2 2 10 5 4" xfId="9277" xr:uid="{00000000-0005-0000-0000-00003D240000}"/>
    <cellStyle name="Normal 2 2 10 5 4 10" xfId="9278" xr:uid="{00000000-0005-0000-0000-00003E240000}"/>
    <cellStyle name="Normal 2 2 10 5 4 2" xfId="9279" xr:uid="{00000000-0005-0000-0000-00003F240000}"/>
    <cellStyle name="Normal 2 2 10 5 4 3" xfId="9280" xr:uid="{00000000-0005-0000-0000-000040240000}"/>
    <cellStyle name="Normal 2 2 10 5 4 4" xfId="9281" xr:uid="{00000000-0005-0000-0000-000041240000}"/>
    <cellStyle name="Normal 2 2 10 5 4 5" xfId="9282" xr:uid="{00000000-0005-0000-0000-000042240000}"/>
    <cellStyle name="Normal 2 2 10 5 4 6" xfId="9283" xr:uid="{00000000-0005-0000-0000-000043240000}"/>
    <cellStyle name="Normal 2 2 10 5 4 7" xfId="9284" xr:uid="{00000000-0005-0000-0000-000044240000}"/>
    <cellStyle name="Normal 2 2 10 5 4 8" xfId="9285" xr:uid="{00000000-0005-0000-0000-000045240000}"/>
    <cellStyle name="Normal 2 2 10 5 4 9" xfId="9286" xr:uid="{00000000-0005-0000-0000-000046240000}"/>
    <cellStyle name="Normal 2 2 10 5 5" xfId="9287" xr:uid="{00000000-0005-0000-0000-000047240000}"/>
    <cellStyle name="Normal 2 2 10 5 5 10" xfId="9288" xr:uid="{00000000-0005-0000-0000-000048240000}"/>
    <cellStyle name="Normal 2 2 10 5 5 2" xfId="9289" xr:uid="{00000000-0005-0000-0000-000049240000}"/>
    <cellStyle name="Normal 2 2 10 5 5 3" xfId="9290" xr:uid="{00000000-0005-0000-0000-00004A240000}"/>
    <cellStyle name="Normal 2 2 10 5 5 4" xfId="9291" xr:uid="{00000000-0005-0000-0000-00004B240000}"/>
    <cellStyle name="Normal 2 2 10 5 5 5" xfId="9292" xr:uid="{00000000-0005-0000-0000-00004C240000}"/>
    <cellStyle name="Normal 2 2 10 5 5 6" xfId="9293" xr:uid="{00000000-0005-0000-0000-00004D240000}"/>
    <cellStyle name="Normal 2 2 10 5 5 7" xfId="9294" xr:uid="{00000000-0005-0000-0000-00004E240000}"/>
    <cellStyle name="Normal 2 2 10 5 5 8" xfId="9295" xr:uid="{00000000-0005-0000-0000-00004F240000}"/>
    <cellStyle name="Normal 2 2 10 5 5 9" xfId="9296" xr:uid="{00000000-0005-0000-0000-000050240000}"/>
    <cellStyle name="Normal 2 2 10 5 6" xfId="9297" xr:uid="{00000000-0005-0000-0000-000051240000}"/>
    <cellStyle name="Normal 2 2 10 5 7" xfId="9298" xr:uid="{00000000-0005-0000-0000-000052240000}"/>
    <cellStyle name="Normal 2 2 10 5 8" xfId="9299" xr:uid="{00000000-0005-0000-0000-000053240000}"/>
    <cellStyle name="Normal 2 2 10 5 9" xfId="9300" xr:uid="{00000000-0005-0000-0000-000054240000}"/>
    <cellStyle name="Normal 2 2 10 6" xfId="9301" xr:uid="{00000000-0005-0000-0000-000055240000}"/>
    <cellStyle name="Normal 2 2 10 6 10" xfId="9302" xr:uid="{00000000-0005-0000-0000-000056240000}"/>
    <cellStyle name="Normal 2 2 10 6 11" xfId="9303" xr:uid="{00000000-0005-0000-0000-000057240000}"/>
    <cellStyle name="Normal 2 2 10 6 12" xfId="9304" xr:uid="{00000000-0005-0000-0000-000058240000}"/>
    <cellStyle name="Normal 2 2 10 6 13" xfId="9305" xr:uid="{00000000-0005-0000-0000-000059240000}"/>
    <cellStyle name="Normal 2 2 10 6 14" xfId="9306" xr:uid="{00000000-0005-0000-0000-00005A240000}"/>
    <cellStyle name="Normal 2 2 10 6 2" xfId="9307" xr:uid="{00000000-0005-0000-0000-00005B240000}"/>
    <cellStyle name="Normal 2 2 10 6 2 10" xfId="9308" xr:uid="{00000000-0005-0000-0000-00005C240000}"/>
    <cellStyle name="Normal 2 2 10 6 2 2" xfId="9309" xr:uid="{00000000-0005-0000-0000-00005D240000}"/>
    <cellStyle name="Normal 2 2 10 6 2 3" xfId="9310" xr:uid="{00000000-0005-0000-0000-00005E240000}"/>
    <cellStyle name="Normal 2 2 10 6 2 4" xfId="9311" xr:uid="{00000000-0005-0000-0000-00005F240000}"/>
    <cellStyle name="Normal 2 2 10 6 2 5" xfId="9312" xr:uid="{00000000-0005-0000-0000-000060240000}"/>
    <cellStyle name="Normal 2 2 10 6 2 6" xfId="9313" xr:uid="{00000000-0005-0000-0000-000061240000}"/>
    <cellStyle name="Normal 2 2 10 6 2 7" xfId="9314" xr:uid="{00000000-0005-0000-0000-000062240000}"/>
    <cellStyle name="Normal 2 2 10 6 2 8" xfId="9315" xr:uid="{00000000-0005-0000-0000-000063240000}"/>
    <cellStyle name="Normal 2 2 10 6 2 9" xfId="9316" xr:uid="{00000000-0005-0000-0000-000064240000}"/>
    <cellStyle name="Normal 2 2 10 6 3" xfId="9317" xr:uid="{00000000-0005-0000-0000-000065240000}"/>
    <cellStyle name="Normal 2 2 10 6 3 10" xfId="9318" xr:uid="{00000000-0005-0000-0000-000066240000}"/>
    <cellStyle name="Normal 2 2 10 6 3 2" xfId="9319" xr:uid="{00000000-0005-0000-0000-000067240000}"/>
    <cellStyle name="Normal 2 2 10 6 3 3" xfId="9320" xr:uid="{00000000-0005-0000-0000-000068240000}"/>
    <cellStyle name="Normal 2 2 10 6 3 4" xfId="9321" xr:uid="{00000000-0005-0000-0000-000069240000}"/>
    <cellStyle name="Normal 2 2 10 6 3 5" xfId="9322" xr:uid="{00000000-0005-0000-0000-00006A240000}"/>
    <cellStyle name="Normal 2 2 10 6 3 6" xfId="9323" xr:uid="{00000000-0005-0000-0000-00006B240000}"/>
    <cellStyle name="Normal 2 2 10 6 3 7" xfId="9324" xr:uid="{00000000-0005-0000-0000-00006C240000}"/>
    <cellStyle name="Normal 2 2 10 6 3 8" xfId="9325" xr:uid="{00000000-0005-0000-0000-00006D240000}"/>
    <cellStyle name="Normal 2 2 10 6 3 9" xfId="9326" xr:uid="{00000000-0005-0000-0000-00006E240000}"/>
    <cellStyle name="Normal 2 2 10 6 4" xfId="9327" xr:uid="{00000000-0005-0000-0000-00006F240000}"/>
    <cellStyle name="Normal 2 2 10 6 4 10" xfId="9328" xr:uid="{00000000-0005-0000-0000-000070240000}"/>
    <cellStyle name="Normal 2 2 10 6 4 2" xfId="9329" xr:uid="{00000000-0005-0000-0000-000071240000}"/>
    <cellStyle name="Normal 2 2 10 6 4 3" xfId="9330" xr:uid="{00000000-0005-0000-0000-000072240000}"/>
    <cellStyle name="Normal 2 2 10 6 4 4" xfId="9331" xr:uid="{00000000-0005-0000-0000-000073240000}"/>
    <cellStyle name="Normal 2 2 10 6 4 5" xfId="9332" xr:uid="{00000000-0005-0000-0000-000074240000}"/>
    <cellStyle name="Normal 2 2 10 6 4 6" xfId="9333" xr:uid="{00000000-0005-0000-0000-000075240000}"/>
    <cellStyle name="Normal 2 2 10 6 4 7" xfId="9334" xr:uid="{00000000-0005-0000-0000-000076240000}"/>
    <cellStyle name="Normal 2 2 10 6 4 8" xfId="9335" xr:uid="{00000000-0005-0000-0000-000077240000}"/>
    <cellStyle name="Normal 2 2 10 6 4 9" xfId="9336" xr:uid="{00000000-0005-0000-0000-000078240000}"/>
    <cellStyle name="Normal 2 2 10 6 5" xfId="9337" xr:uid="{00000000-0005-0000-0000-000079240000}"/>
    <cellStyle name="Normal 2 2 10 6 5 10" xfId="9338" xr:uid="{00000000-0005-0000-0000-00007A240000}"/>
    <cellStyle name="Normal 2 2 10 6 5 2" xfId="9339" xr:uid="{00000000-0005-0000-0000-00007B240000}"/>
    <cellStyle name="Normal 2 2 10 6 5 3" xfId="9340" xr:uid="{00000000-0005-0000-0000-00007C240000}"/>
    <cellStyle name="Normal 2 2 10 6 5 4" xfId="9341" xr:uid="{00000000-0005-0000-0000-00007D240000}"/>
    <cellStyle name="Normal 2 2 10 6 5 5" xfId="9342" xr:uid="{00000000-0005-0000-0000-00007E240000}"/>
    <cellStyle name="Normal 2 2 10 6 5 6" xfId="9343" xr:uid="{00000000-0005-0000-0000-00007F240000}"/>
    <cellStyle name="Normal 2 2 10 6 5 7" xfId="9344" xr:uid="{00000000-0005-0000-0000-000080240000}"/>
    <cellStyle name="Normal 2 2 10 6 5 8" xfId="9345" xr:uid="{00000000-0005-0000-0000-000081240000}"/>
    <cellStyle name="Normal 2 2 10 6 5 9" xfId="9346" xr:uid="{00000000-0005-0000-0000-000082240000}"/>
    <cellStyle name="Normal 2 2 10 6 6" xfId="9347" xr:uid="{00000000-0005-0000-0000-000083240000}"/>
    <cellStyle name="Normal 2 2 10 6 7" xfId="9348" xr:uid="{00000000-0005-0000-0000-000084240000}"/>
    <cellStyle name="Normal 2 2 10 6 8" xfId="9349" xr:uid="{00000000-0005-0000-0000-000085240000}"/>
    <cellStyle name="Normal 2 2 10 6 9" xfId="9350" xr:uid="{00000000-0005-0000-0000-000086240000}"/>
    <cellStyle name="Normal 2 2 10 7" xfId="9351" xr:uid="{00000000-0005-0000-0000-000087240000}"/>
    <cellStyle name="Normal 2 2 10 7 10" xfId="9352" xr:uid="{00000000-0005-0000-0000-000088240000}"/>
    <cellStyle name="Normal 2 2 10 7 11" xfId="9353" xr:uid="{00000000-0005-0000-0000-000089240000}"/>
    <cellStyle name="Normal 2 2 10 7 12" xfId="9354" xr:uid="{00000000-0005-0000-0000-00008A240000}"/>
    <cellStyle name="Normal 2 2 10 7 13" xfId="9355" xr:uid="{00000000-0005-0000-0000-00008B240000}"/>
    <cellStyle name="Normal 2 2 10 7 14" xfId="9356" xr:uid="{00000000-0005-0000-0000-00008C240000}"/>
    <cellStyle name="Normal 2 2 10 7 2" xfId="9357" xr:uid="{00000000-0005-0000-0000-00008D240000}"/>
    <cellStyle name="Normal 2 2 10 7 2 10" xfId="9358" xr:uid="{00000000-0005-0000-0000-00008E240000}"/>
    <cellStyle name="Normal 2 2 10 7 2 2" xfId="9359" xr:uid="{00000000-0005-0000-0000-00008F240000}"/>
    <cellStyle name="Normal 2 2 10 7 2 3" xfId="9360" xr:uid="{00000000-0005-0000-0000-000090240000}"/>
    <cellStyle name="Normal 2 2 10 7 2 4" xfId="9361" xr:uid="{00000000-0005-0000-0000-000091240000}"/>
    <cellStyle name="Normal 2 2 10 7 2 5" xfId="9362" xr:uid="{00000000-0005-0000-0000-000092240000}"/>
    <cellStyle name="Normal 2 2 10 7 2 6" xfId="9363" xr:uid="{00000000-0005-0000-0000-000093240000}"/>
    <cellStyle name="Normal 2 2 10 7 2 7" xfId="9364" xr:uid="{00000000-0005-0000-0000-000094240000}"/>
    <cellStyle name="Normal 2 2 10 7 2 8" xfId="9365" xr:uid="{00000000-0005-0000-0000-000095240000}"/>
    <cellStyle name="Normal 2 2 10 7 2 9" xfId="9366" xr:uid="{00000000-0005-0000-0000-000096240000}"/>
    <cellStyle name="Normal 2 2 10 7 3" xfId="9367" xr:uid="{00000000-0005-0000-0000-000097240000}"/>
    <cellStyle name="Normal 2 2 10 7 3 10" xfId="9368" xr:uid="{00000000-0005-0000-0000-000098240000}"/>
    <cellStyle name="Normal 2 2 10 7 3 2" xfId="9369" xr:uid="{00000000-0005-0000-0000-000099240000}"/>
    <cellStyle name="Normal 2 2 10 7 3 3" xfId="9370" xr:uid="{00000000-0005-0000-0000-00009A240000}"/>
    <cellStyle name="Normal 2 2 10 7 3 4" xfId="9371" xr:uid="{00000000-0005-0000-0000-00009B240000}"/>
    <cellStyle name="Normal 2 2 10 7 3 5" xfId="9372" xr:uid="{00000000-0005-0000-0000-00009C240000}"/>
    <cellStyle name="Normal 2 2 10 7 3 6" xfId="9373" xr:uid="{00000000-0005-0000-0000-00009D240000}"/>
    <cellStyle name="Normal 2 2 10 7 3 7" xfId="9374" xr:uid="{00000000-0005-0000-0000-00009E240000}"/>
    <cellStyle name="Normal 2 2 10 7 3 8" xfId="9375" xr:uid="{00000000-0005-0000-0000-00009F240000}"/>
    <cellStyle name="Normal 2 2 10 7 3 9" xfId="9376" xr:uid="{00000000-0005-0000-0000-0000A0240000}"/>
    <cellStyle name="Normal 2 2 10 7 4" xfId="9377" xr:uid="{00000000-0005-0000-0000-0000A1240000}"/>
    <cellStyle name="Normal 2 2 10 7 4 10" xfId="9378" xr:uid="{00000000-0005-0000-0000-0000A2240000}"/>
    <cellStyle name="Normal 2 2 10 7 4 2" xfId="9379" xr:uid="{00000000-0005-0000-0000-0000A3240000}"/>
    <cellStyle name="Normal 2 2 10 7 4 3" xfId="9380" xr:uid="{00000000-0005-0000-0000-0000A4240000}"/>
    <cellStyle name="Normal 2 2 10 7 4 4" xfId="9381" xr:uid="{00000000-0005-0000-0000-0000A5240000}"/>
    <cellStyle name="Normal 2 2 10 7 4 5" xfId="9382" xr:uid="{00000000-0005-0000-0000-0000A6240000}"/>
    <cellStyle name="Normal 2 2 10 7 4 6" xfId="9383" xr:uid="{00000000-0005-0000-0000-0000A7240000}"/>
    <cellStyle name="Normal 2 2 10 7 4 7" xfId="9384" xr:uid="{00000000-0005-0000-0000-0000A8240000}"/>
    <cellStyle name="Normal 2 2 10 7 4 8" xfId="9385" xr:uid="{00000000-0005-0000-0000-0000A9240000}"/>
    <cellStyle name="Normal 2 2 10 7 4 9" xfId="9386" xr:uid="{00000000-0005-0000-0000-0000AA240000}"/>
    <cellStyle name="Normal 2 2 10 7 5" xfId="9387" xr:uid="{00000000-0005-0000-0000-0000AB240000}"/>
    <cellStyle name="Normal 2 2 10 7 5 10" xfId="9388" xr:uid="{00000000-0005-0000-0000-0000AC240000}"/>
    <cellStyle name="Normal 2 2 10 7 5 2" xfId="9389" xr:uid="{00000000-0005-0000-0000-0000AD240000}"/>
    <cellStyle name="Normal 2 2 10 7 5 3" xfId="9390" xr:uid="{00000000-0005-0000-0000-0000AE240000}"/>
    <cellStyle name="Normal 2 2 10 7 5 4" xfId="9391" xr:uid="{00000000-0005-0000-0000-0000AF240000}"/>
    <cellStyle name="Normal 2 2 10 7 5 5" xfId="9392" xr:uid="{00000000-0005-0000-0000-0000B0240000}"/>
    <cellStyle name="Normal 2 2 10 7 5 6" xfId="9393" xr:uid="{00000000-0005-0000-0000-0000B1240000}"/>
    <cellStyle name="Normal 2 2 10 7 5 7" xfId="9394" xr:uid="{00000000-0005-0000-0000-0000B2240000}"/>
    <cellStyle name="Normal 2 2 10 7 5 8" xfId="9395" xr:uid="{00000000-0005-0000-0000-0000B3240000}"/>
    <cellStyle name="Normal 2 2 10 7 5 9" xfId="9396" xr:uid="{00000000-0005-0000-0000-0000B4240000}"/>
    <cellStyle name="Normal 2 2 10 7 6" xfId="9397" xr:uid="{00000000-0005-0000-0000-0000B5240000}"/>
    <cellStyle name="Normal 2 2 10 7 7" xfId="9398" xr:uid="{00000000-0005-0000-0000-0000B6240000}"/>
    <cellStyle name="Normal 2 2 10 7 8" xfId="9399" xr:uid="{00000000-0005-0000-0000-0000B7240000}"/>
    <cellStyle name="Normal 2 2 10 7 9" xfId="9400" xr:uid="{00000000-0005-0000-0000-0000B8240000}"/>
    <cellStyle name="Normal 2 2 10 8" xfId="9401" xr:uid="{00000000-0005-0000-0000-0000B9240000}"/>
    <cellStyle name="Normal 2 2 10 8 10" xfId="9402" xr:uid="{00000000-0005-0000-0000-0000BA240000}"/>
    <cellStyle name="Normal 2 2 10 8 11" xfId="9403" xr:uid="{00000000-0005-0000-0000-0000BB240000}"/>
    <cellStyle name="Normal 2 2 10 8 12" xfId="9404" xr:uid="{00000000-0005-0000-0000-0000BC240000}"/>
    <cellStyle name="Normal 2 2 10 8 13" xfId="9405" xr:uid="{00000000-0005-0000-0000-0000BD240000}"/>
    <cellStyle name="Normal 2 2 10 8 14" xfId="9406" xr:uid="{00000000-0005-0000-0000-0000BE240000}"/>
    <cellStyle name="Normal 2 2 10 8 2" xfId="9407" xr:uid="{00000000-0005-0000-0000-0000BF240000}"/>
    <cellStyle name="Normal 2 2 10 8 2 10" xfId="9408" xr:uid="{00000000-0005-0000-0000-0000C0240000}"/>
    <cellStyle name="Normal 2 2 10 8 2 2" xfId="9409" xr:uid="{00000000-0005-0000-0000-0000C1240000}"/>
    <cellStyle name="Normal 2 2 10 8 2 3" xfId="9410" xr:uid="{00000000-0005-0000-0000-0000C2240000}"/>
    <cellStyle name="Normal 2 2 10 8 2 4" xfId="9411" xr:uid="{00000000-0005-0000-0000-0000C3240000}"/>
    <cellStyle name="Normal 2 2 10 8 2 5" xfId="9412" xr:uid="{00000000-0005-0000-0000-0000C4240000}"/>
    <cellStyle name="Normal 2 2 10 8 2 6" xfId="9413" xr:uid="{00000000-0005-0000-0000-0000C5240000}"/>
    <cellStyle name="Normal 2 2 10 8 2 7" xfId="9414" xr:uid="{00000000-0005-0000-0000-0000C6240000}"/>
    <cellStyle name="Normal 2 2 10 8 2 8" xfId="9415" xr:uid="{00000000-0005-0000-0000-0000C7240000}"/>
    <cellStyle name="Normal 2 2 10 8 2 9" xfId="9416" xr:uid="{00000000-0005-0000-0000-0000C8240000}"/>
    <cellStyle name="Normal 2 2 10 8 3" xfId="9417" xr:uid="{00000000-0005-0000-0000-0000C9240000}"/>
    <cellStyle name="Normal 2 2 10 8 3 10" xfId="9418" xr:uid="{00000000-0005-0000-0000-0000CA240000}"/>
    <cellStyle name="Normal 2 2 10 8 3 2" xfId="9419" xr:uid="{00000000-0005-0000-0000-0000CB240000}"/>
    <cellStyle name="Normal 2 2 10 8 3 3" xfId="9420" xr:uid="{00000000-0005-0000-0000-0000CC240000}"/>
    <cellStyle name="Normal 2 2 10 8 3 4" xfId="9421" xr:uid="{00000000-0005-0000-0000-0000CD240000}"/>
    <cellStyle name="Normal 2 2 10 8 3 5" xfId="9422" xr:uid="{00000000-0005-0000-0000-0000CE240000}"/>
    <cellStyle name="Normal 2 2 10 8 3 6" xfId="9423" xr:uid="{00000000-0005-0000-0000-0000CF240000}"/>
    <cellStyle name="Normal 2 2 10 8 3 7" xfId="9424" xr:uid="{00000000-0005-0000-0000-0000D0240000}"/>
    <cellStyle name="Normal 2 2 10 8 3 8" xfId="9425" xr:uid="{00000000-0005-0000-0000-0000D1240000}"/>
    <cellStyle name="Normal 2 2 10 8 3 9" xfId="9426" xr:uid="{00000000-0005-0000-0000-0000D2240000}"/>
    <cellStyle name="Normal 2 2 10 8 4" xfId="9427" xr:uid="{00000000-0005-0000-0000-0000D3240000}"/>
    <cellStyle name="Normal 2 2 10 8 4 10" xfId="9428" xr:uid="{00000000-0005-0000-0000-0000D4240000}"/>
    <cellStyle name="Normal 2 2 10 8 4 2" xfId="9429" xr:uid="{00000000-0005-0000-0000-0000D5240000}"/>
    <cellStyle name="Normal 2 2 10 8 4 3" xfId="9430" xr:uid="{00000000-0005-0000-0000-0000D6240000}"/>
    <cellStyle name="Normal 2 2 10 8 4 4" xfId="9431" xr:uid="{00000000-0005-0000-0000-0000D7240000}"/>
    <cellStyle name="Normal 2 2 10 8 4 5" xfId="9432" xr:uid="{00000000-0005-0000-0000-0000D8240000}"/>
    <cellStyle name="Normal 2 2 10 8 4 6" xfId="9433" xr:uid="{00000000-0005-0000-0000-0000D9240000}"/>
    <cellStyle name="Normal 2 2 10 8 4 7" xfId="9434" xr:uid="{00000000-0005-0000-0000-0000DA240000}"/>
    <cellStyle name="Normal 2 2 10 8 4 8" xfId="9435" xr:uid="{00000000-0005-0000-0000-0000DB240000}"/>
    <cellStyle name="Normal 2 2 10 8 4 9" xfId="9436" xr:uid="{00000000-0005-0000-0000-0000DC240000}"/>
    <cellStyle name="Normal 2 2 10 8 5" xfId="9437" xr:uid="{00000000-0005-0000-0000-0000DD240000}"/>
    <cellStyle name="Normal 2 2 10 8 5 10" xfId="9438" xr:uid="{00000000-0005-0000-0000-0000DE240000}"/>
    <cellStyle name="Normal 2 2 10 8 5 2" xfId="9439" xr:uid="{00000000-0005-0000-0000-0000DF240000}"/>
    <cellStyle name="Normal 2 2 10 8 5 3" xfId="9440" xr:uid="{00000000-0005-0000-0000-0000E0240000}"/>
    <cellStyle name="Normal 2 2 10 8 5 4" xfId="9441" xr:uid="{00000000-0005-0000-0000-0000E1240000}"/>
    <cellStyle name="Normal 2 2 10 8 5 5" xfId="9442" xr:uid="{00000000-0005-0000-0000-0000E2240000}"/>
    <cellStyle name="Normal 2 2 10 8 5 6" xfId="9443" xr:uid="{00000000-0005-0000-0000-0000E3240000}"/>
    <cellStyle name="Normal 2 2 10 8 5 7" xfId="9444" xr:uid="{00000000-0005-0000-0000-0000E4240000}"/>
    <cellStyle name="Normal 2 2 10 8 5 8" xfId="9445" xr:uid="{00000000-0005-0000-0000-0000E5240000}"/>
    <cellStyle name="Normal 2 2 10 8 5 9" xfId="9446" xr:uid="{00000000-0005-0000-0000-0000E6240000}"/>
    <cellStyle name="Normal 2 2 10 8 6" xfId="9447" xr:uid="{00000000-0005-0000-0000-0000E7240000}"/>
    <cellStyle name="Normal 2 2 10 8 7" xfId="9448" xr:uid="{00000000-0005-0000-0000-0000E8240000}"/>
    <cellStyle name="Normal 2 2 10 8 8" xfId="9449" xr:uid="{00000000-0005-0000-0000-0000E9240000}"/>
    <cellStyle name="Normal 2 2 10 8 9" xfId="9450" xr:uid="{00000000-0005-0000-0000-0000EA240000}"/>
    <cellStyle name="Normal 2 2 10 9" xfId="9451" xr:uid="{00000000-0005-0000-0000-0000EB240000}"/>
    <cellStyle name="Normal 2 2 10 9 10" xfId="9452" xr:uid="{00000000-0005-0000-0000-0000EC240000}"/>
    <cellStyle name="Normal 2 2 10 9 11" xfId="9453" xr:uid="{00000000-0005-0000-0000-0000ED240000}"/>
    <cellStyle name="Normal 2 2 10 9 12" xfId="9454" xr:uid="{00000000-0005-0000-0000-0000EE240000}"/>
    <cellStyle name="Normal 2 2 10 9 13" xfId="9455" xr:uid="{00000000-0005-0000-0000-0000EF240000}"/>
    <cellStyle name="Normal 2 2 10 9 14" xfId="9456" xr:uid="{00000000-0005-0000-0000-0000F0240000}"/>
    <cellStyle name="Normal 2 2 10 9 2" xfId="9457" xr:uid="{00000000-0005-0000-0000-0000F1240000}"/>
    <cellStyle name="Normal 2 2 10 9 2 10" xfId="9458" xr:uid="{00000000-0005-0000-0000-0000F2240000}"/>
    <cellStyle name="Normal 2 2 10 9 2 2" xfId="9459" xr:uid="{00000000-0005-0000-0000-0000F3240000}"/>
    <cellStyle name="Normal 2 2 10 9 2 3" xfId="9460" xr:uid="{00000000-0005-0000-0000-0000F4240000}"/>
    <cellStyle name="Normal 2 2 10 9 2 4" xfId="9461" xr:uid="{00000000-0005-0000-0000-0000F5240000}"/>
    <cellStyle name="Normal 2 2 10 9 2 5" xfId="9462" xr:uid="{00000000-0005-0000-0000-0000F6240000}"/>
    <cellStyle name="Normal 2 2 10 9 2 6" xfId="9463" xr:uid="{00000000-0005-0000-0000-0000F7240000}"/>
    <cellStyle name="Normal 2 2 10 9 2 7" xfId="9464" xr:uid="{00000000-0005-0000-0000-0000F8240000}"/>
    <cellStyle name="Normal 2 2 10 9 2 8" xfId="9465" xr:uid="{00000000-0005-0000-0000-0000F9240000}"/>
    <cellStyle name="Normal 2 2 10 9 2 9" xfId="9466" xr:uid="{00000000-0005-0000-0000-0000FA240000}"/>
    <cellStyle name="Normal 2 2 10 9 3" xfId="9467" xr:uid="{00000000-0005-0000-0000-0000FB240000}"/>
    <cellStyle name="Normal 2 2 10 9 3 10" xfId="9468" xr:uid="{00000000-0005-0000-0000-0000FC240000}"/>
    <cellStyle name="Normal 2 2 10 9 3 2" xfId="9469" xr:uid="{00000000-0005-0000-0000-0000FD240000}"/>
    <cellStyle name="Normal 2 2 10 9 3 3" xfId="9470" xr:uid="{00000000-0005-0000-0000-0000FE240000}"/>
    <cellStyle name="Normal 2 2 10 9 3 4" xfId="9471" xr:uid="{00000000-0005-0000-0000-0000FF240000}"/>
    <cellStyle name="Normal 2 2 10 9 3 5" xfId="9472" xr:uid="{00000000-0005-0000-0000-000000250000}"/>
    <cellStyle name="Normal 2 2 10 9 3 6" xfId="9473" xr:uid="{00000000-0005-0000-0000-000001250000}"/>
    <cellStyle name="Normal 2 2 10 9 3 7" xfId="9474" xr:uid="{00000000-0005-0000-0000-000002250000}"/>
    <cellStyle name="Normal 2 2 10 9 3 8" xfId="9475" xr:uid="{00000000-0005-0000-0000-000003250000}"/>
    <cellStyle name="Normal 2 2 10 9 3 9" xfId="9476" xr:uid="{00000000-0005-0000-0000-000004250000}"/>
    <cellStyle name="Normal 2 2 10 9 4" xfId="9477" xr:uid="{00000000-0005-0000-0000-000005250000}"/>
    <cellStyle name="Normal 2 2 10 9 4 10" xfId="9478" xr:uid="{00000000-0005-0000-0000-000006250000}"/>
    <cellStyle name="Normal 2 2 10 9 4 2" xfId="9479" xr:uid="{00000000-0005-0000-0000-000007250000}"/>
    <cellStyle name="Normal 2 2 10 9 4 3" xfId="9480" xr:uid="{00000000-0005-0000-0000-000008250000}"/>
    <cellStyle name="Normal 2 2 10 9 4 4" xfId="9481" xr:uid="{00000000-0005-0000-0000-000009250000}"/>
    <cellStyle name="Normal 2 2 10 9 4 5" xfId="9482" xr:uid="{00000000-0005-0000-0000-00000A250000}"/>
    <cellStyle name="Normal 2 2 10 9 4 6" xfId="9483" xr:uid="{00000000-0005-0000-0000-00000B250000}"/>
    <cellStyle name="Normal 2 2 10 9 4 7" xfId="9484" xr:uid="{00000000-0005-0000-0000-00000C250000}"/>
    <cellStyle name="Normal 2 2 10 9 4 8" xfId="9485" xr:uid="{00000000-0005-0000-0000-00000D250000}"/>
    <cellStyle name="Normal 2 2 10 9 4 9" xfId="9486" xr:uid="{00000000-0005-0000-0000-00000E250000}"/>
    <cellStyle name="Normal 2 2 10 9 5" xfId="9487" xr:uid="{00000000-0005-0000-0000-00000F250000}"/>
    <cellStyle name="Normal 2 2 10 9 5 10" xfId="9488" xr:uid="{00000000-0005-0000-0000-000010250000}"/>
    <cellStyle name="Normal 2 2 10 9 5 2" xfId="9489" xr:uid="{00000000-0005-0000-0000-000011250000}"/>
    <cellStyle name="Normal 2 2 10 9 5 3" xfId="9490" xr:uid="{00000000-0005-0000-0000-000012250000}"/>
    <cellStyle name="Normal 2 2 10 9 5 4" xfId="9491" xr:uid="{00000000-0005-0000-0000-000013250000}"/>
    <cellStyle name="Normal 2 2 10 9 5 5" xfId="9492" xr:uid="{00000000-0005-0000-0000-000014250000}"/>
    <cellStyle name="Normal 2 2 10 9 5 6" xfId="9493" xr:uid="{00000000-0005-0000-0000-000015250000}"/>
    <cellStyle name="Normal 2 2 10 9 5 7" xfId="9494" xr:uid="{00000000-0005-0000-0000-000016250000}"/>
    <cellStyle name="Normal 2 2 10 9 5 8" xfId="9495" xr:uid="{00000000-0005-0000-0000-000017250000}"/>
    <cellStyle name="Normal 2 2 10 9 5 9" xfId="9496" xr:uid="{00000000-0005-0000-0000-000018250000}"/>
    <cellStyle name="Normal 2 2 10 9 6" xfId="9497" xr:uid="{00000000-0005-0000-0000-000019250000}"/>
    <cellStyle name="Normal 2 2 10 9 7" xfId="9498" xr:uid="{00000000-0005-0000-0000-00001A250000}"/>
    <cellStyle name="Normal 2 2 10 9 8" xfId="9499" xr:uid="{00000000-0005-0000-0000-00001B250000}"/>
    <cellStyle name="Normal 2 2 10 9 9" xfId="9500" xr:uid="{00000000-0005-0000-0000-00001C250000}"/>
    <cellStyle name="Normal 2 2 11" xfId="9501" xr:uid="{00000000-0005-0000-0000-00001D250000}"/>
    <cellStyle name="Normal 2 2 12" xfId="9502" xr:uid="{00000000-0005-0000-0000-00001E250000}"/>
    <cellStyle name="Normal 2 2 13" xfId="9503" xr:uid="{00000000-0005-0000-0000-00001F250000}"/>
    <cellStyle name="Normal 2 2 14" xfId="9504" xr:uid="{00000000-0005-0000-0000-000020250000}"/>
    <cellStyle name="Normal 2 2 15" xfId="9505" xr:uid="{00000000-0005-0000-0000-000021250000}"/>
    <cellStyle name="Normal 2 2 16" xfId="9506" xr:uid="{00000000-0005-0000-0000-000022250000}"/>
    <cellStyle name="Normal 2 2 17" xfId="9507" xr:uid="{00000000-0005-0000-0000-000023250000}"/>
    <cellStyle name="Normal 2 2 18" xfId="9508" xr:uid="{00000000-0005-0000-0000-000024250000}"/>
    <cellStyle name="Normal 2 2 19" xfId="9509" xr:uid="{00000000-0005-0000-0000-000025250000}"/>
    <cellStyle name="Normal 2 2 2" xfId="9" xr:uid="{00000000-0005-0000-0000-000009000000}"/>
    <cellStyle name="Normal 2 2 2 10" xfId="9510" xr:uid="{00000000-0005-0000-0000-000026250000}"/>
    <cellStyle name="Normal 2 2 2 10 10" xfId="9511" xr:uid="{00000000-0005-0000-0000-000027250000}"/>
    <cellStyle name="Normal 2 2 2 10 11" xfId="9512" xr:uid="{00000000-0005-0000-0000-000028250000}"/>
    <cellStyle name="Normal 2 2 2 10 12" xfId="9513" xr:uid="{00000000-0005-0000-0000-000029250000}"/>
    <cellStyle name="Normal 2 2 2 10 13" xfId="9514" xr:uid="{00000000-0005-0000-0000-00002A250000}"/>
    <cellStyle name="Normal 2 2 2 10 14" xfId="9515" xr:uid="{00000000-0005-0000-0000-00002B250000}"/>
    <cellStyle name="Normal 2 2 2 10 2" xfId="9516" xr:uid="{00000000-0005-0000-0000-00002C250000}"/>
    <cellStyle name="Normal 2 2 2 10 2 10" xfId="9517" xr:uid="{00000000-0005-0000-0000-00002D250000}"/>
    <cellStyle name="Normal 2 2 2 10 2 2" xfId="9518" xr:uid="{00000000-0005-0000-0000-00002E250000}"/>
    <cellStyle name="Normal 2 2 2 10 2 3" xfId="9519" xr:uid="{00000000-0005-0000-0000-00002F250000}"/>
    <cellStyle name="Normal 2 2 2 10 2 4" xfId="9520" xr:uid="{00000000-0005-0000-0000-000030250000}"/>
    <cellStyle name="Normal 2 2 2 10 2 5" xfId="9521" xr:uid="{00000000-0005-0000-0000-000031250000}"/>
    <cellStyle name="Normal 2 2 2 10 2 6" xfId="9522" xr:uid="{00000000-0005-0000-0000-000032250000}"/>
    <cellStyle name="Normal 2 2 2 10 2 7" xfId="9523" xr:uid="{00000000-0005-0000-0000-000033250000}"/>
    <cellStyle name="Normal 2 2 2 10 2 8" xfId="9524" xr:uid="{00000000-0005-0000-0000-000034250000}"/>
    <cellStyle name="Normal 2 2 2 10 2 9" xfId="9525" xr:uid="{00000000-0005-0000-0000-000035250000}"/>
    <cellStyle name="Normal 2 2 2 10 3" xfId="9526" xr:uid="{00000000-0005-0000-0000-000036250000}"/>
    <cellStyle name="Normal 2 2 2 10 3 10" xfId="9527" xr:uid="{00000000-0005-0000-0000-000037250000}"/>
    <cellStyle name="Normal 2 2 2 10 3 2" xfId="9528" xr:uid="{00000000-0005-0000-0000-000038250000}"/>
    <cellStyle name="Normal 2 2 2 10 3 3" xfId="9529" xr:uid="{00000000-0005-0000-0000-000039250000}"/>
    <cellStyle name="Normal 2 2 2 10 3 4" xfId="9530" xr:uid="{00000000-0005-0000-0000-00003A250000}"/>
    <cellStyle name="Normal 2 2 2 10 3 5" xfId="9531" xr:uid="{00000000-0005-0000-0000-00003B250000}"/>
    <cellStyle name="Normal 2 2 2 10 3 6" xfId="9532" xr:uid="{00000000-0005-0000-0000-00003C250000}"/>
    <cellStyle name="Normal 2 2 2 10 3 7" xfId="9533" xr:uid="{00000000-0005-0000-0000-00003D250000}"/>
    <cellStyle name="Normal 2 2 2 10 3 8" xfId="9534" xr:uid="{00000000-0005-0000-0000-00003E250000}"/>
    <cellStyle name="Normal 2 2 2 10 3 9" xfId="9535" xr:uid="{00000000-0005-0000-0000-00003F250000}"/>
    <cellStyle name="Normal 2 2 2 10 4" xfId="9536" xr:uid="{00000000-0005-0000-0000-000040250000}"/>
    <cellStyle name="Normal 2 2 2 10 4 10" xfId="9537" xr:uid="{00000000-0005-0000-0000-000041250000}"/>
    <cellStyle name="Normal 2 2 2 10 4 2" xfId="9538" xr:uid="{00000000-0005-0000-0000-000042250000}"/>
    <cellStyle name="Normal 2 2 2 10 4 3" xfId="9539" xr:uid="{00000000-0005-0000-0000-000043250000}"/>
    <cellStyle name="Normal 2 2 2 10 4 4" xfId="9540" xr:uid="{00000000-0005-0000-0000-000044250000}"/>
    <cellStyle name="Normal 2 2 2 10 4 5" xfId="9541" xr:uid="{00000000-0005-0000-0000-000045250000}"/>
    <cellStyle name="Normal 2 2 2 10 4 6" xfId="9542" xr:uid="{00000000-0005-0000-0000-000046250000}"/>
    <cellStyle name="Normal 2 2 2 10 4 7" xfId="9543" xr:uid="{00000000-0005-0000-0000-000047250000}"/>
    <cellStyle name="Normal 2 2 2 10 4 8" xfId="9544" xr:uid="{00000000-0005-0000-0000-000048250000}"/>
    <cellStyle name="Normal 2 2 2 10 4 9" xfId="9545" xr:uid="{00000000-0005-0000-0000-000049250000}"/>
    <cellStyle name="Normal 2 2 2 10 5" xfId="9546" xr:uid="{00000000-0005-0000-0000-00004A250000}"/>
    <cellStyle name="Normal 2 2 2 10 5 10" xfId="9547" xr:uid="{00000000-0005-0000-0000-00004B250000}"/>
    <cellStyle name="Normal 2 2 2 10 5 2" xfId="9548" xr:uid="{00000000-0005-0000-0000-00004C250000}"/>
    <cellStyle name="Normal 2 2 2 10 5 3" xfId="9549" xr:uid="{00000000-0005-0000-0000-00004D250000}"/>
    <cellStyle name="Normal 2 2 2 10 5 4" xfId="9550" xr:uid="{00000000-0005-0000-0000-00004E250000}"/>
    <cellStyle name="Normal 2 2 2 10 5 5" xfId="9551" xr:uid="{00000000-0005-0000-0000-00004F250000}"/>
    <cellStyle name="Normal 2 2 2 10 5 6" xfId="9552" xr:uid="{00000000-0005-0000-0000-000050250000}"/>
    <cellStyle name="Normal 2 2 2 10 5 7" xfId="9553" xr:uid="{00000000-0005-0000-0000-000051250000}"/>
    <cellStyle name="Normal 2 2 2 10 5 8" xfId="9554" xr:uid="{00000000-0005-0000-0000-000052250000}"/>
    <cellStyle name="Normal 2 2 2 10 5 9" xfId="9555" xr:uid="{00000000-0005-0000-0000-000053250000}"/>
    <cellStyle name="Normal 2 2 2 10 6" xfId="9556" xr:uid="{00000000-0005-0000-0000-000054250000}"/>
    <cellStyle name="Normal 2 2 2 10 7" xfId="9557" xr:uid="{00000000-0005-0000-0000-000055250000}"/>
    <cellStyle name="Normal 2 2 2 10 8" xfId="9558" xr:uid="{00000000-0005-0000-0000-000056250000}"/>
    <cellStyle name="Normal 2 2 2 10 9" xfId="9559" xr:uid="{00000000-0005-0000-0000-000057250000}"/>
    <cellStyle name="Normal 2 2 2 11" xfId="9560" xr:uid="{00000000-0005-0000-0000-000058250000}"/>
    <cellStyle name="Normal 2 2 2 11 10" xfId="9561" xr:uid="{00000000-0005-0000-0000-000059250000}"/>
    <cellStyle name="Normal 2 2 2 11 11" xfId="9562" xr:uid="{00000000-0005-0000-0000-00005A250000}"/>
    <cellStyle name="Normal 2 2 2 11 12" xfId="9563" xr:uid="{00000000-0005-0000-0000-00005B250000}"/>
    <cellStyle name="Normal 2 2 2 11 13" xfId="9564" xr:uid="{00000000-0005-0000-0000-00005C250000}"/>
    <cellStyle name="Normal 2 2 2 11 14" xfId="9565" xr:uid="{00000000-0005-0000-0000-00005D250000}"/>
    <cellStyle name="Normal 2 2 2 11 2" xfId="9566" xr:uid="{00000000-0005-0000-0000-00005E250000}"/>
    <cellStyle name="Normal 2 2 2 11 2 10" xfId="9567" xr:uid="{00000000-0005-0000-0000-00005F250000}"/>
    <cellStyle name="Normal 2 2 2 11 2 2" xfId="9568" xr:uid="{00000000-0005-0000-0000-000060250000}"/>
    <cellStyle name="Normal 2 2 2 11 2 3" xfId="9569" xr:uid="{00000000-0005-0000-0000-000061250000}"/>
    <cellStyle name="Normal 2 2 2 11 2 4" xfId="9570" xr:uid="{00000000-0005-0000-0000-000062250000}"/>
    <cellStyle name="Normal 2 2 2 11 2 5" xfId="9571" xr:uid="{00000000-0005-0000-0000-000063250000}"/>
    <cellStyle name="Normal 2 2 2 11 2 6" xfId="9572" xr:uid="{00000000-0005-0000-0000-000064250000}"/>
    <cellStyle name="Normal 2 2 2 11 2 7" xfId="9573" xr:uid="{00000000-0005-0000-0000-000065250000}"/>
    <cellStyle name="Normal 2 2 2 11 2 8" xfId="9574" xr:uid="{00000000-0005-0000-0000-000066250000}"/>
    <cellStyle name="Normal 2 2 2 11 2 9" xfId="9575" xr:uid="{00000000-0005-0000-0000-000067250000}"/>
    <cellStyle name="Normal 2 2 2 11 3" xfId="9576" xr:uid="{00000000-0005-0000-0000-000068250000}"/>
    <cellStyle name="Normal 2 2 2 11 3 10" xfId="9577" xr:uid="{00000000-0005-0000-0000-000069250000}"/>
    <cellStyle name="Normal 2 2 2 11 3 2" xfId="9578" xr:uid="{00000000-0005-0000-0000-00006A250000}"/>
    <cellStyle name="Normal 2 2 2 11 3 3" xfId="9579" xr:uid="{00000000-0005-0000-0000-00006B250000}"/>
    <cellStyle name="Normal 2 2 2 11 3 4" xfId="9580" xr:uid="{00000000-0005-0000-0000-00006C250000}"/>
    <cellStyle name="Normal 2 2 2 11 3 5" xfId="9581" xr:uid="{00000000-0005-0000-0000-00006D250000}"/>
    <cellStyle name="Normal 2 2 2 11 3 6" xfId="9582" xr:uid="{00000000-0005-0000-0000-00006E250000}"/>
    <cellStyle name="Normal 2 2 2 11 3 7" xfId="9583" xr:uid="{00000000-0005-0000-0000-00006F250000}"/>
    <cellStyle name="Normal 2 2 2 11 3 8" xfId="9584" xr:uid="{00000000-0005-0000-0000-000070250000}"/>
    <cellStyle name="Normal 2 2 2 11 3 9" xfId="9585" xr:uid="{00000000-0005-0000-0000-000071250000}"/>
    <cellStyle name="Normal 2 2 2 11 4" xfId="9586" xr:uid="{00000000-0005-0000-0000-000072250000}"/>
    <cellStyle name="Normal 2 2 2 11 4 10" xfId="9587" xr:uid="{00000000-0005-0000-0000-000073250000}"/>
    <cellStyle name="Normal 2 2 2 11 4 2" xfId="9588" xr:uid="{00000000-0005-0000-0000-000074250000}"/>
    <cellStyle name="Normal 2 2 2 11 4 3" xfId="9589" xr:uid="{00000000-0005-0000-0000-000075250000}"/>
    <cellStyle name="Normal 2 2 2 11 4 4" xfId="9590" xr:uid="{00000000-0005-0000-0000-000076250000}"/>
    <cellStyle name="Normal 2 2 2 11 4 5" xfId="9591" xr:uid="{00000000-0005-0000-0000-000077250000}"/>
    <cellStyle name="Normal 2 2 2 11 4 6" xfId="9592" xr:uid="{00000000-0005-0000-0000-000078250000}"/>
    <cellStyle name="Normal 2 2 2 11 4 7" xfId="9593" xr:uid="{00000000-0005-0000-0000-000079250000}"/>
    <cellStyle name="Normal 2 2 2 11 4 8" xfId="9594" xr:uid="{00000000-0005-0000-0000-00007A250000}"/>
    <cellStyle name="Normal 2 2 2 11 4 9" xfId="9595" xr:uid="{00000000-0005-0000-0000-00007B250000}"/>
    <cellStyle name="Normal 2 2 2 11 5" xfId="9596" xr:uid="{00000000-0005-0000-0000-00007C250000}"/>
    <cellStyle name="Normal 2 2 2 11 5 10" xfId="9597" xr:uid="{00000000-0005-0000-0000-00007D250000}"/>
    <cellStyle name="Normal 2 2 2 11 5 2" xfId="9598" xr:uid="{00000000-0005-0000-0000-00007E250000}"/>
    <cellStyle name="Normal 2 2 2 11 5 3" xfId="9599" xr:uid="{00000000-0005-0000-0000-00007F250000}"/>
    <cellStyle name="Normal 2 2 2 11 5 4" xfId="9600" xr:uid="{00000000-0005-0000-0000-000080250000}"/>
    <cellStyle name="Normal 2 2 2 11 5 5" xfId="9601" xr:uid="{00000000-0005-0000-0000-000081250000}"/>
    <cellStyle name="Normal 2 2 2 11 5 6" xfId="9602" xr:uid="{00000000-0005-0000-0000-000082250000}"/>
    <cellStyle name="Normal 2 2 2 11 5 7" xfId="9603" xr:uid="{00000000-0005-0000-0000-000083250000}"/>
    <cellStyle name="Normal 2 2 2 11 5 8" xfId="9604" xr:uid="{00000000-0005-0000-0000-000084250000}"/>
    <cellStyle name="Normal 2 2 2 11 5 9" xfId="9605" xr:uid="{00000000-0005-0000-0000-000085250000}"/>
    <cellStyle name="Normal 2 2 2 11 6" xfId="9606" xr:uid="{00000000-0005-0000-0000-000086250000}"/>
    <cellStyle name="Normal 2 2 2 11 7" xfId="9607" xr:uid="{00000000-0005-0000-0000-000087250000}"/>
    <cellStyle name="Normal 2 2 2 11 8" xfId="9608" xr:uid="{00000000-0005-0000-0000-000088250000}"/>
    <cellStyle name="Normal 2 2 2 11 9" xfId="9609" xr:uid="{00000000-0005-0000-0000-000089250000}"/>
    <cellStyle name="Normal 2 2 2 12" xfId="9610" xr:uid="{00000000-0005-0000-0000-00008A250000}"/>
    <cellStyle name="Normal 2 2 2 12 10" xfId="9611" xr:uid="{00000000-0005-0000-0000-00008B250000}"/>
    <cellStyle name="Normal 2 2 2 12 11" xfId="9612" xr:uid="{00000000-0005-0000-0000-00008C250000}"/>
    <cellStyle name="Normal 2 2 2 12 12" xfId="9613" xr:uid="{00000000-0005-0000-0000-00008D250000}"/>
    <cellStyle name="Normal 2 2 2 12 13" xfId="9614" xr:uid="{00000000-0005-0000-0000-00008E250000}"/>
    <cellStyle name="Normal 2 2 2 12 14" xfId="9615" xr:uid="{00000000-0005-0000-0000-00008F250000}"/>
    <cellStyle name="Normal 2 2 2 12 2" xfId="9616" xr:uid="{00000000-0005-0000-0000-000090250000}"/>
    <cellStyle name="Normal 2 2 2 12 2 10" xfId="9617" xr:uid="{00000000-0005-0000-0000-000091250000}"/>
    <cellStyle name="Normal 2 2 2 12 2 2" xfId="9618" xr:uid="{00000000-0005-0000-0000-000092250000}"/>
    <cellStyle name="Normal 2 2 2 12 2 3" xfId="9619" xr:uid="{00000000-0005-0000-0000-000093250000}"/>
    <cellStyle name="Normal 2 2 2 12 2 4" xfId="9620" xr:uid="{00000000-0005-0000-0000-000094250000}"/>
    <cellStyle name="Normal 2 2 2 12 2 5" xfId="9621" xr:uid="{00000000-0005-0000-0000-000095250000}"/>
    <cellStyle name="Normal 2 2 2 12 2 6" xfId="9622" xr:uid="{00000000-0005-0000-0000-000096250000}"/>
    <cellStyle name="Normal 2 2 2 12 2 7" xfId="9623" xr:uid="{00000000-0005-0000-0000-000097250000}"/>
    <cellStyle name="Normal 2 2 2 12 2 8" xfId="9624" xr:uid="{00000000-0005-0000-0000-000098250000}"/>
    <cellStyle name="Normal 2 2 2 12 2 9" xfId="9625" xr:uid="{00000000-0005-0000-0000-000099250000}"/>
    <cellStyle name="Normal 2 2 2 12 3" xfId="9626" xr:uid="{00000000-0005-0000-0000-00009A250000}"/>
    <cellStyle name="Normal 2 2 2 12 3 10" xfId="9627" xr:uid="{00000000-0005-0000-0000-00009B250000}"/>
    <cellStyle name="Normal 2 2 2 12 3 2" xfId="9628" xr:uid="{00000000-0005-0000-0000-00009C250000}"/>
    <cellStyle name="Normal 2 2 2 12 3 3" xfId="9629" xr:uid="{00000000-0005-0000-0000-00009D250000}"/>
    <cellStyle name="Normal 2 2 2 12 3 4" xfId="9630" xr:uid="{00000000-0005-0000-0000-00009E250000}"/>
    <cellStyle name="Normal 2 2 2 12 3 5" xfId="9631" xr:uid="{00000000-0005-0000-0000-00009F250000}"/>
    <cellStyle name="Normal 2 2 2 12 3 6" xfId="9632" xr:uid="{00000000-0005-0000-0000-0000A0250000}"/>
    <cellStyle name="Normal 2 2 2 12 3 7" xfId="9633" xr:uid="{00000000-0005-0000-0000-0000A1250000}"/>
    <cellStyle name="Normal 2 2 2 12 3 8" xfId="9634" xr:uid="{00000000-0005-0000-0000-0000A2250000}"/>
    <cellStyle name="Normal 2 2 2 12 3 9" xfId="9635" xr:uid="{00000000-0005-0000-0000-0000A3250000}"/>
    <cellStyle name="Normal 2 2 2 12 4" xfId="9636" xr:uid="{00000000-0005-0000-0000-0000A4250000}"/>
    <cellStyle name="Normal 2 2 2 12 4 10" xfId="9637" xr:uid="{00000000-0005-0000-0000-0000A5250000}"/>
    <cellStyle name="Normal 2 2 2 12 4 2" xfId="9638" xr:uid="{00000000-0005-0000-0000-0000A6250000}"/>
    <cellStyle name="Normal 2 2 2 12 4 3" xfId="9639" xr:uid="{00000000-0005-0000-0000-0000A7250000}"/>
    <cellStyle name="Normal 2 2 2 12 4 4" xfId="9640" xr:uid="{00000000-0005-0000-0000-0000A8250000}"/>
    <cellStyle name="Normal 2 2 2 12 4 5" xfId="9641" xr:uid="{00000000-0005-0000-0000-0000A9250000}"/>
    <cellStyle name="Normal 2 2 2 12 4 6" xfId="9642" xr:uid="{00000000-0005-0000-0000-0000AA250000}"/>
    <cellStyle name="Normal 2 2 2 12 4 7" xfId="9643" xr:uid="{00000000-0005-0000-0000-0000AB250000}"/>
    <cellStyle name="Normal 2 2 2 12 4 8" xfId="9644" xr:uid="{00000000-0005-0000-0000-0000AC250000}"/>
    <cellStyle name="Normal 2 2 2 12 4 9" xfId="9645" xr:uid="{00000000-0005-0000-0000-0000AD250000}"/>
    <cellStyle name="Normal 2 2 2 12 5" xfId="9646" xr:uid="{00000000-0005-0000-0000-0000AE250000}"/>
    <cellStyle name="Normal 2 2 2 12 5 10" xfId="9647" xr:uid="{00000000-0005-0000-0000-0000AF250000}"/>
    <cellStyle name="Normal 2 2 2 12 5 2" xfId="9648" xr:uid="{00000000-0005-0000-0000-0000B0250000}"/>
    <cellStyle name="Normal 2 2 2 12 5 3" xfId="9649" xr:uid="{00000000-0005-0000-0000-0000B1250000}"/>
    <cellStyle name="Normal 2 2 2 12 5 4" xfId="9650" xr:uid="{00000000-0005-0000-0000-0000B2250000}"/>
    <cellStyle name="Normal 2 2 2 12 5 5" xfId="9651" xr:uid="{00000000-0005-0000-0000-0000B3250000}"/>
    <cellStyle name="Normal 2 2 2 12 5 6" xfId="9652" xr:uid="{00000000-0005-0000-0000-0000B4250000}"/>
    <cellStyle name="Normal 2 2 2 12 5 7" xfId="9653" xr:uid="{00000000-0005-0000-0000-0000B5250000}"/>
    <cellStyle name="Normal 2 2 2 12 5 8" xfId="9654" xr:uid="{00000000-0005-0000-0000-0000B6250000}"/>
    <cellStyle name="Normal 2 2 2 12 5 9" xfId="9655" xr:uid="{00000000-0005-0000-0000-0000B7250000}"/>
    <cellStyle name="Normal 2 2 2 12 6" xfId="9656" xr:uid="{00000000-0005-0000-0000-0000B8250000}"/>
    <cellStyle name="Normal 2 2 2 12 7" xfId="9657" xr:uid="{00000000-0005-0000-0000-0000B9250000}"/>
    <cellStyle name="Normal 2 2 2 12 8" xfId="9658" xr:uid="{00000000-0005-0000-0000-0000BA250000}"/>
    <cellStyle name="Normal 2 2 2 12 9" xfId="9659" xr:uid="{00000000-0005-0000-0000-0000BB250000}"/>
    <cellStyle name="Normal 2 2 2 13" xfId="9660" xr:uid="{00000000-0005-0000-0000-0000BC250000}"/>
    <cellStyle name="Normal 2 2 2 13 10" xfId="9661" xr:uid="{00000000-0005-0000-0000-0000BD250000}"/>
    <cellStyle name="Normal 2 2 2 13 11" xfId="9662" xr:uid="{00000000-0005-0000-0000-0000BE250000}"/>
    <cellStyle name="Normal 2 2 2 13 12" xfId="9663" xr:uid="{00000000-0005-0000-0000-0000BF250000}"/>
    <cellStyle name="Normal 2 2 2 13 13" xfId="9664" xr:uid="{00000000-0005-0000-0000-0000C0250000}"/>
    <cellStyle name="Normal 2 2 2 13 14" xfId="9665" xr:uid="{00000000-0005-0000-0000-0000C1250000}"/>
    <cellStyle name="Normal 2 2 2 13 2" xfId="9666" xr:uid="{00000000-0005-0000-0000-0000C2250000}"/>
    <cellStyle name="Normal 2 2 2 13 2 10" xfId="9667" xr:uid="{00000000-0005-0000-0000-0000C3250000}"/>
    <cellStyle name="Normal 2 2 2 13 2 2" xfId="9668" xr:uid="{00000000-0005-0000-0000-0000C4250000}"/>
    <cellStyle name="Normal 2 2 2 13 2 3" xfId="9669" xr:uid="{00000000-0005-0000-0000-0000C5250000}"/>
    <cellStyle name="Normal 2 2 2 13 2 4" xfId="9670" xr:uid="{00000000-0005-0000-0000-0000C6250000}"/>
    <cellStyle name="Normal 2 2 2 13 2 5" xfId="9671" xr:uid="{00000000-0005-0000-0000-0000C7250000}"/>
    <cellStyle name="Normal 2 2 2 13 2 6" xfId="9672" xr:uid="{00000000-0005-0000-0000-0000C8250000}"/>
    <cellStyle name="Normal 2 2 2 13 2 7" xfId="9673" xr:uid="{00000000-0005-0000-0000-0000C9250000}"/>
    <cellStyle name="Normal 2 2 2 13 2 8" xfId="9674" xr:uid="{00000000-0005-0000-0000-0000CA250000}"/>
    <cellStyle name="Normal 2 2 2 13 2 9" xfId="9675" xr:uid="{00000000-0005-0000-0000-0000CB250000}"/>
    <cellStyle name="Normal 2 2 2 13 3" xfId="9676" xr:uid="{00000000-0005-0000-0000-0000CC250000}"/>
    <cellStyle name="Normal 2 2 2 13 3 10" xfId="9677" xr:uid="{00000000-0005-0000-0000-0000CD250000}"/>
    <cellStyle name="Normal 2 2 2 13 3 2" xfId="9678" xr:uid="{00000000-0005-0000-0000-0000CE250000}"/>
    <cellStyle name="Normal 2 2 2 13 3 3" xfId="9679" xr:uid="{00000000-0005-0000-0000-0000CF250000}"/>
    <cellStyle name="Normal 2 2 2 13 3 4" xfId="9680" xr:uid="{00000000-0005-0000-0000-0000D0250000}"/>
    <cellStyle name="Normal 2 2 2 13 3 5" xfId="9681" xr:uid="{00000000-0005-0000-0000-0000D1250000}"/>
    <cellStyle name="Normal 2 2 2 13 3 6" xfId="9682" xr:uid="{00000000-0005-0000-0000-0000D2250000}"/>
    <cellStyle name="Normal 2 2 2 13 3 7" xfId="9683" xr:uid="{00000000-0005-0000-0000-0000D3250000}"/>
    <cellStyle name="Normal 2 2 2 13 3 8" xfId="9684" xr:uid="{00000000-0005-0000-0000-0000D4250000}"/>
    <cellStyle name="Normal 2 2 2 13 3 9" xfId="9685" xr:uid="{00000000-0005-0000-0000-0000D5250000}"/>
    <cellStyle name="Normal 2 2 2 13 4" xfId="9686" xr:uid="{00000000-0005-0000-0000-0000D6250000}"/>
    <cellStyle name="Normal 2 2 2 13 4 10" xfId="9687" xr:uid="{00000000-0005-0000-0000-0000D7250000}"/>
    <cellStyle name="Normal 2 2 2 13 4 2" xfId="9688" xr:uid="{00000000-0005-0000-0000-0000D8250000}"/>
    <cellStyle name="Normal 2 2 2 13 4 3" xfId="9689" xr:uid="{00000000-0005-0000-0000-0000D9250000}"/>
    <cellStyle name="Normal 2 2 2 13 4 4" xfId="9690" xr:uid="{00000000-0005-0000-0000-0000DA250000}"/>
    <cellStyle name="Normal 2 2 2 13 4 5" xfId="9691" xr:uid="{00000000-0005-0000-0000-0000DB250000}"/>
    <cellStyle name="Normal 2 2 2 13 4 6" xfId="9692" xr:uid="{00000000-0005-0000-0000-0000DC250000}"/>
    <cellStyle name="Normal 2 2 2 13 4 7" xfId="9693" xr:uid="{00000000-0005-0000-0000-0000DD250000}"/>
    <cellStyle name="Normal 2 2 2 13 4 8" xfId="9694" xr:uid="{00000000-0005-0000-0000-0000DE250000}"/>
    <cellStyle name="Normal 2 2 2 13 4 9" xfId="9695" xr:uid="{00000000-0005-0000-0000-0000DF250000}"/>
    <cellStyle name="Normal 2 2 2 13 5" xfId="9696" xr:uid="{00000000-0005-0000-0000-0000E0250000}"/>
    <cellStyle name="Normal 2 2 2 13 5 10" xfId="9697" xr:uid="{00000000-0005-0000-0000-0000E1250000}"/>
    <cellStyle name="Normal 2 2 2 13 5 2" xfId="9698" xr:uid="{00000000-0005-0000-0000-0000E2250000}"/>
    <cellStyle name="Normal 2 2 2 13 5 3" xfId="9699" xr:uid="{00000000-0005-0000-0000-0000E3250000}"/>
    <cellStyle name="Normal 2 2 2 13 5 4" xfId="9700" xr:uid="{00000000-0005-0000-0000-0000E4250000}"/>
    <cellStyle name="Normal 2 2 2 13 5 5" xfId="9701" xr:uid="{00000000-0005-0000-0000-0000E5250000}"/>
    <cellStyle name="Normal 2 2 2 13 5 6" xfId="9702" xr:uid="{00000000-0005-0000-0000-0000E6250000}"/>
    <cellStyle name="Normal 2 2 2 13 5 7" xfId="9703" xr:uid="{00000000-0005-0000-0000-0000E7250000}"/>
    <cellStyle name="Normal 2 2 2 13 5 8" xfId="9704" xr:uid="{00000000-0005-0000-0000-0000E8250000}"/>
    <cellStyle name="Normal 2 2 2 13 5 9" xfId="9705" xr:uid="{00000000-0005-0000-0000-0000E9250000}"/>
    <cellStyle name="Normal 2 2 2 13 6" xfId="9706" xr:uid="{00000000-0005-0000-0000-0000EA250000}"/>
    <cellStyle name="Normal 2 2 2 13 7" xfId="9707" xr:uid="{00000000-0005-0000-0000-0000EB250000}"/>
    <cellStyle name="Normal 2 2 2 13 8" xfId="9708" xr:uid="{00000000-0005-0000-0000-0000EC250000}"/>
    <cellStyle name="Normal 2 2 2 13 9" xfId="9709" xr:uid="{00000000-0005-0000-0000-0000ED250000}"/>
    <cellStyle name="Normal 2 2 2 14" xfId="9710" xr:uid="{00000000-0005-0000-0000-0000EE250000}"/>
    <cellStyle name="Normal 2 2 2 14 10" xfId="9711" xr:uid="{00000000-0005-0000-0000-0000EF250000}"/>
    <cellStyle name="Normal 2 2 2 14 11" xfId="9712" xr:uid="{00000000-0005-0000-0000-0000F0250000}"/>
    <cellStyle name="Normal 2 2 2 14 12" xfId="9713" xr:uid="{00000000-0005-0000-0000-0000F1250000}"/>
    <cellStyle name="Normal 2 2 2 14 13" xfId="9714" xr:uid="{00000000-0005-0000-0000-0000F2250000}"/>
    <cellStyle name="Normal 2 2 2 14 14" xfId="9715" xr:uid="{00000000-0005-0000-0000-0000F3250000}"/>
    <cellStyle name="Normal 2 2 2 14 2" xfId="9716" xr:uid="{00000000-0005-0000-0000-0000F4250000}"/>
    <cellStyle name="Normal 2 2 2 14 2 10" xfId="9717" xr:uid="{00000000-0005-0000-0000-0000F5250000}"/>
    <cellStyle name="Normal 2 2 2 14 2 2" xfId="9718" xr:uid="{00000000-0005-0000-0000-0000F6250000}"/>
    <cellStyle name="Normal 2 2 2 14 2 3" xfId="9719" xr:uid="{00000000-0005-0000-0000-0000F7250000}"/>
    <cellStyle name="Normal 2 2 2 14 2 4" xfId="9720" xr:uid="{00000000-0005-0000-0000-0000F8250000}"/>
    <cellStyle name="Normal 2 2 2 14 2 5" xfId="9721" xr:uid="{00000000-0005-0000-0000-0000F9250000}"/>
    <cellStyle name="Normal 2 2 2 14 2 6" xfId="9722" xr:uid="{00000000-0005-0000-0000-0000FA250000}"/>
    <cellStyle name="Normal 2 2 2 14 2 7" xfId="9723" xr:uid="{00000000-0005-0000-0000-0000FB250000}"/>
    <cellStyle name="Normal 2 2 2 14 2 8" xfId="9724" xr:uid="{00000000-0005-0000-0000-0000FC250000}"/>
    <cellStyle name="Normal 2 2 2 14 2 9" xfId="9725" xr:uid="{00000000-0005-0000-0000-0000FD250000}"/>
    <cellStyle name="Normal 2 2 2 14 3" xfId="9726" xr:uid="{00000000-0005-0000-0000-0000FE250000}"/>
    <cellStyle name="Normal 2 2 2 14 3 10" xfId="9727" xr:uid="{00000000-0005-0000-0000-0000FF250000}"/>
    <cellStyle name="Normal 2 2 2 14 3 2" xfId="9728" xr:uid="{00000000-0005-0000-0000-000000260000}"/>
    <cellStyle name="Normal 2 2 2 14 3 3" xfId="9729" xr:uid="{00000000-0005-0000-0000-000001260000}"/>
    <cellStyle name="Normal 2 2 2 14 3 4" xfId="9730" xr:uid="{00000000-0005-0000-0000-000002260000}"/>
    <cellStyle name="Normal 2 2 2 14 3 5" xfId="9731" xr:uid="{00000000-0005-0000-0000-000003260000}"/>
    <cellStyle name="Normal 2 2 2 14 3 6" xfId="9732" xr:uid="{00000000-0005-0000-0000-000004260000}"/>
    <cellStyle name="Normal 2 2 2 14 3 7" xfId="9733" xr:uid="{00000000-0005-0000-0000-000005260000}"/>
    <cellStyle name="Normal 2 2 2 14 3 8" xfId="9734" xr:uid="{00000000-0005-0000-0000-000006260000}"/>
    <cellStyle name="Normal 2 2 2 14 3 9" xfId="9735" xr:uid="{00000000-0005-0000-0000-000007260000}"/>
    <cellStyle name="Normal 2 2 2 14 4" xfId="9736" xr:uid="{00000000-0005-0000-0000-000008260000}"/>
    <cellStyle name="Normal 2 2 2 14 4 10" xfId="9737" xr:uid="{00000000-0005-0000-0000-000009260000}"/>
    <cellStyle name="Normal 2 2 2 14 4 2" xfId="9738" xr:uid="{00000000-0005-0000-0000-00000A260000}"/>
    <cellStyle name="Normal 2 2 2 14 4 3" xfId="9739" xr:uid="{00000000-0005-0000-0000-00000B260000}"/>
    <cellStyle name="Normal 2 2 2 14 4 4" xfId="9740" xr:uid="{00000000-0005-0000-0000-00000C260000}"/>
    <cellStyle name="Normal 2 2 2 14 4 5" xfId="9741" xr:uid="{00000000-0005-0000-0000-00000D260000}"/>
    <cellStyle name="Normal 2 2 2 14 4 6" xfId="9742" xr:uid="{00000000-0005-0000-0000-00000E260000}"/>
    <cellStyle name="Normal 2 2 2 14 4 7" xfId="9743" xr:uid="{00000000-0005-0000-0000-00000F260000}"/>
    <cellStyle name="Normal 2 2 2 14 4 8" xfId="9744" xr:uid="{00000000-0005-0000-0000-000010260000}"/>
    <cellStyle name="Normal 2 2 2 14 4 9" xfId="9745" xr:uid="{00000000-0005-0000-0000-000011260000}"/>
    <cellStyle name="Normal 2 2 2 14 5" xfId="9746" xr:uid="{00000000-0005-0000-0000-000012260000}"/>
    <cellStyle name="Normal 2 2 2 14 5 10" xfId="9747" xr:uid="{00000000-0005-0000-0000-000013260000}"/>
    <cellStyle name="Normal 2 2 2 14 5 2" xfId="9748" xr:uid="{00000000-0005-0000-0000-000014260000}"/>
    <cellStyle name="Normal 2 2 2 14 5 3" xfId="9749" xr:uid="{00000000-0005-0000-0000-000015260000}"/>
    <cellStyle name="Normal 2 2 2 14 5 4" xfId="9750" xr:uid="{00000000-0005-0000-0000-000016260000}"/>
    <cellStyle name="Normal 2 2 2 14 5 5" xfId="9751" xr:uid="{00000000-0005-0000-0000-000017260000}"/>
    <cellStyle name="Normal 2 2 2 14 5 6" xfId="9752" xr:uid="{00000000-0005-0000-0000-000018260000}"/>
    <cellStyle name="Normal 2 2 2 14 5 7" xfId="9753" xr:uid="{00000000-0005-0000-0000-000019260000}"/>
    <cellStyle name="Normal 2 2 2 14 5 8" xfId="9754" xr:uid="{00000000-0005-0000-0000-00001A260000}"/>
    <cellStyle name="Normal 2 2 2 14 5 9" xfId="9755" xr:uid="{00000000-0005-0000-0000-00001B260000}"/>
    <cellStyle name="Normal 2 2 2 14 6" xfId="9756" xr:uid="{00000000-0005-0000-0000-00001C260000}"/>
    <cellStyle name="Normal 2 2 2 14 7" xfId="9757" xr:uid="{00000000-0005-0000-0000-00001D260000}"/>
    <cellStyle name="Normal 2 2 2 14 8" xfId="9758" xr:uid="{00000000-0005-0000-0000-00001E260000}"/>
    <cellStyle name="Normal 2 2 2 14 9" xfId="9759" xr:uid="{00000000-0005-0000-0000-00001F260000}"/>
    <cellStyle name="Normal 2 2 2 15" xfId="9760" xr:uid="{00000000-0005-0000-0000-000020260000}"/>
    <cellStyle name="Normal 2 2 2 15 10" xfId="9761" xr:uid="{00000000-0005-0000-0000-000021260000}"/>
    <cellStyle name="Normal 2 2 2 15 11" xfId="9762" xr:uid="{00000000-0005-0000-0000-000022260000}"/>
    <cellStyle name="Normal 2 2 2 15 12" xfId="9763" xr:uid="{00000000-0005-0000-0000-000023260000}"/>
    <cellStyle name="Normal 2 2 2 15 13" xfId="9764" xr:uid="{00000000-0005-0000-0000-000024260000}"/>
    <cellStyle name="Normal 2 2 2 15 14" xfId="9765" xr:uid="{00000000-0005-0000-0000-000025260000}"/>
    <cellStyle name="Normal 2 2 2 15 2" xfId="9766" xr:uid="{00000000-0005-0000-0000-000026260000}"/>
    <cellStyle name="Normal 2 2 2 15 2 10" xfId="9767" xr:uid="{00000000-0005-0000-0000-000027260000}"/>
    <cellStyle name="Normal 2 2 2 15 2 2" xfId="9768" xr:uid="{00000000-0005-0000-0000-000028260000}"/>
    <cellStyle name="Normal 2 2 2 15 2 3" xfId="9769" xr:uid="{00000000-0005-0000-0000-000029260000}"/>
    <cellStyle name="Normal 2 2 2 15 2 4" xfId="9770" xr:uid="{00000000-0005-0000-0000-00002A260000}"/>
    <cellStyle name="Normal 2 2 2 15 2 5" xfId="9771" xr:uid="{00000000-0005-0000-0000-00002B260000}"/>
    <cellStyle name="Normal 2 2 2 15 2 6" xfId="9772" xr:uid="{00000000-0005-0000-0000-00002C260000}"/>
    <cellStyle name="Normal 2 2 2 15 2 7" xfId="9773" xr:uid="{00000000-0005-0000-0000-00002D260000}"/>
    <cellStyle name="Normal 2 2 2 15 2 8" xfId="9774" xr:uid="{00000000-0005-0000-0000-00002E260000}"/>
    <cellStyle name="Normal 2 2 2 15 2 9" xfId="9775" xr:uid="{00000000-0005-0000-0000-00002F260000}"/>
    <cellStyle name="Normal 2 2 2 15 3" xfId="9776" xr:uid="{00000000-0005-0000-0000-000030260000}"/>
    <cellStyle name="Normal 2 2 2 15 3 10" xfId="9777" xr:uid="{00000000-0005-0000-0000-000031260000}"/>
    <cellStyle name="Normal 2 2 2 15 3 2" xfId="9778" xr:uid="{00000000-0005-0000-0000-000032260000}"/>
    <cellStyle name="Normal 2 2 2 15 3 3" xfId="9779" xr:uid="{00000000-0005-0000-0000-000033260000}"/>
    <cellStyle name="Normal 2 2 2 15 3 4" xfId="9780" xr:uid="{00000000-0005-0000-0000-000034260000}"/>
    <cellStyle name="Normal 2 2 2 15 3 5" xfId="9781" xr:uid="{00000000-0005-0000-0000-000035260000}"/>
    <cellStyle name="Normal 2 2 2 15 3 6" xfId="9782" xr:uid="{00000000-0005-0000-0000-000036260000}"/>
    <cellStyle name="Normal 2 2 2 15 3 7" xfId="9783" xr:uid="{00000000-0005-0000-0000-000037260000}"/>
    <cellStyle name="Normal 2 2 2 15 3 8" xfId="9784" xr:uid="{00000000-0005-0000-0000-000038260000}"/>
    <cellStyle name="Normal 2 2 2 15 3 9" xfId="9785" xr:uid="{00000000-0005-0000-0000-000039260000}"/>
    <cellStyle name="Normal 2 2 2 15 4" xfId="9786" xr:uid="{00000000-0005-0000-0000-00003A260000}"/>
    <cellStyle name="Normal 2 2 2 15 4 10" xfId="9787" xr:uid="{00000000-0005-0000-0000-00003B260000}"/>
    <cellStyle name="Normal 2 2 2 15 4 2" xfId="9788" xr:uid="{00000000-0005-0000-0000-00003C260000}"/>
    <cellStyle name="Normal 2 2 2 15 4 3" xfId="9789" xr:uid="{00000000-0005-0000-0000-00003D260000}"/>
    <cellStyle name="Normal 2 2 2 15 4 4" xfId="9790" xr:uid="{00000000-0005-0000-0000-00003E260000}"/>
    <cellStyle name="Normal 2 2 2 15 4 5" xfId="9791" xr:uid="{00000000-0005-0000-0000-00003F260000}"/>
    <cellStyle name="Normal 2 2 2 15 4 6" xfId="9792" xr:uid="{00000000-0005-0000-0000-000040260000}"/>
    <cellStyle name="Normal 2 2 2 15 4 7" xfId="9793" xr:uid="{00000000-0005-0000-0000-000041260000}"/>
    <cellStyle name="Normal 2 2 2 15 4 8" xfId="9794" xr:uid="{00000000-0005-0000-0000-000042260000}"/>
    <cellStyle name="Normal 2 2 2 15 4 9" xfId="9795" xr:uid="{00000000-0005-0000-0000-000043260000}"/>
    <cellStyle name="Normal 2 2 2 15 5" xfId="9796" xr:uid="{00000000-0005-0000-0000-000044260000}"/>
    <cellStyle name="Normal 2 2 2 15 5 10" xfId="9797" xr:uid="{00000000-0005-0000-0000-000045260000}"/>
    <cellStyle name="Normal 2 2 2 15 5 2" xfId="9798" xr:uid="{00000000-0005-0000-0000-000046260000}"/>
    <cellStyle name="Normal 2 2 2 15 5 3" xfId="9799" xr:uid="{00000000-0005-0000-0000-000047260000}"/>
    <cellStyle name="Normal 2 2 2 15 5 4" xfId="9800" xr:uid="{00000000-0005-0000-0000-000048260000}"/>
    <cellStyle name="Normal 2 2 2 15 5 5" xfId="9801" xr:uid="{00000000-0005-0000-0000-000049260000}"/>
    <cellStyle name="Normal 2 2 2 15 5 6" xfId="9802" xr:uid="{00000000-0005-0000-0000-00004A260000}"/>
    <cellStyle name="Normal 2 2 2 15 5 7" xfId="9803" xr:uid="{00000000-0005-0000-0000-00004B260000}"/>
    <cellStyle name="Normal 2 2 2 15 5 8" xfId="9804" xr:uid="{00000000-0005-0000-0000-00004C260000}"/>
    <cellStyle name="Normal 2 2 2 15 5 9" xfId="9805" xr:uid="{00000000-0005-0000-0000-00004D260000}"/>
    <cellStyle name="Normal 2 2 2 15 6" xfId="9806" xr:uid="{00000000-0005-0000-0000-00004E260000}"/>
    <cellStyle name="Normal 2 2 2 15 7" xfId="9807" xr:uid="{00000000-0005-0000-0000-00004F260000}"/>
    <cellStyle name="Normal 2 2 2 15 8" xfId="9808" xr:uid="{00000000-0005-0000-0000-000050260000}"/>
    <cellStyle name="Normal 2 2 2 15 9" xfId="9809" xr:uid="{00000000-0005-0000-0000-000051260000}"/>
    <cellStyle name="Normal 2 2 2 16" xfId="9810" xr:uid="{00000000-0005-0000-0000-000052260000}"/>
    <cellStyle name="Normal 2 2 2 16 10" xfId="9811" xr:uid="{00000000-0005-0000-0000-000053260000}"/>
    <cellStyle name="Normal 2 2 2 16 11" xfId="9812" xr:uid="{00000000-0005-0000-0000-000054260000}"/>
    <cellStyle name="Normal 2 2 2 16 12" xfId="9813" xr:uid="{00000000-0005-0000-0000-000055260000}"/>
    <cellStyle name="Normal 2 2 2 16 13" xfId="9814" xr:uid="{00000000-0005-0000-0000-000056260000}"/>
    <cellStyle name="Normal 2 2 2 16 14" xfId="9815" xr:uid="{00000000-0005-0000-0000-000057260000}"/>
    <cellStyle name="Normal 2 2 2 16 2" xfId="9816" xr:uid="{00000000-0005-0000-0000-000058260000}"/>
    <cellStyle name="Normal 2 2 2 16 2 10" xfId="9817" xr:uid="{00000000-0005-0000-0000-000059260000}"/>
    <cellStyle name="Normal 2 2 2 16 2 2" xfId="9818" xr:uid="{00000000-0005-0000-0000-00005A260000}"/>
    <cellStyle name="Normal 2 2 2 16 2 3" xfId="9819" xr:uid="{00000000-0005-0000-0000-00005B260000}"/>
    <cellStyle name="Normal 2 2 2 16 2 4" xfId="9820" xr:uid="{00000000-0005-0000-0000-00005C260000}"/>
    <cellStyle name="Normal 2 2 2 16 2 5" xfId="9821" xr:uid="{00000000-0005-0000-0000-00005D260000}"/>
    <cellStyle name="Normal 2 2 2 16 2 6" xfId="9822" xr:uid="{00000000-0005-0000-0000-00005E260000}"/>
    <cellStyle name="Normal 2 2 2 16 2 7" xfId="9823" xr:uid="{00000000-0005-0000-0000-00005F260000}"/>
    <cellStyle name="Normal 2 2 2 16 2 8" xfId="9824" xr:uid="{00000000-0005-0000-0000-000060260000}"/>
    <cellStyle name="Normal 2 2 2 16 2 9" xfId="9825" xr:uid="{00000000-0005-0000-0000-000061260000}"/>
    <cellStyle name="Normal 2 2 2 16 3" xfId="9826" xr:uid="{00000000-0005-0000-0000-000062260000}"/>
    <cellStyle name="Normal 2 2 2 16 3 10" xfId="9827" xr:uid="{00000000-0005-0000-0000-000063260000}"/>
    <cellStyle name="Normal 2 2 2 16 3 2" xfId="9828" xr:uid="{00000000-0005-0000-0000-000064260000}"/>
    <cellStyle name="Normal 2 2 2 16 3 3" xfId="9829" xr:uid="{00000000-0005-0000-0000-000065260000}"/>
    <cellStyle name="Normal 2 2 2 16 3 4" xfId="9830" xr:uid="{00000000-0005-0000-0000-000066260000}"/>
    <cellStyle name="Normal 2 2 2 16 3 5" xfId="9831" xr:uid="{00000000-0005-0000-0000-000067260000}"/>
    <cellStyle name="Normal 2 2 2 16 3 6" xfId="9832" xr:uid="{00000000-0005-0000-0000-000068260000}"/>
    <cellStyle name="Normal 2 2 2 16 3 7" xfId="9833" xr:uid="{00000000-0005-0000-0000-000069260000}"/>
    <cellStyle name="Normal 2 2 2 16 3 8" xfId="9834" xr:uid="{00000000-0005-0000-0000-00006A260000}"/>
    <cellStyle name="Normal 2 2 2 16 3 9" xfId="9835" xr:uid="{00000000-0005-0000-0000-00006B260000}"/>
    <cellStyle name="Normal 2 2 2 16 4" xfId="9836" xr:uid="{00000000-0005-0000-0000-00006C260000}"/>
    <cellStyle name="Normal 2 2 2 16 4 10" xfId="9837" xr:uid="{00000000-0005-0000-0000-00006D260000}"/>
    <cellStyle name="Normal 2 2 2 16 4 2" xfId="9838" xr:uid="{00000000-0005-0000-0000-00006E260000}"/>
    <cellStyle name="Normal 2 2 2 16 4 3" xfId="9839" xr:uid="{00000000-0005-0000-0000-00006F260000}"/>
    <cellStyle name="Normal 2 2 2 16 4 4" xfId="9840" xr:uid="{00000000-0005-0000-0000-000070260000}"/>
    <cellStyle name="Normal 2 2 2 16 4 5" xfId="9841" xr:uid="{00000000-0005-0000-0000-000071260000}"/>
    <cellStyle name="Normal 2 2 2 16 4 6" xfId="9842" xr:uid="{00000000-0005-0000-0000-000072260000}"/>
    <cellStyle name="Normal 2 2 2 16 4 7" xfId="9843" xr:uid="{00000000-0005-0000-0000-000073260000}"/>
    <cellStyle name="Normal 2 2 2 16 4 8" xfId="9844" xr:uid="{00000000-0005-0000-0000-000074260000}"/>
    <cellStyle name="Normal 2 2 2 16 4 9" xfId="9845" xr:uid="{00000000-0005-0000-0000-000075260000}"/>
    <cellStyle name="Normal 2 2 2 16 5" xfId="9846" xr:uid="{00000000-0005-0000-0000-000076260000}"/>
    <cellStyle name="Normal 2 2 2 16 5 10" xfId="9847" xr:uid="{00000000-0005-0000-0000-000077260000}"/>
    <cellStyle name="Normal 2 2 2 16 5 2" xfId="9848" xr:uid="{00000000-0005-0000-0000-000078260000}"/>
    <cellStyle name="Normal 2 2 2 16 5 3" xfId="9849" xr:uid="{00000000-0005-0000-0000-000079260000}"/>
    <cellStyle name="Normal 2 2 2 16 5 4" xfId="9850" xr:uid="{00000000-0005-0000-0000-00007A260000}"/>
    <cellStyle name="Normal 2 2 2 16 5 5" xfId="9851" xr:uid="{00000000-0005-0000-0000-00007B260000}"/>
    <cellStyle name="Normal 2 2 2 16 5 6" xfId="9852" xr:uid="{00000000-0005-0000-0000-00007C260000}"/>
    <cellStyle name="Normal 2 2 2 16 5 7" xfId="9853" xr:uid="{00000000-0005-0000-0000-00007D260000}"/>
    <cellStyle name="Normal 2 2 2 16 5 8" xfId="9854" xr:uid="{00000000-0005-0000-0000-00007E260000}"/>
    <cellStyle name="Normal 2 2 2 16 5 9" xfId="9855" xr:uid="{00000000-0005-0000-0000-00007F260000}"/>
    <cellStyle name="Normal 2 2 2 16 6" xfId="9856" xr:uid="{00000000-0005-0000-0000-000080260000}"/>
    <cellStyle name="Normal 2 2 2 16 7" xfId="9857" xr:uid="{00000000-0005-0000-0000-000081260000}"/>
    <cellStyle name="Normal 2 2 2 16 8" xfId="9858" xr:uid="{00000000-0005-0000-0000-000082260000}"/>
    <cellStyle name="Normal 2 2 2 16 9" xfId="9859" xr:uid="{00000000-0005-0000-0000-000083260000}"/>
    <cellStyle name="Normal 2 2 2 17" xfId="9860" xr:uid="{00000000-0005-0000-0000-000084260000}"/>
    <cellStyle name="Normal 2 2 2 17 10" xfId="9861" xr:uid="{00000000-0005-0000-0000-000085260000}"/>
    <cellStyle name="Normal 2 2 2 17 11" xfId="9862" xr:uid="{00000000-0005-0000-0000-000086260000}"/>
    <cellStyle name="Normal 2 2 2 17 12" xfId="9863" xr:uid="{00000000-0005-0000-0000-000087260000}"/>
    <cellStyle name="Normal 2 2 2 17 13" xfId="9864" xr:uid="{00000000-0005-0000-0000-000088260000}"/>
    <cellStyle name="Normal 2 2 2 17 14" xfId="9865" xr:uid="{00000000-0005-0000-0000-000089260000}"/>
    <cellStyle name="Normal 2 2 2 17 2" xfId="9866" xr:uid="{00000000-0005-0000-0000-00008A260000}"/>
    <cellStyle name="Normal 2 2 2 17 2 10" xfId="9867" xr:uid="{00000000-0005-0000-0000-00008B260000}"/>
    <cellStyle name="Normal 2 2 2 17 2 2" xfId="9868" xr:uid="{00000000-0005-0000-0000-00008C260000}"/>
    <cellStyle name="Normal 2 2 2 17 2 3" xfId="9869" xr:uid="{00000000-0005-0000-0000-00008D260000}"/>
    <cellStyle name="Normal 2 2 2 17 2 4" xfId="9870" xr:uid="{00000000-0005-0000-0000-00008E260000}"/>
    <cellStyle name="Normal 2 2 2 17 2 5" xfId="9871" xr:uid="{00000000-0005-0000-0000-00008F260000}"/>
    <cellStyle name="Normal 2 2 2 17 2 6" xfId="9872" xr:uid="{00000000-0005-0000-0000-000090260000}"/>
    <cellStyle name="Normal 2 2 2 17 2 7" xfId="9873" xr:uid="{00000000-0005-0000-0000-000091260000}"/>
    <cellStyle name="Normal 2 2 2 17 2 8" xfId="9874" xr:uid="{00000000-0005-0000-0000-000092260000}"/>
    <cellStyle name="Normal 2 2 2 17 2 9" xfId="9875" xr:uid="{00000000-0005-0000-0000-000093260000}"/>
    <cellStyle name="Normal 2 2 2 17 3" xfId="9876" xr:uid="{00000000-0005-0000-0000-000094260000}"/>
    <cellStyle name="Normal 2 2 2 17 3 10" xfId="9877" xr:uid="{00000000-0005-0000-0000-000095260000}"/>
    <cellStyle name="Normal 2 2 2 17 3 2" xfId="9878" xr:uid="{00000000-0005-0000-0000-000096260000}"/>
    <cellStyle name="Normal 2 2 2 17 3 3" xfId="9879" xr:uid="{00000000-0005-0000-0000-000097260000}"/>
    <cellStyle name="Normal 2 2 2 17 3 4" xfId="9880" xr:uid="{00000000-0005-0000-0000-000098260000}"/>
    <cellStyle name="Normal 2 2 2 17 3 5" xfId="9881" xr:uid="{00000000-0005-0000-0000-000099260000}"/>
    <cellStyle name="Normal 2 2 2 17 3 6" xfId="9882" xr:uid="{00000000-0005-0000-0000-00009A260000}"/>
    <cellStyle name="Normal 2 2 2 17 3 7" xfId="9883" xr:uid="{00000000-0005-0000-0000-00009B260000}"/>
    <cellStyle name="Normal 2 2 2 17 3 8" xfId="9884" xr:uid="{00000000-0005-0000-0000-00009C260000}"/>
    <cellStyle name="Normal 2 2 2 17 3 9" xfId="9885" xr:uid="{00000000-0005-0000-0000-00009D260000}"/>
    <cellStyle name="Normal 2 2 2 17 4" xfId="9886" xr:uid="{00000000-0005-0000-0000-00009E260000}"/>
    <cellStyle name="Normal 2 2 2 17 4 10" xfId="9887" xr:uid="{00000000-0005-0000-0000-00009F260000}"/>
    <cellStyle name="Normal 2 2 2 17 4 2" xfId="9888" xr:uid="{00000000-0005-0000-0000-0000A0260000}"/>
    <cellStyle name="Normal 2 2 2 17 4 3" xfId="9889" xr:uid="{00000000-0005-0000-0000-0000A1260000}"/>
    <cellStyle name="Normal 2 2 2 17 4 4" xfId="9890" xr:uid="{00000000-0005-0000-0000-0000A2260000}"/>
    <cellStyle name="Normal 2 2 2 17 4 5" xfId="9891" xr:uid="{00000000-0005-0000-0000-0000A3260000}"/>
    <cellStyle name="Normal 2 2 2 17 4 6" xfId="9892" xr:uid="{00000000-0005-0000-0000-0000A4260000}"/>
    <cellStyle name="Normal 2 2 2 17 4 7" xfId="9893" xr:uid="{00000000-0005-0000-0000-0000A5260000}"/>
    <cellStyle name="Normal 2 2 2 17 4 8" xfId="9894" xr:uid="{00000000-0005-0000-0000-0000A6260000}"/>
    <cellStyle name="Normal 2 2 2 17 4 9" xfId="9895" xr:uid="{00000000-0005-0000-0000-0000A7260000}"/>
    <cellStyle name="Normal 2 2 2 17 5" xfId="9896" xr:uid="{00000000-0005-0000-0000-0000A8260000}"/>
    <cellStyle name="Normal 2 2 2 17 5 10" xfId="9897" xr:uid="{00000000-0005-0000-0000-0000A9260000}"/>
    <cellStyle name="Normal 2 2 2 17 5 2" xfId="9898" xr:uid="{00000000-0005-0000-0000-0000AA260000}"/>
    <cellStyle name="Normal 2 2 2 17 5 3" xfId="9899" xr:uid="{00000000-0005-0000-0000-0000AB260000}"/>
    <cellStyle name="Normal 2 2 2 17 5 4" xfId="9900" xr:uid="{00000000-0005-0000-0000-0000AC260000}"/>
    <cellStyle name="Normal 2 2 2 17 5 5" xfId="9901" xr:uid="{00000000-0005-0000-0000-0000AD260000}"/>
    <cellStyle name="Normal 2 2 2 17 5 6" xfId="9902" xr:uid="{00000000-0005-0000-0000-0000AE260000}"/>
    <cellStyle name="Normal 2 2 2 17 5 7" xfId="9903" xr:uid="{00000000-0005-0000-0000-0000AF260000}"/>
    <cellStyle name="Normal 2 2 2 17 5 8" xfId="9904" xr:uid="{00000000-0005-0000-0000-0000B0260000}"/>
    <cellStyle name="Normal 2 2 2 17 5 9" xfId="9905" xr:uid="{00000000-0005-0000-0000-0000B1260000}"/>
    <cellStyle name="Normal 2 2 2 17 6" xfId="9906" xr:uid="{00000000-0005-0000-0000-0000B2260000}"/>
    <cellStyle name="Normal 2 2 2 17 7" xfId="9907" xr:uid="{00000000-0005-0000-0000-0000B3260000}"/>
    <cellStyle name="Normal 2 2 2 17 8" xfId="9908" xr:uid="{00000000-0005-0000-0000-0000B4260000}"/>
    <cellStyle name="Normal 2 2 2 17 9" xfId="9909" xr:uid="{00000000-0005-0000-0000-0000B5260000}"/>
    <cellStyle name="Normal 2 2 2 18" xfId="9910" xr:uid="{00000000-0005-0000-0000-0000B6260000}"/>
    <cellStyle name="Normal 2 2 2 18 10" xfId="9911" xr:uid="{00000000-0005-0000-0000-0000B7260000}"/>
    <cellStyle name="Normal 2 2 2 18 11" xfId="9912" xr:uid="{00000000-0005-0000-0000-0000B8260000}"/>
    <cellStyle name="Normal 2 2 2 18 12" xfId="9913" xr:uid="{00000000-0005-0000-0000-0000B9260000}"/>
    <cellStyle name="Normal 2 2 2 18 13" xfId="9914" xr:uid="{00000000-0005-0000-0000-0000BA260000}"/>
    <cellStyle name="Normal 2 2 2 18 14" xfId="9915" xr:uid="{00000000-0005-0000-0000-0000BB260000}"/>
    <cellStyle name="Normal 2 2 2 18 2" xfId="9916" xr:uid="{00000000-0005-0000-0000-0000BC260000}"/>
    <cellStyle name="Normal 2 2 2 18 2 10" xfId="9917" xr:uid="{00000000-0005-0000-0000-0000BD260000}"/>
    <cellStyle name="Normal 2 2 2 18 2 2" xfId="9918" xr:uid="{00000000-0005-0000-0000-0000BE260000}"/>
    <cellStyle name="Normal 2 2 2 18 2 3" xfId="9919" xr:uid="{00000000-0005-0000-0000-0000BF260000}"/>
    <cellStyle name="Normal 2 2 2 18 2 4" xfId="9920" xr:uid="{00000000-0005-0000-0000-0000C0260000}"/>
    <cellStyle name="Normal 2 2 2 18 2 5" xfId="9921" xr:uid="{00000000-0005-0000-0000-0000C1260000}"/>
    <cellStyle name="Normal 2 2 2 18 2 6" xfId="9922" xr:uid="{00000000-0005-0000-0000-0000C2260000}"/>
    <cellStyle name="Normal 2 2 2 18 2 7" xfId="9923" xr:uid="{00000000-0005-0000-0000-0000C3260000}"/>
    <cellStyle name="Normal 2 2 2 18 2 8" xfId="9924" xr:uid="{00000000-0005-0000-0000-0000C4260000}"/>
    <cellStyle name="Normal 2 2 2 18 2 9" xfId="9925" xr:uid="{00000000-0005-0000-0000-0000C5260000}"/>
    <cellStyle name="Normal 2 2 2 18 3" xfId="9926" xr:uid="{00000000-0005-0000-0000-0000C6260000}"/>
    <cellStyle name="Normal 2 2 2 18 3 10" xfId="9927" xr:uid="{00000000-0005-0000-0000-0000C7260000}"/>
    <cellStyle name="Normal 2 2 2 18 3 2" xfId="9928" xr:uid="{00000000-0005-0000-0000-0000C8260000}"/>
    <cellStyle name="Normal 2 2 2 18 3 3" xfId="9929" xr:uid="{00000000-0005-0000-0000-0000C9260000}"/>
    <cellStyle name="Normal 2 2 2 18 3 4" xfId="9930" xr:uid="{00000000-0005-0000-0000-0000CA260000}"/>
    <cellStyle name="Normal 2 2 2 18 3 5" xfId="9931" xr:uid="{00000000-0005-0000-0000-0000CB260000}"/>
    <cellStyle name="Normal 2 2 2 18 3 6" xfId="9932" xr:uid="{00000000-0005-0000-0000-0000CC260000}"/>
    <cellStyle name="Normal 2 2 2 18 3 7" xfId="9933" xr:uid="{00000000-0005-0000-0000-0000CD260000}"/>
    <cellStyle name="Normal 2 2 2 18 3 8" xfId="9934" xr:uid="{00000000-0005-0000-0000-0000CE260000}"/>
    <cellStyle name="Normal 2 2 2 18 3 9" xfId="9935" xr:uid="{00000000-0005-0000-0000-0000CF260000}"/>
    <cellStyle name="Normal 2 2 2 18 4" xfId="9936" xr:uid="{00000000-0005-0000-0000-0000D0260000}"/>
    <cellStyle name="Normal 2 2 2 18 4 10" xfId="9937" xr:uid="{00000000-0005-0000-0000-0000D1260000}"/>
    <cellStyle name="Normal 2 2 2 18 4 2" xfId="9938" xr:uid="{00000000-0005-0000-0000-0000D2260000}"/>
    <cellStyle name="Normal 2 2 2 18 4 3" xfId="9939" xr:uid="{00000000-0005-0000-0000-0000D3260000}"/>
    <cellStyle name="Normal 2 2 2 18 4 4" xfId="9940" xr:uid="{00000000-0005-0000-0000-0000D4260000}"/>
    <cellStyle name="Normal 2 2 2 18 4 5" xfId="9941" xr:uid="{00000000-0005-0000-0000-0000D5260000}"/>
    <cellStyle name="Normal 2 2 2 18 4 6" xfId="9942" xr:uid="{00000000-0005-0000-0000-0000D6260000}"/>
    <cellStyle name="Normal 2 2 2 18 4 7" xfId="9943" xr:uid="{00000000-0005-0000-0000-0000D7260000}"/>
    <cellStyle name="Normal 2 2 2 18 4 8" xfId="9944" xr:uid="{00000000-0005-0000-0000-0000D8260000}"/>
    <cellStyle name="Normal 2 2 2 18 4 9" xfId="9945" xr:uid="{00000000-0005-0000-0000-0000D9260000}"/>
    <cellStyle name="Normal 2 2 2 18 5" xfId="9946" xr:uid="{00000000-0005-0000-0000-0000DA260000}"/>
    <cellStyle name="Normal 2 2 2 18 5 10" xfId="9947" xr:uid="{00000000-0005-0000-0000-0000DB260000}"/>
    <cellStyle name="Normal 2 2 2 18 5 2" xfId="9948" xr:uid="{00000000-0005-0000-0000-0000DC260000}"/>
    <cellStyle name="Normal 2 2 2 18 5 3" xfId="9949" xr:uid="{00000000-0005-0000-0000-0000DD260000}"/>
    <cellStyle name="Normal 2 2 2 18 5 4" xfId="9950" xr:uid="{00000000-0005-0000-0000-0000DE260000}"/>
    <cellStyle name="Normal 2 2 2 18 5 5" xfId="9951" xr:uid="{00000000-0005-0000-0000-0000DF260000}"/>
    <cellStyle name="Normal 2 2 2 18 5 6" xfId="9952" xr:uid="{00000000-0005-0000-0000-0000E0260000}"/>
    <cellStyle name="Normal 2 2 2 18 5 7" xfId="9953" xr:uid="{00000000-0005-0000-0000-0000E1260000}"/>
    <cellStyle name="Normal 2 2 2 18 5 8" xfId="9954" xr:uid="{00000000-0005-0000-0000-0000E2260000}"/>
    <cellStyle name="Normal 2 2 2 18 5 9" xfId="9955" xr:uid="{00000000-0005-0000-0000-0000E3260000}"/>
    <cellStyle name="Normal 2 2 2 18 6" xfId="9956" xr:uid="{00000000-0005-0000-0000-0000E4260000}"/>
    <cellStyle name="Normal 2 2 2 18 7" xfId="9957" xr:uid="{00000000-0005-0000-0000-0000E5260000}"/>
    <cellStyle name="Normal 2 2 2 18 8" xfId="9958" xr:uid="{00000000-0005-0000-0000-0000E6260000}"/>
    <cellStyle name="Normal 2 2 2 18 9" xfId="9959" xr:uid="{00000000-0005-0000-0000-0000E7260000}"/>
    <cellStyle name="Normal 2 2 2 19" xfId="9960" xr:uid="{00000000-0005-0000-0000-0000E8260000}"/>
    <cellStyle name="Normal 2 2 2 19 10" xfId="9961" xr:uid="{00000000-0005-0000-0000-0000E9260000}"/>
    <cellStyle name="Normal 2 2 2 19 11" xfId="9962" xr:uid="{00000000-0005-0000-0000-0000EA260000}"/>
    <cellStyle name="Normal 2 2 2 19 12" xfId="9963" xr:uid="{00000000-0005-0000-0000-0000EB260000}"/>
    <cellStyle name="Normal 2 2 2 19 13" xfId="9964" xr:uid="{00000000-0005-0000-0000-0000EC260000}"/>
    <cellStyle name="Normal 2 2 2 19 14" xfId="9965" xr:uid="{00000000-0005-0000-0000-0000ED260000}"/>
    <cellStyle name="Normal 2 2 2 19 2" xfId="9966" xr:uid="{00000000-0005-0000-0000-0000EE260000}"/>
    <cellStyle name="Normal 2 2 2 19 2 10" xfId="9967" xr:uid="{00000000-0005-0000-0000-0000EF260000}"/>
    <cellStyle name="Normal 2 2 2 19 2 2" xfId="9968" xr:uid="{00000000-0005-0000-0000-0000F0260000}"/>
    <cellStyle name="Normal 2 2 2 19 2 3" xfId="9969" xr:uid="{00000000-0005-0000-0000-0000F1260000}"/>
    <cellStyle name="Normal 2 2 2 19 2 4" xfId="9970" xr:uid="{00000000-0005-0000-0000-0000F2260000}"/>
    <cellStyle name="Normal 2 2 2 19 2 5" xfId="9971" xr:uid="{00000000-0005-0000-0000-0000F3260000}"/>
    <cellStyle name="Normal 2 2 2 19 2 6" xfId="9972" xr:uid="{00000000-0005-0000-0000-0000F4260000}"/>
    <cellStyle name="Normal 2 2 2 19 2 7" xfId="9973" xr:uid="{00000000-0005-0000-0000-0000F5260000}"/>
    <cellStyle name="Normal 2 2 2 19 2 8" xfId="9974" xr:uid="{00000000-0005-0000-0000-0000F6260000}"/>
    <cellStyle name="Normal 2 2 2 19 2 9" xfId="9975" xr:uid="{00000000-0005-0000-0000-0000F7260000}"/>
    <cellStyle name="Normal 2 2 2 19 3" xfId="9976" xr:uid="{00000000-0005-0000-0000-0000F8260000}"/>
    <cellStyle name="Normal 2 2 2 19 3 10" xfId="9977" xr:uid="{00000000-0005-0000-0000-0000F9260000}"/>
    <cellStyle name="Normal 2 2 2 19 3 2" xfId="9978" xr:uid="{00000000-0005-0000-0000-0000FA260000}"/>
    <cellStyle name="Normal 2 2 2 19 3 3" xfId="9979" xr:uid="{00000000-0005-0000-0000-0000FB260000}"/>
    <cellStyle name="Normal 2 2 2 19 3 4" xfId="9980" xr:uid="{00000000-0005-0000-0000-0000FC260000}"/>
    <cellStyle name="Normal 2 2 2 19 3 5" xfId="9981" xr:uid="{00000000-0005-0000-0000-0000FD260000}"/>
    <cellStyle name="Normal 2 2 2 19 3 6" xfId="9982" xr:uid="{00000000-0005-0000-0000-0000FE260000}"/>
    <cellStyle name="Normal 2 2 2 19 3 7" xfId="9983" xr:uid="{00000000-0005-0000-0000-0000FF260000}"/>
    <cellStyle name="Normal 2 2 2 19 3 8" xfId="9984" xr:uid="{00000000-0005-0000-0000-000000270000}"/>
    <cellStyle name="Normal 2 2 2 19 3 9" xfId="9985" xr:uid="{00000000-0005-0000-0000-000001270000}"/>
    <cellStyle name="Normal 2 2 2 19 4" xfId="9986" xr:uid="{00000000-0005-0000-0000-000002270000}"/>
    <cellStyle name="Normal 2 2 2 19 4 10" xfId="9987" xr:uid="{00000000-0005-0000-0000-000003270000}"/>
    <cellStyle name="Normal 2 2 2 19 4 2" xfId="9988" xr:uid="{00000000-0005-0000-0000-000004270000}"/>
    <cellStyle name="Normal 2 2 2 19 4 3" xfId="9989" xr:uid="{00000000-0005-0000-0000-000005270000}"/>
    <cellStyle name="Normal 2 2 2 19 4 4" xfId="9990" xr:uid="{00000000-0005-0000-0000-000006270000}"/>
    <cellStyle name="Normal 2 2 2 19 4 5" xfId="9991" xr:uid="{00000000-0005-0000-0000-000007270000}"/>
    <cellStyle name="Normal 2 2 2 19 4 6" xfId="9992" xr:uid="{00000000-0005-0000-0000-000008270000}"/>
    <cellStyle name="Normal 2 2 2 19 4 7" xfId="9993" xr:uid="{00000000-0005-0000-0000-000009270000}"/>
    <cellStyle name="Normal 2 2 2 19 4 8" xfId="9994" xr:uid="{00000000-0005-0000-0000-00000A270000}"/>
    <cellStyle name="Normal 2 2 2 19 4 9" xfId="9995" xr:uid="{00000000-0005-0000-0000-00000B270000}"/>
    <cellStyle name="Normal 2 2 2 19 5" xfId="9996" xr:uid="{00000000-0005-0000-0000-00000C270000}"/>
    <cellStyle name="Normal 2 2 2 19 5 10" xfId="9997" xr:uid="{00000000-0005-0000-0000-00000D270000}"/>
    <cellStyle name="Normal 2 2 2 19 5 2" xfId="9998" xr:uid="{00000000-0005-0000-0000-00000E270000}"/>
    <cellStyle name="Normal 2 2 2 19 5 3" xfId="9999" xr:uid="{00000000-0005-0000-0000-00000F270000}"/>
    <cellStyle name="Normal 2 2 2 19 5 4" xfId="10000" xr:uid="{00000000-0005-0000-0000-000010270000}"/>
    <cellStyle name="Normal 2 2 2 19 5 5" xfId="10001" xr:uid="{00000000-0005-0000-0000-000011270000}"/>
    <cellStyle name="Normal 2 2 2 19 5 6" xfId="10002" xr:uid="{00000000-0005-0000-0000-000012270000}"/>
    <cellStyle name="Normal 2 2 2 19 5 7" xfId="10003" xr:uid="{00000000-0005-0000-0000-000013270000}"/>
    <cellStyle name="Normal 2 2 2 19 5 8" xfId="10004" xr:uid="{00000000-0005-0000-0000-000014270000}"/>
    <cellStyle name="Normal 2 2 2 19 5 9" xfId="10005" xr:uid="{00000000-0005-0000-0000-000015270000}"/>
    <cellStyle name="Normal 2 2 2 19 6" xfId="10006" xr:uid="{00000000-0005-0000-0000-000016270000}"/>
    <cellStyle name="Normal 2 2 2 19 7" xfId="10007" xr:uid="{00000000-0005-0000-0000-000017270000}"/>
    <cellStyle name="Normal 2 2 2 19 8" xfId="10008" xr:uid="{00000000-0005-0000-0000-000018270000}"/>
    <cellStyle name="Normal 2 2 2 19 9" xfId="10009" xr:uid="{00000000-0005-0000-0000-000019270000}"/>
    <cellStyle name="Normal 2 2 2 2" xfId="24" xr:uid="{00000000-0005-0000-0000-000018000000}"/>
    <cellStyle name="Normal 2 2 2 2 10" xfId="10010" xr:uid="{00000000-0005-0000-0000-00001A270000}"/>
    <cellStyle name="Normal 2 2 2 2 11" xfId="10011" xr:uid="{00000000-0005-0000-0000-00001B270000}"/>
    <cellStyle name="Normal 2 2 2 2 12" xfId="10012" xr:uid="{00000000-0005-0000-0000-00001C270000}"/>
    <cellStyle name="Normal 2 2 2 2 13" xfId="10013" xr:uid="{00000000-0005-0000-0000-00001D270000}"/>
    <cellStyle name="Normal 2 2 2 2 14" xfId="10014" xr:uid="{00000000-0005-0000-0000-00001E270000}"/>
    <cellStyle name="Normal 2 2 2 2 15" xfId="10015" xr:uid="{00000000-0005-0000-0000-00001F270000}"/>
    <cellStyle name="Normal 2 2 2 2 16" xfId="10016" xr:uid="{00000000-0005-0000-0000-000020270000}"/>
    <cellStyle name="Normal 2 2 2 2 17" xfId="10017" xr:uid="{00000000-0005-0000-0000-000021270000}"/>
    <cellStyle name="Normal 2 2 2 2 18" xfId="10018" xr:uid="{00000000-0005-0000-0000-000022270000}"/>
    <cellStyle name="Normal 2 2 2 2 19" xfId="10019" xr:uid="{00000000-0005-0000-0000-000023270000}"/>
    <cellStyle name="Normal 2 2 2 2 2" xfId="22" xr:uid="{00000000-0005-0000-0000-000016000000}"/>
    <cellStyle name="Normal 2 2 2 2 2 10" xfId="10020" xr:uid="{00000000-0005-0000-0000-000024270000}"/>
    <cellStyle name="Normal 2 2 2 2 2 10 10" xfId="10021" xr:uid="{00000000-0005-0000-0000-000025270000}"/>
    <cellStyle name="Normal 2 2 2 2 2 10 11" xfId="10022" xr:uid="{00000000-0005-0000-0000-000026270000}"/>
    <cellStyle name="Normal 2 2 2 2 2 10 12" xfId="10023" xr:uid="{00000000-0005-0000-0000-000027270000}"/>
    <cellStyle name="Normal 2 2 2 2 2 10 13" xfId="10024" xr:uid="{00000000-0005-0000-0000-000028270000}"/>
    <cellStyle name="Normal 2 2 2 2 2 10 14" xfId="10025" xr:uid="{00000000-0005-0000-0000-000029270000}"/>
    <cellStyle name="Normal 2 2 2 2 2 10 2" xfId="10026" xr:uid="{00000000-0005-0000-0000-00002A270000}"/>
    <cellStyle name="Normal 2 2 2 2 2 10 2 10" xfId="10027" xr:uid="{00000000-0005-0000-0000-00002B270000}"/>
    <cellStyle name="Normal 2 2 2 2 2 10 2 2" xfId="10028" xr:uid="{00000000-0005-0000-0000-00002C270000}"/>
    <cellStyle name="Normal 2 2 2 2 2 10 2 3" xfId="10029" xr:uid="{00000000-0005-0000-0000-00002D270000}"/>
    <cellStyle name="Normal 2 2 2 2 2 10 2 4" xfId="10030" xr:uid="{00000000-0005-0000-0000-00002E270000}"/>
    <cellStyle name="Normal 2 2 2 2 2 10 2 5" xfId="10031" xr:uid="{00000000-0005-0000-0000-00002F270000}"/>
    <cellStyle name="Normal 2 2 2 2 2 10 2 6" xfId="10032" xr:uid="{00000000-0005-0000-0000-000030270000}"/>
    <cellStyle name="Normal 2 2 2 2 2 10 2 7" xfId="10033" xr:uid="{00000000-0005-0000-0000-000031270000}"/>
    <cellStyle name="Normal 2 2 2 2 2 10 2 8" xfId="10034" xr:uid="{00000000-0005-0000-0000-000032270000}"/>
    <cellStyle name="Normal 2 2 2 2 2 10 2 9" xfId="10035" xr:uid="{00000000-0005-0000-0000-000033270000}"/>
    <cellStyle name="Normal 2 2 2 2 2 10 3" xfId="10036" xr:uid="{00000000-0005-0000-0000-000034270000}"/>
    <cellStyle name="Normal 2 2 2 2 2 10 3 10" xfId="10037" xr:uid="{00000000-0005-0000-0000-000035270000}"/>
    <cellStyle name="Normal 2 2 2 2 2 10 3 2" xfId="10038" xr:uid="{00000000-0005-0000-0000-000036270000}"/>
    <cellStyle name="Normal 2 2 2 2 2 10 3 3" xfId="10039" xr:uid="{00000000-0005-0000-0000-000037270000}"/>
    <cellStyle name="Normal 2 2 2 2 2 10 3 4" xfId="10040" xr:uid="{00000000-0005-0000-0000-000038270000}"/>
    <cellStyle name="Normal 2 2 2 2 2 10 3 5" xfId="10041" xr:uid="{00000000-0005-0000-0000-000039270000}"/>
    <cellStyle name="Normal 2 2 2 2 2 10 3 6" xfId="10042" xr:uid="{00000000-0005-0000-0000-00003A270000}"/>
    <cellStyle name="Normal 2 2 2 2 2 10 3 7" xfId="10043" xr:uid="{00000000-0005-0000-0000-00003B270000}"/>
    <cellStyle name="Normal 2 2 2 2 2 10 3 8" xfId="10044" xr:uid="{00000000-0005-0000-0000-00003C270000}"/>
    <cellStyle name="Normal 2 2 2 2 2 10 3 9" xfId="10045" xr:uid="{00000000-0005-0000-0000-00003D270000}"/>
    <cellStyle name="Normal 2 2 2 2 2 10 4" xfId="10046" xr:uid="{00000000-0005-0000-0000-00003E270000}"/>
    <cellStyle name="Normal 2 2 2 2 2 10 4 10" xfId="10047" xr:uid="{00000000-0005-0000-0000-00003F270000}"/>
    <cellStyle name="Normal 2 2 2 2 2 10 4 2" xfId="10048" xr:uid="{00000000-0005-0000-0000-000040270000}"/>
    <cellStyle name="Normal 2 2 2 2 2 10 4 3" xfId="10049" xr:uid="{00000000-0005-0000-0000-000041270000}"/>
    <cellStyle name="Normal 2 2 2 2 2 10 4 4" xfId="10050" xr:uid="{00000000-0005-0000-0000-000042270000}"/>
    <cellStyle name="Normal 2 2 2 2 2 10 4 5" xfId="10051" xr:uid="{00000000-0005-0000-0000-000043270000}"/>
    <cellStyle name="Normal 2 2 2 2 2 10 4 6" xfId="10052" xr:uid="{00000000-0005-0000-0000-000044270000}"/>
    <cellStyle name="Normal 2 2 2 2 2 10 4 7" xfId="10053" xr:uid="{00000000-0005-0000-0000-000045270000}"/>
    <cellStyle name="Normal 2 2 2 2 2 10 4 8" xfId="10054" xr:uid="{00000000-0005-0000-0000-000046270000}"/>
    <cellStyle name="Normal 2 2 2 2 2 10 4 9" xfId="10055" xr:uid="{00000000-0005-0000-0000-000047270000}"/>
    <cellStyle name="Normal 2 2 2 2 2 10 5" xfId="10056" xr:uid="{00000000-0005-0000-0000-000048270000}"/>
    <cellStyle name="Normal 2 2 2 2 2 10 5 10" xfId="10057" xr:uid="{00000000-0005-0000-0000-000049270000}"/>
    <cellStyle name="Normal 2 2 2 2 2 10 5 2" xfId="10058" xr:uid="{00000000-0005-0000-0000-00004A270000}"/>
    <cellStyle name="Normal 2 2 2 2 2 10 5 3" xfId="10059" xr:uid="{00000000-0005-0000-0000-00004B270000}"/>
    <cellStyle name="Normal 2 2 2 2 2 10 5 4" xfId="10060" xr:uid="{00000000-0005-0000-0000-00004C270000}"/>
    <cellStyle name="Normal 2 2 2 2 2 10 5 5" xfId="10061" xr:uid="{00000000-0005-0000-0000-00004D270000}"/>
    <cellStyle name="Normal 2 2 2 2 2 10 5 6" xfId="10062" xr:uid="{00000000-0005-0000-0000-00004E270000}"/>
    <cellStyle name="Normal 2 2 2 2 2 10 5 7" xfId="10063" xr:uid="{00000000-0005-0000-0000-00004F270000}"/>
    <cellStyle name="Normal 2 2 2 2 2 10 5 8" xfId="10064" xr:uid="{00000000-0005-0000-0000-000050270000}"/>
    <cellStyle name="Normal 2 2 2 2 2 10 5 9" xfId="10065" xr:uid="{00000000-0005-0000-0000-000051270000}"/>
    <cellStyle name="Normal 2 2 2 2 2 10 6" xfId="10066" xr:uid="{00000000-0005-0000-0000-000052270000}"/>
    <cellStyle name="Normal 2 2 2 2 2 10 7" xfId="10067" xr:uid="{00000000-0005-0000-0000-000053270000}"/>
    <cellStyle name="Normal 2 2 2 2 2 10 8" xfId="10068" xr:uid="{00000000-0005-0000-0000-000054270000}"/>
    <cellStyle name="Normal 2 2 2 2 2 10 9" xfId="10069" xr:uid="{00000000-0005-0000-0000-000055270000}"/>
    <cellStyle name="Normal 2 2 2 2 2 11" xfId="10070" xr:uid="{00000000-0005-0000-0000-000056270000}"/>
    <cellStyle name="Normal 2 2 2 2 2 11 10" xfId="10071" xr:uid="{00000000-0005-0000-0000-000057270000}"/>
    <cellStyle name="Normal 2 2 2 2 2 11 11" xfId="10072" xr:uid="{00000000-0005-0000-0000-000058270000}"/>
    <cellStyle name="Normal 2 2 2 2 2 11 12" xfId="10073" xr:uid="{00000000-0005-0000-0000-000059270000}"/>
    <cellStyle name="Normal 2 2 2 2 2 11 13" xfId="10074" xr:uid="{00000000-0005-0000-0000-00005A270000}"/>
    <cellStyle name="Normal 2 2 2 2 2 11 14" xfId="10075" xr:uid="{00000000-0005-0000-0000-00005B270000}"/>
    <cellStyle name="Normal 2 2 2 2 2 11 2" xfId="10076" xr:uid="{00000000-0005-0000-0000-00005C270000}"/>
    <cellStyle name="Normal 2 2 2 2 2 11 2 10" xfId="10077" xr:uid="{00000000-0005-0000-0000-00005D270000}"/>
    <cellStyle name="Normal 2 2 2 2 2 11 2 2" xfId="10078" xr:uid="{00000000-0005-0000-0000-00005E270000}"/>
    <cellStyle name="Normal 2 2 2 2 2 11 2 3" xfId="10079" xr:uid="{00000000-0005-0000-0000-00005F270000}"/>
    <cellStyle name="Normal 2 2 2 2 2 11 2 4" xfId="10080" xr:uid="{00000000-0005-0000-0000-000060270000}"/>
    <cellStyle name="Normal 2 2 2 2 2 11 2 5" xfId="10081" xr:uid="{00000000-0005-0000-0000-000061270000}"/>
    <cellStyle name="Normal 2 2 2 2 2 11 2 6" xfId="10082" xr:uid="{00000000-0005-0000-0000-000062270000}"/>
    <cellStyle name="Normal 2 2 2 2 2 11 2 7" xfId="10083" xr:uid="{00000000-0005-0000-0000-000063270000}"/>
    <cellStyle name="Normal 2 2 2 2 2 11 2 8" xfId="10084" xr:uid="{00000000-0005-0000-0000-000064270000}"/>
    <cellStyle name="Normal 2 2 2 2 2 11 2 9" xfId="10085" xr:uid="{00000000-0005-0000-0000-000065270000}"/>
    <cellStyle name="Normal 2 2 2 2 2 11 3" xfId="10086" xr:uid="{00000000-0005-0000-0000-000066270000}"/>
    <cellStyle name="Normal 2 2 2 2 2 11 3 10" xfId="10087" xr:uid="{00000000-0005-0000-0000-000067270000}"/>
    <cellStyle name="Normal 2 2 2 2 2 11 3 2" xfId="10088" xr:uid="{00000000-0005-0000-0000-000068270000}"/>
    <cellStyle name="Normal 2 2 2 2 2 11 3 3" xfId="10089" xr:uid="{00000000-0005-0000-0000-000069270000}"/>
    <cellStyle name="Normal 2 2 2 2 2 11 3 4" xfId="10090" xr:uid="{00000000-0005-0000-0000-00006A270000}"/>
    <cellStyle name="Normal 2 2 2 2 2 11 3 5" xfId="10091" xr:uid="{00000000-0005-0000-0000-00006B270000}"/>
    <cellStyle name="Normal 2 2 2 2 2 11 3 6" xfId="10092" xr:uid="{00000000-0005-0000-0000-00006C270000}"/>
    <cellStyle name="Normal 2 2 2 2 2 11 3 7" xfId="10093" xr:uid="{00000000-0005-0000-0000-00006D270000}"/>
    <cellStyle name="Normal 2 2 2 2 2 11 3 8" xfId="10094" xr:uid="{00000000-0005-0000-0000-00006E270000}"/>
    <cellStyle name="Normal 2 2 2 2 2 11 3 9" xfId="10095" xr:uid="{00000000-0005-0000-0000-00006F270000}"/>
    <cellStyle name="Normal 2 2 2 2 2 11 4" xfId="10096" xr:uid="{00000000-0005-0000-0000-000070270000}"/>
    <cellStyle name="Normal 2 2 2 2 2 11 4 10" xfId="10097" xr:uid="{00000000-0005-0000-0000-000071270000}"/>
    <cellStyle name="Normal 2 2 2 2 2 11 4 2" xfId="10098" xr:uid="{00000000-0005-0000-0000-000072270000}"/>
    <cellStyle name="Normal 2 2 2 2 2 11 4 3" xfId="10099" xr:uid="{00000000-0005-0000-0000-000073270000}"/>
    <cellStyle name="Normal 2 2 2 2 2 11 4 4" xfId="10100" xr:uid="{00000000-0005-0000-0000-000074270000}"/>
    <cellStyle name="Normal 2 2 2 2 2 11 4 5" xfId="10101" xr:uid="{00000000-0005-0000-0000-000075270000}"/>
    <cellStyle name="Normal 2 2 2 2 2 11 4 6" xfId="10102" xr:uid="{00000000-0005-0000-0000-000076270000}"/>
    <cellStyle name="Normal 2 2 2 2 2 11 4 7" xfId="10103" xr:uid="{00000000-0005-0000-0000-000077270000}"/>
    <cellStyle name="Normal 2 2 2 2 2 11 4 8" xfId="10104" xr:uid="{00000000-0005-0000-0000-000078270000}"/>
    <cellStyle name="Normal 2 2 2 2 2 11 4 9" xfId="10105" xr:uid="{00000000-0005-0000-0000-000079270000}"/>
    <cellStyle name="Normal 2 2 2 2 2 11 5" xfId="10106" xr:uid="{00000000-0005-0000-0000-00007A270000}"/>
    <cellStyle name="Normal 2 2 2 2 2 11 5 10" xfId="10107" xr:uid="{00000000-0005-0000-0000-00007B270000}"/>
    <cellStyle name="Normal 2 2 2 2 2 11 5 2" xfId="10108" xr:uid="{00000000-0005-0000-0000-00007C270000}"/>
    <cellStyle name="Normal 2 2 2 2 2 11 5 3" xfId="10109" xr:uid="{00000000-0005-0000-0000-00007D270000}"/>
    <cellStyle name="Normal 2 2 2 2 2 11 5 4" xfId="10110" xr:uid="{00000000-0005-0000-0000-00007E270000}"/>
    <cellStyle name="Normal 2 2 2 2 2 11 5 5" xfId="10111" xr:uid="{00000000-0005-0000-0000-00007F270000}"/>
    <cellStyle name="Normal 2 2 2 2 2 11 5 6" xfId="10112" xr:uid="{00000000-0005-0000-0000-000080270000}"/>
    <cellStyle name="Normal 2 2 2 2 2 11 5 7" xfId="10113" xr:uid="{00000000-0005-0000-0000-000081270000}"/>
    <cellStyle name="Normal 2 2 2 2 2 11 5 8" xfId="10114" xr:uid="{00000000-0005-0000-0000-000082270000}"/>
    <cellStyle name="Normal 2 2 2 2 2 11 5 9" xfId="10115" xr:uid="{00000000-0005-0000-0000-000083270000}"/>
    <cellStyle name="Normal 2 2 2 2 2 11 6" xfId="10116" xr:uid="{00000000-0005-0000-0000-000084270000}"/>
    <cellStyle name="Normal 2 2 2 2 2 11 7" xfId="10117" xr:uid="{00000000-0005-0000-0000-000085270000}"/>
    <cellStyle name="Normal 2 2 2 2 2 11 8" xfId="10118" xr:uid="{00000000-0005-0000-0000-000086270000}"/>
    <cellStyle name="Normal 2 2 2 2 2 11 9" xfId="10119" xr:uid="{00000000-0005-0000-0000-000087270000}"/>
    <cellStyle name="Normal 2 2 2 2 2 12" xfId="10120" xr:uid="{00000000-0005-0000-0000-000088270000}"/>
    <cellStyle name="Normal 2 2 2 2 2 12 10" xfId="10121" xr:uid="{00000000-0005-0000-0000-000089270000}"/>
    <cellStyle name="Normal 2 2 2 2 2 12 11" xfId="10122" xr:uid="{00000000-0005-0000-0000-00008A270000}"/>
    <cellStyle name="Normal 2 2 2 2 2 12 12" xfId="10123" xr:uid="{00000000-0005-0000-0000-00008B270000}"/>
    <cellStyle name="Normal 2 2 2 2 2 12 13" xfId="10124" xr:uid="{00000000-0005-0000-0000-00008C270000}"/>
    <cellStyle name="Normal 2 2 2 2 2 12 14" xfId="10125" xr:uid="{00000000-0005-0000-0000-00008D270000}"/>
    <cellStyle name="Normal 2 2 2 2 2 12 2" xfId="10126" xr:uid="{00000000-0005-0000-0000-00008E270000}"/>
    <cellStyle name="Normal 2 2 2 2 2 12 2 10" xfId="10127" xr:uid="{00000000-0005-0000-0000-00008F270000}"/>
    <cellStyle name="Normal 2 2 2 2 2 12 2 2" xfId="10128" xr:uid="{00000000-0005-0000-0000-000090270000}"/>
    <cellStyle name="Normal 2 2 2 2 2 12 2 3" xfId="10129" xr:uid="{00000000-0005-0000-0000-000091270000}"/>
    <cellStyle name="Normal 2 2 2 2 2 12 2 4" xfId="10130" xr:uid="{00000000-0005-0000-0000-000092270000}"/>
    <cellStyle name="Normal 2 2 2 2 2 12 2 5" xfId="10131" xr:uid="{00000000-0005-0000-0000-000093270000}"/>
    <cellStyle name="Normal 2 2 2 2 2 12 2 6" xfId="10132" xr:uid="{00000000-0005-0000-0000-000094270000}"/>
    <cellStyle name="Normal 2 2 2 2 2 12 2 7" xfId="10133" xr:uid="{00000000-0005-0000-0000-000095270000}"/>
    <cellStyle name="Normal 2 2 2 2 2 12 2 8" xfId="10134" xr:uid="{00000000-0005-0000-0000-000096270000}"/>
    <cellStyle name="Normal 2 2 2 2 2 12 2 9" xfId="10135" xr:uid="{00000000-0005-0000-0000-000097270000}"/>
    <cellStyle name="Normal 2 2 2 2 2 12 3" xfId="10136" xr:uid="{00000000-0005-0000-0000-000098270000}"/>
    <cellStyle name="Normal 2 2 2 2 2 12 3 10" xfId="10137" xr:uid="{00000000-0005-0000-0000-000099270000}"/>
    <cellStyle name="Normal 2 2 2 2 2 12 3 2" xfId="10138" xr:uid="{00000000-0005-0000-0000-00009A270000}"/>
    <cellStyle name="Normal 2 2 2 2 2 12 3 3" xfId="10139" xr:uid="{00000000-0005-0000-0000-00009B270000}"/>
    <cellStyle name="Normal 2 2 2 2 2 12 3 4" xfId="10140" xr:uid="{00000000-0005-0000-0000-00009C270000}"/>
    <cellStyle name="Normal 2 2 2 2 2 12 3 5" xfId="10141" xr:uid="{00000000-0005-0000-0000-00009D270000}"/>
    <cellStyle name="Normal 2 2 2 2 2 12 3 6" xfId="10142" xr:uid="{00000000-0005-0000-0000-00009E270000}"/>
    <cellStyle name="Normal 2 2 2 2 2 12 3 7" xfId="10143" xr:uid="{00000000-0005-0000-0000-00009F270000}"/>
    <cellStyle name="Normal 2 2 2 2 2 12 3 8" xfId="10144" xr:uid="{00000000-0005-0000-0000-0000A0270000}"/>
    <cellStyle name="Normal 2 2 2 2 2 12 3 9" xfId="10145" xr:uid="{00000000-0005-0000-0000-0000A1270000}"/>
    <cellStyle name="Normal 2 2 2 2 2 12 4" xfId="10146" xr:uid="{00000000-0005-0000-0000-0000A2270000}"/>
    <cellStyle name="Normal 2 2 2 2 2 12 4 10" xfId="10147" xr:uid="{00000000-0005-0000-0000-0000A3270000}"/>
    <cellStyle name="Normal 2 2 2 2 2 12 4 2" xfId="10148" xr:uid="{00000000-0005-0000-0000-0000A4270000}"/>
    <cellStyle name="Normal 2 2 2 2 2 12 4 3" xfId="10149" xr:uid="{00000000-0005-0000-0000-0000A5270000}"/>
    <cellStyle name="Normal 2 2 2 2 2 12 4 4" xfId="10150" xr:uid="{00000000-0005-0000-0000-0000A6270000}"/>
    <cellStyle name="Normal 2 2 2 2 2 12 4 5" xfId="10151" xr:uid="{00000000-0005-0000-0000-0000A7270000}"/>
    <cellStyle name="Normal 2 2 2 2 2 12 4 6" xfId="10152" xr:uid="{00000000-0005-0000-0000-0000A8270000}"/>
    <cellStyle name="Normal 2 2 2 2 2 12 4 7" xfId="10153" xr:uid="{00000000-0005-0000-0000-0000A9270000}"/>
    <cellStyle name="Normal 2 2 2 2 2 12 4 8" xfId="10154" xr:uid="{00000000-0005-0000-0000-0000AA270000}"/>
    <cellStyle name="Normal 2 2 2 2 2 12 4 9" xfId="10155" xr:uid="{00000000-0005-0000-0000-0000AB270000}"/>
    <cellStyle name="Normal 2 2 2 2 2 12 5" xfId="10156" xr:uid="{00000000-0005-0000-0000-0000AC270000}"/>
    <cellStyle name="Normal 2 2 2 2 2 12 5 10" xfId="10157" xr:uid="{00000000-0005-0000-0000-0000AD270000}"/>
    <cellStyle name="Normal 2 2 2 2 2 12 5 2" xfId="10158" xr:uid="{00000000-0005-0000-0000-0000AE270000}"/>
    <cellStyle name="Normal 2 2 2 2 2 12 5 3" xfId="10159" xr:uid="{00000000-0005-0000-0000-0000AF270000}"/>
    <cellStyle name="Normal 2 2 2 2 2 12 5 4" xfId="10160" xr:uid="{00000000-0005-0000-0000-0000B0270000}"/>
    <cellStyle name="Normal 2 2 2 2 2 12 5 5" xfId="10161" xr:uid="{00000000-0005-0000-0000-0000B1270000}"/>
    <cellStyle name="Normal 2 2 2 2 2 12 5 6" xfId="10162" xr:uid="{00000000-0005-0000-0000-0000B2270000}"/>
    <cellStyle name="Normal 2 2 2 2 2 12 5 7" xfId="10163" xr:uid="{00000000-0005-0000-0000-0000B3270000}"/>
    <cellStyle name="Normal 2 2 2 2 2 12 5 8" xfId="10164" xr:uid="{00000000-0005-0000-0000-0000B4270000}"/>
    <cellStyle name="Normal 2 2 2 2 2 12 5 9" xfId="10165" xr:uid="{00000000-0005-0000-0000-0000B5270000}"/>
    <cellStyle name="Normal 2 2 2 2 2 12 6" xfId="10166" xr:uid="{00000000-0005-0000-0000-0000B6270000}"/>
    <cellStyle name="Normal 2 2 2 2 2 12 7" xfId="10167" xr:uid="{00000000-0005-0000-0000-0000B7270000}"/>
    <cellStyle name="Normal 2 2 2 2 2 12 8" xfId="10168" xr:uid="{00000000-0005-0000-0000-0000B8270000}"/>
    <cellStyle name="Normal 2 2 2 2 2 12 9" xfId="10169" xr:uid="{00000000-0005-0000-0000-0000B9270000}"/>
    <cellStyle name="Normal 2 2 2 2 2 13" xfId="10170" xr:uid="{00000000-0005-0000-0000-0000BA270000}"/>
    <cellStyle name="Normal 2 2 2 2 2 13 10" xfId="10171" xr:uid="{00000000-0005-0000-0000-0000BB270000}"/>
    <cellStyle name="Normal 2 2 2 2 2 13 11" xfId="10172" xr:uid="{00000000-0005-0000-0000-0000BC270000}"/>
    <cellStyle name="Normal 2 2 2 2 2 13 12" xfId="10173" xr:uid="{00000000-0005-0000-0000-0000BD270000}"/>
    <cellStyle name="Normal 2 2 2 2 2 13 13" xfId="10174" xr:uid="{00000000-0005-0000-0000-0000BE270000}"/>
    <cellStyle name="Normal 2 2 2 2 2 13 14" xfId="10175" xr:uid="{00000000-0005-0000-0000-0000BF270000}"/>
    <cellStyle name="Normal 2 2 2 2 2 13 2" xfId="10176" xr:uid="{00000000-0005-0000-0000-0000C0270000}"/>
    <cellStyle name="Normal 2 2 2 2 2 13 2 10" xfId="10177" xr:uid="{00000000-0005-0000-0000-0000C1270000}"/>
    <cellStyle name="Normal 2 2 2 2 2 13 2 2" xfId="10178" xr:uid="{00000000-0005-0000-0000-0000C2270000}"/>
    <cellStyle name="Normal 2 2 2 2 2 13 2 3" xfId="10179" xr:uid="{00000000-0005-0000-0000-0000C3270000}"/>
    <cellStyle name="Normal 2 2 2 2 2 13 2 4" xfId="10180" xr:uid="{00000000-0005-0000-0000-0000C4270000}"/>
    <cellStyle name="Normal 2 2 2 2 2 13 2 5" xfId="10181" xr:uid="{00000000-0005-0000-0000-0000C5270000}"/>
    <cellStyle name="Normal 2 2 2 2 2 13 2 6" xfId="10182" xr:uid="{00000000-0005-0000-0000-0000C6270000}"/>
    <cellStyle name="Normal 2 2 2 2 2 13 2 7" xfId="10183" xr:uid="{00000000-0005-0000-0000-0000C7270000}"/>
    <cellStyle name="Normal 2 2 2 2 2 13 2 8" xfId="10184" xr:uid="{00000000-0005-0000-0000-0000C8270000}"/>
    <cellStyle name="Normal 2 2 2 2 2 13 2 9" xfId="10185" xr:uid="{00000000-0005-0000-0000-0000C9270000}"/>
    <cellStyle name="Normal 2 2 2 2 2 13 3" xfId="10186" xr:uid="{00000000-0005-0000-0000-0000CA270000}"/>
    <cellStyle name="Normal 2 2 2 2 2 13 3 10" xfId="10187" xr:uid="{00000000-0005-0000-0000-0000CB270000}"/>
    <cellStyle name="Normal 2 2 2 2 2 13 3 2" xfId="10188" xr:uid="{00000000-0005-0000-0000-0000CC270000}"/>
    <cellStyle name="Normal 2 2 2 2 2 13 3 3" xfId="10189" xr:uid="{00000000-0005-0000-0000-0000CD270000}"/>
    <cellStyle name="Normal 2 2 2 2 2 13 3 4" xfId="10190" xr:uid="{00000000-0005-0000-0000-0000CE270000}"/>
    <cellStyle name="Normal 2 2 2 2 2 13 3 5" xfId="10191" xr:uid="{00000000-0005-0000-0000-0000CF270000}"/>
    <cellStyle name="Normal 2 2 2 2 2 13 3 6" xfId="10192" xr:uid="{00000000-0005-0000-0000-0000D0270000}"/>
    <cellStyle name="Normal 2 2 2 2 2 13 3 7" xfId="10193" xr:uid="{00000000-0005-0000-0000-0000D1270000}"/>
    <cellStyle name="Normal 2 2 2 2 2 13 3 8" xfId="10194" xr:uid="{00000000-0005-0000-0000-0000D2270000}"/>
    <cellStyle name="Normal 2 2 2 2 2 13 3 9" xfId="10195" xr:uid="{00000000-0005-0000-0000-0000D3270000}"/>
    <cellStyle name="Normal 2 2 2 2 2 13 4" xfId="10196" xr:uid="{00000000-0005-0000-0000-0000D4270000}"/>
    <cellStyle name="Normal 2 2 2 2 2 13 4 10" xfId="10197" xr:uid="{00000000-0005-0000-0000-0000D5270000}"/>
    <cellStyle name="Normal 2 2 2 2 2 13 4 2" xfId="10198" xr:uid="{00000000-0005-0000-0000-0000D6270000}"/>
    <cellStyle name="Normal 2 2 2 2 2 13 4 3" xfId="10199" xr:uid="{00000000-0005-0000-0000-0000D7270000}"/>
    <cellStyle name="Normal 2 2 2 2 2 13 4 4" xfId="10200" xr:uid="{00000000-0005-0000-0000-0000D8270000}"/>
    <cellStyle name="Normal 2 2 2 2 2 13 4 5" xfId="10201" xr:uid="{00000000-0005-0000-0000-0000D9270000}"/>
    <cellStyle name="Normal 2 2 2 2 2 13 4 6" xfId="10202" xr:uid="{00000000-0005-0000-0000-0000DA270000}"/>
    <cellStyle name="Normal 2 2 2 2 2 13 4 7" xfId="10203" xr:uid="{00000000-0005-0000-0000-0000DB270000}"/>
    <cellStyle name="Normal 2 2 2 2 2 13 4 8" xfId="10204" xr:uid="{00000000-0005-0000-0000-0000DC270000}"/>
    <cellStyle name="Normal 2 2 2 2 2 13 4 9" xfId="10205" xr:uid="{00000000-0005-0000-0000-0000DD270000}"/>
    <cellStyle name="Normal 2 2 2 2 2 13 5" xfId="10206" xr:uid="{00000000-0005-0000-0000-0000DE270000}"/>
    <cellStyle name="Normal 2 2 2 2 2 13 5 10" xfId="10207" xr:uid="{00000000-0005-0000-0000-0000DF270000}"/>
    <cellStyle name="Normal 2 2 2 2 2 13 5 2" xfId="10208" xr:uid="{00000000-0005-0000-0000-0000E0270000}"/>
    <cellStyle name="Normal 2 2 2 2 2 13 5 3" xfId="10209" xr:uid="{00000000-0005-0000-0000-0000E1270000}"/>
    <cellStyle name="Normal 2 2 2 2 2 13 5 4" xfId="10210" xr:uid="{00000000-0005-0000-0000-0000E2270000}"/>
    <cellStyle name="Normal 2 2 2 2 2 13 5 5" xfId="10211" xr:uid="{00000000-0005-0000-0000-0000E3270000}"/>
    <cellStyle name="Normal 2 2 2 2 2 13 5 6" xfId="10212" xr:uid="{00000000-0005-0000-0000-0000E4270000}"/>
    <cellStyle name="Normal 2 2 2 2 2 13 5 7" xfId="10213" xr:uid="{00000000-0005-0000-0000-0000E5270000}"/>
    <cellStyle name="Normal 2 2 2 2 2 13 5 8" xfId="10214" xr:uid="{00000000-0005-0000-0000-0000E6270000}"/>
    <cellStyle name="Normal 2 2 2 2 2 13 5 9" xfId="10215" xr:uid="{00000000-0005-0000-0000-0000E7270000}"/>
    <cellStyle name="Normal 2 2 2 2 2 13 6" xfId="10216" xr:uid="{00000000-0005-0000-0000-0000E8270000}"/>
    <cellStyle name="Normal 2 2 2 2 2 13 7" xfId="10217" xr:uid="{00000000-0005-0000-0000-0000E9270000}"/>
    <cellStyle name="Normal 2 2 2 2 2 13 8" xfId="10218" xr:uid="{00000000-0005-0000-0000-0000EA270000}"/>
    <cellStyle name="Normal 2 2 2 2 2 13 9" xfId="10219" xr:uid="{00000000-0005-0000-0000-0000EB270000}"/>
    <cellStyle name="Normal 2 2 2 2 2 14" xfId="10220" xr:uid="{00000000-0005-0000-0000-0000EC270000}"/>
    <cellStyle name="Normal 2 2 2 2 2 14 10" xfId="10221" xr:uid="{00000000-0005-0000-0000-0000ED270000}"/>
    <cellStyle name="Normal 2 2 2 2 2 14 11" xfId="10222" xr:uid="{00000000-0005-0000-0000-0000EE270000}"/>
    <cellStyle name="Normal 2 2 2 2 2 14 12" xfId="10223" xr:uid="{00000000-0005-0000-0000-0000EF270000}"/>
    <cellStyle name="Normal 2 2 2 2 2 14 13" xfId="10224" xr:uid="{00000000-0005-0000-0000-0000F0270000}"/>
    <cellStyle name="Normal 2 2 2 2 2 14 14" xfId="10225" xr:uid="{00000000-0005-0000-0000-0000F1270000}"/>
    <cellStyle name="Normal 2 2 2 2 2 14 2" xfId="10226" xr:uid="{00000000-0005-0000-0000-0000F2270000}"/>
    <cellStyle name="Normal 2 2 2 2 2 14 2 10" xfId="10227" xr:uid="{00000000-0005-0000-0000-0000F3270000}"/>
    <cellStyle name="Normal 2 2 2 2 2 14 2 2" xfId="10228" xr:uid="{00000000-0005-0000-0000-0000F4270000}"/>
    <cellStyle name="Normal 2 2 2 2 2 14 2 3" xfId="10229" xr:uid="{00000000-0005-0000-0000-0000F5270000}"/>
    <cellStyle name="Normal 2 2 2 2 2 14 2 4" xfId="10230" xr:uid="{00000000-0005-0000-0000-0000F6270000}"/>
    <cellStyle name="Normal 2 2 2 2 2 14 2 5" xfId="10231" xr:uid="{00000000-0005-0000-0000-0000F7270000}"/>
    <cellStyle name="Normal 2 2 2 2 2 14 2 6" xfId="10232" xr:uid="{00000000-0005-0000-0000-0000F8270000}"/>
    <cellStyle name="Normal 2 2 2 2 2 14 2 7" xfId="10233" xr:uid="{00000000-0005-0000-0000-0000F9270000}"/>
    <cellStyle name="Normal 2 2 2 2 2 14 2 8" xfId="10234" xr:uid="{00000000-0005-0000-0000-0000FA270000}"/>
    <cellStyle name="Normal 2 2 2 2 2 14 2 9" xfId="10235" xr:uid="{00000000-0005-0000-0000-0000FB270000}"/>
    <cellStyle name="Normal 2 2 2 2 2 14 3" xfId="10236" xr:uid="{00000000-0005-0000-0000-0000FC270000}"/>
    <cellStyle name="Normal 2 2 2 2 2 14 3 10" xfId="10237" xr:uid="{00000000-0005-0000-0000-0000FD270000}"/>
    <cellStyle name="Normal 2 2 2 2 2 14 3 2" xfId="10238" xr:uid="{00000000-0005-0000-0000-0000FE270000}"/>
    <cellStyle name="Normal 2 2 2 2 2 14 3 3" xfId="10239" xr:uid="{00000000-0005-0000-0000-0000FF270000}"/>
    <cellStyle name="Normal 2 2 2 2 2 14 3 4" xfId="10240" xr:uid="{00000000-0005-0000-0000-000000280000}"/>
    <cellStyle name="Normal 2 2 2 2 2 14 3 5" xfId="10241" xr:uid="{00000000-0005-0000-0000-000001280000}"/>
    <cellStyle name="Normal 2 2 2 2 2 14 3 6" xfId="10242" xr:uid="{00000000-0005-0000-0000-000002280000}"/>
    <cellStyle name="Normal 2 2 2 2 2 14 3 7" xfId="10243" xr:uid="{00000000-0005-0000-0000-000003280000}"/>
    <cellStyle name="Normal 2 2 2 2 2 14 3 8" xfId="10244" xr:uid="{00000000-0005-0000-0000-000004280000}"/>
    <cellStyle name="Normal 2 2 2 2 2 14 3 9" xfId="10245" xr:uid="{00000000-0005-0000-0000-000005280000}"/>
    <cellStyle name="Normal 2 2 2 2 2 14 4" xfId="10246" xr:uid="{00000000-0005-0000-0000-000006280000}"/>
    <cellStyle name="Normal 2 2 2 2 2 14 4 10" xfId="10247" xr:uid="{00000000-0005-0000-0000-000007280000}"/>
    <cellStyle name="Normal 2 2 2 2 2 14 4 2" xfId="10248" xr:uid="{00000000-0005-0000-0000-000008280000}"/>
    <cellStyle name="Normal 2 2 2 2 2 14 4 3" xfId="10249" xr:uid="{00000000-0005-0000-0000-000009280000}"/>
    <cellStyle name="Normal 2 2 2 2 2 14 4 4" xfId="10250" xr:uid="{00000000-0005-0000-0000-00000A280000}"/>
    <cellStyle name="Normal 2 2 2 2 2 14 4 5" xfId="10251" xr:uid="{00000000-0005-0000-0000-00000B280000}"/>
    <cellStyle name="Normal 2 2 2 2 2 14 4 6" xfId="10252" xr:uid="{00000000-0005-0000-0000-00000C280000}"/>
    <cellStyle name="Normal 2 2 2 2 2 14 4 7" xfId="10253" xr:uid="{00000000-0005-0000-0000-00000D280000}"/>
    <cellStyle name="Normal 2 2 2 2 2 14 4 8" xfId="10254" xr:uid="{00000000-0005-0000-0000-00000E280000}"/>
    <cellStyle name="Normal 2 2 2 2 2 14 4 9" xfId="10255" xr:uid="{00000000-0005-0000-0000-00000F280000}"/>
    <cellStyle name="Normal 2 2 2 2 2 14 5" xfId="10256" xr:uid="{00000000-0005-0000-0000-000010280000}"/>
    <cellStyle name="Normal 2 2 2 2 2 14 5 10" xfId="10257" xr:uid="{00000000-0005-0000-0000-000011280000}"/>
    <cellStyle name="Normal 2 2 2 2 2 14 5 2" xfId="10258" xr:uid="{00000000-0005-0000-0000-000012280000}"/>
    <cellStyle name="Normal 2 2 2 2 2 14 5 3" xfId="10259" xr:uid="{00000000-0005-0000-0000-000013280000}"/>
    <cellStyle name="Normal 2 2 2 2 2 14 5 4" xfId="10260" xr:uid="{00000000-0005-0000-0000-000014280000}"/>
    <cellStyle name="Normal 2 2 2 2 2 14 5 5" xfId="10261" xr:uid="{00000000-0005-0000-0000-000015280000}"/>
    <cellStyle name="Normal 2 2 2 2 2 14 5 6" xfId="10262" xr:uid="{00000000-0005-0000-0000-000016280000}"/>
    <cellStyle name="Normal 2 2 2 2 2 14 5 7" xfId="10263" xr:uid="{00000000-0005-0000-0000-000017280000}"/>
    <cellStyle name="Normal 2 2 2 2 2 14 5 8" xfId="10264" xr:uid="{00000000-0005-0000-0000-000018280000}"/>
    <cellStyle name="Normal 2 2 2 2 2 14 5 9" xfId="10265" xr:uid="{00000000-0005-0000-0000-000019280000}"/>
    <cellStyle name="Normal 2 2 2 2 2 14 6" xfId="10266" xr:uid="{00000000-0005-0000-0000-00001A280000}"/>
    <cellStyle name="Normal 2 2 2 2 2 14 7" xfId="10267" xr:uid="{00000000-0005-0000-0000-00001B280000}"/>
    <cellStyle name="Normal 2 2 2 2 2 14 8" xfId="10268" xr:uid="{00000000-0005-0000-0000-00001C280000}"/>
    <cellStyle name="Normal 2 2 2 2 2 14 9" xfId="10269" xr:uid="{00000000-0005-0000-0000-00001D280000}"/>
    <cellStyle name="Normal 2 2 2 2 2 15" xfId="10270" xr:uid="{00000000-0005-0000-0000-00001E280000}"/>
    <cellStyle name="Normal 2 2 2 2 2 15 10" xfId="10271" xr:uid="{00000000-0005-0000-0000-00001F280000}"/>
    <cellStyle name="Normal 2 2 2 2 2 15 11" xfId="10272" xr:uid="{00000000-0005-0000-0000-000020280000}"/>
    <cellStyle name="Normal 2 2 2 2 2 15 12" xfId="10273" xr:uid="{00000000-0005-0000-0000-000021280000}"/>
    <cellStyle name="Normal 2 2 2 2 2 15 13" xfId="10274" xr:uid="{00000000-0005-0000-0000-000022280000}"/>
    <cellStyle name="Normal 2 2 2 2 2 15 14" xfId="10275" xr:uid="{00000000-0005-0000-0000-000023280000}"/>
    <cellStyle name="Normal 2 2 2 2 2 15 2" xfId="10276" xr:uid="{00000000-0005-0000-0000-000024280000}"/>
    <cellStyle name="Normal 2 2 2 2 2 15 2 10" xfId="10277" xr:uid="{00000000-0005-0000-0000-000025280000}"/>
    <cellStyle name="Normal 2 2 2 2 2 15 2 2" xfId="10278" xr:uid="{00000000-0005-0000-0000-000026280000}"/>
    <cellStyle name="Normal 2 2 2 2 2 15 2 3" xfId="10279" xr:uid="{00000000-0005-0000-0000-000027280000}"/>
    <cellStyle name="Normal 2 2 2 2 2 15 2 4" xfId="10280" xr:uid="{00000000-0005-0000-0000-000028280000}"/>
    <cellStyle name="Normal 2 2 2 2 2 15 2 5" xfId="10281" xr:uid="{00000000-0005-0000-0000-000029280000}"/>
    <cellStyle name="Normal 2 2 2 2 2 15 2 6" xfId="10282" xr:uid="{00000000-0005-0000-0000-00002A280000}"/>
    <cellStyle name="Normal 2 2 2 2 2 15 2 7" xfId="10283" xr:uid="{00000000-0005-0000-0000-00002B280000}"/>
    <cellStyle name="Normal 2 2 2 2 2 15 2 8" xfId="10284" xr:uid="{00000000-0005-0000-0000-00002C280000}"/>
    <cellStyle name="Normal 2 2 2 2 2 15 2 9" xfId="10285" xr:uid="{00000000-0005-0000-0000-00002D280000}"/>
    <cellStyle name="Normal 2 2 2 2 2 15 3" xfId="10286" xr:uid="{00000000-0005-0000-0000-00002E280000}"/>
    <cellStyle name="Normal 2 2 2 2 2 15 3 10" xfId="10287" xr:uid="{00000000-0005-0000-0000-00002F280000}"/>
    <cellStyle name="Normal 2 2 2 2 2 15 3 2" xfId="10288" xr:uid="{00000000-0005-0000-0000-000030280000}"/>
    <cellStyle name="Normal 2 2 2 2 2 15 3 3" xfId="10289" xr:uid="{00000000-0005-0000-0000-000031280000}"/>
    <cellStyle name="Normal 2 2 2 2 2 15 3 4" xfId="10290" xr:uid="{00000000-0005-0000-0000-000032280000}"/>
    <cellStyle name="Normal 2 2 2 2 2 15 3 5" xfId="10291" xr:uid="{00000000-0005-0000-0000-000033280000}"/>
    <cellStyle name="Normal 2 2 2 2 2 15 3 6" xfId="10292" xr:uid="{00000000-0005-0000-0000-000034280000}"/>
    <cellStyle name="Normal 2 2 2 2 2 15 3 7" xfId="10293" xr:uid="{00000000-0005-0000-0000-000035280000}"/>
    <cellStyle name="Normal 2 2 2 2 2 15 3 8" xfId="10294" xr:uid="{00000000-0005-0000-0000-000036280000}"/>
    <cellStyle name="Normal 2 2 2 2 2 15 3 9" xfId="10295" xr:uid="{00000000-0005-0000-0000-000037280000}"/>
    <cellStyle name="Normal 2 2 2 2 2 15 4" xfId="10296" xr:uid="{00000000-0005-0000-0000-000038280000}"/>
    <cellStyle name="Normal 2 2 2 2 2 15 4 10" xfId="10297" xr:uid="{00000000-0005-0000-0000-000039280000}"/>
    <cellStyle name="Normal 2 2 2 2 2 15 4 2" xfId="10298" xr:uid="{00000000-0005-0000-0000-00003A280000}"/>
    <cellStyle name="Normal 2 2 2 2 2 15 4 3" xfId="10299" xr:uid="{00000000-0005-0000-0000-00003B280000}"/>
    <cellStyle name="Normal 2 2 2 2 2 15 4 4" xfId="10300" xr:uid="{00000000-0005-0000-0000-00003C280000}"/>
    <cellStyle name="Normal 2 2 2 2 2 15 4 5" xfId="10301" xr:uid="{00000000-0005-0000-0000-00003D280000}"/>
    <cellStyle name="Normal 2 2 2 2 2 15 4 6" xfId="10302" xr:uid="{00000000-0005-0000-0000-00003E280000}"/>
    <cellStyle name="Normal 2 2 2 2 2 15 4 7" xfId="10303" xr:uid="{00000000-0005-0000-0000-00003F280000}"/>
    <cellStyle name="Normal 2 2 2 2 2 15 4 8" xfId="10304" xr:uid="{00000000-0005-0000-0000-000040280000}"/>
    <cellStyle name="Normal 2 2 2 2 2 15 4 9" xfId="10305" xr:uid="{00000000-0005-0000-0000-000041280000}"/>
    <cellStyle name="Normal 2 2 2 2 2 15 5" xfId="10306" xr:uid="{00000000-0005-0000-0000-000042280000}"/>
    <cellStyle name="Normal 2 2 2 2 2 15 5 10" xfId="10307" xr:uid="{00000000-0005-0000-0000-000043280000}"/>
    <cellStyle name="Normal 2 2 2 2 2 15 5 2" xfId="10308" xr:uid="{00000000-0005-0000-0000-000044280000}"/>
    <cellStyle name="Normal 2 2 2 2 2 15 5 3" xfId="10309" xr:uid="{00000000-0005-0000-0000-000045280000}"/>
    <cellStyle name="Normal 2 2 2 2 2 15 5 4" xfId="10310" xr:uid="{00000000-0005-0000-0000-000046280000}"/>
    <cellStyle name="Normal 2 2 2 2 2 15 5 5" xfId="10311" xr:uid="{00000000-0005-0000-0000-000047280000}"/>
    <cellStyle name="Normal 2 2 2 2 2 15 5 6" xfId="10312" xr:uid="{00000000-0005-0000-0000-000048280000}"/>
    <cellStyle name="Normal 2 2 2 2 2 15 5 7" xfId="10313" xr:uid="{00000000-0005-0000-0000-000049280000}"/>
    <cellStyle name="Normal 2 2 2 2 2 15 5 8" xfId="10314" xr:uid="{00000000-0005-0000-0000-00004A280000}"/>
    <cellStyle name="Normal 2 2 2 2 2 15 5 9" xfId="10315" xr:uid="{00000000-0005-0000-0000-00004B280000}"/>
    <cellStyle name="Normal 2 2 2 2 2 15 6" xfId="10316" xr:uid="{00000000-0005-0000-0000-00004C280000}"/>
    <cellStyle name="Normal 2 2 2 2 2 15 7" xfId="10317" xr:uid="{00000000-0005-0000-0000-00004D280000}"/>
    <cellStyle name="Normal 2 2 2 2 2 15 8" xfId="10318" xr:uid="{00000000-0005-0000-0000-00004E280000}"/>
    <cellStyle name="Normal 2 2 2 2 2 15 9" xfId="10319" xr:uid="{00000000-0005-0000-0000-00004F280000}"/>
    <cellStyle name="Normal 2 2 2 2 2 16" xfId="10320" xr:uid="{00000000-0005-0000-0000-000050280000}"/>
    <cellStyle name="Normal 2 2 2 2 2 16 10" xfId="10321" xr:uid="{00000000-0005-0000-0000-000051280000}"/>
    <cellStyle name="Normal 2 2 2 2 2 16 11" xfId="10322" xr:uid="{00000000-0005-0000-0000-000052280000}"/>
    <cellStyle name="Normal 2 2 2 2 2 16 12" xfId="10323" xr:uid="{00000000-0005-0000-0000-000053280000}"/>
    <cellStyle name="Normal 2 2 2 2 2 16 13" xfId="10324" xr:uid="{00000000-0005-0000-0000-000054280000}"/>
    <cellStyle name="Normal 2 2 2 2 2 16 14" xfId="10325" xr:uid="{00000000-0005-0000-0000-000055280000}"/>
    <cellStyle name="Normal 2 2 2 2 2 16 2" xfId="10326" xr:uid="{00000000-0005-0000-0000-000056280000}"/>
    <cellStyle name="Normal 2 2 2 2 2 16 2 10" xfId="10327" xr:uid="{00000000-0005-0000-0000-000057280000}"/>
    <cellStyle name="Normal 2 2 2 2 2 16 2 2" xfId="10328" xr:uid="{00000000-0005-0000-0000-000058280000}"/>
    <cellStyle name="Normal 2 2 2 2 2 16 2 3" xfId="10329" xr:uid="{00000000-0005-0000-0000-000059280000}"/>
    <cellStyle name="Normal 2 2 2 2 2 16 2 4" xfId="10330" xr:uid="{00000000-0005-0000-0000-00005A280000}"/>
    <cellStyle name="Normal 2 2 2 2 2 16 2 5" xfId="10331" xr:uid="{00000000-0005-0000-0000-00005B280000}"/>
    <cellStyle name="Normal 2 2 2 2 2 16 2 6" xfId="10332" xr:uid="{00000000-0005-0000-0000-00005C280000}"/>
    <cellStyle name="Normal 2 2 2 2 2 16 2 7" xfId="10333" xr:uid="{00000000-0005-0000-0000-00005D280000}"/>
    <cellStyle name="Normal 2 2 2 2 2 16 2 8" xfId="10334" xr:uid="{00000000-0005-0000-0000-00005E280000}"/>
    <cellStyle name="Normal 2 2 2 2 2 16 2 9" xfId="10335" xr:uid="{00000000-0005-0000-0000-00005F280000}"/>
    <cellStyle name="Normal 2 2 2 2 2 16 3" xfId="10336" xr:uid="{00000000-0005-0000-0000-000060280000}"/>
    <cellStyle name="Normal 2 2 2 2 2 16 3 10" xfId="10337" xr:uid="{00000000-0005-0000-0000-000061280000}"/>
    <cellStyle name="Normal 2 2 2 2 2 16 3 2" xfId="10338" xr:uid="{00000000-0005-0000-0000-000062280000}"/>
    <cellStyle name="Normal 2 2 2 2 2 16 3 3" xfId="10339" xr:uid="{00000000-0005-0000-0000-000063280000}"/>
    <cellStyle name="Normal 2 2 2 2 2 16 3 4" xfId="10340" xr:uid="{00000000-0005-0000-0000-000064280000}"/>
    <cellStyle name="Normal 2 2 2 2 2 16 3 5" xfId="10341" xr:uid="{00000000-0005-0000-0000-000065280000}"/>
    <cellStyle name="Normal 2 2 2 2 2 16 3 6" xfId="10342" xr:uid="{00000000-0005-0000-0000-000066280000}"/>
    <cellStyle name="Normal 2 2 2 2 2 16 3 7" xfId="10343" xr:uid="{00000000-0005-0000-0000-000067280000}"/>
    <cellStyle name="Normal 2 2 2 2 2 16 3 8" xfId="10344" xr:uid="{00000000-0005-0000-0000-000068280000}"/>
    <cellStyle name="Normal 2 2 2 2 2 16 3 9" xfId="10345" xr:uid="{00000000-0005-0000-0000-000069280000}"/>
    <cellStyle name="Normal 2 2 2 2 2 16 4" xfId="10346" xr:uid="{00000000-0005-0000-0000-00006A280000}"/>
    <cellStyle name="Normal 2 2 2 2 2 16 4 10" xfId="10347" xr:uid="{00000000-0005-0000-0000-00006B280000}"/>
    <cellStyle name="Normal 2 2 2 2 2 16 4 2" xfId="10348" xr:uid="{00000000-0005-0000-0000-00006C280000}"/>
    <cellStyle name="Normal 2 2 2 2 2 16 4 3" xfId="10349" xr:uid="{00000000-0005-0000-0000-00006D280000}"/>
    <cellStyle name="Normal 2 2 2 2 2 16 4 4" xfId="10350" xr:uid="{00000000-0005-0000-0000-00006E280000}"/>
    <cellStyle name="Normal 2 2 2 2 2 16 4 5" xfId="10351" xr:uid="{00000000-0005-0000-0000-00006F280000}"/>
    <cellStyle name="Normal 2 2 2 2 2 16 4 6" xfId="10352" xr:uid="{00000000-0005-0000-0000-000070280000}"/>
    <cellStyle name="Normal 2 2 2 2 2 16 4 7" xfId="10353" xr:uid="{00000000-0005-0000-0000-000071280000}"/>
    <cellStyle name="Normal 2 2 2 2 2 16 4 8" xfId="10354" xr:uid="{00000000-0005-0000-0000-000072280000}"/>
    <cellStyle name="Normal 2 2 2 2 2 16 4 9" xfId="10355" xr:uid="{00000000-0005-0000-0000-000073280000}"/>
    <cellStyle name="Normal 2 2 2 2 2 16 5" xfId="10356" xr:uid="{00000000-0005-0000-0000-000074280000}"/>
    <cellStyle name="Normal 2 2 2 2 2 16 5 10" xfId="10357" xr:uid="{00000000-0005-0000-0000-000075280000}"/>
    <cellStyle name="Normal 2 2 2 2 2 16 5 2" xfId="10358" xr:uid="{00000000-0005-0000-0000-000076280000}"/>
    <cellStyle name="Normal 2 2 2 2 2 16 5 3" xfId="10359" xr:uid="{00000000-0005-0000-0000-000077280000}"/>
    <cellStyle name="Normal 2 2 2 2 2 16 5 4" xfId="10360" xr:uid="{00000000-0005-0000-0000-000078280000}"/>
    <cellStyle name="Normal 2 2 2 2 2 16 5 5" xfId="10361" xr:uid="{00000000-0005-0000-0000-000079280000}"/>
    <cellStyle name="Normal 2 2 2 2 2 16 5 6" xfId="10362" xr:uid="{00000000-0005-0000-0000-00007A280000}"/>
    <cellStyle name="Normal 2 2 2 2 2 16 5 7" xfId="10363" xr:uid="{00000000-0005-0000-0000-00007B280000}"/>
    <cellStyle name="Normal 2 2 2 2 2 16 5 8" xfId="10364" xr:uid="{00000000-0005-0000-0000-00007C280000}"/>
    <cellStyle name="Normal 2 2 2 2 2 16 5 9" xfId="10365" xr:uid="{00000000-0005-0000-0000-00007D280000}"/>
    <cellStyle name="Normal 2 2 2 2 2 16 6" xfId="10366" xr:uid="{00000000-0005-0000-0000-00007E280000}"/>
    <cellStyle name="Normal 2 2 2 2 2 16 7" xfId="10367" xr:uid="{00000000-0005-0000-0000-00007F280000}"/>
    <cellStyle name="Normal 2 2 2 2 2 16 8" xfId="10368" xr:uid="{00000000-0005-0000-0000-000080280000}"/>
    <cellStyle name="Normal 2 2 2 2 2 16 9" xfId="10369" xr:uid="{00000000-0005-0000-0000-000081280000}"/>
    <cellStyle name="Normal 2 2 2 2 2 17" xfId="10370" xr:uid="{00000000-0005-0000-0000-000082280000}"/>
    <cellStyle name="Normal 2 2 2 2 2 17 10" xfId="10371" xr:uid="{00000000-0005-0000-0000-000083280000}"/>
    <cellStyle name="Normal 2 2 2 2 2 17 11" xfId="10372" xr:uid="{00000000-0005-0000-0000-000084280000}"/>
    <cellStyle name="Normal 2 2 2 2 2 17 12" xfId="10373" xr:uid="{00000000-0005-0000-0000-000085280000}"/>
    <cellStyle name="Normal 2 2 2 2 2 17 13" xfId="10374" xr:uid="{00000000-0005-0000-0000-000086280000}"/>
    <cellStyle name="Normal 2 2 2 2 2 17 14" xfId="10375" xr:uid="{00000000-0005-0000-0000-000087280000}"/>
    <cellStyle name="Normal 2 2 2 2 2 17 2" xfId="10376" xr:uid="{00000000-0005-0000-0000-000088280000}"/>
    <cellStyle name="Normal 2 2 2 2 2 17 2 10" xfId="10377" xr:uid="{00000000-0005-0000-0000-000089280000}"/>
    <cellStyle name="Normal 2 2 2 2 2 17 2 2" xfId="10378" xr:uid="{00000000-0005-0000-0000-00008A280000}"/>
    <cellStyle name="Normal 2 2 2 2 2 17 2 3" xfId="10379" xr:uid="{00000000-0005-0000-0000-00008B280000}"/>
    <cellStyle name="Normal 2 2 2 2 2 17 2 4" xfId="10380" xr:uid="{00000000-0005-0000-0000-00008C280000}"/>
    <cellStyle name="Normal 2 2 2 2 2 17 2 5" xfId="10381" xr:uid="{00000000-0005-0000-0000-00008D280000}"/>
    <cellStyle name="Normal 2 2 2 2 2 17 2 6" xfId="10382" xr:uid="{00000000-0005-0000-0000-00008E280000}"/>
    <cellStyle name="Normal 2 2 2 2 2 17 2 7" xfId="10383" xr:uid="{00000000-0005-0000-0000-00008F280000}"/>
    <cellStyle name="Normal 2 2 2 2 2 17 2 8" xfId="10384" xr:uid="{00000000-0005-0000-0000-000090280000}"/>
    <cellStyle name="Normal 2 2 2 2 2 17 2 9" xfId="10385" xr:uid="{00000000-0005-0000-0000-000091280000}"/>
    <cellStyle name="Normal 2 2 2 2 2 17 3" xfId="10386" xr:uid="{00000000-0005-0000-0000-000092280000}"/>
    <cellStyle name="Normal 2 2 2 2 2 17 3 10" xfId="10387" xr:uid="{00000000-0005-0000-0000-000093280000}"/>
    <cellStyle name="Normal 2 2 2 2 2 17 3 2" xfId="10388" xr:uid="{00000000-0005-0000-0000-000094280000}"/>
    <cellStyle name="Normal 2 2 2 2 2 17 3 3" xfId="10389" xr:uid="{00000000-0005-0000-0000-000095280000}"/>
    <cellStyle name="Normal 2 2 2 2 2 17 3 4" xfId="10390" xr:uid="{00000000-0005-0000-0000-000096280000}"/>
    <cellStyle name="Normal 2 2 2 2 2 17 3 5" xfId="10391" xr:uid="{00000000-0005-0000-0000-000097280000}"/>
    <cellStyle name="Normal 2 2 2 2 2 17 3 6" xfId="10392" xr:uid="{00000000-0005-0000-0000-000098280000}"/>
    <cellStyle name="Normal 2 2 2 2 2 17 3 7" xfId="10393" xr:uid="{00000000-0005-0000-0000-000099280000}"/>
    <cellStyle name="Normal 2 2 2 2 2 17 3 8" xfId="10394" xr:uid="{00000000-0005-0000-0000-00009A280000}"/>
    <cellStyle name="Normal 2 2 2 2 2 17 3 9" xfId="10395" xr:uid="{00000000-0005-0000-0000-00009B280000}"/>
    <cellStyle name="Normal 2 2 2 2 2 17 4" xfId="10396" xr:uid="{00000000-0005-0000-0000-00009C280000}"/>
    <cellStyle name="Normal 2 2 2 2 2 17 4 10" xfId="10397" xr:uid="{00000000-0005-0000-0000-00009D280000}"/>
    <cellStyle name="Normal 2 2 2 2 2 17 4 2" xfId="10398" xr:uid="{00000000-0005-0000-0000-00009E280000}"/>
    <cellStyle name="Normal 2 2 2 2 2 17 4 3" xfId="10399" xr:uid="{00000000-0005-0000-0000-00009F280000}"/>
    <cellStyle name="Normal 2 2 2 2 2 17 4 4" xfId="10400" xr:uid="{00000000-0005-0000-0000-0000A0280000}"/>
    <cellStyle name="Normal 2 2 2 2 2 17 4 5" xfId="10401" xr:uid="{00000000-0005-0000-0000-0000A1280000}"/>
    <cellStyle name="Normal 2 2 2 2 2 17 4 6" xfId="10402" xr:uid="{00000000-0005-0000-0000-0000A2280000}"/>
    <cellStyle name="Normal 2 2 2 2 2 17 4 7" xfId="10403" xr:uid="{00000000-0005-0000-0000-0000A3280000}"/>
    <cellStyle name="Normal 2 2 2 2 2 17 4 8" xfId="10404" xr:uid="{00000000-0005-0000-0000-0000A4280000}"/>
    <cellStyle name="Normal 2 2 2 2 2 17 4 9" xfId="10405" xr:uid="{00000000-0005-0000-0000-0000A5280000}"/>
    <cellStyle name="Normal 2 2 2 2 2 17 5" xfId="10406" xr:uid="{00000000-0005-0000-0000-0000A6280000}"/>
    <cellStyle name="Normal 2 2 2 2 2 17 5 10" xfId="10407" xr:uid="{00000000-0005-0000-0000-0000A7280000}"/>
    <cellStyle name="Normal 2 2 2 2 2 17 5 2" xfId="10408" xr:uid="{00000000-0005-0000-0000-0000A8280000}"/>
    <cellStyle name="Normal 2 2 2 2 2 17 5 3" xfId="10409" xr:uid="{00000000-0005-0000-0000-0000A9280000}"/>
    <cellStyle name="Normal 2 2 2 2 2 17 5 4" xfId="10410" xr:uid="{00000000-0005-0000-0000-0000AA280000}"/>
    <cellStyle name="Normal 2 2 2 2 2 17 5 5" xfId="10411" xr:uid="{00000000-0005-0000-0000-0000AB280000}"/>
    <cellStyle name="Normal 2 2 2 2 2 17 5 6" xfId="10412" xr:uid="{00000000-0005-0000-0000-0000AC280000}"/>
    <cellStyle name="Normal 2 2 2 2 2 17 5 7" xfId="10413" xr:uid="{00000000-0005-0000-0000-0000AD280000}"/>
    <cellStyle name="Normal 2 2 2 2 2 17 5 8" xfId="10414" xr:uid="{00000000-0005-0000-0000-0000AE280000}"/>
    <cellStyle name="Normal 2 2 2 2 2 17 5 9" xfId="10415" xr:uid="{00000000-0005-0000-0000-0000AF280000}"/>
    <cellStyle name="Normal 2 2 2 2 2 17 6" xfId="10416" xr:uid="{00000000-0005-0000-0000-0000B0280000}"/>
    <cellStyle name="Normal 2 2 2 2 2 17 7" xfId="10417" xr:uid="{00000000-0005-0000-0000-0000B1280000}"/>
    <cellStyle name="Normal 2 2 2 2 2 17 8" xfId="10418" xr:uid="{00000000-0005-0000-0000-0000B2280000}"/>
    <cellStyle name="Normal 2 2 2 2 2 17 9" xfId="10419" xr:uid="{00000000-0005-0000-0000-0000B3280000}"/>
    <cellStyle name="Normal 2 2 2 2 2 18" xfId="10420" xr:uid="{00000000-0005-0000-0000-0000B4280000}"/>
    <cellStyle name="Normal 2 2 2 2 2 18 10" xfId="10421" xr:uid="{00000000-0005-0000-0000-0000B5280000}"/>
    <cellStyle name="Normal 2 2 2 2 2 18 11" xfId="10422" xr:uid="{00000000-0005-0000-0000-0000B6280000}"/>
    <cellStyle name="Normal 2 2 2 2 2 18 12" xfId="10423" xr:uid="{00000000-0005-0000-0000-0000B7280000}"/>
    <cellStyle name="Normal 2 2 2 2 2 18 13" xfId="10424" xr:uid="{00000000-0005-0000-0000-0000B8280000}"/>
    <cellStyle name="Normal 2 2 2 2 2 18 14" xfId="10425" xr:uid="{00000000-0005-0000-0000-0000B9280000}"/>
    <cellStyle name="Normal 2 2 2 2 2 18 2" xfId="10426" xr:uid="{00000000-0005-0000-0000-0000BA280000}"/>
    <cellStyle name="Normal 2 2 2 2 2 18 2 10" xfId="10427" xr:uid="{00000000-0005-0000-0000-0000BB280000}"/>
    <cellStyle name="Normal 2 2 2 2 2 18 2 2" xfId="10428" xr:uid="{00000000-0005-0000-0000-0000BC280000}"/>
    <cellStyle name="Normal 2 2 2 2 2 18 2 3" xfId="10429" xr:uid="{00000000-0005-0000-0000-0000BD280000}"/>
    <cellStyle name="Normal 2 2 2 2 2 18 2 4" xfId="10430" xr:uid="{00000000-0005-0000-0000-0000BE280000}"/>
    <cellStyle name="Normal 2 2 2 2 2 18 2 5" xfId="10431" xr:uid="{00000000-0005-0000-0000-0000BF280000}"/>
    <cellStyle name="Normal 2 2 2 2 2 18 2 6" xfId="10432" xr:uid="{00000000-0005-0000-0000-0000C0280000}"/>
    <cellStyle name="Normal 2 2 2 2 2 18 2 7" xfId="10433" xr:uid="{00000000-0005-0000-0000-0000C1280000}"/>
    <cellStyle name="Normal 2 2 2 2 2 18 2 8" xfId="10434" xr:uid="{00000000-0005-0000-0000-0000C2280000}"/>
    <cellStyle name="Normal 2 2 2 2 2 18 2 9" xfId="10435" xr:uid="{00000000-0005-0000-0000-0000C3280000}"/>
    <cellStyle name="Normal 2 2 2 2 2 18 3" xfId="10436" xr:uid="{00000000-0005-0000-0000-0000C4280000}"/>
    <cellStyle name="Normal 2 2 2 2 2 18 3 10" xfId="10437" xr:uid="{00000000-0005-0000-0000-0000C5280000}"/>
    <cellStyle name="Normal 2 2 2 2 2 18 3 2" xfId="10438" xr:uid="{00000000-0005-0000-0000-0000C6280000}"/>
    <cellStyle name="Normal 2 2 2 2 2 18 3 3" xfId="10439" xr:uid="{00000000-0005-0000-0000-0000C7280000}"/>
    <cellStyle name="Normal 2 2 2 2 2 18 3 4" xfId="10440" xr:uid="{00000000-0005-0000-0000-0000C8280000}"/>
    <cellStyle name="Normal 2 2 2 2 2 18 3 5" xfId="10441" xr:uid="{00000000-0005-0000-0000-0000C9280000}"/>
    <cellStyle name="Normal 2 2 2 2 2 18 3 6" xfId="10442" xr:uid="{00000000-0005-0000-0000-0000CA280000}"/>
    <cellStyle name="Normal 2 2 2 2 2 18 3 7" xfId="10443" xr:uid="{00000000-0005-0000-0000-0000CB280000}"/>
    <cellStyle name="Normal 2 2 2 2 2 18 3 8" xfId="10444" xr:uid="{00000000-0005-0000-0000-0000CC280000}"/>
    <cellStyle name="Normal 2 2 2 2 2 18 3 9" xfId="10445" xr:uid="{00000000-0005-0000-0000-0000CD280000}"/>
    <cellStyle name="Normal 2 2 2 2 2 18 4" xfId="10446" xr:uid="{00000000-0005-0000-0000-0000CE280000}"/>
    <cellStyle name="Normal 2 2 2 2 2 18 4 10" xfId="10447" xr:uid="{00000000-0005-0000-0000-0000CF280000}"/>
    <cellStyle name="Normal 2 2 2 2 2 18 4 2" xfId="10448" xr:uid="{00000000-0005-0000-0000-0000D0280000}"/>
    <cellStyle name="Normal 2 2 2 2 2 18 4 3" xfId="10449" xr:uid="{00000000-0005-0000-0000-0000D1280000}"/>
    <cellStyle name="Normal 2 2 2 2 2 18 4 4" xfId="10450" xr:uid="{00000000-0005-0000-0000-0000D2280000}"/>
    <cellStyle name="Normal 2 2 2 2 2 18 4 5" xfId="10451" xr:uid="{00000000-0005-0000-0000-0000D3280000}"/>
    <cellStyle name="Normal 2 2 2 2 2 18 4 6" xfId="10452" xr:uid="{00000000-0005-0000-0000-0000D4280000}"/>
    <cellStyle name="Normal 2 2 2 2 2 18 4 7" xfId="10453" xr:uid="{00000000-0005-0000-0000-0000D5280000}"/>
    <cellStyle name="Normal 2 2 2 2 2 18 4 8" xfId="10454" xr:uid="{00000000-0005-0000-0000-0000D6280000}"/>
    <cellStyle name="Normal 2 2 2 2 2 18 4 9" xfId="10455" xr:uid="{00000000-0005-0000-0000-0000D7280000}"/>
    <cellStyle name="Normal 2 2 2 2 2 18 5" xfId="10456" xr:uid="{00000000-0005-0000-0000-0000D8280000}"/>
    <cellStyle name="Normal 2 2 2 2 2 18 5 10" xfId="10457" xr:uid="{00000000-0005-0000-0000-0000D9280000}"/>
    <cellStyle name="Normal 2 2 2 2 2 18 5 2" xfId="10458" xr:uid="{00000000-0005-0000-0000-0000DA280000}"/>
    <cellStyle name="Normal 2 2 2 2 2 18 5 3" xfId="10459" xr:uid="{00000000-0005-0000-0000-0000DB280000}"/>
    <cellStyle name="Normal 2 2 2 2 2 18 5 4" xfId="10460" xr:uid="{00000000-0005-0000-0000-0000DC280000}"/>
    <cellStyle name="Normal 2 2 2 2 2 18 5 5" xfId="10461" xr:uid="{00000000-0005-0000-0000-0000DD280000}"/>
    <cellStyle name="Normal 2 2 2 2 2 18 5 6" xfId="10462" xr:uid="{00000000-0005-0000-0000-0000DE280000}"/>
    <cellStyle name="Normal 2 2 2 2 2 18 5 7" xfId="10463" xr:uid="{00000000-0005-0000-0000-0000DF280000}"/>
    <cellStyle name="Normal 2 2 2 2 2 18 5 8" xfId="10464" xr:uid="{00000000-0005-0000-0000-0000E0280000}"/>
    <cellStyle name="Normal 2 2 2 2 2 18 5 9" xfId="10465" xr:uid="{00000000-0005-0000-0000-0000E1280000}"/>
    <cellStyle name="Normal 2 2 2 2 2 18 6" xfId="10466" xr:uid="{00000000-0005-0000-0000-0000E2280000}"/>
    <cellStyle name="Normal 2 2 2 2 2 18 7" xfId="10467" xr:uid="{00000000-0005-0000-0000-0000E3280000}"/>
    <cellStyle name="Normal 2 2 2 2 2 18 8" xfId="10468" xr:uid="{00000000-0005-0000-0000-0000E4280000}"/>
    <cellStyle name="Normal 2 2 2 2 2 18 9" xfId="10469" xr:uid="{00000000-0005-0000-0000-0000E5280000}"/>
    <cellStyle name="Normal 2 2 2 2 2 19" xfId="10470" xr:uid="{00000000-0005-0000-0000-0000E6280000}"/>
    <cellStyle name="Normal 2 2 2 2 2 19 10" xfId="10471" xr:uid="{00000000-0005-0000-0000-0000E7280000}"/>
    <cellStyle name="Normal 2 2 2 2 2 19 11" xfId="10472" xr:uid="{00000000-0005-0000-0000-0000E8280000}"/>
    <cellStyle name="Normal 2 2 2 2 2 19 12" xfId="10473" xr:uid="{00000000-0005-0000-0000-0000E9280000}"/>
    <cellStyle name="Normal 2 2 2 2 2 19 13" xfId="10474" xr:uid="{00000000-0005-0000-0000-0000EA280000}"/>
    <cellStyle name="Normal 2 2 2 2 2 19 14" xfId="10475" xr:uid="{00000000-0005-0000-0000-0000EB280000}"/>
    <cellStyle name="Normal 2 2 2 2 2 19 2" xfId="10476" xr:uid="{00000000-0005-0000-0000-0000EC280000}"/>
    <cellStyle name="Normal 2 2 2 2 2 19 2 10" xfId="10477" xr:uid="{00000000-0005-0000-0000-0000ED280000}"/>
    <cellStyle name="Normal 2 2 2 2 2 19 2 2" xfId="10478" xr:uid="{00000000-0005-0000-0000-0000EE280000}"/>
    <cellStyle name="Normal 2 2 2 2 2 19 2 3" xfId="10479" xr:uid="{00000000-0005-0000-0000-0000EF280000}"/>
    <cellStyle name="Normal 2 2 2 2 2 19 2 4" xfId="10480" xr:uid="{00000000-0005-0000-0000-0000F0280000}"/>
    <cellStyle name="Normal 2 2 2 2 2 19 2 5" xfId="10481" xr:uid="{00000000-0005-0000-0000-0000F1280000}"/>
    <cellStyle name="Normal 2 2 2 2 2 19 2 6" xfId="10482" xr:uid="{00000000-0005-0000-0000-0000F2280000}"/>
    <cellStyle name="Normal 2 2 2 2 2 19 2 7" xfId="10483" xr:uid="{00000000-0005-0000-0000-0000F3280000}"/>
    <cellStyle name="Normal 2 2 2 2 2 19 2 8" xfId="10484" xr:uid="{00000000-0005-0000-0000-0000F4280000}"/>
    <cellStyle name="Normal 2 2 2 2 2 19 2 9" xfId="10485" xr:uid="{00000000-0005-0000-0000-0000F5280000}"/>
    <cellStyle name="Normal 2 2 2 2 2 19 3" xfId="10486" xr:uid="{00000000-0005-0000-0000-0000F6280000}"/>
    <cellStyle name="Normal 2 2 2 2 2 19 3 10" xfId="10487" xr:uid="{00000000-0005-0000-0000-0000F7280000}"/>
    <cellStyle name="Normal 2 2 2 2 2 19 3 2" xfId="10488" xr:uid="{00000000-0005-0000-0000-0000F8280000}"/>
    <cellStyle name="Normal 2 2 2 2 2 19 3 3" xfId="10489" xr:uid="{00000000-0005-0000-0000-0000F9280000}"/>
    <cellStyle name="Normal 2 2 2 2 2 19 3 4" xfId="10490" xr:uid="{00000000-0005-0000-0000-0000FA280000}"/>
    <cellStyle name="Normal 2 2 2 2 2 19 3 5" xfId="10491" xr:uid="{00000000-0005-0000-0000-0000FB280000}"/>
    <cellStyle name="Normal 2 2 2 2 2 19 3 6" xfId="10492" xr:uid="{00000000-0005-0000-0000-0000FC280000}"/>
    <cellStyle name="Normal 2 2 2 2 2 19 3 7" xfId="10493" xr:uid="{00000000-0005-0000-0000-0000FD280000}"/>
    <cellStyle name="Normal 2 2 2 2 2 19 3 8" xfId="10494" xr:uid="{00000000-0005-0000-0000-0000FE280000}"/>
    <cellStyle name="Normal 2 2 2 2 2 19 3 9" xfId="10495" xr:uid="{00000000-0005-0000-0000-0000FF280000}"/>
    <cellStyle name="Normal 2 2 2 2 2 19 4" xfId="10496" xr:uid="{00000000-0005-0000-0000-000000290000}"/>
    <cellStyle name="Normal 2 2 2 2 2 19 4 10" xfId="10497" xr:uid="{00000000-0005-0000-0000-000001290000}"/>
    <cellStyle name="Normal 2 2 2 2 2 19 4 2" xfId="10498" xr:uid="{00000000-0005-0000-0000-000002290000}"/>
    <cellStyle name="Normal 2 2 2 2 2 19 4 3" xfId="10499" xr:uid="{00000000-0005-0000-0000-000003290000}"/>
    <cellStyle name="Normal 2 2 2 2 2 19 4 4" xfId="10500" xr:uid="{00000000-0005-0000-0000-000004290000}"/>
    <cellStyle name="Normal 2 2 2 2 2 19 4 5" xfId="10501" xr:uid="{00000000-0005-0000-0000-000005290000}"/>
    <cellStyle name="Normal 2 2 2 2 2 19 4 6" xfId="10502" xr:uid="{00000000-0005-0000-0000-000006290000}"/>
    <cellStyle name="Normal 2 2 2 2 2 19 4 7" xfId="10503" xr:uid="{00000000-0005-0000-0000-000007290000}"/>
    <cellStyle name="Normal 2 2 2 2 2 19 4 8" xfId="10504" xr:uid="{00000000-0005-0000-0000-000008290000}"/>
    <cellStyle name="Normal 2 2 2 2 2 19 4 9" xfId="10505" xr:uid="{00000000-0005-0000-0000-000009290000}"/>
    <cellStyle name="Normal 2 2 2 2 2 19 5" xfId="10506" xr:uid="{00000000-0005-0000-0000-00000A290000}"/>
    <cellStyle name="Normal 2 2 2 2 2 19 5 10" xfId="10507" xr:uid="{00000000-0005-0000-0000-00000B290000}"/>
    <cellStyle name="Normal 2 2 2 2 2 19 5 2" xfId="10508" xr:uid="{00000000-0005-0000-0000-00000C290000}"/>
    <cellStyle name="Normal 2 2 2 2 2 19 5 3" xfId="10509" xr:uid="{00000000-0005-0000-0000-00000D290000}"/>
    <cellStyle name="Normal 2 2 2 2 2 19 5 4" xfId="10510" xr:uid="{00000000-0005-0000-0000-00000E290000}"/>
    <cellStyle name="Normal 2 2 2 2 2 19 5 5" xfId="10511" xr:uid="{00000000-0005-0000-0000-00000F290000}"/>
    <cellStyle name="Normal 2 2 2 2 2 19 5 6" xfId="10512" xr:uid="{00000000-0005-0000-0000-000010290000}"/>
    <cellStyle name="Normal 2 2 2 2 2 19 5 7" xfId="10513" xr:uid="{00000000-0005-0000-0000-000011290000}"/>
    <cellStyle name="Normal 2 2 2 2 2 19 5 8" xfId="10514" xr:uid="{00000000-0005-0000-0000-000012290000}"/>
    <cellStyle name="Normal 2 2 2 2 2 19 5 9" xfId="10515" xr:uid="{00000000-0005-0000-0000-000013290000}"/>
    <cellStyle name="Normal 2 2 2 2 2 19 6" xfId="10516" xr:uid="{00000000-0005-0000-0000-000014290000}"/>
    <cellStyle name="Normal 2 2 2 2 2 19 7" xfId="10517" xr:uid="{00000000-0005-0000-0000-000015290000}"/>
    <cellStyle name="Normal 2 2 2 2 2 19 8" xfId="10518" xr:uid="{00000000-0005-0000-0000-000016290000}"/>
    <cellStyle name="Normal 2 2 2 2 2 19 9" xfId="10519" xr:uid="{00000000-0005-0000-0000-000017290000}"/>
    <cellStyle name="Normal 2 2 2 2 2 2" xfId="10520" xr:uid="{00000000-0005-0000-0000-000018290000}"/>
    <cellStyle name="Normal 2 2 2 2 2 2 10" xfId="10521" xr:uid="{00000000-0005-0000-0000-000019290000}"/>
    <cellStyle name="Normal 2 2 2 2 2 2 10 10" xfId="10522" xr:uid="{00000000-0005-0000-0000-00001A290000}"/>
    <cellStyle name="Normal 2 2 2 2 2 2 10 11" xfId="10523" xr:uid="{00000000-0005-0000-0000-00001B290000}"/>
    <cellStyle name="Normal 2 2 2 2 2 2 10 12" xfId="10524" xr:uid="{00000000-0005-0000-0000-00001C290000}"/>
    <cellStyle name="Normal 2 2 2 2 2 2 10 13" xfId="10525" xr:uid="{00000000-0005-0000-0000-00001D290000}"/>
    <cellStyle name="Normal 2 2 2 2 2 2 10 14" xfId="10526" xr:uid="{00000000-0005-0000-0000-00001E290000}"/>
    <cellStyle name="Normal 2 2 2 2 2 2 10 2" xfId="10527" xr:uid="{00000000-0005-0000-0000-00001F290000}"/>
    <cellStyle name="Normal 2 2 2 2 2 2 10 2 10" xfId="10528" xr:uid="{00000000-0005-0000-0000-000020290000}"/>
    <cellStyle name="Normal 2 2 2 2 2 2 10 2 2" xfId="10529" xr:uid="{00000000-0005-0000-0000-000021290000}"/>
    <cellStyle name="Normal 2 2 2 2 2 2 10 2 3" xfId="10530" xr:uid="{00000000-0005-0000-0000-000022290000}"/>
    <cellStyle name="Normal 2 2 2 2 2 2 10 2 4" xfId="10531" xr:uid="{00000000-0005-0000-0000-000023290000}"/>
    <cellStyle name="Normal 2 2 2 2 2 2 10 2 5" xfId="10532" xr:uid="{00000000-0005-0000-0000-000024290000}"/>
    <cellStyle name="Normal 2 2 2 2 2 2 10 2 6" xfId="10533" xr:uid="{00000000-0005-0000-0000-000025290000}"/>
    <cellStyle name="Normal 2 2 2 2 2 2 10 2 7" xfId="10534" xr:uid="{00000000-0005-0000-0000-000026290000}"/>
    <cellStyle name="Normal 2 2 2 2 2 2 10 2 8" xfId="10535" xr:uid="{00000000-0005-0000-0000-000027290000}"/>
    <cellStyle name="Normal 2 2 2 2 2 2 10 2 9" xfId="10536" xr:uid="{00000000-0005-0000-0000-000028290000}"/>
    <cellStyle name="Normal 2 2 2 2 2 2 10 3" xfId="10537" xr:uid="{00000000-0005-0000-0000-000029290000}"/>
    <cellStyle name="Normal 2 2 2 2 2 2 10 3 10" xfId="10538" xr:uid="{00000000-0005-0000-0000-00002A290000}"/>
    <cellStyle name="Normal 2 2 2 2 2 2 10 3 2" xfId="10539" xr:uid="{00000000-0005-0000-0000-00002B290000}"/>
    <cellStyle name="Normal 2 2 2 2 2 2 10 3 3" xfId="10540" xr:uid="{00000000-0005-0000-0000-00002C290000}"/>
    <cellStyle name="Normal 2 2 2 2 2 2 10 3 4" xfId="10541" xr:uid="{00000000-0005-0000-0000-00002D290000}"/>
    <cellStyle name="Normal 2 2 2 2 2 2 10 3 5" xfId="10542" xr:uid="{00000000-0005-0000-0000-00002E290000}"/>
    <cellStyle name="Normal 2 2 2 2 2 2 10 3 6" xfId="10543" xr:uid="{00000000-0005-0000-0000-00002F290000}"/>
    <cellStyle name="Normal 2 2 2 2 2 2 10 3 7" xfId="10544" xr:uid="{00000000-0005-0000-0000-000030290000}"/>
    <cellStyle name="Normal 2 2 2 2 2 2 10 3 8" xfId="10545" xr:uid="{00000000-0005-0000-0000-000031290000}"/>
    <cellStyle name="Normal 2 2 2 2 2 2 10 3 9" xfId="10546" xr:uid="{00000000-0005-0000-0000-000032290000}"/>
    <cellStyle name="Normal 2 2 2 2 2 2 10 4" xfId="10547" xr:uid="{00000000-0005-0000-0000-000033290000}"/>
    <cellStyle name="Normal 2 2 2 2 2 2 10 4 10" xfId="10548" xr:uid="{00000000-0005-0000-0000-000034290000}"/>
    <cellStyle name="Normal 2 2 2 2 2 2 10 4 2" xfId="10549" xr:uid="{00000000-0005-0000-0000-000035290000}"/>
    <cellStyle name="Normal 2 2 2 2 2 2 10 4 3" xfId="10550" xr:uid="{00000000-0005-0000-0000-000036290000}"/>
    <cellStyle name="Normal 2 2 2 2 2 2 10 4 4" xfId="10551" xr:uid="{00000000-0005-0000-0000-000037290000}"/>
    <cellStyle name="Normal 2 2 2 2 2 2 10 4 5" xfId="10552" xr:uid="{00000000-0005-0000-0000-000038290000}"/>
    <cellStyle name="Normal 2 2 2 2 2 2 10 4 6" xfId="10553" xr:uid="{00000000-0005-0000-0000-000039290000}"/>
    <cellStyle name="Normal 2 2 2 2 2 2 10 4 7" xfId="10554" xr:uid="{00000000-0005-0000-0000-00003A290000}"/>
    <cellStyle name="Normal 2 2 2 2 2 2 10 4 8" xfId="10555" xr:uid="{00000000-0005-0000-0000-00003B290000}"/>
    <cellStyle name="Normal 2 2 2 2 2 2 10 4 9" xfId="10556" xr:uid="{00000000-0005-0000-0000-00003C290000}"/>
    <cellStyle name="Normal 2 2 2 2 2 2 10 5" xfId="10557" xr:uid="{00000000-0005-0000-0000-00003D290000}"/>
    <cellStyle name="Normal 2 2 2 2 2 2 10 5 10" xfId="10558" xr:uid="{00000000-0005-0000-0000-00003E290000}"/>
    <cellStyle name="Normal 2 2 2 2 2 2 10 5 2" xfId="10559" xr:uid="{00000000-0005-0000-0000-00003F290000}"/>
    <cellStyle name="Normal 2 2 2 2 2 2 10 5 3" xfId="10560" xr:uid="{00000000-0005-0000-0000-000040290000}"/>
    <cellStyle name="Normal 2 2 2 2 2 2 10 5 4" xfId="10561" xr:uid="{00000000-0005-0000-0000-000041290000}"/>
    <cellStyle name="Normal 2 2 2 2 2 2 10 5 5" xfId="10562" xr:uid="{00000000-0005-0000-0000-000042290000}"/>
    <cellStyle name="Normal 2 2 2 2 2 2 10 5 6" xfId="10563" xr:uid="{00000000-0005-0000-0000-000043290000}"/>
    <cellStyle name="Normal 2 2 2 2 2 2 10 5 7" xfId="10564" xr:uid="{00000000-0005-0000-0000-000044290000}"/>
    <cellStyle name="Normal 2 2 2 2 2 2 10 5 8" xfId="10565" xr:uid="{00000000-0005-0000-0000-000045290000}"/>
    <cellStyle name="Normal 2 2 2 2 2 2 10 5 9" xfId="10566" xr:uid="{00000000-0005-0000-0000-000046290000}"/>
    <cellStyle name="Normal 2 2 2 2 2 2 10 6" xfId="10567" xr:uid="{00000000-0005-0000-0000-000047290000}"/>
    <cellStyle name="Normal 2 2 2 2 2 2 10 7" xfId="10568" xr:uid="{00000000-0005-0000-0000-000048290000}"/>
    <cellStyle name="Normal 2 2 2 2 2 2 10 8" xfId="10569" xr:uid="{00000000-0005-0000-0000-000049290000}"/>
    <cellStyle name="Normal 2 2 2 2 2 2 10 9" xfId="10570" xr:uid="{00000000-0005-0000-0000-00004A290000}"/>
    <cellStyle name="Normal 2 2 2 2 2 2 11" xfId="10571" xr:uid="{00000000-0005-0000-0000-00004B290000}"/>
    <cellStyle name="Normal 2 2 2 2 2 2 11 10" xfId="10572" xr:uid="{00000000-0005-0000-0000-00004C290000}"/>
    <cellStyle name="Normal 2 2 2 2 2 2 11 11" xfId="10573" xr:uid="{00000000-0005-0000-0000-00004D290000}"/>
    <cellStyle name="Normal 2 2 2 2 2 2 11 12" xfId="10574" xr:uid="{00000000-0005-0000-0000-00004E290000}"/>
    <cellStyle name="Normal 2 2 2 2 2 2 11 13" xfId="10575" xr:uid="{00000000-0005-0000-0000-00004F290000}"/>
    <cellStyle name="Normal 2 2 2 2 2 2 11 14" xfId="10576" xr:uid="{00000000-0005-0000-0000-000050290000}"/>
    <cellStyle name="Normal 2 2 2 2 2 2 11 2" xfId="10577" xr:uid="{00000000-0005-0000-0000-000051290000}"/>
    <cellStyle name="Normal 2 2 2 2 2 2 11 2 10" xfId="10578" xr:uid="{00000000-0005-0000-0000-000052290000}"/>
    <cellStyle name="Normal 2 2 2 2 2 2 11 2 2" xfId="10579" xr:uid="{00000000-0005-0000-0000-000053290000}"/>
    <cellStyle name="Normal 2 2 2 2 2 2 11 2 3" xfId="10580" xr:uid="{00000000-0005-0000-0000-000054290000}"/>
    <cellStyle name="Normal 2 2 2 2 2 2 11 2 4" xfId="10581" xr:uid="{00000000-0005-0000-0000-000055290000}"/>
    <cellStyle name="Normal 2 2 2 2 2 2 11 2 5" xfId="10582" xr:uid="{00000000-0005-0000-0000-000056290000}"/>
    <cellStyle name="Normal 2 2 2 2 2 2 11 2 6" xfId="10583" xr:uid="{00000000-0005-0000-0000-000057290000}"/>
    <cellStyle name="Normal 2 2 2 2 2 2 11 2 7" xfId="10584" xr:uid="{00000000-0005-0000-0000-000058290000}"/>
    <cellStyle name="Normal 2 2 2 2 2 2 11 2 8" xfId="10585" xr:uid="{00000000-0005-0000-0000-000059290000}"/>
    <cellStyle name="Normal 2 2 2 2 2 2 11 2 9" xfId="10586" xr:uid="{00000000-0005-0000-0000-00005A290000}"/>
    <cellStyle name="Normal 2 2 2 2 2 2 11 3" xfId="10587" xr:uid="{00000000-0005-0000-0000-00005B290000}"/>
    <cellStyle name="Normal 2 2 2 2 2 2 11 3 10" xfId="10588" xr:uid="{00000000-0005-0000-0000-00005C290000}"/>
    <cellStyle name="Normal 2 2 2 2 2 2 11 3 2" xfId="10589" xr:uid="{00000000-0005-0000-0000-00005D290000}"/>
    <cellStyle name="Normal 2 2 2 2 2 2 11 3 3" xfId="10590" xr:uid="{00000000-0005-0000-0000-00005E290000}"/>
    <cellStyle name="Normal 2 2 2 2 2 2 11 3 4" xfId="10591" xr:uid="{00000000-0005-0000-0000-00005F290000}"/>
    <cellStyle name="Normal 2 2 2 2 2 2 11 3 5" xfId="10592" xr:uid="{00000000-0005-0000-0000-000060290000}"/>
    <cellStyle name="Normal 2 2 2 2 2 2 11 3 6" xfId="10593" xr:uid="{00000000-0005-0000-0000-000061290000}"/>
    <cellStyle name="Normal 2 2 2 2 2 2 11 3 7" xfId="10594" xr:uid="{00000000-0005-0000-0000-000062290000}"/>
    <cellStyle name="Normal 2 2 2 2 2 2 11 3 8" xfId="10595" xr:uid="{00000000-0005-0000-0000-000063290000}"/>
    <cellStyle name="Normal 2 2 2 2 2 2 11 3 9" xfId="10596" xr:uid="{00000000-0005-0000-0000-000064290000}"/>
    <cellStyle name="Normal 2 2 2 2 2 2 11 4" xfId="10597" xr:uid="{00000000-0005-0000-0000-000065290000}"/>
    <cellStyle name="Normal 2 2 2 2 2 2 11 4 10" xfId="10598" xr:uid="{00000000-0005-0000-0000-000066290000}"/>
    <cellStyle name="Normal 2 2 2 2 2 2 11 4 2" xfId="10599" xr:uid="{00000000-0005-0000-0000-000067290000}"/>
    <cellStyle name="Normal 2 2 2 2 2 2 11 4 3" xfId="10600" xr:uid="{00000000-0005-0000-0000-000068290000}"/>
    <cellStyle name="Normal 2 2 2 2 2 2 11 4 4" xfId="10601" xr:uid="{00000000-0005-0000-0000-000069290000}"/>
    <cellStyle name="Normal 2 2 2 2 2 2 11 4 5" xfId="10602" xr:uid="{00000000-0005-0000-0000-00006A290000}"/>
    <cellStyle name="Normal 2 2 2 2 2 2 11 4 6" xfId="10603" xr:uid="{00000000-0005-0000-0000-00006B290000}"/>
    <cellStyle name="Normal 2 2 2 2 2 2 11 4 7" xfId="10604" xr:uid="{00000000-0005-0000-0000-00006C290000}"/>
    <cellStyle name="Normal 2 2 2 2 2 2 11 4 8" xfId="10605" xr:uid="{00000000-0005-0000-0000-00006D290000}"/>
    <cellStyle name="Normal 2 2 2 2 2 2 11 4 9" xfId="10606" xr:uid="{00000000-0005-0000-0000-00006E290000}"/>
    <cellStyle name="Normal 2 2 2 2 2 2 11 5" xfId="10607" xr:uid="{00000000-0005-0000-0000-00006F290000}"/>
    <cellStyle name="Normal 2 2 2 2 2 2 11 5 10" xfId="10608" xr:uid="{00000000-0005-0000-0000-000070290000}"/>
    <cellStyle name="Normal 2 2 2 2 2 2 11 5 2" xfId="10609" xr:uid="{00000000-0005-0000-0000-000071290000}"/>
    <cellStyle name="Normal 2 2 2 2 2 2 11 5 3" xfId="10610" xr:uid="{00000000-0005-0000-0000-000072290000}"/>
    <cellStyle name="Normal 2 2 2 2 2 2 11 5 4" xfId="10611" xr:uid="{00000000-0005-0000-0000-000073290000}"/>
    <cellStyle name="Normal 2 2 2 2 2 2 11 5 5" xfId="10612" xr:uid="{00000000-0005-0000-0000-000074290000}"/>
    <cellStyle name="Normal 2 2 2 2 2 2 11 5 6" xfId="10613" xr:uid="{00000000-0005-0000-0000-000075290000}"/>
    <cellStyle name="Normal 2 2 2 2 2 2 11 5 7" xfId="10614" xr:uid="{00000000-0005-0000-0000-000076290000}"/>
    <cellStyle name="Normal 2 2 2 2 2 2 11 5 8" xfId="10615" xr:uid="{00000000-0005-0000-0000-000077290000}"/>
    <cellStyle name="Normal 2 2 2 2 2 2 11 5 9" xfId="10616" xr:uid="{00000000-0005-0000-0000-000078290000}"/>
    <cellStyle name="Normal 2 2 2 2 2 2 11 6" xfId="10617" xr:uid="{00000000-0005-0000-0000-000079290000}"/>
    <cellStyle name="Normal 2 2 2 2 2 2 11 7" xfId="10618" xr:uid="{00000000-0005-0000-0000-00007A290000}"/>
    <cellStyle name="Normal 2 2 2 2 2 2 11 8" xfId="10619" xr:uid="{00000000-0005-0000-0000-00007B290000}"/>
    <cellStyle name="Normal 2 2 2 2 2 2 11 9" xfId="10620" xr:uid="{00000000-0005-0000-0000-00007C290000}"/>
    <cellStyle name="Normal 2 2 2 2 2 2 12" xfId="10621" xr:uid="{00000000-0005-0000-0000-00007D290000}"/>
    <cellStyle name="Normal 2 2 2 2 2 2 12 10" xfId="10622" xr:uid="{00000000-0005-0000-0000-00007E290000}"/>
    <cellStyle name="Normal 2 2 2 2 2 2 12 11" xfId="10623" xr:uid="{00000000-0005-0000-0000-00007F290000}"/>
    <cellStyle name="Normal 2 2 2 2 2 2 12 12" xfId="10624" xr:uid="{00000000-0005-0000-0000-000080290000}"/>
    <cellStyle name="Normal 2 2 2 2 2 2 12 13" xfId="10625" xr:uid="{00000000-0005-0000-0000-000081290000}"/>
    <cellStyle name="Normal 2 2 2 2 2 2 12 14" xfId="10626" xr:uid="{00000000-0005-0000-0000-000082290000}"/>
    <cellStyle name="Normal 2 2 2 2 2 2 12 2" xfId="10627" xr:uid="{00000000-0005-0000-0000-000083290000}"/>
    <cellStyle name="Normal 2 2 2 2 2 2 12 2 10" xfId="10628" xr:uid="{00000000-0005-0000-0000-000084290000}"/>
    <cellStyle name="Normal 2 2 2 2 2 2 12 2 2" xfId="10629" xr:uid="{00000000-0005-0000-0000-000085290000}"/>
    <cellStyle name="Normal 2 2 2 2 2 2 12 2 3" xfId="10630" xr:uid="{00000000-0005-0000-0000-000086290000}"/>
    <cellStyle name="Normal 2 2 2 2 2 2 12 2 4" xfId="10631" xr:uid="{00000000-0005-0000-0000-000087290000}"/>
    <cellStyle name="Normal 2 2 2 2 2 2 12 2 5" xfId="10632" xr:uid="{00000000-0005-0000-0000-000088290000}"/>
    <cellStyle name="Normal 2 2 2 2 2 2 12 2 6" xfId="10633" xr:uid="{00000000-0005-0000-0000-000089290000}"/>
    <cellStyle name="Normal 2 2 2 2 2 2 12 2 7" xfId="10634" xr:uid="{00000000-0005-0000-0000-00008A290000}"/>
    <cellStyle name="Normal 2 2 2 2 2 2 12 2 8" xfId="10635" xr:uid="{00000000-0005-0000-0000-00008B290000}"/>
    <cellStyle name="Normal 2 2 2 2 2 2 12 2 9" xfId="10636" xr:uid="{00000000-0005-0000-0000-00008C290000}"/>
    <cellStyle name="Normal 2 2 2 2 2 2 12 3" xfId="10637" xr:uid="{00000000-0005-0000-0000-00008D290000}"/>
    <cellStyle name="Normal 2 2 2 2 2 2 12 3 10" xfId="10638" xr:uid="{00000000-0005-0000-0000-00008E290000}"/>
    <cellStyle name="Normal 2 2 2 2 2 2 12 3 2" xfId="10639" xr:uid="{00000000-0005-0000-0000-00008F290000}"/>
    <cellStyle name="Normal 2 2 2 2 2 2 12 3 3" xfId="10640" xr:uid="{00000000-0005-0000-0000-000090290000}"/>
    <cellStyle name="Normal 2 2 2 2 2 2 12 3 4" xfId="10641" xr:uid="{00000000-0005-0000-0000-000091290000}"/>
    <cellStyle name="Normal 2 2 2 2 2 2 12 3 5" xfId="10642" xr:uid="{00000000-0005-0000-0000-000092290000}"/>
    <cellStyle name="Normal 2 2 2 2 2 2 12 3 6" xfId="10643" xr:uid="{00000000-0005-0000-0000-000093290000}"/>
    <cellStyle name="Normal 2 2 2 2 2 2 12 3 7" xfId="10644" xr:uid="{00000000-0005-0000-0000-000094290000}"/>
    <cellStyle name="Normal 2 2 2 2 2 2 12 3 8" xfId="10645" xr:uid="{00000000-0005-0000-0000-000095290000}"/>
    <cellStyle name="Normal 2 2 2 2 2 2 12 3 9" xfId="10646" xr:uid="{00000000-0005-0000-0000-000096290000}"/>
    <cellStyle name="Normal 2 2 2 2 2 2 12 4" xfId="10647" xr:uid="{00000000-0005-0000-0000-000097290000}"/>
    <cellStyle name="Normal 2 2 2 2 2 2 12 4 10" xfId="10648" xr:uid="{00000000-0005-0000-0000-000098290000}"/>
    <cellStyle name="Normal 2 2 2 2 2 2 12 4 2" xfId="10649" xr:uid="{00000000-0005-0000-0000-000099290000}"/>
    <cellStyle name="Normal 2 2 2 2 2 2 12 4 3" xfId="10650" xr:uid="{00000000-0005-0000-0000-00009A290000}"/>
    <cellStyle name="Normal 2 2 2 2 2 2 12 4 4" xfId="10651" xr:uid="{00000000-0005-0000-0000-00009B290000}"/>
    <cellStyle name="Normal 2 2 2 2 2 2 12 4 5" xfId="10652" xr:uid="{00000000-0005-0000-0000-00009C290000}"/>
    <cellStyle name="Normal 2 2 2 2 2 2 12 4 6" xfId="10653" xr:uid="{00000000-0005-0000-0000-00009D290000}"/>
    <cellStyle name="Normal 2 2 2 2 2 2 12 4 7" xfId="10654" xr:uid="{00000000-0005-0000-0000-00009E290000}"/>
    <cellStyle name="Normal 2 2 2 2 2 2 12 4 8" xfId="10655" xr:uid="{00000000-0005-0000-0000-00009F290000}"/>
    <cellStyle name="Normal 2 2 2 2 2 2 12 4 9" xfId="10656" xr:uid="{00000000-0005-0000-0000-0000A0290000}"/>
    <cellStyle name="Normal 2 2 2 2 2 2 12 5" xfId="10657" xr:uid="{00000000-0005-0000-0000-0000A1290000}"/>
    <cellStyle name="Normal 2 2 2 2 2 2 12 5 10" xfId="10658" xr:uid="{00000000-0005-0000-0000-0000A2290000}"/>
    <cellStyle name="Normal 2 2 2 2 2 2 12 5 2" xfId="10659" xr:uid="{00000000-0005-0000-0000-0000A3290000}"/>
    <cellStyle name="Normal 2 2 2 2 2 2 12 5 3" xfId="10660" xr:uid="{00000000-0005-0000-0000-0000A4290000}"/>
    <cellStyle name="Normal 2 2 2 2 2 2 12 5 4" xfId="10661" xr:uid="{00000000-0005-0000-0000-0000A5290000}"/>
    <cellStyle name="Normal 2 2 2 2 2 2 12 5 5" xfId="10662" xr:uid="{00000000-0005-0000-0000-0000A6290000}"/>
    <cellStyle name="Normal 2 2 2 2 2 2 12 5 6" xfId="10663" xr:uid="{00000000-0005-0000-0000-0000A7290000}"/>
    <cellStyle name="Normal 2 2 2 2 2 2 12 5 7" xfId="10664" xr:uid="{00000000-0005-0000-0000-0000A8290000}"/>
    <cellStyle name="Normal 2 2 2 2 2 2 12 5 8" xfId="10665" xr:uid="{00000000-0005-0000-0000-0000A9290000}"/>
    <cellStyle name="Normal 2 2 2 2 2 2 12 5 9" xfId="10666" xr:uid="{00000000-0005-0000-0000-0000AA290000}"/>
    <cellStyle name="Normal 2 2 2 2 2 2 12 6" xfId="10667" xr:uid="{00000000-0005-0000-0000-0000AB290000}"/>
    <cellStyle name="Normal 2 2 2 2 2 2 12 7" xfId="10668" xr:uid="{00000000-0005-0000-0000-0000AC290000}"/>
    <cellStyle name="Normal 2 2 2 2 2 2 12 8" xfId="10669" xr:uid="{00000000-0005-0000-0000-0000AD290000}"/>
    <cellStyle name="Normal 2 2 2 2 2 2 12 9" xfId="10670" xr:uid="{00000000-0005-0000-0000-0000AE290000}"/>
    <cellStyle name="Normal 2 2 2 2 2 2 13" xfId="10671" xr:uid="{00000000-0005-0000-0000-0000AF290000}"/>
    <cellStyle name="Normal 2 2 2 2 2 2 13 10" xfId="10672" xr:uid="{00000000-0005-0000-0000-0000B0290000}"/>
    <cellStyle name="Normal 2 2 2 2 2 2 13 11" xfId="10673" xr:uid="{00000000-0005-0000-0000-0000B1290000}"/>
    <cellStyle name="Normal 2 2 2 2 2 2 13 12" xfId="10674" xr:uid="{00000000-0005-0000-0000-0000B2290000}"/>
    <cellStyle name="Normal 2 2 2 2 2 2 13 13" xfId="10675" xr:uid="{00000000-0005-0000-0000-0000B3290000}"/>
    <cellStyle name="Normal 2 2 2 2 2 2 13 14" xfId="10676" xr:uid="{00000000-0005-0000-0000-0000B4290000}"/>
    <cellStyle name="Normal 2 2 2 2 2 2 13 2" xfId="10677" xr:uid="{00000000-0005-0000-0000-0000B5290000}"/>
    <cellStyle name="Normal 2 2 2 2 2 2 13 2 10" xfId="10678" xr:uid="{00000000-0005-0000-0000-0000B6290000}"/>
    <cellStyle name="Normal 2 2 2 2 2 2 13 2 2" xfId="10679" xr:uid="{00000000-0005-0000-0000-0000B7290000}"/>
    <cellStyle name="Normal 2 2 2 2 2 2 13 2 3" xfId="10680" xr:uid="{00000000-0005-0000-0000-0000B8290000}"/>
    <cellStyle name="Normal 2 2 2 2 2 2 13 2 4" xfId="10681" xr:uid="{00000000-0005-0000-0000-0000B9290000}"/>
    <cellStyle name="Normal 2 2 2 2 2 2 13 2 5" xfId="10682" xr:uid="{00000000-0005-0000-0000-0000BA290000}"/>
    <cellStyle name="Normal 2 2 2 2 2 2 13 2 6" xfId="10683" xr:uid="{00000000-0005-0000-0000-0000BB290000}"/>
    <cellStyle name="Normal 2 2 2 2 2 2 13 2 7" xfId="10684" xr:uid="{00000000-0005-0000-0000-0000BC290000}"/>
    <cellStyle name="Normal 2 2 2 2 2 2 13 2 8" xfId="10685" xr:uid="{00000000-0005-0000-0000-0000BD290000}"/>
    <cellStyle name="Normal 2 2 2 2 2 2 13 2 9" xfId="10686" xr:uid="{00000000-0005-0000-0000-0000BE290000}"/>
    <cellStyle name="Normal 2 2 2 2 2 2 13 3" xfId="10687" xr:uid="{00000000-0005-0000-0000-0000BF290000}"/>
    <cellStyle name="Normal 2 2 2 2 2 2 13 3 10" xfId="10688" xr:uid="{00000000-0005-0000-0000-0000C0290000}"/>
    <cellStyle name="Normal 2 2 2 2 2 2 13 3 2" xfId="10689" xr:uid="{00000000-0005-0000-0000-0000C1290000}"/>
    <cellStyle name="Normal 2 2 2 2 2 2 13 3 3" xfId="10690" xr:uid="{00000000-0005-0000-0000-0000C2290000}"/>
    <cellStyle name="Normal 2 2 2 2 2 2 13 3 4" xfId="10691" xr:uid="{00000000-0005-0000-0000-0000C3290000}"/>
    <cellStyle name="Normal 2 2 2 2 2 2 13 3 5" xfId="10692" xr:uid="{00000000-0005-0000-0000-0000C4290000}"/>
    <cellStyle name="Normal 2 2 2 2 2 2 13 3 6" xfId="10693" xr:uid="{00000000-0005-0000-0000-0000C5290000}"/>
    <cellStyle name="Normal 2 2 2 2 2 2 13 3 7" xfId="10694" xr:uid="{00000000-0005-0000-0000-0000C6290000}"/>
    <cellStyle name="Normal 2 2 2 2 2 2 13 3 8" xfId="10695" xr:uid="{00000000-0005-0000-0000-0000C7290000}"/>
    <cellStyle name="Normal 2 2 2 2 2 2 13 3 9" xfId="10696" xr:uid="{00000000-0005-0000-0000-0000C8290000}"/>
    <cellStyle name="Normal 2 2 2 2 2 2 13 4" xfId="10697" xr:uid="{00000000-0005-0000-0000-0000C9290000}"/>
    <cellStyle name="Normal 2 2 2 2 2 2 13 4 10" xfId="10698" xr:uid="{00000000-0005-0000-0000-0000CA290000}"/>
    <cellStyle name="Normal 2 2 2 2 2 2 13 4 2" xfId="10699" xr:uid="{00000000-0005-0000-0000-0000CB290000}"/>
    <cellStyle name="Normal 2 2 2 2 2 2 13 4 3" xfId="10700" xr:uid="{00000000-0005-0000-0000-0000CC290000}"/>
    <cellStyle name="Normal 2 2 2 2 2 2 13 4 4" xfId="10701" xr:uid="{00000000-0005-0000-0000-0000CD290000}"/>
    <cellStyle name="Normal 2 2 2 2 2 2 13 4 5" xfId="10702" xr:uid="{00000000-0005-0000-0000-0000CE290000}"/>
    <cellStyle name="Normal 2 2 2 2 2 2 13 4 6" xfId="10703" xr:uid="{00000000-0005-0000-0000-0000CF290000}"/>
    <cellStyle name="Normal 2 2 2 2 2 2 13 4 7" xfId="10704" xr:uid="{00000000-0005-0000-0000-0000D0290000}"/>
    <cellStyle name="Normal 2 2 2 2 2 2 13 4 8" xfId="10705" xr:uid="{00000000-0005-0000-0000-0000D1290000}"/>
    <cellStyle name="Normal 2 2 2 2 2 2 13 4 9" xfId="10706" xr:uid="{00000000-0005-0000-0000-0000D2290000}"/>
    <cellStyle name="Normal 2 2 2 2 2 2 13 5" xfId="10707" xr:uid="{00000000-0005-0000-0000-0000D3290000}"/>
    <cellStyle name="Normal 2 2 2 2 2 2 13 5 10" xfId="10708" xr:uid="{00000000-0005-0000-0000-0000D4290000}"/>
    <cellStyle name="Normal 2 2 2 2 2 2 13 5 2" xfId="10709" xr:uid="{00000000-0005-0000-0000-0000D5290000}"/>
    <cellStyle name="Normal 2 2 2 2 2 2 13 5 3" xfId="10710" xr:uid="{00000000-0005-0000-0000-0000D6290000}"/>
    <cellStyle name="Normal 2 2 2 2 2 2 13 5 4" xfId="10711" xr:uid="{00000000-0005-0000-0000-0000D7290000}"/>
    <cellStyle name="Normal 2 2 2 2 2 2 13 5 5" xfId="10712" xr:uid="{00000000-0005-0000-0000-0000D8290000}"/>
    <cellStyle name="Normal 2 2 2 2 2 2 13 5 6" xfId="10713" xr:uid="{00000000-0005-0000-0000-0000D9290000}"/>
    <cellStyle name="Normal 2 2 2 2 2 2 13 5 7" xfId="10714" xr:uid="{00000000-0005-0000-0000-0000DA290000}"/>
    <cellStyle name="Normal 2 2 2 2 2 2 13 5 8" xfId="10715" xr:uid="{00000000-0005-0000-0000-0000DB290000}"/>
    <cellStyle name="Normal 2 2 2 2 2 2 13 5 9" xfId="10716" xr:uid="{00000000-0005-0000-0000-0000DC290000}"/>
    <cellStyle name="Normal 2 2 2 2 2 2 13 6" xfId="10717" xr:uid="{00000000-0005-0000-0000-0000DD290000}"/>
    <cellStyle name="Normal 2 2 2 2 2 2 13 7" xfId="10718" xr:uid="{00000000-0005-0000-0000-0000DE290000}"/>
    <cellStyle name="Normal 2 2 2 2 2 2 13 8" xfId="10719" xr:uid="{00000000-0005-0000-0000-0000DF290000}"/>
    <cellStyle name="Normal 2 2 2 2 2 2 13 9" xfId="10720" xr:uid="{00000000-0005-0000-0000-0000E0290000}"/>
    <cellStyle name="Normal 2 2 2 2 2 2 14" xfId="10721" xr:uid="{00000000-0005-0000-0000-0000E1290000}"/>
    <cellStyle name="Normal 2 2 2 2 2 2 14 10" xfId="10722" xr:uid="{00000000-0005-0000-0000-0000E2290000}"/>
    <cellStyle name="Normal 2 2 2 2 2 2 14 11" xfId="10723" xr:uid="{00000000-0005-0000-0000-0000E3290000}"/>
    <cellStyle name="Normal 2 2 2 2 2 2 14 12" xfId="10724" xr:uid="{00000000-0005-0000-0000-0000E4290000}"/>
    <cellStyle name="Normal 2 2 2 2 2 2 14 13" xfId="10725" xr:uid="{00000000-0005-0000-0000-0000E5290000}"/>
    <cellStyle name="Normal 2 2 2 2 2 2 14 14" xfId="10726" xr:uid="{00000000-0005-0000-0000-0000E6290000}"/>
    <cellStyle name="Normal 2 2 2 2 2 2 14 2" xfId="10727" xr:uid="{00000000-0005-0000-0000-0000E7290000}"/>
    <cellStyle name="Normal 2 2 2 2 2 2 14 2 10" xfId="10728" xr:uid="{00000000-0005-0000-0000-0000E8290000}"/>
    <cellStyle name="Normal 2 2 2 2 2 2 14 2 2" xfId="10729" xr:uid="{00000000-0005-0000-0000-0000E9290000}"/>
    <cellStyle name="Normal 2 2 2 2 2 2 14 2 3" xfId="10730" xr:uid="{00000000-0005-0000-0000-0000EA290000}"/>
    <cellStyle name="Normal 2 2 2 2 2 2 14 2 4" xfId="10731" xr:uid="{00000000-0005-0000-0000-0000EB290000}"/>
    <cellStyle name="Normal 2 2 2 2 2 2 14 2 5" xfId="10732" xr:uid="{00000000-0005-0000-0000-0000EC290000}"/>
    <cellStyle name="Normal 2 2 2 2 2 2 14 2 6" xfId="10733" xr:uid="{00000000-0005-0000-0000-0000ED290000}"/>
    <cellStyle name="Normal 2 2 2 2 2 2 14 2 7" xfId="10734" xr:uid="{00000000-0005-0000-0000-0000EE290000}"/>
    <cellStyle name="Normal 2 2 2 2 2 2 14 2 8" xfId="10735" xr:uid="{00000000-0005-0000-0000-0000EF290000}"/>
    <cellStyle name="Normal 2 2 2 2 2 2 14 2 9" xfId="10736" xr:uid="{00000000-0005-0000-0000-0000F0290000}"/>
    <cellStyle name="Normal 2 2 2 2 2 2 14 3" xfId="10737" xr:uid="{00000000-0005-0000-0000-0000F1290000}"/>
    <cellStyle name="Normal 2 2 2 2 2 2 14 3 10" xfId="10738" xr:uid="{00000000-0005-0000-0000-0000F2290000}"/>
    <cellStyle name="Normal 2 2 2 2 2 2 14 3 2" xfId="10739" xr:uid="{00000000-0005-0000-0000-0000F3290000}"/>
    <cellStyle name="Normal 2 2 2 2 2 2 14 3 3" xfId="10740" xr:uid="{00000000-0005-0000-0000-0000F4290000}"/>
    <cellStyle name="Normal 2 2 2 2 2 2 14 3 4" xfId="10741" xr:uid="{00000000-0005-0000-0000-0000F5290000}"/>
    <cellStyle name="Normal 2 2 2 2 2 2 14 3 5" xfId="10742" xr:uid="{00000000-0005-0000-0000-0000F6290000}"/>
    <cellStyle name="Normal 2 2 2 2 2 2 14 3 6" xfId="10743" xr:uid="{00000000-0005-0000-0000-0000F7290000}"/>
    <cellStyle name="Normal 2 2 2 2 2 2 14 3 7" xfId="10744" xr:uid="{00000000-0005-0000-0000-0000F8290000}"/>
    <cellStyle name="Normal 2 2 2 2 2 2 14 3 8" xfId="10745" xr:uid="{00000000-0005-0000-0000-0000F9290000}"/>
    <cellStyle name="Normal 2 2 2 2 2 2 14 3 9" xfId="10746" xr:uid="{00000000-0005-0000-0000-0000FA290000}"/>
    <cellStyle name="Normal 2 2 2 2 2 2 14 4" xfId="10747" xr:uid="{00000000-0005-0000-0000-0000FB290000}"/>
    <cellStyle name="Normal 2 2 2 2 2 2 14 4 10" xfId="10748" xr:uid="{00000000-0005-0000-0000-0000FC290000}"/>
    <cellStyle name="Normal 2 2 2 2 2 2 14 4 2" xfId="10749" xr:uid="{00000000-0005-0000-0000-0000FD290000}"/>
    <cellStyle name="Normal 2 2 2 2 2 2 14 4 3" xfId="10750" xr:uid="{00000000-0005-0000-0000-0000FE290000}"/>
    <cellStyle name="Normal 2 2 2 2 2 2 14 4 4" xfId="10751" xr:uid="{00000000-0005-0000-0000-0000FF290000}"/>
    <cellStyle name="Normal 2 2 2 2 2 2 14 4 5" xfId="10752" xr:uid="{00000000-0005-0000-0000-0000002A0000}"/>
    <cellStyle name="Normal 2 2 2 2 2 2 14 4 6" xfId="10753" xr:uid="{00000000-0005-0000-0000-0000012A0000}"/>
    <cellStyle name="Normal 2 2 2 2 2 2 14 4 7" xfId="10754" xr:uid="{00000000-0005-0000-0000-0000022A0000}"/>
    <cellStyle name="Normal 2 2 2 2 2 2 14 4 8" xfId="10755" xr:uid="{00000000-0005-0000-0000-0000032A0000}"/>
    <cellStyle name="Normal 2 2 2 2 2 2 14 4 9" xfId="10756" xr:uid="{00000000-0005-0000-0000-0000042A0000}"/>
    <cellStyle name="Normal 2 2 2 2 2 2 14 5" xfId="10757" xr:uid="{00000000-0005-0000-0000-0000052A0000}"/>
    <cellStyle name="Normal 2 2 2 2 2 2 14 5 10" xfId="10758" xr:uid="{00000000-0005-0000-0000-0000062A0000}"/>
    <cellStyle name="Normal 2 2 2 2 2 2 14 5 2" xfId="10759" xr:uid="{00000000-0005-0000-0000-0000072A0000}"/>
    <cellStyle name="Normal 2 2 2 2 2 2 14 5 3" xfId="10760" xr:uid="{00000000-0005-0000-0000-0000082A0000}"/>
    <cellStyle name="Normal 2 2 2 2 2 2 14 5 4" xfId="10761" xr:uid="{00000000-0005-0000-0000-0000092A0000}"/>
    <cellStyle name="Normal 2 2 2 2 2 2 14 5 5" xfId="10762" xr:uid="{00000000-0005-0000-0000-00000A2A0000}"/>
    <cellStyle name="Normal 2 2 2 2 2 2 14 5 6" xfId="10763" xr:uid="{00000000-0005-0000-0000-00000B2A0000}"/>
    <cellStyle name="Normal 2 2 2 2 2 2 14 5 7" xfId="10764" xr:uid="{00000000-0005-0000-0000-00000C2A0000}"/>
    <cellStyle name="Normal 2 2 2 2 2 2 14 5 8" xfId="10765" xr:uid="{00000000-0005-0000-0000-00000D2A0000}"/>
    <cellStyle name="Normal 2 2 2 2 2 2 14 5 9" xfId="10766" xr:uid="{00000000-0005-0000-0000-00000E2A0000}"/>
    <cellStyle name="Normal 2 2 2 2 2 2 14 6" xfId="10767" xr:uid="{00000000-0005-0000-0000-00000F2A0000}"/>
    <cellStyle name="Normal 2 2 2 2 2 2 14 7" xfId="10768" xr:uid="{00000000-0005-0000-0000-0000102A0000}"/>
    <cellStyle name="Normal 2 2 2 2 2 2 14 8" xfId="10769" xr:uid="{00000000-0005-0000-0000-0000112A0000}"/>
    <cellStyle name="Normal 2 2 2 2 2 2 14 9" xfId="10770" xr:uid="{00000000-0005-0000-0000-0000122A0000}"/>
    <cellStyle name="Normal 2 2 2 2 2 2 15" xfId="10771" xr:uid="{00000000-0005-0000-0000-0000132A0000}"/>
    <cellStyle name="Normal 2 2 2 2 2 2 15 10" xfId="10772" xr:uid="{00000000-0005-0000-0000-0000142A0000}"/>
    <cellStyle name="Normal 2 2 2 2 2 2 15 11" xfId="10773" xr:uid="{00000000-0005-0000-0000-0000152A0000}"/>
    <cellStyle name="Normal 2 2 2 2 2 2 15 12" xfId="10774" xr:uid="{00000000-0005-0000-0000-0000162A0000}"/>
    <cellStyle name="Normal 2 2 2 2 2 2 15 13" xfId="10775" xr:uid="{00000000-0005-0000-0000-0000172A0000}"/>
    <cellStyle name="Normal 2 2 2 2 2 2 15 14" xfId="10776" xr:uid="{00000000-0005-0000-0000-0000182A0000}"/>
    <cellStyle name="Normal 2 2 2 2 2 2 15 2" xfId="10777" xr:uid="{00000000-0005-0000-0000-0000192A0000}"/>
    <cellStyle name="Normal 2 2 2 2 2 2 15 2 10" xfId="10778" xr:uid="{00000000-0005-0000-0000-00001A2A0000}"/>
    <cellStyle name="Normal 2 2 2 2 2 2 15 2 2" xfId="10779" xr:uid="{00000000-0005-0000-0000-00001B2A0000}"/>
    <cellStyle name="Normal 2 2 2 2 2 2 15 2 3" xfId="10780" xr:uid="{00000000-0005-0000-0000-00001C2A0000}"/>
    <cellStyle name="Normal 2 2 2 2 2 2 15 2 4" xfId="10781" xr:uid="{00000000-0005-0000-0000-00001D2A0000}"/>
    <cellStyle name="Normal 2 2 2 2 2 2 15 2 5" xfId="10782" xr:uid="{00000000-0005-0000-0000-00001E2A0000}"/>
    <cellStyle name="Normal 2 2 2 2 2 2 15 2 6" xfId="10783" xr:uid="{00000000-0005-0000-0000-00001F2A0000}"/>
    <cellStyle name="Normal 2 2 2 2 2 2 15 2 7" xfId="10784" xr:uid="{00000000-0005-0000-0000-0000202A0000}"/>
    <cellStyle name="Normal 2 2 2 2 2 2 15 2 8" xfId="10785" xr:uid="{00000000-0005-0000-0000-0000212A0000}"/>
    <cellStyle name="Normal 2 2 2 2 2 2 15 2 9" xfId="10786" xr:uid="{00000000-0005-0000-0000-0000222A0000}"/>
    <cellStyle name="Normal 2 2 2 2 2 2 15 3" xfId="10787" xr:uid="{00000000-0005-0000-0000-0000232A0000}"/>
    <cellStyle name="Normal 2 2 2 2 2 2 15 3 10" xfId="10788" xr:uid="{00000000-0005-0000-0000-0000242A0000}"/>
    <cellStyle name="Normal 2 2 2 2 2 2 15 3 2" xfId="10789" xr:uid="{00000000-0005-0000-0000-0000252A0000}"/>
    <cellStyle name="Normal 2 2 2 2 2 2 15 3 3" xfId="10790" xr:uid="{00000000-0005-0000-0000-0000262A0000}"/>
    <cellStyle name="Normal 2 2 2 2 2 2 15 3 4" xfId="10791" xr:uid="{00000000-0005-0000-0000-0000272A0000}"/>
    <cellStyle name="Normal 2 2 2 2 2 2 15 3 5" xfId="10792" xr:uid="{00000000-0005-0000-0000-0000282A0000}"/>
    <cellStyle name="Normal 2 2 2 2 2 2 15 3 6" xfId="10793" xr:uid="{00000000-0005-0000-0000-0000292A0000}"/>
    <cellStyle name="Normal 2 2 2 2 2 2 15 3 7" xfId="10794" xr:uid="{00000000-0005-0000-0000-00002A2A0000}"/>
    <cellStyle name="Normal 2 2 2 2 2 2 15 3 8" xfId="10795" xr:uid="{00000000-0005-0000-0000-00002B2A0000}"/>
    <cellStyle name="Normal 2 2 2 2 2 2 15 3 9" xfId="10796" xr:uid="{00000000-0005-0000-0000-00002C2A0000}"/>
    <cellStyle name="Normal 2 2 2 2 2 2 15 4" xfId="10797" xr:uid="{00000000-0005-0000-0000-00002D2A0000}"/>
    <cellStyle name="Normal 2 2 2 2 2 2 15 4 10" xfId="10798" xr:uid="{00000000-0005-0000-0000-00002E2A0000}"/>
    <cellStyle name="Normal 2 2 2 2 2 2 15 4 2" xfId="10799" xr:uid="{00000000-0005-0000-0000-00002F2A0000}"/>
    <cellStyle name="Normal 2 2 2 2 2 2 15 4 3" xfId="10800" xr:uid="{00000000-0005-0000-0000-0000302A0000}"/>
    <cellStyle name="Normal 2 2 2 2 2 2 15 4 4" xfId="10801" xr:uid="{00000000-0005-0000-0000-0000312A0000}"/>
    <cellStyle name="Normal 2 2 2 2 2 2 15 4 5" xfId="10802" xr:uid="{00000000-0005-0000-0000-0000322A0000}"/>
    <cellStyle name="Normal 2 2 2 2 2 2 15 4 6" xfId="10803" xr:uid="{00000000-0005-0000-0000-0000332A0000}"/>
    <cellStyle name="Normal 2 2 2 2 2 2 15 4 7" xfId="10804" xr:uid="{00000000-0005-0000-0000-0000342A0000}"/>
    <cellStyle name="Normal 2 2 2 2 2 2 15 4 8" xfId="10805" xr:uid="{00000000-0005-0000-0000-0000352A0000}"/>
    <cellStyle name="Normal 2 2 2 2 2 2 15 4 9" xfId="10806" xr:uid="{00000000-0005-0000-0000-0000362A0000}"/>
    <cellStyle name="Normal 2 2 2 2 2 2 15 5" xfId="10807" xr:uid="{00000000-0005-0000-0000-0000372A0000}"/>
    <cellStyle name="Normal 2 2 2 2 2 2 15 5 10" xfId="10808" xr:uid="{00000000-0005-0000-0000-0000382A0000}"/>
    <cellStyle name="Normal 2 2 2 2 2 2 15 5 2" xfId="10809" xr:uid="{00000000-0005-0000-0000-0000392A0000}"/>
    <cellStyle name="Normal 2 2 2 2 2 2 15 5 3" xfId="10810" xr:uid="{00000000-0005-0000-0000-00003A2A0000}"/>
    <cellStyle name="Normal 2 2 2 2 2 2 15 5 4" xfId="10811" xr:uid="{00000000-0005-0000-0000-00003B2A0000}"/>
    <cellStyle name="Normal 2 2 2 2 2 2 15 5 5" xfId="10812" xr:uid="{00000000-0005-0000-0000-00003C2A0000}"/>
    <cellStyle name="Normal 2 2 2 2 2 2 15 5 6" xfId="10813" xr:uid="{00000000-0005-0000-0000-00003D2A0000}"/>
    <cellStyle name="Normal 2 2 2 2 2 2 15 5 7" xfId="10814" xr:uid="{00000000-0005-0000-0000-00003E2A0000}"/>
    <cellStyle name="Normal 2 2 2 2 2 2 15 5 8" xfId="10815" xr:uid="{00000000-0005-0000-0000-00003F2A0000}"/>
    <cellStyle name="Normal 2 2 2 2 2 2 15 5 9" xfId="10816" xr:uid="{00000000-0005-0000-0000-0000402A0000}"/>
    <cellStyle name="Normal 2 2 2 2 2 2 15 6" xfId="10817" xr:uid="{00000000-0005-0000-0000-0000412A0000}"/>
    <cellStyle name="Normal 2 2 2 2 2 2 15 7" xfId="10818" xr:uid="{00000000-0005-0000-0000-0000422A0000}"/>
    <cellStyle name="Normal 2 2 2 2 2 2 15 8" xfId="10819" xr:uid="{00000000-0005-0000-0000-0000432A0000}"/>
    <cellStyle name="Normal 2 2 2 2 2 2 15 9" xfId="10820" xr:uid="{00000000-0005-0000-0000-0000442A0000}"/>
    <cellStyle name="Normal 2 2 2 2 2 2 16" xfId="10821" xr:uid="{00000000-0005-0000-0000-0000452A0000}"/>
    <cellStyle name="Normal 2 2 2 2 2 2 16 10" xfId="10822" xr:uid="{00000000-0005-0000-0000-0000462A0000}"/>
    <cellStyle name="Normal 2 2 2 2 2 2 16 11" xfId="10823" xr:uid="{00000000-0005-0000-0000-0000472A0000}"/>
    <cellStyle name="Normal 2 2 2 2 2 2 16 12" xfId="10824" xr:uid="{00000000-0005-0000-0000-0000482A0000}"/>
    <cellStyle name="Normal 2 2 2 2 2 2 16 13" xfId="10825" xr:uid="{00000000-0005-0000-0000-0000492A0000}"/>
    <cellStyle name="Normal 2 2 2 2 2 2 16 14" xfId="10826" xr:uid="{00000000-0005-0000-0000-00004A2A0000}"/>
    <cellStyle name="Normal 2 2 2 2 2 2 16 2" xfId="10827" xr:uid="{00000000-0005-0000-0000-00004B2A0000}"/>
    <cellStyle name="Normal 2 2 2 2 2 2 16 2 10" xfId="10828" xr:uid="{00000000-0005-0000-0000-00004C2A0000}"/>
    <cellStyle name="Normal 2 2 2 2 2 2 16 2 2" xfId="10829" xr:uid="{00000000-0005-0000-0000-00004D2A0000}"/>
    <cellStyle name="Normal 2 2 2 2 2 2 16 2 3" xfId="10830" xr:uid="{00000000-0005-0000-0000-00004E2A0000}"/>
    <cellStyle name="Normal 2 2 2 2 2 2 16 2 4" xfId="10831" xr:uid="{00000000-0005-0000-0000-00004F2A0000}"/>
    <cellStyle name="Normal 2 2 2 2 2 2 16 2 5" xfId="10832" xr:uid="{00000000-0005-0000-0000-0000502A0000}"/>
    <cellStyle name="Normal 2 2 2 2 2 2 16 2 6" xfId="10833" xr:uid="{00000000-0005-0000-0000-0000512A0000}"/>
    <cellStyle name="Normal 2 2 2 2 2 2 16 2 7" xfId="10834" xr:uid="{00000000-0005-0000-0000-0000522A0000}"/>
    <cellStyle name="Normal 2 2 2 2 2 2 16 2 8" xfId="10835" xr:uid="{00000000-0005-0000-0000-0000532A0000}"/>
    <cellStyle name="Normal 2 2 2 2 2 2 16 2 9" xfId="10836" xr:uid="{00000000-0005-0000-0000-0000542A0000}"/>
    <cellStyle name="Normal 2 2 2 2 2 2 16 3" xfId="10837" xr:uid="{00000000-0005-0000-0000-0000552A0000}"/>
    <cellStyle name="Normal 2 2 2 2 2 2 16 3 10" xfId="10838" xr:uid="{00000000-0005-0000-0000-0000562A0000}"/>
    <cellStyle name="Normal 2 2 2 2 2 2 16 3 2" xfId="10839" xr:uid="{00000000-0005-0000-0000-0000572A0000}"/>
    <cellStyle name="Normal 2 2 2 2 2 2 16 3 3" xfId="10840" xr:uid="{00000000-0005-0000-0000-0000582A0000}"/>
    <cellStyle name="Normal 2 2 2 2 2 2 16 3 4" xfId="10841" xr:uid="{00000000-0005-0000-0000-0000592A0000}"/>
    <cellStyle name="Normal 2 2 2 2 2 2 16 3 5" xfId="10842" xr:uid="{00000000-0005-0000-0000-00005A2A0000}"/>
    <cellStyle name="Normal 2 2 2 2 2 2 16 3 6" xfId="10843" xr:uid="{00000000-0005-0000-0000-00005B2A0000}"/>
    <cellStyle name="Normal 2 2 2 2 2 2 16 3 7" xfId="10844" xr:uid="{00000000-0005-0000-0000-00005C2A0000}"/>
    <cellStyle name="Normal 2 2 2 2 2 2 16 3 8" xfId="10845" xr:uid="{00000000-0005-0000-0000-00005D2A0000}"/>
    <cellStyle name="Normal 2 2 2 2 2 2 16 3 9" xfId="10846" xr:uid="{00000000-0005-0000-0000-00005E2A0000}"/>
    <cellStyle name="Normal 2 2 2 2 2 2 16 4" xfId="10847" xr:uid="{00000000-0005-0000-0000-00005F2A0000}"/>
    <cellStyle name="Normal 2 2 2 2 2 2 16 4 10" xfId="10848" xr:uid="{00000000-0005-0000-0000-0000602A0000}"/>
    <cellStyle name="Normal 2 2 2 2 2 2 16 4 2" xfId="10849" xr:uid="{00000000-0005-0000-0000-0000612A0000}"/>
    <cellStyle name="Normal 2 2 2 2 2 2 16 4 3" xfId="10850" xr:uid="{00000000-0005-0000-0000-0000622A0000}"/>
    <cellStyle name="Normal 2 2 2 2 2 2 16 4 4" xfId="10851" xr:uid="{00000000-0005-0000-0000-0000632A0000}"/>
    <cellStyle name="Normal 2 2 2 2 2 2 16 4 5" xfId="10852" xr:uid="{00000000-0005-0000-0000-0000642A0000}"/>
    <cellStyle name="Normal 2 2 2 2 2 2 16 4 6" xfId="10853" xr:uid="{00000000-0005-0000-0000-0000652A0000}"/>
    <cellStyle name="Normal 2 2 2 2 2 2 16 4 7" xfId="10854" xr:uid="{00000000-0005-0000-0000-0000662A0000}"/>
    <cellStyle name="Normal 2 2 2 2 2 2 16 4 8" xfId="10855" xr:uid="{00000000-0005-0000-0000-0000672A0000}"/>
    <cellStyle name="Normal 2 2 2 2 2 2 16 4 9" xfId="10856" xr:uid="{00000000-0005-0000-0000-0000682A0000}"/>
    <cellStyle name="Normal 2 2 2 2 2 2 16 5" xfId="10857" xr:uid="{00000000-0005-0000-0000-0000692A0000}"/>
    <cellStyle name="Normal 2 2 2 2 2 2 16 5 10" xfId="10858" xr:uid="{00000000-0005-0000-0000-00006A2A0000}"/>
    <cellStyle name="Normal 2 2 2 2 2 2 16 5 2" xfId="10859" xr:uid="{00000000-0005-0000-0000-00006B2A0000}"/>
    <cellStyle name="Normal 2 2 2 2 2 2 16 5 3" xfId="10860" xr:uid="{00000000-0005-0000-0000-00006C2A0000}"/>
    <cellStyle name="Normal 2 2 2 2 2 2 16 5 4" xfId="10861" xr:uid="{00000000-0005-0000-0000-00006D2A0000}"/>
    <cellStyle name="Normal 2 2 2 2 2 2 16 5 5" xfId="10862" xr:uid="{00000000-0005-0000-0000-00006E2A0000}"/>
    <cellStyle name="Normal 2 2 2 2 2 2 16 5 6" xfId="10863" xr:uid="{00000000-0005-0000-0000-00006F2A0000}"/>
    <cellStyle name="Normal 2 2 2 2 2 2 16 5 7" xfId="10864" xr:uid="{00000000-0005-0000-0000-0000702A0000}"/>
    <cellStyle name="Normal 2 2 2 2 2 2 16 5 8" xfId="10865" xr:uid="{00000000-0005-0000-0000-0000712A0000}"/>
    <cellStyle name="Normal 2 2 2 2 2 2 16 5 9" xfId="10866" xr:uid="{00000000-0005-0000-0000-0000722A0000}"/>
    <cellStyle name="Normal 2 2 2 2 2 2 16 6" xfId="10867" xr:uid="{00000000-0005-0000-0000-0000732A0000}"/>
    <cellStyle name="Normal 2 2 2 2 2 2 16 7" xfId="10868" xr:uid="{00000000-0005-0000-0000-0000742A0000}"/>
    <cellStyle name="Normal 2 2 2 2 2 2 16 8" xfId="10869" xr:uid="{00000000-0005-0000-0000-0000752A0000}"/>
    <cellStyle name="Normal 2 2 2 2 2 2 16 9" xfId="10870" xr:uid="{00000000-0005-0000-0000-0000762A0000}"/>
    <cellStyle name="Normal 2 2 2 2 2 2 17" xfId="10871" xr:uid="{00000000-0005-0000-0000-0000772A0000}"/>
    <cellStyle name="Normal 2 2 2 2 2 2 17 10" xfId="10872" xr:uid="{00000000-0005-0000-0000-0000782A0000}"/>
    <cellStyle name="Normal 2 2 2 2 2 2 17 11" xfId="10873" xr:uid="{00000000-0005-0000-0000-0000792A0000}"/>
    <cellStyle name="Normal 2 2 2 2 2 2 17 12" xfId="10874" xr:uid="{00000000-0005-0000-0000-00007A2A0000}"/>
    <cellStyle name="Normal 2 2 2 2 2 2 17 13" xfId="10875" xr:uid="{00000000-0005-0000-0000-00007B2A0000}"/>
    <cellStyle name="Normal 2 2 2 2 2 2 17 14" xfId="10876" xr:uid="{00000000-0005-0000-0000-00007C2A0000}"/>
    <cellStyle name="Normal 2 2 2 2 2 2 17 2" xfId="10877" xr:uid="{00000000-0005-0000-0000-00007D2A0000}"/>
    <cellStyle name="Normal 2 2 2 2 2 2 17 2 10" xfId="10878" xr:uid="{00000000-0005-0000-0000-00007E2A0000}"/>
    <cellStyle name="Normal 2 2 2 2 2 2 17 2 2" xfId="10879" xr:uid="{00000000-0005-0000-0000-00007F2A0000}"/>
    <cellStyle name="Normal 2 2 2 2 2 2 17 2 3" xfId="10880" xr:uid="{00000000-0005-0000-0000-0000802A0000}"/>
    <cellStyle name="Normal 2 2 2 2 2 2 17 2 4" xfId="10881" xr:uid="{00000000-0005-0000-0000-0000812A0000}"/>
    <cellStyle name="Normal 2 2 2 2 2 2 17 2 5" xfId="10882" xr:uid="{00000000-0005-0000-0000-0000822A0000}"/>
    <cellStyle name="Normal 2 2 2 2 2 2 17 2 6" xfId="10883" xr:uid="{00000000-0005-0000-0000-0000832A0000}"/>
    <cellStyle name="Normal 2 2 2 2 2 2 17 2 7" xfId="10884" xr:uid="{00000000-0005-0000-0000-0000842A0000}"/>
    <cellStyle name="Normal 2 2 2 2 2 2 17 2 8" xfId="10885" xr:uid="{00000000-0005-0000-0000-0000852A0000}"/>
    <cellStyle name="Normal 2 2 2 2 2 2 17 2 9" xfId="10886" xr:uid="{00000000-0005-0000-0000-0000862A0000}"/>
    <cellStyle name="Normal 2 2 2 2 2 2 17 3" xfId="10887" xr:uid="{00000000-0005-0000-0000-0000872A0000}"/>
    <cellStyle name="Normal 2 2 2 2 2 2 17 3 10" xfId="10888" xr:uid="{00000000-0005-0000-0000-0000882A0000}"/>
    <cellStyle name="Normal 2 2 2 2 2 2 17 3 2" xfId="10889" xr:uid="{00000000-0005-0000-0000-0000892A0000}"/>
    <cellStyle name="Normal 2 2 2 2 2 2 17 3 3" xfId="10890" xr:uid="{00000000-0005-0000-0000-00008A2A0000}"/>
    <cellStyle name="Normal 2 2 2 2 2 2 17 3 4" xfId="10891" xr:uid="{00000000-0005-0000-0000-00008B2A0000}"/>
    <cellStyle name="Normal 2 2 2 2 2 2 17 3 5" xfId="10892" xr:uid="{00000000-0005-0000-0000-00008C2A0000}"/>
    <cellStyle name="Normal 2 2 2 2 2 2 17 3 6" xfId="10893" xr:uid="{00000000-0005-0000-0000-00008D2A0000}"/>
    <cellStyle name="Normal 2 2 2 2 2 2 17 3 7" xfId="10894" xr:uid="{00000000-0005-0000-0000-00008E2A0000}"/>
    <cellStyle name="Normal 2 2 2 2 2 2 17 3 8" xfId="10895" xr:uid="{00000000-0005-0000-0000-00008F2A0000}"/>
    <cellStyle name="Normal 2 2 2 2 2 2 17 3 9" xfId="10896" xr:uid="{00000000-0005-0000-0000-0000902A0000}"/>
    <cellStyle name="Normal 2 2 2 2 2 2 17 4" xfId="10897" xr:uid="{00000000-0005-0000-0000-0000912A0000}"/>
    <cellStyle name="Normal 2 2 2 2 2 2 17 4 10" xfId="10898" xr:uid="{00000000-0005-0000-0000-0000922A0000}"/>
    <cellStyle name="Normal 2 2 2 2 2 2 17 4 2" xfId="10899" xr:uid="{00000000-0005-0000-0000-0000932A0000}"/>
    <cellStyle name="Normal 2 2 2 2 2 2 17 4 3" xfId="10900" xr:uid="{00000000-0005-0000-0000-0000942A0000}"/>
    <cellStyle name="Normal 2 2 2 2 2 2 17 4 4" xfId="10901" xr:uid="{00000000-0005-0000-0000-0000952A0000}"/>
    <cellStyle name="Normal 2 2 2 2 2 2 17 4 5" xfId="10902" xr:uid="{00000000-0005-0000-0000-0000962A0000}"/>
    <cellStyle name="Normal 2 2 2 2 2 2 17 4 6" xfId="10903" xr:uid="{00000000-0005-0000-0000-0000972A0000}"/>
    <cellStyle name="Normal 2 2 2 2 2 2 17 4 7" xfId="10904" xr:uid="{00000000-0005-0000-0000-0000982A0000}"/>
    <cellStyle name="Normal 2 2 2 2 2 2 17 4 8" xfId="10905" xr:uid="{00000000-0005-0000-0000-0000992A0000}"/>
    <cellStyle name="Normal 2 2 2 2 2 2 17 4 9" xfId="10906" xr:uid="{00000000-0005-0000-0000-00009A2A0000}"/>
    <cellStyle name="Normal 2 2 2 2 2 2 17 5" xfId="10907" xr:uid="{00000000-0005-0000-0000-00009B2A0000}"/>
    <cellStyle name="Normal 2 2 2 2 2 2 17 5 10" xfId="10908" xr:uid="{00000000-0005-0000-0000-00009C2A0000}"/>
    <cellStyle name="Normal 2 2 2 2 2 2 17 5 2" xfId="10909" xr:uid="{00000000-0005-0000-0000-00009D2A0000}"/>
    <cellStyle name="Normal 2 2 2 2 2 2 17 5 3" xfId="10910" xr:uid="{00000000-0005-0000-0000-00009E2A0000}"/>
    <cellStyle name="Normal 2 2 2 2 2 2 17 5 4" xfId="10911" xr:uid="{00000000-0005-0000-0000-00009F2A0000}"/>
    <cellStyle name="Normal 2 2 2 2 2 2 17 5 5" xfId="10912" xr:uid="{00000000-0005-0000-0000-0000A02A0000}"/>
    <cellStyle name="Normal 2 2 2 2 2 2 17 5 6" xfId="10913" xr:uid="{00000000-0005-0000-0000-0000A12A0000}"/>
    <cellStyle name="Normal 2 2 2 2 2 2 17 5 7" xfId="10914" xr:uid="{00000000-0005-0000-0000-0000A22A0000}"/>
    <cellStyle name="Normal 2 2 2 2 2 2 17 5 8" xfId="10915" xr:uid="{00000000-0005-0000-0000-0000A32A0000}"/>
    <cellStyle name="Normal 2 2 2 2 2 2 17 5 9" xfId="10916" xr:uid="{00000000-0005-0000-0000-0000A42A0000}"/>
    <cellStyle name="Normal 2 2 2 2 2 2 17 6" xfId="10917" xr:uid="{00000000-0005-0000-0000-0000A52A0000}"/>
    <cellStyle name="Normal 2 2 2 2 2 2 17 7" xfId="10918" xr:uid="{00000000-0005-0000-0000-0000A62A0000}"/>
    <cellStyle name="Normal 2 2 2 2 2 2 17 8" xfId="10919" xr:uid="{00000000-0005-0000-0000-0000A72A0000}"/>
    <cellStyle name="Normal 2 2 2 2 2 2 17 9" xfId="10920" xr:uid="{00000000-0005-0000-0000-0000A82A0000}"/>
    <cellStyle name="Normal 2 2 2 2 2 2 18" xfId="10921" xr:uid="{00000000-0005-0000-0000-0000A92A0000}"/>
    <cellStyle name="Normal 2 2 2 2 2 2 18 10" xfId="10922" xr:uid="{00000000-0005-0000-0000-0000AA2A0000}"/>
    <cellStyle name="Normal 2 2 2 2 2 2 18 11" xfId="10923" xr:uid="{00000000-0005-0000-0000-0000AB2A0000}"/>
    <cellStyle name="Normal 2 2 2 2 2 2 18 12" xfId="10924" xr:uid="{00000000-0005-0000-0000-0000AC2A0000}"/>
    <cellStyle name="Normal 2 2 2 2 2 2 18 13" xfId="10925" xr:uid="{00000000-0005-0000-0000-0000AD2A0000}"/>
    <cellStyle name="Normal 2 2 2 2 2 2 18 14" xfId="10926" xr:uid="{00000000-0005-0000-0000-0000AE2A0000}"/>
    <cellStyle name="Normal 2 2 2 2 2 2 18 2" xfId="10927" xr:uid="{00000000-0005-0000-0000-0000AF2A0000}"/>
    <cellStyle name="Normal 2 2 2 2 2 2 18 2 10" xfId="10928" xr:uid="{00000000-0005-0000-0000-0000B02A0000}"/>
    <cellStyle name="Normal 2 2 2 2 2 2 18 2 2" xfId="10929" xr:uid="{00000000-0005-0000-0000-0000B12A0000}"/>
    <cellStyle name="Normal 2 2 2 2 2 2 18 2 3" xfId="10930" xr:uid="{00000000-0005-0000-0000-0000B22A0000}"/>
    <cellStyle name="Normal 2 2 2 2 2 2 18 2 4" xfId="10931" xr:uid="{00000000-0005-0000-0000-0000B32A0000}"/>
    <cellStyle name="Normal 2 2 2 2 2 2 18 2 5" xfId="10932" xr:uid="{00000000-0005-0000-0000-0000B42A0000}"/>
    <cellStyle name="Normal 2 2 2 2 2 2 18 2 6" xfId="10933" xr:uid="{00000000-0005-0000-0000-0000B52A0000}"/>
    <cellStyle name="Normal 2 2 2 2 2 2 18 2 7" xfId="10934" xr:uid="{00000000-0005-0000-0000-0000B62A0000}"/>
    <cellStyle name="Normal 2 2 2 2 2 2 18 2 8" xfId="10935" xr:uid="{00000000-0005-0000-0000-0000B72A0000}"/>
    <cellStyle name="Normal 2 2 2 2 2 2 18 2 9" xfId="10936" xr:uid="{00000000-0005-0000-0000-0000B82A0000}"/>
    <cellStyle name="Normal 2 2 2 2 2 2 18 3" xfId="10937" xr:uid="{00000000-0005-0000-0000-0000B92A0000}"/>
    <cellStyle name="Normal 2 2 2 2 2 2 18 3 10" xfId="10938" xr:uid="{00000000-0005-0000-0000-0000BA2A0000}"/>
    <cellStyle name="Normal 2 2 2 2 2 2 18 3 2" xfId="10939" xr:uid="{00000000-0005-0000-0000-0000BB2A0000}"/>
    <cellStyle name="Normal 2 2 2 2 2 2 18 3 3" xfId="10940" xr:uid="{00000000-0005-0000-0000-0000BC2A0000}"/>
    <cellStyle name="Normal 2 2 2 2 2 2 18 3 4" xfId="10941" xr:uid="{00000000-0005-0000-0000-0000BD2A0000}"/>
    <cellStyle name="Normal 2 2 2 2 2 2 18 3 5" xfId="10942" xr:uid="{00000000-0005-0000-0000-0000BE2A0000}"/>
    <cellStyle name="Normal 2 2 2 2 2 2 18 3 6" xfId="10943" xr:uid="{00000000-0005-0000-0000-0000BF2A0000}"/>
    <cellStyle name="Normal 2 2 2 2 2 2 18 3 7" xfId="10944" xr:uid="{00000000-0005-0000-0000-0000C02A0000}"/>
    <cellStyle name="Normal 2 2 2 2 2 2 18 3 8" xfId="10945" xr:uid="{00000000-0005-0000-0000-0000C12A0000}"/>
    <cellStyle name="Normal 2 2 2 2 2 2 18 3 9" xfId="10946" xr:uid="{00000000-0005-0000-0000-0000C22A0000}"/>
    <cellStyle name="Normal 2 2 2 2 2 2 18 4" xfId="10947" xr:uid="{00000000-0005-0000-0000-0000C32A0000}"/>
    <cellStyle name="Normal 2 2 2 2 2 2 18 4 10" xfId="10948" xr:uid="{00000000-0005-0000-0000-0000C42A0000}"/>
    <cellStyle name="Normal 2 2 2 2 2 2 18 4 2" xfId="10949" xr:uid="{00000000-0005-0000-0000-0000C52A0000}"/>
    <cellStyle name="Normal 2 2 2 2 2 2 18 4 3" xfId="10950" xr:uid="{00000000-0005-0000-0000-0000C62A0000}"/>
    <cellStyle name="Normal 2 2 2 2 2 2 18 4 4" xfId="10951" xr:uid="{00000000-0005-0000-0000-0000C72A0000}"/>
    <cellStyle name="Normal 2 2 2 2 2 2 18 4 5" xfId="10952" xr:uid="{00000000-0005-0000-0000-0000C82A0000}"/>
    <cellStyle name="Normal 2 2 2 2 2 2 18 4 6" xfId="10953" xr:uid="{00000000-0005-0000-0000-0000C92A0000}"/>
    <cellStyle name="Normal 2 2 2 2 2 2 18 4 7" xfId="10954" xr:uid="{00000000-0005-0000-0000-0000CA2A0000}"/>
    <cellStyle name="Normal 2 2 2 2 2 2 18 4 8" xfId="10955" xr:uid="{00000000-0005-0000-0000-0000CB2A0000}"/>
    <cellStyle name="Normal 2 2 2 2 2 2 18 4 9" xfId="10956" xr:uid="{00000000-0005-0000-0000-0000CC2A0000}"/>
    <cellStyle name="Normal 2 2 2 2 2 2 18 5" xfId="10957" xr:uid="{00000000-0005-0000-0000-0000CD2A0000}"/>
    <cellStyle name="Normal 2 2 2 2 2 2 18 5 10" xfId="10958" xr:uid="{00000000-0005-0000-0000-0000CE2A0000}"/>
    <cellStyle name="Normal 2 2 2 2 2 2 18 5 2" xfId="10959" xr:uid="{00000000-0005-0000-0000-0000CF2A0000}"/>
    <cellStyle name="Normal 2 2 2 2 2 2 18 5 3" xfId="10960" xr:uid="{00000000-0005-0000-0000-0000D02A0000}"/>
    <cellStyle name="Normal 2 2 2 2 2 2 18 5 4" xfId="10961" xr:uid="{00000000-0005-0000-0000-0000D12A0000}"/>
    <cellStyle name="Normal 2 2 2 2 2 2 18 5 5" xfId="10962" xr:uid="{00000000-0005-0000-0000-0000D22A0000}"/>
    <cellStyle name="Normal 2 2 2 2 2 2 18 5 6" xfId="10963" xr:uid="{00000000-0005-0000-0000-0000D32A0000}"/>
    <cellStyle name="Normal 2 2 2 2 2 2 18 5 7" xfId="10964" xr:uid="{00000000-0005-0000-0000-0000D42A0000}"/>
    <cellStyle name="Normal 2 2 2 2 2 2 18 5 8" xfId="10965" xr:uid="{00000000-0005-0000-0000-0000D52A0000}"/>
    <cellStyle name="Normal 2 2 2 2 2 2 18 5 9" xfId="10966" xr:uid="{00000000-0005-0000-0000-0000D62A0000}"/>
    <cellStyle name="Normal 2 2 2 2 2 2 18 6" xfId="10967" xr:uid="{00000000-0005-0000-0000-0000D72A0000}"/>
    <cellStyle name="Normal 2 2 2 2 2 2 18 7" xfId="10968" xr:uid="{00000000-0005-0000-0000-0000D82A0000}"/>
    <cellStyle name="Normal 2 2 2 2 2 2 18 8" xfId="10969" xr:uid="{00000000-0005-0000-0000-0000D92A0000}"/>
    <cellStyle name="Normal 2 2 2 2 2 2 18 9" xfId="10970" xr:uid="{00000000-0005-0000-0000-0000DA2A0000}"/>
    <cellStyle name="Normal 2 2 2 2 2 2 19" xfId="10971" xr:uid="{00000000-0005-0000-0000-0000DB2A0000}"/>
    <cellStyle name="Normal 2 2 2 2 2 2 19 10" xfId="10972" xr:uid="{00000000-0005-0000-0000-0000DC2A0000}"/>
    <cellStyle name="Normal 2 2 2 2 2 2 19 11" xfId="10973" xr:uid="{00000000-0005-0000-0000-0000DD2A0000}"/>
    <cellStyle name="Normal 2 2 2 2 2 2 19 12" xfId="10974" xr:uid="{00000000-0005-0000-0000-0000DE2A0000}"/>
    <cellStyle name="Normal 2 2 2 2 2 2 19 13" xfId="10975" xr:uid="{00000000-0005-0000-0000-0000DF2A0000}"/>
    <cellStyle name="Normal 2 2 2 2 2 2 19 14" xfId="10976" xr:uid="{00000000-0005-0000-0000-0000E02A0000}"/>
    <cellStyle name="Normal 2 2 2 2 2 2 19 2" xfId="10977" xr:uid="{00000000-0005-0000-0000-0000E12A0000}"/>
    <cellStyle name="Normal 2 2 2 2 2 2 19 2 10" xfId="10978" xr:uid="{00000000-0005-0000-0000-0000E22A0000}"/>
    <cellStyle name="Normal 2 2 2 2 2 2 19 2 2" xfId="10979" xr:uid="{00000000-0005-0000-0000-0000E32A0000}"/>
    <cellStyle name="Normal 2 2 2 2 2 2 19 2 3" xfId="10980" xr:uid="{00000000-0005-0000-0000-0000E42A0000}"/>
    <cellStyle name="Normal 2 2 2 2 2 2 19 2 4" xfId="10981" xr:uid="{00000000-0005-0000-0000-0000E52A0000}"/>
    <cellStyle name="Normal 2 2 2 2 2 2 19 2 5" xfId="10982" xr:uid="{00000000-0005-0000-0000-0000E62A0000}"/>
    <cellStyle name="Normal 2 2 2 2 2 2 19 2 6" xfId="10983" xr:uid="{00000000-0005-0000-0000-0000E72A0000}"/>
    <cellStyle name="Normal 2 2 2 2 2 2 19 2 7" xfId="10984" xr:uid="{00000000-0005-0000-0000-0000E82A0000}"/>
    <cellStyle name="Normal 2 2 2 2 2 2 19 2 8" xfId="10985" xr:uid="{00000000-0005-0000-0000-0000E92A0000}"/>
    <cellStyle name="Normal 2 2 2 2 2 2 19 2 9" xfId="10986" xr:uid="{00000000-0005-0000-0000-0000EA2A0000}"/>
    <cellStyle name="Normal 2 2 2 2 2 2 19 3" xfId="10987" xr:uid="{00000000-0005-0000-0000-0000EB2A0000}"/>
    <cellStyle name="Normal 2 2 2 2 2 2 19 3 10" xfId="10988" xr:uid="{00000000-0005-0000-0000-0000EC2A0000}"/>
    <cellStyle name="Normal 2 2 2 2 2 2 19 3 2" xfId="10989" xr:uid="{00000000-0005-0000-0000-0000ED2A0000}"/>
    <cellStyle name="Normal 2 2 2 2 2 2 19 3 3" xfId="10990" xr:uid="{00000000-0005-0000-0000-0000EE2A0000}"/>
    <cellStyle name="Normal 2 2 2 2 2 2 19 3 4" xfId="10991" xr:uid="{00000000-0005-0000-0000-0000EF2A0000}"/>
    <cellStyle name="Normal 2 2 2 2 2 2 19 3 5" xfId="10992" xr:uid="{00000000-0005-0000-0000-0000F02A0000}"/>
    <cellStyle name="Normal 2 2 2 2 2 2 19 3 6" xfId="10993" xr:uid="{00000000-0005-0000-0000-0000F12A0000}"/>
    <cellStyle name="Normal 2 2 2 2 2 2 19 3 7" xfId="10994" xr:uid="{00000000-0005-0000-0000-0000F22A0000}"/>
    <cellStyle name="Normal 2 2 2 2 2 2 19 3 8" xfId="10995" xr:uid="{00000000-0005-0000-0000-0000F32A0000}"/>
    <cellStyle name="Normal 2 2 2 2 2 2 19 3 9" xfId="10996" xr:uid="{00000000-0005-0000-0000-0000F42A0000}"/>
    <cellStyle name="Normal 2 2 2 2 2 2 19 4" xfId="10997" xr:uid="{00000000-0005-0000-0000-0000F52A0000}"/>
    <cellStyle name="Normal 2 2 2 2 2 2 19 4 10" xfId="10998" xr:uid="{00000000-0005-0000-0000-0000F62A0000}"/>
    <cellStyle name="Normal 2 2 2 2 2 2 19 4 2" xfId="10999" xr:uid="{00000000-0005-0000-0000-0000F72A0000}"/>
    <cellStyle name="Normal 2 2 2 2 2 2 19 4 3" xfId="11000" xr:uid="{00000000-0005-0000-0000-0000F82A0000}"/>
    <cellStyle name="Normal 2 2 2 2 2 2 19 4 4" xfId="11001" xr:uid="{00000000-0005-0000-0000-0000F92A0000}"/>
    <cellStyle name="Normal 2 2 2 2 2 2 19 4 5" xfId="11002" xr:uid="{00000000-0005-0000-0000-0000FA2A0000}"/>
    <cellStyle name="Normal 2 2 2 2 2 2 19 4 6" xfId="11003" xr:uid="{00000000-0005-0000-0000-0000FB2A0000}"/>
    <cellStyle name="Normal 2 2 2 2 2 2 19 4 7" xfId="11004" xr:uid="{00000000-0005-0000-0000-0000FC2A0000}"/>
    <cellStyle name="Normal 2 2 2 2 2 2 19 4 8" xfId="11005" xr:uid="{00000000-0005-0000-0000-0000FD2A0000}"/>
    <cellStyle name="Normal 2 2 2 2 2 2 19 4 9" xfId="11006" xr:uid="{00000000-0005-0000-0000-0000FE2A0000}"/>
    <cellStyle name="Normal 2 2 2 2 2 2 19 5" xfId="11007" xr:uid="{00000000-0005-0000-0000-0000FF2A0000}"/>
    <cellStyle name="Normal 2 2 2 2 2 2 19 5 10" xfId="11008" xr:uid="{00000000-0005-0000-0000-0000002B0000}"/>
    <cellStyle name="Normal 2 2 2 2 2 2 19 5 2" xfId="11009" xr:uid="{00000000-0005-0000-0000-0000012B0000}"/>
    <cellStyle name="Normal 2 2 2 2 2 2 19 5 3" xfId="11010" xr:uid="{00000000-0005-0000-0000-0000022B0000}"/>
    <cellStyle name="Normal 2 2 2 2 2 2 19 5 4" xfId="11011" xr:uid="{00000000-0005-0000-0000-0000032B0000}"/>
    <cellStyle name="Normal 2 2 2 2 2 2 19 5 5" xfId="11012" xr:uid="{00000000-0005-0000-0000-0000042B0000}"/>
    <cellStyle name="Normal 2 2 2 2 2 2 19 5 6" xfId="11013" xr:uid="{00000000-0005-0000-0000-0000052B0000}"/>
    <cellStyle name="Normal 2 2 2 2 2 2 19 5 7" xfId="11014" xr:uid="{00000000-0005-0000-0000-0000062B0000}"/>
    <cellStyle name="Normal 2 2 2 2 2 2 19 5 8" xfId="11015" xr:uid="{00000000-0005-0000-0000-0000072B0000}"/>
    <cellStyle name="Normal 2 2 2 2 2 2 19 5 9" xfId="11016" xr:uid="{00000000-0005-0000-0000-0000082B0000}"/>
    <cellStyle name="Normal 2 2 2 2 2 2 19 6" xfId="11017" xr:uid="{00000000-0005-0000-0000-0000092B0000}"/>
    <cellStyle name="Normal 2 2 2 2 2 2 19 7" xfId="11018" xr:uid="{00000000-0005-0000-0000-00000A2B0000}"/>
    <cellStyle name="Normal 2 2 2 2 2 2 19 8" xfId="11019" xr:uid="{00000000-0005-0000-0000-00000B2B0000}"/>
    <cellStyle name="Normal 2 2 2 2 2 2 19 9" xfId="11020" xr:uid="{00000000-0005-0000-0000-00000C2B0000}"/>
    <cellStyle name="Normal 2 2 2 2 2 2 2" xfId="11021" xr:uid="{00000000-0005-0000-0000-00000D2B0000}"/>
    <cellStyle name="Normal 2 2 2 2 2 2 2 10" xfId="11022" xr:uid="{00000000-0005-0000-0000-00000E2B0000}"/>
    <cellStyle name="Normal 2 2 2 2 2 2 2 11" xfId="11023" xr:uid="{00000000-0005-0000-0000-00000F2B0000}"/>
    <cellStyle name="Normal 2 2 2 2 2 2 2 12" xfId="11024" xr:uid="{00000000-0005-0000-0000-0000102B0000}"/>
    <cellStyle name="Normal 2 2 2 2 2 2 2 13" xfId="11025" xr:uid="{00000000-0005-0000-0000-0000112B0000}"/>
    <cellStyle name="Normal 2 2 2 2 2 2 2 14" xfId="11026" xr:uid="{00000000-0005-0000-0000-0000122B0000}"/>
    <cellStyle name="Normal 2 2 2 2 2 2 2 15" xfId="11027" xr:uid="{00000000-0005-0000-0000-0000132B0000}"/>
    <cellStyle name="Normal 2 2 2 2 2 2 2 16" xfId="11028" xr:uid="{00000000-0005-0000-0000-0000142B0000}"/>
    <cellStyle name="Normal 2 2 2 2 2 2 2 2" xfId="11029" xr:uid="{00000000-0005-0000-0000-0000152B0000}"/>
    <cellStyle name="Normal 2 2 2 2 2 2 2 2 10" xfId="11030" xr:uid="{00000000-0005-0000-0000-0000162B0000}"/>
    <cellStyle name="Normal 2 2 2 2 2 2 2 2 11" xfId="11031" xr:uid="{00000000-0005-0000-0000-0000172B0000}"/>
    <cellStyle name="Normal 2 2 2 2 2 2 2 2 12" xfId="11032" xr:uid="{00000000-0005-0000-0000-0000182B0000}"/>
    <cellStyle name="Normal 2 2 2 2 2 2 2 2 2" xfId="11033" xr:uid="{00000000-0005-0000-0000-0000192B0000}"/>
    <cellStyle name="Normal 2 2 2 2 2 2 2 2 3" xfId="11034" xr:uid="{00000000-0005-0000-0000-00001A2B0000}"/>
    <cellStyle name="Normal 2 2 2 2 2 2 2 2 4" xfId="11035" xr:uid="{00000000-0005-0000-0000-00001B2B0000}"/>
    <cellStyle name="Normal 2 2 2 2 2 2 2 2 5" xfId="11036" xr:uid="{00000000-0005-0000-0000-00001C2B0000}"/>
    <cellStyle name="Normal 2 2 2 2 2 2 2 2 6" xfId="11037" xr:uid="{00000000-0005-0000-0000-00001D2B0000}"/>
    <cellStyle name="Normal 2 2 2 2 2 2 2 2 7" xfId="11038" xr:uid="{00000000-0005-0000-0000-00001E2B0000}"/>
    <cellStyle name="Normal 2 2 2 2 2 2 2 2 8" xfId="11039" xr:uid="{00000000-0005-0000-0000-00001F2B0000}"/>
    <cellStyle name="Normal 2 2 2 2 2 2 2 2 9" xfId="11040" xr:uid="{00000000-0005-0000-0000-0000202B0000}"/>
    <cellStyle name="Normal 2 2 2 2 2 2 2 3" xfId="11041" xr:uid="{00000000-0005-0000-0000-0000212B0000}"/>
    <cellStyle name="Normal 2 2 2 2 2 2 2 3 10" xfId="11042" xr:uid="{00000000-0005-0000-0000-0000222B0000}"/>
    <cellStyle name="Normal 2 2 2 2 2 2 2 3 2" xfId="11043" xr:uid="{00000000-0005-0000-0000-0000232B0000}"/>
    <cellStyle name="Normal 2 2 2 2 2 2 2 3 3" xfId="11044" xr:uid="{00000000-0005-0000-0000-0000242B0000}"/>
    <cellStyle name="Normal 2 2 2 2 2 2 2 3 4" xfId="11045" xr:uid="{00000000-0005-0000-0000-0000252B0000}"/>
    <cellStyle name="Normal 2 2 2 2 2 2 2 3 5" xfId="11046" xr:uid="{00000000-0005-0000-0000-0000262B0000}"/>
    <cellStyle name="Normal 2 2 2 2 2 2 2 3 6" xfId="11047" xr:uid="{00000000-0005-0000-0000-0000272B0000}"/>
    <cellStyle name="Normal 2 2 2 2 2 2 2 3 7" xfId="11048" xr:uid="{00000000-0005-0000-0000-0000282B0000}"/>
    <cellStyle name="Normal 2 2 2 2 2 2 2 3 8" xfId="11049" xr:uid="{00000000-0005-0000-0000-0000292B0000}"/>
    <cellStyle name="Normal 2 2 2 2 2 2 2 3 9" xfId="11050" xr:uid="{00000000-0005-0000-0000-00002A2B0000}"/>
    <cellStyle name="Normal 2 2 2 2 2 2 2 4" xfId="11051" xr:uid="{00000000-0005-0000-0000-00002B2B0000}"/>
    <cellStyle name="Normal 2 2 2 2 2 2 2 4 10" xfId="11052" xr:uid="{00000000-0005-0000-0000-00002C2B0000}"/>
    <cellStyle name="Normal 2 2 2 2 2 2 2 4 2" xfId="11053" xr:uid="{00000000-0005-0000-0000-00002D2B0000}"/>
    <cellStyle name="Normal 2 2 2 2 2 2 2 4 3" xfId="11054" xr:uid="{00000000-0005-0000-0000-00002E2B0000}"/>
    <cellStyle name="Normal 2 2 2 2 2 2 2 4 4" xfId="11055" xr:uid="{00000000-0005-0000-0000-00002F2B0000}"/>
    <cellStyle name="Normal 2 2 2 2 2 2 2 4 5" xfId="11056" xr:uid="{00000000-0005-0000-0000-0000302B0000}"/>
    <cellStyle name="Normal 2 2 2 2 2 2 2 4 6" xfId="11057" xr:uid="{00000000-0005-0000-0000-0000312B0000}"/>
    <cellStyle name="Normal 2 2 2 2 2 2 2 4 7" xfId="11058" xr:uid="{00000000-0005-0000-0000-0000322B0000}"/>
    <cellStyle name="Normal 2 2 2 2 2 2 2 4 8" xfId="11059" xr:uid="{00000000-0005-0000-0000-0000332B0000}"/>
    <cellStyle name="Normal 2 2 2 2 2 2 2 4 9" xfId="11060" xr:uid="{00000000-0005-0000-0000-0000342B0000}"/>
    <cellStyle name="Normal 2 2 2 2 2 2 2 5" xfId="11061" xr:uid="{00000000-0005-0000-0000-0000352B0000}"/>
    <cellStyle name="Normal 2 2 2 2 2 2 2 5 10" xfId="11062" xr:uid="{00000000-0005-0000-0000-0000362B0000}"/>
    <cellStyle name="Normal 2 2 2 2 2 2 2 5 2" xfId="11063" xr:uid="{00000000-0005-0000-0000-0000372B0000}"/>
    <cellStyle name="Normal 2 2 2 2 2 2 2 5 3" xfId="11064" xr:uid="{00000000-0005-0000-0000-0000382B0000}"/>
    <cellStyle name="Normal 2 2 2 2 2 2 2 5 4" xfId="11065" xr:uid="{00000000-0005-0000-0000-0000392B0000}"/>
    <cellStyle name="Normal 2 2 2 2 2 2 2 5 5" xfId="11066" xr:uid="{00000000-0005-0000-0000-00003A2B0000}"/>
    <cellStyle name="Normal 2 2 2 2 2 2 2 5 6" xfId="11067" xr:uid="{00000000-0005-0000-0000-00003B2B0000}"/>
    <cellStyle name="Normal 2 2 2 2 2 2 2 5 7" xfId="11068" xr:uid="{00000000-0005-0000-0000-00003C2B0000}"/>
    <cellStyle name="Normal 2 2 2 2 2 2 2 5 8" xfId="11069" xr:uid="{00000000-0005-0000-0000-00003D2B0000}"/>
    <cellStyle name="Normal 2 2 2 2 2 2 2 5 9" xfId="11070" xr:uid="{00000000-0005-0000-0000-00003E2B0000}"/>
    <cellStyle name="Normal 2 2 2 2 2 2 2 6" xfId="11071" xr:uid="{00000000-0005-0000-0000-00003F2B0000}"/>
    <cellStyle name="Normal 2 2 2 2 2 2 2 7" xfId="11072" xr:uid="{00000000-0005-0000-0000-0000402B0000}"/>
    <cellStyle name="Normal 2 2 2 2 2 2 2 8" xfId="11073" xr:uid="{00000000-0005-0000-0000-0000412B0000}"/>
    <cellStyle name="Normal 2 2 2 2 2 2 2 9" xfId="11074" xr:uid="{00000000-0005-0000-0000-0000422B0000}"/>
    <cellStyle name="Normal 2 2 2 2 2 2 20" xfId="11075" xr:uid="{00000000-0005-0000-0000-0000432B0000}"/>
    <cellStyle name="Normal 2 2 2 2 2 2 20 10" xfId="11076" xr:uid="{00000000-0005-0000-0000-0000442B0000}"/>
    <cellStyle name="Normal 2 2 2 2 2 2 20 11" xfId="11077" xr:uid="{00000000-0005-0000-0000-0000452B0000}"/>
    <cellStyle name="Normal 2 2 2 2 2 2 20 12" xfId="11078" xr:uid="{00000000-0005-0000-0000-0000462B0000}"/>
    <cellStyle name="Normal 2 2 2 2 2 2 20 13" xfId="11079" xr:uid="{00000000-0005-0000-0000-0000472B0000}"/>
    <cellStyle name="Normal 2 2 2 2 2 2 20 14" xfId="11080" xr:uid="{00000000-0005-0000-0000-0000482B0000}"/>
    <cellStyle name="Normal 2 2 2 2 2 2 20 2" xfId="11081" xr:uid="{00000000-0005-0000-0000-0000492B0000}"/>
    <cellStyle name="Normal 2 2 2 2 2 2 20 2 10" xfId="11082" xr:uid="{00000000-0005-0000-0000-00004A2B0000}"/>
    <cellStyle name="Normal 2 2 2 2 2 2 20 2 2" xfId="11083" xr:uid="{00000000-0005-0000-0000-00004B2B0000}"/>
    <cellStyle name="Normal 2 2 2 2 2 2 20 2 3" xfId="11084" xr:uid="{00000000-0005-0000-0000-00004C2B0000}"/>
    <cellStyle name="Normal 2 2 2 2 2 2 20 2 4" xfId="11085" xr:uid="{00000000-0005-0000-0000-00004D2B0000}"/>
    <cellStyle name="Normal 2 2 2 2 2 2 20 2 5" xfId="11086" xr:uid="{00000000-0005-0000-0000-00004E2B0000}"/>
    <cellStyle name="Normal 2 2 2 2 2 2 20 2 6" xfId="11087" xr:uid="{00000000-0005-0000-0000-00004F2B0000}"/>
    <cellStyle name="Normal 2 2 2 2 2 2 20 2 7" xfId="11088" xr:uid="{00000000-0005-0000-0000-0000502B0000}"/>
    <cellStyle name="Normal 2 2 2 2 2 2 20 2 8" xfId="11089" xr:uid="{00000000-0005-0000-0000-0000512B0000}"/>
    <cellStyle name="Normal 2 2 2 2 2 2 20 2 9" xfId="11090" xr:uid="{00000000-0005-0000-0000-0000522B0000}"/>
    <cellStyle name="Normal 2 2 2 2 2 2 20 3" xfId="11091" xr:uid="{00000000-0005-0000-0000-0000532B0000}"/>
    <cellStyle name="Normal 2 2 2 2 2 2 20 3 10" xfId="11092" xr:uid="{00000000-0005-0000-0000-0000542B0000}"/>
    <cellStyle name="Normal 2 2 2 2 2 2 20 3 2" xfId="11093" xr:uid="{00000000-0005-0000-0000-0000552B0000}"/>
    <cellStyle name="Normal 2 2 2 2 2 2 20 3 3" xfId="11094" xr:uid="{00000000-0005-0000-0000-0000562B0000}"/>
    <cellStyle name="Normal 2 2 2 2 2 2 20 3 4" xfId="11095" xr:uid="{00000000-0005-0000-0000-0000572B0000}"/>
    <cellStyle name="Normal 2 2 2 2 2 2 20 3 5" xfId="11096" xr:uid="{00000000-0005-0000-0000-0000582B0000}"/>
    <cellStyle name="Normal 2 2 2 2 2 2 20 3 6" xfId="11097" xr:uid="{00000000-0005-0000-0000-0000592B0000}"/>
    <cellStyle name="Normal 2 2 2 2 2 2 20 3 7" xfId="11098" xr:uid="{00000000-0005-0000-0000-00005A2B0000}"/>
    <cellStyle name="Normal 2 2 2 2 2 2 20 3 8" xfId="11099" xr:uid="{00000000-0005-0000-0000-00005B2B0000}"/>
    <cellStyle name="Normal 2 2 2 2 2 2 20 3 9" xfId="11100" xr:uid="{00000000-0005-0000-0000-00005C2B0000}"/>
    <cellStyle name="Normal 2 2 2 2 2 2 20 4" xfId="11101" xr:uid="{00000000-0005-0000-0000-00005D2B0000}"/>
    <cellStyle name="Normal 2 2 2 2 2 2 20 4 10" xfId="11102" xr:uid="{00000000-0005-0000-0000-00005E2B0000}"/>
    <cellStyle name="Normal 2 2 2 2 2 2 20 4 2" xfId="11103" xr:uid="{00000000-0005-0000-0000-00005F2B0000}"/>
    <cellStyle name="Normal 2 2 2 2 2 2 20 4 3" xfId="11104" xr:uid="{00000000-0005-0000-0000-0000602B0000}"/>
    <cellStyle name="Normal 2 2 2 2 2 2 20 4 4" xfId="11105" xr:uid="{00000000-0005-0000-0000-0000612B0000}"/>
    <cellStyle name="Normal 2 2 2 2 2 2 20 4 5" xfId="11106" xr:uid="{00000000-0005-0000-0000-0000622B0000}"/>
    <cellStyle name="Normal 2 2 2 2 2 2 20 4 6" xfId="11107" xr:uid="{00000000-0005-0000-0000-0000632B0000}"/>
    <cellStyle name="Normal 2 2 2 2 2 2 20 4 7" xfId="11108" xr:uid="{00000000-0005-0000-0000-0000642B0000}"/>
    <cellStyle name="Normal 2 2 2 2 2 2 20 4 8" xfId="11109" xr:uid="{00000000-0005-0000-0000-0000652B0000}"/>
    <cellStyle name="Normal 2 2 2 2 2 2 20 4 9" xfId="11110" xr:uid="{00000000-0005-0000-0000-0000662B0000}"/>
    <cellStyle name="Normal 2 2 2 2 2 2 20 5" xfId="11111" xr:uid="{00000000-0005-0000-0000-0000672B0000}"/>
    <cellStyle name="Normal 2 2 2 2 2 2 20 5 10" xfId="11112" xr:uid="{00000000-0005-0000-0000-0000682B0000}"/>
    <cellStyle name="Normal 2 2 2 2 2 2 20 5 2" xfId="11113" xr:uid="{00000000-0005-0000-0000-0000692B0000}"/>
    <cellStyle name="Normal 2 2 2 2 2 2 20 5 3" xfId="11114" xr:uid="{00000000-0005-0000-0000-00006A2B0000}"/>
    <cellStyle name="Normal 2 2 2 2 2 2 20 5 4" xfId="11115" xr:uid="{00000000-0005-0000-0000-00006B2B0000}"/>
    <cellStyle name="Normal 2 2 2 2 2 2 20 5 5" xfId="11116" xr:uid="{00000000-0005-0000-0000-00006C2B0000}"/>
    <cellStyle name="Normal 2 2 2 2 2 2 20 5 6" xfId="11117" xr:uid="{00000000-0005-0000-0000-00006D2B0000}"/>
    <cellStyle name="Normal 2 2 2 2 2 2 20 5 7" xfId="11118" xr:uid="{00000000-0005-0000-0000-00006E2B0000}"/>
    <cellStyle name="Normal 2 2 2 2 2 2 20 5 8" xfId="11119" xr:uid="{00000000-0005-0000-0000-00006F2B0000}"/>
    <cellStyle name="Normal 2 2 2 2 2 2 20 5 9" xfId="11120" xr:uid="{00000000-0005-0000-0000-0000702B0000}"/>
    <cellStyle name="Normal 2 2 2 2 2 2 20 6" xfId="11121" xr:uid="{00000000-0005-0000-0000-0000712B0000}"/>
    <cellStyle name="Normal 2 2 2 2 2 2 20 7" xfId="11122" xr:uid="{00000000-0005-0000-0000-0000722B0000}"/>
    <cellStyle name="Normal 2 2 2 2 2 2 20 8" xfId="11123" xr:uid="{00000000-0005-0000-0000-0000732B0000}"/>
    <cellStyle name="Normal 2 2 2 2 2 2 20 9" xfId="11124" xr:uid="{00000000-0005-0000-0000-0000742B0000}"/>
    <cellStyle name="Normal 2 2 2 2 2 2 21" xfId="11125" xr:uid="{00000000-0005-0000-0000-0000752B0000}"/>
    <cellStyle name="Normal 2 2 2 2 2 2 21 10" xfId="11126" xr:uid="{00000000-0005-0000-0000-0000762B0000}"/>
    <cellStyle name="Normal 2 2 2 2 2 2 21 11" xfId="11127" xr:uid="{00000000-0005-0000-0000-0000772B0000}"/>
    <cellStyle name="Normal 2 2 2 2 2 2 21 12" xfId="11128" xr:uid="{00000000-0005-0000-0000-0000782B0000}"/>
    <cellStyle name="Normal 2 2 2 2 2 2 21 13" xfId="11129" xr:uid="{00000000-0005-0000-0000-0000792B0000}"/>
    <cellStyle name="Normal 2 2 2 2 2 2 21 14" xfId="11130" xr:uid="{00000000-0005-0000-0000-00007A2B0000}"/>
    <cellStyle name="Normal 2 2 2 2 2 2 21 2" xfId="11131" xr:uid="{00000000-0005-0000-0000-00007B2B0000}"/>
    <cellStyle name="Normal 2 2 2 2 2 2 21 2 10" xfId="11132" xr:uid="{00000000-0005-0000-0000-00007C2B0000}"/>
    <cellStyle name="Normal 2 2 2 2 2 2 21 2 2" xfId="11133" xr:uid="{00000000-0005-0000-0000-00007D2B0000}"/>
    <cellStyle name="Normal 2 2 2 2 2 2 21 2 3" xfId="11134" xr:uid="{00000000-0005-0000-0000-00007E2B0000}"/>
    <cellStyle name="Normal 2 2 2 2 2 2 21 2 4" xfId="11135" xr:uid="{00000000-0005-0000-0000-00007F2B0000}"/>
    <cellStyle name="Normal 2 2 2 2 2 2 21 2 5" xfId="11136" xr:uid="{00000000-0005-0000-0000-0000802B0000}"/>
    <cellStyle name="Normal 2 2 2 2 2 2 21 2 6" xfId="11137" xr:uid="{00000000-0005-0000-0000-0000812B0000}"/>
    <cellStyle name="Normal 2 2 2 2 2 2 21 2 7" xfId="11138" xr:uid="{00000000-0005-0000-0000-0000822B0000}"/>
    <cellStyle name="Normal 2 2 2 2 2 2 21 2 8" xfId="11139" xr:uid="{00000000-0005-0000-0000-0000832B0000}"/>
    <cellStyle name="Normal 2 2 2 2 2 2 21 2 9" xfId="11140" xr:uid="{00000000-0005-0000-0000-0000842B0000}"/>
    <cellStyle name="Normal 2 2 2 2 2 2 21 3" xfId="11141" xr:uid="{00000000-0005-0000-0000-0000852B0000}"/>
    <cellStyle name="Normal 2 2 2 2 2 2 21 3 10" xfId="11142" xr:uid="{00000000-0005-0000-0000-0000862B0000}"/>
    <cellStyle name="Normal 2 2 2 2 2 2 21 3 2" xfId="11143" xr:uid="{00000000-0005-0000-0000-0000872B0000}"/>
    <cellStyle name="Normal 2 2 2 2 2 2 21 3 3" xfId="11144" xr:uid="{00000000-0005-0000-0000-0000882B0000}"/>
    <cellStyle name="Normal 2 2 2 2 2 2 21 3 4" xfId="11145" xr:uid="{00000000-0005-0000-0000-0000892B0000}"/>
    <cellStyle name="Normal 2 2 2 2 2 2 21 3 5" xfId="11146" xr:uid="{00000000-0005-0000-0000-00008A2B0000}"/>
    <cellStyle name="Normal 2 2 2 2 2 2 21 3 6" xfId="11147" xr:uid="{00000000-0005-0000-0000-00008B2B0000}"/>
    <cellStyle name="Normal 2 2 2 2 2 2 21 3 7" xfId="11148" xr:uid="{00000000-0005-0000-0000-00008C2B0000}"/>
    <cellStyle name="Normal 2 2 2 2 2 2 21 3 8" xfId="11149" xr:uid="{00000000-0005-0000-0000-00008D2B0000}"/>
    <cellStyle name="Normal 2 2 2 2 2 2 21 3 9" xfId="11150" xr:uid="{00000000-0005-0000-0000-00008E2B0000}"/>
    <cellStyle name="Normal 2 2 2 2 2 2 21 4" xfId="11151" xr:uid="{00000000-0005-0000-0000-00008F2B0000}"/>
    <cellStyle name="Normal 2 2 2 2 2 2 21 4 10" xfId="11152" xr:uid="{00000000-0005-0000-0000-0000902B0000}"/>
    <cellStyle name="Normal 2 2 2 2 2 2 21 4 2" xfId="11153" xr:uid="{00000000-0005-0000-0000-0000912B0000}"/>
    <cellStyle name="Normal 2 2 2 2 2 2 21 4 3" xfId="11154" xr:uid="{00000000-0005-0000-0000-0000922B0000}"/>
    <cellStyle name="Normal 2 2 2 2 2 2 21 4 4" xfId="11155" xr:uid="{00000000-0005-0000-0000-0000932B0000}"/>
    <cellStyle name="Normal 2 2 2 2 2 2 21 4 5" xfId="11156" xr:uid="{00000000-0005-0000-0000-0000942B0000}"/>
    <cellStyle name="Normal 2 2 2 2 2 2 21 4 6" xfId="11157" xr:uid="{00000000-0005-0000-0000-0000952B0000}"/>
    <cellStyle name="Normal 2 2 2 2 2 2 21 4 7" xfId="11158" xr:uid="{00000000-0005-0000-0000-0000962B0000}"/>
    <cellStyle name="Normal 2 2 2 2 2 2 21 4 8" xfId="11159" xr:uid="{00000000-0005-0000-0000-0000972B0000}"/>
    <cellStyle name="Normal 2 2 2 2 2 2 21 4 9" xfId="11160" xr:uid="{00000000-0005-0000-0000-0000982B0000}"/>
    <cellStyle name="Normal 2 2 2 2 2 2 21 5" xfId="11161" xr:uid="{00000000-0005-0000-0000-0000992B0000}"/>
    <cellStyle name="Normal 2 2 2 2 2 2 21 5 10" xfId="11162" xr:uid="{00000000-0005-0000-0000-00009A2B0000}"/>
    <cellStyle name="Normal 2 2 2 2 2 2 21 5 2" xfId="11163" xr:uid="{00000000-0005-0000-0000-00009B2B0000}"/>
    <cellStyle name="Normal 2 2 2 2 2 2 21 5 3" xfId="11164" xr:uid="{00000000-0005-0000-0000-00009C2B0000}"/>
    <cellStyle name="Normal 2 2 2 2 2 2 21 5 4" xfId="11165" xr:uid="{00000000-0005-0000-0000-00009D2B0000}"/>
    <cellStyle name="Normal 2 2 2 2 2 2 21 5 5" xfId="11166" xr:uid="{00000000-0005-0000-0000-00009E2B0000}"/>
    <cellStyle name="Normal 2 2 2 2 2 2 21 5 6" xfId="11167" xr:uid="{00000000-0005-0000-0000-00009F2B0000}"/>
    <cellStyle name="Normal 2 2 2 2 2 2 21 5 7" xfId="11168" xr:uid="{00000000-0005-0000-0000-0000A02B0000}"/>
    <cellStyle name="Normal 2 2 2 2 2 2 21 5 8" xfId="11169" xr:uid="{00000000-0005-0000-0000-0000A12B0000}"/>
    <cellStyle name="Normal 2 2 2 2 2 2 21 5 9" xfId="11170" xr:uid="{00000000-0005-0000-0000-0000A22B0000}"/>
    <cellStyle name="Normal 2 2 2 2 2 2 21 6" xfId="11171" xr:uid="{00000000-0005-0000-0000-0000A32B0000}"/>
    <cellStyle name="Normal 2 2 2 2 2 2 21 7" xfId="11172" xr:uid="{00000000-0005-0000-0000-0000A42B0000}"/>
    <cellStyle name="Normal 2 2 2 2 2 2 21 8" xfId="11173" xr:uid="{00000000-0005-0000-0000-0000A52B0000}"/>
    <cellStyle name="Normal 2 2 2 2 2 2 21 9" xfId="11174" xr:uid="{00000000-0005-0000-0000-0000A62B0000}"/>
    <cellStyle name="Normal 2 2 2 2 2 2 22" xfId="11175" xr:uid="{00000000-0005-0000-0000-0000A72B0000}"/>
    <cellStyle name="Normal 2 2 2 2 2 2 22 10" xfId="11176" xr:uid="{00000000-0005-0000-0000-0000A82B0000}"/>
    <cellStyle name="Normal 2 2 2 2 2 2 22 11" xfId="11177" xr:uid="{00000000-0005-0000-0000-0000A92B0000}"/>
    <cellStyle name="Normal 2 2 2 2 2 2 22 12" xfId="11178" xr:uid="{00000000-0005-0000-0000-0000AA2B0000}"/>
    <cellStyle name="Normal 2 2 2 2 2 2 22 13" xfId="11179" xr:uid="{00000000-0005-0000-0000-0000AB2B0000}"/>
    <cellStyle name="Normal 2 2 2 2 2 2 22 14" xfId="11180" xr:uid="{00000000-0005-0000-0000-0000AC2B0000}"/>
    <cellStyle name="Normal 2 2 2 2 2 2 22 2" xfId="11181" xr:uid="{00000000-0005-0000-0000-0000AD2B0000}"/>
    <cellStyle name="Normal 2 2 2 2 2 2 22 2 10" xfId="11182" xr:uid="{00000000-0005-0000-0000-0000AE2B0000}"/>
    <cellStyle name="Normal 2 2 2 2 2 2 22 2 2" xfId="11183" xr:uid="{00000000-0005-0000-0000-0000AF2B0000}"/>
    <cellStyle name="Normal 2 2 2 2 2 2 22 2 3" xfId="11184" xr:uid="{00000000-0005-0000-0000-0000B02B0000}"/>
    <cellStyle name="Normal 2 2 2 2 2 2 22 2 4" xfId="11185" xr:uid="{00000000-0005-0000-0000-0000B12B0000}"/>
    <cellStyle name="Normal 2 2 2 2 2 2 22 2 5" xfId="11186" xr:uid="{00000000-0005-0000-0000-0000B22B0000}"/>
    <cellStyle name="Normal 2 2 2 2 2 2 22 2 6" xfId="11187" xr:uid="{00000000-0005-0000-0000-0000B32B0000}"/>
    <cellStyle name="Normal 2 2 2 2 2 2 22 2 7" xfId="11188" xr:uid="{00000000-0005-0000-0000-0000B42B0000}"/>
    <cellStyle name="Normal 2 2 2 2 2 2 22 2 8" xfId="11189" xr:uid="{00000000-0005-0000-0000-0000B52B0000}"/>
    <cellStyle name="Normal 2 2 2 2 2 2 22 2 9" xfId="11190" xr:uid="{00000000-0005-0000-0000-0000B62B0000}"/>
    <cellStyle name="Normal 2 2 2 2 2 2 22 3" xfId="11191" xr:uid="{00000000-0005-0000-0000-0000B72B0000}"/>
    <cellStyle name="Normal 2 2 2 2 2 2 22 3 10" xfId="11192" xr:uid="{00000000-0005-0000-0000-0000B82B0000}"/>
    <cellStyle name="Normal 2 2 2 2 2 2 22 3 2" xfId="11193" xr:uid="{00000000-0005-0000-0000-0000B92B0000}"/>
    <cellStyle name="Normal 2 2 2 2 2 2 22 3 3" xfId="11194" xr:uid="{00000000-0005-0000-0000-0000BA2B0000}"/>
    <cellStyle name="Normal 2 2 2 2 2 2 22 3 4" xfId="11195" xr:uid="{00000000-0005-0000-0000-0000BB2B0000}"/>
    <cellStyle name="Normal 2 2 2 2 2 2 22 3 5" xfId="11196" xr:uid="{00000000-0005-0000-0000-0000BC2B0000}"/>
    <cellStyle name="Normal 2 2 2 2 2 2 22 3 6" xfId="11197" xr:uid="{00000000-0005-0000-0000-0000BD2B0000}"/>
    <cellStyle name="Normal 2 2 2 2 2 2 22 3 7" xfId="11198" xr:uid="{00000000-0005-0000-0000-0000BE2B0000}"/>
    <cellStyle name="Normal 2 2 2 2 2 2 22 3 8" xfId="11199" xr:uid="{00000000-0005-0000-0000-0000BF2B0000}"/>
    <cellStyle name="Normal 2 2 2 2 2 2 22 3 9" xfId="11200" xr:uid="{00000000-0005-0000-0000-0000C02B0000}"/>
    <cellStyle name="Normal 2 2 2 2 2 2 22 4" xfId="11201" xr:uid="{00000000-0005-0000-0000-0000C12B0000}"/>
    <cellStyle name="Normal 2 2 2 2 2 2 22 4 10" xfId="11202" xr:uid="{00000000-0005-0000-0000-0000C22B0000}"/>
    <cellStyle name="Normal 2 2 2 2 2 2 22 4 2" xfId="11203" xr:uid="{00000000-0005-0000-0000-0000C32B0000}"/>
    <cellStyle name="Normal 2 2 2 2 2 2 22 4 3" xfId="11204" xr:uid="{00000000-0005-0000-0000-0000C42B0000}"/>
    <cellStyle name="Normal 2 2 2 2 2 2 22 4 4" xfId="11205" xr:uid="{00000000-0005-0000-0000-0000C52B0000}"/>
    <cellStyle name="Normal 2 2 2 2 2 2 22 4 5" xfId="11206" xr:uid="{00000000-0005-0000-0000-0000C62B0000}"/>
    <cellStyle name="Normal 2 2 2 2 2 2 22 4 6" xfId="11207" xr:uid="{00000000-0005-0000-0000-0000C72B0000}"/>
    <cellStyle name="Normal 2 2 2 2 2 2 22 4 7" xfId="11208" xr:uid="{00000000-0005-0000-0000-0000C82B0000}"/>
    <cellStyle name="Normal 2 2 2 2 2 2 22 4 8" xfId="11209" xr:uid="{00000000-0005-0000-0000-0000C92B0000}"/>
    <cellStyle name="Normal 2 2 2 2 2 2 22 4 9" xfId="11210" xr:uid="{00000000-0005-0000-0000-0000CA2B0000}"/>
    <cellStyle name="Normal 2 2 2 2 2 2 22 5" xfId="11211" xr:uid="{00000000-0005-0000-0000-0000CB2B0000}"/>
    <cellStyle name="Normal 2 2 2 2 2 2 22 5 10" xfId="11212" xr:uid="{00000000-0005-0000-0000-0000CC2B0000}"/>
    <cellStyle name="Normal 2 2 2 2 2 2 22 5 2" xfId="11213" xr:uid="{00000000-0005-0000-0000-0000CD2B0000}"/>
    <cellStyle name="Normal 2 2 2 2 2 2 22 5 3" xfId="11214" xr:uid="{00000000-0005-0000-0000-0000CE2B0000}"/>
    <cellStyle name="Normal 2 2 2 2 2 2 22 5 4" xfId="11215" xr:uid="{00000000-0005-0000-0000-0000CF2B0000}"/>
    <cellStyle name="Normal 2 2 2 2 2 2 22 5 5" xfId="11216" xr:uid="{00000000-0005-0000-0000-0000D02B0000}"/>
    <cellStyle name="Normal 2 2 2 2 2 2 22 5 6" xfId="11217" xr:uid="{00000000-0005-0000-0000-0000D12B0000}"/>
    <cellStyle name="Normal 2 2 2 2 2 2 22 5 7" xfId="11218" xr:uid="{00000000-0005-0000-0000-0000D22B0000}"/>
    <cellStyle name="Normal 2 2 2 2 2 2 22 5 8" xfId="11219" xr:uid="{00000000-0005-0000-0000-0000D32B0000}"/>
    <cellStyle name="Normal 2 2 2 2 2 2 22 5 9" xfId="11220" xr:uid="{00000000-0005-0000-0000-0000D42B0000}"/>
    <cellStyle name="Normal 2 2 2 2 2 2 22 6" xfId="11221" xr:uid="{00000000-0005-0000-0000-0000D52B0000}"/>
    <cellStyle name="Normal 2 2 2 2 2 2 22 7" xfId="11222" xr:uid="{00000000-0005-0000-0000-0000D62B0000}"/>
    <cellStyle name="Normal 2 2 2 2 2 2 22 8" xfId="11223" xr:uid="{00000000-0005-0000-0000-0000D72B0000}"/>
    <cellStyle name="Normal 2 2 2 2 2 2 22 9" xfId="11224" xr:uid="{00000000-0005-0000-0000-0000D82B0000}"/>
    <cellStyle name="Normal 2 2 2 2 2 2 23" xfId="11225" xr:uid="{00000000-0005-0000-0000-0000D92B0000}"/>
    <cellStyle name="Normal 2 2 2 2 2 2 23 10" xfId="11226" xr:uid="{00000000-0005-0000-0000-0000DA2B0000}"/>
    <cellStyle name="Normal 2 2 2 2 2 2 23 11" xfId="11227" xr:uid="{00000000-0005-0000-0000-0000DB2B0000}"/>
    <cellStyle name="Normal 2 2 2 2 2 2 23 12" xfId="11228" xr:uid="{00000000-0005-0000-0000-0000DC2B0000}"/>
    <cellStyle name="Normal 2 2 2 2 2 2 23 13" xfId="11229" xr:uid="{00000000-0005-0000-0000-0000DD2B0000}"/>
    <cellStyle name="Normal 2 2 2 2 2 2 23 14" xfId="11230" xr:uid="{00000000-0005-0000-0000-0000DE2B0000}"/>
    <cellStyle name="Normal 2 2 2 2 2 2 23 2" xfId="11231" xr:uid="{00000000-0005-0000-0000-0000DF2B0000}"/>
    <cellStyle name="Normal 2 2 2 2 2 2 23 2 10" xfId="11232" xr:uid="{00000000-0005-0000-0000-0000E02B0000}"/>
    <cellStyle name="Normal 2 2 2 2 2 2 23 2 2" xfId="11233" xr:uid="{00000000-0005-0000-0000-0000E12B0000}"/>
    <cellStyle name="Normal 2 2 2 2 2 2 23 2 3" xfId="11234" xr:uid="{00000000-0005-0000-0000-0000E22B0000}"/>
    <cellStyle name="Normal 2 2 2 2 2 2 23 2 4" xfId="11235" xr:uid="{00000000-0005-0000-0000-0000E32B0000}"/>
    <cellStyle name="Normal 2 2 2 2 2 2 23 2 5" xfId="11236" xr:uid="{00000000-0005-0000-0000-0000E42B0000}"/>
    <cellStyle name="Normal 2 2 2 2 2 2 23 2 6" xfId="11237" xr:uid="{00000000-0005-0000-0000-0000E52B0000}"/>
    <cellStyle name="Normal 2 2 2 2 2 2 23 2 7" xfId="11238" xr:uid="{00000000-0005-0000-0000-0000E62B0000}"/>
    <cellStyle name="Normal 2 2 2 2 2 2 23 2 8" xfId="11239" xr:uid="{00000000-0005-0000-0000-0000E72B0000}"/>
    <cellStyle name="Normal 2 2 2 2 2 2 23 2 9" xfId="11240" xr:uid="{00000000-0005-0000-0000-0000E82B0000}"/>
    <cellStyle name="Normal 2 2 2 2 2 2 23 3" xfId="11241" xr:uid="{00000000-0005-0000-0000-0000E92B0000}"/>
    <cellStyle name="Normal 2 2 2 2 2 2 23 3 10" xfId="11242" xr:uid="{00000000-0005-0000-0000-0000EA2B0000}"/>
    <cellStyle name="Normal 2 2 2 2 2 2 23 3 2" xfId="11243" xr:uid="{00000000-0005-0000-0000-0000EB2B0000}"/>
    <cellStyle name="Normal 2 2 2 2 2 2 23 3 3" xfId="11244" xr:uid="{00000000-0005-0000-0000-0000EC2B0000}"/>
    <cellStyle name="Normal 2 2 2 2 2 2 23 3 4" xfId="11245" xr:uid="{00000000-0005-0000-0000-0000ED2B0000}"/>
    <cellStyle name="Normal 2 2 2 2 2 2 23 3 5" xfId="11246" xr:uid="{00000000-0005-0000-0000-0000EE2B0000}"/>
    <cellStyle name="Normal 2 2 2 2 2 2 23 3 6" xfId="11247" xr:uid="{00000000-0005-0000-0000-0000EF2B0000}"/>
    <cellStyle name="Normal 2 2 2 2 2 2 23 3 7" xfId="11248" xr:uid="{00000000-0005-0000-0000-0000F02B0000}"/>
    <cellStyle name="Normal 2 2 2 2 2 2 23 3 8" xfId="11249" xr:uid="{00000000-0005-0000-0000-0000F12B0000}"/>
    <cellStyle name="Normal 2 2 2 2 2 2 23 3 9" xfId="11250" xr:uid="{00000000-0005-0000-0000-0000F22B0000}"/>
    <cellStyle name="Normal 2 2 2 2 2 2 23 4" xfId="11251" xr:uid="{00000000-0005-0000-0000-0000F32B0000}"/>
    <cellStyle name="Normal 2 2 2 2 2 2 23 4 10" xfId="11252" xr:uid="{00000000-0005-0000-0000-0000F42B0000}"/>
    <cellStyle name="Normal 2 2 2 2 2 2 23 4 2" xfId="11253" xr:uid="{00000000-0005-0000-0000-0000F52B0000}"/>
    <cellStyle name="Normal 2 2 2 2 2 2 23 4 3" xfId="11254" xr:uid="{00000000-0005-0000-0000-0000F62B0000}"/>
    <cellStyle name="Normal 2 2 2 2 2 2 23 4 4" xfId="11255" xr:uid="{00000000-0005-0000-0000-0000F72B0000}"/>
    <cellStyle name="Normal 2 2 2 2 2 2 23 4 5" xfId="11256" xr:uid="{00000000-0005-0000-0000-0000F82B0000}"/>
    <cellStyle name="Normal 2 2 2 2 2 2 23 4 6" xfId="11257" xr:uid="{00000000-0005-0000-0000-0000F92B0000}"/>
    <cellStyle name="Normal 2 2 2 2 2 2 23 4 7" xfId="11258" xr:uid="{00000000-0005-0000-0000-0000FA2B0000}"/>
    <cellStyle name="Normal 2 2 2 2 2 2 23 4 8" xfId="11259" xr:uid="{00000000-0005-0000-0000-0000FB2B0000}"/>
    <cellStyle name="Normal 2 2 2 2 2 2 23 4 9" xfId="11260" xr:uid="{00000000-0005-0000-0000-0000FC2B0000}"/>
    <cellStyle name="Normal 2 2 2 2 2 2 23 5" xfId="11261" xr:uid="{00000000-0005-0000-0000-0000FD2B0000}"/>
    <cellStyle name="Normal 2 2 2 2 2 2 23 5 10" xfId="11262" xr:uid="{00000000-0005-0000-0000-0000FE2B0000}"/>
    <cellStyle name="Normal 2 2 2 2 2 2 23 5 2" xfId="11263" xr:uid="{00000000-0005-0000-0000-0000FF2B0000}"/>
    <cellStyle name="Normal 2 2 2 2 2 2 23 5 3" xfId="11264" xr:uid="{00000000-0005-0000-0000-0000002C0000}"/>
    <cellStyle name="Normal 2 2 2 2 2 2 23 5 4" xfId="11265" xr:uid="{00000000-0005-0000-0000-0000012C0000}"/>
    <cellStyle name="Normal 2 2 2 2 2 2 23 5 5" xfId="11266" xr:uid="{00000000-0005-0000-0000-0000022C0000}"/>
    <cellStyle name="Normal 2 2 2 2 2 2 23 5 6" xfId="11267" xr:uid="{00000000-0005-0000-0000-0000032C0000}"/>
    <cellStyle name="Normal 2 2 2 2 2 2 23 5 7" xfId="11268" xr:uid="{00000000-0005-0000-0000-0000042C0000}"/>
    <cellStyle name="Normal 2 2 2 2 2 2 23 5 8" xfId="11269" xr:uid="{00000000-0005-0000-0000-0000052C0000}"/>
    <cellStyle name="Normal 2 2 2 2 2 2 23 5 9" xfId="11270" xr:uid="{00000000-0005-0000-0000-0000062C0000}"/>
    <cellStyle name="Normal 2 2 2 2 2 2 23 6" xfId="11271" xr:uid="{00000000-0005-0000-0000-0000072C0000}"/>
    <cellStyle name="Normal 2 2 2 2 2 2 23 7" xfId="11272" xr:uid="{00000000-0005-0000-0000-0000082C0000}"/>
    <cellStyle name="Normal 2 2 2 2 2 2 23 8" xfId="11273" xr:uid="{00000000-0005-0000-0000-0000092C0000}"/>
    <cellStyle name="Normal 2 2 2 2 2 2 23 9" xfId="11274" xr:uid="{00000000-0005-0000-0000-00000A2C0000}"/>
    <cellStyle name="Normal 2 2 2 2 2 2 24" xfId="11275" xr:uid="{00000000-0005-0000-0000-00000B2C0000}"/>
    <cellStyle name="Normal 2 2 2 2 2 2 24 10" xfId="11276" xr:uid="{00000000-0005-0000-0000-00000C2C0000}"/>
    <cellStyle name="Normal 2 2 2 2 2 2 24 11" xfId="11277" xr:uid="{00000000-0005-0000-0000-00000D2C0000}"/>
    <cellStyle name="Normal 2 2 2 2 2 2 24 12" xfId="11278" xr:uid="{00000000-0005-0000-0000-00000E2C0000}"/>
    <cellStyle name="Normal 2 2 2 2 2 2 24 13" xfId="11279" xr:uid="{00000000-0005-0000-0000-00000F2C0000}"/>
    <cellStyle name="Normal 2 2 2 2 2 2 24 14" xfId="11280" xr:uid="{00000000-0005-0000-0000-0000102C0000}"/>
    <cellStyle name="Normal 2 2 2 2 2 2 24 2" xfId="11281" xr:uid="{00000000-0005-0000-0000-0000112C0000}"/>
    <cellStyle name="Normal 2 2 2 2 2 2 24 2 10" xfId="11282" xr:uid="{00000000-0005-0000-0000-0000122C0000}"/>
    <cellStyle name="Normal 2 2 2 2 2 2 24 2 2" xfId="11283" xr:uid="{00000000-0005-0000-0000-0000132C0000}"/>
    <cellStyle name="Normal 2 2 2 2 2 2 24 2 3" xfId="11284" xr:uid="{00000000-0005-0000-0000-0000142C0000}"/>
    <cellStyle name="Normal 2 2 2 2 2 2 24 2 4" xfId="11285" xr:uid="{00000000-0005-0000-0000-0000152C0000}"/>
    <cellStyle name="Normal 2 2 2 2 2 2 24 2 5" xfId="11286" xr:uid="{00000000-0005-0000-0000-0000162C0000}"/>
    <cellStyle name="Normal 2 2 2 2 2 2 24 2 6" xfId="11287" xr:uid="{00000000-0005-0000-0000-0000172C0000}"/>
    <cellStyle name="Normal 2 2 2 2 2 2 24 2 7" xfId="11288" xr:uid="{00000000-0005-0000-0000-0000182C0000}"/>
    <cellStyle name="Normal 2 2 2 2 2 2 24 2 8" xfId="11289" xr:uid="{00000000-0005-0000-0000-0000192C0000}"/>
    <cellStyle name="Normal 2 2 2 2 2 2 24 2 9" xfId="11290" xr:uid="{00000000-0005-0000-0000-00001A2C0000}"/>
    <cellStyle name="Normal 2 2 2 2 2 2 24 3" xfId="11291" xr:uid="{00000000-0005-0000-0000-00001B2C0000}"/>
    <cellStyle name="Normal 2 2 2 2 2 2 24 3 10" xfId="11292" xr:uid="{00000000-0005-0000-0000-00001C2C0000}"/>
    <cellStyle name="Normal 2 2 2 2 2 2 24 3 2" xfId="11293" xr:uid="{00000000-0005-0000-0000-00001D2C0000}"/>
    <cellStyle name="Normal 2 2 2 2 2 2 24 3 3" xfId="11294" xr:uid="{00000000-0005-0000-0000-00001E2C0000}"/>
    <cellStyle name="Normal 2 2 2 2 2 2 24 3 4" xfId="11295" xr:uid="{00000000-0005-0000-0000-00001F2C0000}"/>
    <cellStyle name="Normal 2 2 2 2 2 2 24 3 5" xfId="11296" xr:uid="{00000000-0005-0000-0000-0000202C0000}"/>
    <cellStyle name="Normal 2 2 2 2 2 2 24 3 6" xfId="11297" xr:uid="{00000000-0005-0000-0000-0000212C0000}"/>
    <cellStyle name="Normal 2 2 2 2 2 2 24 3 7" xfId="11298" xr:uid="{00000000-0005-0000-0000-0000222C0000}"/>
    <cellStyle name="Normal 2 2 2 2 2 2 24 3 8" xfId="11299" xr:uid="{00000000-0005-0000-0000-0000232C0000}"/>
    <cellStyle name="Normal 2 2 2 2 2 2 24 3 9" xfId="11300" xr:uid="{00000000-0005-0000-0000-0000242C0000}"/>
    <cellStyle name="Normal 2 2 2 2 2 2 24 4" xfId="11301" xr:uid="{00000000-0005-0000-0000-0000252C0000}"/>
    <cellStyle name="Normal 2 2 2 2 2 2 24 4 10" xfId="11302" xr:uid="{00000000-0005-0000-0000-0000262C0000}"/>
    <cellStyle name="Normal 2 2 2 2 2 2 24 4 2" xfId="11303" xr:uid="{00000000-0005-0000-0000-0000272C0000}"/>
    <cellStyle name="Normal 2 2 2 2 2 2 24 4 3" xfId="11304" xr:uid="{00000000-0005-0000-0000-0000282C0000}"/>
    <cellStyle name="Normal 2 2 2 2 2 2 24 4 4" xfId="11305" xr:uid="{00000000-0005-0000-0000-0000292C0000}"/>
    <cellStyle name="Normal 2 2 2 2 2 2 24 4 5" xfId="11306" xr:uid="{00000000-0005-0000-0000-00002A2C0000}"/>
    <cellStyle name="Normal 2 2 2 2 2 2 24 4 6" xfId="11307" xr:uid="{00000000-0005-0000-0000-00002B2C0000}"/>
    <cellStyle name="Normal 2 2 2 2 2 2 24 4 7" xfId="11308" xr:uid="{00000000-0005-0000-0000-00002C2C0000}"/>
    <cellStyle name="Normal 2 2 2 2 2 2 24 4 8" xfId="11309" xr:uid="{00000000-0005-0000-0000-00002D2C0000}"/>
    <cellStyle name="Normal 2 2 2 2 2 2 24 4 9" xfId="11310" xr:uid="{00000000-0005-0000-0000-00002E2C0000}"/>
    <cellStyle name="Normal 2 2 2 2 2 2 24 5" xfId="11311" xr:uid="{00000000-0005-0000-0000-00002F2C0000}"/>
    <cellStyle name="Normal 2 2 2 2 2 2 24 5 10" xfId="11312" xr:uid="{00000000-0005-0000-0000-0000302C0000}"/>
    <cellStyle name="Normal 2 2 2 2 2 2 24 5 2" xfId="11313" xr:uid="{00000000-0005-0000-0000-0000312C0000}"/>
    <cellStyle name="Normal 2 2 2 2 2 2 24 5 3" xfId="11314" xr:uid="{00000000-0005-0000-0000-0000322C0000}"/>
    <cellStyle name="Normal 2 2 2 2 2 2 24 5 4" xfId="11315" xr:uid="{00000000-0005-0000-0000-0000332C0000}"/>
    <cellStyle name="Normal 2 2 2 2 2 2 24 5 5" xfId="11316" xr:uid="{00000000-0005-0000-0000-0000342C0000}"/>
    <cellStyle name="Normal 2 2 2 2 2 2 24 5 6" xfId="11317" xr:uid="{00000000-0005-0000-0000-0000352C0000}"/>
    <cellStyle name="Normal 2 2 2 2 2 2 24 5 7" xfId="11318" xr:uid="{00000000-0005-0000-0000-0000362C0000}"/>
    <cellStyle name="Normal 2 2 2 2 2 2 24 5 8" xfId="11319" xr:uid="{00000000-0005-0000-0000-0000372C0000}"/>
    <cellStyle name="Normal 2 2 2 2 2 2 24 5 9" xfId="11320" xr:uid="{00000000-0005-0000-0000-0000382C0000}"/>
    <cellStyle name="Normal 2 2 2 2 2 2 24 6" xfId="11321" xr:uid="{00000000-0005-0000-0000-0000392C0000}"/>
    <cellStyle name="Normal 2 2 2 2 2 2 24 7" xfId="11322" xr:uid="{00000000-0005-0000-0000-00003A2C0000}"/>
    <cellStyle name="Normal 2 2 2 2 2 2 24 8" xfId="11323" xr:uid="{00000000-0005-0000-0000-00003B2C0000}"/>
    <cellStyle name="Normal 2 2 2 2 2 2 24 9" xfId="11324" xr:uid="{00000000-0005-0000-0000-00003C2C0000}"/>
    <cellStyle name="Normal 2 2 2 2 2 2 25" xfId="11325" xr:uid="{00000000-0005-0000-0000-00003D2C0000}"/>
    <cellStyle name="Normal 2 2 2 2 2 2 25 10" xfId="11326" xr:uid="{00000000-0005-0000-0000-00003E2C0000}"/>
    <cellStyle name="Normal 2 2 2 2 2 2 25 11" xfId="11327" xr:uid="{00000000-0005-0000-0000-00003F2C0000}"/>
    <cellStyle name="Normal 2 2 2 2 2 2 25 12" xfId="11328" xr:uid="{00000000-0005-0000-0000-0000402C0000}"/>
    <cellStyle name="Normal 2 2 2 2 2 2 25 13" xfId="11329" xr:uid="{00000000-0005-0000-0000-0000412C0000}"/>
    <cellStyle name="Normal 2 2 2 2 2 2 25 14" xfId="11330" xr:uid="{00000000-0005-0000-0000-0000422C0000}"/>
    <cellStyle name="Normal 2 2 2 2 2 2 25 2" xfId="11331" xr:uid="{00000000-0005-0000-0000-0000432C0000}"/>
    <cellStyle name="Normal 2 2 2 2 2 2 25 2 10" xfId="11332" xr:uid="{00000000-0005-0000-0000-0000442C0000}"/>
    <cellStyle name="Normal 2 2 2 2 2 2 25 2 2" xfId="11333" xr:uid="{00000000-0005-0000-0000-0000452C0000}"/>
    <cellStyle name="Normal 2 2 2 2 2 2 25 2 3" xfId="11334" xr:uid="{00000000-0005-0000-0000-0000462C0000}"/>
    <cellStyle name="Normal 2 2 2 2 2 2 25 2 4" xfId="11335" xr:uid="{00000000-0005-0000-0000-0000472C0000}"/>
    <cellStyle name="Normal 2 2 2 2 2 2 25 2 5" xfId="11336" xr:uid="{00000000-0005-0000-0000-0000482C0000}"/>
    <cellStyle name="Normal 2 2 2 2 2 2 25 2 6" xfId="11337" xr:uid="{00000000-0005-0000-0000-0000492C0000}"/>
    <cellStyle name="Normal 2 2 2 2 2 2 25 2 7" xfId="11338" xr:uid="{00000000-0005-0000-0000-00004A2C0000}"/>
    <cellStyle name="Normal 2 2 2 2 2 2 25 2 8" xfId="11339" xr:uid="{00000000-0005-0000-0000-00004B2C0000}"/>
    <cellStyle name="Normal 2 2 2 2 2 2 25 2 9" xfId="11340" xr:uid="{00000000-0005-0000-0000-00004C2C0000}"/>
    <cellStyle name="Normal 2 2 2 2 2 2 25 3" xfId="11341" xr:uid="{00000000-0005-0000-0000-00004D2C0000}"/>
    <cellStyle name="Normal 2 2 2 2 2 2 25 3 10" xfId="11342" xr:uid="{00000000-0005-0000-0000-00004E2C0000}"/>
    <cellStyle name="Normal 2 2 2 2 2 2 25 3 2" xfId="11343" xr:uid="{00000000-0005-0000-0000-00004F2C0000}"/>
    <cellStyle name="Normal 2 2 2 2 2 2 25 3 3" xfId="11344" xr:uid="{00000000-0005-0000-0000-0000502C0000}"/>
    <cellStyle name="Normal 2 2 2 2 2 2 25 3 4" xfId="11345" xr:uid="{00000000-0005-0000-0000-0000512C0000}"/>
    <cellStyle name="Normal 2 2 2 2 2 2 25 3 5" xfId="11346" xr:uid="{00000000-0005-0000-0000-0000522C0000}"/>
    <cellStyle name="Normal 2 2 2 2 2 2 25 3 6" xfId="11347" xr:uid="{00000000-0005-0000-0000-0000532C0000}"/>
    <cellStyle name="Normal 2 2 2 2 2 2 25 3 7" xfId="11348" xr:uid="{00000000-0005-0000-0000-0000542C0000}"/>
    <cellStyle name="Normal 2 2 2 2 2 2 25 3 8" xfId="11349" xr:uid="{00000000-0005-0000-0000-0000552C0000}"/>
    <cellStyle name="Normal 2 2 2 2 2 2 25 3 9" xfId="11350" xr:uid="{00000000-0005-0000-0000-0000562C0000}"/>
    <cellStyle name="Normal 2 2 2 2 2 2 25 4" xfId="11351" xr:uid="{00000000-0005-0000-0000-0000572C0000}"/>
    <cellStyle name="Normal 2 2 2 2 2 2 25 4 10" xfId="11352" xr:uid="{00000000-0005-0000-0000-0000582C0000}"/>
    <cellStyle name="Normal 2 2 2 2 2 2 25 4 2" xfId="11353" xr:uid="{00000000-0005-0000-0000-0000592C0000}"/>
    <cellStyle name="Normal 2 2 2 2 2 2 25 4 3" xfId="11354" xr:uid="{00000000-0005-0000-0000-00005A2C0000}"/>
    <cellStyle name="Normal 2 2 2 2 2 2 25 4 4" xfId="11355" xr:uid="{00000000-0005-0000-0000-00005B2C0000}"/>
    <cellStyle name="Normal 2 2 2 2 2 2 25 4 5" xfId="11356" xr:uid="{00000000-0005-0000-0000-00005C2C0000}"/>
    <cellStyle name="Normal 2 2 2 2 2 2 25 4 6" xfId="11357" xr:uid="{00000000-0005-0000-0000-00005D2C0000}"/>
    <cellStyle name="Normal 2 2 2 2 2 2 25 4 7" xfId="11358" xr:uid="{00000000-0005-0000-0000-00005E2C0000}"/>
    <cellStyle name="Normal 2 2 2 2 2 2 25 4 8" xfId="11359" xr:uid="{00000000-0005-0000-0000-00005F2C0000}"/>
    <cellStyle name="Normal 2 2 2 2 2 2 25 4 9" xfId="11360" xr:uid="{00000000-0005-0000-0000-0000602C0000}"/>
    <cellStyle name="Normal 2 2 2 2 2 2 25 5" xfId="11361" xr:uid="{00000000-0005-0000-0000-0000612C0000}"/>
    <cellStyle name="Normal 2 2 2 2 2 2 25 5 10" xfId="11362" xr:uid="{00000000-0005-0000-0000-0000622C0000}"/>
    <cellStyle name="Normal 2 2 2 2 2 2 25 5 2" xfId="11363" xr:uid="{00000000-0005-0000-0000-0000632C0000}"/>
    <cellStyle name="Normal 2 2 2 2 2 2 25 5 3" xfId="11364" xr:uid="{00000000-0005-0000-0000-0000642C0000}"/>
    <cellStyle name="Normal 2 2 2 2 2 2 25 5 4" xfId="11365" xr:uid="{00000000-0005-0000-0000-0000652C0000}"/>
    <cellStyle name="Normal 2 2 2 2 2 2 25 5 5" xfId="11366" xr:uid="{00000000-0005-0000-0000-0000662C0000}"/>
    <cellStyle name="Normal 2 2 2 2 2 2 25 5 6" xfId="11367" xr:uid="{00000000-0005-0000-0000-0000672C0000}"/>
    <cellStyle name="Normal 2 2 2 2 2 2 25 5 7" xfId="11368" xr:uid="{00000000-0005-0000-0000-0000682C0000}"/>
    <cellStyle name="Normal 2 2 2 2 2 2 25 5 8" xfId="11369" xr:uid="{00000000-0005-0000-0000-0000692C0000}"/>
    <cellStyle name="Normal 2 2 2 2 2 2 25 5 9" xfId="11370" xr:uid="{00000000-0005-0000-0000-00006A2C0000}"/>
    <cellStyle name="Normal 2 2 2 2 2 2 25 6" xfId="11371" xr:uid="{00000000-0005-0000-0000-00006B2C0000}"/>
    <cellStyle name="Normal 2 2 2 2 2 2 25 7" xfId="11372" xr:uid="{00000000-0005-0000-0000-00006C2C0000}"/>
    <cellStyle name="Normal 2 2 2 2 2 2 25 8" xfId="11373" xr:uid="{00000000-0005-0000-0000-00006D2C0000}"/>
    <cellStyle name="Normal 2 2 2 2 2 2 25 9" xfId="11374" xr:uid="{00000000-0005-0000-0000-00006E2C0000}"/>
    <cellStyle name="Normal 2 2 2 2 2 2 26" xfId="11375" xr:uid="{00000000-0005-0000-0000-00006F2C0000}"/>
    <cellStyle name="Normal 2 2 2 2 2 2 26 10" xfId="11376" xr:uid="{00000000-0005-0000-0000-0000702C0000}"/>
    <cellStyle name="Normal 2 2 2 2 2 2 26 11" xfId="11377" xr:uid="{00000000-0005-0000-0000-0000712C0000}"/>
    <cellStyle name="Normal 2 2 2 2 2 2 26 12" xfId="11378" xr:uid="{00000000-0005-0000-0000-0000722C0000}"/>
    <cellStyle name="Normal 2 2 2 2 2 2 26 13" xfId="11379" xr:uid="{00000000-0005-0000-0000-0000732C0000}"/>
    <cellStyle name="Normal 2 2 2 2 2 2 26 14" xfId="11380" xr:uid="{00000000-0005-0000-0000-0000742C0000}"/>
    <cellStyle name="Normal 2 2 2 2 2 2 26 2" xfId="11381" xr:uid="{00000000-0005-0000-0000-0000752C0000}"/>
    <cellStyle name="Normal 2 2 2 2 2 2 26 2 10" xfId="11382" xr:uid="{00000000-0005-0000-0000-0000762C0000}"/>
    <cellStyle name="Normal 2 2 2 2 2 2 26 2 2" xfId="11383" xr:uid="{00000000-0005-0000-0000-0000772C0000}"/>
    <cellStyle name="Normal 2 2 2 2 2 2 26 2 3" xfId="11384" xr:uid="{00000000-0005-0000-0000-0000782C0000}"/>
    <cellStyle name="Normal 2 2 2 2 2 2 26 2 4" xfId="11385" xr:uid="{00000000-0005-0000-0000-0000792C0000}"/>
    <cellStyle name="Normal 2 2 2 2 2 2 26 2 5" xfId="11386" xr:uid="{00000000-0005-0000-0000-00007A2C0000}"/>
    <cellStyle name="Normal 2 2 2 2 2 2 26 2 6" xfId="11387" xr:uid="{00000000-0005-0000-0000-00007B2C0000}"/>
    <cellStyle name="Normal 2 2 2 2 2 2 26 2 7" xfId="11388" xr:uid="{00000000-0005-0000-0000-00007C2C0000}"/>
    <cellStyle name="Normal 2 2 2 2 2 2 26 2 8" xfId="11389" xr:uid="{00000000-0005-0000-0000-00007D2C0000}"/>
    <cellStyle name="Normal 2 2 2 2 2 2 26 2 9" xfId="11390" xr:uid="{00000000-0005-0000-0000-00007E2C0000}"/>
    <cellStyle name="Normal 2 2 2 2 2 2 26 3" xfId="11391" xr:uid="{00000000-0005-0000-0000-00007F2C0000}"/>
    <cellStyle name="Normal 2 2 2 2 2 2 26 3 10" xfId="11392" xr:uid="{00000000-0005-0000-0000-0000802C0000}"/>
    <cellStyle name="Normal 2 2 2 2 2 2 26 3 2" xfId="11393" xr:uid="{00000000-0005-0000-0000-0000812C0000}"/>
    <cellStyle name="Normal 2 2 2 2 2 2 26 3 3" xfId="11394" xr:uid="{00000000-0005-0000-0000-0000822C0000}"/>
    <cellStyle name="Normal 2 2 2 2 2 2 26 3 4" xfId="11395" xr:uid="{00000000-0005-0000-0000-0000832C0000}"/>
    <cellStyle name="Normal 2 2 2 2 2 2 26 3 5" xfId="11396" xr:uid="{00000000-0005-0000-0000-0000842C0000}"/>
    <cellStyle name="Normal 2 2 2 2 2 2 26 3 6" xfId="11397" xr:uid="{00000000-0005-0000-0000-0000852C0000}"/>
    <cellStyle name="Normal 2 2 2 2 2 2 26 3 7" xfId="11398" xr:uid="{00000000-0005-0000-0000-0000862C0000}"/>
    <cellStyle name="Normal 2 2 2 2 2 2 26 3 8" xfId="11399" xr:uid="{00000000-0005-0000-0000-0000872C0000}"/>
    <cellStyle name="Normal 2 2 2 2 2 2 26 3 9" xfId="11400" xr:uid="{00000000-0005-0000-0000-0000882C0000}"/>
    <cellStyle name="Normal 2 2 2 2 2 2 26 4" xfId="11401" xr:uid="{00000000-0005-0000-0000-0000892C0000}"/>
    <cellStyle name="Normal 2 2 2 2 2 2 26 4 10" xfId="11402" xr:uid="{00000000-0005-0000-0000-00008A2C0000}"/>
    <cellStyle name="Normal 2 2 2 2 2 2 26 4 2" xfId="11403" xr:uid="{00000000-0005-0000-0000-00008B2C0000}"/>
    <cellStyle name="Normal 2 2 2 2 2 2 26 4 3" xfId="11404" xr:uid="{00000000-0005-0000-0000-00008C2C0000}"/>
    <cellStyle name="Normal 2 2 2 2 2 2 26 4 4" xfId="11405" xr:uid="{00000000-0005-0000-0000-00008D2C0000}"/>
    <cellStyle name="Normal 2 2 2 2 2 2 26 4 5" xfId="11406" xr:uid="{00000000-0005-0000-0000-00008E2C0000}"/>
    <cellStyle name="Normal 2 2 2 2 2 2 26 4 6" xfId="11407" xr:uid="{00000000-0005-0000-0000-00008F2C0000}"/>
    <cellStyle name="Normal 2 2 2 2 2 2 26 4 7" xfId="11408" xr:uid="{00000000-0005-0000-0000-0000902C0000}"/>
    <cellStyle name="Normal 2 2 2 2 2 2 26 4 8" xfId="11409" xr:uid="{00000000-0005-0000-0000-0000912C0000}"/>
    <cellStyle name="Normal 2 2 2 2 2 2 26 4 9" xfId="11410" xr:uid="{00000000-0005-0000-0000-0000922C0000}"/>
    <cellStyle name="Normal 2 2 2 2 2 2 26 5" xfId="11411" xr:uid="{00000000-0005-0000-0000-0000932C0000}"/>
    <cellStyle name="Normal 2 2 2 2 2 2 26 5 10" xfId="11412" xr:uid="{00000000-0005-0000-0000-0000942C0000}"/>
    <cellStyle name="Normal 2 2 2 2 2 2 26 5 2" xfId="11413" xr:uid="{00000000-0005-0000-0000-0000952C0000}"/>
    <cellStyle name="Normal 2 2 2 2 2 2 26 5 3" xfId="11414" xr:uid="{00000000-0005-0000-0000-0000962C0000}"/>
    <cellStyle name="Normal 2 2 2 2 2 2 26 5 4" xfId="11415" xr:uid="{00000000-0005-0000-0000-0000972C0000}"/>
    <cellStyle name="Normal 2 2 2 2 2 2 26 5 5" xfId="11416" xr:uid="{00000000-0005-0000-0000-0000982C0000}"/>
    <cellStyle name="Normal 2 2 2 2 2 2 26 5 6" xfId="11417" xr:uid="{00000000-0005-0000-0000-0000992C0000}"/>
    <cellStyle name="Normal 2 2 2 2 2 2 26 5 7" xfId="11418" xr:uid="{00000000-0005-0000-0000-00009A2C0000}"/>
    <cellStyle name="Normal 2 2 2 2 2 2 26 5 8" xfId="11419" xr:uid="{00000000-0005-0000-0000-00009B2C0000}"/>
    <cellStyle name="Normal 2 2 2 2 2 2 26 5 9" xfId="11420" xr:uid="{00000000-0005-0000-0000-00009C2C0000}"/>
    <cellStyle name="Normal 2 2 2 2 2 2 26 6" xfId="11421" xr:uid="{00000000-0005-0000-0000-00009D2C0000}"/>
    <cellStyle name="Normal 2 2 2 2 2 2 26 7" xfId="11422" xr:uid="{00000000-0005-0000-0000-00009E2C0000}"/>
    <cellStyle name="Normal 2 2 2 2 2 2 26 8" xfId="11423" xr:uid="{00000000-0005-0000-0000-00009F2C0000}"/>
    <cellStyle name="Normal 2 2 2 2 2 2 26 9" xfId="11424" xr:uid="{00000000-0005-0000-0000-0000A02C0000}"/>
    <cellStyle name="Normal 2 2 2 2 2 2 27" xfId="11425" xr:uid="{00000000-0005-0000-0000-0000A12C0000}"/>
    <cellStyle name="Normal 2 2 2 2 2 2 27 10" xfId="11426" xr:uid="{00000000-0005-0000-0000-0000A22C0000}"/>
    <cellStyle name="Normal 2 2 2 2 2 2 27 11" xfId="11427" xr:uid="{00000000-0005-0000-0000-0000A32C0000}"/>
    <cellStyle name="Normal 2 2 2 2 2 2 27 12" xfId="11428" xr:uid="{00000000-0005-0000-0000-0000A42C0000}"/>
    <cellStyle name="Normal 2 2 2 2 2 2 27 13" xfId="11429" xr:uid="{00000000-0005-0000-0000-0000A52C0000}"/>
    <cellStyle name="Normal 2 2 2 2 2 2 27 14" xfId="11430" xr:uid="{00000000-0005-0000-0000-0000A62C0000}"/>
    <cellStyle name="Normal 2 2 2 2 2 2 27 2" xfId="11431" xr:uid="{00000000-0005-0000-0000-0000A72C0000}"/>
    <cellStyle name="Normal 2 2 2 2 2 2 27 2 10" xfId="11432" xr:uid="{00000000-0005-0000-0000-0000A82C0000}"/>
    <cellStyle name="Normal 2 2 2 2 2 2 27 2 2" xfId="11433" xr:uid="{00000000-0005-0000-0000-0000A92C0000}"/>
    <cellStyle name="Normal 2 2 2 2 2 2 27 2 3" xfId="11434" xr:uid="{00000000-0005-0000-0000-0000AA2C0000}"/>
    <cellStyle name="Normal 2 2 2 2 2 2 27 2 4" xfId="11435" xr:uid="{00000000-0005-0000-0000-0000AB2C0000}"/>
    <cellStyle name="Normal 2 2 2 2 2 2 27 2 5" xfId="11436" xr:uid="{00000000-0005-0000-0000-0000AC2C0000}"/>
    <cellStyle name="Normal 2 2 2 2 2 2 27 2 6" xfId="11437" xr:uid="{00000000-0005-0000-0000-0000AD2C0000}"/>
    <cellStyle name="Normal 2 2 2 2 2 2 27 2 7" xfId="11438" xr:uid="{00000000-0005-0000-0000-0000AE2C0000}"/>
    <cellStyle name="Normal 2 2 2 2 2 2 27 2 8" xfId="11439" xr:uid="{00000000-0005-0000-0000-0000AF2C0000}"/>
    <cellStyle name="Normal 2 2 2 2 2 2 27 2 9" xfId="11440" xr:uid="{00000000-0005-0000-0000-0000B02C0000}"/>
    <cellStyle name="Normal 2 2 2 2 2 2 27 3" xfId="11441" xr:uid="{00000000-0005-0000-0000-0000B12C0000}"/>
    <cellStyle name="Normal 2 2 2 2 2 2 27 3 10" xfId="11442" xr:uid="{00000000-0005-0000-0000-0000B22C0000}"/>
    <cellStyle name="Normal 2 2 2 2 2 2 27 3 2" xfId="11443" xr:uid="{00000000-0005-0000-0000-0000B32C0000}"/>
    <cellStyle name="Normal 2 2 2 2 2 2 27 3 3" xfId="11444" xr:uid="{00000000-0005-0000-0000-0000B42C0000}"/>
    <cellStyle name="Normal 2 2 2 2 2 2 27 3 4" xfId="11445" xr:uid="{00000000-0005-0000-0000-0000B52C0000}"/>
    <cellStyle name="Normal 2 2 2 2 2 2 27 3 5" xfId="11446" xr:uid="{00000000-0005-0000-0000-0000B62C0000}"/>
    <cellStyle name="Normal 2 2 2 2 2 2 27 3 6" xfId="11447" xr:uid="{00000000-0005-0000-0000-0000B72C0000}"/>
    <cellStyle name="Normal 2 2 2 2 2 2 27 3 7" xfId="11448" xr:uid="{00000000-0005-0000-0000-0000B82C0000}"/>
    <cellStyle name="Normal 2 2 2 2 2 2 27 3 8" xfId="11449" xr:uid="{00000000-0005-0000-0000-0000B92C0000}"/>
    <cellStyle name="Normal 2 2 2 2 2 2 27 3 9" xfId="11450" xr:uid="{00000000-0005-0000-0000-0000BA2C0000}"/>
    <cellStyle name="Normal 2 2 2 2 2 2 27 4" xfId="11451" xr:uid="{00000000-0005-0000-0000-0000BB2C0000}"/>
    <cellStyle name="Normal 2 2 2 2 2 2 27 4 10" xfId="11452" xr:uid="{00000000-0005-0000-0000-0000BC2C0000}"/>
    <cellStyle name="Normal 2 2 2 2 2 2 27 4 2" xfId="11453" xr:uid="{00000000-0005-0000-0000-0000BD2C0000}"/>
    <cellStyle name="Normal 2 2 2 2 2 2 27 4 3" xfId="11454" xr:uid="{00000000-0005-0000-0000-0000BE2C0000}"/>
    <cellStyle name="Normal 2 2 2 2 2 2 27 4 4" xfId="11455" xr:uid="{00000000-0005-0000-0000-0000BF2C0000}"/>
    <cellStyle name="Normal 2 2 2 2 2 2 27 4 5" xfId="11456" xr:uid="{00000000-0005-0000-0000-0000C02C0000}"/>
    <cellStyle name="Normal 2 2 2 2 2 2 27 4 6" xfId="11457" xr:uid="{00000000-0005-0000-0000-0000C12C0000}"/>
    <cellStyle name="Normal 2 2 2 2 2 2 27 4 7" xfId="11458" xr:uid="{00000000-0005-0000-0000-0000C22C0000}"/>
    <cellStyle name="Normal 2 2 2 2 2 2 27 4 8" xfId="11459" xr:uid="{00000000-0005-0000-0000-0000C32C0000}"/>
    <cellStyle name="Normal 2 2 2 2 2 2 27 4 9" xfId="11460" xr:uid="{00000000-0005-0000-0000-0000C42C0000}"/>
    <cellStyle name="Normal 2 2 2 2 2 2 27 5" xfId="11461" xr:uid="{00000000-0005-0000-0000-0000C52C0000}"/>
    <cellStyle name="Normal 2 2 2 2 2 2 27 5 10" xfId="11462" xr:uid="{00000000-0005-0000-0000-0000C62C0000}"/>
    <cellStyle name="Normal 2 2 2 2 2 2 27 5 2" xfId="11463" xr:uid="{00000000-0005-0000-0000-0000C72C0000}"/>
    <cellStyle name="Normal 2 2 2 2 2 2 27 5 3" xfId="11464" xr:uid="{00000000-0005-0000-0000-0000C82C0000}"/>
    <cellStyle name="Normal 2 2 2 2 2 2 27 5 4" xfId="11465" xr:uid="{00000000-0005-0000-0000-0000C92C0000}"/>
    <cellStyle name="Normal 2 2 2 2 2 2 27 5 5" xfId="11466" xr:uid="{00000000-0005-0000-0000-0000CA2C0000}"/>
    <cellStyle name="Normal 2 2 2 2 2 2 27 5 6" xfId="11467" xr:uid="{00000000-0005-0000-0000-0000CB2C0000}"/>
    <cellStyle name="Normal 2 2 2 2 2 2 27 5 7" xfId="11468" xr:uid="{00000000-0005-0000-0000-0000CC2C0000}"/>
    <cellStyle name="Normal 2 2 2 2 2 2 27 5 8" xfId="11469" xr:uid="{00000000-0005-0000-0000-0000CD2C0000}"/>
    <cellStyle name="Normal 2 2 2 2 2 2 27 5 9" xfId="11470" xr:uid="{00000000-0005-0000-0000-0000CE2C0000}"/>
    <cellStyle name="Normal 2 2 2 2 2 2 27 6" xfId="11471" xr:uid="{00000000-0005-0000-0000-0000CF2C0000}"/>
    <cellStyle name="Normal 2 2 2 2 2 2 27 7" xfId="11472" xr:uid="{00000000-0005-0000-0000-0000D02C0000}"/>
    <cellStyle name="Normal 2 2 2 2 2 2 27 8" xfId="11473" xr:uid="{00000000-0005-0000-0000-0000D12C0000}"/>
    <cellStyle name="Normal 2 2 2 2 2 2 27 9" xfId="11474" xr:uid="{00000000-0005-0000-0000-0000D22C0000}"/>
    <cellStyle name="Normal 2 2 2 2 2 2 28" xfId="11475" xr:uid="{00000000-0005-0000-0000-0000D32C0000}"/>
    <cellStyle name="Normal 2 2 2 2 2 2 28 10" xfId="11476" xr:uid="{00000000-0005-0000-0000-0000D42C0000}"/>
    <cellStyle name="Normal 2 2 2 2 2 2 28 11" xfId="11477" xr:uid="{00000000-0005-0000-0000-0000D52C0000}"/>
    <cellStyle name="Normal 2 2 2 2 2 2 28 12" xfId="11478" xr:uid="{00000000-0005-0000-0000-0000D62C0000}"/>
    <cellStyle name="Normal 2 2 2 2 2 2 28 13" xfId="11479" xr:uid="{00000000-0005-0000-0000-0000D72C0000}"/>
    <cellStyle name="Normal 2 2 2 2 2 2 28 14" xfId="11480" xr:uid="{00000000-0005-0000-0000-0000D82C0000}"/>
    <cellStyle name="Normal 2 2 2 2 2 2 28 2" xfId="11481" xr:uid="{00000000-0005-0000-0000-0000D92C0000}"/>
    <cellStyle name="Normal 2 2 2 2 2 2 28 2 10" xfId="11482" xr:uid="{00000000-0005-0000-0000-0000DA2C0000}"/>
    <cellStyle name="Normal 2 2 2 2 2 2 28 2 2" xfId="11483" xr:uid="{00000000-0005-0000-0000-0000DB2C0000}"/>
    <cellStyle name="Normal 2 2 2 2 2 2 28 2 3" xfId="11484" xr:uid="{00000000-0005-0000-0000-0000DC2C0000}"/>
    <cellStyle name="Normal 2 2 2 2 2 2 28 2 4" xfId="11485" xr:uid="{00000000-0005-0000-0000-0000DD2C0000}"/>
    <cellStyle name="Normal 2 2 2 2 2 2 28 2 5" xfId="11486" xr:uid="{00000000-0005-0000-0000-0000DE2C0000}"/>
    <cellStyle name="Normal 2 2 2 2 2 2 28 2 6" xfId="11487" xr:uid="{00000000-0005-0000-0000-0000DF2C0000}"/>
    <cellStyle name="Normal 2 2 2 2 2 2 28 2 7" xfId="11488" xr:uid="{00000000-0005-0000-0000-0000E02C0000}"/>
    <cellStyle name="Normal 2 2 2 2 2 2 28 2 8" xfId="11489" xr:uid="{00000000-0005-0000-0000-0000E12C0000}"/>
    <cellStyle name="Normal 2 2 2 2 2 2 28 2 9" xfId="11490" xr:uid="{00000000-0005-0000-0000-0000E22C0000}"/>
    <cellStyle name="Normal 2 2 2 2 2 2 28 3" xfId="11491" xr:uid="{00000000-0005-0000-0000-0000E32C0000}"/>
    <cellStyle name="Normal 2 2 2 2 2 2 28 3 10" xfId="11492" xr:uid="{00000000-0005-0000-0000-0000E42C0000}"/>
    <cellStyle name="Normal 2 2 2 2 2 2 28 3 2" xfId="11493" xr:uid="{00000000-0005-0000-0000-0000E52C0000}"/>
    <cellStyle name="Normal 2 2 2 2 2 2 28 3 3" xfId="11494" xr:uid="{00000000-0005-0000-0000-0000E62C0000}"/>
    <cellStyle name="Normal 2 2 2 2 2 2 28 3 4" xfId="11495" xr:uid="{00000000-0005-0000-0000-0000E72C0000}"/>
    <cellStyle name="Normal 2 2 2 2 2 2 28 3 5" xfId="11496" xr:uid="{00000000-0005-0000-0000-0000E82C0000}"/>
    <cellStyle name="Normal 2 2 2 2 2 2 28 3 6" xfId="11497" xr:uid="{00000000-0005-0000-0000-0000E92C0000}"/>
    <cellStyle name="Normal 2 2 2 2 2 2 28 3 7" xfId="11498" xr:uid="{00000000-0005-0000-0000-0000EA2C0000}"/>
    <cellStyle name="Normal 2 2 2 2 2 2 28 3 8" xfId="11499" xr:uid="{00000000-0005-0000-0000-0000EB2C0000}"/>
    <cellStyle name="Normal 2 2 2 2 2 2 28 3 9" xfId="11500" xr:uid="{00000000-0005-0000-0000-0000EC2C0000}"/>
    <cellStyle name="Normal 2 2 2 2 2 2 28 4" xfId="11501" xr:uid="{00000000-0005-0000-0000-0000ED2C0000}"/>
    <cellStyle name="Normal 2 2 2 2 2 2 28 4 10" xfId="11502" xr:uid="{00000000-0005-0000-0000-0000EE2C0000}"/>
    <cellStyle name="Normal 2 2 2 2 2 2 28 4 2" xfId="11503" xr:uid="{00000000-0005-0000-0000-0000EF2C0000}"/>
    <cellStyle name="Normal 2 2 2 2 2 2 28 4 3" xfId="11504" xr:uid="{00000000-0005-0000-0000-0000F02C0000}"/>
    <cellStyle name="Normal 2 2 2 2 2 2 28 4 4" xfId="11505" xr:uid="{00000000-0005-0000-0000-0000F12C0000}"/>
    <cellStyle name="Normal 2 2 2 2 2 2 28 4 5" xfId="11506" xr:uid="{00000000-0005-0000-0000-0000F22C0000}"/>
    <cellStyle name="Normal 2 2 2 2 2 2 28 4 6" xfId="11507" xr:uid="{00000000-0005-0000-0000-0000F32C0000}"/>
    <cellStyle name="Normal 2 2 2 2 2 2 28 4 7" xfId="11508" xr:uid="{00000000-0005-0000-0000-0000F42C0000}"/>
    <cellStyle name="Normal 2 2 2 2 2 2 28 4 8" xfId="11509" xr:uid="{00000000-0005-0000-0000-0000F52C0000}"/>
    <cellStyle name="Normal 2 2 2 2 2 2 28 4 9" xfId="11510" xr:uid="{00000000-0005-0000-0000-0000F62C0000}"/>
    <cellStyle name="Normal 2 2 2 2 2 2 28 5" xfId="11511" xr:uid="{00000000-0005-0000-0000-0000F72C0000}"/>
    <cellStyle name="Normal 2 2 2 2 2 2 28 5 10" xfId="11512" xr:uid="{00000000-0005-0000-0000-0000F82C0000}"/>
    <cellStyle name="Normal 2 2 2 2 2 2 28 5 2" xfId="11513" xr:uid="{00000000-0005-0000-0000-0000F92C0000}"/>
    <cellStyle name="Normal 2 2 2 2 2 2 28 5 3" xfId="11514" xr:uid="{00000000-0005-0000-0000-0000FA2C0000}"/>
    <cellStyle name="Normal 2 2 2 2 2 2 28 5 4" xfId="11515" xr:uid="{00000000-0005-0000-0000-0000FB2C0000}"/>
    <cellStyle name="Normal 2 2 2 2 2 2 28 5 5" xfId="11516" xr:uid="{00000000-0005-0000-0000-0000FC2C0000}"/>
    <cellStyle name="Normal 2 2 2 2 2 2 28 5 6" xfId="11517" xr:uid="{00000000-0005-0000-0000-0000FD2C0000}"/>
    <cellStyle name="Normal 2 2 2 2 2 2 28 5 7" xfId="11518" xr:uid="{00000000-0005-0000-0000-0000FE2C0000}"/>
    <cellStyle name="Normal 2 2 2 2 2 2 28 5 8" xfId="11519" xr:uid="{00000000-0005-0000-0000-0000FF2C0000}"/>
    <cellStyle name="Normal 2 2 2 2 2 2 28 5 9" xfId="11520" xr:uid="{00000000-0005-0000-0000-0000002D0000}"/>
    <cellStyle name="Normal 2 2 2 2 2 2 28 6" xfId="11521" xr:uid="{00000000-0005-0000-0000-0000012D0000}"/>
    <cellStyle name="Normal 2 2 2 2 2 2 28 7" xfId="11522" xr:uid="{00000000-0005-0000-0000-0000022D0000}"/>
    <cellStyle name="Normal 2 2 2 2 2 2 28 8" xfId="11523" xr:uid="{00000000-0005-0000-0000-0000032D0000}"/>
    <cellStyle name="Normal 2 2 2 2 2 2 28 9" xfId="11524" xr:uid="{00000000-0005-0000-0000-0000042D0000}"/>
    <cellStyle name="Normal 2 2 2 2 2 2 29" xfId="11525" xr:uid="{00000000-0005-0000-0000-0000052D0000}"/>
    <cellStyle name="Normal 2 2 2 2 2 2 29 10" xfId="11526" xr:uid="{00000000-0005-0000-0000-0000062D0000}"/>
    <cellStyle name="Normal 2 2 2 2 2 2 29 11" xfId="11527" xr:uid="{00000000-0005-0000-0000-0000072D0000}"/>
    <cellStyle name="Normal 2 2 2 2 2 2 29 12" xfId="11528" xr:uid="{00000000-0005-0000-0000-0000082D0000}"/>
    <cellStyle name="Normal 2 2 2 2 2 2 29 13" xfId="11529" xr:uid="{00000000-0005-0000-0000-0000092D0000}"/>
    <cellStyle name="Normal 2 2 2 2 2 2 29 14" xfId="11530" xr:uid="{00000000-0005-0000-0000-00000A2D0000}"/>
    <cellStyle name="Normal 2 2 2 2 2 2 29 2" xfId="11531" xr:uid="{00000000-0005-0000-0000-00000B2D0000}"/>
    <cellStyle name="Normal 2 2 2 2 2 2 29 2 10" xfId="11532" xr:uid="{00000000-0005-0000-0000-00000C2D0000}"/>
    <cellStyle name="Normal 2 2 2 2 2 2 29 2 2" xfId="11533" xr:uid="{00000000-0005-0000-0000-00000D2D0000}"/>
    <cellStyle name="Normal 2 2 2 2 2 2 29 2 3" xfId="11534" xr:uid="{00000000-0005-0000-0000-00000E2D0000}"/>
    <cellStyle name="Normal 2 2 2 2 2 2 29 2 4" xfId="11535" xr:uid="{00000000-0005-0000-0000-00000F2D0000}"/>
    <cellStyle name="Normal 2 2 2 2 2 2 29 2 5" xfId="11536" xr:uid="{00000000-0005-0000-0000-0000102D0000}"/>
    <cellStyle name="Normal 2 2 2 2 2 2 29 2 6" xfId="11537" xr:uid="{00000000-0005-0000-0000-0000112D0000}"/>
    <cellStyle name="Normal 2 2 2 2 2 2 29 2 7" xfId="11538" xr:uid="{00000000-0005-0000-0000-0000122D0000}"/>
    <cellStyle name="Normal 2 2 2 2 2 2 29 2 8" xfId="11539" xr:uid="{00000000-0005-0000-0000-0000132D0000}"/>
    <cellStyle name="Normal 2 2 2 2 2 2 29 2 9" xfId="11540" xr:uid="{00000000-0005-0000-0000-0000142D0000}"/>
    <cellStyle name="Normal 2 2 2 2 2 2 29 3" xfId="11541" xr:uid="{00000000-0005-0000-0000-0000152D0000}"/>
    <cellStyle name="Normal 2 2 2 2 2 2 29 3 10" xfId="11542" xr:uid="{00000000-0005-0000-0000-0000162D0000}"/>
    <cellStyle name="Normal 2 2 2 2 2 2 29 3 2" xfId="11543" xr:uid="{00000000-0005-0000-0000-0000172D0000}"/>
    <cellStyle name="Normal 2 2 2 2 2 2 29 3 3" xfId="11544" xr:uid="{00000000-0005-0000-0000-0000182D0000}"/>
    <cellStyle name="Normal 2 2 2 2 2 2 29 3 4" xfId="11545" xr:uid="{00000000-0005-0000-0000-0000192D0000}"/>
    <cellStyle name="Normal 2 2 2 2 2 2 29 3 5" xfId="11546" xr:uid="{00000000-0005-0000-0000-00001A2D0000}"/>
    <cellStyle name="Normal 2 2 2 2 2 2 29 3 6" xfId="11547" xr:uid="{00000000-0005-0000-0000-00001B2D0000}"/>
    <cellStyle name="Normal 2 2 2 2 2 2 29 3 7" xfId="11548" xr:uid="{00000000-0005-0000-0000-00001C2D0000}"/>
    <cellStyle name="Normal 2 2 2 2 2 2 29 3 8" xfId="11549" xr:uid="{00000000-0005-0000-0000-00001D2D0000}"/>
    <cellStyle name="Normal 2 2 2 2 2 2 29 3 9" xfId="11550" xr:uid="{00000000-0005-0000-0000-00001E2D0000}"/>
    <cellStyle name="Normal 2 2 2 2 2 2 29 4" xfId="11551" xr:uid="{00000000-0005-0000-0000-00001F2D0000}"/>
    <cellStyle name="Normal 2 2 2 2 2 2 29 4 10" xfId="11552" xr:uid="{00000000-0005-0000-0000-0000202D0000}"/>
    <cellStyle name="Normal 2 2 2 2 2 2 29 4 2" xfId="11553" xr:uid="{00000000-0005-0000-0000-0000212D0000}"/>
    <cellStyle name="Normal 2 2 2 2 2 2 29 4 3" xfId="11554" xr:uid="{00000000-0005-0000-0000-0000222D0000}"/>
    <cellStyle name="Normal 2 2 2 2 2 2 29 4 4" xfId="11555" xr:uid="{00000000-0005-0000-0000-0000232D0000}"/>
    <cellStyle name="Normal 2 2 2 2 2 2 29 4 5" xfId="11556" xr:uid="{00000000-0005-0000-0000-0000242D0000}"/>
    <cellStyle name="Normal 2 2 2 2 2 2 29 4 6" xfId="11557" xr:uid="{00000000-0005-0000-0000-0000252D0000}"/>
    <cellStyle name="Normal 2 2 2 2 2 2 29 4 7" xfId="11558" xr:uid="{00000000-0005-0000-0000-0000262D0000}"/>
    <cellStyle name="Normal 2 2 2 2 2 2 29 4 8" xfId="11559" xr:uid="{00000000-0005-0000-0000-0000272D0000}"/>
    <cellStyle name="Normal 2 2 2 2 2 2 29 4 9" xfId="11560" xr:uid="{00000000-0005-0000-0000-0000282D0000}"/>
    <cellStyle name="Normal 2 2 2 2 2 2 29 5" xfId="11561" xr:uid="{00000000-0005-0000-0000-0000292D0000}"/>
    <cellStyle name="Normal 2 2 2 2 2 2 29 5 10" xfId="11562" xr:uid="{00000000-0005-0000-0000-00002A2D0000}"/>
    <cellStyle name="Normal 2 2 2 2 2 2 29 5 2" xfId="11563" xr:uid="{00000000-0005-0000-0000-00002B2D0000}"/>
    <cellStyle name="Normal 2 2 2 2 2 2 29 5 3" xfId="11564" xr:uid="{00000000-0005-0000-0000-00002C2D0000}"/>
    <cellStyle name="Normal 2 2 2 2 2 2 29 5 4" xfId="11565" xr:uid="{00000000-0005-0000-0000-00002D2D0000}"/>
    <cellStyle name="Normal 2 2 2 2 2 2 29 5 5" xfId="11566" xr:uid="{00000000-0005-0000-0000-00002E2D0000}"/>
    <cellStyle name="Normal 2 2 2 2 2 2 29 5 6" xfId="11567" xr:uid="{00000000-0005-0000-0000-00002F2D0000}"/>
    <cellStyle name="Normal 2 2 2 2 2 2 29 5 7" xfId="11568" xr:uid="{00000000-0005-0000-0000-0000302D0000}"/>
    <cellStyle name="Normal 2 2 2 2 2 2 29 5 8" xfId="11569" xr:uid="{00000000-0005-0000-0000-0000312D0000}"/>
    <cellStyle name="Normal 2 2 2 2 2 2 29 5 9" xfId="11570" xr:uid="{00000000-0005-0000-0000-0000322D0000}"/>
    <cellStyle name="Normal 2 2 2 2 2 2 29 6" xfId="11571" xr:uid="{00000000-0005-0000-0000-0000332D0000}"/>
    <cellStyle name="Normal 2 2 2 2 2 2 29 7" xfId="11572" xr:uid="{00000000-0005-0000-0000-0000342D0000}"/>
    <cellStyle name="Normal 2 2 2 2 2 2 29 8" xfId="11573" xr:uid="{00000000-0005-0000-0000-0000352D0000}"/>
    <cellStyle name="Normal 2 2 2 2 2 2 29 9" xfId="11574" xr:uid="{00000000-0005-0000-0000-0000362D0000}"/>
    <cellStyle name="Normal 2 2 2 2 2 2 3" xfId="11575" xr:uid="{00000000-0005-0000-0000-0000372D0000}"/>
    <cellStyle name="Normal 2 2 2 2 2 2 3 10" xfId="11576" xr:uid="{00000000-0005-0000-0000-0000382D0000}"/>
    <cellStyle name="Normal 2 2 2 2 2 2 3 11" xfId="11577" xr:uid="{00000000-0005-0000-0000-0000392D0000}"/>
    <cellStyle name="Normal 2 2 2 2 2 2 3 12" xfId="11578" xr:uid="{00000000-0005-0000-0000-00003A2D0000}"/>
    <cellStyle name="Normal 2 2 2 2 2 2 3 13" xfId="11579" xr:uid="{00000000-0005-0000-0000-00003B2D0000}"/>
    <cellStyle name="Normal 2 2 2 2 2 2 3 14" xfId="11580" xr:uid="{00000000-0005-0000-0000-00003C2D0000}"/>
    <cellStyle name="Normal 2 2 2 2 2 2 3 15" xfId="11581" xr:uid="{00000000-0005-0000-0000-00003D2D0000}"/>
    <cellStyle name="Normal 2 2 2 2 2 2 3 16" xfId="11582" xr:uid="{00000000-0005-0000-0000-00003E2D0000}"/>
    <cellStyle name="Normal 2 2 2 2 2 2 3 2" xfId="11583" xr:uid="{00000000-0005-0000-0000-00003F2D0000}"/>
    <cellStyle name="Normal 2 2 2 2 2 2 3 2 10" xfId="11584" xr:uid="{00000000-0005-0000-0000-0000402D0000}"/>
    <cellStyle name="Normal 2 2 2 2 2 2 3 2 2" xfId="11585" xr:uid="{00000000-0005-0000-0000-0000412D0000}"/>
    <cellStyle name="Normal 2 2 2 2 2 2 3 2 3" xfId="11586" xr:uid="{00000000-0005-0000-0000-0000422D0000}"/>
    <cellStyle name="Normal 2 2 2 2 2 2 3 2 4" xfId="11587" xr:uid="{00000000-0005-0000-0000-0000432D0000}"/>
    <cellStyle name="Normal 2 2 2 2 2 2 3 2 5" xfId="11588" xr:uid="{00000000-0005-0000-0000-0000442D0000}"/>
    <cellStyle name="Normal 2 2 2 2 2 2 3 2 6" xfId="11589" xr:uid="{00000000-0005-0000-0000-0000452D0000}"/>
    <cellStyle name="Normal 2 2 2 2 2 2 3 2 7" xfId="11590" xr:uid="{00000000-0005-0000-0000-0000462D0000}"/>
    <cellStyle name="Normal 2 2 2 2 2 2 3 2 8" xfId="11591" xr:uid="{00000000-0005-0000-0000-0000472D0000}"/>
    <cellStyle name="Normal 2 2 2 2 2 2 3 2 9" xfId="11592" xr:uid="{00000000-0005-0000-0000-0000482D0000}"/>
    <cellStyle name="Normal 2 2 2 2 2 2 3 3" xfId="11593" xr:uid="{00000000-0005-0000-0000-0000492D0000}"/>
    <cellStyle name="Normal 2 2 2 2 2 2 3 3 10" xfId="11594" xr:uid="{00000000-0005-0000-0000-00004A2D0000}"/>
    <cellStyle name="Normal 2 2 2 2 2 2 3 3 2" xfId="11595" xr:uid="{00000000-0005-0000-0000-00004B2D0000}"/>
    <cellStyle name="Normal 2 2 2 2 2 2 3 3 3" xfId="11596" xr:uid="{00000000-0005-0000-0000-00004C2D0000}"/>
    <cellStyle name="Normal 2 2 2 2 2 2 3 3 4" xfId="11597" xr:uid="{00000000-0005-0000-0000-00004D2D0000}"/>
    <cellStyle name="Normal 2 2 2 2 2 2 3 3 5" xfId="11598" xr:uid="{00000000-0005-0000-0000-00004E2D0000}"/>
    <cellStyle name="Normal 2 2 2 2 2 2 3 3 6" xfId="11599" xr:uid="{00000000-0005-0000-0000-00004F2D0000}"/>
    <cellStyle name="Normal 2 2 2 2 2 2 3 3 7" xfId="11600" xr:uid="{00000000-0005-0000-0000-0000502D0000}"/>
    <cellStyle name="Normal 2 2 2 2 2 2 3 3 8" xfId="11601" xr:uid="{00000000-0005-0000-0000-0000512D0000}"/>
    <cellStyle name="Normal 2 2 2 2 2 2 3 3 9" xfId="11602" xr:uid="{00000000-0005-0000-0000-0000522D0000}"/>
    <cellStyle name="Normal 2 2 2 2 2 2 3 4" xfId="11603" xr:uid="{00000000-0005-0000-0000-0000532D0000}"/>
    <cellStyle name="Normal 2 2 2 2 2 2 3 4 10" xfId="11604" xr:uid="{00000000-0005-0000-0000-0000542D0000}"/>
    <cellStyle name="Normal 2 2 2 2 2 2 3 4 2" xfId="11605" xr:uid="{00000000-0005-0000-0000-0000552D0000}"/>
    <cellStyle name="Normal 2 2 2 2 2 2 3 4 3" xfId="11606" xr:uid="{00000000-0005-0000-0000-0000562D0000}"/>
    <cellStyle name="Normal 2 2 2 2 2 2 3 4 4" xfId="11607" xr:uid="{00000000-0005-0000-0000-0000572D0000}"/>
    <cellStyle name="Normal 2 2 2 2 2 2 3 4 5" xfId="11608" xr:uid="{00000000-0005-0000-0000-0000582D0000}"/>
    <cellStyle name="Normal 2 2 2 2 2 2 3 4 6" xfId="11609" xr:uid="{00000000-0005-0000-0000-0000592D0000}"/>
    <cellStyle name="Normal 2 2 2 2 2 2 3 4 7" xfId="11610" xr:uid="{00000000-0005-0000-0000-00005A2D0000}"/>
    <cellStyle name="Normal 2 2 2 2 2 2 3 4 8" xfId="11611" xr:uid="{00000000-0005-0000-0000-00005B2D0000}"/>
    <cellStyle name="Normal 2 2 2 2 2 2 3 4 9" xfId="11612" xr:uid="{00000000-0005-0000-0000-00005C2D0000}"/>
    <cellStyle name="Normal 2 2 2 2 2 2 3 5" xfId="11613" xr:uid="{00000000-0005-0000-0000-00005D2D0000}"/>
    <cellStyle name="Normal 2 2 2 2 2 2 3 5 10" xfId="11614" xr:uid="{00000000-0005-0000-0000-00005E2D0000}"/>
    <cellStyle name="Normal 2 2 2 2 2 2 3 5 2" xfId="11615" xr:uid="{00000000-0005-0000-0000-00005F2D0000}"/>
    <cellStyle name="Normal 2 2 2 2 2 2 3 5 3" xfId="11616" xr:uid="{00000000-0005-0000-0000-0000602D0000}"/>
    <cellStyle name="Normal 2 2 2 2 2 2 3 5 4" xfId="11617" xr:uid="{00000000-0005-0000-0000-0000612D0000}"/>
    <cellStyle name="Normal 2 2 2 2 2 2 3 5 5" xfId="11618" xr:uid="{00000000-0005-0000-0000-0000622D0000}"/>
    <cellStyle name="Normal 2 2 2 2 2 2 3 5 6" xfId="11619" xr:uid="{00000000-0005-0000-0000-0000632D0000}"/>
    <cellStyle name="Normal 2 2 2 2 2 2 3 5 7" xfId="11620" xr:uid="{00000000-0005-0000-0000-0000642D0000}"/>
    <cellStyle name="Normal 2 2 2 2 2 2 3 5 8" xfId="11621" xr:uid="{00000000-0005-0000-0000-0000652D0000}"/>
    <cellStyle name="Normal 2 2 2 2 2 2 3 5 9" xfId="11622" xr:uid="{00000000-0005-0000-0000-0000662D0000}"/>
    <cellStyle name="Normal 2 2 2 2 2 2 3 6" xfId="11623" xr:uid="{00000000-0005-0000-0000-0000672D0000}"/>
    <cellStyle name="Normal 2 2 2 2 2 2 3 7" xfId="11624" xr:uid="{00000000-0005-0000-0000-0000682D0000}"/>
    <cellStyle name="Normal 2 2 2 2 2 2 3 8" xfId="11625" xr:uid="{00000000-0005-0000-0000-0000692D0000}"/>
    <cellStyle name="Normal 2 2 2 2 2 2 3 9" xfId="11626" xr:uid="{00000000-0005-0000-0000-00006A2D0000}"/>
    <cellStyle name="Normal 2 2 2 2 2 2 30" xfId="11627" xr:uid="{00000000-0005-0000-0000-00006B2D0000}"/>
    <cellStyle name="Normal 2 2 2 2 2 2 30 10" xfId="11628" xr:uid="{00000000-0005-0000-0000-00006C2D0000}"/>
    <cellStyle name="Normal 2 2 2 2 2 2 30 11" xfId="11629" xr:uid="{00000000-0005-0000-0000-00006D2D0000}"/>
    <cellStyle name="Normal 2 2 2 2 2 2 30 12" xfId="11630" xr:uid="{00000000-0005-0000-0000-00006E2D0000}"/>
    <cellStyle name="Normal 2 2 2 2 2 2 30 13" xfId="11631" xr:uid="{00000000-0005-0000-0000-00006F2D0000}"/>
    <cellStyle name="Normal 2 2 2 2 2 2 30 14" xfId="11632" xr:uid="{00000000-0005-0000-0000-0000702D0000}"/>
    <cellStyle name="Normal 2 2 2 2 2 2 30 2" xfId="11633" xr:uid="{00000000-0005-0000-0000-0000712D0000}"/>
    <cellStyle name="Normal 2 2 2 2 2 2 30 2 10" xfId="11634" xr:uid="{00000000-0005-0000-0000-0000722D0000}"/>
    <cellStyle name="Normal 2 2 2 2 2 2 30 2 2" xfId="11635" xr:uid="{00000000-0005-0000-0000-0000732D0000}"/>
    <cellStyle name="Normal 2 2 2 2 2 2 30 2 3" xfId="11636" xr:uid="{00000000-0005-0000-0000-0000742D0000}"/>
    <cellStyle name="Normal 2 2 2 2 2 2 30 2 4" xfId="11637" xr:uid="{00000000-0005-0000-0000-0000752D0000}"/>
    <cellStyle name="Normal 2 2 2 2 2 2 30 2 5" xfId="11638" xr:uid="{00000000-0005-0000-0000-0000762D0000}"/>
    <cellStyle name="Normal 2 2 2 2 2 2 30 2 6" xfId="11639" xr:uid="{00000000-0005-0000-0000-0000772D0000}"/>
    <cellStyle name="Normal 2 2 2 2 2 2 30 2 7" xfId="11640" xr:uid="{00000000-0005-0000-0000-0000782D0000}"/>
    <cellStyle name="Normal 2 2 2 2 2 2 30 2 8" xfId="11641" xr:uid="{00000000-0005-0000-0000-0000792D0000}"/>
    <cellStyle name="Normal 2 2 2 2 2 2 30 2 9" xfId="11642" xr:uid="{00000000-0005-0000-0000-00007A2D0000}"/>
    <cellStyle name="Normal 2 2 2 2 2 2 30 3" xfId="11643" xr:uid="{00000000-0005-0000-0000-00007B2D0000}"/>
    <cellStyle name="Normal 2 2 2 2 2 2 30 3 10" xfId="11644" xr:uid="{00000000-0005-0000-0000-00007C2D0000}"/>
    <cellStyle name="Normal 2 2 2 2 2 2 30 3 2" xfId="11645" xr:uid="{00000000-0005-0000-0000-00007D2D0000}"/>
    <cellStyle name="Normal 2 2 2 2 2 2 30 3 3" xfId="11646" xr:uid="{00000000-0005-0000-0000-00007E2D0000}"/>
    <cellStyle name="Normal 2 2 2 2 2 2 30 3 4" xfId="11647" xr:uid="{00000000-0005-0000-0000-00007F2D0000}"/>
    <cellStyle name="Normal 2 2 2 2 2 2 30 3 5" xfId="11648" xr:uid="{00000000-0005-0000-0000-0000802D0000}"/>
    <cellStyle name="Normal 2 2 2 2 2 2 30 3 6" xfId="11649" xr:uid="{00000000-0005-0000-0000-0000812D0000}"/>
    <cellStyle name="Normal 2 2 2 2 2 2 30 3 7" xfId="11650" xr:uid="{00000000-0005-0000-0000-0000822D0000}"/>
    <cellStyle name="Normal 2 2 2 2 2 2 30 3 8" xfId="11651" xr:uid="{00000000-0005-0000-0000-0000832D0000}"/>
    <cellStyle name="Normal 2 2 2 2 2 2 30 3 9" xfId="11652" xr:uid="{00000000-0005-0000-0000-0000842D0000}"/>
    <cellStyle name="Normal 2 2 2 2 2 2 30 4" xfId="11653" xr:uid="{00000000-0005-0000-0000-0000852D0000}"/>
    <cellStyle name="Normal 2 2 2 2 2 2 30 4 10" xfId="11654" xr:uid="{00000000-0005-0000-0000-0000862D0000}"/>
    <cellStyle name="Normal 2 2 2 2 2 2 30 4 2" xfId="11655" xr:uid="{00000000-0005-0000-0000-0000872D0000}"/>
    <cellStyle name="Normal 2 2 2 2 2 2 30 4 3" xfId="11656" xr:uid="{00000000-0005-0000-0000-0000882D0000}"/>
    <cellStyle name="Normal 2 2 2 2 2 2 30 4 4" xfId="11657" xr:uid="{00000000-0005-0000-0000-0000892D0000}"/>
    <cellStyle name="Normal 2 2 2 2 2 2 30 4 5" xfId="11658" xr:uid="{00000000-0005-0000-0000-00008A2D0000}"/>
    <cellStyle name="Normal 2 2 2 2 2 2 30 4 6" xfId="11659" xr:uid="{00000000-0005-0000-0000-00008B2D0000}"/>
    <cellStyle name="Normal 2 2 2 2 2 2 30 4 7" xfId="11660" xr:uid="{00000000-0005-0000-0000-00008C2D0000}"/>
    <cellStyle name="Normal 2 2 2 2 2 2 30 4 8" xfId="11661" xr:uid="{00000000-0005-0000-0000-00008D2D0000}"/>
    <cellStyle name="Normal 2 2 2 2 2 2 30 4 9" xfId="11662" xr:uid="{00000000-0005-0000-0000-00008E2D0000}"/>
    <cellStyle name="Normal 2 2 2 2 2 2 30 5" xfId="11663" xr:uid="{00000000-0005-0000-0000-00008F2D0000}"/>
    <cellStyle name="Normal 2 2 2 2 2 2 30 5 10" xfId="11664" xr:uid="{00000000-0005-0000-0000-0000902D0000}"/>
    <cellStyle name="Normal 2 2 2 2 2 2 30 5 2" xfId="11665" xr:uid="{00000000-0005-0000-0000-0000912D0000}"/>
    <cellStyle name="Normal 2 2 2 2 2 2 30 5 3" xfId="11666" xr:uid="{00000000-0005-0000-0000-0000922D0000}"/>
    <cellStyle name="Normal 2 2 2 2 2 2 30 5 4" xfId="11667" xr:uid="{00000000-0005-0000-0000-0000932D0000}"/>
    <cellStyle name="Normal 2 2 2 2 2 2 30 5 5" xfId="11668" xr:uid="{00000000-0005-0000-0000-0000942D0000}"/>
    <cellStyle name="Normal 2 2 2 2 2 2 30 5 6" xfId="11669" xr:uid="{00000000-0005-0000-0000-0000952D0000}"/>
    <cellStyle name="Normal 2 2 2 2 2 2 30 5 7" xfId="11670" xr:uid="{00000000-0005-0000-0000-0000962D0000}"/>
    <cellStyle name="Normal 2 2 2 2 2 2 30 5 8" xfId="11671" xr:uid="{00000000-0005-0000-0000-0000972D0000}"/>
    <cellStyle name="Normal 2 2 2 2 2 2 30 5 9" xfId="11672" xr:uid="{00000000-0005-0000-0000-0000982D0000}"/>
    <cellStyle name="Normal 2 2 2 2 2 2 30 6" xfId="11673" xr:uid="{00000000-0005-0000-0000-0000992D0000}"/>
    <cellStyle name="Normal 2 2 2 2 2 2 30 7" xfId="11674" xr:uid="{00000000-0005-0000-0000-00009A2D0000}"/>
    <cellStyle name="Normal 2 2 2 2 2 2 30 8" xfId="11675" xr:uid="{00000000-0005-0000-0000-00009B2D0000}"/>
    <cellStyle name="Normal 2 2 2 2 2 2 30 9" xfId="11676" xr:uid="{00000000-0005-0000-0000-00009C2D0000}"/>
    <cellStyle name="Normal 2 2 2 2 2 2 31" xfId="11677" xr:uid="{00000000-0005-0000-0000-00009D2D0000}"/>
    <cellStyle name="Normal 2 2 2 2 2 2 31 10" xfId="11678" xr:uid="{00000000-0005-0000-0000-00009E2D0000}"/>
    <cellStyle name="Normal 2 2 2 2 2 2 31 11" xfId="11679" xr:uid="{00000000-0005-0000-0000-00009F2D0000}"/>
    <cellStyle name="Normal 2 2 2 2 2 2 31 12" xfId="11680" xr:uid="{00000000-0005-0000-0000-0000A02D0000}"/>
    <cellStyle name="Normal 2 2 2 2 2 2 31 13" xfId="11681" xr:uid="{00000000-0005-0000-0000-0000A12D0000}"/>
    <cellStyle name="Normal 2 2 2 2 2 2 31 14" xfId="11682" xr:uid="{00000000-0005-0000-0000-0000A22D0000}"/>
    <cellStyle name="Normal 2 2 2 2 2 2 31 2" xfId="11683" xr:uid="{00000000-0005-0000-0000-0000A32D0000}"/>
    <cellStyle name="Normal 2 2 2 2 2 2 31 2 10" xfId="11684" xr:uid="{00000000-0005-0000-0000-0000A42D0000}"/>
    <cellStyle name="Normal 2 2 2 2 2 2 31 2 2" xfId="11685" xr:uid="{00000000-0005-0000-0000-0000A52D0000}"/>
    <cellStyle name="Normal 2 2 2 2 2 2 31 2 3" xfId="11686" xr:uid="{00000000-0005-0000-0000-0000A62D0000}"/>
    <cellStyle name="Normal 2 2 2 2 2 2 31 2 4" xfId="11687" xr:uid="{00000000-0005-0000-0000-0000A72D0000}"/>
    <cellStyle name="Normal 2 2 2 2 2 2 31 2 5" xfId="11688" xr:uid="{00000000-0005-0000-0000-0000A82D0000}"/>
    <cellStyle name="Normal 2 2 2 2 2 2 31 2 6" xfId="11689" xr:uid="{00000000-0005-0000-0000-0000A92D0000}"/>
    <cellStyle name="Normal 2 2 2 2 2 2 31 2 7" xfId="11690" xr:uid="{00000000-0005-0000-0000-0000AA2D0000}"/>
    <cellStyle name="Normal 2 2 2 2 2 2 31 2 8" xfId="11691" xr:uid="{00000000-0005-0000-0000-0000AB2D0000}"/>
    <cellStyle name="Normal 2 2 2 2 2 2 31 2 9" xfId="11692" xr:uid="{00000000-0005-0000-0000-0000AC2D0000}"/>
    <cellStyle name="Normal 2 2 2 2 2 2 31 3" xfId="11693" xr:uid="{00000000-0005-0000-0000-0000AD2D0000}"/>
    <cellStyle name="Normal 2 2 2 2 2 2 31 3 10" xfId="11694" xr:uid="{00000000-0005-0000-0000-0000AE2D0000}"/>
    <cellStyle name="Normal 2 2 2 2 2 2 31 3 2" xfId="11695" xr:uid="{00000000-0005-0000-0000-0000AF2D0000}"/>
    <cellStyle name="Normal 2 2 2 2 2 2 31 3 3" xfId="11696" xr:uid="{00000000-0005-0000-0000-0000B02D0000}"/>
    <cellStyle name="Normal 2 2 2 2 2 2 31 3 4" xfId="11697" xr:uid="{00000000-0005-0000-0000-0000B12D0000}"/>
    <cellStyle name="Normal 2 2 2 2 2 2 31 3 5" xfId="11698" xr:uid="{00000000-0005-0000-0000-0000B22D0000}"/>
    <cellStyle name="Normal 2 2 2 2 2 2 31 3 6" xfId="11699" xr:uid="{00000000-0005-0000-0000-0000B32D0000}"/>
    <cellStyle name="Normal 2 2 2 2 2 2 31 3 7" xfId="11700" xr:uid="{00000000-0005-0000-0000-0000B42D0000}"/>
    <cellStyle name="Normal 2 2 2 2 2 2 31 3 8" xfId="11701" xr:uid="{00000000-0005-0000-0000-0000B52D0000}"/>
    <cellStyle name="Normal 2 2 2 2 2 2 31 3 9" xfId="11702" xr:uid="{00000000-0005-0000-0000-0000B62D0000}"/>
    <cellStyle name="Normal 2 2 2 2 2 2 31 4" xfId="11703" xr:uid="{00000000-0005-0000-0000-0000B72D0000}"/>
    <cellStyle name="Normal 2 2 2 2 2 2 31 4 10" xfId="11704" xr:uid="{00000000-0005-0000-0000-0000B82D0000}"/>
    <cellStyle name="Normal 2 2 2 2 2 2 31 4 2" xfId="11705" xr:uid="{00000000-0005-0000-0000-0000B92D0000}"/>
    <cellStyle name="Normal 2 2 2 2 2 2 31 4 3" xfId="11706" xr:uid="{00000000-0005-0000-0000-0000BA2D0000}"/>
    <cellStyle name="Normal 2 2 2 2 2 2 31 4 4" xfId="11707" xr:uid="{00000000-0005-0000-0000-0000BB2D0000}"/>
    <cellStyle name="Normal 2 2 2 2 2 2 31 4 5" xfId="11708" xr:uid="{00000000-0005-0000-0000-0000BC2D0000}"/>
    <cellStyle name="Normal 2 2 2 2 2 2 31 4 6" xfId="11709" xr:uid="{00000000-0005-0000-0000-0000BD2D0000}"/>
    <cellStyle name="Normal 2 2 2 2 2 2 31 4 7" xfId="11710" xr:uid="{00000000-0005-0000-0000-0000BE2D0000}"/>
    <cellStyle name="Normal 2 2 2 2 2 2 31 4 8" xfId="11711" xr:uid="{00000000-0005-0000-0000-0000BF2D0000}"/>
    <cellStyle name="Normal 2 2 2 2 2 2 31 4 9" xfId="11712" xr:uid="{00000000-0005-0000-0000-0000C02D0000}"/>
    <cellStyle name="Normal 2 2 2 2 2 2 31 5" xfId="11713" xr:uid="{00000000-0005-0000-0000-0000C12D0000}"/>
    <cellStyle name="Normal 2 2 2 2 2 2 31 5 10" xfId="11714" xr:uid="{00000000-0005-0000-0000-0000C22D0000}"/>
    <cellStyle name="Normal 2 2 2 2 2 2 31 5 2" xfId="11715" xr:uid="{00000000-0005-0000-0000-0000C32D0000}"/>
    <cellStyle name="Normal 2 2 2 2 2 2 31 5 3" xfId="11716" xr:uid="{00000000-0005-0000-0000-0000C42D0000}"/>
    <cellStyle name="Normal 2 2 2 2 2 2 31 5 4" xfId="11717" xr:uid="{00000000-0005-0000-0000-0000C52D0000}"/>
    <cellStyle name="Normal 2 2 2 2 2 2 31 5 5" xfId="11718" xr:uid="{00000000-0005-0000-0000-0000C62D0000}"/>
    <cellStyle name="Normal 2 2 2 2 2 2 31 5 6" xfId="11719" xr:uid="{00000000-0005-0000-0000-0000C72D0000}"/>
    <cellStyle name="Normal 2 2 2 2 2 2 31 5 7" xfId="11720" xr:uid="{00000000-0005-0000-0000-0000C82D0000}"/>
    <cellStyle name="Normal 2 2 2 2 2 2 31 5 8" xfId="11721" xr:uid="{00000000-0005-0000-0000-0000C92D0000}"/>
    <cellStyle name="Normal 2 2 2 2 2 2 31 5 9" xfId="11722" xr:uid="{00000000-0005-0000-0000-0000CA2D0000}"/>
    <cellStyle name="Normal 2 2 2 2 2 2 31 6" xfId="11723" xr:uid="{00000000-0005-0000-0000-0000CB2D0000}"/>
    <cellStyle name="Normal 2 2 2 2 2 2 31 7" xfId="11724" xr:uid="{00000000-0005-0000-0000-0000CC2D0000}"/>
    <cellStyle name="Normal 2 2 2 2 2 2 31 8" xfId="11725" xr:uid="{00000000-0005-0000-0000-0000CD2D0000}"/>
    <cellStyle name="Normal 2 2 2 2 2 2 31 9" xfId="11726" xr:uid="{00000000-0005-0000-0000-0000CE2D0000}"/>
    <cellStyle name="Normal 2 2 2 2 2 2 32" xfId="11727" xr:uid="{00000000-0005-0000-0000-0000CF2D0000}"/>
    <cellStyle name="Normal 2 2 2 2 2 2 32 10" xfId="11728" xr:uid="{00000000-0005-0000-0000-0000D02D0000}"/>
    <cellStyle name="Normal 2 2 2 2 2 2 32 11" xfId="11729" xr:uid="{00000000-0005-0000-0000-0000D12D0000}"/>
    <cellStyle name="Normal 2 2 2 2 2 2 32 12" xfId="11730" xr:uid="{00000000-0005-0000-0000-0000D22D0000}"/>
    <cellStyle name="Normal 2 2 2 2 2 2 32 13" xfId="11731" xr:uid="{00000000-0005-0000-0000-0000D32D0000}"/>
    <cellStyle name="Normal 2 2 2 2 2 2 32 14" xfId="11732" xr:uid="{00000000-0005-0000-0000-0000D42D0000}"/>
    <cellStyle name="Normal 2 2 2 2 2 2 32 2" xfId="11733" xr:uid="{00000000-0005-0000-0000-0000D52D0000}"/>
    <cellStyle name="Normal 2 2 2 2 2 2 32 2 10" xfId="11734" xr:uid="{00000000-0005-0000-0000-0000D62D0000}"/>
    <cellStyle name="Normal 2 2 2 2 2 2 32 2 2" xfId="11735" xr:uid="{00000000-0005-0000-0000-0000D72D0000}"/>
    <cellStyle name="Normal 2 2 2 2 2 2 32 2 3" xfId="11736" xr:uid="{00000000-0005-0000-0000-0000D82D0000}"/>
    <cellStyle name="Normal 2 2 2 2 2 2 32 2 4" xfId="11737" xr:uid="{00000000-0005-0000-0000-0000D92D0000}"/>
    <cellStyle name="Normal 2 2 2 2 2 2 32 2 5" xfId="11738" xr:uid="{00000000-0005-0000-0000-0000DA2D0000}"/>
    <cellStyle name="Normal 2 2 2 2 2 2 32 2 6" xfId="11739" xr:uid="{00000000-0005-0000-0000-0000DB2D0000}"/>
    <cellStyle name="Normal 2 2 2 2 2 2 32 2 7" xfId="11740" xr:uid="{00000000-0005-0000-0000-0000DC2D0000}"/>
    <cellStyle name="Normal 2 2 2 2 2 2 32 2 8" xfId="11741" xr:uid="{00000000-0005-0000-0000-0000DD2D0000}"/>
    <cellStyle name="Normal 2 2 2 2 2 2 32 2 9" xfId="11742" xr:uid="{00000000-0005-0000-0000-0000DE2D0000}"/>
    <cellStyle name="Normal 2 2 2 2 2 2 32 3" xfId="11743" xr:uid="{00000000-0005-0000-0000-0000DF2D0000}"/>
    <cellStyle name="Normal 2 2 2 2 2 2 32 3 10" xfId="11744" xr:uid="{00000000-0005-0000-0000-0000E02D0000}"/>
    <cellStyle name="Normal 2 2 2 2 2 2 32 3 2" xfId="11745" xr:uid="{00000000-0005-0000-0000-0000E12D0000}"/>
    <cellStyle name="Normal 2 2 2 2 2 2 32 3 3" xfId="11746" xr:uid="{00000000-0005-0000-0000-0000E22D0000}"/>
    <cellStyle name="Normal 2 2 2 2 2 2 32 3 4" xfId="11747" xr:uid="{00000000-0005-0000-0000-0000E32D0000}"/>
    <cellStyle name="Normal 2 2 2 2 2 2 32 3 5" xfId="11748" xr:uid="{00000000-0005-0000-0000-0000E42D0000}"/>
    <cellStyle name="Normal 2 2 2 2 2 2 32 3 6" xfId="11749" xr:uid="{00000000-0005-0000-0000-0000E52D0000}"/>
    <cellStyle name="Normal 2 2 2 2 2 2 32 3 7" xfId="11750" xr:uid="{00000000-0005-0000-0000-0000E62D0000}"/>
    <cellStyle name="Normal 2 2 2 2 2 2 32 3 8" xfId="11751" xr:uid="{00000000-0005-0000-0000-0000E72D0000}"/>
    <cellStyle name="Normal 2 2 2 2 2 2 32 3 9" xfId="11752" xr:uid="{00000000-0005-0000-0000-0000E82D0000}"/>
    <cellStyle name="Normal 2 2 2 2 2 2 32 4" xfId="11753" xr:uid="{00000000-0005-0000-0000-0000E92D0000}"/>
    <cellStyle name="Normal 2 2 2 2 2 2 32 4 10" xfId="11754" xr:uid="{00000000-0005-0000-0000-0000EA2D0000}"/>
    <cellStyle name="Normal 2 2 2 2 2 2 32 4 2" xfId="11755" xr:uid="{00000000-0005-0000-0000-0000EB2D0000}"/>
    <cellStyle name="Normal 2 2 2 2 2 2 32 4 3" xfId="11756" xr:uid="{00000000-0005-0000-0000-0000EC2D0000}"/>
    <cellStyle name="Normal 2 2 2 2 2 2 32 4 4" xfId="11757" xr:uid="{00000000-0005-0000-0000-0000ED2D0000}"/>
    <cellStyle name="Normal 2 2 2 2 2 2 32 4 5" xfId="11758" xr:uid="{00000000-0005-0000-0000-0000EE2D0000}"/>
    <cellStyle name="Normal 2 2 2 2 2 2 32 4 6" xfId="11759" xr:uid="{00000000-0005-0000-0000-0000EF2D0000}"/>
    <cellStyle name="Normal 2 2 2 2 2 2 32 4 7" xfId="11760" xr:uid="{00000000-0005-0000-0000-0000F02D0000}"/>
    <cellStyle name="Normal 2 2 2 2 2 2 32 4 8" xfId="11761" xr:uid="{00000000-0005-0000-0000-0000F12D0000}"/>
    <cellStyle name="Normal 2 2 2 2 2 2 32 4 9" xfId="11762" xr:uid="{00000000-0005-0000-0000-0000F22D0000}"/>
    <cellStyle name="Normal 2 2 2 2 2 2 32 5" xfId="11763" xr:uid="{00000000-0005-0000-0000-0000F32D0000}"/>
    <cellStyle name="Normal 2 2 2 2 2 2 32 5 10" xfId="11764" xr:uid="{00000000-0005-0000-0000-0000F42D0000}"/>
    <cellStyle name="Normal 2 2 2 2 2 2 32 5 2" xfId="11765" xr:uid="{00000000-0005-0000-0000-0000F52D0000}"/>
    <cellStyle name="Normal 2 2 2 2 2 2 32 5 3" xfId="11766" xr:uid="{00000000-0005-0000-0000-0000F62D0000}"/>
    <cellStyle name="Normal 2 2 2 2 2 2 32 5 4" xfId="11767" xr:uid="{00000000-0005-0000-0000-0000F72D0000}"/>
    <cellStyle name="Normal 2 2 2 2 2 2 32 5 5" xfId="11768" xr:uid="{00000000-0005-0000-0000-0000F82D0000}"/>
    <cellStyle name="Normal 2 2 2 2 2 2 32 5 6" xfId="11769" xr:uid="{00000000-0005-0000-0000-0000F92D0000}"/>
    <cellStyle name="Normal 2 2 2 2 2 2 32 5 7" xfId="11770" xr:uid="{00000000-0005-0000-0000-0000FA2D0000}"/>
    <cellStyle name="Normal 2 2 2 2 2 2 32 5 8" xfId="11771" xr:uid="{00000000-0005-0000-0000-0000FB2D0000}"/>
    <cellStyle name="Normal 2 2 2 2 2 2 32 5 9" xfId="11772" xr:uid="{00000000-0005-0000-0000-0000FC2D0000}"/>
    <cellStyle name="Normal 2 2 2 2 2 2 32 6" xfId="11773" xr:uid="{00000000-0005-0000-0000-0000FD2D0000}"/>
    <cellStyle name="Normal 2 2 2 2 2 2 32 7" xfId="11774" xr:uid="{00000000-0005-0000-0000-0000FE2D0000}"/>
    <cellStyle name="Normal 2 2 2 2 2 2 32 8" xfId="11775" xr:uid="{00000000-0005-0000-0000-0000FF2D0000}"/>
    <cellStyle name="Normal 2 2 2 2 2 2 32 9" xfId="11776" xr:uid="{00000000-0005-0000-0000-0000002E0000}"/>
    <cellStyle name="Normal 2 2 2 2 2 2 33" xfId="11777" xr:uid="{00000000-0005-0000-0000-0000012E0000}"/>
    <cellStyle name="Normal 2 2 2 2 2 2 33 10" xfId="11778" xr:uid="{00000000-0005-0000-0000-0000022E0000}"/>
    <cellStyle name="Normal 2 2 2 2 2 2 33 11" xfId="11779" xr:uid="{00000000-0005-0000-0000-0000032E0000}"/>
    <cellStyle name="Normal 2 2 2 2 2 2 33 12" xfId="11780" xr:uid="{00000000-0005-0000-0000-0000042E0000}"/>
    <cellStyle name="Normal 2 2 2 2 2 2 33 13" xfId="11781" xr:uid="{00000000-0005-0000-0000-0000052E0000}"/>
    <cellStyle name="Normal 2 2 2 2 2 2 33 14" xfId="11782" xr:uid="{00000000-0005-0000-0000-0000062E0000}"/>
    <cellStyle name="Normal 2 2 2 2 2 2 33 2" xfId="11783" xr:uid="{00000000-0005-0000-0000-0000072E0000}"/>
    <cellStyle name="Normal 2 2 2 2 2 2 33 2 10" xfId="11784" xr:uid="{00000000-0005-0000-0000-0000082E0000}"/>
    <cellStyle name="Normal 2 2 2 2 2 2 33 2 2" xfId="11785" xr:uid="{00000000-0005-0000-0000-0000092E0000}"/>
    <cellStyle name="Normal 2 2 2 2 2 2 33 2 3" xfId="11786" xr:uid="{00000000-0005-0000-0000-00000A2E0000}"/>
    <cellStyle name="Normal 2 2 2 2 2 2 33 2 4" xfId="11787" xr:uid="{00000000-0005-0000-0000-00000B2E0000}"/>
    <cellStyle name="Normal 2 2 2 2 2 2 33 2 5" xfId="11788" xr:uid="{00000000-0005-0000-0000-00000C2E0000}"/>
    <cellStyle name="Normal 2 2 2 2 2 2 33 2 6" xfId="11789" xr:uid="{00000000-0005-0000-0000-00000D2E0000}"/>
    <cellStyle name="Normal 2 2 2 2 2 2 33 2 7" xfId="11790" xr:uid="{00000000-0005-0000-0000-00000E2E0000}"/>
    <cellStyle name="Normal 2 2 2 2 2 2 33 2 8" xfId="11791" xr:uid="{00000000-0005-0000-0000-00000F2E0000}"/>
    <cellStyle name="Normal 2 2 2 2 2 2 33 2 9" xfId="11792" xr:uid="{00000000-0005-0000-0000-0000102E0000}"/>
    <cellStyle name="Normal 2 2 2 2 2 2 33 3" xfId="11793" xr:uid="{00000000-0005-0000-0000-0000112E0000}"/>
    <cellStyle name="Normal 2 2 2 2 2 2 33 3 10" xfId="11794" xr:uid="{00000000-0005-0000-0000-0000122E0000}"/>
    <cellStyle name="Normal 2 2 2 2 2 2 33 3 2" xfId="11795" xr:uid="{00000000-0005-0000-0000-0000132E0000}"/>
    <cellStyle name="Normal 2 2 2 2 2 2 33 3 3" xfId="11796" xr:uid="{00000000-0005-0000-0000-0000142E0000}"/>
    <cellStyle name="Normal 2 2 2 2 2 2 33 3 4" xfId="11797" xr:uid="{00000000-0005-0000-0000-0000152E0000}"/>
    <cellStyle name="Normal 2 2 2 2 2 2 33 3 5" xfId="11798" xr:uid="{00000000-0005-0000-0000-0000162E0000}"/>
    <cellStyle name="Normal 2 2 2 2 2 2 33 3 6" xfId="11799" xr:uid="{00000000-0005-0000-0000-0000172E0000}"/>
    <cellStyle name="Normal 2 2 2 2 2 2 33 3 7" xfId="11800" xr:uid="{00000000-0005-0000-0000-0000182E0000}"/>
    <cellStyle name="Normal 2 2 2 2 2 2 33 3 8" xfId="11801" xr:uid="{00000000-0005-0000-0000-0000192E0000}"/>
    <cellStyle name="Normal 2 2 2 2 2 2 33 3 9" xfId="11802" xr:uid="{00000000-0005-0000-0000-00001A2E0000}"/>
    <cellStyle name="Normal 2 2 2 2 2 2 33 4" xfId="11803" xr:uid="{00000000-0005-0000-0000-00001B2E0000}"/>
    <cellStyle name="Normal 2 2 2 2 2 2 33 4 10" xfId="11804" xr:uid="{00000000-0005-0000-0000-00001C2E0000}"/>
    <cellStyle name="Normal 2 2 2 2 2 2 33 4 2" xfId="11805" xr:uid="{00000000-0005-0000-0000-00001D2E0000}"/>
    <cellStyle name="Normal 2 2 2 2 2 2 33 4 3" xfId="11806" xr:uid="{00000000-0005-0000-0000-00001E2E0000}"/>
    <cellStyle name="Normal 2 2 2 2 2 2 33 4 4" xfId="11807" xr:uid="{00000000-0005-0000-0000-00001F2E0000}"/>
    <cellStyle name="Normal 2 2 2 2 2 2 33 4 5" xfId="11808" xr:uid="{00000000-0005-0000-0000-0000202E0000}"/>
    <cellStyle name="Normal 2 2 2 2 2 2 33 4 6" xfId="11809" xr:uid="{00000000-0005-0000-0000-0000212E0000}"/>
    <cellStyle name="Normal 2 2 2 2 2 2 33 4 7" xfId="11810" xr:uid="{00000000-0005-0000-0000-0000222E0000}"/>
    <cellStyle name="Normal 2 2 2 2 2 2 33 4 8" xfId="11811" xr:uid="{00000000-0005-0000-0000-0000232E0000}"/>
    <cellStyle name="Normal 2 2 2 2 2 2 33 4 9" xfId="11812" xr:uid="{00000000-0005-0000-0000-0000242E0000}"/>
    <cellStyle name="Normal 2 2 2 2 2 2 33 5" xfId="11813" xr:uid="{00000000-0005-0000-0000-0000252E0000}"/>
    <cellStyle name="Normal 2 2 2 2 2 2 33 5 10" xfId="11814" xr:uid="{00000000-0005-0000-0000-0000262E0000}"/>
    <cellStyle name="Normal 2 2 2 2 2 2 33 5 2" xfId="11815" xr:uid="{00000000-0005-0000-0000-0000272E0000}"/>
    <cellStyle name="Normal 2 2 2 2 2 2 33 5 3" xfId="11816" xr:uid="{00000000-0005-0000-0000-0000282E0000}"/>
    <cellStyle name="Normal 2 2 2 2 2 2 33 5 4" xfId="11817" xr:uid="{00000000-0005-0000-0000-0000292E0000}"/>
    <cellStyle name="Normal 2 2 2 2 2 2 33 5 5" xfId="11818" xr:uid="{00000000-0005-0000-0000-00002A2E0000}"/>
    <cellStyle name="Normal 2 2 2 2 2 2 33 5 6" xfId="11819" xr:uid="{00000000-0005-0000-0000-00002B2E0000}"/>
    <cellStyle name="Normal 2 2 2 2 2 2 33 5 7" xfId="11820" xr:uid="{00000000-0005-0000-0000-00002C2E0000}"/>
    <cellStyle name="Normal 2 2 2 2 2 2 33 5 8" xfId="11821" xr:uid="{00000000-0005-0000-0000-00002D2E0000}"/>
    <cellStyle name="Normal 2 2 2 2 2 2 33 5 9" xfId="11822" xr:uid="{00000000-0005-0000-0000-00002E2E0000}"/>
    <cellStyle name="Normal 2 2 2 2 2 2 33 6" xfId="11823" xr:uid="{00000000-0005-0000-0000-00002F2E0000}"/>
    <cellStyle name="Normal 2 2 2 2 2 2 33 7" xfId="11824" xr:uid="{00000000-0005-0000-0000-0000302E0000}"/>
    <cellStyle name="Normal 2 2 2 2 2 2 33 8" xfId="11825" xr:uid="{00000000-0005-0000-0000-0000312E0000}"/>
    <cellStyle name="Normal 2 2 2 2 2 2 33 9" xfId="11826" xr:uid="{00000000-0005-0000-0000-0000322E0000}"/>
    <cellStyle name="Normal 2 2 2 2 2 2 34" xfId="11827" xr:uid="{00000000-0005-0000-0000-0000332E0000}"/>
    <cellStyle name="Normal 2 2 2 2 2 2 34 10" xfId="11828" xr:uid="{00000000-0005-0000-0000-0000342E0000}"/>
    <cellStyle name="Normal 2 2 2 2 2 2 34 2" xfId="11829" xr:uid="{00000000-0005-0000-0000-0000352E0000}"/>
    <cellStyle name="Normal 2 2 2 2 2 2 34 3" xfId="11830" xr:uid="{00000000-0005-0000-0000-0000362E0000}"/>
    <cellStyle name="Normal 2 2 2 2 2 2 34 4" xfId="11831" xr:uid="{00000000-0005-0000-0000-0000372E0000}"/>
    <cellStyle name="Normal 2 2 2 2 2 2 34 5" xfId="11832" xr:uid="{00000000-0005-0000-0000-0000382E0000}"/>
    <cellStyle name="Normal 2 2 2 2 2 2 34 6" xfId="11833" xr:uid="{00000000-0005-0000-0000-0000392E0000}"/>
    <cellStyle name="Normal 2 2 2 2 2 2 34 7" xfId="11834" xr:uid="{00000000-0005-0000-0000-00003A2E0000}"/>
    <cellStyle name="Normal 2 2 2 2 2 2 34 8" xfId="11835" xr:uid="{00000000-0005-0000-0000-00003B2E0000}"/>
    <cellStyle name="Normal 2 2 2 2 2 2 34 9" xfId="11836" xr:uid="{00000000-0005-0000-0000-00003C2E0000}"/>
    <cellStyle name="Normal 2 2 2 2 2 2 35" xfId="11837" xr:uid="{00000000-0005-0000-0000-00003D2E0000}"/>
    <cellStyle name="Normal 2 2 2 2 2 2 35 10" xfId="11838" xr:uid="{00000000-0005-0000-0000-00003E2E0000}"/>
    <cellStyle name="Normal 2 2 2 2 2 2 35 2" xfId="11839" xr:uid="{00000000-0005-0000-0000-00003F2E0000}"/>
    <cellStyle name="Normal 2 2 2 2 2 2 35 3" xfId="11840" xr:uid="{00000000-0005-0000-0000-0000402E0000}"/>
    <cellStyle name="Normal 2 2 2 2 2 2 35 4" xfId="11841" xr:uid="{00000000-0005-0000-0000-0000412E0000}"/>
    <cellStyle name="Normal 2 2 2 2 2 2 35 5" xfId="11842" xr:uid="{00000000-0005-0000-0000-0000422E0000}"/>
    <cellStyle name="Normal 2 2 2 2 2 2 35 6" xfId="11843" xr:uid="{00000000-0005-0000-0000-0000432E0000}"/>
    <cellStyle name="Normal 2 2 2 2 2 2 35 7" xfId="11844" xr:uid="{00000000-0005-0000-0000-0000442E0000}"/>
    <cellStyle name="Normal 2 2 2 2 2 2 35 8" xfId="11845" xr:uid="{00000000-0005-0000-0000-0000452E0000}"/>
    <cellStyle name="Normal 2 2 2 2 2 2 35 9" xfId="11846" xr:uid="{00000000-0005-0000-0000-0000462E0000}"/>
    <cellStyle name="Normal 2 2 2 2 2 2 36" xfId="11847" xr:uid="{00000000-0005-0000-0000-0000472E0000}"/>
    <cellStyle name="Normal 2 2 2 2 2 2 36 10" xfId="11848" xr:uid="{00000000-0005-0000-0000-0000482E0000}"/>
    <cellStyle name="Normal 2 2 2 2 2 2 36 2" xfId="11849" xr:uid="{00000000-0005-0000-0000-0000492E0000}"/>
    <cellStyle name="Normal 2 2 2 2 2 2 36 3" xfId="11850" xr:uid="{00000000-0005-0000-0000-00004A2E0000}"/>
    <cellStyle name="Normal 2 2 2 2 2 2 36 4" xfId="11851" xr:uid="{00000000-0005-0000-0000-00004B2E0000}"/>
    <cellStyle name="Normal 2 2 2 2 2 2 36 5" xfId="11852" xr:uid="{00000000-0005-0000-0000-00004C2E0000}"/>
    <cellStyle name="Normal 2 2 2 2 2 2 36 6" xfId="11853" xr:uid="{00000000-0005-0000-0000-00004D2E0000}"/>
    <cellStyle name="Normal 2 2 2 2 2 2 36 7" xfId="11854" xr:uid="{00000000-0005-0000-0000-00004E2E0000}"/>
    <cellStyle name="Normal 2 2 2 2 2 2 36 8" xfId="11855" xr:uid="{00000000-0005-0000-0000-00004F2E0000}"/>
    <cellStyle name="Normal 2 2 2 2 2 2 36 9" xfId="11856" xr:uid="{00000000-0005-0000-0000-0000502E0000}"/>
    <cellStyle name="Normal 2 2 2 2 2 2 37" xfId="11857" xr:uid="{00000000-0005-0000-0000-0000512E0000}"/>
    <cellStyle name="Normal 2 2 2 2 2 2 37 10" xfId="11858" xr:uid="{00000000-0005-0000-0000-0000522E0000}"/>
    <cellStyle name="Normal 2 2 2 2 2 2 37 2" xfId="11859" xr:uid="{00000000-0005-0000-0000-0000532E0000}"/>
    <cellStyle name="Normal 2 2 2 2 2 2 37 3" xfId="11860" xr:uid="{00000000-0005-0000-0000-0000542E0000}"/>
    <cellStyle name="Normal 2 2 2 2 2 2 37 4" xfId="11861" xr:uid="{00000000-0005-0000-0000-0000552E0000}"/>
    <cellStyle name="Normal 2 2 2 2 2 2 37 5" xfId="11862" xr:uid="{00000000-0005-0000-0000-0000562E0000}"/>
    <cellStyle name="Normal 2 2 2 2 2 2 37 6" xfId="11863" xr:uid="{00000000-0005-0000-0000-0000572E0000}"/>
    <cellStyle name="Normal 2 2 2 2 2 2 37 7" xfId="11864" xr:uid="{00000000-0005-0000-0000-0000582E0000}"/>
    <cellStyle name="Normal 2 2 2 2 2 2 37 8" xfId="11865" xr:uid="{00000000-0005-0000-0000-0000592E0000}"/>
    <cellStyle name="Normal 2 2 2 2 2 2 37 9" xfId="11866" xr:uid="{00000000-0005-0000-0000-00005A2E0000}"/>
    <cellStyle name="Normal 2 2 2 2 2 2 38" xfId="11867" xr:uid="{00000000-0005-0000-0000-00005B2E0000}"/>
    <cellStyle name="Normal 2 2 2 2 2 2 39" xfId="11868" xr:uid="{00000000-0005-0000-0000-00005C2E0000}"/>
    <cellStyle name="Normal 2 2 2 2 2 2 4" xfId="11869" xr:uid="{00000000-0005-0000-0000-00005D2E0000}"/>
    <cellStyle name="Normal 2 2 2 2 2 2 4 10" xfId="11870" xr:uid="{00000000-0005-0000-0000-00005E2E0000}"/>
    <cellStyle name="Normal 2 2 2 2 2 2 4 11" xfId="11871" xr:uid="{00000000-0005-0000-0000-00005F2E0000}"/>
    <cellStyle name="Normal 2 2 2 2 2 2 4 12" xfId="11872" xr:uid="{00000000-0005-0000-0000-0000602E0000}"/>
    <cellStyle name="Normal 2 2 2 2 2 2 4 13" xfId="11873" xr:uid="{00000000-0005-0000-0000-0000612E0000}"/>
    <cellStyle name="Normal 2 2 2 2 2 2 4 14" xfId="11874" xr:uid="{00000000-0005-0000-0000-0000622E0000}"/>
    <cellStyle name="Normal 2 2 2 2 2 2 4 2" xfId="11875" xr:uid="{00000000-0005-0000-0000-0000632E0000}"/>
    <cellStyle name="Normal 2 2 2 2 2 2 4 2 10" xfId="11876" xr:uid="{00000000-0005-0000-0000-0000642E0000}"/>
    <cellStyle name="Normal 2 2 2 2 2 2 4 2 2" xfId="11877" xr:uid="{00000000-0005-0000-0000-0000652E0000}"/>
    <cellStyle name="Normal 2 2 2 2 2 2 4 2 3" xfId="11878" xr:uid="{00000000-0005-0000-0000-0000662E0000}"/>
    <cellStyle name="Normal 2 2 2 2 2 2 4 2 4" xfId="11879" xr:uid="{00000000-0005-0000-0000-0000672E0000}"/>
    <cellStyle name="Normal 2 2 2 2 2 2 4 2 5" xfId="11880" xr:uid="{00000000-0005-0000-0000-0000682E0000}"/>
    <cellStyle name="Normal 2 2 2 2 2 2 4 2 6" xfId="11881" xr:uid="{00000000-0005-0000-0000-0000692E0000}"/>
    <cellStyle name="Normal 2 2 2 2 2 2 4 2 7" xfId="11882" xr:uid="{00000000-0005-0000-0000-00006A2E0000}"/>
    <cellStyle name="Normal 2 2 2 2 2 2 4 2 8" xfId="11883" xr:uid="{00000000-0005-0000-0000-00006B2E0000}"/>
    <cellStyle name="Normal 2 2 2 2 2 2 4 2 9" xfId="11884" xr:uid="{00000000-0005-0000-0000-00006C2E0000}"/>
    <cellStyle name="Normal 2 2 2 2 2 2 4 3" xfId="11885" xr:uid="{00000000-0005-0000-0000-00006D2E0000}"/>
    <cellStyle name="Normal 2 2 2 2 2 2 4 3 10" xfId="11886" xr:uid="{00000000-0005-0000-0000-00006E2E0000}"/>
    <cellStyle name="Normal 2 2 2 2 2 2 4 3 2" xfId="11887" xr:uid="{00000000-0005-0000-0000-00006F2E0000}"/>
    <cellStyle name="Normal 2 2 2 2 2 2 4 3 3" xfId="11888" xr:uid="{00000000-0005-0000-0000-0000702E0000}"/>
    <cellStyle name="Normal 2 2 2 2 2 2 4 3 4" xfId="11889" xr:uid="{00000000-0005-0000-0000-0000712E0000}"/>
    <cellStyle name="Normal 2 2 2 2 2 2 4 3 5" xfId="11890" xr:uid="{00000000-0005-0000-0000-0000722E0000}"/>
    <cellStyle name="Normal 2 2 2 2 2 2 4 3 6" xfId="11891" xr:uid="{00000000-0005-0000-0000-0000732E0000}"/>
    <cellStyle name="Normal 2 2 2 2 2 2 4 3 7" xfId="11892" xr:uid="{00000000-0005-0000-0000-0000742E0000}"/>
    <cellStyle name="Normal 2 2 2 2 2 2 4 3 8" xfId="11893" xr:uid="{00000000-0005-0000-0000-0000752E0000}"/>
    <cellStyle name="Normal 2 2 2 2 2 2 4 3 9" xfId="11894" xr:uid="{00000000-0005-0000-0000-0000762E0000}"/>
    <cellStyle name="Normal 2 2 2 2 2 2 4 4" xfId="11895" xr:uid="{00000000-0005-0000-0000-0000772E0000}"/>
    <cellStyle name="Normal 2 2 2 2 2 2 4 4 10" xfId="11896" xr:uid="{00000000-0005-0000-0000-0000782E0000}"/>
    <cellStyle name="Normal 2 2 2 2 2 2 4 4 2" xfId="11897" xr:uid="{00000000-0005-0000-0000-0000792E0000}"/>
    <cellStyle name="Normal 2 2 2 2 2 2 4 4 3" xfId="11898" xr:uid="{00000000-0005-0000-0000-00007A2E0000}"/>
    <cellStyle name="Normal 2 2 2 2 2 2 4 4 4" xfId="11899" xr:uid="{00000000-0005-0000-0000-00007B2E0000}"/>
    <cellStyle name="Normal 2 2 2 2 2 2 4 4 5" xfId="11900" xr:uid="{00000000-0005-0000-0000-00007C2E0000}"/>
    <cellStyle name="Normal 2 2 2 2 2 2 4 4 6" xfId="11901" xr:uid="{00000000-0005-0000-0000-00007D2E0000}"/>
    <cellStyle name="Normal 2 2 2 2 2 2 4 4 7" xfId="11902" xr:uid="{00000000-0005-0000-0000-00007E2E0000}"/>
    <cellStyle name="Normal 2 2 2 2 2 2 4 4 8" xfId="11903" xr:uid="{00000000-0005-0000-0000-00007F2E0000}"/>
    <cellStyle name="Normal 2 2 2 2 2 2 4 4 9" xfId="11904" xr:uid="{00000000-0005-0000-0000-0000802E0000}"/>
    <cellStyle name="Normal 2 2 2 2 2 2 4 5" xfId="11905" xr:uid="{00000000-0005-0000-0000-0000812E0000}"/>
    <cellStyle name="Normal 2 2 2 2 2 2 4 5 10" xfId="11906" xr:uid="{00000000-0005-0000-0000-0000822E0000}"/>
    <cellStyle name="Normal 2 2 2 2 2 2 4 5 2" xfId="11907" xr:uid="{00000000-0005-0000-0000-0000832E0000}"/>
    <cellStyle name="Normal 2 2 2 2 2 2 4 5 3" xfId="11908" xr:uid="{00000000-0005-0000-0000-0000842E0000}"/>
    <cellStyle name="Normal 2 2 2 2 2 2 4 5 4" xfId="11909" xr:uid="{00000000-0005-0000-0000-0000852E0000}"/>
    <cellStyle name="Normal 2 2 2 2 2 2 4 5 5" xfId="11910" xr:uid="{00000000-0005-0000-0000-0000862E0000}"/>
    <cellStyle name="Normal 2 2 2 2 2 2 4 5 6" xfId="11911" xr:uid="{00000000-0005-0000-0000-0000872E0000}"/>
    <cellStyle name="Normal 2 2 2 2 2 2 4 5 7" xfId="11912" xr:uid="{00000000-0005-0000-0000-0000882E0000}"/>
    <cellStyle name="Normal 2 2 2 2 2 2 4 5 8" xfId="11913" xr:uid="{00000000-0005-0000-0000-0000892E0000}"/>
    <cellStyle name="Normal 2 2 2 2 2 2 4 5 9" xfId="11914" xr:uid="{00000000-0005-0000-0000-00008A2E0000}"/>
    <cellStyle name="Normal 2 2 2 2 2 2 4 6" xfId="11915" xr:uid="{00000000-0005-0000-0000-00008B2E0000}"/>
    <cellStyle name="Normal 2 2 2 2 2 2 4 7" xfId="11916" xr:uid="{00000000-0005-0000-0000-00008C2E0000}"/>
    <cellStyle name="Normal 2 2 2 2 2 2 4 8" xfId="11917" xr:uid="{00000000-0005-0000-0000-00008D2E0000}"/>
    <cellStyle name="Normal 2 2 2 2 2 2 4 9" xfId="11918" xr:uid="{00000000-0005-0000-0000-00008E2E0000}"/>
    <cellStyle name="Normal 2 2 2 2 2 2 40" xfId="11919" xr:uid="{00000000-0005-0000-0000-00008F2E0000}"/>
    <cellStyle name="Normal 2 2 2 2 2 2 41" xfId="11920" xr:uid="{00000000-0005-0000-0000-0000902E0000}"/>
    <cellStyle name="Normal 2 2 2 2 2 2 42" xfId="11921" xr:uid="{00000000-0005-0000-0000-0000912E0000}"/>
    <cellStyle name="Normal 2 2 2 2 2 2 43" xfId="11922" xr:uid="{00000000-0005-0000-0000-0000922E0000}"/>
    <cellStyle name="Normal 2 2 2 2 2 2 44" xfId="11923" xr:uid="{00000000-0005-0000-0000-0000932E0000}"/>
    <cellStyle name="Normal 2 2 2 2 2 2 45" xfId="11924" xr:uid="{00000000-0005-0000-0000-0000942E0000}"/>
    <cellStyle name="Normal 2 2 2 2 2 2 46" xfId="11925" xr:uid="{00000000-0005-0000-0000-0000952E0000}"/>
    <cellStyle name="Normal 2 2 2 2 2 2 47" xfId="11926" xr:uid="{00000000-0005-0000-0000-0000962E0000}"/>
    <cellStyle name="Normal 2 2 2 2 2 2 48" xfId="11927" xr:uid="{00000000-0005-0000-0000-0000972E0000}"/>
    <cellStyle name="Normal 2 2 2 2 2 2 5" xfId="11928" xr:uid="{00000000-0005-0000-0000-0000982E0000}"/>
    <cellStyle name="Normal 2 2 2 2 2 2 5 10" xfId="11929" xr:uid="{00000000-0005-0000-0000-0000992E0000}"/>
    <cellStyle name="Normal 2 2 2 2 2 2 5 11" xfId="11930" xr:uid="{00000000-0005-0000-0000-00009A2E0000}"/>
    <cellStyle name="Normal 2 2 2 2 2 2 5 12" xfId="11931" xr:uid="{00000000-0005-0000-0000-00009B2E0000}"/>
    <cellStyle name="Normal 2 2 2 2 2 2 5 13" xfId="11932" xr:uid="{00000000-0005-0000-0000-00009C2E0000}"/>
    <cellStyle name="Normal 2 2 2 2 2 2 5 14" xfId="11933" xr:uid="{00000000-0005-0000-0000-00009D2E0000}"/>
    <cellStyle name="Normal 2 2 2 2 2 2 5 2" xfId="11934" xr:uid="{00000000-0005-0000-0000-00009E2E0000}"/>
    <cellStyle name="Normal 2 2 2 2 2 2 5 2 10" xfId="11935" xr:uid="{00000000-0005-0000-0000-00009F2E0000}"/>
    <cellStyle name="Normal 2 2 2 2 2 2 5 2 2" xfId="11936" xr:uid="{00000000-0005-0000-0000-0000A02E0000}"/>
    <cellStyle name="Normal 2 2 2 2 2 2 5 2 3" xfId="11937" xr:uid="{00000000-0005-0000-0000-0000A12E0000}"/>
    <cellStyle name="Normal 2 2 2 2 2 2 5 2 4" xfId="11938" xr:uid="{00000000-0005-0000-0000-0000A22E0000}"/>
    <cellStyle name="Normal 2 2 2 2 2 2 5 2 5" xfId="11939" xr:uid="{00000000-0005-0000-0000-0000A32E0000}"/>
    <cellStyle name="Normal 2 2 2 2 2 2 5 2 6" xfId="11940" xr:uid="{00000000-0005-0000-0000-0000A42E0000}"/>
    <cellStyle name="Normal 2 2 2 2 2 2 5 2 7" xfId="11941" xr:uid="{00000000-0005-0000-0000-0000A52E0000}"/>
    <cellStyle name="Normal 2 2 2 2 2 2 5 2 8" xfId="11942" xr:uid="{00000000-0005-0000-0000-0000A62E0000}"/>
    <cellStyle name="Normal 2 2 2 2 2 2 5 2 9" xfId="11943" xr:uid="{00000000-0005-0000-0000-0000A72E0000}"/>
    <cellStyle name="Normal 2 2 2 2 2 2 5 3" xfId="11944" xr:uid="{00000000-0005-0000-0000-0000A82E0000}"/>
    <cellStyle name="Normal 2 2 2 2 2 2 5 3 10" xfId="11945" xr:uid="{00000000-0005-0000-0000-0000A92E0000}"/>
    <cellStyle name="Normal 2 2 2 2 2 2 5 3 2" xfId="11946" xr:uid="{00000000-0005-0000-0000-0000AA2E0000}"/>
    <cellStyle name="Normal 2 2 2 2 2 2 5 3 3" xfId="11947" xr:uid="{00000000-0005-0000-0000-0000AB2E0000}"/>
    <cellStyle name="Normal 2 2 2 2 2 2 5 3 4" xfId="11948" xr:uid="{00000000-0005-0000-0000-0000AC2E0000}"/>
    <cellStyle name="Normal 2 2 2 2 2 2 5 3 5" xfId="11949" xr:uid="{00000000-0005-0000-0000-0000AD2E0000}"/>
    <cellStyle name="Normal 2 2 2 2 2 2 5 3 6" xfId="11950" xr:uid="{00000000-0005-0000-0000-0000AE2E0000}"/>
    <cellStyle name="Normal 2 2 2 2 2 2 5 3 7" xfId="11951" xr:uid="{00000000-0005-0000-0000-0000AF2E0000}"/>
    <cellStyle name="Normal 2 2 2 2 2 2 5 3 8" xfId="11952" xr:uid="{00000000-0005-0000-0000-0000B02E0000}"/>
    <cellStyle name="Normal 2 2 2 2 2 2 5 3 9" xfId="11953" xr:uid="{00000000-0005-0000-0000-0000B12E0000}"/>
    <cellStyle name="Normal 2 2 2 2 2 2 5 4" xfId="11954" xr:uid="{00000000-0005-0000-0000-0000B22E0000}"/>
    <cellStyle name="Normal 2 2 2 2 2 2 5 4 10" xfId="11955" xr:uid="{00000000-0005-0000-0000-0000B32E0000}"/>
    <cellStyle name="Normal 2 2 2 2 2 2 5 4 2" xfId="11956" xr:uid="{00000000-0005-0000-0000-0000B42E0000}"/>
    <cellStyle name="Normal 2 2 2 2 2 2 5 4 3" xfId="11957" xr:uid="{00000000-0005-0000-0000-0000B52E0000}"/>
    <cellStyle name="Normal 2 2 2 2 2 2 5 4 4" xfId="11958" xr:uid="{00000000-0005-0000-0000-0000B62E0000}"/>
    <cellStyle name="Normal 2 2 2 2 2 2 5 4 5" xfId="11959" xr:uid="{00000000-0005-0000-0000-0000B72E0000}"/>
    <cellStyle name="Normal 2 2 2 2 2 2 5 4 6" xfId="11960" xr:uid="{00000000-0005-0000-0000-0000B82E0000}"/>
    <cellStyle name="Normal 2 2 2 2 2 2 5 4 7" xfId="11961" xr:uid="{00000000-0005-0000-0000-0000B92E0000}"/>
    <cellStyle name="Normal 2 2 2 2 2 2 5 4 8" xfId="11962" xr:uid="{00000000-0005-0000-0000-0000BA2E0000}"/>
    <cellStyle name="Normal 2 2 2 2 2 2 5 4 9" xfId="11963" xr:uid="{00000000-0005-0000-0000-0000BB2E0000}"/>
    <cellStyle name="Normal 2 2 2 2 2 2 5 5" xfId="11964" xr:uid="{00000000-0005-0000-0000-0000BC2E0000}"/>
    <cellStyle name="Normal 2 2 2 2 2 2 5 5 10" xfId="11965" xr:uid="{00000000-0005-0000-0000-0000BD2E0000}"/>
    <cellStyle name="Normal 2 2 2 2 2 2 5 5 2" xfId="11966" xr:uid="{00000000-0005-0000-0000-0000BE2E0000}"/>
    <cellStyle name="Normal 2 2 2 2 2 2 5 5 3" xfId="11967" xr:uid="{00000000-0005-0000-0000-0000BF2E0000}"/>
    <cellStyle name="Normal 2 2 2 2 2 2 5 5 4" xfId="11968" xr:uid="{00000000-0005-0000-0000-0000C02E0000}"/>
    <cellStyle name="Normal 2 2 2 2 2 2 5 5 5" xfId="11969" xr:uid="{00000000-0005-0000-0000-0000C12E0000}"/>
    <cellStyle name="Normal 2 2 2 2 2 2 5 5 6" xfId="11970" xr:uid="{00000000-0005-0000-0000-0000C22E0000}"/>
    <cellStyle name="Normal 2 2 2 2 2 2 5 5 7" xfId="11971" xr:uid="{00000000-0005-0000-0000-0000C32E0000}"/>
    <cellStyle name="Normal 2 2 2 2 2 2 5 5 8" xfId="11972" xr:uid="{00000000-0005-0000-0000-0000C42E0000}"/>
    <cellStyle name="Normal 2 2 2 2 2 2 5 5 9" xfId="11973" xr:uid="{00000000-0005-0000-0000-0000C52E0000}"/>
    <cellStyle name="Normal 2 2 2 2 2 2 5 6" xfId="11974" xr:uid="{00000000-0005-0000-0000-0000C62E0000}"/>
    <cellStyle name="Normal 2 2 2 2 2 2 5 7" xfId="11975" xr:uid="{00000000-0005-0000-0000-0000C72E0000}"/>
    <cellStyle name="Normal 2 2 2 2 2 2 5 8" xfId="11976" xr:uid="{00000000-0005-0000-0000-0000C82E0000}"/>
    <cellStyle name="Normal 2 2 2 2 2 2 5 9" xfId="11977" xr:uid="{00000000-0005-0000-0000-0000C92E0000}"/>
    <cellStyle name="Normal 2 2 2 2 2 2 6" xfId="11978" xr:uid="{00000000-0005-0000-0000-0000CA2E0000}"/>
    <cellStyle name="Normal 2 2 2 2 2 2 6 10" xfId="11979" xr:uid="{00000000-0005-0000-0000-0000CB2E0000}"/>
    <cellStyle name="Normal 2 2 2 2 2 2 6 11" xfId="11980" xr:uid="{00000000-0005-0000-0000-0000CC2E0000}"/>
    <cellStyle name="Normal 2 2 2 2 2 2 6 12" xfId="11981" xr:uid="{00000000-0005-0000-0000-0000CD2E0000}"/>
    <cellStyle name="Normal 2 2 2 2 2 2 6 13" xfId="11982" xr:uid="{00000000-0005-0000-0000-0000CE2E0000}"/>
    <cellStyle name="Normal 2 2 2 2 2 2 6 14" xfId="11983" xr:uid="{00000000-0005-0000-0000-0000CF2E0000}"/>
    <cellStyle name="Normal 2 2 2 2 2 2 6 2" xfId="11984" xr:uid="{00000000-0005-0000-0000-0000D02E0000}"/>
    <cellStyle name="Normal 2 2 2 2 2 2 6 2 10" xfId="11985" xr:uid="{00000000-0005-0000-0000-0000D12E0000}"/>
    <cellStyle name="Normal 2 2 2 2 2 2 6 2 2" xfId="11986" xr:uid="{00000000-0005-0000-0000-0000D22E0000}"/>
    <cellStyle name="Normal 2 2 2 2 2 2 6 2 3" xfId="11987" xr:uid="{00000000-0005-0000-0000-0000D32E0000}"/>
    <cellStyle name="Normal 2 2 2 2 2 2 6 2 4" xfId="11988" xr:uid="{00000000-0005-0000-0000-0000D42E0000}"/>
    <cellStyle name="Normal 2 2 2 2 2 2 6 2 5" xfId="11989" xr:uid="{00000000-0005-0000-0000-0000D52E0000}"/>
    <cellStyle name="Normal 2 2 2 2 2 2 6 2 6" xfId="11990" xr:uid="{00000000-0005-0000-0000-0000D62E0000}"/>
    <cellStyle name="Normal 2 2 2 2 2 2 6 2 7" xfId="11991" xr:uid="{00000000-0005-0000-0000-0000D72E0000}"/>
    <cellStyle name="Normal 2 2 2 2 2 2 6 2 8" xfId="11992" xr:uid="{00000000-0005-0000-0000-0000D82E0000}"/>
    <cellStyle name="Normal 2 2 2 2 2 2 6 2 9" xfId="11993" xr:uid="{00000000-0005-0000-0000-0000D92E0000}"/>
    <cellStyle name="Normal 2 2 2 2 2 2 6 3" xfId="11994" xr:uid="{00000000-0005-0000-0000-0000DA2E0000}"/>
    <cellStyle name="Normal 2 2 2 2 2 2 6 3 10" xfId="11995" xr:uid="{00000000-0005-0000-0000-0000DB2E0000}"/>
    <cellStyle name="Normal 2 2 2 2 2 2 6 3 2" xfId="11996" xr:uid="{00000000-0005-0000-0000-0000DC2E0000}"/>
    <cellStyle name="Normal 2 2 2 2 2 2 6 3 3" xfId="11997" xr:uid="{00000000-0005-0000-0000-0000DD2E0000}"/>
    <cellStyle name="Normal 2 2 2 2 2 2 6 3 4" xfId="11998" xr:uid="{00000000-0005-0000-0000-0000DE2E0000}"/>
    <cellStyle name="Normal 2 2 2 2 2 2 6 3 5" xfId="11999" xr:uid="{00000000-0005-0000-0000-0000DF2E0000}"/>
    <cellStyle name="Normal 2 2 2 2 2 2 6 3 6" xfId="12000" xr:uid="{00000000-0005-0000-0000-0000E02E0000}"/>
    <cellStyle name="Normal 2 2 2 2 2 2 6 3 7" xfId="12001" xr:uid="{00000000-0005-0000-0000-0000E12E0000}"/>
    <cellStyle name="Normal 2 2 2 2 2 2 6 3 8" xfId="12002" xr:uid="{00000000-0005-0000-0000-0000E22E0000}"/>
    <cellStyle name="Normal 2 2 2 2 2 2 6 3 9" xfId="12003" xr:uid="{00000000-0005-0000-0000-0000E32E0000}"/>
    <cellStyle name="Normal 2 2 2 2 2 2 6 4" xfId="12004" xr:uid="{00000000-0005-0000-0000-0000E42E0000}"/>
    <cellStyle name="Normal 2 2 2 2 2 2 6 4 10" xfId="12005" xr:uid="{00000000-0005-0000-0000-0000E52E0000}"/>
    <cellStyle name="Normal 2 2 2 2 2 2 6 4 2" xfId="12006" xr:uid="{00000000-0005-0000-0000-0000E62E0000}"/>
    <cellStyle name="Normal 2 2 2 2 2 2 6 4 3" xfId="12007" xr:uid="{00000000-0005-0000-0000-0000E72E0000}"/>
    <cellStyle name="Normal 2 2 2 2 2 2 6 4 4" xfId="12008" xr:uid="{00000000-0005-0000-0000-0000E82E0000}"/>
    <cellStyle name="Normal 2 2 2 2 2 2 6 4 5" xfId="12009" xr:uid="{00000000-0005-0000-0000-0000E92E0000}"/>
    <cellStyle name="Normal 2 2 2 2 2 2 6 4 6" xfId="12010" xr:uid="{00000000-0005-0000-0000-0000EA2E0000}"/>
    <cellStyle name="Normal 2 2 2 2 2 2 6 4 7" xfId="12011" xr:uid="{00000000-0005-0000-0000-0000EB2E0000}"/>
    <cellStyle name="Normal 2 2 2 2 2 2 6 4 8" xfId="12012" xr:uid="{00000000-0005-0000-0000-0000EC2E0000}"/>
    <cellStyle name="Normal 2 2 2 2 2 2 6 4 9" xfId="12013" xr:uid="{00000000-0005-0000-0000-0000ED2E0000}"/>
    <cellStyle name="Normal 2 2 2 2 2 2 6 5" xfId="12014" xr:uid="{00000000-0005-0000-0000-0000EE2E0000}"/>
    <cellStyle name="Normal 2 2 2 2 2 2 6 5 10" xfId="12015" xr:uid="{00000000-0005-0000-0000-0000EF2E0000}"/>
    <cellStyle name="Normal 2 2 2 2 2 2 6 5 2" xfId="12016" xr:uid="{00000000-0005-0000-0000-0000F02E0000}"/>
    <cellStyle name="Normal 2 2 2 2 2 2 6 5 3" xfId="12017" xr:uid="{00000000-0005-0000-0000-0000F12E0000}"/>
    <cellStyle name="Normal 2 2 2 2 2 2 6 5 4" xfId="12018" xr:uid="{00000000-0005-0000-0000-0000F22E0000}"/>
    <cellStyle name="Normal 2 2 2 2 2 2 6 5 5" xfId="12019" xr:uid="{00000000-0005-0000-0000-0000F32E0000}"/>
    <cellStyle name="Normal 2 2 2 2 2 2 6 5 6" xfId="12020" xr:uid="{00000000-0005-0000-0000-0000F42E0000}"/>
    <cellStyle name="Normal 2 2 2 2 2 2 6 5 7" xfId="12021" xr:uid="{00000000-0005-0000-0000-0000F52E0000}"/>
    <cellStyle name="Normal 2 2 2 2 2 2 6 5 8" xfId="12022" xr:uid="{00000000-0005-0000-0000-0000F62E0000}"/>
    <cellStyle name="Normal 2 2 2 2 2 2 6 5 9" xfId="12023" xr:uid="{00000000-0005-0000-0000-0000F72E0000}"/>
    <cellStyle name="Normal 2 2 2 2 2 2 6 6" xfId="12024" xr:uid="{00000000-0005-0000-0000-0000F82E0000}"/>
    <cellStyle name="Normal 2 2 2 2 2 2 6 7" xfId="12025" xr:uid="{00000000-0005-0000-0000-0000F92E0000}"/>
    <cellStyle name="Normal 2 2 2 2 2 2 6 8" xfId="12026" xr:uid="{00000000-0005-0000-0000-0000FA2E0000}"/>
    <cellStyle name="Normal 2 2 2 2 2 2 6 9" xfId="12027" xr:uid="{00000000-0005-0000-0000-0000FB2E0000}"/>
    <cellStyle name="Normal 2 2 2 2 2 2 7" xfId="12028" xr:uid="{00000000-0005-0000-0000-0000FC2E0000}"/>
    <cellStyle name="Normal 2 2 2 2 2 2 7 10" xfId="12029" xr:uid="{00000000-0005-0000-0000-0000FD2E0000}"/>
    <cellStyle name="Normal 2 2 2 2 2 2 7 11" xfId="12030" xr:uid="{00000000-0005-0000-0000-0000FE2E0000}"/>
    <cellStyle name="Normal 2 2 2 2 2 2 7 12" xfId="12031" xr:uid="{00000000-0005-0000-0000-0000FF2E0000}"/>
    <cellStyle name="Normal 2 2 2 2 2 2 7 13" xfId="12032" xr:uid="{00000000-0005-0000-0000-0000002F0000}"/>
    <cellStyle name="Normal 2 2 2 2 2 2 7 14" xfId="12033" xr:uid="{00000000-0005-0000-0000-0000012F0000}"/>
    <cellStyle name="Normal 2 2 2 2 2 2 7 2" xfId="12034" xr:uid="{00000000-0005-0000-0000-0000022F0000}"/>
    <cellStyle name="Normal 2 2 2 2 2 2 7 2 10" xfId="12035" xr:uid="{00000000-0005-0000-0000-0000032F0000}"/>
    <cellStyle name="Normal 2 2 2 2 2 2 7 2 2" xfId="12036" xr:uid="{00000000-0005-0000-0000-0000042F0000}"/>
    <cellStyle name="Normal 2 2 2 2 2 2 7 2 3" xfId="12037" xr:uid="{00000000-0005-0000-0000-0000052F0000}"/>
    <cellStyle name="Normal 2 2 2 2 2 2 7 2 4" xfId="12038" xr:uid="{00000000-0005-0000-0000-0000062F0000}"/>
    <cellStyle name="Normal 2 2 2 2 2 2 7 2 5" xfId="12039" xr:uid="{00000000-0005-0000-0000-0000072F0000}"/>
    <cellStyle name="Normal 2 2 2 2 2 2 7 2 6" xfId="12040" xr:uid="{00000000-0005-0000-0000-0000082F0000}"/>
    <cellStyle name="Normal 2 2 2 2 2 2 7 2 7" xfId="12041" xr:uid="{00000000-0005-0000-0000-0000092F0000}"/>
    <cellStyle name="Normal 2 2 2 2 2 2 7 2 8" xfId="12042" xr:uid="{00000000-0005-0000-0000-00000A2F0000}"/>
    <cellStyle name="Normal 2 2 2 2 2 2 7 2 9" xfId="12043" xr:uid="{00000000-0005-0000-0000-00000B2F0000}"/>
    <cellStyle name="Normal 2 2 2 2 2 2 7 3" xfId="12044" xr:uid="{00000000-0005-0000-0000-00000C2F0000}"/>
    <cellStyle name="Normal 2 2 2 2 2 2 7 3 10" xfId="12045" xr:uid="{00000000-0005-0000-0000-00000D2F0000}"/>
    <cellStyle name="Normal 2 2 2 2 2 2 7 3 2" xfId="12046" xr:uid="{00000000-0005-0000-0000-00000E2F0000}"/>
    <cellStyle name="Normal 2 2 2 2 2 2 7 3 3" xfId="12047" xr:uid="{00000000-0005-0000-0000-00000F2F0000}"/>
    <cellStyle name="Normal 2 2 2 2 2 2 7 3 4" xfId="12048" xr:uid="{00000000-0005-0000-0000-0000102F0000}"/>
    <cellStyle name="Normal 2 2 2 2 2 2 7 3 5" xfId="12049" xr:uid="{00000000-0005-0000-0000-0000112F0000}"/>
    <cellStyle name="Normal 2 2 2 2 2 2 7 3 6" xfId="12050" xr:uid="{00000000-0005-0000-0000-0000122F0000}"/>
    <cellStyle name="Normal 2 2 2 2 2 2 7 3 7" xfId="12051" xr:uid="{00000000-0005-0000-0000-0000132F0000}"/>
    <cellStyle name="Normal 2 2 2 2 2 2 7 3 8" xfId="12052" xr:uid="{00000000-0005-0000-0000-0000142F0000}"/>
    <cellStyle name="Normal 2 2 2 2 2 2 7 3 9" xfId="12053" xr:uid="{00000000-0005-0000-0000-0000152F0000}"/>
    <cellStyle name="Normal 2 2 2 2 2 2 7 4" xfId="12054" xr:uid="{00000000-0005-0000-0000-0000162F0000}"/>
    <cellStyle name="Normal 2 2 2 2 2 2 7 4 10" xfId="12055" xr:uid="{00000000-0005-0000-0000-0000172F0000}"/>
    <cellStyle name="Normal 2 2 2 2 2 2 7 4 2" xfId="12056" xr:uid="{00000000-0005-0000-0000-0000182F0000}"/>
    <cellStyle name="Normal 2 2 2 2 2 2 7 4 3" xfId="12057" xr:uid="{00000000-0005-0000-0000-0000192F0000}"/>
    <cellStyle name="Normal 2 2 2 2 2 2 7 4 4" xfId="12058" xr:uid="{00000000-0005-0000-0000-00001A2F0000}"/>
    <cellStyle name="Normal 2 2 2 2 2 2 7 4 5" xfId="12059" xr:uid="{00000000-0005-0000-0000-00001B2F0000}"/>
    <cellStyle name="Normal 2 2 2 2 2 2 7 4 6" xfId="12060" xr:uid="{00000000-0005-0000-0000-00001C2F0000}"/>
    <cellStyle name="Normal 2 2 2 2 2 2 7 4 7" xfId="12061" xr:uid="{00000000-0005-0000-0000-00001D2F0000}"/>
    <cellStyle name="Normal 2 2 2 2 2 2 7 4 8" xfId="12062" xr:uid="{00000000-0005-0000-0000-00001E2F0000}"/>
    <cellStyle name="Normal 2 2 2 2 2 2 7 4 9" xfId="12063" xr:uid="{00000000-0005-0000-0000-00001F2F0000}"/>
    <cellStyle name="Normal 2 2 2 2 2 2 7 5" xfId="12064" xr:uid="{00000000-0005-0000-0000-0000202F0000}"/>
    <cellStyle name="Normal 2 2 2 2 2 2 7 5 10" xfId="12065" xr:uid="{00000000-0005-0000-0000-0000212F0000}"/>
    <cellStyle name="Normal 2 2 2 2 2 2 7 5 2" xfId="12066" xr:uid="{00000000-0005-0000-0000-0000222F0000}"/>
    <cellStyle name="Normal 2 2 2 2 2 2 7 5 3" xfId="12067" xr:uid="{00000000-0005-0000-0000-0000232F0000}"/>
    <cellStyle name="Normal 2 2 2 2 2 2 7 5 4" xfId="12068" xr:uid="{00000000-0005-0000-0000-0000242F0000}"/>
    <cellStyle name="Normal 2 2 2 2 2 2 7 5 5" xfId="12069" xr:uid="{00000000-0005-0000-0000-0000252F0000}"/>
    <cellStyle name="Normal 2 2 2 2 2 2 7 5 6" xfId="12070" xr:uid="{00000000-0005-0000-0000-0000262F0000}"/>
    <cellStyle name="Normal 2 2 2 2 2 2 7 5 7" xfId="12071" xr:uid="{00000000-0005-0000-0000-0000272F0000}"/>
    <cellStyle name="Normal 2 2 2 2 2 2 7 5 8" xfId="12072" xr:uid="{00000000-0005-0000-0000-0000282F0000}"/>
    <cellStyle name="Normal 2 2 2 2 2 2 7 5 9" xfId="12073" xr:uid="{00000000-0005-0000-0000-0000292F0000}"/>
    <cellStyle name="Normal 2 2 2 2 2 2 7 6" xfId="12074" xr:uid="{00000000-0005-0000-0000-00002A2F0000}"/>
    <cellStyle name="Normal 2 2 2 2 2 2 7 7" xfId="12075" xr:uid="{00000000-0005-0000-0000-00002B2F0000}"/>
    <cellStyle name="Normal 2 2 2 2 2 2 7 8" xfId="12076" xr:uid="{00000000-0005-0000-0000-00002C2F0000}"/>
    <cellStyle name="Normal 2 2 2 2 2 2 7 9" xfId="12077" xr:uid="{00000000-0005-0000-0000-00002D2F0000}"/>
    <cellStyle name="Normal 2 2 2 2 2 2 8" xfId="12078" xr:uid="{00000000-0005-0000-0000-00002E2F0000}"/>
    <cellStyle name="Normal 2 2 2 2 2 2 8 10" xfId="12079" xr:uid="{00000000-0005-0000-0000-00002F2F0000}"/>
    <cellStyle name="Normal 2 2 2 2 2 2 8 11" xfId="12080" xr:uid="{00000000-0005-0000-0000-0000302F0000}"/>
    <cellStyle name="Normal 2 2 2 2 2 2 8 12" xfId="12081" xr:uid="{00000000-0005-0000-0000-0000312F0000}"/>
    <cellStyle name="Normal 2 2 2 2 2 2 8 13" xfId="12082" xr:uid="{00000000-0005-0000-0000-0000322F0000}"/>
    <cellStyle name="Normal 2 2 2 2 2 2 8 14" xfId="12083" xr:uid="{00000000-0005-0000-0000-0000332F0000}"/>
    <cellStyle name="Normal 2 2 2 2 2 2 8 2" xfId="12084" xr:uid="{00000000-0005-0000-0000-0000342F0000}"/>
    <cellStyle name="Normal 2 2 2 2 2 2 8 2 10" xfId="12085" xr:uid="{00000000-0005-0000-0000-0000352F0000}"/>
    <cellStyle name="Normal 2 2 2 2 2 2 8 2 2" xfId="12086" xr:uid="{00000000-0005-0000-0000-0000362F0000}"/>
    <cellStyle name="Normal 2 2 2 2 2 2 8 2 3" xfId="12087" xr:uid="{00000000-0005-0000-0000-0000372F0000}"/>
    <cellStyle name="Normal 2 2 2 2 2 2 8 2 4" xfId="12088" xr:uid="{00000000-0005-0000-0000-0000382F0000}"/>
    <cellStyle name="Normal 2 2 2 2 2 2 8 2 5" xfId="12089" xr:uid="{00000000-0005-0000-0000-0000392F0000}"/>
    <cellStyle name="Normal 2 2 2 2 2 2 8 2 6" xfId="12090" xr:uid="{00000000-0005-0000-0000-00003A2F0000}"/>
    <cellStyle name="Normal 2 2 2 2 2 2 8 2 7" xfId="12091" xr:uid="{00000000-0005-0000-0000-00003B2F0000}"/>
    <cellStyle name="Normal 2 2 2 2 2 2 8 2 8" xfId="12092" xr:uid="{00000000-0005-0000-0000-00003C2F0000}"/>
    <cellStyle name="Normal 2 2 2 2 2 2 8 2 9" xfId="12093" xr:uid="{00000000-0005-0000-0000-00003D2F0000}"/>
    <cellStyle name="Normal 2 2 2 2 2 2 8 3" xfId="12094" xr:uid="{00000000-0005-0000-0000-00003E2F0000}"/>
    <cellStyle name="Normal 2 2 2 2 2 2 8 3 10" xfId="12095" xr:uid="{00000000-0005-0000-0000-00003F2F0000}"/>
    <cellStyle name="Normal 2 2 2 2 2 2 8 3 2" xfId="12096" xr:uid="{00000000-0005-0000-0000-0000402F0000}"/>
    <cellStyle name="Normal 2 2 2 2 2 2 8 3 3" xfId="12097" xr:uid="{00000000-0005-0000-0000-0000412F0000}"/>
    <cellStyle name="Normal 2 2 2 2 2 2 8 3 4" xfId="12098" xr:uid="{00000000-0005-0000-0000-0000422F0000}"/>
    <cellStyle name="Normal 2 2 2 2 2 2 8 3 5" xfId="12099" xr:uid="{00000000-0005-0000-0000-0000432F0000}"/>
    <cellStyle name="Normal 2 2 2 2 2 2 8 3 6" xfId="12100" xr:uid="{00000000-0005-0000-0000-0000442F0000}"/>
    <cellStyle name="Normal 2 2 2 2 2 2 8 3 7" xfId="12101" xr:uid="{00000000-0005-0000-0000-0000452F0000}"/>
    <cellStyle name="Normal 2 2 2 2 2 2 8 3 8" xfId="12102" xr:uid="{00000000-0005-0000-0000-0000462F0000}"/>
    <cellStyle name="Normal 2 2 2 2 2 2 8 3 9" xfId="12103" xr:uid="{00000000-0005-0000-0000-0000472F0000}"/>
    <cellStyle name="Normal 2 2 2 2 2 2 8 4" xfId="12104" xr:uid="{00000000-0005-0000-0000-0000482F0000}"/>
    <cellStyle name="Normal 2 2 2 2 2 2 8 4 10" xfId="12105" xr:uid="{00000000-0005-0000-0000-0000492F0000}"/>
    <cellStyle name="Normal 2 2 2 2 2 2 8 4 2" xfId="12106" xr:uid="{00000000-0005-0000-0000-00004A2F0000}"/>
    <cellStyle name="Normal 2 2 2 2 2 2 8 4 3" xfId="12107" xr:uid="{00000000-0005-0000-0000-00004B2F0000}"/>
    <cellStyle name="Normal 2 2 2 2 2 2 8 4 4" xfId="12108" xr:uid="{00000000-0005-0000-0000-00004C2F0000}"/>
    <cellStyle name="Normal 2 2 2 2 2 2 8 4 5" xfId="12109" xr:uid="{00000000-0005-0000-0000-00004D2F0000}"/>
    <cellStyle name="Normal 2 2 2 2 2 2 8 4 6" xfId="12110" xr:uid="{00000000-0005-0000-0000-00004E2F0000}"/>
    <cellStyle name="Normal 2 2 2 2 2 2 8 4 7" xfId="12111" xr:uid="{00000000-0005-0000-0000-00004F2F0000}"/>
    <cellStyle name="Normal 2 2 2 2 2 2 8 4 8" xfId="12112" xr:uid="{00000000-0005-0000-0000-0000502F0000}"/>
    <cellStyle name="Normal 2 2 2 2 2 2 8 4 9" xfId="12113" xr:uid="{00000000-0005-0000-0000-0000512F0000}"/>
    <cellStyle name="Normal 2 2 2 2 2 2 8 5" xfId="12114" xr:uid="{00000000-0005-0000-0000-0000522F0000}"/>
    <cellStyle name="Normal 2 2 2 2 2 2 8 5 10" xfId="12115" xr:uid="{00000000-0005-0000-0000-0000532F0000}"/>
    <cellStyle name="Normal 2 2 2 2 2 2 8 5 2" xfId="12116" xr:uid="{00000000-0005-0000-0000-0000542F0000}"/>
    <cellStyle name="Normal 2 2 2 2 2 2 8 5 3" xfId="12117" xr:uid="{00000000-0005-0000-0000-0000552F0000}"/>
    <cellStyle name="Normal 2 2 2 2 2 2 8 5 4" xfId="12118" xr:uid="{00000000-0005-0000-0000-0000562F0000}"/>
    <cellStyle name="Normal 2 2 2 2 2 2 8 5 5" xfId="12119" xr:uid="{00000000-0005-0000-0000-0000572F0000}"/>
    <cellStyle name="Normal 2 2 2 2 2 2 8 5 6" xfId="12120" xr:uid="{00000000-0005-0000-0000-0000582F0000}"/>
    <cellStyle name="Normal 2 2 2 2 2 2 8 5 7" xfId="12121" xr:uid="{00000000-0005-0000-0000-0000592F0000}"/>
    <cellStyle name="Normal 2 2 2 2 2 2 8 5 8" xfId="12122" xr:uid="{00000000-0005-0000-0000-00005A2F0000}"/>
    <cellStyle name="Normal 2 2 2 2 2 2 8 5 9" xfId="12123" xr:uid="{00000000-0005-0000-0000-00005B2F0000}"/>
    <cellStyle name="Normal 2 2 2 2 2 2 8 6" xfId="12124" xr:uid="{00000000-0005-0000-0000-00005C2F0000}"/>
    <cellStyle name="Normal 2 2 2 2 2 2 8 7" xfId="12125" xr:uid="{00000000-0005-0000-0000-00005D2F0000}"/>
    <cellStyle name="Normal 2 2 2 2 2 2 8 8" xfId="12126" xr:uid="{00000000-0005-0000-0000-00005E2F0000}"/>
    <cellStyle name="Normal 2 2 2 2 2 2 8 9" xfId="12127" xr:uid="{00000000-0005-0000-0000-00005F2F0000}"/>
    <cellStyle name="Normal 2 2 2 2 2 2 9" xfId="12128" xr:uid="{00000000-0005-0000-0000-0000602F0000}"/>
    <cellStyle name="Normal 2 2 2 2 2 2 9 10" xfId="12129" xr:uid="{00000000-0005-0000-0000-0000612F0000}"/>
    <cellStyle name="Normal 2 2 2 2 2 2 9 11" xfId="12130" xr:uid="{00000000-0005-0000-0000-0000622F0000}"/>
    <cellStyle name="Normal 2 2 2 2 2 2 9 12" xfId="12131" xr:uid="{00000000-0005-0000-0000-0000632F0000}"/>
    <cellStyle name="Normal 2 2 2 2 2 2 9 13" xfId="12132" xr:uid="{00000000-0005-0000-0000-0000642F0000}"/>
    <cellStyle name="Normal 2 2 2 2 2 2 9 14" xfId="12133" xr:uid="{00000000-0005-0000-0000-0000652F0000}"/>
    <cellStyle name="Normal 2 2 2 2 2 2 9 2" xfId="12134" xr:uid="{00000000-0005-0000-0000-0000662F0000}"/>
    <cellStyle name="Normal 2 2 2 2 2 2 9 2 10" xfId="12135" xr:uid="{00000000-0005-0000-0000-0000672F0000}"/>
    <cellStyle name="Normal 2 2 2 2 2 2 9 2 2" xfId="12136" xr:uid="{00000000-0005-0000-0000-0000682F0000}"/>
    <cellStyle name="Normal 2 2 2 2 2 2 9 2 3" xfId="12137" xr:uid="{00000000-0005-0000-0000-0000692F0000}"/>
    <cellStyle name="Normal 2 2 2 2 2 2 9 2 4" xfId="12138" xr:uid="{00000000-0005-0000-0000-00006A2F0000}"/>
    <cellStyle name="Normal 2 2 2 2 2 2 9 2 5" xfId="12139" xr:uid="{00000000-0005-0000-0000-00006B2F0000}"/>
    <cellStyle name="Normal 2 2 2 2 2 2 9 2 6" xfId="12140" xr:uid="{00000000-0005-0000-0000-00006C2F0000}"/>
    <cellStyle name="Normal 2 2 2 2 2 2 9 2 7" xfId="12141" xr:uid="{00000000-0005-0000-0000-00006D2F0000}"/>
    <cellStyle name="Normal 2 2 2 2 2 2 9 2 8" xfId="12142" xr:uid="{00000000-0005-0000-0000-00006E2F0000}"/>
    <cellStyle name="Normal 2 2 2 2 2 2 9 2 9" xfId="12143" xr:uid="{00000000-0005-0000-0000-00006F2F0000}"/>
    <cellStyle name="Normal 2 2 2 2 2 2 9 3" xfId="12144" xr:uid="{00000000-0005-0000-0000-0000702F0000}"/>
    <cellStyle name="Normal 2 2 2 2 2 2 9 3 10" xfId="12145" xr:uid="{00000000-0005-0000-0000-0000712F0000}"/>
    <cellStyle name="Normal 2 2 2 2 2 2 9 3 2" xfId="12146" xr:uid="{00000000-0005-0000-0000-0000722F0000}"/>
    <cellStyle name="Normal 2 2 2 2 2 2 9 3 3" xfId="12147" xr:uid="{00000000-0005-0000-0000-0000732F0000}"/>
    <cellStyle name="Normal 2 2 2 2 2 2 9 3 4" xfId="12148" xr:uid="{00000000-0005-0000-0000-0000742F0000}"/>
    <cellStyle name="Normal 2 2 2 2 2 2 9 3 5" xfId="12149" xr:uid="{00000000-0005-0000-0000-0000752F0000}"/>
    <cellStyle name="Normal 2 2 2 2 2 2 9 3 6" xfId="12150" xr:uid="{00000000-0005-0000-0000-0000762F0000}"/>
    <cellStyle name="Normal 2 2 2 2 2 2 9 3 7" xfId="12151" xr:uid="{00000000-0005-0000-0000-0000772F0000}"/>
    <cellStyle name="Normal 2 2 2 2 2 2 9 3 8" xfId="12152" xr:uid="{00000000-0005-0000-0000-0000782F0000}"/>
    <cellStyle name="Normal 2 2 2 2 2 2 9 3 9" xfId="12153" xr:uid="{00000000-0005-0000-0000-0000792F0000}"/>
    <cellStyle name="Normal 2 2 2 2 2 2 9 4" xfId="12154" xr:uid="{00000000-0005-0000-0000-00007A2F0000}"/>
    <cellStyle name="Normal 2 2 2 2 2 2 9 4 10" xfId="12155" xr:uid="{00000000-0005-0000-0000-00007B2F0000}"/>
    <cellStyle name="Normal 2 2 2 2 2 2 9 4 2" xfId="12156" xr:uid="{00000000-0005-0000-0000-00007C2F0000}"/>
    <cellStyle name="Normal 2 2 2 2 2 2 9 4 3" xfId="12157" xr:uid="{00000000-0005-0000-0000-00007D2F0000}"/>
    <cellStyle name="Normal 2 2 2 2 2 2 9 4 4" xfId="12158" xr:uid="{00000000-0005-0000-0000-00007E2F0000}"/>
    <cellStyle name="Normal 2 2 2 2 2 2 9 4 5" xfId="12159" xr:uid="{00000000-0005-0000-0000-00007F2F0000}"/>
    <cellStyle name="Normal 2 2 2 2 2 2 9 4 6" xfId="12160" xr:uid="{00000000-0005-0000-0000-0000802F0000}"/>
    <cellStyle name="Normal 2 2 2 2 2 2 9 4 7" xfId="12161" xr:uid="{00000000-0005-0000-0000-0000812F0000}"/>
    <cellStyle name="Normal 2 2 2 2 2 2 9 4 8" xfId="12162" xr:uid="{00000000-0005-0000-0000-0000822F0000}"/>
    <cellStyle name="Normal 2 2 2 2 2 2 9 4 9" xfId="12163" xr:uid="{00000000-0005-0000-0000-0000832F0000}"/>
    <cellStyle name="Normal 2 2 2 2 2 2 9 5" xfId="12164" xr:uid="{00000000-0005-0000-0000-0000842F0000}"/>
    <cellStyle name="Normal 2 2 2 2 2 2 9 5 10" xfId="12165" xr:uid="{00000000-0005-0000-0000-0000852F0000}"/>
    <cellStyle name="Normal 2 2 2 2 2 2 9 5 2" xfId="12166" xr:uid="{00000000-0005-0000-0000-0000862F0000}"/>
    <cellStyle name="Normal 2 2 2 2 2 2 9 5 3" xfId="12167" xr:uid="{00000000-0005-0000-0000-0000872F0000}"/>
    <cellStyle name="Normal 2 2 2 2 2 2 9 5 4" xfId="12168" xr:uid="{00000000-0005-0000-0000-0000882F0000}"/>
    <cellStyle name="Normal 2 2 2 2 2 2 9 5 5" xfId="12169" xr:uid="{00000000-0005-0000-0000-0000892F0000}"/>
    <cellStyle name="Normal 2 2 2 2 2 2 9 5 6" xfId="12170" xr:uid="{00000000-0005-0000-0000-00008A2F0000}"/>
    <cellStyle name="Normal 2 2 2 2 2 2 9 5 7" xfId="12171" xr:uid="{00000000-0005-0000-0000-00008B2F0000}"/>
    <cellStyle name="Normal 2 2 2 2 2 2 9 5 8" xfId="12172" xr:uid="{00000000-0005-0000-0000-00008C2F0000}"/>
    <cellStyle name="Normal 2 2 2 2 2 2 9 5 9" xfId="12173" xr:uid="{00000000-0005-0000-0000-00008D2F0000}"/>
    <cellStyle name="Normal 2 2 2 2 2 2 9 6" xfId="12174" xr:uid="{00000000-0005-0000-0000-00008E2F0000}"/>
    <cellStyle name="Normal 2 2 2 2 2 2 9 7" xfId="12175" xr:uid="{00000000-0005-0000-0000-00008F2F0000}"/>
    <cellStyle name="Normal 2 2 2 2 2 2 9 8" xfId="12176" xr:uid="{00000000-0005-0000-0000-0000902F0000}"/>
    <cellStyle name="Normal 2 2 2 2 2 2 9 9" xfId="12177" xr:uid="{00000000-0005-0000-0000-0000912F0000}"/>
    <cellStyle name="Normal 2 2 2 2 2 20" xfId="12178" xr:uid="{00000000-0005-0000-0000-0000922F0000}"/>
    <cellStyle name="Normal 2 2 2 2 2 20 10" xfId="12179" xr:uid="{00000000-0005-0000-0000-0000932F0000}"/>
    <cellStyle name="Normal 2 2 2 2 2 20 11" xfId="12180" xr:uid="{00000000-0005-0000-0000-0000942F0000}"/>
    <cellStyle name="Normal 2 2 2 2 2 20 12" xfId="12181" xr:uid="{00000000-0005-0000-0000-0000952F0000}"/>
    <cellStyle name="Normal 2 2 2 2 2 20 13" xfId="12182" xr:uid="{00000000-0005-0000-0000-0000962F0000}"/>
    <cellStyle name="Normal 2 2 2 2 2 20 14" xfId="12183" xr:uid="{00000000-0005-0000-0000-0000972F0000}"/>
    <cellStyle name="Normal 2 2 2 2 2 20 2" xfId="12184" xr:uid="{00000000-0005-0000-0000-0000982F0000}"/>
    <cellStyle name="Normal 2 2 2 2 2 20 2 10" xfId="12185" xr:uid="{00000000-0005-0000-0000-0000992F0000}"/>
    <cellStyle name="Normal 2 2 2 2 2 20 2 2" xfId="12186" xr:uid="{00000000-0005-0000-0000-00009A2F0000}"/>
    <cellStyle name="Normal 2 2 2 2 2 20 2 3" xfId="12187" xr:uid="{00000000-0005-0000-0000-00009B2F0000}"/>
    <cellStyle name="Normal 2 2 2 2 2 20 2 4" xfId="12188" xr:uid="{00000000-0005-0000-0000-00009C2F0000}"/>
    <cellStyle name="Normal 2 2 2 2 2 20 2 5" xfId="12189" xr:uid="{00000000-0005-0000-0000-00009D2F0000}"/>
    <cellStyle name="Normal 2 2 2 2 2 20 2 6" xfId="12190" xr:uid="{00000000-0005-0000-0000-00009E2F0000}"/>
    <cellStyle name="Normal 2 2 2 2 2 20 2 7" xfId="12191" xr:uid="{00000000-0005-0000-0000-00009F2F0000}"/>
    <cellStyle name="Normal 2 2 2 2 2 20 2 8" xfId="12192" xr:uid="{00000000-0005-0000-0000-0000A02F0000}"/>
    <cellStyle name="Normal 2 2 2 2 2 20 2 9" xfId="12193" xr:uid="{00000000-0005-0000-0000-0000A12F0000}"/>
    <cellStyle name="Normal 2 2 2 2 2 20 3" xfId="12194" xr:uid="{00000000-0005-0000-0000-0000A22F0000}"/>
    <cellStyle name="Normal 2 2 2 2 2 20 3 10" xfId="12195" xr:uid="{00000000-0005-0000-0000-0000A32F0000}"/>
    <cellStyle name="Normal 2 2 2 2 2 20 3 2" xfId="12196" xr:uid="{00000000-0005-0000-0000-0000A42F0000}"/>
    <cellStyle name="Normal 2 2 2 2 2 20 3 3" xfId="12197" xr:uid="{00000000-0005-0000-0000-0000A52F0000}"/>
    <cellStyle name="Normal 2 2 2 2 2 20 3 4" xfId="12198" xr:uid="{00000000-0005-0000-0000-0000A62F0000}"/>
    <cellStyle name="Normal 2 2 2 2 2 20 3 5" xfId="12199" xr:uid="{00000000-0005-0000-0000-0000A72F0000}"/>
    <cellStyle name="Normal 2 2 2 2 2 20 3 6" xfId="12200" xr:uid="{00000000-0005-0000-0000-0000A82F0000}"/>
    <cellStyle name="Normal 2 2 2 2 2 20 3 7" xfId="12201" xr:uid="{00000000-0005-0000-0000-0000A92F0000}"/>
    <cellStyle name="Normal 2 2 2 2 2 20 3 8" xfId="12202" xr:uid="{00000000-0005-0000-0000-0000AA2F0000}"/>
    <cellStyle name="Normal 2 2 2 2 2 20 3 9" xfId="12203" xr:uid="{00000000-0005-0000-0000-0000AB2F0000}"/>
    <cellStyle name="Normal 2 2 2 2 2 20 4" xfId="12204" xr:uid="{00000000-0005-0000-0000-0000AC2F0000}"/>
    <cellStyle name="Normal 2 2 2 2 2 20 4 10" xfId="12205" xr:uid="{00000000-0005-0000-0000-0000AD2F0000}"/>
    <cellStyle name="Normal 2 2 2 2 2 20 4 2" xfId="12206" xr:uid="{00000000-0005-0000-0000-0000AE2F0000}"/>
    <cellStyle name="Normal 2 2 2 2 2 20 4 3" xfId="12207" xr:uid="{00000000-0005-0000-0000-0000AF2F0000}"/>
    <cellStyle name="Normal 2 2 2 2 2 20 4 4" xfId="12208" xr:uid="{00000000-0005-0000-0000-0000B02F0000}"/>
    <cellStyle name="Normal 2 2 2 2 2 20 4 5" xfId="12209" xr:uid="{00000000-0005-0000-0000-0000B12F0000}"/>
    <cellStyle name="Normal 2 2 2 2 2 20 4 6" xfId="12210" xr:uid="{00000000-0005-0000-0000-0000B22F0000}"/>
    <cellStyle name="Normal 2 2 2 2 2 20 4 7" xfId="12211" xr:uid="{00000000-0005-0000-0000-0000B32F0000}"/>
    <cellStyle name="Normal 2 2 2 2 2 20 4 8" xfId="12212" xr:uid="{00000000-0005-0000-0000-0000B42F0000}"/>
    <cellStyle name="Normal 2 2 2 2 2 20 4 9" xfId="12213" xr:uid="{00000000-0005-0000-0000-0000B52F0000}"/>
    <cellStyle name="Normal 2 2 2 2 2 20 5" xfId="12214" xr:uid="{00000000-0005-0000-0000-0000B62F0000}"/>
    <cellStyle name="Normal 2 2 2 2 2 20 5 10" xfId="12215" xr:uid="{00000000-0005-0000-0000-0000B72F0000}"/>
    <cellStyle name="Normal 2 2 2 2 2 20 5 2" xfId="12216" xr:uid="{00000000-0005-0000-0000-0000B82F0000}"/>
    <cellStyle name="Normal 2 2 2 2 2 20 5 3" xfId="12217" xr:uid="{00000000-0005-0000-0000-0000B92F0000}"/>
    <cellStyle name="Normal 2 2 2 2 2 20 5 4" xfId="12218" xr:uid="{00000000-0005-0000-0000-0000BA2F0000}"/>
    <cellStyle name="Normal 2 2 2 2 2 20 5 5" xfId="12219" xr:uid="{00000000-0005-0000-0000-0000BB2F0000}"/>
    <cellStyle name="Normal 2 2 2 2 2 20 5 6" xfId="12220" xr:uid="{00000000-0005-0000-0000-0000BC2F0000}"/>
    <cellStyle name="Normal 2 2 2 2 2 20 5 7" xfId="12221" xr:uid="{00000000-0005-0000-0000-0000BD2F0000}"/>
    <cellStyle name="Normal 2 2 2 2 2 20 5 8" xfId="12222" xr:uid="{00000000-0005-0000-0000-0000BE2F0000}"/>
    <cellStyle name="Normal 2 2 2 2 2 20 5 9" xfId="12223" xr:uid="{00000000-0005-0000-0000-0000BF2F0000}"/>
    <cellStyle name="Normal 2 2 2 2 2 20 6" xfId="12224" xr:uid="{00000000-0005-0000-0000-0000C02F0000}"/>
    <cellStyle name="Normal 2 2 2 2 2 20 7" xfId="12225" xr:uid="{00000000-0005-0000-0000-0000C12F0000}"/>
    <cellStyle name="Normal 2 2 2 2 2 20 8" xfId="12226" xr:uid="{00000000-0005-0000-0000-0000C22F0000}"/>
    <cellStyle name="Normal 2 2 2 2 2 20 9" xfId="12227" xr:uid="{00000000-0005-0000-0000-0000C32F0000}"/>
    <cellStyle name="Normal 2 2 2 2 2 21" xfId="12228" xr:uid="{00000000-0005-0000-0000-0000C42F0000}"/>
    <cellStyle name="Normal 2 2 2 2 2 21 10" xfId="12229" xr:uid="{00000000-0005-0000-0000-0000C52F0000}"/>
    <cellStyle name="Normal 2 2 2 2 2 21 11" xfId="12230" xr:uid="{00000000-0005-0000-0000-0000C62F0000}"/>
    <cellStyle name="Normal 2 2 2 2 2 21 12" xfId="12231" xr:uid="{00000000-0005-0000-0000-0000C72F0000}"/>
    <cellStyle name="Normal 2 2 2 2 2 21 13" xfId="12232" xr:uid="{00000000-0005-0000-0000-0000C82F0000}"/>
    <cellStyle name="Normal 2 2 2 2 2 21 14" xfId="12233" xr:uid="{00000000-0005-0000-0000-0000C92F0000}"/>
    <cellStyle name="Normal 2 2 2 2 2 21 2" xfId="12234" xr:uid="{00000000-0005-0000-0000-0000CA2F0000}"/>
    <cellStyle name="Normal 2 2 2 2 2 21 2 10" xfId="12235" xr:uid="{00000000-0005-0000-0000-0000CB2F0000}"/>
    <cellStyle name="Normal 2 2 2 2 2 21 2 2" xfId="12236" xr:uid="{00000000-0005-0000-0000-0000CC2F0000}"/>
    <cellStyle name="Normal 2 2 2 2 2 21 2 3" xfId="12237" xr:uid="{00000000-0005-0000-0000-0000CD2F0000}"/>
    <cellStyle name="Normal 2 2 2 2 2 21 2 4" xfId="12238" xr:uid="{00000000-0005-0000-0000-0000CE2F0000}"/>
    <cellStyle name="Normal 2 2 2 2 2 21 2 5" xfId="12239" xr:uid="{00000000-0005-0000-0000-0000CF2F0000}"/>
    <cellStyle name="Normal 2 2 2 2 2 21 2 6" xfId="12240" xr:uid="{00000000-0005-0000-0000-0000D02F0000}"/>
    <cellStyle name="Normal 2 2 2 2 2 21 2 7" xfId="12241" xr:uid="{00000000-0005-0000-0000-0000D12F0000}"/>
    <cellStyle name="Normal 2 2 2 2 2 21 2 8" xfId="12242" xr:uid="{00000000-0005-0000-0000-0000D22F0000}"/>
    <cellStyle name="Normal 2 2 2 2 2 21 2 9" xfId="12243" xr:uid="{00000000-0005-0000-0000-0000D32F0000}"/>
    <cellStyle name="Normal 2 2 2 2 2 21 3" xfId="12244" xr:uid="{00000000-0005-0000-0000-0000D42F0000}"/>
    <cellStyle name="Normal 2 2 2 2 2 21 3 10" xfId="12245" xr:uid="{00000000-0005-0000-0000-0000D52F0000}"/>
    <cellStyle name="Normal 2 2 2 2 2 21 3 2" xfId="12246" xr:uid="{00000000-0005-0000-0000-0000D62F0000}"/>
    <cellStyle name="Normal 2 2 2 2 2 21 3 3" xfId="12247" xr:uid="{00000000-0005-0000-0000-0000D72F0000}"/>
    <cellStyle name="Normal 2 2 2 2 2 21 3 4" xfId="12248" xr:uid="{00000000-0005-0000-0000-0000D82F0000}"/>
    <cellStyle name="Normal 2 2 2 2 2 21 3 5" xfId="12249" xr:uid="{00000000-0005-0000-0000-0000D92F0000}"/>
    <cellStyle name="Normal 2 2 2 2 2 21 3 6" xfId="12250" xr:uid="{00000000-0005-0000-0000-0000DA2F0000}"/>
    <cellStyle name="Normal 2 2 2 2 2 21 3 7" xfId="12251" xr:uid="{00000000-0005-0000-0000-0000DB2F0000}"/>
    <cellStyle name="Normal 2 2 2 2 2 21 3 8" xfId="12252" xr:uid="{00000000-0005-0000-0000-0000DC2F0000}"/>
    <cellStyle name="Normal 2 2 2 2 2 21 3 9" xfId="12253" xr:uid="{00000000-0005-0000-0000-0000DD2F0000}"/>
    <cellStyle name="Normal 2 2 2 2 2 21 4" xfId="12254" xr:uid="{00000000-0005-0000-0000-0000DE2F0000}"/>
    <cellStyle name="Normal 2 2 2 2 2 21 4 10" xfId="12255" xr:uid="{00000000-0005-0000-0000-0000DF2F0000}"/>
    <cellStyle name="Normal 2 2 2 2 2 21 4 2" xfId="12256" xr:uid="{00000000-0005-0000-0000-0000E02F0000}"/>
    <cellStyle name="Normal 2 2 2 2 2 21 4 3" xfId="12257" xr:uid="{00000000-0005-0000-0000-0000E12F0000}"/>
    <cellStyle name="Normal 2 2 2 2 2 21 4 4" xfId="12258" xr:uid="{00000000-0005-0000-0000-0000E22F0000}"/>
    <cellStyle name="Normal 2 2 2 2 2 21 4 5" xfId="12259" xr:uid="{00000000-0005-0000-0000-0000E32F0000}"/>
    <cellStyle name="Normal 2 2 2 2 2 21 4 6" xfId="12260" xr:uid="{00000000-0005-0000-0000-0000E42F0000}"/>
    <cellStyle name="Normal 2 2 2 2 2 21 4 7" xfId="12261" xr:uid="{00000000-0005-0000-0000-0000E52F0000}"/>
    <cellStyle name="Normal 2 2 2 2 2 21 4 8" xfId="12262" xr:uid="{00000000-0005-0000-0000-0000E62F0000}"/>
    <cellStyle name="Normal 2 2 2 2 2 21 4 9" xfId="12263" xr:uid="{00000000-0005-0000-0000-0000E72F0000}"/>
    <cellStyle name="Normal 2 2 2 2 2 21 5" xfId="12264" xr:uid="{00000000-0005-0000-0000-0000E82F0000}"/>
    <cellStyle name="Normal 2 2 2 2 2 21 5 10" xfId="12265" xr:uid="{00000000-0005-0000-0000-0000E92F0000}"/>
    <cellStyle name="Normal 2 2 2 2 2 21 5 2" xfId="12266" xr:uid="{00000000-0005-0000-0000-0000EA2F0000}"/>
    <cellStyle name="Normal 2 2 2 2 2 21 5 3" xfId="12267" xr:uid="{00000000-0005-0000-0000-0000EB2F0000}"/>
    <cellStyle name="Normal 2 2 2 2 2 21 5 4" xfId="12268" xr:uid="{00000000-0005-0000-0000-0000EC2F0000}"/>
    <cellStyle name="Normal 2 2 2 2 2 21 5 5" xfId="12269" xr:uid="{00000000-0005-0000-0000-0000ED2F0000}"/>
    <cellStyle name="Normal 2 2 2 2 2 21 5 6" xfId="12270" xr:uid="{00000000-0005-0000-0000-0000EE2F0000}"/>
    <cellStyle name="Normal 2 2 2 2 2 21 5 7" xfId="12271" xr:uid="{00000000-0005-0000-0000-0000EF2F0000}"/>
    <cellStyle name="Normal 2 2 2 2 2 21 5 8" xfId="12272" xr:uid="{00000000-0005-0000-0000-0000F02F0000}"/>
    <cellStyle name="Normal 2 2 2 2 2 21 5 9" xfId="12273" xr:uid="{00000000-0005-0000-0000-0000F12F0000}"/>
    <cellStyle name="Normal 2 2 2 2 2 21 6" xfId="12274" xr:uid="{00000000-0005-0000-0000-0000F22F0000}"/>
    <cellStyle name="Normal 2 2 2 2 2 21 7" xfId="12275" xr:uid="{00000000-0005-0000-0000-0000F32F0000}"/>
    <cellStyle name="Normal 2 2 2 2 2 21 8" xfId="12276" xr:uid="{00000000-0005-0000-0000-0000F42F0000}"/>
    <cellStyle name="Normal 2 2 2 2 2 21 9" xfId="12277" xr:uid="{00000000-0005-0000-0000-0000F52F0000}"/>
    <cellStyle name="Normal 2 2 2 2 2 22" xfId="12278" xr:uid="{00000000-0005-0000-0000-0000F62F0000}"/>
    <cellStyle name="Normal 2 2 2 2 2 22 10" xfId="12279" xr:uid="{00000000-0005-0000-0000-0000F72F0000}"/>
    <cellStyle name="Normal 2 2 2 2 2 22 11" xfId="12280" xr:uid="{00000000-0005-0000-0000-0000F82F0000}"/>
    <cellStyle name="Normal 2 2 2 2 2 22 12" xfId="12281" xr:uid="{00000000-0005-0000-0000-0000F92F0000}"/>
    <cellStyle name="Normal 2 2 2 2 2 22 13" xfId="12282" xr:uid="{00000000-0005-0000-0000-0000FA2F0000}"/>
    <cellStyle name="Normal 2 2 2 2 2 22 14" xfId="12283" xr:uid="{00000000-0005-0000-0000-0000FB2F0000}"/>
    <cellStyle name="Normal 2 2 2 2 2 22 2" xfId="12284" xr:uid="{00000000-0005-0000-0000-0000FC2F0000}"/>
    <cellStyle name="Normal 2 2 2 2 2 22 2 10" xfId="12285" xr:uid="{00000000-0005-0000-0000-0000FD2F0000}"/>
    <cellStyle name="Normal 2 2 2 2 2 22 2 2" xfId="12286" xr:uid="{00000000-0005-0000-0000-0000FE2F0000}"/>
    <cellStyle name="Normal 2 2 2 2 2 22 2 3" xfId="12287" xr:uid="{00000000-0005-0000-0000-0000FF2F0000}"/>
    <cellStyle name="Normal 2 2 2 2 2 22 2 4" xfId="12288" xr:uid="{00000000-0005-0000-0000-000000300000}"/>
    <cellStyle name="Normal 2 2 2 2 2 22 2 5" xfId="12289" xr:uid="{00000000-0005-0000-0000-000001300000}"/>
    <cellStyle name="Normal 2 2 2 2 2 22 2 6" xfId="12290" xr:uid="{00000000-0005-0000-0000-000002300000}"/>
    <cellStyle name="Normal 2 2 2 2 2 22 2 7" xfId="12291" xr:uid="{00000000-0005-0000-0000-000003300000}"/>
    <cellStyle name="Normal 2 2 2 2 2 22 2 8" xfId="12292" xr:uid="{00000000-0005-0000-0000-000004300000}"/>
    <cellStyle name="Normal 2 2 2 2 2 22 2 9" xfId="12293" xr:uid="{00000000-0005-0000-0000-000005300000}"/>
    <cellStyle name="Normal 2 2 2 2 2 22 3" xfId="12294" xr:uid="{00000000-0005-0000-0000-000006300000}"/>
    <cellStyle name="Normal 2 2 2 2 2 22 3 10" xfId="12295" xr:uid="{00000000-0005-0000-0000-000007300000}"/>
    <cellStyle name="Normal 2 2 2 2 2 22 3 2" xfId="12296" xr:uid="{00000000-0005-0000-0000-000008300000}"/>
    <cellStyle name="Normal 2 2 2 2 2 22 3 3" xfId="12297" xr:uid="{00000000-0005-0000-0000-000009300000}"/>
    <cellStyle name="Normal 2 2 2 2 2 22 3 4" xfId="12298" xr:uid="{00000000-0005-0000-0000-00000A300000}"/>
    <cellStyle name="Normal 2 2 2 2 2 22 3 5" xfId="12299" xr:uid="{00000000-0005-0000-0000-00000B300000}"/>
    <cellStyle name="Normal 2 2 2 2 2 22 3 6" xfId="12300" xr:uid="{00000000-0005-0000-0000-00000C300000}"/>
    <cellStyle name="Normal 2 2 2 2 2 22 3 7" xfId="12301" xr:uid="{00000000-0005-0000-0000-00000D300000}"/>
    <cellStyle name="Normal 2 2 2 2 2 22 3 8" xfId="12302" xr:uid="{00000000-0005-0000-0000-00000E300000}"/>
    <cellStyle name="Normal 2 2 2 2 2 22 3 9" xfId="12303" xr:uid="{00000000-0005-0000-0000-00000F300000}"/>
    <cellStyle name="Normal 2 2 2 2 2 22 4" xfId="12304" xr:uid="{00000000-0005-0000-0000-000010300000}"/>
    <cellStyle name="Normal 2 2 2 2 2 22 4 10" xfId="12305" xr:uid="{00000000-0005-0000-0000-000011300000}"/>
    <cellStyle name="Normal 2 2 2 2 2 22 4 2" xfId="12306" xr:uid="{00000000-0005-0000-0000-000012300000}"/>
    <cellStyle name="Normal 2 2 2 2 2 22 4 3" xfId="12307" xr:uid="{00000000-0005-0000-0000-000013300000}"/>
    <cellStyle name="Normal 2 2 2 2 2 22 4 4" xfId="12308" xr:uid="{00000000-0005-0000-0000-000014300000}"/>
    <cellStyle name="Normal 2 2 2 2 2 22 4 5" xfId="12309" xr:uid="{00000000-0005-0000-0000-000015300000}"/>
    <cellStyle name="Normal 2 2 2 2 2 22 4 6" xfId="12310" xr:uid="{00000000-0005-0000-0000-000016300000}"/>
    <cellStyle name="Normal 2 2 2 2 2 22 4 7" xfId="12311" xr:uid="{00000000-0005-0000-0000-000017300000}"/>
    <cellStyle name="Normal 2 2 2 2 2 22 4 8" xfId="12312" xr:uid="{00000000-0005-0000-0000-000018300000}"/>
    <cellStyle name="Normal 2 2 2 2 2 22 4 9" xfId="12313" xr:uid="{00000000-0005-0000-0000-000019300000}"/>
    <cellStyle name="Normal 2 2 2 2 2 22 5" xfId="12314" xr:uid="{00000000-0005-0000-0000-00001A300000}"/>
    <cellStyle name="Normal 2 2 2 2 2 22 5 10" xfId="12315" xr:uid="{00000000-0005-0000-0000-00001B300000}"/>
    <cellStyle name="Normal 2 2 2 2 2 22 5 2" xfId="12316" xr:uid="{00000000-0005-0000-0000-00001C300000}"/>
    <cellStyle name="Normal 2 2 2 2 2 22 5 3" xfId="12317" xr:uid="{00000000-0005-0000-0000-00001D300000}"/>
    <cellStyle name="Normal 2 2 2 2 2 22 5 4" xfId="12318" xr:uid="{00000000-0005-0000-0000-00001E300000}"/>
    <cellStyle name="Normal 2 2 2 2 2 22 5 5" xfId="12319" xr:uid="{00000000-0005-0000-0000-00001F300000}"/>
    <cellStyle name="Normal 2 2 2 2 2 22 5 6" xfId="12320" xr:uid="{00000000-0005-0000-0000-000020300000}"/>
    <cellStyle name="Normal 2 2 2 2 2 22 5 7" xfId="12321" xr:uid="{00000000-0005-0000-0000-000021300000}"/>
    <cellStyle name="Normal 2 2 2 2 2 22 5 8" xfId="12322" xr:uid="{00000000-0005-0000-0000-000022300000}"/>
    <cellStyle name="Normal 2 2 2 2 2 22 5 9" xfId="12323" xr:uid="{00000000-0005-0000-0000-000023300000}"/>
    <cellStyle name="Normal 2 2 2 2 2 22 6" xfId="12324" xr:uid="{00000000-0005-0000-0000-000024300000}"/>
    <cellStyle name="Normal 2 2 2 2 2 22 7" xfId="12325" xr:uid="{00000000-0005-0000-0000-000025300000}"/>
    <cellStyle name="Normal 2 2 2 2 2 22 8" xfId="12326" xr:uid="{00000000-0005-0000-0000-000026300000}"/>
    <cellStyle name="Normal 2 2 2 2 2 22 9" xfId="12327" xr:uid="{00000000-0005-0000-0000-000027300000}"/>
    <cellStyle name="Normal 2 2 2 2 2 23" xfId="12328" xr:uid="{00000000-0005-0000-0000-000028300000}"/>
    <cellStyle name="Normal 2 2 2 2 2 23 10" xfId="12329" xr:uid="{00000000-0005-0000-0000-000029300000}"/>
    <cellStyle name="Normal 2 2 2 2 2 23 11" xfId="12330" xr:uid="{00000000-0005-0000-0000-00002A300000}"/>
    <cellStyle name="Normal 2 2 2 2 2 23 12" xfId="12331" xr:uid="{00000000-0005-0000-0000-00002B300000}"/>
    <cellStyle name="Normal 2 2 2 2 2 23 13" xfId="12332" xr:uid="{00000000-0005-0000-0000-00002C300000}"/>
    <cellStyle name="Normal 2 2 2 2 2 23 14" xfId="12333" xr:uid="{00000000-0005-0000-0000-00002D300000}"/>
    <cellStyle name="Normal 2 2 2 2 2 23 2" xfId="12334" xr:uid="{00000000-0005-0000-0000-00002E300000}"/>
    <cellStyle name="Normal 2 2 2 2 2 23 2 10" xfId="12335" xr:uid="{00000000-0005-0000-0000-00002F300000}"/>
    <cellStyle name="Normal 2 2 2 2 2 23 2 2" xfId="12336" xr:uid="{00000000-0005-0000-0000-000030300000}"/>
    <cellStyle name="Normal 2 2 2 2 2 23 2 3" xfId="12337" xr:uid="{00000000-0005-0000-0000-000031300000}"/>
    <cellStyle name="Normal 2 2 2 2 2 23 2 4" xfId="12338" xr:uid="{00000000-0005-0000-0000-000032300000}"/>
    <cellStyle name="Normal 2 2 2 2 2 23 2 5" xfId="12339" xr:uid="{00000000-0005-0000-0000-000033300000}"/>
    <cellStyle name="Normal 2 2 2 2 2 23 2 6" xfId="12340" xr:uid="{00000000-0005-0000-0000-000034300000}"/>
    <cellStyle name="Normal 2 2 2 2 2 23 2 7" xfId="12341" xr:uid="{00000000-0005-0000-0000-000035300000}"/>
    <cellStyle name="Normal 2 2 2 2 2 23 2 8" xfId="12342" xr:uid="{00000000-0005-0000-0000-000036300000}"/>
    <cellStyle name="Normal 2 2 2 2 2 23 2 9" xfId="12343" xr:uid="{00000000-0005-0000-0000-000037300000}"/>
    <cellStyle name="Normal 2 2 2 2 2 23 3" xfId="12344" xr:uid="{00000000-0005-0000-0000-000038300000}"/>
    <cellStyle name="Normal 2 2 2 2 2 23 3 10" xfId="12345" xr:uid="{00000000-0005-0000-0000-000039300000}"/>
    <cellStyle name="Normal 2 2 2 2 2 23 3 2" xfId="12346" xr:uid="{00000000-0005-0000-0000-00003A300000}"/>
    <cellStyle name="Normal 2 2 2 2 2 23 3 3" xfId="12347" xr:uid="{00000000-0005-0000-0000-00003B300000}"/>
    <cellStyle name="Normal 2 2 2 2 2 23 3 4" xfId="12348" xr:uid="{00000000-0005-0000-0000-00003C300000}"/>
    <cellStyle name="Normal 2 2 2 2 2 23 3 5" xfId="12349" xr:uid="{00000000-0005-0000-0000-00003D300000}"/>
    <cellStyle name="Normal 2 2 2 2 2 23 3 6" xfId="12350" xr:uid="{00000000-0005-0000-0000-00003E300000}"/>
    <cellStyle name="Normal 2 2 2 2 2 23 3 7" xfId="12351" xr:uid="{00000000-0005-0000-0000-00003F300000}"/>
    <cellStyle name="Normal 2 2 2 2 2 23 3 8" xfId="12352" xr:uid="{00000000-0005-0000-0000-000040300000}"/>
    <cellStyle name="Normal 2 2 2 2 2 23 3 9" xfId="12353" xr:uid="{00000000-0005-0000-0000-000041300000}"/>
    <cellStyle name="Normal 2 2 2 2 2 23 4" xfId="12354" xr:uid="{00000000-0005-0000-0000-000042300000}"/>
    <cellStyle name="Normal 2 2 2 2 2 23 4 10" xfId="12355" xr:uid="{00000000-0005-0000-0000-000043300000}"/>
    <cellStyle name="Normal 2 2 2 2 2 23 4 2" xfId="12356" xr:uid="{00000000-0005-0000-0000-000044300000}"/>
    <cellStyle name="Normal 2 2 2 2 2 23 4 3" xfId="12357" xr:uid="{00000000-0005-0000-0000-000045300000}"/>
    <cellStyle name="Normal 2 2 2 2 2 23 4 4" xfId="12358" xr:uid="{00000000-0005-0000-0000-000046300000}"/>
    <cellStyle name="Normal 2 2 2 2 2 23 4 5" xfId="12359" xr:uid="{00000000-0005-0000-0000-000047300000}"/>
    <cellStyle name="Normal 2 2 2 2 2 23 4 6" xfId="12360" xr:uid="{00000000-0005-0000-0000-000048300000}"/>
    <cellStyle name="Normal 2 2 2 2 2 23 4 7" xfId="12361" xr:uid="{00000000-0005-0000-0000-000049300000}"/>
    <cellStyle name="Normal 2 2 2 2 2 23 4 8" xfId="12362" xr:uid="{00000000-0005-0000-0000-00004A300000}"/>
    <cellStyle name="Normal 2 2 2 2 2 23 4 9" xfId="12363" xr:uid="{00000000-0005-0000-0000-00004B300000}"/>
    <cellStyle name="Normal 2 2 2 2 2 23 5" xfId="12364" xr:uid="{00000000-0005-0000-0000-00004C300000}"/>
    <cellStyle name="Normal 2 2 2 2 2 23 5 10" xfId="12365" xr:uid="{00000000-0005-0000-0000-00004D300000}"/>
    <cellStyle name="Normal 2 2 2 2 2 23 5 2" xfId="12366" xr:uid="{00000000-0005-0000-0000-00004E300000}"/>
    <cellStyle name="Normal 2 2 2 2 2 23 5 3" xfId="12367" xr:uid="{00000000-0005-0000-0000-00004F300000}"/>
    <cellStyle name="Normal 2 2 2 2 2 23 5 4" xfId="12368" xr:uid="{00000000-0005-0000-0000-000050300000}"/>
    <cellStyle name="Normal 2 2 2 2 2 23 5 5" xfId="12369" xr:uid="{00000000-0005-0000-0000-000051300000}"/>
    <cellStyle name="Normal 2 2 2 2 2 23 5 6" xfId="12370" xr:uid="{00000000-0005-0000-0000-000052300000}"/>
    <cellStyle name="Normal 2 2 2 2 2 23 5 7" xfId="12371" xr:uid="{00000000-0005-0000-0000-000053300000}"/>
    <cellStyle name="Normal 2 2 2 2 2 23 5 8" xfId="12372" xr:uid="{00000000-0005-0000-0000-000054300000}"/>
    <cellStyle name="Normal 2 2 2 2 2 23 5 9" xfId="12373" xr:uid="{00000000-0005-0000-0000-000055300000}"/>
    <cellStyle name="Normal 2 2 2 2 2 23 6" xfId="12374" xr:uid="{00000000-0005-0000-0000-000056300000}"/>
    <cellStyle name="Normal 2 2 2 2 2 23 7" xfId="12375" xr:uid="{00000000-0005-0000-0000-000057300000}"/>
    <cellStyle name="Normal 2 2 2 2 2 23 8" xfId="12376" xr:uid="{00000000-0005-0000-0000-000058300000}"/>
    <cellStyle name="Normal 2 2 2 2 2 23 9" xfId="12377" xr:uid="{00000000-0005-0000-0000-000059300000}"/>
    <cellStyle name="Normal 2 2 2 2 2 24" xfId="12378" xr:uid="{00000000-0005-0000-0000-00005A300000}"/>
    <cellStyle name="Normal 2 2 2 2 2 24 10" xfId="12379" xr:uid="{00000000-0005-0000-0000-00005B300000}"/>
    <cellStyle name="Normal 2 2 2 2 2 24 11" xfId="12380" xr:uid="{00000000-0005-0000-0000-00005C300000}"/>
    <cellStyle name="Normal 2 2 2 2 2 24 12" xfId="12381" xr:uid="{00000000-0005-0000-0000-00005D300000}"/>
    <cellStyle name="Normal 2 2 2 2 2 24 13" xfId="12382" xr:uid="{00000000-0005-0000-0000-00005E300000}"/>
    <cellStyle name="Normal 2 2 2 2 2 24 14" xfId="12383" xr:uid="{00000000-0005-0000-0000-00005F300000}"/>
    <cellStyle name="Normal 2 2 2 2 2 24 2" xfId="12384" xr:uid="{00000000-0005-0000-0000-000060300000}"/>
    <cellStyle name="Normal 2 2 2 2 2 24 2 10" xfId="12385" xr:uid="{00000000-0005-0000-0000-000061300000}"/>
    <cellStyle name="Normal 2 2 2 2 2 24 2 2" xfId="12386" xr:uid="{00000000-0005-0000-0000-000062300000}"/>
    <cellStyle name="Normal 2 2 2 2 2 24 2 3" xfId="12387" xr:uid="{00000000-0005-0000-0000-000063300000}"/>
    <cellStyle name="Normal 2 2 2 2 2 24 2 4" xfId="12388" xr:uid="{00000000-0005-0000-0000-000064300000}"/>
    <cellStyle name="Normal 2 2 2 2 2 24 2 5" xfId="12389" xr:uid="{00000000-0005-0000-0000-000065300000}"/>
    <cellStyle name="Normal 2 2 2 2 2 24 2 6" xfId="12390" xr:uid="{00000000-0005-0000-0000-000066300000}"/>
    <cellStyle name="Normal 2 2 2 2 2 24 2 7" xfId="12391" xr:uid="{00000000-0005-0000-0000-000067300000}"/>
    <cellStyle name="Normal 2 2 2 2 2 24 2 8" xfId="12392" xr:uid="{00000000-0005-0000-0000-000068300000}"/>
    <cellStyle name="Normal 2 2 2 2 2 24 2 9" xfId="12393" xr:uid="{00000000-0005-0000-0000-000069300000}"/>
    <cellStyle name="Normal 2 2 2 2 2 24 3" xfId="12394" xr:uid="{00000000-0005-0000-0000-00006A300000}"/>
    <cellStyle name="Normal 2 2 2 2 2 24 3 10" xfId="12395" xr:uid="{00000000-0005-0000-0000-00006B300000}"/>
    <cellStyle name="Normal 2 2 2 2 2 24 3 2" xfId="12396" xr:uid="{00000000-0005-0000-0000-00006C300000}"/>
    <cellStyle name="Normal 2 2 2 2 2 24 3 3" xfId="12397" xr:uid="{00000000-0005-0000-0000-00006D300000}"/>
    <cellStyle name="Normal 2 2 2 2 2 24 3 4" xfId="12398" xr:uid="{00000000-0005-0000-0000-00006E300000}"/>
    <cellStyle name="Normal 2 2 2 2 2 24 3 5" xfId="12399" xr:uid="{00000000-0005-0000-0000-00006F300000}"/>
    <cellStyle name="Normal 2 2 2 2 2 24 3 6" xfId="12400" xr:uid="{00000000-0005-0000-0000-000070300000}"/>
    <cellStyle name="Normal 2 2 2 2 2 24 3 7" xfId="12401" xr:uid="{00000000-0005-0000-0000-000071300000}"/>
    <cellStyle name="Normal 2 2 2 2 2 24 3 8" xfId="12402" xr:uid="{00000000-0005-0000-0000-000072300000}"/>
    <cellStyle name="Normal 2 2 2 2 2 24 3 9" xfId="12403" xr:uid="{00000000-0005-0000-0000-000073300000}"/>
    <cellStyle name="Normal 2 2 2 2 2 24 4" xfId="12404" xr:uid="{00000000-0005-0000-0000-000074300000}"/>
    <cellStyle name="Normal 2 2 2 2 2 24 4 10" xfId="12405" xr:uid="{00000000-0005-0000-0000-000075300000}"/>
    <cellStyle name="Normal 2 2 2 2 2 24 4 2" xfId="12406" xr:uid="{00000000-0005-0000-0000-000076300000}"/>
    <cellStyle name="Normal 2 2 2 2 2 24 4 3" xfId="12407" xr:uid="{00000000-0005-0000-0000-000077300000}"/>
    <cellStyle name="Normal 2 2 2 2 2 24 4 4" xfId="12408" xr:uid="{00000000-0005-0000-0000-000078300000}"/>
    <cellStyle name="Normal 2 2 2 2 2 24 4 5" xfId="12409" xr:uid="{00000000-0005-0000-0000-000079300000}"/>
    <cellStyle name="Normal 2 2 2 2 2 24 4 6" xfId="12410" xr:uid="{00000000-0005-0000-0000-00007A300000}"/>
    <cellStyle name="Normal 2 2 2 2 2 24 4 7" xfId="12411" xr:uid="{00000000-0005-0000-0000-00007B300000}"/>
    <cellStyle name="Normal 2 2 2 2 2 24 4 8" xfId="12412" xr:uid="{00000000-0005-0000-0000-00007C300000}"/>
    <cellStyle name="Normal 2 2 2 2 2 24 4 9" xfId="12413" xr:uid="{00000000-0005-0000-0000-00007D300000}"/>
    <cellStyle name="Normal 2 2 2 2 2 24 5" xfId="12414" xr:uid="{00000000-0005-0000-0000-00007E300000}"/>
    <cellStyle name="Normal 2 2 2 2 2 24 5 10" xfId="12415" xr:uid="{00000000-0005-0000-0000-00007F300000}"/>
    <cellStyle name="Normal 2 2 2 2 2 24 5 2" xfId="12416" xr:uid="{00000000-0005-0000-0000-000080300000}"/>
    <cellStyle name="Normal 2 2 2 2 2 24 5 3" xfId="12417" xr:uid="{00000000-0005-0000-0000-000081300000}"/>
    <cellStyle name="Normal 2 2 2 2 2 24 5 4" xfId="12418" xr:uid="{00000000-0005-0000-0000-000082300000}"/>
    <cellStyle name="Normal 2 2 2 2 2 24 5 5" xfId="12419" xr:uid="{00000000-0005-0000-0000-000083300000}"/>
    <cellStyle name="Normal 2 2 2 2 2 24 5 6" xfId="12420" xr:uid="{00000000-0005-0000-0000-000084300000}"/>
    <cellStyle name="Normal 2 2 2 2 2 24 5 7" xfId="12421" xr:uid="{00000000-0005-0000-0000-000085300000}"/>
    <cellStyle name="Normal 2 2 2 2 2 24 5 8" xfId="12422" xr:uid="{00000000-0005-0000-0000-000086300000}"/>
    <cellStyle name="Normal 2 2 2 2 2 24 5 9" xfId="12423" xr:uid="{00000000-0005-0000-0000-000087300000}"/>
    <cellStyle name="Normal 2 2 2 2 2 24 6" xfId="12424" xr:uid="{00000000-0005-0000-0000-000088300000}"/>
    <cellStyle name="Normal 2 2 2 2 2 24 7" xfId="12425" xr:uid="{00000000-0005-0000-0000-000089300000}"/>
    <cellStyle name="Normal 2 2 2 2 2 24 8" xfId="12426" xr:uid="{00000000-0005-0000-0000-00008A300000}"/>
    <cellStyle name="Normal 2 2 2 2 2 24 9" xfId="12427" xr:uid="{00000000-0005-0000-0000-00008B300000}"/>
    <cellStyle name="Normal 2 2 2 2 2 25" xfId="12428" xr:uid="{00000000-0005-0000-0000-00008C300000}"/>
    <cellStyle name="Normal 2 2 2 2 2 25 10" xfId="12429" xr:uid="{00000000-0005-0000-0000-00008D300000}"/>
    <cellStyle name="Normal 2 2 2 2 2 25 11" xfId="12430" xr:uid="{00000000-0005-0000-0000-00008E300000}"/>
    <cellStyle name="Normal 2 2 2 2 2 25 12" xfId="12431" xr:uid="{00000000-0005-0000-0000-00008F300000}"/>
    <cellStyle name="Normal 2 2 2 2 2 25 13" xfId="12432" xr:uid="{00000000-0005-0000-0000-000090300000}"/>
    <cellStyle name="Normal 2 2 2 2 2 25 14" xfId="12433" xr:uid="{00000000-0005-0000-0000-000091300000}"/>
    <cellStyle name="Normal 2 2 2 2 2 25 2" xfId="12434" xr:uid="{00000000-0005-0000-0000-000092300000}"/>
    <cellStyle name="Normal 2 2 2 2 2 25 2 10" xfId="12435" xr:uid="{00000000-0005-0000-0000-000093300000}"/>
    <cellStyle name="Normal 2 2 2 2 2 25 2 2" xfId="12436" xr:uid="{00000000-0005-0000-0000-000094300000}"/>
    <cellStyle name="Normal 2 2 2 2 2 25 2 3" xfId="12437" xr:uid="{00000000-0005-0000-0000-000095300000}"/>
    <cellStyle name="Normal 2 2 2 2 2 25 2 4" xfId="12438" xr:uid="{00000000-0005-0000-0000-000096300000}"/>
    <cellStyle name="Normal 2 2 2 2 2 25 2 5" xfId="12439" xr:uid="{00000000-0005-0000-0000-000097300000}"/>
    <cellStyle name="Normal 2 2 2 2 2 25 2 6" xfId="12440" xr:uid="{00000000-0005-0000-0000-000098300000}"/>
    <cellStyle name="Normal 2 2 2 2 2 25 2 7" xfId="12441" xr:uid="{00000000-0005-0000-0000-000099300000}"/>
    <cellStyle name="Normal 2 2 2 2 2 25 2 8" xfId="12442" xr:uid="{00000000-0005-0000-0000-00009A300000}"/>
    <cellStyle name="Normal 2 2 2 2 2 25 2 9" xfId="12443" xr:uid="{00000000-0005-0000-0000-00009B300000}"/>
    <cellStyle name="Normal 2 2 2 2 2 25 3" xfId="12444" xr:uid="{00000000-0005-0000-0000-00009C300000}"/>
    <cellStyle name="Normal 2 2 2 2 2 25 3 10" xfId="12445" xr:uid="{00000000-0005-0000-0000-00009D300000}"/>
    <cellStyle name="Normal 2 2 2 2 2 25 3 2" xfId="12446" xr:uid="{00000000-0005-0000-0000-00009E300000}"/>
    <cellStyle name="Normal 2 2 2 2 2 25 3 3" xfId="12447" xr:uid="{00000000-0005-0000-0000-00009F300000}"/>
    <cellStyle name="Normal 2 2 2 2 2 25 3 4" xfId="12448" xr:uid="{00000000-0005-0000-0000-0000A0300000}"/>
    <cellStyle name="Normal 2 2 2 2 2 25 3 5" xfId="12449" xr:uid="{00000000-0005-0000-0000-0000A1300000}"/>
    <cellStyle name="Normal 2 2 2 2 2 25 3 6" xfId="12450" xr:uid="{00000000-0005-0000-0000-0000A2300000}"/>
    <cellStyle name="Normal 2 2 2 2 2 25 3 7" xfId="12451" xr:uid="{00000000-0005-0000-0000-0000A3300000}"/>
    <cellStyle name="Normal 2 2 2 2 2 25 3 8" xfId="12452" xr:uid="{00000000-0005-0000-0000-0000A4300000}"/>
    <cellStyle name="Normal 2 2 2 2 2 25 3 9" xfId="12453" xr:uid="{00000000-0005-0000-0000-0000A5300000}"/>
    <cellStyle name="Normal 2 2 2 2 2 25 4" xfId="12454" xr:uid="{00000000-0005-0000-0000-0000A6300000}"/>
    <cellStyle name="Normal 2 2 2 2 2 25 4 10" xfId="12455" xr:uid="{00000000-0005-0000-0000-0000A7300000}"/>
    <cellStyle name="Normal 2 2 2 2 2 25 4 2" xfId="12456" xr:uid="{00000000-0005-0000-0000-0000A8300000}"/>
    <cellStyle name="Normal 2 2 2 2 2 25 4 3" xfId="12457" xr:uid="{00000000-0005-0000-0000-0000A9300000}"/>
    <cellStyle name="Normal 2 2 2 2 2 25 4 4" xfId="12458" xr:uid="{00000000-0005-0000-0000-0000AA300000}"/>
    <cellStyle name="Normal 2 2 2 2 2 25 4 5" xfId="12459" xr:uid="{00000000-0005-0000-0000-0000AB300000}"/>
    <cellStyle name="Normal 2 2 2 2 2 25 4 6" xfId="12460" xr:uid="{00000000-0005-0000-0000-0000AC300000}"/>
    <cellStyle name="Normal 2 2 2 2 2 25 4 7" xfId="12461" xr:uid="{00000000-0005-0000-0000-0000AD300000}"/>
    <cellStyle name="Normal 2 2 2 2 2 25 4 8" xfId="12462" xr:uid="{00000000-0005-0000-0000-0000AE300000}"/>
    <cellStyle name="Normal 2 2 2 2 2 25 4 9" xfId="12463" xr:uid="{00000000-0005-0000-0000-0000AF300000}"/>
    <cellStyle name="Normal 2 2 2 2 2 25 5" xfId="12464" xr:uid="{00000000-0005-0000-0000-0000B0300000}"/>
    <cellStyle name="Normal 2 2 2 2 2 25 5 10" xfId="12465" xr:uid="{00000000-0005-0000-0000-0000B1300000}"/>
    <cellStyle name="Normal 2 2 2 2 2 25 5 2" xfId="12466" xr:uid="{00000000-0005-0000-0000-0000B2300000}"/>
    <cellStyle name="Normal 2 2 2 2 2 25 5 3" xfId="12467" xr:uid="{00000000-0005-0000-0000-0000B3300000}"/>
    <cellStyle name="Normal 2 2 2 2 2 25 5 4" xfId="12468" xr:uid="{00000000-0005-0000-0000-0000B4300000}"/>
    <cellStyle name="Normal 2 2 2 2 2 25 5 5" xfId="12469" xr:uid="{00000000-0005-0000-0000-0000B5300000}"/>
    <cellStyle name="Normal 2 2 2 2 2 25 5 6" xfId="12470" xr:uid="{00000000-0005-0000-0000-0000B6300000}"/>
    <cellStyle name="Normal 2 2 2 2 2 25 5 7" xfId="12471" xr:uid="{00000000-0005-0000-0000-0000B7300000}"/>
    <cellStyle name="Normal 2 2 2 2 2 25 5 8" xfId="12472" xr:uid="{00000000-0005-0000-0000-0000B8300000}"/>
    <cellStyle name="Normal 2 2 2 2 2 25 5 9" xfId="12473" xr:uid="{00000000-0005-0000-0000-0000B9300000}"/>
    <cellStyle name="Normal 2 2 2 2 2 25 6" xfId="12474" xr:uid="{00000000-0005-0000-0000-0000BA300000}"/>
    <cellStyle name="Normal 2 2 2 2 2 25 7" xfId="12475" xr:uid="{00000000-0005-0000-0000-0000BB300000}"/>
    <cellStyle name="Normal 2 2 2 2 2 25 8" xfId="12476" xr:uid="{00000000-0005-0000-0000-0000BC300000}"/>
    <cellStyle name="Normal 2 2 2 2 2 25 9" xfId="12477" xr:uid="{00000000-0005-0000-0000-0000BD300000}"/>
    <cellStyle name="Normal 2 2 2 2 2 26" xfId="12478" xr:uid="{00000000-0005-0000-0000-0000BE300000}"/>
    <cellStyle name="Normal 2 2 2 2 2 26 10" xfId="12479" xr:uid="{00000000-0005-0000-0000-0000BF300000}"/>
    <cellStyle name="Normal 2 2 2 2 2 26 11" xfId="12480" xr:uid="{00000000-0005-0000-0000-0000C0300000}"/>
    <cellStyle name="Normal 2 2 2 2 2 26 12" xfId="12481" xr:uid="{00000000-0005-0000-0000-0000C1300000}"/>
    <cellStyle name="Normal 2 2 2 2 2 26 13" xfId="12482" xr:uid="{00000000-0005-0000-0000-0000C2300000}"/>
    <cellStyle name="Normal 2 2 2 2 2 26 14" xfId="12483" xr:uid="{00000000-0005-0000-0000-0000C3300000}"/>
    <cellStyle name="Normal 2 2 2 2 2 26 2" xfId="12484" xr:uid="{00000000-0005-0000-0000-0000C4300000}"/>
    <cellStyle name="Normal 2 2 2 2 2 26 2 10" xfId="12485" xr:uid="{00000000-0005-0000-0000-0000C5300000}"/>
    <cellStyle name="Normal 2 2 2 2 2 26 2 2" xfId="12486" xr:uid="{00000000-0005-0000-0000-0000C6300000}"/>
    <cellStyle name="Normal 2 2 2 2 2 26 2 3" xfId="12487" xr:uid="{00000000-0005-0000-0000-0000C7300000}"/>
    <cellStyle name="Normal 2 2 2 2 2 26 2 4" xfId="12488" xr:uid="{00000000-0005-0000-0000-0000C8300000}"/>
    <cellStyle name="Normal 2 2 2 2 2 26 2 5" xfId="12489" xr:uid="{00000000-0005-0000-0000-0000C9300000}"/>
    <cellStyle name="Normal 2 2 2 2 2 26 2 6" xfId="12490" xr:uid="{00000000-0005-0000-0000-0000CA300000}"/>
    <cellStyle name="Normal 2 2 2 2 2 26 2 7" xfId="12491" xr:uid="{00000000-0005-0000-0000-0000CB300000}"/>
    <cellStyle name="Normal 2 2 2 2 2 26 2 8" xfId="12492" xr:uid="{00000000-0005-0000-0000-0000CC300000}"/>
    <cellStyle name="Normal 2 2 2 2 2 26 2 9" xfId="12493" xr:uid="{00000000-0005-0000-0000-0000CD300000}"/>
    <cellStyle name="Normal 2 2 2 2 2 26 3" xfId="12494" xr:uid="{00000000-0005-0000-0000-0000CE300000}"/>
    <cellStyle name="Normal 2 2 2 2 2 26 3 10" xfId="12495" xr:uid="{00000000-0005-0000-0000-0000CF300000}"/>
    <cellStyle name="Normal 2 2 2 2 2 26 3 2" xfId="12496" xr:uid="{00000000-0005-0000-0000-0000D0300000}"/>
    <cellStyle name="Normal 2 2 2 2 2 26 3 3" xfId="12497" xr:uid="{00000000-0005-0000-0000-0000D1300000}"/>
    <cellStyle name="Normal 2 2 2 2 2 26 3 4" xfId="12498" xr:uid="{00000000-0005-0000-0000-0000D2300000}"/>
    <cellStyle name="Normal 2 2 2 2 2 26 3 5" xfId="12499" xr:uid="{00000000-0005-0000-0000-0000D3300000}"/>
    <cellStyle name="Normal 2 2 2 2 2 26 3 6" xfId="12500" xr:uid="{00000000-0005-0000-0000-0000D4300000}"/>
    <cellStyle name="Normal 2 2 2 2 2 26 3 7" xfId="12501" xr:uid="{00000000-0005-0000-0000-0000D5300000}"/>
    <cellStyle name="Normal 2 2 2 2 2 26 3 8" xfId="12502" xr:uid="{00000000-0005-0000-0000-0000D6300000}"/>
    <cellStyle name="Normal 2 2 2 2 2 26 3 9" xfId="12503" xr:uid="{00000000-0005-0000-0000-0000D7300000}"/>
    <cellStyle name="Normal 2 2 2 2 2 26 4" xfId="12504" xr:uid="{00000000-0005-0000-0000-0000D8300000}"/>
    <cellStyle name="Normal 2 2 2 2 2 26 4 10" xfId="12505" xr:uid="{00000000-0005-0000-0000-0000D9300000}"/>
    <cellStyle name="Normal 2 2 2 2 2 26 4 2" xfId="12506" xr:uid="{00000000-0005-0000-0000-0000DA300000}"/>
    <cellStyle name="Normal 2 2 2 2 2 26 4 3" xfId="12507" xr:uid="{00000000-0005-0000-0000-0000DB300000}"/>
    <cellStyle name="Normal 2 2 2 2 2 26 4 4" xfId="12508" xr:uid="{00000000-0005-0000-0000-0000DC300000}"/>
    <cellStyle name="Normal 2 2 2 2 2 26 4 5" xfId="12509" xr:uid="{00000000-0005-0000-0000-0000DD300000}"/>
    <cellStyle name="Normal 2 2 2 2 2 26 4 6" xfId="12510" xr:uid="{00000000-0005-0000-0000-0000DE300000}"/>
    <cellStyle name="Normal 2 2 2 2 2 26 4 7" xfId="12511" xr:uid="{00000000-0005-0000-0000-0000DF300000}"/>
    <cellStyle name="Normal 2 2 2 2 2 26 4 8" xfId="12512" xr:uid="{00000000-0005-0000-0000-0000E0300000}"/>
    <cellStyle name="Normal 2 2 2 2 2 26 4 9" xfId="12513" xr:uid="{00000000-0005-0000-0000-0000E1300000}"/>
    <cellStyle name="Normal 2 2 2 2 2 26 5" xfId="12514" xr:uid="{00000000-0005-0000-0000-0000E2300000}"/>
    <cellStyle name="Normal 2 2 2 2 2 26 5 10" xfId="12515" xr:uid="{00000000-0005-0000-0000-0000E3300000}"/>
    <cellStyle name="Normal 2 2 2 2 2 26 5 2" xfId="12516" xr:uid="{00000000-0005-0000-0000-0000E4300000}"/>
    <cellStyle name="Normal 2 2 2 2 2 26 5 3" xfId="12517" xr:uid="{00000000-0005-0000-0000-0000E5300000}"/>
    <cellStyle name="Normal 2 2 2 2 2 26 5 4" xfId="12518" xr:uid="{00000000-0005-0000-0000-0000E6300000}"/>
    <cellStyle name="Normal 2 2 2 2 2 26 5 5" xfId="12519" xr:uid="{00000000-0005-0000-0000-0000E7300000}"/>
    <cellStyle name="Normal 2 2 2 2 2 26 5 6" xfId="12520" xr:uid="{00000000-0005-0000-0000-0000E8300000}"/>
    <cellStyle name="Normal 2 2 2 2 2 26 5 7" xfId="12521" xr:uid="{00000000-0005-0000-0000-0000E9300000}"/>
    <cellStyle name="Normal 2 2 2 2 2 26 5 8" xfId="12522" xr:uid="{00000000-0005-0000-0000-0000EA300000}"/>
    <cellStyle name="Normal 2 2 2 2 2 26 5 9" xfId="12523" xr:uid="{00000000-0005-0000-0000-0000EB300000}"/>
    <cellStyle name="Normal 2 2 2 2 2 26 6" xfId="12524" xr:uid="{00000000-0005-0000-0000-0000EC300000}"/>
    <cellStyle name="Normal 2 2 2 2 2 26 7" xfId="12525" xr:uid="{00000000-0005-0000-0000-0000ED300000}"/>
    <cellStyle name="Normal 2 2 2 2 2 26 8" xfId="12526" xr:uid="{00000000-0005-0000-0000-0000EE300000}"/>
    <cellStyle name="Normal 2 2 2 2 2 26 9" xfId="12527" xr:uid="{00000000-0005-0000-0000-0000EF300000}"/>
    <cellStyle name="Normal 2 2 2 2 2 27" xfId="12528" xr:uid="{00000000-0005-0000-0000-0000F0300000}"/>
    <cellStyle name="Normal 2 2 2 2 2 27 10" xfId="12529" xr:uid="{00000000-0005-0000-0000-0000F1300000}"/>
    <cellStyle name="Normal 2 2 2 2 2 27 11" xfId="12530" xr:uid="{00000000-0005-0000-0000-0000F2300000}"/>
    <cellStyle name="Normal 2 2 2 2 2 27 12" xfId="12531" xr:uid="{00000000-0005-0000-0000-0000F3300000}"/>
    <cellStyle name="Normal 2 2 2 2 2 27 13" xfId="12532" xr:uid="{00000000-0005-0000-0000-0000F4300000}"/>
    <cellStyle name="Normal 2 2 2 2 2 27 14" xfId="12533" xr:uid="{00000000-0005-0000-0000-0000F5300000}"/>
    <cellStyle name="Normal 2 2 2 2 2 27 2" xfId="12534" xr:uid="{00000000-0005-0000-0000-0000F6300000}"/>
    <cellStyle name="Normal 2 2 2 2 2 27 2 10" xfId="12535" xr:uid="{00000000-0005-0000-0000-0000F7300000}"/>
    <cellStyle name="Normal 2 2 2 2 2 27 2 2" xfId="12536" xr:uid="{00000000-0005-0000-0000-0000F8300000}"/>
    <cellStyle name="Normal 2 2 2 2 2 27 2 3" xfId="12537" xr:uid="{00000000-0005-0000-0000-0000F9300000}"/>
    <cellStyle name="Normal 2 2 2 2 2 27 2 4" xfId="12538" xr:uid="{00000000-0005-0000-0000-0000FA300000}"/>
    <cellStyle name="Normal 2 2 2 2 2 27 2 5" xfId="12539" xr:uid="{00000000-0005-0000-0000-0000FB300000}"/>
    <cellStyle name="Normal 2 2 2 2 2 27 2 6" xfId="12540" xr:uid="{00000000-0005-0000-0000-0000FC300000}"/>
    <cellStyle name="Normal 2 2 2 2 2 27 2 7" xfId="12541" xr:uid="{00000000-0005-0000-0000-0000FD300000}"/>
    <cellStyle name="Normal 2 2 2 2 2 27 2 8" xfId="12542" xr:uid="{00000000-0005-0000-0000-0000FE300000}"/>
    <cellStyle name="Normal 2 2 2 2 2 27 2 9" xfId="12543" xr:uid="{00000000-0005-0000-0000-0000FF300000}"/>
    <cellStyle name="Normal 2 2 2 2 2 27 3" xfId="12544" xr:uid="{00000000-0005-0000-0000-000000310000}"/>
    <cellStyle name="Normal 2 2 2 2 2 27 3 10" xfId="12545" xr:uid="{00000000-0005-0000-0000-000001310000}"/>
    <cellStyle name="Normal 2 2 2 2 2 27 3 2" xfId="12546" xr:uid="{00000000-0005-0000-0000-000002310000}"/>
    <cellStyle name="Normal 2 2 2 2 2 27 3 3" xfId="12547" xr:uid="{00000000-0005-0000-0000-000003310000}"/>
    <cellStyle name="Normal 2 2 2 2 2 27 3 4" xfId="12548" xr:uid="{00000000-0005-0000-0000-000004310000}"/>
    <cellStyle name="Normal 2 2 2 2 2 27 3 5" xfId="12549" xr:uid="{00000000-0005-0000-0000-000005310000}"/>
    <cellStyle name="Normal 2 2 2 2 2 27 3 6" xfId="12550" xr:uid="{00000000-0005-0000-0000-000006310000}"/>
    <cellStyle name="Normal 2 2 2 2 2 27 3 7" xfId="12551" xr:uid="{00000000-0005-0000-0000-000007310000}"/>
    <cellStyle name="Normal 2 2 2 2 2 27 3 8" xfId="12552" xr:uid="{00000000-0005-0000-0000-000008310000}"/>
    <cellStyle name="Normal 2 2 2 2 2 27 3 9" xfId="12553" xr:uid="{00000000-0005-0000-0000-000009310000}"/>
    <cellStyle name="Normal 2 2 2 2 2 27 4" xfId="12554" xr:uid="{00000000-0005-0000-0000-00000A310000}"/>
    <cellStyle name="Normal 2 2 2 2 2 27 4 10" xfId="12555" xr:uid="{00000000-0005-0000-0000-00000B310000}"/>
    <cellStyle name="Normal 2 2 2 2 2 27 4 2" xfId="12556" xr:uid="{00000000-0005-0000-0000-00000C310000}"/>
    <cellStyle name="Normal 2 2 2 2 2 27 4 3" xfId="12557" xr:uid="{00000000-0005-0000-0000-00000D310000}"/>
    <cellStyle name="Normal 2 2 2 2 2 27 4 4" xfId="12558" xr:uid="{00000000-0005-0000-0000-00000E310000}"/>
    <cellStyle name="Normal 2 2 2 2 2 27 4 5" xfId="12559" xr:uid="{00000000-0005-0000-0000-00000F310000}"/>
    <cellStyle name="Normal 2 2 2 2 2 27 4 6" xfId="12560" xr:uid="{00000000-0005-0000-0000-000010310000}"/>
    <cellStyle name="Normal 2 2 2 2 2 27 4 7" xfId="12561" xr:uid="{00000000-0005-0000-0000-000011310000}"/>
    <cellStyle name="Normal 2 2 2 2 2 27 4 8" xfId="12562" xr:uid="{00000000-0005-0000-0000-000012310000}"/>
    <cellStyle name="Normal 2 2 2 2 2 27 4 9" xfId="12563" xr:uid="{00000000-0005-0000-0000-000013310000}"/>
    <cellStyle name="Normal 2 2 2 2 2 27 5" xfId="12564" xr:uid="{00000000-0005-0000-0000-000014310000}"/>
    <cellStyle name="Normal 2 2 2 2 2 27 5 10" xfId="12565" xr:uid="{00000000-0005-0000-0000-000015310000}"/>
    <cellStyle name="Normal 2 2 2 2 2 27 5 2" xfId="12566" xr:uid="{00000000-0005-0000-0000-000016310000}"/>
    <cellStyle name="Normal 2 2 2 2 2 27 5 3" xfId="12567" xr:uid="{00000000-0005-0000-0000-000017310000}"/>
    <cellStyle name="Normal 2 2 2 2 2 27 5 4" xfId="12568" xr:uid="{00000000-0005-0000-0000-000018310000}"/>
    <cellStyle name="Normal 2 2 2 2 2 27 5 5" xfId="12569" xr:uid="{00000000-0005-0000-0000-000019310000}"/>
    <cellStyle name="Normal 2 2 2 2 2 27 5 6" xfId="12570" xr:uid="{00000000-0005-0000-0000-00001A310000}"/>
    <cellStyle name="Normal 2 2 2 2 2 27 5 7" xfId="12571" xr:uid="{00000000-0005-0000-0000-00001B310000}"/>
    <cellStyle name="Normal 2 2 2 2 2 27 5 8" xfId="12572" xr:uid="{00000000-0005-0000-0000-00001C310000}"/>
    <cellStyle name="Normal 2 2 2 2 2 27 5 9" xfId="12573" xr:uid="{00000000-0005-0000-0000-00001D310000}"/>
    <cellStyle name="Normal 2 2 2 2 2 27 6" xfId="12574" xr:uid="{00000000-0005-0000-0000-00001E310000}"/>
    <cellStyle name="Normal 2 2 2 2 2 27 7" xfId="12575" xr:uid="{00000000-0005-0000-0000-00001F310000}"/>
    <cellStyle name="Normal 2 2 2 2 2 27 8" xfId="12576" xr:uid="{00000000-0005-0000-0000-000020310000}"/>
    <cellStyle name="Normal 2 2 2 2 2 27 9" xfId="12577" xr:uid="{00000000-0005-0000-0000-000021310000}"/>
    <cellStyle name="Normal 2 2 2 2 2 28" xfId="12578" xr:uid="{00000000-0005-0000-0000-000022310000}"/>
    <cellStyle name="Normal 2 2 2 2 2 28 10" xfId="12579" xr:uid="{00000000-0005-0000-0000-000023310000}"/>
    <cellStyle name="Normal 2 2 2 2 2 28 11" xfId="12580" xr:uid="{00000000-0005-0000-0000-000024310000}"/>
    <cellStyle name="Normal 2 2 2 2 2 28 12" xfId="12581" xr:uid="{00000000-0005-0000-0000-000025310000}"/>
    <cellStyle name="Normal 2 2 2 2 2 28 13" xfId="12582" xr:uid="{00000000-0005-0000-0000-000026310000}"/>
    <cellStyle name="Normal 2 2 2 2 2 28 14" xfId="12583" xr:uid="{00000000-0005-0000-0000-000027310000}"/>
    <cellStyle name="Normal 2 2 2 2 2 28 2" xfId="12584" xr:uid="{00000000-0005-0000-0000-000028310000}"/>
    <cellStyle name="Normal 2 2 2 2 2 28 2 10" xfId="12585" xr:uid="{00000000-0005-0000-0000-000029310000}"/>
    <cellStyle name="Normal 2 2 2 2 2 28 2 2" xfId="12586" xr:uid="{00000000-0005-0000-0000-00002A310000}"/>
    <cellStyle name="Normal 2 2 2 2 2 28 2 3" xfId="12587" xr:uid="{00000000-0005-0000-0000-00002B310000}"/>
    <cellStyle name="Normal 2 2 2 2 2 28 2 4" xfId="12588" xr:uid="{00000000-0005-0000-0000-00002C310000}"/>
    <cellStyle name="Normal 2 2 2 2 2 28 2 5" xfId="12589" xr:uid="{00000000-0005-0000-0000-00002D310000}"/>
    <cellStyle name="Normal 2 2 2 2 2 28 2 6" xfId="12590" xr:uid="{00000000-0005-0000-0000-00002E310000}"/>
    <cellStyle name="Normal 2 2 2 2 2 28 2 7" xfId="12591" xr:uid="{00000000-0005-0000-0000-00002F310000}"/>
    <cellStyle name="Normal 2 2 2 2 2 28 2 8" xfId="12592" xr:uid="{00000000-0005-0000-0000-000030310000}"/>
    <cellStyle name="Normal 2 2 2 2 2 28 2 9" xfId="12593" xr:uid="{00000000-0005-0000-0000-000031310000}"/>
    <cellStyle name="Normal 2 2 2 2 2 28 3" xfId="12594" xr:uid="{00000000-0005-0000-0000-000032310000}"/>
    <cellStyle name="Normal 2 2 2 2 2 28 3 10" xfId="12595" xr:uid="{00000000-0005-0000-0000-000033310000}"/>
    <cellStyle name="Normal 2 2 2 2 2 28 3 2" xfId="12596" xr:uid="{00000000-0005-0000-0000-000034310000}"/>
    <cellStyle name="Normal 2 2 2 2 2 28 3 3" xfId="12597" xr:uid="{00000000-0005-0000-0000-000035310000}"/>
    <cellStyle name="Normal 2 2 2 2 2 28 3 4" xfId="12598" xr:uid="{00000000-0005-0000-0000-000036310000}"/>
    <cellStyle name="Normal 2 2 2 2 2 28 3 5" xfId="12599" xr:uid="{00000000-0005-0000-0000-000037310000}"/>
    <cellStyle name="Normal 2 2 2 2 2 28 3 6" xfId="12600" xr:uid="{00000000-0005-0000-0000-000038310000}"/>
    <cellStyle name="Normal 2 2 2 2 2 28 3 7" xfId="12601" xr:uid="{00000000-0005-0000-0000-000039310000}"/>
    <cellStyle name="Normal 2 2 2 2 2 28 3 8" xfId="12602" xr:uid="{00000000-0005-0000-0000-00003A310000}"/>
    <cellStyle name="Normal 2 2 2 2 2 28 3 9" xfId="12603" xr:uid="{00000000-0005-0000-0000-00003B310000}"/>
    <cellStyle name="Normal 2 2 2 2 2 28 4" xfId="12604" xr:uid="{00000000-0005-0000-0000-00003C310000}"/>
    <cellStyle name="Normal 2 2 2 2 2 28 4 10" xfId="12605" xr:uid="{00000000-0005-0000-0000-00003D310000}"/>
    <cellStyle name="Normal 2 2 2 2 2 28 4 2" xfId="12606" xr:uid="{00000000-0005-0000-0000-00003E310000}"/>
    <cellStyle name="Normal 2 2 2 2 2 28 4 3" xfId="12607" xr:uid="{00000000-0005-0000-0000-00003F310000}"/>
    <cellStyle name="Normal 2 2 2 2 2 28 4 4" xfId="12608" xr:uid="{00000000-0005-0000-0000-000040310000}"/>
    <cellStyle name="Normal 2 2 2 2 2 28 4 5" xfId="12609" xr:uid="{00000000-0005-0000-0000-000041310000}"/>
    <cellStyle name="Normal 2 2 2 2 2 28 4 6" xfId="12610" xr:uid="{00000000-0005-0000-0000-000042310000}"/>
    <cellStyle name="Normal 2 2 2 2 2 28 4 7" xfId="12611" xr:uid="{00000000-0005-0000-0000-000043310000}"/>
    <cellStyle name="Normal 2 2 2 2 2 28 4 8" xfId="12612" xr:uid="{00000000-0005-0000-0000-000044310000}"/>
    <cellStyle name="Normal 2 2 2 2 2 28 4 9" xfId="12613" xr:uid="{00000000-0005-0000-0000-000045310000}"/>
    <cellStyle name="Normal 2 2 2 2 2 28 5" xfId="12614" xr:uid="{00000000-0005-0000-0000-000046310000}"/>
    <cellStyle name="Normal 2 2 2 2 2 28 5 10" xfId="12615" xr:uid="{00000000-0005-0000-0000-000047310000}"/>
    <cellStyle name="Normal 2 2 2 2 2 28 5 2" xfId="12616" xr:uid="{00000000-0005-0000-0000-000048310000}"/>
    <cellStyle name="Normal 2 2 2 2 2 28 5 3" xfId="12617" xr:uid="{00000000-0005-0000-0000-000049310000}"/>
    <cellStyle name="Normal 2 2 2 2 2 28 5 4" xfId="12618" xr:uid="{00000000-0005-0000-0000-00004A310000}"/>
    <cellStyle name="Normal 2 2 2 2 2 28 5 5" xfId="12619" xr:uid="{00000000-0005-0000-0000-00004B310000}"/>
    <cellStyle name="Normal 2 2 2 2 2 28 5 6" xfId="12620" xr:uid="{00000000-0005-0000-0000-00004C310000}"/>
    <cellStyle name="Normal 2 2 2 2 2 28 5 7" xfId="12621" xr:uid="{00000000-0005-0000-0000-00004D310000}"/>
    <cellStyle name="Normal 2 2 2 2 2 28 5 8" xfId="12622" xr:uid="{00000000-0005-0000-0000-00004E310000}"/>
    <cellStyle name="Normal 2 2 2 2 2 28 5 9" xfId="12623" xr:uid="{00000000-0005-0000-0000-00004F310000}"/>
    <cellStyle name="Normal 2 2 2 2 2 28 6" xfId="12624" xr:uid="{00000000-0005-0000-0000-000050310000}"/>
    <cellStyle name="Normal 2 2 2 2 2 28 7" xfId="12625" xr:uid="{00000000-0005-0000-0000-000051310000}"/>
    <cellStyle name="Normal 2 2 2 2 2 28 8" xfId="12626" xr:uid="{00000000-0005-0000-0000-000052310000}"/>
    <cellStyle name="Normal 2 2 2 2 2 28 9" xfId="12627" xr:uid="{00000000-0005-0000-0000-000053310000}"/>
    <cellStyle name="Normal 2 2 2 2 2 29" xfId="12628" xr:uid="{00000000-0005-0000-0000-000054310000}"/>
    <cellStyle name="Normal 2 2 2 2 2 29 10" xfId="12629" xr:uid="{00000000-0005-0000-0000-000055310000}"/>
    <cellStyle name="Normal 2 2 2 2 2 29 11" xfId="12630" xr:uid="{00000000-0005-0000-0000-000056310000}"/>
    <cellStyle name="Normal 2 2 2 2 2 29 12" xfId="12631" xr:uid="{00000000-0005-0000-0000-000057310000}"/>
    <cellStyle name="Normal 2 2 2 2 2 29 13" xfId="12632" xr:uid="{00000000-0005-0000-0000-000058310000}"/>
    <cellStyle name="Normal 2 2 2 2 2 29 14" xfId="12633" xr:uid="{00000000-0005-0000-0000-000059310000}"/>
    <cellStyle name="Normal 2 2 2 2 2 29 2" xfId="12634" xr:uid="{00000000-0005-0000-0000-00005A310000}"/>
    <cellStyle name="Normal 2 2 2 2 2 29 2 10" xfId="12635" xr:uid="{00000000-0005-0000-0000-00005B310000}"/>
    <cellStyle name="Normal 2 2 2 2 2 29 2 2" xfId="12636" xr:uid="{00000000-0005-0000-0000-00005C310000}"/>
    <cellStyle name="Normal 2 2 2 2 2 29 2 3" xfId="12637" xr:uid="{00000000-0005-0000-0000-00005D310000}"/>
    <cellStyle name="Normal 2 2 2 2 2 29 2 4" xfId="12638" xr:uid="{00000000-0005-0000-0000-00005E310000}"/>
    <cellStyle name="Normal 2 2 2 2 2 29 2 5" xfId="12639" xr:uid="{00000000-0005-0000-0000-00005F310000}"/>
    <cellStyle name="Normal 2 2 2 2 2 29 2 6" xfId="12640" xr:uid="{00000000-0005-0000-0000-000060310000}"/>
    <cellStyle name="Normal 2 2 2 2 2 29 2 7" xfId="12641" xr:uid="{00000000-0005-0000-0000-000061310000}"/>
    <cellStyle name="Normal 2 2 2 2 2 29 2 8" xfId="12642" xr:uid="{00000000-0005-0000-0000-000062310000}"/>
    <cellStyle name="Normal 2 2 2 2 2 29 2 9" xfId="12643" xr:uid="{00000000-0005-0000-0000-000063310000}"/>
    <cellStyle name="Normal 2 2 2 2 2 29 3" xfId="12644" xr:uid="{00000000-0005-0000-0000-000064310000}"/>
    <cellStyle name="Normal 2 2 2 2 2 29 3 10" xfId="12645" xr:uid="{00000000-0005-0000-0000-000065310000}"/>
    <cellStyle name="Normal 2 2 2 2 2 29 3 2" xfId="12646" xr:uid="{00000000-0005-0000-0000-000066310000}"/>
    <cellStyle name="Normal 2 2 2 2 2 29 3 3" xfId="12647" xr:uid="{00000000-0005-0000-0000-000067310000}"/>
    <cellStyle name="Normal 2 2 2 2 2 29 3 4" xfId="12648" xr:uid="{00000000-0005-0000-0000-000068310000}"/>
    <cellStyle name="Normal 2 2 2 2 2 29 3 5" xfId="12649" xr:uid="{00000000-0005-0000-0000-000069310000}"/>
    <cellStyle name="Normal 2 2 2 2 2 29 3 6" xfId="12650" xr:uid="{00000000-0005-0000-0000-00006A310000}"/>
    <cellStyle name="Normal 2 2 2 2 2 29 3 7" xfId="12651" xr:uid="{00000000-0005-0000-0000-00006B310000}"/>
    <cellStyle name="Normal 2 2 2 2 2 29 3 8" xfId="12652" xr:uid="{00000000-0005-0000-0000-00006C310000}"/>
    <cellStyle name="Normal 2 2 2 2 2 29 3 9" xfId="12653" xr:uid="{00000000-0005-0000-0000-00006D310000}"/>
    <cellStyle name="Normal 2 2 2 2 2 29 4" xfId="12654" xr:uid="{00000000-0005-0000-0000-00006E310000}"/>
    <cellStyle name="Normal 2 2 2 2 2 29 4 10" xfId="12655" xr:uid="{00000000-0005-0000-0000-00006F310000}"/>
    <cellStyle name="Normal 2 2 2 2 2 29 4 2" xfId="12656" xr:uid="{00000000-0005-0000-0000-000070310000}"/>
    <cellStyle name="Normal 2 2 2 2 2 29 4 3" xfId="12657" xr:uid="{00000000-0005-0000-0000-000071310000}"/>
    <cellStyle name="Normal 2 2 2 2 2 29 4 4" xfId="12658" xr:uid="{00000000-0005-0000-0000-000072310000}"/>
    <cellStyle name="Normal 2 2 2 2 2 29 4 5" xfId="12659" xr:uid="{00000000-0005-0000-0000-000073310000}"/>
    <cellStyle name="Normal 2 2 2 2 2 29 4 6" xfId="12660" xr:uid="{00000000-0005-0000-0000-000074310000}"/>
    <cellStyle name="Normal 2 2 2 2 2 29 4 7" xfId="12661" xr:uid="{00000000-0005-0000-0000-000075310000}"/>
    <cellStyle name="Normal 2 2 2 2 2 29 4 8" xfId="12662" xr:uid="{00000000-0005-0000-0000-000076310000}"/>
    <cellStyle name="Normal 2 2 2 2 2 29 4 9" xfId="12663" xr:uid="{00000000-0005-0000-0000-000077310000}"/>
    <cellStyle name="Normal 2 2 2 2 2 29 5" xfId="12664" xr:uid="{00000000-0005-0000-0000-000078310000}"/>
    <cellStyle name="Normal 2 2 2 2 2 29 5 10" xfId="12665" xr:uid="{00000000-0005-0000-0000-000079310000}"/>
    <cellStyle name="Normal 2 2 2 2 2 29 5 2" xfId="12666" xr:uid="{00000000-0005-0000-0000-00007A310000}"/>
    <cellStyle name="Normal 2 2 2 2 2 29 5 3" xfId="12667" xr:uid="{00000000-0005-0000-0000-00007B310000}"/>
    <cellStyle name="Normal 2 2 2 2 2 29 5 4" xfId="12668" xr:uid="{00000000-0005-0000-0000-00007C310000}"/>
    <cellStyle name="Normal 2 2 2 2 2 29 5 5" xfId="12669" xr:uid="{00000000-0005-0000-0000-00007D310000}"/>
    <cellStyle name="Normal 2 2 2 2 2 29 5 6" xfId="12670" xr:uid="{00000000-0005-0000-0000-00007E310000}"/>
    <cellStyle name="Normal 2 2 2 2 2 29 5 7" xfId="12671" xr:uid="{00000000-0005-0000-0000-00007F310000}"/>
    <cellStyle name="Normal 2 2 2 2 2 29 5 8" xfId="12672" xr:uid="{00000000-0005-0000-0000-000080310000}"/>
    <cellStyle name="Normal 2 2 2 2 2 29 5 9" xfId="12673" xr:uid="{00000000-0005-0000-0000-000081310000}"/>
    <cellStyle name="Normal 2 2 2 2 2 29 6" xfId="12674" xr:uid="{00000000-0005-0000-0000-000082310000}"/>
    <cellStyle name="Normal 2 2 2 2 2 29 7" xfId="12675" xr:uid="{00000000-0005-0000-0000-000083310000}"/>
    <cellStyle name="Normal 2 2 2 2 2 29 8" xfId="12676" xr:uid="{00000000-0005-0000-0000-000084310000}"/>
    <cellStyle name="Normal 2 2 2 2 2 29 9" xfId="12677" xr:uid="{00000000-0005-0000-0000-000085310000}"/>
    <cellStyle name="Normal 2 2 2 2 2 3" xfId="12678" xr:uid="{00000000-0005-0000-0000-000086310000}"/>
    <cellStyle name="Normal 2 2 2 2 2 3 10" xfId="12679" xr:uid="{00000000-0005-0000-0000-000087310000}"/>
    <cellStyle name="Normal 2 2 2 2 2 3 11" xfId="12680" xr:uid="{00000000-0005-0000-0000-000088310000}"/>
    <cellStyle name="Normal 2 2 2 2 2 3 12" xfId="12681" xr:uid="{00000000-0005-0000-0000-000089310000}"/>
    <cellStyle name="Normal 2 2 2 2 2 3 13" xfId="12682" xr:uid="{00000000-0005-0000-0000-00008A310000}"/>
    <cellStyle name="Normal 2 2 2 2 2 3 14" xfId="12683" xr:uid="{00000000-0005-0000-0000-00008B310000}"/>
    <cellStyle name="Normal 2 2 2 2 2 3 15" xfId="12684" xr:uid="{00000000-0005-0000-0000-00008C310000}"/>
    <cellStyle name="Normal 2 2 2 2 2 3 16" xfId="12685" xr:uid="{00000000-0005-0000-0000-00008D310000}"/>
    <cellStyle name="Normal 2 2 2 2 2 3 2" xfId="12686" xr:uid="{00000000-0005-0000-0000-00008E310000}"/>
    <cellStyle name="Normal 2 2 2 2 2 3 2 10" xfId="12687" xr:uid="{00000000-0005-0000-0000-00008F310000}"/>
    <cellStyle name="Normal 2 2 2 2 2 3 2 11" xfId="12688" xr:uid="{00000000-0005-0000-0000-000090310000}"/>
    <cellStyle name="Normal 2 2 2 2 2 3 2 12" xfId="12689" xr:uid="{00000000-0005-0000-0000-000091310000}"/>
    <cellStyle name="Normal 2 2 2 2 2 3 2 2" xfId="12690" xr:uid="{00000000-0005-0000-0000-000092310000}"/>
    <cellStyle name="Normal 2 2 2 2 2 3 2 3" xfId="12691" xr:uid="{00000000-0005-0000-0000-000093310000}"/>
    <cellStyle name="Normal 2 2 2 2 2 3 2 4" xfId="12692" xr:uid="{00000000-0005-0000-0000-000094310000}"/>
    <cellStyle name="Normal 2 2 2 2 2 3 2 5" xfId="12693" xr:uid="{00000000-0005-0000-0000-000095310000}"/>
    <cellStyle name="Normal 2 2 2 2 2 3 2 6" xfId="12694" xr:uid="{00000000-0005-0000-0000-000096310000}"/>
    <cellStyle name="Normal 2 2 2 2 2 3 2 7" xfId="12695" xr:uid="{00000000-0005-0000-0000-000097310000}"/>
    <cellStyle name="Normal 2 2 2 2 2 3 2 8" xfId="12696" xr:uid="{00000000-0005-0000-0000-000098310000}"/>
    <cellStyle name="Normal 2 2 2 2 2 3 2 9" xfId="12697" xr:uid="{00000000-0005-0000-0000-000099310000}"/>
    <cellStyle name="Normal 2 2 2 2 2 3 3" xfId="12698" xr:uid="{00000000-0005-0000-0000-00009A310000}"/>
    <cellStyle name="Normal 2 2 2 2 2 3 3 10" xfId="12699" xr:uid="{00000000-0005-0000-0000-00009B310000}"/>
    <cellStyle name="Normal 2 2 2 2 2 3 3 2" xfId="12700" xr:uid="{00000000-0005-0000-0000-00009C310000}"/>
    <cellStyle name="Normal 2 2 2 2 2 3 3 3" xfId="12701" xr:uid="{00000000-0005-0000-0000-00009D310000}"/>
    <cellStyle name="Normal 2 2 2 2 2 3 3 4" xfId="12702" xr:uid="{00000000-0005-0000-0000-00009E310000}"/>
    <cellStyle name="Normal 2 2 2 2 2 3 3 5" xfId="12703" xr:uid="{00000000-0005-0000-0000-00009F310000}"/>
    <cellStyle name="Normal 2 2 2 2 2 3 3 6" xfId="12704" xr:uid="{00000000-0005-0000-0000-0000A0310000}"/>
    <cellStyle name="Normal 2 2 2 2 2 3 3 7" xfId="12705" xr:uid="{00000000-0005-0000-0000-0000A1310000}"/>
    <cellStyle name="Normal 2 2 2 2 2 3 3 8" xfId="12706" xr:uid="{00000000-0005-0000-0000-0000A2310000}"/>
    <cellStyle name="Normal 2 2 2 2 2 3 3 9" xfId="12707" xr:uid="{00000000-0005-0000-0000-0000A3310000}"/>
    <cellStyle name="Normal 2 2 2 2 2 3 4" xfId="12708" xr:uid="{00000000-0005-0000-0000-0000A4310000}"/>
    <cellStyle name="Normal 2 2 2 2 2 3 4 10" xfId="12709" xr:uid="{00000000-0005-0000-0000-0000A5310000}"/>
    <cellStyle name="Normal 2 2 2 2 2 3 4 2" xfId="12710" xr:uid="{00000000-0005-0000-0000-0000A6310000}"/>
    <cellStyle name="Normal 2 2 2 2 2 3 4 3" xfId="12711" xr:uid="{00000000-0005-0000-0000-0000A7310000}"/>
    <cellStyle name="Normal 2 2 2 2 2 3 4 4" xfId="12712" xr:uid="{00000000-0005-0000-0000-0000A8310000}"/>
    <cellStyle name="Normal 2 2 2 2 2 3 4 5" xfId="12713" xr:uid="{00000000-0005-0000-0000-0000A9310000}"/>
    <cellStyle name="Normal 2 2 2 2 2 3 4 6" xfId="12714" xr:uid="{00000000-0005-0000-0000-0000AA310000}"/>
    <cellStyle name="Normal 2 2 2 2 2 3 4 7" xfId="12715" xr:uid="{00000000-0005-0000-0000-0000AB310000}"/>
    <cellStyle name="Normal 2 2 2 2 2 3 4 8" xfId="12716" xr:uid="{00000000-0005-0000-0000-0000AC310000}"/>
    <cellStyle name="Normal 2 2 2 2 2 3 4 9" xfId="12717" xr:uid="{00000000-0005-0000-0000-0000AD310000}"/>
    <cellStyle name="Normal 2 2 2 2 2 3 5" xfId="12718" xr:uid="{00000000-0005-0000-0000-0000AE310000}"/>
    <cellStyle name="Normal 2 2 2 2 2 3 5 10" xfId="12719" xr:uid="{00000000-0005-0000-0000-0000AF310000}"/>
    <cellStyle name="Normal 2 2 2 2 2 3 5 2" xfId="12720" xr:uid="{00000000-0005-0000-0000-0000B0310000}"/>
    <cellStyle name="Normal 2 2 2 2 2 3 5 3" xfId="12721" xr:uid="{00000000-0005-0000-0000-0000B1310000}"/>
    <cellStyle name="Normal 2 2 2 2 2 3 5 4" xfId="12722" xr:uid="{00000000-0005-0000-0000-0000B2310000}"/>
    <cellStyle name="Normal 2 2 2 2 2 3 5 5" xfId="12723" xr:uid="{00000000-0005-0000-0000-0000B3310000}"/>
    <cellStyle name="Normal 2 2 2 2 2 3 5 6" xfId="12724" xr:uid="{00000000-0005-0000-0000-0000B4310000}"/>
    <cellStyle name="Normal 2 2 2 2 2 3 5 7" xfId="12725" xr:uid="{00000000-0005-0000-0000-0000B5310000}"/>
    <cellStyle name="Normal 2 2 2 2 2 3 5 8" xfId="12726" xr:uid="{00000000-0005-0000-0000-0000B6310000}"/>
    <cellStyle name="Normal 2 2 2 2 2 3 5 9" xfId="12727" xr:uid="{00000000-0005-0000-0000-0000B7310000}"/>
    <cellStyle name="Normal 2 2 2 2 2 3 6" xfId="12728" xr:uid="{00000000-0005-0000-0000-0000B8310000}"/>
    <cellStyle name="Normal 2 2 2 2 2 3 7" xfId="12729" xr:uid="{00000000-0005-0000-0000-0000B9310000}"/>
    <cellStyle name="Normal 2 2 2 2 2 3 8" xfId="12730" xr:uid="{00000000-0005-0000-0000-0000BA310000}"/>
    <cellStyle name="Normal 2 2 2 2 2 3 9" xfId="12731" xr:uid="{00000000-0005-0000-0000-0000BB310000}"/>
    <cellStyle name="Normal 2 2 2 2 2 30" xfId="12732" xr:uid="{00000000-0005-0000-0000-0000BC310000}"/>
    <cellStyle name="Normal 2 2 2 2 2 30 10" xfId="12733" xr:uid="{00000000-0005-0000-0000-0000BD310000}"/>
    <cellStyle name="Normal 2 2 2 2 2 30 11" xfId="12734" xr:uid="{00000000-0005-0000-0000-0000BE310000}"/>
    <cellStyle name="Normal 2 2 2 2 2 30 12" xfId="12735" xr:uid="{00000000-0005-0000-0000-0000BF310000}"/>
    <cellStyle name="Normal 2 2 2 2 2 30 13" xfId="12736" xr:uid="{00000000-0005-0000-0000-0000C0310000}"/>
    <cellStyle name="Normal 2 2 2 2 2 30 14" xfId="12737" xr:uid="{00000000-0005-0000-0000-0000C1310000}"/>
    <cellStyle name="Normal 2 2 2 2 2 30 2" xfId="12738" xr:uid="{00000000-0005-0000-0000-0000C2310000}"/>
    <cellStyle name="Normal 2 2 2 2 2 30 2 10" xfId="12739" xr:uid="{00000000-0005-0000-0000-0000C3310000}"/>
    <cellStyle name="Normal 2 2 2 2 2 30 2 2" xfId="12740" xr:uid="{00000000-0005-0000-0000-0000C4310000}"/>
    <cellStyle name="Normal 2 2 2 2 2 30 2 3" xfId="12741" xr:uid="{00000000-0005-0000-0000-0000C5310000}"/>
    <cellStyle name="Normal 2 2 2 2 2 30 2 4" xfId="12742" xr:uid="{00000000-0005-0000-0000-0000C6310000}"/>
    <cellStyle name="Normal 2 2 2 2 2 30 2 5" xfId="12743" xr:uid="{00000000-0005-0000-0000-0000C7310000}"/>
    <cellStyle name="Normal 2 2 2 2 2 30 2 6" xfId="12744" xr:uid="{00000000-0005-0000-0000-0000C8310000}"/>
    <cellStyle name="Normal 2 2 2 2 2 30 2 7" xfId="12745" xr:uid="{00000000-0005-0000-0000-0000C9310000}"/>
    <cellStyle name="Normal 2 2 2 2 2 30 2 8" xfId="12746" xr:uid="{00000000-0005-0000-0000-0000CA310000}"/>
    <cellStyle name="Normal 2 2 2 2 2 30 2 9" xfId="12747" xr:uid="{00000000-0005-0000-0000-0000CB310000}"/>
    <cellStyle name="Normal 2 2 2 2 2 30 3" xfId="12748" xr:uid="{00000000-0005-0000-0000-0000CC310000}"/>
    <cellStyle name="Normal 2 2 2 2 2 30 3 10" xfId="12749" xr:uid="{00000000-0005-0000-0000-0000CD310000}"/>
    <cellStyle name="Normal 2 2 2 2 2 30 3 2" xfId="12750" xr:uid="{00000000-0005-0000-0000-0000CE310000}"/>
    <cellStyle name="Normal 2 2 2 2 2 30 3 3" xfId="12751" xr:uid="{00000000-0005-0000-0000-0000CF310000}"/>
    <cellStyle name="Normal 2 2 2 2 2 30 3 4" xfId="12752" xr:uid="{00000000-0005-0000-0000-0000D0310000}"/>
    <cellStyle name="Normal 2 2 2 2 2 30 3 5" xfId="12753" xr:uid="{00000000-0005-0000-0000-0000D1310000}"/>
    <cellStyle name="Normal 2 2 2 2 2 30 3 6" xfId="12754" xr:uid="{00000000-0005-0000-0000-0000D2310000}"/>
    <cellStyle name="Normal 2 2 2 2 2 30 3 7" xfId="12755" xr:uid="{00000000-0005-0000-0000-0000D3310000}"/>
    <cellStyle name="Normal 2 2 2 2 2 30 3 8" xfId="12756" xr:uid="{00000000-0005-0000-0000-0000D4310000}"/>
    <cellStyle name="Normal 2 2 2 2 2 30 3 9" xfId="12757" xr:uid="{00000000-0005-0000-0000-0000D5310000}"/>
    <cellStyle name="Normal 2 2 2 2 2 30 4" xfId="12758" xr:uid="{00000000-0005-0000-0000-0000D6310000}"/>
    <cellStyle name="Normal 2 2 2 2 2 30 4 10" xfId="12759" xr:uid="{00000000-0005-0000-0000-0000D7310000}"/>
    <cellStyle name="Normal 2 2 2 2 2 30 4 2" xfId="12760" xr:uid="{00000000-0005-0000-0000-0000D8310000}"/>
    <cellStyle name="Normal 2 2 2 2 2 30 4 3" xfId="12761" xr:uid="{00000000-0005-0000-0000-0000D9310000}"/>
    <cellStyle name="Normal 2 2 2 2 2 30 4 4" xfId="12762" xr:uid="{00000000-0005-0000-0000-0000DA310000}"/>
    <cellStyle name="Normal 2 2 2 2 2 30 4 5" xfId="12763" xr:uid="{00000000-0005-0000-0000-0000DB310000}"/>
    <cellStyle name="Normal 2 2 2 2 2 30 4 6" xfId="12764" xr:uid="{00000000-0005-0000-0000-0000DC310000}"/>
    <cellStyle name="Normal 2 2 2 2 2 30 4 7" xfId="12765" xr:uid="{00000000-0005-0000-0000-0000DD310000}"/>
    <cellStyle name="Normal 2 2 2 2 2 30 4 8" xfId="12766" xr:uid="{00000000-0005-0000-0000-0000DE310000}"/>
    <cellStyle name="Normal 2 2 2 2 2 30 4 9" xfId="12767" xr:uid="{00000000-0005-0000-0000-0000DF310000}"/>
    <cellStyle name="Normal 2 2 2 2 2 30 5" xfId="12768" xr:uid="{00000000-0005-0000-0000-0000E0310000}"/>
    <cellStyle name="Normal 2 2 2 2 2 30 5 10" xfId="12769" xr:uid="{00000000-0005-0000-0000-0000E1310000}"/>
    <cellStyle name="Normal 2 2 2 2 2 30 5 2" xfId="12770" xr:uid="{00000000-0005-0000-0000-0000E2310000}"/>
    <cellStyle name="Normal 2 2 2 2 2 30 5 3" xfId="12771" xr:uid="{00000000-0005-0000-0000-0000E3310000}"/>
    <cellStyle name="Normal 2 2 2 2 2 30 5 4" xfId="12772" xr:uid="{00000000-0005-0000-0000-0000E4310000}"/>
    <cellStyle name="Normal 2 2 2 2 2 30 5 5" xfId="12773" xr:uid="{00000000-0005-0000-0000-0000E5310000}"/>
    <cellStyle name="Normal 2 2 2 2 2 30 5 6" xfId="12774" xr:uid="{00000000-0005-0000-0000-0000E6310000}"/>
    <cellStyle name="Normal 2 2 2 2 2 30 5 7" xfId="12775" xr:uid="{00000000-0005-0000-0000-0000E7310000}"/>
    <cellStyle name="Normal 2 2 2 2 2 30 5 8" xfId="12776" xr:uid="{00000000-0005-0000-0000-0000E8310000}"/>
    <cellStyle name="Normal 2 2 2 2 2 30 5 9" xfId="12777" xr:uid="{00000000-0005-0000-0000-0000E9310000}"/>
    <cellStyle name="Normal 2 2 2 2 2 30 6" xfId="12778" xr:uid="{00000000-0005-0000-0000-0000EA310000}"/>
    <cellStyle name="Normal 2 2 2 2 2 30 7" xfId="12779" xr:uid="{00000000-0005-0000-0000-0000EB310000}"/>
    <cellStyle name="Normal 2 2 2 2 2 30 8" xfId="12780" xr:uid="{00000000-0005-0000-0000-0000EC310000}"/>
    <cellStyle name="Normal 2 2 2 2 2 30 9" xfId="12781" xr:uid="{00000000-0005-0000-0000-0000ED310000}"/>
    <cellStyle name="Normal 2 2 2 2 2 31" xfId="12782" xr:uid="{00000000-0005-0000-0000-0000EE310000}"/>
    <cellStyle name="Normal 2 2 2 2 2 31 10" xfId="12783" xr:uid="{00000000-0005-0000-0000-0000EF310000}"/>
    <cellStyle name="Normal 2 2 2 2 2 31 11" xfId="12784" xr:uid="{00000000-0005-0000-0000-0000F0310000}"/>
    <cellStyle name="Normal 2 2 2 2 2 31 12" xfId="12785" xr:uid="{00000000-0005-0000-0000-0000F1310000}"/>
    <cellStyle name="Normal 2 2 2 2 2 31 13" xfId="12786" xr:uid="{00000000-0005-0000-0000-0000F2310000}"/>
    <cellStyle name="Normal 2 2 2 2 2 31 14" xfId="12787" xr:uid="{00000000-0005-0000-0000-0000F3310000}"/>
    <cellStyle name="Normal 2 2 2 2 2 31 2" xfId="12788" xr:uid="{00000000-0005-0000-0000-0000F4310000}"/>
    <cellStyle name="Normal 2 2 2 2 2 31 2 10" xfId="12789" xr:uid="{00000000-0005-0000-0000-0000F5310000}"/>
    <cellStyle name="Normal 2 2 2 2 2 31 2 2" xfId="12790" xr:uid="{00000000-0005-0000-0000-0000F6310000}"/>
    <cellStyle name="Normal 2 2 2 2 2 31 2 3" xfId="12791" xr:uid="{00000000-0005-0000-0000-0000F7310000}"/>
    <cellStyle name="Normal 2 2 2 2 2 31 2 4" xfId="12792" xr:uid="{00000000-0005-0000-0000-0000F8310000}"/>
    <cellStyle name="Normal 2 2 2 2 2 31 2 5" xfId="12793" xr:uid="{00000000-0005-0000-0000-0000F9310000}"/>
    <cellStyle name="Normal 2 2 2 2 2 31 2 6" xfId="12794" xr:uid="{00000000-0005-0000-0000-0000FA310000}"/>
    <cellStyle name="Normal 2 2 2 2 2 31 2 7" xfId="12795" xr:uid="{00000000-0005-0000-0000-0000FB310000}"/>
    <cellStyle name="Normal 2 2 2 2 2 31 2 8" xfId="12796" xr:uid="{00000000-0005-0000-0000-0000FC310000}"/>
    <cellStyle name="Normal 2 2 2 2 2 31 2 9" xfId="12797" xr:uid="{00000000-0005-0000-0000-0000FD310000}"/>
    <cellStyle name="Normal 2 2 2 2 2 31 3" xfId="12798" xr:uid="{00000000-0005-0000-0000-0000FE310000}"/>
    <cellStyle name="Normal 2 2 2 2 2 31 3 10" xfId="12799" xr:uid="{00000000-0005-0000-0000-0000FF310000}"/>
    <cellStyle name="Normal 2 2 2 2 2 31 3 2" xfId="12800" xr:uid="{00000000-0005-0000-0000-000000320000}"/>
    <cellStyle name="Normal 2 2 2 2 2 31 3 3" xfId="12801" xr:uid="{00000000-0005-0000-0000-000001320000}"/>
    <cellStyle name="Normal 2 2 2 2 2 31 3 4" xfId="12802" xr:uid="{00000000-0005-0000-0000-000002320000}"/>
    <cellStyle name="Normal 2 2 2 2 2 31 3 5" xfId="12803" xr:uid="{00000000-0005-0000-0000-000003320000}"/>
    <cellStyle name="Normal 2 2 2 2 2 31 3 6" xfId="12804" xr:uid="{00000000-0005-0000-0000-000004320000}"/>
    <cellStyle name="Normal 2 2 2 2 2 31 3 7" xfId="12805" xr:uid="{00000000-0005-0000-0000-000005320000}"/>
    <cellStyle name="Normal 2 2 2 2 2 31 3 8" xfId="12806" xr:uid="{00000000-0005-0000-0000-000006320000}"/>
    <cellStyle name="Normal 2 2 2 2 2 31 3 9" xfId="12807" xr:uid="{00000000-0005-0000-0000-000007320000}"/>
    <cellStyle name="Normal 2 2 2 2 2 31 4" xfId="12808" xr:uid="{00000000-0005-0000-0000-000008320000}"/>
    <cellStyle name="Normal 2 2 2 2 2 31 4 10" xfId="12809" xr:uid="{00000000-0005-0000-0000-000009320000}"/>
    <cellStyle name="Normal 2 2 2 2 2 31 4 2" xfId="12810" xr:uid="{00000000-0005-0000-0000-00000A320000}"/>
    <cellStyle name="Normal 2 2 2 2 2 31 4 3" xfId="12811" xr:uid="{00000000-0005-0000-0000-00000B320000}"/>
    <cellStyle name="Normal 2 2 2 2 2 31 4 4" xfId="12812" xr:uid="{00000000-0005-0000-0000-00000C320000}"/>
    <cellStyle name="Normal 2 2 2 2 2 31 4 5" xfId="12813" xr:uid="{00000000-0005-0000-0000-00000D320000}"/>
    <cellStyle name="Normal 2 2 2 2 2 31 4 6" xfId="12814" xr:uid="{00000000-0005-0000-0000-00000E320000}"/>
    <cellStyle name="Normal 2 2 2 2 2 31 4 7" xfId="12815" xr:uid="{00000000-0005-0000-0000-00000F320000}"/>
    <cellStyle name="Normal 2 2 2 2 2 31 4 8" xfId="12816" xr:uid="{00000000-0005-0000-0000-000010320000}"/>
    <cellStyle name="Normal 2 2 2 2 2 31 4 9" xfId="12817" xr:uid="{00000000-0005-0000-0000-000011320000}"/>
    <cellStyle name="Normal 2 2 2 2 2 31 5" xfId="12818" xr:uid="{00000000-0005-0000-0000-000012320000}"/>
    <cellStyle name="Normal 2 2 2 2 2 31 5 10" xfId="12819" xr:uid="{00000000-0005-0000-0000-000013320000}"/>
    <cellStyle name="Normal 2 2 2 2 2 31 5 2" xfId="12820" xr:uid="{00000000-0005-0000-0000-000014320000}"/>
    <cellStyle name="Normal 2 2 2 2 2 31 5 3" xfId="12821" xr:uid="{00000000-0005-0000-0000-000015320000}"/>
    <cellStyle name="Normal 2 2 2 2 2 31 5 4" xfId="12822" xr:uid="{00000000-0005-0000-0000-000016320000}"/>
    <cellStyle name="Normal 2 2 2 2 2 31 5 5" xfId="12823" xr:uid="{00000000-0005-0000-0000-000017320000}"/>
    <cellStyle name="Normal 2 2 2 2 2 31 5 6" xfId="12824" xr:uid="{00000000-0005-0000-0000-000018320000}"/>
    <cellStyle name="Normal 2 2 2 2 2 31 5 7" xfId="12825" xr:uid="{00000000-0005-0000-0000-000019320000}"/>
    <cellStyle name="Normal 2 2 2 2 2 31 5 8" xfId="12826" xr:uid="{00000000-0005-0000-0000-00001A320000}"/>
    <cellStyle name="Normal 2 2 2 2 2 31 5 9" xfId="12827" xr:uid="{00000000-0005-0000-0000-00001B320000}"/>
    <cellStyle name="Normal 2 2 2 2 2 31 6" xfId="12828" xr:uid="{00000000-0005-0000-0000-00001C320000}"/>
    <cellStyle name="Normal 2 2 2 2 2 31 7" xfId="12829" xr:uid="{00000000-0005-0000-0000-00001D320000}"/>
    <cellStyle name="Normal 2 2 2 2 2 31 8" xfId="12830" xr:uid="{00000000-0005-0000-0000-00001E320000}"/>
    <cellStyle name="Normal 2 2 2 2 2 31 9" xfId="12831" xr:uid="{00000000-0005-0000-0000-00001F320000}"/>
    <cellStyle name="Normal 2 2 2 2 2 32" xfId="12832" xr:uid="{00000000-0005-0000-0000-000020320000}"/>
    <cellStyle name="Normal 2 2 2 2 2 32 10" xfId="12833" xr:uid="{00000000-0005-0000-0000-000021320000}"/>
    <cellStyle name="Normal 2 2 2 2 2 32 11" xfId="12834" xr:uid="{00000000-0005-0000-0000-000022320000}"/>
    <cellStyle name="Normal 2 2 2 2 2 32 12" xfId="12835" xr:uid="{00000000-0005-0000-0000-000023320000}"/>
    <cellStyle name="Normal 2 2 2 2 2 32 13" xfId="12836" xr:uid="{00000000-0005-0000-0000-000024320000}"/>
    <cellStyle name="Normal 2 2 2 2 2 32 14" xfId="12837" xr:uid="{00000000-0005-0000-0000-000025320000}"/>
    <cellStyle name="Normal 2 2 2 2 2 32 2" xfId="12838" xr:uid="{00000000-0005-0000-0000-000026320000}"/>
    <cellStyle name="Normal 2 2 2 2 2 32 2 10" xfId="12839" xr:uid="{00000000-0005-0000-0000-000027320000}"/>
    <cellStyle name="Normal 2 2 2 2 2 32 2 2" xfId="12840" xr:uid="{00000000-0005-0000-0000-000028320000}"/>
    <cellStyle name="Normal 2 2 2 2 2 32 2 3" xfId="12841" xr:uid="{00000000-0005-0000-0000-000029320000}"/>
    <cellStyle name="Normal 2 2 2 2 2 32 2 4" xfId="12842" xr:uid="{00000000-0005-0000-0000-00002A320000}"/>
    <cellStyle name="Normal 2 2 2 2 2 32 2 5" xfId="12843" xr:uid="{00000000-0005-0000-0000-00002B320000}"/>
    <cellStyle name="Normal 2 2 2 2 2 32 2 6" xfId="12844" xr:uid="{00000000-0005-0000-0000-00002C320000}"/>
    <cellStyle name="Normal 2 2 2 2 2 32 2 7" xfId="12845" xr:uid="{00000000-0005-0000-0000-00002D320000}"/>
    <cellStyle name="Normal 2 2 2 2 2 32 2 8" xfId="12846" xr:uid="{00000000-0005-0000-0000-00002E320000}"/>
    <cellStyle name="Normal 2 2 2 2 2 32 2 9" xfId="12847" xr:uid="{00000000-0005-0000-0000-00002F320000}"/>
    <cellStyle name="Normal 2 2 2 2 2 32 3" xfId="12848" xr:uid="{00000000-0005-0000-0000-000030320000}"/>
    <cellStyle name="Normal 2 2 2 2 2 32 3 10" xfId="12849" xr:uid="{00000000-0005-0000-0000-000031320000}"/>
    <cellStyle name="Normal 2 2 2 2 2 32 3 2" xfId="12850" xr:uid="{00000000-0005-0000-0000-000032320000}"/>
    <cellStyle name="Normal 2 2 2 2 2 32 3 3" xfId="12851" xr:uid="{00000000-0005-0000-0000-000033320000}"/>
    <cellStyle name="Normal 2 2 2 2 2 32 3 4" xfId="12852" xr:uid="{00000000-0005-0000-0000-000034320000}"/>
    <cellStyle name="Normal 2 2 2 2 2 32 3 5" xfId="12853" xr:uid="{00000000-0005-0000-0000-000035320000}"/>
    <cellStyle name="Normal 2 2 2 2 2 32 3 6" xfId="12854" xr:uid="{00000000-0005-0000-0000-000036320000}"/>
    <cellStyle name="Normal 2 2 2 2 2 32 3 7" xfId="12855" xr:uid="{00000000-0005-0000-0000-000037320000}"/>
    <cellStyle name="Normal 2 2 2 2 2 32 3 8" xfId="12856" xr:uid="{00000000-0005-0000-0000-000038320000}"/>
    <cellStyle name="Normal 2 2 2 2 2 32 3 9" xfId="12857" xr:uid="{00000000-0005-0000-0000-000039320000}"/>
    <cellStyle name="Normal 2 2 2 2 2 32 4" xfId="12858" xr:uid="{00000000-0005-0000-0000-00003A320000}"/>
    <cellStyle name="Normal 2 2 2 2 2 32 4 10" xfId="12859" xr:uid="{00000000-0005-0000-0000-00003B320000}"/>
    <cellStyle name="Normal 2 2 2 2 2 32 4 2" xfId="12860" xr:uid="{00000000-0005-0000-0000-00003C320000}"/>
    <cellStyle name="Normal 2 2 2 2 2 32 4 3" xfId="12861" xr:uid="{00000000-0005-0000-0000-00003D320000}"/>
    <cellStyle name="Normal 2 2 2 2 2 32 4 4" xfId="12862" xr:uid="{00000000-0005-0000-0000-00003E320000}"/>
    <cellStyle name="Normal 2 2 2 2 2 32 4 5" xfId="12863" xr:uid="{00000000-0005-0000-0000-00003F320000}"/>
    <cellStyle name="Normal 2 2 2 2 2 32 4 6" xfId="12864" xr:uid="{00000000-0005-0000-0000-000040320000}"/>
    <cellStyle name="Normal 2 2 2 2 2 32 4 7" xfId="12865" xr:uid="{00000000-0005-0000-0000-000041320000}"/>
    <cellStyle name="Normal 2 2 2 2 2 32 4 8" xfId="12866" xr:uid="{00000000-0005-0000-0000-000042320000}"/>
    <cellStyle name="Normal 2 2 2 2 2 32 4 9" xfId="12867" xr:uid="{00000000-0005-0000-0000-000043320000}"/>
    <cellStyle name="Normal 2 2 2 2 2 32 5" xfId="12868" xr:uid="{00000000-0005-0000-0000-000044320000}"/>
    <cellStyle name="Normal 2 2 2 2 2 32 5 10" xfId="12869" xr:uid="{00000000-0005-0000-0000-000045320000}"/>
    <cellStyle name="Normal 2 2 2 2 2 32 5 2" xfId="12870" xr:uid="{00000000-0005-0000-0000-000046320000}"/>
    <cellStyle name="Normal 2 2 2 2 2 32 5 3" xfId="12871" xr:uid="{00000000-0005-0000-0000-000047320000}"/>
    <cellStyle name="Normal 2 2 2 2 2 32 5 4" xfId="12872" xr:uid="{00000000-0005-0000-0000-000048320000}"/>
    <cellStyle name="Normal 2 2 2 2 2 32 5 5" xfId="12873" xr:uid="{00000000-0005-0000-0000-000049320000}"/>
    <cellStyle name="Normal 2 2 2 2 2 32 5 6" xfId="12874" xr:uid="{00000000-0005-0000-0000-00004A320000}"/>
    <cellStyle name="Normal 2 2 2 2 2 32 5 7" xfId="12875" xr:uid="{00000000-0005-0000-0000-00004B320000}"/>
    <cellStyle name="Normal 2 2 2 2 2 32 5 8" xfId="12876" xr:uid="{00000000-0005-0000-0000-00004C320000}"/>
    <cellStyle name="Normal 2 2 2 2 2 32 5 9" xfId="12877" xr:uid="{00000000-0005-0000-0000-00004D320000}"/>
    <cellStyle name="Normal 2 2 2 2 2 32 6" xfId="12878" xr:uid="{00000000-0005-0000-0000-00004E320000}"/>
    <cellStyle name="Normal 2 2 2 2 2 32 7" xfId="12879" xr:uid="{00000000-0005-0000-0000-00004F320000}"/>
    <cellStyle name="Normal 2 2 2 2 2 32 8" xfId="12880" xr:uid="{00000000-0005-0000-0000-000050320000}"/>
    <cellStyle name="Normal 2 2 2 2 2 32 9" xfId="12881" xr:uid="{00000000-0005-0000-0000-000051320000}"/>
    <cellStyle name="Normal 2 2 2 2 2 33" xfId="12882" xr:uid="{00000000-0005-0000-0000-000052320000}"/>
    <cellStyle name="Normal 2 2 2 2 2 33 10" xfId="12883" xr:uid="{00000000-0005-0000-0000-000053320000}"/>
    <cellStyle name="Normal 2 2 2 2 2 33 11" xfId="12884" xr:uid="{00000000-0005-0000-0000-000054320000}"/>
    <cellStyle name="Normal 2 2 2 2 2 33 12" xfId="12885" xr:uid="{00000000-0005-0000-0000-000055320000}"/>
    <cellStyle name="Normal 2 2 2 2 2 33 13" xfId="12886" xr:uid="{00000000-0005-0000-0000-000056320000}"/>
    <cellStyle name="Normal 2 2 2 2 2 33 14" xfId="12887" xr:uid="{00000000-0005-0000-0000-000057320000}"/>
    <cellStyle name="Normal 2 2 2 2 2 33 2" xfId="12888" xr:uid="{00000000-0005-0000-0000-000058320000}"/>
    <cellStyle name="Normal 2 2 2 2 2 33 2 10" xfId="12889" xr:uid="{00000000-0005-0000-0000-000059320000}"/>
    <cellStyle name="Normal 2 2 2 2 2 33 2 2" xfId="12890" xr:uid="{00000000-0005-0000-0000-00005A320000}"/>
    <cellStyle name="Normal 2 2 2 2 2 33 2 3" xfId="12891" xr:uid="{00000000-0005-0000-0000-00005B320000}"/>
    <cellStyle name="Normal 2 2 2 2 2 33 2 4" xfId="12892" xr:uid="{00000000-0005-0000-0000-00005C320000}"/>
    <cellStyle name="Normal 2 2 2 2 2 33 2 5" xfId="12893" xr:uid="{00000000-0005-0000-0000-00005D320000}"/>
    <cellStyle name="Normal 2 2 2 2 2 33 2 6" xfId="12894" xr:uid="{00000000-0005-0000-0000-00005E320000}"/>
    <cellStyle name="Normal 2 2 2 2 2 33 2 7" xfId="12895" xr:uid="{00000000-0005-0000-0000-00005F320000}"/>
    <cellStyle name="Normal 2 2 2 2 2 33 2 8" xfId="12896" xr:uid="{00000000-0005-0000-0000-000060320000}"/>
    <cellStyle name="Normal 2 2 2 2 2 33 2 9" xfId="12897" xr:uid="{00000000-0005-0000-0000-000061320000}"/>
    <cellStyle name="Normal 2 2 2 2 2 33 3" xfId="12898" xr:uid="{00000000-0005-0000-0000-000062320000}"/>
    <cellStyle name="Normal 2 2 2 2 2 33 3 10" xfId="12899" xr:uid="{00000000-0005-0000-0000-000063320000}"/>
    <cellStyle name="Normal 2 2 2 2 2 33 3 2" xfId="12900" xr:uid="{00000000-0005-0000-0000-000064320000}"/>
    <cellStyle name="Normal 2 2 2 2 2 33 3 3" xfId="12901" xr:uid="{00000000-0005-0000-0000-000065320000}"/>
    <cellStyle name="Normal 2 2 2 2 2 33 3 4" xfId="12902" xr:uid="{00000000-0005-0000-0000-000066320000}"/>
    <cellStyle name="Normal 2 2 2 2 2 33 3 5" xfId="12903" xr:uid="{00000000-0005-0000-0000-000067320000}"/>
    <cellStyle name="Normal 2 2 2 2 2 33 3 6" xfId="12904" xr:uid="{00000000-0005-0000-0000-000068320000}"/>
    <cellStyle name="Normal 2 2 2 2 2 33 3 7" xfId="12905" xr:uid="{00000000-0005-0000-0000-000069320000}"/>
    <cellStyle name="Normal 2 2 2 2 2 33 3 8" xfId="12906" xr:uid="{00000000-0005-0000-0000-00006A320000}"/>
    <cellStyle name="Normal 2 2 2 2 2 33 3 9" xfId="12907" xr:uid="{00000000-0005-0000-0000-00006B320000}"/>
    <cellStyle name="Normal 2 2 2 2 2 33 4" xfId="12908" xr:uid="{00000000-0005-0000-0000-00006C320000}"/>
    <cellStyle name="Normal 2 2 2 2 2 33 4 10" xfId="12909" xr:uid="{00000000-0005-0000-0000-00006D320000}"/>
    <cellStyle name="Normal 2 2 2 2 2 33 4 2" xfId="12910" xr:uid="{00000000-0005-0000-0000-00006E320000}"/>
    <cellStyle name="Normal 2 2 2 2 2 33 4 3" xfId="12911" xr:uid="{00000000-0005-0000-0000-00006F320000}"/>
    <cellStyle name="Normal 2 2 2 2 2 33 4 4" xfId="12912" xr:uid="{00000000-0005-0000-0000-000070320000}"/>
    <cellStyle name="Normal 2 2 2 2 2 33 4 5" xfId="12913" xr:uid="{00000000-0005-0000-0000-000071320000}"/>
    <cellStyle name="Normal 2 2 2 2 2 33 4 6" xfId="12914" xr:uid="{00000000-0005-0000-0000-000072320000}"/>
    <cellStyle name="Normal 2 2 2 2 2 33 4 7" xfId="12915" xr:uid="{00000000-0005-0000-0000-000073320000}"/>
    <cellStyle name="Normal 2 2 2 2 2 33 4 8" xfId="12916" xr:uid="{00000000-0005-0000-0000-000074320000}"/>
    <cellStyle name="Normal 2 2 2 2 2 33 4 9" xfId="12917" xr:uid="{00000000-0005-0000-0000-000075320000}"/>
    <cellStyle name="Normal 2 2 2 2 2 33 5" xfId="12918" xr:uid="{00000000-0005-0000-0000-000076320000}"/>
    <cellStyle name="Normal 2 2 2 2 2 33 5 10" xfId="12919" xr:uid="{00000000-0005-0000-0000-000077320000}"/>
    <cellStyle name="Normal 2 2 2 2 2 33 5 2" xfId="12920" xr:uid="{00000000-0005-0000-0000-000078320000}"/>
    <cellStyle name="Normal 2 2 2 2 2 33 5 3" xfId="12921" xr:uid="{00000000-0005-0000-0000-000079320000}"/>
    <cellStyle name="Normal 2 2 2 2 2 33 5 4" xfId="12922" xr:uid="{00000000-0005-0000-0000-00007A320000}"/>
    <cellStyle name="Normal 2 2 2 2 2 33 5 5" xfId="12923" xr:uid="{00000000-0005-0000-0000-00007B320000}"/>
    <cellStyle name="Normal 2 2 2 2 2 33 5 6" xfId="12924" xr:uid="{00000000-0005-0000-0000-00007C320000}"/>
    <cellStyle name="Normal 2 2 2 2 2 33 5 7" xfId="12925" xr:uid="{00000000-0005-0000-0000-00007D320000}"/>
    <cellStyle name="Normal 2 2 2 2 2 33 5 8" xfId="12926" xr:uid="{00000000-0005-0000-0000-00007E320000}"/>
    <cellStyle name="Normal 2 2 2 2 2 33 5 9" xfId="12927" xr:uid="{00000000-0005-0000-0000-00007F320000}"/>
    <cellStyle name="Normal 2 2 2 2 2 33 6" xfId="12928" xr:uid="{00000000-0005-0000-0000-000080320000}"/>
    <cellStyle name="Normal 2 2 2 2 2 33 7" xfId="12929" xr:uid="{00000000-0005-0000-0000-000081320000}"/>
    <cellStyle name="Normal 2 2 2 2 2 33 8" xfId="12930" xr:uid="{00000000-0005-0000-0000-000082320000}"/>
    <cellStyle name="Normal 2 2 2 2 2 33 9" xfId="12931" xr:uid="{00000000-0005-0000-0000-000083320000}"/>
    <cellStyle name="Normal 2 2 2 2 2 34" xfId="12932" xr:uid="{00000000-0005-0000-0000-000084320000}"/>
    <cellStyle name="Normal 2 2 2 2 2 34 10" xfId="12933" xr:uid="{00000000-0005-0000-0000-000085320000}"/>
    <cellStyle name="Normal 2 2 2 2 2 34 11" xfId="12934" xr:uid="{00000000-0005-0000-0000-000086320000}"/>
    <cellStyle name="Normal 2 2 2 2 2 34 12" xfId="12935" xr:uid="{00000000-0005-0000-0000-000087320000}"/>
    <cellStyle name="Normal 2 2 2 2 2 34 13" xfId="12936" xr:uid="{00000000-0005-0000-0000-000088320000}"/>
    <cellStyle name="Normal 2 2 2 2 2 34 14" xfId="12937" xr:uid="{00000000-0005-0000-0000-000089320000}"/>
    <cellStyle name="Normal 2 2 2 2 2 34 2" xfId="12938" xr:uid="{00000000-0005-0000-0000-00008A320000}"/>
    <cellStyle name="Normal 2 2 2 2 2 34 2 10" xfId="12939" xr:uid="{00000000-0005-0000-0000-00008B320000}"/>
    <cellStyle name="Normal 2 2 2 2 2 34 2 2" xfId="12940" xr:uid="{00000000-0005-0000-0000-00008C320000}"/>
    <cellStyle name="Normal 2 2 2 2 2 34 2 3" xfId="12941" xr:uid="{00000000-0005-0000-0000-00008D320000}"/>
    <cellStyle name="Normal 2 2 2 2 2 34 2 4" xfId="12942" xr:uid="{00000000-0005-0000-0000-00008E320000}"/>
    <cellStyle name="Normal 2 2 2 2 2 34 2 5" xfId="12943" xr:uid="{00000000-0005-0000-0000-00008F320000}"/>
    <cellStyle name="Normal 2 2 2 2 2 34 2 6" xfId="12944" xr:uid="{00000000-0005-0000-0000-000090320000}"/>
    <cellStyle name="Normal 2 2 2 2 2 34 2 7" xfId="12945" xr:uid="{00000000-0005-0000-0000-000091320000}"/>
    <cellStyle name="Normal 2 2 2 2 2 34 2 8" xfId="12946" xr:uid="{00000000-0005-0000-0000-000092320000}"/>
    <cellStyle name="Normal 2 2 2 2 2 34 2 9" xfId="12947" xr:uid="{00000000-0005-0000-0000-000093320000}"/>
    <cellStyle name="Normal 2 2 2 2 2 34 3" xfId="12948" xr:uid="{00000000-0005-0000-0000-000094320000}"/>
    <cellStyle name="Normal 2 2 2 2 2 34 3 10" xfId="12949" xr:uid="{00000000-0005-0000-0000-000095320000}"/>
    <cellStyle name="Normal 2 2 2 2 2 34 3 2" xfId="12950" xr:uid="{00000000-0005-0000-0000-000096320000}"/>
    <cellStyle name="Normal 2 2 2 2 2 34 3 3" xfId="12951" xr:uid="{00000000-0005-0000-0000-000097320000}"/>
    <cellStyle name="Normal 2 2 2 2 2 34 3 4" xfId="12952" xr:uid="{00000000-0005-0000-0000-000098320000}"/>
    <cellStyle name="Normal 2 2 2 2 2 34 3 5" xfId="12953" xr:uid="{00000000-0005-0000-0000-000099320000}"/>
    <cellStyle name="Normal 2 2 2 2 2 34 3 6" xfId="12954" xr:uid="{00000000-0005-0000-0000-00009A320000}"/>
    <cellStyle name="Normal 2 2 2 2 2 34 3 7" xfId="12955" xr:uid="{00000000-0005-0000-0000-00009B320000}"/>
    <cellStyle name="Normal 2 2 2 2 2 34 3 8" xfId="12956" xr:uid="{00000000-0005-0000-0000-00009C320000}"/>
    <cellStyle name="Normal 2 2 2 2 2 34 3 9" xfId="12957" xr:uid="{00000000-0005-0000-0000-00009D320000}"/>
    <cellStyle name="Normal 2 2 2 2 2 34 4" xfId="12958" xr:uid="{00000000-0005-0000-0000-00009E320000}"/>
    <cellStyle name="Normal 2 2 2 2 2 34 4 10" xfId="12959" xr:uid="{00000000-0005-0000-0000-00009F320000}"/>
    <cellStyle name="Normal 2 2 2 2 2 34 4 2" xfId="12960" xr:uid="{00000000-0005-0000-0000-0000A0320000}"/>
    <cellStyle name="Normal 2 2 2 2 2 34 4 3" xfId="12961" xr:uid="{00000000-0005-0000-0000-0000A1320000}"/>
    <cellStyle name="Normal 2 2 2 2 2 34 4 4" xfId="12962" xr:uid="{00000000-0005-0000-0000-0000A2320000}"/>
    <cellStyle name="Normal 2 2 2 2 2 34 4 5" xfId="12963" xr:uid="{00000000-0005-0000-0000-0000A3320000}"/>
    <cellStyle name="Normal 2 2 2 2 2 34 4 6" xfId="12964" xr:uid="{00000000-0005-0000-0000-0000A4320000}"/>
    <cellStyle name="Normal 2 2 2 2 2 34 4 7" xfId="12965" xr:uid="{00000000-0005-0000-0000-0000A5320000}"/>
    <cellStyle name="Normal 2 2 2 2 2 34 4 8" xfId="12966" xr:uid="{00000000-0005-0000-0000-0000A6320000}"/>
    <cellStyle name="Normal 2 2 2 2 2 34 4 9" xfId="12967" xr:uid="{00000000-0005-0000-0000-0000A7320000}"/>
    <cellStyle name="Normal 2 2 2 2 2 34 5" xfId="12968" xr:uid="{00000000-0005-0000-0000-0000A8320000}"/>
    <cellStyle name="Normal 2 2 2 2 2 34 5 10" xfId="12969" xr:uid="{00000000-0005-0000-0000-0000A9320000}"/>
    <cellStyle name="Normal 2 2 2 2 2 34 5 2" xfId="12970" xr:uid="{00000000-0005-0000-0000-0000AA320000}"/>
    <cellStyle name="Normal 2 2 2 2 2 34 5 3" xfId="12971" xr:uid="{00000000-0005-0000-0000-0000AB320000}"/>
    <cellStyle name="Normal 2 2 2 2 2 34 5 4" xfId="12972" xr:uid="{00000000-0005-0000-0000-0000AC320000}"/>
    <cellStyle name="Normal 2 2 2 2 2 34 5 5" xfId="12973" xr:uid="{00000000-0005-0000-0000-0000AD320000}"/>
    <cellStyle name="Normal 2 2 2 2 2 34 5 6" xfId="12974" xr:uid="{00000000-0005-0000-0000-0000AE320000}"/>
    <cellStyle name="Normal 2 2 2 2 2 34 5 7" xfId="12975" xr:uid="{00000000-0005-0000-0000-0000AF320000}"/>
    <cellStyle name="Normal 2 2 2 2 2 34 5 8" xfId="12976" xr:uid="{00000000-0005-0000-0000-0000B0320000}"/>
    <cellStyle name="Normal 2 2 2 2 2 34 5 9" xfId="12977" xr:uid="{00000000-0005-0000-0000-0000B1320000}"/>
    <cellStyle name="Normal 2 2 2 2 2 34 6" xfId="12978" xr:uid="{00000000-0005-0000-0000-0000B2320000}"/>
    <cellStyle name="Normal 2 2 2 2 2 34 7" xfId="12979" xr:uid="{00000000-0005-0000-0000-0000B3320000}"/>
    <cellStyle name="Normal 2 2 2 2 2 34 8" xfId="12980" xr:uid="{00000000-0005-0000-0000-0000B4320000}"/>
    <cellStyle name="Normal 2 2 2 2 2 34 9" xfId="12981" xr:uid="{00000000-0005-0000-0000-0000B5320000}"/>
    <cellStyle name="Normal 2 2 2 2 2 35" xfId="12982" xr:uid="{00000000-0005-0000-0000-0000B6320000}"/>
    <cellStyle name="Normal 2 2 2 2 2 35 10" xfId="12983" xr:uid="{00000000-0005-0000-0000-0000B7320000}"/>
    <cellStyle name="Normal 2 2 2 2 2 35 2" xfId="12984" xr:uid="{00000000-0005-0000-0000-0000B8320000}"/>
    <cellStyle name="Normal 2 2 2 2 2 35 3" xfId="12985" xr:uid="{00000000-0005-0000-0000-0000B9320000}"/>
    <cellStyle name="Normal 2 2 2 2 2 35 4" xfId="12986" xr:uid="{00000000-0005-0000-0000-0000BA320000}"/>
    <cellStyle name="Normal 2 2 2 2 2 35 5" xfId="12987" xr:uid="{00000000-0005-0000-0000-0000BB320000}"/>
    <cellStyle name="Normal 2 2 2 2 2 35 6" xfId="12988" xr:uid="{00000000-0005-0000-0000-0000BC320000}"/>
    <cellStyle name="Normal 2 2 2 2 2 35 7" xfId="12989" xr:uid="{00000000-0005-0000-0000-0000BD320000}"/>
    <cellStyle name="Normal 2 2 2 2 2 35 8" xfId="12990" xr:uid="{00000000-0005-0000-0000-0000BE320000}"/>
    <cellStyle name="Normal 2 2 2 2 2 35 9" xfId="12991" xr:uid="{00000000-0005-0000-0000-0000BF320000}"/>
    <cellStyle name="Normal 2 2 2 2 2 36" xfId="12992" xr:uid="{00000000-0005-0000-0000-0000C0320000}"/>
    <cellStyle name="Normal 2 2 2 2 2 36 10" xfId="12993" xr:uid="{00000000-0005-0000-0000-0000C1320000}"/>
    <cellStyle name="Normal 2 2 2 2 2 36 2" xfId="12994" xr:uid="{00000000-0005-0000-0000-0000C2320000}"/>
    <cellStyle name="Normal 2 2 2 2 2 36 3" xfId="12995" xr:uid="{00000000-0005-0000-0000-0000C3320000}"/>
    <cellStyle name="Normal 2 2 2 2 2 36 4" xfId="12996" xr:uid="{00000000-0005-0000-0000-0000C4320000}"/>
    <cellStyle name="Normal 2 2 2 2 2 36 5" xfId="12997" xr:uid="{00000000-0005-0000-0000-0000C5320000}"/>
    <cellStyle name="Normal 2 2 2 2 2 36 6" xfId="12998" xr:uid="{00000000-0005-0000-0000-0000C6320000}"/>
    <cellStyle name="Normal 2 2 2 2 2 36 7" xfId="12999" xr:uid="{00000000-0005-0000-0000-0000C7320000}"/>
    <cellStyle name="Normal 2 2 2 2 2 36 8" xfId="13000" xr:uid="{00000000-0005-0000-0000-0000C8320000}"/>
    <cellStyle name="Normal 2 2 2 2 2 36 9" xfId="13001" xr:uid="{00000000-0005-0000-0000-0000C9320000}"/>
    <cellStyle name="Normal 2 2 2 2 2 37" xfId="13002" xr:uid="{00000000-0005-0000-0000-0000CA320000}"/>
    <cellStyle name="Normal 2 2 2 2 2 37 10" xfId="13003" xr:uid="{00000000-0005-0000-0000-0000CB320000}"/>
    <cellStyle name="Normal 2 2 2 2 2 37 2" xfId="13004" xr:uid="{00000000-0005-0000-0000-0000CC320000}"/>
    <cellStyle name="Normal 2 2 2 2 2 37 3" xfId="13005" xr:uid="{00000000-0005-0000-0000-0000CD320000}"/>
    <cellStyle name="Normal 2 2 2 2 2 37 4" xfId="13006" xr:uid="{00000000-0005-0000-0000-0000CE320000}"/>
    <cellStyle name="Normal 2 2 2 2 2 37 5" xfId="13007" xr:uid="{00000000-0005-0000-0000-0000CF320000}"/>
    <cellStyle name="Normal 2 2 2 2 2 37 6" xfId="13008" xr:uid="{00000000-0005-0000-0000-0000D0320000}"/>
    <cellStyle name="Normal 2 2 2 2 2 37 7" xfId="13009" xr:uid="{00000000-0005-0000-0000-0000D1320000}"/>
    <cellStyle name="Normal 2 2 2 2 2 37 8" xfId="13010" xr:uid="{00000000-0005-0000-0000-0000D2320000}"/>
    <cellStyle name="Normal 2 2 2 2 2 37 9" xfId="13011" xr:uid="{00000000-0005-0000-0000-0000D3320000}"/>
    <cellStyle name="Normal 2 2 2 2 2 38" xfId="13012" xr:uid="{00000000-0005-0000-0000-0000D4320000}"/>
    <cellStyle name="Normal 2 2 2 2 2 38 10" xfId="13013" xr:uid="{00000000-0005-0000-0000-0000D5320000}"/>
    <cellStyle name="Normal 2 2 2 2 2 38 2" xfId="13014" xr:uid="{00000000-0005-0000-0000-0000D6320000}"/>
    <cellStyle name="Normal 2 2 2 2 2 38 3" xfId="13015" xr:uid="{00000000-0005-0000-0000-0000D7320000}"/>
    <cellStyle name="Normal 2 2 2 2 2 38 4" xfId="13016" xr:uid="{00000000-0005-0000-0000-0000D8320000}"/>
    <cellStyle name="Normal 2 2 2 2 2 38 5" xfId="13017" xr:uid="{00000000-0005-0000-0000-0000D9320000}"/>
    <cellStyle name="Normal 2 2 2 2 2 38 6" xfId="13018" xr:uid="{00000000-0005-0000-0000-0000DA320000}"/>
    <cellStyle name="Normal 2 2 2 2 2 38 7" xfId="13019" xr:uid="{00000000-0005-0000-0000-0000DB320000}"/>
    <cellStyle name="Normal 2 2 2 2 2 38 8" xfId="13020" xr:uid="{00000000-0005-0000-0000-0000DC320000}"/>
    <cellStyle name="Normal 2 2 2 2 2 38 9" xfId="13021" xr:uid="{00000000-0005-0000-0000-0000DD320000}"/>
    <cellStyle name="Normal 2 2 2 2 2 39" xfId="13022" xr:uid="{00000000-0005-0000-0000-0000DE320000}"/>
    <cellStyle name="Normal 2 2 2 2 2 4" xfId="13023" xr:uid="{00000000-0005-0000-0000-0000DF320000}"/>
    <cellStyle name="Normal 2 2 2 2 2 4 10" xfId="13024" xr:uid="{00000000-0005-0000-0000-0000E0320000}"/>
    <cellStyle name="Normal 2 2 2 2 2 4 11" xfId="13025" xr:uid="{00000000-0005-0000-0000-0000E1320000}"/>
    <cellStyle name="Normal 2 2 2 2 2 4 12" xfId="13026" xr:uid="{00000000-0005-0000-0000-0000E2320000}"/>
    <cellStyle name="Normal 2 2 2 2 2 4 13" xfId="13027" xr:uid="{00000000-0005-0000-0000-0000E3320000}"/>
    <cellStyle name="Normal 2 2 2 2 2 4 14" xfId="13028" xr:uid="{00000000-0005-0000-0000-0000E4320000}"/>
    <cellStyle name="Normal 2 2 2 2 2 4 15" xfId="13029" xr:uid="{00000000-0005-0000-0000-0000E5320000}"/>
    <cellStyle name="Normal 2 2 2 2 2 4 16" xfId="13030" xr:uid="{00000000-0005-0000-0000-0000E6320000}"/>
    <cellStyle name="Normal 2 2 2 2 2 4 2" xfId="13031" xr:uid="{00000000-0005-0000-0000-0000E7320000}"/>
    <cellStyle name="Normal 2 2 2 2 2 4 2 10" xfId="13032" xr:uid="{00000000-0005-0000-0000-0000E8320000}"/>
    <cellStyle name="Normal 2 2 2 2 2 4 2 2" xfId="13033" xr:uid="{00000000-0005-0000-0000-0000E9320000}"/>
    <cellStyle name="Normal 2 2 2 2 2 4 2 3" xfId="13034" xr:uid="{00000000-0005-0000-0000-0000EA320000}"/>
    <cellStyle name="Normal 2 2 2 2 2 4 2 4" xfId="13035" xr:uid="{00000000-0005-0000-0000-0000EB320000}"/>
    <cellStyle name="Normal 2 2 2 2 2 4 2 5" xfId="13036" xr:uid="{00000000-0005-0000-0000-0000EC320000}"/>
    <cellStyle name="Normal 2 2 2 2 2 4 2 6" xfId="13037" xr:uid="{00000000-0005-0000-0000-0000ED320000}"/>
    <cellStyle name="Normal 2 2 2 2 2 4 2 7" xfId="13038" xr:uid="{00000000-0005-0000-0000-0000EE320000}"/>
    <cellStyle name="Normal 2 2 2 2 2 4 2 8" xfId="13039" xr:uid="{00000000-0005-0000-0000-0000EF320000}"/>
    <cellStyle name="Normal 2 2 2 2 2 4 2 9" xfId="13040" xr:uid="{00000000-0005-0000-0000-0000F0320000}"/>
    <cellStyle name="Normal 2 2 2 2 2 4 3" xfId="13041" xr:uid="{00000000-0005-0000-0000-0000F1320000}"/>
    <cellStyle name="Normal 2 2 2 2 2 4 3 10" xfId="13042" xr:uid="{00000000-0005-0000-0000-0000F2320000}"/>
    <cellStyle name="Normal 2 2 2 2 2 4 3 2" xfId="13043" xr:uid="{00000000-0005-0000-0000-0000F3320000}"/>
    <cellStyle name="Normal 2 2 2 2 2 4 3 3" xfId="13044" xr:uid="{00000000-0005-0000-0000-0000F4320000}"/>
    <cellStyle name="Normal 2 2 2 2 2 4 3 4" xfId="13045" xr:uid="{00000000-0005-0000-0000-0000F5320000}"/>
    <cellStyle name="Normal 2 2 2 2 2 4 3 5" xfId="13046" xr:uid="{00000000-0005-0000-0000-0000F6320000}"/>
    <cellStyle name="Normal 2 2 2 2 2 4 3 6" xfId="13047" xr:uid="{00000000-0005-0000-0000-0000F7320000}"/>
    <cellStyle name="Normal 2 2 2 2 2 4 3 7" xfId="13048" xr:uid="{00000000-0005-0000-0000-0000F8320000}"/>
    <cellStyle name="Normal 2 2 2 2 2 4 3 8" xfId="13049" xr:uid="{00000000-0005-0000-0000-0000F9320000}"/>
    <cellStyle name="Normal 2 2 2 2 2 4 3 9" xfId="13050" xr:uid="{00000000-0005-0000-0000-0000FA320000}"/>
    <cellStyle name="Normal 2 2 2 2 2 4 4" xfId="13051" xr:uid="{00000000-0005-0000-0000-0000FB320000}"/>
    <cellStyle name="Normal 2 2 2 2 2 4 4 10" xfId="13052" xr:uid="{00000000-0005-0000-0000-0000FC320000}"/>
    <cellStyle name="Normal 2 2 2 2 2 4 4 2" xfId="13053" xr:uid="{00000000-0005-0000-0000-0000FD320000}"/>
    <cellStyle name="Normal 2 2 2 2 2 4 4 3" xfId="13054" xr:uid="{00000000-0005-0000-0000-0000FE320000}"/>
    <cellStyle name="Normal 2 2 2 2 2 4 4 4" xfId="13055" xr:uid="{00000000-0005-0000-0000-0000FF320000}"/>
    <cellStyle name="Normal 2 2 2 2 2 4 4 5" xfId="13056" xr:uid="{00000000-0005-0000-0000-000000330000}"/>
    <cellStyle name="Normal 2 2 2 2 2 4 4 6" xfId="13057" xr:uid="{00000000-0005-0000-0000-000001330000}"/>
    <cellStyle name="Normal 2 2 2 2 2 4 4 7" xfId="13058" xr:uid="{00000000-0005-0000-0000-000002330000}"/>
    <cellStyle name="Normal 2 2 2 2 2 4 4 8" xfId="13059" xr:uid="{00000000-0005-0000-0000-000003330000}"/>
    <cellStyle name="Normal 2 2 2 2 2 4 4 9" xfId="13060" xr:uid="{00000000-0005-0000-0000-000004330000}"/>
    <cellStyle name="Normal 2 2 2 2 2 4 5" xfId="13061" xr:uid="{00000000-0005-0000-0000-000005330000}"/>
    <cellStyle name="Normal 2 2 2 2 2 4 5 10" xfId="13062" xr:uid="{00000000-0005-0000-0000-000006330000}"/>
    <cellStyle name="Normal 2 2 2 2 2 4 5 2" xfId="13063" xr:uid="{00000000-0005-0000-0000-000007330000}"/>
    <cellStyle name="Normal 2 2 2 2 2 4 5 3" xfId="13064" xr:uid="{00000000-0005-0000-0000-000008330000}"/>
    <cellStyle name="Normal 2 2 2 2 2 4 5 4" xfId="13065" xr:uid="{00000000-0005-0000-0000-000009330000}"/>
    <cellStyle name="Normal 2 2 2 2 2 4 5 5" xfId="13066" xr:uid="{00000000-0005-0000-0000-00000A330000}"/>
    <cellStyle name="Normal 2 2 2 2 2 4 5 6" xfId="13067" xr:uid="{00000000-0005-0000-0000-00000B330000}"/>
    <cellStyle name="Normal 2 2 2 2 2 4 5 7" xfId="13068" xr:uid="{00000000-0005-0000-0000-00000C330000}"/>
    <cellStyle name="Normal 2 2 2 2 2 4 5 8" xfId="13069" xr:uid="{00000000-0005-0000-0000-00000D330000}"/>
    <cellStyle name="Normal 2 2 2 2 2 4 5 9" xfId="13070" xr:uid="{00000000-0005-0000-0000-00000E330000}"/>
    <cellStyle name="Normal 2 2 2 2 2 4 6" xfId="13071" xr:uid="{00000000-0005-0000-0000-00000F330000}"/>
    <cellStyle name="Normal 2 2 2 2 2 4 7" xfId="13072" xr:uid="{00000000-0005-0000-0000-000010330000}"/>
    <cellStyle name="Normal 2 2 2 2 2 4 8" xfId="13073" xr:uid="{00000000-0005-0000-0000-000011330000}"/>
    <cellStyle name="Normal 2 2 2 2 2 4 9" xfId="13074" xr:uid="{00000000-0005-0000-0000-000012330000}"/>
    <cellStyle name="Normal 2 2 2 2 2 40" xfId="13075" xr:uid="{00000000-0005-0000-0000-000013330000}"/>
    <cellStyle name="Normal 2 2 2 2 2 41" xfId="13076" xr:uid="{00000000-0005-0000-0000-000014330000}"/>
    <cellStyle name="Normal 2 2 2 2 2 42" xfId="13077" xr:uid="{00000000-0005-0000-0000-000015330000}"/>
    <cellStyle name="Normal 2 2 2 2 2 43" xfId="13078" xr:uid="{00000000-0005-0000-0000-000016330000}"/>
    <cellStyle name="Normal 2 2 2 2 2 44" xfId="13079" xr:uid="{00000000-0005-0000-0000-000017330000}"/>
    <cellStyle name="Normal 2 2 2 2 2 45" xfId="13080" xr:uid="{00000000-0005-0000-0000-000018330000}"/>
    <cellStyle name="Normal 2 2 2 2 2 46" xfId="13081" xr:uid="{00000000-0005-0000-0000-000019330000}"/>
    <cellStyle name="Normal 2 2 2 2 2 47" xfId="13082" xr:uid="{00000000-0005-0000-0000-00001A330000}"/>
    <cellStyle name="Normal 2 2 2 2 2 48" xfId="13083" xr:uid="{00000000-0005-0000-0000-00001B330000}"/>
    <cellStyle name="Normal 2 2 2 2 2 49" xfId="13084" xr:uid="{00000000-0005-0000-0000-00001C330000}"/>
    <cellStyle name="Normal 2 2 2 2 2 5" xfId="13085" xr:uid="{00000000-0005-0000-0000-00001D330000}"/>
    <cellStyle name="Normal 2 2 2 2 2 5 10" xfId="13086" xr:uid="{00000000-0005-0000-0000-00001E330000}"/>
    <cellStyle name="Normal 2 2 2 2 2 5 11" xfId="13087" xr:uid="{00000000-0005-0000-0000-00001F330000}"/>
    <cellStyle name="Normal 2 2 2 2 2 5 12" xfId="13088" xr:uid="{00000000-0005-0000-0000-000020330000}"/>
    <cellStyle name="Normal 2 2 2 2 2 5 13" xfId="13089" xr:uid="{00000000-0005-0000-0000-000021330000}"/>
    <cellStyle name="Normal 2 2 2 2 2 5 14" xfId="13090" xr:uid="{00000000-0005-0000-0000-000022330000}"/>
    <cellStyle name="Normal 2 2 2 2 2 5 2" xfId="13091" xr:uid="{00000000-0005-0000-0000-000023330000}"/>
    <cellStyle name="Normal 2 2 2 2 2 5 2 10" xfId="13092" xr:uid="{00000000-0005-0000-0000-000024330000}"/>
    <cellStyle name="Normal 2 2 2 2 2 5 2 2" xfId="13093" xr:uid="{00000000-0005-0000-0000-000025330000}"/>
    <cellStyle name="Normal 2 2 2 2 2 5 2 3" xfId="13094" xr:uid="{00000000-0005-0000-0000-000026330000}"/>
    <cellStyle name="Normal 2 2 2 2 2 5 2 4" xfId="13095" xr:uid="{00000000-0005-0000-0000-000027330000}"/>
    <cellStyle name="Normal 2 2 2 2 2 5 2 5" xfId="13096" xr:uid="{00000000-0005-0000-0000-000028330000}"/>
    <cellStyle name="Normal 2 2 2 2 2 5 2 6" xfId="13097" xr:uid="{00000000-0005-0000-0000-000029330000}"/>
    <cellStyle name="Normal 2 2 2 2 2 5 2 7" xfId="13098" xr:uid="{00000000-0005-0000-0000-00002A330000}"/>
    <cellStyle name="Normal 2 2 2 2 2 5 2 8" xfId="13099" xr:uid="{00000000-0005-0000-0000-00002B330000}"/>
    <cellStyle name="Normal 2 2 2 2 2 5 2 9" xfId="13100" xr:uid="{00000000-0005-0000-0000-00002C330000}"/>
    <cellStyle name="Normal 2 2 2 2 2 5 3" xfId="13101" xr:uid="{00000000-0005-0000-0000-00002D330000}"/>
    <cellStyle name="Normal 2 2 2 2 2 5 3 10" xfId="13102" xr:uid="{00000000-0005-0000-0000-00002E330000}"/>
    <cellStyle name="Normal 2 2 2 2 2 5 3 2" xfId="13103" xr:uid="{00000000-0005-0000-0000-00002F330000}"/>
    <cellStyle name="Normal 2 2 2 2 2 5 3 3" xfId="13104" xr:uid="{00000000-0005-0000-0000-000030330000}"/>
    <cellStyle name="Normal 2 2 2 2 2 5 3 4" xfId="13105" xr:uid="{00000000-0005-0000-0000-000031330000}"/>
    <cellStyle name="Normal 2 2 2 2 2 5 3 5" xfId="13106" xr:uid="{00000000-0005-0000-0000-000032330000}"/>
    <cellStyle name="Normal 2 2 2 2 2 5 3 6" xfId="13107" xr:uid="{00000000-0005-0000-0000-000033330000}"/>
    <cellStyle name="Normal 2 2 2 2 2 5 3 7" xfId="13108" xr:uid="{00000000-0005-0000-0000-000034330000}"/>
    <cellStyle name="Normal 2 2 2 2 2 5 3 8" xfId="13109" xr:uid="{00000000-0005-0000-0000-000035330000}"/>
    <cellStyle name="Normal 2 2 2 2 2 5 3 9" xfId="13110" xr:uid="{00000000-0005-0000-0000-000036330000}"/>
    <cellStyle name="Normal 2 2 2 2 2 5 4" xfId="13111" xr:uid="{00000000-0005-0000-0000-000037330000}"/>
    <cellStyle name="Normal 2 2 2 2 2 5 4 10" xfId="13112" xr:uid="{00000000-0005-0000-0000-000038330000}"/>
    <cellStyle name="Normal 2 2 2 2 2 5 4 2" xfId="13113" xr:uid="{00000000-0005-0000-0000-000039330000}"/>
    <cellStyle name="Normal 2 2 2 2 2 5 4 3" xfId="13114" xr:uid="{00000000-0005-0000-0000-00003A330000}"/>
    <cellStyle name="Normal 2 2 2 2 2 5 4 4" xfId="13115" xr:uid="{00000000-0005-0000-0000-00003B330000}"/>
    <cellStyle name="Normal 2 2 2 2 2 5 4 5" xfId="13116" xr:uid="{00000000-0005-0000-0000-00003C330000}"/>
    <cellStyle name="Normal 2 2 2 2 2 5 4 6" xfId="13117" xr:uid="{00000000-0005-0000-0000-00003D330000}"/>
    <cellStyle name="Normal 2 2 2 2 2 5 4 7" xfId="13118" xr:uid="{00000000-0005-0000-0000-00003E330000}"/>
    <cellStyle name="Normal 2 2 2 2 2 5 4 8" xfId="13119" xr:uid="{00000000-0005-0000-0000-00003F330000}"/>
    <cellStyle name="Normal 2 2 2 2 2 5 4 9" xfId="13120" xr:uid="{00000000-0005-0000-0000-000040330000}"/>
    <cellStyle name="Normal 2 2 2 2 2 5 5" xfId="13121" xr:uid="{00000000-0005-0000-0000-000041330000}"/>
    <cellStyle name="Normal 2 2 2 2 2 5 5 10" xfId="13122" xr:uid="{00000000-0005-0000-0000-000042330000}"/>
    <cellStyle name="Normal 2 2 2 2 2 5 5 2" xfId="13123" xr:uid="{00000000-0005-0000-0000-000043330000}"/>
    <cellStyle name="Normal 2 2 2 2 2 5 5 3" xfId="13124" xr:uid="{00000000-0005-0000-0000-000044330000}"/>
    <cellStyle name="Normal 2 2 2 2 2 5 5 4" xfId="13125" xr:uid="{00000000-0005-0000-0000-000045330000}"/>
    <cellStyle name="Normal 2 2 2 2 2 5 5 5" xfId="13126" xr:uid="{00000000-0005-0000-0000-000046330000}"/>
    <cellStyle name="Normal 2 2 2 2 2 5 5 6" xfId="13127" xr:uid="{00000000-0005-0000-0000-000047330000}"/>
    <cellStyle name="Normal 2 2 2 2 2 5 5 7" xfId="13128" xr:uid="{00000000-0005-0000-0000-000048330000}"/>
    <cellStyle name="Normal 2 2 2 2 2 5 5 8" xfId="13129" xr:uid="{00000000-0005-0000-0000-000049330000}"/>
    <cellStyle name="Normal 2 2 2 2 2 5 5 9" xfId="13130" xr:uid="{00000000-0005-0000-0000-00004A330000}"/>
    <cellStyle name="Normal 2 2 2 2 2 5 6" xfId="13131" xr:uid="{00000000-0005-0000-0000-00004B330000}"/>
    <cellStyle name="Normal 2 2 2 2 2 5 7" xfId="13132" xr:uid="{00000000-0005-0000-0000-00004C330000}"/>
    <cellStyle name="Normal 2 2 2 2 2 5 8" xfId="13133" xr:uid="{00000000-0005-0000-0000-00004D330000}"/>
    <cellStyle name="Normal 2 2 2 2 2 5 9" xfId="13134" xr:uid="{00000000-0005-0000-0000-00004E330000}"/>
    <cellStyle name="Normal 2 2 2 2 2 6" xfId="13135" xr:uid="{00000000-0005-0000-0000-00004F330000}"/>
    <cellStyle name="Normal 2 2 2 2 2 6 10" xfId="13136" xr:uid="{00000000-0005-0000-0000-000050330000}"/>
    <cellStyle name="Normal 2 2 2 2 2 6 11" xfId="13137" xr:uid="{00000000-0005-0000-0000-000051330000}"/>
    <cellStyle name="Normal 2 2 2 2 2 6 12" xfId="13138" xr:uid="{00000000-0005-0000-0000-000052330000}"/>
    <cellStyle name="Normal 2 2 2 2 2 6 13" xfId="13139" xr:uid="{00000000-0005-0000-0000-000053330000}"/>
    <cellStyle name="Normal 2 2 2 2 2 6 14" xfId="13140" xr:uid="{00000000-0005-0000-0000-000054330000}"/>
    <cellStyle name="Normal 2 2 2 2 2 6 2" xfId="13141" xr:uid="{00000000-0005-0000-0000-000055330000}"/>
    <cellStyle name="Normal 2 2 2 2 2 6 2 10" xfId="13142" xr:uid="{00000000-0005-0000-0000-000056330000}"/>
    <cellStyle name="Normal 2 2 2 2 2 6 2 2" xfId="13143" xr:uid="{00000000-0005-0000-0000-000057330000}"/>
    <cellStyle name="Normal 2 2 2 2 2 6 2 3" xfId="13144" xr:uid="{00000000-0005-0000-0000-000058330000}"/>
    <cellStyle name="Normal 2 2 2 2 2 6 2 4" xfId="13145" xr:uid="{00000000-0005-0000-0000-000059330000}"/>
    <cellStyle name="Normal 2 2 2 2 2 6 2 5" xfId="13146" xr:uid="{00000000-0005-0000-0000-00005A330000}"/>
    <cellStyle name="Normal 2 2 2 2 2 6 2 6" xfId="13147" xr:uid="{00000000-0005-0000-0000-00005B330000}"/>
    <cellStyle name="Normal 2 2 2 2 2 6 2 7" xfId="13148" xr:uid="{00000000-0005-0000-0000-00005C330000}"/>
    <cellStyle name="Normal 2 2 2 2 2 6 2 8" xfId="13149" xr:uid="{00000000-0005-0000-0000-00005D330000}"/>
    <cellStyle name="Normal 2 2 2 2 2 6 2 9" xfId="13150" xr:uid="{00000000-0005-0000-0000-00005E330000}"/>
    <cellStyle name="Normal 2 2 2 2 2 6 3" xfId="13151" xr:uid="{00000000-0005-0000-0000-00005F330000}"/>
    <cellStyle name="Normal 2 2 2 2 2 6 3 10" xfId="13152" xr:uid="{00000000-0005-0000-0000-000060330000}"/>
    <cellStyle name="Normal 2 2 2 2 2 6 3 2" xfId="13153" xr:uid="{00000000-0005-0000-0000-000061330000}"/>
    <cellStyle name="Normal 2 2 2 2 2 6 3 3" xfId="13154" xr:uid="{00000000-0005-0000-0000-000062330000}"/>
    <cellStyle name="Normal 2 2 2 2 2 6 3 4" xfId="13155" xr:uid="{00000000-0005-0000-0000-000063330000}"/>
    <cellStyle name="Normal 2 2 2 2 2 6 3 5" xfId="13156" xr:uid="{00000000-0005-0000-0000-000064330000}"/>
    <cellStyle name="Normal 2 2 2 2 2 6 3 6" xfId="13157" xr:uid="{00000000-0005-0000-0000-000065330000}"/>
    <cellStyle name="Normal 2 2 2 2 2 6 3 7" xfId="13158" xr:uid="{00000000-0005-0000-0000-000066330000}"/>
    <cellStyle name="Normal 2 2 2 2 2 6 3 8" xfId="13159" xr:uid="{00000000-0005-0000-0000-000067330000}"/>
    <cellStyle name="Normal 2 2 2 2 2 6 3 9" xfId="13160" xr:uid="{00000000-0005-0000-0000-000068330000}"/>
    <cellStyle name="Normal 2 2 2 2 2 6 4" xfId="13161" xr:uid="{00000000-0005-0000-0000-000069330000}"/>
    <cellStyle name="Normal 2 2 2 2 2 6 4 10" xfId="13162" xr:uid="{00000000-0005-0000-0000-00006A330000}"/>
    <cellStyle name="Normal 2 2 2 2 2 6 4 2" xfId="13163" xr:uid="{00000000-0005-0000-0000-00006B330000}"/>
    <cellStyle name="Normal 2 2 2 2 2 6 4 3" xfId="13164" xr:uid="{00000000-0005-0000-0000-00006C330000}"/>
    <cellStyle name="Normal 2 2 2 2 2 6 4 4" xfId="13165" xr:uid="{00000000-0005-0000-0000-00006D330000}"/>
    <cellStyle name="Normal 2 2 2 2 2 6 4 5" xfId="13166" xr:uid="{00000000-0005-0000-0000-00006E330000}"/>
    <cellStyle name="Normal 2 2 2 2 2 6 4 6" xfId="13167" xr:uid="{00000000-0005-0000-0000-00006F330000}"/>
    <cellStyle name="Normal 2 2 2 2 2 6 4 7" xfId="13168" xr:uid="{00000000-0005-0000-0000-000070330000}"/>
    <cellStyle name="Normal 2 2 2 2 2 6 4 8" xfId="13169" xr:uid="{00000000-0005-0000-0000-000071330000}"/>
    <cellStyle name="Normal 2 2 2 2 2 6 4 9" xfId="13170" xr:uid="{00000000-0005-0000-0000-000072330000}"/>
    <cellStyle name="Normal 2 2 2 2 2 6 5" xfId="13171" xr:uid="{00000000-0005-0000-0000-000073330000}"/>
    <cellStyle name="Normal 2 2 2 2 2 6 5 10" xfId="13172" xr:uid="{00000000-0005-0000-0000-000074330000}"/>
    <cellStyle name="Normal 2 2 2 2 2 6 5 2" xfId="13173" xr:uid="{00000000-0005-0000-0000-000075330000}"/>
    <cellStyle name="Normal 2 2 2 2 2 6 5 3" xfId="13174" xr:uid="{00000000-0005-0000-0000-000076330000}"/>
    <cellStyle name="Normal 2 2 2 2 2 6 5 4" xfId="13175" xr:uid="{00000000-0005-0000-0000-000077330000}"/>
    <cellStyle name="Normal 2 2 2 2 2 6 5 5" xfId="13176" xr:uid="{00000000-0005-0000-0000-000078330000}"/>
    <cellStyle name="Normal 2 2 2 2 2 6 5 6" xfId="13177" xr:uid="{00000000-0005-0000-0000-000079330000}"/>
    <cellStyle name="Normal 2 2 2 2 2 6 5 7" xfId="13178" xr:uid="{00000000-0005-0000-0000-00007A330000}"/>
    <cellStyle name="Normal 2 2 2 2 2 6 5 8" xfId="13179" xr:uid="{00000000-0005-0000-0000-00007B330000}"/>
    <cellStyle name="Normal 2 2 2 2 2 6 5 9" xfId="13180" xr:uid="{00000000-0005-0000-0000-00007C330000}"/>
    <cellStyle name="Normal 2 2 2 2 2 6 6" xfId="13181" xr:uid="{00000000-0005-0000-0000-00007D330000}"/>
    <cellStyle name="Normal 2 2 2 2 2 6 7" xfId="13182" xr:uid="{00000000-0005-0000-0000-00007E330000}"/>
    <cellStyle name="Normal 2 2 2 2 2 6 8" xfId="13183" xr:uid="{00000000-0005-0000-0000-00007F330000}"/>
    <cellStyle name="Normal 2 2 2 2 2 6 9" xfId="13184" xr:uid="{00000000-0005-0000-0000-000080330000}"/>
    <cellStyle name="Normal 2 2 2 2 2 7" xfId="13185" xr:uid="{00000000-0005-0000-0000-000081330000}"/>
    <cellStyle name="Normal 2 2 2 2 2 7 10" xfId="13186" xr:uid="{00000000-0005-0000-0000-000082330000}"/>
    <cellStyle name="Normal 2 2 2 2 2 7 11" xfId="13187" xr:uid="{00000000-0005-0000-0000-000083330000}"/>
    <cellStyle name="Normal 2 2 2 2 2 7 12" xfId="13188" xr:uid="{00000000-0005-0000-0000-000084330000}"/>
    <cellStyle name="Normal 2 2 2 2 2 7 13" xfId="13189" xr:uid="{00000000-0005-0000-0000-000085330000}"/>
    <cellStyle name="Normal 2 2 2 2 2 7 14" xfId="13190" xr:uid="{00000000-0005-0000-0000-000086330000}"/>
    <cellStyle name="Normal 2 2 2 2 2 7 2" xfId="13191" xr:uid="{00000000-0005-0000-0000-000087330000}"/>
    <cellStyle name="Normal 2 2 2 2 2 7 2 10" xfId="13192" xr:uid="{00000000-0005-0000-0000-000088330000}"/>
    <cellStyle name="Normal 2 2 2 2 2 7 2 2" xfId="13193" xr:uid="{00000000-0005-0000-0000-000089330000}"/>
    <cellStyle name="Normal 2 2 2 2 2 7 2 3" xfId="13194" xr:uid="{00000000-0005-0000-0000-00008A330000}"/>
    <cellStyle name="Normal 2 2 2 2 2 7 2 4" xfId="13195" xr:uid="{00000000-0005-0000-0000-00008B330000}"/>
    <cellStyle name="Normal 2 2 2 2 2 7 2 5" xfId="13196" xr:uid="{00000000-0005-0000-0000-00008C330000}"/>
    <cellStyle name="Normal 2 2 2 2 2 7 2 6" xfId="13197" xr:uid="{00000000-0005-0000-0000-00008D330000}"/>
    <cellStyle name="Normal 2 2 2 2 2 7 2 7" xfId="13198" xr:uid="{00000000-0005-0000-0000-00008E330000}"/>
    <cellStyle name="Normal 2 2 2 2 2 7 2 8" xfId="13199" xr:uid="{00000000-0005-0000-0000-00008F330000}"/>
    <cellStyle name="Normal 2 2 2 2 2 7 2 9" xfId="13200" xr:uid="{00000000-0005-0000-0000-000090330000}"/>
    <cellStyle name="Normal 2 2 2 2 2 7 3" xfId="13201" xr:uid="{00000000-0005-0000-0000-000091330000}"/>
    <cellStyle name="Normal 2 2 2 2 2 7 3 10" xfId="13202" xr:uid="{00000000-0005-0000-0000-000092330000}"/>
    <cellStyle name="Normal 2 2 2 2 2 7 3 2" xfId="13203" xr:uid="{00000000-0005-0000-0000-000093330000}"/>
    <cellStyle name="Normal 2 2 2 2 2 7 3 3" xfId="13204" xr:uid="{00000000-0005-0000-0000-000094330000}"/>
    <cellStyle name="Normal 2 2 2 2 2 7 3 4" xfId="13205" xr:uid="{00000000-0005-0000-0000-000095330000}"/>
    <cellStyle name="Normal 2 2 2 2 2 7 3 5" xfId="13206" xr:uid="{00000000-0005-0000-0000-000096330000}"/>
    <cellStyle name="Normal 2 2 2 2 2 7 3 6" xfId="13207" xr:uid="{00000000-0005-0000-0000-000097330000}"/>
    <cellStyle name="Normal 2 2 2 2 2 7 3 7" xfId="13208" xr:uid="{00000000-0005-0000-0000-000098330000}"/>
    <cellStyle name="Normal 2 2 2 2 2 7 3 8" xfId="13209" xr:uid="{00000000-0005-0000-0000-000099330000}"/>
    <cellStyle name="Normal 2 2 2 2 2 7 3 9" xfId="13210" xr:uid="{00000000-0005-0000-0000-00009A330000}"/>
    <cellStyle name="Normal 2 2 2 2 2 7 4" xfId="13211" xr:uid="{00000000-0005-0000-0000-00009B330000}"/>
    <cellStyle name="Normal 2 2 2 2 2 7 4 10" xfId="13212" xr:uid="{00000000-0005-0000-0000-00009C330000}"/>
    <cellStyle name="Normal 2 2 2 2 2 7 4 2" xfId="13213" xr:uid="{00000000-0005-0000-0000-00009D330000}"/>
    <cellStyle name="Normal 2 2 2 2 2 7 4 3" xfId="13214" xr:uid="{00000000-0005-0000-0000-00009E330000}"/>
    <cellStyle name="Normal 2 2 2 2 2 7 4 4" xfId="13215" xr:uid="{00000000-0005-0000-0000-00009F330000}"/>
    <cellStyle name="Normal 2 2 2 2 2 7 4 5" xfId="13216" xr:uid="{00000000-0005-0000-0000-0000A0330000}"/>
    <cellStyle name="Normal 2 2 2 2 2 7 4 6" xfId="13217" xr:uid="{00000000-0005-0000-0000-0000A1330000}"/>
    <cellStyle name="Normal 2 2 2 2 2 7 4 7" xfId="13218" xr:uid="{00000000-0005-0000-0000-0000A2330000}"/>
    <cellStyle name="Normal 2 2 2 2 2 7 4 8" xfId="13219" xr:uid="{00000000-0005-0000-0000-0000A3330000}"/>
    <cellStyle name="Normal 2 2 2 2 2 7 4 9" xfId="13220" xr:uid="{00000000-0005-0000-0000-0000A4330000}"/>
    <cellStyle name="Normal 2 2 2 2 2 7 5" xfId="13221" xr:uid="{00000000-0005-0000-0000-0000A5330000}"/>
    <cellStyle name="Normal 2 2 2 2 2 7 5 10" xfId="13222" xr:uid="{00000000-0005-0000-0000-0000A6330000}"/>
    <cellStyle name="Normal 2 2 2 2 2 7 5 2" xfId="13223" xr:uid="{00000000-0005-0000-0000-0000A7330000}"/>
    <cellStyle name="Normal 2 2 2 2 2 7 5 3" xfId="13224" xr:uid="{00000000-0005-0000-0000-0000A8330000}"/>
    <cellStyle name="Normal 2 2 2 2 2 7 5 4" xfId="13225" xr:uid="{00000000-0005-0000-0000-0000A9330000}"/>
    <cellStyle name="Normal 2 2 2 2 2 7 5 5" xfId="13226" xr:uid="{00000000-0005-0000-0000-0000AA330000}"/>
    <cellStyle name="Normal 2 2 2 2 2 7 5 6" xfId="13227" xr:uid="{00000000-0005-0000-0000-0000AB330000}"/>
    <cellStyle name="Normal 2 2 2 2 2 7 5 7" xfId="13228" xr:uid="{00000000-0005-0000-0000-0000AC330000}"/>
    <cellStyle name="Normal 2 2 2 2 2 7 5 8" xfId="13229" xr:uid="{00000000-0005-0000-0000-0000AD330000}"/>
    <cellStyle name="Normal 2 2 2 2 2 7 5 9" xfId="13230" xr:uid="{00000000-0005-0000-0000-0000AE330000}"/>
    <cellStyle name="Normal 2 2 2 2 2 7 6" xfId="13231" xr:uid="{00000000-0005-0000-0000-0000AF330000}"/>
    <cellStyle name="Normal 2 2 2 2 2 7 7" xfId="13232" xr:uid="{00000000-0005-0000-0000-0000B0330000}"/>
    <cellStyle name="Normal 2 2 2 2 2 7 8" xfId="13233" xr:uid="{00000000-0005-0000-0000-0000B1330000}"/>
    <cellStyle name="Normal 2 2 2 2 2 7 9" xfId="13234" xr:uid="{00000000-0005-0000-0000-0000B2330000}"/>
    <cellStyle name="Normal 2 2 2 2 2 8" xfId="13235" xr:uid="{00000000-0005-0000-0000-0000B3330000}"/>
    <cellStyle name="Normal 2 2 2 2 2 8 10" xfId="13236" xr:uid="{00000000-0005-0000-0000-0000B4330000}"/>
    <cellStyle name="Normal 2 2 2 2 2 8 11" xfId="13237" xr:uid="{00000000-0005-0000-0000-0000B5330000}"/>
    <cellStyle name="Normal 2 2 2 2 2 8 12" xfId="13238" xr:uid="{00000000-0005-0000-0000-0000B6330000}"/>
    <cellStyle name="Normal 2 2 2 2 2 8 13" xfId="13239" xr:uid="{00000000-0005-0000-0000-0000B7330000}"/>
    <cellStyle name="Normal 2 2 2 2 2 8 14" xfId="13240" xr:uid="{00000000-0005-0000-0000-0000B8330000}"/>
    <cellStyle name="Normal 2 2 2 2 2 8 2" xfId="13241" xr:uid="{00000000-0005-0000-0000-0000B9330000}"/>
    <cellStyle name="Normal 2 2 2 2 2 8 2 10" xfId="13242" xr:uid="{00000000-0005-0000-0000-0000BA330000}"/>
    <cellStyle name="Normal 2 2 2 2 2 8 2 2" xfId="13243" xr:uid="{00000000-0005-0000-0000-0000BB330000}"/>
    <cellStyle name="Normal 2 2 2 2 2 8 2 3" xfId="13244" xr:uid="{00000000-0005-0000-0000-0000BC330000}"/>
    <cellStyle name="Normal 2 2 2 2 2 8 2 4" xfId="13245" xr:uid="{00000000-0005-0000-0000-0000BD330000}"/>
    <cellStyle name="Normal 2 2 2 2 2 8 2 5" xfId="13246" xr:uid="{00000000-0005-0000-0000-0000BE330000}"/>
    <cellStyle name="Normal 2 2 2 2 2 8 2 6" xfId="13247" xr:uid="{00000000-0005-0000-0000-0000BF330000}"/>
    <cellStyle name="Normal 2 2 2 2 2 8 2 7" xfId="13248" xr:uid="{00000000-0005-0000-0000-0000C0330000}"/>
    <cellStyle name="Normal 2 2 2 2 2 8 2 8" xfId="13249" xr:uid="{00000000-0005-0000-0000-0000C1330000}"/>
    <cellStyle name="Normal 2 2 2 2 2 8 2 9" xfId="13250" xr:uid="{00000000-0005-0000-0000-0000C2330000}"/>
    <cellStyle name="Normal 2 2 2 2 2 8 3" xfId="13251" xr:uid="{00000000-0005-0000-0000-0000C3330000}"/>
    <cellStyle name="Normal 2 2 2 2 2 8 3 10" xfId="13252" xr:uid="{00000000-0005-0000-0000-0000C4330000}"/>
    <cellStyle name="Normal 2 2 2 2 2 8 3 2" xfId="13253" xr:uid="{00000000-0005-0000-0000-0000C5330000}"/>
    <cellStyle name="Normal 2 2 2 2 2 8 3 3" xfId="13254" xr:uid="{00000000-0005-0000-0000-0000C6330000}"/>
    <cellStyle name="Normal 2 2 2 2 2 8 3 4" xfId="13255" xr:uid="{00000000-0005-0000-0000-0000C7330000}"/>
    <cellStyle name="Normal 2 2 2 2 2 8 3 5" xfId="13256" xr:uid="{00000000-0005-0000-0000-0000C8330000}"/>
    <cellStyle name="Normal 2 2 2 2 2 8 3 6" xfId="13257" xr:uid="{00000000-0005-0000-0000-0000C9330000}"/>
    <cellStyle name="Normal 2 2 2 2 2 8 3 7" xfId="13258" xr:uid="{00000000-0005-0000-0000-0000CA330000}"/>
    <cellStyle name="Normal 2 2 2 2 2 8 3 8" xfId="13259" xr:uid="{00000000-0005-0000-0000-0000CB330000}"/>
    <cellStyle name="Normal 2 2 2 2 2 8 3 9" xfId="13260" xr:uid="{00000000-0005-0000-0000-0000CC330000}"/>
    <cellStyle name="Normal 2 2 2 2 2 8 4" xfId="13261" xr:uid="{00000000-0005-0000-0000-0000CD330000}"/>
    <cellStyle name="Normal 2 2 2 2 2 8 4 10" xfId="13262" xr:uid="{00000000-0005-0000-0000-0000CE330000}"/>
    <cellStyle name="Normal 2 2 2 2 2 8 4 2" xfId="13263" xr:uid="{00000000-0005-0000-0000-0000CF330000}"/>
    <cellStyle name="Normal 2 2 2 2 2 8 4 3" xfId="13264" xr:uid="{00000000-0005-0000-0000-0000D0330000}"/>
    <cellStyle name="Normal 2 2 2 2 2 8 4 4" xfId="13265" xr:uid="{00000000-0005-0000-0000-0000D1330000}"/>
    <cellStyle name="Normal 2 2 2 2 2 8 4 5" xfId="13266" xr:uid="{00000000-0005-0000-0000-0000D2330000}"/>
    <cellStyle name="Normal 2 2 2 2 2 8 4 6" xfId="13267" xr:uid="{00000000-0005-0000-0000-0000D3330000}"/>
    <cellStyle name="Normal 2 2 2 2 2 8 4 7" xfId="13268" xr:uid="{00000000-0005-0000-0000-0000D4330000}"/>
    <cellStyle name="Normal 2 2 2 2 2 8 4 8" xfId="13269" xr:uid="{00000000-0005-0000-0000-0000D5330000}"/>
    <cellStyle name="Normal 2 2 2 2 2 8 4 9" xfId="13270" xr:uid="{00000000-0005-0000-0000-0000D6330000}"/>
    <cellStyle name="Normal 2 2 2 2 2 8 5" xfId="13271" xr:uid="{00000000-0005-0000-0000-0000D7330000}"/>
    <cellStyle name="Normal 2 2 2 2 2 8 5 10" xfId="13272" xr:uid="{00000000-0005-0000-0000-0000D8330000}"/>
    <cellStyle name="Normal 2 2 2 2 2 8 5 2" xfId="13273" xr:uid="{00000000-0005-0000-0000-0000D9330000}"/>
    <cellStyle name="Normal 2 2 2 2 2 8 5 3" xfId="13274" xr:uid="{00000000-0005-0000-0000-0000DA330000}"/>
    <cellStyle name="Normal 2 2 2 2 2 8 5 4" xfId="13275" xr:uid="{00000000-0005-0000-0000-0000DB330000}"/>
    <cellStyle name="Normal 2 2 2 2 2 8 5 5" xfId="13276" xr:uid="{00000000-0005-0000-0000-0000DC330000}"/>
    <cellStyle name="Normal 2 2 2 2 2 8 5 6" xfId="13277" xr:uid="{00000000-0005-0000-0000-0000DD330000}"/>
    <cellStyle name="Normal 2 2 2 2 2 8 5 7" xfId="13278" xr:uid="{00000000-0005-0000-0000-0000DE330000}"/>
    <cellStyle name="Normal 2 2 2 2 2 8 5 8" xfId="13279" xr:uid="{00000000-0005-0000-0000-0000DF330000}"/>
    <cellStyle name="Normal 2 2 2 2 2 8 5 9" xfId="13280" xr:uid="{00000000-0005-0000-0000-0000E0330000}"/>
    <cellStyle name="Normal 2 2 2 2 2 8 6" xfId="13281" xr:uid="{00000000-0005-0000-0000-0000E1330000}"/>
    <cellStyle name="Normal 2 2 2 2 2 8 7" xfId="13282" xr:uid="{00000000-0005-0000-0000-0000E2330000}"/>
    <cellStyle name="Normal 2 2 2 2 2 8 8" xfId="13283" xr:uid="{00000000-0005-0000-0000-0000E3330000}"/>
    <cellStyle name="Normal 2 2 2 2 2 8 9" xfId="13284" xr:uid="{00000000-0005-0000-0000-0000E4330000}"/>
    <cellStyle name="Normal 2 2 2 2 2 9" xfId="13285" xr:uid="{00000000-0005-0000-0000-0000E5330000}"/>
    <cellStyle name="Normal 2 2 2 2 2 9 10" xfId="13286" xr:uid="{00000000-0005-0000-0000-0000E6330000}"/>
    <cellStyle name="Normal 2 2 2 2 2 9 11" xfId="13287" xr:uid="{00000000-0005-0000-0000-0000E7330000}"/>
    <cellStyle name="Normal 2 2 2 2 2 9 12" xfId="13288" xr:uid="{00000000-0005-0000-0000-0000E8330000}"/>
    <cellStyle name="Normal 2 2 2 2 2 9 13" xfId="13289" xr:uid="{00000000-0005-0000-0000-0000E9330000}"/>
    <cellStyle name="Normal 2 2 2 2 2 9 14" xfId="13290" xr:uid="{00000000-0005-0000-0000-0000EA330000}"/>
    <cellStyle name="Normal 2 2 2 2 2 9 2" xfId="13291" xr:uid="{00000000-0005-0000-0000-0000EB330000}"/>
    <cellStyle name="Normal 2 2 2 2 2 9 2 10" xfId="13292" xr:uid="{00000000-0005-0000-0000-0000EC330000}"/>
    <cellStyle name="Normal 2 2 2 2 2 9 2 2" xfId="13293" xr:uid="{00000000-0005-0000-0000-0000ED330000}"/>
    <cellStyle name="Normal 2 2 2 2 2 9 2 3" xfId="13294" xr:uid="{00000000-0005-0000-0000-0000EE330000}"/>
    <cellStyle name="Normal 2 2 2 2 2 9 2 4" xfId="13295" xr:uid="{00000000-0005-0000-0000-0000EF330000}"/>
    <cellStyle name="Normal 2 2 2 2 2 9 2 5" xfId="13296" xr:uid="{00000000-0005-0000-0000-0000F0330000}"/>
    <cellStyle name="Normal 2 2 2 2 2 9 2 6" xfId="13297" xr:uid="{00000000-0005-0000-0000-0000F1330000}"/>
    <cellStyle name="Normal 2 2 2 2 2 9 2 7" xfId="13298" xr:uid="{00000000-0005-0000-0000-0000F2330000}"/>
    <cellStyle name="Normal 2 2 2 2 2 9 2 8" xfId="13299" xr:uid="{00000000-0005-0000-0000-0000F3330000}"/>
    <cellStyle name="Normal 2 2 2 2 2 9 2 9" xfId="13300" xr:uid="{00000000-0005-0000-0000-0000F4330000}"/>
    <cellStyle name="Normal 2 2 2 2 2 9 3" xfId="13301" xr:uid="{00000000-0005-0000-0000-0000F5330000}"/>
    <cellStyle name="Normal 2 2 2 2 2 9 3 10" xfId="13302" xr:uid="{00000000-0005-0000-0000-0000F6330000}"/>
    <cellStyle name="Normal 2 2 2 2 2 9 3 2" xfId="13303" xr:uid="{00000000-0005-0000-0000-0000F7330000}"/>
    <cellStyle name="Normal 2 2 2 2 2 9 3 3" xfId="13304" xr:uid="{00000000-0005-0000-0000-0000F8330000}"/>
    <cellStyle name="Normal 2 2 2 2 2 9 3 4" xfId="13305" xr:uid="{00000000-0005-0000-0000-0000F9330000}"/>
    <cellStyle name="Normal 2 2 2 2 2 9 3 5" xfId="13306" xr:uid="{00000000-0005-0000-0000-0000FA330000}"/>
    <cellStyle name="Normal 2 2 2 2 2 9 3 6" xfId="13307" xr:uid="{00000000-0005-0000-0000-0000FB330000}"/>
    <cellStyle name="Normal 2 2 2 2 2 9 3 7" xfId="13308" xr:uid="{00000000-0005-0000-0000-0000FC330000}"/>
    <cellStyle name="Normal 2 2 2 2 2 9 3 8" xfId="13309" xr:uid="{00000000-0005-0000-0000-0000FD330000}"/>
    <cellStyle name="Normal 2 2 2 2 2 9 3 9" xfId="13310" xr:uid="{00000000-0005-0000-0000-0000FE330000}"/>
    <cellStyle name="Normal 2 2 2 2 2 9 4" xfId="13311" xr:uid="{00000000-0005-0000-0000-0000FF330000}"/>
    <cellStyle name="Normal 2 2 2 2 2 9 4 10" xfId="13312" xr:uid="{00000000-0005-0000-0000-000000340000}"/>
    <cellStyle name="Normal 2 2 2 2 2 9 4 2" xfId="13313" xr:uid="{00000000-0005-0000-0000-000001340000}"/>
    <cellStyle name="Normal 2 2 2 2 2 9 4 3" xfId="13314" xr:uid="{00000000-0005-0000-0000-000002340000}"/>
    <cellStyle name="Normal 2 2 2 2 2 9 4 4" xfId="13315" xr:uid="{00000000-0005-0000-0000-000003340000}"/>
    <cellStyle name="Normal 2 2 2 2 2 9 4 5" xfId="13316" xr:uid="{00000000-0005-0000-0000-000004340000}"/>
    <cellStyle name="Normal 2 2 2 2 2 9 4 6" xfId="13317" xr:uid="{00000000-0005-0000-0000-000005340000}"/>
    <cellStyle name="Normal 2 2 2 2 2 9 4 7" xfId="13318" xr:uid="{00000000-0005-0000-0000-000006340000}"/>
    <cellStyle name="Normal 2 2 2 2 2 9 4 8" xfId="13319" xr:uid="{00000000-0005-0000-0000-000007340000}"/>
    <cellStyle name="Normal 2 2 2 2 2 9 4 9" xfId="13320" xr:uid="{00000000-0005-0000-0000-000008340000}"/>
    <cellStyle name="Normal 2 2 2 2 2 9 5" xfId="13321" xr:uid="{00000000-0005-0000-0000-000009340000}"/>
    <cellStyle name="Normal 2 2 2 2 2 9 5 10" xfId="13322" xr:uid="{00000000-0005-0000-0000-00000A340000}"/>
    <cellStyle name="Normal 2 2 2 2 2 9 5 2" xfId="13323" xr:uid="{00000000-0005-0000-0000-00000B340000}"/>
    <cellStyle name="Normal 2 2 2 2 2 9 5 3" xfId="13324" xr:uid="{00000000-0005-0000-0000-00000C340000}"/>
    <cellStyle name="Normal 2 2 2 2 2 9 5 4" xfId="13325" xr:uid="{00000000-0005-0000-0000-00000D340000}"/>
    <cellStyle name="Normal 2 2 2 2 2 9 5 5" xfId="13326" xr:uid="{00000000-0005-0000-0000-00000E340000}"/>
    <cellStyle name="Normal 2 2 2 2 2 9 5 6" xfId="13327" xr:uid="{00000000-0005-0000-0000-00000F340000}"/>
    <cellStyle name="Normal 2 2 2 2 2 9 5 7" xfId="13328" xr:uid="{00000000-0005-0000-0000-000010340000}"/>
    <cellStyle name="Normal 2 2 2 2 2 9 5 8" xfId="13329" xr:uid="{00000000-0005-0000-0000-000011340000}"/>
    <cellStyle name="Normal 2 2 2 2 2 9 5 9" xfId="13330" xr:uid="{00000000-0005-0000-0000-000012340000}"/>
    <cellStyle name="Normal 2 2 2 2 2 9 6" xfId="13331" xr:uid="{00000000-0005-0000-0000-000013340000}"/>
    <cellStyle name="Normal 2 2 2 2 2 9 7" xfId="13332" xr:uid="{00000000-0005-0000-0000-000014340000}"/>
    <cellStyle name="Normal 2 2 2 2 2 9 8" xfId="13333" xr:uid="{00000000-0005-0000-0000-000015340000}"/>
    <cellStyle name="Normal 2 2 2 2 2 9 9" xfId="13334" xr:uid="{00000000-0005-0000-0000-000016340000}"/>
    <cellStyle name="Normal 2 2 2 2 20" xfId="13335" xr:uid="{00000000-0005-0000-0000-000017340000}"/>
    <cellStyle name="Normal 2 2 2 2 21" xfId="13336" xr:uid="{00000000-0005-0000-0000-000018340000}"/>
    <cellStyle name="Normal 2 2 2 2 22" xfId="13337" xr:uid="{00000000-0005-0000-0000-000019340000}"/>
    <cellStyle name="Normal 2 2 2 2 23" xfId="13338" xr:uid="{00000000-0005-0000-0000-00001A340000}"/>
    <cellStyle name="Normal 2 2 2 2 24" xfId="13339" xr:uid="{00000000-0005-0000-0000-00001B340000}"/>
    <cellStyle name="Normal 2 2 2 2 25" xfId="13340" xr:uid="{00000000-0005-0000-0000-00001C340000}"/>
    <cellStyle name="Normal 2 2 2 2 26" xfId="13341" xr:uid="{00000000-0005-0000-0000-00001D340000}"/>
    <cellStyle name="Normal 2 2 2 2 27" xfId="13342" xr:uid="{00000000-0005-0000-0000-00001E340000}"/>
    <cellStyle name="Normal 2 2 2 2 28" xfId="13343" xr:uid="{00000000-0005-0000-0000-00001F340000}"/>
    <cellStyle name="Normal 2 2 2 2 29" xfId="13344" xr:uid="{00000000-0005-0000-0000-000020340000}"/>
    <cellStyle name="Normal 2 2 2 2 3" xfId="51" xr:uid="{00000000-0005-0000-0000-000033000000}"/>
    <cellStyle name="Normal 2 2 2 2 3 2" xfId="13346" xr:uid="{00000000-0005-0000-0000-000022340000}"/>
    <cellStyle name="Normal 2 2 2 2 3 2 2" xfId="13347" xr:uid="{00000000-0005-0000-0000-000023340000}"/>
    <cellStyle name="Normal 2 2 2 2 3 3" xfId="13348" xr:uid="{00000000-0005-0000-0000-000024340000}"/>
    <cellStyle name="Normal 2 2 2 2 3 4" xfId="13349" xr:uid="{00000000-0005-0000-0000-000025340000}"/>
    <cellStyle name="Normal 2 2 2 2 3 5" xfId="13350" xr:uid="{00000000-0005-0000-0000-000026340000}"/>
    <cellStyle name="Normal 2 2 2 2 3 6" xfId="13345" xr:uid="{00000000-0005-0000-0000-000021340000}"/>
    <cellStyle name="Normal 2 2 2 2 30" xfId="13351" xr:uid="{00000000-0005-0000-0000-000027340000}"/>
    <cellStyle name="Normal 2 2 2 2 31" xfId="13352" xr:uid="{00000000-0005-0000-0000-000028340000}"/>
    <cellStyle name="Normal 2 2 2 2 32" xfId="13353" xr:uid="{00000000-0005-0000-0000-000029340000}"/>
    <cellStyle name="Normal 2 2 2 2 33" xfId="13354" xr:uid="{00000000-0005-0000-0000-00002A340000}"/>
    <cellStyle name="Normal 2 2 2 2 34" xfId="13355" xr:uid="{00000000-0005-0000-0000-00002B340000}"/>
    <cellStyle name="Normal 2 2 2 2 35" xfId="13356" xr:uid="{00000000-0005-0000-0000-00002C340000}"/>
    <cellStyle name="Normal 2 2 2 2 36" xfId="13357" xr:uid="{00000000-0005-0000-0000-00002D340000}"/>
    <cellStyle name="Normal 2 2 2 2 37" xfId="13358" xr:uid="{00000000-0005-0000-0000-00002E340000}"/>
    <cellStyle name="Normal 2 2 2 2 38" xfId="13359" xr:uid="{00000000-0005-0000-0000-00002F340000}"/>
    <cellStyle name="Normal 2 2 2 2 39" xfId="13360" xr:uid="{00000000-0005-0000-0000-000030340000}"/>
    <cellStyle name="Normal 2 2 2 2 4" xfId="13361" xr:uid="{00000000-0005-0000-0000-000031340000}"/>
    <cellStyle name="Normal 2 2 2 2 4 10" xfId="13362" xr:uid="{00000000-0005-0000-0000-000032340000}"/>
    <cellStyle name="Normal 2 2 2 2 4 10 10" xfId="13363" xr:uid="{00000000-0005-0000-0000-000033340000}"/>
    <cellStyle name="Normal 2 2 2 2 4 10 11" xfId="13364" xr:uid="{00000000-0005-0000-0000-000034340000}"/>
    <cellStyle name="Normal 2 2 2 2 4 10 12" xfId="13365" xr:uid="{00000000-0005-0000-0000-000035340000}"/>
    <cellStyle name="Normal 2 2 2 2 4 10 13" xfId="13366" xr:uid="{00000000-0005-0000-0000-000036340000}"/>
    <cellStyle name="Normal 2 2 2 2 4 10 14" xfId="13367" xr:uid="{00000000-0005-0000-0000-000037340000}"/>
    <cellStyle name="Normal 2 2 2 2 4 10 2" xfId="13368" xr:uid="{00000000-0005-0000-0000-000038340000}"/>
    <cellStyle name="Normal 2 2 2 2 4 10 2 10" xfId="13369" xr:uid="{00000000-0005-0000-0000-000039340000}"/>
    <cellStyle name="Normal 2 2 2 2 4 10 2 2" xfId="13370" xr:uid="{00000000-0005-0000-0000-00003A340000}"/>
    <cellStyle name="Normal 2 2 2 2 4 10 2 3" xfId="13371" xr:uid="{00000000-0005-0000-0000-00003B340000}"/>
    <cellStyle name="Normal 2 2 2 2 4 10 2 4" xfId="13372" xr:uid="{00000000-0005-0000-0000-00003C340000}"/>
    <cellStyle name="Normal 2 2 2 2 4 10 2 5" xfId="13373" xr:uid="{00000000-0005-0000-0000-00003D340000}"/>
    <cellStyle name="Normal 2 2 2 2 4 10 2 6" xfId="13374" xr:uid="{00000000-0005-0000-0000-00003E340000}"/>
    <cellStyle name="Normal 2 2 2 2 4 10 2 7" xfId="13375" xr:uid="{00000000-0005-0000-0000-00003F340000}"/>
    <cellStyle name="Normal 2 2 2 2 4 10 2 8" xfId="13376" xr:uid="{00000000-0005-0000-0000-000040340000}"/>
    <cellStyle name="Normal 2 2 2 2 4 10 2 9" xfId="13377" xr:uid="{00000000-0005-0000-0000-000041340000}"/>
    <cellStyle name="Normal 2 2 2 2 4 10 3" xfId="13378" xr:uid="{00000000-0005-0000-0000-000042340000}"/>
    <cellStyle name="Normal 2 2 2 2 4 10 3 10" xfId="13379" xr:uid="{00000000-0005-0000-0000-000043340000}"/>
    <cellStyle name="Normal 2 2 2 2 4 10 3 2" xfId="13380" xr:uid="{00000000-0005-0000-0000-000044340000}"/>
    <cellStyle name="Normal 2 2 2 2 4 10 3 3" xfId="13381" xr:uid="{00000000-0005-0000-0000-000045340000}"/>
    <cellStyle name="Normal 2 2 2 2 4 10 3 4" xfId="13382" xr:uid="{00000000-0005-0000-0000-000046340000}"/>
    <cellStyle name="Normal 2 2 2 2 4 10 3 5" xfId="13383" xr:uid="{00000000-0005-0000-0000-000047340000}"/>
    <cellStyle name="Normal 2 2 2 2 4 10 3 6" xfId="13384" xr:uid="{00000000-0005-0000-0000-000048340000}"/>
    <cellStyle name="Normal 2 2 2 2 4 10 3 7" xfId="13385" xr:uid="{00000000-0005-0000-0000-000049340000}"/>
    <cellStyle name="Normal 2 2 2 2 4 10 3 8" xfId="13386" xr:uid="{00000000-0005-0000-0000-00004A340000}"/>
    <cellStyle name="Normal 2 2 2 2 4 10 3 9" xfId="13387" xr:uid="{00000000-0005-0000-0000-00004B340000}"/>
    <cellStyle name="Normal 2 2 2 2 4 10 4" xfId="13388" xr:uid="{00000000-0005-0000-0000-00004C340000}"/>
    <cellStyle name="Normal 2 2 2 2 4 10 4 10" xfId="13389" xr:uid="{00000000-0005-0000-0000-00004D340000}"/>
    <cellStyle name="Normal 2 2 2 2 4 10 4 2" xfId="13390" xr:uid="{00000000-0005-0000-0000-00004E340000}"/>
    <cellStyle name="Normal 2 2 2 2 4 10 4 3" xfId="13391" xr:uid="{00000000-0005-0000-0000-00004F340000}"/>
    <cellStyle name="Normal 2 2 2 2 4 10 4 4" xfId="13392" xr:uid="{00000000-0005-0000-0000-000050340000}"/>
    <cellStyle name="Normal 2 2 2 2 4 10 4 5" xfId="13393" xr:uid="{00000000-0005-0000-0000-000051340000}"/>
    <cellStyle name="Normal 2 2 2 2 4 10 4 6" xfId="13394" xr:uid="{00000000-0005-0000-0000-000052340000}"/>
    <cellStyle name="Normal 2 2 2 2 4 10 4 7" xfId="13395" xr:uid="{00000000-0005-0000-0000-000053340000}"/>
    <cellStyle name="Normal 2 2 2 2 4 10 4 8" xfId="13396" xr:uid="{00000000-0005-0000-0000-000054340000}"/>
    <cellStyle name="Normal 2 2 2 2 4 10 4 9" xfId="13397" xr:uid="{00000000-0005-0000-0000-000055340000}"/>
    <cellStyle name="Normal 2 2 2 2 4 10 5" xfId="13398" xr:uid="{00000000-0005-0000-0000-000056340000}"/>
    <cellStyle name="Normal 2 2 2 2 4 10 5 10" xfId="13399" xr:uid="{00000000-0005-0000-0000-000057340000}"/>
    <cellStyle name="Normal 2 2 2 2 4 10 5 2" xfId="13400" xr:uid="{00000000-0005-0000-0000-000058340000}"/>
    <cellStyle name="Normal 2 2 2 2 4 10 5 3" xfId="13401" xr:uid="{00000000-0005-0000-0000-000059340000}"/>
    <cellStyle name="Normal 2 2 2 2 4 10 5 4" xfId="13402" xr:uid="{00000000-0005-0000-0000-00005A340000}"/>
    <cellStyle name="Normal 2 2 2 2 4 10 5 5" xfId="13403" xr:uid="{00000000-0005-0000-0000-00005B340000}"/>
    <cellStyle name="Normal 2 2 2 2 4 10 5 6" xfId="13404" xr:uid="{00000000-0005-0000-0000-00005C340000}"/>
    <cellStyle name="Normal 2 2 2 2 4 10 5 7" xfId="13405" xr:uid="{00000000-0005-0000-0000-00005D340000}"/>
    <cellStyle name="Normal 2 2 2 2 4 10 5 8" xfId="13406" xr:uid="{00000000-0005-0000-0000-00005E340000}"/>
    <cellStyle name="Normal 2 2 2 2 4 10 5 9" xfId="13407" xr:uid="{00000000-0005-0000-0000-00005F340000}"/>
    <cellStyle name="Normal 2 2 2 2 4 10 6" xfId="13408" xr:uid="{00000000-0005-0000-0000-000060340000}"/>
    <cellStyle name="Normal 2 2 2 2 4 10 7" xfId="13409" xr:uid="{00000000-0005-0000-0000-000061340000}"/>
    <cellStyle name="Normal 2 2 2 2 4 10 8" xfId="13410" xr:uid="{00000000-0005-0000-0000-000062340000}"/>
    <cellStyle name="Normal 2 2 2 2 4 10 9" xfId="13411" xr:uid="{00000000-0005-0000-0000-000063340000}"/>
    <cellStyle name="Normal 2 2 2 2 4 11" xfId="13412" xr:uid="{00000000-0005-0000-0000-000064340000}"/>
    <cellStyle name="Normal 2 2 2 2 4 11 10" xfId="13413" xr:uid="{00000000-0005-0000-0000-000065340000}"/>
    <cellStyle name="Normal 2 2 2 2 4 11 11" xfId="13414" xr:uid="{00000000-0005-0000-0000-000066340000}"/>
    <cellStyle name="Normal 2 2 2 2 4 11 12" xfId="13415" xr:uid="{00000000-0005-0000-0000-000067340000}"/>
    <cellStyle name="Normal 2 2 2 2 4 11 13" xfId="13416" xr:uid="{00000000-0005-0000-0000-000068340000}"/>
    <cellStyle name="Normal 2 2 2 2 4 11 14" xfId="13417" xr:uid="{00000000-0005-0000-0000-000069340000}"/>
    <cellStyle name="Normal 2 2 2 2 4 11 2" xfId="13418" xr:uid="{00000000-0005-0000-0000-00006A340000}"/>
    <cellStyle name="Normal 2 2 2 2 4 11 2 10" xfId="13419" xr:uid="{00000000-0005-0000-0000-00006B340000}"/>
    <cellStyle name="Normal 2 2 2 2 4 11 2 2" xfId="13420" xr:uid="{00000000-0005-0000-0000-00006C340000}"/>
    <cellStyle name="Normal 2 2 2 2 4 11 2 3" xfId="13421" xr:uid="{00000000-0005-0000-0000-00006D340000}"/>
    <cellStyle name="Normal 2 2 2 2 4 11 2 4" xfId="13422" xr:uid="{00000000-0005-0000-0000-00006E340000}"/>
    <cellStyle name="Normal 2 2 2 2 4 11 2 5" xfId="13423" xr:uid="{00000000-0005-0000-0000-00006F340000}"/>
    <cellStyle name="Normal 2 2 2 2 4 11 2 6" xfId="13424" xr:uid="{00000000-0005-0000-0000-000070340000}"/>
    <cellStyle name="Normal 2 2 2 2 4 11 2 7" xfId="13425" xr:uid="{00000000-0005-0000-0000-000071340000}"/>
    <cellStyle name="Normal 2 2 2 2 4 11 2 8" xfId="13426" xr:uid="{00000000-0005-0000-0000-000072340000}"/>
    <cellStyle name="Normal 2 2 2 2 4 11 2 9" xfId="13427" xr:uid="{00000000-0005-0000-0000-000073340000}"/>
    <cellStyle name="Normal 2 2 2 2 4 11 3" xfId="13428" xr:uid="{00000000-0005-0000-0000-000074340000}"/>
    <cellStyle name="Normal 2 2 2 2 4 11 3 10" xfId="13429" xr:uid="{00000000-0005-0000-0000-000075340000}"/>
    <cellStyle name="Normal 2 2 2 2 4 11 3 2" xfId="13430" xr:uid="{00000000-0005-0000-0000-000076340000}"/>
    <cellStyle name="Normal 2 2 2 2 4 11 3 3" xfId="13431" xr:uid="{00000000-0005-0000-0000-000077340000}"/>
    <cellStyle name="Normal 2 2 2 2 4 11 3 4" xfId="13432" xr:uid="{00000000-0005-0000-0000-000078340000}"/>
    <cellStyle name="Normal 2 2 2 2 4 11 3 5" xfId="13433" xr:uid="{00000000-0005-0000-0000-000079340000}"/>
    <cellStyle name="Normal 2 2 2 2 4 11 3 6" xfId="13434" xr:uid="{00000000-0005-0000-0000-00007A340000}"/>
    <cellStyle name="Normal 2 2 2 2 4 11 3 7" xfId="13435" xr:uid="{00000000-0005-0000-0000-00007B340000}"/>
    <cellStyle name="Normal 2 2 2 2 4 11 3 8" xfId="13436" xr:uid="{00000000-0005-0000-0000-00007C340000}"/>
    <cellStyle name="Normal 2 2 2 2 4 11 3 9" xfId="13437" xr:uid="{00000000-0005-0000-0000-00007D340000}"/>
    <cellStyle name="Normal 2 2 2 2 4 11 4" xfId="13438" xr:uid="{00000000-0005-0000-0000-00007E340000}"/>
    <cellStyle name="Normal 2 2 2 2 4 11 4 10" xfId="13439" xr:uid="{00000000-0005-0000-0000-00007F340000}"/>
    <cellStyle name="Normal 2 2 2 2 4 11 4 2" xfId="13440" xr:uid="{00000000-0005-0000-0000-000080340000}"/>
    <cellStyle name="Normal 2 2 2 2 4 11 4 3" xfId="13441" xr:uid="{00000000-0005-0000-0000-000081340000}"/>
    <cellStyle name="Normal 2 2 2 2 4 11 4 4" xfId="13442" xr:uid="{00000000-0005-0000-0000-000082340000}"/>
    <cellStyle name="Normal 2 2 2 2 4 11 4 5" xfId="13443" xr:uid="{00000000-0005-0000-0000-000083340000}"/>
    <cellStyle name="Normal 2 2 2 2 4 11 4 6" xfId="13444" xr:uid="{00000000-0005-0000-0000-000084340000}"/>
    <cellStyle name="Normal 2 2 2 2 4 11 4 7" xfId="13445" xr:uid="{00000000-0005-0000-0000-000085340000}"/>
    <cellStyle name="Normal 2 2 2 2 4 11 4 8" xfId="13446" xr:uid="{00000000-0005-0000-0000-000086340000}"/>
    <cellStyle name="Normal 2 2 2 2 4 11 4 9" xfId="13447" xr:uid="{00000000-0005-0000-0000-000087340000}"/>
    <cellStyle name="Normal 2 2 2 2 4 11 5" xfId="13448" xr:uid="{00000000-0005-0000-0000-000088340000}"/>
    <cellStyle name="Normal 2 2 2 2 4 11 5 10" xfId="13449" xr:uid="{00000000-0005-0000-0000-000089340000}"/>
    <cellStyle name="Normal 2 2 2 2 4 11 5 2" xfId="13450" xr:uid="{00000000-0005-0000-0000-00008A340000}"/>
    <cellStyle name="Normal 2 2 2 2 4 11 5 3" xfId="13451" xr:uid="{00000000-0005-0000-0000-00008B340000}"/>
    <cellStyle name="Normal 2 2 2 2 4 11 5 4" xfId="13452" xr:uid="{00000000-0005-0000-0000-00008C340000}"/>
    <cellStyle name="Normal 2 2 2 2 4 11 5 5" xfId="13453" xr:uid="{00000000-0005-0000-0000-00008D340000}"/>
    <cellStyle name="Normal 2 2 2 2 4 11 5 6" xfId="13454" xr:uid="{00000000-0005-0000-0000-00008E340000}"/>
    <cellStyle name="Normal 2 2 2 2 4 11 5 7" xfId="13455" xr:uid="{00000000-0005-0000-0000-00008F340000}"/>
    <cellStyle name="Normal 2 2 2 2 4 11 5 8" xfId="13456" xr:uid="{00000000-0005-0000-0000-000090340000}"/>
    <cellStyle name="Normal 2 2 2 2 4 11 5 9" xfId="13457" xr:uid="{00000000-0005-0000-0000-000091340000}"/>
    <cellStyle name="Normal 2 2 2 2 4 11 6" xfId="13458" xr:uid="{00000000-0005-0000-0000-000092340000}"/>
    <cellStyle name="Normal 2 2 2 2 4 11 7" xfId="13459" xr:uid="{00000000-0005-0000-0000-000093340000}"/>
    <cellStyle name="Normal 2 2 2 2 4 11 8" xfId="13460" xr:uid="{00000000-0005-0000-0000-000094340000}"/>
    <cellStyle name="Normal 2 2 2 2 4 11 9" xfId="13461" xr:uid="{00000000-0005-0000-0000-000095340000}"/>
    <cellStyle name="Normal 2 2 2 2 4 12" xfId="13462" xr:uid="{00000000-0005-0000-0000-000096340000}"/>
    <cellStyle name="Normal 2 2 2 2 4 12 10" xfId="13463" xr:uid="{00000000-0005-0000-0000-000097340000}"/>
    <cellStyle name="Normal 2 2 2 2 4 12 11" xfId="13464" xr:uid="{00000000-0005-0000-0000-000098340000}"/>
    <cellStyle name="Normal 2 2 2 2 4 12 12" xfId="13465" xr:uid="{00000000-0005-0000-0000-000099340000}"/>
    <cellStyle name="Normal 2 2 2 2 4 12 13" xfId="13466" xr:uid="{00000000-0005-0000-0000-00009A340000}"/>
    <cellStyle name="Normal 2 2 2 2 4 12 14" xfId="13467" xr:uid="{00000000-0005-0000-0000-00009B340000}"/>
    <cellStyle name="Normal 2 2 2 2 4 12 2" xfId="13468" xr:uid="{00000000-0005-0000-0000-00009C340000}"/>
    <cellStyle name="Normal 2 2 2 2 4 12 2 10" xfId="13469" xr:uid="{00000000-0005-0000-0000-00009D340000}"/>
    <cellStyle name="Normal 2 2 2 2 4 12 2 2" xfId="13470" xr:uid="{00000000-0005-0000-0000-00009E340000}"/>
    <cellStyle name="Normal 2 2 2 2 4 12 2 3" xfId="13471" xr:uid="{00000000-0005-0000-0000-00009F340000}"/>
    <cellStyle name="Normal 2 2 2 2 4 12 2 4" xfId="13472" xr:uid="{00000000-0005-0000-0000-0000A0340000}"/>
    <cellStyle name="Normal 2 2 2 2 4 12 2 5" xfId="13473" xr:uid="{00000000-0005-0000-0000-0000A1340000}"/>
    <cellStyle name="Normal 2 2 2 2 4 12 2 6" xfId="13474" xr:uid="{00000000-0005-0000-0000-0000A2340000}"/>
    <cellStyle name="Normal 2 2 2 2 4 12 2 7" xfId="13475" xr:uid="{00000000-0005-0000-0000-0000A3340000}"/>
    <cellStyle name="Normal 2 2 2 2 4 12 2 8" xfId="13476" xr:uid="{00000000-0005-0000-0000-0000A4340000}"/>
    <cellStyle name="Normal 2 2 2 2 4 12 2 9" xfId="13477" xr:uid="{00000000-0005-0000-0000-0000A5340000}"/>
    <cellStyle name="Normal 2 2 2 2 4 12 3" xfId="13478" xr:uid="{00000000-0005-0000-0000-0000A6340000}"/>
    <cellStyle name="Normal 2 2 2 2 4 12 3 10" xfId="13479" xr:uid="{00000000-0005-0000-0000-0000A7340000}"/>
    <cellStyle name="Normal 2 2 2 2 4 12 3 2" xfId="13480" xr:uid="{00000000-0005-0000-0000-0000A8340000}"/>
    <cellStyle name="Normal 2 2 2 2 4 12 3 3" xfId="13481" xr:uid="{00000000-0005-0000-0000-0000A9340000}"/>
    <cellStyle name="Normal 2 2 2 2 4 12 3 4" xfId="13482" xr:uid="{00000000-0005-0000-0000-0000AA340000}"/>
    <cellStyle name="Normal 2 2 2 2 4 12 3 5" xfId="13483" xr:uid="{00000000-0005-0000-0000-0000AB340000}"/>
    <cellStyle name="Normal 2 2 2 2 4 12 3 6" xfId="13484" xr:uid="{00000000-0005-0000-0000-0000AC340000}"/>
    <cellStyle name="Normal 2 2 2 2 4 12 3 7" xfId="13485" xr:uid="{00000000-0005-0000-0000-0000AD340000}"/>
    <cellStyle name="Normal 2 2 2 2 4 12 3 8" xfId="13486" xr:uid="{00000000-0005-0000-0000-0000AE340000}"/>
    <cellStyle name="Normal 2 2 2 2 4 12 3 9" xfId="13487" xr:uid="{00000000-0005-0000-0000-0000AF340000}"/>
    <cellStyle name="Normal 2 2 2 2 4 12 4" xfId="13488" xr:uid="{00000000-0005-0000-0000-0000B0340000}"/>
    <cellStyle name="Normal 2 2 2 2 4 12 4 10" xfId="13489" xr:uid="{00000000-0005-0000-0000-0000B1340000}"/>
    <cellStyle name="Normal 2 2 2 2 4 12 4 2" xfId="13490" xr:uid="{00000000-0005-0000-0000-0000B2340000}"/>
    <cellStyle name="Normal 2 2 2 2 4 12 4 3" xfId="13491" xr:uid="{00000000-0005-0000-0000-0000B3340000}"/>
    <cellStyle name="Normal 2 2 2 2 4 12 4 4" xfId="13492" xr:uid="{00000000-0005-0000-0000-0000B4340000}"/>
    <cellStyle name="Normal 2 2 2 2 4 12 4 5" xfId="13493" xr:uid="{00000000-0005-0000-0000-0000B5340000}"/>
    <cellStyle name="Normal 2 2 2 2 4 12 4 6" xfId="13494" xr:uid="{00000000-0005-0000-0000-0000B6340000}"/>
    <cellStyle name="Normal 2 2 2 2 4 12 4 7" xfId="13495" xr:uid="{00000000-0005-0000-0000-0000B7340000}"/>
    <cellStyle name="Normal 2 2 2 2 4 12 4 8" xfId="13496" xr:uid="{00000000-0005-0000-0000-0000B8340000}"/>
    <cellStyle name="Normal 2 2 2 2 4 12 4 9" xfId="13497" xr:uid="{00000000-0005-0000-0000-0000B9340000}"/>
    <cellStyle name="Normal 2 2 2 2 4 12 5" xfId="13498" xr:uid="{00000000-0005-0000-0000-0000BA340000}"/>
    <cellStyle name="Normal 2 2 2 2 4 12 5 10" xfId="13499" xr:uid="{00000000-0005-0000-0000-0000BB340000}"/>
    <cellStyle name="Normal 2 2 2 2 4 12 5 2" xfId="13500" xr:uid="{00000000-0005-0000-0000-0000BC340000}"/>
    <cellStyle name="Normal 2 2 2 2 4 12 5 3" xfId="13501" xr:uid="{00000000-0005-0000-0000-0000BD340000}"/>
    <cellStyle name="Normal 2 2 2 2 4 12 5 4" xfId="13502" xr:uid="{00000000-0005-0000-0000-0000BE340000}"/>
    <cellStyle name="Normal 2 2 2 2 4 12 5 5" xfId="13503" xr:uid="{00000000-0005-0000-0000-0000BF340000}"/>
    <cellStyle name="Normal 2 2 2 2 4 12 5 6" xfId="13504" xr:uid="{00000000-0005-0000-0000-0000C0340000}"/>
    <cellStyle name="Normal 2 2 2 2 4 12 5 7" xfId="13505" xr:uid="{00000000-0005-0000-0000-0000C1340000}"/>
    <cellStyle name="Normal 2 2 2 2 4 12 5 8" xfId="13506" xr:uid="{00000000-0005-0000-0000-0000C2340000}"/>
    <cellStyle name="Normal 2 2 2 2 4 12 5 9" xfId="13507" xr:uid="{00000000-0005-0000-0000-0000C3340000}"/>
    <cellStyle name="Normal 2 2 2 2 4 12 6" xfId="13508" xr:uid="{00000000-0005-0000-0000-0000C4340000}"/>
    <cellStyle name="Normal 2 2 2 2 4 12 7" xfId="13509" xr:uid="{00000000-0005-0000-0000-0000C5340000}"/>
    <cellStyle name="Normal 2 2 2 2 4 12 8" xfId="13510" xr:uid="{00000000-0005-0000-0000-0000C6340000}"/>
    <cellStyle name="Normal 2 2 2 2 4 12 9" xfId="13511" xr:uid="{00000000-0005-0000-0000-0000C7340000}"/>
    <cellStyle name="Normal 2 2 2 2 4 13" xfId="13512" xr:uid="{00000000-0005-0000-0000-0000C8340000}"/>
    <cellStyle name="Normal 2 2 2 2 4 13 10" xfId="13513" xr:uid="{00000000-0005-0000-0000-0000C9340000}"/>
    <cellStyle name="Normal 2 2 2 2 4 13 11" xfId="13514" xr:uid="{00000000-0005-0000-0000-0000CA340000}"/>
    <cellStyle name="Normal 2 2 2 2 4 13 12" xfId="13515" xr:uid="{00000000-0005-0000-0000-0000CB340000}"/>
    <cellStyle name="Normal 2 2 2 2 4 13 13" xfId="13516" xr:uid="{00000000-0005-0000-0000-0000CC340000}"/>
    <cellStyle name="Normal 2 2 2 2 4 13 14" xfId="13517" xr:uid="{00000000-0005-0000-0000-0000CD340000}"/>
    <cellStyle name="Normal 2 2 2 2 4 13 2" xfId="13518" xr:uid="{00000000-0005-0000-0000-0000CE340000}"/>
    <cellStyle name="Normal 2 2 2 2 4 13 2 10" xfId="13519" xr:uid="{00000000-0005-0000-0000-0000CF340000}"/>
    <cellStyle name="Normal 2 2 2 2 4 13 2 2" xfId="13520" xr:uid="{00000000-0005-0000-0000-0000D0340000}"/>
    <cellStyle name="Normal 2 2 2 2 4 13 2 3" xfId="13521" xr:uid="{00000000-0005-0000-0000-0000D1340000}"/>
    <cellStyle name="Normal 2 2 2 2 4 13 2 4" xfId="13522" xr:uid="{00000000-0005-0000-0000-0000D2340000}"/>
    <cellStyle name="Normal 2 2 2 2 4 13 2 5" xfId="13523" xr:uid="{00000000-0005-0000-0000-0000D3340000}"/>
    <cellStyle name="Normal 2 2 2 2 4 13 2 6" xfId="13524" xr:uid="{00000000-0005-0000-0000-0000D4340000}"/>
    <cellStyle name="Normal 2 2 2 2 4 13 2 7" xfId="13525" xr:uid="{00000000-0005-0000-0000-0000D5340000}"/>
    <cellStyle name="Normal 2 2 2 2 4 13 2 8" xfId="13526" xr:uid="{00000000-0005-0000-0000-0000D6340000}"/>
    <cellStyle name="Normal 2 2 2 2 4 13 2 9" xfId="13527" xr:uid="{00000000-0005-0000-0000-0000D7340000}"/>
    <cellStyle name="Normal 2 2 2 2 4 13 3" xfId="13528" xr:uid="{00000000-0005-0000-0000-0000D8340000}"/>
    <cellStyle name="Normal 2 2 2 2 4 13 3 10" xfId="13529" xr:uid="{00000000-0005-0000-0000-0000D9340000}"/>
    <cellStyle name="Normal 2 2 2 2 4 13 3 2" xfId="13530" xr:uid="{00000000-0005-0000-0000-0000DA340000}"/>
    <cellStyle name="Normal 2 2 2 2 4 13 3 3" xfId="13531" xr:uid="{00000000-0005-0000-0000-0000DB340000}"/>
    <cellStyle name="Normal 2 2 2 2 4 13 3 4" xfId="13532" xr:uid="{00000000-0005-0000-0000-0000DC340000}"/>
    <cellStyle name="Normal 2 2 2 2 4 13 3 5" xfId="13533" xr:uid="{00000000-0005-0000-0000-0000DD340000}"/>
    <cellStyle name="Normal 2 2 2 2 4 13 3 6" xfId="13534" xr:uid="{00000000-0005-0000-0000-0000DE340000}"/>
    <cellStyle name="Normal 2 2 2 2 4 13 3 7" xfId="13535" xr:uid="{00000000-0005-0000-0000-0000DF340000}"/>
    <cellStyle name="Normal 2 2 2 2 4 13 3 8" xfId="13536" xr:uid="{00000000-0005-0000-0000-0000E0340000}"/>
    <cellStyle name="Normal 2 2 2 2 4 13 3 9" xfId="13537" xr:uid="{00000000-0005-0000-0000-0000E1340000}"/>
    <cellStyle name="Normal 2 2 2 2 4 13 4" xfId="13538" xr:uid="{00000000-0005-0000-0000-0000E2340000}"/>
    <cellStyle name="Normal 2 2 2 2 4 13 4 10" xfId="13539" xr:uid="{00000000-0005-0000-0000-0000E3340000}"/>
    <cellStyle name="Normal 2 2 2 2 4 13 4 2" xfId="13540" xr:uid="{00000000-0005-0000-0000-0000E4340000}"/>
    <cellStyle name="Normal 2 2 2 2 4 13 4 3" xfId="13541" xr:uid="{00000000-0005-0000-0000-0000E5340000}"/>
    <cellStyle name="Normal 2 2 2 2 4 13 4 4" xfId="13542" xr:uid="{00000000-0005-0000-0000-0000E6340000}"/>
    <cellStyle name="Normal 2 2 2 2 4 13 4 5" xfId="13543" xr:uid="{00000000-0005-0000-0000-0000E7340000}"/>
    <cellStyle name="Normal 2 2 2 2 4 13 4 6" xfId="13544" xr:uid="{00000000-0005-0000-0000-0000E8340000}"/>
    <cellStyle name="Normal 2 2 2 2 4 13 4 7" xfId="13545" xr:uid="{00000000-0005-0000-0000-0000E9340000}"/>
    <cellStyle name="Normal 2 2 2 2 4 13 4 8" xfId="13546" xr:uid="{00000000-0005-0000-0000-0000EA340000}"/>
    <cellStyle name="Normal 2 2 2 2 4 13 4 9" xfId="13547" xr:uid="{00000000-0005-0000-0000-0000EB340000}"/>
    <cellStyle name="Normal 2 2 2 2 4 13 5" xfId="13548" xr:uid="{00000000-0005-0000-0000-0000EC340000}"/>
    <cellStyle name="Normal 2 2 2 2 4 13 5 10" xfId="13549" xr:uid="{00000000-0005-0000-0000-0000ED340000}"/>
    <cellStyle name="Normal 2 2 2 2 4 13 5 2" xfId="13550" xr:uid="{00000000-0005-0000-0000-0000EE340000}"/>
    <cellStyle name="Normal 2 2 2 2 4 13 5 3" xfId="13551" xr:uid="{00000000-0005-0000-0000-0000EF340000}"/>
    <cellStyle name="Normal 2 2 2 2 4 13 5 4" xfId="13552" xr:uid="{00000000-0005-0000-0000-0000F0340000}"/>
    <cellStyle name="Normal 2 2 2 2 4 13 5 5" xfId="13553" xr:uid="{00000000-0005-0000-0000-0000F1340000}"/>
    <cellStyle name="Normal 2 2 2 2 4 13 5 6" xfId="13554" xr:uid="{00000000-0005-0000-0000-0000F2340000}"/>
    <cellStyle name="Normal 2 2 2 2 4 13 5 7" xfId="13555" xr:uid="{00000000-0005-0000-0000-0000F3340000}"/>
    <cellStyle name="Normal 2 2 2 2 4 13 5 8" xfId="13556" xr:uid="{00000000-0005-0000-0000-0000F4340000}"/>
    <cellStyle name="Normal 2 2 2 2 4 13 5 9" xfId="13557" xr:uid="{00000000-0005-0000-0000-0000F5340000}"/>
    <cellStyle name="Normal 2 2 2 2 4 13 6" xfId="13558" xr:uid="{00000000-0005-0000-0000-0000F6340000}"/>
    <cellStyle name="Normal 2 2 2 2 4 13 7" xfId="13559" xr:uid="{00000000-0005-0000-0000-0000F7340000}"/>
    <cellStyle name="Normal 2 2 2 2 4 13 8" xfId="13560" xr:uid="{00000000-0005-0000-0000-0000F8340000}"/>
    <cellStyle name="Normal 2 2 2 2 4 13 9" xfId="13561" xr:uid="{00000000-0005-0000-0000-0000F9340000}"/>
    <cellStyle name="Normal 2 2 2 2 4 14" xfId="13562" xr:uid="{00000000-0005-0000-0000-0000FA340000}"/>
    <cellStyle name="Normal 2 2 2 2 4 14 10" xfId="13563" xr:uid="{00000000-0005-0000-0000-0000FB340000}"/>
    <cellStyle name="Normal 2 2 2 2 4 14 11" xfId="13564" xr:uid="{00000000-0005-0000-0000-0000FC340000}"/>
    <cellStyle name="Normal 2 2 2 2 4 14 12" xfId="13565" xr:uid="{00000000-0005-0000-0000-0000FD340000}"/>
    <cellStyle name="Normal 2 2 2 2 4 14 13" xfId="13566" xr:uid="{00000000-0005-0000-0000-0000FE340000}"/>
    <cellStyle name="Normal 2 2 2 2 4 14 14" xfId="13567" xr:uid="{00000000-0005-0000-0000-0000FF340000}"/>
    <cellStyle name="Normal 2 2 2 2 4 14 2" xfId="13568" xr:uid="{00000000-0005-0000-0000-000000350000}"/>
    <cellStyle name="Normal 2 2 2 2 4 14 2 10" xfId="13569" xr:uid="{00000000-0005-0000-0000-000001350000}"/>
    <cellStyle name="Normal 2 2 2 2 4 14 2 2" xfId="13570" xr:uid="{00000000-0005-0000-0000-000002350000}"/>
    <cellStyle name="Normal 2 2 2 2 4 14 2 3" xfId="13571" xr:uid="{00000000-0005-0000-0000-000003350000}"/>
    <cellStyle name="Normal 2 2 2 2 4 14 2 4" xfId="13572" xr:uid="{00000000-0005-0000-0000-000004350000}"/>
    <cellStyle name="Normal 2 2 2 2 4 14 2 5" xfId="13573" xr:uid="{00000000-0005-0000-0000-000005350000}"/>
    <cellStyle name="Normal 2 2 2 2 4 14 2 6" xfId="13574" xr:uid="{00000000-0005-0000-0000-000006350000}"/>
    <cellStyle name="Normal 2 2 2 2 4 14 2 7" xfId="13575" xr:uid="{00000000-0005-0000-0000-000007350000}"/>
    <cellStyle name="Normal 2 2 2 2 4 14 2 8" xfId="13576" xr:uid="{00000000-0005-0000-0000-000008350000}"/>
    <cellStyle name="Normal 2 2 2 2 4 14 2 9" xfId="13577" xr:uid="{00000000-0005-0000-0000-000009350000}"/>
    <cellStyle name="Normal 2 2 2 2 4 14 3" xfId="13578" xr:uid="{00000000-0005-0000-0000-00000A350000}"/>
    <cellStyle name="Normal 2 2 2 2 4 14 3 10" xfId="13579" xr:uid="{00000000-0005-0000-0000-00000B350000}"/>
    <cellStyle name="Normal 2 2 2 2 4 14 3 2" xfId="13580" xr:uid="{00000000-0005-0000-0000-00000C350000}"/>
    <cellStyle name="Normal 2 2 2 2 4 14 3 3" xfId="13581" xr:uid="{00000000-0005-0000-0000-00000D350000}"/>
    <cellStyle name="Normal 2 2 2 2 4 14 3 4" xfId="13582" xr:uid="{00000000-0005-0000-0000-00000E350000}"/>
    <cellStyle name="Normal 2 2 2 2 4 14 3 5" xfId="13583" xr:uid="{00000000-0005-0000-0000-00000F350000}"/>
    <cellStyle name="Normal 2 2 2 2 4 14 3 6" xfId="13584" xr:uid="{00000000-0005-0000-0000-000010350000}"/>
    <cellStyle name="Normal 2 2 2 2 4 14 3 7" xfId="13585" xr:uid="{00000000-0005-0000-0000-000011350000}"/>
    <cellStyle name="Normal 2 2 2 2 4 14 3 8" xfId="13586" xr:uid="{00000000-0005-0000-0000-000012350000}"/>
    <cellStyle name="Normal 2 2 2 2 4 14 3 9" xfId="13587" xr:uid="{00000000-0005-0000-0000-000013350000}"/>
    <cellStyle name="Normal 2 2 2 2 4 14 4" xfId="13588" xr:uid="{00000000-0005-0000-0000-000014350000}"/>
    <cellStyle name="Normal 2 2 2 2 4 14 4 10" xfId="13589" xr:uid="{00000000-0005-0000-0000-000015350000}"/>
    <cellStyle name="Normal 2 2 2 2 4 14 4 2" xfId="13590" xr:uid="{00000000-0005-0000-0000-000016350000}"/>
    <cellStyle name="Normal 2 2 2 2 4 14 4 3" xfId="13591" xr:uid="{00000000-0005-0000-0000-000017350000}"/>
    <cellStyle name="Normal 2 2 2 2 4 14 4 4" xfId="13592" xr:uid="{00000000-0005-0000-0000-000018350000}"/>
    <cellStyle name="Normal 2 2 2 2 4 14 4 5" xfId="13593" xr:uid="{00000000-0005-0000-0000-000019350000}"/>
    <cellStyle name="Normal 2 2 2 2 4 14 4 6" xfId="13594" xr:uid="{00000000-0005-0000-0000-00001A350000}"/>
    <cellStyle name="Normal 2 2 2 2 4 14 4 7" xfId="13595" xr:uid="{00000000-0005-0000-0000-00001B350000}"/>
    <cellStyle name="Normal 2 2 2 2 4 14 4 8" xfId="13596" xr:uid="{00000000-0005-0000-0000-00001C350000}"/>
    <cellStyle name="Normal 2 2 2 2 4 14 4 9" xfId="13597" xr:uid="{00000000-0005-0000-0000-00001D350000}"/>
    <cellStyle name="Normal 2 2 2 2 4 14 5" xfId="13598" xr:uid="{00000000-0005-0000-0000-00001E350000}"/>
    <cellStyle name="Normal 2 2 2 2 4 14 5 10" xfId="13599" xr:uid="{00000000-0005-0000-0000-00001F350000}"/>
    <cellStyle name="Normal 2 2 2 2 4 14 5 2" xfId="13600" xr:uid="{00000000-0005-0000-0000-000020350000}"/>
    <cellStyle name="Normal 2 2 2 2 4 14 5 3" xfId="13601" xr:uid="{00000000-0005-0000-0000-000021350000}"/>
    <cellStyle name="Normal 2 2 2 2 4 14 5 4" xfId="13602" xr:uid="{00000000-0005-0000-0000-000022350000}"/>
    <cellStyle name="Normal 2 2 2 2 4 14 5 5" xfId="13603" xr:uid="{00000000-0005-0000-0000-000023350000}"/>
    <cellStyle name="Normal 2 2 2 2 4 14 5 6" xfId="13604" xr:uid="{00000000-0005-0000-0000-000024350000}"/>
    <cellStyle name="Normal 2 2 2 2 4 14 5 7" xfId="13605" xr:uid="{00000000-0005-0000-0000-000025350000}"/>
    <cellStyle name="Normal 2 2 2 2 4 14 5 8" xfId="13606" xr:uid="{00000000-0005-0000-0000-000026350000}"/>
    <cellStyle name="Normal 2 2 2 2 4 14 5 9" xfId="13607" xr:uid="{00000000-0005-0000-0000-000027350000}"/>
    <cellStyle name="Normal 2 2 2 2 4 14 6" xfId="13608" xr:uid="{00000000-0005-0000-0000-000028350000}"/>
    <cellStyle name="Normal 2 2 2 2 4 14 7" xfId="13609" xr:uid="{00000000-0005-0000-0000-000029350000}"/>
    <cellStyle name="Normal 2 2 2 2 4 14 8" xfId="13610" xr:uid="{00000000-0005-0000-0000-00002A350000}"/>
    <cellStyle name="Normal 2 2 2 2 4 14 9" xfId="13611" xr:uid="{00000000-0005-0000-0000-00002B350000}"/>
    <cellStyle name="Normal 2 2 2 2 4 15" xfId="13612" xr:uid="{00000000-0005-0000-0000-00002C350000}"/>
    <cellStyle name="Normal 2 2 2 2 4 15 10" xfId="13613" xr:uid="{00000000-0005-0000-0000-00002D350000}"/>
    <cellStyle name="Normal 2 2 2 2 4 15 11" xfId="13614" xr:uid="{00000000-0005-0000-0000-00002E350000}"/>
    <cellStyle name="Normal 2 2 2 2 4 15 12" xfId="13615" xr:uid="{00000000-0005-0000-0000-00002F350000}"/>
    <cellStyle name="Normal 2 2 2 2 4 15 13" xfId="13616" xr:uid="{00000000-0005-0000-0000-000030350000}"/>
    <cellStyle name="Normal 2 2 2 2 4 15 14" xfId="13617" xr:uid="{00000000-0005-0000-0000-000031350000}"/>
    <cellStyle name="Normal 2 2 2 2 4 15 2" xfId="13618" xr:uid="{00000000-0005-0000-0000-000032350000}"/>
    <cellStyle name="Normal 2 2 2 2 4 15 2 10" xfId="13619" xr:uid="{00000000-0005-0000-0000-000033350000}"/>
    <cellStyle name="Normal 2 2 2 2 4 15 2 2" xfId="13620" xr:uid="{00000000-0005-0000-0000-000034350000}"/>
    <cellStyle name="Normal 2 2 2 2 4 15 2 3" xfId="13621" xr:uid="{00000000-0005-0000-0000-000035350000}"/>
    <cellStyle name="Normal 2 2 2 2 4 15 2 4" xfId="13622" xr:uid="{00000000-0005-0000-0000-000036350000}"/>
    <cellStyle name="Normal 2 2 2 2 4 15 2 5" xfId="13623" xr:uid="{00000000-0005-0000-0000-000037350000}"/>
    <cellStyle name="Normal 2 2 2 2 4 15 2 6" xfId="13624" xr:uid="{00000000-0005-0000-0000-000038350000}"/>
    <cellStyle name="Normal 2 2 2 2 4 15 2 7" xfId="13625" xr:uid="{00000000-0005-0000-0000-000039350000}"/>
    <cellStyle name="Normal 2 2 2 2 4 15 2 8" xfId="13626" xr:uid="{00000000-0005-0000-0000-00003A350000}"/>
    <cellStyle name="Normal 2 2 2 2 4 15 2 9" xfId="13627" xr:uid="{00000000-0005-0000-0000-00003B350000}"/>
    <cellStyle name="Normal 2 2 2 2 4 15 3" xfId="13628" xr:uid="{00000000-0005-0000-0000-00003C350000}"/>
    <cellStyle name="Normal 2 2 2 2 4 15 3 10" xfId="13629" xr:uid="{00000000-0005-0000-0000-00003D350000}"/>
    <cellStyle name="Normal 2 2 2 2 4 15 3 2" xfId="13630" xr:uid="{00000000-0005-0000-0000-00003E350000}"/>
    <cellStyle name="Normal 2 2 2 2 4 15 3 3" xfId="13631" xr:uid="{00000000-0005-0000-0000-00003F350000}"/>
    <cellStyle name="Normal 2 2 2 2 4 15 3 4" xfId="13632" xr:uid="{00000000-0005-0000-0000-000040350000}"/>
    <cellStyle name="Normal 2 2 2 2 4 15 3 5" xfId="13633" xr:uid="{00000000-0005-0000-0000-000041350000}"/>
    <cellStyle name="Normal 2 2 2 2 4 15 3 6" xfId="13634" xr:uid="{00000000-0005-0000-0000-000042350000}"/>
    <cellStyle name="Normal 2 2 2 2 4 15 3 7" xfId="13635" xr:uid="{00000000-0005-0000-0000-000043350000}"/>
    <cellStyle name="Normal 2 2 2 2 4 15 3 8" xfId="13636" xr:uid="{00000000-0005-0000-0000-000044350000}"/>
    <cellStyle name="Normal 2 2 2 2 4 15 3 9" xfId="13637" xr:uid="{00000000-0005-0000-0000-000045350000}"/>
    <cellStyle name="Normal 2 2 2 2 4 15 4" xfId="13638" xr:uid="{00000000-0005-0000-0000-000046350000}"/>
    <cellStyle name="Normal 2 2 2 2 4 15 4 10" xfId="13639" xr:uid="{00000000-0005-0000-0000-000047350000}"/>
    <cellStyle name="Normal 2 2 2 2 4 15 4 2" xfId="13640" xr:uid="{00000000-0005-0000-0000-000048350000}"/>
    <cellStyle name="Normal 2 2 2 2 4 15 4 3" xfId="13641" xr:uid="{00000000-0005-0000-0000-000049350000}"/>
    <cellStyle name="Normal 2 2 2 2 4 15 4 4" xfId="13642" xr:uid="{00000000-0005-0000-0000-00004A350000}"/>
    <cellStyle name="Normal 2 2 2 2 4 15 4 5" xfId="13643" xr:uid="{00000000-0005-0000-0000-00004B350000}"/>
    <cellStyle name="Normal 2 2 2 2 4 15 4 6" xfId="13644" xr:uid="{00000000-0005-0000-0000-00004C350000}"/>
    <cellStyle name="Normal 2 2 2 2 4 15 4 7" xfId="13645" xr:uid="{00000000-0005-0000-0000-00004D350000}"/>
    <cellStyle name="Normal 2 2 2 2 4 15 4 8" xfId="13646" xr:uid="{00000000-0005-0000-0000-00004E350000}"/>
    <cellStyle name="Normal 2 2 2 2 4 15 4 9" xfId="13647" xr:uid="{00000000-0005-0000-0000-00004F350000}"/>
    <cellStyle name="Normal 2 2 2 2 4 15 5" xfId="13648" xr:uid="{00000000-0005-0000-0000-000050350000}"/>
    <cellStyle name="Normal 2 2 2 2 4 15 5 10" xfId="13649" xr:uid="{00000000-0005-0000-0000-000051350000}"/>
    <cellStyle name="Normal 2 2 2 2 4 15 5 2" xfId="13650" xr:uid="{00000000-0005-0000-0000-000052350000}"/>
    <cellStyle name="Normal 2 2 2 2 4 15 5 3" xfId="13651" xr:uid="{00000000-0005-0000-0000-000053350000}"/>
    <cellStyle name="Normal 2 2 2 2 4 15 5 4" xfId="13652" xr:uid="{00000000-0005-0000-0000-000054350000}"/>
    <cellStyle name="Normal 2 2 2 2 4 15 5 5" xfId="13653" xr:uid="{00000000-0005-0000-0000-000055350000}"/>
    <cellStyle name="Normal 2 2 2 2 4 15 5 6" xfId="13654" xr:uid="{00000000-0005-0000-0000-000056350000}"/>
    <cellStyle name="Normal 2 2 2 2 4 15 5 7" xfId="13655" xr:uid="{00000000-0005-0000-0000-000057350000}"/>
    <cellStyle name="Normal 2 2 2 2 4 15 5 8" xfId="13656" xr:uid="{00000000-0005-0000-0000-000058350000}"/>
    <cellStyle name="Normal 2 2 2 2 4 15 5 9" xfId="13657" xr:uid="{00000000-0005-0000-0000-000059350000}"/>
    <cellStyle name="Normal 2 2 2 2 4 15 6" xfId="13658" xr:uid="{00000000-0005-0000-0000-00005A350000}"/>
    <cellStyle name="Normal 2 2 2 2 4 15 7" xfId="13659" xr:uid="{00000000-0005-0000-0000-00005B350000}"/>
    <cellStyle name="Normal 2 2 2 2 4 15 8" xfId="13660" xr:uid="{00000000-0005-0000-0000-00005C350000}"/>
    <cellStyle name="Normal 2 2 2 2 4 15 9" xfId="13661" xr:uid="{00000000-0005-0000-0000-00005D350000}"/>
    <cellStyle name="Normal 2 2 2 2 4 16" xfId="13662" xr:uid="{00000000-0005-0000-0000-00005E350000}"/>
    <cellStyle name="Normal 2 2 2 2 4 16 10" xfId="13663" xr:uid="{00000000-0005-0000-0000-00005F350000}"/>
    <cellStyle name="Normal 2 2 2 2 4 16 11" xfId="13664" xr:uid="{00000000-0005-0000-0000-000060350000}"/>
    <cellStyle name="Normal 2 2 2 2 4 16 12" xfId="13665" xr:uid="{00000000-0005-0000-0000-000061350000}"/>
    <cellStyle name="Normal 2 2 2 2 4 16 13" xfId="13666" xr:uid="{00000000-0005-0000-0000-000062350000}"/>
    <cellStyle name="Normal 2 2 2 2 4 16 14" xfId="13667" xr:uid="{00000000-0005-0000-0000-000063350000}"/>
    <cellStyle name="Normal 2 2 2 2 4 16 2" xfId="13668" xr:uid="{00000000-0005-0000-0000-000064350000}"/>
    <cellStyle name="Normal 2 2 2 2 4 16 2 10" xfId="13669" xr:uid="{00000000-0005-0000-0000-000065350000}"/>
    <cellStyle name="Normal 2 2 2 2 4 16 2 2" xfId="13670" xr:uid="{00000000-0005-0000-0000-000066350000}"/>
    <cellStyle name="Normal 2 2 2 2 4 16 2 3" xfId="13671" xr:uid="{00000000-0005-0000-0000-000067350000}"/>
    <cellStyle name="Normal 2 2 2 2 4 16 2 4" xfId="13672" xr:uid="{00000000-0005-0000-0000-000068350000}"/>
    <cellStyle name="Normal 2 2 2 2 4 16 2 5" xfId="13673" xr:uid="{00000000-0005-0000-0000-000069350000}"/>
    <cellStyle name="Normal 2 2 2 2 4 16 2 6" xfId="13674" xr:uid="{00000000-0005-0000-0000-00006A350000}"/>
    <cellStyle name="Normal 2 2 2 2 4 16 2 7" xfId="13675" xr:uid="{00000000-0005-0000-0000-00006B350000}"/>
    <cellStyle name="Normal 2 2 2 2 4 16 2 8" xfId="13676" xr:uid="{00000000-0005-0000-0000-00006C350000}"/>
    <cellStyle name="Normal 2 2 2 2 4 16 2 9" xfId="13677" xr:uid="{00000000-0005-0000-0000-00006D350000}"/>
    <cellStyle name="Normal 2 2 2 2 4 16 3" xfId="13678" xr:uid="{00000000-0005-0000-0000-00006E350000}"/>
    <cellStyle name="Normal 2 2 2 2 4 16 3 10" xfId="13679" xr:uid="{00000000-0005-0000-0000-00006F350000}"/>
    <cellStyle name="Normal 2 2 2 2 4 16 3 2" xfId="13680" xr:uid="{00000000-0005-0000-0000-000070350000}"/>
    <cellStyle name="Normal 2 2 2 2 4 16 3 3" xfId="13681" xr:uid="{00000000-0005-0000-0000-000071350000}"/>
    <cellStyle name="Normal 2 2 2 2 4 16 3 4" xfId="13682" xr:uid="{00000000-0005-0000-0000-000072350000}"/>
    <cellStyle name="Normal 2 2 2 2 4 16 3 5" xfId="13683" xr:uid="{00000000-0005-0000-0000-000073350000}"/>
    <cellStyle name="Normal 2 2 2 2 4 16 3 6" xfId="13684" xr:uid="{00000000-0005-0000-0000-000074350000}"/>
    <cellStyle name="Normal 2 2 2 2 4 16 3 7" xfId="13685" xr:uid="{00000000-0005-0000-0000-000075350000}"/>
    <cellStyle name="Normal 2 2 2 2 4 16 3 8" xfId="13686" xr:uid="{00000000-0005-0000-0000-000076350000}"/>
    <cellStyle name="Normal 2 2 2 2 4 16 3 9" xfId="13687" xr:uid="{00000000-0005-0000-0000-000077350000}"/>
    <cellStyle name="Normal 2 2 2 2 4 16 4" xfId="13688" xr:uid="{00000000-0005-0000-0000-000078350000}"/>
    <cellStyle name="Normal 2 2 2 2 4 16 4 10" xfId="13689" xr:uid="{00000000-0005-0000-0000-000079350000}"/>
    <cellStyle name="Normal 2 2 2 2 4 16 4 2" xfId="13690" xr:uid="{00000000-0005-0000-0000-00007A350000}"/>
    <cellStyle name="Normal 2 2 2 2 4 16 4 3" xfId="13691" xr:uid="{00000000-0005-0000-0000-00007B350000}"/>
    <cellStyle name="Normal 2 2 2 2 4 16 4 4" xfId="13692" xr:uid="{00000000-0005-0000-0000-00007C350000}"/>
    <cellStyle name="Normal 2 2 2 2 4 16 4 5" xfId="13693" xr:uid="{00000000-0005-0000-0000-00007D350000}"/>
    <cellStyle name="Normal 2 2 2 2 4 16 4 6" xfId="13694" xr:uid="{00000000-0005-0000-0000-00007E350000}"/>
    <cellStyle name="Normal 2 2 2 2 4 16 4 7" xfId="13695" xr:uid="{00000000-0005-0000-0000-00007F350000}"/>
    <cellStyle name="Normal 2 2 2 2 4 16 4 8" xfId="13696" xr:uid="{00000000-0005-0000-0000-000080350000}"/>
    <cellStyle name="Normal 2 2 2 2 4 16 4 9" xfId="13697" xr:uid="{00000000-0005-0000-0000-000081350000}"/>
    <cellStyle name="Normal 2 2 2 2 4 16 5" xfId="13698" xr:uid="{00000000-0005-0000-0000-000082350000}"/>
    <cellStyle name="Normal 2 2 2 2 4 16 5 10" xfId="13699" xr:uid="{00000000-0005-0000-0000-000083350000}"/>
    <cellStyle name="Normal 2 2 2 2 4 16 5 2" xfId="13700" xr:uid="{00000000-0005-0000-0000-000084350000}"/>
    <cellStyle name="Normal 2 2 2 2 4 16 5 3" xfId="13701" xr:uid="{00000000-0005-0000-0000-000085350000}"/>
    <cellStyle name="Normal 2 2 2 2 4 16 5 4" xfId="13702" xr:uid="{00000000-0005-0000-0000-000086350000}"/>
    <cellStyle name="Normal 2 2 2 2 4 16 5 5" xfId="13703" xr:uid="{00000000-0005-0000-0000-000087350000}"/>
    <cellStyle name="Normal 2 2 2 2 4 16 5 6" xfId="13704" xr:uid="{00000000-0005-0000-0000-000088350000}"/>
    <cellStyle name="Normal 2 2 2 2 4 16 5 7" xfId="13705" xr:uid="{00000000-0005-0000-0000-000089350000}"/>
    <cellStyle name="Normal 2 2 2 2 4 16 5 8" xfId="13706" xr:uid="{00000000-0005-0000-0000-00008A350000}"/>
    <cellStyle name="Normal 2 2 2 2 4 16 5 9" xfId="13707" xr:uid="{00000000-0005-0000-0000-00008B350000}"/>
    <cellStyle name="Normal 2 2 2 2 4 16 6" xfId="13708" xr:uid="{00000000-0005-0000-0000-00008C350000}"/>
    <cellStyle name="Normal 2 2 2 2 4 16 7" xfId="13709" xr:uid="{00000000-0005-0000-0000-00008D350000}"/>
    <cellStyle name="Normal 2 2 2 2 4 16 8" xfId="13710" xr:uid="{00000000-0005-0000-0000-00008E350000}"/>
    <cellStyle name="Normal 2 2 2 2 4 16 9" xfId="13711" xr:uid="{00000000-0005-0000-0000-00008F350000}"/>
    <cellStyle name="Normal 2 2 2 2 4 17" xfId="13712" xr:uid="{00000000-0005-0000-0000-000090350000}"/>
    <cellStyle name="Normal 2 2 2 2 4 17 10" xfId="13713" xr:uid="{00000000-0005-0000-0000-000091350000}"/>
    <cellStyle name="Normal 2 2 2 2 4 17 11" xfId="13714" xr:uid="{00000000-0005-0000-0000-000092350000}"/>
    <cellStyle name="Normal 2 2 2 2 4 17 12" xfId="13715" xr:uid="{00000000-0005-0000-0000-000093350000}"/>
    <cellStyle name="Normal 2 2 2 2 4 17 13" xfId="13716" xr:uid="{00000000-0005-0000-0000-000094350000}"/>
    <cellStyle name="Normal 2 2 2 2 4 17 14" xfId="13717" xr:uid="{00000000-0005-0000-0000-000095350000}"/>
    <cellStyle name="Normal 2 2 2 2 4 17 2" xfId="13718" xr:uid="{00000000-0005-0000-0000-000096350000}"/>
    <cellStyle name="Normal 2 2 2 2 4 17 2 10" xfId="13719" xr:uid="{00000000-0005-0000-0000-000097350000}"/>
    <cellStyle name="Normal 2 2 2 2 4 17 2 2" xfId="13720" xr:uid="{00000000-0005-0000-0000-000098350000}"/>
    <cellStyle name="Normal 2 2 2 2 4 17 2 3" xfId="13721" xr:uid="{00000000-0005-0000-0000-000099350000}"/>
    <cellStyle name="Normal 2 2 2 2 4 17 2 4" xfId="13722" xr:uid="{00000000-0005-0000-0000-00009A350000}"/>
    <cellStyle name="Normal 2 2 2 2 4 17 2 5" xfId="13723" xr:uid="{00000000-0005-0000-0000-00009B350000}"/>
    <cellStyle name="Normal 2 2 2 2 4 17 2 6" xfId="13724" xr:uid="{00000000-0005-0000-0000-00009C350000}"/>
    <cellStyle name="Normal 2 2 2 2 4 17 2 7" xfId="13725" xr:uid="{00000000-0005-0000-0000-00009D350000}"/>
    <cellStyle name="Normal 2 2 2 2 4 17 2 8" xfId="13726" xr:uid="{00000000-0005-0000-0000-00009E350000}"/>
    <cellStyle name="Normal 2 2 2 2 4 17 2 9" xfId="13727" xr:uid="{00000000-0005-0000-0000-00009F350000}"/>
    <cellStyle name="Normal 2 2 2 2 4 17 3" xfId="13728" xr:uid="{00000000-0005-0000-0000-0000A0350000}"/>
    <cellStyle name="Normal 2 2 2 2 4 17 3 10" xfId="13729" xr:uid="{00000000-0005-0000-0000-0000A1350000}"/>
    <cellStyle name="Normal 2 2 2 2 4 17 3 2" xfId="13730" xr:uid="{00000000-0005-0000-0000-0000A2350000}"/>
    <cellStyle name="Normal 2 2 2 2 4 17 3 3" xfId="13731" xr:uid="{00000000-0005-0000-0000-0000A3350000}"/>
    <cellStyle name="Normal 2 2 2 2 4 17 3 4" xfId="13732" xr:uid="{00000000-0005-0000-0000-0000A4350000}"/>
    <cellStyle name="Normal 2 2 2 2 4 17 3 5" xfId="13733" xr:uid="{00000000-0005-0000-0000-0000A5350000}"/>
    <cellStyle name="Normal 2 2 2 2 4 17 3 6" xfId="13734" xr:uid="{00000000-0005-0000-0000-0000A6350000}"/>
    <cellStyle name="Normal 2 2 2 2 4 17 3 7" xfId="13735" xr:uid="{00000000-0005-0000-0000-0000A7350000}"/>
    <cellStyle name="Normal 2 2 2 2 4 17 3 8" xfId="13736" xr:uid="{00000000-0005-0000-0000-0000A8350000}"/>
    <cellStyle name="Normal 2 2 2 2 4 17 3 9" xfId="13737" xr:uid="{00000000-0005-0000-0000-0000A9350000}"/>
    <cellStyle name="Normal 2 2 2 2 4 17 4" xfId="13738" xr:uid="{00000000-0005-0000-0000-0000AA350000}"/>
    <cellStyle name="Normal 2 2 2 2 4 17 4 10" xfId="13739" xr:uid="{00000000-0005-0000-0000-0000AB350000}"/>
    <cellStyle name="Normal 2 2 2 2 4 17 4 2" xfId="13740" xr:uid="{00000000-0005-0000-0000-0000AC350000}"/>
    <cellStyle name="Normal 2 2 2 2 4 17 4 3" xfId="13741" xr:uid="{00000000-0005-0000-0000-0000AD350000}"/>
    <cellStyle name="Normal 2 2 2 2 4 17 4 4" xfId="13742" xr:uid="{00000000-0005-0000-0000-0000AE350000}"/>
    <cellStyle name="Normal 2 2 2 2 4 17 4 5" xfId="13743" xr:uid="{00000000-0005-0000-0000-0000AF350000}"/>
    <cellStyle name="Normal 2 2 2 2 4 17 4 6" xfId="13744" xr:uid="{00000000-0005-0000-0000-0000B0350000}"/>
    <cellStyle name="Normal 2 2 2 2 4 17 4 7" xfId="13745" xr:uid="{00000000-0005-0000-0000-0000B1350000}"/>
    <cellStyle name="Normal 2 2 2 2 4 17 4 8" xfId="13746" xr:uid="{00000000-0005-0000-0000-0000B2350000}"/>
    <cellStyle name="Normal 2 2 2 2 4 17 4 9" xfId="13747" xr:uid="{00000000-0005-0000-0000-0000B3350000}"/>
    <cellStyle name="Normal 2 2 2 2 4 17 5" xfId="13748" xr:uid="{00000000-0005-0000-0000-0000B4350000}"/>
    <cellStyle name="Normal 2 2 2 2 4 17 5 10" xfId="13749" xr:uid="{00000000-0005-0000-0000-0000B5350000}"/>
    <cellStyle name="Normal 2 2 2 2 4 17 5 2" xfId="13750" xr:uid="{00000000-0005-0000-0000-0000B6350000}"/>
    <cellStyle name="Normal 2 2 2 2 4 17 5 3" xfId="13751" xr:uid="{00000000-0005-0000-0000-0000B7350000}"/>
    <cellStyle name="Normal 2 2 2 2 4 17 5 4" xfId="13752" xr:uid="{00000000-0005-0000-0000-0000B8350000}"/>
    <cellStyle name="Normal 2 2 2 2 4 17 5 5" xfId="13753" xr:uid="{00000000-0005-0000-0000-0000B9350000}"/>
    <cellStyle name="Normal 2 2 2 2 4 17 5 6" xfId="13754" xr:uid="{00000000-0005-0000-0000-0000BA350000}"/>
    <cellStyle name="Normal 2 2 2 2 4 17 5 7" xfId="13755" xr:uid="{00000000-0005-0000-0000-0000BB350000}"/>
    <cellStyle name="Normal 2 2 2 2 4 17 5 8" xfId="13756" xr:uid="{00000000-0005-0000-0000-0000BC350000}"/>
    <cellStyle name="Normal 2 2 2 2 4 17 5 9" xfId="13757" xr:uid="{00000000-0005-0000-0000-0000BD350000}"/>
    <cellStyle name="Normal 2 2 2 2 4 17 6" xfId="13758" xr:uid="{00000000-0005-0000-0000-0000BE350000}"/>
    <cellStyle name="Normal 2 2 2 2 4 17 7" xfId="13759" xr:uid="{00000000-0005-0000-0000-0000BF350000}"/>
    <cellStyle name="Normal 2 2 2 2 4 17 8" xfId="13760" xr:uid="{00000000-0005-0000-0000-0000C0350000}"/>
    <cellStyle name="Normal 2 2 2 2 4 17 9" xfId="13761" xr:uid="{00000000-0005-0000-0000-0000C1350000}"/>
    <cellStyle name="Normal 2 2 2 2 4 18" xfId="13762" xr:uid="{00000000-0005-0000-0000-0000C2350000}"/>
    <cellStyle name="Normal 2 2 2 2 4 18 10" xfId="13763" xr:uid="{00000000-0005-0000-0000-0000C3350000}"/>
    <cellStyle name="Normal 2 2 2 2 4 18 11" xfId="13764" xr:uid="{00000000-0005-0000-0000-0000C4350000}"/>
    <cellStyle name="Normal 2 2 2 2 4 18 12" xfId="13765" xr:uid="{00000000-0005-0000-0000-0000C5350000}"/>
    <cellStyle name="Normal 2 2 2 2 4 18 13" xfId="13766" xr:uid="{00000000-0005-0000-0000-0000C6350000}"/>
    <cellStyle name="Normal 2 2 2 2 4 18 14" xfId="13767" xr:uid="{00000000-0005-0000-0000-0000C7350000}"/>
    <cellStyle name="Normal 2 2 2 2 4 18 2" xfId="13768" xr:uid="{00000000-0005-0000-0000-0000C8350000}"/>
    <cellStyle name="Normal 2 2 2 2 4 18 2 10" xfId="13769" xr:uid="{00000000-0005-0000-0000-0000C9350000}"/>
    <cellStyle name="Normal 2 2 2 2 4 18 2 2" xfId="13770" xr:uid="{00000000-0005-0000-0000-0000CA350000}"/>
    <cellStyle name="Normal 2 2 2 2 4 18 2 3" xfId="13771" xr:uid="{00000000-0005-0000-0000-0000CB350000}"/>
    <cellStyle name="Normal 2 2 2 2 4 18 2 4" xfId="13772" xr:uid="{00000000-0005-0000-0000-0000CC350000}"/>
    <cellStyle name="Normal 2 2 2 2 4 18 2 5" xfId="13773" xr:uid="{00000000-0005-0000-0000-0000CD350000}"/>
    <cellStyle name="Normal 2 2 2 2 4 18 2 6" xfId="13774" xr:uid="{00000000-0005-0000-0000-0000CE350000}"/>
    <cellStyle name="Normal 2 2 2 2 4 18 2 7" xfId="13775" xr:uid="{00000000-0005-0000-0000-0000CF350000}"/>
    <cellStyle name="Normal 2 2 2 2 4 18 2 8" xfId="13776" xr:uid="{00000000-0005-0000-0000-0000D0350000}"/>
    <cellStyle name="Normal 2 2 2 2 4 18 2 9" xfId="13777" xr:uid="{00000000-0005-0000-0000-0000D1350000}"/>
    <cellStyle name="Normal 2 2 2 2 4 18 3" xfId="13778" xr:uid="{00000000-0005-0000-0000-0000D2350000}"/>
    <cellStyle name="Normal 2 2 2 2 4 18 3 10" xfId="13779" xr:uid="{00000000-0005-0000-0000-0000D3350000}"/>
    <cellStyle name="Normal 2 2 2 2 4 18 3 2" xfId="13780" xr:uid="{00000000-0005-0000-0000-0000D4350000}"/>
    <cellStyle name="Normal 2 2 2 2 4 18 3 3" xfId="13781" xr:uid="{00000000-0005-0000-0000-0000D5350000}"/>
    <cellStyle name="Normal 2 2 2 2 4 18 3 4" xfId="13782" xr:uid="{00000000-0005-0000-0000-0000D6350000}"/>
    <cellStyle name="Normal 2 2 2 2 4 18 3 5" xfId="13783" xr:uid="{00000000-0005-0000-0000-0000D7350000}"/>
    <cellStyle name="Normal 2 2 2 2 4 18 3 6" xfId="13784" xr:uid="{00000000-0005-0000-0000-0000D8350000}"/>
    <cellStyle name="Normal 2 2 2 2 4 18 3 7" xfId="13785" xr:uid="{00000000-0005-0000-0000-0000D9350000}"/>
    <cellStyle name="Normal 2 2 2 2 4 18 3 8" xfId="13786" xr:uid="{00000000-0005-0000-0000-0000DA350000}"/>
    <cellStyle name="Normal 2 2 2 2 4 18 3 9" xfId="13787" xr:uid="{00000000-0005-0000-0000-0000DB350000}"/>
    <cellStyle name="Normal 2 2 2 2 4 18 4" xfId="13788" xr:uid="{00000000-0005-0000-0000-0000DC350000}"/>
    <cellStyle name="Normal 2 2 2 2 4 18 4 10" xfId="13789" xr:uid="{00000000-0005-0000-0000-0000DD350000}"/>
    <cellStyle name="Normal 2 2 2 2 4 18 4 2" xfId="13790" xr:uid="{00000000-0005-0000-0000-0000DE350000}"/>
    <cellStyle name="Normal 2 2 2 2 4 18 4 3" xfId="13791" xr:uid="{00000000-0005-0000-0000-0000DF350000}"/>
    <cellStyle name="Normal 2 2 2 2 4 18 4 4" xfId="13792" xr:uid="{00000000-0005-0000-0000-0000E0350000}"/>
    <cellStyle name="Normal 2 2 2 2 4 18 4 5" xfId="13793" xr:uid="{00000000-0005-0000-0000-0000E1350000}"/>
    <cellStyle name="Normal 2 2 2 2 4 18 4 6" xfId="13794" xr:uid="{00000000-0005-0000-0000-0000E2350000}"/>
    <cellStyle name="Normal 2 2 2 2 4 18 4 7" xfId="13795" xr:uid="{00000000-0005-0000-0000-0000E3350000}"/>
    <cellStyle name="Normal 2 2 2 2 4 18 4 8" xfId="13796" xr:uid="{00000000-0005-0000-0000-0000E4350000}"/>
    <cellStyle name="Normal 2 2 2 2 4 18 4 9" xfId="13797" xr:uid="{00000000-0005-0000-0000-0000E5350000}"/>
    <cellStyle name="Normal 2 2 2 2 4 18 5" xfId="13798" xr:uid="{00000000-0005-0000-0000-0000E6350000}"/>
    <cellStyle name="Normal 2 2 2 2 4 18 5 10" xfId="13799" xr:uid="{00000000-0005-0000-0000-0000E7350000}"/>
    <cellStyle name="Normal 2 2 2 2 4 18 5 2" xfId="13800" xr:uid="{00000000-0005-0000-0000-0000E8350000}"/>
    <cellStyle name="Normal 2 2 2 2 4 18 5 3" xfId="13801" xr:uid="{00000000-0005-0000-0000-0000E9350000}"/>
    <cellStyle name="Normal 2 2 2 2 4 18 5 4" xfId="13802" xr:uid="{00000000-0005-0000-0000-0000EA350000}"/>
    <cellStyle name="Normal 2 2 2 2 4 18 5 5" xfId="13803" xr:uid="{00000000-0005-0000-0000-0000EB350000}"/>
    <cellStyle name="Normal 2 2 2 2 4 18 5 6" xfId="13804" xr:uid="{00000000-0005-0000-0000-0000EC350000}"/>
    <cellStyle name="Normal 2 2 2 2 4 18 5 7" xfId="13805" xr:uid="{00000000-0005-0000-0000-0000ED350000}"/>
    <cellStyle name="Normal 2 2 2 2 4 18 5 8" xfId="13806" xr:uid="{00000000-0005-0000-0000-0000EE350000}"/>
    <cellStyle name="Normal 2 2 2 2 4 18 5 9" xfId="13807" xr:uid="{00000000-0005-0000-0000-0000EF350000}"/>
    <cellStyle name="Normal 2 2 2 2 4 18 6" xfId="13808" xr:uid="{00000000-0005-0000-0000-0000F0350000}"/>
    <cellStyle name="Normal 2 2 2 2 4 18 7" xfId="13809" xr:uid="{00000000-0005-0000-0000-0000F1350000}"/>
    <cellStyle name="Normal 2 2 2 2 4 18 8" xfId="13810" xr:uid="{00000000-0005-0000-0000-0000F2350000}"/>
    <cellStyle name="Normal 2 2 2 2 4 18 9" xfId="13811" xr:uid="{00000000-0005-0000-0000-0000F3350000}"/>
    <cellStyle name="Normal 2 2 2 2 4 19" xfId="13812" xr:uid="{00000000-0005-0000-0000-0000F4350000}"/>
    <cellStyle name="Normal 2 2 2 2 4 19 10" xfId="13813" xr:uid="{00000000-0005-0000-0000-0000F5350000}"/>
    <cellStyle name="Normal 2 2 2 2 4 19 11" xfId="13814" xr:uid="{00000000-0005-0000-0000-0000F6350000}"/>
    <cellStyle name="Normal 2 2 2 2 4 19 12" xfId="13815" xr:uid="{00000000-0005-0000-0000-0000F7350000}"/>
    <cellStyle name="Normal 2 2 2 2 4 19 13" xfId="13816" xr:uid="{00000000-0005-0000-0000-0000F8350000}"/>
    <cellStyle name="Normal 2 2 2 2 4 19 14" xfId="13817" xr:uid="{00000000-0005-0000-0000-0000F9350000}"/>
    <cellStyle name="Normal 2 2 2 2 4 19 2" xfId="13818" xr:uid="{00000000-0005-0000-0000-0000FA350000}"/>
    <cellStyle name="Normal 2 2 2 2 4 19 2 10" xfId="13819" xr:uid="{00000000-0005-0000-0000-0000FB350000}"/>
    <cellStyle name="Normal 2 2 2 2 4 19 2 2" xfId="13820" xr:uid="{00000000-0005-0000-0000-0000FC350000}"/>
    <cellStyle name="Normal 2 2 2 2 4 19 2 3" xfId="13821" xr:uid="{00000000-0005-0000-0000-0000FD350000}"/>
    <cellStyle name="Normal 2 2 2 2 4 19 2 4" xfId="13822" xr:uid="{00000000-0005-0000-0000-0000FE350000}"/>
    <cellStyle name="Normal 2 2 2 2 4 19 2 5" xfId="13823" xr:uid="{00000000-0005-0000-0000-0000FF350000}"/>
    <cellStyle name="Normal 2 2 2 2 4 19 2 6" xfId="13824" xr:uid="{00000000-0005-0000-0000-000000360000}"/>
    <cellStyle name="Normal 2 2 2 2 4 19 2 7" xfId="13825" xr:uid="{00000000-0005-0000-0000-000001360000}"/>
    <cellStyle name="Normal 2 2 2 2 4 19 2 8" xfId="13826" xr:uid="{00000000-0005-0000-0000-000002360000}"/>
    <cellStyle name="Normal 2 2 2 2 4 19 2 9" xfId="13827" xr:uid="{00000000-0005-0000-0000-000003360000}"/>
    <cellStyle name="Normal 2 2 2 2 4 19 3" xfId="13828" xr:uid="{00000000-0005-0000-0000-000004360000}"/>
    <cellStyle name="Normal 2 2 2 2 4 19 3 10" xfId="13829" xr:uid="{00000000-0005-0000-0000-000005360000}"/>
    <cellStyle name="Normal 2 2 2 2 4 19 3 2" xfId="13830" xr:uid="{00000000-0005-0000-0000-000006360000}"/>
    <cellStyle name="Normal 2 2 2 2 4 19 3 3" xfId="13831" xr:uid="{00000000-0005-0000-0000-000007360000}"/>
    <cellStyle name="Normal 2 2 2 2 4 19 3 4" xfId="13832" xr:uid="{00000000-0005-0000-0000-000008360000}"/>
    <cellStyle name="Normal 2 2 2 2 4 19 3 5" xfId="13833" xr:uid="{00000000-0005-0000-0000-000009360000}"/>
    <cellStyle name="Normal 2 2 2 2 4 19 3 6" xfId="13834" xr:uid="{00000000-0005-0000-0000-00000A360000}"/>
    <cellStyle name="Normal 2 2 2 2 4 19 3 7" xfId="13835" xr:uid="{00000000-0005-0000-0000-00000B360000}"/>
    <cellStyle name="Normal 2 2 2 2 4 19 3 8" xfId="13836" xr:uid="{00000000-0005-0000-0000-00000C360000}"/>
    <cellStyle name="Normal 2 2 2 2 4 19 3 9" xfId="13837" xr:uid="{00000000-0005-0000-0000-00000D360000}"/>
    <cellStyle name="Normal 2 2 2 2 4 19 4" xfId="13838" xr:uid="{00000000-0005-0000-0000-00000E360000}"/>
    <cellStyle name="Normal 2 2 2 2 4 19 4 10" xfId="13839" xr:uid="{00000000-0005-0000-0000-00000F360000}"/>
    <cellStyle name="Normal 2 2 2 2 4 19 4 2" xfId="13840" xr:uid="{00000000-0005-0000-0000-000010360000}"/>
    <cellStyle name="Normal 2 2 2 2 4 19 4 3" xfId="13841" xr:uid="{00000000-0005-0000-0000-000011360000}"/>
    <cellStyle name="Normal 2 2 2 2 4 19 4 4" xfId="13842" xr:uid="{00000000-0005-0000-0000-000012360000}"/>
    <cellStyle name="Normal 2 2 2 2 4 19 4 5" xfId="13843" xr:uid="{00000000-0005-0000-0000-000013360000}"/>
    <cellStyle name="Normal 2 2 2 2 4 19 4 6" xfId="13844" xr:uid="{00000000-0005-0000-0000-000014360000}"/>
    <cellStyle name="Normal 2 2 2 2 4 19 4 7" xfId="13845" xr:uid="{00000000-0005-0000-0000-000015360000}"/>
    <cellStyle name="Normal 2 2 2 2 4 19 4 8" xfId="13846" xr:uid="{00000000-0005-0000-0000-000016360000}"/>
    <cellStyle name="Normal 2 2 2 2 4 19 4 9" xfId="13847" xr:uid="{00000000-0005-0000-0000-000017360000}"/>
    <cellStyle name="Normal 2 2 2 2 4 19 5" xfId="13848" xr:uid="{00000000-0005-0000-0000-000018360000}"/>
    <cellStyle name="Normal 2 2 2 2 4 19 5 10" xfId="13849" xr:uid="{00000000-0005-0000-0000-000019360000}"/>
    <cellStyle name="Normal 2 2 2 2 4 19 5 2" xfId="13850" xr:uid="{00000000-0005-0000-0000-00001A360000}"/>
    <cellStyle name="Normal 2 2 2 2 4 19 5 3" xfId="13851" xr:uid="{00000000-0005-0000-0000-00001B360000}"/>
    <cellStyle name="Normal 2 2 2 2 4 19 5 4" xfId="13852" xr:uid="{00000000-0005-0000-0000-00001C360000}"/>
    <cellStyle name="Normal 2 2 2 2 4 19 5 5" xfId="13853" xr:uid="{00000000-0005-0000-0000-00001D360000}"/>
    <cellStyle name="Normal 2 2 2 2 4 19 5 6" xfId="13854" xr:uid="{00000000-0005-0000-0000-00001E360000}"/>
    <cellStyle name="Normal 2 2 2 2 4 19 5 7" xfId="13855" xr:uid="{00000000-0005-0000-0000-00001F360000}"/>
    <cellStyle name="Normal 2 2 2 2 4 19 5 8" xfId="13856" xr:uid="{00000000-0005-0000-0000-000020360000}"/>
    <cellStyle name="Normal 2 2 2 2 4 19 5 9" xfId="13857" xr:uid="{00000000-0005-0000-0000-000021360000}"/>
    <cellStyle name="Normal 2 2 2 2 4 19 6" xfId="13858" xr:uid="{00000000-0005-0000-0000-000022360000}"/>
    <cellStyle name="Normal 2 2 2 2 4 19 7" xfId="13859" xr:uid="{00000000-0005-0000-0000-000023360000}"/>
    <cellStyle name="Normal 2 2 2 2 4 19 8" xfId="13860" xr:uid="{00000000-0005-0000-0000-000024360000}"/>
    <cellStyle name="Normal 2 2 2 2 4 19 9" xfId="13861" xr:uid="{00000000-0005-0000-0000-000025360000}"/>
    <cellStyle name="Normal 2 2 2 2 4 2" xfId="13862" xr:uid="{00000000-0005-0000-0000-000026360000}"/>
    <cellStyle name="Normal 2 2 2 2 4 2 10" xfId="13863" xr:uid="{00000000-0005-0000-0000-000027360000}"/>
    <cellStyle name="Normal 2 2 2 2 4 2 11" xfId="13864" xr:uid="{00000000-0005-0000-0000-000028360000}"/>
    <cellStyle name="Normal 2 2 2 2 4 2 12" xfId="13865" xr:uid="{00000000-0005-0000-0000-000029360000}"/>
    <cellStyle name="Normal 2 2 2 2 4 2 13" xfId="13866" xr:uid="{00000000-0005-0000-0000-00002A360000}"/>
    <cellStyle name="Normal 2 2 2 2 4 2 14" xfId="13867" xr:uid="{00000000-0005-0000-0000-00002B360000}"/>
    <cellStyle name="Normal 2 2 2 2 4 2 15" xfId="13868" xr:uid="{00000000-0005-0000-0000-00002C360000}"/>
    <cellStyle name="Normal 2 2 2 2 4 2 16" xfId="13869" xr:uid="{00000000-0005-0000-0000-00002D360000}"/>
    <cellStyle name="Normal 2 2 2 2 4 2 17" xfId="13870" xr:uid="{00000000-0005-0000-0000-00002E360000}"/>
    <cellStyle name="Normal 2 2 2 2 4 2 18" xfId="13871" xr:uid="{00000000-0005-0000-0000-00002F360000}"/>
    <cellStyle name="Normal 2 2 2 2 4 2 19" xfId="13872" xr:uid="{00000000-0005-0000-0000-000030360000}"/>
    <cellStyle name="Normal 2 2 2 2 4 2 2" xfId="13873" xr:uid="{00000000-0005-0000-0000-000031360000}"/>
    <cellStyle name="Normal 2 2 2 2 4 2 2 10" xfId="13874" xr:uid="{00000000-0005-0000-0000-000032360000}"/>
    <cellStyle name="Normal 2 2 2 2 4 2 2 10 10" xfId="13875" xr:uid="{00000000-0005-0000-0000-000033360000}"/>
    <cellStyle name="Normal 2 2 2 2 4 2 2 10 11" xfId="13876" xr:uid="{00000000-0005-0000-0000-000034360000}"/>
    <cellStyle name="Normal 2 2 2 2 4 2 2 10 12" xfId="13877" xr:uid="{00000000-0005-0000-0000-000035360000}"/>
    <cellStyle name="Normal 2 2 2 2 4 2 2 10 13" xfId="13878" xr:uid="{00000000-0005-0000-0000-000036360000}"/>
    <cellStyle name="Normal 2 2 2 2 4 2 2 10 14" xfId="13879" xr:uid="{00000000-0005-0000-0000-000037360000}"/>
    <cellStyle name="Normal 2 2 2 2 4 2 2 10 2" xfId="13880" xr:uid="{00000000-0005-0000-0000-000038360000}"/>
    <cellStyle name="Normal 2 2 2 2 4 2 2 10 2 10" xfId="13881" xr:uid="{00000000-0005-0000-0000-000039360000}"/>
    <cellStyle name="Normal 2 2 2 2 4 2 2 10 2 2" xfId="13882" xr:uid="{00000000-0005-0000-0000-00003A360000}"/>
    <cellStyle name="Normal 2 2 2 2 4 2 2 10 2 3" xfId="13883" xr:uid="{00000000-0005-0000-0000-00003B360000}"/>
    <cellStyle name="Normal 2 2 2 2 4 2 2 10 2 4" xfId="13884" xr:uid="{00000000-0005-0000-0000-00003C360000}"/>
    <cellStyle name="Normal 2 2 2 2 4 2 2 10 2 5" xfId="13885" xr:uid="{00000000-0005-0000-0000-00003D360000}"/>
    <cellStyle name="Normal 2 2 2 2 4 2 2 10 2 6" xfId="13886" xr:uid="{00000000-0005-0000-0000-00003E360000}"/>
    <cellStyle name="Normal 2 2 2 2 4 2 2 10 2 7" xfId="13887" xr:uid="{00000000-0005-0000-0000-00003F360000}"/>
    <cellStyle name="Normal 2 2 2 2 4 2 2 10 2 8" xfId="13888" xr:uid="{00000000-0005-0000-0000-000040360000}"/>
    <cellStyle name="Normal 2 2 2 2 4 2 2 10 2 9" xfId="13889" xr:uid="{00000000-0005-0000-0000-000041360000}"/>
    <cellStyle name="Normal 2 2 2 2 4 2 2 10 3" xfId="13890" xr:uid="{00000000-0005-0000-0000-000042360000}"/>
    <cellStyle name="Normal 2 2 2 2 4 2 2 10 3 10" xfId="13891" xr:uid="{00000000-0005-0000-0000-000043360000}"/>
    <cellStyle name="Normal 2 2 2 2 4 2 2 10 3 2" xfId="13892" xr:uid="{00000000-0005-0000-0000-000044360000}"/>
    <cellStyle name="Normal 2 2 2 2 4 2 2 10 3 3" xfId="13893" xr:uid="{00000000-0005-0000-0000-000045360000}"/>
    <cellStyle name="Normal 2 2 2 2 4 2 2 10 3 4" xfId="13894" xr:uid="{00000000-0005-0000-0000-000046360000}"/>
    <cellStyle name="Normal 2 2 2 2 4 2 2 10 3 5" xfId="13895" xr:uid="{00000000-0005-0000-0000-000047360000}"/>
    <cellStyle name="Normal 2 2 2 2 4 2 2 10 3 6" xfId="13896" xr:uid="{00000000-0005-0000-0000-000048360000}"/>
    <cellStyle name="Normal 2 2 2 2 4 2 2 10 3 7" xfId="13897" xr:uid="{00000000-0005-0000-0000-000049360000}"/>
    <cellStyle name="Normal 2 2 2 2 4 2 2 10 3 8" xfId="13898" xr:uid="{00000000-0005-0000-0000-00004A360000}"/>
    <cellStyle name="Normal 2 2 2 2 4 2 2 10 3 9" xfId="13899" xr:uid="{00000000-0005-0000-0000-00004B360000}"/>
    <cellStyle name="Normal 2 2 2 2 4 2 2 10 4" xfId="13900" xr:uid="{00000000-0005-0000-0000-00004C360000}"/>
    <cellStyle name="Normal 2 2 2 2 4 2 2 10 4 10" xfId="13901" xr:uid="{00000000-0005-0000-0000-00004D360000}"/>
    <cellStyle name="Normal 2 2 2 2 4 2 2 10 4 2" xfId="13902" xr:uid="{00000000-0005-0000-0000-00004E360000}"/>
    <cellStyle name="Normal 2 2 2 2 4 2 2 10 4 3" xfId="13903" xr:uid="{00000000-0005-0000-0000-00004F360000}"/>
    <cellStyle name="Normal 2 2 2 2 4 2 2 10 4 4" xfId="13904" xr:uid="{00000000-0005-0000-0000-000050360000}"/>
    <cellStyle name="Normal 2 2 2 2 4 2 2 10 4 5" xfId="13905" xr:uid="{00000000-0005-0000-0000-000051360000}"/>
    <cellStyle name="Normal 2 2 2 2 4 2 2 10 4 6" xfId="13906" xr:uid="{00000000-0005-0000-0000-000052360000}"/>
    <cellStyle name="Normal 2 2 2 2 4 2 2 10 4 7" xfId="13907" xr:uid="{00000000-0005-0000-0000-000053360000}"/>
    <cellStyle name="Normal 2 2 2 2 4 2 2 10 4 8" xfId="13908" xr:uid="{00000000-0005-0000-0000-000054360000}"/>
    <cellStyle name="Normal 2 2 2 2 4 2 2 10 4 9" xfId="13909" xr:uid="{00000000-0005-0000-0000-000055360000}"/>
    <cellStyle name="Normal 2 2 2 2 4 2 2 10 5" xfId="13910" xr:uid="{00000000-0005-0000-0000-000056360000}"/>
    <cellStyle name="Normal 2 2 2 2 4 2 2 10 5 10" xfId="13911" xr:uid="{00000000-0005-0000-0000-000057360000}"/>
    <cellStyle name="Normal 2 2 2 2 4 2 2 10 5 2" xfId="13912" xr:uid="{00000000-0005-0000-0000-000058360000}"/>
    <cellStyle name="Normal 2 2 2 2 4 2 2 10 5 3" xfId="13913" xr:uid="{00000000-0005-0000-0000-000059360000}"/>
    <cellStyle name="Normal 2 2 2 2 4 2 2 10 5 4" xfId="13914" xr:uid="{00000000-0005-0000-0000-00005A360000}"/>
    <cellStyle name="Normal 2 2 2 2 4 2 2 10 5 5" xfId="13915" xr:uid="{00000000-0005-0000-0000-00005B360000}"/>
    <cellStyle name="Normal 2 2 2 2 4 2 2 10 5 6" xfId="13916" xr:uid="{00000000-0005-0000-0000-00005C360000}"/>
    <cellStyle name="Normal 2 2 2 2 4 2 2 10 5 7" xfId="13917" xr:uid="{00000000-0005-0000-0000-00005D360000}"/>
    <cellStyle name="Normal 2 2 2 2 4 2 2 10 5 8" xfId="13918" xr:uid="{00000000-0005-0000-0000-00005E360000}"/>
    <cellStyle name="Normal 2 2 2 2 4 2 2 10 5 9" xfId="13919" xr:uid="{00000000-0005-0000-0000-00005F360000}"/>
    <cellStyle name="Normal 2 2 2 2 4 2 2 10 6" xfId="13920" xr:uid="{00000000-0005-0000-0000-000060360000}"/>
    <cellStyle name="Normal 2 2 2 2 4 2 2 10 7" xfId="13921" xr:uid="{00000000-0005-0000-0000-000061360000}"/>
    <cellStyle name="Normal 2 2 2 2 4 2 2 10 8" xfId="13922" xr:uid="{00000000-0005-0000-0000-000062360000}"/>
    <cellStyle name="Normal 2 2 2 2 4 2 2 10 9" xfId="13923" xr:uid="{00000000-0005-0000-0000-000063360000}"/>
    <cellStyle name="Normal 2 2 2 2 4 2 2 11" xfId="13924" xr:uid="{00000000-0005-0000-0000-000064360000}"/>
    <cellStyle name="Normal 2 2 2 2 4 2 2 11 10" xfId="13925" xr:uid="{00000000-0005-0000-0000-000065360000}"/>
    <cellStyle name="Normal 2 2 2 2 4 2 2 11 11" xfId="13926" xr:uid="{00000000-0005-0000-0000-000066360000}"/>
    <cellStyle name="Normal 2 2 2 2 4 2 2 11 12" xfId="13927" xr:uid="{00000000-0005-0000-0000-000067360000}"/>
    <cellStyle name="Normal 2 2 2 2 4 2 2 11 13" xfId="13928" xr:uid="{00000000-0005-0000-0000-000068360000}"/>
    <cellStyle name="Normal 2 2 2 2 4 2 2 11 14" xfId="13929" xr:uid="{00000000-0005-0000-0000-000069360000}"/>
    <cellStyle name="Normal 2 2 2 2 4 2 2 11 2" xfId="13930" xr:uid="{00000000-0005-0000-0000-00006A360000}"/>
    <cellStyle name="Normal 2 2 2 2 4 2 2 11 2 10" xfId="13931" xr:uid="{00000000-0005-0000-0000-00006B360000}"/>
    <cellStyle name="Normal 2 2 2 2 4 2 2 11 2 2" xfId="13932" xr:uid="{00000000-0005-0000-0000-00006C360000}"/>
    <cellStyle name="Normal 2 2 2 2 4 2 2 11 2 3" xfId="13933" xr:uid="{00000000-0005-0000-0000-00006D360000}"/>
    <cellStyle name="Normal 2 2 2 2 4 2 2 11 2 4" xfId="13934" xr:uid="{00000000-0005-0000-0000-00006E360000}"/>
    <cellStyle name="Normal 2 2 2 2 4 2 2 11 2 5" xfId="13935" xr:uid="{00000000-0005-0000-0000-00006F360000}"/>
    <cellStyle name="Normal 2 2 2 2 4 2 2 11 2 6" xfId="13936" xr:uid="{00000000-0005-0000-0000-000070360000}"/>
    <cellStyle name="Normal 2 2 2 2 4 2 2 11 2 7" xfId="13937" xr:uid="{00000000-0005-0000-0000-000071360000}"/>
    <cellStyle name="Normal 2 2 2 2 4 2 2 11 2 8" xfId="13938" xr:uid="{00000000-0005-0000-0000-000072360000}"/>
    <cellStyle name="Normal 2 2 2 2 4 2 2 11 2 9" xfId="13939" xr:uid="{00000000-0005-0000-0000-000073360000}"/>
    <cellStyle name="Normal 2 2 2 2 4 2 2 11 3" xfId="13940" xr:uid="{00000000-0005-0000-0000-000074360000}"/>
    <cellStyle name="Normal 2 2 2 2 4 2 2 11 3 10" xfId="13941" xr:uid="{00000000-0005-0000-0000-000075360000}"/>
    <cellStyle name="Normal 2 2 2 2 4 2 2 11 3 2" xfId="13942" xr:uid="{00000000-0005-0000-0000-000076360000}"/>
    <cellStyle name="Normal 2 2 2 2 4 2 2 11 3 3" xfId="13943" xr:uid="{00000000-0005-0000-0000-000077360000}"/>
    <cellStyle name="Normal 2 2 2 2 4 2 2 11 3 4" xfId="13944" xr:uid="{00000000-0005-0000-0000-000078360000}"/>
    <cellStyle name="Normal 2 2 2 2 4 2 2 11 3 5" xfId="13945" xr:uid="{00000000-0005-0000-0000-000079360000}"/>
    <cellStyle name="Normal 2 2 2 2 4 2 2 11 3 6" xfId="13946" xr:uid="{00000000-0005-0000-0000-00007A360000}"/>
    <cellStyle name="Normal 2 2 2 2 4 2 2 11 3 7" xfId="13947" xr:uid="{00000000-0005-0000-0000-00007B360000}"/>
    <cellStyle name="Normal 2 2 2 2 4 2 2 11 3 8" xfId="13948" xr:uid="{00000000-0005-0000-0000-00007C360000}"/>
    <cellStyle name="Normal 2 2 2 2 4 2 2 11 3 9" xfId="13949" xr:uid="{00000000-0005-0000-0000-00007D360000}"/>
    <cellStyle name="Normal 2 2 2 2 4 2 2 11 4" xfId="13950" xr:uid="{00000000-0005-0000-0000-00007E360000}"/>
    <cellStyle name="Normal 2 2 2 2 4 2 2 11 4 10" xfId="13951" xr:uid="{00000000-0005-0000-0000-00007F360000}"/>
    <cellStyle name="Normal 2 2 2 2 4 2 2 11 4 2" xfId="13952" xr:uid="{00000000-0005-0000-0000-000080360000}"/>
    <cellStyle name="Normal 2 2 2 2 4 2 2 11 4 3" xfId="13953" xr:uid="{00000000-0005-0000-0000-000081360000}"/>
    <cellStyle name="Normal 2 2 2 2 4 2 2 11 4 4" xfId="13954" xr:uid="{00000000-0005-0000-0000-000082360000}"/>
    <cellStyle name="Normal 2 2 2 2 4 2 2 11 4 5" xfId="13955" xr:uid="{00000000-0005-0000-0000-000083360000}"/>
    <cellStyle name="Normal 2 2 2 2 4 2 2 11 4 6" xfId="13956" xr:uid="{00000000-0005-0000-0000-000084360000}"/>
    <cellStyle name="Normal 2 2 2 2 4 2 2 11 4 7" xfId="13957" xr:uid="{00000000-0005-0000-0000-000085360000}"/>
    <cellStyle name="Normal 2 2 2 2 4 2 2 11 4 8" xfId="13958" xr:uid="{00000000-0005-0000-0000-000086360000}"/>
    <cellStyle name="Normal 2 2 2 2 4 2 2 11 4 9" xfId="13959" xr:uid="{00000000-0005-0000-0000-000087360000}"/>
    <cellStyle name="Normal 2 2 2 2 4 2 2 11 5" xfId="13960" xr:uid="{00000000-0005-0000-0000-000088360000}"/>
    <cellStyle name="Normal 2 2 2 2 4 2 2 11 5 10" xfId="13961" xr:uid="{00000000-0005-0000-0000-000089360000}"/>
    <cellStyle name="Normal 2 2 2 2 4 2 2 11 5 2" xfId="13962" xr:uid="{00000000-0005-0000-0000-00008A360000}"/>
    <cellStyle name="Normal 2 2 2 2 4 2 2 11 5 3" xfId="13963" xr:uid="{00000000-0005-0000-0000-00008B360000}"/>
    <cellStyle name="Normal 2 2 2 2 4 2 2 11 5 4" xfId="13964" xr:uid="{00000000-0005-0000-0000-00008C360000}"/>
    <cellStyle name="Normal 2 2 2 2 4 2 2 11 5 5" xfId="13965" xr:uid="{00000000-0005-0000-0000-00008D360000}"/>
    <cellStyle name="Normal 2 2 2 2 4 2 2 11 5 6" xfId="13966" xr:uid="{00000000-0005-0000-0000-00008E360000}"/>
    <cellStyle name="Normal 2 2 2 2 4 2 2 11 5 7" xfId="13967" xr:uid="{00000000-0005-0000-0000-00008F360000}"/>
    <cellStyle name="Normal 2 2 2 2 4 2 2 11 5 8" xfId="13968" xr:uid="{00000000-0005-0000-0000-000090360000}"/>
    <cellStyle name="Normal 2 2 2 2 4 2 2 11 5 9" xfId="13969" xr:uid="{00000000-0005-0000-0000-000091360000}"/>
    <cellStyle name="Normal 2 2 2 2 4 2 2 11 6" xfId="13970" xr:uid="{00000000-0005-0000-0000-000092360000}"/>
    <cellStyle name="Normal 2 2 2 2 4 2 2 11 7" xfId="13971" xr:uid="{00000000-0005-0000-0000-000093360000}"/>
    <cellStyle name="Normal 2 2 2 2 4 2 2 11 8" xfId="13972" xr:uid="{00000000-0005-0000-0000-000094360000}"/>
    <cellStyle name="Normal 2 2 2 2 4 2 2 11 9" xfId="13973" xr:uid="{00000000-0005-0000-0000-000095360000}"/>
    <cellStyle name="Normal 2 2 2 2 4 2 2 12" xfId="13974" xr:uid="{00000000-0005-0000-0000-000096360000}"/>
    <cellStyle name="Normal 2 2 2 2 4 2 2 12 10" xfId="13975" xr:uid="{00000000-0005-0000-0000-000097360000}"/>
    <cellStyle name="Normal 2 2 2 2 4 2 2 12 11" xfId="13976" xr:uid="{00000000-0005-0000-0000-000098360000}"/>
    <cellStyle name="Normal 2 2 2 2 4 2 2 12 12" xfId="13977" xr:uid="{00000000-0005-0000-0000-000099360000}"/>
    <cellStyle name="Normal 2 2 2 2 4 2 2 12 13" xfId="13978" xr:uid="{00000000-0005-0000-0000-00009A360000}"/>
    <cellStyle name="Normal 2 2 2 2 4 2 2 12 14" xfId="13979" xr:uid="{00000000-0005-0000-0000-00009B360000}"/>
    <cellStyle name="Normal 2 2 2 2 4 2 2 12 2" xfId="13980" xr:uid="{00000000-0005-0000-0000-00009C360000}"/>
    <cellStyle name="Normal 2 2 2 2 4 2 2 12 2 10" xfId="13981" xr:uid="{00000000-0005-0000-0000-00009D360000}"/>
    <cellStyle name="Normal 2 2 2 2 4 2 2 12 2 2" xfId="13982" xr:uid="{00000000-0005-0000-0000-00009E360000}"/>
    <cellStyle name="Normal 2 2 2 2 4 2 2 12 2 3" xfId="13983" xr:uid="{00000000-0005-0000-0000-00009F360000}"/>
    <cellStyle name="Normal 2 2 2 2 4 2 2 12 2 4" xfId="13984" xr:uid="{00000000-0005-0000-0000-0000A0360000}"/>
    <cellStyle name="Normal 2 2 2 2 4 2 2 12 2 5" xfId="13985" xr:uid="{00000000-0005-0000-0000-0000A1360000}"/>
    <cellStyle name="Normal 2 2 2 2 4 2 2 12 2 6" xfId="13986" xr:uid="{00000000-0005-0000-0000-0000A2360000}"/>
    <cellStyle name="Normal 2 2 2 2 4 2 2 12 2 7" xfId="13987" xr:uid="{00000000-0005-0000-0000-0000A3360000}"/>
    <cellStyle name="Normal 2 2 2 2 4 2 2 12 2 8" xfId="13988" xr:uid="{00000000-0005-0000-0000-0000A4360000}"/>
    <cellStyle name="Normal 2 2 2 2 4 2 2 12 2 9" xfId="13989" xr:uid="{00000000-0005-0000-0000-0000A5360000}"/>
    <cellStyle name="Normal 2 2 2 2 4 2 2 12 3" xfId="13990" xr:uid="{00000000-0005-0000-0000-0000A6360000}"/>
    <cellStyle name="Normal 2 2 2 2 4 2 2 12 3 10" xfId="13991" xr:uid="{00000000-0005-0000-0000-0000A7360000}"/>
    <cellStyle name="Normal 2 2 2 2 4 2 2 12 3 2" xfId="13992" xr:uid="{00000000-0005-0000-0000-0000A8360000}"/>
    <cellStyle name="Normal 2 2 2 2 4 2 2 12 3 3" xfId="13993" xr:uid="{00000000-0005-0000-0000-0000A9360000}"/>
    <cellStyle name="Normal 2 2 2 2 4 2 2 12 3 4" xfId="13994" xr:uid="{00000000-0005-0000-0000-0000AA360000}"/>
    <cellStyle name="Normal 2 2 2 2 4 2 2 12 3 5" xfId="13995" xr:uid="{00000000-0005-0000-0000-0000AB360000}"/>
    <cellStyle name="Normal 2 2 2 2 4 2 2 12 3 6" xfId="13996" xr:uid="{00000000-0005-0000-0000-0000AC360000}"/>
    <cellStyle name="Normal 2 2 2 2 4 2 2 12 3 7" xfId="13997" xr:uid="{00000000-0005-0000-0000-0000AD360000}"/>
    <cellStyle name="Normal 2 2 2 2 4 2 2 12 3 8" xfId="13998" xr:uid="{00000000-0005-0000-0000-0000AE360000}"/>
    <cellStyle name="Normal 2 2 2 2 4 2 2 12 3 9" xfId="13999" xr:uid="{00000000-0005-0000-0000-0000AF360000}"/>
    <cellStyle name="Normal 2 2 2 2 4 2 2 12 4" xfId="14000" xr:uid="{00000000-0005-0000-0000-0000B0360000}"/>
    <cellStyle name="Normal 2 2 2 2 4 2 2 12 4 10" xfId="14001" xr:uid="{00000000-0005-0000-0000-0000B1360000}"/>
    <cellStyle name="Normal 2 2 2 2 4 2 2 12 4 2" xfId="14002" xr:uid="{00000000-0005-0000-0000-0000B2360000}"/>
    <cellStyle name="Normal 2 2 2 2 4 2 2 12 4 3" xfId="14003" xr:uid="{00000000-0005-0000-0000-0000B3360000}"/>
    <cellStyle name="Normal 2 2 2 2 4 2 2 12 4 4" xfId="14004" xr:uid="{00000000-0005-0000-0000-0000B4360000}"/>
    <cellStyle name="Normal 2 2 2 2 4 2 2 12 4 5" xfId="14005" xr:uid="{00000000-0005-0000-0000-0000B5360000}"/>
    <cellStyle name="Normal 2 2 2 2 4 2 2 12 4 6" xfId="14006" xr:uid="{00000000-0005-0000-0000-0000B6360000}"/>
    <cellStyle name="Normal 2 2 2 2 4 2 2 12 4 7" xfId="14007" xr:uid="{00000000-0005-0000-0000-0000B7360000}"/>
    <cellStyle name="Normal 2 2 2 2 4 2 2 12 4 8" xfId="14008" xr:uid="{00000000-0005-0000-0000-0000B8360000}"/>
    <cellStyle name="Normal 2 2 2 2 4 2 2 12 4 9" xfId="14009" xr:uid="{00000000-0005-0000-0000-0000B9360000}"/>
    <cellStyle name="Normal 2 2 2 2 4 2 2 12 5" xfId="14010" xr:uid="{00000000-0005-0000-0000-0000BA360000}"/>
    <cellStyle name="Normal 2 2 2 2 4 2 2 12 5 10" xfId="14011" xr:uid="{00000000-0005-0000-0000-0000BB360000}"/>
    <cellStyle name="Normal 2 2 2 2 4 2 2 12 5 2" xfId="14012" xr:uid="{00000000-0005-0000-0000-0000BC360000}"/>
    <cellStyle name="Normal 2 2 2 2 4 2 2 12 5 3" xfId="14013" xr:uid="{00000000-0005-0000-0000-0000BD360000}"/>
    <cellStyle name="Normal 2 2 2 2 4 2 2 12 5 4" xfId="14014" xr:uid="{00000000-0005-0000-0000-0000BE360000}"/>
    <cellStyle name="Normal 2 2 2 2 4 2 2 12 5 5" xfId="14015" xr:uid="{00000000-0005-0000-0000-0000BF360000}"/>
    <cellStyle name="Normal 2 2 2 2 4 2 2 12 5 6" xfId="14016" xr:uid="{00000000-0005-0000-0000-0000C0360000}"/>
    <cellStyle name="Normal 2 2 2 2 4 2 2 12 5 7" xfId="14017" xr:uid="{00000000-0005-0000-0000-0000C1360000}"/>
    <cellStyle name="Normal 2 2 2 2 4 2 2 12 5 8" xfId="14018" xr:uid="{00000000-0005-0000-0000-0000C2360000}"/>
    <cellStyle name="Normal 2 2 2 2 4 2 2 12 5 9" xfId="14019" xr:uid="{00000000-0005-0000-0000-0000C3360000}"/>
    <cellStyle name="Normal 2 2 2 2 4 2 2 12 6" xfId="14020" xr:uid="{00000000-0005-0000-0000-0000C4360000}"/>
    <cellStyle name="Normal 2 2 2 2 4 2 2 12 7" xfId="14021" xr:uid="{00000000-0005-0000-0000-0000C5360000}"/>
    <cellStyle name="Normal 2 2 2 2 4 2 2 12 8" xfId="14022" xr:uid="{00000000-0005-0000-0000-0000C6360000}"/>
    <cellStyle name="Normal 2 2 2 2 4 2 2 12 9" xfId="14023" xr:uid="{00000000-0005-0000-0000-0000C7360000}"/>
    <cellStyle name="Normal 2 2 2 2 4 2 2 13" xfId="14024" xr:uid="{00000000-0005-0000-0000-0000C8360000}"/>
    <cellStyle name="Normal 2 2 2 2 4 2 2 13 10" xfId="14025" xr:uid="{00000000-0005-0000-0000-0000C9360000}"/>
    <cellStyle name="Normal 2 2 2 2 4 2 2 13 11" xfId="14026" xr:uid="{00000000-0005-0000-0000-0000CA360000}"/>
    <cellStyle name="Normal 2 2 2 2 4 2 2 13 12" xfId="14027" xr:uid="{00000000-0005-0000-0000-0000CB360000}"/>
    <cellStyle name="Normal 2 2 2 2 4 2 2 13 13" xfId="14028" xr:uid="{00000000-0005-0000-0000-0000CC360000}"/>
    <cellStyle name="Normal 2 2 2 2 4 2 2 13 14" xfId="14029" xr:uid="{00000000-0005-0000-0000-0000CD360000}"/>
    <cellStyle name="Normal 2 2 2 2 4 2 2 13 2" xfId="14030" xr:uid="{00000000-0005-0000-0000-0000CE360000}"/>
    <cellStyle name="Normal 2 2 2 2 4 2 2 13 2 10" xfId="14031" xr:uid="{00000000-0005-0000-0000-0000CF360000}"/>
    <cellStyle name="Normal 2 2 2 2 4 2 2 13 2 2" xfId="14032" xr:uid="{00000000-0005-0000-0000-0000D0360000}"/>
    <cellStyle name="Normal 2 2 2 2 4 2 2 13 2 3" xfId="14033" xr:uid="{00000000-0005-0000-0000-0000D1360000}"/>
    <cellStyle name="Normal 2 2 2 2 4 2 2 13 2 4" xfId="14034" xr:uid="{00000000-0005-0000-0000-0000D2360000}"/>
    <cellStyle name="Normal 2 2 2 2 4 2 2 13 2 5" xfId="14035" xr:uid="{00000000-0005-0000-0000-0000D3360000}"/>
    <cellStyle name="Normal 2 2 2 2 4 2 2 13 2 6" xfId="14036" xr:uid="{00000000-0005-0000-0000-0000D4360000}"/>
    <cellStyle name="Normal 2 2 2 2 4 2 2 13 2 7" xfId="14037" xr:uid="{00000000-0005-0000-0000-0000D5360000}"/>
    <cellStyle name="Normal 2 2 2 2 4 2 2 13 2 8" xfId="14038" xr:uid="{00000000-0005-0000-0000-0000D6360000}"/>
    <cellStyle name="Normal 2 2 2 2 4 2 2 13 2 9" xfId="14039" xr:uid="{00000000-0005-0000-0000-0000D7360000}"/>
    <cellStyle name="Normal 2 2 2 2 4 2 2 13 3" xfId="14040" xr:uid="{00000000-0005-0000-0000-0000D8360000}"/>
    <cellStyle name="Normal 2 2 2 2 4 2 2 13 3 10" xfId="14041" xr:uid="{00000000-0005-0000-0000-0000D9360000}"/>
    <cellStyle name="Normal 2 2 2 2 4 2 2 13 3 2" xfId="14042" xr:uid="{00000000-0005-0000-0000-0000DA360000}"/>
    <cellStyle name="Normal 2 2 2 2 4 2 2 13 3 3" xfId="14043" xr:uid="{00000000-0005-0000-0000-0000DB360000}"/>
    <cellStyle name="Normal 2 2 2 2 4 2 2 13 3 4" xfId="14044" xr:uid="{00000000-0005-0000-0000-0000DC360000}"/>
    <cellStyle name="Normal 2 2 2 2 4 2 2 13 3 5" xfId="14045" xr:uid="{00000000-0005-0000-0000-0000DD360000}"/>
    <cellStyle name="Normal 2 2 2 2 4 2 2 13 3 6" xfId="14046" xr:uid="{00000000-0005-0000-0000-0000DE360000}"/>
    <cellStyle name="Normal 2 2 2 2 4 2 2 13 3 7" xfId="14047" xr:uid="{00000000-0005-0000-0000-0000DF360000}"/>
    <cellStyle name="Normal 2 2 2 2 4 2 2 13 3 8" xfId="14048" xr:uid="{00000000-0005-0000-0000-0000E0360000}"/>
    <cellStyle name="Normal 2 2 2 2 4 2 2 13 3 9" xfId="14049" xr:uid="{00000000-0005-0000-0000-0000E1360000}"/>
    <cellStyle name="Normal 2 2 2 2 4 2 2 13 4" xfId="14050" xr:uid="{00000000-0005-0000-0000-0000E2360000}"/>
    <cellStyle name="Normal 2 2 2 2 4 2 2 13 4 10" xfId="14051" xr:uid="{00000000-0005-0000-0000-0000E3360000}"/>
    <cellStyle name="Normal 2 2 2 2 4 2 2 13 4 2" xfId="14052" xr:uid="{00000000-0005-0000-0000-0000E4360000}"/>
    <cellStyle name="Normal 2 2 2 2 4 2 2 13 4 3" xfId="14053" xr:uid="{00000000-0005-0000-0000-0000E5360000}"/>
    <cellStyle name="Normal 2 2 2 2 4 2 2 13 4 4" xfId="14054" xr:uid="{00000000-0005-0000-0000-0000E6360000}"/>
    <cellStyle name="Normal 2 2 2 2 4 2 2 13 4 5" xfId="14055" xr:uid="{00000000-0005-0000-0000-0000E7360000}"/>
    <cellStyle name="Normal 2 2 2 2 4 2 2 13 4 6" xfId="14056" xr:uid="{00000000-0005-0000-0000-0000E8360000}"/>
    <cellStyle name="Normal 2 2 2 2 4 2 2 13 4 7" xfId="14057" xr:uid="{00000000-0005-0000-0000-0000E9360000}"/>
    <cellStyle name="Normal 2 2 2 2 4 2 2 13 4 8" xfId="14058" xr:uid="{00000000-0005-0000-0000-0000EA360000}"/>
    <cellStyle name="Normal 2 2 2 2 4 2 2 13 4 9" xfId="14059" xr:uid="{00000000-0005-0000-0000-0000EB360000}"/>
    <cellStyle name="Normal 2 2 2 2 4 2 2 13 5" xfId="14060" xr:uid="{00000000-0005-0000-0000-0000EC360000}"/>
    <cellStyle name="Normal 2 2 2 2 4 2 2 13 5 10" xfId="14061" xr:uid="{00000000-0005-0000-0000-0000ED360000}"/>
    <cellStyle name="Normal 2 2 2 2 4 2 2 13 5 2" xfId="14062" xr:uid="{00000000-0005-0000-0000-0000EE360000}"/>
    <cellStyle name="Normal 2 2 2 2 4 2 2 13 5 3" xfId="14063" xr:uid="{00000000-0005-0000-0000-0000EF360000}"/>
    <cellStyle name="Normal 2 2 2 2 4 2 2 13 5 4" xfId="14064" xr:uid="{00000000-0005-0000-0000-0000F0360000}"/>
    <cellStyle name="Normal 2 2 2 2 4 2 2 13 5 5" xfId="14065" xr:uid="{00000000-0005-0000-0000-0000F1360000}"/>
    <cellStyle name="Normal 2 2 2 2 4 2 2 13 5 6" xfId="14066" xr:uid="{00000000-0005-0000-0000-0000F2360000}"/>
    <cellStyle name="Normal 2 2 2 2 4 2 2 13 5 7" xfId="14067" xr:uid="{00000000-0005-0000-0000-0000F3360000}"/>
    <cellStyle name="Normal 2 2 2 2 4 2 2 13 5 8" xfId="14068" xr:uid="{00000000-0005-0000-0000-0000F4360000}"/>
    <cellStyle name="Normal 2 2 2 2 4 2 2 13 5 9" xfId="14069" xr:uid="{00000000-0005-0000-0000-0000F5360000}"/>
    <cellStyle name="Normal 2 2 2 2 4 2 2 13 6" xfId="14070" xr:uid="{00000000-0005-0000-0000-0000F6360000}"/>
    <cellStyle name="Normal 2 2 2 2 4 2 2 13 7" xfId="14071" xr:uid="{00000000-0005-0000-0000-0000F7360000}"/>
    <cellStyle name="Normal 2 2 2 2 4 2 2 13 8" xfId="14072" xr:uid="{00000000-0005-0000-0000-0000F8360000}"/>
    <cellStyle name="Normal 2 2 2 2 4 2 2 13 9" xfId="14073" xr:uid="{00000000-0005-0000-0000-0000F9360000}"/>
    <cellStyle name="Normal 2 2 2 2 4 2 2 14" xfId="14074" xr:uid="{00000000-0005-0000-0000-0000FA360000}"/>
    <cellStyle name="Normal 2 2 2 2 4 2 2 14 10" xfId="14075" xr:uid="{00000000-0005-0000-0000-0000FB360000}"/>
    <cellStyle name="Normal 2 2 2 2 4 2 2 14 11" xfId="14076" xr:uid="{00000000-0005-0000-0000-0000FC360000}"/>
    <cellStyle name="Normal 2 2 2 2 4 2 2 14 12" xfId="14077" xr:uid="{00000000-0005-0000-0000-0000FD360000}"/>
    <cellStyle name="Normal 2 2 2 2 4 2 2 14 13" xfId="14078" xr:uid="{00000000-0005-0000-0000-0000FE360000}"/>
    <cellStyle name="Normal 2 2 2 2 4 2 2 14 14" xfId="14079" xr:uid="{00000000-0005-0000-0000-0000FF360000}"/>
    <cellStyle name="Normal 2 2 2 2 4 2 2 14 2" xfId="14080" xr:uid="{00000000-0005-0000-0000-000000370000}"/>
    <cellStyle name="Normal 2 2 2 2 4 2 2 14 2 10" xfId="14081" xr:uid="{00000000-0005-0000-0000-000001370000}"/>
    <cellStyle name="Normal 2 2 2 2 4 2 2 14 2 2" xfId="14082" xr:uid="{00000000-0005-0000-0000-000002370000}"/>
    <cellStyle name="Normal 2 2 2 2 4 2 2 14 2 3" xfId="14083" xr:uid="{00000000-0005-0000-0000-000003370000}"/>
    <cellStyle name="Normal 2 2 2 2 4 2 2 14 2 4" xfId="14084" xr:uid="{00000000-0005-0000-0000-000004370000}"/>
    <cellStyle name="Normal 2 2 2 2 4 2 2 14 2 5" xfId="14085" xr:uid="{00000000-0005-0000-0000-000005370000}"/>
    <cellStyle name="Normal 2 2 2 2 4 2 2 14 2 6" xfId="14086" xr:uid="{00000000-0005-0000-0000-000006370000}"/>
    <cellStyle name="Normal 2 2 2 2 4 2 2 14 2 7" xfId="14087" xr:uid="{00000000-0005-0000-0000-000007370000}"/>
    <cellStyle name="Normal 2 2 2 2 4 2 2 14 2 8" xfId="14088" xr:uid="{00000000-0005-0000-0000-000008370000}"/>
    <cellStyle name="Normal 2 2 2 2 4 2 2 14 2 9" xfId="14089" xr:uid="{00000000-0005-0000-0000-000009370000}"/>
    <cellStyle name="Normal 2 2 2 2 4 2 2 14 3" xfId="14090" xr:uid="{00000000-0005-0000-0000-00000A370000}"/>
    <cellStyle name="Normal 2 2 2 2 4 2 2 14 3 10" xfId="14091" xr:uid="{00000000-0005-0000-0000-00000B370000}"/>
    <cellStyle name="Normal 2 2 2 2 4 2 2 14 3 2" xfId="14092" xr:uid="{00000000-0005-0000-0000-00000C370000}"/>
    <cellStyle name="Normal 2 2 2 2 4 2 2 14 3 3" xfId="14093" xr:uid="{00000000-0005-0000-0000-00000D370000}"/>
    <cellStyle name="Normal 2 2 2 2 4 2 2 14 3 4" xfId="14094" xr:uid="{00000000-0005-0000-0000-00000E370000}"/>
    <cellStyle name="Normal 2 2 2 2 4 2 2 14 3 5" xfId="14095" xr:uid="{00000000-0005-0000-0000-00000F370000}"/>
    <cellStyle name="Normal 2 2 2 2 4 2 2 14 3 6" xfId="14096" xr:uid="{00000000-0005-0000-0000-000010370000}"/>
    <cellStyle name="Normal 2 2 2 2 4 2 2 14 3 7" xfId="14097" xr:uid="{00000000-0005-0000-0000-000011370000}"/>
    <cellStyle name="Normal 2 2 2 2 4 2 2 14 3 8" xfId="14098" xr:uid="{00000000-0005-0000-0000-000012370000}"/>
    <cellStyle name="Normal 2 2 2 2 4 2 2 14 3 9" xfId="14099" xr:uid="{00000000-0005-0000-0000-000013370000}"/>
    <cellStyle name="Normal 2 2 2 2 4 2 2 14 4" xfId="14100" xr:uid="{00000000-0005-0000-0000-000014370000}"/>
    <cellStyle name="Normal 2 2 2 2 4 2 2 14 4 10" xfId="14101" xr:uid="{00000000-0005-0000-0000-000015370000}"/>
    <cellStyle name="Normal 2 2 2 2 4 2 2 14 4 2" xfId="14102" xr:uid="{00000000-0005-0000-0000-000016370000}"/>
    <cellStyle name="Normal 2 2 2 2 4 2 2 14 4 3" xfId="14103" xr:uid="{00000000-0005-0000-0000-000017370000}"/>
    <cellStyle name="Normal 2 2 2 2 4 2 2 14 4 4" xfId="14104" xr:uid="{00000000-0005-0000-0000-000018370000}"/>
    <cellStyle name="Normal 2 2 2 2 4 2 2 14 4 5" xfId="14105" xr:uid="{00000000-0005-0000-0000-000019370000}"/>
    <cellStyle name="Normal 2 2 2 2 4 2 2 14 4 6" xfId="14106" xr:uid="{00000000-0005-0000-0000-00001A370000}"/>
    <cellStyle name="Normal 2 2 2 2 4 2 2 14 4 7" xfId="14107" xr:uid="{00000000-0005-0000-0000-00001B370000}"/>
    <cellStyle name="Normal 2 2 2 2 4 2 2 14 4 8" xfId="14108" xr:uid="{00000000-0005-0000-0000-00001C370000}"/>
    <cellStyle name="Normal 2 2 2 2 4 2 2 14 4 9" xfId="14109" xr:uid="{00000000-0005-0000-0000-00001D370000}"/>
    <cellStyle name="Normal 2 2 2 2 4 2 2 14 5" xfId="14110" xr:uid="{00000000-0005-0000-0000-00001E370000}"/>
    <cellStyle name="Normal 2 2 2 2 4 2 2 14 5 10" xfId="14111" xr:uid="{00000000-0005-0000-0000-00001F370000}"/>
    <cellStyle name="Normal 2 2 2 2 4 2 2 14 5 2" xfId="14112" xr:uid="{00000000-0005-0000-0000-000020370000}"/>
    <cellStyle name="Normal 2 2 2 2 4 2 2 14 5 3" xfId="14113" xr:uid="{00000000-0005-0000-0000-000021370000}"/>
    <cellStyle name="Normal 2 2 2 2 4 2 2 14 5 4" xfId="14114" xr:uid="{00000000-0005-0000-0000-000022370000}"/>
    <cellStyle name="Normal 2 2 2 2 4 2 2 14 5 5" xfId="14115" xr:uid="{00000000-0005-0000-0000-000023370000}"/>
    <cellStyle name="Normal 2 2 2 2 4 2 2 14 5 6" xfId="14116" xr:uid="{00000000-0005-0000-0000-000024370000}"/>
    <cellStyle name="Normal 2 2 2 2 4 2 2 14 5 7" xfId="14117" xr:uid="{00000000-0005-0000-0000-000025370000}"/>
    <cellStyle name="Normal 2 2 2 2 4 2 2 14 5 8" xfId="14118" xr:uid="{00000000-0005-0000-0000-000026370000}"/>
    <cellStyle name="Normal 2 2 2 2 4 2 2 14 5 9" xfId="14119" xr:uid="{00000000-0005-0000-0000-000027370000}"/>
    <cellStyle name="Normal 2 2 2 2 4 2 2 14 6" xfId="14120" xr:uid="{00000000-0005-0000-0000-000028370000}"/>
    <cellStyle name="Normal 2 2 2 2 4 2 2 14 7" xfId="14121" xr:uid="{00000000-0005-0000-0000-000029370000}"/>
    <cellStyle name="Normal 2 2 2 2 4 2 2 14 8" xfId="14122" xr:uid="{00000000-0005-0000-0000-00002A370000}"/>
    <cellStyle name="Normal 2 2 2 2 4 2 2 14 9" xfId="14123" xr:uid="{00000000-0005-0000-0000-00002B370000}"/>
    <cellStyle name="Normal 2 2 2 2 4 2 2 15" xfId="14124" xr:uid="{00000000-0005-0000-0000-00002C370000}"/>
    <cellStyle name="Normal 2 2 2 2 4 2 2 15 10" xfId="14125" xr:uid="{00000000-0005-0000-0000-00002D370000}"/>
    <cellStyle name="Normal 2 2 2 2 4 2 2 15 11" xfId="14126" xr:uid="{00000000-0005-0000-0000-00002E370000}"/>
    <cellStyle name="Normal 2 2 2 2 4 2 2 15 12" xfId="14127" xr:uid="{00000000-0005-0000-0000-00002F370000}"/>
    <cellStyle name="Normal 2 2 2 2 4 2 2 15 13" xfId="14128" xr:uid="{00000000-0005-0000-0000-000030370000}"/>
    <cellStyle name="Normal 2 2 2 2 4 2 2 15 14" xfId="14129" xr:uid="{00000000-0005-0000-0000-000031370000}"/>
    <cellStyle name="Normal 2 2 2 2 4 2 2 15 2" xfId="14130" xr:uid="{00000000-0005-0000-0000-000032370000}"/>
    <cellStyle name="Normal 2 2 2 2 4 2 2 15 2 10" xfId="14131" xr:uid="{00000000-0005-0000-0000-000033370000}"/>
    <cellStyle name="Normal 2 2 2 2 4 2 2 15 2 2" xfId="14132" xr:uid="{00000000-0005-0000-0000-000034370000}"/>
    <cellStyle name="Normal 2 2 2 2 4 2 2 15 2 3" xfId="14133" xr:uid="{00000000-0005-0000-0000-000035370000}"/>
    <cellStyle name="Normal 2 2 2 2 4 2 2 15 2 4" xfId="14134" xr:uid="{00000000-0005-0000-0000-000036370000}"/>
    <cellStyle name="Normal 2 2 2 2 4 2 2 15 2 5" xfId="14135" xr:uid="{00000000-0005-0000-0000-000037370000}"/>
    <cellStyle name="Normal 2 2 2 2 4 2 2 15 2 6" xfId="14136" xr:uid="{00000000-0005-0000-0000-000038370000}"/>
    <cellStyle name="Normal 2 2 2 2 4 2 2 15 2 7" xfId="14137" xr:uid="{00000000-0005-0000-0000-000039370000}"/>
    <cellStyle name="Normal 2 2 2 2 4 2 2 15 2 8" xfId="14138" xr:uid="{00000000-0005-0000-0000-00003A370000}"/>
    <cellStyle name="Normal 2 2 2 2 4 2 2 15 2 9" xfId="14139" xr:uid="{00000000-0005-0000-0000-00003B370000}"/>
    <cellStyle name="Normal 2 2 2 2 4 2 2 15 3" xfId="14140" xr:uid="{00000000-0005-0000-0000-00003C370000}"/>
    <cellStyle name="Normal 2 2 2 2 4 2 2 15 3 10" xfId="14141" xr:uid="{00000000-0005-0000-0000-00003D370000}"/>
    <cellStyle name="Normal 2 2 2 2 4 2 2 15 3 2" xfId="14142" xr:uid="{00000000-0005-0000-0000-00003E370000}"/>
    <cellStyle name="Normal 2 2 2 2 4 2 2 15 3 3" xfId="14143" xr:uid="{00000000-0005-0000-0000-00003F370000}"/>
    <cellStyle name="Normal 2 2 2 2 4 2 2 15 3 4" xfId="14144" xr:uid="{00000000-0005-0000-0000-000040370000}"/>
    <cellStyle name="Normal 2 2 2 2 4 2 2 15 3 5" xfId="14145" xr:uid="{00000000-0005-0000-0000-000041370000}"/>
    <cellStyle name="Normal 2 2 2 2 4 2 2 15 3 6" xfId="14146" xr:uid="{00000000-0005-0000-0000-000042370000}"/>
    <cellStyle name="Normal 2 2 2 2 4 2 2 15 3 7" xfId="14147" xr:uid="{00000000-0005-0000-0000-000043370000}"/>
    <cellStyle name="Normal 2 2 2 2 4 2 2 15 3 8" xfId="14148" xr:uid="{00000000-0005-0000-0000-000044370000}"/>
    <cellStyle name="Normal 2 2 2 2 4 2 2 15 3 9" xfId="14149" xr:uid="{00000000-0005-0000-0000-000045370000}"/>
    <cellStyle name="Normal 2 2 2 2 4 2 2 15 4" xfId="14150" xr:uid="{00000000-0005-0000-0000-000046370000}"/>
    <cellStyle name="Normal 2 2 2 2 4 2 2 15 4 10" xfId="14151" xr:uid="{00000000-0005-0000-0000-000047370000}"/>
    <cellStyle name="Normal 2 2 2 2 4 2 2 15 4 2" xfId="14152" xr:uid="{00000000-0005-0000-0000-000048370000}"/>
    <cellStyle name="Normal 2 2 2 2 4 2 2 15 4 3" xfId="14153" xr:uid="{00000000-0005-0000-0000-000049370000}"/>
    <cellStyle name="Normal 2 2 2 2 4 2 2 15 4 4" xfId="14154" xr:uid="{00000000-0005-0000-0000-00004A370000}"/>
    <cellStyle name="Normal 2 2 2 2 4 2 2 15 4 5" xfId="14155" xr:uid="{00000000-0005-0000-0000-00004B370000}"/>
    <cellStyle name="Normal 2 2 2 2 4 2 2 15 4 6" xfId="14156" xr:uid="{00000000-0005-0000-0000-00004C370000}"/>
    <cellStyle name="Normal 2 2 2 2 4 2 2 15 4 7" xfId="14157" xr:uid="{00000000-0005-0000-0000-00004D370000}"/>
    <cellStyle name="Normal 2 2 2 2 4 2 2 15 4 8" xfId="14158" xr:uid="{00000000-0005-0000-0000-00004E370000}"/>
    <cellStyle name="Normal 2 2 2 2 4 2 2 15 4 9" xfId="14159" xr:uid="{00000000-0005-0000-0000-00004F370000}"/>
    <cellStyle name="Normal 2 2 2 2 4 2 2 15 5" xfId="14160" xr:uid="{00000000-0005-0000-0000-000050370000}"/>
    <cellStyle name="Normal 2 2 2 2 4 2 2 15 5 10" xfId="14161" xr:uid="{00000000-0005-0000-0000-000051370000}"/>
    <cellStyle name="Normal 2 2 2 2 4 2 2 15 5 2" xfId="14162" xr:uid="{00000000-0005-0000-0000-000052370000}"/>
    <cellStyle name="Normal 2 2 2 2 4 2 2 15 5 3" xfId="14163" xr:uid="{00000000-0005-0000-0000-000053370000}"/>
    <cellStyle name="Normal 2 2 2 2 4 2 2 15 5 4" xfId="14164" xr:uid="{00000000-0005-0000-0000-000054370000}"/>
    <cellStyle name="Normal 2 2 2 2 4 2 2 15 5 5" xfId="14165" xr:uid="{00000000-0005-0000-0000-000055370000}"/>
    <cellStyle name="Normal 2 2 2 2 4 2 2 15 5 6" xfId="14166" xr:uid="{00000000-0005-0000-0000-000056370000}"/>
    <cellStyle name="Normal 2 2 2 2 4 2 2 15 5 7" xfId="14167" xr:uid="{00000000-0005-0000-0000-000057370000}"/>
    <cellStyle name="Normal 2 2 2 2 4 2 2 15 5 8" xfId="14168" xr:uid="{00000000-0005-0000-0000-000058370000}"/>
    <cellStyle name="Normal 2 2 2 2 4 2 2 15 5 9" xfId="14169" xr:uid="{00000000-0005-0000-0000-000059370000}"/>
    <cellStyle name="Normal 2 2 2 2 4 2 2 15 6" xfId="14170" xr:uid="{00000000-0005-0000-0000-00005A370000}"/>
    <cellStyle name="Normal 2 2 2 2 4 2 2 15 7" xfId="14171" xr:uid="{00000000-0005-0000-0000-00005B370000}"/>
    <cellStyle name="Normal 2 2 2 2 4 2 2 15 8" xfId="14172" xr:uid="{00000000-0005-0000-0000-00005C370000}"/>
    <cellStyle name="Normal 2 2 2 2 4 2 2 15 9" xfId="14173" xr:uid="{00000000-0005-0000-0000-00005D370000}"/>
    <cellStyle name="Normal 2 2 2 2 4 2 2 16" xfId="14174" xr:uid="{00000000-0005-0000-0000-00005E370000}"/>
    <cellStyle name="Normal 2 2 2 2 4 2 2 16 10" xfId="14175" xr:uid="{00000000-0005-0000-0000-00005F370000}"/>
    <cellStyle name="Normal 2 2 2 2 4 2 2 16 11" xfId="14176" xr:uid="{00000000-0005-0000-0000-000060370000}"/>
    <cellStyle name="Normal 2 2 2 2 4 2 2 16 12" xfId="14177" xr:uid="{00000000-0005-0000-0000-000061370000}"/>
    <cellStyle name="Normal 2 2 2 2 4 2 2 16 13" xfId="14178" xr:uid="{00000000-0005-0000-0000-000062370000}"/>
    <cellStyle name="Normal 2 2 2 2 4 2 2 16 14" xfId="14179" xr:uid="{00000000-0005-0000-0000-000063370000}"/>
    <cellStyle name="Normal 2 2 2 2 4 2 2 16 2" xfId="14180" xr:uid="{00000000-0005-0000-0000-000064370000}"/>
    <cellStyle name="Normal 2 2 2 2 4 2 2 16 2 10" xfId="14181" xr:uid="{00000000-0005-0000-0000-000065370000}"/>
    <cellStyle name="Normal 2 2 2 2 4 2 2 16 2 2" xfId="14182" xr:uid="{00000000-0005-0000-0000-000066370000}"/>
    <cellStyle name="Normal 2 2 2 2 4 2 2 16 2 3" xfId="14183" xr:uid="{00000000-0005-0000-0000-000067370000}"/>
    <cellStyle name="Normal 2 2 2 2 4 2 2 16 2 4" xfId="14184" xr:uid="{00000000-0005-0000-0000-000068370000}"/>
    <cellStyle name="Normal 2 2 2 2 4 2 2 16 2 5" xfId="14185" xr:uid="{00000000-0005-0000-0000-000069370000}"/>
    <cellStyle name="Normal 2 2 2 2 4 2 2 16 2 6" xfId="14186" xr:uid="{00000000-0005-0000-0000-00006A370000}"/>
    <cellStyle name="Normal 2 2 2 2 4 2 2 16 2 7" xfId="14187" xr:uid="{00000000-0005-0000-0000-00006B370000}"/>
    <cellStyle name="Normal 2 2 2 2 4 2 2 16 2 8" xfId="14188" xr:uid="{00000000-0005-0000-0000-00006C370000}"/>
    <cellStyle name="Normal 2 2 2 2 4 2 2 16 2 9" xfId="14189" xr:uid="{00000000-0005-0000-0000-00006D370000}"/>
    <cellStyle name="Normal 2 2 2 2 4 2 2 16 3" xfId="14190" xr:uid="{00000000-0005-0000-0000-00006E370000}"/>
    <cellStyle name="Normal 2 2 2 2 4 2 2 16 3 10" xfId="14191" xr:uid="{00000000-0005-0000-0000-00006F370000}"/>
    <cellStyle name="Normal 2 2 2 2 4 2 2 16 3 2" xfId="14192" xr:uid="{00000000-0005-0000-0000-000070370000}"/>
    <cellStyle name="Normal 2 2 2 2 4 2 2 16 3 3" xfId="14193" xr:uid="{00000000-0005-0000-0000-000071370000}"/>
    <cellStyle name="Normal 2 2 2 2 4 2 2 16 3 4" xfId="14194" xr:uid="{00000000-0005-0000-0000-000072370000}"/>
    <cellStyle name="Normal 2 2 2 2 4 2 2 16 3 5" xfId="14195" xr:uid="{00000000-0005-0000-0000-000073370000}"/>
    <cellStyle name="Normal 2 2 2 2 4 2 2 16 3 6" xfId="14196" xr:uid="{00000000-0005-0000-0000-000074370000}"/>
    <cellStyle name="Normal 2 2 2 2 4 2 2 16 3 7" xfId="14197" xr:uid="{00000000-0005-0000-0000-000075370000}"/>
    <cellStyle name="Normal 2 2 2 2 4 2 2 16 3 8" xfId="14198" xr:uid="{00000000-0005-0000-0000-000076370000}"/>
    <cellStyle name="Normal 2 2 2 2 4 2 2 16 3 9" xfId="14199" xr:uid="{00000000-0005-0000-0000-000077370000}"/>
    <cellStyle name="Normal 2 2 2 2 4 2 2 16 4" xfId="14200" xr:uid="{00000000-0005-0000-0000-000078370000}"/>
    <cellStyle name="Normal 2 2 2 2 4 2 2 16 4 10" xfId="14201" xr:uid="{00000000-0005-0000-0000-000079370000}"/>
    <cellStyle name="Normal 2 2 2 2 4 2 2 16 4 2" xfId="14202" xr:uid="{00000000-0005-0000-0000-00007A370000}"/>
    <cellStyle name="Normal 2 2 2 2 4 2 2 16 4 3" xfId="14203" xr:uid="{00000000-0005-0000-0000-00007B370000}"/>
    <cellStyle name="Normal 2 2 2 2 4 2 2 16 4 4" xfId="14204" xr:uid="{00000000-0005-0000-0000-00007C370000}"/>
    <cellStyle name="Normal 2 2 2 2 4 2 2 16 4 5" xfId="14205" xr:uid="{00000000-0005-0000-0000-00007D370000}"/>
    <cellStyle name="Normal 2 2 2 2 4 2 2 16 4 6" xfId="14206" xr:uid="{00000000-0005-0000-0000-00007E370000}"/>
    <cellStyle name="Normal 2 2 2 2 4 2 2 16 4 7" xfId="14207" xr:uid="{00000000-0005-0000-0000-00007F370000}"/>
    <cellStyle name="Normal 2 2 2 2 4 2 2 16 4 8" xfId="14208" xr:uid="{00000000-0005-0000-0000-000080370000}"/>
    <cellStyle name="Normal 2 2 2 2 4 2 2 16 4 9" xfId="14209" xr:uid="{00000000-0005-0000-0000-000081370000}"/>
    <cellStyle name="Normal 2 2 2 2 4 2 2 16 5" xfId="14210" xr:uid="{00000000-0005-0000-0000-000082370000}"/>
    <cellStyle name="Normal 2 2 2 2 4 2 2 16 5 10" xfId="14211" xr:uid="{00000000-0005-0000-0000-000083370000}"/>
    <cellStyle name="Normal 2 2 2 2 4 2 2 16 5 2" xfId="14212" xr:uid="{00000000-0005-0000-0000-000084370000}"/>
    <cellStyle name="Normal 2 2 2 2 4 2 2 16 5 3" xfId="14213" xr:uid="{00000000-0005-0000-0000-000085370000}"/>
    <cellStyle name="Normal 2 2 2 2 4 2 2 16 5 4" xfId="14214" xr:uid="{00000000-0005-0000-0000-000086370000}"/>
    <cellStyle name="Normal 2 2 2 2 4 2 2 16 5 5" xfId="14215" xr:uid="{00000000-0005-0000-0000-000087370000}"/>
    <cellStyle name="Normal 2 2 2 2 4 2 2 16 5 6" xfId="14216" xr:uid="{00000000-0005-0000-0000-000088370000}"/>
    <cellStyle name="Normal 2 2 2 2 4 2 2 16 5 7" xfId="14217" xr:uid="{00000000-0005-0000-0000-000089370000}"/>
    <cellStyle name="Normal 2 2 2 2 4 2 2 16 5 8" xfId="14218" xr:uid="{00000000-0005-0000-0000-00008A370000}"/>
    <cellStyle name="Normal 2 2 2 2 4 2 2 16 5 9" xfId="14219" xr:uid="{00000000-0005-0000-0000-00008B370000}"/>
    <cellStyle name="Normal 2 2 2 2 4 2 2 16 6" xfId="14220" xr:uid="{00000000-0005-0000-0000-00008C370000}"/>
    <cellStyle name="Normal 2 2 2 2 4 2 2 16 7" xfId="14221" xr:uid="{00000000-0005-0000-0000-00008D370000}"/>
    <cellStyle name="Normal 2 2 2 2 4 2 2 16 8" xfId="14222" xr:uid="{00000000-0005-0000-0000-00008E370000}"/>
    <cellStyle name="Normal 2 2 2 2 4 2 2 16 9" xfId="14223" xr:uid="{00000000-0005-0000-0000-00008F370000}"/>
    <cellStyle name="Normal 2 2 2 2 4 2 2 17" xfId="14224" xr:uid="{00000000-0005-0000-0000-000090370000}"/>
    <cellStyle name="Normal 2 2 2 2 4 2 2 17 10" xfId="14225" xr:uid="{00000000-0005-0000-0000-000091370000}"/>
    <cellStyle name="Normal 2 2 2 2 4 2 2 17 11" xfId="14226" xr:uid="{00000000-0005-0000-0000-000092370000}"/>
    <cellStyle name="Normal 2 2 2 2 4 2 2 17 12" xfId="14227" xr:uid="{00000000-0005-0000-0000-000093370000}"/>
    <cellStyle name="Normal 2 2 2 2 4 2 2 17 13" xfId="14228" xr:uid="{00000000-0005-0000-0000-000094370000}"/>
    <cellStyle name="Normal 2 2 2 2 4 2 2 17 14" xfId="14229" xr:uid="{00000000-0005-0000-0000-000095370000}"/>
    <cellStyle name="Normal 2 2 2 2 4 2 2 17 2" xfId="14230" xr:uid="{00000000-0005-0000-0000-000096370000}"/>
    <cellStyle name="Normal 2 2 2 2 4 2 2 17 2 10" xfId="14231" xr:uid="{00000000-0005-0000-0000-000097370000}"/>
    <cellStyle name="Normal 2 2 2 2 4 2 2 17 2 2" xfId="14232" xr:uid="{00000000-0005-0000-0000-000098370000}"/>
    <cellStyle name="Normal 2 2 2 2 4 2 2 17 2 3" xfId="14233" xr:uid="{00000000-0005-0000-0000-000099370000}"/>
    <cellStyle name="Normal 2 2 2 2 4 2 2 17 2 4" xfId="14234" xr:uid="{00000000-0005-0000-0000-00009A370000}"/>
    <cellStyle name="Normal 2 2 2 2 4 2 2 17 2 5" xfId="14235" xr:uid="{00000000-0005-0000-0000-00009B370000}"/>
    <cellStyle name="Normal 2 2 2 2 4 2 2 17 2 6" xfId="14236" xr:uid="{00000000-0005-0000-0000-00009C370000}"/>
    <cellStyle name="Normal 2 2 2 2 4 2 2 17 2 7" xfId="14237" xr:uid="{00000000-0005-0000-0000-00009D370000}"/>
    <cellStyle name="Normal 2 2 2 2 4 2 2 17 2 8" xfId="14238" xr:uid="{00000000-0005-0000-0000-00009E370000}"/>
    <cellStyle name="Normal 2 2 2 2 4 2 2 17 2 9" xfId="14239" xr:uid="{00000000-0005-0000-0000-00009F370000}"/>
    <cellStyle name="Normal 2 2 2 2 4 2 2 17 3" xfId="14240" xr:uid="{00000000-0005-0000-0000-0000A0370000}"/>
    <cellStyle name="Normal 2 2 2 2 4 2 2 17 3 10" xfId="14241" xr:uid="{00000000-0005-0000-0000-0000A1370000}"/>
    <cellStyle name="Normal 2 2 2 2 4 2 2 17 3 2" xfId="14242" xr:uid="{00000000-0005-0000-0000-0000A2370000}"/>
    <cellStyle name="Normal 2 2 2 2 4 2 2 17 3 3" xfId="14243" xr:uid="{00000000-0005-0000-0000-0000A3370000}"/>
    <cellStyle name="Normal 2 2 2 2 4 2 2 17 3 4" xfId="14244" xr:uid="{00000000-0005-0000-0000-0000A4370000}"/>
    <cellStyle name="Normal 2 2 2 2 4 2 2 17 3 5" xfId="14245" xr:uid="{00000000-0005-0000-0000-0000A5370000}"/>
    <cellStyle name="Normal 2 2 2 2 4 2 2 17 3 6" xfId="14246" xr:uid="{00000000-0005-0000-0000-0000A6370000}"/>
    <cellStyle name="Normal 2 2 2 2 4 2 2 17 3 7" xfId="14247" xr:uid="{00000000-0005-0000-0000-0000A7370000}"/>
    <cellStyle name="Normal 2 2 2 2 4 2 2 17 3 8" xfId="14248" xr:uid="{00000000-0005-0000-0000-0000A8370000}"/>
    <cellStyle name="Normal 2 2 2 2 4 2 2 17 3 9" xfId="14249" xr:uid="{00000000-0005-0000-0000-0000A9370000}"/>
    <cellStyle name="Normal 2 2 2 2 4 2 2 17 4" xfId="14250" xr:uid="{00000000-0005-0000-0000-0000AA370000}"/>
    <cellStyle name="Normal 2 2 2 2 4 2 2 17 4 10" xfId="14251" xr:uid="{00000000-0005-0000-0000-0000AB370000}"/>
    <cellStyle name="Normal 2 2 2 2 4 2 2 17 4 2" xfId="14252" xr:uid="{00000000-0005-0000-0000-0000AC370000}"/>
    <cellStyle name="Normal 2 2 2 2 4 2 2 17 4 3" xfId="14253" xr:uid="{00000000-0005-0000-0000-0000AD370000}"/>
    <cellStyle name="Normal 2 2 2 2 4 2 2 17 4 4" xfId="14254" xr:uid="{00000000-0005-0000-0000-0000AE370000}"/>
    <cellStyle name="Normal 2 2 2 2 4 2 2 17 4 5" xfId="14255" xr:uid="{00000000-0005-0000-0000-0000AF370000}"/>
    <cellStyle name="Normal 2 2 2 2 4 2 2 17 4 6" xfId="14256" xr:uid="{00000000-0005-0000-0000-0000B0370000}"/>
    <cellStyle name="Normal 2 2 2 2 4 2 2 17 4 7" xfId="14257" xr:uid="{00000000-0005-0000-0000-0000B1370000}"/>
    <cellStyle name="Normal 2 2 2 2 4 2 2 17 4 8" xfId="14258" xr:uid="{00000000-0005-0000-0000-0000B2370000}"/>
    <cellStyle name="Normal 2 2 2 2 4 2 2 17 4 9" xfId="14259" xr:uid="{00000000-0005-0000-0000-0000B3370000}"/>
    <cellStyle name="Normal 2 2 2 2 4 2 2 17 5" xfId="14260" xr:uid="{00000000-0005-0000-0000-0000B4370000}"/>
    <cellStyle name="Normal 2 2 2 2 4 2 2 17 5 10" xfId="14261" xr:uid="{00000000-0005-0000-0000-0000B5370000}"/>
    <cellStyle name="Normal 2 2 2 2 4 2 2 17 5 2" xfId="14262" xr:uid="{00000000-0005-0000-0000-0000B6370000}"/>
    <cellStyle name="Normal 2 2 2 2 4 2 2 17 5 3" xfId="14263" xr:uid="{00000000-0005-0000-0000-0000B7370000}"/>
    <cellStyle name="Normal 2 2 2 2 4 2 2 17 5 4" xfId="14264" xr:uid="{00000000-0005-0000-0000-0000B8370000}"/>
    <cellStyle name="Normal 2 2 2 2 4 2 2 17 5 5" xfId="14265" xr:uid="{00000000-0005-0000-0000-0000B9370000}"/>
    <cellStyle name="Normal 2 2 2 2 4 2 2 17 5 6" xfId="14266" xr:uid="{00000000-0005-0000-0000-0000BA370000}"/>
    <cellStyle name="Normal 2 2 2 2 4 2 2 17 5 7" xfId="14267" xr:uid="{00000000-0005-0000-0000-0000BB370000}"/>
    <cellStyle name="Normal 2 2 2 2 4 2 2 17 5 8" xfId="14268" xr:uid="{00000000-0005-0000-0000-0000BC370000}"/>
    <cellStyle name="Normal 2 2 2 2 4 2 2 17 5 9" xfId="14269" xr:uid="{00000000-0005-0000-0000-0000BD370000}"/>
    <cellStyle name="Normal 2 2 2 2 4 2 2 17 6" xfId="14270" xr:uid="{00000000-0005-0000-0000-0000BE370000}"/>
    <cellStyle name="Normal 2 2 2 2 4 2 2 17 7" xfId="14271" xr:uid="{00000000-0005-0000-0000-0000BF370000}"/>
    <cellStyle name="Normal 2 2 2 2 4 2 2 17 8" xfId="14272" xr:uid="{00000000-0005-0000-0000-0000C0370000}"/>
    <cellStyle name="Normal 2 2 2 2 4 2 2 17 9" xfId="14273" xr:uid="{00000000-0005-0000-0000-0000C1370000}"/>
    <cellStyle name="Normal 2 2 2 2 4 2 2 18" xfId="14274" xr:uid="{00000000-0005-0000-0000-0000C2370000}"/>
    <cellStyle name="Normal 2 2 2 2 4 2 2 18 10" xfId="14275" xr:uid="{00000000-0005-0000-0000-0000C3370000}"/>
    <cellStyle name="Normal 2 2 2 2 4 2 2 18 11" xfId="14276" xr:uid="{00000000-0005-0000-0000-0000C4370000}"/>
    <cellStyle name="Normal 2 2 2 2 4 2 2 18 12" xfId="14277" xr:uid="{00000000-0005-0000-0000-0000C5370000}"/>
    <cellStyle name="Normal 2 2 2 2 4 2 2 18 13" xfId="14278" xr:uid="{00000000-0005-0000-0000-0000C6370000}"/>
    <cellStyle name="Normal 2 2 2 2 4 2 2 18 14" xfId="14279" xr:uid="{00000000-0005-0000-0000-0000C7370000}"/>
    <cellStyle name="Normal 2 2 2 2 4 2 2 18 2" xfId="14280" xr:uid="{00000000-0005-0000-0000-0000C8370000}"/>
    <cellStyle name="Normal 2 2 2 2 4 2 2 18 2 10" xfId="14281" xr:uid="{00000000-0005-0000-0000-0000C9370000}"/>
    <cellStyle name="Normal 2 2 2 2 4 2 2 18 2 2" xfId="14282" xr:uid="{00000000-0005-0000-0000-0000CA370000}"/>
    <cellStyle name="Normal 2 2 2 2 4 2 2 18 2 3" xfId="14283" xr:uid="{00000000-0005-0000-0000-0000CB370000}"/>
    <cellStyle name="Normal 2 2 2 2 4 2 2 18 2 4" xfId="14284" xr:uid="{00000000-0005-0000-0000-0000CC370000}"/>
    <cellStyle name="Normal 2 2 2 2 4 2 2 18 2 5" xfId="14285" xr:uid="{00000000-0005-0000-0000-0000CD370000}"/>
    <cellStyle name="Normal 2 2 2 2 4 2 2 18 2 6" xfId="14286" xr:uid="{00000000-0005-0000-0000-0000CE370000}"/>
    <cellStyle name="Normal 2 2 2 2 4 2 2 18 2 7" xfId="14287" xr:uid="{00000000-0005-0000-0000-0000CF370000}"/>
    <cellStyle name="Normal 2 2 2 2 4 2 2 18 2 8" xfId="14288" xr:uid="{00000000-0005-0000-0000-0000D0370000}"/>
    <cellStyle name="Normal 2 2 2 2 4 2 2 18 2 9" xfId="14289" xr:uid="{00000000-0005-0000-0000-0000D1370000}"/>
    <cellStyle name="Normal 2 2 2 2 4 2 2 18 3" xfId="14290" xr:uid="{00000000-0005-0000-0000-0000D2370000}"/>
    <cellStyle name="Normal 2 2 2 2 4 2 2 18 3 10" xfId="14291" xr:uid="{00000000-0005-0000-0000-0000D3370000}"/>
    <cellStyle name="Normal 2 2 2 2 4 2 2 18 3 2" xfId="14292" xr:uid="{00000000-0005-0000-0000-0000D4370000}"/>
    <cellStyle name="Normal 2 2 2 2 4 2 2 18 3 3" xfId="14293" xr:uid="{00000000-0005-0000-0000-0000D5370000}"/>
    <cellStyle name="Normal 2 2 2 2 4 2 2 18 3 4" xfId="14294" xr:uid="{00000000-0005-0000-0000-0000D6370000}"/>
    <cellStyle name="Normal 2 2 2 2 4 2 2 18 3 5" xfId="14295" xr:uid="{00000000-0005-0000-0000-0000D7370000}"/>
    <cellStyle name="Normal 2 2 2 2 4 2 2 18 3 6" xfId="14296" xr:uid="{00000000-0005-0000-0000-0000D8370000}"/>
    <cellStyle name="Normal 2 2 2 2 4 2 2 18 3 7" xfId="14297" xr:uid="{00000000-0005-0000-0000-0000D9370000}"/>
    <cellStyle name="Normal 2 2 2 2 4 2 2 18 3 8" xfId="14298" xr:uid="{00000000-0005-0000-0000-0000DA370000}"/>
    <cellStyle name="Normal 2 2 2 2 4 2 2 18 3 9" xfId="14299" xr:uid="{00000000-0005-0000-0000-0000DB370000}"/>
    <cellStyle name="Normal 2 2 2 2 4 2 2 18 4" xfId="14300" xr:uid="{00000000-0005-0000-0000-0000DC370000}"/>
    <cellStyle name="Normal 2 2 2 2 4 2 2 18 4 10" xfId="14301" xr:uid="{00000000-0005-0000-0000-0000DD370000}"/>
    <cellStyle name="Normal 2 2 2 2 4 2 2 18 4 2" xfId="14302" xr:uid="{00000000-0005-0000-0000-0000DE370000}"/>
    <cellStyle name="Normal 2 2 2 2 4 2 2 18 4 3" xfId="14303" xr:uid="{00000000-0005-0000-0000-0000DF370000}"/>
    <cellStyle name="Normal 2 2 2 2 4 2 2 18 4 4" xfId="14304" xr:uid="{00000000-0005-0000-0000-0000E0370000}"/>
    <cellStyle name="Normal 2 2 2 2 4 2 2 18 4 5" xfId="14305" xr:uid="{00000000-0005-0000-0000-0000E1370000}"/>
    <cellStyle name="Normal 2 2 2 2 4 2 2 18 4 6" xfId="14306" xr:uid="{00000000-0005-0000-0000-0000E2370000}"/>
    <cellStyle name="Normal 2 2 2 2 4 2 2 18 4 7" xfId="14307" xr:uid="{00000000-0005-0000-0000-0000E3370000}"/>
    <cellStyle name="Normal 2 2 2 2 4 2 2 18 4 8" xfId="14308" xr:uid="{00000000-0005-0000-0000-0000E4370000}"/>
    <cellStyle name="Normal 2 2 2 2 4 2 2 18 4 9" xfId="14309" xr:uid="{00000000-0005-0000-0000-0000E5370000}"/>
    <cellStyle name="Normal 2 2 2 2 4 2 2 18 5" xfId="14310" xr:uid="{00000000-0005-0000-0000-0000E6370000}"/>
    <cellStyle name="Normal 2 2 2 2 4 2 2 18 5 10" xfId="14311" xr:uid="{00000000-0005-0000-0000-0000E7370000}"/>
    <cellStyle name="Normal 2 2 2 2 4 2 2 18 5 2" xfId="14312" xr:uid="{00000000-0005-0000-0000-0000E8370000}"/>
    <cellStyle name="Normal 2 2 2 2 4 2 2 18 5 3" xfId="14313" xr:uid="{00000000-0005-0000-0000-0000E9370000}"/>
    <cellStyle name="Normal 2 2 2 2 4 2 2 18 5 4" xfId="14314" xr:uid="{00000000-0005-0000-0000-0000EA370000}"/>
    <cellStyle name="Normal 2 2 2 2 4 2 2 18 5 5" xfId="14315" xr:uid="{00000000-0005-0000-0000-0000EB370000}"/>
    <cellStyle name="Normal 2 2 2 2 4 2 2 18 5 6" xfId="14316" xr:uid="{00000000-0005-0000-0000-0000EC370000}"/>
    <cellStyle name="Normal 2 2 2 2 4 2 2 18 5 7" xfId="14317" xr:uid="{00000000-0005-0000-0000-0000ED370000}"/>
    <cellStyle name="Normal 2 2 2 2 4 2 2 18 5 8" xfId="14318" xr:uid="{00000000-0005-0000-0000-0000EE370000}"/>
    <cellStyle name="Normal 2 2 2 2 4 2 2 18 5 9" xfId="14319" xr:uid="{00000000-0005-0000-0000-0000EF370000}"/>
    <cellStyle name="Normal 2 2 2 2 4 2 2 18 6" xfId="14320" xr:uid="{00000000-0005-0000-0000-0000F0370000}"/>
    <cellStyle name="Normal 2 2 2 2 4 2 2 18 7" xfId="14321" xr:uid="{00000000-0005-0000-0000-0000F1370000}"/>
    <cellStyle name="Normal 2 2 2 2 4 2 2 18 8" xfId="14322" xr:uid="{00000000-0005-0000-0000-0000F2370000}"/>
    <cellStyle name="Normal 2 2 2 2 4 2 2 18 9" xfId="14323" xr:uid="{00000000-0005-0000-0000-0000F3370000}"/>
    <cellStyle name="Normal 2 2 2 2 4 2 2 19" xfId="14324" xr:uid="{00000000-0005-0000-0000-0000F4370000}"/>
    <cellStyle name="Normal 2 2 2 2 4 2 2 19 10" xfId="14325" xr:uid="{00000000-0005-0000-0000-0000F5370000}"/>
    <cellStyle name="Normal 2 2 2 2 4 2 2 19 11" xfId="14326" xr:uid="{00000000-0005-0000-0000-0000F6370000}"/>
    <cellStyle name="Normal 2 2 2 2 4 2 2 19 12" xfId="14327" xr:uid="{00000000-0005-0000-0000-0000F7370000}"/>
    <cellStyle name="Normal 2 2 2 2 4 2 2 19 13" xfId="14328" xr:uid="{00000000-0005-0000-0000-0000F8370000}"/>
    <cellStyle name="Normal 2 2 2 2 4 2 2 19 14" xfId="14329" xr:uid="{00000000-0005-0000-0000-0000F9370000}"/>
    <cellStyle name="Normal 2 2 2 2 4 2 2 19 2" xfId="14330" xr:uid="{00000000-0005-0000-0000-0000FA370000}"/>
    <cellStyle name="Normal 2 2 2 2 4 2 2 19 2 10" xfId="14331" xr:uid="{00000000-0005-0000-0000-0000FB370000}"/>
    <cellStyle name="Normal 2 2 2 2 4 2 2 19 2 2" xfId="14332" xr:uid="{00000000-0005-0000-0000-0000FC370000}"/>
    <cellStyle name="Normal 2 2 2 2 4 2 2 19 2 3" xfId="14333" xr:uid="{00000000-0005-0000-0000-0000FD370000}"/>
    <cellStyle name="Normal 2 2 2 2 4 2 2 19 2 4" xfId="14334" xr:uid="{00000000-0005-0000-0000-0000FE370000}"/>
    <cellStyle name="Normal 2 2 2 2 4 2 2 19 2 5" xfId="14335" xr:uid="{00000000-0005-0000-0000-0000FF370000}"/>
    <cellStyle name="Normal 2 2 2 2 4 2 2 19 2 6" xfId="14336" xr:uid="{00000000-0005-0000-0000-000000380000}"/>
    <cellStyle name="Normal 2 2 2 2 4 2 2 19 2 7" xfId="14337" xr:uid="{00000000-0005-0000-0000-000001380000}"/>
    <cellStyle name="Normal 2 2 2 2 4 2 2 19 2 8" xfId="14338" xr:uid="{00000000-0005-0000-0000-000002380000}"/>
    <cellStyle name="Normal 2 2 2 2 4 2 2 19 2 9" xfId="14339" xr:uid="{00000000-0005-0000-0000-000003380000}"/>
    <cellStyle name="Normal 2 2 2 2 4 2 2 19 3" xfId="14340" xr:uid="{00000000-0005-0000-0000-000004380000}"/>
    <cellStyle name="Normal 2 2 2 2 4 2 2 19 3 10" xfId="14341" xr:uid="{00000000-0005-0000-0000-000005380000}"/>
    <cellStyle name="Normal 2 2 2 2 4 2 2 19 3 2" xfId="14342" xr:uid="{00000000-0005-0000-0000-000006380000}"/>
    <cellStyle name="Normal 2 2 2 2 4 2 2 19 3 3" xfId="14343" xr:uid="{00000000-0005-0000-0000-000007380000}"/>
    <cellStyle name="Normal 2 2 2 2 4 2 2 19 3 4" xfId="14344" xr:uid="{00000000-0005-0000-0000-000008380000}"/>
    <cellStyle name="Normal 2 2 2 2 4 2 2 19 3 5" xfId="14345" xr:uid="{00000000-0005-0000-0000-000009380000}"/>
    <cellStyle name="Normal 2 2 2 2 4 2 2 19 3 6" xfId="14346" xr:uid="{00000000-0005-0000-0000-00000A380000}"/>
    <cellStyle name="Normal 2 2 2 2 4 2 2 19 3 7" xfId="14347" xr:uid="{00000000-0005-0000-0000-00000B380000}"/>
    <cellStyle name="Normal 2 2 2 2 4 2 2 19 3 8" xfId="14348" xr:uid="{00000000-0005-0000-0000-00000C380000}"/>
    <cellStyle name="Normal 2 2 2 2 4 2 2 19 3 9" xfId="14349" xr:uid="{00000000-0005-0000-0000-00000D380000}"/>
    <cellStyle name="Normal 2 2 2 2 4 2 2 19 4" xfId="14350" xr:uid="{00000000-0005-0000-0000-00000E380000}"/>
    <cellStyle name="Normal 2 2 2 2 4 2 2 19 4 10" xfId="14351" xr:uid="{00000000-0005-0000-0000-00000F380000}"/>
    <cellStyle name="Normal 2 2 2 2 4 2 2 19 4 2" xfId="14352" xr:uid="{00000000-0005-0000-0000-000010380000}"/>
    <cellStyle name="Normal 2 2 2 2 4 2 2 19 4 3" xfId="14353" xr:uid="{00000000-0005-0000-0000-000011380000}"/>
    <cellStyle name="Normal 2 2 2 2 4 2 2 19 4 4" xfId="14354" xr:uid="{00000000-0005-0000-0000-000012380000}"/>
    <cellStyle name="Normal 2 2 2 2 4 2 2 19 4 5" xfId="14355" xr:uid="{00000000-0005-0000-0000-000013380000}"/>
    <cellStyle name="Normal 2 2 2 2 4 2 2 19 4 6" xfId="14356" xr:uid="{00000000-0005-0000-0000-000014380000}"/>
    <cellStyle name="Normal 2 2 2 2 4 2 2 19 4 7" xfId="14357" xr:uid="{00000000-0005-0000-0000-000015380000}"/>
    <cellStyle name="Normal 2 2 2 2 4 2 2 19 4 8" xfId="14358" xr:uid="{00000000-0005-0000-0000-000016380000}"/>
    <cellStyle name="Normal 2 2 2 2 4 2 2 19 4 9" xfId="14359" xr:uid="{00000000-0005-0000-0000-000017380000}"/>
    <cellStyle name="Normal 2 2 2 2 4 2 2 19 5" xfId="14360" xr:uid="{00000000-0005-0000-0000-000018380000}"/>
    <cellStyle name="Normal 2 2 2 2 4 2 2 19 5 10" xfId="14361" xr:uid="{00000000-0005-0000-0000-000019380000}"/>
    <cellStyle name="Normal 2 2 2 2 4 2 2 19 5 2" xfId="14362" xr:uid="{00000000-0005-0000-0000-00001A380000}"/>
    <cellStyle name="Normal 2 2 2 2 4 2 2 19 5 3" xfId="14363" xr:uid="{00000000-0005-0000-0000-00001B380000}"/>
    <cellStyle name="Normal 2 2 2 2 4 2 2 19 5 4" xfId="14364" xr:uid="{00000000-0005-0000-0000-00001C380000}"/>
    <cellStyle name="Normal 2 2 2 2 4 2 2 19 5 5" xfId="14365" xr:uid="{00000000-0005-0000-0000-00001D380000}"/>
    <cellStyle name="Normal 2 2 2 2 4 2 2 19 5 6" xfId="14366" xr:uid="{00000000-0005-0000-0000-00001E380000}"/>
    <cellStyle name="Normal 2 2 2 2 4 2 2 19 5 7" xfId="14367" xr:uid="{00000000-0005-0000-0000-00001F380000}"/>
    <cellStyle name="Normal 2 2 2 2 4 2 2 19 5 8" xfId="14368" xr:uid="{00000000-0005-0000-0000-000020380000}"/>
    <cellStyle name="Normal 2 2 2 2 4 2 2 19 5 9" xfId="14369" xr:uid="{00000000-0005-0000-0000-000021380000}"/>
    <cellStyle name="Normal 2 2 2 2 4 2 2 19 6" xfId="14370" xr:uid="{00000000-0005-0000-0000-000022380000}"/>
    <cellStyle name="Normal 2 2 2 2 4 2 2 19 7" xfId="14371" xr:uid="{00000000-0005-0000-0000-000023380000}"/>
    <cellStyle name="Normal 2 2 2 2 4 2 2 19 8" xfId="14372" xr:uid="{00000000-0005-0000-0000-000024380000}"/>
    <cellStyle name="Normal 2 2 2 2 4 2 2 19 9" xfId="14373" xr:uid="{00000000-0005-0000-0000-000025380000}"/>
    <cellStyle name="Normal 2 2 2 2 4 2 2 2" xfId="14374" xr:uid="{00000000-0005-0000-0000-000026380000}"/>
    <cellStyle name="Normal 2 2 2 2 4 2 2 2 10" xfId="14375" xr:uid="{00000000-0005-0000-0000-000027380000}"/>
    <cellStyle name="Normal 2 2 2 2 4 2 2 2 11" xfId="14376" xr:uid="{00000000-0005-0000-0000-000028380000}"/>
    <cellStyle name="Normal 2 2 2 2 4 2 2 2 12" xfId="14377" xr:uid="{00000000-0005-0000-0000-000029380000}"/>
    <cellStyle name="Normal 2 2 2 2 4 2 2 2 13" xfId="14378" xr:uid="{00000000-0005-0000-0000-00002A380000}"/>
    <cellStyle name="Normal 2 2 2 2 4 2 2 2 14" xfId="14379" xr:uid="{00000000-0005-0000-0000-00002B380000}"/>
    <cellStyle name="Normal 2 2 2 2 4 2 2 2 2" xfId="14380" xr:uid="{00000000-0005-0000-0000-00002C380000}"/>
    <cellStyle name="Normal 2 2 2 2 4 2 2 2 2 10" xfId="14381" xr:uid="{00000000-0005-0000-0000-00002D380000}"/>
    <cellStyle name="Normal 2 2 2 2 4 2 2 2 2 2" xfId="14382" xr:uid="{00000000-0005-0000-0000-00002E380000}"/>
    <cellStyle name="Normal 2 2 2 2 4 2 2 2 2 3" xfId="14383" xr:uid="{00000000-0005-0000-0000-00002F380000}"/>
    <cellStyle name="Normal 2 2 2 2 4 2 2 2 2 4" xfId="14384" xr:uid="{00000000-0005-0000-0000-000030380000}"/>
    <cellStyle name="Normal 2 2 2 2 4 2 2 2 2 5" xfId="14385" xr:uid="{00000000-0005-0000-0000-000031380000}"/>
    <cellStyle name="Normal 2 2 2 2 4 2 2 2 2 6" xfId="14386" xr:uid="{00000000-0005-0000-0000-000032380000}"/>
    <cellStyle name="Normal 2 2 2 2 4 2 2 2 2 7" xfId="14387" xr:uid="{00000000-0005-0000-0000-000033380000}"/>
    <cellStyle name="Normal 2 2 2 2 4 2 2 2 2 8" xfId="14388" xr:uid="{00000000-0005-0000-0000-000034380000}"/>
    <cellStyle name="Normal 2 2 2 2 4 2 2 2 2 9" xfId="14389" xr:uid="{00000000-0005-0000-0000-000035380000}"/>
    <cellStyle name="Normal 2 2 2 2 4 2 2 2 3" xfId="14390" xr:uid="{00000000-0005-0000-0000-000036380000}"/>
    <cellStyle name="Normal 2 2 2 2 4 2 2 2 3 10" xfId="14391" xr:uid="{00000000-0005-0000-0000-000037380000}"/>
    <cellStyle name="Normal 2 2 2 2 4 2 2 2 3 2" xfId="14392" xr:uid="{00000000-0005-0000-0000-000038380000}"/>
    <cellStyle name="Normal 2 2 2 2 4 2 2 2 3 3" xfId="14393" xr:uid="{00000000-0005-0000-0000-000039380000}"/>
    <cellStyle name="Normal 2 2 2 2 4 2 2 2 3 4" xfId="14394" xr:uid="{00000000-0005-0000-0000-00003A380000}"/>
    <cellStyle name="Normal 2 2 2 2 4 2 2 2 3 5" xfId="14395" xr:uid="{00000000-0005-0000-0000-00003B380000}"/>
    <cellStyle name="Normal 2 2 2 2 4 2 2 2 3 6" xfId="14396" xr:uid="{00000000-0005-0000-0000-00003C380000}"/>
    <cellStyle name="Normal 2 2 2 2 4 2 2 2 3 7" xfId="14397" xr:uid="{00000000-0005-0000-0000-00003D380000}"/>
    <cellStyle name="Normal 2 2 2 2 4 2 2 2 3 8" xfId="14398" xr:uid="{00000000-0005-0000-0000-00003E380000}"/>
    <cellStyle name="Normal 2 2 2 2 4 2 2 2 3 9" xfId="14399" xr:uid="{00000000-0005-0000-0000-00003F380000}"/>
    <cellStyle name="Normal 2 2 2 2 4 2 2 2 4" xfId="14400" xr:uid="{00000000-0005-0000-0000-000040380000}"/>
    <cellStyle name="Normal 2 2 2 2 4 2 2 2 4 10" xfId="14401" xr:uid="{00000000-0005-0000-0000-000041380000}"/>
    <cellStyle name="Normal 2 2 2 2 4 2 2 2 4 2" xfId="14402" xr:uid="{00000000-0005-0000-0000-000042380000}"/>
    <cellStyle name="Normal 2 2 2 2 4 2 2 2 4 3" xfId="14403" xr:uid="{00000000-0005-0000-0000-000043380000}"/>
    <cellStyle name="Normal 2 2 2 2 4 2 2 2 4 4" xfId="14404" xr:uid="{00000000-0005-0000-0000-000044380000}"/>
    <cellStyle name="Normal 2 2 2 2 4 2 2 2 4 5" xfId="14405" xr:uid="{00000000-0005-0000-0000-000045380000}"/>
    <cellStyle name="Normal 2 2 2 2 4 2 2 2 4 6" xfId="14406" xr:uid="{00000000-0005-0000-0000-000046380000}"/>
    <cellStyle name="Normal 2 2 2 2 4 2 2 2 4 7" xfId="14407" xr:uid="{00000000-0005-0000-0000-000047380000}"/>
    <cellStyle name="Normal 2 2 2 2 4 2 2 2 4 8" xfId="14408" xr:uid="{00000000-0005-0000-0000-000048380000}"/>
    <cellStyle name="Normal 2 2 2 2 4 2 2 2 4 9" xfId="14409" xr:uid="{00000000-0005-0000-0000-000049380000}"/>
    <cellStyle name="Normal 2 2 2 2 4 2 2 2 5" xfId="14410" xr:uid="{00000000-0005-0000-0000-00004A380000}"/>
    <cellStyle name="Normal 2 2 2 2 4 2 2 2 5 10" xfId="14411" xr:uid="{00000000-0005-0000-0000-00004B380000}"/>
    <cellStyle name="Normal 2 2 2 2 4 2 2 2 5 2" xfId="14412" xr:uid="{00000000-0005-0000-0000-00004C380000}"/>
    <cellStyle name="Normal 2 2 2 2 4 2 2 2 5 3" xfId="14413" xr:uid="{00000000-0005-0000-0000-00004D380000}"/>
    <cellStyle name="Normal 2 2 2 2 4 2 2 2 5 4" xfId="14414" xr:uid="{00000000-0005-0000-0000-00004E380000}"/>
    <cellStyle name="Normal 2 2 2 2 4 2 2 2 5 5" xfId="14415" xr:uid="{00000000-0005-0000-0000-00004F380000}"/>
    <cellStyle name="Normal 2 2 2 2 4 2 2 2 5 6" xfId="14416" xr:uid="{00000000-0005-0000-0000-000050380000}"/>
    <cellStyle name="Normal 2 2 2 2 4 2 2 2 5 7" xfId="14417" xr:uid="{00000000-0005-0000-0000-000051380000}"/>
    <cellStyle name="Normal 2 2 2 2 4 2 2 2 5 8" xfId="14418" xr:uid="{00000000-0005-0000-0000-000052380000}"/>
    <cellStyle name="Normal 2 2 2 2 4 2 2 2 5 9" xfId="14419" xr:uid="{00000000-0005-0000-0000-000053380000}"/>
    <cellStyle name="Normal 2 2 2 2 4 2 2 2 6" xfId="14420" xr:uid="{00000000-0005-0000-0000-000054380000}"/>
    <cellStyle name="Normal 2 2 2 2 4 2 2 2 7" xfId="14421" xr:uid="{00000000-0005-0000-0000-000055380000}"/>
    <cellStyle name="Normal 2 2 2 2 4 2 2 2 8" xfId="14422" xr:uid="{00000000-0005-0000-0000-000056380000}"/>
    <cellStyle name="Normal 2 2 2 2 4 2 2 2 9" xfId="14423" xr:uid="{00000000-0005-0000-0000-000057380000}"/>
    <cellStyle name="Normal 2 2 2 2 4 2 2 20" xfId="14424" xr:uid="{00000000-0005-0000-0000-000058380000}"/>
    <cellStyle name="Normal 2 2 2 2 4 2 2 20 10" xfId="14425" xr:uid="{00000000-0005-0000-0000-000059380000}"/>
    <cellStyle name="Normal 2 2 2 2 4 2 2 20 11" xfId="14426" xr:uid="{00000000-0005-0000-0000-00005A380000}"/>
    <cellStyle name="Normal 2 2 2 2 4 2 2 20 12" xfId="14427" xr:uid="{00000000-0005-0000-0000-00005B380000}"/>
    <cellStyle name="Normal 2 2 2 2 4 2 2 20 13" xfId="14428" xr:uid="{00000000-0005-0000-0000-00005C380000}"/>
    <cellStyle name="Normal 2 2 2 2 4 2 2 20 14" xfId="14429" xr:uid="{00000000-0005-0000-0000-00005D380000}"/>
    <cellStyle name="Normal 2 2 2 2 4 2 2 20 2" xfId="14430" xr:uid="{00000000-0005-0000-0000-00005E380000}"/>
    <cellStyle name="Normal 2 2 2 2 4 2 2 20 2 10" xfId="14431" xr:uid="{00000000-0005-0000-0000-00005F380000}"/>
    <cellStyle name="Normal 2 2 2 2 4 2 2 20 2 2" xfId="14432" xr:uid="{00000000-0005-0000-0000-000060380000}"/>
    <cellStyle name="Normal 2 2 2 2 4 2 2 20 2 3" xfId="14433" xr:uid="{00000000-0005-0000-0000-000061380000}"/>
    <cellStyle name="Normal 2 2 2 2 4 2 2 20 2 4" xfId="14434" xr:uid="{00000000-0005-0000-0000-000062380000}"/>
    <cellStyle name="Normal 2 2 2 2 4 2 2 20 2 5" xfId="14435" xr:uid="{00000000-0005-0000-0000-000063380000}"/>
    <cellStyle name="Normal 2 2 2 2 4 2 2 20 2 6" xfId="14436" xr:uid="{00000000-0005-0000-0000-000064380000}"/>
    <cellStyle name="Normal 2 2 2 2 4 2 2 20 2 7" xfId="14437" xr:uid="{00000000-0005-0000-0000-000065380000}"/>
    <cellStyle name="Normal 2 2 2 2 4 2 2 20 2 8" xfId="14438" xr:uid="{00000000-0005-0000-0000-000066380000}"/>
    <cellStyle name="Normal 2 2 2 2 4 2 2 20 2 9" xfId="14439" xr:uid="{00000000-0005-0000-0000-000067380000}"/>
    <cellStyle name="Normal 2 2 2 2 4 2 2 20 3" xfId="14440" xr:uid="{00000000-0005-0000-0000-000068380000}"/>
    <cellStyle name="Normal 2 2 2 2 4 2 2 20 3 10" xfId="14441" xr:uid="{00000000-0005-0000-0000-000069380000}"/>
    <cellStyle name="Normal 2 2 2 2 4 2 2 20 3 2" xfId="14442" xr:uid="{00000000-0005-0000-0000-00006A380000}"/>
    <cellStyle name="Normal 2 2 2 2 4 2 2 20 3 3" xfId="14443" xr:uid="{00000000-0005-0000-0000-00006B380000}"/>
    <cellStyle name="Normal 2 2 2 2 4 2 2 20 3 4" xfId="14444" xr:uid="{00000000-0005-0000-0000-00006C380000}"/>
    <cellStyle name="Normal 2 2 2 2 4 2 2 20 3 5" xfId="14445" xr:uid="{00000000-0005-0000-0000-00006D380000}"/>
    <cellStyle name="Normal 2 2 2 2 4 2 2 20 3 6" xfId="14446" xr:uid="{00000000-0005-0000-0000-00006E380000}"/>
    <cellStyle name="Normal 2 2 2 2 4 2 2 20 3 7" xfId="14447" xr:uid="{00000000-0005-0000-0000-00006F380000}"/>
    <cellStyle name="Normal 2 2 2 2 4 2 2 20 3 8" xfId="14448" xr:uid="{00000000-0005-0000-0000-000070380000}"/>
    <cellStyle name="Normal 2 2 2 2 4 2 2 20 3 9" xfId="14449" xr:uid="{00000000-0005-0000-0000-000071380000}"/>
    <cellStyle name="Normal 2 2 2 2 4 2 2 20 4" xfId="14450" xr:uid="{00000000-0005-0000-0000-000072380000}"/>
    <cellStyle name="Normal 2 2 2 2 4 2 2 20 4 10" xfId="14451" xr:uid="{00000000-0005-0000-0000-000073380000}"/>
    <cellStyle name="Normal 2 2 2 2 4 2 2 20 4 2" xfId="14452" xr:uid="{00000000-0005-0000-0000-000074380000}"/>
    <cellStyle name="Normal 2 2 2 2 4 2 2 20 4 3" xfId="14453" xr:uid="{00000000-0005-0000-0000-000075380000}"/>
    <cellStyle name="Normal 2 2 2 2 4 2 2 20 4 4" xfId="14454" xr:uid="{00000000-0005-0000-0000-000076380000}"/>
    <cellStyle name="Normal 2 2 2 2 4 2 2 20 4 5" xfId="14455" xr:uid="{00000000-0005-0000-0000-000077380000}"/>
    <cellStyle name="Normal 2 2 2 2 4 2 2 20 4 6" xfId="14456" xr:uid="{00000000-0005-0000-0000-000078380000}"/>
    <cellStyle name="Normal 2 2 2 2 4 2 2 20 4 7" xfId="14457" xr:uid="{00000000-0005-0000-0000-000079380000}"/>
    <cellStyle name="Normal 2 2 2 2 4 2 2 20 4 8" xfId="14458" xr:uid="{00000000-0005-0000-0000-00007A380000}"/>
    <cellStyle name="Normal 2 2 2 2 4 2 2 20 4 9" xfId="14459" xr:uid="{00000000-0005-0000-0000-00007B380000}"/>
    <cellStyle name="Normal 2 2 2 2 4 2 2 20 5" xfId="14460" xr:uid="{00000000-0005-0000-0000-00007C380000}"/>
    <cellStyle name="Normal 2 2 2 2 4 2 2 20 5 10" xfId="14461" xr:uid="{00000000-0005-0000-0000-00007D380000}"/>
    <cellStyle name="Normal 2 2 2 2 4 2 2 20 5 2" xfId="14462" xr:uid="{00000000-0005-0000-0000-00007E380000}"/>
    <cellStyle name="Normal 2 2 2 2 4 2 2 20 5 3" xfId="14463" xr:uid="{00000000-0005-0000-0000-00007F380000}"/>
    <cellStyle name="Normal 2 2 2 2 4 2 2 20 5 4" xfId="14464" xr:uid="{00000000-0005-0000-0000-000080380000}"/>
    <cellStyle name="Normal 2 2 2 2 4 2 2 20 5 5" xfId="14465" xr:uid="{00000000-0005-0000-0000-000081380000}"/>
    <cellStyle name="Normal 2 2 2 2 4 2 2 20 5 6" xfId="14466" xr:uid="{00000000-0005-0000-0000-000082380000}"/>
    <cellStyle name="Normal 2 2 2 2 4 2 2 20 5 7" xfId="14467" xr:uid="{00000000-0005-0000-0000-000083380000}"/>
    <cellStyle name="Normal 2 2 2 2 4 2 2 20 5 8" xfId="14468" xr:uid="{00000000-0005-0000-0000-000084380000}"/>
    <cellStyle name="Normal 2 2 2 2 4 2 2 20 5 9" xfId="14469" xr:uid="{00000000-0005-0000-0000-000085380000}"/>
    <cellStyle name="Normal 2 2 2 2 4 2 2 20 6" xfId="14470" xr:uid="{00000000-0005-0000-0000-000086380000}"/>
    <cellStyle name="Normal 2 2 2 2 4 2 2 20 7" xfId="14471" xr:uid="{00000000-0005-0000-0000-000087380000}"/>
    <cellStyle name="Normal 2 2 2 2 4 2 2 20 8" xfId="14472" xr:uid="{00000000-0005-0000-0000-000088380000}"/>
    <cellStyle name="Normal 2 2 2 2 4 2 2 20 9" xfId="14473" xr:uid="{00000000-0005-0000-0000-000089380000}"/>
    <cellStyle name="Normal 2 2 2 2 4 2 2 3" xfId="14474" xr:uid="{00000000-0005-0000-0000-00008A380000}"/>
    <cellStyle name="Normal 2 2 2 2 4 2 2 3 10" xfId="14475" xr:uid="{00000000-0005-0000-0000-00008B380000}"/>
    <cellStyle name="Normal 2 2 2 2 4 2 2 3 11" xfId="14476" xr:uid="{00000000-0005-0000-0000-00008C380000}"/>
    <cellStyle name="Normal 2 2 2 2 4 2 2 3 12" xfId="14477" xr:uid="{00000000-0005-0000-0000-00008D380000}"/>
    <cellStyle name="Normal 2 2 2 2 4 2 2 3 13" xfId="14478" xr:uid="{00000000-0005-0000-0000-00008E380000}"/>
    <cellStyle name="Normal 2 2 2 2 4 2 2 3 14" xfId="14479" xr:uid="{00000000-0005-0000-0000-00008F380000}"/>
    <cellStyle name="Normal 2 2 2 2 4 2 2 3 2" xfId="14480" xr:uid="{00000000-0005-0000-0000-000090380000}"/>
    <cellStyle name="Normal 2 2 2 2 4 2 2 3 2 10" xfId="14481" xr:uid="{00000000-0005-0000-0000-000091380000}"/>
    <cellStyle name="Normal 2 2 2 2 4 2 2 3 2 2" xfId="14482" xr:uid="{00000000-0005-0000-0000-000092380000}"/>
    <cellStyle name="Normal 2 2 2 2 4 2 2 3 2 3" xfId="14483" xr:uid="{00000000-0005-0000-0000-000093380000}"/>
    <cellStyle name="Normal 2 2 2 2 4 2 2 3 2 4" xfId="14484" xr:uid="{00000000-0005-0000-0000-000094380000}"/>
    <cellStyle name="Normal 2 2 2 2 4 2 2 3 2 5" xfId="14485" xr:uid="{00000000-0005-0000-0000-000095380000}"/>
    <cellStyle name="Normal 2 2 2 2 4 2 2 3 2 6" xfId="14486" xr:uid="{00000000-0005-0000-0000-000096380000}"/>
    <cellStyle name="Normal 2 2 2 2 4 2 2 3 2 7" xfId="14487" xr:uid="{00000000-0005-0000-0000-000097380000}"/>
    <cellStyle name="Normal 2 2 2 2 4 2 2 3 2 8" xfId="14488" xr:uid="{00000000-0005-0000-0000-000098380000}"/>
    <cellStyle name="Normal 2 2 2 2 4 2 2 3 2 9" xfId="14489" xr:uid="{00000000-0005-0000-0000-000099380000}"/>
    <cellStyle name="Normal 2 2 2 2 4 2 2 3 3" xfId="14490" xr:uid="{00000000-0005-0000-0000-00009A380000}"/>
    <cellStyle name="Normal 2 2 2 2 4 2 2 3 3 10" xfId="14491" xr:uid="{00000000-0005-0000-0000-00009B380000}"/>
    <cellStyle name="Normal 2 2 2 2 4 2 2 3 3 2" xfId="14492" xr:uid="{00000000-0005-0000-0000-00009C380000}"/>
    <cellStyle name="Normal 2 2 2 2 4 2 2 3 3 3" xfId="14493" xr:uid="{00000000-0005-0000-0000-00009D380000}"/>
    <cellStyle name="Normal 2 2 2 2 4 2 2 3 3 4" xfId="14494" xr:uid="{00000000-0005-0000-0000-00009E380000}"/>
    <cellStyle name="Normal 2 2 2 2 4 2 2 3 3 5" xfId="14495" xr:uid="{00000000-0005-0000-0000-00009F380000}"/>
    <cellStyle name="Normal 2 2 2 2 4 2 2 3 3 6" xfId="14496" xr:uid="{00000000-0005-0000-0000-0000A0380000}"/>
    <cellStyle name="Normal 2 2 2 2 4 2 2 3 3 7" xfId="14497" xr:uid="{00000000-0005-0000-0000-0000A1380000}"/>
    <cellStyle name="Normal 2 2 2 2 4 2 2 3 3 8" xfId="14498" xr:uid="{00000000-0005-0000-0000-0000A2380000}"/>
    <cellStyle name="Normal 2 2 2 2 4 2 2 3 3 9" xfId="14499" xr:uid="{00000000-0005-0000-0000-0000A3380000}"/>
    <cellStyle name="Normal 2 2 2 2 4 2 2 3 4" xfId="14500" xr:uid="{00000000-0005-0000-0000-0000A4380000}"/>
    <cellStyle name="Normal 2 2 2 2 4 2 2 3 4 10" xfId="14501" xr:uid="{00000000-0005-0000-0000-0000A5380000}"/>
    <cellStyle name="Normal 2 2 2 2 4 2 2 3 4 2" xfId="14502" xr:uid="{00000000-0005-0000-0000-0000A6380000}"/>
    <cellStyle name="Normal 2 2 2 2 4 2 2 3 4 3" xfId="14503" xr:uid="{00000000-0005-0000-0000-0000A7380000}"/>
    <cellStyle name="Normal 2 2 2 2 4 2 2 3 4 4" xfId="14504" xr:uid="{00000000-0005-0000-0000-0000A8380000}"/>
    <cellStyle name="Normal 2 2 2 2 4 2 2 3 4 5" xfId="14505" xr:uid="{00000000-0005-0000-0000-0000A9380000}"/>
    <cellStyle name="Normal 2 2 2 2 4 2 2 3 4 6" xfId="14506" xr:uid="{00000000-0005-0000-0000-0000AA380000}"/>
    <cellStyle name="Normal 2 2 2 2 4 2 2 3 4 7" xfId="14507" xr:uid="{00000000-0005-0000-0000-0000AB380000}"/>
    <cellStyle name="Normal 2 2 2 2 4 2 2 3 4 8" xfId="14508" xr:uid="{00000000-0005-0000-0000-0000AC380000}"/>
    <cellStyle name="Normal 2 2 2 2 4 2 2 3 4 9" xfId="14509" xr:uid="{00000000-0005-0000-0000-0000AD380000}"/>
    <cellStyle name="Normal 2 2 2 2 4 2 2 3 5" xfId="14510" xr:uid="{00000000-0005-0000-0000-0000AE380000}"/>
    <cellStyle name="Normal 2 2 2 2 4 2 2 3 5 10" xfId="14511" xr:uid="{00000000-0005-0000-0000-0000AF380000}"/>
    <cellStyle name="Normal 2 2 2 2 4 2 2 3 5 2" xfId="14512" xr:uid="{00000000-0005-0000-0000-0000B0380000}"/>
    <cellStyle name="Normal 2 2 2 2 4 2 2 3 5 3" xfId="14513" xr:uid="{00000000-0005-0000-0000-0000B1380000}"/>
    <cellStyle name="Normal 2 2 2 2 4 2 2 3 5 4" xfId="14514" xr:uid="{00000000-0005-0000-0000-0000B2380000}"/>
    <cellStyle name="Normal 2 2 2 2 4 2 2 3 5 5" xfId="14515" xr:uid="{00000000-0005-0000-0000-0000B3380000}"/>
    <cellStyle name="Normal 2 2 2 2 4 2 2 3 5 6" xfId="14516" xr:uid="{00000000-0005-0000-0000-0000B4380000}"/>
    <cellStyle name="Normal 2 2 2 2 4 2 2 3 5 7" xfId="14517" xr:uid="{00000000-0005-0000-0000-0000B5380000}"/>
    <cellStyle name="Normal 2 2 2 2 4 2 2 3 5 8" xfId="14518" xr:uid="{00000000-0005-0000-0000-0000B6380000}"/>
    <cellStyle name="Normal 2 2 2 2 4 2 2 3 5 9" xfId="14519" xr:uid="{00000000-0005-0000-0000-0000B7380000}"/>
    <cellStyle name="Normal 2 2 2 2 4 2 2 3 6" xfId="14520" xr:uid="{00000000-0005-0000-0000-0000B8380000}"/>
    <cellStyle name="Normal 2 2 2 2 4 2 2 3 7" xfId="14521" xr:uid="{00000000-0005-0000-0000-0000B9380000}"/>
    <cellStyle name="Normal 2 2 2 2 4 2 2 3 8" xfId="14522" xr:uid="{00000000-0005-0000-0000-0000BA380000}"/>
    <cellStyle name="Normal 2 2 2 2 4 2 2 3 9" xfId="14523" xr:uid="{00000000-0005-0000-0000-0000BB380000}"/>
    <cellStyle name="Normal 2 2 2 2 4 2 2 4" xfId="14524" xr:uid="{00000000-0005-0000-0000-0000BC380000}"/>
    <cellStyle name="Normal 2 2 2 2 4 2 2 4 10" xfId="14525" xr:uid="{00000000-0005-0000-0000-0000BD380000}"/>
    <cellStyle name="Normal 2 2 2 2 4 2 2 4 11" xfId="14526" xr:uid="{00000000-0005-0000-0000-0000BE380000}"/>
    <cellStyle name="Normal 2 2 2 2 4 2 2 4 12" xfId="14527" xr:uid="{00000000-0005-0000-0000-0000BF380000}"/>
    <cellStyle name="Normal 2 2 2 2 4 2 2 4 13" xfId="14528" xr:uid="{00000000-0005-0000-0000-0000C0380000}"/>
    <cellStyle name="Normal 2 2 2 2 4 2 2 4 14" xfId="14529" xr:uid="{00000000-0005-0000-0000-0000C1380000}"/>
    <cellStyle name="Normal 2 2 2 2 4 2 2 4 2" xfId="14530" xr:uid="{00000000-0005-0000-0000-0000C2380000}"/>
    <cellStyle name="Normal 2 2 2 2 4 2 2 4 2 10" xfId="14531" xr:uid="{00000000-0005-0000-0000-0000C3380000}"/>
    <cellStyle name="Normal 2 2 2 2 4 2 2 4 2 2" xfId="14532" xr:uid="{00000000-0005-0000-0000-0000C4380000}"/>
    <cellStyle name="Normal 2 2 2 2 4 2 2 4 2 3" xfId="14533" xr:uid="{00000000-0005-0000-0000-0000C5380000}"/>
    <cellStyle name="Normal 2 2 2 2 4 2 2 4 2 4" xfId="14534" xr:uid="{00000000-0005-0000-0000-0000C6380000}"/>
    <cellStyle name="Normal 2 2 2 2 4 2 2 4 2 5" xfId="14535" xr:uid="{00000000-0005-0000-0000-0000C7380000}"/>
    <cellStyle name="Normal 2 2 2 2 4 2 2 4 2 6" xfId="14536" xr:uid="{00000000-0005-0000-0000-0000C8380000}"/>
    <cellStyle name="Normal 2 2 2 2 4 2 2 4 2 7" xfId="14537" xr:uid="{00000000-0005-0000-0000-0000C9380000}"/>
    <cellStyle name="Normal 2 2 2 2 4 2 2 4 2 8" xfId="14538" xr:uid="{00000000-0005-0000-0000-0000CA380000}"/>
    <cellStyle name="Normal 2 2 2 2 4 2 2 4 2 9" xfId="14539" xr:uid="{00000000-0005-0000-0000-0000CB380000}"/>
    <cellStyle name="Normal 2 2 2 2 4 2 2 4 3" xfId="14540" xr:uid="{00000000-0005-0000-0000-0000CC380000}"/>
    <cellStyle name="Normal 2 2 2 2 4 2 2 4 3 10" xfId="14541" xr:uid="{00000000-0005-0000-0000-0000CD380000}"/>
    <cellStyle name="Normal 2 2 2 2 4 2 2 4 3 2" xfId="14542" xr:uid="{00000000-0005-0000-0000-0000CE380000}"/>
    <cellStyle name="Normal 2 2 2 2 4 2 2 4 3 3" xfId="14543" xr:uid="{00000000-0005-0000-0000-0000CF380000}"/>
    <cellStyle name="Normal 2 2 2 2 4 2 2 4 3 4" xfId="14544" xr:uid="{00000000-0005-0000-0000-0000D0380000}"/>
    <cellStyle name="Normal 2 2 2 2 4 2 2 4 3 5" xfId="14545" xr:uid="{00000000-0005-0000-0000-0000D1380000}"/>
    <cellStyle name="Normal 2 2 2 2 4 2 2 4 3 6" xfId="14546" xr:uid="{00000000-0005-0000-0000-0000D2380000}"/>
    <cellStyle name="Normal 2 2 2 2 4 2 2 4 3 7" xfId="14547" xr:uid="{00000000-0005-0000-0000-0000D3380000}"/>
    <cellStyle name="Normal 2 2 2 2 4 2 2 4 3 8" xfId="14548" xr:uid="{00000000-0005-0000-0000-0000D4380000}"/>
    <cellStyle name="Normal 2 2 2 2 4 2 2 4 3 9" xfId="14549" xr:uid="{00000000-0005-0000-0000-0000D5380000}"/>
    <cellStyle name="Normal 2 2 2 2 4 2 2 4 4" xfId="14550" xr:uid="{00000000-0005-0000-0000-0000D6380000}"/>
    <cellStyle name="Normal 2 2 2 2 4 2 2 4 4 10" xfId="14551" xr:uid="{00000000-0005-0000-0000-0000D7380000}"/>
    <cellStyle name="Normal 2 2 2 2 4 2 2 4 4 2" xfId="14552" xr:uid="{00000000-0005-0000-0000-0000D8380000}"/>
    <cellStyle name="Normal 2 2 2 2 4 2 2 4 4 3" xfId="14553" xr:uid="{00000000-0005-0000-0000-0000D9380000}"/>
    <cellStyle name="Normal 2 2 2 2 4 2 2 4 4 4" xfId="14554" xr:uid="{00000000-0005-0000-0000-0000DA380000}"/>
    <cellStyle name="Normal 2 2 2 2 4 2 2 4 4 5" xfId="14555" xr:uid="{00000000-0005-0000-0000-0000DB380000}"/>
    <cellStyle name="Normal 2 2 2 2 4 2 2 4 4 6" xfId="14556" xr:uid="{00000000-0005-0000-0000-0000DC380000}"/>
    <cellStyle name="Normal 2 2 2 2 4 2 2 4 4 7" xfId="14557" xr:uid="{00000000-0005-0000-0000-0000DD380000}"/>
    <cellStyle name="Normal 2 2 2 2 4 2 2 4 4 8" xfId="14558" xr:uid="{00000000-0005-0000-0000-0000DE380000}"/>
    <cellStyle name="Normal 2 2 2 2 4 2 2 4 4 9" xfId="14559" xr:uid="{00000000-0005-0000-0000-0000DF380000}"/>
    <cellStyle name="Normal 2 2 2 2 4 2 2 4 5" xfId="14560" xr:uid="{00000000-0005-0000-0000-0000E0380000}"/>
    <cellStyle name="Normal 2 2 2 2 4 2 2 4 5 10" xfId="14561" xr:uid="{00000000-0005-0000-0000-0000E1380000}"/>
    <cellStyle name="Normal 2 2 2 2 4 2 2 4 5 2" xfId="14562" xr:uid="{00000000-0005-0000-0000-0000E2380000}"/>
    <cellStyle name="Normal 2 2 2 2 4 2 2 4 5 3" xfId="14563" xr:uid="{00000000-0005-0000-0000-0000E3380000}"/>
    <cellStyle name="Normal 2 2 2 2 4 2 2 4 5 4" xfId="14564" xr:uid="{00000000-0005-0000-0000-0000E4380000}"/>
    <cellStyle name="Normal 2 2 2 2 4 2 2 4 5 5" xfId="14565" xr:uid="{00000000-0005-0000-0000-0000E5380000}"/>
    <cellStyle name="Normal 2 2 2 2 4 2 2 4 5 6" xfId="14566" xr:uid="{00000000-0005-0000-0000-0000E6380000}"/>
    <cellStyle name="Normal 2 2 2 2 4 2 2 4 5 7" xfId="14567" xr:uid="{00000000-0005-0000-0000-0000E7380000}"/>
    <cellStyle name="Normal 2 2 2 2 4 2 2 4 5 8" xfId="14568" xr:uid="{00000000-0005-0000-0000-0000E8380000}"/>
    <cellStyle name="Normal 2 2 2 2 4 2 2 4 5 9" xfId="14569" xr:uid="{00000000-0005-0000-0000-0000E9380000}"/>
    <cellStyle name="Normal 2 2 2 2 4 2 2 4 6" xfId="14570" xr:uid="{00000000-0005-0000-0000-0000EA380000}"/>
    <cellStyle name="Normal 2 2 2 2 4 2 2 4 7" xfId="14571" xr:uid="{00000000-0005-0000-0000-0000EB380000}"/>
    <cellStyle name="Normal 2 2 2 2 4 2 2 4 8" xfId="14572" xr:uid="{00000000-0005-0000-0000-0000EC380000}"/>
    <cellStyle name="Normal 2 2 2 2 4 2 2 4 9" xfId="14573" xr:uid="{00000000-0005-0000-0000-0000ED380000}"/>
    <cellStyle name="Normal 2 2 2 2 4 2 2 5" xfId="14574" xr:uid="{00000000-0005-0000-0000-0000EE380000}"/>
    <cellStyle name="Normal 2 2 2 2 4 2 2 5 10" xfId="14575" xr:uid="{00000000-0005-0000-0000-0000EF380000}"/>
    <cellStyle name="Normal 2 2 2 2 4 2 2 5 11" xfId="14576" xr:uid="{00000000-0005-0000-0000-0000F0380000}"/>
    <cellStyle name="Normal 2 2 2 2 4 2 2 5 12" xfId="14577" xr:uid="{00000000-0005-0000-0000-0000F1380000}"/>
    <cellStyle name="Normal 2 2 2 2 4 2 2 5 13" xfId="14578" xr:uid="{00000000-0005-0000-0000-0000F2380000}"/>
    <cellStyle name="Normal 2 2 2 2 4 2 2 5 14" xfId="14579" xr:uid="{00000000-0005-0000-0000-0000F3380000}"/>
    <cellStyle name="Normal 2 2 2 2 4 2 2 5 2" xfId="14580" xr:uid="{00000000-0005-0000-0000-0000F4380000}"/>
    <cellStyle name="Normal 2 2 2 2 4 2 2 5 2 10" xfId="14581" xr:uid="{00000000-0005-0000-0000-0000F5380000}"/>
    <cellStyle name="Normal 2 2 2 2 4 2 2 5 2 2" xfId="14582" xr:uid="{00000000-0005-0000-0000-0000F6380000}"/>
    <cellStyle name="Normal 2 2 2 2 4 2 2 5 2 3" xfId="14583" xr:uid="{00000000-0005-0000-0000-0000F7380000}"/>
    <cellStyle name="Normal 2 2 2 2 4 2 2 5 2 4" xfId="14584" xr:uid="{00000000-0005-0000-0000-0000F8380000}"/>
    <cellStyle name="Normal 2 2 2 2 4 2 2 5 2 5" xfId="14585" xr:uid="{00000000-0005-0000-0000-0000F9380000}"/>
    <cellStyle name="Normal 2 2 2 2 4 2 2 5 2 6" xfId="14586" xr:uid="{00000000-0005-0000-0000-0000FA380000}"/>
    <cellStyle name="Normal 2 2 2 2 4 2 2 5 2 7" xfId="14587" xr:uid="{00000000-0005-0000-0000-0000FB380000}"/>
    <cellStyle name="Normal 2 2 2 2 4 2 2 5 2 8" xfId="14588" xr:uid="{00000000-0005-0000-0000-0000FC380000}"/>
    <cellStyle name="Normal 2 2 2 2 4 2 2 5 2 9" xfId="14589" xr:uid="{00000000-0005-0000-0000-0000FD380000}"/>
    <cellStyle name="Normal 2 2 2 2 4 2 2 5 3" xfId="14590" xr:uid="{00000000-0005-0000-0000-0000FE380000}"/>
    <cellStyle name="Normal 2 2 2 2 4 2 2 5 3 10" xfId="14591" xr:uid="{00000000-0005-0000-0000-0000FF380000}"/>
    <cellStyle name="Normal 2 2 2 2 4 2 2 5 3 2" xfId="14592" xr:uid="{00000000-0005-0000-0000-000000390000}"/>
    <cellStyle name="Normal 2 2 2 2 4 2 2 5 3 3" xfId="14593" xr:uid="{00000000-0005-0000-0000-000001390000}"/>
    <cellStyle name="Normal 2 2 2 2 4 2 2 5 3 4" xfId="14594" xr:uid="{00000000-0005-0000-0000-000002390000}"/>
    <cellStyle name="Normal 2 2 2 2 4 2 2 5 3 5" xfId="14595" xr:uid="{00000000-0005-0000-0000-000003390000}"/>
    <cellStyle name="Normal 2 2 2 2 4 2 2 5 3 6" xfId="14596" xr:uid="{00000000-0005-0000-0000-000004390000}"/>
    <cellStyle name="Normal 2 2 2 2 4 2 2 5 3 7" xfId="14597" xr:uid="{00000000-0005-0000-0000-000005390000}"/>
    <cellStyle name="Normal 2 2 2 2 4 2 2 5 3 8" xfId="14598" xr:uid="{00000000-0005-0000-0000-000006390000}"/>
    <cellStyle name="Normal 2 2 2 2 4 2 2 5 3 9" xfId="14599" xr:uid="{00000000-0005-0000-0000-000007390000}"/>
    <cellStyle name="Normal 2 2 2 2 4 2 2 5 4" xfId="14600" xr:uid="{00000000-0005-0000-0000-000008390000}"/>
    <cellStyle name="Normal 2 2 2 2 4 2 2 5 4 10" xfId="14601" xr:uid="{00000000-0005-0000-0000-000009390000}"/>
    <cellStyle name="Normal 2 2 2 2 4 2 2 5 4 2" xfId="14602" xr:uid="{00000000-0005-0000-0000-00000A390000}"/>
    <cellStyle name="Normal 2 2 2 2 4 2 2 5 4 3" xfId="14603" xr:uid="{00000000-0005-0000-0000-00000B390000}"/>
    <cellStyle name="Normal 2 2 2 2 4 2 2 5 4 4" xfId="14604" xr:uid="{00000000-0005-0000-0000-00000C390000}"/>
    <cellStyle name="Normal 2 2 2 2 4 2 2 5 4 5" xfId="14605" xr:uid="{00000000-0005-0000-0000-00000D390000}"/>
    <cellStyle name="Normal 2 2 2 2 4 2 2 5 4 6" xfId="14606" xr:uid="{00000000-0005-0000-0000-00000E390000}"/>
    <cellStyle name="Normal 2 2 2 2 4 2 2 5 4 7" xfId="14607" xr:uid="{00000000-0005-0000-0000-00000F390000}"/>
    <cellStyle name="Normal 2 2 2 2 4 2 2 5 4 8" xfId="14608" xr:uid="{00000000-0005-0000-0000-000010390000}"/>
    <cellStyle name="Normal 2 2 2 2 4 2 2 5 4 9" xfId="14609" xr:uid="{00000000-0005-0000-0000-000011390000}"/>
    <cellStyle name="Normal 2 2 2 2 4 2 2 5 5" xfId="14610" xr:uid="{00000000-0005-0000-0000-000012390000}"/>
    <cellStyle name="Normal 2 2 2 2 4 2 2 5 5 10" xfId="14611" xr:uid="{00000000-0005-0000-0000-000013390000}"/>
    <cellStyle name="Normal 2 2 2 2 4 2 2 5 5 2" xfId="14612" xr:uid="{00000000-0005-0000-0000-000014390000}"/>
    <cellStyle name="Normal 2 2 2 2 4 2 2 5 5 3" xfId="14613" xr:uid="{00000000-0005-0000-0000-000015390000}"/>
    <cellStyle name="Normal 2 2 2 2 4 2 2 5 5 4" xfId="14614" xr:uid="{00000000-0005-0000-0000-000016390000}"/>
    <cellStyle name="Normal 2 2 2 2 4 2 2 5 5 5" xfId="14615" xr:uid="{00000000-0005-0000-0000-000017390000}"/>
    <cellStyle name="Normal 2 2 2 2 4 2 2 5 5 6" xfId="14616" xr:uid="{00000000-0005-0000-0000-000018390000}"/>
    <cellStyle name="Normal 2 2 2 2 4 2 2 5 5 7" xfId="14617" xr:uid="{00000000-0005-0000-0000-000019390000}"/>
    <cellStyle name="Normal 2 2 2 2 4 2 2 5 5 8" xfId="14618" xr:uid="{00000000-0005-0000-0000-00001A390000}"/>
    <cellStyle name="Normal 2 2 2 2 4 2 2 5 5 9" xfId="14619" xr:uid="{00000000-0005-0000-0000-00001B390000}"/>
    <cellStyle name="Normal 2 2 2 2 4 2 2 5 6" xfId="14620" xr:uid="{00000000-0005-0000-0000-00001C390000}"/>
    <cellStyle name="Normal 2 2 2 2 4 2 2 5 7" xfId="14621" xr:uid="{00000000-0005-0000-0000-00001D390000}"/>
    <cellStyle name="Normal 2 2 2 2 4 2 2 5 8" xfId="14622" xr:uid="{00000000-0005-0000-0000-00001E390000}"/>
    <cellStyle name="Normal 2 2 2 2 4 2 2 5 9" xfId="14623" xr:uid="{00000000-0005-0000-0000-00001F390000}"/>
    <cellStyle name="Normal 2 2 2 2 4 2 2 6" xfId="14624" xr:uid="{00000000-0005-0000-0000-000020390000}"/>
    <cellStyle name="Normal 2 2 2 2 4 2 2 6 10" xfId="14625" xr:uid="{00000000-0005-0000-0000-000021390000}"/>
    <cellStyle name="Normal 2 2 2 2 4 2 2 6 11" xfId="14626" xr:uid="{00000000-0005-0000-0000-000022390000}"/>
    <cellStyle name="Normal 2 2 2 2 4 2 2 6 12" xfId="14627" xr:uid="{00000000-0005-0000-0000-000023390000}"/>
    <cellStyle name="Normal 2 2 2 2 4 2 2 6 13" xfId="14628" xr:uid="{00000000-0005-0000-0000-000024390000}"/>
    <cellStyle name="Normal 2 2 2 2 4 2 2 6 14" xfId="14629" xr:uid="{00000000-0005-0000-0000-000025390000}"/>
    <cellStyle name="Normal 2 2 2 2 4 2 2 6 2" xfId="14630" xr:uid="{00000000-0005-0000-0000-000026390000}"/>
    <cellStyle name="Normal 2 2 2 2 4 2 2 6 2 10" xfId="14631" xr:uid="{00000000-0005-0000-0000-000027390000}"/>
    <cellStyle name="Normal 2 2 2 2 4 2 2 6 2 2" xfId="14632" xr:uid="{00000000-0005-0000-0000-000028390000}"/>
    <cellStyle name="Normal 2 2 2 2 4 2 2 6 2 3" xfId="14633" xr:uid="{00000000-0005-0000-0000-000029390000}"/>
    <cellStyle name="Normal 2 2 2 2 4 2 2 6 2 4" xfId="14634" xr:uid="{00000000-0005-0000-0000-00002A390000}"/>
    <cellStyle name="Normal 2 2 2 2 4 2 2 6 2 5" xfId="14635" xr:uid="{00000000-0005-0000-0000-00002B390000}"/>
    <cellStyle name="Normal 2 2 2 2 4 2 2 6 2 6" xfId="14636" xr:uid="{00000000-0005-0000-0000-00002C390000}"/>
    <cellStyle name="Normal 2 2 2 2 4 2 2 6 2 7" xfId="14637" xr:uid="{00000000-0005-0000-0000-00002D390000}"/>
    <cellStyle name="Normal 2 2 2 2 4 2 2 6 2 8" xfId="14638" xr:uid="{00000000-0005-0000-0000-00002E390000}"/>
    <cellStyle name="Normal 2 2 2 2 4 2 2 6 2 9" xfId="14639" xr:uid="{00000000-0005-0000-0000-00002F390000}"/>
    <cellStyle name="Normal 2 2 2 2 4 2 2 6 3" xfId="14640" xr:uid="{00000000-0005-0000-0000-000030390000}"/>
    <cellStyle name="Normal 2 2 2 2 4 2 2 6 3 10" xfId="14641" xr:uid="{00000000-0005-0000-0000-000031390000}"/>
    <cellStyle name="Normal 2 2 2 2 4 2 2 6 3 2" xfId="14642" xr:uid="{00000000-0005-0000-0000-000032390000}"/>
    <cellStyle name="Normal 2 2 2 2 4 2 2 6 3 3" xfId="14643" xr:uid="{00000000-0005-0000-0000-000033390000}"/>
    <cellStyle name="Normal 2 2 2 2 4 2 2 6 3 4" xfId="14644" xr:uid="{00000000-0005-0000-0000-000034390000}"/>
    <cellStyle name="Normal 2 2 2 2 4 2 2 6 3 5" xfId="14645" xr:uid="{00000000-0005-0000-0000-000035390000}"/>
    <cellStyle name="Normal 2 2 2 2 4 2 2 6 3 6" xfId="14646" xr:uid="{00000000-0005-0000-0000-000036390000}"/>
    <cellStyle name="Normal 2 2 2 2 4 2 2 6 3 7" xfId="14647" xr:uid="{00000000-0005-0000-0000-000037390000}"/>
    <cellStyle name="Normal 2 2 2 2 4 2 2 6 3 8" xfId="14648" xr:uid="{00000000-0005-0000-0000-000038390000}"/>
    <cellStyle name="Normal 2 2 2 2 4 2 2 6 3 9" xfId="14649" xr:uid="{00000000-0005-0000-0000-000039390000}"/>
    <cellStyle name="Normal 2 2 2 2 4 2 2 6 4" xfId="14650" xr:uid="{00000000-0005-0000-0000-00003A390000}"/>
    <cellStyle name="Normal 2 2 2 2 4 2 2 6 4 10" xfId="14651" xr:uid="{00000000-0005-0000-0000-00003B390000}"/>
    <cellStyle name="Normal 2 2 2 2 4 2 2 6 4 2" xfId="14652" xr:uid="{00000000-0005-0000-0000-00003C390000}"/>
    <cellStyle name="Normal 2 2 2 2 4 2 2 6 4 3" xfId="14653" xr:uid="{00000000-0005-0000-0000-00003D390000}"/>
    <cellStyle name="Normal 2 2 2 2 4 2 2 6 4 4" xfId="14654" xr:uid="{00000000-0005-0000-0000-00003E390000}"/>
    <cellStyle name="Normal 2 2 2 2 4 2 2 6 4 5" xfId="14655" xr:uid="{00000000-0005-0000-0000-00003F390000}"/>
    <cellStyle name="Normal 2 2 2 2 4 2 2 6 4 6" xfId="14656" xr:uid="{00000000-0005-0000-0000-000040390000}"/>
    <cellStyle name="Normal 2 2 2 2 4 2 2 6 4 7" xfId="14657" xr:uid="{00000000-0005-0000-0000-000041390000}"/>
    <cellStyle name="Normal 2 2 2 2 4 2 2 6 4 8" xfId="14658" xr:uid="{00000000-0005-0000-0000-000042390000}"/>
    <cellStyle name="Normal 2 2 2 2 4 2 2 6 4 9" xfId="14659" xr:uid="{00000000-0005-0000-0000-000043390000}"/>
    <cellStyle name="Normal 2 2 2 2 4 2 2 6 5" xfId="14660" xr:uid="{00000000-0005-0000-0000-000044390000}"/>
    <cellStyle name="Normal 2 2 2 2 4 2 2 6 5 10" xfId="14661" xr:uid="{00000000-0005-0000-0000-000045390000}"/>
    <cellStyle name="Normal 2 2 2 2 4 2 2 6 5 2" xfId="14662" xr:uid="{00000000-0005-0000-0000-000046390000}"/>
    <cellStyle name="Normal 2 2 2 2 4 2 2 6 5 3" xfId="14663" xr:uid="{00000000-0005-0000-0000-000047390000}"/>
    <cellStyle name="Normal 2 2 2 2 4 2 2 6 5 4" xfId="14664" xr:uid="{00000000-0005-0000-0000-000048390000}"/>
    <cellStyle name="Normal 2 2 2 2 4 2 2 6 5 5" xfId="14665" xr:uid="{00000000-0005-0000-0000-000049390000}"/>
    <cellStyle name="Normal 2 2 2 2 4 2 2 6 5 6" xfId="14666" xr:uid="{00000000-0005-0000-0000-00004A390000}"/>
    <cellStyle name="Normal 2 2 2 2 4 2 2 6 5 7" xfId="14667" xr:uid="{00000000-0005-0000-0000-00004B390000}"/>
    <cellStyle name="Normal 2 2 2 2 4 2 2 6 5 8" xfId="14668" xr:uid="{00000000-0005-0000-0000-00004C390000}"/>
    <cellStyle name="Normal 2 2 2 2 4 2 2 6 5 9" xfId="14669" xr:uid="{00000000-0005-0000-0000-00004D390000}"/>
    <cellStyle name="Normal 2 2 2 2 4 2 2 6 6" xfId="14670" xr:uid="{00000000-0005-0000-0000-00004E390000}"/>
    <cellStyle name="Normal 2 2 2 2 4 2 2 6 7" xfId="14671" xr:uid="{00000000-0005-0000-0000-00004F390000}"/>
    <cellStyle name="Normal 2 2 2 2 4 2 2 6 8" xfId="14672" xr:uid="{00000000-0005-0000-0000-000050390000}"/>
    <cellStyle name="Normal 2 2 2 2 4 2 2 6 9" xfId="14673" xr:uid="{00000000-0005-0000-0000-000051390000}"/>
    <cellStyle name="Normal 2 2 2 2 4 2 2 7" xfId="14674" xr:uid="{00000000-0005-0000-0000-000052390000}"/>
    <cellStyle name="Normal 2 2 2 2 4 2 2 7 10" xfId="14675" xr:uid="{00000000-0005-0000-0000-000053390000}"/>
    <cellStyle name="Normal 2 2 2 2 4 2 2 7 11" xfId="14676" xr:uid="{00000000-0005-0000-0000-000054390000}"/>
    <cellStyle name="Normal 2 2 2 2 4 2 2 7 12" xfId="14677" xr:uid="{00000000-0005-0000-0000-000055390000}"/>
    <cellStyle name="Normal 2 2 2 2 4 2 2 7 13" xfId="14678" xr:uid="{00000000-0005-0000-0000-000056390000}"/>
    <cellStyle name="Normal 2 2 2 2 4 2 2 7 14" xfId="14679" xr:uid="{00000000-0005-0000-0000-000057390000}"/>
    <cellStyle name="Normal 2 2 2 2 4 2 2 7 2" xfId="14680" xr:uid="{00000000-0005-0000-0000-000058390000}"/>
    <cellStyle name="Normal 2 2 2 2 4 2 2 7 2 10" xfId="14681" xr:uid="{00000000-0005-0000-0000-000059390000}"/>
    <cellStyle name="Normal 2 2 2 2 4 2 2 7 2 2" xfId="14682" xr:uid="{00000000-0005-0000-0000-00005A390000}"/>
    <cellStyle name="Normal 2 2 2 2 4 2 2 7 2 3" xfId="14683" xr:uid="{00000000-0005-0000-0000-00005B390000}"/>
    <cellStyle name="Normal 2 2 2 2 4 2 2 7 2 4" xfId="14684" xr:uid="{00000000-0005-0000-0000-00005C390000}"/>
    <cellStyle name="Normal 2 2 2 2 4 2 2 7 2 5" xfId="14685" xr:uid="{00000000-0005-0000-0000-00005D390000}"/>
    <cellStyle name="Normal 2 2 2 2 4 2 2 7 2 6" xfId="14686" xr:uid="{00000000-0005-0000-0000-00005E390000}"/>
    <cellStyle name="Normal 2 2 2 2 4 2 2 7 2 7" xfId="14687" xr:uid="{00000000-0005-0000-0000-00005F390000}"/>
    <cellStyle name="Normal 2 2 2 2 4 2 2 7 2 8" xfId="14688" xr:uid="{00000000-0005-0000-0000-000060390000}"/>
    <cellStyle name="Normal 2 2 2 2 4 2 2 7 2 9" xfId="14689" xr:uid="{00000000-0005-0000-0000-000061390000}"/>
    <cellStyle name="Normal 2 2 2 2 4 2 2 7 3" xfId="14690" xr:uid="{00000000-0005-0000-0000-000062390000}"/>
    <cellStyle name="Normal 2 2 2 2 4 2 2 7 3 10" xfId="14691" xr:uid="{00000000-0005-0000-0000-000063390000}"/>
    <cellStyle name="Normal 2 2 2 2 4 2 2 7 3 2" xfId="14692" xr:uid="{00000000-0005-0000-0000-000064390000}"/>
    <cellStyle name="Normal 2 2 2 2 4 2 2 7 3 3" xfId="14693" xr:uid="{00000000-0005-0000-0000-000065390000}"/>
    <cellStyle name="Normal 2 2 2 2 4 2 2 7 3 4" xfId="14694" xr:uid="{00000000-0005-0000-0000-000066390000}"/>
    <cellStyle name="Normal 2 2 2 2 4 2 2 7 3 5" xfId="14695" xr:uid="{00000000-0005-0000-0000-000067390000}"/>
    <cellStyle name="Normal 2 2 2 2 4 2 2 7 3 6" xfId="14696" xr:uid="{00000000-0005-0000-0000-000068390000}"/>
    <cellStyle name="Normal 2 2 2 2 4 2 2 7 3 7" xfId="14697" xr:uid="{00000000-0005-0000-0000-000069390000}"/>
    <cellStyle name="Normal 2 2 2 2 4 2 2 7 3 8" xfId="14698" xr:uid="{00000000-0005-0000-0000-00006A390000}"/>
    <cellStyle name="Normal 2 2 2 2 4 2 2 7 3 9" xfId="14699" xr:uid="{00000000-0005-0000-0000-00006B390000}"/>
    <cellStyle name="Normal 2 2 2 2 4 2 2 7 4" xfId="14700" xr:uid="{00000000-0005-0000-0000-00006C390000}"/>
    <cellStyle name="Normal 2 2 2 2 4 2 2 7 4 10" xfId="14701" xr:uid="{00000000-0005-0000-0000-00006D390000}"/>
    <cellStyle name="Normal 2 2 2 2 4 2 2 7 4 2" xfId="14702" xr:uid="{00000000-0005-0000-0000-00006E390000}"/>
    <cellStyle name="Normal 2 2 2 2 4 2 2 7 4 3" xfId="14703" xr:uid="{00000000-0005-0000-0000-00006F390000}"/>
    <cellStyle name="Normal 2 2 2 2 4 2 2 7 4 4" xfId="14704" xr:uid="{00000000-0005-0000-0000-000070390000}"/>
    <cellStyle name="Normal 2 2 2 2 4 2 2 7 4 5" xfId="14705" xr:uid="{00000000-0005-0000-0000-000071390000}"/>
    <cellStyle name="Normal 2 2 2 2 4 2 2 7 4 6" xfId="14706" xr:uid="{00000000-0005-0000-0000-000072390000}"/>
    <cellStyle name="Normal 2 2 2 2 4 2 2 7 4 7" xfId="14707" xr:uid="{00000000-0005-0000-0000-000073390000}"/>
    <cellStyle name="Normal 2 2 2 2 4 2 2 7 4 8" xfId="14708" xr:uid="{00000000-0005-0000-0000-000074390000}"/>
    <cellStyle name="Normal 2 2 2 2 4 2 2 7 4 9" xfId="14709" xr:uid="{00000000-0005-0000-0000-000075390000}"/>
    <cellStyle name="Normal 2 2 2 2 4 2 2 7 5" xfId="14710" xr:uid="{00000000-0005-0000-0000-000076390000}"/>
    <cellStyle name="Normal 2 2 2 2 4 2 2 7 5 10" xfId="14711" xr:uid="{00000000-0005-0000-0000-000077390000}"/>
    <cellStyle name="Normal 2 2 2 2 4 2 2 7 5 2" xfId="14712" xr:uid="{00000000-0005-0000-0000-000078390000}"/>
    <cellStyle name="Normal 2 2 2 2 4 2 2 7 5 3" xfId="14713" xr:uid="{00000000-0005-0000-0000-000079390000}"/>
    <cellStyle name="Normal 2 2 2 2 4 2 2 7 5 4" xfId="14714" xr:uid="{00000000-0005-0000-0000-00007A390000}"/>
    <cellStyle name="Normal 2 2 2 2 4 2 2 7 5 5" xfId="14715" xr:uid="{00000000-0005-0000-0000-00007B390000}"/>
    <cellStyle name="Normal 2 2 2 2 4 2 2 7 5 6" xfId="14716" xr:uid="{00000000-0005-0000-0000-00007C390000}"/>
    <cellStyle name="Normal 2 2 2 2 4 2 2 7 5 7" xfId="14717" xr:uid="{00000000-0005-0000-0000-00007D390000}"/>
    <cellStyle name="Normal 2 2 2 2 4 2 2 7 5 8" xfId="14718" xr:uid="{00000000-0005-0000-0000-00007E390000}"/>
    <cellStyle name="Normal 2 2 2 2 4 2 2 7 5 9" xfId="14719" xr:uid="{00000000-0005-0000-0000-00007F390000}"/>
    <cellStyle name="Normal 2 2 2 2 4 2 2 7 6" xfId="14720" xr:uid="{00000000-0005-0000-0000-000080390000}"/>
    <cellStyle name="Normal 2 2 2 2 4 2 2 7 7" xfId="14721" xr:uid="{00000000-0005-0000-0000-000081390000}"/>
    <cellStyle name="Normal 2 2 2 2 4 2 2 7 8" xfId="14722" xr:uid="{00000000-0005-0000-0000-000082390000}"/>
    <cellStyle name="Normal 2 2 2 2 4 2 2 7 9" xfId="14723" xr:uid="{00000000-0005-0000-0000-000083390000}"/>
    <cellStyle name="Normal 2 2 2 2 4 2 2 8" xfId="14724" xr:uid="{00000000-0005-0000-0000-000084390000}"/>
    <cellStyle name="Normal 2 2 2 2 4 2 2 8 10" xfId="14725" xr:uid="{00000000-0005-0000-0000-000085390000}"/>
    <cellStyle name="Normal 2 2 2 2 4 2 2 8 11" xfId="14726" xr:uid="{00000000-0005-0000-0000-000086390000}"/>
    <cellStyle name="Normal 2 2 2 2 4 2 2 8 12" xfId="14727" xr:uid="{00000000-0005-0000-0000-000087390000}"/>
    <cellStyle name="Normal 2 2 2 2 4 2 2 8 13" xfId="14728" xr:uid="{00000000-0005-0000-0000-000088390000}"/>
    <cellStyle name="Normal 2 2 2 2 4 2 2 8 14" xfId="14729" xr:uid="{00000000-0005-0000-0000-000089390000}"/>
    <cellStyle name="Normal 2 2 2 2 4 2 2 8 2" xfId="14730" xr:uid="{00000000-0005-0000-0000-00008A390000}"/>
    <cellStyle name="Normal 2 2 2 2 4 2 2 8 2 10" xfId="14731" xr:uid="{00000000-0005-0000-0000-00008B390000}"/>
    <cellStyle name="Normal 2 2 2 2 4 2 2 8 2 2" xfId="14732" xr:uid="{00000000-0005-0000-0000-00008C390000}"/>
    <cellStyle name="Normal 2 2 2 2 4 2 2 8 2 3" xfId="14733" xr:uid="{00000000-0005-0000-0000-00008D390000}"/>
    <cellStyle name="Normal 2 2 2 2 4 2 2 8 2 4" xfId="14734" xr:uid="{00000000-0005-0000-0000-00008E390000}"/>
    <cellStyle name="Normal 2 2 2 2 4 2 2 8 2 5" xfId="14735" xr:uid="{00000000-0005-0000-0000-00008F390000}"/>
    <cellStyle name="Normal 2 2 2 2 4 2 2 8 2 6" xfId="14736" xr:uid="{00000000-0005-0000-0000-000090390000}"/>
    <cellStyle name="Normal 2 2 2 2 4 2 2 8 2 7" xfId="14737" xr:uid="{00000000-0005-0000-0000-000091390000}"/>
    <cellStyle name="Normal 2 2 2 2 4 2 2 8 2 8" xfId="14738" xr:uid="{00000000-0005-0000-0000-000092390000}"/>
    <cellStyle name="Normal 2 2 2 2 4 2 2 8 2 9" xfId="14739" xr:uid="{00000000-0005-0000-0000-000093390000}"/>
    <cellStyle name="Normal 2 2 2 2 4 2 2 8 3" xfId="14740" xr:uid="{00000000-0005-0000-0000-000094390000}"/>
    <cellStyle name="Normal 2 2 2 2 4 2 2 8 3 10" xfId="14741" xr:uid="{00000000-0005-0000-0000-000095390000}"/>
    <cellStyle name="Normal 2 2 2 2 4 2 2 8 3 2" xfId="14742" xr:uid="{00000000-0005-0000-0000-000096390000}"/>
    <cellStyle name="Normal 2 2 2 2 4 2 2 8 3 3" xfId="14743" xr:uid="{00000000-0005-0000-0000-000097390000}"/>
    <cellStyle name="Normal 2 2 2 2 4 2 2 8 3 4" xfId="14744" xr:uid="{00000000-0005-0000-0000-000098390000}"/>
    <cellStyle name="Normal 2 2 2 2 4 2 2 8 3 5" xfId="14745" xr:uid="{00000000-0005-0000-0000-000099390000}"/>
    <cellStyle name="Normal 2 2 2 2 4 2 2 8 3 6" xfId="14746" xr:uid="{00000000-0005-0000-0000-00009A390000}"/>
    <cellStyle name="Normal 2 2 2 2 4 2 2 8 3 7" xfId="14747" xr:uid="{00000000-0005-0000-0000-00009B390000}"/>
    <cellStyle name="Normal 2 2 2 2 4 2 2 8 3 8" xfId="14748" xr:uid="{00000000-0005-0000-0000-00009C390000}"/>
    <cellStyle name="Normal 2 2 2 2 4 2 2 8 3 9" xfId="14749" xr:uid="{00000000-0005-0000-0000-00009D390000}"/>
    <cellStyle name="Normal 2 2 2 2 4 2 2 8 4" xfId="14750" xr:uid="{00000000-0005-0000-0000-00009E390000}"/>
    <cellStyle name="Normal 2 2 2 2 4 2 2 8 4 10" xfId="14751" xr:uid="{00000000-0005-0000-0000-00009F390000}"/>
    <cellStyle name="Normal 2 2 2 2 4 2 2 8 4 2" xfId="14752" xr:uid="{00000000-0005-0000-0000-0000A0390000}"/>
    <cellStyle name="Normal 2 2 2 2 4 2 2 8 4 3" xfId="14753" xr:uid="{00000000-0005-0000-0000-0000A1390000}"/>
    <cellStyle name="Normal 2 2 2 2 4 2 2 8 4 4" xfId="14754" xr:uid="{00000000-0005-0000-0000-0000A2390000}"/>
    <cellStyle name="Normal 2 2 2 2 4 2 2 8 4 5" xfId="14755" xr:uid="{00000000-0005-0000-0000-0000A3390000}"/>
    <cellStyle name="Normal 2 2 2 2 4 2 2 8 4 6" xfId="14756" xr:uid="{00000000-0005-0000-0000-0000A4390000}"/>
    <cellStyle name="Normal 2 2 2 2 4 2 2 8 4 7" xfId="14757" xr:uid="{00000000-0005-0000-0000-0000A5390000}"/>
    <cellStyle name="Normal 2 2 2 2 4 2 2 8 4 8" xfId="14758" xr:uid="{00000000-0005-0000-0000-0000A6390000}"/>
    <cellStyle name="Normal 2 2 2 2 4 2 2 8 4 9" xfId="14759" xr:uid="{00000000-0005-0000-0000-0000A7390000}"/>
    <cellStyle name="Normal 2 2 2 2 4 2 2 8 5" xfId="14760" xr:uid="{00000000-0005-0000-0000-0000A8390000}"/>
    <cellStyle name="Normal 2 2 2 2 4 2 2 8 5 10" xfId="14761" xr:uid="{00000000-0005-0000-0000-0000A9390000}"/>
    <cellStyle name="Normal 2 2 2 2 4 2 2 8 5 2" xfId="14762" xr:uid="{00000000-0005-0000-0000-0000AA390000}"/>
    <cellStyle name="Normal 2 2 2 2 4 2 2 8 5 3" xfId="14763" xr:uid="{00000000-0005-0000-0000-0000AB390000}"/>
    <cellStyle name="Normal 2 2 2 2 4 2 2 8 5 4" xfId="14764" xr:uid="{00000000-0005-0000-0000-0000AC390000}"/>
    <cellStyle name="Normal 2 2 2 2 4 2 2 8 5 5" xfId="14765" xr:uid="{00000000-0005-0000-0000-0000AD390000}"/>
    <cellStyle name="Normal 2 2 2 2 4 2 2 8 5 6" xfId="14766" xr:uid="{00000000-0005-0000-0000-0000AE390000}"/>
    <cellStyle name="Normal 2 2 2 2 4 2 2 8 5 7" xfId="14767" xr:uid="{00000000-0005-0000-0000-0000AF390000}"/>
    <cellStyle name="Normal 2 2 2 2 4 2 2 8 5 8" xfId="14768" xr:uid="{00000000-0005-0000-0000-0000B0390000}"/>
    <cellStyle name="Normal 2 2 2 2 4 2 2 8 5 9" xfId="14769" xr:uid="{00000000-0005-0000-0000-0000B1390000}"/>
    <cellStyle name="Normal 2 2 2 2 4 2 2 8 6" xfId="14770" xr:uid="{00000000-0005-0000-0000-0000B2390000}"/>
    <cellStyle name="Normal 2 2 2 2 4 2 2 8 7" xfId="14771" xr:uid="{00000000-0005-0000-0000-0000B3390000}"/>
    <cellStyle name="Normal 2 2 2 2 4 2 2 8 8" xfId="14772" xr:uid="{00000000-0005-0000-0000-0000B4390000}"/>
    <cellStyle name="Normal 2 2 2 2 4 2 2 8 9" xfId="14773" xr:uid="{00000000-0005-0000-0000-0000B5390000}"/>
    <cellStyle name="Normal 2 2 2 2 4 2 2 9" xfId="14774" xr:uid="{00000000-0005-0000-0000-0000B6390000}"/>
    <cellStyle name="Normal 2 2 2 2 4 2 2 9 10" xfId="14775" xr:uid="{00000000-0005-0000-0000-0000B7390000}"/>
    <cellStyle name="Normal 2 2 2 2 4 2 2 9 11" xfId="14776" xr:uid="{00000000-0005-0000-0000-0000B8390000}"/>
    <cellStyle name="Normal 2 2 2 2 4 2 2 9 12" xfId="14777" xr:uid="{00000000-0005-0000-0000-0000B9390000}"/>
    <cellStyle name="Normal 2 2 2 2 4 2 2 9 13" xfId="14778" xr:uid="{00000000-0005-0000-0000-0000BA390000}"/>
    <cellStyle name="Normal 2 2 2 2 4 2 2 9 14" xfId="14779" xr:uid="{00000000-0005-0000-0000-0000BB390000}"/>
    <cellStyle name="Normal 2 2 2 2 4 2 2 9 2" xfId="14780" xr:uid="{00000000-0005-0000-0000-0000BC390000}"/>
    <cellStyle name="Normal 2 2 2 2 4 2 2 9 2 10" xfId="14781" xr:uid="{00000000-0005-0000-0000-0000BD390000}"/>
    <cellStyle name="Normal 2 2 2 2 4 2 2 9 2 2" xfId="14782" xr:uid="{00000000-0005-0000-0000-0000BE390000}"/>
    <cellStyle name="Normal 2 2 2 2 4 2 2 9 2 3" xfId="14783" xr:uid="{00000000-0005-0000-0000-0000BF390000}"/>
    <cellStyle name="Normal 2 2 2 2 4 2 2 9 2 4" xfId="14784" xr:uid="{00000000-0005-0000-0000-0000C0390000}"/>
    <cellStyle name="Normal 2 2 2 2 4 2 2 9 2 5" xfId="14785" xr:uid="{00000000-0005-0000-0000-0000C1390000}"/>
    <cellStyle name="Normal 2 2 2 2 4 2 2 9 2 6" xfId="14786" xr:uid="{00000000-0005-0000-0000-0000C2390000}"/>
    <cellStyle name="Normal 2 2 2 2 4 2 2 9 2 7" xfId="14787" xr:uid="{00000000-0005-0000-0000-0000C3390000}"/>
    <cellStyle name="Normal 2 2 2 2 4 2 2 9 2 8" xfId="14788" xr:uid="{00000000-0005-0000-0000-0000C4390000}"/>
    <cellStyle name="Normal 2 2 2 2 4 2 2 9 2 9" xfId="14789" xr:uid="{00000000-0005-0000-0000-0000C5390000}"/>
    <cellStyle name="Normal 2 2 2 2 4 2 2 9 3" xfId="14790" xr:uid="{00000000-0005-0000-0000-0000C6390000}"/>
    <cellStyle name="Normal 2 2 2 2 4 2 2 9 3 10" xfId="14791" xr:uid="{00000000-0005-0000-0000-0000C7390000}"/>
    <cellStyle name="Normal 2 2 2 2 4 2 2 9 3 2" xfId="14792" xr:uid="{00000000-0005-0000-0000-0000C8390000}"/>
    <cellStyle name="Normal 2 2 2 2 4 2 2 9 3 3" xfId="14793" xr:uid="{00000000-0005-0000-0000-0000C9390000}"/>
    <cellStyle name="Normal 2 2 2 2 4 2 2 9 3 4" xfId="14794" xr:uid="{00000000-0005-0000-0000-0000CA390000}"/>
    <cellStyle name="Normal 2 2 2 2 4 2 2 9 3 5" xfId="14795" xr:uid="{00000000-0005-0000-0000-0000CB390000}"/>
    <cellStyle name="Normal 2 2 2 2 4 2 2 9 3 6" xfId="14796" xr:uid="{00000000-0005-0000-0000-0000CC390000}"/>
    <cellStyle name="Normal 2 2 2 2 4 2 2 9 3 7" xfId="14797" xr:uid="{00000000-0005-0000-0000-0000CD390000}"/>
    <cellStyle name="Normal 2 2 2 2 4 2 2 9 3 8" xfId="14798" xr:uid="{00000000-0005-0000-0000-0000CE390000}"/>
    <cellStyle name="Normal 2 2 2 2 4 2 2 9 3 9" xfId="14799" xr:uid="{00000000-0005-0000-0000-0000CF390000}"/>
    <cellStyle name="Normal 2 2 2 2 4 2 2 9 4" xfId="14800" xr:uid="{00000000-0005-0000-0000-0000D0390000}"/>
    <cellStyle name="Normal 2 2 2 2 4 2 2 9 4 10" xfId="14801" xr:uid="{00000000-0005-0000-0000-0000D1390000}"/>
    <cellStyle name="Normal 2 2 2 2 4 2 2 9 4 2" xfId="14802" xr:uid="{00000000-0005-0000-0000-0000D2390000}"/>
    <cellStyle name="Normal 2 2 2 2 4 2 2 9 4 3" xfId="14803" xr:uid="{00000000-0005-0000-0000-0000D3390000}"/>
    <cellStyle name="Normal 2 2 2 2 4 2 2 9 4 4" xfId="14804" xr:uid="{00000000-0005-0000-0000-0000D4390000}"/>
    <cellStyle name="Normal 2 2 2 2 4 2 2 9 4 5" xfId="14805" xr:uid="{00000000-0005-0000-0000-0000D5390000}"/>
    <cellStyle name="Normal 2 2 2 2 4 2 2 9 4 6" xfId="14806" xr:uid="{00000000-0005-0000-0000-0000D6390000}"/>
    <cellStyle name="Normal 2 2 2 2 4 2 2 9 4 7" xfId="14807" xr:uid="{00000000-0005-0000-0000-0000D7390000}"/>
    <cellStyle name="Normal 2 2 2 2 4 2 2 9 4 8" xfId="14808" xr:uid="{00000000-0005-0000-0000-0000D8390000}"/>
    <cellStyle name="Normal 2 2 2 2 4 2 2 9 4 9" xfId="14809" xr:uid="{00000000-0005-0000-0000-0000D9390000}"/>
    <cellStyle name="Normal 2 2 2 2 4 2 2 9 5" xfId="14810" xr:uid="{00000000-0005-0000-0000-0000DA390000}"/>
    <cellStyle name="Normal 2 2 2 2 4 2 2 9 5 10" xfId="14811" xr:uid="{00000000-0005-0000-0000-0000DB390000}"/>
    <cellStyle name="Normal 2 2 2 2 4 2 2 9 5 2" xfId="14812" xr:uid="{00000000-0005-0000-0000-0000DC390000}"/>
    <cellStyle name="Normal 2 2 2 2 4 2 2 9 5 3" xfId="14813" xr:uid="{00000000-0005-0000-0000-0000DD390000}"/>
    <cellStyle name="Normal 2 2 2 2 4 2 2 9 5 4" xfId="14814" xr:uid="{00000000-0005-0000-0000-0000DE390000}"/>
    <cellStyle name="Normal 2 2 2 2 4 2 2 9 5 5" xfId="14815" xr:uid="{00000000-0005-0000-0000-0000DF390000}"/>
    <cellStyle name="Normal 2 2 2 2 4 2 2 9 5 6" xfId="14816" xr:uid="{00000000-0005-0000-0000-0000E0390000}"/>
    <cellStyle name="Normal 2 2 2 2 4 2 2 9 5 7" xfId="14817" xr:uid="{00000000-0005-0000-0000-0000E1390000}"/>
    <cellStyle name="Normal 2 2 2 2 4 2 2 9 5 8" xfId="14818" xr:uid="{00000000-0005-0000-0000-0000E2390000}"/>
    <cellStyle name="Normal 2 2 2 2 4 2 2 9 5 9" xfId="14819" xr:uid="{00000000-0005-0000-0000-0000E3390000}"/>
    <cellStyle name="Normal 2 2 2 2 4 2 2 9 6" xfId="14820" xr:uid="{00000000-0005-0000-0000-0000E4390000}"/>
    <cellStyle name="Normal 2 2 2 2 4 2 2 9 7" xfId="14821" xr:uid="{00000000-0005-0000-0000-0000E5390000}"/>
    <cellStyle name="Normal 2 2 2 2 4 2 2 9 8" xfId="14822" xr:uid="{00000000-0005-0000-0000-0000E6390000}"/>
    <cellStyle name="Normal 2 2 2 2 4 2 2 9 9" xfId="14823" xr:uid="{00000000-0005-0000-0000-0000E7390000}"/>
    <cellStyle name="Normal 2 2 2 2 4 2 20" xfId="14824" xr:uid="{00000000-0005-0000-0000-0000E8390000}"/>
    <cellStyle name="Normal 2 2 2 2 4 2 21" xfId="14825" xr:uid="{00000000-0005-0000-0000-0000E9390000}"/>
    <cellStyle name="Normal 2 2 2 2 4 2 21 10" xfId="14826" xr:uid="{00000000-0005-0000-0000-0000EA390000}"/>
    <cellStyle name="Normal 2 2 2 2 4 2 21 2" xfId="14827" xr:uid="{00000000-0005-0000-0000-0000EB390000}"/>
    <cellStyle name="Normal 2 2 2 2 4 2 21 3" xfId="14828" xr:uid="{00000000-0005-0000-0000-0000EC390000}"/>
    <cellStyle name="Normal 2 2 2 2 4 2 21 4" xfId="14829" xr:uid="{00000000-0005-0000-0000-0000ED390000}"/>
    <cellStyle name="Normal 2 2 2 2 4 2 21 5" xfId="14830" xr:uid="{00000000-0005-0000-0000-0000EE390000}"/>
    <cellStyle name="Normal 2 2 2 2 4 2 21 6" xfId="14831" xr:uid="{00000000-0005-0000-0000-0000EF390000}"/>
    <cellStyle name="Normal 2 2 2 2 4 2 21 7" xfId="14832" xr:uid="{00000000-0005-0000-0000-0000F0390000}"/>
    <cellStyle name="Normal 2 2 2 2 4 2 21 8" xfId="14833" xr:uid="{00000000-0005-0000-0000-0000F1390000}"/>
    <cellStyle name="Normal 2 2 2 2 4 2 21 9" xfId="14834" xr:uid="{00000000-0005-0000-0000-0000F2390000}"/>
    <cellStyle name="Normal 2 2 2 2 4 2 22" xfId="14835" xr:uid="{00000000-0005-0000-0000-0000F3390000}"/>
    <cellStyle name="Normal 2 2 2 2 4 2 22 10" xfId="14836" xr:uid="{00000000-0005-0000-0000-0000F4390000}"/>
    <cellStyle name="Normal 2 2 2 2 4 2 22 2" xfId="14837" xr:uid="{00000000-0005-0000-0000-0000F5390000}"/>
    <cellStyle name="Normal 2 2 2 2 4 2 22 3" xfId="14838" xr:uid="{00000000-0005-0000-0000-0000F6390000}"/>
    <cellStyle name="Normal 2 2 2 2 4 2 22 4" xfId="14839" xr:uid="{00000000-0005-0000-0000-0000F7390000}"/>
    <cellStyle name="Normal 2 2 2 2 4 2 22 5" xfId="14840" xr:uid="{00000000-0005-0000-0000-0000F8390000}"/>
    <cellStyle name="Normal 2 2 2 2 4 2 22 6" xfId="14841" xr:uid="{00000000-0005-0000-0000-0000F9390000}"/>
    <cellStyle name="Normal 2 2 2 2 4 2 22 7" xfId="14842" xr:uid="{00000000-0005-0000-0000-0000FA390000}"/>
    <cellStyle name="Normal 2 2 2 2 4 2 22 8" xfId="14843" xr:uid="{00000000-0005-0000-0000-0000FB390000}"/>
    <cellStyle name="Normal 2 2 2 2 4 2 22 9" xfId="14844" xr:uid="{00000000-0005-0000-0000-0000FC390000}"/>
    <cellStyle name="Normal 2 2 2 2 4 2 23" xfId="14845" xr:uid="{00000000-0005-0000-0000-0000FD390000}"/>
    <cellStyle name="Normal 2 2 2 2 4 2 23 10" xfId="14846" xr:uid="{00000000-0005-0000-0000-0000FE390000}"/>
    <cellStyle name="Normal 2 2 2 2 4 2 23 2" xfId="14847" xr:uid="{00000000-0005-0000-0000-0000FF390000}"/>
    <cellStyle name="Normal 2 2 2 2 4 2 23 3" xfId="14848" xr:uid="{00000000-0005-0000-0000-0000003A0000}"/>
    <cellStyle name="Normal 2 2 2 2 4 2 23 4" xfId="14849" xr:uid="{00000000-0005-0000-0000-0000013A0000}"/>
    <cellStyle name="Normal 2 2 2 2 4 2 23 5" xfId="14850" xr:uid="{00000000-0005-0000-0000-0000023A0000}"/>
    <cellStyle name="Normal 2 2 2 2 4 2 23 6" xfId="14851" xr:uid="{00000000-0005-0000-0000-0000033A0000}"/>
    <cellStyle name="Normal 2 2 2 2 4 2 23 7" xfId="14852" xr:uid="{00000000-0005-0000-0000-0000043A0000}"/>
    <cellStyle name="Normal 2 2 2 2 4 2 23 8" xfId="14853" xr:uid="{00000000-0005-0000-0000-0000053A0000}"/>
    <cellStyle name="Normal 2 2 2 2 4 2 23 9" xfId="14854" xr:uid="{00000000-0005-0000-0000-0000063A0000}"/>
    <cellStyle name="Normal 2 2 2 2 4 2 24" xfId="14855" xr:uid="{00000000-0005-0000-0000-0000073A0000}"/>
    <cellStyle name="Normal 2 2 2 2 4 2 24 10" xfId="14856" xr:uid="{00000000-0005-0000-0000-0000083A0000}"/>
    <cellStyle name="Normal 2 2 2 2 4 2 24 2" xfId="14857" xr:uid="{00000000-0005-0000-0000-0000093A0000}"/>
    <cellStyle name="Normal 2 2 2 2 4 2 24 3" xfId="14858" xr:uid="{00000000-0005-0000-0000-00000A3A0000}"/>
    <cellStyle name="Normal 2 2 2 2 4 2 24 4" xfId="14859" xr:uid="{00000000-0005-0000-0000-00000B3A0000}"/>
    <cellStyle name="Normal 2 2 2 2 4 2 24 5" xfId="14860" xr:uid="{00000000-0005-0000-0000-00000C3A0000}"/>
    <cellStyle name="Normal 2 2 2 2 4 2 24 6" xfId="14861" xr:uid="{00000000-0005-0000-0000-00000D3A0000}"/>
    <cellStyle name="Normal 2 2 2 2 4 2 24 7" xfId="14862" xr:uid="{00000000-0005-0000-0000-00000E3A0000}"/>
    <cellStyle name="Normal 2 2 2 2 4 2 24 8" xfId="14863" xr:uid="{00000000-0005-0000-0000-00000F3A0000}"/>
    <cellStyle name="Normal 2 2 2 2 4 2 24 9" xfId="14864" xr:uid="{00000000-0005-0000-0000-0000103A0000}"/>
    <cellStyle name="Normal 2 2 2 2 4 2 25" xfId="14865" xr:uid="{00000000-0005-0000-0000-0000113A0000}"/>
    <cellStyle name="Normal 2 2 2 2 4 2 26" xfId="14866" xr:uid="{00000000-0005-0000-0000-0000123A0000}"/>
    <cellStyle name="Normal 2 2 2 2 4 2 27" xfId="14867" xr:uid="{00000000-0005-0000-0000-0000133A0000}"/>
    <cellStyle name="Normal 2 2 2 2 4 2 28" xfId="14868" xr:uid="{00000000-0005-0000-0000-0000143A0000}"/>
    <cellStyle name="Normal 2 2 2 2 4 2 29" xfId="14869" xr:uid="{00000000-0005-0000-0000-0000153A0000}"/>
    <cellStyle name="Normal 2 2 2 2 4 2 3" xfId="14870" xr:uid="{00000000-0005-0000-0000-0000163A0000}"/>
    <cellStyle name="Normal 2 2 2 2 4 2 30" xfId="14871" xr:uid="{00000000-0005-0000-0000-0000173A0000}"/>
    <cellStyle name="Normal 2 2 2 2 4 2 31" xfId="14872" xr:uid="{00000000-0005-0000-0000-0000183A0000}"/>
    <cellStyle name="Normal 2 2 2 2 4 2 32" xfId="14873" xr:uid="{00000000-0005-0000-0000-0000193A0000}"/>
    <cellStyle name="Normal 2 2 2 2 4 2 33" xfId="14874" xr:uid="{00000000-0005-0000-0000-00001A3A0000}"/>
    <cellStyle name="Normal 2 2 2 2 4 2 34" xfId="14875" xr:uid="{00000000-0005-0000-0000-00001B3A0000}"/>
    <cellStyle name="Normal 2 2 2 2 4 2 35" xfId="14876" xr:uid="{00000000-0005-0000-0000-00001C3A0000}"/>
    <cellStyle name="Normal 2 2 2 2 4 2 4" xfId="14877" xr:uid="{00000000-0005-0000-0000-00001D3A0000}"/>
    <cellStyle name="Normal 2 2 2 2 4 2 5" xfId="14878" xr:uid="{00000000-0005-0000-0000-00001E3A0000}"/>
    <cellStyle name="Normal 2 2 2 2 4 2 6" xfId="14879" xr:uid="{00000000-0005-0000-0000-00001F3A0000}"/>
    <cellStyle name="Normal 2 2 2 2 4 2 7" xfId="14880" xr:uid="{00000000-0005-0000-0000-0000203A0000}"/>
    <cellStyle name="Normal 2 2 2 2 4 2 8" xfId="14881" xr:uid="{00000000-0005-0000-0000-0000213A0000}"/>
    <cellStyle name="Normal 2 2 2 2 4 2 9" xfId="14882" xr:uid="{00000000-0005-0000-0000-0000223A0000}"/>
    <cellStyle name="Normal 2 2 2 2 4 20" xfId="14883" xr:uid="{00000000-0005-0000-0000-0000233A0000}"/>
    <cellStyle name="Normal 2 2 2 2 4 20 10" xfId="14884" xr:uid="{00000000-0005-0000-0000-0000243A0000}"/>
    <cellStyle name="Normal 2 2 2 2 4 20 11" xfId="14885" xr:uid="{00000000-0005-0000-0000-0000253A0000}"/>
    <cellStyle name="Normal 2 2 2 2 4 20 12" xfId="14886" xr:uid="{00000000-0005-0000-0000-0000263A0000}"/>
    <cellStyle name="Normal 2 2 2 2 4 20 13" xfId="14887" xr:uid="{00000000-0005-0000-0000-0000273A0000}"/>
    <cellStyle name="Normal 2 2 2 2 4 20 14" xfId="14888" xr:uid="{00000000-0005-0000-0000-0000283A0000}"/>
    <cellStyle name="Normal 2 2 2 2 4 20 2" xfId="14889" xr:uid="{00000000-0005-0000-0000-0000293A0000}"/>
    <cellStyle name="Normal 2 2 2 2 4 20 2 10" xfId="14890" xr:uid="{00000000-0005-0000-0000-00002A3A0000}"/>
    <cellStyle name="Normal 2 2 2 2 4 20 2 2" xfId="14891" xr:uid="{00000000-0005-0000-0000-00002B3A0000}"/>
    <cellStyle name="Normal 2 2 2 2 4 20 2 3" xfId="14892" xr:uid="{00000000-0005-0000-0000-00002C3A0000}"/>
    <cellStyle name="Normal 2 2 2 2 4 20 2 4" xfId="14893" xr:uid="{00000000-0005-0000-0000-00002D3A0000}"/>
    <cellStyle name="Normal 2 2 2 2 4 20 2 5" xfId="14894" xr:uid="{00000000-0005-0000-0000-00002E3A0000}"/>
    <cellStyle name="Normal 2 2 2 2 4 20 2 6" xfId="14895" xr:uid="{00000000-0005-0000-0000-00002F3A0000}"/>
    <cellStyle name="Normal 2 2 2 2 4 20 2 7" xfId="14896" xr:uid="{00000000-0005-0000-0000-0000303A0000}"/>
    <cellStyle name="Normal 2 2 2 2 4 20 2 8" xfId="14897" xr:uid="{00000000-0005-0000-0000-0000313A0000}"/>
    <cellStyle name="Normal 2 2 2 2 4 20 2 9" xfId="14898" xr:uid="{00000000-0005-0000-0000-0000323A0000}"/>
    <cellStyle name="Normal 2 2 2 2 4 20 3" xfId="14899" xr:uid="{00000000-0005-0000-0000-0000333A0000}"/>
    <cellStyle name="Normal 2 2 2 2 4 20 3 10" xfId="14900" xr:uid="{00000000-0005-0000-0000-0000343A0000}"/>
    <cellStyle name="Normal 2 2 2 2 4 20 3 2" xfId="14901" xr:uid="{00000000-0005-0000-0000-0000353A0000}"/>
    <cellStyle name="Normal 2 2 2 2 4 20 3 3" xfId="14902" xr:uid="{00000000-0005-0000-0000-0000363A0000}"/>
    <cellStyle name="Normal 2 2 2 2 4 20 3 4" xfId="14903" xr:uid="{00000000-0005-0000-0000-0000373A0000}"/>
    <cellStyle name="Normal 2 2 2 2 4 20 3 5" xfId="14904" xr:uid="{00000000-0005-0000-0000-0000383A0000}"/>
    <cellStyle name="Normal 2 2 2 2 4 20 3 6" xfId="14905" xr:uid="{00000000-0005-0000-0000-0000393A0000}"/>
    <cellStyle name="Normal 2 2 2 2 4 20 3 7" xfId="14906" xr:uid="{00000000-0005-0000-0000-00003A3A0000}"/>
    <cellStyle name="Normal 2 2 2 2 4 20 3 8" xfId="14907" xr:uid="{00000000-0005-0000-0000-00003B3A0000}"/>
    <cellStyle name="Normal 2 2 2 2 4 20 3 9" xfId="14908" xr:uid="{00000000-0005-0000-0000-00003C3A0000}"/>
    <cellStyle name="Normal 2 2 2 2 4 20 4" xfId="14909" xr:uid="{00000000-0005-0000-0000-00003D3A0000}"/>
    <cellStyle name="Normal 2 2 2 2 4 20 4 10" xfId="14910" xr:uid="{00000000-0005-0000-0000-00003E3A0000}"/>
    <cellStyle name="Normal 2 2 2 2 4 20 4 2" xfId="14911" xr:uid="{00000000-0005-0000-0000-00003F3A0000}"/>
    <cellStyle name="Normal 2 2 2 2 4 20 4 3" xfId="14912" xr:uid="{00000000-0005-0000-0000-0000403A0000}"/>
    <cellStyle name="Normal 2 2 2 2 4 20 4 4" xfId="14913" xr:uid="{00000000-0005-0000-0000-0000413A0000}"/>
    <cellStyle name="Normal 2 2 2 2 4 20 4 5" xfId="14914" xr:uid="{00000000-0005-0000-0000-0000423A0000}"/>
    <cellStyle name="Normal 2 2 2 2 4 20 4 6" xfId="14915" xr:uid="{00000000-0005-0000-0000-0000433A0000}"/>
    <cellStyle name="Normal 2 2 2 2 4 20 4 7" xfId="14916" xr:uid="{00000000-0005-0000-0000-0000443A0000}"/>
    <cellStyle name="Normal 2 2 2 2 4 20 4 8" xfId="14917" xr:uid="{00000000-0005-0000-0000-0000453A0000}"/>
    <cellStyle name="Normal 2 2 2 2 4 20 4 9" xfId="14918" xr:uid="{00000000-0005-0000-0000-0000463A0000}"/>
    <cellStyle name="Normal 2 2 2 2 4 20 5" xfId="14919" xr:uid="{00000000-0005-0000-0000-0000473A0000}"/>
    <cellStyle name="Normal 2 2 2 2 4 20 5 10" xfId="14920" xr:uid="{00000000-0005-0000-0000-0000483A0000}"/>
    <cellStyle name="Normal 2 2 2 2 4 20 5 2" xfId="14921" xr:uid="{00000000-0005-0000-0000-0000493A0000}"/>
    <cellStyle name="Normal 2 2 2 2 4 20 5 3" xfId="14922" xr:uid="{00000000-0005-0000-0000-00004A3A0000}"/>
    <cellStyle name="Normal 2 2 2 2 4 20 5 4" xfId="14923" xr:uid="{00000000-0005-0000-0000-00004B3A0000}"/>
    <cellStyle name="Normal 2 2 2 2 4 20 5 5" xfId="14924" xr:uid="{00000000-0005-0000-0000-00004C3A0000}"/>
    <cellStyle name="Normal 2 2 2 2 4 20 5 6" xfId="14925" xr:uid="{00000000-0005-0000-0000-00004D3A0000}"/>
    <cellStyle name="Normal 2 2 2 2 4 20 5 7" xfId="14926" xr:uid="{00000000-0005-0000-0000-00004E3A0000}"/>
    <cellStyle name="Normal 2 2 2 2 4 20 5 8" xfId="14927" xr:uid="{00000000-0005-0000-0000-00004F3A0000}"/>
    <cellStyle name="Normal 2 2 2 2 4 20 5 9" xfId="14928" xr:uid="{00000000-0005-0000-0000-0000503A0000}"/>
    <cellStyle name="Normal 2 2 2 2 4 20 6" xfId="14929" xr:uid="{00000000-0005-0000-0000-0000513A0000}"/>
    <cellStyle name="Normal 2 2 2 2 4 20 7" xfId="14930" xr:uid="{00000000-0005-0000-0000-0000523A0000}"/>
    <cellStyle name="Normal 2 2 2 2 4 20 8" xfId="14931" xr:uid="{00000000-0005-0000-0000-0000533A0000}"/>
    <cellStyle name="Normal 2 2 2 2 4 20 9" xfId="14932" xr:uid="{00000000-0005-0000-0000-0000543A0000}"/>
    <cellStyle name="Normal 2 2 2 2 4 21" xfId="14933" xr:uid="{00000000-0005-0000-0000-0000553A0000}"/>
    <cellStyle name="Normal 2 2 2 2 4 21 10" xfId="14934" xr:uid="{00000000-0005-0000-0000-0000563A0000}"/>
    <cellStyle name="Normal 2 2 2 2 4 21 11" xfId="14935" xr:uid="{00000000-0005-0000-0000-0000573A0000}"/>
    <cellStyle name="Normal 2 2 2 2 4 21 12" xfId="14936" xr:uid="{00000000-0005-0000-0000-0000583A0000}"/>
    <cellStyle name="Normal 2 2 2 2 4 21 13" xfId="14937" xr:uid="{00000000-0005-0000-0000-0000593A0000}"/>
    <cellStyle name="Normal 2 2 2 2 4 21 14" xfId="14938" xr:uid="{00000000-0005-0000-0000-00005A3A0000}"/>
    <cellStyle name="Normal 2 2 2 2 4 21 2" xfId="14939" xr:uid="{00000000-0005-0000-0000-00005B3A0000}"/>
    <cellStyle name="Normal 2 2 2 2 4 21 2 10" xfId="14940" xr:uid="{00000000-0005-0000-0000-00005C3A0000}"/>
    <cellStyle name="Normal 2 2 2 2 4 21 2 2" xfId="14941" xr:uid="{00000000-0005-0000-0000-00005D3A0000}"/>
    <cellStyle name="Normal 2 2 2 2 4 21 2 3" xfId="14942" xr:uid="{00000000-0005-0000-0000-00005E3A0000}"/>
    <cellStyle name="Normal 2 2 2 2 4 21 2 4" xfId="14943" xr:uid="{00000000-0005-0000-0000-00005F3A0000}"/>
    <cellStyle name="Normal 2 2 2 2 4 21 2 5" xfId="14944" xr:uid="{00000000-0005-0000-0000-0000603A0000}"/>
    <cellStyle name="Normal 2 2 2 2 4 21 2 6" xfId="14945" xr:uid="{00000000-0005-0000-0000-0000613A0000}"/>
    <cellStyle name="Normal 2 2 2 2 4 21 2 7" xfId="14946" xr:uid="{00000000-0005-0000-0000-0000623A0000}"/>
    <cellStyle name="Normal 2 2 2 2 4 21 2 8" xfId="14947" xr:uid="{00000000-0005-0000-0000-0000633A0000}"/>
    <cellStyle name="Normal 2 2 2 2 4 21 2 9" xfId="14948" xr:uid="{00000000-0005-0000-0000-0000643A0000}"/>
    <cellStyle name="Normal 2 2 2 2 4 21 3" xfId="14949" xr:uid="{00000000-0005-0000-0000-0000653A0000}"/>
    <cellStyle name="Normal 2 2 2 2 4 21 3 10" xfId="14950" xr:uid="{00000000-0005-0000-0000-0000663A0000}"/>
    <cellStyle name="Normal 2 2 2 2 4 21 3 2" xfId="14951" xr:uid="{00000000-0005-0000-0000-0000673A0000}"/>
    <cellStyle name="Normal 2 2 2 2 4 21 3 3" xfId="14952" xr:uid="{00000000-0005-0000-0000-0000683A0000}"/>
    <cellStyle name="Normal 2 2 2 2 4 21 3 4" xfId="14953" xr:uid="{00000000-0005-0000-0000-0000693A0000}"/>
    <cellStyle name="Normal 2 2 2 2 4 21 3 5" xfId="14954" xr:uid="{00000000-0005-0000-0000-00006A3A0000}"/>
    <cellStyle name="Normal 2 2 2 2 4 21 3 6" xfId="14955" xr:uid="{00000000-0005-0000-0000-00006B3A0000}"/>
    <cellStyle name="Normal 2 2 2 2 4 21 3 7" xfId="14956" xr:uid="{00000000-0005-0000-0000-00006C3A0000}"/>
    <cellStyle name="Normal 2 2 2 2 4 21 3 8" xfId="14957" xr:uid="{00000000-0005-0000-0000-00006D3A0000}"/>
    <cellStyle name="Normal 2 2 2 2 4 21 3 9" xfId="14958" xr:uid="{00000000-0005-0000-0000-00006E3A0000}"/>
    <cellStyle name="Normal 2 2 2 2 4 21 4" xfId="14959" xr:uid="{00000000-0005-0000-0000-00006F3A0000}"/>
    <cellStyle name="Normal 2 2 2 2 4 21 4 10" xfId="14960" xr:uid="{00000000-0005-0000-0000-0000703A0000}"/>
    <cellStyle name="Normal 2 2 2 2 4 21 4 2" xfId="14961" xr:uid="{00000000-0005-0000-0000-0000713A0000}"/>
    <cellStyle name="Normal 2 2 2 2 4 21 4 3" xfId="14962" xr:uid="{00000000-0005-0000-0000-0000723A0000}"/>
    <cellStyle name="Normal 2 2 2 2 4 21 4 4" xfId="14963" xr:uid="{00000000-0005-0000-0000-0000733A0000}"/>
    <cellStyle name="Normal 2 2 2 2 4 21 4 5" xfId="14964" xr:uid="{00000000-0005-0000-0000-0000743A0000}"/>
    <cellStyle name="Normal 2 2 2 2 4 21 4 6" xfId="14965" xr:uid="{00000000-0005-0000-0000-0000753A0000}"/>
    <cellStyle name="Normal 2 2 2 2 4 21 4 7" xfId="14966" xr:uid="{00000000-0005-0000-0000-0000763A0000}"/>
    <cellStyle name="Normal 2 2 2 2 4 21 4 8" xfId="14967" xr:uid="{00000000-0005-0000-0000-0000773A0000}"/>
    <cellStyle name="Normal 2 2 2 2 4 21 4 9" xfId="14968" xr:uid="{00000000-0005-0000-0000-0000783A0000}"/>
    <cellStyle name="Normal 2 2 2 2 4 21 5" xfId="14969" xr:uid="{00000000-0005-0000-0000-0000793A0000}"/>
    <cellStyle name="Normal 2 2 2 2 4 21 5 10" xfId="14970" xr:uid="{00000000-0005-0000-0000-00007A3A0000}"/>
    <cellStyle name="Normal 2 2 2 2 4 21 5 2" xfId="14971" xr:uid="{00000000-0005-0000-0000-00007B3A0000}"/>
    <cellStyle name="Normal 2 2 2 2 4 21 5 3" xfId="14972" xr:uid="{00000000-0005-0000-0000-00007C3A0000}"/>
    <cellStyle name="Normal 2 2 2 2 4 21 5 4" xfId="14973" xr:uid="{00000000-0005-0000-0000-00007D3A0000}"/>
    <cellStyle name="Normal 2 2 2 2 4 21 5 5" xfId="14974" xr:uid="{00000000-0005-0000-0000-00007E3A0000}"/>
    <cellStyle name="Normal 2 2 2 2 4 21 5 6" xfId="14975" xr:uid="{00000000-0005-0000-0000-00007F3A0000}"/>
    <cellStyle name="Normal 2 2 2 2 4 21 5 7" xfId="14976" xr:uid="{00000000-0005-0000-0000-0000803A0000}"/>
    <cellStyle name="Normal 2 2 2 2 4 21 5 8" xfId="14977" xr:uid="{00000000-0005-0000-0000-0000813A0000}"/>
    <cellStyle name="Normal 2 2 2 2 4 21 5 9" xfId="14978" xr:uid="{00000000-0005-0000-0000-0000823A0000}"/>
    <cellStyle name="Normal 2 2 2 2 4 21 6" xfId="14979" xr:uid="{00000000-0005-0000-0000-0000833A0000}"/>
    <cellStyle name="Normal 2 2 2 2 4 21 7" xfId="14980" xr:uid="{00000000-0005-0000-0000-0000843A0000}"/>
    <cellStyle name="Normal 2 2 2 2 4 21 8" xfId="14981" xr:uid="{00000000-0005-0000-0000-0000853A0000}"/>
    <cellStyle name="Normal 2 2 2 2 4 21 9" xfId="14982" xr:uid="{00000000-0005-0000-0000-0000863A0000}"/>
    <cellStyle name="Normal 2 2 2 2 4 22" xfId="14983" xr:uid="{00000000-0005-0000-0000-0000873A0000}"/>
    <cellStyle name="Normal 2 2 2 2 4 22 10" xfId="14984" xr:uid="{00000000-0005-0000-0000-0000883A0000}"/>
    <cellStyle name="Normal 2 2 2 2 4 22 11" xfId="14985" xr:uid="{00000000-0005-0000-0000-0000893A0000}"/>
    <cellStyle name="Normal 2 2 2 2 4 22 12" xfId="14986" xr:uid="{00000000-0005-0000-0000-00008A3A0000}"/>
    <cellStyle name="Normal 2 2 2 2 4 22 13" xfId="14987" xr:uid="{00000000-0005-0000-0000-00008B3A0000}"/>
    <cellStyle name="Normal 2 2 2 2 4 22 14" xfId="14988" xr:uid="{00000000-0005-0000-0000-00008C3A0000}"/>
    <cellStyle name="Normal 2 2 2 2 4 22 2" xfId="14989" xr:uid="{00000000-0005-0000-0000-00008D3A0000}"/>
    <cellStyle name="Normal 2 2 2 2 4 22 2 10" xfId="14990" xr:uid="{00000000-0005-0000-0000-00008E3A0000}"/>
    <cellStyle name="Normal 2 2 2 2 4 22 2 2" xfId="14991" xr:uid="{00000000-0005-0000-0000-00008F3A0000}"/>
    <cellStyle name="Normal 2 2 2 2 4 22 2 3" xfId="14992" xr:uid="{00000000-0005-0000-0000-0000903A0000}"/>
    <cellStyle name="Normal 2 2 2 2 4 22 2 4" xfId="14993" xr:uid="{00000000-0005-0000-0000-0000913A0000}"/>
    <cellStyle name="Normal 2 2 2 2 4 22 2 5" xfId="14994" xr:uid="{00000000-0005-0000-0000-0000923A0000}"/>
    <cellStyle name="Normal 2 2 2 2 4 22 2 6" xfId="14995" xr:uid="{00000000-0005-0000-0000-0000933A0000}"/>
    <cellStyle name="Normal 2 2 2 2 4 22 2 7" xfId="14996" xr:uid="{00000000-0005-0000-0000-0000943A0000}"/>
    <cellStyle name="Normal 2 2 2 2 4 22 2 8" xfId="14997" xr:uid="{00000000-0005-0000-0000-0000953A0000}"/>
    <cellStyle name="Normal 2 2 2 2 4 22 2 9" xfId="14998" xr:uid="{00000000-0005-0000-0000-0000963A0000}"/>
    <cellStyle name="Normal 2 2 2 2 4 22 3" xfId="14999" xr:uid="{00000000-0005-0000-0000-0000973A0000}"/>
    <cellStyle name="Normal 2 2 2 2 4 22 3 10" xfId="15000" xr:uid="{00000000-0005-0000-0000-0000983A0000}"/>
    <cellStyle name="Normal 2 2 2 2 4 22 3 2" xfId="15001" xr:uid="{00000000-0005-0000-0000-0000993A0000}"/>
    <cellStyle name="Normal 2 2 2 2 4 22 3 3" xfId="15002" xr:uid="{00000000-0005-0000-0000-00009A3A0000}"/>
    <cellStyle name="Normal 2 2 2 2 4 22 3 4" xfId="15003" xr:uid="{00000000-0005-0000-0000-00009B3A0000}"/>
    <cellStyle name="Normal 2 2 2 2 4 22 3 5" xfId="15004" xr:uid="{00000000-0005-0000-0000-00009C3A0000}"/>
    <cellStyle name="Normal 2 2 2 2 4 22 3 6" xfId="15005" xr:uid="{00000000-0005-0000-0000-00009D3A0000}"/>
    <cellStyle name="Normal 2 2 2 2 4 22 3 7" xfId="15006" xr:uid="{00000000-0005-0000-0000-00009E3A0000}"/>
    <cellStyle name="Normal 2 2 2 2 4 22 3 8" xfId="15007" xr:uid="{00000000-0005-0000-0000-00009F3A0000}"/>
    <cellStyle name="Normal 2 2 2 2 4 22 3 9" xfId="15008" xr:uid="{00000000-0005-0000-0000-0000A03A0000}"/>
    <cellStyle name="Normal 2 2 2 2 4 22 4" xfId="15009" xr:uid="{00000000-0005-0000-0000-0000A13A0000}"/>
    <cellStyle name="Normal 2 2 2 2 4 22 4 10" xfId="15010" xr:uid="{00000000-0005-0000-0000-0000A23A0000}"/>
    <cellStyle name="Normal 2 2 2 2 4 22 4 2" xfId="15011" xr:uid="{00000000-0005-0000-0000-0000A33A0000}"/>
    <cellStyle name="Normal 2 2 2 2 4 22 4 3" xfId="15012" xr:uid="{00000000-0005-0000-0000-0000A43A0000}"/>
    <cellStyle name="Normal 2 2 2 2 4 22 4 4" xfId="15013" xr:uid="{00000000-0005-0000-0000-0000A53A0000}"/>
    <cellStyle name="Normal 2 2 2 2 4 22 4 5" xfId="15014" xr:uid="{00000000-0005-0000-0000-0000A63A0000}"/>
    <cellStyle name="Normal 2 2 2 2 4 22 4 6" xfId="15015" xr:uid="{00000000-0005-0000-0000-0000A73A0000}"/>
    <cellStyle name="Normal 2 2 2 2 4 22 4 7" xfId="15016" xr:uid="{00000000-0005-0000-0000-0000A83A0000}"/>
    <cellStyle name="Normal 2 2 2 2 4 22 4 8" xfId="15017" xr:uid="{00000000-0005-0000-0000-0000A93A0000}"/>
    <cellStyle name="Normal 2 2 2 2 4 22 4 9" xfId="15018" xr:uid="{00000000-0005-0000-0000-0000AA3A0000}"/>
    <cellStyle name="Normal 2 2 2 2 4 22 5" xfId="15019" xr:uid="{00000000-0005-0000-0000-0000AB3A0000}"/>
    <cellStyle name="Normal 2 2 2 2 4 22 5 10" xfId="15020" xr:uid="{00000000-0005-0000-0000-0000AC3A0000}"/>
    <cellStyle name="Normal 2 2 2 2 4 22 5 2" xfId="15021" xr:uid="{00000000-0005-0000-0000-0000AD3A0000}"/>
    <cellStyle name="Normal 2 2 2 2 4 22 5 3" xfId="15022" xr:uid="{00000000-0005-0000-0000-0000AE3A0000}"/>
    <cellStyle name="Normal 2 2 2 2 4 22 5 4" xfId="15023" xr:uid="{00000000-0005-0000-0000-0000AF3A0000}"/>
    <cellStyle name="Normal 2 2 2 2 4 22 5 5" xfId="15024" xr:uid="{00000000-0005-0000-0000-0000B03A0000}"/>
    <cellStyle name="Normal 2 2 2 2 4 22 5 6" xfId="15025" xr:uid="{00000000-0005-0000-0000-0000B13A0000}"/>
    <cellStyle name="Normal 2 2 2 2 4 22 5 7" xfId="15026" xr:uid="{00000000-0005-0000-0000-0000B23A0000}"/>
    <cellStyle name="Normal 2 2 2 2 4 22 5 8" xfId="15027" xr:uid="{00000000-0005-0000-0000-0000B33A0000}"/>
    <cellStyle name="Normal 2 2 2 2 4 22 5 9" xfId="15028" xr:uid="{00000000-0005-0000-0000-0000B43A0000}"/>
    <cellStyle name="Normal 2 2 2 2 4 22 6" xfId="15029" xr:uid="{00000000-0005-0000-0000-0000B53A0000}"/>
    <cellStyle name="Normal 2 2 2 2 4 22 7" xfId="15030" xr:uid="{00000000-0005-0000-0000-0000B63A0000}"/>
    <cellStyle name="Normal 2 2 2 2 4 22 8" xfId="15031" xr:uid="{00000000-0005-0000-0000-0000B73A0000}"/>
    <cellStyle name="Normal 2 2 2 2 4 22 9" xfId="15032" xr:uid="{00000000-0005-0000-0000-0000B83A0000}"/>
    <cellStyle name="Normal 2 2 2 2 4 23" xfId="15033" xr:uid="{00000000-0005-0000-0000-0000B93A0000}"/>
    <cellStyle name="Normal 2 2 2 2 4 23 10" xfId="15034" xr:uid="{00000000-0005-0000-0000-0000BA3A0000}"/>
    <cellStyle name="Normal 2 2 2 2 4 23 11" xfId="15035" xr:uid="{00000000-0005-0000-0000-0000BB3A0000}"/>
    <cellStyle name="Normal 2 2 2 2 4 23 12" xfId="15036" xr:uid="{00000000-0005-0000-0000-0000BC3A0000}"/>
    <cellStyle name="Normal 2 2 2 2 4 23 13" xfId="15037" xr:uid="{00000000-0005-0000-0000-0000BD3A0000}"/>
    <cellStyle name="Normal 2 2 2 2 4 23 14" xfId="15038" xr:uid="{00000000-0005-0000-0000-0000BE3A0000}"/>
    <cellStyle name="Normal 2 2 2 2 4 23 2" xfId="15039" xr:uid="{00000000-0005-0000-0000-0000BF3A0000}"/>
    <cellStyle name="Normal 2 2 2 2 4 23 2 10" xfId="15040" xr:uid="{00000000-0005-0000-0000-0000C03A0000}"/>
    <cellStyle name="Normal 2 2 2 2 4 23 2 2" xfId="15041" xr:uid="{00000000-0005-0000-0000-0000C13A0000}"/>
    <cellStyle name="Normal 2 2 2 2 4 23 2 3" xfId="15042" xr:uid="{00000000-0005-0000-0000-0000C23A0000}"/>
    <cellStyle name="Normal 2 2 2 2 4 23 2 4" xfId="15043" xr:uid="{00000000-0005-0000-0000-0000C33A0000}"/>
    <cellStyle name="Normal 2 2 2 2 4 23 2 5" xfId="15044" xr:uid="{00000000-0005-0000-0000-0000C43A0000}"/>
    <cellStyle name="Normal 2 2 2 2 4 23 2 6" xfId="15045" xr:uid="{00000000-0005-0000-0000-0000C53A0000}"/>
    <cellStyle name="Normal 2 2 2 2 4 23 2 7" xfId="15046" xr:uid="{00000000-0005-0000-0000-0000C63A0000}"/>
    <cellStyle name="Normal 2 2 2 2 4 23 2 8" xfId="15047" xr:uid="{00000000-0005-0000-0000-0000C73A0000}"/>
    <cellStyle name="Normal 2 2 2 2 4 23 2 9" xfId="15048" xr:uid="{00000000-0005-0000-0000-0000C83A0000}"/>
    <cellStyle name="Normal 2 2 2 2 4 23 3" xfId="15049" xr:uid="{00000000-0005-0000-0000-0000C93A0000}"/>
    <cellStyle name="Normal 2 2 2 2 4 23 3 10" xfId="15050" xr:uid="{00000000-0005-0000-0000-0000CA3A0000}"/>
    <cellStyle name="Normal 2 2 2 2 4 23 3 2" xfId="15051" xr:uid="{00000000-0005-0000-0000-0000CB3A0000}"/>
    <cellStyle name="Normal 2 2 2 2 4 23 3 3" xfId="15052" xr:uid="{00000000-0005-0000-0000-0000CC3A0000}"/>
    <cellStyle name="Normal 2 2 2 2 4 23 3 4" xfId="15053" xr:uid="{00000000-0005-0000-0000-0000CD3A0000}"/>
    <cellStyle name="Normal 2 2 2 2 4 23 3 5" xfId="15054" xr:uid="{00000000-0005-0000-0000-0000CE3A0000}"/>
    <cellStyle name="Normal 2 2 2 2 4 23 3 6" xfId="15055" xr:uid="{00000000-0005-0000-0000-0000CF3A0000}"/>
    <cellStyle name="Normal 2 2 2 2 4 23 3 7" xfId="15056" xr:uid="{00000000-0005-0000-0000-0000D03A0000}"/>
    <cellStyle name="Normal 2 2 2 2 4 23 3 8" xfId="15057" xr:uid="{00000000-0005-0000-0000-0000D13A0000}"/>
    <cellStyle name="Normal 2 2 2 2 4 23 3 9" xfId="15058" xr:uid="{00000000-0005-0000-0000-0000D23A0000}"/>
    <cellStyle name="Normal 2 2 2 2 4 23 4" xfId="15059" xr:uid="{00000000-0005-0000-0000-0000D33A0000}"/>
    <cellStyle name="Normal 2 2 2 2 4 23 4 10" xfId="15060" xr:uid="{00000000-0005-0000-0000-0000D43A0000}"/>
    <cellStyle name="Normal 2 2 2 2 4 23 4 2" xfId="15061" xr:uid="{00000000-0005-0000-0000-0000D53A0000}"/>
    <cellStyle name="Normal 2 2 2 2 4 23 4 3" xfId="15062" xr:uid="{00000000-0005-0000-0000-0000D63A0000}"/>
    <cellStyle name="Normal 2 2 2 2 4 23 4 4" xfId="15063" xr:uid="{00000000-0005-0000-0000-0000D73A0000}"/>
    <cellStyle name="Normal 2 2 2 2 4 23 4 5" xfId="15064" xr:uid="{00000000-0005-0000-0000-0000D83A0000}"/>
    <cellStyle name="Normal 2 2 2 2 4 23 4 6" xfId="15065" xr:uid="{00000000-0005-0000-0000-0000D93A0000}"/>
    <cellStyle name="Normal 2 2 2 2 4 23 4 7" xfId="15066" xr:uid="{00000000-0005-0000-0000-0000DA3A0000}"/>
    <cellStyle name="Normal 2 2 2 2 4 23 4 8" xfId="15067" xr:uid="{00000000-0005-0000-0000-0000DB3A0000}"/>
    <cellStyle name="Normal 2 2 2 2 4 23 4 9" xfId="15068" xr:uid="{00000000-0005-0000-0000-0000DC3A0000}"/>
    <cellStyle name="Normal 2 2 2 2 4 23 5" xfId="15069" xr:uid="{00000000-0005-0000-0000-0000DD3A0000}"/>
    <cellStyle name="Normal 2 2 2 2 4 23 5 10" xfId="15070" xr:uid="{00000000-0005-0000-0000-0000DE3A0000}"/>
    <cellStyle name="Normal 2 2 2 2 4 23 5 2" xfId="15071" xr:uid="{00000000-0005-0000-0000-0000DF3A0000}"/>
    <cellStyle name="Normal 2 2 2 2 4 23 5 3" xfId="15072" xr:uid="{00000000-0005-0000-0000-0000E03A0000}"/>
    <cellStyle name="Normal 2 2 2 2 4 23 5 4" xfId="15073" xr:uid="{00000000-0005-0000-0000-0000E13A0000}"/>
    <cellStyle name="Normal 2 2 2 2 4 23 5 5" xfId="15074" xr:uid="{00000000-0005-0000-0000-0000E23A0000}"/>
    <cellStyle name="Normal 2 2 2 2 4 23 5 6" xfId="15075" xr:uid="{00000000-0005-0000-0000-0000E33A0000}"/>
    <cellStyle name="Normal 2 2 2 2 4 23 5 7" xfId="15076" xr:uid="{00000000-0005-0000-0000-0000E43A0000}"/>
    <cellStyle name="Normal 2 2 2 2 4 23 5 8" xfId="15077" xr:uid="{00000000-0005-0000-0000-0000E53A0000}"/>
    <cellStyle name="Normal 2 2 2 2 4 23 5 9" xfId="15078" xr:uid="{00000000-0005-0000-0000-0000E63A0000}"/>
    <cellStyle name="Normal 2 2 2 2 4 23 6" xfId="15079" xr:uid="{00000000-0005-0000-0000-0000E73A0000}"/>
    <cellStyle name="Normal 2 2 2 2 4 23 7" xfId="15080" xr:uid="{00000000-0005-0000-0000-0000E83A0000}"/>
    <cellStyle name="Normal 2 2 2 2 4 23 8" xfId="15081" xr:uid="{00000000-0005-0000-0000-0000E93A0000}"/>
    <cellStyle name="Normal 2 2 2 2 4 23 9" xfId="15082" xr:uid="{00000000-0005-0000-0000-0000EA3A0000}"/>
    <cellStyle name="Normal 2 2 2 2 4 24" xfId="15083" xr:uid="{00000000-0005-0000-0000-0000EB3A0000}"/>
    <cellStyle name="Normal 2 2 2 2 4 24 10" xfId="15084" xr:uid="{00000000-0005-0000-0000-0000EC3A0000}"/>
    <cellStyle name="Normal 2 2 2 2 4 24 11" xfId="15085" xr:uid="{00000000-0005-0000-0000-0000ED3A0000}"/>
    <cellStyle name="Normal 2 2 2 2 4 24 12" xfId="15086" xr:uid="{00000000-0005-0000-0000-0000EE3A0000}"/>
    <cellStyle name="Normal 2 2 2 2 4 24 13" xfId="15087" xr:uid="{00000000-0005-0000-0000-0000EF3A0000}"/>
    <cellStyle name="Normal 2 2 2 2 4 24 14" xfId="15088" xr:uid="{00000000-0005-0000-0000-0000F03A0000}"/>
    <cellStyle name="Normal 2 2 2 2 4 24 2" xfId="15089" xr:uid="{00000000-0005-0000-0000-0000F13A0000}"/>
    <cellStyle name="Normal 2 2 2 2 4 24 2 10" xfId="15090" xr:uid="{00000000-0005-0000-0000-0000F23A0000}"/>
    <cellStyle name="Normal 2 2 2 2 4 24 2 2" xfId="15091" xr:uid="{00000000-0005-0000-0000-0000F33A0000}"/>
    <cellStyle name="Normal 2 2 2 2 4 24 2 3" xfId="15092" xr:uid="{00000000-0005-0000-0000-0000F43A0000}"/>
    <cellStyle name="Normal 2 2 2 2 4 24 2 4" xfId="15093" xr:uid="{00000000-0005-0000-0000-0000F53A0000}"/>
    <cellStyle name="Normal 2 2 2 2 4 24 2 5" xfId="15094" xr:uid="{00000000-0005-0000-0000-0000F63A0000}"/>
    <cellStyle name="Normal 2 2 2 2 4 24 2 6" xfId="15095" xr:uid="{00000000-0005-0000-0000-0000F73A0000}"/>
    <cellStyle name="Normal 2 2 2 2 4 24 2 7" xfId="15096" xr:uid="{00000000-0005-0000-0000-0000F83A0000}"/>
    <cellStyle name="Normal 2 2 2 2 4 24 2 8" xfId="15097" xr:uid="{00000000-0005-0000-0000-0000F93A0000}"/>
    <cellStyle name="Normal 2 2 2 2 4 24 2 9" xfId="15098" xr:uid="{00000000-0005-0000-0000-0000FA3A0000}"/>
    <cellStyle name="Normal 2 2 2 2 4 24 3" xfId="15099" xr:uid="{00000000-0005-0000-0000-0000FB3A0000}"/>
    <cellStyle name="Normal 2 2 2 2 4 24 3 10" xfId="15100" xr:uid="{00000000-0005-0000-0000-0000FC3A0000}"/>
    <cellStyle name="Normal 2 2 2 2 4 24 3 2" xfId="15101" xr:uid="{00000000-0005-0000-0000-0000FD3A0000}"/>
    <cellStyle name="Normal 2 2 2 2 4 24 3 3" xfId="15102" xr:uid="{00000000-0005-0000-0000-0000FE3A0000}"/>
    <cellStyle name="Normal 2 2 2 2 4 24 3 4" xfId="15103" xr:uid="{00000000-0005-0000-0000-0000FF3A0000}"/>
    <cellStyle name="Normal 2 2 2 2 4 24 3 5" xfId="15104" xr:uid="{00000000-0005-0000-0000-0000003B0000}"/>
    <cellStyle name="Normal 2 2 2 2 4 24 3 6" xfId="15105" xr:uid="{00000000-0005-0000-0000-0000013B0000}"/>
    <cellStyle name="Normal 2 2 2 2 4 24 3 7" xfId="15106" xr:uid="{00000000-0005-0000-0000-0000023B0000}"/>
    <cellStyle name="Normal 2 2 2 2 4 24 3 8" xfId="15107" xr:uid="{00000000-0005-0000-0000-0000033B0000}"/>
    <cellStyle name="Normal 2 2 2 2 4 24 3 9" xfId="15108" xr:uid="{00000000-0005-0000-0000-0000043B0000}"/>
    <cellStyle name="Normal 2 2 2 2 4 24 4" xfId="15109" xr:uid="{00000000-0005-0000-0000-0000053B0000}"/>
    <cellStyle name="Normal 2 2 2 2 4 24 4 10" xfId="15110" xr:uid="{00000000-0005-0000-0000-0000063B0000}"/>
    <cellStyle name="Normal 2 2 2 2 4 24 4 2" xfId="15111" xr:uid="{00000000-0005-0000-0000-0000073B0000}"/>
    <cellStyle name="Normal 2 2 2 2 4 24 4 3" xfId="15112" xr:uid="{00000000-0005-0000-0000-0000083B0000}"/>
    <cellStyle name="Normal 2 2 2 2 4 24 4 4" xfId="15113" xr:uid="{00000000-0005-0000-0000-0000093B0000}"/>
    <cellStyle name="Normal 2 2 2 2 4 24 4 5" xfId="15114" xr:uid="{00000000-0005-0000-0000-00000A3B0000}"/>
    <cellStyle name="Normal 2 2 2 2 4 24 4 6" xfId="15115" xr:uid="{00000000-0005-0000-0000-00000B3B0000}"/>
    <cellStyle name="Normal 2 2 2 2 4 24 4 7" xfId="15116" xr:uid="{00000000-0005-0000-0000-00000C3B0000}"/>
    <cellStyle name="Normal 2 2 2 2 4 24 4 8" xfId="15117" xr:uid="{00000000-0005-0000-0000-00000D3B0000}"/>
    <cellStyle name="Normal 2 2 2 2 4 24 4 9" xfId="15118" xr:uid="{00000000-0005-0000-0000-00000E3B0000}"/>
    <cellStyle name="Normal 2 2 2 2 4 24 5" xfId="15119" xr:uid="{00000000-0005-0000-0000-00000F3B0000}"/>
    <cellStyle name="Normal 2 2 2 2 4 24 5 10" xfId="15120" xr:uid="{00000000-0005-0000-0000-0000103B0000}"/>
    <cellStyle name="Normal 2 2 2 2 4 24 5 2" xfId="15121" xr:uid="{00000000-0005-0000-0000-0000113B0000}"/>
    <cellStyle name="Normal 2 2 2 2 4 24 5 3" xfId="15122" xr:uid="{00000000-0005-0000-0000-0000123B0000}"/>
    <cellStyle name="Normal 2 2 2 2 4 24 5 4" xfId="15123" xr:uid="{00000000-0005-0000-0000-0000133B0000}"/>
    <cellStyle name="Normal 2 2 2 2 4 24 5 5" xfId="15124" xr:uid="{00000000-0005-0000-0000-0000143B0000}"/>
    <cellStyle name="Normal 2 2 2 2 4 24 5 6" xfId="15125" xr:uid="{00000000-0005-0000-0000-0000153B0000}"/>
    <cellStyle name="Normal 2 2 2 2 4 24 5 7" xfId="15126" xr:uid="{00000000-0005-0000-0000-0000163B0000}"/>
    <cellStyle name="Normal 2 2 2 2 4 24 5 8" xfId="15127" xr:uid="{00000000-0005-0000-0000-0000173B0000}"/>
    <cellStyle name="Normal 2 2 2 2 4 24 5 9" xfId="15128" xr:uid="{00000000-0005-0000-0000-0000183B0000}"/>
    <cellStyle name="Normal 2 2 2 2 4 24 6" xfId="15129" xr:uid="{00000000-0005-0000-0000-0000193B0000}"/>
    <cellStyle name="Normal 2 2 2 2 4 24 7" xfId="15130" xr:uid="{00000000-0005-0000-0000-00001A3B0000}"/>
    <cellStyle name="Normal 2 2 2 2 4 24 8" xfId="15131" xr:uid="{00000000-0005-0000-0000-00001B3B0000}"/>
    <cellStyle name="Normal 2 2 2 2 4 24 9" xfId="15132" xr:uid="{00000000-0005-0000-0000-00001C3B0000}"/>
    <cellStyle name="Normal 2 2 2 2 4 25" xfId="15133" xr:uid="{00000000-0005-0000-0000-00001D3B0000}"/>
    <cellStyle name="Normal 2 2 2 2 4 25 10" xfId="15134" xr:uid="{00000000-0005-0000-0000-00001E3B0000}"/>
    <cellStyle name="Normal 2 2 2 2 4 25 11" xfId="15135" xr:uid="{00000000-0005-0000-0000-00001F3B0000}"/>
    <cellStyle name="Normal 2 2 2 2 4 25 12" xfId="15136" xr:uid="{00000000-0005-0000-0000-0000203B0000}"/>
    <cellStyle name="Normal 2 2 2 2 4 25 13" xfId="15137" xr:uid="{00000000-0005-0000-0000-0000213B0000}"/>
    <cellStyle name="Normal 2 2 2 2 4 25 14" xfId="15138" xr:uid="{00000000-0005-0000-0000-0000223B0000}"/>
    <cellStyle name="Normal 2 2 2 2 4 25 2" xfId="15139" xr:uid="{00000000-0005-0000-0000-0000233B0000}"/>
    <cellStyle name="Normal 2 2 2 2 4 25 2 10" xfId="15140" xr:uid="{00000000-0005-0000-0000-0000243B0000}"/>
    <cellStyle name="Normal 2 2 2 2 4 25 2 2" xfId="15141" xr:uid="{00000000-0005-0000-0000-0000253B0000}"/>
    <cellStyle name="Normal 2 2 2 2 4 25 2 3" xfId="15142" xr:uid="{00000000-0005-0000-0000-0000263B0000}"/>
    <cellStyle name="Normal 2 2 2 2 4 25 2 4" xfId="15143" xr:uid="{00000000-0005-0000-0000-0000273B0000}"/>
    <cellStyle name="Normal 2 2 2 2 4 25 2 5" xfId="15144" xr:uid="{00000000-0005-0000-0000-0000283B0000}"/>
    <cellStyle name="Normal 2 2 2 2 4 25 2 6" xfId="15145" xr:uid="{00000000-0005-0000-0000-0000293B0000}"/>
    <cellStyle name="Normal 2 2 2 2 4 25 2 7" xfId="15146" xr:uid="{00000000-0005-0000-0000-00002A3B0000}"/>
    <cellStyle name="Normal 2 2 2 2 4 25 2 8" xfId="15147" xr:uid="{00000000-0005-0000-0000-00002B3B0000}"/>
    <cellStyle name="Normal 2 2 2 2 4 25 2 9" xfId="15148" xr:uid="{00000000-0005-0000-0000-00002C3B0000}"/>
    <cellStyle name="Normal 2 2 2 2 4 25 3" xfId="15149" xr:uid="{00000000-0005-0000-0000-00002D3B0000}"/>
    <cellStyle name="Normal 2 2 2 2 4 25 3 10" xfId="15150" xr:uid="{00000000-0005-0000-0000-00002E3B0000}"/>
    <cellStyle name="Normal 2 2 2 2 4 25 3 2" xfId="15151" xr:uid="{00000000-0005-0000-0000-00002F3B0000}"/>
    <cellStyle name="Normal 2 2 2 2 4 25 3 3" xfId="15152" xr:uid="{00000000-0005-0000-0000-0000303B0000}"/>
    <cellStyle name="Normal 2 2 2 2 4 25 3 4" xfId="15153" xr:uid="{00000000-0005-0000-0000-0000313B0000}"/>
    <cellStyle name="Normal 2 2 2 2 4 25 3 5" xfId="15154" xr:uid="{00000000-0005-0000-0000-0000323B0000}"/>
    <cellStyle name="Normal 2 2 2 2 4 25 3 6" xfId="15155" xr:uid="{00000000-0005-0000-0000-0000333B0000}"/>
    <cellStyle name="Normal 2 2 2 2 4 25 3 7" xfId="15156" xr:uid="{00000000-0005-0000-0000-0000343B0000}"/>
    <cellStyle name="Normal 2 2 2 2 4 25 3 8" xfId="15157" xr:uid="{00000000-0005-0000-0000-0000353B0000}"/>
    <cellStyle name="Normal 2 2 2 2 4 25 3 9" xfId="15158" xr:uid="{00000000-0005-0000-0000-0000363B0000}"/>
    <cellStyle name="Normal 2 2 2 2 4 25 4" xfId="15159" xr:uid="{00000000-0005-0000-0000-0000373B0000}"/>
    <cellStyle name="Normal 2 2 2 2 4 25 4 10" xfId="15160" xr:uid="{00000000-0005-0000-0000-0000383B0000}"/>
    <cellStyle name="Normal 2 2 2 2 4 25 4 2" xfId="15161" xr:uid="{00000000-0005-0000-0000-0000393B0000}"/>
    <cellStyle name="Normal 2 2 2 2 4 25 4 3" xfId="15162" xr:uid="{00000000-0005-0000-0000-00003A3B0000}"/>
    <cellStyle name="Normal 2 2 2 2 4 25 4 4" xfId="15163" xr:uid="{00000000-0005-0000-0000-00003B3B0000}"/>
    <cellStyle name="Normal 2 2 2 2 4 25 4 5" xfId="15164" xr:uid="{00000000-0005-0000-0000-00003C3B0000}"/>
    <cellStyle name="Normal 2 2 2 2 4 25 4 6" xfId="15165" xr:uid="{00000000-0005-0000-0000-00003D3B0000}"/>
    <cellStyle name="Normal 2 2 2 2 4 25 4 7" xfId="15166" xr:uid="{00000000-0005-0000-0000-00003E3B0000}"/>
    <cellStyle name="Normal 2 2 2 2 4 25 4 8" xfId="15167" xr:uid="{00000000-0005-0000-0000-00003F3B0000}"/>
    <cellStyle name="Normal 2 2 2 2 4 25 4 9" xfId="15168" xr:uid="{00000000-0005-0000-0000-0000403B0000}"/>
    <cellStyle name="Normal 2 2 2 2 4 25 5" xfId="15169" xr:uid="{00000000-0005-0000-0000-0000413B0000}"/>
    <cellStyle name="Normal 2 2 2 2 4 25 5 10" xfId="15170" xr:uid="{00000000-0005-0000-0000-0000423B0000}"/>
    <cellStyle name="Normal 2 2 2 2 4 25 5 2" xfId="15171" xr:uid="{00000000-0005-0000-0000-0000433B0000}"/>
    <cellStyle name="Normal 2 2 2 2 4 25 5 3" xfId="15172" xr:uid="{00000000-0005-0000-0000-0000443B0000}"/>
    <cellStyle name="Normal 2 2 2 2 4 25 5 4" xfId="15173" xr:uid="{00000000-0005-0000-0000-0000453B0000}"/>
    <cellStyle name="Normal 2 2 2 2 4 25 5 5" xfId="15174" xr:uid="{00000000-0005-0000-0000-0000463B0000}"/>
    <cellStyle name="Normal 2 2 2 2 4 25 5 6" xfId="15175" xr:uid="{00000000-0005-0000-0000-0000473B0000}"/>
    <cellStyle name="Normal 2 2 2 2 4 25 5 7" xfId="15176" xr:uid="{00000000-0005-0000-0000-0000483B0000}"/>
    <cellStyle name="Normal 2 2 2 2 4 25 5 8" xfId="15177" xr:uid="{00000000-0005-0000-0000-0000493B0000}"/>
    <cellStyle name="Normal 2 2 2 2 4 25 5 9" xfId="15178" xr:uid="{00000000-0005-0000-0000-00004A3B0000}"/>
    <cellStyle name="Normal 2 2 2 2 4 25 6" xfId="15179" xr:uid="{00000000-0005-0000-0000-00004B3B0000}"/>
    <cellStyle name="Normal 2 2 2 2 4 25 7" xfId="15180" xr:uid="{00000000-0005-0000-0000-00004C3B0000}"/>
    <cellStyle name="Normal 2 2 2 2 4 25 8" xfId="15181" xr:uid="{00000000-0005-0000-0000-00004D3B0000}"/>
    <cellStyle name="Normal 2 2 2 2 4 25 9" xfId="15182" xr:uid="{00000000-0005-0000-0000-00004E3B0000}"/>
    <cellStyle name="Normal 2 2 2 2 4 26" xfId="15183" xr:uid="{00000000-0005-0000-0000-00004F3B0000}"/>
    <cellStyle name="Normal 2 2 2 2 4 26 10" xfId="15184" xr:uid="{00000000-0005-0000-0000-0000503B0000}"/>
    <cellStyle name="Normal 2 2 2 2 4 26 11" xfId="15185" xr:uid="{00000000-0005-0000-0000-0000513B0000}"/>
    <cellStyle name="Normal 2 2 2 2 4 26 12" xfId="15186" xr:uid="{00000000-0005-0000-0000-0000523B0000}"/>
    <cellStyle name="Normal 2 2 2 2 4 26 13" xfId="15187" xr:uid="{00000000-0005-0000-0000-0000533B0000}"/>
    <cellStyle name="Normal 2 2 2 2 4 26 14" xfId="15188" xr:uid="{00000000-0005-0000-0000-0000543B0000}"/>
    <cellStyle name="Normal 2 2 2 2 4 26 2" xfId="15189" xr:uid="{00000000-0005-0000-0000-0000553B0000}"/>
    <cellStyle name="Normal 2 2 2 2 4 26 2 10" xfId="15190" xr:uid="{00000000-0005-0000-0000-0000563B0000}"/>
    <cellStyle name="Normal 2 2 2 2 4 26 2 2" xfId="15191" xr:uid="{00000000-0005-0000-0000-0000573B0000}"/>
    <cellStyle name="Normal 2 2 2 2 4 26 2 3" xfId="15192" xr:uid="{00000000-0005-0000-0000-0000583B0000}"/>
    <cellStyle name="Normal 2 2 2 2 4 26 2 4" xfId="15193" xr:uid="{00000000-0005-0000-0000-0000593B0000}"/>
    <cellStyle name="Normal 2 2 2 2 4 26 2 5" xfId="15194" xr:uid="{00000000-0005-0000-0000-00005A3B0000}"/>
    <cellStyle name="Normal 2 2 2 2 4 26 2 6" xfId="15195" xr:uid="{00000000-0005-0000-0000-00005B3B0000}"/>
    <cellStyle name="Normal 2 2 2 2 4 26 2 7" xfId="15196" xr:uid="{00000000-0005-0000-0000-00005C3B0000}"/>
    <cellStyle name="Normal 2 2 2 2 4 26 2 8" xfId="15197" xr:uid="{00000000-0005-0000-0000-00005D3B0000}"/>
    <cellStyle name="Normal 2 2 2 2 4 26 2 9" xfId="15198" xr:uid="{00000000-0005-0000-0000-00005E3B0000}"/>
    <cellStyle name="Normal 2 2 2 2 4 26 3" xfId="15199" xr:uid="{00000000-0005-0000-0000-00005F3B0000}"/>
    <cellStyle name="Normal 2 2 2 2 4 26 3 10" xfId="15200" xr:uid="{00000000-0005-0000-0000-0000603B0000}"/>
    <cellStyle name="Normal 2 2 2 2 4 26 3 2" xfId="15201" xr:uid="{00000000-0005-0000-0000-0000613B0000}"/>
    <cellStyle name="Normal 2 2 2 2 4 26 3 3" xfId="15202" xr:uid="{00000000-0005-0000-0000-0000623B0000}"/>
    <cellStyle name="Normal 2 2 2 2 4 26 3 4" xfId="15203" xr:uid="{00000000-0005-0000-0000-0000633B0000}"/>
    <cellStyle name="Normal 2 2 2 2 4 26 3 5" xfId="15204" xr:uid="{00000000-0005-0000-0000-0000643B0000}"/>
    <cellStyle name="Normal 2 2 2 2 4 26 3 6" xfId="15205" xr:uid="{00000000-0005-0000-0000-0000653B0000}"/>
    <cellStyle name="Normal 2 2 2 2 4 26 3 7" xfId="15206" xr:uid="{00000000-0005-0000-0000-0000663B0000}"/>
    <cellStyle name="Normal 2 2 2 2 4 26 3 8" xfId="15207" xr:uid="{00000000-0005-0000-0000-0000673B0000}"/>
    <cellStyle name="Normal 2 2 2 2 4 26 3 9" xfId="15208" xr:uid="{00000000-0005-0000-0000-0000683B0000}"/>
    <cellStyle name="Normal 2 2 2 2 4 26 4" xfId="15209" xr:uid="{00000000-0005-0000-0000-0000693B0000}"/>
    <cellStyle name="Normal 2 2 2 2 4 26 4 10" xfId="15210" xr:uid="{00000000-0005-0000-0000-00006A3B0000}"/>
    <cellStyle name="Normal 2 2 2 2 4 26 4 2" xfId="15211" xr:uid="{00000000-0005-0000-0000-00006B3B0000}"/>
    <cellStyle name="Normal 2 2 2 2 4 26 4 3" xfId="15212" xr:uid="{00000000-0005-0000-0000-00006C3B0000}"/>
    <cellStyle name="Normal 2 2 2 2 4 26 4 4" xfId="15213" xr:uid="{00000000-0005-0000-0000-00006D3B0000}"/>
    <cellStyle name="Normal 2 2 2 2 4 26 4 5" xfId="15214" xr:uid="{00000000-0005-0000-0000-00006E3B0000}"/>
    <cellStyle name="Normal 2 2 2 2 4 26 4 6" xfId="15215" xr:uid="{00000000-0005-0000-0000-00006F3B0000}"/>
    <cellStyle name="Normal 2 2 2 2 4 26 4 7" xfId="15216" xr:uid="{00000000-0005-0000-0000-0000703B0000}"/>
    <cellStyle name="Normal 2 2 2 2 4 26 4 8" xfId="15217" xr:uid="{00000000-0005-0000-0000-0000713B0000}"/>
    <cellStyle name="Normal 2 2 2 2 4 26 4 9" xfId="15218" xr:uid="{00000000-0005-0000-0000-0000723B0000}"/>
    <cellStyle name="Normal 2 2 2 2 4 26 5" xfId="15219" xr:uid="{00000000-0005-0000-0000-0000733B0000}"/>
    <cellStyle name="Normal 2 2 2 2 4 26 5 10" xfId="15220" xr:uid="{00000000-0005-0000-0000-0000743B0000}"/>
    <cellStyle name="Normal 2 2 2 2 4 26 5 2" xfId="15221" xr:uid="{00000000-0005-0000-0000-0000753B0000}"/>
    <cellStyle name="Normal 2 2 2 2 4 26 5 3" xfId="15222" xr:uid="{00000000-0005-0000-0000-0000763B0000}"/>
    <cellStyle name="Normal 2 2 2 2 4 26 5 4" xfId="15223" xr:uid="{00000000-0005-0000-0000-0000773B0000}"/>
    <cellStyle name="Normal 2 2 2 2 4 26 5 5" xfId="15224" xr:uid="{00000000-0005-0000-0000-0000783B0000}"/>
    <cellStyle name="Normal 2 2 2 2 4 26 5 6" xfId="15225" xr:uid="{00000000-0005-0000-0000-0000793B0000}"/>
    <cellStyle name="Normal 2 2 2 2 4 26 5 7" xfId="15226" xr:uid="{00000000-0005-0000-0000-00007A3B0000}"/>
    <cellStyle name="Normal 2 2 2 2 4 26 5 8" xfId="15227" xr:uid="{00000000-0005-0000-0000-00007B3B0000}"/>
    <cellStyle name="Normal 2 2 2 2 4 26 5 9" xfId="15228" xr:uid="{00000000-0005-0000-0000-00007C3B0000}"/>
    <cellStyle name="Normal 2 2 2 2 4 26 6" xfId="15229" xr:uid="{00000000-0005-0000-0000-00007D3B0000}"/>
    <cellStyle name="Normal 2 2 2 2 4 26 7" xfId="15230" xr:uid="{00000000-0005-0000-0000-00007E3B0000}"/>
    <cellStyle name="Normal 2 2 2 2 4 26 8" xfId="15231" xr:uid="{00000000-0005-0000-0000-00007F3B0000}"/>
    <cellStyle name="Normal 2 2 2 2 4 26 9" xfId="15232" xr:uid="{00000000-0005-0000-0000-0000803B0000}"/>
    <cellStyle name="Normal 2 2 2 2 4 27" xfId="15233" xr:uid="{00000000-0005-0000-0000-0000813B0000}"/>
    <cellStyle name="Normal 2 2 2 2 4 27 10" xfId="15234" xr:uid="{00000000-0005-0000-0000-0000823B0000}"/>
    <cellStyle name="Normal 2 2 2 2 4 27 11" xfId="15235" xr:uid="{00000000-0005-0000-0000-0000833B0000}"/>
    <cellStyle name="Normal 2 2 2 2 4 27 12" xfId="15236" xr:uid="{00000000-0005-0000-0000-0000843B0000}"/>
    <cellStyle name="Normal 2 2 2 2 4 27 13" xfId="15237" xr:uid="{00000000-0005-0000-0000-0000853B0000}"/>
    <cellStyle name="Normal 2 2 2 2 4 27 14" xfId="15238" xr:uid="{00000000-0005-0000-0000-0000863B0000}"/>
    <cellStyle name="Normal 2 2 2 2 4 27 2" xfId="15239" xr:uid="{00000000-0005-0000-0000-0000873B0000}"/>
    <cellStyle name="Normal 2 2 2 2 4 27 2 10" xfId="15240" xr:uid="{00000000-0005-0000-0000-0000883B0000}"/>
    <cellStyle name="Normal 2 2 2 2 4 27 2 2" xfId="15241" xr:uid="{00000000-0005-0000-0000-0000893B0000}"/>
    <cellStyle name="Normal 2 2 2 2 4 27 2 3" xfId="15242" xr:uid="{00000000-0005-0000-0000-00008A3B0000}"/>
    <cellStyle name="Normal 2 2 2 2 4 27 2 4" xfId="15243" xr:uid="{00000000-0005-0000-0000-00008B3B0000}"/>
    <cellStyle name="Normal 2 2 2 2 4 27 2 5" xfId="15244" xr:uid="{00000000-0005-0000-0000-00008C3B0000}"/>
    <cellStyle name="Normal 2 2 2 2 4 27 2 6" xfId="15245" xr:uid="{00000000-0005-0000-0000-00008D3B0000}"/>
    <cellStyle name="Normal 2 2 2 2 4 27 2 7" xfId="15246" xr:uid="{00000000-0005-0000-0000-00008E3B0000}"/>
    <cellStyle name="Normal 2 2 2 2 4 27 2 8" xfId="15247" xr:uid="{00000000-0005-0000-0000-00008F3B0000}"/>
    <cellStyle name="Normal 2 2 2 2 4 27 2 9" xfId="15248" xr:uid="{00000000-0005-0000-0000-0000903B0000}"/>
    <cellStyle name="Normal 2 2 2 2 4 27 3" xfId="15249" xr:uid="{00000000-0005-0000-0000-0000913B0000}"/>
    <cellStyle name="Normal 2 2 2 2 4 27 3 10" xfId="15250" xr:uid="{00000000-0005-0000-0000-0000923B0000}"/>
    <cellStyle name="Normal 2 2 2 2 4 27 3 2" xfId="15251" xr:uid="{00000000-0005-0000-0000-0000933B0000}"/>
    <cellStyle name="Normal 2 2 2 2 4 27 3 3" xfId="15252" xr:uid="{00000000-0005-0000-0000-0000943B0000}"/>
    <cellStyle name="Normal 2 2 2 2 4 27 3 4" xfId="15253" xr:uid="{00000000-0005-0000-0000-0000953B0000}"/>
    <cellStyle name="Normal 2 2 2 2 4 27 3 5" xfId="15254" xr:uid="{00000000-0005-0000-0000-0000963B0000}"/>
    <cellStyle name="Normal 2 2 2 2 4 27 3 6" xfId="15255" xr:uid="{00000000-0005-0000-0000-0000973B0000}"/>
    <cellStyle name="Normal 2 2 2 2 4 27 3 7" xfId="15256" xr:uid="{00000000-0005-0000-0000-0000983B0000}"/>
    <cellStyle name="Normal 2 2 2 2 4 27 3 8" xfId="15257" xr:uid="{00000000-0005-0000-0000-0000993B0000}"/>
    <cellStyle name="Normal 2 2 2 2 4 27 3 9" xfId="15258" xr:uid="{00000000-0005-0000-0000-00009A3B0000}"/>
    <cellStyle name="Normal 2 2 2 2 4 27 4" xfId="15259" xr:uid="{00000000-0005-0000-0000-00009B3B0000}"/>
    <cellStyle name="Normal 2 2 2 2 4 27 4 10" xfId="15260" xr:uid="{00000000-0005-0000-0000-00009C3B0000}"/>
    <cellStyle name="Normal 2 2 2 2 4 27 4 2" xfId="15261" xr:uid="{00000000-0005-0000-0000-00009D3B0000}"/>
    <cellStyle name="Normal 2 2 2 2 4 27 4 3" xfId="15262" xr:uid="{00000000-0005-0000-0000-00009E3B0000}"/>
    <cellStyle name="Normal 2 2 2 2 4 27 4 4" xfId="15263" xr:uid="{00000000-0005-0000-0000-00009F3B0000}"/>
    <cellStyle name="Normal 2 2 2 2 4 27 4 5" xfId="15264" xr:uid="{00000000-0005-0000-0000-0000A03B0000}"/>
    <cellStyle name="Normal 2 2 2 2 4 27 4 6" xfId="15265" xr:uid="{00000000-0005-0000-0000-0000A13B0000}"/>
    <cellStyle name="Normal 2 2 2 2 4 27 4 7" xfId="15266" xr:uid="{00000000-0005-0000-0000-0000A23B0000}"/>
    <cellStyle name="Normal 2 2 2 2 4 27 4 8" xfId="15267" xr:uid="{00000000-0005-0000-0000-0000A33B0000}"/>
    <cellStyle name="Normal 2 2 2 2 4 27 4 9" xfId="15268" xr:uid="{00000000-0005-0000-0000-0000A43B0000}"/>
    <cellStyle name="Normal 2 2 2 2 4 27 5" xfId="15269" xr:uid="{00000000-0005-0000-0000-0000A53B0000}"/>
    <cellStyle name="Normal 2 2 2 2 4 27 5 10" xfId="15270" xr:uid="{00000000-0005-0000-0000-0000A63B0000}"/>
    <cellStyle name="Normal 2 2 2 2 4 27 5 2" xfId="15271" xr:uid="{00000000-0005-0000-0000-0000A73B0000}"/>
    <cellStyle name="Normal 2 2 2 2 4 27 5 3" xfId="15272" xr:uid="{00000000-0005-0000-0000-0000A83B0000}"/>
    <cellStyle name="Normal 2 2 2 2 4 27 5 4" xfId="15273" xr:uid="{00000000-0005-0000-0000-0000A93B0000}"/>
    <cellStyle name="Normal 2 2 2 2 4 27 5 5" xfId="15274" xr:uid="{00000000-0005-0000-0000-0000AA3B0000}"/>
    <cellStyle name="Normal 2 2 2 2 4 27 5 6" xfId="15275" xr:uid="{00000000-0005-0000-0000-0000AB3B0000}"/>
    <cellStyle name="Normal 2 2 2 2 4 27 5 7" xfId="15276" xr:uid="{00000000-0005-0000-0000-0000AC3B0000}"/>
    <cellStyle name="Normal 2 2 2 2 4 27 5 8" xfId="15277" xr:uid="{00000000-0005-0000-0000-0000AD3B0000}"/>
    <cellStyle name="Normal 2 2 2 2 4 27 5 9" xfId="15278" xr:uid="{00000000-0005-0000-0000-0000AE3B0000}"/>
    <cellStyle name="Normal 2 2 2 2 4 27 6" xfId="15279" xr:uid="{00000000-0005-0000-0000-0000AF3B0000}"/>
    <cellStyle name="Normal 2 2 2 2 4 27 7" xfId="15280" xr:uid="{00000000-0005-0000-0000-0000B03B0000}"/>
    <cellStyle name="Normal 2 2 2 2 4 27 8" xfId="15281" xr:uid="{00000000-0005-0000-0000-0000B13B0000}"/>
    <cellStyle name="Normal 2 2 2 2 4 27 9" xfId="15282" xr:uid="{00000000-0005-0000-0000-0000B23B0000}"/>
    <cellStyle name="Normal 2 2 2 2 4 28" xfId="15283" xr:uid="{00000000-0005-0000-0000-0000B33B0000}"/>
    <cellStyle name="Normal 2 2 2 2 4 28 10" xfId="15284" xr:uid="{00000000-0005-0000-0000-0000B43B0000}"/>
    <cellStyle name="Normal 2 2 2 2 4 28 11" xfId="15285" xr:uid="{00000000-0005-0000-0000-0000B53B0000}"/>
    <cellStyle name="Normal 2 2 2 2 4 28 12" xfId="15286" xr:uid="{00000000-0005-0000-0000-0000B63B0000}"/>
    <cellStyle name="Normal 2 2 2 2 4 28 13" xfId="15287" xr:uid="{00000000-0005-0000-0000-0000B73B0000}"/>
    <cellStyle name="Normal 2 2 2 2 4 28 14" xfId="15288" xr:uid="{00000000-0005-0000-0000-0000B83B0000}"/>
    <cellStyle name="Normal 2 2 2 2 4 28 2" xfId="15289" xr:uid="{00000000-0005-0000-0000-0000B93B0000}"/>
    <cellStyle name="Normal 2 2 2 2 4 28 2 10" xfId="15290" xr:uid="{00000000-0005-0000-0000-0000BA3B0000}"/>
    <cellStyle name="Normal 2 2 2 2 4 28 2 2" xfId="15291" xr:uid="{00000000-0005-0000-0000-0000BB3B0000}"/>
    <cellStyle name="Normal 2 2 2 2 4 28 2 3" xfId="15292" xr:uid="{00000000-0005-0000-0000-0000BC3B0000}"/>
    <cellStyle name="Normal 2 2 2 2 4 28 2 4" xfId="15293" xr:uid="{00000000-0005-0000-0000-0000BD3B0000}"/>
    <cellStyle name="Normal 2 2 2 2 4 28 2 5" xfId="15294" xr:uid="{00000000-0005-0000-0000-0000BE3B0000}"/>
    <cellStyle name="Normal 2 2 2 2 4 28 2 6" xfId="15295" xr:uid="{00000000-0005-0000-0000-0000BF3B0000}"/>
    <cellStyle name="Normal 2 2 2 2 4 28 2 7" xfId="15296" xr:uid="{00000000-0005-0000-0000-0000C03B0000}"/>
    <cellStyle name="Normal 2 2 2 2 4 28 2 8" xfId="15297" xr:uid="{00000000-0005-0000-0000-0000C13B0000}"/>
    <cellStyle name="Normal 2 2 2 2 4 28 2 9" xfId="15298" xr:uid="{00000000-0005-0000-0000-0000C23B0000}"/>
    <cellStyle name="Normal 2 2 2 2 4 28 3" xfId="15299" xr:uid="{00000000-0005-0000-0000-0000C33B0000}"/>
    <cellStyle name="Normal 2 2 2 2 4 28 3 10" xfId="15300" xr:uid="{00000000-0005-0000-0000-0000C43B0000}"/>
    <cellStyle name="Normal 2 2 2 2 4 28 3 2" xfId="15301" xr:uid="{00000000-0005-0000-0000-0000C53B0000}"/>
    <cellStyle name="Normal 2 2 2 2 4 28 3 3" xfId="15302" xr:uid="{00000000-0005-0000-0000-0000C63B0000}"/>
    <cellStyle name="Normal 2 2 2 2 4 28 3 4" xfId="15303" xr:uid="{00000000-0005-0000-0000-0000C73B0000}"/>
    <cellStyle name="Normal 2 2 2 2 4 28 3 5" xfId="15304" xr:uid="{00000000-0005-0000-0000-0000C83B0000}"/>
    <cellStyle name="Normal 2 2 2 2 4 28 3 6" xfId="15305" xr:uid="{00000000-0005-0000-0000-0000C93B0000}"/>
    <cellStyle name="Normal 2 2 2 2 4 28 3 7" xfId="15306" xr:uid="{00000000-0005-0000-0000-0000CA3B0000}"/>
    <cellStyle name="Normal 2 2 2 2 4 28 3 8" xfId="15307" xr:uid="{00000000-0005-0000-0000-0000CB3B0000}"/>
    <cellStyle name="Normal 2 2 2 2 4 28 3 9" xfId="15308" xr:uid="{00000000-0005-0000-0000-0000CC3B0000}"/>
    <cellStyle name="Normal 2 2 2 2 4 28 4" xfId="15309" xr:uid="{00000000-0005-0000-0000-0000CD3B0000}"/>
    <cellStyle name="Normal 2 2 2 2 4 28 4 10" xfId="15310" xr:uid="{00000000-0005-0000-0000-0000CE3B0000}"/>
    <cellStyle name="Normal 2 2 2 2 4 28 4 2" xfId="15311" xr:uid="{00000000-0005-0000-0000-0000CF3B0000}"/>
    <cellStyle name="Normal 2 2 2 2 4 28 4 3" xfId="15312" xr:uid="{00000000-0005-0000-0000-0000D03B0000}"/>
    <cellStyle name="Normal 2 2 2 2 4 28 4 4" xfId="15313" xr:uid="{00000000-0005-0000-0000-0000D13B0000}"/>
    <cellStyle name="Normal 2 2 2 2 4 28 4 5" xfId="15314" xr:uid="{00000000-0005-0000-0000-0000D23B0000}"/>
    <cellStyle name="Normal 2 2 2 2 4 28 4 6" xfId="15315" xr:uid="{00000000-0005-0000-0000-0000D33B0000}"/>
    <cellStyle name="Normal 2 2 2 2 4 28 4 7" xfId="15316" xr:uid="{00000000-0005-0000-0000-0000D43B0000}"/>
    <cellStyle name="Normal 2 2 2 2 4 28 4 8" xfId="15317" xr:uid="{00000000-0005-0000-0000-0000D53B0000}"/>
    <cellStyle name="Normal 2 2 2 2 4 28 4 9" xfId="15318" xr:uid="{00000000-0005-0000-0000-0000D63B0000}"/>
    <cellStyle name="Normal 2 2 2 2 4 28 5" xfId="15319" xr:uid="{00000000-0005-0000-0000-0000D73B0000}"/>
    <cellStyle name="Normal 2 2 2 2 4 28 5 10" xfId="15320" xr:uid="{00000000-0005-0000-0000-0000D83B0000}"/>
    <cellStyle name="Normal 2 2 2 2 4 28 5 2" xfId="15321" xr:uid="{00000000-0005-0000-0000-0000D93B0000}"/>
    <cellStyle name="Normal 2 2 2 2 4 28 5 3" xfId="15322" xr:uid="{00000000-0005-0000-0000-0000DA3B0000}"/>
    <cellStyle name="Normal 2 2 2 2 4 28 5 4" xfId="15323" xr:uid="{00000000-0005-0000-0000-0000DB3B0000}"/>
    <cellStyle name="Normal 2 2 2 2 4 28 5 5" xfId="15324" xr:uid="{00000000-0005-0000-0000-0000DC3B0000}"/>
    <cellStyle name="Normal 2 2 2 2 4 28 5 6" xfId="15325" xr:uid="{00000000-0005-0000-0000-0000DD3B0000}"/>
    <cellStyle name="Normal 2 2 2 2 4 28 5 7" xfId="15326" xr:uid="{00000000-0005-0000-0000-0000DE3B0000}"/>
    <cellStyle name="Normal 2 2 2 2 4 28 5 8" xfId="15327" xr:uid="{00000000-0005-0000-0000-0000DF3B0000}"/>
    <cellStyle name="Normal 2 2 2 2 4 28 5 9" xfId="15328" xr:uid="{00000000-0005-0000-0000-0000E03B0000}"/>
    <cellStyle name="Normal 2 2 2 2 4 28 6" xfId="15329" xr:uid="{00000000-0005-0000-0000-0000E13B0000}"/>
    <cellStyle name="Normal 2 2 2 2 4 28 7" xfId="15330" xr:uid="{00000000-0005-0000-0000-0000E23B0000}"/>
    <cellStyle name="Normal 2 2 2 2 4 28 8" xfId="15331" xr:uid="{00000000-0005-0000-0000-0000E33B0000}"/>
    <cellStyle name="Normal 2 2 2 2 4 28 9" xfId="15332" xr:uid="{00000000-0005-0000-0000-0000E43B0000}"/>
    <cellStyle name="Normal 2 2 2 2 4 29" xfId="15333" xr:uid="{00000000-0005-0000-0000-0000E53B0000}"/>
    <cellStyle name="Normal 2 2 2 2 4 29 10" xfId="15334" xr:uid="{00000000-0005-0000-0000-0000E63B0000}"/>
    <cellStyle name="Normal 2 2 2 2 4 29 11" xfId="15335" xr:uid="{00000000-0005-0000-0000-0000E73B0000}"/>
    <cellStyle name="Normal 2 2 2 2 4 29 12" xfId="15336" xr:uid="{00000000-0005-0000-0000-0000E83B0000}"/>
    <cellStyle name="Normal 2 2 2 2 4 29 13" xfId="15337" xr:uid="{00000000-0005-0000-0000-0000E93B0000}"/>
    <cellStyle name="Normal 2 2 2 2 4 29 14" xfId="15338" xr:uid="{00000000-0005-0000-0000-0000EA3B0000}"/>
    <cellStyle name="Normal 2 2 2 2 4 29 2" xfId="15339" xr:uid="{00000000-0005-0000-0000-0000EB3B0000}"/>
    <cellStyle name="Normal 2 2 2 2 4 29 2 10" xfId="15340" xr:uid="{00000000-0005-0000-0000-0000EC3B0000}"/>
    <cellStyle name="Normal 2 2 2 2 4 29 2 2" xfId="15341" xr:uid="{00000000-0005-0000-0000-0000ED3B0000}"/>
    <cellStyle name="Normal 2 2 2 2 4 29 2 3" xfId="15342" xr:uid="{00000000-0005-0000-0000-0000EE3B0000}"/>
    <cellStyle name="Normal 2 2 2 2 4 29 2 4" xfId="15343" xr:uid="{00000000-0005-0000-0000-0000EF3B0000}"/>
    <cellStyle name="Normal 2 2 2 2 4 29 2 5" xfId="15344" xr:uid="{00000000-0005-0000-0000-0000F03B0000}"/>
    <cellStyle name="Normal 2 2 2 2 4 29 2 6" xfId="15345" xr:uid="{00000000-0005-0000-0000-0000F13B0000}"/>
    <cellStyle name="Normal 2 2 2 2 4 29 2 7" xfId="15346" xr:uid="{00000000-0005-0000-0000-0000F23B0000}"/>
    <cellStyle name="Normal 2 2 2 2 4 29 2 8" xfId="15347" xr:uid="{00000000-0005-0000-0000-0000F33B0000}"/>
    <cellStyle name="Normal 2 2 2 2 4 29 2 9" xfId="15348" xr:uid="{00000000-0005-0000-0000-0000F43B0000}"/>
    <cellStyle name="Normal 2 2 2 2 4 29 3" xfId="15349" xr:uid="{00000000-0005-0000-0000-0000F53B0000}"/>
    <cellStyle name="Normal 2 2 2 2 4 29 3 10" xfId="15350" xr:uid="{00000000-0005-0000-0000-0000F63B0000}"/>
    <cellStyle name="Normal 2 2 2 2 4 29 3 2" xfId="15351" xr:uid="{00000000-0005-0000-0000-0000F73B0000}"/>
    <cellStyle name="Normal 2 2 2 2 4 29 3 3" xfId="15352" xr:uid="{00000000-0005-0000-0000-0000F83B0000}"/>
    <cellStyle name="Normal 2 2 2 2 4 29 3 4" xfId="15353" xr:uid="{00000000-0005-0000-0000-0000F93B0000}"/>
    <cellStyle name="Normal 2 2 2 2 4 29 3 5" xfId="15354" xr:uid="{00000000-0005-0000-0000-0000FA3B0000}"/>
    <cellStyle name="Normal 2 2 2 2 4 29 3 6" xfId="15355" xr:uid="{00000000-0005-0000-0000-0000FB3B0000}"/>
    <cellStyle name="Normal 2 2 2 2 4 29 3 7" xfId="15356" xr:uid="{00000000-0005-0000-0000-0000FC3B0000}"/>
    <cellStyle name="Normal 2 2 2 2 4 29 3 8" xfId="15357" xr:uid="{00000000-0005-0000-0000-0000FD3B0000}"/>
    <cellStyle name="Normal 2 2 2 2 4 29 3 9" xfId="15358" xr:uid="{00000000-0005-0000-0000-0000FE3B0000}"/>
    <cellStyle name="Normal 2 2 2 2 4 29 4" xfId="15359" xr:uid="{00000000-0005-0000-0000-0000FF3B0000}"/>
    <cellStyle name="Normal 2 2 2 2 4 29 4 10" xfId="15360" xr:uid="{00000000-0005-0000-0000-0000003C0000}"/>
    <cellStyle name="Normal 2 2 2 2 4 29 4 2" xfId="15361" xr:uid="{00000000-0005-0000-0000-0000013C0000}"/>
    <cellStyle name="Normal 2 2 2 2 4 29 4 3" xfId="15362" xr:uid="{00000000-0005-0000-0000-0000023C0000}"/>
    <cellStyle name="Normal 2 2 2 2 4 29 4 4" xfId="15363" xr:uid="{00000000-0005-0000-0000-0000033C0000}"/>
    <cellStyle name="Normal 2 2 2 2 4 29 4 5" xfId="15364" xr:uid="{00000000-0005-0000-0000-0000043C0000}"/>
    <cellStyle name="Normal 2 2 2 2 4 29 4 6" xfId="15365" xr:uid="{00000000-0005-0000-0000-0000053C0000}"/>
    <cellStyle name="Normal 2 2 2 2 4 29 4 7" xfId="15366" xr:uid="{00000000-0005-0000-0000-0000063C0000}"/>
    <cellStyle name="Normal 2 2 2 2 4 29 4 8" xfId="15367" xr:uid="{00000000-0005-0000-0000-0000073C0000}"/>
    <cellStyle name="Normal 2 2 2 2 4 29 4 9" xfId="15368" xr:uid="{00000000-0005-0000-0000-0000083C0000}"/>
    <cellStyle name="Normal 2 2 2 2 4 29 5" xfId="15369" xr:uid="{00000000-0005-0000-0000-0000093C0000}"/>
    <cellStyle name="Normal 2 2 2 2 4 29 5 10" xfId="15370" xr:uid="{00000000-0005-0000-0000-00000A3C0000}"/>
    <cellStyle name="Normal 2 2 2 2 4 29 5 2" xfId="15371" xr:uid="{00000000-0005-0000-0000-00000B3C0000}"/>
    <cellStyle name="Normal 2 2 2 2 4 29 5 3" xfId="15372" xr:uid="{00000000-0005-0000-0000-00000C3C0000}"/>
    <cellStyle name="Normal 2 2 2 2 4 29 5 4" xfId="15373" xr:uid="{00000000-0005-0000-0000-00000D3C0000}"/>
    <cellStyle name="Normal 2 2 2 2 4 29 5 5" xfId="15374" xr:uid="{00000000-0005-0000-0000-00000E3C0000}"/>
    <cellStyle name="Normal 2 2 2 2 4 29 5 6" xfId="15375" xr:uid="{00000000-0005-0000-0000-00000F3C0000}"/>
    <cellStyle name="Normal 2 2 2 2 4 29 5 7" xfId="15376" xr:uid="{00000000-0005-0000-0000-0000103C0000}"/>
    <cellStyle name="Normal 2 2 2 2 4 29 5 8" xfId="15377" xr:uid="{00000000-0005-0000-0000-0000113C0000}"/>
    <cellStyle name="Normal 2 2 2 2 4 29 5 9" xfId="15378" xr:uid="{00000000-0005-0000-0000-0000123C0000}"/>
    <cellStyle name="Normal 2 2 2 2 4 29 6" xfId="15379" xr:uid="{00000000-0005-0000-0000-0000133C0000}"/>
    <cellStyle name="Normal 2 2 2 2 4 29 7" xfId="15380" xr:uid="{00000000-0005-0000-0000-0000143C0000}"/>
    <cellStyle name="Normal 2 2 2 2 4 29 8" xfId="15381" xr:uid="{00000000-0005-0000-0000-0000153C0000}"/>
    <cellStyle name="Normal 2 2 2 2 4 29 9" xfId="15382" xr:uid="{00000000-0005-0000-0000-0000163C0000}"/>
    <cellStyle name="Normal 2 2 2 2 4 3" xfId="15383" xr:uid="{00000000-0005-0000-0000-0000173C0000}"/>
    <cellStyle name="Normal 2 2 2 2 4 3 10" xfId="15384" xr:uid="{00000000-0005-0000-0000-0000183C0000}"/>
    <cellStyle name="Normal 2 2 2 2 4 3 11" xfId="15385" xr:uid="{00000000-0005-0000-0000-0000193C0000}"/>
    <cellStyle name="Normal 2 2 2 2 4 3 12" xfId="15386" xr:uid="{00000000-0005-0000-0000-00001A3C0000}"/>
    <cellStyle name="Normal 2 2 2 2 4 3 13" xfId="15387" xr:uid="{00000000-0005-0000-0000-00001B3C0000}"/>
    <cellStyle name="Normal 2 2 2 2 4 3 14" xfId="15388" xr:uid="{00000000-0005-0000-0000-00001C3C0000}"/>
    <cellStyle name="Normal 2 2 2 2 4 3 2" xfId="15389" xr:uid="{00000000-0005-0000-0000-00001D3C0000}"/>
    <cellStyle name="Normal 2 2 2 2 4 3 2 10" xfId="15390" xr:uid="{00000000-0005-0000-0000-00001E3C0000}"/>
    <cellStyle name="Normal 2 2 2 2 4 3 2 2" xfId="15391" xr:uid="{00000000-0005-0000-0000-00001F3C0000}"/>
    <cellStyle name="Normal 2 2 2 2 4 3 2 3" xfId="15392" xr:uid="{00000000-0005-0000-0000-0000203C0000}"/>
    <cellStyle name="Normal 2 2 2 2 4 3 2 4" xfId="15393" xr:uid="{00000000-0005-0000-0000-0000213C0000}"/>
    <cellStyle name="Normal 2 2 2 2 4 3 2 5" xfId="15394" xr:uid="{00000000-0005-0000-0000-0000223C0000}"/>
    <cellStyle name="Normal 2 2 2 2 4 3 2 6" xfId="15395" xr:uid="{00000000-0005-0000-0000-0000233C0000}"/>
    <cellStyle name="Normal 2 2 2 2 4 3 2 7" xfId="15396" xr:uid="{00000000-0005-0000-0000-0000243C0000}"/>
    <cellStyle name="Normal 2 2 2 2 4 3 2 8" xfId="15397" xr:uid="{00000000-0005-0000-0000-0000253C0000}"/>
    <cellStyle name="Normal 2 2 2 2 4 3 2 9" xfId="15398" xr:uid="{00000000-0005-0000-0000-0000263C0000}"/>
    <cellStyle name="Normal 2 2 2 2 4 3 3" xfId="15399" xr:uid="{00000000-0005-0000-0000-0000273C0000}"/>
    <cellStyle name="Normal 2 2 2 2 4 3 3 10" xfId="15400" xr:uid="{00000000-0005-0000-0000-0000283C0000}"/>
    <cellStyle name="Normal 2 2 2 2 4 3 3 2" xfId="15401" xr:uid="{00000000-0005-0000-0000-0000293C0000}"/>
    <cellStyle name="Normal 2 2 2 2 4 3 3 3" xfId="15402" xr:uid="{00000000-0005-0000-0000-00002A3C0000}"/>
    <cellStyle name="Normal 2 2 2 2 4 3 3 4" xfId="15403" xr:uid="{00000000-0005-0000-0000-00002B3C0000}"/>
    <cellStyle name="Normal 2 2 2 2 4 3 3 5" xfId="15404" xr:uid="{00000000-0005-0000-0000-00002C3C0000}"/>
    <cellStyle name="Normal 2 2 2 2 4 3 3 6" xfId="15405" xr:uid="{00000000-0005-0000-0000-00002D3C0000}"/>
    <cellStyle name="Normal 2 2 2 2 4 3 3 7" xfId="15406" xr:uid="{00000000-0005-0000-0000-00002E3C0000}"/>
    <cellStyle name="Normal 2 2 2 2 4 3 3 8" xfId="15407" xr:uid="{00000000-0005-0000-0000-00002F3C0000}"/>
    <cellStyle name="Normal 2 2 2 2 4 3 3 9" xfId="15408" xr:uid="{00000000-0005-0000-0000-0000303C0000}"/>
    <cellStyle name="Normal 2 2 2 2 4 3 4" xfId="15409" xr:uid="{00000000-0005-0000-0000-0000313C0000}"/>
    <cellStyle name="Normal 2 2 2 2 4 3 4 10" xfId="15410" xr:uid="{00000000-0005-0000-0000-0000323C0000}"/>
    <cellStyle name="Normal 2 2 2 2 4 3 4 2" xfId="15411" xr:uid="{00000000-0005-0000-0000-0000333C0000}"/>
    <cellStyle name="Normal 2 2 2 2 4 3 4 3" xfId="15412" xr:uid="{00000000-0005-0000-0000-0000343C0000}"/>
    <cellStyle name="Normal 2 2 2 2 4 3 4 4" xfId="15413" xr:uid="{00000000-0005-0000-0000-0000353C0000}"/>
    <cellStyle name="Normal 2 2 2 2 4 3 4 5" xfId="15414" xr:uid="{00000000-0005-0000-0000-0000363C0000}"/>
    <cellStyle name="Normal 2 2 2 2 4 3 4 6" xfId="15415" xr:uid="{00000000-0005-0000-0000-0000373C0000}"/>
    <cellStyle name="Normal 2 2 2 2 4 3 4 7" xfId="15416" xr:uid="{00000000-0005-0000-0000-0000383C0000}"/>
    <cellStyle name="Normal 2 2 2 2 4 3 4 8" xfId="15417" xr:uid="{00000000-0005-0000-0000-0000393C0000}"/>
    <cellStyle name="Normal 2 2 2 2 4 3 4 9" xfId="15418" xr:uid="{00000000-0005-0000-0000-00003A3C0000}"/>
    <cellStyle name="Normal 2 2 2 2 4 3 5" xfId="15419" xr:uid="{00000000-0005-0000-0000-00003B3C0000}"/>
    <cellStyle name="Normal 2 2 2 2 4 3 5 10" xfId="15420" xr:uid="{00000000-0005-0000-0000-00003C3C0000}"/>
    <cellStyle name="Normal 2 2 2 2 4 3 5 2" xfId="15421" xr:uid="{00000000-0005-0000-0000-00003D3C0000}"/>
    <cellStyle name="Normal 2 2 2 2 4 3 5 3" xfId="15422" xr:uid="{00000000-0005-0000-0000-00003E3C0000}"/>
    <cellStyle name="Normal 2 2 2 2 4 3 5 4" xfId="15423" xr:uid="{00000000-0005-0000-0000-00003F3C0000}"/>
    <cellStyle name="Normal 2 2 2 2 4 3 5 5" xfId="15424" xr:uid="{00000000-0005-0000-0000-0000403C0000}"/>
    <cellStyle name="Normal 2 2 2 2 4 3 5 6" xfId="15425" xr:uid="{00000000-0005-0000-0000-0000413C0000}"/>
    <cellStyle name="Normal 2 2 2 2 4 3 5 7" xfId="15426" xr:uid="{00000000-0005-0000-0000-0000423C0000}"/>
    <cellStyle name="Normal 2 2 2 2 4 3 5 8" xfId="15427" xr:uid="{00000000-0005-0000-0000-0000433C0000}"/>
    <cellStyle name="Normal 2 2 2 2 4 3 5 9" xfId="15428" xr:uid="{00000000-0005-0000-0000-0000443C0000}"/>
    <cellStyle name="Normal 2 2 2 2 4 3 6" xfId="15429" xr:uid="{00000000-0005-0000-0000-0000453C0000}"/>
    <cellStyle name="Normal 2 2 2 2 4 3 7" xfId="15430" xr:uid="{00000000-0005-0000-0000-0000463C0000}"/>
    <cellStyle name="Normal 2 2 2 2 4 3 8" xfId="15431" xr:uid="{00000000-0005-0000-0000-0000473C0000}"/>
    <cellStyle name="Normal 2 2 2 2 4 3 9" xfId="15432" xr:uid="{00000000-0005-0000-0000-0000483C0000}"/>
    <cellStyle name="Normal 2 2 2 2 4 30" xfId="15433" xr:uid="{00000000-0005-0000-0000-0000493C0000}"/>
    <cellStyle name="Normal 2 2 2 2 4 30 10" xfId="15434" xr:uid="{00000000-0005-0000-0000-00004A3C0000}"/>
    <cellStyle name="Normal 2 2 2 2 4 30 11" xfId="15435" xr:uid="{00000000-0005-0000-0000-00004B3C0000}"/>
    <cellStyle name="Normal 2 2 2 2 4 30 12" xfId="15436" xr:uid="{00000000-0005-0000-0000-00004C3C0000}"/>
    <cellStyle name="Normal 2 2 2 2 4 30 13" xfId="15437" xr:uid="{00000000-0005-0000-0000-00004D3C0000}"/>
    <cellStyle name="Normal 2 2 2 2 4 30 14" xfId="15438" xr:uid="{00000000-0005-0000-0000-00004E3C0000}"/>
    <cellStyle name="Normal 2 2 2 2 4 30 2" xfId="15439" xr:uid="{00000000-0005-0000-0000-00004F3C0000}"/>
    <cellStyle name="Normal 2 2 2 2 4 30 2 10" xfId="15440" xr:uid="{00000000-0005-0000-0000-0000503C0000}"/>
    <cellStyle name="Normal 2 2 2 2 4 30 2 2" xfId="15441" xr:uid="{00000000-0005-0000-0000-0000513C0000}"/>
    <cellStyle name="Normal 2 2 2 2 4 30 2 3" xfId="15442" xr:uid="{00000000-0005-0000-0000-0000523C0000}"/>
    <cellStyle name="Normal 2 2 2 2 4 30 2 4" xfId="15443" xr:uid="{00000000-0005-0000-0000-0000533C0000}"/>
    <cellStyle name="Normal 2 2 2 2 4 30 2 5" xfId="15444" xr:uid="{00000000-0005-0000-0000-0000543C0000}"/>
    <cellStyle name="Normal 2 2 2 2 4 30 2 6" xfId="15445" xr:uid="{00000000-0005-0000-0000-0000553C0000}"/>
    <cellStyle name="Normal 2 2 2 2 4 30 2 7" xfId="15446" xr:uid="{00000000-0005-0000-0000-0000563C0000}"/>
    <cellStyle name="Normal 2 2 2 2 4 30 2 8" xfId="15447" xr:uid="{00000000-0005-0000-0000-0000573C0000}"/>
    <cellStyle name="Normal 2 2 2 2 4 30 2 9" xfId="15448" xr:uid="{00000000-0005-0000-0000-0000583C0000}"/>
    <cellStyle name="Normal 2 2 2 2 4 30 3" xfId="15449" xr:uid="{00000000-0005-0000-0000-0000593C0000}"/>
    <cellStyle name="Normal 2 2 2 2 4 30 3 10" xfId="15450" xr:uid="{00000000-0005-0000-0000-00005A3C0000}"/>
    <cellStyle name="Normal 2 2 2 2 4 30 3 2" xfId="15451" xr:uid="{00000000-0005-0000-0000-00005B3C0000}"/>
    <cellStyle name="Normal 2 2 2 2 4 30 3 3" xfId="15452" xr:uid="{00000000-0005-0000-0000-00005C3C0000}"/>
    <cellStyle name="Normal 2 2 2 2 4 30 3 4" xfId="15453" xr:uid="{00000000-0005-0000-0000-00005D3C0000}"/>
    <cellStyle name="Normal 2 2 2 2 4 30 3 5" xfId="15454" xr:uid="{00000000-0005-0000-0000-00005E3C0000}"/>
    <cellStyle name="Normal 2 2 2 2 4 30 3 6" xfId="15455" xr:uid="{00000000-0005-0000-0000-00005F3C0000}"/>
    <cellStyle name="Normal 2 2 2 2 4 30 3 7" xfId="15456" xr:uid="{00000000-0005-0000-0000-0000603C0000}"/>
    <cellStyle name="Normal 2 2 2 2 4 30 3 8" xfId="15457" xr:uid="{00000000-0005-0000-0000-0000613C0000}"/>
    <cellStyle name="Normal 2 2 2 2 4 30 3 9" xfId="15458" xr:uid="{00000000-0005-0000-0000-0000623C0000}"/>
    <cellStyle name="Normal 2 2 2 2 4 30 4" xfId="15459" xr:uid="{00000000-0005-0000-0000-0000633C0000}"/>
    <cellStyle name="Normal 2 2 2 2 4 30 4 10" xfId="15460" xr:uid="{00000000-0005-0000-0000-0000643C0000}"/>
    <cellStyle name="Normal 2 2 2 2 4 30 4 2" xfId="15461" xr:uid="{00000000-0005-0000-0000-0000653C0000}"/>
    <cellStyle name="Normal 2 2 2 2 4 30 4 3" xfId="15462" xr:uid="{00000000-0005-0000-0000-0000663C0000}"/>
    <cellStyle name="Normal 2 2 2 2 4 30 4 4" xfId="15463" xr:uid="{00000000-0005-0000-0000-0000673C0000}"/>
    <cellStyle name="Normal 2 2 2 2 4 30 4 5" xfId="15464" xr:uid="{00000000-0005-0000-0000-0000683C0000}"/>
    <cellStyle name="Normal 2 2 2 2 4 30 4 6" xfId="15465" xr:uid="{00000000-0005-0000-0000-0000693C0000}"/>
    <cellStyle name="Normal 2 2 2 2 4 30 4 7" xfId="15466" xr:uid="{00000000-0005-0000-0000-00006A3C0000}"/>
    <cellStyle name="Normal 2 2 2 2 4 30 4 8" xfId="15467" xr:uid="{00000000-0005-0000-0000-00006B3C0000}"/>
    <cellStyle name="Normal 2 2 2 2 4 30 4 9" xfId="15468" xr:uid="{00000000-0005-0000-0000-00006C3C0000}"/>
    <cellStyle name="Normal 2 2 2 2 4 30 5" xfId="15469" xr:uid="{00000000-0005-0000-0000-00006D3C0000}"/>
    <cellStyle name="Normal 2 2 2 2 4 30 5 10" xfId="15470" xr:uid="{00000000-0005-0000-0000-00006E3C0000}"/>
    <cellStyle name="Normal 2 2 2 2 4 30 5 2" xfId="15471" xr:uid="{00000000-0005-0000-0000-00006F3C0000}"/>
    <cellStyle name="Normal 2 2 2 2 4 30 5 3" xfId="15472" xr:uid="{00000000-0005-0000-0000-0000703C0000}"/>
    <cellStyle name="Normal 2 2 2 2 4 30 5 4" xfId="15473" xr:uid="{00000000-0005-0000-0000-0000713C0000}"/>
    <cellStyle name="Normal 2 2 2 2 4 30 5 5" xfId="15474" xr:uid="{00000000-0005-0000-0000-0000723C0000}"/>
    <cellStyle name="Normal 2 2 2 2 4 30 5 6" xfId="15475" xr:uid="{00000000-0005-0000-0000-0000733C0000}"/>
    <cellStyle name="Normal 2 2 2 2 4 30 5 7" xfId="15476" xr:uid="{00000000-0005-0000-0000-0000743C0000}"/>
    <cellStyle name="Normal 2 2 2 2 4 30 5 8" xfId="15477" xr:uid="{00000000-0005-0000-0000-0000753C0000}"/>
    <cellStyle name="Normal 2 2 2 2 4 30 5 9" xfId="15478" xr:uid="{00000000-0005-0000-0000-0000763C0000}"/>
    <cellStyle name="Normal 2 2 2 2 4 30 6" xfId="15479" xr:uid="{00000000-0005-0000-0000-0000773C0000}"/>
    <cellStyle name="Normal 2 2 2 2 4 30 7" xfId="15480" xr:uid="{00000000-0005-0000-0000-0000783C0000}"/>
    <cellStyle name="Normal 2 2 2 2 4 30 8" xfId="15481" xr:uid="{00000000-0005-0000-0000-0000793C0000}"/>
    <cellStyle name="Normal 2 2 2 2 4 30 9" xfId="15482" xr:uid="{00000000-0005-0000-0000-00007A3C0000}"/>
    <cellStyle name="Normal 2 2 2 2 4 31" xfId="15483" xr:uid="{00000000-0005-0000-0000-00007B3C0000}"/>
    <cellStyle name="Normal 2 2 2 2 4 31 10" xfId="15484" xr:uid="{00000000-0005-0000-0000-00007C3C0000}"/>
    <cellStyle name="Normal 2 2 2 2 4 31 11" xfId="15485" xr:uid="{00000000-0005-0000-0000-00007D3C0000}"/>
    <cellStyle name="Normal 2 2 2 2 4 31 12" xfId="15486" xr:uid="{00000000-0005-0000-0000-00007E3C0000}"/>
    <cellStyle name="Normal 2 2 2 2 4 31 13" xfId="15487" xr:uid="{00000000-0005-0000-0000-00007F3C0000}"/>
    <cellStyle name="Normal 2 2 2 2 4 31 14" xfId="15488" xr:uid="{00000000-0005-0000-0000-0000803C0000}"/>
    <cellStyle name="Normal 2 2 2 2 4 31 2" xfId="15489" xr:uid="{00000000-0005-0000-0000-0000813C0000}"/>
    <cellStyle name="Normal 2 2 2 2 4 31 2 10" xfId="15490" xr:uid="{00000000-0005-0000-0000-0000823C0000}"/>
    <cellStyle name="Normal 2 2 2 2 4 31 2 2" xfId="15491" xr:uid="{00000000-0005-0000-0000-0000833C0000}"/>
    <cellStyle name="Normal 2 2 2 2 4 31 2 3" xfId="15492" xr:uid="{00000000-0005-0000-0000-0000843C0000}"/>
    <cellStyle name="Normal 2 2 2 2 4 31 2 4" xfId="15493" xr:uid="{00000000-0005-0000-0000-0000853C0000}"/>
    <cellStyle name="Normal 2 2 2 2 4 31 2 5" xfId="15494" xr:uid="{00000000-0005-0000-0000-0000863C0000}"/>
    <cellStyle name="Normal 2 2 2 2 4 31 2 6" xfId="15495" xr:uid="{00000000-0005-0000-0000-0000873C0000}"/>
    <cellStyle name="Normal 2 2 2 2 4 31 2 7" xfId="15496" xr:uid="{00000000-0005-0000-0000-0000883C0000}"/>
    <cellStyle name="Normal 2 2 2 2 4 31 2 8" xfId="15497" xr:uid="{00000000-0005-0000-0000-0000893C0000}"/>
    <cellStyle name="Normal 2 2 2 2 4 31 2 9" xfId="15498" xr:uid="{00000000-0005-0000-0000-00008A3C0000}"/>
    <cellStyle name="Normal 2 2 2 2 4 31 3" xfId="15499" xr:uid="{00000000-0005-0000-0000-00008B3C0000}"/>
    <cellStyle name="Normal 2 2 2 2 4 31 3 10" xfId="15500" xr:uid="{00000000-0005-0000-0000-00008C3C0000}"/>
    <cellStyle name="Normal 2 2 2 2 4 31 3 2" xfId="15501" xr:uid="{00000000-0005-0000-0000-00008D3C0000}"/>
    <cellStyle name="Normal 2 2 2 2 4 31 3 3" xfId="15502" xr:uid="{00000000-0005-0000-0000-00008E3C0000}"/>
    <cellStyle name="Normal 2 2 2 2 4 31 3 4" xfId="15503" xr:uid="{00000000-0005-0000-0000-00008F3C0000}"/>
    <cellStyle name="Normal 2 2 2 2 4 31 3 5" xfId="15504" xr:uid="{00000000-0005-0000-0000-0000903C0000}"/>
    <cellStyle name="Normal 2 2 2 2 4 31 3 6" xfId="15505" xr:uid="{00000000-0005-0000-0000-0000913C0000}"/>
    <cellStyle name="Normal 2 2 2 2 4 31 3 7" xfId="15506" xr:uid="{00000000-0005-0000-0000-0000923C0000}"/>
    <cellStyle name="Normal 2 2 2 2 4 31 3 8" xfId="15507" xr:uid="{00000000-0005-0000-0000-0000933C0000}"/>
    <cellStyle name="Normal 2 2 2 2 4 31 3 9" xfId="15508" xr:uid="{00000000-0005-0000-0000-0000943C0000}"/>
    <cellStyle name="Normal 2 2 2 2 4 31 4" xfId="15509" xr:uid="{00000000-0005-0000-0000-0000953C0000}"/>
    <cellStyle name="Normal 2 2 2 2 4 31 4 10" xfId="15510" xr:uid="{00000000-0005-0000-0000-0000963C0000}"/>
    <cellStyle name="Normal 2 2 2 2 4 31 4 2" xfId="15511" xr:uid="{00000000-0005-0000-0000-0000973C0000}"/>
    <cellStyle name="Normal 2 2 2 2 4 31 4 3" xfId="15512" xr:uid="{00000000-0005-0000-0000-0000983C0000}"/>
    <cellStyle name="Normal 2 2 2 2 4 31 4 4" xfId="15513" xr:uid="{00000000-0005-0000-0000-0000993C0000}"/>
    <cellStyle name="Normal 2 2 2 2 4 31 4 5" xfId="15514" xr:uid="{00000000-0005-0000-0000-00009A3C0000}"/>
    <cellStyle name="Normal 2 2 2 2 4 31 4 6" xfId="15515" xr:uid="{00000000-0005-0000-0000-00009B3C0000}"/>
    <cellStyle name="Normal 2 2 2 2 4 31 4 7" xfId="15516" xr:uid="{00000000-0005-0000-0000-00009C3C0000}"/>
    <cellStyle name="Normal 2 2 2 2 4 31 4 8" xfId="15517" xr:uid="{00000000-0005-0000-0000-00009D3C0000}"/>
    <cellStyle name="Normal 2 2 2 2 4 31 4 9" xfId="15518" xr:uid="{00000000-0005-0000-0000-00009E3C0000}"/>
    <cellStyle name="Normal 2 2 2 2 4 31 5" xfId="15519" xr:uid="{00000000-0005-0000-0000-00009F3C0000}"/>
    <cellStyle name="Normal 2 2 2 2 4 31 5 10" xfId="15520" xr:uid="{00000000-0005-0000-0000-0000A03C0000}"/>
    <cellStyle name="Normal 2 2 2 2 4 31 5 2" xfId="15521" xr:uid="{00000000-0005-0000-0000-0000A13C0000}"/>
    <cellStyle name="Normal 2 2 2 2 4 31 5 3" xfId="15522" xr:uid="{00000000-0005-0000-0000-0000A23C0000}"/>
    <cellStyle name="Normal 2 2 2 2 4 31 5 4" xfId="15523" xr:uid="{00000000-0005-0000-0000-0000A33C0000}"/>
    <cellStyle name="Normal 2 2 2 2 4 31 5 5" xfId="15524" xr:uid="{00000000-0005-0000-0000-0000A43C0000}"/>
    <cellStyle name="Normal 2 2 2 2 4 31 5 6" xfId="15525" xr:uid="{00000000-0005-0000-0000-0000A53C0000}"/>
    <cellStyle name="Normal 2 2 2 2 4 31 5 7" xfId="15526" xr:uid="{00000000-0005-0000-0000-0000A63C0000}"/>
    <cellStyle name="Normal 2 2 2 2 4 31 5 8" xfId="15527" xr:uid="{00000000-0005-0000-0000-0000A73C0000}"/>
    <cellStyle name="Normal 2 2 2 2 4 31 5 9" xfId="15528" xr:uid="{00000000-0005-0000-0000-0000A83C0000}"/>
    <cellStyle name="Normal 2 2 2 2 4 31 6" xfId="15529" xr:uid="{00000000-0005-0000-0000-0000A93C0000}"/>
    <cellStyle name="Normal 2 2 2 2 4 31 7" xfId="15530" xr:uid="{00000000-0005-0000-0000-0000AA3C0000}"/>
    <cellStyle name="Normal 2 2 2 2 4 31 8" xfId="15531" xr:uid="{00000000-0005-0000-0000-0000AB3C0000}"/>
    <cellStyle name="Normal 2 2 2 2 4 31 9" xfId="15532" xr:uid="{00000000-0005-0000-0000-0000AC3C0000}"/>
    <cellStyle name="Normal 2 2 2 2 4 32" xfId="15533" xr:uid="{00000000-0005-0000-0000-0000AD3C0000}"/>
    <cellStyle name="Normal 2 2 2 2 4 32 10" xfId="15534" xr:uid="{00000000-0005-0000-0000-0000AE3C0000}"/>
    <cellStyle name="Normal 2 2 2 2 4 32 11" xfId="15535" xr:uid="{00000000-0005-0000-0000-0000AF3C0000}"/>
    <cellStyle name="Normal 2 2 2 2 4 32 12" xfId="15536" xr:uid="{00000000-0005-0000-0000-0000B03C0000}"/>
    <cellStyle name="Normal 2 2 2 2 4 32 13" xfId="15537" xr:uid="{00000000-0005-0000-0000-0000B13C0000}"/>
    <cellStyle name="Normal 2 2 2 2 4 32 14" xfId="15538" xr:uid="{00000000-0005-0000-0000-0000B23C0000}"/>
    <cellStyle name="Normal 2 2 2 2 4 32 2" xfId="15539" xr:uid="{00000000-0005-0000-0000-0000B33C0000}"/>
    <cellStyle name="Normal 2 2 2 2 4 32 2 10" xfId="15540" xr:uid="{00000000-0005-0000-0000-0000B43C0000}"/>
    <cellStyle name="Normal 2 2 2 2 4 32 2 2" xfId="15541" xr:uid="{00000000-0005-0000-0000-0000B53C0000}"/>
    <cellStyle name="Normal 2 2 2 2 4 32 2 3" xfId="15542" xr:uid="{00000000-0005-0000-0000-0000B63C0000}"/>
    <cellStyle name="Normal 2 2 2 2 4 32 2 4" xfId="15543" xr:uid="{00000000-0005-0000-0000-0000B73C0000}"/>
    <cellStyle name="Normal 2 2 2 2 4 32 2 5" xfId="15544" xr:uid="{00000000-0005-0000-0000-0000B83C0000}"/>
    <cellStyle name="Normal 2 2 2 2 4 32 2 6" xfId="15545" xr:uid="{00000000-0005-0000-0000-0000B93C0000}"/>
    <cellStyle name="Normal 2 2 2 2 4 32 2 7" xfId="15546" xr:uid="{00000000-0005-0000-0000-0000BA3C0000}"/>
    <cellStyle name="Normal 2 2 2 2 4 32 2 8" xfId="15547" xr:uid="{00000000-0005-0000-0000-0000BB3C0000}"/>
    <cellStyle name="Normal 2 2 2 2 4 32 2 9" xfId="15548" xr:uid="{00000000-0005-0000-0000-0000BC3C0000}"/>
    <cellStyle name="Normal 2 2 2 2 4 32 3" xfId="15549" xr:uid="{00000000-0005-0000-0000-0000BD3C0000}"/>
    <cellStyle name="Normal 2 2 2 2 4 32 3 10" xfId="15550" xr:uid="{00000000-0005-0000-0000-0000BE3C0000}"/>
    <cellStyle name="Normal 2 2 2 2 4 32 3 2" xfId="15551" xr:uid="{00000000-0005-0000-0000-0000BF3C0000}"/>
    <cellStyle name="Normal 2 2 2 2 4 32 3 3" xfId="15552" xr:uid="{00000000-0005-0000-0000-0000C03C0000}"/>
    <cellStyle name="Normal 2 2 2 2 4 32 3 4" xfId="15553" xr:uid="{00000000-0005-0000-0000-0000C13C0000}"/>
    <cellStyle name="Normal 2 2 2 2 4 32 3 5" xfId="15554" xr:uid="{00000000-0005-0000-0000-0000C23C0000}"/>
    <cellStyle name="Normal 2 2 2 2 4 32 3 6" xfId="15555" xr:uid="{00000000-0005-0000-0000-0000C33C0000}"/>
    <cellStyle name="Normal 2 2 2 2 4 32 3 7" xfId="15556" xr:uid="{00000000-0005-0000-0000-0000C43C0000}"/>
    <cellStyle name="Normal 2 2 2 2 4 32 3 8" xfId="15557" xr:uid="{00000000-0005-0000-0000-0000C53C0000}"/>
    <cellStyle name="Normal 2 2 2 2 4 32 3 9" xfId="15558" xr:uid="{00000000-0005-0000-0000-0000C63C0000}"/>
    <cellStyle name="Normal 2 2 2 2 4 32 4" xfId="15559" xr:uid="{00000000-0005-0000-0000-0000C73C0000}"/>
    <cellStyle name="Normal 2 2 2 2 4 32 4 10" xfId="15560" xr:uid="{00000000-0005-0000-0000-0000C83C0000}"/>
    <cellStyle name="Normal 2 2 2 2 4 32 4 2" xfId="15561" xr:uid="{00000000-0005-0000-0000-0000C93C0000}"/>
    <cellStyle name="Normal 2 2 2 2 4 32 4 3" xfId="15562" xr:uid="{00000000-0005-0000-0000-0000CA3C0000}"/>
    <cellStyle name="Normal 2 2 2 2 4 32 4 4" xfId="15563" xr:uid="{00000000-0005-0000-0000-0000CB3C0000}"/>
    <cellStyle name="Normal 2 2 2 2 4 32 4 5" xfId="15564" xr:uid="{00000000-0005-0000-0000-0000CC3C0000}"/>
    <cellStyle name="Normal 2 2 2 2 4 32 4 6" xfId="15565" xr:uid="{00000000-0005-0000-0000-0000CD3C0000}"/>
    <cellStyle name="Normal 2 2 2 2 4 32 4 7" xfId="15566" xr:uid="{00000000-0005-0000-0000-0000CE3C0000}"/>
    <cellStyle name="Normal 2 2 2 2 4 32 4 8" xfId="15567" xr:uid="{00000000-0005-0000-0000-0000CF3C0000}"/>
    <cellStyle name="Normal 2 2 2 2 4 32 4 9" xfId="15568" xr:uid="{00000000-0005-0000-0000-0000D03C0000}"/>
    <cellStyle name="Normal 2 2 2 2 4 32 5" xfId="15569" xr:uid="{00000000-0005-0000-0000-0000D13C0000}"/>
    <cellStyle name="Normal 2 2 2 2 4 32 5 10" xfId="15570" xr:uid="{00000000-0005-0000-0000-0000D23C0000}"/>
    <cellStyle name="Normal 2 2 2 2 4 32 5 2" xfId="15571" xr:uid="{00000000-0005-0000-0000-0000D33C0000}"/>
    <cellStyle name="Normal 2 2 2 2 4 32 5 3" xfId="15572" xr:uid="{00000000-0005-0000-0000-0000D43C0000}"/>
    <cellStyle name="Normal 2 2 2 2 4 32 5 4" xfId="15573" xr:uid="{00000000-0005-0000-0000-0000D53C0000}"/>
    <cellStyle name="Normal 2 2 2 2 4 32 5 5" xfId="15574" xr:uid="{00000000-0005-0000-0000-0000D63C0000}"/>
    <cellStyle name="Normal 2 2 2 2 4 32 5 6" xfId="15575" xr:uid="{00000000-0005-0000-0000-0000D73C0000}"/>
    <cellStyle name="Normal 2 2 2 2 4 32 5 7" xfId="15576" xr:uid="{00000000-0005-0000-0000-0000D83C0000}"/>
    <cellStyle name="Normal 2 2 2 2 4 32 5 8" xfId="15577" xr:uid="{00000000-0005-0000-0000-0000D93C0000}"/>
    <cellStyle name="Normal 2 2 2 2 4 32 5 9" xfId="15578" xr:uid="{00000000-0005-0000-0000-0000DA3C0000}"/>
    <cellStyle name="Normal 2 2 2 2 4 32 6" xfId="15579" xr:uid="{00000000-0005-0000-0000-0000DB3C0000}"/>
    <cellStyle name="Normal 2 2 2 2 4 32 7" xfId="15580" xr:uid="{00000000-0005-0000-0000-0000DC3C0000}"/>
    <cellStyle name="Normal 2 2 2 2 4 32 8" xfId="15581" xr:uid="{00000000-0005-0000-0000-0000DD3C0000}"/>
    <cellStyle name="Normal 2 2 2 2 4 32 9" xfId="15582" xr:uid="{00000000-0005-0000-0000-0000DE3C0000}"/>
    <cellStyle name="Normal 2 2 2 2 4 33" xfId="15583" xr:uid="{00000000-0005-0000-0000-0000DF3C0000}"/>
    <cellStyle name="Normal 2 2 2 2 4 33 10" xfId="15584" xr:uid="{00000000-0005-0000-0000-0000E03C0000}"/>
    <cellStyle name="Normal 2 2 2 2 4 33 11" xfId="15585" xr:uid="{00000000-0005-0000-0000-0000E13C0000}"/>
    <cellStyle name="Normal 2 2 2 2 4 33 12" xfId="15586" xr:uid="{00000000-0005-0000-0000-0000E23C0000}"/>
    <cellStyle name="Normal 2 2 2 2 4 33 13" xfId="15587" xr:uid="{00000000-0005-0000-0000-0000E33C0000}"/>
    <cellStyle name="Normal 2 2 2 2 4 33 14" xfId="15588" xr:uid="{00000000-0005-0000-0000-0000E43C0000}"/>
    <cellStyle name="Normal 2 2 2 2 4 33 2" xfId="15589" xr:uid="{00000000-0005-0000-0000-0000E53C0000}"/>
    <cellStyle name="Normal 2 2 2 2 4 33 2 10" xfId="15590" xr:uid="{00000000-0005-0000-0000-0000E63C0000}"/>
    <cellStyle name="Normal 2 2 2 2 4 33 2 2" xfId="15591" xr:uid="{00000000-0005-0000-0000-0000E73C0000}"/>
    <cellStyle name="Normal 2 2 2 2 4 33 2 3" xfId="15592" xr:uid="{00000000-0005-0000-0000-0000E83C0000}"/>
    <cellStyle name="Normal 2 2 2 2 4 33 2 4" xfId="15593" xr:uid="{00000000-0005-0000-0000-0000E93C0000}"/>
    <cellStyle name="Normal 2 2 2 2 4 33 2 5" xfId="15594" xr:uid="{00000000-0005-0000-0000-0000EA3C0000}"/>
    <cellStyle name="Normal 2 2 2 2 4 33 2 6" xfId="15595" xr:uid="{00000000-0005-0000-0000-0000EB3C0000}"/>
    <cellStyle name="Normal 2 2 2 2 4 33 2 7" xfId="15596" xr:uid="{00000000-0005-0000-0000-0000EC3C0000}"/>
    <cellStyle name="Normal 2 2 2 2 4 33 2 8" xfId="15597" xr:uid="{00000000-0005-0000-0000-0000ED3C0000}"/>
    <cellStyle name="Normal 2 2 2 2 4 33 2 9" xfId="15598" xr:uid="{00000000-0005-0000-0000-0000EE3C0000}"/>
    <cellStyle name="Normal 2 2 2 2 4 33 3" xfId="15599" xr:uid="{00000000-0005-0000-0000-0000EF3C0000}"/>
    <cellStyle name="Normal 2 2 2 2 4 33 3 10" xfId="15600" xr:uid="{00000000-0005-0000-0000-0000F03C0000}"/>
    <cellStyle name="Normal 2 2 2 2 4 33 3 2" xfId="15601" xr:uid="{00000000-0005-0000-0000-0000F13C0000}"/>
    <cellStyle name="Normal 2 2 2 2 4 33 3 3" xfId="15602" xr:uid="{00000000-0005-0000-0000-0000F23C0000}"/>
    <cellStyle name="Normal 2 2 2 2 4 33 3 4" xfId="15603" xr:uid="{00000000-0005-0000-0000-0000F33C0000}"/>
    <cellStyle name="Normal 2 2 2 2 4 33 3 5" xfId="15604" xr:uid="{00000000-0005-0000-0000-0000F43C0000}"/>
    <cellStyle name="Normal 2 2 2 2 4 33 3 6" xfId="15605" xr:uid="{00000000-0005-0000-0000-0000F53C0000}"/>
    <cellStyle name="Normal 2 2 2 2 4 33 3 7" xfId="15606" xr:uid="{00000000-0005-0000-0000-0000F63C0000}"/>
    <cellStyle name="Normal 2 2 2 2 4 33 3 8" xfId="15607" xr:uid="{00000000-0005-0000-0000-0000F73C0000}"/>
    <cellStyle name="Normal 2 2 2 2 4 33 3 9" xfId="15608" xr:uid="{00000000-0005-0000-0000-0000F83C0000}"/>
    <cellStyle name="Normal 2 2 2 2 4 33 4" xfId="15609" xr:uid="{00000000-0005-0000-0000-0000F93C0000}"/>
    <cellStyle name="Normal 2 2 2 2 4 33 4 10" xfId="15610" xr:uid="{00000000-0005-0000-0000-0000FA3C0000}"/>
    <cellStyle name="Normal 2 2 2 2 4 33 4 2" xfId="15611" xr:uid="{00000000-0005-0000-0000-0000FB3C0000}"/>
    <cellStyle name="Normal 2 2 2 2 4 33 4 3" xfId="15612" xr:uid="{00000000-0005-0000-0000-0000FC3C0000}"/>
    <cellStyle name="Normal 2 2 2 2 4 33 4 4" xfId="15613" xr:uid="{00000000-0005-0000-0000-0000FD3C0000}"/>
    <cellStyle name="Normal 2 2 2 2 4 33 4 5" xfId="15614" xr:uid="{00000000-0005-0000-0000-0000FE3C0000}"/>
    <cellStyle name="Normal 2 2 2 2 4 33 4 6" xfId="15615" xr:uid="{00000000-0005-0000-0000-0000FF3C0000}"/>
    <cellStyle name="Normal 2 2 2 2 4 33 4 7" xfId="15616" xr:uid="{00000000-0005-0000-0000-0000003D0000}"/>
    <cellStyle name="Normal 2 2 2 2 4 33 4 8" xfId="15617" xr:uid="{00000000-0005-0000-0000-0000013D0000}"/>
    <cellStyle name="Normal 2 2 2 2 4 33 4 9" xfId="15618" xr:uid="{00000000-0005-0000-0000-0000023D0000}"/>
    <cellStyle name="Normal 2 2 2 2 4 33 5" xfId="15619" xr:uid="{00000000-0005-0000-0000-0000033D0000}"/>
    <cellStyle name="Normal 2 2 2 2 4 33 5 10" xfId="15620" xr:uid="{00000000-0005-0000-0000-0000043D0000}"/>
    <cellStyle name="Normal 2 2 2 2 4 33 5 2" xfId="15621" xr:uid="{00000000-0005-0000-0000-0000053D0000}"/>
    <cellStyle name="Normal 2 2 2 2 4 33 5 3" xfId="15622" xr:uid="{00000000-0005-0000-0000-0000063D0000}"/>
    <cellStyle name="Normal 2 2 2 2 4 33 5 4" xfId="15623" xr:uid="{00000000-0005-0000-0000-0000073D0000}"/>
    <cellStyle name="Normal 2 2 2 2 4 33 5 5" xfId="15624" xr:uid="{00000000-0005-0000-0000-0000083D0000}"/>
    <cellStyle name="Normal 2 2 2 2 4 33 5 6" xfId="15625" xr:uid="{00000000-0005-0000-0000-0000093D0000}"/>
    <cellStyle name="Normal 2 2 2 2 4 33 5 7" xfId="15626" xr:uid="{00000000-0005-0000-0000-00000A3D0000}"/>
    <cellStyle name="Normal 2 2 2 2 4 33 5 8" xfId="15627" xr:uid="{00000000-0005-0000-0000-00000B3D0000}"/>
    <cellStyle name="Normal 2 2 2 2 4 33 5 9" xfId="15628" xr:uid="{00000000-0005-0000-0000-00000C3D0000}"/>
    <cellStyle name="Normal 2 2 2 2 4 33 6" xfId="15629" xr:uid="{00000000-0005-0000-0000-00000D3D0000}"/>
    <cellStyle name="Normal 2 2 2 2 4 33 7" xfId="15630" xr:uid="{00000000-0005-0000-0000-00000E3D0000}"/>
    <cellStyle name="Normal 2 2 2 2 4 33 8" xfId="15631" xr:uid="{00000000-0005-0000-0000-00000F3D0000}"/>
    <cellStyle name="Normal 2 2 2 2 4 33 9" xfId="15632" xr:uid="{00000000-0005-0000-0000-0000103D0000}"/>
    <cellStyle name="Normal 2 2 2 2 4 34" xfId="15633" xr:uid="{00000000-0005-0000-0000-0000113D0000}"/>
    <cellStyle name="Normal 2 2 2 2 4 35" xfId="15634" xr:uid="{00000000-0005-0000-0000-0000123D0000}"/>
    <cellStyle name="Normal 2 2 2 2 4 4" xfId="15635" xr:uid="{00000000-0005-0000-0000-0000133D0000}"/>
    <cellStyle name="Normal 2 2 2 2 4 4 10" xfId="15636" xr:uid="{00000000-0005-0000-0000-0000143D0000}"/>
    <cellStyle name="Normal 2 2 2 2 4 4 11" xfId="15637" xr:uid="{00000000-0005-0000-0000-0000153D0000}"/>
    <cellStyle name="Normal 2 2 2 2 4 4 12" xfId="15638" xr:uid="{00000000-0005-0000-0000-0000163D0000}"/>
    <cellStyle name="Normal 2 2 2 2 4 4 13" xfId="15639" xr:uid="{00000000-0005-0000-0000-0000173D0000}"/>
    <cellStyle name="Normal 2 2 2 2 4 4 14" xfId="15640" xr:uid="{00000000-0005-0000-0000-0000183D0000}"/>
    <cellStyle name="Normal 2 2 2 2 4 4 2" xfId="15641" xr:uid="{00000000-0005-0000-0000-0000193D0000}"/>
    <cellStyle name="Normal 2 2 2 2 4 4 2 10" xfId="15642" xr:uid="{00000000-0005-0000-0000-00001A3D0000}"/>
    <cellStyle name="Normal 2 2 2 2 4 4 2 2" xfId="15643" xr:uid="{00000000-0005-0000-0000-00001B3D0000}"/>
    <cellStyle name="Normal 2 2 2 2 4 4 2 3" xfId="15644" xr:uid="{00000000-0005-0000-0000-00001C3D0000}"/>
    <cellStyle name="Normal 2 2 2 2 4 4 2 4" xfId="15645" xr:uid="{00000000-0005-0000-0000-00001D3D0000}"/>
    <cellStyle name="Normal 2 2 2 2 4 4 2 5" xfId="15646" xr:uid="{00000000-0005-0000-0000-00001E3D0000}"/>
    <cellStyle name="Normal 2 2 2 2 4 4 2 6" xfId="15647" xr:uid="{00000000-0005-0000-0000-00001F3D0000}"/>
    <cellStyle name="Normal 2 2 2 2 4 4 2 7" xfId="15648" xr:uid="{00000000-0005-0000-0000-0000203D0000}"/>
    <cellStyle name="Normal 2 2 2 2 4 4 2 8" xfId="15649" xr:uid="{00000000-0005-0000-0000-0000213D0000}"/>
    <cellStyle name="Normal 2 2 2 2 4 4 2 9" xfId="15650" xr:uid="{00000000-0005-0000-0000-0000223D0000}"/>
    <cellStyle name="Normal 2 2 2 2 4 4 3" xfId="15651" xr:uid="{00000000-0005-0000-0000-0000233D0000}"/>
    <cellStyle name="Normal 2 2 2 2 4 4 3 10" xfId="15652" xr:uid="{00000000-0005-0000-0000-0000243D0000}"/>
    <cellStyle name="Normal 2 2 2 2 4 4 3 2" xfId="15653" xr:uid="{00000000-0005-0000-0000-0000253D0000}"/>
    <cellStyle name="Normal 2 2 2 2 4 4 3 3" xfId="15654" xr:uid="{00000000-0005-0000-0000-0000263D0000}"/>
    <cellStyle name="Normal 2 2 2 2 4 4 3 4" xfId="15655" xr:uid="{00000000-0005-0000-0000-0000273D0000}"/>
    <cellStyle name="Normal 2 2 2 2 4 4 3 5" xfId="15656" xr:uid="{00000000-0005-0000-0000-0000283D0000}"/>
    <cellStyle name="Normal 2 2 2 2 4 4 3 6" xfId="15657" xr:uid="{00000000-0005-0000-0000-0000293D0000}"/>
    <cellStyle name="Normal 2 2 2 2 4 4 3 7" xfId="15658" xr:uid="{00000000-0005-0000-0000-00002A3D0000}"/>
    <cellStyle name="Normal 2 2 2 2 4 4 3 8" xfId="15659" xr:uid="{00000000-0005-0000-0000-00002B3D0000}"/>
    <cellStyle name="Normal 2 2 2 2 4 4 3 9" xfId="15660" xr:uid="{00000000-0005-0000-0000-00002C3D0000}"/>
    <cellStyle name="Normal 2 2 2 2 4 4 4" xfId="15661" xr:uid="{00000000-0005-0000-0000-00002D3D0000}"/>
    <cellStyle name="Normal 2 2 2 2 4 4 4 10" xfId="15662" xr:uid="{00000000-0005-0000-0000-00002E3D0000}"/>
    <cellStyle name="Normal 2 2 2 2 4 4 4 2" xfId="15663" xr:uid="{00000000-0005-0000-0000-00002F3D0000}"/>
    <cellStyle name="Normal 2 2 2 2 4 4 4 3" xfId="15664" xr:uid="{00000000-0005-0000-0000-0000303D0000}"/>
    <cellStyle name="Normal 2 2 2 2 4 4 4 4" xfId="15665" xr:uid="{00000000-0005-0000-0000-0000313D0000}"/>
    <cellStyle name="Normal 2 2 2 2 4 4 4 5" xfId="15666" xr:uid="{00000000-0005-0000-0000-0000323D0000}"/>
    <cellStyle name="Normal 2 2 2 2 4 4 4 6" xfId="15667" xr:uid="{00000000-0005-0000-0000-0000333D0000}"/>
    <cellStyle name="Normal 2 2 2 2 4 4 4 7" xfId="15668" xr:uid="{00000000-0005-0000-0000-0000343D0000}"/>
    <cellStyle name="Normal 2 2 2 2 4 4 4 8" xfId="15669" xr:uid="{00000000-0005-0000-0000-0000353D0000}"/>
    <cellStyle name="Normal 2 2 2 2 4 4 4 9" xfId="15670" xr:uid="{00000000-0005-0000-0000-0000363D0000}"/>
    <cellStyle name="Normal 2 2 2 2 4 4 5" xfId="15671" xr:uid="{00000000-0005-0000-0000-0000373D0000}"/>
    <cellStyle name="Normal 2 2 2 2 4 4 5 10" xfId="15672" xr:uid="{00000000-0005-0000-0000-0000383D0000}"/>
    <cellStyle name="Normal 2 2 2 2 4 4 5 2" xfId="15673" xr:uid="{00000000-0005-0000-0000-0000393D0000}"/>
    <cellStyle name="Normal 2 2 2 2 4 4 5 3" xfId="15674" xr:uid="{00000000-0005-0000-0000-00003A3D0000}"/>
    <cellStyle name="Normal 2 2 2 2 4 4 5 4" xfId="15675" xr:uid="{00000000-0005-0000-0000-00003B3D0000}"/>
    <cellStyle name="Normal 2 2 2 2 4 4 5 5" xfId="15676" xr:uid="{00000000-0005-0000-0000-00003C3D0000}"/>
    <cellStyle name="Normal 2 2 2 2 4 4 5 6" xfId="15677" xr:uid="{00000000-0005-0000-0000-00003D3D0000}"/>
    <cellStyle name="Normal 2 2 2 2 4 4 5 7" xfId="15678" xr:uid="{00000000-0005-0000-0000-00003E3D0000}"/>
    <cellStyle name="Normal 2 2 2 2 4 4 5 8" xfId="15679" xr:uid="{00000000-0005-0000-0000-00003F3D0000}"/>
    <cellStyle name="Normal 2 2 2 2 4 4 5 9" xfId="15680" xr:uid="{00000000-0005-0000-0000-0000403D0000}"/>
    <cellStyle name="Normal 2 2 2 2 4 4 6" xfId="15681" xr:uid="{00000000-0005-0000-0000-0000413D0000}"/>
    <cellStyle name="Normal 2 2 2 2 4 4 7" xfId="15682" xr:uid="{00000000-0005-0000-0000-0000423D0000}"/>
    <cellStyle name="Normal 2 2 2 2 4 4 8" xfId="15683" xr:uid="{00000000-0005-0000-0000-0000433D0000}"/>
    <cellStyle name="Normal 2 2 2 2 4 4 9" xfId="15684" xr:uid="{00000000-0005-0000-0000-0000443D0000}"/>
    <cellStyle name="Normal 2 2 2 2 4 5" xfId="15685" xr:uid="{00000000-0005-0000-0000-0000453D0000}"/>
    <cellStyle name="Normal 2 2 2 2 4 5 10" xfId="15686" xr:uid="{00000000-0005-0000-0000-0000463D0000}"/>
    <cellStyle name="Normal 2 2 2 2 4 5 11" xfId="15687" xr:uid="{00000000-0005-0000-0000-0000473D0000}"/>
    <cellStyle name="Normal 2 2 2 2 4 5 12" xfId="15688" xr:uid="{00000000-0005-0000-0000-0000483D0000}"/>
    <cellStyle name="Normal 2 2 2 2 4 5 13" xfId="15689" xr:uid="{00000000-0005-0000-0000-0000493D0000}"/>
    <cellStyle name="Normal 2 2 2 2 4 5 14" xfId="15690" xr:uid="{00000000-0005-0000-0000-00004A3D0000}"/>
    <cellStyle name="Normal 2 2 2 2 4 5 2" xfId="15691" xr:uid="{00000000-0005-0000-0000-00004B3D0000}"/>
    <cellStyle name="Normal 2 2 2 2 4 5 2 10" xfId="15692" xr:uid="{00000000-0005-0000-0000-00004C3D0000}"/>
    <cellStyle name="Normal 2 2 2 2 4 5 2 2" xfId="15693" xr:uid="{00000000-0005-0000-0000-00004D3D0000}"/>
    <cellStyle name="Normal 2 2 2 2 4 5 2 3" xfId="15694" xr:uid="{00000000-0005-0000-0000-00004E3D0000}"/>
    <cellStyle name="Normal 2 2 2 2 4 5 2 4" xfId="15695" xr:uid="{00000000-0005-0000-0000-00004F3D0000}"/>
    <cellStyle name="Normal 2 2 2 2 4 5 2 5" xfId="15696" xr:uid="{00000000-0005-0000-0000-0000503D0000}"/>
    <cellStyle name="Normal 2 2 2 2 4 5 2 6" xfId="15697" xr:uid="{00000000-0005-0000-0000-0000513D0000}"/>
    <cellStyle name="Normal 2 2 2 2 4 5 2 7" xfId="15698" xr:uid="{00000000-0005-0000-0000-0000523D0000}"/>
    <cellStyle name="Normal 2 2 2 2 4 5 2 8" xfId="15699" xr:uid="{00000000-0005-0000-0000-0000533D0000}"/>
    <cellStyle name="Normal 2 2 2 2 4 5 2 9" xfId="15700" xr:uid="{00000000-0005-0000-0000-0000543D0000}"/>
    <cellStyle name="Normal 2 2 2 2 4 5 3" xfId="15701" xr:uid="{00000000-0005-0000-0000-0000553D0000}"/>
    <cellStyle name="Normal 2 2 2 2 4 5 3 10" xfId="15702" xr:uid="{00000000-0005-0000-0000-0000563D0000}"/>
    <cellStyle name="Normal 2 2 2 2 4 5 3 2" xfId="15703" xr:uid="{00000000-0005-0000-0000-0000573D0000}"/>
    <cellStyle name="Normal 2 2 2 2 4 5 3 3" xfId="15704" xr:uid="{00000000-0005-0000-0000-0000583D0000}"/>
    <cellStyle name="Normal 2 2 2 2 4 5 3 4" xfId="15705" xr:uid="{00000000-0005-0000-0000-0000593D0000}"/>
    <cellStyle name="Normal 2 2 2 2 4 5 3 5" xfId="15706" xr:uid="{00000000-0005-0000-0000-00005A3D0000}"/>
    <cellStyle name="Normal 2 2 2 2 4 5 3 6" xfId="15707" xr:uid="{00000000-0005-0000-0000-00005B3D0000}"/>
    <cellStyle name="Normal 2 2 2 2 4 5 3 7" xfId="15708" xr:uid="{00000000-0005-0000-0000-00005C3D0000}"/>
    <cellStyle name="Normal 2 2 2 2 4 5 3 8" xfId="15709" xr:uid="{00000000-0005-0000-0000-00005D3D0000}"/>
    <cellStyle name="Normal 2 2 2 2 4 5 3 9" xfId="15710" xr:uid="{00000000-0005-0000-0000-00005E3D0000}"/>
    <cellStyle name="Normal 2 2 2 2 4 5 4" xfId="15711" xr:uid="{00000000-0005-0000-0000-00005F3D0000}"/>
    <cellStyle name="Normal 2 2 2 2 4 5 4 10" xfId="15712" xr:uid="{00000000-0005-0000-0000-0000603D0000}"/>
    <cellStyle name="Normal 2 2 2 2 4 5 4 2" xfId="15713" xr:uid="{00000000-0005-0000-0000-0000613D0000}"/>
    <cellStyle name="Normal 2 2 2 2 4 5 4 3" xfId="15714" xr:uid="{00000000-0005-0000-0000-0000623D0000}"/>
    <cellStyle name="Normal 2 2 2 2 4 5 4 4" xfId="15715" xr:uid="{00000000-0005-0000-0000-0000633D0000}"/>
    <cellStyle name="Normal 2 2 2 2 4 5 4 5" xfId="15716" xr:uid="{00000000-0005-0000-0000-0000643D0000}"/>
    <cellStyle name="Normal 2 2 2 2 4 5 4 6" xfId="15717" xr:uid="{00000000-0005-0000-0000-0000653D0000}"/>
    <cellStyle name="Normal 2 2 2 2 4 5 4 7" xfId="15718" xr:uid="{00000000-0005-0000-0000-0000663D0000}"/>
    <cellStyle name="Normal 2 2 2 2 4 5 4 8" xfId="15719" xr:uid="{00000000-0005-0000-0000-0000673D0000}"/>
    <cellStyle name="Normal 2 2 2 2 4 5 4 9" xfId="15720" xr:uid="{00000000-0005-0000-0000-0000683D0000}"/>
    <cellStyle name="Normal 2 2 2 2 4 5 5" xfId="15721" xr:uid="{00000000-0005-0000-0000-0000693D0000}"/>
    <cellStyle name="Normal 2 2 2 2 4 5 5 10" xfId="15722" xr:uid="{00000000-0005-0000-0000-00006A3D0000}"/>
    <cellStyle name="Normal 2 2 2 2 4 5 5 2" xfId="15723" xr:uid="{00000000-0005-0000-0000-00006B3D0000}"/>
    <cellStyle name="Normal 2 2 2 2 4 5 5 3" xfId="15724" xr:uid="{00000000-0005-0000-0000-00006C3D0000}"/>
    <cellStyle name="Normal 2 2 2 2 4 5 5 4" xfId="15725" xr:uid="{00000000-0005-0000-0000-00006D3D0000}"/>
    <cellStyle name="Normal 2 2 2 2 4 5 5 5" xfId="15726" xr:uid="{00000000-0005-0000-0000-00006E3D0000}"/>
    <cellStyle name="Normal 2 2 2 2 4 5 5 6" xfId="15727" xr:uid="{00000000-0005-0000-0000-00006F3D0000}"/>
    <cellStyle name="Normal 2 2 2 2 4 5 5 7" xfId="15728" xr:uid="{00000000-0005-0000-0000-0000703D0000}"/>
    <cellStyle name="Normal 2 2 2 2 4 5 5 8" xfId="15729" xr:uid="{00000000-0005-0000-0000-0000713D0000}"/>
    <cellStyle name="Normal 2 2 2 2 4 5 5 9" xfId="15730" xr:uid="{00000000-0005-0000-0000-0000723D0000}"/>
    <cellStyle name="Normal 2 2 2 2 4 5 6" xfId="15731" xr:uid="{00000000-0005-0000-0000-0000733D0000}"/>
    <cellStyle name="Normal 2 2 2 2 4 5 7" xfId="15732" xr:uid="{00000000-0005-0000-0000-0000743D0000}"/>
    <cellStyle name="Normal 2 2 2 2 4 5 8" xfId="15733" xr:uid="{00000000-0005-0000-0000-0000753D0000}"/>
    <cellStyle name="Normal 2 2 2 2 4 5 9" xfId="15734" xr:uid="{00000000-0005-0000-0000-0000763D0000}"/>
    <cellStyle name="Normal 2 2 2 2 4 6" xfId="15735" xr:uid="{00000000-0005-0000-0000-0000773D0000}"/>
    <cellStyle name="Normal 2 2 2 2 4 6 10" xfId="15736" xr:uid="{00000000-0005-0000-0000-0000783D0000}"/>
    <cellStyle name="Normal 2 2 2 2 4 6 11" xfId="15737" xr:uid="{00000000-0005-0000-0000-0000793D0000}"/>
    <cellStyle name="Normal 2 2 2 2 4 6 12" xfId="15738" xr:uid="{00000000-0005-0000-0000-00007A3D0000}"/>
    <cellStyle name="Normal 2 2 2 2 4 6 13" xfId="15739" xr:uid="{00000000-0005-0000-0000-00007B3D0000}"/>
    <cellStyle name="Normal 2 2 2 2 4 6 14" xfId="15740" xr:uid="{00000000-0005-0000-0000-00007C3D0000}"/>
    <cellStyle name="Normal 2 2 2 2 4 6 2" xfId="15741" xr:uid="{00000000-0005-0000-0000-00007D3D0000}"/>
    <cellStyle name="Normal 2 2 2 2 4 6 2 10" xfId="15742" xr:uid="{00000000-0005-0000-0000-00007E3D0000}"/>
    <cellStyle name="Normal 2 2 2 2 4 6 2 2" xfId="15743" xr:uid="{00000000-0005-0000-0000-00007F3D0000}"/>
    <cellStyle name="Normal 2 2 2 2 4 6 2 3" xfId="15744" xr:uid="{00000000-0005-0000-0000-0000803D0000}"/>
    <cellStyle name="Normal 2 2 2 2 4 6 2 4" xfId="15745" xr:uid="{00000000-0005-0000-0000-0000813D0000}"/>
    <cellStyle name="Normal 2 2 2 2 4 6 2 5" xfId="15746" xr:uid="{00000000-0005-0000-0000-0000823D0000}"/>
    <cellStyle name="Normal 2 2 2 2 4 6 2 6" xfId="15747" xr:uid="{00000000-0005-0000-0000-0000833D0000}"/>
    <cellStyle name="Normal 2 2 2 2 4 6 2 7" xfId="15748" xr:uid="{00000000-0005-0000-0000-0000843D0000}"/>
    <cellStyle name="Normal 2 2 2 2 4 6 2 8" xfId="15749" xr:uid="{00000000-0005-0000-0000-0000853D0000}"/>
    <cellStyle name="Normal 2 2 2 2 4 6 2 9" xfId="15750" xr:uid="{00000000-0005-0000-0000-0000863D0000}"/>
    <cellStyle name="Normal 2 2 2 2 4 6 3" xfId="15751" xr:uid="{00000000-0005-0000-0000-0000873D0000}"/>
    <cellStyle name="Normal 2 2 2 2 4 6 3 10" xfId="15752" xr:uid="{00000000-0005-0000-0000-0000883D0000}"/>
    <cellStyle name="Normal 2 2 2 2 4 6 3 2" xfId="15753" xr:uid="{00000000-0005-0000-0000-0000893D0000}"/>
    <cellStyle name="Normal 2 2 2 2 4 6 3 3" xfId="15754" xr:uid="{00000000-0005-0000-0000-00008A3D0000}"/>
    <cellStyle name="Normal 2 2 2 2 4 6 3 4" xfId="15755" xr:uid="{00000000-0005-0000-0000-00008B3D0000}"/>
    <cellStyle name="Normal 2 2 2 2 4 6 3 5" xfId="15756" xr:uid="{00000000-0005-0000-0000-00008C3D0000}"/>
    <cellStyle name="Normal 2 2 2 2 4 6 3 6" xfId="15757" xr:uid="{00000000-0005-0000-0000-00008D3D0000}"/>
    <cellStyle name="Normal 2 2 2 2 4 6 3 7" xfId="15758" xr:uid="{00000000-0005-0000-0000-00008E3D0000}"/>
    <cellStyle name="Normal 2 2 2 2 4 6 3 8" xfId="15759" xr:uid="{00000000-0005-0000-0000-00008F3D0000}"/>
    <cellStyle name="Normal 2 2 2 2 4 6 3 9" xfId="15760" xr:uid="{00000000-0005-0000-0000-0000903D0000}"/>
    <cellStyle name="Normal 2 2 2 2 4 6 4" xfId="15761" xr:uid="{00000000-0005-0000-0000-0000913D0000}"/>
    <cellStyle name="Normal 2 2 2 2 4 6 4 10" xfId="15762" xr:uid="{00000000-0005-0000-0000-0000923D0000}"/>
    <cellStyle name="Normal 2 2 2 2 4 6 4 2" xfId="15763" xr:uid="{00000000-0005-0000-0000-0000933D0000}"/>
    <cellStyle name="Normal 2 2 2 2 4 6 4 3" xfId="15764" xr:uid="{00000000-0005-0000-0000-0000943D0000}"/>
    <cellStyle name="Normal 2 2 2 2 4 6 4 4" xfId="15765" xr:uid="{00000000-0005-0000-0000-0000953D0000}"/>
    <cellStyle name="Normal 2 2 2 2 4 6 4 5" xfId="15766" xr:uid="{00000000-0005-0000-0000-0000963D0000}"/>
    <cellStyle name="Normal 2 2 2 2 4 6 4 6" xfId="15767" xr:uid="{00000000-0005-0000-0000-0000973D0000}"/>
    <cellStyle name="Normal 2 2 2 2 4 6 4 7" xfId="15768" xr:uid="{00000000-0005-0000-0000-0000983D0000}"/>
    <cellStyle name="Normal 2 2 2 2 4 6 4 8" xfId="15769" xr:uid="{00000000-0005-0000-0000-0000993D0000}"/>
    <cellStyle name="Normal 2 2 2 2 4 6 4 9" xfId="15770" xr:uid="{00000000-0005-0000-0000-00009A3D0000}"/>
    <cellStyle name="Normal 2 2 2 2 4 6 5" xfId="15771" xr:uid="{00000000-0005-0000-0000-00009B3D0000}"/>
    <cellStyle name="Normal 2 2 2 2 4 6 5 10" xfId="15772" xr:uid="{00000000-0005-0000-0000-00009C3D0000}"/>
    <cellStyle name="Normal 2 2 2 2 4 6 5 2" xfId="15773" xr:uid="{00000000-0005-0000-0000-00009D3D0000}"/>
    <cellStyle name="Normal 2 2 2 2 4 6 5 3" xfId="15774" xr:uid="{00000000-0005-0000-0000-00009E3D0000}"/>
    <cellStyle name="Normal 2 2 2 2 4 6 5 4" xfId="15775" xr:uid="{00000000-0005-0000-0000-00009F3D0000}"/>
    <cellStyle name="Normal 2 2 2 2 4 6 5 5" xfId="15776" xr:uid="{00000000-0005-0000-0000-0000A03D0000}"/>
    <cellStyle name="Normal 2 2 2 2 4 6 5 6" xfId="15777" xr:uid="{00000000-0005-0000-0000-0000A13D0000}"/>
    <cellStyle name="Normal 2 2 2 2 4 6 5 7" xfId="15778" xr:uid="{00000000-0005-0000-0000-0000A23D0000}"/>
    <cellStyle name="Normal 2 2 2 2 4 6 5 8" xfId="15779" xr:uid="{00000000-0005-0000-0000-0000A33D0000}"/>
    <cellStyle name="Normal 2 2 2 2 4 6 5 9" xfId="15780" xr:uid="{00000000-0005-0000-0000-0000A43D0000}"/>
    <cellStyle name="Normal 2 2 2 2 4 6 6" xfId="15781" xr:uid="{00000000-0005-0000-0000-0000A53D0000}"/>
    <cellStyle name="Normal 2 2 2 2 4 6 7" xfId="15782" xr:uid="{00000000-0005-0000-0000-0000A63D0000}"/>
    <cellStyle name="Normal 2 2 2 2 4 6 8" xfId="15783" xr:uid="{00000000-0005-0000-0000-0000A73D0000}"/>
    <cellStyle name="Normal 2 2 2 2 4 6 9" xfId="15784" xr:uid="{00000000-0005-0000-0000-0000A83D0000}"/>
    <cellStyle name="Normal 2 2 2 2 4 7" xfId="15785" xr:uid="{00000000-0005-0000-0000-0000A93D0000}"/>
    <cellStyle name="Normal 2 2 2 2 4 7 10" xfId="15786" xr:uid="{00000000-0005-0000-0000-0000AA3D0000}"/>
    <cellStyle name="Normal 2 2 2 2 4 7 11" xfId="15787" xr:uid="{00000000-0005-0000-0000-0000AB3D0000}"/>
    <cellStyle name="Normal 2 2 2 2 4 7 12" xfId="15788" xr:uid="{00000000-0005-0000-0000-0000AC3D0000}"/>
    <cellStyle name="Normal 2 2 2 2 4 7 13" xfId="15789" xr:uid="{00000000-0005-0000-0000-0000AD3D0000}"/>
    <cellStyle name="Normal 2 2 2 2 4 7 14" xfId="15790" xr:uid="{00000000-0005-0000-0000-0000AE3D0000}"/>
    <cellStyle name="Normal 2 2 2 2 4 7 2" xfId="15791" xr:uid="{00000000-0005-0000-0000-0000AF3D0000}"/>
    <cellStyle name="Normal 2 2 2 2 4 7 2 10" xfId="15792" xr:uid="{00000000-0005-0000-0000-0000B03D0000}"/>
    <cellStyle name="Normal 2 2 2 2 4 7 2 2" xfId="15793" xr:uid="{00000000-0005-0000-0000-0000B13D0000}"/>
    <cellStyle name="Normal 2 2 2 2 4 7 2 3" xfId="15794" xr:uid="{00000000-0005-0000-0000-0000B23D0000}"/>
    <cellStyle name="Normal 2 2 2 2 4 7 2 4" xfId="15795" xr:uid="{00000000-0005-0000-0000-0000B33D0000}"/>
    <cellStyle name="Normal 2 2 2 2 4 7 2 5" xfId="15796" xr:uid="{00000000-0005-0000-0000-0000B43D0000}"/>
    <cellStyle name="Normal 2 2 2 2 4 7 2 6" xfId="15797" xr:uid="{00000000-0005-0000-0000-0000B53D0000}"/>
    <cellStyle name="Normal 2 2 2 2 4 7 2 7" xfId="15798" xr:uid="{00000000-0005-0000-0000-0000B63D0000}"/>
    <cellStyle name="Normal 2 2 2 2 4 7 2 8" xfId="15799" xr:uid="{00000000-0005-0000-0000-0000B73D0000}"/>
    <cellStyle name="Normal 2 2 2 2 4 7 2 9" xfId="15800" xr:uid="{00000000-0005-0000-0000-0000B83D0000}"/>
    <cellStyle name="Normal 2 2 2 2 4 7 3" xfId="15801" xr:uid="{00000000-0005-0000-0000-0000B93D0000}"/>
    <cellStyle name="Normal 2 2 2 2 4 7 3 10" xfId="15802" xr:uid="{00000000-0005-0000-0000-0000BA3D0000}"/>
    <cellStyle name="Normal 2 2 2 2 4 7 3 2" xfId="15803" xr:uid="{00000000-0005-0000-0000-0000BB3D0000}"/>
    <cellStyle name="Normal 2 2 2 2 4 7 3 3" xfId="15804" xr:uid="{00000000-0005-0000-0000-0000BC3D0000}"/>
    <cellStyle name="Normal 2 2 2 2 4 7 3 4" xfId="15805" xr:uid="{00000000-0005-0000-0000-0000BD3D0000}"/>
    <cellStyle name="Normal 2 2 2 2 4 7 3 5" xfId="15806" xr:uid="{00000000-0005-0000-0000-0000BE3D0000}"/>
    <cellStyle name="Normal 2 2 2 2 4 7 3 6" xfId="15807" xr:uid="{00000000-0005-0000-0000-0000BF3D0000}"/>
    <cellStyle name="Normal 2 2 2 2 4 7 3 7" xfId="15808" xr:uid="{00000000-0005-0000-0000-0000C03D0000}"/>
    <cellStyle name="Normal 2 2 2 2 4 7 3 8" xfId="15809" xr:uid="{00000000-0005-0000-0000-0000C13D0000}"/>
    <cellStyle name="Normal 2 2 2 2 4 7 3 9" xfId="15810" xr:uid="{00000000-0005-0000-0000-0000C23D0000}"/>
    <cellStyle name="Normal 2 2 2 2 4 7 4" xfId="15811" xr:uid="{00000000-0005-0000-0000-0000C33D0000}"/>
    <cellStyle name="Normal 2 2 2 2 4 7 4 10" xfId="15812" xr:uid="{00000000-0005-0000-0000-0000C43D0000}"/>
    <cellStyle name="Normal 2 2 2 2 4 7 4 2" xfId="15813" xr:uid="{00000000-0005-0000-0000-0000C53D0000}"/>
    <cellStyle name="Normal 2 2 2 2 4 7 4 3" xfId="15814" xr:uid="{00000000-0005-0000-0000-0000C63D0000}"/>
    <cellStyle name="Normal 2 2 2 2 4 7 4 4" xfId="15815" xr:uid="{00000000-0005-0000-0000-0000C73D0000}"/>
    <cellStyle name="Normal 2 2 2 2 4 7 4 5" xfId="15816" xr:uid="{00000000-0005-0000-0000-0000C83D0000}"/>
    <cellStyle name="Normal 2 2 2 2 4 7 4 6" xfId="15817" xr:uid="{00000000-0005-0000-0000-0000C93D0000}"/>
    <cellStyle name="Normal 2 2 2 2 4 7 4 7" xfId="15818" xr:uid="{00000000-0005-0000-0000-0000CA3D0000}"/>
    <cellStyle name="Normal 2 2 2 2 4 7 4 8" xfId="15819" xr:uid="{00000000-0005-0000-0000-0000CB3D0000}"/>
    <cellStyle name="Normal 2 2 2 2 4 7 4 9" xfId="15820" xr:uid="{00000000-0005-0000-0000-0000CC3D0000}"/>
    <cellStyle name="Normal 2 2 2 2 4 7 5" xfId="15821" xr:uid="{00000000-0005-0000-0000-0000CD3D0000}"/>
    <cellStyle name="Normal 2 2 2 2 4 7 5 10" xfId="15822" xr:uid="{00000000-0005-0000-0000-0000CE3D0000}"/>
    <cellStyle name="Normal 2 2 2 2 4 7 5 2" xfId="15823" xr:uid="{00000000-0005-0000-0000-0000CF3D0000}"/>
    <cellStyle name="Normal 2 2 2 2 4 7 5 3" xfId="15824" xr:uid="{00000000-0005-0000-0000-0000D03D0000}"/>
    <cellStyle name="Normal 2 2 2 2 4 7 5 4" xfId="15825" xr:uid="{00000000-0005-0000-0000-0000D13D0000}"/>
    <cellStyle name="Normal 2 2 2 2 4 7 5 5" xfId="15826" xr:uid="{00000000-0005-0000-0000-0000D23D0000}"/>
    <cellStyle name="Normal 2 2 2 2 4 7 5 6" xfId="15827" xr:uid="{00000000-0005-0000-0000-0000D33D0000}"/>
    <cellStyle name="Normal 2 2 2 2 4 7 5 7" xfId="15828" xr:uid="{00000000-0005-0000-0000-0000D43D0000}"/>
    <cellStyle name="Normal 2 2 2 2 4 7 5 8" xfId="15829" xr:uid="{00000000-0005-0000-0000-0000D53D0000}"/>
    <cellStyle name="Normal 2 2 2 2 4 7 5 9" xfId="15830" xr:uid="{00000000-0005-0000-0000-0000D63D0000}"/>
    <cellStyle name="Normal 2 2 2 2 4 7 6" xfId="15831" xr:uid="{00000000-0005-0000-0000-0000D73D0000}"/>
    <cellStyle name="Normal 2 2 2 2 4 7 7" xfId="15832" xr:uid="{00000000-0005-0000-0000-0000D83D0000}"/>
    <cellStyle name="Normal 2 2 2 2 4 7 8" xfId="15833" xr:uid="{00000000-0005-0000-0000-0000D93D0000}"/>
    <cellStyle name="Normal 2 2 2 2 4 7 9" xfId="15834" xr:uid="{00000000-0005-0000-0000-0000DA3D0000}"/>
    <cellStyle name="Normal 2 2 2 2 4 8" xfId="15835" xr:uid="{00000000-0005-0000-0000-0000DB3D0000}"/>
    <cellStyle name="Normal 2 2 2 2 4 8 10" xfId="15836" xr:uid="{00000000-0005-0000-0000-0000DC3D0000}"/>
    <cellStyle name="Normal 2 2 2 2 4 8 11" xfId="15837" xr:uid="{00000000-0005-0000-0000-0000DD3D0000}"/>
    <cellStyle name="Normal 2 2 2 2 4 8 12" xfId="15838" xr:uid="{00000000-0005-0000-0000-0000DE3D0000}"/>
    <cellStyle name="Normal 2 2 2 2 4 8 13" xfId="15839" xr:uid="{00000000-0005-0000-0000-0000DF3D0000}"/>
    <cellStyle name="Normal 2 2 2 2 4 8 14" xfId="15840" xr:uid="{00000000-0005-0000-0000-0000E03D0000}"/>
    <cellStyle name="Normal 2 2 2 2 4 8 2" xfId="15841" xr:uid="{00000000-0005-0000-0000-0000E13D0000}"/>
    <cellStyle name="Normal 2 2 2 2 4 8 2 10" xfId="15842" xr:uid="{00000000-0005-0000-0000-0000E23D0000}"/>
    <cellStyle name="Normal 2 2 2 2 4 8 2 2" xfId="15843" xr:uid="{00000000-0005-0000-0000-0000E33D0000}"/>
    <cellStyle name="Normal 2 2 2 2 4 8 2 3" xfId="15844" xr:uid="{00000000-0005-0000-0000-0000E43D0000}"/>
    <cellStyle name="Normal 2 2 2 2 4 8 2 4" xfId="15845" xr:uid="{00000000-0005-0000-0000-0000E53D0000}"/>
    <cellStyle name="Normal 2 2 2 2 4 8 2 5" xfId="15846" xr:uid="{00000000-0005-0000-0000-0000E63D0000}"/>
    <cellStyle name="Normal 2 2 2 2 4 8 2 6" xfId="15847" xr:uid="{00000000-0005-0000-0000-0000E73D0000}"/>
    <cellStyle name="Normal 2 2 2 2 4 8 2 7" xfId="15848" xr:uid="{00000000-0005-0000-0000-0000E83D0000}"/>
    <cellStyle name="Normal 2 2 2 2 4 8 2 8" xfId="15849" xr:uid="{00000000-0005-0000-0000-0000E93D0000}"/>
    <cellStyle name="Normal 2 2 2 2 4 8 2 9" xfId="15850" xr:uid="{00000000-0005-0000-0000-0000EA3D0000}"/>
    <cellStyle name="Normal 2 2 2 2 4 8 3" xfId="15851" xr:uid="{00000000-0005-0000-0000-0000EB3D0000}"/>
    <cellStyle name="Normal 2 2 2 2 4 8 3 10" xfId="15852" xr:uid="{00000000-0005-0000-0000-0000EC3D0000}"/>
    <cellStyle name="Normal 2 2 2 2 4 8 3 2" xfId="15853" xr:uid="{00000000-0005-0000-0000-0000ED3D0000}"/>
    <cellStyle name="Normal 2 2 2 2 4 8 3 3" xfId="15854" xr:uid="{00000000-0005-0000-0000-0000EE3D0000}"/>
    <cellStyle name="Normal 2 2 2 2 4 8 3 4" xfId="15855" xr:uid="{00000000-0005-0000-0000-0000EF3D0000}"/>
    <cellStyle name="Normal 2 2 2 2 4 8 3 5" xfId="15856" xr:uid="{00000000-0005-0000-0000-0000F03D0000}"/>
    <cellStyle name="Normal 2 2 2 2 4 8 3 6" xfId="15857" xr:uid="{00000000-0005-0000-0000-0000F13D0000}"/>
    <cellStyle name="Normal 2 2 2 2 4 8 3 7" xfId="15858" xr:uid="{00000000-0005-0000-0000-0000F23D0000}"/>
    <cellStyle name="Normal 2 2 2 2 4 8 3 8" xfId="15859" xr:uid="{00000000-0005-0000-0000-0000F33D0000}"/>
    <cellStyle name="Normal 2 2 2 2 4 8 3 9" xfId="15860" xr:uid="{00000000-0005-0000-0000-0000F43D0000}"/>
    <cellStyle name="Normal 2 2 2 2 4 8 4" xfId="15861" xr:uid="{00000000-0005-0000-0000-0000F53D0000}"/>
    <cellStyle name="Normal 2 2 2 2 4 8 4 10" xfId="15862" xr:uid="{00000000-0005-0000-0000-0000F63D0000}"/>
    <cellStyle name="Normal 2 2 2 2 4 8 4 2" xfId="15863" xr:uid="{00000000-0005-0000-0000-0000F73D0000}"/>
    <cellStyle name="Normal 2 2 2 2 4 8 4 3" xfId="15864" xr:uid="{00000000-0005-0000-0000-0000F83D0000}"/>
    <cellStyle name="Normal 2 2 2 2 4 8 4 4" xfId="15865" xr:uid="{00000000-0005-0000-0000-0000F93D0000}"/>
    <cellStyle name="Normal 2 2 2 2 4 8 4 5" xfId="15866" xr:uid="{00000000-0005-0000-0000-0000FA3D0000}"/>
    <cellStyle name="Normal 2 2 2 2 4 8 4 6" xfId="15867" xr:uid="{00000000-0005-0000-0000-0000FB3D0000}"/>
    <cellStyle name="Normal 2 2 2 2 4 8 4 7" xfId="15868" xr:uid="{00000000-0005-0000-0000-0000FC3D0000}"/>
    <cellStyle name="Normal 2 2 2 2 4 8 4 8" xfId="15869" xr:uid="{00000000-0005-0000-0000-0000FD3D0000}"/>
    <cellStyle name="Normal 2 2 2 2 4 8 4 9" xfId="15870" xr:uid="{00000000-0005-0000-0000-0000FE3D0000}"/>
    <cellStyle name="Normal 2 2 2 2 4 8 5" xfId="15871" xr:uid="{00000000-0005-0000-0000-0000FF3D0000}"/>
    <cellStyle name="Normal 2 2 2 2 4 8 5 10" xfId="15872" xr:uid="{00000000-0005-0000-0000-0000003E0000}"/>
    <cellStyle name="Normal 2 2 2 2 4 8 5 2" xfId="15873" xr:uid="{00000000-0005-0000-0000-0000013E0000}"/>
    <cellStyle name="Normal 2 2 2 2 4 8 5 3" xfId="15874" xr:uid="{00000000-0005-0000-0000-0000023E0000}"/>
    <cellStyle name="Normal 2 2 2 2 4 8 5 4" xfId="15875" xr:uid="{00000000-0005-0000-0000-0000033E0000}"/>
    <cellStyle name="Normal 2 2 2 2 4 8 5 5" xfId="15876" xr:uid="{00000000-0005-0000-0000-0000043E0000}"/>
    <cellStyle name="Normal 2 2 2 2 4 8 5 6" xfId="15877" xr:uid="{00000000-0005-0000-0000-0000053E0000}"/>
    <cellStyle name="Normal 2 2 2 2 4 8 5 7" xfId="15878" xr:uid="{00000000-0005-0000-0000-0000063E0000}"/>
    <cellStyle name="Normal 2 2 2 2 4 8 5 8" xfId="15879" xr:uid="{00000000-0005-0000-0000-0000073E0000}"/>
    <cellStyle name="Normal 2 2 2 2 4 8 5 9" xfId="15880" xr:uid="{00000000-0005-0000-0000-0000083E0000}"/>
    <cellStyle name="Normal 2 2 2 2 4 8 6" xfId="15881" xr:uid="{00000000-0005-0000-0000-0000093E0000}"/>
    <cellStyle name="Normal 2 2 2 2 4 8 7" xfId="15882" xr:uid="{00000000-0005-0000-0000-00000A3E0000}"/>
    <cellStyle name="Normal 2 2 2 2 4 8 8" xfId="15883" xr:uid="{00000000-0005-0000-0000-00000B3E0000}"/>
    <cellStyle name="Normal 2 2 2 2 4 8 9" xfId="15884" xr:uid="{00000000-0005-0000-0000-00000C3E0000}"/>
    <cellStyle name="Normal 2 2 2 2 4 9" xfId="15885" xr:uid="{00000000-0005-0000-0000-00000D3E0000}"/>
    <cellStyle name="Normal 2 2 2 2 4 9 10" xfId="15886" xr:uid="{00000000-0005-0000-0000-00000E3E0000}"/>
    <cellStyle name="Normal 2 2 2 2 4 9 11" xfId="15887" xr:uid="{00000000-0005-0000-0000-00000F3E0000}"/>
    <cellStyle name="Normal 2 2 2 2 4 9 12" xfId="15888" xr:uid="{00000000-0005-0000-0000-0000103E0000}"/>
    <cellStyle name="Normal 2 2 2 2 4 9 13" xfId="15889" xr:uid="{00000000-0005-0000-0000-0000113E0000}"/>
    <cellStyle name="Normal 2 2 2 2 4 9 14" xfId="15890" xr:uid="{00000000-0005-0000-0000-0000123E0000}"/>
    <cellStyle name="Normal 2 2 2 2 4 9 2" xfId="15891" xr:uid="{00000000-0005-0000-0000-0000133E0000}"/>
    <cellStyle name="Normal 2 2 2 2 4 9 2 10" xfId="15892" xr:uid="{00000000-0005-0000-0000-0000143E0000}"/>
    <cellStyle name="Normal 2 2 2 2 4 9 2 2" xfId="15893" xr:uid="{00000000-0005-0000-0000-0000153E0000}"/>
    <cellStyle name="Normal 2 2 2 2 4 9 2 3" xfId="15894" xr:uid="{00000000-0005-0000-0000-0000163E0000}"/>
    <cellStyle name="Normal 2 2 2 2 4 9 2 4" xfId="15895" xr:uid="{00000000-0005-0000-0000-0000173E0000}"/>
    <cellStyle name="Normal 2 2 2 2 4 9 2 5" xfId="15896" xr:uid="{00000000-0005-0000-0000-0000183E0000}"/>
    <cellStyle name="Normal 2 2 2 2 4 9 2 6" xfId="15897" xr:uid="{00000000-0005-0000-0000-0000193E0000}"/>
    <cellStyle name="Normal 2 2 2 2 4 9 2 7" xfId="15898" xr:uid="{00000000-0005-0000-0000-00001A3E0000}"/>
    <cellStyle name="Normal 2 2 2 2 4 9 2 8" xfId="15899" xr:uid="{00000000-0005-0000-0000-00001B3E0000}"/>
    <cellStyle name="Normal 2 2 2 2 4 9 2 9" xfId="15900" xr:uid="{00000000-0005-0000-0000-00001C3E0000}"/>
    <cellStyle name="Normal 2 2 2 2 4 9 3" xfId="15901" xr:uid="{00000000-0005-0000-0000-00001D3E0000}"/>
    <cellStyle name="Normal 2 2 2 2 4 9 3 10" xfId="15902" xr:uid="{00000000-0005-0000-0000-00001E3E0000}"/>
    <cellStyle name="Normal 2 2 2 2 4 9 3 2" xfId="15903" xr:uid="{00000000-0005-0000-0000-00001F3E0000}"/>
    <cellStyle name="Normal 2 2 2 2 4 9 3 3" xfId="15904" xr:uid="{00000000-0005-0000-0000-0000203E0000}"/>
    <cellStyle name="Normal 2 2 2 2 4 9 3 4" xfId="15905" xr:uid="{00000000-0005-0000-0000-0000213E0000}"/>
    <cellStyle name="Normal 2 2 2 2 4 9 3 5" xfId="15906" xr:uid="{00000000-0005-0000-0000-0000223E0000}"/>
    <cellStyle name="Normal 2 2 2 2 4 9 3 6" xfId="15907" xr:uid="{00000000-0005-0000-0000-0000233E0000}"/>
    <cellStyle name="Normal 2 2 2 2 4 9 3 7" xfId="15908" xr:uid="{00000000-0005-0000-0000-0000243E0000}"/>
    <cellStyle name="Normal 2 2 2 2 4 9 3 8" xfId="15909" xr:uid="{00000000-0005-0000-0000-0000253E0000}"/>
    <cellStyle name="Normal 2 2 2 2 4 9 3 9" xfId="15910" xr:uid="{00000000-0005-0000-0000-0000263E0000}"/>
    <cellStyle name="Normal 2 2 2 2 4 9 4" xfId="15911" xr:uid="{00000000-0005-0000-0000-0000273E0000}"/>
    <cellStyle name="Normal 2 2 2 2 4 9 4 10" xfId="15912" xr:uid="{00000000-0005-0000-0000-0000283E0000}"/>
    <cellStyle name="Normal 2 2 2 2 4 9 4 2" xfId="15913" xr:uid="{00000000-0005-0000-0000-0000293E0000}"/>
    <cellStyle name="Normal 2 2 2 2 4 9 4 3" xfId="15914" xr:uid="{00000000-0005-0000-0000-00002A3E0000}"/>
    <cellStyle name="Normal 2 2 2 2 4 9 4 4" xfId="15915" xr:uid="{00000000-0005-0000-0000-00002B3E0000}"/>
    <cellStyle name="Normal 2 2 2 2 4 9 4 5" xfId="15916" xr:uid="{00000000-0005-0000-0000-00002C3E0000}"/>
    <cellStyle name="Normal 2 2 2 2 4 9 4 6" xfId="15917" xr:uid="{00000000-0005-0000-0000-00002D3E0000}"/>
    <cellStyle name="Normal 2 2 2 2 4 9 4 7" xfId="15918" xr:uid="{00000000-0005-0000-0000-00002E3E0000}"/>
    <cellStyle name="Normal 2 2 2 2 4 9 4 8" xfId="15919" xr:uid="{00000000-0005-0000-0000-00002F3E0000}"/>
    <cellStyle name="Normal 2 2 2 2 4 9 4 9" xfId="15920" xr:uid="{00000000-0005-0000-0000-0000303E0000}"/>
    <cellStyle name="Normal 2 2 2 2 4 9 5" xfId="15921" xr:uid="{00000000-0005-0000-0000-0000313E0000}"/>
    <cellStyle name="Normal 2 2 2 2 4 9 5 10" xfId="15922" xr:uid="{00000000-0005-0000-0000-0000323E0000}"/>
    <cellStyle name="Normal 2 2 2 2 4 9 5 2" xfId="15923" xr:uid="{00000000-0005-0000-0000-0000333E0000}"/>
    <cellStyle name="Normal 2 2 2 2 4 9 5 3" xfId="15924" xr:uid="{00000000-0005-0000-0000-0000343E0000}"/>
    <cellStyle name="Normal 2 2 2 2 4 9 5 4" xfId="15925" xr:uid="{00000000-0005-0000-0000-0000353E0000}"/>
    <cellStyle name="Normal 2 2 2 2 4 9 5 5" xfId="15926" xr:uid="{00000000-0005-0000-0000-0000363E0000}"/>
    <cellStyle name="Normal 2 2 2 2 4 9 5 6" xfId="15927" xr:uid="{00000000-0005-0000-0000-0000373E0000}"/>
    <cellStyle name="Normal 2 2 2 2 4 9 5 7" xfId="15928" xr:uid="{00000000-0005-0000-0000-0000383E0000}"/>
    <cellStyle name="Normal 2 2 2 2 4 9 5 8" xfId="15929" xr:uid="{00000000-0005-0000-0000-0000393E0000}"/>
    <cellStyle name="Normal 2 2 2 2 4 9 5 9" xfId="15930" xr:uid="{00000000-0005-0000-0000-00003A3E0000}"/>
    <cellStyle name="Normal 2 2 2 2 4 9 6" xfId="15931" xr:uid="{00000000-0005-0000-0000-00003B3E0000}"/>
    <cellStyle name="Normal 2 2 2 2 4 9 7" xfId="15932" xr:uid="{00000000-0005-0000-0000-00003C3E0000}"/>
    <cellStyle name="Normal 2 2 2 2 4 9 8" xfId="15933" xr:uid="{00000000-0005-0000-0000-00003D3E0000}"/>
    <cellStyle name="Normal 2 2 2 2 4 9 9" xfId="15934" xr:uid="{00000000-0005-0000-0000-00003E3E0000}"/>
    <cellStyle name="Normal 2 2 2 2 40" xfId="15935" xr:uid="{00000000-0005-0000-0000-00003F3E0000}"/>
    <cellStyle name="Normal 2 2 2 2 40 10" xfId="15936" xr:uid="{00000000-0005-0000-0000-0000403E0000}"/>
    <cellStyle name="Normal 2 2 2 2 40 2" xfId="15937" xr:uid="{00000000-0005-0000-0000-0000413E0000}"/>
    <cellStyle name="Normal 2 2 2 2 40 3" xfId="15938" xr:uid="{00000000-0005-0000-0000-0000423E0000}"/>
    <cellStyle name="Normal 2 2 2 2 40 4" xfId="15939" xr:uid="{00000000-0005-0000-0000-0000433E0000}"/>
    <cellStyle name="Normal 2 2 2 2 40 5" xfId="15940" xr:uid="{00000000-0005-0000-0000-0000443E0000}"/>
    <cellStyle name="Normal 2 2 2 2 40 6" xfId="15941" xr:uid="{00000000-0005-0000-0000-0000453E0000}"/>
    <cellStyle name="Normal 2 2 2 2 40 7" xfId="15942" xr:uid="{00000000-0005-0000-0000-0000463E0000}"/>
    <cellStyle name="Normal 2 2 2 2 40 8" xfId="15943" xr:uid="{00000000-0005-0000-0000-0000473E0000}"/>
    <cellStyle name="Normal 2 2 2 2 40 9" xfId="15944" xr:uid="{00000000-0005-0000-0000-0000483E0000}"/>
    <cellStyle name="Normal 2 2 2 2 41" xfId="15945" xr:uid="{00000000-0005-0000-0000-0000493E0000}"/>
    <cellStyle name="Normal 2 2 2 2 42" xfId="15946" xr:uid="{00000000-0005-0000-0000-00004A3E0000}"/>
    <cellStyle name="Normal 2 2 2 2 43" xfId="15947" xr:uid="{00000000-0005-0000-0000-00004B3E0000}"/>
    <cellStyle name="Normal 2 2 2 2 44" xfId="15948" xr:uid="{00000000-0005-0000-0000-00004C3E0000}"/>
    <cellStyle name="Normal 2 2 2 2 45" xfId="15949" xr:uid="{00000000-0005-0000-0000-00004D3E0000}"/>
    <cellStyle name="Normal 2 2 2 2 46" xfId="15950" xr:uid="{00000000-0005-0000-0000-00004E3E0000}"/>
    <cellStyle name="Normal 2 2 2 2 47" xfId="15951" xr:uid="{00000000-0005-0000-0000-00004F3E0000}"/>
    <cellStyle name="Normal 2 2 2 2 48" xfId="15952" xr:uid="{00000000-0005-0000-0000-0000503E0000}"/>
    <cellStyle name="Normal 2 2 2 2 49" xfId="15953" xr:uid="{00000000-0005-0000-0000-0000513E0000}"/>
    <cellStyle name="Normal 2 2 2 2 5" xfId="15954" xr:uid="{00000000-0005-0000-0000-0000523E0000}"/>
    <cellStyle name="Normal 2 2 2 2 5 10" xfId="15955" xr:uid="{00000000-0005-0000-0000-0000533E0000}"/>
    <cellStyle name="Normal 2 2 2 2 5 10 10" xfId="15956" xr:uid="{00000000-0005-0000-0000-0000543E0000}"/>
    <cellStyle name="Normal 2 2 2 2 5 10 11" xfId="15957" xr:uid="{00000000-0005-0000-0000-0000553E0000}"/>
    <cellStyle name="Normal 2 2 2 2 5 10 12" xfId="15958" xr:uid="{00000000-0005-0000-0000-0000563E0000}"/>
    <cellStyle name="Normal 2 2 2 2 5 10 13" xfId="15959" xr:uid="{00000000-0005-0000-0000-0000573E0000}"/>
    <cellStyle name="Normal 2 2 2 2 5 10 14" xfId="15960" xr:uid="{00000000-0005-0000-0000-0000583E0000}"/>
    <cellStyle name="Normal 2 2 2 2 5 10 2" xfId="15961" xr:uid="{00000000-0005-0000-0000-0000593E0000}"/>
    <cellStyle name="Normal 2 2 2 2 5 10 2 10" xfId="15962" xr:uid="{00000000-0005-0000-0000-00005A3E0000}"/>
    <cellStyle name="Normal 2 2 2 2 5 10 2 2" xfId="15963" xr:uid="{00000000-0005-0000-0000-00005B3E0000}"/>
    <cellStyle name="Normal 2 2 2 2 5 10 2 3" xfId="15964" xr:uid="{00000000-0005-0000-0000-00005C3E0000}"/>
    <cellStyle name="Normal 2 2 2 2 5 10 2 4" xfId="15965" xr:uid="{00000000-0005-0000-0000-00005D3E0000}"/>
    <cellStyle name="Normal 2 2 2 2 5 10 2 5" xfId="15966" xr:uid="{00000000-0005-0000-0000-00005E3E0000}"/>
    <cellStyle name="Normal 2 2 2 2 5 10 2 6" xfId="15967" xr:uid="{00000000-0005-0000-0000-00005F3E0000}"/>
    <cellStyle name="Normal 2 2 2 2 5 10 2 7" xfId="15968" xr:uid="{00000000-0005-0000-0000-0000603E0000}"/>
    <cellStyle name="Normal 2 2 2 2 5 10 2 8" xfId="15969" xr:uid="{00000000-0005-0000-0000-0000613E0000}"/>
    <cellStyle name="Normal 2 2 2 2 5 10 2 9" xfId="15970" xr:uid="{00000000-0005-0000-0000-0000623E0000}"/>
    <cellStyle name="Normal 2 2 2 2 5 10 3" xfId="15971" xr:uid="{00000000-0005-0000-0000-0000633E0000}"/>
    <cellStyle name="Normal 2 2 2 2 5 10 3 10" xfId="15972" xr:uid="{00000000-0005-0000-0000-0000643E0000}"/>
    <cellStyle name="Normal 2 2 2 2 5 10 3 2" xfId="15973" xr:uid="{00000000-0005-0000-0000-0000653E0000}"/>
    <cellStyle name="Normal 2 2 2 2 5 10 3 3" xfId="15974" xr:uid="{00000000-0005-0000-0000-0000663E0000}"/>
    <cellStyle name="Normal 2 2 2 2 5 10 3 4" xfId="15975" xr:uid="{00000000-0005-0000-0000-0000673E0000}"/>
    <cellStyle name="Normal 2 2 2 2 5 10 3 5" xfId="15976" xr:uid="{00000000-0005-0000-0000-0000683E0000}"/>
    <cellStyle name="Normal 2 2 2 2 5 10 3 6" xfId="15977" xr:uid="{00000000-0005-0000-0000-0000693E0000}"/>
    <cellStyle name="Normal 2 2 2 2 5 10 3 7" xfId="15978" xr:uid="{00000000-0005-0000-0000-00006A3E0000}"/>
    <cellStyle name="Normal 2 2 2 2 5 10 3 8" xfId="15979" xr:uid="{00000000-0005-0000-0000-00006B3E0000}"/>
    <cellStyle name="Normal 2 2 2 2 5 10 3 9" xfId="15980" xr:uid="{00000000-0005-0000-0000-00006C3E0000}"/>
    <cellStyle name="Normal 2 2 2 2 5 10 4" xfId="15981" xr:uid="{00000000-0005-0000-0000-00006D3E0000}"/>
    <cellStyle name="Normal 2 2 2 2 5 10 4 10" xfId="15982" xr:uid="{00000000-0005-0000-0000-00006E3E0000}"/>
    <cellStyle name="Normal 2 2 2 2 5 10 4 2" xfId="15983" xr:uid="{00000000-0005-0000-0000-00006F3E0000}"/>
    <cellStyle name="Normal 2 2 2 2 5 10 4 3" xfId="15984" xr:uid="{00000000-0005-0000-0000-0000703E0000}"/>
    <cellStyle name="Normal 2 2 2 2 5 10 4 4" xfId="15985" xr:uid="{00000000-0005-0000-0000-0000713E0000}"/>
    <cellStyle name="Normal 2 2 2 2 5 10 4 5" xfId="15986" xr:uid="{00000000-0005-0000-0000-0000723E0000}"/>
    <cellStyle name="Normal 2 2 2 2 5 10 4 6" xfId="15987" xr:uid="{00000000-0005-0000-0000-0000733E0000}"/>
    <cellStyle name="Normal 2 2 2 2 5 10 4 7" xfId="15988" xr:uid="{00000000-0005-0000-0000-0000743E0000}"/>
    <cellStyle name="Normal 2 2 2 2 5 10 4 8" xfId="15989" xr:uid="{00000000-0005-0000-0000-0000753E0000}"/>
    <cellStyle name="Normal 2 2 2 2 5 10 4 9" xfId="15990" xr:uid="{00000000-0005-0000-0000-0000763E0000}"/>
    <cellStyle name="Normal 2 2 2 2 5 10 5" xfId="15991" xr:uid="{00000000-0005-0000-0000-0000773E0000}"/>
    <cellStyle name="Normal 2 2 2 2 5 10 5 10" xfId="15992" xr:uid="{00000000-0005-0000-0000-0000783E0000}"/>
    <cellStyle name="Normal 2 2 2 2 5 10 5 2" xfId="15993" xr:uid="{00000000-0005-0000-0000-0000793E0000}"/>
    <cellStyle name="Normal 2 2 2 2 5 10 5 3" xfId="15994" xr:uid="{00000000-0005-0000-0000-00007A3E0000}"/>
    <cellStyle name="Normal 2 2 2 2 5 10 5 4" xfId="15995" xr:uid="{00000000-0005-0000-0000-00007B3E0000}"/>
    <cellStyle name="Normal 2 2 2 2 5 10 5 5" xfId="15996" xr:uid="{00000000-0005-0000-0000-00007C3E0000}"/>
    <cellStyle name="Normal 2 2 2 2 5 10 5 6" xfId="15997" xr:uid="{00000000-0005-0000-0000-00007D3E0000}"/>
    <cellStyle name="Normal 2 2 2 2 5 10 5 7" xfId="15998" xr:uid="{00000000-0005-0000-0000-00007E3E0000}"/>
    <cellStyle name="Normal 2 2 2 2 5 10 5 8" xfId="15999" xr:uid="{00000000-0005-0000-0000-00007F3E0000}"/>
    <cellStyle name="Normal 2 2 2 2 5 10 5 9" xfId="16000" xr:uid="{00000000-0005-0000-0000-0000803E0000}"/>
    <cellStyle name="Normal 2 2 2 2 5 10 6" xfId="16001" xr:uid="{00000000-0005-0000-0000-0000813E0000}"/>
    <cellStyle name="Normal 2 2 2 2 5 10 7" xfId="16002" xr:uid="{00000000-0005-0000-0000-0000823E0000}"/>
    <cellStyle name="Normal 2 2 2 2 5 10 8" xfId="16003" xr:uid="{00000000-0005-0000-0000-0000833E0000}"/>
    <cellStyle name="Normal 2 2 2 2 5 10 9" xfId="16004" xr:uid="{00000000-0005-0000-0000-0000843E0000}"/>
    <cellStyle name="Normal 2 2 2 2 5 11" xfId="16005" xr:uid="{00000000-0005-0000-0000-0000853E0000}"/>
    <cellStyle name="Normal 2 2 2 2 5 11 10" xfId="16006" xr:uid="{00000000-0005-0000-0000-0000863E0000}"/>
    <cellStyle name="Normal 2 2 2 2 5 11 11" xfId="16007" xr:uid="{00000000-0005-0000-0000-0000873E0000}"/>
    <cellStyle name="Normal 2 2 2 2 5 11 12" xfId="16008" xr:uid="{00000000-0005-0000-0000-0000883E0000}"/>
    <cellStyle name="Normal 2 2 2 2 5 11 13" xfId="16009" xr:uid="{00000000-0005-0000-0000-0000893E0000}"/>
    <cellStyle name="Normal 2 2 2 2 5 11 14" xfId="16010" xr:uid="{00000000-0005-0000-0000-00008A3E0000}"/>
    <cellStyle name="Normal 2 2 2 2 5 11 2" xfId="16011" xr:uid="{00000000-0005-0000-0000-00008B3E0000}"/>
    <cellStyle name="Normal 2 2 2 2 5 11 2 10" xfId="16012" xr:uid="{00000000-0005-0000-0000-00008C3E0000}"/>
    <cellStyle name="Normal 2 2 2 2 5 11 2 2" xfId="16013" xr:uid="{00000000-0005-0000-0000-00008D3E0000}"/>
    <cellStyle name="Normal 2 2 2 2 5 11 2 3" xfId="16014" xr:uid="{00000000-0005-0000-0000-00008E3E0000}"/>
    <cellStyle name="Normal 2 2 2 2 5 11 2 4" xfId="16015" xr:uid="{00000000-0005-0000-0000-00008F3E0000}"/>
    <cellStyle name="Normal 2 2 2 2 5 11 2 5" xfId="16016" xr:uid="{00000000-0005-0000-0000-0000903E0000}"/>
    <cellStyle name="Normal 2 2 2 2 5 11 2 6" xfId="16017" xr:uid="{00000000-0005-0000-0000-0000913E0000}"/>
    <cellStyle name="Normal 2 2 2 2 5 11 2 7" xfId="16018" xr:uid="{00000000-0005-0000-0000-0000923E0000}"/>
    <cellStyle name="Normal 2 2 2 2 5 11 2 8" xfId="16019" xr:uid="{00000000-0005-0000-0000-0000933E0000}"/>
    <cellStyle name="Normal 2 2 2 2 5 11 2 9" xfId="16020" xr:uid="{00000000-0005-0000-0000-0000943E0000}"/>
    <cellStyle name="Normal 2 2 2 2 5 11 3" xfId="16021" xr:uid="{00000000-0005-0000-0000-0000953E0000}"/>
    <cellStyle name="Normal 2 2 2 2 5 11 3 10" xfId="16022" xr:uid="{00000000-0005-0000-0000-0000963E0000}"/>
    <cellStyle name="Normal 2 2 2 2 5 11 3 2" xfId="16023" xr:uid="{00000000-0005-0000-0000-0000973E0000}"/>
    <cellStyle name="Normal 2 2 2 2 5 11 3 3" xfId="16024" xr:uid="{00000000-0005-0000-0000-0000983E0000}"/>
    <cellStyle name="Normal 2 2 2 2 5 11 3 4" xfId="16025" xr:uid="{00000000-0005-0000-0000-0000993E0000}"/>
    <cellStyle name="Normal 2 2 2 2 5 11 3 5" xfId="16026" xr:uid="{00000000-0005-0000-0000-00009A3E0000}"/>
    <cellStyle name="Normal 2 2 2 2 5 11 3 6" xfId="16027" xr:uid="{00000000-0005-0000-0000-00009B3E0000}"/>
    <cellStyle name="Normal 2 2 2 2 5 11 3 7" xfId="16028" xr:uid="{00000000-0005-0000-0000-00009C3E0000}"/>
    <cellStyle name="Normal 2 2 2 2 5 11 3 8" xfId="16029" xr:uid="{00000000-0005-0000-0000-00009D3E0000}"/>
    <cellStyle name="Normal 2 2 2 2 5 11 3 9" xfId="16030" xr:uid="{00000000-0005-0000-0000-00009E3E0000}"/>
    <cellStyle name="Normal 2 2 2 2 5 11 4" xfId="16031" xr:uid="{00000000-0005-0000-0000-00009F3E0000}"/>
    <cellStyle name="Normal 2 2 2 2 5 11 4 10" xfId="16032" xr:uid="{00000000-0005-0000-0000-0000A03E0000}"/>
    <cellStyle name="Normal 2 2 2 2 5 11 4 2" xfId="16033" xr:uid="{00000000-0005-0000-0000-0000A13E0000}"/>
    <cellStyle name="Normal 2 2 2 2 5 11 4 3" xfId="16034" xr:uid="{00000000-0005-0000-0000-0000A23E0000}"/>
    <cellStyle name="Normal 2 2 2 2 5 11 4 4" xfId="16035" xr:uid="{00000000-0005-0000-0000-0000A33E0000}"/>
    <cellStyle name="Normal 2 2 2 2 5 11 4 5" xfId="16036" xr:uid="{00000000-0005-0000-0000-0000A43E0000}"/>
    <cellStyle name="Normal 2 2 2 2 5 11 4 6" xfId="16037" xr:uid="{00000000-0005-0000-0000-0000A53E0000}"/>
    <cellStyle name="Normal 2 2 2 2 5 11 4 7" xfId="16038" xr:uid="{00000000-0005-0000-0000-0000A63E0000}"/>
    <cellStyle name="Normal 2 2 2 2 5 11 4 8" xfId="16039" xr:uid="{00000000-0005-0000-0000-0000A73E0000}"/>
    <cellStyle name="Normal 2 2 2 2 5 11 4 9" xfId="16040" xr:uid="{00000000-0005-0000-0000-0000A83E0000}"/>
    <cellStyle name="Normal 2 2 2 2 5 11 5" xfId="16041" xr:uid="{00000000-0005-0000-0000-0000A93E0000}"/>
    <cellStyle name="Normal 2 2 2 2 5 11 5 10" xfId="16042" xr:uid="{00000000-0005-0000-0000-0000AA3E0000}"/>
    <cellStyle name="Normal 2 2 2 2 5 11 5 2" xfId="16043" xr:uid="{00000000-0005-0000-0000-0000AB3E0000}"/>
    <cellStyle name="Normal 2 2 2 2 5 11 5 3" xfId="16044" xr:uid="{00000000-0005-0000-0000-0000AC3E0000}"/>
    <cellStyle name="Normal 2 2 2 2 5 11 5 4" xfId="16045" xr:uid="{00000000-0005-0000-0000-0000AD3E0000}"/>
    <cellStyle name="Normal 2 2 2 2 5 11 5 5" xfId="16046" xr:uid="{00000000-0005-0000-0000-0000AE3E0000}"/>
    <cellStyle name="Normal 2 2 2 2 5 11 5 6" xfId="16047" xr:uid="{00000000-0005-0000-0000-0000AF3E0000}"/>
    <cellStyle name="Normal 2 2 2 2 5 11 5 7" xfId="16048" xr:uid="{00000000-0005-0000-0000-0000B03E0000}"/>
    <cellStyle name="Normal 2 2 2 2 5 11 5 8" xfId="16049" xr:uid="{00000000-0005-0000-0000-0000B13E0000}"/>
    <cellStyle name="Normal 2 2 2 2 5 11 5 9" xfId="16050" xr:uid="{00000000-0005-0000-0000-0000B23E0000}"/>
    <cellStyle name="Normal 2 2 2 2 5 11 6" xfId="16051" xr:uid="{00000000-0005-0000-0000-0000B33E0000}"/>
    <cellStyle name="Normal 2 2 2 2 5 11 7" xfId="16052" xr:uid="{00000000-0005-0000-0000-0000B43E0000}"/>
    <cellStyle name="Normal 2 2 2 2 5 11 8" xfId="16053" xr:uid="{00000000-0005-0000-0000-0000B53E0000}"/>
    <cellStyle name="Normal 2 2 2 2 5 11 9" xfId="16054" xr:uid="{00000000-0005-0000-0000-0000B63E0000}"/>
    <cellStyle name="Normal 2 2 2 2 5 12" xfId="16055" xr:uid="{00000000-0005-0000-0000-0000B73E0000}"/>
    <cellStyle name="Normal 2 2 2 2 5 12 10" xfId="16056" xr:uid="{00000000-0005-0000-0000-0000B83E0000}"/>
    <cellStyle name="Normal 2 2 2 2 5 12 11" xfId="16057" xr:uid="{00000000-0005-0000-0000-0000B93E0000}"/>
    <cellStyle name="Normal 2 2 2 2 5 12 12" xfId="16058" xr:uid="{00000000-0005-0000-0000-0000BA3E0000}"/>
    <cellStyle name="Normal 2 2 2 2 5 12 13" xfId="16059" xr:uid="{00000000-0005-0000-0000-0000BB3E0000}"/>
    <cellStyle name="Normal 2 2 2 2 5 12 14" xfId="16060" xr:uid="{00000000-0005-0000-0000-0000BC3E0000}"/>
    <cellStyle name="Normal 2 2 2 2 5 12 2" xfId="16061" xr:uid="{00000000-0005-0000-0000-0000BD3E0000}"/>
    <cellStyle name="Normal 2 2 2 2 5 12 2 10" xfId="16062" xr:uid="{00000000-0005-0000-0000-0000BE3E0000}"/>
    <cellStyle name="Normal 2 2 2 2 5 12 2 2" xfId="16063" xr:uid="{00000000-0005-0000-0000-0000BF3E0000}"/>
    <cellStyle name="Normal 2 2 2 2 5 12 2 3" xfId="16064" xr:uid="{00000000-0005-0000-0000-0000C03E0000}"/>
    <cellStyle name="Normal 2 2 2 2 5 12 2 4" xfId="16065" xr:uid="{00000000-0005-0000-0000-0000C13E0000}"/>
    <cellStyle name="Normal 2 2 2 2 5 12 2 5" xfId="16066" xr:uid="{00000000-0005-0000-0000-0000C23E0000}"/>
    <cellStyle name="Normal 2 2 2 2 5 12 2 6" xfId="16067" xr:uid="{00000000-0005-0000-0000-0000C33E0000}"/>
    <cellStyle name="Normal 2 2 2 2 5 12 2 7" xfId="16068" xr:uid="{00000000-0005-0000-0000-0000C43E0000}"/>
    <cellStyle name="Normal 2 2 2 2 5 12 2 8" xfId="16069" xr:uid="{00000000-0005-0000-0000-0000C53E0000}"/>
    <cellStyle name="Normal 2 2 2 2 5 12 2 9" xfId="16070" xr:uid="{00000000-0005-0000-0000-0000C63E0000}"/>
    <cellStyle name="Normal 2 2 2 2 5 12 3" xfId="16071" xr:uid="{00000000-0005-0000-0000-0000C73E0000}"/>
    <cellStyle name="Normal 2 2 2 2 5 12 3 10" xfId="16072" xr:uid="{00000000-0005-0000-0000-0000C83E0000}"/>
    <cellStyle name="Normal 2 2 2 2 5 12 3 2" xfId="16073" xr:uid="{00000000-0005-0000-0000-0000C93E0000}"/>
    <cellStyle name="Normal 2 2 2 2 5 12 3 3" xfId="16074" xr:uid="{00000000-0005-0000-0000-0000CA3E0000}"/>
    <cellStyle name="Normal 2 2 2 2 5 12 3 4" xfId="16075" xr:uid="{00000000-0005-0000-0000-0000CB3E0000}"/>
    <cellStyle name="Normal 2 2 2 2 5 12 3 5" xfId="16076" xr:uid="{00000000-0005-0000-0000-0000CC3E0000}"/>
    <cellStyle name="Normal 2 2 2 2 5 12 3 6" xfId="16077" xr:uid="{00000000-0005-0000-0000-0000CD3E0000}"/>
    <cellStyle name="Normal 2 2 2 2 5 12 3 7" xfId="16078" xr:uid="{00000000-0005-0000-0000-0000CE3E0000}"/>
    <cellStyle name="Normal 2 2 2 2 5 12 3 8" xfId="16079" xr:uid="{00000000-0005-0000-0000-0000CF3E0000}"/>
    <cellStyle name="Normal 2 2 2 2 5 12 3 9" xfId="16080" xr:uid="{00000000-0005-0000-0000-0000D03E0000}"/>
    <cellStyle name="Normal 2 2 2 2 5 12 4" xfId="16081" xr:uid="{00000000-0005-0000-0000-0000D13E0000}"/>
    <cellStyle name="Normal 2 2 2 2 5 12 4 10" xfId="16082" xr:uid="{00000000-0005-0000-0000-0000D23E0000}"/>
    <cellStyle name="Normal 2 2 2 2 5 12 4 2" xfId="16083" xr:uid="{00000000-0005-0000-0000-0000D33E0000}"/>
    <cellStyle name="Normal 2 2 2 2 5 12 4 3" xfId="16084" xr:uid="{00000000-0005-0000-0000-0000D43E0000}"/>
    <cellStyle name="Normal 2 2 2 2 5 12 4 4" xfId="16085" xr:uid="{00000000-0005-0000-0000-0000D53E0000}"/>
    <cellStyle name="Normal 2 2 2 2 5 12 4 5" xfId="16086" xr:uid="{00000000-0005-0000-0000-0000D63E0000}"/>
    <cellStyle name="Normal 2 2 2 2 5 12 4 6" xfId="16087" xr:uid="{00000000-0005-0000-0000-0000D73E0000}"/>
    <cellStyle name="Normal 2 2 2 2 5 12 4 7" xfId="16088" xr:uid="{00000000-0005-0000-0000-0000D83E0000}"/>
    <cellStyle name="Normal 2 2 2 2 5 12 4 8" xfId="16089" xr:uid="{00000000-0005-0000-0000-0000D93E0000}"/>
    <cellStyle name="Normal 2 2 2 2 5 12 4 9" xfId="16090" xr:uid="{00000000-0005-0000-0000-0000DA3E0000}"/>
    <cellStyle name="Normal 2 2 2 2 5 12 5" xfId="16091" xr:uid="{00000000-0005-0000-0000-0000DB3E0000}"/>
    <cellStyle name="Normal 2 2 2 2 5 12 5 10" xfId="16092" xr:uid="{00000000-0005-0000-0000-0000DC3E0000}"/>
    <cellStyle name="Normal 2 2 2 2 5 12 5 2" xfId="16093" xr:uid="{00000000-0005-0000-0000-0000DD3E0000}"/>
    <cellStyle name="Normal 2 2 2 2 5 12 5 3" xfId="16094" xr:uid="{00000000-0005-0000-0000-0000DE3E0000}"/>
    <cellStyle name="Normal 2 2 2 2 5 12 5 4" xfId="16095" xr:uid="{00000000-0005-0000-0000-0000DF3E0000}"/>
    <cellStyle name="Normal 2 2 2 2 5 12 5 5" xfId="16096" xr:uid="{00000000-0005-0000-0000-0000E03E0000}"/>
    <cellStyle name="Normal 2 2 2 2 5 12 5 6" xfId="16097" xr:uid="{00000000-0005-0000-0000-0000E13E0000}"/>
    <cellStyle name="Normal 2 2 2 2 5 12 5 7" xfId="16098" xr:uid="{00000000-0005-0000-0000-0000E23E0000}"/>
    <cellStyle name="Normal 2 2 2 2 5 12 5 8" xfId="16099" xr:uid="{00000000-0005-0000-0000-0000E33E0000}"/>
    <cellStyle name="Normal 2 2 2 2 5 12 5 9" xfId="16100" xr:uid="{00000000-0005-0000-0000-0000E43E0000}"/>
    <cellStyle name="Normal 2 2 2 2 5 12 6" xfId="16101" xr:uid="{00000000-0005-0000-0000-0000E53E0000}"/>
    <cellStyle name="Normal 2 2 2 2 5 12 7" xfId="16102" xr:uid="{00000000-0005-0000-0000-0000E63E0000}"/>
    <cellStyle name="Normal 2 2 2 2 5 12 8" xfId="16103" xr:uid="{00000000-0005-0000-0000-0000E73E0000}"/>
    <cellStyle name="Normal 2 2 2 2 5 12 9" xfId="16104" xr:uid="{00000000-0005-0000-0000-0000E83E0000}"/>
    <cellStyle name="Normal 2 2 2 2 5 13" xfId="16105" xr:uid="{00000000-0005-0000-0000-0000E93E0000}"/>
    <cellStyle name="Normal 2 2 2 2 5 13 10" xfId="16106" xr:uid="{00000000-0005-0000-0000-0000EA3E0000}"/>
    <cellStyle name="Normal 2 2 2 2 5 13 11" xfId="16107" xr:uid="{00000000-0005-0000-0000-0000EB3E0000}"/>
    <cellStyle name="Normal 2 2 2 2 5 13 12" xfId="16108" xr:uid="{00000000-0005-0000-0000-0000EC3E0000}"/>
    <cellStyle name="Normal 2 2 2 2 5 13 13" xfId="16109" xr:uid="{00000000-0005-0000-0000-0000ED3E0000}"/>
    <cellStyle name="Normal 2 2 2 2 5 13 14" xfId="16110" xr:uid="{00000000-0005-0000-0000-0000EE3E0000}"/>
    <cellStyle name="Normal 2 2 2 2 5 13 2" xfId="16111" xr:uid="{00000000-0005-0000-0000-0000EF3E0000}"/>
    <cellStyle name="Normal 2 2 2 2 5 13 2 10" xfId="16112" xr:uid="{00000000-0005-0000-0000-0000F03E0000}"/>
    <cellStyle name="Normal 2 2 2 2 5 13 2 2" xfId="16113" xr:uid="{00000000-0005-0000-0000-0000F13E0000}"/>
    <cellStyle name="Normal 2 2 2 2 5 13 2 3" xfId="16114" xr:uid="{00000000-0005-0000-0000-0000F23E0000}"/>
    <cellStyle name="Normal 2 2 2 2 5 13 2 4" xfId="16115" xr:uid="{00000000-0005-0000-0000-0000F33E0000}"/>
    <cellStyle name="Normal 2 2 2 2 5 13 2 5" xfId="16116" xr:uid="{00000000-0005-0000-0000-0000F43E0000}"/>
    <cellStyle name="Normal 2 2 2 2 5 13 2 6" xfId="16117" xr:uid="{00000000-0005-0000-0000-0000F53E0000}"/>
    <cellStyle name="Normal 2 2 2 2 5 13 2 7" xfId="16118" xr:uid="{00000000-0005-0000-0000-0000F63E0000}"/>
    <cellStyle name="Normal 2 2 2 2 5 13 2 8" xfId="16119" xr:uid="{00000000-0005-0000-0000-0000F73E0000}"/>
    <cellStyle name="Normal 2 2 2 2 5 13 2 9" xfId="16120" xr:uid="{00000000-0005-0000-0000-0000F83E0000}"/>
    <cellStyle name="Normal 2 2 2 2 5 13 3" xfId="16121" xr:uid="{00000000-0005-0000-0000-0000F93E0000}"/>
    <cellStyle name="Normal 2 2 2 2 5 13 3 10" xfId="16122" xr:uid="{00000000-0005-0000-0000-0000FA3E0000}"/>
    <cellStyle name="Normal 2 2 2 2 5 13 3 2" xfId="16123" xr:uid="{00000000-0005-0000-0000-0000FB3E0000}"/>
    <cellStyle name="Normal 2 2 2 2 5 13 3 3" xfId="16124" xr:uid="{00000000-0005-0000-0000-0000FC3E0000}"/>
    <cellStyle name="Normal 2 2 2 2 5 13 3 4" xfId="16125" xr:uid="{00000000-0005-0000-0000-0000FD3E0000}"/>
    <cellStyle name="Normal 2 2 2 2 5 13 3 5" xfId="16126" xr:uid="{00000000-0005-0000-0000-0000FE3E0000}"/>
    <cellStyle name="Normal 2 2 2 2 5 13 3 6" xfId="16127" xr:uid="{00000000-0005-0000-0000-0000FF3E0000}"/>
    <cellStyle name="Normal 2 2 2 2 5 13 3 7" xfId="16128" xr:uid="{00000000-0005-0000-0000-0000003F0000}"/>
    <cellStyle name="Normal 2 2 2 2 5 13 3 8" xfId="16129" xr:uid="{00000000-0005-0000-0000-0000013F0000}"/>
    <cellStyle name="Normal 2 2 2 2 5 13 3 9" xfId="16130" xr:uid="{00000000-0005-0000-0000-0000023F0000}"/>
    <cellStyle name="Normal 2 2 2 2 5 13 4" xfId="16131" xr:uid="{00000000-0005-0000-0000-0000033F0000}"/>
    <cellStyle name="Normal 2 2 2 2 5 13 4 10" xfId="16132" xr:uid="{00000000-0005-0000-0000-0000043F0000}"/>
    <cellStyle name="Normal 2 2 2 2 5 13 4 2" xfId="16133" xr:uid="{00000000-0005-0000-0000-0000053F0000}"/>
    <cellStyle name="Normal 2 2 2 2 5 13 4 3" xfId="16134" xr:uid="{00000000-0005-0000-0000-0000063F0000}"/>
    <cellStyle name="Normal 2 2 2 2 5 13 4 4" xfId="16135" xr:uid="{00000000-0005-0000-0000-0000073F0000}"/>
    <cellStyle name="Normal 2 2 2 2 5 13 4 5" xfId="16136" xr:uid="{00000000-0005-0000-0000-0000083F0000}"/>
    <cellStyle name="Normal 2 2 2 2 5 13 4 6" xfId="16137" xr:uid="{00000000-0005-0000-0000-0000093F0000}"/>
    <cellStyle name="Normal 2 2 2 2 5 13 4 7" xfId="16138" xr:uid="{00000000-0005-0000-0000-00000A3F0000}"/>
    <cellStyle name="Normal 2 2 2 2 5 13 4 8" xfId="16139" xr:uid="{00000000-0005-0000-0000-00000B3F0000}"/>
    <cellStyle name="Normal 2 2 2 2 5 13 4 9" xfId="16140" xr:uid="{00000000-0005-0000-0000-00000C3F0000}"/>
    <cellStyle name="Normal 2 2 2 2 5 13 5" xfId="16141" xr:uid="{00000000-0005-0000-0000-00000D3F0000}"/>
    <cellStyle name="Normal 2 2 2 2 5 13 5 10" xfId="16142" xr:uid="{00000000-0005-0000-0000-00000E3F0000}"/>
    <cellStyle name="Normal 2 2 2 2 5 13 5 2" xfId="16143" xr:uid="{00000000-0005-0000-0000-00000F3F0000}"/>
    <cellStyle name="Normal 2 2 2 2 5 13 5 3" xfId="16144" xr:uid="{00000000-0005-0000-0000-0000103F0000}"/>
    <cellStyle name="Normal 2 2 2 2 5 13 5 4" xfId="16145" xr:uid="{00000000-0005-0000-0000-0000113F0000}"/>
    <cellStyle name="Normal 2 2 2 2 5 13 5 5" xfId="16146" xr:uid="{00000000-0005-0000-0000-0000123F0000}"/>
    <cellStyle name="Normal 2 2 2 2 5 13 5 6" xfId="16147" xr:uid="{00000000-0005-0000-0000-0000133F0000}"/>
    <cellStyle name="Normal 2 2 2 2 5 13 5 7" xfId="16148" xr:uid="{00000000-0005-0000-0000-0000143F0000}"/>
    <cellStyle name="Normal 2 2 2 2 5 13 5 8" xfId="16149" xr:uid="{00000000-0005-0000-0000-0000153F0000}"/>
    <cellStyle name="Normal 2 2 2 2 5 13 5 9" xfId="16150" xr:uid="{00000000-0005-0000-0000-0000163F0000}"/>
    <cellStyle name="Normal 2 2 2 2 5 13 6" xfId="16151" xr:uid="{00000000-0005-0000-0000-0000173F0000}"/>
    <cellStyle name="Normal 2 2 2 2 5 13 7" xfId="16152" xr:uid="{00000000-0005-0000-0000-0000183F0000}"/>
    <cellStyle name="Normal 2 2 2 2 5 13 8" xfId="16153" xr:uid="{00000000-0005-0000-0000-0000193F0000}"/>
    <cellStyle name="Normal 2 2 2 2 5 13 9" xfId="16154" xr:uid="{00000000-0005-0000-0000-00001A3F0000}"/>
    <cellStyle name="Normal 2 2 2 2 5 14" xfId="16155" xr:uid="{00000000-0005-0000-0000-00001B3F0000}"/>
    <cellStyle name="Normal 2 2 2 2 5 14 10" xfId="16156" xr:uid="{00000000-0005-0000-0000-00001C3F0000}"/>
    <cellStyle name="Normal 2 2 2 2 5 14 11" xfId="16157" xr:uid="{00000000-0005-0000-0000-00001D3F0000}"/>
    <cellStyle name="Normal 2 2 2 2 5 14 12" xfId="16158" xr:uid="{00000000-0005-0000-0000-00001E3F0000}"/>
    <cellStyle name="Normal 2 2 2 2 5 14 13" xfId="16159" xr:uid="{00000000-0005-0000-0000-00001F3F0000}"/>
    <cellStyle name="Normal 2 2 2 2 5 14 14" xfId="16160" xr:uid="{00000000-0005-0000-0000-0000203F0000}"/>
    <cellStyle name="Normal 2 2 2 2 5 14 2" xfId="16161" xr:uid="{00000000-0005-0000-0000-0000213F0000}"/>
    <cellStyle name="Normal 2 2 2 2 5 14 2 10" xfId="16162" xr:uid="{00000000-0005-0000-0000-0000223F0000}"/>
    <cellStyle name="Normal 2 2 2 2 5 14 2 2" xfId="16163" xr:uid="{00000000-0005-0000-0000-0000233F0000}"/>
    <cellStyle name="Normal 2 2 2 2 5 14 2 3" xfId="16164" xr:uid="{00000000-0005-0000-0000-0000243F0000}"/>
    <cellStyle name="Normal 2 2 2 2 5 14 2 4" xfId="16165" xr:uid="{00000000-0005-0000-0000-0000253F0000}"/>
    <cellStyle name="Normal 2 2 2 2 5 14 2 5" xfId="16166" xr:uid="{00000000-0005-0000-0000-0000263F0000}"/>
    <cellStyle name="Normal 2 2 2 2 5 14 2 6" xfId="16167" xr:uid="{00000000-0005-0000-0000-0000273F0000}"/>
    <cellStyle name="Normal 2 2 2 2 5 14 2 7" xfId="16168" xr:uid="{00000000-0005-0000-0000-0000283F0000}"/>
    <cellStyle name="Normal 2 2 2 2 5 14 2 8" xfId="16169" xr:uid="{00000000-0005-0000-0000-0000293F0000}"/>
    <cellStyle name="Normal 2 2 2 2 5 14 2 9" xfId="16170" xr:uid="{00000000-0005-0000-0000-00002A3F0000}"/>
    <cellStyle name="Normal 2 2 2 2 5 14 3" xfId="16171" xr:uid="{00000000-0005-0000-0000-00002B3F0000}"/>
    <cellStyle name="Normal 2 2 2 2 5 14 3 10" xfId="16172" xr:uid="{00000000-0005-0000-0000-00002C3F0000}"/>
    <cellStyle name="Normal 2 2 2 2 5 14 3 2" xfId="16173" xr:uid="{00000000-0005-0000-0000-00002D3F0000}"/>
    <cellStyle name="Normal 2 2 2 2 5 14 3 3" xfId="16174" xr:uid="{00000000-0005-0000-0000-00002E3F0000}"/>
    <cellStyle name="Normal 2 2 2 2 5 14 3 4" xfId="16175" xr:uid="{00000000-0005-0000-0000-00002F3F0000}"/>
    <cellStyle name="Normal 2 2 2 2 5 14 3 5" xfId="16176" xr:uid="{00000000-0005-0000-0000-0000303F0000}"/>
    <cellStyle name="Normal 2 2 2 2 5 14 3 6" xfId="16177" xr:uid="{00000000-0005-0000-0000-0000313F0000}"/>
    <cellStyle name="Normal 2 2 2 2 5 14 3 7" xfId="16178" xr:uid="{00000000-0005-0000-0000-0000323F0000}"/>
    <cellStyle name="Normal 2 2 2 2 5 14 3 8" xfId="16179" xr:uid="{00000000-0005-0000-0000-0000333F0000}"/>
    <cellStyle name="Normal 2 2 2 2 5 14 3 9" xfId="16180" xr:uid="{00000000-0005-0000-0000-0000343F0000}"/>
    <cellStyle name="Normal 2 2 2 2 5 14 4" xfId="16181" xr:uid="{00000000-0005-0000-0000-0000353F0000}"/>
    <cellStyle name="Normal 2 2 2 2 5 14 4 10" xfId="16182" xr:uid="{00000000-0005-0000-0000-0000363F0000}"/>
    <cellStyle name="Normal 2 2 2 2 5 14 4 2" xfId="16183" xr:uid="{00000000-0005-0000-0000-0000373F0000}"/>
    <cellStyle name="Normal 2 2 2 2 5 14 4 3" xfId="16184" xr:uid="{00000000-0005-0000-0000-0000383F0000}"/>
    <cellStyle name="Normal 2 2 2 2 5 14 4 4" xfId="16185" xr:uid="{00000000-0005-0000-0000-0000393F0000}"/>
    <cellStyle name="Normal 2 2 2 2 5 14 4 5" xfId="16186" xr:uid="{00000000-0005-0000-0000-00003A3F0000}"/>
    <cellStyle name="Normal 2 2 2 2 5 14 4 6" xfId="16187" xr:uid="{00000000-0005-0000-0000-00003B3F0000}"/>
    <cellStyle name="Normal 2 2 2 2 5 14 4 7" xfId="16188" xr:uid="{00000000-0005-0000-0000-00003C3F0000}"/>
    <cellStyle name="Normal 2 2 2 2 5 14 4 8" xfId="16189" xr:uid="{00000000-0005-0000-0000-00003D3F0000}"/>
    <cellStyle name="Normal 2 2 2 2 5 14 4 9" xfId="16190" xr:uid="{00000000-0005-0000-0000-00003E3F0000}"/>
    <cellStyle name="Normal 2 2 2 2 5 14 5" xfId="16191" xr:uid="{00000000-0005-0000-0000-00003F3F0000}"/>
    <cellStyle name="Normal 2 2 2 2 5 14 5 10" xfId="16192" xr:uid="{00000000-0005-0000-0000-0000403F0000}"/>
    <cellStyle name="Normal 2 2 2 2 5 14 5 2" xfId="16193" xr:uid="{00000000-0005-0000-0000-0000413F0000}"/>
    <cellStyle name="Normal 2 2 2 2 5 14 5 3" xfId="16194" xr:uid="{00000000-0005-0000-0000-0000423F0000}"/>
    <cellStyle name="Normal 2 2 2 2 5 14 5 4" xfId="16195" xr:uid="{00000000-0005-0000-0000-0000433F0000}"/>
    <cellStyle name="Normal 2 2 2 2 5 14 5 5" xfId="16196" xr:uid="{00000000-0005-0000-0000-0000443F0000}"/>
    <cellStyle name="Normal 2 2 2 2 5 14 5 6" xfId="16197" xr:uid="{00000000-0005-0000-0000-0000453F0000}"/>
    <cellStyle name="Normal 2 2 2 2 5 14 5 7" xfId="16198" xr:uid="{00000000-0005-0000-0000-0000463F0000}"/>
    <cellStyle name="Normal 2 2 2 2 5 14 5 8" xfId="16199" xr:uid="{00000000-0005-0000-0000-0000473F0000}"/>
    <cellStyle name="Normal 2 2 2 2 5 14 5 9" xfId="16200" xr:uid="{00000000-0005-0000-0000-0000483F0000}"/>
    <cellStyle name="Normal 2 2 2 2 5 14 6" xfId="16201" xr:uid="{00000000-0005-0000-0000-0000493F0000}"/>
    <cellStyle name="Normal 2 2 2 2 5 14 7" xfId="16202" xr:uid="{00000000-0005-0000-0000-00004A3F0000}"/>
    <cellStyle name="Normal 2 2 2 2 5 14 8" xfId="16203" xr:uid="{00000000-0005-0000-0000-00004B3F0000}"/>
    <cellStyle name="Normal 2 2 2 2 5 14 9" xfId="16204" xr:uid="{00000000-0005-0000-0000-00004C3F0000}"/>
    <cellStyle name="Normal 2 2 2 2 5 15" xfId="16205" xr:uid="{00000000-0005-0000-0000-00004D3F0000}"/>
    <cellStyle name="Normal 2 2 2 2 5 15 10" xfId="16206" xr:uid="{00000000-0005-0000-0000-00004E3F0000}"/>
    <cellStyle name="Normal 2 2 2 2 5 15 11" xfId="16207" xr:uid="{00000000-0005-0000-0000-00004F3F0000}"/>
    <cellStyle name="Normal 2 2 2 2 5 15 12" xfId="16208" xr:uid="{00000000-0005-0000-0000-0000503F0000}"/>
    <cellStyle name="Normal 2 2 2 2 5 15 13" xfId="16209" xr:uid="{00000000-0005-0000-0000-0000513F0000}"/>
    <cellStyle name="Normal 2 2 2 2 5 15 14" xfId="16210" xr:uid="{00000000-0005-0000-0000-0000523F0000}"/>
    <cellStyle name="Normal 2 2 2 2 5 15 2" xfId="16211" xr:uid="{00000000-0005-0000-0000-0000533F0000}"/>
    <cellStyle name="Normal 2 2 2 2 5 15 2 10" xfId="16212" xr:uid="{00000000-0005-0000-0000-0000543F0000}"/>
    <cellStyle name="Normal 2 2 2 2 5 15 2 2" xfId="16213" xr:uid="{00000000-0005-0000-0000-0000553F0000}"/>
    <cellStyle name="Normal 2 2 2 2 5 15 2 3" xfId="16214" xr:uid="{00000000-0005-0000-0000-0000563F0000}"/>
    <cellStyle name="Normal 2 2 2 2 5 15 2 4" xfId="16215" xr:uid="{00000000-0005-0000-0000-0000573F0000}"/>
    <cellStyle name="Normal 2 2 2 2 5 15 2 5" xfId="16216" xr:uid="{00000000-0005-0000-0000-0000583F0000}"/>
    <cellStyle name="Normal 2 2 2 2 5 15 2 6" xfId="16217" xr:uid="{00000000-0005-0000-0000-0000593F0000}"/>
    <cellStyle name="Normal 2 2 2 2 5 15 2 7" xfId="16218" xr:uid="{00000000-0005-0000-0000-00005A3F0000}"/>
    <cellStyle name="Normal 2 2 2 2 5 15 2 8" xfId="16219" xr:uid="{00000000-0005-0000-0000-00005B3F0000}"/>
    <cellStyle name="Normal 2 2 2 2 5 15 2 9" xfId="16220" xr:uid="{00000000-0005-0000-0000-00005C3F0000}"/>
    <cellStyle name="Normal 2 2 2 2 5 15 3" xfId="16221" xr:uid="{00000000-0005-0000-0000-00005D3F0000}"/>
    <cellStyle name="Normal 2 2 2 2 5 15 3 10" xfId="16222" xr:uid="{00000000-0005-0000-0000-00005E3F0000}"/>
    <cellStyle name="Normal 2 2 2 2 5 15 3 2" xfId="16223" xr:uid="{00000000-0005-0000-0000-00005F3F0000}"/>
    <cellStyle name="Normal 2 2 2 2 5 15 3 3" xfId="16224" xr:uid="{00000000-0005-0000-0000-0000603F0000}"/>
    <cellStyle name="Normal 2 2 2 2 5 15 3 4" xfId="16225" xr:uid="{00000000-0005-0000-0000-0000613F0000}"/>
    <cellStyle name="Normal 2 2 2 2 5 15 3 5" xfId="16226" xr:uid="{00000000-0005-0000-0000-0000623F0000}"/>
    <cellStyle name="Normal 2 2 2 2 5 15 3 6" xfId="16227" xr:uid="{00000000-0005-0000-0000-0000633F0000}"/>
    <cellStyle name="Normal 2 2 2 2 5 15 3 7" xfId="16228" xr:uid="{00000000-0005-0000-0000-0000643F0000}"/>
    <cellStyle name="Normal 2 2 2 2 5 15 3 8" xfId="16229" xr:uid="{00000000-0005-0000-0000-0000653F0000}"/>
    <cellStyle name="Normal 2 2 2 2 5 15 3 9" xfId="16230" xr:uid="{00000000-0005-0000-0000-0000663F0000}"/>
    <cellStyle name="Normal 2 2 2 2 5 15 4" xfId="16231" xr:uid="{00000000-0005-0000-0000-0000673F0000}"/>
    <cellStyle name="Normal 2 2 2 2 5 15 4 10" xfId="16232" xr:uid="{00000000-0005-0000-0000-0000683F0000}"/>
    <cellStyle name="Normal 2 2 2 2 5 15 4 2" xfId="16233" xr:uid="{00000000-0005-0000-0000-0000693F0000}"/>
    <cellStyle name="Normal 2 2 2 2 5 15 4 3" xfId="16234" xr:uid="{00000000-0005-0000-0000-00006A3F0000}"/>
    <cellStyle name="Normal 2 2 2 2 5 15 4 4" xfId="16235" xr:uid="{00000000-0005-0000-0000-00006B3F0000}"/>
    <cellStyle name="Normal 2 2 2 2 5 15 4 5" xfId="16236" xr:uid="{00000000-0005-0000-0000-00006C3F0000}"/>
    <cellStyle name="Normal 2 2 2 2 5 15 4 6" xfId="16237" xr:uid="{00000000-0005-0000-0000-00006D3F0000}"/>
    <cellStyle name="Normal 2 2 2 2 5 15 4 7" xfId="16238" xr:uid="{00000000-0005-0000-0000-00006E3F0000}"/>
    <cellStyle name="Normal 2 2 2 2 5 15 4 8" xfId="16239" xr:uid="{00000000-0005-0000-0000-00006F3F0000}"/>
    <cellStyle name="Normal 2 2 2 2 5 15 4 9" xfId="16240" xr:uid="{00000000-0005-0000-0000-0000703F0000}"/>
    <cellStyle name="Normal 2 2 2 2 5 15 5" xfId="16241" xr:uid="{00000000-0005-0000-0000-0000713F0000}"/>
    <cellStyle name="Normal 2 2 2 2 5 15 5 10" xfId="16242" xr:uid="{00000000-0005-0000-0000-0000723F0000}"/>
    <cellStyle name="Normal 2 2 2 2 5 15 5 2" xfId="16243" xr:uid="{00000000-0005-0000-0000-0000733F0000}"/>
    <cellStyle name="Normal 2 2 2 2 5 15 5 3" xfId="16244" xr:uid="{00000000-0005-0000-0000-0000743F0000}"/>
    <cellStyle name="Normal 2 2 2 2 5 15 5 4" xfId="16245" xr:uid="{00000000-0005-0000-0000-0000753F0000}"/>
    <cellStyle name="Normal 2 2 2 2 5 15 5 5" xfId="16246" xr:uid="{00000000-0005-0000-0000-0000763F0000}"/>
    <cellStyle name="Normal 2 2 2 2 5 15 5 6" xfId="16247" xr:uid="{00000000-0005-0000-0000-0000773F0000}"/>
    <cellStyle name="Normal 2 2 2 2 5 15 5 7" xfId="16248" xr:uid="{00000000-0005-0000-0000-0000783F0000}"/>
    <cellStyle name="Normal 2 2 2 2 5 15 5 8" xfId="16249" xr:uid="{00000000-0005-0000-0000-0000793F0000}"/>
    <cellStyle name="Normal 2 2 2 2 5 15 5 9" xfId="16250" xr:uid="{00000000-0005-0000-0000-00007A3F0000}"/>
    <cellStyle name="Normal 2 2 2 2 5 15 6" xfId="16251" xr:uid="{00000000-0005-0000-0000-00007B3F0000}"/>
    <cellStyle name="Normal 2 2 2 2 5 15 7" xfId="16252" xr:uid="{00000000-0005-0000-0000-00007C3F0000}"/>
    <cellStyle name="Normal 2 2 2 2 5 15 8" xfId="16253" xr:uid="{00000000-0005-0000-0000-00007D3F0000}"/>
    <cellStyle name="Normal 2 2 2 2 5 15 9" xfId="16254" xr:uid="{00000000-0005-0000-0000-00007E3F0000}"/>
    <cellStyle name="Normal 2 2 2 2 5 16" xfId="16255" xr:uid="{00000000-0005-0000-0000-00007F3F0000}"/>
    <cellStyle name="Normal 2 2 2 2 5 16 10" xfId="16256" xr:uid="{00000000-0005-0000-0000-0000803F0000}"/>
    <cellStyle name="Normal 2 2 2 2 5 16 11" xfId="16257" xr:uid="{00000000-0005-0000-0000-0000813F0000}"/>
    <cellStyle name="Normal 2 2 2 2 5 16 12" xfId="16258" xr:uid="{00000000-0005-0000-0000-0000823F0000}"/>
    <cellStyle name="Normal 2 2 2 2 5 16 13" xfId="16259" xr:uid="{00000000-0005-0000-0000-0000833F0000}"/>
    <cellStyle name="Normal 2 2 2 2 5 16 14" xfId="16260" xr:uid="{00000000-0005-0000-0000-0000843F0000}"/>
    <cellStyle name="Normal 2 2 2 2 5 16 2" xfId="16261" xr:uid="{00000000-0005-0000-0000-0000853F0000}"/>
    <cellStyle name="Normal 2 2 2 2 5 16 2 10" xfId="16262" xr:uid="{00000000-0005-0000-0000-0000863F0000}"/>
    <cellStyle name="Normal 2 2 2 2 5 16 2 2" xfId="16263" xr:uid="{00000000-0005-0000-0000-0000873F0000}"/>
    <cellStyle name="Normal 2 2 2 2 5 16 2 3" xfId="16264" xr:uid="{00000000-0005-0000-0000-0000883F0000}"/>
    <cellStyle name="Normal 2 2 2 2 5 16 2 4" xfId="16265" xr:uid="{00000000-0005-0000-0000-0000893F0000}"/>
    <cellStyle name="Normal 2 2 2 2 5 16 2 5" xfId="16266" xr:uid="{00000000-0005-0000-0000-00008A3F0000}"/>
    <cellStyle name="Normal 2 2 2 2 5 16 2 6" xfId="16267" xr:uid="{00000000-0005-0000-0000-00008B3F0000}"/>
    <cellStyle name="Normal 2 2 2 2 5 16 2 7" xfId="16268" xr:uid="{00000000-0005-0000-0000-00008C3F0000}"/>
    <cellStyle name="Normal 2 2 2 2 5 16 2 8" xfId="16269" xr:uid="{00000000-0005-0000-0000-00008D3F0000}"/>
    <cellStyle name="Normal 2 2 2 2 5 16 2 9" xfId="16270" xr:uid="{00000000-0005-0000-0000-00008E3F0000}"/>
    <cellStyle name="Normal 2 2 2 2 5 16 3" xfId="16271" xr:uid="{00000000-0005-0000-0000-00008F3F0000}"/>
    <cellStyle name="Normal 2 2 2 2 5 16 3 10" xfId="16272" xr:uid="{00000000-0005-0000-0000-0000903F0000}"/>
    <cellStyle name="Normal 2 2 2 2 5 16 3 2" xfId="16273" xr:uid="{00000000-0005-0000-0000-0000913F0000}"/>
    <cellStyle name="Normal 2 2 2 2 5 16 3 3" xfId="16274" xr:uid="{00000000-0005-0000-0000-0000923F0000}"/>
    <cellStyle name="Normal 2 2 2 2 5 16 3 4" xfId="16275" xr:uid="{00000000-0005-0000-0000-0000933F0000}"/>
    <cellStyle name="Normal 2 2 2 2 5 16 3 5" xfId="16276" xr:uid="{00000000-0005-0000-0000-0000943F0000}"/>
    <cellStyle name="Normal 2 2 2 2 5 16 3 6" xfId="16277" xr:uid="{00000000-0005-0000-0000-0000953F0000}"/>
    <cellStyle name="Normal 2 2 2 2 5 16 3 7" xfId="16278" xr:uid="{00000000-0005-0000-0000-0000963F0000}"/>
    <cellStyle name="Normal 2 2 2 2 5 16 3 8" xfId="16279" xr:uid="{00000000-0005-0000-0000-0000973F0000}"/>
    <cellStyle name="Normal 2 2 2 2 5 16 3 9" xfId="16280" xr:uid="{00000000-0005-0000-0000-0000983F0000}"/>
    <cellStyle name="Normal 2 2 2 2 5 16 4" xfId="16281" xr:uid="{00000000-0005-0000-0000-0000993F0000}"/>
    <cellStyle name="Normal 2 2 2 2 5 16 4 10" xfId="16282" xr:uid="{00000000-0005-0000-0000-00009A3F0000}"/>
    <cellStyle name="Normal 2 2 2 2 5 16 4 2" xfId="16283" xr:uid="{00000000-0005-0000-0000-00009B3F0000}"/>
    <cellStyle name="Normal 2 2 2 2 5 16 4 3" xfId="16284" xr:uid="{00000000-0005-0000-0000-00009C3F0000}"/>
    <cellStyle name="Normal 2 2 2 2 5 16 4 4" xfId="16285" xr:uid="{00000000-0005-0000-0000-00009D3F0000}"/>
    <cellStyle name="Normal 2 2 2 2 5 16 4 5" xfId="16286" xr:uid="{00000000-0005-0000-0000-00009E3F0000}"/>
    <cellStyle name="Normal 2 2 2 2 5 16 4 6" xfId="16287" xr:uid="{00000000-0005-0000-0000-00009F3F0000}"/>
    <cellStyle name="Normal 2 2 2 2 5 16 4 7" xfId="16288" xr:uid="{00000000-0005-0000-0000-0000A03F0000}"/>
    <cellStyle name="Normal 2 2 2 2 5 16 4 8" xfId="16289" xr:uid="{00000000-0005-0000-0000-0000A13F0000}"/>
    <cellStyle name="Normal 2 2 2 2 5 16 4 9" xfId="16290" xr:uid="{00000000-0005-0000-0000-0000A23F0000}"/>
    <cellStyle name="Normal 2 2 2 2 5 16 5" xfId="16291" xr:uid="{00000000-0005-0000-0000-0000A33F0000}"/>
    <cellStyle name="Normal 2 2 2 2 5 16 5 10" xfId="16292" xr:uid="{00000000-0005-0000-0000-0000A43F0000}"/>
    <cellStyle name="Normal 2 2 2 2 5 16 5 2" xfId="16293" xr:uid="{00000000-0005-0000-0000-0000A53F0000}"/>
    <cellStyle name="Normal 2 2 2 2 5 16 5 3" xfId="16294" xr:uid="{00000000-0005-0000-0000-0000A63F0000}"/>
    <cellStyle name="Normal 2 2 2 2 5 16 5 4" xfId="16295" xr:uid="{00000000-0005-0000-0000-0000A73F0000}"/>
    <cellStyle name="Normal 2 2 2 2 5 16 5 5" xfId="16296" xr:uid="{00000000-0005-0000-0000-0000A83F0000}"/>
    <cellStyle name="Normal 2 2 2 2 5 16 5 6" xfId="16297" xr:uid="{00000000-0005-0000-0000-0000A93F0000}"/>
    <cellStyle name="Normal 2 2 2 2 5 16 5 7" xfId="16298" xr:uid="{00000000-0005-0000-0000-0000AA3F0000}"/>
    <cellStyle name="Normal 2 2 2 2 5 16 5 8" xfId="16299" xr:uid="{00000000-0005-0000-0000-0000AB3F0000}"/>
    <cellStyle name="Normal 2 2 2 2 5 16 5 9" xfId="16300" xr:uid="{00000000-0005-0000-0000-0000AC3F0000}"/>
    <cellStyle name="Normal 2 2 2 2 5 16 6" xfId="16301" xr:uid="{00000000-0005-0000-0000-0000AD3F0000}"/>
    <cellStyle name="Normal 2 2 2 2 5 16 7" xfId="16302" xr:uid="{00000000-0005-0000-0000-0000AE3F0000}"/>
    <cellStyle name="Normal 2 2 2 2 5 16 8" xfId="16303" xr:uid="{00000000-0005-0000-0000-0000AF3F0000}"/>
    <cellStyle name="Normal 2 2 2 2 5 16 9" xfId="16304" xr:uid="{00000000-0005-0000-0000-0000B03F0000}"/>
    <cellStyle name="Normal 2 2 2 2 5 17" xfId="16305" xr:uid="{00000000-0005-0000-0000-0000B13F0000}"/>
    <cellStyle name="Normal 2 2 2 2 5 17 10" xfId="16306" xr:uid="{00000000-0005-0000-0000-0000B23F0000}"/>
    <cellStyle name="Normal 2 2 2 2 5 17 11" xfId="16307" xr:uid="{00000000-0005-0000-0000-0000B33F0000}"/>
    <cellStyle name="Normal 2 2 2 2 5 17 12" xfId="16308" xr:uid="{00000000-0005-0000-0000-0000B43F0000}"/>
    <cellStyle name="Normal 2 2 2 2 5 17 13" xfId="16309" xr:uid="{00000000-0005-0000-0000-0000B53F0000}"/>
    <cellStyle name="Normal 2 2 2 2 5 17 14" xfId="16310" xr:uid="{00000000-0005-0000-0000-0000B63F0000}"/>
    <cellStyle name="Normal 2 2 2 2 5 17 2" xfId="16311" xr:uid="{00000000-0005-0000-0000-0000B73F0000}"/>
    <cellStyle name="Normal 2 2 2 2 5 17 2 10" xfId="16312" xr:uid="{00000000-0005-0000-0000-0000B83F0000}"/>
    <cellStyle name="Normal 2 2 2 2 5 17 2 2" xfId="16313" xr:uid="{00000000-0005-0000-0000-0000B93F0000}"/>
    <cellStyle name="Normal 2 2 2 2 5 17 2 3" xfId="16314" xr:uid="{00000000-0005-0000-0000-0000BA3F0000}"/>
    <cellStyle name="Normal 2 2 2 2 5 17 2 4" xfId="16315" xr:uid="{00000000-0005-0000-0000-0000BB3F0000}"/>
    <cellStyle name="Normal 2 2 2 2 5 17 2 5" xfId="16316" xr:uid="{00000000-0005-0000-0000-0000BC3F0000}"/>
    <cellStyle name="Normal 2 2 2 2 5 17 2 6" xfId="16317" xr:uid="{00000000-0005-0000-0000-0000BD3F0000}"/>
    <cellStyle name="Normal 2 2 2 2 5 17 2 7" xfId="16318" xr:uid="{00000000-0005-0000-0000-0000BE3F0000}"/>
    <cellStyle name="Normal 2 2 2 2 5 17 2 8" xfId="16319" xr:uid="{00000000-0005-0000-0000-0000BF3F0000}"/>
    <cellStyle name="Normal 2 2 2 2 5 17 2 9" xfId="16320" xr:uid="{00000000-0005-0000-0000-0000C03F0000}"/>
    <cellStyle name="Normal 2 2 2 2 5 17 3" xfId="16321" xr:uid="{00000000-0005-0000-0000-0000C13F0000}"/>
    <cellStyle name="Normal 2 2 2 2 5 17 3 10" xfId="16322" xr:uid="{00000000-0005-0000-0000-0000C23F0000}"/>
    <cellStyle name="Normal 2 2 2 2 5 17 3 2" xfId="16323" xr:uid="{00000000-0005-0000-0000-0000C33F0000}"/>
    <cellStyle name="Normal 2 2 2 2 5 17 3 3" xfId="16324" xr:uid="{00000000-0005-0000-0000-0000C43F0000}"/>
    <cellStyle name="Normal 2 2 2 2 5 17 3 4" xfId="16325" xr:uid="{00000000-0005-0000-0000-0000C53F0000}"/>
    <cellStyle name="Normal 2 2 2 2 5 17 3 5" xfId="16326" xr:uid="{00000000-0005-0000-0000-0000C63F0000}"/>
    <cellStyle name="Normal 2 2 2 2 5 17 3 6" xfId="16327" xr:uid="{00000000-0005-0000-0000-0000C73F0000}"/>
    <cellStyle name="Normal 2 2 2 2 5 17 3 7" xfId="16328" xr:uid="{00000000-0005-0000-0000-0000C83F0000}"/>
    <cellStyle name="Normal 2 2 2 2 5 17 3 8" xfId="16329" xr:uid="{00000000-0005-0000-0000-0000C93F0000}"/>
    <cellStyle name="Normal 2 2 2 2 5 17 3 9" xfId="16330" xr:uid="{00000000-0005-0000-0000-0000CA3F0000}"/>
    <cellStyle name="Normal 2 2 2 2 5 17 4" xfId="16331" xr:uid="{00000000-0005-0000-0000-0000CB3F0000}"/>
    <cellStyle name="Normal 2 2 2 2 5 17 4 10" xfId="16332" xr:uid="{00000000-0005-0000-0000-0000CC3F0000}"/>
    <cellStyle name="Normal 2 2 2 2 5 17 4 2" xfId="16333" xr:uid="{00000000-0005-0000-0000-0000CD3F0000}"/>
    <cellStyle name="Normal 2 2 2 2 5 17 4 3" xfId="16334" xr:uid="{00000000-0005-0000-0000-0000CE3F0000}"/>
    <cellStyle name="Normal 2 2 2 2 5 17 4 4" xfId="16335" xr:uid="{00000000-0005-0000-0000-0000CF3F0000}"/>
    <cellStyle name="Normal 2 2 2 2 5 17 4 5" xfId="16336" xr:uid="{00000000-0005-0000-0000-0000D03F0000}"/>
    <cellStyle name="Normal 2 2 2 2 5 17 4 6" xfId="16337" xr:uid="{00000000-0005-0000-0000-0000D13F0000}"/>
    <cellStyle name="Normal 2 2 2 2 5 17 4 7" xfId="16338" xr:uid="{00000000-0005-0000-0000-0000D23F0000}"/>
    <cellStyle name="Normal 2 2 2 2 5 17 4 8" xfId="16339" xr:uid="{00000000-0005-0000-0000-0000D33F0000}"/>
    <cellStyle name="Normal 2 2 2 2 5 17 4 9" xfId="16340" xr:uid="{00000000-0005-0000-0000-0000D43F0000}"/>
    <cellStyle name="Normal 2 2 2 2 5 17 5" xfId="16341" xr:uid="{00000000-0005-0000-0000-0000D53F0000}"/>
    <cellStyle name="Normal 2 2 2 2 5 17 5 10" xfId="16342" xr:uid="{00000000-0005-0000-0000-0000D63F0000}"/>
    <cellStyle name="Normal 2 2 2 2 5 17 5 2" xfId="16343" xr:uid="{00000000-0005-0000-0000-0000D73F0000}"/>
    <cellStyle name="Normal 2 2 2 2 5 17 5 3" xfId="16344" xr:uid="{00000000-0005-0000-0000-0000D83F0000}"/>
    <cellStyle name="Normal 2 2 2 2 5 17 5 4" xfId="16345" xr:uid="{00000000-0005-0000-0000-0000D93F0000}"/>
    <cellStyle name="Normal 2 2 2 2 5 17 5 5" xfId="16346" xr:uid="{00000000-0005-0000-0000-0000DA3F0000}"/>
    <cellStyle name="Normal 2 2 2 2 5 17 5 6" xfId="16347" xr:uid="{00000000-0005-0000-0000-0000DB3F0000}"/>
    <cellStyle name="Normal 2 2 2 2 5 17 5 7" xfId="16348" xr:uid="{00000000-0005-0000-0000-0000DC3F0000}"/>
    <cellStyle name="Normal 2 2 2 2 5 17 5 8" xfId="16349" xr:uid="{00000000-0005-0000-0000-0000DD3F0000}"/>
    <cellStyle name="Normal 2 2 2 2 5 17 5 9" xfId="16350" xr:uid="{00000000-0005-0000-0000-0000DE3F0000}"/>
    <cellStyle name="Normal 2 2 2 2 5 17 6" xfId="16351" xr:uid="{00000000-0005-0000-0000-0000DF3F0000}"/>
    <cellStyle name="Normal 2 2 2 2 5 17 7" xfId="16352" xr:uid="{00000000-0005-0000-0000-0000E03F0000}"/>
    <cellStyle name="Normal 2 2 2 2 5 17 8" xfId="16353" xr:uid="{00000000-0005-0000-0000-0000E13F0000}"/>
    <cellStyle name="Normal 2 2 2 2 5 17 9" xfId="16354" xr:uid="{00000000-0005-0000-0000-0000E23F0000}"/>
    <cellStyle name="Normal 2 2 2 2 5 18" xfId="16355" xr:uid="{00000000-0005-0000-0000-0000E33F0000}"/>
    <cellStyle name="Normal 2 2 2 2 5 18 10" xfId="16356" xr:uid="{00000000-0005-0000-0000-0000E43F0000}"/>
    <cellStyle name="Normal 2 2 2 2 5 18 11" xfId="16357" xr:uid="{00000000-0005-0000-0000-0000E53F0000}"/>
    <cellStyle name="Normal 2 2 2 2 5 18 12" xfId="16358" xr:uid="{00000000-0005-0000-0000-0000E63F0000}"/>
    <cellStyle name="Normal 2 2 2 2 5 18 13" xfId="16359" xr:uid="{00000000-0005-0000-0000-0000E73F0000}"/>
    <cellStyle name="Normal 2 2 2 2 5 18 14" xfId="16360" xr:uid="{00000000-0005-0000-0000-0000E83F0000}"/>
    <cellStyle name="Normal 2 2 2 2 5 18 2" xfId="16361" xr:uid="{00000000-0005-0000-0000-0000E93F0000}"/>
    <cellStyle name="Normal 2 2 2 2 5 18 2 10" xfId="16362" xr:uid="{00000000-0005-0000-0000-0000EA3F0000}"/>
    <cellStyle name="Normal 2 2 2 2 5 18 2 2" xfId="16363" xr:uid="{00000000-0005-0000-0000-0000EB3F0000}"/>
    <cellStyle name="Normal 2 2 2 2 5 18 2 3" xfId="16364" xr:uid="{00000000-0005-0000-0000-0000EC3F0000}"/>
    <cellStyle name="Normal 2 2 2 2 5 18 2 4" xfId="16365" xr:uid="{00000000-0005-0000-0000-0000ED3F0000}"/>
    <cellStyle name="Normal 2 2 2 2 5 18 2 5" xfId="16366" xr:uid="{00000000-0005-0000-0000-0000EE3F0000}"/>
    <cellStyle name="Normal 2 2 2 2 5 18 2 6" xfId="16367" xr:uid="{00000000-0005-0000-0000-0000EF3F0000}"/>
    <cellStyle name="Normal 2 2 2 2 5 18 2 7" xfId="16368" xr:uid="{00000000-0005-0000-0000-0000F03F0000}"/>
    <cellStyle name="Normal 2 2 2 2 5 18 2 8" xfId="16369" xr:uid="{00000000-0005-0000-0000-0000F13F0000}"/>
    <cellStyle name="Normal 2 2 2 2 5 18 2 9" xfId="16370" xr:uid="{00000000-0005-0000-0000-0000F23F0000}"/>
    <cellStyle name="Normal 2 2 2 2 5 18 3" xfId="16371" xr:uid="{00000000-0005-0000-0000-0000F33F0000}"/>
    <cellStyle name="Normal 2 2 2 2 5 18 3 10" xfId="16372" xr:uid="{00000000-0005-0000-0000-0000F43F0000}"/>
    <cellStyle name="Normal 2 2 2 2 5 18 3 2" xfId="16373" xr:uid="{00000000-0005-0000-0000-0000F53F0000}"/>
    <cellStyle name="Normal 2 2 2 2 5 18 3 3" xfId="16374" xr:uid="{00000000-0005-0000-0000-0000F63F0000}"/>
    <cellStyle name="Normal 2 2 2 2 5 18 3 4" xfId="16375" xr:uid="{00000000-0005-0000-0000-0000F73F0000}"/>
    <cellStyle name="Normal 2 2 2 2 5 18 3 5" xfId="16376" xr:uid="{00000000-0005-0000-0000-0000F83F0000}"/>
    <cellStyle name="Normal 2 2 2 2 5 18 3 6" xfId="16377" xr:uid="{00000000-0005-0000-0000-0000F93F0000}"/>
    <cellStyle name="Normal 2 2 2 2 5 18 3 7" xfId="16378" xr:uid="{00000000-0005-0000-0000-0000FA3F0000}"/>
    <cellStyle name="Normal 2 2 2 2 5 18 3 8" xfId="16379" xr:uid="{00000000-0005-0000-0000-0000FB3F0000}"/>
    <cellStyle name="Normal 2 2 2 2 5 18 3 9" xfId="16380" xr:uid="{00000000-0005-0000-0000-0000FC3F0000}"/>
    <cellStyle name="Normal 2 2 2 2 5 18 4" xfId="16381" xr:uid="{00000000-0005-0000-0000-0000FD3F0000}"/>
    <cellStyle name="Normal 2 2 2 2 5 18 4 10" xfId="16382" xr:uid="{00000000-0005-0000-0000-0000FE3F0000}"/>
    <cellStyle name="Normal 2 2 2 2 5 18 4 2" xfId="16383" xr:uid="{00000000-0005-0000-0000-0000FF3F0000}"/>
    <cellStyle name="Normal 2 2 2 2 5 18 4 3" xfId="16384" xr:uid="{00000000-0005-0000-0000-000000400000}"/>
    <cellStyle name="Normal 2 2 2 2 5 18 4 4" xfId="16385" xr:uid="{00000000-0005-0000-0000-000001400000}"/>
    <cellStyle name="Normal 2 2 2 2 5 18 4 5" xfId="16386" xr:uid="{00000000-0005-0000-0000-000002400000}"/>
    <cellStyle name="Normal 2 2 2 2 5 18 4 6" xfId="16387" xr:uid="{00000000-0005-0000-0000-000003400000}"/>
    <cellStyle name="Normal 2 2 2 2 5 18 4 7" xfId="16388" xr:uid="{00000000-0005-0000-0000-000004400000}"/>
    <cellStyle name="Normal 2 2 2 2 5 18 4 8" xfId="16389" xr:uid="{00000000-0005-0000-0000-000005400000}"/>
    <cellStyle name="Normal 2 2 2 2 5 18 4 9" xfId="16390" xr:uid="{00000000-0005-0000-0000-000006400000}"/>
    <cellStyle name="Normal 2 2 2 2 5 18 5" xfId="16391" xr:uid="{00000000-0005-0000-0000-000007400000}"/>
    <cellStyle name="Normal 2 2 2 2 5 18 5 10" xfId="16392" xr:uid="{00000000-0005-0000-0000-000008400000}"/>
    <cellStyle name="Normal 2 2 2 2 5 18 5 2" xfId="16393" xr:uid="{00000000-0005-0000-0000-000009400000}"/>
    <cellStyle name="Normal 2 2 2 2 5 18 5 3" xfId="16394" xr:uid="{00000000-0005-0000-0000-00000A400000}"/>
    <cellStyle name="Normal 2 2 2 2 5 18 5 4" xfId="16395" xr:uid="{00000000-0005-0000-0000-00000B400000}"/>
    <cellStyle name="Normal 2 2 2 2 5 18 5 5" xfId="16396" xr:uid="{00000000-0005-0000-0000-00000C400000}"/>
    <cellStyle name="Normal 2 2 2 2 5 18 5 6" xfId="16397" xr:uid="{00000000-0005-0000-0000-00000D400000}"/>
    <cellStyle name="Normal 2 2 2 2 5 18 5 7" xfId="16398" xr:uid="{00000000-0005-0000-0000-00000E400000}"/>
    <cellStyle name="Normal 2 2 2 2 5 18 5 8" xfId="16399" xr:uid="{00000000-0005-0000-0000-00000F400000}"/>
    <cellStyle name="Normal 2 2 2 2 5 18 5 9" xfId="16400" xr:uid="{00000000-0005-0000-0000-000010400000}"/>
    <cellStyle name="Normal 2 2 2 2 5 18 6" xfId="16401" xr:uid="{00000000-0005-0000-0000-000011400000}"/>
    <cellStyle name="Normal 2 2 2 2 5 18 7" xfId="16402" xr:uid="{00000000-0005-0000-0000-000012400000}"/>
    <cellStyle name="Normal 2 2 2 2 5 18 8" xfId="16403" xr:uid="{00000000-0005-0000-0000-000013400000}"/>
    <cellStyle name="Normal 2 2 2 2 5 18 9" xfId="16404" xr:uid="{00000000-0005-0000-0000-000014400000}"/>
    <cellStyle name="Normal 2 2 2 2 5 19" xfId="16405" xr:uid="{00000000-0005-0000-0000-000015400000}"/>
    <cellStyle name="Normal 2 2 2 2 5 19 10" xfId="16406" xr:uid="{00000000-0005-0000-0000-000016400000}"/>
    <cellStyle name="Normal 2 2 2 2 5 19 11" xfId="16407" xr:uid="{00000000-0005-0000-0000-000017400000}"/>
    <cellStyle name="Normal 2 2 2 2 5 19 12" xfId="16408" xr:uid="{00000000-0005-0000-0000-000018400000}"/>
    <cellStyle name="Normal 2 2 2 2 5 19 13" xfId="16409" xr:uid="{00000000-0005-0000-0000-000019400000}"/>
    <cellStyle name="Normal 2 2 2 2 5 19 14" xfId="16410" xr:uid="{00000000-0005-0000-0000-00001A400000}"/>
    <cellStyle name="Normal 2 2 2 2 5 19 2" xfId="16411" xr:uid="{00000000-0005-0000-0000-00001B400000}"/>
    <cellStyle name="Normal 2 2 2 2 5 19 2 10" xfId="16412" xr:uid="{00000000-0005-0000-0000-00001C400000}"/>
    <cellStyle name="Normal 2 2 2 2 5 19 2 2" xfId="16413" xr:uid="{00000000-0005-0000-0000-00001D400000}"/>
    <cellStyle name="Normal 2 2 2 2 5 19 2 3" xfId="16414" xr:uid="{00000000-0005-0000-0000-00001E400000}"/>
    <cellStyle name="Normal 2 2 2 2 5 19 2 4" xfId="16415" xr:uid="{00000000-0005-0000-0000-00001F400000}"/>
    <cellStyle name="Normal 2 2 2 2 5 19 2 5" xfId="16416" xr:uid="{00000000-0005-0000-0000-000020400000}"/>
    <cellStyle name="Normal 2 2 2 2 5 19 2 6" xfId="16417" xr:uid="{00000000-0005-0000-0000-000021400000}"/>
    <cellStyle name="Normal 2 2 2 2 5 19 2 7" xfId="16418" xr:uid="{00000000-0005-0000-0000-000022400000}"/>
    <cellStyle name="Normal 2 2 2 2 5 19 2 8" xfId="16419" xr:uid="{00000000-0005-0000-0000-000023400000}"/>
    <cellStyle name="Normal 2 2 2 2 5 19 2 9" xfId="16420" xr:uid="{00000000-0005-0000-0000-000024400000}"/>
    <cellStyle name="Normal 2 2 2 2 5 19 3" xfId="16421" xr:uid="{00000000-0005-0000-0000-000025400000}"/>
    <cellStyle name="Normal 2 2 2 2 5 19 3 10" xfId="16422" xr:uid="{00000000-0005-0000-0000-000026400000}"/>
    <cellStyle name="Normal 2 2 2 2 5 19 3 2" xfId="16423" xr:uid="{00000000-0005-0000-0000-000027400000}"/>
    <cellStyle name="Normal 2 2 2 2 5 19 3 3" xfId="16424" xr:uid="{00000000-0005-0000-0000-000028400000}"/>
    <cellStyle name="Normal 2 2 2 2 5 19 3 4" xfId="16425" xr:uid="{00000000-0005-0000-0000-000029400000}"/>
    <cellStyle name="Normal 2 2 2 2 5 19 3 5" xfId="16426" xr:uid="{00000000-0005-0000-0000-00002A400000}"/>
    <cellStyle name="Normal 2 2 2 2 5 19 3 6" xfId="16427" xr:uid="{00000000-0005-0000-0000-00002B400000}"/>
    <cellStyle name="Normal 2 2 2 2 5 19 3 7" xfId="16428" xr:uid="{00000000-0005-0000-0000-00002C400000}"/>
    <cellStyle name="Normal 2 2 2 2 5 19 3 8" xfId="16429" xr:uid="{00000000-0005-0000-0000-00002D400000}"/>
    <cellStyle name="Normal 2 2 2 2 5 19 3 9" xfId="16430" xr:uid="{00000000-0005-0000-0000-00002E400000}"/>
    <cellStyle name="Normal 2 2 2 2 5 19 4" xfId="16431" xr:uid="{00000000-0005-0000-0000-00002F400000}"/>
    <cellStyle name="Normal 2 2 2 2 5 19 4 10" xfId="16432" xr:uid="{00000000-0005-0000-0000-000030400000}"/>
    <cellStyle name="Normal 2 2 2 2 5 19 4 2" xfId="16433" xr:uid="{00000000-0005-0000-0000-000031400000}"/>
    <cellStyle name="Normal 2 2 2 2 5 19 4 3" xfId="16434" xr:uid="{00000000-0005-0000-0000-000032400000}"/>
    <cellStyle name="Normal 2 2 2 2 5 19 4 4" xfId="16435" xr:uid="{00000000-0005-0000-0000-000033400000}"/>
    <cellStyle name="Normal 2 2 2 2 5 19 4 5" xfId="16436" xr:uid="{00000000-0005-0000-0000-000034400000}"/>
    <cellStyle name="Normal 2 2 2 2 5 19 4 6" xfId="16437" xr:uid="{00000000-0005-0000-0000-000035400000}"/>
    <cellStyle name="Normal 2 2 2 2 5 19 4 7" xfId="16438" xr:uid="{00000000-0005-0000-0000-000036400000}"/>
    <cellStyle name="Normal 2 2 2 2 5 19 4 8" xfId="16439" xr:uid="{00000000-0005-0000-0000-000037400000}"/>
    <cellStyle name="Normal 2 2 2 2 5 19 4 9" xfId="16440" xr:uid="{00000000-0005-0000-0000-000038400000}"/>
    <cellStyle name="Normal 2 2 2 2 5 19 5" xfId="16441" xr:uid="{00000000-0005-0000-0000-000039400000}"/>
    <cellStyle name="Normal 2 2 2 2 5 19 5 10" xfId="16442" xr:uid="{00000000-0005-0000-0000-00003A400000}"/>
    <cellStyle name="Normal 2 2 2 2 5 19 5 2" xfId="16443" xr:uid="{00000000-0005-0000-0000-00003B400000}"/>
    <cellStyle name="Normal 2 2 2 2 5 19 5 3" xfId="16444" xr:uid="{00000000-0005-0000-0000-00003C400000}"/>
    <cellStyle name="Normal 2 2 2 2 5 19 5 4" xfId="16445" xr:uid="{00000000-0005-0000-0000-00003D400000}"/>
    <cellStyle name="Normal 2 2 2 2 5 19 5 5" xfId="16446" xr:uid="{00000000-0005-0000-0000-00003E400000}"/>
    <cellStyle name="Normal 2 2 2 2 5 19 5 6" xfId="16447" xr:uid="{00000000-0005-0000-0000-00003F400000}"/>
    <cellStyle name="Normal 2 2 2 2 5 19 5 7" xfId="16448" xr:uid="{00000000-0005-0000-0000-000040400000}"/>
    <cellStyle name="Normal 2 2 2 2 5 19 5 8" xfId="16449" xr:uid="{00000000-0005-0000-0000-000041400000}"/>
    <cellStyle name="Normal 2 2 2 2 5 19 5 9" xfId="16450" xr:uid="{00000000-0005-0000-0000-000042400000}"/>
    <cellStyle name="Normal 2 2 2 2 5 19 6" xfId="16451" xr:uid="{00000000-0005-0000-0000-000043400000}"/>
    <cellStyle name="Normal 2 2 2 2 5 19 7" xfId="16452" xr:uid="{00000000-0005-0000-0000-000044400000}"/>
    <cellStyle name="Normal 2 2 2 2 5 19 8" xfId="16453" xr:uid="{00000000-0005-0000-0000-000045400000}"/>
    <cellStyle name="Normal 2 2 2 2 5 19 9" xfId="16454" xr:uid="{00000000-0005-0000-0000-000046400000}"/>
    <cellStyle name="Normal 2 2 2 2 5 2" xfId="16455" xr:uid="{00000000-0005-0000-0000-000047400000}"/>
    <cellStyle name="Normal 2 2 2 2 5 2 10" xfId="16456" xr:uid="{00000000-0005-0000-0000-000048400000}"/>
    <cellStyle name="Normal 2 2 2 2 5 2 11" xfId="16457" xr:uid="{00000000-0005-0000-0000-000049400000}"/>
    <cellStyle name="Normal 2 2 2 2 5 2 12" xfId="16458" xr:uid="{00000000-0005-0000-0000-00004A400000}"/>
    <cellStyle name="Normal 2 2 2 2 5 2 13" xfId="16459" xr:uid="{00000000-0005-0000-0000-00004B400000}"/>
    <cellStyle name="Normal 2 2 2 2 5 2 14" xfId="16460" xr:uid="{00000000-0005-0000-0000-00004C400000}"/>
    <cellStyle name="Normal 2 2 2 2 5 2 15" xfId="16461" xr:uid="{00000000-0005-0000-0000-00004D400000}"/>
    <cellStyle name="Normal 2 2 2 2 5 2 16" xfId="16462" xr:uid="{00000000-0005-0000-0000-00004E400000}"/>
    <cellStyle name="Normal 2 2 2 2 5 2 17" xfId="16463" xr:uid="{00000000-0005-0000-0000-00004F400000}"/>
    <cellStyle name="Normal 2 2 2 2 5 2 18" xfId="16464" xr:uid="{00000000-0005-0000-0000-000050400000}"/>
    <cellStyle name="Normal 2 2 2 2 5 2 19" xfId="16465" xr:uid="{00000000-0005-0000-0000-000051400000}"/>
    <cellStyle name="Normal 2 2 2 2 5 2 2" xfId="16466" xr:uid="{00000000-0005-0000-0000-000052400000}"/>
    <cellStyle name="Normal 2 2 2 2 5 2 20" xfId="16467" xr:uid="{00000000-0005-0000-0000-000053400000}"/>
    <cellStyle name="Normal 2 2 2 2 5 2 21" xfId="16468" xr:uid="{00000000-0005-0000-0000-000054400000}"/>
    <cellStyle name="Normal 2 2 2 2 5 2 21 10" xfId="16469" xr:uid="{00000000-0005-0000-0000-000055400000}"/>
    <cellStyle name="Normal 2 2 2 2 5 2 21 2" xfId="16470" xr:uid="{00000000-0005-0000-0000-000056400000}"/>
    <cellStyle name="Normal 2 2 2 2 5 2 21 3" xfId="16471" xr:uid="{00000000-0005-0000-0000-000057400000}"/>
    <cellStyle name="Normal 2 2 2 2 5 2 21 4" xfId="16472" xr:uid="{00000000-0005-0000-0000-000058400000}"/>
    <cellStyle name="Normal 2 2 2 2 5 2 21 5" xfId="16473" xr:uid="{00000000-0005-0000-0000-000059400000}"/>
    <cellStyle name="Normal 2 2 2 2 5 2 21 6" xfId="16474" xr:uid="{00000000-0005-0000-0000-00005A400000}"/>
    <cellStyle name="Normal 2 2 2 2 5 2 21 7" xfId="16475" xr:uid="{00000000-0005-0000-0000-00005B400000}"/>
    <cellStyle name="Normal 2 2 2 2 5 2 21 8" xfId="16476" xr:uid="{00000000-0005-0000-0000-00005C400000}"/>
    <cellStyle name="Normal 2 2 2 2 5 2 21 9" xfId="16477" xr:uid="{00000000-0005-0000-0000-00005D400000}"/>
    <cellStyle name="Normal 2 2 2 2 5 2 22" xfId="16478" xr:uid="{00000000-0005-0000-0000-00005E400000}"/>
    <cellStyle name="Normal 2 2 2 2 5 2 22 10" xfId="16479" xr:uid="{00000000-0005-0000-0000-00005F400000}"/>
    <cellStyle name="Normal 2 2 2 2 5 2 22 2" xfId="16480" xr:uid="{00000000-0005-0000-0000-000060400000}"/>
    <cellStyle name="Normal 2 2 2 2 5 2 22 3" xfId="16481" xr:uid="{00000000-0005-0000-0000-000061400000}"/>
    <cellStyle name="Normal 2 2 2 2 5 2 22 4" xfId="16482" xr:uid="{00000000-0005-0000-0000-000062400000}"/>
    <cellStyle name="Normal 2 2 2 2 5 2 22 5" xfId="16483" xr:uid="{00000000-0005-0000-0000-000063400000}"/>
    <cellStyle name="Normal 2 2 2 2 5 2 22 6" xfId="16484" xr:uid="{00000000-0005-0000-0000-000064400000}"/>
    <cellStyle name="Normal 2 2 2 2 5 2 22 7" xfId="16485" xr:uid="{00000000-0005-0000-0000-000065400000}"/>
    <cellStyle name="Normal 2 2 2 2 5 2 22 8" xfId="16486" xr:uid="{00000000-0005-0000-0000-000066400000}"/>
    <cellStyle name="Normal 2 2 2 2 5 2 22 9" xfId="16487" xr:uid="{00000000-0005-0000-0000-000067400000}"/>
    <cellStyle name="Normal 2 2 2 2 5 2 23" xfId="16488" xr:uid="{00000000-0005-0000-0000-000068400000}"/>
    <cellStyle name="Normal 2 2 2 2 5 2 23 10" xfId="16489" xr:uid="{00000000-0005-0000-0000-000069400000}"/>
    <cellStyle name="Normal 2 2 2 2 5 2 23 2" xfId="16490" xr:uid="{00000000-0005-0000-0000-00006A400000}"/>
    <cellStyle name="Normal 2 2 2 2 5 2 23 3" xfId="16491" xr:uid="{00000000-0005-0000-0000-00006B400000}"/>
    <cellStyle name="Normal 2 2 2 2 5 2 23 4" xfId="16492" xr:uid="{00000000-0005-0000-0000-00006C400000}"/>
    <cellStyle name="Normal 2 2 2 2 5 2 23 5" xfId="16493" xr:uid="{00000000-0005-0000-0000-00006D400000}"/>
    <cellStyle name="Normal 2 2 2 2 5 2 23 6" xfId="16494" xr:uid="{00000000-0005-0000-0000-00006E400000}"/>
    <cellStyle name="Normal 2 2 2 2 5 2 23 7" xfId="16495" xr:uid="{00000000-0005-0000-0000-00006F400000}"/>
    <cellStyle name="Normal 2 2 2 2 5 2 23 8" xfId="16496" xr:uid="{00000000-0005-0000-0000-000070400000}"/>
    <cellStyle name="Normal 2 2 2 2 5 2 23 9" xfId="16497" xr:uid="{00000000-0005-0000-0000-000071400000}"/>
    <cellStyle name="Normal 2 2 2 2 5 2 24" xfId="16498" xr:uid="{00000000-0005-0000-0000-000072400000}"/>
    <cellStyle name="Normal 2 2 2 2 5 2 24 10" xfId="16499" xr:uid="{00000000-0005-0000-0000-000073400000}"/>
    <cellStyle name="Normal 2 2 2 2 5 2 24 2" xfId="16500" xr:uid="{00000000-0005-0000-0000-000074400000}"/>
    <cellStyle name="Normal 2 2 2 2 5 2 24 3" xfId="16501" xr:uid="{00000000-0005-0000-0000-000075400000}"/>
    <cellStyle name="Normal 2 2 2 2 5 2 24 4" xfId="16502" xr:uid="{00000000-0005-0000-0000-000076400000}"/>
    <cellStyle name="Normal 2 2 2 2 5 2 24 5" xfId="16503" xr:uid="{00000000-0005-0000-0000-000077400000}"/>
    <cellStyle name="Normal 2 2 2 2 5 2 24 6" xfId="16504" xr:uid="{00000000-0005-0000-0000-000078400000}"/>
    <cellStyle name="Normal 2 2 2 2 5 2 24 7" xfId="16505" xr:uid="{00000000-0005-0000-0000-000079400000}"/>
    <cellStyle name="Normal 2 2 2 2 5 2 24 8" xfId="16506" xr:uid="{00000000-0005-0000-0000-00007A400000}"/>
    <cellStyle name="Normal 2 2 2 2 5 2 24 9" xfId="16507" xr:uid="{00000000-0005-0000-0000-00007B400000}"/>
    <cellStyle name="Normal 2 2 2 2 5 2 25" xfId="16508" xr:uid="{00000000-0005-0000-0000-00007C400000}"/>
    <cellStyle name="Normal 2 2 2 2 5 2 26" xfId="16509" xr:uid="{00000000-0005-0000-0000-00007D400000}"/>
    <cellStyle name="Normal 2 2 2 2 5 2 27" xfId="16510" xr:uid="{00000000-0005-0000-0000-00007E400000}"/>
    <cellStyle name="Normal 2 2 2 2 5 2 28" xfId="16511" xr:uid="{00000000-0005-0000-0000-00007F400000}"/>
    <cellStyle name="Normal 2 2 2 2 5 2 29" xfId="16512" xr:uid="{00000000-0005-0000-0000-000080400000}"/>
    <cellStyle name="Normal 2 2 2 2 5 2 3" xfId="16513" xr:uid="{00000000-0005-0000-0000-000081400000}"/>
    <cellStyle name="Normal 2 2 2 2 5 2 30" xfId="16514" xr:uid="{00000000-0005-0000-0000-000082400000}"/>
    <cellStyle name="Normal 2 2 2 2 5 2 31" xfId="16515" xr:uid="{00000000-0005-0000-0000-000083400000}"/>
    <cellStyle name="Normal 2 2 2 2 5 2 32" xfId="16516" xr:uid="{00000000-0005-0000-0000-000084400000}"/>
    <cellStyle name="Normal 2 2 2 2 5 2 33" xfId="16517" xr:uid="{00000000-0005-0000-0000-000085400000}"/>
    <cellStyle name="Normal 2 2 2 2 5 2 4" xfId="16518" xr:uid="{00000000-0005-0000-0000-000086400000}"/>
    <cellStyle name="Normal 2 2 2 2 5 2 5" xfId="16519" xr:uid="{00000000-0005-0000-0000-000087400000}"/>
    <cellStyle name="Normal 2 2 2 2 5 2 6" xfId="16520" xr:uid="{00000000-0005-0000-0000-000088400000}"/>
    <cellStyle name="Normal 2 2 2 2 5 2 7" xfId="16521" xr:uid="{00000000-0005-0000-0000-000089400000}"/>
    <cellStyle name="Normal 2 2 2 2 5 2 8" xfId="16522" xr:uid="{00000000-0005-0000-0000-00008A400000}"/>
    <cellStyle name="Normal 2 2 2 2 5 2 9" xfId="16523" xr:uid="{00000000-0005-0000-0000-00008B400000}"/>
    <cellStyle name="Normal 2 2 2 2 5 20" xfId="16524" xr:uid="{00000000-0005-0000-0000-00008C400000}"/>
    <cellStyle name="Normal 2 2 2 2 5 20 10" xfId="16525" xr:uid="{00000000-0005-0000-0000-00008D400000}"/>
    <cellStyle name="Normal 2 2 2 2 5 20 11" xfId="16526" xr:uid="{00000000-0005-0000-0000-00008E400000}"/>
    <cellStyle name="Normal 2 2 2 2 5 20 12" xfId="16527" xr:uid="{00000000-0005-0000-0000-00008F400000}"/>
    <cellStyle name="Normal 2 2 2 2 5 20 13" xfId="16528" xr:uid="{00000000-0005-0000-0000-000090400000}"/>
    <cellStyle name="Normal 2 2 2 2 5 20 14" xfId="16529" xr:uid="{00000000-0005-0000-0000-000091400000}"/>
    <cellStyle name="Normal 2 2 2 2 5 20 2" xfId="16530" xr:uid="{00000000-0005-0000-0000-000092400000}"/>
    <cellStyle name="Normal 2 2 2 2 5 20 2 10" xfId="16531" xr:uid="{00000000-0005-0000-0000-000093400000}"/>
    <cellStyle name="Normal 2 2 2 2 5 20 2 2" xfId="16532" xr:uid="{00000000-0005-0000-0000-000094400000}"/>
    <cellStyle name="Normal 2 2 2 2 5 20 2 3" xfId="16533" xr:uid="{00000000-0005-0000-0000-000095400000}"/>
    <cellStyle name="Normal 2 2 2 2 5 20 2 4" xfId="16534" xr:uid="{00000000-0005-0000-0000-000096400000}"/>
    <cellStyle name="Normal 2 2 2 2 5 20 2 5" xfId="16535" xr:uid="{00000000-0005-0000-0000-000097400000}"/>
    <cellStyle name="Normal 2 2 2 2 5 20 2 6" xfId="16536" xr:uid="{00000000-0005-0000-0000-000098400000}"/>
    <cellStyle name="Normal 2 2 2 2 5 20 2 7" xfId="16537" xr:uid="{00000000-0005-0000-0000-000099400000}"/>
    <cellStyle name="Normal 2 2 2 2 5 20 2 8" xfId="16538" xr:uid="{00000000-0005-0000-0000-00009A400000}"/>
    <cellStyle name="Normal 2 2 2 2 5 20 2 9" xfId="16539" xr:uid="{00000000-0005-0000-0000-00009B400000}"/>
    <cellStyle name="Normal 2 2 2 2 5 20 3" xfId="16540" xr:uid="{00000000-0005-0000-0000-00009C400000}"/>
    <cellStyle name="Normal 2 2 2 2 5 20 3 10" xfId="16541" xr:uid="{00000000-0005-0000-0000-00009D400000}"/>
    <cellStyle name="Normal 2 2 2 2 5 20 3 2" xfId="16542" xr:uid="{00000000-0005-0000-0000-00009E400000}"/>
    <cellStyle name="Normal 2 2 2 2 5 20 3 3" xfId="16543" xr:uid="{00000000-0005-0000-0000-00009F400000}"/>
    <cellStyle name="Normal 2 2 2 2 5 20 3 4" xfId="16544" xr:uid="{00000000-0005-0000-0000-0000A0400000}"/>
    <cellStyle name="Normal 2 2 2 2 5 20 3 5" xfId="16545" xr:uid="{00000000-0005-0000-0000-0000A1400000}"/>
    <cellStyle name="Normal 2 2 2 2 5 20 3 6" xfId="16546" xr:uid="{00000000-0005-0000-0000-0000A2400000}"/>
    <cellStyle name="Normal 2 2 2 2 5 20 3 7" xfId="16547" xr:uid="{00000000-0005-0000-0000-0000A3400000}"/>
    <cellStyle name="Normal 2 2 2 2 5 20 3 8" xfId="16548" xr:uid="{00000000-0005-0000-0000-0000A4400000}"/>
    <cellStyle name="Normal 2 2 2 2 5 20 3 9" xfId="16549" xr:uid="{00000000-0005-0000-0000-0000A5400000}"/>
    <cellStyle name="Normal 2 2 2 2 5 20 4" xfId="16550" xr:uid="{00000000-0005-0000-0000-0000A6400000}"/>
    <cellStyle name="Normal 2 2 2 2 5 20 4 10" xfId="16551" xr:uid="{00000000-0005-0000-0000-0000A7400000}"/>
    <cellStyle name="Normal 2 2 2 2 5 20 4 2" xfId="16552" xr:uid="{00000000-0005-0000-0000-0000A8400000}"/>
    <cellStyle name="Normal 2 2 2 2 5 20 4 3" xfId="16553" xr:uid="{00000000-0005-0000-0000-0000A9400000}"/>
    <cellStyle name="Normal 2 2 2 2 5 20 4 4" xfId="16554" xr:uid="{00000000-0005-0000-0000-0000AA400000}"/>
    <cellStyle name="Normal 2 2 2 2 5 20 4 5" xfId="16555" xr:uid="{00000000-0005-0000-0000-0000AB400000}"/>
    <cellStyle name="Normal 2 2 2 2 5 20 4 6" xfId="16556" xr:uid="{00000000-0005-0000-0000-0000AC400000}"/>
    <cellStyle name="Normal 2 2 2 2 5 20 4 7" xfId="16557" xr:uid="{00000000-0005-0000-0000-0000AD400000}"/>
    <cellStyle name="Normal 2 2 2 2 5 20 4 8" xfId="16558" xr:uid="{00000000-0005-0000-0000-0000AE400000}"/>
    <cellStyle name="Normal 2 2 2 2 5 20 4 9" xfId="16559" xr:uid="{00000000-0005-0000-0000-0000AF400000}"/>
    <cellStyle name="Normal 2 2 2 2 5 20 5" xfId="16560" xr:uid="{00000000-0005-0000-0000-0000B0400000}"/>
    <cellStyle name="Normal 2 2 2 2 5 20 5 10" xfId="16561" xr:uid="{00000000-0005-0000-0000-0000B1400000}"/>
    <cellStyle name="Normal 2 2 2 2 5 20 5 2" xfId="16562" xr:uid="{00000000-0005-0000-0000-0000B2400000}"/>
    <cellStyle name="Normal 2 2 2 2 5 20 5 3" xfId="16563" xr:uid="{00000000-0005-0000-0000-0000B3400000}"/>
    <cellStyle name="Normal 2 2 2 2 5 20 5 4" xfId="16564" xr:uid="{00000000-0005-0000-0000-0000B4400000}"/>
    <cellStyle name="Normal 2 2 2 2 5 20 5 5" xfId="16565" xr:uid="{00000000-0005-0000-0000-0000B5400000}"/>
    <cellStyle name="Normal 2 2 2 2 5 20 5 6" xfId="16566" xr:uid="{00000000-0005-0000-0000-0000B6400000}"/>
    <cellStyle name="Normal 2 2 2 2 5 20 5 7" xfId="16567" xr:uid="{00000000-0005-0000-0000-0000B7400000}"/>
    <cellStyle name="Normal 2 2 2 2 5 20 5 8" xfId="16568" xr:uid="{00000000-0005-0000-0000-0000B8400000}"/>
    <cellStyle name="Normal 2 2 2 2 5 20 5 9" xfId="16569" xr:uid="{00000000-0005-0000-0000-0000B9400000}"/>
    <cellStyle name="Normal 2 2 2 2 5 20 6" xfId="16570" xr:uid="{00000000-0005-0000-0000-0000BA400000}"/>
    <cellStyle name="Normal 2 2 2 2 5 20 7" xfId="16571" xr:uid="{00000000-0005-0000-0000-0000BB400000}"/>
    <cellStyle name="Normal 2 2 2 2 5 20 8" xfId="16572" xr:uid="{00000000-0005-0000-0000-0000BC400000}"/>
    <cellStyle name="Normal 2 2 2 2 5 20 9" xfId="16573" xr:uid="{00000000-0005-0000-0000-0000BD400000}"/>
    <cellStyle name="Normal 2 2 2 2 5 21" xfId="16574" xr:uid="{00000000-0005-0000-0000-0000BE400000}"/>
    <cellStyle name="Normal 2 2 2 2 5 22" xfId="16575" xr:uid="{00000000-0005-0000-0000-0000BF400000}"/>
    <cellStyle name="Normal 2 2 2 2 5 3" xfId="16576" xr:uid="{00000000-0005-0000-0000-0000C0400000}"/>
    <cellStyle name="Normal 2 2 2 2 5 3 10" xfId="16577" xr:uid="{00000000-0005-0000-0000-0000C1400000}"/>
    <cellStyle name="Normal 2 2 2 2 5 3 11" xfId="16578" xr:uid="{00000000-0005-0000-0000-0000C2400000}"/>
    <cellStyle name="Normal 2 2 2 2 5 3 12" xfId="16579" xr:uid="{00000000-0005-0000-0000-0000C3400000}"/>
    <cellStyle name="Normal 2 2 2 2 5 3 13" xfId="16580" xr:uid="{00000000-0005-0000-0000-0000C4400000}"/>
    <cellStyle name="Normal 2 2 2 2 5 3 14" xfId="16581" xr:uid="{00000000-0005-0000-0000-0000C5400000}"/>
    <cellStyle name="Normal 2 2 2 2 5 3 2" xfId="16582" xr:uid="{00000000-0005-0000-0000-0000C6400000}"/>
    <cellStyle name="Normal 2 2 2 2 5 3 2 10" xfId="16583" xr:uid="{00000000-0005-0000-0000-0000C7400000}"/>
    <cellStyle name="Normal 2 2 2 2 5 3 2 2" xfId="16584" xr:uid="{00000000-0005-0000-0000-0000C8400000}"/>
    <cellStyle name="Normal 2 2 2 2 5 3 2 3" xfId="16585" xr:uid="{00000000-0005-0000-0000-0000C9400000}"/>
    <cellStyle name="Normal 2 2 2 2 5 3 2 4" xfId="16586" xr:uid="{00000000-0005-0000-0000-0000CA400000}"/>
    <cellStyle name="Normal 2 2 2 2 5 3 2 5" xfId="16587" xr:uid="{00000000-0005-0000-0000-0000CB400000}"/>
    <cellStyle name="Normal 2 2 2 2 5 3 2 6" xfId="16588" xr:uid="{00000000-0005-0000-0000-0000CC400000}"/>
    <cellStyle name="Normal 2 2 2 2 5 3 2 7" xfId="16589" xr:uid="{00000000-0005-0000-0000-0000CD400000}"/>
    <cellStyle name="Normal 2 2 2 2 5 3 2 8" xfId="16590" xr:uid="{00000000-0005-0000-0000-0000CE400000}"/>
    <cellStyle name="Normal 2 2 2 2 5 3 2 9" xfId="16591" xr:uid="{00000000-0005-0000-0000-0000CF400000}"/>
    <cellStyle name="Normal 2 2 2 2 5 3 3" xfId="16592" xr:uid="{00000000-0005-0000-0000-0000D0400000}"/>
    <cellStyle name="Normal 2 2 2 2 5 3 3 10" xfId="16593" xr:uid="{00000000-0005-0000-0000-0000D1400000}"/>
    <cellStyle name="Normal 2 2 2 2 5 3 3 2" xfId="16594" xr:uid="{00000000-0005-0000-0000-0000D2400000}"/>
    <cellStyle name="Normal 2 2 2 2 5 3 3 3" xfId="16595" xr:uid="{00000000-0005-0000-0000-0000D3400000}"/>
    <cellStyle name="Normal 2 2 2 2 5 3 3 4" xfId="16596" xr:uid="{00000000-0005-0000-0000-0000D4400000}"/>
    <cellStyle name="Normal 2 2 2 2 5 3 3 5" xfId="16597" xr:uid="{00000000-0005-0000-0000-0000D5400000}"/>
    <cellStyle name="Normal 2 2 2 2 5 3 3 6" xfId="16598" xr:uid="{00000000-0005-0000-0000-0000D6400000}"/>
    <cellStyle name="Normal 2 2 2 2 5 3 3 7" xfId="16599" xr:uid="{00000000-0005-0000-0000-0000D7400000}"/>
    <cellStyle name="Normal 2 2 2 2 5 3 3 8" xfId="16600" xr:uid="{00000000-0005-0000-0000-0000D8400000}"/>
    <cellStyle name="Normal 2 2 2 2 5 3 3 9" xfId="16601" xr:uid="{00000000-0005-0000-0000-0000D9400000}"/>
    <cellStyle name="Normal 2 2 2 2 5 3 4" xfId="16602" xr:uid="{00000000-0005-0000-0000-0000DA400000}"/>
    <cellStyle name="Normal 2 2 2 2 5 3 4 10" xfId="16603" xr:uid="{00000000-0005-0000-0000-0000DB400000}"/>
    <cellStyle name="Normal 2 2 2 2 5 3 4 2" xfId="16604" xr:uid="{00000000-0005-0000-0000-0000DC400000}"/>
    <cellStyle name="Normal 2 2 2 2 5 3 4 3" xfId="16605" xr:uid="{00000000-0005-0000-0000-0000DD400000}"/>
    <cellStyle name="Normal 2 2 2 2 5 3 4 4" xfId="16606" xr:uid="{00000000-0005-0000-0000-0000DE400000}"/>
    <cellStyle name="Normal 2 2 2 2 5 3 4 5" xfId="16607" xr:uid="{00000000-0005-0000-0000-0000DF400000}"/>
    <cellStyle name="Normal 2 2 2 2 5 3 4 6" xfId="16608" xr:uid="{00000000-0005-0000-0000-0000E0400000}"/>
    <cellStyle name="Normal 2 2 2 2 5 3 4 7" xfId="16609" xr:uid="{00000000-0005-0000-0000-0000E1400000}"/>
    <cellStyle name="Normal 2 2 2 2 5 3 4 8" xfId="16610" xr:uid="{00000000-0005-0000-0000-0000E2400000}"/>
    <cellStyle name="Normal 2 2 2 2 5 3 4 9" xfId="16611" xr:uid="{00000000-0005-0000-0000-0000E3400000}"/>
    <cellStyle name="Normal 2 2 2 2 5 3 5" xfId="16612" xr:uid="{00000000-0005-0000-0000-0000E4400000}"/>
    <cellStyle name="Normal 2 2 2 2 5 3 5 10" xfId="16613" xr:uid="{00000000-0005-0000-0000-0000E5400000}"/>
    <cellStyle name="Normal 2 2 2 2 5 3 5 2" xfId="16614" xr:uid="{00000000-0005-0000-0000-0000E6400000}"/>
    <cellStyle name="Normal 2 2 2 2 5 3 5 3" xfId="16615" xr:uid="{00000000-0005-0000-0000-0000E7400000}"/>
    <cellStyle name="Normal 2 2 2 2 5 3 5 4" xfId="16616" xr:uid="{00000000-0005-0000-0000-0000E8400000}"/>
    <cellStyle name="Normal 2 2 2 2 5 3 5 5" xfId="16617" xr:uid="{00000000-0005-0000-0000-0000E9400000}"/>
    <cellStyle name="Normal 2 2 2 2 5 3 5 6" xfId="16618" xr:uid="{00000000-0005-0000-0000-0000EA400000}"/>
    <cellStyle name="Normal 2 2 2 2 5 3 5 7" xfId="16619" xr:uid="{00000000-0005-0000-0000-0000EB400000}"/>
    <cellStyle name="Normal 2 2 2 2 5 3 5 8" xfId="16620" xr:uid="{00000000-0005-0000-0000-0000EC400000}"/>
    <cellStyle name="Normal 2 2 2 2 5 3 5 9" xfId="16621" xr:uid="{00000000-0005-0000-0000-0000ED400000}"/>
    <cellStyle name="Normal 2 2 2 2 5 3 6" xfId="16622" xr:uid="{00000000-0005-0000-0000-0000EE400000}"/>
    <cellStyle name="Normal 2 2 2 2 5 3 7" xfId="16623" xr:uid="{00000000-0005-0000-0000-0000EF400000}"/>
    <cellStyle name="Normal 2 2 2 2 5 3 8" xfId="16624" xr:uid="{00000000-0005-0000-0000-0000F0400000}"/>
    <cellStyle name="Normal 2 2 2 2 5 3 9" xfId="16625" xr:uid="{00000000-0005-0000-0000-0000F1400000}"/>
    <cellStyle name="Normal 2 2 2 2 5 4" xfId="16626" xr:uid="{00000000-0005-0000-0000-0000F2400000}"/>
    <cellStyle name="Normal 2 2 2 2 5 4 10" xfId="16627" xr:uid="{00000000-0005-0000-0000-0000F3400000}"/>
    <cellStyle name="Normal 2 2 2 2 5 4 11" xfId="16628" xr:uid="{00000000-0005-0000-0000-0000F4400000}"/>
    <cellStyle name="Normal 2 2 2 2 5 4 12" xfId="16629" xr:uid="{00000000-0005-0000-0000-0000F5400000}"/>
    <cellStyle name="Normal 2 2 2 2 5 4 13" xfId="16630" xr:uid="{00000000-0005-0000-0000-0000F6400000}"/>
    <cellStyle name="Normal 2 2 2 2 5 4 14" xfId="16631" xr:uid="{00000000-0005-0000-0000-0000F7400000}"/>
    <cellStyle name="Normal 2 2 2 2 5 4 2" xfId="16632" xr:uid="{00000000-0005-0000-0000-0000F8400000}"/>
    <cellStyle name="Normal 2 2 2 2 5 4 2 10" xfId="16633" xr:uid="{00000000-0005-0000-0000-0000F9400000}"/>
    <cellStyle name="Normal 2 2 2 2 5 4 2 2" xfId="16634" xr:uid="{00000000-0005-0000-0000-0000FA400000}"/>
    <cellStyle name="Normal 2 2 2 2 5 4 2 3" xfId="16635" xr:uid="{00000000-0005-0000-0000-0000FB400000}"/>
    <cellStyle name="Normal 2 2 2 2 5 4 2 4" xfId="16636" xr:uid="{00000000-0005-0000-0000-0000FC400000}"/>
    <cellStyle name="Normal 2 2 2 2 5 4 2 5" xfId="16637" xr:uid="{00000000-0005-0000-0000-0000FD400000}"/>
    <cellStyle name="Normal 2 2 2 2 5 4 2 6" xfId="16638" xr:uid="{00000000-0005-0000-0000-0000FE400000}"/>
    <cellStyle name="Normal 2 2 2 2 5 4 2 7" xfId="16639" xr:uid="{00000000-0005-0000-0000-0000FF400000}"/>
    <cellStyle name="Normal 2 2 2 2 5 4 2 8" xfId="16640" xr:uid="{00000000-0005-0000-0000-000000410000}"/>
    <cellStyle name="Normal 2 2 2 2 5 4 2 9" xfId="16641" xr:uid="{00000000-0005-0000-0000-000001410000}"/>
    <cellStyle name="Normal 2 2 2 2 5 4 3" xfId="16642" xr:uid="{00000000-0005-0000-0000-000002410000}"/>
    <cellStyle name="Normal 2 2 2 2 5 4 3 10" xfId="16643" xr:uid="{00000000-0005-0000-0000-000003410000}"/>
    <cellStyle name="Normal 2 2 2 2 5 4 3 2" xfId="16644" xr:uid="{00000000-0005-0000-0000-000004410000}"/>
    <cellStyle name="Normal 2 2 2 2 5 4 3 3" xfId="16645" xr:uid="{00000000-0005-0000-0000-000005410000}"/>
    <cellStyle name="Normal 2 2 2 2 5 4 3 4" xfId="16646" xr:uid="{00000000-0005-0000-0000-000006410000}"/>
    <cellStyle name="Normal 2 2 2 2 5 4 3 5" xfId="16647" xr:uid="{00000000-0005-0000-0000-000007410000}"/>
    <cellStyle name="Normal 2 2 2 2 5 4 3 6" xfId="16648" xr:uid="{00000000-0005-0000-0000-000008410000}"/>
    <cellStyle name="Normal 2 2 2 2 5 4 3 7" xfId="16649" xr:uid="{00000000-0005-0000-0000-000009410000}"/>
    <cellStyle name="Normal 2 2 2 2 5 4 3 8" xfId="16650" xr:uid="{00000000-0005-0000-0000-00000A410000}"/>
    <cellStyle name="Normal 2 2 2 2 5 4 3 9" xfId="16651" xr:uid="{00000000-0005-0000-0000-00000B410000}"/>
    <cellStyle name="Normal 2 2 2 2 5 4 4" xfId="16652" xr:uid="{00000000-0005-0000-0000-00000C410000}"/>
    <cellStyle name="Normal 2 2 2 2 5 4 4 10" xfId="16653" xr:uid="{00000000-0005-0000-0000-00000D410000}"/>
    <cellStyle name="Normal 2 2 2 2 5 4 4 2" xfId="16654" xr:uid="{00000000-0005-0000-0000-00000E410000}"/>
    <cellStyle name="Normal 2 2 2 2 5 4 4 3" xfId="16655" xr:uid="{00000000-0005-0000-0000-00000F410000}"/>
    <cellStyle name="Normal 2 2 2 2 5 4 4 4" xfId="16656" xr:uid="{00000000-0005-0000-0000-000010410000}"/>
    <cellStyle name="Normal 2 2 2 2 5 4 4 5" xfId="16657" xr:uid="{00000000-0005-0000-0000-000011410000}"/>
    <cellStyle name="Normal 2 2 2 2 5 4 4 6" xfId="16658" xr:uid="{00000000-0005-0000-0000-000012410000}"/>
    <cellStyle name="Normal 2 2 2 2 5 4 4 7" xfId="16659" xr:uid="{00000000-0005-0000-0000-000013410000}"/>
    <cellStyle name="Normal 2 2 2 2 5 4 4 8" xfId="16660" xr:uid="{00000000-0005-0000-0000-000014410000}"/>
    <cellStyle name="Normal 2 2 2 2 5 4 4 9" xfId="16661" xr:uid="{00000000-0005-0000-0000-000015410000}"/>
    <cellStyle name="Normal 2 2 2 2 5 4 5" xfId="16662" xr:uid="{00000000-0005-0000-0000-000016410000}"/>
    <cellStyle name="Normal 2 2 2 2 5 4 5 10" xfId="16663" xr:uid="{00000000-0005-0000-0000-000017410000}"/>
    <cellStyle name="Normal 2 2 2 2 5 4 5 2" xfId="16664" xr:uid="{00000000-0005-0000-0000-000018410000}"/>
    <cellStyle name="Normal 2 2 2 2 5 4 5 3" xfId="16665" xr:uid="{00000000-0005-0000-0000-000019410000}"/>
    <cellStyle name="Normal 2 2 2 2 5 4 5 4" xfId="16666" xr:uid="{00000000-0005-0000-0000-00001A410000}"/>
    <cellStyle name="Normal 2 2 2 2 5 4 5 5" xfId="16667" xr:uid="{00000000-0005-0000-0000-00001B410000}"/>
    <cellStyle name="Normal 2 2 2 2 5 4 5 6" xfId="16668" xr:uid="{00000000-0005-0000-0000-00001C410000}"/>
    <cellStyle name="Normal 2 2 2 2 5 4 5 7" xfId="16669" xr:uid="{00000000-0005-0000-0000-00001D410000}"/>
    <cellStyle name="Normal 2 2 2 2 5 4 5 8" xfId="16670" xr:uid="{00000000-0005-0000-0000-00001E410000}"/>
    <cellStyle name="Normal 2 2 2 2 5 4 5 9" xfId="16671" xr:uid="{00000000-0005-0000-0000-00001F410000}"/>
    <cellStyle name="Normal 2 2 2 2 5 4 6" xfId="16672" xr:uid="{00000000-0005-0000-0000-000020410000}"/>
    <cellStyle name="Normal 2 2 2 2 5 4 7" xfId="16673" xr:uid="{00000000-0005-0000-0000-000021410000}"/>
    <cellStyle name="Normal 2 2 2 2 5 4 8" xfId="16674" xr:uid="{00000000-0005-0000-0000-000022410000}"/>
    <cellStyle name="Normal 2 2 2 2 5 4 9" xfId="16675" xr:uid="{00000000-0005-0000-0000-000023410000}"/>
    <cellStyle name="Normal 2 2 2 2 5 5" xfId="16676" xr:uid="{00000000-0005-0000-0000-000024410000}"/>
    <cellStyle name="Normal 2 2 2 2 5 5 10" xfId="16677" xr:uid="{00000000-0005-0000-0000-000025410000}"/>
    <cellStyle name="Normal 2 2 2 2 5 5 11" xfId="16678" xr:uid="{00000000-0005-0000-0000-000026410000}"/>
    <cellStyle name="Normal 2 2 2 2 5 5 12" xfId="16679" xr:uid="{00000000-0005-0000-0000-000027410000}"/>
    <cellStyle name="Normal 2 2 2 2 5 5 13" xfId="16680" xr:uid="{00000000-0005-0000-0000-000028410000}"/>
    <cellStyle name="Normal 2 2 2 2 5 5 14" xfId="16681" xr:uid="{00000000-0005-0000-0000-000029410000}"/>
    <cellStyle name="Normal 2 2 2 2 5 5 2" xfId="16682" xr:uid="{00000000-0005-0000-0000-00002A410000}"/>
    <cellStyle name="Normal 2 2 2 2 5 5 2 10" xfId="16683" xr:uid="{00000000-0005-0000-0000-00002B410000}"/>
    <cellStyle name="Normal 2 2 2 2 5 5 2 2" xfId="16684" xr:uid="{00000000-0005-0000-0000-00002C410000}"/>
    <cellStyle name="Normal 2 2 2 2 5 5 2 3" xfId="16685" xr:uid="{00000000-0005-0000-0000-00002D410000}"/>
    <cellStyle name="Normal 2 2 2 2 5 5 2 4" xfId="16686" xr:uid="{00000000-0005-0000-0000-00002E410000}"/>
    <cellStyle name="Normal 2 2 2 2 5 5 2 5" xfId="16687" xr:uid="{00000000-0005-0000-0000-00002F410000}"/>
    <cellStyle name="Normal 2 2 2 2 5 5 2 6" xfId="16688" xr:uid="{00000000-0005-0000-0000-000030410000}"/>
    <cellStyle name="Normal 2 2 2 2 5 5 2 7" xfId="16689" xr:uid="{00000000-0005-0000-0000-000031410000}"/>
    <cellStyle name="Normal 2 2 2 2 5 5 2 8" xfId="16690" xr:uid="{00000000-0005-0000-0000-000032410000}"/>
    <cellStyle name="Normal 2 2 2 2 5 5 2 9" xfId="16691" xr:uid="{00000000-0005-0000-0000-000033410000}"/>
    <cellStyle name="Normal 2 2 2 2 5 5 3" xfId="16692" xr:uid="{00000000-0005-0000-0000-000034410000}"/>
    <cellStyle name="Normal 2 2 2 2 5 5 3 10" xfId="16693" xr:uid="{00000000-0005-0000-0000-000035410000}"/>
    <cellStyle name="Normal 2 2 2 2 5 5 3 2" xfId="16694" xr:uid="{00000000-0005-0000-0000-000036410000}"/>
    <cellStyle name="Normal 2 2 2 2 5 5 3 3" xfId="16695" xr:uid="{00000000-0005-0000-0000-000037410000}"/>
    <cellStyle name="Normal 2 2 2 2 5 5 3 4" xfId="16696" xr:uid="{00000000-0005-0000-0000-000038410000}"/>
    <cellStyle name="Normal 2 2 2 2 5 5 3 5" xfId="16697" xr:uid="{00000000-0005-0000-0000-000039410000}"/>
    <cellStyle name="Normal 2 2 2 2 5 5 3 6" xfId="16698" xr:uid="{00000000-0005-0000-0000-00003A410000}"/>
    <cellStyle name="Normal 2 2 2 2 5 5 3 7" xfId="16699" xr:uid="{00000000-0005-0000-0000-00003B410000}"/>
    <cellStyle name="Normal 2 2 2 2 5 5 3 8" xfId="16700" xr:uid="{00000000-0005-0000-0000-00003C410000}"/>
    <cellStyle name="Normal 2 2 2 2 5 5 3 9" xfId="16701" xr:uid="{00000000-0005-0000-0000-00003D410000}"/>
    <cellStyle name="Normal 2 2 2 2 5 5 4" xfId="16702" xr:uid="{00000000-0005-0000-0000-00003E410000}"/>
    <cellStyle name="Normal 2 2 2 2 5 5 4 10" xfId="16703" xr:uid="{00000000-0005-0000-0000-00003F410000}"/>
    <cellStyle name="Normal 2 2 2 2 5 5 4 2" xfId="16704" xr:uid="{00000000-0005-0000-0000-000040410000}"/>
    <cellStyle name="Normal 2 2 2 2 5 5 4 3" xfId="16705" xr:uid="{00000000-0005-0000-0000-000041410000}"/>
    <cellStyle name="Normal 2 2 2 2 5 5 4 4" xfId="16706" xr:uid="{00000000-0005-0000-0000-000042410000}"/>
    <cellStyle name="Normal 2 2 2 2 5 5 4 5" xfId="16707" xr:uid="{00000000-0005-0000-0000-000043410000}"/>
    <cellStyle name="Normal 2 2 2 2 5 5 4 6" xfId="16708" xr:uid="{00000000-0005-0000-0000-000044410000}"/>
    <cellStyle name="Normal 2 2 2 2 5 5 4 7" xfId="16709" xr:uid="{00000000-0005-0000-0000-000045410000}"/>
    <cellStyle name="Normal 2 2 2 2 5 5 4 8" xfId="16710" xr:uid="{00000000-0005-0000-0000-000046410000}"/>
    <cellStyle name="Normal 2 2 2 2 5 5 4 9" xfId="16711" xr:uid="{00000000-0005-0000-0000-000047410000}"/>
    <cellStyle name="Normal 2 2 2 2 5 5 5" xfId="16712" xr:uid="{00000000-0005-0000-0000-000048410000}"/>
    <cellStyle name="Normal 2 2 2 2 5 5 5 10" xfId="16713" xr:uid="{00000000-0005-0000-0000-000049410000}"/>
    <cellStyle name="Normal 2 2 2 2 5 5 5 2" xfId="16714" xr:uid="{00000000-0005-0000-0000-00004A410000}"/>
    <cellStyle name="Normal 2 2 2 2 5 5 5 3" xfId="16715" xr:uid="{00000000-0005-0000-0000-00004B410000}"/>
    <cellStyle name="Normal 2 2 2 2 5 5 5 4" xfId="16716" xr:uid="{00000000-0005-0000-0000-00004C410000}"/>
    <cellStyle name="Normal 2 2 2 2 5 5 5 5" xfId="16717" xr:uid="{00000000-0005-0000-0000-00004D410000}"/>
    <cellStyle name="Normal 2 2 2 2 5 5 5 6" xfId="16718" xr:uid="{00000000-0005-0000-0000-00004E410000}"/>
    <cellStyle name="Normal 2 2 2 2 5 5 5 7" xfId="16719" xr:uid="{00000000-0005-0000-0000-00004F410000}"/>
    <cellStyle name="Normal 2 2 2 2 5 5 5 8" xfId="16720" xr:uid="{00000000-0005-0000-0000-000050410000}"/>
    <cellStyle name="Normal 2 2 2 2 5 5 5 9" xfId="16721" xr:uid="{00000000-0005-0000-0000-000051410000}"/>
    <cellStyle name="Normal 2 2 2 2 5 5 6" xfId="16722" xr:uid="{00000000-0005-0000-0000-000052410000}"/>
    <cellStyle name="Normal 2 2 2 2 5 5 7" xfId="16723" xr:uid="{00000000-0005-0000-0000-000053410000}"/>
    <cellStyle name="Normal 2 2 2 2 5 5 8" xfId="16724" xr:uid="{00000000-0005-0000-0000-000054410000}"/>
    <cellStyle name="Normal 2 2 2 2 5 5 9" xfId="16725" xr:uid="{00000000-0005-0000-0000-000055410000}"/>
    <cellStyle name="Normal 2 2 2 2 5 6" xfId="16726" xr:uid="{00000000-0005-0000-0000-000056410000}"/>
    <cellStyle name="Normal 2 2 2 2 5 6 10" xfId="16727" xr:uid="{00000000-0005-0000-0000-000057410000}"/>
    <cellStyle name="Normal 2 2 2 2 5 6 11" xfId="16728" xr:uid="{00000000-0005-0000-0000-000058410000}"/>
    <cellStyle name="Normal 2 2 2 2 5 6 12" xfId="16729" xr:uid="{00000000-0005-0000-0000-000059410000}"/>
    <cellStyle name="Normal 2 2 2 2 5 6 13" xfId="16730" xr:uid="{00000000-0005-0000-0000-00005A410000}"/>
    <cellStyle name="Normal 2 2 2 2 5 6 14" xfId="16731" xr:uid="{00000000-0005-0000-0000-00005B410000}"/>
    <cellStyle name="Normal 2 2 2 2 5 6 2" xfId="16732" xr:uid="{00000000-0005-0000-0000-00005C410000}"/>
    <cellStyle name="Normal 2 2 2 2 5 6 2 10" xfId="16733" xr:uid="{00000000-0005-0000-0000-00005D410000}"/>
    <cellStyle name="Normal 2 2 2 2 5 6 2 2" xfId="16734" xr:uid="{00000000-0005-0000-0000-00005E410000}"/>
    <cellStyle name="Normal 2 2 2 2 5 6 2 3" xfId="16735" xr:uid="{00000000-0005-0000-0000-00005F410000}"/>
    <cellStyle name="Normal 2 2 2 2 5 6 2 4" xfId="16736" xr:uid="{00000000-0005-0000-0000-000060410000}"/>
    <cellStyle name="Normal 2 2 2 2 5 6 2 5" xfId="16737" xr:uid="{00000000-0005-0000-0000-000061410000}"/>
    <cellStyle name="Normal 2 2 2 2 5 6 2 6" xfId="16738" xr:uid="{00000000-0005-0000-0000-000062410000}"/>
    <cellStyle name="Normal 2 2 2 2 5 6 2 7" xfId="16739" xr:uid="{00000000-0005-0000-0000-000063410000}"/>
    <cellStyle name="Normal 2 2 2 2 5 6 2 8" xfId="16740" xr:uid="{00000000-0005-0000-0000-000064410000}"/>
    <cellStyle name="Normal 2 2 2 2 5 6 2 9" xfId="16741" xr:uid="{00000000-0005-0000-0000-000065410000}"/>
    <cellStyle name="Normal 2 2 2 2 5 6 3" xfId="16742" xr:uid="{00000000-0005-0000-0000-000066410000}"/>
    <cellStyle name="Normal 2 2 2 2 5 6 3 10" xfId="16743" xr:uid="{00000000-0005-0000-0000-000067410000}"/>
    <cellStyle name="Normal 2 2 2 2 5 6 3 2" xfId="16744" xr:uid="{00000000-0005-0000-0000-000068410000}"/>
    <cellStyle name="Normal 2 2 2 2 5 6 3 3" xfId="16745" xr:uid="{00000000-0005-0000-0000-000069410000}"/>
    <cellStyle name="Normal 2 2 2 2 5 6 3 4" xfId="16746" xr:uid="{00000000-0005-0000-0000-00006A410000}"/>
    <cellStyle name="Normal 2 2 2 2 5 6 3 5" xfId="16747" xr:uid="{00000000-0005-0000-0000-00006B410000}"/>
    <cellStyle name="Normal 2 2 2 2 5 6 3 6" xfId="16748" xr:uid="{00000000-0005-0000-0000-00006C410000}"/>
    <cellStyle name="Normal 2 2 2 2 5 6 3 7" xfId="16749" xr:uid="{00000000-0005-0000-0000-00006D410000}"/>
    <cellStyle name="Normal 2 2 2 2 5 6 3 8" xfId="16750" xr:uid="{00000000-0005-0000-0000-00006E410000}"/>
    <cellStyle name="Normal 2 2 2 2 5 6 3 9" xfId="16751" xr:uid="{00000000-0005-0000-0000-00006F410000}"/>
    <cellStyle name="Normal 2 2 2 2 5 6 4" xfId="16752" xr:uid="{00000000-0005-0000-0000-000070410000}"/>
    <cellStyle name="Normal 2 2 2 2 5 6 4 10" xfId="16753" xr:uid="{00000000-0005-0000-0000-000071410000}"/>
    <cellStyle name="Normal 2 2 2 2 5 6 4 2" xfId="16754" xr:uid="{00000000-0005-0000-0000-000072410000}"/>
    <cellStyle name="Normal 2 2 2 2 5 6 4 3" xfId="16755" xr:uid="{00000000-0005-0000-0000-000073410000}"/>
    <cellStyle name="Normal 2 2 2 2 5 6 4 4" xfId="16756" xr:uid="{00000000-0005-0000-0000-000074410000}"/>
    <cellStyle name="Normal 2 2 2 2 5 6 4 5" xfId="16757" xr:uid="{00000000-0005-0000-0000-000075410000}"/>
    <cellStyle name="Normal 2 2 2 2 5 6 4 6" xfId="16758" xr:uid="{00000000-0005-0000-0000-000076410000}"/>
    <cellStyle name="Normal 2 2 2 2 5 6 4 7" xfId="16759" xr:uid="{00000000-0005-0000-0000-000077410000}"/>
    <cellStyle name="Normal 2 2 2 2 5 6 4 8" xfId="16760" xr:uid="{00000000-0005-0000-0000-000078410000}"/>
    <cellStyle name="Normal 2 2 2 2 5 6 4 9" xfId="16761" xr:uid="{00000000-0005-0000-0000-000079410000}"/>
    <cellStyle name="Normal 2 2 2 2 5 6 5" xfId="16762" xr:uid="{00000000-0005-0000-0000-00007A410000}"/>
    <cellStyle name="Normal 2 2 2 2 5 6 5 10" xfId="16763" xr:uid="{00000000-0005-0000-0000-00007B410000}"/>
    <cellStyle name="Normal 2 2 2 2 5 6 5 2" xfId="16764" xr:uid="{00000000-0005-0000-0000-00007C410000}"/>
    <cellStyle name="Normal 2 2 2 2 5 6 5 3" xfId="16765" xr:uid="{00000000-0005-0000-0000-00007D410000}"/>
    <cellStyle name="Normal 2 2 2 2 5 6 5 4" xfId="16766" xr:uid="{00000000-0005-0000-0000-00007E410000}"/>
    <cellStyle name="Normal 2 2 2 2 5 6 5 5" xfId="16767" xr:uid="{00000000-0005-0000-0000-00007F410000}"/>
    <cellStyle name="Normal 2 2 2 2 5 6 5 6" xfId="16768" xr:uid="{00000000-0005-0000-0000-000080410000}"/>
    <cellStyle name="Normal 2 2 2 2 5 6 5 7" xfId="16769" xr:uid="{00000000-0005-0000-0000-000081410000}"/>
    <cellStyle name="Normal 2 2 2 2 5 6 5 8" xfId="16770" xr:uid="{00000000-0005-0000-0000-000082410000}"/>
    <cellStyle name="Normal 2 2 2 2 5 6 5 9" xfId="16771" xr:uid="{00000000-0005-0000-0000-000083410000}"/>
    <cellStyle name="Normal 2 2 2 2 5 6 6" xfId="16772" xr:uid="{00000000-0005-0000-0000-000084410000}"/>
    <cellStyle name="Normal 2 2 2 2 5 6 7" xfId="16773" xr:uid="{00000000-0005-0000-0000-000085410000}"/>
    <cellStyle name="Normal 2 2 2 2 5 6 8" xfId="16774" xr:uid="{00000000-0005-0000-0000-000086410000}"/>
    <cellStyle name="Normal 2 2 2 2 5 6 9" xfId="16775" xr:uid="{00000000-0005-0000-0000-000087410000}"/>
    <cellStyle name="Normal 2 2 2 2 5 7" xfId="16776" xr:uid="{00000000-0005-0000-0000-000088410000}"/>
    <cellStyle name="Normal 2 2 2 2 5 7 10" xfId="16777" xr:uid="{00000000-0005-0000-0000-000089410000}"/>
    <cellStyle name="Normal 2 2 2 2 5 7 11" xfId="16778" xr:uid="{00000000-0005-0000-0000-00008A410000}"/>
    <cellStyle name="Normal 2 2 2 2 5 7 12" xfId="16779" xr:uid="{00000000-0005-0000-0000-00008B410000}"/>
    <cellStyle name="Normal 2 2 2 2 5 7 13" xfId="16780" xr:uid="{00000000-0005-0000-0000-00008C410000}"/>
    <cellStyle name="Normal 2 2 2 2 5 7 14" xfId="16781" xr:uid="{00000000-0005-0000-0000-00008D410000}"/>
    <cellStyle name="Normal 2 2 2 2 5 7 2" xfId="16782" xr:uid="{00000000-0005-0000-0000-00008E410000}"/>
    <cellStyle name="Normal 2 2 2 2 5 7 2 10" xfId="16783" xr:uid="{00000000-0005-0000-0000-00008F410000}"/>
    <cellStyle name="Normal 2 2 2 2 5 7 2 2" xfId="16784" xr:uid="{00000000-0005-0000-0000-000090410000}"/>
    <cellStyle name="Normal 2 2 2 2 5 7 2 3" xfId="16785" xr:uid="{00000000-0005-0000-0000-000091410000}"/>
    <cellStyle name="Normal 2 2 2 2 5 7 2 4" xfId="16786" xr:uid="{00000000-0005-0000-0000-000092410000}"/>
    <cellStyle name="Normal 2 2 2 2 5 7 2 5" xfId="16787" xr:uid="{00000000-0005-0000-0000-000093410000}"/>
    <cellStyle name="Normal 2 2 2 2 5 7 2 6" xfId="16788" xr:uid="{00000000-0005-0000-0000-000094410000}"/>
    <cellStyle name="Normal 2 2 2 2 5 7 2 7" xfId="16789" xr:uid="{00000000-0005-0000-0000-000095410000}"/>
    <cellStyle name="Normal 2 2 2 2 5 7 2 8" xfId="16790" xr:uid="{00000000-0005-0000-0000-000096410000}"/>
    <cellStyle name="Normal 2 2 2 2 5 7 2 9" xfId="16791" xr:uid="{00000000-0005-0000-0000-000097410000}"/>
    <cellStyle name="Normal 2 2 2 2 5 7 3" xfId="16792" xr:uid="{00000000-0005-0000-0000-000098410000}"/>
    <cellStyle name="Normal 2 2 2 2 5 7 3 10" xfId="16793" xr:uid="{00000000-0005-0000-0000-000099410000}"/>
    <cellStyle name="Normal 2 2 2 2 5 7 3 2" xfId="16794" xr:uid="{00000000-0005-0000-0000-00009A410000}"/>
    <cellStyle name="Normal 2 2 2 2 5 7 3 3" xfId="16795" xr:uid="{00000000-0005-0000-0000-00009B410000}"/>
    <cellStyle name="Normal 2 2 2 2 5 7 3 4" xfId="16796" xr:uid="{00000000-0005-0000-0000-00009C410000}"/>
    <cellStyle name="Normal 2 2 2 2 5 7 3 5" xfId="16797" xr:uid="{00000000-0005-0000-0000-00009D410000}"/>
    <cellStyle name="Normal 2 2 2 2 5 7 3 6" xfId="16798" xr:uid="{00000000-0005-0000-0000-00009E410000}"/>
    <cellStyle name="Normal 2 2 2 2 5 7 3 7" xfId="16799" xr:uid="{00000000-0005-0000-0000-00009F410000}"/>
    <cellStyle name="Normal 2 2 2 2 5 7 3 8" xfId="16800" xr:uid="{00000000-0005-0000-0000-0000A0410000}"/>
    <cellStyle name="Normal 2 2 2 2 5 7 3 9" xfId="16801" xr:uid="{00000000-0005-0000-0000-0000A1410000}"/>
    <cellStyle name="Normal 2 2 2 2 5 7 4" xfId="16802" xr:uid="{00000000-0005-0000-0000-0000A2410000}"/>
    <cellStyle name="Normal 2 2 2 2 5 7 4 10" xfId="16803" xr:uid="{00000000-0005-0000-0000-0000A3410000}"/>
    <cellStyle name="Normal 2 2 2 2 5 7 4 2" xfId="16804" xr:uid="{00000000-0005-0000-0000-0000A4410000}"/>
    <cellStyle name="Normal 2 2 2 2 5 7 4 3" xfId="16805" xr:uid="{00000000-0005-0000-0000-0000A5410000}"/>
    <cellStyle name="Normal 2 2 2 2 5 7 4 4" xfId="16806" xr:uid="{00000000-0005-0000-0000-0000A6410000}"/>
    <cellStyle name="Normal 2 2 2 2 5 7 4 5" xfId="16807" xr:uid="{00000000-0005-0000-0000-0000A7410000}"/>
    <cellStyle name="Normal 2 2 2 2 5 7 4 6" xfId="16808" xr:uid="{00000000-0005-0000-0000-0000A8410000}"/>
    <cellStyle name="Normal 2 2 2 2 5 7 4 7" xfId="16809" xr:uid="{00000000-0005-0000-0000-0000A9410000}"/>
    <cellStyle name="Normal 2 2 2 2 5 7 4 8" xfId="16810" xr:uid="{00000000-0005-0000-0000-0000AA410000}"/>
    <cellStyle name="Normal 2 2 2 2 5 7 4 9" xfId="16811" xr:uid="{00000000-0005-0000-0000-0000AB410000}"/>
    <cellStyle name="Normal 2 2 2 2 5 7 5" xfId="16812" xr:uid="{00000000-0005-0000-0000-0000AC410000}"/>
    <cellStyle name="Normal 2 2 2 2 5 7 5 10" xfId="16813" xr:uid="{00000000-0005-0000-0000-0000AD410000}"/>
    <cellStyle name="Normal 2 2 2 2 5 7 5 2" xfId="16814" xr:uid="{00000000-0005-0000-0000-0000AE410000}"/>
    <cellStyle name="Normal 2 2 2 2 5 7 5 3" xfId="16815" xr:uid="{00000000-0005-0000-0000-0000AF410000}"/>
    <cellStyle name="Normal 2 2 2 2 5 7 5 4" xfId="16816" xr:uid="{00000000-0005-0000-0000-0000B0410000}"/>
    <cellStyle name="Normal 2 2 2 2 5 7 5 5" xfId="16817" xr:uid="{00000000-0005-0000-0000-0000B1410000}"/>
    <cellStyle name="Normal 2 2 2 2 5 7 5 6" xfId="16818" xr:uid="{00000000-0005-0000-0000-0000B2410000}"/>
    <cellStyle name="Normal 2 2 2 2 5 7 5 7" xfId="16819" xr:uid="{00000000-0005-0000-0000-0000B3410000}"/>
    <cellStyle name="Normal 2 2 2 2 5 7 5 8" xfId="16820" xr:uid="{00000000-0005-0000-0000-0000B4410000}"/>
    <cellStyle name="Normal 2 2 2 2 5 7 5 9" xfId="16821" xr:uid="{00000000-0005-0000-0000-0000B5410000}"/>
    <cellStyle name="Normal 2 2 2 2 5 7 6" xfId="16822" xr:uid="{00000000-0005-0000-0000-0000B6410000}"/>
    <cellStyle name="Normal 2 2 2 2 5 7 7" xfId="16823" xr:uid="{00000000-0005-0000-0000-0000B7410000}"/>
    <cellStyle name="Normal 2 2 2 2 5 7 8" xfId="16824" xr:uid="{00000000-0005-0000-0000-0000B8410000}"/>
    <cellStyle name="Normal 2 2 2 2 5 7 9" xfId="16825" xr:uid="{00000000-0005-0000-0000-0000B9410000}"/>
    <cellStyle name="Normal 2 2 2 2 5 8" xfId="16826" xr:uid="{00000000-0005-0000-0000-0000BA410000}"/>
    <cellStyle name="Normal 2 2 2 2 5 8 10" xfId="16827" xr:uid="{00000000-0005-0000-0000-0000BB410000}"/>
    <cellStyle name="Normal 2 2 2 2 5 8 11" xfId="16828" xr:uid="{00000000-0005-0000-0000-0000BC410000}"/>
    <cellStyle name="Normal 2 2 2 2 5 8 12" xfId="16829" xr:uid="{00000000-0005-0000-0000-0000BD410000}"/>
    <cellStyle name="Normal 2 2 2 2 5 8 13" xfId="16830" xr:uid="{00000000-0005-0000-0000-0000BE410000}"/>
    <cellStyle name="Normal 2 2 2 2 5 8 14" xfId="16831" xr:uid="{00000000-0005-0000-0000-0000BF410000}"/>
    <cellStyle name="Normal 2 2 2 2 5 8 2" xfId="16832" xr:uid="{00000000-0005-0000-0000-0000C0410000}"/>
    <cellStyle name="Normal 2 2 2 2 5 8 2 10" xfId="16833" xr:uid="{00000000-0005-0000-0000-0000C1410000}"/>
    <cellStyle name="Normal 2 2 2 2 5 8 2 2" xfId="16834" xr:uid="{00000000-0005-0000-0000-0000C2410000}"/>
    <cellStyle name="Normal 2 2 2 2 5 8 2 3" xfId="16835" xr:uid="{00000000-0005-0000-0000-0000C3410000}"/>
    <cellStyle name="Normal 2 2 2 2 5 8 2 4" xfId="16836" xr:uid="{00000000-0005-0000-0000-0000C4410000}"/>
    <cellStyle name="Normal 2 2 2 2 5 8 2 5" xfId="16837" xr:uid="{00000000-0005-0000-0000-0000C5410000}"/>
    <cellStyle name="Normal 2 2 2 2 5 8 2 6" xfId="16838" xr:uid="{00000000-0005-0000-0000-0000C6410000}"/>
    <cellStyle name="Normal 2 2 2 2 5 8 2 7" xfId="16839" xr:uid="{00000000-0005-0000-0000-0000C7410000}"/>
    <cellStyle name="Normal 2 2 2 2 5 8 2 8" xfId="16840" xr:uid="{00000000-0005-0000-0000-0000C8410000}"/>
    <cellStyle name="Normal 2 2 2 2 5 8 2 9" xfId="16841" xr:uid="{00000000-0005-0000-0000-0000C9410000}"/>
    <cellStyle name="Normal 2 2 2 2 5 8 3" xfId="16842" xr:uid="{00000000-0005-0000-0000-0000CA410000}"/>
    <cellStyle name="Normal 2 2 2 2 5 8 3 10" xfId="16843" xr:uid="{00000000-0005-0000-0000-0000CB410000}"/>
    <cellStyle name="Normal 2 2 2 2 5 8 3 2" xfId="16844" xr:uid="{00000000-0005-0000-0000-0000CC410000}"/>
    <cellStyle name="Normal 2 2 2 2 5 8 3 3" xfId="16845" xr:uid="{00000000-0005-0000-0000-0000CD410000}"/>
    <cellStyle name="Normal 2 2 2 2 5 8 3 4" xfId="16846" xr:uid="{00000000-0005-0000-0000-0000CE410000}"/>
    <cellStyle name="Normal 2 2 2 2 5 8 3 5" xfId="16847" xr:uid="{00000000-0005-0000-0000-0000CF410000}"/>
    <cellStyle name="Normal 2 2 2 2 5 8 3 6" xfId="16848" xr:uid="{00000000-0005-0000-0000-0000D0410000}"/>
    <cellStyle name="Normal 2 2 2 2 5 8 3 7" xfId="16849" xr:uid="{00000000-0005-0000-0000-0000D1410000}"/>
    <cellStyle name="Normal 2 2 2 2 5 8 3 8" xfId="16850" xr:uid="{00000000-0005-0000-0000-0000D2410000}"/>
    <cellStyle name="Normal 2 2 2 2 5 8 3 9" xfId="16851" xr:uid="{00000000-0005-0000-0000-0000D3410000}"/>
    <cellStyle name="Normal 2 2 2 2 5 8 4" xfId="16852" xr:uid="{00000000-0005-0000-0000-0000D4410000}"/>
    <cellStyle name="Normal 2 2 2 2 5 8 4 10" xfId="16853" xr:uid="{00000000-0005-0000-0000-0000D5410000}"/>
    <cellStyle name="Normal 2 2 2 2 5 8 4 2" xfId="16854" xr:uid="{00000000-0005-0000-0000-0000D6410000}"/>
    <cellStyle name="Normal 2 2 2 2 5 8 4 3" xfId="16855" xr:uid="{00000000-0005-0000-0000-0000D7410000}"/>
    <cellStyle name="Normal 2 2 2 2 5 8 4 4" xfId="16856" xr:uid="{00000000-0005-0000-0000-0000D8410000}"/>
    <cellStyle name="Normal 2 2 2 2 5 8 4 5" xfId="16857" xr:uid="{00000000-0005-0000-0000-0000D9410000}"/>
    <cellStyle name="Normal 2 2 2 2 5 8 4 6" xfId="16858" xr:uid="{00000000-0005-0000-0000-0000DA410000}"/>
    <cellStyle name="Normal 2 2 2 2 5 8 4 7" xfId="16859" xr:uid="{00000000-0005-0000-0000-0000DB410000}"/>
    <cellStyle name="Normal 2 2 2 2 5 8 4 8" xfId="16860" xr:uid="{00000000-0005-0000-0000-0000DC410000}"/>
    <cellStyle name="Normal 2 2 2 2 5 8 4 9" xfId="16861" xr:uid="{00000000-0005-0000-0000-0000DD410000}"/>
    <cellStyle name="Normal 2 2 2 2 5 8 5" xfId="16862" xr:uid="{00000000-0005-0000-0000-0000DE410000}"/>
    <cellStyle name="Normal 2 2 2 2 5 8 5 10" xfId="16863" xr:uid="{00000000-0005-0000-0000-0000DF410000}"/>
    <cellStyle name="Normal 2 2 2 2 5 8 5 2" xfId="16864" xr:uid="{00000000-0005-0000-0000-0000E0410000}"/>
    <cellStyle name="Normal 2 2 2 2 5 8 5 3" xfId="16865" xr:uid="{00000000-0005-0000-0000-0000E1410000}"/>
    <cellStyle name="Normal 2 2 2 2 5 8 5 4" xfId="16866" xr:uid="{00000000-0005-0000-0000-0000E2410000}"/>
    <cellStyle name="Normal 2 2 2 2 5 8 5 5" xfId="16867" xr:uid="{00000000-0005-0000-0000-0000E3410000}"/>
    <cellStyle name="Normal 2 2 2 2 5 8 5 6" xfId="16868" xr:uid="{00000000-0005-0000-0000-0000E4410000}"/>
    <cellStyle name="Normal 2 2 2 2 5 8 5 7" xfId="16869" xr:uid="{00000000-0005-0000-0000-0000E5410000}"/>
    <cellStyle name="Normal 2 2 2 2 5 8 5 8" xfId="16870" xr:uid="{00000000-0005-0000-0000-0000E6410000}"/>
    <cellStyle name="Normal 2 2 2 2 5 8 5 9" xfId="16871" xr:uid="{00000000-0005-0000-0000-0000E7410000}"/>
    <cellStyle name="Normal 2 2 2 2 5 8 6" xfId="16872" xr:uid="{00000000-0005-0000-0000-0000E8410000}"/>
    <cellStyle name="Normal 2 2 2 2 5 8 7" xfId="16873" xr:uid="{00000000-0005-0000-0000-0000E9410000}"/>
    <cellStyle name="Normal 2 2 2 2 5 8 8" xfId="16874" xr:uid="{00000000-0005-0000-0000-0000EA410000}"/>
    <cellStyle name="Normal 2 2 2 2 5 8 9" xfId="16875" xr:uid="{00000000-0005-0000-0000-0000EB410000}"/>
    <cellStyle name="Normal 2 2 2 2 5 9" xfId="16876" xr:uid="{00000000-0005-0000-0000-0000EC410000}"/>
    <cellStyle name="Normal 2 2 2 2 5 9 10" xfId="16877" xr:uid="{00000000-0005-0000-0000-0000ED410000}"/>
    <cellStyle name="Normal 2 2 2 2 5 9 11" xfId="16878" xr:uid="{00000000-0005-0000-0000-0000EE410000}"/>
    <cellStyle name="Normal 2 2 2 2 5 9 12" xfId="16879" xr:uid="{00000000-0005-0000-0000-0000EF410000}"/>
    <cellStyle name="Normal 2 2 2 2 5 9 13" xfId="16880" xr:uid="{00000000-0005-0000-0000-0000F0410000}"/>
    <cellStyle name="Normal 2 2 2 2 5 9 14" xfId="16881" xr:uid="{00000000-0005-0000-0000-0000F1410000}"/>
    <cellStyle name="Normal 2 2 2 2 5 9 2" xfId="16882" xr:uid="{00000000-0005-0000-0000-0000F2410000}"/>
    <cellStyle name="Normal 2 2 2 2 5 9 2 10" xfId="16883" xr:uid="{00000000-0005-0000-0000-0000F3410000}"/>
    <cellStyle name="Normal 2 2 2 2 5 9 2 2" xfId="16884" xr:uid="{00000000-0005-0000-0000-0000F4410000}"/>
    <cellStyle name="Normal 2 2 2 2 5 9 2 3" xfId="16885" xr:uid="{00000000-0005-0000-0000-0000F5410000}"/>
    <cellStyle name="Normal 2 2 2 2 5 9 2 4" xfId="16886" xr:uid="{00000000-0005-0000-0000-0000F6410000}"/>
    <cellStyle name="Normal 2 2 2 2 5 9 2 5" xfId="16887" xr:uid="{00000000-0005-0000-0000-0000F7410000}"/>
    <cellStyle name="Normal 2 2 2 2 5 9 2 6" xfId="16888" xr:uid="{00000000-0005-0000-0000-0000F8410000}"/>
    <cellStyle name="Normal 2 2 2 2 5 9 2 7" xfId="16889" xr:uid="{00000000-0005-0000-0000-0000F9410000}"/>
    <cellStyle name="Normal 2 2 2 2 5 9 2 8" xfId="16890" xr:uid="{00000000-0005-0000-0000-0000FA410000}"/>
    <cellStyle name="Normal 2 2 2 2 5 9 2 9" xfId="16891" xr:uid="{00000000-0005-0000-0000-0000FB410000}"/>
    <cellStyle name="Normal 2 2 2 2 5 9 3" xfId="16892" xr:uid="{00000000-0005-0000-0000-0000FC410000}"/>
    <cellStyle name="Normal 2 2 2 2 5 9 3 10" xfId="16893" xr:uid="{00000000-0005-0000-0000-0000FD410000}"/>
    <cellStyle name="Normal 2 2 2 2 5 9 3 2" xfId="16894" xr:uid="{00000000-0005-0000-0000-0000FE410000}"/>
    <cellStyle name="Normal 2 2 2 2 5 9 3 3" xfId="16895" xr:uid="{00000000-0005-0000-0000-0000FF410000}"/>
    <cellStyle name="Normal 2 2 2 2 5 9 3 4" xfId="16896" xr:uid="{00000000-0005-0000-0000-000000420000}"/>
    <cellStyle name="Normal 2 2 2 2 5 9 3 5" xfId="16897" xr:uid="{00000000-0005-0000-0000-000001420000}"/>
    <cellStyle name="Normal 2 2 2 2 5 9 3 6" xfId="16898" xr:uid="{00000000-0005-0000-0000-000002420000}"/>
    <cellStyle name="Normal 2 2 2 2 5 9 3 7" xfId="16899" xr:uid="{00000000-0005-0000-0000-000003420000}"/>
    <cellStyle name="Normal 2 2 2 2 5 9 3 8" xfId="16900" xr:uid="{00000000-0005-0000-0000-000004420000}"/>
    <cellStyle name="Normal 2 2 2 2 5 9 3 9" xfId="16901" xr:uid="{00000000-0005-0000-0000-000005420000}"/>
    <cellStyle name="Normal 2 2 2 2 5 9 4" xfId="16902" xr:uid="{00000000-0005-0000-0000-000006420000}"/>
    <cellStyle name="Normal 2 2 2 2 5 9 4 10" xfId="16903" xr:uid="{00000000-0005-0000-0000-000007420000}"/>
    <cellStyle name="Normal 2 2 2 2 5 9 4 2" xfId="16904" xr:uid="{00000000-0005-0000-0000-000008420000}"/>
    <cellStyle name="Normal 2 2 2 2 5 9 4 3" xfId="16905" xr:uid="{00000000-0005-0000-0000-000009420000}"/>
    <cellStyle name="Normal 2 2 2 2 5 9 4 4" xfId="16906" xr:uid="{00000000-0005-0000-0000-00000A420000}"/>
    <cellStyle name="Normal 2 2 2 2 5 9 4 5" xfId="16907" xr:uid="{00000000-0005-0000-0000-00000B420000}"/>
    <cellStyle name="Normal 2 2 2 2 5 9 4 6" xfId="16908" xr:uid="{00000000-0005-0000-0000-00000C420000}"/>
    <cellStyle name="Normal 2 2 2 2 5 9 4 7" xfId="16909" xr:uid="{00000000-0005-0000-0000-00000D420000}"/>
    <cellStyle name="Normal 2 2 2 2 5 9 4 8" xfId="16910" xr:uid="{00000000-0005-0000-0000-00000E420000}"/>
    <cellStyle name="Normal 2 2 2 2 5 9 4 9" xfId="16911" xr:uid="{00000000-0005-0000-0000-00000F420000}"/>
    <cellStyle name="Normal 2 2 2 2 5 9 5" xfId="16912" xr:uid="{00000000-0005-0000-0000-000010420000}"/>
    <cellStyle name="Normal 2 2 2 2 5 9 5 10" xfId="16913" xr:uid="{00000000-0005-0000-0000-000011420000}"/>
    <cellStyle name="Normal 2 2 2 2 5 9 5 2" xfId="16914" xr:uid="{00000000-0005-0000-0000-000012420000}"/>
    <cellStyle name="Normal 2 2 2 2 5 9 5 3" xfId="16915" xr:uid="{00000000-0005-0000-0000-000013420000}"/>
    <cellStyle name="Normal 2 2 2 2 5 9 5 4" xfId="16916" xr:uid="{00000000-0005-0000-0000-000014420000}"/>
    <cellStyle name="Normal 2 2 2 2 5 9 5 5" xfId="16917" xr:uid="{00000000-0005-0000-0000-000015420000}"/>
    <cellStyle name="Normal 2 2 2 2 5 9 5 6" xfId="16918" xr:uid="{00000000-0005-0000-0000-000016420000}"/>
    <cellStyle name="Normal 2 2 2 2 5 9 5 7" xfId="16919" xr:uid="{00000000-0005-0000-0000-000017420000}"/>
    <cellStyle name="Normal 2 2 2 2 5 9 5 8" xfId="16920" xr:uid="{00000000-0005-0000-0000-000018420000}"/>
    <cellStyle name="Normal 2 2 2 2 5 9 5 9" xfId="16921" xr:uid="{00000000-0005-0000-0000-000019420000}"/>
    <cellStyle name="Normal 2 2 2 2 5 9 6" xfId="16922" xr:uid="{00000000-0005-0000-0000-00001A420000}"/>
    <cellStyle name="Normal 2 2 2 2 5 9 7" xfId="16923" xr:uid="{00000000-0005-0000-0000-00001B420000}"/>
    <cellStyle name="Normal 2 2 2 2 5 9 8" xfId="16924" xr:uid="{00000000-0005-0000-0000-00001C420000}"/>
    <cellStyle name="Normal 2 2 2 2 5 9 9" xfId="16925" xr:uid="{00000000-0005-0000-0000-00001D420000}"/>
    <cellStyle name="Normal 2 2 2 2 50" xfId="16926" xr:uid="{00000000-0005-0000-0000-00001E420000}"/>
    <cellStyle name="Normal 2 2 2 2 51" xfId="16927" xr:uid="{00000000-0005-0000-0000-00001F420000}"/>
    <cellStyle name="Normal 2 2 2 2 6" xfId="16928" xr:uid="{00000000-0005-0000-0000-000020420000}"/>
    <cellStyle name="Normal 2 2 2 2 6 2" xfId="67" xr:uid="{00000000-0005-0000-0000-000043000000}"/>
    <cellStyle name="Normal 2 2 2 2 6 2 2" xfId="72" xr:uid="{00000000-0005-0000-0000-000048000000}"/>
    <cellStyle name="Normal 2 2 2 2 6 2 3" xfId="76" xr:uid="{00000000-0005-0000-0000-00004C000000}"/>
    <cellStyle name="Normal 2 2 2 2 6 2 4" xfId="16929" xr:uid="{00000000-0005-0000-0000-000021420000}"/>
    <cellStyle name="Normal 2 2 2 2 7" xfId="16930" xr:uid="{00000000-0005-0000-0000-000022420000}"/>
    <cellStyle name="Normal 2 2 2 2 8" xfId="16931" xr:uid="{00000000-0005-0000-0000-000023420000}"/>
    <cellStyle name="Normal 2 2 2 2 9" xfId="16932" xr:uid="{00000000-0005-0000-0000-000024420000}"/>
    <cellStyle name="Normal 2 2 2 20" xfId="16933" xr:uid="{00000000-0005-0000-0000-000025420000}"/>
    <cellStyle name="Normal 2 2 2 20 10" xfId="16934" xr:uid="{00000000-0005-0000-0000-000026420000}"/>
    <cellStyle name="Normal 2 2 2 20 11" xfId="16935" xr:uid="{00000000-0005-0000-0000-000027420000}"/>
    <cellStyle name="Normal 2 2 2 20 12" xfId="16936" xr:uid="{00000000-0005-0000-0000-000028420000}"/>
    <cellStyle name="Normal 2 2 2 20 13" xfId="16937" xr:uid="{00000000-0005-0000-0000-000029420000}"/>
    <cellStyle name="Normal 2 2 2 20 14" xfId="16938" xr:uid="{00000000-0005-0000-0000-00002A420000}"/>
    <cellStyle name="Normal 2 2 2 20 2" xfId="16939" xr:uid="{00000000-0005-0000-0000-00002B420000}"/>
    <cellStyle name="Normal 2 2 2 20 2 10" xfId="16940" xr:uid="{00000000-0005-0000-0000-00002C420000}"/>
    <cellStyle name="Normal 2 2 2 20 2 2" xfId="16941" xr:uid="{00000000-0005-0000-0000-00002D420000}"/>
    <cellStyle name="Normal 2 2 2 20 2 3" xfId="16942" xr:uid="{00000000-0005-0000-0000-00002E420000}"/>
    <cellStyle name="Normal 2 2 2 20 2 4" xfId="16943" xr:uid="{00000000-0005-0000-0000-00002F420000}"/>
    <cellStyle name="Normal 2 2 2 20 2 5" xfId="16944" xr:uid="{00000000-0005-0000-0000-000030420000}"/>
    <cellStyle name="Normal 2 2 2 20 2 6" xfId="16945" xr:uid="{00000000-0005-0000-0000-000031420000}"/>
    <cellStyle name="Normal 2 2 2 20 2 7" xfId="16946" xr:uid="{00000000-0005-0000-0000-000032420000}"/>
    <cellStyle name="Normal 2 2 2 20 2 8" xfId="16947" xr:uid="{00000000-0005-0000-0000-000033420000}"/>
    <cellStyle name="Normal 2 2 2 20 2 9" xfId="16948" xr:uid="{00000000-0005-0000-0000-000034420000}"/>
    <cellStyle name="Normal 2 2 2 20 3" xfId="16949" xr:uid="{00000000-0005-0000-0000-000035420000}"/>
    <cellStyle name="Normal 2 2 2 20 3 10" xfId="16950" xr:uid="{00000000-0005-0000-0000-000036420000}"/>
    <cellStyle name="Normal 2 2 2 20 3 2" xfId="16951" xr:uid="{00000000-0005-0000-0000-000037420000}"/>
    <cellStyle name="Normal 2 2 2 20 3 3" xfId="16952" xr:uid="{00000000-0005-0000-0000-000038420000}"/>
    <cellStyle name="Normal 2 2 2 20 3 4" xfId="16953" xr:uid="{00000000-0005-0000-0000-000039420000}"/>
    <cellStyle name="Normal 2 2 2 20 3 5" xfId="16954" xr:uid="{00000000-0005-0000-0000-00003A420000}"/>
    <cellStyle name="Normal 2 2 2 20 3 6" xfId="16955" xr:uid="{00000000-0005-0000-0000-00003B420000}"/>
    <cellStyle name="Normal 2 2 2 20 3 7" xfId="16956" xr:uid="{00000000-0005-0000-0000-00003C420000}"/>
    <cellStyle name="Normal 2 2 2 20 3 8" xfId="16957" xr:uid="{00000000-0005-0000-0000-00003D420000}"/>
    <cellStyle name="Normal 2 2 2 20 3 9" xfId="16958" xr:uid="{00000000-0005-0000-0000-00003E420000}"/>
    <cellStyle name="Normal 2 2 2 20 4" xfId="16959" xr:uid="{00000000-0005-0000-0000-00003F420000}"/>
    <cellStyle name="Normal 2 2 2 20 4 10" xfId="16960" xr:uid="{00000000-0005-0000-0000-000040420000}"/>
    <cellStyle name="Normal 2 2 2 20 4 2" xfId="16961" xr:uid="{00000000-0005-0000-0000-000041420000}"/>
    <cellStyle name="Normal 2 2 2 20 4 3" xfId="16962" xr:uid="{00000000-0005-0000-0000-000042420000}"/>
    <cellStyle name="Normal 2 2 2 20 4 4" xfId="16963" xr:uid="{00000000-0005-0000-0000-000043420000}"/>
    <cellStyle name="Normal 2 2 2 20 4 5" xfId="16964" xr:uid="{00000000-0005-0000-0000-000044420000}"/>
    <cellStyle name="Normal 2 2 2 20 4 6" xfId="16965" xr:uid="{00000000-0005-0000-0000-000045420000}"/>
    <cellStyle name="Normal 2 2 2 20 4 7" xfId="16966" xr:uid="{00000000-0005-0000-0000-000046420000}"/>
    <cellStyle name="Normal 2 2 2 20 4 8" xfId="16967" xr:uid="{00000000-0005-0000-0000-000047420000}"/>
    <cellStyle name="Normal 2 2 2 20 4 9" xfId="16968" xr:uid="{00000000-0005-0000-0000-000048420000}"/>
    <cellStyle name="Normal 2 2 2 20 5" xfId="16969" xr:uid="{00000000-0005-0000-0000-000049420000}"/>
    <cellStyle name="Normal 2 2 2 20 5 10" xfId="16970" xr:uid="{00000000-0005-0000-0000-00004A420000}"/>
    <cellStyle name="Normal 2 2 2 20 5 2" xfId="16971" xr:uid="{00000000-0005-0000-0000-00004B420000}"/>
    <cellStyle name="Normal 2 2 2 20 5 3" xfId="16972" xr:uid="{00000000-0005-0000-0000-00004C420000}"/>
    <cellStyle name="Normal 2 2 2 20 5 4" xfId="16973" xr:uid="{00000000-0005-0000-0000-00004D420000}"/>
    <cellStyle name="Normal 2 2 2 20 5 5" xfId="16974" xr:uid="{00000000-0005-0000-0000-00004E420000}"/>
    <cellStyle name="Normal 2 2 2 20 5 6" xfId="16975" xr:uid="{00000000-0005-0000-0000-00004F420000}"/>
    <cellStyle name="Normal 2 2 2 20 5 7" xfId="16976" xr:uid="{00000000-0005-0000-0000-000050420000}"/>
    <cellStyle name="Normal 2 2 2 20 5 8" xfId="16977" xr:uid="{00000000-0005-0000-0000-000051420000}"/>
    <cellStyle name="Normal 2 2 2 20 5 9" xfId="16978" xr:uid="{00000000-0005-0000-0000-000052420000}"/>
    <cellStyle name="Normal 2 2 2 20 6" xfId="16979" xr:uid="{00000000-0005-0000-0000-000053420000}"/>
    <cellStyle name="Normal 2 2 2 20 7" xfId="16980" xr:uid="{00000000-0005-0000-0000-000054420000}"/>
    <cellStyle name="Normal 2 2 2 20 8" xfId="16981" xr:uid="{00000000-0005-0000-0000-000055420000}"/>
    <cellStyle name="Normal 2 2 2 20 9" xfId="16982" xr:uid="{00000000-0005-0000-0000-000056420000}"/>
    <cellStyle name="Normal 2 2 2 21" xfId="16983" xr:uid="{00000000-0005-0000-0000-000057420000}"/>
    <cellStyle name="Normal 2 2 2 21 10" xfId="16984" xr:uid="{00000000-0005-0000-0000-000058420000}"/>
    <cellStyle name="Normal 2 2 2 21 11" xfId="16985" xr:uid="{00000000-0005-0000-0000-000059420000}"/>
    <cellStyle name="Normal 2 2 2 21 12" xfId="16986" xr:uid="{00000000-0005-0000-0000-00005A420000}"/>
    <cellStyle name="Normal 2 2 2 21 13" xfId="16987" xr:uid="{00000000-0005-0000-0000-00005B420000}"/>
    <cellStyle name="Normal 2 2 2 21 14" xfId="16988" xr:uid="{00000000-0005-0000-0000-00005C420000}"/>
    <cellStyle name="Normal 2 2 2 21 2" xfId="16989" xr:uid="{00000000-0005-0000-0000-00005D420000}"/>
    <cellStyle name="Normal 2 2 2 21 2 10" xfId="16990" xr:uid="{00000000-0005-0000-0000-00005E420000}"/>
    <cellStyle name="Normal 2 2 2 21 2 2" xfId="16991" xr:uid="{00000000-0005-0000-0000-00005F420000}"/>
    <cellStyle name="Normal 2 2 2 21 2 3" xfId="16992" xr:uid="{00000000-0005-0000-0000-000060420000}"/>
    <cellStyle name="Normal 2 2 2 21 2 4" xfId="16993" xr:uid="{00000000-0005-0000-0000-000061420000}"/>
    <cellStyle name="Normal 2 2 2 21 2 5" xfId="16994" xr:uid="{00000000-0005-0000-0000-000062420000}"/>
    <cellStyle name="Normal 2 2 2 21 2 6" xfId="16995" xr:uid="{00000000-0005-0000-0000-000063420000}"/>
    <cellStyle name="Normal 2 2 2 21 2 7" xfId="16996" xr:uid="{00000000-0005-0000-0000-000064420000}"/>
    <cellStyle name="Normal 2 2 2 21 2 8" xfId="16997" xr:uid="{00000000-0005-0000-0000-000065420000}"/>
    <cellStyle name="Normal 2 2 2 21 2 9" xfId="16998" xr:uid="{00000000-0005-0000-0000-000066420000}"/>
    <cellStyle name="Normal 2 2 2 21 3" xfId="16999" xr:uid="{00000000-0005-0000-0000-000067420000}"/>
    <cellStyle name="Normal 2 2 2 21 3 10" xfId="17000" xr:uid="{00000000-0005-0000-0000-000068420000}"/>
    <cellStyle name="Normal 2 2 2 21 3 2" xfId="17001" xr:uid="{00000000-0005-0000-0000-000069420000}"/>
    <cellStyle name="Normal 2 2 2 21 3 3" xfId="17002" xr:uid="{00000000-0005-0000-0000-00006A420000}"/>
    <cellStyle name="Normal 2 2 2 21 3 4" xfId="17003" xr:uid="{00000000-0005-0000-0000-00006B420000}"/>
    <cellStyle name="Normal 2 2 2 21 3 5" xfId="17004" xr:uid="{00000000-0005-0000-0000-00006C420000}"/>
    <cellStyle name="Normal 2 2 2 21 3 6" xfId="17005" xr:uid="{00000000-0005-0000-0000-00006D420000}"/>
    <cellStyle name="Normal 2 2 2 21 3 7" xfId="17006" xr:uid="{00000000-0005-0000-0000-00006E420000}"/>
    <cellStyle name="Normal 2 2 2 21 3 8" xfId="17007" xr:uid="{00000000-0005-0000-0000-00006F420000}"/>
    <cellStyle name="Normal 2 2 2 21 3 9" xfId="17008" xr:uid="{00000000-0005-0000-0000-000070420000}"/>
    <cellStyle name="Normal 2 2 2 21 4" xfId="17009" xr:uid="{00000000-0005-0000-0000-000071420000}"/>
    <cellStyle name="Normal 2 2 2 21 4 10" xfId="17010" xr:uid="{00000000-0005-0000-0000-000072420000}"/>
    <cellStyle name="Normal 2 2 2 21 4 2" xfId="17011" xr:uid="{00000000-0005-0000-0000-000073420000}"/>
    <cellStyle name="Normal 2 2 2 21 4 3" xfId="17012" xr:uid="{00000000-0005-0000-0000-000074420000}"/>
    <cellStyle name="Normal 2 2 2 21 4 4" xfId="17013" xr:uid="{00000000-0005-0000-0000-000075420000}"/>
    <cellStyle name="Normal 2 2 2 21 4 5" xfId="17014" xr:uid="{00000000-0005-0000-0000-000076420000}"/>
    <cellStyle name="Normal 2 2 2 21 4 6" xfId="17015" xr:uid="{00000000-0005-0000-0000-000077420000}"/>
    <cellStyle name="Normal 2 2 2 21 4 7" xfId="17016" xr:uid="{00000000-0005-0000-0000-000078420000}"/>
    <cellStyle name="Normal 2 2 2 21 4 8" xfId="17017" xr:uid="{00000000-0005-0000-0000-000079420000}"/>
    <cellStyle name="Normal 2 2 2 21 4 9" xfId="17018" xr:uid="{00000000-0005-0000-0000-00007A420000}"/>
    <cellStyle name="Normal 2 2 2 21 5" xfId="17019" xr:uid="{00000000-0005-0000-0000-00007B420000}"/>
    <cellStyle name="Normal 2 2 2 21 5 10" xfId="17020" xr:uid="{00000000-0005-0000-0000-00007C420000}"/>
    <cellStyle name="Normal 2 2 2 21 5 2" xfId="17021" xr:uid="{00000000-0005-0000-0000-00007D420000}"/>
    <cellStyle name="Normal 2 2 2 21 5 3" xfId="17022" xr:uid="{00000000-0005-0000-0000-00007E420000}"/>
    <cellStyle name="Normal 2 2 2 21 5 4" xfId="17023" xr:uid="{00000000-0005-0000-0000-00007F420000}"/>
    <cellStyle name="Normal 2 2 2 21 5 5" xfId="17024" xr:uid="{00000000-0005-0000-0000-000080420000}"/>
    <cellStyle name="Normal 2 2 2 21 5 6" xfId="17025" xr:uid="{00000000-0005-0000-0000-000081420000}"/>
    <cellStyle name="Normal 2 2 2 21 5 7" xfId="17026" xr:uid="{00000000-0005-0000-0000-000082420000}"/>
    <cellStyle name="Normal 2 2 2 21 5 8" xfId="17027" xr:uid="{00000000-0005-0000-0000-000083420000}"/>
    <cellStyle name="Normal 2 2 2 21 5 9" xfId="17028" xr:uid="{00000000-0005-0000-0000-000084420000}"/>
    <cellStyle name="Normal 2 2 2 21 6" xfId="17029" xr:uid="{00000000-0005-0000-0000-000085420000}"/>
    <cellStyle name="Normal 2 2 2 21 7" xfId="17030" xr:uid="{00000000-0005-0000-0000-000086420000}"/>
    <cellStyle name="Normal 2 2 2 21 8" xfId="17031" xr:uid="{00000000-0005-0000-0000-000087420000}"/>
    <cellStyle name="Normal 2 2 2 21 9" xfId="17032" xr:uid="{00000000-0005-0000-0000-000088420000}"/>
    <cellStyle name="Normal 2 2 2 22" xfId="17033" xr:uid="{00000000-0005-0000-0000-000089420000}"/>
    <cellStyle name="Normal 2 2 2 22 10" xfId="17034" xr:uid="{00000000-0005-0000-0000-00008A420000}"/>
    <cellStyle name="Normal 2 2 2 22 11" xfId="17035" xr:uid="{00000000-0005-0000-0000-00008B420000}"/>
    <cellStyle name="Normal 2 2 2 22 12" xfId="17036" xr:uid="{00000000-0005-0000-0000-00008C420000}"/>
    <cellStyle name="Normal 2 2 2 22 13" xfId="17037" xr:uid="{00000000-0005-0000-0000-00008D420000}"/>
    <cellStyle name="Normal 2 2 2 22 14" xfId="17038" xr:uid="{00000000-0005-0000-0000-00008E420000}"/>
    <cellStyle name="Normal 2 2 2 22 2" xfId="17039" xr:uid="{00000000-0005-0000-0000-00008F420000}"/>
    <cellStyle name="Normal 2 2 2 22 2 10" xfId="17040" xr:uid="{00000000-0005-0000-0000-000090420000}"/>
    <cellStyle name="Normal 2 2 2 22 2 2" xfId="17041" xr:uid="{00000000-0005-0000-0000-000091420000}"/>
    <cellStyle name="Normal 2 2 2 22 2 3" xfId="17042" xr:uid="{00000000-0005-0000-0000-000092420000}"/>
    <cellStyle name="Normal 2 2 2 22 2 4" xfId="17043" xr:uid="{00000000-0005-0000-0000-000093420000}"/>
    <cellStyle name="Normal 2 2 2 22 2 5" xfId="17044" xr:uid="{00000000-0005-0000-0000-000094420000}"/>
    <cellStyle name="Normal 2 2 2 22 2 6" xfId="17045" xr:uid="{00000000-0005-0000-0000-000095420000}"/>
    <cellStyle name="Normal 2 2 2 22 2 7" xfId="17046" xr:uid="{00000000-0005-0000-0000-000096420000}"/>
    <cellStyle name="Normal 2 2 2 22 2 8" xfId="17047" xr:uid="{00000000-0005-0000-0000-000097420000}"/>
    <cellStyle name="Normal 2 2 2 22 2 9" xfId="17048" xr:uid="{00000000-0005-0000-0000-000098420000}"/>
    <cellStyle name="Normal 2 2 2 22 3" xfId="17049" xr:uid="{00000000-0005-0000-0000-000099420000}"/>
    <cellStyle name="Normal 2 2 2 22 3 10" xfId="17050" xr:uid="{00000000-0005-0000-0000-00009A420000}"/>
    <cellStyle name="Normal 2 2 2 22 3 2" xfId="17051" xr:uid="{00000000-0005-0000-0000-00009B420000}"/>
    <cellStyle name="Normal 2 2 2 22 3 3" xfId="17052" xr:uid="{00000000-0005-0000-0000-00009C420000}"/>
    <cellStyle name="Normal 2 2 2 22 3 4" xfId="17053" xr:uid="{00000000-0005-0000-0000-00009D420000}"/>
    <cellStyle name="Normal 2 2 2 22 3 5" xfId="17054" xr:uid="{00000000-0005-0000-0000-00009E420000}"/>
    <cellStyle name="Normal 2 2 2 22 3 6" xfId="17055" xr:uid="{00000000-0005-0000-0000-00009F420000}"/>
    <cellStyle name="Normal 2 2 2 22 3 7" xfId="17056" xr:uid="{00000000-0005-0000-0000-0000A0420000}"/>
    <cellStyle name="Normal 2 2 2 22 3 8" xfId="17057" xr:uid="{00000000-0005-0000-0000-0000A1420000}"/>
    <cellStyle name="Normal 2 2 2 22 3 9" xfId="17058" xr:uid="{00000000-0005-0000-0000-0000A2420000}"/>
    <cellStyle name="Normal 2 2 2 22 4" xfId="17059" xr:uid="{00000000-0005-0000-0000-0000A3420000}"/>
    <cellStyle name="Normal 2 2 2 22 4 10" xfId="17060" xr:uid="{00000000-0005-0000-0000-0000A4420000}"/>
    <cellStyle name="Normal 2 2 2 22 4 2" xfId="17061" xr:uid="{00000000-0005-0000-0000-0000A5420000}"/>
    <cellStyle name="Normal 2 2 2 22 4 3" xfId="17062" xr:uid="{00000000-0005-0000-0000-0000A6420000}"/>
    <cellStyle name="Normal 2 2 2 22 4 4" xfId="17063" xr:uid="{00000000-0005-0000-0000-0000A7420000}"/>
    <cellStyle name="Normal 2 2 2 22 4 5" xfId="17064" xr:uid="{00000000-0005-0000-0000-0000A8420000}"/>
    <cellStyle name="Normal 2 2 2 22 4 6" xfId="17065" xr:uid="{00000000-0005-0000-0000-0000A9420000}"/>
    <cellStyle name="Normal 2 2 2 22 4 7" xfId="17066" xr:uid="{00000000-0005-0000-0000-0000AA420000}"/>
    <cellStyle name="Normal 2 2 2 22 4 8" xfId="17067" xr:uid="{00000000-0005-0000-0000-0000AB420000}"/>
    <cellStyle name="Normal 2 2 2 22 4 9" xfId="17068" xr:uid="{00000000-0005-0000-0000-0000AC420000}"/>
    <cellStyle name="Normal 2 2 2 22 5" xfId="17069" xr:uid="{00000000-0005-0000-0000-0000AD420000}"/>
    <cellStyle name="Normal 2 2 2 22 5 10" xfId="17070" xr:uid="{00000000-0005-0000-0000-0000AE420000}"/>
    <cellStyle name="Normal 2 2 2 22 5 2" xfId="17071" xr:uid="{00000000-0005-0000-0000-0000AF420000}"/>
    <cellStyle name="Normal 2 2 2 22 5 3" xfId="17072" xr:uid="{00000000-0005-0000-0000-0000B0420000}"/>
    <cellStyle name="Normal 2 2 2 22 5 4" xfId="17073" xr:uid="{00000000-0005-0000-0000-0000B1420000}"/>
    <cellStyle name="Normal 2 2 2 22 5 5" xfId="17074" xr:uid="{00000000-0005-0000-0000-0000B2420000}"/>
    <cellStyle name="Normal 2 2 2 22 5 6" xfId="17075" xr:uid="{00000000-0005-0000-0000-0000B3420000}"/>
    <cellStyle name="Normal 2 2 2 22 5 7" xfId="17076" xr:uid="{00000000-0005-0000-0000-0000B4420000}"/>
    <cellStyle name="Normal 2 2 2 22 5 8" xfId="17077" xr:uid="{00000000-0005-0000-0000-0000B5420000}"/>
    <cellStyle name="Normal 2 2 2 22 5 9" xfId="17078" xr:uid="{00000000-0005-0000-0000-0000B6420000}"/>
    <cellStyle name="Normal 2 2 2 22 6" xfId="17079" xr:uid="{00000000-0005-0000-0000-0000B7420000}"/>
    <cellStyle name="Normal 2 2 2 22 7" xfId="17080" xr:uid="{00000000-0005-0000-0000-0000B8420000}"/>
    <cellStyle name="Normal 2 2 2 22 8" xfId="17081" xr:uid="{00000000-0005-0000-0000-0000B9420000}"/>
    <cellStyle name="Normal 2 2 2 22 9" xfId="17082" xr:uid="{00000000-0005-0000-0000-0000BA420000}"/>
    <cellStyle name="Normal 2 2 2 23" xfId="17083" xr:uid="{00000000-0005-0000-0000-0000BB420000}"/>
    <cellStyle name="Normal 2 2 2 23 10" xfId="17084" xr:uid="{00000000-0005-0000-0000-0000BC420000}"/>
    <cellStyle name="Normal 2 2 2 23 11" xfId="17085" xr:uid="{00000000-0005-0000-0000-0000BD420000}"/>
    <cellStyle name="Normal 2 2 2 23 12" xfId="17086" xr:uid="{00000000-0005-0000-0000-0000BE420000}"/>
    <cellStyle name="Normal 2 2 2 23 13" xfId="17087" xr:uid="{00000000-0005-0000-0000-0000BF420000}"/>
    <cellStyle name="Normal 2 2 2 23 14" xfId="17088" xr:uid="{00000000-0005-0000-0000-0000C0420000}"/>
    <cellStyle name="Normal 2 2 2 23 2" xfId="17089" xr:uid="{00000000-0005-0000-0000-0000C1420000}"/>
    <cellStyle name="Normal 2 2 2 23 2 10" xfId="17090" xr:uid="{00000000-0005-0000-0000-0000C2420000}"/>
    <cellStyle name="Normal 2 2 2 23 2 2" xfId="17091" xr:uid="{00000000-0005-0000-0000-0000C3420000}"/>
    <cellStyle name="Normal 2 2 2 23 2 3" xfId="17092" xr:uid="{00000000-0005-0000-0000-0000C4420000}"/>
    <cellStyle name="Normal 2 2 2 23 2 4" xfId="17093" xr:uid="{00000000-0005-0000-0000-0000C5420000}"/>
    <cellStyle name="Normal 2 2 2 23 2 5" xfId="17094" xr:uid="{00000000-0005-0000-0000-0000C6420000}"/>
    <cellStyle name="Normal 2 2 2 23 2 6" xfId="17095" xr:uid="{00000000-0005-0000-0000-0000C7420000}"/>
    <cellStyle name="Normal 2 2 2 23 2 7" xfId="17096" xr:uid="{00000000-0005-0000-0000-0000C8420000}"/>
    <cellStyle name="Normal 2 2 2 23 2 8" xfId="17097" xr:uid="{00000000-0005-0000-0000-0000C9420000}"/>
    <cellStyle name="Normal 2 2 2 23 2 9" xfId="17098" xr:uid="{00000000-0005-0000-0000-0000CA420000}"/>
    <cellStyle name="Normal 2 2 2 23 3" xfId="17099" xr:uid="{00000000-0005-0000-0000-0000CB420000}"/>
    <cellStyle name="Normal 2 2 2 23 3 10" xfId="17100" xr:uid="{00000000-0005-0000-0000-0000CC420000}"/>
    <cellStyle name="Normal 2 2 2 23 3 2" xfId="17101" xr:uid="{00000000-0005-0000-0000-0000CD420000}"/>
    <cellStyle name="Normal 2 2 2 23 3 3" xfId="17102" xr:uid="{00000000-0005-0000-0000-0000CE420000}"/>
    <cellStyle name="Normal 2 2 2 23 3 4" xfId="17103" xr:uid="{00000000-0005-0000-0000-0000CF420000}"/>
    <cellStyle name="Normal 2 2 2 23 3 5" xfId="17104" xr:uid="{00000000-0005-0000-0000-0000D0420000}"/>
    <cellStyle name="Normal 2 2 2 23 3 6" xfId="17105" xr:uid="{00000000-0005-0000-0000-0000D1420000}"/>
    <cellStyle name="Normal 2 2 2 23 3 7" xfId="17106" xr:uid="{00000000-0005-0000-0000-0000D2420000}"/>
    <cellStyle name="Normal 2 2 2 23 3 8" xfId="17107" xr:uid="{00000000-0005-0000-0000-0000D3420000}"/>
    <cellStyle name="Normal 2 2 2 23 3 9" xfId="17108" xr:uid="{00000000-0005-0000-0000-0000D4420000}"/>
    <cellStyle name="Normal 2 2 2 23 4" xfId="17109" xr:uid="{00000000-0005-0000-0000-0000D5420000}"/>
    <cellStyle name="Normal 2 2 2 23 4 10" xfId="17110" xr:uid="{00000000-0005-0000-0000-0000D6420000}"/>
    <cellStyle name="Normal 2 2 2 23 4 2" xfId="17111" xr:uid="{00000000-0005-0000-0000-0000D7420000}"/>
    <cellStyle name="Normal 2 2 2 23 4 3" xfId="17112" xr:uid="{00000000-0005-0000-0000-0000D8420000}"/>
    <cellStyle name="Normal 2 2 2 23 4 4" xfId="17113" xr:uid="{00000000-0005-0000-0000-0000D9420000}"/>
    <cellStyle name="Normal 2 2 2 23 4 5" xfId="17114" xr:uid="{00000000-0005-0000-0000-0000DA420000}"/>
    <cellStyle name="Normal 2 2 2 23 4 6" xfId="17115" xr:uid="{00000000-0005-0000-0000-0000DB420000}"/>
    <cellStyle name="Normal 2 2 2 23 4 7" xfId="17116" xr:uid="{00000000-0005-0000-0000-0000DC420000}"/>
    <cellStyle name="Normal 2 2 2 23 4 8" xfId="17117" xr:uid="{00000000-0005-0000-0000-0000DD420000}"/>
    <cellStyle name="Normal 2 2 2 23 4 9" xfId="17118" xr:uid="{00000000-0005-0000-0000-0000DE420000}"/>
    <cellStyle name="Normal 2 2 2 23 5" xfId="17119" xr:uid="{00000000-0005-0000-0000-0000DF420000}"/>
    <cellStyle name="Normal 2 2 2 23 5 10" xfId="17120" xr:uid="{00000000-0005-0000-0000-0000E0420000}"/>
    <cellStyle name="Normal 2 2 2 23 5 2" xfId="17121" xr:uid="{00000000-0005-0000-0000-0000E1420000}"/>
    <cellStyle name="Normal 2 2 2 23 5 3" xfId="17122" xr:uid="{00000000-0005-0000-0000-0000E2420000}"/>
    <cellStyle name="Normal 2 2 2 23 5 4" xfId="17123" xr:uid="{00000000-0005-0000-0000-0000E3420000}"/>
    <cellStyle name="Normal 2 2 2 23 5 5" xfId="17124" xr:uid="{00000000-0005-0000-0000-0000E4420000}"/>
    <cellStyle name="Normal 2 2 2 23 5 6" xfId="17125" xr:uid="{00000000-0005-0000-0000-0000E5420000}"/>
    <cellStyle name="Normal 2 2 2 23 5 7" xfId="17126" xr:uid="{00000000-0005-0000-0000-0000E6420000}"/>
    <cellStyle name="Normal 2 2 2 23 5 8" xfId="17127" xr:uid="{00000000-0005-0000-0000-0000E7420000}"/>
    <cellStyle name="Normal 2 2 2 23 5 9" xfId="17128" xr:uid="{00000000-0005-0000-0000-0000E8420000}"/>
    <cellStyle name="Normal 2 2 2 23 6" xfId="17129" xr:uid="{00000000-0005-0000-0000-0000E9420000}"/>
    <cellStyle name="Normal 2 2 2 23 7" xfId="17130" xr:uid="{00000000-0005-0000-0000-0000EA420000}"/>
    <cellStyle name="Normal 2 2 2 23 8" xfId="17131" xr:uid="{00000000-0005-0000-0000-0000EB420000}"/>
    <cellStyle name="Normal 2 2 2 23 9" xfId="17132" xr:uid="{00000000-0005-0000-0000-0000EC420000}"/>
    <cellStyle name="Normal 2 2 2 24" xfId="17133" xr:uid="{00000000-0005-0000-0000-0000ED420000}"/>
    <cellStyle name="Normal 2 2 2 24 10" xfId="17134" xr:uid="{00000000-0005-0000-0000-0000EE420000}"/>
    <cellStyle name="Normal 2 2 2 24 11" xfId="17135" xr:uid="{00000000-0005-0000-0000-0000EF420000}"/>
    <cellStyle name="Normal 2 2 2 24 12" xfId="17136" xr:uid="{00000000-0005-0000-0000-0000F0420000}"/>
    <cellStyle name="Normal 2 2 2 24 13" xfId="17137" xr:uid="{00000000-0005-0000-0000-0000F1420000}"/>
    <cellStyle name="Normal 2 2 2 24 14" xfId="17138" xr:uid="{00000000-0005-0000-0000-0000F2420000}"/>
    <cellStyle name="Normal 2 2 2 24 2" xfId="17139" xr:uid="{00000000-0005-0000-0000-0000F3420000}"/>
    <cellStyle name="Normal 2 2 2 24 2 10" xfId="17140" xr:uid="{00000000-0005-0000-0000-0000F4420000}"/>
    <cellStyle name="Normal 2 2 2 24 2 2" xfId="17141" xr:uid="{00000000-0005-0000-0000-0000F5420000}"/>
    <cellStyle name="Normal 2 2 2 24 2 3" xfId="17142" xr:uid="{00000000-0005-0000-0000-0000F6420000}"/>
    <cellStyle name="Normal 2 2 2 24 2 4" xfId="17143" xr:uid="{00000000-0005-0000-0000-0000F7420000}"/>
    <cellStyle name="Normal 2 2 2 24 2 5" xfId="17144" xr:uid="{00000000-0005-0000-0000-0000F8420000}"/>
    <cellStyle name="Normal 2 2 2 24 2 6" xfId="17145" xr:uid="{00000000-0005-0000-0000-0000F9420000}"/>
    <cellStyle name="Normal 2 2 2 24 2 7" xfId="17146" xr:uid="{00000000-0005-0000-0000-0000FA420000}"/>
    <cellStyle name="Normal 2 2 2 24 2 8" xfId="17147" xr:uid="{00000000-0005-0000-0000-0000FB420000}"/>
    <cellStyle name="Normal 2 2 2 24 2 9" xfId="17148" xr:uid="{00000000-0005-0000-0000-0000FC420000}"/>
    <cellStyle name="Normal 2 2 2 24 3" xfId="17149" xr:uid="{00000000-0005-0000-0000-0000FD420000}"/>
    <cellStyle name="Normal 2 2 2 24 3 10" xfId="17150" xr:uid="{00000000-0005-0000-0000-0000FE420000}"/>
    <cellStyle name="Normal 2 2 2 24 3 2" xfId="17151" xr:uid="{00000000-0005-0000-0000-0000FF420000}"/>
    <cellStyle name="Normal 2 2 2 24 3 3" xfId="17152" xr:uid="{00000000-0005-0000-0000-000000430000}"/>
    <cellStyle name="Normal 2 2 2 24 3 4" xfId="17153" xr:uid="{00000000-0005-0000-0000-000001430000}"/>
    <cellStyle name="Normal 2 2 2 24 3 5" xfId="17154" xr:uid="{00000000-0005-0000-0000-000002430000}"/>
    <cellStyle name="Normal 2 2 2 24 3 6" xfId="17155" xr:uid="{00000000-0005-0000-0000-000003430000}"/>
    <cellStyle name="Normal 2 2 2 24 3 7" xfId="17156" xr:uid="{00000000-0005-0000-0000-000004430000}"/>
    <cellStyle name="Normal 2 2 2 24 3 8" xfId="17157" xr:uid="{00000000-0005-0000-0000-000005430000}"/>
    <cellStyle name="Normal 2 2 2 24 3 9" xfId="17158" xr:uid="{00000000-0005-0000-0000-000006430000}"/>
    <cellStyle name="Normal 2 2 2 24 4" xfId="17159" xr:uid="{00000000-0005-0000-0000-000007430000}"/>
    <cellStyle name="Normal 2 2 2 24 4 10" xfId="17160" xr:uid="{00000000-0005-0000-0000-000008430000}"/>
    <cellStyle name="Normal 2 2 2 24 4 2" xfId="17161" xr:uid="{00000000-0005-0000-0000-000009430000}"/>
    <cellStyle name="Normal 2 2 2 24 4 3" xfId="17162" xr:uid="{00000000-0005-0000-0000-00000A430000}"/>
    <cellStyle name="Normal 2 2 2 24 4 4" xfId="17163" xr:uid="{00000000-0005-0000-0000-00000B430000}"/>
    <cellStyle name="Normal 2 2 2 24 4 5" xfId="17164" xr:uid="{00000000-0005-0000-0000-00000C430000}"/>
    <cellStyle name="Normal 2 2 2 24 4 6" xfId="17165" xr:uid="{00000000-0005-0000-0000-00000D430000}"/>
    <cellStyle name="Normal 2 2 2 24 4 7" xfId="17166" xr:uid="{00000000-0005-0000-0000-00000E430000}"/>
    <cellStyle name="Normal 2 2 2 24 4 8" xfId="17167" xr:uid="{00000000-0005-0000-0000-00000F430000}"/>
    <cellStyle name="Normal 2 2 2 24 4 9" xfId="17168" xr:uid="{00000000-0005-0000-0000-000010430000}"/>
    <cellStyle name="Normal 2 2 2 24 5" xfId="17169" xr:uid="{00000000-0005-0000-0000-000011430000}"/>
    <cellStyle name="Normal 2 2 2 24 5 10" xfId="17170" xr:uid="{00000000-0005-0000-0000-000012430000}"/>
    <cellStyle name="Normal 2 2 2 24 5 2" xfId="17171" xr:uid="{00000000-0005-0000-0000-000013430000}"/>
    <cellStyle name="Normal 2 2 2 24 5 3" xfId="17172" xr:uid="{00000000-0005-0000-0000-000014430000}"/>
    <cellStyle name="Normal 2 2 2 24 5 4" xfId="17173" xr:uid="{00000000-0005-0000-0000-000015430000}"/>
    <cellStyle name="Normal 2 2 2 24 5 5" xfId="17174" xr:uid="{00000000-0005-0000-0000-000016430000}"/>
    <cellStyle name="Normal 2 2 2 24 5 6" xfId="17175" xr:uid="{00000000-0005-0000-0000-000017430000}"/>
    <cellStyle name="Normal 2 2 2 24 5 7" xfId="17176" xr:uid="{00000000-0005-0000-0000-000018430000}"/>
    <cellStyle name="Normal 2 2 2 24 5 8" xfId="17177" xr:uid="{00000000-0005-0000-0000-000019430000}"/>
    <cellStyle name="Normal 2 2 2 24 5 9" xfId="17178" xr:uid="{00000000-0005-0000-0000-00001A430000}"/>
    <cellStyle name="Normal 2 2 2 24 6" xfId="17179" xr:uid="{00000000-0005-0000-0000-00001B430000}"/>
    <cellStyle name="Normal 2 2 2 24 7" xfId="17180" xr:uid="{00000000-0005-0000-0000-00001C430000}"/>
    <cellStyle name="Normal 2 2 2 24 8" xfId="17181" xr:uid="{00000000-0005-0000-0000-00001D430000}"/>
    <cellStyle name="Normal 2 2 2 24 9" xfId="17182" xr:uid="{00000000-0005-0000-0000-00001E430000}"/>
    <cellStyle name="Normal 2 2 2 25" xfId="17183" xr:uid="{00000000-0005-0000-0000-00001F430000}"/>
    <cellStyle name="Normal 2 2 2 25 10" xfId="17184" xr:uid="{00000000-0005-0000-0000-000020430000}"/>
    <cellStyle name="Normal 2 2 2 25 11" xfId="17185" xr:uid="{00000000-0005-0000-0000-000021430000}"/>
    <cellStyle name="Normal 2 2 2 25 12" xfId="17186" xr:uid="{00000000-0005-0000-0000-000022430000}"/>
    <cellStyle name="Normal 2 2 2 25 13" xfId="17187" xr:uid="{00000000-0005-0000-0000-000023430000}"/>
    <cellStyle name="Normal 2 2 2 25 14" xfId="17188" xr:uid="{00000000-0005-0000-0000-000024430000}"/>
    <cellStyle name="Normal 2 2 2 25 2" xfId="17189" xr:uid="{00000000-0005-0000-0000-000025430000}"/>
    <cellStyle name="Normal 2 2 2 25 2 10" xfId="17190" xr:uid="{00000000-0005-0000-0000-000026430000}"/>
    <cellStyle name="Normal 2 2 2 25 2 2" xfId="17191" xr:uid="{00000000-0005-0000-0000-000027430000}"/>
    <cellStyle name="Normal 2 2 2 25 2 3" xfId="17192" xr:uid="{00000000-0005-0000-0000-000028430000}"/>
    <cellStyle name="Normal 2 2 2 25 2 4" xfId="17193" xr:uid="{00000000-0005-0000-0000-000029430000}"/>
    <cellStyle name="Normal 2 2 2 25 2 5" xfId="17194" xr:uid="{00000000-0005-0000-0000-00002A430000}"/>
    <cellStyle name="Normal 2 2 2 25 2 6" xfId="17195" xr:uid="{00000000-0005-0000-0000-00002B430000}"/>
    <cellStyle name="Normal 2 2 2 25 2 7" xfId="17196" xr:uid="{00000000-0005-0000-0000-00002C430000}"/>
    <cellStyle name="Normal 2 2 2 25 2 8" xfId="17197" xr:uid="{00000000-0005-0000-0000-00002D430000}"/>
    <cellStyle name="Normal 2 2 2 25 2 9" xfId="17198" xr:uid="{00000000-0005-0000-0000-00002E430000}"/>
    <cellStyle name="Normal 2 2 2 25 3" xfId="17199" xr:uid="{00000000-0005-0000-0000-00002F430000}"/>
    <cellStyle name="Normal 2 2 2 25 3 10" xfId="17200" xr:uid="{00000000-0005-0000-0000-000030430000}"/>
    <cellStyle name="Normal 2 2 2 25 3 2" xfId="17201" xr:uid="{00000000-0005-0000-0000-000031430000}"/>
    <cellStyle name="Normal 2 2 2 25 3 3" xfId="17202" xr:uid="{00000000-0005-0000-0000-000032430000}"/>
    <cellStyle name="Normal 2 2 2 25 3 4" xfId="17203" xr:uid="{00000000-0005-0000-0000-000033430000}"/>
    <cellStyle name="Normal 2 2 2 25 3 5" xfId="17204" xr:uid="{00000000-0005-0000-0000-000034430000}"/>
    <cellStyle name="Normal 2 2 2 25 3 6" xfId="17205" xr:uid="{00000000-0005-0000-0000-000035430000}"/>
    <cellStyle name="Normal 2 2 2 25 3 7" xfId="17206" xr:uid="{00000000-0005-0000-0000-000036430000}"/>
    <cellStyle name="Normal 2 2 2 25 3 8" xfId="17207" xr:uid="{00000000-0005-0000-0000-000037430000}"/>
    <cellStyle name="Normal 2 2 2 25 3 9" xfId="17208" xr:uid="{00000000-0005-0000-0000-000038430000}"/>
    <cellStyle name="Normal 2 2 2 25 4" xfId="17209" xr:uid="{00000000-0005-0000-0000-000039430000}"/>
    <cellStyle name="Normal 2 2 2 25 4 10" xfId="17210" xr:uid="{00000000-0005-0000-0000-00003A430000}"/>
    <cellStyle name="Normal 2 2 2 25 4 2" xfId="17211" xr:uid="{00000000-0005-0000-0000-00003B430000}"/>
    <cellStyle name="Normal 2 2 2 25 4 3" xfId="17212" xr:uid="{00000000-0005-0000-0000-00003C430000}"/>
    <cellStyle name="Normal 2 2 2 25 4 4" xfId="17213" xr:uid="{00000000-0005-0000-0000-00003D430000}"/>
    <cellStyle name="Normal 2 2 2 25 4 5" xfId="17214" xr:uid="{00000000-0005-0000-0000-00003E430000}"/>
    <cellStyle name="Normal 2 2 2 25 4 6" xfId="17215" xr:uid="{00000000-0005-0000-0000-00003F430000}"/>
    <cellStyle name="Normal 2 2 2 25 4 7" xfId="17216" xr:uid="{00000000-0005-0000-0000-000040430000}"/>
    <cellStyle name="Normal 2 2 2 25 4 8" xfId="17217" xr:uid="{00000000-0005-0000-0000-000041430000}"/>
    <cellStyle name="Normal 2 2 2 25 4 9" xfId="17218" xr:uid="{00000000-0005-0000-0000-000042430000}"/>
    <cellStyle name="Normal 2 2 2 25 5" xfId="17219" xr:uid="{00000000-0005-0000-0000-000043430000}"/>
    <cellStyle name="Normal 2 2 2 25 5 10" xfId="17220" xr:uid="{00000000-0005-0000-0000-000044430000}"/>
    <cellStyle name="Normal 2 2 2 25 5 2" xfId="17221" xr:uid="{00000000-0005-0000-0000-000045430000}"/>
    <cellStyle name="Normal 2 2 2 25 5 3" xfId="17222" xr:uid="{00000000-0005-0000-0000-000046430000}"/>
    <cellStyle name="Normal 2 2 2 25 5 4" xfId="17223" xr:uid="{00000000-0005-0000-0000-000047430000}"/>
    <cellStyle name="Normal 2 2 2 25 5 5" xfId="17224" xr:uid="{00000000-0005-0000-0000-000048430000}"/>
    <cellStyle name="Normal 2 2 2 25 5 6" xfId="17225" xr:uid="{00000000-0005-0000-0000-000049430000}"/>
    <cellStyle name="Normal 2 2 2 25 5 7" xfId="17226" xr:uid="{00000000-0005-0000-0000-00004A430000}"/>
    <cellStyle name="Normal 2 2 2 25 5 8" xfId="17227" xr:uid="{00000000-0005-0000-0000-00004B430000}"/>
    <cellStyle name="Normal 2 2 2 25 5 9" xfId="17228" xr:uid="{00000000-0005-0000-0000-00004C430000}"/>
    <cellStyle name="Normal 2 2 2 25 6" xfId="17229" xr:uid="{00000000-0005-0000-0000-00004D430000}"/>
    <cellStyle name="Normal 2 2 2 25 7" xfId="17230" xr:uid="{00000000-0005-0000-0000-00004E430000}"/>
    <cellStyle name="Normal 2 2 2 25 8" xfId="17231" xr:uid="{00000000-0005-0000-0000-00004F430000}"/>
    <cellStyle name="Normal 2 2 2 25 9" xfId="17232" xr:uid="{00000000-0005-0000-0000-000050430000}"/>
    <cellStyle name="Normal 2 2 2 26" xfId="17233" xr:uid="{00000000-0005-0000-0000-000051430000}"/>
    <cellStyle name="Normal 2 2 2 26 10" xfId="17234" xr:uid="{00000000-0005-0000-0000-000052430000}"/>
    <cellStyle name="Normal 2 2 2 26 11" xfId="17235" xr:uid="{00000000-0005-0000-0000-000053430000}"/>
    <cellStyle name="Normal 2 2 2 26 12" xfId="17236" xr:uid="{00000000-0005-0000-0000-000054430000}"/>
    <cellStyle name="Normal 2 2 2 26 13" xfId="17237" xr:uid="{00000000-0005-0000-0000-000055430000}"/>
    <cellStyle name="Normal 2 2 2 26 14" xfId="17238" xr:uid="{00000000-0005-0000-0000-000056430000}"/>
    <cellStyle name="Normal 2 2 2 26 2" xfId="17239" xr:uid="{00000000-0005-0000-0000-000057430000}"/>
    <cellStyle name="Normal 2 2 2 26 2 10" xfId="17240" xr:uid="{00000000-0005-0000-0000-000058430000}"/>
    <cellStyle name="Normal 2 2 2 26 2 2" xfId="17241" xr:uid="{00000000-0005-0000-0000-000059430000}"/>
    <cellStyle name="Normal 2 2 2 26 2 3" xfId="17242" xr:uid="{00000000-0005-0000-0000-00005A430000}"/>
    <cellStyle name="Normal 2 2 2 26 2 4" xfId="17243" xr:uid="{00000000-0005-0000-0000-00005B430000}"/>
    <cellStyle name="Normal 2 2 2 26 2 5" xfId="17244" xr:uid="{00000000-0005-0000-0000-00005C430000}"/>
    <cellStyle name="Normal 2 2 2 26 2 6" xfId="17245" xr:uid="{00000000-0005-0000-0000-00005D430000}"/>
    <cellStyle name="Normal 2 2 2 26 2 7" xfId="17246" xr:uid="{00000000-0005-0000-0000-00005E430000}"/>
    <cellStyle name="Normal 2 2 2 26 2 8" xfId="17247" xr:uid="{00000000-0005-0000-0000-00005F430000}"/>
    <cellStyle name="Normal 2 2 2 26 2 9" xfId="17248" xr:uid="{00000000-0005-0000-0000-000060430000}"/>
    <cellStyle name="Normal 2 2 2 26 3" xfId="17249" xr:uid="{00000000-0005-0000-0000-000061430000}"/>
    <cellStyle name="Normal 2 2 2 26 3 10" xfId="17250" xr:uid="{00000000-0005-0000-0000-000062430000}"/>
    <cellStyle name="Normal 2 2 2 26 3 2" xfId="17251" xr:uid="{00000000-0005-0000-0000-000063430000}"/>
    <cellStyle name="Normal 2 2 2 26 3 3" xfId="17252" xr:uid="{00000000-0005-0000-0000-000064430000}"/>
    <cellStyle name="Normal 2 2 2 26 3 4" xfId="17253" xr:uid="{00000000-0005-0000-0000-000065430000}"/>
    <cellStyle name="Normal 2 2 2 26 3 5" xfId="17254" xr:uid="{00000000-0005-0000-0000-000066430000}"/>
    <cellStyle name="Normal 2 2 2 26 3 6" xfId="17255" xr:uid="{00000000-0005-0000-0000-000067430000}"/>
    <cellStyle name="Normal 2 2 2 26 3 7" xfId="17256" xr:uid="{00000000-0005-0000-0000-000068430000}"/>
    <cellStyle name="Normal 2 2 2 26 3 8" xfId="17257" xr:uid="{00000000-0005-0000-0000-000069430000}"/>
    <cellStyle name="Normal 2 2 2 26 3 9" xfId="17258" xr:uid="{00000000-0005-0000-0000-00006A430000}"/>
    <cellStyle name="Normal 2 2 2 26 4" xfId="17259" xr:uid="{00000000-0005-0000-0000-00006B430000}"/>
    <cellStyle name="Normal 2 2 2 26 4 10" xfId="17260" xr:uid="{00000000-0005-0000-0000-00006C430000}"/>
    <cellStyle name="Normal 2 2 2 26 4 2" xfId="17261" xr:uid="{00000000-0005-0000-0000-00006D430000}"/>
    <cellStyle name="Normal 2 2 2 26 4 3" xfId="17262" xr:uid="{00000000-0005-0000-0000-00006E430000}"/>
    <cellStyle name="Normal 2 2 2 26 4 4" xfId="17263" xr:uid="{00000000-0005-0000-0000-00006F430000}"/>
    <cellStyle name="Normal 2 2 2 26 4 5" xfId="17264" xr:uid="{00000000-0005-0000-0000-000070430000}"/>
    <cellStyle name="Normal 2 2 2 26 4 6" xfId="17265" xr:uid="{00000000-0005-0000-0000-000071430000}"/>
    <cellStyle name="Normal 2 2 2 26 4 7" xfId="17266" xr:uid="{00000000-0005-0000-0000-000072430000}"/>
    <cellStyle name="Normal 2 2 2 26 4 8" xfId="17267" xr:uid="{00000000-0005-0000-0000-000073430000}"/>
    <cellStyle name="Normal 2 2 2 26 4 9" xfId="17268" xr:uid="{00000000-0005-0000-0000-000074430000}"/>
    <cellStyle name="Normal 2 2 2 26 5" xfId="17269" xr:uid="{00000000-0005-0000-0000-000075430000}"/>
    <cellStyle name="Normal 2 2 2 26 5 10" xfId="17270" xr:uid="{00000000-0005-0000-0000-000076430000}"/>
    <cellStyle name="Normal 2 2 2 26 5 2" xfId="17271" xr:uid="{00000000-0005-0000-0000-000077430000}"/>
    <cellStyle name="Normal 2 2 2 26 5 3" xfId="17272" xr:uid="{00000000-0005-0000-0000-000078430000}"/>
    <cellStyle name="Normal 2 2 2 26 5 4" xfId="17273" xr:uid="{00000000-0005-0000-0000-000079430000}"/>
    <cellStyle name="Normal 2 2 2 26 5 5" xfId="17274" xr:uid="{00000000-0005-0000-0000-00007A430000}"/>
    <cellStyle name="Normal 2 2 2 26 5 6" xfId="17275" xr:uid="{00000000-0005-0000-0000-00007B430000}"/>
    <cellStyle name="Normal 2 2 2 26 5 7" xfId="17276" xr:uid="{00000000-0005-0000-0000-00007C430000}"/>
    <cellStyle name="Normal 2 2 2 26 5 8" xfId="17277" xr:uid="{00000000-0005-0000-0000-00007D430000}"/>
    <cellStyle name="Normal 2 2 2 26 5 9" xfId="17278" xr:uid="{00000000-0005-0000-0000-00007E430000}"/>
    <cellStyle name="Normal 2 2 2 26 6" xfId="17279" xr:uid="{00000000-0005-0000-0000-00007F430000}"/>
    <cellStyle name="Normal 2 2 2 26 7" xfId="17280" xr:uid="{00000000-0005-0000-0000-000080430000}"/>
    <cellStyle name="Normal 2 2 2 26 8" xfId="17281" xr:uid="{00000000-0005-0000-0000-000081430000}"/>
    <cellStyle name="Normal 2 2 2 26 9" xfId="17282" xr:uid="{00000000-0005-0000-0000-000082430000}"/>
    <cellStyle name="Normal 2 2 2 27" xfId="17283" xr:uid="{00000000-0005-0000-0000-000083430000}"/>
    <cellStyle name="Normal 2 2 2 27 10" xfId="17284" xr:uid="{00000000-0005-0000-0000-000084430000}"/>
    <cellStyle name="Normal 2 2 2 27 11" xfId="17285" xr:uid="{00000000-0005-0000-0000-000085430000}"/>
    <cellStyle name="Normal 2 2 2 27 12" xfId="17286" xr:uid="{00000000-0005-0000-0000-000086430000}"/>
    <cellStyle name="Normal 2 2 2 27 13" xfId="17287" xr:uid="{00000000-0005-0000-0000-000087430000}"/>
    <cellStyle name="Normal 2 2 2 27 14" xfId="17288" xr:uid="{00000000-0005-0000-0000-000088430000}"/>
    <cellStyle name="Normal 2 2 2 27 2" xfId="17289" xr:uid="{00000000-0005-0000-0000-000089430000}"/>
    <cellStyle name="Normal 2 2 2 27 2 10" xfId="17290" xr:uid="{00000000-0005-0000-0000-00008A430000}"/>
    <cellStyle name="Normal 2 2 2 27 2 2" xfId="17291" xr:uid="{00000000-0005-0000-0000-00008B430000}"/>
    <cellStyle name="Normal 2 2 2 27 2 3" xfId="17292" xr:uid="{00000000-0005-0000-0000-00008C430000}"/>
    <cellStyle name="Normal 2 2 2 27 2 4" xfId="17293" xr:uid="{00000000-0005-0000-0000-00008D430000}"/>
    <cellStyle name="Normal 2 2 2 27 2 5" xfId="17294" xr:uid="{00000000-0005-0000-0000-00008E430000}"/>
    <cellStyle name="Normal 2 2 2 27 2 6" xfId="17295" xr:uid="{00000000-0005-0000-0000-00008F430000}"/>
    <cellStyle name="Normal 2 2 2 27 2 7" xfId="17296" xr:uid="{00000000-0005-0000-0000-000090430000}"/>
    <cellStyle name="Normal 2 2 2 27 2 8" xfId="17297" xr:uid="{00000000-0005-0000-0000-000091430000}"/>
    <cellStyle name="Normal 2 2 2 27 2 9" xfId="17298" xr:uid="{00000000-0005-0000-0000-000092430000}"/>
    <cellStyle name="Normal 2 2 2 27 3" xfId="17299" xr:uid="{00000000-0005-0000-0000-000093430000}"/>
    <cellStyle name="Normal 2 2 2 27 3 10" xfId="17300" xr:uid="{00000000-0005-0000-0000-000094430000}"/>
    <cellStyle name="Normal 2 2 2 27 3 2" xfId="17301" xr:uid="{00000000-0005-0000-0000-000095430000}"/>
    <cellStyle name="Normal 2 2 2 27 3 3" xfId="17302" xr:uid="{00000000-0005-0000-0000-000096430000}"/>
    <cellStyle name="Normal 2 2 2 27 3 4" xfId="17303" xr:uid="{00000000-0005-0000-0000-000097430000}"/>
    <cellStyle name="Normal 2 2 2 27 3 5" xfId="17304" xr:uid="{00000000-0005-0000-0000-000098430000}"/>
    <cellStyle name="Normal 2 2 2 27 3 6" xfId="17305" xr:uid="{00000000-0005-0000-0000-000099430000}"/>
    <cellStyle name="Normal 2 2 2 27 3 7" xfId="17306" xr:uid="{00000000-0005-0000-0000-00009A430000}"/>
    <cellStyle name="Normal 2 2 2 27 3 8" xfId="17307" xr:uid="{00000000-0005-0000-0000-00009B430000}"/>
    <cellStyle name="Normal 2 2 2 27 3 9" xfId="17308" xr:uid="{00000000-0005-0000-0000-00009C430000}"/>
    <cellStyle name="Normal 2 2 2 27 4" xfId="17309" xr:uid="{00000000-0005-0000-0000-00009D430000}"/>
    <cellStyle name="Normal 2 2 2 27 4 10" xfId="17310" xr:uid="{00000000-0005-0000-0000-00009E430000}"/>
    <cellStyle name="Normal 2 2 2 27 4 2" xfId="17311" xr:uid="{00000000-0005-0000-0000-00009F430000}"/>
    <cellStyle name="Normal 2 2 2 27 4 3" xfId="17312" xr:uid="{00000000-0005-0000-0000-0000A0430000}"/>
    <cellStyle name="Normal 2 2 2 27 4 4" xfId="17313" xr:uid="{00000000-0005-0000-0000-0000A1430000}"/>
    <cellStyle name="Normal 2 2 2 27 4 5" xfId="17314" xr:uid="{00000000-0005-0000-0000-0000A2430000}"/>
    <cellStyle name="Normal 2 2 2 27 4 6" xfId="17315" xr:uid="{00000000-0005-0000-0000-0000A3430000}"/>
    <cellStyle name="Normal 2 2 2 27 4 7" xfId="17316" xr:uid="{00000000-0005-0000-0000-0000A4430000}"/>
    <cellStyle name="Normal 2 2 2 27 4 8" xfId="17317" xr:uid="{00000000-0005-0000-0000-0000A5430000}"/>
    <cellStyle name="Normal 2 2 2 27 4 9" xfId="17318" xr:uid="{00000000-0005-0000-0000-0000A6430000}"/>
    <cellStyle name="Normal 2 2 2 27 5" xfId="17319" xr:uid="{00000000-0005-0000-0000-0000A7430000}"/>
    <cellStyle name="Normal 2 2 2 27 5 10" xfId="17320" xr:uid="{00000000-0005-0000-0000-0000A8430000}"/>
    <cellStyle name="Normal 2 2 2 27 5 2" xfId="17321" xr:uid="{00000000-0005-0000-0000-0000A9430000}"/>
    <cellStyle name="Normal 2 2 2 27 5 3" xfId="17322" xr:uid="{00000000-0005-0000-0000-0000AA430000}"/>
    <cellStyle name="Normal 2 2 2 27 5 4" xfId="17323" xr:uid="{00000000-0005-0000-0000-0000AB430000}"/>
    <cellStyle name="Normal 2 2 2 27 5 5" xfId="17324" xr:uid="{00000000-0005-0000-0000-0000AC430000}"/>
    <cellStyle name="Normal 2 2 2 27 5 6" xfId="17325" xr:uid="{00000000-0005-0000-0000-0000AD430000}"/>
    <cellStyle name="Normal 2 2 2 27 5 7" xfId="17326" xr:uid="{00000000-0005-0000-0000-0000AE430000}"/>
    <cellStyle name="Normal 2 2 2 27 5 8" xfId="17327" xr:uid="{00000000-0005-0000-0000-0000AF430000}"/>
    <cellStyle name="Normal 2 2 2 27 5 9" xfId="17328" xr:uid="{00000000-0005-0000-0000-0000B0430000}"/>
    <cellStyle name="Normal 2 2 2 27 6" xfId="17329" xr:uid="{00000000-0005-0000-0000-0000B1430000}"/>
    <cellStyle name="Normal 2 2 2 27 7" xfId="17330" xr:uid="{00000000-0005-0000-0000-0000B2430000}"/>
    <cellStyle name="Normal 2 2 2 27 8" xfId="17331" xr:uid="{00000000-0005-0000-0000-0000B3430000}"/>
    <cellStyle name="Normal 2 2 2 27 9" xfId="17332" xr:uid="{00000000-0005-0000-0000-0000B4430000}"/>
    <cellStyle name="Normal 2 2 2 28" xfId="17333" xr:uid="{00000000-0005-0000-0000-0000B5430000}"/>
    <cellStyle name="Normal 2 2 2 28 10" xfId="17334" xr:uid="{00000000-0005-0000-0000-0000B6430000}"/>
    <cellStyle name="Normal 2 2 2 28 11" xfId="17335" xr:uid="{00000000-0005-0000-0000-0000B7430000}"/>
    <cellStyle name="Normal 2 2 2 28 12" xfId="17336" xr:uid="{00000000-0005-0000-0000-0000B8430000}"/>
    <cellStyle name="Normal 2 2 2 28 13" xfId="17337" xr:uid="{00000000-0005-0000-0000-0000B9430000}"/>
    <cellStyle name="Normal 2 2 2 28 14" xfId="17338" xr:uid="{00000000-0005-0000-0000-0000BA430000}"/>
    <cellStyle name="Normal 2 2 2 28 2" xfId="17339" xr:uid="{00000000-0005-0000-0000-0000BB430000}"/>
    <cellStyle name="Normal 2 2 2 28 2 10" xfId="17340" xr:uid="{00000000-0005-0000-0000-0000BC430000}"/>
    <cellStyle name="Normal 2 2 2 28 2 2" xfId="17341" xr:uid="{00000000-0005-0000-0000-0000BD430000}"/>
    <cellStyle name="Normal 2 2 2 28 2 3" xfId="17342" xr:uid="{00000000-0005-0000-0000-0000BE430000}"/>
    <cellStyle name="Normal 2 2 2 28 2 4" xfId="17343" xr:uid="{00000000-0005-0000-0000-0000BF430000}"/>
    <cellStyle name="Normal 2 2 2 28 2 5" xfId="17344" xr:uid="{00000000-0005-0000-0000-0000C0430000}"/>
    <cellStyle name="Normal 2 2 2 28 2 6" xfId="17345" xr:uid="{00000000-0005-0000-0000-0000C1430000}"/>
    <cellStyle name="Normal 2 2 2 28 2 7" xfId="17346" xr:uid="{00000000-0005-0000-0000-0000C2430000}"/>
    <cellStyle name="Normal 2 2 2 28 2 8" xfId="17347" xr:uid="{00000000-0005-0000-0000-0000C3430000}"/>
    <cellStyle name="Normal 2 2 2 28 2 9" xfId="17348" xr:uid="{00000000-0005-0000-0000-0000C4430000}"/>
    <cellStyle name="Normal 2 2 2 28 3" xfId="17349" xr:uid="{00000000-0005-0000-0000-0000C5430000}"/>
    <cellStyle name="Normal 2 2 2 28 3 10" xfId="17350" xr:uid="{00000000-0005-0000-0000-0000C6430000}"/>
    <cellStyle name="Normal 2 2 2 28 3 2" xfId="17351" xr:uid="{00000000-0005-0000-0000-0000C7430000}"/>
    <cellStyle name="Normal 2 2 2 28 3 3" xfId="17352" xr:uid="{00000000-0005-0000-0000-0000C8430000}"/>
    <cellStyle name="Normal 2 2 2 28 3 4" xfId="17353" xr:uid="{00000000-0005-0000-0000-0000C9430000}"/>
    <cellStyle name="Normal 2 2 2 28 3 5" xfId="17354" xr:uid="{00000000-0005-0000-0000-0000CA430000}"/>
    <cellStyle name="Normal 2 2 2 28 3 6" xfId="17355" xr:uid="{00000000-0005-0000-0000-0000CB430000}"/>
    <cellStyle name="Normal 2 2 2 28 3 7" xfId="17356" xr:uid="{00000000-0005-0000-0000-0000CC430000}"/>
    <cellStyle name="Normal 2 2 2 28 3 8" xfId="17357" xr:uid="{00000000-0005-0000-0000-0000CD430000}"/>
    <cellStyle name="Normal 2 2 2 28 3 9" xfId="17358" xr:uid="{00000000-0005-0000-0000-0000CE430000}"/>
    <cellStyle name="Normal 2 2 2 28 4" xfId="17359" xr:uid="{00000000-0005-0000-0000-0000CF430000}"/>
    <cellStyle name="Normal 2 2 2 28 4 10" xfId="17360" xr:uid="{00000000-0005-0000-0000-0000D0430000}"/>
    <cellStyle name="Normal 2 2 2 28 4 2" xfId="17361" xr:uid="{00000000-0005-0000-0000-0000D1430000}"/>
    <cellStyle name="Normal 2 2 2 28 4 3" xfId="17362" xr:uid="{00000000-0005-0000-0000-0000D2430000}"/>
    <cellStyle name="Normal 2 2 2 28 4 4" xfId="17363" xr:uid="{00000000-0005-0000-0000-0000D3430000}"/>
    <cellStyle name="Normal 2 2 2 28 4 5" xfId="17364" xr:uid="{00000000-0005-0000-0000-0000D4430000}"/>
    <cellStyle name="Normal 2 2 2 28 4 6" xfId="17365" xr:uid="{00000000-0005-0000-0000-0000D5430000}"/>
    <cellStyle name="Normal 2 2 2 28 4 7" xfId="17366" xr:uid="{00000000-0005-0000-0000-0000D6430000}"/>
    <cellStyle name="Normal 2 2 2 28 4 8" xfId="17367" xr:uid="{00000000-0005-0000-0000-0000D7430000}"/>
    <cellStyle name="Normal 2 2 2 28 4 9" xfId="17368" xr:uid="{00000000-0005-0000-0000-0000D8430000}"/>
    <cellStyle name="Normal 2 2 2 28 5" xfId="17369" xr:uid="{00000000-0005-0000-0000-0000D9430000}"/>
    <cellStyle name="Normal 2 2 2 28 5 10" xfId="17370" xr:uid="{00000000-0005-0000-0000-0000DA430000}"/>
    <cellStyle name="Normal 2 2 2 28 5 2" xfId="17371" xr:uid="{00000000-0005-0000-0000-0000DB430000}"/>
    <cellStyle name="Normal 2 2 2 28 5 3" xfId="17372" xr:uid="{00000000-0005-0000-0000-0000DC430000}"/>
    <cellStyle name="Normal 2 2 2 28 5 4" xfId="17373" xr:uid="{00000000-0005-0000-0000-0000DD430000}"/>
    <cellStyle name="Normal 2 2 2 28 5 5" xfId="17374" xr:uid="{00000000-0005-0000-0000-0000DE430000}"/>
    <cellStyle name="Normal 2 2 2 28 5 6" xfId="17375" xr:uid="{00000000-0005-0000-0000-0000DF430000}"/>
    <cellStyle name="Normal 2 2 2 28 5 7" xfId="17376" xr:uid="{00000000-0005-0000-0000-0000E0430000}"/>
    <cellStyle name="Normal 2 2 2 28 5 8" xfId="17377" xr:uid="{00000000-0005-0000-0000-0000E1430000}"/>
    <cellStyle name="Normal 2 2 2 28 5 9" xfId="17378" xr:uid="{00000000-0005-0000-0000-0000E2430000}"/>
    <cellStyle name="Normal 2 2 2 28 6" xfId="17379" xr:uid="{00000000-0005-0000-0000-0000E3430000}"/>
    <cellStyle name="Normal 2 2 2 28 7" xfId="17380" xr:uid="{00000000-0005-0000-0000-0000E4430000}"/>
    <cellStyle name="Normal 2 2 2 28 8" xfId="17381" xr:uid="{00000000-0005-0000-0000-0000E5430000}"/>
    <cellStyle name="Normal 2 2 2 28 9" xfId="17382" xr:uid="{00000000-0005-0000-0000-0000E6430000}"/>
    <cellStyle name="Normal 2 2 2 29" xfId="17383" xr:uid="{00000000-0005-0000-0000-0000E7430000}"/>
    <cellStyle name="Normal 2 2 2 29 10" xfId="17384" xr:uid="{00000000-0005-0000-0000-0000E8430000}"/>
    <cellStyle name="Normal 2 2 2 29 11" xfId="17385" xr:uid="{00000000-0005-0000-0000-0000E9430000}"/>
    <cellStyle name="Normal 2 2 2 29 12" xfId="17386" xr:uid="{00000000-0005-0000-0000-0000EA430000}"/>
    <cellStyle name="Normal 2 2 2 29 13" xfId="17387" xr:uid="{00000000-0005-0000-0000-0000EB430000}"/>
    <cellStyle name="Normal 2 2 2 29 14" xfId="17388" xr:uid="{00000000-0005-0000-0000-0000EC430000}"/>
    <cellStyle name="Normal 2 2 2 29 2" xfId="17389" xr:uid="{00000000-0005-0000-0000-0000ED430000}"/>
    <cellStyle name="Normal 2 2 2 29 2 10" xfId="17390" xr:uid="{00000000-0005-0000-0000-0000EE430000}"/>
    <cellStyle name="Normal 2 2 2 29 2 2" xfId="17391" xr:uid="{00000000-0005-0000-0000-0000EF430000}"/>
    <cellStyle name="Normal 2 2 2 29 2 3" xfId="17392" xr:uid="{00000000-0005-0000-0000-0000F0430000}"/>
    <cellStyle name="Normal 2 2 2 29 2 4" xfId="17393" xr:uid="{00000000-0005-0000-0000-0000F1430000}"/>
    <cellStyle name="Normal 2 2 2 29 2 5" xfId="17394" xr:uid="{00000000-0005-0000-0000-0000F2430000}"/>
    <cellStyle name="Normal 2 2 2 29 2 6" xfId="17395" xr:uid="{00000000-0005-0000-0000-0000F3430000}"/>
    <cellStyle name="Normal 2 2 2 29 2 7" xfId="17396" xr:uid="{00000000-0005-0000-0000-0000F4430000}"/>
    <cellStyle name="Normal 2 2 2 29 2 8" xfId="17397" xr:uid="{00000000-0005-0000-0000-0000F5430000}"/>
    <cellStyle name="Normal 2 2 2 29 2 9" xfId="17398" xr:uid="{00000000-0005-0000-0000-0000F6430000}"/>
    <cellStyle name="Normal 2 2 2 29 3" xfId="17399" xr:uid="{00000000-0005-0000-0000-0000F7430000}"/>
    <cellStyle name="Normal 2 2 2 29 3 10" xfId="17400" xr:uid="{00000000-0005-0000-0000-0000F8430000}"/>
    <cellStyle name="Normal 2 2 2 29 3 2" xfId="17401" xr:uid="{00000000-0005-0000-0000-0000F9430000}"/>
    <cellStyle name="Normal 2 2 2 29 3 3" xfId="17402" xr:uid="{00000000-0005-0000-0000-0000FA430000}"/>
    <cellStyle name="Normal 2 2 2 29 3 4" xfId="17403" xr:uid="{00000000-0005-0000-0000-0000FB430000}"/>
    <cellStyle name="Normal 2 2 2 29 3 5" xfId="17404" xr:uid="{00000000-0005-0000-0000-0000FC430000}"/>
    <cellStyle name="Normal 2 2 2 29 3 6" xfId="17405" xr:uid="{00000000-0005-0000-0000-0000FD430000}"/>
    <cellStyle name="Normal 2 2 2 29 3 7" xfId="17406" xr:uid="{00000000-0005-0000-0000-0000FE430000}"/>
    <cellStyle name="Normal 2 2 2 29 3 8" xfId="17407" xr:uid="{00000000-0005-0000-0000-0000FF430000}"/>
    <cellStyle name="Normal 2 2 2 29 3 9" xfId="17408" xr:uid="{00000000-0005-0000-0000-000000440000}"/>
    <cellStyle name="Normal 2 2 2 29 4" xfId="17409" xr:uid="{00000000-0005-0000-0000-000001440000}"/>
    <cellStyle name="Normal 2 2 2 29 4 10" xfId="17410" xr:uid="{00000000-0005-0000-0000-000002440000}"/>
    <cellStyle name="Normal 2 2 2 29 4 2" xfId="17411" xr:uid="{00000000-0005-0000-0000-000003440000}"/>
    <cellStyle name="Normal 2 2 2 29 4 3" xfId="17412" xr:uid="{00000000-0005-0000-0000-000004440000}"/>
    <cellStyle name="Normal 2 2 2 29 4 4" xfId="17413" xr:uid="{00000000-0005-0000-0000-000005440000}"/>
    <cellStyle name="Normal 2 2 2 29 4 5" xfId="17414" xr:uid="{00000000-0005-0000-0000-000006440000}"/>
    <cellStyle name="Normal 2 2 2 29 4 6" xfId="17415" xr:uid="{00000000-0005-0000-0000-000007440000}"/>
    <cellStyle name="Normal 2 2 2 29 4 7" xfId="17416" xr:uid="{00000000-0005-0000-0000-000008440000}"/>
    <cellStyle name="Normal 2 2 2 29 4 8" xfId="17417" xr:uid="{00000000-0005-0000-0000-000009440000}"/>
    <cellStyle name="Normal 2 2 2 29 4 9" xfId="17418" xr:uid="{00000000-0005-0000-0000-00000A440000}"/>
    <cellStyle name="Normal 2 2 2 29 5" xfId="17419" xr:uid="{00000000-0005-0000-0000-00000B440000}"/>
    <cellStyle name="Normal 2 2 2 29 5 10" xfId="17420" xr:uid="{00000000-0005-0000-0000-00000C440000}"/>
    <cellStyle name="Normal 2 2 2 29 5 2" xfId="17421" xr:uid="{00000000-0005-0000-0000-00000D440000}"/>
    <cellStyle name="Normal 2 2 2 29 5 3" xfId="17422" xr:uid="{00000000-0005-0000-0000-00000E440000}"/>
    <cellStyle name="Normal 2 2 2 29 5 4" xfId="17423" xr:uid="{00000000-0005-0000-0000-00000F440000}"/>
    <cellStyle name="Normal 2 2 2 29 5 5" xfId="17424" xr:uid="{00000000-0005-0000-0000-000010440000}"/>
    <cellStyle name="Normal 2 2 2 29 5 6" xfId="17425" xr:uid="{00000000-0005-0000-0000-000011440000}"/>
    <cellStyle name="Normal 2 2 2 29 5 7" xfId="17426" xr:uid="{00000000-0005-0000-0000-000012440000}"/>
    <cellStyle name="Normal 2 2 2 29 5 8" xfId="17427" xr:uid="{00000000-0005-0000-0000-000013440000}"/>
    <cellStyle name="Normal 2 2 2 29 5 9" xfId="17428" xr:uid="{00000000-0005-0000-0000-000014440000}"/>
    <cellStyle name="Normal 2 2 2 29 6" xfId="17429" xr:uid="{00000000-0005-0000-0000-000015440000}"/>
    <cellStyle name="Normal 2 2 2 29 7" xfId="17430" xr:uid="{00000000-0005-0000-0000-000016440000}"/>
    <cellStyle name="Normal 2 2 2 29 8" xfId="17431" xr:uid="{00000000-0005-0000-0000-000017440000}"/>
    <cellStyle name="Normal 2 2 2 29 9" xfId="17432" xr:uid="{00000000-0005-0000-0000-000018440000}"/>
    <cellStyle name="Normal 2 2 2 3" xfId="19" xr:uid="{00000000-0005-0000-0000-000013000000}"/>
    <cellStyle name="Normal 2 2 2 3 10" xfId="17433" xr:uid="{00000000-0005-0000-0000-000019440000}"/>
    <cellStyle name="Normal 2 2 2 3 10 10" xfId="17434" xr:uid="{00000000-0005-0000-0000-00001A440000}"/>
    <cellStyle name="Normal 2 2 2 3 10 11" xfId="17435" xr:uid="{00000000-0005-0000-0000-00001B440000}"/>
    <cellStyle name="Normal 2 2 2 3 10 12" xfId="17436" xr:uid="{00000000-0005-0000-0000-00001C440000}"/>
    <cellStyle name="Normal 2 2 2 3 10 13" xfId="17437" xr:uid="{00000000-0005-0000-0000-00001D440000}"/>
    <cellStyle name="Normal 2 2 2 3 10 14" xfId="17438" xr:uid="{00000000-0005-0000-0000-00001E440000}"/>
    <cellStyle name="Normal 2 2 2 3 10 2" xfId="17439" xr:uid="{00000000-0005-0000-0000-00001F440000}"/>
    <cellStyle name="Normal 2 2 2 3 10 2 10" xfId="17440" xr:uid="{00000000-0005-0000-0000-000020440000}"/>
    <cellStyle name="Normal 2 2 2 3 10 2 2" xfId="17441" xr:uid="{00000000-0005-0000-0000-000021440000}"/>
    <cellStyle name="Normal 2 2 2 3 10 2 3" xfId="17442" xr:uid="{00000000-0005-0000-0000-000022440000}"/>
    <cellStyle name="Normal 2 2 2 3 10 2 4" xfId="17443" xr:uid="{00000000-0005-0000-0000-000023440000}"/>
    <cellStyle name="Normal 2 2 2 3 10 2 5" xfId="17444" xr:uid="{00000000-0005-0000-0000-000024440000}"/>
    <cellStyle name="Normal 2 2 2 3 10 2 6" xfId="17445" xr:uid="{00000000-0005-0000-0000-000025440000}"/>
    <cellStyle name="Normal 2 2 2 3 10 2 7" xfId="17446" xr:uid="{00000000-0005-0000-0000-000026440000}"/>
    <cellStyle name="Normal 2 2 2 3 10 2 8" xfId="17447" xr:uid="{00000000-0005-0000-0000-000027440000}"/>
    <cellStyle name="Normal 2 2 2 3 10 2 9" xfId="17448" xr:uid="{00000000-0005-0000-0000-000028440000}"/>
    <cellStyle name="Normal 2 2 2 3 10 3" xfId="17449" xr:uid="{00000000-0005-0000-0000-000029440000}"/>
    <cellStyle name="Normal 2 2 2 3 10 3 10" xfId="17450" xr:uid="{00000000-0005-0000-0000-00002A440000}"/>
    <cellStyle name="Normal 2 2 2 3 10 3 2" xfId="17451" xr:uid="{00000000-0005-0000-0000-00002B440000}"/>
    <cellStyle name="Normal 2 2 2 3 10 3 3" xfId="17452" xr:uid="{00000000-0005-0000-0000-00002C440000}"/>
    <cellStyle name="Normal 2 2 2 3 10 3 4" xfId="17453" xr:uid="{00000000-0005-0000-0000-00002D440000}"/>
    <cellStyle name="Normal 2 2 2 3 10 3 5" xfId="17454" xr:uid="{00000000-0005-0000-0000-00002E440000}"/>
    <cellStyle name="Normal 2 2 2 3 10 3 6" xfId="17455" xr:uid="{00000000-0005-0000-0000-00002F440000}"/>
    <cellStyle name="Normal 2 2 2 3 10 3 7" xfId="17456" xr:uid="{00000000-0005-0000-0000-000030440000}"/>
    <cellStyle name="Normal 2 2 2 3 10 3 8" xfId="17457" xr:uid="{00000000-0005-0000-0000-000031440000}"/>
    <cellStyle name="Normal 2 2 2 3 10 3 9" xfId="17458" xr:uid="{00000000-0005-0000-0000-000032440000}"/>
    <cellStyle name="Normal 2 2 2 3 10 4" xfId="17459" xr:uid="{00000000-0005-0000-0000-000033440000}"/>
    <cellStyle name="Normal 2 2 2 3 10 4 10" xfId="17460" xr:uid="{00000000-0005-0000-0000-000034440000}"/>
    <cellStyle name="Normal 2 2 2 3 10 4 2" xfId="17461" xr:uid="{00000000-0005-0000-0000-000035440000}"/>
    <cellStyle name="Normal 2 2 2 3 10 4 3" xfId="17462" xr:uid="{00000000-0005-0000-0000-000036440000}"/>
    <cellStyle name="Normal 2 2 2 3 10 4 4" xfId="17463" xr:uid="{00000000-0005-0000-0000-000037440000}"/>
    <cellStyle name="Normal 2 2 2 3 10 4 5" xfId="17464" xr:uid="{00000000-0005-0000-0000-000038440000}"/>
    <cellStyle name="Normal 2 2 2 3 10 4 6" xfId="17465" xr:uid="{00000000-0005-0000-0000-000039440000}"/>
    <cellStyle name="Normal 2 2 2 3 10 4 7" xfId="17466" xr:uid="{00000000-0005-0000-0000-00003A440000}"/>
    <cellStyle name="Normal 2 2 2 3 10 4 8" xfId="17467" xr:uid="{00000000-0005-0000-0000-00003B440000}"/>
    <cellStyle name="Normal 2 2 2 3 10 4 9" xfId="17468" xr:uid="{00000000-0005-0000-0000-00003C440000}"/>
    <cellStyle name="Normal 2 2 2 3 10 5" xfId="17469" xr:uid="{00000000-0005-0000-0000-00003D440000}"/>
    <cellStyle name="Normal 2 2 2 3 10 5 10" xfId="17470" xr:uid="{00000000-0005-0000-0000-00003E440000}"/>
    <cellStyle name="Normal 2 2 2 3 10 5 2" xfId="17471" xr:uid="{00000000-0005-0000-0000-00003F440000}"/>
    <cellStyle name="Normal 2 2 2 3 10 5 3" xfId="17472" xr:uid="{00000000-0005-0000-0000-000040440000}"/>
    <cellStyle name="Normal 2 2 2 3 10 5 4" xfId="17473" xr:uid="{00000000-0005-0000-0000-000041440000}"/>
    <cellStyle name="Normal 2 2 2 3 10 5 5" xfId="17474" xr:uid="{00000000-0005-0000-0000-000042440000}"/>
    <cellStyle name="Normal 2 2 2 3 10 5 6" xfId="17475" xr:uid="{00000000-0005-0000-0000-000043440000}"/>
    <cellStyle name="Normal 2 2 2 3 10 5 7" xfId="17476" xr:uid="{00000000-0005-0000-0000-000044440000}"/>
    <cellStyle name="Normal 2 2 2 3 10 5 8" xfId="17477" xr:uid="{00000000-0005-0000-0000-000045440000}"/>
    <cellStyle name="Normal 2 2 2 3 10 5 9" xfId="17478" xr:uid="{00000000-0005-0000-0000-000046440000}"/>
    <cellStyle name="Normal 2 2 2 3 10 6" xfId="17479" xr:uid="{00000000-0005-0000-0000-000047440000}"/>
    <cellStyle name="Normal 2 2 2 3 10 7" xfId="17480" xr:uid="{00000000-0005-0000-0000-000048440000}"/>
    <cellStyle name="Normal 2 2 2 3 10 8" xfId="17481" xr:uid="{00000000-0005-0000-0000-000049440000}"/>
    <cellStyle name="Normal 2 2 2 3 10 9" xfId="17482" xr:uid="{00000000-0005-0000-0000-00004A440000}"/>
    <cellStyle name="Normal 2 2 2 3 11" xfId="17483" xr:uid="{00000000-0005-0000-0000-00004B440000}"/>
    <cellStyle name="Normal 2 2 2 3 11 10" xfId="17484" xr:uid="{00000000-0005-0000-0000-00004C440000}"/>
    <cellStyle name="Normal 2 2 2 3 11 11" xfId="17485" xr:uid="{00000000-0005-0000-0000-00004D440000}"/>
    <cellStyle name="Normal 2 2 2 3 11 12" xfId="17486" xr:uid="{00000000-0005-0000-0000-00004E440000}"/>
    <cellStyle name="Normal 2 2 2 3 11 13" xfId="17487" xr:uid="{00000000-0005-0000-0000-00004F440000}"/>
    <cellStyle name="Normal 2 2 2 3 11 14" xfId="17488" xr:uid="{00000000-0005-0000-0000-000050440000}"/>
    <cellStyle name="Normal 2 2 2 3 11 2" xfId="17489" xr:uid="{00000000-0005-0000-0000-000051440000}"/>
    <cellStyle name="Normal 2 2 2 3 11 2 10" xfId="17490" xr:uid="{00000000-0005-0000-0000-000052440000}"/>
    <cellStyle name="Normal 2 2 2 3 11 2 2" xfId="17491" xr:uid="{00000000-0005-0000-0000-000053440000}"/>
    <cellStyle name="Normal 2 2 2 3 11 2 3" xfId="17492" xr:uid="{00000000-0005-0000-0000-000054440000}"/>
    <cellStyle name="Normal 2 2 2 3 11 2 4" xfId="17493" xr:uid="{00000000-0005-0000-0000-000055440000}"/>
    <cellStyle name="Normal 2 2 2 3 11 2 5" xfId="17494" xr:uid="{00000000-0005-0000-0000-000056440000}"/>
    <cellStyle name="Normal 2 2 2 3 11 2 6" xfId="17495" xr:uid="{00000000-0005-0000-0000-000057440000}"/>
    <cellStyle name="Normal 2 2 2 3 11 2 7" xfId="17496" xr:uid="{00000000-0005-0000-0000-000058440000}"/>
    <cellStyle name="Normal 2 2 2 3 11 2 8" xfId="17497" xr:uid="{00000000-0005-0000-0000-000059440000}"/>
    <cellStyle name="Normal 2 2 2 3 11 2 9" xfId="17498" xr:uid="{00000000-0005-0000-0000-00005A440000}"/>
    <cellStyle name="Normal 2 2 2 3 11 3" xfId="17499" xr:uid="{00000000-0005-0000-0000-00005B440000}"/>
    <cellStyle name="Normal 2 2 2 3 11 3 10" xfId="17500" xr:uid="{00000000-0005-0000-0000-00005C440000}"/>
    <cellStyle name="Normal 2 2 2 3 11 3 2" xfId="17501" xr:uid="{00000000-0005-0000-0000-00005D440000}"/>
    <cellStyle name="Normal 2 2 2 3 11 3 3" xfId="17502" xr:uid="{00000000-0005-0000-0000-00005E440000}"/>
    <cellStyle name="Normal 2 2 2 3 11 3 4" xfId="17503" xr:uid="{00000000-0005-0000-0000-00005F440000}"/>
    <cellStyle name="Normal 2 2 2 3 11 3 5" xfId="17504" xr:uid="{00000000-0005-0000-0000-000060440000}"/>
    <cellStyle name="Normal 2 2 2 3 11 3 6" xfId="17505" xr:uid="{00000000-0005-0000-0000-000061440000}"/>
    <cellStyle name="Normal 2 2 2 3 11 3 7" xfId="17506" xr:uid="{00000000-0005-0000-0000-000062440000}"/>
    <cellStyle name="Normal 2 2 2 3 11 3 8" xfId="17507" xr:uid="{00000000-0005-0000-0000-000063440000}"/>
    <cellStyle name="Normal 2 2 2 3 11 3 9" xfId="17508" xr:uid="{00000000-0005-0000-0000-000064440000}"/>
    <cellStyle name="Normal 2 2 2 3 11 4" xfId="17509" xr:uid="{00000000-0005-0000-0000-000065440000}"/>
    <cellStyle name="Normal 2 2 2 3 11 4 10" xfId="17510" xr:uid="{00000000-0005-0000-0000-000066440000}"/>
    <cellStyle name="Normal 2 2 2 3 11 4 2" xfId="17511" xr:uid="{00000000-0005-0000-0000-000067440000}"/>
    <cellStyle name="Normal 2 2 2 3 11 4 3" xfId="17512" xr:uid="{00000000-0005-0000-0000-000068440000}"/>
    <cellStyle name="Normal 2 2 2 3 11 4 4" xfId="17513" xr:uid="{00000000-0005-0000-0000-000069440000}"/>
    <cellStyle name="Normal 2 2 2 3 11 4 5" xfId="17514" xr:uid="{00000000-0005-0000-0000-00006A440000}"/>
    <cellStyle name="Normal 2 2 2 3 11 4 6" xfId="17515" xr:uid="{00000000-0005-0000-0000-00006B440000}"/>
    <cellStyle name="Normal 2 2 2 3 11 4 7" xfId="17516" xr:uid="{00000000-0005-0000-0000-00006C440000}"/>
    <cellStyle name="Normal 2 2 2 3 11 4 8" xfId="17517" xr:uid="{00000000-0005-0000-0000-00006D440000}"/>
    <cellStyle name="Normal 2 2 2 3 11 4 9" xfId="17518" xr:uid="{00000000-0005-0000-0000-00006E440000}"/>
    <cellStyle name="Normal 2 2 2 3 11 5" xfId="17519" xr:uid="{00000000-0005-0000-0000-00006F440000}"/>
    <cellStyle name="Normal 2 2 2 3 11 5 10" xfId="17520" xr:uid="{00000000-0005-0000-0000-000070440000}"/>
    <cellStyle name="Normal 2 2 2 3 11 5 2" xfId="17521" xr:uid="{00000000-0005-0000-0000-000071440000}"/>
    <cellStyle name="Normal 2 2 2 3 11 5 3" xfId="17522" xr:uid="{00000000-0005-0000-0000-000072440000}"/>
    <cellStyle name="Normal 2 2 2 3 11 5 4" xfId="17523" xr:uid="{00000000-0005-0000-0000-000073440000}"/>
    <cellStyle name="Normal 2 2 2 3 11 5 5" xfId="17524" xr:uid="{00000000-0005-0000-0000-000074440000}"/>
    <cellStyle name="Normal 2 2 2 3 11 5 6" xfId="17525" xr:uid="{00000000-0005-0000-0000-000075440000}"/>
    <cellStyle name="Normal 2 2 2 3 11 5 7" xfId="17526" xr:uid="{00000000-0005-0000-0000-000076440000}"/>
    <cellStyle name="Normal 2 2 2 3 11 5 8" xfId="17527" xr:uid="{00000000-0005-0000-0000-000077440000}"/>
    <cellStyle name="Normal 2 2 2 3 11 5 9" xfId="17528" xr:uid="{00000000-0005-0000-0000-000078440000}"/>
    <cellStyle name="Normal 2 2 2 3 11 6" xfId="17529" xr:uid="{00000000-0005-0000-0000-000079440000}"/>
    <cellStyle name="Normal 2 2 2 3 11 7" xfId="17530" xr:uid="{00000000-0005-0000-0000-00007A440000}"/>
    <cellStyle name="Normal 2 2 2 3 11 8" xfId="17531" xr:uid="{00000000-0005-0000-0000-00007B440000}"/>
    <cellStyle name="Normal 2 2 2 3 11 9" xfId="17532" xr:uid="{00000000-0005-0000-0000-00007C440000}"/>
    <cellStyle name="Normal 2 2 2 3 12" xfId="17533" xr:uid="{00000000-0005-0000-0000-00007D440000}"/>
    <cellStyle name="Normal 2 2 2 3 12 10" xfId="17534" xr:uid="{00000000-0005-0000-0000-00007E440000}"/>
    <cellStyle name="Normal 2 2 2 3 12 11" xfId="17535" xr:uid="{00000000-0005-0000-0000-00007F440000}"/>
    <cellStyle name="Normal 2 2 2 3 12 12" xfId="17536" xr:uid="{00000000-0005-0000-0000-000080440000}"/>
    <cellStyle name="Normal 2 2 2 3 12 13" xfId="17537" xr:uid="{00000000-0005-0000-0000-000081440000}"/>
    <cellStyle name="Normal 2 2 2 3 12 14" xfId="17538" xr:uid="{00000000-0005-0000-0000-000082440000}"/>
    <cellStyle name="Normal 2 2 2 3 12 2" xfId="17539" xr:uid="{00000000-0005-0000-0000-000083440000}"/>
    <cellStyle name="Normal 2 2 2 3 12 2 10" xfId="17540" xr:uid="{00000000-0005-0000-0000-000084440000}"/>
    <cellStyle name="Normal 2 2 2 3 12 2 2" xfId="17541" xr:uid="{00000000-0005-0000-0000-000085440000}"/>
    <cellStyle name="Normal 2 2 2 3 12 2 3" xfId="17542" xr:uid="{00000000-0005-0000-0000-000086440000}"/>
    <cellStyle name="Normal 2 2 2 3 12 2 4" xfId="17543" xr:uid="{00000000-0005-0000-0000-000087440000}"/>
    <cellStyle name="Normal 2 2 2 3 12 2 5" xfId="17544" xr:uid="{00000000-0005-0000-0000-000088440000}"/>
    <cellStyle name="Normal 2 2 2 3 12 2 6" xfId="17545" xr:uid="{00000000-0005-0000-0000-000089440000}"/>
    <cellStyle name="Normal 2 2 2 3 12 2 7" xfId="17546" xr:uid="{00000000-0005-0000-0000-00008A440000}"/>
    <cellStyle name="Normal 2 2 2 3 12 2 8" xfId="17547" xr:uid="{00000000-0005-0000-0000-00008B440000}"/>
    <cellStyle name="Normal 2 2 2 3 12 2 9" xfId="17548" xr:uid="{00000000-0005-0000-0000-00008C440000}"/>
    <cellStyle name="Normal 2 2 2 3 12 3" xfId="17549" xr:uid="{00000000-0005-0000-0000-00008D440000}"/>
    <cellStyle name="Normal 2 2 2 3 12 3 10" xfId="17550" xr:uid="{00000000-0005-0000-0000-00008E440000}"/>
    <cellStyle name="Normal 2 2 2 3 12 3 2" xfId="17551" xr:uid="{00000000-0005-0000-0000-00008F440000}"/>
    <cellStyle name="Normal 2 2 2 3 12 3 3" xfId="17552" xr:uid="{00000000-0005-0000-0000-000090440000}"/>
    <cellStyle name="Normal 2 2 2 3 12 3 4" xfId="17553" xr:uid="{00000000-0005-0000-0000-000091440000}"/>
    <cellStyle name="Normal 2 2 2 3 12 3 5" xfId="17554" xr:uid="{00000000-0005-0000-0000-000092440000}"/>
    <cellStyle name="Normal 2 2 2 3 12 3 6" xfId="17555" xr:uid="{00000000-0005-0000-0000-000093440000}"/>
    <cellStyle name="Normal 2 2 2 3 12 3 7" xfId="17556" xr:uid="{00000000-0005-0000-0000-000094440000}"/>
    <cellStyle name="Normal 2 2 2 3 12 3 8" xfId="17557" xr:uid="{00000000-0005-0000-0000-000095440000}"/>
    <cellStyle name="Normal 2 2 2 3 12 3 9" xfId="17558" xr:uid="{00000000-0005-0000-0000-000096440000}"/>
    <cellStyle name="Normal 2 2 2 3 12 4" xfId="17559" xr:uid="{00000000-0005-0000-0000-000097440000}"/>
    <cellStyle name="Normal 2 2 2 3 12 4 10" xfId="17560" xr:uid="{00000000-0005-0000-0000-000098440000}"/>
    <cellStyle name="Normal 2 2 2 3 12 4 2" xfId="17561" xr:uid="{00000000-0005-0000-0000-000099440000}"/>
    <cellStyle name="Normal 2 2 2 3 12 4 3" xfId="17562" xr:uid="{00000000-0005-0000-0000-00009A440000}"/>
    <cellStyle name="Normal 2 2 2 3 12 4 4" xfId="17563" xr:uid="{00000000-0005-0000-0000-00009B440000}"/>
    <cellStyle name="Normal 2 2 2 3 12 4 5" xfId="17564" xr:uid="{00000000-0005-0000-0000-00009C440000}"/>
    <cellStyle name="Normal 2 2 2 3 12 4 6" xfId="17565" xr:uid="{00000000-0005-0000-0000-00009D440000}"/>
    <cellStyle name="Normal 2 2 2 3 12 4 7" xfId="17566" xr:uid="{00000000-0005-0000-0000-00009E440000}"/>
    <cellStyle name="Normal 2 2 2 3 12 4 8" xfId="17567" xr:uid="{00000000-0005-0000-0000-00009F440000}"/>
    <cellStyle name="Normal 2 2 2 3 12 4 9" xfId="17568" xr:uid="{00000000-0005-0000-0000-0000A0440000}"/>
    <cellStyle name="Normal 2 2 2 3 12 5" xfId="17569" xr:uid="{00000000-0005-0000-0000-0000A1440000}"/>
    <cellStyle name="Normal 2 2 2 3 12 5 10" xfId="17570" xr:uid="{00000000-0005-0000-0000-0000A2440000}"/>
    <cellStyle name="Normal 2 2 2 3 12 5 2" xfId="17571" xr:uid="{00000000-0005-0000-0000-0000A3440000}"/>
    <cellStyle name="Normal 2 2 2 3 12 5 3" xfId="17572" xr:uid="{00000000-0005-0000-0000-0000A4440000}"/>
    <cellStyle name="Normal 2 2 2 3 12 5 4" xfId="17573" xr:uid="{00000000-0005-0000-0000-0000A5440000}"/>
    <cellStyle name="Normal 2 2 2 3 12 5 5" xfId="17574" xr:uid="{00000000-0005-0000-0000-0000A6440000}"/>
    <cellStyle name="Normal 2 2 2 3 12 5 6" xfId="17575" xr:uid="{00000000-0005-0000-0000-0000A7440000}"/>
    <cellStyle name="Normal 2 2 2 3 12 5 7" xfId="17576" xr:uid="{00000000-0005-0000-0000-0000A8440000}"/>
    <cellStyle name="Normal 2 2 2 3 12 5 8" xfId="17577" xr:uid="{00000000-0005-0000-0000-0000A9440000}"/>
    <cellStyle name="Normal 2 2 2 3 12 5 9" xfId="17578" xr:uid="{00000000-0005-0000-0000-0000AA440000}"/>
    <cellStyle name="Normal 2 2 2 3 12 6" xfId="17579" xr:uid="{00000000-0005-0000-0000-0000AB440000}"/>
    <cellStyle name="Normal 2 2 2 3 12 7" xfId="17580" xr:uid="{00000000-0005-0000-0000-0000AC440000}"/>
    <cellStyle name="Normal 2 2 2 3 12 8" xfId="17581" xr:uid="{00000000-0005-0000-0000-0000AD440000}"/>
    <cellStyle name="Normal 2 2 2 3 12 9" xfId="17582" xr:uid="{00000000-0005-0000-0000-0000AE440000}"/>
    <cellStyle name="Normal 2 2 2 3 13" xfId="17583" xr:uid="{00000000-0005-0000-0000-0000AF440000}"/>
    <cellStyle name="Normal 2 2 2 3 13 10" xfId="17584" xr:uid="{00000000-0005-0000-0000-0000B0440000}"/>
    <cellStyle name="Normal 2 2 2 3 13 11" xfId="17585" xr:uid="{00000000-0005-0000-0000-0000B1440000}"/>
    <cellStyle name="Normal 2 2 2 3 13 12" xfId="17586" xr:uid="{00000000-0005-0000-0000-0000B2440000}"/>
    <cellStyle name="Normal 2 2 2 3 13 13" xfId="17587" xr:uid="{00000000-0005-0000-0000-0000B3440000}"/>
    <cellStyle name="Normal 2 2 2 3 13 14" xfId="17588" xr:uid="{00000000-0005-0000-0000-0000B4440000}"/>
    <cellStyle name="Normal 2 2 2 3 13 2" xfId="17589" xr:uid="{00000000-0005-0000-0000-0000B5440000}"/>
    <cellStyle name="Normal 2 2 2 3 13 2 10" xfId="17590" xr:uid="{00000000-0005-0000-0000-0000B6440000}"/>
    <cellStyle name="Normal 2 2 2 3 13 2 2" xfId="17591" xr:uid="{00000000-0005-0000-0000-0000B7440000}"/>
    <cellStyle name="Normal 2 2 2 3 13 2 3" xfId="17592" xr:uid="{00000000-0005-0000-0000-0000B8440000}"/>
    <cellStyle name="Normal 2 2 2 3 13 2 4" xfId="17593" xr:uid="{00000000-0005-0000-0000-0000B9440000}"/>
    <cellStyle name="Normal 2 2 2 3 13 2 5" xfId="17594" xr:uid="{00000000-0005-0000-0000-0000BA440000}"/>
    <cellStyle name="Normal 2 2 2 3 13 2 6" xfId="17595" xr:uid="{00000000-0005-0000-0000-0000BB440000}"/>
    <cellStyle name="Normal 2 2 2 3 13 2 7" xfId="17596" xr:uid="{00000000-0005-0000-0000-0000BC440000}"/>
    <cellStyle name="Normal 2 2 2 3 13 2 8" xfId="17597" xr:uid="{00000000-0005-0000-0000-0000BD440000}"/>
    <cellStyle name="Normal 2 2 2 3 13 2 9" xfId="17598" xr:uid="{00000000-0005-0000-0000-0000BE440000}"/>
    <cellStyle name="Normal 2 2 2 3 13 3" xfId="17599" xr:uid="{00000000-0005-0000-0000-0000BF440000}"/>
    <cellStyle name="Normal 2 2 2 3 13 3 10" xfId="17600" xr:uid="{00000000-0005-0000-0000-0000C0440000}"/>
    <cellStyle name="Normal 2 2 2 3 13 3 2" xfId="17601" xr:uid="{00000000-0005-0000-0000-0000C1440000}"/>
    <cellStyle name="Normal 2 2 2 3 13 3 3" xfId="17602" xr:uid="{00000000-0005-0000-0000-0000C2440000}"/>
    <cellStyle name="Normal 2 2 2 3 13 3 4" xfId="17603" xr:uid="{00000000-0005-0000-0000-0000C3440000}"/>
    <cellStyle name="Normal 2 2 2 3 13 3 5" xfId="17604" xr:uid="{00000000-0005-0000-0000-0000C4440000}"/>
    <cellStyle name="Normal 2 2 2 3 13 3 6" xfId="17605" xr:uid="{00000000-0005-0000-0000-0000C5440000}"/>
    <cellStyle name="Normal 2 2 2 3 13 3 7" xfId="17606" xr:uid="{00000000-0005-0000-0000-0000C6440000}"/>
    <cellStyle name="Normal 2 2 2 3 13 3 8" xfId="17607" xr:uid="{00000000-0005-0000-0000-0000C7440000}"/>
    <cellStyle name="Normal 2 2 2 3 13 3 9" xfId="17608" xr:uid="{00000000-0005-0000-0000-0000C8440000}"/>
    <cellStyle name="Normal 2 2 2 3 13 4" xfId="17609" xr:uid="{00000000-0005-0000-0000-0000C9440000}"/>
    <cellStyle name="Normal 2 2 2 3 13 4 10" xfId="17610" xr:uid="{00000000-0005-0000-0000-0000CA440000}"/>
    <cellStyle name="Normal 2 2 2 3 13 4 2" xfId="17611" xr:uid="{00000000-0005-0000-0000-0000CB440000}"/>
    <cellStyle name="Normal 2 2 2 3 13 4 3" xfId="17612" xr:uid="{00000000-0005-0000-0000-0000CC440000}"/>
    <cellStyle name="Normal 2 2 2 3 13 4 4" xfId="17613" xr:uid="{00000000-0005-0000-0000-0000CD440000}"/>
    <cellStyle name="Normal 2 2 2 3 13 4 5" xfId="17614" xr:uid="{00000000-0005-0000-0000-0000CE440000}"/>
    <cellStyle name="Normal 2 2 2 3 13 4 6" xfId="17615" xr:uid="{00000000-0005-0000-0000-0000CF440000}"/>
    <cellStyle name="Normal 2 2 2 3 13 4 7" xfId="17616" xr:uid="{00000000-0005-0000-0000-0000D0440000}"/>
    <cellStyle name="Normal 2 2 2 3 13 4 8" xfId="17617" xr:uid="{00000000-0005-0000-0000-0000D1440000}"/>
    <cellStyle name="Normal 2 2 2 3 13 4 9" xfId="17618" xr:uid="{00000000-0005-0000-0000-0000D2440000}"/>
    <cellStyle name="Normal 2 2 2 3 13 5" xfId="17619" xr:uid="{00000000-0005-0000-0000-0000D3440000}"/>
    <cellStyle name="Normal 2 2 2 3 13 5 10" xfId="17620" xr:uid="{00000000-0005-0000-0000-0000D4440000}"/>
    <cellStyle name="Normal 2 2 2 3 13 5 2" xfId="17621" xr:uid="{00000000-0005-0000-0000-0000D5440000}"/>
    <cellStyle name="Normal 2 2 2 3 13 5 3" xfId="17622" xr:uid="{00000000-0005-0000-0000-0000D6440000}"/>
    <cellStyle name="Normal 2 2 2 3 13 5 4" xfId="17623" xr:uid="{00000000-0005-0000-0000-0000D7440000}"/>
    <cellStyle name="Normal 2 2 2 3 13 5 5" xfId="17624" xr:uid="{00000000-0005-0000-0000-0000D8440000}"/>
    <cellStyle name="Normal 2 2 2 3 13 5 6" xfId="17625" xr:uid="{00000000-0005-0000-0000-0000D9440000}"/>
    <cellStyle name="Normal 2 2 2 3 13 5 7" xfId="17626" xr:uid="{00000000-0005-0000-0000-0000DA440000}"/>
    <cellStyle name="Normal 2 2 2 3 13 5 8" xfId="17627" xr:uid="{00000000-0005-0000-0000-0000DB440000}"/>
    <cellStyle name="Normal 2 2 2 3 13 5 9" xfId="17628" xr:uid="{00000000-0005-0000-0000-0000DC440000}"/>
    <cellStyle name="Normal 2 2 2 3 13 6" xfId="17629" xr:uid="{00000000-0005-0000-0000-0000DD440000}"/>
    <cellStyle name="Normal 2 2 2 3 13 7" xfId="17630" xr:uid="{00000000-0005-0000-0000-0000DE440000}"/>
    <cellStyle name="Normal 2 2 2 3 13 8" xfId="17631" xr:uid="{00000000-0005-0000-0000-0000DF440000}"/>
    <cellStyle name="Normal 2 2 2 3 13 9" xfId="17632" xr:uid="{00000000-0005-0000-0000-0000E0440000}"/>
    <cellStyle name="Normal 2 2 2 3 14" xfId="17633" xr:uid="{00000000-0005-0000-0000-0000E1440000}"/>
    <cellStyle name="Normal 2 2 2 3 14 10" xfId="17634" xr:uid="{00000000-0005-0000-0000-0000E2440000}"/>
    <cellStyle name="Normal 2 2 2 3 14 11" xfId="17635" xr:uid="{00000000-0005-0000-0000-0000E3440000}"/>
    <cellStyle name="Normal 2 2 2 3 14 12" xfId="17636" xr:uid="{00000000-0005-0000-0000-0000E4440000}"/>
    <cellStyle name="Normal 2 2 2 3 14 13" xfId="17637" xr:uid="{00000000-0005-0000-0000-0000E5440000}"/>
    <cellStyle name="Normal 2 2 2 3 14 14" xfId="17638" xr:uid="{00000000-0005-0000-0000-0000E6440000}"/>
    <cellStyle name="Normal 2 2 2 3 14 2" xfId="17639" xr:uid="{00000000-0005-0000-0000-0000E7440000}"/>
    <cellStyle name="Normal 2 2 2 3 14 2 10" xfId="17640" xr:uid="{00000000-0005-0000-0000-0000E8440000}"/>
    <cellStyle name="Normal 2 2 2 3 14 2 2" xfId="17641" xr:uid="{00000000-0005-0000-0000-0000E9440000}"/>
    <cellStyle name="Normal 2 2 2 3 14 2 3" xfId="17642" xr:uid="{00000000-0005-0000-0000-0000EA440000}"/>
    <cellStyle name="Normal 2 2 2 3 14 2 4" xfId="17643" xr:uid="{00000000-0005-0000-0000-0000EB440000}"/>
    <cellStyle name="Normal 2 2 2 3 14 2 5" xfId="17644" xr:uid="{00000000-0005-0000-0000-0000EC440000}"/>
    <cellStyle name="Normal 2 2 2 3 14 2 6" xfId="17645" xr:uid="{00000000-0005-0000-0000-0000ED440000}"/>
    <cellStyle name="Normal 2 2 2 3 14 2 7" xfId="17646" xr:uid="{00000000-0005-0000-0000-0000EE440000}"/>
    <cellStyle name="Normal 2 2 2 3 14 2 8" xfId="17647" xr:uid="{00000000-0005-0000-0000-0000EF440000}"/>
    <cellStyle name="Normal 2 2 2 3 14 2 9" xfId="17648" xr:uid="{00000000-0005-0000-0000-0000F0440000}"/>
    <cellStyle name="Normal 2 2 2 3 14 3" xfId="17649" xr:uid="{00000000-0005-0000-0000-0000F1440000}"/>
    <cellStyle name="Normal 2 2 2 3 14 3 10" xfId="17650" xr:uid="{00000000-0005-0000-0000-0000F2440000}"/>
    <cellStyle name="Normal 2 2 2 3 14 3 2" xfId="17651" xr:uid="{00000000-0005-0000-0000-0000F3440000}"/>
    <cellStyle name="Normal 2 2 2 3 14 3 3" xfId="17652" xr:uid="{00000000-0005-0000-0000-0000F4440000}"/>
    <cellStyle name="Normal 2 2 2 3 14 3 4" xfId="17653" xr:uid="{00000000-0005-0000-0000-0000F5440000}"/>
    <cellStyle name="Normal 2 2 2 3 14 3 5" xfId="17654" xr:uid="{00000000-0005-0000-0000-0000F6440000}"/>
    <cellStyle name="Normal 2 2 2 3 14 3 6" xfId="17655" xr:uid="{00000000-0005-0000-0000-0000F7440000}"/>
    <cellStyle name="Normal 2 2 2 3 14 3 7" xfId="17656" xr:uid="{00000000-0005-0000-0000-0000F8440000}"/>
    <cellStyle name="Normal 2 2 2 3 14 3 8" xfId="17657" xr:uid="{00000000-0005-0000-0000-0000F9440000}"/>
    <cellStyle name="Normal 2 2 2 3 14 3 9" xfId="17658" xr:uid="{00000000-0005-0000-0000-0000FA440000}"/>
    <cellStyle name="Normal 2 2 2 3 14 4" xfId="17659" xr:uid="{00000000-0005-0000-0000-0000FB440000}"/>
    <cellStyle name="Normal 2 2 2 3 14 4 10" xfId="17660" xr:uid="{00000000-0005-0000-0000-0000FC440000}"/>
    <cellStyle name="Normal 2 2 2 3 14 4 2" xfId="17661" xr:uid="{00000000-0005-0000-0000-0000FD440000}"/>
    <cellStyle name="Normal 2 2 2 3 14 4 3" xfId="17662" xr:uid="{00000000-0005-0000-0000-0000FE440000}"/>
    <cellStyle name="Normal 2 2 2 3 14 4 4" xfId="17663" xr:uid="{00000000-0005-0000-0000-0000FF440000}"/>
    <cellStyle name="Normal 2 2 2 3 14 4 5" xfId="17664" xr:uid="{00000000-0005-0000-0000-000000450000}"/>
    <cellStyle name="Normal 2 2 2 3 14 4 6" xfId="17665" xr:uid="{00000000-0005-0000-0000-000001450000}"/>
    <cellStyle name="Normal 2 2 2 3 14 4 7" xfId="17666" xr:uid="{00000000-0005-0000-0000-000002450000}"/>
    <cellStyle name="Normal 2 2 2 3 14 4 8" xfId="17667" xr:uid="{00000000-0005-0000-0000-000003450000}"/>
    <cellStyle name="Normal 2 2 2 3 14 4 9" xfId="17668" xr:uid="{00000000-0005-0000-0000-000004450000}"/>
    <cellStyle name="Normal 2 2 2 3 14 5" xfId="17669" xr:uid="{00000000-0005-0000-0000-000005450000}"/>
    <cellStyle name="Normal 2 2 2 3 14 5 10" xfId="17670" xr:uid="{00000000-0005-0000-0000-000006450000}"/>
    <cellStyle name="Normal 2 2 2 3 14 5 2" xfId="17671" xr:uid="{00000000-0005-0000-0000-000007450000}"/>
    <cellStyle name="Normal 2 2 2 3 14 5 3" xfId="17672" xr:uid="{00000000-0005-0000-0000-000008450000}"/>
    <cellStyle name="Normal 2 2 2 3 14 5 4" xfId="17673" xr:uid="{00000000-0005-0000-0000-000009450000}"/>
    <cellStyle name="Normal 2 2 2 3 14 5 5" xfId="17674" xr:uid="{00000000-0005-0000-0000-00000A450000}"/>
    <cellStyle name="Normal 2 2 2 3 14 5 6" xfId="17675" xr:uid="{00000000-0005-0000-0000-00000B450000}"/>
    <cellStyle name="Normal 2 2 2 3 14 5 7" xfId="17676" xr:uid="{00000000-0005-0000-0000-00000C450000}"/>
    <cellStyle name="Normal 2 2 2 3 14 5 8" xfId="17677" xr:uid="{00000000-0005-0000-0000-00000D450000}"/>
    <cellStyle name="Normal 2 2 2 3 14 5 9" xfId="17678" xr:uid="{00000000-0005-0000-0000-00000E450000}"/>
    <cellStyle name="Normal 2 2 2 3 14 6" xfId="17679" xr:uid="{00000000-0005-0000-0000-00000F450000}"/>
    <cellStyle name="Normal 2 2 2 3 14 7" xfId="17680" xr:uid="{00000000-0005-0000-0000-000010450000}"/>
    <cellStyle name="Normal 2 2 2 3 14 8" xfId="17681" xr:uid="{00000000-0005-0000-0000-000011450000}"/>
    <cellStyle name="Normal 2 2 2 3 14 9" xfId="17682" xr:uid="{00000000-0005-0000-0000-000012450000}"/>
    <cellStyle name="Normal 2 2 2 3 15" xfId="17683" xr:uid="{00000000-0005-0000-0000-000013450000}"/>
    <cellStyle name="Normal 2 2 2 3 15 10" xfId="17684" xr:uid="{00000000-0005-0000-0000-000014450000}"/>
    <cellStyle name="Normal 2 2 2 3 15 11" xfId="17685" xr:uid="{00000000-0005-0000-0000-000015450000}"/>
    <cellStyle name="Normal 2 2 2 3 15 12" xfId="17686" xr:uid="{00000000-0005-0000-0000-000016450000}"/>
    <cellStyle name="Normal 2 2 2 3 15 13" xfId="17687" xr:uid="{00000000-0005-0000-0000-000017450000}"/>
    <cellStyle name="Normal 2 2 2 3 15 14" xfId="17688" xr:uid="{00000000-0005-0000-0000-000018450000}"/>
    <cellStyle name="Normal 2 2 2 3 15 2" xfId="17689" xr:uid="{00000000-0005-0000-0000-000019450000}"/>
    <cellStyle name="Normal 2 2 2 3 15 2 10" xfId="17690" xr:uid="{00000000-0005-0000-0000-00001A450000}"/>
    <cellStyle name="Normal 2 2 2 3 15 2 2" xfId="17691" xr:uid="{00000000-0005-0000-0000-00001B450000}"/>
    <cellStyle name="Normal 2 2 2 3 15 2 3" xfId="17692" xr:uid="{00000000-0005-0000-0000-00001C450000}"/>
    <cellStyle name="Normal 2 2 2 3 15 2 4" xfId="17693" xr:uid="{00000000-0005-0000-0000-00001D450000}"/>
    <cellStyle name="Normal 2 2 2 3 15 2 5" xfId="17694" xr:uid="{00000000-0005-0000-0000-00001E450000}"/>
    <cellStyle name="Normal 2 2 2 3 15 2 6" xfId="17695" xr:uid="{00000000-0005-0000-0000-00001F450000}"/>
    <cellStyle name="Normal 2 2 2 3 15 2 7" xfId="17696" xr:uid="{00000000-0005-0000-0000-000020450000}"/>
    <cellStyle name="Normal 2 2 2 3 15 2 8" xfId="17697" xr:uid="{00000000-0005-0000-0000-000021450000}"/>
    <cellStyle name="Normal 2 2 2 3 15 2 9" xfId="17698" xr:uid="{00000000-0005-0000-0000-000022450000}"/>
    <cellStyle name="Normal 2 2 2 3 15 3" xfId="17699" xr:uid="{00000000-0005-0000-0000-000023450000}"/>
    <cellStyle name="Normal 2 2 2 3 15 3 10" xfId="17700" xr:uid="{00000000-0005-0000-0000-000024450000}"/>
    <cellStyle name="Normal 2 2 2 3 15 3 2" xfId="17701" xr:uid="{00000000-0005-0000-0000-000025450000}"/>
    <cellStyle name="Normal 2 2 2 3 15 3 3" xfId="17702" xr:uid="{00000000-0005-0000-0000-000026450000}"/>
    <cellStyle name="Normal 2 2 2 3 15 3 4" xfId="17703" xr:uid="{00000000-0005-0000-0000-000027450000}"/>
    <cellStyle name="Normal 2 2 2 3 15 3 5" xfId="17704" xr:uid="{00000000-0005-0000-0000-000028450000}"/>
    <cellStyle name="Normal 2 2 2 3 15 3 6" xfId="17705" xr:uid="{00000000-0005-0000-0000-000029450000}"/>
    <cellStyle name="Normal 2 2 2 3 15 3 7" xfId="17706" xr:uid="{00000000-0005-0000-0000-00002A450000}"/>
    <cellStyle name="Normal 2 2 2 3 15 3 8" xfId="17707" xr:uid="{00000000-0005-0000-0000-00002B450000}"/>
    <cellStyle name="Normal 2 2 2 3 15 3 9" xfId="17708" xr:uid="{00000000-0005-0000-0000-00002C450000}"/>
    <cellStyle name="Normal 2 2 2 3 15 4" xfId="17709" xr:uid="{00000000-0005-0000-0000-00002D450000}"/>
    <cellStyle name="Normal 2 2 2 3 15 4 10" xfId="17710" xr:uid="{00000000-0005-0000-0000-00002E450000}"/>
    <cellStyle name="Normal 2 2 2 3 15 4 2" xfId="17711" xr:uid="{00000000-0005-0000-0000-00002F450000}"/>
    <cellStyle name="Normal 2 2 2 3 15 4 3" xfId="17712" xr:uid="{00000000-0005-0000-0000-000030450000}"/>
    <cellStyle name="Normal 2 2 2 3 15 4 4" xfId="17713" xr:uid="{00000000-0005-0000-0000-000031450000}"/>
    <cellStyle name="Normal 2 2 2 3 15 4 5" xfId="17714" xr:uid="{00000000-0005-0000-0000-000032450000}"/>
    <cellStyle name="Normal 2 2 2 3 15 4 6" xfId="17715" xr:uid="{00000000-0005-0000-0000-000033450000}"/>
    <cellStyle name="Normal 2 2 2 3 15 4 7" xfId="17716" xr:uid="{00000000-0005-0000-0000-000034450000}"/>
    <cellStyle name="Normal 2 2 2 3 15 4 8" xfId="17717" xr:uid="{00000000-0005-0000-0000-000035450000}"/>
    <cellStyle name="Normal 2 2 2 3 15 4 9" xfId="17718" xr:uid="{00000000-0005-0000-0000-000036450000}"/>
    <cellStyle name="Normal 2 2 2 3 15 5" xfId="17719" xr:uid="{00000000-0005-0000-0000-000037450000}"/>
    <cellStyle name="Normal 2 2 2 3 15 5 10" xfId="17720" xr:uid="{00000000-0005-0000-0000-000038450000}"/>
    <cellStyle name="Normal 2 2 2 3 15 5 2" xfId="17721" xr:uid="{00000000-0005-0000-0000-000039450000}"/>
    <cellStyle name="Normal 2 2 2 3 15 5 3" xfId="17722" xr:uid="{00000000-0005-0000-0000-00003A450000}"/>
    <cellStyle name="Normal 2 2 2 3 15 5 4" xfId="17723" xr:uid="{00000000-0005-0000-0000-00003B450000}"/>
    <cellStyle name="Normal 2 2 2 3 15 5 5" xfId="17724" xr:uid="{00000000-0005-0000-0000-00003C450000}"/>
    <cellStyle name="Normal 2 2 2 3 15 5 6" xfId="17725" xr:uid="{00000000-0005-0000-0000-00003D450000}"/>
    <cellStyle name="Normal 2 2 2 3 15 5 7" xfId="17726" xr:uid="{00000000-0005-0000-0000-00003E450000}"/>
    <cellStyle name="Normal 2 2 2 3 15 5 8" xfId="17727" xr:uid="{00000000-0005-0000-0000-00003F450000}"/>
    <cellStyle name="Normal 2 2 2 3 15 5 9" xfId="17728" xr:uid="{00000000-0005-0000-0000-000040450000}"/>
    <cellStyle name="Normal 2 2 2 3 15 6" xfId="17729" xr:uid="{00000000-0005-0000-0000-000041450000}"/>
    <cellStyle name="Normal 2 2 2 3 15 7" xfId="17730" xr:uid="{00000000-0005-0000-0000-000042450000}"/>
    <cellStyle name="Normal 2 2 2 3 15 8" xfId="17731" xr:uid="{00000000-0005-0000-0000-000043450000}"/>
    <cellStyle name="Normal 2 2 2 3 15 9" xfId="17732" xr:uid="{00000000-0005-0000-0000-000044450000}"/>
    <cellStyle name="Normal 2 2 2 3 16" xfId="17733" xr:uid="{00000000-0005-0000-0000-000045450000}"/>
    <cellStyle name="Normal 2 2 2 3 16 10" xfId="17734" xr:uid="{00000000-0005-0000-0000-000046450000}"/>
    <cellStyle name="Normal 2 2 2 3 16 11" xfId="17735" xr:uid="{00000000-0005-0000-0000-000047450000}"/>
    <cellStyle name="Normal 2 2 2 3 16 12" xfId="17736" xr:uid="{00000000-0005-0000-0000-000048450000}"/>
    <cellStyle name="Normal 2 2 2 3 16 13" xfId="17737" xr:uid="{00000000-0005-0000-0000-000049450000}"/>
    <cellStyle name="Normal 2 2 2 3 16 14" xfId="17738" xr:uid="{00000000-0005-0000-0000-00004A450000}"/>
    <cellStyle name="Normal 2 2 2 3 16 2" xfId="17739" xr:uid="{00000000-0005-0000-0000-00004B450000}"/>
    <cellStyle name="Normal 2 2 2 3 16 2 10" xfId="17740" xr:uid="{00000000-0005-0000-0000-00004C450000}"/>
    <cellStyle name="Normal 2 2 2 3 16 2 2" xfId="17741" xr:uid="{00000000-0005-0000-0000-00004D450000}"/>
    <cellStyle name="Normal 2 2 2 3 16 2 3" xfId="17742" xr:uid="{00000000-0005-0000-0000-00004E450000}"/>
    <cellStyle name="Normal 2 2 2 3 16 2 4" xfId="17743" xr:uid="{00000000-0005-0000-0000-00004F450000}"/>
    <cellStyle name="Normal 2 2 2 3 16 2 5" xfId="17744" xr:uid="{00000000-0005-0000-0000-000050450000}"/>
    <cellStyle name="Normal 2 2 2 3 16 2 6" xfId="17745" xr:uid="{00000000-0005-0000-0000-000051450000}"/>
    <cellStyle name="Normal 2 2 2 3 16 2 7" xfId="17746" xr:uid="{00000000-0005-0000-0000-000052450000}"/>
    <cellStyle name="Normal 2 2 2 3 16 2 8" xfId="17747" xr:uid="{00000000-0005-0000-0000-000053450000}"/>
    <cellStyle name="Normal 2 2 2 3 16 2 9" xfId="17748" xr:uid="{00000000-0005-0000-0000-000054450000}"/>
    <cellStyle name="Normal 2 2 2 3 16 3" xfId="17749" xr:uid="{00000000-0005-0000-0000-000055450000}"/>
    <cellStyle name="Normal 2 2 2 3 16 3 10" xfId="17750" xr:uid="{00000000-0005-0000-0000-000056450000}"/>
    <cellStyle name="Normal 2 2 2 3 16 3 2" xfId="17751" xr:uid="{00000000-0005-0000-0000-000057450000}"/>
    <cellStyle name="Normal 2 2 2 3 16 3 3" xfId="17752" xr:uid="{00000000-0005-0000-0000-000058450000}"/>
    <cellStyle name="Normal 2 2 2 3 16 3 4" xfId="17753" xr:uid="{00000000-0005-0000-0000-000059450000}"/>
    <cellStyle name="Normal 2 2 2 3 16 3 5" xfId="17754" xr:uid="{00000000-0005-0000-0000-00005A450000}"/>
    <cellStyle name="Normal 2 2 2 3 16 3 6" xfId="17755" xr:uid="{00000000-0005-0000-0000-00005B450000}"/>
    <cellStyle name="Normal 2 2 2 3 16 3 7" xfId="17756" xr:uid="{00000000-0005-0000-0000-00005C450000}"/>
    <cellStyle name="Normal 2 2 2 3 16 3 8" xfId="17757" xr:uid="{00000000-0005-0000-0000-00005D450000}"/>
    <cellStyle name="Normal 2 2 2 3 16 3 9" xfId="17758" xr:uid="{00000000-0005-0000-0000-00005E450000}"/>
    <cellStyle name="Normal 2 2 2 3 16 4" xfId="17759" xr:uid="{00000000-0005-0000-0000-00005F450000}"/>
    <cellStyle name="Normal 2 2 2 3 16 4 10" xfId="17760" xr:uid="{00000000-0005-0000-0000-000060450000}"/>
    <cellStyle name="Normal 2 2 2 3 16 4 2" xfId="17761" xr:uid="{00000000-0005-0000-0000-000061450000}"/>
    <cellStyle name="Normal 2 2 2 3 16 4 3" xfId="17762" xr:uid="{00000000-0005-0000-0000-000062450000}"/>
    <cellStyle name="Normal 2 2 2 3 16 4 4" xfId="17763" xr:uid="{00000000-0005-0000-0000-000063450000}"/>
    <cellStyle name="Normal 2 2 2 3 16 4 5" xfId="17764" xr:uid="{00000000-0005-0000-0000-000064450000}"/>
    <cellStyle name="Normal 2 2 2 3 16 4 6" xfId="17765" xr:uid="{00000000-0005-0000-0000-000065450000}"/>
    <cellStyle name="Normal 2 2 2 3 16 4 7" xfId="17766" xr:uid="{00000000-0005-0000-0000-000066450000}"/>
    <cellStyle name="Normal 2 2 2 3 16 4 8" xfId="17767" xr:uid="{00000000-0005-0000-0000-000067450000}"/>
    <cellStyle name="Normal 2 2 2 3 16 4 9" xfId="17768" xr:uid="{00000000-0005-0000-0000-000068450000}"/>
    <cellStyle name="Normal 2 2 2 3 16 5" xfId="17769" xr:uid="{00000000-0005-0000-0000-000069450000}"/>
    <cellStyle name="Normal 2 2 2 3 16 5 10" xfId="17770" xr:uid="{00000000-0005-0000-0000-00006A450000}"/>
    <cellStyle name="Normal 2 2 2 3 16 5 2" xfId="17771" xr:uid="{00000000-0005-0000-0000-00006B450000}"/>
    <cellStyle name="Normal 2 2 2 3 16 5 3" xfId="17772" xr:uid="{00000000-0005-0000-0000-00006C450000}"/>
    <cellStyle name="Normal 2 2 2 3 16 5 4" xfId="17773" xr:uid="{00000000-0005-0000-0000-00006D450000}"/>
    <cellStyle name="Normal 2 2 2 3 16 5 5" xfId="17774" xr:uid="{00000000-0005-0000-0000-00006E450000}"/>
    <cellStyle name="Normal 2 2 2 3 16 5 6" xfId="17775" xr:uid="{00000000-0005-0000-0000-00006F450000}"/>
    <cellStyle name="Normal 2 2 2 3 16 5 7" xfId="17776" xr:uid="{00000000-0005-0000-0000-000070450000}"/>
    <cellStyle name="Normal 2 2 2 3 16 5 8" xfId="17777" xr:uid="{00000000-0005-0000-0000-000071450000}"/>
    <cellStyle name="Normal 2 2 2 3 16 5 9" xfId="17778" xr:uid="{00000000-0005-0000-0000-000072450000}"/>
    <cellStyle name="Normal 2 2 2 3 16 6" xfId="17779" xr:uid="{00000000-0005-0000-0000-000073450000}"/>
    <cellStyle name="Normal 2 2 2 3 16 7" xfId="17780" xr:uid="{00000000-0005-0000-0000-000074450000}"/>
    <cellStyle name="Normal 2 2 2 3 16 8" xfId="17781" xr:uid="{00000000-0005-0000-0000-000075450000}"/>
    <cellStyle name="Normal 2 2 2 3 16 9" xfId="17782" xr:uid="{00000000-0005-0000-0000-000076450000}"/>
    <cellStyle name="Normal 2 2 2 3 17" xfId="17783" xr:uid="{00000000-0005-0000-0000-000077450000}"/>
    <cellStyle name="Normal 2 2 2 3 17 10" xfId="17784" xr:uid="{00000000-0005-0000-0000-000078450000}"/>
    <cellStyle name="Normal 2 2 2 3 17 11" xfId="17785" xr:uid="{00000000-0005-0000-0000-000079450000}"/>
    <cellStyle name="Normal 2 2 2 3 17 12" xfId="17786" xr:uid="{00000000-0005-0000-0000-00007A450000}"/>
    <cellStyle name="Normal 2 2 2 3 17 13" xfId="17787" xr:uid="{00000000-0005-0000-0000-00007B450000}"/>
    <cellStyle name="Normal 2 2 2 3 17 14" xfId="17788" xr:uid="{00000000-0005-0000-0000-00007C450000}"/>
    <cellStyle name="Normal 2 2 2 3 17 2" xfId="17789" xr:uid="{00000000-0005-0000-0000-00007D450000}"/>
    <cellStyle name="Normal 2 2 2 3 17 2 10" xfId="17790" xr:uid="{00000000-0005-0000-0000-00007E450000}"/>
    <cellStyle name="Normal 2 2 2 3 17 2 2" xfId="17791" xr:uid="{00000000-0005-0000-0000-00007F450000}"/>
    <cellStyle name="Normal 2 2 2 3 17 2 3" xfId="17792" xr:uid="{00000000-0005-0000-0000-000080450000}"/>
    <cellStyle name="Normal 2 2 2 3 17 2 4" xfId="17793" xr:uid="{00000000-0005-0000-0000-000081450000}"/>
    <cellStyle name="Normal 2 2 2 3 17 2 5" xfId="17794" xr:uid="{00000000-0005-0000-0000-000082450000}"/>
    <cellStyle name="Normal 2 2 2 3 17 2 6" xfId="17795" xr:uid="{00000000-0005-0000-0000-000083450000}"/>
    <cellStyle name="Normal 2 2 2 3 17 2 7" xfId="17796" xr:uid="{00000000-0005-0000-0000-000084450000}"/>
    <cellStyle name="Normal 2 2 2 3 17 2 8" xfId="17797" xr:uid="{00000000-0005-0000-0000-000085450000}"/>
    <cellStyle name="Normal 2 2 2 3 17 2 9" xfId="17798" xr:uid="{00000000-0005-0000-0000-000086450000}"/>
    <cellStyle name="Normal 2 2 2 3 17 3" xfId="17799" xr:uid="{00000000-0005-0000-0000-000087450000}"/>
    <cellStyle name="Normal 2 2 2 3 17 3 10" xfId="17800" xr:uid="{00000000-0005-0000-0000-000088450000}"/>
    <cellStyle name="Normal 2 2 2 3 17 3 2" xfId="17801" xr:uid="{00000000-0005-0000-0000-000089450000}"/>
    <cellStyle name="Normal 2 2 2 3 17 3 3" xfId="17802" xr:uid="{00000000-0005-0000-0000-00008A450000}"/>
    <cellStyle name="Normal 2 2 2 3 17 3 4" xfId="17803" xr:uid="{00000000-0005-0000-0000-00008B450000}"/>
    <cellStyle name="Normal 2 2 2 3 17 3 5" xfId="17804" xr:uid="{00000000-0005-0000-0000-00008C450000}"/>
    <cellStyle name="Normal 2 2 2 3 17 3 6" xfId="17805" xr:uid="{00000000-0005-0000-0000-00008D450000}"/>
    <cellStyle name="Normal 2 2 2 3 17 3 7" xfId="17806" xr:uid="{00000000-0005-0000-0000-00008E450000}"/>
    <cellStyle name="Normal 2 2 2 3 17 3 8" xfId="17807" xr:uid="{00000000-0005-0000-0000-00008F450000}"/>
    <cellStyle name="Normal 2 2 2 3 17 3 9" xfId="17808" xr:uid="{00000000-0005-0000-0000-000090450000}"/>
    <cellStyle name="Normal 2 2 2 3 17 4" xfId="17809" xr:uid="{00000000-0005-0000-0000-000091450000}"/>
    <cellStyle name="Normal 2 2 2 3 17 4 10" xfId="17810" xr:uid="{00000000-0005-0000-0000-000092450000}"/>
    <cellStyle name="Normal 2 2 2 3 17 4 2" xfId="17811" xr:uid="{00000000-0005-0000-0000-000093450000}"/>
    <cellStyle name="Normal 2 2 2 3 17 4 3" xfId="17812" xr:uid="{00000000-0005-0000-0000-000094450000}"/>
    <cellStyle name="Normal 2 2 2 3 17 4 4" xfId="17813" xr:uid="{00000000-0005-0000-0000-000095450000}"/>
    <cellStyle name="Normal 2 2 2 3 17 4 5" xfId="17814" xr:uid="{00000000-0005-0000-0000-000096450000}"/>
    <cellStyle name="Normal 2 2 2 3 17 4 6" xfId="17815" xr:uid="{00000000-0005-0000-0000-000097450000}"/>
    <cellStyle name="Normal 2 2 2 3 17 4 7" xfId="17816" xr:uid="{00000000-0005-0000-0000-000098450000}"/>
    <cellStyle name="Normal 2 2 2 3 17 4 8" xfId="17817" xr:uid="{00000000-0005-0000-0000-000099450000}"/>
    <cellStyle name="Normal 2 2 2 3 17 4 9" xfId="17818" xr:uid="{00000000-0005-0000-0000-00009A450000}"/>
    <cellStyle name="Normal 2 2 2 3 17 5" xfId="17819" xr:uid="{00000000-0005-0000-0000-00009B450000}"/>
    <cellStyle name="Normal 2 2 2 3 17 5 10" xfId="17820" xr:uid="{00000000-0005-0000-0000-00009C450000}"/>
    <cellStyle name="Normal 2 2 2 3 17 5 2" xfId="17821" xr:uid="{00000000-0005-0000-0000-00009D450000}"/>
    <cellStyle name="Normal 2 2 2 3 17 5 3" xfId="17822" xr:uid="{00000000-0005-0000-0000-00009E450000}"/>
    <cellStyle name="Normal 2 2 2 3 17 5 4" xfId="17823" xr:uid="{00000000-0005-0000-0000-00009F450000}"/>
    <cellStyle name="Normal 2 2 2 3 17 5 5" xfId="17824" xr:uid="{00000000-0005-0000-0000-0000A0450000}"/>
    <cellStyle name="Normal 2 2 2 3 17 5 6" xfId="17825" xr:uid="{00000000-0005-0000-0000-0000A1450000}"/>
    <cellStyle name="Normal 2 2 2 3 17 5 7" xfId="17826" xr:uid="{00000000-0005-0000-0000-0000A2450000}"/>
    <cellStyle name="Normal 2 2 2 3 17 5 8" xfId="17827" xr:uid="{00000000-0005-0000-0000-0000A3450000}"/>
    <cellStyle name="Normal 2 2 2 3 17 5 9" xfId="17828" xr:uid="{00000000-0005-0000-0000-0000A4450000}"/>
    <cellStyle name="Normal 2 2 2 3 17 6" xfId="17829" xr:uid="{00000000-0005-0000-0000-0000A5450000}"/>
    <cellStyle name="Normal 2 2 2 3 17 7" xfId="17830" xr:uid="{00000000-0005-0000-0000-0000A6450000}"/>
    <cellStyle name="Normal 2 2 2 3 17 8" xfId="17831" xr:uid="{00000000-0005-0000-0000-0000A7450000}"/>
    <cellStyle name="Normal 2 2 2 3 17 9" xfId="17832" xr:uid="{00000000-0005-0000-0000-0000A8450000}"/>
    <cellStyle name="Normal 2 2 2 3 18" xfId="17833" xr:uid="{00000000-0005-0000-0000-0000A9450000}"/>
    <cellStyle name="Normal 2 2 2 3 18 10" xfId="17834" xr:uid="{00000000-0005-0000-0000-0000AA450000}"/>
    <cellStyle name="Normal 2 2 2 3 18 11" xfId="17835" xr:uid="{00000000-0005-0000-0000-0000AB450000}"/>
    <cellStyle name="Normal 2 2 2 3 18 12" xfId="17836" xr:uid="{00000000-0005-0000-0000-0000AC450000}"/>
    <cellStyle name="Normal 2 2 2 3 18 13" xfId="17837" xr:uid="{00000000-0005-0000-0000-0000AD450000}"/>
    <cellStyle name="Normal 2 2 2 3 18 14" xfId="17838" xr:uid="{00000000-0005-0000-0000-0000AE450000}"/>
    <cellStyle name="Normal 2 2 2 3 18 2" xfId="17839" xr:uid="{00000000-0005-0000-0000-0000AF450000}"/>
    <cellStyle name="Normal 2 2 2 3 18 2 10" xfId="17840" xr:uid="{00000000-0005-0000-0000-0000B0450000}"/>
    <cellStyle name="Normal 2 2 2 3 18 2 2" xfId="17841" xr:uid="{00000000-0005-0000-0000-0000B1450000}"/>
    <cellStyle name="Normal 2 2 2 3 18 2 3" xfId="17842" xr:uid="{00000000-0005-0000-0000-0000B2450000}"/>
    <cellStyle name="Normal 2 2 2 3 18 2 4" xfId="17843" xr:uid="{00000000-0005-0000-0000-0000B3450000}"/>
    <cellStyle name="Normal 2 2 2 3 18 2 5" xfId="17844" xr:uid="{00000000-0005-0000-0000-0000B4450000}"/>
    <cellStyle name="Normal 2 2 2 3 18 2 6" xfId="17845" xr:uid="{00000000-0005-0000-0000-0000B5450000}"/>
    <cellStyle name="Normal 2 2 2 3 18 2 7" xfId="17846" xr:uid="{00000000-0005-0000-0000-0000B6450000}"/>
    <cellStyle name="Normal 2 2 2 3 18 2 8" xfId="17847" xr:uid="{00000000-0005-0000-0000-0000B7450000}"/>
    <cellStyle name="Normal 2 2 2 3 18 2 9" xfId="17848" xr:uid="{00000000-0005-0000-0000-0000B8450000}"/>
    <cellStyle name="Normal 2 2 2 3 18 3" xfId="17849" xr:uid="{00000000-0005-0000-0000-0000B9450000}"/>
    <cellStyle name="Normal 2 2 2 3 18 3 10" xfId="17850" xr:uid="{00000000-0005-0000-0000-0000BA450000}"/>
    <cellStyle name="Normal 2 2 2 3 18 3 2" xfId="17851" xr:uid="{00000000-0005-0000-0000-0000BB450000}"/>
    <cellStyle name="Normal 2 2 2 3 18 3 3" xfId="17852" xr:uid="{00000000-0005-0000-0000-0000BC450000}"/>
    <cellStyle name="Normal 2 2 2 3 18 3 4" xfId="17853" xr:uid="{00000000-0005-0000-0000-0000BD450000}"/>
    <cellStyle name="Normal 2 2 2 3 18 3 5" xfId="17854" xr:uid="{00000000-0005-0000-0000-0000BE450000}"/>
    <cellStyle name="Normal 2 2 2 3 18 3 6" xfId="17855" xr:uid="{00000000-0005-0000-0000-0000BF450000}"/>
    <cellStyle name="Normal 2 2 2 3 18 3 7" xfId="17856" xr:uid="{00000000-0005-0000-0000-0000C0450000}"/>
    <cellStyle name="Normal 2 2 2 3 18 3 8" xfId="17857" xr:uid="{00000000-0005-0000-0000-0000C1450000}"/>
    <cellStyle name="Normal 2 2 2 3 18 3 9" xfId="17858" xr:uid="{00000000-0005-0000-0000-0000C2450000}"/>
    <cellStyle name="Normal 2 2 2 3 18 4" xfId="17859" xr:uid="{00000000-0005-0000-0000-0000C3450000}"/>
    <cellStyle name="Normal 2 2 2 3 18 4 10" xfId="17860" xr:uid="{00000000-0005-0000-0000-0000C4450000}"/>
    <cellStyle name="Normal 2 2 2 3 18 4 2" xfId="17861" xr:uid="{00000000-0005-0000-0000-0000C5450000}"/>
    <cellStyle name="Normal 2 2 2 3 18 4 3" xfId="17862" xr:uid="{00000000-0005-0000-0000-0000C6450000}"/>
    <cellStyle name="Normal 2 2 2 3 18 4 4" xfId="17863" xr:uid="{00000000-0005-0000-0000-0000C7450000}"/>
    <cellStyle name="Normal 2 2 2 3 18 4 5" xfId="17864" xr:uid="{00000000-0005-0000-0000-0000C8450000}"/>
    <cellStyle name="Normal 2 2 2 3 18 4 6" xfId="17865" xr:uid="{00000000-0005-0000-0000-0000C9450000}"/>
    <cellStyle name="Normal 2 2 2 3 18 4 7" xfId="17866" xr:uid="{00000000-0005-0000-0000-0000CA450000}"/>
    <cellStyle name="Normal 2 2 2 3 18 4 8" xfId="17867" xr:uid="{00000000-0005-0000-0000-0000CB450000}"/>
    <cellStyle name="Normal 2 2 2 3 18 4 9" xfId="17868" xr:uid="{00000000-0005-0000-0000-0000CC450000}"/>
    <cellStyle name="Normal 2 2 2 3 18 5" xfId="17869" xr:uid="{00000000-0005-0000-0000-0000CD450000}"/>
    <cellStyle name="Normal 2 2 2 3 18 5 10" xfId="17870" xr:uid="{00000000-0005-0000-0000-0000CE450000}"/>
    <cellStyle name="Normal 2 2 2 3 18 5 2" xfId="17871" xr:uid="{00000000-0005-0000-0000-0000CF450000}"/>
    <cellStyle name="Normal 2 2 2 3 18 5 3" xfId="17872" xr:uid="{00000000-0005-0000-0000-0000D0450000}"/>
    <cellStyle name="Normal 2 2 2 3 18 5 4" xfId="17873" xr:uid="{00000000-0005-0000-0000-0000D1450000}"/>
    <cellStyle name="Normal 2 2 2 3 18 5 5" xfId="17874" xr:uid="{00000000-0005-0000-0000-0000D2450000}"/>
    <cellStyle name="Normal 2 2 2 3 18 5 6" xfId="17875" xr:uid="{00000000-0005-0000-0000-0000D3450000}"/>
    <cellStyle name="Normal 2 2 2 3 18 5 7" xfId="17876" xr:uid="{00000000-0005-0000-0000-0000D4450000}"/>
    <cellStyle name="Normal 2 2 2 3 18 5 8" xfId="17877" xr:uid="{00000000-0005-0000-0000-0000D5450000}"/>
    <cellStyle name="Normal 2 2 2 3 18 5 9" xfId="17878" xr:uid="{00000000-0005-0000-0000-0000D6450000}"/>
    <cellStyle name="Normal 2 2 2 3 18 6" xfId="17879" xr:uid="{00000000-0005-0000-0000-0000D7450000}"/>
    <cellStyle name="Normal 2 2 2 3 18 7" xfId="17880" xr:uid="{00000000-0005-0000-0000-0000D8450000}"/>
    <cellStyle name="Normal 2 2 2 3 18 8" xfId="17881" xr:uid="{00000000-0005-0000-0000-0000D9450000}"/>
    <cellStyle name="Normal 2 2 2 3 18 9" xfId="17882" xr:uid="{00000000-0005-0000-0000-0000DA450000}"/>
    <cellStyle name="Normal 2 2 2 3 19" xfId="17883" xr:uid="{00000000-0005-0000-0000-0000DB450000}"/>
    <cellStyle name="Normal 2 2 2 3 19 10" xfId="17884" xr:uid="{00000000-0005-0000-0000-0000DC450000}"/>
    <cellStyle name="Normal 2 2 2 3 19 11" xfId="17885" xr:uid="{00000000-0005-0000-0000-0000DD450000}"/>
    <cellStyle name="Normal 2 2 2 3 19 12" xfId="17886" xr:uid="{00000000-0005-0000-0000-0000DE450000}"/>
    <cellStyle name="Normal 2 2 2 3 19 13" xfId="17887" xr:uid="{00000000-0005-0000-0000-0000DF450000}"/>
    <cellStyle name="Normal 2 2 2 3 19 14" xfId="17888" xr:uid="{00000000-0005-0000-0000-0000E0450000}"/>
    <cellStyle name="Normal 2 2 2 3 19 2" xfId="17889" xr:uid="{00000000-0005-0000-0000-0000E1450000}"/>
    <cellStyle name="Normal 2 2 2 3 19 2 10" xfId="17890" xr:uid="{00000000-0005-0000-0000-0000E2450000}"/>
    <cellStyle name="Normal 2 2 2 3 19 2 2" xfId="17891" xr:uid="{00000000-0005-0000-0000-0000E3450000}"/>
    <cellStyle name="Normal 2 2 2 3 19 2 3" xfId="17892" xr:uid="{00000000-0005-0000-0000-0000E4450000}"/>
    <cellStyle name="Normal 2 2 2 3 19 2 4" xfId="17893" xr:uid="{00000000-0005-0000-0000-0000E5450000}"/>
    <cellStyle name="Normal 2 2 2 3 19 2 5" xfId="17894" xr:uid="{00000000-0005-0000-0000-0000E6450000}"/>
    <cellStyle name="Normal 2 2 2 3 19 2 6" xfId="17895" xr:uid="{00000000-0005-0000-0000-0000E7450000}"/>
    <cellStyle name="Normal 2 2 2 3 19 2 7" xfId="17896" xr:uid="{00000000-0005-0000-0000-0000E8450000}"/>
    <cellStyle name="Normal 2 2 2 3 19 2 8" xfId="17897" xr:uid="{00000000-0005-0000-0000-0000E9450000}"/>
    <cellStyle name="Normal 2 2 2 3 19 2 9" xfId="17898" xr:uid="{00000000-0005-0000-0000-0000EA450000}"/>
    <cellStyle name="Normal 2 2 2 3 19 3" xfId="17899" xr:uid="{00000000-0005-0000-0000-0000EB450000}"/>
    <cellStyle name="Normal 2 2 2 3 19 3 10" xfId="17900" xr:uid="{00000000-0005-0000-0000-0000EC450000}"/>
    <cellStyle name="Normal 2 2 2 3 19 3 2" xfId="17901" xr:uid="{00000000-0005-0000-0000-0000ED450000}"/>
    <cellStyle name="Normal 2 2 2 3 19 3 3" xfId="17902" xr:uid="{00000000-0005-0000-0000-0000EE450000}"/>
    <cellStyle name="Normal 2 2 2 3 19 3 4" xfId="17903" xr:uid="{00000000-0005-0000-0000-0000EF450000}"/>
    <cellStyle name="Normal 2 2 2 3 19 3 5" xfId="17904" xr:uid="{00000000-0005-0000-0000-0000F0450000}"/>
    <cellStyle name="Normal 2 2 2 3 19 3 6" xfId="17905" xr:uid="{00000000-0005-0000-0000-0000F1450000}"/>
    <cellStyle name="Normal 2 2 2 3 19 3 7" xfId="17906" xr:uid="{00000000-0005-0000-0000-0000F2450000}"/>
    <cellStyle name="Normal 2 2 2 3 19 3 8" xfId="17907" xr:uid="{00000000-0005-0000-0000-0000F3450000}"/>
    <cellStyle name="Normal 2 2 2 3 19 3 9" xfId="17908" xr:uid="{00000000-0005-0000-0000-0000F4450000}"/>
    <cellStyle name="Normal 2 2 2 3 19 4" xfId="17909" xr:uid="{00000000-0005-0000-0000-0000F5450000}"/>
    <cellStyle name="Normal 2 2 2 3 19 4 10" xfId="17910" xr:uid="{00000000-0005-0000-0000-0000F6450000}"/>
    <cellStyle name="Normal 2 2 2 3 19 4 2" xfId="17911" xr:uid="{00000000-0005-0000-0000-0000F7450000}"/>
    <cellStyle name="Normal 2 2 2 3 19 4 3" xfId="17912" xr:uid="{00000000-0005-0000-0000-0000F8450000}"/>
    <cellStyle name="Normal 2 2 2 3 19 4 4" xfId="17913" xr:uid="{00000000-0005-0000-0000-0000F9450000}"/>
    <cellStyle name="Normal 2 2 2 3 19 4 5" xfId="17914" xr:uid="{00000000-0005-0000-0000-0000FA450000}"/>
    <cellStyle name="Normal 2 2 2 3 19 4 6" xfId="17915" xr:uid="{00000000-0005-0000-0000-0000FB450000}"/>
    <cellStyle name="Normal 2 2 2 3 19 4 7" xfId="17916" xr:uid="{00000000-0005-0000-0000-0000FC450000}"/>
    <cellStyle name="Normal 2 2 2 3 19 4 8" xfId="17917" xr:uid="{00000000-0005-0000-0000-0000FD450000}"/>
    <cellStyle name="Normal 2 2 2 3 19 4 9" xfId="17918" xr:uid="{00000000-0005-0000-0000-0000FE450000}"/>
    <cellStyle name="Normal 2 2 2 3 19 5" xfId="17919" xr:uid="{00000000-0005-0000-0000-0000FF450000}"/>
    <cellStyle name="Normal 2 2 2 3 19 5 10" xfId="17920" xr:uid="{00000000-0005-0000-0000-000000460000}"/>
    <cellStyle name="Normal 2 2 2 3 19 5 2" xfId="17921" xr:uid="{00000000-0005-0000-0000-000001460000}"/>
    <cellStyle name="Normal 2 2 2 3 19 5 3" xfId="17922" xr:uid="{00000000-0005-0000-0000-000002460000}"/>
    <cellStyle name="Normal 2 2 2 3 19 5 4" xfId="17923" xr:uid="{00000000-0005-0000-0000-000003460000}"/>
    <cellStyle name="Normal 2 2 2 3 19 5 5" xfId="17924" xr:uid="{00000000-0005-0000-0000-000004460000}"/>
    <cellStyle name="Normal 2 2 2 3 19 5 6" xfId="17925" xr:uid="{00000000-0005-0000-0000-000005460000}"/>
    <cellStyle name="Normal 2 2 2 3 19 5 7" xfId="17926" xr:uid="{00000000-0005-0000-0000-000006460000}"/>
    <cellStyle name="Normal 2 2 2 3 19 5 8" xfId="17927" xr:uid="{00000000-0005-0000-0000-000007460000}"/>
    <cellStyle name="Normal 2 2 2 3 19 5 9" xfId="17928" xr:uid="{00000000-0005-0000-0000-000008460000}"/>
    <cellStyle name="Normal 2 2 2 3 19 6" xfId="17929" xr:uid="{00000000-0005-0000-0000-000009460000}"/>
    <cellStyle name="Normal 2 2 2 3 19 7" xfId="17930" xr:uid="{00000000-0005-0000-0000-00000A460000}"/>
    <cellStyle name="Normal 2 2 2 3 19 8" xfId="17931" xr:uid="{00000000-0005-0000-0000-00000B460000}"/>
    <cellStyle name="Normal 2 2 2 3 19 9" xfId="17932" xr:uid="{00000000-0005-0000-0000-00000C460000}"/>
    <cellStyle name="Normal 2 2 2 3 2" xfId="17933" xr:uid="{00000000-0005-0000-0000-00000D460000}"/>
    <cellStyle name="Normal 2 2 2 3 2 10" xfId="17934" xr:uid="{00000000-0005-0000-0000-00000E460000}"/>
    <cellStyle name="Normal 2 2 2 3 2 11" xfId="17935" xr:uid="{00000000-0005-0000-0000-00000F460000}"/>
    <cellStyle name="Normal 2 2 2 3 2 12" xfId="17936" xr:uid="{00000000-0005-0000-0000-000010460000}"/>
    <cellStyle name="Normal 2 2 2 3 2 13" xfId="17937" xr:uid="{00000000-0005-0000-0000-000011460000}"/>
    <cellStyle name="Normal 2 2 2 3 2 14" xfId="17938" xr:uid="{00000000-0005-0000-0000-000012460000}"/>
    <cellStyle name="Normal 2 2 2 3 2 15" xfId="17939" xr:uid="{00000000-0005-0000-0000-000013460000}"/>
    <cellStyle name="Normal 2 2 2 3 2 16" xfId="17940" xr:uid="{00000000-0005-0000-0000-000014460000}"/>
    <cellStyle name="Normal 2 2 2 3 2 17" xfId="17941" xr:uid="{00000000-0005-0000-0000-000015460000}"/>
    <cellStyle name="Normal 2 2 2 3 2 2" xfId="17942" xr:uid="{00000000-0005-0000-0000-000016460000}"/>
    <cellStyle name="Normal 2 2 2 3 2 2 10" xfId="17943" xr:uid="{00000000-0005-0000-0000-000017460000}"/>
    <cellStyle name="Normal 2 2 2 3 2 2 11" xfId="17944" xr:uid="{00000000-0005-0000-0000-000018460000}"/>
    <cellStyle name="Normal 2 2 2 3 2 2 12" xfId="17945" xr:uid="{00000000-0005-0000-0000-000019460000}"/>
    <cellStyle name="Normal 2 2 2 3 2 2 2" xfId="17946" xr:uid="{00000000-0005-0000-0000-00001A460000}"/>
    <cellStyle name="Normal 2 2 2 3 2 2 2 2" xfId="17947" xr:uid="{00000000-0005-0000-0000-00001B460000}"/>
    <cellStyle name="Normal 2 2 2 3 2 2 2 3" xfId="17948" xr:uid="{00000000-0005-0000-0000-00001C460000}"/>
    <cellStyle name="Normal 2 2 2 3 2 2 3" xfId="17949" xr:uid="{00000000-0005-0000-0000-00001D460000}"/>
    <cellStyle name="Normal 2 2 2 3 2 2 4" xfId="17950" xr:uid="{00000000-0005-0000-0000-00001E460000}"/>
    <cellStyle name="Normal 2 2 2 3 2 2 5" xfId="17951" xr:uid="{00000000-0005-0000-0000-00001F460000}"/>
    <cellStyle name="Normal 2 2 2 3 2 2 6" xfId="17952" xr:uid="{00000000-0005-0000-0000-000020460000}"/>
    <cellStyle name="Normal 2 2 2 3 2 2 7" xfId="17953" xr:uid="{00000000-0005-0000-0000-000021460000}"/>
    <cellStyle name="Normal 2 2 2 3 2 2 8" xfId="17954" xr:uid="{00000000-0005-0000-0000-000022460000}"/>
    <cellStyle name="Normal 2 2 2 3 2 2 9" xfId="17955" xr:uid="{00000000-0005-0000-0000-000023460000}"/>
    <cellStyle name="Normal 2 2 2 3 2 3" xfId="17956" xr:uid="{00000000-0005-0000-0000-000024460000}"/>
    <cellStyle name="Normal 2 2 2 3 2 3 10" xfId="17957" xr:uid="{00000000-0005-0000-0000-000025460000}"/>
    <cellStyle name="Normal 2 2 2 3 2 3 11" xfId="17958" xr:uid="{00000000-0005-0000-0000-000026460000}"/>
    <cellStyle name="Normal 2 2 2 3 2 3 12" xfId="17959" xr:uid="{00000000-0005-0000-0000-000027460000}"/>
    <cellStyle name="Normal 2 2 2 3 2 3 2" xfId="17960" xr:uid="{00000000-0005-0000-0000-000028460000}"/>
    <cellStyle name="Normal 2 2 2 3 2 3 3" xfId="17961" xr:uid="{00000000-0005-0000-0000-000029460000}"/>
    <cellStyle name="Normal 2 2 2 3 2 3 4" xfId="17962" xr:uid="{00000000-0005-0000-0000-00002A460000}"/>
    <cellStyle name="Normal 2 2 2 3 2 3 5" xfId="17963" xr:uid="{00000000-0005-0000-0000-00002B460000}"/>
    <cellStyle name="Normal 2 2 2 3 2 3 6" xfId="17964" xr:uid="{00000000-0005-0000-0000-00002C460000}"/>
    <cellStyle name="Normal 2 2 2 3 2 3 7" xfId="17965" xr:uid="{00000000-0005-0000-0000-00002D460000}"/>
    <cellStyle name="Normal 2 2 2 3 2 3 8" xfId="17966" xr:uid="{00000000-0005-0000-0000-00002E460000}"/>
    <cellStyle name="Normal 2 2 2 3 2 3 9" xfId="17967" xr:uid="{00000000-0005-0000-0000-00002F460000}"/>
    <cellStyle name="Normal 2 2 2 3 2 4" xfId="17968" xr:uid="{00000000-0005-0000-0000-000030460000}"/>
    <cellStyle name="Normal 2 2 2 3 2 4 10" xfId="17969" xr:uid="{00000000-0005-0000-0000-000031460000}"/>
    <cellStyle name="Normal 2 2 2 3 2 4 2" xfId="17970" xr:uid="{00000000-0005-0000-0000-000032460000}"/>
    <cellStyle name="Normal 2 2 2 3 2 4 3" xfId="17971" xr:uid="{00000000-0005-0000-0000-000033460000}"/>
    <cellStyle name="Normal 2 2 2 3 2 4 4" xfId="17972" xr:uid="{00000000-0005-0000-0000-000034460000}"/>
    <cellStyle name="Normal 2 2 2 3 2 4 5" xfId="17973" xr:uid="{00000000-0005-0000-0000-000035460000}"/>
    <cellStyle name="Normal 2 2 2 3 2 4 6" xfId="17974" xr:uid="{00000000-0005-0000-0000-000036460000}"/>
    <cellStyle name="Normal 2 2 2 3 2 4 7" xfId="17975" xr:uid="{00000000-0005-0000-0000-000037460000}"/>
    <cellStyle name="Normal 2 2 2 3 2 4 8" xfId="17976" xr:uid="{00000000-0005-0000-0000-000038460000}"/>
    <cellStyle name="Normal 2 2 2 3 2 4 9" xfId="17977" xr:uid="{00000000-0005-0000-0000-000039460000}"/>
    <cellStyle name="Normal 2 2 2 3 2 5" xfId="17978" xr:uid="{00000000-0005-0000-0000-00003A460000}"/>
    <cellStyle name="Normal 2 2 2 3 2 5 10" xfId="17979" xr:uid="{00000000-0005-0000-0000-00003B460000}"/>
    <cellStyle name="Normal 2 2 2 3 2 5 2" xfId="17980" xr:uid="{00000000-0005-0000-0000-00003C460000}"/>
    <cellStyle name="Normal 2 2 2 3 2 5 3" xfId="17981" xr:uid="{00000000-0005-0000-0000-00003D460000}"/>
    <cellStyle name="Normal 2 2 2 3 2 5 4" xfId="17982" xr:uid="{00000000-0005-0000-0000-00003E460000}"/>
    <cellStyle name="Normal 2 2 2 3 2 5 5" xfId="17983" xr:uid="{00000000-0005-0000-0000-00003F460000}"/>
    <cellStyle name="Normal 2 2 2 3 2 5 6" xfId="17984" xr:uid="{00000000-0005-0000-0000-000040460000}"/>
    <cellStyle name="Normal 2 2 2 3 2 5 7" xfId="17985" xr:uid="{00000000-0005-0000-0000-000041460000}"/>
    <cellStyle name="Normal 2 2 2 3 2 5 8" xfId="17986" xr:uid="{00000000-0005-0000-0000-000042460000}"/>
    <cellStyle name="Normal 2 2 2 3 2 5 9" xfId="17987" xr:uid="{00000000-0005-0000-0000-000043460000}"/>
    <cellStyle name="Normal 2 2 2 3 2 6" xfId="17988" xr:uid="{00000000-0005-0000-0000-000044460000}"/>
    <cellStyle name="Normal 2 2 2 3 2 7" xfId="17989" xr:uid="{00000000-0005-0000-0000-000045460000}"/>
    <cellStyle name="Normal 2 2 2 3 2 8" xfId="17990" xr:uid="{00000000-0005-0000-0000-000046460000}"/>
    <cellStyle name="Normal 2 2 2 3 2 9" xfId="17991" xr:uid="{00000000-0005-0000-0000-000047460000}"/>
    <cellStyle name="Normal 2 2 2 3 20" xfId="17992" xr:uid="{00000000-0005-0000-0000-000048460000}"/>
    <cellStyle name="Normal 2 2 2 3 20 10" xfId="17993" xr:uid="{00000000-0005-0000-0000-000049460000}"/>
    <cellStyle name="Normal 2 2 2 3 20 11" xfId="17994" xr:uid="{00000000-0005-0000-0000-00004A460000}"/>
    <cellStyle name="Normal 2 2 2 3 20 12" xfId="17995" xr:uid="{00000000-0005-0000-0000-00004B460000}"/>
    <cellStyle name="Normal 2 2 2 3 20 13" xfId="17996" xr:uid="{00000000-0005-0000-0000-00004C460000}"/>
    <cellStyle name="Normal 2 2 2 3 20 14" xfId="17997" xr:uid="{00000000-0005-0000-0000-00004D460000}"/>
    <cellStyle name="Normal 2 2 2 3 20 2" xfId="17998" xr:uid="{00000000-0005-0000-0000-00004E460000}"/>
    <cellStyle name="Normal 2 2 2 3 20 2 10" xfId="17999" xr:uid="{00000000-0005-0000-0000-00004F460000}"/>
    <cellStyle name="Normal 2 2 2 3 20 2 2" xfId="18000" xr:uid="{00000000-0005-0000-0000-000050460000}"/>
    <cellStyle name="Normal 2 2 2 3 20 2 3" xfId="18001" xr:uid="{00000000-0005-0000-0000-000051460000}"/>
    <cellStyle name="Normal 2 2 2 3 20 2 4" xfId="18002" xr:uid="{00000000-0005-0000-0000-000052460000}"/>
    <cellStyle name="Normal 2 2 2 3 20 2 5" xfId="18003" xr:uid="{00000000-0005-0000-0000-000053460000}"/>
    <cellStyle name="Normal 2 2 2 3 20 2 6" xfId="18004" xr:uid="{00000000-0005-0000-0000-000054460000}"/>
    <cellStyle name="Normal 2 2 2 3 20 2 7" xfId="18005" xr:uid="{00000000-0005-0000-0000-000055460000}"/>
    <cellStyle name="Normal 2 2 2 3 20 2 8" xfId="18006" xr:uid="{00000000-0005-0000-0000-000056460000}"/>
    <cellStyle name="Normal 2 2 2 3 20 2 9" xfId="18007" xr:uid="{00000000-0005-0000-0000-000057460000}"/>
    <cellStyle name="Normal 2 2 2 3 20 3" xfId="18008" xr:uid="{00000000-0005-0000-0000-000058460000}"/>
    <cellStyle name="Normal 2 2 2 3 20 3 10" xfId="18009" xr:uid="{00000000-0005-0000-0000-000059460000}"/>
    <cellStyle name="Normal 2 2 2 3 20 3 2" xfId="18010" xr:uid="{00000000-0005-0000-0000-00005A460000}"/>
    <cellStyle name="Normal 2 2 2 3 20 3 3" xfId="18011" xr:uid="{00000000-0005-0000-0000-00005B460000}"/>
    <cellStyle name="Normal 2 2 2 3 20 3 4" xfId="18012" xr:uid="{00000000-0005-0000-0000-00005C460000}"/>
    <cellStyle name="Normal 2 2 2 3 20 3 5" xfId="18013" xr:uid="{00000000-0005-0000-0000-00005D460000}"/>
    <cellStyle name="Normal 2 2 2 3 20 3 6" xfId="18014" xr:uid="{00000000-0005-0000-0000-00005E460000}"/>
    <cellStyle name="Normal 2 2 2 3 20 3 7" xfId="18015" xr:uid="{00000000-0005-0000-0000-00005F460000}"/>
    <cellStyle name="Normal 2 2 2 3 20 3 8" xfId="18016" xr:uid="{00000000-0005-0000-0000-000060460000}"/>
    <cellStyle name="Normal 2 2 2 3 20 3 9" xfId="18017" xr:uid="{00000000-0005-0000-0000-000061460000}"/>
    <cellStyle name="Normal 2 2 2 3 20 4" xfId="18018" xr:uid="{00000000-0005-0000-0000-000062460000}"/>
    <cellStyle name="Normal 2 2 2 3 20 4 10" xfId="18019" xr:uid="{00000000-0005-0000-0000-000063460000}"/>
    <cellStyle name="Normal 2 2 2 3 20 4 2" xfId="18020" xr:uid="{00000000-0005-0000-0000-000064460000}"/>
    <cellStyle name="Normal 2 2 2 3 20 4 3" xfId="18021" xr:uid="{00000000-0005-0000-0000-000065460000}"/>
    <cellStyle name="Normal 2 2 2 3 20 4 4" xfId="18022" xr:uid="{00000000-0005-0000-0000-000066460000}"/>
    <cellStyle name="Normal 2 2 2 3 20 4 5" xfId="18023" xr:uid="{00000000-0005-0000-0000-000067460000}"/>
    <cellStyle name="Normal 2 2 2 3 20 4 6" xfId="18024" xr:uid="{00000000-0005-0000-0000-000068460000}"/>
    <cellStyle name="Normal 2 2 2 3 20 4 7" xfId="18025" xr:uid="{00000000-0005-0000-0000-000069460000}"/>
    <cellStyle name="Normal 2 2 2 3 20 4 8" xfId="18026" xr:uid="{00000000-0005-0000-0000-00006A460000}"/>
    <cellStyle name="Normal 2 2 2 3 20 4 9" xfId="18027" xr:uid="{00000000-0005-0000-0000-00006B460000}"/>
    <cellStyle name="Normal 2 2 2 3 20 5" xfId="18028" xr:uid="{00000000-0005-0000-0000-00006C460000}"/>
    <cellStyle name="Normal 2 2 2 3 20 5 10" xfId="18029" xr:uid="{00000000-0005-0000-0000-00006D460000}"/>
    <cellStyle name="Normal 2 2 2 3 20 5 2" xfId="18030" xr:uid="{00000000-0005-0000-0000-00006E460000}"/>
    <cellStyle name="Normal 2 2 2 3 20 5 3" xfId="18031" xr:uid="{00000000-0005-0000-0000-00006F460000}"/>
    <cellStyle name="Normal 2 2 2 3 20 5 4" xfId="18032" xr:uid="{00000000-0005-0000-0000-000070460000}"/>
    <cellStyle name="Normal 2 2 2 3 20 5 5" xfId="18033" xr:uid="{00000000-0005-0000-0000-000071460000}"/>
    <cellStyle name="Normal 2 2 2 3 20 5 6" xfId="18034" xr:uid="{00000000-0005-0000-0000-000072460000}"/>
    <cellStyle name="Normal 2 2 2 3 20 5 7" xfId="18035" xr:uid="{00000000-0005-0000-0000-000073460000}"/>
    <cellStyle name="Normal 2 2 2 3 20 5 8" xfId="18036" xr:uid="{00000000-0005-0000-0000-000074460000}"/>
    <cellStyle name="Normal 2 2 2 3 20 5 9" xfId="18037" xr:uid="{00000000-0005-0000-0000-000075460000}"/>
    <cellStyle name="Normal 2 2 2 3 20 6" xfId="18038" xr:uid="{00000000-0005-0000-0000-000076460000}"/>
    <cellStyle name="Normal 2 2 2 3 20 7" xfId="18039" xr:uid="{00000000-0005-0000-0000-000077460000}"/>
    <cellStyle name="Normal 2 2 2 3 20 8" xfId="18040" xr:uid="{00000000-0005-0000-0000-000078460000}"/>
    <cellStyle name="Normal 2 2 2 3 20 9" xfId="18041" xr:uid="{00000000-0005-0000-0000-000079460000}"/>
    <cellStyle name="Normal 2 2 2 3 21" xfId="18042" xr:uid="{00000000-0005-0000-0000-00007A460000}"/>
    <cellStyle name="Normal 2 2 2 3 21 10" xfId="18043" xr:uid="{00000000-0005-0000-0000-00007B460000}"/>
    <cellStyle name="Normal 2 2 2 3 21 11" xfId="18044" xr:uid="{00000000-0005-0000-0000-00007C460000}"/>
    <cellStyle name="Normal 2 2 2 3 21 12" xfId="18045" xr:uid="{00000000-0005-0000-0000-00007D460000}"/>
    <cellStyle name="Normal 2 2 2 3 21 13" xfId="18046" xr:uid="{00000000-0005-0000-0000-00007E460000}"/>
    <cellStyle name="Normal 2 2 2 3 21 14" xfId="18047" xr:uid="{00000000-0005-0000-0000-00007F460000}"/>
    <cellStyle name="Normal 2 2 2 3 21 2" xfId="18048" xr:uid="{00000000-0005-0000-0000-000080460000}"/>
    <cellStyle name="Normal 2 2 2 3 21 2 10" xfId="18049" xr:uid="{00000000-0005-0000-0000-000081460000}"/>
    <cellStyle name="Normal 2 2 2 3 21 2 2" xfId="18050" xr:uid="{00000000-0005-0000-0000-000082460000}"/>
    <cellStyle name="Normal 2 2 2 3 21 2 3" xfId="18051" xr:uid="{00000000-0005-0000-0000-000083460000}"/>
    <cellStyle name="Normal 2 2 2 3 21 2 4" xfId="18052" xr:uid="{00000000-0005-0000-0000-000084460000}"/>
    <cellStyle name="Normal 2 2 2 3 21 2 5" xfId="18053" xr:uid="{00000000-0005-0000-0000-000085460000}"/>
    <cellStyle name="Normal 2 2 2 3 21 2 6" xfId="18054" xr:uid="{00000000-0005-0000-0000-000086460000}"/>
    <cellStyle name="Normal 2 2 2 3 21 2 7" xfId="18055" xr:uid="{00000000-0005-0000-0000-000087460000}"/>
    <cellStyle name="Normal 2 2 2 3 21 2 8" xfId="18056" xr:uid="{00000000-0005-0000-0000-000088460000}"/>
    <cellStyle name="Normal 2 2 2 3 21 2 9" xfId="18057" xr:uid="{00000000-0005-0000-0000-000089460000}"/>
    <cellStyle name="Normal 2 2 2 3 21 3" xfId="18058" xr:uid="{00000000-0005-0000-0000-00008A460000}"/>
    <cellStyle name="Normal 2 2 2 3 21 3 10" xfId="18059" xr:uid="{00000000-0005-0000-0000-00008B460000}"/>
    <cellStyle name="Normal 2 2 2 3 21 3 2" xfId="18060" xr:uid="{00000000-0005-0000-0000-00008C460000}"/>
    <cellStyle name="Normal 2 2 2 3 21 3 3" xfId="18061" xr:uid="{00000000-0005-0000-0000-00008D460000}"/>
    <cellStyle name="Normal 2 2 2 3 21 3 4" xfId="18062" xr:uid="{00000000-0005-0000-0000-00008E460000}"/>
    <cellStyle name="Normal 2 2 2 3 21 3 5" xfId="18063" xr:uid="{00000000-0005-0000-0000-00008F460000}"/>
    <cellStyle name="Normal 2 2 2 3 21 3 6" xfId="18064" xr:uid="{00000000-0005-0000-0000-000090460000}"/>
    <cellStyle name="Normal 2 2 2 3 21 3 7" xfId="18065" xr:uid="{00000000-0005-0000-0000-000091460000}"/>
    <cellStyle name="Normal 2 2 2 3 21 3 8" xfId="18066" xr:uid="{00000000-0005-0000-0000-000092460000}"/>
    <cellStyle name="Normal 2 2 2 3 21 3 9" xfId="18067" xr:uid="{00000000-0005-0000-0000-000093460000}"/>
    <cellStyle name="Normal 2 2 2 3 21 4" xfId="18068" xr:uid="{00000000-0005-0000-0000-000094460000}"/>
    <cellStyle name="Normal 2 2 2 3 21 4 10" xfId="18069" xr:uid="{00000000-0005-0000-0000-000095460000}"/>
    <cellStyle name="Normal 2 2 2 3 21 4 2" xfId="18070" xr:uid="{00000000-0005-0000-0000-000096460000}"/>
    <cellStyle name="Normal 2 2 2 3 21 4 3" xfId="18071" xr:uid="{00000000-0005-0000-0000-000097460000}"/>
    <cellStyle name="Normal 2 2 2 3 21 4 4" xfId="18072" xr:uid="{00000000-0005-0000-0000-000098460000}"/>
    <cellStyle name="Normal 2 2 2 3 21 4 5" xfId="18073" xr:uid="{00000000-0005-0000-0000-000099460000}"/>
    <cellStyle name="Normal 2 2 2 3 21 4 6" xfId="18074" xr:uid="{00000000-0005-0000-0000-00009A460000}"/>
    <cellStyle name="Normal 2 2 2 3 21 4 7" xfId="18075" xr:uid="{00000000-0005-0000-0000-00009B460000}"/>
    <cellStyle name="Normal 2 2 2 3 21 4 8" xfId="18076" xr:uid="{00000000-0005-0000-0000-00009C460000}"/>
    <cellStyle name="Normal 2 2 2 3 21 4 9" xfId="18077" xr:uid="{00000000-0005-0000-0000-00009D460000}"/>
    <cellStyle name="Normal 2 2 2 3 21 5" xfId="18078" xr:uid="{00000000-0005-0000-0000-00009E460000}"/>
    <cellStyle name="Normal 2 2 2 3 21 5 10" xfId="18079" xr:uid="{00000000-0005-0000-0000-00009F460000}"/>
    <cellStyle name="Normal 2 2 2 3 21 5 2" xfId="18080" xr:uid="{00000000-0005-0000-0000-0000A0460000}"/>
    <cellStyle name="Normal 2 2 2 3 21 5 3" xfId="18081" xr:uid="{00000000-0005-0000-0000-0000A1460000}"/>
    <cellStyle name="Normal 2 2 2 3 21 5 4" xfId="18082" xr:uid="{00000000-0005-0000-0000-0000A2460000}"/>
    <cellStyle name="Normal 2 2 2 3 21 5 5" xfId="18083" xr:uid="{00000000-0005-0000-0000-0000A3460000}"/>
    <cellStyle name="Normal 2 2 2 3 21 5 6" xfId="18084" xr:uid="{00000000-0005-0000-0000-0000A4460000}"/>
    <cellStyle name="Normal 2 2 2 3 21 5 7" xfId="18085" xr:uid="{00000000-0005-0000-0000-0000A5460000}"/>
    <cellStyle name="Normal 2 2 2 3 21 5 8" xfId="18086" xr:uid="{00000000-0005-0000-0000-0000A6460000}"/>
    <cellStyle name="Normal 2 2 2 3 21 5 9" xfId="18087" xr:uid="{00000000-0005-0000-0000-0000A7460000}"/>
    <cellStyle name="Normal 2 2 2 3 21 6" xfId="18088" xr:uid="{00000000-0005-0000-0000-0000A8460000}"/>
    <cellStyle name="Normal 2 2 2 3 21 7" xfId="18089" xr:uid="{00000000-0005-0000-0000-0000A9460000}"/>
    <cellStyle name="Normal 2 2 2 3 21 8" xfId="18090" xr:uid="{00000000-0005-0000-0000-0000AA460000}"/>
    <cellStyle name="Normal 2 2 2 3 21 9" xfId="18091" xr:uid="{00000000-0005-0000-0000-0000AB460000}"/>
    <cellStyle name="Normal 2 2 2 3 22" xfId="18092" xr:uid="{00000000-0005-0000-0000-0000AC460000}"/>
    <cellStyle name="Normal 2 2 2 3 22 10" xfId="18093" xr:uid="{00000000-0005-0000-0000-0000AD460000}"/>
    <cellStyle name="Normal 2 2 2 3 22 11" xfId="18094" xr:uid="{00000000-0005-0000-0000-0000AE460000}"/>
    <cellStyle name="Normal 2 2 2 3 22 12" xfId="18095" xr:uid="{00000000-0005-0000-0000-0000AF460000}"/>
    <cellStyle name="Normal 2 2 2 3 22 13" xfId="18096" xr:uid="{00000000-0005-0000-0000-0000B0460000}"/>
    <cellStyle name="Normal 2 2 2 3 22 14" xfId="18097" xr:uid="{00000000-0005-0000-0000-0000B1460000}"/>
    <cellStyle name="Normal 2 2 2 3 22 2" xfId="18098" xr:uid="{00000000-0005-0000-0000-0000B2460000}"/>
    <cellStyle name="Normal 2 2 2 3 22 2 10" xfId="18099" xr:uid="{00000000-0005-0000-0000-0000B3460000}"/>
    <cellStyle name="Normal 2 2 2 3 22 2 2" xfId="18100" xr:uid="{00000000-0005-0000-0000-0000B4460000}"/>
    <cellStyle name="Normal 2 2 2 3 22 2 3" xfId="18101" xr:uid="{00000000-0005-0000-0000-0000B5460000}"/>
    <cellStyle name="Normal 2 2 2 3 22 2 4" xfId="18102" xr:uid="{00000000-0005-0000-0000-0000B6460000}"/>
    <cellStyle name="Normal 2 2 2 3 22 2 5" xfId="18103" xr:uid="{00000000-0005-0000-0000-0000B7460000}"/>
    <cellStyle name="Normal 2 2 2 3 22 2 6" xfId="18104" xr:uid="{00000000-0005-0000-0000-0000B8460000}"/>
    <cellStyle name="Normal 2 2 2 3 22 2 7" xfId="18105" xr:uid="{00000000-0005-0000-0000-0000B9460000}"/>
    <cellStyle name="Normal 2 2 2 3 22 2 8" xfId="18106" xr:uid="{00000000-0005-0000-0000-0000BA460000}"/>
    <cellStyle name="Normal 2 2 2 3 22 2 9" xfId="18107" xr:uid="{00000000-0005-0000-0000-0000BB460000}"/>
    <cellStyle name="Normal 2 2 2 3 22 3" xfId="18108" xr:uid="{00000000-0005-0000-0000-0000BC460000}"/>
    <cellStyle name="Normal 2 2 2 3 22 3 10" xfId="18109" xr:uid="{00000000-0005-0000-0000-0000BD460000}"/>
    <cellStyle name="Normal 2 2 2 3 22 3 2" xfId="18110" xr:uid="{00000000-0005-0000-0000-0000BE460000}"/>
    <cellStyle name="Normal 2 2 2 3 22 3 3" xfId="18111" xr:uid="{00000000-0005-0000-0000-0000BF460000}"/>
    <cellStyle name="Normal 2 2 2 3 22 3 4" xfId="18112" xr:uid="{00000000-0005-0000-0000-0000C0460000}"/>
    <cellStyle name="Normal 2 2 2 3 22 3 5" xfId="18113" xr:uid="{00000000-0005-0000-0000-0000C1460000}"/>
    <cellStyle name="Normal 2 2 2 3 22 3 6" xfId="18114" xr:uid="{00000000-0005-0000-0000-0000C2460000}"/>
    <cellStyle name="Normal 2 2 2 3 22 3 7" xfId="18115" xr:uid="{00000000-0005-0000-0000-0000C3460000}"/>
    <cellStyle name="Normal 2 2 2 3 22 3 8" xfId="18116" xr:uid="{00000000-0005-0000-0000-0000C4460000}"/>
    <cellStyle name="Normal 2 2 2 3 22 3 9" xfId="18117" xr:uid="{00000000-0005-0000-0000-0000C5460000}"/>
    <cellStyle name="Normal 2 2 2 3 22 4" xfId="18118" xr:uid="{00000000-0005-0000-0000-0000C6460000}"/>
    <cellStyle name="Normal 2 2 2 3 22 4 10" xfId="18119" xr:uid="{00000000-0005-0000-0000-0000C7460000}"/>
    <cellStyle name="Normal 2 2 2 3 22 4 2" xfId="18120" xr:uid="{00000000-0005-0000-0000-0000C8460000}"/>
    <cellStyle name="Normal 2 2 2 3 22 4 3" xfId="18121" xr:uid="{00000000-0005-0000-0000-0000C9460000}"/>
    <cellStyle name="Normal 2 2 2 3 22 4 4" xfId="18122" xr:uid="{00000000-0005-0000-0000-0000CA460000}"/>
    <cellStyle name="Normal 2 2 2 3 22 4 5" xfId="18123" xr:uid="{00000000-0005-0000-0000-0000CB460000}"/>
    <cellStyle name="Normal 2 2 2 3 22 4 6" xfId="18124" xr:uid="{00000000-0005-0000-0000-0000CC460000}"/>
    <cellStyle name="Normal 2 2 2 3 22 4 7" xfId="18125" xr:uid="{00000000-0005-0000-0000-0000CD460000}"/>
    <cellStyle name="Normal 2 2 2 3 22 4 8" xfId="18126" xr:uid="{00000000-0005-0000-0000-0000CE460000}"/>
    <cellStyle name="Normal 2 2 2 3 22 4 9" xfId="18127" xr:uid="{00000000-0005-0000-0000-0000CF460000}"/>
    <cellStyle name="Normal 2 2 2 3 22 5" xfId="18128" xr:uid="{00000000-0005-0000-0000-0000D0460000}"/>
    <cellStyle name="Normal 2 2 2 3 22 5 10" xfId="18129" xr:uid="{00000000-0005-0000-0000-0000D1460000}"/>
    <cellStyle name="Normal 2 2 2 3 22 5 2" xfId="18130" xr:uid="{00000000-0005-0000-0000-0000D2460000}"/>
    <cellStyle name="Normal 2 2 2 3 22 5 3" xfId="18131" xr:uid="{00000000-0005-0000-0000-0000D3460000}"/>
    <cellStyle name="Normal 2 2 2 3 22 5 4" xfId="18132" xr:uid="{00000000-0005-0000-0000-0000D4460000}"/>
    <cellStyle name="Normal 2 2 2 3 22 5 5" xfId="18133" xr:uid="{00000000-0005-0000-0000-0000D5460000}"/>
    <cellStyle name="Normal 2 2 2 3 22 5 6" xfId="18134" xr:uid="{00000000-0005-0000-0000-0000D6460000}"/>
    <cellStyle name="Normal 2 2 2 3 22 5 7" xfId="18135" xr:uid="{00000000-0005-0000-0000-0000D7460000}"/>
    <cellStyle name="Normal 2 2 2 3 22 5 8" xfId="18136" xr:uid="{00000000-0005-0000-0000-0000D8460000}"/>
    <cellStyle name="Normal 2 2 2 3 22 5 9" xfId="18137" xr:uid="{00000000-0005-0000-0000-0000D9460000}"/>
    <cellStyle name="Normal 2 2 2 3 22 6" xfId="18138" xr:uid="{00000000-0005-0000-0000-0000DA460000}"/>
    <cellStyle name="Normal 2 2 2 3 22 7" xfId="18139" xr:uid="{00000000-0005-0000-0000-0000DB460000}"/>
    <cellStyle name="Normal 2 2 2 3 22 8" xfId="18140" xr:uid="{00000000-0005-0000-0000-0000DC460000}"/>
    <cellStyle name="Normal 2 2 2 3 22 9" xfId="18141" xr:uid="{00000000-0005-0000-0000-0000DD460000}"/>
    <cellStyle name="Normal 2 2 2 3 23" xfId="18142" xr:uid="{00000000-0005-0000-0000-0000DE460000}"/>
    <cellStyle name="Normal 2 2 2 3 23 10" xfId="18143" xr:uid="{00000000-0005-0000-0000-0000DF460000}"/>
    <cellStyle name="Normal 2 2 2 3 23 11" xfId="18144" xr:uid="{00000000-0005-0000-0000-0000E0460000}"/>
    <cellStyle name="Normal 2 2 2 3 23 12" xfId="18145" xr:uid="{00000000-0005-0000-0000-0000E1460000}"/>
    <cellStyle name="Normal 2 2 2 3 23 13" xfId="18146" xr:uid="{00000000-0005-0000-0000-0000E2460000}"/>
    <cellStyle name="Normal 2 2 2 3 23 14" xfId="18147" xr:uid="{00000000-0005-0000-0000-0000E3460000}"/>
    <cellStyle name="Normal 2 2 2 3 23 2" xfId="18148" xr:uid="{00000000-0005-0000-0000-0000E4460000}"/>
    <cellStyle name="Normal 2 2 2 3 23 2 10" xfId="18149" xr:uid="{00000000-0005-0000-0000-0000E5460000}"/>
    <cellStyle name="Normal 2 2 2 3 23 2 2" xfId="18150" xr:uid="{00000000-0005-0000-0000-0000E6460000}"/>
    <cellStyle name="Normal 2 2 2 3 23 2 3" xfId="18151" xr:uid="{00000000-0005-0000-0000-0000E7460000}"/>
    <cellStyle name="Normal 2 2 2 3 23 2 4" xfId="18152" xr:uid="{00000000-0005-0000-0000-0000E8460000}"/>
    <cellStyle name="Normal 2 2 2 3 23 2 5" xfId="18153" xr:uid="{00000000-0005-0000-0000-0000E9460000}"/>
    <cellStyle name="Normal 2 2 2 3 23 2 6" xfId="18154" xr:uid="{00000000-0005-0000-0000-0000EA460000}"/>
    <cellStyle name="Normal 2 2 2 3 23 2 7" xfId="18155" xr:uid="{00000000-0005-0000-0000-0000EB460000}"/>
    <cellStyle name="Normal 2 2 2 3 23 2 8" xfId="18156" xr:uid="{00000000-0005-0000-0000-0000EC460000}"/>
    <cellStyle name="Normal 2 2 2 3 23 2 9" xfId="18157" xr:uid="{00000000-0005-0000-0000-0000ED460000}"/>
    <cellStyle name="Normal 2 2 2 3 23 3" xfId="18158" xr:uid="{00000000-0005-0000-0000-0000EE460000}"/>
    <cellStyle name="Normal 2 2 2 3 23 3 10" xfId="18159" xr:uid="{00000000-0005-0000-0000-0000EF460000}"/>
    <cellStyle name="Normal 2 2 2 3 23 3 2" xfId="18160" xr:uid="{00000000-0005-0000-0000-0000F0460000}"/>
    <cellStyle name="Normal 2 2 2 3 23 3 3" xfId="18161" xr:uid="{00000000-0005-0000-0000-0000F1460000}"/>
    <cellStyle name="Normal 2 2 2 3 23 3 4" xfId="18162" xr:uid="{00000000-0005-0000-0000-0000F2460000}"/>
    <cellStyle name="Normal 2 2 2 3 23 3 5" xfId="18163" xr:uid="{00000000-0005-0000-0000-0000F3460000}"/>
    <cellStyle name="Normal 2 2 2 3 23 3 6" xfId="18164" xr:uid="{00000000-0005-0000-0000-0000F4460000}"/>
    <cellStyle name="Normal 2 2 2 3 23 3 7" xfId="18165" xr:uid="{00000000-0005-0000-0000-0000F5460000}"/>
    <cellStyle name="Normal 2 2 2 3 23 3 8" xfId="18166" xr:uid="{00000000-0005-0000-0000-0000F6460000}"/>
    <cellStyle name="Normal 2 2 2 3 23 3 9" xfId="18167" xr:uid="{00000000-0005-0000-0000-0000F7460000}"/>
    <cellStyle name="Normal 2 2 2 3 23 4" xfId="18168" xr:uid="{00000000-0005-0000-0000-0000F8460000}"/>
    <cellStyle name="Normal 2 2 2 3 23 4 10" xfId="18169" xr:uid="{00000000-0005-0000-0000-0000F9460000}"/>
    <cellStyle name="Normal 2 2 2 3 23 4 2" xfId="18170" xr:uid="{00000000-0005-0000-0000-0000FA460000}"/>
    <cellStyle name="Normal 2 2 2 3 23 4 3" xfId="18171" xr:uid="{00000000-0005-0000-0000-0000FB460000}"/>
    <cellStyle name="Normal 2 2 2 3 23 4 4" xfId="18172" xr:uid="{00000000-0005-0000-0000-0000FC460000}"/>
    <cellStyle name="Normal 2 2 2 3 23 4 5" xfId="18173" xr:uid="{00000000-0005-0000-0000-0000FD460000}"/>
    <cellStyle name="Normal 2 2 2 3 23 4 6" xfId="18174" xr:uid="{00000000-0005-0000-0000-0000FE460000}"/>
    <cellStyle name="Normal 2 2 2 3 23 4 7" xfId="18175" xr:uid="{00000000-0005-0000-0000-0000FF460000}"/>
    <cellStyle name="Normal 2 2 2 3 23 4 8" xfId="18176" xr:uid="{00000000-0005-0000-0000-000000470000}"/>
    <cellStyle name="Normal 2 2 2 3 23 4 9" xfId="18177" xr:uid="{00000000-0005-0000-0000-000001470000}"/>
    <cellStyle name="Normal 2 2 2 3 23 5" xfId="18178" xr:uid="{00000000-0005-0000-0000-000002470000}"/>
    <cellStyle name="Normal 2 2 2 3 23 5 10" xfId="18179" xr:uid="{00000000-0005-0000-0000-000003470000}"/>
    <cellStyle name="Normal 2 2 2 3 23 5 2" xfId="18180" xr:uid="{00000000-0005-0000-0000-000004470000}"/>
    <cellStyle name="Normal 2 2 2 3 23 5 3" xfId="18181" xr:uid="{00000000-0005-0000-0000-000005470000}"/>
    <cellStyle name="Normal 2 2 2 3 23 5 4" xfId="18182" xr:uid="{00000000-0005-0000-0000-000006470000}"/>
    <cellStyle name="Normal 2 2 2 3 23 5 5" xfId="18183" xr:uid="{00000000-0005-0000-0000-000007470000}"/>
    <cellStyle name="Normal 2 2 2 3 23 5 6" xfId="18184" xr:uid="{00000000-0005-0000-0000-000008470000}"/>
    <cellStyle name="Normal 2 2 2 3 23 5 7" xfId="18185" xr:uid="{00000000-0005-0000-0000-000009470000}"/>
    <cellStyle name="Normal 2 2 2 3 23 5 8" xfId="18186" xr:uid="{00000000-0005-0000-0000-00000A470000}"/>
    <cellStyle name="Normal 2 2 2 3 23 5 9" xfId="18187" xr:uid="{00000000-0005-0000-0000-00000B470000}"/>
    <cellStyle name="Normal 2 2 2 3 23 6" xfId="18188" xr:uid="{00000000-0005-0000-0000-00000C470000}"/>
    <cellStyle name="Normal 2 2 2 3 23 7" xfId="18189" xr:uid="{00000000-0005-0000-0000-00000D470000}"/>
    <cellStyle name="Normal 2 2 2 3 23 8" xfId="18190" xr:uid="{00000000-0005-0000-0000-00000E470000}"/>
    <cellStyle name="Normal 2 2 2 3 23 9" xfId="18191" xr:uid="{00000000-0005-0000-0000-00000F470000}"/>
    <cellStyle name="Normal 2 2 2 3 24" xfId="18192" xr:uid="{00000000-0005-0000-0000-000010470000}"/>
    <cellStyle name="Normal 2 2 2 3 24 10" xfId="18193" xr:uid="{00000000-0005-0000-0000-000011470000}"/>
    <cellStyle name="Normal 2 2 2 3 24 11" xfId="18194" xr:uid="{00000000-0005-0000-0000-000012470000}"/>
    <cellStyle name="Normal 2 2 2 3 24 12" xfId="18195" xr:uid="{00000000-0005-0000-0000-000013470000}"/>
    <cellStyle name="Normal 2 2 2 3 24 13" xfId="18196" xr:uid="{00000000-0005-0000-0000-000014470000}"/>
    <cellStyle name="Normal 2 2 2 3 24 14" xfId="18197" xr:uid="{00000000-0005-0000-0000-000015470000}"/>
    <cellStyle name="Normal 2 2 2 3 24 2" xfId="18198" xr:uid="{00000000-0005-0000-0000-000016470000}"/>
    <cellStyle name="Normal 2 2 2 3 24 2 10" xfId="18199" xr:uid="{00000000-0005-0000-0000-000017470000}"/>
    <cellStyle name="Normal 2 2 2 3 24 2 2" xfId="18200" xr:uid="{00000000-0005-0000-0000-000018470000}"/>
    <cellStyle name="Normal 2 2 2 3 24 2 3" xfId="18201" xr:uid="{00000000-0005-0000-0000-000019470000}"/>
    <cellStyle name="Normal 2 2 2 3 24 2 4" xfId="18202" xr:uid="{00000000-0005-0000-0000-00001A470000}"/>
    <cellStyle name="Normal 2 2 2 3 24 2 5" xfId="18203" xr:uid="{00000000-0005-0000-0000-00001B470000}"/>
    <cellStyle name="Normal 2 2 2 3 24 2 6" xfId="18204" xr:uid="{00000000-0005-0000-0000-00001C470000}"/>
    <cellStyle name="Normal 2 2 2 3 24 2 7" xfId="18205" xr:uid="{00000000-0005-0000-0000-00001D470000}"/>
    <cellStyle name="Normal 2 2 2 3 24 2 8" xfId="18206" xr:uid="{00000000-0005-0000-0000-00001E470000}"/>
    <cellStyle name="Normal 2 2 2 3 24 2 9" xfId="18207" xr:uid="{00000000-0005-0000-0000-00001F470000}"/>
    <cellStyle name="Normal 2 2 2 3 24 3" xfId="18208" xr:uid="{00000000-0005-0000-0000-000020470000}"/>
    <cellStyle name="Normal 2 2 2 3 24 3 10" xfId="18209" xr:uid="{00000000-0005-0000-0000-000021470000}"/>
    <cellStyle name="Normal 2 2 2 3 24 3 2" xfId="18210" xr:uid="{00000000-0005-0000-0000-000022470000}"/>
    <cellStyle name="Normal 2 2 2 3 24 3 3" xfId="18211" xr:uid="{00000000-0005-0000-0000-000023470000}"/>
    <cellStyle name="Normal 2 2 2 3 24 3 4" xfId="18212" xr:uid="{00000000-0005-0000-0000-000024470000}"/>
    <cellStyle name="Normal 2 2 2 3 24 3 5" xfId="18213" xr:uid="{00000000-0005-0000-0000-000025470000}"/>
    <cellStyle name="Normal 2 2 2 3 24 3 6" xfId="18214" xr:uid="{00000000-0005-0000-0000-000026470000}"/>
    <cellStyle name="Normal 2 2 2 3 24 3 7" xfId="18215" xr:uid="{00000000-0005-0000-0000-000027470000}"/>
    <cellStyle name="Normal 2 2 2 3 24 3 8" xfId="18216" xr:uid="{00000000-0005-0000-0000-000028470000}"/>
    <cellStyle name="Normal 2 2 2 3 24 3 9" xfId="18217" xr:uid="{00000000-0005-0000-0000-000029470000}"/>
    <cellStyle name="Normal 2 2 2 3 24 4" xfId="18218" xr:uid="{00000000-0005-0000-0000-00002A470000}"/>
    <cellStyle name="Normal 2 2 2 3 24 4 10" xfId="18219" xr:uid="{00000000-0005-0000-0000-00002B470000}"/>
    <cellStyle name="Normal 2 2 2 3 24 4 2" xfId="18220" xr:uid="{00000000-0005-0000-0000-00002C470000}"/>
    <cellStyle name="Normal 2 2 2 3 24 4 3" xfId="18221" xr:uid="{00000000-0005-0000-0000-00002D470000}"/>
    <cellStyle name="Normal 2 2 2 3 24 4 4" xfId="18222" xr:uid="{00000000-0005-0000-0000-00002E470000}"/>
    <cellStyle name="Normal 2 2 2 3 24 4 5" xfId="18223" xr:uid="{00000000-0005-0000-0000-00002F470000}"/>
    <cellStyle name="Normal 2 2 2 3 24 4 6" xfId="18224" xr:uid="{00000000-0005-0000-0000-000030470000}"/>
    <cellStyle name="Normal 2 2 2 3 24 4 7" xfId="18225" xr:uid="{00000000-0005-0000-0000-000031470000}"/>
    <cellStyle name="Normal 2 2 2 3 24 4 8" xfId="18226" xr:uid="{00000000-0005-0000-0000-000032470000}"/>
    <cellStyle name="Normal 2 2 2 3 24 4 9" xfId="18227" xr:uid="{00000000-0005-0000-0000-000033470000}"/>
    <cellStyle name="Normal 2 2 2 3 24 5" xfId="18228" xr:uid="{00000000-0005-0000-0000-000034470000}"/>
    <cellStyle name="Normal 2 2 2 3 24 5 10" xfId="18229" xr:uid="{00000000-0005-0000-0000-000035470000}"/>
    <cellStyle name="Normal 2 2 2 3 24 5 2" xfId="18230" xr:uid="{00000000-0005-0000-0000-000036470000}"/>
    <cellStyle name="Normal 2 2 2 3 24 5 3" xfId="18231" xr:uid="{00000000-0005-0000-0000-000037470000}"/>
    <cellStyle name="Normal 2 2 2 3 24 5 4" xfId="18232" xr:uid="{00000000-0005-0000-0000-000038470000}"/>
    <cellStyle name="Normal 2 2 2 3 24 5 5" xfId="18233" xr:uid="{00000000-0005-0000-0000-000039470000}"/>
    <cellStyle name="Normal 2 2 2 3 24 5 6" xfId="18234" xr:uid="{00000000-0005-0000-0000-00003A470000}"/>
    <cellStyle name="Normal 2 2 2 3 24 5 7" xfId="18235" xr:uid="{00000000-0005-0000-0000-00003B470000}"/>
    <cellStyle name="Normal 2 2 2 3 24 5 8" xfId="18236" xr:uid="{00000000-0005-0000-0000-00003C470000}"/>
    <cellStyle name="Normal 2 2 2 3 24 5 9" xfId="18237" xr:uid="{00000000-0005-0000-0000-00003D470000}"/>
    <cellStyle name="Normal 2 2 2 3 24 6" xfId="18238" xr:uid="{00000000-0005-0000-0000-00003E470000}"/>
    <cellStyle name="Normal 2 2 2 3 24 7" xfId="18239" xr:uid="{00000000-0005-0000-0000-00003F470000}"/>
    <cellStyle name="Normal 2 2 2 3 24 8" xfId="18240" xr:uid="{00000000-0005-0000-0000-000040470000}"/>
    <cellStyle name="Normal 2 2 2 3 24 9" xfId="18241" xr:uid="{00000000-0005-0000-0000-000041470000}"/>
    <cellStyle name="Normal 2 2 2 3 25" xfId="18242" xr:uid="{00000000-0005-0000-0000-000042470000}"/>
    <cellStyle name="Normal 2 2 2 3 25 10" xfId="18243" xr:uid="{00000000-0005-0000-0000-000043470000}"/>
    <cellStyle name="Normal 2 2 2 3 25 11" xfId="18244" xr:uid="{00000000-0005-0000-0000-000044470000}"/>
    <cellStyle name="Normal 2 2 2 3 25 12" xfId="18245" xr:uid="{00000000-0005-0000-0000-000045470000}"/>
    <cellStyle name="Normal 2 2 2 3 25 13" xfId="18246" xr:uid="{00000000-0005-0000-0000-000046470000}"/>
    <cellStyle name="Normal 2 2 2 3 25 14" xfId="18247" xr:uid="{00000000-0005-0000-0000-000047470000}"/>
    <cellStyle name="Normal 2 2 2 3 25 2" xfId="18248" xr:uid="{00000000-0005-0000-0000-000048470000}"/>
    <cellStyle name="Normal 2 2 2 3 25 2 10" xfId="18249" xr:uid="{00000000-0005-0000-0000-000049470000}"/>
    <cellStyle name="Normal 2 2 2 3 25 2 2" xfId="18250" xr:uid="{00000000-0005-0000-0000-00004A470000}"/>
    <cellStyle name="Normal 2 2 2 3 25 2 3" xfId="18251" xr:uid="{00000000-0005-0000-0000-00004B470000}"/>
    <cellStyle name="Normal 2 2 2 3 25 2 4" xfId="18252" xr:uid="{00000000-0005-0000-0000-00004C470000}"/>
    <cellStyle name="Normal 2 2 2 3 25 2 5" xfId="18253" xr:uid="{00000000-0005-0000-0000-00004D470000}"/>
    <cellStyle name="Normal 2 2 2 3 25 2 6" xfId="18254" xr:uid="{00000000-0005-0000-0000-00004E470000}"/>
    <cellStyle name="Normal 2 2 2 3 25 2 7" xfId="18255" xr:uid="{00000000-0005-0000-0000-00004F470000}"/>
    <cellStyle name="Normal 2 2 2 3 25 2 8" xfId="18256" xr:uid="{00000000-0005-0000-0000-000050470000}"/>
    <cellStyle name="Normal 2 2 2 3 25 2 9" xfId="18257" xr:uid="{00000000-0005-0000-0000-000051470000}"/>
    <cellStyle name="Normal 2 2 2 3 25 3" xfId="18258" xr:uid="{00000000-0005-0000-0000-000052470000}"/>
    <cellStyle name="Normal 2 2 2 3 25 3 10" xfId="18259" xr:uid="{00000000-0005-0000-0000-000053470000}"/>
    <cellStyle name="Normal 2 2 2 3 25 3 2" xfId="18260" xr:uid="{00000000-0005-0000-0000-000054470000}"/>
    <cellStyle name="Normal 2 2 2 3 25 3 3" xfId="18261" xr:uid="{00000000-0005-0000-0000-000055470000}"/>
    <cellStyle name="Normal 2 2 2 3 25 3 4" xfId="18262" xr:uid="{00000000-0005-0000-0000-000056470000}"/>
    <cellStyle name="Normal 2 2 2 3 25 3 5" xfId="18263" xr:uid="{00000000-0005-0000-0000-000057470000}"/>
    <cellStyle name="Normal 2 2 2 3 25 3 6" xfId="18264" xr:uid="{00000000-0005-0000-0000-000058470000}"/>
    <cellStyle name="Normal 2 2 2 3 25 3 7" xfId="18265" xr:uid="{00000000-0005-0000-0000-000059470000}"/>
    <cellStyle name="Normal 2 2 2 3 25 3 8" xfId="18266" xr:uid="{00000000-0005-0000-0000-00005A470000}"/>
    <cellStyle name="Normal 2 2 2 3 25 3 9" xfId="18267" xr:uid="{00000000-0005-0000-0000-00005B470000}"/>
    <cellStyle name="Normal 2 2 2 3 25 4" xfId="18268" xr:uid="{00000000-0005-0000-0000-00005C470000}"/>
    <cellStyle name="Normal 2 2 2 3 25 4 10" xfId="18269" xr:uid="{00000000-0005-0000-0000-00005D470000}"/>
    <cellStyle name="Normal 2 2 2 3 25 4 2" xfId="18270" xr:uid="{00000000-0005-0000-0000-00005E470000}"/>
    <cellStyle name="Normal 2 2 2 3 25 4 3" xfId="18271" xr:uid="{00000000-0005-0000-0000-00005F470000}"/>
    <cellStyle name="Normal 2 2 2 3 25 4 4" xfId="18272" xr:uid="{00000000-0005-0000-0000-000060470000}"/>
    <cellStyle name="Normal 2 2 2 3 25 4 5" xfId="18273" xr:uid="{00000000-0005-0000-0000-000061470000}"/>
    <cellStyle name="Normal 2 2 2 3 25 4 6" xfId="18274" xr:uid="{00000000-0005-0000-0000-000062470000}"/>
    <cellStyle name="Normal 2 2 2 3 25 4 7" xfId="18275" xr:uid="{00000000-0005-0000-0000-000063470000}"/>
    <cellStyle name="Normal 2 2 2 3 25 4 8" xfId="18276" xr:uid="{00000000-0005-0000-0000-000064470000}"/>
    <cellStyle name="Normal 2 2 2 3 25 4 9" xfId="18277" xr:uid="{00000000-0005-0000-0000-000065470000}"/>
    <cellStyle name="Normal 2 2 2 3 25 5" xfId="18278" xr:uid="{00000000-0005-0000-0000-000066470000}"/>
    <cellStyle name="Normal 2 2 2 3 25 5 10" xfId="18279" xr:uid="{00000000-0005-0000-0000-000067470000}"/>
    <cellStyle name="Normal 2 2 2 3 25 5 2" xfId="18280" xr:uid="{00000000-0005-0000-0000-000068470000}"/>
    <cellStyle name="Normal 2 2 2 3 25 5 3" xfId="18281" xr:uid="{00000000-0005-0000-0000-000069470000}"/>
    <cellStyle name="Normal 2 2 2 3 25 5 4" xfId="18282" xr:uid="{00000000-0005-0000-0000-00006A470000}"/>
    <cellStyle name="Normal 2 2 2 3 25 5 5" xfId="18283" xr:uid="{00000000-0005-0000-0000-00006B470000}"/>
    <cellStyle name="Normal 2 2 2 3 25 5 6" xfId="18284" xr:uid="{00000000-0005-0000-0000-00006C470000}"/>
    <cellStyle name="Normal 2 2 2 3 25 5 7" xfId="18285" xr:uid="{00000000-0005-0000-0000-00006D470000}"/>
    <cellStyle name="Normal 2 2 2 3 25 5 8" xfId="18286" xr:uid="{00000000-0005-0000-0000-00006E470000}"/>
    <cellStyle name="Normal 2 2 2 3 25 5 9" xfId="18287" xr:uid="{00000000-0005-0000-0000-00006F470000}"/>
    <cellStyle name="Normal 2 2 2 3 25 6" xfId="18288" xr:uid="{00000000-0005-0000-0000-000070470000}"/>
    <cellStyle name="Normal 2 2 2 3 25 7" xfId="18289" xr:uid="{00000000-0005-0000-0000-000071470000}"/>
    <cellStyle name="Normal 2 2 2 3 25 8" xfId="18290" xr:uid="{00000000-0005-0000-0000-000072470000}"/>
    <cellStyle name="Normal 2 2 2 3 25 9" xfId="18291" xr:uid="{00000000-0005-0000-0000-000073470000}"/>
    <cellStyle name="Normal 2 2 2 3 26" xfId="18292" xr:uid="{00000000-0005-0000-0000-000074470000}"/>
    <cellStyle name="Normal 2 2 2 3 26 10" xfId="18293" xr:uid="{00000000-0005-0000-0000-000075470000}"/>
    <cellStyle name="Normal 2 2 2 3 26 11" xfId="18294" xr:uid="{00000000-0005-0000-0000-000076470000}"/>
    <cellStyle name="Normal 2 2 2 3 26 12" xfId="18295" xr:uid="{00000000-0005-0000-0000-000077470000}"/>
    <cellStyle name="Normal 2 2 2 3 26 13" xfId="18296" xr:uid="{00000000-0005-0000-0000-000078470000}"/>
    <cellStyle name="Normal 2 2 2 3 26 14" xfId="18297" xr:uid="{00000000-0005-0000-0000-000079470000}"/>
    <cellStyle name="Normal 2 2 2 3 26 2" xfId="18298" xr:uid="{00000000-0005-0000-0000-00007A470000}"/>
    <cellStyle name="Normal 2 2 2 3 26 2 10" xfId="18299" xr:uid="{00000000-0005-0000-0000-00007B470000}"/>
    <cellStyle name="Normal 2 2 2 3 26 2 2" xfId="18300" xr:uid="{00000000-0005-0000-0000-00007C470000}"/>
    <cellStyle name="Normal 2 2 2 3 26 2 3" xfId="18301" xr:uid="{00000000-0005-0000-0000-00007D470000}"/>
    <cellStyle name="Normal 2 2 2 3 26 2 4" xfId="18302" xr:uid="{00000000-0005-0000-0000-00007E470000}"/>
    <cellStyle name="Normal 2 2 2 3 26 2 5" xfId="18303" xr:uid="{00000000-0005-0000-0000-00007F470000}"/>
    <cellStyle name="Normal 2 2 2 3 26 2 6" xfId="18304" xr:uid="{00000000-0005-0000-0000-000080470000}"/>
    <cellStyle name="Normal 2 2 2 3 26 2 7" xfId="18305" xr:uid="{00000000-0005-0000-0000-000081470000}"/>
    <cellStyle name="Normal 2 2 2 3 26 2 8" xfId="18306" xr:uid="{00000000-0005-0000-0000-000082470000}"/>
    <cellStyle name="Normal 2 2 2 3 26 2 9" xfId="18307" xr:uid="{00000000-0005-0000-0000-000083470000}"/>
    <cellStyle name="Normal 2 2 2 3 26 3" xfId="18308" xr:uid="{00000000-0005-0000-0000-000084470000}"/>
    <cellStyle name="Normal 2 2 2 3 26 3 10" xfId="18309" xr:uid="{00000000-0005-0000-0000-000085470000}"/>
    <cellStyle name="Normal 2 2 2 3 26 3 2" xfId="18310" xr:uid="{00000000-0005-0000-0000-000086470000}"/>
    <cellStyle name="Normal 2 2 2 3 26 3 3" xfId="18311" xr:uid="{00000000-0005-0000-0000-000087470000}"/>
    <cellStyle name="Normal 2 2 2 3 26 3 4" xfId="18312" xr:uid="{00000000-0005-0000-0000-000088470000}"/>
    <cellStyle name="Normal 2 2 2 3 26 3 5" xfId="18313" xr:uid="{00000000-0005-0000-0000-000089470000}"/>
    <cellStyle name="Normal 2 2 2 3 26 3 6" xfId="18314" xr:uid="{00000000-0005-0000-0000-00008A470000}"/>
    <cellStyle name="Normal 2 2 2 3 26 3 7" xfId="18315" xr:uid="{00000000-0005-0000-0000-00008B470000}"/>
    <cellStyle name="Normal 2 2 2 3 26 3 8" xfId="18316" xr:uid="{00000000-0005-0000-0000-00008C470000}"/>
    <cellStyle name="Normal 2 2 2 3 26 3 9" xfId="18317" xr:uid="{00000000-0005-0000-0000-00008D470000}"/>
    <cellStyle name="Normal 2 2 2 3 26 4" xfId="18318" xr:uid="{00000000-0005-0000-0000-00008E470000}"/>
    <cellStyle name="Normal 2 2 2 3 26 4 10" xfId="18319" xr:uid="{00000000-0005-0000-0000-00008F470000}"/>
    <cellStyle name="Normal 2 2 2 3 26 4 2" xfId="18320" xr:uid="{00000000-0005-0000-0000-000090470000}"/>
    <cellStyle name="Normal 2 2 2 3 26 4 3" xfId="18321" xr:uid="{00000000-0005-0000-0000-000091470000}"/>
    <cellStyle name="Normal 2 2 2 3 26 4 4" xfId="18322" xr:uid="{00000000-0005-0000-0000-000092470000}"/>
    <cellStyle name="Normal 2 2 2 3 26 4 5" xfId="18323" xr:uid="{00000000-0005-0000-0000-000093470000}"/>
    <cellStyle name="Normal 2 2 2 3 26 4 6" xfId="18324" xr:uid="{00000000-0005-0000-0000-000094470000}"/>
    <cellStyle name="Normal 2 2 2 3 26 4 7" xfId="18325" xr:uid="{00000000-0005-0000-0000-000095470000}"/>
    <cellStyle name="Normal 2 2 2 3 26 4 8" xfId="18326" xr:uid="{00000000-0005-0000-0000-000096470000}"/>
    <cellStyle name="Normal 2 2 2 3 26 4 9" xfId="18327" xr:uid="{00000000-0005-0000-0000-000097470000}"/>
    <cellStyle name="Normal 2 2 2 3 26 5" xfId="18328" xr:uid="{00000000-0005-0000-0000-000098470000}"/>
    <cellStyle name="Normal 2 2 2 3 26 5 10" xfId="18329" xr:uid="{00000000-0005-0000-0000-000099470000}"/>
    <cellStyle name="Normal 2 2 2 3 26 5 2" xfId="18330" xr:uid="{00000000-0005-0000-0000-00009A470000}"/>
    <cellStyle name="Normal 2 2 2 3 26 5 3" xfId="18331" xr:uid="{00000000-0005-0000-0000-00009B470000}"/>
    <cellStyle name="Normal 2 2 2 3 26 5 4" xfId="18332" xr:uid="{00000000-0005-0000-0000-00009C470000}"/>
    <cellStyle name="Normal 2 2 2 3 26 5 5" xfId="18333" xr:uid="{00000000-0005-0000-0000-00009D470000}"/>
    <cellStyle name="Normal 2 2 2 3 26 5 6" xfId="18334" xr:uid="{00000000-0005-0000-0000-00009E470000}"/>
    <cellStyle name="Normal 2 2 2 3 26 5 7" xfId="18335" xr:uid="{00000000-0005-0000-0000-00009F470000}"/>
    <cellStyle name="Normal 2 2 2 3 26 5 8" xfId="18336" xr:uid="{00000000-0005-0000-0000-0000A0470000}"/>
    <cellStyle name="Normal 2 2 2 3 26 5 9" xfId="18337" xr:uid="{00000000-0005-0000-0000-0000A1470000}"/>
    <cellStyle name="Normal 2 2 2 3 26 6" xfId="18338" xr:uid="{00000000-0005-0000-0000-0000A2470000}"/>
    <cellStyle name="Normal 2 2 2 3 26 7" xfId="18339" xr:uid="{00000000-0005-0000-0000-0000A3470000}"/>
    <cellStyle name="Normal 2 2 2 3 26 8" xfId="18340" xr:uid="{00000000-0005-0000-0000-0000A4470000}"/>
    <cellStyle name="Normal 2 2 2 3 26 9" xfId="18341" xr:uid="{00000000-0005-0000-0000-0000A5470000}"/>
    <cellStyle name="Normal 2 2 2 3 27" xfId="18342" xr:uid="{00000000-0005-0000-0000-0000A6470000}"/>
    <cellStyle name="Normal 2 2 2 3 27 10" xfId="18343" xr:uid="{00000000-0005-0000-0000-0000A7470000}"/>
    <cellStyle name="Normal 2 2 2 3 27 11" xfId="18344" xr:uid="{00000000-0005-0000-0000-0000A8470000}"/>
    <cellStyle name="Normal 2 2 2 3 27 12" xfId="18345" xr:uid="{00000000-0005-0000-0000-0000A9470000}"/>
    <cellStyle name="Normal 2 2 2 3 27 13" xfId="18346" xr:uid="{00000000-0005-0000-0000-0000AA470000}"/>
    <cellStyle name="Normal 2 2 2 3 27 14" xfId="18347" xr:uid="{00000000-0005-0000-0000-0000AB470000}"/>
    <cellStyle name="Normal 2 2 2 3 27 2" xfId="18348" xr:uid="{00000000-0005-0000-0000-0000AC470000}"/>
    <cellStyle name="Normal 2 2 2 3 27 2 10" xfId="18349" xr:uid="{00000000-0005-0000-0000-0000AD470000}"/>
    <cellStyle name="Normal 2 2 2 3 27 2 2" xfId="18350" xr:uid="{00000000-0005-0000-0000-0000AE470000}"/>
    <cellStyle name="Normal 2 2 2 3 27 2 3" xfId="18351" xr:uid="{00000000-0005-0000-0000-0000AF470000}"/>
    <cellStyle name="Normal 2 2 2 3 27 2 4" xfId="18352" xr:uid="{00000000-0005-0000-0000-0000B0470000}"/>
    <cellStyle name="Normal 2 2 2 3 27 2 5" xfId="18353" xr:uid="{00000000-0005-0000-0000-0000B1470000}"/>
    <cellStyle name="Normal 2 2 2 3 27 2 6" xfId="18354" xr:uid="{00000000-0005-0000-0000-0000B2470000}"/>
    <cellStyle name="Normal 2 2 2 3 27 2 7" xfId="18355" xr:uid="{00000000-0005-0000-0000-0000B3470000}"/>
    <cellStyle name="Normal 2 2 2 3 27 2 8" xfId="18356" xr:uid="{00000000-0005-0000-0000-0000B4470000}"/>
    <cellStyle name="Normal 2 2 2 3 27 2 9" xfId="18357" xr:uid="{00000000-0005-0000-0000-0000B5470000}"/>
    <cellStyle name="Normal 2 2 2 3 27 3" xfId="18358" xr:uid="{00000000-0005-0000-0000-0000B6470000}"/>
    <cellStyle name="Normal 2 2 2 3 27 3 10" xfId="18359" xr:uid="{00000000-0005-0000-0000-0000B7470000}"/>
    <cellStyle name="Normal 2 2 2 3 27 3 2" xfId="18360" xr:uid="{00000000-0005-0000-0000-0000B8470000}"/>
    <cellStyle name="Normal 2 2 2 3 27 3 3" xfId="18361" xr:uid="{00000000-0005-0000-0000-0000B9470000}"/>
    <cellStyle name="Normal 2 2 2 3 27 3 4" xfId="18362" xr:uid="{00000000-0005-0000-0000-0000BA470000}"/>
    <cellStyle name="Normal 2 2 2 3 27 3 5" xfId="18363" xr:uid="{00000000-0005-0000-0000-0000BB470000}"/>
    <cellStyle name="Normal 2 2 2 3 27 3 6" xfId="18364" xr:uid="{00000000-0005-0000-0000-0000BC470000}"/>
    <cellStyle name="Normal 2 2 2 3 27 3 7" xfId="18365" xr:uid="{00000000-0005-0000-0000-0000BD470000}"/>
    <cellStyle name="Normal 2 2 2 3 27 3 8" xfId="18366" xr:uid="{00000000-0005-0000-0000-0000BE470000}"/>
    <cellStyle name="Normal 2 2 2 3 27 3 9" xfId="18367" xr:uid="{00000000-0005-0000-0000-0000BF470000}"/>
    <cellStyle name="Normal 2 2 2 3 27 4" xfId="18368" xr:uid="{00000000-0005-0000-0000-0000C0470000}"/>
    <cellStyle name="Normal 2 2 2 3 27 4 10" xfId="18369" xr:uid="{00000000-0005-0000-0000-0000C1470000}"/>
    <cellStyle name="Normal 2 2 2 3 27 4 2" xfId="18370" xr:uid="{00000000-0005-0000-0000-0000C2470000}"/>
    <cellStyle name="Normal 2 2 2 3 27 4 3" xfId="18371" xr:uid="{00000000-0005-0000-0000-0000C3470000}"/>
    <cellStyle name="Normal 2 2 2 3 27 4 4" xfId="18372" xr:uid="{00000000-0005-0000-0000-0000C4470000}"/>
    <cellStyle name="Normal 2 2 2 3 27 4 5" xfId="18373" xr:uid="{00000000-0005-0000-0000-0000C5470000}"/>
    <cellStyle name="Normal 2 2 2 3 27 4 6" xfId="18374" xr:uid="{00000000-0005-0000-0000-0000C6470000}"/>
    <cellStyle name="Normal 2 2 2 3 27 4 7" xfId="18375" xr:uid="{00000000-0005-0000-0000-0000C7470000}"/>
    <cellStyle name="Normal 2 2 2 3 27 4 8" xfId="18376" xr:uid="{00000000-0005-0000-0000-0000C8470000}"/>
    <cellStyle name="Normal 2 2 2 3 27 4 9" xfId="18377" xr:uid="{00000000-0005-0000-0000-0000C9470000}"/>
    <cellStyle name="Normal 2 2 2 3 27 5" xfId="18378" xr:uid="{00000000-0005-0000-0000-0000CA470000}"/>
    <cellStyle name="Normal 2 2 2 3 27 5 10" xfId="18379" xr:uid="{00000000-0005-0000-0000-0000CB470000}"/>
    <cellStyle name="Normal 2 2 2 3 27 5 2" xfId="18380" xr:uid="{00000000-0005-0000-0000-0000CC470000}"/>
    <cellStyle name="Normal 2 2 2 3 27 5 3" xfId="18381" xr:uid="{00000000-0005-0000-0000-0000CD470000}"/>
    <cellStyle name="Normal 2 2 2 3 27 5 4" xfId="18382" xr:uid="{00000000-0005-0000-0000-0000CE470000}"/>
    <cellStyle name="Normal 2 2 2 3 27 5 5" xfId="18383" xr:uid="{00000000-0005-0000-0000-0000CF470000}"/>
    <cellStyle name="Normal 2 2 2 3 27 5 6" xfId="18384" xr:uid="{00000000-0005-0000-0000-0000D0470000}"/>
    <cellStyle name="Normal 2 2 2 3 27 5 7" xfId="18385" xr:uid="{00000000-0005-0000-0000-0000D1470000}"/>
    <cellStyle name="Normal 2 2 2 3 27 5 8" xfId="18386" xr:uid="{00000000-0005-0000-0000-0000D2470000}"/>
    <cellStyle name="Normal 2 2 2 3 27 5 9" xfId="18387" xr:uid="{00000000-0005-0000-0000-0000D3470000}"/>
    <cellStyle name="Normal 2 2 2 3 27 6" xfId="18388" xr:uid="{00000000-0005-0000-0000-0000D4470000}"/>
    <cellStyle name="Normal 2 2 2 3 27 7" xfId="18389" xr:uid="{00000000-0005-0000-0000-0000D5470000}"/>
    <cellStyle name="Normal 2 2 2 3 27 8" xfId="18390" xr:uid="{00000000-0005-0000-0000-0000D6470000}"/>
    <cellStyle name="Normal 2 2 2 3 27 9" xfId="18391" xr:uid="{00000000-0005-0000-0000-0000D7470000}"/>
    <cellStyle name="Normal 2 2 2 3 28" xfId="18392" xr:uid="{00000000-0005-0000-0000-0000D8470000}"/>
    <cellStyle name="Normal 2 2 2 3 28 10" xfId="18393" xr:uid="{00000000-0005-0000-0000-0000D9470000}"/>
    <cellStyle name="Normal 2 2 2 3 28 11" xfId="18394" xr:uid="{00000000-0005-0000-0000-0000DA470000}"/>
    <cellStyle name="Normal 2 2 2 3 28 12" xfId="18395" xr:uid="{00000000-0005-0000-0000-0000DB470000}"/>
    <cellStyle name="Normal 2 2 2 3 28 13" xfId="18396" xr:uid="{00000000-0005-0000-0000-0000DC470000}"/>
    <cellStyle name="Normal 2 2 2 3 28 14" xfId="18397" xr:uid="{00000000-0005-0000-0000-0000DD470000}"/>
    <cellStyle name="Normal 2 2 2 3 28 2" xfId="18398" xr:uid="{00000000-0005-0000-0000-0000DE470000}"/>
    <cellStyle name="Normal 2 2 2 3 28 2 10" xfId="18399" xr:uid="{00000000-0005-0000-0000-0000DF470000}"/>
    <cellStyle name="Normal 2 2 2 3 28 2 2" xfId="18400" xr:uid="{00000000-0005-0000-0000-0000E0470000}"/>
    <cellStyle name="Normal 2 2 2 3 28 2 3" xfId="18401" xr:uid="{00000000-0005-0000-0000-0000E1470000}"/>
    <cellStyle name="Normal 2 2 2 3 28 2 4" xfId="18402" xr:uid="{00000000-0005-0000-0000-0000E2470000}"/>
    <cellStyle name="Normal 2 2 2 3 28 2 5" xfId="18403" xr:uid="{00000000-0005-0000-0000-0000E3470000}"/>
    <cellStyle name="Normal 2 2 2 3 28 2 6" xfId="18404" xr:uid="{00000000-0005-0000-0000-0000E4470000}"/>
    <cellStyle name="Normal 2 2 2 3 28 2 7" xfId="18405" xr:uid="{00000000-0005-0000-0000-0000E5470000}"/>
    <cellStyle name="Normal 2 2 2 3 28 2 8" xfId="18406" xr:uid="{00000000-0005-0000-0000-0000E6470000}"/>
    <cellStyle name="Normal 2 2 2 3 28 2 9" xfId="18407" xr:uid="{00000000-0005-0000-0000-0000E7470000}"/>
    <cellStyle name="Normal 2 2 2 3 28 3" xfId="18408" xr:uid="{00000000-0005-0000-0000-0000E8470000}"/>
    <cellStyle name="Normal 2 2 2 3 28 3 10" xfId="18409" xr:uid="{00000000-0005-0000-0000-0000E9470000}"/>
    <cellStyle name="Normal 2 2 2 3 28 3 2" xfId="18410" xr:uid="{00000000-0005-0000-0000-0000EA470000}"/>
    <cellStyle name="Normal 2 2 2 3 28 3 3" xfId="18411" xr:uid="{00000000-0005-0000-0000-0000EB470000}"/>
    <cellStyle name="Normal 2 2 2 3 28 3 4" xfId="18412" xr:uid="{00000000-0005-0000-0000-0000EC470000}"/>
    <cellStyle name="Normal 2 2 2 3 28 3 5" xfId="18413" xr:uid="{00000000-0005-0000-0000-0000ED470000}"/>
    <cellStyle name="Normal 2 2 2 3 28 3 6" xfId="18414" xr:uid="{00000000-0005-0000-0000-0000EE470000}"/>
    <cellStyle name="Normal 2 2 2 3 28 3 7" xfId="18415" xr:uid="{00000000-0005-0000-0000-0000EF470000}"/>
    <cellStyle name="Normal 2 2 2 3 28 3 8" xfId="18416" xr:uid="{00000000-0005-0000-0000-0000F0470000}"/>
    <cellStyle name="Normal 2 2 2 3 28 3 9" xfId="18417" xr:uid="{00000000-0005-0000-0000-0000F1470000}"/>
    <cellStyle name="Normal 2 2 2 3 28 4" xfId="18418" xr:uid="{00000000-0005-0000-0000-0000F2470000}"/>
    <cellStyle name="Normal 2 2 2 3 28 4 10" xfId="18419" xr:uid="{00000000-0005-0000-0000-0000F3470000}"/>
    <cellStyle name="Normal 2 2 2 3 28 4 2" xfId="18420" xr:uid="{00000000-0005-0000-0000-0000F4470000}"/>
    <cellStyle name="Normal 2 2 2 3 28 4 3" xfId="18421" xr:uid="{00000000-0005-0000-0000-0000F5470000}"/>
    <cellStyle name="Normal 2 2 2 3 28 4 4" xfId="18422" xr:uid="{00000000-0005-0000-0000-0000F6470000}"/>
    <cellStyle name="Normal 2 2 2 3 28 4 5" xfId="18423" xr:uid="{00000000-0005-0000-0000-0000F7470000}"/>
    <cellStyle name="Normal 2 2 2 3 28 4 6" xfId="18424" xr:uid="{00000000-0005-0000-0000-0000F8470000}"/>
    <cellStyle name="Normal 2 2 2 3 28 4 7" xfId="18425" xr:uid="{00000000-0005-0000-0000-0000F9470000}"/>
    <cellStyle name="Normal 2 2 2 3 28 4 8" xfId="18426" xr:uid="{00000000-0005-0000-0000-0000FA470000}"/>
    <cellStyle name="Normal 2 2 2 3 28 4 9" xfId="18427" xr:uid="{00000000-0005-0000-0000-0000FB470000}"/>
    <cellStyle name="Normal 2 2 2 3 28 5" xfId="18428" xr:uid="{00000000-0005-0000-0000-0000FC470000}"/>
    <cellStyle name="Normal 2 2 2 3 28 5 10" xfId="18429" xr:uid="{00000000-0005-0000-0000-0000FD470000}"/>
    <cellStyle name="Normal 2 2 2 3 28 5 2" xfId="18430" xr:uid="{00000000-0005-0000-0000-0000FE470000}"/>
    <cellStyle name="Normal 2 2 2 3 28 5 3" xfId="18431" xr:uid="{00000000-0005-0000-0000-0000FF470000}"/>
    <cellStyle name="Normal 2 2 2 3 28 5 4" xfId="18432" xr:uid="{00000000-0005-0000-0000-000000480000}"/>
    <cellStyle name="Normal 2 2 2 3 28 5 5" xfId="18433" xr:uid="{00000000-0005-0000-0000-000001480000}"/>
    <cellStyle name="Normal 2 2 2 3 28 5 6" xfId="18434" xr:uid="{00000000-0005-0000-0000-000002480000}"/>
    <cellStyle name="Normal 2 2 2 3 28 5 7" xfId="18435" xr:uid="{00000000-0005-0000-0000-000003480000}"/>
    <cellStyle name="Normal 2 2 2 3 28 5 8" xfId="18436" xr:uid="{00000000-0005-0000-0000-000004480000}"/>
    <cellStyle name="Normal 2 2 2 3 28 5 9" xfId="18437" xr:uid="{00000000-0005-0000-0000-000005480000}"/>
    <cellStyle name="Normal 2 2 2 3 28 6" xfId="18438" xr:uid="{00000000-0005-0000-0000-000006480000}"/>
    <cellStyle name="Normal 2 2 2 3 28 7" xfId="18439" xr:uid="{00000000-0005-0000-0000-000007480000}"/>
    <cellStyle name="Normal 2 2 2 3 28 8" xfId="18440" xr:uid="{00000000-0005-0000-0000-000008480000}"/>
    <cellStyle name="Normal 2 2 2 3 28 9" xfId="18441" xr:uid="{00000000-0005-0000-0000-000009480000}"/>
    <cellStyle name="Normal 2 2 2 3 29" xfId="18442" xr:uid="{00000000-0005-0000-0000-00000A480000}"/>
    <cellStyle name="Normal 2 2 2 3 29 10" xfId="18443" xr:uid="{00000000-0005-0000-0000-00000B480000}"/>
    <cellStyle name="Normal 2 2 2 3 29 11" xfId="18444" xr:uid="{00000000-0005-0000-0000-00000C480000}"/>
    <cellStyle name="Normal 2 2 2 3 29 12" xfId="18445" xr:uid="{00000000-0005-0000-0000-00000D480000}"/>
    <cellStyle name="Normal 2 2 2 3 29 13" xfId="18446" xr:uid="{00000000-0005-0000-0000-00000E480000}"/>
    <cellStyle name="Normal 2 2 2 3 29 14" xfId="18447" xr:uid="{00000000-0005-0000-0000-00000F480000}"/>
    <cellStyle name="Normal 2 2 2 3 29 2" xfId="18448" xr:uid="{00000000-0005-0000-0000-000010480000}"/>
    <cellStyle name="Normal 2 2 2 3 29 2 10" xfId="18449" xr:uid="{00000000-0005-0000-0000-000011480000}"/>
    <cellStyle name="Normal 2 2 2 3 29 2 2" xfId="18450" xr:uid="{00000000-0005-0000-0000-000012480000}"/>
    <cellStyle name="Normal 2 2 2 3 29 2 3" xfId="18451" xr:uid="{00000000-0005-0000-0000-000013480000}"/>
    <cellStyle name="Normal 2 2 2 3 29 2 4" xfId="18452" xr:uid="{00000000-0005-0000-0000-000014480000}"/>
    <cellStyle name="Normal 2 2 2 3 29 2 5" xfId="18453" xr:uid="{00000000-0005-0000-0000-000015480000}"/>
    <cellStyle name="Normal 2 2 2 3 29 2 6" xfId="18454" xr:uid="{00000000-0005-0000-0000-000016480000}"/>
    <cellStyle name="Normal 2 2 2 3 29 2 7" xfId="18455" xr:uid="{00000000-0005-0000-0000-000017480000}"/>
    <cellStyle name="Normal 2 2 2 3 29 2 8" xfId="18456" xr:uid="{00000000-0005-0000-0000-000018480000}"/>
    <cellStyle name="Normal 2 2 2 3 29 2 9" xfId="18457" xr:uid="{00000000-0005-0000-0000-000019480000}"/>
    <cellStyle name="Normal 2 2 2 3 29 3" xfId="18458" xr:uid="{00000000-0005-0000-0000-00001A480000}"/>
    <cellStyle name="Normal 2 2 2 3 29 3 10" xfId="18459" xr:uid="{00000000-0005-0000-0000-00001B480000}"/>
    <cellStyle name="Normal 2 2 2 3 29 3 2" xfId="18460" xr:uid="{00000000-0005-0000-0000-00001C480000}"/>
    <cellStyle name="Normal 2 2 2 3 29 3 3" xfId="18461" xr:uid="{00000000-0005-0000-0000-00001D480000}"/>
    <cellStyle name="Normal 2 2 2 3 29 3 4" xfId="18462" xr:uid="{00000000-0005-0000-0000-00001E480000}"/>
    <cellStyle name="Normal 2 2 2 3 29 3 5" xfId="18463" xr:uid="{00000000-0005-0000-0000-00001F480000}"/>
    <cellStyle name="Normal 2 2 2 3 29 3 6" xfId="18464" xr:uid="{00000000-0005-0000-0000-000020480000}"/>
    <cellStyle name="Normal 2 2 2 3 29 3 7" xfId="18465" xr:uid="{00000000-0005-0000-0000-000021480000}"/>
    <cellStyle name="Normal 2 2 2 3 29 3 8" xfId="18466" xr:uid="{00000000-0005-0000-0000-000022480000}"/>
    <cellStyle name="Normal 2 2 2 3 29 3 9" xfId="18467" xr:uid="{00000000-0005-0000-0000-000023480000}"/>
    <cellStyle name="Normal 2 2 2 3 29 4" xfId="18468" xr:uid="{00000000-0005-0000-0000-000024480000}"/>
    <cellStyle name="Normal 2 2 2 3 29 4 10" xfId="18469" xr:uid="{00000000-0005-0000-0000-000025480000}"/>
    <cellStyle name="Normal 2 2 2 3 29 4 2" xfId="18470" xr:uid="{00000000-0005-0000-0000-000026480000}"/>
    <cellStyle name="Normal 2 2 2 3 29 4 3" xfId="18471" xr:uid="{00000000-0005-0000-0000-000027480000}"/>
    <cellStyle name="Normal 2 2 2 3 29 4 4" xfId="18472" xr:uid="{00000000-0005-0000-0000-000028480000}"/>
    <cellStyle name="Normal 2 2 2 3 29 4 5" xfId="18473" xr:uid="{00000000-0005-0000-0000-000029480000}"/>
    <cellStyle name="Normal 2 2 2 3 29 4 6" xfId="18474" xr:uid="{00000000-0005-0000-0000-00002A480000}"/>
    <cellStyle name="Normal 2 2 2 3 29 4 7" xfId="18475" xr:uid="{00000000-0005-0000-0000-00002B480000}"/>
    <cellStyle name="Normal 2 2 2 3 29 4 8" xfId="18476" xr:uid="{00000000-0005-0000-0000-00002C480000}"/>
    <cellStyle name="Normal 2 2 2 3 29 4 9" xfId="18477" xr:uid="{00000000-0005-0000-0000-00002D480000}"/>
    <cellStyle name="Normal 2 2 2 3 29 5" xfId="18478" xr:uid="{00000000-0005-0000-0000-00002E480000}"/>
    <cellStyle name="Normal 2 2 2 3 29 5 10" xfId="18479" xr:uid="{00000000-0005-0000-0000-00002F480000}"/>
    <cellStyle name="Normal 2 2 2 3 29 5 2" xfId="18480" xr:uid="{00000000-0005-0000-0000-000030480000}"/>
    <cellStyle name="Normal 2 2 2 3 29 5 3" xfId="18481" xr:uid="{00000000-0005-0000-0000-000031480000}"/>
    <cellStyle name="Normal 2 2 2 3 29 5 4" xfId="18482" xr:uid="{00000000-0005-0000-0000-000032480000}"/>
    <cellStyle name="Normal 2 2 2 3 29 5 5" xfId="18483" xr:uid="{00000000-0005-0000-0000-000033480000}"/>
    <cellStyle name="Normal 2 2 2 3 29 5 6" xfId="18484" xr:uid="{00000000-0005-0000-0000-000034480000}"/>
    <cellStyle name="Normal 2 2 2 3 29 5 7" xfId="18485" xr:uid="{00000000-0005-0000-0000-000035480000}"/>
    <cellStyle name="Normal 2 2 2 3 29 5 8" xfId="18486" xr:uid="{00000000-0005-0000-0000-000036480000}"/>
    <cellStyle name="Normal 2 2 2 3 29 5 9" xfId="18487" xr:uid="{00000000-0005-0000-0000-000037480000}"/>
    <cellStyle name="Normal 2 2 2 3 29 6" xfId="18488" xr:uid="{00000000-0005-0000-0000-000038480000}"/>
    <cellStyle name="Normal 2 2 2 3 29 7" xfId="18489" xr:uid="{00000000-0005-0000-0000-000039480000}"/>
    <cellStyle name="Normal 2 2 2 3 29 8" xfId="18490" xr:uid="{00000000-0005-0000-0000-00003A480000}"/>
    <cellStyle name="Normal 2 2 2 3 29 9" xfId="18491" xr:uid="{00000000-0005-0000-0000-00003B480000}"/>
    <cellStyle name="Normal 2 2 2 3 3" xfId="18492" xr:uid="{00000000-0005-0000-0000-00003C480000}"/>
    <cellStyle name="Normal 2 2 2 3 3 10" xfId="18493" xr:uid="{00000000-0005-0000-0000-00003D480000}"/>
    <cellStyle name="Normal 2 2 2 3 3 11" xfId="18494" xr:uid="{00000000-0005-0000-0000-00003E480000}"/>
    <cellStyle name="Normal 2 2 2 3 3 12" xfId="18495" xr:uid="{00000000-0005-0000-0000-00003F480000}"/>
    <cellStyle name="Normal 2 2 2 3 3 13" xfId="18496" xr:uid="{00000000-0005-0000-0000-000040480000}"/>
    <cellStyle name="Normal 2 2 2 3 3 14" xfId="18497" xr:uid="{00000000-0005-0000-0000-000041480000}"/>
    <cellStyle name="Normal 2 2 2 3 3 15" xfId="18498" xr:uid="{00000000-0005-0000-0000-000042480000}"/>
    <cellStyle name="Normal 2 2 2 3 3 16" xfId="18499" xr:uid="{00000000-0005-0000-0000-000043480000}"/>
    <cellStyle name="Normal 2 2 2 3 3 2" xfId="18500" xr:uid="{00000000-0005-0000-0000-000044480000}"/>
    <cellStyle name="Normal 2 2 2 3 3 2 10" xfId="18501" xr:uid="{00000000-0005-0000-0000-000045480000}"/>
    <cellStyle name="Normal 2 2 2 3 3 2 11" xfId="18502" xr:uid="{00000000-0005-0000-0000-000046480000}"/>
    <cellStyle name="Normal 2 2 2 3 3 2 12" xfId="18503" xr:uid="{00000000-0005-0000-0000-000047480000}"/>
    <cellStyle name="Normal 2 2 2 3 3 2 2" xfId="18504" xr:uid="{00000000-0005-0000-0000-000048480000}"/>
    <cellStyle name="Normal 2 2 2 3 3 2 3" xfId="18505" xr:uid="{00000000-0005-0000-0000-000049480000}"/>
    <cellStyle name="Normal 2 2 2 3 3 2 4" xfId="18506" xr:uid="{00000000-0005-0000-0000-00004A480000}"/>
    <cellStyle name="Normal 2 2 2 3 3 2 5" xfId="18507" xr:uid="{00000000-0005-0000-0000-00004B480000}"/>
    <cellStyle name="Normal 2 2 2 3 3 2 6" xfId="18508" xr:uid="{00000000-0005-0000-0000-00004C480000}"/>
    <cellStyle name="Normal 2 2 2 3 3 2 7" xfId="18509" xr:uid="{00000000-0005-0000-0000-00004D480000}"/>
    <cellStyle name="Normal 2 2 2 3 3 2 8" xfId="18510" xr:uid="{00000000-0005-0000-0000-00004E480000}"/>
    <cellStyle name="Normal 2 2 2 3 3 2 9" xfId="18511" xr:uid="{00000000-0005-0000-0000-00004F480000}"/>
    <cellStyle name="Normal 2 2 2 3 3 3" xfId="18512" xr:uid="{00000000-0005-0000-0000-000050480000}"/>
    <cellStyle name="Normal 2 2 2 3 3 3 10" xfId="18513" xr:uid="{00000000-0005-0000-0000-000051480000}"/>
    <cellStyle name="Normal 2 2 2 3 3 3 2" xfId="18514" xr:uid="{00000000-0005-0000-0000-000052480000}"/>
    <cellStyle name="Normal 2 2 2 3 3 3 3" xfId="18515" xr:uid="{00000000-0005-0000-0000-000053480000}"/>
    <cellStyle name="Normal 2 2 2 3 3 3 4" xfId="18516" xr:uid="{00000000-0005-0000-0000-000054480000}"/>
    <cellStyle name="Normal 2 2 2 3 3 3 5" xfId="18517" xr:uid="{00000000-0005-0000-0000-000055480000}"/>
    <cellStyle name="Normal 2 2 2 3 3 3 6" xfId="18518" xr:uid="{00000000-0005-0000-0000-000056480000}"/>
    <cellStyle name="Normal 2 2 2 3 3 3 7" xfId="18519" xr:uid="{00000000-0005-0000-0000-000057480000}"/>
    <cellStyle name="Normal 2 2 2 3 3 3 8" xfId="18520" xr:uid="{00000000-0005-0000-0000-000058480000}"/>
    <cellStyle name="Normal 2 2 2 3 3 3 9" xfId="18521" xr:uid="{00000000-0005-0000-0000-000059480000}"/>
    <cellStyle name="Normal 2 2 2 3 3 4" xfId="18522" xr:uid="{00000000-0005-0000-0000-00005A480000}"/>
    <cellStyle name="Normal 2 2 2 3 3 4 10" xfId="18523" xr:uid="{00000000-0005-0000-0000-00005B480000}"/>
    <cellStyle name="Normal 2 2 2 3 3 4 2" xfId="18524" xr:uid="{00000000-0005-0000-0000-00005C480000}"/>
    <cellStyle name="Normal 2 2 2 3 3 4 3" xfId="18525" xr:uid="{00000000-0005-0000-0000-00005D480000}"/>
    <cellStyle name="Normal 2 2 2 3 3 4 4" xfId="18526" xr:uid="{00000000-0005-0000-0000-00005E480000}"/>
    <cellStyle name="Normal 2 2 2 3 3 4 5" xfId="18527" xr:uid="{00000000-0005-0000-0000-00005F480000}"/>
    <cellStyle name="Normal 2 2 2 3 3 4 6" xfId="18528" xr:uid="{00000000-0005-0000-0000-000060480000}"/>
    <cellStyle name="Normal 2 2 2 3 3 4 7" xfId="18529" xr:uid="{00000000-0005-0000-0000-000061480000}"/>
    <cellStyle name="Normal 2 2 2 3 3 4 8" xfId="18530" xr:uid="{00000000-0005-0000-0000-000062480000}"/>
    <cellStyle name="Normal 2 2 2 3 3 4 9" xfId="18531" xr:uid="{00000000-0005-0000-0000-000063480000}"/>
    <cellStyle name="Normal 2 2 2 3 3 5" xfId="18532" xr:uid="{00000000-0005-0000-0000-000064480000}"/>
    <cellStyle name="Normal 2 2 2 3 3 5 10" xfId="18533" xr:uid="{00000000-0005-0000-0000-000065480000}"/>
    <cellStyle name="Normal 2 2 2 3 3 5 2" xfId="18534" xr:uid="{00000000-0005-0000-0000-000066480000}"/>
    <cellStyle name="Normal 2 2 2 3 3 5 3" xfId="18535" xr:uid="{00000000-0005-0000-0000-000067480000}"/>
    <cellStyle name="Normal 2 2 2 3 3 5 4" xfId="18536" xr:uid="{00000000-0005-0000-0000-000068480000}"/>
    <cellStyle name="Normal 2 2 2 3 3 5 5" xfId="18537" xr:uid="{00000000-0005-0000-0000-000069480000}"/>
    <cellStyle name="Normal 2 2 2 3 3 5 6" xfId="18538" xr:uid="{00000000-0005-0000-0000-00006A480000}"/>
    <cellStyle name="Normal 2 2 2 3 3 5 7" xfId="18539" xr:uid="{00000000-0005-0000-0000-00006B480000}"/>
    <cellStyle name="Normal 2 2 2 3 3 5 8" xfId="18540" xr:uid="{00000000-0005-0000-0000-00006C480000}"/>
    <cellStyle name="Normal 2 2 2 3 3 5 9" xfId="18541" xr:uid="{00000000-0005-0000-0000-00006D480000}"/>
    <cellStyle name="Normal 2 2 2 3 3 6" xfId="18542" xr:uid="{00000000-0005-0000-0000-00006E480000}"/>
    <cellStyle name="Normal 2 2 2 3 3 7" xfId="18543" xr:uid="{00000000-0005-0000-0000-00006F480000}"/>
    <cellStyle name="Normal 2 2 2 3 3 8" xfId="18544" xr:uid="{00000000-0005-0000-0000-000070480000}"/>
    <cellStyle name="Normal 2 2 2 3 3 9" xfId="18545" xr:uid="{00000000-0005-0000-0000-000071480000}"/>
    <cellStyle name="Normal 2 2 2 3 30" xfId="18546" xr:uid="{00000000-0005-0000-0000-000072480000}"/>
    <cellStyle name="Normal 2 2 2 3 30 10" xfId="18547" xr:uid="{00000000-0005-0000-0000-000073480000}"/>
    <cellStyle name="Normal 2 2 2 3 30 11" xfId="18548" xr:uid="{00000000-0005-0000-0000-000074480000}"/>
    <cellStyle name="Normal 2 2 2 3 30 12" xfId="18549" xr:uid="{00000000-0005-0000-0000-000075480000}"/>
    <cellStyle name="Normal 2 2 2 3 30 13" xfId="18550" xr:uid="{00000000-0005-0000-0000-000076480000}"/>
    <cellStyle name="Normal 2 2 2 3 30 14" xfId="18551" xr:uid="{00000000-0005-0000-0000-000077480000}"/>
    <cellStyle name="Normal 2 2 2 3 30 2" xfId="18552" xr:uid="{00000000-0005-0000-0000-000078480000}"/>
    <cellStyle name="Normal 2 2 2 3 30 2 10" xfId="18553" xr:uid="{00000000-0005-0000-0000-000079480000}"/>
    <cellStyle name="Normal 2 2 2 3 30 2 2" xfId="18554" xr:uid="{00000000-0005-0000-0000-00007A480000}"/>
    <cellStyle name="Normal 2 2 2 3 30 2 3" xfId="18555" xr:uid="{00000000-0005-0000-0000-00007B480000}"/>
    <cellStyle name="Normal 2 2 2 3 30 2 4" xfId="18556" xr:uid="{00000000-0005-0000-0000-00007C480000}"/>
    <cellStyle name="Normal 2 2 2 3 30 2 5" xfId="18557" xr:uid="{00000000-0005-0000-0000-00007D480000}"/>
    <cellStyle name="Normal 2 2 2 3 30 2 6" xfId="18558" xr:uid="{00000000-0005-0000-0000-00007E480000}"/>
    <cellStyle name="Normal 2 2 2 3 30 2 7" xfId="18559" xr:uid="{00000000-0005-0000-0000-00007F480000}"/>
    <cellStyle name="Normal 2 2 2 3 30 2 8" xfId="18560" xr:uid="{00000000-0005-0000-0000-000080480000}"/>
    <cellStyle name="Normal 2 2 2 3 30 2 9" xfId="18561" xr:uid="{00000000-0005-0000-0000-000081480000}"/>
    <cellStyle name="Normal 2 2 2 3 30 3" xfId="18562" xr:uid="{00000000-0005-0000-0000-000082480000}"/>
    <cellStyle name="Normal 2 2 2 3 30 3 10" xfId="18563" xr:uid="{00000000-0005-0000-0000-000083480000}"/>
    <cellStyle name="Normal 2 2 2 3 30 3 2" xfId="18564" xr:uid="{00000000-0005-0000-0000-000084480000}"/>
    <cellStyle name="Normal 2 2 2 3 30 3 3" xfId="18565" xr:uid="{00000000-0005-0000-0000-000085480000}"/>
    <cellStyle name="Normal 2 2 2 3 30 3 4" xfId="18566" xr:uid="{00000000-0005-0000-0000-000086480000}"/>
    <cellStyle name="Normal 2 2 2 3 30 3 5" xfId="18567" xr:uid="{00000000-0005-0000-0000-000087480000}"/>
    <cellStyle name="Normal 2 2 2 3 30 3 6" xfId="18568" xr:uid="{00000000-0005-0000-0000-000088480000}"/>
    <cellStyle name="Normal 2 2 2 3 30 3 7" xfId="18569" xr:uid="{00000000-0005-0000-0000-000089480000}"/>
    <cellStyle name="Normal 2 2 2 3 30 3 8" xfId="18570" xr:uid="{00000000-0005-0000-0000-00008A480000}"/>
    <cellStyle name="Normal 2 2 2 3 30 3 9" xfId="18571" xr:uid="{00000000-0005-0000-0000-00008B480000}"/>
    <cellStyle name="Normal 2 2 2 3 30 4" xfId="18572" xr:uid="{00000000-0005-0000-0000-00008C480000}"/>
    <cellStyle name="Normal 2 2 2 3 30 4 10" xfId="18573" xr:uid="{00000000-0005-0000-0000-00008D480000}"/>
    <cellStyle name="Normal 2 2 2 3 30 4 2" xfId="18574" xr:uid="{00000000-0005-0000-0000-00008E480000}"/>
    <cellStyle name="Normal 2 2 2 3 30 4 3" xfId="18575" xr:uid="{00000000-0005-0000-0000-00008F480000}"/>
    <cellStyle name="Normal 2 2 2 3 30 4 4" xfId="18576" xr:uid="{00000000-0005-0000-0000-000090480000}"/>
    <cellStyle name="Normal 2 2 2 3 30 4 5" xfId="18577" xr:uid="{00000000-0005-0000-0000-000091480000}"/>
    <cellStyle name="Normal 2 2 2 3 30 4 6" xfId="18578" xr:uid="{00000000-0005-0000-0000-000092480000}"/>
    <cellStyle name="Normal 2 2 2 3 30 4 7" xfId="18579" xr:uid="{00000000-0005-0000-0000-000093480000}"/>
    <cellStyle name="Normal 2 2 2 3 30 4 8" xfId="18580" xr:uid="{00000000-0005-0000-0000-000094480000}"/>
    <cellStyle name="Normal 2 2 2 3 30 4 9" xfId="18581" xr:uid="{00000000-0005-0000-0000-000095480000}"/>
    <cellStyle name="Normal 2 2 2 3 30 5" xfId="18582" xr:uid="{00000000-0005-0000-0000-000096480000}"/>
    <cellStyle name="Normal 2 2 2 3 30 5 10" xfId="18583" xr:uid="{00000000-0005-0000-0000-000097480000}"/>
    <cellStyle name="Normal 2 2 2 3 30 5 2" xfId="18584" xr:uid="{00000000-0005-0000-0000-000098480000}"/>
    <cellStyle name="Normal 2 2 2 3 30 5 3" xfId="18585" xr:uid="{00000000-0005-0000-0000-000099480000}"/>
    <cellStyle name="Normal 2 2 2 3 30 5 4" xfId="18586" xr:uid="{00000000-0005-0000-0000-00009A480000}"/>
    <cellStyle name="Normal 2 2 2 3 30 5 5" xfId="18587" xr:uid="{00000000-0005-0000-0000-00009B480000}"/>
    <cellStyle name="Normal 2 2 2 3 30 5 6" xfId="18588" xr:uid="{00000000-0005-0000-0000-00009C480000}"/>
    <cellStyle name="Normal 2 2 2 3 30 5 7" xfId="18589" xr:uid="{00000000-0005-0000-0000-00009D480000}"/>
    <cellStyle name="Normal 2 2 2 3 30 5 8" xfId="18590" xr:uid="{00000000-0005-0000-0000-00009E480000}"/>
    <cellStyle name="Normal 2 2 2 3 30 5 9" xfId="18591" xr:uid="{00000000-0005-0000-0000-00009F480000}"/>
    <cellStyle name="Normal 2 2 2 3 30 6" xfId="18592" xr:uid="{00000000-0005-0000-0000-0000A0480000}"/>
    <cellStyle name="Normal 2 2 2 3 30 7" xfId="18593" xr:uid="{00000000-0005-0000-0000-0000A1480000}"/>
    <cellStyle name="Normal 2 2 2 3 30 8" xfId="18594" xr:uid="{00000000-0005-0000-0000-0000A2480000}"/>
    <cellStyle name="Normal 2 2 2 3 30 9" xfId="18595" xr:uid="{00000000-0005-0000-0000-0000A3480000}"/>
    <cellStyle name="Normal 2 2 2 3 31" xfId="18596" xr:uid="{00000000-0005-0000-0000-0000A4480000}"/>
    <cellStyle name="Normal 2 2 2 3 31 10" xfId="18597" xr:uid="{00000000-0005-0000-0000-0000A5480000}"/>
    <cellStyle name="Normal 2 2 2 3 31 11" xfId="18598" xr:uid="{00000000-0005-0000-0000-0000A6480000}"/>
    <cellStyle name="Normal 2 2 2 3 31 12" xfId="18599" xr:uid="{00000000-0005-0000-0000-0000A7480000}"/>
    <cellStyle name="Normal 2 2 2 3 31 13" xfId="18600" xr:uid="{00000000-0005-0000-0000-0000A8480000}"/>
    <cellStyle name="Normal 2 2 2 3 31 14" xfId="18601" xr:uid="{00000000-0005-0000-0000-0000A9480000}"/>
    <cellStyle name="Normal 2 2 2 3 31 2" xfId="18602" xr:uid="{00000000-0005-0000-0000-0000AA480000}"/>
    <cellStyle name="Normal 2 2 2 3 31 2 10" xfId="18603" xr:uid="{00000000-0005-0000-0000-0000AB480000}"/>
    <cellStyle name="Normal 2 2 2 3 31 2 2" xfId="18604" xr:uid="{00000000-0005-0000-0000-0000AC480000}"/>
    <cellStyle name="Normal 2 2 2 3 31 2 3" xfId="18605" xr:uid="{00000000-0005-0000-0000-0000AD480000}"/>
    <cellStyle name="Normal 2 2 2 3 31 2 4" xfId="18606" xr:uid="{00000000-0005-0000-0000-0000AE480000}"/>
    <cellStyle name="Normal 2 2 2 3 31 2 5" xfId="18607" xr:uid="{00000000-0005-0000-0000-0000AF480000}"/>
    <cellStyle name="Normal 2 2 2 3 31 2 6" xfId="18608" xr:uid="{00000000-0005-0000-0000-0000B0480000}"/>
    <cellStyle name="Normal 2 2 2 3 31 2 7" xfId="18609" xr:uid="{00000000-0005-0000-0000-0000B1480000}"/>
    <cellStyle name="Normal 2 2 2 3 31 2 8" xfId="18610" xr:uid="{00000000-0005-0000-0000-0000B2480000}"/>
    <cellStyle name="Normal 2 2 2 3 31 2 9" xfId="18611" xr:uid="{00000000-0005-0000-0000-0000B3480000}"/>
    <cellStyle name="Normal 2 2 2 3 31 3" xfId="18612" xr:uid="{00000000-0005-0000-0000-0000B4480000}"/>
    <cellStyle name="Normal 2 2 2 3 31 3 10" xfId="18613" xr:uid="{00000000-0005-0000-0000-0000B5480000}"/>
    <cellStyle name="Normal 2 2 2 3 31 3 2" xfId="18614" xr:uid="{00000000-0005-0000-0000-0000B6480000}"/>
    <cellStyle name="Normal 2 2 2 3 31 3 3" xfId="18615" xr:uid="{00000000-0005-0000-0000-0000B7480000}"/>
    <cellStyle name="Normal 2 2 2 3 31 3 4" xfId="18616" xr:uid="{00000000-0005-0000-0000-0000B8480000}"/>
    <cellStyle name="Normal 2 2 2 3 31 3 5" xfId="18617" xr:uid="{00000000-0005-0000-0000-0000B9480000}"/>
    <cellStyle name="Normal 2 2 2 3 31 3 6" xfId="18618" xr:uid="{00000000-0005-0000-0000-0000BA480000}"/>
    <cellStyle name="Normal 2 2 2 3 31 3 7" xfId="18619" xr:uid="{00000000-0005-0000-0000-0000BB480000}"/>
    <cellStyle name="Normal 2 2 2 3 31 3 8" xfId="18620" xr:uid="{00000000-0005-0000-0000-0000BC480000}"/>
    <cellStyle name="Normal 2 2 2 3 31 3 9" xfId="18621" xr:uid="{00000000-0005-0000-0000-0000BD480000}"/>
    <cellStyle name="Normal 2 2 2 3 31 4" xfId="18622" xr:uid="{00000000-0005-0000-0000-0000BE480000}"/>
    <cellStyle name="Normal 2 2 2 3 31 4 10" xfId="18623" xr:uid="{00000000-0005-0000-0000-0000BF480000}"/>
    <cellStyle name="Normal 2 2 2 3 31 4 2" xfId="18624" xr:uid="{00000000-0005-0000-0000-0000C0480000}"/>
    <cellStyle name="Normal 2 2 2 3 31 4 3" xfId="18625" xr:uid="{00000000-0005-0000-0000-0000C1480000}"/>
    <cellStyle name="Normal 2 2 2 3 31 4 4" xfId="18626" xr:uid="{00000000-0005-0000-0000-0000C2480000}"/>
    <cellStyle name="Normal 2 2 2 3 31 4 5" xfId="18627" xr:uid="{00000000-0005-0000-0000-0000C3480000}"/>
    <cellStyle name="Normal 2 2 2 3 31 4 6" xfId="18628" xr:uid="{00000000-0005-0000-0000-0000C4480000}"/>
    <cellStyle name="Normal 2 2 2 3 31 4 7" xfId="18629" xr:uid="{00000000-0005-0000-0000-0000C5480000}"/>
    <cellStyle name="Normal 2 2 2 3 31 4 8" xfId="18630" xr:uid="{00000000-0005-0000-0000-0000C6480000}"/>
    <cellStyle name="Normal 2 2 2 3 31 4 9" xfId="18631" xr:uid="{00000000-0005-0000-0000-0000C7480000}"/>
    <cellStyle name="Normal 2 2 2 3 31 5" xfId="18632" xr:uid="{00000000-0005-0000-0000-0000C8480000}"/>
    <cellStyle name="Normal 2 2 2 3 31 5 10" xfId="18633" xr:uid="{00000000-0005-0000-0000-0000C9480000}"/>
    <cellStyle name="Normal 2 2 2 3 31 5 2" xfId="18634" xr:uid="{00000000-0005-0000-0000-0000CA480000}"/>
    <cellStyle name="Normal 2 2 2 3 31 5 3" xfId="18635" xr:uid="{00000000-0005-0000-0000-0000CB480000}"/>
    <cellStyle name="Normal 2 2 2 3 31 5 4" xfId="18636" xr:uid="{00000000-0005-0000-0000-0000CC480000}"/>
    <cellStyle name="Normal 2 2 2 3 31 5 5" xfId="18637" xr:uid="{00000000-0005-0000-0000-0000CD480000}"/>
    <cellStyle name="Normal 2 2 2 3 31 5 6" xfId="18638" xr:uid="{00000000-0005-0000-0000-0000CE480000}"/>
    <cellStyle name="Normal 2 2 2 3 31 5 7" xfId="18639" xr:uid="{00000000-0005-0000-0000-0000CF480000}"/>
    <cellStyle name="Normal 2 2 2 3 31 5 8" xfId="18640" xr:uid="{00000000-0005-0000-0000-0000D0480000}"/>
    <cellStyle name="Normal 2 2 2 3 31 5 9" xfId="18641" xr:uid="{00000000-0005-0000-0000-0000D1480000}"/>
    <cellStyle name="Normal 2 2 2 3 31 6" xfId="18642" xr:uid="{00000000-0005-0000-0000-0000D2480000}"/>
    <cellStyle name="Normal 2 2 2 3 31 7" xfId="18643" xr:uid="{00000000-0005-0000-0000-0000D3480000}"/>
    <cellStyle name="Normal 2 2 2 3 31 8" xfId="18644" xr:uid="{00000000-0005-0000-0000-0000D4480000}"/>
    <cellStyle name="Normal 2 2 2 3 31 9" xfId="18645" xr:uid="{00000000-0005-0000-0000-0000D5480000}"/>
    <cellStyle name="Normal 2 2 2 3 32" xfId="18646" xr:uid="{00000000-0005-0000-0000-0000D6480000}"/>
    <cellStyle name="Normal 2 2 2 3 32 10" xfId="18647" xr:uid="{00000000-0005-0000-0000-0000D7480000}"/>
    <cellStyle name="Normal 2 2 2 3 32 11" xfId="18648" xr:uid="{00000000-0005-0000-0000-0000D8480000}"/>
    <cellStyle name="Normal 2 2 2 3 32 12" xfId="18649" xr:uid="{00000000-0005-0000-0000-0000D9480000}"/>
    <cellStyle name="Normal 2 2 2 3 32 13" xfId="18650" xr:uid="{00000000-0005-0000-0000-0000DA480000}"/>
    <cellStyle name="Normal 2 2 2 3 32 14" xfId="18651" xr:uid="{00000000-0005-0000-0000-0000DB480000}"/>
    <cellStyle name="Normal 2 2 2 3 32 2" xfId="18652" xr:uid="{00000000-0005-0000-0000-0000DC480000}"/>
    <cellStyle name="Normal 2 2 2 3 32 2 10" xfId="18653" xr:uid="{00000000-0005-0000-0000-0000DD480000}"/>
    <cellStyle name="Normal 2 2 2 3 32 2 2" xfId="18654" xr:uid="{00000000-0005-0000-0000-0000DE480000}"/>
    <cellStyle name="Normal 2 2 2 3 32 2 3" xfId="18655" xr:uid="{00000000-0005-0000-0000-0000DF480000}"/>
    <cellStyle name="Normal 2 2 2 3 32 2 4" xfId="18656" xr:uid="{00000000-0005-0000-0000-0000E0480000}"/>
    <cellStyle name="Normal 2 2 2 3 32 2 5" xfId="18657" xr:uid="{00000000-0005-0000-0000-0000E1480000}"/>
    <cellStyle name="Normal 2 2 2 3 32 2 6" xfId="18658" xr:uid="{00000000-0005-0000-0000-0000E2480000}"/>
    <cellStyle name="Normal 2 2 2 3 32 2 7" xfId="18659" xr:uid="{00000000-0005-0000-0000-0000E3480000}"/>
    <cellStyle name="Normal 2 2 2 3 32 2 8" xfId="18660" xr:uid="{00000000-0005-0000-0000-0000E4480000}"/>
    <cellStyle name="Normal 2 2 2 3 32 2 9" xfId="18661" xr:uid="{00000000-0005-0000-0000-0000E5480000}"/>
    <cellStyle name="Normal 2 2 2 3 32 3" xfId="18662" xr:uid="{00000000-0005-0000-0000-0000E6480000}"/>
    <cellStyle name="Normal 2 2 2 3 32 3 10" xfId="18663" xr:uid="{00000000-0005-0000-0000-0000E7480000}"/>
    <cellStyle name="Normal 2 2 2 3 32 3 2" xfId="18664" xr:uid="{00000000-0005-0000-0000-0000E8480000}"/>
    <cellStyle name="Normal 2 2 2 3 32 3 3" xfId="18665" xr:uid="{00000000-0005-0000-0000-0000E9480000}"/>
    <cellStyle name="Normal 2 2 2 3 32 3 4" xfId="18666" xr:uid="{00000000-0005-0000-0000-0000EA480000}"/>
    <cellStyle name="Normal 2 2 2 3 32 3 5" xfId="18667" xr:uid="{00000000-0005-0000-0000-0000EB480000}"/>
    <cellStyle name="Normal 2 2 2 3 32 3 6" xfId="18668" xr:uid="{00000000-0005-0000-0000-0000EC480000}"/>
    <cellStyle name="Normal 2 2 2 3 32 3 7" xfId="18669" xr:uid="{00000000-0005-0000-0000-0000ED480000}"/>
    <cellStyle name="Normal 2 2 2 3 32 3 8" xfId="18670" xr:uid="{00000000-0005-0000-0000-0000EE480000}"/>
    <cellStyle name="Normal 2 2 2 3 32 3 9" xfId="18671" xr:uid="{00000000-0005-0000-0000-0000EF480000}"/>
    <cellStyle name="Normal 2 2 2 3 32 4" xfId="18672" xr:uid="{00000000-0005-0000-0000-0000F0480000}"/>
    <cellStyle name="Normal 2 2 2 3 32 4 10" xfId="18673" xr:uid="{00000000-0005-0000-0000-0000F1480000}"/>
    <cellStyle name="Normal 2 2 2 3 32 4 2" xfId="18674" xr:uid="{00000000-0005-0000-0000-0000F2480000}"/>
    <cellStyle name="Normal 2 2 2 3 32 4 3" xfId="18675" xr:uid="{00000000-0005-0000-0000-0000F3480000}"/>
    <cellStyle name="Normal 2 2 2 3 32 4 4" xfId="18676" xr:uid="{00000000-0005-0000-0000-0000F4480000}"/>
    <cellStyle name="Normal 2 2 2 3 32 4 5" xfId="18677" xr:uid="{00000000-0005-0000-0000-0000F5480000}"/>
    <cellStyle name="Normal 2 2 2 3 32 4 6" xfId="18678" xr:uid="{00000000-0005-0000-0000-0000F6480000}"/>
    <cellStyle name="Normal 2 2 2 3 32 4 7" xfId="18679" xr:uid="{00000000-0005-0000-0000-0000F7480000}"/>
    <cellStyle name="Normal 2 2 2 3 32 4 8" xfId="18680" xr:uid="{00000000-0005-0000-0000-0000F8480000}"/>
    <cellStyle name="Normal 2 2 2 3 32 4 9" xfId="18681" xr:uid="{00000000-0005-0000-0000-0000F9480000}"/>
    <cellStyle name="Normal 2 2 2 3 32 5" xfId="18682" xr:uid="{00000000-0005-0000-0000-0000FA480000}"/>
    <cellStyle name="Normal 2 2 2 3 32 5 10" xfId="18683" xr:uid="{00000000-0005-0000-0000-0000FB480000}"/>
    <cellStyle name="Normal 2 2 2 3 32 5 2" xfId="18684" xr:uid="{00000000-0005-0000-0000-0000FC480000}"/>
    <cellStyle name="Normal 2 2 2 3 32 5 3" xfId="18685" xr:uid="{00000000-0005-0000-0000-0000FD480000}"/>
    <cellStyle name="Normal 2 2 2 3 32 5 4" xfId="18686" xr:uid="{00000000-0005-0000-0000-0000FE480000}"/>
    <cellStyle name="Normal 2 2 2 3 32 5 5" xfId="18687" xr:uid="{00000000-0005-0000-0000-0000FF480000}"/>
    <cellStyle name="Normal 2 2 2 3 32 5 6" xfId="18688" xr:uid="{00000000-0005-0000-0000-000000490000}"/>
    <cellStyle name="Normal 2 2 2 3 32 5 7" xfId="18689" xr:uid="{00000000-0005-0000-0000-000001490000}"/>
    <cellStyle name="Normal 2 2 2 3 32 5 8" xfId="18690" xr:uid="{00000000-0005-0000-0000-000002490000}"/>
    <cellStyle name="Normal 2 2 2 3 32 5 9" xfId="18691" xr:uid="{00000000-0005-0000-0000-000003490000}"/>
    <cellStyle name="Normal 2 2 2 3 32 6" xfId="18692" xr:uid="{00000000-0005-0000-0000-000004490000}"/>
    <cellStyle name="Normal 2 2 2 3 32 7" xfId="18693" xr:uid="{00000000-0005-0000-0000-000005490000}"/>
    <cellStyle name="Normal 2 2 2 3 32 8" xfId="18694" xr:uid="{00000000-0005-0000-0000-000006490000}"/>
    <cellStyle name="Normal 2 2 2 3 32 9" xfId="18695" xr:uid="{00000000-0005-0000-0000-000007490000}"/>
    <cellStyle name="Normal 2 2 2 3 33" xfId="18696" xr:uid="{00000000-0005-0000-0000-000008490000}"/>
    <cellStyle name="Normal 2 2 2 3 33 10" xfId="18697" xr:uid="{00000000-0005-0000-0000-000009490000}"/>
    <cellStyle name="Normal 2 2 2 3 33 11" xfId="18698" xr:uid="{00000000-0005-0000-0000-00000A490000}"/>
    <cellStyle name="Normal 2 2 2 3 33 12" xfId="18699" xr:uid="{00000000-0005-0000-0000-00000B490000}"/>
    <cellStyle name="Normal 2 2 2 3 33 13" xfId="18700" xr:uid="{00000000-0005-0000-0000-00000C490000}"/>
    <cellStyle name="Normal 2 2 2 3 33 14" xfId="18701" xr:uid="{00000000-0005-0000-0000-00000D490000}"/>
    <cellStyle name="Normal 2 2 2 3 33 2" xfId="18702" xr:uid="{00000000-0005-0000-0000-00000E490000}"/>
    <cellStyle name="Normal 2 2 2 3 33 2 10" xfId="18703" xr:uid="{00000000-0005-0000-0000-00000F490000}"/>
    <cellStyle name="Normal 2 2 2 3 33 2 2" xfId="18704" xr:uid="{00000000-0005-0000-0000-000010490000}"/>
    <cellStyle name="Normal 2 2 2 3 33 2 3" xfId="18705" xr:uid="{00000000-0005-0000-0000-000011490000}"/>
    <cellStyle name="Normal 2 2 2 3 33 2 4" xfId="18706" xr:uid="{00000000-0005-0000-0000-000012490000}"/>
    <cellStyle name="Normal 2 2 2 3 33 2 5" xfId="18707" xr:uid="{00000000-0005-0000-0000-000013490000}"/>
    <cellStyle name="Normal 2 2 2 3 33 2 6" xfId="18708" xr:uid="{00000000-0005-0000-0000-000014490000}"/>
    <cellStyle name="Normal 2 2 2 3 33 2 7" xfId="18709" xr:uid="{00000000-0005-0000-0000-000015490000}"/>
    <cellStyle name="Normal 2 2 2 3 33 2 8" xfId="18710" xr:uid="{00000000-0005-0000-0000-000016490000}"/>
    <cellStyle name="Normal 2 2 2 3 33 2 9" xfId="18711" xr:uid="{00000000-0005-0000-0000-000017490000}"/>
    <cellStyle name="Normal 2 2 2 3 33 3" xfId="18712" xr:uid="{00000000-0005-0000-0000-000018490000}"/>
    <cellStyle name="Normal 2 2 2 3 33 3 10" xfId="18713" xr:uid="{00000000-0005-0000-0000-000019490000}"/>
    <cellStyle name="Normal 2 2 2 3 33 3 2" xfId="18714" xr:uid="{00000000-0005-0000-0000-00001A490000}"/>
    <cellStyle name="Normal 2 2 2 3 33 3 3" xfId="18715" xr:uid="{00000000-0005-0000-0000-00001B490000}"/>
    <cellStyle name="Normal 2 2 2 3 33 3 4" xfId="18716" xr:uid="{00000000-0005-0000-0000-00001C490000}"/>
    <cellStyle name="Normal 2 2 2 3 33 3 5" xfId="18717" xr:uid="{00000000-0005-0000-0000-00001D490000}"/>
    <cellStyle name="Normal 2 2 2 3 33 3 6" xfId="18718" xr:uid="{00000000-0005-0000-0000-00001E490000}"/>
    <cellStyle name="Normal 2 2 2 3 33 3 7" xfId="18719" xr:uid="{00000000-0005-0000-0000-00001F490000}"/>
    <cellStyle name="Normal 2 2 2 3 33 3 8" xfId="18720" xr:uid="{00000000-0005-0000-0000-000020490000}"/>
    <cellStyle name="Normal 2 2 2 3 33 3 9" xfId="18721" xr:uid="{00000000-0005-0000-0000-000021490000}"/>
    <cellStyle name="Normal 2 2 2 3 33 4" xfId="18722" xr:uid="{00000000-0005-0000-0000-000022490000}"/>
    <cellStyle name="Normal 2 2 2 3 33 4 10" xfId="18723" xr:uid="{00000000-0005-0000-0000-000023490000}"/>
    <cellStyle name="Normal 2 2 2 3 33 4 2" xfId="18724" xr:uid="{00000000-0005-0000-0000-000024490000}"/>
    <cellStyle name="Normal 2 2 2 3 33 4 3" xfId="18725" xr:uid="{00000000-0005-0000-0000-000025490000}"/>
    <cellStyle name="Normal 2 2 2 3 33 4 4" xfId="18726" xr:uid="{00000000-0005-0000-0000-000026490000}"/>
    <cellStyle name="Normal 2 2 2 3 33 4 5" xfId="18727" xr:uid="{00000000-0005-0000-0000-000027490000}"/>
    <cellStyle name="Normal 2 2 2 3 33 4 6" xfId="18728" xr:uid="{00000000-0005-0000-0000-000028490000}"/>
    <cellStyle name="Normal 2 2 2 3 33 4 7" xfId="18729" xr:uid="{00000000-0005-0000-0000-000029490000}"/>
    <cellStyle name="Normal 2 2 2 3 33 4 8" xfId="18730" xr:uid="{00000000-0005-0000-0000-00002A490000}"/>
    <cellStyle name="Normal 2 2 2 3 33 4 9" xfId="18731" xr:uid="{00000000-0005-0000-0000-00002B490000}"/>
    <cellStyle name="Normal 2 2 2 3 33 5" xfId="18732" xr:uid="{00000000-0005-0000-0000-00002C490000}"/>
    <cellStyle name="Normal 2 2 2 3 33 5 10" xfId="18733" xr:uid="{00000000-0005-0000-0000-00002D490000}"/>
    <cellStyle name="Normal 2 2 2 3 33 5 2" xfId="18734" xr:uid="{00000000-0005-0000-0000-00002E490000}"/>
    <cellStyle name="Normal 2 2 2 3 33 5 3" xfId="18735" xr:uid="{00000000-0005-0000-0000-00002F490000}"/>
    <cellStyle name="Normal 2 2 2 3 33 5 4" xfId="18736" xr:uid="{00000000-0005-0000-0000-000030490000}"/>
    <cellStyle name="Normal 2 2 2 3 33 5 5" xfId="18737" xr:uid="{00000000-0005-0000-0000-000031490000}"/>
    <cellStyle name="Normal 2 2 2 3 33 5 6" xfId="18738" xr:uid="{00000000-0005-0000-0000-000032490000}"/>
    <cellStyle name="Normal 2 2 2 3 33 5 7" xfId="18739" xr:uid="{00000000-0005-0000-0000-000033490000}"/>
    <cellStyle name="Normal 2 2 2 3 33 5 8" xfId="18740" xr:uid="{00000000-0005-0000-0000-000034490000}"/>
    <cellStyle name="Normal 2 2 2 3 33 5 9" xfId="18741" xr:uid="{00000000-0005-0000-0000-000035490000}"/>
    <cellStyle name="Normal 2 2 2 3 33 6" xfId="18742" xr:uid="{00000000-0005-0000-0000-000036490000}"/>
    <cellStyle name="Normal 2 2 2 3 33 7" xfId="18743" xr:uid="{00000000-0005-0000-0000-000037490000}"/>
    <cellStyle name="Normal 2 2 2 3 33 8" xfId="18744" xr:uid="{00000000-0005-0000-0000-000038490000}"/>
    <cellStyle name="Normal 2 2 2 3 33 9" xfId="18745" xr:uid="{00000000-0005-0000-0000-000039490000}"/>
    <cellStyle name="Normal 2 2 2 3 34" xfId="18746" xr:uid="{00000000-0005-0000-0000-00003A490000}"/>
    <cellStyle name="Normal 2 2 2 3 34 10" xfId="18747" xr:uid="{00000000-0005-0000-0000-00003B490000}"/>
    <cellStyle name="Normal 2 2 2 3 34 2" xfId="18748" xr:uid="{00000000-0005-0000-0000-00003C490000}"/>
    <cellStyle name="Normal 2 2 2 3 34 3" xfId="18749" xr:uid="{00000000-0005-0000-0000-00003D490000}"/>
    <cellStyle name="Normal 2 2 2 3 34 4" xfId="18750" xr:uid="{00000000-0005-0000-0000-00003E490000}"/>
    <cellStyle name="Normal 2 2 2 3 34 5" xfId="18751" xr:uid="{00000000-0005-0000-0000-00003F490000}"/>
    <cellStyle name="Normal 2 2 2 3 34 6" xfId="18752" xr:uid="{00000000-0005-0000-0000-000040490000}"/>
    <cellStyle name="Normal 2 2 2 3 34 7" xfId="18753" xr:uid="{00000000-0005-0000-0000-000041490000}"/>
    <cellStyle name="Normal 2 2 2 3 34 8" xfId="18754" xr:uid="{00000000-0005-0000-0000-000042490000}"/>
    <cellStyle name="Normal 2 2 2 3 34 9" xfId="18755" xr:uid="{00000000-0005-0000-0000-000043490000}"/>
    <cellStyle name="Normal 2 2 2 3 35" xfId="18756" xr:uid="{00000000-0005-0000-0000-000044490000}"/>
    <cellStyle name="Normal 2 2 2 3 35 10" xfId="18757" xr:uid="{00000000-0005-0000-0000-000045490000}"/>
    <cellStyle name="Normal 2 2 2 3 35 2" xfId="18758" xr:uid="{00000000-0005-0000-0000-000046490000}"/>
    <cellStyle name="Normal 2 2 2 3 35 3" xfId="18759" xr:uid="{00000000-0005-0000-0000-000047490000}"/>
    <cellStyle name="Normal 2 2 2 3 35 4" xfId="18760" xr:uid="{00000000-0005-0000-0000-000048490000}"/>
    <cellStyle name="Normal 2 2 2 3 35 5" xfId="18761" xr:uid="{00000000-0005-0000-0000-000049490000}"/>
    <cellStyle name="Normal 2 2 2 3 35 6" xfId="18762" xr:uid="{00000000-0005-0000-0000-00004A490000}"/>
    <cellStyle name="Normal 2 2 2 3 35 7" xfId="18763" xr:uid="{00000000-0005-0000-0000-00004B490000}"/>
    <cellStyle name="Normal 2 2 2 3 35 8" xfId="18764" xr:uid="{00000000-0005-0000-0000-00004C490000}"/>
    <cellStyle name="Normal 2 2 2 3 35 9" xfId="18765" xr:uid="{00000000-0005-0000-0000-00004D490000}"/>
    <cellStyle name="Normal 2 2 2 3 36" xfId="18766" xr:uid="{00000000-0005-0000-0000-00004E490000}"/>
    <cellStyle name="Normal 2 2 2 3 36 10" xfId="18767" xr:uid="{00000000-0005-0000-0000-00004F490000}"/>
    <cellStyle name="Normal 2 2 2 3 36 2" xfId="18768" xr:uid="{00000000-0005-0000-0000-000050490000}"/>
    <cellStyle name="Normal 2 2 2 3 36 3" xfId="18769" xr:uid="{00000000-0005-0000-0000-000051490000}"/>
    <cellStyle name="Normal 2 2 2 3 36 4" xfId="18770" xr:uid="{00000000-0005-0000-0000-000052490000}"/>
    <cellStyle name="Normal 2 2 2 3 36 5" xfId="18771" xr:uid="{00000000-0005-0000-0000-000053490000}"/>
    <cellStyle name="Normal 2 2 2 3 36 6" xfId="18772" xr:uid="{00000000-0005-0000-0000-000054490000}"/>
    <cellStyle name="Normal 2 2 2 3 36 7" xfId="18773" xr:uid="{00000000-0005-0000-0000-000055490000}"/>
    <cellStyle name="Normal 2 2 2 3 36 8" xfId="18774" xr:uid="{00000000-0005-0000-0000-000056490000}"/>
    <cellStyle name="Normal 2 2 2 3 36 9" xfId="18775" xr:uid="{00000000-0005-0000-0000-000057490000}"/>
    <cellStyle name="Normal 2 2 2 3 37" xfId="18776" xr:uid="{00000000-0005-0000-0000-000058490000}"/>
    <cellStyle name="Normal 2 2 2 3 37 10" xfId="18777" xr:uid="{00000000-0005-0000-0000-000059490000}"/>
    <cellStyle name="Normal 2 2 2 3 37 2" xfId="18778" xr:uid="{00000000-0005-0000-0000-00005A490000}"/>
    <cellStyle name="Normal 2 2 2 3 37 3" xfId="18779" xr:uid="{00000000-0005-0000-0000-00005B490000}"/>
    <cellStyle name="Normal 2 2 2 3 37 4" xfId="18780" xr:uid="{00000000-0005-0000-0000-00005C490000}"/>
    <cellStyle name="Normal 2 2 2 3 37 5" xfId="18781" xr:uid="{00000000-0005-0000-0000-00005D490000}"/>
    <cellStyle name="Normal 2 2 2 3 37 6" xfId="18782" xr:uid="{00000000-0005-0000-0000-00005E490000}"/>
    <cellStyle name="Normal 2 2 2 3 37 7" xfId="18783" xr:uid="{00000000-0005-0000-0000-00005F490000}"/>
    <cellStyle name="Normal 2 2 2 3 37 8" xfId="18784" xr:uid="{00000000-0005-0000-0000-000060490000}"/>
    <cellStyle name="Normal 2 2 2 3 37 9" xfId="18785" xr:uid="{00000000-0005-0000-0000-000061490000}"/>
    <cellStyle name="Normal 2 2 2 3 38" xfId="18786" xr:uid="{00000000-0005-0000-0000-000062490000}"/>
    <cellStyle name="Normal 2 2 2 3 39" xfId="18787" xr:uid="{00000000-0005-0000-0000-000063490000}"/>
    <cellStyle name="Normal 2 2 2 3 4" xfId="18788" xr:uid="{00000000-0005-0000-0000-000064490000}"/>
    <cellStyle name="Normal 2 2 2 3 4 10" xfId="18789" xr:uid="{00000000-0005-0000-0000-000065490000}"/>
    <cellStyle name="Normal 2 2 2 3 4 11" xfId="18790" xr:uid="{00000000-0005-0000-0000-000066490000}"/>
    <cellStyle name="Normal 2 2 2 3 4 12" xfId="18791" xr:uid="{00000000-0005-0000-0000-000067490000}"/>
    <cellStyle name="Normal 2 2 2 3 4 13" xfId="18792" xr:uid="{00000000-0005-0000-0000-000068490000}"/>
    <cellStyle name="Normal 2 2 2 3 4 14" xfId="18793" xr:uid="{00000000-0005-0000-0000-000069490000}"/>
    <cellStyle name="Normal 2 2 2 3 4 15" xfId="18794" xr:uid="{00000000-0005-0000-0000-00006A490000}"/>
    <cellStyle name="Normal 2 2 2 3 4 16" xfId="18795" xr:uid="{00000000-0005-0000-0000-00006B490000}"/>
    <cellStyle name="Normal 2 2 2 3 4 2" xfId="18796" xr:uid="{00000000-0005-0000-0000-00006C490000}"/>
    <cellStyle name="Normal 2 2 2 3 4 2 10" xfId="18797" xr:uid="{00000000-0005-0000-0000-00006D490000}"/>
    <cellStyle name="Normal 2 2 2 3 4 2 2" xfId="18798" xr:uid="{00000000-0005-0000-0000-00006E490000}"/>
    <cellStyle name="Normal 2 2 2 3 4 2 3" xfId="18799" xr:uid="{00000000-0005-0000-0000-00006F490000}"/>
    <cellStyle name="Normal 2 2 2 3 4 2 4" xfId="18800" xr:uid="{00000000-0005-0000-0000-000070490000}"/>
    <cellStyle name="Normal 2 2 2 3 4 2 5" xfId="18801" xr:uid="{00000000-0005-0000-0000-000071490000}"/>
    <cellStyle name="Normal 2 2 2 3 4 2 6" xfId="18802" xr:uid="{00000000-0005-0000-0000-000072490000}"/>
    <cellStyle name="Normal 2 2 2 3 4 2 7" xfId="18803" xr:uid="{00000000-0005-0000-0000-000073490000}"/>
    <cellStyle name="Normal 2 2 2 3 4 2 8" xfId="18804" xr:uid="{00000000-0005-0000-0000-000074490000}"/>
    <cellStyle name="Normal 2 2 2 3 4 2 9" xfId="18805" xr:uid="{00000000-0005-0000-0000-000075490000}"/>
    <cellStyle name="Normal 2 2 2 3 4 3" xfId="18806" xr:uid="{00000000-0005-0000-0000-000076490000}"/>
    <cellStyle name="Normal 2 2 2 3 4 3 10" xfId="18807" xr:uid="{00000000-0005-0000-0000-000077490000}"/>
    <cellStyle name="Normal 2 2 2 3 4 3 2" xfId="18808" xr:uid="{00000000-0005-0000-0000-000078490000}"/>
    <cellStyle name="Normal 2 2 2 3 4 3 3" xfId="18809" xr:uid="{00000000-0005-0000-0000-000079490000}"/>
    <cellStyle name="Normal 2 2 2 3 4 3 4" xfId="18810" xr:uid="{00000000-0005-0000-0000-00007A490000}"/>
    <cellStyle name="Normal 2 2 2 3 4 3 5" xfId="18811" xr:uid="{00000000-0005-0000-0000-00007B490000}"/>
    <cellStyle name="Normal 2 2 2 3 4 3 6" xfId="18812" xr:uid="{00000000-0005-0000-0000-00007C490000}"/>
    <cellStyle name="Normal 2 2 2 3 4 3 7" xfId="18813" xr:uid="{00000000-0005-0000-0000-00007D490000}"/>
    <cellStyle name="Normal 2 2 2 3 4 3 8" xfId="18814" xr:uid="{00000000-0005-0000-0000-00007E490000}"/>
    <cellStyle name="Normal 2 2 2 3 4 3 9" xfId="18815" xr:uid="{00000000-0005-0000-0000-00007F490000}"/>
    <cellStyle name="Normal 2 2 2 3 4 4" xfId="18816" xr:uid="{00000000-0005-0000-0000-000080490000}"/>
    <cellStyle name="Normal 2 2 2 3 4 4 10" xfId="18817" xr:uid="{00000000-0005-0000-0000-000081490000}"/>
    <cellStyle name="Normal 2 2 2 3 4 4 2" xfId="18818" xr:uid="{00000000-0005-0000-0000-000082490000}"/>
    <cellStyle name="Normal 2 2 2 3 4 4 3" xfId="18819" xr:uid="{00000000-0005-0000-0000-000083490000}"/>
    <cellStyle name="Normal 2 2 2 3 4 4 4" xfId="18820" xr:uid="{00000000-0005-0000-0000-000084490000}"/>
    <cellStyle name="Normal 2 2 2 3 4 4 5" xfId="18821" xr:uid="{00000000-0005-0000-0000-000085490000}"/>
    <cellStyle name="Normal 2 2 2 3 4 4 6" xfId="18822" xr:uid="{00000000-0005-0000-0000-000086490000}"/>
    <cellStyle name="Normal 2 2 2 3 4 4 7" xfId="18823" xr:uid="{00000000-0005-0000-0000-000087490000}"/>
    <cellStyle name="Normal 2 2 2 3 4 4 8" xfId="18824" xr:uid="{00000000-0005-0000-0000-000088490000}"/>
    <cellStyle name="Normal 2 2 2 3 4 4 9" xfId="18825" xr:uid="{00000000-0005-0000-0000-000089490000}"/>
    <cellStyle name="Normal 2 2 2 3 4 5" xfId="18826" xr:uid="{00000000-0005-0000-0000-00008A490000}"/>
    <cellStyle name="Normal 2 2 2 3 4 5 10" xfId="18827" xr:uid="{00000000-0005-0000-0000-00008B490000}"/>
    <cellStyle name="Normal 2 2 2 3 4 5 2" xfId="18828" xr:uid="{00000000-0005-0000-0000-00008C490000}"/>
    <cellStyle name="Normal 2 2 2 3 4 5 3" xfId="18829" xr:uid="{00000000-0005-0000-0000-00008D490000}"/>
    <cellStyle name="Normal 2 2 2 3 4 5 4" xfId="18830" xr:uid="{00000000-0005-0000-0000-00008E490000}"/>
    <cellStyle name="Normal 2 2 2 3 4 5 5" xfId="18831" xr:uid="{00000000-0005-0000-0000-00008F490000}"/>
    <cellStyle name="Normal 2 2 2 3 4 5 6" xfId="18832" xr:uid="{00000000-0005-0000-0000-000090490000}"/>
    <cellStyle name="Normal 2 2 2 3 4 5 7" xfId="18833" xr:uid="{00000000-0005-0000-0000-000091490000}"/>
    <cellStyle name="Normal 2 2 2 3 4 5 8" xfId="18834" xr:uid="{00000000-0005-0000-0000-000092490000}"/>
    <cellStyle name="Normal 2 2 2 3 4 5 9" xfId="18835" xr:uid="{00000000-0005-0000-0000-000093490000}"/>
    <cellStyle name="Normal 2 2 2 3 4 6" xfId="18836" xr:uid="{00000000-0005-0000-0000-000094490000}"/>
    <cellStyle name="Normal 2 2 2 3 4 7" xfId="18837" xr:uid="{00000000-0005-0000-0000-000095490000}"/>
    <cellStyle name="Normal 2 2 2 3 4 8" xfId="18838" xr:uid="{00000000-0005-0000-0000-000096490000}"/>
    <cellStyle name="Normal 2 2 2 3 4 9" xfId="18839" xr:uid="{00000000-0005-0000-0000-000097490000}"/>
    <cellStyle name="Normal 2 2 2 3 40" xfId="18840" xr:uid="{00000000-0005-0000-0000-000098490000}"/>
    <cellStyle name="Normal 2 2 2 3 41" xfId="18841" xr:uid="{00000000-0005-0000-0000-000099490000}"/>
    <cellStyle name="Normal 2 2 2 3 42" xfId="18842" xr:uid="{00000000-0005-0000-0000-00009A490000}"/>
    <cellStyle name="Normal 2 2 2 3 43" xfId="18843" xr:uid="{00000000-0005-0000-0000-00009B490000}"/>
    <cellStyle name="Normal 2 2 2 3 44" xfId="18844" xr:uid="{00000000-0005-0000-0000-00009C490000}"/>
    <cellStyle name="Normal 2 2 2 3 45" xfId="18845" xr:uid="{00000000-0005-0000-0000-00009D490000}"/>
    <cellStyle name="Normal 2 2 2 3 46" xfId="18846" xr:uid="{00000000-0005-0000-0000-00009E490000}"/>
    <cellStyle name="Normal 2 2 2 3 47" xfId="18847" xr:uid="{00000000-0005-0000-0000-00009F490000}"/>
    <cellStyle name="Normal 2 2 2 3 48" xfId="18848" xr:uid="{00000000-0005-0000-0000-0000A0490000}"/>
    <cellStyle name="Normal 2 2 2 3 49" xfId="29" xr:uid="{00000000-0005-0000-0000-00001D000000}"/>
    <cellStyle name="Normal 2 2 2 3 5" xfId="18849" xr:uid="{00000000-0005-0000-0000-0000A1490000}"/>
    <cellStyle name="Normal 2 2 2 3 5 10" xfId="18850" xr:uid="{00000000-0005-0000-0000-0000A2490000}"/>
    <cellStyle name="Normal 2 2 2 3 5 11" xfId="18851" xr:uid="{00000000-0005-0000-0000-0000A3490000}"/>
    <cellStyle name="Normal 2 2 2 3 5 12" xfId="18852" xr:uid="{00000000-0005-0000-0000-0000A4490000}"/>
    <cellStyle name="Normal 2 2 2 3 5 13" xfId="18853" xr:uid="{00000000-0005-0000-0000-0000A5490000}"/>
    <cellStyle name="Normal 2 2 2 3 5 14" xfId="18854" xr:uid="{00000000-0005-0000-0000-0000A6490000}"/>
    <cellStyle name="Normal 2 2 2 3 5 15" xfId="18855" xr:uid="{00000000-0005-0000-0000-0000A7490000}"/>
    <cellStyle name="Normal 2 2 2 3 5 2" xfId="18856" xr:uid="{00000000-0005-0000-0000-0000A8490000}"/>
    <cellStyle name="Normal 2 2 2 3 5 2 10" xfId="18857" xr:uid="{00000000-0005-0000-0000-0000A9490000}"/>
    <cellStyle name="Normal 2 2 2 3 5 2 2" xfId="18858" xr:uid="{00000000-0005-0000-0000-0000AA490000}"/>
    <cellStyle name="Normal 2 2 2 3 5 2 3" xfId="18859" xr:uid="{00000000-0005-0000-0000-0000AB490000}"/>
    <cellStyle name="Normal 2 2 2 3 5 2 4" xfId="18860" xr:uid="{00000000-0005-0000-0000-0000AC490000}"/>
    <cellStyle name="Normal 2 2 2 3 5 2 5" xfId="18861" xr:uid="{00000000-0005-0000-0000-0000AD490000}"/>
    <cellStyle name="Normal 2 2 2 3 5 2 6" xfId="18862" xr:uid="{00000000-0005-0000-0000-0000AE490000}"/>
    <cellStyle name="Normal 2 2 2 3 5 2 7" xfId="18863" xr:uid="{00000000-0005-0000-0000-0000AF490000}"/>
    <cellStyle name="Normal 2 2 2 3 5 2 8" xfId="18864" xr:uid="{00000000-0005-0000-0000-0000B0490000}"/>
    <cellStyle name="Normal 2 2 2 3 5 2 9" xfId="18865" xr:uid="{00000000-0005-0000-0000-0000B1490000}"/>
    <cellStyle name="Normal 2 2 2 3 5 3" xfId="18866" xr:uid="{00000000-0005-0000-0000-0000B2490000}"/>
    <cellStyle name="Normal 2 2 2 3 5 3 10" xfId="18867" xr:uid="{00000000-0005-0000-0000-0000B3490000}"/>
    <cellStyle name="Normal 2 2 2 3 5 3 2" xfId="18868" xr:uid="{00000000-0005-0000-0000-0000B4490000}"/>
    <cellStyle name="Normal 2 2 2 3 5 3 3" xfId="18869" xr:uid="{00000000-0005-0000-0000-0000B5490000}"/>
    <cellStyle name="Normal 2 2 2 3 5 3 4" xfId="18870" xr:uid="{00000000-0005-0000-0000-0000B6490000}"/>
    <cellStyle name="Normal 2 2 2 3 5 3 5" xfId="18871" xr:uid="{00000000-0005-0000-0000-0000B7490000}"/>
    <cellStyle name="Normal 2 2 2 3 5 3 6" xfId="18872" xr:uid="{00000000-0005-0000-0000-0000B8490000}"/>
    <cellStyle name="Normal 2 2 2 3 5 3 7" xfId="18873" xr:uid="{00000000-0005-0000-0000-0000B9490000}"/>
    <cellStyle name="Normal 2 2 2 3 5 3 8" xfId="18874" xr:uid="{00000000-0005-0000-0000-0000BA490000}"/>
    <cellStyle name="Normal 2 2 2 3 5 3 9" xfId="18875" xr:uid="{00000000-0005-0000-0000-0000BB490000}"/>
    <cellStyle name="Normal 2 2 2 3 5 4" xfId="18876" xr:uid="{00000000-0005-0000-0000-0000BC490000}"/>
    <cellStyle name="Normal 2 2 2 3 5 4 10" xfId="18877" xr:uid="{00000000-0005-0000-0000-0000BD490000}"/>
    <cellStyle name="Normal 2 2 2 3 5 4 2" xfId="18878" xr:uid="{00000000-0005-0000-0000-0000BE490000}"/>
    <cellStyle name="Normal 2 2 2 3 5 4 3" xfId="18879" xr:uid="{00000000-0005-0000-0000-0000BF490000}"/>
    <cellStyle name="Normal 2 2 2 3 5 4 4" xfId="18880" xr:uid="{00000000-0005-0000-0000-0000C0490000}"/>
    <cellStyle name="Normal 2 2 2 3 5 4 5" xfId="18881" xr:uid="{00000000-0005-0000-0000-0000C1490000}"/>
    <cellStyle name="Normal 2 2 2 3 5 4 6" xfId="18882" xr:uid="{00000000-0005-0000-0000-0000C2490000}"/>
    <cellStyle name="Normal 2 2 2 3 5 4 7" xfId="18883" xr:uid="{00000000-0005-0000-0000-0000C3490000}"/>
    <cellStyle name="Normal 2 2 2 3 5 4 8" xfId="18884" xr:uid="{00000000-0005-0000-0000-0000C4490000}"/>
    <cellStyle name="Normal 2 2 2 3 5 4 9" xfId="18885" xr:uid="{00000000-0005-0000-0000-0000C5490000}"/>
    <cellStyle name="Normal 2 2 2 3 5 5" xfId="18886" xr:uid="{00000000-0005-0000-0000-0000C6490000}"/>
    <cellStyle name="Normal 2 2 2 3 5 5 10" xfId="18887" xr:uid="{00000000-0005-0000-0000-0000C7490000}"/>
    <cellStyle name="Normal 2 2 2 3 5 5 2" xfId="18888" xr:uid="{00000000-0005-0000-0000-0000C8490000}"/>
    <cellStyle name="Normal 2 2 2 3 5 5 3" xfId="18889" xr:uid="{00000000-0005-0000-0000-0000C9490000}"/>
    <cellStyle name="Normal 2 2 2 3 5 5 4" xfId="18890" xr:uid="{00000000-0005-0000-0000-0000CA490000}"/>
    <cellStyle name="Normal 2 2 2 3 5 5 5" xfId="18891" xr:uid="{00000000-0005-0000-0000-0000CB490000}"/>
    <cellStyle name="Normal 2 2 2 3 5 5 6" xfId="18892" xr:uid="{00000000-0005-0000-0000-0000CC490000}"/>
    <cellStyle name="Normal 2 2 2 3 5 5 7" xfId="18893" xr:uid="{00000000-0005-0000-0000-0000CD490000}"/>
    <cellStyle name="Normal 2 2 2 3 5 5 8" xfId="18894" xr:uid="{00000000-0005-0000-0000-0000CE490000}"/>
    <cellStyle name="Normal 2 2 2 3 5 5 9" xfId="18895" xr:uid="{00000000-0005-0000-0000-0000CF490000}"/>
    <cellStyle name="Normal 2 2 2 3 5 6" xfId="18896" xr:uid="{00000000-0005-0000-0000-0000D0490000}"/>
    <cellStyle name="Normal 2 2 2 3 5 7" xfId="18897" xr:uid="{00000000-0005-0000-0000-0000D1490000}"/>
    <cellStyle name="Normal 2 2 2 3 5 8" xfId="18898" xr:uid="{00000000-0005-0000-0000-0000D2490000}"/>
    <cellStyle name="Normal 2 2 2 3 5 9" xfId="18899" xr:uid="{00000000-0005-0000-0000-0000D3490000}"/>
    <cellStyle name="Normal 2 2 2 3 6" xfId="18900" xr:uid="{00000000-0005-0000-0000-0000D4490000}"/>
    <cellStyle name="Normal 2 2 2 3 6 10" xfId="18901" xr:uid="{00000000-0005-0000-0000-0000D5490000}"/>
    <cellStyle name="Normal 2 2 2 3 6 11" xfId="18902" xr:uid="{00000000-0005-0000-0000-0000D6490000}"/>
    <cellStyle name="Normal 2 2 2 3 6 12" xfId="18903" xr:uid="{00000000-0005-0000-0000-0000D7490000}"/>
    <cellStyle name="Normal 2 2 2 3 6 13" xfId="18904" xr:uid="{00000000-0005-0000-0000-0000D8490000}"/>
    <cellStyle name="Normal 2 2 2 3 6 14" xfId="18905" xr:uid="{00000000-0005-0000-0000-0000D9490000}"/>
    <cellStyle name="Normal 2 2 2 3 6 15" xfId="18906" xr:uid="{00000000-0005-0000-0000-0000DA490000}"/>
    <cellStyle name="Normal 2 2 2 3 6 2" xfId="18907" xr:uid="{00000000-0005-0000-0000-0000DB490000}"/>
    <cellStyle name="Normal 2 2 2 3 6 2 10" xfId="18908" xr:uid="{00000000-0005-0000-0000-0000DC490000}"/>
    <cellStyle name="Normal 2 2 2 3 6 2 2" xfId="18909" xr:uid="{00000000-0005-0000-0000-0000DD490000}"/>
    <cellStyle name="Normal 2 2 2 3 6 2 3" xfId="18910" xr:uid="{00000000-0005-0000-0000-0000DE490000}"/>
    <cellStyle name="Normal 2 2 2 3 6 2 4" xfId="18911" xr:uid="{00000000-0005-0000-0000-0000DF490000}"/>
    <cellStyle name="Normal 2 2 2 3 6 2 5" xfId="18912" xr:uid="{00000000-0005-0000-0000-0000E0490000}"/>
    <cellStyle name="Normal 2 2 2 3 6 2 6" xfId="18913" xr:uid="{00000000-0005-0000-0000-0000E1490000}"/>
    <cellStyle name="Normal 2 2 2 3 6 2 7" xfId="18914" xr:uid="{00000000-0005-0000-0000-0000E2490000}"/>
    <cellStyle name="Normal 2 2 2 3 6 2 8" xfId="18915" xr:uid="{00000000-0005-0000-0000-0000E3490000}"/>
    <cellStyle name="Normal 2 2 2 3 6 2 9" xfId="18916" xr:uid="{00000000-0005-0000-0000-0000E4490000}"/>
    <cellStyle name="Normal 2 2 2 3 6 3" xfId="18917" xr:uid="{00000000-0005-0000-0000-0000E5490000}"/>
    <cellStyle name="Normal 2 2 2 3 6 3 10" xfId="18918" xr:uid="{00000000-0005-0000-0000-0000E6490000}"/>
    <cellStyle name="Normal 2 2 2 3 6 3 2" xfId="18919" xr:uid="{00000000-0005-0000-0000-0000E7490000}"/>
    <cellStyle name="Normal 2 2 2 3 6 3 3" xfId="18920" xr:uid="{00000000-0005-0000-0000-0000E8490000}"/>
    <cellStyle name="Normal 2 2 2 3 6 3 4" xfId="18921" xr:uid="{00000000-0005-0000-0000-0000E9490000}"/>
    <cellStyle name="Normal 2 2 2 3 6 3 5" xfId="18922" xr:uid="{00000000-0005-0000-0000-0000EA490000}"/>
    <cellStyle name="Normal 2 2 2 3 6 3 6" xfId="18923" xr:uid="{00000000-0005-0000-0000-0000EB490000}"/>
    <cellStyle name="Normal 2 2 2 3 6 3 7" xfId="18924" xr:uid="{00000000-0005-0000-0000-0000EC490000}"/>
    <cellStyle name="Normal 2 2 2 3 6 3 8" xfId="18925" xr:uid="{00000000-0005-0000-0000-0000ED490000}"/>
    <cellStyle name="Normal 2 2 2 3 6 3 9" xfId="18926" xr:uid="{00000000-0005-0000-0000-0000EE490000}"/>
    <cellStyle name="Normal 2 2 2 3 6 4" xfId="18927" xr:uid="{00000000-0005-0000-0000-0000EF490000}"/>
    <cellStyle name="Normal 2 2 2 3 6 4 10" xfId="18928" xr:uid="{00000000-0005-0000-0000-0000F0490000}"/>
    <cellStyle name="Normal 2 2 2 3 6 4 2" xfId="18929" xr:uid="{00000000-0005-0000-0000-0000F1490000}"/>
    <cellStyle name="Normal 2 2 2 3 6 4 3" xfId="18930" xr:uid="{00000000-0005-0000-0000-0000F2490000}"/>
    <cellStyle name="Normal 2 2 2 3 6 4 4" xfId="18931" xr:uid="{00000000-0005-0000-0000-0000F3490000}"/>
    <cellStyle name="Normal 2 2 2 3 6 4 5" xfId="18932" xr:uid="{00000000-0005-0000-0000-0000F4490000}"/>
    <cellStyle name="Normal 2 2 2 3 6 4 6" xfId="18933" xr:uid="{00000000-0005-0000-0000-0000F5490000}"/>
    <cellStyle name="Normal 2 2 2 3 6 4 7" xfId="18934" xr:uid="{00000000-0005-0000-0000-0000F6490000}"/>
    <cellStyle name="Normal 2 2 2 3 6 4 8" xfId="18935" xr:uid="{00000000-0005-0000-0000-0000F7490000}"/>
    <cellStyle name="Normal 2 2 2 3 6 4 9" xfId="18936" xr:uid="{00000000-0005-0000-0000-0000F8490000}"/>
    <cellStyle name="Normal 2 2 2 3 6 5" xfId="18937" xr:uid="{00000000-0005-0000-0000-0000F9490000}"/>
    <cellStyle name="Normal 2 2 2 3 6 5 10" xfId="18938" xr:uid="{00000000-0005-0000-0000-0000FA490000}"/>
    <cellStyle name="Normal 2 2 2 3 6 5 2" xfId="18939" xr:uid="{00000000-0005-0000-0000-0000FB490000}"/>
    <cellStyle name="Normal 2 2 2 3 6 5 3" xfId="18940" xr:uid="{00000000-0005-0000-0000-0000FC490000}"/>
    <cellStyle name="Normal 2 2 2 3 6 5 4" xfId="18941" xr:uid="{00000000-0005-0000-0000-0000FD490000}"/>
    <cellStyle name="Normal 2 2 2 3 6 5 5" xfId="18942" xr:uid="{00000000-0005-0000-0000-0000FE490000}"/>
    <cellStyle name="Normal 2 2 2 3 6 5 6" xfId="18943" xr:uid="{00000000-0005-0000-0000-0000FF490000}"/>
    <cellStyle name="Normal 2 2 2 3 6 5 7" xfId="18944" xr:uid="{00000000-0005-0000-0000-0000004A0000}"/>
    <cellStyle name="Normal 2 2 2 3 6 5 8" xfId="18945" xr:uid="{00000000-0005-0000-0000-0000014A0000}"/>
    <cellStyle name="Normal 2 2 2 3 6 5 9" xfId="18946" xr:uid="{00000000-0005-0000-0000-0000024A0000}"/>
    <cellStyle name="Normal 2 2 2 3 6 6" xfId="18947" xr:uid="{00000000-0005-0000-0000-0000034A0000}"/>
    <cellStyle name="Normal 2 2 2 3 6 7" xfId="18948" xr:uid="{00000000-0005-0000-0000-0000044A0000}"/>
    <cellStyle name="Normal 2 2 2 3 6 8" xfId="18949" xr:uid="{00000000-0005-0000-0000-0000054A0000}"/>
    <cellStyle name="Normal 2 2 2 3 6 9" xfId="18950" xr:uid="{00000000-0005-0000-0000-0000064A0000}"/>
    <cellStyle name="Normal 2 2 2 3 7" xfId="18951" xr:uid="{00000000-0005-0000-0000-0000074A0000}"/>
    <cellStyle name="Normal 2 2 2 3 7 10" xfId="18952" xr:uid="{00000000-0005-0000-0000-0000084A0000}"/>
    <cellStyle name="Normal 2 2 2 3 7 11" xfId="18953" xr:uid="{00000000-0005-0000-0000-0000094A0000}"/>
    <cellStyle name="Normal 2 2 2 3 7 12" xfId="18954" xr:uid="{00000000-0005-0000-0000-00000A4A0000}"/>
    <cellStyle name="Normal 2 2 2 3 7 13" xfId="18955" xr:uid="{00000000-0005-0000-0000-00000B4A0000}"/>
    <cellStyle name="Normal 2 2 2 3 7 14" xfId="18956" xr:uid="{00000000-0005-0000-0000-00000C4A0000}"/>
    <cellStyle name="Normal 2 2 2 3 7 15" xfId="18957" xr:uid="{00000000-0005-0000-0000-00000D4A0000}"/>
    <cellStyle name="Normal 2 2 2 3 7 2" xfId="18958" xr:uid="{00000000-0005-0000-0000-00000E4A0000}"/>
    <cellStyle name="Normal 2 2 2 3 7 2 10" xfId="18959" xr:uid="{00000000-0005-0000-0000-00000F4A0000}"/>
    <cellStyle name="Normal 2 2 2 3 7 2 2" xfId="18960" xr:uid="{00000000-0005-0000-0000-0000104A0000}"/>
    <cellStyle name="Normal 2 2 2 3 7 2 3" xfId="18961" xr:uid="{00000000-0005-0000-0000-0000114A0000}"/>
    <cellStyle name="Normal 2 2 2 3 7 2 4" xfId="18962" xr:uid="{00000000-0005-0000-0000-0000124A0000}"/>
    <cellStyle name="Normal 2 2 2 3 7 2 5" xfId="18963" xr:uid="{00000000-0005-0000-0000-0000134A0000}"/>
    <cellStyle name="Normal 2 2 2 3 7 2 6" xfId="18964" xr:uid="{00000000-0005-0000-0000-0000144A0000}"/>
    <cellStyle name="Normal 2 2 2 3 7 2 7" xfId="18965" xr:uid="{00000000-0005-0000-0000-0000154A0000}"/>
    <cellStyle name="Normal 2 2 2 3 7 2 8" xfId="18966" xr:uid="{00000000-0005-0000-0000-0000164A0000}"/>
    <cellStyle name="Normal 2 2 2 3 7 2 9" xfId="18967" xr:uid="{00000000-0005-0000-0000-0000174A0000}"/>
    <cellStyle name="Normal 2 2 2 3 7 3" xfId="18968" xr:uid="{00000000-0005-0000-0000-0000184A0000}"/>
    <cellStyle name="Normal 2 2 2 3 7 3 10" xfId="18969" xr:uid="{00000000-0005-0000-0000-0000194A0000}"/>
    <cellStyle name="Normal 2 2 2 3 7 3 2" xfId="18970" xr:uid="{00000000-0005-0000-0000-00001A4A0000}"/>
    <cellStyle name="Normal 2 2 2 3 7 3 3" xfId="18971" xr:uid="{00000000-0005-0000-0000-00001B4A0000}"/>
    <cellStyle name="Normal 2 2 2 3 7 3 4" xfId="18972" xr:uid="{00000000-0005-0000-0000-00001C4A0000}"/>
    <cellStyle name="Normal 2 2 2 3 7 3 5" xfId="18973" xr:uid="{00000000-0005-0000-0000-00001D4A0000}"/>
    <cellStyle name="Normal 2 2 2 3 7 3 6" xfId="18974" xr:uid="{00000000-0005-0000-0000-00001E4A0000}"/>
    <cellStyle name="Normal 2 2 2 3 7 3 7" xfId="18975" xr:uid="{00000000-0005-0000-0000-00001F4A0000}"/>
    <cellStyle name="Normal 2 2 2 3 7 3 8" xfId="18976" xr:uid="{00000000-0005-0000-0000-0000204A0000}"/>
    <cellStyle name="Normal 2 2 2 3 7 3 9" xfId="18977" xr:uid="{00000000-0005-0000-0000-0000214A0000}"/>
    <cellStyle name="Normal 2 2 2 3 7 4" xfId="18978" xr:uid="{00000000-0005-0000-0000-0000224A0000}"/>
    <cellStyle name="Normal 2 2 2 3 7 4 10" xfId="18979" xr:uid="{00000000-0005-0000-0000-0000234A0000}"/>
    <cellStyle name="Normal 2 2 2 3 7 4 2" xfId="18980" xr:uid="{00000000-0005-0000-0000-0000244A0000}"/>
    <cellStyle name="Normal 2 2 2 3 7 4 3" xfId="18981" xr:uid="{00000000-0005-0000-0000-0000254A0000}"/>
    <cellStyle name="Normal 2 2 2 3 7 4 4" xfId="18982" xr:uid="{00000000-0005-0000-0000-0000264A0000}"/>
    <cellStyle name="Normal 2 2 2 3 7 4 5" xfId="18983" xr:uid="{00000000-0005-0000-0000-0000274A0000}"/>
    <cellStyle name="Normal 2 2 2 3 7 4 6" xfId="18984" xr:uid="{00000000-0005-0000-0000-0000284A0000}"/>
    <cellStyle name="Normal 2 2 2 3 7 4 7" xfId="18985" xr:uid="{00000000-0005-0000-0000-0000294A0000}"/>
    <cellStyle name="Normal 2 2 2 3 7 4 8" xfId="18986" xr:uid="{00000000-0005-0000-0000-00002A4A0000}"/>
    <cellStyle name="Normal 2 2 2 3 7 4 9" xfId="18987" xr:uid="{00000000-0005-0000-0000-00002B4A0000}"/>
    <cellStyle name="Normal 2 2 2 3 7 5" xfId="18988" xr:uid="{00000000-0005-0000-0000-00002C4A0000}"/>
    <cellStyle name="Normal 2 2 2 3 7 5 10" xfId="18989" xr:uid="{00000000-0005-0000-0000-00002D4A0000}"/>
    <cellStyle name="Normal 2 2 2 3 7 5 2" xfId="18990" xr:uid="{00000000-0005-0000-0000-00002E4A0000}"/>
    <cellStyle name="Normal 2 2 2 3 7 5 3" xfId="18991" xr:uid="{00000000-0005-0000-0000-00002F4A0000}"/>
    <cellStyle name="Normal 2 2 2 3 7 5 4" xfId="18992" xr:uid="{00000000-0005-0000-0000-0000304A0000}"/>
    <cellStyle name="Normal 2 2 2 3 7 5 5" xfId="18993" xr:uid="{00000000-0005-0000-0000-0000314A0000}"/>
    <cellStyle name="Normal 2 2 2 3 7 5 6" xfId="18994" xr:uid="{00000000-0005-0000-0000-0000324A0000}"/>
    <cellStyle name="Normal 2 2 2 3 7 5 7" xfId="18995" xr:uid="{00000000-0005-0000-0000-0000334A0000}"/>
    <cellStyle name="Normal 2 2 2 3 7 5 8" xfId="18996" xr:uid="{00000000-0005-0000-0000-0000344A0000}"/>
    <cellStyle name="Normal 2 2 2 3 7 5 9" xfId="18997" xr:uid="{00000000-0005-0000-0000-0000354A0000}"/>
    <cellStyle name="Normal 2 2 2 3 7 6" xfId="18998" xr:uid="{00000000-0005-0000-0000-0000364A0000}"/>
    <cellStyle name="Normal 2 2 2 3 7 7" xfId="18999" xr:uid="{00000000-0005-0000-0000-0000374A0000}"/>
    <cellStyle name="Normal 2 2 2 3 7 8" xfId="19000" xr:uid="{00000000-0005-0000-0000-0000384A0000}"/>
    <cellStyle name="Normal 2 2 2 3 7 9" xfId="19001" xr:uid="{00000000-0005-0000-0000-0000394A0000}"/>
    <cellStyle name="Normal 2 2 2 3 8" xfId="19002" xr:uid="{00000000-0005-0000-0000-00003A4A0000}"/>
    <cellStyle name="Normal 2 2 2 3 8 10" xfId="19003" xr:uid="{00000000-0005-0000-0000-00003B4A0000}"/>
    <cellStyle name="Normal 2 2 2 3 8 11" xfId="19004" xr:uid="{00000000-0005-0000-0000-00003C4A0000}"/>
    <cellStyle name="Normal 2 2 2 3 8 12" xfId="19005" xr:uid="{00000000-0005-0000-0000-00003D4A0000}"/>
    <cellStyle name="Normal 2 2 2 3 8 13" xfId="19006" xr:uid="{00000000-0005-0000-0000-00003E4A0000}"/>
    <cellStyle name="Normal 2 2 2 3 8 14" xfId="19007" xr:uid="{00000000-0005-0000-0000-00003F4A0000}"/>
    <cellStyle name="Normal 2 2 2 3 8 2" xfId="19008" xr:uid="{00000000-0005-0000-0000-0000404A0000}"/>
    <cellStyle name="Normal 2 2 2 3 8 2 10" xfId="19009" xr:uid="{00000000-0005-0000-0000-0000414A0000}"/>
    <cellStyle name="Normal 2 2 2 3 8 2 2" xfId="19010" xr:uid="{00000000-0005-0000-0000-0000424A0000}"/>
    <cellStyle name="Normal 2 2 2 3 8 2 3" xfId="19011" xr:uid="{00000000-0005-0000-0000-0000434A0000}"/>
    <cellStyle name="Normal 2 2 2 3 8 2 4" xfId="19012" xr:uid="{00000000-0005-0000-0000-0000444A0000}"/>
    <cellStyle name="Normal 2 2 2 3 8 2 5" xfId="19013" xr:uid="{00000000-0005-0000-0000-0000454A0000}"/>
    <cellStyle name="Normal 2 2 2 3 8 2 6" xfId="19014" xr:uid="{00000000-0005-0000-0000-0000464A0000}"/>
    <cellStyle name="Normal 2 2 2 3 8 2 7" xfId="19015" xr:uid="{00000000-0005-0000-0000-0000474A0000}"/>
    <cellStyle name="Normal 2 2 2 3 8 2 8" xfId="19016" xr:uid="{00000000-0005-0000-0000-0000484A0000}"/>
    <cellStyle name="Normal 2 2 2 3 8 2 9" xfId="19017" xr:uid="{00000000-0005-0000-0000-0000494A0000}"/>
    <cellStyle name="Normal 2 2 2 3 8 3" xfId="19018" xr:uid="{00000000-0005-0000-0000-00004A4A0000}"/>
    <cellStyle name="Normal 2 2 2 3 8 3 10" xfId="19019" xr:uid="{00000000-0005-0000-0000-00004B4A0000}"/>
    <cellStyle name="Normal 2 2 2 3 8 3 2" xfId="19020" xr:uid="{00000000-0005-0000-0000-00004C4A0000}"/>
    <cellStyle name="Normal 2 2 2 3 8 3 3" xfId="19021" xr:uid="{00000000-0005-0000-0000-00004D4A0000}"/>
    <cellStyle name="Normal 2 2 2 3 8 3 4" xfId="19022" xr:uid="{00000000-0005-0000-0000-00004E4A0000}"/>
    <cellStyle name="Normal 2 2 2 3 8 3 5" xfId="19023" xr:uid="{00000000-0005-0000-0000-00004F4A0000}"/>
    <cellStyle name="Normal 2 2 2 3 8 3 6" xfId="19024" xr:uid="{00000000-0005-0000-0000-0000504A0000}"/>
    <cellStyle name="Normal 2 2 2 3 8 3 7" xfId="19025" xr:uid="{00000000-0005-0000-0000-0000514A0000}"/>
    <cellStyle name="Normal 2 2 2 3 8 3 8" xfId="19026" xr:uid="{00000000-0005-0000-0000-0000524A0000}"/>
    <cellStyle name="Normal 2 2 2 3 8 3 9" xfId="19027" xr:uid="{00000000-0005-0000-0000-0000534A0000}"/>
    <cellStyle name="Normal 2 2 2 3 8 4" xfId="19028" xr:uid="{00000000-0005-0000-0000-0000544A0000}"/>
    <cellStyle name="Normal 2 2 2 3 8 4 10" xfId="19029" xr:uid="{00000000-0005-0000-0000-0000554A0000}"/>
    <cellStyle name="Normal 2 2 2 3 8 4 2" xfId="19030" xr:uid="{00000000-0005-0000-0000-0000564A0000}"/>
    <cellStyle name="Normal 2 2 2 3 8 4 3" xfId="19031" xr:uid="{00000000-0005-0000-0000-0000574A0000}"/>
    <cellStyle name="Normal 2 2 2 3 8 4 4" xfId="19032" xr:uid="{00000000-0005-0000-0000-0000584A0000}"/>
    <cellStyle name="Normal 2 2 2 3 8 4 5" xfId="19033" xr:uid="{00000000-0005-0000-0000-0000594A0000}"/>
    <cellStyle name="Normal 2 2 2 3 8 4 6" xfId="19034" xr:uid="{00000000-0005-0000-0000-00005A4A0000}"/>
    <cellStyle name="Normal 2 2 2 3 8 4 7" xfId="19035" xr:uid="{00000000-0005-0000-0000-00005B4A0000}"/>
    <cellStyle name="Normal 2 2 2 3 8 4 8" xfId="19036" xr:uid="{00000000-0005-0000-0000-00005C4A0000}"/>
    <cellStyle name="Normal 2 2 2 3 8 4 9" xfId="19037" xr:uid="{00000000-0005-0000-0000-00005D4A0000}"/>
    <cellStyle name="Normal 2 2 2 3 8 5" xfId="19038" xr:uid="{00000000-0005-0000-0000-00005E4A0000}"/>
    <cellStyle name="Normal 2 2 2 3 8 5 10" xfId="19039" xr:uid="{00000000-0005-0000-0000-00005F4A0000}"/>
    <cellStyle name="Normal 2 2 2 3 8 5 2" xfId="19040" xr:uid="{00000000-0005-0000-0000-0000604A0000}"/>
    <cellStyle name="Normal 2 2 2 3 8 5 3" xfId="19041" xr:uid="{00000000-0005-0000-0000-0000614A0000}"/>
    <cellStyle name="Normal 2 2 2 3 8 5 4" xfId="19042" xr:uid="{00000000-0005-0000-0000-0000624A0000}"/>
    <cellStyle name="Normal 2 2 2 3 8 5 5" xfId="19043" xr:uid="{00000000-0005-0000-0000-0000634A0000}"/>
    <cellStyle name="Normal 2 2 2 3 8 5 6" xfId="19044" xr:uid="{00000000-0005-0000-0000-0000644A0000}"/>
    <cellStyle name="Normal 2 2 2 3 8 5 7" xfId="19045" xr:uid="{00000000-0005-0000-0000-0000654A0000}"/>
    <cellStyle name="Normal 2 2 2 3 8 5 8" xfId="19046" xr:uid="{00000000-0005-0000-0000-0000664A0000}"/>
    <cellStyle name="Normal 2 2 2 3 8 5 9" xfId="19047" xr:uid="{00000000-0005-0000-0000-0000674A0000}"/>
    <cellStyle name="Normal 2 2 2 3 8 6" xfId="19048" xr:uid="{00000000-0005-0000-0000-0000684A0000}"/>
    <cellStyle name="Normal 2 2 2 3 8 7" xfId="19049" xr:uid="{00000000-0005-0000-0000-0000694A0000}"/>
    <cellStyle name="Normal 2 2 2 3 8 8" xfId="19050" xr:uid="{00000000-0005-0000-0000-00006A4A0000}"/>
    <cellStyle name="Normal 2 2 2 3 8 9" xfId="19051" xr:uid="{00000000-0005-0000-0000-00006B4A0000}"/>
    <cellStyle name="Normal 2 2 2 3 9" xfId="19052" xr:uid="{00000000-0005-0000-0000-00006C4A0000}"/>
    <cellStyle name="Normal 2 2 2 3 9 10" xfId="19053" xr:uid="{00000000-0005-0000-0000-00006D4A0000}"/>
    <cellStyle name="Normal 2 2 2 3 9 11" xfId="19054" xr:uid="{00000000-0005-0000-0000-00006E4A0000}"/>
    <cellStyle name="Normal 2 2 2 3 9 12" xfId="19055" xr:uid="{00000000-0005-0000-0000-00006F4A0000}"/>
    <cellStyle name="Normal 2 2 2 3 9 13" xfId="19056" xr:uid="{00000000-0005-0000-0000-0000704A0000}"/>
    <cellStyle name="Normal 2 2 2 3 9 14" xfId="19057" xr:uid="{00000000-0005-0000-0000-0000714A0000}"/>
    <cellStyle name="Normal 2 2 2 3 9 2" xfId="19058" xr:uid="{00000000-0005-0000-0000-0000724A0000}"/>
    <cellStyle name="Normal 2 2 2 3 9 2 10" xfId="19059" xr:uid="{00000000-0005-0000-0000-0000734A0000}"/>
    <cellStyle name="Normal 2 2 2 3 9 2 2" xfId="19060" xr:uid="{00000000-0005-0000-0000-0000744A0000}"/>
    <cellStyle name="Normal 2 2 2 3 9 2 3" xfId="19061" xr:uid="{00000000-0005-0000-0000-0000754A0000}"/>
    <cellStyle name="Normal 2 2 2 3 9 2 4" xfId="19062" xr:uid="{00000000-0005-0000-0000-0000764A0000}"/>
    <cellStyle name="Normal 2 2 2 3 9 2 5" xfId="19063" xr:uid="{00000000-0005-0000-0000-0000774A0000}"/>
    <cellStyle name="Normal 2 2 2 3 9 2 6" xfId="19064" xr:uid="{00000000-0005-0000-0000-0000784A0000}"/>
    <cellStyle name="Normal 2 2 2 3 9 2 7" xfId="19065" xr:uid="{00000000-0005-0000-0000-0000794A0000}"/>
    <cellStyle name="Normal 2 2 2 3 9 2 8" xfId="19066" xr:uid="{00000000-0005-0000-0000-00007A4A0000}"/>
    <cellStyle name="Normal 2 2 2 3 9 2 9" xfId="19067" xr:uid="{00000000-0005-0000-0000-00007B4A0000}"/>
    <cellStyle name="Normal 2 2 2 3 9 3" xfId="19068" xr:uid="{00000000-0005-0000-0000-00007C4A0000}"/>
    <cellStyle name="Normal 2 2 2 3 9 3 10" xfId="19069" xr:uid="{00000000-0005-0000-0000-00007D4A0000}"/>
    <cellStyle name="Normal 2 2 2 3 9 3 2" xfId="19070" xr:uid="{00000000-0005-0000-0000-00007E4A0000}"/>
    <cellStyle name="Normal 2 2 2 3 9 3 3" xfId="19071" xr:uid="{00000000-0005-0000-0000-00007F4A0000}"/>
    <cellStyle name="Normal 2 2 2 3 9 3 4" xfId="19072" xr:uid="{00000000-0005-0000-0000-0000804A0000}"/>
    <cellStyle name="Normal 2 2 2 3 9 3 5" xfId="19073" xr:uid="{00000000-0005-0000-0000-0000814A0000}"/>
    <cellStyle name="Normal 2 2 2 3 9 3 6" xfId="19074" xr:uid="{00000000-0005-0000-0000-0000824A0000}"/>
    <cellStyle name="Normal 2 2 2 3 9 3 7" xfId="19075" xr:uid="{00000000-0005-0000-0000-0000834A0000}"/>
    <cellStyle name="Normal 2 2 2 3 9 3 8" xfId="19076" xr:uid="{00000000-0005-0000-0000-0000844A0000}"/>
    <cellStyle name="Normal 2 2 2 3 9 3 9" xfId="19077" xr:uid="{00000000-0005-0000-0000-0000854A0000}"/>
    <cellStyle name="Normal 2 2 2 3 9 4" xfId="19078" xr:uid="{00000000-0005-0000-0000-0000864A0000}"/>
    <cellStyle name="Normal 2 2 2 3 9 4 10" xfId="19079" xr:uid="{00000000-0005-0000-0000-0000874A0000}"/>
    <cellStyle name="Normal 2 2 2 3 9 4 2" xfId="19080" xr:uid="{00000000-0005-0000-0000-0000884A0000}"/>
    <cellStyle name="Normal 2 2 2 3 9 4 3" xfId="19081" xr:uid="{00000000-0005-0000-0000-0000894A0000}"/>
    <cellStyle name="Normal 2 2 2 3 9 4 4" xfId="19082" xr:uid="{00000000-0005-0000-0000-00008A4A0000}"/>
    <cellStyle name="Normal 2 2 2 3 9 4 5" xfId="19083" xr:uid="{00000000-0005-0000-0000-00008B4A0000}"/>
    <cellStyle name="Normal 2 2 2 3 9 4 6" xfId="19084" xr:uid="{00000000-0005-0000-0000-00008C4A0000}"/>
    <cellStyle name="Normal 2 2 2 3 9 4 7" xfId="19085" xr:uid="{00000000-0005-0000-0000-00008D4A0000}"/>
    <cellStyle name="Normal 2 2 2 3 9 4 8" xfId="19086" xr:uid="{00000000-0005-0000-0000-00008E4A0000}"/>
    <cellStyle name="Normal 2 2 2 3 9 4 9" xfId="19087" xr:uid="{00000000-0005-0000-0000-00008F4A0000}"/>
    <cellStyle name="Normal 2 2 2 3 9 5" xfId="19088" xr:uid="{00000000-0005-0000-0000-0000904A0000}"/>
    <cellStyle name="Normal 2 2 2 3 9 5 10" xfId="19089" xr:uid="{00000000-0005-0000-0000-0000914A0000}"/>
    <cellStyle name="Normal 2 2 2 3 9 5 2" xfId="19090" xr:uid="{00000000-0005-0000-0000-0000924A0000}"/>
    <cellStyle name="Normal 2 2 2 3 9 5 3" xfId="19091" xr:uid="{00000000-0005-0000-0000-0000934A0000}"/>
    <cellStyle name="Normal 2 2 2 3 9 5 4" xfId="19092" xr:uid="{00000000-0005-0000-0000-0000944A0000}"/>
    <cellStyle name="Normal 2 2 2 3 9 5 5" xfId="19093" xr:uid="{00000000-0005-0000-0000-0000954A0000}"/>
    <cellStyle name="Normal 2 2 2 3 9 5 6" xfId="19094" xr:uid="{00000000-0005-0000-0000-0000964A0000}"/>
    <cellStyle name="Normal 2 2 2 3 9 5 7" xfId="19095" xr:uid="{00000000-0005-0000-0000-0000974A0000}"/>
    <cellStyle name="Normal 2 2 2 3 9 5 8" xfId="19096" xr:uid="{00000000-0005-0000-0000-0000984A0000}"/>
    <cellStyle name="Normal 2 2 2 3 9 5 9" xfId="19097" xr:uid="{00000000-0005-0000-0000-0000994A0000}"/>
    <cellStyle name="Normal 2 2 2 3 9 6" xfId="19098" xr:uid="{00000000-0005-0000-0000-00009A4A0000}"/>
    <cellStyle name="Normal 2 2 2 3 9 7" xfId="19099" xr:uid="{00000000-0005-0000-0000-00009B4A0000}"/>
    <cellStyle name="Normal 2 2 2 3 9 8" xfId="19100" xr:uid="{00000000-0005-0000-0000-00009C4A0000}"/>
    <cellStyle name="Normal 2 2 2 3 9 9" xfId="19101" xr:uid="{00000000-0005-0000-0000-00009D4A0000}"/>
    <cellStyle name="Normal 2 2 2 30" xfId="19102" xr:uid="{00000000-0005-0000-0000-00009E4A0000}"/>
    <cellStyle name="Normal 2 2 2 30 10" xfId="19103" xr:uid="{00000000-0005-0000-0000-00009F4A0000}"/>
    <cellStyle name="Normal 2 2 2 30 11" xfId="19104" xr:uid="{00000000-0005-0000-0000-0000A04A0000}"/>
    <cellStyle name="Normal 2 2 2 30 12" xfId="19105" xr:uid="{00000000-0005-0000-0000-0000A14A0000}"/>
    <cellStyle name="Normal 2 2 2 30 13" xfId="19106" xr:uid="{00000000-0005-0000-0000-0000A24A0000}"/>
    <cellStyle name="Normal 2 2 2 30 14" xfId="19107" xr:uid="{00000000-0005-0000-0000-0000A34A0000}"/>
    <cellStyle name="Normal 2 2 2 30 2" xfId="19108" xr:uid="{00000000-0005-0000-0000-0000A44A0000}"/>
    <cellStyle name="Normal 2 2 2 30 2 10" xfId="19109" xr:uid="{00000000-0005-0000-0000-0000A54A0000}"/>
    <cellStyle name="Normal 2 2 2 30 2 2" xfId="19110" xr:uid="{00000000-0005-0000-0000-0000A64A0000}"/>
    <cellStyle name="Normal 2 2 2 30 2 3" xfId="19111" xr:uid="{00000000-0005-0000-0000-0000A74A0000}"/>
    <cellStyle name="Normal 2 2 2 30 2 4" xfId="19112" xr:uid="{00000000-0005-0000-0000-0000A84A0000}"/>
    <cellStyle name="Normal 2 2 2 30 2 5" xfId="19113" xr:uid="{00000000-0005-0000-0000-0000A94A0000}"/>
    <cellStyle name="Normal 2 2 2 30 2 6" xfId="19114" xr:uid="{00000000-0005-0000-0000-0000AA4A0000}"/>
    <cellStyle name="Normal 2 2 2 30 2 7" xfId="19115" xr:uid="{00000000-0005-0000-0000-0000AB4A0000}"/>
    <cellStyle name="Normal 2 2 2 30 2 8" xfId="19116" xr:uid="{00000000-0005-0000-0000-0000AC4A0000}"/>
    <cellStyle name="Normal 2 2 2 30 2 9" xfId="19117" xr:uid="{00000000-0005-0000-0000-0000AD4A0000}"/>
    <cellStyle name="Normal 2 2 2 30 3" xfId="19118" xr:uid="{00000000-0005-0000-0000-0000AE4A0000}"/>
    <cellStyle name="Normal 2 2 2 30 3 10" xfId="19119" xr:uid="{00000000-0005-0000-0000-0000AF4A0000}"/>
    <cellStyle name="Normal 2 2 2 30 3 2" xfId="19120" xr:uid="{00000000-0005-0000-0000-0000B04A0000}"/>
    <cellStyle name="Normal 2 2 2 30 3 3" xfId="19121" xr:uid="{00000000-0005-0000-0000-0000B14A0000}"/>
    <cellStyle name="Normal 2 2 2 30 3 4" xfId="19122" xr:uid="{00000000-0005-0000-0000-0000B24A0000}"/>
    <cellStyle name="Normal 2 2 2 30 3 5" xfId="19123" xr:uid="{00000000-0005-0000-0000-0000B34A0000}"/>
    <cellStyle name="Normal 2 2 2 30 3 6" xfId="19124" xr:uid="{00000000-0005-0000-0000-0000B44A0000}"/>
    <cellStyle name="Normal 2 2 2 30 3 7" xfId="19125" xr:uid="{00000000-0005-0000-0000-0000B54A0000}"/>
    <cellStyle name="Normal 2 2 2 30 3 8" xfId="19126" xr:uid="{00000000-0005-0000-0000-0000B64A0000}"/>
    <cellStyle name="Normal 2 2 2 30 3 9" xfId="19127" xr:uid="{00000000-0005-0000-0000-0000B74A0000}"/>
    <cellStyle name="Normal 2 2 2 30 4" xfId="19128" xr:uid="{00000000-0005-0000-0000-0000B84A0000}"/>
    <cellStyle name="Normal 2 2 2 30 4 10" xfId="19129" xr:uid="{00000000-0005-0000-0000-0000B94A0000}"/>
    <cellStyle name="Normal 2 2 2 30 4 2" xfId="19130" xr:uid="{00000000-0005-0000-0000-0000BA4A0000}"/>
    <cellStyle name="Normal 2 2 2 30 4 3" xfId="19131" xr:uid="{00000000-0005-0000-0000-0000BB4A0000}"/>
    <cellStyle name="Normal 2 2 2 30 4 4" xfId="19132" xr:uid="{00000000-0005-0000-0000-0000BC4A0000}"/>
    <cellStyle name="Normal 2 2 2 30 4 5" xfId="19133" xr:uid="{00000000-0005-0000-0000-0000BD4A0000}"/>
    <cellStyle name="Normal 2 2 2 30 4 6" xfId="19134" xr:uid="{00000000-0005-0000-0000-0000BE4A0000}"/>
    <cellStyle name="Normal 2 2 2 30 4 7" xfId="19135" xr:uid="{00000000-0005-0000-0000-0000BF4A0000}"/>
    <cellStyle name="Normal 2 2 2 30 4 8" xfId="19136" xr:uid="{00000000-0005-0000-0000-0000C04A0000}"/>
    <cellStyle name="Normal 2 2 2 30 4 9" xfId="19137" xr:uid="{00000000-0005-0000-0000-0000C14A0000}"/>
    <cellStyle name="Normal 2 2 2 30 5" xfId="19138" xr:uid="{00000000-0005-0000-0000-0000C24A0000}"/>
    <cellStyle name="Normal 2 2 2 30 5 10" xfId="19139" xr:uid="{00000000-0005-0000-0000-0000C34A0000}"/>
    <cellStyle name="Normal 2 2 2 30 5 2" xfId="19140" xr:uid="{00000000-0005-0000-0000-0000C44A0000}"/>
    <cellStyle name="Normal 2 2 2 30 5 3" xfId="19141" xr:uid="{00000000-0005-0000-0000-0000C54A0000}"/>
    <cellStyle name="Normal 2 2 2 30 5 4" xfId="19142" xr:uid="{00000000-0005-0000-0000-0000C64A0000}"/>
    <cellStyle name="Normal 2 2 2 30 5 5" xfId="19143" xr:uid="{00000000-0005-0000-0000-0000C74A0000}"/>
    <cellStyle name="Normal 2 2 2 30 5 6" xfId="19144" xr:uid="{00000000-0005-0000-0000-0000C84A0000}"/>
    <cellStyle name="Normal 2 2 2 30 5 7" xfId="19145" xr:uid="{00000000-0005-0000-0000-0000C94A0000}"/>
    <cellStyle name="Normal 2 2 2 30 5 8" xfId="19146" xr:uid="{00000000-0005-0000-0000-0000CA4A0000}"/>
    <cellStyle name="Normal 2 2 2 30 5 9" xfId="19147" xr:uid="{00000000-0005-0000-0000-0000CB4A0000}"/>
    <cellStyle name="Normal 2 2 2 30 6" xfId="19148" xr:uid="{00000000-0005-0000-0000-0000CC4A0000}"/>
    <cellStyle name="Normal 2 2 2 30 7" xfId="19149" xr:uid="{00000000-0005-0000-0000-0000CD4A0000}"/>
    <cellStyle name="Normal 2 2 2 30 8" xfId="19150" xr:uid="{00000000-0005-0000-0000-0000CE4A0000}"/>
    <cellStyle name="Normal 2 2 2 30 9" xfId="19151" xr:uid="{00000000-0005-0000-0000-0000CF4A0000}"/>
    <cellStyle name="Normal 2 2 2 31" xfId="19152" xr:uid="{00000000-0005-0000-0000-0000D04A0000}"/>
    <cellStyle name="Normal 2 2 2 31 10" xfId="19153" xr:uid="{00000000-0005-0000-0000-0000D14A0000}"/>
    <cellStyle name="Normal 2 2 2 31 11" xfId="19154" xr:uid="{00000000-0005-0000-0000-0000D24A0000}"/>
    <cellStyle name="Normal 2 2 2 31 12" xfId="19155" xr:uid="{00000000-0005-0000-0000-0000D34A0000}"/>
    <cellStyle name="Normal 2 2 2 31 13" xfId="19156" xr:uid="{00000000-0005-0000-0000-0000D44A0000}"/>
    <cellStyle name="Normal 2 2 2 31 14" xfId="19157" xr:uid="{00000000-0005-0000-0000-0000D54A0000}"/>
    <cellStyle name="Normal 2 2 2 31 2" xfId="19158" xr:uid="{00000000-0005-0000-0000-0000D64A0000}"/>
    <cellStyle name="Normal 2 2 2 31 2 10" xfId="19159" xr:uid="{00000000-0005-0000-0000-0000D74A0000}"/>
    <cellStyle name="Normal 2 2 2 31 2 2" xfId="19160" xr:uid="{00000000-0005-0000-0000-0000D84A0000}"/>
    <cellStyle name="Normal 2 2 2 31 2 3" xfId="19161" xr:uid="{00000000-0005-0000-0000-0000D94A0000}"/>
    <cellStyle name="Normal 2 2 2 31 2 4" xfId="19162" xr:uid="{00000000-0005-0000-0000-0000DA4A0000}"/>
    <cellStyle name="Normal 2 2 2 31 2 5" xfId="19163" xr:uid="{00000000-0005-0000-0000-0000DB4A0000}"/>
    <cellStyle name="Normal 2 2 2 31 2 6" xfId="19164" xr:uid="{00000000-0005-0000-0000-0000DC4A0000}"/>
    <cellStyle name="Normal 2 2 2 31 2 7" xfId="19165" xr:uid="{00000000-0005-0000-0000-0000DD4A0000}"/>
    <cellStyle name="Normal 2 2 2 31 2 8" xfId="19166" xr:uid="{00000000-0005-0000-0000-0000DE4A0000}"/>
    <cellStyle name="Normal 2 2 2 31 2 9" xfId="19167" xr:uid="{00000000-0005-0000-0000-0000DF4A0000}"/>
    <cellStyle name="Normal 2 2 2 31 3" xfId="19168" xr:uid="{00000000-0005-0000-0000-0000E04A0000}"/>
    <cellStyle name="Normal 2 2 2 31 3 10" xfId="19169" xr:uid="{00000000-0005-0000-0000-0000E14A0000}"/>
    <cellStyle name="Normal 2 2 2 31 3 2" xfId="19170" xr:uid="{00000000-0005-0000-0000-0000E24A0000}"/>
    <cellStyle name="Normal 2 2 2 31 3 3" xfId="19171" xr:uid="{00000000-0005-0000-0000-0000E34A0000}"/>
    <cellStyle name="Normal 2 2 2 31 3 4" xfId="19172" xr:uid="{00000000-0005-0000-0000-0000E44A0000}"/>
    <cellStyle name="Normal 2 2 2 31 3 5" xfId="19173" xr:uid="{00000000-0005-0000-0000-0000E54A0000}"/>
    <cellStyle name="Normal 2 2 2 31 3 6" xfId="19174" xr:uid="{00000000-0005-0000-0000-0000E64A0000}"/>
    <cellStyle name="Normal 2 2 2 31 3 7" xfId="19175" xr:uid="{00000000-0005-0000-0000-0000E74A0000}"/>
    <cellStyle name="Normal 2 2 2 31 3 8" xfId="19176" xr:uid="{00000000-0005-0000-0000-0000E84A0000}"/>
    <cellStyle name="Normal 2 2 2 31 3 9" xfId="19177" xr:uid="{00000000-0005-0000-0000-0000E94A0000}"/>
    <cellStyle name="Normal 2 2 2 31 4" xfId="19178" xr:uid="{00000000-0005-0000-0000-0000EA4A0000}"/>
    <cellStyle name="Normal 2 2 2 31 4 10" xfId="19179" xr:uid="{00000000-0005-0000-0000-0000EB4A0000}"/>
    <cellStyle name="Normal 2 2 2 31 4 2" xfId="19180" xr:uid="{00000000-0005-0000-0000-0000EC4A0000}"/>
    <cellStyle name="Normal 2 2 2 31 4 3" xfId="19181" xr:uid="{00000000-0005-0000-0000-0000ED4A0000}"/>
    <cellStyle name="Normal 2 2 2 31 4 4" xfId="19182" xr:uid="{00000000-0005-0000-0000-0000EE4A0000}"/>
    <cellStyle name="Normal 2 2 2 31 4 5" xfId="19183" xr:uid="{00000000-0005-0000-0000-0000EF4A0000}"/>
    <cellStyle name="Normal 2 2 2 31 4 6" xfId="19184" xr:uid="{00000000-0005-0000-0000-0000F04A0000}"/>
    <cellStyle name="Normal 2 2 2 31 4 7" xfId="19185" xr:uid="{00000000-0005-0000-0000-0000F14A0000}"/>
    <cellStyle name="Normal 2 2 2 31 4 8" xfId="19186" xr:uid="{00000000-0005-0000-0000-0000F24A0000}"/>
    <cellStyle name="Normal 2 2 2 31 4 9" xfId="19187" xr:uid="{00000000-0005-0000-0000-0000F34A0000}"/>
    <cellStyle name="Normal 2 2 2 31 5" xfId="19188" xr:uid="{00000000-0005-0000-0000-0000F44A0000}"/>
    <cellStyle name="Normal 2 2 2 31 5 10" xfId="19189" xr:uid="{00000000-0005-0000-0000-0000F54A0000}"/>
    <cellStyle name="Normal 2 2 2 31 5 2" xfId="19190" xr:uid="{00000000-0005-0000-0000-0000F64A0000}"/>
    <cellStyle name="Normal 2 2 2 31 5 3" xfId="19191" xr:uid="{00000000-0005-0000-0000-0000F74A0000}"/>
    <cellStyle name="Normal 2 2 2 31 5 4" xfId="19192" xr:uid="{00000000-0005-0000-0000-0000F84A0000}"/>
    <cellStyle name="Normal 2 2 2 31 5 5" xfId="19193" xr:uid="{00000000-0005-0000-0000-0000F94A0000}"/>
    <cellStyle name="Normal 2 2 2 31 5 6" xfId="19194" xr:uid="{00000000-0005-0000-0000-0000FA4A0000}"/>
    <cellStyle name="Normal 2 2 2 31 5 7" xfId="19195" xr:uid="{00000000-0005-0000-0000-0000FB4A0000}"/>
    <cellStyle name="Normal 2 2 2 31 5 8" xfId="19196" xr:uid="{00000000-0005-0000-0000-0000FC4A0000}"/>
    <cellStyle name="Normal 2 2 2 31 5 9" xfId="19197" xr:uid="{00000000-0005-0000-0000-0000FD4A0000}"/>
    <cellStyle name="Normal 2 2 2 31 6" xfId="19198" xr:uid="{00000000-0005-0000-0000-0000FE4A0000}"/>
    <cellStyle name="Normal 2 2 2 31 7" xfId="19199" xr:uid="{00000000-0005-0000-0000-0000FF4A0000}"/>
    <cellStyle name="Normal 2 2 2 31 8" xfId="19200" xr:uid="{00000000-0005-0000-0000-0000004B0000}"/>
    <cellStyle name="Normal 2 2 2 31 9" xfId="19201" xr:uid="{00000000-0005-0000-0000-0000014B0000}"/>
    <cellStyle name="Normal 2 2 2 32" xfId="19202" xr:uid="{00000000-0005-0000-0000-0000024B0000}"/>
    <cellStyle name="Normal 2 2 2 32 10" xfId="19203" xr:uid="{00000000-0005-0000-0000-0000034B0000}"/>
    <cellStyle name="Normal 2 2 2 32 11" xfId="19204" xr:uid="{00000000-0005-0000-0000-0000044B0000}"/>
    <cellStyle name="Normal 2 2 2 32 12" xfId="19205" xr:uid="{00000000-0005-0000-0000-0000054B0000}"/>
    <cellStyle name="Normal 2 2 2 32 13" xfId="19206" xr:uid="{00000000-0005-0000-0000-0000064B0000}"/>
    <cellStyle name="Normal 2 2 2 32 14" xfId="19207" xr:uid="{00000000-0005-0000-0000-0000074B0000}"/>
    <cellStyle name="Normal 2 2 2 32 2" xfId="19208" xr:uid="{00000000-0005-0000-0000-0000084B0000}"/>
    <cellStyle name="Normal 2 2 2 32 2 10" xfId="19209" xr:uid="{00000000-0005-0000-0000-0000094B0000}"/>
    <cellStyle name="Normal 2 2 2 32 2 2" xfId="19210" xr:uid="{00000000-0005-0000-0000-00000A4B0000}"/>
    <cellStyle name="Normal 2 2 2 32 2 3" xfId="19211" xr:uid="{00000000-0005-0000-0000-00000B4B0000}"/>
    <cellStyle name="Normal 2 2 2 32 2 4" xfId="19212" xr:uid="{00000000-0005-0000-0000-00000C4B0000}"/>
    <cellStyle name="Normal 2 2 2 32 2 5" xfId="19213" xr:uid="{00000000-0005-0000-0000-00000D4B0000}"/>
    <cellStyle name="Normal 2 2 2 32 2 6" xfId="19214" xr:uid="{00000000-0005-0000-0000-00000E4B0000}"/>
    <cellStyle name="Normal 2 2 2 32 2 7" xfId="19215" xr:uid="{00000000-0005-0000-0000-00000F4B0000}"/>
    <cellStyle name="Normal 2 2 2 32 2 8" xfId="19216" xr:uid="{00000000-0005-0000-0000-0000104B0000}"/>
    <cellStyle name="Normal 2 2 2 32 2 9" xfId="19217" xr:uid="{00000000-0005-0000-0000-0000114B0000}"/>
    <cellStyle name="Normal 2 2 2 32 3" xfId="19218" xr:uid="{00000000-0005-0000-0000-0000124B0000}"/>
    <cellStyle name="Normal 2 2 2 32 3 10" xfId="19219" xr:uid="{00000000-0005-0000-0000-0000134B0000}"/>
    <cellStyle name="Normal 2 2 2 32 3 2" xfId="19220" xr:uid="{00000000-0005-0000-0000-0000144B0000}"/>
    <cellStyle name="Normal 2 2 2 32 3 3" xfId="19221" xr:uid="{00000000-0005-0000-0000-0000154B0000}"/>
    <cellStyle name="Normal 2 2 2 32 3 4" xfId="19222" xr:uid="{00000000-0005-0000-0000-0000164B0000}"/>
    <cellStyle name="Normal 2 2 2 32 3 5" xfId="19223" xr:uid="{00000000-0005-0000-0000-0000174B0000}"/>
    <cellStyle name="Normal 2 2 2 32 3 6" xfId="19224" xr:uid="{00000000-0005-0000-0000-0000184B0000}"/>
    <cellStyle name="Normal 2 2 2 32 3 7" xfId="19225" xr:uid="{00000000-0005-0000-0000-0000194B0000}"/>
    <cellStyle name="Normal 2 2 2 32 3 8" xfId="19226" xr:uid="{00000000-0005-0000-0000-00001A4B0000}"/>
    <cellStyle name="Normal 2 2 2 32 3 9" xfId="19227" xr:uid="{00000000-0005-0000-0000-00001B4B0000}"/>
    <cellStyle name="Normal 2 2 2 32 4" xfId="19228" xr:uid="{00000000-0005-0000-0000-00001C4B0000}"/>
    <cellStyle name="Normal 2 2 2 32 4 10" xfId="19229" xr:uid="{00000000-0005-0000-0000-00001D4B0000}"/>
    <cellStyle name="Normal 2 2 2 32 4 2" xfId="19230" xr:uid="{00000000-0005-0000-0000-00001E4B0000}"/>
    <cellStyle name="Normal 2 2 2 32 4 3" xfId="19231" xr:uid="{00000000-0005-0000-0000-00001F4B0000}"/>
    <cellStyle name="Normal 2 2 2 32 4 4" xfId="19232" xr:uid="{00000000-0005-0000-0000-0000204B0000}"/>
    <cellStyle name="Normal 2 2 2 32 4 5" xfId="19233" xr:uid="{00000000-0005-0000-0000-0000214B0000}"/>
    <cellStyle name="Normal 2 2 2 32 4 6" xfId="19234" xr:uid="{00000000-0005-0000-0000-0000224B0000}"/>
    <cellStyle name="Normal 2 2 2 32 4 7" xfId="19235" xr:uid="{00000000-0005-0000-0000-0000234B0000}"/>
    <cellStyle name="Normal 2 2 2 32 4 8" xfId="19236" xr:uid="{00000000-0005-0000-0000-0000244B0000}"/>
    <cellStyle name="Normal 2 2 2 32 4 9" xfId="19237" xr:uid="{00000000-0005-0000-0000-0000254B0000}"/>
    <cellStyle name="Normal 2 2 2 32 5" xfId="19238" xr:uid="{00000000-0005-0000-0000-0000264B0000}"/>
    <cellStyle name="Normal 2 2 2 32 5 10" xfId="19239" xr:uid="{00000000-0005-0000-0000-0000274B0000}"/>
    <cellStyle name="Normal 2 2 2 32 5 2" xfId="19240" xr:uid="{00000000-0005-0000-0000-0000284B0000}"/>
    <cellStyle name="Normal 2 2 2 32 5 3" xfId="19241" xr:uid="{00000000-0005-0000-0000-0000294B0000}"/>
    <cellStyle name="Normal 2 2 2 32 5 4" xfId="19242" xr:uid="{00000000-0005-0000-0000-00002A4B0000}"/>
    <cellStyle name="Normal 2 2 2 32 5 5" xfId="19243" xr:uid="{00000000-0005-0000-0000-00002B4B0000}"/>
    <cellStyle name="Normal 2 2 2 32 5 6" xfId="19244" xr:uid="{00000000-0005-0000-0000-00002C4B0000}"/>
    <cellStyle name="Normal 2 2 2 32 5 7" xfId="19245" xr:uid="{00000000-0005-0000-0000-00002D4B0000}"/>
    <cellStyle name="Normal 2 2 2 32 5 8" xfId="19246" xr:uid="{00000000-0005-0000-0000-00002E4B0000}"/>
    <cellStyle name="Normal 2 2 2 32 5 9" xfId="19247" xr:uid="{00000000-0005-0000-0000-00002F4B0000}"/>
    <cellStyle name="Normal 2 2 2 32 6" xfId="19248" xr:uid="{00000000-0005-0000-0000-0000304B0000}"/>
    <cellStyle name="Normal 2 2 2 32 7" xfId="19249" xr:uid="{00000000-0005-0000-0000-0000314B0000}"/>
    <cellStyle name="Normal 2 2 2 32 8" xfId="19250" xr:uid="{00000000-0005-0000-0000-0000324B0000}"/>
    <cellStyle name="Normal 2 2 2 32 9" xfId="19251" xr:uid="{00000000-0005-0000-0000-0000334B0000}"/>
    <cellStyle name="Normal 2 2 2 33" xfId="19252" xr:uid="{00000000-0005-0000-0000-0000344B0000}"/>
    <cellStyle name="Normal 2 2 2 33 10" xfId="19253" xr:uid="{00000000-0005-0000-0000-0000354B0000}"/>
    <cellStyle name="Normal 2 2 2 33 11" xfId="19254" xr:uid="{00000000-0005-0000-0000-0000364B0000}"/>
    <cellStyle name="Normal 2 2 2 33 12" xfId="19255" xr:uid="{00000000-0005-0000-0000-0000374B0000}"/>
    <cellStyle name="Normal 2 2 2 33 13" xfId="19256" xr:uid="{00000000-0005-0000-0000-0000384B0000}"/>
    <cellStyle name="Normal 2 2 2 33 14" xfId="19257" xr:uid="{00000000-0005-0000-0000-0000394B0000}"/>
    <cellStyle name="Normal 2 2 2 33 2" xfId="19258" xr:uid="{00000000-0005-0000-0000-00003A4B0000}"/>
    <cellStyle name="Normal 2 2 2 33 2 10" xfId="19259" xr:uid="{00000000-0005-0000-0000-00003B4B0000}"/>
    <cellStyle name="Normal 2 2 2 33 2 2" xfId="19260" xr:uid="{00000000-0005-0000-0000-00003C4B0000}"/>
    <cellStyle name="Normal 2 2 2 33 2 3" xfId="19261" xr:uid="{00000000-0005-0000-0000-00003D4B0000}"/>
    <cellStyle name="Normal 2 2 2 33 2 4" xfId="19262" xr:uid="{00000000-0005-0000-0000-00003E4B0000}"/>
    <cellStyle name="Normal 2 2 2 33 2 5" xfId="19263" xr:uid="{00000000-0005-0000-0000-00003F4B0000}"/>
    <cellStyle name="Normal 2 2 2 33 2 6" xfId="19264" xr:uid="{00000000-0005-0000-0000-0000404B0000}"/>
    <cellStyle name="Normal 2 2 2 33 2 7" xfId="19265" xr:uid="{00000000-0005-0000-0000-0000414B0000}"/>
    <cellStyle name="Normal 2 2 2 33 2 8" xfId="19266" xr:uid="{00000000-0005-0000-0000-0000424B0000}"/>
    <cellStyle name="Normal 2 2 2 33 2 9" xfId="19267" xr:uid="{00000000-0005-0000-0000-0000434B0000}"/>
    <cellStyle name="Normal 2 2 2 33 3" xfId="19268" xr:uid="{00000000-0005-0000-0000-0000444B0000}"/>
    <cellStyle name="Normal 2 2 2 33 3 10" xfId="19269" xr:uid="{00000000-0005-0000-0000-0000454B0000}"/>
    <cellStyle name="Normal 2 2 2 33 3 2" xfId="19270" xr:uid="{00000000-0005-0000-0000-0000464B0000}"/>
    <cellStyle name="Normal 2 2 2 33 3 3" xfId="19271" xr:uid="{00000000-0005-0000-0000-0000474B0000}"/>
    <cellStyle name="Normal 2 2 2 33 3 4" xfId="19272" xr:uid="{00000000-0005-0000-0000-0000484B0000}"/>
    <cellStyle name="Normal 2 2 2 33 3 5" xfId="19273" xr:uid="{00000000-0005-0000-0000-0000494B0000}"/>
    <cellStyle name="Normal 2 2 2 33 3 6" xfId="19274" xr:uid="{00000000-0005-0000-0000-00004A4B0000}"/>
    <cellStyle name="Normal 2 2 2 33 3 7" xfId="19275" xr:uid="{00000000-0005-0000-0000-00004B4B0000}"/>
    <cellStyle name="Normal 2 2 2 33 3 8" xfId="19276" xr:uid="{00000000-0005-0000-0000-00004C4B0000}"/>
    <cellStyle name="Normal 2 2 2 33 3 9" xfId="19277" xr:uid="{00000000-0005-0000-0000-00004D4B0000}"/>
    <cellStyle name="Normal 2 2 2 33 4" xfId="19278" xr:uid="{00000000-0005-0000-0000-00004E4B0000}"/>
    <cellStyle name="Normal 2 2 2 33 4 10" xfId="19279" xr:uid="{00000000-0005-0000-0000-00004F4B0000}"/>
    <cellStyle name="Normal 2 2 2 33 4 2" xfId="19280" xr:uid="{00000000-0005-0000-0000-0000504B0000}"/>
    <cellStyle name="Normal 2 2 2 33 4 3" xfId="19281" xr:uid="{00000000-0005-0000-0000-0000514B0000}"/>
    <cellStyle name="Normal 2 2 2 33 4 4" xfId="19282" xr:uid="{00000000-0005-0000-0000-0000524B0000}"/>
    <cellStyle name="Normal 2 2 2 33 4 5" xfId="19283" xr:uid="{00000000-0005-0000-0000-0000534B0000}"/>
    <cellStyle name="Normal 2 2 2 33 4 6" xfId="19284" xr:uid="{00000000-0005-0000-0000-0000544B0000}"/>
    <cellStyle name="Normal 2 2 2 33 4 7" xfId="19285" xr:uid="{00000000-0005-0000-0000-0000554B0000}"/>
    <cellStyle name="Normal 2 2 2 33 4 8" xfId="19286" xr:uid="{00000000-0005-0000-0000-0000564B0000}"/>
    <cellStyle name="Normal 2 2 2 33 4 9" xfId="19287" xr:uid="{00000000-0005-0000-0000-0000574B0000}"/>
    <cellStyle name="Normal 2 2 2 33 5" xfId="19288" xr:uid="{00000000-0005-0000-0000-0000584B0000}"/>
    <cellStyle name="Normal 2 2 2 33 5 10" xfId="19289" xr:uid="{00000000-0005-0000-0000-0000594B0000}"/>
    <cellStyle name="Normal 2 2 2 33 5 2" xfId="19290" xr:uid="{00000000-0005-0000-0000-00005A4B0000}"/>
    <cellStyle name="Normal 2 2 2 33 5 3" xfId="19291" xr:uid="{00000000-0005-0000-0000-00005B4B0000}"/>
    <cellStyle name="Normal 2 2 2 33 5 4" xfId="19292" xr:uid="{00000000-0005-0000-0000-00005C4B0000}"/>
    <cellStyle name="Normal 2 2 2 33 5 5" xfId="19293" xr:uid="{00000000-0005-0000-0000-00005D4B0000}"/>
    <cellStyle name="Normal 2 2 2 33 5 6" xfId="19294" xr:uid="{00000000-0005-0000-0000-00005E4B0000}"/>
    <cellStyle name="Normal 2 2 2 33 5 7" xfId="19295" xr:uid="{00000000-0005-0000-0000-00005F4B0000}"/>
    <cellStyle name="Normal 2 2 2 33 5 8" xfId="19296" xr:uid="{00000000-0005-0000-0000-0000604B0000}"/>
    <cellStyle name="Normal 2 2 2 33 5 9" xfId="19297" xr:uid="{00000000-0005-0000-0000-0000614B0000}"/>
    <cellStyle name="Normal 2 2 2 33 6" xfId="19298" xr:uid="{00000000-0005-0000-0000-0000624B0000}"/>
    <cellStyle name="Normal 2 2 2 33 7" xfId="19299" xr:uid="{00000000-0005-0000-0000-0000634B0000}"/>
    <cellStyle name="Normal 2 2 2 33 8" xfId="19300" xr:uid="{00000000-0005-0000-0000-0000644B0000}"/>
    <cellStyle name="Normal 2 2 2 33 9" xfId="19301" xr:uid="{00000000-0005-0000-0000-0000654B0000}"/>
    <cellStyle name="Normal 2 2 2 34" xfId="19302" xr:uid="{00000000-0005-0000-0000-0000664B0000}"/>
    <cellStyle name="Normal 2 2 2 34 10" xfId="19303" xr:uid="{00000000-0005-0000-0000-0000674B0000}"/>
    <cellStyle name="Normal 2 2 2 34 11" xfId="19304" xr:uid="{00000000-0005-0000-0000-0000684B0000}"/>
    <cellStyle name="Normal 2 2 2 34 12" xfId="19305" xr:uid="{00000000-0005-0000-0000-0000694B0000}"/>
    <cellStyle name="Normal 2 2 2 34 13" xfId="19306" xr:uid="{00000000-0005-0000-0000-00006A4B0000}"/>
    <cellStyle name="Normal 2 2 2 34 14" xfId="19307" xr:uid="{00000000-0005-0000-0000-00006B4B0000}"/>
    <cellStyle name="Normal 2 2 2 34 2" xfId="19308" xr:uid="{00000000-0005-0000-0000-00006C4B0000}"/>
    <cellStyle name="Normal 2 2 2 34 2 10" xfId="19309" xr:uid="{00000000-0005-0000-0000-00006D4B0000}"/>
    <cellStyle name="Normal 2 2 2 34 2 2" xfId="19310" xr:uid="{00000000-0005-0000-0000-00006E4B0000}"/>
    <cellStyle name="Normal 2 2 2 34 2 3" xfId="19311" xr:uid="{00000000-0005-0000-0000-00006F4B0000}"/>
    <cellStyle name="Normal 2 2 2 34 2 4" xfId="19312" xr:uid="{00000000-0005-0000-0000-0000704B0000}"/>
    <cellStyle name="Normal 2 2 2 34 2 5" xfId="19313" xr:uid="{00000000-0005-0000-0000-0000714B0000}"/>
    <cellStyle name="Normal 2 2 2 34 2 6" xfId="19314" xr:uid="{00000000-0005-0000-0000-0000724B0000}"/>
    <cellStyle name="Normal 2 2 2 34 2 7" xfId="19315" xr:uid="{00000000-0005-0000-0000-0000734B0000}"/>
    <cellStyle name="Normal 2 2 2 34 2 8" xfId="19316" xr:uid="{00000000-0005-0000-0000-0000744B0000}"/>
    <cellStyle name="Normal 2 2 2 34 2 9" xfId="19317" xr:uid="{00000000-0005-0000-0000-0000754B0000}"/>
    <cellStyle name="Normal 2 2 2 34 3" xfId="19318" xr:uid="{00000000-0005-0000-0000-0000764B0000}"/>
    <cellStyle name="Normal 2 2 2 34 3 10" xfId="19319" xr:uid="{00000000-0005-0000-0000-0000774B0000}"/>
    <cellStyle name="Normal 2 2 2 34 3 2" xfId="19320" xr:uid="{00000000-0005-0000-0000-0000784B0000}"/>
    <cellStyle name="Normal 2 2 2 34 3 3" xfId="19321" xr:uid="{00000000-0005-0000-0000-0000794B0000}"/>
    <cellStyle name="Normal 2 2 2 34 3 4" xfId="19322" xr:uid="{00000000-0005-0000-0000-00007A4B0000}"/>
    <cellStyle name="Normal 2 2 2 34 3 5" xfId="19323" xr:uid="{00000000-0005-0000-0000-00007B4B0000}"/>
    <cellStyle name="Normal 2 2 2 34 3 6" xfId="19324" xr:uid="{00000000-0005-0000-0000-00007C4B0000}"/>
    <cellStyle name="Normal 2 2 2 34 3 7" xfId="19325" xr:uid="{00000000-0005-0000-0000-00007D4B0000}"/>
    <cellStyle name="Normal 2 2 2 34 3 8" xfId="19326" xr:uid="{00000000-0005-0000-0000-00007E4B0000}"/>
    <cellStyle name="Normal 2 2 2 34 3 9" xfId="19327" xr:uid="{00000000-0005-0000-0000-00007F4B0000}"/>
    <cellStyle name="Normal 2 2 2 34 4" xfId="19328" xr:uid="{00000000-0005-0000-0000-0000804B0000}"/>
    <cellStyle name="Normal 2 2 2 34 4 10" xfId="19329" xr:uid="{00000000-0005-0000-0000-0000814B0000}"/>
    <cellStyle name="Normal 2 2 2 34 4 2" xfId="19330" xr:uid="{00000000-0005-0000-0000-0000824B0000}"/>
    <cellStyle name="Normal 2 2 2 34 4 3" xfId="19331" xr:uid="{00000000-0005-0000-0000-0000834B0000}"/>
    <cellStyle name="Normal 2 2 2 34 4 4" xfId="19332" xr:uid="{00000000-0005-0000-0000-0000844B0000}"/>
    <cellStyle name="Normal 2 2 2 34 4 5" xfId="19333" xr:uid="{00000000-0005-0000-0000-0000854B0000}"/>
    <cellStyle name="Normal 2 2 2 34 4 6" xfId="19334" xr:uid="{00000000-0005-0000-0000-0000864B0000}"/>
    <cellStyle name="Normal 2 2 2 34 4 7" xfId="19335" xr:uid="{00000000-0005-0000-0000-0000874B0000}"/>
    <cellStyle name="Normal 2 2 2 34 4 8" xfId="19336" xr:uid="{00000000-0005-0000-0000-0000884B0000}"/>
    <cellStyle name="Normal 2 2 2 34 4 9" xfId="19337" xr:uid="{00000000-0005-0000-0000-0000894B0000}"/>
    <cellStyle name="Normal 2 2 2 34 5" xfId="19338" xr:uid="{00000000-0005-0000-0000-00008A4B0000}"/>
    <cellStyle name="Normal 2 2 2 34 5 10" xfId="19339" xr:uid="{00000000-0005-0000-0000-00008B4B0000}"/>
    <cellStyle name="Normal 2 2 2 34 5 2" xfId="19340" xr:uid="{00000000-0005-0000-0000-00008C4B0000}"/>
    <cellStyle name="Normal 2 2 2 34 5 3" xfId="19341" xr:uid="{00000000-0005-0000-0000-00008D4B0000}"/>
    <cellStyle name="Normal 2 2 2 34 5 4" xfId="19342" xr:uid="{00000000-0005-0000-0000-00008E4B0000}"/>
    <cellStyle name="Normal 2 2 2 34 5 5" xfId="19343" xr:uid="{00000000-0005-0000-0000-00008F4B0000}"/>
    <cellStyle name="Normal 2 2 2 34 5 6" xfId="19344" xr:uid="{00000000-0005-0000-0000-0000904B0000}"/>
    <cellStyle name="Normal 2 2 2 34 5 7" xfId="19345" xr:uid="{00000000-0005-0000-0000-0000914B0000}"/>
    <cellStyle name="Normal 2 2 2 34 5 8" xfId="19346" xr:uid="{00000000-0005-0000-0000-0000924B0000}"/>
    <cellStyle name="Normal 2 2 2 34 5 9" xfId="19347" xr:uid="{00000000-0005-0000-0000-0000934B0000}"/>
    <cellStyle name="Normal 2 2 2 34 6" xfId="19348" xr:uid="{00000000-0005-0000-0000-0000944B0000}"/>
    <cellStyle name="Normal 2 2 2 34 7" xfId="19349" xr:uid="{00000000-0005-0000-0000-0000954B0000}"/>
    <cellStyle name="Normal 2 2 2 34 8" xfId="19350" xr:uid="{00000000-0005-0000-0000-0000964B0000}"/>
    <cellStyle name="Normal 2 2 2 34 9" xfId="19351" xr:uid="{00000000-0005-0000-0000-0000974B0000}"/>
    <cellStyle name="Normal 2 2 2 35" xfId="19352" xr:uid="{00000000-0005-0000-0000-0000984B0000}"/>
    <cellStyle name="Normal 2 2 2 35 10" xfId="19353" xr:uid="{00000000-0005-0000-0000-0000994B0000}"/>
    <cellStyle name="Normal 2 2 2 35 11" xfId="19354" xr:uid="{00000000-0005-0000-0000-00009A4B0000}"/>
    <cellStyle name="Normal 2 2 2 35 12" xfId="19355" xr:uid="{00000000-0005-0000-0000-00009B4B0000}"/>
    <cellStyle name="Normal 2 2 2 35 13" xfId="19356" xr:uid="{00000000-0005-0000-0000-00009C4B0000}"/>
    <cellStyle name="Normal 2 2 2 35 14" xfId="19357" xr:uid="{00000000-0005-0000-0000-00009D4B0000}"/>
    <cellStyle name="Normal 2 2 2 35 2" xfId="19358" xr:uid="{00000000-0005-0000-0000-00009E4B0000}"/>
    <cellStyle name="Normal 2 2 2 35 2 10" xfId="19359" xr:uid="{00000000-0005-0000-0000-00009F4B0000}"/>
    <cellStyle name="Normal 2 2 2 35 2 2" xfId="19360" xr:uid="{00000000-0005-0000-0000-0000A04B0000}"/>
    <cellStyle name="Normal 2 2 2 35 2 3" xfId="19361" xr:uid="{00000000-0005-0000-0000-0000A14B0000}"/>
    <cellStyle name="Normal 2 2 2 35 2 4" xfId="19362" xr:uid="{00000000-0005-0000-0000-0000A24B0000}"/>
    <cellStyle name="Normal 2 2 2 35 2 5" xfId="19363" xr:uid="{00000000-0005-0000-0000-0000A34B0000}"/>
    <cellStyle name="Normal 2 2 2 35 2 6" xfId="19364" xr:uid="{00000000-0005-0000-0000-0000A44B0000}"/>
    <cellStyle name="Normal 2 2 2 35 2 7" xfId="19365" xr:uid="{00000000-0005-0000-0000-0000A54B0000}"/>
    <cellStyle name="Normal 2 2 2 35 2 8" xfId="19366" xr:uid="{00000000-0005-0000-0000-0000A64B0000}"/>
    <cellStyle name="Normal 2 2 2 35 2 9" xfId="19367" xr:uid="{00000000-0005-0000-0000-0000A74B0000}"/>
    <cellStyle name="Normal 2 2 2 35 3" xfId="19368" xr:uid="{00000000-0005-0000-0000-0000A84B0000}"/>
    <cellStyle name="Normal 2 2 2 35 3 10" xfId="19369" xr:uid="{00000000-0005-0000-0000-0000A94B0000}"/>
    <cellStyle name="Normal 2 2 2 35 3 2" xfId="19370" xr:uid="{00000000-0005-0000-0000-0000AA4B0000}"/>
    <cellStyle name="Normal 2 2 2 35 3 3" xfId="19371" xr:uid="{00000000-0005-0000-0000-0000AB4B0000}"/>
    <cellStyle name="Normal 2 2 2 35 3 4" xfId="19372" xr:uid="{00000000-0005-0000-0000-0000AC4B0000}"/>
    <cellStyle name="Normal 2 2 2 35 3 5" xfId="19373" xr:uid="{00000000-0005-0000-0000-0000AD4B0000}"/>
    <cellStyle name="Normal 2 2 2 35 3 6" xfId="19374" xr:uid="{00000000-0005-0000-0000-0000AE4B0000}"/>
    <cellStyle name="Normal 2 2 2 35 3 7" xfId="19375" xr:uid="{00000000-0005-0000-0000-0000AF4B0000}"/>
    <cellStyle name="Normal 2 2 2 35 3 8" xfId="19376" xr:uid="{00000000-0005-0000-0000-0000B04B0000}"/>
    <cellStyle name="Normal 2 2 2 35 3 9" xfId="19377" xr:uid="{00000000-0005-0000-0000-0000B14B0000}"/>
    <cellStyle name="Normal 2 2 2 35 4" xfId="19378" xr:uid="{00000000-0005-0000-0000-0000B24B0000}"/>
    <cellStyle name="Normal 2 2 2 35 4 10" xfId="19379" xr:uid="{00000000-0005-0000-0000-0000B34B0000}"/>
    <cellStyle name="Normal 2 2 2 35 4 2" xfId="19380" xr:uid="{00000000-0005-0000-0000-0000B44B0000}"/>
    <cellStyle name="Normal 2 2 2 35 4 3" xfId="19381" xr:uid="{00000000-0005-0000-0000-0000B54B0000}"/>
    <cellStyle name="Normal 2 2 2 35 4 4" xfId="19382" xr:uid="{00000000-0005-0000-0000-0000B64B0000}"/>
    <cellStyle name="Normal 2 2 2 35 4 5" xfId="19383" xr:uid="{00000000-0005-0000-0000-0000B74B0000}"/>
    <cellStyle name="Normal 2 2 2 35 4 6" xfId="19384" xr:uid="{00000000-0005-0000-0000-0000B84B0000}"/>
    <cellStyle name="Normal 2 2 2 35 4 7" xfId="19385" xr:uid="{00000000-0005-0000-0000-0000B94B0000}"/>
    <cellStyle name="Normal 2 2 2 35 4 8" xfId="19386" xr:uid="{00000000-0005-0000-0000-0000BA4B0000}"/>
    <cellStyle name="Normal 2 2 2 35 4 9" xfId="19387" xr:uid="{00000000-0005-0000-0000-0000BB4B0000}"/>
    <cellStyle name="Normal 2 2 2 35 5" xfId="19388" xr:uid="{00000000-0005-0000-0000-0000BC4B0000}"/>
    <cellStyle name="Normal 2 2 2 35 5 10" xfId="19389" xr:uid="{00000000-0005-0000-0000-0000BD4B0000}"/>
    <cellStyle name="Normal 2 2 2 35 5 2" xfId="19390" xr:uid="{00000000-0005-0000-0000-0000BE4B0000}"/>
    <cellStyle name="Normal 2 2 2 35 5 3" xfId="19391" xr:uid="{00000000-0005-0000-0000-0000BF4B0000}"/>
    <cellStyle name="Normal 2 2 2 35 5 4" xfId="19392" xr:uid="{00000000-0005-0000-0000-0000C04B0000}"/>
    <cellStyle name="Normal 2 2 2 35 5 5" xfId="19393" xr:uid="{00000000-0005-0000-0000-0000C14B0000}"/>
    <cellStyle name="Normal 2 2 2 35 5 6" xfId="19394" xr:uid="{00000000-0005-0000-0000-0000C24B0000}"/>
    <cellStyle name="Normal 2 2 2 35 5 7" xfId="19395" xr:uid="{00000000-0005-0000-0000-0000C34B0000}"/>
    <cellStyle name="Normal 2 2 2 35 5 8" xfId="19396" xr:uid="{00000000-0005-0000-0000-0000C44B0000}"/>
    <cellStyle name="Normal 2 2 2 35 5 9" xfId="19397" xr:uid="{00000000-0005-0000-0000-0000C54B0000}"/>
    <cellStyle name="Normal 2 2 2 35 6" xfId="19398" xr:uid="{00000000-0005-0000-0000-0000C64B0000}"/>
    <cellStyle name="Normal 2 2 2 35 7" xfId="19399" xr:uid="{00000000-0005-0000-0000-0000C74B0000}"/>
    <cellStyle name="Normal 2 2 2 35 8" xfId="19400" xr:uid="{00000000-0005-0000-0000-0000C84B0000}"/>
    <cellStyle name="Normal 2 2 2 35 9" xfId="19401" xr:uid="{00000000-0005-0000-0000-0000C94B0000}"/>
    <cellStyle name="Normal 2 2 2 36" xfId="19402" xr:uid="{00000000-0005-0000-0000-0000CA4B0000}"/>
    <cellStyle name="Normal 2 2 2 36 10" xfId="19403" xr:uid="{00000000-0005-0000-0000-0000CB4B0000}"/>
    <cellStyle name="Normal 2 2 2 36 2" xfId="19404" xr:uid="{00000000-0005-0000-0000-0000CC4B0000}"/>
    <cellStyle name="Normal 2 2 2 36 3" xfId="19405" xr:uid="{00000000-0005-0000-0000-0000CD4B0000}"/>
    <cellStyle name="Normal 2 2 2 36 4" xfId="19406" xr:uid="{00000000-0005-0000-0000-0000CE4B0000}"/>
    <cellStyle name="Normal 2 2 2 36 5" xfId="19407" xr:uid="{00000000-0005-0000-0000-0000CF4B0000}"/>
    <cellStyle name="Normal 2 2 2 36 6" xfId="19408" xr:uid="{00000000-0005-0000-0000-0000D04B0000}"/>
    <cellStyle name="Normal 2 2 2 36 7" xfId="19409" xr:uid="{00000000-0005-0000-0000-0000D14B0000}"/>
    <cellStyle name="Normal 2 2 2 36 8" xfId="19410" xr:uid="{00000000-0005-0000-0000-0000D24B0000}"/>
    <cellStyle name="Normal 2 2 2 36 9" xfId="19411" xr:uid="{00000000-0005-0000-0000-0000D34B0000}"/>
    <cellStyle name="Normal 2 2 2 37" xfId="19412" xr:uid="{00000000-0005-0000-0000-0000D44B0000}"/>
    <cellStyle name="Normal 2 2 2 37 10" xfId="19413" xr:uid="{00000000-0005-0000-0000-0000D54B0000}"/>
    <cellStyle name="Normal 2 2 2 37 2" xfId="19414" xr:uid="{00000000-0005-0000-0000-0000D64B0000}"/>
    <cellStyle name="Normal 2 2 2 37 3" xfId="19415" xr:uid="{00000000-0005-0000-0000-0000D74B0000}"/>
    <cellStyle name="Normal 2 2 2 37 4" xfId="19416" xr:uid="{00000000-0005-0000-0000-0000D84B0000}"/>
    <cellStyle name="Normal 2 2 2 37 5" xfId="19417" xr:uid="{00000000-0005-0000-0000-0000D94B0000}"/>
    <cellStyle name="Normal 2 2 2 37 6" xfId="19418" xr:uid="{00000000-0005-0000-0000-0000DA4B0000}"/>
    <cellStyle name="Normal 2 2 2 37 7" xfId="19419" xr:uid="{00000000-0005-0000-0000-0000DB4B0000}"/>
    <cellStyle name="Normal 2 2 2 37 8" xfId="19420" xr:uid="{00000000-0005-0000-0000-0000DC4B0000}"/>
    <cellStyle name="Normal 2 2 2 37 9" xfId="19421" xr:uid="{00000000-0005-0000-0000-0000DD4B0000}"/>
    <cellStyle name="Normal 2 2 2 38" xfId="19422" xr:uid="{00000000-0005-0000-0000-0000DE4B0000}"/>
    <cellStyle name="Normal 2 2 2 38 10" xfId="19423" xr:uid="{00000000-0005-0000-0000-0000DF4B0000}"/>
    <cellStyle name="Normal 2 2 2 38 2" xfId="19424" xr:uid="{00000000-0005-0000-0000-0000E04B0000}"/>
    <cellStyle name="Normal 2 2 2 38 3" xfId="19425" xr:uid="{00000000-0005-0000-0000-0000E14B0000}"/>
    <cellStyle name="Normal 2 2 2 38 4" xfId="19426" xr:uid="{00000000-0005-0000-0000-0000E24B0000}"/>
    <cellStyle name="Normal 2 2 2 38 5" xfId="19427" xr:uid="{00000000-0005-0000-0000-0000E34B0000}"/>
    <cellStyle name="Normal 2 2 2 38 6" xfId="19428" xr:uid="{00000000-0005-0000-0000-0000E44B0000}"/>
    <cellStyle name="Normal 2 2 2 38 7" xfId="19429" xr:uid="{00000000-0005-0000-0000-0000E54B0000}"/>
    <cellStyle name="Normal 2 2 2 38 8" xfId="19430" xr:uid="{00000000-0005-0000-0000-0000E64B0000}"/>
    <cellStyle name="Normal 2 2 2 38 9" xfId="19431" xr:uid="{00000000-0005-0000-0000-0000E74B0000}"/>
    <cellStyle name="Normal 2 2 2 39" xfId="19432" xr:uid="{00000000-0005-0000-0000-0000E84B0000}"/>
    <cellStyle name="Normal 2 2 2 39 10" xfId="19433" xr:uid="{00000000-0005-0000-0000-0000E94B0000}"/>
    <cellStyle name="Normal 2 2 2 39 2" xfId="19434" xr:uid="{00000000-0005-0000-0000-0000EA4B0000}"/>
    <cellStyle name="Normal 2 2 2 39 3" xfId="19435" xr:uid="{00000000-0005-0000-0000-0000EB4B0000}"/>
    <cellStyle name="Normal 2 2 2 39 4" xfId="19436" xr:uid="{00000000-0005-0000-0000-0000EC4B0000}"/>
    <cellStyle name="Normal 2 2 2 39 5" xfId="19437" xr:uid="{00000000-0005-0000-0000-0000ED4B0000}"/>
    <cellStyle name="Normal 2 2 2 39 6" xfId="19438" xr:uid="{00000000-0005-0000-0000-0000EE4B0000}"/>
    <cellStyle name="Normal 2 2 2 39 7" xfId="19439" xr:uid="{00000000-0005-0000-0000-0000EF4B0000}"/>
    <cellStyle name="Normal 2 2 2 39 8" xfId="19440" xr:uid="{00000000-0005-0000-0000-0000F04B0000}"/>
    <cellStyle name="Normal 2 2 2 39 9" xfId="19441" xr:uid="{00000000-0005-0000-0000-0000F14B0000}"/>
    <cellStyle name="Normal 2 2 2 4" xfId="19442" xr:uid="{00000000-0005-0000-0000-0000F24B0000}"/>
    <cellStyle name="Normal 2 2 2 4 10" xfId="19443" xr:uid="{00000000-0005-0000-0000-0000F34B0000}"/>
    <cellStyle name="Normal 2 2 2 4 11" xfId="19444" xr:uid="{00000000-0005-0000-0000-0000F44B0000}"/>
    <cellStyle name="Normal 2 2 2 4 12" xfId="19445" xr:uid="{00000000-0005-0000-0000-0000F54B0000}"/>
    <cellStyle name="Normal 2 2 2 4 13" xfId="19446" xr:uid="{00000000-0005-0000-0000-0000F64B0000}"/>
    <cellStyle name="Normal 2 2 2 4 14" xfId="19447" xr:uid="{00000000-0005-0000-0000-0000F74B0000}"/>
    <cellStyle name="Normal 2 2 2 4 15" xfId="19448" xr:uid="{00000000-0005-0000-0000-0000F84B0000}"/>
    <cellStyle name="Normal 2 2 2 4 16" xfId="19449" xr:uid="{00000000-0005-0000-0000-0000F94B0000}"/>
    <cellStyle name="Normal 2 2 2 4 17" xfId="19450" xr:uid="{00000000-0005-0000-0000-0000FA4B0000}"/>
    <cellStyle name="Normal 2 2 2 4 18" xfId="19451" xr:uid="{00000000-0005-0000-0000-0000FB4B0000}"/>
    <cellStyle name="Normal 2 2 2 4 19" xfId="19452" xr:uid="{00000000-0005-0000-0000-0000FC4B0000}"/>
    <cellStyle name="Normal 2 2 2 4 2" xfId="19453" xr:uid="{00000000-0005-0000-0000-0000FD4B0000}"/>
    <cellStyle name="Normal 2 2 2 4 2 10" xfId="19454" xr:uid="{00000000-0005-0000-0000-0000FE4B0000}"/>
    <cellStyle name="Normal 2 2 2 4 2 10 10" xfId="19455" xr:uid="{00000000-0005-0000-0000-0000FF4B0000}"/>
    <cellStyle name="Normal 2 2 2 4 2 10 11" xfId="19456" xr:uid="{00000000-0005-0000-0000-0000004C0000}"/>
    <cellStyle name="Normal 2 2 2 4 2 10 12" xfId="19457" xr:uid="{00000000-0005-0000-0000-0000014C0000}"/>
    <cellStyle name="Normal 2 2 2 4 2 10 13" xfId="19458" xr:uid="{00000000-0005-0000-0000-0000024C0000}"/>
    <cellStyle name="Normal 2 2 2 4 2 10 14" xfId="19459" xr:uid="{00000000-0005-0000-0000-0000034C0000}"/>
    <cellStyle name="Normal 2 2 2 4 2 10 2" xfId="19460" xr:uid="{00000000-0005-0000-0000-0000044C0000}"/>
    <cellStyle name="Normal 2 2 2 4 2 10 2 10" xfId="19461" xr:uid="{00000000-0005-0000-0000-0000054C0000}"/>
    <cellStyle name="Normal 2 2 2 4 2 10 2 2" xfId="19462" xr:uid="{00000000-0005-0000-0000-0000064C0000}"/>
    <cellStyle name="Normal 2 2 2 4 2 10 2 3" xfId="19463" xr:uid="{00000000-0005-0000-0000-0000074C0000}"/>
    <cellStyle name="Normal 2 2 2 4 2 10 2 4" xfId="19464" xr:uid="{00000000-0005-0000-0000-0000084C0000}"/>
    <cellStyle name="Normal 2 2 2 4 2 10 2 5" xfId="19465" xr:uid="{00000000-0005-0000-0000-0000094C0000}"/>
    <cellStyle name="Normal 2 2 2 4 2 10 2 6" xfId="19466" xr:uid="{00000000-0005-0000-0000-00000A4C0000}"/>
    <cellStyle name="Normal 2 2 2 4 2 10 2 7" xfId="19467" xr:uid="{00000000-0005-0000-0000-00000B4C0000}"/>
    <cellStyle name="Normal 2 2 2 4 2 10 2 8" xfId="19468" xr:uid="{00000000-0005-0000-0000-00000C4C0000}"/>
    <cellStyle name="Normal 2 2 2 4 2 10 2 9" xfId="19469" xr:uid="{00000000-0005-0000-0000-00000D4C0000}"/>
    <cellStyle name="Normal 2 2 2 4 2 10 3" xfId="19470" xr:uid="{00000000-0005-0000-0000-00000E4C0000}"/>
    <cellStyle name="Normal 2 2 2 4 2 10 3 10" xfId="19471" xr:uid="{00000000-0005-0000-0000-00000F4C0000}"/>
    <cellStyle name="Normal 2 2 2 4 2 10 3 2" xfId="19472" xr:uid="{00000000-0005-0000-0000-0000104C0000}"/>
    <cellStyle name="Normal 2 2 2 4 2 10 3 3" xfId="19473" xr:uid="{00000000-0005-0000-0000-0000114C0000}"/>
    <cellStyle name="Normal 2 2 2 4 2 10 3 4" xfId="19474" xr:uid="{00000000-0005-0000-0000-0000124C0000}"/>
    <cellStyle name="Normal 2 2 2 4 2 10 3 5" xfId="19475" xr:uid="{00000000-0005-0000-0000-0000134C0000}"/>
    <cellStyle name="Normal 2 2 2 4 2 10 3 6" xfId="19476" xr:uid="{00000000-0005-0000-0000-0000144C0000}"/>
    <cellStyle name="Normal 2 2 2 4 2 10 3 7" xfId="19477" xr:uid="{00000000-0005-0000-0000-0000154C0000}"/>
    <cellStyle name="Normal 2 2 2 4 2 10 3 8" xfId="19478" xr:uid="{00000000-0005-0000-0000-0000164C0000}"/>
    <cellStyle name="Normal 2 2 2 4 2 10 3 9" xfId="19479" xr:uid="{00000000-0005-0000-0000-0000174C0000}"/>
    <cellStyle name="Normal 2 2 2 4 2 10 4" xfId="19480" xr:uid="{00000000-0005-0000-0000-0000184C0000}"/>
    <cellStyle name="Normal 2 2 2 4 2 10 4 10" xfId="19481" xr:uid="{00000000-0005-0000-0000-0000194C0000}"/>
    <cellStyle name="Normal 2 2 2 4 2 10 4 2" xfId="19482" xr:uid="{00000000-0005-0000-0000-00001A4C0000}"/>
    <cellStyle name="Normal 2 2 2 4 2 10 4 3" xfId="19483" xr:uid="{00000000-0005-0000-0000-00001B4C0000}"/>
    <cellStyle name="Normal 2 2 2 4 2 10 4 4" xfId="19484" xr:uid="{00000000-0005-0000-0000-00001C4C0000}"/>
    <cellStyle name="Normal 2 2 2 4 2 10 4 5" xfId="19485" xr:uid="{00000000-0005-0000-0000-00001D4C0000}"/>
    <cellStyle name="Normal 2 2 2 4 2 10 4 6" xfId="19486" xr:uid="{00000000-0005-0000-0000-00001E4C0000}"/>
    <cellStyle name="Normal 2 2 2 4 2 10 4 7" xfId="19487" xr:uid="{00000000-0005-0000-0000-00001F4C0000}"/>
    <cellStyle name="Normal 2 2 2 4 2 10 4 8" xfId="19488" xr:uid="{00000000-0005-0000-0000-0000204C0000}"/>
    <cellStyle name="Normal 2 2 2 4 2 10 4 9" xfId="19489" xr:uid="{00000000-0005-0000-0000-0000214C0000}"/>
    <cellStyle name="Normal 2 2 2 4 2 10 5" xfId="19490" xr:uid="{00000000-0005-0000-0000-0000224C0000}"/>
    <cellStyle name="Normal 2 2 2 4 2 10 5 10" xfId="19491" xr:uid="{00000000-0005-0000-0000-0000234C0000}"/>
    <cellStyle name="Normal 2 2 2 4 2 10 5 2" xfId="19492" xr:uid="{00000000-0005-0000-0000-0000244C0000}"/>
    <cellStyle name="Normal 2 2 2 4 2 10 5 3" xfId="19493" xr:uid="{00000000-0005-0000-0000-0000254C0000}"/>
    <cellStyle name="Normal 2 2 2 4 2 10 5 4" xfId="19494" xr:uid="{00000000-0005-0000-0000-0000264C0000}"/>
    <cellStyle name="Normal 2 2 2 4 2 10 5 5" xfId="19495" xr:uid="{00000000-0005-0000-0000-0000274C0000}"/>
    <cellStyle name="Normal 2 2 2 4 2 10 5 6" xfId="19496" xr:uid="{00000000-0005-0000-0000-0000284C0000}"/>
    <cellStyle name="Normal 2 2 2 4 2 10 5 7" xfId="19497" xr:uid="{00000000-0005-0000-0000-0000294C0000}"/>
    <cellStyle name="Normal 2 2 2 4 2 10 5 8" xfId="19498" xr:uid="{00000000-0005-0000-0000-00002A4C0000}"/>
    <cellStyle name="Normal 2 2 2 4 2 10 5 9" xfId="19499" xr:uid="{00000000-0005-0000-0000-00002B4C0000}"/>
    <cellStyle name="Normal 2 2 2 4 2 10 6" xfId="19500" xr:uid="{00000000-0005-0000-0000-00002C4C0000}"/>
    <cellStyle name="Normal 2 2 2 4 2 10 7" xfId="19501" xr:uid="{00000000-0005-0000-0000-00002D4C0000}"/>
    <cellStyle name="Normal 2 2 2 4 2 10 8" xfId="19502" xr:uid="{00000000-0005-0000-0000-00002E4C0000}"/>
    <cellStyle name="Normal 2 2 2 4 2 10 9" xfId="19503" xr:uid="{00000000-0005-0000-0000-00002F4C0000}"/>
    <cellStyle name="Normal 2 2 2 4 2 11" xfId="19504" xr:uid="{00000000-0005-0000-0000-0000304C0000}"/>
    <cellStyle name="Normal 2 2 2 4 2 11 10" xfId="19505" xr:uid="{00000000-0005-0000-0000-0000314C0000}"/>
    <cellStyle name="Normal 2 2 2 4 2 11 11" xfId="19506" xr:uid="{00000000-0005-0000-0000-0000324C0000}"/>
    <cellStyle name="Normal 2 2 2 4 2 11 12" xfId="19507" xr:uid="{00000000-0005-0000-0000-0000334C0000}"/>
    <cellStyle name="Normal 2 2 2 4 2 11 13" xfId="19508" xr:uid="{00000000-0005-0000-0000-0000344C0000}"/>
    <cellStyle name="Normal 2 2 2 4 2 11 14" xfId="19509" xr:uid="{00000000-0005-0000-0000-0000354C0000}"/>
    <cellStyle name="Normal 2 2 2 4 2 11 2" xfId="19510" xr:uid="{00000000-0005-0000-0000-0000364C0000}"/>
    <cellStyle name="Normal 2 2 2 4 2 11 2 10" xfId="19511" xr:uid="{00000000-0005-0000-0000-0000374C0000}"/>
    <cellStyle name="Normal 2 2 2 4 2 11 2 2" xfId="19512" xr:uid="{00000000-0005-0000-0000-0000384C0000}"/>
    <cellStyle name="Normal 2 2 2 4 2 11 2 3" xfId="19513" xr:uid="{00000000-0005-0000-0000-0000394C0000}"/>
    <cellStyle name="Normal 2 2 2 4 2 11 2 4" xfId="19514" xr:uid="{00000000-0005-0000-0000-00003A4C0000}"/>
    <cellStyle name="Normal 2 2 2 4 2 11 2 5" xfId="19515" xr:uid="{00000000-0005-0000-0000-00003B4C0000}"/>
    <cellStyle name="Normal 2 2 2 4 2 11 2 6" xfId="19516" xr:uid="{00000000-0005-0000-0000-00003C4C0000}"/>
    <cellStyle name="Normal 2 2 2 4 2 11 2 7" xfId="19517" xr:uid="{00000000-0005-0000-0000-00003D4C0000}"/>
    <cellStyle name="Normal 2 2 2 4 2 11 2 8" xfId="19518" xr:uid="{00000000-0005-0000-0000-00003E4C0000}"/>
    <cellStyle name="Normal 2 2 2 4 2 11 2 9" xfId="19519" xr:uid="{00000000-0005-0000-0000-00003F4C0000}"/>
    <cellStyle name="Normal 2 2 2 4 2 11 3" xfId="19520" xr:uid="{00000000-0005-0000-0000-0000404C0000}"/>
    <cellStyle name="Normal 2 2 2 4 2 11 3 10" xfId="19521" xr:uid="{00000000-0005-0000-0000-0000414C0000}"/>
    <cellStyle name="Normal 2 2 2 4 2 11 3 2" xfId="19522" xr:uid="{00000000-0005-0000-0000-0000424C0000}"/>
    <cellStyle name="Normal 2 2 2 4 2 11 3 3" xfId="19523" xr:uid="{00000000-0005-0000-0000-0000434C0000}"/>
    <cellStyle name="Normal 2 2 2 4 2 11 3 4" xfId="19524" xr:uid="{00000000-0005-0000-0000-0000444C0000}"/>
    <cellStyle name="Normal 2 2 2 4 2 11 3 5" xfId="19525" xr:uid="{00000000-0005-0000-0000-0000454C0000}"/>
    <cellStyle name="Normal 2 2 2 4 2 11 3 6" xfId="19526" xr:uid="{00000000-0005-0000-0000-0000464C0000}"/>
    <cellStyle name="Normal 2 2 2 4 2 11 3 7" xfId="19527" xr:uid="{00000000-0005-0000-0000-0000474C0000}"/>
    <cellStyle name="Normal 2 2 2 4 2 11 3 8" xfId="19528" xr:uid="{00000000-0005-0000-0000-0000484C0000}"/>
    <cellStyle name="Normal 2 2 2 4 2 11 3 9" xfId="19529" xr:uid="{00000000-0005-0000-0000-0000494C0000}"/>
    <cellStyle name="Normal 2 2 2 4 2 11 4" xfId="19530" xr:uid="{00000000-0005-0000-0000-00004A4C0000}"/>
    <cellStyle name="Normal 2 2 2 4 2 11 4 10" xfId="19531" xr:uid="{00000000-0005-0000-0000-00004B4C0000}"/>
    <cellStyle name="Normal 2 2 2 4 2 11 4 2" xfId="19532" xr:uid="{00000000-0005-0000-0000-00004C4C0000}"/>
    <cellStyle name="Normal 2 2 2 4 2 11 4 3" xfId="19533" xr:uid="{00000000-0005-0000-0000-00004D4C0000}"/>
    <cellStyle name="Normal 2 2 2 4 2 11 4 4" xfId="19534" xr:uid="{00000000-0005-0000-0000-00004E4C0000}"/>
    <cellStyle name="Normal 2 2 2 4 2 11 4 5" xfId="19535" xr:uid="{00000000-0005-0000-0000-00004F4C0000}"/>
    <cellStyle name="Normal 2 2 2 4 2 11 4 6" xfId="19536" xr:uid="{00000000-0005-0000-0000-0000504C0000}"/>
    <cellStyle name="Normal 2 2 2 4 2 11 4 7" xfId="19537" xr:uid="{00000000-0005-0000-0000-0000514C0000}"/>
    <cellStyle name="Normal 2 2 2 4 2 11 4 8" xfId="19538" xr:uid="{00000000-0005-0000-0000-0000524C0000}"/>
    <cellStyle name="Normal 2 2 2 4 2 11 4 9" xfId="19539" xr:uid="{00000000-0005-0000-0000-0000534C0000}"/>
    <cellStyle name="Normal 2 2 2 4 2 11 5" xfId="19540" xr:uid="{00000000-0005-0000-0000-0000544C0000}"/>
    <cellStyle name="Normal 2 2 2 4 2 11 5 10" xfId="19541" xr:uid="{00000000-0005-0000-0000-0000554C0000}"/>
    <cellStyle name="Normal 2 2 2 4 2 11 5 2" xfId="19542" xr:uid="{00000000-0005-0000-0000-0000564C0000}"/>
    <cellStyle name="Normal 2 2 2 4 2 11 5 3" xfId="19543" xr:uid="{00000000-0005-0000-0000-0000574C0000}"/>
    <cellStyle name="Normal 2 2 2 4 2 11 5 4" xfId="19544" xr:uid="{00000000-0005-0000-0000-0000584C0000}"/>
    <cellStyle name="Normal 2 2 2 4 2 11 5 5" xfId="19545" xr:uid="{00000000-0005-0000-0000-0000594C0000}"/>
    <cellStyle name="Normal 2 2 2 4 2 11 5 6" xfId="19546" xr:uid="{00000000-0005-0000-0000-00005A4C0000}"/>
    <cellStyle name="Normal 2 2 2 4 2 11 5 7" xfId="19547" xr:uid="{00000000-0005-0000-0000-00005B4C0000}"/>
    <cellStyle name="Normal 2 2 2 4 2 11 5 8" xfId="19548" xr:uid="{00000000-0005-0000-0000-00005C4C0000}"/>
    <cellStyle name="Normal 2 2 2 4 2 11 5 9" xfId="19549" xr:uid="{00000000-0005-0000-0000-00005D4C0000}"/>
    <cellStyle name="Normal 2 2 2 4 2 11 6" xfId="19550" xr:uid="{00000000-0005-0000-0000-00005E4C0000}"/>
    <cellStyle name="Normal 2 2 2 4 2 11 7" xfId="19551" xr:uid="{00000000-0005-0000-0000-00005F4C0000}"/>
    <cellStyle name="Normal 2 2 2 4 2 11 8" xfId="19552" xr:uid="{00000000-0005-0000-0000-0000604C0000}"/>
    <cellStyle name="Normal 2 2 2 4 2 11 9" xfId="19553" xr:uid="{00000000-0005-0000-0000-0000614C0000}"/>
    <cellStyle name="Normal 2 2 2 4 2 12" xfId="19554" xr:uid="{00000000-0005-0000-0000-0000624C0000}"/>
    <cellStyle name="Normal 2 2 2 4 2 12 10" xfId="19555" xr:uid="{00000000-0005-0000-0000-0000634C0000}"/>
    <cellStyle name="Normal 2 2 2 4 2 12 11" xfId="19556" xr:uid="{00000000-0005-0000-0000-0000644C0000}"/>
    <cellStyle name="Normal 2 2 2 4 2 12 12" xfId="19557" xr:uid="{00000000-0005-0000-0000-0000654C0000}"/>
    <cellStyle name="Normal 2 2 2 4 2 12 13" xfId="19558" xr:uid="{00000000-0005-0000-0000-0000664C0000}"/>
    <cellStyle name="Normal 2 2 2 4 2 12 14" xfId="19559" xr:uid="{00000000-0005-0000-0000-0000674C0000}"/>
    <cellStyle name="Normal 2 2 2 4 2 12 2" xfId="19560" xr:uid="{00000000-0005-0000-0000-0000684C0000}"/>
    <cellStyle name="Normal 2 2 2 4 2 12 2 10" xfId="19561" xr:uid="{00000000-0005-0000-0000-0000694C0000}"/>
    <cellStyle name="Normal 2 2 2 4 2 12 2 2" xfId="19562" xr:uid="{00000000-0005-0000-0000-00006A4C0000}"/>
    <cellStyle name="Normal 2 2 2 4 2 12 2 3" xfId="19563" xr:uid="{00000000-0005-0000-0000-00006B4C0000}"/>
    <cellStyle name="Normal 2 2 2 4 2 12 2 4" xfId="19564" xr:uid="{00000000-0005-0000-0000-00006C4C0000}"/>
    <cellStyle name="Normal 2 2 2 4 2 12 2 5" xfId="19565" xr:uid="{00000000-0005-0000-0000-00006D4C0000}"/>
    <cellStyle name="Normal 2 2 2 4 2 12 2 6" xfId="19566" xr:uid="{00000000-0005-0000-0000-00006E4C0000}"/>
    <cellStyle name="Normal 2 2 2 4 2 12 2 7" xfId="19567" xr:uid="{00000000-0005-0000-0000-00006F4C0000}"/>
    <cellStyle name="Normal 2 2 2 4 2 12 2 8" xfId="19568" xr:uid="{00000000-0005-0000-0000-0000704C0000}"/>
    <cellStyle name="Normal 2 2 2 4 2 12 2 9" xfId="19569" xr:uid="{00000000-0005-0000-0000-0000714C0000}"/>
    <cellStyle name="Normal 2 2 2 4 2 12 3" xfId="19570" xr:uid="{00000000-0005-0000-0000-0000724C0000}"/>
    <cellStyle name="Normal 2 2 2 4 2 12 3 10" xfId="19571" xr:uid="{00000000-0005-0000-0000-0000734C0000}"/>
    <cellStyle name="Normal 2 2 2 4 2 12 3 2" xfId="19572" xr:uid="{00000000-0005-0000-0000-0000744C0000}"/>
    <cellStyle name="Normal 2 2 2 4 2 12 3 3" xfId="19573" xr:uid="{00000000-0005-0000-0000-0000754C0000}"/>
    <cellStyle name="Normal 2 2 2 4 2 12 3 4" xfId="19574" xr:uid="{00000000-0005-0000-0000-0000764C0000}"/>
    <cellStyle name="Normal 2 2 2 4 2 12 3 5" xfId="19575" xr:uid="{00000000-0005-0000-0000-0000774C0000}"/>
    <cellStyle name="Normal 2 2 2 4 2 12 3 6" xfId="19576" xr:uid="{00000000-0005-0000-0000-0000784C0000}"/>
    <cellStyle name="Normal 2 2 2 4 2 12 3 7" xfId="19577" xr:uid="{00000000-0005-0000-0000-0000794C0000}"/>
    <cellStyle name="Normal 2 2 2 4 2 12 3 8" xfId="19578" xr:uid="{00000000-0005-0000-0000-00007A4C0000}"/>
    <cellStyle name="Normal 2 2 2 4 2 12 3 9" xfId="19579" xr:uid="{00000000-0005-0000-0000-00007B4C0000}"/>
    <cellStyle name="Normal 2 2 2 4 2 12 4" xfId="19580" xr:uid="{00000000-0005-0000-0000-00007C4C0000}"/>
    <cellStyle name="Normal 2 2 2 4 2 12 4 10" xfId="19581" xr:uid="{00000000-0005-0000-0000-00007D4C0000}"/>
    <cellStyle name="Normal 2 2 2 4 2 12 4 2" xfId="19582" xr:uid="{00000000-0005-0000-0000-00007E4C0000}"/>
    <cellStyle name="Normal 2 2 2 4 2 12 4 3" xfId="19583" xr:uid="{00000000-0005-0000-0000-00007F4C0000}"/>
    <cellStyle name="Normal 2 2 2 4 2 12 4 4" xfId="19584" xr:uid="{00000000-0005-0000-0000-0000804C0000}"/>
    <cellStyle name="Normal 2 2 2 4 2 12 4 5" xfId="19585" xr:uid="{00000000-0005-0000-0000-0000814C0000}"/>
    <cellStyle name="Normal 2 2 2 4 2 12 4 6" xfId="19586" xr:uid="{00000000-0005-0000-0000-0000824C0000}"/>
    <cellStyle name="Normal 2 2 2 4 2 12 4 7" xfId="19587" xr:uid="{00000000-0005-0000-0000-0000834C0000}"/>
    <cellStyle name="Normal 2 2 2 4 2 12 4 8" xfId="19588" xr:uid="{00000000-0005-0000-0000-0000844C0000}"/>
    <cellStyle name="Normal 2 2 2 4 2 12 4 9" xfId="19589" xr:uid="{00000000-0005-0000-0000-0000854C0000}"/>
    <cellStyle name="Normal 2 2 2 4 2 12 5" xfId="19590" xr:uid="{00000000-0005-0000-0000-0000864C0000}"/>
    <cellStyle name="Normal 2 2 2 4 2 12 5 10" xfId="19591" xr:uid="{00000000-0005-0000-0000-0000874C0000}"/>
    <cellStyle name="Normal 2 2 2 4 2 12 5 2" xfId="19592" xr:uid="{00000000-0005-0000-0000-0000884C0000}"/>
    <cellStyle name="Normal 2 2 2 4 2 12 5 3" xfId="19593" xr:uid="{00000000-0005-0000-0000-0000894C0000}"/>
    <cellStyle name="Normal 2 2 2 4 2 12 5 4" xfId="19594" xr:uid="{00000000-0005-0000-0000-00008A4C0000}"/>
    <cellStyle name="Normal 2 2 2 4 2 12 5 5" xfId="19595" xr:uid="{00000000-0005-0000-0000-00008B4C0000}"/>
    <cellStyle name="Normal 2 2 2 4 2 12 5 6" xfId="19596" xr:uid="{00000000-0005-0000-0000-00008C4C0000}"/>
    <cellStyle name="Normal 2 2 2 4 2 12 5 7" xfId="19597" xr:uid="{00000000-0005-0000-0000-00008D4C0000}"/>
    <cellStyle name="Normal 2 2 2 4 2 12 5 8" xfId="19598" xr:uid="{00000000-0005-0000-0000-00008E4C0000}"/>
    <cellStyle name="Normal 2 2 2 4 2 12 5 9" xfId="19599" xr:uid="{00000000-0005-0000-0000-00008F4C0000}"/>
    <cellStyle name="Normal 2 2 2 4 2 12 6" xfId="19600" xr:uid="{00000000-0005-0000-0000-0000904C0000}"/>
    <cellStyle name="Normal 2 2 2 4 2 12 7" xfId="19601" xr:uid="{00000000-0005-0000-0000-0000914C0000}"/>
    <cellStyle name="Normal 2 2 2 4 2 12 8" xfId="19602" xr:uid="{00000000-0005-0000-0000-0000924C0000}"/>
    <cellStyle name="Normal 2 2 2 4 2 12 9" xfId="19603" xr:uid="{00000000-0005-0000-0000-0000934C0000}"/>
    <cellStyle name="Normal 2 2 2 4 2 13" xfId="19604" xr:uid="{00000000-0005-0000-0000-0000944C0000}"/>
    <cellStyle name="Normal 2 2 2 4 2 13 10" xfId="19605" xr:uid="{00000000-0005-0000-0000-0000954C0000}"/>
    <cellStyle name="Normal 2 2 2 4 2 13 11" xfId="19606" xr:uid="{00000000-0005-0000-0000-0000964C0000}"/>
    <cellStyle name="Normal 2 2 2 4 2 13 12" xfId="19607" xr:uid="{00000000-0005-0000-0000-0000974C0000}"/>
    <cellStyle name="Normal 2 2 2 4 2 13 13" xfId="19608" xr:uid="{00000000-0005-0000-0000-0000984C0000}"/>
    <cellStyle name="Normal 2 2 2 4 2 13 14" xfId="19609" xr:uid="{00000000-0005-0000-0000-0000994C0000}"/>
    <cellStyle name="Normal 2 2 2 4 2 13 2" xfId="19610" xr:uid="{00000000-0005-0000-0000-00009A4C0000}"/>
    <cellStyle name="Normal 2 2 2 4 2 13 2 10" xfId="19611" xr:uid="{00000000-0005-0000-0000-00009B4C0000}"/>
    <cellStyle name="Normal 2 2 2 4 2 13 2 2" xfId="19612" xr:uid="{00000000-0005-0000-0000-00009C4C0000}"/>
    <cellStyle name="Normal 2 2 2 4 2 13 2 3" xfId="19613" xr:uid="{00000000-0005-0000-0000-00009D4C0000}"/>
    <cellStyle name="Normal 2 2 2 4 2 13 2 4" xfId="19614" xr:uid="{00000000-0005-0000-0000-00009E4C0000}"/>
    <cellStyle name="Normal 2 2 2 4 2 13 2 5" xfId="19615" xr:uid="{00000000-0005-0000-0000-00009F4C0000}"/>
    <cellStyle name="Normal 2 2 2 4 2 13 2 6" xfId="19616" xr:uid="{00000000-0005-0000-0000-0000A04C0000}"/>
    <cellStyle name="Normal 2 2 2 4 2 13 2 7" xfId="19617" xr:uid="{00000000-0005-0000-0000-0000A14C0000}"/>
    <cellStyle name="Normal 2 2 2 4 2 13 2 8" xfId="19618" xr:uid="{00000000-0005-0000-0000-0000A24C0000}"/>
    <cellStyle name="Normal 2 2 2 4 2 13 2 9" xfId="19619" xr:uid="{00000000-0005-0000-0000-0000A34C0000}"/>
    <cellStyle name="Normal 2 2 2 4 2 13 3" xfId="19620" xr:uid="{00000000-0005-0000-0000-0000A44C0000}"/>
    <cellStyle name="Normal 2 2 2 4 2 13 3 10" xfId="19621" xr:uid="{00000000-0005-0000-0000-0000A54C0000}"/>
    <cellStyle name="Normal 2 2 2 4 2 13 3 2" xfId="19622" xr:uid="{00000000-0005-0000-0000-0000A64C0000}"/>
    <cellStyle name="Normal 2 2 2 4 2 13 3 3" xfId="19623" xr:uid="{00000000-0005-0000-0000-0000A74C0000}"/>
    <cellStyle name="Normal 2 2 2 4 2 13 3 4" xfId="19624" xr:uid="{00000000-0005-0000-0000-0000A84C0000}"/>
    <cellStyle name="Normal 2 2 2 4 2 13 3 5" xfId="19625" xr:uid="{00000000-0005-0000-0000-0000A94C0000}"/>
    <cellStyle name="Normal 2 2 2 4 2 13 3 6" xfId="19626" xr:uid="{00000000-0005-0000-0000-0000AA4C0000}"/>
    <cellStyle name="Normal 2 2 2 4 2 13 3 7" xfId="19627" xr:uid="{00000000-0005-0000-0000-0000AB4C0000}"/>
    <cellStyle name="Normal 2 2 2 4 2 13 3 8" xfId="19628" xr:uid="{00000000-0005-0000-0000-0000AC4C0000}"/>
    <cellStyle name="Normal 2 2 2 4 2 13 3 9" xfId="19629" xr:uid="{00000000-0005-0000-0000-0000AD4C0000}"/>
    <cellStyle name="Normal 2 2 2 4 2 13 4" xfId="19630" xr:uid="{00000000-0005-0000-0000-0000AE4C0000}"/>
    <cellStyle name="Normal 2 2 2 4 2 13 4 10" xfId="19631" xr:uid="{00000000-0005-0000-0000-0000AF4C0000}"/>
    <cellStyle name="Normal 2 2 2 4 2 13 4 2" xfId="19632" xr:uid="{00000000-0005-0000-0000-0000B04C0000}"/>
    <cellStyle name="Normal 2 2 2 4 2 13 4 3" xfId="19633" xr:uid="{00000000-0005-0000-0000-0000B14C0000}"/>
    <cellStyle name="Normal 2 2 2 4 2 13 4 4" xfId="19634" xr:uid="{00000000-0005-0000-0000-0000B24C0000}"/>
    <cellStyle name="Normal 2 2 2 4 2 13 4 5" xfId="19635" xr:uid="{00000000-0005-0000-0000-0000B34C0000}"/>
    <cellStyle name="Normal 2 2 2 4 2 13 4 6" xfId="19636" xr:uid="{00000000-0005-0000-0000-0000B44C0000}"/>
    <cellStyle name="Normal 2 2 2 4 2 13 4 7" xfId="19637" xr:uid="{00000000-0005-0000-0000-0000B54C0000}"/>
    <cellStyle name="Normal 2 2 2 4 2 13 4 8" xfId="19638" xr:uid="{00000000-0005-0000-0000-0000B64C0000}"/>
    <cellStyle name="Normal 2 2 2 4 2 13 4 9" xfId="19639" xr:uid="{00000000-0005-0000-0000-0000B74C0000}"/>
    <cellStyle name="Normal 2 2 2 4 2 13 5" xfId="19640" xr:uid="{00000000-0005-0000-0000-0000B84C0000}"/>
    <cellStyle name="Normal 2 2 2 4 2 13 5 10" xfId="19641" xr:uid="{00000000-0005-0000-0000-0000B94C0000}"/>
    <cellStyle name="Normal 2 2 2 4 2 13 5 2" xfId="19642" xr:uid="{00000000-0005-0000-0000-0000BA4C0000}"/>
    <cellStyle name="Normal 2 2 2 4 2 13 5 3" xfId="19643" xr:uid="{00000000-0005-0000-0000-0000BB4C0000}"/>
    <cellStyle name="Normal 2 2 2 4 2 13 5 4" xfId="19644" xr:uid="{00000000-0005-0000-0000-0000BC4C0000}"/>
    <cellStyle name="Normal 2 2 2 4 2 13 5 5" xfId="19645" xr:uid="{00000000-0005-0000-0000-0000BD4C0000}"/>
    <cellStyle name="Normal 2 2 2 4 2 13 5 6" xfId="19646" xr:uid="{00000000-0005-0000-0000-0000BE4C0000}"/>
    <cellStyle name="Normal 2 2 2 4 2 13 5 7" xfId="19647" xr:uid="{00000000-0005-0000-0000-0000BF4C0000}"/>
    <cellStyle name="Normal 2 2 2 4 2 13 5 8" xfId="19648" xr:uid="{00000000-0005-0000-0000-0000C04C0000}"/>
    <cellStyle name="Normal 2 2 2 4 2 13 5 9" xfId="19649" xr:uid="{00000000-0005-0000-0000-0000C14C0000}"/>
    <cellStyle name="Normal 2 2 2 4 2 13 6" xfId="19650" xr:uid="{00000000-0005-0000-0000-0000C24C0000}"/>
    <cellStyle name="Normal 2 2 2 4 2 13 7" xfId="19651" xr:uid="{00000000-0005-0000-0000-0000C34C0000}"/>
    <cellStyle name="Normal 2 2 2 4 2 13 8" xfId="19652" xr:uid="{00000000-0005-0000-0000-0000C44C0000}"/>
    <cellStyle name="Normal 2 2 2 4 2 13 9" xfId="19653" xr:uid="{00000000-0005-0000-0000-0000C54C0000}"/>
    <cellStyle name="Normal 2 2 2 4 2 14" xfId="19654" xr:uid="{00000000-0005-0000-0000-0000C64C0000}"/>
    <cellStyle name="Normal 2 2 2 4 2 14 10" xfId="19655" xr:uid="{00000000-0005-0000-0000-0000C74C0000}"/>
    <cellStyle name="Normal 2 2 2 4 2 14 11" xfId="19656" xr:uid="{00000000-0005-0000-0000-0000C84C0000}"/>
    <cellStyle name="Normal 2 2 2 4 2 14 12" xfId="19657" xr:uid="{00000000-0005-0000-0000-0000C94C0000}"/>
    <cellStyle name="Normal 2 2 2 4 2 14 13" xfId="19658" xr:uid="{00000000-0005-0000-0000-0000CA4C0000}"/>
    <cellStyle name="Normal 2 2 2 4 2 14 14" xfId="19659" xr:uid="{00000000-0005-0000-0000-0000CB4C0000}"/>
    <cellStyle name="Normal 2 2 2 4 2 14 2" xfId="19660" xr:uid="{00000000-0005-0000-0000-0000CC4C0000}"/>
    <cellStyle name="Normal 2 2 2 4 2 14 2 10" xfId="19661" xr:uid="{00000000-0005-0000-0000-0000CD4C0000}"/>
    <cellStyle name="Normal 2 2 2 4 2 14 2 2" xfId="19662" xr:uid="{00000000-0005-0000-0000-0000CE4C0000}"/>
    <cellStyle name="Normal 2 2 2 4 2 14 2 3" xfId="19663" xr:uid="{00000000-0005-0000-0000-0000CF4C0000}"/>
    <cellStyle name="Normal 2 2 2 4 2 14 2 4" xfId="19664" xr:uid="{00000000-0005-0000-0000-0000D04C0000}"/>
    <cellStyle name="Normal 2 2 2 4 2 14 2 5" xfId="19665" xr:uid="{00000000-0005-0000-0000-0000D14C0000}"/>
    <cellStyle name="Normal 2 2 2 4 2 14 2 6" xfId="19666" xr:uid="{00000000-0005-0000-0000-0000D24C0000}"/>
    <cellStyle name="Normal 2 2 2 4 2 14 2 7" xfId="19667" xr:uid="{00000000-0005-0000-0000-0000D34C0000}"/>
    <cellStyle name="Normal 2 2 2 4 2 14 2 8" xfId="19668" xr:uid="{00000000-0005-0000-0000-0000D44C0000}"/>
    <cellStyle name="Normal 2 2 2 4 2 14 2 9" xfId="19669" xr:uid="{00000000-0005-0000-0000-0000D54C0000}"/>
    <cellStyle name="Normal 2 2 2 4 2 14 3" xfId="19670" xr:uid="{00000000-0005-0000-0000-0000D64C0000}"/>
    <cellStyle name="Normal 2 2 2 4 2 14 3 10" xfId="19671" xr:uid="{00000000-0005-0000-0000-0000D74C0000}"/>
    <cellStyle name="Normal 2 2 2 4 2 14 3 2" xfId="19672" xr:uid="{00000000-0005-0000-0000-0000D84C0000}"/>
    <cellStyle name="Normal 2 2 2 4 2 14 3 3" xfId="19673" xr:uid="{00000000-0005-0000-0000-0000D94C0000}"/>
    <cellStyle name="Normal 2 2 2 4 2 14 3 4" xfId="19674" xr:uid="{00000000-0005-0000-0000-0000DA4C0000}"/>
    <cellStyle name="Normal 2 2 2 4 2 14 3 5" xfId="19675" xr:uid="{00000000-0005-0000-0000-0000DB4C0000}"/>
    <cellStyle name="Normal 2 2 2 4 2 14 3 6" xfId="19676" xr:uid="{00000000-0005-0000-0000-0000DC4C0000}"/>
    <cellStyle name="Normal 2 2 2 4 2 14 3 7" xfId="19677" xr:uid="{00000000-0005-0000-0000-0000DD4C0000}"/>
    <cellStyle name="Normal 2 2 2 4 2 14 3 8" xfId="19678" xr:uid="{00000000-0005-0000-0000-0000DE4C0000}"/>
    <cellStyle name="Normal 2 2 2 4 2 14 3 9" xfId="19679" xr:uid="{00000000-0005-0000-0000-0000DF4C0000}"/>
    <cellStyle name="Normal 2 2 2 4 2 14 4" xfId="19680" xr:uid="{00000000-0005-0000-0000-0000E04C0000}"/>
    <cellStyle name="Normal 2 2 2 4 2 14 4 10" xfId="19681" xr:uid="{00000000-0005-0000-0000-0000E14C0000}"/>
    <cellStyle name="Normal 2 2 2 4 2 14 4 2" xfId="19682" xr:uid="{00000000-0005-0000-0000-0000E24C0000}"/>
    <cellStyle name="Normal 2 2 2 4 2 14 4 3" xfId="19683" xr:uid="{00000000-0005-0000-0000-0000E34C0000}"/>
    <cellStyle name="Normal 2 2 2 4 2 14 4 4" xfId="19684" xr:uid="{00000000-0005-0000-0000-0000E44C0000}"/>
    <cellStyle name="Normal 2 2 2 4 2 14 4 5" xfId="19685" xr:uid="{00000000-0005-0000-0000-0000E54C0000}"/>
    <cellStyle name="Normal 2 2 2 4 2 14 4 6" xfId="19686" xr:uid="{00000000-0005-0000-0000-0000E64C0000}"/>
    <cellStyle name="Normal 2 2 2 4 2 14 4 7" xfId="19687" xr:uid="{00000000-0005-0000-0000-0000E74C0000}"/>
    <cellStyle name="Normal 2 2 2 4 2 14 4 8" xfId="19688" xr:uid="{00000000-0005-0000-0000-0000E84C0000}"/>
    <cellStyle name="Normal 2 2 2 4 2 14 4 9" xfId="19689" xr:uid="{00000000-0005-0000-0000-0000E94C0000}"/>
    <cellStyle name="Normal 2 2 2 4 2 14 5" xfId="19690" xr:uid="{00000000-0005-0000-0000-0000EA4C0000}"/>
    <cellStyle name="Normal 2 2 2 4 2 14 5 10" xfId="19691" xr:uid="{00000000-0005-0000-0000-0000EB4C0000}"/>
    <cellStyle name="Normal 2 2 2 4 2 14 5 2" xfId="19692" xr:uid="{00000000-0005-0000-0000-0000EC4C0000}"/>
    <cellStyle name="Normal 2 2 2 4 2 14 5 3" xfId="19693" xr:uid="{00000000-0005-0000-0000-0000ED4C0000}"/>
    <cellStyle name="Normal 2 2 2 4 2 14 5 4" xfId="19694" xr:uid="{00000000-0005-0000-0000-0000EE4C0000}"/>
    <cellStyle name="Normal 2 2 2 4 2 14 5 5" xfId="19695" xr:uid="{00000000-0005-0000-0000-0000EF4C0000}"/>
    <cellStyle name="Normal 2 2 2 4 2 14 5 6" xfId="19696" xr:uid="{00000000-0005-0000-0000-0000F04C0000}"/>
    <cellStyle name="Normal 2 2 2 4 2 14 5 7" xfId="19697" xr:uid="{00000000-0005-0000-0000-0000F14C0000}"/>
    <cellStyle name="Normal 2 2 2 4 2 14 5 8" xfId="19698" xr:uid="{00000000-0005-0000-0000-0000F24C0000}"/>
    <cellStyle name="Normal 2 2 2 4 2 14 5 9" xfId="19699" xr:uid="{00000000-0005-0000-0000-0000F34C0000}"/>
    <cellStyle name="Normal 2 2 2 4 2 14 6" xfId="19700" xr:uid="{00000000-0005-0000-0000-0000F44C0000}"/>
    <cellStyle name="Normal 2 2 2 4 2 14 7" xfId="19701" xr:uid="{00000000-0005-0000-0000-0000F54C0000}"/>
    <cellStyle name="Normal 2 2 2 4 2 14 8" xfId="19702" xr:uid="{00000000-0005-0000-0000-0000F64C0000}"/>
    <cellStyle name="Normal 2 2 2 4 2 14 9" xfId="19703" xr:uid="{00000000-0005-0000-0000-0000F74C0000}"/>
    <cellStyle name="Normal 2 2 2 4 2 15" xfId="19704" xr:uid="{00000000-0005-0000-0000-0000F84C0000}"/>
    <cellStyle name="Normal 2 2 2 4 2 15 10" xfId="19705" xr:uid="{00000000-0005-0000-0000-0000F94C0000}"/>
    <cellStyle name="Normal 2 2 2 4 2 15 11" xfId="19706" xr:uid="{00000000-0005-0000-0000-0000FA4C0000}"/>
    <cellStyle name="Normal 2 2 2 4 2 15 12" xfId="19707" xr:uid="{00000000-0005-0000-0000-0000FB4C0000}"/>
    <cellStyle name="Normal 2 2 2 4 2 15 13" xfId="19708" xr:uid="{00000000-0005-0000-0000-0000FC4C0000}"/>
    <cellStyle name="Normal 2 2 2 4 2 15 14" xfId="19709" xr:uid="{00000000-0005-0000-0000-0000FD4C0000}"/>
    <cellStyle name="Normal 2 2 2 4 2 15 2" xfId="19710" xr:uid="{00000000-0005-0000-0000-0000FE4C0000}"/>
    <cellStyle name="Normal 2 2 2 4 2 15 2 10" xfId="19711" xr:uid="{00000000-0005-0000-0000-0000FF4C0000}"/>
    <cellStyle name="Normal 2 2 2 4 2 15 2 2" xfId="19712" xr:uid="{00000000-0005-0000-0000-0000004D0000}"/>
    <cellStyle name="Normal 2 2 2 4 2 15 2 3" xfId="19713" xr:uid="{00000000-0005-0000-0000-0000014D0000}"/>
    <cellStyle name="Normal 2 2 2 4 2 15 2 4" xfId="19714" xr:uid="{00000000-0005-0000-0000-0000024D0000}"/>
    <cellStyle name="Normal 2 2 2 4 2 15 2 5" xfId="19715" xr:uid="{00000000-0005-0000-0000-0000034D0000}"/>
    <cellStyle name="Normal 2 2 2 4 2 15 2 6" xfId="19716" xr:uid="{00000000-0005-0000-0000-0000044D0000}"/>
    <cellStyle name="Normal 2 2 2 4 2 15 2 7" xfId="19717" xr:uid="{00000000-0005-0000-0000-0000054D0000}"/>
    <cellStyle name="Normal 2 2 2 4 2 15 2 8" xfId="19718" xr:uid="{00000000-0005-0000-0000-0000064D0000}"/>
    <cellStyle name="Normal 2 2 2 4 2 15 2 9" xfId="19719" xr:uid="{00000000-0005-0000-0000-0000074D0000}"/>
    <cellStyle name="Normal 2 2 2 4 2 15 3" xfId="19720" xr:uid="{00000000-0005-0000-0000-0000084D0000}"/>
    <cellStyle name="Normal 2 2 2 4 2 15 3 10" xfId="19721" xr:uid="{00000000-0005-0000-0000-0000094D0000}"/>
    <cellStyle name="Normal 2 2 2 4 2 15 3 2" xfId="19722" xr:uid="{00000000-0005-0000-0000-00000A4D0000}"/>
    <cellStyle name="Normal 2 2 2 4 2 15 3 3" xfId="19723" xr:uid="{00000000-0005-0000-0000-00000B4D0000}"/>
    <cellStyle name="Normal 2 2 2 4 2 15 3 4" xfId="19724" xr:uid="{00000000-0005-0000-0000-00000C4D0000}"/>
    <cellStyle name="Normal 2 2 2 4 2 15 3 5" xfId="19725" xr:uid="{00000000-0005-0000-0000-00000D4D0000}"/>
    <cellStyle name="Normal 2 2 2 4 2 15 3 6" xfId="19726" xr:uid="{00000000-0005-0000-0000-00000E4D0000}"/>
    <cellStyle name="Normal 2 2 2 4 2 15 3 7" xfId="19727" xr:uid="{00000000-0005-0000-0000-00000F4D0000}"/>
    <cellStyle name="Normal 2 2 2 4 2 15 3 8" xfId="19728" xr:uid="{00000000-0005-0000-0000-0000104D0000}"/>
    <cellStyle name="Normal 2 2 2 4 2 15 3 9" xfId="19729" xr:uid="{00000000-0005-0000-0000-0000114D0000}"/>
    <cellStyle name="Normal 2 2 2 4 2 15 4" xfId="19730" xr:uid="{00000000-0005-0000-0000-0000124D0000}"/>
    <cellStyle name="Normal 2 2 2 4 2 15 4 10" xfId="19731" xr:uid="{00000000-0005-0000-0000-0000134D0000}"/>
    <cellStyle name="Normal 2 2 2 4 2 15 4 2" xfId="19732" xr:uid="{00000000-0005-0000-0000-0000144D0000}"/>
    <cellStyle name="Normal 2 2 2 4 2 15 4 3" xfId="19733" xr:uid="{00000000-0005-0000-0000-0000154D0000}"/>
    <cellStyle name="Normal 2 2 2 4 2 15 4 4" xfId="19734" xr:uid="{00000000-0005-0000-0000-0000164D0000}"/>
    <cellStyle name="Normal 2 2 2 4 2 15 4 5" xfId="19735" xr:uid="{00000000-0005-0000-0000-0000174D0000}"/>
    <cellStyle name="Normal 2 2 2 4 2 15 4 6" xfId="19736" xr:uid="{00000000-0005-0000-0000-0000184D0000}"/>
    <cellStyle name="Normal 2 2 2 4 2 15 4 7" xfId="19737" xr:uid="{00000000-0005-0000-0000-0000194D0000}"/>
    <cellStyle name="Normal 2 2 2 4 2 15 4 8" xfId="19738" xr:uid="{00000000-0005-0000-0000-00001A4D0000}"/>
    <cellStyle name="Normal 2 2 2 4 2 15 4 9" xfId="19739" xr:uid="{00000000-0005-0000-0000-00001B4D0000}"/>
    <cellStyle name="Normal 2 2 2 4 2 15 5" xfId="19740" xr:uid="{00000000-0005-0000-0000-00001C4D0000}"/>
    <cellStyle name="Normal 2 2 2 4 2 15 5 10" xfId="19741" xr:uid="{00000000-0005-0000-0000-00001D4D0000}"/>
    <cellStyle name="Normal 2 2 2 4 2 15 5 2" xfId="19742" xr:uid="{00000000-0005-0000-0000-00001E4D0000}"/>
    <cellStyle name="Normal 2 2 2 4 2 15 5 3" xfId="19743" xr:uid="{00000000-0005-0000-0000-00001F4D0000}"/>
    <cellStyle name="Normal 2 2 2 4 2 15 5 4" xfId="19744" xr:uid="{00000000-0005-0000-0000-0000204D0000}"/>
    <cellStyle name="Normal 2 2 2 4 2 15 5 5" xfId="19745" xr:uid="{00000000-0005-0000-0000-0000214D0000}"/>
    <cellStyle name="Normal 2 2 2 4 2 15 5 6" xfId="19746" xr:uid="{00000000-0005-0000-0000-0000224D0000}"/>
    <cellStyle name="Normal 2 2 2 4 2 15 5 7" xfId="19747" xr:uid="{00000000-0005-0000-0000-0000234D0000}"/>
    <cellStyle name="Normal 2 2 2 4 2 15 5 8" xfId="19748" xr:uid="{00000000-0005-0000-0000-0000244D0000}"/>
    <cellStyle name="Normal 2 2 2 4 2 15 5 9" xfId="19749" xr:uid="{00000000-0005-0000-0000-0000254D0000}"/>
    <cellStyle name="Normal 2 2 2 4 2 15 6" xfId="19750" xr:uid="{00000000-0005-0000-0000-0000264D0000}"/>
    <cellStyle name="Normal 2 2 2 4 2 15 7" xfId="19751" xr:uid="{00000000-0005-0000-0000-0000274D0000}"/>
    <cellStyle name="Normal 2 2 2 4 2 15 8" xfId="19752" xr:uid="{00000000-0005-0000-0000-0000284D0000}"/>
    <cellStyle name="Normal 2 2 2 4 2 15 9" xfId="19753" xr:uid="{00000000-0005-0000-0000-0000294D0000}"/>
    <cellStyle name="Normal 2 2 2 4 2 16" xfId="19754" xr:uid="{00000000-0005-0000-0000-00002A4D0000}"/>
    <cellStyle name="Normal 2 2 2 4 2 16 10" xfId="19755" xr:uid="{00000000-0005-0000-0000-00002B4D0000}"/>
    <cellStyle name="Normal 2 2 2 4 2 16 11" xfId="19756" xr:uid="{00000000-0005-0000-0000-00002C4D0000}"/>
    <cellStyle name="Normal 2 2 2 4 2 16 12" xfId="19757" xr:uid="{00000000-0005-0000-0000-00002D4D0000}"/>
    <cellStyle name="Normal 2 2 2 4 2 16 13" xfId="19758" xr:uid="{00000000-0005-0000-0000-00002E4D0000}"/>
    <cellStyle name="Normal 2 2 2 4 2 16 14" xfId="19759" xr:uid="{00000000-0005-0000-0000-00002F4D0000}"/>
    <cellStyle name="Normal 2 2 2 4 2 16 2" xfId="19760" xr:uid="{00000000-0005-0000-0000-0000304D0000}"/>
    <cellStyle name="Normal 2 2 2 4 2 16 2 10" xfId="19761" xr:uid="{00000000-0005-0000-0000-0000314D0000}"/>
    <cellStyle name="Normal 2 2 2 4 2 16 2 2" xfId="19762" xr:uid="{00000000-0005-0000-0000-0000324D0000}"/>
    <cellStyle name="Normal 2 2 2 4 2 16 2 3" xfId="19763" xr:uid="{00000000-0005-0000-0000-0000334D0000}"/>
    <cellStyle name="Normal 2 2 2 4 2 16 2 4" xfId="19764" xr:uid="{00000000-0005-0000-0000-0000344D0000}"/>
    <cellStyle name="Normal 2 2 2 4 2 16 2 5" xfId="19765" xr:uid="{00000000-0005-0000-0000-0000354D0000}"/>
    <cellStyle name="Normal 2 2 2 4 2 16 2 6" xfId="19766" xr:uid="{00000000-0005-0000-0000-0000364D0000}"/>
    <cellStyle name="Normal 2 2 2 4 2 16 2 7" xfId="19767" xr:uid="{00000000-0005-0000-0000-0000374D0000}"/>
    <cellStyle name="Normal 2 2 2 4 2 16 2 8" xfId="19768" xr:uid="{00000000-0005-0000-0000-0000384D0000}"/>
    <cellStyle name="Normal 2 2 2 4 2 16 2 9" xfId="19769" xr:uid="{00000000-0005-0000-0000-0000394D0000}"/>
    <cellStyle name="Normal 2 2 2 4 2 16 3" xfId="19770" xr:uid="{00000000-0005-0000-0000-00003A4D0000}"/>
    <cellStyle name="Normal 2 2 2 4 2 16 3 10" xfId="19771" xr:uid="{00000000-0005-0000-0000-00003B4D0000}"/>
    <cellStyle name="Normal 2 2 2 4 2 16 3 2" xfId="19772" xr:uid="{00000000-0005-0000-0000-00003C4D0000}"/>
    <cellStyle name="Normal 2 2 2 4 2 16 3 3" xfId="19773" xr:uid="{00000000-0005-0000-0000-00003D4D0000}"/>
    <cellStyle name="Normal 2 2 2 4 2 16 3 4" xfId="19774" xr:uid="{00000000-0005-0000-0000-00003E4D0000}"/>
    <cellStyle name="Normal 2 2 2 4 2 16 3 5" xfId="19775" xr:uid="{00000000-0005-0000-0000-00003F4D0000}"/>
    <cellStyle name="Normal 2 2 2 4 2 16 3 6" xfId="19776" xr:uid="{00000000-0005-0000-0000-0000404D0000}"/>
    <cellStyle name="Normal 2 2 2 4 2 16 3 7" xfId="19777" xr:uid="{00000000-0005-0000-0000-0000414D0000}"/>
    <cellStyle name="Normal 2 2 2 4 2 16 3 8" xfId="19778" xr:uid="{00000000-0005-0000-0000-0000424D0000}"/>
    <cellStyle name="Normal 2 2 2 4 2 16 3 9" xfId="19779" xr:uid="{00000000-0005-0000-0000-0000434D0000}"/>
    <cellStyle name="Normal 2 2 2 4 2 16 4" xfId="19780" xr:uid="{00000000-0005-0000-0000-0000444D0000}"/>
    <cellStyle name="Normal 2 2 2 4 2 16 4 10" xfId="19781" xr:uid="{00000000-0005-0000-0000-0000454D0000}"/>
    <cellStyle name="Normal 2 2 2 4 2 16 4 2" xfId="19782" xr:uid="{00000000-0005-0000-0000-0000464D0000}"/>
    <cellStyle name="Normal 2 2 2 4 2 16 4 3" xfId="19783" xr:uid="{00000000-0005-0000-0000-0000474D0000}"/>
    <cellStyle name="Normal 2 2 2 4 2 16 4 4" xfId="19784" xr:uid="{00000000-0005-0000-0000-0000484D0000}"/>
    <cellStyle name="Normal 2 2 2 4 2 16 4 5" xfId="19785" xr:uid="{00000000-0005-0000-0000-0000494D0000}"/>
    <cellStyle name="Normal 2 2 2 4 2 16 4 6" xfId="19786" xr:uid="{00000000-0005-0000-0000-00004A4D0000}"/>
    <cellStyle name="Normal 2 2 2 4 2 16 4 7" xfId="19787" xr:uid="{00000000-0005-0000-0000-00004B4D0000}"/>
    <cellStyle name="Normal 2 2 2 4 2 16 4 8" xfId="19788" xr:uid="{00000000-0005-0000-0000-00004C4D0000}"/>
    <cellStyle name="Normal 2 2 2 4 2 16 4 9" xfId="19789" xr:uid="{00000000-0005-0000-0000-00004D4D0000}"/>
    <cellStyle name="Normal 2 2 2 4 2 16 5" xfId="19790" xr:uid="{00000000-0005-0000-0000-00004E4D0000}"/>
    <cellStyle name="Normal 2 2 2 4 2 16 5 10" xfId="19791" xr:uid="{00000000-0005-0000-0000-00004F4D0000}"/>
    <cellStyle name="Normal 2 2 2 4 2 16 5 2" xfId="19792" xr:uid="{00000000-0005-0000-0000-0000504D0000}"/>
    <cellStyle name="Normal 2 2 2 4 2 16 5 3" xfId="19793" xr:uid="{00000000-0005-0000-0000-0000514D0000}"/>
    <cellStyle name="Normal 2 2 2 4 2 16 5 4" xfId="19794" xr:uid="{00000000-0005-0000-0000-0000524D0000}"/>
    <cellStyle name="Normal 2 2 2 4 2 16 5 5" xfId="19795" xr:uid="{00000000-0005-0000-0000-0000534D0000}"/>
    <cellStyle name="Normal 2 2 2 4 2 16 5 6" xfId="19796" xr:uid="{00000000-0005-0000-0000-0000544D0000}"/>
    <cellStyle name="Normal 2 2 2 4 2 16 5 7" xfId="19797" xr:uid="{00000000-0005-0000-0000-0000554D0000}"/>
    <cellStyle name="Normal 2 2 2 4 2 16 5 8" xfId="19798" xr:uid="{00000000-0005-0000-0000-0000564D0000}"/>
    <cellStyle name="Normal 2 2 2 4 2 16 5 9" xfId="19799" xr:uid="{00000000-0005-0000-0000-0000574D0000}"/>
    <cellStyle name="Normal 2 2 2 4 2 16 6" xfId="19800" xr:uid="{00000000-0005-0000-0000-0000584D0000}"/>
    <cellStyle name="Normal 2 2 2 4 2 16 7" xfId="19801" xr:uid="{00000000-0005-0000-0000-0000594D0000}"/>
    <cellStyle name="Normal 2 2 2 4 2 16 8" xfId="19802" xr:uid="{00000000-0005-0000-0000-00005A4D0000}"/>
    <cellStyle name="Normal 2 2 2 4 2 16 9" xfId="19803" xr:uid="{00000000-0005-0000-0000-00005B4D0000}"/>
    <cellStyle name="Normal 2 2 2 4 2 17" xfId="19804" xr:uid="{00000000-0005-0000-0000-00005C4D0000}"/>
    <cellStyle name="Normal 2 2 2 4 2 17 10" xfId="19805" xr:uid="{00000000-0005-0000-0000-00005D4D0000}"/>
    <cellStyle name="Normal 2 2 2 4 2 17 11" xfId="19806" xr:uid="{00000000-0005-0000-0000-00005E4D0000}"/>
    <cellStyle name="Normal 2 2 2 4 2 17 12" xfId="19807" xr:uid="{00000000-0005-0000-0000-00005F4D0000}"/>
    <cellStyle name="Normal 2 2 2 4 2 17 13" xfId="19808" xr:uid="{00000000-0005-0000-0000-0000604D0000}"/>
    <cellStyle name="Normal 2 2 2 4 2 17 14" xfId="19809" xr:uid="{00000000-0005-0000-0000-0000614D0000}"/>
    <cellStyle name="Normal 2 2 2 4 2 17 2" xfId="19810" xr:uid="{00000000-0005-0000-0000-0000624D0000}"/>
    <cellStyle name="Normal 2 2 2 4 2 17 2 10" xfId="19811" xr:uid="{00000000-0005-0000-0000-0000634D0000}"/>
    <cellStyle name="Normal 2 2 2 4 2 17 2 2" xfId="19812" xr:uid="{00000000-0005-0000-0000-0000644D0000}"/>
    <cellStyle name="Normal 2 2 2 4 2 17 2 3" xfId="19813" xr:uid="{00000000-0005-0000-0000-0000654D0000}"/>
    <cellStyle name="Normal 2 2 2 4 2 17 2 4" xfId="19814" xr:uid="{00000000-0005-0000-0000-0000664D0000}"/>
    <cellStyle name="Normal 2 2 2 4 2 17 2 5" xfId="19815" xr:uid="{00000000-0005-0000-0000-0000674D0000}"/>
    <cellStyle name="Normal 2 2 2 4 2 17 2 6" xfId="19816" xr:uid="{00000000-0005-0000-0000-0000684D0000}"/>
    <cellStyle name="Normal 2 2 2 4 2 17 2 7" xfId="19817" xr:uid="{00000000-0005-0000-0000-0000694D0000}"/>
    <cellStyle name="Normal 2 2 2 4 2 17 2 8" xfId="19818" xr:uid="{00000000-0005-0000-0000-00006A4D0000}"/>
    <cellStyle name="Normal 2 2 2 4 2 17 2 9" xfId="19819" xr:uid="{00000000-0005-0000-0000-00006B4D0000}"/>
    <cellStyle name="Normal 2 2 2 4 2 17 3" xfId="19820" xr:uid="{00000000-0005-0000-0000-00006C4D0000}"/>
    <cellStyle name="Normal 2 2 2 4 2 17 3 10" xfId="19821" xr:uid="{00000000-0005-0000-0000-00006D4D0000}"/>
    <cellStyle name="Normal 2 2 2 4 2 17 3 2" xfId="19822" xr:uid="{00000000-0005-0000-0000-00006E4D0000}"/>
    <cellStyle name="Normal 2 2 2 4 2 17 3 3" xfId="19823" xr:uid="{00000000-0005-0000-0000-00006F4D0000}"/>
    <cellStyle name="Normal 2 2 2 4 2 17 3 4" xfId="19824" xr:uid="{00000000-0005-0000-0000-0000704D0000}"/>
    <cellStyle name="Normal 2 2 2 4 2 17 3 5" xfId="19825" xr:uid="{00000000-0005-0000-0000-0000714D0000}"/>
    <cellStyle name="Normal 2 2 2 4 2 17 3 6" xfId="19826" xr:uid="{00000000-0005-0000-0000-0000724D0000}"/>
    <cellStyle name="Normal 2 2 2 4 2 17 3 7" xfId="19827" xr:uid="{00000000-0005-0000-0000-0000734D0000}"/>
    <cellStyle name="Normal 2 2 2 4 2 17 3 8" xfId="19828" xr:uid="{00000000-0005-0000-0000-0000744D0000}"/>
    <cellStyle name="Normal 2 2 2 4 2 17 3 9" xfId="19829" xr:uid="{00000000-0005-0000-0000-0000754D0000}"/>
    <cellStyle name="Normal 2 2 2 4 2 17 4" xfId="19830" xr:uid="{00000000-0005-0000-0000-0000764D0000}"/>
    <cellStyle name="Normal 2 2 2 4 2 17 4 10" xfId="19831" xr:uid="{00000000-0005-0000-0000-0000774D0000}"/>
    <cellStyle name="Normal 2 2 2 4 2 17 4 2" xfId="19832" xr:uid="{00000000-0005-0000-0000-0000784D0000}"/>
    <cellStyle name="Normal 2 2 2 4 2 17 4 3" xfId="19833" xr:uid="{00000000-0005-0000-0000-0000794D0000}"/>
    <cellStyle name="Normal 2 2 2 4 2 17 4 4" xfId="19834" xr:uid="{00000000-0005-0000-0000-00007A4D0000}"/>
    <cellStyle name="Normal 2 2 2 4 2 17 4 5" xfId="19835" xr:uid="{00000000-0005-0000-0000-00007B4D0000}"/>
    <cellStyle name="Normal 2 2 2 4 2 17 4 6" xfId="19836" xr:uid="{00000000-0005-0000-0000-00007C4D0000}"/>
    <cellStyle name="Normal 2 2 2 4 2 17 4 7" xfId="19837" xr:uid="{00000000-0005-0000-0000-00007D4D0000}"/>
    <cellStyle name="Normal 2 2 2 4 2 17 4 8" xfId="19838" xr:uid="{00000000-0005-0000-0000-00007E4D0000}"/>
    <cellStyle name="Normal 2 2 2 4 2 17 4 9" xfId="19839" xr:uid="{00000000-0005-0000-0000-00007F4D0000}"/>
    <cellStyle name="Normal 2 2 2 4 2 17 5" xfId="19840" xr:uid="{00000000-0005-0000-0000-0000804D0000}"/>
    <cellStyle name="Normal 2 2 2 4 2 17 5 10" xfId="19841" xr:uid="{00000000-0005-0000-0000-0000814D0000}"/>
    <cellStyle name="Normal 2 2 2 4 2 17 5 2" xfId="19842" xr:uid="{00000000-0005-0000-0000-0000824D0000}"/>
    <cellStyle name="Normal 2 2 2 4 2 17 5 3" xfId="19843" xr:uid="{00000000-0005-0000-0000-0000834D0000}"/>
    <cellStyle name="Normal 2 2 2 4 2 17 5 4" xfId="19844" xr:uid="{00000000-0005-0000-0000-0000844D0000}"/>
    <cellStyle name="Normal 2 2 2 4 2 17 5 5" xfId="19845" xr:uid="{00000000-0005-0000-0000-0000854D0000}"/>
    <cellStyle name="Normal 2 2 2 4 2 17 5 6" xfId="19846" xr:uid="{00000000-0005-0000-0000-0000864D0000}"/>
    <cellStyle name="Normal 2 2 2 4 2 17 5 7" xfId="19847" xr:uid="{00000000-0005-0000-0000-0000874D0000}"/>
    <cellStyle name="Normal 2 2 2 4 2 17 5 8" xfId="19848" xr:uid="{00000000-0005-0000-0000-0000884D0000}"/>
    <cellStyle name="Normal 2 2 2 4 2 17 5 9" xfId="19849" xr:uid="{00000000-0005-0000-0000-0000894D0000}"/>
    <cellStyle name="Normal 2 2 2 4 2 17 6" xfId="19850" xr:uid="{00000000-0005-0000-0000-00008A4D0000}"/>
    <cellStyle name="Normal 2 2 2 4 2 17 7" xfId="19851" xr:uid="{00000000-0005-0000-0000-00008B4D0000}"/>
    <cellStyle name="Normal 2 2 2 4 2 17 8" xfId="19852" xr:uid="{00000000-0005-0000-0000-00008C4D0000}"/>
    <cellStyle name="Normal 2 2 2 4 2 17 9" xfId="19853" xr:uid="{00000000-0005-0000-0000-00008D4D0000}"/>
    <cellStyle name="Normal 2 2 2 4 2 18" xfId="19854" xr:uid="{00000000-0005-0000-0000-00008E4D0000}"/>
    <cellStyle name="Normal 2 2 2 4 2 18 10" xfId="19855" xr:uid="{00000000-0005-0000-0000-00008F4D0000}"/>
    <cellStyle name="Normal 2 2 2 4 2 18 11" xfId="19856" xr:uid="{00000000-0005-0000-0000-0000904D0000}"/>
    <cellStyle name="Normal 2 2 2 4 2 18 12" xfId="19857" xr:uid="{00000000-0005-0000-0000-0000914D0000}"/>
    <cellStyle name="Normal 2 2 2 4 2 18 13" xfId="19858" xr:uid="{00000000-0005-0000-0000-0000924D0000}"/>
    <cellStyle name="Normal 2 2 2 4 2 18 14" xfId="19859" xr:uid="{00000000-0005-0000-0000-0000934D0000}"/>
    <cellStyle name="Normal 2 2 2 4 2 18 2" xfId="19860" xr:uid="{00000000-0005-0000-0000-0000944D0000}"/>
    <cellStyle name="Normal 2 2 2 4 2 18 2 10" xfId="19861" xr:uid="{00000000-0005-0000-0000-0000954D0000}"/>
    <cellStyle name="Normal 2 2 2 4 2 18 2 2" xfId="19862" xr:uid="{00000000-0005-0000-0000-0000964D0000}"/>
    <cellStyle name="Normal 2 2 2 4 2 18 2 3" xfId="19863" xr:uid="{00000000-0005-0000-0000-0000974D0000}"/>
    <cellStyle name="Normal 2 2 2 4 2 18 2 4" xfId="19864" xr:uid="{00000000-0005-0000-0000-0000984D0000}"/>
    <cellStyle name="Normal 2 2 2 4 2 18 2 5" xfId="19865" xr:uid="{00000000-0005-0000-0000-0000994D0000}"/>
    <cellStyle name="Normal 2 2 2 4 2 18 2 6" xfId="19866" xr:uid="{00000000-0005-0000-0000-00009A4D0000}"/>
    <cellStyle name="Normal 2 2 2 4 2 18 2 7" xfId="19867" xr:uid="{00000000-0005-0000-0000-00009B4D0000}"/>
    <cellStyle name="Normal 2 2 2 4 2 18 2 8" xfId="19868" xr:uid="{00000000-0005-0000-0000-00009C4D0000}"/>
    <cellStyle name="Normal 2 2 2 4 2 18 2 9" xfId="19869" xr:uid="{00000000-0005-0000-0000-00009D4D0000}"/>
    <cellStyle name="Normal 2 2 2 4 2 18 3" xfId="19870" xr:uid="{00000000-0005-0000-0000-00009E4D0000}"/>
    <cellStyle name="Normal 2 2 2 4 2 18 3 10" xfId="19871" xr:uid="{00000000-0005-0000-0000-00009F4D0000}"/>
    <cellStyle name="Normal 2 2 2 4 2 18 3 2" xfId="19872" xr:uid="{00000000-0005-0000-0000-0000A04D0000}"/>
    <cellStyle name="Normal 2 2 2 4 2 18 3 3" xfId="19873" xr:uid="{00000000-0005-0000-0000-0000A14D0000}"/>
    <cellStyle name="Normal 2 2 2 4 2 18 3 4" xfId="19874" xr:uid="{00000000-0005-0000-0000-0000A24D0000}"/>
    <cellStyle name="Normal 2 2 2 4 2 18 3 5" xfId="19875" xr:uid="{00000000-0005-0000-0000-0000A34D0000}"/>
    <cellStyle name="Normal 2 2 2 4 2 18 3 6" xfId="19876" xr:uid="{00000000-0005-0000-0000-0000A44D0000}"/>
    <cellStyle name="Normal 2 2 2 4 2 18 3 7" xfId="19877" xr:uid="{00000000-0005-0000-0000-0000A54D0000}"/>
    <cellStyle name="Normal 2 2 2 4 2 18 3 8" xfId="19878" xr:uid="{00000000-0005-0000-0000-0000A64D0000}"/>
    <cellStyle name="Normal 2 2 2 4 2 18 3 9" xfId="19879" xr:uid="{00000000-0005-0000-0000-0000A74D0000}"/>
    <cellStyle name="Normal 2 2 2 4 2 18 4" xfId="19880" xr:uid="{00000000-0005-0000-0000-0000A84D0000}"/>
    <cellStyle name="Normal 2 2 2 4 2 18 4 10" xfId="19881" xr:uid="{00000000-0005-0000-0000-0000A94D0000}"/>
    <cellStyle name="Normal 2 2 2 4 2 18 4 2" xfId="19882" xr:uid="{00000000-0005-0000-0000-0000AA4D0000}"/>
    <cellStyle name="Normal 2 2 2 4 2 18 4 3" xfId="19883" xr:uid="{00000000-0005-0000-0000-0000AB4D0000}"/>
    <cellStyle name="Normal 2 2 2 4 2 18 4 4" xfId="19884" xr:uid="{00000000-0005-0000-0000-0000AC4D0000}"/>
    <cellStyle name="Normal 2 2 2 4 2 18 4 5" xfId="19885" xr:uid="{00000000-0005-0000-0000-0000AD4D0000}"/>
    <cellStyle name="Normal 2 2 2 4 2 18 4 6" xfId="19886" xr:uid="{00000000-0005-0000-0000-0000AE4D0000}"/>
    <cellStyle name="Normal 2 2 2 4 2 18 4 7" xfId="19887" xr:uid="{00000000-0005-0000-0000-0000AF4D0000}"/>
    <cellStyle name="Normal 2 2 2 4 2 18 4 8" xfId="19888" xr:uid="{00000000-0005-0000-0000-0000B04D0000}"/>
    <cellStyle name="Normal 2 2 2 4 2 18 4 9" xfId="19889" xr:uid="{00000000-0005-0000-0000-0000B14D0000}"/>
    <cellStyle name="Normal 2 2 2 4 2 18 5" xfId="19890" xr:uid="{00000000-0005-0000-0000-0000B24D0000}"/>
    <cellStyle name="Normal 2 2 2 4 2 18 5 10" xfId="19891" xr:uid="{00000000-0005-0000-0000-0000B34D0000}"/>
    <cellStyle name="Normal 2 2 2 4 2 18 5 2" xfId="19892" xr:uid="{00000000-0005-0000-0000-0000B44D0000}"/>
    <cellStyle name="Normal 2 2 2 4 2 18 5 3" xfId="19893" xr:uid="{00000000-0005-0000-0000-0000B54D0000}"/>
    <cellStyle name="Normal 2 2 2 4 2 18 5 4" xfId="19894" xr:uid="{00000000-0005-0000-0000-0000B64D0000}"/>
    <cellStyle name="Normal 2 2 2 4 2 18 5 5" xfId="19895" xr:uid="{00000000-0005-0000-0000-0000B74D0000}"/>
    <cellStyle name="Normal 2 2 2 4 2 18 5 6" xfId="19896" xr:uid="{00000000-0005-0000-0000-0000B84D0000}"/>
    <cellStyle name="Normal 2 2 2 4 2 18 5 7" xfId="19897" xr:uid="{00000000-0005-0000-0000-0000B94D0000}"/>
    <cellStyle name="Normal 2 2 2 4 2 18 5 8" xfId="19898" xr:uid="{00000000-0005-0000-0000-0000BA4D0000}"/>
    <cellStyle name="Normal 2 2 2 4 2 18 5 9" xfId="19899" xr:uid="{00000000-0005-0000-0000-0000BB4D0000}"/>
    <cellStyle name="Normal 2 2 2 4 2 18 6" xfId="19900" xr:uid="{00000000-0005-0000-0000-0000BC4D0000}"/>
    <cellStyle name="Normal 2 2 2 4 2 18 7" xfId="19901" xr:uid="{00000000-0005-0000-0000-0000BD4D0000}"/>
    <cellStyle name="Normal 2 2 2 4 2 18 8" xfId="19902" xr:uid="{00000000-0005-0000-0000-0000BE4D0000}"/>
    <cellStyle name="Normal 2 2 2 4 2 18 9" xfId="19903" xr:uid="{00000000-0005-0000-0000-0000BF4D0000}"/>
    <cellStyle name="Normal 2 2 2 4 2 19" xfId="19904" xr:uid="{00000000-0005-0000-0000-0000C04D0000}"/>
    <cellStyle name="Normal 2 2 2 4 2 19 10" xfId="19905" xr:uid="{00000000-0005-0000-0000-0000C14D0000}"/>
    <cellStyle name="Normal 2 2 2 4 2 19 11" xfId="19906" xr:uid="{00000000-0005-0000-0000-0000C24D0000}"/>
    <cellStyle name="Normal 2 2 2 4 2 19 12" xfId="19907" xr:uid="{00000000-0005-0000-0000-0000C34D0000}"/>
    <cellStyle name="Normal 2 2 2 4 2 19 13" xfId="19908" xr:uid="{00000000-0005-0000-0000-0000C44D0000}"/>
    <cellStyle name="Normal 2 2 2 4 2 19 14" xfId="19909" xr:uid="{00000000-0005-0000-0000-0000C54D0000}"/>
    <cellStyle name="Normal 2 2 2 4 2 19 2" xfId="19910" xr:uid="{00000000-0005-0000-0000-0000C64D0000}"/>
    <cellStyle name="Normal 2 2 2 4 2 19 2 10" xfId="19911" xr:uid="{00000000-0005-0000-0000-0000C74D0000}"/>
    <cellStyle name="Normal 2 2 2 4 2 19 2 2" xfId="19912" xr:uid="{00000000-0005-0000-0000-0000C84D0000}"/>
    <cellStyle name="Normal 2 2 2 4 2 19 2 3" xfId="19913" xr:uid="{00000000-0005-0000-0000-0000C94D0000}"/>
    <cellStyle name="Normal 2 2 2 4 2 19 2 4" xfId="19914" xr:uid="{00000000-0005-0000-0000-0000CA4D0000}"/>
    <cellStyle name="Normal 2 2 2 4 2 19 2 5" xfId="19915" xr:uid="{00000000-0005-0000-0000-0000CB4D0000}"/>
    <cellStyle name="Normal 2 2 2 4 2 19 2 6" xfId="19916" xr:uid="{00000000-0005-0000-0000-0000CC4D0000}"/>
    <cellStyle name="Normal 2 2 2 4 2 19 2 7" xfId="19917" xr:uid="{00000000-0005-0000-0000-0000CD4D0000}"/>
    <cellStyle name="Normal 2 2 2 4 2 19 2 8" xfId="19918" xr:uid="{00000000-0005-0000-0000-0000CE4D0000}"/>
    <cellStyle name="Normal 2 2 2 4 2 19 2 9" xfId="19919" xr:uid="{00000000-0005-0000-0000-0000CF4D0000}"/>
    <cellStyle name="Normal 2 2 2 4 2 19 3" xfId="19920" xr:uid="{00000000-0005-0000-0000-0000D04D0000}"/>
    <cellStyle name="Normal 2 2 2 4 2 19 3 10" xfId="19921" xr:uid="{00000000-0005-0000-0000-0000D14D0000}"/>
    <cellStyle name="Normal 2 2 2 4 2 19 3 2" xfId="19922" xr:uid="{00000000-0005-0000-0000-0000D24D0000}"/>
    <cellStyle name="Normal 2 2 2 4 2 19 3 3" xfId="19923" xr:uid="{00000000-0005-0000-0000-0000D34D0000}"/>
    <cellStyle name="Normal 2 2 2 4 2 19 3 4" xfId="19924" xr:uid="{00000000-0005-0000-0000-0000D44D0000}"/>
    <cellStyle name="Normal 2 2 2 4 2 19 3 5" xfId="19925" xr:uid="{00000000-0005-0000-0000-0000D54D0000}"/>
    <cellStyle name="Normal 2 2 2 4 2 19 3 6" xfId="19926" xr:uid="{00000000-0005-0000-0000-0000D64D0000}"/>
    <cellStyle name="Normal 2 2 2 4 2 19 3 7" xfId="19927" xr:uid="{00000000-0005-0000-0000-0000D74D0000}"/>
    <cellStyle name="Normal 2 2 2 4 2 19 3 8" xfId="19928" xr:uid="{00000000-0005-0000-0000-0000D84D0000}"/>
    <cellStyle name="Normal 2 2 2 4 2 19 3 9" xfId="19929" xr:uid="{00000000-0005-0000-0000-0000D94D0000}"/>
    <cellStyle name="Normal 2 2 2 4 2 19 4" xfId="19930" xr:uid="{00000000-0005-0000-0000-0000DA4D0000}"/>
    <cellStyle name="Normal 2 2 2 4 2 19 4 10" xfId="19931" xr:uid="{00000000-0005-0000-0000-0000DB4D0000}"/>
    <cellStyle name="Normal 2 2 2 4 2 19 4 2" xfId="19932" xr:uid="{00000000-0005-0000-0000-0000DC4D0000}"/>
    <cellStyle name="Normal 2 2 2 4 2 19 4 3" xfId="19933" xr:uid="{00000000-0005-0000-0000-0000DD4D0000}"/>
    <cellStyle name="Normal 2 2 2 4 2 19 4 4" xfId="19934" xr:uid="{00000000-0005-0000-0000-0000DE4D0000}"/>
    <cellStyle name="Normal 2 2 2 4 2 19 4 5" xfId="19935" xr:uid="{00000000-0005-0000-0000-0000DF4D0000}"/>
    <cellStyle name="Normal 2 2 2 4 2 19 4 6" xfId="19936" xr:uid="{00000000-0005-0000-0000-0000E04D0000}"/>
    <cellStyle name="Normal 2 2 2 4 2 19 4 7" xfId="19937" xr:uid="{00000000-0005-0000-0000-0000E14D0000}"/>
    <cellStyle name="Normal 2 2 2 4 2 19 4 8" xfId="19938" xr:uid="{00000000-0005-0000-0000-0000E24D0000}"/>
    <cellStyle name="Normal 2 2 2 4 2 19 4 9" xfId="19939" xr:uid="{00000000-0005-0000-0000-0000E34D0000}"/>
    <cellStyle name="Normal 2 2 2 4 2 19 5" xfId="19940" xr:uid="{00000000-0005-0000-0000-0000E44D0000}"/>
    <cellStyle name="Normal 2 2 2 4 2 19 5 10" xfId="19941" xr:uid="{00000000-0005-0000-0000-0000E54D0000}"/>
    <cellStyle name="Normal 2 2 2 4 2 19 5 2" xfId="19942" xr:uid="{00000000-0005-0000-0000-0000E64D0000}"/>
    <cellStyle name="Normal 2 2 2 4 2 19 5 3" xfId="19943" xr:uid="{00000000-0005-0000-0000-0000E74D0000}"/>
    <cellStyle name="Normal 2 2 2 4 2 19 5 4" xfId="19944" xr:uid="{00000000-0005-0000-0000-0000E84D0000}"/>
    <cellStyle name="Normal 2 2 2 4 2 19 5 5" xfId="19945" xr:uid="{00000000-0005-0000-0000-0000E94D0000}"/>
    <cellStyle name="Normal 2 2 2 4 2 19 5 6" xfId="19946" xr:uid="{00000000-0005-0000-0000-0000EA4D0000}"/>
    <cellStyle name="Normal 2 2 2 4 2 19 5 7" xfId="19947" xr:uid="{00000000-0005-0000-0000-0000EB4D0000}"/>
    <cellStyle name="Normal 2 2 2 4 2 19 5 8" xfId="19948" xr:uid="{00000000-0005-0000-0000-0000EC4D0000}"/>
    <cellStyle name="Normal 2 2 2 4 2 19 5 9" xfId="19949" xr:uid="{00000000-0005-0000-0000-0000ED4D0000}"/>
    <cellStyle name="Normal 2 2 2 4 2 19 6" xfId="19950" xr:uid="{00000000-0005-0000-0000-0000EE4D0000}"/>
    <cellStyle name="Normal 2 2 2 4 2 19 7" xfId="19951" xr:uid="{00000000-0005-0000-0000-0000EF4D0000}"/>
    <cellStyle name="Normal 2 2 2 4 2 19 8" xfId="19952" xr:uid="{00000000-0005-0000-0000-0000F04D0000}"/>
    <cellStyle name="Normal 2 2 2 4 2 19 9" xfId="19953" xr:uid="{00000000-0005-0000-0000-0000F14D0000}"/>
    <cellStyle name="Normal 2 2 2 4 2 2" xfId="19954" xr:uid="{00000000-0005-0000-0000-0000F24D0000}"/>
    <cellStyle name="Normal 2 2 2 4 2 2 10" xfId="19955" xr:uid="{00000000-0005-0000-0000-0000F34D0000}"/>
    <cellStyle name="Normal 2 2 2 4 2 2 11" xfId="19956" xr:uid="{00000000-0005-0000-0000-0000F44D0000}"/>
    <cellStyle name="Normal 2 2 2 4 2 2 12" xfId="19957" xr:uid="{00000000-0005-0000-0000-0000F54D0000}"/>
    <cellStyle name="Normal 2 2 2 4 2 2 13" xfId="19958" xr:uid="{00000000-0005-0000-0000-0000F64D0000}"/>
    <cellStyle name="Normal 2 2 2 4 2 2 14" xfId="19959" xr:uid="{00000000-0005-0000-0000-0000F74D0000}"/>
    <cellStyle name="Normal 2 2 2 4 2 2 15" xfId="19960" xr:uid="{00000000-0005-0000-0000-0000F84D0000}"/>
    <cellStyle name="Normal 2 2 2 4 2 2 16" xfId="19961" xr:uid="{00000000-0005-0000-0000-0000F94D0000}"/>
    <cellStyle name="Normal 2 2 2 4 2 2 17" xfId="19962" xr:uid="{00000000-0005-0000-0000-0000FA4D0000}"/>
    <cellStyle name="Normal 2 2 2 4 2 2 18" xfId="19963" xr:uid="{00000000-0005-0000-0000-0000FB4D0000}"/>
    <cellStyle name="Normal 2 2 2 4 2 2 19" xfId="19964" xr:uid="{00000000-0005-0000-0000-0000FC4D0000}"/>
    <cellStyle name="Normal 2 2 2 4 2 2 2" xfId="19965" xr:uid="{00000000-0005-0000-0000-0000FD4D0000}"/>
    <cellStyle name="Normal 2 2 2 4 2 2 20" xfId="19966" xr:uid="{00000000-0005-0000-0000-0000FE4D0000}"/>
    <cellStyle name="Normal 2 2 2 4 2 2 21" xfId="19967" xr:uid="{00000000-0005-0000-0000-0000FF4D0000}"/>
    <cellStyle name="Normal 2 2 2 4 2 2 21 10" xfId="19968" xr:uid="{00000000-0005-0000-0000-0000004E0000}"/>
    <cellStyle name="Normal 2 2 2 4 2 2 21 2" xfId="19969" xr:uid="{00000000-0005-0000-0000-0000014E0000}"/>
    <cellStyle name="Normal 2 2 2 4 2 2 21 3" xfId="19970" xr:uid="{00000000-0005-0000-0000-0000024E0000}"/>
    <cellStyle name="Normal 2 2 2 4 2 2 21 4" xfId="19971" xr:uid="{00000000-0005-0000-0000-0000034E0000}"/>
    <cellStyle name="Normal 2 2 2 4 2 2 21 5" xfId="19972" xr:uid="{00000000-0005-0000-0000-0000044E0000}"/>
    <cellStyle name="Normal 2 2 2 4 2 2 21 6" xfId="19973" xr:uid="{00000000-0005-0000-0000-0000054E0000}"/>
    <cellStyle name="Normal 2 2 2 4 2 2 21 7" xfId="19974" xr:uid="{00000000-0005-0000-0000-0000064E0000}"/>
    <cellStyle name="Normal 2 2 2 4 2 2 21 8" xfId="19975" xr:uid="{00000000-0005-0000-0000-0000074E0000}"/>
    <cellStyle name="Normal 2 2 2 4 2 2 21 9" xfId="19976" xr:uid="{00000000-0005-0000-0000-0000084E0000}"/>
    <cellStyle name="Normal 2 2 2 4 2 2 22" xfId="19977" xr:uid="{00000000-0005-0000-0000-0000094E0000}"/>
    <cellStyle name="Normal 2 2 2 4 2 2 22 10" xfId="19978" xr:uid="{00000000-0005-0000-0000-00000A4E0000}"/>
    <cellStyle name="Normal 2 2 2 4 2 2 22 2" xfId="19979" xr:uid="{00000000-0005-0000-0000-00000B4E0000}"/>
    <cellStyle name="Normal 2 2 2 4 2 2 22 3" xfId="19980" xr:uid="{00000000-0005-0000-0000-00000C4E0000}"/>
    <cellStyle name="Normal 2 2 2 4 2 2 22 4" xfId="19981" xr:uid="{00000000-0005-0000-0000-00000D4E0000}"/>
    <cellStyle name="Normal 2 2 2 4 2 2 22 5" xfId="19982" xr:uid="{00000000-0005-0000-0000-00000E4E0000}"/>
    <cellStyle name="Normal 2 2 2 4 2 2 22 6" xfId="19983" xr:uid="{00000000-0005-0000-0000-00000F4E0000}"/>
    <cellStyle name="Normal 2 2 2 4 2 2 22 7" xfId="19984" xr:uid="{00000000-0005-0000-0000-0000104E0000}"/>
    <cellStyle name="Normal 2 2 2 4 2 2 22 8" xfId="19985" xr:uid="{00000000-0005-0000-0000-0000114E0000}"/>
    <cellStyle name="Normal 2 2 2 4 2 2 22 9" xfId="19986" xr:uid="{00000000-0005-0000-0000-0000124E0000}"/>
    <cellStyle name="Normal 2 2 2 4 2 2 23" xfId="19987" xr:uid="{00000000-0005-0000-0000-0000134E0000}"/>
    <cellStyle name="Normal 2 2 2 4 2 2 23 10" xfId="19988" xr:uid="{00000000-0005-0000-0000-0000144E0000}"/>
    <cellStyle name="Normal 2 2 2 4 2 2 23 2" xfId="19989" xr:uid="{00000000-0005-0000-0000-0000154E0000}"/>
    <cellStyle name="Normal 2 2 2 4 2 2 23 3" xfId="19990" xr:uid="{00000000-0005-0000-0000-0000164E0000}"/>
    <cellStyle name="Normal 2 2 2 4 2 2 23 4" xfId="19991" xr:uid="{00000000-0005-0000-0000-0000174E0000}"/>
    <cellStyle name="Normal 2 2 2 4 2 2 23 5" xfId="19992" xr:uid="{00000000-0005-0000-0000-0000184E0000}"/>
    <cellStyle name="Normal 2 2 2 4 2 2 23 6" xfId="19993" xr:uid="{00000000-0005-0000-0000-0000194E0000}"/>
    <cellStyle name="Normal 2 2 2 4 2 2 23 7" xfId="19994" xr:uid="{00000000-0005-0000-0000-00001A4E0000}"/>
    <cellStyle name="Normal 2 2 2 4 2 2 23 8" xfId="19995" xr:uid="{00000000-0005-0000-0000-00001B4E0000}"/>
    <cellStyle name="Normal 2 2 2 4 2 2 23 9" xfId="19996" xr:uid="{00000000-0005-0000-0000-00001C4E0000}"/>
    <cellStyle name="Normal 2 2 2 4 2 2 24" xfId="19997" xr:uid="{00000000-0005-0000-0000-00001D4E0000}"/>
    <cellStyle name="Normal 2 2 2 4 2 2 24 10" xfId="19998" xr:uid="{00000000-0005-0000-0000-00001E4E0000}"/>
    <cellStyle name="Normal 2 2 2 4 2 2 24 2" xfId="19999" xr:uid="{00000000-0005-0000-0000-00001F4E0000}"/>
    <cellStyle name="Normal 2 2 2 4 2 2 24 3" xfId="20000" xr:uid="{00000000-0005-0000-0000-0000204E0000}"/>
    <cellStyle name="Normal 2 2 2 4 2 2 24 4" xfId="20001" xr:uid="{00000000-0005-0000-0000-0000214E0000}"/>
    <cellStyle name="Normal 2 2 2 4 2 2 24 5" xfId="20002" xr:uid="{00000000-0005-0000-0000-0000224E0000}"/>
    <cellStyle name="Normal 2 2 2 4 2 2 24 6" xfId="20003" xr:uid="{00000000-0005-0000-0000-0000234E0000}"/>
    <cellStyle name="Normal 2 2 2 4 2 2 24 7" xfId="20004" xr:uid="{00000000-0005-0000-0000-0000244E0000}"/>
    <cellStyle name="Normal 2 2 2 4 2 2 24 8" xfId="20005" xr:uid="{00000000-0005-0000-0000-0000254E0000}"/>
    <cellStyle name="Normal 2 2 2 4 2 2 24 9" xfId="20006" xr:uid="{00000000-0005-0000-0000-0000264E0000}"/>
    <cellStyle name="Normal 2 2 2 4 2 2 25" xfId="20007" xr:uid="{00000000-0005-0000-0000-0000274E0000}"/>
    <cellStyle name="Normal 2 2 2 4 2 2 26" xfId="20008" xr:uid="{00000000-0005-0000-0000-0000284E0000}"/>
    <cellStyle name="Normal 2 2 2 4 2 2 27" xfId="20009" xr:uid="{00000000-0005-0000-0000-0000294E0000}"/>
    <cellStyle name="Normal 2 2 2 4 2 2 28" xfId="20010" xr:uid="{00000000-0005-0000-0000-00002A4E0000}"/>
    <cellStyle name="Normal 2 2 2 4 2 2 29" xfId="20011" xr:uid="{00000000-0005-0000-0000-00002B4E0000}"/>
    <cellStyle name="Normal 2 2 2 4 2 2 3" xfId="20012" xr:uid="{00000000-0005-0000-0000-00002C4E0000}"/>
    <cellStyle name="Normal 2 2 2 4 2 2 30" xfId="20013" xr:uid="{00000000-0005-0000-0000-00002D4E0000}"/>
    <cellStyle name="Normal 2 2 2 4 2 2 31" xfId="20014" xr:uid="{00000000-0005-0000-0000-00002E4E0000}"/>
    <cellStyle name="Normal 2 2 2 4 2 2 32" xfId="20015" xr:uid="{00000000-0005-0000-0000-00002F4E0000}"/>
    <cellStyle name="Normal 2 2 2 4 2 2 33" xfId="20016" xr:uid="{00000000-0005-0000-0000-0000304E0000}"/>
    <cellStyle name="Normal 2 2 2 4 2 2 34" xfId="20017" xr:uid="{00000000-0005-0000-0000-0000314E0000}"/>
    <cellStyle name="Normal 2 2 2 4 2 2 35" xfId="20018" xr:uid="{00000000-0005-0000-0000-0000324E0000}"/>
    <cellStyle name="Normal 2 2 2 4 2 2 4" xfId="20019" xr:uid="{00000000-0005-0000-0000-0000334E0000}"/>
    <cellStyle name="Normal 2 2 2 4 2 2 5" xfId="20020" xr:uid="{00000000-0005-0000-0000-0000344E0000}"/>
    <cellStyle name="Normal 2 2 2 4 2 2 6" xfId="20021" xr:uid="{00000000-0005-0000-0000-0000354E0000}"/>
    <cellStyle name="Normal 2 2 2 4 2 2 7" xfId="20022" xr:uid="{00000000-0005-0000-0000-0000364E0000}"/>
    <cellStyle name="Normal 2 2 2 4 2 2 8" xfId="20023" xr:uid="{00000000-0005-0000-0000-0000374E0000}"/>
    <cellStyle name="Normal 2 2 2 4 2 2 9" xfId="20024" xr:uid="{00000000-0005-0000-0000-0000384E0000}"/>
    <cellStyle name="Normal 2 2 2 4 2 20" xfId="20025" xr:uid="{00000000-0005-0000-0000-0000394E0000}"/>
    <cellStyle name="Normal 2 2 2 4 2 20 10" xfId="20026" xr:uid="{00000000-0005-0000-0000-00003A4E0000}"/>
    <cellStyle name="Normal 2 2 2 4 2 20 11" xfId="20027" xr:uid="{00000000-0005-0000-0000-00003B4E0000}"/>
    <cellStyle name="Normal 2 2 2 4 2 20 12" xfId="20028" xr:uid="{00000000-0005-0000-0000-00003C4E0000}"/>
    <cellStyle name="Normal 2 2 2 4 2 20 13" xfId="20029" xr:uid="{00000000-0005-0000-0000-00003D4E0000}"/>
    <cellStyle name="Normal 2 2 2 4 2 20 14" xfId="20030" xr:uid="{00000000-0005-0000-0000-00003E4E0000}"/>
    <cellStyle name="Normal 2 2 2 4 2 20 2" xfId="20031" xr:uid="{00000000-0005-0000-0000-00003F4E0000}"/>
    <cellStyle name="Normal 2 2 2 4 2 20 2 10" xfId="20032" xr:uid="{00000000-0005-0000-0000-0000404E0000}"/>
    <cellStyle name="Normal 2 2 2 4 2 20 2 2" xfId="20033" xr:uid="{00000000-0005-0000-0000-0000414E0000}"/>
    <cellStyle name="Normal 2 2 2 4 2 20 2 3" xfId="20034" xr:uid="{00000000-0005-0000-0000-0000424E0000}"/>
    <cellStyle name="Normal 2 2 2 4 2 20 2 4" xfId="20035" xr:uid="{00000000-0005-0000-0000-0000434E0000}"/>
    <cellStyle name="Normal 2 2 2 4 2 20 2 5" xfId="20036" xr:uid="{00000000-0005-0000-0000-0000444E0000}"/>
    <cellStyle name="Normal 2 2 2 4 2 20 2 6" xfId="20037" xr:uid="{00000000-0005-0000-0000-0000454E0000}"/>
    <cellStyle name="Normal 2 2 2 4 2 20 2 7" xfId="20038" xr:uid="{00000000-0005-0000-0000-0000464E0000}"/>
    <cellStyle name="Normal 2 2 2 4 2 20 2 8" xfId="20039" xr:uid="{00000000-0005-0000-0000-0000474E0000}"/>
    <cellStyle name="Normal 2 2 2 4 2 20 2 9" xfId="20040" xr:uid="{00000000-0005-0000-0000-0000484E0000}"/>
    <cellStyle name="Normal 2 2 2 4 2 20 3" xfId="20041" xr:uid="{00000000-0005-0000-0000-0000494E0000}"/>
    <cellStyle name="Normal 2 2 2 4 2 20 3 10" xfId="20042" xr:uid="{00000000-0005-0000-0000-00004A4E0000}"/>
    <cellStyle name="Normal 2 2 2 4 2 20 3 2" xfId="20043" xr:uid="{00000000-0005-0000-0000-00004B4E0000}"/>
    <cellStyle name="Normal 2 2 2 4 2 20 3 3" xfId="20044" xr:uid="{00000000-0005-0000-0000-00004C4E0000}"/>
    <cellStyle name="Normal 2 2 2 4 2 20 3 4" xfId="20045" xr:uid="{00000000-0005-0000-0000-00004D4E0000}"/>
    <cellStyle name="Normal 2 2 2 4 2 20 3 5" xfId="20046" xr:uid="{00000000-0005-0000-0000-00004E4E0000}"/>
    <cellStyle name="Normal 2 2 2 4 2 20 3 6" xfId="20047" xr:uid="{00000000-0005-0000-0000-00004F4E0000}"/>
    <cellStyle name="Normal 2 2 2 4 2 20 3 7" xfId="20048" xr:uid="{00000000-0005-0000-0000-0000504E0000}"/>
    <cellStyle name="Normal 2 2 2 4 2 20 3 8" xfId="20049" xr:uid="{00000000-0005-0000-0000-0000514E0000}"/>
    <cellStyle name="Normal 2 2 2 4 2 20 3 9" xfId="20050" xr:uid="{00000000-0005-0000-0000-0000524E0000}"/>
    <cellStyle name="Normal 2 2 2 4 2 20 4" xfId="20051" xr:uid="{00000000-0005-0000-0000-0000534E0000}"/>
    <cellStyle name="Normal 2 2 2 4 2 20 4 10" xfId="20052" xr:uid="{00000000-0005-0000-0000-0000544E0000}"/>
    <cellStyle name="Normal 2 2 2 4 2 20 4 2" xfId="20053" xr:uid="{00000000-0005-0000-0000-0000554E0000}"/>
    <cellStyle name="Normal 2 2 2 4 2 20 4 3" xfId="20054" xr:uid="{00000000-0005-0000-0000-0000564E0000}"/>
    <cellStyle name="Normal 2 2 2 4 2 20 4 4" xfId="20055" xr:uid="{00000000-0005-0000-0000-0000574E0000}"/>
    <cellStyle name="Normal 2 2 2 4 2 20 4 5" xfId="20056" xr:uid="{00000000-0005-0000-0000-0000584E0000}"/>
    <cellStyle name="Normal 2 2 2 4 2 20 4 6" xfId="20057" xr:uid="{00000000-0005-0000-0000-0000594E0000}"/>
    <cellStyle name="Normal 2 2 2 4 2 20 4 7" xfId="20058" xr:uid="{00000000-0005-0000-0000-00005A4E0000}"/>
    <cellStyle name="Normal 2 2 2 4 2 20 4 8" xfId="20059" xr:uid="{00000000-0005-0000-0000-00005B4E0000}"/>
    <cellStyle name="Normal 2 2 2 4 2 20 4 9" xfId="20060" xr:uid="{00000000-0005-0000-0000-00005C4E0000}"/>
    <cellStyle name="Normal 2 2 2 4 2 20 5" xfId="20061" xr:uid="{00000000-0005-0000-0000-00005D4E0000}"/>
    <cellStyle name="Normal 2 2 2 4 2 20 5 10" xfId="20062" xr:uid="{00000000-0005-0000-0000-00005E4E0000}"/>
    <cellStyle name="Normal 2 2 2 4 2 20 5 2" xfId="20063" xr:uid="{00000000-0005-0000-0000-00005F4E0000}"/>
    <cellStyle name="Normal 2 2 2 4 2 20 5 3" xfId="20064" xr:uid="{00000000-0005-0000-0000-0000604E0000}"/>
    <cellStyle name="Normal 2 2 2 4 2 20 5 4" xfId="20065" xr:uid="{00000000-0005-0000-0000-0000614E0000}"/>
    <cellStyle name="Normal 2 2 2 4 2 20 5 5" xfId="20066" xr:uid="{00000000-0005-0000-0000-0000624E0000}"/>
    <cellStyle name="Normal 2 2 2 4 2 20 5 6" xfId="20067" xr:uid="{00000000-0005-0000-0000-0000634E0000}"/>
    <cellStyle name="Normal 2 2 2 4 2 20 5 7" xfId="20068" xr:uid="{00000000-0005-0000-0000-0000644E0000}"/>
    <cellStyle name="Normal 2 2 2 4 2 20 5 8" xfId="20069" xr:uid="{00000000-0005-0000-0000-0000654E0000}"/>
    <cellStyle name="Normal 2 2 2 4 2 20 5 9" xfId="20070" xr:uid="{00000000-0005-0000-0000-0000664E0000}"/>
    <cellStyle name="Normal 2 2 2 4 2 20 6" xfId="20071" xr:uid="{00000000-0005-0000-0000-0000674E0000}"/>
    <cellStyle name="Normal 2 2 2 4 2 20 7" xfId="20072" xr:uid="{00000000-0005-0000-0000-0000684E0000}"/>
    <cellStyle name="Normal 2 2 2 4 2 20 8" xfId="20073" xr:uid="{00000000-0005-0000-0000-0000694E0000}"/>
    <cellStyle name="Normal 2 2 2 4 2 20 9" xfId="20074" xr:uid="{00000000-0005-0000-0000-00006A4E0000}"/>
    <cellStyle name="Normal 2 2 2 4 2 21" xfId="20075" xr:uid="{00000000-0005-0000-0000-00006B4E0000}"/>
    <cellStyle name="Normal 2 2 2 4 2 22" xfId="20076" xr:uid="{00000000-0005-0000-0000-00006C4E0000}"/>
    <cellStyle name="Normal 2 2 2 4 2 3" xfId="20077" xr:uid="{00000000-0005-0000-0000-00006D4E0000}"/>
    <cellStyle name="Normal 2 2 2 4 2 3 10" xfId="20078" xr:uid="{00000000-0005-0000-0000-00006E4E0000}"/>
    <cellStyle name="Normal 2 2 2 4 2 3 11" xfId="20079" xr:uid="{00000000-0005-0000-0000-00006F4E0000}"/>
    <cellStyle name="Normal 2 2 2 4 2 3 12" xfId="20080" xr:uid="{00000000-0005-0000-0000-0000704E0000}"/>
    <cellStyle name="Normal 2 2 2 4 2 3 13" xfId="20081" xr:uid="{00000000-0005-0000-0000-0000714E0000}"/>
    <cellStyle name="Normal 2 2 2 4 2 3 14" xfId="20082" xr:uid="{00000000-0005-0000-0000-0000724E0000}"/>
    <cellStyle name="Normal 2 2 2 4 2 3 2" xfId="20083" xr:uid="{00000000-0005-0000-0000-0000734E0000}"/>
    <cellStyle name="Normal 2 2 2 4 2 3 2 10" xfId="20084" xr:uid="{00000000-0005-0000-0000-0000744E0000}"/>
    <cellStyle name="Normal 2 2 2 4 2 3 2 2" xfId="20085" xr:uid="{00000000-0005-0000-0000-0000754E0000}"/>
    <cellStyle name="Normal 2 2 2 4 2 3 2 3" xfId="20086" xr:uid="{00000000-0005-0000-0000-0000764E0000}"/>
    <cellStyle name="Normal 2 2 2 4 2 3 2 4" xfId="20087" xr:uid="{00000000-0005-0000-0000-0000774E0000}"/>
    <cellStyle name="Normal 2 2 2 4 2 3 2 5" xfId="20088" xr:uid="{00000000-0005-0000-0000-0000784E0000}"/>
    <cellStyle name="Normal 2 2 2 4 2 3 2 6" xfId="20089" xr:uid="{00000000-0005-0000-0000-0000794E0000}"/>
    <cellStyle name="Normal 2 2 2 4 2 3 2 7" xfId="20090" xr:uid="{00000000-0005-0000-0000-00007A4E0000}"/>
    <cellStyle name="Normal 2 2 2 4 2 3 2 8" xfId="20091" xr:uid="{00000000-0005-0000-0000-00007B4E0000}"/>
    <cellStyle name="Normal 2 2 2 4 2 3 2 9" xfId="20092" xr:uid="{00000000-0005-0000-0000-00007C4E0000}"/>
    <cellStyle name="Normal 2 2 2 4 2 3 3" xfId="20093" xr:uid="{00000000-0005-0000-0000-00007D4E0000}"/>
    <cellStyle name="Normal 2 2 2 4 2 3 3 10" xfId="20094" xr:uid="{00000000-0005-0000-0000-00007E4E0000}"/>
    <cellStyle name="Normal 2 2 2 4 2 3 3 2" xfId="20095" xr:uid="{00000000-0005-0000-0000-00007F4E0000}"/>
    <cellStyle name="Normal 2 2 2 4 2 3 3 3" xfId="20096" xr:uid="{00000000-0005-0000-0000-0000804E0000}"/>
    <cellStyle name="Normal 2 2 2 4 2 3 3 4" xfId="20097" xr:uid="{00000000-0005-0000-0000-0000814E0000}"/>
    <cellStyle name="Normal 2 2 2 4 2 3 3 5" xfId="20098" xr:uid="{00000000-0005-0000-0000-0000824E0000}"/>
    <cellStyle name="Normal 2 2 2 4 2 3 3 6" xfId="20099" xr:uid="{00000000-0005-0000-0000-0000834E0000}"/>
    <cellStyle name="Normal 2 2 2 4 2 3 3 7" xfId="20100" xr:uid="{00000000-0005-0000-0000-0000844E0000}"/>
    <cellStyle name="Normal 2 2 2 4 2 3 3 8" xfId="20101" xr:uid="{00000000-0005-0000-0000-0000854E0000}"/>
    <cellStyle name="Normal 2 2 2 4 2 3 3 9" xfId="20102" xr:uid="{00000000-0005-0000-0000-0000864E0000}"/>
    <cellStyle name="Normal 2 2 2 4 2 3 4" xfId="20103" xr:uid="{00000000-0005-0000-0000-0000874E0000}"/>
    <cellStyle name="Normal 2 2 2 4 2 3 4 10" xfId="20104" xr:uid="{00000000-0005-0000-0000-0000884E0000}"/>
    <cellStyle name="Normal 2 2 2 4 2 3 4 2" xfId="20105" xr:uid="{00000000-0005-0000-0000-0000894E0000}"/>
    <cellStyle name="Normal 2 2 2 4 2 3 4 3" xfId="20106" xr:uid="{00000000-0005-0000-0000-00008A4E0000}"/>
    <cellStyle name="Normal 2 2 2 4 2 3 4 4" xfId="20107" xr:uid="{00000000-0005-0000-0000-00008B4E0000}"/>
    <cellStyle name="Normal 2 2 2 4 2 3 4 5" xfId="20108" xr:uid="{00000000-0005-0000-0000-00008C4E0000}"/>
    <cellStyle name="Normal 2 2 2 4 2 3 4 6" xfId="20109" xr:uid="{00000000-0005-0000-0000-00008D4E0000}"/>
    <cellStyle name="Normal 2 2 2 4 2 3 4 7" xfId="20110" xr:uid="{00000000-0005-0000-0000-00008E4E0000}"/>
    <cellStyle name="Normal 2 2 2 4 2 3 4 8" xfId="20111" xr:uid="{00000000-0005-0000-0000-00008F4E0000}"/>
    <cellStyle name="Normal 2 2 2 4 2 3 4 9" xfId="20112" xr:uid="{00000000-0005-0000-0000-0000904E0000}"/>
    <cellStyle name="Normal 2 2 2 4 2 3 5" xfId="20113" xr:uid="{00000000-0005-0000-0000-0000914E0000}"/>
    <cellStyle name="Normal 2 2 2 4 2 3 5 10" xfId="20114" xr:uid="{00000000-0005-0000-0000-0000924E0000}"/>
    <cellStyle name="Normal 2 2 2 4 2 3 5 2" xfId="20115" xr:uid="{00000000-0005-0000-0000-0000934E0000}"/>
    <cellStyle name="Normal 2 2 2 4 2 3 5 3" xfId="20116" xr:uid="{00000000-0005-0000-0000-0000944E0000}"/>
    <cellStyle name="Normal 2 2 2 4 2 3 5 4" xfId="20117" xr:uid="{00000000-0005-0000-0000-0000954E0000}"/>
    <cellStyle name="Normal 2 2 2 4 2 3 5 5" xfId="20118" xr:uid="{00000000-0005-0000-0000-0000964E0000}"/>
    <cellStyle name="Normal 2 2 2 4 2 3 5 6" xfId="20119" xr:uid="{00000000-0005-0000-0000-0000974E0000}"/>
    <cellStyle name="Normal 2 2 2 4 2 3 5 7" xfId="20120" xr:uid="{00000000-0005-0000-0000-0000984E0000}"/>
    <cellStyle name="Normal 2 2 2 4 2 3 5 8" xfId="20121" xr:uid="{00000000-0005-0000-0000-0000994E0000}"/>
    <cellStyle name="Normal 2 2 2 4 2 3 5 9" xfId="20122" xr:uid="{00000000-0005-0000-0000-00009A4E0000}"/>
    <cellStyle name="Normal 2 2 2 4 2 3 6" xfId="20123" xr:uid="{00000000-0005-0000-0000-00009B4E0000}"/>
    <cellStyle name="Normal 2 2 2 4 2 3 7" xfId="20124" xr:uid="{00000000-0005-0000-0000-00009C4E0000}"/>
    <cellStyle name="Normal 2 2 2 4 2 3 8" xfId="20125" xr:uid="{00000000-0005-0000-0000-00009D4E0000}"/>
    <cellStyle name="Normal 2 2 2 4 2 3 9" xfId="20126" xr:uid="{00000000-0005-0000-0000-00009E4E0000}"/>
    <cellStyle name="Normal 2 2 2 4 2 4" xfId="20127" xr:uid="{00000000-0005-0000-0000-00009F4E0000}"/>
    <cellStyle name="Normal 2 2 2 4 2 4 10" xfId="20128" xr:uid="{00000000-0005-0000-0000-0000A04E0000}"/>
    <cellStyle name="Normal 2 2 2 4 2 4 11" xfId="20129" xr:uid="{00000000-0005-0000-0000-0000A14E0000}"/>
    <cellStyle name="Normal 2 2 2 4 2 4 12" xfId="20130" xr:uid="{00000000-0005-0000-0000-0000A24E0000}"/>
    <cellStyle name="Normal 2 2 2 4 2 4 13" xfId="20131" xr:uid="{00000000-0005-0000-0000-0000A34E0000}"/>
    <cellStyle name="Normal 2 2 2 4 2 4 14" xfId="20132" xr:uid="{00000000-0005-0000-0000-0000A44E0000}"/>
    <cellStyle name="Normal 2 2 2 4 2 4 2" xfId="20133" xr:uid="{00000000-0005-0000-0000-0000A54E0000}"/>
    <cellStyle name="Normal 2 2 2 4 2 4 2 10" xfId="20134" xr:uid="{00000000-0005-0000-0000-0000A64E0000}"/>
    <cellStyle name="Normal 2 2 2 4 2 4 2 2" xfId="20135" xr:uid="{00000000-0005-0000-0000-0000A74E0000}"/>
    <cellStyle name="Normal 2 2 2 4 2 4 2 3" xfId="20136" xr:uid="{00000000-0005-0000-0000-0000A84E0000}"/>
    <cellStyle name="Normal 2 2 2 4 2 4 2 4" xfId="20137" xr:uid="{00000000-0005-0000-0000-0000A94E0000}"/>
    <cellStyle name="Normal 2 2 2 4 2 4 2 5" xfId="20138" xr:uid="{00000000-0005-0000-0000-0000AA4E0000}"/>
    <cellStyle name="Normal 2 2 2 4 2 4 2 6" xfId="20139" xr:uid="{00000000-0005-0000-0000-0000AB4E0000}"/>
    <cellStyle name="Normal 2 2 2 4 2 4 2 7" xfId="20140" xr:uid="{00000000-0005-0000-0000-0000AC4E0000}"/>
    <cellStyle name="Normal 2 2 2 4 2 4 2 8" xfId="20141" xr:uid="{00000000-0005-0000-0000-0000AD4E0000}"/>
    <cellStyle name="Normal 2 2 2 4 2 4 2 9" xfId="20142" xr:uid="{00000000-0005-0000-0000-0000AE4E0000}"/>
    <cellStyle name="Normal 2 2 2 4 2 4 3" xfId="20143" xr:uid="{00000000-0005-0000-0000-0000AF4E0000}"/>
    <cellStyle name="Normal 2 2 2 4 2 4 3 10" xfId="20144" xr:uid="{00000000-0005-0000-0000-0000B04E0000}"/>
    <cellStyle name="Normal 2 2 2 4 2 4 3 2" xfId="20145" xr:uid="{00000000-0005-0000-0000-0000B14E0000}"/>
    <cellStyle name="Normal 2 2 2 4 2 4 3 3" xfId="20146" xr:uid="{00000000-0005-0000-0000-0000B24E0000}"/>
    <cellStyle name="Normal 2 2 2 4 2 4 3 4" xfId="20147" xr:uid="{00000000-0005-0000-0000-0000B34E0000}"/>
    <cellStyle name="Normal 2 2 2 4 2 4 3 5" xfId="20148" xr:uid="{00000000-0005-0000-0000-0000B44E0000}"/>
    <cellStyle name="Normal 2 2 2 4 2 4 3 6" xfId="20149" xr:uid="{00000000-0005-0000-0000-0000B54E0000}"/>
    <cellStyle name="Normal 2 2 2 4 2 4 3 7" xfId="20150" xr:uid="{00000000-0005-0000-0000-0000B64E0000}"/>
    <cellStyle name="Normal 2 2 2 4 2 4 3 8" xfId="20151" xr:uid="{00000000-0005-0000-0000-0000B74E0000}"/>
    <cellStyle name="Normal 2 2 2 4 2 4 3 9" xfId="20152" xr:uid="{00000000-0005-0000-0000-0000B84E0000}"/>
    <cellStyle name="Normal 2 2 2 4 2 4 4" xfId="20153" xr:uid="{00000000-0005-0000-0000-0000B94E0000}"/>
    <cellStyle name="Normal 2 2 2 4 2 4 4 10" xfId="20154" xr:uid="{00000000-0005-0000-0000-0000BA4E0000}"/>
    <cellStyle name="Normal 2 2 2 4 2 4 4 2" xfId="20155" xr:uid="{00000000-0005-0000-0000-0000BB4E0000}"/>
    <cellStyle name="Normal 2 2 2 4 2 4 4 3" xfId="20156" xr:uid="{00000000-0005-0000-0000-0000BC4E0000}"/>
    <cellStyle name="Normal 2 2 2 4 2 4 4 4" xfId="20157" xr:uid="{00000000-0005-0000-0000-0000BD4E0000}"/>
    <cellStyle name="Normal 2 2 2 4 2 4 4 5" xfId="20158" xr:uid="{00000000-0005-0000-0000-0000BE4E0000}"/>
    <cellStyle name="Normal 2 2 2 4 2 4 4 6" xfId="20159" xr:uid="{00000000-0005-0000-0000-0000BF4E0000}"/>
    <cellStyle name="Normal 2 2 2 4 2 4 4 7" xfId="20160" xr:uid="{00000000-0005-0000-0000-0000C04E0000}"/>
    <cellStyle name="Normal 2 2 2 4 2 4 4 8" xfId="20161" xr:uid="{00000000-0005-0000-0000-0000C14E0000}"/>
    <cellStyle name="Normal 2 2 2 4 2 4 4 9" xfId="20162" xr:uid="{00000000-0005-0000-0000-0000C24E0000}"/>
    <cellStyle name="Normal 2 2 2 4 2 4 5" xfId="20163" xr:uid="{00000000-0005-0000-0000-0000C34E0000}"/>
    <cellStyle name="Normal 2 2 2 4 2 4 5 10" xfId="20164" xr:uid="{00000000-0005-0000-0000-0000C44E0000}"/>
    <cellStyle name="Normal 2 2 2 4 2 4 5 2" xfId="20165" xr:uid="{00000000-0005-0000-0000-0000C54E0000}"/>
    <cellStyle name="Normal 2 2 2 4 2 4 5 3" xfId="20166" xr:uid="{00000000-0005-0000-0000-0000C64E0000}"/>
    <cellStyle name="Normal 2 2 2 4 2 4 5 4" xfId="20167" xr:uid="{00000000-0005-0000-0000-0000C74E0000}"/>
    <cellStyle name="Normal 2 2 2 4 2 4 5 5" xfId="20168" xr:uid="{00000000-0005-0000-0000-0000C84E0000}"/>
    <cellStyle name="Normal 2 2 2 4 2 4 5 6" xfId="20169" xr:uid="{00000000-0005-0000-0000-0000C94E0000}"/>
    <cellStyle name="Normal 2 2 2 4 2 4 5 7" xfId="20170" xr:uid="{00000000-0005-0000-0000-0000CA4E0000}"/>
    <cellStyle name="Normal 2 2 2 4 2 4 5 8" xfId="20171" xr:uid="{00000000-0005-0000-0000-0000CB4E0000}"/>
    <cellStyle name="Normal 2 2 2 4 2 4 5 9" xfId="20172" xr:uid="{00000000-0005-0000-0000-0000CC4E0000}"/>
    <cellStyle name="Normal 2 2 2 4 2 4 6" xfId="20173" xr:uid="{00000000-0005-0000-0000-0000CD4E0000}"/>
    <cellStyle name="Normal 2 2 2 4 2 4 7" xfId="20174" xr:uid="{00000000-0005-0000-0000-0000CE4E0000}"/>
    <cellStyle name="Normal 2 2 2 4 2 4 8" xfId="20175" xr:uid="{00000000-0005-0000-0000-0000CF4E0000}"/>
    <cellStyle name="Normal 2 2 2 4 2 4 9" xfId="20176" xr:uid="{00000000-0005-0000-0000-0000D04E0000}"/>
    <cellStyle name="Normal 2 2 2 4 2 5" xfId="20177" xr:uid="{00000000-0005-0000-0000-0000D14E0000}"/>
    <cellStyle name="Normal 2 2 2 4 2 5 10" xfId="20178" xr:uid="{00000000-0005-0000-0000-0000D24E0000}"/>
    <cellStyle name="Normal 2 2 2 4 2 5 11" xfId="20179" xr:uid="{00000000-0005-0000-0000-0000D34E0000}"/>
    <cellStyle name="Normal 2 2 2 4 2 5 12" xfId="20180" xr:uid="{00000000-0005-0000-0000-0000D44E0000}"/>
    <cellStyle name="Normal 2 2 2 4 2 5 13" xfId="20181" xr:uid="{00000000-0005-0000-0000-0000D54E0000}"/>
    <cellStyle name="Normal 2 2 2 4 2 5 14" xfId="20182" xr:uid="{00000000-0005-0000-0000-0000D64E0000}"/>
    <cellStyle name="Normal 2 2 2 4 2 5 2" xfId="20183" xr:uid="{00000000-0005-0000-0000-0000D74E0000}"/>
    <cellStyle name="Normal 2 2 2 4 2 5 2 10" xfId="20184" xr:uid="{00000000-0005-0000-0000-0000D84E0000}"/>
    <cellStyle name="Normal 2 2 2 4 2 5 2 2" xfId="20185" xr:uid="{00000000-0005-0000-0000-0000D94E0000}"/>
    <cellStyle name="Normal 2 2 2 4 2 5 2 3" xfId="20186" xr:uid="{00000000-0005-0000-0000-0000DA4E0000}"/>
    <cellStyle name="Normal 2 2 2 4 2 5 2 4" xfId="20187" xr:uid="{00000000-0005-0000-0000-0000DB4E0000}"/>
    <cellStyle name="Normal 2 2 2 4 2 5 2 5" xfId="20188" xr:uid="{00000000-0005-0000-0000-0000DC4E0000}"/>
    <cellStyle name="Normal 2 2 2 4 2 5 2 6" xfId="20189" xr:uid="{00000000-0005-0000-0000-0000DD4E0000}"/>
    <cellStyle name="Normal 2 2 2 4 2 5 2 7" xfId="20190" xr:uid="{00000000-0005-0000-0000-0000DE4E0000}"/>
    <cellStyle name="Normal 2 2 2 4 2 5 2 8" xfId="20191" xr:uid="{00000000-0005-0000-0000-0000DF4E0000}"/>
    <cellStyle name="Normal 2 2 2 4 2 5 2 9" xfId="20192" xr:uid="{00000000-0005-0000-0000-0000E04E0000}"/>
    <cellStyle name="Normal 2 2 2 4 2 5 3" xfId="20193" xr:uid="{00000000-0005-0000-0000-0000E14E0000}"/>
    <cellStyle name="Normal 2 2 2 4 2 5 3 10" xfId="20194" xr:uid="{00000000-0005-0000-0000-0000E24E0000}"/>
    <cellStyle name="Normal 2 2 2 4 2 5 3 2" xfId="20195" xr:uid="{00000000-0005-0000-0000-0000E34E0000}"/>
    <cellStyle name="Normal 2 2 2 4 2 5 3 3" xfId="20196" xr:uid="{00000000-0005-0000-0000-0000E44E0000}"/>
    <cellStyle name="Normal 2 2 2 4 2 5 3 4" xfId="20197" xr:uid="{00000000-0005-0000-0000-0000E54E0000}"/>
    <cellStyle name="Normal 2 2 2 4 2 5 3 5" xfId="20198" xr:uid="{00000000-0005-0000-0000-0000E64E0000}"/>
    <cellStyle name="Normal 2 2 2 4 2 5 3 6" xfId="20199" xr:uid="{00000000-0005-0000-0000-0000E74E0000}"/>
    <cellStyle name="Normal 2 2 2 4 2 5 3 7" xfId="20200" xr:uid="{00000000-0005-0000-0000-0000E84E0000}"/>
    <cellStyle name="Normal 2 2 2 4 2 5 3 8" xfId="20201" xr:uid="{00000000-0005-0000-0000-0000E94E0000}"/>
    <cellStyle name="Normal 2 2 2 4 2 5 3 9" xfId="20202" xr:uid="{00000000-0005-0000-0000-0000EA4E0000}"/>
    <cellStyle name="Normal 2 2 2 4 2 5 4" xfId="20203" xr:uid="{00000000-0005-0000-0000-0000EB4E0000}"/>
    <cellStyle name="Normal 2 2 2 4 2 5 4 10" xfId="20204" xr:uid="{00000000-0005-0000-0000-0000EC4E0000}"/>
    <cellStyle name="Normal 2 2 2 4 2 5 4 2" xfId="20205" xr:uid="{00000000-0005-0000-0000-0000ED4E0000}"/>
    <cellStyle name="Normal 2 2 2 4 2 5 4 3" xfId="20206" xr:uid="{00000000-0005-0000-0000-0000EE4E0000}"/>
    <cellStyle name="Normal 2 2 2 4 2 5 4 4" xfId="20207" xr:uid="{00000000-0005-0000-0000-0000EF4E0000}"/>
    <cellStyle name="Normal 2 2 2 4 2 5 4 5" xfId="20208" xr:uid="{00000000-0005-0000-0000-0000F04E0000}"/>
    <cellStyle name="Normal 2 2 2 4 2 5 4 6" xfId="20209" xr:uid="{00000000-0005-0000-0000-0000F14E0000}"/>
    <cellStyle name="Normal 2 2 2 4 2 5 4 7" xfId="20210" xr:uid="{00000000-0005-0000-0000-0000F24E0000}"/>
    <cellStyle name="Normal 2 2 2 4 2 5 4 8" xfId="20211" xr:uid="{00000000-0005-0000-0000-0000F34E0000}"/>
    <cellStyle name="Normal 2 2 2 4 2 5 4 9" xfId="20212" xr:uid="{00000000-0005-0000-0000-0000F44E0000}"/>
    <cellStyle name="Normal 2 2 2 4 2 5 5" xfId="20213" xr:uid="{00000000-0005-0000-0000-0000F54E0000}"/>
    <cellStyle name="Normal 2 2 2 4 2 5 5 10" xfId="20214" xr:uid="{00000000-0005-0000-0000-0000F64E0000}"/>
    <cellStyle name="Normal 2 2 2 4 2 5 5 2" xfId="20215" xr:uid="{00000000-0005-0000-0000-0000F74E0000}"/>
    <cellStyle name="Normal 2 2 2 4 2 5 5 3" xfId="20216" xr:uid="{00000000-0005-0000-0000-0000F84E0000}"/>
    <cellStyle name="Normal 2 2 2 4 2 5 5 4" xfId="20217" xr:uid="{00000000-0005-0000-0000-0000F94E0000}"/>
    <cellStyle name="Normal 2 2 2 4 2 5 5 5" xfId="20218" xr:uid="{00000000-0005-0000-0000-0000FA4E0000}"/>
    <cellStyle name="Normal 2 2 2 4 2 5 5 6" xfId="20219" xr:uid="{00000000-0005-0000-0000-0000FB4E0000}"/>
    <cellStyle name="Normal 2 2 2 4 2 5 5 7" xfId="20220" xr:uid="{00000000-0005-0000-0000-0000FC4E0000}"/>
    <cellStyle name="Normal 2 2 2 4 2 5 5 8" xfId="20221" xr:uid="{00000000-0005-0000-0000-0000FD4E0000}"/>
    <cellStyle name="Normal 2 2 2 4 2 5 5 9" xfId="20222" xr:uid="{00000000-0005-0000-0000-0000FE4E0000}"/>
    <cellStyle name="Normal 2 2 2 4 2 5 6" xfId="20223" xr:uid="{00000000-0005-0000-0000-0000FF4E0000}"/>
    <cellStyle name="Normal 2 2 2 4 2 5 7" xfId="20224" xr:uid="{00000000-0005-0000-0000-0000004F0000}"/>
    <cellStyle name="Normal 2 2 2 4 2 5 8" xfId="20225" xr:uid="{00000000-0005-0000-0000-0000014F0000}"/>
    <cellStyle name="Normal 2 2 2 4 2 5 9" xfId="20226" xr:uid="{00000000-0005-0000-0000-0000024F0000}"/>
    <cellStyle name="Normal 2 2 2 4 2 6" xfId="20227" xr:uid="{00000000-0005-0000-0000-0000034F0000}"/>
    <cellStyle name="Normal 2 2 2 4 2 6 10" xfId="20228" xr:uid="{00000000-0005-0000-0000-0000044F0000}"/>
    <cellStyle name="Normal 2 2 2 4 2 6 11" xfId="20229" xr:uid="{00000000-0005-0000-0000-0000054F0000}"/>
    <cellStyle name="Normal 2 2 2 4 2 6 12" xfId="20230" xr:uid="{00000000-0005-0000-0000-0000064F0000}"/>
    <cellStyle name="Normal 2 2 2 4 2 6 13" xfId="20231" xr:uid="{00000000-0005-0000-0000-0000074F0000}"/>
    <cellStyle name="Normal 2 2 2 4 2 6 14" xfId="20232" xr:uid="{00000000-0005-0000-0000-0000084F0000}"/>
    <cellStyle name="Normal 2 2 2 4 2 6 2" xfId="20233" xr:uid="{00000000-0005-0000-0000-0000094F0000}"/>
    <cellStyle name="Normal 2 2 2 4 2 6 2 10" xfId="20234" xr:uid="{00000000-0005-0000-0000-00000A4F0000}"/>
    <cellStyle name="Normal 2 2 2 4 2 6 2 2" xfId="20235" xr:uid="{00000000-0005-0000-0000-00000B4F0000}"/>
    <cellStyle name="Normal 2 2 2 4 2 6 2 3" xfId="20236" xr:uid="{00000000-0005-0000-0000-00000C4F0000}"/>
    <cellStyle name="Normal 2 2 2 4 2 6 2 4" xfId="20237" xr:uid="{00000000-0005-0000-0000-00000D4F0000}"/>
    <cellStyle name="Normal 2 2 2 4 2 6 2 5" xfId="20238" xr:uid="{00000000-0005-0000-0000-00000E4F0000}"/>
    <cellStyle name="Normal 2 2 2 4 2 6 2 6" xfId="20239" xr:uid="{00000000-0005-0000-0000-00000F4F0000}"/>
    <cellStyle name="Normal 2 2 2 4 2 6 2 7" xfId="20240" xr:uid="{00000000-0005-0000-0000-0000104F0000}"/>
    <cellStyle name="Normal 2 2 2 4 2 6 2 8" xfId="20241" xr:uid="{00000000-0005-0000-0000-0000114F0000}"/>
    <cellStyle name="Normal 2 2 2 4 2 6 2 9" xfId="20242" xr:uid="{00000000-0005-0000-0000-0000124F0000}"/>
    <cellStyle name="Normal 2 2 2 4 2 6 3" xfId="20243" xr:uid="{00000000-0005-0000-0000-0000134F0000}"/>
    <cellStyle name="Normal 2 2 2 4 2 6 3 10" xfId="20244" xr:uid="{00000000-0005-0000-0000-0000144F0000}"/>
    <cellStyle name="Normal 2 2 2 4 2 6 3 2" xfId="20245" xr:uid="{00000000-0005-0000-0000-0000154F0000}"/>
    <cellStyle name="Normal 2 2 2 4 2 6 3 3" xfId="20246" xr:uid="{00000000-0005-0000-0000-0000164F0000}"/>
    <cellStyle name="Normal 2 2 2 4 2 6 3 4" xfId="20247" xr:uid="{00000000-0005-0000-0000-0000174F0000}"/>
    <cellStyle name="Normal 2 2 2 4 2 6 3 5" xfId="20248" xr:uid="{00000000-0005-0000-0000-0000184F0000}"/>
    <cellStyle name="Normal 2 2 2 4 2 6 3 6" xfId="20249" xr:uid="{00000000-0005-0000-0000-0000194F0000}"/>
    <cellStyle name="Normal 2 2 2 4 2 6 3 7" xfId="20250" xr:uid="{00000000-0005-0000-0000-00001A4F0000}"/>
    <cellStyle name="Normal 2 2 2 4 2 6 3 8" xfId="20251" xr:uid="{00000000-0005-0000-0000-00001B4F0000}"/>
    <cellStyle name="Normal 2 2 2 4 2 6 3 9" xfId="20252" xr:uid="{00000000-0005-0000-0000-00001C4F0000}"/>
    <cellStyle name="Normal 2 2 2 4 2 6 4" xfId="20253" xr:uid="{00000000-0005-0000-0000-00001D4F0000}"/>
    <cellStyle name="Normal 2 2 2 4 2 6 4 10" xfId="20254" xr:uid="{00000000-0005-0000-0000-00001E4F0000}"/>
    <cellStyle name="Normal 2 2 2 4 2 6 4 2" xfId="20255" xr:uid="{00000000-0005-0000-0000-00001F4F0000}"/>
    <cellStyle name="Normal 2 2 2 4 2 6 4 3" xfId="20256" xr:uid="{00000000-0005-0000-0000-0000204F0000}"/>
    <cellStyle name="Normal 2 2 2 4 2 6 4 4" xfId="20257" xr:uid="{00000000-0005-0000-0000-0000214F0000}"/>
    <cellStyle name="Normal 2 2 2 4 2 6 4 5" xfId="20258" xr:uid="{00000000-0005-0000-0000-0000224F0000}"/>
    <cellStyle name="Normal 2 2 2 4 2 6 4 6" xfId="20259" xr:uid="{00000000-0005-0000-0000-0000234F0000}"/>
    <cellStyle name="Normal 2 2 2 4 2 6 4 7" xfId="20260" xr:uid="{00000000-0005-0000-0000-0000244F0000}"/>
    <cellStyle name="Normal 2 2 2 4 2 6 4 8" xfId="20261" xr:uid="{00000000-0005-0000-0000-0000254F0000}"/>
    <cellStyle name="Normal 2 2 2 4 2 6 4 9" xfId="20262" xr:uid="{00000000-0005-0000-0000-0000264F0000}"/>
    <cellStyle name="Normal 2 2 2 4 2 6 5" xfId="20263" xr:uid="{00000000-0005-0000-0000-0000274F0000}"/>
    <cellStyle name="Normal 2 2 2 4 2 6 5 10" xfId="20264" xr:uid="{00000000-0005-0000-0000-0000284F0000}"/>
    <cellStyle name="Normal 2 2 2 4 2 6 5 2" xfId="20265" xr:uid="{00000000-0005-0000-0000-0000294F0000}"/>
    <cellStyle name="Normal 2 2 2 4 2 6 5 3" xfId="20266" xr:uid="{00000000-0005-0000-0000-00002A4F0000}"/>
    <cellStyle name="Normal 2 2 2 4 2 6 5 4" xfId="20267" xr:uid="{00000000-0005-0000-0000-00002B4F0000}"/>
    <cellStyle name="Normal 2 2 2 4 2 6 5 5" xfId="20268" xr:uid="{00000000-0005-0000-0000-00002C4F0000}"/>
    <cellStyle name="Normal 2 2 2 4 2 6 5 6" xfId="20269" xr:uid="{00000000-0005-0000-0000-00002D4F0000}"/>
    <cellStyle name="Normal 2 2 2 4 2 6 5 7" xfId="20270" xr:uid="{00000000-0005-0000-0000-00002E4F0000}"/>
    <cellStyle name="Normal 2 2 2 4 2 6 5 8" xfId="20271" xr:uid="{00000000-0005-0000-0000-00002F4F0000}"/>
    <cellStyle name="Normal 2 2 2 4 2 6 5 9" xfId="20272" xr:uid="{00000000-0005-0000-0000-0000304F0000}"/>
    <cellStyle name="Normal 2 2 2 4 2 6 6" xfId="20273" xr:uid="{00000000-0005-0000-0000-0000314F0000}"/>
    <cellStyle name="Normal 2 2 2 4 2 6 7" xfId="20274" xr:uid="{00000000-0005-0000-0000-0000324F0000}"/>
    <cellStyle name="Normal 2 2 2 4 2 6 8" xfId="20275" xr:uid="{00000000-0005-0000-0000-0000334F0000}"/>
    <cellStyle name="Normal 2 2 2 4 2 6 9" xfId="20276" xr:uid="{00000000-0005-0000-0000-0000344F0000}"/>
    <cellStyle name="Normal 2 2 2 4 2 7" xfId="20277" xr:uid="{00000000-0005-0000-0000-0000354F0000}"/>
    <cellStyle name="Normal 2 2 2 4 2 7 10" xfId="20278" xr:uid="{00000000-0005-0000-0000-0000364F0000}"/>
    <cellStyle name="Normal 2 2 2 4 2 7 11" xfId="20279" xr:uid="{00000000-0005-0000-0000-0000374F0000}"/>
    <cellStyle name="Normal 2 2 2 4 2 7 12" xfId="20280" xr:uid="{00000000-0005-0000-0000-0000384F0000}"/>
    <cellStyle name="Normal 2 2 2 4 2 7 13" xfId="20281" xr:uid="{00000000-0005-0000-0000-0000394F0000}"/>
    <cellStyle name="Normal 2 2 2 4 2 7 14" xfId="20282" xr:uid="{00000000-0005-0000-0000-00003A4F0000}"/>
    <cellStyle name="Normal 2 2 2 4 2 7 2" xfId="20283" xr:uid="{00000000-0005-0000-0000-00003B4F0000}"/>
    <cellStyle name="Normal 2 2 2 4 2 7 2 10" xfId="20284" xr:uid="{00000000-0005-0000-0000-00003C4F0000}"/>
    <cellStyle name="Normal 2 2 2 4 2 7 2 2" xfId="20285" xr:uid="{00000000-0005-0000-0000-00003D4F0000}"/>
    <cellStyle name="Normal 2 2 2 4 2 7 2 3" xfId="20286" xr:uid="{00000000-0005-0000-0000-00003E4F0000}"/>
    <cellStyle name="Normal 2 2 2 4 2 7 2 4" xfId="20287" xr:uid="{00000000-0005-0000-0000-00003F4F0000}"/>
    <cellStyle name="Normal 2 2 2 4 2 7 2 5" xfId="20288" xr:uid="{00000000-0005-0000-0000-0000404F0000}"/>
    <cellStyle name="Normal 2 2 2 4 2 7 2 6" xfId="20289" xr:uid="{00000000-0005-0000-0000-0000414F0000}"/>
    <cellStyle name="Normal 2 2 2 4 2 7 2 7" xfId="20290" xr:uid="{00000000-0005-0000-0000-0000424F0000}"/>
    <cellStyle name="Normal 2 2 2 4 2 7 2 8" xfId="20291" xr:uid="{00000000-0005-0000-0000-0000434F0000}"/>
    <cellStyle name="Normal 2 2 2 4 2 7 2 9" xfId="20292" xr:uid="{00000000-0005-0000-0000-0000444F0000}"/>
    <cellStyle name="Normal 2 2 2 4 2 7 3" xfId="20293" xr:uid="{00000000-0005-0000-0000-0000454F0000}"/>
    <cellStyle name="Normal 2 2 2 4 2 7 3 10" xfId="20294" xr:uid="{00000000-0005-0000-0000-0000464F0000}"/>
    <cellStyle name="Normal 2 2 2 4 2 7 3 2" xfId="20295" xr:uid="{00000000-0005-0000-0000-0000474F0000}"/>
    <cellStyle name="Normal 2 2 2 4 2 7 3 3" xfId="20296" xr:uid="{00000000-0005-0000-0000-0000484F0000}"/>
    <cellStyle name="Normal 2 2 2 4 2 7 3 4" xfId="20297" xr:uid="{00000000-0005-0000-0000-0000494F0000}"/>
    <cellStyle name="Normal 2 2 2 4 2 7 3 5" xfId="20298" xr:uid="{00000000-0005-0000-0000-00004A4F0000}"/>
    <cellStyle name="Normal 2 2 2 4 2 7 3 6" xfId="20299" xr:uid="{00000000-0005-0000-0000-00004B4F0000}"/>
    <cellStyle name="Normal 2 2 2 4 2 7 3 7" xfId="20300" xr:uid="{00000000-0005-0000-0000-00004C4F0000}"/>
    <cellStyle name="Normal 2 2 2 4 2 7 3 8" xfId="20301" xr:uid="{00000000-0005-0000-0000-00004D4F0000}"/>
    <cellStyle name="Normal 2 2 2 4 2 7 3 9" xfId="20302" xr:uid="{00000000-0005-0000-0000-00004E4F0000}"/>
    <cellStyle name="Normal 2 2 2 4 2 7 4" xfId="20303" xr:uid="{00000000-0005-0000-0000-00004F4F0000}"/>
    <cellStyle name="Normal 2 2 2 4 2 7 4 10" xfId="20304" xr:uid="{00000000-0005-0000-0000-0000504F0000}"/>
    <cellStyle name="Normal 2 2 2 4 2 7 4 2" xfId="20305" xr:uid="{00000000-0005-0000-0000-0000514F0000}"/>
    <cellStyle name="Normal 2 2 2 4 2 7 4 3" xfId="20306" xr:uid="{00000000-0005-0000-0000-0000524F0000}"/>
    <cellStyle name="Normal 2 2 2 4 2 7 4 4" xfId="20307" xr:uid="{00000000-0005-0000-0000-0000534F0000}"/>
    <cellStyle name="Normal 2 2 2 4 2 7 4 5" xfId="20308" xr:uid="{00000000-0005-0000-0000-0000544F0000}"/>
    <cellStyle name="Normal 2 2 2 4 2 7 4 6" xfId="20309" xr:uid="{00000000-0005-0000-0000-0000554F0000}"/>
    <cellStyle name="Normal 2 2 2 4 2 7 4 7" xfId="20310" xr:uid="{00000000-0005-0000-0000-0000564F0000}"/>
    <cellStyle name="Normal 2 2 2 4 2 7 4 8" xfId="20311" xr:uid="{00000000-0005-0000-0000-0000574F0000}"/>
    <cellStyle name="Normal 2 2 2 4 2 7 4 9" xfId="20312" xr:uid="{00000000-0005-0000-0000-0000584F0000}"/>
    <cellStyle name="Normal 2 2 2 4 2 7 5" xfId="20313" xr:uid="{00000000-0005-0000-0000-0000594F0000}"/>
    <cellStyle name="Normal 2 2 2 4 2 7 5 10" xfId="20314" xr:uid="{00000000-0005-0000-0000-00005A4F0000}"/>
    <cellStyle name="Normal 2 2 2 4 2 7 5 2" xfId="20315" xr:uid="{00000000-0005-0000-0000-00005B4F0000}"/>
    <cellStyle name="Normal 2 2 2 4 2 7 5 3" xfId="20316" xr:uid="{00000000-0005-0000-0000-00005C4F0000}"/>
    <cellStyle name="Normal 2 2 2 4 2 7 5 4" xfId="20317" xr:uid="{00000000-0005-0000-0000-00005D4F0000}"/>
    <cellStyle name="Normal 2 2 2 4 2 7 5 5" xfId="20318" xr:uid="{00000000-0005-0000-0000-00005E4F0000}"/>
    <cellStyle name="Normal 2 2 2 4 2 7 5 6" xfId="20319" xr:uid="{00000000-0005-0000-0000-00005F4F0000}"/>
    <cellStyle name="Normal 2 2 2 4 2 7 5 7" xfId="20320" xr:uid="{00000000-0005-0000-0000-0000604F0000}"/>
    <cellStyle name="Normal 2 2 2 4 2 7 5 8" xfId="20321" xr:uid="{00000000-0005-0000-0000-0000614F0000}"/>
    <cellStyle name="Normal 2 2 2 4 2 7 5 9" xfId="20322" xr:uid="{00000000-0005-0000-0000-0000624F0000}"/>
    <cellStyle name="Normal 2 2 2 4 2 7 6" xfId="20323" xr:uid="{00000000-0005-0000-0000-0000634F0000}"/>
    <cellStyle name="Normal 2 2 2 4 2 7 7" xfId="20324" xr:uid="{00000000-0005-0000-0000-0000644F0000}"/>
    <cellStyle name="Normal 2 2 2 4 2 7 8" xfId="20325" xr:uid="{00000000-0005-0000-0000-0000654F0000}"/>
    <cellStyle name="Normal 2 2 2 4 2 7 9" xfId="20326" xr:uid="{00000000-0005-0000-0000-0000664F0000}"/>
    <cellStyle name="Normal 2 2 2 4 2 8" xfId="20327" xr:uid="{00000000-0005-0000-0000-0000674F0000}"/>
    <cellStyle name="Normal 2 2 2 4 2 8 10" xfId="20328" xr:uid="{00000000-0005-0000-0000-0000684F0000}"/>
    <cellStyle name="Normal 2 2 2 4 2 8 11" xfId="20329" xr:uid="{00000000-0005-0000-0000-0000694F0000}"/>
    <cellStyle name="Normal 2 2 2 4 2 8 12" xfId="20330" xr:uid="{00000000-0005-0000-0000-00006A4F0000}"/>
    <cellStyle name="Normal 2 2 2 4 2 8 13" xfId="20331" xr:uid="{00000000-0005-0000-0000-00006B4F0000}"/>
    <cellStyle name="Normal 2 2 2 4 2 8 14" xfId="20332" xr:uid="{00000000-0005-0000-0000-00006C4F0000}"/>
    <cellStyle name="Normal 2 2 2 4 2 8 2" xfId="20333" xr:uid="{00000000-0005-0000-0000-00006D4F0000}"/>
    <cellStyle name="Normal 2 2 2 4 2 8 2 10" xfId="20334" xr:uid="{00000000-0005-0000-0000-00006E4F0000}"/>
    <cellStyle name="Normal 2 2 2 4 2 8 2 2" xfId="20335" xr:uid="{00000000-0005-0000-0000-00006F4F0000}"/>
    <cellStyle name="Normal 2 2 2 4 2 8 2 3" xfId="20336" xr:uid="{00000000-0005-0000-0000-0000704F0000}"/>
    <cellStyle name="Normal 2 2 2 4 2 8 2 4" xfId="20337" xr:uid="{00000000-0005-0000-0000-0000714F0000}"/>
    <cellStyle name="Normal 2 2 2 4 2 8 2 5" xfId="20338" xr:uid="{00000000-0005-0000-0000-0000724F0000}"/>
    <cellStyle name="Normal 2 2 2 4 2 8 2 6" xfId="20339" xr:uid="{00000000-0005-0000-0000-0000734F0000}"/>
    <cellStyle name="Normal 2 2 2 4 2 8 2 7" xfId="20340" xr:uid="{00000000-0005-0000-0000-0000744F0000}"/>
    <cellStyle name="Normal 2 2 2 4 2 8 2 8" xfId="20341" xr:uid="{00000000-0005-0000-0000-0000754F0000}"/>
    <cellStyle name="Normal 2 2 2 4 2 8 2 9" xfId="20342" xr:uid="{00000000-0005-0000-0000-0000764F0000}"/>
    <cellStyle name="Normal 2 2 2 4 2 8 3" xfId="20343" xr:uid="{00000000-0005-0000-0000-0000774F0000}"/>
    <cellStyle name="Normal 2 2 2 4 2 8 3 10" xfId="20344" xr:uid="{00000000-0005-0000-0000-0000784F0000}"/>
    <cellStyle name="Normal 2 2 2 4 2 8 3 2" xfId="20345" xr:uid="{00000000-0005-0000-0000-0000794F0000}"/>
    <cellStyle name="Normal 2 2 2 4 2 8 3 3" xfId="20346" xr:uid="{00000000-0005-0000-0000-00007A4F0000}"/>
    <cellStyle name="Normal 2 2 2 4 2 8 3 4" xfId="20347" xr:uid="{00000000-0005-0000-0000-00007B4F0000}"/>
    <cellStyle name="Normal 2 2 2 4 2 8 3 5" xfId="20348" xr:uid="{00000000-0005-0000-0000-00007C4F0000}"/>
    <cellStyle name="Normal 2 2 2 4 2 8 3 6" xfId="20349" xr:uid="{00000000-0005-0000-0000-00007D4F0000}"/>
    <cellStyle name="Normal 2 2 2 4 2 8 3 7" xfId="20350" xr:uid="{00000000-0005-0000-0000-00007E4F0000}"/>
    <cellStyle name="Normal 2 2 2 4 2 8 3 8" xfId="20351" xr:uid="{00000000-0005-0000-0000-00007F4F0000}"/>
    <cellStyle name="Normal 2 2 2 4 2 8 3 9" xfId="20352" xr:uid="{00000000-0005-0000-0000-0000804F0000}"/>
    <cellStyle name="Normal 2 2 2 4 2 8 4" xfId="20353" xr:uid="{00000000-0005-0000-0000-0000814F0000}"/>
    <cellStyle name="Normal 2 2 2 4 2 8 4 10" xfId="20354" xr:uid="{00000000-0005-0000-0000-0000824F0000}"/>
    <cellStyle name="Normal 2 2 2 4 2 8 4 2" xfId="20355" xr:uid="{00000000-0005-0000-0000-0000834F0000}"/>
    <cellStyle name="Normal 2 2 2 4 2 8 4 3" xfId="20356" xr:uid="{00000000-0005-0000-0000-0000844F0000}"/>
    <cellStyle name="Normal 2 2 2 4 2 8 4 4" xfId="20357" xr:uid="{00000000-0005-0000-0000-0000854F0000}"/>
    <cellStyle name="Normal 2 2 2 4 2 8 4 5" xfId="20358" xr:uid="{00000000-0005-0000-0000-0000864F0000}"/>
    <cellStyle name="Normal 2 2 2 4 2 8 4 6" xfId="20359" xr:uid="{00000000-0005-0000-0000-0000874F0000}"/>
    <cellStyle name="Normal 2 2 2 4 2 8 4 7" xfId="20360" xr:uid="{00000000-0005-0000-0000-0000884F0000}"/>
    <cellStyle name="Normal 2 2 2 4 2 8 4 8" xfId="20361" xr:uid="{00000000-0005-0000-0000-0000894F0000}"/>
    <cellStyle name="Normal 2 2 2 4 2 8 4 9" xfId="20362" xr:uid="{00000000-0005-0000-0000-00008A4F0000}"/>
    <cellStyle name="Normal 2 2 2 4 2 8 5" xfId="20363" xr:uid="{00000000-0005-0000-0000-00008B4F0000}"/>
    <cellStyle name="Normal 2 2 2 4 2 8 5 10" xfId="20364" xr:uid="{00000000-0005-0000-0000-00008C4F0000}"/>
    <cellStyle name="Normal 2 2 2 4 2 8 5 2" xfId="20365" xr:uid="{00000000-0005-0000-0000-00008D4F0000}"/>
    <cellStyle name="Normal 2 2 2 4 2 8 5 3" xfId="20366" xr:uid="{00000000-0005-0000-0000-00008E4F0000}"/>
    <cellStyle name="Normal 2 2 2 4 2 8 5 4" xfId="20367" xr:uid="{00000000-0005-0000-0000-00008F4F0000}"/>
    <cellStyle name="Normal 2 2 2 4 2 8 5 5" xfId="20368" xr:uid="{00000000-0005-0000-0000-0000904F0000}"/>
    <cellStyle name="Normal 2 2 2 4 2 8 5 6" xfId="20369" xr:uid="{00000000-0005-0000-0000-0000914F0000}"/>
    <cellStyle name="Normal 2 2 2 4 2 8 5 7" xfId="20370" xr:uid="{00000000-0005-0000-0000-0000924F0000}"/>
    <cellStyle name="Normal 2 2 2 4 2 8 5 8" xfId="20371" xr:uid="{00000000-0005-0000-0000-0000934F0000}"/>
    <cellStyle name="Normal 2 2 2 4 2 8 5 9" xfId="20372" xr:uid="{00000000-0005-0000-0000-0000944F0000}"/>
    <cellStyle name="Normal 2 2 2 4 2 8 6" xfId="20373" xr:uid="{00000000-0005-0000-0000-0000954F0000}"/>
    <cellStyle name="Normal 2 2 2 4 2 8 7" xfId="20374" xr:uid="{00000000-0005-0000-0000-0000964F0000}"/>
    <cellStyle name="Normal 2 2 2 4 2 8 8" xfId="20375" xr:uid="{00000000-0005-0000-0000-0000974F0000}"/>
    <cellStyle name="Normal 2 2 2 4 2 8 9" xfId="20376" xr:uid="{00000000-0005-0000-0000-0000984F0000}"/>
    <cellStyle name="Normal 2 2 2 4 2 9" xfId="20377" xr:uid="{00000000-0005-0000-0000-0000994F0000}"/>
    <cellStyle name="Normal 2 2 2 4 2 9 10" xfId="20378" xr:uid="{00000000-0005-0000-0000-00009A4F0000}"/>
    <cellStyle name="Normal 2 2 2 4 2 9 11" xfId="20379" xr:uid="{00000000-0005-0000-0000-00009B4F0000}"/>
    <cellStyle name="Normal 2 2 2 4 2 9 12" xfId="20380" xr:uid="{00000000-0005-0000-0000-00009C4F0000}"/>
    <cellStyle name="Normal 2 2 2 4 2 9 13" xfId="20381" xr:uid="{00000000-0005-0000-0000-00009D4F0000}"/>
    <cellStyle name="Normal 2 2 2 4 2 9 14" xfId="20382" xr:uid="{00000000-0005-0000-0000-00009E4F0000}"/>
    <cellStyle name="Normal 2 2 2 4 2 9 2" xfId="20383" xr:uid="{00000000-0005-0000-0000-00009F4F0000}"/>
    <cellStyle name="Normal 2 2 2 4 2 9 2 10" xfId="20384" xr:uid="{00000000-0005-0000-0000-0000A04F0000}"/>
    <cellStyle name="Normal 2 2 2 4 2 9 2 2" xfId="20385" xr:uid="{00000000-0005-0000-0000-0000A14F0000}"/>
    <cellStyle name="Normal 2 2 2 4 2 9 2 3" xfId="20386" xr:uid="{00000000-0005-0000-0000-0000A24F0000}"/>
    <cellStyle name="Normal 2 2 2 4 2 9 2 4" xfId="20387" xr:uid="{00000000-0005-0000-0000-0000A34F0000}"/>
    <cellStyle name="Normal 2 2 2 4 2 9 2 5" xfId="20388" xr:uid="{00000000-0005-0000-0000-0000A44F0000}"/>
    <cellStyle name="Normal 2 2 2 4 2 9 2 6" xfId="20389" xr:uid="{00000000-0005-0000-0000-0000A54F0000}"/>
    <cellStyle name="Normal 2 2 2 4 2 9 2 7" xfId="20390" xr:uid="{00000000-0005-0000-0000-0000A64F0000}"/>
    <cellStyle name="Normal 2 2 2 4 2 9 2 8" xfId="20391" xr:uid="{00000000-0005-0000-0000-0000A74F0000}"/>
    <cellStyle name="Normal 2 2 2 4 2 9 2 9" xfId="20392" xr:uid="{00000000-0005-0000-0000-0000A84F0000}"/>
    <cellStyle name="Normal 2 2 2 4 2 9 3" xfId="20393" xr:uid="{00000000-0005-0000-0000-0000A94F0000}"/>
    <cellStyle name="Normal 2 2 2 4 2 9 3 10" xfId="20394" xr:uid="{00000000-0005-0000-0000-0000AA4F0000}"/>
    <cellStyle name="Normal 2 2 2 4 2 9 3 2" xfId="20395" xr:uid="{00000000-0005-0000-0000-0000AB4F0000}"/>
    <cellStyle name="Normal 2 2 2 4 2 9 3 3" xfId="20396" xr:uid="{00000000-0005-0000-0000-0000AC4F0000}"/>
    <cellStyle name="Normal 2 2 2 4 2 9 3 4" xfId="20397" xr:uid="{00000000-0005-0000-0000-0000AD4F0000}"/>
    <cellStyle name="Normal 2 2 2 4 2 9 3 5" xfId="20398" xr:uid="{00000000-0005-0000-0000-0000AE4F0000}"/>
    <cellStyle name="Normal 2 2 2 4 2 9 3 6" xfId="20399" xr:uid="{00000000-0005-0000-0000-0000AF4F0000}"/>
    <cellStyle name="Normal 2 2 2 4 2 9 3 7" xfId="20400" xr:uid="{00000000-0005-0000-0000-0000B04F0000}"/>
    <cellStyle name="Normal 2 2 2 4 2 9 3 8" xfId="20401" xr:uid="{00000000-0005-0000-0000-0000B14F0000}"/>
    <cellStyle name="Normal 2 2 2 4 2 9 3 9" xfId="20402" xr:uid="{00000000-0005-0000-0000-0000B24F0000}"/>
    <cellStyle name="Normal 2 2 2 4 2 9 4" xfId="20403" xr:uid="{00000000-0005-0000-0000-0000B34F0000}"/>
    <cellStyle name="Normal 2 2 2 4 2 9 4 10" xfId="20404" xr:uid="{00000000-0005-0000-0000-0000B44F0000}"/>
    <cellStyle name="Normal 2 2 2 4 2 9 4 2" xfId="20405" xr:uid="{00000000-0005-0000-0000-0000B54F0000}"/>
    <cellStyle name="Normal 2 2 2 4 2 9 4 3" xfId="20406" xr:uid="{00000000-0005-0000-0000-0000B64F0000}"/>
    <cellStyle name="Normal 2 2 2 4 2 9 4 4" xfId="20407" xr:uid="{00000000-0005-0000-0000-0000B74F0000}"/>
    <cellStyle name="Normal 2 2 2 4 2 9 4 5" xfId="20408" xr:uid="{00000000-0005-0000-0000-0000B84F0000}"/>
    <cellStyle name="Normal 2 2 2 4 2 9 4 6" xfId="20409" xr:uid="{00000000-0005-0000-0000-0000B94F0000}"/>
    <cellStyle name="Normal 2 2 2 4 2 9 4 7" xfId="20410" xr:uid="{00000000-0005-0000-0000-0000BA4F0000}"/>
    <cellStyle name="Normal 2 2 2 4 2 9 4 8" xfId="20411" xr:uid="{00000000-0005-0000-0000-0000BB4F0000}"/>
    <cellStyle name="Normal 2 2 2 4 2 9 4 9" xfId="20412" xr:uid="{00000000-0005-0000-0000-0000BC4F0000}"/>
    <cellStyle name="Normal 2 2 2 4 2 9 5" xfId="20413" xr:uid="{00000000-0005-0000-0000-0000BD4F0000}"/>
    <cellStyle name="Normal 2 2 2 4 2 9 5 10" xfId="20414" xr:uid="{00000000-0005-0000-0000-0000BE4F0000}"/>
    <cellStyle name="Normal 2 2 2 4 2 9 5 2" xfId="20415" xr:uid="{00000000-0005-0000-0000-0000BF4F0000}"/>
    <cellStyle name="Normal 2 2 2 4 2 9 5 3" xfId="20416" xr:uid="{00000000-0005-0000-0000-0000C04F0000}"/>
    <cellStyle name="Normal 2 2 2 4 2 9 5 4" xfId="20417" xr:uid="{00000000-0005-0000-0000-0000C14F0000}"/>
    <cellStyle name="Normal 2 2 2 4 2 9 5 5" xfId="20418" xr:uid="{00000000-0005-0000-0000-0000C24F0000}"/>
    <cellStyle name="Normal 2 2 2 4 2 9 5 6" xfId="20419" xr:uid="{00000000-0005-0000-0000-0000C34F0000}"/>
    <cellStyle name="Normal 2 2 2 4 2 9 5 7" xfId="20420" xr:uid="{00000000-0005-0000-0000-0000C44F0000}"/>
    <cellStyle name="Normal 2 2 2 4 2 9 5 8" xfId="20421" xr:uid="{00000000-0005-0000-0000-0000C54F0000}"/>
    <cellStyle name="Normal 2 2 2 4 2 9 5 9" xfId="20422" xr:uid="{00000000-0005-0000-0000-0000C64F0000}"/>
    <cellStyle name="Normal 2 2 2 4 2 9 6" xfId="20423" xr:uid="{00000000-0005-0000-0000-0000C74F0000}"/>
    <cellStyle name="Normal 2 2 2 4 2 9 7" xfId="20424" xr:uid="{00000000-0005-0000-0000-0000C84F0000}"/>
    <cellStyle name="Normal 2 2 2 4 2 9 8" xfId="20425" xr:uid="{00000000-0005-0000-0000-0000C94F0000}"/>
    <cellStyle name="Normal 2 2 2 4 2 9 9" xfId="20426" xr:uid="{00000000-0005-0000-0000-0000CA4F0000}"/>
    <cellStyle name="Normal 2 2 2 4 20" xfId="20427" xr:uid="{00000000-0005-0000-0000-0000CB4F0000}"/>
    <cellStyle name="Normal 2 2 2 4 21" xfId="20428" xr:uid="{00000000-0005-0000-0000-0000CC4F0000}"/>
    <cellStyle name="Normal 2 2 2 4 22" xfId="20429" xr:uid="{00000000-0005-0000-0000-0000CD4F0000}"/>
    <cellStyle name="Normal 2 2 2 4 23" xfId="20430" xr:uid="{00000000-0005-0000-0000-0000CE4F0000}"/>
    <cellStyle name="Normal 2 2 2 4 24" xfId="20431" xr:uid="{00000000-0005-0000-0000-0000CF4F0000}"/>
    <cellStyle name="Normal 2 2 2 4 25" xfId="20432" xr:uid="{00000000-0005-0000-0000-0000D04F0000}"/>
    <cellStyle name="Normal 2 2 2 4 26" xfId="20433" xr:uid="{00000000-0005-0000-0000-0000D14F0000}"/>
    <cellStyle name="Normal 2 2 2 4 27" xfId="20434" xr:uid="{00000000-0005-0000-0000-0000D24F0000}"/>
    <cellStyle name="Normal 2 2 2 4 28" xfId="20435" xr:uid="{00000000-0005-0000-0000-0000D34F0000}"/>
    <cellStyle name="Normal 2 2 2 4 29" xfId="20436" xr:uid="{00000000-0005-0000-0000-0000D44F0000}"/>
    <cellStyle name="Normal 2 2 2 4 3" xfId="20437" xr:uid="{00000000-0005-0000-0000-0000D54F0000}"/>
    <cellStyle name="Normal 2 2 2 4 3 2" xfId="20438" xr:uid="{00000000-0005-0000-0000-0000D64F0000}"/>
    <cellStyle name="Normal 2 2 2 4 3 3" xfId="20439" xr:uid="{00000000-0005-0000-0000-0000D74F0000}"/>
    <cellStyle name="Normal 2 2 2 4 30" xfId="20440" xr:uid="{00000000-0005-0000-0000-0000D84F0000}"/>
    <cellStyle name="Normal 2 2 2 4 31" xfId="20441" xr:uid="{00000000-0005-0000-0000-0000D94F0000}"/>
    <cellStyle name="Normal 2 2 2 4 32" xfId="20442" xr:uid="{00000000-0005-0000-0000-0000DA4F0000}"/>
    <cellStyle name="Normal 2 2 2 4 33" xfId="20443" xr:uid="{00000000-0005-0000-0000-0000DB4F0000}"/>
    <cellStyle name="Normal 2 2 2 4 34" xfId="20444" xr:uid="{00000000-0005-0000-0000-0000DC4F0000}"/>
    <cellStyle name="Normal 2 2 2 4 34 10" xfId="20445" xr:uid="{00000000-0005-0000-0000-0000DD4F0000}"/>
    <cellStyle name="Normal 2 2 2 4 34 2" xfId="20446" xr:uid="{00000000-0005-0000-0000-0000DE4F0000}"/>
    <cellStyle name="Normal 2 2 2 4 34 3" xfId="20447" xr:uid="{00000000-0005-0000-0000-0000DF4F0000}"/>
    <cellStyle name="Normal 2 2 2 4 34 4" xfId="20448" xr:uid="{00000000-0005-0000-0000-0000E04F0000}"/>
    <cellStyle name="Normal 2 2 2 4 34 5" xfId="20449" xr:uid="{00000000-0005-0000-0000-0000E14F0000}"/>
    <cellStyle name="Normal 2 2 2 4 34 6" xfId="20450" xr:uid="{00000000-0005-0000-0000-0000E24F0000}"/>
    <cellStyle name="Normal 2 2 2 4 34 7" xfId="20451" xr:uid="{00000000-0005-0000-0000-0000E34F0000}"/>
    <cellStyle name="Normal 2 2 2 4 34 8" xfId="20452" xr:uid="{00000000-0005-0000-0000-0000E44F0000}"/>
    <cellStyle name="Normal 2 2 2 4 34 9" xfId="20453" xr:uid="{00000000-0005-0000-0000-0000E54F0000}"/>
    <cellStyle name="Normal 2 2 2 4 35" xfId="20454" xr:uid="{00000000-0005-0000-0000-0000E64F0000}"/>
    <cellStyle name="Normal 2 2 2 4 35 10" xfId="20455" xr:uid="{00000000-0005-0000-0000-0000E74F0000}"/>
    <cellStyle name="Normal 2 2 2 4 35 2" xfId="20456" xr:uid="{00000000-0005-0000-0000-0000E84F0000}"/>
    <cellStyle name="Normal 2 2 2 4 35 3" xfId="20457" xr:uid="{00000000-0005-0000-0000-0000E94F0000}"/>
    <cellStyle name="Normal 2 2 2 4 35 4" xfId="20458" xr:uid="{00000000-0005-0000-0000-0000EA4F0000}"/>
    <cellStyle name="Normal 2 2 2 4 35 5" xfId="20459" xr:uid="{00000000-0005-0000-0000-0000EB4F0000}"/>
    <cellStyle name="Normal 2 2 2 4 35 6" xfId="20460" xr:uid="{00000000-0005-0000-0000-0000EC4F0000}"/>
    <cellStyle name="Normal 2 2 2 4 35 7" xfId="20461" xr:uid="{00000000-0005-0000-0000-0000ED4F0000}"/>
    <cellStyle name="Normal 2 2 2 4 35 8" xfId="20462" xr:uid="{00000000-0005-0000-0000-0000EE4F0000}"/>
    <cellStyle name="Normal 2 2 2 4 35 9" xfId="20463" xr:uid="{00000000-0005-0000-0000-0000EF4F0000}"/>
    <cellStyle name="Normal 2 2 2 4 36" xfId="20464" xr:uid="{00000000-0005-0000-0000-0000F04F0000}"/>
    <cellStyle name="Normal 2 2 2 4 36 10" xfId="20465" xr:uid="{00000000-0005-0000-0000-0000F14F0000}"/>
    <cellStyle name="Normal 2 2 2 4 36 2" xfId="20466" xr:uid="{00000000-0005-0000-0000-0000F24F0000}"/>
    <cellStyle name="Normal 2 2 2 4 36 3" xfId="20467" xr:uid="{00000000-0005-0000-0000-0000F34F0000}"/>
    <cellStyle name="Normal 2 2 2 4 36 4" xfId="20468" xr:uid="{00000000-0005-0000-0000-0000F44F0000}"/>
    <cellStyle name="Normal 2 2 2 4 36 5" xfId="20469" xr:uid="{00000000-0005-0000-0000-0000F54F0000}"/>
    <cellStyle name="Normal 2 2 2 4 36 6" xfId="20470" xr:uid="{00000000-0005-0000-0000-0000F64F0000}"/>
    <cellStyle name="Normal 2 2 2 4 36 7" xfId="20471" xr:uid="{00000000-0005-0000-0000-0000F74F0000}"/>
    <cellStyle name="Normal 2 2 2 4 36 8" xfId="20472" xr:uid="{00000000-0005-0000-0000-0000F84F0000}"/>
    <cellStyle name="Normal 2 2 2 4 36 9" xfId="20473" xr:uid="{00000000-0005-0000-0000-0000F94F0000}"/>
    <cellStyle name="Normal 2 2 2 4 37" xfId="20474" xr:uid="{00000000-0005-0000-0000-0000FA4F0000}"/>
    <cellStyle name="Normal 2 2 2 4 37 10" xfId="20475" xr:uid="{00000000-0005-0000-0000-0000FB4F0000}"/>
    <cellStyle name="Normal 2 2 2 4 37 2" xfId="20476" xr:uid="{00000000-0005-0000-0000-0000FC4F0000}"/>
    <cellStyle name="Normal 2 2 2 4 37 3" xfId="20477" xr:uid="{00000000-0005-0000-0000-0000FD4F0000}"/>
    <cellStyle name="Normal 2 2 2 4 37 4" xfId="20478" xr:uid="{00000000-0005-0000-0000-0000FE4F0000}"/>
    <cellStyle name="Normal 2 2 2 4 37 5" xfId="20479" xr:uid="{00000000-0005-0000-0000-0000FF4F0000}"/>
    <cellStyle name="Normal 2 2 2 4 37 6" xfId="20480" xr:uid="{00000000-0005-0000-0000-000000500000}"/>
    <cellStyle name="Normal 2 2 2 4 37 7" xfId="20481" xr:uid="{00000000-0005-0000-0000-000001500000}"/>
    <cellStyle name="Normal 2 2 2 4 37 8" xfId="20482" xr:uid="{00000000-0005-0000-0000-000002500000}"/>
    <cellStyle name="Normal 2 2 2 4 37 9" xfId="20483" xr:uid="{00000000-0005-0000-0000-000003500000}"/>
    <cellStyle name="Normal 2 2 2 4 38" xfId="20484" xr:uid="{00000000-0005-0000-0000-000004500000}"/>
    <cellStyle name="Normal 2 2 2 4 39" xfId="20485" xr:uid="{00000000-0005-0000-0000-000005500000}"/>
    <cellStyle name="Normal 2 2 2 4 4" xfId="20486" xr:uid="{00000000-0005-0000-0000-000006500000}"/>
    <cellStyle name="Normal 2 2 2 4 40" xfId="20487" xr:uid="{00000000-0005-0000-0000-000007500000}"/>
    <cellStyle name="Normal 2 2 2 4 41" xfId="20488" xr:uid="{00000000-0005-0000-0000-000008500000}"/>
    <cellStyle name="Normal 2 2 2 4 42" xfId="20489" xr:uid="{00000000-0005-0000-0000-000009500000}"/>
    <cellStyle name="Normal 2 2 2 4 43" xfId="20490" xr:uid="{00000000-0005-0000-0000-00000A500000}"/>
    <cellStyle name="Normal 2 2 2 4 44" xfId="20491" xr:uid="{00000000-0005-0000-0000-00000B500000}"/>
    <cellStyle name="Normal 2 2 2 4 45" xfId="20492" xr:uid="{00000000-0005-0000-0000-00000C500000}"/>
    <cellStyle name="Normal 2 2 2 4 46" xfId="20493" xr:uid="{00000000-0005-0000-0000-00000D500000}"/>
    <cellStyle name="Normal 2 2 2 4 47" xfId="20494" xr:uid="{00000000-0005-0000-0000-00000E500000}"/>
    <cellStyle name="Normal 2 2 2 4 48" xfId="20495" xr:uid="{00000000-0005-0000-0000-00000F500000}"/>
    <cellStyle name="Normal 2 2 2 4 5" xfId="20496" xr:uid="{00000000-0005-0000-0000-000010500000}"/>
    <cellStyle name="Normal 2 2 2 4 6" xfId="20497" xr:uid="{00000000-0005-0000-0000-000011500000}"/>
    <cellStyle name="Normal 2 2 2 4 7" xfId="20498" xr:uid="{00000000-0005-0000-0000-000012500000}"/>
    <cellStyle name="Normal 2 2 2 4 8" xfId="20499" xr:uid="{00000000-0005-0000-0000-000013500000}"/>
    <cellStyle name="Normal 2 2 2 4 9" xfId="20500" xr:uid="{00000000-0005-0000-0000-000014500000}"/>
    <cellStyle name="Normal 2 2 2 40" xfId="20501" xr:uid="{00000000-0005-0000-0000-000015500000}"/>
    <cellStyle name="Normal 2 2 2 40 10" xfId="20502" xr:uid="{00000000-0005-0000-0000-000016500000}"/>
    <cellStyle name="Normal 2 2 2 40 2" xfId="20503" xr:uid="{00000000-0005-0000-0000-000017500000}"/>
    <cellStyle name="Normal 2 2 2 40 3" xfId="20504" xr:uid="{00000000-0005-0000-0000-000018500000}"/>
    <cellStyle name="Normal 2 2 2 40 4" xfId="20505" xr:uid="{00000000-0005-0000-0000-000019500000}"/>
    <cellStyle name="Normal 2 2 2 40 5" xfId="20506" xr:uid="{00000000-0005-0000-0000-00001A500000}"/>
    <cellStyle name="Normal 2 2 2 40 6" xfId="20507" xr:uid="{00000000-0005-0000-0000-00001B500000}"/>
    <cellStyle name="Normal 2 2 2 40 7" xfId="20508" xr:uid="{00000000-0005-0000-0000-00001C500000}"/>
    <cellStyle name="Normal 2 2 2 40 8" xfId="20509" xr:uid="{00000000-0005-0000-0000-00001D500000}"/>
    <cellStyle name="Normal 2 2 2 40 9" xfId="20510" xr:uid="{00000000-0005-0000-0000-00001E500000}"/>
    <cellStyle name="Normal 2 2 2 41" xfId="20511" xr:uid="{00000000-0005-0000-0000-00001F500000}"/>
    <cellStyle name="Normal 2 2 2 42" xfId="20512" xr:uid="{00000000-0005-0000-0000-000020500000}"/>
    <cellStyle name="Normal 2 2 2 43" xfId="20513" xr:uid="{00000000-0005-0000-0000-000021500000}"/>
    <cellStyle name="Normal 2 2 2 44" xfId="20514" xr:uid="{00000000-0005-0000-0000-000022500000}"/>
    <cellStyle name="Normal 2 2 2 45" xfId="20515" xr:uid="{00000000-0005-0000-0000-000023500000}"/>
    <cellStyle name="Normal 2 2 2 46" xfId="20516" xr:uid="{00000000-0005-0000-0000-000024500000}"/>
    <cellStyle name="Normal 2 2 2 47" xfId="20517" xr:uid="{00000000-0005-0000-0000-000025500000}"/>
    <cellStyle name="Normal 2 2 2 48" xfId="20518" xr:uid="{00000000-0005-0000-0000-000026500000}"/>
    <cellStyle name="Normal 2 2 2 49" xfId="20519" xr:uid="{00000000-0005-0000-0000-000027500000}"/>
    <cellStyle name="Normal 2 2 2 5" xfId="20520" xr:uid="{00000000-0005-0000-0000-000028500000}"/>
    <cellStyle name="Normal 2 2 2 5 10" xfId="20521" xr:uid="{00000000-0005-0000-0000-000029500000}"/>
    <cellStyle name="Normal 2 2 2 5 11" xfId="20522" xr:uid="{00000000-0005-0000-0000-00002A500000}"/>
    <cellStyle name="Normal 2 2 2 5 12" xfId="20523" xr:uid="{00000000-0005-0000-0000-00002B500000}"/>
    <cellStyle name="Normal 2 2 2 5 13" xfId="20524" xr:uid="{00000000-0005-0000-0000-00002C500000}"/>
    <cellStyle name="Normal 2 2 2 5 14" xfId="20525" xr:uid="{00000000-0005-0000-0000-00002D500000}"/>
    <cellStyle name="Normal 2 2 2 5 15" xfId="20526" xr:uid="{00000000-0005-0000-0000-00002E500000}"/>
    <cellStyle name="Normal 2 2 2 5 16" xfId="20527" xr:uid="{00000000-0005-0000-0000-00002F500000}"/>
    <cellStyle name="Normal 2 2 2 5 17" xfId="20528" xr:uid="{00000000-0005-0000-0000-000030500000}"/>
    <cellStyle name="Normal 2 2 2 5 18" xfId="20529" xr:uid="{00000000-0005-0000-0000-000031500000}"/>
    <cellStyle name="Normal 2 2 2 5 19" xfId="20530" xr:uid="{00000000-0005-0000-0000-000032500000}"/>
    <cellStyle name="Normal 2 2 2 5 2" xfId="20531" xr:uid="{00000000-0005-0000-0000-000033500000}"/>
    <cellStyle name="Normal 2 2 2 5 2 10" xfId="20532" xr:uid="{00000000-0005-0000-0000-000034500000}"/>
    <cellStyle name="Normal 2 2 2 5 2 10 10" xfId="20533" xr:uid="{00000000-0005-0000-0000-000035500000}"/>
    <cellStyle name="Normal 2 2 2 5 2 10 11" xfId="20534" xr:uid="{00000000-0005-0000-0000-000036500000}"/>
    <cellStyle name="Normal 2 2 2 5 2 10 12" xfId="20535" xr:uid="{00000000-0005-0000-0000-000037500000}"/>
    <cellStyle name="Normal 2 2 2 5 2 10 13" xfId="20536" xr:uid="{00000000-0005-0000-0000-000038500000}"/>
    <cellStyle name="Normal 2 2 2 5 2 10 14" xfId="20537" xr:uid="{00000000-0005-0000-0000-000039500000}"/>
    <cellStyle name="Normal 2 2 2 5 2 10 2" xfId="20538" xr:uid="{00000000-0005-0000-0000-00003A500000}"/>
    <cellStyle name="Normal 2 2 2 5 2 10 2 10" xfId="20539" xr:uid="{00000000-0005-0000-0000-00003B500000}"/>
    <cellStyle name="Normal 2 2 2 5 2 10 2 2" xfId="20540" xr:uid="{00000000-0005-0000-0000-00003C500000}"/>
    <cellStyle name="Normal 2 2 2 5 2 10 2 3" xfId="20541" xr:uid="{00000000-0005-0000-0000-00003D500000}"/>
    <cellStyle name="Normal 2 2 2 5 2 10 2 4" xfId="20542" xr:uid="{00000000-0005-0000-0000-00003E500000}"/>
    <cellStyle name="Normal 2 2 2 5 2 10 2 5" xfId="20543" xr:uid="{00000000-0005-0000-0000-00003F500000}"/>
    <cellStyle name="Normal 2 2 2 5 2 10 2 6" xfId="20544" xr:uid="{00000000-0005-0000-0000-000040500000}"/>
    <cellStyle name="Normal 2 2 2 5 2 10 2 7" xfId="20545" xr:uid="{00000000-0005-0000-0000-000041500000}"/>
    <cellStyle name="Normal 2 2 2 5 2 10 2 8" xfId="20546" xr:uid="{00000000-0005-0000-0000-000042500000}"/>
    <cellStyle name="Normal 2 2 2 5 2 10 2 9" xfId="20547" xr:uid="{00000000-0005-0000-0000-000043500000}"/>
    <cellStyle name="Normal 2 2 2 5 2 10 3" xfId="20548" xr:uid="{00000000-0005-0000-0000-000044500000}"/>
    <cellStyle name="Normal 2 2 2 5 2 10 3 10" xfId="20549" xr:uid="{00000000-0005-0000-0000-000045500000}"/>
    <cellStyle name="Normal 2 2 2 5 2 10 3 2" xfId="20550" xr:uid="{00000000-0005-0000-0000-000046500000}"/>
    <cellStyle name="Normal 2 2 2 5 2 10 3 3" xfId="20551" xr:uid="{00000000-0005-0000-0000-000047500000}"/>
    <cellStyle name="Normal 2 2 2 5 2 10 3 4" xfId="20552" xr:uid="{00000000-0005-0000-0000-000048500000}"/>
    <cellStyle name="Normal 2 2 2 5 2 10 3 5" xfId="20553" xr:uid="{00000000-0005-0000-0000-000049500000}"/>
    <cellStyle name="Normal 2 2 2 5 2 10 3 6" xfId="20554" xr:uid="{00000000-0005-0000-0000-00004A500000}"/>
    <cellStyle name="Normal 2 2 2 5 2 10 3 7" xfId="20555" xr:uid="{00000000-0005-0000-0000-00004B500000}"/>
    <cellStyle name="Normal 2 2 2 5 2 10 3 8" xfId="20556" xr:uid="{00000000-0005-0000-0000-00004C500000}"/>
    <cellStyle name="Normal 2 2 2 5 2 10 3 9" xfId="20557" xr:uid="{00000000-0005-0000-0000-00004D500000}"/>
    <cellStyle name="Normal 2 2 2 5 2 10 4" xfId="20558" xr:uid="{00000000-0005-0000-0000-00004E500000}"/>
    <cellStyle name="Normal 2 2 2 5 2 10 4 10" xfId="20559" xr:uid="{00000000-0005-0000-0000-00004F500000}"/>
    <cellStyle name="Normal 2 2 2 5 2 10 4 2" xfId="20560" xr:uid="{00000000-0005-0000-0000-000050500000}"/>
    <cellStyle name="Normal 2 2 2 5 2 10 4 3" xfId="20561" xr:uid="{00000000-0005-0000-0000-000051500000}"/>
    <cellStyle name="Normal 2 2 2 5 2 10 4 4" xfId="20562" xr:uid="{00000000-0005-0000-0000-000052500000}"/>
    <cellStyle name="Normal 2 2 2 5 2 10 4 5" xfId="20563" xr:uid="{00000000-0005-0000-0000-000053500000}"/>
    <cellStyle name="Normal 2 2 2 5 2 10 4 6" xfId="20564" xr:uid="{00000000-0005-0000-0000-000054500000}"/>
    <cellStyle name="Normal 2 2 2 5 2 10 4 7" xfId="20565" xr:uid="{00000000-0005-0000-0000-000055500000}"/>
    <cellStyle name="Normal 2 2 2 5 2 10 4 8" xfId="20566" xr:uid="{00000000-0005-0000-0000-000056500000}"/>
    <cellStyle name="Normal 2 2 2 5 2 10 4 9" xfId="20567" xr:uid="{00000000-0005-0000-0000-000057500000}"/>
    <cellStyle name="Normal 2 2 2 5 2 10 5" xfId="20568" xr:uid="{00000000-0005-0000-0000-000058500000}"/>
    <cellStyle name="Normal 2 2 2 5 2 10 5 10" xfId="20569" xr:uid="{00000000-0005-0000-0000-000059500000}"/>
    <cellStyle name="Normal 2 2 2 5 2 10 5 2" xfId="20570" xr:uid="{00000000-0005-0000-0000-00005A500000}"/>
    <cellStyle name="Normal 2 2 2 5 2 10 5 3" xfId="20571" xr:uid="{00000000-0005-0000-0000-00005B500000}"/>
    <cellStyle name="Normal 2 2 2 5 2 10 5 4" xfId="20572" xr:uid="{00000000-0005-0000-0000-00005C500000}"/>
    <cellStyle name="Normal 2 2 2 5 2 10 5 5" xfId="20573" xr:uid="{00000000-0005-0000-0000-00005D500000}"/>
    <cellStyle name="Normal 2 2 2 5 2 10 5 6" xfId="20574" xr:uid="{00000000-0005-0000-0000-00005E500000}"/>
    <cellStyle name="Normal 2 2 2 5 2 10 5 7" xfId="20575" xr:uid="{00000000-0005-0000-0000-00005F500000}"/>
    <cellStyle name="Normal 2 2 2 5 2 10 5 8" xfId="20576" xr:uid="{00000000-0005-0000-0000-000060500000}"/>
    <cellStyle name="Normal 2 2 2 5 2 10 5 9" xfId="20577" xr:uid="{00000000-0005-0000-0000-000061500000}"/>
    <cellStyle name="Normal 2 2 2 5 2 10 6" xfId="20578" xr:uid="{00000000-0005-0000-0000-000062500000}"/>
    <cellStyle name="Normal 2 2 2 5 2 10 7" xfId="20579" xr:uid="{00000000-0005-0000-0000-000063500000}"/>
    <cellStyle name="Normal 2 2 2 5 2 10 8" xfId="20580" xr:uid="{00000000-0005-0000-0000-000064500000}"/>
    <cellStyle name="Normal 2 2 2 5 2 10 9" xfId="20581" xr:uid="{00000000-0005-0000-0000-000065500000}"/>
    <cellStyle name="Normal 2 2 2 5 2 11" xfId="20582" xr:uid="{00000000-0005-0000-0000-000066500000}"/>
    <cellStyle name="Normal 2 2 2 5 2 11 10" xfId="20583" xr:uid="{00000000-0005-0000-0000-000067500000}"/>
    <cellStyle name="Normal 2 2 2 5 2 11 11" xfId="20584" xr:uid="{00000000-0005-0000-0000-000068500000}"/>
    <cellStyle name="Normal 2 2 2 5 2 11 12" xfId="20585" xr:uid="{00000000-0005-0000-0000-000069500000}"/>
    <cellStyle name="Normal 2 2 2 5 2 11 13" xfId="20586" xr:uid="{00000000-0005-0000-0000-00006A500000}"/>
    <cellStyle name="Normal 2 2 2 5 2 11 14" xfId="20587" xr:uid="{00000000-0005-0000-0000-00006B500000}"/>
    <cellStyle name="Normal 2 2 2 5 2 11 2" xfId="20588" xr:uid="{00000000-0005-0000-0000-00006C500000}"/>
    <cellStyle name="Normal 2 2 2 5 2 11 2 10" xfId="20589" xr:uid="{00000000-0005-0000-0000-00006D500000}"/>
    <cellStyle name="Normal 2 2 2 5 2 11 2 2" xfId="20590" xr:uid="{00000000-0005-0000-0000-00006E500000}"/>
    <cellStyle name="Normal 2 2 2 5 2 11 2 3" xfId="20591" xr:uid="{00000000-0005-0000-0000-00006F500000}"/>
    <cellStyle name="Normal 2 2 2 5 2 11 2 4" xfId="20592" xr:uid="{00000000-0005-0000-0000-000070500000}"/>
    <cellStyle name="Normal 2 2 2 5 2 11 2 5" xfId="20593" xr:uid="{00000000-0005-0000-0000-000071500000}"/>
    <cellStyle name="Normal 2 2 2 5 2 11 2 6" xfId="20594" xr:uid="{00000000-0005-0000-0000-000072500000}"/>
    <cellStyle name="Normal 2 2 2 5 2 11 2 7" xfId="20595" xr:uid="{00000000-0005-0000-0000-000073500000}"/>
    <cellStyle name="Normal 2 2 2 5 2 11 2 8" xfId="20596" xr:uid="{00000000-0005-0000-0000-000074500000}"/>
    <cellStyle name="Normal 2 2 2 5 2 11 2 9" xfId="20597" xr:uid="{00000000-0005-0000-0000-000075500000}"/>
    <cellStyle name="Normal 2 2 2 5 2 11 3" xfId="20598" xr:uid="{00000000-0005-0000-0000-000076500000}"/>
    <cellStyle name="Normal 2 2 2 5 2 11 3 10" xfId="20599" xr:uid="{00000000-0005-0000-0000-000077500000}"/>
    <cellStyle name="Normal 2 2 2 5 2 11 3 2" xfId="20600" xr:uid="{00000000-0005-0000-0000-000078500000}"/>
    <cellStyle name="Normal 2 2 2 5 2 11 3 3" xfId="20601" xr:uid="{00000000-0005-0000-0000-000079500000}"/>
    <cellStyle name="Normal 2 2 2 5 2 11 3 4" xfId="20602" xr:uid="{00000000-0005-0000-0000-00007A500000}"/>
    <cellStyle name="Normal 2 2 2 5 2 11 3 5" xfId="20603" xr:uid="{00000000-0005-0000-0000-00007B500000}"/>
    <cellStyle name="Normal 2 2 2 5 2 11 3 6" xfId="20604" xr:uid="{00000000-0005-0000-0000-00007C500000}"/>
    <cellStyle name="Normal 2 2 2 5 2 11 3 7" xfId="20605" xr:uid="{00000000-0005-0000-0000-00007D500000}"/>
    <cellStyle name="Normal 2 2 2 5 2 11 3 8" xfId="20606" xr:uid="{00000000-0005-0000-0000-00007E500000}"/>
    <cellStyle name="Normal 2 2 2 5 2 11 3 9" xfId="20607" xr:uid="{00000000-0005-0000-0000-00007F500000}"/>
    <cellStyle name="Normal 2 2 2 5 2 11 4" xfId="20608" xr:uid="{00000000-0005-0000-0000-000080500000}"/>
    <cellStyle name="Normal 2 2 2 5 2 11 4 10" xfId="20609" xr:uid="{00000000-0005-0000-0000-000081500000}"/>
    <cellStyle name="Normal 2 2 2 5 2 11 4 2" xfId="20610" xr:uid="{00000000-0005-0000-0000-000082500000}"/>
    <cellStyle name="Normal 2 2 2 5 2 11 4 3" xfId="20611" xr:uid="{00000000-0005-0000-0000-000083500000}"/>
    <cellStyle name="Normal 2 2 2 5 2 11 4 4" xfId="20612" xr:uid="{00000000-0005-0000-0000-000084500000}"/>
    <cellStyle name="Normal 2 2 2 5 2 11 4 5" xfId="20613" xr:uid="{00000000-0005-0000-0000-000085500000}"/>
    <cellStyle name="Normal 2 2 2 5 2 11 4 6" xfId="20614" xr:uid="{00000000-0005-0000-0000-000086500000}"/>
    <cellStyle name="Normal 2 2 2 5 2 11 4 7" xfId="20615" xr:uid="{00000000-0005-0000-0000-000087500000}"/>
    <cellStyle name="Normal 2 2 2 5 2 11 4 8" xfId="20616" xr:uid="{00000000-0005-0000-0000-000088500000}"/>
    <cellStyle name="Normal 2 2 2 5 2 11 4 9" xfId="20617" xr:uid="{00000000-0005-0000-0000-000089500000}"/>
    <cellStyle name="Normal 2 2 2 5 2 11 5" xfId="20618" xr:uid="{00000000-0005-0000-0000-00008A500000}"/>
    <cellStyle name="Normal 2 2 2 5 2 11 5 10" xfId="20619" xr:uid="{00000000-0005-0000-0000-00008B500000}"/>
    <cellStyle name="Normal 2 2 2 5 2 11 5 2" xfId="20620" xr:uid="{00000000-0005-0000-0000-00008C500000}"/>
    <cellStyle name="Normal 2 2 2 5 2 11 5 3" xfId="20621" xr:uid="{00000000-0005-0000-0000-00008D500000}"/>
    <cellStyle name="Normal 2 2 2 5 2 11 5 4" xfId="20622" xr:uid="{00000000-0005-0000-0000-00008E500000}"/>
    <cellStyle name="Normal 2 2 2 5 2 11 5 5" xfId="20623" xr:uid="{00000000-0005-0000-0000-00008F500000}"/>
    <cellStyle name="Normal 2 2 2 5 2 11 5 6" xfId="20624" xr:uid="{00000000-0005-0000-0000-000090500000}"/>
    <cellStyle name="Normal 2 2 2 5 2 11 5 7" xfId="20625" xr:uid="{00000000-0005-0000-0000-000091500000}"/>
    <cellStyle name="Normal 2 2 2 5 2 11 5 8" xfId="20626" xr:uid="{00000000-0005-0000-0000-000092500000}"/>
    <cellStyle name="Normal 2 2 2 5 2 11 5 9" xfId="20627" xr:uid="{00000000-0005-0000-0000-000093500000}"/>
    <cellStyle name="Normal 2 2 2 5 2 11 6" xfId="20628" xr:uid="{00000000-0005-0000-0000-000094500000}"/>
    <cellStyle name="Normal 2 2 2 5 2 11 7" xfId="20629" xr:uid="{00000000-0005-0000-0000-000095500000}"/>
    <cellStyle name="Normal 2 2 2 5 2 11 8" xfId="20630" xr:uid="{00000000-0005-0000-0000-000096500000}"/>
    <cellStyle name="Normal 2 2 2 5 2 11 9" xfId="20631" xr:uid="{00000000-0005-0000-0000-000097500000}"/>
    <cellStyle name="Normal 2 2 2 5 2 12" xfId="20632" xr:uid="{00000000-0005-0000-0000-000098500000}"/>
    <cellStyle name="Normal 2 2 2 5 2 12 10" xfId="20633" xr:uid="{00000000-0005-0000-0000-000099500000}"/>
    <cellStyle name="Normal 2 2 2 5 2 12 11" xfId="20634" xr:uid="{00000000-0005-0000-0000-00009A500000}"/>
    <cellStyle name="Normal 2 2 2 5 2 12 12" xfId="20635" xr:uid="{00000000-0005-0000-0000-00009B500000}"/>
    <cellStyle name="Normal 2 2 2 5 2 12 13" xfId="20636" xr:uid="{00000000-0005-0000-0000-00009C500000}"/>
    <cellStyle name="Normal 2 2 2 5 2 12 14" xfId="20637" xr:uid="{00000000-0005-0000-0000-00009D500000}"/>
    <cellStyle name="Normal 2 2 2 5 2 12 2" xfId="20638" xr:uid="{00000000-0005-0000-0000-00009E500000}"/>
    <cellStyle name="Normal 2 2 2 5 2 12 2 10" xfId="20639" xr:uid="{00000000-0005-0000-0000-00009F500000}"/>
    <cellStyle name="Normal 2 2 2 5 2 12 2 2" xfId="20640" xr:uid="{00000000-0005-0000-0000-0000A0500000}"/>
    <cellStyle name="Normal 2 2 2 5 2 12 2 3" xfId="20641" xr:uid="{00000000-0005-0000-0000-0000A1500000}"/>
    <cellStyle name="Normal 2 2 2 5 2 12 2 4" xfId="20642" xr:uid="{00000000-0005-0000-0000-0000A2500000}"/>
    <cellStyle name="Normal 2 2 2 5 2 12 2 5" xfId="20643" xr:uid="{00000000-0005-0000-0000-0000A3500000}"/>
    <cellStyle name="Normal 2 2 2 5 2 12 2 6" xfId="20644" xr:uid="{00000000-0005-0000-0000-0000A4500000}"/>
    <cellStyle name="Normal 2 2 2 5 2 12 2 7" xfId="20645" xr:uid="{00000000-0005-0000-0000-0000A5500000}"/>
    <cellStyle name="Normal 2 2 2 5 2 12 2 8" xfId="20646" xr:uid="{00000000-0005-0000-0000-0000A6500000}"/>
    <cellStyle name="Normal 2 2 2 5 2 12 2 9" xfId="20647" xr:uid="{00000000-0005-0000-0000-0000A7500000}"/>
    <cellStyle name="Normal 2 2 2 5 2 12 3" xfId="20648" xr:uid="{00000000-0005-0000-0000-0000A8500000}"/>
    <cellStyle name="Normal 2 2 2 5 2 12 3 10" xfId="20649" xr:uid="{00000000-0005-0000-0000-0000A9500000}"/>
    <cellStyle name="Normal 2 2 2 5 2 12 3 2" xfId="20650" xr:uid="{00000000-0005-0000-0000-0000AA500000}"/>
    <cellStyle name="Normal 2 2 2 5 2 12 3 3" xfId="20651" xr:uid="{00000000-0005-0000-0000-0000AB500000}"/>
    <cellStyle name="Normal 2 2 2 5 2 12 3 4" xfId="20652" xr:uid="{00000000-0005-0000-0000-0000AC500000}"/>
    <cellStyle name="Normal 2 2 2 5 2 12 3 5" xfId="20653" xr:uid="{00000000-0005-0000-0000-0000AD500000}"/>
    <cellStyle name="Normal 2 2 2 5 2 12 3 6" xfId="20654" xr:uid="{00000000-0005-0000-0000-0000AE500000}"/>
    <cellStyle name="Normal 2 2 2 5 2 12 3 7" xfId="20655" xr:uid="{00000000-0005-0000-0000-0000AF500000}"/>
    <cellStyle name="Normal 2 2 2 5 2 12 3 8" xfId="20656" xr:uid="{00000000-0005-0000-0000-0000B0500000}"/>
    <cellStyle name="Normal 2 2 2 5 2 12 3 9" xfId="20657" xr:uid="{00000000-0005-0000-0000-0000B1500000}"/>
    <cellStyle name="Normal 2 2 2 5 2 12 4" xfId="20658" xr:uid="{00000000-0005-0000-0000-0000B2500000}"/>
    <cellStyle name="Normal 2 2 2 5 2 12 4 10" xfId="20659" xr:uid="{00000000-0005-0000-0000-0000B3500000}"/>
    <cellStyle name="Normal 2 2 2 5 2 12 4 2" xfId="20660" xr:uid="{00000000-0005-0000-0000-0000B4500000}"/>
    <cellStyle name="Normal 2 2 2 5 2 12 4 3" xfId="20661" xr:uid="{00000000-0005-0000-0000-0000B5500000}"/>
    <cellStyle name="Normal 2 2 2 5 2 12 4 4" xfId="20662" xr:uid="{00000000-0005-0000-0000-0000B6500000}"/>
    <cellStyle name="Normal 2 2 2 5 2 12 4 5" xfId="20663" xr:uid="{00000000-0005-0000-0000-0000B7500000}"/>
    <cellStyle name="Normal 2 2 2 5 2 12 4 6" xfId="20664" xr:uid="{00000000-0005-0000-0000-0000B8500000}"/>
    <cellStyle name="Normal 2 2 2 5 2 12 4 7" xfId="20665" xr:uid="{00000000-0005-0000-0000-0000B9500000}"/>
    <cellStyle name="Normal 2 2 2 5 2 12 4 8" xfId="20666" xr:uid="{00000000-0005-0000-0000-0000BA500000}"/>
    <cellStyle name="Normal 2 2 2 5 2 12 4 9" xfId="20667" xr:uid="{00000000-0005-0000-0000-0000BB500000}"/>
    <cellStyle name="Normal 2 2 2 5 2 12 5" xfId="20668" xr:uid="{00000000-0005-0000-0000-0000BC500000}"/>
    <cellStyle name="Normal 2 2 2 5 2 12 5 10" xfId="20669" xr:uid="{00000000-0005-0000-0000-0000BD500000}"/>
    <cellStyle name="Normal 2 2 2 5 2 12 5 2" xfId="20670" xr:uid="{00000000-0005-0000-0000-0000BE500000}"/>
    <cellStyle name="Normal 2 2 2 5 2 12 5 3" xfId="20671" xr:uid="{00000000-0005-0000-0000-0000BF500000}"/>
    <cellStyle name="Normal 2 2 2 5 2 12 5 4" xfId="20672" xr:uid="{00000000-0005-0000-0000-0000C0500000}"/>
    <cellStyle name="Normal 2 2 2 5 2 12 5 5" xfId="20673" xr:uid="{00000000-0005-0000-0000-0000C1500000}"/>
    <cellStyle name="Normal 2 2 2 5 2 12 5 6" xfId="20674" xr:uid="{00000000-0005-0000-0000-0000C2500000}"/>
    <cellStyle name="Normal 2 2 2 5 2 12 5 7" xfId="20675" xr:uid="{00000000-0005-0000-0000-0000C3500000}"/>
    <cellStyle name="Normal 2 2 2 5 2 12 5 8" xfId="20676" xr:uid="{00000000-0005-0000-0000-0000C4500000}"/>
    <cellStyle name="Normal 2 2 2 5 2 12 5 9" xfId="20677" xr:uid="{00000000-0005-0000-0000-0000C5500000}"/>
    <cellStyle name="Normal 2 2 2 5 2 12 6" xfId="20678" xr:uid="{00000000-0005-0000-0000-0000C6500000}"/>
    <cellStyle name="Normal 2 2 2 5 2 12 7" xfId="20679" xr:uid="{00000000-0005-0000-0000-0000C7500000}"/>
    <cellStyle name="Normal 2 2 2 5 2 12 8" xfId="20680" xr:uid="{00000000-0005-0000-0000-0000C8500000}"/>
    <cellStyle name="Normal 2 2 2 5 2 12 9" xfId="20681" xr:uid="{00000000-0005-0000-0000-0000C9500000}"/>
    <cellStyle name="Normal 2 2 2 5 2 13" xfId="20682" xr:uid="{00000000-0005-0000-0000-0000CA500000}"/>
    <cellStyle name="Normal 2 2 2 5 2 13 10" xfId="20683" xr:uid="{00000000-0005-0000-0000-0000CB500000}"/>
    <cellStyle name="Normal 2 2 2 5 2 13 11" xfId="20684" xr:uid="{00000000-0005-0000-0000-0000CC500000}"/>
    <cellStyle name="Normal 2 2 2 5 2 13 12" xfId="20685" xr:uid="{00000000-0005-0000-0000-0000CD500000}"/>
    <cellStyle name="Normal 2 2 2 5 2 13 13" xfId="20686" xr:uid="{00000000-0005-0000-0000-0000CE500000}"/>
    <cellStyle name="Normal 2 2 2 5 2 13 14" xfId="20687" xr:uid="{00000000-0005-0000-0000-0000CF500000}"/>
    <cellStyle name="Normal 2 2 2 5 2 13 2" xfId="20688" xr:uid="{00000000-0005-0000-0000-0000D0500000}"/>
    <cellStyle name="Normal 2 2 2 5 2 13 2 10" xfId="20689" xr:uid="{00000000-0005-0000-0000-0000D1500000}"/>
    <cellStyle name="Normal 2 2 2 5 2 13 2 2" xfId="20690" xr:uid="{00000000-0005-0000-0000-0000D2500000}"/>
    <cellStyle name="Normal 2 2 2 5 2 13 2 3" xfId="20691" xr:uid="{00000000-0005-0000-0000-0000D3500000}"/>
    <cellStyle name="Normal 2 2 2 5 2 13 2 4" xfId="20692" xr:uid="{00000000-0005-0000-0000-0000D4500000}"/>
    <cellStyle name="Normal 2 2 2 5 2 13 2 5" xfId="20693" xr:uid="{00000000-0005-0000-0000-0000D5500000}"/>
    <cellStyle name="Normal 2 2 2 5 2 13 2 6" xfId="20694" xr:uid="{00000000-0005-0000-0000-0000D6500000}"/>
    <cellStyle name="Normal 2 2 2 5 2 13 2 7" xfId="20695" xr:uid="{00000000-0005-0000-0000-0000D7500000}"/>
    <cellStyle name="Normal 2 2 2 5 2 13 2 8" xfId="20696" xr:uid="{00000000-0005-0000-0000-0000D8500000}"/>
    <cellStyle name="Normal 2 2 2 5 2 13 2 9" xfId="20697" xr:uid="{00000000-0005-0000-0000-0000D9500000}"/>
    <cellStyle name="Normal 2 2 2 5 2 13 3" xfId="20698" xr:uid="{00000000-0005-0000-0000-0000DA500000}"/>
    <cellStyle name="Normal 2 2 2 5 2 13 3 10" xfId="20699" xr:uid="{00000000-0005-0000-0000-0000DB500000}"/>
    <cellStyle name="Normal 2 2 2 5 2 13 3 2" xfId="20700" xr:uid="{00000000-0005-0000-0000-0000DC500000}"/>
    <cellStyle name="Normal 2 2 2 5 2 13 3 3" xfId="20701" xr:uid="{00000000-0005-0000-0000-0000DD500000}"/>
    <cellStyle name="Normal 2 2 2 5 2 13 3 4" xfId="20702" xr:uid="{00000000-0005-0000-0000-0000DE500000}"/>
    <cellStyle name="Normal 2 2 2 5 2 13 3 5" xfId="20703" xr:uid="{00000000-0005-0000-0000-0000DF500000}"/>
    <cellStyle name="Normal 2 2 2 5 2 13 3 6" xfId="20704" xr:uid="{00000000-0005-0000-0000-0000E0500000}"/>
    <cellStyle name="Normal 2 2 2 5 2 13 3 7" xfId="20705" xr:uid="{00000000-0005-0000-0000-0000E1500000}"/>
    <cellStyle name="Normal 2 2 2 5 2 13 3 8" xfId="20706" xr:uid="{00000000-0005-0000-0000-0000E2500000}"/>
    <cellStyle name="Normal 2 2 2 5 2 13 3 9" xfId="20707" xr:uid="{00000000-0005-0000-0000-0000E3500000}"/>
    <cellStyle name="Normal 2 2 2 5 2 13 4" xfId="20708" xr:uid="{00000000-0005-0000-0000-0000E4500000}"/>
    <cellStyle name="Normal 2 2 2 5 2 13 4 10" xfId="20709" xr:uid="{00000000-0005-0000-0000-0000E5500000}"/>
    <cellStyle name="Normal 2 2 2 5 2 13 4 2" xfId="20710" xr:uid="{00000000-0005-0000-0000-0000E6500000}"/>
    <cellStyle name="Normal 2 2 2 5 2 13 4 3" xfId="20711" xr:uid="{00000000-0005-0000-0000-0000E7500000}"/>
    <cellStyle name="Normal 2 2 2 5 2 13 4 4" xfId="20712" xr:uid="{00000000-0005-0000-0000-0000E8500000}"/>
    <cellStyle name="Normal 2 2 2 5 2 13 4 5" xfId="20713" xr:uid="{00000000-0005-0000-0000-0000E9500000}"/>
    <cellStyle name="Normal 2 2 2 5 2 13 4 6" xfId="20714" xr:uid="{00000000-0005-0000-0000-0000EA500000}"/>
    <cellStyle name="Normal 2 2 2 5 2 13 4 7" xfId="20715" xr:uid="{00000000-0005-0000-0000-0000EB500000}"/>
    <cellStyle name="Normal 2 2 2 5 2 13 4 8" xfId="20716" xr:uid="{00000000-0005-0000-0000-0000EC500000}"/>
    <cellStyle name="Normal 2 2 2 5 2 13 4 9" xfId="20717" xr:uid="{00000000-0005-0000-0000-0000ED500000}"/>
    <cellStyle name="Normal 2 2 2 5 2 13 5" xfId="20718" xr:uid="{00000000-0005-0000-0000-0000EE500000}"/>
    <cellStyle name="Normal 2 2 2 5 2 13 5 10" xfId="20719" xr:uid="{00000000-0005-0000-0000-0000EF500000}"/>
    <cellStyle name="Normal 2 2 2 5 2 13 5 2" xfId="20720" xr:uid="{00000000-0005-0000-0000-0000F0500000}"/>
    <cellStyle name="Normal 2 2 2 5 2 13 5 3" xfId="20721" xr:uid="{00000000-0005-0000-0000-0000F1500000}"/>
    <cellStyle name="Normal 2 2 2 5 2 13 5 4" xfId="20722" xr:uid="{00000000-0005-0000-0000-0000F2500000}"/>
    <cellStyle name="Normal 2 2 2 5 2 13 5 5" xfId="20723" xr:uid="{00000000-0005-0000-0000-0000F3500000}"/>
    <cellStyle name="Normal 2 2 2 5 2 13 5 6" xfId="20724" xr:uid="{00000000-0005-0000-0000-0000F4500000}"/>
    <cellStyle name="Normal 2 2 2 5 2 13 5 7" xfId="20725" xr:uid="{00000000-0005-0000-0000-0000F5500000}"/>
    <cellStyle name="Normal 2 2 2 5 2 13 5 8" xfId="20726" xr:uid="{00000000-0005-0000-0000-0000F6500000}"/>
    <cellStyle name="Normal 2 2 2 5 2 13 5 9" xfId="20727" xr:uid="{00000000-0005-0000-0000-0000F7500000}"/>
    <cellStyle name="Normal 2 2 2 5 2 13 6" xfId="20728" xr:uid="{00000000-0005-0000-0000-0000F8500000}"/>
    <cellStyle name="Normal 2 2 2 5 2 13 7" xfId="20729" xr:uid="{00000000-0005-0000-0000-0000F9500000}"/>
    <cellStyle name="Normal 2 2 2 5 2 13 8" xfId="20730" xr:uid="{00000000-0005-0000-0000-0000FA500000}"/>
    <cellStyle name="Normal 2 2 2 5 2 13 9" xfId="20731" xr:uid="{00000000-0005-0000-0000-0000FB500000}"/>
    <cellStyle name="Normal 2 2 2 5 2 14" xfId="20732" xr:uid="{00000000-0005-0000-0000-0000FC500000}"/>
    <cellStyle name="Normal 2 2 2 5 2 14 10" xfId="20733" xr:uid="{00000000-0005-0000-0000-0000FD500000}"/>
    <cellStyle name="Normal 2 2 2 5 2 14 11" xfId="20734" xr:uid="{00000000-0005-0000-0000-0000FE500000}"/>
    <cellStyle name="Normal 2 2 2 5 2 14 12" xfId="20735" xr:uid="{00000000-0005-0000-0000-0000FF500000}"/>
    <cellStyle name="Normal 2 2 2 5 2 14 13" xfId="20736" xr:uid="{00000000-0005-0000-0000-000000510000}"/>
    <cellStyle name="Normal 2 2 2 5 2 14 14" xfId="20737" xr:uid="{00000000-0005-0000-0000-000001510000}"/>
    <cellStyle name="Normal 2 2 2 5 2 14 2" xfId="20738" xr:uid="{00000000-0005-0000-0000-000002510000}"/>
    <cellStyle name="Normal 2 2 2 5 2 14 2 10" xfId="20739" xr:uid="{00000000-0005-0000-0000-000003510000}"/>
    <cellStyle name="Normal 2 2 2 5 2 14 2 2" xfId="20740" xr:uid="{00000000-0005-0000-0000-000004510000}"/>
    <cellStyle name="Normal 2 2 2 5 2 14 2 3" xfId="20741" xr:uid="{00000000-0005-0000-0000-000005510000}"/>
    <cellStyle name="Normal 2 2 2 5 2 14 2 4" xfId="20742" xr:uid="{00000000-0005-0000-0000-000006510000}"/>
    <cellStyle name="Normal 2 2 2 5 2 14 2 5" xfId="20743" xr:uid="{00000000-0005-0000-0000-000007510000}"/>
    <cellStyle name="Normal 2 2 2 5 2 14 2 6" xfId="20744" xr:uid="{00000000-0005-0000-0000-000008510000}"/>
    <cellStyle name="Normal 2 2 2 5 2 14 2 7" xfId="20745" xr:uid="{00000000-0005-0000-0000-000009510000}"/>
    <cellStyle name="Normal 2 2 2 5 2 14 2 8" xfId="20746" xr:uid="{00000000-0005-0000-0000-00000A510000}"/>
    <cellStyle name="Normal 2 2 2 5 2 14 2 9" xfId="20747" xr:uid="{00000000-0005-0000-0000-00000B510000}"/>
    <cellStyle name="Normal 2 2 2 5 2 14 3" xfId="20748" xr:uid="{00000000-0005-0000-0000-00000C510000}"/>
    <cellStyle name="Normal 2 2 2 5 2 14 3 10" xfId="20749" xr:uid="{00000000-0005-0000-0000-00000D510000}"/>
    <cellStyle name="Normal 2 2 2 5 2 14 3 2" xfId="20750" xr:uid="{00000000-0005-0000-0000-00000E510000}"/>
    <cellStyle name="Normal 2 2 2 5 2 14 3 3" xfId="20751" xr:uid="{00000000-0005-0000-0000-00000F510000}"/>
    <cellStyle name="Normal 2 2 2 5 2 14 3 4" xfId="20752" xr:uid="{00000000-0005-0000-0000-000010510000}"/>
    <cellStyle name="Normal 2 2 2 5 2 14 3 5" xfId="20753" xr:uid="{00000000-0005-0000-0000-000011510000}"/>
    <cellStyle name="Normal 2 2 2 5 2 14 3 6" xfId="20754" xr:uid="{00000000-0005-0000-0000-000012510000}"/>
    <cellStyle name="Normal 2 2 2 5 2 14 3 7" xfId="20755" xr:uid="{00000000-0005-0000-0000-000013510000}"/>
    <cellStyle name="Normal 2 2 2 5 2 14 3 8" xfId="20756" xr:uid="{00000000-0005-0000-0000-000014510000}"/>
    <cellStyle name="Normal 2 2 2 5 2 14 3 9" xfId="20757" xr:uid="{00000000-0005-0000-0000-000015510000}"/>
    <cellStyle name="Normal 2 2 2 5 2 14 4" xfId="20758" xr:uid="{00000000-0005-0000-0000-000016510000}"/>
    <cellStyle name="Normal 2 2 2 5 2 14 4 10" xfId="20759" xr:uid="{00000000-0005-0000-0000-000017510000}"/>
    <cellStyle name="Normal 2 2 2 5 2 14 4 2" xfId="20760" xr:uid="{00000000-0005-0000-0000-000018510000}"/>
    <cellStyle name="Normal 2 2 2 5 2 14 4 3" xfId="20761" xr:uid="{00000000-0005-0000-0000-000019510000}"/>
    <cellStyle name="Normal 2 2 2 5 2 14 4 4" xfId="20762" xr:uid="{00000000-0005-0000-0000-00001A510000}"/>
    <cellStyle name="Normal 2 2 2 5 2 14 4 5" xfId="20763" xr:uid="{00000000-0005-0000-0000-00001B510000}"/>
    <cellStyle name="Normal 2 2 2 5 2 14 4 6" xfId="20764" xr:uid="{00000000-0005-0000-0000-00001C510000}"/>
    <cellStyle name="Normal 2 2 2 5 2 14 4 7" xfId="20765" xr:uid="{00000000-0005-0000-0000-00001D510000}"/>
    <cellStyle name="Normal 2 2 2 5 2 14 4 8" xfId="20766" xr:uid="{00000000-0005-0000-0000-00001E510000}"/>
    <cellStyle name="Normal 2 2 2 5 2 14 4 9" xfId="20767" xr:uid="{00000000-0005-0000-0000-00001F510000}"/>
    <cellStyle name="Normal 2 2 2 5 2 14 5" xfId="20768" xr:uid="{00000000-0005-0000-0000-000020510000}"/>
    <cellStyle name="Normal 2 2 2 5 2 14 5 10" xfId="20769" xr:uid="{00000000-0005-0000-0000-000021510000}"/>
    <cellStyle name="Normal 2 2 2 5 2 14 5 2" xfId="20770" xr:uid="{00000000-0005-0000-0000-000022510000}"/>
    <cellStyle name="Normal 2 2 2 5 2 14 5 3" xfId="20771" xr:uid="{00000000-0005-0000-0000-000023510000}"/>
    <cellStyle name="Normal 2 2 2 5 2 14 5 4" xfId="20772" xr:uid="{00000000-0005-0000-0000-000024510000}"/>
    <cellStyle name="Normal 2 2 2 5 2 14 5 5" xfId="20773" xr:uid="{00000000-0005-0000-0000-000025510000}"/>
    <cellStyle name="Normal 2 2 2 5 2 14 5 6" xfId="20774" xr:uid="{00000000-0005-0000-0000-000026510000}"/>
    <cellStyle name="Normal 2 2 2 5 2 14 5 7" xfId="20775" xr:uid="{00000000-0005-0000-0000-000027510000}"/>
    <cellStyle name="Normal 2 2 2 5 2 14 5 8" xfId="20776" xr:uid="{00000000-0005-0000-0000-000028510000}"/>
    <cellStyle name="Normal 2 2 2 5 2 14 5 9" xfId="20777" xr:uid="{00000000-0005-0000-0000-000029510000}"/>
    <cellStyle name="Normal 2 2 2 5 2 14 6" xfId="20778" xr:uid="{00000000-0005-0000-0000-00002A510000}"/>
    <cellStyle name="Normal 2 2 2 5 2 14 7" xfId="20779" xr:uid="{00000000-0005-0000-0000-00002B510000}"/>
    <cellStyle name="Normal 2 2 2 5 2 14 8" xfId="20780" xr:uid="{00000000-0005-0000-0000-00002C510000}"/>
    <cellStyle name="Normal 2 2 2 5 2 14 9" xfId="20781" xr:uid="{00000000-0005-0000-0000-00002D510000}"/>
    <cellStyle name="Normal 2 2 2 5 2 15" xfId="20782" xr:uid="{00000000-0005-0000-0000-00002E510000}"/>
    <cellStyle name="Normal 2 2 2 5 2 15 10" xfId="20783" xr:uid="{00000000-0005-0000-0000-00002F510000}"/>
    <cellStyle name="Normal 2 2 2 5 2 15 11" xfId="20784" xr:uid="{00000000-0005-0000-0000-000030510000}"/>
    <cellStyle name="Normal 2 2 2 5 2 15 12" xfId="20785" xr:uid="{00000000-0005-0000-0000-000031510000}"/>
    <cellStyle name="Normal 2 2 2 5 2 15 13" xfId="20786" xr:uid="{00000000-0005-0000-0000-000032510000}"/>
    <cellStyle name="Normal 2 2 2 5 2 15 14" xfId="20787" xr:uid="{00000000-0005-0000-0000-000033510000}"/>
    <cellStyle name="Normal 2 2 2 5 2 15 2" xfId="20788" xr:uid="{00000000-0005-0000-0000-000034510000}"/>
    <cellStyle name="Normal 2 2 2 5 2 15 2 10" xfId="20789" xr:uid="{00000000-0005-0000-0000-000035510000}"/>
    <cellStyle name="Normal 2 2 2 5 2 15 2 2" xfId="20790" xr:uid="{00000000-0005-0000-0000-000036510000}"/>
    <cellStyle name="Normal 2 2 2 5 2 15 2 3" xfId="20791" xr:uid="{00000000-0005-0000-0000-000037510000}"/>
    <cellStyle name="Normal 2 2 2 5 2 15 2 4" xfId="20792" xr:uid="{00000000-0005-0000-0000-000038510000}"/>
    <cellStyle name="Normal 2 2 2 5 2 15 2 5" xfId="20793" xr:uid="{00000000-0005-0000-0000-000039510000}"/>
    <cellStyle name="Normal 2 2 2 5 2 15 2 6" xfId="20794" xr:uid="{00000000-0005-0000-0000-00003A510000}"/>
    <cellStyle name="Normal 2 2 2 5 2 15 2 7" xfId="20795" xr:uid="{00000000-0005-0000-0000-00003B510000}"/>
    <cellStyle name="Normal 2 2 2 5 2 15 2 8" xfId="20796" xr:uid="{00000000-0005-0000-0000-00003C510000}"/>
    <cellStyle name="Normal 2 2 2 5 2 15 2 9" xfId="20797" xr:uid="{00000000-0005-0000-0000-00003D510000}"/>
    <cellStyle name="Normal 2 2 2 5 2 15 3" xfId="20798" xr:uid="{00000000-0005-0000-0000-00003E510000}"/>
    <cellStyle name="Normal 2 2 2 5 2 15 3 10" xfId="20799" xr:uid="{00000000-0005-0000-0000-00003F510000}"/>
    <cellStyle name="Normal 2 2 2 5 2 15 3 2" xfId="20800" xr:uid="{00000000-0005-0000-0000-000040510000}"/>
    <cellStyle name="Normal 2 2 2 5 2 15 3 3" xfId="20801" xr:uid="{00000000-0005-0000-0000-000041510000}"/>
    <cellStyle name="Normal 2 2 2 5 2 15 3 4" xfId="20802" xr:uid="{00000000-0005-0000-0000-000042510000}"/>
    <cellStyle name="Normal 2 2 2 5 2 15 3 5" xfId="20803" xr:uid="{00000000-0005-0000-0000-000043510000}"/>
    <cellStyle name="Normal 2 2 2 5 2 15 3 6" xfId="20804" xr:uid="{00000000-0005-0000-0000-000044510000}"/>
    <cellStyle name="Normal 2 2 2 5 2 15 3 7" xfId="20805" xr:uid="{00000000-0005-0000-0000-000045510000}"/>
    <cellStyle name="Normal 2 2 2 5 2 15 3 8" xfId="20806" xr:uid="{00000000-0005-0000-0000-000046510000}"/>
    <cellStyle name="Normal 2 2 2 5 2 15 3 9" xfId="20807" xr:uid="{00000000-0005-0000-0000-000047510000}"/>
    <cellStyle name="Normal 2 2 2 5 2 15 4" xfId="20808" xr:uid="{00000000-0005-0000-0000-000048510000}"/>
    <cellStyle name="Normal 2 2 2 5 2 15 4 10" xfId="20809" xr:uid="{00000000-0005-0000-0000-000049510000}"/>
    <cellStyle name="Normal 2 2 2 5 2 15 4 2" xfId="20810" xr:uid="{00000000-0005-0000-0000-00004A510000}"/>
    <cellStyle name="Normal 2 2 2 5 2 15 4 3" xfId="20811" xr:uid="{00000000-0005-0000-0000-00004B510000}"/>
    <cellStyle name="Normal 2 2 2 5 2 15 4 4" xfId="20812" xr:uid="{00000000-0005-0000-0000-00004C510000}"/>
    <cellStyle name="Normal 2 2 2 5 2 15 4 5" xfId="20813" xr:uid="{00000000-0005-0000-0000-00004D510000}"/>
    <cellStyle name="Normal 2 2 2 5 2 15 4 6" xfId="20814" xr:uid="{00000000-0005-0000-0000-00004E510000}"/>
    <cellStyle name="Normal 2 2 2 5 2 15 4 7" xfId="20815" xr:uid="{00000000-0005-0000-0000-00004F510000}"/>
    <cellStyle name="Normal 2 2 2 5 2 15 4 8" xfId="20816" xr:uid="{00000000-0005-0000-0000-000050510000}"/>
    <cellStyle name="Normal 2 2 2 5 2 15 4 9" xfId="20817" xr:uid="{00000000-0005-0000-0000-000051510000}"/>
    <cellStyle name="Normal 2 2 2 5 2 15 5" xfId="20818" xr:uid="{00000000-0005-0000-0000-000052510000}"/>
    <cellStyle name="Normal 2 2 2 5 2 15 5 10" xfId="20819" xr:uid="{00000000-0005-0000-0000-000053510000}"/>
    <cellStyle name="Normal 2 2 2 5 2 15 5 2" xfId="20820" xr:uid="{00000000-0005-0000-0000-000054510000}"/>
    <cellStyle name="Normal 2 2 2 5 2 15 5 3" xfId="20821" xr:uid="{00000000-0005-0000-0000-000055510000}"/>
    <cellStyle name="Normal 2 2 2 5 2 15 5 4" xfId="20822" xr:uid="{00000000-0005-0000-0000-000056510000}"/>
    <cellStyle name="Normal 2 2 2 5 2 15 5 5" xfId="20823" xr:uid="{00000000-0005-0000-0000-000057510000}"/>
    <cellStyle name="Normal 2 2 2 5 2 15 5 6" xfId="20824" xr:uid="{00000000-0005-0000-0000-000058510000}"/>
    <cellStyle name="Normal 2 2 2 5 2 15 5 7" xfId="20825" xr:uid="{00000000-0005-0000-0000-000059510000}"/>
    <cellStyle name="Normal 2 2 2 5 2 15 5 8" xfId="20826" xr:uid="{00000000-0005-0000-0000-00005A510000}"/>
    <cellStyle name="Normal 2 2 2 5 2 15 5 9" xfId="20827" xr:uid="{00000000-0005-0000-0000-00005B510000}"/>
    <cellStyle name="Normal 2 2 2 5 2 15 6" xfId="20828" xr:uid="{00000000-0005-0000-0000-00005C510000}"/>
    <cellStyle name="Normal 2 2 2 5 2 15 7" xfId="20829" xr:uid="{00000000-0005-0000-0000-00005D510000}"/>
    <cellStyle name="Normal 2 2 2 5 2 15 8" xfId="20830" xr:uid="{00000000-0005-0000-0000-00005E510000}"/>
    <cellStyle name="Normal 2 2 2 5 2 15 9" xfId="20831" xr:uid="{00000000-0005-0000-0000-00005F510000}"/>
    <cellStyle name="Normal 2 2 2 5 2 16" xfId="20832" xr:uid="{00000000-0005-0000-0000-000060510000}"/>
    <cellStyle name="Normal 2 2 2 5 2 16 10" xfId="20833" xr:uid="{00000000-0005-0000-0000-000061510000}"/>
    <cellStyle name="Normal 2 2 2 5 2 16 11" xfId="20834" xr:uid="{00000000-0005-0000-0000-000062510000}"/>
    <cellStyle name="Normal 2 2 2 5 2 16 12" xfId="20835" xr:uid="{00000000-0005-0000-0000-000063510000}"/>
    <cellStyle name="Normal 2 2 2 5 2 16 13" xfId="20836" xr:uid="{00000000-0005-0000-0000-000064510000}"/>
    <cellStyle name="Normal 2 2 2 5 2 16 14" xfId="20837" xr:uid="{00000000-0005-0000-0000-000065510000}"/>
    <cellStyle name="Normal 2 2 2 5 2 16 2" xfId="20838" xr:uid="{00000000-0005-0000-0000-000066510000}"/>
    <cellStyle name="Normal 2 2 2 5 2 16 2 10" xfId="20839" xr:uid="{00000000-0005-0000-0000-000067510000}"/>
    <cellStyle name="Normal 2 2 2 5 2 16 2 2" xfId="20840" xr:uid="{00000000-0005-0000-0000-000068510000}"/>
    <cellStyle name="Normal 2 2 2 5 2 16 2 3" xfId="20841" xr:uid="{00000000-0005-0000-0000-000069510000}"/>
    <cellStyle name="Normal 2 2 2 5 2 16 2 4" xfId="20842" xr:uid="{00000000-0005-0000-0000-00006A510000}"/>
    <cellStyle name="Normal 2 2 2 5 2 16 2 5" xfId="20843" xr:uid="{00000000-0005-0000-0000-00006B510000}"/>
    <cellStyle name="Normal 2 2 2 5 2 16 2 6" xfId="20844" xr:uid="{00000000-0005-0000-0000-00006C510000}"/>
    <cellStyle name="Normal 2 2 2 5 2 16 2 7" xfId="20845" xr:uid="{00000000-0005-0000-0000-00006D510000}"/>
    <cellStyle name="Normal 2 2 2 5 2 16 2 8" xfId="20846" xr:uid="{00000000-0005-0000-0000-00006E510000}"/>
    <cellStyle name="Normal 2 2 2 5 2 16 2 9" xfId="20847" xr:uid="{00000000-0005-0000-0000-00006F510000}"/>
    <cellStyle name="Normal 2 2 2 5 2 16 3" xfId="20848" xr:uid="{00000000-0005-0000-0000-000070510000}"/>
    <cellStyle name="Normal 2 2 2 5 2 16 3 10" xfId="20849" xr:uid="{00000000-0005-0000-0000-000071510000}"/>
    <cellStyle name="Normal 2 2 2 5 2 16 3 2" xfId="20850" xr:uid="{00000000-0005-0000-0000-000072510000}"/>
    <cellStyle name="Normal 2 2 2 5 2 16 3 3" xfId="20851" xr:uid="{00000000-0005-0000-0000-000073510000}"/>
    <cellStyle name="Normal 2 2 2 5 2 16 3 4" xfId="20852" xr:uid="{00000000-0005-0000-0000-000074510000}"/>
    <cellStyle name="Normal 2 2 2 5 2 16 3 5" xfId="20853" xr:uid="{00000000-0005-0000-0000-000075510000}"/>
    <cellStyle name="Normal 2 2 2 5 2 16 3 6" xfId="20854" xr:uid="{00000000-0005-0000-0000-000076510000}"/>
    <cellStyle name="Normal 2 2 2 5 2 16 3 7" xfId="20855" xr:uid="{00000000-0005-0000-0000-000077510000}"/>
    <cellStyle name="Normal 2 2 2 5 2 16 3 8" xfId="20856" xr:uid="{00000000-0005-0000-0000-000078510000}"/>
    <cellStyle name="Normal 2 2 2 5 2 16 3 9" xfId="20857" xr:uid="{00000000-0005-0000-0000-000079510000}"/>
    <cellStyle name="Normal 2 2 2 5 2 16 4" xfId="20858" xr:uid="{00000000-0005-0000-0000-00007A510000}"/>
    <cellStyle name="Normal 2 2 2 5 2 16 4 10" xfId="20859" xr:uid="{00000000-0005-0000-0000-00007B510000}"/>
    <cellStyle name="Normal 2 2 2 5 2 16 4 2" xfId="20860" xr:uid="{00000000-0005-0000-0000-00007C510000}"/>
    <cellStyle name="Normal 2 2 2 5 2 16 4 3" xfId="20861" xr:uid="{00000000-0005-0000-0000-00007D510000}"/>
    <cellStyle name="Normal 2 2 2 5 2 16 4 4" xfId="20862" xr:uid="{00000000-0005-0000-0000-00007E510000}"/>
    <cellStyle name="Normal 2 2 2 5 2 16 4 5" xfId="20863" xr:uid="{00000000-0005-0000-0000-00007F510000}"/>
    <cellStyle name="Normal 2 2 2 5 2 16 4 6" xfId="20864" xr:uid="{00000000-0005-0000-0000-000080510000}"/>
    <cellStyle name="Normal 2 2 2 5 2 16 4 7" xfId="20865" xr:uid="{00000000-0005-0000-0000-000081510000}"/>
    <cellStyle name="Normal 2 2 2 5 2 16 4 8" xfId="20866" xr:uid="{00000000-0005-0000-0000-000082510000}"/>
    <cellStyle name="Normal 2 2 2 5 2 16 4 9" xfId="20867" xr:uid="{00000000-0005-0000-0000-000083510000}"/>
    <cellStyle name="Normal 2 2 2 5 2 16 5" xfId="20868" xr:uid="{00000000-0005-0000-0000-000084510000}"/>
    <cellStyle name="Normal 2 2 2 5 2 16 5 10" xfId="20869" xr:uid="{00000000-0005-0000-0000-000085510000}"/>
    <cellStyle name="Normal 2 2 2 5 2 16 5 2" xfId="20870" xr:uid="{00000000-0005-0000-0000-000086510000}"/>
    <cellStyle name="Normal 2 2 2 5 2 16 5 3" xfId="20871" xr:uid="{00000000-0005-0000-0000-000087510000}"/>
    <cellStyle name="Normal 2 2 2 5 2 16 5 4" xfId="20872" xr:uid="{00000000-0005-0000-0000-000088510000}"/>
    <cellStyle name="Normal 2 2 2 5 2 16 5 5" xfId="20873" xr:uid="{00000000-0005-0000-0000-000089510000}"/>
    <cellStyle name="Normal 2 2 2 5 2 16 5 6" xfId="20874" xr:uid="{00000000-0005-0000-0000-00008A510000}"/>
    <cellStyle name="Normal 2 2 2 5 2 16 5 7" xfId="20875" xr:uid="{00000000-0005-0000-0000-00008B510000}"/>
    <cellStyle name="Normal 2 2 2 5 2 16 5 8" xfId="20876" xr:uid="{00000000-0005-0000-0000-00008C510000}"/>
    <cellStyle name="Normal 2 2 2 5 2 16 5 9" xfId="20877" xr:uid="{00000000-0005-0000-0000-00008D510000}"/>
    <cellStyle name="Normal 2 2 2 5 2 16 6" xfId="20878" xr:uid="{00000000-0005-0000-0000-00008E510000}"/>
    <cellStyle name="Normal 2 2 2 5 2 16 7" xfId="20879" xr:uid="{00000000-0005-0000-0000-00008F510000}"/>
    <cellStyle name="Normal 2 2 2 5 2 16 8" xfId="20880" xr:uid="{00000000-0005-0000-0000-000090510000}"/>
    <cellStyle name="Normal 2 2 2 5 2 16 9" xfId="20881" xr:uid="{00000000-0005-0000-0000-000091510000}"/>
    <cellStyle name="Normal 2 2 2 5 2 17" xfId="20882" xr:uid="{00000000-0005-0000-0000-000092510000}"/>
    <cellStyle name="Normal 2 2 2 5 2 17 10" xfId="20883" xr:uid="{00000000-0005-0000-0000-000093510000}"/>
    <cellStyle name="Normal 2 2 2 5 2 17 11" xfId="20884" xr:uid="{00000000-0005-0000-0000-000094510000}"/>
    <cellStyle name="Normal 2 2 2 5 2 17 12" xfId="20885" xr:uid="{00000000-0005-0000-0000-000095510000}"/>
    <cellStyle name="Normal 2 2 2 5 2 17 13" xfId="20886" xr:uid="{00000000-0005-0000-0000-000096510000}"/>
    <cellStyle name="Normal 2 2 2 5 2 17 14" xfId="20887" xr:uid="{00000000-0005-0000-0000-000097510000}"/>
    <cellStyle name="Normal 2 2 2 5 2 17 2" xfId="20888" xr:uid="{00000000-0005-0000-0000-000098510000}"/>
    <cellStyle name="Normal 2 2 2 5 2 17 2 10" xfId="20889" xr:uid="{00000000-0005-0000-0000-000099510000}"/>
    <cellStyle name="Normal 2 2 2 5 2 17 2 2" xfId="20890" xr:uid="{00000000-0005-0000-0000-00009A510000}"/>
    <cellStyle name="Normal 2 2 2 5 2 17 2 3" xfId="20891" xr:uid="{00000000-0005-0000-0000-00009B510000}"/>
    <cellStyle name="Normal 2 2 2 5 2 17 2 4" xfId="20892" xr:uid="{00000000-0005-0000-0000-00009C510000}"/>
    <cellStyle name="Normal 2 2 2 5 2 17 2 5" xfId="20893" xr:uid="{00000000-0005-0000-0000-00009D510000}"/>
    <cellStyle name="Normal 2 2 2 5 2 17 2 6" xfId="20894" xr:uid="{00000000-0005-0000-0000-00009E510000}"/>
    <cellStyle name="Normal 2 2 2 5 2 17 2 7" xfId="20895" xr:uid="{00000000-0005-0000-0000-00009F510000}"/>
    <cellStyle name="Normal 2 2 2 5 2 17 2 8" xfId="20896" xr:uid="{00000000-0005-0000-0000-0000A0510000}"/>
    <cellStyle name="Normal 2 2 2 5 2 17 2 9" xfId="20897" xr:uid="{00000000-0005-0000-0000-0000A1510000}"/>
    <cellStyle name="Normal 2 2 2 5 2 17 3" xfId="20898" xr:uid="{00000000-0005-0000-0000-0000A2510000}"/>
    <cellStyle name="Normal 2 2 2 5 2 17 3 10" xfId="20899" xr:uid="{00000000-0005-0000-0000-0000A3510000}"/>
    <cellStyle name="Normal 2 2 2 5 2 17 3 2" xfId="20900" xr:uid="{00000000-0005-0000-0000-0000A4510000}"/>
    <cellStyle name="Normal 2 2 2 5 2 17 3 3" xfId="20901" xr:uid="{00000000-0005-0000-0000-0000A5510000}"/>
    <cellStyle name="Normal 2 2 2 5 2 17 3 4" xfId="20902" xr:uid="{00000000-0005-0000-0000-0000A6510000}"/>
    <cellStyle name="Normal 2 2 2 5 2 17 3 5" xfId="20903" xr:uid="{00000000-0005-0000-0000-0000A7510000}"/>
    <cellStyle name="Normal 2 2 2 5 2 17 3 6" xfId="20904" xr:uid="{00000000-0005-0000-0000-0000A8510000}"/>
    <cellStyle name="Normal 2 2 2 5 2 17 3 7" xfId="20905" xr:uid="{00000000-0005-0000-0000-0000A9510000}"/>
    <cellStyle name="Normal 2 2 2 5 2 17 3 8" xfId="20906" xr:uid="{00000000-0005-0000-0000-0000AA510000}"/>
    <cellStyle name="Normal 2 2 2 5 2 17 3 9" xfId="20907" xr:uid="{00000000-0005-0000-0000-0000AB510000}"/>
    <cellStyle name="Normal 2 2 2 5 2 17 4" xfId="20908" xr:uid="{00000000-0005-0000-0000-0000AC510000}"/>
    <cellStyle name="Normal 2 2 2 5 2 17 4 10" xfId="20909" xr:uid="{00000000-0005-0000-0000-0000AD510000}"/>
    <cellStyle name="Normal 2 2 2 5 2 17 4 2" xfId="20910" xr:uid="{00000000-0005-0000-0000-0000AE510000}"/>
    <cellStyle name="Normal 2 2 2 5 2 17 4 3" xfId="20911" xr:uid="{00000000-0005-0000-0000-0000AF510000}"/>
    <cellStyle name="Normal 2 2 2 5 2 17 4 4" xfId="20912" xr:uid="{00000000-0005-0000-0000-0000B0510000}"/>
    <cellStyle name="Normal 2 2 2 5 2 17 4 5" xfId="20913" xr:uid="{00000000-0005-0000-0000-0000B1510000}"/>
    <cellStyle name="Normal 2 2 2 5 2 17 4 6" xfId="20914" xr:uid="{00000000-0005-0000-0000-0000B2510000}"/>
    <cellStyle name="Normal 2 2 2 5 2 17 4 7" xfId="20915" xr:uid="{00000000-0005-0000-0000-0000B3510000}"/>
    <cellStyle name="Normal 2 2 2 5 2 17 4 8" xfId="20916" xr:uid="{00000000-0005-0000-0000-0000B4510000}"/>
    <cellStyle name="Normal 2 2 2 5 2 17 4 9" xfId="20917" xr:uid="{00000000-0005-0000-0000-0000B5510000}"/>
    <cellStyle name="Normal 2 2 2 5 2 17 5" xfId="20918" xr:uid="{00000000-0005-0000-0000-0000B6510000}"/>
    <cellStyle name="Normal 2 2 2 5 2 17 5 10" xfId="20919" xr:uid="{00000000-0005-0000-0000-0000B7510000}"/>
    <cellStyle name="Normal 2 2 2 5 2 17 5 2" xfId="20920" xr:uid="{00000000-0005-0000-0000-0000B8510000}"/>
    <cellStyle name="Normal 2 2 2 5 2 17 5 3" xfId="20921" xr:uid="{00000000-0005-0000-0000-0000B9510000}"/>
    <cellStyle name="Normal 2 2 2 5 2 17 5 4" xfId="20922" xr:uid="{00000000-0005-0000-0000-0000BA510000}"/>
    <cellStyle name="Normal 2 2 2 5 2 17 5 5" xfId="20923" xr:uid="{00000000-0005-0000-0000-0000BB510000}"/>
    <cellStyle name="Normal 2 2 2 5 2 17 5 6" xfId="20924" xr:uid="{00000000-0005-0000-0000-0000BC510000}"/>
    <cellStyle name="Normal 2 2 2 5 2 17 5 7" xfId="20925" xr:uid="{00000000-0005-0000-0000-0000BD510000}"/>
    <cellStyle name="Normal 2 2 2 5 2 17 5 8" xfId="20926" xr:uid="{00000000-0005-0000-0000-0000BE510000}"/>
    <cellStyle name="Normal 2 2 2 5 2 17 5 9" xfId="20927" xr:uid="{00000000-0005-0000-0000-0000BF510000}"/>
    <cellStyle name="Normal 2 2 2 5 2 17 6" xfId="20928" xr:uid="{00000000-0005-0000-0000-0000C0510000}"/>
    <cellStyle name="Normal 2 2 2 5 2 17 7" xfId="20929" xr:uid="{00000000-0005-0000-0000-0000C1510000}"/>
    <cellStyle name="Normal 2 2 2 5 2 17 8" xfId="20930" xr:uid="{00000000-0005-0000-0000-0000C2510000}"/>
    <cellStyle name="Normal 2 2 2 5 2 17 9" xfId="20931" xr:uid="{00000000-0005-0000-0000-0000C3510000}"/>
    <cellStyle name="Normal 2 2 2 5 2 18" xfId="20932" xr:uid="{00000000-0005-0000-0000-0000C4510000}"/>
    <cellStyle name="Normal 2 2 2 5 2 18 10" xfId="20933" xr:uid="{00000000-0005-0000-0000-0000C5510000}"/>
    <cellStyle name="Normal 2 2 2 5 2 18 11" xfId="20934" xr:uid="{00000000-0005-0000-0000-0000C6510000}"/>
    <cellStyle name="Normal 2 2 2 5 2 18 12" xfId="20935" xr:uid="{00000000-0005-0000-0000-0000C7510000}"/>
    <cellStyle name="Normal 2 2 2 5 2 18 13" xfId="20936" xr:uid="{00000000-0005-0000-0000-0000C8510000}"/>
    <cellStyle name="Normal 2 2 2 5 2 18 14" xfId="20937" xr:uid="{00000000-0005-0000-0000-0000C9510000}"/>
    <cellStyle name="Normal 2 2 2 5 2 18 2" xfId="20938" xr:uid="{00000000-0005-0000-0000-0000CA510000}"/>
    <cellStyle name="Normal 2 2 2 5 2 18 2 10" xfId="20939" xr:uid="{00000000-0005-0000-0000-0000CB510000}"/>
    <cellStyle name="Normal 2 2 2 5 2 18 2 2" xfId="20940" xr:uid="{00000000-0005-0000-0000-0000CC510000}"/>
    <cellStyle name="Normal 2 2 2 5 2 18 2 3" xfId="20941" xr:uid="{00000000-0005-0000-0000-0000CD510000}"/>
    <cellStyle name="Normal 2 2 2 5 2 18 2 4" xfId="20942" xr:uid="{00000000-0005-0000-0000-0000CE510000}"/>
    <cellStyle name="Normal 2 2 2 5 2 18 2 5" xfId="20943" xr:uid="{00000000-0005-0000-0000-0000CF510000}"/>
    <cellStyle name="Normal 2 2 2 5 2 18 2 6" xfId="20944" xr:uid="{00000000-0005-0000-0000-0000D0510000}"/>
    <cellStyle name="Normal 2 2 2 5 2 18 2 7" xfId="20945" xr:uid="{00000000-0005-0000-0000-0000D1510000}"/>
    <cellStyle name="Normal 2 2 2 5 2 18 2 8" xfId="20946" xr:uid="{00000000-0005-0000-0000-0000D2510000}"/>
    <cellStyle name="Normal 2 2 2 5 2 18 2 9" xfId="20947" xr:uid="{00000000-0005-0000-0000-0000D3510000}"/>
    <cellStyle name="Normal 2 2 2 5 2 18 3" xfId="20948" xr:uid="{00000000-0005-0000-0000-0000D4510000}"/>
    <cellStyle name="Normal 2 2 2 5 2 18 3 10" xfId="20949" xr:uid="{00000000-0005-0000-0000-0000D5510000}"/>
    <cellStyle name="Normal 2 2 2 5 2 18 3 2" xfId="20950" xr:uid="{00000000-0005-0000-0000-0000D6510000}"/>
    <cellStyle name="Normal 2 2 2 5 2 18 3 3" xfId="20951" xr:uid="{00000000-0005-0000-0000-0000D7510000}"/>
    <cellStyle name="Normal 2 2 2 5 2 18 3 4" xfId="20952" xr:uid="{00000000-0005-0000-0000-0000D8510000}"/>
    <cellStyle name="Normal 2 2 2 5 2 18 3 5" xfId="20953" xr:uid="{00000000-0005-0000-0000-0000D9510000}"/>
    <cellStyle name="Normal 2 2 2 5 2 18 3 6" xfId="20954" xr:uid="{00000000-0005-0000-0000-0000DA510000}"/>
    <cellStyle name="Normal 2 2 2 5 2 18 3 7" xfId="20955" xr:uid="{00000000-0005-0000-0000-0000DB510000}"/>
    <cellStyle name="Normal 2 2 2 5 2 18 3 8" xfId="20956" xr:uid="{00000000-0005-0000-0000-0000DC510000}"/>
    <cellStyle name="Normal 2 2 2 5 2 18 3 9" xfId="20957" xr:uid="{00000000-0005-0000-0000-0000DD510000}"/>
    <cellStyle name="Normal 2 2 2 5 2 18 4" xfId="20958" xr:uid="{00000000-0005-0000-0000-0000DE510000}"/>
    <cellStyle name="Normal 2 2 2 5 2 18 4 10" xfId="20959" xr:uid="{00000000-0005-0000-0000-0000DF510000}"/>
    <cellStyle name="Normal 2 2 2 5 2 18 4 2" xfId="20960" xr:uid="{00000000-0005-0000-0000-0000E0510000}"/>
    <cellStyle name="Normal 2 2 2 5 2 18 4 3" xfId="20961" xr:uid="{00000000-0005-0000-0000-0000E1510000}"/>
    <cellStyle name="Normal 2 2 2 5 2 18 4 4" xfId="20962" xr:uid="{00000000-0005-0000-0000-0000E2510000}"/>
    <cellStyle name="Normal 2 2 2 5 2 18 4 5" xfId="20963" xr:uid="{00000000-0005-0000-0000-0000E3510000}"/>
    <cellStyle name="Normal 2 2 2 5 2 18 4 6" xfId="20964" xr:uid="{00000000-0005-0000-0000-0000E4510000}"/>
    <cellStyle name="Normal 2 2 2 5 2 18 4 7" xfId="20965" xr:uid="{00000000-0005-0000-0000-0000E5510000}"/>
    <cellStyle name="Normal 2 2 2 5 2 18 4 8" xfId="20966" xr:uid="{00000000-0005-0000-0000-0000E6510000}"/>
    <cellStyle name="Normal 2 2 2 5 2 18 4 9" xfId="20967" xr:uid="{00000000-0005-0000-0000-0000E7510000}"/>
    <cellStyle name="Normal 2 2 2 5 2 18 5" xfId="20968" xr:uid="{00000000-0005-0000-0000-0000E8510000}"/>
    <cellStyle name="Normal 2 2 2 5 2 18 5 10" xfId="20969" xr:uid="{00000000-0005-0000-0000-0000E9510000}"/>
    <cellStyle name="Normal 2 2 2 5 2 18 5 2" xfId="20970" xr:uid="{00000000-0005-0000-0000-0000EA510000}"/>
    <cellStyle name="Normal 2 2 2 5 2 18 5 3" xfId="20971" xr:uid="{00000000-0005-0000-0000-0000EB510000}"/>
    <cellStyle name="Normal 2 2 2 5 2 18 5 4" xfId="20972" xr:uid="{00000000-0005-0000-0000-0000EC510000}"/>
    <cellStyle name="Normal 2 2 2 5 2 18 5 5" xfId="20973" xr:uid="{00000000-0005-0000-0000-0000ED510000}"/>
    <cellStyle name="Normal 2 2 2 5 2 18 5 6" xfId="20974" xr:uid="{00000000-0005-0000-0000-0000EE510000}"/>
    <cellStyle name="Normal 2 2 2 5 2 18 5 7" xfId="20975" xr:uid="{00000000-0005-0000-0000-0000EF510000}"/>
    <cellStyle name="Normal 2 2 2 5 2 18 5 8" xfId="20976" xr:uid="{00000000-0005-0000-0000-0000F0510000}"/>
    <cellStyle name="Normal 2 2 2 5 2 18 5 9" xfId="20977" xr:uid="{00000000-0005-0000-0000-0000F1510000}"/>
    <cellStyle name="Normal 2 2 2 5 2 18 6" xfId="20978" xr:uid="{00000000-0005-0000-0000-0000F2510000}"/>
    <cellStyle name="Normal 2 2 2 5 2 18 7" xfId="20979" xr:uid="{00000000-0005-0000-0000-0000F3510000}"/>
    <cellStyle name="Normal 2 2 2 5 2 18 8" xfId="20980" xr:uid="{00000000-0005-0000-0000-0000F4510000}"/>
    <cellStyle name="Normal 2 2 2 5 2 18 9" xfId="20981" xr:uid="{00000000-0005-0000-0000-0000F5510000}"/>
    <cellStyle name="Normal 2 2 2 5 2 19" xfId="20982" xr:uid="{00000000-0005-0000-0000-0000F6510000}"/>
    <cellStyle name="Normal 2 2 2 5 2 19 10" xfId="20983" xr:uid="{00000000-0005-0000-0000-0000F7510000}"/>
    <cellStyle name="Normal 2 2 2 5 2 19 11" xfId="20984" xr:uid="{00000000-0005-0000-0000-0000F8510000}"/>
    <cellStyle name="Normal 2 2 2 5 2 19 12" xfId="20985" xr:uid="{00000000-0005-0000-0000-0000F9510000}"/>
    <cellStyle name="Normal 2 2 2 5 2 19 13" xfId="20986" xr:uid="{00000000-0005-0000-0000-0000FA510000}"/>
    <cellStyle name="Normal 2 2 2 5 2 19 14" xfId="20987" xr:uid="{00000000-0005-0000-0000-0000FB510000}"/>
    <cellStyle name="Normal 2 2 2 5 2 19 2" xfId="20988" xr:uid="{00000000-0005-0000-0000-0000FC510000}"/>
    <cellStyle name="Normal 2 2 2 5 2 19 2 10" xfId="20989" xr:uid="{00000000-0005-0000-0000-0000FD510000}"/>
    <cellStyle name="Normal 2 2 2 5 2 19 2 2" xfId="20990" xr:uid="{00000000-0005-0000-0000-0000FE510000}"/>
    <cellStyle name="Normal 2 2 2 5 2 19 2 3" xfId="20991" xr:uid="{00000000-0005-0000-0000-0000FF510000}"/>
    <cellStyle name="Normal 2 2 2 5 2 19 2 4" xfId="20992" xr:uid="{00000000-0005-0000-0000-000000520000}"/>
    <cellStyle name="Normal 2 2 2 5 2 19 2 5" xfId="20993" xr:uid="{00000000-0005-0000-0000-000001520000}"/>
    <cellStyle name="Normal 2 2 2 5 2 19 2 6" xfId="20994" xr:uid="{00000000-0005-0000-0000-000002520000}"/>
    <cellStyle name="Normal 2 2 2 5 2 19 2 7" xfId="20995" xr:uid="{00000000-0005-0000-0000-000003520000}"/>
    <cellStyle name="Normal 2 2 2 5 2 19 2 8" xfId="20996" xr:uid="{00000000-0005-0000-0000-000004520000}"/>
    <cellStyle name="Normal 2 2 2 5 2 19 2 9" xfId="20997" xr:uid="{00000000-0005-0000-0000-000005520000}"/>
    <cellStyle name="Normal 2 2 2 5 2 19 3" xfId="20998" xr:uid="{00000000-0005-0000-0000-000006520000}"/>
    <cellStyle name="Normal 2 2 2 5 2 19 3 10" xfId="20999" xr:uid="{00000000-0005-0000-0000-000007520000}"/>
    <cellStyle name="Normal 2 2 2 5 2 19 3 2" xfId="21000" xr:uid="{00000000-0005-0000-0000-000008520000}"/>
    <cellStyle name="Normal 2 2 2 5 2 19 3 3" xfId="21001" xr:uid="{00000000-0005-0000-0000-000009520000}"/>
    <cellStyle name="Normal 2 2 2 5 2 19 3 4" xfId="21002" xr:uid="{00000000-0005-0000-0000-00000A520000}"/>
    <cellStyle name="Normal 2 2 2 5 2 19 3 5" xfId="21003" xr:uid="{00000000-0005-0000-0000-00000B520000}"/>
    <cellStyle name="Normal 2 2 2 5 2 19 3 6" xfId="21004" xr:uid="{00000000-0005-0000-0000-00000C520000}"/>
    <cellStyle name="Normal 2 2 2 5 2 19 3 7" xfId="21005" xr:uid="{00000000-0005-0000-0000-00000D520000}"/>
    <cellStyle name="Normal 2 2 2 5 2 19 3 8" xfId="21006" xr:uid="{00000000-0005-0000-0000-00000E520000}"/>
    <cellStyle name="Normal 2 2 2 5 2 19 3 9" xfId="21007" xr:uid="{00000000-0005-0000-0000-00000F520000}"/>
    <cellStyle name="Normal 2 2 2 5 2 19 4" xfId="21008" xr:uid="{00000000-0005-0000-0000-000010520000}"/>
    <cellStyle name="Normal 2 2 2 5 2 19 4 10" xfId="21009" xr:uid="{00000000-0005-0000-0000-000011520000}"/>
    <cellStyle name="Normal 2 2 2 5 2 19 4 2" xfId="21010" xr:uid="{00000000-0005-0000-0000-000012520000}"/>
    <cellStyle name="Normal 2 2 2 5 2 19 4 3" xfId="21011" xr:uid="{00000000-0005-0000-0000-000013520000}"/>
    <cellStyle name="Normal 2 2 2 5 2 19 4 4" xfId="21012" xr:uid="{00000000-0005-0000-0000-000014520000}"/>
    <cellStyle name="Normal 2 2 2 5 2 19 4 5" xfId="21013" xr:uid="{00000000-0005-0000-0000-000015520000}"/>
    <cellStyle name="Normal 2 2 2 5 2 19 4 6" xfId="21014" xr:uid="{00000000-0005-0000-0000-000016520000}"/>
    <cellStyle name="Normal 2 2 2 5 2 19 4 7" xfId="21015" xr:uid="{00000000-0005-0000-0000-000017520000}"/>
    <cellStyle name="Normal 2 2 2 5 2 19 4 8" xfId="21016" xr:uid="{00000000-0005-0000-0000-000018520000}"/>
    <cellStyle name="Normal 2 2 2 5 2 19 4 9" xfId="21017" xr:uid="{00000000-0005-0000-0000-000019520000}"/>
    <cellStyle name="Normal 2 2 2 5 2 19 5" xfId="21018" xr:uid="{00000000-0005-0000-0000-00001A520000}"/>
    <cellStyle name="Normal 2 2 2 5 2 19 5 10" xfId="21019" xr:uid="{00000000-0005-0000-0000-00001B520000}"/>
    <cellStyle name="Normal 2 2 2 5 2 19 5 2" xfId="21020" xr:uid="{00000000-0005-0000-0000-00001C520000}"/>
    <cellStyle name="Normal 2 2 2 5 2 19 5 3" xfId="21021" xr:uid="{00000000-0005-0000-0000-00001D520000}"/>
    <cellStyle name="Normal 2 2 2 5 2 19 5 4" xfId="21022" xr:uid="{00000000-0005-0000-0000-00001E520000}"/>
    <cellStyle name="Normal 2 2 2 5 2 19 5 5" xfId="21023" xr:uid="{00000000-0005-0000-0000-00001F520000}"/>
    <cellStyle name="Normal 2 2 2 5 2 19 5 6" xfId="21024" xr:uid="{00000000-0005-0000-0000-000020520000}"/>
    <cellStyle name="Normal 2 2 2 5 2 19 5 7" xfId="21025" xr:uid="{00000000-0005-0000-0000-000021520000}"/>
    <cellStyle name="Normal 2 2 2 5 2 19 5 8" xfId="21026" xr:uid="{00000000-0005-0000-0000-000022520000}"/>
    <cellStyle name="Normal 2 2 2 5 2 19 5 9" xfId="21027" xr:uid="{00000000-0005-0000-0000-000023520000}"/>
    <cellStyle name="Normal 2 2 2 5 2 19 6" xfId="21028" xr:uid="{00000000-0005-0000-0000-000024520000}"/>
    <cellStyle name="Normal 2 2 2 5 2 19 7" xfId="21029" xr:uid="{00000000-0005-0000-0000-000025520000}"/>
    <cellStyle name="Normal 2 2 2 5 2 19 8" xfId="21030" xr:uid="{00000000-0005-0000-0000-000026520000}"/>
    <cellStyle name="Normal 2 2 2 5 2 19 9" xfId="21031" xr:uid="{00000000-0005-0000-0000-000027520000}"/>
    <cellStyle name="Normal 2 2 2 5 2 2" xfId="21032" xr:uid="{00000000-0005-0000-0000-000028520000}"/>
    <cellStyle name="Normal 2 2 2 5 2 2 10" xfId="21033" xr:uid="{00000000-0005-0000-0000-000029520000}"/>
    <cellStyle name="Normal 2 2 2 5 2 2 11" xfId="21034" xr:uid="{00000000-0005-0000-0000-00002A520000}"/>
    <cellStyle name="Normal 2 2 2 5 2 2 12" xfId="21035" xr:uid="{00000000-0005-0000-0000-00002B520000}"/>
    <cellStyle name="Normal 2 2 2 5 2 2 13" xfId="21036" xr:uid="{00000000-0005-0000-0000-00002C520000}"/>
    <cellStyle name="Normal 2 2 2 5 2 2 14" xfId="21037" xr:uid="{00000000-0005-0000-0000-00002D520000}"/>
    <cellStyle name="Normal 2 2 2 5 2 2 2" xfId="21038" xr:uid="{00000000-0005-0000-0000-00002E520000}"/>
    <cellStyle name="Normal 2 2 2 5 2 2 2 10" xfId="21039" xr:uid="{00000000-0005-0000-0000-00002F520000}"/>
    <cellStyle name="Normal 2 2 2 5 2 2 2 2" xfId="21040" xr:uid="{00000000-0005-0000-0000-000030520000}"/>
    <cellStyle name="Normal 2 2 2 5 2 2 2 3" xfId="21041" xr:uid="{00000000-0005-0000-0000-000031520000}"/>
    <cellStyle name="Normal 2 2 2 5 2 2 2 4" xfId="21042" xr:uid="{00000000-0005-0000-0000-000032520000}"/>
    <cellStyle name="Normal 2 2 2 5 2 2 2 5" xfId="21043" xr:uid="{00000000-0005-0000-0000-000033520000}"/>
    <cellStyle name="Normal 2 2 2 5 2 2 2 6" xfId="21044" xr:uid="{00000000-0005-0000-0000-000034520000}"/>
    <cellStyle name="Normal 2 2 2 5 2 2 2 7" xfId="21045" xr:uid="{00000000-0005-0000-0000-000035520000}"/>
    <cellStyle name="Normal 2 2 2 5 2 2 2 8" xfId="21046" xr:uid="{00000000-0005-0000-0000-000036520000}"/>
    <cellStyle name="Normal 2 2 2 5 2 2 2 9" xfId="21047" xr:uid="{00000000-0005-0000-0000-000037520000}"/>
    <cellStyle name="Normal 2 2 2 5 2 2 3" xfId="21048" xr:uid="{00000000-0005-0000-0000-000038520000}"/>
    <cellStyle name="Normal 2 2 2 5 2 2 3 10" xfId="21049" xr:uid="{00000000-0005-0000-0000-000039520000}"/>
    <cellStyle name="Normal 2 2 2 5 2 2 3 2" xfId="21050" xr:uid="{00000000-0005-0000-0000-00003A520000}"/>
    <cellStyle name="Normal 2 2 2 5 2 2 3 3" xfId="21051" xr:uid="{00000000-0005-0000-0000-00003B520000}"/>
    <cellStyle name="Normal 2 2 2 5 2 2 3 4" xfId="21052" xr:uid="{00000000-0005-0000-0000-00003C520000}"/>
    <cellStyle name="Normal 2 2 2 5 2 2 3 5" xfId="21053" xr:uid="{00000000-0005-0000-0000-00003D520000}"/>
    <cellStyle name="Normal 2 2 2 5 2 2 3 6" xfId="21054" xr:uid="{00000000-0005-0000-0000-00003E520000}"/>
    <cellStyle name="Normal 2 2 2 5 2 2 3 7" xfId="21055" xr:uid="{00000000-0005-0000-0000-00003F520000}"/>
    <cellStyle name="Normal 2 2 2 5 2 2 3 8" xfId="21056" xr:uid="{00000000-0005-0000-0000-000040520000}"/>
    <cellStyle name="Normal 2 2 2 5 2 2 3 9" xfId="21057" xr:uid="{00000000-0005-0000-0000-000041520000}"/>
    <cellStyle name="Normal 2 2 2 5 2 2 4" xfId="21058" xr:uid="{00000000-0005-0000-0000-000042520000}"/>
    <cellStyle name="Normal 2 2 2 5 2 2 4 10" xfId="21059" xr:uid="{00000000-0005-0000-0000-000043520000}"/>
    <cellStyle name="Normal 2 2 2 5 2 2 4 2" xfId="21060" xr:uid="{00000000-0005-0000-0000-000044520000}"/>
    <cellStyle name="Normal 2 2 2 5 2 2 4 3" xfId="21061" xr:uid="{00000000-0005-0000-0000-000045520000}"/>
    <cellStyle name="Normal 2 2 2 5 2 2 4 4" xfId="21062" xr:uid="{00000000-0005-0000-0000-000046520000}"/>
    <cellStyle name="Normal 2 2 2 5 2 2 4 5" xfId="21063" xr:uid="{00000000-0005-0000-0000-000047520000}"/>
    <cellStyle name="Normal 2 2 2 5 2 2 4 6" xfId="21064" xr:uid="{00000000-0005-0000-0000-000048520000}"/>
    <cellStyle name="Normal 2 2 2 5 2 2 4 7" xfId="21065" xr:uid="{00000000-0005-0000-0000-000049520000}"/>
    <cellStyle name="Normal 2 2 2 5 2 2 4 8" xfId="21066" xr:uid="{00000000-0005-0000-0000-00004A520000}"/>
    <cellStyle name="Normal 2 2 2 5 2 2 4 9" xfId="21067" xr:uid="{00000000-0005-0000-0000-00004B520000}"/>
    <cellStyle name="Normal 2 2 2 5 2 2 5" xfId="21068" xr:uid="{00000000-0005-0000-0000-00004C520000}"/>
    <cellStyle name="Normal 2 2 2 5 2 2 5 10" xfId="21069" xr:uid="{00000000-0005-0000-0000-00004D520000}"/>
    <cellStyle name="Normal 2 2 2 5 2 2 5 2" xfId="21070" xr:uid="{00000000-0005-0000-0000-00004E520000}"/>
    <cellStyle name="Normal 2 2 2 5 2 2 5 3" xfId="21071" xr:uid="{00000000-0005-0000-0000-00004F520000}"/>
    <cellStyle name="Normal 2 2 2 5 2 2 5 4" xfId="21072" xr:uid="{00000000-0005-0000-0000-000050520000}"/>
    <cellStyle name="Normal 2 2 2 5 2 2 5 5" xfId="21073" xr:uid="{00000000-0005-0000-0000-000051520000}"/>
    <cellStyle name="Normal 2 2 2 5 2 2 5 6" xfId="21074" xr:uid="{00000000-0005-0000-0000-000052520000}"/>
    <cellStyle name="Normal 2 2 2 5 2 2 5 7" xfId="21075" xr:uid="{00000000-0005-0000-0000-000053520000}"/>
    <cellStyle name="Normal 2 2 2 5 2 2 5 8" xfId="21076" xr:uid="{00000000-0005-0000-0000-000054520000}"/>
    <cellStyle name="Normal 2 2 2 5 2 2 5 9" xfId="21077" xr:uid="{00000000-0005-0000-0000-000055520000}"/>
    <cellStyle name="Normal 2 2 2 5 2 2 6" xfId="21078" xr:uid="{00000000-0005-0000-0000-000056520000}"/>
    <cellStyle name="Normal 2 2 2 5 2 2 7" xfId="21079" xr:uid="{00000000-0005-0000-0000-000057520000}"/>
    <cellStyle name="Normal 2 2 2 5 2 2 8" xfId="21080" xr:uid="{00000000-0005-0000-0000-000058520000}"/>
    <cellStyle name="Normal 2 2 2 5 2 2 9" xfId="21081" xr:uid="{00000000-0005-0000-0000-000059520000}"/>
    <cellStyle name="Normal 2 2 2 5 2 20" xfId="21082" xr:uid="{00000000-0005-0000-0000-00005A520000}"/>
    <cellStyle name="Normal 2 2 2 5 2 20 10" xfId="21083" xr:uid="{00000000-0005-0000-0000-00005B520000}"/>
    <cellStyle name="Normal 2 2 2 5 2 20 11" xfId="21084" xr:uid="{00000000-0005-0000-0000-00005C520000}"/>
    <cellStyle name="Normal 2 2 2 5 2 20 12" xfId="21085" xr:uid="{00000000-0005-0000-0000-00005D520000}"/>
    <cellStyle name="Normal 2 2 2 5 2 20 13" xfId="21086" xr:uid="{00000000-0005-0000-0000-00005E520000}"/>
    <cellStyle name="Normal 2 2 2 5 2 20 14" xfId="21087" xr:uid="{00000000-0005-0000-0000-00005F520000}"/>
    <cellStyle name="Normal 2 2 2 5 2 20 2" xfId="21088" xr:uid="{00000000-0005-0000-0000-000060520000}"/>
    <cellStyle name="Normal 2 2 2 5 2 20 2 10" xfId="21089" xr:uid="{00000000-0005-0000-0000-000061520000}"/>
    <cellStyle name="Normal 2 2 2 5 2 20 2 2" xfId="21090" xr:uid="{00000000-0005-0000-0000-000062520000}"/>
    <cellStyle name="Normal 2 2 2 5 2 20 2 3" xfId="21091" xr:uid="{00000000-0005-0000-0000-000063520000}"/>
    <cellStyle name="Normal 2 2 2 5 2 20 2 4" xfId="21092" xr:uid="{00000000-0005-0000-0000-000064520000}"/>
    <cellStyle name="Normal 2 2 2 5 2 20 2 5" xfId="21093" xr:uid="{00000000-0005-0000-0000-000065520000}"/>
    <cellStyle name="Normal 2 2 2 5 2 20 2 6" xfId="21094" xr:uid="{00000000-0005-0000-0000-000066520000}"/>
    <cellStyle name="Normal 2 2 2 5 2 20 2 7" xfId="21095" xr:uid="{00000000-0005-0000-0000-000067520000}"/>
    <cellStyle name="Normal 2 2 2 5 2 20 2 8" xfId="21096" xr:uid="{00000000-0005-0000-0000-000068520000}"/>
    <cellStyle name="Normal 2 2 2 5 2 20 2 9" xfId="21097" xr:uid="{00000000-0005-0000-0000-000069520000}"/>
    <cellStyle name="Normal 2 2 2 5 2 20 3" xfId="21098" xr:uid="{00000000-0005-0000-0000-00006A520000}"/>
    <cellStyle name="Normal 2 2 2 5 2 20 3 10" xfId="21099" xr:uid="{00000000-0005-0000-0000-00006B520000}"/>
    <cellStyle name="Normal 2 2 2 5 2 20 3 2" xfId="21100" xr:uid="{00000000-0005-0000-0000-00006C520000}"/>
    <cellStyle name="Normal 2 2 2 5 2 20 3 3" xfId="21101" xr:uid="{00000000-0005-0000-0000-00006D520000}"/>
    <cellStyle name="Normal 2 2 2 5 2 20 3 4" xfId="21102" xr:uid="{00000000-0005-0000-0000-00006E520000}"/>
    <cellStyle name="Normal 2 2 2 5 2 20 3 5" xfId="21103" xr:uid="{00000000-0005-0000-0000-00006F520000}"/>
    <cellStyle name="Normal 2 2 2 5 2 20 3 6" xfId="21104" xr:uid="{00000000-0005-0000-0000-000070520000}"/>
    <cellStyle name="Normal 2 2 2 5 2 20 3 7" xfId="21105" xr:uid="{00000000-0005-0000-0000-000071520000}"/>
    <cellStyle name="Normal 2 2 2 5 2 20 3 8" xfId="21106" xr:uid="{00000000-0005-0000-0000-000072520000}"/>
    <cellStyle name="Normal 2 2 2 5 2 20 3 9" xfId="21107" xr:uid="{00000000-0005-0000-0000-000073520000}"/>
    <cellStyle name="Normal 2 2 2 5 2 20 4" xfId="21108" xr:uid="{00000000-0005-0000-0000-000074520000}"/>
    <cellStyle name="Normal 2 2 2 5 2 20 4 10" xfId="21109" xr:uid="{00000000-0005-0000-0000-000075520000}"/>
    <cellStyle name="Normal 2 2 2 5 2 20 4 2" xfId="21110" xr:uid="{00000000-0005-0000-0000-000076520000}"/>
    <cellStyle name="Normal 2 2 2 5 2 20 4 3" xfId="21111" xr:uid="{00000000-0005-0000-0000-000077520000}"/>
    <cellStyle name="Normal 2 2 2 5 2 20 4 4" xfId="21112" xr:uid="{00000000-0005-0000-0000-000078520000}"/>
    <cellStyle name="Normal 2 2 2 5 2 20 4 5" xfId="21113" xr:uid="{00000000-0005-0000-0000-000079520000}"/>
    <cellStyle name="Normal 2 2 2 5 2 20 4 6" xfId="21114" xr:uid="{00000000-0005-0000-0000-00007A520000}"/>
    <cellStyle name="Normal 2 2 2 5 2 20 4 7" xfId="21115" xr:uid="{00000000-0005-0000-0000-00007B520000}"/>
    <cellStyle name="Normal 2 2 2 5 2 20 4 8" xfId="21116" xr:uid="{00000000-0005-0000-0000-00007C520000}"/>
    <cellStyle name="Normal 2 2 2 5 2 20 4 9" xfId="21117" xr:uid="{00000000-0005-0000-0000-00007D520000}"/>
    <cellStyle name="Normal 2 2 2 5 2 20 5" xfId="21118" xr:uid="{00000000-0005-0000-0000-00007E520000}"/>
    <cellStyle name="Normal 2 2 2 5 2 20 5 10" xfId="21119" xr:uid="{00000000-0005-0000-0000-00007F520000}"/>
    <cellStyle name="Normal 2 2 2 5 2 20 5 2" xfId="21120" xr:uid="{00000000-0005-0000-0000-000080520000}"/>
    <cellStyle name="Normal 2 2 2 5 2 20 5 3" xfId="21121" xr:uid="{00000000-0005-0000-0000-000081520000}"/>
    <cellStyle name="Normal 2 2 2 5 2 20 5 4" xfId="21122" xr:uid="{00000000-0005-0000-0000-000082520000}"/>
    <cellStyle name="Normal 2 2 2 5 2 20 5 5" xfId="21123" xr:uid="{00000000-0005-0000-0000-000083520000}"/>
    <cellStyle name="Normal 2 2 2 5 2 20 5 6" xfId="21124" xr:uid="{00000000-0005-0000-0000-000084520000}"/>
    <cellStyle name="Normal 2 2 2 5 2 20 5 7" xfId="21125" xr:uid="{00000000-0005-0000-0000-000085520000}"/>
    <cellStyle name="Normal 2 2 2 5 2 20 5 8" xfId="21126" xr:uid="{00000000-0005-0000-0000-000086520000}"/>
    <cellStyle name="Normal 2 2 2 5 2 20 5 9" xfId="21127" xr:uid="{00000000-0005-0000-0000-000087520000}"/>
    <cellStyle name="Normal 2 2 2 5 2 20 6" xfId="21128" xr:uid="{00000000-0005-0000-0000-000088520000}"/>
    <cellStyle name="Normal 2 2 2 5 2 20 7" xfId="21129" xr:uid="{00000000-0005-0000-0000-000089520000}"/>
    <cellStyle name="Normal 2 2 2 5 2 20 8" xfId="21130" xr:uid="{00000000-0005-0000-0000-00008A520000}"/>
    <cellStyle name="Normal 2 2 2 5 2 20 9" xfId="21131" xr:uid="{00000000-0005-0000-0000-00008B520000}"/>
    <cellStyle name="Normal 2 2 2 5 2 21" xfId="21132" xr:uid="{00000000-0005-0000-0000-00008C520000}"/>
    <cellStyle name="Normal 2 2 2 5 2 22" xfId="21133" xr:uid="{00000000-0005-0000-0000-00008D520000}"/>
    <cellStyle name="Normal 2 2 2 5 2 3" xfId="21134" xr:uid="{00000000-0005-0000-0000-00008E520000}"/>
    <cellStyle name="Normal 2 2 2 5 2 3 10" xfId="21135" xr:uid="{00000000-0005-0000-0000-00008F520000}"/>
    <cellStyle name="Normal 2 2 2 5 2 3 11" xfId="21136" xr:uid="{00000000-0005-0000-0000-000090520000}"/>
    <cellStyle name="Normal 2 2 2 5 2 3 12" xfId="21137" xr:uid="{00000000-0005-0000-0000-000091520000}"/>
    <cellStyle name="Normal 2 2 2 5 2 3 13" xfId="21138" xr:uid="{00000000-0005-0000-0000-000092520000}"/>
    <cellStyle name="Normal 2 2 2 5 2 3 14" xfId="21139" xr:uid="{00000000-0005-0000-0000-000093520000}"/>
    <cellStyle name="Normal 2 2 2 5 2 3 2" xfId="21140" xr:uid="{00000000-0005-0000-0000-000094520000}"/>
    <cellStyle name="Normal 2 2 2 5 2 3 2 10" xfId="21141" xr:uid="{00000000-0005-0000-0000-000095520000}"/>
    <cellStyle name="Normal 2 2 2 5 2 3 2 2" xfId="21142" xr:uid="{00000000-0005-0000-0000-000096520000}"/>
    <cellStyle name="Normal 2 2 2 5 2 3 2 3" xfId="21143" xr:uid="{00000000-0005-0000-0000-000097520000}"/>
    <cellStyle name="Normal 2 2 2 5 2 3 2 4" xfId="21144" xr:uid="{00000000-0005-0000-0000-000098520000}"/>
    <cellStyle name="Normal 2 2 2 5 2 3 2 5" xfId="21145" xr:uid="{00000000-0005-0000-0000-000099520000}"/>
    <cellStyle name="Normal 2 2 2 5 2 3 2 6" xfId="21146" xr:uid="{00000000-0005-0000-0000-00009A520000}"/>
    <cellStyle name="Normal 2 2 2 5 2 3 2 7" xfId="21147" xr:uid="{00000000-0005-0000-0000-00009B520000}"/>
    <cellStyle name="Normal 2 2 2 5 2 3 2 8" xfId="21148" xr:uid="{00000000-0005-0000-0000-00009C520000}"/>
    <cellStyle name="Normal 2 2 2 5 2 3 2 9" xfId="21149" xr:uid="{00000000-0005-0000-0000-00009D520000}"/>
    <cellStyle name="Normal 2 2 2 5 2 3 3" xfId="21150" xr:uid="{00000000-0005-0000-0000-00009E520000}"/>
    <cellStyle name="Normal 2 2 2 5 2 3 3 10" xfId="21151" xr:uid="{00000000-0005-0000-0000-00009F520000}"/>
    <cellStyle name="Normal 2 2 2 5 2 3 3 2" xfId="21152" xr:uid="{00000000-0005-0000-0000-0000A0520000}"/>
    <cellStyle name="Normal 2 2 2 5 2 3 3 3" xfId="21153" xr:uid="{00000000-0005-0000-0000-0000A1520000}"/>
    <cellStyle name="Normal 2 2 2 5 2 3 3 4" xfId="21154" xr:uid="{00000000-0005-0000-0000-0000A2520000}"/>
    <cellStyle name="Normal 2 2 2 5 2 3 3 5" xfId="21155" xr:uid="{00000000-0005-0000-0000-0000A3520000}"/>
    <cellStyle name="Normal 2 2 2 5 2 3 3 6" xfId="21156" xr:uid="{00000000-0005-0000-0000-0000A4520000}"/>
    <cellStyle name="Normal 2 2 2 5 2 3 3 7" xfId="21157" xr:uid="{00000000-0005-0000-0000-0000A5520000}"/>
    <cellStyle name="Normal 2 2 2 5 2 3 3 8" xfId="21158" xr:uid="{00000000-0005-0000-0000-0000A6520000}"/>
    <cellStyle name="Normal 2 2 2 5 2 3 3 9" xfId="21159" xr:uid="{00000000-0005-0000-0000-0000A7520000}"/>
    <cellStyle name="Normal 2 2 2 5 2 3 4" xfId="21160" xr:uid="{00000000-0005-0000-0000-0000A8520000}"/>
    <cellStyle name="Normal 2 2 2 5 2 3 4 10" xfId="21161" xr:uid="{00000000-0005-0000-0000-0000A9520000}"/>
    <cellStyle name="Normal 2 2 2 5 2 3 4 2" xfId="21162" xr:uid="{00000000-0005-0000-0000-0000AA520000}"/>
    <cellStyle name="Normal 2 2 2 5 2 3 4 3" xfId="21163" xr:uid="{00000000-0005-0000-0000-0000AB520000}"/>
    <cellStyle name="Normal 2 2 2 5 2 3 4 4" xfId="21164" xr:uid="{00000000-0005-0000-0000-0000AC520000}"/>
    <cellStyle name="Normal 2 2 2 5 2 3 4 5" xfId="21165" xr:uid="{00000000-0005-0000-0000-0000AD520000}"/>
    <cellStyle name="Normal 2 2 2 5 2 3 4 6" xfId="21166" xr:uid="{00000000-0005-0000-0000-0000AE520000}"/>
    <cellStyle name="Normal 2 2 2 5 2 3 4 7" xfId="21167" xr:uid="{00000000-0005-0000-0000-0000AF520000}"/>
    <cellStyle name="Normal 2 2 2 5 2 3 4 8" xfId="21168" xr:uid="{00000000-0005-0000-0000-0000B0520000}"/>
    <cellStyle name="Normal 2 2 2 5 2 3 4 9" xfId="21169" xr:uid="{00000000-0005-0000-0000-0000B1520000}"/>
    <cellStyle name="Normal 2 2 2 5 2 3 5" xfId="21170" xr:uid="{00000000-0005-0000-0000-0000B2520000}"/>
    <cellStyle name="Normal 2 2 2 5 2 3 5 10" xfId="21171" xr:uid="{00000000-0005-0000-0000-0000B3520000}"/>
    <cellStyle name="Normal 2 2 2 5 2 3 5 2" xfId="21172" xr:uid="{00000000-0005-0000-0000-0000B4520000}"/>
    <cellStyle name="Normal 2 2 2 5 2 3 5 3" xfId="21173" xr:uid="{00000000-0005-0000-0000-0000B5520000}"/>
    <cellStyle name="Normal 2 2 2 5 2 3 5 4" xfId="21174" xr:uid="{00000000-0005-0000-0000-0000B6520000}"/>
    <cellStyle name="Normal 2 2 2 5 2 3 5 5" xfId="21175" xr:uid="{00000000-0005-0000-0000-0000B7520000}"/>
    <cellStyle name="Normal 2 2 2 5 2 3 5 6" xfId="21176" xr:uid="{00000000-0005-0000-0000-0000B8520000}"/>
    <cellStyle name="Normal 2 2 2 5 2 3 5 7" xfId="21177" xr:uid="{00000000-0005-0000-0000-0000B9520000}"/>
    <cellStyle name="Normal 2 2 2 5 2 3 5 8" xfId="21178" xr:uid="{00000000-0005-0000-0000-0000BA520000}"/>
    <cellStyle name="Normal 2 2 2 5 2 3 5 9" xfId="21179" xr:uid="{00000000-0005-0000-0000-0000BB520000}"/>
    <cellStyle name="Normal 2 2 2 5 2 3 6" xfId="21180" xr:uid="{00000000-0005-0000-0000-0000BC520000}"/>
    <cellStyle name="Normal 2 2 2 5 2 3 7" xfId="21181" xr:uid="{00000000-0005-0000-0000-0000BD520000}"/>
    <cellStyle name="Normal 2 2 2 5 2 3 8" xfId="21182" xr:uid="{00000000-0005-0000-0000-0000BE520000}"/>
    <cellStyle name="Normal 2 2 2 5 2 3 9" xfId="21183" xr:uid="{00000000-0005-0000-0000-0000BF520000}"/>
    <cellStyle name="Normal 2 2 2 5 2 4" xfId="21184" xr:uid="{00000000-0005-0000-0000-0000C0520000}"/>
    <cellStyle name="Normal 2 2 2 5 2 4 10" xfId="21185" xr:uid="{00000000-0005-0000-0000-0000C1520000}"/>
    <cellStyle name="Normal 2 2 2 5 2 4 11" xfId="21186" xr:uid="{00000000-0005-0000-0000-0000C2520000}"/>
    <cellStyle name="Normal 2 2 2 5 2 4 12" xfId="21187" xr:uid="{00000000-0005-0000-0000-0000C3520000}"/>
    <cellStyle name="Normal 2 2 2 5 2 4 13" xfId="21188" xr:uid="{00000000-0005-0000-0000-0000C4520000}"/>
    <cellStyle name="Normal 2 2 2 5 2 4 14" xfId="21189" xr:uid="{00000000-0005-0000-0000-0000C5520000}"/>
    <cellStyle name="Normal 2 2 2 5 2 4 2" xfId="21190" xr:uid="{00000000-0005-0000-0000-0000C6520000}"/>
    <cellStyle name="Normal 2 2 2 5 2 4 2 10" xfId="21191" xr:uid="{00000000-0005-0000-0000-0000C7520000}"/>
    <cellStyle name="Normal 2 2 2 5 2 4 2 2" xfId="21192" xr:uid="{00000000-0005-0000-0000-0000C8520000}"/>
    <cellStyle name="Normal 2 2 2 5 2 4 2 3" xfId="21193" xr:uid="{00000000-0005-0000-0000-0000C9520000}"/>
    <cellStyle name="Normal 2 2 2 5 2 4 2 4" xfId="21194" xr:uid="{00000000-0005-0000-0000-0000CA520000}"/>
    <cellStyle name="Normal 2 2 2 5 2 4 2 5" xfId="21195" xr:uid="{00000000-0005-0000-0000-0000CB520000}"/>
    <cellStyle name="Normal 2 2 2 5 2 4 2 6" xfId="21196" xr:uid="{00000000-0005-0000-0000-0000CC520000}"/>
    <cellStyle name="Normal 2 2 2 5 2 4 2 7" xfId="21197" xr:uid="{00000000-0005-0000-0000-0000CD520000}"/>
    <cellStyle name="Normal 2 2 2 5 2 4 2 8" xfId="21198" xr:uid="{00000000-0005-0000-0000-0000CE520000}"/>
    <cellStyle name="Normal 2 2 2 5 2 4 2 9" xfId="21199" xr:uid="{00000000-0005-0000-0000-0000CF520000}"/>
    <cellStyle name="Normal 2 2 2 5 2 4 3" xfId="21200" xr:uid="{00000000-0005-0000-0000-0000D0520000}"/>
    <cellStyle name="Normal 2 2 2 5 2 4 3 10" xfId="21201" xr:uid="{00000000-0005-0000-0000-0000D1520000}"/>
    <cellStyle name="Normal 2 2 2 5 2 4 3 2" xfId="21202" xr:uid="{00000000-0005-0000-0000-0000D2520000}"/>
    <cellStyle name="Normal 2 2 2 5 2 4 3 3" xfId="21203" xr:uid="{00000000-0005-0000-0000-0000D3520000}"/>
    <cellStyle name="Normal 2 2 2 5 2 4 3 4" xfId="21204" xr:uid="{00000000-0005-0000-0000-0000D4520000}"/>
    <cellStyle name="Normal 2 2 2 5 2 4 3 5" xfId="21205" xr:uid="{00000000-0005-0000-0000-0000D5520000}"/>
    <cellStyle name="Normal 2 2 2 5 2 4 3 6" xfId="21206" xr:uid="{00000000-0005-0000-0000-0000D6520000}"/>
    <cellStyle name="Normal 2 2 2 5 2 4 3 7" xfId="21207" xr:uid="{00000000-0005-0000-0000-0000D7520000}"/>
    <cellStyle name="Normal 2 2 2 5 2 4 3 8" xfId="21208" xr:uid="{00000000-0005-0000-0000-0000D8520000}"/>
    <cellStyle name="Normal 2 2 2 5 2 4 3 9" xfId="21209" xr:uid="{00000000-0005-0000-0000-0000D9520000}"/>
    <cellStyle name="Normal 2 2 2 5 2 4 4" xfId="21210" xr:uid="{00000000-0005-0000-0000-0000DA520000}"/>
    <cellStyle name="Normal 2 2 2 5 2 4 4 10" xfId="21211" xr:uid="{00000000-0005-0000-0000-0000DB520000}"/>
    <cellStyle name="Normal 2 2 2 5 2 4 4 2" xfId="21212" xr:uid="{00000000-0005-0000-0000-0000DC520000}"/>
    <cellStyle name="Normal 2 2 2 5 2 4 4 3" xfId="21213" xr:uid="{00000000-0005-0000-0000-0000DD520000}"/>
    <cellStyle name="Normal 2 2 2 5 2 4 4 4" xfId="21214" xr:uid="{00000000-0005-0000-0000-0000DE520000}"/>
    <cellStyle name="Normal 2 2 2 5 2 4 4 5" xfId="21215" xr:uid="{00000000-0005-0000-0000-0000DF520000}"/>
    <cellStyle name="Normal 2 2 2 5 2 4 4 6" xfId="21216" xr:uid="{00000000-0005-0000-0000-0000E0520000}"/>
    <cellStyle name="Normal 2 2 2 5 2 4 4 7" xfId="21217" xr:uid="{00000000-0005-0000-0000-0000E1520000}"/>
    <cellStyle name="Normal 2 2 2 5 2 4 4 8" xfId="21218" xr:uid="{00000000-0005-0000-0000-0000E2520000}"/>
    <cellStyle name="Normal 2 2 2 5 2 4 4 9" xfId="21219" xr:uid="{00000000-0005-0000-0000-0000E3520000}"/>
    <cellStyle name="Normal 2 2 2 5 2 4 5" xfId="21220" xr:uid="{00000000-0005-0000-0000-0000E4520000}"/>
    <cellStyle name="Normal 2 2 2 5 2 4 5 10" xfId="21221" xr:uid="{00000000-0005-0000-0000-0000E5520000}"/>
    <cellStyle name="Normal 2 2 2 5 2 4 5 2" xfId="21222" xr:uid="{00000000-0005-0000-0000-0000E6520000}"/>
    <cellStyle name="Normal 2 2 2 5 2 4 5 3" xfId="21223" xr:uid="{00000000-0005-0000-0000-0000E7520000}"/>
    <cellStyle name="Normal 2 2 2 5 2 4 5 4" xfId="21224" xr:uid="{00000000-0005-0000-0000-0000E8520000}"/>
    <cellStyle name="Normal 2 2 2 5 2 4 5 5" xfId="21225" xr:uid="{00000000-0005-0000-0000-0000E9520000}"/>
    <cellStyle name="Normal 2 2 2 5 2 4 5 6" xfId="21226" xr:uid="{00000000-0005-0000-0000-0000EA520000}"/>
    <cellStyle name="Normal 2 2 2 5 2 4 5 7" xfId="21227" xr:uid="{00000000-0005-0000-0000-0000EB520000}"/>
    <cellStyle name="Normal 2 2 2 5 2 4 5 8" xfId="21228" xr:uid="{00000000-0005-0000-0000-0000EC520000}"/>
    <cellStyle name="Normal 2 2 2 5 2 4 5 9" xfId="21229" xr:uid="{00000000-0005-0000-0000-0000ED520000}"/>
    <cellStyle name="Normal 2 2 2 5 2 4 6" xfId="21230" xr:uid="{00000000-0005-0000-0000-0000EE520000}"/>
    <cellStyle name="Normal 2 2 2 5 2 4 7" xfId="21231" xr:uid="{00000000-0005-0000-0000-0000EF520000}"/>
    <cellStyle name="Normal 2 2 2 5 2 4 8" xfId="21232" xr:uid="{00000000-0005-0000-0000-0000F0520000}"/>
    <cellStyle name="Normal 2 2 2 5 2 4 9" xfId="21233" xr:uid="{00000000-0005-0000-0000-0000F1520000}"/>
    <cellStyle name="Normal 2 2 2 5 2 5" xfId="21234" xr:uid="{00000000-0005-0000-0000-0000F2520000}"/>
    <cellStyle name="Normal 2 2 2 5 2 5 10" xfId="21235" xr:uid="{00000000-0005-0000-0000-0000F3520000}"/>
    <cellStyle name="Normal 2 2 2 5 2 5 11" xfId="21236" xr:uid="{00000000-0005-0000-0000-0000F4520000}"/>
    <cellStyle name="Normal 2 2 2 5 2 5 12" xfId="21237" xr:uid="{00000000-0005-0000-0000-0000F5520000}"/>
    <cellStyle name="Normal 2 2 2 5 2 5 13" xfId="21238" xr:uid="{00000000-0005-0000-0000-0000F6520000}"/>
    <cellStyle name="Normal 2 2 2 5 2 5 14" xfId="21239" xr:uid="{00000000-0005-0000-0000-0000F7520000}"/>
    <cellStyle name="Normal 2 2 2 5 2 5 2" xfId="21240" xr:uid="{00000000-0005-0000-0000-0000F8520000}"/>
    <cellStyle name="Normal 2 2 2 5 2 5 2 10" xfId="21241" xr:uid="{00000000-0005-0000-0000-0000F9520000}"/>
    <cellStyle name="Normal 2 2 2 5 2 5 2 2" xfId="21242" xr:uid="{00000000-0005-0000-0000-0000FA520000}"/>
    <cellStyle name="Normal 2 2 2 5 2 5 2 3" xfId="21243" xr:uid="{00000000-0005-0000-0000-0000FB520000}"/>
    <cellStyle name="Normal 2 2 2 5 2 5 2 4" xfId="21244" xr:uid="{00000000-0005-0000-0000-0000FC520000}"/>
    <cellStyle name="Normal 2 2 2 5 2 5 2 5" xfId="21245" xr:uid="{00000000-0005-0000-0000-0000FD520000}"/>
    <cellStyle name="Normal 2 2 2 5 2 5 2 6" xfId="21246" xr:uid="{00000000-0005-0000-0000-0000FE520000}"/>
    <cellStyle name="Normal 2 2 2 5 2 5 2 7" xfId="21247" xr:uid="{00000000-0005-0000-0000-0000FF520000}"/>
    <cellStyle name="Normal 2 2 2 5 2 5 2 8" xfId="21248" xr:uid="{00000000-0005-0000-0000-000000530000}"/>
    <cellStyle name="Normal 2 2 2 5 2 5 2 9" xfId="21249" xr:uid="{00000000-0005-0000-0000-000001530000}"/>
    <cellStyle name="Normal 2 2 2 5 2 5 3" xfId="21250" xr:uid="{00000000-0005-0000-0000-000002530000}"/>
    <cellStyle name="Normal 2 2 2 5 2 5 3 10" xfId="21251" xr:uid="{00000000-0005-0000-0000-000003530000}"/>
    <cellStyle name="Normal 2 2 2 5 2 5 3 2" xfId="21252" xr:uid="{00000000-0005-0000-0000-000004530000}"/>
    <cellStyle name="Normal 2 2 2 5 2 5 3 3" xfId="21253" xr:uid="{00000000-0005-0000-0000-000005530000}"/>
    <cellStyle name="Normal 2 2 2 5 2 5 3 4" xfId="21254" xr:uid="{00000000-0005-0000-0000-000006530000}"/>
    <cellStyle name="Normal 2 2 2 5 2 5 3 5" xfId="21255" xr:uid="{00000000-0005-0000-0000-000007530000}"/>
    <cellStyle name="Normal 2 2 2 5 2 5 3 6" xfId="21256" xr:uid="{00000000-0005-0000-0000-000008530000}"/>
    <cellStyle name="Normal 2 2 2 5 2 5 3 7" xfId="21257" xr:uid="{00000000-0005-0000-0000-000009530000}"/>
    <cellStyle name="Normal 2 2 2 5 2 5 3 8" xfId="21258" xr:uid="{00000000-0005-0000-0000-00000A530000}"/>
    <cellStyle name="Normal 2 2 2 5 2 5 3 9" xfId="21259" xr:uid="{00000000-0005-0000-0000-00000B530000}"/>
    <cellStyle name="Normal 2 2 2 5 2 5 4" xfId="21260" xr:uid="{00000000-0005-0000-0000-00000C530000}"/>
    <cellStyle name="Normal 2 2 2 5 2 5 4 10" xfId="21261" xr:uid="{00000000-0005-0000-0000-00000D530000}"/>
    <cellStyle name="Normal 2 2 2 5 2 5 4 2" xfId="21262" xr:uid="{00000000-0005-0000-0000-00000E530000}"/>
    <cellStyle name="Normal 2 2 2 5 2 5 4 3" xfId="21263" xr:uid="{00000000-0005-0000-0000-00000F530000}"/>
    <cellStyle name="Normal 2 2 2 5 2 5 4 4" xfId="21264" xr:uid="{00000000-0005-0000-0000-000010530000}"/>
    <cellStyle name="Normal 2 2 2 5 2 5 4 5" xfId="21265" xr:uid="{00000000-0005-0000-0000-000011530000}"/>
    <cellStyle name="Normal 2 2 2 5 2 5 4 6" xfId="21266" xr:uid="{00000000-0005-0000-0000-000012530000}"/>
    <cellStyle name="Normal 2 2 2 5 2 5 4 7" xfId="21267" xr:uid="{00000000-0005-0000-0000-000013530000}"/>
    <cellStyle name="Normal 2 2 2 5 2 5 4 8" xfId="21268" xr:uid="{00000000-0005-0000-0000-000014530000}"/>
    <cellStyle name="Normal 2 2 2 5 2 5 4 9" xfId="21269" xr:uid="{00000000-0005-0000-0000-000015530000}"/>
    <cellStyle name="Normal 2 2 2 5 2 5 5" xfId="21270" xr:uid="{00000000-0005-0000-0000-000016530000}"/>
    <cellStyle name="Normal 2 2 2 5 2 5 5 10" xfId="21271" xr:uid="{00000000-0005-0000-0000-000017530000}"/>
    <cellStyle name="Normal 2 2 2 5 2 5 5 2" xfId="21272" xr:uid="{00000000-0005-0000-0000-000018530000}"/>
    <cellStyle name="Normal 2 2 2 5 2 5 5 3" xfId="21273" xr:uid="{00000000-0005-0000-0000-000019530000}"/>
    <cellStyle name="Normal 2 2 2 5 2 5 5 4" xfId="21274" xr:uid="{00000000-0005-0000-0000-00001A530000}"/>
    <cellStyle name="Normal 2 2 2 5 2 5 5 5" xfId="21275" xr:uid="{00000000-0005-0000-0000-00001B530000}"/>
    <cellStyle name="Normal 2 2 2 5 2 5 5 6" xfId="21276" xr:uid="{00000000-0005-0000-0000-00001C530000}"/>
    <cellStyle name="Normal 2 2 2 5 2 5 5 7" xfId="21277" xr:uid="{00000000-0005-0000-0000-00001D530000}"/>
    <cellStyle name="Normal 2 2 2 5 2 5 5 8" xfId="21278" xr:uid="{00000000-0005-0000-0000-00001E530000}"/>
    <cellStyle name="Normal 2 2 2 5 2 5 5 9" xfId="21279" xr:uid="{00000000-0005-0000-0000-00001F530000}"/>
    <cellStyle name="Normal 2 2 2 5 2 5 6" xfId="21280" xr:uid="{00000000-0005-0000-0000-000020530000}"/>
    <cellStyle name="Normal 2 2 2 5 2 5 7" xfId="21281" xr:uid="{00000000-0005-0000-0000-000021530000}"/>
    <cellStyle name="Normal 2 2 2 5 2 5 8" xfId="21282" xr:uid="{00000000-0005-0000-0000-000022530000}"/>
    <cellStyle name="Normal 2 2 2 5 2 5 9" xfId="21283" xr:uid="{00000000-0005-0000-0000-000023530000}"/>
    <cellStyle name="Normal 2 2 2 5 2 6" xfId="21284" xr:uid="{00000000-0005-0000-0000-000024530000}"/>
    <cellStyle name="Normal 2 2 2 5 2 6 10" xfId="21285" xr:uid="{00000000-0005-0000-0000-000025530000}"/>
    <cellStyle name="Normal 2 2 2 5 2 6 11" xfId="21286" xr:uid="{00000000-0005-0000-0000-000026530000}"/>
    <cellStyle name="Normal 2 2 2 5 2 6 12" xfId="21287" xr:uid="{00000000-0005-0000-0000-000027530000}"/>
    <cellStyle name="Normal 2 2 2 5 2 6 13" xfId="21288" xr:uid="{00000000-0005-0000-0000-000028530000}"/>
    <cellStyle name="Normal 2 2 2 5 2 6 14" xfId="21289" xr:uid="{00000000-0005-0000-0000-000029530000}"/>
    <cellStyle name="Normal 2 2 2 5 2 6 2" xfId="21290" xr:uid="{00000000-0005-0000-0000-00002A530000}"/>
    <cellStyle name="Normal 2 2 2 5 2 6 2 10" xfId="21291" xr:uid="{00000000-0005-0000-0000-00002B530000}"/>
    <cellStyle name="Normal 2 2 2 5 2 6 2 2" xfId="21292" xr:uid="{00000000-0005-0000-0000-00002C530000}"/>
    <cellStyle name="Normal 2 2 2 5 2 6 2 3" xfId="21293" xr:uid="{00000000-0005-0000-0000-00002D530000}"/>
    <cellStyle name="Normal 2 2 2 5 2 6 2 4" xfId="21294" xr:uid="{00000000-0005-0000-0000-00002E530000}"/>
    <cellStyle name="Normal 2 2 2 5 2 6 2 5" xfId="21295" xr:uid="{00000000-0005-0000-0000-00002F530000}"/>
    <cellStyle name="Normal 2 2 2 5 2 6 2 6" xfId="21296" xr:uid="{00000000-0005-0000-0000-000030530000}"/>
    <cellStyle name="Normal 2 2 2 5 2 6 2 7" xfId="21297" xr:uid="{00000000-0005-0000-0000-000031530000}"/>
    <cellStyle name="Normal 2 2 2 5 2 6 2 8" xfId="21298" xr:uid="{00000000-0005-0000-0000-000032530000}"/>
    <cellStyle name="Normal 2 2 2 5 2 6 2 9" xfId="21299" xr:uid="{00000000-0005-0000-0000-000033530000}"/>
    <cellStyle name="Normal 2 2 2 5 2 6 3" xfId="21300" xr:uid="{00000000-0005-0000-0000-000034530000}"/>
    <cellStyle name="Normal 2 2 2 5 2 6 3 10" xfId="21301" xr:uid="{00000000-0005-0000-0000-000035530000}"/>
    <cellStyle name="Normal 2 2 2 5 2 6 3 2" xfId="21302" xr:uid="{00000000-0005-0000-0000-000036530000}"/>
    <cellStyle name="Normal 2 2 2 5 2 6 3 3" xfId="21303" xr:uid="{00000000-0005-0000-0000-000037530000}"/>
    <cellStyle name="Normal 2 2 2 5 2 6 3 4" xfId="21304" xr:uid="{00000000-0005-0000-0000-000038530000}"/>
    <cellStyle name="Normal 2 2 2 5 2 6 3 5" xfId="21305" xr:uid="{00000000-0005-0000-0000-000039530000}"/>
    <cellStyle name="Normal 2 2 2 5 2 6 3 6" xfId="21306" xr:uid="{00000000-0005-0000-0000-00003A530000}"/>
    <cellStyle name="Normal 2 2 2 5 2 6 3 7" xfId="21307" xr:uid="{00000000-0005-0000-0000-00003B530000}"/>
    <cellStyle name="Normal 2 2 2 5 2 6 3 8" xfId="21308" xr:uid="{00000000-0005-0000-0000-00003C530000}"/>
    <cellStyle name="Normal 2 2 2 5 2 6 3 9" xfId="21309" xr:uid="{00000000-0005-0000-0000-00003D530000}"/>
    <cellStyle name="Normal 2 2 2 5 2 6 4" xfId="21310" xr:uid="{00000000-0005-0000-0000-00003E530000}"/>
    <cellStyle name="Normal 2 2 2 5 2 6 4 10" xfId="21311" xr:uid="{00000000-0005-0000-0000-00003F530000}"/>
    <cellStyle name="Normal 2 2 2 5 2 6 4 2" xfId="21312" xr:uid="{00000000-0005-0000-0000-000040530000}"/>
    <cellStyle name="Normal 2 2 2 5 2 6 4 3" xfId="21313" xr:uid="{00000000-0005-0000-0000-000041530000}"/>
    <cellStyle name="Normal 2 2 2 5 2 6 4 4" xfId="21314" xr:uid="{00000000-0005-0000-0000-000042530000}"/>
    <cellStyle name="Normal 2 2 2 5 2 6 4 5" xfId="21315" xr:uid="{00000000-0005-0000-0000-000043530000}"/>
    <cellStyle name="Normal 2 2 2 5 2 6 4 6" xfId="21316" xr:uid="{00000000-0005-0000-0000-000044530000}"/>
    <cellStyle name="Normal 2 2 2 5 2 6 4 7" xfId="21317" xr:uid="{00000000-0005-0000-0000-000045530000}"/>
    <cellStyle name="Normal 2 2 2 5 2 6 4 8" xfId="21318" xr:uid="{00000000-0005-0000-0000-000046530000}"/>
    <cellStyle name="Normal 2 2 2 5 2 6 4 9" xfId="21319" xr:uid="{00000000-0005-0000-0000-000047530000}"/>
    <cellStyle name="Normal 2 2 2 5 2 6 5" xfId="21320" xr:uid="{00000000-0005-0000-0000-000048530000}"/>
    <cellStyle name="Normal 2 2 2 5 2 6 5 10" xfId="21321" xr:uid="{00000000-0005-0000-0000-000049530000}"/>
    <cellStyle name="Normal 2 2 2 5 2 6 5 2" xfId="21322" xr:uid="{00000000-0005-0000-0000-00004A530000}"/>
    <cellStyle name="Normal 2 2 2 5 2 6 5 3" xfId="21323" xr:uid="{00000000-0005-0000-0000-00004B530000}"/>
    <cellStyle name="Normal 2 2 2 5 2 6 5 4" xfId="21324" xr:uid="{00000000-0005-0000-0000-00004C530000}"/>
    <cellStyle name="Normal 2 2 2 5 2 6 5 5" xfId="21325" xr:uid="{00000000-0005-0000-0000-00004D530000}"/>
    <cellStyle name="Normal 2 2 2 5 2 6 5 6" xfId="21326" xr:uid="{00000000-0005-0000-0000-00004E530000}"/>
    <cellStyle name="Normal 2 2 2 5 2 6 5 7" xfId="21327" xr:uid="{00000000-0005-0000-0000-00004F530000}"/>
    <cellStyle name="Normal 2 2 2 5 2 6 5 8" xfId="21328" xr:uid="{00000000-0005-0000-0000-000050530000}"/>
    <cellStyle name="Normal 2 2 2 5 2 6 5 9" xfId="21329" xr:uid="{00000000-0005-0000-0000-000051530000}"/>
    <cellStyle name="Normal 2 2 2 5 2 6 6" xfId="21330" xr:uid="{00000000-0005-0000-0000-000052530000}"/>
    <cellStyle name="Normal 2 2 2 5 2 6 7" xfId="21331" xr:uid="{00000000-0005-0000-0000-000053530000}"/>
    <cellStyle name="Normal 2 2 2 5 2 6 8" xfId="21332" xr:uid="{00000000-0005-0000-0000-000054530000}"/>
    <cellStyle name="Normal 2 2 2 5 2 6 9" xfId="21333" xr:uid="{00000000-0005-0000-0000-000055530000}"/>
    <cellStyle name="Normal 2 2 2 5 2 7" xfId="21334" xr:uid="{00000000-0005-0000-0000-000056530000}"/>
    <cellStyle name="Normal 2 2 2 5 2 7 10" xfId="21335" xr:uid="{00000000-0005-0000-0000-000057530000}"/>
    <cellStyle name="Normal 2 2 2 5 2 7 11" xfId="21336" xr:uid="{00000000-0005-0000-0000-000058530000}"/>
    <cellStyle name="Normal 2 2 2 5 2 7 12" xfId="21337" xr:uid="{00000000-0005-0000-0000-000059530000}"/>
    <cellStyle name="Normal 2 2 2 5 2 7 13" xfId="21338" xr:uid="{00000000-0005-0000-0000-00005A530000}"/>
    <cellStyle name="Normal 2 2 2 5 2 7 14" xfId="21339" xr:uid="{00000000-0005-0000-0000-00005B530000}"/>
    <cellStyle name="Normal 2 2 2 5 2 7 2" xfId="21340" xr:uid="{00000000-0005-0000-0000-00005C530000}"/>
    <cellStyle name="Normal 2 2 2 5 2 7 2 10" xfId="21341" xr:uid="{00000000-0005-0000-0000-00005D530000}"/>
    <cellStyle name="Normal 2 2 2 5 2 7 2 2" xfId="21342" xr:uid="{00000000-0005-0000-0000-00005E530000}"/>
    <cellStyle name="Normal 2 2 2 5 2 7 2 3" xfId="21343" xr:uid="{00000000-0005-0000-0000-00005F530000}"/>
    <cellStyle name="Normal 2 2 2 5 2 7 2 4" xfId="21344" xr:uid="{00000000-0005-0000-0000-000060530000}"/>
    <cellStyle name="Normal 2 2 2 5 2 7 2 5" xfId="21345" xr:uid="{00000000-0005-0000-0000-000061530000}"/>
    <cellStyle name="Normal 2 2 2 5 2 7 2 6" xfId="21346" xr:uid="{00000000-0005-0000-0000-000062530000}"/>
    <cellStyle name="Normal 2 2 2 5 2 7 2 7" xfId="21347" xr:uid="{00000000-0005-0000-0000-000063530000}"/>
    <cellStyle name="Normal 2 2 2 5 2 7 2 8" xfId="21348" xr:uid="{00000000-0005-0000-0000-000064530000}"/>
    <cellStyle name="Normal 2 2 2 5 2 7 2 9" xfId="21349" xr:uid="{00000000-0005-0000-0000-000065530000}"/>
    <cellStyle name="Normal 2 2 2 5 2 7 3" xfId="21350" xr:uid="{00000000-0005-0000-0000-000066530000}"/>
    <cellStyle name="Normal 2 2 2 5 2 7 3 10" xfId="21351" xr:uid="{00000000-0005-0000-0000-000067530000}"/>
    <cellStyle name="Normal 2 2 2 5 2 7 3 2" xfId="21352" xr:uid="{00000000-0005-0000-0000-000068530000}"/>
    <cellStyle name="Normal 2 2 2 5 2 7 3 3" xfId="21353" xr:uid="{00000000-0005-0000-0000-000069530000}"/>
    <cellStyle name="Normal 2 2 2 5 2 7 3 4" xfId="21354" xr:uid="{00000000-0005-0000-0000-00006A530000}"/>
    <cellStyle name="Normal 2 2 2 5 2 7 3 5" xfId="21355" xr:uid="{00000000-0005-0000-0000-00006B530000}"/>
    <cellStyle name="Normal 2 2 2 5 2 7 3 6" xfId="21356" xr:uid="{00000000-0005-0000-0000-00006C530000}"/>
    <cellStyle name="Normal 2 2 2 5 2 7 3 7" xfId="21357" xr:uid="{00000000-0005-0000-0000-00006D530000}"/>
    <cellStyle name="Normal 2 2 2 5 2 7 3 8" xfId="21358" xr:uid="{00000000-0005-0000-0000-00006E530000}"/>
    <cellStyle name="Normal 2 2 2 5 2 7 3 9" xfId="21359" xr:uid="{00000000-0005-0000-0000-00006F530000}"/>
    <cellStyle name="Normal 2 2 2 5 2 7 4" xfId="21360" xr:uid="{00000000-0005-0000-0000-000070530000}"/>
    <cellStyle name="Normal 2 2 2 5 2 7 4 10" xfId="21361" xr:uid="{00000000-0005-0000-0000-000071530000}"/>
    <cellStyle name="Normal 2 2 2 5 2 7 4 2" xfId="21362" xr:uid="{00000000-0005-0000-0000-000072530000}"/>
    <cellStyle name="Normal 2 2 2 5 2 7 4 3" xfId="21363" xr:uid="{00000000-0005-0000-0000-000073530000}"/>
    <cellStyle name="Normal 2 2 2 5 2 7 4 4" xfId="21364" xr:uid="{00000000-0005-0000-0000-000074530000}"/>
    <cellStyle name="Normal 2 2 2 5 2 7 4 5" xfId="21365" xr:uid="{00000000-0005-0000-0000-000075530000}"/>
    <cellStyle name="Normal 2 2 2 5 2 7 4 6" xfId="21366" xr:uid="{00000000-0005-0000-0000-000076530000}"/>
    <cellStyle name="Normal 2 2 2 5 2 7 4 7" xfId="21367" xr:uid="{00000000-0005-0000-0000-000077530000}"/>
    <cellStyle name="Normal 2 2 2 5 2 7 4 8" xfId="21368" xr:uid="{00000000-0005-0000-0000-000078530000}"/>
    <cellStyle name="Normal 2 2 2 5 2 7 4 9" xfId="21369" xr:uid="{00000000-0005-0000-0000-000079530000}"/>
    <cellStyle name="Normal 2 2 2 5 2 7 5" xfId="21370" xr:uid="{00000000-0005-0000-0000-00007A530000}"/>
    <cellStyle name="Normal 2 2 2 5 2 7 5 10" xfId="21371" xr:uid="{00000000-0005-0000-0000-00007B530000}"/>
    <cellStyle name="Normal 2 2 2 5 2 7 5 2" xfId="21372" xr:uid="{00000000-0005-0000-0000-00007C530000}"/>
    <cellStyle name="Normal 2 2 2 5 2 7 5 3" xfId="21373" xr:uid="{00000000-0005-0000-0000-00007D530000}"/>
    <cellStyle name="Normal 2 2 2 5 2 7 5 4" xfId="21374" xr:uid="{00000000-0005-0000-0000-00007E530000}"/>
    <cellStyle name="Normal 2 2 2 5 2 7 5 5" xfId="21375" xr:uid="{00000000-0005-0000-0000-00007F530000}"/>
    <cellStyle name="Normal 2 2 2 5 2 7 5 6" xfId="21376" xr:uid="{00000000-0005-0000-0000-000080530000}"/>
    <cellStyle name="Normal 2 2 2 5 2 7 5 7" xfId="21377" xr:uid="{00000000-0005-0000-0000-000081530000}"/>
    <cellStyle name="Normal 2 2 2 5 2 7 5 8" xfId="21378" xr:uid="{00000000-0005-0000-0000-000082530000}"/>
    <cellStyle name="Normal 2 2 2 5 2 7 5 9" xfId="21379" xr:uid="{00000000-0005-0000-0000-000083530000}"/>
    <cellStyle name="Normal 2 2 2 5 2 7 6" xfId="21380" xr:uid="{00000000-0005-0000-0000-000084530000}"/>
    <cellStyle name="Normal 2 2 2 5 2 7 7" xfId="21381" xr:uid="{00000000-0005-0000-0000-000085530000}"/>
    <cellStyle name="Normal 2 2 2 5 2 7 8" xfId="21382" xr:uid="{00000000-0005-0000-0000-000086530000}"/>
    <cellStyle name="Normal 2 2 2 5 2 7 9" xfId="21383" xr:uid="{00000000-0005-0000-0000-000087530000}"/>
    <cellStyle name="Normal 2 2 2 5 2 8" xfId="21384" xr:uid="{00000000-0005-0000-0000-000088530000}"/>
    <cellStyle name="Normal 2 2 2 5 2 8 10" xfId="21385" xr:uid="{00000000-0005-0000-0000-000089530000}"/>
    <cellStyle name="Normal 2 2 2 5 2 8 11" xfId="21386" xr:uid="{00000000-0005-0000-0000-00008A530000}"/>
    <cellStyle name="Normal 2 2 2 5 2 8 12" xfId="21387" xr:uid="{00000000-0005-0000-0000-00008B530000}"/>
    <cellStyle name="Normal 2 2 2 5 2 8 13" xfId="21388" xr:uid="{00000000-0005-0000-0000-00008C530000}"/>
    <cellStyle name="Normal 2 2 2 5 2 8 14" xfId="21389" xr:uid="{00000000-0005-0000-0000-00008D530000}"/>
    <cellStyle name="Normal 2 2 2 5 2 8 2" xfId="21390" xr:uid="{00000000-0005-0000-0000-00008E530000}"/>
    <cellStyle name="Normal 2 2 2 5 2 8 2 10" xfId="21391" xr:uid="{00000000-0005-0000-0000-00008F530000}"/>
    <cellStyle name="Normal 2 2 2 5 2 8 2 2" xfId="21392" xr:uid="{00000000-0005-0000-0000-000090530000}"/>
    <cellStyle name="Normal 2 2 2 5 2 8 2 3" xfId="21393" xr:uid="{00000000-0005-0000-0000-000091530000}"/>
    <cellStyle name="Normal 2 2 2 5 2 8 2 4" xfId="21394" xr:uid="{00000000-0005-0000-0000-000092530000}"/>
    <cellStyle name="Normal 2 2 2 5 2 8 2 5" xfId="21395" xr:uid="{00000000-0005-0000-0000-000093530000}"/>
    <cellStyle name="Normal 2 2 2 5 2 8 2 6" xfId="21396" xr:uid="{00000000-0005-0000-0000-000094530000}"/>
    <cellStyle name="Normal 2 2 2 5 2 8 2 7" xfId="21397" xr:uid="{00000000-0005-0000-0000-000095530000}"/>
    <cellStyle name="Normal 2 2 2 5 2 8 2 8" xfId="21398" xr:uid="{00000000-0005-0000-0000-000096530000}"/>
    <cellStyle name="Normal 2 2 2 5 2 8 2 9" xfId="21399" xr:uid="{00000000-0005-0000-0000-000097530000}"/>
    <cellStyle name="Normal 2 2 2 5 2 8 3" xfId="21400" xr:uid="{00000000-0005-0000-0000-000098530000}"/>
    <cellStyle name="Normal 2 2 2 5 2 8 3 10" xfId="21401" xr:uid="{00000000-0005-0000-0000-000099530000}"/>
    <cellStyle name="Normal 2 2 2 5 2 8 3 2" xfId="21402" xr:uid="{00000000-0005-0000-0000-00009A530000}"/>
    <cellStyle name="Normal 2 2 2 5 2 8 3 3" xfId="21403" xr:uid="{00000000-0005-0000-0000-00009B530000}"/>
    <cellStyle name="Normal 2 2 2 5 2 8 3 4" xfId="21404" xr:uid="{00000000-0005-0000-0000-00009C530000}"/>
    <cellStyle name="Normal 2 2 2 5 2 8 3 5" xfId="21405" xr:uid="{00000000-0005-0000-0000-00009D530000}"/>
    <cellStyle name="Normal 2 2 2 5 2 8 3 6" xfId="21406" xr:uid="{00000000-0005-0000-0000-00009E530000}"/>
    <cellStyle name="Normal 2 2 2 5 2 8 3 7" xfId="21407" xr:uid="{00000000-0005-0000-0000-00009F530000}"/>
    <cellStyle name="Normal 2 2 2 5 2 8 3 8" xfId="21408" xr:uid="{00000000-0005-0000-0000-0000A0530000}"/>
    <cellStyle name="Normal 2 2 2 5 2 8 3 9" xfId="21409" xr:uid="{00000000-0005-0000-0000-0000A1530000}"/>
    <cellStyle name="Normal 2 2 2 5 2 8 4" xfId="21410" xr:uid="{00000000-0005-0000-0000-0000A2530000}"/>
    <cellStyle name="Normal 2 2 2 5 2 8 4 10" xfId="21411" xr:uid="{00000000-0005-0000-0000-0000A3530000}"/>
    <cellStyle name="Normal 2 2 2 5 2 8 4 2" xfId="21412" xr:uid="{00000000-0005-0000-0000-0000A4530000}"/>
    <cellStyle name="Normal 2 2 2 5 2 8 4 3" xfId="21413" xr:uid="{00000000-0005-0000-0000-0000A5530000}"/>
    <cellStyle name="Normal 2 2 2 5 2 8 4 4" xfId="21414" xr:uid="{00000000-0005-0000-0000-0000A6530000}"/>
    <cellStyle name="Normal 2 2 2 5 2 8 4 5" xfId="21415" xr:uid="{00000000-0005-0000-0000-0000A7530000}"/>
    <cellStyle name="Normal 2 2 2 5 2 8 4 6" xfId="21416" xr:uid="{00000000-0005-0000-0000-0000A8530000}"/>
    <cellStyle name="Normal 2 2 2 5 2 8 4 7" xfId="21417" xr:uid="{00000000-0005-0000-0000-0000A9530000}"/>
    <cellStyle name="Normal 2 2 2 5 2 8 4 8" xfId="21418" xr:uid="{00000000-0005-0000-0000-0000AA530000}"/>
    <cellStyle name="Normal 2 2 2 5 2 8 4 9" xfId="21419" xr:uid="{00000000-0005-0000-0000-0000AB530000}"/>
    <cellStyle name="Normal 2 2 2 5 2 8 5" xfId="21420" xr:uid="{00000000-0005-0000-0000-0000AC530000}"/>
    <cellStyle name="Normal 2 2 2 5 2 8 5 10" xfId="21421" xr:uid="{00000000-0005-0000-0000-0000AD530000}"/>
    <cellStyle name="Normal 2 2 2 5 2 8 5 2" xfId="21422" xr:uid="{00000000-0005-0000-0000-0000AE530000}"/>
    <cellStyle name="Normal 2 2 2 5 2 8 5 3" xfId="21423" xr:uid="{00000000-0005-0000-0000-0000AF530000}"/>
    <cellStyle name="Normal 2 2 2 5 2 8 5 4" xfId="21424" xr:uid="{00000000-0005-0000-0000-0000B0530000}"/>
    <cellStyle name="Normal 2 2 2 5 2 8 5 5" xfId="21425" xr:uid="{00000000-0005-0000-0000-0000B1530000}"/>
    <cellStyle name="Normal 2 2 2 5 2 8 5 6" xfId="21426" xr:uid="{00000000-0005-0000-0000-0000B2530000}"/>
    <cellStyle name="Normal 2 2 2 5 2 8 5 7" xfId="21427" xr:uid="{00000000-0005-0000-0000-0000B3530000}"/>
    <cellStyle name="Normal 2 2 2 5 2 8 5 8" xfId="21428" xr:uid="{00000000-0005-0000-0000-0000B4530000}"/>
    <cellStyle name="Normal 2 2 2 5 2 8 5 9" xfId="21429" xr:uid="{00000000-0005-0000-0000-0000B5530000}"/>
    <cellStyle name="Normal 2 2 2 5 2 8 6" xfId="21430" xr:uid="{00000000-0005-0000-0000-0000B6530000}"/>
    <cellStyle name="Normal 2 2 2 5 2 8 7" xfId="21431" xr:uid="{00000000-0005-0000-0000-0000B7530000}"/>
    <cellStyle name="Normal 2 2 2 5 2 8 8" xfId="21432" xr:uid="{00000000-0005-0000-0000-0000B8530000}"/>
    <cellStyle name="Normal 2 2 2 5 2 8 9" xfId="21433" xr:uid="{00000000-0005-0000-0000-0000B9530000}"/>
    <cellStyle name="Normal 2 2 2 5 2 9" xfId="21434" xr:uid="{00000000-0005-0000-0000-0000BA530000}"/>
    <cellStyle name="Normal 2 2 2 5 2 9 10" xfId="21435" xr:uid="{00000000-0005-0000-0000-0000BB530000}"/>
    <cellStyle name="Normal 2 2 2 5 2 9 11" xfId="21436" xr:uid="{00000000-0005-0000-0000-0000BC530000}"/>
    <cellStyle name="Normal 2 2 2 5 2 9 12" xfId="21437" xr:uid="{00000000-0005-0000-0000-0000BD530000}"/>
    <cellStyle name="Normal 2 2 2 5 2 9 13" xfId="21438" xr:uid="{00000000-0005-0000-0000-0000BE530000}"/>
    <cellStyle name="Normal 2 2 2 5 2 9 14" xfId="21439" xr:uid="{00000000-0005-0000-0000-0000BF530000}"/>
    <cellStyle name="Normal 2 2 2 5 2 9 2" xfId="21440" xr:uid="{00000000-0005-0000-0000-0000C0530000}"/>
    <cellStyle name="Normal 2 2 2 5 2 9 2 10" xfId="21441" xr:uid="{00000000-0005-0000-0000-0000C1530000}"/>
    <cellStyle name="Normal 2 2 2 5 2 9 2 2" xfId="21442" xr:uid="{00000000-0005-0000-0000-0000C2530000}"/>
    <cellStyle name="Normal 2 2 2 5 2 9 2 3" xfId="21443" xr:uid="{00000000-0005-0000-0000-0000C3530000}"/>
    <cellStyle name="Normal 2 2 2 5 2 9 2 4" xfId="21444" xr:uid="{00000000-0005-0000-0000-0000C4530000}"/>
    <cellStyle name="Normal 2 2 2 5 2 9 2 5" xfId="21445" xr:uid="{00000000-0005-0000-0000-0000C5530000}"/>
    <cellStyle name="Normal 2 2 2 5 2 9 2 6" xfId="21446" xr:uid="{00000000-0005-0000-0000-0000C6530000}"/>
    <cellStyle name="Normal 2 2 2 5 2 9 2 7" xfId="21447" xr:uid="{00000000-0005-0000-0000-0000C7530000}"/>
    <cellStyle name="Normal 2 2 2 5 2 9 2 8" xfId="21448" xr:uid="{00000000-0005-0000-0000-0000C8530000}"/>
    <cellStyle name="Normal 2 2 2 5 2 9 2 9" xfId="21449" xr:uid="{00000000-0005-0000-0000-0000C9530000}"/>
    <cellStyle name="Normal 2 2 2 5 2 9 3" xfId="21450" xr:uid="{00000000-0005-0000-0000-0000CA530000}"/>
    <cellStyle name="Normal 2 2 2 5 2 9 3 10" xfId="21451" xr:uid="{00000000-0005-0000-0000-0000CB530000}"/>
    <cellStyle name="Normal 2 2 2 5 2 9 3 2" xfId="21452" xr:uid="{00000000-0005-0000-0000-0000CC530000}"/>
    <cellStyle name="Normal 2 2 2 5 2 9 3 3" xfId="21453" xr:uid="{00000000-0005-0000-0000-0000CD530000}"/>
    <cellStyle name="Normal 2 2 2 5 2 9 3 4" xfId="21454" xr:uid="{00000000-0005-0000-0000-0000CE530000}"/>
    <cellStyle name="Normal 2 2 2 5 2 9 3 5" xfId="21455" xr:uid="{00000000-0005-0000-0000-0000CF530000}"/>
    <cellStyle name="Normal 2 2 2 5 2 9 3 6" xfId="21456" xr:uid="{00000000-0005-0000-0000-0000D0530000}"/>
    <cellStyle name="Normal 2 2 2 5 2 9 3 7" xfId="21457" xr:uid="{00000000-0005-0000-0000-0000D1530000}"/>
    <cellStyle name="Normal 2 2 2 5 2 9 3 8" xfId="21458" xr:uid="{00000000-0005-0000-0000-0000D2530000}"/>
    <cellStyle name="Normal 2 2 2 5 2 9 3 9" xfId="21459" xr:uid="{00000000-0005-0000-0000-0000D3530000}"/>
    <cellStyle name="Normal 2 2 2 5 2 9 4" xfId="21460" xr:uid="{00000000-0005-0000-0000-0000D4530000}"/>
    <cellStyle name="Normal 2 2 2 5 2 9 4 10" xfId="21461" xr:uid="{00000000-0005-0000-0000-0000D5530000}"/>
    <cellStyle name="Normal 2 2 2 5 2 9 4 2" xfId="21462" xr:uid="{00000000-0005-0000-0000-0000D6530000}"/>
    <cellStyle name="Normal 2 2 2 5 2 9 4 3" xfId="21463" xr:uid="{00000000-0005-0000-0000-0000D7530000}"/>
    <cellStyle name="Normal 2 2 2 5 2 9 4 4" xfId="21464" xr:uid="{00000000-0005-0000-0000-0000D8530000}"/>
    <cellStyle name="Normal 2 2 2 5 2 9 4 5" xfId="21465" xr:uid="{00000000-0005-0000-0000-0000D9530000}"/>
    <cellStyle name="Normal 2 2 2 5 2 9 4 6" xfId="21466" xr:uid="{00000000-0005-0000-0000-0000DA530000}"/>
    <cellStyle name="Normal 2 2 2 5 2 9 4 7" xfId="21467" xr:uid="{00000000-0005-0000-0000-0000DB530000}"/>
    <cellStyle name="Normal 2 2 2 5 2 9 4 8" xfId="21468" xr:uid="{00000000-0005-0000-0000-0000DC530000}"/>
    <cellStyle name="Normal 2 2 2 5 2 9 4 9" xfId="21469" xr:uid="{00000000-0005-0000-0000-0000DD530000}"/>
    <cellStyle name="Normal 2 2 2 5 2 9 5" xfId="21470" xr:uid="{00000000-0005-0000-0000-0000DE530000}"/>
    <cellStyle name="Normal 2 2 2 5 2 9 5 10" xfId="21471" xr:uid="{00000000-0005-0000-0000-0000DF530000}"/>
    <cellStyle name="Normal 2 2 2 5 2 9 5 2" xfId="21472" xr:uid="{00000000-0005-0000-0000-0000E0530000}"/>
    <cellStyle name="Normal 2 2 2 5 2 9 5 3" xfId="21473" xr:uid="{00000000-0005-0000-0000-0000E1530000}"/>
    <cellStyle name="Normal 2 2 2 5 2 9 5 4" xfId="21474" xr:uid="{00000000-0005-0000-0000-0000E2530000}"/>
    <cellStyle name="Normal 2 2 2 5 2 9 5 5" xfId="21475" xr:uid="{00000000-0005-0000-0000-0000E3530000}"/>
    <cellStyle name="Normal 2 2 2 5 2 9 5 6" xfId="21476" xr:uid="{00000000-0005-0000-0000-0000E4530000}"/>
    <cellStyle name="Normal 2 2 2 5 2 9 5 7" xfId="21477" xr:uid="{00000000-0005-0000-0000-0000E5530000}"/>
    <cellStyle name="Normal 2 2 2 5 2 9 5 8" xfId="21478" xr:uid="{00000000-0005-0000-0000-0000E6530000}"/>
    <cellStyle name="Normal 2 2 2 5 2 9 5 9" xfId="21479" xr:uid="{00000000-0005-0000-0000-0000E7530000}"/>
    <cellStyle name="Normal 2 2 2 5 2 9 6" xfId="21480" xr:uid="{00000000-0005-0000-0000-0000E8530000}"/>
    <cellStyle name="Normal 2 2 2 5 2 9 7" xfId="21481" xr:uid="{00000000-0005-0000-0000-0000E9530000}"/>
    <cellStyle name="Normal 2 2 2 5 2 9 8" xfId="21482" xr:uid="{00000000-0005-0000-0000-0000EA530000}"/>
    <cellStyle name="Normal 2 2 2 5 2 9 9" xfId="21483" xr:uid="{00000000-0005-0000-0000-0000EB530000}"/>
    <cellStyle name="Normal 2 2 2 5 20" xfId="21484" xr:uid="{00000000-0005-0000-0000-0000EC530000}"/>
    <cellStyle name="Normal 2 2 2 5 21" xfId="21485" xr:uid="{00000000-0005-0000-0000-0000ED530000}"/>
    <cellStyle name="Normal 2 2 2 5 21 10" xfId="21486" xr:uid="{00000000-0005-0000-0000-0000EE530000}"/>
    <cellStyle name="Normal 2 2 2 5 21 2" xfId="21487" xr:uid="{00000000-0005-0000-0000-0000EF530000}"/>
    <cellStyle name="Normal 2 2 2 5 21 3" xfId="21488" xr:uid="{00000000-0005-0000-0000-0000F0530000}"/>
    <cellStyle name="Normal 2 2 2 5 21 4" xfId="21489" xr:uid="{00000000-0005-0000-0000-0000F1530000}"/>
    <cellStyle name="Normal 2 2 2 5 21 5" xfId="21490" xr:uid="{00000000-0005-0000-0000-0000F2530000}"/>
    <cellStyle name="Normal 2 2 2 5 21 6" xfId="21491" xr:uid="{00000000-0005-0000-0000-0000F3530000}"/>
    <cellStyle name="Normal 2 2 2 5 21 7" xfId="21492" xr:uid="{00000000-0005-0000-0000-0000F4530000}"/>
    <cellStyle name="Normal 2 2 2 5 21 8" xfId="21493" xr:uid="{00000000-0005-0000-0000-0000F5530000}"/>
    <cellStyle name="Normal 2 2 2 5 21 9" xfId="21494" xr:uid="{00000000-0005-0000-0000-0000F6530000}"/>
    <cellStyle name="Normal 2 2 2 5 22" xfId="21495" xr:uid="{00000000-0005-0000-0000-0000F7530000}"/>
    <cellStyle name="Normal 2 2 2 5 22 10" xfId="21496" xr:uid="{00000000-0005-0000-0000-0000F8530000}"/>
    <cellStyle name="Normal 2 2 2 5 22 2" xfId="21497" xr:uid="{00000000-0005-0000-0000-0000F9530000}"/>
    <cellStyle name="Normal 2 2 2 5 22 3" xfId="21498" xr:uid="{00000000-0005-0000-0000-0000FA530000}"/>
    <cellStyle name="Normal 2 2 2 5 22 4" xfId="21499" xr:uid="{00000000-0005-0000-0000-0000FB530000}"/>
    <cellStyle name="Normal 2 2 2 5 22 5" xfId="21500" xr:uid="{00000000-0005-0000-0000-0000FC530000}"/>
    <cellStyle name="Normal 2 2 2 5 22 6" xfId="21501" xr:uid="{00000000-0005-0000-0000-0000FD530000}"/>
    <cellStyle name="Normal 2 2 2 5 22 7" xfId="21502" xr:uid="{00000000-0005-0000-0000-0000FE530000}"/>
    <cellStyle name="Normal 2 2 2 5 22 8" xfId="21503" xr:uid="{00000000-0005-0000-0000-0000FF530000}"/>
    <cellStyle name="Normal 2 2 2 5 22 9" xfId="21504" xr:uid="{00000000-0005-0000-0000-000000540000}"/>
    <cellStyle name="Normal 2 2 2 5 23" xfId="21505" xr:uid="{00000000-0005-0000-0000-000001540000}"/>
    <cellStyle name="Normal 2 2 2 5 23 10" xfId="21506" xr:uid="{00000000-0005-0000-0000-000002540000}"/>
    <cellStyle name="Normal 2 2 2 5 23 2" xfId="21507" xr:uid="{00000000-0005-0000-0000-000003540000}"/>
    <cellStyle name="Normal 2 2 2 5 23 3" xfId="21508" xr:uid="{00000000-0005-0000-0000-000004540000}"/>
    <cellStyle name="Normal 2 2 2 5 23 4" xfId="21509" xr:uid="{00000000-0005-0000-0000-000005540000}"/>
    <cellStyle name="Normal 2 2 2 5 23 5" xfId="21510" xr:uid="{00000000-0005-0000-0000-000006540000}"/>
    <cellStyle name="Normal 2 2 2 5 23 6" xfId="21511" xr:uid="{00000000-0005-0000-0000-000007540000}"/>
    <cellStyle name="Normal 2 2 2 5 23 7" xfId="21512" xr:uid="{00000000-0005-0000-0000-000008540000}"/>
    <cellStyle name="Normal 2 2 2 5 23 8" xfId="21513" xr:uid="{00000000-0005-0000-0000-000009540000}"/>
    <cellStyle name="Normal 2 2 2 5 23 9" xfId="21514" xr:uid="{00000000-0005-0000-0000-00000A540000}"/>
    <cellStyle name="Normal 2 2 2 5 24" xfId="21515" xr:uid="{00000000-0005-0000-0000-00000B540000}"/>
    <cellStyle name="Normal 2 2 2 5 24 10" xfId="21516" xr:uid="{00000000-0005-0000-0000-00000C540000}"/>
    <cellStyle name="Normal 2 2 2 5 24 2" xfId="21517" xr:uid="{00000000-0005-0000-0000-00000D540000}"/>
    <cellStyle name="Normal 2 2 2 5 24 3" xfId="21518" xr:uid="{00000000-0005-0000-0000-00000E540000}"/>
    <cellStyle name="Normal 2 2 2 5 24 4" xfId="21519" xr:uid="{00000000-0005-0000-0000-00000F540000}"/>
    <cellStyle name="Normal 2 2 2 5 24 5" xfId="21520" xr:uid="{00000000-0005-0000-0000-000010540000}"/>
    <cellStyle name="Normal 2 2 2 5 24 6" xfId="21521" xr:uid="{00000000-0005-0000-0000-000011540000}"/>
    <cellStyle name="Normal 2 2 2 5 24 7" xfId="21522" xr:uid="{00000000-0005-0000-0000-000012540000}"/>
    <cellStyle name="Normal 2 2 2 5 24 8" xfId="21523" xr:uid="{00000000-0005-0000-0000-000013540000}"/>
    <cellStyle name="Normal 2 2 2 5 24 9" xfId="21524" xr:uid="{00000000-0005-0000-0000-000014540000}"/>
    <cellStyle name="Normal 2 2 2 5 25" xfId="21525" xr:uid="{00000000-0005-0000-0000-000015540000}"/>
    <cellStyle name="Normal 2 2 2 5 26" xfId="21526" xr:uid="{00000000-0005-0000-0000-000016540000}"/>
    <cellStyle name="Normal 2 2 2 5 27" xfId="21527" xr:uid="{00000000-0005-0000-0000-000017540000}"/>
    <cellStyle name="Normal 2 2 2 5 28" xfId="21528" xr:uid="{00000000-0005-0000-0000-000018540000}"/>
    <cellStyle name="Normal 2 2 2 5 29" xfId="21529" xr:uid="{00000000-0005-0000-0000-000019540000}"/>
    <cellStyle name="Normal 2 2 2 5 3" xfId="21530" xr:uid="{00000000-0005-0000-0000-00001A540000}"/>
    <cellStyle name="Normal 2 2 2 5 30" xfId="21531" xr:uid="{00000000-0005-0000-0000-00001B540000}"/>
    <cellStyle name="Normal 2 2 2 5 31" xfId="21532" xr:uid="{00000000-0005-0000-0000-00001C540000}"/>
    <cellStyle name="Normal 2 2 2 5 32" xfId="21533" xr:uid="{00000000-0005-0000-0000-00001D540000}"/>
    <cellStyle name="Normal 2 2 2 5 33" xfId="21534" xr:uid="{00000000-0005-0000-0000-00001E540000}"/>
    <cellStyle name="Normal 2 2 2 5 34" xfId="21535" xr:uid="{00000000-0005-0000-0000-00001F540000}"/>
    <cellStyle name="Normal 2 2 2 5 35" xfId="21536" xr:uid="{00000000-0005-0000-0000-000020540000}"/>
    <cellStyle name="Normal 2 2 2 5 4" xfId="21537" xr:uid="{00000000-0005-0000-0000-000021540000}"/>
    <cellStyle name="Normal 2 2 2 5 5" xfId="21538" xr:uid="{00000000-0005-0000-0000-000022540000}"/>
    <cellStyle name="Normal 2 2 2 5 6" xfId="21539" xr:uid="{00000000-0005-0000-0000-000023540000}"/>
    <cellStyle name="Normal 2 2 2 5 7" xfId="21540" xr:uid="{00000000-0005-0000-0000-000024540000}"/>
    <cellStyle name="Normal 2 2 2 5 8" xfId="21541" xr:uid="{00000000-0005-0000-0000-000025540000}"/>
    <cellStyle name="Normal 2 2 2 5 9" xfId="21542" xr:uid="{00000000-0005-0000-0000-000026540000}"/>
    <cellStyle name="Normal 2 2 2 50" xfId="21543" xr:uid="{00000000-0005-0000-0000-000027540000}"/>
    <cellStyle name="Normal 2 2 2 51" xfId="21544" xr:uid="{00000000-0005-0000-0000-000028540000}"/>
    <cellStyle name="Normal 2 2 2 6" xfId="21545" xr:uid="{00000000-0005-0000-0000-000029540000}"/>
    <cellStyle name="Normal 2 2 2 6 10" xfId="21546" xr:uid="{00000000-0005-0000-0000-00002A540000}"/>
    <cellStyle name="Normal 2 2 2 6 11" xfId="21547" xr:uid="{00000000-0005-0000-0000-00002B540000}"/>
    <cellStyle name="Normal 2 2 2 6 12" xfId="21548" xr:uid="{00000000-0005-0000-0000-00002C540000}"/>
    <cellStyle name="Normal 2 2 2 6 13" xfId="21549" xr:uid="{00000000-0005-0000-0000-00002D540000}"/>
    <cellStyle name="Normal 2 2 2 6 14" xfId="21550" xr:uid="{00000000-0005-0000-0000-00002E540000}"/>
    <cellStyle name="Normal 2 2 2 6 15" xfId="21551" xr:uid="{00000000-0005-0000-0000-00002F540000}"/>
    <cellStyle name="Normal 2 2 2 6 16" xfId="21552" xr:uid="{00000000-0005-0000-0000-000030540000}"/>
    <cellStyle name="Normal 2 2 2 6 2" xfId="21553" xr:uid="{00000000-0005-0000-0000-000031540000}"/>
    <cellStyle name="Normal 2 2 2 6 2 10" xfId="21554" xr:uid="{00000000-0005-0000-0000-000032540000}"/>
    <cellStyle name="Normal 2 2 2 6 2 2" xfId="21555" xr:uid="{00000000-0005-0000-0000-000033540000}"/>
    <cellStyle name="Normal 2 2 2 6 2 3" xfId="21556" xr:uid="{00000000-0005-0000-0000-000034540000}"/>
    <cellStyle name="Normal 2 2 2 6 2 4" xfId="21557" xr:uid="{00000000-0005-0000-0000-000035540000}"/>
    <cellStyle name="Normal 2 2 2 6 2 5" xfId="21558" xr:uid="{00000000-0005-0000-0000-000036540000}"/>
    <cellStyle name="Normal 2 2 2 6 2 6" xfId="21559" xr:uid="{00000000-0005-0000-0000-000037540000}"/>
    <cellStyle name="Normal 2 2 2 6 2 7" xfId="21560" xr:uid="{00000000-0005-0000-0000-000038540000}"/>
    <cellStyle name="Normal 2 2 2 6 2 8" xfId="21561" xr:uid="{00000000-0005-0000-0000-000039540000}"/>
    <cellStyle name="Normal 2 2 2 6 2 9" xfId="21562" xr:uid="{00000000-0005-0000-0000-00003A540000}"/>
    <cellStyle name="Normal 2 2 2 6 3" xfId="21563" xr:uid="{00000000-0005-0000-0000-00003B540000}"/>
    <cellStyle name="Normal 2 2 2 6 3 10" xfId="21564" xr:uid="{00000000-0005-0000-0000-00003C540000}"/>
    <cellStyle name="Normal 2 2 2 6 3 2" xfId="21565" xr:uid="{00000000-0005-0000-0000-00003D540000}"/>
    <cellStyle name="Normal 2 2 2 6 3 3" xfId="21566" xr:uid="{00000000-0005-0000-0000-00003E540000}"/>
    <cellStyle name="Normal 2 2 2 6 3 4" xfId="21567" xr:uid="{00000000-0005-0000-0000-00003F540000}"/>
    <cellStyle name="Normal 2 2 2 6 3 5" xfId="21568" xr:uid="{00000000-0005-0000-0000-000040540000}"/>
    <cellStyle name="Normal 2 2 2 6 3 6" xfId="21569" xr:uid="{00000000-0005-0000-0000-000041540000}"/>
    <cellStyle name="Normal 2 2 2 6 3 7" xfId="21570" xr:uid="{00000000-0005-0000-0000-000042540000}"/>
    <cellStyle name="Normal 2 2 2 6 3 8" xfId="21571" xr:uid="{00000000-0005-0000-0000-000043540000}"/>
    <cellStyle name="Normal 2 2 2 6 3 9" xfId="21572" xr:uid="{00000000-0005-0000-0000-000044540000}"/>
    <cellStyle name="Normal 2 2 2 6 4" xfId="21573" xr:uid="{00000000-0005-0000-0000-000045540000}"/>
    <cellStyle name="Normal 2 2 2 6 4 10" xfId="21574" xr:uid="{00000000-0005-0000-0000-000046540000}"/>
    <cellStyle name="Normal 2 2 2 6 4 2" xfId="21575" xr:uid="{00000000-0005-0000-0000-000047540000}"/>
    <cellStyle name="Normal 2 2 2 6 4 3" xfId="21576" xr:uid="{00000000-0005-0000-0000-000048540000}"/>
    <cellStyle name="Normal 2 2 2 6 4 4" xfId="21577" xr:uid="{00000000-0005-0000-0000-000049540000}"/>
    <cellStyle name="Normal 2 2 2 6 4 5" xfId="21578" xr:uid="{00000000-0005-0000-0000-00004A540000}"/>
    <cellStyle name="Normal 2 2 2 6 4 6" xfId="21579" xr:uid="{00000000-0005-0000-0000-00004B540000}"/>
    <cellStyle name="Normal 2 2 2 6 4 7" xfId="21580" xr:uid="{00000000-0005-0000-0000-00004C540000}"/>
    <cellStyle name="Normal 2 2 2 6 4 8" xfId="21581" xr:uid="{00000000-0005-0000-0000-00004D540000}"/>
    <cellStyle name="Normal 2 2 2 6 4 9" xfId="21582" xr:uid="{00000000-0005-0000-0000-00004E540000}"/>
    <cellStyle name="Normal 2 2 2 6 5" xfId="21583" xr:uid="{00000000-0005-0000-0000-00004F540000}"/>
    <cellStyle name="Normal 2 2 2 6 5 10" xfId="21584" xr:uid="{00000000-0005-0000-0000-000050540000}"/>
    <cellStyle name="Normal 2 2 2 6 5 2" xfId="21585" xr:uid="{00000000-0005-0000-0000-000051540000}"/>
    <cellStyle name="Normal 2 2 2 6 5 3" xfId="21586" xr:uid="{00000000-0005-0000-0000-000052540000}"/>
    <cellStyle name="Normal 2 2 2 6 5 4" xfId="21587" xr:uid="{00000000-0005-0000-0000-000053540000}"/>
    <cellStyle name="Normal 2 2 2 6 5 5" xfId="21588" xr:uid="{00000000-0005-0000-0000-000054540000}"/>
    <cellStyle name="Normal 2 2 2 6 5 6" xfId="21589" xr:uid="{00000000-0005-0000-0000-000055540000}"/>
    <cellStyle name="Normal 2 2 2 6 5 7" xfId="21590" xr:uid="{00000000-0005-0000-0000-000056540000}"/>
    <cellStyle name="Normal 2 2 2 6 5 8" xfId="21591" xr:uid="{00000000-0005-0000-0000-000057540000}"/>
    <cellStyle name="Normal 2 2 2 6 5 9" xfId="21592" xr:uid="{00000000-0005-0000-0000-000058540000}"/>
    <cellStyle name="Normal 2 2 2 6 6" xfId="21593" xr:uid="{00000000-0005-0000-0000-000059540000}"/>
    <cellStyle name="Normal 2 2 2 6 7" xfId="21594" xr:uid="{00000000-0005-0000-0000-00005A540000}"/>
    <cellStyle name="Normal 2 2 2 6 8" xfId="21595" xr:uid="{00000000-0005-0000-0000-00005B540000}"/>
    <cellStyle name="Normal 2 2 2 6 9" xfId="21596" xr:uid="{00000000-0005-0000-0000-00005C540000}"/>
    <cellStyle name="Normal 2 2 2 7" xfId="21597" xr:uid="{00000000-0005-0000-0000-00005D540000}"/>
    <cellStyle name="Normal 2 2 2 7 10" xfId="21598" xr:uid="{00000000-0005-0000-0000-00005E540000}"/>
    <cellStyle name="Normal 2 2 2 7 11" xfId="21599" xr:uid="{00000000-0005-0000-0000-00005F540000}"/>
    <cellStyle name="Normal 2 2 2 7 12" xfId="21600" xr:uid="{00000000-0005-0000-0000-000060540000}"/>
    <cellStyle name="Normal 2 2 2 7 13" xfId="21601" xr:uid="{00000000-0005-0000-0000-000061540000}"/>
    <cellStyle name="Normal 2 2 2 7 14" xfId="21602" xr:uid="{00000000-0005-0000-0000-000062540000}"/>
    <cellStyle name="Normal 2 2 2 7 15" xfId="21603" xr:uid="{00000000-0005-0000-0000-000063540000}"/>
    <cellStyle name="Normal 2 2 2 7 16" xfId="21604" xr:uid="{00000000-0005-0000-0000-000064540000}"/>
    <cellStyle name="Normal 2 2 2 7 2" xfId="21605" xr:uid="{00000000-0005-0000-0000-000065540000}"/>
    <cellStyle name="Normal 2 2 2 7 2 10" xfId="21606" xr:uid="{00000000-0005-0000-0000-000066540000}"/>
    <cellStyle name="Normal 2 2 2 7 2 2" xfId="21607" xr:uid="{00000000-0005-0000-0000-000067540000}"/>
    <cellStyle name="Normal 2 2 2 7 2 3" xfId="21608" xr:uid="{00000000-0005-0000-0000-000068540000}"/>
    <cellStyle name="Normal 2 2 2 7 2 4" xfId="21609" xr:uid="{00000000-0005-0000-0000-000069540000}"/>
    <cellStyle name="Normal 2 2 2 7 2 5" xfId="21610" xr:uid="{00000000-0005-0000-0000-00006A540000}"/>
    <cellStyle name="Normal 2 2 2 7 2 6" xfId="21611" xr:uid="{00000000-0005-0000-0000-00006B540000}"/>
    <cellStyle name="Normal 2 2 2 7 2 7" xfId="21612" xr:uid="{00000000-0005-0000-0000-00006C540000}"/>
    <cellStyle name="Normal 2 2 2 7 2 8" xfId="21613" xr:uid="{00000000-0005-0000-0000-00006D540000}"/>
    <cellStyle name="Normal 2 2 2 7 2 9" xfId="21614" xr:uid="{00000000-0005-0000-0000-00006E540000}"/>
    <cellStyle name="Normal 2 2 2 7 3" xfId="21615" xr:uid="{00000000-0005-0000-0000-00006F540000}"/>
    <cellStyle name="Normal 2 2 2 7 3 10" xfId="21616" xr:uid="{00000000-0005-0000-0000-000070540000}"/>
    <cellStyle name="Normal 2 2 2 7 3 2" xfId="21617" xr:uid="{00000000-0005-0000-0000-000071540000}"/>
    <cellStyle name="Normal 2 2 2 7 3 3" xfId="21618" xr:uid="{00000000-0005-0000-0000-000072540000}"/>
    <cellStyle name="Normal 2 2 2 7 3 4" xfId="21619" xr:uid="{00000000-0005-0000-0000-000073540000}"/>
    <cellStyle name="Normal 2 2 2 7 3 5" xfId="21620" xr:uid="{00000000-0005-0000-0000-000074540000}"/>
    <cellStyle name="Normal 2 2 2 7 3 6" xfId="21621" xr:uid="{00000000-0005-0000-0000-000075540000}"/>
    <cellStyle name="Normal 2 2 2 7 3 7" xfId="21622" xr:uid="{00000000-0005-0000-0000-000076540000}"/>
    <cellStyle name="Normal 2 2 2 7 3 8" xfId="21623" xr:uid="{00000000-0005-0000-0000-000077540000}"/>
    <cellStyle name="Normal 2 2 2 7 3 9" xfId="21624" xr:uid="{00000000-0005-0000-0000-000078540000}"/>
    <cellStyle name="Normal 2 2 2 7 4" xfId="21625" xr:uid="{00000000-0005-0000-0000-000079540000}"/>
    <cellStyle name="Normal 2 2 2 7 4 10" xfId="21626" xr:uid="{00000000-0005-0000-0000-00007A540000}"/>
    <cellStyle name="Normal 2 2 2 7 4 2" xfId="21627" xr:uid="{00000000-0005-0000-0000-00007B540000}"/>
    <cellStyle name="Normal 2 2 2 7 4 3" xfId="21628" xr:uid="{00000000-0005-0000-0000-00007C540000}"/>
    <cellStyle name="Normal 2 2 2 7 4 4" xfId="21629" xr:uid="{00000000-0005-0000-0000-00007D540000}"/>
    <cellStyle name="Normal 2 2 2 7 4 5" xfId="21630" xr:uid="{00000000-0005-0000-0000-00007E540000}"/>
    <cellStyle name="Normal 2 2 2 7 4 6" xfId="21631" xr:uid="{00000000-0005-0000-0000-00007F540000}"/>
    <cellStyle name="Normal 2 2 2 7 4 7" xfId="21632" xr:uid="{00000000-0005-0000-0000-000080540000}"/>
    <cellStyle name="Normal 2 2 2 7 4 8" xfId="21633" xr:uid="{00000000-0005-0000-0000-000081540000}"/>
    <cellStyle name="Normal 2 2 2 7 4 9" xfId="21634" xr:uid="{00000000-0005-0000-0000-000082540000}"/>
    <cellStyle name="Normal 2 2 2 7 5" xfId="21635" xr:uid="{00000000-0005-0000-0000-000083540000}"/>
    <cellStyle name="Normal 2 2 2 7 5 10" xfId="21636" xr:uid="{00000000-0005-0000-0000-000084540000}"/>
    <cellStyle name="Normal 2 2 2 7 5 2" xfId="21637" xr:uid="{00000000-0005-0000-0000-000085540000}"/>
    <cellStyle name="Normal 2 2 2 7 5 3" xfId="21638" xr:uid="{00000000-0005-0000-0000-000086540000}"/>
    <cellStyle name="Normal 2 2 2 7 5 4" xfId="21639" xr:uid="{00000000-0005-0000-0000-000087540000}"/>
    <cellStyle name="Normal 2 2 2 7 5 5" xfId="21640" xr:uid="{00000000-0005-0000-0000-000088540000}"/>
    <cellStyle name="Normal 2 2 2 7 5 6" xfId="21641" xr:uid="{00000000-0005-0000-0000-000089540000}"/>
    <cellStyle name="Normal 2 2 2 7 5 7" xfId="21642" xr:uid="{00000000-0005-0000-0000-00008A540000}"/>
    <cellStyle name="Normal 2 2 2 7 5 8" xfId="21643" xr:uid="{00000000-0005-0000-0000-00008B540000}"/>
    <cellStyle name="Normal 2 2 2 7 5 9" xfId="21644" xr:uid="{00000000-0005-0000-0000-00008C540000}"/>
    <cellStyle name="Normal 2 2 2 7 6" xfId="21645" xr:uid="{00000000-0005-0000-0000-00008D540000}"/>
    <cellStyle name="Normal 2 2 2 7 7" xfId="21646" xr:uid="{00000000-0005-0000-0000-00008E540000}"/>
    <cellStyle name="Normal 2 2 2 7 8" xfId="21647" xr:uid="{00000000-0005-0000-0000-00008F540000}"/>
    <cellStyle name="Normal 2 2 2 7 9" xfId="21648" xr:uid="{00000000-0005-0000-0000-000090540000}"/>
    <cellStyle name="Normal 2 2 2 8" xfId="21649" xr:uid="{00000000-0005-0000-0000-000091540000}"/>
    <cellStyle name="Normal 2 2 2 8 10" xfId="21650" xr:uid="{00000000-0005-0000-0000-000092540000}"/>
    <cellStyle name="Normal 2 2 2 8 11" xfId="21651" xr:uid="{00000000-0005-0000-0000-000093540000}"/>
    <cellStyle name="Normal 2 2 2 8 12" xfId="21652" xr:uid="{00000000-0005-0000-0000-000094540000}"/>
    <cellStyle name="Normal 2 2 2 8 13" xfId="21653" xr:uid="{00000000-0005-0000-0000-000095540000}"/>
    <cellStyle name="Normal 2 2 2 8 14" xfId="21654" xr:uid="{00000000-0005-0000-0000-000096540000}"/>
    <cellStyle name="Normal 2 2 2 8 2" xfId="21655" xr:uid="{00000000-0005-0000-0000-000097540000}"/>
    <cellStyle name="Normal 2 2 2 8 2 10" xfId="21656" xr:uid="{00000000-0005-0000-0000-000098540000}"/>
    <cellStyle name="Normal 2 2 2 8 2 2" xfId="21657" xr:uid="{00000000-0005-0000-0000-000099540000}"/>
    <cellStyle name="Normal 2 2 2 8 2 3" xfId="21658" xr:uid="{00000000-0005-0000-0000-00009A540000}"/>
    <cellStyle name="Normal 2 2 2 8 2 4" xfId="21659" xr:uid="{00000000-0005-0000-0000-00009B540000}"/>
    <cellStyle name="Normal 2 2 2 8 2 5" xfId="21660" xr:uid="{00000000-0005-0000-0000-00009C540000}"/>
    <cellStyle name="Normal 2 2 2 8 2 6" xfId="21661" xr:uid="{00000000-0005-0000-0000-00009D540000}"/>
    <cellStyle name="Normal 2 2 2 8 2 7" xfId="21662" xr:uid="{00000000-0005-0000-0000-00009E540000}"/>
    <cellStyle name="Normal 2 2 2 8 2 8" xfId="21663" xr:uid="{00000000-0005-0000-0000-00009F540000}"/>
    <cellStyle name="Normal 2 2 2 8 2 9" xfId="21664" xr:uid="{00000000-0005-0000-0000-0000A0540000}"/>
    <cellStyle name="Normal 2 2 2 8 3" xfId="21665" xr:uid="{00000000-0005-0000-0000-0000A1540000}"/>
    <cellStyle name="Normal 2 2 2 8 3 10" xfId="21666" xr:uid="{00000000-0005-0000-0000-0000A2540000}"/>
    <cellStyle name="Normal 2 2 2 8 3 2" xfId="21667" xr:uid="{00000000-0005-0000-0000-0000A3540000}"/>
    <cellStyle name="Normal 2 2 2 8 3 3" xfId="21668" xr:uid="{00000000-0005-0000-0000-0000A4540000}"/>
    <cellStyle name="Normal 2 2 2 8 3 4" xfId="21669" xr:uid="{00000000-0005-0000-0000-0000A5540000}"/>
    <cellStyle name="Normal 2 2 2 8 3 5" xfId="21670" xr:uid="{00000000-0005-0000-0000-0000A6540000}"/>
    <cellStyle name="Normal 2 2 2 8 3 6" xfId="21671" xr:uid="{00000000-0005-0000-0000-0000A7540000}"/>
    <cellStyle name="Normal 2 2 2 8 3 7" xfId="21672" xr:uid="{00000000-0005-0000-0000-0000A8540000}"/>
    <cellStyle name="Normal 2 2 2 8 3 8" xfId="21673" xr:uid="{00000000-0005-0000-0000-0000A9540000}"/>
    <cellStyle name="Normal 2 2 2 8 3 9" xfId="21674" xr:uid="{00000000-0005-0000-0000-0000AA540000}"/>
    <cellStyle name="Normal 2 2 2 8 4" xfId="21675" xr:uid="{00000000-0005-0000-0000-0000AB540000}"/>
    <cellStyle name="Normal 2 2 2 8 4 10" xfId="21676" xr:uid="{00000000-0005-0000-0000-0000AC540000}"/>
    <cellStyle name="Normal 2 2 2 8 4 2" xfId="21677" xr:uid="{00000000-0005-0000-0000-0000AD540000}"/>
    <cellStyle name="Normal 2 2 2 8 4 3" xfId="21678" xr:uid="{00000000-0005-0000-0000-0000AE540000}"/>
    <cellStyle name="Normal 2 2 2 8 4 4" xfId="21679" xr:uid="{00000000-0005-0000-0000-0000AF540000}"/>
    <cellStyle name="Normal 2 2 2 8 4 5" xfId="21680" xr:uid="{00000000-0005-0000-0000-0000B0540000}"/>
    <cellStyle name="Normal 2 2 2 8 4 6" xfId="21681" xr:uid="{00000000-0005-0000-0000-0000B1540000}"/>
    <cellStyle name="Normal 2 2 2 8 4 7" xfId="21682" xr:uid="{00000000-0005-0000-0000-0000B2540000}"/>
    <cellStyle name="Normal 2 2 2 8 4 8" xfId="21683" xr:uid="{00000000-0005-0000-0000-0000B3540000}"/>
    <cellStyle name="Normal 2 2 2 8 4 9" xfId="21684" xr:uid="{00000000-0005-0000-0000-0000B4540000}"/>
    <cellStyle name="Normal 2 2 2 8 5" xfId="21685" xr:uid="{00000000-0005-0000-0000-0000B5540000}"/>
    <cellStyle name="Normal 2 2 2 8 5 10" xfId="21686" xr:uid="{00000000-0005-0000-0000-0000B6540000}"/>
    <cellStyle name="Normal 2 2 2 8 5 2" xfId="21687" xr:uid="{00000000-0005-0000-0000-0000B7540000}"/>
    <cellStyle name="Normal 2 2 2 8 5 3" xfId="21688" xr:uid="{00000000-0005-0000-0000-0000B8540000}"/>
    <cellStyle name="Normal 2 2 2 8 5 4" xfId="21689" xr:uid="{00000000-0005-0000-0000-0000B9540000}"/>
    <cellStyle name="Normal 2 2 2 8 5 5" xfId="21690" xr:uid="{00000000-0005-0000-0000-0000BA540000}"/>
    <cellStyle name="Normal 2 2 2 8 5 6" xfId="21691" xr:uid="{00000000-0005-0000-0000-0000BB540000}"/>
    <cellStyle name="Normal 2 2 2 8 5 7" xfId="21692" xr:uid="{00000000-0005-0000-0000-0000BC540000}"/>
    <cellStyle name="Normal 2 2 2 8 5 8" xfId="21693" xr:uid="{00000000-0005-0000-0000-0000BD540000}"/>
    <cellStyle name="Normal 2 2 2 8 5 9" xfId="21694" xr:uid="{00000000-0005-0000-0000-0000BE540000}"/>
    <cellStyle name="Normal 2 2 2 8 6" xfId="21695" xr:uid="{00000000-0005-0000-0000-0000BF540000}"/>
    <cellStyle name="Normal 2 2 2 8 7" xfId="21696" xr:uid="{00000000-0005-0000-0000-0000C0540000}"/>
    <cellStyle name="Normal 2 2 2 8 8" xfId="21697" xr:uid="{00000000-0005-0000-0000-0000C1540000}"/>
    <cellStyle name="Normal 2 2 2 8 9" xfId="21698" xr:uid="{00000000-0005-0000-0000-0000C2540000}"/>
    <cellStyle name="Normal 2 2 2 9" xfId="21699" xr:uid="{00000000-0005-0000-0000-0000C3540000}"/>
    <cellStyle name="Normal 2 2 2 9 10" xfId="21700" xr:uid="{00000000-0005-0000-0000-0000C4540000}"/>
    <cellStyle name="Normal 2 2 2 9 11" xfId="21701" xr:uid="{00000000-0005-0000-0000-0000C5540000}"/>
    <cellStyle name="Normal 2 2 2 9 12" xfId="21702" xr:uid="{00000000-0005-0000-0000-0000C6540000}"/>
    <cellStyle name="Normal 2 2 2 9 13" xfId="21703" xr:uid="{00000000-0005-0000-0000-0000C7540000}"/>
    <cellStyle name="Normal 2 2 2 9 14" xfId="21704" xr:uid="{00000000-0005-0000-0000-0000C8540000}"/>
    <cellStyle name="Normal 2 2 2 9 2" xfId="21705" xr:uid="{00000000-0005-0000-0000-0000C9540000}"/>
    <cellStyle name="Normal 2 2 2 9 2 10" xfId="21706" xr:uid="{00000000-0005-0000-0000-0000CA540000}"/>
    <cellStyle name="Normal 2 2 2 9 2 2" xfId="21707" xr:uid="{00000000-0005-0000-0000-0000CB540000}"/>
    <cellStyle name="Normal 2 2 2 9 2 3" xfId="21708" xr:uid="{00000000-0005-0000-0000-0000CC540000}"/>
    <cellStyle name="Normal 2 2 2 9 2 4" xfId="21709" xr:uid="{00000000-0005-0000-0000-0000CD540000}"/>
    <cellStyle name="Normal 2 2 2 9 2 5" xfId="21710" xr:uid="{00000000-0005-0000-0000-0000CE540000}"/>
    <cellStyle name="Normal 2 2 2 9 2 6" xfId="21711" xr:uid="{00000000-0005-0000-0000-0000CF540000}"/>
    <cellStyle name="Normal 2 2 2 9 2 7" xfId="21712" xr:uid="{00000000-0005-0000-0000-0000D0540000}"/>
    <cellStyle name="Normal 2 2 2 9 2 8" xfId="21713" xr:uid="{00000000-0005-0000-0000-0000D1540000}"/>
    <cellStyle name="Normal 2 2 2 9 2 9" xfId="21714" xr:uid="{00000000-0005-0000-0000-0000D2540000}"/>
    <cellStyle name="Normal 2 2 2 9 3" xfId="21715" xr:uid="{00000000-0005-0000-0000-0000D3540000}"/>
    <cellStyle name="Normal 2 2 2 9 3 10" xfId="21716" xr:uid="{00000000-0005-0000-0000-0000D4540000}"/>
    <cellStyle name="Normal 2 2 2 9 3 2" xfId="21717" xr:uid="{00000000-0005-0000-0000-0000D5540000}"/>
    <cellStyle name="Normal 2 2 2 9 3 3" xfId="21718" xr:uid="{00000000-0005-0000-0000-0000D6540000}"/>
    <cellStyle name="Normal 2 2 2 9 3 4" xfId="21719" xr:uid="{00000000-0005-0000-0000-0000D7540000}"/>
    <cellStyle name="Normal 2 2 2 9 3 5" xfId="21720" xr:uid="{00000000-0005-0000-0000-0000D8540000}"/>
    <cellStyle name="Normal 2 2 2 9 3 6" xfId="21721" xr:uid="{00000000-0005-0000-0000-0000D9540000}"/>
    <cellStyle name="Normal 2 2 2 9 3 7" xfId="21722" xr:uid="{00000000-0005-0000-0000-0000DA540000}"/>
    <cellStyle name="Normal 2 2 2 9 3 8" xfId="21723" xr:uid="{00000000-0005-0000-0000-0000DB540000}"/>
    <cellStyle name="Normal 2 2 2 9 3 9" xfId="21724" xr:uid="{00000000-0005-0000-0000-0000DC540000}"/>
    <cellStyle name="Normal 2 2 2 9 4" xfId="21725" xr:uid="{00000000-0005-0000-0000-0000DD540000}"/>
    <cellStyle name="Normal 2 2 2 9 4 10" xfId="21726" xr:uid="{00000000-0005-0000-0000-0000DE540000}"/>
    <cellStyle name="Normal 2 2 2 9 4 2" xfId="21727" xr:uid="{00000000-0005-0000-0000-0000DF540000}"/>
    <cellStyle name="Normal 2 2 2 9 4 3" xfId="21728" xr:uid="{00000000-0005-0000-0000-0000E0540000}"/>
    <cellStyle name="Normal 2 2 2 9 4 4" xfId="21729" xr:uid="{00000000-0005-0000-0000-0000E1540000}"/>
    <cellStyle name="Normal 2 2 2 9 4 5" xfId="21730" xr:uid="{00000000-0005-0000-0000-0000E2540000}"/>
    <cellStyle name="Normal 2 2 2 9 4 6" xfId="21731" xr:uid="{00000000-0005-0000-0000-0000E3540000}"/>
    <cellStyle name="Normal 2 2 2 9 4 7" xfId="21732" xr:uid="{00000000-0005-0000-0000-0000E4540000}"/>
    <cellStyle name="Normal 2 2 2 9 4 8" xfId="21733" xr:uid="{00000000-0005-0000-0000-0000E5540000}"/>
    <cellStyle name="Normal 2 2 2 9 4 9" xfId="21734" xr:uid="{00000000-0005-0000-0000-0000E6540000}"/>
    <cellStyle name="Normal 2 2 2 9 5" xfId="21735" xr:uid="{00000000-0005-0000-0000-0000E7540000}"/>
    <cellStyle name="Normal 2 2 2 9 5 10" xfId="21736" xr:uid="{00000000-0005-0000-0000-0000E8540000}"/>
    <cellStyle name="Normal 2 2 2 9 5 2" xfId="21737" xr:uid="{00000000-0005-0000-0000-0000E9540000}"/>
    <cellStyle name="Normal 2 2 2 9 5 3" xfId="21738" xr:uid="{00000000-0005-0000-0000-0000EA540000}"/>
    <cellStyle name="Normal 2 2 2 9 5 4" xfId="21739" xr:uid="{00000000-0005-0000-0000-0000EB540000}"/>
    <cellStyle name="Normal 2 2 2 9 5 5" xfId="21740" xr:uid="{00000000-0005-0000-0000-0000EC540000}"/>
    <cellStyle name="Normal 2 2 2 9 5 6" xfId="21741" xr:uid="{00000000-0005-0000-0000-0000ED540000}"/>
    <cellStyle name="Normal 2 2 2 9 5 7" xfId="21742" xr:uid="{00000000-0005-0000-0000-0000EE540000}"/>
    <cellStyle name="Normal 2 2 2 9 5 8" xfId="21743" xr:uid="{00000000-0005-0000-0000-0000EF540000}"/>
    <cellStyle name="Normal 2 2 2 9 5 9" xfId="21744" xr:uid="{00000000-0005-0000-0000-0000F0540000}"/>
    <cellStyle name="Normal 2 2 2 9 6" xfId="21745" xr:uid="{00000000-0005-0000-0000-0000F1540000}"/>
    <cellStyle name="Normal 2 2 2 9 7" xfId="21746" xr:uid="{00000000-0005-0000-0000-0000F2540000}"/>
    <cellStyle name="Normal 2 2 2 9 8" xfId="21747" xr:uid="{00000000-0005-0000-0000-0000F3540000}"/>
    <cellStyle name="Normal 2 2 2 9 9" xfId="21748" xr:uid="{00000000-0005-0000-0000-0000F4540000}"/>
    <cellStyle name="Normal 2 2 20" xfId="21749" xr:uid="{00000000-0005-0000-0000-0000F5540000}"/>
    <cellStyle name="Normal 2 2 21" xfId="21750" xr:uid="{00000000-0005-0000-0000-0000F6540000}"/>
    <cellStyle name="Normal 2 2 22" xfId="21751" xr:uid="{00000000-0005-0000-0000-0000F7540000}"/>
    <cellStyle name="Normal 2 2 23" xfId="21752" xr:uid="{00000000-0005-0000-0000-0000F8540000}"/>
    <cellStyle name="Normal 2 2 24" xfId="21753" xr:uid="{00000000-0005-0000-0000-0000F9540000}"/>
    <cellStyle name="Normal 2 2 25" xfId="21754" xr:uid="{00000000-0005-0000-0000-0000FA540000}"/>
    <cellStyle name="Normal 2 2 26" xfId="21755" xr:uid="{00000000-0005-0000-0000-0000FB540000}"/>
    <cellStyle name="Normal 2 2 27" xfId="21756" xr:uid="{00000000-0005-0000-0000-0000FC540000}"/>
    <cellStyle name="Normal 2 2 28" xfId="21757" xr:uid="{00000000-0005-0000-0000-0000FD540000}"/>
    <cellStyle name="Normal 2 2 29" xfId="21758" xr:uid="{00000000-0005-0000-0000-0000FE540000}"/>
    <cellStyle name="Normal 2 2 3" xfId="25" xr:uid="{00000000-0005-0000-0000-000019000000}"/>
    <cellStyle name="Normal 2 2 3 2" xfId="52" xr:uid="{00000000-0005-0000-0000-000034000000}"/>
    <cellStyle name="Normal 2 2 3 2 2" xfId="21760" xr:uid="{00000000-0005-0000-0000-000000550000}"/>
    <cellStyle name="Normal 2 2 3 3" xfId="21761" xr:uid="{00000000-0005-0000-0000-000001550000}"/>
    <cellStyle name="Normal 2 2 3 4" xfId="21762" xr:uid="{00000000-0005-0000-0000-000002550000}"/>
    <cellStyle name="Normal 2 2 3 5" xfId="21759" xr:uid="{00000000-0005-0000-0000-0000FF540000}"/>
    <cellStyle name="Normal 2 2 30" xfId="21763" xr:uid="{00000000-0005-0000-0000-000003550000}"/>
    <cellStyle name="Normal 2 2 31" xfId="21764" xr:uid="{00000000-0005-0000-0000-000004550000}"/>
    <cellStyle name="Normal 2 2 32" xfId="21765" xr:uid="{00000000-0005-0000-0000-000005550000}"/>
    <cellStyle name="Normal 2 2 33" xfId="21766" xr:uid="{00000000-0005-0000-0000-000006550000}"/>
    <cellStyle name="Normal 2 2 34" xfId="21767" xr:uid="{00000000-0005-0000-0000-000007550000}"/>
    <cellStyle name="Normal 2 2 35" xfId="21768" xr:uid="{00000000-0005-0000-0000-000008550000}"/>
    <cellStyle name="Normal 2 2 36" xfId="21769" xr:uid="{00000000-0005-0000-0000-000009550000}"/>
    <cellStyle name="Normal 2 2 37" xfId="21770" xr:uid="{00000000-0005-0000-0000-00000A550000}"/>
    <cellStyle name="Normal 2 2 38" xfId="21771" xr:uid="{00000000-0005-0000-0000-00000B550000}"/>
    <cellStyle name="Normal 2 2 39" xfId="21772" xr:uid="{00000000-0005-0000-0000-00000C550000}"/>
    <cellStyle name="Normal 2 2 4" xfId="14" xr:uid="{00000000-0005-0000-0000-00000E000000}"/>
    <cellStyle name="Normal 2 2 4 10" xfId="21774" xr:uid="{00000000-0005-0000-0000-00000E550000}"/>
    <cellStyle name="Normal 2 2 4 10 10" xfId="21775" xr:uid="{00000000-0005-0000-0000-00000F550000}"/>
    <cellStyle name="Normal 2 2 4 10 11" xfId="21776" xr:uid="{00000000-0005-0000-0000-000010550000}"/>
    <cellStyle name="Normal 2 2 4 10 12" xfId="21777" xr:uid="{00000000-0005-0000-0000-000011550000}"/>
    <cellStyle name="Normal 2 2 4 10 13" xfId="21778" xr:uid="{00000000-0005-0000-0000-000012550000}"/>
    <cellStyle name="Normal 2 2 4 10 14" xfId="21779" xr:uid="{00000000-0005-0000-0000-000013550000}"/>
    <cellStyle name="Normal 2 2 4 10 2" xfId="21780" xr:uid="{00000000-0005-0000-0000-000014550000}"/>
    <cellStyle name="Normal 2 2 4 10 2 10" xfId="21781" xr:uid="{00000000-0005-0000-0000-000015550000}"/>
    <cellStyle name="Normal 2 2 4 10 2 2" xfId="21782" xr:uid="{00000000-0005-0000-0000-000016550000}"/>
    <cellStyle name="Normal 2 2 4 10 2 3" xfId="21783" xr:uid="{00000000-0005-0000-0000-000017550000}"/>
    <cellStyle name="Normal 2 2 4 10 2 4" xfId="21784" xr:uid="{00000000-0005-0000-0000-000018550000}"/>
    <cellStyle name="Normal 2 2 4 10 2 5" xfId="21785" xr:uid="{00000000-0005-0000-0000-000019550000}"/>
    <cellStyle name="Normal 2 2 4 10 2 6" xfId="21786" xr:uid="{00000000-0005-0000-0000-00001A550000}"/>
    <cellStyle name="Normal 2 2 4 10 2 7" xfId="21787" xr:uid="{00000000-0005-0000-0000-00001B550000}"/>
    <cellStyle name="Normal 2 2 4 10 2 8" xfId="21788" xr:uid="{00000000-0005-0000-0000-00001C550000}"/>
    <cellStyle name="Normal 2 2 4 10 2 9" xfId="21789" xr:uid="{00000000-0005-0000-0000-00001D550000}"/>
    <cellStyle name="Normal 2 2 4 10 3" xfId="21790" xr:uid="{00000000-0005-0000-0000-00001E550000}"/>
    <cellStyle name="Normal 2 2 4 10 3 10" xfId="21791" xr:uid="{00000000-0005-0000-0000-00001F550000}"/>
    <cellStyle name="Normal 2 2 4 10 3 2" xfId="21792" xr:uid="{00000000-0005-0000-0000-000020550000}"/>
    <cellStyle name="Normal 2 2 4 10 3 3" xfId="21793" xr:uid="{00000000-0005-0000-0000-000021550000}"/>
    <cellStyle name="Normal 2 2 4 10 3 4" xfId="21794" xr:uid="{00000000-0005-0000-0000-000022550000}"/>
    <cellStyle name="Normal 2 2 4 10 3 5" xfId="21795" xr:uid="{00000000-0005-0000-0000-000023550000}"/>
    <cellStyle name="Normal 2 2 4 10 3 6" xfId="21796" xr:uid="{00000000-0005-0000-0000-000024550000}"/>
    <cellStyle name="Normal 2 2 4 10 3 7" xfId="21797" xr:uid="{00000000-0005-0000-0000-000025550000}"/>
    <cellStyle name="Normal 2 2 4 10 3 8" xfId="21798" xr:uid="{00000000-0005-0000-0000-000026550000}"/>
    <cellStyle name="Normal 2 2 4 10 3 9" xfId="21799" xr:uid="{00000000-0005-0000-0000-000027550000}"/>
    <cellStyle name="Normal 2 2 4 10 4" xfId="21800" xr:uid="{00000000-0005-0000-0000-000028550000}"/>
    <cellStyle name="Normal 2 2 4 10 4 10" xfId="21801" xr:uid="{00000000-0005-0000-0000-000029550000}"/>
    <cellStyle name="Normal 2 2 4 10 4 2" xfId="21802" xr:uid="{00000000-0005-0000-0000-00002A550000}"/>
    <cellStyle name="Normal 2 2 4 10 4 3" xfId="21803" xr:uid="{00000000-0005-0000-0000-00002B550000}"/>
    <cellStyle name="Normal 2 2 4 10 4 4" xfId="21804" xr:uid="{00000000-0005-0000-0000-00002C550000}"/>
    <cellStyle name="Normal 2 2 4 10 4 5" xfId="21805" xr:uid="{00000000-0005-0000-0000-00002D550000}"/>
    <cellStyle name="Normal 2 2 4 10 4 6" xfId="21806" xr:uid="{00000000-0005-0000-0000-00002E550000}"/>
    <cellStyle name="Normal 2 2 4 10 4 7" xfId="21807" xr:uid="{00000000-0005-0000-0000-00002F550000}"/>
    <cellStyle name="Normal 2 2 4 10 4 8" xfId="21808" xr:uid="{00000000-0005-0000-0000-000030550000}"/>
    <cellStyle name="Normal 2 2 4 10 4 9" xfId="21809" xr:uid="{00000000-0005-0000-0000-000031550000}"/>
    <cellStyle name="Normal 2 2 4 10 5" xfId="21810" xr:uid="{00000000-0005-0000-0000-000032550000}"/>
    <cellStyle name="Normal 2 2 4 10 5 10" xfId="21811" xr:uid="{00000000-0005-0000-0000-000033550000}"/>
    <cellStyle name="Normal 2 2 4 10 5 2" xfId="21812" xr:uid="{00000000-0005-0000-0000-000034550000}"/>
    <cellStyle name="Normal 2 2 4 10 5 3" xfId="21813" xr:uid="{00000000-0005-0000-0000-000035550000}"/>
    <cellStyle name="Normal 2 2 4 10 5 4" xfId="21814" xr:uid="{00000000-0005-0000-0000-000036550000}"/>
    <cellStyle name="Normal 2 2 4 10 5 5" xfId="21815" xr:uid="{00000000-0005-0000-0000-000037550000}"/>
    <cellStyle name="Normal 2 2 4 10 5 6" xfId="21816" xr:uid="{00000000-0005-0000-0000-000038550000}"/>
    <cellStyle name="Normal 2 2 4 10 5 7" xfId="21817" xr:uid="{00000000-0005-0000-0000-000039550000}"/>
    <cellStyle name="Normal 2 2 4 10 5 8" xfId="21818" xr:uid="{00000000-0005-0000-0000-00003A550000}"/>
    <cellStyle name="Normal 2 2 4 10 5 9" xfId="21819" xr:uid="{00000000-0005-0000-0000-00003B550000}"/>
    <cellStyle name="Normal 2 2 4 10 6" xfId="21820" xr:uid="{00000000-0005-0000-0000-00003C550000}"/>
    <cellStyle name="Normal 2 2 4 10 7" xfId="21821" xr:uid="{00000000-0005-0000-0000-00003D550000}"/>
    <cellStyle name="Normal 2 2 4 10 8" xfId="21822" xr:uid="{00000000-0005-0000-0000-00003E550000}"/>
    <cellStyle name="Normal 2 2 4 10 9" xfId="21823" xr:uid="{00000000-0005-0000-0000-00003F550000}"/>
    <cellStyle name="Normal 2 2 4 11" xfId="21824" xr:uid="{00000000-0005-0000-0000-000040550000}"/>
    <cellStyle name="Normal 2 2 4 11 10" xfId="21825" xr:uid="{00000000-0005-0000-0000-000041550000}"/>
    <cellStyle name="Normal 2 2 4 11 11" xfId="21826" xr:uid="{00000000-0005-0000-0000-000042550000}"/>
    <cellStyle name="Normal 2 2 4 11 12" xfId="21827" xr:uid="{00000000-0005-0000-0000-000043550000}"/>
    <cellStyle name="Normal 2 2 4 11 13" xfId="21828" xr:uid="{00000000-0005-0000-0000-000044550000}"/>
    <cellStyle name="Normal 2 2 4 11 14" xfId="21829" xr:uid="{00000000-0005-0000-0000-000045550000}"/>
    <cellStyle name="Normal 2 2 4 11 2" xfId="21830" xr:uid="{00000000-0005-0000-0000-000046550000}"/>
    <cellStyle name="Normal 2 2 4 11 2 10" xfId="21831" xr:uid="{00000000-0005-0000-0000-000047550000}"/>
    <cellStyle name="Normal 2 2 4 11 2 2" xfId="21832" xr:uid="{00000000-0005-0000-0000-000048550000}"/>
    <cellStyle name="Normal 2 2 4 11 2 3" xfId="21833" xr:uid="{00000000-0005-0000-0000-000049550000}"/>
    <cellStyle name="Normal 2 2 4 11 2 4" xfId="21834" xr:uid="{00000000-0005-0000-0000-00004A550000}"/>
    <cellStyle name="Normal 2 2 4 11 2 5" xfId="21835" xr:uid="{00000000-0005-0000-0000-00004B550000}"/>
    <cellStyle name="Normal 2 2 4 11 2 6" xfId="21836" xr:uid="{00000000-0005-0000-0000-00004C550000}"/>
    <cellStyle name="Normal 2 2 4 11 2 7" xfId="21837" xr:uid="{00000000-0005-0000-0000-00004D550000}"/>
    <cellStyle name="Normal 2 2 4 11 2 8" xfId="21838" xr:uid="{00000000-0005-0000-0000-00004E550000}"/>
    <cellStyle name="Normal 2 2 4 11 2 9" xfId="21839" xr:uid="{00000000-0005-0000-0000-00004F550000}"/>
    <cellStyle name="Normal 2 2 4 11 3" xfId="21840" xr:uid="{00000000-0005-0000-0000-000050550000}"/>
    <cellStyle name="Normal 2 2 4 11 3 10" xfId="21841" xr:uid="{00000000-0005-0000-0000-000051550000}"/>
    <cellStyle name="Normal 2 2 4 11 3 2" xfId="21842" xr:uid="{00000000-0005-0000-0000-000052550000}"/>
    <cellStyle name="Normal 2 2 4 11 3 3" xfId="21843" xr:uid="{00000000-0005-0000-0000-000053550000}"/>
    <cellStyle name="Normal 2 2 4 11 3 4" xfId="21844" xr:uid="{00000000-0005-0000-0000-000054550000}"/>
    <cellStyle name="Normal 2 2 4 11 3 5" xfId="21845" xr:uid="{00000000-0005-0000-0000-000055550000}"/>
    <cellStyle name="Normal 2 2 4 11 3 6" xfId="21846" xr:uid="{00000000-0005-0000-0000-000056550000}"/>
    <cellStyle name="Normal 2 2 4 11 3 7" xfId="21847" xr:uid="{00000000-0005-0000-0000-000057550000}"/>
    <cellStyle name="Normal 2 2 4 11 3 8" xfId="21848" xr:uid="{00000000-0005-0000-0000-000058550000}"/>
    <cellStyle name="Normal 2 2 4 11 3 9" xfId="21849" xr:uid="{00000000-0005-0000-0000-000059550000}"/>
    <cellStyle name="Normal 2 2 4 11 4" xfId="21850" xr:uid="{00000000-0005-0000-0000-00005A550000}"/>
    <cellStyle name="Normal 2 2 4 11 4 10" xfId="21851" xr:uid="{00000000-0005-0000-0000-00005B550000}"/>
    <cellStyle name="Normal 2 2 4 11 4 2" xfId="21852" xr:uid="{00000000-0005-0000-0000-00005C550000}"/>
    <cellStyle name="Normal 2 2 4 11 4 3" xfId="21853" xr:uid="{00000000-0005-0000-0000-00005D550000}"/>
    <cellStyle name="Normal 2 2 4 11 4 4" xfId="21854" xr:uid="{00000000-0005-0000-0000-00005E550000}"/>
    <cellStyle name="Normal 2 2 4 11 4 5" xfId="21855" xr:uid="{00000000-0005-0000-0000-00005F550000}"/>
    <cellStyle name="Normal 2 2 4 11 4 6" xfId="21856" xr:uid="{00000000-0005-0000-0000-000060550000}"/>
    <cellStyle name="Normal 2 2 4 11 4 7" xfId="21857" xr:uid="{00000000-0005-0000-0000-000061550000}"/>
    <cellStyle name="Normal 2 2 4 11 4 8" xfId="21858" xr:uid="{00000000-0005-0000-0000-000062550000}"/>
    <cellStyle name="Normal 2 2 4 11 4 9" xfId="21859" xr:uid="{00000000-0005-0000-0000-000063550000}"/>
    <cellStyle name="Normal 2 2 4 11 5" xfId="21860" xr:uid="{00000000-0005-0000-0000-000064550000}"/>
    <cellStyle name="Normal 2 2 4 11 5 10" xfId="21861" xr:uid="{00000000-0005-0000-0000-000065550000}"/>
    <cellStyle name="Normal 2 2 4 11 5 2" xfId="21862" xr:uid="{00000000-0005-0000-0000-000066550000}"/>
    <cellStyle name="Normal 2 2 4 11 5 3" xfId="21863" xr:uid="{00000000-0005-0000-0000-000067550000}"/>
    <cellStyle name="Normal 2 2 4 11 5 4" xfId="21864" xr:uid="{00000000-0005-0000-0000-000068550000}"/>
    <cellStyle name="Normal 2 2 4 11 5 5" xfId="21865" xr:uid="{00000000-0005-0000-0000-000069550000}"/>
    <cellStyle name="Normal 2 2 4 11 5 6" xfId="21866" xr:uid="{00000000-0005-0000-0000-00006A550000}"/>
    <cellStyle name="Normal 2 2 4 11 5 7" xfId="21867" xr:uid="{00000000-0005-0000-0000-00006B550000}"/>
    <cellStyle name="Normal 2 2 4 11 5 8" xfId="21868" xr:uid="{00000000-0005-0000-0000-00006C550000}"/>
    <cellStyle name="Normal 2 2 4 11 5 9" xfId="21869" xr:uid="{00000000-0005-0000-0000-00006D550000}"/>
    <cellStyle name="Normal 2 2 4 11 6" xfId="21870" xr:uid="{00000000-0005-0000-0000-00006E550000}"/>
    <cellStyle name="Normal 2 2 4 11 7" xfId="21871" xr:uid="{00000000-0005-0000-0000-00006F550000}"/>
    <cellStyle name="Normal 2 2 4 11 8" xfId="21872" xr:uid="{00000000-0005-0000-0000-000070550000}"/>
    <cellStyle name="Normal 2 2 4 11 9" xfId="21873" xr:uid="{00000000-0005-0000-0000-000071550000}"/>
    <cellStyle name="Normal 2 2 4 12" xfId="21874" xr:uid="{00000000-0005-0000-0000-000072550000}"/>
    <cellStyle name="Normal 2 2 4 12 10" xfId="21875" xr:uid="{00000000-0005-0000-0000-000073550000}"/>
    <cellStyle name="Normal 2 2 4 12 11" xfId="21876" xr:uid="{00000000-0005-0000-0000-000074550000}"/>
    <cellStyle name="Normal 2 2 4 12 12" xfId="21877" xr:uid="{00000000-0005-0000-0000-000075550000}"/>
    <cellStyle name="Normal 2 2 4 12 13" xfId="21878" xr:uid="{00000000-0005-0000-0000-000076550000}"/>
    <cellStyle name="Normal 2 2 4 12 14" xfId="21879" xr:uid="{00000000-0005-0000-0000-000077550000}"/>
    <cellStyle name="Normal 2 2 4 12 2" xfId="21880" xr:uid="{00000000-0005-0000-0000-000078550000}"/>
    <cellStyle name="Normal 2 2 4 12 2 10" xfId="21881" xr:uid="{00000000-0005-0000-0000-000079550000}"/>
    <cellStyle name="Normal 2 2 4 12 2 2" xfId="21882" xr:uid="{00000000-0005-0000-0000-00007A550000}"/>
    <cellStyle name="Normal 2 2 4 12 2 3" xfId="21883" xr:uid="{00000000-0005-0000-0000-00007B550000}"/>
    <cellStyle name="Normal 2 2 4 12 2 4" xfId="21884" xr:uid="{00000000-0005-0000-0000-00007C550000}"/>
    <cellStyle name="Normal 2 2 4 12 2 5" xfId="21885" xr:uid="{00000000-0005-0000-0000-00007D550000}"/>
    <cellStyle name="Normal 2 2 4 12 2 6" xfId="21886" xr:uid="{00000000-0005-0000-0000-00007E550000}"/>
    <cellStyle name="Normal 2 2 4 12 2 7" xfId="21887" xr:uid="{00000000-0005-0000-0000-00007F550000}"/>
    <cellStyle name="Normal 2 2 4 12 2 8" xfId="21888" xr:uid="{00000000-0005-0000-0000-000080550000}"/>
    <cellStyle name="Normal 2 2 4 12 2 9" xfId="21889" xr:uid="{00000000-0005-0000-0000-000081550000}"/>
    <cellStyle name="Normal 2 2 4 12 3" xfId="21890" xr:uid="{00000000-0005-0000-0000-000082550000}"/>
    <cellStyle name="Normal 2 2 4 12 3 10" xfId="21891" xr:uid="{00000000-0005-0000-0000-000083550000}"/>
    <cellStyle name="Normal 2 2 4 12 3 2" xfId="21892" xr:uid="{00000000-0005-0000-0000-000084550000}"/>
    <cellStyle name="Normal 2 2 4 12 3 3" xfId="21893" xr:uid="{00000000-0005-0000-0000-000085550000}"/>
    <cellStyle name="Normal 2 2 4 12 3 4" xfId="21894" xr:uid="{00000000-0005-0000-0000-000086550000}"/>
    <cellStyle name="Normal 2 2 4 12 3 5" xfId="21895" xr:uid="{00000000-0005-0000-0000-000087550000}"/>
    <cellStyle name="Normal 2 2 4 12 3 6" xfId="21896" xr:uid="{00000000-0005-0000-0000-000088550000}"/>
    <cellStyle name="Normal 2 2 4 12 3 7" xfId="21897" xr:uid="{00000000-0005-0000-0000-000089550000}"/>
    <cellStyle name="Normal 2 2 4 12 3 8" xfId="21898" xr:uid="{00000000-0005-0000-0000-00008A550000}"/>
    <cellStyle name="Normal 2 2 4 12 3 9" xfId="21899" xr:uid="{00000000-0005-0000-0000-00008B550000}"/>
    <cellStyle name="Normal 2 2 4 12 4" xfId="21900" xr:uid="{00000000-0005-0000-0000-00008C550000}"/>
    <cellStyle name="Normal 2 2 4 12 4 10" xfId="21901" xr:uid="{00000000-0005-0000-0000-00008D550000}"/>
    <cellStyle name="Normal 2 2 4 12 4 2" xfId="21902" xr:uid="{00000000-0005-0000-0000-00008E550000}"/>
    <cellStyle name="Normal 2 2 4 12 4 3" xfId="21903" xr:uid="{00000000-0005-0000-0000-00008F550000}"/>
    <cellStyle name="Normal 2 2 4 12 4 4" xfId="21904" xr:uid="{00000000-0005-0000-0000-000090550000}"/>
    <cellStyle name="Normal 2 2 4 12 4 5" xfId="21905" xr:uid="{00000000-0005-0000-0000-000091550000}"/>
    <cellStyle name="Normal 2 2 4 12 4 6" xfId="21906" xr:uid="{00000000-0005-0000-0000-000092550000}"/>
    <cellStyle name="Normal 2 2 4 12 4 7" xfId="21907" xr:uid="{00000000-0005-0000-0000-000093550000}"/>
    <cellStyle name="Normal 2 2 4 12 4 8" xfId="21908" xr:uid="{00000000-0005-0000-0000-000094550000}"/>
    <cellStyle name="Normal 2 2 4 12 4 9" xfId="21909" xr:uid="{00000000-0005-0000-0000-000095550000}"/>
    <cellStyle name="Normal 2 2 4 12 5" xfId="21910" xr:uid="{00000000-0005-0000-0000-000096550000}"/>
    <cellStyle name="Normal 2 2 4 12 5 10" xfId="21911" xr:uid="{00000000-0005-0000-0000-000097550000}"/>
    <cellStyle name="Normal 2 2 4 12 5 2" xfId="21912" xr:uid="{00000000-0005-0000-0000-000098550000}"/>
    <cellStyle name="Normal 2 2 4 12 5 3" xfId="21913" xr:uid="{00000000-0005-0000-0000-000099550000}"/>
    <cellStyle name="Normal 2 2 4 12 5 4" xfId="21914" xr:uid="{00000000-0005-0000-0000-00009A550000}"/>
    <cellStyle name="Normal 2 2 4 12 5 5" xfId="21915" xr:uid="{00000000-0005-0000-0000-00009B550000}"/>
    <cellStyle name="Normal 2 2 4 12 5 6" xfId="21916" xr:uid="{00000000-0005-0000-0000-00009C550000}"/>
    <cellStyle name="Normal 2 2 4 12 5 7" xfId="21917" xr:uid="{00000000-0005-0000-0000-00009D550000}"/>
    <cellStyle name="Normal 2 2 4 12 5 8" xfId="21918" xr:uid="{00000000-0005-0000-0000-00009E550000}"/>
    <cellStyle name="Normal 2 2 4 12 5 9" xfId="21919" xr:uid="{00000000-0005-0000-0000-00009F550000}"/>
    <cellStyle name="Normal 2 2 4 12 6" xfId="21920" xr:uid="{00000000-0005-0000-0000-0000A0550000}"/>
    <cellStyle name="Normal 2 2 4 12 7" xfId="21921" xr:uid="{00000000-0005-0000-0000-0000A1550000}"/>
    <cellStyle name="Normal 2 2 4 12 8" xfId="21922" xr:uid="{00000000-0005-0000-0000-0000A2550000}"/>
    <cellStyle name="Normal 2 2 4 12 9" xfId="21923" xr:uid="{00000000-0005-0000-0000-0000A3550000}"/>
    <cellStyle name="Normal 2 2 4 13" xfId="21924" xr:uid="{00000000-0005-0000-0000-0000A4550000}"/>
    <cellStyle name="Normal 2 2 4 13 10" xfId="21925" xr:uid="{00000000-0005-0000-0000-0000A5550000}"/>
    <cellStyle name="Normal 2 2 4 13 11" xfId="21926" xr:uid="{00000000-0005-0000-0000-0000A6550000}"/>
    <cellStyle name="Normal 2 2 4 13 12" xfId="21927" xr:uid="{00000000-0005-0000-0000-0000A7550000}"/>
    <cellStyle name="Normal 2 2 4 13 13" xfId="21928" xr:uid="{00000000-0005-0000-0000-0000A8550000}"/>
    <cellStyle name="Normal 2 2 4 13 14" xfId="21929" xr:uid="{00000000-0005-0000-0000-0000A9550000}"/>
    <cellStyle name="Normal 2 2 4 13 2" xfId="21930" xr:uid="{00000000-0005-0000-0000-0000AA550000}"/>
    <cellStyle name="Normal 2 2 4 13 2 10" xfId="21931" xr:uid="{00000000-0005-0000-0000-0000AB550000}"/>
    <cellStyle name="Normal 2 2 4 13 2 2" xfId="21932" xr:uid="{00000000-0005-0000-0000-0000AC550000}"/>
    <cellStyle name="Normal 2 2 4 13 2 3" xfId="21933" xr:uid="{00000000-0005-0000-0000-0000AD550000}"/>
    <cellStyle name="Normal 2 2 4 13 2 4" xfId="21934" xr:uid="{00000000-0005-0000-0000-0000AE550000}"/>
    <cellStyle name="Normal 2 2 4 13 2 5" xfId="21935" xr:uid="{00000000-0005-0000-0000-0000AF550000}"/>
    <cellStyle name="Normal 2 2 4 13 2 6" xfId="21936" xr:uid="{00000000-0005-0000-0000-0000B0550000}"/>
    <cellStyle name="Normal 2 2 4 13 2 7" xfId="21937" xr:uid="{00000000-0005-0000-0000-0000B1550000}"/>
    <cellStyle name="Normal 2 2 4 13 2 8" xfId="21938" xr:uid="{00000000-0005-0000-0000-0000B2550000}"/>
    <cellStyle name="Normal 2 2 4 13 2 9" xfId="21939" xr:uid="{00000000-0005-0000-0000-0000B3550000}"/>
    <cellStyle name="Normal 2 2 4 13 3" xfId="21940" xr:uid="{00000000-0005-0000-0000-0000B4550000}"/>
    <cellStyle name="Normal 2 2 4 13 3 10" xfId="21941" xr:uid="{00000000-0005-0000-0000-0000B5550000}"/>
    <cellStyle name="Normal 2 2 4 13 3 2" xfId="21942" xr:uid="{00000000-0005-0000-0000-0000B6550000}"/>
    <cellStyle name="Normal 2 2 4 13 3 3" xfId="21943" xr:uid="{00000000-0005-0000-0000-0000B7550000}"/>
    <cellStyle name="Normal 2 2 4 13 3 4" xfId="21944" xr:uid="{00000000-0005-0000-0000-0000B8550000}"/>
    <cellStyle name="Normal 2 2 4 13 3 5" xfId="21945" xr:uid="{00000000-0005-0000-0000-0000B9550000}"/>
    <cellStyle name="Normal 2 2 4 13 3 6" xfId="21946" xr:uid="{00000000-0005-0000-0000-0000BA550000}"/>
    <cellStyle name="Normal 2 2 4 13 3 7" xfId="21947" xr:uid="{00000000-0005-0000-0000-0000BB550000}"/>
    <cellStyle name="Normal 2 2 4 13 3 8" xfId="21948" xr:uid="{00000000-0005-0000-0000-0000BC550000}"/>
    <cellStyle name="Normal 2 2 4 13 3 9" xfId="21949" xr:uid="{00000000-0005-0000-0000-0000BD550000}"/>
    <cellStyle name="Normal 2 2 4 13 4" xfId="21950" xr:uid="{00000000-0005-0000-0000-0000BE550000}"/>
    <cellStyle name="Normal 2 2 4 13 4 10" xfId="21951" xr:uid="{00000000-0005-0000-0000-0000BF550000}"/>
    <cellStyle name="Normal 2 2 4 13 4 2" xfId="21952" xr:uid="{00000000-0005-0000-0000-0000C0550000}"/>
    <cellStyle name="Normal 2 2 4 13 4 3" xfId="21953" xr:uid="{00000000-0005-0000-0000-0000C1550000}"/>
    <cellStyle name="Normal 2 2 4 13 4 4" xfId="21954" xr:uid="{00000000-0005-0000-0000-0000C2550000}"/>
    <cellStyle name="Normal 2 2 4 13 4 5" xfId="21955" xr:uid="{00000000-0005-0000-0000-0000C3550000}"/>
    <cellStyle name="Normal 2 2 4 13 4 6" xfId="21956" xr:uid="{00000000-0005-0000-0000-0000C4550000}"/>
    <cellStyle name="Normal 2 2 4 13 4 7" xfId="21957" xr:uid="{00000000-0005-0000-0000-0000C5550000}"/>
    <cellStyle name="Normal 2 2 4 13 4 8" xfId="21958" xr:uid="{00000000-0005-0000-0000-0000C6550000}"/>
    <cellStyle name="Normal 2 2 4 13 4 9" xfId="21959" xr:uid="{00000000-0005-0000-0000-0000C7550000}"/>
    <cellStyle name="Normal 2 2 4 13 5" xfId="21960" xr:uid="{00000000-0005-0000-0000-0000C8550000}"/>
    <cellStyle name="Normal 2 2 4 13 5 10" xfId="21961" xr:uid="{00000000-0005-0000-0000-0000C9550000}"/>
    <cellStyle name="Normal 2 2 4 13 5 2" xfId="21962" xr:uid="{00000000-0005-0000-0000-0000CA550000}"/>
    <cellStyle name="Normal 2 2 4 13 5 3" xfId="21963" xr:uid="{00000000-0005-0000-0000-0000CB550000}"/>
    <cellStyle name="Normal 2 2 4 13 5 4" xfId="21964" xr:uid="{00000000-0005-0000-0000-0000CC550000}"/>
    <cellStyle name="Normal 2 2 4 13 5 5" xfId="21965" xr:uid="{00000000-0005-0000-0000-0000CD550000}"/>
    <cellStyle name="Normal 2 2 4 13 5 6" xfId="21966" xr:uid="{00000000-0005-0000-0000-0000CE550000}"/>
    <cellStyle name="Normal 2 2 4 13 5 7" xfId="21967" xr:uid="{00000000-0005-0000-0000-0000CF550000}"/>
    <cellStyle name="Normal 2 2 4 13 5 8" xfId="21968" xr:uid="{00000000-0005-0000-0000-0000D0550000}"/>
    <cellStyle name="Normal 2 2 4 13 5 9" xfId="21969" xr:uid="{00000000-0005-0000-0000-0000D1550000}"/>
    <cellStyle name="Normal 2 2 4 13 6" xfId="21970" xr:uid="{00000000-0005-0000-0000-0000D2550000}"/>
    <cellStyle name="Normal 2 2 4 13 7" xfId="21971" xr:uid="{00000000-0005-0000-0000-0000D3550000}"/>
    <cellStyle name="Normal 2 2 4 13 8" xfId="21972" xr:uid="{00000000-0005-0000-0000-0000D4550000}"/>
    <cellStyle name="Normal 2 2 4 13 9" xfId="21973" xr:uid="{00000000-0005-0000-0000-0000D5550000}"/>
    <cellStyle name="Normal 2 2 4 14" xfId="21974" xr:uid="{00000000-0005-0000-0000-0000D6550000}"/>
    <cellStyle name="Normal 2 2 4 14 10" xfId="21975" xr:uid="{00000000-0005-0000-0000-0000D7550000}"/>
    <cellStyle name="Normal 2 2 4 14 11" xfId="21976" xr:uid="{00000000-0005-0000-0000-0000D8550000}"/>
    <cellStyle name="Normal 2 2 4 14 12" xfId="21977" xr:uid="{00000000-0005-0000-0000-0000D9550000}"/>
    <cellStyle name="Normal 2 2 4 14 13" xfId="21978" xr:uid="{00000000-0005-0000-0000-0000DA550000}"/>
    <cellStyle name="Normal 2 2 4 14 14" xfId="21979" xr:uid="{00000000-0005-0000-0000-0000DB550000}"/>
    <cellStyle name="Normal 2 2 4 14 2" xfId="21980" xr:uid="{00000000-0005-0000-0000-0000DC550000}"/>
    <cellStyle name="Normal 2 2 4 14 2 10" xfId="21981" xr:uid="{00000000-0005-0000-0000-0000DD550000}"/>
    <cellStyle name="Normal 2 2 4 14 2 2" xfId="21982" xr:uid="{00000000-0005-0000-0000-0000DE550000}"/>
    <cellStyle name="Normal 2 2 4 14 2 3" xfId="21983" xr:uid="{00000000-0005-0000-0000-0000DF550000}"/>
    <cellStyle name="Normal 2 2 4 14 2 4" xfId="21984" xr:uid="{00000000-0005-0000-0000-0000E0550000}"/>
    <cellStyle name="Normal 2 2 4 14 2 5" xfId="21985" xr:uid="{00000000-0005-0000-0000-0000E1550000}"/>
    <cellStyle name="Normal 2 2 4 14 2 6" xfId="21986" xr:uid="{00000000-0005-0000-0000-0000E2550000}"/>
    <cellStyle name="Normal 2 2 4 14 2 7" xfId="21987" xr:uid="{00000000-0005-0000-0000-0000E3550000}"/>
    <cellStyle name="Normal 2 2 4 14 2 8" xfId="21988" xr:uid="{00000000-0005-0000-0000-0000E4550000}"/>
    <cellStyle name="Normal 2 2 4 14 2 9" xfId="21989" xr:uid="{00000000-0005-0000-0000-0000E5550000}"/>
    <cellStyle name="Normal 2 2 4 14 3" xfId="21990" xr:uid="{00000000-0005-0000-0000-0000E6550000}"/>
    <cellStyle name="Normal 2 2 4 14 3 10" xfId="21991" xr:uid="{00000000-0005-0000-0000-0000E7550000}"/>
    <cellStyle name="Normal 2 2 4 14 3 2" xfId="21992" xr:uid="{00000000-0005-0000-0000-0000E8550000}"/>
    <cellStyle name="Normal 2 2 4 14 3 3" xfId="21993" xr:uid="{00000000-0005-0000-0000-0000E9550000}"/>
    <cellStyle name="Normal 2 2 4 14 3 4" xfId="21994" xr:uid="{00000000-0005-0000-0000-0000EA550000}"/>
    <cellStyle name="Normal 2 2 4 14 3 5" xfId="21995" xr:uid="{00000000-0005-0000-0000-0000EB550000}"/>
    <cellStyle name="Normal 2 2 4 14 3 6" xfId="21996" xr:uid="{00000000-0005-0000-0000-0000EC550000}"/>
    <cellStyle name="Normal 2 2 4 14 3 7" xfId="21997" xr:uid="{00000000-0005-0000-0000-0000ED550000}"/>
    <cellStyle name="Normal 2 2 4 14 3 8" xfId="21998" xr:uid="{00000000-0005-0000-0000-0000EE550000}"/>
    <cellStyle name="Normal 2 2 4 14 3 9" xfId="21999" xr:uid="{00000000-0005-0000-0000-0000EF550000}"/>
    <cellStyle name="Normal 2 2 4 14 4" xfId="22000" xr:uid="{00000000-0005-0000-0000-0000F0550000}"/>
    <cellStyle name="Normal 2 2 4 14 4 10" xfId="22001" xr:uid="{00000000-0005-0000-0000-0000F1550000}"/>
    <cellStyle name="Normal 2 2 4 14 4 2" xfId="22002" xr:uid="{00000000-0005-0000-0000-0000F2550000}"/>
    <cellStyle name="Normal 2 2 4 14 4 3" xfId="22003" xr:uid="{00000000-0005-0000-0000-0000F3550000}"/>
    <cellStyle name="Normal 2 2 4 14 4 4" xfId="22004" xr:uid="{00000000-0005-0000-0000-0000F4550000}"/>
    <cellStyle name="Normal 2 2 4 14 4 5" xfId="22005" xr:uid="{00000000-0005-0000-0000-0000F5550000}"/>
    <cellStyle name="Normal 2 2 4 14 4 6" xfId="22006" xr:uid="{00000000-0005-0000-0000-0000F6550000}"/>
    <cellStyle name="Normal 2 2 4 14 4 7" xfId="22007" xr:uid="{00000000-0005-0000-0000-0000F7550000}"/>
    <cellStyle name="Normal 2 2 4 14 4 8" xfId="22008" xr:uid="{00000000-0005-0000-0000-0000F8550000}"/>
    <cellStyle name="Normal 2 2 4 14 4 9" xfId="22009" xr:uid="{00000000-0005-0000-0000-0000F9550000}"/>
    <cellStyle name="Normal 2 2 4 14 5" xfId="22010" xr:uid="{00000000-0005-0000-0000-0000FA550000}"/>
    <cellStyle name="Normal 2 2 4 14 5 10" xfId="22011" xr:uid="{00000000-0005-0000-0000-0000FB550000}"/>
    <cellStyle name="Normal 2 2 4 14 5 2" xfId="22012" xr:uid="{00000000-0005-0000-0000-0000FC550000}"/>
    <cellStyle name="Normal 2 2 4 14 5 3" xfId="22013" xr:uid="{00000000-0005-0000-0000-0000FD550000}"/>
    <cellStyle name="Normal 2 2 4 14 5 4" xfId="22014" xr:uid="{00000000-0005-0000-0000-0000FE550000}"/>
    <cellStyle name="Normal 2 2 4 14 5 5" xfId="22015" xr:uid="{00000000-0005-0000-0000-0000FF550000}"/>
    <cellStyle name="Normal 2 2 4 14 5 6" xfId="22016" xr:uid="{00000000-0005-0000-0000-000000560000}"/>
    <cellStyle name="Normal 2 2 4 14 5 7" xfId="22017" xr:uid="{00000000-0005-0000-0000-000001560000}"/>
    <cellStyle name="Normal 2 2 4 14 5 8" xfId="22018" xr:uid="{00000000-0005-0000-0000-000002560000}"/>
    <cellStyle name="Normal 2 2 4 14 5 9" xfId="22019" xr:uid="{00000000-0005-0000-0000-000003560000}"/>
    <cellStyle name="Normal 2 2 4 14 6" xfId="22020" xr:uid="{00000000-0005-0000-0000-000004560000}"/>
    <cellStyle name="Normal 2 2 4 14 7" xfId="22021" xr:uid="{00000000-0005-0000-0000-000005560000}"/>
    <cellStyle name="Normal 2 2 4 14 8" xfId="22022" xr:uid="{00000000-0005-0000-0000-000006560000}"/>
    <cellStyle name="Normal 2 2 4 14 9" xfId="22023" xr:uid="{00000000-0005-0000-0000-000007560000}"/>
    <cellStyle name="Normal 2 2 4 15" xfId="22024" xr:uid="{00000000-0005-0000-0000-000008560000}"/>
    <cellStyle name="Normal 2 2 4 15 10" xfId="22025" xr:uid="{00000000-0005-0000-0000-000009560000}"/>
    <cellStyle name="Normal 2 2 4 15 11" xfId="22026" xr:uid="{00000000-0005-0000-0000-00000A560000}"/>
    <cellStyle name="Normal 2 2 4 15 12" xfId="22027" xr:uid="{00000000-0005-0000-0000-00000B560000}"/>
    <cellStyle name="Normal 2 2 4 15 13" xfId="22028" xr:uid="{00000000-0005-0000-0000-00000C560000}"/>
    <cellStyle name="Normal 2 2 4 15 14" xfId="22029" xr:uid="{00000000-0005-0000-0000-00000D560000}"/>
    <cellStyle name="Normal 2 2 4 15 2" xfId="22030" xr:uid="{00000000-0005-0000-0000-00000E560000}"/>
    <cellStyle name="Normal 2 2 4 15 2 10" xfId="22031" xr:uid="{00000000-0005-0000-0000-00000F560000}"/>
    <cellStyle name="Normal 2 2 4 15 2 2" xfId="22032" xr:uid="{00000000-0005-0000-0000-000010560000}"/>
    <cellStyle name="Normal 2 2 4 15 2 3" xfId="22033" xr:uid="{00000000-0005-0000-0000-000011560000}"/>
    <cellStyle name="Normal 2 2 4 15 2 4" xfId="22034" xr:uid="{00000000-0005-0000-0000-000012560000}"/>
    <cellStyle name="Normal 2 2 4 15 2 5" xfId="22035" xr:uid="{00000000-0005-0000-0000-000013560000}"/>
    <cellStyle name="Normal 2 2 4 15 2 6" xfId="22036" xr:uid="{00000000-0005-0000-0000-000014560000}"/>
    <cellStyle name="Normal 2 2 4 15 2 7" xfId="22037" xr:uid="{00000000-0005-0000-0000-000015560000}"/>
    <cellStyle name="Normal 2 2 4 15 2 8" xfId="22038" xr:uid="{00000000-0005-0000-0000-000016560000}"/>
    <cellStyle name="Normal 2 2 4 15 2 9" xfId="22039" xr:uid="{00000000-0005-0000-0000-000017560000}"/>
    <cellStyle name="Normal 2 2 4 15 3" xfId="22040" xr:uid="{00000000-0005-0000-0000-000018560000}"/>
    <cellStyle name="Normal 2 2 4 15 3 10" xfId="22041" xr:uid="{00000000-0005-0000-0000-000019560000}"/>
    <cellStyle name="Normal 2 2 4 15 3 2" xfId="22042" xr:uid="{00000000-0005-0000-0000-00001A560000}"/>
    <cellStyle name="Normal 2 2 4 15 3 3" xfId="22043" xr:uid="{00000000-0005-0000-0000-00001B560000}"/>
    <cellStyle name="Normal 2 2 4 15 3 4" xfId="22044" xr:uid="{00000000-0005-0000-0000-00001C560000}"/>
    <cellStyle name="Normal 2 2 4 15 3 5" xfId="22045" xr:uid="{00000000-0005-0000-0000-00001D560000}"/>
    <cellStyle name="Normal 2 2 4 15 3 6" xfId="22046" xr:uid="{00000000-0005-0000-0000-00001E560000}"/>
    <cellStyle name="Normal 2 2 4 15 3 7" xfId="22047" xr:uid="{00000000-0005-0000-0000-00001F560000}"/>
    <cellStyle name="Normal 2 2 4 15 3 8" xfId="22048" xr:uid="{00000000-0005-0000-0000-000020560000}"/>
    <cellStyle name="Normal 2 2 4 15 3 9" xfId="22049" xr:uid="{00000000-0005-0000-0000-000021560000}"/>
    <cellStyle name="Normal 2 2 4 15 4" xfId="22050" xr:uid="{00000000-0005-0000-0000-000022560000}"/>
    <cellStyle name="Normal 2 2 4 15 4 10" xfId="22051" xr:uid="{00000000-0005-0000-0000-000023560000}"/>
    <cellStyle name="Normal 2 2 4 15 4 2" xfId="22052" xr:uid="{00000000-0005-0000-0000-000024560000}"/>
    <cellStyle name="Normal 2 2 4 15 4 3" xfId="22053" xr:uid="{00000000-0005-0000-0000-000025560000}"/>
    <cellStyle name="Normal 2 2 4 15 4 4" xfId="22054" xr:uid="{00000000-0005-0000-0000-000026560000}"/>
    <cellStyle name="Normal 2 2 4 15 4 5" xfId="22055" xr:uid="{00000000-0005-0000-0000-000027560000}"/>
    <cellStyle name="Normal 2 2 4 15 4 6" xfId="22056" xr:uid="{00000000-0005-0000-0000-000028560000}"/>
    <cellStyle name="Normal 2 2 4 15 4 7" xfId="22057" xr:uid="{00000000-0005-0000-0000-000029560000}"/>
    <cellStyle name="Normal 2 2 4 15 4 8" xfId="22058" xr:uid="{00000000-0005-0000-0000-00002A560000}"/>
    <cellStyle name="Normal 2 2 4 15 4 9" xfId="22059" xr:uid="{00000000-0005-0000-0000-00002B560000}"/>
    <cellStyle name="Normal 2 2 4 15 5" xfId="22060" xr:uid="{00000000-0005-0000-0000-00002C560000}"/>
    <cellStyle name="Normal 2 2 4 15 5 10" xfId="22061" xr:uid="{00000000-0005-0000-0000-00002D560000}"/>
    <cellStyle name="Normal 2 2 4 15 5 2" xfId="22062" xr:uid="{00000000-0005-0000-0000-00002E560000}"/>
    <cellStyle name="Normal 2 2 4 15 5 3" xfId="22063" xr:uid="{00000000-0005-0000-0000-00002F560000}"/>
    <cellStyle name="Normal 2 2 4 15 5 4" xfId="22064" xr:uid="{00000000-0005-0000-0000-000030560000}"/>
    <cellStyle name="Normal 2 2 4 15 5 5" xfId="22065" xr:uid="{00000000-0005-0000-0000-000031560000}"/>
    <cellStyle name="Normal 2 2 4 15 5 6" xfId="22066" xr:uid="{00000000-0005-0000-0000-000032560000}"/>
    <cellStyle name="Normal 2 2 4 15 5 7" xfId="22067" xr:uid="{00000000-0005-0000-0000-000033560000}"/>
    <cellStyle name="Normal 2 2 4 15 5 8" xfId="22068" xr:uid="{00000000-0005-0000-0000-000034560000}"/>
    <cellStyle name="Normal 2 2 4 15 5 9" xfId="22069" xr:uid="{00000000-0005-0000-0000-000035560000}"/>
    <cellStyle name="Normal 2 2 4 15 6" xfId="22070" xr:uid="{00000000-0005-0000-0000-000036560000}"/>
    <cellStyle name="Normal 2 2 4 15 7" xfId="22071" xr:uid="{00000000-0005-0000-0000-000037560000}"/>
    <cellStyle name="Normal 2 2 4 15 8" xfId="22072" xr:uid="{00000000-0005-0000-0000-000038560000}"/>
    <cellStyle name="Normal 2 2 4 15 9" xfId="22073" xr:uid="{00000000-0005-0000-0000-000039560000}"/>
    <cellStyle name="Normal 2 2 4 16" xfId="22074" xr:uid="{00000000-0005-0000-0000-00003A560000}"/>
    <cellStyle name="Normal 2 2 4 16 10" xfId="22075" xr:uid="{00000000-0005-0000-0000-00003B560000}"/>
    <cellStyle name="Normal 2 2 4 16 11" xfId="22076" xr:uid="{00000000-0005-0000-0000-00003C560000}"/>
    <cellStyle name="Normal 2 2 4 16 12" xfId="22077" xr:uid="{00000000-0005-0000-0000-00003D560000}"/>
    <cellStyle name="Normal 2 2 4 16 13" xfId="22078" xr:uid="{00000000-0005-0000-0000-00003E560000}"/>
    <cellStyle name="Normal 2 2 4 16 14" xfId="22079" xr:uid="{00000000-0005-0000-0000-00003F560000}"/>
    <cellStyle name="Normal 2 2 4 16 2" xfId="22080" xr:uid="{00000000-0005-0000-0000-000040560000}"/>
    <cellStyle name="Normal 2 2 4 16 2 10" xfId="22081" xr:uid="{00000000-0005-0000-0000-000041560000}"/>
    <cellStyle name="Normal 2 2 4 16 2 2" xfId="22082" xr:uid="{00000000-0005-0000-0000-000042560000}"/>
    <cellStyle name="Normal 2 2 4 16 2 3" xfId="22083" xr:uid="{00000000-0005-0000-0000-000043560000}"/>
    <cellStyle name="Normal 2 2 4 16 2 4" xfId="22084" xr:uid="{00000000-0005-0000-0000-000044560000}"/>
    <cellStyle name="Normal 2 2 4 16 2 5" xfId="22085" xr:uid="{00000000-0005-0000-0000-000045560000}"/>
    <cellStyle name="Normal 2 2 4 16 2 6" xfId="22086" xr:uid="{00000000-0005-0000-0000-000046560000}"/>
    <cellStyle name="Normal 2 2 4 16 2 7" xfId="22087" xr:uid="{00000000-0005-0000-0000-000047560000}"/>
    <cellStyle name="Normal 2 2 4 16 2 8" xfId="22088" xr:uid="{00000000-0005-0000-0000-000048560000}"/>
    <cellStyle name="Normal 2 2 4 16 2 9" xfId="22089" xr:uid="{00000000-0005-0000-0000-000049560000}"/>
    <cellStyle name="Normal 2 2 4 16 3" xfId="22090" xr:uid="{00000000-0005-0000-0000-00004A560000}"/>
    <cellStyle name="Normal 2 2 4 16 3 10" xfId="22091" xr:uid="{00000000-0005-0000-0000-00004B560000}"/>
    <cellStyle name="Normal 2 2 4 16 3 2" xfId="22092" xr:uid="{00000000-0005-0000-0000-00004C560000}"/>
    <cellStyle name="Normal 2 2 4 16 3 3" xfId="22093" xr:uid="{00000000-0005-0000-0000-00004D560000}"/>
    <cellStyle name="Normal 2 2 4 16 3 4" xfId="22094" xr:uid="{00000000-0005-0000-0000-00004E560000}"/>
    <cellStyle name="Normal 2 2 4 16 3 5" xfId="22095" xr:uid="{00000000-0005-0000-0000-00004F560000}"/>
    <cellStyle name="Normal 2 2 4 16 3 6" xfId="22096" xr:uid="{00000000-0005-0000-0000-000050560000}"/>
    <cellStyle name="Normal 2 2 4 16 3 7" xfId="22097" xr:uid="{00000000-0005-0000-0000-000051560000}"/>
    <cellStyle name="Normal 2 2 4 16 3 8" xfId="22098" xr:uid="{00000000-0005-0000-0000-000052560000}"/>
    <cellStyle name="Normal 2 2 4 16 3 9" xfId="22099" xr:uid="{00000000-0005-0000-0000-000053560000}"/>
    <cellStyle name="Normal 2 2 4 16 4" xfId="22100" xr:uid="{00000000-0005-0000-0000-000054560000}"/>
    <cellStyle name="Normal 2 2 4 16 4 10" xfId="22101" xr:uid="{00000000-0005-0000-0000-000055560000}"/>
    <cellStyle name="Normal 2 2 4 16 4 2" xfId="22102" xr:uid="{00000000-0005-0000-0000-000056560000}"/>
    <cellStyle name="Normal 2 2 4 16 4 3" xfId="22103" xr:uid="{00000000-0005-0000-0000-000057560000}"/>
    <cellStyle name="Normal 2 2 4 16 4 4" xfId="22104" xr:uid="{00000000-0005-0000-0000-000058560000}"/>
    <cellStyle name="Normal 2 2 4 16 4 5" xfId="22105" xr:uid="{00000000-0005-0000-0000-000059560000}"/>
    <cellStyle name="Normal 2 2 4 16 4 6" xfId="22106" xr:uid="{00000000-0005-0000-0000-00005A560000}"/>
    <cellStyle name="Normal 2 2 4 16 4 7" xfId="22107" xr:uid="{00000000-0005-0000-0000-00005B560000}"/>
    <cellStyle name="Normal 2 2 4 16 4 8" xfId="22108" xr:uid="{00000000-0005-0000-0000-00005C560000}"/>
    <cellStyle name="Normal 2 2 4 16 4 9" xfId="22109" xr:uid="{00000000-0005-0000-0000-00005D560000}"/>
    <cellStyle name="Normal 2 2 4 16 5" xfId="22110" xr:uid="{00000000-0005-0000-0000-00005E560000}"/>
    <cellStyle name="Normal 2 2 4 16 5 10" xfId="22111" xr:uid="{00000000-0005-0000-0000-00005F560000}"/>
    <cellStyle name="Normal 2 2 4 16 5 2" xfId="22112" xr:uid="{00000000-0005-0000-0000-000060560000}"/>
    <cellStyle name="Normal 2 2 4 16 5 3" xfId="22113" xr:uid="{00000000-0005-0000-0000-000061560000}"/>
    <cellStyle name="Normal 2 2 4 16 5 4" xfId="22114" xr:uid="{00000000-0005-0000-0000-000062560000}"/>
    <cellStyle name="Normal 2 2 4 16 5 5" xfId="22115" xr:uid="{00000000-0005-0000-0000-000063560000}"/>
    <cellStyle name="Normal 2 2 4 16 5 6" xfId="22116" xr:uid="{00000000-0005-0000-0000-000064560000}"/>
    <cellStyle name="Normal 2 2 4 16 5 7" xfId="22117" xr:uid="{00000000-0005-0000-0000-000065560000}"/>
    <cellStyle name="Normal 2 2 4 16 5 8" xfId="22118" xr:uid="{00000000-0005-0000-0000-000066560000}"/>
    <cellStyle name="Normal 2 2 4 16 5 9" xfId="22119" xr:uid="{00000000-0005-0000-0000-000067560000}"/>
    <cellStyle name="Normal 2 2 4 16 6" xfId="22120" xr:uid="{00000000-0005-0000-0000-000068560000}"/>
    <cellStyle name="Normal 2 2 4 16 7" xfId="22121" xr:uid="{00000000-0005-0000-0000-000069560000}"/>
    <cellStyle name="Normal 2 2 4 16 8" xfId="22122" xr:uid="{00000000-0005-0000-0000-00006A560000}"/>
    <cellStyle name="Normal 2 2 4 16 9" xfId="22123" xr:uid="{00000000-0005-0000-0000-00006B560000}"/>
    <cellStyle name="Normal 2 2 4 17" xfId="22124" xr:uid="{00000000-0005-0000-0000-00006C560000}"/>
    <cellStyle name="Normal 2 2 4 17 10" xfId="22125" xr:uid="{00000000-0005-0000-0000-00006D560000}"/>
    <cellStyle name="Normal 2 2 4 17 11" xfId="22126" xr:uid="{00000000-0005-0000-0000-00006E560000}"/>
    <cellStyle name="Normal 2 2 4 17 12" xfId="22127" xr:uid="{00000000-0005-0000-0000-00006F560000}"/>
    <cellStyle name="Normal 2 2 4 17 13" xfId="22128" xr:uid="{00000000-0005-0000-0000-000070560000}"/>
    <cellStyle name="Normal 2 2 4 17 14" xfId="22129" xr:uid="{00000000-0005-0000-0000-000071560000}"/>
    <cellStyle name="Normal 2 2 4 17 2" xfId="22130" xr:uid="{00000000-0005-0000-0000-000072560000}"/>
    <cellStyle name="Normal 2 2 4 17 2 10" xfId="22131" xr:uid="{00000000-0005-0000-0000-000073560000}"/>
    <cellStyle name="Normal 2 2 4 17 2 2" xfId="22132" xr:uid="{00000000-0005-0000-0000-000074560000}"/>
    <cellStyle name="Normal 2 2 4 17 2 3" xfId="22133" xr:uid="{00000000-0005-0000-0000-000075560000}"/>
    <cellStyle name="Normal 2 2 4 17 2 4" xfId="22134" xr:uid="{00000000-0005-0000-0000-000076560000}"/>
    <cellStyle name="Normal 2 2 4 17 2 5" xfId="22135" xr:uid="{00000000-0005-0000-0000-000077560000}"/>
    <cellStyle name="Normal 2 2 4 17 2 6" xfId="22136" xr:uid="{00000000-0005-0000-0000-000078560000}"/>
    <cellStyle name="Normal 2 2 4 17 2 7" xfId="22137" xr:uid="{00000000-0005-0000-0000-000079560000}"/>
    <cellStyle name="Normal 2 2 4 17 2 8" xfId="22138" xr:uid="{00000000-0005-0000-0000-00007A560000}"/>
    <cellStyle name="Normal 2 2 4 17 2 9" xfId="22139" xr:uid="{00000000-0005-0000-0000-00007B560000}"/>
    <cellStyle name="Normal 2 2 4 17 3" xfId="22140" xr:uid="{00000000-0005-0000-0000-00007C560000}"/>
    <cellStyle name="Normal 2 2 4 17 3 10" xfId="22141" xr:uid="{00000000-0005-0000-0000-00007D560000}"/>
    <cellStyle name="Normal 2 2 4 17 3 2" xfId="22142" xr:uid="{00000000-0005-0000-0000-00007E560000}"/>
    <cellStyle name="Normal 2 2 4 17 3 3" xfId="22143" xr:uid="{00000000-0005-0000-0000-00007F560000}"/>
    <cellStyle name="Normal 2 2 4 17 3 4" xfId="22144" xr:uid="{00000000-0005-0000-0000-000080560000}"/>
    <cellStyle name="Normal 2 2 4 17 3 5" xfId="22145" xr:uid="{00000000-0005-0000-0000-000081560000}"/>
    <cellStyle name="Normal 2 2 4 17 3 6" xfId="22146" xr:uid="{00000000-0005-0000-0000-000082560000}"/>
    <cellStyle name="Normal 2 2 4 17 3 7" xfId="22147" xr:uid="{00000000-0005-0000-0000-000083560000}"/>
    <cellStyle name="Normal 2 2 4 17 3 8" xfId="22148" xr:uid="{00000000-0005-0000-0000-000084560000}"/>
    <cellStyle name="Normal 2 2 4 17 3 9" xfId="22149" xr:uid="{00000000-0005-0000-0000-000085560000}"/>
    <cellStyle name="Normal 2 2 4 17 4" xfId="22150" xr:uid="{00000000-0005-0000-0000-000086560000}"/>
    <cellStyle name="Normal 2 2 4 17 4 10" xfId="22151" xr:uid="{00000000-0005-0000-0000-000087560000}"/>
    <cellStyle name="Normal 2 2 4 17 4 2" xfId="22152" xr:uid="{00000000-0005-0000-0000-000088560000}"/>
    <cellStyle name="Normal 2 2 4 17 4 3" xfId="22153" xr:uid="{00000000-0005-0000-0000-000089560000}"/>
    <cellStyle name="Normal 2 2 4 17 4 4" xfId="22154" xr:uid="{00000000-0005-0000-0000-00008A560000}"/>
    <cellStyle name="Normal 2 2 4 17 4 5" xfId="22155" xr:uid="{00000000-0005-0000-0000-00008B560000}"/>
    <cellStyle name="Normal 2 2 4 17 4 6" xfId="22156" xr:uid="{00000000-0005-0000-0000-00008C560000}"/>
    <cellStyle name="Normal 2 2 4 17 4 7" xfId="22157" xr:uid="{00000000-0005-0000-0000-00008D560000}"/>
    <cellStyle name="Normal 2 2 4 17 4 8" xfId="22158" xr:uid="{00000000-0005-0000-0000-00008E560000}"/>
    <cellStyle name="Normal 2 2 4 17 4 9" xfId="22159" xr:uid="{00000000-0005-0000-0000-00008F560000}"/>
    <cellStyle name="Normal 2 2 4 17 5" xfId="22160" xr:uid="{00000000-0005-0000-0000-000090560000}"/>
    <cellStyle name="Normal 2 2 4 17 5 10" xfId="22161" xr:uid="{00000000-0005-0000-0000-000091560000}"/>
    <cellStyle name="Normal 2 2 4 17 5 2" xfId="22162" xr:uid="{00000000-0005-0000-0000-000092560000}"/>
    <cellStyle name="Normal 2 2 4 17 5 3" xfId="22163" xr:uid="{00000000-0005-0000-0000-000093560000}"/>
    <cellStyle name="Normal 2 2 4 17 5 4" xfId="22164" xr:uid="{00000000-0005-0000-0000-000094560000}"/>
    <cellStyle name="Normal 2 2 4 17 5 5" xfId="22165" xr:uid="{00000000-0005-0000-0000-000095560000}"/>
    <cellStyle name="Normal 2 2 4 17 5 6" xfId="22166" xr:uid="{00000000-0005-0000-0000-000096560000}"/>
    <cellStyle name="Normal 2 2 4 17 5 7" xfId="22167" xr:uid="{00000000-0005-0000-0000-000097560000}"/>
    <cellStyle name="Normal 2 2 4 17 5 8" xfId="22168" xr:uid="{00000000-0005-0000-0000-000098560000}"/>
    <cellStyle name="Normal 2 2 4 17 5 9" xfId="22169" xr:uid="{00000000-0005-0000-0000-000099560000}"/>
    <cellStyle name="Normal 2 2 4 17 6" xfId="22170" xr:uid="{00000000-0005-0000-0000-00009A560000}"/>
    <cellStyle name="Normal 2 2 4 17 7" xfId="22171" xr:uid="{00000000-0005-0000-0000-00009B560000}"/>
    <cellStyle name="Normal 2 2 4 17 8" xfId="22172" xr:uid="{00000000-0005-0000-0000-00009C560000}"/>
    <cellStyle name="Normal 2 2 4 17 9" xfId="22173" xr:uid="{00000000-0005-0000-0000-00009D560000}"/>
    <cellStyle name="Normal 2 2 4 18" xfId="22174" xr:uid="{00000000-0005-0000-0000-00009E560000}"/>
    <cellStyle name="Normal 2 2 4 18 10" xfId="22175" xr:uid="{00000000-0005-0000-0000-00009F560000}"/>
    <cellStyle name="Normal 2 2 4 18 11" xfId="22176" xr:uid="{00000000-0005-0000-0000-0000A0560000}"/>
    <cellStyle name="Normal 2 2 4 18 12" xfId="22177" xr:uid="{00000000-0005-0000-0000-0000A1560000}"/>
    <cellStyle name="Normal 2 2 4 18 13" xfId="22178" xr:uid="{00000000-0005-0000-0000-0000A2560000}"/>
    <cellStyle name="Normal 2 2 4 18 14" xfId="22179" xr:uid="{00000000-0005-0000-0000-0000A3560000}"/>
    <cellStyle name="Normal 2 2 4 18 2" xfId="22180" xr:uid="{00000000-0005-0000-0000-0000A4560000}"/>
    <cellStyle name="Normal 2 2 4 18 2 10" xfId="22181" xr:uid="{00000000-0005-0000-0000-0000A5560000}"/>
    <cellStyle name="Normal 2 2 4 18 2 2" xfId="22182" xr:uid="{00000000-0005-0000-0000-0000A6560000}"/>
    <cellStyle name="Normal 2 2 4 18 2 3" xfId="22183" xr:uid="{00000000-0005-0000-0000-0000A7560000}"/>
    <cellStyle name="Normal 2 2 4 18 2 4" xfId="22184" xr:uid="{00000000-0005-0000-0000-0000A8560000}"/>
    <cellStyle name="Normal 2 2 4 18 2 5" xfId="22185" xr:uid="{00000000-0005-0000-0000-0000A9560000}"/>
    <cellStyle name="Normal 2 2 4 18 2 6" xfId="22186" xr:uid="{00000000-0005-0000-0000-0000AA560000}"/>
    <cellStyle name="Normal 2 2 4 18 2 7" xfId="22187" xr:uid="{00000000-0005-0000-0000-0000AB560000}"/>
    <cellStyle name="Normal 2 2 4 18 2 8" xfId="22188" xr:uid="{00000000-0005-0000-0000-0000AC560000}"/>
    <cellStyle name="Normal 2 2 4 18 2 9" xfId="22189" xr:uid="{00000000-0005-0000-0000-0000AD560000}"/>
    <cellStyle name="Normal 2 2 4 18 3" xfId="22190" xr:uid="{00000000-0005-0000-0000-0000AE560000}"/>
    <cellStyle name="Normal 2 2 4 18 3 10" xfId="22191" xr:uid="{00000000-0005-0000-0000-0000AF560000}"/>
    <cellStyle name="Normal 2 2 4 18 3 2" xfId="22192" xr:uid="{00000000-0005-0000-0000-0000B0560000}"/>
    <cellStyle name="Normal 2 2 4 18 3 3" xfId="22193" xr:uid="{00000000-0005-0000-0000-0000B1560000}"/>
    <cellStyle name="Normal 2 2 4 18 3 4" xfId="22194" xr:uid="{00000000-0005-0000-0000-0000B2560000}"/>
    <cellStyle name="Normal 2 2 4 18 3 5" xfId="22195" xr:uid="{00000000-0005-0000-0000-0000B3560000}"/>
    <cellStyle name="Normal 2 2 4 18 3 6" xfId="22196" xr:uid="{00000000-0005-0000-0000-0000B4560000}"/>
    <cellStyle name="Normal 2 2 4 18 3 7" xfId="22197" xr:uid="{00000000-0005-0000-0000-0000B5560000}"/>
    <cellStyle name="Normal 2 2 4 18 3 8" xfId="22198" xr:uid="{00000000-0005-0000-0000-0000B6560000}"/>
    <cellStyle name="Normal 2 2 4 18 3 9" xfId="22199" xr:uid="{00000000-0005-0000-0000-0000B7560000}"/>
    <cellStyle name="Normal 2 2 4 18 4" xfId="22200" xr:uid="{00000000-0005-0000-0000-0000B8560000}"/>
    <cellStyle name="Normal 2 2 4 18 4 10" xfId="22201" xr:uid="{00000000-0005-0000-0000-0000B9560000}"/>
    <cellStyle name="Normal 2 2 4 18 4 2" xfId="22202" xr:uid="{00000000-0005-0000-0000-0000BA560000}"/>
    <cellStyle name="Normal 2 2 4 18 4 3" xfId="22203" xr:uid="{00000000-0005-0000-0000-0000BB560000}"/>
    <cellStyle name="Normal 2 2 4 18 4 4" xfId="22204" xr:uid="{00000000-0005-0000-0000-0000BC560000}"/>
    <cellStyle name="Normal 2 2 4 18 4 5" xfId="22205" xr:uid="{00000000-0005-0000-0000-0000BD560000}"/>
    <cellStyle name="Normal 2 2 4 18 4 6" xfId="22206" xr:uid="{00000000-0005-0000-0000-0000BE560000}"/>
    <cellStyle name="Normal 2 2 4 18 4 7" xfId="22207" xr:uid="{00000000-0005-0000-0000-0000BF560000}"/>
    <cellStyle name="Normal 2 2 4 18 4 8" xfId="22208" xr:uid="{00000000-0005-0000-0000-0000C0560000}"/>
    <cellStyle name="Normal 2 2 4 18 4 9" xfId="22209" xr:uid="{00000000-0005-0000-0000-0000C1560000}"/>
    <cellStyle name="Normal 2 2 4 18 5" xfId="22210" xr:uid="{00000000-0005-0000-0000-0000C2560000}"/>
    <cellStyle name="Normal 2 2 4 18 5 10" xfId="22211" xr:uid="{00000000-0005-0000-0000-0000C3560000}"/>
    <cellStyle name="Normal 2 2 4 18 5 2" xfId="22212" xr:uid="{00000000-0005-0000-0000-0000C4560000}"/>
    <cellStyle name="Normal 2 2 4 18 5 3" xfId="22213" xr:uid="{00000000-0005-0000-0000-0000C5560000}"/>
    <cellStyle name="Normal 2 2 4 18 5 4" xfId="22214" xr:uid="{00000000-0005-0000-0000-0000C6560000}"/>
    <cellStyle name="Normal 2 2 4 18 5 5" xfId="22215" xr:uid="{00000000-0005-0000-0000-0000C7560000}"/>
    <cellStyle name="Normal 2 2 4 18 5 6" xfId="22216" xr:uid="{00000000-0005-0000-0000-0000C8560000}"/>
    <cellStyle name="Normal 2 2 4 18 5 7" xfId="22217" xr:uid="{00000000-0005-0000-0000-0000C9560000}"/>
    <cellStyle name="Normal 2 2 4 18 5 8" xfId="22218" xr:uid="{00000000-0005-0000-0000-0000CA560000}"/>
    <cellStyle name="Normal 2 2 4 18 5 9" xfId="22219" xr:uid="{00000000-0005-0000-0000-0000CB560000}"/>
    <cellStyle name="Normal 2 2 4 18 6" xfId="22220" xr:uid="{00000000-0005-0000-0000-0000CC560000}"/>
    <cellStyle name="Normal 2 2 4 18 7" xfId="22221" xr:uid="{00000000-0005-0000-0000-0000CD560000}"/>
    <cellStyle name="Normal 2 2 4 18 8" xfId="22222" xr:uid="{00000000-0005-0000-0000-0000CE560000}"/>
    <cellStyle name="Normal 2 2 4 18 9" xfId="22223" xr:uid="{00000000-0005-0000-0000-0000CF560000}"/>
    <cellStyle name="Normal 2 2 4 19" xfId="22224" xr:uid="{00000000-0005-0000-0000-0000D0560000}"/>
    <cellStyle name="Normal 2 2 4 19 10" xfId="22225" xr:uid="{00000000-0005-0000-0000-0000D1560000}"/>
    <cellStyle name="Normal 2 2 4 19 11" xfId="22226" xr:uid="{00000000-0005-0000-0000-0000D2560000}"/>
    <cellStyle name="Normal 2 2 4 19 12" xfId="22227" xr:uid="{00000000-0005-0000-0000-0000D3560000}"/>
    <cellStyle name="Normal 2 2 4 19 13" xfId="22228" xr:uid="{00000000-0005-0000-0000-0000D4560000}"/>
    <cellStyle name="Normal 2 2 4 19 14" xfId="22229" xr:uid="{00000000-0005-0000-0000-0000D5560000}"/>
    <cellStyle name="Normal 2 2 4 19 2" xfId="22230" xr:uid="{00000000-0005-0000-0000-0000D6560000}"/>
    <cellStyle name="Normal 2 2 4 19 2 10" xfId="22231" xr:uid="{00000000-0005-0000-0000-0000D7560000}"/>
    <cellStyle name="Normal 2 2 4 19 2 2" xfId="22232" xr:uid="{00000000-0005-0000-0000-0000D8560000}"/>
    <cellStyle name="Normal 2 2 4 19 2 3" xfId="22233" xr:uid="{00000000-0005-0000-0000-0000D9560000}"/>
    <cellStyle name="Normal 2 2 4 19 2 4" xfId="22234" xr:uid="{00000000-0005-0000-0000-0000DA560000}"/>
    <cellStyle name="Normal 2 2 4 19 2 5" xfId="22235" xr:uid="{00000000-0005-0000-0000-0000DB560000}"/>
    <cellStyle name="Normal 2 2 4 19 2 6" xfId="22236" xr:uid="{00000000-0005-0000-0000-0000DC560000}"/>
    <cellStyle name="Normal 2 2 4 19 2 7" xfId="22237" xr:uid="{00000000-0005-0000-0000-0000DD560000}"/>
    <cellStyle name="Normal 2 2 4 19 2 8" xfId="22238" xr:uid="{00000000-0005-0000-0000-0000DE560000}"/>
    <cellStyle name="Normal 2 2 4 19 2 9" xfId="22239" xr:uid="{00000000-0005-0000-0000-0000DF560000}"/>
    <cellStyle name="Normal 2 2 4 19 3" xfId="22240" xr:uid="{00000000-0005-0000-0000-0000E0560000}"/>
    <cellStyle name="Normal 2 2 4 19 3 10" xfId="22241" xr:uid="{00000000-0005-0000-0000-0000E1560000}"/>
    <cellStyle name="Normal 2 2 4 19 3 2" xfId="22242" xr:uid="{00000000-0005-0000-0000-0000E2560000}"/>
    <cellStyle name="Normal 2 2 4 19 3 3" xfId="22243" xr:uid="{00000000-0005-0000-0000-0000E3560000}"/>
    <cellStyle name="Normal 2 2 4 19 3 4" xfId="22244" xr:uid="{00000000-0005-0000-0000-0000E4560000}"/>
    <cellStyle name="Normal 2 2 4 19 3 5" xfId="22245" xr:uid="{00000000-0005-0000-0000-0000E5560000}"/>
    <cellStyle name="Normal 2 2 4 19 3 6" xfId="22246" xr:uid="{00000000-0005-0000-0000-0000E6560000}"/>
    <cellStyle name="Normal 2 2 4 19 3 7" xfId="22247" xr:uid="{00000000-0005-0000-0000-0000E7560000}"/>
    <cellStyle name="Normal 2 2 4 19 3 8" xfId="22248" xr:uid="{00000000-0005-0000-0000-0000E8560000}"/>
    <cellStyle name="Normal 2 2 4 19 3 9" xfId="22249" xr:uid="{00000000-0005-0000-0000-0000E9560000}"/>
    <cellStyle name="Normal 2 2 4 19 4" xfId="22250" xr:uid="{00000000-0005-0000-0000-0000EA560000}"/>
    <cellStyle name="Normal 2 2 4 19 4 10" xfId="22251" xr:uid="{00000000-0005-0000-0000-0000EB560000}"/>
    <cellStyle name="Normal 2 2 4 19 4 2" xfId="22252" xr:uid="{00000000-0005-0000-0000-0000EC560000}"/>
    <cellStyle name="Normal 2 2 4 19 4 3" xfId="22253" xr:uid="{00000000-0005-0000-0000-0000ED560000}"/>
    <cellStyle name="Normal 2 2 4 19 4 4" xfId="22254" xr:uid="{00000000-0005-0000-0000-0000EE560000}"/>
    <cellStyle name="Normal 2 2 4 19 4 5" xfId="22255" xr:uid="{00000000-0005-0000-0000-0000EF560000}"/>
    <cellStyle name="Normal 2 2 4 19 4 6" xfId="22256" xr:uid="{00000000-0005-0000-0000-0000F0560000}"/>
    <cellStyle name="Normal 2 2 4 19 4 7" xfId="22257" xr:uid="{00000000-0005-0000-0000-0000F1560000}"/>
    <cellStyle name="Normal 2 2 4 19 4 8" xfId="22258" xr:uid="{00000000-0005-0000-0000-0000F2560000}"/>
    <cellStyle name="Normal 2 2 4 19 4 9" xfId="22259" xr:uid="{00000000-0005-0000-0000-0000F3560000}"/>
    <cellStyle name="Normal 2 2 4 19 5" xfId="22260" xr:uid="{00000000-0005-0000-0000-0000F4560000}"/>
    <cellStyle name="Normal 2 2 4 19 5 10" xfId="22261" xr:uid="{00000000-0005-0000-0000-0000F5560000}"/>
    <cellStyle name="Normal 2 2 4 19 5 2" xfId="22262" xr:uid="{00000000-0005-0000-0000-0000F6560000}"/>
    <cellStyle name="Normal 2 2 4 19 5 3" xfId="22263" xr:uid="{00000000-0005-0000-0000-0000F7560000}"/>
    <cellStyle name="Normal 2 2 4 19 5 4" xfId="22264" xr:uid="{00000000-0005-0000-0000-0000F8560000}"/>
    <cellStyle name="Normal 2 2 4 19 5 5" xfId="22265" xr:uid="{00000000-0005-0000-0000-0000F9560000}"/>
    <cellStyle name="Normal 2 2 4 19 5 6" xfId="22266" xr:uid="{00000000-0005-0000-0000-0000FA560000}"/>
    <cellStyle name="Normal 2 2 4 19 5 7" xfId="22267" xr:uid="{00000000-0005-0000-0000-0000FB560000}"/>
    <cellStyle name="Normal 2 2 4 19 5 8" xfId="22268" xr:uid="{00000000-0005-0000-0000-0000FC560000}"/>
    <cellStyle name="Normal 2 2 4 19 5 9" xfId="22269" xr:uid="{00000000-0005-0000-0000-0000FD560000}"/>
    <cellStyle name="Normal 2 2 4 19 6" xfId="22270" xr:uid="{00000000-0005-0000-0000-0000FE560000}"/>
    <cellStyle name="Normal 2 2 4 19 7" xfId="22271" xr:uid="{00000000-0005-0000-0000-0000FF560000}"/>
    <cellStyle name="Normal 2 2 4 19 8" xfId="22272" xr:uid="{00000000-0005-0000-0000-000000570000}"/>
    <cellStyle name="Normal 2 2 4 19 9" xfId="22273" xr:uid="{00000000-0005-0000-0000-000001570000}"/>
    <cellStyle name="Normal 2 2 4 2" xfId="53" xr:uid="{00000000-0005-0000-0000-000035000000}"/>
    <cellStyle name="Normal 2 2 4 2 10" xfId="22275" xr:uid="{00000000-0005-0000-0000-000003570000}"/>
    <cellStyle name="Normal 2 2 4 2 11" xfId="22276" xr:uid="{00000000-0005-0000-0000-000004570000}"/>
    <cellStyle name="Normal 2 2 4 2 12" xfId="22277" xr:uid="{00000000-0005-0000-0000-000005570000}"/>
    <cellStyle name="Normal 2 2 4 2 13" xfId="22278" xr:uid="{00000000-0005-0000-0000-000006570000}"/>
    <cellStyle name="Normal 2 2 4 2 14" xfId="22279" xr:uid="{00000000-0005-0000-0000-000007570000}"/>
    <cellStyle name="Normal 2 2 4 2 15" xfId="22280" xr:uid="{00000000-0005-0000-0000-000008570000}"/>
    <cellStyle name="Normal 2 2 4 2 16" xfId="22281" xr:uid="{00000000-0005-0000-0000-000009570000}"/>
    <cellStyle name="Normal 2 2 4 2 17" xfId="22282" xr:uid="{00000000-0005-0000-0000-00000A570000}"/>
    <cellStyle name="Normal 2 2 4 2 18" xfId="22283" xr:uid="{00000000-0005-0000-0000-00000B570000}"/>
    <cellStyle name="Normal 2 2 4 2 19" xfId="22284" xr:uid="{00000000-0005-0000-0000-00000C570000}"/>
    <cellStyle name="Normal 2 2 4 2 2" xfId="22285" xr:uid="{00000000-0005-0000-0000-00000D570000}"/>
    <cellStyle name="Normal 2 2 4 2 2 10" xfId="22286" xr:uid="{00000000-0005-0000-0000-00000E570000}"/>
    <cellStyle name="Normal 2 2 4 2 2 10 10" xfId="22287" xr:uid="{00000000-0005-0000-0000-00000F570000}"/>
    <cellStyle name="Normal 2 2 4 2 2 10 11" xfId="22288" xr:uid="{00000000-0005-0000-0000-000010570000}"/>
    <cellStyle name="Normal 2 2 4 2 2 10 12" xfId="22289" xr:uid="{00000000-0005-0000-0000-000011570000}"/>
    <cellStyle name="Normal 2 2 4 2 2 10 13" xfId="22290" xr:uid="{00000000-0005-0000-0000-000012570000}"/>
    <cellStyle name="Normal 2 2 4 2 2 10 14" xfId="22291" xr:uid="{00000000-0005-0000-0000-000013570000}"/>
    <cellStyle name="Normal 2 2 4 2 2 10 2" xfId="22292" xr:uid="{00000000-0005-0000-0000-000014570000}"/>
    <cellStyle name="Normal 2 2 4 2 2 10 2 10" xfId="22293" xr:uid="{00000000-0005-0000-0000-000015570000}"/>
    <cellStyle name="Normal 2 2 4 2 2 10 2 2" xfId="22294" xr:uid="{00000000-0005-0000-0000-000016570000}"/>
    <cellStyle name="Normal 2 2 4 2 2 10 2 3" xfId="22295" xr:uid="{00000000-0005-0000-0000-000017570000}"/>
    <cellStyle name="Normal 2 2 4 2 2 10 2 4" xfId="22296" xr:uid="{00000000-0005-0000-0000-000018570000}"/>
    <cellStyle name="Normal 2 2 4 2 2 10 2 5" xfId="22297" xr:uid="{00000000-0005-0000-0000-000019570000}"/>
    <cellStyle name="Normal 2 2 4 2 2 10 2 6" xfId="22298" xr:uid="{00000000-0005-0000-0000-00001A570000}"/>
    <cellStyle name="Normal 2 2 4 2 2 10 2 7" xfId="22299" xr:uid="{00000000-0005-0000-0000-00001B570000}"/>
    <cellStyle name="Normal 2 2 4 2 2 10 2 8" xfId="22300" xr:uid="{00000000-0005-0000-0000-00001C570000}"/>
    <cellStyle name="Normal 2 2 4 2 2 10 2 9" xfId="22301" xr:uid="{00000000-0005-0000-0000-00001D570000}"/>
    <cellStyle name="Normal 2 2 4 2 2 10 3" xfId="22302" xr:uid="{00000000-0005-0000-0000-00001E570000}"/>
    <cellStyle name="Normal 2 2 4 2 2 10 3 10" xfId="22303" xr:uid="{00000000-0005-0000-0000-00001F570000}"/>
    <cellStyle name="Normal 2 2 4 2 2 10 3 2" xfId="22304" xr:uid="{00000000-0005-0000-0000-000020570000}"/>
    <cellStyle name="Normal 2 2 4 2 2 10 3 3" xfId="22305" xr:uid="{00000000-0005-0000-0000-000021570000}"/>
    <cellStyle name="Normal 2 2 4 2 2 10 3 4" xfId="22306" xr:uid="{00000000-0005-0000-0000-000022570000}"/>
    <cellStyle name="Normal 2 2 4 2 2 10 3 5" xfId="22307" xr:uid="{00000000-0005-0000-0000-000023570000}"/>
    <cellStyle name="Normal 2 2 4 2 2 10 3 6" xfId="22308" xr:uid="{00000000-0005-0000-0000-000024570000}"/>
    <cellStyle name="Normal 2 2 4 2 2 10 3 7" xfId="22309" xr:uid="{00000000-0005-0000-0000-000025570000}"/>
    <cellStyle name="Normal 2 2 4 2 2 10 3 8" xfId="22310" xr:uid="{00000000-0005-0000-0000-000026570000}"/>
    <cellStyle name="Normal 2 2 4 2 2 10 3 9" xfId="22311" xr:uid="{00000000-0005-0000-0000-000027570000}"/>
    <cellStyle name="Normal 2 2 4 2 2 10 4" xfId="22312" xr:uid="{00000000-0005-0000-0000-000028570000}"/>
    <cellStyle name="Normal 2 2 4 2 2 10 4 10" xfId="22313" xr:uid="{00000000-0005-0000-0000-000029570000}"/>
    <cellStyle name="Normal 2 2 4 2 2 10 4 2" xfId="22314" xr:uid="{00000000-0005-0000-0000-00002A570000}"/>
    <cellStyle name="Normal 2 2 4 2 2 10 4 3" xfId="22315" xr:uid="{00000000-0005-0000-0000-00002B570000}"/>
    <cellStyle name="Normal 2 2 4 2 2 10 4 4" xfId="22316" xr:uid="{00000000-0005-0000-0000-00002C570000}"/>
    <cellStyle name="Normal 2 2 4 2 2 10 4 5" xfId="22317" xr:uid="{00000000-0005-0000-0000-00002D570000}"/>
    <cellStyle name="Normal 2 2 4 2 2 10 4 6" xfId="22318" xr:uid="{00000000-0005-0000-0000-00002E570000}"/>
    <cellStyle name="Normal 2 2 4 2 2 10 4 7" xfId="22319" xr:uid="{00000000-0005-0000-0000-00002F570000}"/>
    <cellStyle name="Normal 2 2 4 2 2 10 4 8" xfId="22320" xr:uid="{00000000-0005-0000-0000-000030570000}"/>
    <cellStyle name="Normal 2 2 4 2 2 10 4 9" xfId="22321" xr:uid="{00000000-0005-0000-0000-000031570000}"/>
    <cellStyle name="Normal 2 2 4 2 2 10 5" xfId="22322" xr:uid="{00000000-0005-0000-0000-000032570000}"/>
    <cellStyle name="Normal 2 2 4 2 2 10 5 10" xfId="22323" xr:uid="{00000000-0005-0000-0000-000033570000}"/>
    <cellStyle name="Normal 2 2 4 2 2 10 5 2" xfId="22324" xr:uid="{00000000-0005-0000-0000-000034570000}"/>
    <cellStyle name="Normal 2 2 4 2 2 10 5 3" xfId="22325" xr:uid="{00000000-0005-0000-0000-000035570000}"/>
    <cellStyle name="Normal 2 2 4 2 2 10 5 4" xfId="22326" xr:uid="{00000000-0005-0000-0000-000036570000}"/>
    <cellStyle name="Normal 2 2 4 2 2 10 5 5" xfId="22327" xr:uid="{00000000-0005-0000-0000-000037570000}"/>
    <cellStyle name="Normal 2 2 4 2 2 10 5 6" xfId="22328" xr:uid="{00000000-0005-0000-0000-000038570000}"/>
    <cellStyle name="Normal 2 2 4 2 2 10 5 7" xfId="22329" xr:uid="{00000000-0005-0000-0000-000039570000}"/>
    <cellStyle name="Normal 2 2 4 2 2 10 5 8" xfId="22330" xr:uid="{00000000-0005-0000-0000-00003A570000}"/>
    <cellStyle name="Normal 2 2 4 2 2 10 5 9" xfId="22331" xr:uid="{00000000-0005-0000-0000-00003B570000}"/>
    <cellStyle name="Normal 2 2 4 2 2 10 6" xfId="22332" xr:uid="{00000000-0005-0000-0000-00003C570000}"/>
    <cellStyle name="Normal 2 2 4 2 2 10 7" xfId="22333" xr:uid="{00000000-0005-0000-0000-00003D570000}"/>
    <cellStyle name="Normal 2 2 4 2 2 10 8" xfId="22334" xr:uid="{00000000-0005-0000-0000-00003E570000}"/>
    <cellStyle name="Normal 2 2 4 2 2 10 9" xfId="22335" xr:uid="{00000000-0005-0000-0000-00003F570000}"/>
    <cellStyle name="Normal 2 2 4 2 2 11" xfId="22336" xr:uid="{00000000-0005-0000-0000-000040570000}"/>
    <cellStyle name="Normal 2 2 4 2 2 11 10" xfId="22337" xr:uid="{00000000-0005-0000-0000-000041570000}"/>
    <cellStyle name="Normal 2 2 4 2 2 11 11" xfId="22338" xr:uid="{00000000-0005-0000-0000-000042570000}"/>
    <cellStyle name="Normal 2 2 4 2 2 11 12" xfId="22339" xr:uid="{00000000-0005-0000-0000-000043570000}"/>
    <cellStyle name="Normal 2 2 4 2 2 11 13" xfId="22340" xr:uid="{00000000-0005-0000-0000-000044570000}"/>
    <cellStyle name="Normal 2 2 4 2 2 11 14" xfId="22341" xr:uid="{00000000-0005-0000-0000-000045570000}"/>
    <cellStyle name="Normal 2 2 4 2 2 11 2" xfId="22342" xr:uid="{00000000-0005-0000-0000-000046570000}"/>
    <cellStyle name="Normal 2 2 4 2 2 11 2 10" xfId="22343" xr:uid="{00000000-0005-0000-0000-000047570000}"/>
    <cellStyle name="Normal 2 2 4 2 2 11 2 2" xfId="22344" xr:uid="{00000000-0005-0000-0000-000048570000}"/>
    <cellStyle name="Normal 2 2 4 2 2 11 2 3" xfId="22345" xr:uid="{00000000-0005-0000-0000-000049570000}"/>
    <cellStyle name="Normal 2 2 4 2 2 11 2 4" xfId="22346" xr:uid="{00000000-0005-0000-0000-00004A570000}"/>
    <cellStyle name="Normal 2 2 4 2 2 11 2 5" xfId="22347" xr:uid="{00000000-0005-0000-0000-00004B570000}"/>
    <cellStyle name="Normal 2 2 4 2 2 11 2 6" xfId="22348" xr:uid="{00000000-0005-0000-0000-00004C570000}"/>
    <cellStyle name="Normal 2 2 4 2 2 11 2 7" xfId="22349" xr:uid="{00000000-0005-0000-0000-00004D570000}"/>
    <cellStyle name="Normal 2 2 4 2 2 11 2 8" xfId="22350" xr:uid="{00000000-0005-0000-0000-00004E570000}"/>
    <cellStyle name="Normal 2 2 4 2 2 11 2 9" xfId="22351" xr:uid="{00000000-0005-0000-0000-00004F570000}"/>
    <cellStyle name="Normal 2 2 4 2 2 11 3" xfId="22352" xr:uid="{00000000-0005-0000-0000-000050570000}"/>
    <cellStyle name="Normal 2 2 4 2 2 11 3 10" xfId="22353" xr:uid="{00000000-0005-0000-0000-000051570000}"/>
    <cellStyle name="Normal 2 2 4 2 2 11 3 2" xfId="22354" xr:uid="{00000000-0005-0000-0000-000052570000}"/>
    <cellStyle name="Normal 2 2 4 2 2 11 3 3" xfId="22355" xr:uid="{00000000-0005-0000-0000-000053570000}"/>
    <cellStyle name="Normal 2 2 4 2 2 11 3 4" xfId="22356" xr:uid="{00000000-0005-0000-0000-000054570000}"/>
    <cellStyle name="Normal 2 2 4 2 2 11 3 5" xfId="22357" xr:uid="{00000000-0005-0000-0000-000055570000}"/>
    <cellStyle name="Normal 2 2 4 2 2 11 3 6" xfId="22358" xr:uid="{00000000-0005-0000-0000-000056570000}"/>
    <cellStyle name="Normal 2 2 4 2 2 11 3 7" xfId="22359" xr:uid="{00000000-0005-0000-0000-000057570000}"/>
    <cellStyle name="Normal 2 2 4 2 2 11 3 8" xfId="22360" xr:uid="{00000000-0005-0000-0000-000058570000}"/>
    <cellStyle name="Normal 2 2 4 2 2 11 3 9" xfId="22361" xr:uid="{00000000-0005-0000-0000-000059570000}"/>
    <cellStyle name="Normal 2 2 4 2 2 11 4" xfId="22362" xr:uid="{00000000-0005-0000-0000-00005A570000}"/>
    <cellStyle name="Normal 2 2 4 2 2 11 4 10" xfId="22363" xr:uid="{00000000-0005-0000-0000-00005B570000}"/>
    <cellStyle name="Normal 2 2 4 2 2 11 4 2" xfId="22364" xr:uid="{00000000-0005-0000-0000-00005C570000}"/>
    <cellStyle name="Normal 2 2 4 2 2 11 4 3" xfId="22365" xr:uid="{00000000-0005-0000-0000-00005D570000}"/>
    <cellStyle name="Normal 2 2 4 2 2 11 4 4" xfId="22366" xr:uid="{00000000-0005-0000-0000-00005E570000}"/>
    <cellStyle name="Normal 2 2 4 2 2 11 4 5" xfId="22367" xr:uid="{00000000-0005-0000-0000-00005F570000}"/>
    <cellStyle name="Normal 2 2 4 2 2 11 4 6" xfId="22368" xr:uid="{00000000-0005-0000-0000-000060570000}"/>
    <cellStyle name="Normal 2 2 4 2 2 11 4 7" xfId="22369" xr:uid="{00000000-0005-0000-0000-000061570000}"/>
    <cellStyle name="Normal 2 2 4 2 2 11 4 8" xfId="22370" xr:uid="{00000000-0005-0000-0000-000062570000}"/>
    <cellStyle name="Normal 2 2 4 2 2 11 4 9" xfId="22371" xr:uid="{00000000-0005-0000-0000-000063570000}"/>
    <cellStyle name="Normal 2 2 4 2 2 11 5" xfId="22372" xr:uid="{00000000-0005-0000-0000-000064570000}"/>
    <cellStyle name="Normal 2 2 4 2 2 11 5 10" xfId="22373" xr:uid="{00000000-0005-0000-0000-000065570000}"/>
    <cellStyle name="Normal 2 2 4 2 2 11 5 2" xfId="22374" xr:uid="{00000000-0005-0000-0000-000066570000}"/>
    <cellStyle name="Normal 2 2 4 2 2 11 5 3" xfId="22375" xr:uid="{00000000-0005-0000-0000-000067570000}"/>
    <cellStyle name="Normal 2 2 4 2 2 11 5 4" xfId="22376" xr:uid="{00000000-0005-0000-0000-000068570000}"/>
    <cellStyle name="Normal 2 2 4 2 2 11 5 5" xfId="22377" xr:uid="{00000000-0005-0000-0000-000069570000}"/>
    <cellStyle name="Normal 2 2 4 2 2 11 5 6" xfId="22378" xr:uid="{00000000-0005-0000-0000-00006A570000}"/>
    <cellStyle name="Normal 2 2 4 2 2 11 5 7" xfId="22379" xr:uid="{00000000-0005-0000-0000-00006B570000}"/>
    <cellStyle name="Normal 2 2 4 2 2 11 5 8" xfId="22380" xr:uid="{00000000-0005-0000-0000-00006C570000}"/>
    <cellStyle name="Normal 2 2 4 2 2 11 5 9" xfId="22381" xr:uid="{00000000-0005-0000-0000-00006D570000}"/>
    <cellStyle name="Normal 2 2 4 2 2 11 6" xfId="22382" xr:uid="{00000000-0005-0000-0000-00006E570000}"/>
    <cellStyle name="Normal 2 2 4 2 2 11 7" xfId="22383" xr:uid="{00000000-0005-0000-0000-00006F570000}"/>
    <cellStyle name="Normal 2 2 4 2 2 11 8" xfId="22384" xr:uid="{00000000-0005-0000-0000-000070570000}"/>
    <cellStyle name="Normal 2 2 4 2 2 11 9" xfId="22385" xr:uid="{00000000-0005-0000-0000-000071570000}"/>
    <cellStyle name="Normal 2 2 4 2 2 12" xfId="22386" xr:uid="{00000000-0005-0000-0000-000072570000}"/>
    <cellStyle name="Normal 2 2 4 2 2 12 10" xfId="22387" xr:uid="{00000000-0005-0000-0000-000073570000}"/>
    <cellStyle name="Normal 2 2 4 2 2 12 11" xfId="22388" xr:uid="{00000000-0005-0000-0000-000074570000}"/>
    <cellStyle name="Normal 2 2 4 2 2 12 12" xfId="22389" xr:uid="{00000000-0005-0000-0000-000075570000}"/>
    <cellStyle name="Normal 2 2 4 2 2 12 13" xfId="22390" xr:uid="{00000000-0005-0000-0000-000076570000}"/>
    <cellStyle name="Normal 2 2 4 2 2 12 14" xfId="22391" xr:uid="{00000000-0005-0000-0000-000077570000}"/>
    <cellStyle name="Normal 2 2 4 2 2 12 2" xfId="22392" xr:uid="{00000000-0005-0000-0000-000078570000}"/>
    <cellStyle name="Normal 2 2 4 2 2 12 2 10" xfId="22393" xr:uid="{00000000-0005-0000-0000-000079570000}"/>
    <cellStyle name="Normal 2 2 4 2 2 12 2 2" xfId="22394" xr:uid="{00000000-0005-0000-0000-00007A570000}"/>
    <cellStyle name="Normal 2 2 4 2 2 12 2 3" xfId="22395" xr:uid="{00000000-0005-0000-0000-00007B570000}"/>
    <cellStyle name="Normal 2 2 4 2 2 12 2 4" xfId="22396" xr:uid="{00000000-0005-0000-0000-00007C570000}"/>
    <cellStyle name="Normal 2 2 4 2 2 12 2 5" xfId="22397" xr:uid="{00000000-0005-0000-0000-00007D570000}"/>
    <cellStyle name="Normal 2 2 4 2 2 12 2 6" xfId="22398" xr:uid="{00000000-0005-0000-0000-00007E570000}"/>
    <cellStyle name="Normal 2 2 4 2 2 12 2 7" xfId="22399" xr:uid="{00000000-0005-0000-0000-00007F570000}"/>
    <cellStyle name="Normal 2 2 4 2 2 12 2 8" xfId="22400" xr:uid="{00000000-0005-0000-0000-000080570000}"/>
    <cellStyle name="Normal 2 2 4 2 2 12 2 9" xfId="22401" xr:uid="{00000000-0005-0000-0000-000081570000}"/>
    <cellStyle name="Normal 2 2 4 2 2 12 3" xfId="22402" xr:uid="{00000000-0005-0000-0000-000082570000}"/>
    <cellStyle name="Normal 2 2 4 2 2 12 3 10" xfId="22403" xr:uid="{00000000-0005-0000-0000-000083570000}"/>
    <cellStyle name="Normal 2 2 4 2 2 12 3 2" xfId="22404" xr:uid="{00000000-0005-0000-0000-000084570000}"/>
    <cellStyle name="Normal 2 2 4 2 2 12 3 3" xfId="22405" xr:uid="{00000000-0005-0000-0000-000085570000}"/>
    <cellStyle name="Normal 2 2 4 2 2 12 3 4" xfId="22406" xr:uid="{00000000-0005-0000-0000-000086570000}"/>
    <cellStyle name="Normal 2 2 4 2 2 12 3 5" xfId="22407" xr:uid="{00000000-0005-0000-0000-000087570000}"/>
    <cellStyle name="Normal 2 2 4 2 2 12 3 6" xfId="22408" xr:uid="{00000000-0005-0000-0000-000088570000}"/>
    <cellStyle name="Normal 2 2 4 2 2 12 3 7" xfId="22409" xr:uid="{00000000-0005-0000-0000-000089570000}"/>
    <cellStyle name="Normal 2 2 4 2 2 12 3 8" xfId="22410" xr:uid="{00000000-0005-0000-0000-00008A570000}"/>
    <cellStyle name="Normal 2 2 4 2 2 12 3 9" xfId="22411" xr:uid="{00000000-0005-0000-0000-00008B570000}"/>
    <cellStyle name="Normal 2 2 4 2 2 12 4" xfId="22412" xr:uid="{00000000-0005-0000-0000-00008C570000}"/>
    <cellStyle name="Normal 2 2 4 2 2 12 4 10" xfId="22413" xr:uid="{00000000-0005-0000-0000-00008D570000}"/>
    <cellStyle name="Normal 2 2 4 2 2 12 4 2" xfId="22414" xr:uid="{00000000-0005-0000-0000-00008E570000}"/>
    <cellStyle name="Normal 2 2 4 2 2 12 4 3" xfId="22415" xr:uid="{00000000-0005-0000-0000-00008F570000}"/>
    <cellStyle name="Normal 2 2 4 2 2 12 4 4" xfId="22416" xr:uid="{00000000-0005-0000-0000-000090570000}"/>
    <cellStyle name="Normal 2 2 4 2 2 12 4 5" xfId="22417" xr:uid="{00000000-0005-0000-0000-000091570000}"/>
    <cellStyle name="Normal 2 2 4 2 2 12 4 6" xfId="22418" xr:uid="{00000000-0005-0000-0000-000092570000}"/>
    <cellStyle name="Normal 2 2 4 2 2 12 4 7" xfId="22419" xr:uid="{00000000-0005-0000-0000-000093570000}"/>
    <cellStyle name="Normal 2 2 4 2 2 12 4 8" xfId="22420" xr:uid="{00000000-0005-0000-0000-000094570000}"/>
    <cellStyle name="Normal 2 2 4 2 2 12 4 9" xfId="22421" xr:uid="{00000000-0005-0000-0000-000095570000}"/>
    <cellStyle name="Normal 2 2 4 2 2 12 5" xfId="22422" xr:uid="{00000000-0005-0000-0000-000096570000}"/>
    <cellStyle name="Normal 2 2 4 2 2 12 5 10" xfId="22423" xr:uid="{00000000-0005-0000-0000-000097570000}"/>
    <cellStyle name="Normal 2 2 4 2 2 12 5 2" xfId="22424" xr:uid="{00000000-0005-0000-0000-000098570000}"/>
    <cellStyle name="Normal 2 2 4 2 2 12 5 3" xfId="22425" xr:uid="{00000000-0005-0000-0000-000099570000}"/>
    <cellStyle name="Normal 2 2 4 2 2 12 5 4" xfId="22426" xr:uid="{00000000-0005-0000-0000-00009A570000}"/>
    <cellStyle name="Normal 2 2 4 2 2 12 5 5" xfId="22427" xr:uid="{00000000-0005-0000-0000-00009B570000}"/>
    <cellStyle name="Normal 2 2 4 2 2 12 5 6" xfId="22428" xr:uid="{00000000-0005-0000-0000-00009C570000}"/>
    <cellStyle name="Normal 2 2 4 2 2 12 5 7" xfId="22429" xr:uid="{00000000-0005-0000-0000-00009D570000}"/>
    <cellStyle name="Normal 2 2 4 2 2 12 5 8" xfId="22430" xr:uid="{00000000-0005-0000-0000-00009E570000}"/>
    <cellStyle name="Normal 2 2 4 2 2 12 5 9" xfId="22431" xr:uid="{00000000-0005-0000-0000-00009F570000}"/>
    <cellStyle name="Normal 2 2 4 2 2 12 6" xfId="22432" xr:uid="{00000000-0005-0000-0000-0000A0570000}"/>
    <cellStyle name="Normal 2 2 4 2 2 12 7" xfId="22433" xr:uid="{00000000-0005-0000-0000-0000A1570000}"/>
    <cellStyle name="Normal 2 2 4 2 2 12 8" xfId="22434" xr:uid="{00000000-0005-0000-0000-0000A2570000}"/>
    <cellStyle name="Normal 2 2 4 2 2 12 9" xfId="22435" xr:uid="{00000000-0005-0000-0000-0000A3570000}"/>
    <cellStyle name="Normal 2 2 4 2 2 13" xfId="22436" xr:uid="{00000000-0005-0000-0000-0000A4570000}"/>
    <cellStyle name="Normal 2 2 4 2 2 13 10" xfId="22437" xr:uid="{00000000-0005-0000-0000-0000A5570000}"/>
    <cellStyle name="Normal 2 2 4 2 2 13 11" xfId="22438" xr:uid="{00000000-0005-0000-0000-0000A6570000}"/>
    <cellStyle name="Normal 2 2 4 2 2 13 12" xfId="22439" xr:uid="{00000000-0005-0000-0000-0000A7570000}"/>
    <cellStyle name="Normal 2 2 4 2 2 13 13" xfId="22440" xr:uid="{00000000-0005-0000-0000-0000A8570000}"/>
    <cellStyle name="Normal 2 2 4 2 2 13 14" xfId="22441" xr:uid="{00000000-0005-0000-0000-0000A9570000}"/>
    <cellStyle name="Normal 2 2 4 2 2 13 2" xfId="22442" xr:uid="{00000000-0005-0000-0000-0000AA570000}"/>
    <cellStyle name="Normal 2 2 4 2 2 13 2 10" xfId="22443" xr:uid="{00000000-0005-0000-0000-0000AB570000}"/>
    <cellStyle name="Normal 2 2 4 2 2 13 2 2" xfId="22444" xr:uid="{00000000-0005-0000-0000-0000AC570000}"/>
    <cellStyle name="Normal 2 2 4 2 2 13 2 3" xfId="22445" xr:uid="{00000000-0005-0000-0000-0000AD570000}"/>
    <cellStyle name="Normal 2 2 4 2 2 13 2 4" xfId="22446" xr:uid="{00000000-0005-0000-0000-0000AE570000}"/>
    <cellStyle name="Normal 2 2 4 2 2 13 2 5" xfId="22447" xr:uid="{00000000-0005-0000-0000-0000AF570000}"/>
    <cellStyle name="Normal 2 2 4 2 2 13 2 6" xfId="22448" xr:uid="{00000000-0005-0000-0000-0000B0570000}"/>
    <cellStyle name="Normal 2 2 4 2 2 13 2 7" xfId="22449" xr:uid="{00000000-0005-0000-0000-0000B1570000}"/>
    <cellStyle name="Normal 2 2 4 2 2 13 2 8" xfId="22450" xr:uid="{00000000-0005-0000-0000-0000B2570000}"/>
    <cellStyle name="Normal 2 2 4 2 2 13 2 9" xfId="22451" xr:uid="{00000000-0005-0000-0000-0000B3570000}"/>
    <cellStyle name="Normal 2 2 4 2 2 13 3" xfId="22452" xr:uid="{00000000-0005-0000-0000-0000B4570000}"/>
    <cellStyle name="Normal 2 2 4 2 2 13 3 10" xfId="22453" xr:uid="{00000000-0005-0000-0000-0000B5570000}"/>
    <cellStyle name="Normal 2 2 4 2 2 13 3 2" xfId="22454" xr:uid="{00000000-0005-0000-0000-0000B6570000}"/>
    <cellStyle name="Normal 2 2 4 2 2 13 3 3" xfId="22455" xr:uid="{00000000-0005-0000-0000-0000B7570000}"/>
    <cellStyle name="Normal 2 2 4 2 2 13 3 4" xfId="22456" xr:uid="{00000000-0005-0000-0000-0000B8570000}"/>
    <cellStyle name="Normal 2 2 4 2 2 13 3 5" xfId="22457" xr:uid="{00000000-0005-0000-0000-0000B9570000}"/>
    <cellStyle name="Normal 2 2 4 2 2 13 3 6" xfId="22458" xr:uid="{00000000-0005-0000-0000-0000BA570000}"/>
    <cellStyle name="Normal 2 2 4 2 2 13 3 7" xfId="22459" xr:uid="{00000000-0005-0000-0000-0000BB570000}"/>
    <cellStyle name="Normal 2 2 4 2 2 13 3 8" xfId="22460" xr:uid="{00000000-0005-0000-0000-0000BC570000}"/>
    <cellStyle name="Normal 2 2 4 2 2 13 3 9" xfId="22461" xr:uid="{00000000-0005-0000-0000-0000BD570000}"/>
    <cellStyle name="Normal 2 2 4 2 2 13 4" xfId="22462" xr:uid="{00000000-0005-0000-0000-0000BE570000}"/>
    <cellStyle name="Normal 2 2 4 2 2 13 4 10" xfId="22463" xr:uid="{00000000-0005-0000-0000-0000BF570000}"/>
    <cellStyle name="Normal 2 2 4 2 2 13 4 2" xfId="22464" xr:uid="{00000000-0005-0000-0000-0000C0570000}"/>
    <cellStyle name="Normal 2 2 4 2 2 13 4 3" xfId="22465" xr:uid="{00000000-0005-0000-0000-0000C1570000}"/>
    <cellStyle name="Normal 2 2 4 2 2 13 4 4" xfId="22466" xr:uid="{00000000-0005-0000-0000-0000C2570000}"/>
    <cellStyle name="Normal 2 2 4 2 2 13 4 5" xfId="22467" xr:uid="{00000000-0005-0000-0000-0000C3570000}"/>
    <cellStyle name="Normal 2 2 4 2 2 13 4 6" xfId="22468" xr:uid="{00000000-0005-0000-0000-0000C4570000}"/>
    <cellStyle name="Normal 2 2 4 2 2 13 4 7" xfId="22469" xr:uid="{00000000-0005-0000-0000-0000C5570000}"/>
    <cellStyle name="Normal 2 2 4 2 2 13 4 8" xfId="22470" xr:uid="{00000000-0005-0000-0000-0000C6570000}"/>
    <cellStyle name="Normal 2 2 4 2 2 13 4 9" xfId="22471" xr:uid="{00000000-0005-0000-0000-0000C7570000}"/>
    <cellStyle name="Normal 2 2 4 2 2 13 5" xfId="22472" xr:uid="{00000000-0005-0000-0000-0000C8570000}"/>
    <cellStyle name="Normal 2 2 4 2 2 13 5 10" xfId="22473" xr:uid="{00000000-0005-0000-0000-0000C9570000}"/>
    <cellStyle name="Normal 2 2 4 2 2 13 5 2" xfId="22474" xr:uid="{00000000-0005-0000-0000-0000CA570000}"/>
    <cellStyle name="Normal 2 2 4 2 2 13 5 3" xfId="22475" xr:uid="{00000000-0005-0000-0000-0000CB570000}"/>
    <cellStyle name="Normal 2 2 4 2 2 13 5 4" xfId="22476" xr:uid="{00000000-0005-0000-0000-0000CC570000}"/>
    <cellStyle name="Normal 2 2 4 2 2 13 5 5" xfId="22477" xr:uid="{00000000-0005-0000-0000-0000CD570000}"/>
    <cellStyle name="Normal 2 2 4 2 2 13 5 6" xfId="22478" xr:uid="{00000000-0005-0000-0000-0000CE570000}"/>
    <cellStyle name="Normal 2 2 4 2 2 13 5 7" xfId="22479" xr:uid="{00000000-0005-0000-0000-0000CF570000}"/>
    <cellStyle name="Normal 2 2 4 2 2 13 5 8" xfId="22480" xr:uid="{00000000-0005-0000-0000-0000D0570000}"/>
    <cellStyle name="Normal 2 2 4 2 2 13 5 9" xfId="22481" xr:uid="{00000000-0005-0000-0000-0000D1570000}"/>
    <cellStyle name="Normal 2 2 4 2 2 13 6" xfId="22482" xr:uid="{00000000-0005-0000-0000-0000D2570000}"/>
    <cellStyle name="Normal 2 2 4 2 2 13 7" xfId="22483" xr:uid="{00000000-0005-0000-0000-0000D3570000}"/>
    <cellStyle name="Normal 2 2 4 2 2 13 8" xfId="22484" xr:uid="{00000000-0005-0000-0000-0000D4570000}"/>
    <cellStyle name="Normal 2 2 4 2 2 13 9" xfId="22485" xr:uid="{00000000-0005-0000-0000-0000D5570000}"/>
    <cellStyle name="Normal 2 2 4 2 2 14" xfId="22486" xr:uid="{00000000-0005-0000-0000-0000D6570000}"/>
    <cellStyle name="Normal 2 2 4 2 2 14 10" xfId="22487" xr:uid="{00000000-0005-0000-0000-0000D7570000}"/>
    <cellStyle name="Normal 2 2 4 2 2 14 11" xfId="22488" xr:uid="{00000000-0005-0000-0000-0000D8570000}"/>
    <cellStyle name="Normal 2 2 4 2 2 14 12" xfId="22489" xr:uid="{00000000-0005-0000-0000-0000D9570000}"/>
    <cellStyle name="Normal 2 2 4 2 2 14 13" xfId="22490" xr:uid="{00000000-0005-0000-0000-0000DA570000}"/>
    <cellStyle name="Normal 2 2 4 2 2 14 14" xfId="22491" xr:uid="{00000000-0005-0000-0000-0000DB570000}"/>
    <cellStyle name="Normal 2 2 4 2 2 14 2" xfId="22492" xr:uid="{00000000-0005-0000-0000-0000DC570000}"/>
    <cellStyle name="Normal 2 2 4 2 2 14 2 10" xfId="22493" xr:uid="{00000000-0005-0000-0000-0000DD570000}"/>
    <cellStyle name="Normal 2 2 4 2 2 14 2 2" xfId="22494" xr:uid="{00000000-0005-0000-0000-0000DE570000}"/>
    <cellStyle name="Normal 2 2 4 2 2 14 2 3" xfId="22495" xr:uid="{00000000-0005-0000-0000-0000DF570000}"/>
    <cellStyle name="Normal 2 2 4 2 2 14 2 4" xfId="22496" xr:uid="{00000000-0005-0000-0000-0000E0570000}"/>
    <cellStyle name="Normal 2 2 4 2 2 14 2 5" xfId="22497" xr:uid="{00000000-0005-0000-0000-0000E1570000}"/>
    <cellStyle name="Normal 2 2 4 2 2 14 2 6" xfId="22498" xr:uid="{00000000-0005-0000-0000-0000E2570000}"/>
    <cellStyle name="Normal 2 2 4 2 2 14 2 7" xfId="22499" xr:uid="{00000000-0005-0000-0000-0000E3570000}"/>
    <cellStyle name="Normal 2 2 4 2 2 14 2 8" xfId="22500" xr:uid="{00000000-0005-0000-0000-0000E4570000}"/>
    <cellStyle name="Normal 2 2 4 2 2 14 2 9" xfId="22501" xr:uid="{00000000-0005-0000-0000-0000E5570000}"/>
    <cellStyle name="Normal 2 2 4 2 2 14 3" xfId="22502" xr:uid="{00000000-0005-0000-0000-0000E6570000}"/>
    <cellStyle name="Normal 2 2 4 2 2 14 3 10" xfId="22503" xr:uid="{00000000-0005-0000-0000-0000E7570000}"/>
    <cellStyle name="Normal 2 2 4 2 2 14 3 2" xfId="22504" xr:uid="{00000000-0005-0000-0000-0000E8570000}"/>
    <cellStyle name="Normal 2 2 4 2 2 14 3 3" xfId="22505" xr:uid="{00000000-0005-0000-0000-0000E9570000}"/>
    <cellStyle name="Normal 2 2 4 2 2 14 3 4" xfId="22506" xr:uid="{00000000-0005-0000-0000-0000EA570000}"/>
    <cellStyle name="Normal 2 2 4 2 2 14 3 5" xfId="22507" xr:uid="{00000000-0005-0000-0000-0000EB570000}"/>
    <cellStyle name="Normal 2 2 4 2 2 14 3 6" xfId="22508" xr:uid="{00000000-0005-0000-0000-0000EC570000}"/>
    <cellStyle name="Normal 2 2 4 2 2 14 3 7" xfId="22509" xr:uid="{00000000-0005-0000-0000-0000ED570000}"/>
    <cellStyle name="Normal 2 2 4 2 2 14 3 8" xfId="22510" xr:uid="{00000000-0005-0000-0000-0000EE570000}"/>
    <cellStyle name="Normal 2 2 4 2 2 14 3 9" xfId="22511" xr:uid="{00000000-0005-0000-0000-0000EF570000}"/>
    <cellStyle name="Normal 2 2 4 2 2 14 4" xfId="22512" xr:uid="{00000000-0005-0000-0000-0000F0570000}"/>
    <cellStyle name="Normal 2 2 4 2 2 14 4 10" xfId="22513" xr:uid="{00000000-0005-0000-0000-0000F1570000}"/>
    <cellStyle name="Normal 2 2 4 2 2 14 4 2" xfId="22514" xr:uid="{00000000-0005-0000-0000-0000F2570000}"/>
    <cellStyle name="Normal 2 2 4 2 2 14 4 3" xfId="22515" xr:uid="{00000000-0005-0000-0000-0000F3570000}"/>
    <cellStyle name="Normal 2 2 4 2 2 14 4 4" xfId="22516" xr:uid="{00000000-0005-0000-0000-0000F4570000}"/>
    <cellStyle name="Normal 2 2 4 2 2 14 4 5" xfId="22517" xr:uid="{00000000-0005-0000-0000-0000F5570000}"/>
    <cellStyle name="Normal 2 2 4 2 2 14 4 6" xfId="22518" xr:uid="{00000000-0005-0000-0000-0000F6570000}"/>
    <cellStyle name="Normal 2 2 4 2 2 14 4 7" xfId="22519" xr:uid="{00000000-0005-0000-0000-0000F7570000}"/>
    <cellStyle name="Normal 2 2 4 2 2 14 4 8" xfId="22520" xr:uid="{00000000-0005-0000-0000-0000F8570000}"/>
    <cellStyle name="Normal 2 2 4 2 2 14 4 9" xfId="22521" xr:uid="{00000000-0005-0000-0000-0000F9570000}"/>
    <cellStyle name="Normal 2 2 4 2 2 14 5" xfId="22522" xr:uid="{00000000-0005-0000-0000-0000FA570000}"/>
    <cellStyle name="Normal 2 2 4 2 2 14 5 10" xfId="22523" xr:uid="{00000000-0005-0000-0000-0000FB570000}"/>
    <cellStyle name="Normal 2 2 4 2 2 14 5 2" xfId="22524" xr:uid="{00000000-0005-0000-0000-0000FC570000}"/>
    <cellStyle name="Normal 2 2 4 2 2 14 5 3" xfId="22525" xr:uid="{00000000-0005-0000-0000-0000FD570000}"/>
    <cellStyle name="Normal 2 2 4 2 2 14 5 4" xfId="22526" xr:uid="{00000000-0005-0000-0000-0000FE570000}"/>
    <cellStyle name="Normal 2 2 4 2 2 14 5 5" xfId="22527" xr:uid="{00000000-0005-0000-0000-0000FF570000}"/>
    <cellStyle name="Normal 2 2 4 2 2 14 5 6" xfId="22528" xr:uid="{00000000-0005-0000-0000-000000580000}"/>
    <cellStyle name="Normal 2 2 4 2 2 14 5 7" xfId="22529" xr:uid="{00000000-0005-0000-0000-000001580000}"/>
    <cellStyle name="Normal 2 2 4 2 2 14 5 8" xfId="22530" xr:uid="{00000000-0005-0000-0000-000002580000}"/>
    <cellStyle name="Normal 2 2 4 2 2 14 5 9" xfId="22531" xr:uid="{00000000-0005-0000-0000-000003580000}"/>
    <cellStyle name="Normal 2 2 4 2 2 14 6" xfId="22532" xr:uid="{00000000-0005-0000-0000-000004580000}"/>
    <cellStyle name="Normal 2 2 4 2 2 14 7" xfId="22533" xr:uid="{00000000-0005-0000-0000-000005580000}"/>
    <cellStyle name="Normal 2 2 4 2 2 14 8" xfId="22534" xr:uid="{00000000-0005-0000-0000-000006580000}"/>
    <cellStyle name="Normal 2 2 4 2 2 14 9" xfId="22535" xr:uid="{00000000-0005-0000-0000-000007580000}"/>
    <cellStyle name="Normal 2 2 4 2 2 15" xfId="22536" xr:uid="{00000000-0005-0000-0000-000008580000}"/>
    <cellStyle name="Normal 2 2 4 2 2 15 10" xfId="22537" xr:uid="{00000000-0005-0000-0000-000009580000}"/>
    <cellStyle name="Normal 2 2 4 2 2 15 11" xfId="22538" xr:uid="{00000000-0005-0000-0000-00000A580000}"/>
    <cellStyle name="Normal 2 2 4 2 2 15 12" xfId="22539" xr:uid="{00000000-0005-0000-0000-00000B580000}"/>
    <cellStyle name="Normal 2 2 4 2 2 15 13" xfId="22540" xr:uid="{00000000-0005-0000-0000-00000C580000}"/>
    <cellStyle name="Normal 2 2 4 2 2 15 14" xfId="22541" xr:uid="{00000000-0005-0000-0000-00000D580000}"/>
    <cellStyle name="Normal 2 2 4 2 2 15 2" xfId="22542" xr:uid="{00000000-0005-0000-0000-00000E580000}"/>
    <cellStyle name="Normal 2 2 4 2 2 15 2 10" xfId="22543" xr:uid="{00000000-0005-0000-0000-00000F580000}"/>
    <cellStyle name="Normal 2 2 4 2 2 15 2 2" xfId="22544" xr:uid="{00000000-0005-0000-0000-000010580000}"/>
    <cellStyle name="Normal 2 2 4 2 2 15 2 3" xfId="22545" xr:uid="{00000000-0005-0000-0000-000011580000}"/>
    <cellStyle name="Normal 2 2 4 2 2 15 2 4" xfId="22546" xr:uid="{00000000-0005-0000-0000-000012580000}"/>
    <cellStyle name="Normal 2 2 4 2 2 15 2 5" xfId="22547" xr:uid="{00000000-0005-0000-0000-000013580000}"/>
    <cellStyle name="Normal 2 2 4 2 2 15 2 6" xfId="22548" xr:uid="{00000000-0005-0000-0000-000014580000}"/>
    <cellStyle name="Normal 2 2 4 2 2 15 2 7" xfId="22549" xr:uid="{00000000-0005-0000-0000-000015580000}"/>
    <cellStyle name="Normal 2 2 4 2 2 15 2 8" xfId="22550" xr:uid="{00000000-0005-0000-0000-000016580000}"/>
    <cellStyle name="Normal 2 2 4 2 2 15 2 9" xfId="22551" xr:uid="{00000000-0005-0000-0000-000017580000}"/>
    <cellStyle name="Normal 2 2 4 2 2 15 3" xfId="22552" xr:uid="{00000000-0005-0000-0000-000018580000}"/>
    <cellStyle name="Normal 2 2 4 2 2 15 3 10" xfId="22553" xr:uid="{00000000-0005-0000-0000-000019580000}"/>
    <cellStyle name="Normal 2 2 4 2 2 15 3 2" xfId="22554" xr:uid="{00000000-0005-0000-0000-00001A580000}"/>
    <cellStyle name="Normal 2 2 4 2 2 15 3 3" xfId="22555" xr:uid="{00000000-0005-0000-0000-00001B580000}"/>
    <cellStyle name="Normal 2 2 4 2 2 15 3 4" xfId="22556" xr:uid="{00000000-0005-0000-0000-00001C580000}"/>
    <cellStyle name="Normal 2 2 4 2 2 15 3 5" xfId="22557" xr:uid="{00000000-0005-0000-0000-00001D580000}"/>
    <cellStyle name="Normal 2 2 4 2 2 15 3 6" xfId="22558" xr:uid="{00000000-0005-0000-0000-00001E580000}"/>
    <cellStyle name="Normal 2 2 4 2 2 15 3 7" xfId="22559" xr:uid="{00000000-0005-0000-0000-00001F580000}"/>
    <cellStyle name="Normal 2 2 4 2 2 15 3 8" xfId="22560" xr:uid="{00000000-0005-0000-0000-000020580000}"/>
    <cellStyle name="Normal 2 2 4 2 2 15 3 9" xfId="22561" xr:uid="{00000000-0005-0000-0000-000021580000}"/>
    <cellStyle name="Normal 2 2 4 2 2 15 4" xfId="22562" xr:uid="{00000000-0005-0000-0000-000022580000}"/>
    <cellStyle name="Normal 2 2 4 2 2 15 4 10" xfId="22563" xr:uid="{00000000-0005-0000-0000-000023580000}"/>
    <cellStyle name="Normal 2 2 4 2 2 15 4 2" xfId="22564" xr:uid="{00000000-0005-0000-0000-000024580000}"/>
    <cellStyle name="Normal 2 2 4 2 2 15 4 3" xfId="22565" xr:uid="{00000000-0005-0000-0000-000025580000}"/>
    <cellStyle name="Normal 2 2 4 2 2 15 4 4" xfId="22566" xr:uid="{00000000-0005-0000-0000-000026580000}"/>
    <cellStyle name="Normal 2 2 4 2 2 15 4 5" xfId="22567" xr:uid="{00000000-0005-0000-0000-000027580000}"/>
    <cellStyle name="Normal 2 2 4 2 2 15 4 6" xfId="22568" xr:uid="{00000000-0005-0000-0000-000028580000}"/>
    <cellStyle name="Normal 2 2 4 2 2 15 4 7" xfId="22569" xr:uid="{00000000-0005-0000-0000-000029580000}"/>
    <cellStyle name="Normal 2 2 4 2 2 15 4 8" xfId="22570" xr:uid="{00000000-0005-0000-0000-00002A580000}"/>
    <cellStyle name="Normal 2 2 4 2 2 15 4 9" xfId="22571" xr:uid="{00000000-0005-0000-0000-00002B580000}"/>
    <cellStyle name="Normal 2 2 4 2 2 15 5" xfId="22572" xr:uid="{00000000-0005-0000-0000-00002C580000}"/>
    <cellStyle name="Normal 2 2 4 2 2 15 5 10" xfId="22573" xr:uid="{00000000-0005-0000-0000-00002D580000}"/>
    <cellStyle name="Normal 2 2 4 2 2 15 5 2" xfId="22574" xr:uid="{00000000-0005-0000-0000-00002E580000}"/>
    <cellStyle name="Normal 2 2 4 2 2 15 5 3" xfId="22575" xr:uid="{00000000-0005-0000-0000-00002F580000}"/>
    <cellStyle name="Normal 2 2 4 2 2 15 5 4" xfId="22576" xr:uid="{00000000-0005-0000-0000-000030580000}"/>
    <cellStyle name="Normal 2 2 4 2 2 15 5 5" xfId="22577" xr:uid="{00000000-0005-0000-0000-000031580000}"/>
    <cellStyle name="Normal 2 2 4 2 2 15 5 6" xfId="22578" xr:uid="{00000000-0005-0000-0000-000032580000}"/>
    <cellStyle name="Normal 2 2 4 2 2 15 5 7" xfId="22579" xr:uid="{00000000-0005-0000-0000-000033580000}"/>
    <cellStyle name="Normal 2 2 4 2 2 15 5 8" xfId="22580" xr:uid="{00000000-0005-0000-0000-000034580000}"/>
    <cellStyle name="Normal 2 2 4 2 2 15 5 9" xfId="22581" xr:uid="{00000000-0005-0000-0000-000035580000}"/>
    <cellStyle name="Normal 2 2 4 2 2 15 6" xfId="22582" xr:uid="{00000000-0005-0000-0000-000036580000}"/>
    <cellStyle name="Normal 2 2 4 2 2 15 7" xfId="22583" xr:uid="{00000000-0005-0000-0000-000037580000}"/>
    <cellStyle name="Normal 2 2 4 2 2 15 8" xfId="22584" xr:uid="{00000000-0005-0000-0000-000038580000}"/>
    <cellStyle name="Normal 2 2 4 2 2 15 9" xfId="22585" xr:uid="{00000000-0005-0000-0000-000039580000}"/>
    <cellStyle name="Normal 2 2 4 2 2 16" xfId="22586" xr:uid="{00000000-0005-0000-0000-00003A580000}"/>
    <cellStyle name="Normal 2 2 4 2 2 16 10" xfId="22587" xr:uid="{00000000-0005-0000-0000-00003B580000}"/>
    <cellStyle name="Normal 2 2 4 2 2 16 11" xfId="22588" xr:uid="{00000000-0005-0000-0000-00003C580000}"/>
    <cellStyle name="Normal 2 2 4 2 2 16 12" xfId="22589" xr:uid="{00000000-0005-0000-0000-00003D580000}"/>
    <cellStyle name="Normal 2 2 4 2 2 16 13" xfId="22590" xr:uid="{00000000-0005-0000-0000-00003E580000}"/>
    <cellStyle name="Normal 2 2 4 2 2 16 14" xfId="22591" xr:uid="{00000000-0005-0000-0000-00003F580000}"/>
    <cellStyle name="Normal 2 2 4 2 2 16 2" xfId="22592" xr:uid="{00000000-0005-0000-0000-000040580000}"/>
    <cellStyle name="Normal 2 2 4 2 2 16 2 10" xfId="22593" xr:uid="{00000000-0005-0000-0000-000041580000}"/>
    <cellStyle name="Normal 2 2 4 2 2 16 2 2" xfId="22594" xr:uid="{00000000-0005-0000-0000-000042580000}"/>
    <cellStyle name="Normal 2 2 4 2 2 16 2 3" xfId="22595" xr:uid="{00000000-0005-0000-0000-000043580000}"/>
    <cellStyle name="Normal 2 2 4 2 2 16 2 4" xfId="22596" xr:uid="{00000000-0005-0000-0000-000044580000}"/>
    <cellStyle name="Normal 2 2 4 2 2 16 2 5" xfId="22597" xr:uid="{00000000-0005-0000-0000-000045580000}"/>
    <cellStyle name="Normal 2 2 4 2 2 16 2 6" xfId="22598" xr:uid="{00000000-0005-0000-0000-000046580000}"/>
    <cellStyle name="Normal 2 2 4 2 2 16 2 7" xfId="22599" xr:uid="{00000000-0005-0000-0000-000047580000}"/>
    <cellStyle name="Normal 2 2 4 2 2 16 2 8" xfId="22600" xr:uid="{00000000-0005-0000-0000-000048580000}"/>
    <cellStyle name="Normal 2 2 4 2 2 16 2 9" xfId="22601" xr:uid="{00000000-0005-0000-0000-000049580000}"/>
    <cellStyle name="Normal 2 2 4 2 2 16 3" xfId="22602" xr:uid="{00000000-0005-0000-0000-00004A580000}"/>
    <cellStyle name="Normal 2 2 4 2 2 16 3 10" xfId="22603" xr:uid="{00000000-0005-0000-0000-00004B580000}"/>
    <cellStyle name="Normal 2 2 4 2 2 16 3 2" xfId="22604" xr:uid="{00000000-0005-0000-0000-00004C580000}"/>
    <cellStyle name="Normal 2 2 4 2 2 16 3 3" xfId="22605" xr:uid="{00000000-0005-0000-0000-00004D580000}"/>
    <cellStyle name="Normal 2 2 4 2 2 16 3 4" xfId="22606" xr:uid="{00000000-0005-0000-0000-00004E580000}"/>
    <cellStyle name="Normal 2 2 4 2 2 16 3 5" xfId="22607" xr:uid="{00000000-0005-0000-0000-00004F580000}"/>
    <cellStyle name="Normal 2 2 4 2 2 16 3 6" xfId="22608" xr:uid="{00000000-0005-0000-0000-000050580000}"/>
    <cellStyle name="Normal 2 2 4 2 2 16 3 7" xfId="22609" xr:uid="{00000000-0005-0000-0000-000051580000}"/>
    <cellStyle name="Normal 2 2 4 2 2 16 3 8" xfId="22610" xr:uid="{00000000-0005-0000-0000-000052580000}"/>
    <cellStyle name="Normal 2 2 4 2 2 16 3 9" xfId="22611" xr:uid="{00000000-0005-0000-0000-000053580000}"/>
    <cellStyle name="Normal 2 2 4 2 2 16 4" xfId="22612" xr:uid="{00000000-0005-0000-0000-000054580000}"/>
    <cellStyle name="Normal 2 2 4 2 2 16 4 10" xfId="22613" xr:uid="{00000000-0005-0000-0000-000055580000}"/>
    <cellStyle name="Normal 2 2 4 2 2 16 4 2" xfId="22614" xr:uid="{00000000-0005-0000-0000-000056580000}"/>
    <cellStyle name="Normal 2 2 4 2 2 16 4 3" xfId="22615" xr:uid="{00000000-0005-0000-0000-000057580000}"/>
    <cellStyle name="Normal 2 2 4 2 2 16 4 4" xfId="22616" xr:uid="{00000000-0005-0000-0000-000058580000}"/>
    <cellStyle name="Normal 2 2 4 2 2 16 4 5" xfId="22617" xr:uid="{00000000-0005-0000-0000-000059580000}"/>
    <cellStyle name="Normal 2 2 4 2 2 16 4 6" xfId="22618" xr:uid="{00000000-0005-0000-0000-00005A580000}"/>
    <cellStyle name="Normal 2 2 4 2 2 16 4 7" xfId="22619" xr:uid="{00000000-0005-0000-0000-00005B580000}"/>
    <cellStyle name="Normal 2 2 4 2 2 16 4 8" xfId="22620" xr:uid="{00000000-0005-0000-0000-00005C580000}"/>
    <cellStyle name="Normal 2 2 4 2 2 16 4 9" xfId="22621" xr:uid="{00000000-0005-0000-0000-00005D580000}"/>
    <cellStyle name="Normal 2 2 4 2 2 16 5" xfId="22622" xr:uid="{00000000-0005-0000-0000-00005E580000}"/>
    <cellStyle name="Normal 2 2 4 2 2 16 5 10" xfId="22623" xr:uid="{00000000-0005-0000-0000-00005F580000}"/>
    <cellStyle name="Normal 2 2 4 2 2 16 5 2" xfId="22624" xr:uid="{00000000-0005-0000-0000-000060580000}"/>
    <cellStyle name="Normal 2 2 4 2 2 16 5 3" xfId="22625" xr:uid="{00000000-0005-0000-0000-000061580000}"/>
    <cellStyle name="Normal 2 2 4 2 2 16 5 4" xfId="22626" xr:uid="{00000000-0005-0000-0000-000062580000}"/>
    <cellStyle name="Normal 2 2 4 2 2 16 5 5" xfId="22627" xr:uid="{00000000-0005-0000-0000-000063580000}"/>
    <cellStyle name="Normal 2 2 4 2 2 16 5 6" xfId="22628" xr:uid="{00000000-0005-0000-0000-000064580000}"/>
    <cellStyle name="Normal 2 2 4 2 2 16 5 7" xfId="22629" xr:uid="{00000000-0005-0000-0000-000065580000}"/>
    <cellStyle name="Normal 2 2 4 2 2 16 5 8" xfId="22630" xr:uid="{00000000-0005-0000-0000-000066580000}"/>
    <cellStyle name="Normal 2 2 4 2 2 16 5 9" xfId="22631" xr:uid="{00000000-0005-0000-0000-000067580000}"/>
    <cellStyle name="Normal 2 2 4 2 2 16 6" xfId="22632" xr:uid="{00000000-0005-0000-0000-000068580000}"/>
    <cellStyle name="Normal 2 2 4 2 2 16 7" xfId="22633" xr:uid="{00000000-0005-0000-0000-000069580000}"/>
    <cellStyle name="Normal 2 2 4 2 2 16 8" xfId="22634" xr:uid="{00000000-0005-0000-0000-00006A580000}"/>
    <cellStyle name="Normal 2 2 4 2 2 16 9" xfId="22635" xr:uid="{00000000-0005-0000-0000-00006B580000}"/>
    <cellStyle name="Normal 2 2 4 2 2 17" xfId="22636" xr:uid="{00000000-0005-0000-0000-00006C580000}"/>
    <cellStyle name="Normal 2 2 4 2 2 17 10" xfId="22637" xr:uid="{00000000-0005-0000-0000-00006D580000}"/>
    <cellStyle name="Normal 2 2 4 2 2 17 11" xfId="22638" xr:uid="{00000000-0005-0000-0000-00006E580000}"/>
    <cellStyle name="Normal 2 2 4 2 2 17 12" xfId="22639" xr:uid="{00000000-0005-0000-0000-00006F580000}"/>
    <cellStyle name="Normal 2 2 4 2 2 17 13" xfId="22640" xr:uid="{00000000-0005-0000-0000-000070580000}"/>
    <cellStyle name="Normal 2 2 4 2 2 17 14" xfId="22641" xr:uid="{00000000-0005-0000-0000-000071580000}"/>
    <cellStyle name="Normal 2 2 4 2 2 17 2" xfId="22642" xr:uid="{00000000-0005-0000-0000-000072580000}"/>
    <cellStyle name="Normal 2 2 4 2 2 17 2 10" xfId="22643" xr:uid="{00000000-0005-0000-0000-000073580000}"/>
    <cellStyle name="Normal 2 2 4 2 2 17 2 2" xfId="22644" xr:uid="{00000000-0005-0000-0000-000074580000}"/>
    <cellStyle name="Normal 2 2 4 2 2 17 2 3" xfId="22645" xr:uid="{00000000-0005-0000-0000-000075580000}"/>
    <cellStyle name="Normal 2 2 4 2 2 17 2 4" xfId="22646" xr:uid="{00000000-0005-0000-0000-000076580000}"/>
    <cellStyle name="Normal 2 2 4 2 2 17 2 5" xfId="22647" xr:uid="{00000000-0005-0000-0000-000077580000}"/>
    <cellStyle name="Normal 2 2 4 2 2 17 2 6" xfId="22648" xr:uid="{00000000-0005-0000-0000-000078580000}"/>
    <cellStyle name="Normal 2 2 4 2 2 17 2 7" xfId="22649" xr:uid="{00000000-0005-0000-0000-000079580000}"/>
    <cellStyle name="Normal 2 2 4 2 2 17 2 8" xfId="22650" xr:uid="{00000000-0005-0000-0000-00007A580000}"/>
    <cellStyle name="Normal 2 2 4 2 2 17 2 9" xfId="22651" xr:uid="{00000000-0005-0000-0000-00007B580000}"/>
    <cellStyle name="Normal 2 2 4 2 2 17 3" xfId="22652" xr:uid="{00000000-0005-0000-0000-00007C580000}"/>
    <cellStyle name="Normal 2 2 4 2 2 17 3 10" xfId="22653" xr:uid="{00000000-0005-0000-0000-00007D580000}"/>
    <cellStyle name="Normal 2 2 4 2 2 17 3 2" xfId="22654" xr:uid="{00000000-0005-0000-0000-00007E580000}"/>
    <cellStyle name="Normal 2 2 4 2 2 17 3 3" xfId="22655" xr:uid="{00000000-0005-0000-0000-00007F580000}"/>
    <cellStyle name="Normal 2 2 4 2 2 17 3 4" xfId="22656" xr:uid="{00000000-0005-0000-0000-000080580000}"/>
    <cellStyle name="Normal 2 2 4 2 2 17 3 5" xfId="22657" xr:uid="{00000000-0005-0000-0000-000081580000}"/>
    <cellStyle name="Normal 2 2 4 2 2 17 3 6" xfId="22658" xr:uid="{00000000-0005-0000-0000-000082580000}"/>
    <cellStyle name="Normal 2 2 4 2 2 17 3 7" xfId="22659" xr:uid="{00000000-0005-0000-0000-000083580000}"/>
    <cellStyle name="Normal 2 2 4 2 2 17 3 8" xfId="22660" xr:uid="{00000000-0005-0000-0000-000084580000}"/>
    <cellStyle name="Normal 2 2 4 2 2 17 3 9" xfId="22661" xr:uid="{00000000-0005-0000-0000-000085580000}"/>
    <cellStyle name="Normal 2 2 4 2 2 17 4" xfId="22662" xr:uid="{00000000-0005-0000-0000-000086580000}"/>
    <cellStyle name="Normal 2 2 4 2 2 17 4 10" xfId="22663" xr:uid="{00000000-0005-0000-0000-000087580000}"/>
    <cellStyle name="Normal 2 2 4 2 2 17 4 2" xfId="22664" xr:uid="{00000000-0005-0000-0000-000088580000}"/>
    <cellStyle name="Normal 2 2 4 2 2 17 4 3" xfId="22665" xr:uid="{00000000-0005-0000-0000-000089580000}"/>
    <cellStyle name="Normal 2 2 4 2 2 17 4 4" xfId="22666" xr:uid="{00000000-0005-0000-0000-00008A580000}"/>
    <cellStyle name="Normal 2 2 4 2 2 17 4 5" xfId="22667" xr:uid="{00000000-0005-0000-0000-00008B580000}"/>
    <cellStyle name="Normal 2 2 4 2 2 17 4 6" xfId="22668" xr:uid="{00000000-0005-0000-0000-00008C580000}"/>
    <cellStyle name="Normal 2 2 4 2 2 17 4 7" xfId="22669" xr:uid="{00000000-0005-0000-0000-00008D580000}"/>
    <cellStyle name="Normal 2 2 4 2 2 17 4 8" xfId="22670" xr:uid="{00000000-0005-0000-0000-00008E580000}"/>
    <cellStyle name="Normal 2 2 4 2 2 17 4 9" xfId="22671" xr:uid="{00000000-0005-0000-0000-00008F580000}"/>
    <cellStyle name="Normal 2 2 4 2 2 17 5" xfId="22672" xr:uid="{00000000-0005-0000-0000-000090580000}"/>
    <cellStyle name="Normal 2 2 4 2 2 17 5 10" xfId="22673" xr:uid="{00000000-0005-0000-0000-000091580000}"/>
    <cellStyle name="Normal 2 2 4 2 2 17 5 2" xfId="22674" xr:uid="{00000000-0005-0000-0000-000092580000}"/>
    <cellStyle name="Normal 2 2 4 2 2 17 5 3" xfId="22675" xr:uid="{00000000-0005-0000-0000-000093580000}"/>
    <cellStyle name="Normal 2 2 4 2 2 17 5 4" xfId="22676" xr:uid="{00000000-0005-0000-0000-000094580000}"/>
    <cellStyle name="Normal 2 2 4 2 2 17 5 5" xfId="22677" xr:uid="{00000000-0005-0000-0000-000095580000}"/>
    <cellStyle name="Normal 2 2 4 2 2 17 5 6" xfId="22678" xr:uid="{00000000-0005-0000-0000-000096580000}"/>
    <cellStyle name="Normal 2 2 4 2 2 17 5 7" xfId="22679" xr:uid="{00000000-0005-0000-0000-000097580000}"/>
    <cellStyle name="Normal 2 2 4 2 2 17 5 8" xfId="22680" xr:uid="{00000000-0005-0000-0000-000098580000}"/>
    <cellStyle name="Normal 2 2 4 2 2 17 5 9" xfId="22681" xr:uid="{00000000-0005-0000-0000-000099580000}"/>
    <cellStyle name="Normal 2 2 4 2 2 17 6" xfId="22682" xr:uid="{00000000-0005-0000-0000-00009A580000}"/>
    <cellStyle name="Normal 2 2 4 2 2 17 7" xfId="22683" xr:uid="{00000000-0005-0000-0000-00009B580000}"/>
    <cellStyle name="Normal 2 2 4 2 2 17 8" xfId="22684" xr:uid="{00000000-0005-0000-0000-00009C580000}"/>
    <cellStyle name="Normal 2 2 4 2 2 17 9" xfId="22685" xr:uid="{00000000-0005-0000-0000-00009D580000}"/>
    <cellStyle name="Normal 2 2 4 2 2 18" xfId="22686" xr:uid="{00000000-0005-0000-0000-00009E580000}"/>
    <cellStyle name="Normal 2 2 4 2 2 18 10" xfId="22687" xr:uid="{00000000-0005-0000-0000-00009F580000}"/>
    <cellStyle name="Normal 2 2 4 2 2 18 11" xfId="22688" xr:uid="{00000000-0005-0000-0000-0000A0580000}"/>
    <cellStyle name="Normal 2 2 4 2 2 18 12" xfId="22689" xr:uid="{00000000-0005-0000-0000-0000A1580000}"/>
    <cellStyle name="Normal 2 2 4 2 2 18 13" xfId="22690" xr:uid="{00000000-0005-0000-0000-0000A2580000}"/>
    <cellStyle name="Normal 2 2 4 2 2 18 14" xfId="22691" xr:uid="{00000000-0005-0000-0000-0000A3580000}"/>
    <cellStyle name="Normal 2 2 4 2 2 18 2" xfId="22692" xr:uid="{00000000-0005-0000-0000-0000A4580000}"/>
    <cellStyle name="Normal 2 2 4 2 2 18 2 10" xfId="22693" xr:uid="{00000000-0005-0000-0000-0000A5580000}"/>
    <cellStyle name="Normal 2 2 4 2 2 18 2 2" xfId="22694" xr:uid="{00000000-0005-0000-0000-0000A6580000}"/>
    <cellStyle name="Normal 2 2 4 2 2 18 2 3" xfId="22695" xr:uid="{00000000-0005-0000-0000-0000A7580000}"/>
    <cellStyle name="Normal 2 2 4 2 2 18 2 4" xfId="22696" xr:uid="{00000000-0005-0000-0000-0000A8580000}"/>
    <cellStyle name="Normal 2 2 4 2 2 18 2 5" xfId="22697" xr:uid="{00000000-0005-0000-0000-0000A9580000}"/>
    <cellStyle name="Normal 2 2 4 2 2 18 2 6" xfId="22698" xr:uid="{00000000-0005-0000-0000-0000AA580000}"/>
    <cellStyle name="Normal 2 2 4 2 2 18 2 7" xfId="22699" xr:uid="{00000000-0005-0000-0000-0000AB580000}"/>
    <cellStyle name="Normal 2 2 4 2 2 18 2 8" xfId="22700" xr:uid="{00000000-0005-0000-0000-0000AC580000}"/>
    <cellStyle name="Normal 2 2 4 2 2 18 2 9" xfId="22701" xr:uid="{00000000-0005-0000-0000-0000AD580000}"/>
    <cellStyle name="Normal 2 2 4 2 2 18 3" xfId="22702" xr:uid="{00000000-0005-0000-0000-0000AE580000}"/>
    <cellStyle name="Normal 2 2 4 2 2 18 3 10" xfId="22703" xr:uid="{00000000-0005-0000-0000-0000AF580000}"/>
    <cellStyle name="Normal 2 2 4 2 2 18 3 2" xfId="22704" xr:uid="{00000000-0005-0000-0000-0000B0580000}"/>
    <cellStyle name="Normal 2 2 4 2 2 18 3 3" xfId="22705" xr:uid="{00000000-0005-0000-0000-0000B1580000}"/>
    <cellStyle name="Normal 2 2 4 2 2 18 3 4" xfId="22706" xr:uid="{00000000-0005-0000-0000-0000B2580000}"/>
    <cellStyle name="Normal 2 2 4 2 2 18 3 5" xfId="22707" xr:uid="{00000000-0005-0000-0000-0000B3580000}"/>
    <cellStyle name="Normal 2 2 4 2 2 18 3 6" xfId="22708" xr:uid="{00000000-0005-0000-0000-0000B4580000}"/>
    <cellStyle name="Normal 2 2 4 2 2 18 3 7" xfId="22709" xr:uid="{00000000-0005-0000-0000-0000B5580000}"/>
    <cellStyle name="Normal 2 2 4 2 2 18 3 8" xfId="22710" xr:uid="{00000000-0005-0000-0000-0000B6580000}"/>
    <cellStyle name="Normal 2 2 4 2 2 18 3 9" xfId="22711" xr:uid="{00000000-0005-0000-0000-0000B7580000}"/>
    <cellStyle name="Normal 2 2 4 2 2 18 4" xfId="22712" xr:uid="{00000000-0005-0000-0000-0000B8580000}"/>
    <cellStyle name="Normal 2 2 4 2 2 18 4 10" xfId="22713" xr:uid="{00000000-0005-0000-0000-0000B9580000}"/>
    <cellStyle name="Normal 2 2 4 2 2 18 4 2" xfId="22714" xr:uid="{00000000-0005-0000-0000-0000BA580000}"/>
    <cellStyle name="Normal 2 2 4 2 2 18 4 3" xfId="22715" xr:uid="{00000000-0005-0000-0000-0000BB580000}"/>
    <cellStyle name="Normal 2 2 4 2 2 18 4 4" xfId="22716" xr:uid="{00000000-0005-0000-0000-0000BC580000}"/>
    <cellStyle name="Normal 2 2 4 2 2 18 4 5" xfId="22717" xr:uid="{00000000-0005-0000-0000-0000BD580000}"/>
    <cellStyle name="Normal 2 2 4 2 2 18 4 6" xfId="22718" xr:uid="{00000000-0005-0000-0000-0000BE580000}"/>
    <cellStyle name="Normal 2 2 4 2 2 18 4 7" xfId="22719" xr:uid="{00000000-0005-0000-0000-0000BF580000}"/>
    <cellStyle name="Normal 2 2 4 2 2 18 4 8" xfId="22720" xr:uid="{00000000-0005-0000-0000-0000C0580000}"/>
    <cellStyle name="Normal 2 2 4 2 2 18 4 9" xfId="22721" xr:uid="{00000000-0005-0000-0000-0000C1580000}"/>
    <cellStyle name="Normal 2 2 4 2 2 18 5" xfId="22722" xr:uid="{00000000-0005-0000-0000-0000C2580000}"/>
    <cellStyle name="Normal 2 2 4 2 2 18 5 10" xfId="22723" xr:uid="{00000000-0005-0000-0000-0000C3580000}"/>
    <cellStyle name="Normal 2 2 4 2 2 18 5 2" xfId="22724" xr:uid="{00000000-0005-0000-0000-0000C4580000}"/>
    <cellStyle name="Normal 2 2 4 2 2 18 5 3" xfId="22725" xr:uid="{00000000-0005-0000-0000-0000C5580000}"/>
    <cellStyle name="Normal 2 2 4 2 2 18 5 4" xfId="22726" xr:uid="{00000000-0005-0000-0000-0000C6580000}"/>
    <cellStyle name="Normal 2 2 4 2 2 18 5 5" xfId="22727" xr:uid="{00000000-0005-0000-0000-0000C7580000}"/>
    <cellStyle name="Normal 2 2 4 2 2 18 5 6" xfId="22728" xr:uid="{00000000-0005-0000-0000-0000C8580000}"/>
    <cellStyle name="Normal 2 2 4 2 2 18 5 7" xfId="22729" xr:uid="{00000000-0005-0000-0000-0000C9580000}"/>
    <cellStyle name="Normal 2 2 4 2 2 18 5 8" xfId="22730" xr:uid="{00000000-0005-0000-0000-0000CA580000}"/>
    <cellStyle name="Normal 2 2 4 2 2 18 5 9" xfId="22731" xr:uid="{00000000-0005-0000-0000-0000CB580000}"/>
    <cellStyle name="Normal 2 2 4 2 2 18 6" xfId="22732" xr:uid="{00000000-0005-0000-0000-0000CC580000}"/>
    <cellStyle name="Normal 2 2 4 2 2 18 7" xfId="22733" xr:uid="{00000000-0005-0000-0000-0000CD580000}"/>
    <cellStyle name="Normal 2 2 4 2 2 18 8" xfId="22734" xr:uid="{00000000-0005-0000-0000-0000CE580000}"/>
    <cellStyle name="Normal 2 2 4 2 2 18 9" xfId="22735" xr:uid="{00000000-0005-0000-0000-0000CF580000}"/>
    <cellStyle name="Normal 2 2 4 2 2 19" xfId="22736" xr:uid="{00000000-0005-0000-0000-0000D0580000}"/>
    <cellStyle name="Normal 2 2 4 2 2 19 10" xfId="22737" xr:uid="{00000000-0005-0000-0000-0000D1580000}"/>
    <cellStyle name="Normal 2 2 4 2 2 19 11" xfId="22738" xr:uid="{00000000-0005-0000-0000-0000D2580000}"/>
    <cellStyle name="Normal 2 2 4 2 2 19 12" xfId="22739" xr:uid="{00000000-0005-0000-0000-0000D3580000}"/>
    <cellStyle name="Normal 2 2 4 2 2 19 13" xfId="22740" xr:uid="{00000000-0005-0000-0000-0000D4580000}"/>
    <cellStyle name="Normal 2 2 4 2 2 19 14" xfId="22741" xr:uid="{00000000-0005-0000-0000-0000D5580000}"/>
    <cellStyle name="Normal 2 2 4 2 2 19 2" xfId="22742" xr:uid="{00000000-0005-0000-0000-0000D6580000}"/>
    <cellStyle name="Normal 2 2 4 2 2 19 2 10" xfId="22743" xr:uid="{00000000-0005-0000-0000-0000D7580000}"/>
    <cellStyle name="Normal 2 2 4 2 2 19 2 2" xfId="22744" xr:uid="{00000000-0005-0000-0000-0000D8580000}"/>
    <cellStyle name="Normal 2 2 4 2 2 19 2 3" xfId="22745" xr:uid="{00000000-0005-0000-0000-0000D9580000}"/>
    <cellStyle name="Normal 2 2 4 2 2 19 2 4" xfId="22746" xr:uid="{00000000-0005-0000-0000-0000DA580000}"/>
    <cellStyle name="Normal 2 2 4 2 2 19 2 5" xfId="22747" xr:uid="{00000000-0005-0000-0000-0000DB580000}"/>
    <cellStyle name="Normal 2 2 4 2 2 19 2 6" xfId="22748" xr:uid="{00000000-0005-0000-0000-0000DC580000}"/>
    <cellStyle name="Normal 2 2 4 2 2 19 2 7" xfId="22749" xr:uid="{00000000-0005-0000-0000-0000DD580000}"/>
    <cellStyle name="Normal 2 2 4 2 2 19 2 8" xfId="22750" xr:uid="{00000000-0005-0000-0000-0000DE580000}"/>
    <cellStyle name="Normal 2 2 4 2 2 19 2 9" xfId="22751" xr:uid="{00000000-0005-0000-0000-0000DF580000}"/>
    <cellStyle name="Normal 2 2 4 2 2 19 3" xfId="22752" xr:uid="{00000000-0005-0000-0000-0000E0580000}"/>
    <cellStyle name="Normal 2 2 4 2 2 19 3 10" xfId="22753" xr:uid="{00000000-0005-0000-0000-0000E1580000}"/>
    <cellStyle name="Normal 2 2 4 2 2 19 3 2" xfId="22754" xr:uid="{00000000-0005-0000-0000-0000E2580000}"/>
    <cellStyle name="Normal 2 2 4 2 2 19 3 3" xfId="22755" xr:uid="{00000000-0005-0000-0000-0000E3580000}"/>
    <cellStyle name="Normal 2 2 4 2 2 19 3 4" xfId="22756" xr:uid="{00000000-0005-0000-0000-0000E4580000}"/>
    <cellStyle name="Normal 2 2 4 2 2 19 3 5" xfId="22757" xr:uid="{00000000-0005-0000-0000-0000E5580000}"/>
    <cellStyle name="Normal 2 2 4 2 2 19 3 6" xfId="22758" xr:uid="{00000000-0005-0000-0000-0000E6580000}"/>
    <cellStyle name="Normal 2 2 4 2 2 19 3 7" xfId="22759" xr:uid="{00000000-0005-0000-0000-0000E7580000}"/>
    <cellStyle name="Normal 2 2 4 2 2 19 3 8" xfId="22760" xr:uid="{00000000-0005-0000-0000-0000E8580000}"/>
    <cellStyle name="Normal 2 2 4 2 2 19 3 9" xfId="22761" xr:uid="{00000000-0005-0000-0000-0000E9580000}"/>
    <cellStyle name="Normal 2 2 4 2 2 19 4" xfId="22762" xr:uid="{00000000-0005-0000-0000-0000EA580000}"/>
    <cellStyle name="Normal 2 2 4 2 2 19 4 10" xfId="22763" xr:uid="{00000000-0005-0000-0000-0000EB580000}"/>
    <cellStyle name="Normal 2 2 4 2 2 19 4 2" xfId="22764" xr:uid="{00000000-0005-0000-0000-0000EC580000}"/>
    <cellStyle name="Normal 2 2 4 2 2 19 4 3" xfId="22765" xr:uid="{00000000-0005-0000-0000-0000ED580000}"/>
    <cellStyle name="Normal 2 2 4 2 2 19 4 4" xfId="22766" xr:uid="{00000000-0005-0000-0000-0000EE580000}"/>
    <cellStyle name="Normal 2 2 4 2 2 19 4 5" xfId="22767" xr:uid="{00000000-0005-0000-0000-0000EF580000}"/>
    <cellStyle name="Normal 2 2 4 2 2 19 4 6" xfId="22768" xr:uid="{00000000-0005-0000-0000-0000F0580000}"/>
    <cellStyle name="Normal 2 2 4 2 2 19 4 7" xfId="22769" xr:uid="{00000000-0005-0000-0000-0000F1580000}"/>
    <cellStyle name="Normal 2 2 4 2 2 19 4 8" xfId="22770" xr:uid="{00000000-0005-0000-0000-0000F2580000}"/>
    <cellStyle name="Normal 2 2 4 2 2 19 4 9" xfId="22771" xr:uid="{00000000-0005-0000-0000-0000F3580000}"/>
    <cellStyle name="Normal 2 2 4 2 2 19 5" xfId="22772" xr:uid="{00000000-0005-0000-0000-0000F4580000}"/>
    <cellStyle name="Normal 2 2 4 2 2 19 5 10" xfId="22773" xr:uid="{00000000-0005-0000-0000-0000F5580000}"/>
    <cellStyle name="Normal 2 2 4 2 2 19 5 2" xfId="22774" xr:uid="{00000000-0005-0000-0000-0000F6580000}"/>
    <cellStyle name="Normal 2 2 4 2 2 19 5 3" xfId="22775" xr:uid="{00000000-0005-0000-0000-0000F7580000}"/>
    <cellStyle name="Normal 2 2 4 2 2 19 5 4" xfId="22776" xr:uid="{00000000-0005-0000-0000-0000F8580000}"/>
    <cellStyle name="Normal 2 2 4 2 2 19 5 5" xfId="22777" xr:uid="{00000000-0005-0000-0000-0000F9580000}"/>
    <cellStyle name="Normal 2 2 4 2 2 19 5 6" xfId="22778" xr:uid="{00000000-0005-0000-0000-0000FA580000}"/>
    <cellStyle name="Normal 2 2 4 2 2 19 5 7" xfId="22779" xr:uid="{00000000-0005-0000-0000-0000FB580000}"/>
    <cellStyle name="Normal 2 2 4 2 2 19 5 8" xfId="22780" xr:uid="{00000000-0005-0000-0000-0000FC580000}"/>
    <cellStyle name="Normal 2 2 4 2 2 19 5 9" xfId="22781" xr:uid="{00000000-0005-0000-0000-0000FD580000}"/>
    <cellStyle name="Normal 2 2 4 2 2 19 6" xfId="22782" xr:uid="{00000000-0005-0000-0000-0000FE580000}"/>
    <cellStyle name="Normal 2 2 4 2 2 19 7" xfId="22783" xr:uid="{00000000-0005-0000-0000-0000FF580000}"/>
    <cellStyle name="Normal 2 2 4 2 2 19 8" xfId="22784" xr:uid="{00000000-0005-0000-0000-000000590000}"/>
    <cellStyle name="Normal 2 2 4 2 2 19 9" xfId="22785" xr:uid="{00000000-0005-0000-0000-000001590000}"/>
    <cellStyle name="Normal 2 2 4 2 2 2" xfId="22786" xr:uid="{00000000-0005-0000-0000-000002590000}"/>
    <cellStyle name="Normal 2 2 4 2 2 2 10" xfId="22787" xr:uid="{00000000-0005-0000-0000-000003590000}"/>
    <cellStyle name="Normal 2 2 4 2 2 2 11" xfId="22788" xr:uid="{00000000-0005-0000-0000-000004590000}"/>
    <cellStyle name="Normal 2 2 4 2 2 2 12" xfId="22789" xr:uid="{00000000-0005-0000-0000-000005590000}"/>
    <cellStyle name="Normal 2 2 4 2 2 2 13" xfId="22790" xr:uid="{00000000-0005-0000-0000-000006590000}"/>
    <cellStyle name="Normal 2 2 4 2 2 2 14" xfId="22791" xr:uid="{00000000-0005-0000-0000-000007590000}"/>
    <cellStyle name="Normal 2 2 4 2 2 2 2" xfId="22792" xr:uid="{00000000-0005-0000-0000-000008590000}"/>
    <cellStyle name="Normal 2 2 4 2 2 2 2 10" xfId="22793" xr:uid="{00000000-0005-0000-0000-000009590000}"/>
    <cellStyle name="Normal 2 2 4 2 2 2 2 2" xfId="22794" xr:uid="{00000000-0005-0000-0000-00000A590000}"/>
    <cellStyle name="Normal 2 2 4 2 2 2 2 3" xfId="22795" xr:uid="{00000000-0005-0000-0000-00000B590000}"/>
    <cellStyle name="Normal 2 2 4 2 2 2 2 4" xfId="22796" xr:uid="{00000000-0005-0000-0000-00000C590000}"/>
    <cellStyle name="Normal 2 2 4 2 2 2 2 5" xfId="22797" xr:uid="{00000000-0005-0000-0000-00000D590000}"/>
    <cellStyle name="Normal 2 2 4 2 2 2 2 6" xfId="22798" xr:uid="{00000000-0005-0000-0000-00000E590000}"/>
    <cellStyle name="Normal 2 2 4 2 2 2 2 7" xfId="22799" xr:uid="{00000000-0005-0000-0000-00000F590000}"/>
    <cellStyle name="Normal 2 2 4 2 2 2 2 8" xfId="22800" xr:uid="{00000000-0005-0000-0000-000010590000}"/>
    <cellStyle name="Normal 2 2 4 2 2 2 2 9" xfId="22801" xr:uid="{00000000-0005-0000-0000-000011590000}"/>
    <cellStyle name="Normal 2 2 4 2 2 2 3" xfId="22802" xr:uid="{00000000-0005-0000-0000-000012590000}"/>
    <cellStyle name="Normal 2 2 4 2 2 2 3 10" xfId="22803" xr:uid="{00000000-0005-0000-0000-000013590000}"/>
    <cellStyle name="Normal 2 2 4 2 2 2 3 2" xfId="22804" xr:uid="{00000000-0005-0000-0000-000014590000}"/>
    <cellStyle name="Normal 2 2 4 2 2 2 3 3" xfId="22805" xr:uid="{00000000-0005-0000-0000-000015590000}"/>
    <cellStyle name="Normal 2 2 4 2 2 2 3 4" xfId="22806" xr:uid="{00000000-0005-0000-0000-000016590000}"/>
    <cellStyle name="Normal 2 2 4 2 2 2 3 5" xfId="22807" xr:uid="{00000000-0005-0000-0000-000017590000}"/>
    <cellStyle name="Normal 2 2 4 2 2 2 3 6" xfId="22808" xr:uid="{00000000-0005-0000-0000-000018590000}"/>
    <cellStyle name="Normal 2 2 4 2 2 2 3 7" xfId="22809" xr:uid="{00000000-0005-0000-0000-000019590000}"/>
    <cellStyle name="Normal 2 2 4 2 2 2 3 8" xfId="22810" xr:uid="{00000000-0005-0000-0000-00001A590000}"/>
    <cellStyle name="Normal 2 2 4 2 2 2 3 9" xfId="22811" xr:uid="{00000000-0005-0000-0000-00001B590000}"/>
    <cellStyle name="Normal 2 2 4 2 2 2 4" xfId="22812" xr:uid="{00000000-0005-0000-0000-00001C590000}"/>
    <cellStyle name="Normal 2 2 4 2 2 2 4 10" xfId="22813" xr:uid="{00000000-0005-0000-0000-00001D590000}"/>
    <cellStyle name="Normal 2 2 4 2 2 2 4 2" xfId="22814" xr:uid="{00000000-0005-0000-0000-00001E590000}"/>
    <cellStyle name="Normal 2 2 4 2 2 2 4 3" xfId="22815" xr:uid="{00000000-0005-0000-0000-00001F590000}"/>
    <cellStyle name="Normal 2 2 4 2 2 2 4 4" xfId="22816" xr:uid="{00000000-0005-0000-0000-000020590000}"/>
    <cellStyle name="Normal 2 2 4 2 2 2 4 5" xfId="22817" xr:uid="{00000000-0005-0000-0000-000021590000}"/>
    <cellStyle name="Normal 2 2 4 2 2 2 4 6" xfId="22818" xr:uid="{00000000-0005-0000-0000-000022590000}"/>
    <cellStyle name="Normal 2 2 4 2 2 2 4 7" xfId="22819" xr:uid="{00000000-0005-0000-0000-000023590000}"/>
    <cellStyle name="Normal 2 2 4 2 2 2 4 8" xfId="22820" xr:uid="{00000000-0005-0000-0000-000024590000}"/>
    <cellStyle name="Normal 2 2 4 2 2 2 4 9" xfId="22821" xr:uid="{00000000-0005-0000-0000-000025590000}"/>
    <cellStyle name="Normal 2 2 4 2 2 2 5" xfId="22822" xr:uid="{00000000-0005-0000-0000-000026590000}"/>
    <cellStyle name="Normal 2 2 4 2 2 2 5 10" xfId="22823" xr:uid="{00000000-0005-0000-0000-000027590000}"/>
    <cellStyle name="Normal 2 2 4 2 2 2 5 2" xfId="22824" xr:uid="{00000000-0005-0000-0000-000028590000}"/>
    <cellStyle name="Normal 2 2 4 2 2 2 5 3" xfId="22825" xr:uid="{00000000-0005-0000-0000-000029590000}"/>
    <cellStyle name="Normal 2 2 4 2 2 2 5 4" xfId="22826" xr:uid="{00000000-0005-0000-0000-00002A590000}"/>
    <cellStyle name="Normal 2 2 4 2 2 2 5 5" xfId="22827" xr:uid="{00000000-0005-0000-0000-00002B590000}"/>
    <cellStyle name="Normal 2 2 4 2 2 2 5 6" xfId="22828" xr:uid="{00000000-0005-0000-0000-00002C590000}"/>
    <cellStyle name="Normal 2 2 4 2 2 2 5 7" xfId="22829" xr:uid="{00000000-0005-0000-0000-00002D590000}"/>
    <cellStyle name="Normal 2 2 4 2 2 2 5 8" xfId="22830" xr:uid="{00000000-0005-0000-0000-00002E590000}"/>
    <cellStyle name="Normal 2 2 4 2 2 2 5 9" xfId="22831" xr:uid="{00000000-0005-0000-0000-00002F590000}"/>
    <cellStyle name="Normal 2 2 4 2 2 2 6" xfId="22832" xr:uid="{00000000-0005-0000-0000-000030590000}"/>
    <cellStyle name="Normal 2 2 4 2 2 2 7" xfId="22833" xr:uid="{00000000-0005-0000-0000-000031590000}"/>
    <cellStyle name="Normal 2 2 4 2 2 2 8" xfId="22834" xr:uid="{00000000-0005-0000-0000-000032590000}"/>
    <cellStyle name="Normal 2 2 4 2 2 2 9" xfId="22835" xr:uid="{00000000-0005-0000-0000-000033590000}"/>
    <cellStyle name="Normal 2 2 4 2 2 20" xfId="22836" xr:uid="{00000000-0005-0000-0000-000034590000}"/>
    <cellStyle name="Normal 2 2 4 2 2 20 10" xfId="22837" xr:uid="{00000000-0005-0000-0000-000035590000}"/>
    <cellStyle name="Normal 2 2 4 2 2 20 11" xfId="22838" xr:uid="{00000000-0005-0000-0000-000036590000}"/>
    <cellStyle name="Normal 2 2 4 2 2 20 12" xfId="22839" xr:uid="{00000000-0005-0000-0000-000037590000}"/>
    <cellStyle name="Normal 2 2 4 2 2 20 13" xfId="22840" xr:uid="{00000000-0005-0000-0000-000038590000}"/>
    <cellStyle name="Normal 2 2 4 2 2 20 14" xfId="22841" xr:uid="{00000000-0005-0000-0000-000039590000}"/>
    <cellStyle name="Normal 2 2 4 2 2 20 2" xfId="22842" xr:uid="{00000000-0005-0000-0000-00003A590000}"/>
    <cellStyle name="Normal 2 2 4 2 2 20 2 10" xfId="22843" xr:uid="{00000000-0005-0000-0000-00003B590000}"/>
    <cellStyle name="Normal 2 2 4 2 2 20 2 2" xfId="22844" xr:uid="{00000000-0005-0000-0000-00003C590000}"/>
    <cellStyle name="Normal 2 2 4 2 2 20 2 3" xfId="22845" xr:uid="{00000000-0005-0000-0000-00003D590000}"/>
    <cellStyle name="Normal 2 2 4 2 2 20 2 4" xfId="22846" xr:uid="{00000000-0005-0000-0000-00003E590000}"/>
    <cellStyle name="Normal 2 2 4 2 2 20 2 5" xfId="22847" xr:uid="{00000000-0005-0000-0000-00003F590000}"/>
    <cellStyle name="Normal 2 2 4 2 2 20 2 6" xfId="22848" xr:uid="{00000000-0005-0000-0000-000040590000}"/>
    <cellStyle name="Normal 2 2 4 2 2 20 2 7" xfId="22849" xr:uid="{00000000-0005-0000-0000-000041590000}"/>
    <cellStyle name="Normal 2 2 4 2 2 20 2 8" xfId="22850" xr:uid="{00000000-0005-0000-0000-000042590000}"/>
    <cellStyle name="Normal 2 2 4 2 2 20 2 9" xfId="22851" xr:uid="{00000000-0005-0000-0000-000043590000}"/>
    <cellStyle name="Normal 2 2 4 2 2 20 3" xfId="22852" xr:uid="{00000000-0005-0000-0000-000044590000}"/>
    <cellStyle name="Normal 2 2 4 2 2 20 3 10" xfId="22853" xr:uid="{00000000-0005-0000-0000-000045590000}"/>
    <cellStyle name="Normal 2 2 4 2 2 20 3 2" xfId="22854" xr:uid="{00000000-0005-0000-0000-000046590000}"/>
    <cellStyle name="Normal 2 2 4 2 2 20 3 3" xfId="22855" xr:uid="{00000000-0005-0000-0000-000047590000}"/>
    <cellStyle name="Normal 2 2 4 2 2 20 3 4" xfId="22856" xr:uid="{00000000-0005-0000-0000-000048590000}"/>
    <cellStyle name="Normal 2 2 4 2 2 20 3 5" xfId="22857" xr:uid="{00000000-0005-0000-0000-000049590000}"/>
    <cellStyle name="Normal 2 2 4 2 2 20 3 6" xfId="22858" xr:uid="{00000000-0005-0000-0000-00004A590000}"/>
    <cellStyle name="Normal 2 2 4 2 2 20 3 7" xfId="22859" xr:uid="{00000000-0005-0000-0000-00004B590000}"/>
    <cellStyle name="Normal 2 2 4 2 2 20 3 8" xfId="22860" xr:uid="{00000000-0005-0000-0000-00004C590000}"/>
    <cellStyle name="Normal 2 2 4 2 2 20 3 9" xfId="22861" xr:uid="{00000000-0005-0000-0000-00004D590000}"/>
    <cellStyle name="Normal 2 2 4 2 2 20 4" xfId="22862" xr:uid="{00000000-0005-0000-0000-00004E590000}"/>
    <cellStyle name="Normal 2 2 4 2 2 20 4 10" xfId="22863" xr:uid="{00000000-0005-0000-0000-00004F590000}"/>
    <cellStyle name="Normal 2 2 4 2 2 20 4 2" xfId="22864" xr:uid="{00000000-0005-0000-0000-000050590000}"/>
    <cellStyle name="Normal 2 2 4 2 2 20 4 3" xfId="22865" xr:uid="{00000000-0005-0000-0000-000051590000}"/>
    <cellStyle name="Normal 2 2 4 2 2 20 4 4" xfId="22866" xr:uid="{00000000-0005-0000-0000-000052590000}"/>
    <cellStyle name="Normal 2 2 4 2 2 20 4 5" xfId="22867" xr:uid="{00000000-0005-0000-0000-000053590000}"/>
    <cellStyle name="Normal 2 2 4 2 2 20 4 6" xfId="22868" xr:uid="{00000000-0005-0000-0000-000054590000}"/>
    <cellStyle name="Normal 2 2 4 2 2 20 4 7" xfId="22869" xr:uid="{00000000-0005-0000-0000-000055590000}"/>
    <cellStyle name="Normal 2 2 4 2 2 20 4 8" xfId="22870" xr:uid="{00000000-0005-0000-0000-000056590000}"/>
    <cellStyle name="Normal 2 2 4 2 2 20 4 9" xfId="22871" xr:uid="{00000000-0005-0000-0000-000057590000}"/>
    <cellStyle name="Normal 2 2 4 2 2 20 5" xfId="22872" xr:uid="{00000000-0005-0000-0000-000058590000}"/>
    <cellStyle name="Normal 2 2 4 2 2 20 5 10" xfId="22873" xr:uid="{00000000-0005-0000-0000-000059590000}"/>
    <cellStyle name="Normal 2 2 4 2 2 20 5 2" xfId="22874" xr:uid="{00000000-0005-0000-0000-00005A590000}"/>
    <cellStyle name="Normal 2 2 4 2 2 20 5 3" xfId="22875" xr:uid="{00000000-0005-0000-0000-00005B590000}"/>
    <cellStyle name="Normal 2 2 4 2 2 20 5 4" xfId="22876" xr:uid="{00000000-0005-0000-0000-00005C590000}"/>
    <cellStyle name="Normal 2 2 4 2 2 20 5 5" xfId="22877" xr:uid="{00000000-0005-0000-0000-00005D590000}"/>
    <cellStyle name="Normal 2 2 4 2 2 20 5 6" xfId="22878" xr:uid="{00000000-0005-0000-0000-00005E590000}"/>
    <cellStyle name="Normal 2 2 4 2 2 20 5 7" xfId="22879" xr:uid="{00000000-0005-0000-0000-00005F590000}"/>
    <cellStyle name="Normal 2 2 4 2 2 20 5 8" xfId="22880" xr:uid="{00000000-0005-0000-0000-000060590000}"/>
    <cellStyle name="Normal 2 2 4 2 2 20 5 9" xfId="22881" xr:uid="{00000000-0005-0000-0000-000061590000}"/>
    <cellStyle name="Normal 2 2 4 2 2 20 6" xfId="22882" xr:uid="{00000000-0005-0000-0000-000062590000}"/>
    <cellStyle name="Normal 2 2 4 2 2 20 7" xfId="22883" xr:uid="{00000000-0005-0000-0000-000063590000}"/>
    <cellStyle name="Normal 2 2 4 2 2 20 8" xfId="22884" xr:uid="{00000000-0005-0000-0000-000064590000}"/>
    <cellStyle name="Normal 2 2 4 2 2 20 9" xfId="22885" xr:uid="{00000000-0005-0000-0000-000065590000}"/>
    <cellStyle name="Normal 2 2 4 2 2 3" xfId="22886" xr:uid="{00000000-0005-0000-0000-000066590000}"/>
    <cellStyle name="Normal 2 2 4 2 2 3 10" xfId="22887" xr:uid="{00000000-0005-0000-0000-000067590000}"/>
    <cellStyle name="Normal 2 2 4 2 2 3 11" xfId="22888" xr:uid="{00000000-0005-0000-0000-000068590000}"/>
    <cellStyle name="Normal 2 2 4 2 2 3 12" xfId="22889" xr:uid="{00000000-0005-0000-0000-000069590000}"/>
    <cellStyle name="Normal 2 2 4 2 2 3 13" xfId="22890" xr:uid="{00000000-0005-0000-0000-00006A590000}"/>
    <cellStyle name="Normal 2 2 4 2 2 3 14" xfId="22891" xr:uid="{00000000-0005-0000-0000-00006B590000}"/>
    <cellStyle name="Normal 2 2 4 2 2 3 2" xfId="22892" xr:uid="{00000000-0005-0000-0000-00006C590000}"/>
    <cellStyle name="Normal 2 2 4 2 2 3 2 10" xfId="22893" xr:uid="{00000000-0005-0000-0000-00006D590000}"/>
    <cellStyle name="Normal 2 2 4 2 2 3 2 2" xfId="22894" xr:uid="{00000000-0005-0000-0000-00006E590000}"/>
    <cellStyle name="Normal 2 2 4 2 2 3 2 3" xfId="22895" xr:uid="{00000000-0005-0000-0000-00006F590000}"/>
    <cellStyle name="Normal 2 2 4 2 2 3 2 4" xfId="22896" xr:uid="{00000000-0005-0000-0000-000070590000}"/>
    <cellStyle name="Normal 2 2 4 2 2 3 2 5" xfId="22897" xr:uid="{00000000-0005-0000-0000-000071590000}"/>
    <cellStyle name="Normal 2 2 4 2 2 3 2 6" xfId="22898" xr:uid="{00000000-0005-0000-0000-000072590000}"/>
    <cellStyle name="Normal 2 2 4 2 2 3 2 7" xfId="22899" xr:uid="{00000000-0005-0000-0000-000073590000}"/>
    <cellStyle name="Normal 2 2 4 2 2 3 2 8" xfId="22900" xr:uid="{00000000-0005-0000-0000-000074590000}"/>
    <cellStyle name="Normal 2 2 4 2 2 3 2 9" xfId="22901" xr:uid="{00000000-0005-0000-0000-000075590000}"/>
    <cellStyle name="Normal 2 2 4 2 2 3 3" xfId="22902" xr:uid="{00000000-0005-0000-0000-000076590000}"/>
    <cellStyle name="Normal 2 2 4 2 2 3 3 10" xfId="22903" xr:uid="{00000000-0005-0000-0000-000077590000}"/>
    <cellStyle name="Normal 2 2 4 2 2 3 3 2" xfId="22904" xr:uid="{00000000-0005-0000-0000-000078590000}"/>
    <cellStyle name="Normal 2 2 4 2 2 3 3 3" xfId="22905" xr:uid="{00000000-0005-0000-0000-000079590000}"/>
    <cellStyle name="Normal 2 2 4 2 2 3 3 4" xfId="22906" xr:uid="{00000000-0005-0000-0000-00007A590000}"/>
    <cellStyle name="Normal 2 2 4 2 2 3 3 5" xfId="22907" xr:uid="{00000000-0005-0000-0000-00007B590000}"/>
    <cellStyle name="Normal 2 2 4 2 2 3 3 6" xfId="22908" xr:uid="{00000000-0005-0000-0000-00007C590000}"/>
    <cellStyle name="Normal 2 2 4 2 2 3 3 7" xfId="22909" xr:uid="{00000000-0005-0000-0000-00007D590000}"/>
    <cellStyle name="Normal 2 2 4 2 2 3 3 8" xfId="22910" xr:uid="{00000000-0005-0000-0000-00007E590000}"/>
    <cellStyle name="Normal 2 2 4 2 2 3 3 9" xfId="22911" xr:uid="{00000000-0005-0000-0000-00007F590000}"/>
    <cellStyle name="Normal 2 2 4 2 2 3 4" xfId="22912" xr:uid="{00000000-0005-0000-0000-000080590000}"/>
    <cellStyle name="Normal 2 2 4 2 2 3 4 10" xfId="22913" xr:uid="{00000000-0005-0000-0000-000081590000}"/>
    <cellStyle name="Normal 2 2 4 2 2 3 4 2" xfId="22914" xr:uid="{00000000-0005-0000-0000-000082590000}"/>
    <cellStyle name="Normal 2 2 4 2 2 3 4 3" xfId="22915" xr:uid="{00000000-0005-0000-0000-000083590000}"/>
    <cellStyle name="Normal 2 2 4 2 2 3 4 4" xfId="22916" xr:uid="{00000000-0005-0000-0000-000084590000}"/>
    <cellStyle name="Normal 2 2 4 2 2 3 4 5" xfId="22917" xr:uid="{00000000-0005-0000-0000-000085590000}"/>
    <cellStyle name="Normal 2 2 4 2 2 3 4 6" xfId="22918" xr:uid="{00000000-0005-0000-0000-000086590000}"/>
    <cellStyle name="Normal 2 2 4 2 2 3 4 7" xfId="22919" xr:uid="{00000000-0005-0000-0000-000087590000}"/>
    <cellStyle name="Normal 2 2 4 2 2 3 4 8" xfId="22920" xr:uid="{00000000-0005-0000-0000-000088590000}"/>
    <cellStyle name="Normal 2 2 4 2 2 3 4 9" xfId="22921" xr:uid="{00000000-0005-0000-0000-000089590000}"/>
    <cellStyle name="Normal 2 2 4 2 2 3 5" xfId="22922" xr:uid="{00000000-0005-0000-0000-00008A590000}"/>
    <cellStyle name="Normal 2 2 4 2 2 3 5 10" xfId="22923" xr:uid="{00000000-0005-0000-0000-00008B590000}"/>
    <cellStyle name="Normal 2 2 4 2 2 3 5 2" xfId="22924" xr:uid="{00000000-0005-0000-0000-00008C590000}"/>
    <cellStyle name="Normal 2 2 4 2 2 3 5 3" xfId="22925" xr:uid="{00000000-0005-0000-0000-00008D590000}"/>
    <cellStyle name="Normal 2 2 4 2 2 3 5 4" xfId="22926" xr:uid="{00000000-0005-0000-0000-00008E590000}"/>
    <cellStyle name="Normal 2 2 4 2 2 3 5 5" xfId="22927" xr:uid="{00000000-0005-0000-0000-00008F590000}"/>
    <cellStyle name="Normal 2 2 4 2 2 3 5 6" xfId="22928" xr:uid="{00000000-0005-0000-0000-000090590000}"/>
    <cellStyle name="Normal 2 2 4 2 2 3 5 7" xfId="22929" xr:uid="{00000000-0005-0000-0000-000091590000}"/>
    <cellStyle name="Normal 2 2 4 2 2 3 5 8" xfId="22930" xr:uid="{00000000-0005-0000-0000-000092590000}"/>
    <cellStyle name="Normal 2 2 4 2 2 3 5 9" xfId="22931" xr:uid="{00000000-0005-0000-0000-000093590000}"/>
    <cellStyle name="Normal 2 2 4 2 2 3 6" xfId="22932" xr:uid="{00000000-0005-0000-0000-000094590000}"/>
    <cellStyle name="Normal 2 2 4 2 2 3 7" xfId="22933" xr:uid="{00000000-0005-0000-0000-000095590000}"/>
    <cellStyle name="Normal 2 2 4 2 2 3 8" xfId="22934" xr:uid="{00000000-0005-0000-0000-000096590000}"/>
    <cellStyle name="Normal 2 2 4 2 2 3 9" xfId="22935" xr:uid="{00000000-0005-0000-0000-000097590000}"/>
    <cellStyle name="Normal 2 2 4 2 2 4" xfId="22936" xr:uid="{00000000-0005-0000-0000-000098590000}"/>
    <cellStyle name="Normal 2 2 4 2 2 4 10" xfId="22937" xr:uid="{00000000-0005-0000-0000-000099590000}"/>
    <cellStyle name="Normal 2 2 4 2 2 4 11" xfId="22938" xr:uid="{00000000-0005-0000-0000-00009A590000}"/>
    <cellStyle name="Normal 2 2 4 2 2 4 12" xfId="22939" xr:uid="{00000000-0005-0000-0000-00009B590000}"/>
    <cellStyle name="Normal 2 2 4 2 2 4 13" xfId="22940" xr:uid="{00000000-0005-0000-0000-00009C590000}"/>
    <cellStyle name="Normal 2 2 4 2 2 4 14" xfId="22941" xr:uid="{00000000-0005-0000-0000-00009D590000}"/>
    <cellStyle name="Normal 2 2 4 2 2 4 2" xfId="22942" xr:uid="{00000000-0005-0000-0000-00009E590000}"/>
    <cellStyle name="Normal 2 2 4 2 2 4 2 10" xfId="22943" xr:uid="{00000000-0005-0000-0000-00009F590000}"/>
    <cellStyle name="Normal 2 2 4 2 2 4 2 2" xfId="22944" xr:uid="{00000000-0005-0000-0000-0000A0590000}"/>
    <cellStyle name="Normal 2 2 4 2 2 4 2 3" xfId="22945" xr:uid="{00000000-0005-0000-0000-0000A1590000}"/>
    <cellStyle name="Normal 2 2 4 2 2 4 2 4" xfId="22946" xr:uid="{00000000-0005-0000-0000-0000A2590000}"/>
    <cellStyle name="Normal 2 2 4 2 2 4 2 5" xfId="22947" xr:uid="{00000000-0005-0000-0000-0000A3590000}"/>
    <cellStyle name="Normal 2 2 4 2 2 4 2 6" xfId="22948" xr:uid="{00000000-0005-0000-0000-0000A4590000}"/>
    <cellStyle name="Normal 2 2 4 2 2 4 2 7" xfId="22949" xr:uid="{00000000-0005-0000-0000-0000A5590000}"/>
    <cellStyle name="Normal 2 2 4 2 2 4 2 8" xfId="22950" xr:uid="{00000000-0005-0000-0000-0000A6590000}"/>
    <cellStyle name="Normal 2 2 4 2 2 4 2 9" xfId="22951" xr:uid="{00000000-0005-0000-0000-0000A7590000}"/>
    <cellStyle name="Normal 2 2 4 2 2 4 3" xfId="22952" xr:uid="{00000000-0005-0000-0000-0000A8590000}"/>
    <cellStyle name="Normal 2 2 4 2 2 4 3 10" xfId="22953" xr:uid="{00000000-0005-0000-0000-0000A9590000}"/>
    <cellStyle name="Normal 2 2 4 2 2 4 3 2" xfId="22954" xr:uid="{00000000-0005-0000-0000-0000AA590000}"/>
    <cellStyle name="Normal 2 2 4 2 2 4 3 3" xfId="22955" xr:uid="{00000000-0005-0000-0000-0000AB590000}"/>
    <cellStyle name="Normal 2 2 4 2 2 4 3 4" xfId="22956" xr:uid="{00000000-0005-0000-0000-0000AC590000}"/>
    <cellStyle name="Normal 2 2 4 2 2 4 3 5" xfId="22957" xr:uid="{00000000-0005-0000-0000-0000AD590000}"/>
    <cellStyle name="Normal 2 2 4 2 2 4 3 6" xfId="22958" xr:uid="{00000000-0005-0000-0000-0000AE590000}"/>
    <cellStyle name="Normal 2 2 4 2 2 4 3 7" xfId="22959" xr:uid="{00000000-0005-0000-0000-0000AF590000}"/>
    <cellStyle name="Normal 2 2 4 2 2 4 3 8" xfId="22960" xr:uid="{00000000-0005-0000-0000-0000B0590000}"/>
    <cellStyle name="Normal 2 2 4 2 2 4 3 9" xfId="22961" xr:uid="{00000000-0005-0000-0000-0000B1590000}"/>
    <cellStyle name="Normal 2 2 4 2 2 4 4" xfId="22962" xr:uid="{00000000-0005-0000-0000-0000B2590000}"/>
    <cellStyle name="Normal 2 2 4 2 2 4 4 10" xfId="22963" xr:uid="{00000000-0005-0000-0000-0000B3590000}"/>
    <cellStyle name="Normal 2 2 4 2 2 4 4 2" xfId="22964" xr:uid="{00000000-0005-0000-0000-0000B4590000}"/>
    <cellStyle name="Normal 2 2 4 2 2 4 4 3" xfId="22965" xr:uid="{00000000-0005-0000-0000-0000B5590000}"/>
    <cellStyle name="Normal 2 2 4 2 2 4 4 4" xfId="22966" xr:uid="{00000000-0005-0000-0000-0000B6590000}"/>
    <cellStyle name="Normal 2 2 4 2 2 4 4 5" xfId="22967" xr:uid="{00000000-0005-0000-0000-0000B7590000}"/>
    <cellStyle name="Normal 2 2 4 2 2 4 4 6" xfId="22968" xr:uid="{00000000-0005-0000-0000-0000B8590000}"/>
    <cellStyle name="Normal 2 2 4 2 2 4 4 7" xfId="22969" xr:uid="{00000000-0005-0000-0000-0000B9590000}"/>
    <cellStyle name="Normal 2 2 4 2 2 4 4 8" xfId="22970" xr:uid="{00000000-0005-0000-0000-0000BA590000}"/>
    <cellStyle name="Normal 2 2 4 2 2 4 4 9" xfId="22971" xr:uid="{00000000-0005-0000-0000-0000BB590000}"/>
    <cellStyle name="Normal 2 2 4 2 2 4 5" xfId="22972" xr:uid="{00000000-0005-0000-0000-0000BC590000}"/>
    <cellStyle name="Normal 2 2 4 2 2 4 5 10" xfId="22973" xr:uid="{00000000-0005-0000-0000-0000BD590000}"/>
    <cellStyle name="Normal 2 2 4 2 2 4 5 2" xfId="22974" xr:uid="{00000000-0005-0000-0000-0000BE590000}"/>
    <cellStyle name="Normal 2 2 4 2 2 4 5 3" xfId="22975" xr:uid="{00000000-0005-0000-0000-0000BF590000}"/>
    <cellStyle name="Normal 2 2 4 2 2 4 5 4" xfId="22976" xr:uid="{00000000-0005-0000-0000-0000C0590000}"/>
    <cellStyle name="Normal 2 2 4 2 2 4 5 5" xfId="22977" xr:uid="{00000000-0005-0000-0000-0000C1590000}"/>
    <cellStyle name="Normal 2 2 4 2 2 4 5 6" xfId="22978" xr:uid="{00000000-0005-0000-0000-0000C2590000}"/>
    <cellStyle name="Normal 2 2 4 2 2 4 5 7" xfId="22979" xr:uid="{00000000-0005-0000-0000-0000C3590000}"/>
    <cellStyle name="Normal 2 2 4 2 2 4 5 8" xfId="22980" xr:uid="{00000000-0005-0000-0000-0000C4590000}"/>
    <cellStyle name="Normal 2 2 4 2 2 4 5 9" xfId="22981" xr:uid="{00000000-0005-0000-0000-0000C5590000}"/>
    <cellStyle name="Normal 2 2 4 2 2 4 6" xfId="22982" xr:uid="{00000000-0005-0000-0000-0000C6590000}"/>
    <cellStyle name="Normal 2 2 4 2 2 4 7" xfId="22983" xr:uid="{00000000-0005-0000-0000-0000C7590000}"/>
    <cellStyle name="Normal 2 2 4 2 2 4 8" xfId="22984" xr:uid="{00000000-0005-0000-0000-0000C8590000}"/>
    <cellStyle name="Normal 2 2 4 2 2 4 9" xfId="22985" xr:uid="{00000000-0005-0000-0000-0000C9590000}"/>
    <cellStyle name="Normal 2 2 4 2 2 5" xfId="22986" xr:uid="{00000000-0005-0000-0000-0000CA590000}"/>
    <cellStyle name="Normal 2 2 4 2 2 5 10" xfId="22987" xr:uid="{00000000-0005-0000-0000-0000CB590000}"/>
    <cellStyle name="Normal 2 2 4 2 2 5 11" xfId="22988" xr:uid="{00000000-0005-0000-0000-0000CC590000}"/>
    <cellStyle name="Normal 2 2 4 2 2 5 12" xfId="22989" xr:uid="{00000000-0005-0000-0000-0000CD590000}"/>
    <cellStyle name="Normal 2 2 4 2 2 5 13" xfId="22990" xr:uid="{00000000-0005-0000-0000-0000CE590000}"/>
    <cellStyle name="Normal 2 2 4 2 2 5 14" xfId="22991" xr:uid="{00000000-0005-0000-0000-0000CF590000}"/>
    <cellStyle name="Normal 2 2 4 2 2 5 2" xfId="22992" xr:uid="{00000000-0005-0000-0000-0000D0590000}"/>
    <cellStyle name="Normal 2 2 4 2 2 5 2 10" xfId="22993" xr:uid="{00000000-0005-0000-0000-0000D1590000}"/>
    <cellStyle name="Normal 2 2 4 2 2 5 2 2" xfId="22994" xr:uid="{00000000-0005-0000-0000-0000D2590000}"/>
    <cellStyle name="Normal 2 2 4 2 2 5 2 3" xfId="22995" xr:uid="{00000000-0005-0000-0000-0000D3590000}"/>
    <cellStyle name="Normal 2 2 4 2 2 5 2 4" xfId="22996" xr:uid="{00000000-0005-0000-0000-0000D4590000}"/>
    <cellStyle name="Normal 2 2 4 2 2 5 2 5" xfId="22997" xr:uid="{00000000-0005-0000-0000-0000D5590000}"/>
    <cellStyle name="Normal 2 2 4 2 2 5 2 6" xfId="22998" xr:uid="{00000000-0005-0000-0000-0000D6590000}"/>
    <cellStyle name="Normal 2 2 4 2 2 5 2 7" xfId="22999" xr:uid="{00000000-0005-0000-0000-0000D7590000}"/>
    <cellStyle name="Normal 2 2 4 2 2 5 2 8" xfId="23000" xr:uid="{00000000-0005-0000-0000-0000D8590000}"/>
    <cellStyle name="Normal 2 2 4 2 2 5 2 9" xfId="23001" xr:uid="{00000000-0005-0000-0000-0000D9590000}"/>
    <cellStyle name="Normal 2 2 4 2 2 5 3" xfId="23002" xr:uid="{00000000-0005-0000-0000-0000DA590000}"/>
    <cellStyle name="Normal 2 2 4 2 2 5 3 10" xfId="23003" xr:uid="{00000000-0005-0000-0000-0000DB590000}"/>
    <cellStyle name="Normal 2 2 4 2 2 5 3 2" xfId="23004" xr:uid="{00000000-0005-0000-0000-0000DC590000}"/>
    <cellStyle name="Normal 2 2 4 2 2 5 3 3" xfId="23005" xr:uid="{00000000-0005-0000-0000-0000DD590000}"/>
    <cellStyle name="Normal 2 2 4 2 2 5 3 4" xfId="23006" xr:uid="{00000000-0005-0000-0000-0000DE590000}"/>
    <cellStyle name="Normal 2 2 4 2 2 5 3 5" xfId="23007" xr:uid="{00000000-0005-0000-0000-0000DF590000}"/>
    <cellStyle name="Normal 2 2 4 2 2 5 3 6" xfId="23008" xr:uid="{00000000-0005-0000-0000-0000E0590000}"/>
    <cellStyle name="Normal 2 2 4 2 2 5 3 7" xfId="23009" xr:uid="{00000000-0005-0000-0000-0000E1590000}"/>
    <cellStyle name="Normal 2 2 4 2 2 5 3 8" xfId="23010" xr:uid="{00000000-0005-0000-0000-0000E2590000}"/>
    <cellStyle name="Normal 2 2 4 2 2 5 3 9" xfId="23011" xr:uid="{00000000-0005-0000-0000-0000E3590000}"/>
    <cellStyle name="Normal 2 2 4 2 2 5 4" xfId="23012" xr:uid="{00000000-0005-0000-0000-0000E4590000}"/>
    <cellStyle name="Normal 2 2 4 2 2 5 4 10" xfId="23013" xr:uid="{00000000-0005-0000-0000-0000E5590000}"/>
    <cellStyle name="Normal 2 2 4 2 2 5 4 2" xfId="23014" xr:uid="{00000000-0005-0000-0000-0000E6590000}"/>
    <cellStyle name="Normal 2 2 4 2 2 5 4 3" xfId="23015" xr:uid="{00000000-0005-0000-0000-0000E7590000}"/>
    <cellStyle name="Normal 2 2 4 2 2 5 4 4" xfId="23016" xr:uid="{00000000-0005-0000-0000-0000E8590000}"/>
    <cellStyle name="Normal 2 2 4 2 2 5 4 5" xfId="23017" xr:uid="{00000000-0005-0000-0000-0000E9590000}"/>
    <cellStyle name="Normal 2 2 4 2 2 5 4 6" xfId="23018" xr:uid="{00000000-0005-0000-0000-0000EA590000}"/>
    <cellStyle name="Normal 2 2 4 2 2 5 4 7" xfId="23019" xr:uid="{00000000-0005-0000-0000-0000EB590000}"/>
    <cellStyle name="Normal 2 2 4 2 2 5 4 8" xfId="23020" xr:uid="{00000000-0005-0000-0000-0000EC590000}"/>
    <cellStyle name="Normal 2 2 4 2 2 5 4 9" xfId="23021" xr:uid="{00000000-0005-0000-0000-0000ED590000}"/>
    <cellStyle name="Normal 2 2 4 2 2 5 5" xfId="23022" xr:uid="{00000000-0005-0000-0000-0000EE590000}"/>
    <cellStyle name="Normal 2 2 4 2 2 5 5 10" xfId="23023" xr:uid="{00000000-0005-0000-0000-0000EF590000}"/>
    <cellStyle name="Normal 2 2 4 2 2 5 5 2" xfId="23024" xr:uid="{00000000-0005-0000-0000-0000F0590000}"/>
    <cellStyle name="Normal 2 2 4 2 2 5 5 3" xfId="23025" xr:uid="{00000000-0005-0000-0000-0000F1590000}"/>
    <cellStyle name="Normal 2 2 4 2 2 5 5 4" xfId="23026" xr:uid="{00000000-0005-0000-0000-0000F2590000}"/>
    <cellStyle name="Normal 2 2 4 2 2 5 5 5" xfId="23027" xr:uid="{00000000-0005-0000-0000-0000F3590000}"/>
    <cellStyle name="Normal 2 2 4 2 2 5 5 6" xfId="23028" xr:uid="{00000000-0005-0000-0000-0000F4590000}"/>
    <cellStyle name="Normal 2 2 4 2 2 5 5 7" xfId="23029" xr:uid="{00000000-0005-0000-0000-0000F5590000}"/>
    <cellStyle name="Normal 2 2 4 2 2 5 5 8" xfId="23030" xr:uid="{00000000-0005-0000-0000-0000F6590000}"/>
    <cellStyle name="Normal 2 2 4 2 2 5 5 9" xfId="23031" xr:uid="{00000000-0005-0000-0000-0000F7590000}"/>
    <cellStyle name="Normal 2 2 4 2 2 5 6" xfId="23032" xr:uid="{00000000-0005-0000-0000-0000F8590000}"/>
    <cellStyle name="Normal 2 2 4 2 2 5 7" xfId="23033" xr:uid="{00000000-0005-0000-0000-0000F9590000}"/>
    <cellStyle name="Normal 2 2 4 2 2 5 8" xfId="23034" xr:uid="{00000000-0005-0000-0000-0000FA590000}"/>
    <cellStyle name="Normal 2 2 4 2 2 5 9" xfId="23035" xr:uid="{00000000-0005-0000-0000-0000FB590000}"/>
    <cellStyle name="Normal 2 2 4 2 2 6" xfId="23036" xr:uid="{00000000-0005-0000-0000-0000FC590000}"/>
    <cellStyle name="Normal 2 2 4 2 2 6 10" xfId="23037" xr:uid="{00000000-0005-0000-0000-0000FD590000}"/>
    <cellStyle name="Normal 2 2 4 2 2 6 11" xfId="23038" xr:uid="{00000000-0005-0000-0000-0000FE590000}"/>
    <cellStyle name="Normal 2 2 4 2 2 6 12" xfId="23039" xr:uid="{00000000-0005-0000-0000-0000FF590000}"/>
    <cellStyle name="Normal 2 2 4 2 2 6 13" xfId="23040" xr:uid="{00000000-0005-0000-0000-0000005A0000}"/>
    <cellStyle name="Normal 2 2 4 2 2 6 14" xfId="23041" xr:uid="{00000000-0005-0000-0000-0000015A0000}"/>
    <cellStyle name="Normal 2 2 4 2 2 6 2" xfId="23042" xr:uid="{00000000-0005-0000-0000-0000025A0000}"/>
    <cellStyle name="Normal 2 2 4 2 2 6 2 10" xfId="23043" xr:uid="{00000000-0005-0000-0000-0000035A0000}"/>
    <cellStyle name="Normal 2 2 4 2 2 6 2 2" xfId="23044" xr:uid="{00000000-0005-0000-0000-0000045A0000}"/>
    <cellStyle name="Normal 2 2 4 2 2 6 2 3" xfId="23045" xr:uid="{00000000-0005-0000-0000-0000055A0000}"/>
    <cellStyle name="Normal 2 2 4 2 2 6 2 4" xfId="23046" xr:uid="{00000000-0005-0000-0000-0000065A0000}"/>
    <cellStyle name="Normal 2 2 4 2 2 6 2 5" xfId="23047" xr:uid="{00000000-0005-0000-0000-0000075A0000}"/>
    <cellStyle name="Normal 2 2 4 2 2 6 2 6" xfId="23048" xr:uid="{00000000-0005-0000-0000-0000085A0000}"/>
    <cellStyle name="Normal 2 2 4 2 2 6 2 7" xfId="23049" xr:uid="{00000000-0005-0000-0000-0000095A0000}"/>
    <cellStyle name="Normal 2 2 4 2 2 6 2 8" xfId="23050" xr:uid="{00000000-0005-0000-0000-00000A5A0000}"/>
    <cellStyle name="Normal 2 2 4 2 2 6 2 9" xfId="23051" xr:uid="{00000000-0005-0000-0000-00000B5A0000}"/>
    <cellStyle name="Normal 2 2 4 2 2 6 3" xfId="23052" xr:uid="{00000000-0005-0000-0000-00000C5A0000}"/>
    <cellStyle name="Normal 2 2 4 2 2 6 3 10" xfId="23053" xr:uid="{00000000-0005-0000-0000-00000D5A0000}"/>
    <cellStyle name="Normal 2 2 4 2 2 6 3 2" xfId="23054" xr:uid="{00000000-0005-0000-0000-00000E5A0000}"/>
    <cellStyle name="Normal 2 2 4 2 2 6 3 3" xfId="23055" xr:uid="{00000000-0005-0000-0000-00000F5A0000}"/>
    <cellStyle name="Normal 2 2 4 2 2 6 3 4" xfId="23056" xr:uid="{00000000-0005-0000-0000-0000105A0000}"/>
    <cellStyle name="Normal 2 2 4 2 2 6 3 5" xfId="23057" xr:uid="{00000000-0005-0000-0000-0000115A0000}"/>
    <cellStyle name="Normal 2 2 4 2 2 6 3 6" xfId="23058" xr:uid="{00000000-0005-0000-0000-0000125A0000}"/>
    <cellStyle name="Normal 2 2 4 2 2 6 3 7" xfId="23059" xr:uid="{00000000-0005-0000-0000-0000135A0000}"/>
    <cellStyle name="Normal 2 2 4 2 2 6 3 8" xfId="23060" xr:uid="{00000000-0005-0000-0000-0000145A0000}"/>
    <cellStyle name="Normal 2 2 4 2 2 6 3 9" xfId="23061" xr:uid="{00000000-0005-0000-0000-0000155A0000}"/>
    <cellStyle name="Normal 2 2 4 2 2 6 4" xfId="23062" xr:uid="{00000000-0005-0000-0000-0000165A0000}"/>
    <cellStyle name="Normal 2 2 4 2 2 6 4 10" xfId="23063" xr:uid="{00000000-0005-0000-0000-0000175A0000}"/>
    <cellStyle name="Normal 2 2 4 2 2 6 4 2" xfId="23064" xr:uid="{00000000-0005-0000-0000-0000185A0000}"/>
    <cellStyle name="Normal 2 2 4 2 2 6 4 3" xfId="23065" xr:uid="{00000000-0005-0000-0000-0000195A0000}"/>
    <cellStyle name="Normal 2 2 4 2 2 6 4 4" xfId="23066" xr:uid="{00000000-0005-0000-0000-00001A5A0000}"/>
    <cellStyle name="Normal 2 2 4 2 2 6 4 5" xfId="23067" xr:uid="{00000000-0005-0000-0000-00001B5A0000}"/>
    <cellStyle name="Normal 2 2 4 2 2 6 4 6" xfId="23068" xr:uid="{00000000-0005-0000-0000-00001C5A0000}"/>
    <cellStyle name="Normal 2 2 4 2 2 6 4 7" xfId="23069" xr:uid="{00000000-0005-0000-0000-00001D5A0000}"/>
    <cellStyle name="Normal 2 2 4 2 2 6 4 8" xfId="23070" xr:uid="{00000000-0005-0000-0000-00001E5A0000}"/>
    <cellStyle name="Normal 2 2 4 2 2 6 4 9" xfId="23071" xr:uid="{00000000-0005-0000-0000-00001F5A0000}"/>
    <cellStyle name="Normal 2 2 4 2 2 6 5" xfId="23072" xr:uid="{00000000-0005-0000-0000-0000205A0000}"/>
    <cellStyle name="Normal 2 2 4 2 2 6 5 10" xfId="23073" xr:uid="{00000000-0005-0000-0000-0000215A0000}"/>
    <cellStyle name="Normal 2 2 4 2 2 6 5 2" xfId="23074" xr:uid="{00000000-0005-0000-0000-0000225A0000}"/>
    <cellStyle name="Normal 2 2 4 2 2 6 5 3" xfId="23075" xr:uid="{00000000-0005-0000-0000-0000235A0000}"/>
    <cellStyle name="Normal 2 2 4 2 2 6 5 4" xfId="23076" xr:uid="{00000000-0005-0000-0000-0000245A0000}"/>
    <cellStyle name="Normal 2 2 4 2 2 6 5 5" xfId="23077" xr:uid="{00000000-0005-0000-0000-0000255A0000}"/>
    <cellStyle name="Normal 2 2 4 2 2 6 5 6" xfId="23078" xr:uid="{00000000-0005-0000-0000-0000265A0000}"/>
    <cellStyle name="Normal 2 2 4 2 2 6 5 7" xfId="23079" xr:uid="{00000000-0005-0000-0000-0000275A0000}"/>
    <cellStyle name="Normal 2 2 4 2 2 6 5 8" xfId="23080" xr:uid="{00000000-0005-0000-0000-0000285A0000}"/>
    <cellStyle name="Normal 2 2 4 2 2 6 5 9" xfId="23081" xr:uid="{00000000-0005-0000-0000-0000295A0000}"/>
    <cellStyle name="Normal 2 2 4 2 2 6 6" xfId="23082" xr:uid="{00000000-0005-0000-0000-00002A5A0000}"/>
    <cellStyle name="Normal 2 2 4 2 2 6 7" xfId="23083" xr:uid="{00000000-0005-0000-0000-00002B5A0000}"/>
    <cellStyle name="Normal 2 2 4 2 2 6 8" xfId="23084" xr:uid="{00000000-0005-0000-0000-00002C5A0000}"/>
    <cellStyle name="Normal 2 2 4 2 2 6 9" xfId="23085" xr:uid="{00000000-0005-0000-0000-00002D5A0000}"/>
    <cellStyle name="Normal 2 2 4 2 2 7" xfId="23086" xr:uid="{00000000-0005-0000-0000-00002E5A0000}"/>
    <cellStyle name="Normal 2 2 4 2 2 7 10" xfId="23087" xr:uid="{00000000-0005-0000-0000-00002F5A0000}"/>
    <cellStyle name="Normal 2 2 4 2 2 7 11" xfId="23088" xr:uid="{00000000-0005-0000-0000-0000305A0000}"/>
    <cellStyle name="Normal 2 2 4 2 2 7 12" xfId="23089" xr:uid="{00000000-0005-0000-0000-0000315A0000}"/>
    <cellStyle name="Normal 2 2 4 2 2 7 13" xfId="23090" xr:uid="{00000000-0005-0000-0000-0000325A0000}"/>
    <cellStyle name="Normal 2 2 4 2 2 7 14" xfId="23091" xr:uid="{00000000-0005-0000-0000-0000335A0000}"/>
    <cellStyle name="Normal 2 2 4 2 2 7 2" xfId="23092" xr:uid="{00000000-0005-0000-0000-0000345A0000}"/>
    <cellStyle name="Normal 2 2 4 2 2 7 2 10" xfId="23093" xr:uid="{00000000-0005-0000-0000-0000355A0000}"/>
    <cellStyle name="Normal 2 2 4 2 2 7 2 2" xfId="23094" xr:uid="{00000000-0005-0000-0000-0000365A0000}"/>
    <cellStyle name="Normal 2 2 4 2 2 7 2 3" xfId="23095" xr:uid="{00000000-0005-0000-0000-0000375A0000}"/>
    <cellStyle name="Normal 2 2 4 2 2 7 2 4" xfId="23096" xr:uid="{00000000-0005-0000-0000-0000385A0000}"/>
    <cellStyle name="Normal 2 2 4 2 2 7 2 5" xfId="23097" xr:uid="{00000000-0005-0000-0000-0000395A0000}"/>
    <cellStyle name="Normal 2 2 4 2 2 7 2 6" xfId="23098" xr:uid="{00000000-0005-0000-0000-00003A5A0000}"/>
    <cellStyle name="Normal 2 2 4 2 2 7 2 7" xfId="23099" xr:uid="{00000000-0005-0000-0000-00003B5A0000}"/>
    <cellStyle name="Normal 2 2 4 2 2 7 2 8" xfId="23100" xr:uid="{00000000-0005-0000-0000-00003C5A0000}"/>
    <cellStyle name="Normal 2 2 4 2 2 7 2 9" xfId="23101" xr:uid="{00000000-0005-0000-0000-00003D5A0000}"/>
    <cellStyle name="Normal 2 2 4 2 2 7 3" xfId="23102" xr:uid="{00000000-0005-0000-0000-00003E5A0000}"/>
    <cellStyle name="Normal 2 2 4 2 2 7 3 10" xfId="23103" xr:uid="{00000000-0005-0000-0000-00003F5A0000}"/>
    <cellStyle name="Normal 2 2 4 2 2 7 3 2" xfId="23104" xr:uid="{00000000-0005-0000-0000-0000405A0000}"/>
    <cellStyle name="Normal 2 2 4 2 2 7 3 3" xfId="23105" xr:uid="{00000000-0005-0000-0000-0000415A0000}"/>
    <cellStyle name="Normal 2 2 4 2 2 7 3 4" xfId="23106" xr:uid="{00000000-0005-0000-0000-0000425A0000}"/>
    <cellStyle name="Normal 2 2 4 2 2 7 3 5" xfId="23107" xr:uid="{00000000-0005-0000-0000-0000435A0000}"/>
    <cellStyle name="Normal 2 2 4 2 2 7 3 6" xfId="23108" xr:uid="{00000000-0005-0000-0000-0000445A0000}"/>
    <cellStyle name="Normal 2 2 4 2 2 7 3 7" xfId="23109" xr:uid="{00000000-0005-0000-0000-0000455A0000}"/>
    <cellStyle name="Normal 2 2 4 2 2 7 3 8" xfId="23110" xr:uid="{00000000-0005-0000-0000-0000465A0000}"/>
    <cellStyle name="Normal 2 2 4 2 2 7 3 9" xfId="23111" xr:uid="{00000000-0005-0000-0000-0000475A0000}"/>
    <cellStyle name="Normal 2 2 4 2 2 7 4" xfId="23112" xr:uid="{00000000-0005-0000-0000-0000485A0000}"/>
    <cellStyle name="Normal 2 2 4 2 2 7 4 10" xfId="23113" xr:uid="{00000000-0005-0000-0000-0000495A0000}"/>
    <cellStyle name="Normal 2 2 4 2 2 7 4 2" xfId="23114" xr:uid="{00000000-0005-0000-0000-00004A5A0000}"/>
    <cellStyle name="Normal 2 2 4 2 2 7 4 3" xfId="23115" xr:uid="{00000000-0005-0000-0000-00004B5A0000}"/>
    <cellStyle name="Normal 2 2 4 2 2 7 4 4" xfId="23116" xr:uid="{00000000-0005-0000-0000-00004C5A0000}"/>
    <cellStyle name="Normal 2 2 4 2 2 7 4 5" xfId="23117" xr:uid="{00000000-0005-0000-0000-00004D5A0000}"/>
    <cellStyle name="Normal 2 2 4 2 2 7 4 6" xfId="23118" xr:uid="{00000000-0005-0000-0000-00004E5A0000}"/>
    <cellStyle name="Normal 2 2 4 2 2 7 4 7" xfId="23119" xr:uid="{00000000-0005-0000-0000-00004F5A0000}"/>
    <cellStyle name="Normal 2 2 4 2 2 7 4 8" xfId="23120" xr:uid="{00000000-0005-0000-0000-0000505A0000}"/>
    <cellStyle name="Normal 2 2 4 2 2 7 4 9" xfId="23121" xr:uid="{00000000-0005-0000-0000-0000515A0000}"/>
    <cellStyle name="Normal 2 2 4 2 2 7 5" xfId="23122" xr:uid="{00000000-0005-0000-0000-0000525A0000}"/>
    <cellStyle name="Normal 2 2 4 2 2 7 5 10" xfId="23123" xr:uid="{00000000-0005-0000-0000-0000535A0000}"/>
    <cellStyle name="Normal 2 2 4 2 2 7 5 2" xfId="23124" xr:uid="{00000000-0005-0000-0000-0000545A0000}"/>
    <cellStyle name="Normal 2 2 4 2 2 7 5 3" xfId="23125" xr:uid="{00000000-0005-0000-0000-0000555A0000}"/>
    <cellStyle name="Normal 2 2 4 2 2 7 5 4" xfId="23126" xr:uid="{00000000-0005-0000-0000-0000565A0000}"/>
    <cellStyle name="Normal 2 2 4 2 2 7 5 5" xfId="23127" xr:uid="{00000000-0005-0000-0000-0000575A0000}"/>
    <cellStyle name="Normal 2 2 4 2 2 7 5 6" xfId="23128" xr:uid="{00000000-0005-0000-0000-0000585A0000}"/>
    <cellStyle name="Normal 2 2 4 2 2 7 5 7" xfId="23129" xr:uid="{00000000-0005-0000-0000-0000595A0000}"/>
    <cellStyle name="Normal 2 2 4 2 2 7 5 8" xfId="23130" xr:uid="{00000000-0005-0000-0000-00005A5A0000}"/>
    <cellStyle name="Normal 2 2 4 2 2 7 5 9" xfId="23131" xr:uid="{00000000-0005-0000-0000-00005B5A0000}"/>
    <cellStyle name="Normal 2 2 4 2 2 7 6" xfId="23132" xr:uid="{00000000-0005-0000-0000-00005C5A0000}"/>
    <cellStyle name="Normal 2 2 4 2 2 7 7" xfId="23133" xr:uid="{00000000-0005-0000-0000-00005D5A0000}"/>
    <cellStyle name="Normal 2 2 4 2 2 7 8" xfId="23134" xr:uid="{00000000-0005-0000-0000-00005E5A0000}"/>
    <cellStyle name="Normal 2 2 4 2 2 7 9" xfId="23135" xr:uid="{00000000-0005-0000-0000-00005F5A0000}"/>
    <cellStyle name="Normal 2 2 4 2 2 8" xfId="23136" xr:uid="{00000000-0005-0000-0000-0000605A0000}"/>
    <cellStyle name="Normal 2 2 4 2 2 8 10" xfId="23137" xr:uid="{00000000-0005-0000-0000-0000615A0000}"/>
    <cellStyle name="Normal 2 2 4 2 2 8 11" xfId="23138" xr:uid="{00000000-0005-0000-0000-0000625A0000}"/>
    <cellStyle name="Normal 2 2 4 2 2 8 12" xfId="23139" xr:uid="{00000000-0005-0000-0000-0000635A0000}"/>
    <cellStyle name="Normal 2 2 4 2 2 8 13" xfId="23140" xr:uid="{00000000-0005-0000-0000-0000645A0000}"/>
    <cellStyle name="Normal 2 2 4 2 2 8 14" xfId="23141" xr:uid="{00000000-0005-0000-0000-0000655A0000}"/>
    <cellStyle name="Normal 2 2 4 2 2 8 2" xfId="23142" xr:uid="{00000000-0005-0000-0000-0000665A0000}"/>
    <cellStyle name="Normal 2 2 4 2 2 8 2 10" xfId="23143" xr:uid="{00000000-0005-0000-0000-0000675A0000}"/>
    <cellStyle name="Normal 2 2 4 2 2 8 2 2" xfId="23144" xr:uid="{00000000-0005-0000-0000-0000685A0000}"/>
    <cellStyle name="Normal 2 2 4 2 2 8 2 3" xfId="23145" xr:uid="{00000000-0005-0000-0000-0000695A0000}"/>
    <cellStyle name="Normal 2 2 4 2 2 8 2 4" xfId="23146" xr:uid="{00000000-0005-0000-0000-00006A5A0000}"/>
    <cellStyle name="Normal 2 2 4 2 2 8 2 5" xfId="23147" xr:uid="{00000000-0005-0000-0000-00006B5A0000}"/>
    <cellStyle name="Normal 2 2 4 2 2 8 2 6" xfId="23148" xr:uid="{00000000-0005-0000-0000-00006C5A0000}"/>
    <cellStyle name="Normal 2 2 4 2 2 8 2 7" xfId="23149" xr:uid="{00000000-0005-0000-0000-00006D5A0000}"/>
    <cellStyle name="Normal 2 2 4 2 2 8 2 8" xfId="23150" xr:uid="{00000000-0005-0000-0000-00006E5A0000}"/>
    <cellStyle name="Normal 2 2 4 2 2 8 2 9" xfId="23151" xr:uid="{00000000-0005-0000-0000-00006F5A0000}"/>
    <cellStyle name="Normal 2 2 4 2 2 8 3" xfId="23152" xr:uid="{00000000-0005-0000-0000-0000705A0000}"/>
    <cellStyle name="Normal 2 2 4 2 2 8 3 10" xfId="23153" xr:uid="{00000000-0005-0000-0000-0000715A0000}"/>
    <cellStyle name="Normal 2 2 4 2 2 8 3 2" xfId="23154" xr:uid="{00000000-0005-0000-0000-0000725A0000}"/>
    <cellStyle name="Normal 2 2 4 2 2 8 3 3" xfId="23155" xr:uid="{00000000-0005-0000-0000-0000735A0000}"/>
    <cellStyle name="Normal 2 2 4 2 2 8 3 4" xfId="23156" xr:uid="{00000000-0005-0000-0000-0000745A0000}"/>
    <cellStyle name="Normal 2 2 4 2 2 8 3 5" xfId="23157" xr:uid="{00000000-0005-0000-0000-0000755A0000}"/>
    <cellStyle name="Normal 2 2 4 2 2 8 3 6" xfId="23158" xr:uid="{00000000-0005-0000-0000-0000765A0000}"/>
    <cellStyle name="Normal 2 2 4 2 2 8 3 7" xfId="23159" xr:uid="{00000000-0005-0000-0000-0000775A0000}"/>
    <cellStyle name="Normal 2 2 4 2 2 8 3 8" xfId="23160" xr:uid="{00000000-0005-0000-0000-0000785A0000}"/>
    <cellStyle name="Normal 2 2 4 2 2 8 3 9" xfId="23161" xr:uid="{00000000-0005-0000-0000-0000795A0000}"/>
    <cellStyle name="Normal 2 2 4 2 2 8 4" xfId="23162" xr:uid="{00000000-0005-0000-0000-00007A5A0000}"/>
    <cellStyle name="Normal 2 2 4 2 2 8 4 10" xfId="23163" xr:uid="{00000000-0005-0000-0000-00007B5A0000}"/>
    <cellStyle name="Normal 2 2 4 2 2 8 4 2" xfId="23164" xr:uid="{00000000-0005-0000-0000-00007C5A0000}"/>
    <cellStyle name="Normal 2 2 4 2 2 8 4 3" xfId="23165" xr:uid="{00000000-0005-0000-0000-00007D5A0000}"/>
    <cellStyle name="Normal 2 2 4 2 2 8 4 4" xfId="23166" xr:uid="{00000000-0005-0000-0000-00007E5A0000}"/>
    <cellStyle name="Normal 2 2 4 2 2 8 4 5" xfId="23167" xr:uid="{00000000-0005-0000-0000-00007F5A0000}"/>
    <cellStyle name="Normal 2 2 4 2 2 8 4 6" xfId="23168" xr:uid="{00000000-0005-0000-0000-0000805A0000}"/>
    <cellStyle name="Normal 2 2 4 2 2 8 4 7" xfId="23169" xr:uid="{00000000-0005-0000-0000-0000815A0000}"/>
    <cellStyle name="Normal 2 2 4 2 2 8 4 8" xfId="23170" xr:uid="{00000000-0005-0000-0000-0000825A0000}"/>
    <cellStyle name="Normal 2 2 4 2 2 8 4 9" xfId="23171" xr:uid="{00000000-0005-0000-0000-0000835A0000}"/>
    <cellStyle name="Normal 2 2 4 2 2 8 5" xfId="23172" xr:uid="{00000000-0005-0000-0000-0000845A0000}"/>
    <cellStyle name="Normal 2 2 4 2 2 8 5 10" xfId="23173" xr:uid="{00000000-0005-0000-0000-0000855A0000}"/>
    <cellStyle name="Normal 2 2 4 2 2 8 5 2" xfId="23174" xr:uid="{00000000-0005-0000-0000-0000865A0000}"/>
    <cellStyle name="Normal 2 2 4 2 2 8 5 3" xfId="23175" xr:uid="{00000000-0005-0000-0000-0000875A0000}"/>
    <cellStyle name="Normal 2 2 4 2 2 8 5 4" xfId="23176" xr:uid="{00000000-0005-0000-0000-0000885A0000}"/>
    <cellStyle name="Normal 2 2 4 2 2 8 5 5" xfId="23177" xr:uid="{00000000-0005-0000-0000-0000895A0000}"/>
    <cellStyle name="Normal 2 2 4 2 2 8 5 6" xfId="23178" xr:uid="{00000000-0005-0000-0000-00008A5A0000}"/>
    <cellStyle name="Normal 2 2 4 2 2 8 5 7" xfId="23179" xr:uid="{00000000-0005-0000-0000-00008B5A0000}"/>
    <cellStyle name="Normal 2 2 4 2 2 8 5 8" xfId="23180" xr:uid="{00000000-0005-0000-0000-00008C5A0000}"/>
    <cellStyle name="Normal 2 2 4 2 2 8 5 9" xfId="23181" xr:uid="{00000000-0005-0000-0000-00008D5A0000}"/>
    <cellStyle name="Normal 2 2 4 2 2 8 6" xfId="23182" xr:uid="{00000000-0005-0000-0000-00008E5A0000}"/>
    <cellStyle name="Normal 2 2 4 2 2 8 7" xfId="23183" xr:uid="{00000000-0005-0000-0000-00008F5A0000}"/>
    <cellStyle name="Normal 2 2 4 2 2 8 8" xfId="23184" xr:uid="{00000000-0005-0000-0000-0000905A0000}"/>
    <cellStyle name="Normal 2 2 4 2 2 8 9" xfId="23185" xr:uid="{00000000-0005-0000-0000-0000915A0000}"/>
    <cellStyle name="Normal 2 2 4 2 2 9" xfId="23186" xr:uid="{00000000-0005-0000-0000-0000925A0000}"/>
    <cellStyle name="Normal 2 2 4 2 2 9 10" xfId="23187" xr:uid="{00000000-0005-0000-0000-0000935A0000}"/>
    <cellStyle name="Normal 2 2 4 2 2 9 11" xfId="23188" xr:uid="{00000000-0005-0000-0000-0000945A0000}"/>
    <cellStyle name="Normal 2 2 4 2 2 9 12" xfId="23189" xr:uid="{00000000-0005-0000-0000-0000955A0000}"/>
    <cellStyle name="Normal 2 2 4 2 2 9 13" xfId="23190" xr:uid="{00000000-0005-0000-0000-0000965A0000}"/>
    <cellStyle name="Normal 2 2 4 2 2 9 14" xfId="23191" xr:uid="{00000000-0005-0000-0000-0000975A0000}"/>
    <cellStyle name="Normal 2 2 4 2 2 9 2" xfId="23192" xr:uid="{00000000-0005-0000-0000-0000985A0000}"/>
    <cellStyle name="Normal 2 2 4 2 2 9 2 10" xfId="23193" xr:uid="{00000000-0005-0000-0000-0000995A0000}"/>
    <cellStyle name="Normal 2 2 4 2 2 9 2 2" xfId="23194" xr:uid="{00000000-0005-0000-0000-00009A5A0000}"/>
    <cellStyle name="Normal 2 2 4 2 2 9 2 3" xfId="23195" xr:uid="{00000000-0005-0000-0000-00009B5A0000}"/>
    <cellStyle name="Normal 2 2 4 2 2 9 2 4" xfId="23196" xr:uid="{00000000-0005-0000-0000-00009C5A0000}"/>
    <cellStyle name="Normal 2 2 4 2 2 9 2 5" xfId="23197" xr:uid="{00000000-0005-0000-0000-00009D5A0000}"/>
    <cellStyle name="Normal 2 2 4 2 2 9 2 6" xfId="23198" xr:uid="{00000000-0005-0000-0000-00009E5A0000}"/>
    <cellStyle name="Normal 2 2 4 2 2 9 2 7" xfId="23199" xr:uid="{00000000-0005-0000-0000-00009F5A0000}"/>
    <cellStyle name="Normal 2 2 4 2 2 9 2 8" xfId="23200" xr:uid="{00000000-0005-0000-0000-0000A05A0000}"/>
    <cellStyle name="Normal 2 2 4 2 2 9 2 9" xfId="23201" xr:uid="{00000000-0005-0000-0000-0000A15A0000}"/>
    <cellStyle name="Normal 2 2 4 2 2 9 3" xfId="23202" xr:uid="{00000000-0005-0000-0000-0000A25A0000}"/>
    <cellStyle name="Normal 2 2 4 2 2 9 3 10" xfId="23203" xr:uid="{00000000-0005-0000-0000-0000A35A0000}"/>
    <cellStyle name="Normal 2 2 4 2 2 9 3 2" xfId="23204" xr:uid="{00000000-0005-0000-0000-0000A45A0000}"/>
    <cellStyle name="Normal 2 2 4 2 2 9 3 3" xfId="23205" xr:uid="{00000000-0005-0000-0000-0000A55A0000}"/>
    <cellStyle name="Normal 2 2 4 2 2 9 3 4" xfId="23206" xr:uid="{00000000-0005-0000-0000-0000A65A0000}"/>
    <cellStyle name="Normal 2 2 4 2 2 9 3 5" xfId="23207" xr:uid="{00000000-0005-0000-0000-0000A75A0000}"/>
    <cellStyle name="Normal 2 2 4 2 2 9 3 6" xfId="23208" xr:uid="{00000000-0005-0000-0000-0000A85A0000}"/>
    <cellStyle name="Normal 2 2 4 2 2 9 3 7" xfId="23209" xr:uid="{00000000-0005-0000-0000-0000A95A0000}"/>
    <cellStyle name="Normal 2 2 4 2 2 9 3 8" xfId="23210" xr:uid="{00000000-0005-0000-0000-0000AA5A0000}"/>
    <cellStyle name="Normal 2 2 4 2 2 9 3 9" xfId="23211" xr:uid="{00000000-0005-0000-0000-0000AB5A0000}"/>
    <cellStyle name="Normal 2 2 4 2 2 9 4" xfId="23212" xr:uid="{00000000-0005-0000-0000-0000AC5A0000}"/>
    <cellStyle name="Normal 2 2 4 2 2 9 4 10" xfId="23213" xr:uid="{00000000-0005-0000-0000-0000AD5A0000}"/>
    <cellStyle name="Normal 2 2 4 2 2 9 4 2" xfId="23214" xr:uid="{00000000-0005-0000-0000-0000AE5A0000}"/>
    <cellStyle name="Normal 2 2 4 2 2 9 4 3" xfId="23215" xr:uid="{00000000-0005-0000-0000-0000AF5A0000}"/>
    <cellStyle name="Normal 2 2 4 2 2 9 4 4" xfId="23216" xr:uid="{00000000-0005-0000-0000-0000B05A0000}"/>
    <cellStyle name="Normal 2 2 4 2 2 9 4 5" xfId="23217" xr:uid="{00000000-0005-0000-0000-0000B15A0000}"/>
    <cellStyle name="Normal 2 2 4 2 2 9 4 6" xfId="23218" xr:uid="{00000000-0005-0000-0000-0000B25A0000}"/>
    <cellStyle name="Normal 2 2 4 2 2 9 4 7" xfId="23219" xr:uid="{00000000-0005-0000-0000-0000B35A0000}"/>
    <cellStyle name="Normal 2 2 4 2 2 9 4 8" xfId="23220" xr:uid="{00000000-0005-0000-0000-0000B45A0000}"/>
    <cellStyle name="Normal 2 2 4 2 2 9 4 9" xfId="23221" xr:uid="{00000000-0005-0000-0000-0000B55A0000}"/>
    <cellStyle name="Normal 2 2 4 2 2 9 5" xfId="23222" xr:uid="{00000000-0005-0000-0000-0000B65A0000}"/>
    <cellStyle name="Normal 2 2 4 2 2 9 5 10" xfId="23223" xr:uid="{00000000-0005-0000-0000-0000B75A0000}"/>
    <cellStyle name="Normal 2 2 4 2 2 9 5 2" xfId="23224" xr:uid="{00000000-0005-0000-0000-0000B85A0000}"/>
    <cellStyle name="Normal 2 2 4 2 2 9 5 3" xfId="23225" xr:uid="{00000000-0005-0000-0000-0000B95A0000}"/>
    <cellStyle name="Normal 2 2 4 2 2 9 5 4" xfId="23226" xr:uid="{00000000-0005-0000-0000-0000BA5A0000}"/>
    <cellStyle name="Normal 2 2 4 2 2 9 5 5" xfId="23227" xr:uid="{00000000-0005-0000-0000-0000BB5A0000}"/>
    <cellStyle name="Normal 2 2 4 2 2 9 5 6" xfId="23228" xr:uid="{00000000-0005-0000-0000-0000BC5A0000}"/>
    <cellStyle name="Normal 2 2 4 2 2 9 5 7" xfId="23229" xr:uid="{00000000-0005-0000-0000-0000BD5A0000}"/>
    <cellStyle name="Normal 2 2 4 2 2 9 5 8" xfId="23230" xr:uid="{00000000-0005-0000-0000-0000BE5A0000}"/>
    <cellStyle name="Normal 2 2 4 2 2 9 5 9" xfId="23231" xr:uid="{00000000-0005-0000-0000-0000BF5A0000}"/>
    <cellStyle name="Normal 2 2 4 2 2 9 6" xfId="23232" xr:uid="{00000000-0005-0000-0000-0000C05A0000}"/>
    <cellStyle name="Normal 2 2 4 2 2 9 7" xfId="23233" xr:uid="{00000000-0005-0000-0000-0000C15A0000}"/>
    <cellStyle name="Normal 2 2 4 2 2 9 8" xfId="23234" xr:uid="{00000000-0005-0000-0000-0000C25A0000}"/>
    <cellStyle name="Normal 2 2 4 2 2 9 9" xfId="23235" xr:uid="{00000000-0005-0000-0000-0000C35A0000}"/>
    <cellStyle name="Normal 2 2 4 2 20" xfId="23236" xr:uid="{00000000-0005-0000-0000-0000C45A0000}"/>
    <cellStyle name="Normal 2 2 4 2 21" xfId="23237" xr:uid="{00000000-0005-0000-0000-0000C55A0000}"/>
    <cellStyle name="Normal 2 2 4 2 21 10" xfId="23238" xr:uid="{00000000-0005-0000-0000-0000C65A0000}"/>
    <cellStyle name="Normal 2 2 4 2 21 2" xfId="23239" xr:uid="{00000000-0005-0000-0000-0000C75A0000}"/>
    <cellStyle name="Normal 2 2 4 2 21 3" xfId="23240" xr:uid="{00000000-0005-0000-0000-0000C85A0000}"/>
    <cellStyle name="Normal 2 2 4 2 21 4" xfId="23241" xr:uid="{00000000-0005-0000-0000-0000C95A0000}"/>
    <cellStyle name="Normal 2 2 4 2 21 5" xfId="23242" xr:uid="{00000000-0005-0000-0000-0000CA5A0000}"/>
    <cellStyle name="Normal 2 2 4 2 21 6" xfId="23243" xr:uid="{00000000-0005-0000-0000-0000CB5A0000}"/>
    <cellStyle name="Normal 2 2 4 2 21 7" xfId="23244" xr:uid="{00000000-0005-0000-0000-0000CC5A0000}"/>
    <cellStyle name="Normal 2 2 4 2 21 8" xfId="23245" xr:uid="{00000000-0005-0000-0000-0000CD5A0000}"/>
    <cellStyle name="Normal 2 2 4 2 21 9" xfId="23246" xr:uid="{00000000-0005-0000-0000-0000CE5A0000}"/>
    <cellStyle name="Normal 2 2 4 2 22" xfId="23247" xr:uid="{00000000-0005-0000-0000-0000CF5A0000}"/>
    <cellStyle name="Normal 2 2 4 2 22 10" xfId="23248" xr:uid="{00000000-0005-0000-0000-0000D05A0000}"/>
    <cellStyle name="Normal 2 2 4 2 22 2" xfId="23249" xr:uid="{00000000-0005-0000-0000-0000D15A0000}"/>
    <cellStyle name="Normal 2 2 4 2 22 3" xfId="23250" xr:uid="{00000000-0005-0000-0000-0000D25A0000}"/>
    <cellStyle name="Normal 2 2 4 2 22 4" xfId="23251" xr:uid="{00000000-0005-0000-0000-0000D35A0000}"/>
    <cellStyle name="Normal 2 2 4 2 22 5" xfId="23252" xr:uid="{00000000-0005-0000-0000-0000D45A0000}"/>
    <cellStyle name="Normal 2 2 4 2 22 6" xfId="23253" xr:uid="{00000000-0005-0000-0000-0000D55A0000}"/>
    <cellStyle name="Normal 2 2 4 2 22 7" xfId="23254" xr:uid="{00000000-0005-0000-0000-0000D65A0000}"/>
    <cellStyle name="Normal 2 2 4 2 22 8" xfId="23255" xr:uid="{00000000-0005-0000-0000-0000D75A0000}"/>
    <cellStyle name="Normal 2 2 4 2 22 9" xfId="23256" xr:uid="{00000000-0005-0000-0000-0000D85A0000}"/>
    <cellStyle name="Normal 2 2 4 2 23" xfId="23257" xr:uid="{00000000-0005-0000-0000-0000D95A0000}"/>
    <cellStyle name="Normal 2 2 4 2 23 10" xfId="23258" xr:uid="{00000000-0005-0000-0000-0000DA5A0000}"/>
    <cellStyle name="Normal 2 2 4 2 23 2" xfId="23259" xr:uid="{00000000-0005-0000-0000-0000DB5A0000}"/>
    <cellStyle name="Normal 2 2 4 2 23 3" xfId="23260" xr:uid="{00000000-0005-0000-0000-0000DC5A0000}"/>
    <cellStyle name="Normal 2 2 4 2 23 4" xfId="23261" xr:uid="{00000000-0005-0000-0000-0000DD5A0000}"/>
    <cellStyle name="Normal 2 2 4 2 23 5" xfId="23262" xr:uid="{00000000-0005-0000-0000-0000DE5A0000}"/>
    <cellStyle name="Normal 2 2 4 2 23 6" xfId="23263" xr:uid="{00000000-0005-0000-0000-0000DF5A0000}"/>
    <cellStyle name="Normal 2 2 4 2 23 7" xfId="23264" xr:uid="{00000000-0005-0000-0000-0000E05A0000}"/>
    <cellStyle name="Normal 2 2 4 2 23 8" xfId="23265" xr:uid="{00000000-0005-0000-0000-0000E15A0000}"/>
    <cellStyle name="Normal 2 2 4 2 23 9" xfId="23266" xr:uid="{00000000-0005-0000-0000-0000E25A0000}"/>
    <cellStyle name="Normal 2 2 4 2 24" xfId="23267" xr:uid="{00000000-0005-0000-0000-0000E35A0000}"/>
    <cellStyle name="Normal 2 2 4 2 24 10" xfId="23268" xr:uid="{00000000-0005-0000-0000-0000E45A0000}"/>
    <cellStyle name="Normal 2 2 4 2 24 2" xfId="23269" xr:uid="{00000000-0005-0000-0000-0000E55A0000}"/>
    <cellStyle name="Normal 2 2 4 2 24 3" xfId="23270" xr:uid="{00000000-0005-0000-0000-0000E65A0000}"/>
    <cellStyle name="Normal 2 2 4 2 24 4" xfId="23271" xr:uid="{00000000-0005-0000-0000-0000E75A0000}"/>
    <cellStyle name="Normal 2 2 4 2 24 5" xfId="23272" xr:uid="{00000000-0005-0000-0000-0000E85A0000}"/>
    <cellStyle name="Normal 2 2 4 2 24 6" xfId="23273" xr:uid="{00000000-0005-0000-0000-0000E95A0000}"/>
    <cellStyle name="Normal 2 2 4 2 24 7" xfId="23274" xr:uid="{00000000-0005-0000-0000-0000EA5A0000}"/>
    <cellStyle name="Normal 2 2 4 2 24 8" xfId="23275" xr:uid="{00000000-0005-0000-0000-0000EB5A0000}"/>
    <cellStyle name="Normal 2 2 4 2 24 9" xfId="23276" xr:uid="{00000000-0005-0000-0000-0000EC5A0000}"/>
    <cellStyle name="Normal 2 2 4 2 25" xfId="23277" xr:uid="{00000000-0005-0000-0000-0000ED5A0000}"/>
    <cellStyle name="Normal 2 2 4 2 26" xfId="23278" xr:uid="{00000000-0005-0000-0000-0000EE5A0000}"/>
    <cellStyle name="Normal 2 2 4 2 27" xfId="23279" xr:uid="{00000000-0005-0000-0000-0000EF5A0000}"/>
    <cellStyle name="Normal 2 2 4 2 28" xfId="23280" xr:uid="{00000000-0005-0000-0000-0000F05A0000}"/>
    <cellStyle name="Normal 2 2 4 2 29" xfId="23281" xr:uid="{00000000-0005-0000-0000-0000F15A0000}"/>
    <cellStyle name="Normal 2 2 4 2 3" xfId="23282" xr:uid="{00000000-0005-0000-0000-0000F25A0000}"/>
    <cellStyle name="Normal 2 2 4 2 30" xfId="23283" xr:uid="{00000000-0005-0000-0000-0000F35A0000}"/>
    <cellStyle name="Normal 2 2 4 2 31" xfId="23284" xr:uid="{00000000-0005-0000-0000-0000F45A0000}"/>
    <cellStyle name="Normal 2 2 4 2 32" xfId="23285" xr:uid="{00000000-0005-0000-0000-0000F55A0000}"/>
    <cellStyle name="Normal 2 2 4 2 33" xfId="23286" xr:uid="{00000000-0005-0000-0000-0000F65A0000}"/>
    <cellStyle name="Normal 2 2 4 2 34" xfId="22274" xr:uid="{00000000-0005-0000-0000-000002570000}"/>
    <cellStyle name="Normal 2 2 4 2 4" xfId="23287" xr:uid="{00000000-0005-0000-0000-0000F75A0000}"/>
    <cellStyle name="Normal 2 2 4 2 5" xfId="23288" xr:uid="{00000000-0005-0000-0000-0000F85A0000}"/>
    <cellStyle name="Normal 2 2 4 2 6" xfId="23289" xr:uid="{00000000-0005-0000-0000-0000F95A0000}"/>
    <cellStyle name="Normal 2 2 4 2 7" xfId="23290" xr:uid="{00000000-0005-0000-0000-0000FA5A0000}"/>
    <cellStyle name="Normal 2 2 4 2 8" xfId="23291" xr:uid="{00000000-0005-0000-0000-0000FB5A0000}"/>
    <cellStyle name="Normal 2 2 4 2 9" xfId="23292" xr:uid="{00000000-0005-0000-0000-0000FC5A0000}"/>
    <cellStyle name="Normal 2 2 4 20" xfId="23293" xr:uid="{00000000-0005-0000-0000-0000FD5A0000}"/>
    <cellStyle name="Normal 2 2 4 20 10" xfId="23294" xr:uid="{00000000-0005-0000-0000-0000FE5A0000}"/>
    <cellStyle name="Normal 2 2 4 20 11" xfId="23295" xr:uid="{00000000-0005-0000-0000-0000FF5A0000}"/>
    <cellStyle name="Normal 2 2 4 20 12" xfId="23296" xr:uid="{00000000-0005-0000-0000-0000005B0000}"/>
    <cellStyle name="Normal 2 2 4 20 13" xfId="23297" xr:uid="{00000000-0005-0000-0000-0000015B0000}"/>
    <cellStyle name="Normal 2 2 4 20 14" xfId="23298" xr:uid="{00000000-0005-0000-0000-0000025B0000}"/>
    <cellStyle name="Normal 2 2 4 20 2" xfId="23299" xr:uid="{00000000-0005-0000-0000-0000035B0000}"/>
    <cellStyle name="Normal 2 2 4 20 2 10" xfId="23300" xr:uid="{00000000-0005-0000-0000-0000045B0000}"/>
    <cellStyle name="Normal 2 2 4 20 2 2" xfId="23301" xr:uid="{00000000-0005-0000-0000-0000055B0000}"/>
    <cellStyle name="Normal 2 2 4 20 2 3" xfId="23302" xr:uid="{00000000-0005-0000-0000-0000065B0000}"/>
    <cellStyle name="Normal 2 2 4 20 2 4" xfId="23303" xr:uid="{00000000-0005-0000-0000-0000075B0000}"/>
    <cellStyle name="Normal 2 2 4 20 2 5" xfId="23304" xr:uid="{00000000-0005-0000-0000-0000085B0000}"/>
    <cellStyle name="Normal 2 2 4 20 2 6" xfId="23305" xr:uid="{00000000-0005-0000-0000-0000095B0000}"/>
    <cellStyle name="Normal 2 2 4 20 2 7" xfId="23306" xr:uid="{00000000-0005-0000-0000-00000A5B0000}"/>
    <cellStyle name="Normal 2 2 4 20 2 8" xfId="23307" xr:uid="{00000000-0005-0000-0000-00000B5B0000}"/>
    <cellStyle name="Normal 2 2 4 20 2 9" xfId="23308" xr:uid="{00000000-0005-0000-0000-00000C5B0000}"/>
    <cellStyle name="Normal 2 2 4 20 3" xfId="23309" xr:uid="{00000000-0005-0000-0000-00000D5B0000}"/>
    <cellStyle name="Normal 2 2 4 20 3 10" xfId="23310" xr:uid="{00000000-0005-0000-0000-00000E5B0000}"/>
    <cellStyle name="Normal 2 2 4 20 3 2" xfId="23311" xr:uid="{00000000-0005-0000-0000-00000F5B0000}"/>
    <cellStyle name="Normal 2 2 4 20 3 3" xfId="23312" xr:uid="{00000000-0005-0000-0000-0000105B0000}"/>
    <cellStyle name="Normal 2 2 4 20 3 4" xfId="23313" xr:uid="{00000000-0005-0000-0000-0000115B0000}"/>
    <cellStyle name="Normal 2 2 4 20 3 5" xfId="23314" xr:uid="{00000000-0005-0000-0000-0000125B0000}"/>
    <cellStyle name="Normal 2 2 4 20 3 6" xfId="23315" xr:uid="{00000000-0005-0000-0000-0000135B0000}"/>
    <cellStyle name="Normal 2 2 4 20 3 7" xfId="23316" xr:uid="{00000000-0005-0000-0000-0000145B0000}"/>
    <cellStyle name="Normal 2 2 4 20 3 8" xfId="23317" xr:uid="{00000000-0005-0000-0000-0000155B0000}"/>
    <cellStyle name="Normal 2 2 4 20 3 9" xfId="23318" xr:uid="{00000000-0005-0000-0000-0000165B0000}"/>
    <cellStyle name="Normal 2 2 4 20 4" xfId="23319" xr:uid="{00000000-0005-0000-0000-0000175B0000}"/>
    <cellStyle name="Normal 2 2 4 20 4 10" xfId="23320" xr:uid="{00000000-0005-0000-0000-0000185B0000}"/>
    <cellStyle name="Normal 2 2 4 20 4 2" xfId="23321" xr:uid="{00000000-0005-0000-0000-0000195B0000}"/>
    <cellStyle name="Normal 2 2 4 20 4 3" xfId="23322" xr:uid="{00000000-0005-0000-0000-00001A5B0000}"/>
    <cellStyle name="Normal 2 2 4 20 4 4" xfId="23323" xr:uid="{00000000-0005-0000-0000-00001B5B0000}"/>
    <cellStyle name="Normal 2 2 4 20 4 5" xfId="23324" xr:uid="{00000000-0005-0000-0000-00001C5B0000}"/>
    <cellStyle name="Normal 2 2 4 20 4 6" xfId="23325" xr:uid="{00000000-0005-0000-0000-00001D5B0000}"/>
    <cellStyle name="Normal 2 2 4 20 4 7" xfId="23326" xr:uid="{00000000-0005-0000-0000-00001E5B0000}"/>
    <cellStyle name="Normal 2 2 4 20 4 8" xfId="23327" xr:uid="{00000000-0005-0000-0000-00001F5B0000}"/>
    <cellStyle name="Normal 2 2 4 20 4 9" xfId="23328" xr:uid="{00000000-0005-0000-0000-0000205B0000}"/>
    <cellStyle name="Normal 2 2 4 20 5" xfId="23329" xr:uid="{00000000-0005-0000-0000-0000215B0000}"/>
    <cellStyle name="Normal 2 2 4 20 5 10" xfId="23330" xr:uid="{00000000-0005-0000-0000-0000225B0000}"/>
    <cellStyle name="Normal 2 2 4 20 5 2" xfId="23331" xr:uid="{00000000-0005-0000-0000-0000235B0000}"/>
    <cellStyle name="Normal 2 2 4 20 5 3" xfId="23332" xr:uid="{00000000-0005-0000-0000-0000245B0000}"/>
    <cellStyle name="Normal 2 2 4 20 5 4" xfId="23333" xr:uid="{00000000-0005-0000-0000-0000255B0000}"/>
    <cellStyle name="Normal 2 2 4 20 5 5" xfId="23334" xr:uid="{00000000-0005-0000-0000-0000265B0000}"/>
    <cellStyle name="Normal 2 2 4 20 5 6" xfId="23335" xr:uid="{00000000-0005-0000-0000-0000275B0000}"/>
    <cellStyle name="Normal 2 2 4 20 5 7" xfId="23336" xr:uid="{00000000-0005-0000-0000-0000285B0000}"/>
    <cellStyle name="Normal 2 2 4 20 5 8" xfId="23337" xr:uid="{00000000-0005-0000-0000-0000295B0000}"/>
    <cellStyle name="Normal 2 2 4 20 5 9" xfId="23338" xr:uid="{00000000-0005-0000-0000-00002A5B0000}"/>
    <cellStyle name="Normal 2 2 4 20 6" xfId="23339" xr:uid="{00000000-0005-0000-0000-00002B5B0000}"/>
    <cellStyle name="Normal 2 2 4 20 7" xfId="23340" xr:uid="{00000000-0005-0000-0000-00002C5B0000}"/>
    <cellStyle name="Normal 2 2 4 20 8" xfId="23341" xr:uid="{00000000-0005-0000-0000-00002D5B0000}"/>
    <cellStyle name="Normal 2 2 4 20 9" xfId="23342" xr:uid="{00000000-0005-0000-0000-00002E5B0000}"/>
    <cellStyle name="Normal 2 2 4 21" xfId="23343" xr:uid="{00000000-0005-0000-0000-00002F5B0000}"/>
    <cellStyle name="Normal 2 2 4 21 10" xfId="23344" xr:uid="{00000000-0005-0000-0000-0000305B0000}"/>
    <cellStyle name="Normal 2 2 4 21 11" xfId="23345" xr:uid="{00000000-0005-0000-0000-0000315B0000}"/>
    <cellStyle name="Normal 2 2 4 21 12" xfId="23346" xr:uid="{00000000-0005-0000-0000-0000325B0000}"/>
    <cellStyle name="Normal 2 2 4 21 13" xfId="23347" xr:uid="{00000000-0005-0000-0000-0000335B0000}"/>
    <cellStyle name="Normal 2 2 4 21 14" xfId="23348" xr:uid="{00000000-0005-0000-0000-0000345B0000}"/>
    <cellStyle name="Normal 2 2 4 21 2" xfId="23349" xr:uid="{00000000-0005-0000-0000-0000355B0000}"/>
    <cellStyle name="Normal 2 2 4 21 2 10" xfId="23350" xr:uid="{00000000-0005-0000-0000-0000365B0000}"/>
    <cellStyle name="Normal 2 2 4 21 2 2" xfId="23351" xr:uid="{00000000-0005-0000-0000-0000375B0000}"/>
    <cellStyle name="Normal 2 2 4 21 2 3" xfId="23352" xr:uid="{00000000-0005-0000-0000-0000385B0000}"/>
    <cellStyle name="Normal 2 2 4 21 2 4" xfId="23353" xr:uid="{00000000-0005-0000-0000-0000395B0000}"/>
    <cellStyle name="Normal 2 2 4 21 2 5" xfId="23354" xr:uid="{00000000-0005-0000-0000-00003A5B0000}"/>
    <cellStyle name="Normal 2 2 4 21 2 6" xfId="23355" xr:uid="{00000000-0005-0000-0000-00003B5B0000}"/>
    <cellStyle name="Normal 2 2 4 21 2 7" xfId="23356" xr:uid="{00000000-0005-0000-0000-00003C5B0000}"/>
    <cellStyle name="Normal 2 2 4 21 2 8" xfId="23357" xr:uid="{00000000-0005-0000-0000-00003D5B0000}"/>
    <cellStyle name="Normal 2 2 4 21 2 9" xfId="23358" xr:uid="{00000000-0005-0000-0000-00003E5B0000}"/>
    <cellStyle name="Normal 2 2 4 21 3" xfId="23359" xr:uid="{00000000-0005-0000-0000-00003F5B0000}"/>
    <cellStyle name="Normal 2 2 4 21 3 10" xfId="23360" xr:uid="{00000000-0005-0000-0000-0000405B0000}"/>
    <cellStyle name="Normal 2 2 4 21 3 2" xfId="23361" xr:uid="{00000000-0005-0000-0000-0000415B0000}"/>
    <cellStyle name="Normal 2 2 4 21 3 3" xfId="23362" xr:uid="{00000000-0005-0000-0000-0000425B0000}"/>
    <cellStyle name="Normal 2 2 4 21 3 4" xfId="23363" xr:uid="{00000000-0005-0000-0000-0000435B0000}"/>
    <cellStyle name="Normal 2 2 4 21 3 5" xfId="23364" xr:uid="{00000000-0005-0000-0000-0000445B0000}"/>
    <cellStyle name="Normal 2 2 4 21 3 6" xfId="23365" xr:uid="{00000000-0005-0000-0000-0000455B0000}"/>
    <cellStyle name="Normal 2 2 4 21 3 7" xfId="23366" xr:uid="{00000000-0005-0000-0000-0000465B0000}"/>
    <cellStyle name="Normal 2 2 4 21 3 8" xfId="23367" xr:uid="{00000000-0005-0000-0000-0000475B0000}"/>
    <cellStyle name="Normal 2 2 4 21 3 9" xfId="23368" xr:uid="{00000000-0005-0000-0000-0000485B0000}"/>
    <cellStyle name="Normal 2 2 4 21 4" xfId="23369" xr:uid="{00000000-0005-0000-0000-0000495B0000}"/>
    <cellStyle name="Normal 2 2 4 21 4 10" xfId="23370" xr:uid="{00000000-0005-0000-0000-00004A5B0000}"/>
    <cellStyle name="Normal 2 2 4 21 4 2" xfId="23371" xr:uid="{00000000-0005-0000-0000-00004B5B0000}"/>
    <cellStyle name="Normal 2 2 4 21 4 3" xfId="23372" xr:uid="{00000000-0005-0000-0000-00004C5B0000}"/>
    <cellStyle name="Normal 2 2 4 21 4 4" xfId="23373" xr:uid="{00000000-0005-0000-0000-00004D5B0000}"/>
    <cellStyle name="Normal 2 2 4 21 4 5" xfId="23374" xr:uid="{00000000-0005-0000-0000-00004E5B0000}"/>
    <cellStyle name="Normal 2 2 4 21 4 6" xfId="23375" xr:uid="{00000000-0005-0000-0000-00004F5B0000}"/>
    <cellStyle name="Normal 2 2 4 21 4 7" xfId="23376" xr:uid="{00000000-0005-0000-0000-0000505B0000}"/>
    <cellStyle name="Normal 2 2 4 21 4 8" xfId="23377" xr:uid="{00000000-0005-0000-0000-0000515B0000}"/>
    <cellStyle name="Normal 2 2 4 21 4 9" xfId="23378" xr:uid="{00000000-0005-0000-0000-0000525B0000}"/>
    <cellStyle name="Normal 2 2 4 21 5" xfId="23379" xr:uid="{00000000-0005-0000-0000-0000535B0000}"/>
    <cellStyle name="Normal 2 2 4 21 5 10" xfId="23380" xr:uid="{00000000-0005-0000-0000-0000545B0000}"/>
    <cellStyle name="Normal 2 2 4 21 5 2" xfId="23381" xr:uid="{00000000-0005-0000-0000-0000555B0000}"/>
    <cellStyle name="Normal 2 2 4 21 5 3" xfId="23382" xr:uid="{00000000-0005-0000-0000-0000565B0000}"/>
    <cellStyle name="Normal 2 2 4 21 5 4" xfId="23383" xr:uid="{00000000-0005-0000-0000-0000575B0000}"/>
    <cellStyle name="Normal 2 2 4 21 5 5" xfId="23384" xr:uid="{00000000-0005-0000-0000-0000585B0000}"/>
    <cellStyle name="Normal 2 2 4 21 5 6" xfId="23385" xr:uid="{00000000-0005-0000-0000-0000595B0000}"/>
    <cellStyle name="Normal 2 2 4 21 5 7" xfId="23386" xr:uid="{00000000-0005-0000-0000-00005A5B0000}"/>
    <cellStyle name="Normal 2 2 4 21 5 8" xfId="23387" xr:uid="{00000000-0005-0000-0000-00005B5B0000}"/>
    <cellStyle name="Normal 2 2 4 21 5 9" xfId="23388" xr:uid="{00000000-0005-0000-0000-00005C5B0000}"/>
    <cellStyle name="Normal 2 2 4 21 6" xfId="23389" xr:uid="{00000000-0005-0000-0000-00005D5B0000}"/>
    <cellStyle name="Normal 2 2 4 21 7" xfId="23390" xr:uid="{00000000-0005-0000-0000-00005E5B0000}"/>
    <cellStyle name="Normal 2 2 4 21 8" xfId="23391" xr:uid="{00000000-0005-0000-0000-00005F5B0000}"/>
    <cellStyle name="Normal 2 2 4 21 9" xfId="23392" xr:uid="{00000000-0005-0000-0000-0000605B0000}"/>
    <cellStyle name="Normal 2 2 4 22" xfId="23393" xr:uid="{00000000-0005-0000-0000-0000615B0000}"/>
    <cellStyle name="Normal 2 2 4 22 10" xfId="23394" xr:uid="{00000000-0005-0000-0000-0000625B0000}"/>
    <cellStyle name="Normal 2 2 4 22 11" xfId="23395" xr:uid="{00000000-0005-0000-0000-0000635B0000}"/>
    <cellStyle name="Normal 2 2 4 22 12" xfId="23396" xr:uid="{00000000-0005-0000-0000-0000645B0000}"/>
    <cellStyle name="Normal 2 2 4 22 13" xfId="23397" xr:uid="{00000000-0005-0000-0000-0000655B0000}"/>
    <cellStyle name="Normal 2 2 4 22 14" xfId="23398" xr:uid="{00000000-0005-0000-0000-0000665B0000}"/>
    <cellStyle name="Normal 2 2 4 22 2" xfId="23399" xr:uid="{00000000-0005-0000-0000-0000675B0000}"/>
    <cellStyle name="Normal 2 2 4 22 2 10" xfId="23400" xr:uid="{00000000-0005-0000-0000-0000685B0000}"/>
    <cellStyle name="Normal 2 2 4 22 2 2" xfId="23401" xr:uid="{00000000-0005-0000-0000-0000695B0000}"/>
    <cellStyle name="Normal 2 2 4 22 2 3" xfId="23402" xr:uid="{00000000-0005-0000-0000-00006A5B0000}"/>
    <cellStyle name="Normal 2 2 4 22 2 4" xfId="23403" xr:uid="{00000000-0005-0000-0000-00006B5B0000}"/>
    <cellStyle name="Normal 2 2 4 22 2 5" xfId="23404" xr:uid="{00000000-0005-0000-0000-00006C5B0000}"/>
    <cellStyle name="Normal 2 2 4 22 2 6" xfId="23405" xr:uid="{00000000-0005-0000-0000-00006D5B0000}"/>
    <cellStyle name="Normal 2 2 4 22 2 7" xfId="23406" xr:uid="{00000000-0005-0000-0000-00006E5B0000}"/>
    <cellStyle name="Normal 2 2 4 22 2 8" xfId="23407" xr:uid="{00000000-0005-0000-0000-00006F5B0000}"/>
    <cellStyle name="Normal 2 2 4 22 2 9" xfId="23408" xr:uid="{00000000-0005-0000-0000-0000705B0000}"/>
    <cellStyle name="Normal 2 2 4 22 3" xfId="23409" xr:uid="{00000000-0005-0000-0000-0000715B0000}"/>
    <cellStyle name="Normal 2 2 4 22 3 10" xfId="23410" xr:uid="{00000000-0005-0000-0000-0000725B0000}"/>
    <cellStyle name="Normal 2 2 4 22 3 2" xfId="23411" xr:uid="{00000000-0005-0000-0000-0000735B0000}"/>
    <cellStyle name="Normal 2 2 4 22 3 3" xfId="23412" xr:uid="{00000000-0005-0000-0000-0000745B0000}"/>
    <cellStyle name="Normal 2 2 4 22 3 4" xfId="23413" xr:uid="{00000000-0005-0000-0000-0000755B0000}"/>
    <cellStyle name="Normal 2 2 4 22 3 5" xfId="23414" xr:uid="{00000000-0005-0000-0000-0000765B0000}"/>
    <cellStyle name="Normal 2 2 4 22 3 6" xfId="23415" xr:uid="{00000000-0005-0000-0000-0000775B0000}"/>
    <cellStyle name="Normal 2 2 4 22 3 7" xfId="23416" xr:uid="{00000000-0005-0000-0000-0000785B0000}"/>
    <cellStyle name="Normal 2 2 4 22 3 8" xfId="23417" xr:uid="{00000000-0005-0000-0000-0000795B0000}"/>
    <cellStyle name="Normal 2 2 4 22 3 9" xfId="23418" xr:uid="{00000000-0005-0000-0000-00007A5B0000}"/>
    <cellStyle name="Normal 2 2 4 22 4" xfId="23419" xr:uid="{00000000-0005-0000-0000-00007B5B0000}"/>
    <cellStyle name="Normal 2 2 4 22 4 10" xfId="23420" xr:uid="{00000000-0005-0000-0000-00007C5B0000}"/>
    <cellStyle name="Normal 2 2 4 22 4 2" xfId="23421" xr:uid="{00000000-0005-0000-0000-00007D5B0000}"/>
    <cellStyle name="Normal 2 2 4 22 4 3" xfId="23422" xr:uid="{00000000-0005-0000-0000-00007E5B0000}"/>
    <cellStyle name="Normal 2 2 4 22 4 4" xfId="23423" xr:uid="{00000000-0005-0000-0000-00007F5B0000}"/>
    <cellStyle name="Normal 2 2 4 22 4 5" xfId="23424" xr:uid="{00000000-0005-0000-0000-0000805B0000}"/>
    <cellStyle name="Normal 2 2 4 22 4 6" xfId="23425" xr:uid="{00000000-0005-0000-0000-0000815B0000}"/>
    <cellStyle name="Normal 2 2 4 22 4 7" xfId="23426" xr:uid="{00000000-0005-0000-0000-0000825B0000}"/>
    <cellStyle name="Normal 2 2 4 22 4 8" xfId="23427" xr:uid="{00000000-0005-0000-0000-0000835B0000}"/>
    <cellStyle name="Normal 2 2 4 22 4 9" xfId="23428" xr:uid="{00000000-0005-0000-0000-0000845B0000}"/>
    <cellStyle name="Normal 2 2 4 22 5" xfId="23429" xr:uid="{00000000-0005-0000-0000-0000855B0000}"/>
    <cellStyle name="Normal 2 2 4 22 5 10" xfId="23430" xr:uid="{00000000-0005-0000-0000-0000865B0000}"/>
    <cellStyle name="Normal 2 2 4 22 5 2" xfId="23431" xr:uid="{00000000-0005-0000-0000-0000875B0000}"/>
    <cellStyle name="Normal 2 2 4 22 5 3" xfId="23432" xr:uid="{00000000-0005-0000-0000-0000885B0000}"/>
    <cellStyle name="Normal 2 2 4 22 5 4" xfId="23433" xr:uid="{00000000-0005-0000-0000-0000895B0000}"/>
    <cellStyle name="Normal 2 2 4 22 5 5" xfId="23434" xr:uid="{00000000-0005-0000-0000-00008A5B0000}"/>
    <cellStyle name="Normal 2 2 4 22 5 6" xfId="23435" xr:uid="{00000000-0005-0000-0000-00008B5B0000}"/>
    <cellStyle name="Normal 2 2 4 22 5 7" xfId="23436" xr:uid="{00000000-0005-0000-0000-00008C5B0000}"/>
    <cellStyle name="Normal 2 2 4 22 5 8" xfId="23437" xr:uid="{00000000-0005-0000-0000-00008D5B0000}"/>
    <cellStyle name="Normal 2 2 4 22 5 9" xfId="23438" xr:uid="{00000000-0005-0000-0000-00008E5B0000}"/>
    <cellStyle name="Normal 2 2 4 22 6" xfId="23439" xr:uid="{00000000-0005-0000-0000-00008F5B0000}"/>
    <cellStyle name="Normal 2 2 4 22 7" xfId="23440" xr:uid="{00000000-0005-0000-0000-0000905B0000}"/>
    <cellStyle name="Normal 2 2 4 22 8" xfId="23441" xr:uid="{00000000-0005-0000-0000-0000915B0000}"/>
    <cellStyle name="Normal 2 2 4 22 9" xfId="23442" xr:uid="{00000000-0005-0000-0000-0000925B0000}"/>
    <cellStyle name="Normal 2 2 4 23" xfId="23443" xr:uid="{00000000-0005-0000-0000-0000935B0000}"/>
    <cellStyle name="Normal 2 2 4 23 10" xfId="23444" xr:uid="{00000000-0005-0000-0000-0000945B0000}"/>
    <cellStyle name="Normal 2 2 4 23 11" xfId="23445" xr:uid="{00000000-0005-0000-0000-0000955B0000}"/>
    <cellStyle name="Normal 2 2 4 23 12" xfId="23446" xr:uid="{00000000-0005-0000-0000-0000965B0000}"/>
    <cellStyle name="Normal 2 2 4 23 13" xfId="23447" xr:uid="{00000000-0005-0000-0000-0000975B0000}"/>
    <cellStyle name="Normal 2 2 4 23 14" xfId="23448" xr:uid="{00000000-0005-0000-0000-0000985B0000}"/>
    <cellStyle name="Normal 2 2 4 23 2" xfId="23449" xr:uid="{00000000-0005-0000-0000-0000995B0000}"/>
    <cellStyle name="Normal 2 2 4 23 2 10" xfId="23450" xr:uid="{00000000-0005-0000-0000-00009A5B0000}"/>
    <cellStyle name="Normal 2 2 4 23 2 2" xfId="23451" xr:uid="{00000000-0005-0000-0000-00009B5B0000}"/>
    <cellStyle name="Normal 2 2 4 23 2 3" xfId="23452" xr:uid="{00000000-0005-0000-0000-00009C5B0000}"/>
    <cellStyle name="Normal 2 2 4 23 2 4" xfId="23453" xr:uid="{00000000-0005-0000-0000-00009D5B0000}"/>
    <cellStyle name="Normal 2 2 4 23 2 5" xfId="23454" xr:uid="{00000000-0005-0000-0000-00009E5B0000}"/>
    <cellStyle name="Normal 2 2 4 23 2 6" xfId="23455" xr:uid="{00000000-0005-0000-0000-00009F5B0000}"/>
    <cellStyle name="Normal 2 2 4 23 2 7" xfId="23456" xr:uid="{00000000-0005-0000-0000-0000A05B0000}"/>
    <cellStyle name="Normal 2 2 4 23 2 8" xfId="23457" xr:uid="{00000000-0005-0000-0000-0000A15B0000}"/>
    <cellStyle name="Normal 2 2 4 23 2 9" xfId="23458" xr:uid="{00000000-0005-0000-0000-0000A25B0000}"/>
    <cellStyle name="Normal 2 2 4 23 3" xfId="23459" xr:uid="{00000000-0005-0000-0000-0000A35B0000}"/>
    <cellStyle name="Normal 2 2 4 23 3 10" xfId="23460" xr:uid="{00000000-0005-0000-0000-0000A45B0000}"/>
    <cellStyle name="Normal 2 2 4 23 3 2" xfId="23461" xr:uid="{00000000-0005-0000-0000-0000A55B0000}"/>
    <cellStyle name="Normal 2 2 4 23 3 3" xfId="23462" xr:uid="{00000000-0005-0000-0000-0000A65B0000}"/>
    <cellStyle name="Normal 2 2 4 23 3 4" xfId="23463" xr:uid="{00000000-0005-0000-0000-0000A75B0000}"/>
    <cellStyle name="Normal 2 2 4 23 3 5" xfId="23464" xr:uid="{00000000-0005-0000-0000-0000A85B0000}"/>
    <cellStyle name="Normal 2 2 4 23 3 6" xfId="23465" xr:uid="{00000000-0005-0000-0000-0000A95B0000}"/>
    <cellStyle name="Normal 2 2 4 23 3 7" xfId="23466" xr:uid="{00000000-0005-0000-0000-0000AA5B0000}"/>
    <cellStyle name="Normal 2 2 4 23 3 8" xfId="23467" xr:uid="{00000000-0005-0000-0000-0000AB5B0000}"/>
    <cellStyle name="Normal 2 2 4 23 3 9" xfId="23468" xr:uid="{00000000-0005-0000-0000-0000AC5B0000}"/>
    <cellStyle name="Normal 2 2 4 23 4" xfId="23469" xr:uid="{00000000-0005-0000-0000-0000AD5B0000}"/>
    <cellStyle name="Normal 2 2 4 23 4 10" xfId="23470" xr:uid="{00000000-0005-0000-0000-0000AE5B0000}"/>
    <cellStyle name="Normal 2 2 4 23 4 2" xfId="23471" xr:uid="{00000000-0005-0000-0000-0000AF5B0000}"/>
    <cellStyle name="Normal 2 2 4 23 4 3" xfId="23472" xr:uid="{00000000-0005-0000-0000-0000B05B0000}"/>
    <cellStyle name="Normal 2 2 4 23 4 4" xfId="23473" xr:uid="{00000000-0005-0000-0000-0000B15B0000}"/>
    <cellStyle name="Normal 2 2 4 23 4 5" xfId="23474" xr:uid="{00000000-0005-0000-0000-0000B25B0000}"/>
    <cellStyle name="Normal 2 2 4 23 4 6" xfId="23475" xr:uid="{00000000-0005-0000-0000-0000B35B0000}"/>
    <cellStyle name="Normal 2 2 4 23 4 7" xfId="23476" xr:uid="{00000000-0005-0000-0000-0000B45B0000}"/>
    <cellStyle name="Normal 2 2 4 23 4 8" xfId="23477" xr:uid="{00000000-0005-0000-0000-0000B55B0000}"/>
    <cellStyle name="Normal 2 2 4 23 4 9" xfId="23478" xr:uid="{00000000-0005-0000-0000-0000B65B0000}"/>
    <cellStyle name="Normal 2 2 4 23 5" xfId="23479" xr:uid="{00000000-0005-0000-0000-0000B75B0000}"/>
    <cellStyle name="Normal 2 2 4 23 5 10" xfId="23480" xr:uid="{00000000-0005-0000-0000-0000B85B0000}"/>
    <cellStyle name="Normal 2 2 4 23 5 2" xfId="23481" xr:uid="{00000000-0005-0000-0000-0000B95B0000}"/>
    <cellStyle name="Normal 2 2 4 23 5 3" xfId="23482" xr:uid="{00000000-0005-0000-0000-0000BA5B0000}"/>
    <cellStyle name="Normal 2 2 4 23 5 4" xfId="23483" xr:uid="{00000000-0005-0000-0000-0000BB5B0000}"/>
    <cellStyle name="Normal 2 2 4 23 5 5" xfId="23484" xr:uid="{00000000-0005-0000-0000-0000BC5B0000}"/>
    <cellStyle name="Normal 2 2 4 23 5 6" xfId="23485" xr:uid="{00000000-0005-0000-0000-0000BD5B0000}"/>
    <cellStyle name="Normal 2 2 4 23 5 7" xfId="23486" xr:uid="{00000000-0005-0000-0000-0000BE5B0000}"/>
    <cellStyle name="Normal 2 2 4 23 5 8" xfId="23487" xr:uid="{00000000-0005-0000-0000-0000BF5B0000}"/>
    <cellStyle name="Normal 2 2 4 23 5 9" xfId="23488" xr:uid="{00000000-0005-0000-0000-0000C05B0000}"/>
    <cellStyle name="Normal 2 2 4 23 6" xfId="23489" xr:uid="{00000000-0005-0000-0000-0000C15B0000}"/>
    <cellStyle name="Normal 2 2 4 23 7" xfId="23490" xr:uid="{00000000-0005-0000-0000-0000C25B0000}"/>
    <cellStyle name="Normal 2 2 4 23 8" xfId="23491" xr:uid="{00000000-0005-0000-0000-0000C35B0000}"/>
    <cellStyle name="Normal 2 2 4 23 9" xfId="23492" xr:uid="{00000000-0005-0000-0000-0000C45B0000}"/>
    <cellStyle name="Normal 2 2 4 24" xfId="23493" xr:uid="{00000000-0005-0000-0000-0000C55B0000}"/>
    <cellStyle name="Normal 2 2 4 24 10" xfId="23494" xr:uid="{00000000-0005-0000-0000-0000C65B0000}"/>
    <cellStyle name="Normal 2 2 4 24 11" xfId="23495" xr:uid="{00000000-0005-0000-0000-0000C75B0000}"/>
    <cellStyle name="Normal 2 2 4 24 12" xfId="23496" xr:uid="{00000000-0005-0000-0000-0000C85B0000}"/>
    <cellStyle name="Normal 2 2 4 24 13" xfId="23497" xr:uid="{00000000-0005-0000-0000-0000C95B0000}"/>
    <cellStyle name="Normal 2 2 4 24 14" xfId="23498" xr:uid="{00000000-0005-0000-0000-0000CA5B0000}"/>
    <cellStyle name="Normal 2 2 4 24 2" xfId="23499" xr:uid="{00000000-0005-0000-0000-0000CB5B0000}"/>
    <cellStyle name="Normal 2 2 4 24 2 10" xfId="23500" xr:uid="{00000000-0005-0000-0000-0000CC5B0000}"/>
    <cellStyle name="Normal 2 2 4 24 2 2" xfId="23501" xr:uid="{00000000-0005-0000-0000-0000CD5B0000}"/>
    <cellStyle name="Normal 2 2 4 24 2 3" xfId="23502" xr:uid="{00000000-0005-0000-0000-0000CE5B0000}"/>
    <cellStyle name="Normal 2 2 4 24 2 4" xfId="23503" xr:uid="{00000000-0005-0000-0000-0000CF5B0000}"/>
    <cellStyle name="Normal 2 2 4 24 2 5" xfId="23504" xr:uid="{00000000-0005-0000-0000-0000D05B0000}"/>
    <cellStyle name="Normal 2 2 4 24 2 6" xfId="23505" xr:uid="{00000000-0005-0000-0000-0000D15B0000}"/>
    <cellStyle name="Normal 2 2 4 24 2 7" xfId="23506" xr:uid="{00000000-0005-0000-0000-0000D25B0000}"/>
    <cellStyle name="Normal 2 2 4 24 2 8" xfId="23507" xr:uid="{00000000-0005-0000-0000-0000D35B0000}"/>
    <cellStyle name="Normal 2 2 4 24 2 9" xfId="23508" xr:uid="{00000000-0005-0000-0000-0000D45B0000}"/>
    <cellStyle name="Normal 2 2 4 24 3" xfId="23509" xr:uid="{00000000-0005-0000-0000-0000D55B0000}"/>
    <cellStyle name="Normal 2 2 4 24 3 10" xfId="23510" xr:uid="{00000000-0005-0000-0000-0000D65B0000}"/>
    <cellStyle name="Normal 2 2 4 24 3 2" xfId="23511" xr:uid="{00000000-0005-0000-0000-0000D75B0000}"/>
    <cellStyle name="Normal 2 2 4 24 3 3" xfId="23512" xr:uid="{00000000-0005-0000-0000-0000D85B0000}"/>
    <cellStyle name="Normal 2 2 4 24 3 4" xfId="23513" xr:uid="{00000000-0005-0000-0000-0000D95B0000}"/>
    <cellStyle name="Normal 2 2 4 24 3 5" xfId="23514" xr:uid="{00000000-0005-0000-0000-0000DA5B0000}"/>
    <cellStyle name="Normal 2 2 4 24 3 6" xfId="23515" xr:uid="{00000000-0005-0000-0000-0000DB5B0000}"/>
    <cellStyle name="Normal 2 2 4 24 3 7" xfId="23516" xr:uid="{00000000-0005-0000-0000-0000DC5B0000}"/>
    <cellStyle name="Normal 2 2 4 24 3 8" xfId="23517" xr:uid="{00000000-0005-0000-0000-0000DD5B0000}"/>
    <cellStyle name="Normal 2 2 4 24 3 9" xfId="23518" xr:uid="{00000000-0005-0000-0000-0000DE5B0000}"/>
    <cellStyle name="Normal 2 2 4 24 4" xfId="23519" xr:uid="{00000000-0005-0000-0000-0000DF5B0000}"/>
    <cellStyle name="Normal 2 2 4 24 4 10" xfId="23520" xr:uid="{00000000-0005-0000-0000-0000E05B0000}"/>
    <cellStyle name="Normal 2 2 4 24 4 2" xfId="23521" xr:uid="{00000000-0005-0000-0000-0000E15B0000}"/>
    <cellStyle name="Normal 2 2 4 24 4 3" xfId="23522" xr:uid="{00000000-0005-0000-0000-0000E25B0000}"/>
    <cellStyle name="Normal 2 2 4 24 4 4" xfId="23523" xr:uid="{00000000-0005-0000-0000-0000E35B0000}"/>
    <cellStyle name="Normal 2 2 4 24 4 5" xfId="23524" xr:uid="{00000000-0005-0000-0000-0000E45B0000}"/>
    <cellStyle name="Normal 2 2 4 24 4 6" xfId="23525" xr:uid="{00000000-0005-0000-0000-0000E55B0000}"/>
    <cellStyle name="Normal 2 2 4 24 4 7" xfId="23526" xr:uid="{00000000-0005-0000-0000-0000E65B0000}"/>
    <cellStyle name="Normal 2 2 4 24 4 8" xfId="23527" xr:uid="{00000000-0005-0000-0000-0000E75B0000}"/>
    <cellStyle name="Normal 2 2 4 24 4 9" xfId="23528" xr:uid="{00000000-0005-0000-0000-0000E85B0000}"/>
    <cellStyle name="Normal 2 2 4 24 5" xfId="23529" xr:uid="{00000000-0005-0000-0000-0000E95B0000}"/>
    <cellStyle name="Normal 2 2 4 24 5 10" xfId="23530" xr:uid="{00000000-0005-0000-0000-0000EA5B0000}"/>
    <cellStyle name="Normal 2 2 4 24 5 2" xfId="23531" xr:uid="{00000000-0005-0000-0000-0000EB5B0000}"/>
    <cellStyle name="Normal 2 2 4 24 5 3" xfId="23532" xr:uid="{00000000-0005-0000-0000-0000EC5B0000}"/>
    <cellStyle name="Normal 2 2 4 24 5 4" xfId="23533" xr:uid="{00000000-0005-0000-0000-0000ED5B0000}"/>
    <cellStyle name="Normal 2 2 4 24 5 5" xfId="23534" xr:uid="{00000000-0005-0000-0000-0000EE5B0000}"/>
    <cellStyle name="Normal 2 2 4 24 5 6" xfId="23535" xr:uid="{00000000-0005-0000-0000-0000EF5B0000}"/>
    <cellStyle name="Normal 2 2 4 24 5 7" xfId="23536" xr:uid="{00000000-0005-0000-0000-0000F05B0000}"/>
    <cellStyle name="Normal 2 2 4 24 5 8" xfId="23537" xr:uid="{00000000-0005-0000-0000-0000F15B0000}"/>
    <cellStyle name="Normal 2 2 4 24 5 9" xfId="23538" xr:uid="{00000000-0005-0000-0000-0000F25B0000}"/>
    <cellStyle name="Normal 2 2 4 24 6" xfId="23539" xr:uid="{00000000-0005-0000-0000-0000F35B0000}"/>
    <cellStyle name="Normal 2 2 4 24 7" xfId="23540" xr:uid="{00000000-0005-0000-0000-0000F45B0000}"/>
    <cellStyle name="Normal 2 2 4 24 8" xfId="23541" xr:uid="{00000000-0005-0000-0000-0000F55B0000}"/>
    <cellStyle name="Normal 2 2 4 24 9" xfId="23542" xr:uid="{00000000-0005-0000-0000-0000F65B0000}"/>
    <cellStyle name="Normal 2 2 4 25" xfId="23543" xr:uid="{00000000-0005-0000-0000-0000F75B0000}"/>
    <cellStyle name="Normal 2 2 4 25 10" xfId="23544" xr:uid="{00000000-0005-0000-0000-0000F85B0000}"/>
    <cellStyle name="Normal 2 2 4 25 11" xfId="23545" xr:uid="{00000000-0005-0000-0000-0000F95B0000}"/>
    <cellStyle name="Normal 2 2 4 25 12" xfId="23546" xr:uid="{00000000-0005-0000-0000-0000FA5B0000}"/>
    <cellStyle name="Normal 2 2 4 25 13" xfId="23547" xr:uid="{00000000-0005-0000-0000-0000FB5B0000}"/>
    <cellStyle name="Normal 2 2 4 25 14" xfId="23548" xr:uid="{00000000-0005-0000-0000-0000FC5B0000}"/>
    <cellStyle name="Normal 2 2 4 25 2" xfId="23549" xr:uid="{00000000-0005-0000-0000-0000FD5B0000}"/>
    <cellStyle name="Normal 2 2 4 25 2 10" xfId="23550" xr:uid="{00000000-0005-0000-0000-0000FE5B0000}"/>
    <cellStyle name="Normal 2 2 4 25 2 2" xfId="23551" xr:uid="{00000000-0005-0000-0000-0000FF5B0000}"/>
    <cellStyle name="Normal 2 2 4 25 2 3" xfId="23552" xr:uid="{00000000-0005-0000-0000-0000005C0000}"/>
    <cellStyle name="Normal 2 2 4 25 2 4" xfId="23553" xr:uid="{00000000-0005-0000-0000-0000015C0000}"/>
    <cellStyle name="Normal 2 2 4 25 2 5" xfId="23554" xr:uid="{00000000-0005-0000-0000-0000025C0000}"/>
    <cellStyle name="Normal 2 2 4 25 2 6" xfId="23555" xr:uid="{00000000-0005-0000-0000-0000035C0000}"/>
    <cellStyle name="Normal 2 2 4 25 2 7" xfId="23556" xr:uid="{00000000-0005-0000-0000-0000045C0000}"/>
    <cellStyle name="Normal 2 2 4 25 2 8" xfId="23557" xr:uid="{00000000-0005-0000-0000-0000055C0000}"/>
    <cellStyle name="Normal 2 2 4 25 2 9" xfId="23558" xr:uid="{00000000-0005-0000-0000-0000065C0000}"/>
    <cellStyle name="Normal 2 2 4 25 3" xfId="23559" xr:uid="{00000000-0005-0000-0000-0000075C0000}"/>
    <cellStyle name="Normal 2 2 4 25 3 10" xfId="23560" xr:uid="{00000000-0005-0000-0000-0000085C0000}"/>
    <cellStyle name="Normal 2 2 4 25 3 2" xfId="23561" xr:uid="{00000000-0005-0000-0000-0000095C0000}"/>
    <cellStyle name="Normal 2 2 4 25 3 3" xfId="23562" xr:uid="{00000000-0005-0000-0000-00000A5C0000}"/>
    <cellStyle name="Normal 2 2 4 25 3 4" xfId="23563" xr:uid="{00000000-0005-0000-0000-00000B5C0000}"/>
    <cellStyle name="Normal 2 2 4 25 3 5" xfId="23564" xr:uid="{00000000-0005-0000-0000-00000C5C0000}"/>
    <cellStyle name="Normal 2 2 4 25 3 6" xfId="23565" xr:uid="{00000000-0005-0000-0000-00000D5C0000}"/>
    <cellStyle name="Normal 2 2 4 25 3 7" xfId="23566" xr:uid="{00000000-0005-0000-0000-00000E5C0000}"/>
    <cellStyle name="Normal 2 2 4 25 3 8" xfId="23567" xr:uid="{00000000-0005-0000-0000-00000F5C0000}"/>
    <cellStyle name="Normal 2 2 4 25 3 9" xfId="23568" xr:uid="{00000000-0005-0000-0000-0000105C0000}"/>
    <cellStyle name="Normal 2 2 4 25 4" xfId="23569" xr:uid="{00000000-0005-0000-0000-0000115C0000}"/>
    <cellStyle name="Normal 2 2 4 25 4 10" xfId="23570" xr:uid="{00000000-0005-0000-0000-0000125C0000}"/>
    <cellStyle name="Normal 2 2 4 25 4 2" xfId="23571" xr:uid="{00000000-0005-0000-0000-0000135C0000}"/>
    <cellStyle name="Normal 2 2 4 25 4 3" xfId="23572" xr:uid="{00000000-0005-0000-0000-0000145C0000}"/>
    <cellStyle name="Normal 2 2 4 25 4 4" xfId="23573" xr:uid="{00000000-0005-0000-0000-0000155C0000}"/>
    <cellStyle name="Normal 2 2 4 25 4 5" xfId="23574" xr:uid="{00000000-0005-0000-0000-0000165C0000}"/>
    <cellStyle name="Normal 2 2 4 25 4 6" xfId="23575" xr:uid="{00000000-0005-0000-0000-0000175C0000}"/>
    <cellStyle name="Normal 2 2 4 25 4 7" xfId="23576" xr:uid="{00000000-0005-0000-0000-0000185C0000}"/>
    <cellStyle name="Normal 2 2 4 25 4 8" xfId="23577" xr:uid="{00000000-0005-0000-0000-0000195C0000}"/>
    <cellStyle name="Normal 2 2 4 25 4 9" xfId="23578" xr:uid="{00000000-0005-0000-0000-00001A5C0000}"/>
    <cellStyle name="Normal 2 2 4 25 5" xfId="23579" xr:uid="{00000000-0005-0000-0000-00001B5C0000}"/>
    <cellStyle name="Normal 2 2 4 25 5 10" xfId="23580" xr:uid="{00000000-0005-0000-0000-00001C5C0000}"/>
    <cellStyle name="Normal 2 2 4 25 5 2" xfId="23581" xr:uid="{00000000-0005-0000-0000-00001D5C0000}"/>
    <cellStyle name="Normal 2 2 4 25 5 3" xfId="23582" xr:uid="{00000000-0005-0000-0000-00001E5C0000}"/>
    <cellStyle name="Normal 2 2 4 25 5 4" xfId="23583" xr:uid="{00000000-0005-0000-0000-00001F5C0000}"/>
    <cellStyle name="Normal 2 2 4 25 5 5" xfId="23584" xr:uid="{00000000-0005-0000-0000-0000205C0000}"/>
    <cellStyle name="Normal 2 2 4 25 5 6" xfId="23585" xr:uid="{00000000-0005-0000-0000-0000215C0000}"/>
    <cellStyle name="Normal 2 2 4 25 5 7" xfId="23586" xr:uid="{00000000-0005-0000-0000-0000225C0000}"/>
    <cellStyle name="Normal 2 2 4 25 5 8" xfId="23587" xr:uid="{00000000-0005-0000-0000-0000235C0000}"/>
    <cellStyle name="Normal 2 2 4 25 5 9" xfId="23588" xr:uid="{00000000-0005-0000-0000-0000245C0000}"/>
    <cellStyle name="Normal 2 2 4 25 6" xfId="23589" xr:uid="{00000000-0005-0000-0000-0000255C0000}"/>
    <cellStyle name="Normal 2 2 4 25 7" xfId="23590" xr:uid="{00000000-0005-0000-0000-0000265C0000}"/>
    <cellStyle name="Normal 2 2 4 25 8" xfId="23591" xr:uid="{00000000-0005-0000-0000-0000275C0000}"/>
    <cellStyle name="Normal 2 2 4 25 9" xfId="23592" xr:uid="{00000000-0005-0000-0000-0000285C0000}"/>
    <cellStyle name="Normal 2 2 4 26" xfId="23593" xr:uid="{00000000-0005-0000-0000-0000295C0000}"/>
    <cellStyle name="Normal 2 2 4 26 10" xfId="23594" xr:uid="{00000000-0005-0000-0000-00002A5C0000}"/>
    <cellStyle name="Normal 2 2 4 26 11" xfId="23595" xr:uid="{00000000-0005-0000-0000-00002B5C0000}"/>
    <cellStyle name="Normal 2 2 4 26 12" xfId="23596" xr:uid="{00000000-0005-0000-0000-00002C5C0000}"/>
    <cellStyle name="Normal 2 2 4 26 13" xfId="23597" xr:uid="{00000000-0005-0000-0000-00002D5C0000}"/>
    <cellStyle name="Normal 2 2 4 26 14" xfId="23598" xr:uid="{00000000-0005-0000-0000-00002E5C0000}"/>
    <cellStyle name="Normal 2 2 4 26 2" xfId="23599" xr:uid="{00000000-0005-0000-0000-00002F5C0000}"/>
    <cellStyle name="Normal 2 2 4 26 2 10" xfId="23600" xr:uid="{00000000-0005-0000-0000-0000305C0000}"/>
    <cellStyle name="Normal 2 2 4 26 2 2" xfId="23601" xr:uid="{00000000-0005-0000-0000-0000315C0000}"/>
    <cellStyle name="Normal 2 2 4 26 2 3" xfId="23602" xr:uid="{00000000-0005-0000-0000-0000325C0000}"/>
    <cellStyle name="Normal 2 2 4 26 2 4" xfId="23603" xr:uid="{00000000-0005-0000-0000-0000335C0000}"/>
    <cellStyle name="Normal 2 2 4 26 2 5" xfId="23604" xr:uid="{00000000-0005-0000-0000-0000345C0000}"/>
    <cellStyle name="Normal 2 2 4 26 2 6" xfId="23605" xr:uid="{00000000-0005-0000-0000-0000355C0000}"/>
    <cellStyle name="Normal 2 2 4 26 2 7" xfId="23606" xr:uid="{00000000-0005-0000-0000-0000365C0000}"/>
    <cellStyle name="Normal 2 2 4 26 2 8" xfId="23607" xr:uid="{00000000-0005-0000-0000-0000375C0000}"/>
    <cellStyle name="Normal 2 2 4 26 2 9" xfId="23608" xr:uid="{00000000-0005-0000-0000-0000385C0000}"/>
    <cellStyle name="Normal 2 2 4 26 3" xfId="23609" xr:uid="{00000000-0005-0000-0000-0000395C0000}"/>
    <cellStyle name="Normal 2 2 4 26 3 10" xfId="23610" xr:uid="{00000000-0005-0000-0000-00003A5C0000}"/>
    <cellStyle name="Normal 2 2 4 26 3 2" xfId="23611" xr:uid="{00000000-0005-0000-0000-00003B5C0000}"/>
    <cellStyle name="Normal 2 2 4 26 3 3" xfId="23612" xr:uid="{00000000-0005-0000-0000-00003C5C0000}"/>
    <cellStyle name="Normal 2 2 4 26 3 4" xfId="23613" xr:uid="{00000000-0005-0000-0000-00003D5C0000}"/>
    <cellStyle name="Normal 2 2 4 26 3 5" xfId="23614" xr:uid="{00000000-0005-0000-0000-00003E5C0000}"/>
    <cellStyle name="Normal 2 2 4 26 3 6" xfId="23615" xr:uid="{00000000-0005-0000-0000-00003F5C0000}"/>
    <cellStyle name="Normal 2 2 4 26 3 7" xfId="23616" xr:uid="{00000000-0005-0000-0000-0000405C0000}"/>
    <cellStyle name="Normal 2 2 4 26 3 8" xfId="23617" xr:uid="{00000000-0005-0000-0000-0000415C0000}"/>
    <cellStyle name="Normal 2 2 4 26 3 9" xfId="23618" xr:uid="{00000000-0005-0000-0000-0000425C0000}"/>
    <cellStyle name="Normal 2 2 4 26 4" xfId="23619" xr:uid="{00000000-0005-0000-0000-0000435C0000}"/>
    <cellStyle name="Normal 2 2 4 26 4 10" xfId="23620" xr:uid="{00000000-0005-0000-0000-0000445C0000}"/>
    <cellStyle name="Normal 2 2 4 26 4 2" xfId="23621" xr:uid="{00000000-0005-0000-0000-0000455C0000}"/>
    <cellStyle name="Normal 2 2 4 26 4 3" xfId="23622" xr:uid="{00000000-0005-0000-0000-0000465C0000}"/>
    <cellStyle name="Normal 2 2 4 26 4 4" xfId="23623" xr:uid="{00000000-0005-0000-0000-0000475C0000}"/>
    <cellStyle name="Normal 2 2 4 26 4 5" xfId="23624" xr:uid="{00000000-0005-0000-0000-0000485C0000}"/>
    <cellStyle name="Normal 2 2 4 26 4 6" xfId="23625" xr:uid="{00000000-0005-0000-0000-0000495C0000}"/>
    <cellStyle name="Normal 2 2 4 26 4 7" xfId="23626" xr:uid="{00000000-0005-0000-0000-00004A5C0000}"/>
    <cellStyle name="Normal 2 2 4 26 4 8" xfId="23627" xr:uid="{00000000-0005-0000-0000-00004B5C0000}"/>
    <cellStyle name="Normal 2 2 4 26 4 9" xfId="23628" xr:uid="{00000000-0005-0000-0000-00004C5C0000}"/>
    <cellStyle name="Normal 2 2 4 26 5" xfId="23629" xr:uid="{00000000-0005-0000-0000-00004D5C0000}"/>
    <cellStyle name="Normal 2 2 4 26 5 10" xfId="23630" xr:uid="{00000000-0005-0000-0000-00004E5C0000}"/>
    <cellStyle name="Normal 2 2 4 26 5 2" xfId="23631" xr:uid="{00000000-0005-0000-0000-00004F5C0000}"/>
    <cellStyle name="Normal 2 2 4 26 5 3" xfId="23632" xr:uid="{00000000-0005-0000-0000-0000505C0000}"/>
    <cellStyle name="Normal 2 2 4 26 5 4" xfId="23633" xr:uid="{00000000-0005-0000-0000-0000515C0000}"/>
    <cellStyle name="Normal 2 2 4 26 5 5" xfId="23634" xr:uid="{00000000-0005-0000-0000-0000525C0000}"/>
    <cellStyle name="Normal 2 2 4 26 5 6" xfId="23635" xr:uid="{00000000-0005-0000-0000-0000535C0000}"/>
    <cellStyle name="Normal 2 2 4 26 5 7" xfId="23636" xr:uid="{00000000-0005-0000-0000-0000545C0000}"/>
    <cellStyle name="Normal 2 2 4 26 5 8" xfId="23637" xr:uid="{00000000-0005-0000-0000-0000555C0000}"/>
    <cellStyle name="Normal 2 2 4 26 5 9" xfId="23638" xr:uid="{00000000-0005-0000-0000-0000565C0000}"/>
    <cellStyle name="Normal 2 2 4 26 6" xfId="23639" xr:uid="{00000000-0005-0000-0000-0000575C0000}"/>
    <cellStyle name="Normal 2 2 4 26 7" xfId="23640" xr:uid="{00000000-0005-0000-0000-0000585C0000}"/>
    <cellStyle name="Normal 2 2 4 26 8" xfId="23641" xr:uid="{00000000-0005-0000-0000-0000595C0000}"/>
    <cellStyle name="Normal 2 2 4 26 9" xfId="23642" xr:uid="{00000000-0005-0000-0000-00005A5C0000}"/>
    <cellStyle name="Normal 2 2 4 27" xfId="23643" xr:uid="{00000000-0005-0000-0000-00005B5C0000}"/>
    <cellStyle name="Normal 2 2 4 27 10" xfId="23644" xr:uid="{00000000-0005-0000-0000-00005C5C0000}"/>
    <cellStyle name="Normal 2 2 4 27 11" xfId="23645" xr:uid="{00000000-0005-0000-0000-00005D5C0000}"/>
    <cellStyle name="Normal 2 2 4 27 12" xfId="23646" xr:uid="{00000000-0005-0000-0000-00005E5C0000}"/>
    <cellStyle name="Normal 2 2 4 27 13" xfId="23647" xr:uid="{00000000-0005-0000-0000-00005F5C0000}"/>
    <cellStyle name="Normal 2 2 4 27 14" xfId="23648" xr:uid="{00000000-0005-0000-0000-0000605C0000}"/>
    <cellStyle name="Normal 2 2 4 27 2" xfId="23649" xr:uid="{00000000-0005-0000-0000-0000615C0000}"/>
    <cellStyle name="Normal 2 2 4 27 2 10" xfId="23650" xr:uid="{00000000-0005-0000-0000-0000625C0000}"/>
    <cellStyle name="Normal 2 2 4 27 2 2" xfId="23651" xr:uid="{00000000-0005-0000-0000-0000635C0000}"/>
    <cellStyle name="Normal 2 2 4 27 2 3" xfId="23652" xr:uid="{00000000-0005-0000-0000-0000645C0000}"/>
    <cellStyle name="Normal 2 2 4 27 2 4" xfId="23653" xr:uid="{00000000-0005-0000-0000-0000655C0000}"/>
    <cellStyle name="Normal 2 2 4 27 2 5" xfId="23654" xr:uid="{00000000-0005-0000-0000-0000665C0000}"/>
    <cellStyle name="Normal 2 2 4 27 2 6" xfId="23655" xr:uid="{00000000-0005-0000-0000-0000675C0000}"/>
    <cellStyle name="Normal 2 2 4 27 2 7" xfId="23656" xr:uid="{00000000-0005-0000-0000-0000685C0000}"/>
    <cellStyle name="Normal 2 2 4 27 2 8" xfId="23657" xr:uid="{00000000-0005-0000-0000-0000695C0000}"/>
    <cellStyle name="Normal 2 2 4 27 2 9" xfId="23658" xr:uid="{00000000-0005-0000-0000-00006A5C0000}"/>
    <cellStyle name="Normal 2 2 4 27 3" xfId="23659" xr:uid="{00000000-0005-0000-0000-00006B5C0000}"/>
    <cellStyle name="Normal 2 2 4 27 3 10" xfId="23660" xr:uid="{00000000-0005-0000-0000-00006C5C0000}"/>
    <cellStyle name="Normal 2 2 4 27 3 2" xfId="23661" xr:uid="{00000000-0005-0000-0000-00006D5C0000}"/>
    <cellStyle name="Normal 2 2 4 27 3 3" xfId="23662" xr:uid="{00000000-0005-0000-0000-00006E5C0000}"/>
    <cellStyle name="Normal 2 2 4 27 3 4" xfId="23663" xr:uid="{00000000-0005-0000-0000-00006F5C0000}"/>
    <cellStyle name="Normal 2 2 4 27 3 5" xfId="23664" xr:uid="{00000000-0005-0000-0000-0000705C0000}"/>
    <cellStyle name="Normal 2 2 4 27 3 6" xfId="23665" xr:uid="{00000000-0005-0000-0000-0000715C0000}"/>
    <cellStyle name="Normal 2 2 4 27 3 7" xfId="23666" xr:uid="{00000000-0005-0000-0000-0000725C0000}"/>
    <cellStyle name="Normal 2 2 4 27 3 8" xfId="23667" xr:uid="{00000000-0005-0000-0000-0000735C0000}"/>
    <cellStyle name="Normal 2 2 4 27 3 9" xfId="23668" xr:uid="{00000000-0005-0000-0000-0000745C0000}"/>
    <cellStyle name="Normal 2 2 4 27 4" xfId="23669" xr:uid="{00000000-0005-0000-0000-0000755C0000}"/>
    <cellStyle name="Normal 2 2 4 27 4 10" xfId="23670" xr:uid="{00000000-0005-0000-0000-0000765C0000}"/>
    <cellStyle name="Normal 2 2 4 27 4 2" xfId="23671" xr:uid="{00000000-0005-0000-0000-0000775C0000}"/>
    <cellStyle name="Normal 2 2 4 27 4 3" xfId="23672" xr:uid="{00000000-0005-0000-0000-0000785C0000}"/>
    <cellStyle name="Normal 2 2 4 27 4 4" xfId="23673" xr:uid="{00000000-0005-0000-0000-0000795C0000}"/>
    <cellStyle name="Normal 2 2 4 27 4 5" xfId="23674" xr:uid="{00000000-0005-0000-0000-00007A5C0000}"/>
    <cellStyle name="Normal 2 2 4 27 4 6" xfId="23675" xr:uid="{00000000-0005-0000-0000-00007B5C0000}"/>
    <cellStyle name="Normal 2 2 4 27 4 7" xfId="23676" xr:uid="{00000000-0005-0000-0000-00007C5C0000}"/>
    <cellStyle name="Normal 2 2 4 27 4 8" xfId="23677" xr:uid="{00000000-0005-0000-0000-00007D5C0000}"/>
    <cellStyle name="Normal 2 2 4 27 4 9" xfId="23678" xr:uid="{00000000-0005-0000-0000-00007E5C0000}"/>
    <cellStyle name="Normal 2 2 4 27 5" xfId="23679" xr:uid="{00000000-0005-0000-0000-00007F5C0000}"/>
    <cellStyle name="Normal 2 2 4 27 5 10" xfId="23680" xr:uid="{00000000-0005-0000-0000-0000805C0000}"/>
    <cellStyle name="Normal 2 2 4 27 5 2" xfId="23681" xr:uid="{00000000-0005-0000-0000-0000815C0000}"/>
    <cellStyle name="Normal 2 2 4 27 5 3" xfId="23682" xr:uid="{00000000-0005-0000-0000-0000825C0000}"/>
    <cellStyle name="Normal 2 2 4 27 5 4" xfId="23683" xr:uid="{00000000-0005-0000-0000-0000835C0000}"/>
    <cellStyle name="Normal 2 2 4 27 5 5" xfId="23684" xr:uid="{00000000-0005-0000-0000-0000845C0000}"/>
    <cellStyle name="Normal 2 2 4 27 5 6" xfId="23685" xr:uid="{00000000-0005-0000-0000-0000855C0000}"/>
    <cellStyle name="Normal 2 2 4 27 5 7" xfId="23686" xr:uid="{00000000-0005-0000-0000-0000865C0000}"/>
    <cellStyle name="Normal 2 2 4 27 5 8" xfId="23687" xr:uid="{00000000-0005-0000-0000-0000875C0000}"/>
    <cellStyle name="Normal 2 2 4 27 5 9" xfId="23688" xr:uid="{00000000-0005-0000-0000-0000885C0000}"/>
    <cellStyle name="Normal 2 2 4 27 6" xfId="23689" xr:uid="{00000000-0005-0000-0000-0000895C0000}"/>
    <cellStyle name="Normal 2 2 4 27 7" xfId="23690" xr:uid="{00000000-0005-0000-0000-00008A5C0000}"/>
    <cellStyle name="Normal 2 2 4 27 8" xfId="23691" xr:uid="{00000000-0005-0000-0000-00008B5C0000}"/>
    <cellStyle name="Normal 2 2 4 27 9" xfId="23692" xr:uid="{00000000-0005-0000-0000-00008C5C0000}"/>
    <cellStyle name="Normal 2 2 4 28" xfId="23693" xr:uid="{00000000-0005-0000-0000-00008D5C0000}"/>
    <cellStyle name="Normal 2 2 4 28 10" xfId="23694" xr:uid="{00000000-0005-0000-0000-00008E5C0000}"/>
    <cellStyle name="Normal 2 2 4 28 11" xfId="23695" xr:uid="{00000000-0005-0000-0000-00008F5C0000}"/>
    <cellStyle name="Normal 2 2 4 28 12" xfId="23696" xr:uid="{00000000-0005-0000-0000-0000905C0000}"/>
    <cellStyle name="Normal 2 2 4 28 13" xfId="23697" xr:uid="{00000000-0005-0000-0000-0000915C0000}"/>
    <cellStyle name="Normal 2 2 4 28 14" xfId="23698" xr:uid="{00000000-0005-0000-0000-0000925C0000}"/>
    <cellStyle name="Normal 2 2 4 28 2" xfId="23699" xr:uid="{00000000-0005-0000-0000-0000935C0000}"/>
    <cellStyle name="Normal 2 2 4 28 2 10" xfId="23700" xr:uid="{00000000-0005-0000-0000-0000945C0000}"/>
    <cellStyle name="Normal 2 2 4 28 2 2" xfId="23701" xr:uid="{00000000-0005-0000-0000-0000955C0000}"/>
    <cellStyle name="Normal 2 2 4 28 2 3" xfId="23702" xr:uid="{00000000-0005-0000-0000-0000965C0000}"/>
    <cellStyle name="Normal 2 2 4 28 2 4" xfId="23703" xr:uid="{00000000-0005-0000-0000-0000975C0000}"/>
    <cellStyle name="Normal 2 2 4 28 2 5" xfId="23704" xr:uid="{00000000-0005-0000-0000-0000985C0000}"/>
    <cellStyle name="Normal 2 2 4 28 2 6" xfId="23705" xr:uid="{00000000-0005-0000-0000-0000995C0000}"/>
    <cellStyle name="Normal 2 2 4 28 2 7" xfId="23706" xr:uid="{00000000-0005-0000-0000-00009A5C0000}"/>
    <cellStyle name="Normal 2 2 4 28 2 8" xfId="23707" xr:uid="{00000000-0005-0000-0000-00009B5C0000}"/>
    <cellStyle name="Normal 2 2 4 28 2 9" xfId="23708" xr:uid="{00000000-0005-0000-0000-00009C5C0000}"/>
    <cellStyle name="Normal 2 2 4 28 3" xfId="23709" xr:uid="{00000000-0005-0000-0000-00009D5C0000}"/>
    <cellStyle name="Normal 2 2 4 28 3 10" xfId="23710" xr:uid="{00000000-0005-0000-0000-00009E5C0000}"/>
    <cellStyle name="Normal 2 2 4 28 3 2" xfId="23711" xr:uid="{00000000-0005-0000-0000-00009F5C0000}"/>
    <cellStyle name="Normal 2 2 4 28 3 3" xfId="23712" xr:uid="{00000000-0005-0000-0000-0000A05C0000}"/>
    <cellStyle name="Normal 2 2 4 28 3 4" xfId="23713" xr:uid="{00000000-0005-0000-0000-0000A15C0000}"/>
    <cellStyle name="Normal 2 2 4 28 3 5" xfId="23714" xr:uid="{00000000-0005-0000-0000-0000A25C0000}"/>
    <cellStyle name="Normal 2 2 4 28 3 6" xfId="23715" xr:uid="{00000000-0005-0000-0000-0000A35C0000}"/>
    <cellStyle name="Normal 2 2 4 28 3 7" xfId="23716" xr:uid="{00000000-0005-0000-0000-0000A45C0000}"/>
    <cellStyle name="Normal 2 2 4 28 3 8" xfId="23717" xr:uid="{00000000-0005-0000-0000-0000A55C0000}"/>
    <cellStyle name="Normal 2 2 4 28 3 9" xfId="23718" xr:uid="{00000000-0005-0000-0000-0000A65C0000}"/>
    <cellStyle name="Normal 2 2 4 28 4" xfId="23719" xr:uid="{00000000-0005-0000-0000-0000A75C0000}"/>
    <cellStyle name="Normal 2 2 4 28 4 10" xfId="23720" xr:uid="{00000000-0005-0000-0000-0000A85C0000}"/>
    <cellStyle name="Normal 2 2 4 28 4 2" xfId="23721" xr:uid="{00000000-0005-0000-0000-0000A95C0000}"/>
    <cellStyle name="Normal 2 2 4 28 4 3" xfId="23722" xr:uid="{00000000-0005-0000-0000-0000AA5C0000}"/>
    <cellStyle name="Normal 2 2 4 28 4 4" xfId="23723" xr:uid="{00000000-0005-0000-0000-0000AB5C0000}"/>
    <cellStyle name="Normal 2 2 4 28 4 5" xfId="23724" xr:uid="{00000000-0005-0000-0000-0000AC5C0000}"/>
    <cellStyle name="Normal 2 2 4 28 4 6" xfId="23725" xr:uid="{00000000-0005-0000-0000-0000AD5C0000}"/>
    <cellStyle name="Normal 2 2 4 28 4 7" xfId="23726" xr:uid="{00000000-0005-0000-0000-0000AE5C0000}"/>
    <cellStyle name="Normal 2 2 4 28 4 8" xfId="23727" xr:uid="{00000000-0005-0000-0000-0000AF5C0000}"/>
    <cellStyle name="Normal 2 2 4 28 4 9" xfId="23728" xr:uid="{00000000-0005-0000-0000-0000B05C0000}"/>
    <cellStyle name="Normal 2 2 4 28 5" xfId="23729" xr:uid="{00000000-0005-0000-0000-0000B15C0000}"/>
    <cellStyle name="Normal 2 2 4 28 5 10" xfId="23730" xr:uid="{00000000-0005-0000-0000-0000B25C0000}"/>
    <cellStyle name="Normal 2 2 4 28 5 2" xfId="23731" xr:uid="{00000000-0005-0000-0000-0000B35C0000}"/>
    <cellStyle name="Normal 2 2 4 28 5 3" xfId="23732" xr:uid="{00000000-0005-0000-0000-0000B45C0000}"/>
    <cellStyle name="Normal 2 2 4 28 5 4" xfId="23733" xr:uid="{00000000-0005-0000-0000-0000B55C0000}"/>
    <cellStyle name="Normal 2 2 4 28 5 5" xfId="23734" xr:uid="{00000000-0005-0000-0000-0000B65C0000}"/>
    <cellStyle name="Normal 2 2 4 28 5 6" xfId="23735" xr:uid="{00000000-0005-0000-0000-0000B75C0000}"/>
    <cellStyle name="Normal 2 2 4 28 5 7" xfId="23736" xr:uid="{00000000-0005-0000-0000-0000B85C0000}"/>
    <cellStyle name="Normal 2 2 4 28 5 8" xfId="23737" xr:uid="{00000000-0005-0000-0000-0000B95C0000}"/>
    <cellStyle name="Normal 2 2 4 28 5 9" xfId="23738" xr:uid="{00000000-0005-0000-0000-0000BA5C0000}"/>
    <cellStyle name="Normal 2 2 4 28 6" xfId="23739" xr:uid="{00000000-0005-0000-0000-0000BB5C0000}"/>
    <cellStyle name="Normal 2 2 4 28 7" xfId="23740" xr:uid="{00000000-0005-0000-0000-0000BC5C0000}"/>
    <cellStyle name="Normal 2 2 4 28 8" xfId="23741" xr:uid="{00000000-0005-0000-0000-0000BD5C0000}"/>
    <cellStyle name="Normal 2 2 4 28 9" xfId="23742" xr:uid="{00000000-0005-0000-0000-0000BE5C0000}"/>
    <cellStyle name="Normal 2 2 4 29" xfId="23743" xr:uid="{00000000-0005-0000-0000-0000BF5C0000}"/>
    <cellStyle name="Normal 2 2 4 29 10" xfId="23744" xr:uid="{00000000-0005-0000-0000-0000C05C0000}"/>
    <cellStyle name="Normal 2 2 4 29 11" xfId="23745" xr:uid="{00000000-0005-0000-0000-0000C15C0000}"/>
    <cellStyle name="Normal 2 2 4 29 12" xfId="23746" xr:uid="{00000000-0005-0000-0000-0000C25C0000}"/>
    <cellStyle name="Normal 2 2 4 29 13" xfId="23747" xr:uid="{00000000-0005-0000-0000-0000C35C0000}"/>
    <cellStyle name="Normal 2 2 4 29 14" xfId="23748" xr:uid="{00000000-0005-0000-0000-0000C45C0000}"/>
    <cellStyle name="Normal 2 2 4 29 2" xfId="23749" xr:uid="{00000000-0005-0000-0000-0000C55C0000}"/>
    <cellStyle name="Normal 2 2 4 29 2 10" xfId="23750" xr:uid="{00000000-0005-0000-0000-0000C65C0000}"/>
    <cellStyle name="Normal 2 2 4 29 2 2" xfId="23751" xr:uid="{00000000-0005-0000-0000-0000C75C0000}"/>
    <cellStyle name="Normal 2 2 4 29 2 3" xfId="23752" xr:uid="{00000000-0005-0000-0000-0000C85C0000}"/>
    <cellStyle name="Normal 2 2 4 29 2 4" xfId="23753" xr:uid="{00000000-0005-0000-0000-0000C95C0000}"/>
    <cellStyle name="Normal 2 2 4 29 2 5" xfId="23754" xr:uid="{00000000-0005-0000-0000-0000CA5C0000}"/>
    <cellStyle name="Normal 2 2 4 29 2 6" xfId="23755" xr:uid="{00000000-0005-0000-0000-0000CB5C0000}"/>
    <cellStyle name="Normal 2 2 4 29 2 7" xfId="23756" xr:uid="{00000000-0005-0000-0000-0000CC5C0000}"/>
    <cellStyle name="Normal 2 2 4 29 2 8" xfId="23757" xr:uid="{00000000-0005-0000-0000-0000CD5C0000}"/>
    <cellStyle name="Normal 2 2 4 29 2 9" xfId="23758" xr:uid="{00000000-0005-0000-0000-0000CE5C0000}"/>
    <cellStyle name="Normal 2 2 4 29 3" xfId="23759" xr:uid="{00000000-0005-0000-0000-0000CF5C0000}"/>
    <cellStyle name="Normal 2 2 4 29 3 10" xfId="23760" xr:uid="{00000000-0005-0000-0000-0000D05C0000}"/>
    <cellStyle name="Normal 2 2 4 29 3 2" xfId="23761" xr:uid="{00000000-0005-0000-0000-0000D15C0000}"/>
    <cellStyle name="Normal 2 2 4 29 3 3" xfId="23762" xr:uid="{00000000-0005-0000-0000-0000D25C0000}"/>
    <cellStyle name="Normal 2 2 4 29 3 4" xfId="23763" xr:uid="{00000000-0005-0000-0000-0000D35C0000}"/>
    <cellStyle name="Normal 2 2 4 29 3 5" xfId="23764" xr:uid="{00000000-0005-0000-0000-0000D45C0000}"/>
    <cellStyle name="Normal 2 2 4 29 3 6" xfId="23765" xr:uid="{00000000-0005-0000-0000-0000D55C0000}"/>
    <cellStyle name="Normal 2 2 4 29 3 7" xfId="23766" xr:uid="{00000000-0005-0000-0000-0000D65C0000}"/>
    <cellStyle name="Normal 2 2 4 29 3 8" xfId="23767" xr:uid="{00000000-0005-0000-0000-0000D75C0000}"/>
    <cellStyle name="Normal 2 2 4 29 3 9" xfId="23768" xr:uid="{00000000-0005-0000-0000-0000D85C0000}"/>
    <cellStyle name="Normal 2 2 4 29 4" xfId="23769" xr:uid="{00000000-0005-0000-0000-0000D95C0000}"/>
    <cellStyle name="Normal 2 2 4 29 4 10" xfId="23770" xr:uid="{00000000-0005-0000-0000-0000DA5C0000}"/>
    <cellStyle name="Normal 2 2 4 29 4 2" xfId="23771" xr:uid="{00000000-0005-0000-0000-0000DB5C0000}"/>
    <cellStyle name="Normal 2 2 4 29 4 3" xfId="23772" xr:uid="{00000000-0005-0000-0000-0000DC5C0000}"/>
    <cellStyle name="Normal 2 2 4 29 4 4" xfId="23773" xr:uid="{00000000-0005-0000-0000-0000DD5C0000}"/>
    <cellStyle name="Normal 2 2 4 29 4 5" xfId="23774" xr:uid="{00000000-0005-0000-0000-0000DE5C0000}"/>
    <cellStyle name="Normal 2 2 4 29 4 6" xfId="23775" xr:uid="{00000000-0005-0000-0000-0000DF5C0000}"/>
    <cellStyle name="Normal 2 2 4 29 4 7" xfId="23776" xr:uid="{00000000-0005-0000-0000-0000E05C0000}"/>
    <cellStyle name="Normal 2 2 4 29 4 8" xfId="23777" xr:uid="{00000000-0005-0000-0000-0000E15C0000}"/>
    <cellStyle name="Normal 2 2 4 29 4 9" xfId="23778" xr:uid="{00000000-0005-0000-0000-0000E25C0000}"/>
    <cellStyle name="Normal 2 2 4 29 5" xfId="23779" xr:uid="{00000000-0005-0000-0000-0000E35C0000}"/>
    <cellStyle name="Normal 2 2 4 29 5 10" xfId="23780" xr:uid="{00000000-0005-0000-0000-0000E45C0000}"/>
    <cellStyle name="Normal 2 2 4 29 5 2" xfId="23781" xr:uid="{00000000-0005-0000-0000-0000E55C0000}"/>
    <cellStyle name="Normal 2 2 4 29 5 3" xfId="23782" xr:uid="{00000000-0005-0000-0000-0000E65C0000}"/>
    <cellStyle name="Normal 2 2 4 29 5 4" xfId="23783" xr:uid="{00000000-0005-0000-0000-0000E75C0000}"/>
    <cellStyle name="Normal 2 2 4 29 5 5" xfId="23784" xr:uid="{00000000-0005-0000-0000-0000E85C0000}"/>
    <cellStyle name="Normal 2 2 4 29 5 6" xfId="23785" xr:uid="{00000000-0005-0000-0000-0000E95C0000}"/>
    <cellStyle name="Normal 2 2 4 29 5 7" xfId="23786" xr:uid="{00000000-0005-0000-0000-0000EA5C0000}"/>
    <cellStyle name="Normal 2 2 4 29 5 8" xfId="23787" xr:uid="{00000000-0005-0000-0000-0000EB5C0000}"/>
    <cellStyle name="Normal 2 2 4 29 5 9" xfId="23788" xr:uid="{00000000-0005-0000-0000-0000EC5C0000}"/>
    <cellStyle name="Normal 2 2 4 29 6" xfId="23789" xr:uid="{00000000-0005-0000-0000-0000ED5C0000}"/>
    <cellStyle name="Normal 2 2 4 29 7" xfId="23790" xr:uid="{00000000-0005-0000-0000-0000EE5C0000}"/>
    <cellStyle name="Normal 2 2 4 29 8" xfId="23791" xr:uid="{00000000-0005-0000-0000-0000EF5C0000}"/>
    <cellStyle name="Normal 2 2 4 29 9" xfId="23792" xr:uid="{00000000-0005-0000-0000-0000F05C0000}"/>
    <cellStyle name="Normal 2 2 4 3" xfId="23793" xr:uid="{00000000-0005-0000-0000-0000F15C0000}"/>
    <cellStyle name="Normal 2 2 4 3 10" xfId="23794" xr:uid="{00000000-0005-0000-0000-0000F25C0000}"/>
    <cellStyle name="Normal 2 2 4 3 11" xfId="23795" xr:uid="{00000000-0005-0000-0000-0000F35C0000}"/>
    <cellStyle name="Normal 2 2 4 3 12" xfId="23796" xr:uid="{00000000-0005-0000-0000-0000F45C0000}"/>
    <cellStyle name="Normal 2 2 4 3 13" xfId="23797" xr:uid="{00000000-0005-0000-0000-0000F55C0000}"/>
    <cellStyle name="Normal 2 2 4 3 14" xfId="23798" xr:uid="{00000000-0005-0000-0000-0000F65C0000}"/>
    <cellStyle name="Normal 2 2 4 3 2" xfId="23799" xr:uid="{00000000-0005-0000-0000-0000F75C0000}"/>
    <cellStyle name="Normal 2 2 4 3 2 10" xfId="23800" xr:uid="{00000000-0005-0000-0000-0000F85C0000}"/>
    <cellStyle name="Normal 2 2 4 3 2 2" xfId="23801" xr:uid="{00000000-0005-0000-0000-0000F95C0000}"/>
    <cellStyle name="Normal 2 2 4 3 2 3" xfId="23802" xr:uid="{00000000-0005-0000-0000-0000FA5C0000}"/>
    <cellStyle name="Normal 2 2 4 3 2 4" xfId="23803" xr:uid="{00000000-0005-0000-0000-0000FB5C0000}"/>
    <cellStyle name="Normal 2 2 4 3 2 5" xfId="23804" xr:uid="{00000000-0005-0000-0000-0000FC5C0000}"/>
    <cellStyle name="Normal 2 2 4 3 2 6" xfId="23805" xr:uid="{00000000-0005-0000-0000-0000FD5C0000}"/>
    <cellStyle name="Normal 2 2 4 3 2 7" xfId="23806" xr:uid="{00000000-0005-0000-0000-0000FE5C0000}"/>
    <cellStyle name="Normal 2 2 4 3 2 8" xfId="23807" xr:uid="{00000000-0005-0000-0000-0000FF5C0000}"/>
    <cellStyle name="Normal 2 2 4 3 2 9" xfId="23808" xr:uid="{00000000-0005-0000-0000-0000005D0000}"/>
    <cellStyle name="Normal 2 2 4 3 3" xfId="23809" xr:uid="{00000000-0005-0000-0000-0000015D0000}"/>
    <cellStyle name="Normal 2 2 4 3 3 10" xfId="23810" xr:uid="{00000000-0005-0000-0000-0000025D0000}"/>
    <cellStyle name="Normal 2 2 4 3 3 2" xfId="23811" xr:uid="{00000000-0005-0000-0000-0000035D0000}"/>
    <cellStyle name="Normal 2 2 4 3 3 3" xfId="23812" xr:uid="{00000000-0005-0000-0000-0000045D0000}"/>
    <cellStyle name="Normal 2 2 4 3 3 4" xfId="23813" xr:uid="{00000000-0005-0000-0000-0000055D0000}"/>
    <cellStyle name="Normal 2 2 4 3 3 5" xfId="23814" xr:uid="{00000000-0005-0000-0000-0000065D0000}"/>
    <cellStyle name="Normal 2 2 4 3 3 6" xfId="23815" xr:uid="{00000000-0005-0000-0000-0000075D0000}"/>
    <cellStyle name="Normal 2 2 4 3 3 7" xfId="23816" xr:uid="{00000000-0005-0000-0000-0000085D0000}"/>
    <cellStyle name="Normal 2 2 4 3 3 8" xfId="23817" xr:uid="{00000000-0005-0000-0000-0000095D0000}"/>
    <cellStyle name="Normal 2 2 4 3 3 9" xfId="23818" xr:uid="{00000000-0005-0000-0000-00000A5D0000}"/>
    <cellStyle name="Normal 2 2 4 3 4" xfId="23819" xr:uid="{00000000-0005-0000-0000-00000B5D0000}"/>
    <cellStyle name="Normal 2 2 4 3 4 10" xfId="23820" xr:uid="{00000000-0005-0000-0000-00000C5D0000}"/>
    <cellStyle name="Normal 2 2 4 3 4 2" xfId="23821" xr:uid="{00000000-0005-0000-0000-00000D5D0000}"/>
    <cellStyle name="Normal 2 2 4 3 4 3" xfId="23822" xr:uid="{00000000-0005-0000-0000-00000E5D0000}"/>
    <cellStyle name="Normal 2 2 4 3 4 4" xfId="23823" xr:uid="{00000000-0005-0000-0000-00000F5D0000}"/>
    <cellStyle name="Normal 2 2 4 3 4 5" xfId="23824" xr:uid="{00000000-0005-0000-0000-0000105D0000}"/>
    <cellStyle name="Normal 2 2 4 3 4 6" xfId="23825" xr:uid="{00000000-0005-0000-0000-0000115D0000}"/>
    <cellStyle name="Normal 2 2 4 3 4 7" xfId="23826" xr:uid="{00000000-0005-0000-0000-0000125D0000}"/>
    <cellStyle name="Normal 2 2 4 3 4 8" xfId="23827" xr:uid="{00000000-0005-0000-0000-0000135D0000}"/>
    <cellStyle name="Normal 2 2 4 3 4 9" xfId="23828" xr:uid="{00000000-0005-0000-0000-0000145D0000}"/>
    <cellStyle name="Normal 2 2 4 3 5" xfId="23829" xr:uid="{00000000-0005-0000-0000-0000155D0000}"/>
    <cellStyle name="Normal 2 2 4 3 5 10" xfId="23830" xr:uid="{00000000-0005-0000-0000-0000165D0000}"/>
    <cellStyle name="Normal 2 2 4 3 5 2" xfId="23831" xr:uid="{00000000-0005-0000-0000-0000175D0000}"/>
    <cellStyle name="Normal 2 2 4 3 5 3" xfId="23832" xr:uid="{00000000-0005-0000-0000-0000185D0000}"/>
    <cellStyle name="Normal 2 2 4 3 5 4" xfId="23833" xr:uid="{00000000-0005-0000-0000-0000195D0000}"/>
    <cellStyle name="Normal 2 2 4 3 5 5" xfId="23834" xr:uid="{00000000-0005-0000-0000-00001A5D0000}"/>
    <cellStyle name="Normal 2 2 4 3 5 6" xfId="23835" xr:uid="{00000000-0005-0000-0000-00001B5D0000}"/>
    <cellStyle name="Normal 2 2 4 3 5 7" xfId="23836" xr:uid="{00000000-0005-0000-0000-00001C5D0000}"/>
    <cellStyle name="Normal 2 2 4 3 5 8" xfId="23837" xr:uid="{00000000-0005-0000-0000-00001D5D0000}"/>
    <cellStyle name="Normal 2 2 4 3 5 9" xfId="23838" xr:uid="{00000000-0005-0000-0000-00001E5D0000}"/>
    <cellStyle name="Normal 2 2 4 3 6" xfId="23839" xr:uid="{00000000-0005-0000-0000-00001F5D0000}"/>
    <cellStyle name="Normal 2 2 4 3 7" xfId="23840" xr:uid="{00000000-0005-0000-0000-0000205D0000}"/>
    <cellStyle name="Normal 2 2 4 3 8" xfId="23841" xr:uid="{00000000-0005-0000-0000-0000215D0000}"/>
    <cellStyle name="Normal 2 2 4 3 9" xfId="23842" xr:uid="{00000000-0005-0000-0000-0000225D0000}"/>
    <cellStyle name="Normal 2 2 4 30" xfId="23843" xr:uid="{00000000-0005-0000-0000-0000235D0000}"/>
    <cellStyle name="Normal 2 2 4 30 10" xfId="23844" xr:uid="{00000000-0005-0000-0000-0000245D0000}"/>
    <cellStyle name="Normal 2 2 4 30 11" xfId="23845" xr:uid="{00000000-0005-0000-0000-0000255D0000}"/>
    <cellStyle name="Normal 2 2 4 30 12" xfId="23846" xr:uid="{00000000-0005-0000-0000-0000265D0000}"/>
    <cellStyle name="Normal 2 2 4 30 13" xfId="23847" xr:uid="{00000000-0005-0000-0000-0000275D0000}"/>
    <cellStyle name="Normal 2 2 4 30 14" xfId="23848" xr:uid="{00000000-0005-0000-0000-0000285D0000}"/>
    <cellStyle name="Normal 2 2 4 30 2" xfId="23849" xr:uid="{00000000-0005-0000-0000-0000295D0000}"/>
    <cellStyle name="Normal 2 2 4 30 2 10" xfId="23850" xr:uid="{00000000-0005-0000-0000-00002A5D0000}"/>
    <cellStyle name="Normal 2 2 4 30 2 2" xfId="23851" xr:uid="{00000000-0005-0000-0000-00002B5D0000}"/>
    <cellStyle name="Normal 2 2 4 30 2 3" xfId="23852" xr:uid="{00000000-0005-0000-0000-00002C5D0000}"/>
    <cellStyle name="Normal 2 2 4 30 2 4" xfId="23853" xr:uid="{00000000-0005-0000-0000-00002D5D0000}"/>
    <cellStyle name="Normal 2 2 4 30 2 5" xfId="23854" xr:uid="{00000000-0005-0000-0000-00002E5D0000}"/>
    <cellStyle name="Normal 2 2 4 30 2 6" xfId="23855" xr:uid="{00000000-0005-0000-0000-00002F5D0000}"/>
    <cellStyle name="Normal 2 2 4 30 2 7" xfId="23856" xr:uid="{00000000-0005-0000-0000-0000305D0000}"/>
    <cellStyle name="Normal 2 2 4 30 2 8" xfId="23857" xr:uid="{00000000-0005-0000-0000-0000315D0000}"/>
    <cellStyle name="Normal 2 2 4 30 2 9" xfId="23858" xr:uid="{00000000-0005-0000-0000-0000325D0000}"/>
    <cellStyle name="Normal 2 2 4 30 3" xfId="23859" xr:uid="{00000000-0005-0000-0000-0000335D0000}"/>
    <cellStyle name="Normal 2 2 4 30 3 10" xfId="23860" xr:uid="{00000000-0005-0000-0000-0000345D0000}"/>
    <cellStyle name="Normal 2 2 4 30 3 2" xfId="23861" xr:uid="{00000000-0005-0000-0000-0000355D0000}"/>
    <cellStyle name="Normal 2 2 4 30 3 3" xfId="23862" xr:uid="{00000000-0005-0000-0000-0000365D0000}"/>
    <cellStyle name="Normal 2 2 4 30 3 4" xfId="23863" xr:uid="{00000000-0005-0000-0000-0000375D0000}"/>
    <cellStyle name="Normal 2 2 4 30 3 5" xfId="23864" xr:uid="{00000000-0005-0000-0000-0000385D0000}"/>
    <cellStyle name="Normal 2 2 4 30 3 6" xfId="23865" xr:uid="{00000000-0005-0000-0000-0000395D0000}"/>
    <cellStyle name="Normal 2 2 4 30 3 7" xfId="23866" xr:uid="{00000000-0005-0000-0000-00003A5D0000}"/>
    <cellStyle name="Normal 2 2 4 30 3 8" xfId="23867" xr:uid="{00000000-0005-0000-0000-00003B5D0000}"/>
    <cellStyle name="Normal 2 2 4 30 3 9" xfId="23868" xr:uid="{00000000-0005-0000-0000-00003C5D0000}"/>
    <cellStyle name="Normal 2 2 4 30 4" xfId="23869" xr:uid="{00000000-0005-0000-0000-00003D5D0000}"/>
    <cellStyle name="Normal 2 2 4 30 4 10" xfId="23870" xr:uid="{00000000-0005-0000-0000-00003E5D0000}"/>
    <cellStyle name="Normal 2 2 4 30 4 2" xfId="23871" xr:uid="{00000000-0005-0000-0000-00003F5D0000}"/>
    <cellStyle name="Normal 2 2 4 30 4 3" xfId="23872" xr:uid="{00000000-0005-0000-0000-0000405D0000}"/>
    <cellStyle name="Normal 2 2 4 30 4 4" xfId="23873" xr:uid="{00000000-0005-0000-0000-0000415D0000}"/>
    <cellStyle name="Normal 2 2 4 30 4 5" xfId="23874" xr:uid="{00000000-0005-0000-0000-0000425D0000}"/>
    <cellStyle name="Normal 2 2 4 30 4 6" xfId="23875" xr:uid="{00000000-0005-0000-0000-0000435D0000}"/>
    <cellStyle name="Normal 2 2 4 30 4 7" xfId="23876" xr:uid="{00000000-0005-0000-0000-0000445D0000}"/>
    <cellStyle name="Normal 2 2 4 30 4 8" xfId="23877" xr:uid="{00000000-0005-0000-0000-0000455D0000}"/>
    <cellStyle name="Normal 2 2 4 30 4 9" xfId="23878" xr:uid="{00000000-0005-0000-0000-0000465D0000}"/>
    <cellStyle name="Normal 2 2 4 30 5" xfId="23879" xr:uid="{00000000-0005-0000-0000-0000475D0000}"/>
    <cellStyle name="Normal 2 2 4 30 5 10" xfId="23880" xr:uid="{00000000-0005-0000-0000-0000485D0000}"/>
    <cellStyle name="Normal 2 2 4 30 5 2" xfId="23881" xr:uid="{00000000-0005-0000-0000-0000495D0000}"/>
    <cellStyle name="Normal 2 2 4 30 5 3" xfId="23882" xr:uid="{00000000-0005-0000-0000-00004A5D0000}"/>
    <cellStyle name="Normal 2 2 4 30 5 4" xfId="23883" xr:uid="{00000000-0005-0000-0000-00004B5D0000}"/>
    <cellStyle name="Normal 2 2 4 30 5 5" xfId="23884" xr:uid="{00000000-0005-0000-0000-00004C5D0000}"/>
    <cellStyle name="Normal 2 2 4 30 5 6" xfId="23885" xr:uid="{00000000-0005-0000-0000-00004D5D0000}"/>
    <cellStyle name="Normal 2 2 4 30 5 7" xfId="23886" xr:uid="{00000000-0005-0000-0000-00004E5D0000}"/>
    <cellStyle name="Normal 2 2 4 30 5 8" xfId="23887" xr:uid="{00000000-0005-0000-0000-00004F5D0000}"/>
    <cellStyle name="Normal 2 2 4 30 5 9" xfId="23888" xr:uid="{00000000-0005-0000-0000-0000505D0000}"/>
    <cellStyle name="Normal 2 2 4 30 6" xfId="23889" xr:uid="{00000000-0005-0000-0000-0000515D0000}"/>
    <cellStyle name="Normal 2 2 4 30 7" xfId="23890" xr:uid="{00000000-0005-0000-0000-0000525D0000}"/>
    <cellStyle name="Normal 2 2 4 30 8" xfId="23891" xr:uid="{00000000-0005-0000-0000-0000535D0000}"/>
    <cellStyle name="Normal 2 2 4 30 9" xfId="23892" xr:uid="{00000000-0005-0000-0000-0000545D0000}"/>
    <cellStyle name="Normal 2 2 4 31" xfId="23893" xr:uid="{00000000-0005-0000-0000-0000555D0000}"/>
    <cellStyle name="Normal 2 2 4 31 10" xfId="23894" xr:uid="{00000000-0005-0000-0000-0000565D0000}"/>
    <cellStyle name="Normal 2 2 4 31 11" xfId="23895" xr:uid="{00000000-0005-0000-0000-0000575D0000}"/>
    <cellStyle name="Normal 2 2 4 31 12" xfId="23896" xr:uid="{00000000-0005-0000-0000-0000585D0000}"/>
    <cellStyle name="Normal 2 2 4 31 13" xfId="23897" xr:uid="{00000000-0005-0000-0000-0000595D0000}"/>
    <cellStyle name="Normal 2 2 4 31 14" xfId="23898" xr:uid="{00000000-0005-0000-0000-00005A5D0000}"/>
    <cellStyle name="Normal 2 2 4 31 2" xfId="23899" xr:uid="{00000000-0005-0000-0000-00005B5D0000}"/>
    <cellStyle name="Normal 2 2 4 31 2 10" xfId="23900" xr:uid="{00000000-0005-0000-0000-00005C5D0000}"/>
    <cellStyle name="Normal 2 2 4 31 2 2" xfId="23901" xr:uid="{00000000-0005-0000-0000-00005D5D0000}"/>
    <cellStyle name="Normal 2 2 4 31 2 3" xfId="23902" xr:uid="{00000000-0005-0000-0000-00005E5D0000}"/>
    <cellStyle name="Normal 2 2 4 31 2 4" xfId="23903" xr:uid="{00000000-0005-0000-0000-00005F5D0000}"/>
    <cellStyle name="Normal 2 2 4 31 2 5" xfId="23904" xr:uid="{00000000-0005-0000-0000-0000605D0000}"/>
    <cellStyle name="Normal 2 2 4 31 2 6" xfId="23905" xr:uid="{00000000-0005-0000-0000-0000615D0000}"/>
    <cellStyle name="Normal 2 2 4 31 2 7" xfId="23906" xr:uid="{00000000-0005-0000-0000-0000625D0000}"/>
    <cellStyle name="Normal 2 2 4 31 2 8" xfId="23907" xr:uid="{00000000-0005-0000-0000-0000635D0000}"/>
    <cellStyle name="Normal 2 2 4 31 2 9" xfId="23908" xr:uid="{00000000-0005-0000-0000-0000645D0000}"/>
    <cellStyle name="Normal 2 2 4 31 3" xfId="23909" xr:uid="{00000000-0005-0000-0000-0000655D0000}"/>
    <cellStyle name="Normal 2 2 4 31 3 10" xfId="23910" xr:uid="{00000000-0005-0000-0000-0000665D0000}"/>
    <cellStyle name="Normal 2 2 4 31 3 2" xfId="23911" xr:uid="{00000000-0005-0000-0000-0000675D0000}"/>
    <cellStyle name="Normal 2 2 4 31 3 3" xfId="23912" xr:uid="{00000000-0005-0000-0000-0000685D0000}"/>
    <cellStyle name="Normal 2 2 4 31 3 4" xfId="23913" xr:uid="{00000000-0005-0000-0000-0000695D0000}"/>
    <cellStyle name="Normal 2 2 4 31 3 5" xfId="23914" xr:uid="{00000000-0005-0000-0000-00006A5D0000}"/>
    <cellStyle name="Normal 2 2 4 31 3 6" xfId="23915" xr:uid="{00000000-0005-0000-0000-00006B5D0000}"/>
    <cellStyle name="Normal 2 2 4 31 3 7" xfId="23916" xr:uid="{00000000-0005-0000-0000-00006C5D0000}"/>
    <cellStyle name="Normal 2 2 4 31 3 8" xfId="23917" xr:uid="{00000000-0005-0000-0000-00006D5D0000}"/>
    <cellStyle name="Normal 2 2 4 31 3 9" xfId="23918" xr:uid="{00000000-0005-0000-0000-00006E5D0000}"/>
    <cellStyle name="Normal 2 2 4 31 4" xfId="23919" xr:uid="{00000000-0005-0000-0000-00006F5D0000}"/>
    <cellStyle name="Normal 2 2 4 31 4 10" xfId="23920" xr:uid="{00000000-0005-0000-0000-0000705D0000}"/>
    <cellStyle name="Normal 2 2 4 31 4 2" xfId="23921" xr:uid="{00000000-0005-0000-0000-0000715D0000}"/>
    <cellStyle name="Normal 2 2 4 31 4 3" xfId="23922" xr:uid="{00000000-0005-0000-0000-0000725D0000}"/>
    <cellStyle name="Normal 2 2 4 31 4 4" xfId="23923" xr:uid="{00000000-0005-0000-0000-0000735D0000}"/>
    <cellStyle name="Normal 2 2 4 31 4 5" xfId="23924" xr:uid="{00000000-0005-0000-0000-0000745D0000}"/>
    <cellStyle name="Normal 2 2 4 31 4 6" xfId="23925" xr:uid="{00000000-0005-0000-0000-0000755D0000}"/>
    <cellStyle name="Normal 2 2 4 31 4 7" xfId="23926" xr:uid="{00000000-0005-0000-0000-0000765D0000}"/>
    <cellStyle name="Normal 2 2 4 31 4 8" xfId="23927" xr:uid="{00000000-0005-0000-0000-0000775D0000}"/>
    <cellStyle name="Normal 2 2 4 31 4 9" xfId="23928" xr:uid="{00000000-0005-0000-0000-0000785D0000}"/>
    <cellStyle name="Normal 2 2 4 31 5" xfId="23929" xr:uid="{00000000-0005-0000-0000-0000795D0000}"/>
    <cellStyle name="Normal 2 2 4 31 5 10" xfId="23930" xr:uid="{00000000-0005-0000-0000-00007A5D0000}"/>
    <cellStyle name="Normal 2 2 4 31 5 2" xfId="23931" xr:uid="{00000000-0005-0000-0000-00007B5D0000}"/>
    <cellStyle name="Normal 2 2 4 31 5 3" xfId="23932" xr:uid="{00000000-0005-0000-0000-00007C5D0000}"/>
    <cellStyle name="Normal 2 2 4 31 5 4" xfId="23933" xr:uid="{00000000-0005-0000-0000-00007D5D0000}"/>
    <cellStyle name="Normal 2 2 4 31 5 5" xfId="23934" xr:uid="{00000000-0005-0000-0000-00007E5D0000}"/>
    <cellStyle name="Normal 2 2 4 31 5 6" xfId="23935" xr:uid="{00000000-0005-0000-0000-00007F5D0000}"/>
    <cellStyle name="Normal 2 2 4 31 5 7" xfId="23936" xr:uid="{00000000-0005-0000-0000-0000805D0000}"/>
    <cellStyle name="Normal 2 2 4 31 5 8" xfId="23937" xr:uid="{00000000-0005-0000-0000-0000815D0000}"/>
    <cellStyle name="Normal 2 2 4 31 5 9" xfId="23938" xr:uid="{00000000-0005-0000-0000-0000825D0000}"/>
    <cellStyle name="Normal 2 2 4 31 6" xfId="23939" xr:uid="{00000000-0005-0000-0000-0000835D0000}"/>
    <cellStyle name="Normal 2 2 4 31 7" xfId="23940" xr:uid="{00000000-0005-0000-0000-0000845D0000}"/>
    <cellStyle name="Normal 2 2 4 31 8" xfId="23941" xr:uid="{00000000-0005-0000-0000-0000855D0000}"/>
    <cellStyle name="Normal 2 2 4 31 9" xfId="23942" xr:uid="{00000000-0005-0000-0000-0000865D0000}"/>
    <cellStyle name="Normal 2 2 4 32" xfId="23943" xr:uid="{00000000-0005-0000-0000-0000875D0000}"/>
    <cellStyle name="Normal 2 2 4 32 10" xfId="23944" xr:uid="{00000000-0005-0000-0000-0000885D0000}"/>
    <cellStyle name="Normal 2 2 4 32 11" xfId="23945" xr:uid="{00000000-0005-0000-0000-0000895D0000}"/>
    <cellStyle name="Normal 2 2 4 32 12" xfId="23946" xr:uid="{00000000-0005-0000-0000-00008A5D0000}"/>
    <cellStyle name="Normal 2 2 4 32 13" xfId="23947" xr:uid="{00000000-0005-0000-0000-00008B5D0000}"/>
    <cellStyle name="Normal 2 2 4 32 14" xfId="23948" xr:uid="{00000000-0005-0000-0000-00008C5D0000}"/>
    <cellStyle name="Normal 2 2 4 32 2" xfId="23949" xr:uid="{00000000-0005-0000-0000-00008D5D0000}"/>
    <cellStyle name="Normal 2 2 4 32 2 10" xfId="23950" xr:uid="{00000000-0005-0000-0000-00008E5D0000}"/>
    <cellStyle name="Normal 2 2 4 32 2 2" xfId="23951" xr:uid="{00000000-0005-0000-0000-00008F5D0000}"/>
    <cellStyle name="Normal 2 2 4 32 2 3" xfId="23952" xr:uid="{00000000-0005-0000-0000-0000905D0000}"/>
    <cellStyle name="Normal 2 2 4 32 2 4" xfId="23953" xr:uid="{00000000-0005-0000-0000-0000915D0000}"/>
    <cellStyle name="Normal 2 2 4 32 2 5" xfId="23954" xr:uid="{00000000-0005-0000-0000-0000925D0000}"/>
    <cellStyle name="Normal 2 2 4 32 2 6" xfId="23955" xr:uid="{00000000-0005-0000-0000-0000935D0000}"/>
    <cellStyle name="Normal 2 2 4 32 2 7" xfId="23956" xr:uid="{00000000-0005-0000-0000-0000945D0000}"/>
    <cellStyle name="Normal 2 2 4 32 2 8" xfId="23957" xr:uid="{00000000-0005-0000-0000-0000955D0000}"/>
    <cellStyle name="Normal 2 2 4 32 2 9" xfId="23958" xr:uid="{00000000-0005-0000-0000-0000965D0000}"/>
    <cellStyle name="Normal 2 2 4 32 3" xfId="23959" xr:uid="{00000000-0005-0000-0000-0000975D0000}"/>
    <cellStyle name="Normal 2 2 4 32 3 10" xfId="23960" xr:uid="{00000000-0005-0000-0000-0000985D0000}"/>
    <cellStyle name="Normal 2 2 4 32 3 2" xfId="23961" xr:uid="{00000000-0005-0000-0000-0000995D0000}"/>
    <cellStyle name="Normal 2 2 4 32 3 3" xfId="23962" xr:uid="{00000000-0005-0000-0000-00009A5D0000}"/>
    <cellStyle name="Normal 2 2 4 32 3 4" xfId="23963" xr:uid="{00000000-0005-0000-0000-00009B5D0000}"/>
    <cellStyle name="Normal 2 2 4 32 3 5" xfId="23964" xr:uid="{00000000-0005-0000-0000-00009C5D0000}"/>
    <cellStyle name="Normal 2 2 4 32 3 6" xfId="23965" xr:uid="{00000000-0005-0000-0000-00009D5D0000}"/>
    <cellStyle name="Normal 2 2 4 32 3 7" xfId="23966" xr:uid="{00000000-0005-0000-0000-00009E5D0000}"/>
    <cellStyle name="Normal 2 2 4 32 3 8" xfId="23967" xr:uid="{00000000-0005-0000-0000-00009F5D0000}"/>
    <cellStyle name="Normal 2 2 4 32 3 9" xfId="23968" xr:uid="{00000000-0005-0000-0000-0000A05D0000}"/>
    <cellStyle name="Normal 2 2 4 32 4" xfId="23969" xr:uid="{00000000-0005-0000-0000-0000A15D0000}"/>
    <cellStyle name="Normal 2 2 4 32 4 10" xfId="23970" xr:uid="{00000000-0005-0000-0000-0000A25D0000}"/>
    <cellStyle name="Normal 2 2 4 32 4 2" xfId="23971" xr:uid="{00000000-0005-0000-0000-0000A35D0000}"/>
    <cellStyle name="Normal 2 2 4 32 4 3" xfId="23972" xr:uid="{00000000-0005-0000-0000-0000A45D0000}"/>
    <cellStyle name="Normal 2 2 4 32 4 4" xfId="23973" xr:uid="{00000000-0005-0000-0000-0000A55D0000}"/>
    <cellStyle name="Normal 2 2 4 32 4 5" xfId="23974" xr:uid="{00000000-0005-0000-0000-0000A65D0000}"/>
    <cellStyle name="Normal 2 2 4 32 4 6" xfId="23975" xr:uid="{00000000-0005-0000-0000-0000A75D0000}"/>
    <cellStyle name="Normal 2 2 4 32 4 7" xfId="23976" xr:uid="{00000000-0005-0000-0000-0000A85D0000}"/>
    <cellStyle name="Normal 2 2 4 32 4 8" xfId="23977" xr:uid="{00000000-0005-0000-0000-0000A95D0000}"/>
    <cellStyle name="Normal 2 2 4 32 4 9" xfId="23978" xr:uid="{00000000-0005-0000-0000-0000AA5D0000}"/>
    <cellStyle name="Normal 2 2 4 32 5" xfId="23979" xr:uid="{00000000-0005-0000-0000-0000AB5D0000}"/>
    <cellStyle name="Normal 2 2 4 32 5 10" xfId="23980" xr:uid="{00000000-0005-0000-0000-0000AC5D0000}"/>
    <cellStyle name="Normal 2 2 4 32 5 2" xfId="23981" xr:uid="{00000000-0005-0000-0000-0000AD5D0000}"/>
    <cellStyle name="Normal 2 2 4 32 5 3" xfId="23982" xr:uid="{00000000-0005-0000-0000-0000AE5D0000}"/>
    <cellStyle name="Normal 2 2 4 32 5 4" xfId="23983" xr:uid="{00000000-0005-0000-0000-0000AF5D0000}"/>
    <cellStyle name="Normal 2 2 4 32 5 5" xfId="23984" xr:uid="{00000000-0005-0000-0000-0000B05D0000}"/>
    <cellStyle name="Normal 2 2 4 32 5 6" xfId="23985" xr:uid="{00000000-0005-0000-0000-0000B15D0000}"/>
    <cellStyle name="Normal 2 2 4 32 5 7" xfId="23986" xr:uid="{00000000-0005-0000-0000-0000B25D0000}"/>
    <cellStyle name="Normal 2 2 4 32 5 8" xfId="23987" xr:uid="{00000000-0005-0000-0000-0000B35D0000}"/>
    <cellStyle name="Normal 2 2 4 32 5 9" xfId="23988" xr:uid="{00000000-0005-0000-0000-0000B45D0000}"/>
    <cellStyle name="Normal 2 2 4 32 6" xfId="23989" xr:uid="{00000000-0005-0000-0000-0000B55D0000}"/>
    <cellStyle name="Normal 2 2 4 32 7" xfId="23990" xr:uid="{00000000-0005-0000-0000-0000B65D0000}"/>
    <cellStyle name="Normal 2 2 4 32 8" xfId="23991" xr:uid="{00000000-0005-0000-0000-0000B75D0000}"/>
    <cellStyle name="Normal 2 2 4 32 9" xfId="23992" xr:uid="{00000000-0005-0000-0000-0000B85D0000}"/>
    <cellStyle name="Normal 2 2 4 33" xfId="23993" xr:uid="{00000000-0005-0000-0000-0000B95D0000}"/>
    <cellStyle name="Normal 2 2 4 33 10" xfId="23994" xr:uid="{00000000-0005-0000-0000-0000BA5D0000}"/>
    <cellStyle name="Normal 2 2 4 33 11" xfId="23995" xr:uid="{00000000-0005-0000-0000-0000BB5D0000}"/>
    <cellStyle name="Normal 2 2 4 33 12" xfId="23996" xr:uid="{00000000-0005-0000-0000-0000BC5D0000}"/>
    <cellStyle name="Normal 2 2 4 33 13" xfId="23997" xr:uid="{00000000-0005-0000-0000-0000BD5D0000}"/>
    <cellStyle name="Normal 2 2 4 33 14" xfId="23998" xr:uid="{00000000-0005-0000-0000-0000BE5D0000}"/>
    <cellStyle name="Normal 2 2 4 33 2" xfId="23999" xr:uid="{00000000-0005-0000-0000-0000BF5D0000}"/>
    <cellStyle name="Normal 2 2 4 33 2 10" xfId="24000" xr:uid="{00000000-0005-0000-0000-0000C05D0000}"/>
    <cellStyle name="Normal 2 2 4 33 2 2" xfId="24001" xr:uid="{00000000-0005-0000-0000-0000C15D0000}"/>
    <cellStyle name="Normal 2 2 4 33 2 3" xfId="24002" xr:uid="{00000000-0005-0000-0000-0000C25D0000}"/>
    <cellStyle name="Normal 2 2 4 33 2 4" xfId="24003" xr:uid="{00000000-0005-0000-0000-0000C35D0000}"/>
    <cellStyle name="Normal 2 2 4 33 2 5" xfId="24004" xr:uid="{00000000-0005-0000-0000-0000C45D0000}"/>
    <cellStyle name="Normal 2 2 4 33 2 6" xfId="24005" xr:uid="{00000000-0005-0000-0000-0000C55D0000}"/>
    <cellStyle name="Normal 2 2 4 33 2 7" xfId="24006" xr:uid="{00000000-0005-0000-0000-0000C65D0000}"/>
    <cellStyle name="Normal 2 2 4 33 2 8" xfId="24007" xr:uid="{00000000-0005-0000-0000-0000C75D0000}"/>
    <cellStyle name="Normal 2 2 4 33 2 9" xfId="24008" xr:uid="{00000000-0005-0000-0000-0000C85D0000}"/>
    <cellStyle name="Normal 2 2 4 33 3" xfId="24009" xr:uid="{00000000-0005-0000-0000-0000C95D0000}"/>
    <cellStyle name="Normal 2 2 4 33 3 10" xfId="24010" xr:uid="{00000000-0005-0000-0000-0000CA5D0000}"/>
    <cellStyle name="Normal 2 2 4 33 3 2" xfId="24011" xr:uid="{00000000-0005-0000-0000-0000CB5D0000}"/>
    <cellStyle name="Normal 2 2 4 33 3 3" xfId="24012" xr:uid="{00000000-0005-0000-0000-0000CC5D0000}"/>
    <cellStyle name="Normal 2 2 4 33 3 4" xfId="24013" xr:uid="{00000000-0005-0000-0000-0000CD5D0000}"/>
    <cellStyle name="Normal 2 2 4 33 3 5" xfId="24014" xr:uid="{00000000-0005-0000-0000-0000CE5D0000}"/>
    <cellStyle name="Normal 2 2 4 33 3 6" xfId="24015" xr:uid="{00000000-0005-0000-0000-0000CF5D0000}"/>
    <cellStyle name="Normal 2 2 4 33 3 7" xfId="24016" xr:uid="{00000000-0005-0000-0000-0000D05D0000}"/>
    <cellStyle name="Normal 2 2 4 33 3 8" xfId="24017" xr:uid="{00000000-0005-0000-0000-0000D15D0000}"/>
    <cellStyle name="Normal 2 2 4 33 3 9" xfId="24018" xr:uid="{00000000-0005-0000-0000-0000D25D0000}"/>
    <cellStyle name="Normal 2 2 4 33 4" xfId="24019" xr:uid="{00000000-0005-0000-0000-0000D35D0000}"/>
    <cellStyle name="Normal 2 2 4 33 4 10" xfId="24020" xr:uid="{00000000-0005-0000-0000-0000D45D0000}"/>
    <cellStyle name="Normal 2 2 4 33 4 2" xfId="24021" xr:uid="{00000000-0005-0000-0000-0000D55D0000}"/>
    <cellStyle name="Normal 2 2 4 33 4 3" xfId="24022" xr:uid="{00000000-0005-0000-0000-0000D65D0000}"/>
    <cellStyle name="Normal 2 2 4 33 4 4" xfId="24023" xr:uid="{00000000-0005-0000-0000-0000D75D0000}"/>
    <cellStyle name="Normal 2 2 4 33 4 5" xfId="24024" xr:uid="{00000000-0005-0000-0000-0000D85D0000}"/>
    <cellStyle name="Normal 2 2 4 33 4 6" xfId="24025" xr:uid="{00000000-0005-0000-0000-0000D95D0000}"/>
    <cellStyle name="Normal 2 2 4 33 4 7" xfId="24026" xr:uid="{00000000-0005-0000-0000-0000DA5D0000}"/>
    <cellStyle name="Normal 2 2 4 33 4 8" xfId="24027" xr:uid="{00000000-0005-0000-0000-0000DB5D0000}"/>
    <cellStyle name="Normal 2 2 4 33 4 9" xfId="24028" xr:uid="{00000000-0005-0000-0000-0000DC5D0000}"/>
    <cellStyle name="Normal 2 2 4 33 5" xfId="24029" xr:uid="{00000000-0005-0000-0000-0000DD5D0000}"/>
    <cellStyle name="Normal 2 2 4 33 5 10" xfId="24030" xr:uid="{00000000-0005-0000-0000-0000DE5D0000}"/>
    <cellStyle name="Normal 2 2 4 33 5 2" xfId="24031" xr:uid="{00000000-0005-0000-0000-0000DF5D0000}"/>
    <cellStyle name="Normal 2 2 4 33 5 3" xfId="24032" xr:uid="{00000000-0005-0000-0000-0000E05D0000}"/>
    <cellStyle name="Normal 2 2 4 33 5 4" xfId="24033" xr:uid="{00000000-0005-0000-0000-0000E15D0000}"/>
    <cellStyle name="Normal 2 2 4 33 5 5" xfId="24034" xr:uid="{00000000-0005-0000-0000-0000E25D0000}"/>
    <cellStyle name="Normal 2 2 4 33 5 6" xfId="24035" xr:uid="{00000000-0005-0000-0000-0000E35D0000}"/>
    <cellStyle name="Normal 2 2 4 33 5 7" xfId="24036" xr:uid="{00000000-0005-0000-0000-0000E45D0000}"/>
    <cellStyle name="Normal 2 2 4 33 5 8" xfId="24037" xr:uid="{00000000-0005-0000-0000-0000E55D0000}"/>
    <cellStyle name="Normal 2 2 4 33 5 9" xfId="24038" xr:uid="{00000000-0005-0000-0000-0000E65D0000}"/>
    <cellStyle name="Normal 2 2 4 33 6" xfId="24039" xr:uid="{00000000-0005-0000-0000-0000E75D0000}"/>
    <cellStyle name="Normal 2 2 4 33 7" xfId="24040" xr:uid="{00000000-0005-0000-0000-0000E85D0000}"/>
    <cellStyle name="Normal 2 2 4 33 8" xfId="24041" xr:uid="{00000000-0005-0000-0000-0000E95D0000}"/>
    <cellStyle name="Normal 2 2 4 33 9" xfId="24042" xr:uid="{00000000-0005-0000-0000-0000EA5D0000}"/>
    <cellStyle name="Normal 2 2 4 34" xfId="24043" xr:uid="{00000000-0005-0000-0000-0000EB5D0000}"/>
    <cellStyle name="Normal 2 2 4 35" xfId="24044" xr:uid="{00000000-0005-0000-0000-0000EC5D0000}"/>
    <cellStyle name="Normal 2 2 4 36" xfId="24045" xr:uid="{00000000-0005-0000-0000-0000ED5D0000}"/>
    <cellStyle name="Normal 2 2 4 37" xfId="21773" xr:uid="{00000000-0005-0000-0000-00000D550000}"/>
    <cellStyle name="Normal 2 2 4 4" xfId="24046" xr:uid="{00000000-0005-0000-0000-0000EE5D0000}"/>
    <cellStyle name="Normal 2 2 4 4 10" xfId="24047" xr:uid="{00000000-0005-0000-0000-0000EF5D0000}"/>
    <cellStyle name="Normal 2 2 4 4 11" xfId="24048" xr:uid="{00000000-0005-0000-0000-0000F05D0000}"/>
    <cellStyle name="Normal 2 2 4 4 12" xfId="24049" xr:uid="{00000000-0005-0000-0000-0000F15D0000}"/>
    <cellStyle name="Normal 2 2 4 4 13" xfId="24050" xr:uid="{00000000-0005-0000-0000-0000F25D0000}"/>
    <cellStyle name="Normal 2 2 4 4 14" xfId="24051" xr:uid="{00000000-0005-0000-0000-0000F35D0000}"/>
    <cellStyle name="Normal 2 2 4 4 2" xfId="24052" xr:uid="{00000000-0005-0000-0000-0000F45D0000}"/>
    <cellStyle name="Normal 2 2 4 4 2 10" xfId="24053" xr:uid="{00000000-0005-0000-0000-0000F55D0000}"/>
    <cellStyle name="Normal 2 2 4 4 2 2" xfId="24054" xr:uid="{00000000-0005-0000-0000-0000F65D0000}"/>
    <cellStyle name="Normal 2 2 4 4 2 3" xfId="24055" xr:uid="{00000000-0005-0000-0000-0000F75D0000}"/>
    <cellStyle name="Normal 2 2 4 4 2 4" xfId="24056" xr:uid="{00000000-0005-0000-0000-0000F85D0000}"/>
    <cellStyle name="Normal 2 2 4 4 2 5" xfId="24057" xr:uid="{00000000-0005-0000-0000-0000F95D0000}"/>
    <cellStyle name="Normal 2 2 4 4 2 6" xfId="24058" xr:uid="{00000000-0005-0000-0000-0000FA5D0000}"/>
    <cellStyle name="Normal 2 2 4 4 2 7" xfId="24059" xr:uid="{00000000-0005-0000-0000-0000FB5D0000}"/>
    <cellStyle name="Normal 2 2 4 4 2 8" xfId="24060" xr:uid="{00000000-0005-0000-0000-0000FC5D0000}"/>
    <cellStyle name="Normal 2 2 4 4 2 9" xfId="24061" xr:uid="{00000000-0005-0000-0000-0000FD5D0000}"/>
    <cellStyle name="Normal 2 2 4 4 3" xfId="24062" xr:uid="{00000000-0005-0000-0000-0000FE5D0000}"/>
    <cellStyle name="Normal 2 2 4 4 3 10" xfId="24063" xr:uid="{00000000-0005-0000-0000-0000FF5D0000}"/>
    <cellStyle name="Normal 2 2 4 4 3 2" xfId="24064" xr:uid="{00000000-0005-0000-0000-0000005E0000}"/>
    <cellStyle name="Normal 2 2 4 4 3 3" xfId="24065" xr:uid="{00000000-0005-0000-0000-0000015E0000}"/>
    <cellStyle name="Normal 2 2 4 4 3 4" xfId="24066" xr:uid="{00000000-0005-0000-0000-0000025E0000}"/>
    <cellStyle name="Normal 2 2 4 4 3 5" xfId="24067" xr:uid="{00000000-0005-0000-0000-0000035E0000}"/>
    <cellStyle name="Normal 2 2 4 4 3 6" xfId="24068" xr:uid="{00000000-0005-0000-0000-0000045E0000}"/>
    <cellStyle name="Normal 2 2 4 4 3 7" xfId="24069" xr:uid="{00000000-0005-0000-0000-0000055E0000}"/>
    <cellStyle name="Normal 2 2 4 4 3 8" xfId="24070" xr:uid="{00000000-0005-0000-0000-0000065E0000}"/>
    <cellStyle name="Normal 2 2 4 4 3 9" xfId="24071" xr:uid="{00000000-0005-0000-0000-0000075E0000}"/>
    <cellStyle name="Normal 2 2 4 4 4" xfId="24072" xr:uid="{00000000-0005-0000-0000-0000085E0000}"/>
    <cellStyle name="Normal 2 2 4 4 4 10" xfId="24073" xr:uid="{00000000-0005-0000-0000-0000095E0000}"/>
    <cellStyle name="Normal 2 2 4 4 4 2" xfId="24074" xr:uid="{00000000-0005-0000-0000-00000A5E0000}"/>
    <cellStyle name="Normal 2 2 4 4 4 3" xfId="24075" xr:uid="{00000000-0005-0000-0000-00000B5E0000}"/>
    <cellStyle name="Normal 2 2 4 4 4 4" xfId="24076" xr:uid="{00000000-0005-0000-0000-00000C5E0000}"/>
    <cellStyle name="Normal 2 2 4 4 4 5" xfId="24077" xr:uid="{00000000-0005-0000-0000-00000D5E0000}"/>
    <cellStyle name="Normal 2 2 4 4 4 6" xfId="24078" xr:uid="{00000000-0005-0000-0000-00000E5E0000}"/>
    <cellStyle name="Normal 2 2 4 4 4 7" xfId="24079" xr:uid="{00000000-0005-0000-0000-00000F5E0000}"/>
    <cellStyle name="Normal 2 2 4 4 4 8" xfId="24080" xr:uid="{00000000-0005-0000-0000-0000105E0000}"/>
    <cellStyle name="Normal 2 2 4 4 4 9" xfId="24081" xr:uid="{00000000-0005-0000-0000-0000115E0000}"/>
    <cellStyle name="Normal 2 2 4 4 5" xfId="24082" xr:uid="{00000000-0005-0000-0000-0000125E0000}"/>
    <cellStyle name="Normal 2 2 4 4 5 10" xfId="24083" xr:uid="{00000000-0005-0000-0000-0000135E0000}"/>
    <cellStyle name="Normal 2 2 4 4 5 2" xfId="24084" xr:uid="{00000000-0005-0000-0000-0000145E0000}"/>
    <cellStyle name="Normal 2 2 4 4 5 3" xfId="24085" xr:uid="{00000000-0005-0000-0000-0000155E0000}"/>
    <cellStyle name="Normal 2 2 4 4 5 4" xfId="24086" xr:uid="{00000000-0005-0000-0000-0000165E0000}"/>
    <cellStyle name="Normal 2 2 4 4 5 5" xfId="24087" xr:uid="{00000000-0005-0000-0000-0000175E0000}"/>
    <cellStyle name="Normal 2 2 4 4 5 6" xfId="24088" xr:uid="{00000000-0005-0000-0000-0000185E0000}"/>
    <cellStyle name="Normal 2 2 4 4 5 7" xfId="24089" xr:uid="{00000000-0005-0000-0000-0000195E0000}"/>
    <cellStyle name="Normal 2 2 4 4 5 8" xfId="24090" xr:uid="{00000000-0005-0000-0000-00001A5E0000}"/>
    <cellStyle name="Normal 2 2 4 4 5 9" xfId="24091" xr:uid="{00000000-0005-0000-0000-00001B5E0000}"/>
    <cellStyle name="Normal 2 2 4 4 6" xfId="24092" xr:uid="{00000000-0005-0000-0000-00001C5E0000}"/>
    <cellStyle name="Normal 2 2 4 4 7" xfId="24093" xr:uid="{00000000-0005-0000-0000-00001D5E0000}"/>
    <cellStyle name="Normal 2 2 4 4 8" xfId="24094" xr:uid="{00000000-0005-0000-0000-00001E5E0000}"/>
    <cellStyle name="Normal 2 2 4 4 9" xfId="24095" xr:uid="{00000000-0005-0000-0000-00001F5E0000}"/>
    <cellStyle name="Normal 2 2 4 5" xfId="24096" xr:uid="{00000000-0005-0000-0000-0000205E0000}"/>
    <cellStyle name="Normal 2 2 4 5 10" xfId="24097" xr:uid="{00000000-0005-0000-0000-0000215E0000}"/>
    <cellStyle name="Normal 2 2 4 5 11" xfId="24098" xr:uid="{00000000-0005-0000-0000-0000225E0000}"/>
    <cellStyle name="Normal 2 2 4 5 12" xfId="24099" xr:uid="{00000000-0005-0000-0000-0000235E0000}"/>
    <cellStyle name="Normal 2 2 4 5 13" xfId="24100" xr:uid="{00000000-0005-0000-0000-0000245E0000}"/>
    <cellStyle name="Normal 2 2 4 5 14" xfId="24101" xr:uid="{00000000-0005-0000-0000-0000255E0000}"/>
    <cellStyle name="Normal 2 2 4 5 2" xfId="24102" xr:uid="{00000000-0005-0000-0000-0000265E0000}"/>
    <cellStyle name="Normal 2 2 4 5 2 10" xfId="24103" xr:uid="{00000000-0005-0000-0000-0000275E0000}"/>
    <cellStyle name="Normal 2 2 4 5 2 2" xfId="24104" xr:uid="{00000000-0005-0000-0000-0000285E0000}"/>
    <cellStyle name="Normal 2 2 4 5 2 3" xfId="24105" xr:uid="{00000000-0005-0000-0000-0000295E0000}"/>
    <cellStyle name="Normal 2 2 4 5 2 4" xfId="24106" xr:uid="{00000000-0005-0000-0000-00002A5E0000}"/>
    <cellStyle name="Normal 2 2 4 5 2 5" xfId="24107" xr:uid="{00000000-0005-0000-0000-00002B5E0000}"/>
    <cellStyle name="Normal 2 2 4 5 2 6" xfId="24108" xr:uid="{00000000-0005-0000-0000-00002C5E0000}"/>
    <cellStyle name="Normal 2 2 4 5 2 7" xfId="24109" xr:uid="{00000000-0005-0000-0000-00002D5E0000}"/>
    <cellStyle name="Normal 2 2 4 5 2 8" xfId="24110" xr:uid="{00000000-0005-0000-0000-00002E5E0000}"/>
    <cellStyle name="Normal 2 2 4 5 2 9" xfId="24111" xr:uid="{00000000-0005-0000-0000-00002F5E0000}"/>
    <cellStyle name="Normal 2 2 4 5 3" xfId="24112" xr:uid="{00000000-0005-0000-0000-0000305E0000}"/>
    <cellStyle name="Normal 2 2 4 5 3 10" xfId="24113" xr:uid="{00000000-0005-0000-0000-0000315E0000}"/>
    <cellStyle name="Normal 2 2 4 5 3 2" xfId="24114" xr:uid="{00000000-0005-0000-0000-0000325E0000}"/>
    <cellStyle name="Normal 2 2 4 5 3 3" xfId="24115" xr:uid="{00000000-0005-0000-0000-0000335E0000}"/>
    <cellStyle name="Normal 2 2 4 5 3 4" xfId="24116" xr:uid="{00000000-0005-0000-0000-0000345E0000}"/>
    <cellStyle name="Normal 2 2 4 5 3 5" xfId="24117" xr:uid="{00000000-0005-0000-0000-0000355E0000}"/>
    <cellStyle name="Normal 2 2 4 5 3 6" xfId="24118" xr:uid="{00000000-0005-0000-0000-0000365E0000}"/>
    <cellStyle name="Normal 2 2 4 5 3 7" xfId="24119" xr:uid="{00000000-0005-0000-0000-0000375E0000}"/>
    <cellStyle name="Normal 2 2 4 5 3 8" xfId="24120" xr:uid="{00000000-0005-0000-0000-0000385E0000}"/>
    <cellStyle name="Normal 2 2 4 5 3 9" xfId="24121" xr:uid="{00000000-0005-0000-0000-0000395E0000}"/>
    <cellStyle name="Normal 2 2 4 5 4" xfId="24122" xr:uid="{00000000-0005-0000-0000-00003A5E0000}"/>
    <cellStyle name="Normal 2 2 4 5 4 10" xfId="24123" xr:uid="{00000000-0005-0000-0000-00003B5E0000}"/>
    <cellStyle name="Normal 2 2 4 5 4 2" xfId="24124" xr:uid="{00000000-0005-0000-0000-00003C5E0000}"/>
    <cellStyle name="Normal 2 2 4 5 4 3" xfId="24125" xr:uid="{00000000-0005-0000-0000-00003D5E0000}"/>
    <cellStyle name="Normal 2 2 4 5 4 4" xfId="24126" xr:uid="{00000000-0005-0000-0000-00003E5E0000}"/>
    <cellStyle name="Normal 2 2 4 5 4 5" xfId="24127" xr:uid="{00000000-0005-0000-0000-00003F5E0000}"/>
    <cellStyle name="Normal 2 2 4 5 4 6" xfId="24128" xr:uid="{00000000-0005-0000-0000-0000405E0000}"/>
    <cellStyle name="Normal 2 2 4 5 4 7" xfId="24129" xr:uid="{00000000-0005-0000-0000-0000415E0000}"/>
    <cellStyle name="Normal 2 2 4 5 4 8" xfId="24130" xr:uid="{00000000-0005-0000-0000-0000425E0000}"/>
    <cellStyle name="Normal 2 2 4 5 4 9" xfId="24131" xr:uid="{00000000-0005-0000-0000-0000435E0000}"/>
    <cellStyle name="Normal 2 2 4 5 5" xfId="24132" xr:uid="{00000000-0005-0000-0000-0000445E0000}"/>
    <cellStyle name="Normal 2 2 4 5 5 10" xfId="24133" xr:uid="{00000000-0005-0000-0000-0000455E0000}"/>
    <cellStyle name="Normal 2 2 4 5 5 2" xfId="24134" xr:uid="{00000000-0005-0000-0000-0000465E0000}"/>
    <cellStyle name="Normal 2 2 4 5 5 3" xfId="24135" xr:uid="{00000000-0005-0000-0000-0000475E0000}"/>
    <cellStyle name="Normal 2 2 4 5 5 4" xfId="24136" xr:uid="{00000000-0005-0000-0000-0000485E0000}"/>
    <cellStyle name="Normal 2 2 4 5 5 5" xfId="24137" xr:uid="{00000000-0005-0000-0000-0000495E0000}"/>
    <cellStyle name="Normal 2 2 4 5 5 6" xfId="24138" xr:uid="{00000000-0005-0000-0000-00004A5E0000}"/>
    <cellStyle name="Normal 2 2 4 5 5 7" xfId="24139" xr:uid="{00000000-0005-0000-0000-00004B5E0000}"/>
    <cellStyle name="Normal 2 2 4 5 5 8" xfId="24140" xr:uid="{00000000-0005-0000-0000-00004C5E0000}"/>
    <cellStyle name="Normal 2 2 4 5 5 9" xfId="24141" xr:uid="{00000000-0005-0000-0000-00004D5E0000}"/>
    <cellStyle name="Normal 2 2 4 5 6" xfId="24142" xr:uid="{00000000-0005-0000-0000-00004E5E0000}"/>
    <cellStyle name="Normal 2 2 4 5 7" xfId="24143" xr:uid="{00000000-0005-0000-0000-00004F5E0000}"/>
    <cellStyle name="Normal 2 2 4 5 8" xfId="24144" xr:uid="{00000000-0005-0000-0000-0000505E0000}"/>
    <cellStyle name="Normal 2 2 4 5 9" xfId="24145" xr:uid="{00000000-0005-0000-0000-0000515E0000}"/>
    <cellStyle name="Normal 2 2 4 6" xfId="24146" xr:uid="{00000000-0005-0000-0000-0000525E0000}"/>
    <cellStyle name="Normal 2 2 4 6 10" xfId="24147" xr:uid="{00000000-0005-0000-0000-0000535E0000}"/>
    <cellStyle name="Normal 2 2 4 6 11" xfId="24148" xr:uid="{00000000-0005-0000-0000-0000545E0000}"/>
    <cellStyle name="Normal 2 2 4 6 12" xfId="24149" xr:uid="{00000000-0005-0000-0000-0000555E0000}"/>
    <cellStyle name="Normal 2 2 4 6 13" xfId="24150" xr:uid="{00000000-0005-0000-0000-0000565E0000}"/>
    <cellStyle name="Normal 2 2 4 6 14" xfId="24151" xr:uid="{00000000-0005-0000-0000-0000575E0000}"/>
    <cellStyle name="Normal 2 2 4 6 2" xfId="24152" xr:uid="{00000000-0005-0000-0000-0000585E0000}"/>
    <cellStyle name="Normal 2 2 4 6 2 10" xfId="24153" xr:uid="{00000000-0005-0000-0000-0000595E0000}"/>
    <cellStyle name="Normal 2 2 4 6 2 2" xfId="24154" xr:uid="{00000000-0005-0000-0000-00005A5E0000}"/>
    <cellStyle name="Normal 2 2 4 6 2 3" xfId="24155" xr:uid="{00000000-0005-0000-0000-00005B5E0000}"/>
    <cellStyle name="Normal 2 2 4 6 2 4" xfId="24156" xr:uid="{00000000-0005-0000-0000-00005C5E0000}"/>
    <cellStyle name="Normal 2 2 4 6 2 5" xfId="24157" xr:uid="{00000000-0005-0000-0000-00005D5E0000}"/>
    <cellStyle name="Normal 2 2 4 6 2 6" xfId="24158" xr:uid="{00000000-0005-0000-0000-00005E5E0000}"/>
    <cellStyle name="Normal 2 2 4 6 2 7" xfId="24159" xr:uid="{00000000-0005-0000-0000-00005F5E0000}"/>
    <cellStyle name="Normal 2 2 4 6 2 8" xfId="24160" xr:uid="{00000000-0005-0000-0000-0000605E0000}"/>
    <cellStyle name="Normal 2 2 4 6 2 9" xfId="24161" xr:uid="{00000000-0005-0000-0000-0000615E0000}"/>
    <cellStyle name="Normal 2 2 4 6 3" xfId="24162" xr:uid="{00000000-0005-0000-0000-0000625E0000}"/>
    <cellStyle name="Normal 2 2 4 6 3 10" xfId="24163" xr:uid="{00000000-0005-0000-0000-0000635E0000}"/>
    <cellStyle name="Normal 2 2 4 6 3 2" xfId="24164" xr:uid="{00000000-0005-0000-0000-0000645E0000}"/>
    <cellStyle name="Normal 2 2 4 6 3 3" xfId="24165" xr:uid="{00000000-0005-0000-0000-0000655E0000}"/>
    <cellStyle name="Normal 2 2 4 6 3 4" xfId="24166" xr:uid="{00000000-0005-0000-0000-0000665E0000}"/>
    <cellStyle name="Normal 2 2 4 6 3 5" xfId="24167" xr:uid="{00000000-0005-0000-0000-0000675E0000}"/>
    <cellStyle name="Normal 2 2 4 6 3 6" xfId="24168" xr:uid="{00000000-0005-0000-0000-0000685E0000}"/>
    <cellStyle name="Normal 2 2 4 6 3 7" xfId="24169" xr:uid="{00000000-0005-0000-0000-0000695E0000}"/>
    <cellStyle name="Normal 2 2 4 6 3 8" xfId="24170" xr:uid="{00000000-0005-0000-0000-00006A5E0000}"/>
    <cellStyle name="Normal 2 2 4 6 3 9" xfId="24171" xr:uid="{00000000-0005-0000-0000-00006B5E0000}"/>
    <cellStyle name="Normal 2 2 4 6 4" xfId="24172" xr:uid="{00000000-0005-0000-0000-00006C5E0000}"/>
    <cellStyle name="Normal 2 2 4 6 4 10" xfId="24173" xr:uid="{00000000-0005-0000-0000-00006D5E0000}"/>
    <cellStyle name="Normal 2 2 4 6 4 2" xfId="24174" xr:uid="{00000000-0005-0000-0000-00006E5E0000}"/>
    <cellStyle name="Normal 2 2 4 6 4 3" xfId="24175" xr:uid="{00000000-0005-0000-0000-00006F5E0000}"/>
    <cellStyle name="Normal 2 2 4 6 4 4" xfId="24176" xr:uid="{00000000-0005-0000-0000-0000705E0000}"/>
    <cellStyle name="Normal 2 2 4 6 4 5" xfId="24177" xr:uid="{00000000-0005-0000-0000-0000715E0000}"/>
    <cellStyle name="Normal 2 2 4 6 4 6" xfId="24178" xr:uid="{00000000-0005-0000-0000-0000725E0000}"/>
    <cellStyle name="Normal 2 2 4 6 4 7" xfId="24179" xr:uid="{00000000-0005-0000-0000-0000735E0000}"/>
    <cellStyle name="Normal 2 2 4 6 4 8" xfId="24180" xr:uid="{00000000-0005-0000-0000-0000745E0000}"/>
    <cellStyle name="Normal 2 2 4 6 4 9" xfId="24181" xr:uid="{00000000-0005-0000-0000-0000755E0000}"/>
    <cellStyle name="Normal 2 2 4 6 5" xfId="24182" xr:uid="{00000000-0005-0000-0000-0000765E0000}"/>
    <cellStyle name="Normal 2 2 4 6 5 10" xfId="24183" xr:uid="{00000000-0005-0000-0000-0000775E0000}"/>
    <cellStyle name="Normal 2 2 4 6 5 2" xfId="24184" xr:uid="{00000000-0005-0000-0000-0000785E0000}"/>
    <cellStyle name="Normal 2 2 4 6 5 3" xfId="24185" xr:uid="{00000000-0005-0000-0000-0000795E0000}"/>
    <cellStyle name="Normal 2 2 4 6 5 4" xfId="24186" xr:uid="{00000000-0005-0000-0000-00007A5E0000}"/>
    <cellStyle name="Normal 2 2 4 6 5 5" xfId="24187" xr:uid="{00000000-0005-0000-0000-00007B5E0000}"/>
    <cellStyle name="Normal 2 2 4 6 5 6" xfId="24188" xr:uid="{00000000-0005-0000-0000-00007C5E0000}"/>
    <cellStyle name="Normal 2 2 4 6 5 7" xfId="24189" xr:uid="{00000000-0005-0000-0000-00007D5E0000}"/>
    <cellStyle name="Normal 2 2 4 6 5 8" xfId="24190" xr:uid="{00000000-0005-0000-0000-00007E5E0000}"/>
    <cellStyle name="Normal 2 2 4 6 5 9" xfId="24191" xr:uid="{00000000-0005-0000-0000-00007F5E0000}"/>
    <cellStyle name="Normal 2 2 4 6 6" xfId="24192" xr:uid="{00000000-0005-0000-0000-0000805E0000}"/>
    <cellStyle name="Normal 2 2 4 6 7" xfId="24193" xr:uid="{00000000-0005-0000-0000-0000815E0000}"/>
    <cellStyle name="Normal 2 2 4 6 8" xfId="24194" xr:uid="{00000000-0005-0000-0000-0000825E0000}"/>
    <cellStyle name="Normal 2 2 4 6 9" xfId="24195" xr:uid="{00000000-0005-0000-0000-0000835E0000}"/>
    <cellStyle name="Normal 2 2 4 7" xfId="24196" xr:uid="{00000000-0005-0000-0000-0000845E0000}"/>
    <cellStyle name="Normal 2 2 4 7 10" xfId="24197" xr:uid="{00000000-0005-0000-0000-0000855E0000}"/>
    <cellStyle name="Normal 2 2 4 7 11" xfId="24198" xr:uid="{00000000-0005-0000-0000-0000865E0000}"/>
    <cellStyle name="Normal 2 2 4 7 12" xfId="24199" xr:uid="{00000000-0005-0000-0000-0000875E0000}"/>
    <cellStyle name="Normal 2 2 4 7 13" xfId="24200" xr:uid="{00000000-0005-0000-0000-0000885E0000}"/>
    <cellStyle name="Normal 2 2 4 7 14" xfId="24201" xr:uid="{00000000-0005-0000-0000-0000895E0000}"/>
    <cellStyle name="Normal 2 2 4 7 2" xfId="24202" xr:uid="{00000000-0005-0000-0000-00008A5E0000}"/>
    <cellStyle name="Normal 2 2 4 7 2 10" xfId="24203" xr:uid="{00000000-0005-0000-0000-00008B5E0000}"/>
    <cellStyle name="Normal 2 2 4 7 2 2" xfId="24204" xr:uid="{00000000-0005-0000-0000-00008C5E0000}"/>
    <cellStyle name="Normal 2 2 4 7 2 3" xfId="24205" xr:uid="{00000000-0005-0000-0000-00008D5E0000}"/>
    <cellStyle name="Normal 2 2 4 7 2 4" xfId="24206" xr:uid="{00000000-0005-0000-0000-00008E5E0000}"/>
    <cellStyle name="Normal 2 2 4 7 2 5" xfId="24207" xr:uid="{00000000-0005-0000-0000-00008F5E0000}"/>
    <cellStyle name="Normal 2 2 4 7 2 6" xfId="24208" xr:uid="{00000000-0005-0000-0000-0000905E0000}"/>
    <cellStyle name="Normal 2 2 4 7 2 7" xfId="24209" xr:uid="{00000000-0005-0000-0000-0000915E0000}"/>
    <cellStyle name="Normal 2 2 4 7 2 8" xfId="24210" xr:uid="{00000000-0005-0000-0000-0000925E0000}"/>
    <cellStyle name="Normal 2 2 4 7 2 9" xfId="24211" xr:uid="{00000000-0005-0000-0000-0000935E0000}"/>
    <cellStyle name="Normal 2 2 4 7 3" xfId="24212" xr:uid="{00000000-0005-0000-0000-0000945E0000}"/>
    <cellStyle name="Normal 2 2 4 7 3 10" xfId="24213" xr:uid="{00000000-0005-0000-0000-0000955E0000}"/>
    <cellStyle name="Normal 2 2 4 7 3 2" xfId="24214" xr:uid="{00000000-0005-0000-0000-0000965E0000}"/>
    <cellStyle name="Normal 2 2 4 7 3 3" xfId="24215" xr:uid="{00000000-0005-0000-0000-0000975E0000}"/>
    <cellStyle name="Normal 2 2 4 7 3 4" xfId="24216" xr:uid="{00000000-0005-0000-0000-0000985E0000}"/>
    <cellStyle name="Normal 2 2 4 7 3 5" xfId="24217" xr:uid="{00000000-0005-0000-0000-0000995E0000}"/>
    <cellStyle name="Normal 2 2 4 7 3 6" xfId="24218" xr:uid="{00000000-0005-0000-0000-00009A5E0000}"/>
    <cellStyle name="Normal 2 2 4 7 3 7" xfId="24219" xr:uid="{00000000-0005-0000-0000-00009B5E0000}"/>
    <cellStyle name="Normal 2 2 4 7 3 8" xfId="24220" xr:uid="{00000000-0005-0000-0000-00009C5E0000}"/>
    <cellStyle name="Normal 2 2 4 7 3 9" xfId="24221" xr:uid="{00000000-0005-0000-0000-00009D5E0000}"/>
    <cellStyle name="Normal 2 2 4 7 4" xfId="24222" xr:uid="{00000000-0005-0000-0000-00009E5E0000}"/>
    <cellStyle name="Normal 2 2 4 7 4 10" xfId="24223" xr:uid="{00000000-0005-0000-0000-00009F5E0000}"/>
    <cellStyle name="Normal 2 2 4 7 4 2" xfId="24224" xr:uid="{00000000-0005-0000-0000-0000A05E0000}"/>
    <cellStyle name="Normal 2 2 4 7 4 3" xfId="24225" xr:uid="{00000000-0005-0000-0000-0000A15E0000}"/>
    <cellStyle name="Normal 2 2 4 7 4 4" xfId="24226" xr:uid="{00000000-0005-0000-0000-0000A25E0000}"/>
    <cellStyle name="Normal 2 2 4 7 4 5" xfId="24227" xr:uid="{00000000-0005-0000-0000-0000A35E0000}"/>
    <cellStyle name="Normal 2 2 4 7 4 6" xfId="24228" xr:uid="{00000000-0005-0000-0000-0000A45E0000}"/>
    <cellStyle name="Normal 2 2 4 7 4 7" xfId="24229" xr:uid="{00000000-0005-0000-0000-0000A55E0000}"/>
    <cellStyle name="Normal 2 2 4 7 4 8" xfId="24230" xr:uid="{00000000-0005-0000-0000-0000A65E0000}"/>
    <cellStyle name="Normal 2 2 4 7 4 9" xfId="24231" xr:uid="{00000000-0005-0000-0000-0000A75E0000}"/>
    <cellStyle name="Normal 2 2 4 7 5" xfId="24232" xr:uid="{00000000-0005-0000-0000-0000A85E0000}"/>
    <cellStyle name="Normal 2 2 4 7 5 10" xfId="24233" xr:uid="{00000000-0005-0000-0000-0000A95E0000}"/>
    <cellStyle name="Normal 2 2 4 7 5 2" xfId="24234" xr:uid="{00000000-0005-0000-0000-0000AA5E0000}"/>
    <cellStyle name="Normal 2 2 4 7 5 3" xfId="24235" xr:uid="{00000000-0005-0000-0000-0000AB5E0000}"/>
    <cellStyle name="Normal 2 2 4 7 5 4" xfId="24236" xr:uid="{00000000-0005-0000-0000-0000AC5E0000}"/>
    <cellStyle name="Normal 2 2 4 7 5 5" xfId="24237" xr:uid="{00000000-0005-0000-0000-0000AD5E0000}"/>
    <cellStyle name="Normal 2 2 4 7 5 6" xfId="24238" xr:uid="{00000000-0005-0000-0000-0000AE5E0000}"/>
    <cellStyle name="Normal 2 2 4 7 5 7" xfId="24239" xr:uid="{00000000-0005-0000-0000-0000AF5E0000}"/>
    <cellStyle name="Normal 2 2 4 7 5 8" xfId="24240" xr:uid="{00000000-0005-0000-0000-0000B05E0000}"/>
    <cellStyle name="Normal 2 2 4 7 5 9" xfId="24241" xr:uid="{00000000-0005-0000-0000-0000B15E0000}"/>
    <cellStyle name="Normal 2 2 4 7 6" xfId="24242" xr:uid="{00000000-0005-0000-0000-0000B25E0000}"/>
    <cellStyle name="Normal 2 2 4 7 7" xfId="24243" xr:uid="{00000000-0005-0000-0000-0000B35E0000}"/>
    <cellStyle name="Normal 2 2 4 7 8" xfId="24244" xr:uid="{00000000-0005-0000-0000-0000B45E0000}"/>
    <cellStyle name="Normal 2 2 4 7 9" xfId="24245" xr:uid="{00000000-0005-0000-0000-0000B55E0000}"/>
    <cellStyle name="Normal 2 2 4 8" xfId="24246" xr:uid="{00000000-0005-0000-0000-0000B65E0000}"/>
    <cellStyle name="Normal 2 2 4 8 10" xfId="24247" xr:uid="{00000000-0005-0000-0000-0000B75E0000}"/>
    <cellStyle name="Normal 2 2 4 8 11" xfId="24248" xr:uid="{00000000-0005-0000-0000-0000B85E0000}"/>
    <cellStyle name="Normal 2 2 4 8 12" xfId="24249" xr:uid="{00000000-0005-0000-0000-0000B95E0000}"/>
    <cellStyle name="Normal 2 2 4 8 13" xfId="24250" xr:uid="{00000000-0005-0000-0000-0000BA5E0000}"/>
    <cellStyle name="Normal 2 2 4 8 14" xfId="24251" xr:uid="{00000000-0005-0000-0000-0000BB5E0000}"/>
    <cellStyle name="Normal 2 2 4 8 2" xfId="24252" xr:uid="{00000000-0005-0000-0000-0000BC5E0000}"/>
    <cellStyle name="Normal 2 2 4 8 2 10" xfId="24253" xr:uid="{00000000-0005-0000-0000-0000BD5E0000}"/>
    <cellStyle name="Normal 2 2 4 8 2 2" xfId="24254" xr:uid="{00000000-0005-0000-0000-0000BE5E0000}"/>
    <cellStyle name="Normal 2 2 4 8 2 3" xfId="24255" xr:uid="{00000000-0005-0000-0000-0000BF5E0000}"/>
    <cellStyle name="Normal 2 2 4 8 2 4" xfId="24256" xr:uid="{00000000-0005-0000-0000-0000C05E0000}"/>
    <cellStyle name="Normal 2 2 4 8 2 5" xfId="24257" xr:uid="{00000000-0005-0000-0000-0000C15E0000}"/>
    <cellStyle name="Normal 2 2 4 8 2 6" xfId="24258" xr:uid="{00000000-0005-0000-0000-0000C25E0000}"/>
    <cellStyle name="Normal 2 2 4 8 2 7" xfId="24259" xr:uid="{00000000-0005-0000-0000-0000C35E0000}"/>
    <cellStyle name="Normal 2 2 4 8 2 8" xfId="24260" xr:uid="{00000000-0005-0000-0000-0000C45E0000}"/>
    <cellStyle name="Normal 2 2 4 8 2 9" xfId="24261" xr:uid="{00000000-0005-0000-0000-0000C55E0000}"/>
    <cellStyle name="Normal 2 2 4 8 3" xfId="24262" xr:uid="{00000000-0005-0000-0000-0000C65E0000}"/>
    <cellStyle name="Normal 2 2 4 8 3 10" xfId="24263" xr:uid="{00000000-0005-0000-0000-0000C75E0000}"/>
    <cellStyle name="Normal 2 2 4 8 3 2" xfId="24264" xr:uid="{00000000-0005-0000-0000-0000C85E0000}"/>
    <cellStyle name="Normal 2 2 4 8 3 3" xfId="24265" xr:uid="{00000000-0005-0000-0000-0000C95E0000}"/>
    <cellStyle name="Normal 2 2 4 8 3 4" xfId="24266" xr:uid="{00000000-0005-0000-0000-0000CA5E0000}"/>
    <cellStyle name="Normal 2 2 4 8 3 5" xfId="24267" xr:uid="{00000000-0005-0000-0000-0000CB5E0000}"/>
    <cellStyle name="Normal 2 2 4 8 3 6" xfId="24268" xr:uid="{00000000-0005-0000-0000-0000CC5E0000}"/>
    <cellStyle name="Normal 2 2 4 8 3 7" xfId="24269" xr:uid="{00000000-0005-0000-0000-0000CD5E0000}"/>
    <cellStyle name="Normal 2 2 4 8 3 8" xfId="24270" xr:uid="{00000000-0005-0000-0000-0000CE5E0000}"/>
    <cellStyle name="Normal 2 2 4 8 3 9" xfId="24271" xr:uid="{00000000-0005-0000-0000-0000CF5E0000}"/>
    <cellStyle name="Normal 2 2 4 8 4" xfId="24272" xr:uid="{00000000-0005-0000-0000-0000D05E0000}"/>
    <cellStyle name="Normal 2 2 4 8 4 10" xfId="24273" xr:uid="{00000000-0005-0000-0000-0000D15E0000}"/>
    <cellStyle name="Normal 2 2 4 8 4 2" xfId="24274" xr:uid="{00000000-0005-0000-0000-0000D25E0000}"/>
    <cellStyle name="Normal 2 2 4 8 4 3" xfId="24275" xr:uid="{00000000-0005-0000-0000-0000D35E0000}"/>
    <cellStyle name="Normal 2 2 4 8 4 4" xfId="24276" xr:uid="{00000000-0005-0000-0000-0000D45E0000}"/>
    <cellStyle name="Normal 2 2 4 8 4 5" xfId="24277" xr:uid="{00000000-0005-0000-0000-0000D55E0000}"/>
    <cellStyle name="Normal 2 2 4 8 4 6" xfId="24278" xr:uid="{00000000-0005-0000-0000-0000D65E0000}"/>
    <cellStyle name="Normal 2 2 4 8 4 7" xfId="24279" xr:uid="{00000000-0005-0000-0000-0000D75E0000}"/>
    <cellStyle name="Normal 2 2 4 8 4 8" xfId="24280" xr:uid="{00000000-0005-0000-0000-0000D85E0000}"/>
    <cellStyle name="Normal 2 2 4 8 4 9" xfId="24281" xr:uid="{00000000-0005-0000-0000-0000D95E0000}"/>
    <cellStyle name="Normal 2 2 4 8 5" xfId="24282" xr:uid="{00000000-0005-0000-0000-0000DA5E0000}"/>
    <cellStyle name="Normal 2 2 4 8 5 10" xfId="24283" xr:uid="{00000000-0005-0000-0000-0000DB5E0000}"/>
    <cellStyle name="Normal 2 2 4 8 5 2" xfId="24284" xr:uid="{00000000-0005-0000-0000-0000DC5E0000}"/>
    <cellStyle name="Normal 2 2 4 8 5 3" xfId="24285" xr:uid="{00000000-0005-0000-0000-0000DD5E0000}"/>
    <cellStyle name="Normal 2 2 4 8 5 4" xfId="24286" xr:uid="{00000000-0005-0000-0000-0000DE5E0000}"/>
    <cellStyle name="Normal 2 2 4 8 5 5" xfId="24287" xr:uid="{00000000-0005-0000-0000-0000DF5E0000}"/>
    <cellStyle name="Normal 2 2 4 8 5 6" xfId="24288" xr:uid="{00000000-0005-0000-0000-0000E05E0000}"/>
    <cellStyle name="Normal 2 2 4 8 5 7" xfId="24289" xr:uid="{00000000-0005-0000-0000-0000E15E0000}"/>
    <cellStyle name="Normal 2 2 4 8 5 8" xfId="24290" xr:uid="{00000000-0005-0000-0000-0000E25E0000}"/>
    <cellStyle name="Normal 2 2 4 8 5 9" xfId="24291" xr:uid="{00000000-0005-0000-0000-0000E35E0000}"/>
    <cellStyle name="Normal 2 2 4 8 6" xfId="24292" xr:uid="{00000000-0005-0000-0000-0000E45E0000}"/>
    <cellStyle name="Normal 2 2 4 8 7" xfId="24293" xr:uid="{00000000-0005-0000-0000-0000E55E0000}"/>
    <cellStyle name="Normal 2 2 4 8 8" xfId="24294" xr:uid="{00000000-0005-0000-0000-0000E65E0000}"/>
    <cellStyle name="Normal 2 2 4 8 9" xfId="24295" xr:uid="{00000000-0005-0000-0000-0000E75E0000}"/>
    <cellStyle name="Normal 2 2 4 9" xfId="24296" xr:uid="{00000000-0005-0000-0000-0000E85E0000}"/>
    <cellStyle name="Normal 2 2 4 9 10" xfId="24297" xr:uid="{00000000-0005-0000-0000-0000E95E0000}"/>
    <cellStyle name="Normal 2 2 4 9 11" xfId="24298" xr:uid="{00000000-0005-0000-0000-0000EA5E0000}"/>
    <cellStyle name="Normal 2 2 4 9 12" xfId="24299" xr:uid="{00000000-0005-0000-0000-0000EB5E0000}"/>
    <cellStyle name="Normal 2 2 4 9 13" xfId="24300" xr:uid="{00000000-0005-0000-0000-0000EC5E0000}"/>
    <cellStyle name="Normal 2 2 4 9 14" xfId="24301" xr:uid="{00000000-0005-0000-0000-0000ED5E0000}"/>
    <cellStyle name="Normal 2 2 4 9 2" xfId="24302" xr:uid="{00000000-0005-0000-0000-0000EE5E0000}"/>
    <cellStyle name="Normal 2 2 4 9 2 10" xfId="24303" xr:uid="{00000000-0005-0000-0000-0000EF5E0000}"/>
    <cellStyle name="Normal 2 2 4 9 2 2" xfId="24304" xr:uid="{00000000-0005-0000-0000-0000F05E0000}"/>
    <cellStyle name="Normal 2 2 4 9 2 3" xfId="24305" xr:uid="{00000000-0005-0000-0000-0000F15E0000}"/>
    <cellStyle name="Normal 2 2 4 9 2 4" xfId="24306" xr:uid="{00000000-0005-0000-0000-0000F25E0000}"/>
    <cellStyle name="Normal 2 2 4 9 2 5" xfId="24307" xr:uid="{00000000-0005-0000-0000-0000F35E0000}"/>
    <cellStyle name="Normal 2 2 4 9 2 6" xfId="24308" xr:uid="{00000000-0005-0000-0000-0000F45E0000}"/>
    <cellStyle name="Normal 2 2 4 9 2 7" xfId="24309" xr:uid="{00000000-0005-0000-0000-0000F55E0000}"/>
    <cellStyle name="Normal 2 2 4 9 2 8" xfId="24310" xr:uid="{00000000-0005-0000-0000-0000F65E0000}"/>
    <cellStyle name="Normal 2 2 4 9 2 9" xfId="24311" xr:uid="{00000000-0005-0000-0000-0000F75E0000}"/>
    <cellStyle name="Normal 2 2 4 9 3" xfId="24312" xr:uid="{00000000-0005-0000-0000-0000F85E0000}"/>
    <cellStyle name="Normal 2 2 4 9 3 10" xfId="24313" xr:uid="{00000000-0005-0000-0000-0000F95E0000}"/>
    <cellStyle name="Normal 2 2 4 9 3 2" xfId="24314" xr:uid="{00000000-0005-0000-0000-0000FA5E0000}"/>
    <cellStyle name="Normal 2 2 4 9 3 3" xfId="24315" xr:uid="{00000000-0005-0000-0000-0000FB5E0000}"/>
    <cellStyle name="Normal 2 2 4 9 3 4" xfId="24316" xr:uid="{00000000-0005-0000-0000-0000FC5E0000}"/>
    <cellStyle name="Normal 2 2 4 9 3 5" xfId="24317" xr:uid="{00000000-0005-0000-0000-0000FD5E0000}"/>
    <cellStyle name="Normal 2 2 4 9 3 6" xfId="24318" xr:uid="{00000000-0005-0000-0000-0000FE5E0000}"/>
    <cellStyle name="Normal 2 2 4 9 3 7" xfId="24319" xr:uid="{00000000-0005-0000-0000-0000FF5E0000}"/>
    <cellStyle name="Normal 2 2 4 9 3 8" xfId="24320" xr:uid="{00000000-0005-0000-0000-0000005F0000}"/>
    <cellStyle name="Normal 2 2 4 9 3 9" xfId="24321" xr:uid="{00000000-0005-0000-0000-0000015F0000}"/>
    <cellStyle name="Normal 2 2 4 9 4" xfId="24322" xr:uid="{00000000-0005-0000-0000-0000025F0000}"/>
    <cellStyle name="Normal 2 2 4 9 4 10" xfId="24323" xr:uid="{00000000-0005-0000-0000-0000035F0000}"/>
    <cellStyle name="Normal 2 2 4 9 4 2" xfId="24324" xr:uid="{00000000-0005-0000-0000-0000045F0000}"/>
    <cellStyle name="Normal 2 2 4 9 4 3" xfId="24325" xr:uid="{00000000-0005-0000-0000-0000055F0000}"/>
    <cellStyle name="Normal 2 2 4 9 4 4" xfId="24326" xr:uid="{00000000-0005-0000-0000-0000065F0000}"/>
    <cellStyle name="Normal 2 2 4 9 4 5" xfId="24327" xr:uid="{00000000-0005-0000-0000-0000075F0000}"/>
    <cellStyle name="Normal 2 2 4 9 4 6" xfId="24328" xr:uid="{00000000-0005-0000-0000-0000085F0000}"/>
    <cellStyle name="Normal 2 2 4 9 4 7" xfId="24329" xr:uid="{00000000-0005-0000-0000-0000095F0000}"/>
    <cellStyle name="Normal 2 2 4 9 4 8" xfId="24330" xr:uid="{00000000-0005-0000-0000-00000A5F0000}"/>
    <cellStyle name="Normal 2 2 4 9 4 9" xfId="24331" xr:uid="{00000000-0005-0000-0000-00000B5F0000}"/>
    <cellStyle name="Normal 2 2 4 9 5" xfId="24332" xr:uid="{00000000-0005-0000-0000-00000C5F0000}"/>
    <cellStyle name="Normal 2 2 4 9 5 10" xfId="24333" xr:uid="{00000000-0005-0000-0000-00000D5F0000}"/>
    <cellStyle name="Normal 2 2 4 9 5 2" xfId="24334" xr:uid="{00000000-0005-0000-0000-00000E5F0000}"/>
    <cellStyle name="Normal 2 2 4 9 5 3" xfId="24335" xr:uid="{00000000-0005-0000-0000-00000F5F0000}"/>
    <cellStyle name="Normal 2 2 4 9 5 4" xfId="24336" xr:uid="{00000000-0005-0000-0000-0000105F0000}"/>
    <cellStyle name="Normal 2 2 4 9 5 5" xfId="24337" xr:uid="{00000000-0005-0000-0000-0000115F0000}"/>
    <cellStyle name="Normal 2 2 4 9 5 6" xfId="24338" xr:uid="{00000000-0005-0000-0000-0000125F0000}"/>
    <cellStyle name="Normal 2 2 4 9 5 7" xfId="24339" xr:uid="{00000000-0005-0000-0000-0000135F0000}"/>
    <cellStyle name="Normal 2 2 4 9 5 8" xfId="24340" xr:uid="{00000000-0005-0000-0000-0000145F0000}"/>
    <cellStyle name="Normal 2 2 4 9 5 9" xfId="24341" xr:uid="{00000000-0005-0000-0000-0000155F0000}"/>
    <cellStyle name="Normal 2 2 4 9 6" xfId="24342" xr:uid="{00000000-0005-0000-0000-0000165F0000}"/>
    <cellStyle name="Normal 2 2 4 9 7" xfId="24343" xr:uid="{00000000-0005-0000-0000-0000175F0000}"/>
    <cellStyle name="Normal 2 2 4 9 8" xfId="24344" xr:uid="{00000000-0005-0000-0000-0000185F0000}"/>
    <cellStyle name="Normal 2 2 4 9 9" xfId="24345" xr:uid="{00000000-0005-0000-0000-0000195F0000}"/>
    <cellStyle name="Normal 2 2 40" xfId="24346" xr:uid="{00000000-0005-0000-0000-00001A5F0000}"/>
    <cellStyle name="Normal 2 2 41" xfId="24347" xr:uid="{00000000-0005-0000-0000-00001B5F0000}"/>
    <cellStyle name="Normal 2 2 41 10" xfId="24348" xr:uid="{00000000-0005-0000-0000-00001C5F0000}"/>
    <cellStyle name="Normal 2 2 41 2" xfId="24349" xr:uid="{00000000-0005-0000-0000-00001D5F0000}"/>
    <cellStyle name="Normal 2 2 41 3" xfId="24350" xr:uid="{00000000-0005-0000-0000-00001E5F0000}"/>
    <cellStyle name="Normal 2 2 41 4" xfId="24351" xr:uid="{00000000-0005-0000-0000-00001F5F0000}"/>
    <cellStyle name="Normal 2 2 41 5" xfId="24352" xr:uid="{00000000-0005-0000-0000-0000205F0000}"/>
    <cellStyle name="Normal 2 2 41 6" xfId="24353" xr:uid="{00000000-0005-0000-0000-0000215F0000}"/>
    <cellStyle name="Normal 2 2 41 7" xfId="24354" xr:uid="{00000000-0005-0000-0000-0000225F0000}"/>
    <cellStyle name="Normal 2 2 41 8" xfId="24355" xr:uid="{00000000-0005-0000-0000-0000235F0000}"/>
    <cellStyle name="Normal 2 2 41 9" xfId="24356" xr:uid="{00000000-0005-0000-0000-0000245F0000}"/>
    <cellStyle name="Normal 2 2 42" xfId="24357" xr:uid="{00000000-0005-0000-0000-0000255F0000}"/>
    <cellStyle name="Normal 2 2 43" xfId="24358" xr:uid="{00000000-0005-0000-0000-0000265F0000}"/>
    <cellStyle name="Normal 2 2 44" xfId="24359" xr:uid="{00000000-0005-0000-0000-0000275F0000}"/>
    <cellStyle name="Normal 2 2 45" xfId="24360" xr:uid="{00000000-0005-0000-0000-0000285F0000}"/>
    <cellStyle name="Normal 2 2 46" xfId="24361" xr:uid="{00000000-0005-0000-0000-0000295F0000}"/>
    <cellStyle name="Normal 2 2 47" xfId="24362" xr:uid="{00000000-0005-0000-0000-00002A5F0000}"/>
    <cellStyle name="Normal 2 2 48" xfId="24363" xr:uid="{00000000-0005-0000-0000-00002B5F0000}"/>
    <cellStyle name="Normal 2 2 49" xfId="24364" xr:uid="{00000000-0005-0000-0000-00002C5F0000}"/>
    <cellStyle name="Normal 2 2 5" xfId="35" xr:uid="{00000000-0005-0000-0000-000023000000}"/>
    <cellStyle name="Normal 2 2 5 10" xfId="24366" xr:uid="{00000000-0005-0000-0000-00002E5F0000}"/>
    <cellStyle name="Normal 2 2 5 10 10" xfId="24367" xr:uid="{00000000-0005-0000-0000-00002F5F0000}"/>
    <cellStyle name="Normal 2 2 5 10 11" xfId="24368" xr:uid="{00000000-0005-0000-0000-0000305F0000}"/>
    <cellStyle name="Normal 2 2 5 10 12" xfId="24369" xr:uid="{00000000-0005-0000-0000-0000315F0000}"/>
    <cellStyle name="Normal 2 2 5 10 13" xfId="24370" xr:uid="{00000000-0005-0000-0000-0000325F0000}"/>
    <cellStyle name="Normal 2 2 5 10 14" xfId="24371" xr:uid="{00000000-0005-0000-0000-0000335F0000}"/>
    <cellStyle name="Normal 2 2 5 10 2" xfId="24372" xr:uid="{00000000-0005-0000-0000-0000345F0000}"/>
    <cellStyle name="Normal 2 2 5 10 2 10" xfId="24373" xr:uid="{00000000-0005-0000-0000-0000355F0000}"/>
    <cellStyle name="Normal 2 2 5 10 2 2" xfId="24374" xr:uid="{00000000-0005-0000-0000-0000365F0000}"/>
    <cellStyle name="Normal 2 2 5 10 2 3" xfId="24375" xr:uid="{00000000-0005-0000-0000-0000375F0000}"/>
    <cellStyle name="Normal 2 2 5 10 2 4" xfId="24376" xr:uid="{00000000-0005-0000-0000-0000385F0000}"/>
    <cellStyle name="Normal 2 2 5 10 2 5" xfId="24377" xr:uid="{00000000-0005-0000-0000-0000395F0000}"/>
    <cellStyle name="Normal 2 2 5 10 2 6" xfId="24378" xr:uid="{00000000-0005-0000-0000-00003A5F0000}"/>
    <cellStyle name="Normal 2 2 5 10 2 7" xfId="24379" xr:uid="{00000000-0005-0000-0000-00003B5F0000}"/>
    <cellStyle name="Normal 2 2 5 10 2 8" xfId="24380" xr:uid="{00000000-0005-0000-0000-00003C5F0000}"/>
    <cellStyle name="Normal 2 2 5 10 2 9" xfId="24381" xr:uid="{00000000-0005-0000-0000-00003D5F0000}"/>
    <cellStyle name="Normal 2 2 5 10 3" xfId="24382" xr:uid="{00000000-0005-0000-0000-00003E5F0000}"/>
    <cellStyle name="Normal 2 2 5 10 3 10" xfId="24383" xr:uid="{00000000-0005-0000-0000-00003F5F0000}"/>
    <cellStyle name="Normal 2 2 5 10 3 2" xfId="24384" xr:uid="{00000000-0005-0000-0000-0000405F0000}"/>
    <cellStyle name="Normal 2 2 5 10 3 3" xfId="24385" xr:uid="{00000000-0005-0000-0000-0000415F0000}"/>
    <cellStyle name="Normal 2 2 5 10 3 4" xfId="24386" xr:uid="{00000000-0005-0000-0000-0000425F0000}"/>
    <cellStyle name="Normal 2 2 5 10 3 5" xfId="24387" xr:uid="{00000000-0005-0000-0000-0000435F0000}"/>
    <cellStyle name="Normal 2 2 5 10 3 6" xfId="24388" xr:uid="{00000000-0005-0000-0000-0000445F0000}"/>
    <cellStyle name="Normal 2 2 5 10 3 7" xfId="24389" xr:uid="{00000000-0005-0000-0000-0000455F0000}"/>
    <cellStyle name="Normal 2 2 5 10 3 8" xfId="24390" xr:uid="{00000000-0005-0000-0000-0000465F0000}"/>
    <cellStyle name="Normal 2 2 5 10 3 9" xfId="24391" xr:uid="{00000000-0005-0000-0000-0000475F0000}"/>
    <cellStyle name="Normal 2 2 5 10 4" xfId="24392" xr:uid="{00000000-0005-0000-0000-0000485F0000}"/>
    <cellStyle name="Normal 2 2 5 10 4 10" xfId="24393" xr:uid="{00000000-0005-0000-0000-0000495F0000}"/>
    <cellStyle name="Normal 2 2 5 10 4 2" xfId="24394" xr:uid="{00000000-0005-0000-0000-00004A5F0000}"/>
    <cellStyle name="Normal 2 2 5 10 4 3" xfId="24395" xr:uid="{00000000-0005-0000-0000-00004B5F0000}"/>
    <cellStyle name="Normal 2 2 5 10 4 4" xfId="24396" xr:uid="{00000000-0005-0000-0000-00004C5F0000}"/>
    <cellStyle name="Normal 2 2 5 10 4 5" xfId="24397" xr:uid="{00000000-0005-0000-0000-00004D5F0000}"/>
    <cellStyle name="Normal 2 2 5 10 4 6" xfId="24398" xr:uid="{00000000-0005-0000-0000-00004E5F0000}"/>
    <cellStyle name="Normal 2 2 5 10 4 7" xfId="24399" xr:uid="{00000000-0005-0000-0000-00004F5F0000}"/>
    <cellStyle name="Normal 2 2 5 10 4 8" xfId="24400" xr:uid="{00000000-0005-0000-0000-0000505F0000}"/>
    <cellStyle name="Normal 2 2 5 10 4 9" xfId="24401" xr:uid="{00000000-0005-0000-0000-0000515F0000}"/>
    <cellStyle name="Normal 2 2 5 10 5" xfId="24402" xr:uid="{00000000-0005-0000-0000-0000525F0000}"/>
    <cellStyle name="Normal 2 2 5 10 5 10" xfId="24403" xr:uid="{00000000-0005-0000-0000-0000535F0000}"/>
    <cellStyle name="Normal 2 2 5 10 5 2" xfId="24404" xr:uid="{00000000-0005-0000-0000-0000545F0000}"/>
    <cellStyle name="Normal 2 2 5 10 5 3" xfId="24405" xr:uid="{00000000-0005-0000-0000-0000555F0000}"/>
    <cellStyle name="Normal 2 2 5 10 5 4" xfId="24406" xr:uid="{00000000-0005-0000-0000-0000565F0000}"/>
    <cellStyle name="Normal 2 2 5 10 5 5" xfId="24407" xr:uid="{00000000-0005-0000-0000-0000575F0000}"/>
    <cellStyle name="Normal 2 2 5 10 5 6" xfId="24408" xr:uid="{00000000-0005-0000-0000-0000585F0000}"/>
    <cellStyle name="Normal 2 2 5 10 5 7" xfId="24409" xr:uid="{00000000-0005-0000-0000-0000595F0000}"/>
    <cellStyle name="Normal 2 2 5 10 5 8" xfId="24410" xr:uid="{00000000-0005-0000-0000-00005A5F0000}"/>
    <cellStyle name="Normal 2 2 5 10 5 9" xfId="24411" xr:uid="{00000000-0005-0000-0000-00005B5F0000}"/>
    <cellStyle name="Normal 2 2 5 10 6" xfId="24412" xr:uid="{00000000-0005-0000-0000-00005C5F0000}"/>
    <cellStyle name="Normal 2 2 5 10 7" xfId="24413" xr:uid="{00000000-0005-0000-0000-00005D5F0000}"/>
    <cellStyle name="Normal 2 2 5 10 8" xfId="24414" xr:uid="{00000000-0005-0000-0000-00005E5F0000}"/>
    <cellStyle name="Normal 2 2 5 10 9" xfId="24415" xr:uid="{00000000-0005-0000-0000-00005F5F0000}"/>
    <cellStyle name="Normal 2 2 5 11" xfId="24416" xr:uid="{00000000-0005-0000-0000-0000605F0000}"/>
    <cellStyle name="Normal 2 2 5 11 10" xfId="24417" xr:uid="{00000000-0005-0000-0000-0000615F0000}"/>
    <cellStyle name="Normal 2 2 5 11 11" xfId="24418" xr:uid="{00000000-0005-0000-0000-0000625F0000}"/>
    <cellStyle name="Normal 2 2 5 11 12" xfId="24419" xr:uid="{00000000-0005-0000-0000-0000635F0000}"/>
    <cellStyle name="Normal 2 2 5 11 13" xfId="24420" xr:uid="{00000000-0005-0000-0000-0000645F0000}"/>
    <cellStyle name="Normal 2 2 5 11 14" xfId="24421" xr:uid="{00000000-0005-0000-0000-0000655F0000}"/>
    <cellStyle name="Normal 2 2 5 11 2" xfId="24422" xr:uid="{00000000-0005-0000-0000-0000665F0000}"/>
    <cellStyle name="Normal 2 2 5 11 2 10" xfId="24423" xr:uid="{00000000-0005-0000-0000-0000675F0000}"/>
    <cellStyle name="Normal 2 2 5 11 2 2" xfId="24424" xr:uid="{00000000-0005-0000-0000-0000685F0000}"/>
    <cellStyle name="Normal 2 2 5 11 2 3" xfId="24425" xr:uid="{00000000-0005-0000-0000-0000695F0000}"/>
    <cellStyle name="Normal 2 2 5 11 2 4" xfId="24426" xr:uid="{00000000-0005-0000-0000-00006A5F0000}"/>
    <cellStyle name="Normal 2 2 5 11 2 5" xfId="24427" xr:uid="{00000000-0005-0000-0000-00006B5F0000}"/>
    <cellStyle name="Normal 2 2 5 11 2 6" xfId="24428" xr:uid="{00000000-0005-0000-0000-00006C5F0000}"/>
    <cellStyle name="Normal 2 2 5 11 2 7" xfId="24429" xr:uid="{00000000-0005-0000-0000-00006D5F0000}"/>
    <cellStyle name="Normal 2 2 5 11 2 8" xfId="24430" xr:uid="{00000000-0005-0000-0000-00006E5F0000}"/>
    <cellStyle name="Normal 2 2 5 11 2 9" xfId="24431" xr:uid="{00000000-0005-0000-0000-00006F5F0000}"/>
    <cellStyle name="Normal 2 2 5 11 3" xfId="24432" xr:uid="{00000000-0005-0000-0000-0000705F0000}"/>
    <cellStyle name="Normal 2 2 5 11 3 10" xfId="24433" xr:uid="{00000000-0005-0000-0000-0000715F0000}"/>
    <cellStyle name="Normal 2 2 5 11 3 2" xfId="24434" xr:uid="{00000000-0005-0000-0000-0000725F0000}"/>
    <cellStyle name="Normal 2 2 5 11 3 3" xfId="24435" xr:uid="{00000000-0005-0000-0000-0000735F0000}"/>
    <cellStyle name="Normal 2 2 5 11 3 4" xfId="24436" xr:uid="{00000000-0005-0000-0000-0000745F0000}"/>
    <cellStyle name="Normal 2 2 5 11 3 5" xfId="24437" xr:uid="{00000000-0005-0000-0000-0000755F0000}"/>
    <cellStyle name="Normal 2 2 5 11 3 6" xfId="24438" xr:uid="{00000000-0005-0000-0000-0000765F0000}"/>
    <cellStyle name="Normal 2 2 5 11 3 7" xfId="24439" xr:uid="{00000000-0005-0000-0000-0000775F0000}"/>
    <cellStyle name="Normal 2 2 5 11 3 8" xfId="24440" xr:uid="{00000000-0005-0000-0000-0000785F0000}"/>
    <cellStyle name="Normal 2 2 5 11 3 9" xfId="24441" xr:uid="{00000000-0005-0000-0000-0000795F0000}"/>
    <cellStyle name="Normal 2 2 5 11 4" xfId="24442" xr:uid="{00000000-0005-0000-0000-00007A5F0000}"/>
    <cellStyle name="Normal 2 2 5 11 4 10" xfId="24443" xr:uid="{00000000-0005-0000-0000-00007B5F0000}"/>
    <cellStyle name="Normal 2 2 5 11 4 2" xfId="24444" xr:uid="{00000000-0005-0000-0000-00007C5F0000}"/>
    <cellStyle name="Normal 2 2 5 11 4 3" xfId="24445" xr:uid="{00000000-0005-0000-0000-00007D5F0000}"/>
    <cellStyle name="Normal 2 2 5 11 4 4" xfId="24446" xr:uid="{00000000-0005-0000-0000-00007E5F0000}"/>
    <cellStyle name="Normal 2 2 5 11 4 5" xfId="24447" xr:uid="{00000000-0005-0000-0000-00007F5F0000}"/>
    <cellStyle name="Normal 2 2 5 11 4 6" xfId="24448" xr:uid="{00000000-0005-0000-0000-0000805F0000}"/>
    <cellStyle name="Normal 2 2 5 11 4 7" xfId="24449" xr:uid="{00000000-0005-0000-0000-0000815F0000}"/>
    <cellStyle name="Normal 2 2 5 11 4 8" xfId="24450" xr:uid="{00000000-0005-0000-0000-0000825F0000}"/>
    <cellStyle name="Normal 2 2 5 11 4 9" xfId="24451" xr:uid="{00000000-0005-0000-0000-0000835F0000}"/>
    <cellStyle name="Normal 2 2 5 11 5" xfId="24452" xr:uid="{00000000-0005-0000-0000-0000845F0000}"/>
    <cellStyle name="Normal 2 2 5 11 5 10" xfId="24453" xr:uid="{00000000-0005-0000-0000-0000855F0000}"/>
    <cellStyle name="Normal 2 2 5 11 5 2" xfId="24454" xr:uid="{00000000-0005-0000-0000-0000865F0000}"/>
    <cellStyle name="Normal 2 2 5 11 5 3" xfId="24455" xr:uid="{00000000-0005-0000-0000-0000875F0000}"/>
    <cellStyle name="Normal 2 2 5 11 5 4" xfId="24456" xr:uid="{00000000-0005-0000-0000-0000885F0000}"/>
    <cellStyle name="Normal 2 2 5 11 5 5" xfId="24457" xr:uid="{00000000-0005-0000-0000-0000895F0000}"/>
    <cellStyle name="Normal 2 2 5 11 5 6" xfId="24458" xr:uid="{00000000-0005-0000-0000-00008A5F0000}"/>
    <cellStyle name="Normal 2 2 5 11 5 7" xfId="24459" xr:uid="{00000000-0005-0000-0000-00008B5F0000}"/>
    <cellStyle name="Normal 2 2 5 11 5 8" xfId="24460" xr:uid="{00000000-0005-0000-0000-00008C5F0000}"/>
    <cellStyle name="Normal 2 2 5 11 5 9" xfId="24461" xr:uid="{00000000-0005-0000-0000-00008D5F0000}"/>
    <cellStyle name="Normal 2 2 5 11 6" xfId="24462" xr:uid="{00000000-0005-0000-0000-00008E5F0000}"/>
    <cellStyle name="Normal 2 2 5 11 7" xfId="24463" xr:uid="{00000000-0005-0000-0000-00008F5F0000}"/>
    <cellStyle name="Normal 2 2 5 11 8" xfId="24464" xr:uid="{00000000-0005-0000-0000-0000905F0000}"/>
    <cellStyle name="Normal 2 2 5 11 9" xfId="24465" xr:uid="{00000000-0005-0000-0000-0000915F0000}"/>
    <cellStyle name="Normal 2 2 5 12" xfId="24466" xr:uid="{00000000-0005-0000-0000-0000925F0000}"/>
    <cellStyle name="Normal 2 2 5 12 10" xfId="24467" xr:uid="{00000000-0005-0000-0000-0000935F0000}"/>
    <cellStyle name="Normal 2 2 5 12 11" xfId="24468" xr:uid="{00000000-0005-0000-0000-0000945F0000}"/>
    <cellStyle name="Normal 2 2 5 12 12" xfId="24469" xr:uid="{00000000-0005-0000-0000-0000955F0000}"/>
    <cellStyle name="Normal 2 2 5 12 13" xfId="24470" xr:uid="{00000000-0005-0000-0000-0000965F0000}"/>
    <cellStyle name="Normal 2 2 5 12 14" xfId="24471" xr:uid="{00000000-0005-0000-0000-0000975F0000}"/>
    <cellStyle name="Normal 2 2 5 12 2" xfId="24472" xr:uid="{00000000-0005-0000-0000-0000985F0000}"/>
    <cellStyle name="Normal 2 2 5 12 2 10" xfId="24473" xr:uid="{00000000-0005-0000-0000-0000995F0000}"/>
    <cellStyle name="Normal 2 2 5 12 2 2" xfId="24474" xr:uid="{00000000-0005-0000-0000-00009A5F0000}"/>
    <cellStyle name="Normal 2 2 5 12 2 3" xfId="24475" xr:uid="{00000000-0005-0000-0000-00009B5F0000}"/>
    <cellStyle name="Normal 2 2 5 12 2 4" xfId="24476" xr:uid="{00000000-0005-0000-0000-00009C5F0000}"/>
    <cellStyle name="Normal 2 2 5 12 2 5" xfId="24477" xr:uid="{00000000-0005-0000-0000-00009D5F0000}"/>
    <cellStyle name="Normal 2 2 5 12 2 6" xfId="24478" xr:uid="{00000000-0005-0000-0000-00009E5F0000}"/>
    <cellStyle name="Normal 2 2 5 12 2 7" xfId="24479" xr:uid="{00000000-0005-0000-0000-00009F5F0000}"/>
    <cellStyle name="Normal 2 2 5 12 2 8" xfId="24480" xr:uid="{00000000-0005-0000-0000-0000A05F0000}"/>
    <cellStyle name="Normal 2 2 5 12 2 9" xfId="24481" xr:uid="{00000000-0005-0000-0000-0000A15F0000}"/>
    <cellStyle name="Normal 2 2 5 12 3" xfId="24482" xr:uid="{00000000-0005-0000-0000-0000A25F0000}"/>
    <cellStyle name="Normal 2 2 5 12 3 10" xfId="24483" xr:uid="{00000000-0005-0000-0000-0000A35F0000}"/>
    <cellStyle name="Normal 2 2 5 12 3 2" xfId="24484" xr:uid="{00000000-0005-0000-0000-0000A45F0000}"/>
    <cellStyle name="Normal 2 2 5 12 3 3" xfId="24485" xr:uid="{00000000-0005-0000-0000-0000A55F0000}"/>
    <cellStyle name="Normal 2 2 5 12 3 4" xfId="24486" xr:uid="{00000000-0005-0000-0000-0000A65F0000}"/>
    <cellStyle name="Normal 2 2 5 12 3 5" xfId="24487" xr:uid="{00000000-0005-0000-0000-0000A75F0000}"/>
    <cellStyle name="Normal 2 2 5 12 3 6" xfId="24488" xr:uid="{00000000-0005-0000-0000-0000A85F0000}"/>
    <cellStyle name="Normal 2 2 5 12 3 7" xfId="24489" xr:uid="{00000000-0005-0000-0000-0000A95F0000}"/>
    <cellStyle name="Normal 2 2 5 12 3 8" xfId="24490" xr:uid="{00000000-0005-0000-0000-0000AA5F0000}"/>
    <cellStyle name="Normal 2 2 5 12 3 9" xfId="24491" xr:uid="{00000000-0005-0000-0000-0000AB5F0000}"/>
    <cellStyle name="Normal 2 2 5 12 4" xfId="24492" xr:uid="{00000000-0005-0000-0000-0000AC5F0000}"/>
    <cellStyle name="Normal 2 2 5 12 4 10" xfId="24493" xr:uid="{00000000-0005-0000-0000-0000AD5F0000}"/>
    <cellStyle name="Normal 2 2 5 12 4 2" xfId="24494" xr:uid="{00000000-0005-0000-0000-0000AE5F0000}"/>
    <cellStyle name="Normal 2 2 5 12 4 3" xfId="24495" xr:uid="{00000000-0005-0000-0000-0000AF5F0000}"/>
    <cellStyle name="Normal 2 2 5 12 4 4" xfId="24496" xr:uid="{00000000-0005-0000-0000-0000B05F0000}"/>
    <cellStyle name="Normal 2 2 5 12 4 5" xfId="24497" xr:uid="{00000000-0005-0000-0000-0000B15F0000}"/>
    <cellStyle name="Normal 2 2 5 12 4 6" xfId="24498" xr:uid="{00000000-0005-0000-0000-0000B25F0000}"/>
    <cellStyle name="Normal 2 2 5 12 4 7" xfId="24499" xr:uid="{00000000-0005-0000-0000-0000B35F0000}"/>
    <cellStyle name="Normal 2 2 5 12 4 8" xfId="24500" xr:uid="{00000000-0005-0000-0000-0000B45F0000}"/>
    <cellStyle name="Normal 2 2 5 12 4 9" xfId="24501" xr:uid="{00000000-0005-0000-0000-0000B55F0000}"/>
    <cellStyle name="Normal 2 2 5 12 5" xfId="24502" xr:uid="{00000000-0005-0000-0000-0000B65F0000}"/>
    <cellStyle name="Normal 2 2 5 12 5 10" xfId="24503" xr:uid="{00000000-0005-0000-0000-0000B75F0000}"/>
    <cellStyle name="Normal 2 2 5 12 5 2" xfId="24504" xr:uid="{00000000-0005-0000-0000-0000B85F0000}"/>
    <cellStyle name="Normal 2 2 5 12 5 3" xfId="24505" xr:uid="{00000000-0005-0000-0000-0000B95F0000}"/>
    <cellStyle name="Normal 2 2 5 12 5 4" xfId="24506" xr:uid="{00000000-0005-0000-0000-0000BA5F0000}"/>
    <cellStyle name="Normal 2 2 5 12 5 5" xfId="24507" xr:uid="{00000000-0005-0000-0000-0000BB5F0000}"/>
    <cellStyle name="Normal 2 2 5 12 5 6" xfId="24508" xr:uid="{00000000-0005-0000-0000-0000BC5F0000}"/>
    <cellStyle name="Normal 2 2 5 12 5 7" xfId="24509" xr:uid="{00000000-0005-0000-0000-0000BD5F0000}"/>
    <cellStyle name="Normal 2 2 5 12 5 8" xfId="24510" xr:uid="{00000000-0005-0000-0000-0000BE5F0000}"/>
    <cellStyle name="Normal 2 2 5 12 5 9" xfId="24511" xr:uid="{00000000-0005-0000-0000-0000BF5F0000}"/>
    <cellStyle name="Normal 2 2 5 12 6" xfId="24512" xr:uid="{00000000-0005-0000-0000-0000C05F0000}"/>
    <cellStyle name="Normal 2 2 5 12 7" xfId="24513" xr:uid="{00000000-0005-0000-0000-0000C15F0000}"/>
    <cellStyle name="Normal 2 2 5 12 8" xfId="24514" xr:uid="{00000000-0005-0000-0000-0000C25F0000}"/>
    <cellStyle name="Normal 2 2 5 12 9" xfId="24515" xr:uid="{00000000-0005-0000-0000-0000C35F0000}"/>
    <cellStyle name="Normal 2 2 5 13" xfId="24516" xr:uid="{00000000-0005-0000-0000-0000C45F0000}"/>
    <cellStyle name="Normal 2 2 5 13 10" xfId="24517" xr:uid="{00000000-0005-0000-0000-0000C55F0000}"/>
    <cellStyle name="Normal 2 2 5 13 11" xfId="24518" xr:uid="{00000000-0005-0000-0000-0000C65F0000}"/>
    <cellStyle name="Normal 2 2 5 13 12" xfId="24519" xr:uid="{00000000-0005-0000-0000-0000C75F0000}"/>
    <cellStyle name="Normal 2 2 5 13 13" xfId="24520" xr:uid="{00000000-0005-0000-0000-0000C85F0000}"/>
    <cellStyle name="Normal 2 2 5 13 14" xfId="24521" xr:uid="{00000000-0005-0000-0000-0000C95F0000}"/>
    <cellStyle name="Normal 2 2 5 13 2" xfId="24522" xr:uid="{00000000-0005-0000-0000-0000CA5F0000}"/>
    <cellStyle name="Normal 2 2 5 13 2 10" xfId="24523" xr:uid="{00000000-0005-0000-0000-0000CB5F0000}"/>
    <cellStyle name="Normal 2 2 5 13 2 2" xfId="24524" xr:uid="{00000000-0005-0000-0000-0000CC5F0000}"/>
    <cellStyle name="Normal 2 2 5 13 2 3" xfId="24525" xr:uid="{00000000-0005-0000-0000-0000CD5F0000}"/>
    <cellStyle name="Normal 2 2 5 13 2 4" xfId="24526" xr:uid="{00000000-0005-0000-0000-0000CE5F0000}"/>
    <cellStyle name="Normal 2 2 5 13 2 5" xfId="24527" xr:uid="{00000000-0005-0000-0000-0000CF5F0000}"/>
    <cellStyle name="Normal 2 2 5 13 2 6" xfId="24528" xr:uid="{00000000-0005-0000-0000-0000D05F0000}"/>
    <cellStyle name="Normal 2 2 5 13 2 7" xfId="24529" xr:uid="{00000000-0005-0000-0000-0000D15F0000}"/>
    <cellStyle name="Normal 2 2 5 13 2 8" xfId="24530" xr:uid="{00000000-0005-0000-0000-0000D25F0000}"/>
    <cellStyle name="Normal 2 2 5 13 2 9" xfId="24531" xr:uid="{00000000-0005-0000-0000-0000D35F0000}"/>
    <cellStyle name="Normal 2 2 5 13 3" xfId="24532" xr:uid="{00000000-0005-0000-0000-0000D45F0000}"/>
    <cellStyle name="Normal 2 2 5 13 3 10" xfId="24533" xr:uid="{00000000-0005-0000-0000-0000D55F0000}"/>
    <cellStyle name="Normal 2 2 5 13 3 2" xfId="24534" xr:uid="{00000000-0005-0000-0000-0000D65F0000}"/>
    <cellStyle name="Normal 2 2 5 13 3 3" xfId="24535" xr:uid="{00000000-0005-0000-0000-0000D75F0000}"/>
    <cellStyle name="Normal 2 2 5 13 3 4" xfId="24536" xr:uid="{00000000-0005-0000-0000-0000D85F0000}"/>
    <cellStyle name="Normal 2 2 5 13 3 5" xfId="24537" xr:uid="{00000000-0005-0000-0000-0000D95F0000}"/>
    <cellStyle name="Normal 2 2 5 13 3 6" xfId="24538" xr:uid="{00000000-0005-0000-0000-0000DA5F0000}"/>
    <cellStyle name="Normal 2 2 5 13 3 7" xfId="24539" xr:uid="{00000000-0005-0000-0000-0000DB5F0000}"/>
    <cellStyle name="Normal 2 2 5 13 3 8" xfId="24540" xr:uid="{00000000-0005-0000-0000-0000DC5F0000}"/>
    <cellStyle name="Normal 2 2 5 13 3 9" xfId="24541" xr:uid="{00000000-0005-0000-0000-0000DD5F0000}"/>
    <cellStyle name="Normal 2 2 5 13 4" xfId="24542" xr:uid="{00000000-0005-0000-0000-0000DE5F0000}"/>
    <cellStyle name="Normal 2 2 5 13 4 10" xfId="24543" xr:uid="{00000000-0005-0000-0000-0000DF5F0000}"/>
    <cellStyle name="Normal 2 2 5 13 4 2" xfId="24544" xr:uid="{00000000-0005-0000-0000-0000E05F0000}"/>
    <cellStyle name="Normal 2 2 5 13 4 3" xfId="24545" xr:uid="{00000000-0005-0000-0000-0000E15F0000}"/>
    <cellStyle name="Normal 2 2 5 13 4 4" xfId="24546" xr:uid="{00000000-0005-0000-0000-0000E25F0000}"/>
    <cellStyle name="Normal 2 2 5 13 4 5" xfId="24547" xr:uid="{00000000-0005-0000-0000-0000E35F0000}"/>
    <cellStyle name="Normal 2 2 5 13 4 6" xfId="24548" xr:uid="{00000000-0005-0000-0000-0000E45F0000}"/>
    <cellStyle name="Normal 2 2 5 13 4 7" xfId="24549" xr:uid="{00000000-0005-0000-0000-0000E55F0000}"/>
    <cellStyle name="Normal 2 2 5 13 4 8" xfId="24550" xr:uid="{00000000-0005-0000-0000-0000E65F0000}"/>
    <cellStyle name="Normal 2 2 5 13 4 9" xfId="24551" xr:uid="{00000000-0005-0000-0000-0000E75F0000}"/>
    <cellStyle name="Normal 2 2 5 13 5" xfId="24552" xr:uid="{00000000-0005-0000-0000-0000E85F0000}"/>
    <cellStyle name="Normal 2 2 5 13 5 10" xfId="24553" xr:uid="{00000000-0005-0000-0000-0000E95F0000}"/>
    <cellStyle name="Normal 2 2 5 13 5 2" xfId="24554" xr:uid="{00000000-0005-0000-0000-0000EA5F0000}"/>
    <cellStyle name="Normal 2 2 5 13 5 3" xfId="24555" xr:uid="{00000000-0005-0000-0000-0000EB5F0000}"/>
    <cellStyle name="Normal 2 2 5 13 5 4" xfId="24556" xr:uid="{00000000-0005-0000-0000-0000EC5F0000}"/>
    <cellStyle name="Normal 2 2 5 13 5 5" xfId="24557" xr:uid="{00000000-0005-0000-0000-0000ED5F0000}"/>
    <cellStyle name="Normal 2 2 5 13 5 6" xfId="24558" xr:uid="{00000000-0005-0000-0000-0000EE5F0000}"/>
    <cellStyle name="Normal 2 2 5 13 5 7" xfId="24559" xr:uid="{00000000-0005-0000-0000-0000EF5F0000}"/>
    <cellStyle name="Normal 2 2 5 13 5 8" xfId="24560" xr:uid="{00000000-0005-0000-0000-0000F05F0000}"/>
    <cellStyle name="Normal 2 2 5 13 5 9" xfId="24561" xr:uid="{00000000-0005-0000-0000-0000F15F0000}"/>
    <cellStyle name="Normal 2 2 5 13 6" xfId="24562" xr:uid="{00000000-0005-0000-0000-0000F25F0000}"/>
    <cellStyle name="Normal 2 2 5 13 7" xfId="24563" xr:uid="{00000000-0005-0000-0000-0000F35F0000}"/>
    <cellStyle name="Normal 2 2 5 13 8" xfId="24564" xr:uid="{00000000-0005-0000-0000-0000F45F0000}"/>
    <cellStyle name="Normal 2 2 5 13 9" xfId="24565" xr:uid="{00000000-0005-0000-0000-0000F55F0000}"/>
    <cellStyle name="Normal 2 2 5 14" xfId="24566" xr:uid="{00000000-0005-0000-0000-0000F65F0000}"/>
    <cellStyle name="Normal 2 2 5 14 10" xfId="24567" xr:uid="{00000000-0005-0000-0000-0000F75F0000}"/>
    <cellStyle name="Normal 2 2 5 14 11" xfId="24568" xr:uid="{00000000-0005-0000-0000-0000F85F0000}"/>
    <cellStyle name="Normal 2 2 5 14 12" xfId="24569" xr:uid="{00000000-0005-0000-0000-0000F95F0000}"/>
    <cellStyle name="Normal 2 2 5 14 13" xfId="24570" xr:uid="{00000000-0005-0000-0000-0000FA5F0000}"/>
    <cellStyle name="Normal 2 2 5 14 14" xfId="24571" xr:uid="{00000000-0005-0000-0000-0000FB5F0000}"/>
    <cellStyle name="Normal 2 2 5 14 2" xfId="24572" xr:uid="{00000000-0005-0000-0000-0000FC5F0000}"/>
    <cellStyle name="Normal 2 2 5 14 2 10" xfId="24573" xr:uid="{00000000-0005-0000-0000-0000FD5F0000}"/>
    <cellStyle name="Normal 2 2 5 14 2 2" xfId="24574" xr:uid="{00000000-0005-0000-0000-0000FE5F0000}"/>
    <cellStyle name="Normal 2 2 5 14 2 3" xfId="24575" xr:uid="{00000000-0005-0000-0000-0000FF5F0000}"/>
    <cellStyle name="Normal 2 2 5 14 2 4" xfId="24576" xr:uid="{00000000-0005-0000-0000-000000600000}"/>
    <cellStyle name="Normal 2 2 5 14 2 5" xfId="24577" xr:uid="{00000000-0005-0000-0000-000001600000}"/>
    <cellStyle name="Normal 2 2 5 14 2 6" xfId="24578" xr:uid="{00000000-0005-0000-0000-000002600000}"/>
    <cellStyle name="Normal 2 2 5 14 2 7" xfId="24579" xr:uid="{00000000-0005-0000-0000-000003600000}"/>
    <cellStyle name="Normal 2 2 5 14 2 8" xfId="24580" xr:uid="{00000000-0005-0000-0000-000004600000}"/>
    <cellStyle name="Normal 2 2 5 14 2 9" xfId="24581" xr:uid="{00000000-0005-0000-0000-000005600000}"/>
    <cellStyle name="Normal 2 2 5 14 3" xfId="24582" xr:uid="{00000000-0005-0000-0000-000006600000}"/>
    <cellStyle name="Normal 2 2 5 14 3 10" xfId="24583" xr:uid="{00000000-0005-0000-0000-000007600000}"/>
    <cellStyle name="Normal 2 2 5 14 3 2" xfId="24584" xr:uid="{00000000-0005-0000-0000-000008600000}"/>
    <cellStyle name="Normal 2 2 5 14 3 3" xfId="24585" xr:uid="{00000000-0005-0000-0000-000009600000}"/>
    <cellStyle name="Normal 2 2 5 14 3 4" xfId="24586" xr:uid="{00000000-0005-0000-0000-00000A600000}"/>
    <cellStyle name="Normal 2 2 5 14 3 5" xfId="24587" xr:uid="{00000000-0005-0000-0000-00000B600000}"/>
    <cellStyle name="Normal 2 2 5 14 3 6" xfId="24588" xr:uid="{00000000-0005-0000-0000-00000C600000}"/>
    <cellStyle name="Normal 2 2 5 14 3 7" xfId="24589" xr:uid="{00000000-0005-0000-0000-00000D600000}"/>
    <cellStyle name="Normal 2 2 5 14 3 8" xfId="24590" xr:uid="{00000000-0005-0000-0000-00000E600000}"/>
    <cellStyle name="Normal 2 2 5 14 3 9" xfId="24591" xr:uid="{00000000-0005-0000-0000-00000F600000}"/>
    <cellStyle name="Normal 2 2 5 14 4" xfId="24592" xr:uid="{00000000-0005-0000-0000-000010600000}"/>
    <cellStyle name="Normal 2 2 5 14 4 10" xfId="24593" xr:uid="{00000000-0005-0000-0000-000011600000}"/>
    <cellStyle name="Normal 2 2 5 14 4 2" xfId="24594" xr:uid="{00000000-0005-0000-0000-000012600000}"/>
    <cellStyle name="Normal 2 2 5 14 4 3" xfId="24595" xr:uid="{00000000-0005-0000-0000-000013600000}"/>
    <cellStyle name="Normal 2 2 5 14 4 4" xfId="24596" xr:uid="{00000000-0005-0000-0000-000014600000}"/>
    <cellStyle name="Normal 2 2 5 14 4 5" xfId="24597" xr:uid="{00000000-0005-0000-0000-000015600000}"/>
    <cellStyle name="Normal 2 2 5 14 4 6" xfId="24598" xr:uid="{00000000-0005-0000-0000-000016600000}"/>
    <cellStyle name="Normal 2 2 5 14 4 7" xfId="24599" xr:uid="{00000000-0005-0000-0000-000017600000}"/>
    <cellStyle name="Normal 2 2 5 14 4 8" xfId="24600" xr:uid="{00000000-0005-0000-0000-000018600000}"/>
    <cellStyle name="Normal 2 2 5 14 4 9" xfId="24601" xr:uid="{00000000-0005-0000-0000-000019600000}"/>
    <cellStyle name="Normal 2 2 5 14 5" xfId="24602" xr:uid="{00000000-0005-0000-0000-00001A600000}"/>
    <cellStyle name="Normal 2 2 5 14 5 10" xfId="24603" xr:uid="{00000000-0005-0000-0000-00001B600000}"/>
    <cellStyle name="Normal 2 2 5 14 5 2" xfId="24604" xr:uid="{00000000-0005-0000-0000-00001C600000}"/>
    <cellStyle name="Normal 2 2 5 14 5 3" xfId="24605" xr:uid="{00000000-0005-0000-0000-00001D600000}"/>
    <cellStyle name="Normal 2 2 5 14 5 4" xfId="24606" xr:uid="{00000000-0005-0000-0000-00001E600000}"/>
    <cellStyle name="Normal 2 2 5 14 5 5" xfId="24607" xr:uid="{00000000-0005-0000-0000-00001F600000}"/>
    <cellStyle name="Normal 2 2 5 14 5 6" xfId="24608" xr:uid="{00000000-0005-0000-0000-000020600000}"/>
    <cellStyle name="Normal 2 2 5 14 5 7" xfId="24609" xr:uid="{00000000-0005-0000-0000-000021600000}"/>
    <cellStyle name="Normal 2 2 5 14 5 8" xfId="24610" xr:uid="{00000000-0005-0000-0000-000022600000}"/>
    <cellStyle name="Normal 2 2 5 14 5 9" xfId="24611" xr:uid="{00000000-0005-0000-0000-000023600000}"/>
    <cellStyle name="Normal 2 2 5 14 6" xfId="24612" xr:uid="{00000000-0005-0000-0000-000024600000}"/>
    <cellStyle name="Normal 2 2 5 14 7" xfId="24613" xr:uid="{00000000-0005-0000-0000-000025600000}"/>
    <cellStyle name="Normal 2 2 5 14 8" xfId="24614" xr:uid="{00000000-0005-0000-0000-000026600000}"/>
    <cellStyle name="Normal 2 2 5 14 9" xfId="24615" xr:uid="{00000000-0005-0000-0000-000027600000}"/>
    <cellStyle name="Normal 2 2 5 15" xfId="24616" xr:uid="{00000000-0005-0000-0000-000028600000}"/>
    <cellStyle name="Normal 2 2 5 15 10" xfId="24617" xr:uid="{00000000-0005-0000-0000-000029600000}"/>
    <cellStyle name="Normal 2 2 5 15 11" xfId="24618" xr:uid="{00000000-0005-0000-0000-00002A600000}"/>
    <cellStyle name="Normal 2 2 5 15 12" xfId="24619" xr:uid="{00000000-0005-0000-0000-00002B600000}"/>
    <cellStyle name="Normal 2 2 5 15 13" xfId="24620" xr:uid="{00000000-0005-0000-0000-00002C600000}"/>
    <cellStyle name="Normal 2 2 5 15 14" xfId="24621" xr:uid="{00000000-0005-0000-0000-00002D600000}"/>
    <cellStyle name="Normal 2 2 5 15 2" xfId="24622" xr:uid="{00000000-0005-0000-0000-00002E600000}"/>
    <cellStyle name="Normal 2 2 5 15 2 10" xfId="24623" xr:uid="{00000000-0005-0000-0000-00002F600000}"/>
    <cellStyle name="Normal 2 2 5 15 2 2" xfId="24624" xr:uid="{00000000-0005-0000-0000-000030600000}"/>
    <cellStyle name="Normal 2 2 5 15 2 3" xfId="24625" xr:uid="{00000000-0005-0000-0000-000031600000}"/>
    <cellStyle name="Normal 2 2 5 15 2 4" xfId="24626" xr:uid="{00000000-0005-0000-0000-000032600000}"/>
    <cellStyle name="Normal 2 2 5 15 2 5" xfId="24627" xr:uid="{00000000-0005-0000-0000-000033600000}"/>
    <cellStyle name="Normal 2 2 5 15 2 6" xfId="24628" xr:uid="{00000000-0005-0000-0000-000034600000}"/>
    <cellStyle name="Normal 2 2 5 15 2 7" xfId="24629" xr:uid="{00000000-0005-0000-0000-000035600000}"/>
    <cellStyle name="Normal 2 2 5 15 2 8" xfId="24630" xr:uid="{00000000-0005-0000-0000-000036600000}"/>
    <cellStyle name="Normal 2 2 5 15 2 9" xfId="24631" xr:uid="{00000000-0005-0000-0000-000037600000}"/>
    <cellStyle name="Normal 2 2 5 15 3" xfId="24632" xr:uid="{00000000-0005-0000-0000-000038600000}"/>
    <cellStyle name="Normal 2 2 5 15 3 10" xfId="24633" xr:uid="{00000000-0005-0000-0000-000039600000}"/>
    <cellStyle name="Normal 2 2 5 15 3 2" xfId="24634" xr:uid="{00000000-0005-0000-0000-00003A600000}"/>
    <cellStyle name="Normal 2 2 5 15 3 3" xfId="24635" xr:uid="{00000000-0005-0000-0000-00003B600000}"/>
    <cellStyle name="Normal 2 2 5 15 3 4" xfId="24636" xr:uid="{00000000-0005-0000-0000-00003C600000}"/>
    <cellStyle name="Normal 2 2 5 15 3 5" xfId="24637" xr:uid="{00000000-0005-0000-0000-00003D600000}"/>
    <cellStyle name="Normal 2 2 5 15 3 6" xfId="24638" xr:uid="{00000000-0005-0000-0000-00003E600000}"/>
    <cellStyle name="Normal 2 2 5 15 3 7" xfId="24639" xr:uid="{00000000-0005-0000-0000-00003F600000}"/>
    <cellStyle name="Normal 2 2 5 15 3 8" xfId="24640" xr:uid="{00000000-0005-0000-0000-000040600000}"/>
    <cellStyle name="Normal 2 2 5 15 3 9" xfId="24641" xr:uid="{00000000-0005-0000-0000-000041600000}"/>
    <cellStyle name="Normal 2 2 5 15 4" xfId="24642" xr:uid="{00000000-0005-0000-0000-000042600000}"/>
    <cellStyle name="Normal 2 2 5 15 4 10" xfId="24643" xr:uid="{00000000-0005-0000-0000-000043600000}"/>
    <cellStyle name="Normal 2 2 5 15 4 2" xfId="24644" xr:uid="{00000000-0005-0000-0000-000044600000}"/>
    <cellStyle name="Normal 2 2 5 15 4 3" xfId="24645" xr:uid="{00000000-0005-0000-0000-000045600000}"/>
    <cellStyle name="Normal 2 2 5 15 4 4" xfId="24646" xr:uid="{00000000-0005-0000-0000-000046600000}"/>
    <cellStyle name="Normal 2 2 5 15 4 5" xfId="24647" xr:uid="{00000000-0005-0000-0000-000047600000}"/>
    <cellStyle name="Normal 2 2 5 15 4 6" xfId="24648" xr:uid="{00000000-0005-0000-0000-000048600000}"/>
    <cellStyle name="Normal 2 2 5 15 4 7" xfId="24649" xr:uid="{00000000-0005-0000-0000-000049600000}"/>
    <cellStyle name="Normal 2 2 5 15 4 8" xfId="24650" xr:uid="{00000000-0005-0000-0000-00004A600000}"/>
    <cellStyle name="Normal 2 2 5 15 4 9" xfId="24651" xr:uid="{00000000-0005-0000-0000-00004B600000}"/>
    <cellStyle name="Normal 2 2 5 15 5" xfId="24652" xr:uid="{00000000-0005-0000-0000-00004C600000}"/>
    <cellStyle name="Normal 2 2 5 15 5 10" xfId="24653" xr:uid="{00000000-0005-0000-0000-00004D600000}"/>
    <cellStyle name="Normal 2 2 5 15 5 2" xfId="24654" xr:uid="{00000000-0005-0000-0000-00004E600000}"/>
    <cellStyle name="Normal 2 2 5 15 5 3" xfId="24655" xr:uid="{00000000-0005-0000-0000-00004F600000}"/>
    <cellStyle name="Normal 2 2 5 15 5 4" xfId="24656" xr:uid="{00000000-0005-0000-0000-000050600000}"/>
    <cellStyle name="Normal 2 2 5 15 5 5" xfId="24657" xr:uid="{00000000-0005-0000-0000-000051600000}"/>
    <cellStyle name="Normal 2 2 5 15 5 6" xfId="24658" xr:uid="{00000000-0005-0000-0000-000052600000}"/>
    <cellStyle name="Normal 2 2 5 15 5 7" xfId="24659" xr:uid="{00000000-0005-0000-0000-000053600000}"/>
    <cellStyle name="Normal 2 2 5 15 5 8" xfId="24660" xr:uid="{00000000-0005-0000-0000-000054600000}"/>
    <cellStyle name="Normal 2 2 5 15 5 9" xfId="24661" xr:uid="{00000000-0005-0000-0000-000055600000}"/>
    <cellStyle name="Normal 2 2 5 15 6" xfId="24662" xr:uid="{00000000-0005-0000-0000-000056600000}"/>
    <cellStyle name="Normal 2 2 5 15 7" xfId="24663" xr:uid="{00000000-0005-0000-0000-000057600000}"/>
    <cellStyle name="Normal 2 2 5 15 8" xfId="24664" xr:uid="{00000000-0005-0000-0000-000058600000}"/>
    <cellStyle name="Normal 2 2 5 15 9" xfId="24665" xr:uid="{00000000-0005-0000-0000-000059600000}"/>
    <cellStyle name="Normal 2 2 5 16" xfId="24666" xr:uid="{00000000-0005-0000-0000-00005A600000}"/>
    <cellStyle name="Normal 2 2 5 16 10" xfId="24667" xr:uid="{00000000-0005-0000-0000-00005B600000}"/>
    <cellStyle name="Normal 2 2 5 16 11" xfId="24668" xr:uid="{00000000-0005-0000-0000-00005C600000}"/>
    <cellStyle name="Normal 2 2 5 16 12" xfId="24669" xr:uid="{00000000-0005-0000-0000-00005D600000}"/>
    <cellStyle name="Normal 2 2 5 16 13" xfId="24670" xr:uid="{00000000-0005-0000-0000-00005E600000}"/>
    <cellStyle name="Normal 2 2 5 16 14" xfId="24671" xr:uid="{00000000-0005-0000-0000-00005F600000}"/>
    <cellStyle name="Normal 2 2 5 16 2" xfId="24672" xr:uid="{00000000-0005-0000-0000-000060600000}"/>
    <cellStyle name="Normal 2 2 5 16 2 10" xfId="24673" xr:uid="{00000000-0005-0000-0000-000061600000}"/>
    <cellStyle name="Normal 2 2 5 16 2 2" xfId="24674" xr:uid="{00000000-0005-0000-0000-000062600000}"/>
    <cellStyle name="Normal 2 2 5 16 2 3" xfId="24675" xr:uid="{00000000-0005-0000-0000-000063600000}"/>
    <cellStyle name="Normal 2 2 5 16 2 4" xfId="24676" xr:uid="{00000000-0005-0000-0000-000064600000}"/>
    <cellStyle name="Normal 2 2 5 16 2 5" xfId="24677" xr:uid="{00000000-0005-0000-0000-000065600000}"/>
    <cellStyle name="Normal 2 2 5 16 2 6" xfId="24678" xr:uid="{00000000-0005-0000-0000-000066600000}"/>
    <cellStyle name="Normal 2 2 5 16 2 7" xfId="24679" xr:uid="{00000000-0005-0000-0000-000067600000}"/>
    <cellStyle name="Normal 2 2 5 16 2 8" xfId="24680" xr:uid="{00000000-0005-0000-0000-000068600000}"/>
    <cellStyle name="Normal 2 2 5 16 2 9" xfId="24681" xr:uid="{00000000-0005-0000-0000-000069600000}"/>
    <cellStyle name="Normal 2 2 5 16 3" xfId="24682" xr:uid="{00000000-0005-0000-0000-00006A600000}"/>
    <cellStyle name="Normal 2 2 5 16 3 10" xfId="24683" xr:uid="{00000000-0005-0000-0000-00006B600000}"/>
    <cellStyle name="Normal 2 2 5 16 3 2" xfId="24684" xr:uid="{00000000-0005-0000-0000-00006C600000}"/>
    <cellStyle name="Normal 2 2 5 16 3 3" xfId="24685" xr:uid="{00000000-0005-0000-0000-00006D600000}"/>
    <cellStyle name="Normal 2 2 5 16 3 4" xfId="24686" xr:uid="{00000000-0005-0000-0000-00006E600000}"/>
    <cellStyle name="Normal 2 2 5 16 3 5" xfId="24687" xr:uid="{00000000-0005-0000-0000-00006F600000}"/>
    <cellStyle name="Normal 2 2 5 16 3 6" xfId="24688" xr:uid="{00000000-0005-0000-0000-000070600000}"/>
    <cellStyle name="Normal 2 2 5 16 3 7" xfId="24689" xr:uid="{00000000-0005-0000-0000-000071600000}"/>
    <cellStyle name="Normal 2 2 5 16 3 8" xfId="24690" xr:uid="{00000000-0005-0000-0000-000072600000}"/>
    <cellStyle name="Normal 2 2 5 16 3 9" xfId="24691" xr:uid="{00000000-0005-0000-0000-000073600000}"/>
    <cellStyle name="Normal 2 2 5 16 4" xfId="24692" xr:uid="{00000000-0005-0000-0000-000074600000}"/>
    <cellStyle name="Normal 2 2 5 16 4 10" xfId="24693" xr:uid="{00000000-0005-0000-0000-000075600000}"/>
    <cellStyle name="Normal 2 2 5 16 4 2" xfId="24694" xr:uid="{00000000-0005-0000-0000-000076600000}"/>
    <cellStyle name="Normal 2 2 5 16 4 3" xfId="24695" xr:uid="{00000000-0005-0000-0000-000077600000}"/>
    <cellStyle name="Normal 2 2 5 16 4 4" xfId="24696" xr:uid="{00000000-0005-0000-0000-000078600000}"/>
    <cellStyle name="Normal 2 2 5 16 4 5" xfId="24697" xr:uid="{00000000-0005-0000-0000-000079600000}"/>
    <cellStyle name="Normal 2 2 5 16 4 6" xfId="24698" xr:uid="{00000000-0005-0000-0000-00007A600000}"/>
    <cellStyle name="Normal 2 2 5 16 4 7" xfId="24699" xr:uid="{00000000-0005-0000-0000-00007B600000}"/>
    <cellStyle name="Normal 2 2 5 16 4 8" xfId="24700" xr:uid="{00000000-0005-0000-0000-00007C600000}"/>
    <cellStyle name="Normal 2 2 5 16 4 9" xfId="24701" xr:uid="{00000000-0005-0000-0000-00007D600000}"/>
    <cellStyle name="Normal 2 2 5 16 5" xfId="24702" xr:uid="{00000000-0005-0000-0000-00007E600000}"/>
    <cellStyle name="Normal 2 2 5 16 5 10" xfId="24703" xr:uid="{00000000-0005-0000-0000-00007F600000}"/>
    <cellStyle name="Normal 2 2 5 16 5 2" xfId="24704" xr:uid="{00000000-0005-0000-0000-000080600000}"/>
    <cellStyle name="Normal 2 2 5 16 5 3" xfId="24705" xr:uid="{00000000-0005-0000-0000-000081600000}"/>
    <cellStyle name="Normal 2 2 5 16 5 4" xfId="24706" xr:uid="{00000000-0005-0000-0000-000082600000}"/>
    <cellStyle name="Normal 2 2 5 16 5 5" xfId="24707" xr:uid="{00000000-0005-0000-0000-000083600000}"/>
    <cellStyle name="Normal 2 2 5 16 5 6" xfId="24708" xr:uid="{00000000-0005-0000-0000-000084600000}"/>
    <cellStyle name="Normal 2 2 5 16 5 7" xfId="24709" xr:uid="{00000000-0005-0000-0000-000085600000}"/>
    <cellStyle name="Normal 2 2 5 16 5 8" xfId="24710" xr:uid="{00000000-0005-0000-0000-000086600000}"/>
    <cellStyle name="Normal 2 2 5 16 5 9" xfId="24711" xr:uid="{00000000-0005-0000-0000-000087600000}"/>
    <cellStyle name="Normal 2 2 5 16 6" xfId="24712" xr:uid="{00000000-0005-0000-0000-000088600000}"/>
    <cellStyle name="Normal 2 2 5 16 7" xfId="24713" xr:uid="{00000000-0005-0000-0000-000089600000}"/>
    <cellStyle name="Normal 2 2 5 16 8" xfId="24714" xr:uid="{00000000-0005-0000-0000-00008A600000}"/>
    <cellStyle name="Normal 2 2 5 16 9" xfId="24715" xr:uid="{00000000-0005-0000-0000-00008B600000}"/>
    <cellStyle name="Normal 2 2 5 17" xfId="24716" xr:uid="{00000000-0005-0000-0000-00008C600000}"/>
    <cellStyle name="Normal 2 2 5 17 10" xfId="24717" xr:uid="{00000000-0005-0000-0000-00008D600000}"/>
    <cellStyle name="Normal 2 2 5 17 11" xfId="24718" xr:uid="{00000000-0005-0000-0000-00008E600000}"/>
    <cellStyle name="Normal 2 2 5 17 12" xfId="24719" xr:uid="{00000000-0005-0000-0000-00008F600000}"/>
    <cellStyle name="Normal 2 2 5 17 13" xfId="24720" xr:uid="{00000000-0005-0000-0000-000090600000}"/>
    <cellStyle name="Normal 2 2 5 17 14" xfId="24721" xr:uid="{00000000-0005-0000-0000-000091600000}"/>
    <cellStyle name="Normal 2 2 5 17 2" xfId="24722" xr:uid="{00000000-0005-0000-0000-000092600000}"/>
    <cellStyle name="Normal 2 2 5 17 2 10" xfId="24723" xr:uid="{00000000-0005-0000-0000-000093600000}"/>
    <cellStyle name="Normal 2 2 5 17 2 2" xfId="24724" xr:uid="{00000000-0005-0000-0000-000094600000}"/>
    <cellStyle name="Normal 2 2 5 17 2 3" xfId="24725" xr:uid="{00000000-0005-0000-0000-000095600000}"/>
    <cellStyle name="Normal 2 2 5 17 2 4" xfId="24726" xr:uid="{00000000-0005-0000-0000-000096600000}"/>
    <cellStyle name="Normal 2 2 5 17 2 5" xfId="24727" xr:uid="{00000000-0005-0000-0000-000097600000}"/>
    <cellStyle name="Normal 2 2 5 17 2 6" xfId="24728" xr:uid="{00000000-0005-0000-0000-000098600000}"/>
    <cellStyle name="Normal 2 2 5 17 2 7" xfId="24729" xr:uid="{00000000-0005-0000-0000-000099600000}"/>
    <cellStyle name="Normal 2 2 5 17 2 8" xfId="24730" xr:uid="{00000000-0005-0000-0000-00009A600000}"/>
    <cellStyle name="Normal 2 2 5 17 2 9" xfId="24731" xr:uid="{00000000-0005-0000-0000-00009B600000}"/>
    <cellStyle name="Normal 2 2 5 17 3" xfId="24732" xr:uid="{00000000-0005-0000-0000-00009C600000}"/>
    <cellStyle name="Normal 2 2 5 17 3 10" xfId="24733" xr:uid="{00000000-0005-0000-0000-00009D600000}"/>
    <cellStyle name="Normal 2 2 5 17 3 2" xfId="24734" xr:uid="{00000000-0005-0000-0000-00009E600000}"/>
    <cellStyle name="Normal 2 2 5 17 3 3" xfId="24735" xr:uid="{00000000-0005-0000-0000-00009F600000}"/>
    <cellStyle name="Normal 2 2 5 17 3 4" xfId="24736" xr:uid="{00000000-0005-0000-0000-0000A0600000}"/>
    <cellStyle name="Normal 2 2 5 17 3 5" xfId="24737" xr:uid="{00000000-0005-0000-0000-0000A1600000}"/>
    <cellStyle name="Normal 2 2 5 17 3 6" xfId="24738" xr:uid="{00000000-0005-0000-0000-0000A2600000}"/>
    <cellStyle name="Normal 2 2 5 17 3 7" xfId="24739" xr:uid="{00000000-0005-0000-0000-0000A3600000}"/>
    <cellStyle name="Normal 2 2 5 17 3 8" xfId="24740" xr:uid="{00000000-0005-0000-0000-0000A4600000}"/>
    <cellStyle name="Normal 2 2 5 17 3 9" xfId="24741" xr:uid="{00000000-0005-0000-0000-0000A5600000}"/>
    <cellStyle name="Normal 2 2 5 17 4" xfId="24742" xr:uid="{00000000-0005-0000-0000-0000A6600000}"/>
    <cellStyle name="Normal 2 2 5 17 4 10" xfId="24743" xr:uid="{00000000-0005-0000-0000-0000A7600000}"/>
    <cellStyle name="Normal 2 2 5 17 4 2" xfId="24744" xr:uid="{00000000-0005-0000-0000-0000A8600000}"/>
    <cellStyle name="Normal 2 2 5 17 4 3" xfId="24745" xr:uid="{00000000-0005-0000-0000-0000A9600000}"/>
    <cellStyle name="Normal 2 2 5 17 4 4" xfId="24746" xr:uid="{00000000-0005-0000-0000-0000AA600000}"/>
    <cellStyle name="Normal 2 2 5 17 4 5" xfId="24747" xr:uid="{00000000-0005-0000-0000-0000AB600000}"/>
    <cellStyle name="Normal 2 2 5 17 4 6" xfId="24748" xr:uid="{00000000-0005-0000-0000-0000AC600000}"/>
    <cellStyle name="Normal 2 2 5 17 4 7" xfId="24749" xr:uid="{00000000-0005-0000-0000-0000AD600000}"/>
    <cellStyle name="Normal 2 2 5 17 4 8" xfId="24750" xr:uid="{00000000-0005-0000-0000-0000AE600000}"/>
    <cellStyle name="Normal 2 2 5 17 4 9" xfId="24751" xr:uid="{00000000-0005-0000-0000-0000AF600000}"/>
    <cellStyle name="Normal 2 2 5 17 5" xfId="24752" xr:uid="{00000000-0005-0000-0000-0000B0600000}"/>
    <cellStyle name="Normal 2 2 5 17 5 10" xfId="24753" xr:uid="{00000000-0005-0000-0000-0000B1600000}"/>
    <cellStyle name="Normal 2 2 5 17 5 2" xfId="24754" xr:uid="{00000000-0005-0000-0000-0000B2600000}"/>
    <cellStyle name="Normal 2 2 5 17 5 3" xfId="24755" xr:uid="{00000000-0005-0000-0000-0000B3600000}"/>
    <cellStyle name="Normal 2 2 5 17 5 4" xfId="24756" xr:uid="{00000000-0005-0000-0000-0000B4600000}"/>
    <cellStyle name="Normal 2 2 5 17 5 5" xfId="24757" xr:uid="{00000000-0005-0000-0000-0000B5600000}"/>
    <cellStyle name="Normal 2 2 5 17 5 6" xfId="24758" xr:uid="{00000000-0005-0000-0000-0000B6600000}"/>
    <cellStyle name="Normal 2 2 5 17 5 7" xfId="24759" xr:uid="{00000000-0005-0000-0000-0000B7600000}"/>
    <cellStyle name="Normal 2 2 5 17 5 8" xfId="24760" xr:uid="{00000000-0005-0000-0000-0000B8600000}"/>
    <cellStyle name="Normal 2 2 5 17 5 9" xfId="24761" xr:uid="{00000000-0005-0000-0000-0000B9600000}"/>
    <cellStyle name="Normal 2 2 5 17 6" xfId="24762" xr:uid="{00000000-0005-0000-0000-0000BA600000}"/>
    <cellStyle name="Normal 2 2 5 17 7" xfId="24763" xr:uid="{00000000-0005-0000-0000-0000BB600000}"/>
    <cellStyle name="Normal 2 2 5 17 8" xfId="24764" xr:uid="{00000000-0005-0000-0000-0000BC600000}"/>
    <cellStyle name="Normal 2 2 5 17 9" xfId="24765" xr:uid="{00000000-0005-0000-0000-0000BD600000}"/>
    <cellStyle name="Normal 2 2 5 18" xfId="24766" xr:uid="{00000000-0005-0000-0000-0000BE600000}"/>
    <cellStyle name="Normal 2 2 5 18 10" xfId="24767" xr:uid="{00000000-0005-0000-0000-0000BF600000}"/>
    <cellStyle name="Normal 2 2 5 18 11" xfId="24768" xr:uid="{00000000-0005-0000-0000-0000C0600000}"/>
    <cellStyle name="Normal 2 2 5 18 12" xfId="24769" xr:uid="{00000000-0005-0000-0000-0000C1600000}"/>
    <cellStyle name="Normal 2 2 5 18 13" xfId="24770" xr:uid="{00000000-0005-0000-0000-0000C2600000}"/>
    <cellStyle name="Normal 2 2 5 18 14" xfId="24771" xr:uid="{00000000-0005-0000-0000-0000C3600000}"/>
    <cellStyle name="Normal 2 2 5 18 2" xfId="24772" xr:uid="{00000000-0005-0000-0000-0000C4600000}"/>
    <cellStyle name="Normal 2 2 5 18 2 10" xfId="24773" xr:uid="{00000000-0005-0000-0000-0000C5600000}"/>
    <cellStyle name="Normal 2 2 5 18 2 2" xfId="24774" xr:uid="{00000000-0005-0000-0000-0000C6600000}"/>
    <cellStyle name="Normal 2 2 5 18 2 3" xfId="24775" xr:uid="{00000000-0005-0000-0000-0000C7600000}"/>
    <cellStyle name="Normal 2 2 5 18 2 4" xfId="24776" xr:uid="{00000000-0005-0000-0000-0000C8600000}"/>
    <cellStyle name="Normal 2 2 5 18 2 5" xfId="24777" xr:uid="{00000000-0005-0000-0000-0000C9600000}"/>
    <cellStyle name="Normal 2 2 5 18 2 6" xfId="24778" xr:uid="{00000000-0005-0000-0000-0000CA600000}"/>
    <cellStyle name="Normal 2 2 5 18 2 7" xfId="24779" xr:uid="{00000000-0005-0000-0000-0000CB600000}"/>
    <cellStyle name="Normal 2 2 5 18 2 8" xfId="24780" xr:uid="{00000000-0005-0000-0000-0000CC600000}"/>
    <cellStyle name="Normal 2 2 5 18 2 9" xfId="24781" xr:uid="{00000000-0005-0000-0000-0000CD600000}"/>
    <cellStyle name="Normal 2 2 5 18 3" xfId="24782" xr:uid="{00000000-0005-0000-0000-0000CE600000}"/>
    <cellStyle name="Normal 2 2 5 18 3 10" xfId="24783" xr:uid="{00000000-0005-0000-0000-0000CF600000}"/>
    <cellStyle name="Normal 2 2 5 18 3 2" xfId="24784" xr:uid="{00000000-0005-0000-0000-0000D0600000}"/>
    <cellStyle name="Normal 2 2 5 18 3 3" xfId="24785" xr:uid="{00000000-0005-0000-0000-0000D1600000}"/>
    <cellStyle name="Normal 2 2 5 18 3 4" xfId="24786" xr:uid="{00000000-0005-0000-0000-0000D2600000}"/>
    <cellStyle name="Normal 2 2 5 18 3 5" xfId="24787" xr:uid="{00000000-0005-0000-0000-0000D3600000}"/>
    <cellStyle name="Normal 2 2 5 18 3 6" xfId="24788" xr:uid="{00000000-0005-0000-0000-0000D4600000}"/>
    <cellStyle name="Normal 2 2 5 18 3 7" xfId="24789" xr:uid="{00000000-0005-0000-0000-0000D5600000}"/>
    <cellStyle name="Normal 2 2 5 18 3 8" xfId="24790" xr:uid="{00000000-0005-0000-0000-0000D6600000}"/>
    <cellStyle name="Normal 2 2 5 18 3 9" xfId="24791" xr:uid="{00000000-0005-0000-0000-0000D7600000}"/>
    <cellStyle name="Normal 2 2 5 18 4" xfId="24792" xr:uid="{00000000-0005-0000-0000-0000D8600000}"/>
    <cellStyle name="Normal 2 2 5 18 4 10" xfId="24793" xr:uid="{00000000-0005-0000-0000-0000D9600000}"/>
    <cellStyle name="Normal 2 2 5 18 4 2" xfId="24794" xr:uid="{00000000-0005-0000-0000-0000DA600000}"/>
    <cellStyle name="Normal 2 2 5 18 4 3" xfId="24795" xr:uid="{00000000-0005-0000-0000-0000DB600000}"/>
    <cellStyle name="Normal 2 2 5 18 4 4" xfId="24796" xr:uid="{00000000-0005-0000-0000-0000DC600000}"/>
    <cellStyle name="Normal 2 2 5 18 4 5" xfId="24797" xr:uid="{00000000-0005-0000-0000-0000DD600000}"/>
    <cellStyle name="Normal 2 2 5 18 4 6" xfId="24798" xr:uid="{00000000-0005-0000-0000-0000DE600000}"/>
    <cellStyle name="Normal 2 2 5 18 4 7" xfId="24799" xr:uid="{00000000-0005-0000-0000-0000DF600000}"/>
    <cellStyle name="Normal 2 2 5 18 4 8" xfId="24800" xr:uid="{00000000-0005-0000-0000-0000E0600000}"/>
    <cellStyle name="Normal 2 2 5 18 4 9" xfId="24801" xr:uid="{00000000-0005-0000-0000-0000E1600000}"/>
    <cellStyle name="Normal 2 2 5 18 5" xfId="24802" xr:uid="{00000000-0005-0000-0000-0000E2600000}"/>
    <cellStyle name="Normal 2 2 5 18 5 10" xfId="24803" xr:uid="{00000000-0005-0000-0000-0000E3600000}"/>
    <cellStyle name="Normal 2 2 5 18 5 2" xfId="24804" xr:uid="{00000000-0005-0000-0000-0000E4600000}"/>
    <cellStyle name="Normal 2 2 5 18 5 3" xfId="24805" xr:uid="{00000000-0005-0000-0000-0000E5600000}"/>
    <cellStyle name="Normal 2 2 5 18 5 4" xfId="24806" xr:uid="{00000000-0005-0000-0000-0000E6600000}"/>
    <cellStyle name="Normal 2 2 5 18 5 5" xfId="24807" xr:uid="{00000000-0005-0000-0000-0000E7600000}"/>
    <cellStyle name="Normal 2 2 5 18 5 6" xfId="24808" xr:uid="{00000000-0005-0000-0000-0000E8600000}"/>
    <cellStyle name="Normal 2 2 5 18 5 7" xfId="24809" xr:uid="{00000000-0005-0000-0000-0000E9600000}"/>
    <cellStyle name="Normal 2 2 5 18 5 8" xfId="24810" xr:uid="{00000000-0005-0000-0000-0000EA600000}"/>
    <cellStyle name="Normal 2 2 5 18 5 9" xfId="24811" xr:uid="{00000000-0005-0000-0000-0000EB600000}"/>
    <cellStyle name="Normal 2 2 5 18 6" xfId="24812" xr:uid="{00000000-0005-0000-0000-0000EC600000}"/>
    <cellStyle name="Normal 2 2 5 18 7" xfId="24813" xr:uid="{00000000-0005-0000-0000-0000ED600000}"/>
    <cellStyle name="Normal 2 2 5 18 8" xfId="24814" xr:uid="{00000000-0005-0000-0000-0000EE600000}"/>
    <cellStyle name="Normal 2 2 5 18 9" xfId="24815" xr:uid="{00000000-0005-0000-0000-0000EF600000}"/>
    <cellStyle name="Normal 2 2 5 19" xfId="24816" xr:uid="{00000000-0005-0000-0000-0000F0600000}"/>
    <cellStyle name="Normal 2 2 5 19 10" xfId="24817" xr:uid="{00000000-0005-0000-0000-0000F1600000}"/>
    <cellStyle name="Normal 2 2 5 19 11" xfId="24818" xr:uid="{00000000-0005-0000-0000-0000F2600000}"/>
    <cellStyle name="Normal 2 2 5 19 12" xfId="24819" xr:uid="{00000000-0005-0000-0000-0000F3600000}"/>
    <cellStyle name="Normal 2 2 5 19 13" xfId="24820" xr:uid="{00000000-0005-0000-0000-0000F4600000}"/>
    <cellStyle name="Normal 2 2 5 19 14" xfId="24821" xr:uid="{00000000-0005-0000-0000-0000F5600000}"/>
    <cellStyle name="Normal 2 2 5 19 2" xfId="24822" xr:uid="{00000000-0005-0000-0000-0000F6600000}"/>
    <cellStyle name="Normal 2 2 5 19 2 10" xfId="24823" xr:uid="{00000000-0005-0000-0000-0000F7600000}"/>
    <cellStyle name="Normal 2 2 5 19 2 2" xfId="24824" xr:uid="{00000000-0005-0000-0000-0000F8600000}"/>
    <cellStyle name="Normal 2 2 5 19 2 3" xfId="24825" xr:uid="{00000000-0005-0000-0000-0000F9600000}"/>
    <cellStyle name="Normal 2 2 5 19 2 4" xfId="24826" xr:uid="{00000000-0005-0000-0000-0000FA600000}"/>
    <cellStyle name="Normal 2 2 5 19 2 5" xfId="24827" xr:uid="{00000000-0005-0000-0000-0000FB600000}"/>
    <cellStyle name="Normal 2 2 5 19 2 6" xfId="24828" xr:uid="{00000000-0005-0000-0000-0000FC600000}"/>
    <cellStyle name="Normal 2 2 5 19 2 7" xfId="24829" xr:uid="{00000000-0005-0000-0000-0000FD600000}"/>
    <cellStyle name="Normal 2 2 5 19 2 8" xfId="24830" xr:uid="{00000000-0005-0000-0000-0000FE600000}"/>
    <cellStyle name="Normal 2 2 5 19 2 9" xfId="24831" xr:uid="{00000000-0005-0000-0000-0000FF600000}"/>
    <cellStyle name="Normal 2 2 5 19 3" xfId="24832" xr:uid="{00000000-0005-0000-0000-000000610000}"/>
    <cellStyle name="Normal 2 2 5 19 3 10" xfId="24833" xr:uid="{00000000-0005-0000-0000-000001610000}"/>
    <cellStyle name="Normal 2 2 5 19 3 2" xfId="24834" xr:uid="{00000000-0005-0000-0000-000002610000}"/>
    <cellStyle name="Normal 2 2 5 19 3 3" xfId="24835" xr:uid="{00000000-0005-0000-0000-000003610000}"/>
    <cellStyle name="Normal 2 2 5 19 3 4" xfId="24836" xr:uid="{00000000-0005-0000-0000-000004610000}"/>
    <cellStyle name="Normal 2 2 5 19 3 5" xfId="24837" xr:uid="{00000000-0005-0000-0000-000005610000}"/>
    <cellStyle name="Normal 2 2 5 19 3 6" xfId="24838" xr:uid="{00000000-0005-0000-0000-000006610000}"/>
    <cellStyle name="Normal 2 2 5 19 3 7" xfId="24839" xr:uid="{00000000-0005-0000-0000-000007610000}"/>
    <cellStyle name="Normal 2 2 5 19 3 8" xfId="24840" xr:uid="{00000000-0005-0000-0000-000008610000}"/>
    <cellStyle name="Normal 2 2 5 19 3 9" xfId="24841" xr:uid="{00000000-0005-0000-0000-000009610000}"/>
    <cellStyle name="Normal 2 2 5 19 4" xfId="24842" xr:uid="{00000000-0005-0000-0000-00000A610000}"/>
    <cellStyle name="Normal 2 2 5 19 4 10" xfId="24843" xr:uid="{00000000-0005-0000-0000-00000B610000}"/>
    <cellStyle name="Normal 2 2 5 19 4 2" xfId="24844" xr:uid="{00000000-0005-0000-0000-00000C610000}"/>
    <cellStyle name="Normal 2 2 5 19 4 3" xfId="24845" xr:uid="{00000000-0005-0000-0000-00000D610000}"/>
    <cellStyle name="Normal 2 2 5 19 4 4" xfId="24846" xr:uid="{00000000-0005-0000-0000-00000E610000}"/>
    <cellStyle name="Normal 2 2 5 19 4 5" xfId="24847" xr:uid="{00000000-0005-0000-0000-00000F610000}"/>
    <cellStyle name="Normal 2 2 5 19 4 6" xfId="24848" xr:uid="{00000000-0005-0000-0000-000010610000}"/>
    <cellStyle name="Normal 2 2 5 19 4 7" xfId="24849" xr:uid="{00000000-0005-0000-0000-000011610000}"/>
    <cellStyle name="Normal 2 2 5 19 4 8" xfId="24850" xr:uid="{00000000-0005-0000-0000-000012610000}"/>
    <cellStyle name="Normal 2 2 5 19 4 9" xfId="24851" xr:uid="{00000000-0005-0000-0000-000013610000}"/>
    <cellStyle name="Normal 2 2 5 19 5" xfId="24852" xr:uid="{00000000-0005-0000-0000-000014610000}"/>
    <cellStyle name="Normal 2 2 5 19 5 10" xfId="24853" xr:uid="{00000000-0005-0000-0000-000015610000}"/>
    <cellStyle name="Normal 2 2 5 19 5 2" xfId="24854" xr:uid="{00000000-0005-0000-0000-000016610000}"/>
    <cellStyle name="Normal 2 2 5 19 5 3" xfId="24855" xr:uid="{00000000-0005-0000-0000-000017610000}"/>
    <cellStyle name="Normal 2 2 5 19 5 4" xfId="24856" xr:uid="{00000000-0005-0000-0000-000018610000}"/>
    <cellStyle name="Normal 2 2 5 19 5 5" xfId="24857" xr:uid="{00000000-0005-0000-0000-000019610000}"/>
    <cellStyle name="Normal 2 2 5 19 5 6" xfId="24858" xr:uid="{00000000-0005-0000-0000-00001A610000}"/>
    <cellStyle name="Normal 2 2 5 19 5 7" xfId="24859" xr:uid="{00000000-0005-0000-0000-00001B610000}"/>
    <cellStyle name="Normal 2 2 5 19 5 8" xfId="24860" xr:uid="{00000000-0005-0000-0000-00001C610000}"/>
    <cellStyle name="Normal 2 2 5 19 5 9" xfId="24861" xr:uid="{00000000-0005-0000-0000-00001D610000}"/>
    <cellStyle name="Normal 2 2 5 19 6" xfId="24862" xr:uid="{00000000-0005-0000-0000-00001E610000}"/>
    <cellStyle name="Normal 2 2 5 19 7" xfId="24863" xr:uid="{00000000-0005-0000-0000-00001F610000}"/>
    <cellStyle name="Normal 2 2 5 19 8" xfId="24864" xr:uid="{00000000-0005-0000-0000-000020610000}"/>
    <cellStyle name="Normal 2 2 5 19 9" xfId="24865" xr:uid="{00000000-0005-0000-0000-000021610000}"/>
    <cellStyle name="Normal 2 2 5 2" xfId="24866" xr:uid="{00000000-0005-0000-0000-000022610000}"/>
    <cellStyle name="Normal 2 2 5 2 10" xfId="24867" xr:uid="{00000000-0005-0000-0000-000023610000}"/>
    <cellStyle name="Normal 2 2 5 2 11" xfId="24868" xr:uid="{00000000-0005-0000-0000-000024610000}"/>
    <cellStyle name="Normal 2 2 5 2 12" xfId="24869" xr:uid="{00000000-0005-0000-0000-000025610000}"/>
    <cellStyle name="Normal 2 2 5 2 13" xfId="24870" xr:uid="{00000000-0005-0000-0000-000026610000}"/>
    <cellStyle name="Normal 2 2 5 2 14" xfId="24871" xr:uid="{00000000-0005-0000-0000-000027610000}"/>
    <cellStyle name="Normal 2 2 5 2 15" xfId="24872" xr:uid="{00000000-0005-0000-0000-000028610000}"/>
    <cellStyle name="Normal 2 2 5 2 16" xfId="24873" xr:uid="{00000000-0005-0000-0000-000029610000}"/>
    <cellStyle name="Normal 2 2 5 2 17" xfId="24874" xr:uid="{00000000-0005-0000-0000-00002A610000}"/>
    <cellStyle name="Normal 2 2 5 2 18" xfId="24875" xr:uid="{00000000-0005-0000-0000-00002B610000}"/>
    <cellStyle name="Normal 2 2 5 2 19" xfId="24876" xr:uid="{00000000-0005-0000-0000-00002C610000}"/>
    <cellStyle name="Normal 2 2 5 2 2" xfId="24877" xr:uid="{00000000-0005-0000-0000-00002D610000}"/>
    <cellStyle name="Normal 2 2 5 2 20" xfId="24878" xr:uid="{00000000-0005-0000-0000-00002E610000}"/>
    <cellStyle name="Normal 2 2 5 2 21" xfId="24879" xr:uid="{00000000-0005-0000-0000-00002F610000}"/>
    <cellStyle name="Normal 2 2 5 2 21 10" xfId="24880" xr:uid="{00000000-0005-0000-0000-000030610000}"/>
    <cellStyle name="Normal 2 2 5 2 21 2" xfId="24881" xr:uid="{00000000-0005-0000-0000-000031610000}"/>
    <cellStyle name="Normal 2 2 5 2 21 3" xfId="24882" xr:uid="{00000000-0005-0000-0000-000032610000}"/>
    <cellStyle name="Normal 2 2 5 2 21 4" xfId="24883" xr:uid="{00000000-0005-0000-0000-000033610000}"/>
    <cellStyle name="Normal 2 2 5 2 21 5" xfId="24884" xr:uid="{00000000-0005-0000-0000-000034610000}"/>
    <cellStyle name="Normal 2 2 5 2 21 6" xfId="24885" xr:uid="{00000000-0005-0000-0000-000035610000}"/>
    <cellStyle name="Normal 2 2 5 2 21 7" xfId="24886" xr:uid="{00000000-0005-0000-0000-000036610000}"/>
    <cellStyle name="Normal 2 2 5 2 21 8" xfId="24887" xr:uid="{00000000-0005-0000-0000-000037610000}"/>
    <cellStyle name="Normal 2 2 5 2 21 9" xfId="24888" xr:uid="{00000000-0005-0000-0000-000038610000}"/>
    <cellStyle name="Normal 2 2 5 2 22" xfId="24889" xr:uid="{00000000-0005-0000-0000-000039610000}"/>
    <cellStyle name="Normal 2 2 5 2 22 10" xfId="24890" xr:uid="{00000000-0005-0000-0000-00003A610000}"/>
    <cellStyle name="Normal 2 2 5 2 22 2" xfId="24891" xr:uid="{00000000-0005-0000-0000-00003B610000}"/>
    <cellStyle name="Normal 2 2 5 2 22 3" xfId="24892" xr:uid="{00000000-0005-0000-0000-00003C610000}"/>
    <cellStyle name="Normal 2 2 5 2 22 4" xfId="24893" xr:uid="{00000000-0005-0000-0000-00003D610000}"/>
    <cellStyle name="Normal 2 2 5 2 22 5" xfId="24894" xr:uid="{00000000-0005-0000-0000-00003E610000}"/>
    <cellStyle name="Normal 2 2 5 2 22 6" xfId="24895" xr:uid="{00000000-0005-0000-0000-00003F610000}"/>
    <cellStyle name="Normal 2 2 5 2 22 7" xfId="24896" xr:uid="{00000000-0005-0000-0000-000040610000}"/>
    <cellStyle name="Normal 2 2 5 2 22 8" xfId="24897" xr:uid="{00000000-0005-0000-0000-000041610000}"/>
    <cellStyle name="Normal 2 2 5 2 22 9" xfId="24898" xr:uid="{00000000-0005-0000-0000-000042610000}"/>
    <cellStyle name="Normal 2 2 5 2 23" xfId="24899" xr:uid="{00000000-0005-0000-0000-000043610000}"/>
    <cellStyle name="Normal 2 2 5 2 23 10" xfId="24900" xr:uid="{00000000-0005-0000-0000-000044610000}"/>
    <cellStyle name="Normal 2 2 5 2 23 2" xfId="24901" xr:uid="{00000000-0005-0000-0000-000045610000}"/>
    <cellStyle name="Normal 2 2 5 2 23 3" xfId="24902" xr:uid="{00000000-0005-0000-0000-000046610000}"/>
    <cellStyle name="Normal 2 2 5 2 23 4" xfId="24903" xr:uid="{00000000-0005-0000-0000-000047610000}"/>
    <cellStyle name="Normal 2 2 5 2 23 5" xfId="24904" xr:uid="{00000000-0005-0000-0000-000048610000}"/>
    <cellStyle name="Normal 2 2 5 2 23 6" xfId="24905" xr:uid="{00000000-0005-0000-0000-000049610000}"/>
    <cellStyle name="Normal 2 2 5 2 23 7" xfId="24906" xr:uid="{00000000-0005-0000-0000-00004A610000}"/>
    <cellStyle name="Normal 2 2 5 2 23 8" xfId="24907" xr:uid="{00000000-0005-0000-0000-00004B610000}"/>
    <cellStyle name="Normal 2 2 5 2 23 9" xfId="24908" xr:uid="{00000000-0005-0000-0000-00004C610000}"/>
    <cellStyle name="Normal 2 2 5 2 24" xfId="24909" xr:uid="{00000000-0005-0000-0000-00004D610000}"/>
    <cellStyle name="Normal 2 2 5 2 24 10" xfId="24910" xr:uid="{00000000-0005-0000-0000-00004E610000}"/>
    <cellStyle name="Normal 2 2 5 2 24 2" xfId="24911" xr:uid="{00000000-0005-0000-0000-00004F610000}"/>
    <cellStyle name="Normal 2 2 5 2 24 3" xfId="24912" xr:uid="{00000000-0005-0000-0000-000050610000}"/>
    <cellStyle name="Normal 2 2 5 2 24 4" xfId="24913" xr:uid="{00000000-0005-0000-0000-000051610000}"/>
    <cellStyle name="Normal 2 2 5 2 24 5" xfId="24914" xr:uid="{00000000-0005-0000-0000-000052610000}"/>
    <cellStyle name="Normal 2 2 5 2 24 6" xfId="24915" xr:uid="{00000000-0005-0000-0000-000053610000}"/>
    <cellStyle name="Normal 2 2 5 2 24 7" xfId="24916" xr:uid="{00000000-0005-0000-0000-000054610000}"/>
    <cellStyle name="Normal 2 2 5 2 24 8" xfId="24917" xr:uid="{00000000-0005-0000-0000-000055610000}"/>
    <cellStyle name="Normal 2 2 5 2 24 9" xfId="24918" xr:uid="{00000000-0005-0000-0000-000056610000}"/>
    <cellStyle name="Normal 2 2 5 2 25" xfId="24919" xr:uid="{00000000-0005-0000-0000-000057610000}"/>
    <cellStyle name="Normal 2 2 5 2 26" xfId="24920" xr:uid="{00000000-0005-0000-0000-000058610000}"/>
    <cellStyle name="Normal 2 2 5 2 27" xfId="24921" xr:uid="{00000000-0005-0000-0000-000059610000}"/>
    <cellStyle name="Normal 2 2 5 2 28" xfId="24922" xr:uid="{00000000-0005-0000-0000-00005A610000}"/>
    <cellStyle name="Normal 2 2 5 2 29" xfId="24923" xr:uid="{00000000-0005-0000-0000-00005B610000}"/>
    <cellStyle name="Normal 2 2 5 2 3" xfId="24924" xr:uid="{00000000-0005-0000-0000-00005C610000}"/>
    <cellStyle name="Normal 2 2 5 2 30" xfId="24925" xr:uid="{00000000-0005-0000-0000-00005D610000}"/>
    <cellStyle name="Normal 2 2 5 2 31" xfId="24926" xr:uid="{00000000-0005-0000-0000-00005E610000}"/>
    <cellStyle name="Normal 2 2 5 2 32" xfId="24927" xr:uid="{00000000-0005-0000-0000-00005F610000}"/>
    <cellStyle name="Normal 2 2 5 2 33" xfId="24928" xr:uid="{00000000-0005-0000-0000-000060610000}"/>
    <cellStyle name="Normal 2 2 5 2 4" xfId="24929" xr:uid="{00000000-0005-0000-0000-000061610000}"/>
    <cellStyle name="Normal 2 2 5 2 5" xfId="24930" xr:uid="{00000000-0005-0000-0000-000062610000}"/>
    <cellStyle name="Normal 2 2 5 2 6" xfId="24931" xr:uid="{00000000-0005-0000-0000-000063610000}"/>
    <cellStyle name="Normal 2 2 5 2 7" xfId="24932" xr:uid="{00000000-0005-0000-0000-000064610000}"/>
    <cellStyle name="Normal 2 2 5 2 8" xfId="24933" xr:uid="{00000000-0005-0000-0000-000065610000}"/>
    <cellStyle name="Normal 2 2 5 2 9" xfId="24934" xr:uid="{00000000-0005-0000-0000-000066610000}"/>
    <cellStyle name="Normal 2 2 5 20" xfId="24935" xr:uid="{00000000-0005-0000-0000-000067610000}"/>
    <cellStyle name="Normal 2 2 5 20 10" xfId="24936" xr:uid="{00000000-0005-0000-0000-000068610000}"/>
    <cellStyle name="Normal 2 2 5 20 11" xfId="24937" xr:uid="{00000000-0005-0000-0000-000069610000}"/>
    <cellStyle name="Normal 2 2 5 20 12" xfId="24938" xr:uid="{00000000-0005-0000-0000-00006A610000}"/>
    <cellStyle name="Normal 2 2 5 20 13" xfId="24939" xr:uid="{00000000-0005-0000-0000-00006B610000}"/>
    <cellStyle name="Normal 2 2 5 20 14" xfId="24940" xr:uid="{00000000-0005-0000-0000-00006C610000}"/>
    <cellStyle name="Normal 2 2 5 20 2" xfId="24941" xr:uid="{00000000-0005-0000-0000-00006D610000}"/>
    <cellStyle name="Normal 2 2 5 20 2 10" xfId="24942" xr:uid="{00000000-0005-0000-0000-00006E610000}"/>
    <cellStyle name="Normal 2 2 5 20 2 2" xfId="24943" xr:uid="{00000000-0005-0000-0000-00006F610000}"/>
    <cellStyle name="Normal 2 2 5 20 2 3" xfId="24944" xr:uid="{00000000-0005-0000-0000-000070610000}"/>
    <cellStyle name="Normal 2 2 5 20 2 4" xfId="24945" xr:uid="{00000000-0005-0000-0000-000071610000}"/>
    <cellStyle name="Normal 2 2 5 20 2 5" xfId="24946" xr:uid="{00000000-0005-0000-0000-000072610000}"/>
    <cellStyle name="Normal 2 2 5 20 2 6" xfId="24947" xr:uid="{00000000-0005-0000-0000-000073610000}"/>
    <cellStyle name="Normal 2 2 5 20 2 7" xfId="24948" xr:uid="{00000000-0005-0000-0000-000074610000}"/>
    <cellStyle name="Normal 2 2 5 20 2 8" xfId="24949" xr:uid="{00000000-0005-0000-0000-000075610000}"/>
    <cellStyle name="Normal 2 2 5 20 2 9" xfId="24950" xr:uid="{00000000-0005-0000-0000-000076610000}"/>
    <cellStyle name="Normal 2 2 5 20 3" xfId="24951" xr:uid="{00000000-0005-0000-0000-000077610000}"/>
    <cellStyle name="Normal 2 2 5 20 3 10" xfId="24952" xr:uid="{00000000-0005-0000-0000-000078610000}"/>
    <cellStyle name="Normal 2 2 5 20 3 2" xfId="24953" xr:uid="{00000000-0005-0000-0000-000079610000}"/>
    <cellStyle name="Normal 2 2 5 20 3 3" xfId="24954" xr:uid="{00000000-0005-0000-0000-00007A610000}"/>
    <cellStyle name="Normal 2 2 5 20 3 4" xfId="24955" xr:uid="{00000000-0005-0000-0000-00007B610000}"/>
    <cellStyle name="Normal 2 2 5 20 3 5" xfId="24956" xr:uid="{00000000-0005-0000-0000-00007C610000}"/>
    <cellStyle name="Normal 2 2 5 20 3 6" xfId="24957" xr:uid="{00000000-0005-0000-0000-00007D610000}"/>
    <cellStyle name="Normal 2 2 5 20 3 7" xfId="24958" xr:uid="{00000000-0005-0000-0000-00007E610000}"/>
    <cellStyle name="Normal 2 2 5 20 3 8" xfId="24959" xr:uid="{00000000-0005-0000-0000-00007F610000}"/>
    <cellStyle name="Normal 2 2 5 20 3 9" xfId="24960" xr:uid="{00000000-0005-0000-0000-000080610000}"/>
    <cellStyle name="Normal 2 2 5 20 4" xfId="24961" xr:uid="{00000000-0005-0000-0000-000081610000}"/>
    <cellStyle name="Normal 2 2 5 20 4 10" xfId="24962" xr:uid="{00000000-0005-0000-0000-000082610000}"/>
    <cellStyle name="Normal 2 2 5 20 4 2" xfId="24963" xr:uid="{00000000-0005-0000-0000-000083610000}"/>
    <cellStyle name="Normal 2 2 5 20 4 3" xfId="24964" xr:uid="{00000000-0005-0000-0000-000084610000}"/>
    <cellStyle name="Normal 2 2 5 20 4 4" xfId="24965" xr:uid="{00000000-0005-0000-0000-000085610000}"/>
    <cellStyle name="Normal 2 2 5 20 4 5" xfId="24966" xr:uid="{00000000-0005-0000-0000-000086610000}"/>
    <cellStyle name="Normal 2 2 5 20 4 6" xfId="24967" xr:uid="{00000000-0005-0000-0000-000087610000}"/>
    <cellStyle name="Normal 2 2 5 20 4 7" xfId="24968" xr:uid="{00000000-0005-0000-0000-000088610000}"/>
    <cellStyle name="Normal 2 2 5 20 4 8" xfId="24969" xr:uid="{00000000-0005-0000-0000-000089610000}"/>
    <cellStyle name="Normal 2 2 5 20 4 9" xfId="24970" xr:uid="{00000000-0005-0000-0000-00008A610000}"/>
    <cellStyle name="Normal 2 2 5 20 5" xfId="24971" xr:uid="{00000000-0005-0000-0000-00008B610000}"/>
    <cellStyle name="Normal 2 2 5 20 5 10" xfId="24972" xr:uid="{00000000-0005-0000-0000-00008C610000}"/>
    <cellStyle name="Normal 2 2 5 20 5 2" xfId="24973" xr:uid="{00000000-0005-0000-0000-00008D610000}"/>
    <cellStyle name="Normal 2 2 5 20 5 3" xfId="24974" xr:uid="{00000000-0005-0000-0000-00008E610000}"/>
    <cellStyle name="Normal 2 2 5 20 5 4" xfId="24975" xr:uid="{00000000-0005-0000-0000-00008F610000}"/>
    <cellStyle name="Normal 2 2 5 20 5 5" xfId="24976" xr:uid="{00000000-0005-0000-0000-000090610000}"/>
    <cellStyle name="Normal 2 2 5 20 5 6" xfId="24977" xr:uid="{00000000-0005-0000-0000-000091610000}"/>
    <cellStyle name="Normal 2 2 5 20 5 7" xfId="24978" xr:uid="{00000000-0005-0000-0000-000092610000}"/>
    <cellStyle name="Normal 2 2 5 20 5 8" xfId="24979" xr:uid="{00000000-0005-0000-0000-000093610000}"/>
    <cellStyle name="Normal 2 2 5 20 5 9" xfId="24980" xr:uid="{00000000-0005-0000-0000-000094610000}"/>
    <cellStyle name="Normal 2 2 5 20 6" xfId="24981" xr:uid="{00000000-0005-0000-0000-000095610000}"/>
    <cellStyle name="Normal 2 2 5 20 7" xfId="24982" xr:uid="{00000000-0005-0000-0000-000096610000}"/>
    <cellStyle name="Normal 2 2 5 20 8" xfId="24983" xr:uid="{00000000-0005-0000-0000-000097610000}"/>
    <cellStyle name="Normal 2 2 5 20 9" xfId="24984" xr:uid="{00000000-0005-0000-0000-000098610000}"/>
    <cellStyle name="Normal 2 2 5 21" xfId="24985" xr:uid="{00000000-0005-0000-0000-000099610000}"/>
    <cellStyle name="Normal 2 2 5 22" xfId="24986" xr:uid="{00000000-0005-0000-0000-00009A610000}"/>
    <cellStyle name="Normal 2 2 5 23" xfId="24987" xr:uid="{00000000-0005-0000-0000-00009B610000}"/>
    <cellStyle name="Normal 2 2 5 24" xfId="24365" xr:uid="{00000000-0005-0000-0000-00002D5F0000}"/>
    <cellStyle name="Normal 2 2 5 3" xfId="24988" xr:uid="{00000000-0005-0000-0000-00009C610000}"/>
    <cellStyle name="Normal 2 2 5 3 10" xfId="24989" xr:uid="{00000000-0005-0000-0000-00009D610000}"/>
    <cellStyle name="Normal 2 2 5 3 11" xfId="24990" xr:uid="{00000000-0005-0000-0000-00009E610000}"/>
    <cellStyle name="Normal 2 2 5 3 12" xfId="24991" xr:uid="{00000000-0005-0000-0000-00009F610000}"/>
    <cellStyle name="Normal 2 2 5 3 13" xfId="24992" xr:uid="{00000000-0005-0000-0000-0000A0610000}"/>
    <cellStyle name="Normal 2 2 5 3 14" xfId="24993" xr:uid="{00000000-0005-0000-0000-0000A1610000}"/>
    <cellStyle name="Normal 2 2 5 3 2" xfId="24994" xr:uid="{00000000-0005-0000-0000-0000A2610000}"/>
    <cellStyle name="Normal 2 2 5 3 2 10" xfId="24995" xr:uid="{00000000-0005-0000-0000-0000A3610000}"/>
    <cellStyle name="Normal 2 2 5 3 2 2" xfId="24996" xr:uid="{00000000-0005-0000-0000-0000A4610000}"/>
    <cellStyle name="Normal 2 2 5 3 2 3" xfId="24997" xr:uid="{00000000-0005-0000-0000-0000A5610000}"/>
    <cellStyle name="Normal 2 2 5 3 2 4" xfId="24998" xr:uid="{00000000-0005-0000-0000-0000A6610000}"/>
    <cellStyle name="Normal 2 2 5 3 2 5" xfId="24999" xr:uid="{00000000-0005-0000-0000-0000A7610000}"/>
    <cellStyle name="Normal 2 2 5 3 2 6" xfId="25000" xr:uid="{00000000-0005-0000-0000-0000A8610000}"/>
    <cellStyle name="Normal 2 2 5 3 2 7" xfId="25001" xr:uid="{00000000-0005-0000-0000-0000A9610000}"/>
    <cellStyle name="Normal 2 2 5 3 2 8" xfId="25002" xr:uid="{00000000-0005-0000-0000-0000AA610000}"/>
    <cellStyle name="Normal 2 2 5 3 2 9" xfId="25003" xr:uid="{00000000-0005-0000-0000-0000AB610000}"/>
    <cellStyle name="Normal 2 2 5 3 3" xfId="25004" xr:uid="{00000000-0005-0000-0000-0000AC610000}"/>
    <cellStyle name="Normal 2 2 5 3 3 10" xfId="25005" xr:uid="{00000000-0005-0000-0000-0000AD610000}"/>
    <cellStyle name="Normal 2 2 5 3 3 2" xfId="25006" xr:uid="{00000000-0005-0000-0000-0000AE610000}"/>
    <cellStyle name="Normal 2 2 5 3 3 3" xfId="25007" xr:uid="{00000000-0005-0000-0000-0000AF610000}"/>
    <cellStyle name="Normal 2 2 5 3 3 4" xfId="25008" xr:uid="{00000000-0005-0000-0000-0000B0610000}"/>
    <cellStyle name="Normal 2 2 5 3 3 5" xfId="25009" xr:uid="{00000000-0005-0000-0000-0000B1610000}"/>
    <cellStyle name="Normal 2 2 5 3 3 6" xfId="25010" xr:uid="{00000000-0005-0000-0000-0000B2610000}"/>
    <cellStyle name="Normal 2 2 5 3 3 7" xfId="25011" xr:uid="{00000000-0005-0000-0000-0000B3610000}"/>
    <cellStyle name="Normal 2 2 5 3 3 8" xfId="25012" xr:uid="{00000000-0005-0000-0000-0000B4610000}"/>
    <cellStyle name="Normal 2 2 5 3 3 9" xfId="25013" xr:uid="{00000000-0005-0000-0000-0000B5610000}"/>
    <cellStyle name="Normal 2 2 5 3 4" xfId="25014" xr:uid="{00000000-0005-0000-0000-0000B6610000}"/>
    <cellStyle name="Normal 2 2 5 3 4 10" xfId="25015" xr:uid="{00000000-0005-0000-0000-0000B7610000}"/>
    <cellStyle name="Normal 2 2 5 3 4 2" xfId="25016" xr:uid="{00000000-0005-0000-0000-0000B8610000}"/>
    <cellStyle name="Normal 2 2 5 3 4 3" xfId="25017" xr:uid="{00000000-0005-0000-0000-0000B9610000}"/>
    <cellStyle name="Normal 2 2 5 3 4 4" xfId="25018" xr:uid="{00000000-0005-0000-0000-0000BA610000}"/>
    <cellStyle name="Normal 2 2 5 3 4 5" xfId="25019" xr:uid="{00000000-0005-0000-0000-0000BB610000}"/>
    <cellStyle name="Normal 2 2 5 3 4 6" xfId="25020" xr:uid="{00000000-0005-0000-0000-0000BC610000}"/>
    <cellStyle name="Normal 2 2 5 3 4 7" xfId="25021" xr:uid="{00000000-0005-0000-0000-0000BD610000}"/>
    <cellStyle name="Normal 2 2 5 3 4 8" xfId="25022" xr:uid="{00000000-0005-0000-0000-0000BE610000}"/>
    <cellStyle name="Normal 2 2 5 3 4 9" xfId="25023" xr:uid="{00000000-0005-0000-0000-0000BF610000}"/>
    <cellStyle name="Normal 2 2 5 3 5" xfId="25024" xr:uid="{00000000-0005-0000-0000-0000C0610000}"/>
    <cellStyle name="Normal 2 2 5 3 5 10" xfId="25025" xr:uid="{00000000-0005-0000-0000-0000C1610000}"/>
    <cellStyle name="Normal 2 2 5 3 5 2" xfId="25026" xr:uid="{00000000-0005-0000-0000-0000C2610000}"/>
    <cellStyle name="Normal 2 2 5 3 5 3" xfId="25027" xr:uid="{00000000-0005-0000-0000-0000C3610000}"/>
    <cellStyle name="Normal 2 2 5 3 5 4" xfId="25028" xr:uid="{00000000-0005-0000-0000-0000C4610000}"/>
    <cellStyle name="Normal 2 2 5 3 5 5" xfId="25029" xr:uid="{00000000-0005-0000-0000-0000C5610000}"/>
    <cellStyle name="Normal 2 2 5 3 5 6" xfId="25030" xr:uid="{00000000-0005-0000-0000-0000C6610000}"/>
    <cellStyle name="Normal 2 2 5 3 5 7" xfId="25031" xr:uid="{00000000-0005-0000-0000-0000C7610000}"/>
    <cellStyle name="Normal 2 2 5 3 5 8" xfId="25032" xr:uid="{00000000-0005-0000-0000-0000C8610000}"/>
    <cellStyle name="Normal 2 2 5 3 5 9" xfId="25033" xr:uid="{00000000-0005-0000-0000-0000C9610000}"/>
    <cellStyle name="Normal 2 2 5 3 6" xfId="25034" xr:uid="{00000000-0005-0000-0000-0000CA610000}"/>
    <cellStyle name="Normal 2 2 5 3 7" xfId="25035" xr:uid="{00000000-0005-0000-0000-0000CB610000}"/>
    <cellStyle name="Normal 2 2 5 3 8" xfId="25036" xr:uid="{00000000-0005-0000-0000-0000CC610000}"/>
    <cellStyle name="Normal 2 2 5 3 9" xfId="25037" xr:uid="{00000000-0005-0000-0000-0000CD610000}"/>
    <cellStyle name="Normal 2 2 5 4" xfId="25038" xr:uid="{00000000-0005-0000-0000-0000CE610000}"/>
    <cellStyle name="Normal 2 2 5 4 10" xfId="25039" xr:uid="{00000000-0005-0000-0000-0000CF610000}"/>
    <cellStyle name="Normal 2 2 5 4 11" xfId="25040" xr:uid="{00000000-0005-0000-0000-0000D0610000}"/>
    <cellStyle name="Normal 2 2 5 4 12" xfId="25041" xr:uid="{00000000-0005-0000-0000-0000D1610000}"/>
    <cellStyle name="Normal 2 2 5 4 13" xfId="25042" xr:uid="{00000000-0005-0000-0000-0000D2610000}"/>
    <cellStyle name="Normal 2 2 5 4 14" xfId="25043" xr:uid="{00000000-0005-0000-0000-0000D3610000}"/>
    <cellStyle name="Normal 2 2 5 4 2" xfId="25044" xr:uid="{00000000-0005-0000-0000-0000D4610000}"/>
    <cellStyle name="Normal 2 2 5 4 2 10" xfId="25045" xr:uid="{00000000-0005-0000-0000-0000D5610000}"/>
    <cellStyle name="Normal 2 2 5 4 2 2" xfId="25046" xr:uid="{00000000-0005-0000-0000-0000D6610000}"/>
    <cellStyle name="Normal 2 2 5 4 2 3" xfId="25047" xr:uid="{00000000-0005-0000-0000-0000D7610000}"/>
    <cellStyle name="Normal 2 2 5 4 2 4" xfId="25048" xr:uid="{00000000-0005-0000-0000-0000D8610000}"/>
    <cellStyle name="Normal 2 2 5 4 2 5" xfId="25049" xr:uid="{00000000-0005-0000-0000-0000D9610000}"/>
    <cellStyle name="Normal 2 2 5 4 2 6" xfId="25050" xr:uid="{00000000-0005-0000-0000-0000DA610000}"/>
    <cellStyle name="Normal 2 2 5 4 2 7" xfId="25051" xr:uid="{00000000-0005-0000-0000-0000DB610000}"/>
    <cellStyle name="Normal 2 2 5 4 2 8" xfId="25052" xr:uid="{00000000-0005-0000-0000-0000DC610000}"/>
    <cellStyle name="Normal 2 2 5 4 2 9" xfId="25053" xr:uid="{00000000-0005-0000-0000-0000DD610000}"/>
    <cellStyle name="Normal 2 2 5 4 3" xfId="25054" xr:uid="{00000000-0005-0000-0000-0000DE610000}"/>
    <cellStyle name="Normal 2 2 5 4 3 10" xfId="25055" xr:uid="{00000000-0005-0000-0000-0000DF610000}"/>
    <cellStyle name="Normal 2 2 5 4 3 2" xfId="25056" xr:uid="{00000000-0005-0000-0000-0000E0610000}"/>
    <cellStyle name="Normal 2 2 5 4 3 3" xfId="25057" xr:uid="{00000000-0005-0000-0000-0000E1610000}"/>
    <cellStyle name="Normal 2 2 5 4 3 4" xfId="25058" xr:uid="{00000000-0005-0000-0000-0000E2610000}"/>
    <cellStyle name="Normal 2 2 5 4 3 5" xfId="25059" xr:uid="{00000000-0005-0000-0000-0000E3610000}"/>
    <cellStyle name="Normal 2 2 5 4 3 6" xfId="25060" xr:uid="{00000000-0005-0000-0000-0000E4610000}"/>
    <cellStyle name="Normal 2 2 5 4 3 7" xfId="25061" xr:uid="{00000000-0005-0000-0000-0000E5610000}"/>
    <cellStyle name="Normal 2 2 5 4 3 8" xfId="25062" xr:uid="{00000000-0005-0000-0000-0000E6610000}"/>
    <cellStyle name="Normal 2 2 5 4 3 9" xfId="25063" xr:uid="{00000000-0005-0000-0000-0000E7610000}"/>
    <cellStyle name="Normal 2 2 5 4 4" xfId="25064" xr:uid="{00000000-0005-0000-0000-0000E8610000}"/>
    <cellStyle name="Normal 2 2 5 4 4 10" xfId="25065" xr:uid="{00000000-0005-0000-0000-0000E9610000}"/>
    <cellStyle name="Normal 2 2 5 4 4 2" xfId="25066" xr:uid="{00000000-0005-0000-0000-0000EA610000}"/>
    <cellStyle name="Normal 2 2 5 4 4 3" xfId="25067" xr:uid="{00000000-0005-0000-0000-0000EB610000}"/>
    <cellStyle name="Normal 2 2 5 4 4 4" xfId="25068" xr:uid="{00000000-0005-0000-0000-0000EC610000}"/>
    <cellStyle name="Normal 2 2 5 4 4 5" xfId="25069" xr:uid="{00000000-0005-0000-0000-0000ED610000}"/>
    <cellStyle name="Normal 2 2 5 4 4 6" xfId="25070" xr:uid="{00000000-0005-0000-0000-0000EE610000}"/>
    <cellStyle name="Normal 2 2 5 4 4 7" xfId="25071" xr:uid="{00000000-0005-0000-0000-0000EF610000}"/>
    <cellStyle name="Normal 2 2 5 4 4 8" xfId="25072" xr:uid="{00000000-0005-0000-0000-0000F0610000}"/>
    <cellStyle name="Normal 2 2 5 4 4 9" xfId="25073" xr:uid="{00000000-0005-0000-0000-0000F1610000}"/>
    <cellStyle name="Normal 2 2 5 4 5" xfId="25074" xr:uid="{00000000-0005-0000-0000-0000F2610000}"/>
    <cellStyle name="Normal 2 2 5 4 5 10" xfId="25075" xr:uid="{00000000-0005-0000-0000-0000F3610000}"/>
    <cellStyle name="Normal 2 2 5 4 5 2" xfId="25076" xr:uid="{00000000-0005-0000-0000-0000F4610000}"/>
    <cellStyle name="Normal 2 2 5 4 5 3" xfId="25077" xr:uid="{00000000-0005-0000-0000-0000F5610000}"/>
    <cellStyle name="Normal 2 2 5 4 5 4" xfId="25078" xr:uid="{00000000-0005-0000-0000-0000F6610000}"/>
    <cellStyle name="Normal 2 2 5 4 5 5" xfId="25079" xr:uid="{00000000-0005-0000-0000-0000F7610000}"/>
    <cellStyle name="Normal 2 2 5 4 5 6" xfId="25080" xr:uid="{00000000-0005-0000-0000-0000F8610000}"/>
    <cellStyle name="Normal 2 2 5 4 5 7" xfId="25081" xr:uid="{00000000-0005-0000-0000-0000F9610000}"/>
    <cellStyle name="Normal 2 2 5 4 5 8" xfId="25082" xr:uid="{00000000-0005-0000-0000-0000FA610000}"/>
    <cellStyle name="Normal 2 2 5 4 5 9" xfId="25083" xr:uid="{00000000-0005-0000-0000-0000FB610000}"/>
    <cellStyle name="Normal 2 2 5 4 6" xfId="25084" xr:uid="{00000000-0005-0000-0000-0000FC610000}"/>
    <cellStyle name="Normal 2 2 5 4 7" xfId="25085" xr:uid="{00000000-0005-0000-0000-0000FD610000}"/>
    <cellStyle name="Normal 2 2 5 4 8" xfId="25086" xr:uid="{00000000-0005-0000-0000-0000FE610000}"/>
    <cellStyle name="Normal 2 2 5 4 9" xfId="25087" xr:uid="{00000000-0005-0000-0000-0000FF610000}"/>
    <cellStyle name="Normal 2 2 5 5" xfId="25088" xr:uid="{00000000-0005-0000-0000-000000620000}"/>
    <cellStyle name="Normal 2 2 5 5 10" xfId="25089" xr:uid="{00000000-0005-0000-0000-000001620000}"/>
    <cellStyle name="Normal 2 2 5 5 11" xfId="25090" xr:uid="{00000000-0005-0000-0000-000002620000}"/>
    <cellStyle name="Normal 2 2 5 5 12" xfId="25091" xr:uid="{00000000-0005-0000-0000-000003620000}"/>
    <cellStyle name="Normal 2 2 5 5 13" xfId="25092" xr:uid="{00000000-0005-0000-0000-000004620000}"/>
    <cellStyle name="Normal 2 2 5 5 14" xfId="25093" xr:uid="{00000000-0005-0000-0000-000005620000}"/>
    <cellStyle name="Normal 2 2 5 5 2" xfId="25094" xr:uid="{00000000-0005-0000-0000-000006620000}"/>
    <cellStyle name="Normal 2 2 5 5 2 10" xfId="25095" xr:uid="{00000000-0005-0000-0000-000007620000}"/>
    <cellStyle name="Normal 2 2 5 5 2 2" xfId="25096" xr:uid="{00000000-0005-0000-0000-000008620000}"/>
    <cellStyle name="Normal 2 2 5 5 2 3" xfId="25097" xr:uid="{00000000-0005-0000-0000-000009620000}"/>
    <cellStyle name="Normal 2 2 5 5 2 4" xfId="25098" xr:uid="{00000000-0005-0000-0000-00000A620000}"/>
    <cellStyle name="Normal 2 2 5 5 2 5" xfId="25099" xr:uid="{00000000-0005-0000-0000-00000B620000}"/>
    <cellStyle name="Normal 2 2 5 5 2 6" xfId="25100" xr:uid="{00000000-0005-0000-0000-00000C620000}"/>
    <cellStyle name="Normal 2 2 5 5 2 7" xfId="25101" xr:uid="{00000000-0005-0000-0000-00000D620000}"/>
    <cellStyle name="Normal 2 2 5 5 2 8" xfId="25102" xr:uid="{00000000-0005-0000-0000-00000E620000}"/>
    <cellStyle name="Normal 2 2 5 5 2 9" xfId="25103" xr:uid="{00000000-0005-0000-0000-00000F620000}"/>
    <cellStyle name="Normal 2 2 5 5 3" xfId="25104" xr:uid="{00000000-0005-0000-0000-000010620000}"/>
    <cellStyle name="Normal 2 2 5 5 3 10" xfId="25105" xr:uid="{00000000-0005-0000-0000-000011620000}"/>
    <cellStyle name="Normal 2 2 5 5 3 2" xfId="25106" xr:uid="{00000000-0005-0000-0000-000012620000}"/>
    <cellStyle name="Normal 2 2 5 5 3 3" xfId="25107" xr:uid="{00000000-0005-0000-0000-000013620000}"/>
    <cellStyle name="Normal 2 2 5 5 3 4" xfId="25108" xr:uid="{00000000-0005-0000-0000-000014620000}"/>
    <cellStyle name="Normal 2 2 5 5 3 5" xfId="25109" xr:uid="{00000000-0005-0000-0000-000015620000}"/>
    <cellStyle name="Normal 2 2 5 5 3 6" xfId="25110" xr:uid="{00000000-0005-0000-0000-000016620000}"/>
    <cellStyle name="Normal 2 2 5 5 3 7" xfId="25111" xr:uid="{00000000-0005-0000-0000-000017620000}"/>
    <cellStyle name="Normal 2 2 5 5 3 8" xfId="25112" xr:uid="{00000000-0005-0000-0000-000018620000}"/>
    <cellStyle name="Normal 2 2 5 5 3 9" xfId="25113" xr:uid="{00000000-0005-0000-0000-000019620000}"/>
    <cellStyle name="Normal 2 2 5 5 4" xfId="25114" xr:uid="{00000000-0005-0000-0000-00001A620000}"/>
    <cellStyle name="Normal 2 2 5 5 4 10" xfId="25115" xr:uid="{00000000-0005-0000-0000-00001B620000}"/>
    <cellStyle name="Normal 2 2 5 5 4 2" xfId="25116" xr:uid="{00000000-0005-0000-0000-00001C620000}"/>
    <cellStyle name="Normal 2 2 5 5 4 3" xfId="25117" xr:uid="{00000000-0005-0000-0000-00001D620000}"/>
    <cellStyle name="Normal 2 2 5 5 4 4" xfId="25118" xr:uid="{00000000-0005-0000-0000-00001E620000}"/>
    <cellStyle name="Normal 2 2 5 5 4 5" xfId="25119" xr:uid="{00000000-0005-0000-0000-00001F620000}"/>
    <cellStyle name="Normal 2 2 5 5 4 6" xfId="25120" xr:uid="{00000000-0005-0000-0000-000020620000}"/>
    <cellStyle name="Normal 2 2 5 5 4 7" xfId="25121" xr:uid="{00000000-0005-0000-0000-000021620000}"/>
    <cellStyle name="Normal 2 2 5 5 4 8" xfId="25122" xr:uid="{00000000-0005-0000-0000-000022620000}"/>
    <cellStyle name="Normal 2 2 5 5 4 9" xfId="25123" xr:uid="{00000000-0005-0000-0000-000023620000}"/>
    <cellStyle name="Normal 2 2 5 5 5" xfId="25124" xr:uid="{00000000-0005-0000-0000-000024620000}"/>
    <cellStyle name="Normal 2 2 5 5 5 10" xfId="25125" xr:uid="{00000000-0005-0000-0000-000025620000}"/>
    <cellStyle name="Normal 2 2 5 5 5 2" xfId="25126" xr:uid="{00000000-0005-0000-0000-000026620000}"/>
    <cellStyle name="Normal 2 2 5 5 5 3" xfId="25127" xr:uid="{00000000-0005-0000-0000-000027620000}"/>
    <cellStyle name="Normal 2 2 5 5 5 4" xfId="25128" xr:uid="{00000000-0005-0000-0000-000028620000}"/>
    <cellStyle name="Normal 2 2 5 5 5 5" xfId="25129" xr:uid="{00000000-0005-0000-0000-000029620000}"/>
    <cellStyle name="Normal 2 2 5 5 5 6" xfId="25130" xr:uid="{00000000-0005-0000-0000-00002A620000}"/>
    <cellStyle name="Normal 2 2 5 5 5 7" xfId="25131" xr:uid="{00000000-0005-0000-0000-00002B620000}"/>
    <cellStyle name="Normal 2 2 5 5 5 8" xfId="25132" xr:uid="{00000000-0005-0000-0000-00002C620000}"/>
    <cellStyle name="Normal 2 2 5 5 5 9" xfId="25133" xr:uid="{00000000-0005-0000-0000-00002D620000}"/>
    <cellStyle name="Normal 2 2 5 5 6" xfId="25134" xr:uid="{00000000-0005-0000-0000-00002E620000}"/>
    <cellStyle name="Normal 2 2 5 5 7" xfId="25135" xr:uid="{00000000-0005-0000-0000-00002F620000}"/>
    <cellStyle name="Normal 2 2 5 5 8" xfId="25136" xr:uid="{00000000-0005-0000-0000-000030620000}"/>
    <cellStyle name="Normal 2 2 5 5 9" xfId="25137" xr:uid="{00000000-0005-0000-0000-000031620000}"/>
    <cellStyle name="Normal 2 2 5 6" xfId="25138" xr:uid="{00000000-0005-0000-0000-000032620000}"/>
    <cellStyle name="Normal 2 2 5 6 10" xfId="25139" xr:uid="{00000000-0005-0000-0000-000033620000}"/>
    <cellStyle name="Normal 2 2 5 6 11" xfId="25140" xr:uid="{00000000-0005-0000-0000-000034620000}"/>
    <cellStyle name="Normal 2 2 5 6 12" xfId="25141" xr:uid="{00000000-0005-0000-0000-000035620000}"/>
    <cellStyle name="Normal 2 2 5 6 13" xfId="25142" xr:uid="{00000000-0005-0000-0000-000036620000}"/>
    <cellStyle name="Normal 2 2 5 6 14" xfId="25143" xr:uid="{00000000-0005-0000-0000-000037620000}"/>
    <cellStyle name="Normal 2 2 5 6 2" xfId="25144" xr:uid="{00000000-0005-0000-0000-000038620000}"/>
    <cellStyle name="Normal 2 2 5 6 2 10" xfId="25145" xr:uid="{00000000-0005-0000-0000-000039620000}"/>
    <cellStyle name="Normal 2 2 5 6 2 2" xfId="25146" xr:uid="{00000000-0005-0000-0000-00003A620000}"/>
    <cellStyle name="Normal 2 2 5 6 2 3" xfId="25147" xr:uid="{00000000-0005-0000-0000-00003B620000}"/>
    <cellStyle name="Normal 2 2 5 6 2 4" xfId="25148" xr:uid="{00000000-0005-0000-0000-00003C620000}"/>
    <cellStyle name="Normal 2 2 5 6 2 5" xfId="25149" xr:uid="{00000000-0005-0000-0000-00003D620000}"/>
    <cellStyle name="Normal 2 2 5 6 2 6" xfId="25150" xr:uid="{00000000-0005-0000-0000-00003E620000}"/>
    <cellStyle name="Normal 2 2 5 6 2 7" xfId="25151" xr:uid="{00000000-0005-0000-0000-00003F620000}"/>
    <cellStyle name="Normal 2 2 5 6 2 8" xfId="25152" xr:uid="{00000000-0005-0000-0000-000040620000}"/>
    <cellStyle name="Normal 2 2 5 6 2 9" xfId="25153" xr:uid="{00000000-0005-0000-0000-000041620000}"/>
    <cellStyle name="Normal 2 2 5 6 3" xfId="25154" xr:uid="{00000000-0005-0000-0000-000042620000}"/>
    <cellStyle name="Normal 2 2 5 6 3 10" xfId="25155" xr:uid="{00000000-0005-0000-0000-000043620000}"/>
    <cellStyle name="Normal 2 2 5 6 3 2" xfId="25156" xr:uid="{00000000-0005-0000-0000-000044620000}"/>
    <cellStyle name="Normal 2 2 5 6 3 3" xfId="25157" xr:uid="{00000000-0005-0000-0000-000045620000}"/>
    <cellStyle name="Normal 2 2 5 6 3 4" xfId="25158" xr:uid="{00000000-0005-0000-0000-000046620000}"/>
    <cellStyle name="Normal 2 2 5 6 3 5" xfId="25159" xr:uid="{00000000-0005-0000-0000-000047620000}"/>
    <cellStyle name="Normal 2 2 5 6 3 6" xfId="25160" xr:uid="{00000000-0005-0000-0000-000048620000}"/>
    <cellStyle name="Normal 2 2 5 6 3 7" xfId="25161" xr:uid="{00000000-0005-0000-0000-000049620000}"/>
    <cellStyle name="Normal 2 2 5 6 3 8" xfId="25162" xr:uid="{00000000-0005-0000-0000-00004A620000}"/>
    <cellStyle name="Normal 2 2 5 6 3 9" xfId="25163" xr:uid="{00000000-0005-0000-0000-00004B620000}"/>
    <cellStyle name="Normal 2 2 5 6 4" xfId="25164" xr:uid="{00000000-0005-0000-0000-00004C620000}"/>
    <cellStyle name="Normal 2 2 5 6 4 10" xfId="25165" xr:uid="{00000000-0005-0000-0000-00004D620000}"/>
    <cellStyle name="Normal 2 2 5 6 4 2" xfId="25166" xr:uid="{00000000-0005-0000-0000-00004E620000}"/>
    <cellStyle name="Normal 2 2 5 6 4 3" xfId="25167" xr:uid="{00000000-0005-0000-0000-00004F620000}"/>
    <cellStyle name="Normal 2 2 5 6 4 4" xfId="25168" xr:uid="{00000000-0005-0000-0000-000050620000}"/>
    <cellStyle name="Normal 2 2 5 6 4 5" xfId="25169" xr:uid="{00000000-0005-0000-0000-000051620000}"/>
    <cellStyle name="Normal 2 2 5 6 4 6" xfId="25170" xr:uid="{00000000-0005-0000-0000-000052620000}"/>
    <cellStyle name="Normal 2 2 5 6 4 7" xfId="25171" xr:uid="{00000000-0005-0000-0000-000053620000}"/>
    <cellStyle name="Normal 2 2 5 6 4 8" xfId="25172" xr:uid="{00000000-0005-0000-0000-000054620000}"/>
    <cellStyle name="Normal 2 2 5 6 4 9" xfId="25173" xr:uid="{00000000-0005-0000-0000-000055620000}"/>
    <cellStyle name="Normal 2 2 5 6 5" xfId="25174" xr:uid="{00000000-0005-0000-0000-000056620000}"/>
    <cellStyle name="Normal 2 2 5 6 5 10" xfId="25175" xr:uid="{00000000-0005-0000-0000-000057620000}"/>
    <cellStyle name="Normal 2 2 5 6 5 2" xfId="25176" xr:uid="{00000000-0005-0000-0000-000058620000}"/>
    <cellStyle name="Normal 2 2 5 6 5 3" xfId="25177" xr:uid="{00000000-0005-0000-0000-000059620000}"/>
    <cellStyle name="Normal 2 2 5 6 5 4" xfId="25178" xr:uid="{00000000-0005-0000-0000-00005A620000}"/>
    <cellStyle name="Normal 2 2 5 6 5 5" xfId="25179" xr:uid="{00000000-0005-0000-0000-00005B620000}"/>
    <cellStyle name="Normal 2 2 5 6 5 6" xfId="25180" xr:uid="{00000000-0005-0000-0000-00005C620000}"/>
    <cellStyle name="Normal 2 2 5 6 5 7" xfId="25181" xr:uid="{00000000-0005-0000-0000-00005D620000}"/>
    <cellStyle name="Normal 2 2 5 6 5 8" xfId="25182" xr:uid="{00000000-0005-0000-0000-00005E620000}"/>
    <cellStyle name="Normal 2 2 5 6 5 9" xfId="25183" xr:uid="{00000000-0005-0000-0000-00005F620000}"/>
    <cellStyle name="Normal 2 2 5 6 6" xfId="25184" xr:uid="{00000000-0005-0000-0000-000060620000}"/>
    <cellStyle name="Normal 2 2 5 6 7" xfId="25185" xr:uid="{00000000-0005-0000-0000-000061620000}"/>
    <cellStyle name="Normal 2 2 5 6 8" xfId="25186" xr:uid="{00000000-0005-0000-0000-000062620000}"/>
    <cellStyle name="Normal 2 2 5 6 9" xfId="25187" xr:uid="{00000000-0005-0000-0000-000063620000}"/>
    <cellStyle name="Normal 2 2 5 7" xfId="25188" xr:uid="{00000000-0005-0000-0000-000064620000}"/>
    <cellStyle name="Normal 2 2 5 7 10" xfId="25189" xr:uid="{00000000-0005-0000-0000-000065620000}"/>
    <cellStyle name="Normal 2 2 5 7 11" xfId="25190" xr:uid="{00000000-0005-0000-0000-000066620000}"/>
    <cellStyle name="Normal 2 2 5 7 12" xfId="25191" xr:uid="{00000000-0005-0000-0000-000067620000}"/>
    <cellStyle name="Normal 2 2 5 7 13" xfId="25192" xr:uid="{00000000-0005-0000-0000-000068620000}"/>
    <cellStyle name="Normal 2 2 5 7 14" xfId="25193" xr:uid="{00000000-0005-0000-0000-000069620000}"/>
    <cellStyle name="Normal 2 2 5 7 2" xfId="25194" xr:uid="{00000000-0005-0000-0000-00006A620000}"/>
    <cellStyle name="Normal 2 2 5 7 2 10" xfId="25195" xr:uid="{00000000-0005-0000-0000-00006B620000}"/>
    <cellStyle name="Normal 2 2 5 7 2 2" xfId="25196" xr:uid="{00000000-0005-0000-0000-00006C620000}"/>
    <cellStyle name="Normal 2 2 5 7 2 3" xfId="25197" xr:uid="{00000000-0005-0000-0000-00006D620000}"/>
    <cellStyle name="Normal 2 2 5 7 2 4" xfId="25198" xr:uid="{00000000-0005-0000-0000-00006E620000}"/>
    <cellStyle name="Normal 2 2 5 7 2 5" xfId="25199" xr:uid="{00000000-0005-0000-0000-00006F620000}"/>
    <cellStyle name="Normal 2 2 5 7 2 6" xfId="25200" xr:uid="{00000000-0005-0000-0000-000070620000}"/>
    <cellStyle name="Normal 2 2 5 7 2 7" xfId="25201" xr:uid="{00000000-0005-0000-0000-000071620000}"/>
    <cellStyle name="Normal 2 2 5 7 2 8" xfId="25202" xr:uid="{00000000-0005-0000-0000-000072620000}"/>
    <cellStyle name="Normal 2 2 5 7 2 9" xfId="25203" xr:uid="{00000000-0005-0000-0000-000073620000}"/>
    <cellStyle name="Normal 2 2 5 7 3" xfId="25204" xr:uid="{00000000-0005-0000-0000-000074620000}"/>
    <cellStyle name="Normal 2 2 5 7 3 10" xfId="25205" xr:uid="{00000000-0005-0000-0000-000075620000}"/>
    <cellStyle name="Normal 2 2 5 7 3 2" xfId="25206" xr:uid="{00000000-0005-0000-0000-000076620000}"/>
    <cellStyle name="Normal 2 2 5 7 3 3" xfId="25207" xr:uid="{00000000-0005-0000-0000-000077620000}"/>
    <cellStyle name="Normal 2 2 5 7 3 4" xfId="25208" xr:uid="{00000000-0005-0000-0000-000078620000}"/>
    <cellStyle name="Normal 2 2 5 7 3 5" xfId="25209" xr:uid="{00000000-0005-0000-0000-000079620000}"/>
    <cellStyle name="Normal 2 2 5 7 3 6" xfId="25210" xr:uid="{00000000-0005-0000-0000-00007A620000}"/>
    <cellStyle name="Normal 2 2 5 7 3 7" xfId="25211" xr:uid="{00000000-0005-0000-0000-00007B620000}"/>
    <cellStyle name="Normal 2 2 5 7 3 8" xfId="25212" xr:uid="{00000000-0005-0000-0000-00007C620000}"/>
    <cellStyle name="Normal 2 2 5 7 3 9" xfId="25213" xr:uid="{00000000-0005-0000-0000-00007D620000}"/>
    <cellStyle name="Normal 2 2 5 7 4" xfId="25214" xr:uid="{00000000-0005-0000-0000-00007E620000}"/>
    <cellStyle name="Normal 2 2 5 7 4 10" xfId="25215" xr:uid="{00000000-0005-0000-0000-00007F620000}"/>
    <cellStyle name="Normal 2 2 5 7 4 2" xfId="25216" xr:uid="{00000000-0005-0000-0000-000080620000}"/>
    <cellStyle name="Normal 2 2 5 7 4 3" xfId="25217" xr:uid="{00000000-0005-0000-0000-000081620000}"/>
    <cellStyle name="Normal 2 2 5 7 4 4" xfId="25218" xr:uid="{00000000-0005-0000-0000-000082620000}"/>
    <cellStyle name="Normal 2 2 5 7 4 5" xfId="25219" xr:uid="{00000000-0005-0000-0000-000083620000}"/>
    <cellStyle name="Normal 2 2 5 7 4 6" xfId="25220" xr:uid="{00000000-0005-0000-0000-000084620000}"/>
    <cellStyle name="Normal 2 2 5 7 4 7" xfId="25221" xr:uid="{00000000-0005-0000-0000-000085620000}"/>
    <cellStyle name="Normal 2 2 5 7 4 8" xfId="25222" xr:uid="{00000000-0005-0000-0000-000086620000}"/>
    <cellStyle name="Normal 2 2 5 7 4 9" xfId="25223" xr:uid="{00000000-0005-0000-0000-000087620000}"/>
    <cellStyle name="Normal 2 2 5 7 5" xfId="25224" xr:uid="{00000000-0005-0000-0000-000088620000}"/>
    <cellStyle name="Normal 2 2 5 7 5 10" xfId="25225" xr:uid="{00000000-0005-0000-0000-000089620000}"/>
    <cellStyle name="Normal 2 2 5 7 5 2" xfId="25226" xr:uid="{00000000-0005-0000-0000-00008A620000}"/>
    <cellStyle name="Normal 2 2 5 7 5 3" xfId="25227" xr:uid="{00000000-0005-0000-0000-00008B620000}"/>
    <cellStyle name="Normal 2 2 5 7 5 4" xfId="25228" xr:uid="{00000000-0005-0000-0000-00008C620000}"/>
    <cellStyle name="Normal 2 2 5 7 5 5" xfId="25229" xr:uid="{00000000-0005-0000-0000-00008D620000}"/>
    <cellStyle name="Normal 2 2 5 7 5 6" xfId="25230" xr:uid="{00000000-0005-0000-0000-00008E620000}"/>
    <cellStyle name="Normal 2 2 5 7 5 7" xfId="25231" xr:uid="{00000000-0005-0000-0000-00008F620000}"/>
    <cellStyle name="Normal 2 2 5 7 5 8" xfId="25232" xr:uid="{00000000-0005-0000-0000-000090620000}"/>
    <cellStyle name="Normal 2 2 5 7 5 9" xfId="25233" xr:uid="{00000000-0005-0000-0000-000091620000}"/>
    <cellStyle name="Normal 2 2 5 7 6" xfId="25234" xr:uid="{00000000-0005-0000-0000-000092620000}"/>
    <cellStyle name="Normal 2 2 5 7 7" xfId="25235" xr:uid="{00000000-0005-0000-0000-000093620000}"/>
    <cellStyle name="Normal 2 2 5 7 8" xfId="25236" xr:uid="{00000000-0005-0000-0000-000094620000}"/>
    <cellStyle name="Normal 2 2 5 7 9" xfId="25237" xr:uid="{00000000-0005-0000-0000-000095620000}"/>
    <cellStyle name="Normal 2 2 5 8" xfId="25238" xr:uid="{00000000-0005-0000-0000-000096620000}"/>
    <cellStyle name="Normal 2 2 5 8 10" xfId="25239" xr:uid="{00000000-0005-0000-0000-000097620000}"/>
    <cellStyle name="Normal 2 2 5 8 11" xfId="25240" xr:uid="{00000000-0005-0000-0000-000098620000}"/>
    <cellStyle name="Normal 2 2 5 8 12" xfId="25241" xr:uid="{00000000-0005-0000-0000-000099620000}"/>
    <cellStyle name="Normal 2 2 5 8 13" xfId="25242" xr:uid="{00000000-0005-0000-0000-00009A620000}"/>
    <cellStyle name="Normal 2 2 5 8 14" xfId="25243" xr:uid="{00000000-0005-0000-0000-00009B620000}"/>
    <cellStyle name="Normal 2 2 5 8 2" xfId="25244" xr:uid="{00000000-0005-0000-0000-00009C620000}"/>
    <cellStyle name="Normal 2 2 5 8 2 10" xfId="25245" xr:uid="{00000000-0005-0000-0000-00009D620000}"/>
    <cellStyle name="Normal 2 2 5 8 2 2" xfId="25246" xr:uid="{00000000-0005-0000-0000-00009E620000}"/>
    <cellStyle name="Normal 2 2 5 8 2 3" xfId="25247" xr:uid="{00000000-0005-0000-0000-00009F620000}"/>
    <cellStyle name="Normal 2 2 5 8 2 4" xfId="25248" xr:uid="{00000000-0005-0000-0000-0000A0620000}"/>
    <cellStyle name="Normal 2 2 5 8 2 5" xfId="25249" xr:uid="{00000000-0005-0000-0000-0000A1620000}"/>
    <cellStyle name="Normal 2 2 5 8 2 6" xfId="25250" xr:uid="{00000000-0005-0000-0000-0000A2620000}"/>
    <cellStyle name="Normal 2 2 5 8 2 7" xfId="25251" xr:uid="{00000000-0005-0000-0000-0000A3620000}"/>
    <cellStyle name="Normal 2 2 5 8 2 8" xfId="25252" xr:uid="{00000000-0005-0000-0000-0000A4620000}"/>
    <cellStyle name="Normal 2 2 5 8 2 9" xfId="25253" xr:uid="{00000000-0005-0000-0000-0000A5620000}"/>
    <cellStyle name="Normal 2 2 5 8 3" xfId="25254" xr:uid="{00000000-0005-0000-0000-0000A6620000}"/>
    <cellStyle name="Normal 2 2 5 8 3 10" xfId="25255" xr:uid="{00000000-0005-0000-0000-0000A7620000}"/>
    <cellStyle name="Normal 2 2 5 8 3 2" xfId="25256" xr:uid="{00000000-0005-0000-0000-0000A8620000}"/>
    <cellStyle name="Normal 2 2 5 8 3 3" xfId="25257" xr:uid="{00000000-0005-0000-0000-0000A9620000}"/>
    <cellStyle name="Normal 2 2 5 8 3 4" xfId="25258" xr:uid="{00000000-0005-0000-0000-0000AA620000}"/>
    <cellStyle name="Normal 2 2 5 8 3 5" xfId="25259" xr:uid="{00000000-0005-0000-0000-0000AB620000}"/>
    <cellStyle name="Normal 2 2 5 8 3 6" xfId="25260" xr:uid="{00000000-0005-0000-0000-0000AC620000}"/>
    <cellStyle name="Normal 2 2 5 8 3 7" xfId="25261" xr:uid="{00000000-0005-0000-0000-0000AD620000}"/>
    <cellStyle name="Normal 2 2 5 8 3 8" xfId="25262" xr:uid="{00000000-0005-0000-0000-0000AE620000}"/>
    <cellStyle name="Normal 2 2 5 8 3 9" xfId="25263" xr:uid="{00000000-0005-0000-0000-0000AF620000}"/>
    <cellStyle name="Normal 2 2 5 8 4" xfId="25264" xr:uid="{00000000-0005-0000-0000-0000B0620000}"/>
    <cellStyle name="Normal 2 2 5 8 4 10" xfId="25265" xr:uid="{00000000-0005-0000-0000-0000B1620000}"/>
    <cellStyle name="Normal 2 2 5 8 4 2" xfId="25266" xr:uid="{00000000-0005-0000-0000-0000B2620000}"/>
    <cellStyle name="Normal 2 2 5 8 4 3" xfId="25267" xr:uid="{00000000-0005-0000-0000-0000B3620000}"/>
    <cellStyle name="Normal 2 2 5 8 4 4" xfId="25268" xr:uid="{00000000-0005-0000-0000-0000B4620000}"/>
    <cellStyle name="Normal 2 2 5 8 4 5" xfId="25269" xr:uid="{00000000-0005-0000-0000-0000B5620000}"/>
    <cellStyle name="Normal 2 2 5 8 4 6" xfId="25270" xr:uid="{00000000-0005-0000-0000-0000B6620000}"/>
    <cellStyle name="Normal 2 2 5 8 4 7" xfId="25271" xr:uid="{00000000-0005-0000-0000-0000B7620000}"/>
    <cellStyle name="Normal 2 2 5 8 4 8" xfId="25272" xr:uid="{00000000-0005-0000-0000-0000B8620000}"/>
    <cellStyle name="Normal 2 2 5 8 4 9" xfId="25273" xr:uid="{00000000-0005-0000-0000-0000B9620000}"/>
    <cellStyle name="Normal 2 2 5 8 5" xfId="25274" xr:uid="{00000000-0005-0000-0000-0000BA620000}"/>
    <cellStyle name="Normal 2 2 5 8 5 10" xfId="25275" xr:uid="{00000000-0005-0000-0000-0000BB620000}"/>
    <cellStyle name="Normal 2 2 5 8 5 2" xfId="25276" xr:uid="{00000000-0005-0000-0000-0000BC620000}"/>
    <cellStyle name="Normal 2 2 5 8 5 3" xfId="25277" xr:uid="{00000000-0005-0000-0000-0000BD620000}"/>
    <cellStyle name="Normal 2 2 5 8 5 4" xfId="25278" xr:uid="{00000000-0005-0000-0000-0000BE620000}"/>
    <cellStyle name="Normal 2 2 5 8 5 5" xfId="25279" xr:uid="{00000000-0005-0000-0000-0000BF620000}"/>
    <cellStyle name="Normal 2 2 5 8 5 6" xfId="25280" xr:uid="{00000000-0005-0000-0000-0000C0620000}"/>
    <cellStyle name="Normal 2 2 5 8 5 7" xfId="25281" xr:uid="{00000000-0005-0000-0000-0000C1620000}"/>
    <cellStyle name="Normal 2 2 5 8 5 8" xfId="25282" xr:uid="{00000000-0005-0000-0000-0000C2620000}"/>
    <cellStyle name="Normal 2 2 5 8 5 9" xfId="25283" xr:uid="{00000000-0005-0000-0000-0000C3620000}"/>
    <cellStyle name="Normal 2 2 5 8 6" xfId="25284" xr:uid="{00000000-0005-0000-0000-0000C4620000}"/>
    <cellStyle name="Normal 2 2 5 8 7" xfId="25285" xr:uid="{00000000-0005-0000-0000-0000C5620000}"/>
    <cellStyle name="Normal 2 2 5 8 8" xfId="25286" xr:uid="{00000000-0005-0000-0000-0000C6620000}"/>
    <cellStyle name="Normal 2 2 5 8 9" xfId="25287" xr:uid="{00000000-0005-0000-0000-0000C7620000}"/>
    <cellStyle name="Normal 2 2 5 9" xfId="25288" xr:uid="{00000000-0005-0000-0000-0000C8620000}"/>
    <cellStyle name="Normal 2 2 5 9 10" xfId="25289" xr:uid="{00000000-0005-0000-0000-0000C9620000}"/>
    <cellStyle name="Normal 2 2 5 9 11" xfId="25290" xr:uid="{00000000-0005-0000-0000-0000CA620000}"/>
    <cellStyle name="Normal 2 2 5 9 12" xfId="25291" xr:uid="{00000000-0005-0000-0000-0000CB620000}"/>
    <cellStyle name="Normal 2 2 5 9 13" xfId="25292" xr:uid="{00000000-0005-0000-0000-0000CC620000}"/>
    <cellStyle name="Normal 2 2 5 9 14" xfId="25293" xr:uid="{00000000-0005-0000-0000-0000CD620000}"/>
    <cellStyle name="Normal 2 2 5 9 2" xfId="25294" xr:uid="{00000000-0005-0000-0000-0000CE620000}"/>
    <cellStyle name="Normal 2 2 5 9 2 10" xfId="25295" xr:uid="{00000000-0005-0000-0000-0000CF620000}"/>
    <cellStyle name="Normal 2 2 5 9 2 2" xfId="25296" xr:uid="{00000000-0005-0000-0000-0000D0620000}"/>
    <cellStyle name="Normal 2 2 5 9 2 3" xfId="25297" xr:uid="{00000000-0005-0000-0000-0000D1620000}"/>
    <cellStyle name="Normal 2 2 5 9 2 4" xfId="25298" xr:uid="{00000000-0005-0000-0000-0000D2620000}"/>
    <cellStyle name="Normal 2 2 5 9 2 5" xfId="25299" xr:uid="{00000000-0005-0000-0000-0000D3620000}"/>
    <cellStyle name="Normal 2 2 5 9 2 6" xfId="25300" xr:uid="{00000000-0005-0000-0000-0000D4620000}"/>
    <cellStyle name="Normal 2 2 5 9 2 7" xfId="25301" xr:uid="{00000000-0005-0000-0000-0000D5620000}"/>
    <cellStyle name="Normal 2 2 5 9 2 8" xfId="25302" xr:uid="{00000000-0005-0000-0000-0000D6620000}"/>
    <cellStyle name="Normal 2 2 5 9 2 9" xfId="25303" xr:uid="{00000000-0005-0000-0000-0000D7620000}"/>
    <cellStyle name="Normal 2 2 5 9 3" xfId="25304" xr:uid="{00000000-0005-0000-0000-0000D8620000}"/>
    <cellStyle name="Normal 2 2 5 9 3 10" xfId="25305" xr:uid="{00000000-0005-0000-0000-0000D9620000}"/>
    <cellStyle name="Normal 2 2 5 9 3 2" xfId="25306" xr:uid="{00000000-0005-0000-0000-0000DA620000}"/>
    <cellStyle name="Normal 2 2 5 9 3 3" xfId="25307" xr:uid="{00000000-0005-0000-0000-0000DB620000}"/>
    <cellStyle name="Normal 2 2 5 9 3 4" xfId="25308" xr:uid="{00000000-0005-0000-0000-0000DC620000}"/>
    <cellStyle name="Normal 2 2 5 9 3 5" xfId="25309" xr:uid="{00000000-0005-0000-0000-0000DD620000}"/>
    <cellStyle name="Normal 2 2 5 9 3 6" xfId="25310" xr:uid="{00000000-0005-0000-0000-0000DE620000}"/>
    <cellStyle name="Normal 2 2 5 9 3 7" xfId="25311" xr:uid="{00000000-0005-0000-0000-0000DF620000}"/>
    <cellStyle name="Normal 2 2 5 9 3 8" xfId="25312" xr:uid="{00000000-0005-0000-0000-0000E0620000}"/>
    <cellStyle name="Normal 2 2 5 9 3 9" xfId="25313" xr:uid="{00000000-0005-0000-0000-0000E1620000}"/>
    <cellStyle name="Normal 2 2 5 9 4" xfId="25314" xr:uid="{00000000-0005-0000-0000-0000E2620000}"/>
    <cellStyle name="Normal 2 2 5 9 4 10" xfId="25315" xr:uid="{00000000-0005-0000-0000-0000E3620000}"/>
    <cellStyle name="Normal 2 2 5 9 4 2" xfId="25316" xr:uid="{00000000-0005-0000-0000-0000E4620000}"/>
    <cellStyle name="Normal 2 2 5 9 4 3" xfId="25317" xr:uid="{00000000-0005-0000-0000-0000E5620000}"/>
    <cellStyle name="Normal 2 2 5 9 4 4" xfId="25318" xr:uid="{00000000-0005-0000-0000-0000E6620000}"/>
    <cellStyle name="Normal 2 2 5 9 4 5" xfId="25319" xr:uid="{00000000-0005-0000-0000-0000E7620000}"/>
    <cellStyle name="Normal 2 2 5 9 4 6" xfId="25320" xr:uid="{00000000-0005-0000-0000-0000E8620000}"/>
    <cellStyle name="Normal 2 2 5 9 4 7" xfId="25321" xr:uid="{00000000-0005-0000-0000-0000E9620000}"/>
    <cellStyle name="Normal 2 2 5 9 4 8" xfId="25322" xr:uid="{00000000-0005-0000-0000-0000EA620000}"/>
    <cellStyle name="Normal 2 2 5 9 4 9" xfId="25323" xr:uid="{00000000-0005-0000-0000-0000EB620000}"/>
    <cellStyle name="Normal 2 2 5 9 5" xfId="25324" xr:uid="{00000000-0005-0000-0000-0000EC620000}"/>
    <cellStyle name="Normal 2 2 5 9 5 10" xfId="25325" xr:uid="{00000000-0005-0000-0000-0000ED620000}"/>
    <cellStyle name="Normal 2 2 5 9 5 2" xfId="25326" xr:uid="{00000000-0005-0000-0000-0000EE620000}"/>
    <cellStyle name="Normal 2 2 5 9 5 3" xfId="25327" xr:uid="{00000000-0005-0000-0000-0000EF620000}"/>
    <cellStyle name="Normal 2 2 5 9 5 4" xfId="25328" xr:uid="{00000000-0005-0000-0000-0000F0620000}"/>
    <cellStyle name="Normal 2 2 5 9 5 5" xfId="25329" xr:uid="{00000000-0005-0000-0000-0000F1620000}"/>
    <cellStyle name="Normal 2 2 5 9 5 6" xfId="25330" xr:uid="{00000000-0005-0000-0000-0000F2620000}"/>
    <cellStyle name="Normal 2 2 5 9 5 7" xfId="25331" xr:uid="{00000000-0005-0000-0000-0000F3620000}"/>
    <cellStyle name="Normal 2 2 5 9 5 8" xfId="25332" xr:uid="{00000000-0005-0000-0000-0000F4620000}"/>
    <cellStyle name="Normal 2 2 5 9 5 9" xfId="25333" xr:uid="{00000000-0005-0000-0000-0000F5620000}"/>
    <cellStyle name="Normal 2 2 5 9 6" xfId="25334" xr:uid="{00000000-0005-0000-0000-0000F6620000}"/>
    <cellStyle name="Normal 2 2 5 9 7" xfId="25335" xr:uid="{00000000-0005-0000-0000-0000F7620000}"/>
    <cellStyle name="Normal 2 2 5 9 8" xfId="25336" xr:uid="{00000000-0005-0000-0000-0000F8620000}"/>
    <cellStyle name="Normal 2 2 5 9 9" xfId="25337" xr:uid="{00000000-0005-0000-0000-0000F9620000}"/>
    <cellStyle name="Normal 2 2 50" xfId="25338" xr:uid="{00000000-0005-0000-0000-0000FA620000}"/>
    <cellStyle name="Normal 2 2 51" xfId="25339" xr:uid="{00000000-0005-0000-0000-0000FB620000}"/>
    <cellStyle name="Normal 2 2 52" xfId="54" xr:uid="{00000000-0005-0000-0000-000036000000}"/>
    <cellStyle name="Normal 2 2 52 2" xfId="25340" xr:uid="{00000000-0005-0000-0000-0000FC620000}"/>
    <cellStyle name="Normal 2 2 53" xfId="6200" xr:uid="{00000000-0005-0000-0000-000038180000}"/>
    <cellStyle name="Normal 2 2 6" xfId="25341" xr:uid="{00000000-0005-0000-0000-0000FD620000}"/>
    <cellStyle name="Normal 2 2 6 2" xfId="25342" xr:uid="{00000000-0005-0000-0000-0000FE620000}"/>
    <cellStyle name="Normal 2 2 6 3" xfId="25343" xr:uid="{00000000-0005-0000-0000-0000FF620000}"/>
    <cellStyle name="Normal 2 2 7" xfId="25344" xr:uid="{00000000-0005-0000-0000-000000630000}"/>
    <cellStyle name="Normal 2 2 7 2" xfId="25345" xr:uid="{00000000-0005-0000-0000-000001630000}"/>
    <cellStyle name="Normal 2 2 7 3" xfId="25346" xr:uid="{00000000-0005-0000-0000-000002630000}"/>
    <cellStyle name="Normal 2 2 8" xfId="25347" xr:uid="{00000000-0005-0000-0000-000003630000}"/>
    <cellStyle name="Normal 2 2 8 2" xfId="25348" xr:uid="{00000000-0005-0000-0000-000004630000}"/>
    <cellStyle name="Normal 2 2 8 3" xfId="25349" xr:uid="{00000000-0005-0000-0000-000005630000}"/>
    <cellStyle name="Normal 2 2 9" xfId="25350" xr:uid="{00000000-0005-0000-0000-000006630000}"/>
    <cellStyle name="Normal 2 2 9 2" xfId="25351" xr:uid="{00000000-0005-0000-0000-000007630000}"/>
    <cellStyle name="Normal 2 2 9 3" xfId="25352" xr:uid="{00000000-0005-0000-0000-000008630000}"/>
    <cellStyle name="Normal 2 20" xfId="25353" xr:uid="{00000000-0005-0000-0000-000009630000}"/>
    <cellStyle name="Normal 2 20 2" xfId="25354" xr:uid="{00000000-0005-0000-0000-00000A630000}"/>
    <cellStyle name="Normal 2 20 3" xfId="25355" xr:uid="{00000000-0005-0000-0000-00000B630000}"/>
    <cellStyle name="Normal 2 21" xfId="25356" xr:uid="{00000000-0005-0000-0000-00000C630000}"/>
    <cellStyle name="Normal 2 21 2" xfId="25357" xr:uid="{00000000-0005-0000-0000-00000D630000}"/>
    <cellStyle name="Normal 2 21 3" xfId="25358" xr:uid="{00000000-0005-0000-0000-00000E630000}"/>
    <cellStyle name="Normal 2 22" xfId="25359" xr:uid="{00000000-0005-0000-0000-00000F630000}"/>
    <cellStyle name="Normal 2 22 2" xfId="25360" xr:uid="{00000000-0005-0000-0000-000010630000}"/>
    <cellStyle name="Normal 2 22 3" xfId="25361" xr:uid="{00000000-0005-0000-0000-000011630000}"/>
    <cellStyle name="Normal 2 23" xfId="25362" xr:uid="{00000000-0005-0000-0000-000012630000}"/>
    <cellStyle name="Normal 2 23 2" xfId="25363" xr:uid="{00000000-0005-0000-0000-000013630000}"/>
    <cellStyle name="Normal 2 23 2 2" xfId="25364" xr:uid="{00000000-0005-0000-0000-000014630000}"/>
    <cellStyle name="Normal 2 23 3" xfId="25365" xr:uid="{00000000-0005-0000-0000-000015630000}"/>
    <cellStyle name="Normal 2 24" xfId="25366" xr:uid="{00000000-0005-0000-0000-000016630000}"/>
    <cellStyle name="Normal 2 24 2" xfId="25367" xr:uid="{00000000-0005-0000-0000-000017630000}"/>
    <cellStyle name="Normal 2 24 3" xfId="25368" xr:uid="{00000000-0005-0000-0000-000018630000}"/>
    <cellStyle name="Normal 2 25" xfId="25369" xr:uid="{00000000-0005-0000-0000-000019630000}"/>
    <cellStyle name="Normal 2 25 2" xfId="25370" xr:uid="{00000000-0005-0000-0000-00001A630000}"/>
    <cellStyle name="Normal 2 25 3" xfId="25371" xr:uid="{00000000-0005-0000-0000-00001B630000}"/>
    <cellStyle name="Normal 2 26" xfId="25372" xr:uid="{00000000-0005-0000-0000-00001C630000}"/>
    <cellStyle name="Normal 2 26 2" xfId="25373" xr:uid="{00000000-0005-0000-0000-00001D630000}"/>
    <cellStyle name="Normal 2 26 3" xfId="25374" xr:uid="{00000000-0005-0000-0000-00001E630000}"/>
    <cellStyle name="Normal 2 27" xfId="25375" xr:uid="{00000000-0005-0000-0000-00001F630000}"/>
    <cellStyle name="Normal 2 27 2" xfId="25376" xr:uid="{00000000-0005-0000-0000-000020630000}"/>
    <cellStyle name="Normal 2 27 3" xfId="25377" xr:uid="{00000000-0005-0000-0000-000021630000}"/>
    <cellStyle name="Normal 2 28" xfId="25378" xr:uid="{00000000-0005-0000-0000-000022630000}"/>
    <cellStyle name="Normal 2 28 2" xfId="25379" xr:uid="{00000000-0005-0000-0000-000023630000}"/>
    <cellStyle name="Normal 2 28 3" xfId="25380" xr:uid="{00000000-0005-0000-0000-000024630000}"/>
    <cellStyle name="Normal 2 29" xfId="25381" xr:uid="{00000000-0005-0000-0000-000025630000}"/>
    <cellStyle name="Normal 2 29 2" xfId="25382" xr:uid="{00000000-0005-0000-0000-000026630000}"/>
    <cellStyle name="Normal 2 29 3" xfId="25383" xr:uid="{00000000-0005-0000-0000-000027630000}"/>
    <cellStyle name="Normal 2 3" xfId="26" xr:uid="{00000000-0005-0000-0000-00001A000000}"/>
    <cellStyle name="Normal 2 3 10" xfId="25385" xr:uid="{00000000-0005-0000-0000-000029630000}"/>
    <cellStyle name="Normal 2 3 10 10" xfId="25386" xr:uid="{00000000-0005-0000-0000-00002A630000}"/>
    <cellStyle name="Normal 2 3 10 11" xfId="25387" xr:uid="{00000000-0005-0000-0000-00002B630000}"/>
    <cellStyle name="Normal 2 3 10 12" xfId="25388" xr:uid="{00000000-0005-0000-0000-00002C630000}"/>
    <cellStyle name="Normal 2 3 10 13" xfId="25389" xr:uid="{00000000-0005-0000-0000-00002D630000}"/>
    <cellStyle name="Normal 2 3 10 14" xfId="25390" xr:uid="{00000000-0005-0000-0000-00002E630000}"/>
    <cellStyle name="Normal 2 3 10 2" xfId="25391" xr:uid="{00000000-0005-0000-0000-00002F630000}"/>
    <cellStyle name="Normal 2 3 10 2 10" xfId="25392" xr:uid="{00000000-0005-0000-0000-000030630000}"/>
    <cellStyle name="Normal 2 3 10 2 2" xfId="25393" xr:uid="{00000000-0005-0000-0000-000031630000}"/>
    <cellStyle name="Normal 2 3 10 2 3" xfId="25394" xr:uid="{00000000-0005-0000-0000-000032630000}"/>
    <cellStyle name="Normal 2 3 10 2 4" xfId="25395" xr:uid="{00000000-0005-0000-0000-000033630000}"/>
    <cellStyle name="Normal 2 3 10 2 5" xfId="25396" xr:uid="{00000000-0005-0000-0000-000034630000}"/>
    <cellStyle name="Normal 2 3 10 2 6" xfId="25397" xr:uid="{00000000-0005-0000-0000-000035630000}"/>
    <cellStyle name="Normal 2 3 10 2 7" xfId="25398" xr:uid="{00000000-0005-0000-0000-000036630000}"/>
    <cellStyle name="Normal 2 3 10 2 8" xfId="25399" xr:uid="{00000000-0005-0000-0000-000037630000}"/>
    <cellStyle name="Normal 2 3 10 2 9" xfId="25400" xr:uid="{00000000-0005-0000-0000-000038630000}"/>
    <cellStyle name="Normal 2 3 10 3" xfId="25401" xr:uid="{00000000-0005-0000-0000-000039630000}"/>
    <cellStyle name="Normal 2 3 10 3 10" xfId="25402" xr:uid="{00000000-0005-0000-0000-00003A630000}"/>
    <cellStyle name="Normal 2 3 10 3 2" xfId="25403" xr:uid="{00000000-0005-0000-0000-00003B630000}"/>
    <cellStyle name="Normal 2 3 10 3 3" xfId="25404" xr:uid="{00000000-0005-0000-0000-00003C630000}"/>
    <cellStyle name="Normal 2 3 10 3 4" xfId="25405" xr:uid="{00000000-0005-0000-0000-00003D630000}"/>
    <cellStyle name="Normal 2 3 10 3 5" xfId="25406" xr:uid="{00000000-0005-0000-0000-00003E630000}"/>
    <cellStyle name="Normal 2 3 10 3 6" xfId="25407" xr:uid="{00000000-0005-0000-0000-00003F630000}"/>
    <cellStyle name="Normal 2 3 10 3 7" xfId="25408" xr:uid="{00000000-0005-0000-0000-000040630000}"/>
    <cellStyle name="Normal 2 3 10 3 8" xfId="25409" xr:uid="{00000000-0005-0000-0000-000041630000}"/>
    <cellStyle name="Normal 2 3 10 3 9" xfId="25410" xr:uid="{00000000-0005-0000-0000-000042630000}"/>
    <cellStyle name="Normal 2 3 10 4" xfId="25411" xr:uid="{00000000-0005-0000-0000-000043630000}"/>
    <cellStyle name="Normal 2 3 10 4 10" xfId="25412" xr:uid="{00000000-0005-0000-0000-000044630000}"/>
    <cellStyle name="Normal 2 3 10 4 2" xfId="25413" xr:uid="{00000000-0005-0000-0000-000045630000}"/>
    <cellStyle name="Normal 2 3 10 4 3" xfId="25414" xr:uid="{00000000-0005-0000-0000-000046630000}"/>
    <cellStyle name="Normal 2 3 10 4 4" xfId="25415" xr:uid="{00000000-0005-0000-0000-000047630000}"/>
    <cellStyle name="Normal 2 3 10 4 5" xfId="25416" xr:uid="{00000000-0005-0000-0000-000048630000}"/>
    <cellStyle name="Normal 2 3 10 4 6" xfId="25417" xr:uid="{00000000-0005-0000-0000-000049630000}"/>
    <cellStyle name="Normal 2 3 10 4 7" xfId="25418" xr:uid="{00000000-0005-0000-0000-00004A630000}"/>
    <cellStyle name="Normal 2 3 10 4 8" xfId="25419" xr:uid="{00000000-0005-0000-0000-00004B630000}"/>
    <cellStyle name="Normal 2 3 10 4 9" xfId="25420" xr:uid="{00000000-0005-0000-0000-00004C630000}"/>
    <cellStyle name="Normal 2 3 10 5" xfId="25421" xr:uid="{00000000-0005-0000-0000-00004D630000}"/>
    <cellStyle name="Normal 2 3 10 5 10" xfId="25422" xr:uid="{00000000-0005-0000-0000-00004E630000}"/>
    <cellStyle name="Normal 2 3 10 5 2" xfId="25423" xr:uid="{00000000-0005-0000-0000-00004F630000}"/>
    <cellStyle name="Normal 2 3 10 5 3" xfId="25424" xr:uid="{00000000-0005-0000-0000-000050630000}"/>
    <cellStyle name="Normal 2 3 10 5 4" xfId="25425" xr:uid="{00000000-0005-0000-0000-000051630000}"/>
    <cellStyle name="Normal 2 3 10 5 5" xfId="25426" xr:uid="{00000000-0005-0000-0000-000052630000}"/>
    <cellStyle name="Normal 2 3 10 5 6" xfId="25427" xr:uid="{00000000-0005-0000-0000-000053630000}"/>
    <cellStyle name="Normal 2 3 10 5 7" xfId="25428" xr:uid="{00000000-0005-0000-0000-000054630000}"/>
    <cellStyle name="Normal 2 3 10 5 8" xfId="25429" xr:uid="{00000000-0005-0000-0000-000055630000}"/>
    <cellStyle name="Normal 2 3 10 5 9" xfId="25430" xr:uid="{00000000-0005-0000-0000-000056630000}"/>
    <cellStyle name="Normal 2 3 10 6" xfId="25431" xr:uid="{00000000-0005-0000-0000-000057630000}"/>
    <cellStyle name="Normal 2 3 10 7" xfId="25432" xr:uid="{00000000-0005-0000-0000-000058630000}"/>
    <cellStyle name="Normal 2 3 10 8" xfId="25433" xr:uid="{00000000-0005-0000-0000-000059630000}"/>
    <cellStyle name="Normal 2 3 10 9" xfId="25434" xr:uid="{00000000-0005-0000-0000-00005A630000}"/>
    <cellStyle name="Normal 2 3 11" xfId="25435" xr:uid="{00000000-0005-0000-0000-00005B630000}"/>
    <cellStyle name="Normal 2 3 11 10" xfId="25436" xr:uid="{00000000-0005-0000-0000-00005C630000}"/>
    <cellStyle name="Normal 2 3 11 11" xfId="25437" xr:uid="{00000000-0005-0000-0000-00005D630000}"/>
    <cellStyle name="Normal 2 3 11 12" xfId="25438" xr:uid="{00000000-0005-0000-0000-00005E630000}"/>
    <cellStyle name="Normal 2 3 11 13" xfId="25439" xr:uid="{00000000-0005-0000-0000-00005F630000}"/>
    <cellStyle name="Normal 2 3 11 14" xfId="25440" xr:uid="{00000000-0005-0000-0000-000060630000}"/>
    <cellStyle name="Normal 2 3 11 2" xfId="25441" xr:uid="{00000000-0005-0000-0000-000061630000}"/>
    <cellStyle name="Normal 2 3 11 2 10" xfId="25442" xr:uid="{00000000-0005-0000-0000-000062630000}"/>
    <cellStyle name="Normal 2 3 11 2 2" xfId="25443" xr:uid="{00000000-0005-0000-0000-000063630000}"/>
    <cellStyle name="Normal 2 3 11 2 3" xfId="25444" xr:uid="{00000000-0005-0000-0000-000064630000}"/>
    <cellStyle name="Normal 2 3 11 2 4" xfId="25445" xr:uid="{00000000-0005-0000-0000-000065630000}"/>
    <cellStyle name="Normal 2 3 11 2 5" xfId="25446" xr:uid="{00000000-0005-0000-0000-000066630000}"/>
    <cellStyle name="Normal 2 3 11 2 6" xfId="25447" xr:uid="{00000000-0005-0000-0000-000067630000}"/>
    <cellStyle name="Normal 2 3 11 2 7" xfId="25448" xr:uid="{00000000-0005-0000-0000-000068630000}"/>
    <cellStyle name="Normal 2 3 11 2 8" xfId="25449" xr:uid="{00000000-0005-0000-0000-000069630000}"/>
    <cellStyle name="Normal 2 3 11 2 9" xfId="25450" xr:uid="{00000000-0005-0000-0000-00006A630000}"/>
    <cellStyle name="Normal 2 3 11 3" xfId="25451" xr:uid="{00000000-0005-0000-0000-00006B630000}"/>
    <cellStyle name="Normal 2 3 11 3 10" xfId="25452" xr:uid="{00000000-0005-0000-0000-00006C630000}"/>
    <cellStyle name="Normal 2 3 11 3 2" xfId="25453" xr:uid="{00000000-0005-0000-0000-00006D630000}"/>
    <cellStyle name="Normal 2 3 11 3 3" xfId="25454" xr:uid="{00000000-0005-0000-0000-00006E630000}"/>
    <cellStyle name="Normal 2 3 11 3 4" xfId="25455" xr:uid="{00000000-0005-0000-0000-00006F630000}"/>
    <cellStyle name="Normal 2 3 11 3 5" xfId="25456" xr:uid="{00000000-0005-0000-0000-000070630000}"/>
    <cellStyle name="Normal 2 3 11 3 6" xfId="25457" xr:uid="{00000000-0005-0000-0000-000071630000}"/>
    <cellStyle name="Normal 2 3 11 3 7" xfId="25458" xr:uid="{00000000-0005-0000-0000-000072630000}"/>
    <cellStyle name="Normal 2 3 11 3 8" xfId="25459" xr:uid="{00000000-0005-0000-0000-000073630000}"/>
    <cellStyle name="Normal 2 3 11 3 9" xfId="25460" xr:uid="{00000000-0005-0000-0000-000074630000}"/>
    <cellStyle name="Normal 2 3 11 4" xfId="25461" xr:uid="{00000000-0005-0000-0000-000075630000}"/>
    <cellStyle name="Normal 2 3 11 4 10" xfId="25462" xr:uid="{00000000-0005-0000-0000-000076630000}"/>
    <cellStyle name="Normal 2 3 11 4 2" xfId="25463" xr:uid="{00000000-0005-0000-0000-000077630000}"/>
    <cellStyle name="Normal 2 3 11 4 3" xfId="25464" xr:uid="{00000000-0005-0000-0000-000078630000}"/>
    <cellStyle name="Normal 2 3 11 4 4" xfId="25465" xr:uid="{00000000-0005-0000-0000-000079630000}"/>
    <cellStyle name="Normal 2 3 11 4 5" xfId="25466" xr:uid="{00000000-0005-0000-0000-00007A630000}"/>
    <cellStyle name="Normal 2 3 11 4 6" xfId="25467" xr:uid="{00000000-0005-0000-0000-00007B630000}"/>
    <cellStyle name="Normal 2 3 11 4 7" xfId="25468" xr:uid="{00000000-0005-0000-0000-00007C630000}"/>
    <cellStyle name="Normal 2 3 11 4 8" xfId="25469" xr:uid="{00000000-0005-0000-0000-00007D630000}"/>
    <cellStyle name="Normal 2 3 11 4 9" xfId="25470" xr:uid="{00000000-0005-0000-0000-00007E630000}"/>
    <cellStyle name="Normal 2 3 11 5" xfId="25471" xr:uid="{00000000-0005-0000-0000-00007F630000}"/>
    <cellStyle name="Normal 2 3 11 5 10" xfId="25472" xr:uid="{00000000-0005-0000-0000-000080630000}"/>
    <cellStyle name="Normal 2 3 11 5 2" xfId="25473" xr:uid="{00000000-0005-0000-0000-000081630000}"/>
    <cellStyle name="Normal 2 3 11 5 3" xfId="25474" xr:uid="{00000000-0005-0000-0000-000082630000}"/>
    <cellStyle name="Normal 2 3 11 5 4" xfId="25475" xr:uid="{00000000-0005-0000-0000-000083630000}"/>
    <cellStyle name="Normal 2 3 11 5 5" xfId="25476" xr:uid="{00000000-0005-0000-0000-000084630000}"/>
    <cellStyle name="Normal 2 3 11 5 6" xfId="25477" xr:uid="{00000000-0005-0000-0000-000085630000}"/>
    <cellStyle name="Normal 2 3 11 5 7" xfId="25478" xr:uid="{00000000-0005-0000-0000-000086630000}"/>
    <cellStyle name="Normal 2 3 11 5 8" xfId="25479" xr:uid="{00000000-0005-0000-0000-000087630000}"/>
    <cellStyle name="Normal 2 3 11 5 9" xfId="25480" xr:uid="{00000000-0005-0000-0000-000088630000}"/>
    <cellStyle name="Normal 2 3 11 6" xfId="25481" xr:uid="{00000000-0005-0000-0000-000089630000}"/>
    <cellStyle name="Normal 2 3 11 7" xfId="25482" xr:uid="{00000000-0005-0000-0000-00008A630000}"/>
    <cellStyle name="Normal 2 3 11 8" xfId="25483" xr:uid="{00000000-0005-0000-0000-00008B630000}"/>
    <cellStyle name="Normal 2 3 11 9" xfId="25484" xr:uid="{00000000-0005-0000-0000-00008C630000}"/>
    <cellStyle name="Normal 2 3 12" xfId="25485" xr:uid="{00000000-0005-0000-0000-00008D630000}"/>
    <cellStyle name="Normal 2 3 12 10" xfId="25486" xr:uid="{00000000-0005-0000-0000-00008E630000}"/>
    <cellStyle name="Normal 2 3 12 11" xfId="25487" xr:uid="{00000000-0005-0000-0000-00008F630000}"/>
    <cellStyle name="Normal 2 3 12 12" xfId="25488" xr:uid="{00000000-0005-0000-0000-000090630000}"/>
    <cellStyle name="Normal 2 3 12 13" xfId="25489" xr:uid="{00000000-0005-0000-0000-000091630000}"/>
    <cellStyle name="Normal 2 3 12 14" xfId="25490" xr:uid="{00000000-0005-0000-0000-000092630000}"/>
    <cellStyle name="Normal 2 3 12 2" xfId="25491" xr:uid="{00000000-0005-0000-0000-000093630000}"/>
    <cellStyle name="Normal 2 3 12 2 10" xfId="25492" xr:uid="{00000000-0005-0000-0000-000094630000}"/>
    <cellStyle name="Normal 2 3 12 2 2" xfId="25493" xr:uid="{00000000-0005-0000-0000-000095630000}"/>
    <cellStyle name="Normal 2 3 12 2 3" xfId="25494" xr:uid="{00000000-0005-0000-0000-000096630000}"/>
    <cellStyle name="Normal 2 3 12 2 4" xfId="25495" xr:uid="{00000000-0005-0000-0000-000097630000}"/>
    <cellStyle name="Normal 2 3 12 2 5" xfId="25496" xr:uid="{00000000-0005-0000-0000-000098630000}"/>
    <cellStyle name="Normal 2 3 12 2 6" xfId="25497" xr:uid="{00000000-0005-0000-0000-000099630000}"/>
    <cellStyle name="Normal 2 3 12 2 7" xfId="25498" xr:uid="{00000000-0005-0000-0000-00009A630000}"/>
    <cellStyle name="Normal 2 3 12 2 8" xfId="25499" xr:uid="{00000000-0005-0000-0000-00009B630000}"/>
    <cellStyle name="Normal 2 3 12 2 9" xfId="25500" xr:uid="{00000000-0005-0000-0000-00009C630000}"/>
    <cellStyle name="Normal 2 3 12 3" xfId="25501" xr:uid="{00000000-0005-0000-0000-00009D630000}"/>
    <cellStyle name="Normal 2 3 12 3 10" xfId="25502" xr:uid="{00000000-0005-0000-0000-00009E630000}"/>
    <cellStyle name="Normal 2 3 12 3 2" xfId="25503" xr:uid="{00000000-0005-0000-0000-00009F630000}"/>
    <cellStyle name="Normal 2 3 12 3 3" xfId="25504" xr:uid="{00000000-0005-0000-0000-0000A0630000}"/>
    <cellStyle name="Normal 2 3 12 3 4" xfId="25505" xr:uid="{00000000-0005-0000-0000-0000A1630000}"/>
    <cellStyle name="Normal 2 3 12 3 5" xfId="25506" xr:uid="{00000000-0005-0000-0000-0000A2630000}"/>
    <cellStyle name="Normal 2 3 12 3 6" xfId="25507" xr:uid="{00000000-0005-0000-0000-0000A3630000}"/>
    <cellStyle name="Normal 2 3 12 3 7" xfId="25508" xr:uid="{00000000-0005-0000-0000-0000A4630000}"/>
    <cellStyle name="Normal 2 3 12 3 8" xfId="25509" xr:uid="{00000000-0005-0000-0000-0000A5630000}"/>
    <cellStyle name="Normal 2 3 12 3 9" xfId="25510" xr:uid="{00000000-0005-0000-0000-0000A6630000}"/>
    <cellStyle name="Normal 2 3 12 4" xfId="25511" xr:uid="{00000000-0005-0000-0000-0000A7630000}"/>
    <cellStyle name="Normal 2 3 12 4 10" xfId="25512" xr:uid="{00000000-0005-0000-0000-0000A8630000}"/>
    <cellStyle name="Normal 2 3 12 4 2" xfId="25513" xr:uid="{00000000-0005-0000-0000-0000A9630000}"/>
    <cellStyle name="Normal 2 3 12 4 3" xfId="25514" xr:uid="{00000000-0005-0000-0000-0000AA630000}"/>
    <cellStyle name="Normal 2 3 12 4 4" xfId="25515" xr:uid="{00000000-0005-0000-0000-0000AB630000}"/>
    <cellStyle name="Normal 2 3 12 4 5" xfId="25516" xr:uid="{00000000-0005-0000-0000-0000AC630000}"/>
    <cellStyle name="Normal 2 3 12 4 6" xfId="25517" xr:uid="{00000000-0005-0000-0000-0000AD630000}"/>
    <cellStyle name="Normal 2 3 12 4 7" xfId="25518" xr:uid="{00000000-0005-0000-0000-0000AE630000}"/>
    <cellStyle name="Normal 2 3 12 4 8" xfId="25519" xr:uid="{00000000-0005-0000-0000-0000AF630000}"/>
    <cellStyle name="Normal 2 3 12 4 9" xfId="25520" xr:uid="{00000000-0005-0000-0000-0000B0630000}"/>
    <cellStyle name="Normal 2 3 12 5" xfId="25521" xr:uid="{00000000-0005-0000-0000-0000B1630000}"/>
    <cellStyle name="Normal 2 3 12 5 10" xfId="25522" xr:uid="{00000000-0005-0000-0000-0000B2630000}"/>
    <cellStyle name="Normal 2 3 12 5 2" xfId="25523" xr:uid="{00000000-0005-0000-0000-0000B3630000}"/>
    <cellStyle name="Normal 2 3 12 5 3" xfId="25524" xr:uid="{00000000-0005-0000-0000-0000B4630000}"/>
    <cellStyle name="Normal 2 3 12 5 4" xfId="25525" xr:uid="{00000000-0005-0000-0000-0000B5630000}"/>
    <cellStyle name="Normal 2 3 12 5 5" xfId="25526" xr:uid="{00000000-0005-0000-0000-0000B6630000}"/>
    <cellStyle name="Normal 2 3 12 5 6" xfId="25527" xr:uid="{00000000-0005-0000-0000-0000B7630000}"/>
    <cellStyle name="Normal 2 3 12 5 7" xfId="25528" xr:uid="{00000000-0005-0000-0000-0000B8630000}"/>
    <cellStyle name="Normal 2 3 12 5 8" xfId="25529" xr:uid="{00000000-0005-0000-0000-0000B9630000}"/>
    <cellStyle name="Normal 2 3 12 5 9" xfId="25530" xr:uid="{00000000-0005-0000-0000-0000BA630000}"/>
    <cellStyle name="Normal 2 3 12 6" xfId="25531" xr:uid="{00000000-0005-0000-0000-0000BB630000}"/>
    <cellStyle name="Normal 2 3 12 7" xfId="25532" xr:uid="{00000000-0005-0000-0000-0000BC630000}"/>
    <cellStyle name="Normal 2 3 12 8" xfId="25533" xr:uid="{00000000-0005-0000-0000-0000BD630000}"/>
    <cellStyle name="Normal 2 3 12 9" xfId="25534" xr:uid="{00000000-0005-0000-0000-0000BE630000}"/>
    <cellStyle name="Normal 2 3 13" xfId="25535" xr:uid="{00000000-0005-0000-0000-0000BF630000}"/>
    <cellStyle name="Normal 2 3 13 10" xfId="25536" xr:uid="{00000000-0005-0000-0000-0000C0630000}"/>
    <cellStyle name="Normal 2 3 13 11" xfId="25537" xr:uid="{00000000-0005-0000-0000-0000C1630000}"/>
    <cellStyle name="Normal 2 3 13 12" xfId="25538" xr:uid="{00000000-0005-0000-0000-0000C2630000}"/>
    <cellStyle name="Normal 2 3 13 13" xfId="25539" xr:uid="{00000000-0005-0000-0000-0000C3630000}"/>
    <cellStyle name="Normal 2 3 13 14" xfId="25540" xr:uid="{00000000-0005-0000-0000-0000C4630000}"/>
    <cellStyle name="Normal 2 3 13 2" xfId="25541" xr:uid="{00000000-0005-0000-0000-0000C5630000}"/>
    <cellStyle name="Normal 2 3 13 2 10" xfId="25542" xr:uid="{00000000-0005-0000-0000-0000C6630000}"/>
    <cellStyle name="Normal 2 3 13 2 2" xfId="25543" xr:uid="{00000000-0005-0000-0000-0000C7630000}"/>
    <cellStyle name="Normal 2 3 13 2 3" xfId="25544" xr:uid="{00000000-0005-0000-0000-0000C8630000}"/>
    <cellStyle name="Normal 2 3 13 2 4" xfId="25545" xr:uid="{00000000-0005-0000-0000-0000C9630000}"/>
    <cellStyle name="Normal 2 3 13 2 5" xfId="25546" xr:uid="{00000000-0005-0000-0000-0000CA630000}"/>
    <cellStyle name="Normal 2 3 13 2 6" xfId="25547" xr:uid="{00000000-0005-0000-0000-0000CB630000}"/>
    <cellStyle name="Normal 2 3 13 2 7" xfId="25548" xr:uid="{00000000-0005-0000-0000-0000CC630000}"/>
    <cellStyle name="Normal 2 3 13 2 8" xfId="25549" xr:uid="{00000000-0005-0000-0000-0000CD630000}"/>
    <cellStyle name="Normal 2 3 13 2 9" xfId="25550" xr:uid="{00000000-0005-0000-0000-0000CE630000}"/>
    <cellStyle name="Normal 2 3 13 3" xfId="25551" xr:uid="{00000000-0005-0000-0000-0000CF630000}"/>
    <cellStyle name="Normal 2 3 13 3 10" xfId="25552" xr:uid="{00000000-0005-0000-0000-0000D0630000}"/>
    <cellStyle name="Normal 2 3 13 3 2" xfId="25553" xr:uid="{00000000-0005-0000-0000-0000D1630000}"/>
    <cellStyle name="Normal 2 3 13 3 3" xfId="25554" xr:uid="{00000000-0005-0000-0000-0000D2630000}"/>
    <cellStyle name="Normal 2 3 13 3 4" xfId="25555" xr:uid="{00000000-0005-0000-0000-0000D3630000}"/>
    <cellStyle name="Normal 2 3 13 3 5" xfId="25556" xr:uid="{00000000-0005-0000-0000-0000D4630000}"/>
    <cellStyle name="Normal 2 3 13 3 6" xfId="25557" xr:uid="{00000000-0005-0000-0000-0000D5630000}"/>
    <cellStyle name="Normal 2 3 13 3 7" xfId="25558" xr:uid="{00000000-0005-0000-0000-0000D6630000}"/>
    <cellStyle name="Normal 2 3 13 3 8" xfId="25559" xr:uid="{00000000-0005-0000-0000-0000D7630000}"/>
    <cellStyle name="Normal 2 3 13 3 9" xfId="25560" xr:uid="{00000000-0005-0000-0000-0000D8630000}"/>
    <cellStyle name="Normal 2 3 13 4" xfId="25561" xr:uid="{00000000-0005-0000-0000-0000D9630000}"/>
    <cellStyle name="Normal 2 3 13 4 10" xfId="25562" xr:uid="{00000000-0005-0000-0000-0000DA630000}"/>
    <cellStyle name="Normal 2 3 13 4 2" xfId="25563" xr:uid="{00000000-0005-0000-0000-0000DB630000}"/>
    <cellStyle name="Normal 2 3 13 4 3" xfId="25564" xr:uid="{00000000-0005-0000-0000-0000DC630000}"/>
    <cellStyle name="Normal 2 3 13 4 4" xfId="25565" xr:uid="{00000000-0005-0000-0000-0000DD630000}"/>
    <cellStyle name="Normal 2 3 13 4 5" xfId="25566" xr:uid="{00000000-0005-0000-0000-0000DE630000}"/>
    <cellStyle name="Normal 2 3 13 4 6" xfId="25567" xr:uid="{00000000-0005-0000-0000-0000DF630000}"/>
    <cellStyle name="Normal 2 3 13 4 7" xfId="25568" xr:uid="{00000000-0005-0000-0000-0000E0630000}"/>
    <cellStyle name="Normal 2 3 13 4 8" xfId="25569" xr:uid="{00000000-0005-0000-0000-0000E1630000}"/>
    <cellStyle name="Normal 2 3 13 4 9" xfId="25570" xr:uid="{00000000-0005-0000-0000-0000E2630000}"/>
    <cellStyle name="Normal 2 3 13 5" xfId="25571" xr:uid="{00000000-0005-0000-0000-0000E3630000}"/>
    <cellStyle name="Normal 2 3 13 5 10" xfId="25572" xr:uid="{00000000-0005-0000-0000-0000E4630000}"/>
    <cellStyle name="Normal 2 3 13 5 2" xfId="25573" xr:uid="{00000000-0005-0000-0000-0000E5630000}"/>
    <cellStyle name="Normal 2 3 13 5 3" xfId="25574" xr:uid="{00000000-0005-0000-0000-0000E6630000}"/>
    <cellStyle name="Normal 2 3 13 5 4" xfId="25575" xr:uid="{00000000-0005-0000-0000-0000E7630000}"/>
    <cellStyle name="Normal 2 3 13 5 5" xfId="25576" xr:uid="{00000000-0005-0000-0000-0000E8630000}"/>
    <cellStyle name="Normal 2 3 13 5 6" xfId="25577" xr:uid="{00000000-0005-0000-0000-0000E9630000}"/>
    <cellStyle name="Normal 2 3 13 5 7" xfId="25578" xr:uid="{00000000-0005-0000-0000-0000EA630000}"/>
    <cellStyle name="Normal 2 3 13 5 8" xfId="25579" xr:uid="{00000000-0005-0000-0000-0000EB630000}"/>
    <cellStyle name="Normal 2 3 13 5 9" xfId="25580" xr:uid="{00000000-0005-0000-0000-0000EC630000}"/>
    <cellStyle name="Normal 2 3 13 6" xfId="25581" xr:uid="{00000000-0005-0000-0000-0000ED630000}"/>
    <cellStyle name="Normal 2 3 13 7" xfId="25582" xr:uid="{00000000-0005-0000-0000-0000EE630000}"/>
    <cellStyle name="Normal 2 3 13 8" xfId="25583" xr:uid="{00000000-0005-0000-0000-0000EF630000}"/>
    <cellStyle name="Normal 2 3 13 9" xfId="25584" xr:uid="{00000000-0005-0000-0000-0000F0630000}"/>
    <cellStyle name="Normal 2 3 14" xfId="25585" xr:uid="{00000000-0005-0000-0000-0000F1630000}"/>
    <cellStyle name="Normal 2 3 14 10" xfId="25586" xr:uid="{00000000-0005-0000-0000-0000F2630000}"/>
    <cellStyle name="Normal 2 3 14 11" xfId="25587" xr:uid="{00000000-0005-0000-0000-0000F3630000}"/>
    <cellStyle name="Normal 2 3 14 12" xfId="25588" xr:uid="{00000000-0005-0000-0000-0000F4630000}"/>
    <cellStyle name="Normal 2 3 14 13" xfId="25589" xr:uid="{00000000-0005-0000-0000-0000F5630000}"/>
    <cellStyle name="Normal 2 3 14 14" xfId="25590" xr:uid="{00000000-0005-0000-0000-0000F6630000}"/>
    <cellStyle name="Normal 2 3 14 2" xfId="25591" xr:uid="{00000000-0005-0000-0000-0000F7630000}"/>
    <cellStyle name="Normal 2 3 14 2 10" xfId="25592" xr:uid="{00000000-0005-0000-0000-0000F8630000}"/>
    <cellStyle name="Normal 2 3 14 2 2" xfId="25593" xr:uid="{00000000-0005-0000-0000-0000F9630000}"/>
    <cellStyle name="Normal 2 3 14 2 3" xfId="25594" xr:uid="{00000000-0005-0000-0000-0000FA630000}"/>
    <cellStyle name="Normal 2 3 14 2 4" xfId="25595" xr:uid="{00000000-0005-0000-0000-0000FB630000}"/>
    <cellStyle name="Normal 2 3 14 2 5" xfId="25596" xr:uid="{00000000-0005-0000-0000-0000FC630000}"/>
    <cellStyle name="Normal 2 3 14 2 6" xfId="25597" xr:uid="{00000000-0005-0000-0000-0000FD630000}"/>
    <cellStyle name="Normal 2 3 14 2 7" xfId="25598" xr:uid="{00000000-0005-0000-0000-0000FE630000}"/>
    <cellStyle name="Normal 2 3 14 2 8" xfId="25599" xr:uid="{00000000-0005-0000-0000-0000FF630000}"/>
    <cellStyle name="Normal 2 3 14 2 9" xfId="25600" xr:uid="{00000000-0005-0000-0000-000000640000}"/>
    <cellStyle name="Normal 2 3 14 3" xfId="25601" xr:uid="{00000000-0005-0000-0000-000001640000}"/>
    <cellStyle name="Normal 2 3 14 3 10" xfId="25602" xr:uid="{00000000-0005-0000-0000-000002640000}"/>
    <cellStyle name="Normal 2 3 14 3 2" xfId="25603" xr:uid="{00000000-0005-0000-0000-000003640000}"/>
    <cellStyle name="Normal 2 3 14 3 3" xfId="25604" xr:uid="{00000000-0005-0000-0000-000004640000}"/>
    <cellStyle name="Normal 2 3 14 3 4" xfId="25605" xr:uid="{00000000-0005-0000-0000-000005640000}"/>
    <cellStyle name="Normal 2 3 14 3 5" xfId="25606" xr:uid="{00000000-0005-0000-0000-000006640000}"/>
    <cellStyle name="Normal 2 3 14 3 6" xfId="25607" xr:uid="{00000000-0005-0000-0000-000007640000}"/>
    <cellStyle name="Normal 2 3 14 3 7" xfId="25608" xr:uid="{00000000-0005-0000-0000-000008640000}"/>
    <cellStyle name="Normal 2 3 14 3 8" xfId="25609" xr:uid="{00000000-0005-0000-0000-000009640000}"/>
    <cellStyle name="Normal 2 3 14 3 9" xfId="25610" xr:uid="{00000000-0005-0000-0000-00000A640000}"/>
    <cellStyle name="Normal 2 3 14 4" xfId="25611" xr:uid="{00000000-0005-0000-0000-00000B640000}"/>
    <cellStyle name="Normal 2 3 14 4 10" xfId="25612" xr:uid="{00000000-0005-0000-0000-00000C640000}"/>
    <cellStyle name="Normal 2 3 14 4 2" xfId="25613" xr:uid="{00000000-0005-0000-0000-00000D640000}"/>
    <cellStyle name="Normal 2 3 14 4 3" xfId="25614" xr:uid="{00000000-0005-0000-0000-00000E640000}"/>
    <cellStyle name="Normal 2 3 14 4 4" xfId="25615" xr:uid="{00000000-0005-0000-0000-00000F640000}"/>
    <cellStyle name="Normal 2 3 14 4 5" xfId="25616" xr:uid="{00000000-0005-0000-0000-000010640000}"/>
    <cellStyle name="Normal 2 3 14 4 6" xfId="25617" xr:uid="{00000000-0005-0000-0000-000011640000}"/>
    <cellStyle name="Normal 2 3 14 4 7" xfId="25618" xr:uid="{00000000-0005-0000-0000-000012640000}"/>
    <cellStyle name="Normal 2 3 14 4 8" xfId="25619" xr:uid="{00000000-0005-0000-0000-000013640000}"/>
    <cellStyle name="Normal 2 3 14 4 9" xfId="25620" xr:uid="{00000000-0005-0000-0000-000014640000}"/>
    <cellStyle name="Normal 2 3 14 5" xfId="25621" xr:uid="{00000000-0005-0000-0000-000015640000}"/>
    <cellStyle name="Normal 2 3 14 5 10" xfId="25622" xr:uid="{00000000-0005-0000-0000-000016640000}"/>
    <cellStyle name="Normal 2 3 14 5 2" xfId="25623" xr:uid="{00000000-0005-0000-0000-000017640000}"/>
    <cellStyle name="Normal 2 3 14 5 3" xfId="25624" xr:uid="{00000000-0005-0000-0000-000018640000}"/>
    <cellStyle name="Normal 2 3 14 5 4" xfId="25625" xr:uid="{00000000-0005-0000-0000-000019640000}"/>
    <cellStyle name="Normal 2 3 14 5 5" xfId="25626" xr:uid="{00000000-0005-0000-0000-00001A640000}"/>
    <cellStyle name="Normal 2 3 14 5 6" xfId="25627" xr:uid="{00000000-0005-0000-0000-00001B640000}"/>
    <cellStyle name="Normal 2 3 14 5 7" xfId="25628" xr:uid="{00000000-0005-0000-0000-00001C640000}"/>
    <cellStyle name="Normal 2 3 14 5 8" xfId="25629" xr:uid="{00000000-0005-0000-0000-00001D640000}"/>
    <cellStyle name="Normal 2 3 14 5 9" xfId="25630" xr:uid="{00000000-0005-0000-0000-00001E640000}"/>
    <cellStyle name="Normal 2 3 14 6" xfId="25631" xr:uid="{00000000-0005-0000-0000-00001F640000}"/>
    <cellStyle name="Normal 2 3 14 7" xfId="25632" xr:uid="{00000000-0005-0000-0000-000020640000}"/>
    <cellStyle name="Normal 2 3 14 8" xfId="25633" xr:uid="{00000000-0005-0000-0000-000021640000}"/>
    <cellStyle name="Normal 2 3 14 9" xfId="25634" xr:uid="{00000000-0005-0000-0000-000022640000}"/>
    <cellStyle name="Normal 2 3 15" xfId="25635" xr:uid="{00000000-0005-0000-0000-000023640000}"/>
    <cellStyle name="Normal 2 3 15 10" xfId="25636" xr:uid="{00000000-0005-0000-0000-000024640000}"/>
    <cellStyle name="Normal 2 3 15 11" xfId="25637" xr:uid="{00000000-0005-0000-0000-000025640000}"/>
    <cellStyle name="Normal 2 3 15 12" xfId="25638" xr:uid="{00000000-0005-0000-0000-000026640000}"/>
    <cellStyle name="Normal 2 3 15 13" xfId="25639" xr:uid="{00000000-0005-0000-0000-000027640000}"/>
    <cellStyle name="Normal 2 3 15 14" xfId="25640" xr:uid="{00000000-0005-0000-0000-000028640000}"/>
    <cellStyle name="Normal 2 3 15 2" xfId="25641" xr:uid="{00000000-0005-0000-0000-000029640000}"/>
    <cellStyle name="Normal 2 3 15 2 10" xfId="25642" xr:uid="{00000000-0005-0000-0000-00002A640000}"/>
    <cellStyle name="Normal 2 3 15 2 2" xfId="25643" xr:uid="{00000000-0005-0000-0000-00002B640000}"/>
    <cellStyle name="Normal 2 3 15 2 3" xfId="25644" xr:uid="{00000000-0005-0000-0000-00002C640000}"/>
    <cellStyle name="Normal 2 3 15 2 4" xfId="25645" xr:uid="{00000000-0005-0000-0000-00002D640000}"/>
    <cellStyle name="Normal 2 3 15 2 5" xfId="25646" xr:uid="{00000000-0005-0000-0000-00002E640000}"/>
    <cellStyle name="Normal 2 3 15 2 6" xfId="25647" xr:uid="{00000000-0005-0000-0000-00002F640000}"/>
    <cellStyle name="Normal 2 3 15 2 7" xfId="25648" xr:uid="{00000000-0005-0000-0000-000030640000}"/>
    <cellStyle name="Normal 2 3 15 2 8" xfId="25649" xr:uid="{00000000-0005-0000-0000-000031640000}"/>
    <cellStyle name="Normal 2 3 15 2 9" xfId="25650" xr:uid="{00000000-0005-0000-0000-000032640000}"/>
    <cellStyle name="Normal 2 3 15 3" xfId="25651" xr:uid="{00000000-0005-0000-0000-000033640000}"/>
    <cellStyle name="Normal 2 3 15 3 10" xfId="25652" xr:uid="{00000000-0005-0000-0000-000034640000}"/>
    <cellStyle name="Normal 2 3 15 3 2" xfId="25653" xr:uid="{00000000-0005-0000-0000-000035640000}"/>
    <cellStyle name="Normal 2 3 15 3 3" xfId="25654" xr:uid="{00000000-0005-0000-0000-000036640000}"/>
    <cellStyle name="Normal 2 3 15 3 4" xfId="25655" xr:uid="{00000000-0005-0000-0000-000037640000}"/>
    <cellStyle name="Normal 2 3 15 3 5" xfId="25656" xr:uid="{00000000-0005-0000-0000-000038640000}"/>
    <cellStyle name="Normal 2 3 15 3 6" xfId="25657" xr:uid="{00000000-0005-0000-0000-000039640000}"/>
    <cellStyle name="Normal 2 3 15 3 7" xfId="25658" xr:uid="{00000000-0005-0000-0000-00003A640000}"/>
    <cellStyle name="Normal 2 3 15 3 8" xfId="25659" xr:uid="{00000000-0005-0000-0000-00003B640000}"/>
    <cellStyle name="Normal 2 3 15 3 9" xfId="25660" xr:uid="{00000000-0005-0000-0000-00003C640000}"/>
    <cellStyle name="Normal 2 3 15 4" xfId="25661" xr:uid="{00000000-0005-0000-0000-00003D640000}"/>
    <cellStyle name="Normal 2 3 15 4 10" xfId="25662" xr:uid="{00000000-0005-0000-0000-00003E640000}"/>
    <cellStyle name="Normal 2 3 15 4 2" xfId="25663" xr:uid="{00000000-0005-0000-0000-00003F640000}"/>
    <cellStyle name="Normal 2 3 15 4 3" xfId="25664" xr:uid="{00000000-0005-0000-0000-000040640000}"/>
    <cellStyle name="Normal 2 3 15 4 4" xfId="25665" xr:uid="{00000000-0005-0000-0000-000041640000}"/>
    <cellStyle name="Normal 2 3 15 4 5" xfId="25666" xr:uid="{00000000-0005-0000-0000-000042640000}"/>
    <cellStyle name="Normal 2 3 15 4 6" xfId="25667" xr:uid="{00000000-0005-0000-0000-000043640000}"/>
    <cellStyle name="Normal 2 3 15 4 7" xfId="25668" xr:uid="{00000000-0005-0000-0000-000044640000}"/>
    <cellStyle name="Normal 2 3 15 4 8" xfId="25669" xr:uid="{00000000-0005-0000-0000-000045640000}"/>
    <cellStyle name="Normal 2 3 15 4 9" xfId="25670" xr:uid="{00000000-0005-0000-0000-000046640000}"/>
    <cellStyle name="Normal 2 3 15 5" xfId="25671" xr:uid="{00000000-0005-0000-0000-000047640000}"/>
    <cellStyle name="Normal 2 3 15 5 10" xfId="25672" xr:uid="{00000000-0005-0000-0000-000048640000}"/>
    <cellStyle name="Normal 2 3 15 5 2" xfId="25673" xr:uid="{00000000-0005-0000-0000-000049640000}"/>
    <cellStyle name="Normal 2 3 15 5 3" xfId="25674" xr:uid="{00000000-0005-0000-0000-00004A640000}"/>
    <cellStyle name="Normal 2 3 15 5 4" xfId="25675" xr:uid="{00000000-0005-0000-0000-00004B640000}"/>
    <cellStyle name="Normal 2 3 15 5 5" xfId="25676" xr:uid="{00000000-0005-0000-0000-00004C640000}"/>
    <cellStyle name="Normal 2 3 15 5 6" xfId="25677" xr:uid="{00000000-0005-0000-0000-00004D640000}"/>
    <cellStyle name="Normal 2 3 15 5 7" xfId="25678" xr:uid="{00000000-0005-0000-0000-00004E640000}"/>
    <cellStyle name="Normal 2 3 15 5 8" xfId="25679" xr:uid="{00000000-0005-0000-0000-00004F640000}"/>
    <cellStyle name="Normal 2 3 15 5 9" xfId="25680" xr:uid="{00000000-0005-0000-0000-000050640000}"/>
    <cellStyle name="Normal 2 3 15 6" xfId="25681" xr:uid="{00000000-0005-0000-0000-000051640000}"/>
    <cellStyle name="Normal 2 3 15 7" xfId="25682" xr:uid="{00000000-0005-0000-0000-000052640000}"/>
    <cellStyle name="Normal 2 3 15 8" xfId="25683" xr:uid="{00000000-0005-0000-0000-000053640000}"/>
    <cellStyle name="Normal 2 3 15 9" xfId="25684" xr:uid="{00000000-0005-0000-0000-000054640000}"/>
    <cellStyle name="Normal 2 3 16" xfId="25685" xr:uid="{00000000-0005-0000-0000-000055640000}"/>
    <cellStyle name="Normal 2 3 16 10" xfId="25686" xr:uid="{00000000-0005-0000-0000-000056640000}"/>
    <cellStyle name="Normal 2 3 16 11" xfId="25687" xr:uid="{00000000-0005-0000-0000-000057640000}"/>
    <cellStyle name="Normal 2 3 16 12" xfId="25688" xr:uid="{00000000-0005-0000-0000-000058640000}"/>
    <cellStyle name="Normal 2 3 16 13" xfId="25689" xr:uid="{00000000-0005-0000-0000-000059640000}"/>
    <cellStyle name="Normal 2 3 16 14" xfId="25690" xr:uid="{00000000-0005-0000-0000-00005A640000}"/>
    <cellStyle name="Normal 2 3 16 2" xfId="25691" xr:uid="{00000000-0005-0000-0000-00005B640000}"/>
    <cellStyle name="Normal 2 3 16 2 10" xfId="25692" xr:uid="{00000000-0005-0000-0000-00005C640000}"/>
    <cellStyle name="Normal 2 3 16 2 2" xfId="25693" xr:uid="{00000000-0005-0000-0000-00005D640000}"/>
    <cellStyle name="Normal 2 3 16 2 3" xfId="25694" xr:uid="{00000000-0005-0000-0000-00005E640000}"/>
    <cellStyle name="Normal 2 3 16 2 4" xfId="25695" xr:uid="{00000000-0005-0000-0000-00005F640000}"/>
    <cellStyle name="Normal 2 3 16 2 5" xfId="25696" xr:uid="{00000000-0005-0000-0000-000060640000}"/>
    <cellStyle name="Normal 2 3 16 2 6" xfId="25697" xr:uid="{00000000-0005-0000-0000-000061640000}"/>
    <cellStyle name="Normal 2 3 16 2 7" xfId="25698" xr:uid="{00000000-0005-0000-0000-000062640000}"/>
    <cellStyle name="Normal 2 3 16 2 8" xfId="25699" xr:uid="{00000000-0005-0000-0000-000063640000}"/>
    <cellStyle name="Normal 2 3 16 2 9" xfId="25700" xr:uid="{00000000-0005-0000-0000-000064640000}"/>
    <cellStyle name="Normal 2 3 16 3" xfId="25701" xr:uid="{00000000-0005-0000-0000-000065640000}"/>
    <cellStyle name="Normal 2 3 16 3 10" xfId="25702" xr:uid="{00000000-0005-0000-0000-000066640000}"/>
    <cellStyle name="Normal 2 3 16 3 2" xfId="25703" xr:uid="{00000000-0005-0000-0000-000067640000}"/>
    <cellStyle name="Normal 2 3 16 3 3" xfId="25704" xr:uid="{00000000-0005-0000-0000-000068640000}"/>
    <cellStyle name="Normal 2 3 16 3 4" xfId="25705" xr:uid="{00000000-0005-0000-0000-000069640000}"/>
    <cellStyle name="Normal 2 3 16 3 5" xfId="25706" xr:uid="{00000000-0005-0000-0000-00006A640000}"/>
    <cellStyle name="Normal 2 3 16 3 6" xfId="25707" xr:uid="{00000000-0005-0000-0000-00006B640000}"/>
    <cellStyle name="Normal 2 3 16 3 7" xfId="25708" xr:uid="{00000000-0005-0000-0000-00006C640000}"/>
    <cellStyle name="Normal 2 3 16 3 8" xfId="25709" xr:uid="{00000000-0005-0000-0000-00006D640000}"/>
    <cellStyle name="Normal 2 3 16 3 9" xfId="25710" xr:uid="{00000000-0005-0000-0000-00006E640000}"/>
    <cellStyle name="Normal 2 3 16 4" xfId="25711" xr:uid="{00000000-0005-0000-0000-00006F640000}"/>
    <cellStyle name="Normal 2 3 16 4 10" xfId="25712" xr:uid="{00000000-0005-0000-0000-000070640000}"/>
    <cellStyle name="Normal 2 3 16 4 2" xfId="25713" xr:uid="{00000000-0005-0000-0000-000071640000}"/>
    <cellStyle name="Normal 2 3 16 4 3" xfId="25714" xr:uid="{00000000-0005-0000-0000-000072640000}"/>
    <cellStyle name="Normal 2 3 16 4 4" xfId="25715" xr:uid="{00000000-0005-0000-0000-000073640000}"/>
    <cellStyle name="Normal 2 3 16 4 5" xfId="25716" xr:uid="{00000000-0005-0000-0000-000074640000}"/>
    <cellStyle name="Normal 2 3 16 4 6" xfId="25717" xr:uid="{00000000-0005-0000-0000-000075640000}"/>
    <cellStyle name="Normal 2 3 16 4 7" xfId="25718" xr:uid="{00000000-0005-0000-0000-000076640000}"/>
    <cellStyle name="Normal 2 3 16 4 8" xfId="25719" xr:uid="{00000000-0005-0000-0000-000077640000}"/>
    <cellStyle name="Normal 2 3 16 4 9" xfId="25720" xr:uid="{00000000-0005-0000-0000-000078640000}"/>
    <cellStyle name="Normal 2 3 16 5" xfId="25721" xr:uid="{00000000-0005-0000-0000-000079640000}"/>
    <cellStyle name="Normal 2 3 16 5 10" xfId="25722" xr:uid="{00000000-0005-0000-0000-00007A640000}"/>
    <cellStyle name="Normal 2 3 16 5 2" xfId="25723" xr:uid="{00000000-0005-0000-0000-00007B640000}"/>
    <cellStyle name="Normal 2 3 16 5 3" xfId="25724" xr:uid="{00000000-0005-0000-0000-00007C640000}"/>
    <cellStyle name="Normal 2 3 16 5 4" xfId="25725" xr:uid="{00000000-0005-0000-0000-00007D640000}"/>
    <cellStyle name="Normal 2 3 16 5 5" xfId="25726" xr:uid="{00000000-0005-0000-0000-00007E640000}"/>
    <cellStyle name="Normal 2 3 16 5 6" xfId="25727" xr:uid="{00000000-0005-0000-0000-00007F640000}"/>
    <cellStyle name="Normal 2 3 16 5 7" xfId="25728" xr:uid="{00000000-0005-0000-0000-000080640000}"/>
    <cellStyle name="Normal 2 3 16 5 8" xfId="25729" xr:uid="{00000000-0005-0000-0000-000081640000}"/>
    <cellStyle name="Normal 2 3 16 5 9" xfId="25730" xr:uid="{00000000-0005-0000-0000-000082640000}"/>
    <cellStyle name="Normal 2 3 16 6" xfId="25731" xr:uid="{00000000-0005-0000-0000-000083640000}"/>
    <cellStyle name="Normal 2 3 16 7" xfId="25732" xr:uid="{00000000-0005-0000-0000-000084640000}"/>
    <cellStyle name="Normal 2 3 16 8" xfId="25733" xr:uid="{00000000-0005-0000-0000-000085640000}"/>
    <cellStyle name="Normal 2 3 16 9" xfId="25734" xr:uid="{00000000-0005-0000-0000-000086640000}"/>
    <cellStyle name="Normal 2 3 17" xfId="25735" xr:uid="{00000000-0005-0000-0000-000087640000}"/>
    <cellStyle name="Normal 2 3 17 10" xfId="25736" xr:uid="{00000000-0005-0000-0000-000088640000}"/>
    <cellStyle name="Normal 2 3 17 11" xfId="25737" xr:uid="{00000000-0005-0000-0000-000089640000}"/>
    <cellStyle name="Normal 2 3 17 12" xfId="25738" xr:uid="{00000000-0005-0000-0000-00008A640000}"/>
    <cellStyle name="Normal 2 3 17 13" xfId="25739" xr:uid="{00000000-0005-0000-0000-00008B640000}"/>
    <cellStyle name="Normal 2 3 17 14" xfId="25740" xr:uid="{00000000-0005-0000-0000-00008C640000}"/>
    <cellStyle name="Normal 2 3 17 2" xfId="25741" xr:uid="{00000000-0005-0000-0000-00008D640000}"/>
    <cellStyle name="Normal 2 3 17 2 10" xfId="25742" xr:uid="{00000000-0005-0000-0000-00008E640000}"/>
    <cellStyle name="Normal 2 3 17 2 2" xfId="25743" xr:uid="{00000000-0005-0000-0000-00008F640000}"/>
    <cellStyle name="Normal 2 3 17 2 3" xfId="25744" xr:uid="{00000000-0005-0000-0000-000090640000}"/>
    <cellStyle name="Normal 2 3 17 2 4" xfId="25745" xr:uid="{00000000-0005-0000-0000-000091640000}"/>
    <cellStyle name="Normal 2 3 17 2 5" xfId="25746" xr:uid="{00000000-0005-0000-0000-000092640000}"/>
    <cellStyle name="Normal 2 3 17 2 6" xfId="25747" xr:uid="{00000000-0005-0000-0000-000093640000}"/>
    <cellStyle name="Normal 2 3 17 2 7" xfId="25748" xr:uid="{00000000-0005-0000-0000-000094640000}"/>
    <cellStyle name="Normal 2 3 17 2 8" xfId="25749" xr:uid="{00000000-0005-0000-0000-000095640000}"/>
    <cellStyle name="Normal 2 3 17 2 9" xfId="25750" xr:uid="{00000000-0005-0000-0000-000096640000}"/>
    <cellStyle name="Normal 2 3 17 3" xfId="25751" xr:uid="{00000000-0005-0000-0000-000097640000}"/>
    <cellStyle name="Normal 2 3 17 3 10" xfId="25752" xr:uid="{00000000-0005-0000-0000-000098640000}"/>
    <cellStyle name="Normal 2 3 17 3 2" xfId="25753" xr:uid="{00000000-0005-0000-0000-000099640000}"/>
    <cellStyle name="Normal 2 3 17 3 3" xfId="25754" xr:uid="{00000000-0005-0000-0000-00009A640000}"/>
    <cellStyle name="Normal 2 3 17 3 4" xfId="25755" xr:uid="{00000000-0005-0000-0000-00009B640000}"/>
    <cellStyle name="Normal 2 3 17 3 5" xfId="25756" xr:uid="{00000000-0005-0000-0000-00009C640000}"/>
    <cellStyle name="Normal 2 3 17 3 6" xfId="25757" xr:uid="{00000000-0005-0000-0000-00009D640000}"/>
    <cellStyle name="Normal 2 3 17 3 7" xfId="25758" xr:uid="{00000000-0005-0000-0000-00009E640000}"/>
    <cellStyle name="Normal 2 3 17 3 8" xfId="25759" xr:uid="{00000000-0005-0000-0000-00009F640000}"/>
    <cellStyle name="Normal 2 3 17 3 9" xfId="25760" xr:uid="{00000000-0005-0000-0000-0000A0640000}"/>
    <cellStyle name="Normal 2 3 17 4" xfId="25761" xr:uid="{00000000-0005-0000-0000-0000A1640000}"/>
    <cellStyle name="Normal 2 3 17 4 10" xfId="25762" xr:uid="{00000000-0005-0000-0000-0000A2640000}"/>
    <cellStyle name="Normal 2 3 17 4 2" xfId="25763" xr:uid="{00000000-0005-0000-0000-0000A3640000}"/>
    <cellStyle name="Normal 2 3 17 4 3" xfId="25764" xr:uid="{00000000-0005-0000-0000-0000A4640000}"/>
    <cellStyle name="Normal 2 3 17 4 4" xfId="25765" xr:uid="{00000000-0005-0000-0000-0000A5640000}"/>
    <cellStyle name="Normal 2 3 17 4 5" xfId="25766" xr:uid="{00000000-0005-0000-0000-0000A6640000}"/>
    <cellStyle name="Normal 2 3 17 4 6" xfId="25767" xr:uid="{00000000-0005-0000-0000-0000A7640000}"/>
    <cellStyle name="Normal 2 3 17 4 7" xfId="25768" xr:uid="{00000000-0005-0000-0000-0000A8640000}"/>
    <cellStyle name="Normal 2 3 17 4 8" xfId="25769" xr:uid="{00000000-0005-0000-0000-0000A9640000}"/>
    <cellStyle name="Normal 2 3 17 4 9" xfId="25770" xr:uid="{00000000-0005-0000-0000-0000AA640000}"/>
    <cellStyle name="Normal 2 3 17 5" xfId="25771" xr:uid="{00000000-0005-0000-0000-0000AB640000}"/>
    <cellStyle name="Normal 2 3 17 5 10" xfId="25772" xr:uid="{00000000-0005-0000-0000-0000AC640000}"/>
    <cellStyle name="Normal 2 3 17 5 2" xfId="25773" xr:uid="{00000000-0005-0000-0000-0000AD640000}"/>
    <cellStyle name="Normal 2 3 17 5 3" xfId="25774" xr:uid="{00000000-0005-0000-0000-0000AE640000}"/>
    <cellStyle name="Normal 2 3 17 5 4" xfId="25775" xr:uid="{00000000-0005-0000-0000-0000AF640000}"/>
    <cellStyle name="Normal 2 3 17 5 5" xfId="25776" xr:uid="{00000000-0005-0000-0000-0000B0640000}"/>
    <cellStyle name="Normal 2 3 17 5 6" xfId="25777" xr:uid="{00000000-0005-0000-0000-0000B1640000}"/>
    <cellStyle name="Normal 2 3 17 5 7" xfId="25778" xr:uid="{00000000-0005-0000-0000-0000B2640000}"/>
    <cellStyle name="Normal 2 3 17 5 8" xfId="25779" xr:uid="{00000000-0005-0000-0000-0000B3640000}"/>
    <cellStyle name="Normal 2 3 17 5 9" xfId="25780" xr:uid="{00000000-0005-0000-0000-0000B4640000}"/>
    <cellStyle name="Normal 2 3 17 6" xfId="25781" xr:uid="{00000000-0005-0000-0000-0000B5640000}"/>
    <cellStyle name="Normal 2 3 17 7" xfId="25782" xr:uid="{00000000-0005-0000-0000-0000B6640000}"/>
    <cellStyle name="Normal 2 3 17 8" xfId="25783" xr:uid="{00000000-0005-0000-0000-0000B7640000}"/>
    <cellStyle name="Normal 2 3 17 9" xfId="25784" xr:uid="{00000000-0005-0000-0000-0000B8640000}"/>
    <cellStyle name="Normal 2 3 18" xfId="25785" xr:uid="{00000000-0005-0000-0000-0000B9640000}"/>
    <cellStyle name="Normal 2 3 18 10" xfId="25786" xr:uid="{00000000-0005-0000-0000-0000BA640000}"/>
    <cellStyle name="Normal 2 3 18 11" xfId="25787" xr:uid="{00000000-0005-0000-0000-0000BB640000}"/>
    <cellStyle name="Normal 2 3 18 12" xfId="25788" xr:uid="{00000000-0005-0000-0000-0000BC640000}"/>
    <cellStyle name="Normal 2 3 18 13" xfId="25789" xr:uid="{00000000-0005-0000-0000-0000BD640000}"/>
    <cellStyle name="Normal 2 3 18 14" xfId="25790" xr:uid="{00000000-0005-0000-0000-0000BE640000}"/>
    <cellStyle name="Normal 2 3 18 2" xfId="25791" xr:uid="{00000000-0005-0000-0000-0000BF640000}"/>
    <cellStyle name="Normal 2 3 18 2 10" xfId="25792" xr:uid="{00000000-0005-0000-0000-0000C0640000}"/>
    <cellStyle name="Normal 2 3 18 2 2" xfId="25793" xr:uid="{00000000-0005-0000-0000-0000C1640000}"/>
    <cellStyle name="Normal 2 3 18 2 3" xfId="25794" xr:uid="{00000000-0005-0000-0000-0000C2640000}"/>
    <cellStyle name="Normal 2 3 18 2 4" xfId="25795" xr:uid="{00000000-0005-0000-0000-0000C3640000}"/>
    <cellStyle name="Normal 2 3 18 2 5" xfId="25796" xr:uid="{00000000-0005-0000-0000-0000C4640000}"/>
    <cellStyle name="Normal 2 3 18 2 6" xfId="25797" xr:uid="{00000000-0005-0000-0000-0000C5640000}"/>
    <cellStyle name="Normal 2 3 18 2 7" xfId="25798" xr:uid="{00000000-0005-0000-0000-0000C6640000}"/>
    <cellStyle name="Normal 2 3 18 2 8" xfId="25799" xr:uid="{00000000-0005-0000-0000-0000C7640000}"/>
    <cellStyle name="Normal 2 3 18 2 9" xfId="25800" xr:uid="{00000000-0005-0000-0000-0000C8640000}"/>
    <cellStyle name="Normal 2 3 18 3" xfId="25801" xr:uid="{00000000-0005-0000-0000-0000C9640000}"/>
    <cellStyle name="Normal 2 3 18 3 10" xfId="25802" xr:uid="{00000000-0005-0000-0000-0000CA640000}"/>
    <cellStyle name="Normal 2 3 18 3 2" xfId="25803" xr:uid="{00000000-0005-0000-0000-0000CB640000}"/>
    <cellStyle name="Normal 2 3 18 3 3" xfId="25804" xr:uid="{00000000-0005-0000-0000-0000CC640000}"/>
    <cellStyle name="Normal 2 3 18 3 4" xfId="25805" xr:uid="{00000000-0005-0000-0000-0000CD640000}"/>
    <cellStyle name="Normal 2 3 18 3 5" xfId="25806" xr:uid="{00000000-0005-0000-0000-0000CE640000}"/>
    <cellStyle name="Normal 2 3 18 3 6" xfId="25807" xr:uid="{00000000-0005-0000-0000-0000CF640000}"/>
    <cellStyle name="Normal 2 3 18 3 7" xfId="25808" xr:uid="{00000000-0005-0000-0000-0000D0640000}"/>
    <cellStyle name="Normal 2 3 18 3 8" xfId="25809" xr:uid="{00000000-0005-0000-0000-0000D1640000}"/>
    <cellStyle name="Normal 2 3 18 3 9" xfId="25810" xr:uid="{00000000-0005-0000-0000-0000D2640000}"/>
    <cellStyle name="Normal 2 3 18 4" xfId="25811" xr:uid="{00000000-0005-0000-0000-0000D3640000}"/>
    <cellStyle name="Normal 2 3 18 4 10" xfId="25812" xr:uid="{00000000-0005-0000-0000-0000D4640000}"/>
    <cellStyle name="Normal 2 3 18 4 2" xfId="25813" xr:uid="{00000000-0005-0000-0000-0000D5640000}"/>
    <cellStyle name="Normal 2 3 18 4 3" xfId="25814" xr:uid="{00000000-0005-0000-0000-0000D6640000}"/>
    <cellStyle name="Normal 2 3 18 4 4" xfId="25815" xr:uid="{00000000-0005-0000-0000-0000D7640000}"/>
    <cellStyle name="Normal 2 3 18 4 5" xfId="25816" xr:uid="{00000000-0005-0000-0000-0000D8640000}"/>
    <cellStyle name="Normal 2 3 18 4 6" xfId="25817" xr:uid="{00000000-0005-0000-0000-0000D9640000}"/>
    <cellStyle name="Normal 2 3 18 4 7" xfId="25818" xr:uid="{00000000-0005-0000-0000-0000DA640000}"/>
    <cellStyle name="Normal 2 3 18 4 8" xfId="25819" xr:uid="{00000000-0005-0000-0000-0000DB640000}"/>
    <cellStyle name="Normal 2 3 18 4 9" xfId="25820" xr:uid="{00000000-0005-0000-0000-0000DC640000}"/>
    <cellStyle name="Normal 2 3 18 5" xfId="25821" xr:uid="{00000000-0005-0000-0000-0000DD640000}"/>
    <cellStyle name="Normal 2 3 18 5 10" xfId="25822" xr:uid="{00000000-0005-0000-0000-0000DE640000}"/>
    <cellStyle name="Normal 2 3 18 5 2" xfId="25823" xr:uid="{00000000-0005-0000-0000-0000DF640000}"/>
    <cellStyle name="Normal 2 3 18 5 3" xfId="25824" xr:uid="{00000000-0005-0000-0000-0000E0640000}"/>
    <cellStyle name="Normal 2 3 18 5 4" xfId="25825" xr:uid="{00000000-0005-0000-0000-0000E1640000}"/>
    <cellStyle name="Normal 2 3 18 5 5" xfId="25826" xr:uid="{00000000-0005-0000-0000-0000E2640000}"/>
    <cellStyle name="Normal 2 3 18 5 6" xfId="25827" xr:uid="{00000000-0005-0000-0000-0000E3640000}"/>
    <cellStyle name="Normal 2 3 18 5 7" xfId="25828" xr:uid="{00000000-0005-0000-0000-0000E4640000}"/>
    <cellStyle name="Normal 2 3 18 5 8" xfId="25829" xr:uid="{00000000-0005-0000-0000-0000E5640000}"/>
    <cellStyle name="Normal 2 3 18 5 9" xfId="25830" xr:uid="{00000000-0005-0000-0000-0000E6640000}"/>
    <cellStyle name="Normal 2 3 18 6" xfId="25831" xr:uid="{00000000-0005-0000-0000-0000E7640000}"/>
    <cellStyle name="Normal 2 3 18 7" xfId="25832" xr:uid="{00000000-0005-0000-0000-0000E8640000}"/>
    <cellStyle name="Normal 2 3 18 8" xfId="25833" xr:uid="{00000000-0005-0000-0000-0000E9640000}"/>
    <cellStyle name="Normal 2 3 18 9" xfId="25834" xr:uid="{00000000-0005-0000-0000-0000EA640000}"/>
    <cellStyle name="Normal 2 3 19" xfId="25835" xr:uid="{00000000-0005-0000-0000-0000EB640000}"/>
    <cellStyle name="Normal 2 3 19 10" xfId="25836" xr:uid="{00000000-0005-0000-0000-0000EC640000}"/>
    <cellStyle name="Normal 2 3 19 11" xfId="25837" xr:uid="{00000000-0005-0000-0000-0000ED640000}"/>
    <cellStyle name="Normal 2 3 19 12" xfId="25838" xr:uid="{00000000-0005-0000-0000-0000EE640000}"/>
    <cellStyle name="Normal 2 3 19 13" xfId="25839" xr:uid="{00000000-0005-0000-0000-0000EF640000}"/>
    <cellStyle name="Normal 2 3 19 14" xfId="25840" xr:uid="{00000000-0005-0000-0000-0000F0640000}"/>
    <cellStyle name="Normal 2 3 19 2" xfId="25841" xr:uid="{00000000-0005-0000-0000-0000F1640000}"/>
    <cellStyle name="Normal 2 3 19 2 10" xfId="25842" xr:uid="{00000000-0005-0000-0000-0000F2640000}"/>
    <cellStyle name="Normal 2 3 19 2 2" xfId="25843" xr:uid="{00000000-0005-0000-0000-0000F3640000}"/>
    <cellStyle name="Normal 2 3 19 2 3" xfId="25844" xr:uid="{00000000-0005-0000-0000-0000F4640000}"/>
    <cellStyle name="Normal 2 3 19 2 4" xfId="25845" xr:uid="{00000000-0005-0000-0000-0000F5640000}"/>
    <cellStyle name="Normal 2 3 19 2 5" xfId="25846" xr:uid="{00000000-0005-0000-0000-0000F6640000}"/>
    <cellStyle name="Normal 2 3 19 2 6" xfId="25847" xr:uid="{00000000-0005-0000-0000-0000F7640000}"/>
    <cellStyle name="Normal 2 3 19 2 7" xfId="25848" xr:uid="{00000000-0005-0000-0000-0000F8640000}"/>
    <cellStyle name="Normal 2 3 19 2 8" xfId="25849" xr:uid="{00000000-0005-0000-0000-0000F9640000}"/>
    <cellStyle name="Normal 2 3 19 2 9" xfId="25850" xr:uid="{00000000-0005-0000-0000-0000FA640000}"/>
    <cellStyle name="Normal 2 3 19 3" xfId="25851" xr:uid="{00000000-0005-0000-0000-0000FB640000}"/>
    <cellStyle name="Normal 2 3 19 3 10" xfId="25852" xr:uid="{00000000-0005-0000-0000-0000FC640000}"/>
    <cellStyle name="Normal 2 3 19 3 2" xfId="25853" xr:uid="{00000000-0005-0000-0000-0000FD640000}"/>
    <cellStyle name="Normal 2 3 19 3 3" xfId="25854" xr:uid="{00000000-0005-0000-0000-0000FE640000}"/>
    <cellStyle name="Normal 2 3 19 3 4" xfId="25855" xr:uid="{00000000-0005-0000-0000-0000FF640000}"/>
    <cellStyle name="Normal 2 3 19 3 5" xfId="25856" xr:uid="{00000000-0005-0000-0000-000000650000}"/>
    <cellStyle name="Normal 2 3 19 3 6" xfId="25857" xr:uid="{00000000-0005-0000-0000-000001650000}"/>
    <cellStyle name="Normal 2 3 19 3 7" xfId="25858" xr:uid="{00000000-0005-0000-0000-000002650000}"/>
    <cellStyle name="Normal 2 3 19 3 8" xfId="25859" xr:uid="{00000000-0005-0000-0000-000003650000}"/>
    <cellStyle name="Normal 2 3 19 3 9" xfId="25860" xr:uid="{00000000-0005-0000-0000-000004650000}"/>
    <cellStyle name="Normal 2 3 19 4" xfId="25861" xr:uid="{00000000-0005-0000-0000-000005650000}"/>
    <cellStyle name="Normal 2 3 19 4 10" xfId="25862" xr:uid="{00000000-0005-0000-0000-000006650000}"/>
    <cellStyle name="Normal 2 3 19 4 2" xfId="25863" xr:uid="{00000000-0005-0000-0000-000007650000}"/>
    <cellStyle name="Normal 2 3 19 4 3" xfId="25864" xr:uid="{00000000-0005-0000-0000-000008650000}"/>
    <cellStyle name="Normal 2 3 19 4 4" xfId="25865" xr:uid="{00000000-0005-0000-0000-000009650000}"/>
    <cellStyle name="Normal 2 3 19 4 5" xfId="25866" xr:uid="{00000000-0005-0000-0000-00000A650000}"/>
    <cellStyle name="Normal 2 3 19 4 6" xfId="25867" xr:uid="{00000000-0005-0000-0000-00000B650000}"/>
    <cellStyle name="Normal 2 3 19 4 7" xfId="25868" xr:uid="{00000000-0005-0000-0000-00000C650000}"/>
    <cellStyle name="Normal 2 3 19 4 8" xfId="25869" xr:uid="{00000000-0005-0000-0000-00000D650000}"/>
    <cellStyle name="Normal 2 3 19 4 9" xfId="25870" xr:uid="{00000000-0005-0000-0000-00000E650000}"/>
    <cellStyle name="Normal 2 3 19 5" xfId="25871" xr:uid="{00000000-0005-0000-0000-00000F650000}"/>
    <cellStyle name="Normal 2 3 19 5 10" xfId="25872" xr:uid="{00000000-0005-0000-0000-000010650000}"/>
    <cellStyle name="Normal 2 3 19 5 2" xfId="25873" xr:uid="{00000000-0005-0000-0000-000011650000}"/>
    <cellStyle name="Normal 2 3 19 5 3" xfId="25874" xr:uid="{00000000-0005-0000-0000-000012650000}"/>
    <cellStyle name="Normal 2 3 19 5 4" xfId="25875" xr:uid="{00000000-0005-0000-0000-000013650000}"/>
    <cellStyle name="Normal 2 3 19 5 5" xfId="25876" xr:uid="{00000000-0005-0000-0000-000014650000}"/>
    <cellStyle name="Normal 2 3 19 5 6" xfId="25877" xr:uid="{00000000-0005-0000-0000-000015650000}"/>
    <cellStyle name="Normal 2 3 19 5 7" xfId="25878" xr:uid="{00000000-0005-0000-0000-000016650000}"/>
    <cellStyle name="Normal 2 3 19 5 8" xfId="25879" xr:uid="{00000000-0005-0000-0000-000017650000}"/>
    <cellStyle name="Normal 2 3 19 5 9" xfId="25880" xr:uid="{00000000-0005-0000-0000-000018650000}"/>
    <cellStyle name="Normal 2 3 19 6" xfId="25881" xr:uid="{00000000-0005-0000-0000-000019650000}"/>
    <cellStyle name="Normal 2 3 19 7" xfId="25882" xr:uid="{00000000-0005-0000-0000-00001A650000}"/>
    <cellStyle name="Normal 2 3 19 8" xfId="25883" xr:uid="{00000000-0005-0000-0000-00001B650000}"/>
    <cellStyle name="Normal 2 3 19 9" xfId="25884" xr:uid="{00000000-0005-0000-0000-00001C650000}"/>
    <cellStyle name="Normal 2 3 2" xfId="55" xr:uid="{00000000-0005-0000-0000-000037000000}"/>
    <cellStyle name="Normal 2 3 2 10" xfId="25886" xr:uid="{00000000-0005-0000-0000-00001E650000}"/>
    <cellStyle name="Normal 2 3 2 10 10" xfId="25887" xr:uid="{00000000-0005-0000-0000-00001F650000}"/>
    <cellStyle name="Normal 2 3 2 10 11" xfId="25888" xr:uid="{00000000-0005-0000-0000-000020650000}"/>
    <cellStyle name="Normal 2 3 2 10 12" xfId="25889" xr:uid="{00000000-0005-0000-0000-000021650000}"/>
    <cellStyle name="Normal 2 3 2 10 13" xfId="25890" xr:uid="{00000000-0005-0000-0000-000022650000}"/>
    <cellStyle name="Normal 2 3 2 10 14" xfId="25891" xr:uid="{00000000-0005-0000-0000-000023650000}"/>
    <cellStyle name="Normal 2 3 2 10 2" xfId="25892" xr:uid="{00000000-0005-0000-0000-000024650000}"/>
    <cellStyle name="Normal 2 3 2 10 2 10" xfId="25893" xr:uid="{00000000-0005-0000-0000-000025650000}"/>
    <cellStyle name="Normal 2 3 2 10 2 2" xfId="25894" xr:uid="{00000000-0005-0000-0000-000026650000}"/>
    <cellStyle name="Normal 2 3 2 10 2 3" xfId="25895" xr:uid="{00000000-0005-0000-0000-000027650000}"/>
    <cellStyle name="Normal 2 3 2 10 2 4" xfId="25896" xr:uid="{00000000-0005-0000-0000-000028650000}"/>
    <cellStyle name="Normal 2 3 2 10 2 5" xfId="25897" xr:uid="{00000000-0005-0000-0000-000029650000}"/>
    <cellStyle name="Normal 2 3 2 10 2 6" xfId="25898" xr:uid="{00000000-0005-0000-0000-00002A650000}"/>
    <cellStyle name="Normal 2 3 2 10 2 7" xfId="25899" xr:uid="{00000000-0005-0000-0000-00002B650000}"/>
    <cellStyle name="Normal 2 3 2 10 2 8" xfId="25900" xr:uid="{00000000-0005-0000-0000-00002C650000}"/>
    <cellStyle name="Normal 2 3 2 10 2 9" xfId="25901" xr:uid="{00000000-0005-0000-0000-00002D650000}"/>
    <cellStyle name="Normal 2 3 2 10 3" xfId="25902" xr:uid="{00000000-0005-0000-0000-00002E650000}"/>
    <cellStyle name="Normal 2 3 2 10 3 10" xfId="25903" xr:uid="{00000000-0005-0000-0000-00002F650000}"/>
    <cellStyle name="Normal 2 3 2 10 3 2" xfId="25904" xr:uid="{00000000-0005-0000-0000-000030650000}"/>
    <cellStyle name="Normal 2 3 2 10 3 3" xfId="25905" xr:uid="{00000000-0005-0000-0000-000031650000}"/>
    <cellStyle name="Normal 2 3 2 10 3 4" xfId="25906" xr:uid="{00000000-0005-0000-0000-000032650000}"/>
    <cellStyle name="Normal 2 3 2 10 3 5" xfId="25907" xr:uid="{00000000-0005-0000-0000-000033650000}"/>
    <cellStyle name="Normal 2 3 2 10 3 6" xfId="25908" xr:uid="{00000000-0005-0000-0000-000034650000}"/>
    <cellStyle name="Normal 2 3 2 10 3 7" xfId="25909" xr:uid="{00000000-0005-0000-0000-000035650000}"/>
    <cellStyle name="Normal 2 3 2 10 3 8" xfId="25910" xr:uid="{00000000-0005-0000-0000-000036650000}"/>
    <cellStyle name="Normal 2 3 2 10 3 9" xfId="25911" xr:uid="{00000000-0005-0000-0000-000037650000}"/>
    <cellStyle name="Normal 2 3 2 10 4" xfId="25912" xr:uid="{00000000-0005-0000-0000-000038650000}"/>
    <cellStyle name="Normal 2 3 2 10 4 10" xfId="25913" xr:uid="{00000000-0005-0000-0000-000039650000}"/>
    <cellStyle name="Normal 2 3 2 10 4 2" xfId="25914" xr:uid="{00000000-0005-0000-0000-00003A650000}"/>
    <cellStyle name="Normal 2 3 2 10 4 3" xfId="25915" xr:uid="{00000000-0005-0000-0000-00003B650000}"/>
    <cellStyle name="Normal 2 3 2 10 4 4" xfId="25916" xr:uid="{00000000-0005-0000-0000-00003C650000}"/>
    <cellStyle name="Normal 2 3 2 10 4 5" xfId="25917" xr:uid="{00000000-0005-0000-0000-00003D650000}"/>
    <cellStyle name="Normal 2 3 2 10 4 6" xfId="25918" xr:uid="{00000000-0005-0000-0000-00003E650000}"/>
    <cellStyle name="Normal 2 3 2 10 4 7" xfId="25919" xr:uid="{00000000-0005-0000-0000-00003F650000}"/>
    <cellStyle name="Normal 2 3 2 10 4 8" xfId="25920" xr:uid="{00000000-0005-0000-0000-000040650000}"/>
    <cellStyle name="Normal 2 3 2 10 4 9" xfId="25921" xr:uid="{00000000-0005-0000-0000-000041650000}"/>
    <cellStyle name="Normal 2 3 2 10 5" xfId="25922" xr:uid="{00000000-0005-0000-0000-000042650000}"/>
    <cellStyle name="Normal 2 3 2 10 5 10" xfId="25923" xr:uid="{00000000-0005-0000-0000-000043650000}"/>
    <cellStyle name="Normal 2 3 2 10 5 2" xfId="25924" xr:uid="{00000000-0005-0000-0000-000044650000}"/>
    <cellStyle name="Normal 2 3 2 10 5 3" xfId="25925" xr:uid="{00000000-0005-0000-0000-000045650000}"/>
    <cellStyle name="Normal 2 3 2 10 5 4" xfId="25926" xr:uid="{00000000-0005-0000-0000-000046650000}"/>
    <cellStyle name="Normal 2 3 2 10 5 5" xfId="25927" xr:uid="{00000000-0005-0000-0000-000047650000}"/>
    <cellStyle name="Normal 2 3 2 10 5 6" xfId="25928" xr:uid="{00000000-0005-0000-0000-000048650000}"/>
    <cellStyle name="Normal 2 3 2 10 5 7" xfId="25929" xr:uid="{00000000-0005-0000-0000-000049650000}"/>
    <cellStyle name="Normal 2 3 2 10 5 8" xfId="25930" xr:uid="{00000000-0005-0000-0000-00004A650000}"/>
    <cellStyle name="Normal 2 3 2 10 5 9" xfId="25931" xr:uid="{00000000-0005-0000-0000-00004B650000}"/>
    <cellStyle name="Normal 2 3 2 10 6" xfId="25932" xr:uid="{00000000-0005-0000-0000-00004C650000}"/>
    <cellStyle name="Normal 2 3 2 10 7" xfId="25933" xr:uid="{00000000-0005-0000-0000-00004D650000}"/>
    <cellStyle name="Normal 2 3 2 10 8" xfId="25934" xr:uid="{00000000-0005-0000-0000-00004E650000}"/>
    <cellStyle name="Normal 2 3 2 10 9" xfId="25935" xr:uid="{00000000-0005-0000-0000-00004F650000}"/>
    <cellStyle name="Normal 2 3 2 11" xfId="25936" xr:uid="{00000000-0005-0000-0000-000050650000}"/>
    <cellStyle name="Normal 2 3 2 11 10" xfId="25937" xr:uid="{00000000-0005-0000-0000-000051650000}"/>
    <cellStyle name="Normal 2 3 2 11 11" xfId="25938" xr:uid="{00000000-0005-0000-0000-000052650000}"/>
    <cellStyle name="Normal 2 3 2 11 12" xfId="25939" xr:uid="{00000000-0005-0000-0000-000053650000}"/>
    <cellStyle name="Normal 2 3 2 11 13" xfId="25940" xr:uid="{00000000-0005-0000-0000-000054650000}"/>
    <cellStyle name="Normal 2 3 2 11 14" xfId="25941" xr:uid="{00000000-0005-0000-0000-000055650000}"/>
    <cellStyle name="Normal 2 3 2 11 2" xfId="25942" xr:uid="{00000000-0005-0000-0000-000056650000}"/>
    <cellStyle name="Normal 2 3 2 11 2 10" xfId="25943" xr:uid="{00000000-0005-0000-0000-000057650000}"/>
    <cellStyle name="Normal 2 3 2 11 2 2" xfId="25944" xr:uid="{00000000-0005-0000-0000-000058650000}"/>
    <cellStyle name="Normal 2 3 2 11 2 3" xfId="25945" xr:uid="{00000000-0005-0000-0000-000059650000}"/>
    <cellStyle name="Normal 2 3 2 11 2 4" xfId="25946" xr:uid="{00000000-0005-0000-0000-00005A650000}"/>
    <cellStyle name="Normal 2 3 2 11 2 5" xfId="25947" xr:uid="{00000000-0005-0000-0000-00005B650000}"/>
    <cellStyle name="Normal 2 3 2 11 2 6" xfId="25948" xr:uid="{00000000-0005-0000-0000-00005C650000}"/>
    <cellStyle name="Normal 2 3 2 11 2 7" xfId="25949" xr:uid="{00000000-0005-0000-0000-00005D650000}"/>
    <cellStyle name="Normal 2 3 2 11 2 8" xfId="25950" xr:uid="{00000000-0005-0000-0000-00005E650000}"/>
    <cellStyle name="Normal 2 3 2 11 2 9" xfId="25951" xr:uid="{00000000-0005-0000-0000-00005F650000}"/>
    <cellStyle name="Normal 2 3 2 11 3" xfId="25952" xr:uid="{00000000-0005-0000-0000-000060650000}"/>
    <cellStyle name="Normal 2 3 2 11 3 10" xfId="25953" xr:uid="{00000000-0005-0000-0000-000061650000}"/>
    <cellStyle name="Normal 2 3 2 11 3 2" xfId="25954" xr:uid="{00000000-0005-0000-0000-000062650000}"/>
    <cellStyle name="Normal 2 3 2 11 3 3" xfId="25955" xr:uid="{00000000-0005-0000-0000-000063650000}"/>
    <cellStyle name="Normal 2 3 2 11 3 4" xfId="25956" xr:uid="{00000000-0005-0000-0000-000064650000}"/>
    <cellStyle name="Normal 2 3 2 11 3 5" xfId="25957" xr:uid="{00000000-0005-0000-0000-000065650000}"/>
    <cellStyle name="Normal 2 3 2 11 3 6" xfId="25958" xr:uid="{00000000-0005-0000-0000-000066650000}"/>
    <cellStyle name="Normal 2 3 2 11 3 7" xfId="25959" xr:uid="{00000000-0005-0000-0000-000067650000}"/>
    <cellStyle name="Normal 2 3 2 11 3 8" xfId="25960" xr:uid="{00000000-0005-0000-0000-000068650000}"/>
    <cellStyle name="Normal 2 3 2 11 3 9" xfId="25961" xr:uid="{00000000-0005-0000-0000-000069650000}"/>
    <cellStyle name="Normal 2 3 2 11 4" xfId="25962" xr:uid="{00000000-0005-0000-0000-00006A650000}"/>
    <cellStyle name="Normal 2 3 2 11 4 10" xfId="25963" xr:uid="{00000000-0005-0000-0000-00006B650000}"/>
    <cellStyle name="Normal 2 3 2 11 4 2" xfId="25964" xr:uid="{00000000-0005-0000-0000-00006C650000}"/>
    <cellStyle name="Normal 2 3 2 11 4 3" xfId="25965" xr:uid="{00000000-0005-0000-0000-00006D650000}"/>
    <cellStyle name="Normal 2 3 2 11 4 4" xfId="25966" xr:uid="{00000000-0005-0000-0000-00006E650000}"/>
    <cellStyle name="Normal 2 3 2 11 4 5" xfId="25967" xr:uid="{00000000-0005-0000-0000-00006F650000}"/>
    <cellStyle name="Normal 2 3 2 11 4 6" xfId="25968" xr:uid="{00000000-0005-0000-0000-000070650000}"/>
    <cellStyle name="Normal 2 3 2 11 4 7" xfId="25969" xr:uid="{00000000-0005-0000-0000-000071650000}"/>
    <cellStyle name="Normal 2 3 2 11 4 8" xfId="25970" xr:uid="{00000000-0005-0000-0000-000072650000}"/>
    <cellStyle name="Normal 2 3 2 11 4 9" xfId="25971" xr:uid="{00000000-0005-0000-0000-000073650000}"/>
    <cellStyle name="Normal 2 3 2 11 5" xfId="25972" xr:uid="{00000000-0005-0000-0000-000074650000}"/>
    <cellStyle name="Normal 2 3 2 11 5 10" xfId="25973" xr:uid="{00000000-0005-0000-0000-000075650000}"/>
    <cellStyle name="Normal 2 3 2 11 5 2" xfId="25974" xr:uid="{00000000-0005-0000-0000-000076650000}"/>
    <cellStyle name="Normal 2 3 2 11 5 3" xfId="25975" xr:uid="{00000000-0005-0000-0000-000077650000}"/>
    <cellStyle name="Normal 2 3 2 11 5 4" xfId="25976" xr:uid="{00000000-0005-0000-0000-000078650000}"/>
    <cellStyle name="Normal 2 3 2 11 5 5" xfId="25977" xr:uid="{00000000-0005-0000-0000-000079650000}"/>
    <cellStyle name="Normal 2 3 2 11 5 6" xfId="25978" xr:uid="{00000000-0005-0000-0000-00007A650000}"/>
    <cellStyle name="Normal 2 3 2 11 5 7" xfId="25979" xr:uid="{00000000-0005-0000-0000-00007B650000}"/>
    <cellStyle name="Normal 2 3 2 11 5 8" xfId="25980" xr:uid="{00000000-0005-0000-0000-00007C650000}"/>
    <cellStyle name="Normal 2 3 2 11 5 9" xfId="25981" xr:uid="{00000000-0005-0000-0000-00007D650000}"/>
    <cellStyle name="Normal 2 3 2 11 6" xfId="25982" xr:uid="{00000000-0005-0000-0000-00007E650000}"/>
    <cellStyle name="Normal 2 3 2 11 7" xfId="25983" xr:uid="{00000000-0005-0000-0000-00007F650000}"/>
    <cellStyle name="Normal 2 3 2 11 8" xfId="25984" xr:uid="{00000000-0005-0000-0000-000080650000}"/>
    <cellStyle name="Normal 2 3 2 11 9" xfId="25985" xr:uid="{00000000-0005-0000-0000-000081650000}"/>
    <cellStyle name="Normal 2 3 2 12" xfId="25986" xr:uid="{00000000-0005-0000-0000-000082650000}"/>
    <cellStyle name="Normal 2 3 2 12 10" xfId="25987" xr:uid="{00000000-0005-0000-0000-000083650000}"/>
    <cellStyle name="Normal 2 3 2 12 11" xfId="25988" xr:uid="{00000000-0005-0000-0000-000084650000}"/>
    <cellStyle name="Normal 2 3 2 12 12" xfId="25989" xr:uid="{00000000-0005-0000-0000-000085650000}"/>
    <cellStyle name="Normal 2 3 2 12 13" xfId="25990" xr:uid="{00000000-0005-0000-0000-000086650000}"/>
    <cellStyle name="Normal 2 3 2 12 14" xfId="25991" xr:uid="{00000000-0005-0000-0000-000087650000}"/>
    <cellStyle name="Normal 2 3 2 12 2" xfId="25992" xr:uid="{00000000-0005-0000-0000-000088650000}"/>
    <cellStyle name="Normal 2 3 2 12 2 10" xfId="25993" xr:uid="{00000000-0005-0000-0000-000089650000}"/>
    <cellStyle name="Normal 2 3 2 12 2 2" xfId="25994" xr:uid="{00000000-0005-0000-0000-00008A650000}"/>
    <cellStyle name="Normal 2 3 2 12 2 3" xfId="25995" xr:uid="{00000000-0005-0000-0000-00008B650000}"/>
    <cellStyle name="Normal 2 3 2 12 2 4" xfId="25996" xr:uid="{00000000-0005-0000-0000-00008C650000}"/>
    <cellStyle name="Normal 2 3 2 12 2 5" xfId="25997" xr:uid="{00000000-0005-0000-0000-00008D650000}"/>
    <cellStyle name="Normal 2 3 2 12 2 6" xfId="25998" xr:uid="{00000000-0005-0000-0000-00008E650000}"/>
    <cellStyle name="Normal 2 3 2 12 2 7" xfId="25999" xr:uid="{00000000-0005-0000-0000-00008F650000}"/>
    <cellStyle name="Normal 2 3 2 12 2 8" xfId="26000" xr:uid="{00000000-0005-0000-0000-000090650000}"/>
    <cellStyle name="Normal 2 3 2 12 2 9" xfId="26001" xr:uid="{00000000-0005-0000-0000-000091650000}"/>
    <cellStyle name="Normal 2 3 2 12 3" xfId="26002" xr:uid="{00000000-0005-0000-0000-000092650000}"/>
    <cellStyle name="Normal 2 3 2 12 3 10" xfId="26003" xr:uid="{00000000-0005-0000-0000-000093650000}"/>
    <cellStyle name="Normal 2 3 2 12 3 2" xfId="26004" xr:uid="{00000000-0005-0000-0000-000094650000}"/>
    <cellStyle name="Normal 2 3 2 12 3 3" xfId="26005" xr:uid="{00000000-0005-0000-0000-000095650000}"/>
    <cellStyle name="Normal 2 3 2 12 3 4" xfId="26006" xr:uid="{00000000-0005-0000-0000-000096650000}"/>
    <cellStyle name="Normal 2 3 2 12 3 5" xfId="26007" xr:uid="{00000000-0005-0000-0000-000097650000}"/>
    <cellStyle name="Normal 2 3 2 12 3 6" xfId="26008" xr:uid="{00000000-0005-0000-0000-000098650000}"/>
    <cellStyle name="Normal 2 3 2 12 3 7" xfId="26009" xr:uid="{00000000-0005-0000-0000-000099650000}"/>
    <cellStyle name="Normal 2 3 2 12 3 8" xfId="26010" xr:uid="{00000000-0005-0000-0000-00009A650000}"/>
    <cellStyle name="Normal 2 3 2 12 3 9" xfId="26011" xr:uid="{00000000-0005-0000-0000-00009B650000}"/>
    <cellStyle name="Normal 2 3 2 12 4" xfId="26012" xr:uid="{00000000-0005-0000-0000-00009C650000}"/>
    <cellStyle name="Normal 2 3 2 12 4 10" xfId="26013" xr:uid="{00000000-0005-0000-0000-00009D650000}"/>
    <cellStyle name="Normal 2 3 2 12 4 2" xfId="26014" xr:uid="{00000000-0005-0000-0000-00009E650000}"/>
    <cellStyle name="Normal 2 3 2 12 4 3" xfId="26015" xr:uid="{00000000-0005-0000-0000-00009F650000}"/>
    <cellStyle name="Normal 2 3 2 12 4 4" xfId="26016" xr:uid="{00000000-0005-0000-0000-0000A0650000}"/>
    <cellStyle name="Normal 2 3 2 12 4 5" xfId="26017" xr:uid="{00000000-0005-0000-0000-0000A1650000}"/>
    <cellStyle name="Normal 2 3 2 12 4 6" xfId="26018" xr:uid="{00000000-0005-0000-0000-0000A2650000}"/>
    <cellStyle name="Normal 2 3 2 12 4 7" xfId="26019" xr:uid="{00000000-0005-0000-0000-0000A3650000}"/>
    <cellStyle name="Normal 2 3 2 12 4 8" xfId="26020" xr:uid="{00000000-0005-0000-0000-0000A4650000}"/>
    <cellStyle name="Normal 2 3 2 12 4 9" xfId="26021" xr:uid="{00000000-0005-0000-0000-0000A5650000}"/>
    <cellStyle name="Normal 2 3 2 12 5" xfId="26022" xr:uid="{00000000-0005-0000-0000-0000A6650000}"/>
    <cellStyle name="Normal 2 3 2 12 5 10" xfId="26023" xr:uid="{00000000-0005-0000-0000-0000A7650000}"/>
    <cellStyle name="Normal 2 3 2 12 5 2" xfId="26024" xr:uid="{00000000-0005-0000-0000-0000A8650000}"/>
    <cellStyle name="Normal 2 3 2 12 5 3" xfId="26025" xr:uid="{00000000-0005-0000-0000-0000A9650000}"/>
    <cellStyle name="Normal 2 3 2 12 5 4" xfId="26026" xr:uid="{00000000-0005-0000-0000-0000AA650000}"/>
    <cellStyle name="Normal 2 3 2 12 5 5" xfId="26027" xr:uid="{00000000-0005-0000-0000-0000AB650000}"/>
    <cellStyle name="Normal 2 3 2 12 5 6" xfId="26028" xr:uid="{00000000-0005-0000-0000-0000AC650000}"/>
    <cellStyle name="Normal 2 3 2 12 5 7" xfId="26029" xr:uid="{00000000-0005-0000-0000-0000AD650000}"/>
    <cellStyle name="Normal 2 3 2 12 5 8" xfId="26030" xr:uid="{00000000-0005-0000-0000-0000AE650000}"/>
    <cellStyle name="Normal 2 3 2 12 5 9" xfId="26031" xr:uid="{00000000-0005-0000-0000-0000AF650000}"/>
    <cellStyle name="Normal 2 3 2 12 6" xfId="26032" xr:uid="{00000000-0005-0000-0000-0000B0650000}"/>
    <cellStyle name="Normal 2 3 2 12 7" xfId="26033" xr:uid="{00000000-0005-0000-0000-0000B1650000}"/>
    <cellStyle name="Normal 2 3 2 12 8" xfId="26034" xr:uid="{00000000-0005-0000-0000-0000B2650000}"/>
    <cellStyle name="Normal 2 3 2 12 9" xfId="26035" xr:uid="{00000000-0005-0000-0000-0000B3650000}"/>
    <cellStyle name="Normal 2 3 2 13" xfId="26036" xr:uid="{00000000-0005-0000-0000-0000B4650000}"/>
    <cellStyle name="Normal 2 3 2 13 10" xfId="26037" xr:uid="{00000000-0005-0000-0000-0000B5650000}"/>
    <cellStyle name="Normal 2 3 2 13 11" xfId="26038" xr:uid="{00000000-0005-0000-0000-0000B6650000}"/>
    <cellStyle name="Normal 2 3 2 13 12" xfId="26039" xr:uid="{00000000-0005-0000-0000-0000B7650000}"/>
    <cellStyle name="Normal 2 3 2 13 13" xfId="26040" xr:uid="{00000000-0005-0000-0000-0000B8650000}"/>
    <cellStyle name="Normal 2 3 2 13 14" xfId="26041" xr:uid="{00000000-0005-0000-0000-0000B9650000}"/>
    <cellStyle name="Normal 2 3 2 13 2" xfId="26042" xr:uid="{00000000-0005-0000-0000-0000BA650000}"/>
    <cellStyle name="Normal 2 3 2 13 2 10" xfId="26043" xr:uid="{00000000-0005-0000-0000-0000BB650000}"/>
    <cellStyle name="Normal 2 3 2 13 2 2" xfId="26044" xr:uid="{00000000-0005-0000-0000-0000BC650000}"/>
    <cellStyle name="Normal 2 3 2 13 2 3" xfId="26045" xr:uid="{00000000-0005-0000-0000-0000BD650000}"/>
    <cellStyle name="Normal 2 3 2 13 2 4" xfId="26046" xr:uid="{00000000-0005-0000-0000-0000BE650000}"/>
    <cellStyle name="Normal 2 3 2 13 2 5" xfId="26047" xr:uid="{00000000-0005-0000-0000-0000BF650000}"/>
    <cellStyle name="Normal 2 3 2 13 2 6" xfId="26048" xr:uid="{00000000-0005-0000-0000-0000C0650000}"/>
    <cellStyle name="Normal 2 3 2 13 2 7" xfId="26049" xr:uid="{00000000-0005-0000-0000-0000C1650000}"/>
    <cellStyle name="Normal 2 3 2 13 2 8" xfId="26050" xr:uid="{00000000-0005-0000-0000-0000C2650000}"/>
    <cellStyle name="Normal 2 3 2 13 2 9" xfId="26051" xr:uid="{00000000-0005-0000-0000-0000C3650000}"/>
    <cellStyle name="Normal 2 3 2 13 3" xfId="26052" xr:uid="{00000000-0005-0000-0000-0000C4650000}"/>
    <cellStyle name="Normal 2 3 2 13 3 10" xfId="26053" xr:uid="{00000000-0005-0000-0000-0000C5650000}"/>
    <cellStyle name="Normal 2 3 2 13 3 2" xfId="26054" xr:uid="{00000000-0005-0000-0000-0000C6650000}"/>
    <cellStyle name="Normal 2 3 2 13 3 3" xfId="26055" xr:uid="{00000000-0005-0000-0000-0000C7650000}"/>
    <cellStyle name="Normal 2 3 2 13 3 4" xfId="26056" xr:uid="{00000000-0005-0000-0000-0000C8650000}"/>
    <cellStyle name="Normal 2 3 2 13 3 5" xfId="26057" xr:uid="{00000000-0005-0000-0000-0000C9650000}"/>
    <cellStyle name="Normal 2 3 2 13 3 6" xfId="26058" xr:uid="{00000000-0005-0000-0000-0000CA650000}"/>
    <cellStyle name="Normal 2 3 2 13 3 7" xfId="26059" xr:uid="{00000000-0005-0000-0000-0000CB650000}"/>
    <cellStyle name="Normal 2 3 2 13 3 8" xfId="26060" xr:uid="{00000000-0005-0000-0000-0000CC650000}"/>
    <cellStyle name="Normal 2 3 2 13 3 9" xfId="26061" xr:uid="{00000000-0005-0000-0000-0000CD650000}"/>
    <cellStyle name="Normal 2 3 2 13 4" xfId="26062" xr:uid="{00000000-0005-0000-0000-0000CE650000}"/>
    <cellStyle name="Normal 2 3 2 13 4 10" xfId="26063" xr:uid="{00000000-0005-0000-0000-0000CF650000}"/>
    <cellStyle name="Normal 2 3 2 13 4 2" xfId="26064" xr:uid="{00000000-0005-0000-0000-0000D0650000}"/>
    <cellStyle name="Normal 2 3 2 13 4 3" xfId="26065" xr:uid="{00000000-0005-0000-0000-0000D1650000}"/>
    <cellStyle name="Normal 2 3 2 13 4 4" xfId="26066" xr:uid="{00000000-0005-0000-0000-0000D2650000}"/>
    <cellStyle name="Normal 2 3 2 13 4 5" xfId="26067" xr:uid="{00000000-0005-0000-0000-0000D3650000}"/>
    <cellStyle name="Normal 2 3 2 13 4 6" xfId="26068" xr:uid="{00000000-0005-0000-0000-0000D4650000}"/>
    <cellStyle name="Normal 2 3 2 13 4 7" xfId="26069" xr:uid="{00000000-0005-0000-0000-0000D5650000}"/>
    <cellStyle name="Normal 2 3 2 13 4 8" xfId="26070" xr:uid="{00000000-0005-0000-0000-0000D6650000}"/>
    <cellStyle name="Normal 2 3 2 13 4 9" xfId="26071" xr:uid="{00000000-0005-0000-0000-0000D7650000}"/>
    <cellStyle name="Normal 2 3 2 13 5" xfId="26072" xr:uid="{00000000-0005-0000-0000-0000D8650000}"/>
    <cellStyle name="Normal 2 3 2 13 5 10" xfId="26073" xr:uid="{00000000-0005-0000-0000-0000D9650000}"/>
    <cellStyle name="Normal 2 3 2 13 5 2" xfId="26074" xr:uid="{00000000-0005-0000-0000-0000DA650000}"/>
    <cellStyle name="Normal 2 3 2 13 5 3" xfId="26075" xr:uid="{00000000-0005-0000-0000-0000DB650000}"/>
    <cellStyle name="Normal 2 3 2 13 5 4" xfId="26076" xr:uid="{00000000-0005-0000-0000-0000DC650000}"/>
    <cellStyle name="Normal 2 3 2 13 5 5" xfId="26077" xr:uid="{00000000-0005-0000-0000-0000DD650000}"/>
    <cellStyle name="Normal 2 3 2 13 5 6" xfId="26078" xr:uid="{00000000-0005-0000-0000-0000DE650000}"/>
    <cellStyle name="Normal 2 3 2 13 5 7" xfId="26079" xr:uid="{00000000-0005-0000-0000-0000DF650000}"/>
    <cellStyle name="Normal 2 3 2 13 5 8" xfId="26080" xr:uid="{00000000-0005-0000-0000-0000E0650000}"/>
    <cellStyle name="Normal 2 3 2 13 5 9" xfId="26081" xr:uid="{00000000-0005-0000-0000-0000E1650000}"/>
    <cellStyle name="Normal 2 3 2 13 6" xfId="26082" xr:uid="{00000000-0005-0000-0000-0000E2650000}"/>
    <cellStyle name="Normal 2 3 2 13 7" xfId="26083" xr:uid="{00000000-0005-0000-0000-0000E3650000}"/>
    <cellStyle name="Normal 2 3 2 13 8" xfId="26084" xr:uid="{00000000-0005-0000-0000-0000E4650000}"/>
    <cellStyle name="Normal 2 3 2 13 9" xfId="26085" xr:uid="{00000000-0005-0000-0000-0000E5650000}"/>
    <cellStyle name="Normal 2 3 2 14" xfId="26086" xr:uid="{00000000-0005-0000-0000-0000E6650000}"/>
    <cellStyle name="Normal 2 3 2 14 10" xfId="26087" xr:uid="{00000000-0005-0000-0000-0000E7650000}"/>
    <cellStyle name="Normal 2 3 2 14 11" xfId="26088" xr:uid="{00000000-0005-0000-0000-0000E8650000}"/>
    <cellStyle name="Normal 2 3 2 14 12" xfId="26089" xr:uid="{00000000-0005-0000-0000-0000E9650000}"/>
    <cellStyle name="Normal 2 3 2 14 13" xfId="26090" xr:uid="{00000000-0005-0000-0000-0000EA650000}"/>
    <cellStyle name="Normal 2 3 2 14 14" xfId="26091" xr:uid="{00000000-0005-0000-0000-0000EB650000}"/>
    <cellStyle name="Normal 2 3 2 14 2" xfId="26092" xr:uid="{00000000-0005-0000-0000-0000EC650000}"/>
    <cellStyle name="Normal 2 3 2 14 2 10" xfId="26093" xr:uid="{00000000-0005-0000-0000-0000ED650000}"/>
    <cellStyle name="Normal 2 3 2 14 2 2" xfId="26094" xr:uid="{00000000-0005-0000-0000-0000EE650000}"/>
    <cellStyle name="Normal 2 3 2 14 2 3" xfId="26095" xr:uid="{00000000-0005-0000-0000-0000EF650000}"/>
    <cellStyle name="Normal 2 3 2 14 2 4" xfId="26096" xr:uid="{00000000-0005-0000-0000-0000F0650000}"/>
    <cellStyle name="Normal 2 3 2 14 2 5" xfId="26097" xr:uid="{00000000-0005-0000-0000-0000F1650000}"/>
    <cellStyle name="Normal 2 3 2 14 2 6" xfId="26098" xr:uid="{00000000-0005-0000-0000-0000F2650000}"/>
    <cellStyle name="Normal 2 3 2 14 2 7" xfId="26099" xr:uid="{00000000-0005-0000-0000-0000F3650000}"/>
    <cellStyle name="Normal 2 3 2 14 2 8" xfId="26100" xr:uid="{00000000-0005-0000-0000-0000F4650000}"/>
    <cellStyle name="Normal 2 3 2 14 2 9" xfId="26101" xr:uid="{00000000-0005-0000-0000-0000F5650000}"/>
    <cellStyle name="Normal 2 3 2 14 3" xfId="26102" xr:uid="{00000000-0005-0000-0000-0000F6650000}"/>
    <cellStyle name="Normal 2 3 2 14 3 10" xfId="26103" xr:uid="{00000000-0005-0000-0000-0000F7650000}"/>
    <cellStyle name="Normal 2 3 2 14 3 2" xfId="26104" xr:uid="{00000000-0005-0000-0000-0000F8650000}"/>
    <cellStyle name="Normal 2 3 2 14 3 3" xfId="26105" xr:uid="{00000000-0005-0000-0000-0000F9650000}"/>
    <cellStyle name="Normal 2 3 2 14 3 4" xfId="26106" xr:uid="{00000000-0005-0000-0000-0000FA650000}"/>
    <cellStyle name="Normal 2 3 2 14 3 5" xfId="26107" xr:uid="{00000000-0005-0000-0000-0000FB650000}"/>
    <cellStyle name="Normal 2 3 2 14 3 6" xfId="26108" xr:uid="{00000000-0005-0000-0000-0000FC650000}"/>
    <cellStyle name="Normal 2 3 2 14 3 7" xfId="26109" xr:uid="{00000000-0005-0000-0000-0000FD650000}"/>
    <cellStyle name="Normal 2 3 2 14 3 8" xfId="26110" xr:uid="{00000000-0005-0000-0000-0000FE650000}"/>
    <cellStyle name="Normal 2 3 2 14 3 9" xfId="26111" xr:uid="{00000000-0005-0000-0000-0000FF650000}"/>
    <cellStyle name="Normal 2 3 2 14 4" xfId="26112" xr:uid="{00000000-0005-0000-0000-000000660000}"/>
    <cellStyle name="Normal 2 3 2 14 4 10" xfId="26113" xr:uid="{00000000-0005-0000-0000-000001660000}"/>
    <cellStyle name="Normal 2 3 2 14 4 2" xfId="26114" xr:uid="{00000000-0005-0000-0000-000002660000}"/>
    <cellStyle name="Normal 2 3 2 14 4 3" xfId="26115" xr:uid="{00000000-0005-0000-0000-000003660000}"/>
    <cellStyle name="Normal 2 3 2 14 4 4" xfId="26116" xr:uid="{00000000-0005-0000-0000-000004660000}"/>
    <cellStyle name="Normal 2 3 2 14 4 5" xfId="26117" xr:uid="{00000000-0005-0000-0000-000005660000}"/>
    <cellStyle name="Normal 2 3 2 14 4 6" xfId="26118" xr:uid="{00000000-0005-0000-0000-000006660000}"/>
    <cellStyle name="Normal 2 3 2 14 4 7" xfId="26119" xr:uid="{00000000-0005-0000-0000-000007660000}"/>
    <cellStyle name="Normal 2 3 2 14 4 8" xfId="26120" xr:uid="{00000000-0005-0000-0000-000008660000}"/>
    <cellStyle name="Normal 2 3 2 14 4 9" xfId="26121" xr:uid="{00000000-0005-0000-0000-000009660000}"/>
    <cellStyle name="Normal 2 3 2 14 5" xfId="26122" xr:uid="{00000000-0005-0000-0000-00000A660000}"/>
    <cellStyle name="Normal 2 3 2 14 5 10" xfId="26123" xr:uid="{00000000-0005-0000-0000-00000B660000}"/>
    <cellStyle name="Normal 2 3 2 14 5 2" xfId="26124" xr:uid="{00000000-0005-0000-0000-00000C660000}"/>
    <cellStyle name="Normal 2 3 2 14 5 3" xfId="26125" xr:uid="{00000000-0005-0000-0000-00000D660000}"/>
    <cellStyle name="Normal 2 3 2 14 5 4" xfId="26126" xr:uid="{00000000-0005-0000-0000-00000E660000}"/>
    <cellStyle name="Normal 2 3 2 14 5 5" xfId="26127" xr:uid="{00000000-0005-0000-0000-00000F660000}"/>
    <cellStyle name="Normal 2 3 2 14 5 6" xfId="26128" xr:uid="{00000000-0005-0000-0000-000010660000}"/>
    <cellStyle name="Normal 2 3 2 14 5 7" xfId="26129" xr:uid="{00000000-0005-0000-0000-000011660000}"/>
    <cellStyle name="Normal 2 3 2 14 5 8" xfId="26130" xr:uid="{00000000-0005-0000-0000-000012660000}"/>
    <cellStyle name="Normal 2 3 2 14 5 9" xfId="26131" xr:uid="{00000000-0005-0000-0000-000013660000}"/>
    <cellStyle name="Normal 2 3 2 14 6" xfId="26132" xr:uid="{00000000-0005-0000-0000-000014660000}"/>
    <cellStyle name="Normal 2 3 2 14 7" xfId="26133" xr:uid="{00000000-0005-0000-0000-000015660000}"/>
    <cellStyle name="Normal 2 3 2 14 8" xfId="26134" xr:uid="{00000000-0005-0000-0000-000016660000}"/>
    <cellStyle name="Normal 2 3 2 14 9" xfId="26135" xr:uid="{00000000-0005-0000-0000-000017660000}"/>
    <cellStyle name="Normal 2 3 2 15" xfId="26136" xr:uid="{00000000-0005-0000-0000-000018660000}"/>
    <cellStyle name="Normal 2 3 2 15 10" xfId="26137" xr:uid="{00000000-0005-0000-0000-000019660000}"/>
    <cellStyle name="Normal 2 3 2 15 11" xfId="26138" xr:uid="{00000000-0005-0000-0000-00001A660000}"/>
    <cellStyle name="Normal 2 3 2 15 12" xfId="26139" xr:uid="{00000000-0005-0000-0000-00001B660000}"/>
    <cellStyle name="Normal 2 3 2 15 13" xfId="26140" xr:uid="{00000000-0005-0000-0000-00001C660000}"/>
    <cellStyle name="Normal 2 3 2 15 14" xfId="26141" xr:uid="{00000000-0005-0000-0000-00001D660000}"/>
    <cellStyle name="Normal 2 3 2 15 2" xfId="26142" xr:uid="{00000000-0005-0000-0000-00001E660000}"/>
    <cellStyle name="Normal 2 3 2 15 2 10" xfId="26143" xr:uid="{00000000-0005-0000-0000-00001F660000}"/>
    <cellStyle name="Normal 2 3 2 15 2 2" xfId="26144" xr:uid="{00000000-0005-0000-0000-000020660000}"/>
    <cellStyle name="Normal 2 3 2 15 2 3" xfId="26145" xr:uid="{00000000-0005-0000-0000-000021660000}"/>
    <cellStyle name="Normal 2 3 2 15 2 4" xfId="26146" xr:uid="{00000000-0005-0000-0000-000022660000}"/>
    <cellStyle name="Normal 2 3 2 15 2 5" xfId="26147" xr:uid="{00000000-0005-0000-0000-000023660000}"/>
    <cellStyle name="Normal 2 3 2 15 2 6" xfId="26148" xr:uid="{00000000-0005-0000-0000-000024660000}"/>
    <cellStyle name="Normal 2 3 2 15 2 7" xfId="26149" xr:uid="{00000000-0005-0000-0000-000025660000}"/>
    <cellStyle name="Normal 2 3 2 15 2 8" xfId="26150" xr:uid="{00000000-0005-0000-0000-000026660000}"/>
    <cellStyle name="Normal 2 3 2 15 2 9" xfId="26151" xr:uid="{00000000-0005-0000-0000-000027660000}"/>
    <cellStyle name="Normal 2 3 2 15 3" xfId="26152" xr:uid="{00000000-0005-0000-0000-000028660000}"/>
    <cellStyle name="Normal 2 3 2 15 3 10" xfId="26153" xr:uid="{00000000-0005-0000-0000-000029660000}"/>
    <cellStyle name="Normal 2 3 2 15 3 2" xfId="26154" xr:uid="{00000000-0005-0000-0000-00002A660000}"/>
    <cellStyle name="Normal 2 3 2 15 3 3" xfId="26155" xr:uid="{00000000-0005-0000-0000-00002B660000}"/>
    <cellStyle name="Normal 2 3 2 15 3 4" xfId="26156" xr:uid="{00000000-0005-0000-0000-00002C660000}"/>
    <cellStyle name="Normal 2 3 2 15 3 5" xfId="26157" xr:uid="{00000000-0005-0000-0000-00002D660000}"/>
    <cellStyle name="Normal 2 3 2 15 3 6" xfId="26158" xr:uid="{00000000-0005-0000-0000-00002E660000}"/>
    <cellStyle name="Normal 2 3 2 15 3 7" xfId="26159" xr:uid="{00000000-0005-0000-0000-00002F660000}"/>
    <cellStyle name="Normal 2 3 2 15 3 8" xfId="26160" xr:uid="{00000000-0005-0000-0000-000030660000}"/>
    <cellStyle name="Normal 2 3 2 15 3 9" xfId="26161" xr:uid="{00000000-0005-0000-0000-000031660000}"/>
    <cellStyle name="Normal 2 3 2 15 4" xfId="26162" xr:uid="{00000000-0005-0000-0000-000032660000}"/>
    <cellStyle name="Normal 2 3 2 15 4 10" xfId="26163" xr:uid="{00000000-0005-0000-0000-000033660000}"/>
    <cellStyle name="Normal 2 3 2 15 4 2" xfId="26164" xr:uid="{00000000-0005-0000-0000-000034660000}"/>
    <cellStyle name="Normal 2 3 2 15 4 3" xfId="26165" xr:uid="{00000000-0005-0000-0000-000035660000}"/>
    <cellStyle name="Normal 2 3 2 15 4 4" xfId="26166" xr:uid="{00000000-0005-0000-0000-000036660000}"/>
    <cellStyle name="Normal 2 3 2 15 4 5" xfId="26167" xr:uid="{00000000-0005-0000-0000-000037660000}"/>
    <cellStyle name="Normal 2 3 2 15 4 6" xfId="26168" xr:uid="{00000000-0005-0000-0000-000038660000}"/>
    <cellStyle name="Normal 2 3 2 15 4 7" xfId="26169" xr:uid="{00000000-0005-0000-0000-000039660000}"/>
    <cellStyle name="Normal 2 3 2 15 4 8" xfId="26170" xr:uid="{00000000-0005-0000-0000-00003A660000}"/>
    <cellStyle name="Normal 2 3 2 15 4 9" xfId="26171" xr:uid="{00000000-0005-0000-0000-00003B660000}"/>
    <cellStyle name="Normal 2 3 2 15 5" xfId="26172" xr:uid="{00000000-0005-0000-0000-00003C660000}"/>
    <cellStyle name="Normal 2 3 2 15 5 10" xfId="26173" xr:uid="{00000000-0005-0000-0000-00003D660000}"/>
    <cellStyle name="Normal 2 3 2 15 5 2" xfId="26174" xr:uid="{00000000-0005-0000-0000-00003E660000}"/>
    <cellStyle name="Normal 2 3 2 15 5 3" xfId="26175" xr:uid="{00000000-0005-0000-0000-00003F660000}"/>
    <cellStyle name="Normal 2 3 2 15 5 4" xfId="26176" xr:uid="{00000000-0005-0000-0000-000040660000}"/>
    <cellStyle name="Normal 2 3 2 15 5 5" xfId="26177" xr:uid="{00000000-0005-0000-0000-000041660000}"/>
    <cellStyle name="Normal 2 3 2 15 5 6" xfId="26178" xr:uid="{00000000-0005-0000-0000-000042660000}"/>
    <cellStyle name="Normal 2 3 2 15 5 7" xfId="26179" xr:uid="{00000000-0005-0000-0000-000043660000}"/>
    <cellStyle name="Normal 2 3 2 15 5 8" xfId="26180" xr:uid="{00000000-0005-0000-0000-000044660000}"/>
    <cellStyle name="Normal 2 3 2 15 5 9" xfId="26181" xr:uid="{00000000-0005-0000-0000-000045660000}"/>
    <cellStyle name="Normal 2 3 2 15 6" xfId="26182" xr:uid="{00000000-0005-0000-0000-000046660000}"/>
    <cellStyle name="Normal 2 3 2 15 7" xfId="26183" xr:uid="{00000000-0005-0000-0000-000047660000}"/>
    <cellStyle name="Normal 2 3 2 15 8" xfId="26184" xr:uid="{00000000-0005-0000-0000-000048660000}"/>
    <cellStyle name="Normal 2 3 2 15 9" xfId="26185" xr:uid="{00000000-0005-0000-0000-000049660000}"/>
    <cellStyle name="Normal 2 3 2 16" xfId="26186" xr:uid="{00000000-0005-0000-0000-00004A660000}"/>
    <cellStyle name="Normal 2 3 2 16 10" xfId="26187" xr:uid="{00000000-0005-0000-0000-00004B660000}"/>
    <cellStyle name="Normal 2 3 2 16 11" xfId="26188" xr:uid="{00000000-0005-0000-0000-00004C660000}"/>
    <cellStyle name="Normal 2 3 2 16 12" xfId="26189" xr:uid="{00000000-0005-0000-0000-00004D660000}"/>
    <cellStyle name="Normal 2 3 2 16 13" xfId="26190" xr:uid="{00000000-0005-0000-0000-00004E660000}"/>
    <cellStyle name="Normal 2 3 2 16 14" xfId="26191" xr:uid="{00000000-0005-0000-0000-00004F660000}"/>
    <cellStyle name="Normal 2 3 2 16 2" xfId="26192" xr:uid="{00000000-0005-0000-0000-000050660000}"/>
    <cellStyle name="Normal 2 3 2 16 2 10" xfId="26193" xr:uid="{00000000-0005-0000-0000-000051660000}"/>
    <cellStyle name="Normal 2 3 2 16 2 2" xfId="26194" xr:uid="{00000000-0005-0000-0000-000052660000}"/>
    <cellStyle name="Normal 2 3 2 16 2 3" xfId="26195" xr:uid="{00000000-0005-0000-0000-000053660000}"/>
    <cellStyle name="Normal 2 3 2 16 2 4" xfId="26196" xr:uid="{00000000-0005-0000-0000-000054660000}"/>
    <cellStyle name="Normal 2 3 2 16 2 5" xfId="26197" xr:uid="{00000000-0005-0000-0000-000055660000}"/>
    <cellStyle name="Normal 2 3 2 16 2 6" xfId="26198" xr:uid="{00000000-0005-0000-0000-000056660000}"/>
    <cellStyle name="Normal 2 3 2 16 2 7" xfId="26199" xr:uid="{00000000-0005-0000-0000-000057660000}"/>
    <cellStyle name="Normal 2 3 2 16 2 8" xfId="26200" xr:uid="{00000000-0005-0000-0000-000058660000}"/>
    <cellStyle name="Normal 2 3 2 16 2 9" xfId="26201" xr:uid="{00000000-0005-0000-0000-000059660000}"/>
    <cellStyle name="Normal 2 3 2 16 3" xfId="26202" xr:uid="{00000000-0005-0000-0000-00005A660000}"/>
    <cellStyle name="Normal 2 3 2 16 3 10" xfId="26203" xr:uid="{00000000-0005-0000-0000-00005B660000}"/>
    <cellStyle name="Normal 2 3 2 16 3 2" xfId="26204" xr:uid="{00000000-0005-0000-0000-00005C660000}"/>
    <cellStyle name="Normal 2 3 2 16 3 3" xfId="26205" xr:uid="{00000000-0005-0000-0000-00005D660000}"/>
    <cellStyle name="Normal 2 3 2 16 3 4" xfId="26206" xr:uid="{00000000-0005-0000-0000-00005E660000}"/>
    <cellStyle name="Normal 2 3 2 16 3 5" xfId="26207" xr:uid="{00000000-0005-0000-0000-00005F660000}"/>
    <cellStyle name="Normal 2 3 2 16 3 6" xfId="26208" xr:uid="{00000000-0005-0000-0000-000060660000}"/>
    <cellStyle name="Normal 2 3 2 16 3 7" xfId="26209" xr:uid="{00000000-0005-0000-0000-000061660000}"/>
    <cellStyle name="Normal 2 3 2 16 3 8" xfId="26210" xr:uid="{00000000-0005-0000-0000-000062660000}"/>
    <cellStyle name="Normal 2 3 2 16 3 9" xfId="26211" xr:uid="{00000000-0005-0000-0000-000063660000}"/>
    <cellStyle name="Normal 2 3 2 16 4" xfId="26212" xr:uid="{00000000-0005-0000-0000-000064660000}"/>
    <cellStyle name="Normal 2 3 2 16 4 10" xfId="26213" xr:uid="{00000000-0005-0000-0000-000065660000}"/>
    <cellStyle name="Normal 2 3 2 16 4 2" xfId="26214" xr:uid="{00000000-0005-0000-0000-000066660000}"/>
    <cellStyle name="Normal 2 3 2 16 4 3" xfId="26215" xr:uid="{00000000-0005-0000-0000-000067660000}"/>
    <cellStyle name="Normal 2 3 2 16 4 4" xfId="26216" xr:uid="{00000000-0005-0000-0000-000068660000}"/>
    <cellStyle name="Normal 2 3 2 16 4 5" xfId="26217" xr:uid="{00000000-0005-0000-0000-000069660000}"/>
    <cellStyle name="Normal 2 3 2 16 4 6" xfId="26218" xr:uid="{00000000-0005-0000-0000-00006A660000}"/>
    <cellStyle name="Normal 2 3 2 16 4 7" xfId="26219" xr:uid="{00000000-0005-0000-0000-00006B660000}"/>
    <cellStyle name="Normal 2 3 2 16 4 8" xfId="26220" xr:uid="{00000000-0005-0000-0000-00006C660000}"/>
    <cellStyle name="Normal 2 3 2 16 4 9" xfId="26221" xr:uid="{00000000-0005-0000-0000-00006D660000}"/>
    <cellStyle name="Normal 2 3 2 16 5" xfId="26222" xr:uid="{00000000-0005-0000-0000-00006E660000}"/>
    <cellStyle name="Normal 2 3 2 16 5 10" xfId="26223" xr:uid="{00000000-0005-0000-0000-00006F660000}"/>
    <cellStyle name="Normal 2 3 2 16 5 2" xfId="26224" xr:uid="{00000000-0005-0000-0000-000070660000}"/>
    <cellStyle name="Normal 2 3 2 16 5 3" xfId="26225" xr:uid="{00000000-0005-0000-0000-000071660000}"/>
    <cellStyle name="Normal 2 3 2 16 5 4" xfId="26226" xr:uid="{00000000-0005-0000-0000-000072660000}"/>
    <cellStyle name="Normal 2 3 2 16 5 5" xfId="26227" xr:uid="{00000000-0005-0000-0000-000073660000}"/>
    <cellStyle name="Normal 2 3 2 16 5 6" xfId="26228" xr:uid="{00000000-0005-0000-0000-000074660000}"/>
    <cellStyle name="Normal 2 3 2 16 5 7" xfId="26229" xr:uid="{00000000-0005-0000-0000-000075660000}"/>
    <cellStyle name="Normal 2 3 2 16 5 8" xfId="26230" xr:uid="{00000000-0005-0000-0000-000076660000}"/>
    <cellStyle name="Normal 2 3 2 16 5 9" xfId="26231" xr:uid="{00000000-0005-0000-0000-000077660000}"/>
    <cellStyle name="Normal 2 3 2 16 6" xfId="26232" xr:uid="{00000000-0005-0000-0000-000078660000}"/>
    <cellStyle name="Normal 2 3 2 16 7" xfId="26233" xr:uid="{00000000-0005-0000-0000-000079660000}"/>
    <cellStyle name="Normal 2 3 2 16 8" xfId="26234" xr:uid="{00000000-0005-0000-0000-00007A660000}"/>
    <cellStyle name="Normal 2 3 2 16 9" xfId="26235" xr:uid="{00000000-0005-0000-0000-00007B660000}"/>
    <cellStyle name="Normal 2 3 2 17" xfId="26236" xr:uid="{00000000-0005-0000-0000-00007C660000}"/>
    <cellStyle name="Normal 2 3 2 17 10" xfId="26237" xr:uid="{00000000-0005-0000-0000-00007D660000}"/>
    <cellStyle name="Normal 2 3 2 17 11" xfId="26238" xr:uid="{00000000-0005-0000-0000-00007E660000}"/>
    <cellStyle name="Normal 2 3 2 17 12" xfId="26239" xr:uid="{00000000-0005-0000-0000-00007F660000}"/>
    <cellStyle name="Normal 2 3 2 17 13" xfId="26240" xr:uid="{00000000-0005-0000-0000-000080660000}"/>
    <cellStyle name="Normal 2 3 2 17 14" xfId="26241" xr:uid="{00000000-0005-0000-0000-000081660000}"/>
    <cellStyle name="Normal 2 3 2 17 2" xfId="26242" xr:uid="{00000000-0005-0000-0000-000082660000}"/>
    <cellStyle name="Normal 2 3 2 17 2 10" xfId="26243" xr:uid="{00000000-0005-0000-0000-000083660000}"/>
    <cellStyle name="Normal 2 3 2 17 2 2" xfId="26244" xr:uid="{00000000-0005-0000-0000-000084660000}"/>
    <cellStyle name="Normal 2 3 2 17 2 3" xfId="26245" xr:uid="{00000000-0005-0000-0000-000085660000}"/>
    <cellStyle name="Normal 2 3 2 17 2 4" xfId="26246" xr:uid="{00000000-0005-0000-0000-000086660000}"/>
    <cellStyle name="Normal 2 3 2 17 2 5" xfId="26247" xr:uid="{00000000-0005-0000-0000-000087660000}"/>
    <cellStyle name="Normal 2 3 2 17 2 6" xfId="26248" xr:uid="{00000000-0005-0000-0000-000088660000}"/>
    <cellStyle name="Normal 2 3 2 17 2 7" xfId="26249" xr:uid="{00000000-0005-0000-0000-000089660000}"/>
    <cellStyle name="Normal 2 3 2 17 2 8" xfId="26250" xr:uid="{00000000-0005-0000-0000-00008A660000}"/>
    <cellStyle name="Normal 2 3 2 17 2 9" xfId="26251" xr:uid="{00000000-0005-0000-0000-00008B660000}"/>
    <cellStyle name="Normal 2 3 2 17 3" xfId="26252" xr:uid="{00000000-0005-0000-0000-00008C660000}"/>
    <cellStyle name="Normal 2 3 2 17 3 10" xfId="26253" xr:uid="{00000000-0005-0000-0000-00008D660000}"/>
    <cellStyle name="Normal 2 3 2 17 3 2" xfId="26254" xr:uid="{00000000-0005-0000-0000-00008E660000}"/>
    <cellStyle name="Normal 2 3 2 17 3 3" xfId="26255" xr:uid="{00000000-0005-0000-0000-00008F660000}"/>
    <cellStyle name="Normal 2 3 2 17 3 4" xfId="26256" xr:uid="{00000000-0005-0000-0000-000090660000}"/>
    <cellStyle name="Normal 2 3 2 17 3 5" xfId="26257" xr:uid="{00000000-0005-0000-0000-000091660000}"/>
    <cellStyle name="Normal 2 3 2 17 3 6" xfId="26258" xr:uid="{00000000-0005-0000-0000-000092660000}"/>
    <cellStyle name="Normal 2 3 2 17 3 7" xfId="26259" xr:uid="{00000000-0005-0000-0000-000093660000}"/>
    <cellStyle name="Normal 2 3 2 17 3 8" xfId="26260" xr:uid="{00000000-0005-0000-0000-000094660000}"/>
    <cellStyle name="Normal 2 3 2 17 3 9" xfId="26261" xr:uid="{00000000-0005-0000-0000-000095660000}"/>
    <cellStyle name="Normal 2 3 2 17 4" xfId="26262" xr:uid="{00000000-0005-0000-0000-000096660000}"/>
    <cellStyle name="Normal 2 3 2 17 4 10" xfId="26263" xr:uid="{00000000-0005-0000-0000-000097660000}"/>
    <cellStyle name="Normal 2 3 2 17 4 2" xfId="26264" xr:uid="{00000000-0005-0000-0000-000098660000}"/>
    <cellStyle name="Normal 2 3 2 17 4 3" xfId="26265" xr:uid="{00000000-0005-0000-0000-000099660000}"/>
    <cellStyle name="Normal 2 3 2 17 4 4" xfId="26266" xr:uid="{00000000-0005-0000-0000-00009A660000}"/>
    <cellStyle name="Normal 2 3 2 17 4 5" xfId="26267" xr:uid="{00000000-0005-0000-0000-00009B660000}"/>
    <cellStyle name="Normal 2 3 2 17 4 6" xfId="26268" xr:uid="{00000000-0005-0000-0000-00009C660000}"/>
    <cellStyle name="Normal 2 3 2 17 4 7" xfId="26269" xr:uid="{00000000-0005-0000-0000-00009D660000}"/>
    <cellStyle name="Normal 2 3 2 17 4 8" xfId="26270" xr:uid="{00000000-0005-0000-0000-00009E660000}"/>
    <cellStyle name="Normal 2 3 2 17 4 9" xfId="26271" xr:uid="{00000000-0005-0000-0000-00009F660000}"/>
    <cellStyle name="Normal 2 3 2 17 5" xfId="26272" xr:uid="{00000000-0005-0000-0000-0000A0660000}"/>
    <cellStyle name="Normal 2 3 2 17 5 10" xfId="26273" xr:uid="{00000000-0005-0000-0000-0000A1660000}"/>
    <cellStyle name="Normal 2 3 2 17 5 2" xfId="26274" xr:uid="{00000000-0005-0000-0000-0000A2660000}"/>
    <cellStyle name="Normal 2 3 2 17 5 3" xfId="26275" xr:uid="{00000000-0005-0000-0000-0000A3660000}"/>
    <cellStyle name="Normal 2 3 2 17 5 4" xfId="26276" xr:uid="{00000000-0005-0000-0000-0000A4660000}"/>
    <cellStyle name="Normal 2 3 2 17 5 5" xfId="26277" xr:uid="{00000000-0005-0000-0000-0000A5660000}"/>
    <cellStyle name="Normal 2 3 2 17 5 6" xfId="26278" xr:uid="{00000000-0005-0000-0000-0000A6660000}"/>
    <cellStyle name="Normal 2 3 2 17 5 7" xfId="26279" xr:uid="{00000000-0005-0000-0000-0000A7660000}"/>
    <cellStyle name="Normal 2 3 2 17 5 8" xfId="26280" xr:uid="{00000000-0005-0000-0000-0000A8660000}"/>
    <cellStyle name="Normal 2 3 2 17 5 9" xfId="26281" xr:uid="{00000000-0005-0000-0000-0000A9660000}"/>
    <cellStyle name="Normal 2 3 2 17 6" xfId="26282" xr:uid="{00000000-0005-0000-0000-0000AA660000}"/>
    <cellStyle name="Normal 2 3 2 17 7" xfId="26283" xr:uid="{00000000-0005-0000-0000-0000AB660000}"/>
    <cellStyle name="Normal 2 3 2 17 8" xfId="26284" xr:uid="{00000000-0005-0000-0000-0000AC660000}"/>
    <cellStyle name="Normal 2 3 2 17 9" xfId="26285" xr:uid="{00000000-0005-0000-0000-0000AD660000}"/>
    <cellStyle name="Normal 2 3 2 18" xfId="26286" xr:uid="{00000000-0005-0000-0000-0000AE660000}"/>
    <cellStyle name="Normal 2 3 2 18 10" xfId="26287" xr:uid="{00000000-0005-0000-0000-0000AF660000}"/>
    <cellStyle name="Normal 2 3 2 18 11" xfId="26288" xr:uid="{00000000-0005-0000-0000-0000B0660000}"/>
    <cellStyle name="Normal 2 3 2 18 12" xfId="26289" xr:uid="{00000000-0005-0000-0000-0000B1660000}"/>
    <cellStyle name="Normal 2 3 2 18 13" xfId="26290" xr:uid="{00000000-0005-0000-0000-0000B2660000}"/>
    <cellStyle name="Normal 2 3 2 18 14" xfId="26291" xr:uid="{00000000-0005-0000-0000-0000B3660000}"/>
    <cellStyle name="Normal 2 3 2 18 2" xfId="26292" xr:uid="{00000000-0005-0000-0000-0000B4660000}"/>
    <cellStyle name="Normal 2 3 2 18 2 10" xfId="26293" xr:uid="{00000000-0005-0000-0000-0000B5660000}"/>
    <cellStyle name="Normal 2 3 2 18 2 2" xfId="26294" xr:uid="{00000000-0005-0000-0000-0000B6660000}"/>
    <cellStyle name="Normal 2 3 2 18 2 3" xfId="26295" xr:uid="{00000000-0005-0000-0000-0000B7660000}"/>
    <cellStyle name="Normal 2 3 2 18 2 4" xfId="26296" xr:uid="{00000000-0005-0000-0000-0000B8660000}"/>
    <cellStyle name="Normal 2 3 2 18 2 5" xfId="26297" xr:uid="{00000000-0005-0000-0000-0000B9660000}"/>
    <cellStyle name="Normal 2 3 2 18 2 6" xfId="26298" xr:uid="{00000000-0005-0000-0000-0000BA660000}"/>
    <cellStyle name="Normal 2 3 2 18 2 7" xfId="26299" xr:uid="{00000000-0005-0000-0000-0000BB660000}"/>
    <cellStyle name="Normal 2 3 2 18 2 8" xfId="26300" xr:uid="{00000000-0005-0000-0000-0000BC660000}"/>
    <cellStyle name="Normal 2 3 2 18 2 9" xfId="26301" xr:uid="{00000000-0005-0000-0000-0000BD660000}"/>
    <cellStyle name="Normal 2 3 2 18 3" xfId="26302" xr:uid="{00000000-0005-0000-0000-0000BE660000}"/>
    <cellStyle name="Normal 2 3 2 18 3 10" xfId="26303" xr:uid="{00000000-0005-0000-0000-0000BF660000}"/>
    <cellStyle name="Normal 2 3 2 18 3 2" xfId="26304" xr:uid="{00000000-0005-0000-0000-0000C0660000}"/>
    <cellStyle name="Normal 2 3 2 18 3 3" xfId="26305" xr:uid="{00000000-0005-0000-0000-0000C1660000}"/>
    <cellStyle name="Normal 2 3 2 18 3 4" xfId="26306" xr:uid="{00000000-0005-0000-0000-0000C2660000}"/>
    <cellStyle name="Normal 2 3 2 18 3 5" xfId="26307" xr:uid="{00000000-0005-0000-0000-0000C3660000}"/>
    <cellStyle name="Normal 2 3 2 18 3 6" xfId="26308" xr:uid="{00000000-0005-0000-0000-0000C4660000}"/>
    <cellStyle name="Normal 2 3 2 18 3 7" xfId="26309" xr:uid="{00000000-0005-0000-0000-0000C5660000}"/>
    <cellStyle name="Normal 2 3 2 18 3 8" xfId="26310" xr:uid="{00000000-0005-0000-0000-0000C6660000}"/>
    <cellStyle name="Normal 2 3 2 18 3 9" xfId="26311" xr:uid="{00000000-0005-0000-0000-0000C7660000}"/>
    <cellStyle name="Normal 2 3 2 18 4" xfId="26312" xr:uid="{00000000-0005-0000-0000-0000C8660000}"/>
    <cellStyle name="Normal 2 3 2 18 4 10" xfId="26313" xr:uid="{00000000-0005-0000-0000-0000C9660000}"/>
    <cellStyle name="Normal 2 3 2 18 4 2" xfId="26314" xr:uid="{00000000-0005-0000-0000-0000CA660000}"/>
    <cellStyle name="Normal 2 3 2 18 4 3" xfId="26315" xr:uid="{00000000-0005-0000-0000-0000CB660000}"/>
    <cellStyle name="Normal 2 3 2 18 4 4" xfId="26316" xr:uid="{00000000-0005-0000-0000-0000CC660000}"/>
    <cellStyle name="Normal 2 3 2 18 4 5" xfId="26317" xr:uid="{00000000-0005-0000-0000-0000CD660000}"/>
    <cellStyle name="Normal 2 3 2 18 4 6" xfId="26318" xr:uid="{00000000-0005-0000-0000-0000CE660000}"/>
    <cellStyle name="Normal 2 3 2 18 4 7" xfId="26319" xr:uid="{00000000-0005-0000-0000-0000CF660000}"/>
    <cellStyle name="Normal 2 3 2 18 4 8" xfId="26320" xr:uid="{00000000-0005-0000-0000-0000D0660000}"/>
    <cellStyle name="Normal 2 3 2 18 4 9" xfId="26321" xr:uid="{00000000-0005-0000-0000-0000D1660000}"/>
    <cellStyle name="Normal 2 3 2 18 5" xfId="26322" xr:uid="{00000000-0005-0000-0000-0000D2660000}"/>
    <cellStyle name="Normal 2 3 2 18 5 10" xfId="26323" xr:uid="{00000000-0005-0000-0000-0000D3660000}"/>
    <cellStyle name="Normal 2 3 2 18 5 2" xfId="26324" xr:uid="{00000000-0005-0000-0000-0000D4660000}"/>
    <cellStyle name="Normal 2 3 2 18 5 3" xfId="26325" xr:uid="{00000000-0005-0000-0000-0000D5660000}"/>
    <cellStyle name="Normal 2 3 2 18 5 4" xfId="26326" xr:uid="{00000000-0005-0000-0000-0000D6660000}"/>
    <cellStyle name="Normal 2 3 2 18 5 5" xfId="26327" xr:uid="{00000000-0005-0000-0000-0000D7660000}"/>
    <cellStyle name="Normal 2 3 2 18 5 6" xfId="26328" xr:uid="{00000000-0005-0000-0000-0000D8660000}"/>
    <cellStyle name="Normal 2 3 2 18 5 7" xfId="26329" xr:uid="{00000000-0005-0000-0000-0000D9660000}"/>
    <cellStyle name="Normal 2 3 2 18 5 8" xfId="26330" xr:uid="{00000000-0005-0000-0000-0000DA660000}"/>
    <cellStyle name="Normal 2 3 2 18 5 9" xfId="26331" xr:uid="{00000000-0005-0000-0000-0000DB660000}"/>
    <cellStyle name="Normal 2 3 2 18 6" xfId="26332" xr:uid="{00000000-0005-0000-0000-0000DC660000}"/>
    <cellStyle name="Normal 2 3 2 18 7" xfId="26333" xr:uid="{00000000-0005-0000-0000-0000DD660000}"/>
    <cellStyle name="Normal 2 3 2 18 8" xfId="26334" xr:uid="{00000000-0005-0000-0000-0000DE660000}"/>
    <cellStyle name="Normal 2 3 2 18 9" xfId="26335" xr:uid="{00000000-0005-0000-0000-0000DF660000}"/>
    <cellStyle name="Normal 2 3 2 19" xfId="26336" xr:uid="{00000000-0005-0000-0000-0000E0660000}"/>
    <cellStyle name="Normal 2 3 2 19 10" xfId="26337" xr:uid="{00000000-0005-0000-0000-0000E1660000}"/>
    <cellStyle name="Normal 2 3 2 19 11" xfId="26338" xr:uid="{00000000-0005-0000-0000-0000E2660000}"/>
    <cellStyle name="Normal 2 3 2 19 12" xfId="26339" xr:uid="{00000000-0005-0000-0000-0000E3660000}"/>
    <cellStyle name="Normal 2 3 2 19 13" xfId="26340" xr:uid="{00000000-0005-0000-0000-0000E4660000}"/>
    <cellStyle name="Normal 2 3 2 19 14" xfId="26341" xr:uid="{00000000-0005-0000-0000-0000E5660000}"/>
    <cellStyle name="Normal 2 3 2 19 2" xfId="26342" xr:uid="{00000000-0005-0000-0000-0000E6660000}"/>
    <cellStyle name="Normal 2 3 2 19 2 10" xfId="26343" xr:uid="{00000000-0005-0000-0000-0000E7660000}"/>
    <cellStyle name="Normal 2 3 2 19 2 2" xfId="26344" xr:uid="{00000000-0005-0000-0000-0000E8660000}"/>
    <cellStyle name="Normal 2 3 2 19 2 3" xfId="26345" xr:uid="{00000000-0005-0000-0000-0000E9660000}"/>
    <cellStyle name="Normal 2 3 2 19 2 4" xfId="26346" xr:uid="{00000000-0005-0000-0000-0000EA660000}"/>
    <cellStyle name="Normal 2 3 2 19 2 5" xfId="26347" xr:uid="{00000000-0005-0000-0000-0000EB660000}"/>
    <cellStyle name="Normal 2 3 2 19 2 6" xfId="26348" xr:uid="{00000000-0005-0000-0000-0000EC660000}"/>
    <cellStyle name="Normal 2 3 2 19 2 7" xfId="26349" xr:uid="{00000000-0005-0000-0000-0000ED660000}"/>
    <cellStyle name="Normal 2 3 2 19 2 8" xfId="26350" xr:uid="{00000000-0005-0000-0000-0000EE660000}"/>
    <cellStyle name="Normal 2 3 2 19 2 9" xfId="26351" xr:uid="{00000000-0005-0000-0000-0000EF660000}"/>
    <cellStyle name="Normal 2 3 2 19 3" xfId="26352" xr:uid="{00000000-0005-0000-0000-0000F0660000}"/>
    <cellStyle name="Normal 2 3 2 19 3 10" xfId="26353" xr:uid="{00000000-0005-0000-0000-0000F1660000}"/>
    <cellStyle name="Normal 2 3 2 19 3 2" xfId="26354" xr:uid="{00000000-0005-0000-0000-0000F2660000}"/>
    <cellStyle name="Normal 2 3 2 19 3 3" xfId="26355" xr:uid="{00000000-0005-0000-0000-0000F3660000}"/>
    <cellStyle name="Normal 2 3 2 19 3 4" xfId="26356" xr:uid="{00000000-0005-0000-0000-0000F4660000}"/>
    <cellStyle name="Normal 2 3 2 19 3 5" xfId="26357" xr:uid="{00000000-0005-0000-0000-0000F5660000}"/>
    <cellStyle name="Normal 2 3 2 19 3 6" xfId="26358" xr:uid="{00000000-0005-0000-0000-0000F6660000}"/>
    <cellStyle name="Normal 2 3 2 19 3 7" xfId="26359" xr:uid="{00000000-0005-0000-0000-0000F7660000}"/>
    <cellStyle name="Normal 2 3 2 19 3 8" xfId="26360" xr:uid="{00000000-0005-0000-0000-0000F8660000}"/>
    <cellStyle name="Normal 2 3 2 19 3 9" xfId="26361" xr:uid="{00000000-0005-0000-0000-0000F9660000}"/>
    <cellStyle name="Normal 2 3 2 19 4" xfId="26362" xr:uid="{00000000-0005-0000-0000-0000FA660000}"/>
    <cellStyle name="Normal 2 3 2 19 4 10" xfId="26363" xr:uid="{00000000-0005-0000-0000-0000FB660000}"/>
    <cellStyle name="Normal 2 3 2 19 4 2" xfId="26364" xr:uid="{00000000-0005-0000-0000-0000FC660000}"/>
    <cellStyle name="Normal 2 3 2 19 4 3" xfId="26365" xr:uid="{00000000-0005-0000-0000-0000FD660000}"/>
    <cellStyle name="Normal 2 3 2 19 4 4" xfId="26366" xr:uid="{00000000-0005-0000-0000-0000FE660000}"/>
    <cellStyle name="Normal 2 3 2 19 4 5" xfId="26367" xr:uid="{00000000-0005-0000-0000-0000FF660000}"/>
    <cellStyle name="Normal 2 3 2 19 4 6" xfId="26368" xr:uid="{00000000-0005-0000-0000-000000670000}"/>
    <cellStyle name="Normal 2 3 2 19 4 7" xfId="26369" xr:uid="{00000000-0005-0000-0000-000001670000}"/>
    <cellStyle name="Normal 2 3 2 19 4 8" xfId="26370" xr:uid="{00000000-0005-0000-0000-000002670000}"/>
    <cellStyle name="Normal 2 3 2 19 4 9" xfId="26371" xr:uid="{00000000-0005-0000-0000-000003670000}"/>
    <cellStyle name="Normal 2 3 2 19 5" xfId="26372" xr:uid="{00000000-0005-0000-0000-000004670000}"/>
    <cellStyle name="Normal 2 3 2 19 5 10" xfId="26373" xr:uid="{00000000-0005-0000-0000-000005670000}"/>
    <cellStyle name="Normal 2 3 2 19 5 2" xfId="26374" xr:uid="{00000000-0005-0000-0000-000006670000}"/>
    <cellStyle name="Normal 2 3 2 19 5 3" xfId="26375" xr:uid="{00000000-0005-0000-0000-000007670000}"/>
    <cellStyle name="Normal 2 3 2 19 5 4" xfId="26376" xr:uid="{00000000-0005-0000-0000-000008670000}"/>
    <cellStyle name="Normal 2 3 2 19 5 5" xfId="26377" xr:uid="{00000000-0005-0000-0000-000009670000}"/>
    <cellStyle name="Normal 2 3 2 19 5 6" xfId="26378" xr:uid="{00000000-0005-0000-0000-00000A670000}"/>
    <cellStyle name="Normal 2 3 2 19 5 7" xfId="26379" xr:uid="{00000000-0005-0000-0000-00000B670000}"/>
    <cellStyle name="Normal 2 3 2 19 5 8" xfId="26380" xr:uid="{00000000-0005-0000-0000-00000C670000}"/>
    <cellStyle name="Normal 2 3 2 19 5 9" xfId="26381" xr:uid="{00000000-0005-0000-0000-00000D670000}"/>
    <cellStyle name="Normal 2 3 2 19 6" xfId="26382" xr:uid="{00000000-0005-0000-0000-00000E670000}"/>
    <cellStyle name="Normal 2 3 2 19 7" xfId="26383" xr:uid="{00000000-0005-0000-0000-00000F670000}"/>
    <cellStyle name="Normal 2 3 2 19 8" xfId="26384" xr:uid="{00000000-0005-0000-0000-000010670000}"/>
    <cellStyle name="Normal 2 3 2 19 9" xfId="26385" xr:uid="{00000000-0005-0000-0000-000011670000}"/>
    <cellStyle name="Normal 2 3 2 2" xfId="26386" xr:uid="{00000000-0005-0000-0000-000012670000}"/>
    <cellStyle name="Normal 2 3 2 2 10" xfId="26387" xr:uid="{00000000-0005-0000-0000-000013670000}"/>
    <cellStyle name="Normal 2 3 2 2 11" xfId="26388" xr:uid="{00000000-0005-0000-0000-000014670000}"/>
    <cellStyle name="Normal 2 3 2 2 12" xfId="26389" xr:uid="{00000000-0005-0000-0000-000015670000}"/>
    <cellStyle name="Normal 2 3 2 2 13" xfId="26390" xr:uid="{00000000-0005-0000-0000-000016670000}"/>
    <cellStyle name="Normal 2 3 2 2 14" xfId="26391" xr:uid="{00000000-0005-0000-0000-000017670000}"/>
    <cellStyle name="Normal 2 3 2 2 15" xfId="26392" xr:uid="{00000000-0005-0000-0000-000018670000}"/>
    <cellStyle name="Normal 2 3 2 2 16" xfId="26393" xr:uid="{00000000-0005-0000-0000-000019670000}"/>
    <cellStyle name="Normal 2 3 2 2 2" xfId="26394" xr:uid="{00000000-0005-0000-0000-00001A670000}"/>
    <cellStyle name="Normal 2 3 2 2 2 10" xfId="26395" xr:uid="{00000000-0005-0000-0000-00001B670000}"/>
    <cellStyle name="Normal 2 3 2 2 2 11" xfId="26396" xr:uid="{00000000-0005-0000-0000-00001C670000}"/>
    <cellStyle name="Normal 2 3 2 2 2 12" xfId="26397" xr:uid="{00000000-0005-0000-0000-00001D670000}"/>
    <cellStyle name="Normal 2 3 2 2 2 2" xfId="26398" xr:uid="{00000000-0005-0000-0000-00001E670000}"/>
    <cellStyle name="Normal 2 3 2 2 2 3" xfId="26399" xr:uid="{00000000-0005-0000-0000-00001F670000}"/>
    <cellStyle name="Normal 2 3 2 2 2 4" xfId="26400" xr:uid="{00000000-0005-0000-0000-000020670000}"/>
    <cellStyle name="Normal 2 3 2 2 2 5" xfId="26401" xr:uid="{00000000-0005-0000-0000-000021670000}"/>
    <cellStyle name="Normal 2 3 2 2 2 6" xfId="26402" xr:uid="{00000000-0005-0000-0000-000022670000}"/>
    <cellStyle name="Normal 2 3 2 2 2 7" xfId="26403" xr:uid="{00000000-0005-0000-0000-000023670000}"/>
    <cellStyle name="Normal 2 3 2 2 2 8" xfId="26404" xr:uid="{00000000-0005-0000-0000-000024670000}"/>
    <cellStyle name="Normal 2 3 2 2 2 9" xfId="26405" xr:uid="{00000000-0005-0000-0000-000025670000}"/>
    <cellStyle name="Normal 2 3 2 2 3" xfId="26406" xr:uid="{00000000-0005-0000-0000-000026670000}"/>
    <cellStyle name="Normal 2 3 2 2 3 10" xfId="26407" xr:uid="{00000000-0005-0000-0000-000027670000}"/>
    <cellStyle name="Normal 2 3 2 2 3 2" xfId="26408" xr:uid="{00000000-0005-0000-0000-000028670000}"/>
    <cellStyle name="Normal 2 3 2 2 3 3" xfId="26409" xr:uid="{00000000-0005-0000-0000-000029670000}"/>
    <cellStyle name="Normal 2 3 2 2 3 4" xfId="26410" xr:uid="{00000000-0005-0000-0000-00002A670000}"/>
    <cellStyle name="Normal 2 3 2 2 3 5" xfId="26411" xr:uid="{00000000-0005-0000-0000-00002B670000}"/>
    <cellStyle name="Normal 2 3 2 2 3 6" xfId="26412" xr:uid="{00000000-0005-0000-0000-00002C670000}"/>
    <cellStyle name="Normal 2 3 2 2 3 7" xfId="26413" xr:uid="{00000000-0005-0000-0000-00002D670000}"/>
    <cellStyle name="Normal 2 3 2 2 3 8" xfId="26414" xr:uid="{00000000-0005-0000-0000-00002E670000}"/>
    <cellStyle name="Normal 2 3 2 2 3 9" xfId="26415" xr:uid="{00000000-0005-0000-0000-00002F670000}"/>
    <cellStyle name="Normal 2 3 2 2 4" xfId="26416" xr:uid="{00000000-0005-0000-0000-000030670000}"/>
    <cellStyle name="Normal 2 3 2 2 4 10" xfId="26417" xr:uid="{00000000-0005-0000-0000-000031670000}"/>
    <cellStyle name="Normal 2 3 2 2 4 2" xfId="26418" xr:uid="{00000000-0005-0000-0000-000032670000}"/>
    <cellStyle name="Normal 2 3 2 2 4 3" xfId="26419" xr:uid="{00000000-0005-0000-0000-000033670000}"/>
    <cellStyle name="Normal 2 3 2 2 4 4" xfId="26420" xr:uid="{00000000-0005-0000-0000-000034670000}"/>
    <cellStyle name="Normal 2 3 2 2 4 5" xfId="26421" xr:uid="{00000000-0005-0000-0000-000035670000}"/>
    <cellStyle name="Normal 2 3 2 2 4 6" xfId="26422" xr:uid="{00000000-0005-0000-0000-000036670000}"/>
    <cellStyle name="Normal 2 3 2 2 4 7" xfId="26423" xr:uid="{00000000-0005-0000-0000-000037670000}"/>
    <cellStyle name="Normal 2 3 2 2 4 8" xfId="26424" xr:uid="{00000000-0005-0000-0000-000038670000}"/>
    <cellStyle name="Normal 2 3 2 2 4 9" xfId="26425" xr:uid="{00000000-0005-0000-0000-000039670000}"/>
    <cellStyle name="Normal 2 3 2 2 5" xfId="26426" xr:uid="{00000000-0005-0000-0000-00003A670000}"/>
    <cellStyle name="Normal 2 3 2 2 5 10" xfId="26427" xr:uid="{00000000-0005-0000-0000-00003B670000}"/>
    <cellStyle name="Normal 2 3 2 2 5 2" xfId="26428" xr:uid="{00000000-0005-0000-0000-00003C670000}"/>
    <cellStyle name="Normal 2 3 2 2 5 3" xfId="26429" xr:uid="{00000000-0005-0000-0000-00003D670000}"/>
    <cellStyle name="Normal 2 3 2 2 5 4" xfId="26430" xr:uid="{00000000-0005-0000-0000-00003E670000}"/>
    <cellStyle name="Normal 2 3 2 2 5 5" xfId="26431" xr:uid="{00000000-0005-0000-0000-00003F670000}"/>
    <cellStyle name="Normal 2 3 2 2 5 6" xfId="26432" xr:uid="{00000000-0005-0000-0000-000040670000}"/>
    <cellStyle name="Normal 2 3 2 2 5 7" xfId="26433" xr:uid="{00000000-0005-0000-0000-000041670000}"/>
    <cellStyle name="Normal 2 3 2 2 5 8" xfId="26434" xr:uid="{00000000-0005-0000-0000-000042670000}"/>
    <cellStyle name="Normal 2 3 2 2 5 9" xfId="26435" xr:uid="{00000000-0005-0000-0000-000043670000}"/>
    <cellStyle name="Normal 2 3 2 2 6" xfId="26436" xr:uid="{00000000-0005-0000-0000-000044670000}"/>
    <cellStyle name="Normal 2 3 2 2 7" xfId="26437" xr:uid="{00000000-0005-0000-0000-000045670000}"/>
    <cellStyle name="Normal 2 3 2 2 8" xfId="26438" xr:uid="{00000000-0005-0000-0000-000046670000}"/>
    <cellStyle name="Normal 2 3 2 2 9" xfId="26439" xr:uid="{00000000-0005-0000-0000-000047670000}"/>
    <cellStyle name="Normal 2 3 2 20" xfId="26440" xr:uid="{00000000-0005-0000-0000-000048670000}"/>
    <cellStyle name="Normal 2 3 2 20 10" xfId="26441" xr:uid="{00000000-0005-0000-0000-000049670000}"/>
    <cellStyle name="Normal 2 3 2 20 11" xfId="26442" xr:uid="{00000000-0005-0000-0000-00004A670000}"/>
    <cellStyle name="Normal 2 3 2 20 12" xfId="26443" xr:uid="{00000000-0005-0000-0000-00004B670000}"/>
    <cellStyle name="Normal 2 3 2 20 13" xfId="26444" xr:uid="{00000000-0005-0000-0000-00004C670000}"/>
    <cellStyle name="Normal 2 3 2 20 14" xfId="26445" xr:uid="{00000000-0005-0000-0000-00004D670000}"/>
    <cellStyle name="Normal 2 3 2 20 2" xfId="26446" xr:uid="{00000000-0005-0000-0000-00004E670000}"/>
    <cellStyle name="Normal 2 3 2 20 2 10" xfId="26447" xr:uid="{00000000-0005-0000-0000-00004F670000}"/>
    <cellStyle name="Normal 2 3 2 20 2 2" xfId="26448" xr:uid="{00000000-0005-0000-0000-000050670000}"/>
    <cellStyle name="Normal 2 3 2 20 2 3" xfId="26449" xr:uid="{00000000-0005-0000-0000-000051670000}"/>
    <cellStyle name="Normal 2 3 2 20 2 4" xfId="26450" xr:uid="{00000000-0005-0000-0000-000052670000}"/>
    <cellStyle name="Normal 2 3 2 20 2 5" xfId="26451" xr:uid="{00000000-0005-0000-0000-000053670000}"/>
    <cellStyle name="Normal 2 3 2 20 2 6" xfId="26452" xr:uid="{00000000-0005-0000-0000-000054670000}"/>
    <cellStyle name="Normal 2 3 2 20 2 7" xfId="26453" xr:uid="{00000000-0005-0000-0000-000055670000}"/>
    <cellStyle name="Normal 2 3 2 20 2 8" xfId="26454" xr:uid="{00000000-0005-0000-0000-000056670000}"/>
    <cellStyle name="Normal 2 3 2 20 2 9" xfId="26455" xr:uid="{00000000-0005-0000-0000-000057670000}"/>
    <cellStyle name="Normal 2 3 2 20 3" xfId="26456" xr:uid="{00000000-0005-0000-0000-000058670000}"/>
    <cellStyle name="Normal 2 3 2 20 3 10" xfId="26457" xr:uid="{00000000-0005-0000-0000-000059670000}"/>
    <cellStyle name="Normal 2 3 2 20 3 2" xfId="26458" xr:uid="{00000000-0005-0000-0000-00005A670000}"/>
    <cellStyle name="Normal 2 3 2 20 3 3" xfId="26459" xr:uid="{00000000-0005-0000-0000-00005B670000}"/>
    <cellStyle name="Normal 2 3 2 20 3 4" xfId="26460" xr:uid="{00000000-0005-0000-0000-00005C670000}"/>
    <cellStyle name="Normal 2 3 2 20 3 5" xfId="26461" xr:uid="{00000000-0005-0000-0000-00005D670000}"/>
    <cellStyle name="Normal 2 3 2 20 3 6" xfId="26462" xr:uid="{00000000-0005-0000-0000-00005E670000}"/>
    <cellStyle name="Normal 2 3 2 20 3 7" xfId="26463" xr:uid="{00000000-0005-0000-0000-00005F670000}"/>
    <cellStyle name="Normal 2 3 2 20 3 8" xfId="26464" xr:uid="{00000000-0005-0000-0000-000060670000}"/>
    <cellStyle name="Normal 2 3 2 20 3 9" xfId="26465" xr:uid="{00000000-0005-0000-0000-000061670000}"/>
    <cellStyle name="Normal 2 3 2 20 4" xfId="26466" xr:uid="{00000000-0005-0000-0000-000062670000}"/>
    <cellStyle name="Normal 2 3 2 20 4 10" xfId="26467" xr:uid="{00000000-0005-0000-0000-000063670000}"/>
    <cellStyle name="Normal 2 3 2 20 4 2" xfId="26468" xr:uid="{00000000-0005-0000-0000-000064670000}"/>
    <cellStyle name="Normal 2 3 2 20 4 3" xfId="26469" xr:uid="{00000000-0005-0000-0000-000065670000}"/>
    <cellStyle name="Normal 2 3 2 20 4 4" xfId="26470" xr:uid="{00000000-0005-0000-0000-000066670000}"/>
    <cellStyle name="Normal 2 3 2 20 4 5" xfId="26471" xr:uid="{00000000-0005-0000-0000-000067670000}"/>
    <cellStyle name="Normal 2 3 2 20 4 6" xfId="26472" xr:uid="{00000000-0005-0000-0000-000068670000}"/>
    <cellStyle name="Normal 2 3 2 20 4 7" xfId="26473" xr:uid="{00000000-0005-0000-0000-000069670000}"/>
    <cellStyle name="Normal 2 3 2 20 4 8" xfId="26474" xr:uid="{00000000-0005-0000-0000-00006A670000}"/>
    <cellStyle name="Normal 2 3 2 20 4 9" xfId="26475" xr:uid="{00000000-0005-0000-0000-00006B670000}"/>
    <cellStyle name="Normal 2 3 2 20 5" xfId="26476" xr:uid="{00000000-0005-0000-0000-00006C670000}"/>
    <cellStyle name="Normal 2 3 2 20 5 10" xfId="26477" xr:uid="{00000000-0005-0000-0000-00006D670000}"/>
    <cellStyle name="Normal 2 3 2 20 5 2" xfId="26478" xr:uid="{00000000-0005-0000-0000-00006E670000}"/>
    <cellStyle name="Normal 2 3 2 20 5 3" xfId="26479" xr:uid="{00000000-0005-0000-0000-00006F670000}"/>
    <cellStyle name="Normal 2 3 2 20 5 4" xfId="26480" xr:uid="{00000000-0005-0000-0000-000070670000}"/>
    <cellStyle name="Normal 2 3 2 20 5 5" xfId="26481" xr:uid="{00000000-0005-0000-0000-000071670000}"/>
    <cellStyle name="Normal 2 3 2 20 5 6" xfId="26482" xr:uid="{00000000-0005-0000-0000-000072670000}"/>
    <cellStyle name="Normal 2 3 2 20 5 7" xfId="26483" xr:uid="{00000000-0005-0000-0000-000073670000}"/>
    <cellStyle name="Normal 2 3 2 20 5 8" xfId="26484" xr:uid="{00000000-0005-0000-0000-000074670000}"/>
    <cellStyle name="Normal 2 3 2 20 5 9" xfId="26485" xr:uid="{00000000-0005-0000-0000-000075670000}"/>
    <cellStyle name="Normal 2 3 2 20 6" xfId="26486" xr:uid="{00000000-0005-0000-0000-000076670000}"/>
    <cellStyle name="Normal 2 3 2 20 7" xfId="26487" xr:uid="{00000000-0005-0000-0000-000077670000}"/>
    <cellStyle name="Normal 2 3 2 20 8" xfId="26488" xr:uid="{00000000-0005-0000-0000-000078670000}"/>
    <cellStyle name="Normal 2 3 2 20 9" xfId="26489" xr:uid="{00000000-0005-0000-0000-000079670000}"/>
    <cellStyle name="Normal 2 3 2 21" xfId="26490" xr:uid="{00000000-0005-0000-0000-00007A670000}"/>
    <cellStyle name="Normal 2 3 2 21 10" xfId="26491" xr:uid="{00000000-0005-0000-0000-00007B670000}"/>
    <cellStyle name="Normal 2 3 2 21 11" xfId="26492" xr:uid="{00000000-0005-0000-0000-00007C670000}"/>
    <cellStyle name="Normal 2 3 2 21 12" xfId="26493" xr:uid="{00000000-0005-0000-0000-00007D670000}"/>
    <cellStyle name="Normal 2 3 2 21 13" xfId="26494" xr:uid="{00000000-0005-0000-0000-00007E670000}"/>
    <cellStyle name="Normal 2 3 2 21 14" xfId="26495" xr:uid="{00000000-0005-0000-0000-00007F670000}"/>
    <cellStyle name="Normal 2 3 2 21 2" xfId="26496" xr:uid="{00000000-0005-0000-0000-000080670000}"/>
    <cellStyle name="Normal 2 3 2 21 2 10" xfId="26497" xr:uid="{00000000-0005-0000-0000-000081670000}"/>
    <cellStyle name="Normal 2 3 2 21 2 2" xfId="26498" xr:uid="{00000000-0005-0000-0000-000082670000}"/>
    <cellStyle name="Normal 2 3 2 21 2 3" xfId="26499" xr:uid="{00000000-0005-0000-0000-000083670000}"/>
    <cellStyle name="Normal 2 3 2 21 2 4" xfId="26500" xr:uid="{00000000-0005-0000-0000-000084670000}"/>
    <cellStyle name="Normal 2 3 2 21 2 5" xfId="26501" xr:uid="{00000000-0005-0000-0000-000085670000}"/>
    <cellStyle name="Normal 2 3 2 21 2 6" xfId="26502" xr:uid="{00000000-0005-0000-0000-000086670000}"/>
    <cellStyle name="Normal 2 3 2 21 2 7" xfId="26503" xr:uid="{00000000-0005-0000-0000-000087670000}"/>
    <cellStyle name="Normal 2 3 2 21 2 8" xfId="26504" xr:uid="{00000000-0005-0000-0000-000088670000}"/>
    <cellStyle name="Normal 2 3 2 21 2 9" xfId="26505" xr:uid="{00000000-0005-0000-0000-000089670000}"/>
    <cellStyle name="Normal 2 3 2 21 3" xfId="26506" xr:uid="{00000000-0005-0000-0000-00008A670000}"/>
    <cellStyle name="Normal 2 3 2 21 3 10" xfId="26507" xr:uid="{00000000-0005-0000-0000-00008B670000}"/>
    <cellStyle name="Normal 2 3 2 21 3 2" xfId="26508" xr:uid="{00000000-0005-0000-0000-00008C670000}"/>
    <cellStyle name="Normal 2 3 2 21 3 3" xfId="26509" xr:uid="{00000000-0005-0000-0000-00008D670000}"/>
    <cellStyle name="Normal 2 3 2 21 3 4" xfId="26510" xr:uid="{00000000-0005-0000-0000-00008E670000}"/>
    <cellStyle name="Normal 2 3 2 21 3 5" xfId="26511" xr:uid="{00000000-0005-0000-0000-00008F670000}"/>
    <cellStyle name="Normal 2 3 2 21 3 6" xfId="26512" xr:uid="{00000000-0005-0000-0000-000090670000}"/>
    <cellStyle name="Normal 2 3 2 21 3 7" xfId="26513" xr:uid="{00000000-0005-0000-0000-000091670000}"/>
    <cellStyle name="Normal 2 3 2 21 3 8" xfId="26514" xr:uid="{00000000-0005-0000-0000-000092670000}"/>
    <cellStyle name="Normal 2 3 2 21 3 9" xfId="26515" xr:uid="{00000000-0005-0000-0000-000093670000}"/>
    <cellStyle name="Normal 2 3 2 21 4" xfId="26516" xr:uid="{00000000-0005-0000-0000-000094670000}"/>
    <cellStyle name="Normal 2 3 2 21 4 10" xfId="26517" xr:uid="{00000000-0005-0000-0000-000095670000}"/>
    <cellStyle name="Normal 2 3 2 21 4 2" xfId="26518" xr:uid="{00000000-0005-0000-0000-000096670000}"/>
    <cellStyle name="Normal 2 3 2 21 4 3" xfId="26519" xr:uid="{00000000-0005-0000-0000-000097670000}"/>
    <cellStyle name="Normal 2 3 2 21 4 4" xfId="26520" xr:uid="{00000000-0005-0000-0000-000098670000}"/>
    <cellStyle name="Normal 2 3 2 21 4 5" xfId="26521" xr:uid="{00000000-0005-0000-0000-000099670000}"/>
    <cellStyle name="Normal 2 3 2 21 4 6" xfId="26522" xr:uid="{00000000-0005-0000-0000-00009A670000}"/>
    <cellStyle name="Normal 2 3 2 21 4 7" xfId="26523" xr:uid="{00000000-0005-0000-0000-00009B670000}"/>
    <cellStyle name="Normal 2 3 2 21 4 8" xfId="26524" xr:uid="{00000000-0005-0000-0000-00009C670000}"/>
    <cellStyle name="Normal 2 3 2 21 4 9" xfId="26525" xr:uid="{00000000-0005-0000-0000-00009D670000}"/>
    <cellStyle name="Normal 2 3 2 21 5" xfId="26526" xr:uid="{00000000-0005-0000-0000-00009E670000}"/>
    <cellStyle name="Normal 2 3 2 21 5 10" xfId="26527" xr:uid="{00000000-0005-0000-0000-00009F670000}"/>
    <cellStyle name="Normal 2 3 2 21 5 2" xfId="26528" xr:uid="{00000000-0005-0000-0000-0000A0670000}"/>
    <cellStyle name="Normal 2 3 2 21 5 3" xfId="26529" xr:uid="{00000000-0005-0000-0000-0000A1670000}"/>
    <cellStyle name="Normal 2 3 2 21 5 4" xfId="26530" xr:uid="{00000000-0005-0000-0000-0000A2670000}"/>
    <cellStyle name="Normal 2 3 2 21 5 5" xfId="26531" xr:uid="{00000000-0005-0000-0000-0000A3670000}"/>
    <cellStyle name="Normal 2 3 2 21 5 6" xfId="26532" xr:uid="{00000000-0005-0000-0000-0000A4670000}"/>
    <cellStyle name="Normal 2 3 2 21 5 7" xfId="26533" xr:uid="{00000000-0005-0000-0000-0000A5670000}"/>
    <cellStyle name="Normal 2 3 2 21 5 8" xfId="26534" xr:uid="{00000000-0005-0000-0000-0000A6670000}"/>
    <cellStyle name="Normal 2 3 2 21 5 9" xfId="26535" xr:uid="{00000000-0005-0000-0000-0000A7670000}"/>
    <cellStyle name="Normal 2 3 2 21 6" xfId="26536" xr:uid="{00000000-0005-0000-0000-0000A8670000}"/>
    <cellStyle name="Normal 2 3 2 21 7" xfId="26537" xr:uid="{00000000-0005-0000-0000-0000A9670000}"/>
    <cellStyle name="Normal 2 3 2 21 8" xfId="26538" xr:uid="{00000000-0005-0000-0000-0000AA670000}"/>
    <cellStyle name="Normal 2 3 2 21 9" xfId="26539" xr:uid="{00000000-0005-0000-0000-0000AB670000}"/>
    <cellStyle name="Normal 2 3 2 22" xfId="26540" xr:uid="{00000000-0005-0000-0000-0000AC670000}"/>
    <cellStyle name="Normal 2 3 2 22 10" xfId="26541" xr:uid="{00000000-0005-0000-0000-0000AD670000}"/>
    <cellStyle name="Normal 2 3 2 22 11" xfId="26542" xr:uid="{00000000-0005-0000-0000-0000AE670000}"/>
    <cellStyle name="Normal 2 3 2 22 12" xfId="26543" xr:uid="{00000000-0005-0000-0000-0000AF670000}"/>
    <cellStyle name="Normal 2 3 2 22 13" xfId="26544" xr:uid="{00000000-0005-0000-0000-0000B0670000}"/>
    <cellStyle name="Normal 2 3 2 22 14" xfId="26545" xr:uid="{00000000-0005-0000-0000-0000B1670000}"/>
    <cellStyle name="Normal 2 3 2 22 2" xfId="26546" xr:uid="{00000000-0005-0000-0000-0000B2670000}"/>
    <cellStyle name="Normal 2 3 2 22 2 10" xfId="26547" xr:uid="{00000000-0005-0000-0000-0000B3670000}"/>
    <cellStyle name="Normal 2 3 2 22 2 2" xfId="26548" xr:uid="{00000000-0005-0000-0000-0000B4670000}"/>
    <cellStyle name="Normal 2 3 2 22 2 3" xfId="26549" xr:uid="{00000000-0005-0000-0000-0000B5670000}"/>
    <cellStyle name="Normal 2 3 2 22 2 4" xfId="26550" xr:uid="{00000000-0005-0000-0000-0000B6670000}"/>
    <cellStyle name="Normal 2 3 2 22 2 5" xfId="26551" xr:uid="{00000000-0005-0000-0000-0000B7670000}"/>
    <cellStyle name="Normal 2 3 2 22 2 6" xfId="26552" xr:uid="{00000000-0005-0000-0000-0000B8670000}"/>
    <cellStyle name="Normal 2 3 2 22 2 7" xfId="26553" xr:uid="{00000000-0005-0000-0000-0000B9670000}"/>
    <cellStyle name="Normal 2 3 2 22 2 8" xfId="26554" xr:uid="{00000000-0005-0000-0000-0000BA670000}"/>
    <cellStyle name="Normal 2 3 2 22 2 9" xfId="26555" xr:uid="{00000000-0005-0000-0000-0000BB670000}"/>
    <cellStyle name="Normal 2 3 2 22 3" xfId="26556" xr:uid="{00000000-0005-0000-0000-0000BC670000}"/>
    <cellStyle name="Normal 2 3 2 22 3 10" xfId="26557" xr:uid="{00000000-0005-0000-0000-0000BD670000}"/>
    <cellStyle name="Normal 2 3 2 22 3 2" xfId="26558" xr:uid="{00000000-0005-0000-0000-0000BE670000}"/>
    <cellStyle name="Normal 2 3 2 22 3 3" xfId="26559" xr:uid="{00000000-0005-0000-0000-0000BF670000}"/>
    <cellStyle name="Normal 2 3 2 22 3 4" xfId="26560" xr:uid="{00000000-0005-0000-0000-0000C0670000}"/>
    <cellStyle name="Normal 2 3 2 22 3 5" xfId="26561" xr:uid="{00000000-0005-0000-0000-0000C1670000}"/>
    <cellStyle name="Normal 2 3 2 22 3 6" xfId="26562" xr:uid="{00000000-0005-0000-0000-0000C2670000}"/>
    <cellStyle name="Normal 2 3 2 22 3 7" xfId="26563" xr:uid="{00000000-0005-0000-0000-0000C3670000}"/>
    <cellStyle name="Normal 2 3 2 22 3 8" xfId="26564" xr:uid="{00000000-0005-0000-0000-0000C4670000}"/>
    <cellStyle name="Normal 2 3 2 22 3 9" xfId="26565" xr:uid="{00000000-0005-0000-0000-0000C5670000}"/>
    <cellStyle name="Normal 2 3 2 22 4" xfId="26566" xr:uid="{00000000-0005-0000-0000-0000C6670000}"/>
    <cellStyle name="Normal 2 3 2 22 4 10" xfId="26567" xr:uid="{00000000-0005-0000-0000-0000C7670000}"/>
    <cellStyle name="Normal 2 3 2 22 4 2" xfId="26568" xr:uid="{00000000-0005-0000-0000-0000C8670000}"/>
    <cellStyle name="Normal 2 3 2 22 4 3" xfId="26569" xr:uid="{00000000-0005-0000-0000-0000C9670000}"/>
    <cellStyle name="Normal 2 3 2 22 4 4" xfId="26570" xr:uid="{00000000-0005-0000-0000-0000CA670000}"/>
    <cellStyle name="Normal 2 3 2 22 4 5" xfId="26571" xr:uid="{00000000-0005-0000-0000-0000CB670000}"/>
    <cellStyle name="Normal 2 3 2 22 4 6" xfId="26572" xr:uid="{00000000-0005-0000-0000-0000CC670000}"/>
    <cellStyle name="Normal 2 3 2 22 4 7" xfId="26573" xr:uid="{00000000-0005-0000-0000-0000CD670000}"/>
    <cellStyle name="Normal 2 3 2 22 4 8" xfId="26574" xr:uid="{00000000-0005-0000-0000-0000CE670000}"/>
    <cellStyle name="Normal 2 3 2 22 4 9" xfId="26575" xr:uid="{00000000-0005-0000-0000-0000CF670000}"/>
    <cellStyle name="Normal 2 3 2 22 5" xfId="26576" xr:uid="{00000000-0005-0000-0000-0000D0670000}"/>
    <cellStyle name="Normal 2 3 2 22 5 10" xfId="26577" xr:uid="{00000000-0005-0000-0000-0000D1670000}"/>
    <cellStyle name="Normal 2 3 2 22 5 2" xfId="26578" xr:uid="{00000000-0005-0000-0000-0000D2670000}"/>
    <cellStyle name="Normal 2 3 2 22 5 3" xfId="26579" xr:uid="{00000000-0005-0000-0000-0000D3670000}"/>
    <cellStyle name="Normal 2 3 2 22 5 4" xfId="26580" xr:uid="{00000000-0005-0000-0000-0000D4670000}"/>
    <cellStyle name="Normal 2 3 2 22 5 5" xfId="26581" xr:uid="{00000000-0005-0000-0000-0000D5670000}"/>
    <cellStyle name="Normal 2 3 2 22 5 6" xfId="26582" xr:uid="{00000000-0005-0000-0000-0000D6670000}"/>
    <cellStyle name="Normal 2 3 2 22 5 7" xfId="26583" xr:uid="{00000000-0005-0000-0000-0000D7670000}"/>
    <cellStyle name="Normal 2 3 2 22 5 8" xfId="26584" xr:uid="{00000000-0005-0000-0000-0000D8670000}"/>
    <cellStyle name="Normal 2 3 2 22 5 9" xfId="26585" xr:uid="{00000000-0005-0000-0000-0000D9670000}"/>
    <cellStyle name="Normal 2 3 2 22 6" xfId="26586" xr:uid="{00000000-0005-0000-0000-0000DA670000}"/>
    <cellStyle name="Normal 2 3 2 22 7" xfId="26587" xr:uid="{00000000-0005-0000-0000-0000DB670000}"/>
    <cellStyle name="Normal 2 3 2 22 8" xfId="26588" xr:uid="{00000000-0005-0000-0000-0000DC670000}"/>
    <cellStyle name="Normal 2 3 2 22 9" xfId="26589" xr:uid="{00000000-0005-0000-0000-0000DD670000}"/>
    <cellStyle name="Normal 2 3 2 23" xfId="26590" xr:uid="{00000000-0005-0000-0000-0000DE670000}"/>
    <cellStyle name="Normal 2 3 2 23 10" xfId="26591" xr:uid="{00000000-0005-0000-0000-0000DF670000}"/>
    <cellStyle name="Normal 2 3 2 23 11" xfId="26592" xr:uid="{00000000-0005-0000-0000-0000E0670000}"/>
    <cellStyle name="Normal 2 3 2 23 12" xfId="26593" xr:uid="{00000000-0005-0000-0000-0000E1670000}"/>
    <cellStyle name="Normal 2 3 2 23 13" xfId="26594" xr:uid="{00000000-0005-0000-0000-0000E2670000}"/>
    <cellStyle name="Normal 2 3 2 23 14" xfId="26595" xr:uid="{00000000-0005-0000-0000-0000E3670000}"/>
    <cellStyle name="Normal 2 3 2 23 2" xfId="26596" xr:uid="{00000000-0005-0000-0000-0000E4670000}"/>
    <cellStyle name="Normal 2 3 2 23 2 10" xfId="26597" xr:uid="{00000000-0005-0000-0000-0000E5670000}"/>
    <cellStyle name="Normal 2 3 2 23 2 2" xfId="26598" xr:uid="{00000000-0005-0000-0000-0000E6670000}"/>
    <cellStyle name="Normal 2 3 2 23 2 3" xfId="26599" xr:uid="{00000000-0005-0000-0000-0000E7670000}"/>
    <cellStyle name="Normal 2 3 2 23 2 4" xfId="26600" xr:uid="{00000000-0005-0000-0000-0000E8670000}"/>
    <cellStyle name="Normal 2 3 2 23 2 5" xfId="26601" xr:uid="{00000000-0005-0000-0000-0000E9670000}"/>
    <cellStyle name="Normal 2 3 2 23 2 6" xfId="26602" xr:uid="{00000000-0005-0000-0000-0000EA670000}"/>
    <cellStyle name="Normal 2 3 2 23 2 7" xfId="26603" xr:uid="{00000000-0005-0000-0000-0000EB670000}"/>
    <cellStyle name="Normal 2 3 2 23 2 8" xfId="26604" xr:uid="{00000000-0005-0000-0000-0000EC670000}"/>
    <cellStyle name="Normal 2 3 2 23 2 9" xfId="26605" xr:uid="{00000000-0005-0000-0000-0000ED670000}"/>
    <cellStyle name="Normal 2 3 2 23 3" xfId="26606" xr:uid="{00000000-0005-0000-0000-0000EE670000}"/>
    <cellStyle name="Normal 2 3 2 23 3 10" xfId="26607" xr:uid="{00000000-0005-0000-0000-0000EF670000}"/>
    <cellStyle name="Normal 2 3 2 23 3 2" xfId="26608" xr:uid="{00000000-0005-0000-0000-0000F0670000}"/>
    <cellStyle name="Normal 2 3 2 23 3 3" xfId="26609" xr:uid="{00000000-0005-0000-0000-0000F1670000}"/>
    <cellStyle name="Normal 2 3 2 23 3 4" xfId="26610" xr:uid="{00000000-0005-0000-0000-0000F2670000}"/>
    <cellStyle name="Normal 2 3 2 23 3 5" xfId="26611" xr:uid="{00000000-0005-0000-0000-0000F3670000}"/>
    <cellStyle name="Normal 2 3 2 23 3 6" xfId="26612" xr:uid="{00000000-0005-0000-0000-0000F4670000}"/>
    <cellStyle name="Normal 2 3 2 23 3 7" xfId="26613" xr:uid="{00000000-0005-0000-0000-0000F5670000}"/>
    <cellStyle name="Normal 2 3 2 23 3 8" xfId="26614" xr:uid="{00000000-0005-0000-0000-0000F6670000}"/>
    <cellStyle name="Normal 2 3 2 23 3 9" xfId="26615" xr:uid="{00000000-0005-0000-0000-0000F7670000}"/>
    <cellStyle name="Normal 2 3 2 23 4" xfId="26616" xr:uid="{00000000-0005-0000-0000-0000F8670000}"/>
    <cellStyle name="Normal 2 3 2 23 4 10" xfId="26617" xr:uid="{00000000-0005-0000-0000-0000F9670000}"/>
    <cellStyle name="Normal 2 3 2 23 4 2" xfId="26618" xr:uid="{00000000-0005-0000-0000-0000FA670000}"/>
    <cellStyle name="Normal 2 3 2 23 4 3" xfId="26619" xr:uid="{00000000-0005-0000-0000-0000FB670000}"/>
    <cellStyle name="Normal 2 3 2 23 4 4" xfId="26620" xr:uid="{00000000-0005-0000-0000-0000FC670000}"/>
    <cellStyle name="Normal 2 3 2 23 4 5" xfId="26621" xr:uid="{00000000-0005-0000-0000-0000FD670000}"/>
    <cellStyle name="Normal 2 3 2 23 4 6" xfId="26622" xr:uid="{00000000-0005-0000-0000-0000FE670000}"/>
    <cellStyle name="Normal 2 3 2 23 4 7" xfId="26623" xr:uid="{00000000-0005-0000-0000-0000FF670000}"/>
    <cellStyle name="Normal 2 3 2 23 4 8" xfId="26624" xr:uid="{00000000-0005-0000-0000-000000680000}"/>
    <cellStyle name="Normal 2 3 2 23 4 9" xfId="26625" xr:uid="{00000000-0005-0000-0000-000001680000}"/>
    <cellStyle name="Normal 2 3 2 23 5" xfId="26626" xr:uid="{00000000-0005-0000-0000-000002680000}"/>
    <cellStyle name="Normal 2 3 2 23 5 10" xfId="26627" xr:uid="{00000000-0005-0000-0000-000003680000}"/>
    <cellStyle name="Normal 2 3 2 23 5 2" xfId="26628" xr:uid="{00000000-0005-0000-0000-000004680000}"/>
    <cellStyle name="Normal 2 3 2 23 5 3" xfId="26629" xr:uid="{00000000-0005-0000-0000-000005680000}"/>
    <cellStyle name="Normal 2 3 2 23 5 4" xfId="26630" xr:uid="{00000000-0005-0000-0000-000006680000}"/>
    <cellStyle name="Normal 2 3 2 23 5 5" xfId="26631" xr:uid="{00000000-0005-0000-0000-000007680000}"/>
    <cellStyle name="Normal 2 3 2 23 5 6" xfId="26632" xr:uid="{00000000-0005-0000-0000-000008680000}"/>
    <cellStyle name="Normal 2 3 2 23 5 7" xfId="26633" xr:uid="{00000000-0005-0000-0000-000009680000}"/>
    <cellStyle name="Normal 2 3 2 23 5 8" xfId="26634" xr:uid="{00000000-0005-0000-0000-00000A680000}"/>
    <cellStyle name="Normal 2 3 2 23 5 9" xfId="26635" xr:uid="{00000000-0005-0000-0000-00000B680000}"/>
    <cellStyle name="Normal 2 3 2 23 6" xfId="26636" xr:uid="{00000000-0005-0000-0000-00000C680000}"/>
    <cellStyle name="Normal 2 3 2 23 7" xfId="26637" xr:uid="{00000000-0005-0000-0000-00000D680000}"/>
    <cellStyle name="Normal 2 3 2 23 8" xfId="26638" xr:uid="{00000000-0005-0000-0000-00000E680000}"/>
    <cellStyle name="Normal 2 3 2 23 9" xfId="26639" xr:uid="{00000000-0005-0000-0000-00000F680000}"/>
    <cellStyle name="Normal 2 3 2 24" xfId="26640" xr:uid="{00000000-0005-0000-0000-000010680000}"/>
    <cellStyle name="Normal 2 3 2 24 10" xfId="26641" xr:uid="{00000000-0005-0000-0000-000011680000}"/>
    <cellStyle name="Normal 2 3 2 24 11" xfId="26642" xr:uid="{00000000-0005-0000-0000-000012680000}"/>
    <cellStyle name="Normal 2 3 2 24 12" xfId="26643" xr:uid="{00000000-0005-0000-0000-000013680000}"/>
    <cellStyle name="Normal 2 3 2 24 13" xfId="26644" xr:uid="{00000000-0005-0000-0000-000014680000}"/>
    <cellStyle name="Normal 2 3 2 24 14" xfId="26645" xr:uid="{00000000-0005-0000-0000-000015680000}"/>
    <cellStyle name="Normal 2 3 2 24 2" xfId="26646" xr:uid="{00000000-0005-0000-0000-000016680000}"/>
    <cellStyle name="Normal 2 3 2 24 2 10" xfId="26647" xr:uid="{00000000-0005-0000-0000-000017680000}"/>
    <cellStyle name="Normal 2 3 2 24 2 2" xfId="26648" xr:uid="{00000000-0005-0000-0000-000018680000}"/>
    <cellStyle name="Normal 2 3 2 24 2 3" xfId="26649" xr:uid="{00000000-0005-0000-0000-000019680000}"/>
    <cellStyle name="Normal 2 3 2 24 2 4" xfId="26650" xr:uid="{00000000-0005-0000-0000-00001A680000}"/>
    <cellStyle name="Normal 2 3 2 24 2 5" xfId="26651" xr:uid="{00000000-0005-0000-0000-00001B680000}"/>
    <cellStyle name="Normal 2 3 2 24 2 6" xfId="26652" xr:uid="{00000000-0005-0000-0000-00001C680000}"/>
    <cellStyle name="Normal 2 3 2 24 2 7" xfId="26653" xr:uid="{00000000-0005-0000-0000-00001D680000}"/>
    <cellStyle name="Normal 2 3 2 24 2 8" xfId="26654" xr:uid="{00000000-0005-0000-0000-00001E680000}"/>
    <cellStyle name="Normal 2 3 2 24 2 9" xfId="26655" xr:uid="{00000000-0005-0000-0000-00001F680000}"/>
    <cellStyle name="Normal 2 3 2 24 3" xfId="26656" xr:uid="{00000000-0005-0000-0000-000020680000}"/>
    <cellStyle name="Normal 2 3 2 24 3 10" xfId="26657" xr:uid="{00000000-0005-0000-0000-000021680000}"/>
    <cellStyle name="Normal 2 3 2 24 3 2" xfId="26658" xr:uid="{00000000-0005-0000-0000-000022680000}"/>
    <cellStyle name="Normal 2 3 2 24 3 3" xfId="26659" xr:uid="{00000000-0005-0000-0000-000023680000}"/>
    <cellStyle name="Normal 2 3 2 24 3 4" xfId="26660" xr:uid="{00000000-0005-0000-0000-000024680000}"/>
    <cellStyle name="Normal 2 3 2 24 3 5" xfId="26661" xr:uid="{00000000-0005-0000-0000-000025680000}"/>
    <cellStyle name="Normal 2 3 2 24 3 6" xfId="26662" xr:uid="{00000000-0005-0000-0000-000026680000}"/>
    <cellStyle name="Normal 2 3 2 24 3 7" xfId="26663" xr:uid="{00000000-0005-0000-0000-000027680000}"/>
    <cellStyle name="Normal 2 3 2 24 3 8" xfId="26664" xr:uid="{00000000-0005-0000-0000-000028680000}"/>
    <cellStyle name="Normal 2 3 2 24 3 9" xfId="26665" xr:uid="{00000000-0005-0000-0000-000029680000}"/>
    <cellStyle name="Normal 2 3 2 24 4" xfId="26666" xr:uid="{00000000-0005-0000-0000-00002A680000}"/>
    <cellStyle name="Normal 2 3 2 24 4 10" xfId="26667" xr:uid="{00000000-0005-0000-0000-00002B680000}"/>
    <cellStyle name="Normal 2 3 2 24 4 2" xfId="26668" xr:uid="{00000000-0005-0000-0000-00002C680000}"/>
    <cellStyle name="Normal 2 3 2 24 4 3" xfId="26669" xr:uid="{00000000-0005-0000-0000-00002D680000}"/>
    <cellStyle name="Normal 2 3 2 24 4 4" xfId="26670" xr:uid="{00000000-0005-0000-0000-00002E680000}"/>
    <cellStyle name="Normal 2 3 2 24 4 5" xfId="26671" xr:uid="{00000000-0005-0000-0000-00002F680000}"/>
    <cellStyle name="Normal 2 3 2 24 4 6" xfId="26672" xr:uid="{00000000-0005-0000-0000-000030680000}"/>
    <cellStyle name="Normal 2 3 2 24 4 7" xfId="26673" xr:uid="{00000000-0005-0000-0000-000031680000}"/>
    <cellStyle name="Normal 2 3 2 24 4 8" xfId="26674" xr:uid="{00000000-0005-0000-0000-000032680000}"/>
    <cellStyle name="Normal 2 3 2 24 4 9" xfId="26675" xr:uid="{00000000-0005-0000-0000-000033680000}"/>
    <cellStyle name="Normal 2 3 2 24 5" xfId="26676" xr:uid="{00000000-0005-0000-0000-000034680000}"/>
    <cellStyle name="Normal 2 3 2 24 5 10" xfId="26677" xr:uid="{00000000-0005-0000-0000-000035680000}"/>
    <cellStyle name="Normal 2 3 2 24 5 2" xfId="26678" xr:uid="{00000000-0005-0000-0000-000036680000}"/>
    <cellStyle name="Normal 2 3 2 24 5 3" xfId="26679" xr:uid="{00000000-0005-0000-0000-000037680000}"/>
    <cellStyle name="Normal 2 3 2 24 5 4" xfId="26680" xr:uid="{00000000-0005-0000-0000-000038680000}"/>
    <cellStyle name="Normal 2 3 2 24 5 5" xfId="26681" xr:uid="{00000000-0005-0000-0000-000039680000}"/>
    <cellStyle name="Normal 2 3 2 24 5 6" xfId="26682" xr:uid="{00000000-0005-0000-0000-00003A680000}"/>
    <cellStyle name="Normal 2 3 2 24 5 7" xfId="26683" xr:uid="{00000000-0005-0000-0000-00003B680000}"/>
    <cellStyle name="Normal 2 3 2 24 5 8" xfId="26684" xr:uid="{00000000-0005-0000-0000-00003C680000}"/>
    <cellStyle name="Normal 2 3 2 24 5 9" xfId="26685" xr:uid="{00000000-0005-0000-0000-00003D680000}"/>
    <cellStyle name="Normal 2 3 2 24 6" xfId="26686" xr:uid="{00000000-0005-0000-0000-00003E680000}"/>
    <cellStyle name="Normal 2 3 2 24 7" xfId="26687" xr:uid="{00000000-0005-0000-0000-00003F680000}"/>
    <cellStyle name="Normal 2 3 2 24 8" xfId="26688" xr:uid="{00000000-0005-0000-0000-000040680000}"/>
    <cellStyle name="Normal 2 3 2 24 9" xfId="26689" xr:uid="{00000000-0005-0000-0000-000041680000}"/>
    <cellStyle name="Normal 2 3 2 25" xfId="26690" xr:uid="{00000000-0005-0000-0000-000042680000}"/>
    <cellStyle name="Normal 2 3 2 25 10" xfId="26691" xr:uid="{00000000-0005-0000-0000-000043680000}"/>
    <cellStyle name="Normal 2 3 2 25 11" xfId="26692" xr:uid="{00000000-0005-0000-0000-000044680000}"/>
    <cellStyle name="Normal 2 3 2 25 12" xfId="26693" xr:uid="{00000000-0005-0000-0000-000045680000}"/>
    <cellStyle name="Normal 2 3 2 25 13" xfId="26694" xr:uid="{00000000-0005-0000-0000-000046680000}"/>
    <cellStyle name="Normal 2 3 2 25 14" xfId="26695" xr:uid="{00000000-0005-0000-0000-000047680000}"/>
    <cellStyle name="Normal 2 3 2 25 2" xfId="26696" xr:uid="{00000000-0005-0000-0000-000048680000}"/>
    <cellStyle name="Normal 2 3 2 25 2 10" xfId="26697" xr:uid="{00000000-0005-0000-0000-000049680000}"/>
    <cellStyle name="Normal 2 3 2 25 2 2" xfId="26698" xr:uid="{00000000-0005-0000-0000-00004A680000}"/>
    <cellStyle name="Normal 2 3 2 25 2 3" xfId="26699" xr:uid="{00000000-0005-0000-0000-00004B680000}"/>
    <cellStyle name="Normal 2 3 2 25 2 4" xfId="26700" xr:uid="{00000000-0005-0000-0000-00004C680000}"/>
    <cellStyle name="Normal 2 3 2 25 2 5" xfId="26701" xr:uid="{00000000-0005-0000-0000-00004D680000}"/>
    <cellStyle name="Normal 2 3 2 25 2 6" xfId="26702" xr:uid="{00000000-0005-0000-0000-00004E680000}"/>
    <cellStyle name="Normal 2 3 2 25 2 7" xfId="26703" xr:uid="{00000000-0005-0000-0000-00004F680000}"/>
    <cellStyle name="Normal 2 3 2 25 2 8" xfId="26704" xr:uid="{00000000-0005-0000-0000-000050680000}"/>
    <cellStyle name="Normal 2 3 2 25 2 9" xfId="26705" xr:uid="{00000000-0005-0000-0000-000051680000}"/>
    <cellStyle name="Normal 2 3 2 25 3" xfId="26706" xr:uid="{00000000-0005-0000-0000-000052680000}"/>
    <cellStyle name="Normal 2 3 2 25 3 10" xfId="26707" xr:uid="{00000000-0005-0000-0000-000053680000}"/>
    <cellStyle name="Normal 2 3 2 25 3 2" xfId="26708" xr:uid="{00000000-0005-0000-0000-000054680000}"/>
    <cellStyle name="Normal 2 3 2 25 3 3" xfId="26709" xr:uid="{00000000-0005-0000-0000-000055680000}"/>
    <cellStyle name="Normal 2 3 2 25 3 4" xfId="26710" xr:uid="{00000000-0005-0000-0000-000056680000}"/>
    <cellStyle name="Normal 2 3 2 25 3 5" xfId="26711" xr:uid="{00000000-0005-0000-0000-000057680000}"/>
    <cellStyle name="Normal 2 3 2 25 3 6" xfId="26712" xr:uid="{00000000-0005-0000-0000-000058680000}"/>
    <cellStyle name="Normal 2 3 2 25 3 7" xfId="26713" xr:uid="{00000000-0005-0000-0000-000059680000}"/>
    <cellStyle name="Normal 2 3 2 25 3 8" xfId="26714" xr:uid="{00000000-0005-0000-0000-00005A680000}"/>
    <cellStyle name="Normal 2 3 2 25 3 9" xfId="26715" xr:uid="{00000000-0005-0000-0000-00005B680000}"/>
    <cellStyle name="Normal 2 3 2 25 4" xfId="26716" xr:uid="{00000000-0005-0000-0000-00005C680000}"/>
    <cellStyle name="Normal 2 3 2 25 4 10" xfId="26717" xr:uid="{00000000-0005-0000-0000-00005D680000}"/>
    <cellStyle name="Normal 2 3 2 25 4 2" xfId="26718" xr:uid="{00000000-0005-0000-0000-00005E680000}"/>
    <cellStyle name="Normal 2 3 2 25 4 3" xfId="26719" xr:uid="{00000000-0005-0000-0000-00005F680000}"/>
    <cellStyle name="Normal 2 3 2 25 4 4" xfId="26720" xr:uid="{00000000-0005-0000-0000-000060680000}"/>
    <cellStyle name="Normal 2 3 2 25 4 5" xfId="26721" xr:uid="{00000000-0005-0000-0000-000061680000}"/>
    <cellStyle name="Normal 2 3 2 25 4 6" xfId="26722" xr:uid="{00000000-0005-0000-0000-000062680000}"/>
    <cellStyle name="Normal 2 3 2 25 4 7" xfId="26723" xr:uid="{00000000-0005-0000-0000-000063680000}"/>
    <cellStyle name="Normal 2 3 2 25 4 8" xfId="26724" xr:uid="{00000000-0005-0000-0000-000064680000}"/>
    <cellStyle name="Normal 2 3 2 25 4 9" xfId="26725" xr:uid="{00000000-0005-0000-0000-000065680000}"/>
    <cellStyle name="Normal 2 3 2 25 5" xfId="26726" xr:uid="{00000000-0005-0000-0000-000066680000}"/>
    <cellStyle name="Normal 2 3 2 25 5 10" xfId="26727" xr:uid="{00000000-0005-0000-0000-000067680000}"/>
    <cellStyle name="Normal 2 3 2 25 5 2" xfId="26728" xr:uid="{00000000-0005-0000-0000-000068680000}"/>
    <cellStyle name="Normal 2 3 2 25 5 3" xfId="26729" xr:uid="{00000000-0005-0000-0000-000069680000}"/>
    <cellStyle name="Normal 2 3 2 25 5 4" xfId="26730" xr:uid="{00000000-0005-0000-0000-00006A680000}"/>
    <cellStyle name="Normal 2 3 2 25 5 5" xfId="26731" xr:uid="{00000000-0005-0000-0000-00006B680000}"/>
    <cellStyle name="Normal 2 3 2 25 5 6" xfId="26732" xr:uid="{00000000-0005-0000-0000-00006C680000}"/>
    <cellStyle name="Normal 2 3 2 25 5 7" xfId="26733" xr:uid="{00000000-0005-0000-0000-00006D680000}"/>
    <cellStyle name="Normal 2 3 2 25 5 8" xfId="26734" xr:uid="{00000000-0005-0000-0000-00006E680000}"/>
    <cellStyle name="Normal 2 3 2 25 5 9" xfId="26735" xr:uid="{00000000-0005-0000-0000-00006F680000}"/>
    <cellStyle name="Normal 2 3 2 25 6" xfId="26736" xr:uid="{00000000-0005-0000-0000-000070680000}"/>
    <cellStyle name="Normal 2 3 2 25 7" xfId="26737" xr:uid="{00000000-0005-0000-0000-000071680000}"/>
    <cellStyle name="Normal 2 3 2 25 8" xfId="26738" xr:uid="{00000000-0005-0000-0000-000072680000}"/>
    <cellStyle name="Normal 2 3 2 25 9" xfId="26739" xr:uid="{00000000-0005-0000-0000-000073680000}"/>
    <cellStyle name="Normal 2 3 2 26" xfId="26740" xr:uid="{00000000-0005-0000-0000-000074680000}"/>
    <cellStyle name="Normal 2 3 2 26 10" xfId="26741" xr:uid="{00000000-0005-0000-0000-000075680000}"/>
    <cellStyle name="Normal 2 3 2 26 11" xfId="26742" xr:uid="{00000000-0005-0000-0000-000076680000}"/>
    <cellStyle name="Normal 2 3 2 26 12" xfId="26743" xr:uid="{00000000-0005-0000-0000-000077680000}"/>
    <cellStyle name="Normal 2 3 2 26 13" xfId="26744" xr:uid="{00000000-0005-0000-0000-000078680000}"/>
    <cellStyle name="Normal 2 3 2 26 14" xfId="26745" xr:uid="{00000000-0005-0000-0000-000079680000}"/>
    <cellStyle name="Normal 2 3 2 26 2" xfId="26746" xr:uid="{00000000-0005-0000-0000-00007A680000}"/>
    <cellStyle name="Normal 2 3 2 26 2 10" xfId="26747" xr:uid="{00000000-0005-0000-0000-00007B680000}"/>
    <cellStyle name="Normal 2 3 2 26 2 2" xfId="26748" xr:uid="{00000000-0005-0000-0000-00007C680000}"/>
    <cellStyle name="Normal 2 3 2 26 2 3" xfId="26749" xr:uid="{00000000-0005-0000-0000-00007D680000}"/>
    <cellStyle name="Normal 2 3 2 26 2 4" xfId="26750" xr:uid="{00000000-0005-0000-0000-00007E680000}"/>
    <cellStyle name="Normal 2 3 2 26 2 5" xfId="26751" xr:uid="{00000000-0005-0000-0000-00007F680000}"/>
    <cellStyle name="Normal 2 3 2 26 2 6" xfId="26752" xr:uid="{00000000-0005-0000-0000-000080680000}"/>
    <cellStyle name="Normal 2 3 2 26 2 7" xfId="26753" xr:uid="{00000000-0005-0000-0000-000081680000}"/>
    <cellStyle name="Normal 2 3 2 26 2 8" xfId="26754" xr:uid="{00000000-0005-0000-0000-000082680000}"/>
    <cellStyle name="Normal 2 3 2 26 2 9" xfId="26755" xr:uid="{00000000-0005-0000-0000-000083680000}"/>
    <cellStyle name="Normal 2 3 2 26 3" xfId="26756" xr:uid="{00000000-0005-0000-0000-000084680000}"/>
    <cellStyle name="Normal 2 3 2 26 3 10" xfId="26757" xr:uid="{00000000-0005-0000-0000-000085680000}"/>
    <cellStyle name="Normal 2 3 2 26 3 2" xfId="26758" xr:uid="{00000000-0005-0000-0000-000086680000}"/>
    <cellStyle name="Normal 2 3 2 26 3 3" xfId="26759" xr:uid="{00000000-0005-0000-0000-000087680000}"/>
    <cellStyle name="Normal 2 3 2 26 3 4" xfId="26760" xr:uid="{00000000-0005-0000-0000-000088680000}"/>
    <cellStyle name="Normal 2 3 2 26 3 5" xfId="26761" xr:uid="{00000000-0005-0000-0000-000089680000}"/>
    <cellStyle name="Normal 2 3 2 26 3 6" xfId="26762" xr:uid="{00000000-0005-0000-0000-00008A680000}"/>
    <cellStyle name="Normal 2 3 2 26 3 7" xfId="26763" xr:uid="{00000000-0005-0000-0000-00008B680000}"/>
    <cellStyle name="Normal 2 3 2 26 3 8" xfId="26764" xr:uid="{00000000-0005-0000-0000-00008C680000}"/>
    <cellStyle name="Normal 2 3 2 26 3 9" xfId="26765" xr:uid="{00000000-0005-0000-0000-00008D680000}"/>
    <cellStyle name="Normal 2 3 2 26 4" xfId="26766" xr:uid="{00000000-0005-0000-0000-00008E680000}"/>
    <cellStyle name="Normal 2 3 2 26 4 10" xfId="26767" xr:uid="{00000000-0005-0000-0000-00008F680000}"/>
    <cellStyle name="Normal 2 3 2 26 4 2" xfId="26768" xr:uid="{00000000-0005-0000-0000-000090680000}"/>
    <cellStyle name="Normal 2 3 2 26 4 3" xfId="26769" xr:uid="{00000000-0005-0000-0000-000091680000}"/>
    <cellStyle name="Normal 2 3 2 26 4 4" xfId="26770" xr:uid="{00000000-0005-0000-0000-000092680000}"/>
    <cellStyle name="Normal 2 3 2 26 4 5" xfId="26771" xr:uid="{00000000-0005-0000-0000-000093680000}"/>
    <cellStyle name="Normal 2 3 2 26 4 6" xfId="26772" xr:uid="{00000000-0005-0000-0000-000094680000}"/>
    <cellStyle name="Normal 2 3 2 26 4 7" xfId="26773" xr:uid="{00000000-0005-0000-0000-000095680000}"/>
    <cellStyle name="Normal 2 3 2 26 4 8" xfId="26774" xr:uid="{00000000-0005-0000-0000-000096680000}"/>
    <cellStyle name="Normal 2 3 2 26 4 9" xfId="26775" xr:uid="{00000000-0005-0000-0000-000097680000}"/>
    <cellStyle name="Normal 2 3 2 26 5" xfId="26776" xr:uid="{00000000-0005-0000-0000-000098680000}"/>
    <cellStyle name="Normal 2 3 2 26 5 10" xfId="26777" xr:uid="{00000000-0005-0000-0000-000099680000}"/>
    <cellStyle name="Normal 2 3 2 26 5 2" xfId="26778" xr:uid="{00000000-0005-0000-0000-00009A680000}"/>
    <cellStyle name="Normal 2 3 2 26 5 3" xfId="26779" xr:uid="{00000000-0005-0000-0000-00009B680000}"/>
    <cellStyle name="Normal 2 3 2 26 5 4" xfId="26780" xr:uid="{00000000-0005-0000-0000-00009C680000}"/>
    <cellStyle name="Normal 2 3 2 26 5 5" xfId="26781" xr:uid="{00000000-0005-0000-0000-00009D680000}"/>
    <cellStyle name="Normal 2 3 2 26 5 6" xfId="26782" xr:uid="{00000000-0005-0000-0000-00009E680000}"/>
    <cellStyle name="Normal 2 3 2 26 5 7" xfId="26783" xr:uid="{00000000-0005-0000-0000-00009F680000}"/>
    <cellStyle name="Normal 2 3 2 26 5 8" xfId="26784" xr:uid="{00000000-0005-0000-0000-0000A0680000}"/>
    <cellStyle name="Normal 2 3 2 26 5 9" xfId="26785" xr:uid="{00000000-0005-0000-0000-0000A1680000}"/>
    <cellStyle name="Normal 2 3 2 26 6" xfId="26786" xr:uid="{00000000-0005-0000-0000-0000A2680000}"/>
    <cellStyle name="Normal 2 3 2 26 7" xfId="26787" xr:uid="{00000000-0005-0000-0000-0000A3680000}"/>
    <cellStyle name="Normal 2 3 2 26 8" xfId="26788" xr:uid="{00000000-0005-0000-0000-0000A4680000}"/>
    <cellStyle name="Normal 2 3 2 26 9" xfId="26789" xr:uid="{00000000-0005-0000-0000-0000A5680000}"/>
    <cellStyle name="Normal 2 3 2 27" xfId="26790" xr:uid="{00000000-0005-0000-0000-0000A6680000}"/>
    <cellStyle name="Normal 2 3 2 27 10" xfId="26791" xr:uid="{00000000-0005-0000-0000-0000A7680000}"/>
    <cellStyle name="Normal 2 3 2 27 11" xfId="26792" xr:uid="{00000000-0005-0000-0000-0000A8680000}"/>
    <cellStyle name="Normal 2 3 2 27 12" xfId="26793" xr:uid="{00000000-0005-0000-0000-0000A9680000}"/>
    <cellStyle name="Normal 2 3 2 27 13" xfId="26794" xr:uid="{00000000-0005-0000-0000-0000AA680000}"/>
    <cellStyle name="Normal 2 3 2 27 14" xfId="26795" xr:uid="{00000000-0005-0000-0000-0000AB680000}"/>
    <cellStyle name="Normal 2 3 2 27 2" xfId="26796" xr:uid="{00000000-0005-0000-0000-0000AC680000}"/>
    <cellStyle name="Normal 2 3 2 27 2 10" xfId="26797" xr:uid="{00000000-0005-0000-0000-0000AD680000}"/>
    <cellStyle name="Normal 2 3 2 27 2 2" xfId="26798" xr:uid="{00000000-0005-0000-0000-0000AE680000}"/>
    <cellStyle name="Normal 2 3 2 27 2 3" xfId="26799" xr:uid="{00000000-0005-0000-0000-0000AF680000}"/>
    <cellStyle name="Normal 2 3 2 27 2 4" xfId="26800" xr:uid="{00000000-0005-0000-0000-0000B0680000}"/>
    <cellStyle name="Normal 2 3 2 27 2 5" xfId="26801" xr:uid="{00000000-0005-0000-0000-0000B1680000}"/>
    <cellStyle name="Normal 2 3 2 27 2 6" xfId="26802" xr:uid="{00000000-0005-0000-0000-0000B2680000}"/>
    <cellStyle name="Normal 2 3 2 27 2 7" xfId="26803" xr:uid="{00000000-0005-0000-0000-0000B3680000}"/>
    <cellStyle name="Normal 2 3 2 27 2 8" xfId="26804" xr:uid="{00000000-0005-0000-0000-0000B4680000}"/>
    <cellStyle name="Normal 2 3 2 27 2 9" xfId="26805" xr:uid="{00000000-0005-0000-0000-0000B5680000}"/>
    <cellStyle name="Normal 2 3 2 27 3" xfId="26806" xr:uid="{00000000-0005-0000-0000-0000B6680000}"/>
    <cellStyle name="Normal 2 3 2 27 3 10" xfId="26807" xr:uid="{00000000-0005-0000-0000-0000B7680000}"/>
    <cellStyle name="Normal 2 3 2 27 3 2" xfId="26808" xr:uid="{00000000-0005-0000-0000-0000B8680000}"/>
    <cellStyle name="Normal 2 3 2 27 3 3" xfId="26809" xr:uid="{00000000-0005-0000-0000-0000B9680000}"/>
    <cellStyle name="Normal 2 3 2 27 3 4" xfId="26810" xr:uid="{00000000-0005-0000-0000-0000BA680000}"/>
    <cellStyle name="Normal 2 3 2 27 3 5" xfId="26811" xr:uid="{00000000-0005-0000-0000-0000BB680000}"/>
    <cellStyle name="Normal 2 3 2 27 3 6" xfId="26812" xr:uid="{00000000-0005-0000-0000-0000BC680000}"/>
    <cellStyle name="Normal 2 3 2 27 3 7" xfId="26813" xr:uid="{00000000-0005-0000-0000-0000BD680000}"/>
    <cellStyle name="Normal 2 3 2 27 3 8" xfId="26814" xr:uid="{00000000-0005-0000-0000-0000BE680000}"/>
    <cellStyle name="Normal 2 3 2 27 3 9" xfId="26815" xr:uid="{00000000-0005-0000-0000-0000BF680000}"/>
    <cellStyle name="Normal 2 3 2 27 4" xfId="26816" xr:uid="{00000000-0005-0000-0000-0000C0680000}"/>
    <cellStyle name="Normal 2 3 2 27 4 10" xfId="26817" xr:uid="{00000000-0005-0000-0000-0000C1680000}"/>
    <cellStyle name="Normal 2 3 2 27 4 2" xfId="26818" xr:uid="{00000000-0005-0000-0000-0000C2680000}"/>
    <cellStyle name="Normal 2 3 2 27 4 3" xfId="26819" xr:uid="{00000000-0005-0000-0000-0000C3680000}"/>
    <cellStyle name="Normal 2 3 2 27 4 4" xfId="26820" xr:uid="{00000000-0005-0000-0000-0000C4680000}"/>
    <cellStyle name="Normal 2 3 2 27 4 5" xfId="26821" xr:uid="{00000000-0005-0000-0000-0000C5680000}"/>
    <cellStyle name="Normal 2 3 2 27 4 6" xfId="26822" xr:uid="{00000000-0005-0000-0000-0000C6680000}"/>
    <cellStyle name="Normal 2 3 2 27 4 7" xfId="26823" xr:uid="{00000000-0005-0000-0000-0000C7680000}"/>
    <cellStyle name="Normal 2 3 2 27 4 8" xfId="26824" xr:uid="{00000000-0005-0000-0000-0000C8680000}"/>
    <cellStyle name="Normal 2 3 2 27 4 9" xfId="26825" xr:uid="{00000000-0005-0000-0000-0000C9680000}"/>
    <cellStyle name="Normal 2 3 2 27 5" xfId="26826" xr:uid="{00000000-0005-0000-0000-0000CA680000}"/>
    <cellStyle name="Normal 2 3 2 27 5 10" xfId="26827" xr:uid="{00000000-0005-0000-0000-0000CB680000}"/>
    <cellStyle name="Normal 2 3 2 27 5 2" xfId="26828" xr:uid="{00000000-0005-0000-0000-0000CC680000}"/>
    <cellStyle name="Normal 2 3 2 27 5 3" xfId="26829" xr:uid="{00000000-0005-0000-0000-0000CD680000}"/>
    <cellStyle name="Normal 2 3 2 27 5 4" xfId="26830" xr:uid="{00000000-0005-0000-0000-0000CE680000}"/>
    <cellStyle name="Normal 2 3 2 27 5 5" xfId="26831" xr:uid="{00000000-0005-0000-0000-0000CF680000}"/>
    <cellStyle name="Normal 2 3 2 27 5 6" xfId="26832" xr:uid="{00000000-0005-0000-0000-0000D0680000}"/>
    <cellStyle name="Normal 2 3 2 27 5 7" xfId="26833" xr:uid="{00000000-0005-0000-0000-0000D1680000}"/>
    <cellStyle name="Normal 2 3 2 27 5 8" xfId="26834" xr:uid="{00000000-0005-0000-0000-0000D2680000}"/>
    <cellStyle name="Normal 2 3 2 27 5 9" xfId="26835" xr:uid="{00000000-0005-0000-0000-0000D3680000}"/>
    <cellStyle name="Normal 2 3 2 27 6" xfId="26836" xr:uid="{00000000-0005-0000-0000-0000D4680000}"/>
    <cellStyle name="Normal 2 3 2 27 7" xfId="26837" xr:uid="{00000000-0005-0000-0000-0000D5680000}"/>
    <cellStyle name="Normal 2 3 2 27 8" xfId="26838" xr:uid="{00000000-0005-0000-0000-0000D6680000}"/>
    <cellStyle name="Normal 2 3 2 27 9" xfId="26839" xr:uid="{00000000-0005-0000-0000-0000D7680000}"/>
    <cellStyle name="Normal 2 3 2 28" xfId="26840" xr:uid="{00000000-0005-0000-0000-0000D8680000}"/>
    <cellStyle name="Normal 2 3 2 28 10" xfId="26841" xr:uid="{00000000-0005-0000-0000-0000D9680000}"/>
    <cellStyle name="Normal 2 3 2 28 11" xfId="26842" xr:uid="{00000000-0005-0000-0000-0000DA680000}"/>
    <cellStyle name="Normal 2 3 2 28 12" xfId="26843" xr:uid="{00000000-0005-0000-0000-0000DB680000}"/>
    <cellStyle name="Normal 2 3 2 28 13" xfId="26844" xr:uid="{00000000-0005-0000-0000-0000DC680000}"/>
    <cellStyle name="Normal 2 3 2 28 14" xfId="26845" xr:uid="{00000000-0005-0000-0000-0000DD680000}"/>
    <cellStyle name="Normal 2 3 2 28 2" xfId="26846" xr:uid="{00000000-0005-0000-0000-0000DE680000}"/>
    <cellStyle name="Normal 2 3 2 28 2 10" xfId="26847" xr:uid="{00000000-0005-0000-0000-0000DF680000}"/>
    <cellStyle name="Normal 2 3 2 28 2 2" xfId="26848" xr:uid="{00000000-0005-0000-0000-0000E0680000}"/>
    <cellStyle name="Normal 2 3 2 28 2 3" xfId="26849" xr:uid="{00000000-0005-0000-0000-0000E1680000}"/>
    <cellStyle name="Normal 2 3 2 28 2 4" xfId="26850" xr:uid="{00000000-0005-0000-0000-0000E2680000}"/>
    <cellStyle name="Normal 2 3 2 28 2 5" xfId="26851" xr:uid="{00000000-0005-0000-0000-0000E3680000}"/>
    <cellStyle name="Normal 2 3 2 28 2 6" xfId="26852" xr:uid="{00000000-0005-0000-0000-0000E4680000}"/>
    <cellStyle name="Normal 2 3 2 28 2 7" xfId="26853" xr:uid="{00000000-0005-0000-0000-0000E5680000}"/>
    <cellStyle name="Normal 2 3 2 28 2 8" xfId="26854" xr:uid="{00000000-0005-0000-0000-0000E6680000}"/>
    <cellStyle name="Normal 2 3 2 28 2 9" xfId="26855" xr:uid="{00000000-0005-0000-0000-0000E7680000}"/>
    <cellStyle name="Normal 2 3 2 28 3" xfId="26856" xr:uid="{00000000-0005-0000-0000-0000E8680000}"/>
    <cellStyle name="Normal 2 3 2 28 3 10" xfId="26857" xr:uid="{00000000-0005-0000-0000-0000E9680000}"/>
    <cellStyle name="Normal 2 3 2 28 3 2" xfId="26858" xr:uid="{00000000-0005-0000-0000-0000EA680000}"/>
    <cellStyle name="Normal 2 3 2 28 3 3" xfId="26859" xr:uid="{00000000-0005-0000-0000-0000EB680000}"/>
    <cellStyle name="Normal 2 3 2 28 3 4" xfId="26860" xr:uid="{00000000-0005-0000-0000-0000EC680000}"/>
    <cellStyle name="Normal 2 3 2 28 3 5" xfId="26861" xr:uid="{00000000-0005-0000-0000-0000ED680000}"/>
    <cellStyle name="Normal 2 3 2 28 3 6" xfId="26862" xr:uid="{00000000-0005-0000-0000-0000EE680000}"/>
    <cellStyle name="Normal 2 3 2 28 3 7" xfId="26863" xr:uid="{00000000-0005-0000-0000-0000EF680000}"/>
    <cellStyle name="Normal 2 3 2 28 3 8" xfId="26864" xr:uid="{00000000-0005-0000-0000-0000F0680000}"/>
    <cellStyle name="Normal 2 3 2 28 3 9" xfId="26865" xr:uid="{00000000-0005-0000-0000-0000F1680000}"/>
    <cellStyle name="Normal 2 3 2 28 4" xfId="26866" xr:uid="{00000000-0005-0000-0000-0000F2680000}"/>
    <cellStyle name="Normal 2 3 2 28 4 10" xfId="26867" xr:uid="{00000000-0005-0000-0000-0000F3680000}"/>
    <cellStyle name="Normal 2 3 2 28 4 2" xfId="26868" xr:uid="{00000000-0005-0000-0000-0000F4680000}"/>
    <cellStyle name="Normal 2 3 2 28 4 3" xfId="26869" xr:uid="{00000000-0005-0000-0000-0000F5680000}"/>
    <cellStyle name="Normal 2 3 2 28 4 4" xfId="26870" xr:uid="{00000000-0005-0000-0000-0000F6680000}"/>
    <cellStyle name="Normal 2 3 2 28 4 5" xfId="26871" xr:uid="{00000000-0005-0000-0000-0000F7680000}"/>
    <cellStyle name="Normal 2 3 2 28 4 6" xfId="26872" xr:uid="{00000000-0005-0000-0000-0000F8680000}"/>
    <cellStyle name="Normal 2 3 2 28 4 7" xfId="26873" xr:uid="{00000000-0005-0000-0000-0000F9680000}"/>
    <cellStyle name="Normal 2 3 2 28 4 8" xfId="26874" xr:uid="{00000000-0005-0000-0000-0000FA680000}"/>
    <cellStyle name="Normal 2 3 2 28 4 9" xfId="26875" xr:uid="{00000000-0005-0000-0000-0000FB680000}"/>
    <cellStyle name="Normal 2 3 2 28 5" xfId="26876" xr:uid="{00000000-0005-0000-0000-0000FC680000}"/>
    <cellStyle name="Normal 2 3 2 28 5 10" xfId="26877" xr:uid="{00000000-0005-0000-0000-0000FD680000}"/>
    <cellStyle name="Normal 2 3 2 28 5 2" xfId="26878" xr:uid="{00000000-0005-0000-0000-0000FE680000}"/>
    <cellStyle name="Normal 2 3 2 28 5 3" xfId="26879" xr:uid="{00000000-0005-0000-0000-0000FF680000}"/>
    <cellStyle name="Normal 2 3 2 28 5 4" xfId="26880" xr:uid="{00000000-0005-0000-0000-000000690000}"/>
    <cellStyle name="Normal 2 3 2 28 5 5" xfId="26881" xr:uid="{00000000-0005-0000-0000-000001690000}"/>
    <cellStyle name="Normal 2 3 2 28 5 6" xfId="26882" xr:uid="{00000000-0005-0000-0000-000002690000}"/>
    <cellStyle name="Normal 2 3 2 28 5 7" xfId="26883" xr:uid="{00000000-0005-0000-0000-000003690000}"/>
    <cellStyle name="Normal 2 3 2 28 5 8" xfId="26884" xr:uid="{00000000-0005-0000-0000-000004690000}"/>
    <cellStyle name="Normal 2 3 2 28 5 9" xfId="26885" xr:uid="{00000000-0005-0000-0000-000005690000}"/>
    <cellStyle name="Normal 2 3 2 28 6" xfId="26886" xr:uid="{00000000-0005-0000-0000-000006690000}"/>
    <cellStyle name="Normal 2 3 2 28 7" xfId="26887" xr:uid="{00000000-0005-0000-0000-000007690000}"/>
    <cellStyle name="Normal 2 3 2 28 8" xfId="26888" xr:uid="{00000000-0005-0000-0000-000008690000}"/>
    <cellStyle name="Normal 2 3 2 28 9" xfId="26889" xr:uid="{00000000-0005-0000-0000-000009690000}"/>
    <cellStyle name="Normal 2 3 2 29" xfId="26890" xr:uid="{00000000-0005-0000-0000-00000A690000}"/>
    <cellStyle name="Normal 2 3 2 29 10" xfId="26891" xr:uid="{00000000-0005-0000-0000-00000B690000}"/>
    <cellStyle name="Normal 2 3 2 29 11" xfId="26892" xr:uid="{00000000-0005-0000-0000-00000C690000}"/>
    <cellStyle name="Normal 2 3 2 29 12" xfId="26893" xr:uid="{00000000-0005-0000-0000-00000D690000}"/>
    <cellStyle name="Normal 2 3 2 29 13" xfId="26894" xr:uid="{00000000-0005-0000-0000-00000E690000}"/>
    <cellStyle name="Normal 2 3 2 29 14" xfId="26895" xr:uid="{00000000-0005-0000-0000-00000F690000}"/>
    <cellStyle name="Normal 2 3 2 29 2" xfId="26896" xr:uid="{00000000-0005-0000-0000-000010690000}"/>
    <cellStyle name="Normal 2 3 2 29 2 10" xfId="26897" xr:uid="{00000000-0005-0000-0000-000011690000}"/>
    <cellStyle name="Normal 2 3 2 29 2 2" xfId="26898" xr:uid="{00000000-0005-0000-0000-000012690000}"/>
    <cellStyle name="Normal 2 3 2 29 2 3" xfId="26899" xr:uid="{00000000-0005-0000-0000-000013690000}"/>
    <cellStyle name="Normal 2 3 2 29 2 4" xfId="26900" xr:uid="{00000000-0005-0000-0000-000014690000}"/>
    <cellStyle name="Normal 2 3 2 29 2 5" xfId="26901" xr:uid="{00000000-0005-0000-0000-000015690000}"/>
    <cellStyle name="Normal 2 3 2 29 2 6" xfId="26902" xr:uid="{00000000-0005-0000-0000-000016690000}"/>
    <cellStyle name="Normal 2 3 2 29 2 7" xfId="26903" xr:uid="{00000000-0005-0000-0000-000017690000}"/>
    <cellStyle name="Normal 2 3 2 29 2 8" xfId="26904" xr:uid="{00000000-0005-0000-0000-000018690000}"/>
    <cellStyle name="Normal 2 3 2 29 2 9" xfId="26905" xr:uid="{00000000-0005-0000-0000-000019690000}"/>
    <cellStyle name="Normal 2 3 2 29 3" xfId="26906" xr:uid="{00000000-0005-0000-0000-00001A690000}"/>
    <cellStyle name="Normal 2 3 2 29 3 10" xfId="26907" xr:uid="{00000000-0005-0000-0000-00001B690000}"/>
    <cellStyle name="Normal 2 3 2 29 3 2" xfId="26908" xr:uid="{00000000-0005-0000-0000-00001C690000}"/>
    <cellStyle name="Normal 2 3 2 29 3 3" xfId="26909" xr:uid="{00000000-0005-0000-0000-00001D690000}"/>
    <cellStyle name="Normal 2 3 2 29 3 4" xfId="26910" xr:uid="{00000000-0005-0000-0000-00001E690000}"/>
    <cellStyle name="Normal 2 3 2 29 3 5" xfId="26911" xr:uid="{00000000-0005-0000-0000-00001F690000}"/>
    <cellStyle name="Normal 2 3 2 29 3 6" xfId="26912" xr:uid="{00000000-0005-0000-0000-000020690000}"/>
    <cellStyle name="Normal 2 3 2 29 3 7" xfId="26913" xr:uid="{00000000-0005-0000-0000-000021690000}"/>
    <cellStyle name="Normal 2 3 2 29 3 8" xfId="26914" xr:uid="{00000000-0005-0000-0000-000022690000}"/>
    <cellStyle name="Normal 2 3 2 29 3 9" xfId="26915" xr:uid="{00000000-0005-0000-0000-000023690000}"/>
    <cellStyle name="Normal 2 3 2 29 4" xfId="26916" xr:uid="{00000000-0005-0000-0000-000024690000}"/>
    <cellStyle name="Normal 2 3 2 29 4 10" xfId="26917" xr:uid="{00000000-0005-0000-0000-000025690000}"/>
    <cellStyle name="Normal 2 3 2 29 4 2" xfId="26918" xr:uid="{00000000-0005-0000-0000-000026690000}"/>
    <cellStyle name="Normal 2 3 2 29 4 3" xfId="26919" xr:uid="{00000000-0005-0000-0000-000027690000}"/>
    <cellStyle name="Normal 2 3 2 29 4 4" xfId="26920" xr:uid="{00000000-0005-0000-0000-000028690000}"/>
    <cellStyle name="Normal 2 3 2 29 4 5" xfId="26921" xr:uid="{00000000-0005-0000-0000-000029690000}"/>
    <cellStyle name="Normal 2 3 2 29 4 6" xfId="26922" xr:uid="{00000000-0005-0000-0000-00002A690000}"/>
    <cellStyle name="Normal 2 3 2 29 4 7" xfId="26923" xr:uid="{00000000-0005-0000-0000-00002B690000}"/>
    <cellStyle name="Normal 2 3 2 29 4 8" xfId="26924" xr:uid="{00000000-0005-0000-0000-00002C690000}"/>
    <cellStyle name="Normal 2 3 2 29 4 9" xfId="26925" xr:uid="{00000000-0005-0000-0000-00002D690000}"/>
    <cellStyle name="Normal 2 3 2 29 5" xfId="26926" xr:uid="{00000000-0005-0000-0000-00002E690000}"/>
    <cellStyle name="Normal 2 3 2 29 5 10" xfId="26927" xr:uid="{00000000-0005-0000-0000-00002F690000}"/>
    <cellStyle name="Normal 2 3 2 29 5 2" xfId="26928" xr:uid="{00000000-0005-0000-0000-000030690000}"/>
    <cellStyle name="Normal 2 3 2 29 5 3" xfId="26929" xr:uid="{00000000-0005-0000-0000-000031690000}"/>
    <cellStyle name="Normal 2 3 2 29 5 4" xfId="26930" xr:uid="{00000000-0005-0000-0000-000032690000}"/>
    <cellStyle name="Normal 2 3 2 29 5 5" xfId="26931" xr:uid="{00000000-0005-0000-0000-000033690000}"/>
    <cellStyle name="Normal 2 3 2 29 5 6" xfId="26932" xr:uid="{00000000-0005-0000-0000-000034690000}"/>
    <cellStyle name="Normal 2 3 2 29 5 7" xfId="26933" xr:uid="{00000000-0005-0000-0000-000035690000}"/>
    <cellStyle name="Normal 2 3 2 29 5 8" xfId="26934" xr:uid="{00000000-0005-0000-0000-000036690000}"/>
    <cellStyle name="Normal 2 3 2 29 5 9" xfId="26935" xr:uid="{00000000-0005-0000-0000-000037690000}"/>
    <cellStyle name="Normal 2 3 2 29 6" xfId="26936" xr:uid="{00000000-0005-0000-0000-000038690000}"/>
    <cellStyle name="Normal 2 3 2 29 7" xfId="26937" xr:uid="{00000000-0005-0000-0000-000039690000}"/>
    <cellStyle name="Normal 2 3 2 29 8" xfId="26938" xr:uid="{00000000-0005-0000-0000-00003A690000}"/>
    <cellStyle name="Normal 2 3 2 29 9" xfId="26939" xr:uid="{00000000-0005-0000-0000-00003B690000}"/>
    <cellStyle name="Normal 2 3 2 3" xfId="26940" xr:uid="{00000000-0005-0000-0000-00003C690000}"/>
    <cellStyle name="Normal 2 3 2 3 10" xfId="26941" xr:uid="{00000000-0005-0000-0000-00003D690000}"/>
    <cellStyle name="Normal 2 3 2 3 11" xfId="26942" xr:uid="{00000000-0005-0000-0000-00003E690000}"/>
    <cellStyle name="Normal 2 3 2 3 12" xfId="26943" xr:uid="{00000000-0005-0000-0000-00003F690000}"/>
    <cellStyle name="Normal 2 3 2 3 13" xfId="26944" xr:uid="{00000000-0005-0000-0000-000040690000}"/>
    <cellStyle name="Normal 2 3 2 3 14" xfId="26945" xr:uid="{00000000-0005-0000-0000-000041690000}"/>
    <cellStyle name="Normal 2 3 2 3 15" xfId="26946" xr:uid="{00000000-0005-0000-0000-000042690000}"/>
    <cellStyle name="Normal 2 3 2 3 16" xfId="26947" xr:uid="{00000000-0005-0000-0000-000043690000}"/>
    <cellStyle name="Normal 2 3 2 3 2" xfId="26948" xr:uid="{00000000-0005-0000-0000-000044690000}"/>
    <cellStyle name="Normal 2 3 2 3 2 10" xfId="26949" xr:uid="{00000000-0005-0000-0000-000045690000}"/>
    <cellStyle name="Normal 2 3 2 3 2 2" xfId="26950" xr:uid="{00000000-0005-0000-0000-000046690000}"/>
    <cellStyle name="Normal 2 3 2 3 2 3" xfId="26951" xr:uid="{00000000-0005-0000-0000-000047690000}"/>
    <cellStyle name="Normal 2 3 2 3 2 4" xfId="26952" xr:uid="{00000000-0005-0000-0000-000048690000}"/>
    <cellStyle name="Normal 2 3 2 3 2 5" xfId="26953" xr:uid="{00000000-0005-0000-0000-000049690000}"/>
    <cellStyle name="Normal 2 3 2 3 2 6" xfId="26954" xr:uid="{00000000-0005-0000-0000-00004A690000}"/>
    <cellStyle name="Normal 2 3 2 3 2 7" xfId="26955" xr:uid="{00000000-0005-0000-0000-00004B690000}"/>
    <cellStyle name="Normal 2 3 2 3 2 8" xfId="26956" xr:uid="{00000000-0005-0000-0000-00004C690000}"/>
    <cellStyle name="Normal 2 3 2 3 2 9" xfId="26957" xr:uid="{00000000-0005-0000-0000-00004D690000}"/>
    <cellStyle name="Normal 2 3 2 3 3" xfId="26958" xr:uid="{00000000-0005-0000-0000-00004E690000}"/>
    <cellStyle name="Normal 2 3 2 3 3 10" xfId="26959" xr:uid="{00000000-0005-0000-0000-00004F690000}"/>
    <cellStyle name="Normal 2 3 2 3 3 2" xfId="26960" xr:uid="{00000000-0005-0000-0000-000050690000}"/>
    <cellStyle name="Normal 2 3 2 3 3 3" xfId="26961" xr:uid="{00000000-0005-0000-0000-000051690000}"/>
    <cellStyle name="Normal 2 3 2 3 3 4" xfId="26962" xr:uid="{00000000-0005-0000-0000-000052690000}"/>
    <cellStyle name="Normal 2 3 2 3 3 5" xfId="26963" xr:uid="{00000000-0005-0000-0000-000053690000}"/>
    <cellStyle name="Normal 2 3 2 3 3 6" xfId="26964" xr:uid="{00000000-0005-0000-0000-000054690000}"/>
    <cellStyle name="Normal 2 3 2 3 3 7" xfId="26965" xr:uid="{00000000-0005-0000-0000-000055690000}"/>
    <cellStyle name="Normal 2 3 2 3 3 8" xfId="26966" xr:uid="{00000000-0005-0000-0000-000056690000}"/>
    <cellStyle name="Normal 2 3 2 3 3 9" xfId="26967" xr:uid="{00000000-0005-0000-0000-000057690000}"/>
    <cellStyle name="Normal 2 3 2 3 4" xfId="26968" xr:uid="{00000000-0005-0000-0000-000058690000}"/>
    <cellStyle name="Normal 2 3 2 3 4 10" xfId="26969" xr:uid="{00000000-0005-0000-0000-000059690000}"/>
    <cellStyle name="Normal 2 3 2 3 4 2" xfId="26970" xr:uid="{00000000-0005-0000-0000-00005A690000}"/>
    <cellStyle name="Normal 2 3 2 3 4 3" xfId="26971" xr:uid="{00000000-0005-0000-0000-00005B690000}"/>
    <cellStyle name="Normal 2 3 2 3 4 4" xfId="26972" xr:uid="{00000000-0005-0000-0000-00005C690000}"/>
    <cellStyle name="Normal 2 3 2 3 4 5" xfId="26973" xr:uid="{00000000-0005-0000-0000-00005D690000}"/>
    <cellStyle name="Normal 2 3 2 3 4 6" xfId="26974" xr:uid="{00000000-0005-0000-0000-00005E690000}"/>
    <cellStyle name="Normal 2 3 2 3 4 7" xfId="26975" xr:uid="{00000000-0005-0000-0000-00005F690000}"/>
    <cellStyle name="Normal 2 3 2 3 4 8" xfId="26976" xr:uid="{00000000-0005-0000-0000-000060690000}"/>
    <cellStyle name="Normal 2 3 2 3 4 9" xfId="26977" xr:uid="{00000000-0005-0000-0000-000061690000}"/>
    <cellStyle name="Normal 2 3 2 3 5" xfId="26978" xr:uid="{00000000-0005-0000-0000-000062690000}"/>
    <cellStyle name="Normal 2 3 2 3 5 10" xfId="26979" xr:uid="{00000000-0005-0000-0000-000063690000}"/>
    <cellStyle name="Normal 2 3 2 3 5 2" xfId="26980" xr:uid="{00000000-0005-0000-0000-000064690000}"/>
    <cellStyle name="Normal 2 3 2 3 5 3" xfId="26981" xr:uid="{00000000-0005-0000-0000-000065690000}"/>
    <cellStyle name="Normal 2 3 2 3 5 4" xfId="26982" xr:uid="{00000000-0005-0000-0000-000066690000}"/>
    <cellStyle name="Normal 2 3 2 3 5 5" xfId="26983" xr:uid="{00000000-0005-0000-0000-000067690000}"/>
    <cellStyle name="Normal 2 3 2 3 5 6" xfId="26984" xr:uid="{00000000-0005-0000-0000-000068690000}"/>
    <cellStyle name="Normal 2 3 2 3 5 7" xfId="26985" xr:uid="{00000000-0005-0000-0000-000069690000}"/>
    <cellStyle name="Normal 2 3 2 3 5 8" xfId="26986" xr:uid="{00000000-0005-0000-0000-00006A690000}"/>
    <cellStyle name="Normal 2 3 2 3 5 9" xfId="26987" xr:uid="{00000000-0005-0000-0000-00006B690000}"/>
    <cellStyle name="Normal 2 3 2 3 6" xfId="26988" xr:uid="{00000000-0005-0000-0000-00006C690000}"/>
    <cellStyle name="Normal 2 3 2 3 7" xfId="26989" xr:uid="{00000000-0005-0000-0000-00006D690000}"/>
    <cellStyle name="Normal 2 3 2 3 8" xfId="26990" xr:uid="{00000000-0005-0000-0000-00006E690000}"/>
    <cellStyle name="Normal 2 3 2 3 9" xfId="26991" xr:uid="{00000000-0005-0000-0000-00006F690000}"/>
    <cellStyle name="Normal 2 3 2 30" xfId="26992" xr:uid="{00000000-0005-0000-0000-000070690000}"/>
    <cellStyle name="Normal 2 3 2 30 10" xfId="26993" xr:uid="{00000000-0005-0000-0000-000071690000}"/>
    <cellStyle name="Normal 2 3 2 30 11" xfId="26994" xr:uid="{00000000-0005-0000-0000-000072690000}"/>
    <cellStyle name="Normal 2 3 2 30 12" xfId="26995" xr:uid="{00000000-0005-0000-0000-000073690000}"/>
    <cellStyle name="Normal 2 3 2 30 13" xfId="26996" xr:uid="{00000000-0005-0000-0000-000074690000}"/>
    <cellStyle name="Normal 2 3 2 30 14" xfId="26997" xr:uid="{00000000-0005-0000-0000-000075690000}"/>
    <cellStyle name="Normal 2 3 2 30 2" xfId="26998" xr:uid="{00000000-0005-0000-0000-000076690000}"/>
    <cellStyle name="Normal 2 3 2 30 2 10" xfId="26999" xr:uid="{00000000-0005-0000-0000-000077690000}"/>
    <cellStyle name="Normal 2 3 2 30 2 2" xfId="27000" xr:uid="{00000000-0005-0000-0000-000078690000}"/>
    <cellStyle name="Normal 2 3 2 30 2 3" xfId="27001" xr:uid="{00000000-0005-0000-0000-000079690000}"/>
    <cellStyle name="Normal 2 3 2 30 2 4" xfId="27002" xr:uid="{00000000-0005-0000-0000-00007A690000}"/>
    <cellStyle name="Normal 2 3 2 30 2 5" xfId="27003" xr:uid="{00000000-0005-0000-0000-00007B690000}"/>
    <cellStyle name="Normal 2 3 2 30 2 6" xfId="27004" xr:uid="{00000000-0005-0000-0000-00007C690000}"/>
    <cellStyle name="Normal 2 3 2 30 2 7" xfId="27005" xr:uid="{00000000-0005-0000-0000-00007D690000}"/>
    <cellStyle name="Normal 2 3 2 30 2 8" xfId="27006" xr:uid="{00000000-0005-0000-0000-00007E690000}"/>
    <cellStyle name="Normal 2 3 2 30 2 9" xfId="27007" xr:uid="{00000000-0005-0000-0000-00007F690000}"/>
    <cellStyle name="Normal 2 3 2 30 3" xfId="27008" xr:uid="{00000000-0005-0000-0000-000080690000}"/>
    <cellStyle name="Normal 2 3 2 30 3 10" xfId="27009" xr:uid="{00000000-0005-0000-0000-000081690000}"/>
    <cellStyle name="Normal 2 3 2 30 3 2" xfId="27010" xr:uid="{00000000-0005-0000-0000-000082690000}"/>
    <cellStyle name="Normal 2 3 2 30 3 3" xfId="27011" xr:uid="{00000000-0005-0000-0000-000083690000}"/>
    <cellStyle name="Normal 2 3 2 30 3 4" xfId="27012" xr:uid="{00000000-0005-0000-0000-000084690000}"/>
    <cellStyle name="Normal 2 3 2 30 3 5" xfId="27013" xr:uid="{00000000-0005-0000-0000-000085690000}"/>
    <cellStyle name="Normal 2 3 2 30 3 6" xfId="27014" xr:uid="{00000000-0005-0000-0000-000086690000}"/>
    <cellStyle name="Normal 2 3 2 30 3 7" xfId="27015" xr:uid="{00000000-0005-0000-0000-000087690000}"/>
    <cellStyle name="Normal 2 3 2 30 3 8" xfId="27016" xr:uid="{00000000-0005-0000-0000-000088690000}"/>
    <cellStyle name="Normal 2 3 2 30 3 9" xfId="27017" xr:uid="{00000000-0005-0000-0000-000089690000}"/>
    <cellStyle name="Normal 2 3 2 30 4" xfId="27018" xr:uid="{00000000-0005-0000-0000-00008A690000}"/>
    <cellStyle name="Normal 2 3 2 30 4 10" xfId="27019" xr:uid="{00000000-0005-0000-0000-00008B690000}"/>
    <cellStyle name="Normal 2 3 2 30 4 2" xfId="27020" xr:uid="{00000000-0005-0000-0000-00008C690000}"/>
    <cellStyle name="Normal 2 3 2 30 4 3" xfId="27021" xr:uid="{00000000-0005-0000-0000-00008D690000}"/>
    <cellStyle name="Normal 2 3 2 30 4 4" xfId="27022" xr:uid="{00000000-0005-0000-0000-00008E690000}"/>
    <cellStyle name="Normal 2 3 2 30 4 5" xfId="27023" xr:uid="{00000000-0005-0000-0000-00008F690000}"/>
    <cellStyle name="Normal 2 3 2 30 4 6" xfId="27024" xr:uid="{00000000-0005-0000-0000-000090690000}"/>
    <cellStyle name="Normal 2 3 2 30 4 7" xfId="27025" xr:uid="{00000000-0005-0000-0000-000091690000}"/>
    <cellStyle name="Normal 2 3 2 30 4 8" xfId="27026" xr:uid="{00000000-0005-0000-0000-000092690000}"/>
    <cellStyle name="Normal 2 3 2 30 4 9" xfId="27027" xr:uid="{00000000-0005-0000-0000-000093690000}"/>
    <cellStyle name="Normal 2 3 2 30 5" xfId="27028" xr:uid="{00000000-0005-0000-0000-000094690000}"/>
    <cellStyle name="Normal 2 3 2 30 5 10" xfId="27029" xr:uid="{00000000-0005-0000-0000-000095690000}"/>
    <cellStyle name="Normal 2 3 2 30 5 2" xfId="27030" xr:uid="{00000000-0005-0000-0000-000096690000}"/>
    <cellStyle name="Normal 2 3 2 30 5 3" xfId="27031" xr:uid="{00000000-0005-0000-0000-000097690000}"/>
    <cellStyle name="Normal 2 3 2 30 5 4" xfId="27032" xr:uid="{00000000-0005-0000-0000-000098690000}"/>
    <cellStyle name="Normal 2 3 2 30 5 5" xfId="27033" xr:uid="{00000000-0005-0000-0000-000099690000}"/>
    <cellStyle name="Normal 2 3 2 30 5 6" xfId="27034" xr:uid="{00000000-0005-0000-0000-00009A690000}"/>
    <cellStyle name="Normal 2 3 2 30 5 7" xfId="27035" xr:uid="{00000000-0005-0000-0000-00009B690000}"/>
    <cellStyle name="Normal 2 3 2 30 5 8" xfId="27036" xr:uid="{00000000-0005-0000-0000-00009C690000}"/>
    <cellStyle name="Normal 2 3 2 30 5 9" xfId="27037" xr:uid="{00000000-0005-0000-0000-00009D690000}"/>
    <cellStyle name="Normal 2 3 2 30 6" xfId="27038" xr:uid="{00000000-0005-0000-0000-00009E690000}"/>
    <cellStyle name="Normal 2 3 2 30 7" xfId="27039" xr:uid="{00000000-0005-0000-0000-00009F690000}"/>
    <cellStyle name="Normal 2 3 2 30 8" xfId="27040" xr:uid="{00000000-0005-0000-0000-0000A0690000}"/>
    <cellStyle name="Normal 2 3 2 30 9" xfId="27041" xr:uid="{00000000-0005-0000-0000-0000A1690000}"/>
    <cellStyle name="Normal 2 3 2 31" xfId="27042" xr:uid="{00000000-0005-0000-0000-0000A2690000}"/>
    <cellStyle name="Normal 2 3 2 31 10" xfId="27043" xr:uid="{00000000-0005-0000-0000-0000A3690000}"/>
    <cellStyle name="Normal 2 3 2 31 11" xfId="27044" xr:uid="{00000000-0005-0000-0000-0000A4690000}"/>
    <cellStyle name="Normal 2 3 2 31 12" xfId="27045" xr:uid="{00000000-0005-0000-0000-0000A5690000}"/>
    <cellStyle name="Normal 2 3 2 31 13" xfId="27046" xr:uid="{00000000-0005-0000-0000-0000A6690000}"/>
    <cellStyle name="Normal 2 3 2 31 14" xfId="27047" xr:uid="{00000000-0005-0000-0000-0000A7690000}"/>
    <cellStyle name="Normal 2 3 2 31 2" xfId="27048" xr:uid="{00000000-0005-0000-0000-0000A8690000}"/>
    <cellStyle name="Normal 2 3 2 31 2 10" xfId="27049" xr:uid="{00000000-0005-0000-0000-0000A9690000}"/>
    <cellStyle name="Normal 2 3 2 31 2 2" xfId="27050" xr:uid="{00000000-0005-0000-0000-0000AA690000}"/>
    <cellStyle name="Normal 2 3 2 31 2 3" xfId="27051" xr:uid="{00000000-0005-0000-0000-0000AB690000}"/>
    <cellStyle name="Normal 2 3 2 31 2 4" xfId="27052" xr:uid="{00000000-0005-0000-0000-0000AC690000}"/>
    <cellStyle name="Normal 2 3 2 31 2 5" xfId="27053" xr:uid="{00000000-0005-0000-0000-0000AD690000}"/>
    <cellStyle name="Normal 2 3 2 31 2 6" xfId="27054" xr:uid="{00000000-0005-0000-0000-0000AE690000}"/>
    <cellStyle name="Normal 2 3 2 31 2 7" xfId="27055" xr:uid="{00000000-0005-0000-0000-0000AF690000}"/>
    <cellStyle name="Normal 2 3 2 31 2 8" xfId="27056" xr:uid="{00000000-0005-0000-0000-0000B0690000}"/>
    <cellStyle name="Normal 2 3 2 31 2 9" xfId="27057" xr:uid="{00000000-0005-0000-0000-0000B1690000}"/>
    <cellStyle name="Normal 2 3 2 31 3" xfId="27058" xr:uid="{00000000-0005-0000-0000-0000B2690000}"/>
    <cellStyle name="Normal 2 3 2 31 3 10" xfId="27059" xr:uid="{00000000-0005-0000-0000-0000B3690000}"/>
    <cellStyle name="Normal 2 3 2 31 3 2" xfId="27060" xr:uid="{00000000-0005-0000-0000-0000B4690000}"/>
    <cellStyle name="Normal 2 3 2 31 3 3" xfId="27061" xr:uid="{00000000-0005-0000-0000-0000B5690000}"/>
    <cellStyle name="Normal 2 3 2 31 3 4" xfId="27062" xr:uid="{00000000-0005-0000-0000-0000B6690000}"/>
    <cellStyle name="Normal 2 3 2 31 3 5" xfId="27063" xr:uid="{00000000-0005-0000-0000-0000B7690000}"/>
    <cellStyle name="Normal 2 3 2 31 3 6" xfId="27064" xr:uid="{00000000-0005-0000-0000-0000B8690000}"/>
    <cellStyle name="Normal 2 3 2 31 3 7" xfId="27065" xr:uid="{00000000-0005-0000-0000-0000B9690000}"/>
    <cellStyle name="Normal 2 3 2 31 3 8" xfId="27066" xr:uid="{00000000-0005-0000-0000-0000BA690000}"/>
    <cellStyle name="Normal 2 3 2 31 3 9" xfId="27067" xr:uid="{00000000-0005-0000-0000-0000BB690000}"/>
    <cellStyle name="Normal 2 3 2 31 4" xfId="27068" xr:uid="{00000000-0005-0000-0000-0000BC690000}"/>
    <cellStyle name="Normal 2 3 2 31 4 10" xfId="27069" xr:uid="{00000000-0005-0000-0000-0000BD690000}"/>
    <cellStyle name="Normal 2 3 2 31 4 2" xfId="27070" xr:uid="{00000000-0005-0000-0000-0000BE690000}"/>
    <cellStyle name="Normal 2 3 2 31 4 3" xfId="27071" xr:uid="{00000000-0005-0000-0000-0000BF690000}"/>
    <cellStyle name="Normal 2 3 2 31 4 4" xfId="27072" xr:uid="{00000000-0005-0000-0000-0000C0690000}"/>
    <cellStyle name="Normal 2 3 2 31 4 5" xfId="27073" xr:uid="{00000000-0005-0000-0000-0000C1690000}"/>
    <cellStyle name="Normal 2 3 2 31 4 6" xfId="27074" xr:uid="{00000000-0005-0000-0000-0000C2690000}"/>
    <cellStyle name="Normal 2 3 2 31 4 7" xfId="27075" xr:uid="{00000000-0005-0000-0000-0000C3690000}"/>
    <cellStyle name="Normal 2 3 2 31 4 8" xfId="27076" xr:uid="{00000000-0005-0000-0000-0000C4690000}"/>
    <cellStyle name="Normal 2 3 2 31 4 9" xfId="27077" xr:uid="{00000000-0005-0000-0000-0000C5690000}"/>
    <cellStyle name="Normal 2 3 2 31 5" xfId="27078" xr:uid="{00000000-0005-0000-0000-0000C6690000}"/>
    <cellStyle name="Normal 2 3 2 31 5 10" xfId="27079" xr:uid="{00000000-0005-0000-0000-0000C7690000}"/>
    <cellStyle name="Normal 2 3 2 31 5 2" xfId="27080" xr:uid="{00000000-0005-0000-0000-0000C8690000}"/>
    <cellStyle name="Normal 2 3 2 31 5 3" xfId="27081" xr:uid="{00000000-0005-0000-0000-0000C9690000}"/>
    <cellStyle name="Normal 2 3 2 31 5 4" xfId="27082" xr:uid="{00000000-0005-0000-0000-0000CA690000}"/>
    <cellStyle name="Normal 2 3 2 31 5 5" xfId="27083" xr:uid="{00000000-0005-0000-0000-0000CB690000}"/>
    <cellStyle name="Normal 2 3 2 31 5 6" xfId="27084" xr:uid="{00000000-0005-0000-0000-0000CC690000}"/>
    <cellStyle name="Normal 2 3 2 31 5 7" xfId="27085" xr:uid="{00000000-0005-0000-0000-0000CD690000}"/>
    <cellStyle name="Normal 2 3 2 31 5 8" xfId="27086" xr:uid="{00000000-0005-0000-0000-0000CE690000}"/>
    <cellStyle name="Normal 2 3 2 31 5 9" xfId="27087" xr:uid="{00000000-0005-0000-0000-0000CF690000}"/>
    <cellStyle name="Normal 2 3 2 31 6" xfId="27088" xr:uid="{00000000-0005-0000-0000-0000D0690000}"/>
    <cellStyle name="Normal 2 3 2 31 7" xfId="27089" xr:uid="{00000000-0005-0000-0000-0000D1690000}"/>
    <cellStyle name="Normal 2 3 2 31 8" xfId="27090" xr:uid="{00000000-0005-0000-0000-0000D2690000}"/>
    <cellStyle name="Normal 2 3 2 31 9" xfId="27091" xr:uid="{00000000-0005-0000-0000-0000D3690000}"/>
    <cellStyle name="Normal 2 3 2 32" xfId="27092" xr:uid="{00000000-0005-0000-0000-0000D4690000}"/>
    <cellStyle name="Normal 2 3 2 32 10" xfId="27093" xr:uid="{00000000-0005-0000-0000-0000D5690000}"/>
    <cellStyle name="Normal 2 3 2 32 11" xfId="27094" xr:uid="{00000000-0005-0000-0000-0000D6690000}"/>
    <cellStyle name="Normal 2 3 2 32 12" xfId="27095" xr:uid="{00000000-0005-0000-0000-0000D7690000}"/>
    <cellStyle name="Normal 2 3 2 32 13" xfId="27096" xr:uid="{00000000-0005-0000-0000-0000D8690000}"/>
    <cellStyle name="Normal 2 3 2 32 14" xfId="27097" xr:uid="{00000000-0005-0000-0000-0000D9690000}"/>
    <cellStyle name="Normal 2 3 2 32 2" xfId="27098" xr:uid="{00000000-0005-0000-0000-0000DA690000}"/>
    <cellStyle name="Normal 2 3 2 32 2 10" xfId="27099" xr:uid="{00000000-0005-0000-0000-0000DB690000}"/>
    <cellStyle name="Normal 2 3 2 32 2 2" xfId="27100" xr:uid="{00000000-0005-0000-0000-0000DC690000}"/>
    <cellStyle name="Normal 2 3 2 32 2 3" xfId="27101" xr:uid="{00000000-0005-0000-0000-0000DD690000}"/>
    <cellStyle name="Normal 2 3 2 32 2 4" xfId="27102" xr:uid="{00000000-0005-0000-0000-0000DE690000}"/>
    <cellStyle name="Normal 2 3 2 32 2 5" xfId="27103" xr:uid="{00000000-0005-0000-0000-0000DF690000}"/>
    <cellStyle name="Normal 2 3 2 32 2 6" xfId="27104" xr:uid="{00000000-0005-0000-0000-0000E0690000}"/>
    <cellStyle name="Normal 2 3 2 32 2 7" xfId="27105" xr:uid="{00000000-0005-0000-0000-0000E1690000}"/>
    <cellStyle name="Normal 2 3 2 32 2 8" xfId="27106" xr:uid="{00000000-0005-0000-0000-0000E2690000}"/>
    <cellStyle name="Normal 2 3 2 32 2 9" xfId="27107" xr:uid="{00000000-0005-0000-0000-0000E3690000}"/>
    <cellStyle name="Normal 2 3 2 32 3" xfId="27108" xr:uid="{00000000-0005-0000-0000-0000E4690000}"/>
    <cellStyle name="Normal 2 3 2 32 3 10" xfId="27109" xr:uid="{00000000-0005-0000-0000-0000E5690000}"/>
    <cellStyle name="Normal 2 3 2 32 3 2" xfId="27110" xr:uid="{00000000-0005-0000-0000-0000E6690000}"/>
    <cellStyle name="Normal 2 3 2 32 3 3" xfId="27111" xr:uid="{00000000-0005-0000-0000-0000E7690000}"/>
    <cellStyle name="Normal 2 3 2 32 3 4" xfId="27112" xr:uid="{00000000-0005-0000-0000-0000E8690000}"/>
    <cellStyle name="Normal 2 3 2 32 3 5" xfId="27113" xr:uid="{00000000-0005-0000-0000-0000E9690000}"/>
    <cellStyle name="Normal 2 3 2 32 3 6" xfId="27114" xr:uid="{00000000-0005-0000-0000-0000EA690000}"/>
    <cellStyle name="Normal 2 3 2 32 3 7" xfId="27115" xr:uid="{00000000-0005-0000-0000-0000EB690000}"/>
    <cellStyle name="Normal 2 3 2 32 3 8" xfId="27116" xr:uid="{00000000-0005-0000-0000-0000EC690000}"/>
    <cellStyle name="Normal 2 3 2 32 3 9" xfId="27117" xr:uid="{00000000-0005-0000-0000-0000ED690000}"/>
    <cellStyle name="Normal 2 3 2 32 4" xfId="27118" xr:uid="{00000000-0005-0000-0000-0000EE690000}"/>
    <cellStyle name="Normal 2 3 2 32 4 10" xfId="27119" xr:uid="{00000000-0005-0000-0000-0000EF690000}"/>
    <cellStyle name="Normal 2 3 2 32 4 2" xfId="27120" xr:uid="{00000000-0005-0000-0000-0000F0690000}"/>
    <cellStyle name="Normal 2 3 2 32 4 3" xfId="27121" xr:uid="{00000000-0005-0000-0000-0000F1690000}"/>
    <cellStyle name="Normal 2 3 2 32 4 4" xfId="27122" xr:uid="{00000000-0005-0000-0000-0000F2690000}"/>
    <cellStyle name="Normal 2 3 2 32 4 5" xfId="27123" xr:uid="{00000000-0005-0000-0000-0000F3690000}"/>
    <cellStyle name="Normal 2 3 2 32 4 6" xfId="27124" xr:uid="{00000000-0005-0000-0000-0000F4690000}"/>
    <cellStyle name="Normal 2 3 2 32 4 7" xfId="27125" xr:uid="{00000000-0005-0000-0000-0000F5690000}"/>
    <cellStyle name="Normal 2 3 2 32 4 8" xfId="27126" xr:uid="{00000000-0005-0000-0000-0000F6690000}"/>
    <cellStyle name="Normal 2 3 2 32 4 9" xfId="27127" xr:uid="{00000000-0005-0000-0000-0000F7690000}"/>
    <cellStyle name="Normal 2 3 2 32 5" xfId="27128" xr:uid="{00000000-0005-0000-0000-0000F8690000}"/>
    <cellStyle name="Normal 2 3 2 32 5 10" xfId="27129" xr:uid="{00000000-0005-0000-0000-0000F9690000}"/>
    <cellStyle name="Normal 2 3 2 32 5 2" xfId="27130" xr:uid="{00000000-0005-0000-0000-0000FA690000}"/>
    <cellStyle name="Normal 2 3 2 32 5 3" xfId="27131" xr:uid="{00000000-0005-0000-0000-0000FB690000}"/>
    <cellStyle name="Normal 2 3 2 32 5 4" xfId="27132" xr:uid="{00000000-0005-0000-0000-0000FC690000}"/>
    <cellStyle name="Normal 2 3 2 32 5 5" xfId="27133" xr:uid="{00000000-0005-0000-0000-0000FD690000}"/>
    <cellStyle name="Normal 2 3 2 32 5 6" xfId="27134" xr:uid="{00000000-0005-0000-0000-0000FE690000}"/>
    <cellStyle name="Normal 2 3 2 32 5 7" xfId="27135" xr:uid="{00000000-0005-0000-0000-0000FF690000}"/>
    <cellStyle name="Normal 2 3 2 32 5 8" xfId="27136" xr:uid="{00000000-0005-0000-0000-0000006A0000}"/>
    <cellStyle name="Normal 2 3 2 32 5 9" xfId="27137" xr:uid="{00000000-0005-0000-0000-0000016A0000}"/>
    <cellStyle name="Normal 2 3 2 32 6" xfId="27138" xr:uid="{00000000-0005-0000-0000-0000026A0000}"/>
    <cellStyle name="Normal 2 3 2 32 7" xfId="27139" xr:uid="{00000000-0005-0000-0000-0000036A0000}"/>
    <cellStyle name="Normal 2 3 2 32 8" xfId="27140" xr:uid="{00000000-0005-0000-0000-0000046A0000}"/>
    <cellStyle name="Normal 2 3 2 32 9" xfId="27141" xr:uid="{00000000-0005-0000-0000-0000056A0000}"/>
    <cellStyle name="Normal 2 3 2 33" xfId="27142" xr:uid="{00000000-0005-0000-0000-0000066A0000}"/>
    <cellStyle name="Normal 2 3 2 33 10" xfId="27143" xr:uid="{00000000-0005-0000-0000-0000076A0000}"/>
    <cellStyle name="Normal 2 3 2 33 11" xfId="27144" xr:uid="{00000000-0005-0000-0000-0000086A0000}"/>
    <cellStyle name="Normal 2 3 2 33 12" xfId="27145" xr:uid="{00000000-0005-0000-0000-0000096A0000}"/>
    <cellStyle name="Normal 2 3 2 33 13" xfId="27146" xr:uid="{00000000-0005-0000-0000-00000A6A0000}"/>
    <cellStyle name="Normal 2 3 2 33 14" xfId="27147" xr:uid="{00000000-0005-0000-0000-00000B6A0000}"/>
    <cellStyle name="Normal 2 3 2 33 2" xfId="27148" xr:uid="{00000000-0005-0000-0000-00000C6A0000}"/>
    <cellStyle name="Normal 2 3 2 33 2 10" xfId="27149" xr:uid="{00000000-0005-0000-0000-00000D6A0000}"/>
    <cellStyle name="Normal 2 3 2 33 2 2" xfId="27150" xr:uid="{00000000-0005-0000-0000-00000E6A0000}"/>
    <cellStyle name="Normal 2 3 2 33 2 3" xfId="27151" xr:uid="{00000000-0005-0000-0000-00000F6A0000}"/>
    <cellStyle name="Normal 2 3 2 33 2 4" xfId="27152" xr:uid="{00000000-0005-0000-0000-0000106A0000}"/>
    <cellStyle name="Normal 2 3 2 33 2 5" xfId="27153" xr:uid="{00000000-0005-0000-0000-0000116A0000}"/>
    <cellStyle name="Normal 2 3 2 33 2 6" xfId="27154" xr:uid="{00000000-0005-0000-0000-0000126A0000}"/>
    <cellStyle name="Normal 2 3 2 33 2 7" xfId="27155" xr:uid="{00000000-0005-0000-0000-0000136A0000}"/>
    <cellStyle name="Normal 2 3 2 33 2 8" xfId="27156" xr:uid="{00000000-0005-0000-0000-0000146A0000}"/>
    <cellStyle name="Normal 2 3 2 33 2 9" xfId="27157" xr:uid="{00000000-0005-0000-0000-0000156A0000}"/>
    <cellStyle name="Normal 2 3 2 33 3" xfId="27158" xr:uid="{00000000-0005-0000-0000-0000166A0000}"/>
    <cellStyle name="Normal 2 3 2 33 3 10" xfId="27159" xr:uid="{00000000-0005-0000-0000-0000176A0000}"/>
    <cellStyle name="Normal 2 3 2 33 3 2" xfId="27160" xr:uid="{00000000-0005-0000-0000-0000186A0000}"/>
    <cellStyle name="Normal 2 3 2 33 3 3" xfId="27161" xr:uid="{00000000-0005-0000-0000-0000196A0000}"/>
    <cellStyle name="Normal 2 3 2 33 3 4" xfId="27162" xr:uid="{00000000-0005-0000-0000-00001A6A0000}"/>
    <cellStyle name="Normal 2 3 2 33 3 5" xfId="27163" xr:uid="{00000000-0005-0000-0000-00001B6A0000}"/>
    <cellStyle name="Normal 2 3 2 33 3 6" xfId="27164" xr:uid="{00000000-0005-0000-0000-00001C6A0000}"/>
    <cellStyle name="Normal 2 3 2 33 3 7" xfId="27165" xr:uid="{00000000-0005-0000-0000-00001D6A0000}"/>
    <cellStyle name="Normal 2 3 2 33 3 8" xfId="27166" xr:uid="{00000000-0005-0000-0000-00001E6A0000}"/>
    <cellStyle name="Normal 2 3 2 33 3 9" xfId="27167" xr:uid="{00000000-0005-0000-0000-00001F6A0000}"/>
    <cellStyle name="Normal 2 3 2 33 4" xfId="27168" xr:uid="{00000000-0005-0000-0000-0000206A0000}"/>
    <cellStyle name="Normal 2 3 2 33 4 10" xfId="27169" xr:uid="{00000000-0005-0000-0000-0000216A0000}"/>
    <cellStyle name="Normal 2 3 2 33 4 2" xfId="27170" xr:uid="{00000000-0005-0000-0000-0000226A0000}"/>
    <cellStyle name="Normal 2 3 2 33 4 3" xfId="27171" xr:uid="{00000000-0005-0000-0000-0000236A0000}"/>
    <cellStyle name="Normal 2 3 2 33 4 4" xfId="27172" xr:uid="{00000000-0005-0000-0000-0000246A0000}"/>
    <cellStyle name="Normal 2 3 2 33 4 5" xfId="27173" xr:uid="{00000000-0005-0000-0000-0000256A0000}"/>
    <cellStyle name="Normal 2 3 2 33 4 6" xfId="27174" xr:uid="{00000000-0005-0000-0000-0000266A0000}"/>
    <cellStyle name="Normal 2 3 2 33 4 7" xfId="27175" xr:uid="{00000000-0005-0000-0000-0000276A0000}"/>
    <cellStyle name="Normal 2 3 2 33 4 8" xfId="27176" xr:uid="{00000000-0005-0000-0000-0000286A0000}"/>
    <cellStyle name="Normal 2 3 2 33 4 9" xfId="27177" xr:uid="{00000000-0005-0000-0000-0000296A0000}"/>
    <cellStyle name="Normal 2 3 2 33 5" xfId="27178" xr:uid="{00000000-0005-0000-0000-00002A6A0000}"/>
    <cellStyle name="Normal 2 3 2 33 5 10" xfId="27179" xr:uid="{00000000-0005-0000-0000-00002B6A0000}"/>
    <cellStyle name="Normal 2 3 2 33 5 2" xfId="27180" xr:uid="{00000000-0005-0000-0000-00002C6A0000}"/>
    <cellStyle name="Normal 2 3 2 33 5 3" xfId="27181" xr:uid="{00000000-0005-0000-0000-00002D6A0000}"/>
    <cellStyle name="Normal 2 3 2 33 5 4" xfId="27182" xr:uid="{00000000-0005-0000-0000-00002E6A0000}"/>
    <cellStyle name="Normal 2 3 2 33 5 5" xfId="27183" xr:uid="{00000000-0005-0000-0000-00002F6A0000}"/>
    <cellStyle name="Normal 2 3 2 33 5 6" xfId="27184" xr:uid="{00000000-0005-0000-0000-0000306A0000}"/>
    <cellStyle name="Normal 2 3 2 33 5 7" xfId="27185" xr:uid="{00000000-0005-0000-0000-0000316A0000}"/>
    <cellStyle name="Normal 2 3 2 33 5 8" xfId="27186" xr:uid="{00000000-0005-0000-0000-0000326A0000}"/>
    <cellStyle name="Normal 2 3 2 33 5 9" xfId="27187" xr:uid="{00000000-0005-0000-0000-0000336A0000}"/>
    <cellStyle name="Normal 2 3 2 33 6" xfId="27188" xr:uid="{00000000-0005-0000-0000-0000346A0000}"/>
    <cellStyle name="Normal 2 3 2 33 7" xfId="27189" xr:uid="{00000000-0005-0000-0000-0000356A0000}"/>
    <cellStyle name="Normal 2 3 2 33 8" xfId="27190" xr:uid="{00000000-0005-0000-0000-0000366A0000}"/>
    <cellStyle name="Normal 2 3 2 33 9" xfId="27191" xr:uid="{00000000-0005-0000-0000-0000376A0000}"/>
    <cellStyle name="Normal 2 3 2 34" xfId="27192" xr:uid="{00000000-0005-0000-0000-0000386A0000}"/>
    <cellStyle name="Normal 2 3 2 34 10" xfId="27193" xr:uid="{00000000-0005-0000-0000-0000396A0000}"/>
    <cellStyle name="Normal 2 3 2 34 2" xfId="27194" xr:uid="{00000000-0005-0000-0000-00003A6A0000}"/>
    <cellStyle name="Normal 2 3 2 34 3" xfId="27195" xr:uid="{00000000-0005-0000-0000-00003B6A0000}"/>
    <cellStyle name="Normal 2 3 2 34 4" xfId="27196" xr:uid="{00000000-0005-0000-0000-00003C6A0000}"/>
    <cellStyle name="Normal 2 3 2 34 5" xfId="27197" xr:uid="{00000000-0005-0000-0000-00003D6A0000}"/>
    <cellStyle name="Normal 2 3 2 34 6" xfId="27198" xr:uid="{00000000-0005-0000-0000-00003E6A0000}"/>
    <cellStyle name="Normal 2 3 2 34 7" xfId="27199" xr:uid="{00000000-0005-0000-0000-00003F6A0000}"/>
    <cellStyle name="Normal 2 3 2 34 8" xfId="27200" xr:uid="{00000000-0005-0000-0000-0000406A0000}"/>
    <cellStyle name="Normal 2 3 2 34 9" xfId="27201" xr:uid="{00000000-0005-0000-0000-0000416A0000}"/>
    <cellStyle name="Normal 2 3 2 35" xfId="27202" xr:uid="{00000000-0005-0000-0000-0000426A0000}"/>
    <cellStyle name="Normal 2 3 2 35 10" xfId="27203" xr:uid="{00000000-0005-0000-0000-0000436A0000}"/>
    <cellStyle name="Normal 2 3 2 35 2" xfId="27204" xr:uid="{00000000-0005-0000-0000-0000446A0000}"/>
    <cellStyle name="Normal 2 3 2 35 3" xfId="27205" xr:uid="{00000000-0005-0000-0000-0000456A0000}"/>
    <cellStyle name="Normal 2 3 2 35 4" xfId="27206" xr:uid="{00000000-0005-0000-0000-0000466A0000}"/>
    <cellStyle name="Normal 2 3 2 35 5" xfId="27207" xr:uid="{00000000-0005-0000-0000-0000476A0000}"/>
    <cellStyle name="Normal 2 3 2 35 6" xfId="27208" xr:uid="{00000000-0005-0000-0000-0000486A0000}"/>
    <cellStyle name="Normal 2 3 2 35 7" xfId="27209" xr:uid="{00000000-0005-0000-0000-0000496A0000}"/>
    <cellStyle name="Normal 2 3 2 35 8" xfId="27210" xr:uid="{00000000-0005-0000-0000-00004A6A0000}"/>
    <cellStyle name="Normal 2 3 2 35 9" xfId="27211" xr:uid="{00000000-0005-0000-0000-00004B6A0000}"/>
    <cellStyle name="Normal 2 3 2 36" xfId="27212" xr:uid="{00000000-0005-0000-0000-00004C6A0000}"/>
    <cellStyle name="Normal 2 3 2 36 10" xfId="27213" xr:uid="{00000000-0005-0000-0000-00004D6A0000}"/>
    <cellStyle name="Normal 2 3 2 36 2" xfId="27214" xr:uid="{00000000-0005-0000-0000-00004E6A0000}"/>
    <cellStyle name="Normal 2 3 2 36 3" xfId="27215" xr:uid="{00000000-0005-0000-0000-00004F6A0000}"/>
    <cellStyle name="Normal 2 3 2 36 4" xfId="27216" xr:uid="{00000000-0005-0000-0000-0000506A0000}"/>
    <cellStyle name="Normal 2 3 2 36 5" xfId="27217" xr:uid="{00000000-0005-0000-0000-0000516A0000}"/>
    <cellStyle name="Normal 2 3 2 36 6" xfId="27218" xr:uid="{00000000-0005-0000-0000-0000526A0000}"/>
    <cellStyle name="Normal 2 3 2 36 7" xfId="27219" xr:uid="{00000000-0005-0000-0000-0000536A0000}"/>
    <cellStyle name="Normal 2 3 2 36 8" xfId="27220" xr:uid="{00000000-0005-0000-0000-0000546A0000}"/>
    <cellStyle name="Normal 2 3 2 36 9" xfId="27221" xr:uid="{00000000-0005-0000-0000-0000556A0000}"/>
    <cellStyle name="Normal 2 3 2 37" xfId="27222" xr:uid="{00000000-0005-0000-0000-0000566A0000}"/>
    <cellStyle name="Normal 2 3 2 37 10" xfId="27223" xr:uid="{00000000-0005-0000-0000-0000576A0000}"/>
    <cellStyle name="Normal 2 3 2 37 2" xfId="27224" xr:uid="{00000000-0005-0000-0000-0000586A0000}"/>
    <cellStyle name="Normal 2 3 2 37 3" xfId="27225" xr:uid="{00000000-0005-0000-0000-0000596A0000}"/>
    <cellStyle name="Normal 2 3 2 37 4" xfId="27226" xr:uid="{00000000-0005-0000-0000-00005A6A0000}"/>
    <cellStyle name="Normal 2 3 2 37 5" xfId="27227" xr:uid="{00000000-0005-0000-0000-00005B6A0000}"/>
    <cellStyle name="Normal 2 3 2 37 6" xfId="27228" xr:uid="{00000000-0005-0000-0000-00005C6A0000}"/>
    <cellStyle name="Normal 2 3 2 37 7" xfId="27229" xr:uid="{00000000-0005-0000-0000-00005D6A0000}"/>
    <cellStyle name="Normal 2 3 2 37 8" xfId="27230" xr:uid="{00000000-0005-0000-0000-00005E6A0000}"/>
    <cellStyle name="Normal 2 3 2 37 9" xfId="27231" xr:uid="{00000000-0005-0000-0000-00005F6A0000}"/>
    <cellStyle name="Normal 2 3 2 38" xfId="27232" xr:uid="{00000000-0005-0000-0000-0000606A0000}"/>
    <cellStyle name="Normal 2 3 2 39" xfId="27233" xr:uid="{00000000-0005-0000-0000-0000616A0000}"/>
    <cellStyle name="Normal 2 3 2 4" xfId="27234" xr:uid="{00000000-0005-0000-0000-0000626A0000}"/>
    <cellStyle name="Normal 2 3 2 4 10" xfId="27235" xr:uid="{00000000-0005-0000-0000-0000636A0000}"/>
    <cellStyle name="Normal 2 3 2 4 11" xfId="27236" xr:uid="{00000000-0005-0000-0000-0000646A0000}"/>
    <cellStyle name="Normal 2 3 2 4 12" xfId="27237" xr:uid="{00000000-0005-0000-0000-0000656A0000}"/>
    <cellStyle name="Normal 2 3 2 4 13" xfId="27238" xr:uid="{00000000-0005-0000-0000-0000666A0000}"/>
    <cellStyle name="Normal 2 3 2 4 14" xfId="27239" xr:uid="{00000000-0005-0000-0000-0000676A0000}"/>
    <cellStyle name="Normal 2 3 2 4 2" xfId="27240" xr:uid="{00000000-0005-0000-0000-0000686A0000}"/>
    <cellStyle name="Normal 2 3 2 4 2 10" xfId="27241" xr:uid="{00000000-0005-0000-0000-0000696A0000}"/>
    <cellStyle name="Normal 2 3 2 4 2 2" xfId="27242" xr:uid="{00000000-0005-0000-0000-00006A6A0000}"/>
    <cellStyle name="Normal 2 3 2 4 2 3" xfId="27243" xr:uid="{00000000-0005-0000-0000-00006B6A0000}"/>
    <cellStyle name="Normal 2 3 2 4 2 4" xfId="27244" xr:uid="{00000000-0005-0000-0000-00006C6A0000}"/>
    <cellStyle name="Normal 2 3 2 4 2 5" xfId="27245" xr:uid="{00000000-0005-0000-0000-00006D6A0000}"/>
    <cellStyle name="Normal 2 3 2 4 2 6" xfId="27246" xr:uid="{00000000-0005-0000-0000-00006E6A0000}"/>
    <cellStyle name="Normal 2 3 2 4 2 7" xfId="27247" xr:uid="{00000000-0005-0000-0000-00006F6A0000}"/>
    <cellStyle name="Normal 2 3 2 4 2 8" xfId="27248" xr:uid="{00000000-0005-0000-0000-0000706A0000}"/>
    <cellStyle name="Normal 2 3 2 4 2 9" xfId="27249" xr:uid="{00000000-0005-0000-0000-0000716A0000}"/>
    <cellStyle name="Normal 2 3 2 4 3" xfId="27250" xr:uid="{00000000-0005-0000-0000-0000726A0000}"/>
    <cellStyle name="Normal 2 3 2 4 3 10" xfId="27251" xr:uid="{00000000-0005-0000-0000-0000736A0000}"/>
    <cellStyle name="Normal 2 3 2 4 3 2" xfId="27252" xr:uid="{00000000-0005-0000-0000-0000746A0000}"/>
    <cellStyle name="Normal 2 3 2 4 3 3" xfId="27253" xr:uid="{00000000-0005-0000-0000-0000756A0000}"/>
    <cellStyle name="Normal 2 3 2 4 3 4" xfId="27254" xr:uid="{00000000-0005-0000-0000-0000766A0000}"/>
    <cellStyle name="Normal 2 3 2 4 3 5" xfId="27255" xr:uid="{00000000-0005-0000-0000-0000776A0000}"/>
    <cellStyle name="Normal 2 3 2 4 3 6" xfId="27256" xr:uid="{00000000-0005-0000-0000-0000786A0000}"/>
    <cellStyle name="Normal 2 3 2 4 3 7" xfId="27257" xr:uid="{00000000-0005-0000-0000-0000796A0000}"/>
    <cellStyle name="Normal 2 3 2 4 3 8" xfId="27258" xr:uid="{00000000-0005-0000-0000-00007A6A0000}"/>
    <cellStyle name="Normal 2 3 2 4 3 9" xfId="27259" xr:uid="{00000000-0005-0000-0000-00007B6A0000}"/>
    <cellStyle name="Normal 2 3 2 4 4" xfId="27260" xr:uid="{00000000-0005-0000-0000-00007C6A0000}"/>
    <cellStyle name="Normal 2 3 2 4 4 10" xfId="27261" xr:uid="{00000000-0005-0000-0000-00007D6A0000}"/>
    <cellStyle name="Normal 2 3 2 4 4 2" xfId="27262" xr:uid="{00000000-0005-0000-0000-00007E6A0000}"/>
    <cellStyle name="Normal 2 3 2 4 4 3" xfId="27263" xr:uid="{00000000-0005-0000-0000-00007F6A0000}"/>
    <cellStyle name="Normal 2 3 2 4 4 4" xfId="27264" xr:uid="{00000000-0005-0000-0000-0000806A0000}"/>
    <cellStyle name="Normal 2 3 2 4 4 5" xfId="27265" xr:uid="{00000000-0005-0000-0000-0000816A0000}"/>
    <cellStyle name="Normal 2 3 2 4 4 6" xfId="27266" xr:uid="{00000000-0005-0000-0000-0000826A0000}"/>
    <cellStyle name="Normal 2 3 2 4 4 7" xfId="27267" xr:uid="{00000000-0005-0000-0000-0000836A0000}"/>
    <cellStyle name="Normal 2 3 2 4 4 8" xfId="27268" xr:uid="{00000000-0005-0000-0000-0000846A0000}"/>
    <cellStyle name="Normal 2 3 2 4 4 9" xfId="27269" xr:uid="{00000000-0005-0000-0000-0000856A0000}"/>
    <cellStyle name="Normal 2 3 2 4 5" xfId="27270" xr:uid="{00000000-0005-0000-0000-0000866A0000}"/>
    <cellStyle name="Normal 2 3 2 4 5 10" xfId="27271" xr:uid="{00000000-0005-0000-0000-0000876A0000}"/>
    <cellStyle name="Normal 2 3 2 4 5 2" xfId="27272" xr:uid="{00000000-0005-0000-0000-0000886A0000}"/>
    <cellStyle name="Normal 2 3 2 4 5 3" xfId="27273" xr:uid="{00000000-0005-0000-0000-0000896A0000}"/>
    <cellStyle name="Normal 2 3 2 4 5 4" xfId="27274" xr:uid="{00000000-0005-0000-0000-00008A6A0000}"/>
    <cellStyle name="Normal 2 3 2 4 5 5" xfId="27275" xr:uid="{00000000-0005-0000-0000-00008B6A0000}"/>
    <cellStyle name="Normal 2 3 2 4 5 6" xfId="27276" xr:uid="{00000000-0005-0000-0000-00008C6A0000}"/>
    <cellStyle name="Normal 2 3 2 4 5 7" xfId="27277" xr:uid="{00000000-0005-0000-0000-00008D6A0000}"/>
    <cellStyle name="Normal 2 3 2 4 5 8" xfId="27278" xr:uid="{00000000-0005-0000-0000-00008E6A0000}"/>
    <cellStyle name="Normal 2 3 2 4 5 9" xfId="27279" xr:uid="{00000000-0005-0000-0000-00008F6A0000}"/>
    <cellStyle name="Normal 2 3 2 4 6" xfId="27280" xr:uid="{00000000-0005-0000-0000-0000906A0000}"/>
    <cellStyle name="Normal 2 3 2 4 7" xfId="27281" xr:uid="{00000000-0005-0000-0000-0000916A0000}"/>
    <cellStyle name="Normal 2 3 2 4 8" xfId="27282" xr:uid="{00000000-0005-0000-0000-0000926A0000}"/>
    <cellStyle name="Normal 2 3 2 4 9" xfId="27283" xr:uid="{00000000-0005-0000-0000-0000936A0000}"/>
    <cellStyle name="Normal 2 3 2 40" xfId="27284" xr:uid="{00000000-0005-0000-0000-0000946A0000}"/>
    <cellStyle name="Normal 2 3 2 41" xfId="27285" xr:uid="{00000000-0005-0000-0000-0000956A0000}"/>
    <cellStyle name="Normal 2 3 2 42" xfId="27286" xr:uid="{00000000-0005-0000-0000-0000966A0000}"/>
    <cellStyle name="Normal 2 3 2 43" xfId="27287" xr:uid="{00000000-0005-0000-0000-0000976A0000}"/>
    <cellStyle name="Normal 2 3 2 44" xfId="27288" xr:uid="{00000000-0005-0000-0000-0000986A0000}"/>
    <cellStyle name="Normal 2 3 2 45" xfId="27289" xr:uid="{00000000-0005-0000-0000-0000996A0000}"/>
    <cellStyle name="Normal 2 3 2 46" xfId="27290" xr:uid="{00000000-0005-0000-0000-00009A6A0000}"/>
    <cellStyle name="Normal 2 3 2 47" xfId="27291" xr:uid="{00000000-0005-0000-0000-00009B6A0000}"/>
    <cellStyle name="Normal 2 3 2 48" xfId="27292" xr:uid="{00000000-0005-0000-0000-00009C6A0000}"/>
    <cellStyle name="Normal 2 3 2 49" xfId="25885" xr:uid="{00000000-0005-0000-0000-00001D650000}"/>
    <cellStyle name="Normal 2 3 2 5" xfId="27293" xr:uid="{00000000-0005-0000-0000-00009D6A0000}"/>
    <cellStyle name="Normal 2 3 2 5 10" xfId="27294" xr:uid="{00000000-0005-0000-0000-00009E6A0000}"/>
    <cellStyle name="Normal 2 3 2 5 11" xfId="27295" xr:uid="{00000000-0005-0000-0000-00009F6A0000}"/>
    <cellStyle name="Normal 2 3 2 5 12" xfId="27296" xr:uid="{00000000-0005-0000-0000-0000A06A0000}"/>
    <cellStyle name="Normal 2 3 2 5 13" xfId="27297" xr:uid="{00000000-0005-0000-0000-0000A16A0000}"/>
    <cellStyle name="Normal 2 3 2 5 14" xfId="27298" xr:uid="{00000000-0005-0000-0000-0000A26A0000}"/>
    <cellStyle name="Normal 2 3 2 5 2" xfId="27299" xr:uid="{00000000-0005-0000-0000-0000A36A0000}"/>
    <cellStyle name="Normal 2 3 2 5 2 10" xfId="27300" xr:uid="{00000000-0005-0000-0000-0000A46A0000}"/>
    <cellStyle name="Normal 2 3 2 5 2 2" xfId="27301" xr:uid="{00000000-0005-0000-0000-0000A56A0000}"/>
    <cellStyle name="Normal 2 3 2 5 2 3" xfId="27302" xr:uid="{00000000-0005-0000-0000-0000A66A0000}"/>
    <cellStyle name="Normal 2 3 2 5 2 4" xfId="27303" xr:uid="{00000000-0005-0000-0000-0000A76A0000}"/>
    <cellStyle name="Normal 2 3 2 5 2 5" xfId="27304" xr:uid="{00000000-0005-0000-0000-0000A86A0000}"/>
    <cellStyle name="Normal 2 3 2 5 2 6" xfId="27305" xr:uid="{00000000-0005-0000-0000-0000A96A0000}"/>
    <cellStyle name="Normal 2 3 2 5 2 7" xfId="27306" xr:uid="{00000000-0005-0000-0000-0000AA6A0000}"/>
    <cellStyle name="Normal 2 3 2 5 2 8" xfId="27307" xr:uid="{00000000-0005-0000-0000-0000AB6A0000}"/>
    <cellStyle name="Normal 2 3 2 5 2 9" xfId="27308" xr:uid="{00000000-0005-0000-0000-0000AC6A0000}"/>
    <cellStyle name="Normal 2 3 2 5 3" xfId="27309" xr:uid="{00000000-0005-0000-0000-0000AD6A0000}"/>
    <cellStyle name="Normal 2 3 2 5 3 10" xfId="27310" xr:uid="{00000000-0005-0000-0000-0000AE6A0000}"/>
    <cellStyle name="Normal 2 3 2 5 3 2" xfId="27311" xr:uid="{00000000-0005-0000-0000-0000AF6A0000}"/>
    <cellStyle name="Normal 2 3 2 5 3 3" xfId="27312" xr:uid="{00000000-0005-0000-0000-0000B06A0000}"/>
    <cellStyle name="Normal 2 3 2 5 3 4" xfId="27313" xr:uid="{00000000-0005-0000-0000-0000B16A0000}"/>
    <cellStyle name="Normal 2 3 2 5 3 5" xfId="27314" xr:uid="{00000000-0005-0000-0000-0000B26A0000}"/>
    <cellStyle name="Normal 2 3 2 5 3 6" xfId="27315" xr:uid="{00000000-0005-0000-0000-0000B36A0000}"/>
    <cellStyle name="Normal 2 3 2 5 3 7" xfId="27316" xr:uid="{00000000-0005-0000-0000-0000B46A0000}"/>
    <cellStyle name="Normal 2 3 2 5 3 8" xfId="27317" xr:uid="{00000000-0005-0000-0000-0000B56A0000}"/>
    <cellStyle name="Normal 2 3 2 5 3 9" xfId="27318" xr:uid="{00000000-0005-0000-0000-0000B66A0000}"/>
    <cellStyle name="Normal 2 3 2 5 4" xfId="27319" xr:uid="{00000000-0005-0000-0000-0000B76A0000}"/>
    <cellStyle name="Normal 2 3 2 5 4 10" xfId="27320" xr:uid="{00000000-0005-0000-0000-0000B86A0000}"/>
    <cellStyle name="Normal 2 3 2 5 4 2" xfId="27321" xr:uid="{00000000-0005-0000-0000-0000B96A0000}"/>
    <cellStyle name="Normal 2 3 2 5 4 3" xfId="27322" xr:uid="{00000000-0005-0000-0000-0000BA6A0000}"/>
    <cellStyle name="Normal 2 3 2 5 4 4" xfId="27323" xr:uid="{00000000-0005-0000-0000-0000BB6A0000}"/>
    <cellStyle name="Normal 2 3 2 5 4 5" xfId="27324" xr:uid="{00000000-0005-0000-0000-0000BC6A0000}"/>
    <cellStyle name="Normal 2 3 2 5 4 6" xfId="27325" xr:uid="{00000000-0005-0000-0000-0000BD6A0000}"/>
    <cellStyle name="Normal 2 3 2 5 4 7" xfId="27326" xr:uid="{00000000-0005-0000-0000-0000BE6A0000}"/>
    <cellStyle name="Normal 2 3 2 5 4 8" xfId="27327" xr:uid="{00000000-0005-0000-0000-0000BF6A0000}"/>
    <cellStyle name="Normal 2 3 2 5 4 9" xfId="27328" xr:uid="{00000000-0005-0000-0000-0000C06A0000}"/>
    <cellStyle name="Normal 2 3 2 5 5" xfId="27329" xr:uid="{00000000-0005-0000-0000-0000C16A0000}"/>
    <cellStyle name="Normal 2 3 2 5 5 10" xfId="27330" xr:uid="{00000000-0005-0000-0000-0000C26A0000}"/>
    <cellStyle name="Normal 2 3 2 5 5 2" xfId="27331" xr:uid="{00000000-0005-0000-0000-0000C36A0000}"/>
    <cellStyle name="Normal 2 3 2 5 5 3" xfId="27332" xr:uid="{00000000-0005-0000-0000-0000C46A0000}"/>
    <cellStyle name="Normal 2 3 2 5 5 4" xfId="27333" xr:uid="{00000000-0005-0000-0000-0000C56A0000}"/>
    <cellStyle name="Normal 2 3 2 5 5 5" xfId="27334" xr:uid="{00000000-0005-0000-0000-0000C66A0000}"/>
    <cellStyle name="Normal 2 3 2 5 5 6" xfId="27335" xr:uid="{00000000-0005-0000-0000-0000C76A0000}"/>
    <cellStyle name="Normal 2 3 2 5 5 7" xfId="27336" xr:uid="{00000000-0005-0000-0000-0000C86A0000}"/>
    <cellStyle name="Normal 2 3 2 5 5 8" xfId="27337" xr:uid="{00000000-0005-0000-0000-0000C96A0000}"/>
    <cellStyle name="Normal 2 3 2 5 5 9" xfId="27338" xr:uid="{00000000-0005-0000-0000-0000CA6A0000}"/>
    <cellStyle name="Normal 2 3 2 5 6" xfId="27339" xr:uid="{00000000-0005-0000-0000-0000CB6A0000}"/>
    <cellStyle name="Normal 2 3 2 5 7" xfId="27340" xr:uid="{00000000-0005-0000-0000-0000CC6A0000}"/>
    <cellStyle name="Normal 2 3 2 5 8" xfId="27341" xr:uid="{00000000-0005-0000-0000-0000CD6A0000}"/>
    <cellStyle name="Normal 2 3 2 5 9" xfId="27342" xr:uid="{00000000-0005-0000-0000-0000CE6A0000}"/>
    <cellStyle name="Normal 2 3 2 6" xfId="27343" xr:uid="{00000000-0005-0000-0000-0000CF6A0000}"/>
    <cellStyle name="Normal 2 3 2 6 10" xfId="27344" xr:uid="{00000000-0005-0000-0000-0000D06A0000}"/>
    <cellStyle name="Normal 2 3 2 6 11" xfId="27345" xr:uid="{00000000-0005-0000-0000-0000D16A0000}"/>
    <cellStyle name="Normal 2 3 2 6 12" xfId="27346" xr:uid="{00000000-0005-0000-0000-0000D26A0000}"/>
    <cellStyle name="Normal 2 3 2 6 13" xfId="27347" xr:uid="{00000000-0005-0000-0000-0000D36A0000}"/>
    <cellStyle name="Normal 2 3 2 6 14" xfId="27348" xr:uid="{00000000-0005-0000-0000-0000D46A0000}"/>
    <cellStyle name="Normal 2 3 2 6 2" xfId="27349" xr:uid="{00000000-0005-0000-0000-0000D56A0000}"/>
    <cellStyle name="Normal 2 3 2 6 2 10" xfId="27350" xr:uid="{00000000-0005-0000-0000-0000D66A0000}"/>
    <cellStyle name="Normal 2 3 2 6 2 2" xfId="27351" xr:uid="{00000000-0005-0000-0000-0000D76A0000}"/>
    <cellStyle name="Normal 2 3 2 6 2 3" xfId="27352" xr:uid="{00000000-0005-0000-0000-0000D86A0000}"/>
    <cellStyle name="Normal 2 3 2 6 2 4" xfId="27353" xr:uid="{00000000-0005-0000-0000-0000D96A0000}"/>
    <cellStyle name="Normal 2 3 2 6 2 5" xfId="27354" xr:uid="{00000000-0005-0000-0000-0000DA6A0000}"/>
    <cellStyle name="Normal 2 3 2 6 2 6" xfId="27355" xr:uid="{00000000-0005-0000-0000-0000DB6A0000}"/>
    <cellStyle name="Normal 2 3 2 6 2 7" xfId="27356" xr:uid="{00000000-0005-0000-0000-0000DC6A0000}"/>
    <cellStyle name="Normal 2 3 2 6 2 8" xfId="27357" xr:uid="{00000000-0005-0000-0000-0000DD6A0000}"/>
    <cellStyle name="Normal 2 3 2 6 2 9" xfId="27358" xr:uid="{00000000-0005-0000-0000-0000DE6A0000}"/>
    <cellStyle name="Normal 2 3 2 6 3" xfId="27359" xr:uid="{00000000-0005-0000-0000-0000DF6A0000}"/>
    <cellStyle name="Normal 2 3 2 6 3 10" xfId="27360" xr:uid="{00000000-0005-0000-0000-0000E06A0000}"/>
    <cellStyle name="Normal 2 3 2 6 3 2" xfId="27361" xr:uid="{00000000-0005-0000-0000-0000E16A0000}"/>
    <cellStyle name="Normal 2 3 2 6 3 3" xfId="27362" xr:uid="{00000000-0005-0000-0000-0000E26A0000}"/>
    <cellStyle name="Normal 2 3 2 6 3 4" xfId="27363" xr:uid="{00000000-0005-0000-0000-0000E36A0000}"/>
    <cellStyle name="Normal 2 3 2 6 3 5" xfId="27364" xr:uid="{00000000-0005-0000-0000-0000E46A0000}"/>
    <cellStyle name="Normal 2 3 2 6 3 6" xfId="27365" xr:uid="{00000000-0005-0000-0000-0000E56A0000}"/>
    <cellStyle name="Normal 2 3 2 6 3 7" xfId="27366" xr:uid="{00000000-0005-0000-0000-0000E66A0000}"/>
    <cellStyle name="Normal 2 3 2 6 3 8" xfId="27367" xr:uid="{00000000-0005-0000-0000-0000E76A0000}"/>
    <cellStyle name="Normal 2 3 2 6 3 9" xfId="27368" xr:uid="{00000000-0005-0000-0000-0000E86A0000}"/>
    <cellStyle name="Normal 2 3 2 6 4" xfId="27369" xr:uid="{00000000-0005-0000-0000-0000E96A0000}"/>
    <cellStyle name="Normal 2 3 2 6 4 10" xfId="27370" xr:uid="{00000000-0005-0000-0000-0000EA6A0000}"/>
    <cellStyle name="Normal 2 3 2 6 4 2" xfId="27371" xr:uid="{00000000-0005-0000-0000-0000EB6A0000}"/>
    <cellStyle name="Normal 2 3 2 6 4 3" xfId="27372" xr:uid="{00000000-0005-0000-0000-0000EC6A0000}"/>
    <cellStyle name="Normal 2 3 2 6 4 4" xfId="27373" xr:uid="{00000000-0005-0000-0000-0000ED6A0000}"/>
    <cellStyle name="Normal 2 3 2 6 4 5" xfId="27374" xr:uid="{00000000-0005-0000-0000-0000EE6A0000}"/>
    <cellStyle name="Normal 2 3 2 6 4 6" xfId="27375" xr:uid="{00000000-0005-0000-0000-0000EF6A0000}"/>
    <cellStyle name="Normal 2 3 2 6 4 7" xfId="27376" xr:uid="{00000000-0005-0000-0000-0000F06A0000}"/>
    <cellStyle name="Normal 2 3 2 6 4 8" xfId="27377" xr:uid="{00000000-0005-0000-0000-0000F16A0000}"/>
    <cellStyle name="Normal 2 3 2 6 4 9" xfId="27378" xr:uid="{00000000-0005-0000-0000-0000F26A0000}"/>
    <cellStyle name="Normal 2 3 2 6 5" xfId="27379" xr:uid="{00000000-0005-0000-0000-0000F36A0000}"/>
    <cellStyle name="Normal 2 3 2 6 5 10" xfId="27380" xr:uid="{00000000-0005-0000-0000-0000F46A0000}"/>
    <cellStyle name="Normal 2 3 2 6 5 2" xfId="27381" xr:uid="{00000000-0005-0000-0000-0000F56A0000}"/>
    <cellStyle name="Normal 2 3 2 6 5 3" xfId="27382" xr:uid="{00000000-0005-0000-0000-0000F66A0000}"/>
    <cellStyle name="Normal 2 3 2 6 5 4" xfId="27383" xr:uid="{00000000-0005-0000-0000-0000F76A0000}"/>
    <cellStyle name="Normal 2 3 2 6 5 5" xfId="27384" xr:uid="{00000000-0005-0000-0000-0000F86A0000}"/>
    <cellStyle name="Normal 2 3 2 6 5 6" xfId="27385" xr:uid="{00000000-0005-0000-0000-0000F96A0000}"/>
    <cellStyle name="Normal 2 3 2 6 5 7" xfId="27386" xr:uid="{00000000-0005-0000-0000-0000FA6A0000}"/>
    <cellStyle name="Normal 2 3 2 6 5 8" xfId="27387" xr:uid="{00000000-0005-0000-0000-0000FB6A0000}"/>
    <cellStyle name="Normal 2 3 2 6 5 9" xfId="27388" xr:uid="{00000000-0005-0000-0000-0000FC6A0000}"/>
    <cellStyle name="Normal 2 3 2 6 6" xfId="27389" xr:uid="{00000000-0005-0000-0000-0000FD6A0000}"/>
    <cellStyle name="Normal 2 3 2 6 7" xfId="27390" xr:uid="{00000000-0005-0000-0000-0000FE6A0000}"/>
    <cellStyle name="Normal 2 3 2 6 8" xfId="27391" xr:uid="{00000000-0005-0000-0000-0000FF6A0000}"/>
    <cellStyle name="Normal 2 3 2 6 9" xfId="27392" xr:uid="{00000000-0005-0000-0000-0000006B0000}"/>
    <cellStyle name="Normal 2 3 2 7" xfId="27393" xr:uid="{00000000-0005-0000-0000-0000016B0000}"/>
    <cellStyle name="Normal 2 3 2 7 10" xfId="27394" xr:uid="{00000000-0005-0000-0000-0000026B0000}"/>
    <cellStyle name="Normal 2 3 2 7 11" xfId="27395" xr:uid="{00000000-0005-0000-0000-0000036B0000}"/>
    <cellStyle name="Normal 2 3 2 7 12" xfId="27396" xr:uid="{00000000-0005-0000-0000-0000046B0000}"/>
    <cellStyle name="Normal 2 3 2 7 13" xfId="27397" xr:uid="{00000000-0005-0000-0000-0000056B0000}"/>
    <cellStyle name="Normal 2 3 2 7 14" xfId="27398" xr:uid="{00000000-0005-0000-0000-0000066B0000}"/>
    <cellStyle name="Normal 2 3 2 7 2" xfId="27399" xr:uid="{00000000-0005-0000-0000-0000076B0000}"/>
    <cellStyle name="Normal 2 3 2 7 2 10" xfId="27400" xr:uid="{00000000-0005-0000-0000-0000086B0000}"/>
    <cellStyle name="Normal 2 3 2 7 2 2" xfId="27401" xr:uid="{00000000-0005-0000-0000-0000096B0000}"/>
    <cellStyle name="Normal 2 3 2 7 2 3" xfId="27402" xr:uid="{00000000-0005-0000-0000-00000A6B0000}"/>
    <cellStyle name="Normal 2 3 2 7 2 4" xfId="27403" xr:uid="{00000000-0005-0000-0000-00000B6B0000}"/>
    <cellStyle name="Normal 2 3 2 7 2 5" xfId="27404" xr:uid="{00000000-0005-0000-0000-00000C6B0000}"/>
    <cellStyle name="Normal 2 3 2 7 2 6" xfId="27405" xr:uid="{00000000-0005-0000-0000-00000D6B0000}"/>
    <cellStyle name="Normal 2 3 2 7 2 7" xfId="27406" xr:uid="{00000000-0005-0000-0000-00000E6B0000}"/>
    <cellStyle name="Normal 2 3 2 7 2 8" xfId="27407" xr:uid="{00000000-0005-0000-0000-00000F6B0000}"/>
    <cellStyle name="Normal 2 3 2 7 2 9" xfId="27408" xr:uid="{00000000-0005-0000-0000-0000106B0000}"/>
    <cellStyle name="Normal 2 3 2 7 3" xfId="27409" xr:uid="{00000000-0005-0000-0000-0000116B0000}"/>
    <cellStyle name="Normal 2 3 2 7 3 10" xfId="27410" xr:uid="{00000000-0005-0000-0000-0000126B0000}"/>
    <cellStyle name="Normal 2 3 2 7 3 2" xfId="27411" xr:uid="{00000000-0005-0000-0000-0000136B0000}"/>
    <cellStyle name="Normal 2 3 2 7 3 3" xfId="27412" xr:uid="{00000000-0005-0000-0000-0000146B0000}"/>
    <cellStyle name="Normal 2 3 2 7 3 4" xfId="27413" xr:uid="{00000000-0005-0000-0000-0000156B0000}"/>
    <cellStyle name="Normal 2 3 2 7 3 5" xfId="27414" xr:uid="{00000000-0005-0000-0000-0000166B0000}"/>
    <cellStyle name="Normal 2 3 2 7 3 6" xfId="27415" xr:uid="{00000000-0005-0000-0000-0000176B0000}"/>
    <cellStyle name="Normal 2 3 2 7 3 7" xfId="27416" xr:uid="{00000000-0005-0000-0000-0000186B0000}"/>
    <cellStyle name="Normal 2 3 2 7 3 8" xfId="27417" xr:uid="{00000000-0005-0000-0000-0000196B0000}"/>
    <cellStyle name="Normal 2 3 2 7 3 9" xfId="27418" xr:uid="{00000000-0005-0000-0000-00001A6B0000}"/>
    <cellStyle name="Normal 2 3 2 7 4" xfId="27419" xr:uid="{00000000-0005-0000-0000-00001B6B0000}"/>
    <cellStyle name="Normal 2 3 2 7 4 10" xfId="27420" xr:uid="{00000000-0005-0000-0000-00001C6B0000}"/>
    <cellStyle name="Normal 2 3 2 7 4 2" xfId="27421" xr:uid="{00000000-0005-0000-0000-00001D6B0000}"/>
    <cellStyle name="Normal 2 3 2 7 4 3" xfId="27422" xr:uid="{00000000-0005-0000-0000-00001E6B0000}"/>
    <cellStyle name="Normal 2 3 2 7 4 4" xfId="27423" xr:uid="{00000000-0005-0000-0000-00001F6B0000}"/>
    <cellStyle name="Normal 2 3 2 7 4 5" xfId="27424" xr:uid="{00000000-0005-0000-0000-0000206B0000}"/>
    <cellStyle name="Normal 2 3 2 7 4 6" xfId="27425" xr:uid="{00000000-0005-0000-0000-0000216B0000}"/>
    <cellStyle name="Normal 2 3 2 7 4 7" xfId="27426" xr:uid="{00000000-0005-0000-0000-0000226B0000}"/>
    <cellStyle name="Normal 2 3 2 7 4 8" xfId="27427" xr:uid="{00000000-0005-0000-0000-0000236B0000}"/>
    <cellStyle name="Normal 2 3 2 7 4 9" xfId="27428" xr:uid="{00000000-0005-0000-0000-0000246B0000}"/>
    <cellStyle name="Normal 2 3 2 7 5" xfId="27429" xr:uid="{00000000-0005-0000-0000-0000256B0000}"/>
    <cellStyle name="Normal 2 3 2 7 5 10" xfId="27430" xr:uid="{00000000-0005-0000-0000-0000266B0000}"/>
    <cellStyle name="Normal 2 3 2 7 5 2" xfId="27431" xr:uid="{00000000-0005-0000-0000-0000276B0000}"/>
    <cellStyle name="Normal 2 3 2 7 5 3" xfId="27432" xr:uid="{00000000-0005-0000-0000-0000286B0000}"/>
    <cellStyle name="Normal 2 3 2 7 5 4" xfId="27433" xr:uid="{00000000-0005-0000-0000-0000296B0000}"/>
    <cellStyle name="Normal 2 3 2 7 5 5" xfId="27434" xr:uid="{00000000-0005-0000-0000-00002A6B0000}"/>
    <cellStyle name="Normal 2 3 2 7 5 6" xfId="27435" xr:uid="{00000000-0005-0000-0000-00002B6B0000}"/>
    <cellStyle name="Normal 2 3 2 7 5 7" xfId="27436" xr:uid="{00000000-0005-0000-0000-00002C6B0000}"/>
    <cellStyle name="Normal 2 3 2 7 5 8" xfId="27437" xr:uid="{00000000-0005-0000-0000-00002D6B0000}"/>
    <cellStyle name="Normal 2 3 2 7 5 9" xfId="27438" xr:uid="{00000000-0005-0000-0000-00002E6B0000}"/>
    <cellStyle name="Normal 2 3 2 7 6" xfId="27439" xr:uid="{00000000-0005-0000-0000-00002F6B0000}"/>
    <cellStyle name="Normal 2 3 2 7 7" xfId="27440" xr:uid="{00000000-0005-0000-0000-0000306B0000}"/>
    <cellStyle name="Normal 2 3 2 7 8" xfId="27441" xr:uid="{00000000-0005-0000-0000-0000316B0000}"/>
    <cellStyle name="Normal 2 3 2 7 9" xfId="27442" xr:uid="{00000000-0005-0000-0000-0000326B0000}"/>
    <cellStyle name="Normal 2 3 2 8" xfId="27443" xr:uid="{00000000-0005-0000-0000-0000336B0000}"/>
    <cellStyle name="Normal 2 3 2 8 10" xfId="27444" xr:uid="{00000000-0005-0000-0000-0000346B0000}"/>
    <cellStyle name="Normal 2 3 2 8 11" xfId="27445" xr:uid="{00000000-0005-0000-0000-0000356B0000}"/>
    <cellStyle name="Normal 2 3 2 8 12" xfId="27446" xr:uid="{00000000-0005-0000-0000-0000366B0000}"/>
    <cellStyle name="Normal 2 3 2 8 13" xfId="27447" xr:uid="{00000000-0005-0000-0000-0000376B0000}"/>
    <cellStyle name="Normal 2 3 2 8 14" xfId="27448" xr:uid="{00000000-0005-0000-0000-0000386B0000}"/>
    <cellStyle name="Normal 2 3 2 8 2" xfId="27449" xr:uid="{00000000-0005-0000-0000-0000396B0000}"/>
    <cellStyle name="Normal 2 3 2 8 2 10" xfId="27450" xr:uid="{00000000-0005-0000-0000-00003A6B0000}"/>
    <cellStyle name="Normal 2 3 2 8 2 2" xfId="27451" xr:uid="{00000000-0005-0000-0000-00003B6B0000}"/>
    <cellStyle name="Normal 2 3 2 8 2 3" xfId="27452" xr:uid="{00000000-0005-0000-0000-00003C6B0000}"/>
    <cellStyle name="Normal 2 3 2 8 2 4" xfId="27453" xr:uid="{00000000-0005-0000-0000-00003D6B0000}"/>
    <cellStyle name="Normal 2 3 2 8 2 5" xfId="27454" xr:uid="{00000000-0005-0000-0000-00003E6B0000}"/>
    <cellStyle name="Normal 2 3 2 8 2 6" xfId="27455" xr:uid="{00000000-0005-0000-0000-00003F6B0000}"/>
    <cellStyle name="Normal 2 3 2 8 2 7" xfId="27456" xr:uid="{00000000-0005-0000-0000-0000406B0000}"/>
    <cellStyle name="Normal 2 3 2 8 2 8" xfId="27457" xr:uid="{00000000-0005-0000-0000-0000416B0000}"/>
    <cellStyle name="Normal 2 3 2 8 2 9" xfId="27458" xr:uid="{00000000-0005-0000-0000-0000426B0000}"/>
    <cellStyle name="Normal 2 3 2 8 3" xfId="27459" xr:uid="{00000000-0005-0000-0000-0000436B0000}"/>
    <cellStyle name="Normal 2 3 2 8 3 10" xfId="27460" xr:uid="{00000000-0005-0000-0000-0000446B0000}"/>
    <cellStyle name="Normal 2 3 2 8 3 2" xfId="27461" xr:uid="{00000000-0005-0000-0000-0000456B0000}"/>
    <cellStyle name="Normal 2 3 2 8 3 3" xfId="27462" xr:uid="{00000000-0005-0000-0000-0000466B0000}"/>
    <cellStyle name="Normal 2 3 2 8 3 4" xfId="27463" xr:uid="{00000000-0005-0000-0000-0000476B0000}"/>
    <cellStyle name="Normal 2 3 2 8 3 5" xfId="27464" xr:uid="{00000000-0005-0000-0000-0000486B0000}"/>
    <cellStyle name="Normal 2 3 2 8 3 6" xfId="27465" xr:uid="{00000000-0005-0000-0000-0000496B0000}"/>
    <cellStyle name="Normal 2 3 2 8 3 7" xfId="27466" xr:uid="{00000000-0005-0000-0000-00004A6B0000}"/>
    <cellStyle name="Normal 2 3 2 8 3 8" xfId="27467" xr:uid="{00000000-0005-0000-0000-00004B6B0000}"/>
    <cellStyle name="Normal 2 3 2 8 3 9" xfId="27468" xr:uid="{00000000-0005-0000-0000-00004C6B0000}"/>
    <cellStyle name="Normal 2 3 2 8 4" xfId="27469" xr:uid="{00000000-0005-0000-0000-00004D6B0000}"/>
    <cellStyle name="Normal 2 3 2 8 4 10" xfId="27470" xr:uid="{00000000-0005-0000-0000-00004E6B0000}"/>
    <cellStyle name="Normal 2 3 2 8 4 2" xfId="27471" xr:uid="{00000000-0005-0000-0000-00004F6B0000}"/>
    <cellStyle name="Normal 2 3 2 8 4 3" xfId="27472" xr:uid="{00000000-0005-0000-0000-0000506B0000}"/>
    <cellStyle name="Normal 2 3 2 8 4 4" xfId="27473" xr:uid="{00000000-0005-0000-0000-0000516B0000}"/>
    <cellStyle name="Normal 2 3 2 8 4 5" xfId="27474" xr:uid="{00000000-0005-0000-0000-0000526B0000}"/>
    <cellStyle name="Normal 2 3 2 8 4 6" xfId="27475" xr:uid="{00000000-0005-0000-0000-0000536B0000}"/>
    <cellStyle name="Normal 2 3 2 8 4 7" xfId="27476" xr:uid="{00000000-0005-0000-0000-0000546B0000}"/>
    <cellStyle name="Normal 2 3 2 8 4 8" xfId="27477" xr:uid="{00000000-0005-0000-0000-0000556B0000}"/>
    <cellStyle name="Normal 2 3 2 8 4 9" xfId="27478" xr:uid="{00000000-0005-0000-0000-0000566B0000}"/>
    <cellStyle name="Normal 2 3 2 8 5" xfId="27479" xr:uid="{00000000-0005-0000-0000-0000576B0000}"/>
    <cellStyle name="Normal 2 3 2 8 5 10" xfId="27480" xr:uid="{00000000-0005-0000-0000-0000586B0000}"/>
    <cellStyle name="Normal 2 3 2 8 5 2" xfId="27481" xr:uid="{00000000-0005-0000-0000-0000596B0000}"/>
    <cellStyle name="Normal 2 3 2 8 5 3" xfId="27482" xr:uid="{00000000-0005-0000-0000-00005A6B0000}"/>
    <cellStyle name="Normal 2 3 2 8 5 4" xfId="27483" xr:uid="{00000000-0005-0000-0000-00005B6B0000}"/>
    <cellStyle name="Normal 2 3 2 8 5 5" xfId="27484" xr:uid="{00000000-0005-0000-0000-00005C6B0000}"/>
    <cellStyle name="Normal 2 3 2 8 5 6" xfId="27485" xr:uid="{00000000-0005-0000-0000-00005D6B0000}"/>
    <cellStyle name="Normal 2 3 2 8 5 7" xfId="27486" xr:uid="{00000000-0005-0000-0000-00005E6B0000}"/>
    <cellStyle name="Normal 2 3 2 8 5 8" xfId="27487" xr:uid="{00000000-0005-0000-0000-00005F6B0000}"/>
    <cellStyle name="Normal 2 3 2 8 5 9" xfId="27488" xr:uid="{00000000-0005-0000-0000-0000606B0000}"/>
    <cellStyle name="Normal 2 3 2 8 6" xfId="27489" xr:uid="{00000000-0005-0000-0000-0000616B0000}"/>
    <cellStyle name="Normal 2 3 2 8 7" xfId="27490" xr:uid="{00000000-0005-0000-0000-0000626B0000}"/>
    <cellStyle name="Normal 2 3 2 8 8" xfId="27491" xr:uid="{00000000-0005-0000-0000-0000636B0000}"/>
    <cellStyle name="Normal 2 3 2 8 9" xfId="27492" xr:uid="{00000000-0005-0000-0000-0000646B0000}"/>
    <cellStyle name="Normal 2 3 2 9" xfId="27493" xr:uid="{00000000-0005-0000-0000-0000656B0000}"/>
    <cellStyle name="Normal 2 3 2 9 10" xfId="27494" xr:uid="{00000000-0005-0000-0000-0000666B0000}"/>
    <cellStyle name="Normal 2 3 2 9 11" xfId="27495" xr:uid="{00000000-0005-0000-0000-0000676B0000}"/>
    <cellStyle name="Normal 2 3 2 9 12" xfId="27496" xr:uid="{00000000-0005-0000-0000-0000686B0000}"/>
    <cellStyle name="Normal 2 3 2 9 13" xfId="27497" xr:uid="{00000000-0005-0000-0000-0000696B0000}"/>
    <cellStyle name="Normal 2 3 2 9 14" xfId="27498" xr:uid="{00000000-0005-0000-0000-00006A6B0000}"/>
    <cellStyle name="Normal 2 3 2 9 2" xfId="27499" xr:uid="{00000000-0005-0000-0000-00006B6B0000}"/>
    <cellStyle name="Normal 2 3 2 9 2 10" xfId="27500" xr:uid="{00000000-0005-0000-0000-00006C6B0000}"/>
    <cellStyle name="Normal 2 3 2 9 2 2" xfId="27501" xr:uid="{00000000-0005-0000-0000-00006D6B0000}"/>
    <cellStyle name="Normal 2 3 2 9 2 3" xfId="27502" xr:uid="{00000000-0005-0000-0000-00006E6B0000}"/>
    <cellStyle name="Normal 2 3 2 9 2 4" xfId="27503" xr:uid="{00000000-0005-0000-0000-00006F6B0000}"/>
    <cellStyle name="Normal 2 3 2 9 2 5" xfId="27504" xr:uid="{00000000-0005-0000-0000-0000706B0000}"/>
    <cellStyle name="Normal 2 3 2 9 2 6" xfId="27505" xr:uid="{00000000-0005-0000-0000-0000716B0000}"/>
    <cellStyle name="Normal 2 3 2 9 2 7" xfId="27506" xr:uid="{00000000-0005-0000-0000-0000726B0000}"/>
    <cellStyle name="Normal 2 3 2 9 2 8" xfId="27507" xr:uid="{00000000-0005-0000-0000-0000736B0000}"/>
    <cellStyle name="Normal 2 3 2 9 2 9" xfId="27508" xr:uid="{00000000-0005-0000-0000-0000746B0000}"/>
    <cellStyle name="Normal 2 3 2 9 3" xfId="27509" xr:uid="{00000000-0005-0000-0000-0000756B0000}"/>
    <cellStyle name="Normal 2 3 2 9 3 10" xfId="27510" xr:uid="{00000000-0005-0000-0000-0000766B0000}"/>
    <cellStyle name="Normal 2 3 2 9 3 2" xfId="27511" xr:uid="{00000000-0005-0000-0000-0000776B0000}"/>
    <cellStyle name="Normal 2 3 2 9 3 3" xfId="27512" xr:uid="{00000000-0005-0000-0000-0000786B0000}"/>
    <cellStyle name="Normal 2 3 2 9 3 4" xfId="27513" xr:uid="{00000000-0005-0000-0000-0000796B0000}"/>
    <cellStyle name="Normal 2 3 2 9 3 5" xfId="27514" xr:uid="{00000000-0005-0000-0000-00007A6B0000}"/>
    <cellStyle name="Normal 2 3 2 9 3 6" xfId="27515" xr:uid="{00000000-0005-0000-0000-00007B6B0000}"/>
    <cellStyle name="Normal 2 3 2 9 3 7" xfId="27516" xr:uid="{00000000-0005-0000-0000-00007C6B0000}"/>
    <cellStyle name="Normal 2 3 2 9 3 8" xfId="27517" xr:uid="{00000000-0005-0000-0000-00007D6B0000}"/>
    <cellStyle name="Normal 2 3 2 9 3 9" xfId="27518" xr:uid="{00000000-0005-0000-0000-00007E6B0000}"/>
    <cellStyle name="Normal 2 3 2 9 4" xfId="27519" xr:uid="{00000000-0005-0000-0000-00007F6B0000}"/>
    <cellStyle name="Normal 2 3 2 9 4 10" xfId="27520" xr:uid="{00000000-0005-0000-0000-0000806B0000}"/>
    <cellStyle name="Normal 2 3 2 9 4 2" xfId="27521" xr:uid="{00000000-0005-0000-0000-0000816B0000}"/>
    <cellStyle name="Normal 2 3 2 9 4 3" xfId="27522" xr:uid="{00000000-0005-0000-0000-0000826B0000}"/>
    <cellStyle name="Normal 2 3 2 9 4 4" xfId="27523" xr:uid="{00000000-0005-0000-0000-0000836B0000}"/>
    <cellStyle name="Normal 2 3 2 9 4 5" xfId="27524" xr:uid="{00000000-0005-0000-0000-0000846B0000}"/>
    <cellStyle name="Normal 2 3 2 9 4 6" xfId="27525" xr:uid="{00000000-0005-0000-0000-0000856B0000}"/>
    <cellStyle name="Normal 2 3 2 9 4 7" xfId="27526" xr:uid="{00000000-0005-0000-0000-0000866B0000}"/>
    <cellStyle name="Normal 2 3 2 9 4 8" xfId="27527" xr:uid="{00000000-0005-0000-0000-0000876B0000}"/>
    <cellStyle name="Normal 2 3 2 9 4 9" xfId="27528" xr:uid="{00000000-0005-0000-0000-0000886B0000}"/>
    <cellStyle name="Normal 2 3 2 9 5" xfId="27529" xr:uid="{00000000-0005-0000-0000-0000896B0000}"/>
    <cellStyle name="Normal 2 3 2 9 5 10" xfId="27530" xr:uid="{00000000-0005-0000-0000-00008A6B0000}"/>
    <cellStyle name="Normal 2 3 2 9 5 2" xfId="27531" xr:uid="{00000000-0005-0000-0000-00008B6B0000}"/>
    <cellStyle name="Normal 2 3 2 9 5 3" xfId="27532" xr:uid="{00000000-0005-0000-0000-00008C6B0000}"/>
    <cellStyle name="Normal 2 3 2 9 5 4" xfId="27533" xr:uid="{00000000-0005-0000-0000-00008D6B0000}"/>
    <cellStyle name="Normal 2 3 2 9 5 5" xfId="27534" xr:uid="{00000000-0005-0000-0000-00008E6B0000}"/>
    <cellStyle name="Normal 2 3 2 9 5 6" xfId="27535" xr:uid="{00000000-0005-0000-0000-00008F6B0000}"/>
    <cellStyle name="Normal 2 3 2 9 5 7" xfId="27536" xr:uid="{00000000-0005-0000-0000-0000906B0000}"/>
    <cellStyle name="Normal 2 3 2 9 5 8" xfId="27537" xr:uid="{00000000-0005-0000-0000-0000916B0000}"/>
    <cellStyle name="Normal 2 3 2 9 5 9" xfId="27538" xr:uid="{00000000-0005-0000-0000-0000926B0000}"/>
    <cellStyle name="Normal 2 3 2 9 6" xfId="27539" xr:uid="{00000000-0005-0000-0000-0000936B0000}"/>
    <cellStyle name="Normal 2 3 2 9 7" xfId="27540" xr:uid="{00000000-0005-0000-0000-0000946B0000}"/>
    <cellStyle name="Normal 2 3 2 9 8" xfId="27541" xr:uid="{00000000-0005-0000-0000-0000956B0000}"/>
    <cellStyle name="Normal 2 3 2 9 9" xfId="27542" xr:uid="{00000000-0005-0000-0000-0000966B0000}"/>
    <cellStyle name="Normal 2 3 20" xfId="27543" xr:uid="{00000000-0005-0000-0000-0000976B0000}"/>
    <cellStyle name="Normal 2 3 20 10" xfId="27544" xr:uid="{00000000-0005-0000-0000-0000986B0000}"/>
    <cellStyle name="Normal 2 3 20 11" xfId="27545" xr:uid="{00000000-0005-0000-0000-0000996B0000}"/>
    <cellStyle name="Normal 2 3 20 12" xfId="27546" xr:uid="{00000000-0005-0000-0000-00009A6B0000}"/>
    <cellStyle name="Normal 2 3 20 13" xfId="27547" xr:uid="{00000000-0005-0000-0000-00009B6B0000}"/>
    <cellStyle name="Normal 2 3 20 14" xfId="27548" xr:uid="{00000000-0005-0000-0000-00009C6B0000}"/>
    <cellStyle name="Normal 2 3 20 2" xfId="27549" xr:uid="{00000000-0005-0000-0000-00009D6B0000}"/>
    <cellStyle name="Normal 2 3 20 2 10" xfId="27550" xr:uid="{00000000-0005-0000-0000-00009E6B0000}"/>
    <cellStyle name="Normal 2 3 20 2 2" xfId="27551" xr:uid="{00000000-0005-0000-0000-00009F6B0000}"/>
    <cellStyle name="Normal 2 3 20 2 3" xfId="27552" xr:uid="{00000000-0005-0000-0000-0000A06B0000}"/>
    <cellStyle name="Normal 2 3 20 2 4" xfId="27553" xr:uid="{00000000-0005-0000-0000-0000A16B0000}"/>
    <cellStyle name="Normal 2 3 20 2 5" xfId="27554" xr:uid="{00000000-0005-0000-0000-0000A26B0000}"/>
    <cellStyle name="Normal 2 3 20 2 6" xfId="27555" xr:uid="{00000000-0005-0000-0000-0000A36B0000}"/>
    <cellStyle name="Normal 2 3 20 2 7" xfId="27556" xr:uid="{00000000-0005-0000-0000-0000A46B0000}"/>
    <cellStyle name="Normal 2 3 20 2 8" xfId="27557" xr:uid="{00000000-0005-0000-0000-0000A56B0000}"/>
    <cellStyle name="Normal 2 3 20 2 9" xfId="27558" xr:uid="{00000000-0005-0000-0000-0000A66B0000}"/>
    <cellStyle name="Normal 2 3 20 3" xfId="27559" xr:uid="{00000000-0005-0000-0000-0000A76B0000}"/>
    <cellStyle name="Normal 2 3 20 3 10" xfId="27560" xr:uid="{00000000-0005-0000-0000-0000A86B0000}"/>
    <cellStyle name="Normal 2 3 20 3 2" xfId="27561" xr:uid="{00000000-0005-0000-0000-0000A96B0000}"/>
    <cellStyle name="Normal 2 3 20 3 3" xfId="27562" xr:uid="{00000000-0005-0000-0000-0000AA6B0000}"/>
    <cellStyle name="Normal 2 3 20 3 4" xfId="27563" xr:uid="{00000000-0005-0000-0000-0000AB6B0000}"/>
    <cellStyle name="Normal 2 3 20 3 5" xfId="27564" xr:uid="{00000000-0005-0000-0000-0000AC6B0000}"/>
    <cellStyle name="Normal 2 3 20 3 6" xfId="27565" xr:uid="{00000000-0005-0000-0000-0000AD6B0000}"/>
    <cellStyle name="Normal 2 3 20 3 7" xfId="27566" xr:uid="{00000000-0005-0000-0000-0000AE6B0000}"/>
    <cellStyle name="Normal 2 3 20 3 8" xfId="27567" xr:uid="{00000000-0005-0000-0000-0000AF6B0000}"/>
    <cellStyle name="Normal 2 3 20 3 9" xfId="27568" xr:uid="{00000000-0005-0000-0000-0000B06B0000}"/>
    <cellStyle name="Normal 2 3 20 4" xfId="27569" xr:uid="{00000000-0005-0000-0000-0000B16B0000}"/>
    <cellStyle name="Normal 2 3 20 4 10" xfId="27570" xr:uid="{00000000-0005-0000-0000-0000B26B0000}"/>
    <cellStyle name="Normal 2 3 20 4 2" xfId="27571" xr:uid="{00000000-0005-0000-0000-0000B36B0000}"/>
    <cellStyle name="Normal 2 3 20 4 3" xfId="27572" xr:uid="{00000000-0005-0000-0000-0000B46B0000}"/>
    <cellStyle name="Normal 2 3 20 4 4" xfId="27573" xr:uid="{00000000-0005-0000-0000-0000B56B0000}"/>
    <cellStyle name="Normal 2 3 20 4 5" xfId="27574" xr:uid="{00000000-0005-0000-0000-0000B66B0000}"/>
    <cellStyle name="Normal 2 3 20 4 6" xfId="27575" xr:uid="{00000000-0005-0000-0000-0000B76B0000}"/>
    <cellStyle name="Normal 2 3 20 4 7" xfId="27576" xr:uid="{00000000-0005-0000-0000-0000B86B0000}"/>
    <cellStyle name="Normal 2 3 20 4 8" xfId="27577" xr:uid="{00000000-0005-0000-0000-0000B96B0000}"/>
    <cellStyle name="Normal 2 3 20 4 9" xfId="27578" xr:uid="{00000000-0005-0000-0000-0000BA6B0000}"/>
    <cellStyle name="Normal 2 3 20 5" xfId="27579" xr:uid="{00000000-0005-0000-0000-0000BB6B0000}"/>
    <cellStyle name="Normal 2 3 20 5 10" xfId="27580" xr:uid="{00000000-0005-0000-0000-0000BC6B0000}"/>
    <cellStyle name="Normal 2 3 20 5 2" xfId="27581" xr:uid="{00000000-0005-0000-0000-0000BD6B0000}"/>
    <cellStyle name="Normal 2 3 20 5 3" xfId="27582" xr:uid="{00000000-0005-0000-0000-0000BE6B0000}"/>
    <cellStyle name="Normal 2 3 20 5 4" xfId="27583" xr:uid="{00000000-0005-0000-0000-0000BF6B0000}"/>
    <cellStyle name="Normal 2 3 20 5 5" xfId="27584" xr:uid="{00000000-0005-0000-0000-0000C06B0000}"/>
    <cellStyle name="Normal 2 3 20 5 6" xfId="27585" xr:uid="{00000000-0005-0000-0000-0000C16B0000}"/>
    <cellStyle name="Normal 2 3 20 5 7" xfId="27586" xr:uid="{00000000-0005-0000-0000-0000C26B0000}"/>
    <cellStyle name="Normal 2 3 20 5 8" xfId="27587" xr:uid="{00000000-0005-0000-0000-0000C36B0000}"/>
    <cellStyle name="Normal 2 3 20 5 9" xfId="27588" xr:uid="{00000000-0005-0000-0000-0000C46B0000}"/>
    <cellStyle name="Normal 2 3 20 6" xfId="27589" xr:uid="{00000000-0005-0000-0000-0000C56B0000}"/>
    <cellStyle name="Normal 2 3 20 7" xfId="27590" xr:uid="{00000000-0005-0000-0000-0000C66B0000}"/>
    <cellStyle name="Normal 2 3 20 8" xfId="27591" xr:uid="{00000000-0005-0000-0000-0000C76B0000}"/>
    <cellStyle name="Normal 2 3 20 9" xfId="27592" xr:uid="{00000000-0005-0000-0000-0000C86B0000}"/>
    <cellStyle name="Normal 2 3 21" xfId="27593" xr:uid="{00000000-0005-0000-0000-0000C96B0000}"/>
    <cellStyle name="Normal 2 3 21 10" xfId="27594" xr:uid="{00000000-0005-0000-0000-0000CA6B0000}"/>
    <cellStyle name="Normal 2 3 21 11" xfId="27595" xr:uid="{00000000-0005-0000-0000-0000CB6B0000}"/>
    <cellStyle name="Normal 2 3 21 12" xfId="27596" xr:uid="{00000000-0005-0000-0000-0000CC6B0000}"/>
    <cellStyle name="Normal 2 3 21 13" xfId="27597" xr:uid="{00000000-0005-0000-0000-0000CD6B0000}"/>
    <cellStyle name="Normal 2 3 21 14" xfId="27598" xr:uid="{00000000-0005-0000-0000-0000CE6B0000}"/>
    <cellStyle name="Normal 2 3 21 2" xfId="27599" xr:uid="{00000000-0005-0000-0000-0000CF6B0000}"/>
    <cellStyle name="Normal 2 3 21 2 10" xfId="27600" xr:uid="{00000000-0005-0000-0000-0000D06B0000}"/>
    <cellStyle name="Normal 2 3 21 2 2" xfId="27601" xr:uid="{00000000-0005-0000-0000-0000D16B0000}"/>
    <cellStyle name="Normal 2 3 21 2 3" xfId="27602" xr:uid="{00000000-0005-0000-0000-0000D26B0000}"/>
    <cellStyle name="Normal 2 3 21 2 4" xfId="27603" xr:uid="{00000000-0005-0000-0000-0000D36B0000}"/>
    <cellStyle name="Normal 2 3 21 2 5" xfId="27604" xr:uid="{00000000-0005-0000-0000-0000D46B0000}"/>
    <cellStyle name="Normal 2 3 21 2 6" xfId="27605" xr:uid="{00000000-0005-0000-0000-0000D56B0000}"/>
    <cellStyle name="Normal 2 3 21 2 7" xfId="27606" xr:uid="{00000000-0005-0000-0000-0000D66B0000}"/>
    <cellStyle name="Normal 2 3 21 2 8" xfId="27607" xr:uid="{00000000-0005-0000-0000-0000D76B0000}"/>
    <cellStyle name="Normal 2 3 21 2 9" xfId="27608" xr:uid="{00000000-0005-0000-0000-0000D86B0000}"/>
    <cellStyle name="Normal 2 3 21 3" xfId="27609" xr:uid="{00000000-0005-0000-0000-0000D96B0000}"/>
    <cellStyle name="Normal 2 3 21 3 10" xfId="27610" xr:uid="{00000000-0005-0000-0000-0000DA6B0000}"/>
    <cellStyle name="Normal 2 3 21 3 2" xfId="27611" xr:uid="{00000000-0005-0000-0000-0000DB6B0000}"/>
    <cellStyle name="Normal 2 3 21 3 3" xfId="27612" xr:uid="{00000000-0005-0000-0000-0000DC6B0000}"/>
    <cellStyle name="Normal 2 3 21 3 4" xfId="27613" xr:uid="{00000000-0005-0000-0000-0000DD6B0000}"/>
    <cellStyle name="Normal 2 3 21 3 5" xfId="27614" xr:uid="{00000000-0005-0000-0000-0000DE6B0000}"/>
    <cellStyle name="Normal 2 3 21 3 6" xfId="27615" xr:uid="{00000000-0005-0000-0000-0000DF6B0000}"/>
    <cellStyle name="Normal 2 3 21 3 7" xfId="27616" xr:uid="{00000000-0005-0000-0000-0000E06B0000}"/>
    <cellStyle name="Normal 2 3 21 3 8" xfId="27617" xr:uid="{00000000-0005-0000-0000-0000E16B0000}"/>
    <cellStyle name="Normal 2 3 21 3 9" xfId="27618" xr:uid="{00000000-0005-0000-0000-0000E26B0000}"/>
    <cellStyle name="Normal 2 3 21 4" xfId="27619" xr:uid="{00000000-0005-0000-0000-0000E36B0000}"/>
    <cellStyle name="Normal 2 3 21 4 10" xfId="27620" xr:uid="{00000000-0005-0000-0000-0000E46B0000}"/>
    <cellStyle name="Normal 2 3 21 4 2" xfId="27621" xr:uid="{00000000-0005-0000-0000-0000E56B0000}"/>
    <cellStyle name="Normal 2 3 21 4 3" xfId="27622" xr:uid="{00000000-0005-0000-0000-0000E66B0000}"/>
    <cellStyle name="Normal 2 3 21 4 4" xfId="27623" xr:uid="{00000000-0005-0000-0000-0000E76B0000}"/>
    <cellStyle name="Normal 2 3 21 4 5" xfId="27624" xr:uid="{00000000-0005-0000-0000-0000E86B0000}"/>
    <cellStyle name="Normal 2 3 21 4 6" xfId="27625" xr:uid="{00000000-0005-0000-0000-0000E96B0000}"/>
    <cellStyle name="Normal 2 3 21 4 7" xfId="27626" xr:uid="{00000000-0005-0000-0000-0000EA6B0000}"/>
    <cellStyle name="Normal 2 3 21 4 8" xfId="27627" xr:uid="{00000000-0005-0000-0000-0000EB6B0000}"/>
    <cellStyle name="Normal 2 3 21 4 9" xfId="27628" xr:uid="{00000000-0005-0000-0000-0000EC6B0000}"/>
    <cellStyle name="Normal 2 3 21 5" xfId="27629" xr:uid="{00000000-0005-0000-0000-0000ED6B0000}"/>
    <cellStyle name="Normal 2 3 21 5 10" xfId="27630" xr:uid="{00000000-0005-0000-0000-0000EE6B0000}"/>
    <cellStyle name="Normal 2 3 21 5 2" xfId="27631" xr:uid="{00000000-0005-0000-0000-0000EF6B0000}"/>
    <cellStyle name="Normal 2 3 21 5 3" xfId="27632" xr:uid="{00000000-0005-0000-0000-0000F06B0000}"/>
    <cellStyle name="Normal 2 3 21 5 4" xfId="27633" xr:uid="{00000000-0005-0000-0000-0000F16B0000}"/>
    <cellStyle name="Normal 2 3 21 5 5" xfId="27634" xr:uid="{00000000-0005-0000-0000-0000F26B0000}"/>
    <cellStyle name="Normal 2 3 21 5 6" xfId="27635" xr:uid="{00000000-0005-0000-0000-0000F36B0000}"/>
    <cellStyle name="Normal 2 3 21 5 7" xfId="27636" xr:uid="{00000000-0005-0000-0000-0000F46B0000}"/>
    <cellStyle name="Normal 2 3 21 5 8" xfId="27637" xr:uid="{00000000-0005-0000-0000-0000F56B0000}"/>
    <cellStyle name="Normal 2 3 21 5 9" xfId="27638" xr:uid="{00000000-0005-0000-0000-0000F66B0000}"/>
    <cellStyle name="Normal 2 3 21 6" xfId="27639" xr:uid="{00000000-0005-0000-0000-0000F76B0000}"/>
    <cellStyle name="Normal 2 3 21 7" xfId="27640" xr:uid="{00000000-0005-0000-0000-0000F86B0000}"/>
    <cellStyle name="Normal 2 3 21 8" xfId="27641" xr:uid="{00000000-0005-0000-0000-0000F96B0000}"/>
    <cellStyle name="Normal 2 3 21 9" xfId="27642" xr:uid="{00000000-0005-0000-0000-0000FA6B0000}"/>
    <cellStyle name="Normal 2 3 22" xfId="27643" xr:uid="{00000000-0005-0000-0000-0000FB6B0000}"/>
    <cellStyle name="Normal 2 3 22 10" xfId="27644" xr:uid="{00000000-0005-0000-0000-0000FC6B0000}"/>
    <cellStyle name="Normal 2 3 22 11" xfId="27645" xr:uid="{00000000-0005-0000-0000-0000FD6B0000}"/>
    <cellStyle name="Normal 2 3 22 12" xfId="27646" xr:uid="{00000000-0005-0000-0000-0000FE6B0000}"/>
    <cellStyle name="Normal 2 3 22 13" xfId="27647" xr:uid="{00000000-0005-0000-0000-0000FF6B0000}"/>
    <cellStyle name="Normal 2 3 22 14" xfId="27648" xr:uid="{00000000-0005-0000-0000-0000006C0000}"/>
    <cellStyle name="Normal 2 3 22 2" xfId="27649" xr:uid="{00000000-0005-0000-0000-0000016C0000}"/>
    <cellStyle name="Normal 2 3 22 2 10" xfId="27650" xr:uid="{00000000-0005-0000-0000-0000026C0000}"/>
    <cellStyle name="Normal 2 3 22 2 2" xfId="27651" xr:uid="{00000000-0005-0000-0000-0000036C0000}"/>
    <cellStyle name="Normal 2 3 22 2 3" xfId="27652" xr:uid="{00000000-0005-0000-0000-0000046C0000}"/>
    <cellStyle name="Normal 2 3 22 2 4" xfId="27653" xr:uid="{00000000-0005-0000-0000-0000056C0000}"/>
    <cellStyle name="Normal 2 3 22 2 5" xfId="27654" xr:uid="{00000000-0005-0000-0000-0000066C0000}"/>
    <cellStyle name="Normal 2 3 22 2 6" xfId="27655" xr:uid="{00000000-0005-0000-0000-0000076C0000}"/>
    <cellStyle name="Normal 2 3 22 2 7" xfId="27656" xr:uid="{00000000-0005-0000-0000-0000086C0000}"/>
    <cellStyle name="Normal 2 3 22 2 8" xfId="27657" xr:uid="{00000000-0005-0000-0000-0000096C0000}"/>
    <cellStyle name="Normal 2 3 22 2 9" xfId="27658" xr:uid="{00000000-0005-0000-0000-00000A6C0000}"/>
    <cellStyle name="Normal 2 3 22 3" xfId="27659" xr:uid="{00000000-0005-0000-0000-00000B6C0000}"/>
    <cellStyle name="Normal 2 3 22 3 10" xfId="27660" xr:uid="{00000000-0005-0000-0000-00000C6C0000}"/>
    <cellStyle name="Normal 2 3 22 3 2" xfId="27661" xr:uid="{00000000-0005-0000-0000-00000D6C0000}"/>
    <cellStyle name="Normal 2 3 22 3 3" xfId="27662" xr:uid="{00000000-0005-0000-0000-00000E6C0000}"/>
    <cellStyle name="Normal 2 3 22 3 4" xfId="27663" xr:uid="{00000000-0005-0000-0000-00000F6C0000}"/>
    <cellStyle name="Normal 2 3 22 3 5" xfId="27664" xr:uid="{00000000-0005-0000-0000-0000106C0000}"/>
    <cellStyle name="Normal 2 3 22 3 6" xfId="27665" xr:uid="{00000000-0005-0000-0000-0000116C0000}"/>
    <cellStyle name="Normal 2 3 22 3 7" xfId="27666" xr:uid="{00000000-0005-0000-0000-0000126C0000}"/>
    <cellStyle name="Normal 2 3 22 3 8" xfId="27667" xr:uid="{00000000-0005-0000-0000-0000136C0000}"/>
    <cellStyle name="Normal 2 3 22 3 9" xfId="27668" xr:uid="{00000000-0005-0000-0000-0000146C0000}"/>
    <cellStyle name="Normal 2 3 22 4" xfId="27669" xr:uid="{00000000-0005-0000-0000-0000156C0000}"/>
    <cellStyle name="Normal 2 3 22 4 10" xfId="27670" xr:uid="{00000000-0005-0000-0000-0000166C0000}"/>
    <cellStyle name="Normal 2 3 22 4 2" xfId="27671" xr:uid="{00000000-0005-0000-0000-0000176C0000}"/>
    <cellStyle name="Normal 2 3 22 4 3" xfId="27672" xr:uid="{00000000-0005-0000-0000-0000186C0000}"/>
    <cellStyle name="Normal 2 3 22 4 4" xfId="27673" xr:uid="{00000000-0005-0000-0000-0000196C0000}"/>
    <cellStyle name="Normal 2 3 22 4 5" xfId="27674" xr:uid="{00000000-0005-0000-0000-00001A6C0000}"/>
    <cellStyle name="Normal 2 3 22 4 6" xfId="27675" xr:uid="{00000000-0005-0000-0000-00001B6C0000}"/>
    <cellStyle name="Normal 2 3 22 4 7" xfId="27676" xr:uid="{00000000-0005-0000-0000-00001C6C0000}"/>
    <cellStyle name="Normal 2 3 22 4 8" xfId="27677" xr:uid="{00000000-0005-0000-0000-00001D6C0000}"/>
    <cellStyle name="Normal 2 3 22 4 9" xfId="27678" xr:uid="{00000000-0005-0000-0000-00001E6C0000}"/>
    <cellStyle name="Normal 2 3 22 5" xfId="27679" xr:uid="{00000000-0005-0000-0000-00001F6C0000}"/>
    <cellStyle name="Normal 2 3 22 5 10" xfId="27680" xr:uid="{00000000-0005-0000-0000-0000206C0000}"/>
    <cellStyle name="Normal 2 3 22 5 2" xfId="27681" xr:uid="{00000000-0005-0000-0000-0000216C0000}"/>
    <cellStyle name="Normal 2 3 22 5 3" xfId="27682" xr:uid="{00000000-0005-0000-0000-0000226C0000}"/>
    <cellStyle name="Normal 2 3 22 5 4" xfId="27683" xr:uid="{00000000-0005-0000-0000-0000236C0000}"/>
    <cellStyle name="Normal 2 3 22 5 5" xfId="27684" xr:uid="{00000000-0005-0000-0000-0000246C0000}"/>
    <cellStyle name="Normal 2 3 22 5 6" xfId="27685" xr:uid="{00000000-0005-0000-0000-0000256C0000}"/>
    <cellStyle name="Normal 2 3 22 5 7" xfId="27686" xr:uid="{00000000-0005-0000-0000-0000266C0000}"/>
    <cellStyle name="Normal 2 3 22 5 8" xfId="27687" xr:uid="{00000000-0005-0000-0000-0000276C0000}"/>
    <cellStyle name="Normal 2 3 22 5 9" xfId="27688" xr:uid="{00000000-0005-0000-0000-0000286C0000}"/>
    <cellStyle name="Normal 2 3 22 6" xfId="27689" xr:uid="{00000000-0005-0000-0000-0000296C0000}"/>
    <cellStyle name="Normal 2 3 22 7" xfId="27690" xr:uid="{00000000-0005-0000-0000-00002A6C0000}"/>
    <cellStyle name="Normal 2 3 22 8" xfId="27691" xr:uid="{00000000-0005-0000-0000-00002B6C0000}"/>
    <cellStyle name="Normal 2 3 22 9" xfId="27692" xr:uid="{00000000-0005-0000-0000-00002C6C0000}"/>
    <cellStyle name="Normal 2 3 23" xfId="27693" xr:uid="{00000000-0005-0000-0000-00002D6C0000}"/>
    <cellStyle name="Normal 2 3 23 10" xfId="27694" xr:uid="{00000000-0005-0000-0000-00002E6C0000}"/>
    <cellStyle name="Normal 2 3 23 11" xfId="27695" xr:uid="{00000000-0005-0000-0000-00002F6C0000}"/>
    <cellStyle name="Normal 2 3 23 12" xfId="27696" xr:uid="{00000000-0005-0000-0000-0000306C0000}"/>
    <cellStyle name="Normal 2 3 23 13" xfId="27697" xr:uid="{00000000-0005-0000-0000-0000316C0000}"/>
    <cellStyle name="Normal 2 3 23 14" xfId="27698" xr:uid="{00000000-0005-0000-0000-0000326C0000}"/>
    <cellStyle name="Normal 2 3 23 2" xfId="27699" xr:uid="{00000000-0005-0000-0000-0000336C0000}"/>
    <cellStyle name="Normal 2 3 23 2 10" xfId="27700" xr:uid="{00000000-0005-0000-0000-0000346C0000}"/>
    <cellStyle name="Normal 2 3 23 2 2" xfId="27701" xr:uid="{00000000-0005-0000-0000-0000356C0000}"/>
    <cellStyle name="Normal 2 3 23 2 3" xfId="27702" xr:uid="{00000000-0005-0000-0000-0000366C0000}"/>
    <cellStyle name="Normal 2 3 23 2 4" xfId="27703" xr:uid="{00000000-0005-0000-0000-0000376C0000}"/>
    <cellStyle name="Normal 2 3 23 2 5" xfId="27704" xr:uid="{00000000-0005-0000-0000-0000386C0000}"/>
    <cellStyle name="Normal 2 3 23 2 6" xfId="27705" xr:uid="{00000000-0005-0000-0000-0000396C0000}"/>
    <cellStyle name="Normal 2 3 23 2 7" xfId="27706" xr:uid="{00000000-0005-0000-0000-00003A6C0000}"/>
    <cellStyle name="Normal 2 3 23 2 8" xfId="27707" xr:uid="{00000000-0005-0000-0000-00003B6C0000}"/>
    <cellStyle name="Normal 2 3 23 2 9" xfId="27708" xr:uid="{00000000-0005-0000-0000-00003C6C0000}"/>
    <cellStyle name="Normal 2 3 23 3" xfId="27709" xr:uid="{00000000-0005-0000-0000-00003D6C0000}"/>
    <cellStyle name="Normal 2 3 23 3 10" xfId="27710" xr:uid="{00000000-0005-0000-0000-00003E6C0000}"/>
    <cellStyle name="Normal 2 3 23 3 2" xfId="27711" xr:uid="{00000000-0005-0000-0000-00003F6C0000}"/>
    <cellStyle name="Normal 2 3 23 3 3" xfId="27712" xr:uid="{00000000-0005-0000-0000-0000406C0000}"/>
    <cellStyle name="Normal 2 3 23 3 4" xfId="27713" xr:uid="{00000000-0005-0000-0000-0000416C0000}"/>
    <cellStyle name="Normal 2 3 23 3 5" xfId="27714" xr:uid="{00000000-0005-0000-0000-0000426C0000}"/>
    <cellStyle name="Normal 2 3 23 3 6" xfId="27715" xr:uid="{00000000-0005-0000-0000-0000436C0000}"/>
    <cellStyle name="Normal 2 3 23 3 7" xfId="27716" xr:uid="{00000000-0005-0000-0000-0000446C0000}"/>
    <cellStyle name="Normal 2 3 23 3 8" xfId="27717" xr:uid="{00000000-0005-0000-0000-0000456C0000}"/>
    <cellStyle name="Normal 2 3 23 3 9" xfId="27718" xr:uid="{00000000-0005-0000-0000-0000466C0000}"/>
    <cellStyle name="Normal 2 3 23 4" xfId="27719" xr:uid="{00000000-0005-0000-0000-0000476C0000}"/>
    <cellStyle name="Normal 2 3 23 4 10" xfId="27720" xr:uid="{00000000-0005-0000-0000-0000486C0000}"/>
    <cellStyle name="Normal 2 3 23 4 2" xfId="27721" xr:uid="{00000000-0005-0000-0000-0000496C0000}"/>
    <cellStyle name="Normal 2 3 23 4 3" xfId="27722" xr:uid="{00000000-0005-0000-0000-00004A6C0000}"/>
    <cellStyle name="Normal 2 3 23 4 4" xfId="27723" xr:uid="{00000000-0005-0000-0000-00004B6C0000}"/>
    <cellStyle name="Normal 2 3 23 4 5" xfId="27724" xr:uid="{00000000-0005-0000-0000-00004C6C0000}"/>
    <cellStyle name="Normal 2 3 23 4 6" xfId="27725" xr:uid="{00000000-0005-0000-0000-00004D6C0000}"/>
    <cellStyle name="Normal 2 3 23 4 7" xfId="27726" xr:uid="{00000000-0005-0000-0000-00004E6C0000}"/>
    <cellStyle name="Normal 2 3 23 4 8" xfId="27727" xr:uid="{00000000-0005-0000-0000-00004F6C0000}"/>
    <cellStyle name="Normal 2 3 23 4 9" xfId="27728" xr:uid="{00000000-0005-0000-0000-0000506C0000}"/>
    <cellStyle name="Normal 2 3 23 5" xfId="27729" xr:uid="{00000000-0005-0000-0000-0000516C0000}"/>
    <cellStyle name="Normal 2 3 23 5 10" xfId="27730" xr:uid="{00000000-0005-0000-0000-0000526C0000}"/>
    <cellStyle name="Normal 2 3 23 5 2" xfId="27731" xr:uid="{00000000-0005-0000-0000-0000536C0000}"/>
    <cellStyle name="Normal 2 3 23 5 3" xfId="27732" xr:uid="{00000000-0005-0000-0000-0000546C0000}"/>
    <cellStyle name="Normal 2 3 23 5 4" xfId="27733" xr:uid="{00000000-0005-0000-0000-0000556C0000}"/>
    <cellStyle name="Normal 2 3 23 5 5" xfId="27734" xr:uid="{00000000-0005-0000-0000-0000566C0000}"/>
    <cellStyle name="Normal 2 3 23 5 6" xfId="27735" xr:uid="{00000000-0005-0000-0000-0000576C0000}"/>
    <cellStyle name="Normal 2 3 23 5 7" xfId="27736" xr:uid="{00000000-0005-0000-0000-0000586C0000}"/>
    <cellStyle name="Normal 2 3 23 5 8" xfId="27737" xr:uid="{00000000-0005-0000-0000-0000596C0000}"/>
    <cellStyle name="Normal 2 3 23 5 9" xfId="27738" xr:uid="{00000000-0005-0000-0000-00005A6C0000}"/>
    <cellStyle name="Normal 2 3 23 6" xfId="27739" xr:uid="{00000000-0005-0000-0000-00005B6C0000}"/>
    <cellStyle name="Normal 2 3 23 7" xfId="27740" xr:uid="{00000000-0005-0000-0000-00005C6C0000}"/>
    <cellStyle name="Normal 2 3 23 8" xfId="27741" xr:uid="{00000000-0005-0000-0000-00005D6C0000}"/>
    <cellStyle name="Normal 2 3 23 9" xfId="27742" xr:uid="{00000000-0005-0000-0000-00005E6C0000}"/>
    <cellStyle name="Normal 2 3 24" xfId="27743" xr:uid="{00000000-0005-0000-0000-00005F6C0000}"/>
    <cellStyle name="Normal 2 3 24 10" xfId="27744" xr:uid="{00000000-0005-0000-0000-0000606C0000}"/>
    <cellStyle name="Normal 2 3 24 11" xfId="27745" xr:uid="{00000000-0005-0000-0000-0000616C0000}"/>
    <cellStyle name="Normal 2 3 24 12" xfId="27746" xr:uid="{00000000-0005-0000-0000-0000626C0000}"/>
    <cellStyle name="Normal 2 3 24 13" xfId="27747" xr:uid="{00000000-0005-0000-0000-0000636C0000}"/>
    <cellStyle name="Normal 2 3 24 14" xfId="27748" xr:uid="{00000000-0005-0000-0000-0000646C0000}"/>
    <cellStyle name="Normal 2 3 24 2" xfId="27749" xr:uid="{00000000-0005-0000-0000-0000656C0000}"/>
    <cellStyle name="Normal 2 3 24 2 10" xfId="27750" xr:uid="{00000000-0005-0000-0000-0000666C0000}"/>
    <cellStyle name="Normal 2 3 24 2 2" xfId="27751" xr:uid="{00000000-0005-0000-0000-0000676C0000}"/>
    <cellStyle name="Normal 2 3 24 2 3" xfId="27752" xr:uid="{00000000-0005-0000-0000-0000686C0000}"/>
    <cellStyle name="Normal 2 3 24 2 4" xfId="27753" xr:uid="{00000000-0005-0000-0000-0000696C0000}"/>
    <cellStyle name="Normal 2 3 24 2 5" xfId="27754" xr:uid="{00000000-0005-0000-0000-00006A6C0000}"/>
    <cellStyle name="Normal 2 3 24 2 6" xfId="27755" xr:uid="{00000000-0005-0000-0000-00006B6C0000}"/>
    <cellStyle name="Normal 2 3 24 2 7" xfId="27756" xr:uid="{00000000-0005-0000-0000-00006C6C0000}"/>
    <cellStyle name="Normal 2 3 24 2 8" xfId="27757" xr:uid="{00000000-0005-0000-0000-00006D6C0000}"/>
    <cellStyle name="Normal 2 3 24 2 9" xfId="27758" xr:uid="{00000000-0005-0000-0000-00006E6C0000}"/>
    <cellStyle name="Normal 2 3 24 3" xfId="27759" xr:uid="{00000000-0005-0000-0000-00006F6C0000}"/>
    <cellStyle name="Normal 2 3 24 3 10" xfId="27760" xr:uid="{00000000-0005-0000-0000-0000706C0000}"/>
    <cellStyle name="Normal 2 3 24 3 2" xfId="27761" xr:uid="{00000000-0005-0000-0000-0000716C0000}"/>
    <cellStyle name="Normal 2 3 24 3 3" xfId="27762" xr:uid="{00000000-0005-0000-0000-0000726C0000}"/>
    <cellStyle name="Normal 2 3 24 3 4" xfId="27763" xr:uid="{00000000-0005-0000-0000-0000736C0000}"/>
    <cellStyle name="Normal 2 3 24 3 5" xfId="27764" xr:uid="{00000000-0005-0000-0000-0000746C0000}"/>
    <cellStyle name="Normal 2 3 24 3 6" xfId="27765" xr:uid="{00000000-0005-0000-0000-0000756C0000}"/>
    <cellStyle name="Normal 2 3 24 3 7" xfId="27766" xr:uid="{00000000-0005-0000-0000-0000766C0000}"/>
    <cellStyle name="Normal 2 3 24 3 8" xfId="27767" xr:uid="{00000000-0005-0000-0000-0000776C0000}"/>
    <cellStyle name="Normal 2 3 24 3 9" xfId="27768" xr:uid="{00000000-0005-0000-0000-0000786C0000}"/>
    <cellStyle name="Normal 2 3 24 4" xfId="27769" xr:uid="{00000000-0005-0000-0000-0000796C0000}"/>
    <cellStyle name="Normal 2 3 24 4 10" xfId="27770" xr:uid="{00000000-0005-0000-0000-00007A6C0000}"/>
    <cellStyle name="Normal 2 3 24 4 2" xfId="27771" xr:uid="{00000000-0005-0000-0000-00007B6C0000}"/>
    <cellStyle name="Normal 2 3 24 4 3" xfId="27772" xr:uid="{00000000-0005-0000-0000-00007C6C0000}"/>
    <cellStyle name="Normal 2 3 24 4 4" xfId="27773" xr:uid="{00000000-0005-0000-0000-00007D6C0000}"/>
    <cellStyle name="Normal 2 3 24 4 5" xfId="27774" xr:uid="{00000000-0005-0000-0000-00007E6C0000}"/>
    <cellStyle name="Normal 2 3 24 4 6" xfId="27775" xr:uid="{00000000-0005-0000-0000-00007F6C0000}"/>
    <cellStyle name="Normal 2 3 24 4 7" xfId="27776" xr:uid="{00000000-0005-0000-0000-0000806C0000}"/>
    <cellStyle name="Normal 2 3 24 4 8" xfId="27777" xr:uid="{00000000-0005-0000-0000-0000816C0000}"/>
    <cellStyle name="Normal 2 3 24 4 9" xfId="27778" xr:uid="{00000000-0005-0000-0000-0000826C0000}"/>
    <cellStyle name="Normal 2 3 24 5" xfId="27779" xr:uid="{00000000-0005-0000-0000-0000836C0000}"/>
    <cellStyle name="Normal 2 3 24 5 10" xfId="27780" xr:uid="{00000000-0005-0000-0000-0000846C0000}"/>
    <cellStyle name="Normal 2 3 24 5 2" xfId="27781" xr:uid="{00000000-0005-0000-0000-0000856C0000}"/>
    <cellStyle name="Normal 2 3 24 5 3" xfId="27782" xr:uid="{00000000-0005-0000-0000-0000866C0000}"/>
    <cellStyle name="Normal 2 3 24 5 4" xfId="27783" xr:uid="{00000000-0005-0000-0000-0000876C0000}"/>
    <cellStyle name="Normal 2 3 24 5 5" xfId="27784" xr:uid="{00000000-0005-0000-0000-0000886C0000}"/>
    <cellStyle name="Normal 2 3 24 5 6" xfId="27785" xr:uid="{00000000-0005-0000-0000-0000896C0000}"/>
    <cellStyle name="Normal 2 3 24 5 7" xfId="27786" xr:uid="{00000000-0005-0000-0000-00008A6C0000}"/>
    <cellStyle name="Normal 2 3 24 5 8" xfId="27787" xr:uid="{00000000-0005-0000-0000-00008B6C0000}"/>
    <cellStyle name="Normal 2 3 24 5 9" xfId="27788" xr:uid="{00000000-0005-0000-0000-00008C6C0000}"/>
    <cellStyle name="Normal 2 3 24 6" xfId="27789" xr:uid="{00000000-0005-0000-0000-00008D6C0000}"/>
    <cellStyle name="Normal 2 3 24 7" xfId="27790" xr:uid="{00000000-0005-0000-0000-00008E6C0000}"/>
    <cellStyle name="Normal 2 3 24 8" xfId="27791" xr:uid="{00000000-0005-0000-0000-00008F6C0000}"/>
    <cellStyle name="Normal 2 3 24 9" xfId="27792" xr:uid="{00000000-0005-0000-0000-0000906C0000}"/>
    <cellStyle name="Normal 2 3 25" xfId="27793" xr:uid="{00000000-0005-0000-0000-0000916C0000}"/>
    <cellStyle name="Normal 2 3 25 10" xfId="27794" xr:uid="{00000000-0005-0000-0000-0000926C0000}"/>
    <cellStyle name="Normal 2 3 25 11" xfId="27795" xr:uid="{00000000-0005-0000-0000-0000936C0000}"/>
    <cellStyle name="Normal 2 3 25 12" xfId="27796" xr:uid="{00000000-0005-0000-0000-0000946C0000}"/>
    <cellStyle name="Normal 2 3 25 13" xfId="27797" xr:uid="{00000000-0005-0000-0000-0000956C0000}"/>
    <cellStyle name="Normal 2 3 25 14" xfId="27798" xr:uid="{00000000-0005-0000-0000-0000966C0000}"/>
    <cellStyle name="Normal 2 3 25 2" xfId="27799" xr:uid="{00000000-0005-0000-0000-0000976C0000}"/>
    <cellStyle name="Normal 2 3 25 2 10" xfId="27800" xr:uid="{00000000-0005-0000-0000-0000986C0000}"/>
    <cellStyle name="Normal 2 3 25 2 2" xfId="27801" xr:uid="{00000000-0005-0000-0000-0000996C0000}"/>
    <cellStyle name="Normal 2 3 25 2 3" xfId="27802" xr:uid="{00000000-0005-0000-0000-00009A6C0000}"/>
    <cellStyle name="Normal 2 3 25 2 4" xfId="27803" xr:uid="{00000000-0005-0000-0000-00009B6C0000}"/>
    <cellStyle name="Normal 2 3 25 2 5" xfId="27804" xr:uid="{00000000-0005-0000-0000-00009C6C0000}"/>
    <cellStyle name="Normal 2 3 25 2 6" xfId="27805" xr:uid="{00000000-0005-0000-0000-00009D6C0000}"/>
    <cellStyle name="Normal 2 3 25 2 7" xfId="27806" xr:uid="{00000000-0005-0000-0000-00009E6C0000}"/>
    <cellStyle name="Normal 2 3 25 2 8" xfId="27807" xr:uid="{00000000-0005-0000-0000-00009F6C0000}"/>
    <cellStyle name="Normal 2 3 25 2 9" xfId="27808" xr:uid="{00000000-0005-0000-0000-0000A06C0000}"/>
    <cellStyle name="Normal 2 3 25 3" xfId="27809" xr:uid="{00000000-0005-0000-0000-0000A16C0000}"/>
    <cellStyle name="Normal 2 3 25 3 10" xfId="27810" xr:uid="{00000000-0005-0000-0000-0000A26C0000}"/>
    <cellStyle name="Normal 2 3 25 3 2" xfId="27811" xr:uid="{00000000-0005-0000-0000-0000A36C0000}"/>
    <cellStyle name="Normal 2 3 25 3 3" xfId="27812" xr:uid="{00000000-0005-0000-0000-0000A46C0000}"/>
    <cellStyle name="Normal 2 3 25 3 4" xfId="27813" xr:uid="{00000000-0005-0000-0000-0000A56C0000}"/>
    <cellStyle name="Normal 2 3 25 3 5" xfId="27814" xr:uid="{00000000-0005-0000-0000-0000A66C0000}"/>
    <cellStyle name="Normal 2 3 25 3 6" xfId="27815" xr:uid="{00000000-0005-0000-0000-0000A76C0000}"/>
    <cellStyle name="Normal 2 3 25 3 7" xfId="27816" xr:uid="{00000000-0005-0000-0000-0000A86C0000}"/>
    <cellStyle name="Normal 2 3 25 3 8" xfId="27817" xr:uid="{00000000-0005-0000-0000-0000A96C0000}"/>
    <cellStyle name="Normal 2 3 25 3 9" xfId="27818" xr:uid="{00000000-0005-0000-0000-0000AA6C0000}"/>
    <cellStyle name="Normal 2 3 25 4" xfId="27819" xr:uid="{00000000-0005-0000-0000-0000AB6C0000}"/>
    <cellStyle name="Normal 2 3 25 4 10" xfId="27820" xr:uid="{00000000-0005-0000-0000-0000AC6C0000}"/>
    <cellStyle name="Normal 2 3 25 4 2" xfId="27821" xr:uid="{00000000-0005-0000-0000-0000AD6C0000}"/>
    <cellStyle name="Normal 2 3 25 4 3" xfId="27822" xr:uid="{00000000-0005-0000-0000-0000AE6C0000}"/>
    <cellStyle name="Normal 2 3 25 4 4" xfId="27823" xr:uid="{00000000-0005-0000-0000-0000AF6C0000}"/>
    <cellStyle name="Normal 2 3 25 4 5" xfId="27824" xr:uid="{00000000-0005-0000-0000-0000B06C0000}"/>
    <cellStyle name="Normal 2 3 25 4 6" xfId="27825" xr:uid="{00000000-0005-0000-0000-0000B16C0000}"/>
    <cellStyle name="Normal 2 3 25 4 7" xfId="27826" xr:uid="{00000000-0005-0000-0000-0000B26C0000}"/>
    <cellStyle name="Normal 2 3 25 4 8" xfId="27827" xr:uid="{00000000-0005-0000-0000-0000B36C0000}"/>
    <cellStyle name="Normal 2 3 25 4 9" xfId="27828" xr:uid="{00000000-0005-0000-0000-0000B46C0000}"/>
    <cellStyle name="Normal 2 3 25 5" xfId="27829" xr:uid="{00000000-0005-0000-0000-0000B56C0000}"/>
    <cellStyle name="Normal 2 3 25 5 10" xfId="27830" xr:uid="{00000000-0005-0000-0000-0000B66C0000}"/>
    <cellStyle name="Normal 2 3 25 5 2" xfId="27831" xr:uid="{00000000-0005-0000-0000-0000B76C0000}"/>
    <cellStyle name="Normal 2 3 25 5 3" xfId="27832" xr:uid="{00000000-0005-0000-0000-0000B86C0000}"/>
    <cellStyle name="Normal 2 3 25 5 4" xfId="27833" xr:uid="{00000000-0005-0000-0000-0000B96C0000}"/>
    <cellStyle name="Normal 2 3 25 5 5" xfId="27834" xr:uid="{00000000-0005-0000-0000-0000BA6C0000}"/>
    <cellStyle name="Normal 2 3 25 5 6" xfId="27835" xr:uid="{00000000-0005-0000-0000-0000BB6C0000}"/>
    <cellStyle name="Normal 2 3 25 5 7" xfId="27836" xr:uid="{00000000-0005-0000-0000-0000BC6C0000}"/>
    <cellStyle name="Normal 2 3 25 5 8" xfId="27837" xr:uid="{00000000-0005-0000-0000-0000BD6C0000}"/>
    <cellStyle name="Normal 2 3 25 5 9" xfId="27838" xr:uid="{00000000-0005-0000-0000-0000BE6C0000}"/>
    <cellStyle name="Normal 2 3 25 6" xfId="27839" xr:uid="{00000000-0005-0000-0000-0000BF6C0000}"/>
    <cellStyle name="Normal 2 3 25 7" xfId="27840" xr:uid="{00000000-0005-0000-0000-0000C06C0000}"/>
    <cellStyle name="Normal 2 3 25 8" xfId="27841" xr:uid="{00000000-0005-0000-0000-0000C16C0000}"/>
    <cellStyle name="Normal 2 3 25 9" xfId="27842" xr:uid="{00000000-0005-0000-0000-0000C26C0000}"/>
    <cellStyle name="Normal 2 3 26" xfId="27843" xr:uid="{00000000-0005-0000-0000-0000C36C0000}"/>
    <cellStyle name="Normal 2 3 26 10" xfId="27844" xr:uid="{00000000-0005-0000-0000-0000C46C0000}"/>
    <cellStyle name="Normal 2 3 26 11" xfId="27845" xr:uid="{00000000-0005-0000-0000-0000C56C0000}"/>
    <cellStyle name="Normal 2 3 26 12" xfId="27846" xr:uid="{00000000-0005-0000-0000-0000C66C0000}"/>
    <cellStyle name="Normal 2 3 26 13" xfId="27847" xr:uid="{00000000-0005-0000-0000-0000C76C0000}"/>
    <cellStyle name="Normal 2 3 26 14" xfId="27848" xr:uid="{00000000-0005-0000-0000-0000C86C0000}"/>
    <cellStyle name="Normal 2 3 26 2" xfId="27849" xr:uid="{00000000-0005-0000-0000-0000C96C0000}"/>
    <cellStyle name="Normal 2 3 26 2 10" xfId="27850" xr:uid="{00000000-0005-0000-0000-0000CA6C0000}"/>
    <cellStyle name="Normal 2 3 26 2 2" xfId="27851" xr:uid="{00000000-0005-0000-0000-0000CB6C0000}"/>
    <cellStyle name="Normal 2 3 26 2 3" xfId="27852" xr:uid="{00000000-0005-0000-0000-0000CC6C0000}"/>
    <cellStyle name="Normal 2 3 26 2 4" xfId="27853" xr:uid="{00000000-0005-0000-0000-0000CD6C0000}"/>
    <cellStyle name="Normal 2 3 26 2 5" xfId="27854" xr:uid="{00000000-0005-0000-0000-0000CE6C0000}"/>
    <cellStyle name="Normal 2 3 26 2 6" xfId="27855" xr:uid="{00000000-0005-0000-0000-0000CF6C0000}"/>
    <cellStyle name="Normal 2 3 26 2 7" xfId="27856" xr:uid="{00000000-0005-0000-0000-0000D06C0000}"/>
    <cellStyle name="Normal 2 3 26 2 8" xfId="27857" xr:uid="{00000000-0005-0000-0000-0000D16C0000}"/>
    <cellStyle name="Normal 2 3 26 2 9" xfId="27858" xr:uid="{00000000-0005-0000-0000-0000D26C0000}"/>
    <cellStyle name="Normal 2 3 26 3" xfId="27859" xr:uid="{00000000-0005-0000-0000-0000D36C0000}"/>
    <cellStyle name="Normal 2 3 26 3 10" xfId="27860" xr:uid="{00000000-0005-0000-0000-0000D46C0000}"/>
    <cellStyle name="Normal 2 3 26 3 2" xfId="27861" xr:uid="{00000000-0005-0000-0000-0000D56C0000}"/>
    <cellStyle name="Normal 2 3 26 3 3" xfId="27862" xr:uid="{00000000-0005-0000-0000-0000D66C0000}"/>
    <cellStyle name="Normal 2 3 26 3 4" xfId="27863" xr:uid="{00000000-0005-0000-0000-0000D76C0000}"/>
    <cellStyle name="Normal 2 3 26 3 5" xfId="27864" xr:uid="{00000000-0005-0000-0000-0000D86C0000}"/>
    <cellStyle name="Normal 2 3 26 3 6" xfId="27865" xr:uid="{00000000-0005-0000-0000-0000D96C0000}"/>
    <cellStyle name="Normal 2 3 26 3 7" xfId="27866" xr:uid="{00000000-0005-0000-0000-0000DA6C0000}"/>
    <cellStyle name="Normal 2 3 26 3 8" xfId="27867" xr:uid="{00000000-0005-0000-0000-0000DB6C0000}"/>
    <cellStyle name="Normal 2 3 26 3 9" xfId="27868" xr:uid="{00000000-0005-0000-0000-0000DC6C0000}"/>
    <cellStyle name="Normal 2 3 26 4" xfId="27869" xr:uid="{00000000-0005-0000-0000-0000DD6C0000}"/>
    <cellStyle name="Normal 2 3 26 4 10" xfId="27870" xr:uid="{00000000-0005-0000-0000-0000DE6C0000}"/>
    <cellStyle name="Normal 2 3 26 4 2" xfId="27871" xr:uid="{00000000-0005-0000-0000-0000DF6C0000}"/>
    <cellStyle name="Normal 2 3 26 4 3" xfId="27872" xr:uid="{00000000-0005-0000-0000-0000E06C0000}"/>
    <cellStyle name="Normal 2 3 26 4 4" xfId="27873" xr:uid="{00000000-0005-0000-0000-0000E16C0000}"/>
    <cellStyle name="Normal 2 3 26 4 5" xfId="27874" xr:uid="{00000000-0005-0000-0000-0000E26C0000}"/>
    <cellStyle name="Normal 2 3 26 4 6" xfId="27875" xr:uid="{00000000-0005-0000-0000-0000E36C0000}"/>
    <cellStyle name="Normal 2 3 26 4 7" xfId="27876" xr:uid="{00000000-0005-0000-0000-0000E46C0000}"/>
    <cellStyle name="Normal 2 3 26 4 8" xfId="27877" xr:uid="{00000000-0005-0000-0000-0000E56C0000}"/>
    <cellStyle name="Normal 2 3 26 4 9" xfId="27878" xr:uid="{00000000-0005-0000-0000-0000E66C0000}"/>
    <cellStyle name="Normal 2 3 26 5" xfId="27879" xr:uid="{00000000-0005-0000-0000-0000E76C0000}"/>
    <cellStyle name="Normal 2 3 26 5 10" xfId="27880" xr:uid="{00000000-0005-0000-0000-0000E86C0000}"/>
    <cellStyle name="Normal 2 3 26 5 2" xfId="27881" xr:uid="{00000000-0005-0000-0000-0000E96C0000}"/>
    <cellStyle name="Normal 2 3 26 5 3" xfId="27882" xr:uid="{00000000-0005-0000-0000-0000EA6C0000}"/>
    <cellStyle name="Normal 2 3 26 5 4" xfId="27883" xr:uid="{00000000-0005-0000-0000-0000EB6C0000}"/>
    <cellStyle name="Normal 2 3 26 5 5" xfId="27884" xr:uid="{00000000-0005-0000-0000-0000EC6C0000}"/>
    <cellStyle name="Normal 2 3 26 5 6" xfId="27885" xr:uid="{00000000-0005-0000-0000-0000ED6C0000}"/>
    <cellStyle name="Normal 2 3 26 5 7" xfId="27886" xr:uid="{00000000-0005-0000-0000-0000EE6C0000}"/>
    <cellStyle name="Normal 2 3 26 5 8" xfId="27887" xr:uid="{00000000-0005-0000-0000-0000EF6C0000}"/>
    <cellStyle name="Normal 2 3 26 5 9" xfId="27888" xr:uid="{00000000-0005-0000-0000-0000F06C0000}"/>
    <cellStyle name="Normal 2 3 26 6" xfId="27889" xr:uid="{00000000-0005-0000-0000-0000F16C0000}"/>
    <cellStyle name="Normal 2 3 26 7" xfId="27890" xr:uid="{00000000-0005-0000-0000-0000F26C0000}"/>
    <cellStyle name="Normal 2 3 26 8" xfId="27891" xr:uid="{00000000-0005-0000-0000-0000F36C0000}"/>
    <cellStyle name="Normal 2 3 26 9" xfId="27892" xr:uid="{00000000-0005-0000-0000-0000F46C0000}"/>
    <cellStyle name="Normal 2 3 27" xfId="27893" xr:uid="{00000000-0005-0000-0000-0000F56C0000}"/>
    <cellStyle name="Normal 2 3 27 10" xfId="27894" xr:uid="{00000000-0005-0000-0000-0000F66C0000}"/>
    <cellStyle name="Normal 2 3 27 11" xfId="27895" xr:uid="{00000000-0005-0000-0000-0000F76C0000}"/>
    <cellStyle name="Normal 2 3 27 12" xfId="27896" xr:uid="{00000000-0005-0000-0000-0000F86C0000}"/>
    <cellStyle name="Normal 2 3 27 13" xfId="27897" xr:uid="{00000000-0005-0000-0000-0000F96C0000}"/>
    <cellStyle name="Normal 2 3 27 14" xfId="27898" xr:uid="{00000000-0005-0000-0000-0000FA6C0000}"/>
    <cellStyle name="Normal 2 3 27 2" xfId="27899" xr:uid="{00000000-0005-0000-0000-0000FB6C0000}"/>
    <cellStyle name="Normal 2 3 27 2 10" xfId="27900" xr:uid="{00000000-0005-0000-0000-0000FC6C0000}"/>
    <cellStyle name="Normal 2 3 27 2 2" xfId="27901" xr:uid="{00000000-0005-0000-0000-0000FD6C0000}"/>
    <cellStyle name="Normal 2 3 27 2 3" xfId="27902" xr:uid="{00000000-0005-0000-0000-0000FE6C0000}"/>
    <cellStyle name="Normal 2 3 27 2 4" xfId="27903" xr:uid="{00000000-0005-0000-0000-0000FF6C0000}"/>
    <cellStyle name="Normal 2 3 27 2 5" xfId="27904" xr:uid="{00000000-0005-0000-0000-0000006D0000}"/>
    <cellStyle name="Normal 2 3 27 2 6" xfId="27905" xr:uid="{00000000-0005-0000-0000-0000016D0000}"/>
    <cellStyle name="Normal 2 3 27 2 7" xfId="27906" xr:uid="{00000000-0005-0000-0000-0000026D0000}"/>
    <cellStyle name="Normal 2 3 27 2 8" xfId="27907" xr:uid="{00000000-0005-0000-0000-0000036D0000}"/>
    <cellStyle name="Normal 2 3 27 2 9" xfId="27908" xr:uid="{00000000-0005-0000-0000-0000046D0000}"/>
    <cellStyle name="Normal 2 3 27 3" xfId="27909" xr:uid="{00000000-0005-0000-0000-0000056D0000}"/>
    <cellStyle name="Normal 2 3 27 3 10" xfId="27910" xr:uid="{00000000-0005-0000-0000-0000066D0000}"/>
    <cellStyle name="Normal 2 3 27 3 2" xfId="27911" xr:uid="{00000000-0005-0000-0000-0000076D0000}"/>
    <cellStyle name="Normal 2 3 27 3 3" xfId="27912" xr:uid="{00000000-0005-0000-0000-0000086D0000}"/>
    <cellStyle name="Normal 2 3 27 3 4" xfId="27913" xr:uid="{00000000-0005-0000-0000-0000096D0000}"/>
    <cellStyle name="Normal 2 3 27 3 5" xfId="27914" xr:uid="{00000000-0005-0000-0000-00000A6D0000}"/>
    <cellStyle name="Normal 2 3 27 3 6" xfId="27915" xr:uid="{00000000-0005-0000-0000-00000B6D0000}"/>
    <cellStyle name="Normal 2 3 27 3 7" xfId="27916" xr:uid="{00000000-0005-0000-0000-00000C6D0000}"/>
    <cellStyle name="Normal 2 3 27 3 8" xfId="27917" xr:uid="{00000000-0005-0000-0000-00000D6D0000}"/>
    <cellStyle name="Normal 2 3 27 3 9" xfId="27918" xr:uid="{00000000-0005-0000-0000-00000E6D0000}"/>
    <cellStyle name="Normal 2 3 27 4" xfId="27919" xr:uid="{00000000-0005-0000-0000-00000F6D0000}"/>
    <cellStyle name="Normal 2 3 27 4 10" xfId="27920" xr:uid="{00000000-0005-0000-0000-0000106D0000}"/>
    <cellStyle name="Normal 2 3 27 4 2" xfId="27921" xr:uid="{00000000-0005-0000-0000-0000116D0000}"/>
    <cellStyle name="Normal 2 3 27 4 3" xfId="27922" xr:uid="{00000000-0005-0000-0000-0000126D0000}"/>
    <cellStyle name="Normal 2 3 27 4 4" xfId="27923" xr:uid="{00000000-0005-0000-0000-0000136D0000}"/>
    <cellStyle name="Normal 2 3 27 4 5" xfId="27924" xr:uid="{00000000-0005-0000-0000-0000146D0000}"/>
    <cellStyle name="Normal 2 3 27 4 6" xfId="27925" xr:uid="{00000000-0005-0000-0000-0000156D0000}"/>
    <cellStyle name="Normal 2 3 27 4 7" xfId="27926" xr:uid="{00000000-0005-0000-0000-0000166D0000}"/>
    <cellStyle name="Normal 2 3 27 4 8" xfId="27927" xr:uid="{00000000-0005-0000-0000-0000176D0000}"/>
    <cellStyle name="Normal 2 3 27 4 9" xfId="27928" xr:uid="{00000000-0005-0000-0000-0000186D0000}"/>
    <cellStyle name="Normal 2 3 27 5" xfId="27929" xr:uid="{00000000-0005-0000-0000-0000196D0000}"/>
    <cellStyle name="Normal 2 3 27 5 10" xfId="27930" xr:uid="{00000000-0005-0000-0000-00001A6D0000}"/>
    <cellStyle name="Normal 2 3 27 5 2" xfId="27931" xr:uid="{00000000-0005-0000-0000-00001B6D0000}"/>
    <cellStyle name="Normal 2 3 27 5 3" xfId="27932" xr:uid="{00000000-0005-0000-0000-00001C6D0000}"/>
    <cellStyle name="Normal 2 3 27 5 4" xfId="27933" xr:uid="{00000000-0005-0000-0000-00001D6D0000}"/>
    <cellStyle name="Normal 2 3 27 5 5" xfId="27934" xr:uid="{00000000-0005-0000-0000-00001E6D0000}"/>
    <cellStyle name="Normal 2 3 27 5 6" xfId="27935" xr:uid="{00000000-0005-0000-0000-00001F6D0000}"/>
    <cellStyle name="Normal 2 3 27 5 7" xfId="27936" xr:uid="{00000000-0005-0000-0000-0000206D0000}"/>
    <cellStyle name="Normal 2 3 27 5 8" xfId="27937" xr:uid="{00000000-0005-0000-0000-0000216D0000}"/>
    <cellStyle name="Normal 2 3 27 5 9" xfId="27938" xr:uid="{00000000-0005-0000-0000-0000226D0000}"/>
    <cellStyle name="Normal 2 3 27 6" xfId="27939" xr:uid="{00000000-0005-0000-0000-0000236D0000}"/>
    <cellStyle name="Normal 2 3 27 7" xfId="27940" xr:uid="{00000000-0005-0000-0000-0000246D0000}"/>
    <cellStyle name="Normal 2 3 27 8" xfId="27941" xr:uid="{00000000-0005-0000-0000-0000256D0000}"/>
    <cellStyle name="Normal 2 3 27 9" xfId="27942" xr:uid="{00000000-0005-0000-0000-0000266D0000}"/>
    <cellStyle name="Normal 2 3 28" xfId="27943" xr:uid="{00000000-0005-0000-0000-0000276D0000}"/>
    <cellStyle name="Normal 2 3 28 10" xfId="27944" xr:uid="{00000000-0005-0000-0000-0000286D0000}"/>
    <cellStyle name="Normal 2 3 28 11" xfId="27945" xr:uid="{00000000-0005-0000-0000-0000296D0000}"/>
    <cellStyle name="Normal 2 3 28 12" xfId="27946" xr:uid="{00000000-0005-0000-0000-00002A6D0000}"/>
    <cellStyle name="Normal 2 3 28 13" xfId="27947" xr:uid="{00000000-0005-0000-0000-00002B6D0000}"/>
    <cellStyle name="Normal 2 3 28 14" xfId="27948" xr:uid="{00000000-0005-0000-0000-00002C6D0000}"/>
    <cellStyle name="Normal 2 3 28 2" xfId="27949" xr:uid="{00000000-0005-0000-0000-00002D6D0000}"/>
    <cellStyle name="Normal 2 3 28 2 10" xfId="27950" xr:uid="{00000000-0005-0000-0000-00002E6D0000}"/>
    <cellStyle name="Normal 2 3 28 2 2" xfId="27951" xr:uid="{00000000-0005-0000-0000-00002F6D0000}"/>
    <cellStyle name="Normal 2 3 28 2 3" xfId="27952" xr:uid="{00000000-0005-0000-0000-0000306D0000}"/>
    <cellStyle name="Normal 2 3 28 2 4" xfId="27953" xr:uid="{00000000-0005-0000-0000-0000316D0000}"/>
    <cellStyle name="Normal 2 3 28 2 5" xfId="27954" xr:uid="{00000000-0005-0000-0000-0000326D0000}"/>
    <cellStyle name="Normal 2 3 28 2 6" xfId="27955" xr:uid="{00000000-0005-0000-0000-0000336D0000}"/>
    <cellStyle name="Normal 2 3 28 2 7" xfId="27956" xr:uid="{00000000-0005-0000-0000-0000346D0000}"/>
    <cellStyle name="Normal 2 3 28 2 8" xfId="27957" xr:uid="{00000000-0005-0000-0000-0000356D0000}"/>
    <cellStyle name="Normal 2 3 28 2 9" xfId="27958" xr:uid="{00000000-0005-0000-0000-0000366D0000}"/>
    <cellStyle name="Normal 2 3 28 3" xfId="27959" xr:uid="{00000000-0005-0000-0000-0000376D0000}"/>
    <cellStyle name="Normal 2 3 28 3 10" xfId="27960" xr:uid="{00000000-0005-0000-0000-0000386D0000}"/>
    <cellStyle name="Normal 2 3 28 3 2" xfId="27961" xr:uid="{00000000-0005-0000-0000-0000396D0000}"/>
    <cellStyle name="Normal 2 3 28 3 3" xfId="27962" xr:uid="{00000000-0005-0000-0000-00003A6D0000}"/>
    <cellStyle name="Normal 2 3 28 3 4" xfId="27963" xr:uid="{00000000-0005-0000-0000-00003B6D0000}"/>
    <cellStyle name="Normal 2 3 28 3 5" xfId="27964" xr:uid="{00000000-0005-0000-0000-00003C6D0000}"/>
    <cellStyle name="Normal 2 3 28 3 6" xfId="27965" xr:uid="{00000000-0005-0000-0000-00003D6D0000}"/>
    <cellStyle name="Normal 2 3 28 3 7" xfId="27966" xr:uid="{00000000-0005-0000-0000-00003E6D0000}"/>
    <cellStyle name="Normal 2 3 28 3 8" xfId="27967" xr:uid="{00000000-0005-0000-0000-00003F6D0000}"/>
    <cellStyle name="Normal 2 3 28 3 9" xfId="27968" xr:uid="{00000000-0005-0000-0000-0000406D0000}"/>
    <cellStyle name="Normal 2 3 28 4" xfId="27969" xr:uid="{00000000-0005-0000-0000-0000416D0000}"/>
    <cellStyle name="Normal 2 3 28 4 10" xfId="27970" xr:uid="{00000000-0005-0000-0000-0000426D0000}"/>
    <cellStyle name="Normal 2 3 28 4 2" xfId="27971" xr:uid="{00000000-0005-0000-0000-0000436D0000}"/>
    <cellStyle name="Normal 2 3 28 4 3" xfId="27972" xr:uid="{00000000-0005-0000-0000-0000446D0000}"/>
    <cellStyle name="Normal 2 3 28 4 4" xfId="27973" xr:uid="{00000000-0005-0000-0000-0000456D0000}"/>
    <cellStyle name="Normal 2 3 28 4 5" xfId="27974" xr:uid="{00000000-0005-0000-0000-0000466D0000}"/>
    <cellStyle name="Normal 2 3 28 4 6" xfId="27975" xr:uid="{00000000-0005-0000-0000-0000476D0000}"/>
    <cellStyle name="Normal 2 3 28 4 7" xfId="27976" xr:uid="{00000000-0005-0000-0000-0000486D0000}"/>
    <cellStyle name="Normal 2 3 28 4 8" xfId="27977" xr:uid="{00000000-0005-0000-0000-0000496D0000}"/>
    <cellStyle name="Normal 2 3 28 4 9" xfId="27978" xr:uid="{00000000-0005-0000-0000-00004A6D0000}"/>
    <cellStyle name="Normal 2 3 28 5" xfId="27979" xr:uid="{00000000-0005-0000-0000-00004B6D0000}"/>
    <cellStyle name="Normal 2 3 28 5 10" xfId="27980" xr:uid="{00000000-0005-0000-0000-00004C6D0000}"/>
    <cellStyle name="Normal 2 3 28 5 2" xfId="27981" xr:uid="{00000000-0005-0000-0000-00004D6D0000}"/>
    <cellStyle name="Normal 2 3 28 5 3" xfId="27982" xr:uid="{00000000-0005-0000-0000-00004E6D0000}"/>
    <cellStyle name="Normal 2 3 28 5 4" xfId="27983" xr:uid="{00000000-0005-0000-0000-00004F6D0000}"/>
    <cellStyle name="Normal 2 3 28 5 5" xfId="27984" xr:uid="{00000000-0005-0000-0000-0000506D0000}"/>
    <cellStyle name="Normal 2 3 28 5 6" xfId="27985" xr:uid="{00000000-0005-0000-0000-0000516D0000}"/>
    <cellStyle name="Normal 2 3 28 5 7" xfId="27986" xr:uid="{00000000-0005-0000-0000-0000526D0000}"/>
    <cellStyle name="Normal 2 3 28 5 8" xfId="27987" xr:uid="{00000000-0005-0000-0000-0000536D0000}"/>
    <cellStyle name="Normal 2 3 28 5 9" xfId="27988" xr:uid="{00000000-0005-0000-0000-0000546D0000}"/>
    <cellStyle name="Normal 2 3 28 6" xfId="27989" xr:uid="{00000000-0005-0000-0000-0000556D0000}"/>
    <cellStyle name="Normal 2 3 28 7" xfId="27990" xr:uid="{00000000-0005-0000-0000-0000566D0000}"/>
    <cellStyle name="Normal 2 3 28 8" xfId="27991" xr:uid="{00000000-0005-0000-0000-0000576D0000}"/>
    <cellStyle name="Normal 2 3 28 9" xfId="27992" xr:uid="{00000000-0005-0000-0000-0000586D0000}"/>
    <cellStyle name="Normal 2 3 29" xfId="27993" xr:uid="{00000000-0005-0000-0000-0000596D0000}"/>
    <cellStyle name="Normal 2 3 29 10" xfId="27994" xr:uid="{00000000-0005-0000-0000-00005A6D0000}"/>
    <cellStyle name="Normal 2 3 29 11" xfId="27995" xr:uid="{00000000-0005-0000-0000-00005B6D0000}"/>
    <cellStyle name="Normal 2 3 29 12" xfId="27996" xr:uid="{00000000-0005-0000-0000-00005C6D0000}"/>
    <cellStyle name="Normal 2 3 29 13" xfId="27997" xr:uid="{00000000-0005-0000-0000-00005D6D0000}"/>
    <cellStyle name="Normal 2 3 29 14" xfId="27998" xr:uid="{00000000-0005-0000-0000-00005E6D0000}"/>
    <cellStyle name="Normal 2 3 29 2" xfId="27999" xr:uid="{00000000-0005-0000-0000-00005F6D0000}"/>
    <cellStyle name="Normal 2 3 29 2 10" xfId="28000" xr:uid="{00000000-0005-0000-0000-0000606D0000}"/>
    <cellStyle name="Normal 2 3 29 2 2" xfId="28001" xr:uid="{00000000-0005-0000-0000-0000616D0000}"/>
    <cellStyle name="Normal 2 3 29 2 3" xfId="28002" xr:uid="{00000000-0005-0000-0000-0000626D0000}"/>
    <cellStyle name="Normal 2 3 29 2 4" xfId="28003" xr:uid="{00000000-0005-0000-0000-0000636D0000}"/>
    <cellStyle name="Normal 2 3 29 2 5" xfId="28004" xr:uid="{00000000-0005-0000-0000-0000646D0000}"/>
    <cellStyle name="Normal 2 3 29 2 6" xfId="28005" xr:uid="{00000000-0005-0000-0000-0000656D0000}"/>
    <cellStyle name="Normal 2 3 29 2 7" xfId="28006" xr:uid="{00000000-0005-0000-0000-0000666D0000}"/>
    <cellStyle name="Normal 2 3 29 2 8" xfId="28007" xr:uid="{00000000-0005-0000-0000-0000676D0000}"/>
    <cellStyle name="Normal 2 3 29 2 9" xfId="28008" xr:uid="{00000000-0005-0000-0000-0000686D0000}"/>
    <cellStyle name="Normal 2 3 29 3" xfId="28009" xr:uid="{00000000-0005-0000-0000-0000696D0000}"/>
    <cellStyle name="Normal 2 3 29 3 10" xfId="28010" xr:uid="{00000000-0005-0000-0000-00006A6D0000}"/>
    <cellStyle name="Normal 2 3 29 3 2" xfId="28011" xr:uid="{00000000-0005-0000-0000-00006B6D0000}"/>
    <cellStyle name="Normal 2 3 29 3 3" xfId="28012" xr:uid="{00000000-0005-0000-0000-00006C6D0000}"/>
    <cellStyle name="Normal 2 3 29 3 4" xfId="28013" xr:uid="{00000000-0005-0000-0000-00006D6D0000}"/>
    <cellStyle name="Normal 2 3 29 3 5" xfId="28014" xr:uid="{00000000-0005-0000-0000-00006E6D0000}"/>
    <cellStyle name="Normal 2 3 29 3 6" xfId="28015" xr:uid="{00000000-0005-0000-0000-00006F6D0000}"/>
    <cellStyle name="Normal 2 3 29 3 7" xfId="28016" xr:uid="{00000000-0005-0000-0000-0000706D0000}"/>
    <cellStyle name="Normal 2 3 29 3 8" xfId="28017" xr:uid="{00000000-0005-0000-0000-0000716D0000}"/>
    <cellStyle name="Normal 2 3 29 3 9" xfId="28018" xr:uid="{00000000-0005-0000-0000-0000726D0000}"/>
    <cellStyle name="Normal 2 3 29 4" xfId="28019" xr:uid="{00000000-0005-0000-0000-0000736D0000}"/>
    <cellStyle name="Normal 2 3 29 4 10" xfId="28020" xr:uid="{00000000-0005-0000-0000-0000746D0000}"/>
    <cellStyle name="Normal 2 3 29 4 2" xfId="28021" xr:uid="{00000000-0005-0000-0000-0000756D0000}"/>
    <cellStyle name="Normal 2 3 29 4 3" xfId="28022" xr:uid="{00000000-0005-0000-0000-0000766D0000}"/>
    <cellStyle name="Normal 2 3 29 4 4" xfId="28023" xr:uid="{00000000-0005-0000-0000-0000776D0000}"/>
    <cellStyle name="Normal 2 3 29 4 5" xfId="28024" xr:uid="{00000000-0005-0000-0000-0000786D0000}"/>
    <cellStyle name="Normal 2 3 29 4 6" xfId="28025" xr:uid="{00000000-0005-0000-0000-0000796D0000}"/>
    <cellStyle name="Normal 2 3 29 4 7" xfId="28026" xr:uid="{00000000-0005-0000-0000-00007A6D0000}"/>
    <cellStyle name="Normal 2 3 29 4 8" xfId="28027" xr:uid="{00000000-0005-0000-0000-00007B6D0000}"/>
    <cellStyle name="Normal 2 3 29 4 9" xfId="28028" xr:uid="{00000000-0005-0000-0000-00007C6D0000}"/>
    <cellStyle name="Normal 2 3 29 5" xfId="28029" xr:uid="{00000000-0005-0000-0000-00007D6D0000}"/>
    <cellStyle name="Normal 2 3 29 5 10" xfId="28030" xr:uid="{00000000-0005-0000-0000-00007E6D0000}"/>
    <cellStyle name="Normal 2 3 29 5 2" xfId="28031" xr:uid="{00000000-0005-0000-0000-00007F6D0000}"/>
    <cellStyle name="Normal 2 3 29 5 3" xfId="28032" xr:uid="{00000000-0005-0000-0000-0000806D0000}"/>
    <cellStyle name="Normal 2 3 29 5 4" xfId="28033" xr:uid="{00000000-0005-0000-0000-0000816D0000}"/>
    <cellStyle name="Normal 2 3 29 5 5" xfId="28034" xr:uid="{00000000-0005-0000-0000-0000826D0000}"/>
    <cellStyle name="Normal 2 3 29 5 6" xfId="28035" xr:uid="{00000000-0005-0000-0000-0000836D0000}"/>
    <cellStyle name="Normal 2 3 29 5 7" xfId="28036" xr:uid="{00000000-0005-0000-0000-0000846D0000}"/>
    <cellStyle name="Normal 2 3 29 5 8" xfId="28037" xr:uid="{00000000-0005-0000-0000-0000856D0000}"/>
    <cellStyle name="Normal 2 3 29 5 9" xfId="28038" xr:uid="{00000000-0005-0000-0000-0000866D0000}"/>
    <cellStyle name="Normal 2 3 29 6" xfId="28039" xr:uid="{00000000-0005-0000-0000-0000876D0000}"/>
    <cellStyle name="Normal 2 3 29 7" xfId="28040" xr:uid="{00000000-0005-0000-0000-0000886D0000}"/>
    <cellStyle name="Normal 2 3 29 8" xfId="28041" xr:uid="{00000000-0005-0000-0000-0000896D0000}"/>
    <cellStyle name="Normal 2 3 29 9" xfId="28042" xr:uid="{00000000-0005-0000-0000-00008A6D0000}"/>
    <cellStyle name="Normal 2 3 3" xfId="28043" xr:uid="{00000000-0005-0000-0000-00008B6D0000}"/>
    <cellStyle name="Normal 2 3 3 10" xfId="28044" xr:uid="{00000000-0005-0000-0000-00008C6D0000}"/>
    <cellStyle name="Normal 2 3 3 11" xfId="28045" xr:uid="{00000000-0005-0000-0000-00008D6D0000}"/>
    <cellStyle name="Normal 2 3 3 12" xfId="28046" xr:uid="{00000000-0005-0000-0000-00008E6D0000}"/>
    <cellStyle name="Normal 2 3 3 13" xfId="28047" xr:uid="{00000000-0005-0000-0000-00008F6D0000}"/>
    <cellStyle name="Normal 2 3 3 14" xfId="28048" xr:uid="{00000000-0005-0000-0000-0000906D0000}"/>
    <cellStyle name="Normal 2 3 3 15" xfId="28049" xr:uid="{00000000-0005-0000-0000-0000916D0000}"/>
    <cellStyle name="Normal 2 3 3 16" xfId="28050" xr:uid="{00000000-0005-0000-0000-0000926D0000}"/>
    <cellStyle name="Normal 2 3 3 2" xfId="28051" xr:uid="{00000000-0005-0000-0000-0000936D0000}"/>
    <cellStyle name="Normal 2 3 3 2 10" xfId="28052" xr:uid="{00000000-0005-0000-0000-0000946D0000}"/>
    <cellStyle name="Normal 2 3 3 2 2" xfId="28053" xr:uid="{00000000-0005-0000-0000-0000956D0000}"/>
    <cellStyle name="Normal 2 3 3 2 3" xfId="28054" xr:uid="{00000000-0005-0000-0000-0000966D0000}"/>
    <cellStyle name="Normal 2 3 3 2 4" xfId="28055" xr:uid="{00000000-0005-0000-0000-0000976D0000}"/>
    <cellStyle name="Normal 2 3 3 2 5" xfId="28056" xr:uid="{00000000-0005-0000-0000-0000986D0000}"/>
    <cellStyle name="Normal 2 3 3 2 6" xfId="28057" xr:uid="{00000000-0005-0000-0000-0000996D0000}"/>
    <cellStyle name="Normal 2 3 3 2 7" xfId="28058" xr:uid="{00000000-0005-0000-0000-00009A6D0000}"/>
    <cellStyle name="Normal 2 3 3 2 8" xfId="28059" xr:uid="{00000000-0005-0000-0000-00009B6D0000}"/>
    <cellStyle name="Normal 2 3 3 2 9" xfId="28060" xr:uid="{00000000-0005-0000-0000-00009C6D0000}"/>
    <cellStyle name="Normal 2 3 3 3" xfId="28061" xr:uid="{00000000-0005-0000-0000-00009D6D0000}"/>
    <cellStyle name="Normal 2 3 3 3 10" xfId="28062" xr:uid="{00000000-0005-0000-0000-00009E6D0000}"/>
    <cellStyle name="Normal 2 3 3 3 2" xfId="28063" xr:uid="{00000000-0005-0000-0000-00009F6D0000}"/>
    <cellStyle name="Normal 2 3 3 3 3" xfId="28064" xr:uid="{00000000-0005-0000-0000-0000A06D0000}"/>
    <cellStyle name="Normal 2 3 3 3 4" xfId="28065" xr:uid="{00000000-0005-0000-0000-0000A16D0000}"/>
    <cellStyle name="Normal 2 3 3 3 5" xfId="28066" xr:uid="{00000000-0005-0000-0000-0000A26D0000}"/>
    <cellStyle name="Normal 2 3 3 3 6" xfId="28067" xr:uid="{00000000-0005-0000-0000-0000A36D0000}"/>
    <cellStyle name="Normal 2 3 3 3 7" xfId="28068" xr:uid="{00000000-0005-0000-0000-0000A46D0000}"/>
    <cellStyle name="Normal 2 3 3 3 8" xfId="28069" xr:uid="{00000000-0005-0000-0000-0000A56D0000}"/>
    <cellStyle name="Normal 2 3 3 3 9" xfId="28070" xr:uid="{00000000-0005-0000-0000-0000A66D0000}"/>
    <cellStyle name="Normal 2 3 3 4" xfId="28071" xr:uid="{00000000-0005-0000-0000-0000A76D0000}"/>
    <cellStyle name="Normal 2 3 3 4 10" xfId="28072" xr:uid="{00000000-0005-0000-0000-0000A86D0000}"/>
    <cellStyle name="Normal 2 3 3 4 2" xfId="28073" xr:uid="{00000000-0005-0000-0000-0000A96D0000}"/>
    <cellStyle name="Normal 2 3 3 4 3" xfId="28074" xr:uid="{00000000-0005-0000-0000-0000AA6D0000}"/>
    <cellStyle name="Normal 2 3 3 4 4" xfId="28075" xr:uid="{00000000-0005-0000-0000-0000AB6D0000}"/>
    <cellStyle name="Normal 2 3 3 4 5" xfId="28076" xr:uid="{00000000-0005-0000-0000-0000AC6D0000}"/>
    <cellStyle name="Normal 2 3 3 4 6" xfId="28077" xr:uid="{00000000-0005-0000-0000-0000AD6D0000}"/>
    <cellStyle name="Normal 2 3 3 4 7" xfId="28078" xr:uid="{00000000-0005-0000-0000-0000AE6D0000}"/>
    <cellStyle name="Normal 2 3 3 4 8" xfId="28079" xr:uid="{00000000-0005-0000-0000-0000AF6D0000}"/>
    <cellStyle name="Normal 2 3 3 4 9" xfId="28080" xr:uid="{00000000-0005-0000-0000-0000B06D0000}"/>
    <cellStyle name="Normal 2 3 3 5" xfId="28081" xr:uid="{00000000-0005-0000-0000-0000B16D0000}"/>
    <cellStyle name="Normal 2 3 3 5 10" xfId="28082" xr:uid="{00000000-0005-0000-0000-0000B26D0000}"/>
    <cellStyle name="Normal 2 3 3 5 2" xfId="28083" xr:uid="{00000000-0005-0000-0000-0000B36D0000}"/>
    <cellStyle name="Normal 2 3 3 5 3" xfId="28084" xr:uid="{00000000-0005-0000-0000-0000B46D0000}"/>
    <cellStyle name="Normal 2 3 3 5 4" xfId="28085" xr:uid="{00000000-0005-0000-0000-0000B56D0000}"/>
    <cellStyle name="Normal 2 3 3 5 5" xfId="28086" xr:uid="{00000000-0005-0000-0000-0000B66D0000}"/>
    <cellStyle name="Normal 2 3 3 5 6" xfId="28087" xr:uid="{00000000-0005-0000-0000-0000B76D0000}"/>
    <cellStyle name="Normal 2 3 3 5 7" xfId="28088" xr:uid="{00000000-0005-0000-0000-0000B86D0000}"/>
    <cellStyle name="Normal 2 3 3 5 8" xfId="28089" xr:uid="{00000000-0005-0000-0000-0000B96D0000}"/>
    <cellStyle name="Normal 2 3 3 5 9" xfId="28090" xr:uid="{00000000-0005-0000-0000-0000BA6D0000}"/>
    <cellStyle name="Normal 2 3 3 6" xfId="28091" xr:uid="{00000000-0005-0000-0000-0000BB6D0000}"/>
    <cellStyle name="Normal 2 3 3 7" xfId="28092" xr:uid="{00000000-0005-0000-0000-0000BC6D0000}"/>
    <cellStyle name="Normal 2 3 3 8" xfId="28093" xr:uid="{00000000-0005-0000-0000-0000BD6D0000}"/>
    <cellStyle name="Normal 2 3 3 9" xfId="28094" xr:uid="{00000000-0005-0000-0000-0000BE6D0000}"/>
    <cellStyle name="Normal 2 3 30" xfId="28095" xr:uid="{00000000-0005-0000-0000-0000BF6D0000}"/>
    <cellStyle name="Normal 2 3 30 10" xfId="28096" xr:uid="{00000000-0005-0000-0000-0000C06D0000}"/>
    <cellStyle name="Normal 2 3 30 11" xfId="28097" xr:uid="{00000000-0005-0000-0000-0000C16D0000}"/>
    <cellStyle name="Normal 2 3 30 12" xfId="28098" xr:uid="{00000000-0005-0000-0000-0000C26D0000}"/>
    <cellStyle name="Normal 2 3 30 13" xfId="28099" xr:uid="{00000000-0005-0000-0000-0000C36D0000}"/>
    <cellStyle name="Normal 2 3 30 14" xfId="28100" xr:uid="{00000000-0005-0000-0000-0000C46D0000}"/>
    <cellStyle name="Normal 2 3 30 2" xfId="28101" xr:uid="{00000000-0005-0000-0000-0000C56D0000}"/>
    <cellStyle name="Normal 2 3 30 2 10" xfId="28102" xr:uid="{00000000-0005-0000-0000-0000C66D0000}"/>
    <cellStyle name="Normal 2 3 30 2 2" xfId="28103" xr:uid="{00000000-0005-0000-0000-0000C76D0000}"/>
    <cellStyle name="Normal 2 3 30 2 3" xfId="28104" xr:uid="{00000000-0005-0000-0000-0000C86D0000}"/>
    <cellStyle name="Normal 2 3 30 2 4" xfId="28105" xr:uid="{00000000-0005-0000-0000-0000C96D0000}"/>
    <cellStyle name="Normal 2 3 30 2 5" xfId="28106" xr:uid="{00000000-0005-0000-0000-0000CA6D0000}"/>
    <cellStyle name="Normal 2 3 30 2 6" xfId="28107" xr:uid="{00000000-0005-0000-0000-0000CB6D0000}"/>
    <cellStyle name="Normal 2 3 30 2 7" xfId="28108" xr:uid="{00000000-0005-0000-0000-0000CC6D0000}"/>
    <cellStyle name="Normal 2 3 30 2 8" xfId="28109" xr:uid="{00000000-0005-0000-0000-0000CD6D0000}"/>
    <cellStyle name="Normal 2 3 30 2 9" xfId="28110" xr:uid="{00000000-0005-0000-0000-0000CE6D0000}"/>
    <cellStyle name="Normal 2 3 30 3" xfId="28111" xr:uid="{00000000-0005-0000-0000-0000CF6D0000}"/>
    <cellStyle name="Normal 2 3 30 3 10" xfId="28112" xr:uid="{00000000-0005-0000-0000-0000D06D0000}"/>
    <cellStyle name="Normal 2 3 30 3 2" xfId="28113" xr:uid="{00000000-0005-0000-0000-0000D16D0000}"/>
    <cellStyle name="Normal 2 3 30 3 3" xfId="28114" xr:uid="{00000000-0005-0000-0000-0000D26D0000}"/>
    <cellStyle name="Normal 2 3 30 3 4" xfId="28115" xr:uid="{00000000-0005-0000-0000-0000D36D0000}"/>
    <cellStyle name="Normal 2 3 30 3 5" xfId="28116" xr:uid="{00000000-0005-0000-0000-0000D46D0000}"/>
    <cellStyle name="Normal 2 3 30 3 6" xfId="28117" xr:uid="{00000000-0005-0000-0000-0000D56D0000}"/>
    <cellStyle name="Normal 2 3 30 3 7" xfId="28118" xr:uid="{00000000-0005-0000-0000-0000D66D0000}"/>
    <cellStyle name="Normal 2 3 30 3 8" xfId="28119" xr:uid="{00000000-0005-0000-0000-0000D76D0000}"/>
    <cellStyle name="Normal 2 3 30 3 9" xfId="28120" xr:uid="{00000000-0005-0000-0000-0000D86D0000}"/>
    <cellStyle name="Normal 2 3 30 4" xfId="28121" xr:uid="{00000000-0005-0000-0000-0000D96D0000}"/>
    <cellStyle name="Normal 2 3 30 4 10" xfId="28122" xr:uid="{00000000-0005-0000-0000-0000DA6D0000}"/>
    <cellStyle name="Normal 2 3 30 4 2" xfId="28123" xr:uid="{00000000-0005-0000-0000-0000DB6D0000}"/>
    <cellStyle name="Normal 2 3 30 4 3" xfId="28124" xr:uid="{00000000-0005-0000-0000-0000DC6D0000}"/>
    <cellStyle name="Normal 2 3 30 4 4" xfId="28125" xr:uid="{00000000-0005-0000-0000-0000DD6D0000}"/>
    <cellStyle name="Normal 2 3 30 4 5" xfId="28126" xr:uid="{00000000-0005-0000-0000-0000DE6D0000}"/>
    <cellStyle name="Normal 2 3 30 4 6" xfId="28127" xr:uid="{00000000-0005-0000-0000-0000DF6D0000}"/>
    <cellStyle name="Normal 2 3 30 4 7" xfId="28128" xr:uid="{00000000-0005-0000-0000-0000E06D0000}"/>
    <cellStyle name="Normal 2 3 30 4 8" xfId="28129" xr:uid="{00000000-0005-0000-0000-0000E16D0000}"/>
    <cellStyle name="Normal 2 3 30 4 9" xfId="28130" xr:uid="{00000000-0005-0000-0000-0000E26D0000}"/>
    <cellStyle name="Normal 2 3 30 5" xfId="28131" xr:uid="{00000000-0005-0000-0000-0000E36D0000}"/>
    <cellStyle name="Normal 2 3 30 5 10" xfId="28132" xr:uid="{00000000-0005-0000-0000-0000E46D0000}"/>
    <cellStyle name="Normal 2 3 30 5 2" xfId="28133" xr:uid="{00000000-0005-0000-0000-0000E56D0000}"/>
    <cellStyle name="Normal 2 3 30 5 3" xfId="28134" xr:uid="{00000000-0005-0000-0000-0000E66D0000}"/>
    <cellStyle name="Normal 2 3 30 5 4" xfId="28135" xr:uid="{00000000-0005-0000-0000-0000E76D0000}"/>
    <cellStyle name="Normal 2 3 30 5 5" xfId="28136" xr:uid="{00000000-0005-0000-0000-0000E86D0000}"/>
    <cellStyle name="Normal 2 3 30 5 6" xfId="28137" xr:uid="{00000000-0005-0000-0000-0000E96D0000}"/>
    <cellStyle name="Normal 2 3 30 5 7" xfId="28138" xr:uid="{00000000-0005-0000-0000-0000EA6D0000}"/>
    <cellStyle name="Normal 2 3 30 5 8" xfId="28139" xr:uid="{00000000-0005-0000-0000-0000EB6D0000}"/>
    <cellStyle name="Normal 2 3 30 5 9" xfId="28140" xr:uid="{00000000-0005-0000-0000-0000EC6D0000}"/>
    <cellStyle name="Normal 2 3 30 6" xfId="28141" xr:uid="{00000000-0005-0000-0000-0000ED6D0000}"/>
    <cellStyle name="Normal 2 3 30 7" xfId="28142" xr:uid="{00000000-0005-0000-0000-0000EE6D0000}"/>
    <cellStyle name="Normal 2 3 30 8" xfId="28143" xr:uid="{00000000-0005-0000-0000-0000EF6D0000}"/>
    <cellStyle name="Normal 2 3 30 9" xfId="28144" xr:uid="{00000000-0005-0000-0000-0000F06D0000}"/>
    <cellStyle name="Normal 2 3 31" xfId="28145" xr:uid="{00000000-0005-0000-0000-0000F16D0000}"/>
    <cellStyle name="Normal 2 3 31 10" xfId="28146" xr:uid="{00000000-0005-0000-0000-0000F26D0000}"/>
    <cellStyle name="Normal 2 3 31 11" xfId="28147" xr:uid="{00000000-0005-0000-0000-0000F36D0000}"/>
    <cellStyle name="Normal 2 3 31 12" xfId="28148" xr:uid="{00000000-0005-0000-0000-0000F46D0000}"/>
    <cellStyle name="Normal 2 3 31 13" xfId="28149" xr:uid="{00000000-0005-0000-0000-0000F56D0000}"/>
    <cellStyle name="Normal 2 3 31 14" xfId="28150" xr:uid="{00000000-0005-0000-0000-0000F66D0000}"/>
    <cellStyle name="Normal 2 3 31 2" xfId="28151" xr:uid="{00000000-0005-0000-0000-0000F76D0000}"/>
    <cellStyle name="Normal 2 3 31 2 10" xfId="28152" xr:uid="{00000000-0005-0000-0000-0000F86D0000}"/>
    <cellStyle name="Normal 2 3 31 2 2" xfId="28153" xr:uid="{00000000-0005-0000-0000-0000F96D0000}"/>
    <cellStyle name="Normal 2 3 31 2 3" xfId="28154" xr:uid="{00000000-0005-0000-0000-0000FA6D0000}"/>
    <cellStyle name="Normal 2 3 31 2 4" xfId="28155" xr:uid="{00000000-0005-0000-0000-0000FB6D0000}"/>
    <cellStyle name="Normal 2 3 31 2 5" xfId="28156" xr:uid="{00000000-0005-0000-0000-0000FC6D0000}"/>
    <cellStyle name="Normal 2 3 31 2 6" xfId="28157" xr:uid="{00000000-0005-0000-0000-0000FD6D0000}"/>
    <cellStyle name="Normal 2 3 31 2 7" xfId="28158" xr:uid="{00000000-0005-0000-0000-0000FE6D0000}"/>
    <cellStyle name="Normal 2 3 31 2 8" xfId="28159" xr:uid="{00000000-0005-0000-0000-0000FF6D0000}"/>
    <cellStyle name="Normal 2 3 31 2 9" xfId="28160" xr:uid="{00000000-0005-0000-0000-0000006E0000}"/>
    <cellStyle name="Normal 2 3 31 3" xfId="28161" xr:uid="{00000000-0005-0000-0000-0000016E0000}"/>
    <cellStyle name="Normal 2 3 31 3 10" xfId="28162" xr:uid="{00000000-0005-0000-0000-0000026E0000}"/>
    <cellStyle name="Normal 2 3 31 3 2" xfId="28163" xr:uid="{00000000-0005-0000-0000-0000036E0000}"/>
    <cellStyle name="Normal 2 3 31 3 3" xfId="28164" xr:uid="{00000000-0005-0000-0000-0000046E0000}"/>
    <cellStyle name="Normal 2 3 31 3 4" xfId="28165" xr:uid="{00000000-0005-0000-0000-0000056E0000}"/>
    <cellStyle name="Normal 2 3 31 3 5" xfId="28166" xr:uid="{00000000-0005-0000-0000-0000066E0000}"/>
    <cellStyle name="Normal 2 3 31 3 6" xfId="28167" xr:uid="{00000000-0005-0000-0000-0000076E0000}"/>
    <cellStyle name="Normal 2 3 31 3 7" xfId="28168" xr:uid="{00000000-0005-0000-0000-0000086E0000}"/>
    <cellStyle name="Normal 2 3 31 3 8" xfId="28169" xr:uid="{00000000-0005-0000-0000-0000096E0000}"/>
    <cellStyle name="Normal 2 3 31 3 9" xfId="28170" xr:uid="{00000000-0005-0000-0000-00000A6E0000}"/>
    <cellStyle name="Normal 2 3 31 4" xfId="28171" xr:uid="{00000000-0005-0000-0000-00000B6E0000}"/>
    <cellStyle name="Normal 2 3 31 4 10" xfId="28172" xr:uid="{00000000-0005-0000-0000-00000C6E0000}"/>
    <cellStyle name="Normal 2 3 31 4 2" xfId="28173" xr:uid="{00000000-0005-0000-0000-00000D6E0000}"/>
    <cellStyle name="Normal 2 3 31 4 3" xfId="28174" xr:uid="{00000000-0005-0000-0000-00000E6E0000}"/>
    <cellStyle name="Normal 2 3 31 4 4" xfId="28175" xr:uid="{00000000-0005-0000-0000-00000F6E0000}"/>
    <cellStyle name="Normal 2 3 31 4 5" xfId="28176" xr:uid="{00000000-0005-0000-0000-0000106E0000}"/>
    <cellStyle name="Normal 2 3 31 4 6" xfId="28177" xr:uid="{00000000-0005-0000-0000-0000116E0000}"/>
    <cellStyle name="Normal 2 3 31 4 7" xfId="28178" xr:uid="{00000000-0005-0000-0000-0000126E0000}"/>
    <cellStyle name="Normal 2 3 31 4 8" xfId="28179" xr:uid="{00000000-0005-0000-0000-0000136E0000}"/>
    <cellStyle name="Normal 2 3 31 4 9" xfId="28180" xr:uid="{00000000-0005-0000-0000-0000146E0000}"/>
    <cellStyle name="Normal 2 3 31 5" xfId="28181" xr:uid="{00000000-0005-0000-0000-0000156E0000}"/>
    <cellStyle name="Normal 2 3 31 5 10" xfId="28182" xr:uid="{00000000-0005-0000-0000-0000166E0000}"/>
    <cellStyle name="Normal 2 3 31 5 2" xfId="28183" xr:uid="{00000000-0005-0000-0000-0000176E0000}"/>
    <cellStyle name="Normal 2 3 31 5 3" xfId="28184" xr:uid="{00000000-0005-0000-0000-0000186E0000}"/>
    <cellStyle name="Normal 2 3 31 5 4" xfId="28185" xr:uid="{00000000-0005-0000-0000-0000196E0000}"/>
    <cellStyle name="Normal 2 3 31 5 5" xfId="28186" xr:uid="{00000000-0005-0000-0000-00001A6E0000}"/>
    <cellStyle name="Normal 2 3 31 5 6" xfId="28187" xr:uid="{00000000-0005-0000-0000-00001B6E0000}"/>
    <cellStyle name="Normal 2 3 31 5 7" xfId="28188" xr:uid="{00000000-0005-0000-0000-00001C6E0000}"/>
    <cellStyle name="Normal 2 3 31 5 8" xfId="28189" xr:uid="{00000000-0005-0000-0000-00001D6E0000}"/>
    <cellStyle name="Normal 2 3 31 5 9" xfId="28190" xr:uid="{00000000-0005-0000-0000-00001E6E0000}"/>
    <cellStyle name="Normal 2 3 31 6" xfId="28191" xr:uid="{00000000-0005-0000-0000-00001F6E0000}"/>
    <cellStyle name="Normal 2 3 31 7" xfId="28192" xr:uid="{00000000-0005-0000-0000-0000206E0000}"/>
    <cellStyle name="Normal 2 3 31 8" xfId="28193" xr:uid="{00000000-0005-0000-0000-0000216E0000}"/>
    <cellStyle name="Normal 2 3 31 9" xfId="28194" xr:uid="{00000000-0005-0000-0000-0000226E0000}"/>
    <cellStyle name="Normal 2 3 32" xfId="28195" xr:uid="{00000000-0005-0000-0000-0000236E0000}"/>
    <cellStyle name="Normal 2 3 32 10" xfId="28196" xr:uid="{00000000-0005-0000-0000-0000246E0000}"/>
    <cellStyle name="Normal 2 3 32 11" xfId="28197" xr:uid="{00000000-0005-0000-0000-0000256E0000}"/>
    <cellStyle name="Normal 2 3 32 12" xfId="28198" xr:uid="{00000000-0005-0000-0000-0000266E0000}"/>
    <cellStyle name="Normal 2 3 32 13" xfId="28199" xr:uid="{00000000-0005-0000-0000-0000276E0000}"/>
    <cellStyle name="Normal 2 3 32 14" xfId="28200" xr:uid="{00000000-0005-0000-0000-0000286E0000}"/>
    <cellStyle name="Normal 2 3 32 2" xfId="28201" xr:uid="{00000000-0005-0000-0000-0000296E0000}"/>
    <cellStyle name="Normal 2 3 32 2 10" xfId="28202" xr:uid="{00000000-0005-0000-0000-00002A6E0000}"/>
    <cellStyle name="Normal 2 3 32 2 2" xfId="28203" xr:uid="{00000000-0005-0000-0000-00002B6E0000}"/>
    <cellStyle name="Normal 2 3 32 2 3" xfId="28204" xr:uid="{00000000-0005-0000-0000-00002C6E0000}"/>
    <cellStyle name="Normal 2 3 32 2 4" xfId="28205" xr:uid="{00000000-0005-0000-0000-00002D6E0000}"/>
    <cellStyle name="Normal 2 3 32 2 5" xfId="28206" xr:uid="{00000000-0005-0000-0000-00002E6E0000}"/>
    <cellStyle name="Normal 2 3 32 2 6" xfId="28207" xr:uid="{00000000-0005-0000-0000-00002F6E0000}"/>
    <cellStyle name="Normal 2 3 32 2 7" xfId="28208" xr:uid="{00000000-0005-0000-0000-0000306E0000}"/>
    <cellStyle name="Normal 2 3 32 2 8" xfId="28209" xr:uid="{00000000-0005-0000-0000-0000316E0000}"/>
    <cellStyle name="Normal 2 3 32 2 9" xfId="28210" xr:uid="{00000000-0005-0000-0000-0000326E0000}"/>
    <cellStyle name="Normal 2 3 32 3" xfId="28211" xr:uid="{00000000-0005-0000-0000-0000336E0000}"/>
    <cellStyle name="Normal 2 3 32 3 10" xfId="28212" xr:uid="{00000000-0005-0000-0000-0000346E0000}"/>
    <cellStyle name="Normal 2 3 32 3 2" xfId="28213" xr:uid="{00000000-0005-0000-0000-0000356E0000}"/>
    <cellStyle name="Normal 2 3 32 3 3" xfId="28214" xr:uid="{00000000-0005-0000-0000-0000366E0000}"/>
    <cellStyle name="Normal 2 3 32 3 4" xfId="28215" xr:uid="{00000000-0005-0000-0000-0000376E0000}"/>
    <cellStyle name="Normal 2 3 32 3 5" xfId="28216" xr:uid="{00000000-0005-0000-0000-0000386E0000}"/>
    <cellStyle name="Normal 2 3 32 3 6" xfId="28217" xr:uid="{00000000-0005-0000-0000-0000396E0000}"/>
    <cellStyle name="Normal 2 3 32 3 7" xfId="28218" xr:uid="{00000000-0005-0000-0000-00003A6E0000}"/>
    <cellStyle name="Normal 2 3 32 3 8" xfId="28219" xr:uid="{00000000-0005-0000-0000-00003B6E0000}"/>
    <cellStyle name="Normal 2 3 32 3 9" xfId="28220" xr:uid="{00000000-0005-0000-0000-00003C6E0000}"/>
    <cellStyle name="Normal 2 3 32 4" xfId="28221" xr:uid="{00000000-0005-0000-0000-00003D6E0000}"/>
    <cellStyle name="Normal 2 3 32 4 10" xfId="28222" xr:uid="{00000000-0005-0000-0000-00003E6E0000}"/>
    <cellStyle name="Normal 2 3 32 4 2" xfId="28223" xr:uid="{00000000-0005-0000-0000-00003F6E0000}"/>
    <cellStyle name="Normal 2 3 32 4 3" xfId="28224" xr:uid="{00000000-0005-0000-0000-0000406E0000}"/>
    <cellStyle name="Normal 2 3 32 4 4" xfId="28225" xr:uid="{00000000-0005-0000-0000-0000416E0000}"/>
    <cellStyle name="Normal 2 3 32 4 5" xfId="28226" xr:uid="{00000000-0005-0000-0000-0000426E0000}"/>
    <cellStyle name="Normal 2 3 32 4 6" xfId="28227" xr:uid="{00000000-0005-0000-0000-0000436E0000}"/>
    <cellStyle name="Normal 2 3 32 4 7" xfId="28228" xr:uid="{00000000-0005-0000-0000-0000446E0000}"/>
    <cellStyle name="Normal 2 3 32 4 8" xfId="28229" xr:uid="{00000000-0005-0000-0000-0000456E0000}"/>
    <cellStyle name="Normal 2 3 32 4 9" xfId="28230" xr:uid="{00000000-0005-0000-0000-0000466E0000}"/>
    <cellStyle name="Normal 2 3 32 5" xfId="28231" xr:uid="{00000000-0005-0000-0000-0000476E0000}"/>
    <cellStyle name="Normal 2 3 32 5 10" xfId="28232" xr:uid="{00000000-0005-0000-0000-0000486E0000}"/>
    <cellStyle name="Normal 2 3 32 5 2" xfId="28233" xr:uid="{00000000-0005-0000-0000-0000496E0000}"/>
    <cellStyle name="Normal 2 3 32 5 3" xfId="28234" xr:uid="{00000000-0005-0000-0000-00004A6E0000}"/>
    <cellStyle name="Normal 2 3 32 5 4" xfId="28235" xr:uid="{00000000-0005-0000-0000-00004B6E0000}"/>
    <cellStyle name="Normal 2 3 32 5 5" xfId="28236" xr:uid="{00000000-0005-0000-0000-00004C6E0000}"/>
    <cellStyle name="Normal 2 3 32 5 6" xfId="28237" xr:uid="{00000000-0005-0000-0000-00004D6E0000}"/>
    <cellStyle name="Normal 2 3 32 5 7" xfId="28238" xr:uid="{00000000-0005-0000-0000-00004E6E0000}"/>
    <cellStyle name="Normal 2 3 32 5 8" xfId="28239" xr:uid="{00000000-0005-0000-0000-00004F6E0000}"/>
    <cellStyle name="Normal 2 3 32 5 9" xfId="28240" xr:uid="{00000000-0005-0000-0000-0000506E0000}"/>
    <cellStyle name="Normal 2 3 32 6" xfId="28241" xr:uid="{00000000-0005-0000-0000-0000516E0000}"/>
    <cellStyle name="Normal 2 3 32 7" xfId="28242" xr:uid="{00000000-0005-0000-0000-0000526E0000}"/>
    <cellStyle name="Normal 2 3 32 8" xfId="28243" xr:uid="{00000000-0005-0000-0000-0000536E0000}"/>
    <cellStyle name="Normal 2 3 32 9" xfId="28244" xr:uid="{00000000-0005-0000-0000-0000546E0000}"/>
    <cellStyle name="Normal 2 3 33" xfId="28245" xr:uid="{00000000-0005-0000-0000-0000556E0000}"/>
    <cellStyle name="Normal 2 3 33 10" xfId="28246" xr:uid="{00000000-0005-0000-0000-0000566E0000}"/>
    <cellStyle name="Normal 2 3 33 11" xfId="28247" xr:uid="{00000000-0005-0000-0000-0000576E0000}"/>
    <cellStyle name="Normal 2 3 33 12" xfId="28248" xr:uid="{00000000-0005-0000-0000-0000586E0000}"/>
    <cellStyle name="Normal 2 3 33 13" xfId="28249" xr:uid="{00000000-0005-0000-0000-0000596E0000}"/>
    <cellStyle name="Normal 2 3 33 14" xfId="28250" xr:uid="{00000000-0005-0000-0000-00005A6E0000}"/>
    <cellStyle name="Normal 2 3 33 2" xfId="28251" xr:uid="{00000000-0005-0000-0000-00005B6E0000}"/>
    <cellStyle name="Normal 2 3 33 2 10" xfId="28252" xr:uid="{00000000-0005-0000-0000-00005C6E0000}"/>
    <cellStyle name="Normal 2 3 33 2 2" xfId="28253" xr:uid="{00000000-0005-0000-0000-00005D6E0000}"/>
    <cellStyle name="Normal 2 3 33 2 3" xfId="28254" xr:uid="{00000000-0005-0000-0000-00005E6E0000}"/>
    <cellStyle name="Normal 2 3 33 2 4" xfId="28255" xr:uid="{00000000-0005-0000-0000-00005F6E0000}"/>
    <cellStyle name="Normal 2 3 33 2 5" xfId="28256" xr:uid="{00000000-0005-0000-0000-0000606E0000}"/>
    <cellStyle name="Normal 2 3 33 2 6" xfId="28257" xr:uid="{00000000-0005-0000-0000-0000616E0000}"/>
    <cellStyle name="Normal 2 3 33 2 7" xfId="28258" xr:uid="{00000000-0005-0000-0000-0000626E0000}"/>
    <cellStyle name="Normal 2 3 33 2 8" xfId="28259" xr:uid="{00000000-0005-0000-0000-0000636E0000}"/>
    <cellStyle name="Normal 2 3 33 2 9" xfId="28260" xr:uid="{00000000-0005-0000-0000-0000646E0000}"/>
    <cellStyle name="Normal 2 3 33 3" xfId="28261" xr:uid="{00000000-0005-0000-0000-0000656E0000}"/>
    <cellStyle name="Normal 2 3 33 3 10" xfId="28262" xr:uid="{00000000-0005-0000-0000-0000666E0000}"/>
    <cellStyle name="Normal 2 3 33 3 2" xfId="28263" xr:uid="{00000000-0005-0000-0000-0000676E0000}"/>
    <cellStyle name="Normal 2 3 33 3 3" xfId="28264" xr:uid="{00000000-0005-0000-0000-0000686E0000}"/>
    <cellStyle name="Normal 2 3 33 3 4" xfId="28265" xr:uid="{00000000-0005-0000-0000-0000696E0000}"/>
    <cellStyle name="Normal 2 3 33 3 5" xfId="28266" xr:uid="{00000000-0005-0000-0000-00006A6E0000}"/>
    <cellStyle name="Normal 2 3 33 3 6" xfId="28267" xr:uid="{00000000-0005-0000-0000-00006B6E0000}"/>
    <cellStyle name="Normal 2 3 33 3 7" xfId="28268" xr:uid="{00000000-0005-0000-0000-00006C6E0000}"/>
    <cellStyle name="Normal 2 3 33 3 8" xfId="28269" xr:uid="{00000000-0005-0000-0000-00006D6E0000}"/>
    <cellStyle name="Normal 2 3 33 3 9" xfId="28270" xr:uid="{00000000-0005-0000-0000-00006E6E0000}"/>
    <cellStyle name="Normal 2 3 33 4" xfId="28271" xr:uid="{00000000-0005-0000-0000-00006F6E0000}"/>
    <cellStyle name="Normal 2 3 33 4 10" xfId="28272" xr:uid="{00000000-0005-0000-0000-0000706E0000}"/>
    <cellStyle name="Normal 2 3 33 4 2" xfId="28273" xr:uid="{00000000-0005-0000-0000-0000716E0000}"/>
    <cellStyle name="Normal 2 3 33 4 3" xfId="28274" xr:uid="{00000000-0005-0000-0000-0000726E0000}"/>
    <cellStyle name="Normal 2 3 33 4 4" xfId="28275" xr:uid="{00000000-0005-0000-0000-0000736E0000}"/>
    <cellStyle name="Normal 2 3 33 4 5" xfId="28276" xr:uid="{00000000-0005-0000-0000-0000746E0000}"/>
    <cellStyle name="Normal 2 3 33 4 6" xfId="28277" xr:uid="{00000000-0005-0000-0000-0000756E0000}"/>
    <cellStyle name="Normal 2 3 33 4 7" xfId="28278" xr:uid="{00000000-0005-0000-0000-0000766E0000}"/>
    <cellStyle name="Normal 2 3 33 4 8" xfId="28279" xr:uid="{00000000-0005-0000-0000-0000776E0000}"/>
    <cellStyle name="Normal 2 3 33 4 9" xfId="28280" xr:uid="{00000000-0005-0000-0000-0000786E0000}"/>
    <cellStyle name="Normal 2 3 33 5" xfId="28281" xr:uid="{00000000-0005-0000-0000-0000796E0000}"/>
    <cellStyle name="Normal 2 3 33 5 10" xfId="28282" xr:uid="{00000000-0005-0000-0000-00007A6E0000}"/>
    <cellStyle name="Normal 2 3 33 5 2" xfId="28283" xr:uid="{00000000-0005-0000-0000-00007B6E0000}"/>
    <cellStyle name="Normal 2 3 33 5 3" xfId="28284" xr:uid="{00000000-0005-0000-0000-00007C6E0000}"/>
    <cellStyle name="Normal 2 3 33 5 4" xfId="28285" xr:uid="{00000000-0005-0000-0000-00007D6E0000}"/>
    <cellStyle name="Normal 2 3 33 5 5" xfId="28286" xr:uid="{00000000-0005-0000-0000-00007E6E0000}"/>
    <cellStyle name="Normal 2 3 33 5 6" xfId="28287" xr:uid="{00000000-0005-0000-0000-00007F6E0000}"/>
    <cellStyle name="Normal 2 3 33 5 7" xfId="28288" xr:uid="{00000000-0005-0000-0000-0000806E0000}"/>
    <cellStyle name="Normal 2 3 33 5 8" xfId="28289" xr:uid="{00000000-0005-0000-0000-0000816E0000}"/>
    <cellStyle name="Normal 2 3 33 5 9" xfId="28290" xr:uid="{00000000-0005-0000-0000-0000826E0000}"/>
    <cellStyle name="Normal 2 3 33 6" xfId="28291" xr:uid="{00000000-0005-0000-0000-0000836E0000}"/>
    <cellStyle name="Normal 2 3 33 7" xfId="28292" xr:uid="{00000000-0005-0000-0000-0000846E0000}"/>
    <cellStyle name="Normal 2 3 33 8" xfId="28293" xr:uid="{00000000-0005-0000-0000-0000856E0000}"/>
    <cellStyle name="Normal 2 3 33 9" xfId="28294" xr:uid="{00000000-0005-0000-0000-0000866E0000}"/>
    <cellStyle name="Normal 2 3 34" xfId="28295" xr:uid="{00000000-0005-0000-0000-0000876E0000}"/>
    <cellStyle name="Normal 2 3 34 10" xfId="28296" xr:uid="{00000000-0005-0000-0000-0000886E0000}"/>
    <cellStyle name="Normal 2 3 34 11" xfId="28297" xr:uid="{00000000-0005-0000-0000-0000896E0000}"/>
    <cellStyle name="Normal 2 3 34 12" xfId="28298" xr:uid="{00000000-0005-0000-0000-00008A6E0000}"/>
    <cellStyle name="Normal 2 3 34 13" xfId="28299" xr:uid="{00000000-0005-0000-0000-00008B6E0000}"/>
    <cellStyle name="Normal 2 3 34 14" xfId="28300" xr:uid="{00000000-0005-0000-0000-00008C6E0000}"/>
    <cellStyle name="Normal 2 3 34 2" xfId="28301" xr:uid="{00000000-0005-0000-0000-00008D6E0000}"/>
    <cellStyle name="Normal 2 3 34 2 10" xfId="28302" xr:uid="{00000000-0005-0000-0000-00008E6E0000}"/>
    <cellStyle name="Normal 2 3 34 2 2" xfId="28303" xr:uid="{00000000-0005-0000-0000-00008F6E0000}"/>
    <cellStyle name="Normal 2 3 34 2 3" xfId="28304" xr:uid="{00000000-0005-0000-0000-0000906E0000}"/>
    <cellStyle name="Normal 2 3 34 2 4" xfId="28305" xr:uid="{00000000-0005-0000-0000-0000916E0000}"/>
    <cellStyle name="Normal 2 3 34 2 5" xfId="28306" xr:uid="{00000000-0005-0000-0000-0000926E0000}"/>
    <cellStyle name="Normal 2 3 34 2 6" xfId="28307" xr:uid="{00000000-0005-0000-0000-0000936E0000}"/>
    <cellStyle name="Normal 2 3 34 2 7" xfId="28308" xr:uid="{00000000-0005-0000-0000-0000946E0000}"/>
    <cellStyle name="Normal 2 3 34 2 8" xfId="28309" xr:uid="{00000000-0005-0000-0000-0000956E0000}"/>
    <cellStyle name="Normal 2 3 34 2 9" xfId="28310" xr:uid="{00000000-0005-0000-0000-0000966E0000}"/>
    <cellStyle name="Normal 2 3 34 3" xfId="28311" xr:uid="{00000000-0005-0000-0000-0000976E0000}"/>
    <cellStyle name="Normal 2 3 34 3 10" xfId="28312" xr:uid="{00000000-0005-0000-0000-0000986E0000}"/>
    <cellStyle name="Normal 2 3 34 3 2" xfId="28313" xr:uid="{00000000-0005-0000-0000-0000996E0000}"/>
    <cellStyle name="Normal 2 3 34 3 3" xfId="28314" xr:uid="{00000000-0005-0000-0000-00009A6E0000}"/>
    <cellStyle name="Normal 2 3 34 3 4" xfId="28315" xr:uid="{00000000-0005-0000-0000-00009B6E0000}"/>
    <cellStyle name="Normal 2 3 34 3 5" xfId="28316" xr:uid="{00000000-0005-0000-0000-00009C6E0000}"/>
    <cellStyle name="Normal 2 3 34 3 6" xfId="28317" xr:uid="{00000000-0005-0000-0000-00009D6E0000}"/>
    <cellStyle name="Normal 2 3 34 3 7" xfId="28318" xr:uid="{00000000-0005-0000-0000-00009E6E0000}"/>
    <cellStyle name="Normal 2 3 34 3 8" xfId="28319" xr:uid="{00000000-0005-0000-0000-00009F6E0000}"/>
    <cellStyle name="Normal 2 3 34 3 9" xfId="28320" xr:uid="{00000000-0005-0000-0000-0000A06E0000}"/>
    <cellStyle name="Normal 2 3 34 4" xfId="28321" xr:uid="{00000000-0005-0000-0000-0000A16E0000}"/>
    <cellStyle name="Normal 2 3 34 4 10" xfId="28322" xr:uid="{00000000-0005-0000-0000-0000A26E0000}"/>
    <cellStyle name="Normal 2 3 34 4 2" xfId="28323" xr:uid="{00000000-0005-0000-0000-0000A36E0000}"/>
    <cellStyle name="Normal 2 3 34 4 3" xfId="28324" xr:uid="{00000000-0005-0000-0000-0000A46E0000}"/>
    <cellStyle name="Normal 2 3 34 4 4" xfId="28325" xr:uid="{00000000-0005-0000-0000-0000A56E0000}"/>
    <cellStyle name="Normal 2 3 34 4 5" xfId="28326" xr:uid="{00000000-0005-0000-0000-0000A66E0000}"/>
    <cellStyle name="Normal 2 3 34 4 6" xfId="28327" xr:uid="{00000000-0005-0000-0000-0000A76E0000}"/>
    <cellStyle name="Normal 2 3 34 4 7" xfId="28328" xr:uid="{00000000-0005-0000-0000-0000A86E0000}"/>
    <cellStyle name="Normal 2 3 34 4 8" xfId="28329" xr:uid="{00000000-0005-0000-0000-0000A96E0000}"/>
    <cellStyle name="Normal 2 3 34 4 9" xfId="28330" xr:uid="{00000000-0005-0000-0000-0000AA6E0000}"/>
    <cellStyle name="Normal 2 3 34 5" xfId="28331" xr:uid="{00000000-0005-0000-0000-0000AB6E0000}"/>
    <cellStyle name="Normal 2 3 34 5 10" xfId="28332" xr:uid="{00000000-0005-0000-0000-0000AC6E0000}"/>
    <cellStyle name="Normal 2 3 34 5 2" xfId="28333" xr:uid="{00000000-0005-0000-0000-0000AD6E0000}"/>
    <cellStyle name="Normal 2 3 34 5 3" xfId="28334" xr:uid="{00000000-0005-0000-0000-0000AE6E0000}"/>
    <cellStyle name="Normal 2 3 34 5 4" xfId="28335" xr:uid="{00000000-0005-0000-0000-0000AF6E0000}"/>
    <cellStyle name="Normal 2 3 34 5 5" xfId="28336" xr:uid="{00000000-0005-0000-0000-0000B06E0000}"/>
    <cellStyle name="Normal 2 3 34 5 6" xfId="28337" xr:uid="{00000000-0005-0000-0000-0000B16E0000}"/>
    <cellStyle name="Normal 2 3 34 5 7" xfId="28338" xr:uid="{00000000-0005-0000-0000-0000B26E0000}"/>
    <cellStyle name="Normal 2 3 34 5 8" xfId="28339" xr:uid="{00000000-0005-0000-0000-0000B36E0000}"/>
    <cellStyle name="Normal 2 3 34 5 9" xfId="28340" xr:uid="{00000000-0005-0000-0000-0000B46E0000}"/>
    <cellStyle name="Normal 2 3 34 6" xfId="28341" xr:uid="{00000000-0005-0000-0000-0000B56E0000}"/>
    <cellStyle name="Normal 2 3 34 7" xfId="28342" xr:uid="{00000000-0005-0000-0000-0000B66E0000}"/>
    <cellStyle name="Normal 2 3 34 8" xfId="28343" xr:uid="{00000000-0005-0000-0000-0000B76E0000}"/>
    <cellStyle name="Normal 2 3 34 9" xfId="28344" xr:uid="{00000000-0005-0000-0000-0000B86E0000}"/>
    <cellStyle name="Normal 2 3 35" xfId="28345" xr:uid="{00000000-0005-0000-0000-0000B96E0000}"/>
    <cellStyle name="Normal 2 3 35 10" xfId="28346" xr:uid="{00000000-0005-0000-0000-0000BA6E0000}"/>
    <cellStyle name="Normal 2 3 35 2" xfId="28347" xr:uid="{00000000-0005-0000-0000-0000BB6E0000}"/>
    <cellStyle name="Normal 2 3 35 3" xfId="28348" xr:uid="{00000000-0005-0000-0000-0000BC6E0000}"/>
    <cellStyle name="Normal 2 3 35 4" xfId="28349" xr:uid="{00000000-0005-0000-0000-0000BD6E0000}"/>
    <cellStyle name="Normal 2 3 35 5" xfId="28350" xr:uid="{00000000-0005-0000-0000-0000BE6E0000}"/>
    <cellStyle name="Normal 2 3 35 6" xfId="28351" xr:uid="{00000000-0005-0000-0000-0000BF6E0000}"/>
    <cellStyle name="Normal 2 3 35 7" xfId="28352" xr:uid="{00000000-0005-0000-0000-0000C06E0000}"/>
    <cellStyle name="Normal 2 3 35 8" xfId="28353" xr:uid="{00000000-0005-0000-0000-0000C16E0000}"/>
    <cellStyle name="Normal 2 3 35 9" xfId="28354" xr:uid="{00000000-0005-0000-0000-0000C26E0000}"/>
    <cellStyle name="Normal 2 3 36" xfId="28355" xr:uid="{00000000-0005-0000-0000-0000C36E0000}"/>
    <cellStyle name="Normal 2 3 36 10" xfId="28356" xr:uid="{00000000-0005-0000-0000-0000C46E0000}"/>
    <cellStyle name="Normal 2 3 36 2" xfId="28357" xr:uid="{00000000-0005-0000-0000-0000C56E0000}"/>
    <cellStyle name="Normal 2 3 36 3" xfId="28358" xr:uid="{00000000-0005-0000-0000-0000C66E0000}"/>
    <cellStyle name="Normal 2 3 36 4" xfId="28359" xr:uid="{00000000-0005-0000-0000-0000C76E0000}"/>
    <cellStyle name="Normal 2 3 36 5" xfId="28360" xr:uid="{00000000-0005-0000-0000-0000C86E0000}"/>
    <cellStyle name="Normal 2 3 36 6" xfId="28361" xr:uid="{00000000-0005-0000-0000-0000C96E0000}"/>
    <cellStyle name="Normal 2 3 36 7" xfId="28362" xr:uid="{00000000-0005-0000-0000-0000CA6E0000}"/>
    <cellStyle name="Normal 2 3 36 8" xfId="28363" xr:uid="{00000000-0005-0000-0000-0000CB6E0000}"/>
    <cellStyle name="Normal 2 3 36 9" xfId="28364" xr:uid="{00000000-0005-0000-0000-0000CC6E0000}"/>
    <cellStyle name="Normal 2 3 37" xfId="28365" xr:uid="{00000000-0005-0000-0000-0000CD6E0000}"/>
    <cellStyle name="Normal 2 3 37 10" xfId="28366" xr:uid="{00000000-0005-0000-0000-0000CE6E0000}"/>
    <cellStyle name="Normal 2 3 37 2" xfId="28367" xr:uid="{00000000-0005-0000-0000-0000CF6E0000}"/>
    <cellStyle name="Normal 2 3 37 3" xfId="28368" xr:uid="{00000000-0005-0000-0000-0000D06E0000}"/>
    <cellStyle name="Normal 2 3 37 4" xfId="28369" xr:uid="{00000000-0005-0000-0000-0000D16E0000}"/>
    <cellStyle name="Normal 2 3 37 5" xfId="28370" xr:uid="{00000000-0005-0000-0000-0000D26E0000}"/>
    <cellStyle name="Normal 2 3 37 6" xfId="28371" xr:uid="{00000000-0005-0000-0000-0000D36E0000}"/>
    <cellStyle name="Normal 2 3 37 7" xfId="28372" xr:uid="{00000000-0005-0000-0000-0000D46E0000}"/>
    <cellStyle name="Normal 2 3 37 8" xfId="28373" xr:uid="{00000000-0005-0000-0000-0000D56E0000}"/>
    <cellStyle name="Normal 2 3 37 9" xfId="28374" xr:uid="{00000000-0005-0000-0000-0000D66E0000}"/>
    <cellStyle name="Normal 2 3 38" xfId="28375" xr:uid="{00000000-0005-0000-0000-0000D76E0000}"/>
    <cellStyle name="Normal 2 3 38 10" xfId="28376" xr:uid="{00000000-0005-0000-0000-0000D86E0000}"/>
    <cellStyle name="Normal 2 3 38 2" xfId="28377" xr:uid="{00000000-0005-0000-0000-0000D96E0000}"/>
    <cellStyle name="Normal 2 3 38 3" xfId="28378" xr:uid="{00000000-0005-0000-0000-0000DA6E0000}"/>
    <cellStyle name="Normal 2 3 38 4" xfId="28379" xr:uid="{00000000-0005-0000-0000-0000DB6E0000}"/>
    <cellStyle name="Normal 2 3 38 5" xfId="28380" xr:uid="{00000000-0005-0000-0000-0000DC6E0000}"/>
    <cellStyle name="Normal 2 3 38 6" xfId="28381" xr:uid="{00000000-0005-0000-0000-0000DD6E0000}"/>
    <cellStyle name="Normal 2 3 38 7" xfId="28382" xr:uid="{00000000-0005-0000-0000-0000DE6E0000}"/>
    <cellStyle name="Normal 2 3 38 8" xfId="28383" xr:uid="{00000000-0005-0000-0000-0000DF6E0000}"/>
    <cellStyle name="Normal 2 3 38 9" xfId="28384" xr:uid="{00000000-0005-0000-0000-0000E06E0000}"/>
    <cellStyle name="Normal 2 3 39" xfId="28385" xr:uid="{00000000-0005-0000-0000-0000E16E0000}"/>
    <cellStyle name="Normal 2 3 4" xfId="28386" xr:uid="{00000000-0005-0000-0000-0000E26E0000}"/>
    <cellStyle name="Normal 2 3 4 10" xfId="28387" xr:uid="{00000000-0005-0000-0000-0000E36E0000}"/>
    <cellStyle name="Normal 2 3 4 11" xfId="28388" xr:uid="{00000000-0005-0000-0000-0000E46E0000}"/>
    <cellStyle name="Normal 2 3 4 12" xfId="28389" xr:uid="{00000000-0005-0000-0000-0000E56E0000}"/>
    <cellStyle name="Normal 2 3 4 13" xfId="28390" xr:uid="{00000000-0005-0000-0000-0000E66E0000}"/>
    <cellStyle name="Normal 2 3 4 14" xfId="28391" xr:uid="{00000000-0005-0000-0000-0000E76E0000}"/>
    <cellStyle name="Normal 2 3 4 15" xfId="28392" xr:uid="{00000000-0005-0000-0000-0000E86E0000}"/>
    <cellStyle name="Normal 2 3 4 16" xfId="28393" xr:uid="{00000000-0005-0000-0000-0000E96E0000}"/>
    <cellStyle name="Normal 2 3 4 2" xfId="28394" xr:uid="{00000000-0005-0000-0000-0000EA6E0000}"/>
    <cellStyle name="Normal 2 3 4 2 10" xfId="28395" xr:uid="{00000000-0005-0000-0000-0000EB6E0000}"/>
    <cellStyle name="Normal 2 3 4 2 2" xfId="28396" xr:uid="{00000000-0005-0000-0000-0000EC6E0000}"/>
    <cellStyle name="Normal 2 3 4 2 3" xfId="28397" xr:uid="{00000000-0005-0000-0000-0000ED6E0000}"/>
    <cellStyle name="Normal 2 3 4 2 4" xfId="28398" xr:uid="{00000000-0005-0000-0000-0000EE6E0000}"/>
    <cellStyle name="Normal 2 3 4 2 5" xfId="28399" xr:uid="{00000000-0005-0000-0000-0000EF6E0000}"/>
    <cellStyle name="Normal 2 3 4 2 6" xfId="28400" xr:uid="{00000000-0005-0000-0000-0000F06E0000}"/>
    <cellStyle name="Normal 2 3 4 2 7" xfId="28401" xr:uid="{00000000-0005-0000-0000-0000F16E0000}"/>
    <cellStyle name="Normal 2 3 4 2 8" xfId="28402" xr:uid="{00000000-0005-0000-0000-0000F26E0000}"/>
    <cellStyle name="Normal 2 3 4 2 9" xfId="28403" xr:uid="{00000000-0005-0000-0000-0000F36E0000}"/>
    <cellStyle name="Normal 2 3 4 3" xfId="28404" xr:uid="{00000000-0005-0000-0000-0000F46E0000}"/>
    <cellStyle name="Normal 2 3 4 3 10" xfId="28405" xr:uid="{00000000-0005-0000-0000-0000F56E0000}"/>
    <cellStyle name="Normal 2 3 4 3 2" xfId="28406" xr:uid="{00000000-0005-0000-0000-0000F66E0000}"/>
    <cellStyle name="Normal 2 3 4 3 3" xfId="28407" xr:uid="{00000000-0005-0000-0000-0000F76E0000}"/>
    <cellStyle name="Normal 2 3 4 3 4" xfId="28408" xr:uid="{00000000-0005-0000-0000-0000F86E0000}"/>
    <cellStyle name="Normal 2 3 4 3 5" xfId="28409" xr:uid="{00000000-0005-0000-0000-0000F96E0000}"/>
    <cellStyle name="Normal 2 3 4 3 6" xfId="28410" xr:uid="{00000000-0005-0000-0000-0000FA6E0000}"/>
    <cellStyle name="Normal 2 3 4 3 7" xfId="28411" xr:uid="{00000000-0005-0000-0000-0000FB6E0000}"/>
    <cellStyle name="Normal 2 3 4 3 8" xfId="28412" xr:uid="{00000000-0005-0000-0000-0000FC6E0000}"/>
    <cellStyle name="Normal 2 3 4 3 9" xfId="28413" xr:uid="{00000000-0005-0000-0000-0000FD6E0000}"/>
    <cellStyle name="Normal 2 3 4 4" xfId="28414" xr:uid="{00000000-0005-0000-0000-0000FE6E0000}"/>
    <cellStyle name="Normal 2 3 4 4 10" xfId="28415" xr:uid="{00000000-0005-0000-0000-0000FF6E0000}"/>
    <cellStyle name="Normal 2 3 4 4 2" xfId="28416" xr:uid="{00000000-0005-0000-0000-0000006F0000}"/>
    <cellStyle name="Normal 2 3 4 4 3" xfId="28417" xr:uid="{00000000-0005-0000-0000-0000016F0000}"/>
    <cellStyle name="Normal 2 3 4 4 4" xfId="28418" xr:uid="{00000000-0005-0000-0000-0000026F0000}"/>
    <cellStyle name="Normal 2 3 4 4 5" xfId="28419" xr:uid="{00000000-0005-0000-0000-0000036F0000}"/>
    <cellStyle name="Normal 2 3 4 4 6" xfId="28420" xr:uid="{00000000-0005-0000-0000-0000046F0000}"/>
    <cellStyle name="Normal 2 3 4 4 7" xfId="28421" xr:uid="{00000000-0005-0000-0000-0000056F0000}"/>
    <cellStyle name="Normal 2 3 4 4 8" xfId="28422" xr:uid="{00000000-0005-0000-0000-0000066F0000}"/>
    <cellStyle name="Normal 2 3 4 4 9" xfId="28423" xr:uid="{00000000-0005-0000-0000-0000076F0000}"/>
    <cellStyle name="Normal 2 3 4 5" xfId="28424" xr:uid="{00000000-0005-0000-0000-0000086F0000}"/>
    <cellStyle name="Normal 2 3 4 5 10" xfId="28425" xr:uid="{00000000-0005-0000-0000-0000096F0000}"/>
    <cellStyle name="Normal 2 3 4 5 2" xfId="28426" xr:uid="{00000000-0005-0000-0000-00000A6F0000}"/>
    <cellStyle name="Normal 2 3 4 5 3" xfId="28427" xr:uid="{00000000-0005-0000-0000-00000B6F0000}"/>
    <cellStyle name="Normal 2 3 4 5 4" xfId="28428" xr:uid="{00000000-0005-0000-0000-00000C6F0000}"/>
    <cellStyle name="Normal 2 3 4 5 5" xfId="28429" xr:uid="{00000000-0005-0000-0000-00000D6F0000}"/>
    <cellStyle name="Normal 2 3 4 5 6" xfId="28430" xr:uid="{00000000-0005-0000-0000-00000E6F0000}"/>
    <cellStyle name="Normal 2 3 4 5 7" xfId="28431" xr:uid="{00000000-0005-0000-0000-00000F6F0000}"/>
    <cellStyle name="Normal 2 3 4 5 8" xfId="28432" xr:uid="{00000000-0005-0000-0000-0000106F0000}"/>
    <cellStyle name="Normal 2 3 4 5 9" xfId="28433" xr:uid="{00000000-0005-0000-0000-0000116F0000}"/>
    <cellStyle name="Normal 2 3 4 6" xfId="28434" xr:uid="{00000000-0005-0000-0000-0000126F0000}"/>
    <cellStyle name="Normal 2 3 4 7" xfId="28435" xr:uid="{00000000-0005-0000-0000-0000136F0000}"/>
    <cellStyle name="Normal 2 3 4 8" xfId="28436" xr:uid="{00000000-0005-0000-0000-0000146F0000}"/>
    <cellStyle name="Normal 2 3 4 9" xfId="28437" xr:uid="{00000000-0005-0000-0000-0000156F0000}"/>
    <cellStyle name="Normal 2 3 40" xfId="28438" xr:uid="{00000000-0005-0000-0000-0000166F0000}"/>
    <cellStyle name="Normal 2 3 41" xfId="28439" xr:uid="{00000000-0005-0000-0000-0000176F0000}"/>
    <cellStyle name="Normal 2 3 42" xfId="28440" xr:uid="{00000000-0005-0000-0000-0000186F0000}"/>
    <cellStyle name="Normal 2 3 43" xfId="28441" xr:uid="{00000000-0005-0000-0000-0000196F0000}"/>
    <cellStyle name="Normal 2 3 44" xfId="28442" xr:uid="{00000000-0005-0000-0000-00001A6F0000}"/>
    <cellStyle name="Normal 2 3 45" xfId="28443" xr:uid="{00000000-0005-0000-0000-00001B6F0000}"/>
    <cellStyle name="Normal 2 3 46" xfId="28444" xr:uid="{00000000-0005-0000-0000-00001C6F0000}"/>
    <cellStyle name="Normal 2 3 47" xfId="28445" xr:uid="{00000000-0005-0000-0000-00001D6F0000}"/>
    <cellStyle name="Normal 2 3 48" xfId="28446" xr:uid="{00000000-0005-0000-0000-00001E6F0000}"/>
    <cellStyle name="Normal 2 3 49" xfId="28447" xr:uid="{00000000-0005-0000-0000-00001F6F0000}"/>
    <cellStyle name="Normal 2 3 5" xfId="28448" xr:uid="{00000000-0005-0000-0000-0000206F0000}"/>
    <cellStyle name="Normal 2 3 5 10" xfId="28449" xr:uid="{00000000-0005-0000-0000-0000216F0000}"/>
    <cellStyle name="Normal 2 3 5 11" xfId="28450" xr:uid="{00000000-0005-0000-0000-0000226F0000}"/>
    <cellStyle name="Normal 2 3 5 12" xfId="28451" xr:uid="{00000000-0005-0000-0000-0000236F0000}"/>
    <cellStyle name="Normal 2 3 5 13" xfId="28452" xr:uid="{00000000-0005-0000-0000-0000246F0000}"/>
    <cellStyle name="Normal 2 3 5 14" xfId="28453" xr:uid="{00000000-0005-0000-0000-0000256F0000}"/>
    <cellStyle name="Normal 2 3 5 15" xfId="28454" xr:uid="{00000000-0005-0000-0000-0000266F0000}"/>
    <cellStyle name="Normal 2 3 5 16" xfId="28455" xr:uid="{00000000-0005-0000-0000-0000276F0000}"/>
    <cellStyle name="Normal 2 3 5 2" xfId="28456" xr:uid="{00000000-0005-0000-0000-0000286F0000}"/>
    <cellStyle name="Normal 2 3 5 2 10" xfId="28457" xr:uid="{00000000-0005-0000-0000-0000296F0000}"/>
    <cellStyle name="Normal 2 3 5 2 11" xfId="28458" xr:uid="{00000000-0005-0000-0000-00002A6F0000}"/>
    <cellStyle name="Normal 2 3 5 2 12" xfId="28459" xr:uid="{00000000-0005-0000-0000-00002B6F0000}"/>
    <cellStyle name="Normal 2 3 5 2 2" xfId="28460" xr:uid="{00000000-0005-0000-0000-00002C6F0000}"/>
    <cellStyle name="Normal 2 3 5 2 3" xfId="28461" xr:uid="{00000000-0005-0000-0000-00002D6F0000}"/>
    <cellStyle name="Normal 2 3 5 2 4" xfId="28462" xr:uid="{00000000-0005-0000-0000-00002E6F0000}"/>
    <cellStyle name="Normal 2 3 5 2 5" xfId="28463" xr:uid="{00000000-0005-0000-0000-00002F6F0000}"/>
    <cellStyle name="Normal 2 3 5 2 6" xfId="28464" xr:uid="{00000000-0005-0000-0000-0000306F0000}"/>
    <cellStyle name="Normal 2 3 5 2 7" xfId="28465" xr:uid="{00000000-0005-0000-0000-0000316F0000}"/>
    <cellStyle name="Normal 2 3 5 2 8" xfId="28466" xr:uid="{00000000-0005-0000-0000-0000326F0000}"/>
    <cellStyle name="Normal 2 3 5 2 9" xfId="28467" xr:uid="{00000000-0005-0000-0000-0000336F0000}"/>
    <cellStyle name="Normal 2 3 5 3" xfId="28468" xr:uid="{00000000-0005-0000-0000-0000346F0000}"/>
    <cellStyle name="Normal 2 3 5 3 10" xfId="28469" xr:uid="{00000000-0005-0000-0000-0000356F0000}"/>
    <cellStyle name="Normal 2 3 5 3 2" xfId="28470" xr:uid="{00000000-0005-0000-0000-0000366F0000}"/>
    <cellStyle name="Normal 2 3 5 3 3" xfId="28471" xr:uid="{00000000-0005-0000-0000-0000376F0000}"/>
    <cellStyle name="Normal 2 3 5 3 4" xfId="28472" xr:uid="{00000000-0005-0000-0000-0000386F0000}"/>
    <cellStyle name="Normal 2 3 5 3 5" xfId="28473" xr:uid="{00000000-0005-0000-0000-0000396F0000}"/>
    <cellStyle name="Normal 2 3 5 3 6" xfId="28474" xr:uid="{00000000-0005-0000-0000-00003A6F0000}"/>
    <cellStyle name="Normal 2 3 5 3 7" xfId="28475" xr:uid="{00000000-0005-0000-0000-00003B6F0000}"/>
    <cellStyle name="Normal 2 3 5 3 8" xfId="28476" xr:uid="{00000000-0005-0000-0000-00003C6F0000}"/>
    <cellStyle name="Normal 2 3 5 3 9" xfId="28477" xr:uid="{00000000-0005-0000-0000-00003D6F0000}"/>
    <cellStyle name="Normal 2 3 5 4" xfId="28478" xr:uid="{00000000-0005-0000-0000-00003E6F0000}"/>
    <cellStyle name="Normal 2 3 5 4 10" xfId="28479" xr:uid="{00000000-0005-0000-0000-00003F6F0000}"/>
    <cellStyle name="Normal 2 3 5 4 2" xfId="28480" xr:uid="{00000000-0005-0000-0000-0000406F0000}"/>
    <cellStyle name="Normal 2 3 5 4 3" xfId="28481" xr:uid="{00000000-0005-0000-0000-0000416F0000}"/>
    <cellStyle name="Normal 2 3 5 4 4" xfId="28482" xr:uid="{00000000-0005-0000-0000-0000426F0000}"/>
    <cellStyle name="Normal 2 3 5 4 5" xfId="28483" xr:uid="{00000000-0005-0000-0000-0000436F0000}"/>
    <cellStyle name="Normal 2 3 5 4 6" xfId="28484" xr:uid="{00000000-0005-0000-0000-0000446F0000}"/>
    <cellStyle name="Normal 2 3 5 4 7" xfId="28485" xr:uid="{00000000-0005-0000-0000-0000456F0000}"/>
    <cellStyle name="Normal 2 3 5 4 8" xfId="28486" xr:uid="{00000000-0005-0000-0000-0000466F0000}"/>
    <cellStyle name="Normal 2 3 5 4 9" xfId="28487" xr:uid="{00000000-0005-0000-0000-0000476F0000}"/>
    <cellStyle name="Normal 2 3 5 5" xfId="28488" xr:uid="{00000000-0005-0000-0000-0000486F0000}"/>
    <cellStyle name="Normal 2 3 5 5 10" xfId="28489" xr:uid="{00000000-0005-0000-0000-0000496F0000}"/>
    <cellStyle name="Normal 2 3 5 5 2" xfId="28490" xr:uid="{00000000-0005-0000-0000-00004A6F0000}"/>
    <cellStyle name="Normal 2 3 5 5 3" xfId="28491" xr:uid="{00000000-0005-0000-0000-00004B6F0000}"/>
    <cellStyle name="Normal 2 3 5 5 4" xfId="28492" xr:uid="{00000000-0005-0000-0000-00004C6F0000}"/>
    <cellStyle name="Normal 2 3 5 5 5" xfId="28493" xr:uid="{00000000-0005-0000-0000-00004D6F0000}"/>
    <cellStyle name="Normal 2 3 5 5 6" xfId="28494" xr:uid="{00000000-0005-0000-0000-00004E6F0000}"/>
    <cellStyle name="Normal 2 3 5 5 7" xfId="28495" xr:uid="{00000000-0005-0000-0000-00004F6F0000}"/>
    <cellStyle name="Normal 2 3 5 5 8" xfId="28496" xr:uid="{00000000-0005-0000-0000-0000506F0000}"/>
    <cellStyle name="Normal 2 3 5 5 9" xfId="28497" xr:uid="{00000000-0005-0000-0000-0000516F0000}"/>
    <cellStyle name="Normal 2 3 5 6" xfId="28498" xr:uid="{00000000-0005-0000-0000-0000526F0000}"/>
    <cellStyle name="Normal 2 3 5 7" xfId="28499" xr:uid="{00000000-0005-0000-0000-0000536F0000}"/>
    <cellStyle name="Normal 2 3 5 8" xfId="28500" xr:uid="{00000000-0005-0000-0000-0000546F0000}"/>
    <cellStyle name="Normal 2 3 5 9" xfId="28501" xr:uid="{00000000-0005-0000-0000-0000556F0000}"/>
    <cellStyle name="Normal 2 3 50" xfId="25384" xr:uid="{00000000-0005-0000-0000-000028630000}"/>
    <cellStyle name="Normal 2 3 6" xfId="28502" xr:uid="{00000000-0005-0000-0000-0000566F0000}"/>
    <cellStyle name="Normal 2 3 6 10" xfId="28503" xr:uid="{00000000-0005-0000-0000-0000576F0000}"/>
    <cellStyle name="Normal 2 3 6 11" xfId="28504" xr:uid="{00000000-0005-0000-0000-0000586F0000}"/>
    <cellStyle name="Normal 2 3 6 12" xfId="28505" xr:uid="{00000000-0005-0000-0000-0000596F0000}"/>
    <cellStyle name="Normal 2 3 6 13" xfId="28506" xr:uid="{00000000-0005-0000-0000-00005A6F0000}"/>
    <cellStyle name="Normal 2 3 6 14" xfId="28507" xr:uid="{00000000-0005-0000-0000-00005B6F0000}"/>
    <cellStyle name="Normal 2 3 6 2" xfId="28508" xr:uid="{00000000-0005-0000-0000-00005C6F0000}"/>
    <cellStyle name="Normal 2 3 6 2 10" xfId="28509" xr:uid="{00000000-0005-0000-0000-00005D6F0000}"/>
    <cellStyle name="Normal 2 3 6 2 2" xfId="28510" xr:uid="{00000000-0005-0000-0000-00005E6F0000}"/>
    <cellStyle name="Normal 2 3 6 2 3" xfId="28511" xr:uid="{00000000-0005-0000-0000-00005F6F0000}"/>
    <cellStyle name="Normal 2 3 6 2 4" xfId="28512" xr:uid="{00000000-0005-0000-0000-0000606F0000}"/>
    <cellStyle name="Normal 2 3 6 2 5" xfId="28513" xr:uid="{00000000-0005-0000-0000-0000616F0000}"/>
    <cellStyle name="Normal 2 3 6 2 6" xfId="28514" xr:uid="{00000000-0005-0000-0000-0000626F0000}"/>
    <cellStyle name="Normal 2 3 6 2 7" xfId="28515" xr:uid="{00000000-0005-0000-0000-0000636F0000}"/>
    <cellStyle name="Normal 2 3 6 2 8" xfId="28516" xr:uid="{00000000-0005-0000-0000-0000646F0000}"/>
    <cellStyle name="Normal 2 3 6 2 9" xfId="28517" xr:uid="{00000000-0005-0000-0000-0000656F0000}"/>
    <cellStyle name="Normal 2 3 6 3" xfId="28518" xr:uid="{00000000-0005-0000-0000-0000666F0000}"/>
    <cellStyle name="Normal 2 3 6 3 10" xfId="28519" xr:uid="{00000000-0005-0000-0000-0000676F0000}"/>
    <cellStyle name="Normal 2 3 6 3 2" xfId="28520" xr:uid="{00000000-0005-0000-0000-0000686F0000}"/>
    <cellStyle name="Normal 2 3 6 3 3" xfId="28521" xr:uid="{00000000-0005-0000-0000-0000696F0000}"/>
    <cellStyle name="Normal 2 3 6 3 4" xfId="28522" xr:uid="{00000000-0005-0000-0000-00006A6F0000}"/>
    <cellStyle name="Normal 2 3 6 3 5" xfId="28523" xr:uid="{00000000-0005-0000-0000-00006B6F0000}"/>
    <cellStyle name="Normal 2 3 6 3 6" xfId="28524" xr:uid="{00000000-0005-0000-0000-00006C6F0000}"/>
    <cellStyle name="Normal 2 3 6 3 7" xfId="28525" xr:uid="{00000000-0005-0000-0000-00006D6F0000}"/>
    <cellStyle name="Normal 2 3 6 3 8" xfId="28526" xr:uid="{00000000-0005-0000-0000-00006E6F0000}"/>
    <cellStyle name="Normal 2 3 6 3 9" xfId="28527" xr:uid="{00000000-0005-0000-0000-00006F6F0000}"/>
    <cellStyle name="Normal 2 3 6 4" xfId="28528" xr:uid="{00000000-0005-0000-0000-0000706F0000}"/>
    <cellStyle name="Normal 2 3 6 4 10" xfId="28529" xr:uid="{00000000-0005-0000-0000-0000716F0000}"/>
    <cellStyle name="Normal 2 3 6 4 2" xfId="28530" xr:uid="{00000000-0005-0000-0000-0000726F0000}"/>
    <cellStyle name="Normal 2 3 6 4 3" xfId="28531" xr:uid="{00000000-0005-0000-0000-0000736F0000}"/>
    <cellStyle name="Normal 2 3 6 4 4" xfId="28532" xr:uid="{00000000-0005-0000-0000-0000746F0000}"/>
    <cellStyle name="Normal 2 3 6 4 5" xfId="28533" xr:uid="{00000000-0005-0000-0000-0000756F0000}"/>
    <cellStyle name="Normal 2 3 6 4 6" xfId="28534" xr:uid="{00000000-0005-0000-0000-0000766F0000}"/>
    <cellStyle name="Normal 2 3 6 4 7" xfId="28535" xr:uid="{00000000-0005-0000-0000-0000776F0000}"/>
    <cellStyle name="Normal 2 3 6 4 8" xfId="28536" xr:uid="{00000000-0005-0000-0000-0000786F0000}"/>
    <cellStyle name="Normal 2 3 6 4 9" xfId="28537" xr:uid="{00000000-0005-0000-0000-0000796F0000}"/>
    <cellStyle name="Normal 2 3 6 5" xfId="28538" xr:uid="{00000000-0005-0000-0000-00007A6F0000}"/>
    <cellStyle name="Normal 2 3 6 5 10" xfId="28539" xr:uid="{00000000-0005-0000-0000-00007B6F0000}"/>
    <cellStyle name="Normal 2 3 6 5 2" xfId="28540" xr:uid="{00000000-0005-0000-0000-00007C6F0000}"/>
    <cellStyle name="Normal 2 3 6 5 3" xfId="28541" xr:uid="{00000000-0005-0000-0000-00007D6F0000}"/>
    <cellStyle name="Normal 2 3 6 5 4" xfId="28542" xr:uid="{00000000-0005-0000-0000-00007E6F0000}"/>
    <cellStyle name="Normal 2 3 6 5 5" xfId="28543" xr:uid="{00000000-0005-0000-0000-00007F6F0000}"/>
    <cellStyle name="Normal 2 3 6 5 6" xfId="28544" xr:uid="{00000000-0005-0000-0000-0000806F0000}"/>
    <cellStyle name="Normal 2 3 6 5 7" xfId="28545" xr:uid="{00000000-0005-0000-0000-0000816F0000}"/>
    <cellStyle name="Normal 2 3 6 5 8" xfId="28546" xr:uid="{00000000-0005-0000-0000-0000826F0000}"/>
    <cellStyle name="Normal 2 3 6 5 9" xfId="28547" xr:uid="{00000000-0005-0000-0000-0000836F0000}"/>
    <cellStyle name="Normal 2 3 6 6" xfId="28548" xr:uid="{00000000-0005-0000-0000-0000846F0000}"/>
    <cellStyle name="Normal 2 3 6 7" xfId="28549" xr:uid="{00000000-0005-0000-0000-0000856F0000}"/>
    <cellStyle name="Normal 2 3 6 8" xfId="28550" xr:uid="{00000000-0005-0000-0000-0000866F0000}"/>
    <cellStyle name="Normal 2 3 6 9" xfId="28551" xr:uid="{00000000-0005-0000-0000-0000876F0000}"/>
    <cellStyle name="Normal 2 3 7" xfId="28552" xr:uid="{00000000-0005-0000-0000-0000886F0000}"/>
    <cellStyle name="Normal 2 3 7 10" xfId="28553" xr:uid="{00000000-0005-0000-0000-0000896F0000}"/>
    <cellStyle name="Normal 2 3 7 11" xfId="28554" xr:uid="{00000000-0005-0000-0000-00008A6F0000}"/>
    <cellStyle name="Normal 2 3 7 12" xfId="28555" xr:uid="{00000000-0005-0000-0000-00008B6F0000}"/>
    <cellStyle name="Normal 2 3 7 13" xfId="28556" xr:uid="{00000000-0005-0000-0000-00008C6F0000}"/>
    <cellStyle name="Normal 2 3 7 14" xfId="28557" xr:uid="{00000000-0005-0000-0000-00008D6F0000}"/>
    <cellStyle name="Normal 2 3 7 2" xfId="28558" xr:uid="{00000000-0005-0000-0000-00008E6F0000}"/>
    <cellStyle name="Normal 2 3 7 2 10" xfId="28559" xr:uid="{00000000-0005-0000-0000-00008F6F0000}"/>
    <cellStyle name="Normal 2 3 7 2 2" xfId="28560" xr:uid="{00000000-0005-0000-0000-0000906F0000}"/>
    <cellStyle name="Normal 2 3 7 2 3" xfId="28561" xr:uid="{00000000-0005-0000-0000-0000916F0000}"/>
    <cellStyle name="Normal 2 3 7 2 4" xfId="28562" xr:uid="{00000000-0005-0000-0000-0000926F0000}"/>
    <cellStyle name="Normal 2 3 7 2 5" xfId="28563" xr:uid="{00000000-0005-0000-0000-0000936F0000}"/>
    <cellStyle name="Normal 2 3 7 2 6" xfId="28564" xr:uid="{00000000-0005-0000-0000-0000946F0000}"/>
    <cellStyle name="Normal 2 3 7 2 7" xfId="28565" xr:uid="{00000000-0005-0000-0000-0000956F0000}"/>
    <cellStyle name="Normal 2 3 7 2 8" xfId="28566" xr:uid="{00000000-0005-0000-0000-0000966F0000}"/>
    <cellStyle name="Normal 2 3 7 2 9" xfId="28567" xr:uid="{00000000-0005-0000-0000-0000976F0000}"/>
    <cellStyle name="Normal 2 3 7 3" xfId="28568" xr:uid="{00000000-0005-0000-0000-0000986F0000}"/>
    <cellStyle name="Normal 2 3 7 3 10" xfId="28569" xr:uid="{00000000-0005-0000-0000-0000996F0000}"/>
    <cellStyle name="Normal 2 3 7 3 2" xfId="28570" xr:uid="{00000000-0005-0000-0000-00009A6F0000}"/>
    <cellStyle name="Normal 2 3 7 3 3" xfId="28571" xr:uid="{00000000-0005-0000-0000-00009B6F0000}"/>
    <cellStyle name="Normal 2 3 7 3 4" xfId="28572" xr:uid="{00000000-0005-0000-0000-00009C6F0000}"/>
    <cellStyle name="Normal 2 3 7 3 5" xfId="28573" xr:uid="{00000000-0005-0000-0000-00009D6F0000}"/>
    <cellStyle name="Normal 2 3 7 3 6" xfId="28574" xr:uid="{00000000-0005-0000-0000-00009E6F0000}"/>
    <cellStyle name="Normal 2 3 7 3 7" xfId="28575" xr:uid="{00000000-0005-0000-0000-00009F6F0000}"/>
    <cellStyle name="Normal 2 3 7 3 8" xfId="28576" xr:uid="{00000000-0005-0000-0000-0000A06F0000}"/>
    <cellStyle name="Normal 2 3 7 3 9" xfId="28577" xr:uid="{00000000-0005-0000-0000-0000A16F0000}"/>
    <cellStyle name="Normal 2 3 7 4" xfId="28578" xr:uid="{00000000-0005-0000-0000-0000A26F0000}"/>
    <cellStyle name="Normal 2 3 7 4 10" xfId="28579" xr:uid="{00000000-0005-0000-0000-0000A36F0000}"/>
    <cellStyle name="Normal 2 3 7 4 2" xfId="28580" xr:uid="{00000000-0005-0000-0000-0000A46F0000}"/>
    <cellStyle name="Normal 2 3 7 4 3" xfId="28581" xr:uid="{00000000-0005-0000-0000-0000A56F0000}"/>
    <cellStyle name="Normal 2 3 7 4 4" xfId="28582" xr:uid="{00000000-0005-0000-0000-0000A66F0000}"/>
    <cellStyle name="Normal 2 3 7 4 5" xfId="28583" xr:uid="{00000000-0005-0000-0000-0000A76F0000}"/>
    <cellStyle name="Normal 2 3 7 4 6" xfId="28584" xr:uid="{00000000-0005-0000-0000-0000A86F0000}"/>
    <cellStyle name="Normal 2 3 7 4 7" xfId="28585" xr:uid="{00000000-0005-0000-0000-0000A96F0000}"/>
    <cellStyle name="Normal 2 3 7 4 8" xfId="28586" xr:uid="{00000000-0005-0000-0000-0000AA6F0000}"/>
    <cellStyle name="Normal 2 3 7 4 9" xfId="28587" xr:uid="{00000000-0005-0000-0000-0000AB6F0000}"/>
    <cellStyle name="Normal 2 3 7 5" xfId="28588" xr:uid="{00000000-0005-0000-0000-0000AC6F0000}"/>
    <cellStyle name="Normal 2 3 7 5 10" xfId="28589" xr:uid="{00000000-0005-0000-0000-0000AD6F0000}"/>
    <cellStyle name="Normal 2 3 7 5 2" xfId="28590" xr:uid="{00000000-0005-0000-0000-0000AE6F0000}"/>
    <cellStyle name="Normal 2 3 7 5 3" xfId="28591" xr:uid="{00000000-0005-0000-0000-0000AF6F0000}"/>
    <cellStyle name="Normal 2 3 7 5 4" xfId="28592" xr:uid="{00000000-0005-0000-0000-0000B06F0000}"/>
    <cellStyle name="Normal 2 3 7 5 5" xfId="28593" xr:uid="{00000000-0005-0000-0000-0000B16F0000}"/>
    <cellStyle name="Normal 2 3 7 5 6" xfId="28594" xr:uid="{00000000-0005-0000-0000-0000B26F0000}"/>
    <cellStyle name="Normal 2 3 7 5 7" xfId="28595" xr:uid="{00000000-0005-0000-0000-0000B36F0000}"/>
    <cellStyle name="Normal 2 3 7 5 8" xfId="28596" xr:uid="{00000000-0005-0000-0000-0000B46F0000}"/>
    <cellStyle name="Normal 2 3 7 5 9" xfId="28597" xr:uid="{00000000-0005-0000-0000-0000B56F0000}"/>
    <cellStyle name="Normal 2 3 7 6" xfId="28598" xr:uid="{00000000-0005-0000-0000-0000B66F0000}"/>
    <cellStyle name="Normal 2 3 7 7" xfId="28599" xr:uid="{00000000-0005-0000-0000-0000B76F0000}"/>
    <cellStyle name="Normal 2 3 7 8" xfId="28600" xr:uid="{00000000-0005-0000-0000-0000B86F0000}"/>
    <cellStyle name="Normal 2 3 7 9" xfId="28601" xr:uid="{00000000-0005-0000-0000-0000B96F0000}"/>
    <cellStyle name="Normal 2 3 8" xfId="28602" xr:uid="{00000000-0005-0000-0000-0000BA6F0000}"/>
    <cellStyle name="Normal 2 3 8 10" xfId="28603" xr:uid="{00000000-0005-0000-0000-0000BB6F0000}"/>
    <cellStyle name="Normal 2 3 8 11" xfId="28604" xr:uid="{00000000-0005-0000-0000-0000BC6F0000}"/>
    <cellStyle name="Normal 2 3 8 12" xfId="28605" xr:uid="{00000000-0005-0000-0000-0000BD6F0000}"/>
    <cellStyle name="Normal 2 3 8 13" xfId="28606" xr:uid="{00000000-0005-0000-0000-0000BE6F0000}"/>
    <cellStyle name="Normal 2 3 8 14" xfId="28607" xr:uid="{00000000-0005-0000-0000-0000BF6F0000}"/>
    <cellStyle name="Normal 2 3 8 2" xfId="28608" xr:uid="{00000000-0005-0000-0000-0000C06F0000}"/>
    <cellStyle name="Normal 2 3 8 2 10" xfId="28609" xr:uid="{00000000-0005-0000-0000-0000C16F0000}"/>
    <cellStyle name="Normal 2 3 8 2 2" xfId="28610" xr:uid="{00000000-0005-0000-0000-0000C26F0000}"/>
    <cellStyle name="Normal 2 3 8 2 3" xfId="28611" xr:uid="{00000000-0005-0000-0000-0000C36F0000}"/>
    <cellStyle name="Normal 2 3 8 2 4" xfId="28612" xr:uid="{00000000-0005-0000-0000-0000C46F0000}"/>
    <cellStyle name="Normal 2 3 8 2 5" xfId="28613" xr:uid="{00000000-0005-0000-0000-0000C56F0000}"/>
    <cellStyle name="Normal 2 3 8 2 6" xfId="28614" xr:uid="{00000000-0005-0000-0000-0000C66F0000}"/>
    <cellStyle name="Normal 2 3 8 2 7" xfId="28615" xr:uid="{00000000-0005-0000-0000-0000C76F0000}"/>
    <cellStyle name="Normal 2 3 8 2 8" xfId="28616" xr:uid="{00000000-0005-0000-0000-0000C86F0000}"/>
    <cellStyle name="Normal 2 3 8 2 9" xfId="28617" xr:uid="{00000000-0005-0000-0000-0000C96F0000}"/>
    <cellStyle name="Normal 2 3 8 3" xfId="28618" xr:uid="{00000000-0005-0000-0000-0000CA6F0000}"/>
    <cellStyle name="Normal 2 3 8 3 10" xfId="28619" xr:uid="{00000000-0005-0000-0000-0000CB6F0000}"/>
    <cellStyle name="Normal 2 3 8 3 2" xfId="28620" xr:uid="{00000000-0005-0000-0000-0000CC6F0000}"/>
    <cellStyle name="Normal 2 3 8 3 3" xfId="28621" xr:uid="{00000000-0005-0000-0000-0000CD6F0000}"/>
    <cellStyle name="Normal 2 3 8 3 4" xfId="28622" xr:uid="{00000000-0005-0000-0000-0000CE6F0000}"/>
    <cellStyle name="Normal 2 3 8 3 5" xfId="28623" xr:uid="{00000000-0005-0000-0000-0000CF6F0000}"/>
    <cellStyle name="Normal 2 3 8 3 6" xfId="28624" xr:uid="{00000000-0005-0000-0000-0000D06F0000}"/>
    <cellStyle name="Normal 2 3 8 3 7" xfId="28625" xr:uid="{00000000-0005-0000-0000-0000D16F0000}"/>
    <cellStyle name="Normal 2 3 8 3 8" xfId="28626" xr:uid="{00000000-0005-0000-0000-0000D26F0000}"/>
    <cellStyle name="Normal 2 3 8 3 9" xfId="28627" xr:uid="{00000000-0005-0000-0000-0000D36F0000}"/>
    <cellStyle name="Normal 2 3 8 4" xfId="28628" xr:uid="{00000000-0005-0000-0000-0000D46F0000}"/>
    <cellStyle name="Normal 2 3 8 4 10" xfId="28629" xr:uid="{00000000-0005-0000-0000-0000D56F0000}"/>
    <cellStyle name="Normal 2 3 8 4 2" xfId="28630" xr:uid="{00000000-0005-0000-0000-0000D66F0000}"/>
    <cellStyle name="Normal 2 3 8 4 3" xfId="28631" xr:uid="{00000000-0005-0000-0000-0000D76F0000}"/>
    <cellStyle name="Normal 2 3 8 4 4" xfId="28632" xr:uid="{00000000-0005-0000-0000-0000D86F0000}"/>
    <cellStyle name="Normal 2 3 8 4 5" xfId="28633" xr:uid="{00000000-0005-0000-0000-0000D96F0000}"/>
    <cellStyle name="Normal 2 3 8 4 6" xfId="28634" xr:uid="{00000000-0005-0000-0000-0000DA6F0000}"/>
    <cellStyle name="Normal 2 3 8 4 7" xfId="28635" xr:uid="{00000000-0005-0000-0000-0000DB6F0000}"/>
    <cellStyle name="Normal 2 3 8 4 8" xfId="28636" xr:uid="{00000000-0005-0000-0000-0000DC6F0000}"/>
    <cellStyle name="Normal 2 3 8 4 9" xfId="28637" xr:uid="{00000000-0005-0000-0000-0000DD6F0000}"/>
    <cellStyle name="Normal 2 3 8 5" xfId="28638" xr:uid="{00000000-0005-0000-0000-0000DE6F0000}"/>
    <cellStyle name="Normal 2 3 8 5 10" xfId="28639" xr:uid="{00000000-0005-0000-0000-0000DF6F0000}"/>
    <cellStyle name="Normal 2 3 8 5 2" xfId="28640" xr:uid="{00000000-0005-0000-0000-0000E06F0000}"/>
    <cellStyle name="Normal 2 3 8 5 3" xfId="28641" xr:uid="{00000000-0005-0000-0000-0000E16F0000}"/>
    <cellStyle name="Normal 2 3 8 5 4" xfId="28642" xr:uid="{00000000-0005-0000-0000-0000E26F0000}"/>
    <cellStyle name="Normal 2 3 8 5 5" xfId="28643" xr:uid="{00000000-0005-0000-0000-0000E36F0000}"/>
    <cellStyle name="Normal 2 3 8 5 6" xfId="28644" xr:uid="{00000000-0005-0000-0000-0000E46F0000}"/>
    <cellStyle name="Normal 2 3 8 5 7" xfId="28645" xr:uid="{00000000-0005-0000-0000-0000E56F0000}"/>
    <cellStyle name="Normal 2 3 8 5 8" xfId="28646" xr:uid="{00000000-0005-0000-0000-0000E66F0000}"/>
    <cellStyle name="Normal 2 3 8 5 9" xfId="28647" xr:uid="{00000000-0005-0000-0000-0000E76F0000}"/>
    <cellStyle name="Normal 2 3 8 6" xfId="28648" xr:uid="{00000000-0005-0000-0000-0000E86F0000}"/>
    <cellStyle name="Normal 2 3 8 7" xfId="28649" xr:uid="{00000000-0005-0000-0000-0000E96F0000}"/>
    <cellStyle name="Normal 2 3 8 8" xfId="28650" xr:uid="{00000000-0005-0000-0000-0000EA6F0000}"/>
    <cellStyle name="Normal 2 3 8 9" xfId="28651" xr:uid="{00000000-0005-0000-0000-0000EB6F0000}"/>
    <cellStyle name="Normal 2 3 9" xfId="28652" xr:uid="{00000000-0005-0000-0000-0000EC6F0000}"/>
    <cellStyle name="Normal 2 3 9 10" xfId="28653" xr:uid="{00000000-0005-0000-0000-0000ED6F0000}"/>
    <cellStyle name="Normal 2 3 9 11" xfId="28654" xr:uid="{00000000-0005-0000-0000-0000EE6F0000}"/>
    <cellStyle name="Normal 2 3 9 12" xfId="28655" xr:uid="{00000000-0005-0000-0000-0000EF6F0000}"/>
    <cellStyle name="Normal 2 3 9 13" xfId="28656" xr:uid="{00000000-0005-0000-0000-0000F06F0000}"/>
    <cellStyle name="Normal 2 3 9 14" xfId="28657" xr:uid="{00000000-0005-0000-0000-0000F16F0000}"/>
    <cellStyle name="Normal 2 3 9 2" xfId="28658" xr:uid="{00000000-0005-0000-0000-0000F26F0000}"/>
    <cellStyle name="Normal 2 3 9 2 10" xfId="28659" xr:uid="{00000000-0005-0000-0000-0000F36F0000}"/>
    <cellStyle name="Normal 2 3 9 2 2" xfId="28660" xr:uid="{00000000-0005-0000-0000-0000F46F0000}"/>
    <cellStyle name="Normal 2 3 9 2 3" xfId="28661" xr:uid="{00000000-0005-0000-0000-0000F56F0000}"/>
    <cellStyle name="Normal 2 3 9 2 4" xfId="28662" xr:uid="{00000000-0005-0000-0000-0000F66F0000}"/>
    <cellStyle name="Normal 2 3 9 2 5" xfId="28663" xr:uid="{00000000-0005-0000-0000-0000F76F0000}"/>
    <cellStyle name="Normal 2 3 9 2 6" xfId="28664" xr:uid="{00000000-0005-0000-0000-0000F86F0000}"/>
    <cellStyle name="Normal 2 3 9 2 7" xfId="28665" xr:uid="{00000000-0005-0000-0000-0000F96F0000}"/>
    <cellStyle name="Normal 2 3 9 2 8" xfId="28666" xr:uid="{00000000-0005-0000-0000-0000FA6F0000}"/>
    <cellStyle name="Normal 2 3 9 2 9" xfId="28667" xr:uid="{00000000-0005-0000-0000-0000FB6F0000}"/>
    <cellStyle name="Normal 2 3 9 3" xfId="28668" xr:uid="{00000000-0005-0000-0000-0000FC6F0000}"/>
    <cellStyle name="Normal 2 3 9 3 10" xfId="28669" xr:uid="{00000000-0005-0000-0000-0000FD6F0000}"/>
    <cellStyle name="Normal 2 3 9 3 2" xfId="28670" xr:uid="{00000000-0005-0000-0000-0000FE6F0000}"/>
    <cellStyle name="Normal 2 3 9 3 3" xfId="28671" xr:uid="{00000000-0005-0000-0000-0000FF6F0000}"/>
    <cellStyle name="Normal 2 3 9 3 4" xfId="28672" xr:uid="{00000000-0005-0000-0000-000000700000}"/>
    <cellStyle name="Normal 2 3 9 3 5" xfId="28673" xr:uid="{00000000-0005-0000-0000-000001700000}"/>
    <cellStyle name="Normal 2 3 9 3 6" xfId="28674" xr:uid="{00000000-0005-0000-0000-000002700000}"/>
    <cellStyle name="Normal 2 3 9 3 7" xfId="28675" xr:uid="{00000000-0005-0000-0000-000003700000}"/>
    <cellStyle name="Normal 2 3 9 3 8" xfId="28676" xr:uid="{00000000-0005-0000-0000-000004700000}"/>
    <cellStyle name="Normal 2 3 9 3 9" xfId="28677" xr:uid="{00000000-0005-0000-0000-000005700000}"/>
    <cellStyle name="Normal 2 3 9 4" xfId="28678" xr:uid="{00000000-0005-0000-0000-000006700000}"/>
    <cellStyle name="Normal 2 3 9 4 10" xfId="28679" xr:uid="{00000000-0005-0000-0000-000007700000}"/>
    <cellStyle name="Normal 2 3 9 4 2" xfId="28680" xr:uid="{00000000-0005-0000-0000-000008700000}"/>
    <cellStyle name="Normal 2 3 9 4 3" xfId="28681" xr:uid="{00000000-0005-0000-0000-000009700000}"/>
    <cellStyle name="Normal 2 3 9 4 4" xfId="28682" xr:uid="{00000000-0005-0000-0000-00000A700000}"/>
    <cellStyle name="Normal 2 3 9 4 5" xfId="28683" xr:uid="{00000000-0005-0000-0000-00000B700000}"/>
    <cellStyle name="Normal 2 3 9 4 6" xfId="28684" xr:uid="{00000000-0005-0000-0000-00000C700000}"/>
    <cellStyle name="Normal 2 3 9 4 7" xfId="28685" xr:uid="{00000000-0005-0000-0000-00000D700000}"/>
    <cellStyle name="Normal 2 3 9 4 8" xfId="28686" xr:uid="{00000000-0005-0000-0000-00000E700000}"/>
    <cellStyle name="Normal 2 3 9 4 9" xfId="28687" xr:uid="{00000000-0005-0000-0000-00000F700000}"/>
    <cellStyle name="Normal 2 3 9 5" xfId="28688" xr:uid="{00000000-0005-0000-0000-000010700000}"/>
    <cellStyle name="Normal 2 3 9 5 10" xfId="28689" xr:uid="{00000000-0005-0000-0000-000011700000}"/>
    <cellStyle name="Normal 2 3 9 5 2" xfId="28690" xr:uid="{00000000-0005-0000-0000-000012700000}"/>
    <cellStyle name="Normal 2 3 9 5 3" xfId="28691" xr:uid="{00000000-0005-0000-0000-000013700000}"/>
    <cellStyle name="Normal 2 3 9 5 4" xfId="28692" xr:uid="{00000000-0005-0000-0000-000014700000}"/>
    <cellStyle name="Normal 2 3 9 5 5" xfId="28693" xr:uid="{00000000-0005-0000-0000-000015700000}"/>
    <cellStyle name="Normal 2 3 9 5 6" xfId="28694" xr:uid="{00000000-0005-0000-0000-000016700000}"/>
    <cellStyle name="Normal 2 3 9 5 7" xfId="28695" xr:uid="{00000000-0005-0000-0000-000017700000}"/>
    <cellStyle name="Normal 2 3 9 5 8" xfId="28696" xr:uid="{00000000-0005-0000-0000-000018700000}"/>
    <cellStyle name="Normal 2 3 9 5 9" xfId="28697" xr:uid="{00000000-0005-0000-0000-000019700000}"/>
    <cellStyle name="Normal 2 3 9 6" xfId="28698" xr:uid="{00000000-0005-0000-0000-00001A700000}"/>
    <cellStyle name="Normal 2 3 9 7" xfId="28699" xr:uid="{00000000-0005-0000-0000-00001B700000}"/>
    <cellStyle name="Normal 2 3 9 8" xfId="28700" xr:uid="{00000000-0005-0000-0000-00001C700000}"/>
    <cellStyle name="Normal 2 3 9 9" xfId="28701" xr:uid="{00000000-0005-0000-0000-00001D700000}"/>
    <cellStyle name="Normal 2 30" xfId="28702" xr:uid="{00000000-0005-0000-0000-00001E700000}"/>
    <cellStyle name="Normal 2 30 2" xfId="28703" xr:uid="{00000000-0005-0000-0000-00001F700000}"/>
    <cellStyle name="Normal 2 30 3" xfId="28704" xr:uid="{00000000-0005-0000-0000-000020700000}"/>
    <cellStyle name="Normal 2 31" xfId="28705" xr:uid="{00000000-0005-0000-0000-000021700000}"/>
    <cellStyle name="Normal 2 31 2" xfId="28706" xr:uid="{00000000-0005-0000-0000-000022700000}"/>
    <cellStyle name="Normal 2 31 2 2" xfId="28707" xr:uid="{00000000-0005-0000-0000-000023700000}"/>
    <cellStyle name="Normal 2 31 3" xfId="28708" xr:uid="{00000000-0005-0000-0000-000024700000}"/>
    <cellStyle name="Normal 2 32" xfId="28709" xr:uid="{00000000-0005-0000-0000-000025700000}"/>
    <cellStyle name="Normal 2 32 2" xfId="28710" xr:uid="{00000000-0005-0000-0000-000026700000}"/>
    <cellStyle name="Normal 2 32 2 2" xfId="28711" xr:uid="{00000000-0005-0000-0000-000027700000}"/>
    <cellStyle name="Normal 2 32 3" xfId="28712" xr:uid="{00000000-0005-0000-0000-000028700000}"/>
    <cellStyle name="Normal 2 33" xfId="28713" xr:uid="{00000000-0005-0000-0000-000029700000}"/>
    <cellStyle name="Normal 2 33 2" xfId="28714" xr:uid="{00000000-0005-0000-0000-00002A700000}"/>
    <cellStyle name="Normal 2 33 2 2" xfId="28715" xr:uid="{00000000-0005-0000-0000-00002B700000}"/>
    <cellStyle name="Normal 2 33 2 2 2" xfId="28716" xr:uid="{00000000-0005-0000-0000-00002C700000}"/>
    <cellStyle name="Normal 2 33 2 2 2 2" xfId="28717" xr:uid="{00000000-0005-0000-0000-00002D700000}"/>
    <cellStyle name="Normal 2 33 2 3" xfId="28718" xr:uid="{00000000-0005-0000-0000-00002E700000}"/>
    <cellStyle name="Normal 2 33 2 4" xfId="28719" xr:uid="{00000000-0005-0000-0000-00002F700000}"/>
    <cellStyle name="Normal 2 33 3" xfId="28720" xr:uid="{00000000-0005-0000-0000-000030700000}"/>
    <cellStyle name="Normal 2 33 3 2" xfId="28721" xr:uid="{00000000-0005-0000-0000-000031700000}"/>
    <cellStyle name="Normal 2 33 3 3" xfId="28722" xr:uid="{00000000-0005-0000-0000-000032700000}"/>
    <cellStyle name="Normal 2 33 4" xfId="28723" xr:uid="{00000000-0005-0000-0000-000033700000}"/>
    <cellStyle name="Normal 2 34" xfId="28724" xr:uid="{00000000-0005-0000-0000-000034700000}"/>
    <cellStyle name="Normal 2 34 2" xfId="28725" xr:uid="{00000000-0005-0000-0000-000035700000}"/>
    <cellStyle name="Normal 2 34 2 2" xfId="28726" xr:uid="{00000000-0005-0000-0000-000036700000}"/>
    <cellStyle name="Normal 2 34 3" xfId="28727" xr:uid="{00000000-0005-0000-0000-000037700000}"/>
    <cellStyle name="Normal 2 35" xfId="28728" xr:uid="{00000000-0005-0000-0000-000038700000}"/>
    <cellStyle name="Normal 2 35 2" xfId="28729" xr:uid="{00000000-0005-0000-0000-000039700000}"/>
    <cellStyle name="Normal 2 35 2 2" xfId="28730" xr:uid="{00000000-0005-0000-0000-00003A700000}"/>
    <cellStyle name="Normal 2 35 3" xfId="28731" xr:uid="{00000000-0005-0000-0000-00003B700000}"/>
    <cellStyle name="Normal 2 36" xfId="28732" xr:uid="{00000000-0005-0000-0000-00003C700000}"/>
    <cellStyle name="Normal 2 36 2" xfId="28733" xr:uid="{00000000-0005-0000-0000-00003D700000}"/>
    <cellStyle name="Normal 2 36 2 2" xfId="28734" xr:uid="{00000000-0005-0000-0000-00003E700000}"/>
    <cellStyle name="Normal 2 36 3" xfId="28735" xr:uid="{00000000-0005-0000-0000-00003F700000}"/>
    <cellStyle name="Normal 2 37" xfId="28736" xr:uid="{00000000-0005-0000-0000-000040700000}"/>
    <cellStyle name="Normal 2 37 2" xfId="28737" xr:uid="{00000000-0005-0000-0000-000041700000}"/>
    <cellStyle name="Normal 2 37 3" xfId="28738" xr:uid="{00000000-0005-0000-0000-000042700000}"/>
    <cellStyle name="Normal 2 38" xfId="28739" xr:uid="{00000000-0005-0000-0000-000043700000}"/>
    <cellStyle name="Normal 2 38 2" xfId="28740" xr:uid="{00000000-0005-0000-0000-000044700000}"/>
    <cellStyle name="Normal 2 38 3" xfId="28741" xr:uid="{00000000-0005-0000-0000-000045700000}"/>
    <cellStyle name="Normal 2 39" xfId="28742" xr:uid="{00000000-0005-0000-0000-000046700000}"/>
    <cellStyle name="Normal 2 39 2" xfId="28743" xr:uid="{00000000-0005-0000-0000-000047700000}"/>
    <cellStyle name="Normal 2 39 3" xfId="28744" xr:uid="{00000000-0005-0000-0000-000048700000}"/>
    <cellStyle name="Normal 2 4" xfId="11" xr:uid="{00000000-0005-0000-0000-00000B000000}"/>
    <cellStyle name="Normal 2 4 10" xfId="28745" xr:uid="{00000000-0005-0000-0000-000049700000}"/>
    <cellStyle name="Normal 2 4 11" xfId="28746" xr:uid="{00000000-0005-0000-0000-00004A700000}"/>
    <cellStyle name="Normal 2 4 12" xfId="28747" xr:uid="{00000000-0005-0000-0000-00004B700000}"/>
    <cellStyle name="Normal 2 4 13" xfId="28748" xr:uid="{00000000-0005-0000-0000-00004C700000}"/>
    <cellStyle name="Normal 2 4 14" xfId="28749" xr:uid="{00000000-0005-0000-0000-00004D700000}"/>
    <cellStyle name="Normal 2 4 15" xfId="28750" xr:uid="{00000000-0005-0000-0000-00004E700000}"/>
    <cellStyle name="Normal 2 4 16" xfId="28751" xr:uid="{00000000-0005-0000-0000-00004F700000}"/>
    <cellStyle name="Normal 2 4 17" xfId="28752" xr:uid="{00000000-0005-0000-0000-000050700000}"/>
    <cellStyle name="Normal 2 4 18" xfId="28753" xr:uid="{00000000-0005-0000-0000-000051700000}"/>
    <cellStyle name="Normal 2 4 19" xfId="28754" xr:uid="{00000000-0005-0000-0000-000052700000}"/>
    <cellStyle name="Normal 2 4 2" xfId="56" xr:uid="{00000000-0005-0000-0000-000038000000}"/>
    <cellStyle name="Normal 2 4 2 10" xfId="28756" xr:uid="{00000000-0005-0000-0000-000054700000}"/>
    <cellStyle name="Normal 2 4 2 11" xfId="28757" xr:uid="{00000000-0005-0000-0000-000055700000}"/>
    <cellStyle name="Normal 2 4 2 12" xfId="28758" xr:uid="{00000000-0005-0000-0000-000056700000}"/>
    <cellStyle name="Normal 2 4 2 13" xfId="28759" xr:uid="{00000000-0005-0000-0000-000057700000}"/>
    <cellStyle name="Normal 2 4 2 14" xfId="28760" xr:uid="{00000000-0005-0000-0000-000058700000}"/>
    <cellStyle name="Normal 2 4 2 15" xfId="28761" xr:uid="{00000000-0005-0000-0000-000059700000}"/>
    <cellStyle name="Normal 2 4 2 16" xfId="28762" xr:uid="{00000000-0005-0000-0000-00005A700000}"/>
    <cellStyle name="Normal 2 4 2 17" xfId="28763" xr:uid="{00000000-0005-0000-0000-00005B700000}"/>
    <cellStyle name="Normal 2 4 2 18" xfId="28764" xr:uid="{00000000-0005-0000-0000-00005C700000}"/>
    <cellStyle name="Normal 2 4 2 18 2" xfId="28765" xr:uid="{00000000-0005-0000-0000-00005D700000}"/>
    <cellStyle name="Normal 2 4 2 18 2 2" xfId="28766" xr:uid="{00000000-0005-0000-0000-00005E700000}"/>
    <cellStyle name="Normal 2 4 2 18 2 2 2" xfId="28767" xr:uid="{00000000-0005-0000-0000-00005F700000}"/>
    <cellStyle name="Normal 2 4 2 18 2 2 2 2" xfId="28768" xr:uid="{00000000-0005-0000-0000-000060700000}"/>
    <cellStyle name="Normal 2 4 2 18 2 3" xfId="28769" xr:uid="{00000000-0005-0000-0000-000061700000}"/>
    <cellStyle name="Normal 2 4 2 18 3" xfId="28770" xr:uid="{00000000-0005-0000-0000-000062700000}"/>
    <cellStyle name="Normal 2 4 2 18 3 2" xfId="28771" xr:uid="{00000000-0005-0000-0000-000063700000}"/>
    <cellStyle name="Normal 2 4 2 19" xfId="28772" xr:uid="{00000000-0005-0000-0000-000064700000}"/>
    <cellStyle name="Normal 2 4 2 2" xfId="28773" xr:uid="{00000000-0005-0000-0000-000065700000}"/>
    <cellStyle name="Normal 2 4 2 2 2" xfId="28774" xr:uid="{00000000-0005-0000-0000-000066700000}"/>
    <cellStyle name="Normal 2 4 2 20" xfId="28775" xr:uid="{00000000-0005-0000-0000-000067700000}"/>
    <cellStyle name="Normal 2 4 2 21" xfId="28755" xr:uid="{00000000-0005-0000-0000-000053700000}"/>
    <cellStyle name="Normal 2 4 2 3" xfId="28776" xr:uid="{00000000-0005-0000-0000-000068700000}"/>
    <cellStyle name="Normal 2 4 2 4" xfId="28777" xr:uid="{00000000-0005-0000-0000-000069700000}"/>
    <cellStyle name="Normal 2 4 2 5" xfId="28778" xr:uid="{00000000-0005-0000-0000-00006A700000}"/>
    <cellStyle name="Normal 2 4 2 6" xfId="28779" xr:uid="{00000000-0005-0000-0000-00006B700000}"/>
    <cellStyle name="Normal 2 4 2 7" xfId="28780" xr:uid="{00000000-0005-0000-0000-00006C700000}"/>
    <cellStyle name="Normal 2 4 2 8" xfId="28781" xr:uid="{00000000-0005-0000-0000-00006D700000}"/>
    <cellStyle name="Normal 2 4 2 9" xfId="28782" xr:uid="{00000000-0005-0000-0000-00006E700000}"/>
    <cellStyle name="Normal 2 4 3" xfId="28783" xr:uid="{00000000-0005-0000-0000-00006F700000}"/>
    <cellStyle name="Normal 2 4 3 2" xfId="28784" xr:uid="{00000000-0005-0000-0000-000070700000}"/>
    <cellStyle name="Normal 2 4 3 3" xfId="28785" xr:uid="{00000000-0005-0000-0000-000071700000}"/>
    <cellStyle name="Normal 2 4 4" xfId="28786" xr:uid="{00000000-0005-0000-0000-000072700000}"/>
    <cellStyle name="Normal 2 4 4 2" xfId="28787" xr:uid="{00000000-0005-0000-0000-000073700000}"/>
    <cellStyle name="Normal 2 4 4 3" xfId="28788" xr:uid="{00000000-0005-0000-0000-000074700000}"/>
    <cellStyle name="Normal 2 4 5" xfId="28789" xr:uid="{00000000-0005-0000-0000-000075700000}"/>
    <cellStyle name="Normal 2 4 5 2" xfId="28790" xr:uid="{00000000-0005-0000-0000-000076700000}"/>
    <cellStyle name="Normal 2 4 6" xfId="28791" xr:uid="{00000000-0005-0000-0000-000077700000}"/>
    <cellStyle name="Normal 2 4 6 2" xfId="28792" xr:uid="{00000000-0005-0000-0000-000078700000}"/>
    <cellStyle name="Normal 2 4 7" xfId="28793" xr:uid="{00000000-0005-0000-0000-000079700000}"/>
    <cellStyle name="Normal 2 4 8" xfId="28794" xr:uid="{00000000-0005-0000-0000-00007A700000}"/>
    <cellStyle name="Normal 2 4 9" xfId="28795" xr:uid="{00000000-0005-0000-0000-00007B700000}"/>
    <cellStyle name="Normal 2 40" xfId="28796" xr:uid="{00000000-0005-0000-0000-00007C700000}"/>
    <cellStyle name="Normal 2 40 2" xfId="28797" xr:uid="{00000000-0005-0000-0000-00007D700000}"/>
    <cellStyle name="Normal 2 40 3" xfId="28798" xr:uid="{00000000-0005-0000-0000-00007E700000}"/>
    <cellStyle name="Normal 2 41" xfId="20" xr:uid="{00000000-0005-0000-0000-000014000000}"/>
    <cellStyle name="Normal 2 41 2" xfId="28799" xr:uid="{00000000-0005-0000-0000-00007F700000}"/>
    <cellStyle name="Normal 2 41 2 2" xfId="28800" xr:uid="{00000000-0005-0000-0000-000080700000}"/>
    <cellStyle name="Normal 2 41 3" xfId="28801" xr:uid="{00000000-0005-0000-0000-000081700000}"/>
    <cellStyle name="Normal 2 41 4" xfId="28802" xr:uid="{00000000-0005-0000-0000-000082700000}"/>
    <cellStyle name="Normal 2 41 5" xfId="28803" xr:uid="{00000000-0005-0000-0000-000083700000}"/>
    <cellStyle name="Normal 2 41 6" xfId="28804" xr:uid="{00000000-0005-0000-0000-000084700000}"/>
    <cellStyle name="Normal 2 41 7" xfId="28805" xr:uid="{00000000-0005-0000-0000-000085700000}"/>
    <cellStyle name="Normal 2 41 8" xfId="28806" xr:uid="{00000000-0005-0000-0000-000086700000}"/>
    <cellStyle name="Normal 2 41 8 2" xfId="28807" xr:uid="{00000000-0005-0000-0000-000087700000}"/>
    <cellStyle name="Normal 2 41 9" xfId="28808" xr:uid="{00000000-0005-0000-0000-000088700000}"/>
    <cellStyle name="Normal 2 42" xfId="28809" xr:uid="{00000000-0005-0000-0000-000089700000}"/>
    <cellStyle name="Normal 2 42 2" xfId="28810" xr:uid="{00000000-0005-0000-0000-00008A700000}"/>
    <cellStyle name="Normal 2 42 3" xfId="28811" xr:uid="{00000000-0005-0000-0000-00008B700000}"/>
    <cellStyle name="Normal 2 42 4" xfId="28812" xr:uid="{00000000-0005-0000-0000-00008C700000}"/>
    <cellStyle name="Normal 2 42 5" xfId="28813" xr:uid="{00000000-0005-0000-0000-00008D700000}"/>
    <cellStyle name="Normal 2 42 6" xfId="28814" xr:uid="{00000000-0005-0000-0000-00008E700000}"/>
    <cellStyle name="Normal 2 42 7" xfId="28815" xr:uid="{00000000-0005-0000-0000-00008F700000}"/>
    <cellStyle name="Normal 2 42 8" xfId="28816" xr:uid="{00000000-0005-0000-0000-000090700000}"/>
    <cellStyle name="Normal 2 43" xfId="28817" xr:uid="{00000000-0005-0000-0000-000091700000}"/>
    <cellStyle name="Normal 2 43 2" xfId="28818" xr:uid="{00000000-0005-0000-0000-000092700000}"/>
    <cellStyle name="Normal 2 43 3" xfId="28819" xr:uid="{00000000-0005-0000-0000-000093700000}"/>
    <cellStyle name="Normal 2 44" xfId="28820" xr:uid="{00000000-0005-0000-0000-000094700000}"/>
    <cellStyle name="Normal 2 44 2" xfId="28821" xr:uid="{00000000-0005-0000-0000-000095700000}"/>
    <cellStyle name="Normal 2 44 3" xfId="28822" xr:uid="{00000000-0005-0000-0000-000096700000}"/>
    <cellStyle name="Normal 2 45" xfId="28823" xr:uid="{00000000-0005-0000-0000-000097700000}"/>
    <cellStyle name="Normal 2 45 2" xfId="28824" xr:uid="{00000000-0005-0000-0000-000098700000}"/>
    <cellStyle name="Normal 2 45 3" xfId="28825" xr:uid="{00000000-0005-0000-0000-000099700000}"/>
    <cellStyle name="Normal 2 46" xfId="28826" xr:uid="{00000000-0005-0000-0000-00009A700000}"/>
    <cellStyle name="Normal 2 46 2" xfId="28827" xr:uid="{00000000-0005-0000-0000-00009B700000}"/>
    <cellStyle name="Normal 2 46 3" xfId="28828" xr:uid="{00000000-0005-0000-0000-00009C700000}"/>
    <cellStyle name="Normal 2 47" xfId="28829" xr:uid="{00000000-0005-0000-0000-00009D700000}"/>
    <cellStyle name="Normal 2 47 2" xfId="28830" xr:uid="{00000000-0005-0000-0000-00009E700000}"/>
    <cellStyle name="Normal 2 47 3" xfId="28831" xr:uid="{00000000-0005-0000-0000-00009F700000}"/>
    <cellStyle name="Normal 2 48" xfId="28832" xr:uid="{00000000-0005-0000-0000-0000A0700000}"/>
    <cellStyle name="Normal 2 48 2" xfId="28833" xr:uid="{00000000-0005-0000-0000-0000A1700000}"/>
    <cellStyle name="Normal 2 48 3" xfId="28834" xr:uid="{00000000-0005-0000-0000-0000A2700000}"/>
    <cellStyle name="Normal 2 49" xfId="28835" xr:uid="{00000000-0005-0000-0000-0000A3700000}"/>
    <cellStyle name="Normal 2 49 2" xfId="28836" xr:uid="{00000000-0005-0000-0000-0000A4700000}"/>
    <cellStyle name="Normal 2 49 3" xfId="28837" xr:uid="{00000000-0005-0000-0000-0000A5700000}"/>
    <cellStyle name="Normal 2 5" xfId="33" xr:uid="{00000000-0005-0000-0000-000021000000}"/>
    <cellStyle name="Normal 2 5 10" xfId="28839" xr:uid="{00000000-0005-0000-0000-0000A7700000}"/>
    <cellStyle name="Normal 2 5 11" xfId="28840" xr:uid="{00000000-0005-0000-0000-0000A8700000}"/>
    <cellStyle name="Normal 2 5 12" xfId="28841" xr:uid="{00000000-0005-0000-0000-0000A9700000}"/>
    <cellStyle name="Normal 2 5 13" xfId="28842" xr:uid="{00000000-0005-0000-0000-0000AA700000}"/>
    <cellStyle name="Normal 2 5 14" xfId="28843" xr:uid="{00000000-0005-0000-0000-0000AB700000}"/>
    <cellStyle name="Normal 2 5 15" xfId="28844" xr:uid="{00000000-0005-0000-0000-0000AC700000}"/>
    <cellStyle name="Normal 2 5 16" xfId="28845" xr:uid="{00000000-0005-0000-0000-0000AD700000}"/>
    <cellStyle name="Normal 2 5 17" xfId="28846" xr:uid="{00000000-0005-0000-0000-0000AE700000}"/>
    <cellStyle name="Normal 2 5 18" xfId="28847" xr:uid="{00000000-0005-0000-0000-0000AF700000}"/>
    <cellStyle name="Normal 2 5 19" xfId="28848" xr:uid="{00000000-0005-0000-0000-0000B0700000}"/>
    <cellStyle name="Normal 2 5 2" xfId="28849" xr:uid="{00000000-0005-0000-0000-0000B1700000}"/>
    <cellStyle name="Normal 2 5 2 10" xfId="28850" xr:uid="{00000000-0005-0000-0000-0000B2700000}"/>
    <cellStyle name="Normal 2 5 2 11" xfId="28851" xr:uid="{00000000-0005-0000-0000-0000B3700000}"/>
    <cellStyle name="Normal 2 5 2 12" xfId="28852" xr:uid="{00000000-0005-0000-0000-0000B4700000}"/>
    <cellStyle name="Normal 2 5 2 13" xfId="28853" xr:uid="{00000000-0005-0000-0000-0000B5700000}"/>
    <cellStyle name="Normal 2 5 2 14" xfId="28854" xr:uid="{00000000-0005-0000-0000-0000B6700000}"/>
    <cellStyle name="Normal 2 5 2 15" xfId="28855" xr:uid="{00000000-0005-0000-0000-0000B7700000}"/>
    <cellStyle name="Normal 2 5 2 16" xfId="28856" xr:uid="{00000000-0005-0000-0000-0000B8700000}"/>
    <cellStyle name="Normal 2 5 2 17" xfId="28857" xr:uid="{00000000-0005-0000-0000-0000B9700000}"/>
    <cellStyle name="Normal 2 5 2 18" xfId="28858" xr:uid="{00000000-0005-0000-0000-0000BA700000}"/>
    <cellStyle name="Normal 2 5 2 19" xfId="28859" xr:uid="{00000000-0005-0000-0000-0000BB700000}"/>
    <cellStyle name="Normal 2 5 2 2" xfId="28860" xr:uid="{00000000-0005-0000-0000-0000BC700000}"/>
    <cellStyle name="Normal 2 5 2 2 10" xfId="28861" xr:uid="{00000000-0005-0000-0000-0000BD700000}"/>
    <cellStyle name="Normal 2 5 2 2 11" xfId="28862" xr:uid="{00000000-0005-0000-0000-0000BE700000}"/>
    <cellStyle name="Normal 2 5 2 2 12" xfId="28863" xr:uid="{00000000-0005-0000-0000-0000BF700000}"/>
    <cellStyle name="Normal 2 5 2 2 13" xfId="28864" xr:uid="{00000000-0005-0000-0000-0000C0700000}"/>
    <cellStyle name="Normal 2 5 2 2 14" xfId="28865" xr:uid="{00000000-0005-0000-0000-0000C1700000}"/>
    <cellStyle name="Normal 2 5 2 2 15" xfId="28866" xr:uid="{00000000-0005-0000-0000-0000C2700000}"/>
    <cellStyle name="Normal 2 5 2 2 16" xfId="28867" xr:uid="{00000000-0005-0000-0000-0000C3700000}"/>
    <cellStyle name="Normal 2 5 2 2 17" xfId="28868" xr:uid="{00000000-0005-0000-0000-0000C4700000}"/>
    <cellStyle name="Normal 2 5 2 2 18" xfId="28869" xr:uid="{00000000-0005-0000-0000-0000C5700000}"/>
    <cellStyle name="Normal 2 5 2 2 19" xfId="28870" xr:uid="{00000000-0005-0000-0000-0000C6700000}"/>
    <cellStyle name="Normal 2 5 2 2 2" xfId="28871" xr:uid="{00000000-0005-0000-0000-0000C7700000}"/>
    <cellStyle name="Normal 2 5 2 2 20" xfId="28872" xr:uid="{00000000-0005-0000-0000-0000C8700000}"/>
    <cellStyle name="Normal 2 5 2 2 3" xfId="28873" xr:uid="{00000000-0005-0000-0000-0000C9700000}"/>
    <cellStyle name="Normal 2 5 2 2 4" xfId="28874" xr:uid="{00000000-0005-0000-0000-0000CA700000}"/>
    <cellStyle name="Normal 2 5 2 2 5" xfId="28875" xr:uid="{00000000-0005-0000-0000-0000CB700000}"/>
    <cellStyle name="Normal 2 5 2 2 6" xfId="28876" xr:uid="{00000000-0005-0000-0000-0000CC700000}"/>
    <cellStyle name="Normal 2 5 2 2 7" xfId="28877" xr:uid="{00000000-0005-0000-0000-0000CD700000}"/>
    <cellStyle name="Normal 2 5 2 2 8" xfId="28878" xr:uid="{00000000-0005-0000-0000-0000CE700000}"/>
    <cellStyle name="Normal 2 5 2 2 9" xfId="28879" xr:uid="{00000000-0005-0000-0000-0000CF700000}"/>
    <cellStyle name="Normal 2 5 2 20" xfId="28880" xr:uid="{00000000-0005-0000-0000-0000D0700000}"/>
    <cellStyle name="Normal 2 5 2 21" xfId="28881" xr:uid="{00000000-0005-0000-0000-0000D1700000}"/>
    <cellStyle name="Normal 2 5 2 22" xfId="28882" xr:uid="{00000000-0005-0000-0000-0000D2700000}"/>
    <cellStyle name="Normal 2 5 2 23" xfId="28883" xr:uid="{00000000-0005-0000-0000-0000D3700000}"/>
    <cellStyle name="Normal 2 5 2 3" xfId="28884" xr:uid="{00000000-0005-0000-0000-0000D4700000}"/>
    <cellStyle name="Normal 2 5 2 4" xfId="28885" xr:uid="{00000000-0005-0000-0000-0000D5700000}"/>
    <cellStyle name="Normal 2 5 2 5" xfId="28886" xr:uid="{00000000-0005-0000-0000-0000D6700000}"/>
    <cellStyle name="Normal 2 5 2 6" xfId="28887" xr:uid="{00000000-0005-0000-0000-0000D7700000}"/>
    <cellStyle name="Normal 2 5 2 7" xfId="28888" xr:uid="{00000000-0005-0000-0000-0000D8700000}"/>
    <cellStyle name="Normal 2 5 2 8" xfId="28889" xr:uid="{00000000-0005-0000-0000-0000D9700000}"/>
    <cellStyle name="Normal 2 5 2 9" xfId="28890" xr:uid="{00000000-0005-0000-0000-0000DA700000}"/>
    <cellStyle name="Normal 2 5 20" xfId="28891" xr:uid="{00000000-0005-0000-0000-0000DB700000}"/>
    <cellStyle name="Normal 2 5 21" xfId="28892" xr:uid="{00000000-0005-0000-0000-0000DC700000}"/>
    <cellStyle name="Normal 2 5 22" xfId="28893" xr:uid="{00000000-0005-0000-0000-0000DD700000}"/>
    <cellStyle name="Normal 2 5 23" xfId="28894" xr:uid="{00000000-0005-0000-0000-0000DE700000}"/>
    <cellStyle name="Normal 2 5 24" xfId="28895" xr:uid="{00000000-0005-0000-0000-0000DF700000}"/>
    <cellStyle name="Normal 2 5 25" xfId="28896" xr:uid="{00000000-0005-0000-0000-0000E0700000}"/>
    <cellStyle name="Normal 2 5 26" xfId="28897" xr:uid="{00000000-0005-0000-0000-0000E1700000}"/>
    <cellStyle name="Normal 2 5 27" xfId="28898" xr:uid="{00000000-0005-0000-0000-0000E2700000}"/>
    <cellStyle name="Normal 2 5 28" xfId="28899" xr:uid="{00000000-0005-0000-0000-0000E3700000}"/>
    <cellStyle name="Normal 2 5 29" xfId="28900" xr:uid="{00000000-0005-0000-0000-0000E4700000}"/>
    <cellStyle name="Normal 2 5 3" xfId="28901" xr:uid="{00000000-0005-0000-0000-0000E5700000}"/>
    <cellStyle name="Normal 2 5 3 2" xfId="28902" xr:uid="{00000000-0005-0000-0000-0000E6700000}"/>
    <cellStyle name="Normal 2 5 3 3" xfId="28903" xr:uid="{00000000-0005-0000-0000-0000E7700000}"/>
    <cellStyle name="Normal 2 5 3 4" xfId="28904" xr:uid="{00000000-0005-0000-0000-0000E8700000}"/>
    <cellStyle name="Normal 2 5 30" xfId="28905" xr:uid="{00000000-0005-0000-0000-0000E9700000}"/>
    <cellStyle name="Normal 2 5 31" xfId="28906" xr:uid="{00000000-0005-0000-0000-0000EA700000}"/>
    <cellStyle name="Normal 2 5 32" xfId="28907" xr:uid="{00000000-0005-0000-0000-0000EB700000}"/>
    <cellStyle name="Normal 2 5 33" xfId="28908" xr:uid="{00000000-0005-0000-0000-0000EC700000}"/>
    <cellStyle name="Normal 2 5 34" xfId="28909" xr:uid="{00000000-0005-0000-0000-0000ED700000}"/>
    <cellStyle name="Normal 2 5 35" xfId="28910" xr:uid="{00000000-0005-0000-0000-0000EE700000}"/>
    <cellStyle name="Normal 2 5 36" xfId="28838" xr:uid="{00000000-0005-0000-0000-0000A6700000}"/>
    <cellStyle name="Normal 2 5 4" xfId="28911" xr:uid="{00000000-0005-0000-0000-0000EF700000}"/>
    <cellStyle name="Normal 2 5 4 2" xfId="28912" xr:uid="{00000000-0005-0000-0000-0000F0700000}"/>
    <cellStyle name="Normal 2 5 5" xfId="28913" xr:uid="{00000000-0005-0000-0000-0000F1700000}"/>
    <cellStyle name="Normal 2 5 5 2" xfId="28914" xr:uid="{00000000-0005-0000-0000-0000F2700000}"/>
    <cellStyle name="Normal 2 5 6" xfId="28915" xr:uid="{00000000-0005-0000-0000-0000F3700000}"/>
    <cellStyle name="Normal 2 5 6 2" xfId="28916" xr:uid="{00000000-0005-0000-0000-0000F4700000}"/>
    <cellStyle name="Normal 2 5 7" xfId="28917" xr:uid="{00000000-0005-0000-0000-0000F5700000}"/>
    <cellStyle name="Normal 2 5 7 2" xfId="28918" xr:uid="{00000000-0005-0000-0000-0000F6700000}"/>
    <cellStyle name="Normal 2 5 8" xfId="28919" xr:uid="{00000000-0005-0000-0000-0000F7700000}"/>
    <cellStyle name="Normal 2 5 9" xfId="28920" xr:uid="{00000000-0005-0000-0000-0000F8700000}"/>
    <cellStyle name="Normal 2 50" xfId="28921" xr:uid="{00000000-0005-0000-0000-0000F9700000}"/>
    <cellStyle name="Normal 2 50 2" xfId="28922" xr:uid="{00000000-0005-0000-0000-0000FA700000}"/>
    <cellStyle name="Normal 2 50 3" xfId="28923" xr:uid="{00000000-0005-0000-0000-0000FB700000}"/>
    <cellStyle name="Normal 2 51" xfId="28924" xr:uid="{00000000-0005-0000-0000-0000FC700000}"/>
    <cellStyle name="Normal 2 51 2" xfId="28925" xr:uid="{00000000-0005-0000-0000-0000FD700000}"/>
    <cellStyle name="Normal 2 51 3" xfId="28926" xr:uid="{00000000-0005-0000-0000-0000FE700000}"/>
    <cellStyle name="Normal 2 51 4" xfId="28927" xr:uid="{00000000-0005-0000-0000-0000FF700000}"/>
    <cellStyle name="Normal 2 51 5" xfId="28928" xr:uid="{00000000-0005-0000-0000-000000710000}"/>
    <cellStyle name="Normal 2 52" xfId="28929" xr:uid="{00000000-0005-0000-0000-000001710000}"/>
    <cellStyle name="Normal 2 52 2" xfId="28930" xr:uid="{00000000-0005-0000-0000-000002710000}"/>
    <cellStyle name="Normal 2 52 3" xfId="28931" xr:uid="{00000000-0005-0000-0000-000003710000}"/>
    <cellStyle name="Normal 2 52 4" xfId="28932" xr:uid="{00000000-0005-0000-0000-000004710000}"/>
    <cellStyle name="Normal 2 52 5" xfId="28933" xr:uid="{00000000-0005-0000-0000-000005710000}"/>
    <cellStyle name="Normal 2 53" xfId="28934" xr:uid="{00000000-0005-0000-0000-000006710000}"/>
    <cellStyle name="Normal 2 53 2" xfId="28935" xr:uid="{00000000-0005-0000-0000-000007710000}"/>
    <cellStyle name="Normal 2 53 3" xfId="28936" xr:uid="{00000000-0005-0000-0000-000008710000}"/>
    <cellStyle name="Normal 2 53 4" xfId="28937" xr:uid="{00000000-0005-0000-0000-000009710000}"/>
    <cellStyle name="Normal 2 53 5" xfId="28938" xr:uid="{00000000-0005-0000-0000-00000A710000}"/>
    <cellStyle name="Normal 2 54" xfId="28939" xr:uid="{00000000-0005-0000-0000-00000B710000}"/>
    <cellStyle name="Normal 2 54 2" xfId="28940" xr:uid="{00000000-0005-0000-0000-00000C710000}"/>
    <cellStyle name="Normal 2 54 3" xfId="28941" xr:uid="{00000000-0005-0000-0000-00000D710000}"/>
    <cellStyle name="Normal 2 54 4" xfId="28942" xr:uid="{00000000-0005-0000-0000-00000E710000}"/>
    <cellStyle name="Normal 2 54 5" xfId="28943" xr:uid="{00000000-0005-0000-0000-00000F710000}"/>
    <cellStyle name="Normal 2 55" xfId="28944" xr:uid="{00000000-0005-0000-0000-000010710000}"/>
    <cellStyle name="Normal 2 55 2" xfId="28945" xr:uid="{00000000-0005-0000-0000-000011710000}"/>
    <cellStyle name="Normal 2 55 3" xfId="28946" xr:uid="{00000000-0005-0000-0000-000012710000}"/>
    <cellStyle name="Normal 2 55 4" xfId="28947" xr:uid="{00000000-0005-0000-0000-000013710000}"/>
    <cellStyle name="Normal 2 55 5" xfId="28948" xr:uid="{00000000-0005-0000-0000-000014710000}"/>
    <cellStyle name="Normal 2 56" xfId="28949" xr:uid="{00000000-0005-0000-0000-000015710000}"/>
    <cellStyle name="Normal 2 56 2" xfId="28950" xr:uid="{00000000-0005-0000-0000-000016710000}"/>
    <cellStyle name="Normal 2 56 3" xfId="28951" xr:uid="{00000000-0005-0000-0000-000017710000}"/>
    <cellStyle name="Normal 2 56 4" xfId="28952" xr:uid="{00000000-0005-0000-0000-000018710000}"/>
    <cellStyle name="Normal 2 56 5" xfId="28953" xr:uid="{00000000-0005-0000-0000-000019710000}"/>
    <cellStyle name="Normal 2 57" xfId="28954" xr:uid="{00000000-0005-0000-0000-00001A710000}"/>
    <cellStyle name="Normal 2 57 2" xfId="28955" xr:uid="{00000000-0005-0000-0000-00001B710000}"/>
    <cellStyle name="Normal 2 57 3" xfId="28956" xr:uid="{00000000-0005-0000-0000-00001C710000}"/>
    <cellStyle name="Normal 2 57 4" xfId="28957" xr:uid="{00000000-0005-0000-0000-00001D710000}"/>
    <cellStyle name="Normal 2 57 5" xfId="28958" xr:uid="{00000000-0005-0000-0000-00001E710000}"/>
    <cellStyle name="Normal 2 58" xfId="28959" xr:uid="{00000000-0005-0000-0000-00001F710000}"/>
    <cellStyle name="Normal 2 58 2" xfId="28960" xr:uid="{00000000-0005-0000-0000-000020710000}"/>
    <cellStyle name="Normal 2 58 3" xfId="28961" xr:uid="{00000000-0005-0000-0000-000021710000}"/>
    <cellStyle name="Normal 2 58 4" xfId="28962" xr:uid="{00000000-0005-0000-0000-000022710000}"/>
    <cellStyle name="Normal 2 58 5" xfId="28963" xr:uid="{00000000-0005-0000-0000-000023710000}"/>
    <cellStyle name="Normal 2 59" xfId="28964" xr:uid="{00000000-0005-0000-0000-000024710000}"/>
    <cellStyle name="Normal 2 59 2" xfId="28965" xr:uid="{00000000-0005-0000-0000-000025710000}"/>
    <cellStyle name="Normal 2 59 3" xfId="28966" xr:uid="{00000000-0005-0000-0000-000026710000}"/>
    <cellStyle name="Normal 2 59 4" xfId="28967" xr:uid="{00000000-0005-0000-0000-000027710000}"/>
    <cellStyle name="Normal 2 59 5" xfId="28968" xr:uid="{00000000-0005-0000-0000-000028710000}"/>
    <cellStyle name="Normal 2 6" xfId="28969" xr:uid="{00000000-0005-0000-0000-000029710000}"/>
    <cellStyle name="Normal 2 6 10" xfId="28970" xr:uid="{00000000-0005-0000-0000-00002A710000}"/>
    <cellStyle name="Normal 2 6 11" xfId="28971" xr:uid="{00000000-0005-0000-0000-00002B710000}"/>
    <cellStyle name="Normal 2 6 12" xfId="28972" xr:uid="{00000000-0005-0000-0000-00002C710000}"/>
    <cellStyle name="Normal 2 6 13" xfId="28973" xr:uid="{00000000-0005-0000-0000-00002D710000}"/>
    <cellStyle name="Normal 2 6 14" xfId="28974" xr:uid="{00000000-0005-0000-0000-00002E710000}"/>
    <cellStyle name="Normal 2 6 15" xfId="28975" xr:uid="{00000000-0005-0000-0000-00002F710000}"/>
    <cellStyle name="Normal 2 6 16" xfId="28976" xr:uid="{00000000-0005-0000-0000-000030710000}"/>
    <cellStyle name="Normal 2 6 17" xfId="28977" xr:uid="{00000000-0005-0000-0000-000031710000}"/>
    <cellStyle name="Normal 2 6 18" xfId="28978" xr:uid="{00000000-0005-0000-0000-000032710000}"/>
    <cellStyle name="Normal 2 6 19" xfId="28979" xr:uid="{00000000-0005-0000-0000-000033710000}"/>
    <cellStyle name="Normal 2 6 2" xfId="28980" xr:uid="{00000000-0005-0000-0000-000034710000}"/>
    <cellStyle name="Normal 2 6 2 10" xfId="28981" xr:uid="{00000000-0005-0000-0000-000035710000}"/>
    <cellStyle name="Normal 2 6 2 11" xfId="28982" xr:uid="{00000000-0005-0000-0000-000036710000}"/>
    <cellStyle name="Normal 2 6 2 12" xfId="28983" xr:uid="{00000000-0005-0000-0000-000037710000}"/>
    <cellStyle name="Normal 2 6 2 13" xfId="28984" xr:uid="{00000000-0005-0000-0000-000038710000}"/>
    <cellStyle name="Normal 2 6 2 14" xfId="28985" xr:uid="{00000000-0005-0000-0000-000039710000}"/>
    <cellStyle name="Normal 2 6 2 15" xfId="28986" xr:uid="{00000000-0005-0000-0000-00003A710000}"/>
    <cellStyle name="Normal 2 6 2 16" xfId="28987" xr:uid="{00000000-0005-0000-0000-00003B710000}"/>
    <cellStyle name="Normal 2 6 2 17" xfId="28988" xr:uid="{00000000-0005-0000-0000-00003C710000}"/>
    <cellStyle name="Normal 2 6 2 18" xfId="28989" xr:uid="{00000000-0005-0000-0000-00003D710000}"/>
    <cellStyle name="Normal 2 6 2 19" xfId="28990" xr:uid="{00000000-0005-0000-0000-00003E710000}"/>
    <cellStyle name="Normal 2 6 2 2" xfId="28991" xr:uid="{00000000-0005-0000-0000-00003F710000}"/>
    <cellStyle name="Normal 2 6 2 20" xfId="28992" xr:uid="{00000000-0005-0000-0000-000040710000}"/>
    <cellStyle name="Normal 2 6 2 21" xfId="28993" xr:uid="{00000000-0005-0000-0000-000041710000}"/>
    <cellStyle name="Normal 2 6 2 3" xfId="28994" xr:uid="{00000000-0005-0000-0000-000042710000}"/>
    <cellStyle name="Normal 2 6 2 4" xfId="28995" xr:uid="{00000000-0005-0000-0000-000043710000}"/>
    <cellStyle name="Normal 2 6 2 5" xfId="28996" xr:uid="{00000000-0005-0000-0000-000044710000}"/>
    <cellStyle name="Normal 2 6 2 6" xfId="28997" xr:uid="{00000000-0005-0000-0000-000045710000}"/>
    <cellStyle name="Normal 2 6 2 7" xfId="28998" xr:uid="{00000000-0005-0000-0000-000046710000}"/>
    <cellStyle name="Normal 2 6 2 8" xfId="28999" xr:uid="{00000000-0005-0000-0000-000047710000}"/>
    <cellStyle name="Normal 2 6 2 9" xfId="29000" xr:uid="{00000000-0005-0000-0000-000048710000}"/>
    <cellStyle name="Normal 2 6 20" xfId="29001" xr:uid="{00000000-0005-0000-0000-000049710000}"/>
    <cellStyle name="Normal 2 6 21" xfId="29002" xr:uid="{00000000-0005-0000-0000-00004A710000}"/>
    <cellStyle name="Normal 2 6 22" xfId="29003" xr:uid="{00000000-0005-0000-0000-00004B710000}"/>
    <cellStyle name="Normal 2 6 3" xfId="29004" xr:uid="{00000000-0005-0000-0000-00004C710000}"/>
    <cellStyle name="Normal 2 6 4" xfId="29005" xr:uid="{00000000-0005-0000-0000-00004D710000}"/>
    <cellStyle name="Normal 2 6 5" xfId="29006" xr:uid="{00000000-0005-0000-0000-00004E710000}"/>
    <cellStyle name="Normal 2 6 6" xfId="29007" xr:uid="{00000000-0005-0000-0000-00004F710000}"/>
    <cellStyle name="Normal 2 6 7" xfId="29008" xr:uid="{00000000-0005-0000-0000-000050710000}"/>
    <cellStyle name="Normal 2 6 8" xfId="29009" xr:uid="{00000000-0005-0000-0000-000051710000}"/>
    <cellStyle name="Normal 2 6 9" xfId="29010" xr:uid="{00000000-0005-0000-0000-000052710000}"/>
    <cellStyle name="Normal 2 60" xfId="29011" xr:uid="{00000000-0005-0000-0000-000053710000}"/>
    <cellStyle name="Normal 2 60 2" xfId="29012" xr:uid="{00000000-0005-0000-0000-000054710000}"/>
    <cellStyle name="Normal 2 60 3" xfId="29013" xr:uid="{00000000-0005-0000-0000-000055710000}"/>
    <cellStyle name="Normal 2 61" xfId="29014" xr:uid="{00000000-0005-0000-0000-000056710000}"/>
    <cellStyle name="Normal 2 61 2" xfId="29015" xr:uid="{00000000-0005-0000-0000-000057710000}"/>
    <cellStyle name="Normal 2 61 3" xfId="29016" xr:uid="{00000000-0005-0000-0000-000058710000}"/>
    <cellStyle name="Normal 2 62" xfId="29017" xr:uid="{00000000-0005-0000-0000-000059710000}"/>
    <cellStyle name="Normal 2 62 2" xfId="29018" xr:uid="{00000000-0005-0000-0000-00005A710000}"/>
    <cellStyle name="Normal 2 62 3" xfId="29019" xr:uid="{00000000-0005-0000-0000-00005B710000}"/>
    <cellStyle name="Normal 2 63" xfId="29020" xr:uid="{00000000-0005-0000-0000-00005C710000}"/>
    <cellStyle name="Normal 2 63 2" xfId="29021" xr:uid="{00000000-0005-0000-0000-00005D710000}"/>
    <cellStyle name="Normal 2 63 3" xfId="29022" xr:uid="{00000000-0005-0000-0000-00005E710000}"/>
    <cellStyle name="Normal 2 64" xfId="29023" xr:uid="{00000000-0005-0000-0000-00005F710000}"/>
    <cellStyle name="Normal 2 64 2" xfId="29024" xr:uid="{00000000-0005-0000-0000-000060710000}"/>
    <cellStyle name="Normal 2 64 3" xfId="29025" xr:uid="{00000000-0005-0000-0000-000061710000}"/>
    <cellStyle name="Normal 2 65" xfId="29026" xr:uid="{00000000-0005-0000-0000-000062710000}"/>
    <cellStyle name="Normal 2 65 2" xfId="29027" xr:uid="{00000000-0005-0000-0000-000063710000}"/>
    <cellStyle name="Normal 2 65 3" xfId="29028" xr:uid="{00000000-0005-0000-0000-000064710000}"/>
    <cellStyle name="Normal 2 66" xfId="29029" xr:uid="{00000000-0005-0000-0000-000065710000}"/>
    <cellStyle name="Normal 2 66 2" xfId="29030" xr:uid="{00000000-0005-0000-0000-000066710000}"/>
    <cellStyle name="Normal 2 66 3" xfId="29031" xr:uid="{00000000-0005-0000-0000-000067710000}"/>
    <cellStyle name="Normal 2 67" xfId="29032" xr:uid="{00000000-0005-0000-0000-000068710000}"/>
    <cellStyle name="Normal 2 67 2" xfId="29033" xr:uid="{00000000-0005-0000-0000-000069710000}"/>
    <cellStyle name="Normal 2 67 3" xfId="29034" xr:uid="{00000000-0005-0000-0000-00006A710000}"/>
    <cellStyle name="Normal 2 68" xfId="29035" xr:uid="{00000000-0005-0000-0000-00006B710000}"/>
    <cellStyle name="Normal 2 68 2" xfId="29036" xr:uid="{00000000-0005-0000-0000-00006C710000}"/>
    <cellStyle name="Normal 2 68 3" xfId="29037" xr:uid="{00000000-0005-0000-0000-00006D710000}"/>
    <cellStyle name="Normal 2 69" xfId="29038" xr:uid="{00000000-0005-0000-0000-00006E710000}"/>
    <cellStyle name="Normal 2 69 2" xfId="29039" xr:uid="{00000000-0005-0000-0000-00006F710000}"/>
    <cellStyle name="Normal 2 69 3" xfId="29040" xr:uid="{00000000-0005-0000-0000-000070710000}"/>
    <cellStyle name="Normal 2 7" xfId="29041" xr:uid="{00000000-0005-0000-0000-000071710000}"/>
    <cellStyle name="Normal 2 7 2" xfId="29042" xr:uid="{00000000-0005-0000-0000-000072710000}"/>
    <cellStyle name="Normal 2 7 3" xfId="29043" xr:uid="{00000000-0005-0000-0000-000073710000}"/>
    <cellStyle name="Normal 2 70" xfId="29044" xr:uid="{00000000-0005-0000-0000-000074710000}"/>
    <cellStyle name="Normal 2 70 2" xfId="29045" xr:uid="{00000000-0005-0000-0000-000075710000}"/>
    <cellStyle name="Normal 2 70 3" xfId="29046" xr:uid="{00000000-0005-0000-0000-000076710000}"/>
    <cellStyle name="Normal 2 71" xfId="29047" xr:uid="{00000000-0005-0000-0000-000077710000}"/>
    <cellStyle name="Normal 2 71 2" xfId="29048" xr:uid="{00000000-0005-0000-0000-000078710000}"/>
    <cellStyle name="Normal 2 71 3" xfId="29049" xr:uid="{00000000-0005-0000-0000-000079710000}"/>
    <cellStyle name="Normal 2 72" xfId="29050" xr:uid="{00000000-0005-0000-0000-00007A710000}"/>
    <cellStyle name="Normal 2 72 2" xfId="29051" xr:uid="{00000000-0005-0000-0000-00007B710000}"/>
    <cellStyle name="Normal 2 72 3" xfId="29052" xr:uid="{00000000-0005-0000-0000-00007C710000}"/>
    <cellStyle name="Normal 2 73" xfId="29053" xr:uid="{00000000-0005-0000-0000-00007D710000}"/>
    <cellStyle name="Normal 2 73 2" xfId="29054" xr:uid="{00000000-0005-0000-0000-00007E710000}"/>
    <cellStyle name="Normal 2 73 3" xfId="29055" xr:uid="{00000000-0005-0000-0000-00007F710000}"/>
    <cellStyle name="Normal 2 74" xfId="29056" xr:uid="{00000000-0005-0000-0000-000080710000}"/>
    <cellStyle name="Normal 2 74 2" xfId="29057" xr:uid="{00000000-0005-0000-0000-000081710000}"/>
    <cellStyle name="Normal 2 74 3" xfId="29058" xr:uid="{00000000-0005-0000-0000-000082710000}"/>
    <cellStyle name="Normal 2 75" xfId="29059" xr:uid="{00000000-0005-0000-0000-000083710000}"/>
    <cellStyle name="Normal 2 76" xfId="29060" xr:uid="{00000000-0005-0000-0000-000084710000}"/>
    <cellStyle name="Normal 2 77" xfId="29061" xr:uid="{00000000-0005-0000-0000-000085710000}"/>
    <cellStyle name="Normal 2 78" xfId="29062" xr:uid="{00000000-0005-0000-0000-000086710000}"/>
    <cellStyle name="Normal 2 79" xfId="29063" xr:uid="{00000000-0005-0000-0000-000087710000}"/>
    <cellStyle name="Normal 2 8" xfId="29064" xr:uid="{00000000-0005-0000-0000-000088710000}"/>
    <cellStyle name="Normal 2 8 2" xfId="29065" xr:uid="{00000000-0005-0000-0000-000089710000}"/>
    <cellStyle name="Normal 2 8 3" xfId="29066" xr:uid="{00000000-0005-0000-0000-00008A710000}"/>
    <cellStyle name="Normal 2 80" xfId="29067" xr:uid="{00000000-0005-0000-0000-00008B710000}"/>
    <cellStyle name="Normal 2 81" xfId="29068" xr:uid="{00000000-0005-0000-0000-00008C710000}"/>
    <cellStyle name="Normal 2 82" xfId="29069" xr:uid="{00000000-0005-0000-0000-00008D710000}"/>
    <cellStyle name="Normal 2 82 2" xfId="29070" xr:uid="{00000000-0005-0000-0000-00008E710000}"/>
    <cellStyle name="Normal 2 82 2 2" xfId="29071" xr:uid="{00000000-0005-0000-0000-00008F710000}"/>
    <cellStyle name="Normal 2 82 2 3" xfId="29072" xr:uid="{00000000-0005-0000-0000-000090710000}"/>
    <cellStyle name="Normal 2 82 3" xfId="29073" xr:uid="{00000000-0005-0000-0000-000091710000}"/>
    <cellStyle name="Normal 2 82 4" xfId="29074" xr:uid="{00000000-0005-0000-0000-000092710000}"/>
    <cellStyle name="Normal 2 83" xfId="29075" xr:uid="{00000000-0005-0000-0000-000093710000}"/>
    <cellStyle name="Normal 2 83 2" xfId="29076" xr:uid="{00000000-0005-0000-0000-000094710000}"/>
    <cellStyle name="Normal 2 84" xfId="29077" xr:uid="{00000000-0005-0000-0000-000095710000}"/>
    <cellStyle name="Normal 2 84 2" xfId="29078" xr:uid="{00000000-0005-0000-0000-000096710000}"/>
    <cellStyle name="Normal 2 85" xfId="29079" xr:uid="{00000000-0005-0000-0000-000097710000}"/>
    <cellStyle name="Normal 2 85 2" xfId="29080" xr:uid="{00000000-0005-0000-0000-000098710000}"/>
    <cellStyle name="Normal 2 85 2 2" xfId="29081" xr:uid="{00000000-0005-0000-0000-000099710000}"/>
    <cellStyle name="Normal 2 85 3" xfId="29082" xr:uid="{00000000-0005-0000-0000-00009A710000}"/>
    <cellStyle name="Normal 2 85 4" xfId="29083" xr:uid="{00000000-0005-0000-0000-00009B710000}"/>
    <cellStyle name="Normal 2 85 5" xfId="29084" xr:uid="{00000000-0005-0000-0000-00009C710000}"/>
    <cellStyle name="Normal 2 86" xfId="29085" xr:uid="{00000000-0005-0000-0000-00009D710000}"/>
    <cellStyle name="Normal 2 86 2" xfId="29086" xr:uid="{00000000-0005-0000-0000-00009E710000}"/>
    <cellStyle name="Normal 2 86 2 2" xfId="29087" xr:uid="{00000000-0005-0000-0000-00009F710000}"/>
    <cellStyle name="Normal 2 86 3" xfId="29088" xr:uid="{00000000-0005-0000-0000-0000A0710000}"/>
    <cellStyle name="Normal 2 87" xfId="29089" xr:uid="{00000000-0005-0000-0000-0000A1710000}"/>
    <cellStyle name="Normal 2 87 2" xfId="29090" xr:uid="{00000000-0005-0000-0000-0000A2710000}"/>
    <cellStyle name="Normal 2 87 3" xfId="29091" xr:uid="{00000000-0005-0000-0000-0000A3710000}"/>
    <cellStyle name="Normal 2 87 4" xfId="29092" xr:uid="{00000000-0005-0000-0000-0000A4710000}"/>
    <cellStyle name="Normal 2 87 5" xfId="29093" xr:uid="{00000000-0005-0000-0000-0000A5710000}"/>
    <cellStyle name="Normal 2 88" xfId="29094" xr:uid="{00000000-0005-0000-0000-0000A6710000}"/>
    <cellStyle name="Normal 2 88 2" xfId="29095" xr:uid="{00000000-0005-0000-0000-0000A7710000}"/>
    <cellStyle name="Normal 2 88 3" xfId="29096" xr:uid="{00000000-0005-0000-0000-0000A8710000}"/>
    <cellStyle name="Normal 2 88 4" xfId="29097" xr:uid="{00000000-0005-0000-0000-0000A9710000}"/>
    <cellStyle name="Normal 2 88 5" xfId="29098" xr:uid="{00000000-0005-0000-0000-0000AA710000}"/>
    <cellStyle name="Normal 2 89" xfId="29099" xr:uid="{00000000-0005-0000-0000-0000AB710000}"/>
    <cellStyle name="Normal 2 89 2" xfId="29100" xr:uid="{00000000-0005-0000-0000-0000AC710000}"/>
    <cellStyle name="Normal 2 9" xfId="29101" xr:uid="{00000000-0005-0000-0000-0000AD710000}"/>
    <cellStyle name="Normal 2 9 2" xfId="29102" xr:uid="{00000000-0005-0000-0000-0000AE710000}"/>
    <cellStyle name="Normal 2 9 3" xfId="29103" xr:uid="{00000000-0005-0000-0000-0000AF710000}"/>
    <cellStyle name="Normal 2 9 4" xfId="29104" xr:uid="{00000000-0005-0000-0000-0000B0710000}"/>
    <cellStyle name="Normal 2 9 5" xfId="29105" xr:uid="{00000000-0005-0000-0000-0000B1710000}"/>
    <cellStyle name="Normal 2 9_Enlaces" xfId="29106" xr:uid="{00000000-0005-0000-0000-0000B2710000}"/>
    <cellStyle name="Normal 2 90" xfId="29107" xr:uid="{00000000-0005-0000-0000-0000B3710000}"/>
    <cellStyle name="Normal 2 90 2" xfId="29108" xr:uid="{00000000-0005-0000-0000-0000B4710000}"/>
    <cellStyle name="Normal 2 91" xfId="29109" xr:uid="{00000000-0005-0000-0000-0000B5710000}"/>
    <cellStyle name="Normal 2 91 2" xfId="29110" xr:uid="{00000000-0005-0000-0000-0000B6710000}"/>
    <cellStyle name="Normal 2 92" xfId="29111" xr:uid="{00000000-0005-0000-0000-0000B7710000}"/>
    <cellStyle name="Normal 2 92 2" xfId="29112" xr:uid="{00000000-0005-0000-0000-0000B8710000}"/>
    <cellStyle name="Normal 2 93" xfId="29113" xr:uid="{00000000-0005-0000-0000-0000B9710000}"/>
    <cellStyle name="Normal 2 93 2" xfId="29114" xr:uid="{00000000-0005-0000-0000-0000BA710000}"/>
    <cellStyle name="Normal 2 94" xfId="29115" xr:uid="{00000000-0005-0000-0000-0000BB710000}"/>
    <cellStyle name="Normal 2 94 2" xfId="29116" xr:uid="{00000000-0005-0000-0000-0000BC710000}"/>
    <cellStyle name="Normal 2 95" xfId="29117" xr:uid="{00000000-0005-0000-0000-0000BD710000}"/>
    <cellStyle name="Normal 2 95 2" xfId="29118" xr:uid="{00000000-0005-0000-0000-0000BE710000}"/>
    <cellStyle name="Normal 2 96" xfId="29119" xr:uid="{00000000-0005-0000-0000-0000BF710000}"/>
    <cellStyle name="Normal 2 96 2" xfId="29120" xr:uid="{00000000-0005-0000-0000-0000C0710000}"/>
    <cellStyle name="Normal 2 97" xfId="29121" xr:uid="{00000000-0005-0000-0000-0000C1710000}"/>
    <cellStyle name="Normal 2 97 2" xfId="29122" xr:uid="{00000000-0005-0000-0000-0000C2710000}"/>
    <cellStyle name="Normal 2 98" xfId="29123" xr:uid="{00000000-0005-0000-0000-0000C3710000}"/>
    <cellStyle name="Normal 2 98 2" xfId="29124" xr:uid="{00000000-0005-0000-0000-0000C4710000}"/>
    <cellStyle name="Normal 2 99" xfId="29125" xr:uid="{00000000-0005-0000-0000-0000C5710000}"/>
    <cellStyle name="Normal 2 99 2" xfId="29126" xr:uid="{00000000-0005-0000-0000-0000C6710000}"/>
    <cellStyle name="Normal 20" xfId="29127" xr:uid="{00000000-0005-0000-0000-0000C7710000}"/>
    <cellStyle name="Normal 20 10" xfId="29128" xr:uid="{00000000-0005-0000-0000-0000C8710000}"/>
    <cellStyle name="Normal 20 11" xfId="29129" xr:uid="{00000000-0005-0000-0000-0000C9710000}"/>
    <cellStyle name="Normal 20 12" xfId="29130" xr:uid="{00000000-0005-0000-0000-0000CA710000}"/>
    <cellStyle name="Normal 20 13" xfId="29131" xr:uid="{00000000-0005-0000-0000-0000CB710000}"/>
    <cellStyle name="Normal 20 14" xfId="29132" xr:uid="{00000000-0005-0000-0000-0000CC710000}"/>
    <cellStyle name="Normal 20 15" xfId="29133" xr:uid="{00000000-0005-0000-0000-0000CD710000}"/>
    <cellStyle name="Normal 20 16" xfId="29134" xr:uid="{00000000-0005-0000-0000-0000CE710000}"/>
    <cellStyle name="Normal 20 17" xfId="29135" xr:uid="{00000000-0005-0000-0000-0000CF710000}"/>
    <cellStyle name="Normal 20 18" xfId="29136" xr:uid="{00000000-0005-0000-0000-0000D0710000}"/>
    <cellStyle name="Normal 20 19" xfId="29137" xr:uid="{00000000-0005-0000-0000-0000D1710000}"/>
    <cellStyle name="Normal 20 2" xfId="29138" xr:uid="{00000000-0005-0000-0000-0000D2710000}"/>
    <cellStyle name="Normal 20 2 2" xfId="29139" xr:uid="{00000000-0005-0000-0000-0000D3710000}"/>
    <cellStyle name="Normal 20 2 3" xfId="29140" xr:uid="{00000000-0005-0000-0000-0000D4710000}"/>
    <cellStyle name="Normal 20 2 4" xfId="29141" xr:uid="{00000000-0005-0000-0000-0000D5710000}"/>
    <cellStyle name="Normal 20 20" xfId="29142" xr:uid="{00000000-0005-0000-0000-0000D6710000}"/>
    <cellStyle name="Normal 20 21" xfId="29143" xr:uid="{00000000-0005-0000-0000-0000D7710000}"/>
    <cellStyle name="Normal 20 22" xfId="29144" xr:uid="{00000000-0005-0000-0000-0000D8710000}"/>
    <cellStyle name="Normal 20 23" xfId="29145" xr:uid="{00000000-0005-0000-0000-0000D9710000}"/>
    <cellStyle name="Normal 20 24" xfId="29146" xr:uid="{00000000-0005-0000-0000-0000DA710000}"/>
    <cellStyle name="Normal 20 25" xfId="29147" xr:uid="{00000000-0005-0000-0000-0000DB710000}"/>
    <cellStyle name="Normal 20 26" xfId="29148" xr:uid="{00000000-0005-0000-0000-0000DC710000}"/>
    <cellStyle name="Normal 20 3" xfId="29149" xr:uid="{00000000-0005-0000-0000-0000DD710000}"/>
    <cellStyle name="Normal 20 4" xfId="29150" xr:uid="{00000000-0005-0000-0000-0000DE710000}"/>
    <cellStyle name="Normal 20 5" xfId="29151" xr:uid="{00000000-0005-0000-0000-0000DF710000}"/>
    <cellStyle name="Normal 20 6" xfId="29152" xr:uid="{00000000-0005-0000-0000-0000E0710000}"/>
    <cellStyle name="Normal 20 7" xfId="29153" xr:uid="{00000000-0005-0000-0000-0000E1710000}"/>
    <cellStyle name="Normal 20 8" xfId="29154" xr:uid="{00000000-0005-0000-0000-0000E2710000}"/>
    <cellStyle name="Normal 20 9" xfId="29155" xr:uid="{00000000-0005-0000-0000-0000E3710000}"/>
    <cellStyle name="Normal 200" xfId="39231" xr:uid="{00000000-0005-0000-0000-00003F990000}"/>
    <cellStyle name="Normal 201" xfId="39232" xr:uid="{00000000-0005-0000-0000-000040990000}"/>
    <cellStyle name="Normal 202" xfId="39233" xr:uid="{00000000-0005-0000-0000-000041990000}"/>
    <cellStyle name="Normal 203" xfId="39234" xr:uid="{00000000-0005-0000-0000-000042990000}"/>
    <cellStyle name="Normal 204" xfId="39235" xr:uid="{00000000-0005-0000-0000-000043990000}"/>
    <cellStyle name="Normal 205" xfId="39236" xr:uid="{00000000-0005-0000-0000-000044990000}"/>
    <cellStyle name="Normal 206" xfId="39237" xr:uid="{00000000-0005-0000-0000-000045990000}"/>
    <cellStyle name="Normal 207" xfId="39238" xr:uid="{00000000-0005-0000-0000-000046990000}"/>
    <cellStyle name="Normal 208" xfId="39239" xr:uid="{00000000-0005-0000-0000-000047990000}"/>
    <cellStyle name="Normal 209" xfId="39240" xr:uid="{00000000-0005-0000-0000-000048990000}"/>
    <cellStyle name="Normal 21" xfId="29156" xr:uid="{00000000-0005-0000-0000-0000E4710000}"/>
    <cellStyle name="Normal 21 10" xfId="29157" xr:uid="{00000000-0005-0000-0000-0000E5710000}"/>
    <cellStyle name="Normal 21 11" xfId="29158" xr:uid="{00000000-0005-0000-0000-0000E6710000}"/>
    <cellStyle name="Normal 21 12" xfId="29159" xr:uid="{00000000-0005-0000-0000-0000E7710000}"/>
    <cellStyle name="Normal 21 13" xfId="29160" xr:uid="{00000000-0005-0000-0000-0000E8710000}"/>
    <cellStyle name="Normal 21 14" xfId="29161" xr:uid="{00000000-0005-0000-0000-0000E9710000}"/>
    <cellStyle name="Normal 21 15" xfId="29162" xr:uid="{00000000-0005-0000-0000-0000EA710000}"/>
    <cellStyle name="Normal 21 16" xfId="29163" xr:uid="{00000000-0005-0000-0000-0000EB710000}"/>
    <cellStyle name="Normal 21 17" xfId="29164" xr:uid="{00000000-0005-0000-0000-0000EC710000}"/>
    <cellStyle name="Normal 21 18" xfId="29165" xr:uid="{00000000-0005-0000-0000-0000ED710000}"/>
    <cellStyle name="Normal 21 19" xfId="29166" xr:uid="{00000000-0005-0000-0000-0000EE710000}"/>
    <cellStyle name="Normal 21 2" xfId="29167" xr:uid="{00000000-0005-0000-0000-0000EF710000}"/>
    <cellStyle name="Normal 21 2 2" xfId="29168" xr:uid="{00000000-0005-0000-0000-0000F0710000}"/>
    <cellStyle name="Normal 21 2 3" xfId="29169" xr:uid="{00000000-0005-0000-0000-0000F1710000}"/>
    <cellStyle name="Normal 21 20" xfId="29170" xr:uid="{00000000-0005-0000-0000-0000F2710000}"/>
    <cellStyle name="Normal 21 21" xfId="29171" xr:uid="{00000000-0005-0000-0000-0000F3710000}"/>
    <cellStyle name="Normal 21 22" xfId="29172" xr:uid="{00000000-0005-0000-0000-0000F4710000}"/>
    <cellStyle name="Normal 21 23" xfId="29173" xr:uid="{00000000-0005-0000-0000-0000F5710000}"/>
    <cellStyle name="Normal 21 24" xfId="29174" xr:uid="{00000000-0005-0000-0000-0000F6710000}"/>
    <cellStyle name="Normal 21 25" xfId="29175" xr:uid="{00000000-0005-0000-0000-0000F7710000}"/>
    <cellStyle name="Normal 21 26" xfId="29176" xr:uid="{00000000-0005-0000-0000-0000F8710000}"/>
    <cellStyle name="Normal 21 3" xfId="29177" xr:uid="{00000000-0005-0000-0000-0000F9710000}"/>
    <cellStyle name="Normal 21 3 2" xfId="29178" xr:uid="{00000000-0005-0000-0000-0000FA710000}"/>
    <cellStyle name="Normal 21 3 3" xfId="29179" xr:uid="{00000000-0005-0000-0000-0000FB710000}"/>
    <cellStyle name="Normal 21 4" xfId="29180" xr:uid="{00000000-0005-0000-0000-0000FC710000}"/>
    <cellStyle name="Normal 21 5" xfId="29181" xr:uid="{00000000-0005-0000-0000-0000FD710000}"/>
    <cellStyle name="Normal 21 6" xfId="29182" xr:uid="{00000000-0005-0000-0000-0000FE710000}"/>
    <cellStyle name="Normal 21 7" xfId="29183" xr:uid="{00000000-0005-0000-0000-0000FF710000}"/>
    <cellStyle name="Normal 21 8" xfId="29184" xr:uid="{00000000-0005-0000-0000-000000720000}"/>
    <cellStyle name="Normal 21 9" xfId="29185" xr:uid="{00000000-0005-0000-0000-000001720000}"/>
    <cellStyle name="Normal 210" xfId="39241" xr:uid="{00000000-0005-0000-0000-000049990000}"/>
    <cellStyle name="Normal 211" xfId="39242" xr:uid="{00000000-0005-0000-0000-00004A990000}"/>
    <cellStyle name="Normal 212" xfId="39243" xr:uid="{00000000-0005-0000-0000-00004B990000}"/>
    <cellStyle name="Normal 213" xfId="39244" xr:uid="{00000000-0005-0000-0000-00004C990000}"/>
    <cellStyle name="Normal 214" xfId="39245" xr:uid="{00000000-0005-0000-0000-00004D990000}"/>
    <cellStyle name="Normal 22" xfId="29186" xr:uid="{00000000-0005-0000-0000-000002720000}"/>
    <cellStyle name="Normal 22 10" xfId="29187" xr:uid="{00000000-0005-0000-0000-000003720000}"/>
    <cellStyle name="Normal 22 11" xfId="29188" xr:uid="{00000000-0005-0000-0000-000004720000}"/>
    <cellStyle name="Normal 22 12" xfId="29189" xr:uid="{00000000-0005-0000-0000-000005720000}"/>
    <cellStyle name="Normal 22 13" xfId="29190" xr:uid="{00000000-0005-0000-0000-000006720000}"/>
    <cellStyle name="Normal 22 14" xfId="29191" xr:uid="{00000000-0005-0000-0000-000007720000}"/>
    <cellStyle name="Normal 22 15" xfId="29192" xr:uid="{00000000-0005-0000-0000-000008720000}"/>
    <cellStyle name="Normal 22 16" xfId="29193" xr:uid="{00000000-0005-0000-0000-000009720000}"/>
    <cellStyle name="Normal 22 17" xfId="29194" xr:uid="{00000000-0005-0000-0000-00000A720000}"/>
    <cellStyle name="Normal 22 18" xfId="29195" xr:uid="{00000000-0005-0000-0000-00000B720000}"/>
    <cellStyle name="Normal 22 19" xfId="29196" xr:uid="{00000000-0005-0000-0000-00000C720000}"/>
    <cellStyle name="Normal 22 2" xfId="29197" xr:uid="{00000000-0005-0000-0000-00000D720000}"/>
    <cellStyle name="Normal 22 2 2" xfId="29198" xr:uid="{00000000-0005-0000-0000-00000E720000}"/>
    <cellStyle name="Normal 22 2 3" xfId="29199" xr:uid="{00000000-0005-0000-0000-00000F720000}"/>
    <cellStyle name="Normal 22 20" xfId="29200" xr:uid="{00000000-0005-0000-0000-000010720000}"/>
    <cellStyle name="Normal 22 21" xfId="29201" xr:uid="{00000000-0005-0000-0000-000011720000}"/>
    <cellStyle name="Normal 22 22" xfId="29202" xr:uid="{00000000-0005-0000-0000-000012720000}"/>
    <cellStyle name="Normal 22 23" xfId="29203" xr:uid="{00000000-0005-0000-0000-000013720000}"/>
    <cellStyle name="Normal 22 24" xfId="29204" xr:uid="{00000000-0005-0000-0000-000014720000}"/>
    <cellStyle name="Normal 22 25" xfId="29205" xr:uid="{00000000-0005-0000-0000-000015720000}"/>
    <cellStyle name="Normal 22 26" xfId="29206" xr:uid="{00000000-0005-0000-0000-000016720000}"/>
    <cellStyle name="Normal 22 3" xfId="29207" xr:uid="{00000000-0005-0000-0000-000017720000}"/>
    <cellStyle name="Normal 22 3 2" xfId="29208" xr:uid="{00000000-0005-0000-0000-000018720000}"/>
    <cellStyle name="Normal 22 3 3" xfId="29209" xr:uid="{00000000-0005-0000-0000-000019720000}"/>
    <cellStyle name="Normal 22 3 4" xfId="29210" xr:uid="{00000000-0005-0000-0000-00001A720000}"/>
    <cellStyle name="Normal 22 3 5" xfId="29211" xr:uid="{00000000-0005-0000-0000-00001B720000}"/>
    <cellStyle name="Normal 22 4" xfId="29212" xr:uid="{00000000-0005-0000-0000-00001C720000}"/>
    <cellStyle name="Normal 22 5" xfId="29213" xr:uid="{00000000-0005-0000-0000-00001D720000}"/>
    <cellStyle name="Normal 22 6" xfId="29214" xr:uid="{00000000-0005-0000-0000-00001E720000}"/>
    <cellStyle name="Normal 22 7" xfId="29215" xr:uid="{00000000-0005-0000-0000-00001F720000}"/>
    <cellStyle name="Normal 22 8" xfId="29216" xr:uid="{00000000-0005-0000-0000-000020720000}"/>
    <cellStyle name="Normal 22 9" xfId="29217" xr:uid="{00000000-0005-0000-0000-000021720000}"/>
    <cellStyle name="Normal 23" xfId="29218" xr:uid="{00000000-0005-0000-0000-000022720000}"/>
    <cellStyle name="Normal 23 10" xfId="29219" xr:uid="{00000000-0005-0000-0000-000023720000}"/>
    <cellStyle name="Normal 23 11" xfId="29220" xr:uid="{00000000-0005-0000-0000-000024720000}"/>
    <cellStyle name="Normal 23 12" xfId="29221" xr:uid="{00000000-0005-0000-0000-000025720000}"/>
    <cellStyle name="Normal 23 13" xfId="29222" xr:uid="{00000000-0005-0000-0000-000026720000}"/>
    <cellStyle name="Normal 23 14" xfId="29223" xr:uid="{00000000-0005-0000-0000-000027720000}"/>
    <cellStyle name="Normal 23 15" xfId="29224" xr:uid="{00000000-0005-0000-0000-000028720000}"/>
    <cellStyle name="Normal 23 16" xfId="29225" xr:uid="{00000000-0005-0000-0000-000029720000}"/>
    <cellStyle name="Normal 23 17" xfId="29226" xr:uid="{00000000-0005-0000-0000-00002A720000}"/>
    <cellStyle name="Normal 23 18" xfId="29227" xr:uid="{00000000-0005-0000-0000-00002B720000}"/>
    <cellStyle name="Normal 23 19" xfId="29228" xr:uid="{00000000-0005-0000-0000-00002C720000}"/>
    <cellStyle name="Normal 23 2" xfId="29229" xr:uid="{00000000-0005-0000-0000-00002D720000}"/>
    <cellStyle name="Normal 23 2 2" xfId="29230" xr:uid="{00000000-0005-0000-0000-00002E720000}"/>
    <cellStyle name="Normal 23 2 3" xfId="29231" xr:uid="{00000000-0005-0000-0000-00002F720000}"/>
    <cellStyle name="Normal 23 20" xfId="29232" xr:uid="{00000000-0005-0000-0000-000030720000}"/>
    <cellStyle name="Normal 23 21" xfId="29233" xr:uid="{00000000-0005-0000-0000-000031720000}"/>
    <cellStyle name="Normal 23 22" xfId="29234" xr:uid="{00000000-0005-0000-0000-000032720000}"/>
    <cellStyle name="Normal 23 23" xfId="29235" xr:uid="{00000000-0005-0000-0000-000033720000}"/>
    <cellStyle name="Normal 23 24" xfId="29236" xr:uid="{00000000-0005-0000-0000-000034720000}"/>
    <cellStyle name="Normal 23 25" xfId="29237" xr:uid="{00000000-0005-0000-0000-000035720000}"/>
    <cellStyle name="Normal 23 26" xfId="29238" xr:uid="{00000000-0005-0000-0000-000036720000}"/>
    <cellStyle name="Normal 23 3" xfId="29239" xr:uid="{00000000-0005-0000-0000-000037720000}"/>
    <cellStyle name="Normal 23 3 2" xfId="29240" xr:uid="{00000000-0005-0000-0000-000038720000}"/>
    <cellStyle name="Normal 23 3 3" xfId="29241" xr:uid="{00000000-0005-0000-0000-000039720000}"/>
    <cellStyle name="Normal 23 3 4" xfId="29242" xr:uid="{00000000-0005-0000-0000-00003A720000}"/>
    <cellStyle name="Normal 23 3 5" xfId="29243" xr:uid="{00000000-0005-0000-0000-00003B720000}"/>
    <cellStyle name="Normal 23 4" xfId="29244" xr:uid="{00000000-0005-0000-0000-00003C720000}"/>
    <cellStyle name="Normal 23 5" xfId="29245" xr:uid="{00000000-0005-0000-0000-00003D720000}"/>
    <cellStyle name="Normal 23 6" xfId="29246" xr:uid="{00000000-0005-0000-0000-00003E720000}"/>
    <cellStyle name="Normal 23 7" xfId="29247" xr:uid="{00000000-0005-0000-0000-00003F720000}"/>
    <cellStyle name="Normal 23 8" xfId="29248" xr:uid="{00000000-0005-0000-0000-000040720000}"/>
    <cellStyle name="Normal 23 9" xfId="29249" xr:uid="{00000000-0005-0000-0000-000041720000}"/>
    <cellStyle name="Normal 24" xfId="29250" xr:uid="{00000000-0005-0000-0000-000042720000}"/>
    <cellStyle name="Normal 24 10" xfId="29251" xr:uid="{00000000-0005-0000-0000-000043720000}"/>
    <cellStyle name="Normal 24 11" xfId="29252" xr:uid="{00000000-0005-0000-0000-000044720000}"/>
    <cellStyle name="Normal 24 12" xfId="29253" xr:uid="{00000000-0005-0000-0000-000045720000}"/>
    <cellStyle name="Normal 24 13" xfId="29254" xr:uid="{00000000-0005-0000-0000-000046720000}"/>
    <cellStyle name="Normal 24 14" xfId="29255" xr:uid="{00000000-0005-0000-0000-000047720000}"/>
    <cellStyle name="Normal 24 15" xfId="29256" xr:uid="{00000000-0005-0000-0000-000048720000}"/>
    <cellStyle name="Normal 24 16" xfId="29257" xr:uid="{00000000-0005-0000-0000-000049720000}"/>
    <cellStyle name="Normal 24 17" xfId="29258" xr:uid="{00000000-0005-0000-0000-00004A720000}"/>
    <cellStyle name="Normal 24 18" xfId="29259" xr:uid="{00000000-0005-0000-0000-00004B720000}"/>
    <cellStyle name="Normal 24 19" xfId="29260" xr:uid="{00000000-0005-0000-0000-00004C720000}"/>
    <cellStyle name="Normal 24 2" xfId="29261" xr:uid="{00000000-0005-0000-0000-00004D720000}"/>
    <cellStyle name="Normal 24 20" xfId="29262" xr:uid="{00000000-0005-0000-0000-00004E720000}"/>
    <cellStyle name="Normal 24 21" xfId="29263" xr:uid="{00000000-0005-0000-0000-00004F720000}"/>
    <cellStyle name="Normal 24 22" xfId="29264" xr:uid="{00000000-0005-0000-0000-000050720000}"/>
    <cellStyle name="Normal 24 23" xfId="29265" xr:uid="{00000000-0005-0000-0000-000051720000}"/>
    <cellStyle name="Normal 24 24" xfId="29266" xr:uid="{00000000-0005-0000-0000-000052720000}"/>
    <cellStyle name="Normal 24 25" xfId="29267" xr:uid="{00000000-0005-0000-0000-000053720000}"/>
    <cellStyle name="Normal 24 26" xfId="29268" xr:uid="{00000000-0005-0000-0000-000054720000}"/>
    <cellStyle name="Normal 24 27" xfId="29269" xr:uid="{00000000-0005-0000-0000-000055720000}"/>
    <cellStyle name="Normal 24 3" xfId="29270" xr:uid="{00000000-0005-0000-0000-000056720000}"/>
    <cellStyle name="Normal 24 4" xfId="29271" xr:uid="{00000000-0005-0000-0000-000057720000}"/>
    <cellStyle name="Normal 24 5" xfId="29272" xr:uid="{00000000-0005-0000-0000-000058720000}"/>
    <cellStyle name="Normal 24 6" xfId="29273" xr:uid="{00000000-0005-0000-0000-000059720000}"/>
    <cellStyle name="Normal 24 7" xfId="29274" xr:uid="{00000000-0005-0000-0000-00005A720000}"/>
    <cellStyle name="Normal 24 8" xfId="29275" xr:uid="{00000000-0005-0000-0000-00005B720000}"/>
    <cellStyle name="Normal 24 9" xfId="29276" xr:uid="{00000000-0005-0000-0000-00005C720000}"/>
    <cellStyle name="Normal 25" xfId="29277" xr:uid="{00000000-0005-0000-0000-00005D720000}"/>
    <cellStyle name="Normal 25 10" xfId="29278" xr:uid="{00000000-0005-0000-0000-00005E720000}"/>
    <cellStyle name="Normal 25 11" xfId="29279" xr:uid="{00000000-0005-0000-0000-00005F720000}"/>
    <cellStyle name="Normal 25 12" xfId="29280" xr:uid="{00000000-0005-0000-0000-000060720000}"/>
    <cellStyle name="Normal 25 13" xfId="29281" xr:uid="{00000000-0005-0000-0000-000061720000}"/>
    <cellStyle name="Normal 25 14" xfId="29282" xr:uid="{00000000-0005-0000-0000-000062720000}"/>
    <cellStyle name="Normal 25 15" xfId="29283" xr:uid="{00000000-0005-0000-0000-000063720000}"/>
    <cellStyle name="Normal 25 16" xfId="29284" xr:uid="{00000000-0005-0000-0000-000064720000}"/>
    <cellStyle name="Normal 25 17" xfId="29285" xr:uid="{00000000-0005-0000-0000-000065720000}"/>
    <cellStyle name="Normal 25 18" xfId="29286" xr:uid="{00000000-0005-0000-0000-000066720000}"/>
    <cellStyle name="Normal 25 19" xfId="29287" xr:uid="{00000000-0005-0000-0000-000067720000}"/>
    <cellStyle name="Normal 25 2" xfId="29288" xr:uid="{00000000-0005-0000-0000-000068720000}"/>
    <cellStyle name="Normal 25 20" xfId="29289" xr:uid="{00000000-0005-0000-0000-000069720000}"/>
    <cellStyle name="Normal 25 21" xfId="29290" xr:uid="{00000000-0005-0000-0000-00006A720000}"/>
    <cellStyle name="Normal 25 22" xfId="29291" xr:uid="{00000000-0005-0000-0000-00006B720000}"/>
    <cellStyle name="Normal 25 23" xfId="29292" xr:uid="{00000000-0005-0000-0000-00006C720000}"/>
    <cellStyle name="Normal 25 24" xfId="29293" xr:uid="{00000000-0005-0000-0000-00006D720000}"/>
    <cellStyle name="Normal 25 25" xfId="29294" xr:uid="{00000000-0005-0000-0000-00006E720000}"/>
    <cellStyle name="Normal 25 3" xfId="29295" xr:uid="{00000000-0005-0000-0000-00006F720000}"/>
    <cellStyle name="Normal 25 4" xfId="29296" xr:uid="{00000000-0005-0000-0000-000070720000}"/>
    <cellStyle name="Normal 25 5" xfId="29297" xr:uid="{00000000-0005-0000-0000-000071720000}"/>
    <cellStyle name="Normal 25 6" xfId="29298" xr:uid="{00000000-0005-0000-0000-000072720000}"/>
    <cellStyle name="Normal 25 7" xfId="29299" xr:uid="{00000000-0005-0000-0000-000073720000}"/>
    <cellStyle name="Normal 25 8" xfId="29300" xr:uid="{00000000-0005-0000-0000-000074720000}"/>
    <cellStyle name="Normal 25 9" xfId="29301" xr:uid="{00000000-0005-0000-0000-000075720000}"/>
    <cellStyle name="Normal 26" xfId="29302" xr:uid="{00000000-0005-0000-0000-000076720000}"/>
    <cellStyle name="Normal 26 10" xfId="29303" xr:uid="{00000000-0005-0000-0000-000077720000}"/>
    <cellStyle name="Normal 26 11" xfId="29304" xr:uid="{00000000-0005-0000-0000-000078720000}"/>
    <cellStyle name="Normal 26 12" xfId="29305" xr:uid="{00000000-0005-0000-0000-000079720000}"/>
    <cellStyle name="Normal 26 13" xfId="29306" xr:uid="{00000000-0005-0000-0000-00007A720000}"/>
    <cellStyle name="Normal 26 14" xfId="29307" xr:uid="{00000000-0005-0000-0000-00007B720000}"/>
    <cellStyle name="Normal 26 15" xfId="29308" xr:uid="{00000000-0005-0000-0000-00007C720000}"/>
    <cellStyle name="Normal 26 16" xfId="29309" xr:uid="{00000000-0005-0000-0000-00007D720000}"/>
    <cellStyle name="Normal 26 17" xfId="29310" xr:uid="{00000000-0005-0000-0000-00007E720000}"/>
    <cellStyle name="Normal 26 18" xfId="29311" xr:uid="{00000000-0005-0000-0000-00007F720000}"/>
    <cellStyle name="Normal 26 19" xfId="29312" xr:uid="{00000000-0005-0000-0000-000080720000}"/>
    <cellStyle name="Normal 26 2" xfId="29313" xr:uid="{00000000-0005-0000-0000-000081720000}"/>
    <cellStyle name="Normal 26 20" xfId="29314" xr:uid="{00000000-0005-0000-0000-000082720000}"/>
    <cellStyle name="Normal 26 21" xfId="29315" xr:uid="{00000000-0005-0000-0000-000083720000}"/>
    <cellStyle name="Normal 26 22" xfId="29316" xr:uid="{00000000-0005-0000-0000-000084720000}"/>
    <cellStyle name="Normal 26 23" xfId="29317" xr:uid="{00000000-0005-0000-0000-000085720000}"/>
    <cellStyle name="Normal 26 24" xfId="29318" xr:uid="{00000000-0005-0000-0000-000086720000}"/>
    <cellStyle name="Normal 26 25" xfId="29319" xr:uid="{00000000-0005-0000-0000-000087720000}"/>
    <cellStyle name="Normal 26 3" xfId="29320" xr:uid="{00000000-0005-0000-0000-000088720000}"/>
    <cellStyle name="Normal 26 4" xfId="29321" xr:uid="{00000000-0005-0000-0000-000089720000}"/>
    <cellStyle name="Normal 26 5" xfId="29322" xr:uid="{00000000-0005-0000-0000-00008A720000}"/>
    <cellStyle name="Normal 26 6" xfId="29323" xr:uid="{00000000-0005-0000-0000-00008B720000}"/>
    <cellStyle name="Normal 26 7" xfId="29324" xr:uid="{00000000-0005-0000-0000-00008C720000}"/>
    <cellStyle name="Normal 26 8" xfId="29325" xr:uid="{00000000-0005-0000-0000-00008D720000}"/>
    <cellStyle name="Normal 26 9" xfId="29326" xr:uid="{00000000-0005-0000-0000-00008E720000}"/>
    <cellStyle name="Normal 27" xfId="29327" xr:uid="{00000000-0005-0000-0000-00008F720000}"/>
    <cellStyle name="Normal 27 2" xfId="29328" xr:uid="{00000000-0005-0000-0000-000090720000}"/>
    <cellStyle name="Normal 28" xfId="29329" xr:uid="{00000000-0005-0000-0000-000091720000}"/>
    <cellStyle name="Normal 28 10" xfId="29330" xr:uid="{00000000-0005-0000-0000-000092720000}"/>
    <cellStyle name="Normal 28 11" xfId="29331" xr:uid="{00000000-0005-0000-0000-000093720000}"/>
    <cellStyle name="Normal 28 12" xfId="29332" xr:uid="{00000000-0005-0000-0000-000094720000}"/>
    <cellStyle name="Normal 28 13" xfId="29333" xr:uid="{00000000-0005-0000-0000-000095720000}"/>
    <cellStyle name="Normal 28 14" xfId="29334" xr:uid="{00000000-0005-0000-0000-000096720000}"/>
    <cellStyle name="Normal 28 15" xfId="29335" xr:uid="{00000000-0005-0000-0000-000097720000}"/>
    <cellStyle name="Normal 28 16" xfId="29336" xr:uid="{00000000-0005-0000-0000-000098720000}"/>
    <cellStyle name="Normal 28 17" xfId="29337" xr:uid="{00000000-0005-0000-0000-000099720000}"/>
    <cellStyle name="Normal 28 18" xfId="29338" xr:uid="{00000000-0005-0000-0000-00009A720000}"/>
    <cellStyle name="Normal 28 19" xfId="29339" xr:uid="{00000000-0005-0000-0000-00009B720000}"/>
    <cellStyle name="Normal 28 2" xfId="29340" xr:uid="{00000000-0005-0000-0000-00009C720000}"/>
    <cellStyle name="Normal 28 2 2" xfId="29341" xr:uid="{00000000-0005-0000-0000-00009D720000}"/>
    <cellStyle name="Normal 28 2 3" xfId="29342" xr:uid="{00000000-0005-0000-0000-00009E720000}"/>
    <cellStyle name="Normal 28 20" xfId="29343" xr:uid="{00000000-0005-0000-0000-00009F720000}"/>
    <cellStyle name="Normal 28 21" xfId="29344" xr:uid="{00000000-0005-0000-0000-0000A0720000}"/>
    <cellStyle name="Normal 28 22" xfId="29345" xr:uid="{00000000-0005-0000-0000-0000A1720000}"/>
    <cellStyle name="Normal 28 23" xfId="29346" xr:uid="{00000000-0005-0000-0000-0000A2720000}"/>
    <cellStyle name="Normal 28 24" xfId="29347" xr:uid="{00000000-0005-0000-0000-0000A3720000}"/>
    <cellStyle name="Normal 28 25" xfId="29348" xr:uid="{00000000-0005-0000-0000-0000A4720000}"/>
    <cellStyle name="Normal 28 26" xfId="29349" xr:uid="{00000000-0005-0000-0000-0000A5720000}"/>
    <cellStyle name="Normal 28 3" xfId="29350" xr:uid="{00000000-0005-0000-0000-0000A6720000}"/>
    <cellStyle name="Normal 28 3 2" xfId="29351" xr:uid="{00000000-0005-0000-0000-0000A7720000}"/>
    <cellStyle name="Normal 28 3 3" xfId="29352" xr:uid="{00000000-0005-0000-0000-0000A8720000}"/>
    <cellStyle name="Normal 28 4" xfId="29353" xr:uid="{00000000-0005-0000-0000-0000A9720000}"/>
    <cellStyle name="Normal 28 5" xfId="29354" xr:uid="{00000000-0005-0000-0000-0000AA720000}"/>
    <cellStyle name="Normal 28 6" xfId="29355" xr:uid="{00000000-0005-0000-0000-0000AB720000}"/>
    <cellStyle name="Normal 28 7" xfId="29356" xr:uid="{00000000-0005-0000-0000-0000AC720000}"/>
    <cellStyle name="Normal 28 8" xfId="29357" xr:uid="{00000000-0005-0000-0000-0000AD720000}"/>
    <cellStyle name="Normal 28 9" xfId="29358" xr:uid="{00000000-0005-0000-0000-0000AE720000}"/>
    <cellStyle name="Normal 29" xfId="29359" xr:uid="{00000000-0005-0000-0000-0000AF720000}"/>
    <cellStyle name="Normal 29 10" xfId="29360" xr:uid="{00000000-0005-0000-0000-0000B0720000}"/>
    <cellStyle name="Normal 29 11" xfId="29361" xr:uid="{00000000-0005-0000-0000-0000B1720000}"/>
    <cellStyle name="Normal 29 12" xfId="29362" xr:uid="{00000000-0005-0000-0000-0000B2720000}"/>
    <cellStyle name="Normal 29 13" xfId="29363" xr:uid="{00000000-0005-0000-0000-0000B3720000}"/>
    <cellStyle name="Normal 29 14" xfId="29364" xr:uid="{00000000-0005-0000-0000-0000B4720000}"/>
    <cellStyle name="Normal 29 15" xfId="29365" xr:uid="{00000000-0005-0000-0000-0000B5720000}"/>
    <cellStyle name="Normal 29 16" xfId="29366" xr:uid="{00000000-0005-0000-0000-0000B6720000}"/>
    <cellStyle name="Normal 29 17" xfId="29367" xr:uid="{00000000-0005-0000-0000-0000B7720000}"/>
    <cellStyle name="Normal 29 18" xfId="29368" xr:uid="{00000000-0005-0000-0000-0000B8720000}"/>
    <cellStyle name="Normal 29 19" xfId="29369" xr:uid="{00000000-0005-0000-0000-0000B9720000}"/>
    <cellStyle name="Normal 29 2" xfId="29370" xr:uid="{00000000-0005-0000-0000-0000BA720000}"/>
    <cellStyle name="Normal 29 2 2" xfId="29371" xr:uid="{00000000-0005-0000-0000-0000BB720000}"/>
    <cellStyle name="Normal 29 2 3" xfId="29372" xr:uid="{00000000-0005-0000-0000-0000BC720000}"/>
    <cellStyle name="Normal 29 20" xfId="29373" xr:uid="{00000000-0005-0000-0000-0000BD720000}"/>
    <cellStyle name="Normal 29 21" xfId="29374" xr:uid="{00000000-0005-0000-0000-0000BE720000}"/>
    <cellStyle name="Normal 29 22" xfId="29375" xr:uid="{00000000-0005-0000-0000-0000BF720000}"/>
    <cellStyle name="Normal 29 23" xfId="29376" xr:uid="{00000000-0005-0000-0000-0000C0720000}"/>
    <cellStyle name="Normal 29 24" xfId="29377" xr:uid="{00000000-0005-0000-0000-0000C1720000}"/>
    <cellStyle name="Normal 29 25" xfId="29378" xr:uid="{00000000-0005-0000-0000-0000C2720000}"/>
    <cellStyle name="Normal 29 26" xfId="29379" xr:uid="{00000000-0005-0000-0000-0000C3720000}"/>
    <cellStyle name="Normal 29 3" xfId="29380" xr:uid="{00000000-0005-0000-0000-0000C4720000}"/>
    <cellStyle name="Normal 29 3 2" xfId="29381" xr:uid="{00000000-0005-0000-0000-0000C5720000}"/>
    <cellStyle name="Normal 29 3 3" xfId="29382" xr:uid="{00000000-0005-0000-0000-0000C6720000}"/>
    <cellStyle name="Normal 29 4" xfId="29383" xr:uid="{00000000-0005-0000-0000-0000C7720000}"/>
    <cellStyle name="Normal 29 5" xfId="29384" xr:uid="{00000000-0005-0000-0000-0000C8720000}"/>
    <cellStyle name="Normal 29 6" xfId="29385" xr:uid="{00000000-0005-0000-0000-0000C9720000}"/>
    <cellStyle name="Normal 29 7" xfId="29386" xr:uid="{00000000-0005-0000-0000-0000CA720000}"/>
    <cellStyle name="Normal 29 8" xfId="29387" xr:uid="{00000000-0005-0000-0000-0000CB720000}"/>
    <cellStyle name="Normal 29 9" xfId="29388" xr:uid="{00000000-0005-0000-0000-0000CC720000}"/>
    <cellStyle name="Normal 3" xfId="12" xr:uid="{00000000-0005-0000-0000-00000C000000}"/>
    <cellStyle name="Normal 3 10" xfId="29390" xr:uid="{00000000-0005-0000-0000-0000CE720000}"/>
    <cellStyle name="Normal 3 10 2" xfId="29391" xr:uid="{00000000-0005-0000-0000-0000CF720000}"/>
    <cellStyle name="Normal 3 10 3" xfId="29392" xr:uid="{00000000-0005-0000-0000-0000D0720000}"/>
    <cellStyle name="Normal 3 10 4" xfId="29393" xr:uid="{00000000-0005-0000-0000-0000D1720000}"/>
    <cellStyle name="Normal 3 10 5" xfId="29394" xr:uid="{00000000-0005-0000-0000-0000D2720000}"/>
    <cellStyle name="Normal 3 10 6" xfId="29395" xr:uid="{00000000-0005-0000-0000-0000D3720000}"/>
    <cellStyle name="Normal 3 10_Enlaces" xfId="29396" xr:uid="{00000000-0005-0000-0000-0000D4720000}"/>
    <cellStyle name="Normal 3 100" xfId="29397" xr:uid="{00000000-0005-0000-0000-0000D5720000}"/>
    <cellStyle name="Normal 3 100 2" xfId="29398" xr:uid="{00000000-0005-0000-0000-0000D6720000}"/>
    <cellStyle name="Normal 3 100 3" xfId="29399" xr:uid="{00000000-0005-0000-0000-0000D7720000}"/>
    <cellStyle name="Normal 3 101" xfId="29400" xr:uid="{00000000-0005-0000-0000-0000D8720000}"/>
    <cellStyle name="Normal 3 101 2" xfId="29401" xr:uid="{00000000-0005-0000-0000-0000D9720000}"/>
    <cellStyle name="Normal 3 101 3" xfId="29402" xr:uid="{00000000-0005-0000-0000-0000DA720000}"/>
    <cellStyle name="Normal 3 102" xfId="29403" xr:uid="{00000000-0005-0000-0000-0000DB720000}"/>
    <cellStyle name="Normal 3 102 2" xfId="29404" xr:uid="{00000000-0005-0000-0000-0000DC720000}"/>
    <cellStyle name="Normal 3 102 3" xfId="29405" xr:uid="{00000000-0005-0000-0000-0000DD720000}"/>
    <cellStyle name="Normal 3 103" xfId="29406" xr:uid="{00000000-0005-0000-0000-0000DE720000}"/>
    <cellStyle name="Normal 3 103 2" xfId="29407" xr:uid="{00000000-0005-0000-0000-0000DF720000}"/>
    <cellStyle name="Normal 3 103 3" xfId="29408" xr:uid="{00000000-0005-0000-0000-0000E0720000}"/>
    <cellStyle name="Normal 3 104" xfId="29409" xr:uid="{00000000-0005-0000-0000-0000E1720000}"/>
    <cellStyle name="Normal 3 104 2" xfId="29410" xr:uid="{00000000-0005-0000-0000-0000E2720000}"/>
    <cellStyle name="Normal 3 104 3" xfId="29411" xr:uid="{00000000-0005-0000-0000-0000E3720000}"/>
    <cellStyle name="Normal 3 105" xfId="29412" xr:uid="{00000000-0005-0000-0000-0000E4720000}"/>
    <cellStyle name="Normal 3 105 2" xfId="29413" xr:uid="{00000000-0005-0000-0000-0000E5720000}"/>
    <cellStyle name="Normal 3 105 3" xfId="29414" xr:uid="{00000000-0005-0000-0000-0000E6720000}"/>
    <cellStyle name="Normal 3 106" xfId="29415" xr:uid="{00000000-0005-0000-0000-0000E7720000}"/>
    <cellStyle name="Normal 3 106 2" xfId="29416" xr:uid="{00000000-0005-0000-0000-0000E8720000}"/>
    <cellStyle name="Normal 3 106 3" xfId="29417" xr:uid="{00000000-0005-0000-0000-0000E9720000}"/>
    <cellStyle name="Normal 3 107" xfId="29418" xr:uid="{00000000-0005-0000-0000-0000EA720000}"/>
    <cellStyle name="Normal 3 107 2" xfId="29419" xr:uid="{00000000-0005-0000-0000-0000EB720000}"/>
    <cellStyle name="Normal 3 107 3" xfId="29420" xr:uid="{00000000-0005-0000-0000-0000EC720000}"/>
    <cellStyle name="Normal 3 108" xfId="29421" xr:uid="{00000000-0005-0000-0000-0000ED720000}"/>
    <cellStyle name="Normal 3 108 2" xfId="29422" xr:uid="{00000000-0005-0000-0000-0000EE720000}"/>
    <cellStyle name="Normal 3 108 3" xfId="29423" xr:uid="{00000000-0005-0000-0000-0000EF720000}"/>
    <cellStyle name="Normal 3 109" xfId="29424" xr:uid="{00000000-0005-0000-0000-0000F0720000}"/>
    <cellStyle name="Normal 3 109 2" xfId="29425" xr:uid="{00000000-0005-0000-0000-0000F1720000}"/>
    <cellStyle name="Normal 3 109 3" xfId="29426" xr:uid="{00000000-0005-0000-0000-0000F2720000}"/>
    <cellStyle name="Normal 3 11" xfId="29427" xr:uid="{00000000-0005-0000-0000-0000F3720000}"/>
    <cellStyle name="Normal 3 11 2" xfId="29428" xr:uid="{00000000-0005-0000-0000-0000F4720000}"/>
    <cellStyle name="Normal 3 11 3" xfId="29429" xr:uid="{00000000-0005-0000-0000-0000F5720000}"/>
    <cellStyle name="Normal 3 11 4" xfId="29430" xr:uid="{00000000-0005-0000-0000-0000F6720000}"/>
    <cellStyle name="Normal 3 11_Enlaces" xfId="29431" xr:uid="{00000000-0005-0000-0000-0000F7720000}"/>
    <cellStyle name="Normal 3 110" xfId="29432" xr:uid="{00000000-0005-0000-0000-0000F8720000}"/>
    <cellStyle name="Normal 3 110 2" xfId="29433" xr:uid="{00000000-0005-0000-0000-0000F9720000}"/>
    <cellStyle name="Normal 3 110 3" xfId="29434" xr:uid="{00000000-0005-0000-0000-0000FA720000}"/>
    <cellStyle name="Normal 3 111" xfId="29435" xr:uid="{00000000-0005-0000-0000-0000FB720000}"/>
    <cellStyle name="Normal 3 111 2" xfId="29436" xr:uid="{00000000-0005-0000-0000-0000FC720000}"/>
    <cellStyle name="Normal 3 111 3" xfId="29437" xr:uid="{00000000-0005-0000-0000-0000FD720000}"/>
    <cellStyle name="Normal 3 112" xfId="29438" xr:uid="{00000000-0005-0000-0000-0000FE720000}"/>
    <cellStyle name="Normal 3 112 2" xfId="29439" xr:uid="{00000000-0005-0000-0000-0000FF720000}"/>
    <cellStyle name="Normal 3 112 3" xfId="29440" xr:uid="{00000000-0005-0000-0000-000000730000}"/>
    <cellStyle name="Normal 3 113" xfId="29441" xr:uid="{00000000-0005-0000-0000-000001730000}"/>
    <cellStyle name="Normal 3 113 2" xfId="29442" xr:uid="{00000000-0005-0000-0000-000002730000}"/>
    <cellStyle name="Normal 3 113 3" xfId="29443" xr:uid="{00000000-0005-0000-0000-000003730000}"/>
    <cellStyle name="Normal 3 114" xfId="29444" xr:uid="{00000000-0005-0000-0000-000004730000}"/>
    <cellStyle name="Normal 3 114 2" xfId="29445" xr:uid="{00000000-0005-0000-0000-000005730000}"/>
    <cellStyle name="Normal 3 114 3" xfId="29446" xr:uid="{00000000-0005-0000-0000-000006730000}"/>
    <cellStyle name="Normal 3 115" xfId="29447" xr:uid="{00000000-0005-0000-0000-000007730000}"/>
    <cellStyle name="Normal 3 115 2" xfId="29448" xr:uid="{00000000-0005-0000-0000-000008730000}"/>
    <cellStyle name="Normal 3 115 3" xfId="29449" xr:uid="{00000000-0005-0000-0000-000009730000}"/>
    <cellStyle name="Normal 3 116" xfId="29450" xr:uid="{00000000-0005-0000-0000-00000A730000}"/>
    <cellStyle name="Normal 3 116 2" xfId="29451" xr:uid="{00000000-0005-0000-0000-00000B730000}"/>
    <cellStyle name="Normal 3 116 3" xfId="29452" xr:uid="{00000000-0005-0000-0000-00000C730000}"/>
    <cellStyle name="Normal 3 117" xfId="29453" xr:uid="{00000000-0005-0000-0000-00000D730000}"/>
    <cellStyle name="Normal 3 117 2" xfId="29454" xr:uid="{00000000-0005-0000-0000-00000E730000}"/>
    <cellStyle name="Normal 3 117 3" xfId="29455" xr:uid="{00000000-0005-0000-0000-00000F730000}"/>
    <cellStyle name="Normal 3 118" xfId="29456" xr:uid="{00000000-0005-0000-0000-000010730000}"/>
    <cellStyle name="Normal 3 118 2" xfId="29457" xr:uid="{00000000-0005-0000-0000-000011730000}"/>
    <cellStyle name="Normal 3 118 3" xfId="29458" xr:uid="{00000000-0005-0000-0000-000012730000}"/>
    <cellStyle name="Normal 3 119" xfId="29459" xr:uid="{00000000-0005-0000-0000-000013730000}"/>
    <cellStyle name="Normal 3 119 2" xfId="29460" xr:uid="{00000000-0005-0000-0000-000014730000}"/>
    <cellStyle name="Normal 3 119 3" xfId="29461" xr:uid="{00000000-0005-0000-0000-000015730000}"/>
    <cellStyle name="Normal 3 12" xfId="29462" xr:uid="{00000000-0005-0000-0000-000016730000}"/>
    <cellStyle name="Normal 3 12 2" xfId="29463" xr:uid="{00000000-0005-0000-0000-000017730000}"/>
    <cellStyle name="Normal 3 12 3" xfId="29464" xr:uid="{00000000-0005-0000-0000-000018730000}"/>
    <cellStyle name="Normal 3 12_Enlaces" xfId="29465" xr:uid="{00000000-0005-0000-0000-000019730000}"/>
    <cellStyle name="Normal 3 120" xfId="29466" xr:uid="{00000000-0005-0000-0000-00001A730000}"/>
    <cellStyle name="Normal 3 120 2" xfId="29467" xr:uid="{00000000-0005-0000-0000-00001B730000}"/>
    <cellStyle name="Normal 3 120 3" xfId="29468" xr:uid="{00000000-0005-0000-0000-00001C730000}"/>
    <cellStyle name="Normal 3 121" xfId="29469" xr:uid="{00000000-0005-0000-0000-00001D730000}"/>
    <cellStyle name="Normal 3 121 2" xfId="29470" xr:uid="{00000000-0005-0000-0000-00001E730000}"/>
    <cellStyle name="Normal 3 121 3" xfId="29471" xr:uid="{00000000-0005-0000-0000-00001F730000}"/>
    <cellStyle name="Normal 3 122" xfId="29472" xr:uid="{00000000-0005-0000-0000-000020730000}"/>
    <cellStyle name="Normal 3 122 2" xfId="29473" xr:uid="{00000000-0005-0000-0000-000021730000}"/>
    <cellStyle name="Normal 3 122 3" xfId="29474" xr:uid="{00000000-0005-0000-0000-000022730000}"/>
    <cellStyle name="Normal 3 123" xfId="29475" xr:uid="{00000000-0005-0000-0000-000023730000}"/>
    <cellStyle name="Normal 3 123 2" xfId="29476" xr:uid="{00000000-0005-0000-0000-000024730000}"/>
    <cellStyle name="Normal 3 123 3" xfId="29477" xr:uid="{00000000-0005-0000-0000-000025730000}"/>
    <cellStyle name="Normal 3 124" xfId="29478" xr:uid="{00000000-0005-0000-0000-000026730000}"/>
    <cellStyle name="Normal 3 125" xfId="29479" xr:uid="{00000000-0005-0000-0000-000027730000}"/>
    <cellStyle name="Normal 3 126" xfId="29480" xr:uid="{00000000-0005-0000-0000-000028730000}"/>
    <cellStyle name="Normal 3 127" xfId="29481" xr:uid="{00000000-0005-0000-0000-000029730000}"/>
    <cellStyle name="Normal 3 128" xfId="29482" xr:uid="{00000000-0005-0000-0000-00002A730000}"/>
    <cellStyle name="Normal 3 129" xfId="29483" xr:uid="{00000000-0005-0000-0000-00002B730000}"/>
    <cellStyle name="Normal 3 13" xfId="29484" xr:uid="{00000000-0005-0000-0000-00002C730000}"/>
    <cellStyle name="Normal 3 13 2" xfId="29485" xr:uid="{00000000-0005-0000-0000-00002D730000}"/>
    <cellStyle name="Normal 3 13 3" xfId="29486" xr:uid="{00000000-0005-0000-0000-00002E730000}"/>
    <cellStyle name="Normal 3 13_Enlaces" xfId="29487" xr:uid="{00000000-0005-0000-0000-00002F730000}"/>
    <cellStyle name="Normal 3 130" xfId="29488" xr:uid="{00000000-0005-0000-0000-000030730000}"/>
    <cellStyle name="Normal 3 131" xfId="29489" xr:uid="{00000000-0005-0000-0000-000031730000}"/>
    <cellStyle name="Normal 3 131 2" xfId="29490" xr:uid="{00000000-0005-0000-0000-000032730000}"/>
    <cellStyle name="Normal 3 132" xfId="29491" xr:uid="{00000000-0005-0000-0000-000033730000}"/>
    <cellStyle name="Normal 3 132 2" xfId="29492" xr:uid="{00000000-0005-0000-0000-000034730000}"/>
    <cellStyle name="Normal 3 133" xfId="29493" xr:uid="{00000000-0005-0000-0000-000035730000}"/>
    <cellStyle name="Normal 3 133 2" xfId="29494" xr:uid="{00000000-0005-0000-0000-000036730000}"/>
    <cellStyle name="Normal 3 134" xfId="29495" xr:uid="{00000000-0005-0000-0000-000037730000}"/>
    <cellStyle name="Normal 3 134 2" xfId="29496" xr:uid="{00000000-0005-0000-0000-000038730000}"/>
    <cellStyle name="Normal 3 135" xfId="29497" xr:uid="{00000000-0005-0000-0000-000039730000}"/>
    <cellStyle name="Normal 3 135 2" xfId="29498" xr:uid="{00000000-0005-0000-0000-00003A730000}"/>
    <cellStyle name="Normal 3 136" xfId="29499" xr:uid="{00000000-0005-0000-0000-00003B730000}"/>
    <cellStyle name="Normal 3 136 2" xfId="29500" xr:uid="{00000000-0005-0000-0000-00003C730000}"/>
    <cellStyle name="Normal 3 137" xfId="29501" xr:uid="{00000000-0005-0000-0000-00003D730000}"/>
    <cellStyle name="Normal 3 137 2" xfId="29502" xr:uid="{00000000-0005-0000-0000-00003E730000}"/>
    <cellStyle name="Normal 3 138" xfId="29503" xr:uid="{00000000-0005-0000-0000-00003F730000}"/>
    <cellStyle name="Normal 3 138 2" xfId="29504" xr:uid="{00000000-0005-0000-0000-000040730000}"/>
    <cellStyle name="Normal 3 139" xfId="29505" xr:uid="{00000000-0005-0000-0000-000041730000}"/>
    <cellStyle name="Normal 3 139 2" xfId="29506" xr:uid="{00000000-0005-0000-0000-000042730000}"/>
    <cellStyle name="Normal 3 14" xfId="29507" xr:uid="{00000000-0005-0000-0000-000043730000}"/>
    <cellStyle name="Normal 3 14 2" xfId="29508" xr:uid="{00000000-0005-0000-0000-000044730000}"/>
    <cellStyle name="Normal 3 14 3" xfId="29509" xr:uid="{00000000-0005-0000-0000-000045730000}"/>
    <cellStyle name="Normal 3 14_Enlaces" xfId="29510" xr:uid="{00000000-0005-0000-0000-000046730000}"/>
    <cellStyle name="Normal 3 140" xfId="29511" xr:uid="{00000000-0005-0000-0000-000047730000}"/>
    <cellStyle name="Normal 3 140 2" xfId="29512" xr:uid="{00000000-0005-0000-0000-000048730000}"/>
    <cellStyle name="Normal 3 141" xfId="29513" xr:uid="{00000000-0005-0000-0000-000049730000}"/>
    <cellStyle name="Normal 3 141 2" xfId="29514" xr:uid="{00000000-0005-0000-0000-00004A730000}"/>
    <cellStyle name="Normal 3 142" xfId="29515" xr:uid="{00000000-0005-0000-0000-00004B730000}"/>
    <cellStyle name="Normal 3 143" xfId="29516" xr:uid="{00000000-0005-0000-0000-00004C730000}"/>
    <cellStyle name="Normal 3 143 2" xfId="29517" xr:uid="{00000000-0005-0000-0000-00004D730000}"/>
    <cellStyle name="Normal 3 144" xfId="29518" xr:uid="{00000000-0005-0000-0000-00004E730000}"/>
    <cellStyle name="Normal 3 145" xfId="29519" xr:uid="{00000000-0005-0000-0000-00004F730000}"/>
    <cellStyle name="Normal 3 146" xfId="29389" xr:uid="{00000000-0005-0000-0000-0000CD720000}"/>
    <cellStyle name="Normal 3 15" xfId="29520" xr:uid="{00000000-0005-0000-0000-000050730000}"/>
    <cellStyle name="Normal 3 15 2" xfId="29521" xr:uid="{00000000-0005-0000-0000-000051730000}"/>
    <cellStyle name="Normal 3 15 3" xfId="29522" xr:uid="{00000000-0005-0000-0000-000052730000}"/>
    <cellStyle name="Normal 3 15_Enlaces" xfId="29523" xr:uid="{00000000-0005-0000-0000-000053730000}"/>
    <cellStyle name="Normal 3 16" xfId="29524" xr:uid="{00000000-0005-0000-0000-000054730000}"/>
    <cellStyle name="Normal 3 16 2" xfId="29525" xr:uid="{00000000-0005-0000-0000-000055730000}"/>
    <cellStyle name="Normal 3 16 3" xfId="29526" xr:uid="{00000000-0005-0000-0000-000056730000}"/>
    <cellStyle name="Normal 3 16_Enlaces" xfId="29527" xr:uid="{00000000-0005-0000-0000-000057730000}"/>
    <cellStyle name="Normal 3 17" xfId="29528" xr:uid="{00000000-0005-0000-0000-000058730000}"/>
    <cellStyle name="Normal 3 17 2" xfId="29529" xr:uid="{00000000-0005-0000-0000-000059730000}"/>
    <cellStyle name="Normal 3 17 3" xfId="29530" xr:uid="{00000000-0005-0000-0000-00005A730000}"/>
    <cellStyle name="Normal 3 17_Enlaces" xfId="29531" xr:uid="{00000000-0005-0000-0000-00005B730000}"/>
    <cellStyle name="Normal 3 18" xfId="29532" xr:uid="{00000000-0005-0000-0000-00005C730000}"/>
    <cellStyle name="Normal 3 18 2" xfId="29533" xr:uid="{00000000-0005-0000-0000-00005D730000}"/>
    <cellStyle name="Normal 3 18 3" xfId="29534" xr:uid="{00000000-0005-0000-0000-00005E730000}"/>
    <cellStyle name="Normal 3 18_Enlaces" xfId="29535" xr:uid="{00000000-0005-0000-0000-00005F730000}"/>
    <cellStyle name="Normal 3 19" xfId="29536" xr:uid="{00000000-0005-0000-0000-000060730000}"/>
    <cellStyle name="Normal 3 19 2" xfId="29537" xr:uid="{00000000-0005-0000-0000-000061730000}"/>
    <cellStyle name="Normal 3 19 3" xfId="29538" xr:uid="{00000000-0005-0000-0000-000062730000}"/>
    <cellStyle name="Normal 3 19_Enlaces" xfId="29539" xr:uid="{00000000-0005-0000-0000-000063730000}"/>
    <cellStyle name="Normal 3 2" xfId="57" xr:uid="{00000000-0005-0000-0000-000039000000}"/>
    <cellStyle name="Normal 3 2 10" xfId="29541" xr:uid="{00000000-0005-0000-0000-000065730000}"/>
    <cellStyle name="Normal 3 2 10 2" xfId="29542" xr:uid="{00000000-0005-0000-0000-000066730000}"/>
    <cellStyle name="Normal 3 2 10 3" xfId="29543" xr:uid="{00000000-0005-0000-0000-000067730000}"/>
    <cellStyle name="Normal 3 2 11" xfId="29544" xr:uid="{00000000-0005-0000-0000-000068730000}"/>
    <cellStyle name="Normal 3 2 11 2" xfId="29545" xr:uid="{00000000-0005-0000-0000-000069730000}"/>
    <cellStyle name="Normal 3 2 12" xfId="29546" xr:uid="{00000000-0005-0000-0000-00006A730000}"/>
    <cellStyle name="Normal 3 2 12 2" xfId="29547" xr:uid="{00000000-0005-0000-0000-00006B730000}"/>
    <cellStyle name="Normal 3 2 13" xfId="29548" xr:uid="{00000000-0005-0000-0000-00006C730000}"/>
    <cellStyle name="Normal 3 2 13 2" xfId="29549" xr:uid="{00000000-0005-0000-0000-00006D730000}"/>
    <cellStyle name="Normal 3 2 14" xfId="29550" xr:uid="{00000000-0005-0000-0000-00006E730000}"/>
    <cellStyle name="Normal 3 2 14 2" xfId="29551" xr:uid="{00000000-0005-0000-0000-00006F730000}"/>
    <cellStyle name="Normal 3 2 15" xfId="29552" xr:uid="{00000000-0005-0000-0000-000070730000}"/>
    <cellStyle name="Normal 3 2 15 2" xfId="29553" xr:uid="{00000000-0005-0000-0000-000071730000}"/>
    <cellStyle name="Normal 3 2 16" xfId="29554" xr:uid="{00000000-0005-0000-0000-000072730000}"/>
    <cellStyle name="Normal 3 2 16 2" xfId="29555" xr:uid="{00000000-0005-0000-0000-000073730000}"/>
    <cellStyle name="Normal 3 2 17" xfId="29556" xr:uid="{00000000-0005-0000-0000-000074730000}"/>
    <cellStyle name="Normal 3 2 17 2" xfId="29557" xr:uid="{00000000-0005-0000-0000-000075730000}"/>
    <cellStyle name="Normal 3 2 18" xfId="29558" xr:uid="{00000000-0005-0000-0000-000076730000}"/>
    <cellStyle name="Normal 3 2 18 2" xfId="29559" xr:uid="{00000000-0005-0000-0000-000077730000}"/>
    <cellStyle name="Normal 3 2 19" xfId="29560" xr:uid="{00000000-0005-0000-0000-000078730000}"/>
    <cellStyle name="Normal 3 2 19 2" xfId="29561" xr:uid="{00000000-0005-0000-0000-000079730000}"/>
    <cellStyle name="Normal 3 2 2" xfId="29562" xr:uid="{00000000-0005-0000-0000-00007A730000}"/>
    <cellStyle name="Normal 3 2 2 2" xfId="29563" xr:uid="{00000000-0005-0000-0000-00007B730000}"/>
    <cellStyle name="Normal 3 2 2 2 2" xfId="29564" xr:uid="{00000000-0005-0000-0000-00007C730000}"/>
    <cellStyle name="Normal 3 2 20" xfId="29565" xr:uid="{00000000-0005-0000-0000-00007D730000}"/>
    <cellStyle name="Normal 3 2 20 2" xfId="29566" xr:uid="{00000000-0005-0000-0000-00007E730000}"/>
    <cellStyle name="Normal 3 2 21" xfId="29567" xr:uid="{00000000-0005-0000-0000-00007F730000}"/>
    <cellStyle name="Normal 3 2 21 2" xfId="29568" xr:uid="{00000000-0005-0000-0000-000080730000}"/>
    <cellStyle name="Normal 3 2 22" xfId="29569" xr:uid="{00000000-0005-0000-0000-000081730000}"/>
    <cellStyle name="Normal 3 2 22 2" xfId="29570" xr:uid="{00000000-0005-0000-0000-000082730000}"/>
    <cellStyle name="Normal 3 2 23" xfId="29571" xr:uid="{00000000-0005-0000-0000-000083730000}"/>
    <cellStyle name="Normal 3 2 23 2" xfId="29572" xr:uid="{00000000-0005-0000-0000-000084730000}"/>
    <cellStyle name="Normal 3 2 24" xfId="29573" xr:uid="{00000000-0005-0000-0000-000085730000}"/>
    <cellStyle name="Normal 3 2 24 2" xfId="29574" xr:uid="{00000000-0005-0000-0000-000086730000}"/>
    <cellStyle name="Normal 3 2 25" xfId="29575" xr:uid="{00000000-0005-0000-0000-000087730000}"/>
    <cellStyle name="Normal 3 2 25 2" xfId="29576" xr:uid="{00000000-0005-0000-0000-000088730000}"/>
    <cellStyle name="Normal 3 2 26" xfId="29577" xr:uid="{00000000-0005-0000-0000-000089730000}"/>
    <cellStyle name="Normal 3 2 27" xfId="29578" xr:uid="{00000000-0005-0000-0000-00008A730000}"/>
    <cellStyle name="Normal 3 2 28" xfId="29579" xr:uid="{00000000-0005-0000-0000-00008B730000}"/>
    <cellStyle name="Normal 3 2 29" xfId="29580" xr:uid="{00000000-0005-0000-0000-00008C730000}"/>
    <cellStyle name="Normal 3 2 3" xfId="29581" xr:uid="{00000000-0005-0000-0000-00008D730000}"/>
    <cellStyle name="Normal 3 2 3 2" xfId="29582" xr:uid="{00000000-0005-0000-0000-00008E730000}"/>
    <cellStyle name="Normal 3 2 3 3" xfId="29583" xr:uid="{00000000-0005-0000-0000-00008F730000}"/>
    <cellStyle name="Normal 3 2 30" xfId="29584" xr:uid="{00000000-0005-0000-0000-000090730000}"/>
    <cellStyle name="Normal 3 2 31" xfId="29585" xr:uid="{00000000-0005-0000-0000-000091730000}"/>
    <cellStyle name="Normal 3 2 32" xfId="29586" xr:uid="{00000000-0005-0000-0000-000092730000}"/>
    <cellStyle name="Normal 3 2 33" xfId="29587" xr:uid="{00000000-0005-0000-0000-000093730000}"/>
    <cellStyle name="Normal 3 2 34" xfId="29588" xr:uid="{00000000-0005-0000-0000-000094730000}"/>
    <cellStyle name="Normal 3 2 35" xfId="29589" xr:uid="{00000000-0005-0000-0000-000095730000}"/>
    <cellStyle name="Normal 3 2 36" xfId="29590" xr:uid="{00000000-0005-0000-0000-000096730000}"/>
    <cellStyle name="Normal 3 2 37" xfId="29591" xr:uid="{00000000-0005-0000-0000-000097730000}"/>
    <cellStyle name="Normal 3 2 38" xfId="29592" xr:uid="{00000000-0005-0000-0000-000098730000}"/>
    <cellStyle name="Normal 3 2 39" xfId="29593" xr:uid="{00000000-0005-0000-0000-000099730000}"/>
    <cellStyle name="Normal 3 2 4" xfId="29594" xr:uid="{00000000-0005-0000-0000-00009A730000}"/>
    <cellStyle name="Normal 3 2 4 2" xfId="29595" xr:uid="{00000000-0005-0000-0000-00009B730000}"/>
    <cellStyle name="Normal 3 2 4 3" xfId="29596" xr:uid="{00000000-0005-0000-0000-00009C730000}"/>
    <cellStyle name="Normal 3 2 40" xfId="29597" xr:uid="{00000000-0005-0000-0000-00009D730000}"/>
    <cellStyle name="Normal 3 2 41" xfId="29598" xr:uid="{00000000-0005-0000-0000-00009E730000}"/>
    <cellStyle name="Normal 3 2 42" xfId="29599" xr:uid="{00000000-0005-0000-0000-00009F730000}"/>
    <cellStyle name="Normal 3 2 43" xfId="29600" xr:uid="{00000000-0005-0000-0000-0000A0730000}"/>
    <cellStyle name="Normal 3 2 44" xfId="29601" xr:uid="{00000000-0005-0000-0000-0000A1730000}"/>
    <cellStyle name="Normal 3 2 45" xfId="29602" xr:uid="{00000000-0005-0000-0000-0000A2730000}"/>
    <cellStyle name="Normal 3 2 46" xfId="29603" xr:uid="{00000000-0005-0000-0000-0000A3730000}"/>
    <cellStyle name="Normal 3 2 47" xfId="29604" xr:uid="{00000000-0005-0000-0000-0000A4730000}"/>
    <cellStyle name="Normal 3 2 48" xfId="29605" xr:uid="{00000000-0005-0000-0000-0000A5730000}"/>
    <cellStyle name="Normal 3 2 49" xfId="29606" xr:uid="{00000000-0005-0000-0000-0000A6730000}"/>
    <cellStyle name="Normal 3 2 5" xfId="29607" xr:uid="{00000000-0005-0000-0000-0000A7730000}"/>
    <cellStyle name="Normal 3 2 5 2" xfId="29608" xr:uid="{00000000-0005-0000-0000-0000A8730000}"/>
    <cellStyle name="Normal 3 2 5 3" xfId="29609" xr:uid="{00000000-0005-0000-0000-0000A9730000}"/>
    <cellStyle name="Normal 3 2 50" xfId="29610" xr:uid="{00000000-0005-0000-0000-0000AA730000}"/>
    <cellStyle name="Normal 3 2 51" xfId="29611" xr:uid="{00000000-0005-0000-0000-0000AB730000}"/>
    <cellStyle name="Normal 3 2 52" xfId="29612" xr:uid="{00000000-0005-0000-0000-0000AC730000}"/>
    <cellStyle name="Normal 3 2 53" xfId="29613" xr:uid="{00000000-0005-0000-0000-0000AD730000}"/>
    <cellStyle name="Normal 3 2 54" xfId="29614" xr:uid="{00000000-0005-0000-0000-0000AE730000}"/>
    <cellStyle name="Normal 3 2 55" xfId="29615" xr:uid="{00000000-0005-0000-0000-0000AF730000}"/>
    <cellStyle name="Normal 3 2 56" xfId="29616" xr:uid="{00000000-0005-0000-0000-0000B0730000}"/>
    <cellStyle name="Normal 3 2 57" xfId="29617" xr:uid="{00000000-0005-0000-0000-0000B1730000}"/>
    <cellStyle name="Normal 3 2 58" xfId="29618" xr:uid="{00000000-0005-0000-0000-0000B2730000}"/>
    <cellStyle name="Normal 3 2 59" xfId="29619" xr:uid="{00000000-0005-0000-0000-0000B3730000}"/>
    <cellStyle name="Normal 3 2 6" xfId="29620" xr:uid="{00000000-0005-0000-0000-0000B4730000}"/>
    <cellStyle name="Normal 3 2 6 2" xfId="29621" xr:uid="{00000000-0005-0000-0000-0000B5730000}"/>
    <cellStyle name="Normal 3 2 6 3" xfId="29622" xr:uid="{00000000-0005-0000-0000-0000B6730000}"/>
    <cellStyle name="Normal 3 2 60" xfId="29623" xr:uid="{00000000-0005-0000-0000-0000B7730000}"/>
    <cellStyle name="Normal 3 2 61" xfId="29624" xr:uid="{00000000-0005-0000-0000-0000B8730000}"/>
    <cellStyle name="Normal 3 2 62" xfId="29625" xr:uid="{00000000-0005-0000-0000-0000B9730000}"/>
    <cellStyle name="Normal 3 2 63" xfId="29626" xr:uid="{00000000-0005-0000-0000-0000BA730000}"/>
    <cellStyle name="Normal 3 2 64" xfId="29627" xr:uid="{00000000-0005-0000-0000-0000BB730000}"/>
    <cellStyle name="Normal 3 2 65" xfId="29628" xr:uid="{00000000-0005-0000-0000-0000BC730000}"/>
    <cellStyle name="Normal 3 2 66" xfId="29629" xr:uid="{00000000-0005-0000-0000-0000BD730000}"/>
    <cellStyle name="Normal 3 2 67" xfId="29630" xr:uid="{00000000-0005-0000-0000-0000BE730000}"/>
    <cellStyle name="Normal 3 2 68" xfId="29631" xr:uid="{00000000-0005-0000-0000-0000BF730000}"/>
    <cellStyle name="Normal 3 2 69" xfId="29632" xr:uid="{00000000-0005-0000-0000-0000C0730000}"/>
    <cellStyle name="Normal 3 2 7" xfId="29633" xr:uid="{00000000-0005-0000-0000-0000C1730000}"/>
    <cellStyle name="Normal 3 2 7 2" xfId="29634" xr:uid="{00000000-0005-0000-0000-0000C2730000}"/>
    <cellStyle name="Normal 3 2 7 3" xfId="29635" xr:uid="{00000000-0005-0000-0000-0000C3730000}"/>
    <cellStyle name="Normal 3 2 70" xfId="29636" xr:uid="{00000000-0005-0000-0000-0000C4730000}"/>
    <cellStyle name="Normal 3 2 71" xfId="29637" xr:uid="{00000000-0005-0000-0000-0000C5730000}"/>
    <cellStyle name="Normal 3 2 72" xfId="29638" xr:uid="{00000000-0005-0000-0000-0000C6730000}"/>
    <cellStyle name="Normal 3 2 73" xfId="29639" xr:uid="{00000000-0005-0000-0000-0000C7730000}"/>
    <cellStyle name="Normal 3 2 74" xfId="29640" xr:uid="{00000000-0005-0000-0000-0000C8730000}"/>
    <cellStyle name="Normal 3 2 75" xfId="29641" xr:uid="{00000000-0005-0000-0000-0000C9730000}"/>
    <cellStyle name="Normal 3 2 76" xfId="29642" xr:uid="{00000000-0005-0000-0000-0000CA730000}"/>
    <cellStyle name="Normal 3 2 77" xfId="29643" xr:uid="{00000000-0005-0000-0000-0000CB730000}"/>
    <cellStyle name="Normal 3 2 78" xfId="29644" xr:uid="{00000000-0005-0000-0000-0000CC730000}"/>
    <cellStyle name="Normal 3 2 79" xfId="29645" xr:uid="{00000000-0005-0000-0000-0000CD730000}"/>
    <cellStyle name="Normal 3 2 8" xfId="29646" xr:uid="{00000000-0005-0000-0000-0000CE730000}"/>
    <cellStyle name="Normal 3 2 8 2" xfId="29647" xr:uid="{00000000-0005-0000-0000-0000CF730000}"/>
    <cellStyle name="Normal 3 2 8 3" xfId="29648" xr:uid="{00000000-0005-0000-0000-0000D0730000}"/>
    <cellStyle name="Normal 3 2 80" xfId="29649" xr:uid="{00000000-0005-0000-0000-0000D1730000}"/>
    <cellStyle name="Normal 3 2 81" xfId="29650" xr:uid="{00000000-0005-0000-0000-0000D2730000}"/>
    <cellStyle name="Normal 3 2 82" xfId="29651" xr:uid="{00000000-0005-0000-0000-0000D3730000}"/>
    <cellStyle name="Normal 3 2 83" xfId="29652" xr:uid="{00000000-0005-0000-0000-0000D4730000}"/>
    <cellStyle name="Normal 3 2 84" xfId="29653" xr:uid="{00000000-0005-0000-0000-0000D5730000}"/>
    <cellStyle name="Normal 3 2 85" xfId="29654" xr:uid="{00000000-0005-0000-0000-0000D6730000}"/>
    <cellStyle name="Normal 3 2 86" xfId="29655" xr:uid="{00000000-0005-0000-0000-0000D7730000}"/>
    <cellStyle name="Normal 3 2 87" xfId="29656" xr:uid="{00000000-0005-0000-0000-0000D8730000}"/>
    <cellStyle name="Normal 3 2 88" xfId="29657" xr:uid="{00000000-0005-0000-0000-0000D9730000}"/>
    <cellStyle name="Normal 3 2 89" xfId="29658" xr:uid="{00000000-0005-0000-0000-0000DA730000}"/>
    <cellStyle name="Normal 3 2 9" xfId="29659" xr:uid="{00000000-0005-0000-0000-0000DB730000}"/>
    <cellStyle name="Normal 3 2 9 2" xfId="29660" xr:uid="{00000000-0005-0000-0000-0000DC730000}"/>
    <cellStyle name="Normal 3 2 9 3" xfId="29661" xr:uid="{00000000-0005-0000-0000-0000DD730000}"/>
    <cellStyle name="Normal 3 2 90" xfId="29662" xr:uid="{00000000-0005-0000-0000-0000DE730000}"/>
    <cellStyle name="Normal 3 2 91" xfId="29663" xr:uid="{00000000-0005-0000-0000-0000DF730000}"/>
    <cellStyle name="Normal 3 2 92" xfId="29664" xr:uid="{00000000-0005-0000-0000-0000E0730000}"/>
    <cellStyle name="Normal 3 2 93" xfId="29665" xr:uid="{00000000-0005-0000-0000-0000E1730000}"/>
    <cellStyle name="Normal 3 2 94" xfId="29666" xr:uid="{00000000-0005-0000-0000-0000E2730000}"/>
    <cellStyle name="Normal 3 2 95" xfId="29540" xr:uid="{00000000-0005-0000-0000-000064730000}"/>
    <cellStyle name="Normal 3 2_Xa Parametrización de Usuarios" xfId="29667" xr:uid="{00000000-0005-0000-0000-0000E3730000}"/>
    <cellStyle name="Normal 3 20" xfId="29668" xr:uid="{00000000-0005-0000-0000-0000E4730000}"/>
    <cellStyle name="Normal 3 20 2" xfId="29669" xr:uid="{00000000-0005-0000-0000-0000E5730000}"/>
    <cellStyle name="Normal 3 20 3" xfId="29670" xr:uid="{00000000-0005-0000-0000-0000E6730000}"/>
    <cellStyle name="Normal 3 20_Enlaces" xfId="29671" xr:uid="{00000000-0005-0000-0000-0000E7730000}"/>
    <cellStyle name="Normal 3 21" xfId="29672" xr:uid="{00000000-0005-0000-0000-0000E8730000}"/>
    <cellStyle name="Normal 3 21 2" xfId="29673" xr:uid="{00000000-0005-0000-0000-0000E9730000}"/>
    <cellStyle name="Normal 3 21_Enlaces" xfId="29674" xr:uid="{00000000-0005-0000-0000-0000EA730000}"/>
    <cellStyle name="Normal 3 22" xfId="29675" xr:uid="{00000000-0005-0000-0000-0000EB730000}"/>
    <cellStyle name="Normal 3 22 2" xfId="29676" xr:uid="{00000000-0005-0000-0000-0000EC730000}"/>
    <cellStyle name="Normal 3 22_Enlaces" xfId="29677" xr:uid="{00000000-0005-0000-0000-0000ED730000}"/>
    <cellStyle name="Normal 3 23" xfId="29678" xr:uid="{00000000-0005-0000-0000-0000EE730000}"/>
    <cellStyle name="Normal 3 23 2" xfId="29679" xr:uid="{00000000-0005-0000-0000-0000EF730000}"/>
    <cellStyle name="Normal 3 23_Enlaces" xfId="29680" xr:uid="{00000000-0005-0000-0000-0000F0730000}"/>
    <cellStyle name="Normal 3 24" xfId="29681" xr:uid="{00000000-0005-0000-0000-0000F1730000}"/>
    <cellStyle name="Normal 3 24 2" xfId="29682" xr:uid="{00000000-0005-0000-0000-0000F2730000}"/>
    <cellStyle name="Normal 3 24_Enlaces" xfId="29683" xr:uid="{00000000-0005-0000-0000-0000F3730000}"/>
    <cellStyle name="Normal 3 25" xfId="29684" xr:uid="{00000000-0005-0000-0000-0000F4730000}"/>
    <cellStyle name="Normal 3 25 2" xfId="29685" xr:uid="{00000000-0005-0000-0000-0000F5730000}"/>
    <cellStyle name="Normal 3 25_Enlaces" xfId="29686" xr:uid="{00000000-0005-0000-0000-0000F6730000}"/>
    <cellStyle name="Normal 3 26" xfId="29687" xr:uid="{00000000-0005-0000-0000-0000F7730000}"/>
    <cellStyle name="Normal 3 26 2" xfId="29688" xr:uid="{00000000-0005-0000-0000-0000F8730000}"/>
    <cellStyle name="Normal 3 26_Enlaces" xfId="29689" xr:uid="{00000000-0005-0000-0000-0000F9730000}"/>
    <cellStyle name="Normal 3 27" xfId="29690" xr:uid="{00000000-0005-0000-0000-0000FA730000}"/>
    <cellStyle name="Normal 3 27 2" xfId="29691" xr:uid="{00000000-0005-0000-0000-0000FB730000}"/>
    <cellStyle name="Normal 3 27_Enlaces" xfId="29692" xr:uid="{00000000-0005-0000-0000-0000FC730000}"/>
    <cellStyle name="Normal 3 28" xfId="29693" xr:uid="{00000000-0005-0000-0000-0000FD730000}"/>
    <cellStyle name="Normal 3 29" xfId="29694" xr:uid="{00000000-0005-0000-0000-0000FE730000}"/>
    <cellStyle name="Normal 3 3" xfId="58" xr:uid="{00000000-0005-0000-0000-00003A000000}"/>
    <cellStyle name="Normal 3 3 10" xfId="29696" xr:uid="{00000000-0005-0000-0000-000000740000}"/>
    <cellStyle name="Normal 3 3 11" xfId="29697" xr:uid="{00000000-0005-0000-0000-000001740000}"/>
    <cellStyle name="Normal 3 3 12" xfId="29698" xr:uid="{00000000-0005-0000-0000-000002740000}"/>
    <cellStyle name="Normal 3 3 13" xfId="29699" xr:uid="{00000000-0005-0000-0000-000003740000}"/>
    <cellStyle name="Normal 3 3 14" xfId="29700" xr:uid="{00000000-0005-0000-0000-000004740000}"/>
    <cellStyle name="Normal 3 3 15" xfId="29701" xr:uid="{00000000-0005-0000-0000-000005740000}"/>
    <cellStyle name="Normal 3 3 16" xfId="29702" xr:uid="{00000000-0005-0000-0000-000006740000}"/>
    <cellStyle name="Normal 3 3 17" xfId="29703" xr:uid="{00000000-0005-0000-0000-000007740000}"/>
    <cellStyle name="Normal 3 3 18" xfId="29704" xr:uid="{00000000-0005-0000-0000-000008740000}"/>
    <cellStyle name="Normal 3 3 19" xfId="29705" xr:uid="{00000000-0005-0000-0000-000009740000}"/>
    <cellStyle name="Normal 3 3 2" xfId="29706" xr:uid="{00000000-0005-0000-0000-00000A740000}"/>
    <cellStyle name="Normal 3 3 2 2" xfId="29707" xr:uid="{00000000-0005-0000-0000-00000B740000}"/>
    <cellStyle name="Normal 3 3 2 3" xfId="29708" xr:uid="{00000000-0005-0000-0000-00000C740000}"/>
    <cellStyle name="Normal 3 3 20" xfId="29709" xr:uid="{00000000-0005-0000-0000-00000D740000}"/>
    <cellStyle name="Normal 3 3 21" xfId="29710" xr:uid="{00000000-0005-0000-0000-00000E740000}"/>
    <cellStyle name="Normal 3 3 22" xfId="29711" xr:uid="{00000000-0005-0000-0000-00000F740000}"/>
    <cellStyle name="Normal 3 3 23" xfId="29712" xr:uid="{00000000-0005-0000-0000-000010740000}"/>
    <cellStyle name="Normal 3 3 24" xfId="29713" xr:uid="{00000000-0005-0000-0000-000011740000}"/>
    <cellStyle name="Normal 3 3 25" xfId="29714" xr:uid="{00000000-0005-0000-0000-000012740000}"/>
    <cellStyle name="Normal 3 3 26" xfId="29715" xr:uid="{00000000-0005-0000-0000-000013740000}"/>
    <cellStyle name="Normal 3 3 27" xfId="29716" xr:uid="{00000000-0005-0000-0000-000014740000}"/>
    <cellStyle name="Normal 3 3 28" xfId="29717" xr:uid="{00000000-0005-0000-0000-000015740000}"/>
    <cellStyle name="Normal 3 3 29" xfId="29718" xr:uid="{00000000-0005-0000-0000-000016740000}"/>
    <cellStyle name="Normal 3 3 3" xfId="29719" xr:uid="{00000000-0005-0000-0000-000017740000}"/>
    <cellStyle name="Normal 3 3 30" xfId="29720" xr:uid="{00000000-0005-0000-0000-000018740000}"/>
    <cellStyle name="Normal 3 3 31" xfId="29695" xr:uid="{00000000-0005-0000-0000-0000FF730000}"/>
    <cellStyle name="Normal 3 3 4" xfId="29721" xr:uid="{00000000-0005-0000-0000-000019740000}"/>
    <cellStyle name="Normal 3 3 5" xfId="29722" xr:uid="{00000000-0005-0000-0000-00001A740000}"/>
    <cellStyle name="Normal 3 3 6" xfId="29723" xr:uid="{00000000-0005-0000-0000-00001B740000}"/>
    <cellStyle name="Normal 3 3 7" xfId="29724" xr:uid="{00000000-0005-0000-0000-00001C740000}"/>
    <cellStyle name="Normal 3 3 8" xfId="29725" xr:uid="{00000000-0005-0000-0000-00001D740000}"/>
    <cellStyle name="Normal 3 3 9" xfId="29726" xr:uid="{00000000-0005-0000-0000-00001E740000}"/>
    <cellStyle name="Normal 3 3_Enlaces" xfId="29727" xr:uid="{00000000-0005-0000-0000-00001F740000}"/>
    <cellStyle name="Normal 3 30" xfId="29728" xr:uid="{00000000-0005-0000-0000-000020740000}"/>
    <cellStyle name="Normal 3 31" xfId="29729" xr:uid="{00000000-0005-0000-0000-000021740000}"/>
    <cellStyle name="Normal 3 32" xfId="29730" xr:uid="{00000000-0005-0000-0000-000022740000}"/>
    <cellStyle name="Normal 3 33" xfId="29731" xr:uid="{00000000-0005-0000-0000-000023740000}"/>
    <cellStyle name="Normal 3 34" xfId="29732" xr:uid="{00000000-0005-0000-0000-000024740000}"/>
    <cellStyle name="Normal 3 35" xfId="29733" xr:uid="{00000000-0005-0000-0000-000025740000}"/>
    <cellStyle name="Normal 3 36" xfId="29734" xr:uid="{00000000-0005-0000-0000-000026740000}"/>
    <cellStyle name="Normal 3 37" xfId="29735" xr:uid="{00000000-0005-0000-0000-000027740000}"/>
    <cellStyle name="Normal 3 38" xfId="29736" xr:uid="{00000000-0005-0000-0000-000028740000}"/>
    <cellStyle name="Normal 3 39" xfId="29737" xr:uid="{00000000-0005-0000-0000-000029740000}"/>
    <cellStyle name="Normal 3 4" xfId="39" xr:uid="{00000000-0005-0000-0000-000027000000}"/>
    <cellStyle name="Normal 3 4 10" xfId="29739" xr:uid="{00000000-0005-0000-0000-00002B740000}"/>
    <cellStyle name="Normal 3 4 11" xfId="29740" xr:uid="{00000000-0005-0000-0000-00002C740000}"/>
    <cellStyle name="Normal 3 4 12" xfId="29741" xr:uid="{00000000-0005-0000-0000-00002D740000}"/>
    <cellStyle name="Normal 3 4 13" xfId="29742" xr:uid="{00000000-0005-0000-0000-00002E740000}"/>
    <cellStyle name="Normal 3 4 14" xfId="29743" xr:uid="{00000000-0005-0000-0000-00002F740000}"/>
    <cellStyle name="Normal 3 4 15" xfId="29744" xr:uid="{00000000-0005-0000-0000-000030740000}"/>
    <cellStyle name="Normal 3 4 16" xfId="29745" xr:uid="{00000000-0005-0000-0000-000031740000}"/>
    <cellStyle name="Normal 3 4 17" xfId="29746" xr:uid="{00000000-0005-0000-0000-000032740000}"/>
    <cellStyle name="Normal 3 4 18" xfId="29747" xr:uid="{00000000-0005-0000-0000-000033740000}"/>
    <cellStyle name="Normal 3 4 19" xfId="29748" xr:uid="{00000000-0005-0000-0000-000034740000}"/>
    <cellStyle name="Normal 3 4 2" xfId="29749" xr:uid="{00000000-0005-0000-0000-000035740000}"/>
    <cellStyle name="Normal 3 4 2 2" xfId="29750" xr:uid="{00000000-0005-0000-0000-000036740000}"/>
    <cellStyle name="Normal 3 4 20" xfId="29751" xr:uid="{00000000-0005-0000-0000-000037740000}"/>
    <cellStyle name="Normal 3 4 21" xfId="29752" xr:uid="{00000000-0005-0000-0000-000038740000}"/>
    <cellStyle name="Normal 3 4 22" xfId="29753" xr:uid="{00000000-0005-0000-0000-000039740000}"/>
    <cellStyle name="Normal 3 4 23" xfId="29754" xr:uid="{00000000-0005-0000-0000-00003A740000}"/>
    <cellStyle name="Normal 3 4 24" xfId="29755" xr:uid="{00000000-0005-0000-0000-00003B740000}"/>
    <cellStyle name="Normal 3 4 24 2" xfId="29756" xr:uid="{00000000-0005-0000-0000-00003C740000}"/>
    <cellStyle name="Normal 3 4 25" xfId="29738" xr:uid="{00000000-0005-0000-0000-00002A740000}"/>
    <cellStyle name="Normal 3 4 3" xfId="29757" xr:uid="{00000000-0005-0000-0000-00003D740000}"/>
    <cellStyle name="Normal 3 4 4" xfId="29758" xr:uid="{00000000-0005-0000-0000-00003E740000}"/>
    <cellStyle name="Normal 3 4 5" xfId="29759" xr:uid="{00000000-0005-0000-0000-00003F740000}"/>
    <cellStyle name="Normal 3 4 6" xfId="29760" xr:uid="{00000000-0005-0000-0000-000040740000}"/>
    <cellStyle name="Normal 3 4 7" xfId="29761" xr:uid="{00000000-0005-0000-0000-000041740000}"/>
    <cellStyle name="Normal 3 4 8" xfId="29762" xr:uid="{00000000-0005-0000-0000-000042740000}"/>
    <cellStyle name="Normal 3 4 9" xfId="29763" xr:uid="{00000000-0005-0000-0000-000043740000}"/>
    <cellStyle name="Normal 3 4_Enlaces" xfId="29764" xr:uid="{00000000-0005-0000-0000-000044740000}"/>
    <cellStyle name="Normal 3 40" xfId="29765" xr:uid="{00000000-0005-0000-0000-000045740000}"/>
    <cellStyle name="Normal 3 41" xfId="29766" xr:uid="{00000000-0005-0000-0000-000046740000}"/>
    <cellStyle name="Normal 3 42" xfId="29767" xr:uid="{00000000-0005-0000-0000-000047740000}"/>
    <cellStyle name="Normal 3 43" xfId="29768" xr:uid="{00000000-0005-0000-0000-000048740000}"/>
    <cellStyle name="Normal 3 44" xfId="29769" xr:uid="{00000000-0005-0000-0000-000049740000}"/>
    <cellStyle name="Normal 3 45" xfId="29770" xr:uid="{00000000-0005-0000-0000-00004A740000}"/>
    <cellStyle name="Normal 3 46" xfId="29771" xr:uid="{00000000-0005-0000-0000-00004B740000}"/>
    <cellStyle name="Normal 3 47" xfId="29772" xr:uid="{00000000-0005-0000-0000-00004C740000}"/>
    <cellStyle name="Normal 3 48" xfId="29773" xr:uid="{00000000-0005-0000-0000-00004D740000}"/>
    <cellStyle name="Normal 3 49" xfId="29774" xr:uid="{00000000-0005-0000-0000-00004E740000}"/>
    <cellStyle name="Normal 3 5" xfId="29775" xr:uid="{00000000-0005-0000-0000-00004F740000}"/>
    <cellStyle name="Normal 3 5 2" xfId="29776" xr:uid="{00000000-0005-0000-0000-000050740000}"/>
    <cellStyle name="Normal 3 5 3" xfId="29777" xr:uid="{00000000-0005-0000-0000-000051740000}"/>
    <cellStyle name="Normal 3 5 4" xfId="29778" xr:uid="{00000000-0005-0000-0000-000052740000}"/>
    <cellStyle name="Normal 3 5_Enlaces" xfId="29779" xr:uid="{00000000-0005-0000-0000-000053740000}"/>
    <cellStyle name="Normal 3 50" xfId="29780" xr:uid="{00000000-0005-0000-0000-000054740000}"/>
    <cellStyle name="Normal 3 51" xfId="29781" xr:uid="{00000000-0005-0000-0000-000055740000}"/>
    <cellStyle name="Normal 3 52" xfId="29782" xr:uid="{00000000-0005-0000-0000-000056740000}"/>
    <cellStyle name="Normal 3 53" xfId="29783" xr:uid="{00000000-0005-0000-0000-000057740000}"/>
    <cellStyle name="Normal 3 54" xfId="29784" xr:uid="{00000000-0005-0000-0000-000058740000}"/>
    <cellStyle name="Normal 3 55" xfId="29785" xr:uid="{00000000-0005-0000-0000-000059740000}"/>
    <cellStyle name="Normal 3 56" xfId="29786" xr:uid="{00000000-0005-0000-0000-00005A740000}"/>
    <cellStyle name="Normal 3 57" xfId="29787" xr:uid="{00000000-0005-0000-0000-00005B740000}"/>
    <cellStyle name="Normal 3 58" xfId="29788" xr:uid="{00000000-0005-0000-0000-00005C740000}"/>
    <cellStyle name="Normal 3 59" xfId="29789" xr:uid="{00000000-0005-0000-0000-00005D740000}"/>
    <cellStyle name="Normal 3 6" xfId="29790" xr:uid="{00000000-0005-0000-0000-00005E740000}"/>
    <cellStyle name="Normal 3 6 2" xfId="29791" xr:uid="{00000000-0005-0000-0000-00005F740000}"/>
    <cellStyle name="Normal 3 6 3" xfId="29792" xr:uid="{00000000-0005-0000-0000-000060740000}"/>
    <cellStyle name="Normal 3 6 4" xfId="29793" xr:uid="{00000000-0005-0000-0000-000061740000}"/>
    <cellStyle name="Normal 3 6_Enlaces" xfId="29794" xr:uid="{00000000-0005-0000-0000-000062740000}"/>
    <cellStyle name="Normal 3 60" xfId="29795" xr:uid="{00000000-0005-0000-0000-000063740000}"/>
    <cellStyle name="Normal 3 61" xfId="29796" xr:uid="{00000000-0005-0000-0000-000064740000}"/>
    <cellStyle name="Normal 3 62" xfId="29797" xr:uid="{00000000-0005-0000-0000-000065740000}"/>
    <cellStyle name="Normal 3 63" xfId="29798" xr:uid="{00000000-0005-0000-0000-000066740000}"/>
    <cellStyle name="Normal 3 64" xfId="29799" xr:uid="{00000000-0005-0000-0000-000067740000}"/>
    <cellStyle name="Normal 3 65" xfId="29800" xr:uid="{00000000-0005-0000-0000-000068740000}"/>
    <cellStyle name="Normal 3 66" xfId="29801" xr:uid="{00000000-0005-0000-0000-000069740000}"/>
    <cellStyle name="Normal 3 67" xfId="29802" xr:uid="{00000000-0005-0000-0000-00006A740000}"/>
    <cellStyle name="Normal 3 68" xfId="29803" xr:uid="{00000000-0005-0000-0000-00006B740000}"/>
    <cellStyle name="Normal 3 69" xfId="29804" xr:uid="{00000000-0005-0000-0000-00006C740000}"/>
    <cellStyle name="Normal 3 7" xfId="29805" xr:uid="{00000000-0005-0000-0000-00006D740000}"/>
    <cellStyle name="Normal 3 7 2" xfId="29806" xr:uid="{00000000-0005-0000-0000-00006E740000}"/>
    <cellStyle name="Normal 3 7 3" xfId="29807" xr:uid="{00000000-0005-0000-0000-00006F740000}"/>
    <cellStyle name="Normal 3 7 4" xfId="29808" xr:uid="{00000000-0005-0000-0000-000070740000}"/>
    <cellStyle name="Normal 3 7_Enlaces" xfId="29809" xr:uid="{00000000-0005-0000-0000-000071740000}"/>
    <cellStyle name="Normal 3 70" xfId="29810" xr:uid="{00000000-0005-0000-0000-000072740000}"/>
    <cellStyle name="Normal 3 71" xfId="29811" xr:uid="{00000000-0005-0000-0000-000073740000}"/>
    <cellStyle name="Normal 3 72" xfId="29812" xr:uid="{00000000-0005-0000-0000-000074740000}"/>
    <cellStyle name="Normal 3 73" xfId="29813" xr:uid="{00000000-0005-0000-0000-000075740000}"/>
    <cellStyle name="Normal 3 74" xfId="29814" xr:uid="{00000000-0005-0000-0000-000076740000}"/>
    <cellStyle name="Normal 3 75" xfId="29815" xr:uid="{00000000-0005-0000-0000-000077740000}"/>
    <cellStyle name="Normal 3 76" xfId="29816" xr:uid="{00000000-0005-0000-0000-000078740000}"/>
    <cellStyle name="Normal 3 77" xfId="29817" xr:uid="{00000000-0005-0000-0000-000079740000}"/>
    <cellStyle name="Normal 3 78" xfId="29818" xr:uid="{00000000-0005-0000-0000-00007A740000}"/>
    <cellStyle name="Normal 3 79" xfId="29819" xr:uid="{00000000-0005-0000-0000-00007B740000}"/>
    <cellStyle name="Normal 3 8" xfId="29820" xr:uid="{00000000-0005-0000-0000-00007C740000}"/>
    <cellStyle name="Normal 3 8 2" xfId="29821" xr:uid="{00000000-0005-0000-0000-00007D740000}"/>
    <cellStyle name="Normal 3 8 3" xfId="29822" xr:uid="{00000000-0005-0000-0000-00007E740000}"/>
    <cellStyle name="Normal 3 8 4" xfId="29823" xr:uid="{00000000-0005-0000-0000-00007F740000}"/>
    <cellStyle name="Normal 3 8_Enlaces" xfId="29824" xr:uid="{00000000-0005-0000-0000-000080740000}"/>
    <cellStyle name="Normal 3 80" xfId="29825" xr:uid="{00000000-0005-0000-0000-000081740000}"/>
    <cellStyle name="Normal 3 81" xfId="29826" xr:uid="{00000000-0005-0000-0000-000082740000}"/>
    <cellStyle name="Normal 3 82" xfId="29827" xr:uid="{00000000-0005-0000-0000-000083740000}"/>
    <cellStyle name="Normal 3 83" xfId="29828" xr:uid="{00000000-0005-0000-0000-000084740000}"/>
    <cellStyle name="Normal 3 84" xfId="29829" xr:uid="{00000000-0005-0000-0000-000085740000}"/>
    <cellStyle name="Normal 3 85" xfId="29830" xr:uid="{00000000-0005-0000-0000-000086740000}"/>
    <cellStyle name="Normal 3 86" xfId="29831" xr:uid="{00000000-0005-0000-0000-000087740000}"/>
    <cellStyle name="Normal 3 87" xfId="29832" xr:uid="{00000000-0005-0000-0000-000088740000}"/>
    <cellStyle name="Normal 3 88" xfId="29833" xr:uid="{00000000-0005-0000-0000-000089740000}"/>
    <cellStyle name="Normal 3 89" xfId="29834" xr:uid="{00000000-0005-0000-0000-00008A740000}"/>
    <cellStyle name="Normal 3 9" xfId="29835" xr:uid="{00000000-0005-0000-0000-00008B740000}"/>
    <cellStyle name="Normal 3 9 2" xfId="29836" xr:uid="{00000000-0005-0000-0000-00008C740000}"/>
    <cellStyle name="Normal 3 9 3" xfId="29837" xr:uid="{00000000-0005-0000-0000-00008D740000}"/>
    <cellStyle name="Normal 3 9 4" xfId="29838" xr:uid="{00000000-0005-0000-0000-00008E740000}"/>
    <cellStyle name="Normal 3 9_Enlaces" xfId="29839" xr:uid="{00000000-0005-0000-0000-00008F740000}"/>
    <cellStyle name="Normal 3 90" xfId="29840" xr:uid="{00000000-0005-0000-0000-000090740000}"/>
    <cellStyle name="Normal 3 91" xfId="29841" xr:uid="{00000000-0005-0000-0000-000091740000}"/>
    <cellStyle name="Normal 3 92" xfId="29842" xr:uid="{00000000-0005-0000-0000-000092740000}"/>
    <cellStyle name="Normal 3 93" xfId="29843" xr:uid="{00000000-0005-0000-0000-000093740000}"/>
    <cellStyle name="Normal 3 94" xfId="29844" xr:uid="{00000000-0005-0000-0000-000094740000}"/>
    <cellStyle name="Normal 3 95" xfId="29845" xr:uid="{00000000-0005-0000-0000-000095740000}"/>
    <cellStyle name="Normal 3 96" xfId="29846" xr:uid="{00000000-0005-0000-0000-000096740000}"/>
    <cellStyle name="Normal 3 97" xfId="29847" xr:uid="{00000000-0005-0000-0000-000097740000}"/>
    <cellStyle name="Normal 3 98" xfId="29848" xr:uid="{00000000-0005-0000-0000-000098740000}"/>
    <cellStyle name="Normal 3 98 2" xfId="29849" xr:uid="{00000000-0005-0000-0000-000099740000}"/>
    <cellStyle name="Normal 3 98 3" xfId="29850" xr:uid="{00000000-0005-0000-0000-00009A740000}"/>
    <cellStyle name="Normal 3 98 4" xfId="29851" xr:uid="{00000000-0005-0000-0000-00009B740000}"/>
    <cellStyle name="Normal 3 98 5" xfId="29852" xr:uid="{00000000-0005-0000-0000-00009C740000}"/>
    <cellStyle name="Normal 3 98 6" xfId="29853" xr:uid="{00000000-0005-0000-0000-00009D740000}"/>
    <cellStyle name="Normal 3 99" xfId="29854" xr:uid="{00000000-0005-0000-0000-00009E740000}"/>
    <cellStyle name="Normal 3 99 2" xfId="29855" xr:uid="{00000000-0005-0000-0000-00009F740000}"/>
    <cellStyle name="Normal 3 99 3" xfId="29856" xr:uid="{00000000-0005-0000-0000-0000A0740000}"/>
    <cellStyle name="Normal 3 99 4" xfId="29857" xr:uid="{00000000-0005-0000-0000-0000A1740000}"/>
    <cellStyle name="Normal 3 99 5" xfId="29858" xr:uid="{00000000-0005-0000-0000-0000A2740000}"/>
    <cellStyle name="Normal 3 99 6" xfId="29859" xr:uid="{00000000-0005-0000-0000-0000A3740000}"/>
    <cellStyle name="Normal 3_Enlaces" xfId="29860" xr:uid="{00000000-0005-0000-0000-0000A4740000}"/>
    <cellStyle name="Normal 30" xfId="29861" xr:uid="{00000000-0005-0000-0000-0000A5740000}"/>
    <cellStyle name="Normal 30 10" xfId="29862" xr:uid="{00000000-0005-0000-0000-0000A6740000}"/>
    <cellStyle name="Normal 30 11" xfId="29863" xr:uid="{00000000-0005-0000-0000-0000A7740000}"/>
    <cellStyle name="Normal 30 12" xfId="29864" xr:uid="{00000000-0005-0000-0000-0000A8740000}"/>
    <cellStyle name="Normal 30 13" xfId="29865" xr:uid="{00000000-0005-0000-0000-0000A9740000}"/>
    <cellStyle name="Normal 30 14" xfId="29866" xr:uid="{00000000-0005-0000-0000-0000AA740000}"/>
    <cellStyle name="Normal 30 15" xfId="29867" xr:uid="{00000000-0005-0000-0000-0000AB740000}"/>
    <cellStyle name="Normal 30 16" xfId="29868" xr:uid="{00000000-0005-0000-0000-0000AC740000}"/>
    <cellStyle name="Normal 30 17" xfId="29869" xr:uid="{00000000-0005-0000-0000-0000AD740000}"/>
    <cellStyle name="Normal 30 18" xfId="29870" xr:uid="{00000000-0005-0000-0000-0000AE740000}"/>
    <cellStyle name="Normal 30 19" xfId="29871" xr:uid="{00000000-0005-0000-0000-0000AF740000}"/>
    <cellStyle name="Normal 30 2" xfId="29872" xr:uid="{00000000-0005-0000-0000-0000B0740000}"/>
    <cellStyle name="Normal 30 2 2" xfId="29873" xr:uid="{00000000-0005-0000-0000-0000B1740000}"/>
    <cellStyle name="Normal 30 2 3" xfId="29874" xr:uid="{00000000-0005-0000-0000-0000B2740000}"/>
    <cellStyle name="Normal 30 20" xfId="29875" xr:uid="{00000000-0005-0000-0000-0000B3740000}"/>
    <cellStyle name="Normal 30 21" xfId="29876" xr:uid="{00000000-0005-0000-0000-0000B4740000}"/>
    <cellStyle name="Normal 30 22" xfId="29877" xr:uid="{00000000-0005-0000-0000-0000B5740000}"/>
    <cellStyle name="Normal 30 23" xfId="29878" xr:uid="{00000000-0005-0000-0000-0000B6740000}"/>
    <cellStyle name="Normal 30 24" xfId="29879" xr:uid="{00000000-0005-0000-0000-0000B7740000}"/>
    <cellStyle name="Normal 30 25" xfId="29880" xr:uid="{00000000-0005-0000-0000-0000B8740000}"/>
    <cellStyle name="Normal 30 26" xfId="29881" xr:uid="{00000000-0005-0000-0000-0000B9740000}"/>
    <cellStyle name="Normal 30 3" xfId="29882" xr:uid="{00000000-0005-0000-0000-0000BA740000}"/>
    <cellStyle name="Normal 30 3 2" xfId="29883" xr:uid="{00000000-0005-0000-0000-0000BB740000}"/>
    <cellStyle name="Normal 30 3 3" xfId="29884" xr:uid="{00000000-0005-0000-0000-0000BC740000}"/>
    <cellStyle name="Normal 30 3 4" xfId="29885" xr:uid="{00000000-0005-0000-0000-0000BD740000}"/>
    <cellStyle name="Normal 30 3 5" xfId="29886" xr:uid="{00000000-0005-0000-0000-0000BE740000}"/>
    <cellStyle name="Normal 30 4" xfId="29887" xr:uid="{00000000-0005-0000-0000-0000BF740000}"/>
    <cellStyle name="Normal 30 5" xfId="29888" xr:uid="{00000000-0005-0000-0000-0000C0740000}"/>
    <cellStyle name="Normal 30 6" xfId="29889" xr:uid="{00000000-0005-0000-0000-0000C1740000}"/>
    <cellStyle name="Normal 30 7" xfId="29890" xr:uid="{00000000-0005-0000-0000-0000C2740000}"/>
    <cellStyle name="Normal 30 8" xfId="29891" xr:uid="{00000000-0005-0000-0000-0000C3740000}"/>
    <cellStyle name="Normal 30 9" xfId="29892" xr:uid="{00000000-0005-0000-0000-0000C4740000}"/>
    <cellStyle name="Normal 31" xfId="29893" xr:uid="{00000000-0005-0000-0000-0000C5740000}"/>
    <cellStyle name="Normal 31 10" xfId="29894" xr:uid="{00000000-0005-0000-0000-0000C6740000}"/>
    <cellStyle name="Normal 31 11" xfId="29895" xr:uid="{00000000-0005-0000-0000-0000C7740000}"/>
    <cellStyle name="Normal 31 12" xfId="29896" xr:uid="{00000000-0005-0000-0000-0000C8740000}"/>
    <cellStyle name="Normal 31 13" xfId="29897" xr:uid="{00000000-0005-0000-0000-0000C9740000}"/>
    <cellStyle name="Normal 31 14" xfId="29898" xr:uid="{00000000-0005-0000-0000-0000CA740000}"/>
    <cellStyle name="Normal 31 15" xfId="29899" xr:uid="{00000000-0005-0000-0000-0000CB740000}"/>
    <cellStyle name="Normal 31 16" xfId="29900" xr:uid="{00000000-0005-0000-0000-0000CC740000}"/>
    <cellStyle name="Normal 31 17" xfId="29901" xr:uid="{00000000-0005-0000-0000-0000CD740000}"/>
    <cellStyle name="Normal 31 18" xfId="29902" xr:uid="{00000000-0005-0000-0000-0000CE740000}"/>
    <cellStyle name="Normal 31 19" xfId="29903" xr:uid="{00000000-0005-0000-0000-0000CF740000}"/>
    <cellStyle name="Normal 31 2" xfId="29904" xr:uid="{00000000-0005-0000-0000-0000D0740000}"/>
    <cellStyle name="Normal 31 2 2" xfId="29905" xr:uid="{00000000-0005-0000-0000-0000D1740000}"/>
    <cellStyle name="Normal 31 2 3" xfId="29906" xr:uid="{00000000-0005-0000-0000-0000D2740000}"/>
    <cellStyle name="Normal 31 20" xfId="29907" xr:uid="{00000000-0005-0000-0000-0000D3740000}"/>
    <cellStyle name="Normal 31 21" xfId="29908" xr:uid="{00000000-0005-0000-0000-0000D4740000}"/>
    <cellStyle name="Normal 31 22" xfId="29909" xr:uid="{00000000-0005-0000-0000-0000D5740000}"/>
    <cellStyle name="Normal 31 23" xfId="29910" xr:uid="{00000000-0005-0000-0000-0000D6740000}"/>
    <cellStyle name="Normal 31 24" xfId="29911" xr:uid="{00000000-0005-0000-0000-0000D7740000}"/>
    <cellStyle name="Normal 31 25" xfId="29912" xr:uid="{00000000-0005-0000-0000-0000D8740000}"/>
    <cellStyle name="Normal 31 26" xfId="29913" xr:uid="{00000000-0005-0000-0000-0000D9740000}"/>
    <cellStyle name="Normal 31 3" xfId="29914" xr:uid="{00000000-0005-0000-0000-0000DA740000}"/>
    <cellStyle name="Normal 31 3 2" xfId="29915" xr:uid="{00000000-0005-0000-0000-0000DB740000}"/>
    <cellStyle name="Normal 31 3 3" xfId="29916" xr:uid="{00000000-0005-0000-0000-0000DC740000}"/>
    <cellStyle name="Normal 31 4" xfId="29917" xr:uid="{00000000-0005-0000-0000-0000DD740000}"/>
    <cellStyle name="Normal 31 5" xfId="29918" xr:uid="{00000000-0005-0000-0000-0000DE740000}"/>
    <cellStyle name="Normal 31 6" xfId="29919" xr:uid="{00000000-0005-0000-0000-0000DF740000}"/>
    <cellStyle name="Normal 31 7" xfId="29920" xr:uid="{00000000-0005-0000-0000-0000E0740000}"/>
    <cellStyle name="Normal 31 8" xfId="29921" xr:uid="{00000000-0005-0000-0000-0000E1740000}"/>
    <cellStyle name="Normal 31 9" xfId="29922" xr:uid="{00000000-0005-0000-0000-0000E2740000}"/>
    <cellStyle name="Normal 32" xfId="29923" xr:uid="{00000000-0005-0000-0000-0000E3740000}"/>
    <cellStyle name="Normal 32 2" xfId="29924" xr:uid="{00000000-0005-0000-0000-0000E4740000}"/>
    <cellStyle name="Normal 32 3" xfId="29925" xr:uid="{00000000-0005-0000-0000-0000E5740000}"/>
    <cellStyle name="Normal 32 4" xfId="29926" xr:uid="{00000000-0005-0000-0000-0000E6740000}"/>
    <cellStyle name="Normal 32 5" xfId="29927" xr:uid="{00000000-0005-0000-0000-0000E7740000}"/>
    <cellStyle name="Normal 33" xfId="29928" xr:uid="{00000000-0005-0000-0000-0000E8740000}"/>
    <cellStyle name="Normal 33 2" xfId="29929" xr:uid="{00000000-0005-0000-0000-0000E9740000}"/>
    <cellStyle name="Normal 33 3" xfId="29930" xr:uid="{00000000-0005-0000-0000-0000EA740000}"/>
    <cellStyle name="Normal 33 4" xfId="29931" xr:uid="{00000000-0005-0000-0000-0000EB740000}"/>
    <cellStyle name="Normal 33 5" xfId="29932" xr:uid="{00000000-0005-0000-0000-0000EC740000}"/>
    <cellStyle name="Normal 34" xfId="29933" xr:uid="{00000000-0005-0000-0000-0000ED740000}"/>
    <cellStyle name="Normal 34 10" xfId="29934" xr:uid="{00000000-0005-0000-0000-0000EE740000}"/>
    <cellStyle name="Normal 34 11" xfId="29935" xr:uid="{00000000-0005-0000-0000-0000EF740000}"/>
    <cellStyle name="Normal 34 12" xfId="29936" xr:uid="{00000000-0005-0000-0000-0000F0740000}"/>
    <cellStyle name="Normal 34 13" xfId="29937" xr:uid="{00000000-0005-0000-0000-0000F1740000}"/>
    <cellStyle name="Normal 34 14" xfId="29938" xr:uid="{00000000-0005-0000-0000-0000F2740000}"/>
    <cellStyle name="Normal 34 15" xfId="29939" xr:uid="{00000000-0005-0000-0000-0000F3740000}"/>
    <cellStyle name="Normal 34 16" xfId="29940" xr:uid="{00000000-0005-0000-0000-0000F4740000}"/>
    <cellStyle name="Normal 34 17" xfId="29941" xr:uid="{00000000-0005-0000-0000-0000F5740000}"/>
    <cellStyle name="Normal 34 18" xfId="29942" xr:uid="{00000000-0005-0000-0000-0000F6740000}"/>
    <cellStyle name="Normal 34 19" xfId="29943" xr:uid="{00000000-0005-0000-0000-0000F7740000}"/>
    <cellStyle name="Normal 34 2" xfId="29944" xr:uid="{00000000-0005-0000-0000-0000F8740000}"/>
    <cellStyle name="Normal 34 2 2" xfId="29945" xr:uid="{00000000-0005-0000-0000-0000F9740000}"/>
    <cellStyle name="Normal 34 2 3" xfId="29946" xr:uid="{00000000-0005-0000-0000-0000FA740000}"/>
    <cellStyle name="Normal 34 20" xfId="29947" xr:uid="{00000000-0005-0000-0000-0000FB740000}"/>
    <cellStyle name="Normal 34 21" xfId="29948" xr:uid="{00000000-0005-0000-0000-0000FC740000}"/>
    <cellStyle name="Normal 34 22" xfId="29949" xr:uid="{00000000-0005-0000-0000-0000FD740000}"/>
    <cellStyle name="Normal 34 23" xfId="29950" xr:uid="{00000000-0005-0000-0000-0000FE740000}"/>
    <cellStyle name="Normal 34 24" xfId="29951" xr:uid="{00000000-0005-0000-0000-0000FF740000}"/>
    <cellStyle name="Normal 34 25" xfId="29952" xr:uid="{00000000-0005-0000-0000-000000750000}"/>
    <cellStyle name="Normal 34 26" xfId="29953" xr:uid="{00000000-0005-0000-0000-000001750000}"/>
    <cellStyle name="Normal 34 3" xfId="29954" xr:uid="{00000000-0005-0000-0000-000002750000}"/>
    <cellStyle name="Normal 34 3 2" xfId="29955" xr:uid="{00000000-0005-0000-0000-000003750000}"/>
    <cellStyle name="Normal 34 3 3" xfId="29956" xr:uid="{00000000-0005-0000-0000-000004750000}"/>
    <cellStyle name="Normal 34 3 4" xfId="29957" xr:uid="{00000000-0005-0000-0000-000005750000}"/>
    <cellStyle name="Normal 34 3 5" xfId="29958" xr:uid="{00000000-0005-0000-0000-000006750000}"/>
    <cellStyle name="Normal 34 4" xfId="29959" xr:uid="{00000000-0005-0000-0000-000007750000}"/>
    <cellStyle name="Normal 34 5" xfId="29960" xr:uid="{00000000-0005-0000-0000-000008750000}"/>
    <cellStyle name="Normal 34 6" xfId="29961" xr:uid="{00000000-0005-0000-0000-000009750000}"/>
    <cellStyle name="Normal 34 7" xfId="29962" xr:uid="{00000000-0005-0000-0000-00000A750000}"/>
    <cellStyle name="Normal 34 8" xfId="29963" xr:uid="{00000000-0005-0000-0000-00000B750000}"/>
    <cellStyle name="Normal 34 9" xfId="29964" xr:uid="{00000000-0005-0000-0000-00000C750000}"/>
    <cellStyle name="Normal 35" xfId="29965" xr:uid="{00000000-0005-0000-0000-00000D750000}"/>
    <cellStyle name="Normal 35 10" xfId="29966" xr:uid="{00000000-0005-0000-0000-00000E750000}"/>
    <cellStyle name="Normal 35 11" xfId="29967" xr:uid="{00000000-0005-0000-0000-00000F750000}"/>
    <cellStyle name="Normal 35 12" xfId="29968" xr:uid="{00000000-0005-0000-0000-000010750000}"/>
    <cellStyle name="Normal 35 13" xfId="29969" xr:uid="{00000000-0005-0000-0000-000011750000}"/>
    <cellStyle name="Normal 35 14" xfId="29970" xr:uid="{00000000-0005-0000-0000-000012750000}"/>
    <cellStyle name="Normal 35 15" xfId="29971" xr:uid="{00000000-0005-0000-0000-000013750000}"/>
    <cellStyle name="Normal 35 16" xfId="29972" xr:uid="{00000000-0005-0000-0000-000014750000}"/>
    <cellStyle name="Normal 35 17" xfId="29973" xr:uid="{00000000-0005-0000-0000-000015750000}"/>
    <cellStyle name="Normal 35 18" xfId="29974" xr:uid="{00000000-0005-0000-0000-000016750000}"/>
    <cellStyle name="Normal 35 19" xfId="29975" xr:uid="{00000000-0005-0000-0000-000017750000}"/>
    <cellStyle name="Normal 35 2" xfId="29976" xr:uid="{00000000-0005-0000-0000-000018750000}"/>
    <cellStyle name="Normal 35 2 2" xfId="29977" xr:uid="{00000000-0005-0000-0000-000019750000}"/>
    <cellStyle name="Normal 35 2 3" xfId="29978" xr:uid="{00000000-0005-0000-0000-00001A750000}"/>
    <cellStyle name="Normal 35 20" xfId="29979" xr:uid="{00000000-0005-0000-0000-00001B750000}"/>
    <cellStyle name="Normal 35 21" xfId="29980" xr:uid="{00000000-0005-0000-0000-00001C750000}"/>
    <cellStyle name="Normal 35 22" xfId="29981" xr:uid="{00000000-0005-0000-0000-00001D750000}"/>
    <cellStyle name="Normal 35 23" xfId="29982" xr:uid="{00000000-0005-0000-0000-00001E750000}"/>
    <cellStyle name="Normal 35 24" xfId="29983" xr:uid="{00000000-0005-0000-0000-00001F750000}"/>
    <cellStyle name="Normal 35 25" xfId="29984" xr:uid="{00000000-0005-0000-0000-000020750000}"/>
    <cellStyle name="Normal 35 3" xfId="29985" xr:uid="{00000000-0005-0000-0000-000021750000}"/>
    <cellStyle name="Normal 35 3 2" xfId="29986" xr:uid="{00000000-0005-0000-0000-000022750000}"/>
    <cellStyle name="Normal 35 3 3" xfId="29987" xr:uid="{00000000-0005-0000-0000-000023750000}"/>
    <cellStyle name="Normal 35 3 4" xfId="29988" xr:uid="{00000000-0005-0000-0000-000024750000}"/>
    <cellStyle name="Normal 35 3 5" xfId="29989" xr:uid="{00000000-0005-0000-0000-000025750000}"/>
    <cellStyle name="Normal 35 4" xfId="29990" xr:uid="{00000000-0005-0000-0000-000026750000}"/>
    <cellStyle name="Normal 35 5" xfId="29991" xr:uid="{00000000-0005-0000-0000-000027750000}"/>
    <cellStyle name="Normal 35 6" xfId="29992" xr:uid="{00000000-0005-0000-0000-000028750000}"/>
    <cellStyle name="Normal 35 7" xfId="29993" xr:uid="{00000000-0005-0000-0000-000029750000}"/>
    <cellStyle name="Normal 35 8" xfId="29994" xr:uid="{00000000-0005-0000-0000-00002A750000}"/>
    <cellStyle name="Normal 35 9" xfId="29995" xr:uid="{00000000-0005-0000-0000-00002B750000}"/>
    <cellStyle name="Normal 36" xfId="29996" xr:uid="{00000000-0005-0000-0000-00002C750000}"/>
    <cellStyle name="Normal 36 2" xfId="29997" xr:uid="{00000000-0005-0000-0000-00002D750000}"/>
    <cellStyle name="Normal 36 3" xfId="29998" xr:uid="{00000000-0005-0000-0000-00002E750000}"/>
    <cellStyle name="Normal 36 4" xfId="29999" xr:uid="{00000000-0005-0000-0000-00002F750000}"/>
    <cellStyle name="Normal 37" xfId="30000" xr:uid="{00000000-0005-0000-0000-000030750000}"/>
    <cellStyle name="Normal 37 10" xfId="30001" xr:uid="{00000000-0005-0000-0000-000031750000}"/>
    <cellStyle name="Normal 37 11" xfId="30002" xr:uid="{00000000-0005-0000-0000-000032750000}"/>
    <cellStyle name="Normal 37 12" xfId="30003" xr:uid="{00000000-0005-0000-0000-000033750000}"/>
    <cellStyle name="Normal 37 13" xfId="30004" xr:uid="{00000000-0005-0000-0000-000034750000}"/>
    <cellStyle name="Normal 37 14" xfId="30005" xr:uid="{00000000-0005-0000-0000-000035750000}"/>
    <cellStyle name="Normal 37 15" xfId="30006" xr:uid="{00000000-0005-0000-0000-000036750000}"/>
    <cellStyle name="Normal 37 16" xfId="30007" xr:uid="{00000000-0005-0000-0000-000037750000}"/>
    <cellStyle name="Normal 37 17" xfId="30008" xr:uid="{00000000-0005-0000-0000-000038750000}"/>
    <cellStyle name="Normal 37 18" xfId="30009" xr:uid="{00000000-0005-0000-0000-000039750000}"/>
    <cellStyle name="Normal 37 19" xfId="30010" xr:uid="{00000000-0005-0000-0000-00003A750000}"/>
    <cellStyle name="Normal 37 2" xfId="30011" xr:uid="{00000000-0005-0000-0000-00003B750000}"/>
    <cellStyle name="Normal 37 2 2" xfId="30012" xr:uid="{00000000-0005-0000-0000-00003C750000}"/>
    <cellStyle name="Normal 37 20" xfId="30013" xr:uid="{00000000-0005-0000-0000-00003D750000}"/>
    <cellStyle name="Normal 37 21" xfId="30014" xr:uid="{00000000-0005-0000-0000-00003E750000}"/>
    <cellStyle name="Normal 37 22" xfId="30015" xr:uid="{00000000-0005-0000-0000-00003F750000}"/>
    <cellStyle name="Normal 37 23" xfId="30016" xr:uid="{00000000-0005-0000-0000-000040750000}"/>
    <cellStyle name="Normal 37 24" xfId="30017" xr:uid="{00000000-0005-0000-0000-000041750000}"/>
    <cellStyle name="Normal 37 25" xfId="30018" xr:uid="{00000000-0005-0000-0000-000042750000}"/>
    <cellStyle name="Normal 37 26" xfId="30019" xr:uid="{00000000-0005-0000-0000-000043750000}"/>
    <cellStyle name="Normal 37 3" xfId="30020" xr:uid="{00000000-0005-0000-0000-000044750000}"/>
    <cellStyle name="Normal 37 3 2" xfId="30021" xr:uid="{00000000-0005-0000-0000-000045750000}"/>
    <cellStyle name="Normal 37 4" xfId="30022" xr:uid="{00000000-0005-0000-0000-000046750000}"/>
    <cellStyle name="Normal 37 4 2" xfId="30023" xr:uid="{00000000-0005-0000-0000-000047750000}"/>
    <cellStyle name="Normal 37 5" xfId="30024" xr:uid="{00000000-0005-0000-0000-000048750000}"/>
    <cellStyle name="Normal 37 5 2" xfId="30025" xr:uid="{00000000-0005-0000-0000-000049750000}"/>
    <cellStyle name="Normal 37 6" xfId="30026" xr:uid="{00000000-0005-0000-0000-00004A750000}"/>
    <cellStyle name="Normal 37 7" xfId="30027" xr:uid="{00000000-0005-0000-0000-00004B750000}"/>
    <cellStyle name="Normal 37 8" xfId="30028" xr:uid="{00000000-0005-0000-0000-00004C750000}"/>
    <cellStyle name="Normal 37 9" xfId="30029" xr:uid="{00000000-0005-0000-0000-00004D750000}"/>
    <cellStyle name="Normal 38" xfId="30030" xr:uid="{00000000-0005-0000-0000-00004E750000}"/>
    <cellStyle name="Normal 38 10" xfId="30031" xr:uid="{00000000-0005-0000-0000-00004F750000}"/>
    <cellStyle name="Normal 38 11" xfId="30032" xr:uid="{00000000-0005-0000-0000-000050750000}"/>
    <cellStyle name="Normal 38 12" xfId="30033" xr:uid="{00000000-0005-0000-0000-000051750000}"/>
    <cellStyle name="Normal 38 13" xfId="30034" xr:uid="{00000000-0005-0000-0000-000052750000}"/>
    <cellStyle name="Normal 38 14" xfId="30035" xr:uid="{00000000-0005-0000-0000-000053750000}"/>
    <cellStyle name="Normal 38 15" xfId="30036" xr:uid="{00000000-0005-0000-0000-000054750000}"/>
    <cellStyle name="Normal 38 16" xfId="30037" xr:uid="{00000000-0005-0000-0000-000055750000}"/>
    <cellStyle name="Normal 38 17" xfId="30038" xr:uid="{00000000-0005-0000-0000-000056750000}"/>
    <cellStyle name="Normal 38 18" xfId="30039" xr:uid="{00000000-0005-0000-0000-000057750000}"/>
    <cellStyle name="Normal 38 19" xfId="30040" xr:uid="{00000000-0005-0000-0000-000058750000}"/>
    <cellStyle name="Normal 38 2" xfId="30041" xr:uid="{00000000-0005-0000-0000-000059750000}"/>
    <cellStyle name="Normal 38 2 2" xfId="30042" xr:uid="{00000000-0005-0000-0000-00005A750000}"/>
    <cellStyle name="Normal 38 20" xfId="30043" xr:uid="{00000000-0005-0000-0000-00005B750000}"/>
    <cellStyle name="Normal 38 21" xfId="30044" xr:uid="{00000000-0005-0000-0000-00005C750000}"/>
    <cellStyle name="Normal 38 22" xfId="30045" xr:uid="{00000000-0005-0000-0000-00005D750000}"/>
    <cellStyle name="Normal 38 23" xfId="30046" xr:uid="{00000000-0005-0000-0000-00005E750000}"/>
    <cellStyle name="Normal 38 24" xfId="30047" xr:uid="{00000000-0005-0000-0000-00005F750000}"/>
    <cellStyle name="Normal 38 25" xfId="30048" xr:uid="{00000000-0005-0000-0000-000060750000}"/>
    <cellStyle name="Normal 38 26" xfId="30049" xr:uid="{00000000-0005-0000-0000-000061750000}"/>
    <cellStyle name="Normal 38 3" xfId="30050" xr:uid="{00000000-0005-0000-0000-000062750000}"/>
    <cellStyle name="Normal 38 3 2" xfId="30051" xr:uid="{00000000-0005-0000-0000-000063750000}"/>
    <cellStyle name="Normal 38 4" xfId="30052" xr:uid="{00000000-0005-0000-0000-000064750000}"/>
    <cellStyle name="Normal 38 4 2" xfId="30053" xr:uid="{00000000-0005-0000-0000-000065750000}"/>
    <cellStyle name="Normal 38 5" xfId="30054" xr:uid="{00000000-0005-0000-0000-000066750000}"/>
    <cellStyle name="Normal 38 5 2" xfId="30055" xr:uid="{00000000-0005-0000-0000-000067750000}"/>
    <cellStyle name="Normal 38 6" xfId="30056" xr:uid="{00000000-0005-0000-0000-000068750000}"/>
    <cellStyle name="Normal 38 7" xfId="30057" xr:uid="{00000000-0005-0000-0000-000069750000}"/>
    <cellStyle name="Normal 38 8" xfId="30058" xr:uid="{00000000-0005-0000-0000-00006A750000}"/>
    <cellStyle name="Normal 38 9" xfId="30059" xr:uid="{00000000-0005-0000-0000-00006B750000}"/>
    <cellStyle name="Normal 39" xfId="30060" xr:uid="{00000000-0005-0000-0000-00006C750000}"/>
    <cellStyle name="Normal 39 10" xfId="30061" xr:uid="{00000000-0005-0000-0000-00006D750000}"/>
    <cellStyle name="Normal 39 11" xfId="30062" xr:uid="{00000000-0005-0000-0000-00006E750000}"/>
    <cellStyle name="Normal 39 12" xfId="30063" xr:uid="{00000000-0005-0000-0000-00006F750000}"/>
    <cellStyle name="Normal 39 13" xfId="30064" xr:uid="{00000000-0005-0000-0000-000070750000}"/>
    <cellStyle name="Normal 39 14" xfId="30065" xr:uid="{00000000-0005-0000-0000-000071750000}"/>
    <cellStyle name="Normal 39 15" xfId="30066" xr:uid="{00000000-0005-0000-0000-000072750000}"/>
    <cellStyle name="Normal 39 16" xfId="30067" xr:uid="{00000000-0005-0000-0000-000073750000}"/>
    <cellStyle name="Normal 39 17" xfId="30068" xr:uid="{00000000-0005-0000-0000-000074750000}"/>
    <cellStyle name="Normal 39 18" xfId="30069" xr:uid="{00000000-0005-0000-0000-000075750000}"/>
    <cellStyle name="Normal 39 19" xfId="30070" xr:uid="{00000000-0005-0000-0000-000076750000}"/>
    <cellStyle name="Normal 39 2" xfId="30071" xr:uid="{00000000-0005-0000-0000-000077750000}"/>
    <cellStyle name="Normal 39 2 2" xfId="30072" xr:uid="{00000000-0005-0000-0000-000078750000}"/>
    <cellStyle name="Normal 39 20" xfId="30073" xr:uid="{00000000-0005-0000-0000-000079750000}"/>
    <cellStyle name="Normal 39 21" xfId="30074" xr:uid="{00000000-0005-0000-0000-00007A750000}"/>
    <cellStyle name="Normal 39 22" xfId="30075" xr:uid="{00000000-0005-0000-0000-00007B750000}"/>
    <cellStyle name="Normal 39 23" xfId="30076" xr:uid="{00000000-0005-0000-0000-00007C750000}"/>
    <cellStyle name="Normal 39 24" xfId="30077" xr:uid="{00000000-0005-0000-0000-00007D750000}"/>
    <cellStyle name="Normal 39 25" xfId="30078" xr:uid="{00000000-0005-0000-0000-00007E750000}"/>
    <cellStyle name="Normal 39 26" xfId="30079" xr:uid="{00000000-0005-0000-0000-00007F750000}"/>
    <cellStyle name="Normal 39 3" xfId="30080" xr:uid="{00000000-0005-0000-0000-000080750000}"/>
    <cellStyle name="Normal 39 3 2" xfId="30081" xr:uid="{00000000-0005-0000-0000-000081750000}"/>
    <cellStyle name="Normal 39 4" xfId="30082" xr:uid="{00000000-0005-0000-0000-000082750000}"/>
    <cellStyle name="Normal 39 4 2" xfId="30083" xr:uid="{00000000-0005-0000-0000-000083750000}"/>
    <cellStyle name="Normal 39 5" xfId="30084" xr:uid="{00000000-0005-0000-0000-000084750000}"/>
    <cellStyle name="Normal 39 5 2" xfId="30085" xr:uid="{00000000-0005-0000-0000-000085750000}"/>
    <cellStyle name="Normal 39 6" xfId="30086" xr:uid="{00000000-0005-0000-0000-000086750000}"/>
    <cellStyle name="Normal 39 7" xfId="30087" xr:uid="{00000000-0005-0000-0000-000087750000}"/>
    <cellStyle name="Normal 39 8" xfId="30088" xr:uid="{00000000-0005-0000-0000-000088750000}"/>
    <cellStyle name="Normal 39 9" xfId="30089" xr:uid="{00000000-0005-0000-0000-000089750000}"/>
    <cellStyle name="Normal 4" xfId="15" xr:uid="{00000000-0005-0000-0000-00000F000000}"/>
    <cellStyle name="Normal 4 10" xfId="30091" xr:uid="{00000000-0005-0000-0000-00008B750000}"/>
    <cellStyle name="Normal 4 10 2" xfId="30092" xr:uid="{00000000-0005-0000-0000-00008C750000}"/>
    <cellStyle name="Normal 4 10 3" xfId="30093" xr:uid="{00000000-0005-0000-0000-00008D750000}"/>
    <cellStyle name="Normal 4 10 4" xfId="30094" xr:uid="{00000000-0005-0000-0000-00008E750000}"/>
    <cellStyle name="Normal 4 10 5" xfId="30095" xr:uid="{00000000-0005-0000-0000-00008F750000}"/>
    <cellStyle name="Normal 4 10_Enlaces" xfId="30096" xr:uid="{00000000-0005-0000-0000-000090750000}"/>
    <cellStyle name="Normal 4 100" xfId="30097" xr:uid="{00000000-0005-0000-0000-000091750000}"/>
    <cellStyle name="Normal 4 100 2" xfId="30098" xr:uid="{00000000-0005-0000-0000-000092750000}"/>
    <cellStyle name="Normal 4 100 3" xfId="30099" xr:uid="{00000000-0005-0000-0000-000093750000}"/>
    <cellStyle name="Normal 4 101" xfId="30100" xr:uid="{00000000-0005-0000-0000-000094750000}"/>
    <cellStyle name="Normal 4 101 2" xfId="30101" xr:uid="{00000000-0005-0000-0000-000095750000}"/>
    <cellStyle name="Normal 4 101 3" xfId="30102" xr:uid="{00000000-0005-0000-0000-000096750000}"/>
    <cellStyle name="Normal 4 102" xfId="30103" xr:uid="{00000000-0005-0000-0000-000097750000}"/>
    <cellStyle name="Normal 4 102 2" xfId="30104" xr:uid="{00000000-0005-0000-0000-000098750000}"/>
    <cellStyle name="Normal 4 102 3" xfId="30105" xr:uid="{00000000-0005-0000-0000-000099750000}"/>
    <cellStyle name="Normal 4 103" xfId="30106" xr:uid="{00000000-0005-0000-0000-00009A750000}"/>
    <cellStyle name="Normal 4 103 2" xfId="30107" xr:uid="{00000000-0005-0000-0000-00009B750000}"/>
    <cellStyle name="Normal 4 103 3" xfId="30108" xr:uid="{00000000-0005-0000-0000-00009C750000}"/>
    <cellStyle name="Normal 4 104" xfId="30109" xr:uid="{00000000-0005-0000-0000-00009D750000}"/>
    <cellStyle name="Normal 4 104 2" xfId="30110" xr:uid="{00000000-0005-0000-0000-00009E750000}"/>
    <cellStyle name="Normal 4 104 3" xfId="30111" xr:uid="{00000000-0005-0000-0000-00009F750000}"/>
    <cellStyle name="Normal 4 105" xfId="30112" xr:uid="{00000000-0005-0000-0000-0000A0750000}"/>
    <cellStyle name="Normal 4 105 2" xfId="30113" xr:uid="{00000000-0005-0000-0000-0000A1750000}"/>
    <cellStyle name="Normal 4 105 3" xfId="30114" xr:uid="{00000000-0005-0000-0000-0000A2750000}"/>
    <cellStyle name="Normal 4 106" xfId="30115" xr:uid="{00000000-0005-0000-0000-0000A3750000}"/>
    <cellStyle name="Normal 4 106 2" xfId="30116" xr:uid="{00000000-0005-0000-0000-0000A4750000}"/>
    <cellStyle name="Normal 4 106 3" xfId="30117" xr:uid="{00000000-0005-0000-0000-0000A5750000}"/>
    <cellStyle name="Normal 4 107" xfId="30118" xr:uid="{00000000-0005-0000-0000-0000A6750000}"/>
    <cellStyle name="Normal 4 107 2" xfId="30119" xr:uid="{00000000-0005-0000-0000-0000A7750000}"/>
    <cellStyle name="Normal 4 107 3" xfId="30120" xr:uid="{00000000-0005-0000-0000-0000A8750000}"/>
    <cellStyle name="Normal 4 108" xfId="30121" xr:uid="{00000000-0005-0000-0000-0000A9750000}"/>
    <cellStyle name="Normal 4 108 2" xfId="30122" xr:uid="{00000000-0005-0000-0000-0000AA750000}"/>
    <cellStyle name="Normal 4 108 3" xfId="30123" xr:uid="{00000000-0005-0000-0000-0000AB750000}"/>
    <cellStyle name="Normal 4 109" xfId="30124" xr:uid="{00000000-0005-0000-0000-0000AC750000}"/>
    <cellStyle name="Normal 4 109 2" xfId="30125" xr:uid="{00000000-0005-0000-0000-0000AD750000}"/>
    <cellStyle name="Normal 4 109 3" xfId="30126" xr:uid="{00000000-0005-0000-0000-0000AE750000}"/>
    <cellStyle name="Normal 4 11" xfId="30127" xr:uid="{00000000-0005-0000-0000-0000AF750000}"/>
    <cellStyle name="Normal 4 11 2" xfId="30128" xr:uid="{00000000-0005-0000-0000-0000B0750000}"/>
    <cellStyle name="Normal 4 11 3" xfId="30129" xr:uid="{00000000-0005-0000-0000-0000B1750000}"/>
    <cellStyle name="Normal 4 11 4" xfId="30130" xr:uid="{00000000-0005-0000-0000-0000B2750000}"/>
    <cellStyle name="Normal 4 11 5" xfId="30131" xr:uid="{00000000-0005-0000-0000-0000B3750000}"/>
    <cellStyle name="Normal 4 11_Enlaces" xfId="30132" xr:uid="{00000000-0005-0000-0000-0000B4750000}"/>
    <cellStyle name="Normal 4 110" xfId="30133" xr:uid="{00000000-0005-0000-0000-0000B5750000}"/>
    <cellStyle name="Normal 4 110 2" xfId="30134" xr:uid="{00000000-0005-0000-0000-0000B6750000}"/>
    <cellStyle name="Normal 4 110 3" xfId="30135" xr:uid="{00000000-0005-0000-0000-0000B7750000}"/>
    <cellStyle name="Normal 4 111" xfId="30136" xr:uid="{00000000-0005-0000-0000-0000B8750000}"/>
    <cellStyle name="Normal 4 111 2" xfId="30137" xr:uid="{00000000-0005-0000-0000-0000B9750000}"/>
    <cellStyle name="Normal 4 111 3" xfId="30138" xr:uid="{00000000-0005-0000-0000-0000BA750000}"/>
    <cellStyle name="Normal 4 112" xfId="30139" xr:uid="{00000000-0005-0000-0000-0000BB750000}"/>
    <cellStyle name="Normal 4 112 2" xfId="30140" xr:uid="{00000000-0005-0000-0000-0000BC750000}"/>
    <cellStyle name="Normal 4 112 3" xfId="30141" xr:uid="{00000000-0005-0000-0000-0000BD750000}"/>
    <cellStyle name="Normal 4 113" xfId="30142" xr:uid="{00000000-0005-0000-0000-0000BE750000}"/>
    <cellStyle name="Normal 4 113 2" xfId="30143" xr:uid="{00000000-0005-0000-0000-0000BF750000}"/>
    <cellStyle name="Normal 4 113 3" xfId="30144" xr:uid="{00000000-0005-0000-0000-0000C0750000}"/>
    <cellStyle name="Normal 4 114" xfId="30145" xr:uid="{00000000-0005-0000-0000-0000C1750000}"/>
    <cellStyle name="Normal 4 114 2" xfId="30146" xr:uid="{00000000-0005-0000-0000-0000C2750000}"/>
    <cellStyle name="Normal 4 114 3" xfId="30147" xr:uid="{00000000-0005-0000-0000-0000C3750000}"/>
    <cellStyle name="Normal 4 115" xfId="30148" xr:uid="{00000000-0005-0000-0000-0000C4750000}"/>
    <cellStyle name="Normal 4 115 2" xfId="30149" xr:uid="{00000000-0005-0000-0000-0000C5750000}"/>
    <cellStyle name="Normal 4 115 3" xfId="30150" xr:uid="{00000000-0005-0000-0000-0000C6750000}"/>
    <cellStyle name="Normal 4 116" xfId="30151" xr:uid="{00000000-0005-0000-0000-0000C7750000}"/>
    <cellStyle name="Normal 4 116 2" xfId="30152" xr:uid="{00000000-0005-0000-0000-0000C8750000}"/>
    <cellStyle name="Normal 4 116 3" xfId="30153" xr:uid="{00000000-0005-0000-0000-0000C9750000}"/>
    <cellStyle name="Normal 4 117" xfId="30154" xr:uid="{00000000-0005-0000-0000-0000CA750000}"/>
    <cellStyle name="Normal 4 117 2" xfId="30155" xr:uid="{00000000-0005-0000-0000-0000CB750000}"/>
    <cellStyle name="Normal 4 117 3" xfId="30156" xr:uid="{00000000-0005-0000-0000-0000CC750000}"/>
    <cellStyle name="Normal 4 118" xfId="30157" xr:uid="{00000000-0005-0000-0000-0000CD750000}"/>
    <cellStyle name="Normal 4 118 2" xfId="30158" xr:uid="{00000000-0005-0000-0000-0000CE750000}"/>
    <cellStyle name="Normal 4 118 3" xfId="30159" xr:uid="{00000000-0005-0000-0000-0000CF750000}"/>
    <cellStyle name="Normal 4 119" xfId="30160" xr:uid="{00000000-0005-0000-0000-0000D0750000}"/>
    <cellStyle name="Normal 4 119 2" xfId="30161" xr:uid="{00000000-0005-0000-0000-0000D1750000}"/>
    <cellStyle name="Normal 4 119 3" xfId="30162" xr:uid="{00000000-0005-0000-0000-0000D2750000}"/>
    <cellStyle name="Normal 4 12" xfId="30163" xr:uid="{00000000-0005-0000-0000-0000D3750000}"/>
    <cellStyle name="Normal 4 12 2" xfId="30164" xr:uid="{00000000-0005-0000-0000-0000D4750000}"/>
    <cellStyle name="Normal 4 12 3" xfId="30165" xr:uid="{00000000-0005-0000-0000-0000D5750000}"/>
    <cellStyle name="Normal 4 12 4" xfId="30166" xr:uid="{00000000-0005-0000-0000-0000D6750000}"/>
    <cellStyle name="Normal 4 12 5" xfId="30167" xr:uid="{00000000-0005-0000-0000-0000D7750000}"/>
    <cellStyle name="Normal 4 12_Enlaces" xfId="30168" xr:uid="{00000000-0005-0000-0000-0000D8750000}"/>
    <cellStyle name="Normal 4 120" xfId="30169" xr:uid="{00000000-0005-0000-0000-0000D9750000}"/>
    <cellStyle name="Normal 4 120 2" xfId="30170" xr:uid="{00000000-0005-0000-0000-0000DA750000}"/>
    <cellStyle name="Normal 4 120 3" xfId="30171" xr:uid="{00000000-0005-0000-0000-0000DB750000}"/>
    <cellStyle name="Normal 4 121" xfId="30172" xr:uid="{00000000-0005-0000-0000-0000DC750000}"/>
    <cellStyle name="Normal 4 121 2" xfId="30173" xr:uid="{00000000-0005-0000-0000-0000DD750000}"/>
    <cellStyle name="Normal 4 121 3" xfId="30174" xr:uid="{00000000-0005-0000-0000-0000DE750000}"/>
    <cellStyle name="Normal 4 122" xfId="30175" xr:uid="{00000000-0005-0000-0000-0000DF750000}"/>
    <cellStyle name="Normal 4 122 2" xfId="30176" xr:uid="{00000000-0005-0000-0000-0000E0750000}"/>
    <cellStyle name="Normal 4 122 3" xfId="30177" xr:uid="{00000000-0005-0000-0000-0000E1750000}"/>
    <cellStyle name="Normal 4 123" xfId="30178" xr:uid="{00000000-0005-0000-0000-0000E2750000}"/>
    <cellStyle name="Normal 4 123 2" xfId="30179" xr:uid="{00000000-0005-0000-0000-0000E3750000}"/>
    <cellStyle name="Normal 4 123 3" xfId="30180" xr:uid="{00000000-0005-0000-0000-0000E4750000}"/>
    <cellStyle name="Normal 4 124" xfId="30181" xr:uid="{00000000-0005-0000-0000-0000E5750000}"/>
    <cellStyle name="Normal 4 125" xfId="30182" xr:uid="{00000000-0005-0000-0000-0000E6750000}"/>
    <cellStyle name="Normal 4 126" xfId="30183" xr:uid="{00000000-0005-0000-0000-0000E7750000}"/>
    <cellStyle name="Normal 4 127" xfId="30184" xr:uid="{00000000-0005-0000-0000-0000E8750000}"/>
    <cellStyle name="Normal 4 128" xfId="30185" xr:uid="{00000000-0005-0000-0000-0000E9750000}"/>
    <cellStyle name="Normal 4 129" xfId="30186" xr:uid="{00000000-0005-0000-0000-0000EA750000}"/>
    <cellStyle name="Normal 4 13" xfId="30187" xr:uid="{00000000-0005-0000-0000-0000EB750000}"/>
    <cellStyle name="Normal 4 13 2" xfId="30188" xr:uid="{00000000-0005-0000-0000-0000EC750000}"/>
    <cellStyle name="Normal 4 13 3" xfId="30189" xr:uid="{00000000-0005-0000-0000-0000ED750000}"/>
    <cellStyle name="Normal 4 13 4" xfId="30190" xr:uid="{00000000-0005-0000-0000-0000EE750000}"/>
    <cellStyle name="Normal 4 13 5" xfId="30191" xr:uid="{00000000-0005-0000-0000-0000EF750000}"/>
    <cellStyle name="Normal 4 13_Enlaces" xfId="30192" xr:uid="{00000000-0005-0000-0000-0000F0750000}"/>
    <cellStyle name="Normal 4 130" xfId="30193" xr:uid="{00000000-0005-0000-0000-0000F1750000}"/>
    <cellStyle name="Normal 4 131" xfId="30194" xr:uid="{00000000-0005-0000-0000-0000F2750000}"/>
    <cellStyle name="Normal 4 131 2" xfId="30195" xr:uid="{00000000-0005-0000-0000-0000F3750000}"/>
    <cellStyle name="Normal 4 132" xfId="30196" xr:uid="{00000000-0005-0000-0000-0000F4750000}"/>
    <cellStyle name="Normal 4 132 2" xfId="30197" xr:uid="{00000000-0005-0000-0000-0000F5750000}"/>
    <cellStyle name="Normal 4 133" xfId="30198" xr:uid="{00000000-0005-0000-0000-0000F6750000}"/>
    <cellStyle name="Normal 4 133 2" xfId="30199" xr:uid="{00000000-0005-0000-0000-0000F7750000}"/>
    <cellStyle name="Normal 4 134" xfId="30200" xr:uid="{00000000-0005-0000-0000-0000F8750000}"/>
    <cellStyle name="Normal 4 134 2" xfId="30201" xr:uid="{00000000-0005-0000-0000-0000F9750000}"/>
    <cellStyle name="Normal 4 135" xfId="30202" xr:uid="{00000000-0005-0000-0000-0000FA750000}"/>
    <cellStyle name="Normal 4 135 2" xfId="30203" xr:uid="{00000000-0005-0000-0000-0000FB750000}"/>
    <cellStyle name="Normal 4 136" xfId="30204" xr:uid="{00000000-0005-0000-0000-0000FC750000}"/>
    <cellStyle name="Normal 4 136 2" xfId="30205" xr:uid="{00000000-0005-0000-0000-0000FD750000}"/>
    <cellStyle name="Normal 4 137" xfId="30206" xr:uid="{00000000-0005-0000-0000-0000FE750000}"/>
    <cellStyle name="Normal 4 137 2" xfId="30207" xr:uid="{00000000-0005-0000-0000-0000FF750000}"/>
    <cellStyle name="Normal 4 138" xfId="30208" xr:uid="{00000000-0005-0000-0000-000000760000}"/>
    <cellStyle name="Normal 4 138 2" xfId="30209" xr:uid="{00000000-0005-0000-0000-000001760000}"/>
    <cellStyle name="Normal 4 139" xfId="30210" xr:uid="{00000000-0005-0000-0000-000002760000}"/>
    <cellStyle name="Normal 4 139 2" xfId="30211" xr:uid="{00000000-0005-0000-0000-000003760000}"/>
    <cellStyle name="Normal 4 14" xfId="30212" xr:uid="{00000000-0005-0000-0000-000004760000}"/>
    <cellStyle name="Normal 4 14 2" xfId="30213" xr:uid="{00000000-0005-0000-0000-000005760000}"/>
    <cellStyle name="Normal 4 14 3" xfId="30214" xr:uid="{00000000-0005-0000-0000-000006760000}"/>
    <cellStyle name="Normal 4 14 4" xfId="30215" xr:uid="{00000000-0005-0000-0000-000007760000}"/>
    <cellStyle name="Normal 4 14 5" xfId="30216" xr:uid="{00000000-0005-0000-0000-000008760000}"/>
    <cellStyle name="Normal 4 14_Enlaces" xfId="30217" xr:uid="{00000000-0005-0000-0000-000009760000}"/>
    <cellStyle name="Normal 4 140" xfId="30218" xr:uid="{00000000-0005-0000-0000-00000A760000}"/>
    <cellStyle name="Normal 4 140 2" xfId="30219" xr:uid="{00000000-0005-0000-0000-00000B760000}"/>
    <cellStyle name="Normal 4 141" xfId="30220" xr:uid="{00000000-0005-0000-0000-00000C760000}"/>
    <cellStyle name="Normal 4 141 2" xfId="30221" xr:uid="{00000000-0005-0000-0000-00000D760000}"/>
    <cellStyle name="Normal 4 142" xfId="30222" xr:uid="{00000000-0005-0000-0000-00000E760000}"/>
    <cellStyle name="Normal 4 142 2" xfId="30223" xr:uid="{00000000-0005-0000-0000-00000F760000}"/>
    <cellStyle name="Normal 4 143" xfId="30224" xr:uid="{00000000-0005-0000-0000-000010760000}"/>
    <cellStyle name="Normal 4 143 2" xfId="30225" xr:uid="{00000000-0005-0000-0000-000011760000}"/>
    <cellStyle name="Normal 4 144" xfId="30226" xr:uid="{00000000-0005-0000-0000-000012760000}"/>
    <cellStyle name="Normal 4 144 2" xfId="30227" xr:uid="{00000000-0005-0000-0000-000013760000}"/>
    <cellStyle name="Normal 4 145" xfId="30228" xr:uid="{00000000-0005-0000-0000-000014760000}"/>
    <cellStyle name="Normal 4 145 2" xfId="30229" xr:uid="{00000000-0005-0000-0000-000015760000}"/>
    <cellStyle name="Normal 4 146" xfId="30230" xr:uid="{00000000-0005-0000-0000-000016760000}"/>
    <cellStyle name="Normal 4 146 2" xfId="30231" xr:uid="{00000000-0005-0000-0000-000017760000}"/>
    <cellStyle name="Normal 4 147" xfId="30232" xr:uid="{00000000-0005-0000-0000-000018760000}"/>
    <cellStyle name="Normal 4 147 2" xfId="30233" xr:uid="{00000000-0005-0000-0000-000019760000}"/>
    <cellStyle name="Normal 4 148" xfId="30234" xr:uid="{00000000-0005-0000-0000-00001A760000}"/>
    <cellStyle name="Normal 4 148 2" xfId="30235" xr:uid="{00000000-0005-0000-0000-00001B760000}"/>
    <cellStyle name="Normal 4 148 3" xfId="30236" xr:uid="{00000000-0005-0000-0000-00001C760000}"/>
    <cellStyle name="Normal 4 149" xfId="30237" xr:uid="{00000000-0005-0000-0000-00001D760000}"/>
    <cellStyle name="Normal 4 149 2" xfId="30238" xr:uid="{00000000-0005-0000-0000-00001E760000}"/>
    <cellStyle name="Normal 4 149 3" xfId="30239" xr:uid="{00000000-0005-0000-0000-00001F760000}"/>
    <cellStyle name="Normal 4 15" xfId="30240" xr:uid="{00000000-0005-0000-0000-000020760000}"/>
    <cellStyle name="Normal 4 15 2" xfId="30241" xr:uid="{00000000-0005-0000-0000-000021760000}"/>
    <cellStyle name="Normal 4 15 3" xfId="30242" xr:uid="{00000000-0005-0000-0000-000022760000}"/>
    <cellStyle name="Normal 4 15 4" xfId="30243" xr:uid="{00000000-0005-0000-0000-000023760000}"/>
    <cellStyle name="Normal 4 15 5" xfId="30244" xr:uid="{00000000-0005-0000-0000-000024760000}"/>
    <cellStyle name="Normal 4 15_Enlaces" xfId="30245" xr:uid="{00000000-0005-0000-0000-000025760000}"/>
    <cellStyle name="Normal 4 150" xfId="30246" xr:uid="{00000000-0005-0000-0000-000026760000}"/>
    <cellStyle name="Normal 4 150 2" xfId="30247" xr:uid="{00000000-0005-0000-0000-000027760000}"/>
    <cellStyle name="Normal 4 150 3" xfId="30248" xr:uid="{00000000-0005-0000-0000-000028760000}"/>
    <cellStyle name="Normal 4 151" xfId="30249" xr:uid="{00000000-0005-0000-0000-000029760000}"/>
    <cellStyle name="Normal 4 151 2" xfId="30250" xr:uid="{00000000-0005-0000-0000-00002A760000}"/>
    <cellStyle name="Normal 4 151 3" xfId="30251" xr:uid="{00000000-0005-0000-0000-00002B760000}"/>
    <cellStyle name="Normal 4 152" xfId="30252" xr:uid="{00000000-0005-0000-0000-00002C760000}"/>
    <cellStyle name="Normal 4 152 2" xfId="30253" xr:uid="{00000000-0005-0000-0000-00002D760000}"/>
    <cellStyle name="Normal 4 152 3" xfId="30254" xr:uid="{00000000-0005-0000-0000-00002E760000}"/>
    <cellStyle name="Normal 4 153" xfId="30255" xr:uid="{00000000-0005-0000-0000-00002F760000}"/>
    <cellStyle name="Normal 4 153 2" xfId="30256" xr:uid="{00000000-0005-0000-0000-000030760000}"/>
    <cellStyle name="Normal 4 154" xfId="30257" xr:uid="{00000000-0005-0000-0000-000031760000}"/>
    <cellStyle name="Normal 4 155" xfId="30258" xr:uid="{00000000-0005-0000-0000-000032760000}"/>
    <cellStyle name="Normal 4 156" xfId="30259" xr:uid="{00000000-0005-0000-0000-000033760000}"/>
    <cellStyle name="Normal 4 157" xfId="30260" xr:uid="{00000000-0005-0000-0000-000034760000}"/>
    <cellStyle name="Normal 4 158" xfId="30261" xr:uid="{00000000-0005-0000-0000-000035760000}"/>
    <cellStyle name="Normal 4 159" xfId="30262" xr:uid="{00000000-0005-0000-0000-000036760000}"/>
    <cellStyle name="Normal 4 16" xfId="30263" xr:uid="{00000000-0005-0000-0000-000037760000}"/>
    <cellStyle name="Normal 4 16 2" xfId="30264" xr:uid="{00000000-0005-0000-0000-000038760000}"/>
    <cellStyle name="Normal 4 16 3" xfId="30265" xr:uid="{00000000-0005-0000-0000-000039760000}"/>
    <cellStyle name="Normal 4 16 4" xfId="30266" xr:uid="{00000000-0005-0000-0000-00003A760000}"/>
    <cellStyle name="Normal 4 16 5" xfId="30267" xr:uid="{00000000-0005-0000-0000-00003B760000}"/>
    <cellStyle name="Normal 4 16_Enlaces" xfId="30268" xr:uid="{00000000-0005-0000-0000-00003C760000}"/>
    <cellStyle name="Normal 4 160" xfId="30269" xr:uid="{00000000-0005-0000-0000-00003D760000}"/>
    <cellStyle name="Normal 4 161" xfId="30270" xr:uid="{00000000-0005-0000-0000-00003E760000}"/>
    <cellStyle name="Normal 4 162" xfId="30271" xr:uid="{00000000-0005-0000-0000-00003F760000}"/>
    <cellStyle name="Normal 4 163" xfId="30272" xr:uid="{00000000-0005-0000-0000-000040760000}"/>
    <cellStyle name="Normal 4 164" xfId="30273" xr:uid="{00000000-0005-0000-0000-000041760000}"/>
    <cellStyle name="Normal 4 165" xfId="30274" xr:uid="{00000000-0005-0000-0000-000042760000}"/>
    <cellStyle name="Normal 4 166" xfId="30275" xr:uid="{00000000-0005-0000-0000-000043760000}"/>
    <cellStyle name="Normal 4 167" xfId="30276" xr:uid="{00000000-0005-0000-0000-000044760000}"/>
    <cellStyle name="Normal 4 168" xfId="30277" xr:uid="{00000000-0005-0000-0000-000045760000}"/>
    <cellStyle name="Normal 4 169" xfId="30278" xr:uid="{00000000-0005-0000-0000-000046760000}"/>
    <cellStyle name="Normal 4 17" xfId="30279" xr:uid="{00000000-0005-0000-0000-000047760000}"/>
    <cellStyle name="Normal 4 17 2" xfId="30280" xr:uid="{00000000-0005-0000-0000-000048760000}"/>
    <cellStyle name="Normal 4 17 3" xfId="30281" xr:uid="{00000000-0005-0000-0000-000049760000}"/>
    <cellStyle name="Normal 4 17 4" xfId="30282" xr:uid="{00000000-0005-0000-0000-00004A760000}"/>
    <cellStyle name="Normal 4 17 5" xfId="30283" xr:uid="{00000000-0005-0000-0000-00004B760000}"/>
    <cellStyle name="Normal 4 17_Enlaces" xfId="30284" xr:uid="{00000000-0005-0000-0000-00004C760000}"/>
    <cellStyle name="Normal 4 170" xfId="30285" xr:uid="{00000000-0005-0000-0000-00004D760000}"/>
    <cellStyle name="Normal 4 171" xfId="30286" xr:uid="{00000000-0005-0000-0000-00004E760000}"/>
    <cellStyle name="Normal 4 172" xfId="30090" xr:uid="{00000000-0005-0000-0000-00008A750000}"/>
    <cellStyle name="Normal 4 18" xfId="30287" xr:uid="{00000000-0005-0000-0000-00004F760000}"/>
    <cellStyle name="Normal 4 18 2" xfId="30288" xr:uid="{00000000-0005-0000-0000-000050760000}"/>
    <cellStyle name="Normal 4 18 3" xfId="30289" xr:uid="{00000000-0005-0000-0000-000051760000}"/>
    <cellStyle name="Normal 4 18 4" xfId="30290" xr:uid="{00000000-0005-0000-0000-000052760000}"/>
    <cellStyle name="Normal 4 18 5" xfId="30291" xr:uid="{00000000-0005-0000-0000-000053760000}"/>
    <cellStyle name="Normal 4 18_Enlaces" xfId="30292" xr:uid="{00000000-0005-0000-0000-000054760000}"/>
    <cellStyle name="Normal 4 19" xfId="30293" xr:uid="{00000000-0005-0000-0000-000055760000}"/>
    <cellStyle name="Normal 4 19 2" xfId="30294" xr:uid="{00000000-0005-0000-0000-000056760000}"/>
    <cellStyle name="Normal 4 19 3" xfId="30295" xr:uid="{00000000-0005-0000-0000-000057760000}"/>
    <cellStyle name="Normal 4 19 4" xfId="30296" xr:uid="{00000000-0005-0000-0000-000058760000}"/>
    <cellStyle name="Normal 4 19 5" xfId="30297" xr:uid="{00000000-0005-0000-0000-000059760000}"/>
    <cellStyle name="Normal 4 19_Enlaces" xfId="30298" xr:uid="{00000000-0005-0000-0000-00005A760000}"/>
    <cellStyle name="Normal 4 2" xfId="59" xr:uid="{00000000-0005-0000-0000-00003B000000}"/>
    <cellStyle name="Normal 4 2 10" xfId="30300" xr:uid="{00000000-0005-0000-0000-00005C760000}"/>
    <cellStyle name="Normal 4 2 10 2" xfId="30301" xr:uid="{00000000-0005-0000-0000-00005D760000}"/>
    <cellStyle name="Normal 4 2 11" xfId="30302" xr:uid="{00000000-0005-0000-0000-00005E760000}"/>
    <cellStyle name="Normal 4 2 11 2" xfId="30303" xr:uid="{00000000-0005-0000-0000-00005F760000}"/>
    <cellStyle name="Normal 4 2 12" xfId="30304" xr:uid="{00000000-0005-0000-0000-000060760000}"/>
    <cellStyle name="Normal 4 2 12 2" xfId="30305" xr:uid="{00000000-0005-0000-0000-000061760000}"/>
    <cellStyle name="Normal 4 2 13" xfId="30306" xr:uid="{00000000-0005-0000-0000-000062760000}"/>
    <cellStyle name="Normal 4 2 13 2" xfId="30307" xr:uid="{00000000-0005-0000-0000-000063760000}"/>
    <cellStyle name="Normal 4 2 14" xfId="30308" xr:uid="{00000000-0005-0000-0000-000064760000}"/>
    <cellStyle name="Normal 4 2 14 2" xfId="30309" xr:uid="{00000000-0005-0000-0000-000065760000}"/>
    <cellStyle name="Normal 4 2 15" xfId="30310" xr:uid="{00000000-0005-0000-0000-000066760000}"/>
    <cellStyle name="Normal 4 2 15 2" xfId="30311" xr:uid="{00000000-0005-0000-0000-000067760000}"/>
    <cellStyle name="Normal 4 2 16" xfId="30312" xr:uid="{00000000-0005-0000-0000-000068760000}"/>
    <cellStyle name="Normal 4 2 16 2" xfId="30313" xr:uid="{00000000-0005-0000-0000-000069760000}"/>
    <cellStyle name="Normal 4 2 17" xfId="30314" xr:uid="{00000000-0005-0000-0000-00006A760000}"/>
    <cellStyle name="Normal 4 2 17 2" xfId="30315" xr:uid="{00000000-0005-0000-0000-00006B760000}"/>
    <cellStyle name="Normal 4 2 18" xfId="30316" xr:uid="{00000000-0005-0000-0000-00006C760000}"/>
    <cellStyle name="Normal 4 2 18 2" xfId="30317" xr:uid="{00000000-0005-0000-0000-00006D760000}"/>
    <cellStyle name="Normal 4 2 19" xfId="30318" xr:uid="{00000000-0005-0000-0000-00006E760000}"/>
    <cellStyle name="Normal 4 2 19 2" xfId="30319" xr:uid="{00000000-0005-0000-0000-00006F760000}"/>
    <cellStyle name="Normal 4 2 2" xfId="30320" xr:uid="{00000000-0005-0000-0000-000070760000}"/>
    <cellStyle name="Normal 4 2 2 2" xfId="30321" xr:uid="{00000000-0005-0000-0000-000071760000}"/>
    <cellStyle name="Normal 4 2 20" xfId="30322" xr:uid="{00000000-0005-0000-0000-000072760000}"/>
    <cellStyle name="Normal 4 2 20 2" xfId="30323" xr:uid="{00000000-0005-0000-0000-000073760000}"/>
    <cellStyle name="Normal 4 2 21" xfId="30324" xr:uid="{00000000-0005-0000-0000-000074760000}"/>
    <cellStyle name="Normal 4 2 21 2" xfId="30325" xr:uid="{00000000-0005-0000-0000-000075760000}"/>
    <cellStyle name="Normal 4 2 22" xfId="30326" xr:uid="{00000000-0005-0000-0000-000076760000}"/>
    <cellStyle name="Normal 4 2 22 2" xfId="30327" xr:uid="{00000000-0005-0000-0000-000077760000}"/>
    <cellStyle name="Normal 4 2 23" xfId="30328" xr:uid="{00000000-0005-0000-0000-000078760000}"/>
    <cellStyle name="Normal 4 2 23 2" xfId="30329" xr:uid="{00000000-0005-0000-0000-000079760000}"/>
    <cellStyle name="Normal 4 2 24" xfId="30330" xr:uid="{00000000-0005-0000-0000-00007A760000}"/>
    <cellStyle name="Normal 4 2 25" xfId="30331" xr:uid="{00000000-0005-0000-0000-00007B760000}"/>
    <cellStyle name="Normal 4 2 26" xfId="30332" xr:uid="{00000000-0005-0000-0000-00007C760000}"/>
    <cellStyle name="Normal 4 2 27" xfId="30333" xr:uid="{00000000-0005-0000-0000-00007D760000}"/>
    <cellStyle name="Normal 4 2 28" xfId="30334" xr:uid="{00000000-0005-0000-0000-00007E760000}"/>
    <cellStyle name="Normal 4 2 29" xfId="30335" xr:uid="{00000000-0005-0000-0000-00007F760000}"/>
    <cellStyle name="Normal 4 2 3" xfId="30336" xr:uid="{00000000-0005-0000-0000-000080760000}"/>
    <cellStyle name="Normal 4 2 3 2" xfId="30337" xr:uid="{00000000-0005-0000-0000-000081760000}"/>
    <cellStyle name="Normal 4 2 30" xfId="30338" xr:uid="{00000000-0005-0000-0000-000082760000}"/>
    <cellStyle name="Normal 4 2 31" xfId="30339" xr:uid="{00000000-0005-0000-0000-000083760000}"/>
    <cellStyle name="Normal 4 2 32" xfId="30340" xr:uid="{00000000-0005-0000-0000-000084760000}"/>
    <cellStyle name="Normal 4 2 33" xfId="30341" xr:uid="{00000000-0005-0000-0000-000085760000}"/>
    <cellStyle name="Normal 4 2 34" xfId="30342" xr:uid="{00000000-0005-0000-0000-000086760000}"/>
    <cellStyle name="Normal 4 2 35" xfId="30343" xr:uid="{00000000-0005-0000-0000-000087760000}"/>
    <cellStyle name="Normal 4 2 36" xfId="30344" xr:uid="{00000000-0005-0000-0000-000088760000}"/>
    <cellStyle name="Normal 4 2 37" xfId="30345" xr:uid="{00000000-0005-0000-0000-000089760000}"/>
    <cellStyle name="Normal 4 2 38" xfId="30346" xr:uid="{00000000-0005-0000-0000-00008A760000}"/>
    <cellStyle name="Normal 4 2 39" xfId="30347" xr:uid="{00000000-0005-0000-0000-00008B760000}"/>
    <cellStyle name="Normal 4 2 4" xfId="30348" xr:uid="{00000000-0005-0000-0000-00008C760000}"/>
    <cellStyle name="Normal 4 2 4 2" xfId="30349" xr:uid="{00000000-0005-0000-0000-00008D760000}"/>
    <cellStyle name="Normal 4 2 40" xfId="30350" xr:uid="{00000000-0005-0000-0000-00008E760000}"/>
    <cellStyle name="Normal 4 2 41" xfId="30351" xr:uid="{00000000-0005-0000-0000-00008F760000}"/>
    <cellStyle name="Normal 4 2 42" xfId="30352" xr:uid="{00000000-0005-0000-0000-000090760000}"/>
    <cellStyle name="Normal 4 2 43" xfId="30353" xr:uid="{00000000-0005-0000-0000-000091760000}"/>
    <cellStyle name="Normal 4 2 44" xfId="30354" xr:uid="{00000000-0005-0000-0000-000092760000}"/>
    <cellStyle name="Normal 4 2 45" xfId="30355" xr:uid="{00000000-0005-0000-0000-000093760000}"/>
    <cellStyle name="Normal 4 2 46" xfId="30356" xr:uid="{00000000-0005-0000-0000-000094760000}"/>
    <cellStyle name="Normal 4 2 47" xfId="30357" xr:uid="{00000000-0005-0000-0000-000095760000}"/>
    <cellStyle name="Normal 4 2 48" xfId="30358" xr:uid="{00000000-0005-0000-0000-000096760000}"/>
    <cellStyle name="Normal 4 2 49" xfId="30359" xr:uid="{00000000-0005-0000-0000-000097760000}"/>
    <cellStyle name="Normal 4 2 5" xfId="30360" xr:uid="{00000000-0005-0000-0000-000098760000}"/>
    <cellStyle name="Normal 4 2 5 2" xfId="30361" xr:uid="{00000000-0005-0000-0000-000099760000}"/>
    <cellStyle name="Normal 4 2 50" xfId="30362" xr:uid="{00000000-0005-0000-0000-00009A760000}"/>
    <cellStyle name="Normal 4 2 51" xfId="30363" xr:uid="{00000000-0005-0000-0000-00009B760000}"/>
    <cellStyle name="Normal 4 2 52" xfId="30364" xr:uid="{00000000-0005-0000-0000-00009C760000}"/>
    <cellStyle name="Normal 4 2 53" xfId="30365" xr:uid="{00000000-0005-0000-0000-00009D760000}"/>
    <cellStyle name="Normal 4 2 54" xfId="30366" xr:uid="{00000000-0005-0000-0000-00009E760000}"/>
    <cellStyle name="Normal 4 2 55" xfId="30367" xr:uid="{00000000-0005-0000-0000-00009F760000}"/>
    <cellStyle name="Normal 4 2 56" xfId="30368" xr:uid="{00000000-0005-0000-0000-0000A0760000}"/>
    <cellStyle name="Normal 4 2 57" xfId="30369" xr:uid="{00000000-0005-0000-0000-0000A1760000}"/>
    <cellStyle name="Normal 4 2 58" xfId="30370" xr:uid="{00000000-0005-0000-0000-0000A2760000}"/>
    <cellStyle name="Normal 4 2 59" xfId="30371" xr:uid="{00000000-0005-0000-0000-0000A3760000}"/>
    <cellStyle name="Normal 4 2 6" xfId="30372" xr:uid="{00000000-0005-0000-0000-0000A4760000}"/>
    <cellStyle name="Normal 4 2 6 2" xfId="30373" xr:uid="{00000000-0005-0000-0000-0000A5760000}"/>
    <cellStyle name="Normal 4 2 60" xfId="30374" xr:uid="{00000000-0005-0000-0000-0000A6760000}"/>
    <cellStyle name="Normal 4 2 61" xfId="30375" xr:uid="{00000000-0005-0000-0000-0000A7760000}"/>
    <cellStyle name="Normal 4 2 62" xfId="30376" xr:uid="{00000000-0005-0000-0000-0000A8760000}"/>
    <cellStyle name="Normal 4 2 63" xfId="30377" xr:uid="{00000000-0005-0000-0000-0000A9760000}"/>
    <cellStyle name="Normal 4 2 64" xfId="30378" xr:uid="{00000000-0005-0000-0000-0000AA760000}"/>
    <cellStyle name="Normal 4 2 65" xfId="30379" xr:uid="{00000000-0005-0000-0000-0000AB760000}"/>
    <cellStyle name="Normal 4 2 66" xfId="30380" xr:uid="{00000000-0005-0000-0000-0000AC760000}"/>
    <cellStyle name="Normal 4 2 67" xfId="30381" xr:uid="{00000000-0005-0000-0000-0000AD760000}"/>
    <cellStyle name="Normal 4 2 68" xfId="30382" xr:uid="{00000000-0005-0000-0000-0000AE760000}"/>
    <cellStyle name="Normal 4 2 69" xfId="30383" xr:uid="{00000000-0005-0000-0000-0000AF760000}"/>
    <cellStyle name="Normal 4 2 7" xfId="30384" xr:uid="{00000000-0005-0000-0000-0000B0760000}"/>
    <cellStyle name="Normal 4 2 7 2" xfId="30385" xr:uid="{00000000-0005-0000-0000-0000B1760000}"/>
    <cellStyle name="Normal 4 2 70" xfId="30386" xr:uid="{00000000-0005-0000-0000-0000B2760000}"/>
    <cellStyle name="Normal 4 2 71" xfId="30387" xr:uid="{00000000-0005-0000-0000-0000B3760000}"/>
    <cellStyle name="Normal 4 2 72" xfId="30388" xr:uid="{00000000-0005-0000-0000-0000B4760000}"/>
    <cellStyle name="Normal 4 2 73" xfId="30389" xr:uid="{00000000-0005-0000-0000-0000B5760000}"/>
    <cellStyle name="Normal 4 2 74" xfId="30390" xr:uid="{00000000-0005-0000-0000-0000B6760000}"/>
    <cellStyle name="Normal 4 2 75" xfId="30391" xr:uid="{00000000-0005-0000-0000-0000B7760000}"/>
    <cellStyle name="Normal 4 2 76" xfId="30392" xr:uid="{00000000-0005-0000-0000-0000B8760000}"/>
    <cellStyle name="Normal 4 2 77" xfId="30393" xr:uid="{00000000-0005-0000-0000-0000B9760000}"/>
    <cellStyle name="Normal 4 2 78" xfId="30394" xr:uid="{00000000-0005-0000-0000-0000BA760000}"/>
    <cellStyle name="Normal 4 2 79" xfId="30395" xr:uid="{00000000-0005-0000-0000-0000BB760000}"/>
    <cellStyle name="Normal 4 2 8" xfId="30396" xr:uid="{00000000-0005-0000-0000-0000BC760000}"/>
    <cellStyle name="Normal 4 2 8 2" xfId="30397" xr:uid="{00000000-0005-0000-0000-0000BD760000}"/>
    <cellStyle name="Normal 4 2 80" xfId="30398" xr:uid="{00000000-0005-0000-0000-0000BE760000}"/>
    <cellStyle name="Normal 4 2 81" xfId="30399" xr:uid="{00000000-0005-0000-0000-0000BF760000}"/>
    <cellStyle name="Normal 4 2 82" xfId="30400" xr:uid="{00000000-0005-0000-0000-0000C0760000}"/>
    <cellStyle name="Normal 4 2 83" xfId="30401" xr:uid="{00000000-0005-0000-0000-0000C1760000}"/>
    <cellStyle name="Normal 4 2 84" xfId="30402" xr:uid="{00000000-0005-0000-0000-0000C2760000}"/>
    <cellStyle name="Normal 4 2 85" xfId="30403" xr:uid="{00000000-0005-0000-0000-0000C3760000}"/>
    <cellStyle name="Normal 4 2 86" xfId="30404" xr:uid="{00000000-0005-0000-0000-0000C4760000}"/>
    <cellStyle name="Normal 4 2 87" xfId="30405" xr:uid="{00000000-0005-0000-0000-0000C5760000}"/>
    <cellStyle name="Normal 4 2 87 2" xfId="30406" xr:uid="{00000000-0005-0000-0000-0000C6760000}"/>
    <cellStyle name="Normal 4 2 88" xfId="30299" xr:uid="{00000000-0005-0000-0000-00005B760000}"/>
    <cellStyle name="Normal 4 2 9" xfId="30407" xr:uid="{00000000-0005-0000-0000-0000C7760000}"/>
    <cellStyle name="Normal 4 2 9 2" xfId="30408" xr:uid="{00000000-0005-0000-0000-0000C8760000}"/>
    <cellStyle name="Normal 4 2_Xa Parametrización de Usuarios" xfId="30409" xr:uid="{00000000-0005-0000-0000-0000C9760000}"/>
    <cellStyle name="Normal 4 20" xfId="30410" xr:uid="{00000000-0005-0000-0000-0000CA760000}"/>
    <cellStyle name="Normal 4 20 2" xfId="30411" xr:uid="{00000000-0005-0000-0000-0000CB760000}"/>
    <cellStyle name="Normal 4 20 3" xfId="30412" xr:uid="{00000000-0005-0000-0000-0000CC760000}"/>
    <cellStyle name="Normal 4 20 4" xfId="30413" xr:uid="{00000000-0005-0000-0000-0000CD760000}"/>
    <cellStyle name="Normal 4 20_Enlaces" xfId="30414" xr:uid="{00000000-0005-0000-0000-0000CE760000}"/>
    <cellStyle name="Normal 4 21" xfId="30415" xr:uid="{00000000-0005-0000-0000-0000CF760000}"/>
    <cellStyle name="Normal 4 21 2" xfId="30416" xr:uid="{00000000-0005-0000-0000-0000D0760000}"/>
    <cellStyle name="Normal 4 21 3" xfId="30417" xr:uid="{00000000-0005-0000-0000-0000D1760000}"/>
    <cellStyle name="Normal 4 21 4" xfId="30418" xr:uid="{00000000-0005-0000-0000-0000D2760000}"/>
    <cellStyle name="Normal 4 21_Enlaces" xfId="30419" xr:uid="{00000000-0005-0000-0000-0000D3760000}"/>
    <cellStyle name="Normal 4 22" xfId="30420" xr:uid="{00000000-0005-0000-0000-0000D4760000}"/>
    <cellStyle name="Normal 4 22 2" xfId="30421" xr:uid="{00000000-0005-0000-0000-0000D5760000}"/>
    <cellStyle name="Normal 4 22 3" xfId="30422" xr:uid="{00000000-0005-0000-0000-0000D6760000}"/>
    <cellStyle name="Normal 4 22 4" xfId="30423" xr:uid="{00000000-0005-0000-0000-0000D7760000}"/>
    <cellStyle name="Normal 4 22_Enlaces" xfId="30424" xr:uid="{00000000-0005-0000-0000-0000D8760000}"/>
    <cellStyle name="Normal 4 23" xfId="30425" xr:uid="{00000000-0005-0000-0000-0000D9760000}"/>
    <cellStyle name="Normal 4 23 2" xfId="30426" xr:uid="{00000000-0005-0000-0000-0000DA760000}"/>
    <cellStyle name="Normal 4 23 3" xfId="30427" xr:uid="{00000000-0005-0000-0000-0000DB760000}"/>
    <cellStyle name="Normal 4 23 4" xfId="30428" xr:uid="{00000000-0005-0000-0000-0000DC760000}"/>
    <cellStyle name="Normal 4 23_Enlaces" xfId="30429" xr:uid="{00000000-0005-0000-0000-0000DD760000}"/>
    <cellStyle name="Normal 4 24" xfId="30430" xr:uid="{00000000-0005-0000-0000-0000DE760000}"/>
    <cellStyle name="Normal 4 24 2" xfId="30431" xr:uid="{00000000-0005-0000-0000-0000DF760000}"/>
    <cellStyle name="Normal 4 24 3" xfId="30432" xr:uid="{00000000-0005-0000-0000-0000E0760000}"/>
    <cellStyle name="Normal 4 24 4" xfId="30433" xr:uid="{00000000-0005-0000-0000-0000E1760000}"/>
    <cellStyle name="Normal 4 24_Enlaces" xfId="30434" xr:uid="{00000000-0005-0000-0000-0000E2760000}"/>
    <cellStyle name="Normal 4 25" xfId="30435" xr:uid="{00000000-0005-0000-0000-0000E3760000}"/>
    <cellStyle name="Normal 4 25 2" xfId="30436" xr:uid="{00000000-0005-0000-0000-0000E4760000}"/>
    <cellStyle name="Normal 4 25 3" xfId="30437" xr:uid="{00000000-0005-0000-0000-0000E5760000}"/>
    <cellStyle name="Normal 4 25 4" xfId="30438" xr:uid="{00000000-0005-0000-0000-0000E6760000}"/>
    <cellStyle name="Normal 4 25_Enlaces" xfId="30439" xr:uid="{00000000-0005-0000-0000-0000E7760000}"/>
    <cellStyle name="Normal 4 26" xfId="30440" xr:uid="{00000000-0005-0000-0000-0000E8760000}"/>
    <cellStyle name="Normal 4 26 2" xfId="30441" xr:uid="{00000000-0005-0000-0000-0000E9760000}"/>
    <cellStyle name="Normal 4 26 3" xfId="30442" xr:uid="{00000000-0005-0000-0000-0000EA760000}"/>
    <cellStyle name="Normal 4 26 4" xfId="30443" xr:uid="{00000000-0005-0000-0000-0000EB760000}"/>
    <cellStyle name="Normal 4 26_Enlaces" xfId="30444" xr:uid="{00000000-0005-0000-0000-0000EC760000}"/>
    <cellStyle name="Normal 4 27" xfId="30445" xr:uid="{00000000-0005-0000-0000-0000ED760000}"/>
    <cellStyle name="Normal 4 27 2" xfId="30446" xr:uid="{00000000-0005-0000-0000-0000EE760000}"/>
    <cellStyle name="Normal 4 27 3" xfId="30447" xr:uid="{00000000-0005-0000-0000-0000EF760000}"/>
    <cellStyle name="Normal 4 28" xfId="30448" xr:uid="{00000000-0005-0000-0000-0000F0760000}"/>
    <cellStyle name="Normal 4 28 2" xfId="30449" xr:uid="{00000000-0005-0000-0000-0000F1760000}"/>
    <cellStyle name="Normal 4 28 3" xfId="30450" xr:uid="{00000000-0005-0000-0000-0000F2760000}"/>
    <cellStyle name="Normal 4 29" xfId="30451" xr:uid="{00000000-0005-0000-0000-0000F3760000}"/>
    <cellStyle name="Normal 4 29 2" xfId="30452" xr:uid="{00000000-0005-0000-0000-0000F4760000}"/>
    <cellStyle name="Normal 4 29 3" xfId="30453" xr:uid="{00000000-0005-0000-0000-0000F5760000}"/>
    <cellStyle name="Normal 4 3" xfId="40" xr:uid="{00000000-0005-0000-0000-000028000000}"/>
    <cellStyle name="Normal 4 3 10" xfId="30455" xr:uid="{00000000-0005-0000-0000-0000F7760000}"/>
    <cellStyle name="Normal 4 3 11" xfId="30456" xr:uid="{00000000-0005-0000-0000-0000F8760000}"/>
    <cellStyle name="Normal 4 3 12" xfId="30457" xr:uid="{00000000-0005-0000-0000-0000F9760000}"/>
    <cellStyle name="Normal 4 3 13" xfId="30458" xr:uid="{00000000-0005-0000-0000-0000FA760000}"/>
    <cellStyle name="Normal 4 3 14" xfId="30459" xr:uid="{00000000-0005-0000-0000-0000FB760000}"/>
    <cellStyle name="Normal 4 3 15" xfId="30460" xr:uid="{00000000-0005-0000-0000-0000FC760000}"/>
    <cellStyle name="Normal 4 3 16" xfId="30461" xr:uid="{00000000-0005-0000-0000-0000FD760000}"/>
    <cellStyle name="Normal 4 3 17" xfId="30462" xr:uid="{00000000-0005-0000-0000-0000FE760000}"/>
    <cellStyle name="Normal 4 3 18" xfId="30463" xr:uid="{00000000-0005-0000-0000-0000FF760000}"/>
    <cellStyle name="Normal 4 3 19" xfId="30464" xr:uid="{00000000-0005-0000-0000-000000770000}"/>
    <cellStyle name="Normal 4 3 2" xfId="30465" xr:uid="{00000000-0005-0000-0000-000001770000}"/>
    <cellStyle name="Normal 4 3 2 2" xfId="30466" xr:uid="{00000000-0005-0000-0000-000002770000}"/>
    <cellStyle name="Normal 4 3 20" xfId="30467" xr:uid="{00000000-0005-0000-0000-000003770000}"/>
    <cellStyle name="Normal 4 3 21" xfId="30468" xr:uid="{00000000-0005-0000-0000-000004770000}"/>
    <cellStyle name="Normal 4 3 22" xfId="30469" xr:uid="{00000000-0005-0000-0000-000005770000}"/>
    <cellStyle name="Normal 4 3 23" xfId="30470" xr:uid="{00000000-0005-0000-0000-000006770000}"/>
    <cellStyle name="Normal 4 3 24" xfId="30471" xr:uid="{00000000-0005-0000-0000-000007770000}"/>
    <cellStyle name="Normal 4 3 25" xfId="30472" xr:uid="{00000000-0005-0000-0000-000008770000}"/>
    <cellStyle name="Normal 4 3 26" xfId="30473" xr:uid="{00000000-0005-0000-0000-000009770000}"/>
    <cellStyle name="Normal 4 3 27" xfId="30474" xr:uid="{00000000-0005-0000-0000-00000A770000}"/>
    <cellStyle name="Normal 4 3 28" xfId="30475" xr:uid="{00000000-0005-0000-0000-00000B770000}"/>
    <cellStyle name="Normal 4 3 29" xfId="30476" xr:uid="{00000000-0005-0000-0000-00000C770000}"/>
    <cellStyle name="Normal 4 3 3" xfId="30477" xr:uid="{00000000-0005-0000-0000-00000D770000}"/>
    <cellStyle name="Normal 4 3 30" xfId="30478" xr:uid="{00000000-0005-0000-0000-00000E770000}"/>
    <cellStyle name="Normal 4 3 31" xfId="30479" xr:uid="{00000000-0005-0000-0000-00000F770000}"/>
    <cellStyle name="Normal 4 3 32" xfId="30480" xr:uid="{00000000-0005-0000-0000-000010770000}"/>
    <cellStyle name="Normal 4 3 33" xfId="30481" xr:uid="{00000000-0005-0000-0000-000011770000}"/>
    <cellStyle name="Normal 4 3 34" xfId="30482" xr:uid="{00000000-0005-0000-0000-000012770000}"/>
    <cellStyle name="Normal 4 3 35" xfId="30454" xr:uid="{00000000-0005-0000-0000-0000F6760000}"/>
    <cellStyle name="Normal 4 3 4" xfId="30483" xr:uid="{00000000-0005-0000-0000-000013770000}"/>
    <cellStyle name="Normal 4 3 5" xfId="30484" xr:uid="{00000000-0005-0000-0000-000014770000}"/>
    <cellStyle name="Normal 4 3 6" xfId="30485" xr:uid="{00000000-0005-0000-0000-000015770000}"/>
    <cellStyle name="Normal 4 3 7" xfId="30486" xr:uid="{00000000-0005-0000-0000-000016770000}"/>
    <cellStyle name="Normal 4 3 8" xfId="30487" xr:uid="{00000000-0005-0000-0000-000017770000}"/>
    <cellStyle name="Normal 4 3 9" xfId="30488" xr:uid="{00000000-0005-0000-0000-000018770000}"/>
    <cellStyle name="Normal 4 3_Enlaces" xfId="30489" xr:uid="{00000000-0005-0000-0000-000019770000}"/>
    <cellStyle name="Normal 4 30" xfId="30490" xr:uid="{00000000-0005-0000-0000-00001A770000}"/>
    <cellStyle name="Normal 4 30 2" xfId="30491" xr:uid="{00000000-0005-0000-0000-00001B770000}"/>
    <cellStyle name="Normal 4 30 3" xfId="30492" xr:uid="{00000000-0005-0000-0000-00001C770000}"/>
    <cellStyle name="Normal 4 31" xfId="30493" xr:uid="{00000000-0005-0000-0000-00001D770000}"/>
    <cellStyle name="Normal 4 31 2" xfId="30494" xr:uid="{00000000-0005-0000-0000-00001E770000}"/>
    <cellStyle name="Normal 4 31 3" xfId="30495" xr:uid="{00000000-0005-0000-0000-00001F770000}"/>
    <cellStyle name="Normal 4 32" xfId="30496" xr:uid="{00000000-0005-0000-0000-000020770000}"/>
    <cellStyle name="Normal 4 32 2" xfId="30497" xr:uid="{00000000-0005-0000-0000-000021770000}"/>
    <cellStyle name="Normal 4 32 3" xfId="30498" xr:uid="{00000000-0005-0000-0000-000022770000}"/>
    <cellStyle name="Normal 4 33" xfId="30499" xr:uid="{00000000-0005-0000-0000-000023770000}"/>
    <cellStyle name="Normal 4 33 2" xfId="30500" xr:uid="{00000000-0005-0000-0000-000024770000}"/>
    <cellStyle name="Normal 4 33 3" xfId="30501" xr:uid="{00000000-0005-0000-0000-000025770000}"/>
    <cellStyle name="Normal 4 34" xfId="30502" xr:uid="{00000000-0005-0000-0000-000026770000}"/>
    <cellStyle name="Normal 4 34 2" xfId="30503" xr:uid="{00000000-0005-0000-0000-000027770000}"/>
    <cellStyle name="Normal 4 34 3" xfId="30504" xr:uid="{00000000-0005-0000-0000-000028770000}"/>
    <cellStyle name="Normal 4 35" xfId="30505" xr:uid="{00000000-0005-0000-0000-000029770000}"/>
    <cellStyle name="Normal 4 35 2" xfId="30506" xr:uid="{00000000-0005-0000-0000-00002A770000}"/>
    <cellStyle name="Normal 4 35 3" xfId="30507" xr:uid="{00000000-0005-0000-0000-00002B770000}"/>
    <cellStyle name="Normal 4 36" xfId="30508" xr:uid="{00000000-0005-0000-0000-00002C770000}"/>
    <cellStyle name="Normal 4 36 2" xfId="30509" xr:uid="{00000000-0005-0000-0000-00002D770000}"/>
    <cellStyle name="Normal 4 36 3" xfId="30510" xr:uid="{00000000-0005-0000-0000-00002E770000}"/>
    <cellStyle name="Normal 4 37" xfId="30511" xr:uid="{00000000-0005-0000-0000-00002F770000}"/>
    <cellStyle name="Normal 4 37 2" xfId="30512" xr:uid="{00000000-0005-0000-0000-000030770000}"/>
    <cellStyle name="Normal 4 37 3" xfId="30513" xr:uid="{00000000-0005-0000-0000-000031770000}"/>
    <cellStyle name="Normal 4 38" xfId="30514" xr:uid="{00000000-0005-0000-0000-000032770000}"/>
    <cellStyle name="Normal 4 38 2" xfId="30515" xr:uid="{00000000-0005-0000-0000-000033770000}"/>
    <cellStyle name="Normal 4 38 3" xfId="30516" xr:uid="{00000000-0005-0000-0000-000034770000}"/>
    <cellStyle name="Normal 4 39" xfId="30517" xr:uid="{00000000-0005-0000-0000-000035770000}"/>
    <cellStyle name="Normal 4 39 2" xfId="30518" xr:uid="{00000000-0005-0000-0000-000036770000}"/>
    <cellStyle name="Normal 4 39 3" xfId="30519" xr:uid="{00000000-0005-0000-0000-000037770000}"/>
    <cellStyle name="Normal 4 4" xfId="30520" xr:uid="{00000000-0005-0000-0000-000038770000}"/>
    <cellStyle name="Normal 4 4 2" xfId="30521" xr:uid="{00000000-0005-0000-0000-000039770000}"/>
    <cellStyle name="Normal 4 4 3" xfId="30522" xr:uid="{00000000-0005-0000-0000-00003A770000}"/>
    <cellStyle name="Normal 4 4 4" xfId="30523" xr:uid="{00000000-0005-0000-0000-00003B770000}"/>
    <cellStyle name="Normal 4 4 5" xfId="30524" xr:uid="{00000000-0005-0000-0000-00003C770000}"/>
    <cellStyle name="Normal 4 4_Enlaces" xfId="30525" xr:uid="{00000000-0005-0000-0000-00003D770000}"/>
    <cellStyle name="Normal 4 40" xfId="30526" xr:uid="{00000000-0005-0000-0000-00003E770000}"/>
    <cellStyle name="Normal 4 40 2" xfId="30527" xr:uid="{00000000-0005-0000-0000-00003F770000}"/>
    <cellStyle name="Normal 4 40 3" xfId="30528" xr:uid="{00000000-0005-0000-0000-000040770000}"/>
    <cellStyle name="Normal 4 41" xfId="30529" xr:uid="{00000000-0005-0000-0000-000041770000}"/>
    <cellStyle name="Normal 4 41 2" xfId="30530" xr:uid="{00000000-0005-0000-0000-000042770000}"/>
    <cellStyle name="Normal 4 41 3" xfId="30531" xr:uid="{00000000-0005-0000-0000-000043770000}"/>
    <cellStyle name="Normal 4 42" xfId="30532" xr:uid="{00000000-0005-0000-0000-000044770000}"/>
    <cellStyle name="Normal 4 42 2" xfId="30533" xr:uid="{00000000-0005-0000-0000-000045770000}"/>
    <cellStyle name="Normal 4 42 3" xfId="30534" xr:uid="{00000000-0005-0000-0000-000046770000}"/>
    <cellStyle name="Normal 4 43" xfId="30535" xr:uid="{00000000-0005-0000-0000-000047770000}"/>
    <cellStyle name="Normal 4 43 2" xfId="30536" xr:uid="{00000000-0005-0000-0000-000048770000}"/>
    <cellStyle name="Normal 4 43 3" xfId="30537" xr:uid="{00000000-0005-0000-0000-000049770000}"/>
    <cellStyle name="Normal 4 44" xfId="30538" xr:uid="{00000000-0005-0000-0000-00004A770000}"/>
    <cellStyle name="Normal 4 44 2" xfId="30539" xr:uid="{00000000-0005-0000-0000-00004B770000}"/>
    <cellStyle name="Normal 4 44 3" xfId="30540" xr:uid="{00000000-0005-0000-0000-00004C770000}"/>
    <cellStyle name="Normal 4 45" xfId="30541" xr:uid="{00000000-0005-0000-0000-00004D770000}"/>
    <cellStyle name="Normal 4 45 2" xfId="30542" xr:uid="{00000000-0005-0000-0000-00004E770000}"/>
    <cellStyle name="Normal 4 45 3" xfId="30543" xr:uid="{00000000-0005-0000-0000-00004F770000}"/>
    <cellStyle name="Normal 4 46" xfId="30544" xr:uid="{00000000-0005-0000-0000-000050770000}"/>
    <cellStyle name="Normal 4 46 2" xfId="30545" xr:uid="{00000000-0005-0000-0000-000051770000}"/>
    <cellStyle name="Normal 4 46 3" xfId="30546" xr:uid="{00000000-0005-0000-0000-000052770000}"/>
    <cellStyle name="Normal 4 47" xfId="30547" xr:uid="{00000000-0005-0000-0000-000053770000}"/>
    <cellStyle name="Normal 4 48" xfId="30548" xr:uid="{00000000-0005-0000-0000-000054770000}"/>
    <cellStyle name="Normal 4 49" xfId="30549" xr:uid="{00000000-0005-0000-0000-000055770000}"/>
    <cellStyle name="Normal 4 5" xfId="30550" xr:uid="{00000000-0005-0000-0000-000056770000}"/>
    <cellStyle name="Normal 4 5 2" xfId="30551" xr:uid="{00000000-0005-0000-0000-000057770000}"/>
    <cellStyle name="Normal 4 5 3" xfId="30552" xr:uid="{00000000-0005-0000-0000-000058770000}"/>
    <cellStyle name="Normal 4 5 4" xfId="30553" xr:uid="{00000000-0005-0000-0000-000059770000}"/>
    <cellStyle name="Normal 4 5 5" xfId="30554" xr:uid="{00000000-0005-0000-0000-00005A770000}"/>
    <cellStyle name="Normal 4 5_Enlaces" xfId="30555" xr:uid="{00000000-0005-0000-0000-00005B770000}"/>
    <cellStyle name="Normal 4 50" xfId="30556" xr:uid="{00000000-0005-0000-0000-00005C770000}"/>
    <cellStyle name="Normal 4 51" xfId="30557" xr:uid="{00000000-0005-0000-0000-00005D770000}"/>
    <cellStyle name="Normal 4 52" xfId="30558" xr:uid="{00000000-0005-0000-0000-00005E770000}"/>
    <cellStyle name="Normal 4 53" xfId="30559" xr:uid="{00000000-0005-0000-0000-00005F770000}"/>
    <cellStyle name="Normal 4 54" xfId="30560" xr:uid="{00000000-0005-0000-0000-000060770000}"/>
    <cellStyle name="Normal 4 55" xfId="30561" xr:uid="{00000000-0005-0000-0000-000061770000}"/>
    <cellStyle name="Normal 4 56" xfId="30562" xr:uid="{00000000-0005-0000-0000-000062770000}"/>
    <cellStyle name="Normal 4 57" xfId="30563" xr:uid="{00000000-0005-0000-0000-000063770000}"/>
    <cellStyle name="Normal 4 58" xfId="30564" xr:uid="{00000000-0005-0000-0000-000064770000}"/>
    <cellStyle name="Normal 4 59" xfId="30565" xr:uid="{00000000-0005-0000-0000-000065770000}"/>
    <cellStyle name="Normal 4 6" xfId="30566" xr:uid="{00000000-0005-0000-0000-000066770000}"/>
    <cellStyle name="Normal 4 6 2" xfId="30567" xr:uid="{00000000-0005-0000-0000-000067770000}"/>
    <cellStyle name="Normal 4 6 3" xfId="30568" xr:uid="{00000000-0005-0000-0000-000068770000}"/>
    <cellStyle name="Normal 4 6 4" xfId="30569" xr:uid="{00000000-0005-0000-0000-000069770000}"/>
    <cellStyle name="Normal 4 6 5" xfId="30570" xr:uid="{00000000-0005-0000-0000-00006A770000}"/>
    <cellStyle name="Normal 4 6_Enlaces" xfId="30571" xr:uid="{00000000-0005-0000-0000-00006B770000}"/>
    <cellStyle name="Normal 4 60" xfId="30572" xr:uid="{00000000-0005-0000-0000-00006C770000}"/>
    <cellStyle name="Normal 4 61" xfId="30573" xr:uid="{00000000-0005-0000-0000-00006D770000}"/>
    <cellStyle name="Normal 4 62" xfId="30574" xr:uid="{00000000-0005-0000-0000-00006E770000}"/>
    <cellStyle name="Normal 4 63" xfId="30575" xr:uid="{00000000-0005-0000-0000-00006F770000}"/>
    <cellStyle name="Normal 4 64" xfId="30576" xr:uid="{00000000-0005-0000-0000-000070770000}"/>
    <cellStyle name="Normal 4 65" xfId="30577" xr:uid="{00000000-0005-0000-0000-000071770000}"/>
    <cellStyle name="Normal 4 66" xfId="30578" xr:uid="{00000000-0005-0000-0000-000072770000}"/>
    <cellStyle name="Normal 4 67" xfId="30579" xr:uid="{00000000-0005-0000-0000-000073770000}"/>
    <cellStyle name="Normal 4 68" xfId="30580" xr:uid="{00000000-0005-0000-0000-000074770000}"/>
    <cellStyle name="Normal 4 69" xfId="30581" xr:uid="{00000000-0005-0000-0000-000075770000}"/>
    <cellStyle name="Normal 4 7" xfId="30582" xr:uid="{00000000-0005-0000-0000-000076770000}"/>
    <cellStyle name="Normal 4 7 2" xfId="30583" xr:uid="{00000000-0005-0000-0000-000077770000}"/>
    <cellStyle name="Normal 4 7 3" xfId="30584" xr:uid="{00000000-0005-0000-0000-000078770000}"/>
    <cellStyle name="Normal 4 7 4" xfId="30585" xr:uid="{00000000-0005-0000-0000-000079770000}"/>
    <cellStyle name="Normal 4 7 5" xfId="30586" xr:uid="{00000000-0005-0000-0000-00007A770000}"/>
    <cellStyle name="Normal 4 7_Enlaces" xfId="30587" xr:uid="{00000000-0005-0000-0000-00007B770000}"/>
    <cellStyle name="Normal 4 70" xfId="30588" xr:uid="{00000000-0005-0000-0000-00007C770000}"/>
    <cellStyle name="Normal 4 71" xfId="30589" xr:uid="{00000000-0005-0000-0000-00007D770000}"/>
    <cellStyle name="Normal 4 72" xfId="30590" xr:uid="{00000000-0005-0000-0000-00007E770000}"/>
    <cellStyle name="Normal 4 73" xfId="30591" xr:uid="{00000000-0005-0000-0000-00007F770000}"/>
    <cellStyle name="Normal 4 74" xfId="30592" xr:uid="{00000000-0005-0000-0000-000080770000}"/>
    <cellStyle name="Normal 4 75" xfId="30593" xr:uid="{00000000-0005-0000-0000-000081770000}"/>
    <cellStyle name="Normal 4 76" xfId="30594" xr:uid="{00000000-0005-0000-0000-000082770000}"/>
    <cellStyle name="Normal 4 77" xfId="30595" xr:uid="{00000000-0005-0000-0000-000083770000}"/>
    <cellStyle name="Normal 4 78" xfId="30596" xr:uid="{00000000-0005-0000-0000-000084770000}"/>
    <cellStyle name="Normal 4 79" xfId="30597" xr:uid="{00000000-0005-0000-0000-000085770000}"/>
    <cellStyle name="Normal 4 8" xfId="30598" xr:uid="{00000000-0005-0000-0000-000086770000}"/>
    <cellStyle name="Normal 4 8 2" xfId="30599" xr:uid="{00000000-0005-0000-0000-000087770000}"/>
    <cellStyle name="Normal 4 8 3" xfId="30600" xr:uid="{00000000-0005-0000-0000-000088770000}"/>
    <cellStyle name="Normal 4 8 4" xfId="30601" xr:uid="{00000000-0005-0000-0000-000089770000}"/>
    <cellStyle name="Normal 4 8 5" xfId="30602" xr:uid="{00000000-0005-0000-0000-00008A770000}"/>
    <cellStyle name="Normal 4 8_Enlaces" xfId="30603" xr:uid="{00000000-0005-0000-0000-00008B770000}"/>
    <cellStyle name="Normal 4 80" xfId="30604" xr:uid="{00000000-0005-0000-0000-00008C770000}"/>
    <cellStyle name="Normal 4 81" xfId="30605" xr:uid="{00000000-0005-0000-0000-00008D770000}"/>
    <cellStyle name="Normal 4 82" xfId="30606" xr:uid="{00000000-0005-0000-0000-00008E770000}"/>
    <cellStyle name="Normal 4 83" xfId="30607" xr:uid="{00000000-0005-0000-0000-00008F770000}"/>
    <cellStyle name="Normal 4 84" xfId="30608" xr:uid="{00000000-0005-0000-0000-000090770000}"/>
    <cellStyle name="Normal 4 85" xfId="30609" xr:uid="{00000000-0005-0000-0000-000091770000}"/>
    <cellStyle name="Normal 4 86" xfId="30610" xr:uid="{00000000-0005-0000-0000-000092770000}"/>
    <cellStyle name="Normal 4 87" xfId="30611" xr:uid="{00000000-0005-0000-0000-000093770000}"/>
    <cellStyle name="Normal 4 88" xfId="30612" xr:uid="{00000000-0005-0000-0000-000094770000}"/>
    <cellStyle name="Normal 4 89" xfId="30613" xr:uid="{00000000-0005-0000-0000-000095770000}"/>
    <cellStyle name="Normal 4 9" xfId="30614" xr:uid="{00000000-0005-0000-0000-000096770000}"/>
    <cellStyle name="Normal 4 9 2" xfId="30615" xr:uid="{00000000-0005-0000-0000-000097770000}"/>
    <cellStyle name="Normal 4 9 3" xfId="30616" xr:uid="{00000000-0005-0000-0000-000098770000}"/>
    <cellStyle name="Normal 4 9 4" xfId="30617" xr:uid="{00000000-0005-0000-0000-000099770000}"/>
    <cellStyle name="Normal 4 9 5" xfId="30618" xr:uid="{00000000-0005-0000-0000-00009A770000}"/>
    <cellStyle name="Normal 4 9_Enlaces" xfId="30619" xr:uid="{00000000-0005-0000-0000-00009B770000}"/>
    <cellStyle name="Normal 4 90" xfId="30620" xr:uid="{00000000-0005-0000-0000-00009C770000}"/>
    <cellStyle name="Normal 4 91" xfId="30621" xr:uid="{00000000-0005-0000-0000-00009D770000}"/>
    <cellStyle name="Normal 4 92" xfId="30622" xr:uid="{00000000-0005-0000-0000-00009E770000}"/>
    <cellStyle name="Normal 4 93" xfId="30623" xr:uid="{00000000-0005-0000-0000-00009F770000}"/>
    <cellStyle name="Normal 4 94" xfId="30624" xr:uid="{00000000-0005-0000-0000-0000A0770000}"/>
    <cellStyle name="Normal 4 95" xfId="30625" xr:uid="{00000000-0005-0000-0000-0000A1770000}"/>
    <cellStyle name="Normal 4 96" xfId="30626" xr:uid="{00000000-0005-0000-0000-0000A2770000}"/>
    <cellStyle name="Normal 4 97" xfId="30627" xr:uid="{00000000-0005-0000-0000-0000A3770000}"/>
    <cellStyle name="Normal 4 98" xfId="30628" xr:uid="{00000000-0005-0000-0000-0000A4770000}"/>
    <cellStyle name="Normal 4 98 2" xfId="30629" xr:uid="{00000000-0005-0000-0000-0000A5770000}"/>
    <cellStyle name="Normal 4 98 3" xfId="30630" xr:uid="{00000000-0005-0000-0000-0000A6770000}"/>
    <cellStyle name="Normal 4 98 4" xfId="30631" xr:uid="{00000000-0005-0000-0000-0000A7770000}"/>
    <cellStyle name="Normal 4 98 5" xfId="30632" xr:uid="{00000000-0005-0000-0000-0000A8770000}"/>
    <cellStyle name="Normal 4 98 6" xfId="30633" xr:uid="{00000000-0005-0000-0000-0000A9770000}"/>
    <cellStyle name="Normal 4 99" xfId="30634" xr:uid="{00000000-0005-0000-0000-0000AA770000}"/>
    <cellStyle name="Normal 4 99 2" xfId="30635" xr:uid="{00000000-0005-0000-0000-0000AB770000}"/>
    <cellStyle name="Normal 4 99 3" xfId="30636" xr:uid="{00000000-0005-0000-0000-0000AC770000}"/>
    <cellStyle name="Normal 4 99 4" xfId="30637" xr:uid="{00000000-0005-0000-0000-0000AD770000}"/>
    <cellStyle name="Normal 4 99 5" xfId="30638" xr:uid="{00000000-0005-0000-0000-0000AE770000}"/>
    <cellStyle name="Normal 4 99 6" xfId="30639" xr:uid="{00000000-0005-0000-0000-0000AF770000}"/>
    <cellStyle name="Normal 4_Enlaces" xfId="30640" xr:uid="{00000000-0005-0000-0000-0000B0770000}"/>
    <cellStyle name="Normal 40" xfId="30641" xr:uid="{00000000-0005-0000-0000-0000B1770000}"/>
    <cellStyle name="Normal 40 10" xfId="30642" xr:uid="{00000000-0005-0000-0000-0000B2770000}"/>
    <cellStyle name="Normal 40 11" xfId="30643" xr:uid="{00000000-0005-0000-0000-0000B3770000}"/>
    <cellStyle name="Normal 40 12" xfId="30644" xr:uid="{00000000-0005-0000-0000-0000B4770000}"/>
    <cellStyle name="Normal 40 13" xfId="30645" xr:uid="{00000000-0005-0000-0000-0000B5770000}"/>
    <cellStyle name="Normal 40 14" xfId="30646" xr:uid="{00000000-0005-0000-0000-0000B6770000}"/>
    <cellStyle name="Normal 40 15" xfId="30647" xr:uid="{00000000-0005-0000-0000-0000B7770000}"/>
    <cellStyle name="Normal 40 16" xfId="30648" xr:uid="{00000000-0005-0000-0000-0000B8770000}"/>
    <cellStyle name="Normal 40 17" xfId="30649" xr:uid="{00000000-0005-0000-0000-0000B9770000}"/>
    <cellStyle name="Normal 40 18" xfId="30650" xr:uid="{00000000-0005-0000-0000-0000BA770000}"/>
    <cellStyle name="Normal 40 19" xfId="30651" xr:uid="{00000000-0005-0000-0000-0000BB770000}"/>
    <cellStyle name="Normal 40 2" xfId="30652" xr:uid="{00000000-0005-0000-0000-0000BC770000}"/>
    <cellStyle name="Normal 40 2 2" xfId="30653" xr:uid="{00000000-0005-0000-0000-0000BD770000}"/>
    <cellStyle name="Normal 40 20" xfId="30654" xr:uid="{00000000-0005-0000-0000-0000BE770000}"/>
    <cellStyle name="Normal 40 21" xfId="30655" xr:uid="{00000000-0005-0000-0000-0000BF770000}"/>
    <cellStyle name="Normal 40 22" xfId="30656" xr:uid="{00000000-0005-0000-0000-0000C0770000}"/>
    <cellStyle name="Normal 40 23" xfId="30657" xr:uid="{00000000-0005-0000-0000-0000C1770000}"/>
    <cellStyle name="Normal 40 24" xfId="30658" xr:uid="{00000000-0005-0000-0000-0000C2770000}"/>
    <cellStyle name="Normal 40 25" xfId="30659" xr:uid="{00000000-0005-0000-0000-0000C3770000}"/>
    <cellStyle name="Normal 40 26" xfId="30660" xr:uid="{00000000-0005-0000-0000-0000C4770000}"/>
    <cellStyle name="Normal 40 3" xfId="30661" xr:uid="{00000000-0005-0000-0000-0000C5770000}"/>
    <cellStyle name="Normal 40 3 2" xfId="30662" xr:uid="{00000000-0005-0000-0000-0000C6770000}"/>
    <cellStyle name="Normal 40 4" xfId="30663" xr:uid="{00000000-0005-0000-0000-0000C7770000}"/>
    <cellStyle name="Normal 40 4 2" xfId="30664" xr:uid="{00000000-0005-0000-0000-0000C8770000}"/>
    <cellStyle name="Normal 40 5" xfId="30665" xr:uid="{00000000-0005-0000-0000-0000C9770000}"/>
    <cellStyle name="Normal 40 5 2" xfId="30666" xr:uid="{00000000-0005-0000-0000-0000CA770000}"/>
    <cellStyle name="Normal 40 6" xfId="30667" xr:uid="{00000000-0005-0000-0000-0000CB770000}"/>
    <cellStyle name="Normal 40 7" xfId="30668" xr:uid="{00000000-0005-0000-0000-0000CC770000}"/>
    <cellStyle name="Normal 40 8" xfId="30669" xr:uid="{00000000-0005-0000-0000-0000CD770000}"/>
    <cellStyle name="Normal 40 9" xfId="30670" xr:uid="{00000000-0005-0000-0000-0000CE770000}"/>
    <cellStyle name="Normal 41" xfId="30671" xr:uid="{00000000-0005-0000-0000-0000CF770000}"/>
    <cellStyle name="Normal 41 10" xfId="30672" xr:uid="{00000000-0005-0000-0000-0000D0770000}"/>
    <cellStyle name="Normal 41 11" xfId="30673" xr:uid="{00000000-0005-0000-0000-0000D1770000}"/>
    <cellStyle name="Normal 41 12" xfId="30674" xr:uid="{00000000-0005-0000-0000-0000D2770000}"/>
    <cellStyle name="Normal 41 13" xfId="30675" xr:uid="{00000000-0005-0000-0000-0000D3770000}"/>
    <cellStyle name="Normal 41 14" xfId="30676" xr:uid="{00000000-0005-0000-0000-0000D4770000}"/>
    <cellStyle name="Normal 41 15" xfId="30677" xr:uid="{00000000-0005-0000-0000-0000D5770000}"/>
    <cellStyle name="Normal 41 16" xfId="30678" xr:uid="{00000000-0005-0000-0000-0000D6770000}"/>
    <cellStyle name="Normal 41 17" xfId="30679" xr:uid="{00000000-0005-0000-0000-0000D7770000}"/>
    <cellStyle name="Normal 41 18" xfId="30680" xr:uid="{00000000-0005-0000-0000-0000D8770000}"/>
    <cellStyle name="Normal 41 19" xfId="30681" xr:uid="{00000000-0005-0000-0000-0000D9770000}"/>
    <cellStyle name="Normal 41 2" xfId="30682" xr:uid="{00000000-0005-0000-0000-0000DA770000}"/>
    <cellStyle name="Normal 41 2 2" xfId="30683" xr:uid="{00000000-0005-0000-0000-0000DB770000}"/>
    <cellStyle name="Normal 41 20" xfId="30684" xr:uid="{00000000-0005-0000-0000-0000DC770000}"/>
    <cellStyle name="Normal 41 21" xfId="30685" xr:uid="{00000000-0005-0000-0000-0000DD770000}"/>
    <cellStyle name="Normal 41 22" xfId="30686" xr:uid="{00000000-0005-0000-0000-0000DE770000}"/>
    <cellStyle name="Normal 41 23" xfId="30687" xr:uid="{00000000-0005-0000-0000-0000DF770000}"/>
    <cellStyle name="Normal 41 24" xfId="30688" xr:uid="{00000000-0005-0000-0000-0000E0770000}"/>
    <cellStyle name="Normal 41 25" xfId="30689" xr:uid="{00000000-0005-0000-0000-0000E1770000}"/>
    <cellStyle name="Normal 41 26" xfId="30690" xr:uid="{00000000-0005-0000-0000-0000E2770000}"/>
    <cellStyle name="Normal 41 3" xfId="30691" xr:uid="{00000000-0005-0000-0000-0000E3770000}"/>
    <cellStyle name="Normal 41 3 2" xfId="30692" xr:uid="{00000000-0005-0000-0000-0000E4770000}"/>
    <cellStyle name="Normal 41 4" xfId="30693" xr:uid="{00000000-0005-0000-0000-0000E5770000}"/>
    <cellStyle name="Normal 41 4 2" xfId="30694" xr:uid="{00000000-0005-0000-0000-0000E6770000}"/>
    <cellStyle name="Normal 41 5" xfId="30695" xr:uid="{00000000-0005-0000-0000-0000E7770000}"/>
    <cellStyle name="Normal 41 5 2" xfId="30696" xr:uid="{00000000-0005-0000-0000-0000E8770000}"/>
    <cellStyle name="Normal 41 6" xfId="30697" xr:uid="{00000000-0005-0000-0000-0000E9770000}"/>
    <cellStyle name="Normal 41 7" xfId="30698" xr:uid="{00000000-0005-0000-0000-0000EA770000}"/>
    <cellStyle name="Normal 41 8" xfId="30699" xr:uid="{00000000-0005-0000-0000-0000EB770000}"/>
    <cellStyle name="Normal 41 9" xfId="30700" xr:uid="{00000000-0005-0000-0000-0000EC770000}"/>
    <cellStyle name="Normal 42" xfId="30701" xr:uid="{00000000-0005-0000-0000-0000ED770000}"/>
    <cellStyle name="Normal 43" xfId="30702" xr:uid="{00000000-0005-0000-0000-0000EE770000}"/>
    <cellStyle name="Normal 43 10" xfId="30703" xr:uid="{00000000-0005-0000-0000-0000EF770000}"/>
    <cellStyle name="Normal 43 11" xfId="30704" xr:uid="{00000000-0005-0000-0000-0000F0770000}"/>
    <cellStyle name="Normal 43 12" xfId="30705" xr:uid="{00000000-0005-0000-0000-0000F1770000}"/>
    <cellStyle name="Normal 43 13" xfId="30706" xr:uid="{00000000-0005-0000-0000-0000F2770000}"/>
    <cellStyle name="Normal 43 14" xfId="30707" xr:uid="{00000000-0005-0000-0000-0000F3770000}"/>
    <cellStyle name="Normal 43 15" xfId="30708" xr:uid="{00000000-0005-0000-0000-0000F4770000}"/>
    <cellStyle name="Normal 43 16" xfId="30709" xr:uid="{00000000-0005-0000-0000-0000F5770000}"/>
    <cellStyle name="Normal 43 17" xfId="30710" xr:uid="{00000000-0005-0000-0000-0000F6770000}"/>
    <cellStyle name="Normal 43 18" xfId="30711" xr:uid="{00000000-0005-0000-0000-0000F7770000}"/>
    <cellStyle name="Normal 43 19" xfId="30712" xr:uid="{00000000-0005-0000-0000-0000F8770000}"/>
    <cellStyle name="Normal 43 2" xfId="30713" xr:uid="{00000000-0005-0000-0000-0000F9770000}"/>
    <cellStyle name="Normal 43 2 2" xfId="30714" xr:uid="{00000000-0005-0000-0000-0000FA770000}"/>
    <cellStyle name="Normal 43 20" xfId="30715" xr:uid="{00000000-0005-0000-0000-0000FB770000}"/>
    <cellStyle name="Normal 43 21" xfId="30716" xr:uid="{00000000-0005-0000-0000-0000FC770000}"/>
    <cellStyle name="Normal 43 22" xfId="30717" xr:uid="{00000000-0005-0000-0000-0000FD770000}"/>
    <cellStyle name="Normal 43 23" xfId="30718" xr:uid="{00000000-0005-0000-0000-0000FE770000}"/>
    <cellStyle name="Normal 43 24" xfId="30719" xr:uid="{00000000-0005-0000-0000-0000FF770000}"/>
    <cellStyle name="Normal 43 25" xfId="30720" xr:uid="{00000000-0005-0000-0000-000000780000}"/>
    <cellStyle name="Normal 43 26" xfId="30721" xr:uid="{00000000-0005-0000-0000-000001780000}"/>
    <cellStyle name="Normal 43 27" xfId="30722" xr:uid="{00000000-0005-0000-0000-000002780000}"/>
    <cellStyle name="Normal 43 28" xfId="30723" xr:uid="{00000000-0005-0000-0000-000003780000}"/>
    <cellStyle name="Normal 43 3" xfId="30724" xr:uid="{00000000-0005-0000-0000-000004780000}"/>
    <cellStyle name="Normal 43 3 2" xfId="30725" xr:uid="{00000000-0005-0000-0000-000005780000}"/>
    <cellStyle name="Normal 43 4" xfId="30726" xr:uid="{00000000-0005-0000-0000-000006780000}"/>
    <cellStyle name="Normal 43 4 2" xfId="30727" xr:uid="{00000000-0005-0000-0000-000007780000}"/>
    <cellStyle name="Normal 43 5" xfId="30728" xr:uid="{00000000-0005-0000-0000-000008780000}"/>
    <cellStyle name="Normal 43 5 2" xfId="30729" xr:uid="{00000000-0005-0000-0000-000009780000}"/>
    <cellStyle name="Normal 43 6" xfId="30730" xr:uid="{00000000-0005-0000-0000-00000A780000}"/>
    <cellStyle name="Normal 43 7" xfId="30731" xr:uid="{00000000-0005-0000-0000-00000B780000}"/>
    <cellStyle name="Normal 43 8" xfId="30732" xr:uid="{00000000-0005-0000-0000-00000C780000}"/>
    <cellStyle name="Normal 43 9" xfId="30733" xr:uid="{00000000-0005-0000-0000-00000D780000}"/>
    <cellStyle name="Normal 44" xfId="30734" xr:uid="{00000000-0005-0000-0000-00000E780000}"/>
    <cellStyle name="Normal 44 10" xfId="30735" xr:uid="{00000000-0005-0000-0000-00000F780000}"/>
    <cellStyle name="Normal 44 11" xfId="30736" xr:uid="{00000000-0005-0000-0000-000010780000}"/>
    <cellStyle name="Normal 44 12" xfId="30737" xr:uid="{00000000-0005-0000-0000-000011780000}"/>
    <cellStyle name="Normal 44 13" xfId="30738" xr:uid="{00000000-0005-0000-0000-000012780000}"/>
    <cellStyle name="Normal 44 14" xfId="30739" xr:uid="{00000000-0005-0000-0000-000013780000}"/>
    <cellStyle name="Normal 44 15" xfId="30740" xr:uid="{00000000-0005-0000-0000-000014780000}"/>
    <cellStyle name="Normal 44 16" xfId="30741" xr:uid="{00000000-0005-0000-0000-000015780000}"/>
    <cellStyle name="Normal 44 17" xfId="30742" xr:uid="{00000000-0005-0000-0000-000016780000}"/>
    <cellStyle name="Normal 44 18" xfId="30743" xr:uid="{00000000-0005-0000-0000-000017780000}"/>
    <cellStyle name="Normal 44 19" xfId="30744" xr:uid="{00000000-0005-0000-0000-000018780000}"/>
    <cellStyle name="Normal 44 2" xfId="30745" xr:uid="{00000000-0005-0000-0000-000019780000}"/>
    <cellStyle name="Normal 44 2 2" xfId="30746" xr:uid="{00000000-0005-0000-0000-00001A780000}"/>
    <cellStyle name="Normal 44 20" xfId="30747" xr:uid="{00000000-0005-0000-0000-00001B780000}"/>
    <cellStyle name="Normal 44 21" xfId="30748" xr:uid="{00000000-0005-0000-0000-00001C780000}"/>
    <cellStyle name="Normal 44 22" xfId="30749" xr:uid="{00000000-0005-0000-0000-00001D780000}"/>
    <cellStyle name="Normal 44 23" xfId="30750" xr:uid="{00000000-0005-0000-0000-00001E780000}"/>
    <cellStyle name="Normal 44 24" xfId="30751" xr:uid="{00000000-0005-0000-0000-00001F780000}"/>
    <cellStyle name="Normal 44 25" xfId="30752" xr:uid="{00000000-0005-0000-0000-000020780000}"/>
    <cellStyle name="Normal 44 26" xfId="30753" xr:uid="{00000000-0005-0000-0000-000021780000}"/>
    <cellStyle name="Normal 44 3" xfId="30754" xr:uid="{00000000-0005-0000-0000-000022780000}"/>
    <cellStyle name="Normal 44 3 2" xfId="30755" xr:uid="{00000000-0005-0000-0000-000023780000}"/>
    <cellStyle name="Normal 44 4" xfId="30756" xr:uid="{00000000-0005-0000-0000-000024780000}"/>
    <cellStyle name="Normal 44 4 2" xfId="30757" xr:uid="{00000000-0005-0000-0000-000025780000}"/>
    <cellStyle name="Normal 44 5" xfId="30758" xr:uid="{00000000-0005-0000-0000-000026780000}"/>
    <cellStyle name="Normal 44 5 2" xfId="30759" xr:uid="{00000000-0005-0000-0000-000027780000}"/>
    <cellStyle name="Normal 44 6" xfId="30760" xr:uid="{00000000-0005-0000-0000-000028780000}"/>
    <cellStyle name="Normal 44 7" xfId="30761" xr:uid="{00000000-0005-0000-0000-000029780000}"/>
    <cellStyle name="Normal 44 8" xfId="30762" xr:uid="{00000000-0005-0000-0000-00002A780000}"/>
    <cellStyle name="Normal 44 9" xfId="30763" xr:uid="{00000000-0005-0000-0000-00002B780000}"/>
    <cellStyle name="Normal 45" xfId="30764" xr:uid="{00000000-0005-0000-0000-00002C780000}"/>
    <cellStyle name="Normal 46" xfId="30765" xr:uid="{00000000-0005-0000-0000-00002D780000}"/>
    <cellStyle name="Normal 47" xfId="30766" xr:uid="{00000000-0005-0000-0000-00002E780000}"/>
    <cellStyle name="Normal 48" xfId="30767" xr:uid="{00000000-0005-0000-0000-00002F780000}"/>
    <cellStyle name="Normal 49" xfId="30768" xr:uid="{00000000-0005-0000-0000-000030780000}"/>
    <cellStyle name="Normal 49 10" xfId="30769" xr:uid="{00000000-0005-0000-0000-000031780000}"/>
    <cellStyle name="Normal 49 11" xfId="30770" xr:uid="{00000000-0005-0000-0000-000032780000}"/>
    <cellStyle name="Normal 49 12" xfId="30771" xr:uid="{00000000-0005-0000-0000-000033780000}"/>
    <cellStyle name="Normal 49 13" xfId="30772" xr:uid="{00000000-0005-0000-0000-000034780000}"/>
    <cellStyle name="Normal 49 14" xfId="30773" xr:uid="{00000000-0005-0000-0000-000035780000}"/>
    <cellStyle name="Normal 49 15" xfId="30774" xr:uid="{00000000-0005-0000-0000-000036780000}"/>
    <cellStyle name="Normal 49 16" xfId="30775" xr:uid="{00000000-0005-0000-0000-000037780000}"/>
    <cellStyle name="Normal 49 17" xfId="30776" xr:uid="{00000000-0005-0000-0000-000038780000}"/>
    <cellStyle name="Normal 49 18" xfId="30777" xr:uid="{00000000-0005-0000-0000-000039780000}"/>
    <cellStyle name="Normal 49 19" xfId="30778" xr:uid="{00000000-0005-0000-0000-00003A780000}"/>
    <cellStyle name="Normal 49 2" xfId="30779" xr:uid="{00000000-0005-0000-0000-00003B780000}"/>
    <cellStyle name="Normal 49 2 2" xfId="30780" xr:uid="{00000000-0005-0000-0000-00003C780000}"/>
    <cellStyle name="Normal 49 20" xfId="30781" xr:uid="{00000000-0005-0000-0000-00003D780000}"/>
    <cellStyle name="Normal 49 21" xfId="30782" xr:uid="{00000000-0005-0000-0000-00003E780000}"/>
    <cellStyle name="Normal 49 22" xfId="30783" xr:uid="{00000000-0005-0000-0000-00003F780000}"/>
    <cellStyle name="Normal 49 23" xfId="30784" xr:uid="{00000000-0005-0000-0000-000040780000}"/>
    <cellStyle name="Normal 49 24" xfId="30785" xr:uid="{00000000-0005-0000-0000-000041780000}"/>
    <cellStyle name="Normal 49 25" xfId="30786" xr:uid="{00000000-0005-0000-0000-000042780000}"/>
    <cellStyle name="Normal 49 26" xfId="30787" xr:uid="{00000000-0005-0000-0000-000043780000}"/>
    <cellStyle name="Normal 49 3" xfId="30788" xr:uid="{00000000-0005-0000-0000-000044780000}"/>
    <cellStyle name="Normal 49 3 2" xfId="30789" xr:uid="{00000000-0005-0000-0000-000045780000}"/>
    <cellStyle name="Normal 49 4" xfId="30790" xr:uid="{00000000-0005-0000-0000-000046780000}"/>
    <cellStyle name="Normal 49 4 2" xfId="30791" xr:uid="{00000000-0005-0000-0000-000047780000}"/>
    <cellStyle name="Normal 49 5" xfId="30792" xr:uid="{00000000-0005-0000-0000-000048780000}"/>
    <cellStyle name="Normal 49 5 2" xfId="30793" xr:uid="{00000000-0005-0000-0000-000049780000}"/>
    <cellStyle name="Normal 49 6" xfId="30794" xr:uid="{00000000-0005-0000-0000-00004A780000}"/>
    <cellStyle name="Normal 49 7" xfId="30795" xr:uid="{00000000-0005-0000-0000-00004B780000}"/>
    <cellStyle name="Normal 49 8" xfId="30796" xr:uid="{00000000-0005-0000-0000-00004C780000}"/>
    <cellStyle name="Normal 49 9" xfId="30797" xr:uid="{00000000-0005-0000-0000-00004D780000}"/>
    <cellStyle name="Normal 5" xfId="23" xr:uid="{00000000-0005-0000-0000-000017000000}"/>
    <cellStyle name="Normal 5 10" xfId="36" xr:uid="{00000000-0005-0000-0000-000024000000}"/>
    <cellStyle name="Normal 5 10 10" xfId="30799" xr:uid="{00000000-0005-0000-0000-00004F780000}"/>
    <cellStyle name="Normal 5 10 10 10" xfId="30800" xr:uid="{00000000-0005-0000-0000-000050780000}"/>
    <cellStyle name="Normal 5 10 10 11" xfId="30801" xr:uid="{00000000-0005-0000-0000-000051780000}"/>
    <cellStyle name="Normal 5 10 10 12" xfId="30802" xr:uid="{00000000-0005-0000-0000-000052780000}"/>
    <cellStyle name="Normal 5 10 10 13" xfId="30803" xr:uid="{00000000-0005-0000-0000-000053780000}"/>
    <cellStyle name="Normal 5 10 10 14" xfId="30804" xr:uid="{00000000-0005-0000-0000-000054780000}"/>
    <cellStyle name="Normal 5 10 10 2" xfId="30805" xr:uid="{00000000-0005-0000-0000-000055780000}"/>
    <cellStyle name="Normal 5 10 10 2 10" xfId="30806" xr:uid="{00000000-0005-0000-0000-000056780000}"/>
    <cellStyle name="Normal 5 10 10 2 2" xfId="30807" xr:uid="{00000000-0005-0000-0000-000057780000}"/>
    <cellStyle name="Normal 5 10 10 2 3" xfId="30808" xr:uid="{00000000-0005-0000-0000-000058780000}"/>
    <cellStyle name="Normal 5 10 10 2 4" xfId="30809" xr:uid="{00000000-0005-0000-0000-000059780000}"/>
    <cellStyle name="Normal 5 10 10 2 5" xfId="30810" xr:uid="{00000000-0005-0000-0000-00005A780000}"/>
    <cellStyle name="Normal 5 10 10 2 6" xfId="30811" xr:uid="{00000000-0005-0000-0000-00005B780000}"/>
    <cellStyle name="Normal 5 10 10 2 7" xfId="30812" xr:uid="{00000000-0005-0000-0000-00005C780000}"/>
    <cellStyle name="Normal 5 10 10 2 8" xfId="30813" xr:uid="{00000000-0005-0000-0000-00005D780000}"/>
    <cellStyle name="Normal 5 10 10 2 9" xfId="30814" xr:uid="{00000000-0005-0000-0000-00005E780000}"/>
    <cellStyle name="Normal 5 10 10 3" xfId="30815" xr:uid="{00000000-0005-0000-0000-00005F780000}"/>
    <cellStyle name="Normal 5 10 10 3 10" xfId="30816" xr:uid="{00000000-0005-0000-0000-000060780000}"/>
    <cellStyle name="Normal 5 10 10 3 2" xfId="30817" xr:uid="{00000000-0005-0000-0000-000061780000}"/>
    <cellStyle name="Normal 5 10 10 3 3" xfId="30818" xr:uid="{00000000-0005-0000-0000-000062780000}"/>
    <cellStyle name="Normal 5 10 10 3 4" xfId="30819" xr:uid="{00000000-0005-0000-0000-000063780000}"/>
    <cellStyle name="Normal 5 10 10 3 5" xfId="30820" xr:uid="{00000000-0005-0000-0000-000064780000}"/>
    <cellStyle name="Normal 5 10 10 3 6" xfId="30821" xr:uid="{00000000-0005-0000-0000-000065780000}"/>
    <cellStyle name="Normal 5 10 10 3 7" xfId="30822" xr:uid="{00000000-0005-0000-0000-000066780000}"/>
    <cellStyle name="Normal 5 10 10 3 8" xfId="30823" xr:uid="{00000000-0005-0000-0000-000067780000}"/>
    <cellStyle name="Normal 5 10 10 3 9" xfId="30824" xr:uid="{00000000-0005-0000-0000-000068780000}"/>
    <cellStyle name="Normal 5 10 10 4" xfId="30825" xr:uid="{00000000-0005-0000-0000-000069780000}"/>
    <cellStyle name="Normal 5 10 10 4 10" xfId="30826" xr:uid="{00000000-0005-0000-0000-00006A780000}"/>
    <cellStyle name="Normal 5 10 10 4 2" xfId="30827" xr:uid="{00000000-0005-0000-0000-00006B780000}"/>
    <cellStyle name="Normal 5 10 10 4 3" xfId="30828" xr:uid="{00000000-0005-0000-0000-00006C780000}"/>
    <cellStyle name="Normal 5 10 10 4 4" xfId="30829" xr:uid="{00000000-0005-0000-0000-00006D780000}"/>
    <cellStyle name="Normal 5 10 10 4 5" xfId="30830" xr:uid="{00000000-0005-0000-0000-00006E780000}"/>
    <cellStyle name="Normal 5 10 10 4 6" xfId="30831" xr:uid="{00000000-0005-0000-0000-00006F780000}"/>
    <cellStyle name="Normal 5 10 10 4 7" xfId="30832" xr:uid="{00000000-0005-0000-0000-000070780000}"/>
    <cellStyle name="Normal 5 10 10 4 8" xfId="30833" xr:uid="{00000000-0005-0000-0000-000071780000}"/>
    <cellStyle name="Normal 5 10 10 4 9" xfId="30834" xr:uid="{00000000-0005-0000-0000-000072780000}"/>
    <cellStyle name="Normal 5 10 10 5" xfId="30835" xr:uid="{00000000-0005-0000-0000-000073780000}"/>
    <cellStyle name="Normal 5 10 10 5 10" xfId="30836" xr:uid="{00000000-0005-0000-0000-000074780000}"/>
    <cellStyle name="Normal 5 10 10 5 2" xfId="30837" xr:uid="{00000000-0005-0000-0000-000075780000}"/>
    <cellStyle name="Normal 5 10 10 5 3" xfId="30838" xr:uid="{00000000-0005-0000-0000-000076780000}"/>
    <cellStyle name="Normal 5 10 10 5 4" xfId="30839" xr:uid="{00000000-0005-0000-0000-000077780000}"/>
    <cellStyle name="Normal 5 10 10 5 5" xfId="30840" xr:uid="{00000000-0005-0000-0000-000078780000}"/>
    <cellStyle name="Normal 5 10 10 5 6" xfId="30841" xr:uid="{00000000-0005-0000-0000-000079780000}"/>
    <cellStyle name="Normal 5 10 10 5 7" xfId="30842" xr:uid="{00000000-0005-0000-0000-00007A780000}"/>
    <cellStyle name="Normal 5 10 10 5 8" xfId="30843" xr:uid="{00000000-0005-0000-0000-00007B780000}"/>
    <cellStyle name="Normal 5 10 10 5 9" xfId="30844" xr:uid="{00000000-0005-0000-0000-00007C780000}"/>
    <cellStyle name="Normal 5 10 10 6" xfId="30845" xr:uid="{00000000-0005-0000-0000-00007D780000}"/>
    <cellStyle name="Normal 5 10 10 7" xfId="30846" xr:uid="{00000000-0005-0000-0000-00007E780000}"/>
    <cellStyle name="Normal 5 10 10 8" xfId="30847" xr:uid="{00000000-0005-0000-0000-00007F780000}"/>
    <cellStyle name="Normal 5 10 10 9" xfId="30848" xr:uid="{00000000-0005-0000-0000-000080780000}"/>
    <cellStyle name="Normal 5 10 11" xfId="30849" xr:uid="{00000000-0005-0000-0000-000081780000}"/>
    <cellStyle name="Normal 5 10 11 10" xfId="30850" xr:uid="{00000000-0005-0000-0000-000082780000}"/>
    <cellStyle name="Normal 5 10 11 11" xfId="30851" xr:uid="{00000000-0005-0000-0000-000083780000}"/>
    <cellStyle name="Normal 5 10 11 12" xfId="30852" xr:uid="{00000000-0005-0000-0000-000084780000}"/>
    <cellStyle name="Normal 5 10 11 13" xfId="30853" xr:uid="{00000000-0005-0000-0000-000085780000}"/>
    <cellStyle name="Normal 5 10 11 14" xfId="30854" xr:uid="{00000000-0005-0000-0000-000086780000}"/>
    <cellStyle name="Normal 5 10 11 2" xfId="30855" xr:uid="{00000000-0005-0000-0000-000087780000}"/>
    <cellStyle name="Normal 5 10 11 2 10" xfId="30856" xr:uid="{00000000-0005-0000-0000-000088780000}"/>
    <cellStyle name="Normal 5 10 11 2 2" xfId="30857" xr:uid="{00000000-0005-0000-0000-000089780000}"/>
    <cellStyle name="Normal 5 10 11 2 3" xfId="30858" xr:uid="{00000000-0005-0000-0000-00008A780000}"/>
    <cellStyle name="Normal 5 10 11 2 4" xfId="30859" xr:uid="{00000000-0005-0000-0000-00008B780000}"/>
    <cellStyle name="Normal 5 10 11 2 5" xfId="30860" xr:uid="{00000000-0005-0000-0000-00008C780000}"/>
    <cellStyle name="Normal 5 10 11 2 6" xfId="30861" xr:uid="{00000000-0005-0000-0000-00008D780000}"/>
    <cellStyle name="Normal 5 10 11 2 7" xfId="30862" xr:uid="{00000000-0005-0000-0000-00008E780000}"/>
    <cellStyle name="Normal 5 10 11 2 8" xfId="30863" xr:uid="{00000000-0005-0000-0000-00008F780000}"/>
    <cellStyle name="Normal 5 10 11 2 9" xfId="30864" xr:uid="{00000000-0005-0000-0000-000090780000}"/>
    <cellStyle name="Normal 5 10 11 3" xfId="30865" xr:uid="{00000000-0005-0000-0000-000091780000}"/>
    <cellStyle name="Normal 5 10 11 3 10" xfId="30866" xr:uid="{00000000-0005-0000-0000-000092780000}"/>
    <cellStyle name="Normal 5 10 11 3 2" xfId="30867" xr:uid="{00000000-0005-0000-0000-000093780000}"/>
    <cellStyle name="Normal 5 10 11 3 3" xfId="30868" xr:uid="{00000000-0005-0000-0000-000094780000}"/>
    <cellStyle name="Normal 5 10 11 3 4" xfId="30869" xr:uid="{00000000-0005-0000-0000-000095780000}"/>
    <cellStyle name="Normal 5 10 11 3 5" xfId="30870" xr:uid="{00000000-0005-0000-0000-000096780000}"/>
    <cellStyle name="Normal 5 10 11 3 6" xfId="30871" xr:uid="{00000000-0005-0000-0000-000097780000}"/>
    <cellStyle name="Normal 5 10 11 3 7" xfId="30872" xr:uid="{00000000-0005-0000-0000-000098780000}"/>
    <cellStyle name="Normal 5 10 11 3 8" xfId="30873" xr:uid="{00000000-0005-0000-0000-000099780000}"/>
    <cellStyle name="Normal 5 10 11 3 9" xfId="30874" xr:uid="{00000000-0005-0000-0000-00009A780000}"/>
    <cellStyle name="Normal 5 10 11 4" xfId="30875" xr:uid="{00000000-0005-0000-0000-00009B780000}"/>
    <cellStyle name="Normal 5 10 11 4 10" xfId="30876" xr:uid="{00000000-0005-0000-0000-00009C780000}"/>
    <cellStyle name="Normal 5 10 11 4 2" xfId="30877" xr:uid="{00000000-0005-0000-0000-00009D780000}"/>
    <cellStyle name="Normal 5 10 11 4 3" xfId="30878" xr:uid="{00000000-0005-0000-0000-00009E780000}"/>
    <cellStyle name="Normal 5 10 11 4 4" xfId="30879" xr:uid="{00000000-0005-0000-0000-00009F780000}"/>
    <cellStyle name="Normal 5 10 11 4 5" xfId="30880" xr:uid="{00000000-0005-0000-0000-0000A0780000}"/>
    <cellStyle name="Normal 5 10 11 4 6" xfId="30881" xr:uid="{00000000-0005-0000-0000-0000A1780000}"/>
    <cellStyle name="Normal 5 10 11 4 7" xfId="30882" xr:uid="{00000000-0005-0000-0000-0000A2780000}"/>
    <cellStyle name="Normal 5 10 11 4 8" xfId="30883" xr:uid="{00000000-0005-0000-0000-0000A3780000}"/>
    <cellStyle name="Normal 5 10 11 4 9" xfId="30884" xr:uid="{00000000-0005-0000-0000-0000A4780000}"/>
    <cellStyle name="Normal 5 10 11 5" xfId="30885" xr:uid="{00000000-0005-0000-0000-0000A5780000}"/>
    <cellStyle name="Normal 5 10 11 5 10" xfId="30886" xr:uid="{00000000-0005-0000-0000-0000A6780000}"/>
    <cellStyle name="Normal 5 10 11 5 2" xfId="30887" xr:uid="{00000000-0005-0000-0000-0000A7780000}"/>
    <cellStyle name="Normal 5 10 11 5 3" xfId="30888" xr:uid="{00000000-0005-0000-0000-0000A8780000}"/>
    <cellStyle name="Normal 5 10 11 5 4" xfId="30889" xr:uid="{00000000-0005-0000-0000-0000A9780000}"/>
    <cellStyle name="Normal 5 10 11 5 5" xfId="30890" xr:uid="{00000000-0005-0000-0000-0000AA780000}"/>
    <cellStyle name="Normal 5 10 11 5 6" xfId="30891" xr:uid="{00000000-0005-0000-0000-0000AB780000}"/>
    <cellStyle name="Normal 5 10 11 5 7" xfId="30892" xr:uid="{00000000-0005-0000-0000-0000AC780000}"/>
    <cellStyle name="Normal 5 10 11 5 8" xfId="30893" xr:uid="{00000000-0005-0000-0000-0000AD780000}"/>
    <cellStyle name="Normal 5 10 11 5 9" xfId="30894" xr:uid="{00000000-0005-0000-0000-0000AE780000}"/>
    <cellStyle name="Normal 5 10 11 6" xfId="30895" xr:uid="{00000000-0005-0000-0000-0000AF780000}"/>
    <cellStyle name="Normal 5 10 11 7" xfId="30896" xr:uid="{00000000-0005-0000-0000-0000B0780000}"/>
    <cellStyle name="Normal 5 10 11 8" xfId="30897" xr:uid="{00000000-0005-0000-0000-0000B1780000}"/>
    <cellStyle name="Normal 5 10 11 9" xfId="30898" xr:uid="{00000000-0005-0000-0000-0000B2780000}"/>
    <cellStyle name="Normal 5 10 12" xfId="30899" xr:uid="{00000000-0005-0000-0000-0000B3780000}"/>
    <cellStyle name="Normal 5 10 12 10" xfId="30900" xr:uid="{00000000-0005-0000-0000-0000B4780000}"/>
    <cellStyle name="Normal 5 10 12 11" xfId="30901" xr:uid="{00000000-0005-0000-0000-0000B5780000}"/>
    <cellStyle name="Normal 5 10 12 12" xfId="30902" xr:uid="{00000000-0005-0000-0000-0000B6780000}"/>
    <cellStyle name="Normal 5 10 12 13" xfId="30903" xr:uid="{00000000-0005-0000-0000-0000B7780000}"/>
    <cellStyle name="Normal 5 10 12 14" xfId="30904" xr:uid="{00000000-0005-0000-0000-0000B8780000}"/>
    <cellStyle name="Normal 5 10 12 2" xfId="30905" xr:uid="{00000000-0005-0000-0000-0000B9780000}"/>
    <cellStyle name="Normal 5 10 12 2 10" xfId="30906" xr:uid="{00000000-0005-0000-0000-0000BA780000}"/>
    <cellStyle name="Normal 5 10 12 2 2" xfId="30907" xr:uid="{00000000-0005-0000-0000-0000BB780000}"/>
    <cellStyle name="Normal 5 10 12 2 3" xfId="30908" xr:uid="{00000000-0005-0000-0000-0000BC780000}"/>
    <cellStyle name="Normal 5 10 12 2 4" xfId="30909" xr:uid="{00000000-0005-0000-0000-0000BD780000}"/>
    <cellStyle name="Normal 5 10 12 2 5" xfId="30910" xr:uid="{00000000-0005-0000-0000-0000BE780000}"/>
    <cellStyle name="Normal 5 10 12 2 6" xfId="30911" xr:uid="{00000000-0005-0000-0000-0000BF780000}"/>
    <cellStyle name="Normal 5 10 12 2 7" xfId="30912" xr:uid="{00000000-0005-0000-0000-0000C0780000}"/>
    <cellStyle name="Normal 5 10 12 2 8" xfId="30913" xr:uid="{00000000-0005-0000-0000-0000C1780000}"/>
    <cellStyle name="Normal 5 10 12 2 9" xfId="30914" xr:uid="{00000000-0005-0000-0000-0000C2780000}"/>
    <cellStyle name="Normal 5 10 12 3" xfId="30915" xr:uid="{00000000-0005-0000-0000-0000C3780000}"/>
    <cellStyle name="Normal 5 10 12 3 10" xfId="30916" xr:uid="{00000000-0005-0000-0000-0000C4780000}"/>
    <cellStyle name="Normal 5 10 12 3 2" xfId="30917" xr:uid="{00000000-0005-0000-0000-0000C5780000}"/>
    <cellStyle name="Normal 5 10 12 3 3" xfId="30918" xr:uid="{00000000-0005-0000-0000-0000C6780000}"/>
    <cellStyle name="Normal 5 10 12 3 4" xfId="30919" xr:uid="{00000000-0005-0000-0000-0000C7780000}"/>
    <cellStyle name="Normal 5 10 12 3 5" xfId="30920" xr:uid="{00000000-0005-0000-0000-0000C8780000}"/>
    <cellStyle name="Normal 5 10 12 3 6" xfId="30921" xr:uid="{00000000-0005-0000-0000-0000C9780000}"/>
    <cellStyle name="Normal 5 10 12 3 7" xfId="30922" xr:uid="{00000000-0005-0000-0000-0000CA780000}"/>
    <cellStyle name="Normal 5 10 12 3 8" xfId="30923" xr:uid="{00000000-0005-0000-0000-0000CB780000}"/>
    <cellStyle name="Normal 5 10 12 3 9" xfId="30924" xr:uid="{00000000-0005-0000-0000-0000CC780000}"/>
    <cellStyle name="Normal 5 10 12 4" xfId="30925" xr:uid="{00000000-0005-0000-0000-0000CD780000}"/>
    <cellStyle name="Normal 5 10 12 4 10" xfId="30926" xr:uid="{00000000-0005-0000-0000-0000CE780000}"/>
    <cellStyle name="Normal 5 10 12 4 2" xfId="30927" xr:uid="{00000000-0005-0000-0000-0000CF780000}"/>
    <cellStyle name="Normal 5 10 12 4 3" xfId="30928" xr:uid="{00000000-0005-0000-0000-0000D0780000}"/>
    <cellStyle name="Normal 5 10 12 4 4" xfId="30929" xr:uid="{00000000-0005-0000-0000-0000D1780000}"/>
    <cellStyle name="Normal 5 10 12 4 5" xfId="30930" xr:uid="{00000000-0005-0000-0000-0000D2780000}"/>
    <cellStyle name="Normal 5 10 12 4 6" xfId="30931" xr:uid="{00000000-0005-0000-0000-0000D3780000}"/>
    <cellStyle name="Normal 5 10 12 4 7" xfId="30932" xr:uid="{00000000-0005-0000-0000-0000D4780000}"/>
    <cellStyle name="Normal 5 10 12 4 8" xfId="30933" xr:uid="{00000000-0005-0000-0000-0000D5780000}"/>
    <cellStyle name="Normal 5 10 12 4 9" xfId="30934" xr:uid="{00000000-0005-0000-0000-0000D6780000}"/>
    <cellStyle name="Normal 5 10 12 5" xfId="30935" xr:uid="{00000000-0005-0000-0000-0000D7780000}"/>
    <cellStyle name="Normal 5 10 12 5 10" xfId="30936" xr:uid="{00000000-0005-0000-0000-0000D8780000}"/>
    <cellStyle name="Normal 5 10 12 5 2" xfId="30937" xr:uid="{00000000-0005-0000-0000-0000D9780000}"/>
    <cellStyle name="Normal 5 10 12 5 3" xfId="30938" xr:uid="{00000000-0005-0000-0000-0000DA780000}"/>
    <cellStyle name="Normal 5 10 12 5 4" xfId="30939" xr:uid="{00000000-0005-0000-0000-0000DB780000}"/>
    <cellStyle name="Normal 5 10 12 5 5" xfId="30940" xr:uid="{00000000-0005-0000-0000-0000DC780000}"/>
    <cellStyle name="Normal 5 10 12 5 6" xfId="30941" xr:uid="{00000000-0005-0000-0000-0000DD780000}"/>
    <cellStyle name="Normal 5 10 12 5 7" xfId="30942" xr:uid="{00000000-0005-0000-0000-0000DE780000}"/>
    <cellStyle name="Normal 5 10 12 5 8" xfId="30943" xr:uid="{00000000-0005-0000-0000-0000DF780000}"/>
    <cellStyle name="Normal 5 10 12 5 9" xfId="30944" xr:uid="{00000000-0005-0000-0000-0000E0780000}"/>
    <cellStyle name="Normal 5 10 12 6" xfId="30945" xr:uid="{00000000-0005-0000-0000-0000E1780000}"/>
    <cellStyle name="Normal 5 10 12 7" xfId="30946" xr:uid="{00000000-0005-0000-0000-0000E2780000}"/>
    <cellStyle name="Normal 5 10 12 8" xfId="30947" xr:uid="{00000000-0005-0000-0000-0000E3780000}"/>
    <cellStyle name="Normal 5 10 12 9" xfId="30948" xr:uid="{00000000-0005-0000-0000-0000E4780000}"/>
    <cellStyle name="Normal 5 10 13" xfId="30949" xr:uid="{00000000-0005-0000-0000-0000E5780000}"/>
    <cellStyle name="Normal 5 10 13 10" xfId="30950" xr:uid="{00000000-0005-0000-0000-0000E6780000}"/>
    <cellStyle name="Normal 5 10 13 11" xfId="30951" xr:uid="{00000000-0005-0000-0000-0000E7780000}"/>
    <cellStyle name="Normal 5 10 13 12" xfId="30952" xr:uid="{00000000-0005-0000-0000-0000E8780000}"/>
    <cellStyle name="Normal 5 10 13 13" xfId="30953" xr:uid="{00000000-0005-0000-0000-0000E9780000}"/>
    <cellStyle name="Normal 5 10 13 14" xfId="30954" xr:uid="{00000000-0005-0000-0000-0000EA780000}"/>
    <cellStyle name="Normal 5 10 13 2" xfId="30955" xr:uid="{00000000-0005-0000-0000-0000EB780000}"/>
    <cellStyle name="Normal 5 10 13 2 10" xfId="30956" xr:uid="{00000000-0005-0000-0000-0000EC780000}"/>
    <cellStyle name="Normal 5 10 13 2 2" xfId="30957" xr:uid="{00000000-0005-0000-0000-0000ED780000}"/>
    <cellStyle name="Normal 5 10 13 2 3" xfId="30958" xr:uid="{00000000-0005-0000-0000-0000EE780000}"/>
    <cellStyle name="Normal 5 10 13 2 4" xfId="30959" xr:uid="{00000000-0005-0000-0000-0000EF780000}"/>
    <cellStyle name="Normal 5 10 13 2 5" xfId="30960" xr:uid="{00000000-0005-0000-0000-0000F0780000}"/>
    <cellStyle name="Normal 5 10 13 2 6" xfId="30961" xr:uid="{00000000-0005-0000-0000-0000F1780000}"/>
    <cellStyle name="Normal 5 10 13 2 7" xfId="30962" xr:uid="{00000000-0005-0000-0000-0000F2780000}"/>
    <cellStyle name="Normal 5 10 13 2 8" xfId="30963" xr:uid="{00000000-0005-0000-0000-0000F3780000}"/>
    <cellStyle name="Normal 5 10 13 2 9" xfId="30964" xr:uid="{00000000-0005-0000-0000-0000F4780000}"/>
    <cellStyle name="Normal 5 10 13 3" xfId="30965" xr:uid="{00000000-0005-0000-0000-0000F5780000}"/>
    <cellStyle name="Normal 5 10 13 3 10" xfId="30966" xr:uid="{00000000-0005-0000-0000-0000F6780000}"/>
    <cellStyle name="Normal 5 10 13 3 2" xfId="30967" xr:uid="{00000000-0005-0000-0000-0000F7780000}"/>
    <cellStyle name="Normal 5 10 13 3 3" xfId="30968" xr:uid="{00000000-0005-0000-0000-0000F8780000}"/>
    <cellStyle name="Normal 5 10 13 3 4" xfId="30969" xr:uid="{00000000-0005-0000-0000-0000F9780000}"/>
    <cellStyle name="Normal 5 10 13 3 5" xfId="30970" xr:uid="{00000000-0005-0000-0000-0000FA780000}"/>
    <cellStyle name="Normal 5 10 13 3 6" xfId="30971" xr:uid="{00000000-0005-0000-0000-0000FB780000}"/>
    <cellStyle name="Normal 5 10 13 3 7" xfId="30972" xr:uid="{00000000-0005-0000-0000-0000FC780000}"/>
    <cellStyle name="Normal 5 10 13 3 8" xfId="30973" xr:uid="{00000000-0005-0000-0000-0000FD780000}"/>
    <cellStyle name="Normal 5 10 13 3 9" xfId="30974" xr:uid="{00000000-0005-0000-0000-0000FE780000}"/>
    <cellStyle name="Normal 5 10 13 4" xfId="30975" xr:uid="{00000000-0005-0000-0000-0000FF780000}"/>
    <cellStyle name="Normal 5 10 13 4 10" xfId="30976" xr:uid="{00000000-0005-0000-0000-000000790000}"/>
    <cellStyle name="Normal 5 10 13 4 2" xfId="30977" xr:uid="{00000000-0005-0000-0000-000001790000}"/>
    <cellStyle name="Normal 5 10 13 4 3" xfId="30978" xr:uid="{00000000-0005-0000-0000-000002790000}"/>
    <cellStyle name="Normal 5 10 13 4 4" xfId="30979" xr:uid="{00000000-0005-0000-0000-000003790000}"/>
    <cellStyle name="Normal 5 10 13 4 5" xfId="30980" xr:uid="{00000000-0005-0000-0000-000004790000}"/>
    <cellStyle name="Normal 5 10 13 4 6" xfId="30981" xr:uid="{00000000-0005-0000-0000-000005790000}"/>
    <cellStyle name="Normal 5 10 13 4 7" xfId="30982" xr:uid="{00000000-0005-0000-0000-000006790000}"/>
    <cellStyle name="Normal 5 10 13 4 8" xfId="30983" xr:uid="{00000000-0005-0000-0000-000007790000}"/>
    <cellStyle name="Normal 5 10 13 4 9" xfId="30984" xr:uid="{00000000-0005-0000-0000-000008790000}"/>
    <cellStyle name="Normal 5 10 13 5" xfId="30985" xr:uid="{00000000-0005-0000-0000-000009790000}"/>
    <cellStyle name="Normal 5 10 13 5 10" xfId="30986" xr:uid="{00000000-0005-0000-0000-00000A790000}"/>
    <cellStyle name="Normal 5 10 13 5 2" xfId="30987" xr:uid="{00000000-0005-0000-0000-00000B790000}"/>
    <cellStyle name="Normal 5 10 13 5 3" xfId="30988" xr:uid="{00000000-0005-0000-0000-00000C790000}"/>
    <cellStyle name="Normal 5 10 13 5 4" xfId="30989" xr:uid="{00000000-0005-0000-0000-00000D790000}"/>
    <cellStyle name="Normal 5 10 13 5 5" xfId="30990" xr:uid="{00000000-0005-0000-0000-00000E790000}"/>
    <cellStyle name="Normal 5 10 13 5 6" xfId="30991" xr:uid="{00000000-0005-0000-0000-00000F790000}"/>
    <cellStyle name="Normal 5 10 13 5 7" xfId="30992" xr:uid="{00000000-0005-0000-0000-000010790000}"/>
    <cellStyle name="Normal 5 10 13 5 8" xfId="30993" xr:uid="{00000000-0005-0000-0000-000011790000}"/>
    <cellStyle name="Normal 5 10 13 5 9" xfId="30994" xr:uid="{00000000-0005-0000-0000-000012790000}"/>
    <cellStyle name="Normal 5 10 13 6" xfId="30995" xr:uid="{00000000-0005-0000-0000-000013790000}"/>
    <cellStyle name="Normal 5 10 13 7" xfId="30996" xr:uid="{00000000-0005-0000-0000-000014790000}"/>
    <cellStyle name="Normal 5 10 13 8" xfId="30997" xr:uid="{00000000-0005-0000-0000-000015790000}"/>
    <cellStyle name="Normal 5 10 13 9" xfId="30998" xr:uid="{00000000-0005-0000-0000-000016790000}"/>
    <cellStyle name="Normal 5 10 14" xfId="30999" xr:uid="{00000000-0005-0000-0000-000017790000}"/>
    <cellStyle name="Normal 5 10 14 10" xfId="31000" xr:uid="{00000000-0005-0000-0000-000018790000}"/>
    <cellStyle name="Normal 5 10 14 11" xfId="31001" xr:uid="{00000000-0005-0000-0000-000019790000}"/>
    <cellStyle name="Normal 5 10 14 12" xfId="31002" xr:uid="{00000000-0005-0000-0000-00001A790000}"/>
    <cellStyle name="Normal 5 10 14 13" xfId="31003" xr:uid="{00000000-0005-0000-0000-00001B790000}"/>
    <cellStyle name="Normal 5 10 14 14" xfId="31004" xr:uid="{00000000-0005-0000-0000-00001C790000}"/>
    <cellStyle name="Normal 5 10 14 2" xfId="31005" xr:uid="{00000000-0005-0000-0000-00001D790000}"/>
    <cellStyle name="Normal 5 10 14 2 10" xfId="31006" xr:uid="{00000000-0005-0000-0000-00001E790000}"/>
    <cellStyle name="Normal 5 10 14 2 2" xfId="31007" xr:uid="{00000000-0005-0000-0000-00001F790000}"/>
    <cellStyle name="Normal 5 10 14 2 3" xfId="31008" xr:uid="{00000000-0005-0000-0000-000020790000}"/>
    <cellStyle name="Normal 5 10 14 2 4" xfId="31009" xr:uid="{00000000-0005-0000-0000-000021790000}"/>
    <cellStyle name="Normal 5 10 14 2 5" xfId="31010" xr:uid="{00000000-0005-0000-0000-000022790000}"/>
    <cellStyle name="Normal 5 10 14 2 6" xfId="31011" xr:uid="{00000000-0005-0000-0000-000023790000}"/>
    <cellStyle name="Normal 5 10 14 2 7" xfId="31012" xr:uid="{00000000-0005-0000-0000-000024790000}"/>
    <cellStyle name="Normal 5 10 14 2 8" xfId="31013" xr:uid="{00000000-0005-0000-0000-000025790000}"/>
    <cellStyle name="Normal 5 10 14 2 9" xfId="31014" xr:uid="{00000000-0005-0000-0000-000026790000}"/>
    <cellStyle name="Normal 5 10 14 3" xfId="31015" xr:uid="{00000000-0005-0000-0000-000027790000}"/>
    <cellStyle name="Normal 5 10 14 3 10" xfId="31016" xr:uid="{00000000-0005-0000-0000-000028790000}"/>
    <cellStyle name="Normal 5 10 14 3 2" xfId="31017" xr:uid="{00000000-0005-0000-0000-000029790000}"/>
    <cellStyle name="Normal 5 10 14 3 3" xfId="31018" xr:uid="{00000000-0005-0000-0000-00002A790000}"/>
    <cellStyle name="Normal 5 10 14 3 4" xfId="31019" xr:uid="{00000000-0005-0000-0000-00002B790000}"/>
    <cellStyle name="Normal 5 10 14 3 5" xfId="31020" xr:uid="{00000000-0005-0000-0000-00002C790000}"/>
    <cellStyle name="Normal 5 10 14 3 6" xfId="31021" xr:uid="{00000000-0005-0000-0000-00002D790000}"/>
    <cellStyle name="Normal 5 10 14 3 7" xfId="31022" xr:uid="{00000000-0005-0000-0000-00002E790000}"/>
    <cellStyle name="Normal 5 10 14 3 8" xfId="31023" xr:uid="{00000000-0005-0000-0000-00002F790000}"/>
    <cellStyle name="Normal 5 10 14 3 9" xfId="31024" xr:uid="{00000000-0005-0000-0000-000030790000}"/>
    <cellStyle name="Normal 5 10 14 4" xfId="31025" xr:uid="{00000000-0005-0000-0000-000031790000}"/>
    <cellStyle name="Normal 5 10 14 4 10" xfId="31026" xr:uid="{00000000-0005-0000-0000-000032790000}"/>
    <cellStyle name="Normal 5 10 14 4 2" xfId="31027" xr:uid="{00000000-0005-0000-0000-000033790000}"/>
    <cellStyle name="Normal 5 10 14 4 3" xfId="31028" xr:uid="{00000000-0005-0000-0000-000034790000}"/>
    <cellStyle name="Normal 5 10 14 4 4" xfId="31029" xr:uid="{00000000-0005-0000-0000-000035790000}"/>
    <cellStyle name="Normal 5 10 14 4 5" xfId="31030" xr:uid="{00000000-0005-0000-0000-000036790000}"/>
    <cellStyle name="Normal 5 10 14 4 6" xfId="31031" xr:uid="{00000000-0005-0000-0000-000037790000}"/>
    <cellStyle name="Normal 5 10 14 4 7" xfId="31032" xr:uid="{00000000-0005-0000-0000-000038790000}"/>
    <cellStyle name="Normal 5 10 14 4 8" xfId="31033" xr:uid="{00000000-0005-0000-0000-000039790000}"/>
    <cellStyle name="Normal 5 10 14 4 9" xfId="31034" xr:uid="{00000000-0005-0000-0000-00003A790000}"/>
    <cellStyle name="Normal 5 10 14 5" xfId="31035" xr:uid="{00000000-0005-0000-0000-00003B790000}"/>
    <cellStyle name="Normal 5 10 14 5 10" xfId="31036" xr:uid="{00000000-0005-0000-0000-00003C790000}"/>
    <cellStyle name="Normal 5 10 14 5 2" xfId="31037" xr:uid="{00000000-0005-0000-0000-00003D790000}"/>
    <cellStyle name="Normal 5 10 14 5 3" xfId="31038" xr:uid="{00000000-0005-0000-0000-00003E790000}"/>
    <cellStyle name="Normal 5 10 14 5 4" xfId="31039" xr:uid="{00000000-0005-0000-0000-00003F790000}"/>
    <cellStyle name="Normal 5 10 14 5 5" xfId="31040" xr:uid="{00000000-0005-0000-0000-000040790000}"/>
    <cellStyle name="Normal 5 10 14 5 6" xfId="31041" xr:uid="{00000000-0005-0000-0000-000041790000}"/>
    <cellStyle name="Normal 5 10 14 5 7" xfId="31042" xr:uid="{00000000-0005-0000-0000-000042790000}"/>
    <cellStyle name="Normal 5 10 14 5 8" xfId="31043" xr:uid="{00000000-0005-0000-0000-000043790000}"/>
    <cellStyle name="Normal 5 10 14 5 9" xfId="31044" xr:uid="{00000000-0005-0000-0000-000044790000}"/>
    <cellStyle name="Normal 5 10 14 6" xfId="31045" xr:uid="{00000000-0005-0000-0000-000045790000}"/>
    <cellStyle name="Normal 5 10 14 7" xfId="31046" xr:uid="{00000000-0005-0000-0000-000046790000}"/>
    <cellStyle name="Normal 5 10 14 8" xfId="31047" xr:uid="{00000000-0005-0000-0000-000047790000}"/>
    <cellStyle name="Normal 5 10 14 9" xfId="31048" xr:uid="{00000000-0005-0000-0000-000048790000}"/>
    <cellStyle name="Normal 5 10 15" xfId="31049" xr:uid="{00000000-0005-0000-0000-000049790000}"/>
    <cellStyle name="Normal 5 10 15 10" xfId="31050" xr:uid="{00000000-0005-0000-0000-00004A790000}"/>
    <cellStyle name="Normal 5 10 15 11" xfId="31051" xr:uid="{00000000-0005-0000-0000-00004B790000}"/>
    <cellStyle name="Normal 5 10 15 12" xfId="31052" xr:uid="{00000000-0005-0000-0000-00004C790000}"/>
    <cellStyle name="Normal 5 10 15 13" xfId="31053" xr:uid="{00000000-0005-0000-0000-00004D790000}"/>
    <cellStyle name="Normal 5 10 15 14" xfId="31054" xr:uid="{00000000-0005-0000-0000-00004E790000}"/>
    <cellStyle name="Normal 5 10 15 2" xfId="31055" xr:uid="{00000000-0005-0000-0000-00004F790000}"/>
    <cellStyle name="Normal 5 10 15 2 10" xfId="31056" xr:uid="{00000000-0005-0000-0000-000050790000}"/>
    <cellStyle name="Normal 5 10 15 2 2" xfId="31057" xr:uid="{00000000-0005-0000-0000-000051790000}"/>
    <cellStyle name="Normal 5 10 15 2 3" xfId="31058" xr:uid="{00000000-0005-0000-0000-000052790000}"/>
    <cellStyle name="Normal 5 10 15 2 4" xfId="31059" xr:uid="{00000000-0005-0000-0000-000053790000}"/>
    <cellStyle name="Normal 5 10 15 2 5" xfId="31060" xr:uid="{00000000-0005-0000-0000-000054790000}"/>
    <cellStyle name="Normal 5 10 15 2 6" xfId="31061" xr:uid="{00000000-0005-0000-0000-000055790000}"/>
    <cellStyle name="Normal 5 10 15 2 7" xfId="31062" xr:uid="{00000000-0005-0000-0000-000056790000}"/>
    <cellStyle name="Normal 5 10 15 2 8" xfId="31063" xr:uid="{00000000-0005-0000-0000-000057790000}"/>
    <cellStyle name="Normal 5 10 15 2 9" xfId="31064" xr:uid="{00000000-0005-0000-0000-000058790000}"/>
    <cellStyle name="Normal 5 10 15 3" xfId="31065" xr:uid="{00000000-0005-0000-0000-000059790000}"/>
    <cellStyle name="Normal 5 10 15 3 10" xfId="31066" xr:uid="{00000000-0005-0000-0000-00005A790000}"/>
    <cellStyle name="Normal 5 10 15 3 2" xfId="31067" xr:uid="{00000000-0005-0000-0000-00005B790000}"/>
    <cellStyle name="Normal 5 10 15 3 3" xfId="31068" xr:uid="{00000000-0005-0000-0000-00005C790000}"/>
    <cellStyle name="Normal 5 10 15 3 4" xfId="31069" xr:uid="{00000000-0005-0000-0000-00005D790000}"/>
    <cellStyle name="Normal 5 10 15 3 5" xfId="31070" xr:uid="{00000000-0005-0000-0000-00005E790000}"/>
    <cellStyle name="Normal 5 10 15 3 6" xfId="31071" xr:uid="{00000000-0005-0000-0000-00005F790000}"/>
    <cellStyle name="Normal 5 10 15 3 7" xfId="31072" xr:uid="{00000000-0005-0000-0000-000060790000}"/>
    <cellStyle name="Normal 5 10 15 3 8" xfId="31073" xr:uid="{00000000-0005-0000-0000-000061790000}"/>
    <cellStyle name="Normal 5 10 15 3 9" xfId="31074" xr:uid="{00000000-0005-0000-0000-000062790000}"/>
    <cellStyle name="Normal 5 10 15 4" xfId="31075" xr:uid="{00000000-0005-0000-0000-000063790000}"/>
    <cellStyle name="Normal 5 10 15 4 10" xfId="31076" xr:uid="{00000000-0005-0000-0000-000064790000}"/>
    <cellStyle name="Normal 5 10 15 4 2" xfId="31077" xr:uid="{00000000-0005-0000-0000-000065790000}"/>
    <cellStyle name="Normal 5 10 15 4 3" xfId="31078" xr:uid="{00000000-0005-0000-0000-000066790000}"/>
    <cellStyle name="Normal 5 10 15 4 4" xfId="31079" xr:uid="{00000000-0005-0000-0000-000067790000}"/>
    <cellStyle name="Normal 5 10 15 4 5" xfId="31080" xr:uid="{00000000-0005-0000-0000-000068790000}"/>
    <cellStyle name="Normal 5 10 15 4 6" xfId="31081" xr:uid="{00000000-0005-0000-0000-000069790000}"/>
    <cellStyle name="Normal 5 10 15 4 7" xfId="31082" xr:uid="{00000000-0005-0000-0000-00006A790000}"/>
    <cellStyle name="Normal 5 10 15 4 8" xfId="31083" xr:uid="{00000000-0005-0000-0000-00006B790000}"/>
    <cellStyle name="Normal 5 10 15 4 9" xfId="31084" xr:uid="{00000000-0005-0000-0000-00006C790000}"/>
    <cellStyle name="Normal 5 10 15 5" xfId="31085" xr:uid="{00000000-0005-0000-0000-00006D790000}"/>
    <cellStyle name="Normal 5 10 15 5 10" xfId="31086" xr:uid="{00000000-0005-0000-0000-00006E790000}"/>
    <cellStyle name="Normal 5 10 15 5 2" xfId="31087" xr:uid="{00000000-0005-0000-0000-00006F790000}"/>
    <cellStyle name="Normal 5 10 15 5 3" xfId="31088" xr:uid="{00000000-0005-0000-0000-000070790000}"/>
    <cellStyle name="Normal 5 10 15 5 4" xfId="31089" xr:uid="{00000000-0005-0000-0000-000071790000}"/>
    <cellStyle name="Normal 5 10 15 5 5" xfId="31090" xr:uid="{00000000-0005-0000-0000-000072790000}"/>
    <cellStyle name="Normal 5 10 15 5 6" xfId="31091" xr:uid="{00000000-0005-0000-0000-000073790000}"/>
    <cellStyle name="Normal 5 10 15 5 7" xfId="31092" xr:uid="{00000000-0005-0000-0000-000074790000}"/>
    <cellStyle name="Normal 5 10 15 5 8" xfId="31093" xr:uid="{00000000-0005-0000-0000-000075790000}"/>
    <cellStyle name="Normal 5 10 15 5 9" xfId="31094" xr:uid="{00000000-0005-0000-0000-000076790000}"/>
    <cellStyle name="Normal 5 10 15 6" xfId="31095" xr:uid="{00000000-0005-0000-0000-000077790000}"/>
    <cellStyle name="Normal 5 10 15 7" xfId="31096" xr:uid="{00000000-0005-0000-0000-000078790000}"/>
    <cellStyle name="Normal 5 10 15 8" xfId="31097" xr:uid="{00000000-0005-0000-0000-000079790000}"/>
    <cellStyle name="Normal 5 10 15 9" xfId="31098" xr:uid="{00000000-0005-0000-0000-00007A790000}"/>
    <cellStyle name="Normal 5 10 16" xfId="31099" xr:uid="{00000000-0005-0000-0000-00007B790000}"/>
    <cellStyle name="Normal 5 10 16 10" xfId="31100" xr:uid="{00000000-0005-0000-0000-00007C790000}"/>
    <cellStyle name="Normal 5 10 16 11" xfId="31101" xr:uid="{00000000-0005-0000-0000-00007D790000}"/>
    <cellStyle name="Normal 5 10 16 12" xfId="31102" xr:uid="{00000000-0005-0000-0000-00007E790000}"/>
    <cellStyle name="Normal 5 10 16 13" xfId="31103" xr:uid="{00000000-0005-0000-0000-00007F790000}"/>
    <cellStyle name="Normal 5 10 16 14" xfId="31104" xr:uid="{00000000-0005-0000-0000-000080790000}"/>
    <cellStyle name="Normal 5 10 16 2" xfId="31105" xr:uid="{00000000-0005-0000-0000-000081790000}"/>
    <cellStyle name="Normal 5 10 16 2 10" xfId="31106" xr:uid="{00000000-0005-0000-0000-000082790000}"/>
    <cellStyle name="Normal 5 10 16 2 2" xfId="31107" xr:uid="{00000000-0005-0000-0000-000083790000}"/>
    <cellStyle name="Normal 5 10 16 2 3" xfId="31108" xr:uid="{00000000-0005-0000-0000-000084790000}"/>
    <cellStyle name="Normal 5 10 16 2 4" xfId="31109" xr:uid="{00000000-0005-0000-0000-000085790000}"/>
    <cellStyle name="Normal 5 10 16 2 5" xfId="31110" xr:uid="{00000000-0005-0000-0000-000086790000}"/>
    <cellStyle name="Normal 5 10 16 2 6" xfId="31111" xr:uid="{00000000-0005-0000-0000-000087790000}"/>
    <cellStyle name="Normal 5 10 16 2 7" xfId="31112" xr:uid="{00000000-0005-0000-0000-000088790000}"/>
    <cellStyle name="Normal 5 10 16 2 8" xfId="31113" xr:uid="{00000000-0005-0000-0000-000089790000}"/>
    <cellStyle name="Normal 5 10 16 2 9" xfId="31114" xr:uid="{00000000-0005-0000-0000-00008A790000}"/>
    <cellStyle name="Normal 5 10 16 3" xfId="31115" xr:uid="{00000000-0005-0000-0000-00008B790000}"/>
    <cellStyle name="Normal 5 10 16 3 10" xfId="31116" xr:uid="{00000000-0005-0000-0000-00008C790000}"/>
    <cellStyle name="Normal 5 10 16 3 2" xfId="31117" xr:uid="{00000000-0005-0000-0000-00008D790000}"/>
    <cellStyle name="Normal 5 10 16 3 3" xfId="31118" xr:uid="{00000000-0005-0000-0000-00008E790000}"/>
    <cellStyle name="Normal 5 10 16 3 4" xfId="31119" xr:uid="{00000000-0005-0000-0000-00008F790000}"/>
    <cellStyle name="Normal 5 10 16 3 5" xfId="31120" xr:uid="{00000000-0005-0000-0000-000090790000}"/>
    <cellStyle name="Normal 5 10 16 3 6" xfId="31121" xr:uid="{00000000-0005-0000-0000-000091790000}"/>
    <cellStyle name="Normal 5 10 16 3 7" xfId="31122" xr:uid="{00000000-0005-0000-0000-000092790000}"/>
    <cellStyle name="Normal 5 10 16 3 8" xfId="31123" xr:uid="{00000000-0005-0000-0000-000093790000}"/>
    <cellStyle name="Normal 5 10 16 3 9" xfId="31124" xr:uid="{00000000-0005-0000-0000-000094790000}"/>
    <cellStyle name="Normal 5 10 16 4" xfId="31125" xr:uid="{00000000-0005-0000-0000-000095790000}"/>
    <cellStyle name="Normal 5 10 16 4 10" xfId="31126" xr:uid="{00000000-0005-0000-0000-000096790000}"/>
    <cellStyle name="Normal 5 10 16 4 2" xfId="31127" xr:uid="{00000000-0005-0000-0000-000097790000}"/>
    <cellStyle name="Normal 5 10 16 4 3" xfId="31128" xr:uid="{00000000-0005-0000-0000-000098790000}"/>
    <cellStyle name="Normal 5 10 16 4 4" xfId="31129" xr:uid="{00000000-0005-0000-0000-000099790000}"/>
    <cellStyle name="Normal 5 10 16 4 5" xfId="31130" xr:uid="{00000000-0005-0000-0000-00009A790000}"/>
    <cellStyle name="Normal 5 10 16 4 6" xfId="31131" xr:uid="{00000000-0005-0000-0000-00009B790000}"/>
    <cellStyle name="Normal 5 10 16 4 7" xfId="31132" xr:uid="{00000000-0005-0000-0000-00009C790000}"/>
    <cellStyle name="Normal 5 10 16 4 8" xfId="31133" xr:uid="{00000000-0005-0000-0000-00009D790000}"/>
    <cellStyle name="Normal 5 10 16 4 9" xfId="31134" xr:uid="{00000000-0005-0000-0000-00009E790000}"/>
    <cellStyle name="Normal 5 10 16 5" xfId="31135" xr:uid="{00000000-0005-0000-0000-00009F790000}"/>
    <cellStyle name="Normal 5 10 16 5 10" xfId="31136" xr:uid="{00000000-0005-0000-0000-0000A0790000}"/>
    <cellStyle name="Normal 5 10 16 5 2" xfId="31137" xr:uid="{00000000-0005-0000-0000-0000A1790000}"/>
    <cellStyle name="Normal 5 10 16 5 3" xfId="31138" xr:uid="{00000000-0005-0000-0000-0000A2790000}"/>
    <cellStyle name="Normal 5 10 16 5 4" xfId="31139" xr:uid="{00000000-0005-0000-0000-0000A3790000}"/>
    <cellStyle name="Normal 5 10 16 5 5" xfId="31140" xr:uid="{00000000-0005-0000-0000-0000A4790000}"/>
    <cellStyle name="Normal 5 10 16 5 6" xfId="31141" xr:uid="{00000000-0005-0000-0000-0000A5790000}"/>
    <cellStyle name="Normal 5 10 16 5 7" xfId="31142" xr:uid="{00000000-0005-0000-0000-0000A6790000}"/>
    <cellStyle name="Normal 5 10 16 5 8" xfId="31143" xr:uid="{00000000-0005-0000-0000-0000A7790000}"/>
    <cellStyle name="Normal 5 10 16 5 9" xfId="31144" xr:uid="{00000000-0005-0000-0000-0000A8790000}"/>
    <cellStyle name="Normal 5 10 16 6" xfId="31145" xr:uid="{00000000-0005-0000-0000-0000A9790000}"/>
    <cellStyle name="Normal 5 10 16 7" xfId="31146" xr:uid="{00000000-0005-0000-0000-0000AA790000}"/>
    <cellStyle name="Normal 5 10 16 8" xfId="31147" xr:uid="{00000000-0005-0000-0000-0000AB790000}"/>
    <cellStyle name="Normal 5 10 16 9" xfId="31148" xr:uid="{00000000-0005-0000-0000-0000AC790000}"/>
    <cellStyle name="Normal 5 10 17" xfId="31149" xr:uid="{00000000-0005-0000-0000-0000AD790000}"/>
    <cellStyle name="Normal 5 10 17 10" xfId="31150" xr:uid="{00000000-0005-0000-0000-0000AE790000}"/>
    <cellStyle name="Normal 5 10 17 11" xfId="31151" xr:uid="{00000000-0005-0000-0000-0000AF790000}"/>
    <cellStyle name="Normal 5 10 17 12" xfId="31152" xr:uid="{00000000-0005-0000-0000-0000B0790000}"/>
    <cellStyle name="Normal 5 10 17 13" xfId="31153" xr:uid="{00000000-0005-0000-0000-0000B1790000}"/>
    <cellStyle name="Normal 5 10 17 14" xfId="31154" xr:uid="{00000000-0005-0000-0000-0000B2790000}"/>
    <cellStyle name="Normal 5 10 17 2" xfId="31155" xr:uid="{00000000-0005-0000-0000-0000B3790000}"/>
    <cellStyle name="Normal 5 10 17 2 10" xfId="31156" xr:uid="{00000000-0005-0000-0000-0000B4790000}"/>
    <cellStyle name="Normal 5 10 17 2 2" xfId="31157" xr:uid="{00000000-0005-0000-0000-0000B5790000}"/>
    <cellStyle name="Normal 5 10 17 2 3" xfId="31158" xr:uid="{00000000-0005-0000-0000-0000B6790000}"/>
    <cellStyle name="Normal 5 10 17 2 4" xfId="31159" xr:uid="{00000000-0005-0000-0000-0000B7790000}"/>
    <cellStyle name="Normal 5 10 17 2 5" xfId="31160" xr:uid="{00000000-0005-0000-0000-0000B8790000}"/>
    <cellStyle name="Normal 5 10 17 2 6" xfId="31161" xr:uid="{00000000-0005-0000-0000-0000B9790000}"/>
    <cellStyle name="Normal 5 10 17 2 7" xfId="31162" xr:uid="{00000000-0005-0000-0000-0000BA790000}"/>
    <cellStyle name="Normal 5 10 17 2 8" xfId="31163" xr:uid="{00000000-0005-0000-0000-0000BB790000}"/>
    <cellStyle name="Normal 5 10 17 2 9" xfId="31164" xr:uid="{00000000-0005-0000-0000-0000BC790000}"/>
    <cellStyle name="Normal 5 10 17 3" xfId="31165" xr:uid="{00000000-0005-0000-0000-0000BD790000}"/>
    <cellStyle name="Normal 5 10 17 3 10" xfId="31166" xr:uid="{00000000-0005-0000-0000-0000BE790000}"/>
    <cellStyle name="Normal 5 10 17 3 2" xfId="31167" xr:uid="{00000000-0005-0000-0000-0000BF790000}"/>
    <cellStyle name="Normal 5 10 17 3 3" xfId="31168" xr:uid="{00000000-0005-0000-0000-0000C0790000}"/>
    <cellStyle name="Normal 5 10 17 3 4" xfId="31169" xr:uid="{00000000-0005-0000-0000-0000C1790000}"/>
    <cellStyle name="Normal 5 10 17 3 5" xfId="31170" xr:uid="{00000000-0005-0000-0000-0000C2790000}"/>
    <cellStyle name="Normal 5 10 17 3 6" xfId="31171" xr:uid="{00000000-0005-0000-0000-0000C3790000}"/>
    <cellStyle name="Normal 5 10 17 3 7" xfId="31172" xr:uid="{00000000-0005-0000-0000-0000C4790000}"/>
    <cellStyle name="Normal 5 10 17 3 8" xfId="31173" xr:uid="{00000000-0005-0000-0000-0000C5790000}"/>
    <cellStyle name="Normal 5 10 17 3 9" xfId="31174" xr:uid="{00000000-0005-0000-0000-0000C6790000}"/>
    <cellStyle name="Normal 5 10 17 4" xfId="31175" xr:uid="{00000000-0005-0000-0000-0000C7790000}"/>
    <cellStyle name="Normal 5 10 17 4 10" xfId="31176" xr:uid="{00000000-0005-0000-0000-0000C8790000}"/>
    <cellStyle name="Normal 5 10 17 4 2" xfId="31177" xr:uid="{00000000-0005-0000-0000-0000C9790000}"/>
    <cellStyle name="Normal 5 10 17 4 3" xfId="31178" xr:uid="{00000000-0005-0000-0000-0000CA790000}"/>
    <cellStyle name="Normal 5 10 17 4 4" xfId="31179" xr:uid="{00000000-0005-0000-0000-0000CB790000}"/>
    <cellStyle name="Normal 5 10 17 4 5" xfId="31180" xr:uid="{00000000-0005-0000-0000-0000CC790000}"/>
    <cellStyle name="Normal 5 10 17 4 6" xfId="31181" xr:uid="{00000000-0005-0000-0000-0000CD790000}"/>
    <cellStyle name="Normal 5 10 17 4 7" xfId="31182" xr:uid="{00000000-0005-0000-0000-0000CE790000}"/>
    <cellStyle name="Normal 5 10 17 4 8" xfId="31183" xr:uid="{00000000-0005-0000-0000-0000CF790000}"/>
    <cellStyle name="Normal 5 10 17 4 9" xfId="31184" xr:uid="{00000000-0005-0000-0000-0000D0790000}"/>
    <cellStyle name="Normal 5 10 17 5" xfId="31185" xr:uid="{00000000-0005-0000-0000-0000D1790000}"/>
    <cellStyle name="Normal 5 10 17 5 10" xfId="31186" xr:uid="{00000000-0005-0000-0000-0000D2790000}"/>
    <cellStyle name="Normal 5 10 17 5 2" xfId="31187" xr:uid="{00000000-0005-0000-0000-0000D3790000}"/>
    <cellStyle name="Normal 5 10 17 5 3" xfId="31188" xr:uid="{00000000-0005-0000-0000-0000D4790000}"/>
    <cellStyle name="Normal 5 10 17 5 4" xfId="31189" xr:uid="{00000000-0005-0000-0000-0000D5790000}"/>
    <cellStyle name="Normal 5 10 17 5 5" xfId="31190" xr:uid="{00000000-0005-0000-0000-0000D6790000}"/>
    <cellStyle name="Normal 5 10 17 5 6" xfId="31191" xr:uid="{00000000-0005-0000-0000-0000D7790000}"/>
    <cellStyle name="Normal 5 10 17 5 7" xfId="31192" xr:uid="{00000000-0005-0000-0000-0000D8790000}"/>
    <cellStyle name="Normal 5 10 17 5 8" xfId="31193" xr:uid="{00000000-0005-0000-0000-0000D9790000}"/>
    <cellStyle name="Normal 5 10 17 5 9" xfId="31194" xr:uid="{00000000-0005-0000-0000-0000DA790000}"/>
    <cellStyle name="Normal 5 10 17 6" xfId="31195" xr:uid="{00000000-0005-0000-0000-0000DB790000}"/>
    <cellStyle name="Normal 5 10 17 7" xfId="31196" xr:uid="{00000000-0005-0000-0000-0000DC790000}"/>
    <cellStyle name="Normal 5 10 17 8" xfId="31197" xr:uid="{00000000-0005-0000-0000-0000DD790000}"/>
    <cellStyle name="Normal 5 10 17 9" xfId="31198" xr:uid="{00000000-0005-0000-0000-0000DE790000}"/>
    <cellStyle name="Normal 5 10 18" xfId="31199" xr:uid="{00000000-0005-0000-0000-0000DF790000}"/>
    <cellStyle name="Normal 5 10 18 10" xfId="31200" xr:uid="{00000000-0005-0000-0000-0000E0790000}"/>
    <cellStyle name="Normal 5 10 18 11" xfId="31201" xr:uid="{00000000-0005-0000-0000-0000E1790000}"/>
    <cellStyle name="Normal 5 10 18 12" xfId="31202" xr:uid="{00000000-0005-0000-0000-0000E2790000}"/>
    <cellStyle name="Normal 5 10 18 13" xfId="31203" xr:uid="{00000000-0005-0000-0000-0000E3790000}"/>
    <cellStyle name="Normal 5 10 18 14" xfId="31204" xr:uid="{00000000-0005-0000-0000-0000E4790000}"/>
    <cellStyle name="Normal 5 10 18 2" xfId="31205" xr:uid="{00000000-0005-0000-0000-0000E5790000}"/>
    <cellStyle name="Normal 5 10 18 2 10" xfId="31206" xr:uid="{00000000-0005-0000-0000-0000E6790000}"/>
    <cellStyle name="Normal 5 10 18 2 2" xfId="31207" xr:uid="{00000000-0005-0000-0000-0000E7790000}"/>
    <cellStyle name="Normal 5 10 18 2 3" xfId="31208" xr:uid="{00000000-0005-0000-0000-0000E8790000}"/>
    <cellStyle name="Normal 5 10 18 2 4" xfId="31209" xr:uid="{00000000-0005-0000-0000-0000E9790000}"/>
    <cellStyle name="Normal 5 10 18 2 5" xfId="31210" xr:uid="{00000000-0005-0000-0000-0000EA790000}"/>
    <cellStyle name="Normal 5 10 18 2 6" xfId="31211" xr:uid="{00000000-0005-0000-0000-0000EB790000}"/>
    <cellStyle name="Normal 5 10 18 2 7" xfId="31212" xr:uid="{00000000-0005-0000-0000-0000EC790000}"/>
    <cellStyle name="Normal 5 10 18 2 8" xfId="31213" xr:uid="{00000000-0005-0000-0000-0000ED790000}"/>
    <cellStyle name="Normal 5 10 18 2 9" xfId="31214" xr:uid="{00000000-0005-0000-0000-0000EE790000}"/>
    <cellStyle name="Normal 5 10 18 3" xfId="31215" xr:uid="{00000000-0005-0000-0000-0000EF790000}"/>
    <cellStyle name="Normal 5 10 18 3 10" xfId="31216" xr:uid="{00000000-0005-0000-0000-0000F0790000}"/>
    <cellStyle name="Normal 5 10 18 3 2" xfId="31217" xr:uid="{00000000-0005-0000-0000-0000F1790000}"/>
    <cellStyle name="Normal 5 10 18 3 3" xfId="31218" xr:uid="{00000000-0005-0000-0000-0000F2790000}"/>
    <cellStyle name="Normal 5 10 18 3 4" xfId="31219" xr:uid="{00000000-0005-0000-0000-0000F3790000}"/>
    <cellStyle name="Normal 5 10 18 3 5" xfId="31220" xr:uid="{00000000-0005-0000-0000-0000F4790000}"/>
    <cellStyle name="Normal 5 10 18 3 6" xfId="31221" xr:uid="{00000000-0005-0000-0000-0000F5790000}"/>
    <cellStyle name="Normal 5 10 18 3 7" xfId="31222" xr:uid="{00000000-0005-0000-0000-0000F6790000}"/>
    <cellStyle name="Normal 5 10 18 3 8" xfId="31223" xr:uid="{00000000-0005-0000-0000-0000F7790000}"/>
    <cellStyle name="Normal 5 10 18 3 9" xfId="31224" xr:uid="{00000000-0005-0000-0000-0000F8790000}"/>
    <cellStyle name="Normal 5 10 18 4" xfId="31225" xr:uid="{00000000-0005-0000-0000-0000F9790000}"/>
    <cellStyle name="Normal 5 10 18 4 10" xfId="31226" xr:uid="{00000000-0005-0000-0000-0000FA790000}"/>
    <cellStyle name="Normal 5 10 18 4 2" xfId="31227" xr:uid="{00000000-0005-0000-0000-0000FB790000}"/>
    <cellStyle name="Normal 5 10 18 4 3" xfId="31228" xr:uid="{00000000-0005-0000-0000-0000FC790000}"/>
    <cellStyle name="Normal 5 10 18 4 4" xfId="31229" xr:uid="{00000000-0005-0000-0000-0000FD790000}"/>
    <cellStyle name="Normal 5 10 18 4 5" xfId="31230" xr:uid="{00000000-0005-0000-0000-0000FE790000}"/>
    <cellStyle name="Normal 5 10 18 4 6" xfId="31231" xr:uid="{00000000-0005-0000-0000-0000FF790000}"/>
    <cellStyle name="Normal 5 10 18 4 7" xfId="31232" xr:uid="{00000000-0005-0000-0000-0000007A0000}"/>
    <cellStyle name="Normal 5 10 18 4 8" xfId="31233" xr:uid="{00000000-0005-0000-0000-0000017A0000}"/>
    <cellStyle name="Normal 5 10 18 4 9" xfId="31234" xr:uid="{00000000-0005-0000-0000-0000027A0000}"/>
    <cellStyle name="Normal 5 10 18 5" xfId="31235" xr:uid="{00000000-0005-0000-0000-0000037A0000}"/>
    <cellStyle name="Normal 5 10 18 5 10" xfId="31236" xr:uid="{00000000-0005-0000-0000-0000047A0000}"/>
    <cellStyle name="Normal 5 10 18 5 2" xfId="31237" xr:uid="{00000000-0005-0000-0000-0000057A0000}"/>
    <cellStyle name="Normal 5 10 18 5 3" xfId="31238" xr:uid="{00000000-0005-0000-0000-0000067A0000}"/>
    <cellStyle name="Normal 5 10 18 5 4" xfId="31239" xr:uid="{00000000-0005-0000-0000-0000077A0000}"/>
    <cellStyle name="Normal 5 10 18 5 5" xfId="31240" xr:uid="{00000000-0005-0000-0000-0000087A0000}"/>
    <cellStyle name="Normal 5 10 18 5 6" xfId="31241" xr:uid="{00000000-0005-0000-0000-0000097A0000}"/>
    <cellStyle name="Normal 5 10 18 5 7" xfId="31242" xr:uid="{00000000-0005-0000-0000-00000A7A0000}"/>
    <cellStyle name="Normal 5 10 18 5 8" xfId="31243" xr:uid="{00000000-0005-0000-0000-00000B7A0000}"/>
    <cellStyle name="Normal 5 10 18 5 9" xfId="31244" xr:uid="{00000000-0005-0000-0000-00000C7A0000}"/>
    <cellStyle name="Normal 5 10 18 6" xfId="31245" xr:uid="{00000000-0005-0000-0000-00000D7A0000}"/>
    <cellStyle name="Normal 5 10 18 7" xfId="31246" xr:uid="{00000000-0005-0000-0000-00000E7A0000}"/>
    <cellStyle name="Normal 5 10 18 8" xfId="31247" xr:uid="{00000000-0005-0000-0000-00000F7A0000}"/>
    <cellStyle name="Normal 5 10 18 9" xfId="31248" xr:uid="{00000000-0005-0000-0000-0000107A0000}"/>
    <cellStyle name="Normal 5 10 19" xfId="31249" xr:uid="{00000000-0005-0000-0000-0000117A0000}"/>
    <cellStyle name="Normal 5 10 19 10" xfId="31250" xr:uid="{00000000-0005-0000-0000-0000127A0000}"/>
    <cellStyle name="Normal 5 10 19 11" xfId="31251" xr:uid="{00000000-0005-0000-0000-0000137A0000}"/>
    <cellStyle name="Normal 5 10 19 12" xfId="31252" xr:uid="{00000000-0005-0000-0000-0000147A0000}"/>
    <cellStyle name="Normal 5 10 19 13" xfId="31253" xr:uid="{00000000-0005-0000-0000-0000157A0000}"/>
    <cellStyle name="Normal 5 10 19 14" xfId="31254" xr:uid="{00000000-0005-0000-0000-0000167A0000}"/>
    <cellStyle name="Normal 5 10 19 2" xfId="31255" xr:uid="{00000000-0005-0000-0000-0000177A0000}"/>
    <cellStyle name="Normal 5 10 19 2 10" xfId="31256" xr:uid="{00000000-0005-0000-0000-0000187A0000}"/>
    <cellStyle name="Normal 5 10 19 2 2" xfId="31257" xr:uid="{00000000-0005-0000-0000-0000197A0000}"/>
    <cellStyle name="Normal 5 10 19 2 3" xfId="31258" xr:uid="{00000000-0005-0000-0000-00001A7A0000}"/>
    <cellStyle name="Normal 5 10 19 2 4" xfId="31259" xr:uid="{00000000-0005-0000-0000-00001B7A0000}"/>
    <cellStyle name="Normal 5 10 19 2 5" xfId="31260" xr:uid="{00000000-0005-0000-0000-00001C7A0000}"/>
    <cellStyle name="Normal 5 10 19 2 6" xfId="31261" xr:uid="{00000000-0005-0000-0000-00001D7A0000}"/>
    <cellStyle name="Normal 5 10 19 2 7" xfId="31262" xr:uid="{00000000-0005-0000-0000-00001E7A0000}"/>
    <cellStyle name="Normal 5 10 19 2 8" xfId="31263" xr:uid="{00000000-0005-0000-0000-00001F7A0000}"/>
    <cellStyle name="Normal 5 10 19 2 9" xfId="31264" xr:uid="{00000000-0005-0000-0000-0000207A0000}"/>
    <cellStyle name="Normal 5 10 19 3" xfId="31265" xr:uid="{00000000-0005-0000-0000-0000217A0000}"/>
    <cellStyle name="Normal 5 10 19 3 10" xfId="31266" xr:uid="{00000000-0005-0000-0000-0000227A0000}"/>
    <cellStyle name="Normal 5 10 19 3 2" xfId="31267" xr:uid="{00000000-0005-0000-0000-0000237A0000}"/>
    <cellStyle name="Normal 5 10 19 3 3" xfId="31268" xr:uid="{00000000-0005-0000-0000-0000247A0000}"/>
    <cellStyle name="Normal 5 10 19 3 4" xfId="31269" xr:uid="{00000000-0005-0000-0000-0000257A0000}"/>
    <cellStyle name="Normal 5 10 19 3 5" xfId="31270" xr:uid="{00000000-0005-0000-0000-0000267A0000}"/>
    <cellStyle name="Normal 5 10 19 3 6" xfId="31271" xr:uid="{00000000-0005-0000-0000-0000277A0000}"/>
    <cellStyle name="Normal 5 10 19 3 7" xfId="31272" xr:uid="{00000000-0005-0000-0000-0000287A0000}"/>
    <cellStyle name="Normal 5 10 19 3 8" xfId="31273" xr:uid="{00000000-0005-0000-0000-0000297A0000}"/>
    <cellStyle name="Normal 5 10 19 3 9" xfId="31274" xr:uid="{00000000-0005-0000-0000-00002A7A0000}"/>
    <cellStyle name="Normal 5 10 19 4" xfId="31275" xr:uid="{00000000-0005-0000-0000-00002B7A0000}"/>
    <cellStyle name="Normal 5 10 19 4 10" xfId="31276" xr:uid="{00000000-0005-0000-0000-00002C7A0000}"/>
    <cellStyle name="Normal 5 10 19 4 2" xfId="31277" xr:uid="{00000000-0005-0000-0000-00002D7A0000}"/>
    <cellStyle name="Normal 5 10 19 4 3" xfId="31278" xr:uid="{00000000-0005-0000-0000-00002E7A0000}"/>
    <cellStyle name="Normal 5 10 19 4 4" xfId="31279" xr:uid="{00000000-0005-0000-0000-00002F7A0000}"/>
    <cellStyle name="Normal 5 10 19 4 5" xfId="31280" xr:uid="{00000000-0005-0000-0000-0000307A0000}"/>
    <cellStyle name="Normal 5 10 19 4 6" xfId="31281" xr:uid="{00000000-0005-0000-0000-0000317A0000}"/>
    <cellStyle name="Normal 5 10 19 4 7" xfId="31282" xr:uid="{00000000-0005-0000-0000-0000327A0000}"/>
    <cellStyle name="Normal 5 10 19 4 8" xfId="31283" xr:uid="{00000000-0005-0000-0000-0000337A0000}"/>
    <cellStyle name="Normal 5 10 19 4 9" xfId="31284" xr:uid="{00000000-0005-0000-0000-0000347A0000}"/>
    <cellStyle name="Normal 5 10 19 5" xfId="31285" xr:uid="{00000000-0005-0000-0000-0000357A0000}"/>
    <cellStyle name="Normal 5 10 19 5 10" xfId="31286" xr:uid="{00000000-0005-0000-0000-0000367A0000}"/>
    <cellStyle name="Normal 5 10 19 5 2" xfId="31287" xr:uid="{00000000-0005-0000-0000-0000377A0000}"/>
    <cellStyle name="Normal 5 10 19 5 3" xfId="31288" xr:uid="{00000000-0005-0000-0000-0000387A0000}"/>
    <cellStyle name="Normal 5 10 19 5 4" xfId="31289" xr:uid="{00000000-0005-0000-0000-0000397A0000}"/>
    <cellStyle name="Normal 5 10 19 5 5" xfId="31290" xr:uid="{00000000-0005-0000-0000-00003A7A0000}"/>
    <cellStyle name="Normal 5 10 19 5 6" xfId="31291" xr:uid="{00000000-0005-0000-0000-00003B7A0000}"/>
    <cellStyle name="Normal 5 10 19 5 7" xfId="31292" xr:uid="{00000000-0005-0000-0000-00003C7A0000}"/>
    <cellStyle name="Normal 5 10 19 5 8" xfId="31293" xr:uid="{00000000-0005-0000-0000-00003D7A0000}"/>
    <cellStyle name="Normal 5 10 19 5 9" xfId="31294" xr:uid="{00000000-0005-0000-0000-00003E7A0000}"/>
    <cellStyle name="Normal 5 10 19 6" xfId="31295" xr:uid="{00000000-0005-0000-0000-00003F7A0000}"/>
    <cellStyle name="Normal 5 10 19 7" xfId="31296" xr:uid="{00000000-0005-0000-0000-0000407A0000}"/>
    <cellStyle name="Normal 5 10 19 8" xfId="31297" xr:uid="{00000000-0005-0000-0000-0000417A0000}"/>
    <cellStyle name="Normal 5 10 19 9" xfId="31298" xr:uid="{00000000-0005-0000-0000-0000427A0000}"/>
    <cellStyle name="Normal 5 10 2" xfId="60" xr:uid="{00000000-0005-0000-0000-00003C000000}"/>
    <cellStyle name="Normal 5 10 2 10" xfId="31300" xr:uid="{00000000-0005-0000-0000-0000447A0000}"/>
    <cellStyle name="Normal 5 10 2 10 10" xfId="31301" xr:uid="{00000000-0005-0000-0000-0000457A0000}"/>
    <cellStyle name="Normal 5 10 2 10 11" xfId="31302" xr:uid="{00000000-0005-0000-0000-0000467A0000}"/>
    <cellStyle name="Normal 5 10 2 10 12" xfId="31303" xr:uid="{00000000-0005-0000-0000-0000477A0000}"/>
    <cellStyle name="Normal 5 10 2 10 13" xfId="31304" xr:uid="{00000000-0005-0000-0000-0000487A0000}"/>
    <cellStyle name="Normal 5 10 2 10 14" xfId="31305" xr:uid="{00000000-0005-0000-0000-0000497A0000}"/>
    <cellStyle name="Normal 5 10 2 10 2" xfId="31306" xr:uid="{00000000-0005-0000-0000-00004A7A0000}"/>
    <cellStyle name="Normal 5 10 2 10 2 10" xfId="31307" xr:uid="{00000000-0005-0000-0000-00004B7A0000}"/>
    <cellStyle name="Normal 5 10 2 10 2 2" xfId="31308" xr:uid="{00000000-0005-0000-0000-00004C7A0000}"/>
    <cellStyle name="Normal 5 10 2 10 2 3" xfId="31309" xr:uid="{00000000-0005-0000-0000-00004D7A0000}"/>
    <cellStyle name="Normal 5 10 2 10 2 4" xfId="31310" xr:uid="{00000000-0005-0000-0000-00004E7A0000}"/>
    <cellStyle name="Normal 5 10 2 10 2 5" xfId="31311" xr:uid="{00000000-0005-0000-0000-00004F7A0000}"/>
    <cellStyle name="Normal 5 10 2 10 2 6" xfId="31312" xr:uid="{00000000-0005-0000-0000-0000507A0000}"/>
    <cellStyle name="Normal 5 10 2 10 2 7" xfId="31313" xr:uid="{00000000-0005-0000-0000-0000517A0000}"/>
    <cellStyle name="Normal 5 10 2 10 2 8" xfId="31314" xr:uid="{00000000-0005-0000-0000-0000527A0000}"/>
    <cellStyle name="Normal 5 10 2 10 2 9" xfId="31315" xr:uid="{00000000-0005-0000-0000-0000537A0000}"/>
    <cellStyle name="Normal 5 10 2 10 3" xfId="31316" xr:uid="{00000000-0005-0000-0000-0000547A0000}"/>
    <cellStyle name="Normal 5 10 2 10 3 10" xfId="31317" xr:uid="{00000000-0005-0000-0000-0000557A0000}"/>
    <cellStyle name="Normal 5 10 2 10 3 2" xfId="31318" xr:uid="{00000000-0005-0000-0000-0000567A0000}"/>
    <cellStyle name="Normal 5 10 2 10 3 3" xfId="31319" xr:uid="{00000000-0005-0000-0000-0000577A0000}"/>
    <cellStyle name="Normal 5 10 2 10 3 4" xfId="31320" xr:uid="{00000000-0005-0000-0000-0000587A0000}"/>
    <cellStyle name="Normal 5 10 2 10 3 5" xfId="31321" xr:uid="{00000000-0005-0000-0000-0000597A0000}"/>
    <cellStyle name="Normal 5 10 2 10 3 6" xfId="31322" xr:uid="{00000000-0005-0000-0000-00005A7A0000}"/>
    <cellStyle name="Normal 5 10 2 10 3 7" xfId="31323" xr:uid="{00000000-0005-0000-0000-00005B7A0000}"/>
    <cellStyle name="Normal 5 10 2 10 3 8" xfId="31324" xr:uid="{00000000-0005-0000-0000-00005C7A0000}"/>
    <cellStyle name="Normal 5 10 2 10 3 9" xfId="31325" xr:uid="{00000000-0005-0000-0000-00005D7A0000}"/>
    <cellStyle name="Normal 5 10 2 10 4" xfId="31326" xr:uid="{00000000-0005-0000-0000-00005E7A0000}"/>
    <cellStyle name="Normal 5 10 2 10 4 10" xfId="31327" xr:uid="{00000000-0005-0000-0000-00005F7A0000}"/>
    <cellStyle name="Normal 5 10 2 10 4 2" xfId="31328" xr:uid="{00000000-0005-0000-0000-0000607A0000}"/>
    <cellStyle name="Normal 5 10 2 10 4 3" xfId="31329" xr:uid="{00000000-0005-0000-0000-0000617A0000}"/>
    <cellStyle name="Normal 5 10 2 10 4 4" xfId="31330" xr:uid="{00000000-0005-0000-0000-0000627A0000}"/>
    <cellStyle name="Normal 5 10 2 10 4 5" xfId="31331" xr:uid="{00000000-0005-0000-0000-0000637A0000}"/>
    <cellStyle name="Normal 5 10 2 10 4 6" xfId="31332" xr:uid="{00000000-0005-0000-0000-0000647A0000}"/>
    <cellStyle name="Normal 5 10 2 10 4 7" xfId="31333" xr:uid="{00000000-0005-0000-0000-0000657A0000}"/>
    <cellStyle name="Normal 5 10 2 10 4 8" xfId="31334" xr:uid="{00000000-0005-0000-0000-0000667A0000}"/>
    <cellStyle name="Normal 5 10 2 10 4 9" xfId="31335" xr:uid="{00000000-0005-0000-0000-0000677A0000}"/>
    <cellStyle name="Normal 5 10 2 10 5" xfId="31336" xr:uid="{00000000-0005-0000-0000-0000687A0000}"/>
    <cellStyle name="Normal 5 10 2 10 5 10" xfId="31337" xr:uid="{00000000-0005-0000-0000-0000697A0000}"/>
    <cellStyle name="Normal 5 10 2 10 5 2" xfId="31338" xr:uid="{00000000-0005-0000-0000-00006A7A0000}"/>
    <cellStyle name="Normal 5 10 2 10 5 3" xfId="31339" xr:uid="{00000000-0005-0000-0000-00006B7A0000}"/>
    <cellStyle name="Normal 5 10 2 10 5 4" xfId="31340" xr:uid="{00000000-0005-0000-0000-00006C7A0000}"/>
    <cellStyle name="Normal 5 10 2 10 5 5" xfId="31341" xr:uid="{00000000-0005-0000-0000-00006D7A0000}"/>
    <cellStyle name="Normal 5 10 2 10 5 6" xfId="31342" xr:uid="{00000000-0005-0000-0000-00006E7A0000}"/>
    <cellStyle name="Normal 5 10 2 10 5 7" xfId="31343" xr:uid="{00000000-0005-0000-0000-00006F7A0000}"/>
    <cellStyle name="Normal 5 10 2 10 5 8" xfId="31344" xr:uid="{00000000-0005-0000-0000-0000707A0000}"/>
    <cellStyle name="Normal 5 10 2 10 5 9" xfId="31345" xr:uid="{00000000-0005-0000-0000-0000717A0000}"/>
    <cellStyle name="Normal 5 10 2 10 6" xfId="31346" xr:uid="{00000000-0005-0000-0000-0000727A0000}"/>
    <cellStyle name="Normal 5 10 2 10 7" xfId="31347" xr:uid="{00000000-0005-0000-0000-0000737A0000}"/>
    <cellStyle name="Normal 5 10 2 10 8" xfId="31348" xr:uid="{00000000-0005-0000-0000-0000747A0000}"/>
    <cellStyle name="Normal 5 10 2 10 9" xfId="31349" xr:uid="{00000000-0005-0000-0000-0000757A0000}"/>
    <cellStyle name="Normal 5 10 2 11" xfId="31350" xr:uid="{00000000-0005-0000-0000-0000767A0000}"/>
    <cellStyle name="Normal 5 10 2 11 10" xfId="31351" xr:uid="{00000000-0005-0000-0000-0000777A0000}"/>
    <cellStyle name="Normal 5 10 2 11 11" xfId="31352" xr:uid="{00000000-0005-0000-0000-0000787A0000}"/>
    <cellStyle name="Normal 5 10 2 11 12" xfId="31353" xr:uid="{00000000-0005-0000-0000-0000797A0000}"/>
    <cellStyle name="Normal 5 10 2 11 13" xfId="31354" xr:uid="{00000000-0005-0000-0000-00007A7A0000}"/>
    <cellStyle name="Normal 5 10 2 11 14" xfId="31355" xr:uid="{00000000-0005-0000-0000-00007B7A0000}"/>
    <cellStyle name="Normal 5 10 2 11 2" xfId="31356" xr:uid="{00000000-0005-0000-0000-00007C7A0000}"/>
    <cellStyle name="Normal 5 10 2 11 2 10" xfId="31357" xr:uid="{00000000-0005-0000-0000-00007D7A0000}"/>
    <cellStyle name="Normal 5 10 2 11 2 2" xfId="31358" xr:uid="{00000000-0005-0000-0000-00007E7A0000}"/>
    <cellStyle name="Normal 5 10 2 11 2 3" xfId="31359" xr:uid="{00000000-0005-0000-0000-00007F7A0000}"/>
    <cellStyle name="Normal 5 10 2 11 2 4" xfId="31360" xr:uid="{00000000-0005-0000-0000-0000807A0000}"/>
    <cellStyle name="Normal 5 10 2 11 2 5" xfId="31361" xr:uid="{00000000-0005-0000-0000-0000817A0000}"/>
    <cellStyle name="Normal 5 10 2 11 2 6" xfId="31362" xr:uid="{00000000-0005-0000-0000-0000827A0000}"/>
    <cellStyle name="Normal 5 10 2 11 2 7" xfId="31363" xr:uid="{00000000-0005-0000-0000-0000837A0000}"/>
    <cellStyle name="Normal 5 10 2 11 2 8" xfId="31364" xr:uid="{00000000-0005-0000-0000-0000847A0000}"/>
    <cellStyle name="Normal 5 10 2 11 2 9" xfId="31365" xr:uid="{00000000-0005-0000-0000-0000857A0000}"/>
    <cellStyle name="Normal 5 10 2 11 3" xfId="31366" xr:uid="{00000000-0005-0000-0000-0000867A0000}"/>
    <cellStyle name="Normal 5 10 2 11 3 10" xfId="31367" xr:uid="{00000000-0005-0000-0000-0000877A0000}"/>
    <cellStyle name="Normal 5 10 2 11 3 2" xfId="31368" xr:uid="{00000000-0005-0000-0000-0000887A0000}"/>
    <cellStyle name="Normal 5 10 2 11 3 3" xfId="31369" xr:uid="{00000000-0005-0000-0000-0000897A0000}"/>
    <cellStyle name="Normal 5 10 2 11 3 4" xfId="31370" xr:uid="{00000000-0005-0000-0000-00008A7A0000}"/>
    <cellStyle name="Normal 5 10 2 11 3 5" xfId="31371" xr:uid="{00000000-0005-0000-0000-00008B7A0000}"/>
    <cellStyle name="Normal 5 10 2 11 3 6" xfId="31372" xr:uid="{00000000-0005-0000-0000-00008C7A0000}"/>
    <cellStyle name="Normal 5 10 2 11 3 7" xfId="31373" xr:uid="{00000000-0005-0000-0000-00008D7A0000}"/>
    <cellStyle name="Normal 5 10 2 11 3 8" xfId="31374" xr:uid="{00000000-0005-0000-0000-00008E7A0000}"/>
    <cellStyle name="Normal 5 10 2 11 3 9" xfId="31375" xr:uid="{00000000-0005-0000-0000-00008F7A0000}"/>
    <cellStyle name="Normal 5 10 2 11 4" xfId="31376" xr:uid="{00000000-0005-0000-0000-0000907A0000}"/>
    <cellStyle name="Normal 5 10 2 11 4 10" xfId="31377" xr:uid="{00000000-0005-0000-0000-0000917A0000}"/>
    <cellStyle name="Normal 5 10 2 11 4 2" xfId="31378" xr:uid="{00000000-0005-0000-0000-0000927A0000}"/>
    <cellStyle name="Normal 5 10 2 11 4 3" xfId="31379" xr:uid="{00000000-0005-0000-0000-0000937A0000}"/>
    <cellStyle name="Normal 5 10 2 11 4 4" xfId="31380" xr:uid="{00000000-0005-0000-0000-0000947A0000}"/>
    <cellStyle name="Normal 5 10 2 11 4 5" xfId="31381" xr:uid="{00000000-0005-0000-0000-0000957A0000}"/>
    <cellStyle name="Normal 5 10 2 11 4 6" xfId="31382" xr:uid="{00000000-0005-0000-0000-0000967A0000}"/>
    <cellStyle name="Normal 5 10 2 11 4 7" xfId="31383" xr:uid="{00000000-0005-0000-0000-0000977A0000}"/>
    <cellStyle name="Normal 5 10 2 11 4 8" xfId="31384" xr:uid="{00000000-0005-0000-0000-0000987A0000}"/>
    <cellStyle name="Normal 5 10 2 11 4 9" xfId="31385" xr:uid="{00000000-0005-0000-0000-0000997A0000}"/>
    <cellStyle name="Normal 5 10 2 11 5" xfId="31386" xr:uid="{00000000-0005-0000-0000-00009A7A0000}"/>
    <cellStyle name="Normal 5 10 2 11 5 10" xfId="31387" xr:uid="{00000000-0005-0000-0000-00009B7A0000}"/>
    <cellStyle name="Normal 5 10 2 11 5 2" xfId="31388" xr:uid="{00000000-0005-0000-0000-00009C7A0000}"/>
    <cellStyle name="Normal 5 10 2 11 5 3" xfId="31389" xr:uid="{00000000-0005-0000-0000-00009D7A0000}"/>
    <cellStyle name="Normal 5 10 2 11 5 4" xfId="31390" xr:uid="{00000000-0005-0000-0000-00009E7A0000}"/>
    <cellStyle name="Normal 5 10 2 11 5 5" xfId="31391" xr:uid="{00000000-0005-0000-0000-00009F7A0000}"/>
    <cellStyle name="Normal 5 10 2 11 5 6" xfId="31392" xr:uid="{00000000-0005-0000-0000-0000A07A0000}"/>
    <cellStyle name="Normal 5 10 2 11 5 7" xfId="31393" xr:uid="{00000000-0005-0000-0000-0000A17A0000}"/>
    <cellStyle name="Normal 5 10 2 11 5 8" xfId="31394" xr:uid="{00000000-0005-0000-0000-0000A27A0000}"/>
    <cellStyle name="Normal 5 10 2 11 5 9" xfId="31395" xr:uid="{00000000-0005-0000-0000-0000A37A0000}"/>
    <cellStyle name="Normal 5 10 2 11 6" xfId="31396" xr:uid="{00000000-0005-0000-0000-0000A47A0000}"/>
    <cellStyle name="Normal 5 10 2 11 7" xfId="31397" xr:uid="{00000000-0005-0000-0000-0000A57A0000}"/>
    <cellStyle name="Normal 5 10 2 11 8" xfId="31398" xr:uid="{00000000-0005-0000-0000-0000A67A0000}"/>
    <cellStyle name="Normal 5 10 2 11 9" xfId="31399" xr:uid="{00000000-0005-0000-0000-0000A77A0000}"/>
    <cellStyle name="Normal 5 10 2 12" xfId="31400" xr:uid="{00000000-0005-0000-0000-0000A87A0000}"/>
    <cellStyle name="Normal 5 10 2 12 10" xfId="31401" xr:uid="{00000000-0005-0000-0000-0000A97A0000}"/>
    <cellStyle name="Normal 5 10 2 12 11" xfId="31402" xr:uid="{00000000-0005-0000-0000-0000AA7A0000}"/>
    <cellStyle name="Normal 5 10 2 12 12" xfId="31403" xr:uid="{00000000-0005-0000-0000-0000AB7A0000}"/>
    <cellStyle name="Normal 5 10 2 12 13" xfId="31404" xr:uid="{00000000-0005-0000-0000-0000AC7A0000}"/>
    <cellStyle name="Normal 5 10 2 12 14" xfId="31405" xr:uid="{00000000-0005-0000-0000-0000AD7A0000}"/>
    <cellStyle name="Normal 5 10 2 12 2" xfId="31406" xr:uid="{00000000-0005-0000-0000-0000AE7A0000}"/>
    <cellStyle name="Normal 5 10 2 12 2 10" xfId="31407" xr:uid="{00000000-0005-0000-0000-0000AF7A0000}"/>
    <cellStyle name="Normal 5 10 2 12 2 2" xfId="31408" xr:uid="{00000000-0005-0000-0000-0000B07A0000}"/>
    <cellStyle name="Normal 5 10 2 12 2 3" xfId="31409" xr:uid="{00000000-0005-0000-0000-0000B17A0000}"/>
    <cellStyle name="Normal 5 10 2 12 2 4" xfId="31410" xr:uid="{00000000-0005-0000-0000-0000B27A0000}"/>
    <cellStyle name="Normal 5 10 2 12 2 5" xfId="31411" xr:uid="{00000000-0005-0000-0000-0000B37A0000}"/>
    <cellStyle name="Normal 5 10 2 12 2 6" xfId="31412" xr:uid="{00000000-0005-0000-0000-0000B47A0000}"/>
    <cellStyle name="Normal 5 10 2 12 2 7" xfId="31413" xr:uid="{00000000-0005-0000-0000-0000B57A0000}"/>
    <cellStyle name="Normal 5 10 2 12 2 8" xfId="31414" xr:uid="{00000000-0005-0000-0000-0000B67A0000}"/>
    <cellStyle name="Normal 5 10 2 12 2 9" xfId="31415" xr:uid="{00000000-0005-0000-0000-0000B77A0000}"/>
    <cellStyle name="Normal 5 10 2 12 3" xfId="31416" xr:uid="{00000000-0005-0000-0000-0000B87A0000}"/>
    <cellStyle name="Normal 5 10 2 12 3 10" xfId="31417" xr:uid="{00000000-0005-0000-0000-0000B97A0000}"/>
    <cellStyle name="Normal 5 10 2 12 3 2" xfId="31418" xr:uid="{00000000-0005-0000-0000-0000BA7A0000}"/>
    <cellStyle name="Normal 5 10 2 12 3 3" xfId="31419" xr:uid="{00000000-0005-0000-0000-0000BB7A0000}"/>
    <cellStyle name="Normal 5 10 2 12 3 4" xfId="31420" xr:uid="{00000000-0005-0000-0000-0000BC7A0000}"/>
    <cellStyle name="Normal 5 10 2 12 3 5" xfId="31421" xr:uid="{00000000-0005-0000-0000-0000BD7A0000}"/>
    <cellStyle name="Normal 5 10 2 12 3 6" xfId="31422" xr:uid="{00000000-0005-0000-0000-0000BE7A0000}"/>
    <cellStyle name="Normal 5 10 2 12 3 7" xfId="31423" xr:uid="{00000000-0005-0000-0000-0000BF7A0000}"/>
    <cellStyle name="Normal 5 10 2 12 3 8" xfId="31424" xr:uid="{00000000-0005-0000-0000-0000C07A0000}"/>
    <cellStyle name="Normal 5 10 2 12 3 9" xfId="31425" xr:uid="{00000000-0005-0000-0000-0000C17A0000}"/>
    <cellStyle name="Normal 5 10 2 12 4" xfId="31426" xr:uid="{00000000-0005-0000-0000-0000C27A0000}"/>
    <cellStyle name="Normal 5 10 2 12 4 10" xfId="31427" xr:uid="{00000000-0005-0000-0000-0000C37A0000}"/>
    <cellStyle name="Normal 5 10 2 12 4 2" xfId="31428" xr:uid="{00000000-0005-0000-0000-0000C47A0000}"/>
    <cellStyle name="Normal 5 10 2 12 4 3" xfId="31429" xr:uid="{00000000-0005-0000-0000-0000C57A0000}"/>
    <cellStyle name="Normal 5 10 2 12 4 4" xfId="31430" xr:uid="{00000000-0005-0000-0000-0000C67A0000}"/>
    <cellStyle name="Normal 5 10 2 12 4 5" xfId="31431" xr:uid="{00000000-0005-0000-0000-0000C77A0000}"/>
    <cellStyle name="Normal 5 10 2 12 4 6" xfId="31432" xr:uid="{00000000-0005-0000-0000-0000C87A0000}"/>
    <cellStyle name="Normal 5 10 2 12 4 7" xfId="31433" xr:uid="{00000000-0005-0000-0000-0000C97A0000}"/>
    <cellStyle name="Normal 5 10 2 12 4 8" xfId="31434" xr:uid="{00000000-0005-0000-0000-0000CA7A0000}"/>
    <cellStyle name="Normal 5 10 2 12 4 9" xfId="31435" xr:uid="{00000000-0005-0000-0000-0000CB7A0000}"/>
    <cellStyle name="Normal 5 10 2 12 5" xfId="31436" xr:uid="{00000000-0005-0000-0000-0000CC7A0000}"/>
    <cellStyle name="Normal 5 10 2 12 5 10" xfId="31437" xr:uid="{00000000-0005-0000-0000-0000CD7A0000}"/>
    <cellStyle name="Normal 5 10 2 12 5 2" xfId="31438" xr:uid="{00000000-0005-0000-0000-0000CE7A0000}"/>
    <cellStyle name="Normal 5 10 2 12 5 3" xfId="31439" xr:uid="{00000000-0005-0000-0000-0000CF7A0000}"/>
    <cellStyle name="Normal 5 10 2 12 5 4" xfId="31440" xr:uid="{00000000-0005-0000-0000-0000D07A0000}"/>
    <cellStyle name="Normal 5 10 2 12 5 5" xfId="31441" xr:uid="{00000000-0005-0000-0000-0000D17A0000}"/>
    <cellStyle name="Normal 5 10 2 12 5 6" xfId="31442" xr:uid="{00000000-0005-0000-0000-0000D27A0000}"/>
    <cellStyle name="Normal 5 10 2 12 5 7" xfId="31443" xr:uid="{00000000-0005-0000-0000-0000D37A0000}"/>
    <cellStyle name="Normal 5 10 2 12 5 8" xfId="31444" xr:uid="{00000000-0005-0000-0000-0000D47A0000}"/>
    <cellStyle name="Normal 5 10 2 12 5 9" xfId="31445" xr:uid="{00000000-0005-0000-0000-0000D57A0000}"/>
    <cellStyle name="Normal 5 10 2 12 6" xfId="31446" xr:uid="{00000000-0005-0000-0000-0000D67A0000}"/>
    <cellStyle name="Normal 5 10 2 12 7" xfId="31447" xr:uid="{00000000-0005-0000-0000-0000D77A0000}"/>
    <cellStyle name="Normal 5 10 2 12 8" xfId="31448" xr:uid="{00000000-0005-0000-0000-0000D87A0000}"/>
    <cellStyle name="Normal 5 10 2 12 9" xfId="31449" xr:uid="{00000000-0005-0000-0000-0000D97A0000}"/>
    <cellStyle name="Normal 5 10 2 13" xfId="31450" xr:uid="{00000000-0005-0000-0000-0000DA7A0000}"/>
    <cellStyle name="Normal 5 10 2 13 10" xfId="31451" xr:uid="{00000000-0005-0000-0000-0000DB7A0000}"/>
    <cellStyle name="Normal 5 10 2 13 11" xfId="31452" xr:uid="{00000000-0005-0000-0000-0000DC7A0000}"/>
    <cellStyle name="Normal 5 10 2 13 12" xfId="31453" xr:uid="{00000000-0005-0000-0000-0000DD7A0000}"/>
    <cellStyle name="Normal 5 10 2 13 13" xfId="31454" xr:uid="{00000000-0005-0000-0000-0000DE7A0000}"/>
    <cellStyle name="Normal 5 10 2 13 14" xfId="31455" xr:uid="{00000000-0005-0000-0000-0000DF7A0000}"/>
    <cellStyle name="Normal 5 10 2 13 2" xfId="31456" xr:uid="{00000000-0005-0000-0000-0000E07A0000}"/>
    <cellStyle name="Normal 5 10 2 13 2 10" xfId="31457" xr:uid="{00000000-0005-0000-0000-0000E17A0000}"/>
    <cellStyle name="Normal 5 10 2 13 2 2" xfId="31458" xr:uid="{00000000-0005-0000-0000-0000E27A0000}"/>
    <cellStyle name="Normal 5 10 2 13 2 3" xfId="31459" xr:uid="{00000000-0005-0000-0000-0000E37A0000}"/>
    <cellStyle name="Normal 5 10 2 13 2 4" xfId="31460" xr:uid="{00000000-0005-0000-0000-0000E47A0000}"/>
    <cellStyle name="Normal 5 10 2 13 2 5" xfId="31461" xr:uid="{00000000-0005-0000-0000-0000E57A0000}"/>
    <cellStyle name="Normal 5 10 2 13 2 6" xfId="31462" xr:uid="{00000000-0005-0000-0000-0000E67A0000}"/>
    <cellStyle name="Normal 5 10 2 13 2 7" xfId="31463" xr:uid="{00000000-0005-0000-0000-0000E77A0000}"/>
    <cellStyle name="Normal 5 10 2 13 2 8" xfId="31464" xr:uid="{00000000-0005-0000-0000-0000E87A0000}"/>
    <cellStyle name="Normal 5 10 2 13 2 9" xfId="31465" xr:uid="{00000000-0005-0000-0000-0000E97A0000}"/>
    <cellStyle name="Normal 5 10 2 13 3" xfId="31466" xr:uid="{00000000-0005-0000-0000-0000EA7A0000}"/>
    <cellStyle name="Normal 5 10 2 13 3 10" xfId="31467" xr:uid="{00000000-0005-0000-0000-0000EB7A0000}"/>
    <cellStyle name="Normal 5 10 2 13 3 2" xfId="31468" xr:uid="{00000000-0005-0000-0000-0000EC7A0000}"/>
    <cellStyle name="Normal 5 10 2 13 3 3" xfId="31469" xr:uid="{00000000-0005-0000-0000-0000ED7A0000}"/>
    <cellStyle name="Normal 5 10 2 13 3 4" xfId="31470" xr:uid="{00000000-0005-0000-0000-0000EE7A0000}"/>
    <cellStyle name="Normal 5 10 2 13 3 5" xfId="31471" xr:uid="{00000000-0005-0000-0000-0000EF7A0000}"/>
    <cellStyle name="Normal 5 10 2 13 3 6" xfId="31472" xr:uid="{00000000-0005-0000-0000-0000F07A0000}"/>
    <cellStyle name="Normal 5 10 2 13 3 7" xfId="31473" xr:uid="{00000000-0005-0000-0000-0000F17A0000}"/>
    <cellStyle name="Normal 5 10 2 13 3 8" xfId="31474" xr:uid="{00000000-0005-0000-0000-0000F27A0000}"/>
    <cellStyle name="Normal 5 10 2 13 3 9" xfId="31475" xr:uid="{00000000-0005-0000-0000-0000F37A0000}"/>
    <cellStyle name="Normal 5 10 2 13 4" xfId="31476" xr:uid="{00000000-0005-0000-0000-0000F47A0000}"/>
    <cellStyle name="Normal 5 10 2 13 4 10" xfId="31477" xr:uid="{00000000-0005-0000-0000-0000F57A0000}"/>
    <cellStyle name="Normal 5 10 2 13 4 2" xfId="31478" xr:uid="{00000000-0005-0000-0000-0000F67A0000}"/>
    <cellStyle name="Normal 5 10 2 13 4 3" xfId="31479" xr:uid="{00000000-0005-0000-0000-0000F77A0000}"/>
    <cellStyle name="Normal 5 10 2 13 4 4" xfId="31480" xr:uid="{00000000-0005-0000-0000-0000F87A0000}"/>
    <cellStyle name="Normal 5 10 2 13 4 5" xfId="31481" xr:uid="{00000000-0005-0000-0000-0000F97A0000}"/>
    <cellStyle name="Normal 5 10 2 13 4 6" xfId="31482" xr:uid="{00000000-0005-0000-0000-0000FA7A0000}"/>
    <cellStyle name="Normal 5 10 2 13 4 7" xfId="31483" xr:uid="{00000000-0005-0000-0000-0000FB7A0000}"/>
    <cellStyle name="Normal 5 10 2 13 4 8" xfId="31484" xr:uid="{00000000-0005-0000-0000-0000FC7A0000}"/>
    <cellStyle name="Normal 5 10 2 13 4 9" xfId="31485" xr:uid="{00000000-0005-0000-0000-0000FD7A0000}"/>
    <cellStyle name="Normal 5 10 2 13 5" xfId="31486" xr:uid="{00000000-0005-0000-0000-0000FE7A0000}"/>
    <cellStyle name="Normal 5 10 2 13 5 10" xfId="31487" xr:uid="{00000000-0005-0000-0000-0000FF7A0000}"/>
    <cellStyle name="Normal 5 10 2 13 5 2" xfId="31488" xr:uid="{00000000-0005-0000-0000-0000007B0000}"/>
    <cellStyle name="Normal 5 10 2 13 5 3" xfId="31489" xr:uid="{00000000-0005-0000-0000-0000017B0000}"/>
    <cellStyle name="Normal 5 10 2 13 5 4" xfId="31490" xr:uid="{00000000-0005-0000-0000-0000027B0000}"/>
    <cellStyle name="Normal 5 10 2 13 5 5" xfId="31491" xr:uid="{00000000-0005-0000-0000-0000037B0000}"/>
    <cellStyle name="Normal 5 10 2 13 5 6" xfId="31492" xr:uid="{00000000-0005-0000-0000-0000047B0000}"/>
    <cellStyle name="Normal 5 10 2 13 5 7" xfId="31493" xr:uid="{00000000-0005-0000-0000-0000057B0000}"/>
    <cellStyle name="Normal 5 10 2 13 5 8" xfId="31494" xr:uid="{00000000-0005-0000-0000-0000067B0000}"/>
    <cellStyle name="Normal 5 10 2 13 5 9" xfId="31495" xr:uid="{00000000-0005-0000-0000-0000077B0000}"/>
    <cellStyle name="Normal 5 10 2 13 6" xfId="31496" xr:uid="{00000000-0005-0000-0000-0000087B0000}"/>
    <cellStyle name="Normal 5 10 2 13 7" xfId="31497" xr:uid="{00000000-0005-0000-0000-0000097B0000}"/>
    <cellStyle name="Normal 5 10 2 13 8" xfId="31498" xr:uid="{00000000-0005-0000-0000-00000A7B0000}"/>
    <cellStyle name="Normal 5 10 2 13 9" xfId="31499" xr:uid="{00000000-0005-0000-0000-00000B7B0000}"/>
    <cellStyle name="Normal 5 10 2 14" xfId="31500" xr:uid="{00000000-0005-0000-0000-00000C7B0000}"/>
    <cellStyle name="Normal 5 10 2 14 10" xfId="31501" xr:uid="{00000000-0005-0000-0000-00000D7B0000}"/>
    <cellStyle name="Normal 5 10 2 14 11" xfId="31502" xr:uid="{00000000-0005-0000-0000-00000E7B0000}"/>
    <cellStyle name="Normal 5 10 2 14 12" xfId="31503" xr:uid="{00000000-0005-0000-0000-00000F7B0000}"/>
    <cellStyle name="Normal 5 10 2 14 13" xfId="31504" xr:uid="{00000000-0005-0000-0000-0000107B0000}"/>
    <cellStyle name="Normal 5 10 2 14 14" xfId="31505" xr:uid="{00000000-0005-0000-0000-0000117B0000}"/>
    <cellStyle name="Normal 5 10 2 14 2" xfId="31506" xr:uid="{00000000-0005-0000-0000-0000127B0000}"/>
    <cellStyle name="Normal 5 10 2 14 2 10" xfId="31507" xr:uid="{00000000-0005-0000-0000-0000137B0000}"/>
    <cellStyle name="Normal 5 10 2 14 2 2" xfId="31508" xr:uid="{00000000-0005-0000-0000-0000147B0000}"/>
    <cellStyle name="Normal 5 10 2 14 2 3" xfId="31509" xr:uid="{00000000-0005-0000-0000-0000157B0000}"/>
    <cellStyle name="Normal 5 10 2 14 2 4" xfId="31510" xr:uid="{00000000-0005-0000-0000-0000167B0000}"/>
    <cellStyle name="Normal 5 10 2 14 2 5" xfId="31511" xr:uid="{00000000-0005-0000-0000-0000177B0000}"/>
    <cellStyle name="Normal 5 10 2 14 2 6" xfId="31512" xr:uid="{00000000-0005-0000-0000-0000187B0000}"/>
    <cellStyle name="Normal 5 10 2 14 2 7" xfId="31513" xr:uid="{00000000-0005-0000-0000-0000197B0000}"/>
    <cellStyle name="Normal 5 10 2 14 2 8" xfId="31514" xr:uid="{00000000-0005-0000-0000-00001A7B0000}"/>
    <cellStyle name="Normal 5 10 2 14 2 9" xfId="31515" xr:uid="{00000000-0005-0000-0000-00001B7B0000}"/>
    <cellStyle name="Normal 5 10 2 14 3" xfId="31516" xr:uid="{00000000-0005-0000-0000-00001C7B0000}"/>
    <cellStyle name="Normal 5 10 2 14 3 10" xfId="31517" xr:uid="{00000000-0005-0000-0000-00001D7B0000}"/>
    <cellStyle name="Normal 5 10 2 14 3 2" xfId="31518" xr:uid="{00000000-0005-0000-0000-00001E7B0000}"/>
    <cellStyle name="Normal 5 10 2 14 3 3" xfId="31519" xr:uid="{00000000-0005-0000-0000-00001F7B0000}"/>
    <cellStyle name="Normal 5 10 2 14 3 4" xfId="31520" xr:uid="{00000000-0005-0000-0000-0000207B0000}"/>
    <cellStyle name="Normal 5 10 2 14 3 5" xfId="31521" xr:uid="{00000000-0005-0000-0000-0000217B0000}"/>
    <cellStyle name="Normal 5 10 2 14 3 6" xfId="31522" xr:uid="{00000000-0005-0000-0000-0000227B0000}"/>
    <cellStyle name="Normal 5 10 2 14 3 7" xfId="31523" xr:uid="{00000000-0005-0000-0000-0000237B0000}"/>
    <cellStyle name="Normal 5 10 2 14 3 8" xfId="31524" xr:uid="{00000000-0005-0000-0000-0000247B0000}"/>
    <cellStyle name="Normal 5 10 2 14 3 9" xfId="31525" xr:uid="{00000000-0005-0000-0000-0000257B0000}"/>
    <cellStyle name="Normal 5 10 2 14 4" xfId="31526" xr:uid="{00000000-0005-0000-0000-0000267B0000}"/>
    <cellStyle name="Normal 5 10 2 14 4 10" xfId="31527" xr:uid="{00000000-0005-0000-0000-0000277B0000}"/>
    <cellStyle name="Normal 5 10 2 14 4 2" xfId="31528" xr:uid="{00000000-0005-0000-0000-0000287B0000}"/>
    <cellStyle name="Normal 5 10 2 14 4 3" xfId="31529" xr:uid="{00000000-0005-0000-0000-0000297B0000}"/>
    <cellStyle name="Normal 5 10 2 14 4 4" xfId="31530" xr:uid="{00000000-0005-0000-0000-00002A7B0000}"/>
    <cellStyle name="Normal 5 10 2 14 4 5" xfId="31531" xr:uid="{00000000-0005-0000-0000-00002B7B0000}"/>
    <cellStyle name="Normal 5 10 2 14 4 6" xfId="31532" xr:uid="{00000000-0005-0000-0000-00002C7B0000}"/>
    <cellStyle name="Normal 5 10 2 14 4 7" xfId="31533" xr:uid="{00000000-0005-0000-0000-00002D7B0000}"/>
    <cellStyle name="Normal 5 10 2 14 4 8" xfId="31534" xr:uid="{00000000-0005-0000-0000-00002E7B0000}"/>
    <cellStyle name="Normal 5 10 2 14 4 9" xfId="31535" xr:uid="{00000000-0005-0000-0000-00002F7B0000}"/>
    <cellStyle name="Normal 5 10 2 14 5" xfId="31536" xr:uid="{00000000-0005-0000-0000-0000307B0000}"/>
    <cellStyle name="Normal 5 10 2 14 5 10" xfId="31537" xr:uid="{00000000-0005-0000-0000-0000317B0000}"/>
    <cellStyle name="Normal 5 10 2 14 5 2" xfId="31538" xr:uid="{00000000-0005-0000-0000-0000327B0000}"/>
    <cellStyle name="Normal 5 10 2 14 5 3" xfId="31539" xr:uid="{00000000-0005-0000-0000-0000337B0000}"/>
    <cellStyle name="Normal 5 10 2 14 5 4" xfId="31540" xr:uid="{00000000-0005-0000-0000-0000347B0000}"/>
    <cellStyle name="Normal 5 10 2 14 5 5" xfId="31541" xr:uid="{00000000-0005-0000-0000-0000357B0000}"/>
    <cellStyle name="Normal 5 10 2 14 5 6" xfId="31542" xr:uid="{00000000-0005-0000-0000-0000367B0000}"/>
    <cellStyle name="Normal 5 10 2 14 5 7" xfId="31543" xr:uid="{00000000-0005-0000-0000-0000377B0000}"/>
    <cellStyle name="Normal 5 10 2 14 5 8" xfId="31544" xr:uid="{00000000-0005-0000-0000-0000387B0000}"/>
    <cellStyle name="Normal 5 10 2 14 5 9" xfId="31545" xr:uid="{00000000-0005-0000-0000-0000397B0000}"/>
    <cellStyle name="Normal 5 10 2 14 6" xfId="31546" xr:uid="{00000000-0005-0000-0000-00003A7B0000}"/>
    <cellStyle name="Normal 5 10 2 14 7" xfId="31547" xr:uid="{00000000-0005-0000-0000-00003B7B0000}"/>
    <cellStyle name="Normal 5 10 2 14 8" xfId="31548" xr:uid="{00000000-0005-0000-0000-00003C7B0000}"/>
    <cellStyle name="Normal 5 10 2 14 9" xfId="31549" xr:uid="{00000000-0005-0000-0000-00003D7B0000}"/>
    <cellStyle name="Normal 5 10 2 15" xfId="31550" xr:uid="{00000000-0005-0000-0000-00003E7B0000}"/>
    <cellStyle name="Normal 5 10 2 15 10" xfId="31551" xr:uid="{00000000-0005-0000-0000-00003F7B0000}"/>
    <cellStyle name="Normal 5 10 2 15 11" xfId="31552" xr:uid="{00000000-0005-0000-0000-0000407B0000}"/>
    <cellStyle name="Normal 5 10 2 15 12" xfId="31553" xr:uid="{00000000-0005-0000-0000-0000417B0000}"/>
    <cellStyle name="Normal 5 10 2 15 13" xfId="31554" xr:uid="{00000000-0005-0000-0000-0000427B0000}"/>
    <cellStyle name="Normal 5 10 2 15 14" xfId="31555" xr:uid="{00000000-0005-0000-0000-0000437B0000}"/>
    <cellStyle name="Normal 5 10 2 15 2" xfId="31556" xr:uid="{00000000-0005-0000-0000-0000447B0000}"/>
    <cellStyle name="Normal 5 10 2 15 2 10" xfId="31557" xr:uid="{00000000-0005-0000-0000-0000457B0000}"/>
    <cellStyle name="Normal 5 10 2 15 2 2" xfId="31558" xr:uid="{00000000-0005-0000-0000-0000467B0000}"/>
    <cellStyle name="Normal 5 10 2 15 2 3" xfId="31559" xr:uid="{00000000-0005-0000-0000-0000477B0000}"/>
    <cellStyle name="Normal 5 10 2 15 2 4" xfId="31560" xr:uid="{00000000-0005-0000-0000-0000487B0000}"/>
    <cellStyle name="Normal 5 10 2 15 2 5" xfId="31561" xr:uid="{00000000-0005-0000-0000-0000497B0000}"/>
    <cellStyle name="Normal 5 10 2 15 2 6" xfId="31562" xr:uid="{00000000-0005-0000-0000-00004A7B0000}"/>
    <cellStyle name="Normal 5 10 2 15 2 7" xfId="31563" xr:uid="{00000000-0005-0000-0000-00004B7B0000}"/>
    <cellStyle name="Normal 5 10 2 15 2 8" xfId="31564" xr:uid="{00000000-0005-0000-0000-00004C7B0000}"/>
    <cellStyle name="Normal 5 10 2 15 2 9" xfId="31565" xr:uid="{00000000-0005-0000-0000-00004D7B0000}"/>
    <cellStyle name="Normal 5 10 2 15 3" xfId="31566" xr:uid="{00000000-0005-0000-0000-00004E7B0000}"/>
    <cellStyle name="Normal 5 10 2 15 3 10" xfId="31567" xr:uid="{00000000-0005-0000-0000-00004F7B0000}"/>
    <cellStyle name="Normal 5 10 2 15 3 2" xfId="31568" xr:uid="{00000000-0005-0000-0000-0000507B0000}"/>
    <cellStyle name="Normal 5 10 2 15 3 3" xfId="31569" xr:uid="{00000000-0005-0000-0000-0000517B0000}"/>
    <cellStyle name="Normal 5 10 2 15 3 4" xfId="31570" xr:uid="{00000000-0005-0000-0000-0000527B0000}"/>
    <cellStyle name="Normal 5 10 2 15 3 5" xfId="31571" xr:uid="{00000000-0005-0000-0000-0000537B0000}"/>
    <cellStyle name="Normal 5 10 2 15 3 6" xfId="31572" xr:uid="{00000000-0005-0000-0000-0000547B0000}"/>
    <cellStyle name="Normal 5 10 2 15 3 7" xfId="31573" xr:uid="{00000000-0005-0000-0000-0000557B0000}"/>
    <cellStyle name="Normal 5 10 2 15 3 8" xfId="31574" xr:uid="{00000000-0005-0000-0000-0000567B0000}"/>
    <cellStyle name="Normal 5 10 2 15 3 9" xfId="31575" xr:uid="{00000000-0005-0000-0000-0000577B0000}"/>
    <cellStyle name="Normal 5 10 2 15 4" xfId="31576" xr:uid="{00000000-0005-0000-0000-0000587B0000}"/>
    <cellStyle name="Normal 5 10 2 15 4 10" xfId="31577" xr:uid="{00000000-0005-0000-0000-0000597B0000}"/>
    <cellStyle name="Normal 5 10 2 15 4 2" xfId="31578" xr:uid="{00000000-0005-0000-0000-00005A7B0000}"/>
    <cellStyle name="Normal 5 10 2 15 4 3" xfId="31579" xr:uid="{00000000-0005-0000-0000-00005B7B0000}"/>
    <cellStyle name="Normal 5 10 2 15 4 4" xfId="31580" xr:uid="{00000000-0005-0000-0000-00005C7B0000}"/>
    <cellStyle name="Normal 5 10 2 15 4 5" xfId="31581" xr:uid="{00000000-0005-0000-0000-00005D7B0000}"/>
    <cellStyle name="Normal 5 10 2 15 4 6" xfId="31582" xr:uid="{00000000-0005-0000-0000-00005E7B0000}"/>
    <cellStyle name="Normal 5 10 2 15 4 7" xfId="31583" xr:uid="{00000000-0005-0000-0000-00005F7B0000}"/>
    <cellStyle name="Normal 5 10 2 15 4 8" xfId="31584" xr:uid="{00000000-0005-0000-0000-0000607B0000}"/>
    <cellStyle name="Normal 5 10 2 15 4 9" xfId="31585" xr:uid="{00000000-0005-0000-0000-0000617B0000}"/>
    <cellStyle name="Normal 5 10 2 15 5" xfId="31586" xr:uid="{00000000-0005-0000-0000-0000627B0000}"/>
    <cellStyle name="Normal 5 10 2 15 5 10" xfId="31587" xr:uid="{00000000-0005-0000-0000-0000637B0000}"/>
    <cellStyle name="Normal 5 10 2 15 5 2" xfId="31588" xr:uid="{00000000-0005-0000-0000-0000647B0000}"/>
    <cellStyle name="Normal 5 10 2 15 5 3" xfId="31589" xr:uid="{00000000-0005-0000-0000-0000657B0000}"/>
    <cellStyle name="Normal 5 10 2 15 5 4" xfId="31590" xr:uid="{00000000-0005-0000-0000-0000667B0000}"/>
    <cellStyle name="Normal 5 10 2 15 5 5" xfId="31591" xr:uid="{00000000-0005-0000-0000-0000677B0000}"/>
    <cellStyle name="Normal 5 10 2 15 5 6" xfId="31592" xr:uid="{00000000-0005-0000-0000-0000687B0000}"/>
    <cellStyle name="Normal 5 10 2 15 5 7" xfId="31593" xr:uid="{00000000-0005-0000-0000-0000697B0000}"/>
    <cellStyle name="Normal 5 10 2 15 5 8" xfId="31594" xr:uid="{00000000-0005-0000-0000-00006A7B0000}"/>
    <cellStyle name="Normal 5 10 2 15 5 9" xfId="31595" xr:uid="{00000000-0005-0000-0000-00006B7B0000}"/>
    <cellStyle name="Normal 5 10 2 15 6" xfId="31596" xr:uid="{00000000-0005-0000-0000-00006C7B0000}"/>
    <cellStyle name="Normal 5 10 2 15 7" xfId="31597" xr:uid="{00000000-0005-0000-0000-00006D7B0000}"/>
    <cellStyle name="Normal 5 10 2 15 8" xfId="31598" xr:uid="{00000000-0005-0000-0000-00006E7B0000}"/>
    <cellStyle name="Normal 5 10 2 15 9" xfId="31599" xr:uid="{00000000-0005-0000-0000-00006F7B0000}"/>
    <cellStyle name="Normal 5 10 2 16" xfId="31600" xr:uid="{00000000-0005-0000-0000-0000707B0000}"/>
    <cellStyle name="Normal 5 10 2 16 10" xfId="31601" xr:uid="{00000000-0005-0000-0000-0000717B0000}"/>
    <cellStyle name="Normal 5 10 2 16 11" xfId="31602" xr:uid="{00000000-0005-0000-0000-0000727B0000}"/>
    <cellStyle name="Normal 5 10 2 16 12" xfId="31603" xr:uid="{00000000-0005-0000-0000-0000737B0000}"/>
    <cellStyle name="Normal 5 10 2 16 13" xfId="31604" xr:uid="{00000000-0005-0000-0000-0000747B0000}"/>
    <cellStyle name="Normal 5 10 2 16 14" xfId="31605" xr:uid="{00000000-0005-0000-0000-0000757B0000}"/>
    <cellStyle name="Normal 5 10 2 16 2" xfId="31606" xr:uid="{00000000-0005-0000-0000-0000767B0000}"/>
    <cellStyle name="Normal 5 10 2 16 2 10" xfId="31607" xr:uid="{00000000-0005-0000-0000-0000777B0000}"/>
    <cellStyle name="Normal 5 10 2 16 2 2" xfId="31608" xr:uid="{00000000-0005-0000-0000-0000787B0000}"/>
    <cellStyle name="Normal 5 10 2 16 2 3" xfId="31609" xr:uid="{00000000-0005-0000-0000-0000797B0000}"/>
    <cellStyle name="Normal 5 10 2 16 2 4" xfId="31610" xr:uid="{00000000-0005-0000-0000-00007A7B0000}"/>
    <cellStyle name="Normal 5 10 2 16 2 5" xfId="31611" xr:uid="{00000000-0005-0000-0000-00007B7B0000}"/>
    <cellStyle name="Normal 5 10 2 16 2 6" xfId="31612" xr:uid="{00000000-0005-0000-0000-00007C7B0000}"/>
    <cellStyle name="Normal 5 10 2 16 2 7" xfId="31613" xr:uid="{00000000-0005-0000-0000-00007D7B0000}"/>
    <cellStyle name="Normal 5 10 2 16 2 8" xfId="31614" xr:uid="{00000000-0005-0000-0000-00007E7B0000}"/>
    <cellStyle name="Normal 5 10 2 16 2 9" xfId="31615" xr:uid="{00000000-0005-0000-0000-00007F7B0000}"/>
    <cellStyle name="Normal 5 10 2 16 3" xfId="31616" xr:uid="{00000000-0005-0000-0000-0000807B0000}"/>
    <cellStyle name="Normal 5 10 2 16 3 10" xfId="31617" xr:uid="{00000000-0005-0000-0000-0000817B0000}"/>
    <cellStyle name="Normal 5 10 2 16 3 2" xfId="31618" xr:uid="{00000000-0005-0000-0000-0000827B0000}"/>
    <cellStyle name="Normal 5 10 2 16 3 3" xfId="31619" xr:uid="{00000000-0005-0000-0000-0000837B0000}"/>
    <cellStyle name="Normal 5 10 2 16 3 4" xfId="31620" xr:uid="{00000000-0005-0000-0000-0000847B0000}"/>
    <cellStyle name="Normal 5 10 2 16 3 5" xfId="31621" xr:uid="{00000000-0005-0000-0000-0000857B0000}"/>
    <cellStyle name="Normal 5 10 2 16 3 6" xfId="31622" xr:uid="{00000000-0005-0000-0000-0000867B0000}"/>
    <cellStyle name="Normal 5 10 2 16 3 7" xfId="31623" xr:uid="{00000000-0005-0000-0000-0000877B0000}"/>
    <cellStyle name="Normal 5 10 2 16 3 8" xfId="31624" xr:uid="{00000000-0005-0000-0000-0000887B0000}"/>
    <cellStyle name="Normal 5 10 2 16 3 9" xfId="31625" xr:uid="{00000000-0005-0000-0000-0000897B0000}"/>
    <cellStyle name="Normal 5 10 2 16 4" xfId="31626" xr:uid="{00000000-0005-0000-0000-00008A7B0000}"/>
    <cellStyle name="Normal 5 10 2 16 4 10" xfId="31627" xr:uid="{00000000-0005-0000-0000-00008B7B0000}"/>
    <cellStyle name="Normal 5 10 2 16 4 2" xfId="31628" xr:uid="{00000000-0005-0000-0000-00008C7B0000}"/>
    <cellStyle name="Normal 5 10 2 16 4 3" xfId="31629" xr:uid="{00000000-0005-0000-0000-00008D7B0000}"/>
    <cellStyle name="Normal 5 10 2 16 4 4" xfId="31630" xr:uid="{00000000-0005-0000-0000-00008E7B0000}"/>
    <cellStyle name="Normal 5 10 2 16 4 5" xfId="31631" xr:uid="{00000000-0005-0000-0000-00008F7B0000}"/>
    <cellStyle name="Normal 5 10 2 16 4 6" xfId="31632" xr:uid="{00000000-0005-0000-0000-0000907B0000}"/>
    <cellStyle name="Normal 5 10 2 16 4 7" xfId="31633" xr:uid="{00000000-0005-0000-0000-0000917B0000}"/>
    <cellStyle name="Normal 5 10 2 16 4 8" xfId="31634" xr:uid="{00000000-0005-0000-0000-0000927B0000}"/>
    <cellStyle name="Normal 5 10 2 16 4 9" xfId="31635" xr:uid="{00000000-0005-0000-0000-0000937B0000}"/>
    <cellStyle name="Normal 5 10 2 16 5" xfId="31636" xr:uid="{00000000-0005-0000-0000-0000947B0000}"/>
    <cellStyle name="Normal 5 10 2 16 5 10" xfId="31637" xr:uid="{00000000-0005-0000-0000-0000957B0000}"/>
    <cellStyle name="Normal 5 10 2 16 5 2" xfId="31638" xr:uid="{00000000-0005-0000-0000-0000967B0000}"/>
    <cellStyle name="Normal 5 10 2 16 5 3" xfId="31639" xr:uid="{00000000-0005-0000-0000-0000977B0000}"/>
    <cellStyle name="Normal 5 10 2 16 5 4" xfId="31640" xr:uid="{00000000-0005-0000-0000-0000987B0000}"/>
    <cellStyle name="Normal 5 10 2 16 5 5" xfId="31641" xr:uid="{00000000-0005-0000-0000-0000997B0000}"/>
    <cellStyle name="Normal 5 10 2 16 5 6" xfId="31642" xr:uid="{00000000-0005-0000-0000-00009A7B0000}"/>
    <cellStyle name="Normal 5 10 2 16 5 7" xfId="31643" xr:uid="{00000000-0005-0000-0000-00009B7B0000}"/>
    <cellStyle name="Normal 5 10 2 16 5 8" xfId="31644" xr:uid="{00000000-0005-0000-0000-00009C7B0000}"/>
    <cellStyle name="Normal 5 10 2 16 5 9" xfId="31645" xr:uid="{00000000-0005-0000-0000-00009D7B0000}"/>
    <cellStyle name="Normal 5 10 2 16 6" xfId="31646" xr:uid="{00000000-0005-0000-0000-00009E7B0000}"/>
    <cellStyle name="Normal 5 10 2 16 7" xfId="31647" xr:uid="{00000000-0005-0000-0000-00009F7B0000}"/>
    <cellStyle name="Normal 5 10 2 16 8" xfId="31648" xr:uid="{00000000-0005-0000-0000-0000A07B0000}"/>
    <cellStyle name="Normal 5 10 2 16 9" xfId="31649" xr:uid="{00000000-0005-0000-0000-0000A17B0000}"/>
    <cellStyle name="Normal 5 10 2 17" xfId="31650" xr:uid="{00000000-0005-0000-0000-0000A27B0000}"/>
    <cellStyle name="Normal 5 10 2 17 10" xfId="31651" xr:uid="{00000000-0005-0000-0000-0000A37B0000}"/>
    <cellStyle name="Normal 5 10 2 17 11" xfId="31652" xr:uid="{00000000-0005-0000-0000-0000A47B0000}"/>
    <cellStyle name="Normal 5 10 2 17 12" xfId="31653" xr:uid="{00000000-0005-0000-0000-0000A57B0000}"/>
    <cellStyle name="Normal 5 10 2 17 13" xfId="31654" xr:uid="{00000000-0005-0000-0000-0000A67B0000}"/>
    <cellStyle name="Normal 5 10 2 17 14" xfId="31655" xr:uid="{00000000-0005-0000-0000-0000A77B0000}"/>
    <cellStyle name="Normal 5 10 2 17 2" xfId="31656" xr:uid="{00000000-0005-0000-0000-0000A87B0000}"/>
    <cellStyle name="Normal 5 10 2 17 2 10" xfId="31657" xr:uid="{00000000-0005-0000-0000-0000A97B0000}"/>
    <cellStyle name="Normal 5 10 2 17 2 2" xfId="31658" xr:uid="{00000000-0005-0000-0000-0000AA7B0000}"/>
    <cellStyle name="Normal 5 10 2 17 2 3" xfId="31659" xr:uid="{00000000-0005-0000-0000-0000AB7B0000}"/>
    <cellStyle name="Normal 5 10 2 17 2 4" xfId="31660" xr:uid="{00000000-0005-0000-0000-0000AC7B0000}"/>
    <cellStyle name="Normal 5 10 2 17 2 5" xfId="31661" xr:uid="{00000000-0005-0000-0000-0000AD7B0000}"/>
    <cellStyle name="Normal 5 10 2 17 2 6" xfId="31662" xr:uid="{00000000-0005-0000-0000-0000AE7B0000}"/>
    <cellStyle name="Normal 5 10 2 17 2 7" xfId="31663" xr:uid="{00000000-0005-0000-0000-0000AF7B0000}"/>
    <cellStyle name="Normal 5 10 2 17 2 8" xfId="31664" xr:uid="{00000000-0005-0000-0000-0000B07B0000}"/>
    <cellStyle name="Normal 5 10 2 17 2 9" xfId="31665" xr:uid="{00000000-0005-0000-0000-0000B17B0000}"/>
    <cellStyle name="Normal 5 10 2 17 3" xfId="31666" xr:uid="{00000000-0005-0000-0000-0000B27B0000}"/>
    <cellStyle name="Normal 5 10 2 17 3 10" xfId="31667" xr:uid="{00000000-0005-0000-0000-0000B37B0000}"/>
    <cellStyle name="Normal 5 10 2 17 3 2" xfId="31668" xr:uid="{00000000-0005-0000-0000-0000B47B0000}"/>
    <cellStyle name="Normal 5 10 2 17 3 3" xfId="31669" xr:uid="{00000000-0005-0000-0000-0000B57B0000}"/>
    <cellStyle name="Normal 5 10 2 17 3 4" xfId="31670" xr:uid="{00000000-0005-0000-0000-0000B67B0000}"/>
    <cellStyle name="Normal 5 10 2 17 3 5" xfId="31671" xr:uid="{00000000-0005-0000-0000-0000B77B0000}"/>
    <cellStyle name="Normal 5 10 2 17 3 6" xfId="31672" xr:uid="{00000000-0005-0000-0000-0000B87B0000}"/>
    <cellStyle name="Normal 5 10 2 17 3 7" xfId="31673" xr:uid="{00000000-0005-0000-0000-0000B97B0000}"/>
    <cellStyle name="Normal 5 10 2 17 3 8" xfId="31674" xr:uid="{00000000-0005-0000-0000-0000BA7B0000}"/>
    <cellStyle name="Normal 5 10 2 17 3 9" xfId="31675" xr:uid="{00000000-0005-0000-0000-0000BB7B0000}"/>
    <cellStyle name="Normal 5 10 2 17 4" xfId="31676" xr:uid="{00000000-0005-0000-0000-0000BC7B0000}"/>
    <cellStyle name="Normal 5 10 2 17 4 10" xfId="31677" xr:uid="{00000000-0005-0000-0000-0000BD7B0000}"/>
    <cellStyle name="Normal 5 10 2 17 4 2" xfId="31678" xr:uid="{00000000-0005-0000-0000-0000BE7B0000}"/>
    <cellStyle name="Normal 5 10 2 17 4 3" xfId="31679" xr:uid="{00000000-0005-0000-0000-0000BF7B0000}"/>
    <cellStyle name="Normal 5 10 2 17 4 4" xfId="31680" xr:uid="{00000000-0005-0000-0000-0000C07B0000}"/>
    <cellStyle name="Normal 5 10 2 17 4 5" xfId="31681" xr:uid="{00000000-0005-0000-0000-0000C17B0000}"/>
    <cellStyle name="Normal 5 10 2 17 4 6" xfId="31682" xr:uid="{00000000-0005-0000-0000-0000C27B0000}"/>
    <cellStyle name="Normal 5 10 2 17 4 7" xfId="31683" xr:uid="{00000000-0005-0000-0000-0000C37B0000}"/>
    <cellStyle name="Normal 5 10 2 17 4 8" xfId="31684" xr:uid="{00000000-0005-0000-0000-0000C47B0000}"/>
    <cellStyle name="Normal 5 10 2 17 4 9" xfId="31685" xr:uid="{00000000-0005-0000-0000-0000C57B0000}"/>
    <cellStyle name="Normal 5 10 2 17 5" xfId="31686" xr:uid="{00000000-0005-0000-0000-0000C67B0000}"/>
    <cellStyle name="Normal 5 10 2 17 5 10" xfId="31687" xr:uid="{00000000-0005-0000-0000-0000C77B0000}"/>
    <cellStyle name="Normal 5 10 2 17 5 2" xfId="31688" xr:uid="{00000000-0005-0000-0000-0000C87B0000}"/>
    <cellStyle name="Normal 5 10 2 17 5 3" xfId="31689" xr:uid="{00000000-0005-0000-0000-0000C97B0000}"/>
    <cellStyle name="Normal 5 10 2 17 5 4" xfId="31690" xr:uid="{00000000-0005-0000-0000-0000CA7B0000}"/>
    <cellStyle name="Normal 5 10 2 17 5 5" xfId="31691" xr:uid="{00000000-0005-0000-0000-0000CB7B0000}"/>
    <cellStyle name="Normal 5 10 2 17 5 6" xfId="31692" xr:uid="{00000000-0005-0000-0000-0000CC7B0000}"/>
    <cellStyle name="Normal 5 10 2 17 5 7" xfId="31693" xr:uid="{00000000-0005-0000-0000-0000CD7B0000}"/>
    <cellStyle name="Normal 5 10 2 17 5 8" xfId="31694" xr:uid="{00000000-0005-0000-0000-0000CE7B0000}"/>
    <cellStyle name="Normal 5 10 2 17 5 9" xfId="31695" xr:uid="{00000000-0005-0000-0000-0000CF7B0000}"/>
    <cellStyle name="Normal 5 10 2 17 6" xfId="31696" xr:uid="{00000000-0005-0000-0000-0000D07B0000}"/>
    <cellStyle name="Normal 5 10 2 17 7" xfId="31697" xr:uid="{00000000-0005-0000-0000-0000D17B0000}"/>
    <cellStyle name="Normal 5 10 2 17 8" xfId="31698" xr:uid="{00000000-0005-0000-0000-0000D27B0000}"/>
    <cellStyle name="Normal 5 10 2 17 9" xfId="31699" xr:uid="{00000000-0005-0000-0000-0000D37B0000}"/>
    <cellStyle name="Normal 5 10 2 18" xfId="31700" xr:uid="{00000000-0005-0000-0000-0000D47B0000}"/>
    <cellStyle name="Normal 5 10 2 18 10" xfId="31701" xr:uid="{00000000-0005-0000-0000-0000D57B0000}"/>
    <cellStyle name="Normal 5 10 2 18 11" xfId="31702" xr:uid="{00000000-0005-0000-0000-0000D67B0000}"/>
    <cellStyle name="Normal 5 10 2 18 12" xfId="31703" xr:uid="{00000000-0005-0000-0000-0000D77B0000}"/>
    <cellStyle name="Normal 5 10 2 18 13" xfId="31704" xr:uid="{00000000-0005-0000-0000-0000D87B0000}"/>
    <cellStyle name="Normal 5 10 2 18 14" xfId="31705" xr:uid="{00000000-0005-0000-0000-0000D97B0000}"/>
    <cellStyle name="Normal 5 10 2 18 2" xfId="31706" xr:uid="{00000000-0005-0000-0000-0000DA7B0000}"/>
    <cellStyle name="Normal 5 10 2 18 2 10" xfId="31707" xr:uid="{00000000-0005-0000-0000-0000DB7B0000}"/>
    <cellStyle name="Normal 5 10 2 18 2 2" xfId="31708" xr:uid="{00000000-0005-0000-0000-0000DC7B0000}"/>
    <cellStyle name="Normal 5 10 2 18 2 3" xfId="31709" xr:uid="{00000000-0005-0000-0000-0000DD7B0000}"/>
    <cellStyle name="Normal 5 10 2 18 2 4" xfId="31710" xr:uid="{00000000-0005-0000-0000-0000DE7B0000}"/>
    <cellStyle name="Normal 5 10 2 18 2 5" xfId="31711" xr:uid="{00000000-0005-0000-0000-0000DF7B0000}"/>
    <cellStyle name="Normal 5 10 2 18 2 6" xfId="31712" xr:uid="{00000000-0005-0000-0000-0000E07B0000}"/>
    <cellStyle name="Normal 5 10 2 18 2 7" xfId="31713" xr:uid="{00000000-0005-0000-0000-0000E17B0000}"/>
    <cellStyle name="Normal 5 10 2 18 2 8" xfId="31714" xr:uid="{00000000-0005-0000-0000-0000E27B0000}"/>
    <cellStyle name="Normal 5 10 2 18 2 9" xfId="31715" xr:uid="{00000000-0005-0000-0000-0000E37B0000}"/>
    <cellStyle name="Normal 5 10 2 18 3" xfId="31716" xr:uid="{00000000-0005-0000-0000-0000E47B0000}"/>
    <cellStyle name="Normal 5 10 2 18 3 10" xfId="31717" xr:uid="{00000000-0005-0000-0000-0000E57B0000}"/>
    <cellStyle name="Normal 5 10 2 18 3 2" xfId="31718" xr:uid="{00000000-0005-0000-0000-0000E67B0000}"/>
    <cellStyle name="Normal 5 10 2 18 3 3" xfId="31719" xr:uid="{00000000-0005-0000-0000-0000E77B0000}"/>
    <cellStyle name="Normal 5 10 2 18 3 4" xfId="31720" xr:uid="{00000000-0005-0000-0000-0000E87B0000}"/>
    <cellStyle name="Normal 5 10 2 18 3 5" xfId="31721" xr:uid="{00000000-0005-0000-0000-0000E97B0000}"/>
    <cellStyle name="Normal 5 10 2 18 3 6" xfId="31722" xr:uid="{00000000-0005-0000-0000-0000EA7B0000}"/>
    <cellStyle name="Normal 5 10 2 18 3 7" xfId="31723" xr:uid="{00000000-0005-0000-0000-0000EB7B0000}"/>
    <cellStyle name="Normal 5 10 2 18 3 8" xfId="31724" xr:uid="{00000000-0005-0000-0000-0000EC7B0000}"/>
    <cellStyle name="Normal 5 10 2 18 3 9" xfId="31725" xr:uid="{00000000-0005-0000-0000-0000ED7B0000}"/>
    <cellStyle name="Normal 5 10 2 18 4" xfId="31726" xr:uid="{00000000-0005-0000-0000-0000EE7B0000}"/>
    <cellStyle name="Normal 5 10 2 18 4 10" xfId="31727" xr:uid="{00000000-0005-0000-0000-0000EF7B0000}"/>
    <cellStyle name="Normal 5 10 2 18 4 2" xfId="31728" xr:uid="{00000000-0005-0000-0000-0000F07B0000}"/>
    <cellStyle name="Normal 5 10 2 18 4 3" xfId="31729" xr:uid="{00000000-0005-0000-0000-0000F17B0000}"/>
    <cellStyle name="Normal 5 10 2 18 4 4" xfId="31730" xr:uid="{00000000-0005-0000-0000-0000F27B0000}"/>
    <cellStyle name="Normal 5 10 2 18 4 5" xfId="31731" xr:uid="{00000000-0005-0000-0000-0000F37B0000}"/>
    <cellStyle name="Normal 5 10 2 18 4 6" xfId="31732" xr:uid="{00000000-0005-0000-0000-0000F47B0000}"/>
    <cellStyle name="Normal 5 10 2 18 4 7" xfId="31733" xr:uid="{00000000-0005-0000-0000-0000F57B0000}"/>
    <cellStyle name="Normal 5 10 2 18 4 8" xfId="31734" xr:uid="{00000000-0005-0000-0000-0000F67B0000}"/>
    <cellStyle name="Normal 5 10 2 18 4 9" xfId="31735" xr:uid="{00000000-0005-0000-0000-0000F77B0000}"/>
    <cellStyle name="Normal 5 10 2 18 5" xfId="31736" xr:uid="{00000000-0005-0000-0000-0000F87B0000}"/>
    <cellStyle name="Normal 5 10 2 18 5 10" xfId="31737" xr:uid="{00000000-0005-0000-0000-0000F97B0000}"/>
    <cellStyle name="Normal 5 10 2 18 5 2" xfId="31738" xr:uid="{00000000-0005-0000-0000-0000FA7B0000}"/>
    <cellStyle name="Normal 5 10 2 18 5 3" xfId="31739" xr:uid="{00000000-0005-0000-0000-0000FB7B0000}"/>
    <cellStyle name="Normal 5 10 2 18 5 4" xfId="31740" xr:uid="{00000000-0005-0000-0000-0000FC7B0000}"/>
    <cellStyle name="Normal 5 10 2 18 5 5" xfId="31741" xr:uid="{00000000-0005-0000-0000-0000FD7B0000}"/>
    <cellStyle name="Normal 5 10 2 18 5 6" xfId="31742" xr:uid="{00000000-0005-0000-0000-0000FE7B0000}"/>
    <cellStyle name="Normal 5 10 2 18 5 7" xfId="31743" xr:uid="{00000000-0005-0000-0000-0000FF7B0000}"/>
    <cellStyle name="Normal 5 10 2 18 5 8" xfId="31744" xr:uid="{00000000-0005-0000-0000-0000007C0000}"/>
    <cellStyle name="Normal 5 10 2 18 5 9" xfId="31745" xr:uid="{00000000-0005-0000-0000-0000017C0000}"/>
    <cellStyle name="Normal 5 10 2 18 6" xfId="31746" xr:uid="{00000000-0005-0000-0000-0000027C0000}"/>
    <cellStyle name="Normal 5 10 2 18 7" xfId="31747" xr:uid="{00000000-0005-0000-0000-0000037C0000}"/>
    <cellStyle name="Normal 5 10 2 18 8" xfId="31748" xr:uid="{00000000-0005-0000-0000-0000047C0000}"/>
    <cellStyle name="Normal 5 10 2 18 9" xfId="31749" xr:uid="{00000000-0005-0000-0000-0000057C0000}"/>
    <cellStyle name="Normal 5 10 2 19" xfId="31750" xr:uid="{00000000-0005-0000-0000-0000067C0000}"/>
    <cellStyle name="Normal 5 10 2 19 10" xfId="31751" xr:uid="{00000000-0005-0000-0000-0000077C0000}"/>
    <cellStyle name="Normal 5 10 2 19 11" xfId="31752" xr:uid="{00000000-0005-0000-0000-0000087C0000}"/>
    <cellStyle name="Normal 5 10 2 19 12" xfId="31753" xr:uid="{00000000-0005-0000-0000-0000097C0000}"/>
    <cellStyle name="Normal 5 10 2 19 13" xfId="31754" xr:uid="{00000000-0005-0000-0000-00000A7C0000}"/>
    <cellStyle name="Normal 5 10 2 19 14" xfId="31755" xr:uid="{00000000-0005-0000-0000-00000B7C0000}"/>
    <cellStyle name="Normal 5 10 2 19 2" xfId="31756" xr:uid="{00000000-0005-0000-0000-00000C7C0000}"/>
    <cellStyle name="Normal 5 10 2 19 2 10" xfId="31757" xr:uid="{00000000-0005-0000-0000-00000D7C0000}"/>
    <cellStyle name="Normal 5 10 2 19 2 2" xfId="31758" xr:uid="{00000000-0005-0000-0000-00000E7C0000}"/>
    <cellStyle name="Normal 5 10 2 19 2 3" xfId="31759" xr:uid="{00000000-0005-0000-0000-00000F7C0000}"/>
    <cellStyle name="Normal 5 10 2 19 2 4" xfId="31760" xr:uid="{00000000-0005-0000-0000-0000107C0000}"/>
    <cellStyle name="Normal 5 10 2 19 2 5" xfId="31761" xr:uid="{00000000-0005-0000-0000-0000117C0000}"/>
    <cellStyle name="Normal 5 10 2 19 2 6" xfId="31762" xr:uid="{00000000-0005-0000-0000-0000127C0000}"/>
    <cellStyle name="Normal 5 10 2 19 2 7" xfId="31763" xr:uid="{00000000-0005-0000-0000-0000137C0000}"/>
    <cellStyle name="Normal 5 10 2 19 2 8" xfId="31764" xr:uid="{00000000-0005-0000-0000-0000147C0000}"/>
    <cellStyle name="Normal 5 10 2 19 2 9" xfId="31765" xr:uid="{00000000-0005-0000-0000-0000157C0000}"/>
    <cellStyle name="Normal 5 10 2 19 3" xfId="31766" xr:uid="{00000000-0005-0000-0000-0000167C0000}"/>
    <cellStyle name="Normal 5 10 2 19 3 10" xfId="31767" xr:uid="{00000000-0005-0000-0000-0000177C0000}"/>
    <cellStyle name="Normal 5 10 2 19 3 2" xfId="31768" xr:uid="{00000000-0005-0000-0000-0000187C0000}"/>
    <cellStyle name="Normal 5 10 2 19 3 3" xfId="31769" xr:uid="{00000000-0005-0000-0000-0000197C0000}"/>
    <cellStyle name="Normal 5 10 2 19 3 4" xfId="31770" xr:uid="{00000000-0005-0000-0000-00001A7C0000}"/>
    <cellStyle name="Normal 5 10 2 19 3 5" xfId="31771" xr:uid="{00000000-0005-0000-0000-00001B7C0000}"/>
    <cellStyle name="Normal 5 10 2 19 3 6" xfId="31772" xr:uid="{00000000-0005-0000-0000-00001C7C0000}"/>
    <cellStyle name="Normal 5 10 2 19 3 7" xfId="31773" xr:uid="{00000000-0005-0000-0000-00001D7C0000}"/>
    <cellStyle name="Normal 5 10 2 19 3 8" xfId="31774" xr:uid="{00000000-0005-0000-0000-00001E7C0000}"/>
    <cellStyle name="Normal 5 10 2 19 3 9" xfId="31775" xr:uid="{00000000-0005-0000-0000-00001F7C0000}"/>
    <cellStyle name="Normal 5 10 2 19 4" xfId="31776" xr:uid="{00000000-0005-0000-0000-0000207C0000}"/>
    <cellStyle name="Normal 5 10 2 19 4 10" xfId="31777" xr:uid="{00000000-0005-0000-0000-0000217C0000}"/>
    <cellStyle name="Normal 5 10 2 19 4 2" xfId="31778" xr:uid="{00000000-0005-0000-0000-0000227C0000}"/>
    <cellStyle name="Normal 5 10 2 19 4 3" xfId="31779" xr:uid="{00000000-0005-0000-0000-0000237C0000}"/>
    <cellStyle name="Normal 5 10 2 19 4 4" xfId="31780" xr:uid="{00000000-0005-0000-0000-0000247C0000}"/>
    <cellStyle name="Normal 5 10 2 19 4 5" xfId="31781" xr:uid="{00000000-0005-0000-0000-0000257C0000}"/>
    <cellStyle name="Normal 5 10 2 19 4 6" xfId="31782" xr:uid="{00000000-0005-0000-0000-0000267C0000}"/>
    <cellStyle name="Normal 5 10 2 19 4 7" xfId="31783" xr:uid="{00000000-0005-0000-0000-0000277C0000}"/>
    <cellStyle name="Normal 5 10 2 19 4 8" xfId="31784" xr:uid="{00000000-0005-0000-0000-0000287C0000}"/>
    <cellStyle name="Normal 5 10 2 19 4 9" xfId="31785" xr:uid="{00000000-0005-0000-0000-0000297C0000}"/>
    <cellStyle name="Normal 5 10 2 19 5" xfId="31786" xr:uid="{00000000-0005-0000-0000-00002A7C0000}"/>
    <cellStyle name="Normal 5 10 2 19 5 10" xfId="31787" xr:uid="{00000000-0005-0000-0000-00002B7C0000}"/>
    <cellStyle name="Normal 5 10 2 19 5 2" xfId="31788" xr:uid="{00000000-0005-0000-0000-00002C7C0000}"/>
    <cellStyle name="Normal 5 10 2 19 5 3" xfId="31789" xr:uid="{00000000-0005-0000-0000-00002D7C0000}"/>
    <cellStyle name="Normal 5 10 2 19 5 4" xfId="31790" xr:uid="{00000000-0005-0000-0000-00002E7C0000}"/>
    <cellStyle name="Normal 5 10 2 19 5 5" xfId="31791" xr:uid="{00000000-0005-0000-0000-00002F7C0000}"/>
    <cellStyle name="Normal 5 10 2 19 5 6" xfId="31792" xr:uid="{00000000-0005-0000-0000-0000307C0000}"/>
    <cellStyle name="Normal 5 10 2 19 5 7" xfId="31793" xr:uid="{00000000-0005-0000-0000-0000317C0000}"/>
    <cellStyle name="Normal 5 10 2 19 5 8" xfId="31794" xr:uid="{00000000-0005-0000-0000-0000327C0000}"/>
    <cellStyle name="Normal 5 10 2 19 5 9" xfId="31795" xr:uid="{00000000-0005-0000-0000-0000337C0000}"/>
    <cellStyle name="Normal 5 10 2 19 6" xfId="31796" xr:uid="{00000000-0005-0000-0000-0000347C0000}"/>
    <cellStyle name="Normal 5 10 2 19 7" xfId="31797" xr:uid="{00000000-0005-0000-0000-0000357C0000}"/>
    <cellStyle name="Normal 5 10 2 19 8" xfId="31798" xr:uid="{00000000-0005-0000-0000-0000367C0000}"/>
    <cellStyle name="Normal 5 10 2 19 9" xfId="31799" xr:uid="{00000000-0005-0000-0000-0000377C0000}"/>
    <cellStyle name="Normal 5 10 2 2" xfId="31800" xr:uid="{00000000-0005-0000-0000-0000387C0000}"/>
    <cellStyle name="Normal 5 10 2 2 10" xfId="31801" xr:uid="{00000000-0005-0000-0000-0000397C0000}"/>
    <cellStyle name="Normal 5 10 2 2 11" xfId="31802" xr:uid="{00000000-0005-0000-0000-00003A7C0000}"/>
    <cellStyle name="Normal 5 10 2 2 12" xfId="31803" xr:uid="{00000000-0005-0000-0000-00003B7C0000}"/>
    <cellStyle name="Normal 5 10 2 2 13" xfId="31804" xr:uid="{00000000-0005-0000-0000-00003C7C0000}"/>
    <cellStyle name="Normal 5 10 2 2 14" xfId="31805" xr:uid="{00000000-0005-0000-0000-00003D7C0000}"/>
    <cellStyle name="Normal 5 10 2 2 15" xfId="31806" xr:uid="{00000000-0005-0000-0000-00003E7C0000}"/>
    <cellStyle name="Normal 5 10 2 2 16" xfId="31807" xr:uid="{00000000-0005-0000-0000-00003F7C0000}"/>
    <cellStyle name="Normal 5 10 2 2 2" xfId="31808" xr:uid="{00000000-0005-0000-0000-0000407C0000}"/>
    <cellStyle name="Normal 5 10 2 2 2 10" xfId="31809" xr:uid="{00000000-0005-0000-0000-0000417C0000}"/>
    <cellStyle name="Normal 5 10 2 2 2 2" xfId="31810" xr:uid="{00000000-0005-0000-0000-0000427C0000}"/>
    <cellStyle name="Normal 5 10 2 2 2 3" xfId="31811" xr:uid="{00000000-0005-0000-0000-0000437C0000}"/>
    <cellStyle name="Normal 5 10 2 2 2 4" xfId="31812" xr:uid="{00000000-0005-0000-0000-0000447C0000}"/>
    <cellStyle name="Normal 5 10 2 2 2 5" xfId="31813" xr:uid="{00000000-0005-0000-0000-0000457C0000}"/>
    <cellStyle name="Normal 5 10 2 2 2 6" xfId="31814" xr:uid="{00000000-0005-0000-0000-0000467C0000}"/>
    <cellStyle name="Normal 5 10 2 2 2 7" xfId="31815" xr:uid="{00000000-0005-0000-0000-0000477C0000}"/>
    <cellStyle name="Normal 5 10 2 2 2 8" xfId="31816" xr:uid="{00000000-0005-0000-0000-0000487C0000}"/>
    <cellStyle name="Normal 5 10 2 2 2 9" xfId="31817" xr:uid="{00000000-0005-0000-0000-0000497C0000}"/>
    <cellStyle name="Normal 5 10 2 2 3" xfId="31818" xr:uid="{00000000-0005-0000-0000-00004A7C0000}"/>
    <cellStyle name="Normal 5 10 2 2 3 10" xfId="31819" xr:uid="{00000000-0005-0000-0000-00004B7C0000}"/>
    <cellStyle name="Normal 5 10 2 2 3 2" xfId="31820" xr:uid="{00000000-0005-0000-0000-00004C7C0000}"/>
    <cellStyle name="Normal 5 10 2 2 3 3" xfId="31821" xr:uid="{00000000-0005-0000-0000-00004D7C0000}"/>
    <cellStyle name="Normal 5 10 2 2 3 4" xfId="31822" xr:uid="{00000000-0005-0000-0000-00004E7C0000}"/>
    <cellStyle name="Normal 5 10 2 2 3 5" xfId="31823" xr:uid="{00000000-0005-0000-0000-00004F7C0000}"/>
    <cellStyle name="Normal 5 10 2 2 3 6" xfId="31824" xr:uid="{00000000-0005-0000-0000-0000507C0000}"/>
    <cellStyle name="Normal 5 10 2 2 3 7" xfId="31825" xr:uid="{00000000-0005-0000-0000-0000517C0000}"/>
    <cellStyle name="Normal 5 10 2 2 3 8" xfId="31826" xr:uid="{00000000-0005-0000-0000-0000527C0000}"/>
    <cellStyle name="Normal 5 10 2 2 3 9" xfId="31827" xr:uid="{00000000-0005-0000-0000-0000537C0000}"/>
    <cellStyle name="Normal 5 10 2 2 4" xfId="31828" xr:uid="{00000000-0005-0000-0000-0000547C0000}"/>
    <cellStyle name="Normal 5 10 2 2 4 10" xfId="31829" xr:uid="{00000000-0005-0000-0000-0000557C0000}"/>
    <cellStyle name="Normal 5 10 2 2 4 2" xfId="31830" xr:uid="{00000000-0005-0000-0000-0000567C0000}"/>
    <cellStyle name="Normal 5 10 2 2 4 3" xfId="31831" xr:uid="{00000000-0005-0000-0000-0000577C0000}"/>
    <cellStyle name="Normal 5 10 2 2 4 4" xfId="31832" xr:uid="{00000000-0005-0000-0000-0000587C0000}"/>
    <cellStyle name="Normal 5 10 2 2 4 5" xfId="31833" xr:uid="{00000000-0005-0000-0000-0000597C0000}"/>
    <cellStyle name="Normal 5 10 2 2 4 6" xfId="31834" xr:uid="{00000000-0005-0000-0000-00005A7C0000}"/>
    <cellStyle name="Normal 5 10 2 2 4 7" xfId="31835" xr:uid="{00000000-0005-0000-0000-00005B7C0000}"/>
    <cellStyle name="Normal 5 10 2 2 4 8" xfId="31836" xr:uid="{00000000-0005-0000-0000-00005C7C0000}"/>
    <cellStyle name="Normal 5 10 2 2 4 9" xfId="31837" xr:uid="{00000000-0005-0000-0000-00005D7C0000}"/>
    <cellStyle name="Normal 5 10 2 2 5" xfId="31838" xr:uid="{00000000-0005-0000-0000-00005E7C0000}"/>
    <cellStyle name="Normal 5 10 2 2 5 10" xfId="31839" xr:uid="{00000000-0005-0000-0000-00005F7C0000}"/>
    <cellStyle name="Normal 5 10 2 2 5 2" xfId="31840" xr:uid="{00000000-0005-0000-0000-0000607C0000}"/>
    <cellStyle name="Normal 5 10 2 2 5 3" xfId="31841" xr:uid="{00000000-0005-0000-0000-0000617C0000}"/>
    <cellStyle name="Normal 5 10 2 2 5 4" xfId="31842" xr:uid="{00000000-0005-0000-0000-0000627C0000}"/>
    <cellStyle name="Normal 5 10 2 2 5 5" xfId="31843" xr:uid="{00000000-0005-0000-0000-0000637C0000}"/>
    <cellStyle name="Normal 5 10 2 2 5 6" xfId="31844" xr:uid="{00000000-0005-0000-0000-0000647C0000}"/>
    <cellStyle name="Normal 5 10 2 2 5 7" xfId="31845" xr:uid="{00000000-0005-0000-0000-0000657C0000}"/>
    <cellStyle name="Normal 5 10 2 2 5 8" xfId="31846" xr:uid="{00000000-0005-0000-0000-0000667C0000}"/>
    <cellStyle name="Normal 5 10 2 2 5 9" xfId="31847" xr:uid="{00000000-0005-0000-0000-0000677C0000}"/>
    <cellStyle name="Normal 5 10 2 2 6" xfId="31848" xr:uid="{00000000-0005-0000-0000-0000687C0000}"/>
    <cellStyle name="Normal 5 10 2 2 7" xfId="31849" xr:uid="{00000000-0005-0000-0000-0000697C0000}"/>
    <cellStyle name="Normal 5 10 2 2 8" xfId="31850" xr:uid="{00000000-0005-0000-0000-00006A7C0000}"/>
    <cellStyle name="Normal 5 10 2 2 9" xfId="31851" xr:uid="{00000000-0005-0000-0000-00006B7C0000}"/>
    <cellStyle name="Normal 5 10 2 20" xfId="31852" xr:uid="{00000000-0005-0000-0000-00006C7C0000}"/>
    <cellStyle name="Normal 5 10 2 20 10" xfId="31853" xr:uid="{00000000-0005-0000-0000-00006D7C0000}"/>
    <cellStyle name="Normal 5 10 2 20 11" xfId="31854" xr:uid="{00000000-0005-0000-0000-00006E7C0000}"/>
    <cellStyle name="Normal 5 10 2 20 12" xfId="31855" xr:uid="{00000000-0005-0000-0000-00006F7C0000}"/>
    <cellStyle name="Normal 5 10 2 20 13" xfId="31856" xr:uid="{00000000-0005-0000-0000-0000707C0000}"/>
    <cellStyle name="Normal 5 10 2 20 14" xfId="31857" xr:uid="{00000000-0005-0000-0000-0000717C0000}"/>
    <cellStyle name="Normal 5 10 2 20 2" xfId="31858" xr:uid="{00000000-0005-0000-0000-0000727C0000}"/>
    <cellStyle name="Normal 5 10 2 20 2 10" xfId="31859" xr:uid="{00000000-0005-0000-0000-0000737C0000}"/>
    <cellStyle name="Normal 5 10 2 20 2 2" xfId="31860" xr:uid="{00000000-0005-0000-0000-0000747C0000}"/>
    <cellStyle name="Normal 5 10 2 20 2 3" xfId="31861" xr:uid="{00000000-0005-0000-0000-0000757C0000}"/>
    <cellStyle name="Normal 5 10 2 20 2 4" xfId="31862" xr:uid="{00000000-0005-0000-0000-0000767C0000}"/>
    <cellStyle name="Normal 5 10 2 20 2 5" xfId="31863" xr:uid="{00000000-0005-0000-0000-0000777C0000}"/>
    <cellStyle name="Normal 5 10 2 20 2 6" xfId="31864" xr:uid="{00000000-0005-0000-0000-0000787C0000}"/>
    <cellStyle name="Normal 5 10 2 20 2 7" xfId="31865" xr:uid="{00000000-0005-0000-0000-0000797C0000}"/>
    <cellStyle name="Normal 5 10 2 20 2 8" xfId="31866" xr:uid="{00000000-0005-0000-0000-00007A7C0000}"/>
    <cellStyle name="Normal 5 10 2 20 2 9" xfId="31867" xr:uid="{00000000-0005-0000-0000-00007B7C0000}"/>
    <cellStyle name="Normal 5 10 2 20 3" xfId="31868" xr:uid="{00000000-0005-0000-0000-00007C7C0000}"/>
    <cellStyle name="Normal 5 10 2 20 3 10" xfId="31869" xr:uid="{00000000-0005-0000-0000-00007D7C0000}"/>
    <cellStyle name="Normal 5 10 2 20 3 2" xfId="31870" xr:uid="{00000000-0005-0000-0000-00007E7C0000}"/>
    <cellStyle name="Normal 5 10 2 20 3 3" xfId="31871" xr:uid="{00000000-0005-0000-0000-00007F7C0000}"/>
    <cellStyle name="Normal 5 10 2 20 3 4" xfId="31872" xr:uid="{00000000-0005-0000-0000-0000807C0000}"/>
    <cellStyle name="Normal 5 10 2 20 3 5" xfId="31873" xr:uid="{00000000-0005-0000-0000-0000817C0000}"/>
    <cellStyle name="Normal 5 10 2 20 3 6" xfId="31874" xr:uid="{00000000-0005-0000-0000-0000827C0000}"/>
    <cellStyle name="Normal 5 10 2 20 3 7" xfId="31875" xr:uid="{00000000-0005-0000-0000-0000837C0000}"/>
    <cellStyle name="Normal 5 10 2 20 3 8" xfId="31876" xr:uid="{00000000-0005-0000-0000-0000847C0000}"/>
    <cellStyle name="Normal 5 10 2 20 3 9" xfId="31877" xr:uid="{00000000-0005-0000-0000-0000857C0000}"/>
    <cellStyle name="Normal 5 10 2 20 4" xfId="31878" xr:uid="{00000000-0005-0000-0000-0000867C0000}"/>
    <cellStyle name="Normal 5 10 2 20 4 10" xfId="31879" xr:uid="{00000000-0005-0000-0000-0000877C0000}"/>
    <cellStyle name="Normal 5 10 2 20 4 2" xfId="31880" xr:uid="{00000000-0005-0000-0000-0000887C0000}"/>
    <cellStyle name="Normal 5 10 2 20 4 3" xfId="31881" xr:uid="{00000000-0005-0000-0000-0000897C0000}"/>
    <cellStyle name="Normal 5 10 2 20 4 4" xfId="31882" xr:uid="{00000000-0005-0000-0000-00008A7C0000}"/>
    <cellStyle name="Normal 5 10 2 20 4 5" xfId="31883" xr:uid="{00000000-0005-0000-0000-00008B7C0000}"/>
    <cellStyle name="Normal 5 10 2 20 4 6" xfId="31884" xr:uid="{00000000-0005-0000-0000-00008C7C0000}"/>
    <cellStyle name="Normal 5 10 2 20 4 7" xfId="31885" xr:uid="{00000000-0005-0000-0000-00008D7C0000}"/>
    <cellStyle name="Normal 5 10 2 20 4 8" xfId="31886" xr:uid="{00000000-0005-0000-0000-00008E7C0000}"/>
    <cellStyle name="Normal 5 10 2 20 4 9" xfId="31887" xr:uid="{00000000-0005-0000-0000-00008F7C0000}"/>
    <cellStyle name="Normal 5 10 2 20 5" xfId="31888" xr:uid="{00000000-0005-0000-0000-0000907C0000}"/>
    <cellStyle name="Normal 5 10 2 20 5 10" xfId="31889" xr:uid="{00000000-0005-0000-0000-0000917C0000}"/>
    <cellStyle name="Normal 5 10 2 20 5 2" xfId="31890" xr:uid="{00000000-0005-0000-0000-0000927C0000}"/>
    <cellStyle name="Normal 5 10 2 20 5 3" xfId="31891" xr:uid="{00000000-0005-0000-0000-0000937C0000}"/>
    <cellStyle name="Normal 5 10 2 20 5 4" xfId="31892" xr:uid="{00000000-0005-0000-0000-0000947C0000}"/>
    <cellStyle name="Normal 5 10 2 20 5 5" xfId="31893" xr:uid="{00000000-0005-0000-0000-0000957C0000}"/>
    <cellStyle name="Normal 5 10 2 20 5 6" xfId="31894" xr:uid="{00000000-0005-0000-0000-0000967C0000}"/>
    <cellStyle name="Normal 5 10 2 20 5 7" xfId="31895" xr:uid="{00000000-0005-0000-0000-0000977C0000}"/>
    <cellStyle name="Normal 5 10 2 20 5 8" xfId="31896" xr:uid="{00000000-0005-0000-0000-0000987C0000}"/>
    <cellStyle name="Normal 5 10 2 20 5 9" xfId="31897" xr:uid="{00000000-0005-0000-0000-0000997C0000}"/>
    <cellStyle name="Normal 5 10 2 20 6" xfId="31898" xr:uid="{00000000-0005-0000-0000-00009A7C0000}"/>
    <cellStyle name="Normal 5 10 2 20 7" xfId="31899" xr:uid="{00000000-0005-0000-0000-00009B7C0000}"/>
    <cellStyle name="Normal 5 10 2 20 8" xfId="31900" xr:uid="{00000000-0005-0000-0000-00009C7C0000}"/>
    <cellStyle name="Normal 5 10 2 20 9" xfId="31901" xr:uid="{00000000-0005-0000-0000-00009D7C0000}"/>
    <cellStyle name="Normal 5 10 2 21" xfId="31902" xr:uid="{00000000-0005-0000-0000-00009E7C0000}"/>
    <cellStyle name="Normal 5 10 2 21 10" xfId="31903" xr:uid="{00000000-0005-0000-0000-00009F7C0000}"/>
    <cellStyle name="Normal 5 10 2 21 11" xfId="31904" xr:uid="{00000000-0005-0000-0000-0000A07C0000}"/>
    <cellStyle name="Normal 5 10 2 21 12" xfId="31905" xr:uid="{00000000-0005-0000-0000-0000A17C0000}"/>
    <cellStyle name="Normal 5 10 2 21 13" xfId="31906" xr:uid="{00000000-0005-0000-0000-0000A27C0000}"/>
    <cellStyle name="Normal 5 10 2 21 14" xfId="31907" xr:uid="{00000000-0005-0000-0000-0000A37C0000}"/>
    <cellStyle name="Normal 5 10 2 21 2" xfId="31908" xr:uid="{00000000-0005-0000-0000-0000A47C0000}"/>
    <cellStyle name="Normal 5 10 2 21 2 10" xfId="31909" xr:uid="{00000000-0005-0000-0000-0000A57C0000}"/>
    <cellStyle name="Normal 5 10 2 21 2 2" xfId="31910" xr:uid="{00000000-0005-0000-0000-0000A67C0000}"/>
    <cellStyle name="Normal 5 10 2 21 2 3" xfId="31911" xr:uid="{00000000-0005-0000-0000-0000A77C0000}"/>
    <cellStyle name="Normal 5 10 2 21 2 4" xfId="31912" xr:uid="{00000000-0005-0000-0000-0000A87C0000}"/>
    <cellStyle name="Normal 5 10 2 21 2 5" xfId="31913" xr:uid="{00000000-0005-0000-0000-0000A97C0000}"/>
    <cellStyle name="Normal 5 10 2 21 2 6" xfId="31914" xr:uid="{00000000-0005-0000-0000-0000AA7C0000}"/>
    <cellStyle name="Normal 5 10 2 21 2 7" xfId="31915" xr:uid="{00000000-0005-0000-0000-0000AB7C0000}"/>
    <cellStyle name="Normal 5 10 2 21 2 8" xfId="31916" xr:uid="{00000000-0005-0000-0000-0000AC7C0000}"/>
    <cellStyle name="Normal 5 10 2 21 2 9" xfId="31917" xr:uid="{00000000-0005-0000-0000-0000AD7C0000}"/>
    <cellStyle name="Normal 5 10 2 21 3" xfId="31918" xr:uid="{00000000-0005-0000-0000-0000AE7C0000}"/>
    <cellStyle name="Normal 5 10 2 21 3 10" xfId="31919" xr:uid="{00000000-0005-0000-0000-0000AF7C0000}"/>
    <cellStyle name="Normal 5 10 2 21 3 2" xfId="31920" xr:uid="{00000000-0005-0000-0000-0000B07C0000}"/>
    <cellStyle name="Normal 5 10 2 21 3 3" xfId="31921" xr:uid="{00000000-0005-0000-0000-0000B17C0000}"/>
    <cellStyle name="Normal 5 10 2 21 3 4" xfId="31922" xr:uid="{00000000-0005-0000-0000-0000B27C0000}"/>
    <cellStyle name="Normal 5 10 2 21 3 5" xfId="31923" xr:uid="{00000000-0005-0000-0000-0000B37C0000}"/>
    <cellStyle name="Normal 5 10 2 21 3 6" xfId="31924" xr:uid="{00000000-0005-0000-0000-0000B47C0000}"/>
    <cellStyle name="Normal 5 10 2 21 3 7" xfId="31925" xr:uid="{00000000-0005-0000-0000-0000B57C0000}"/>
    <cellStyle name="Normal 5 10 2 21 3 8" xfId="31926" xr:uid="{00000000-0005-0000-0000-0000B67C0000}"/>
    <cellStyle name="Normal 5 10 2 21 3 9" xfId="31927" xr:uid="{00000000-0005-0000-0000-0000B77C0000}"/>
    <cellStyle name="Normal 5 10 2 21 4" xfId="31928" xr:uid="{00000000-0005-0000-0000-0000B87C0000}"/>
    <cellStyle name="Normal 5 10 2 21 4 10" xfId="31929" xr:uid="{00000000-0005-0000-0000-0000B97C0000}"/>
    <cellStyle name="Normal 5 10 2 21 4 2" xfId="31930" xr:uid="{00000000-0005-0000-0000-0000BA7C0000}"/>
    <cellStyle name="Normal 5 10 2 21 4 3" xfId="31931" xr:uid="{00000000-0005-0000-0000-0000BB7C0000}"/>
    <cellStyle name="Normal 5 10 2 21 4 4" xfId="31932" xr:uid="{00000000-0005-0000-0000-0000BC7C0000}"/>
    <cellStyle name="Normal 5 10 2 21 4 5" xfId="31933" xr:uid="{00000000-0005-0000-0000-0000BD7C0000}"/>
    <cellStyle name="Normal 5 10 2 21 4 6" xfId="31934" xr:uid="{00000000-0005-0000-0000-0000BE7C0000}"/>
    <cellStyle name="Normal 5 10 2 21 4 7" xfId="31935" xr:uid="{00000000-0005-0000-0000-0000BF7C0000}"/>
    <cellStyle name="Normal 5 10 2 21 4 8" xfId="31936" xr:uid="{00000000-0005-0000-0000-0000C07C0000}"/>
    <cellStyle name="Normal 5 10 2 21 4 9" xfId="31937" xr:uid="{00000000-0005-0000-0000-0000C17C0000}"/>
    <cellStyle name="Normal 5 10 2 21 5" xfId="31938" xr:uid="{00000000-0005-0000-0000-0000C27C0000}"/>
    <cellStyle name="Normal 5 10 2 21 5 10" xfId="31939" xr:uid="{00000000-0005-0000-0000-0000C37C0000}"/>
    <cellStyle name="Normal 5 10 2 21 5 2" xfId="31940" xr:uid="{00000000-0005-0000-0000-0000C47C0000}"/>
    <cellStyle name="Normal 5 10 2 21 5 3" xfId="31941" xr:uid="{00000000-0005-0000-0000-0000C57C0000}"/>
    <cellStyle name="Normal 5 10 2 21 5 4" xfId="31942" xr:uid="{00000000-0005-0000-0000-0000C67C0000}"/>
    <cellStyle name="Normal 5 10 2 21 5 5" xfId="31943" xr:uid="{00000000-0005-0000-0000-0000C77C0000}"/>
    <cellStyle name="Normal 5 10 2 21 5 6" xfId="31944" xr:uid="{00000000-0005-0000-0000-0000C87C0000}"/>
    <cellStyle name="Normal 5 10 2 21 5 7" xfId="31945" xr:uid="{00000000-0005-0000-0000-0000C97C0000}"/>
    <cellStyle name="Normal 5 10 2 21 5 8" xfId="31946" xr:uid="{00000000-0005-0000-0000-0000CA7C0000}"/>
    <cellStyle name="Normal 5 10 2 21 5 9" xfId="31947" xr:uid="{00000000-0005-0000-0000-0000CB7C0000}"/>
    <cellStyle name="Normal 5 10 2 21 6" xfId="31948" xr:uid="{00000000-0005-0000-0000-0000CC7C0000}"/>
    <cellStyle name="Normal 5 10 2 21 7" xfId="31949" xr:uid="{00000000-0005-0000-0000-0000CD7C0000}"/>
    <cellStyle name="Normal 5 10 2 21 8" xfId="31950" xr:uid="{00000000-0005-0000-0000-0000CE7C0000}"/>
    <cellStyle name="Normal 5 10 2 21 9" xfId="31951" xr:uid="{00000000-0005-0000-0000-0000CF7C0000}"/>
    <cellStyle name="Normal 5 10 2 22" xfId="31952" xr:uid="{00000000-0005-0000-0000-0000D07C0000}"/>
    <cellStyle name="Normal 5 10 2 22 10" xfId="31953" xr:uid="{00000000-0005-0000-0000-0000D17C0000}"/>
    <cellStyle name="Normal 5 10 2 22 11" xfId="31954" xr:uid="{00000000-0005-0000-0000-0000D27C0000}"/>
    <cellStyle name="Normal 5 10 2 22 12" xfId="31955" xr:uid="{00000000-0005-0000-0000-0000D37C0000}"/>
    <cellStyle name="Normal 5 10 2 22 13" xfId="31956" xr:uid="{00000000-0005-0000-0000-0000D47C0000}"/>
    <cellStyle name="Normal 5 10 2 22 14" xfId="31957" xr:uid="{00000000-0005-0000-0000-0000D57C0000}"/>
    <cellStyle name="Normal 5 10 2 22 2" xfId="31958" xr:uid="{00000000-0005-0000-0000-0000D67C0000}"/>
    <cellStyle name="Normal 5 10 2 22 2 10" xfId="31959" xr:uid="{00000000-0005-0000-0000-0000D77C0000}"/>
    <cellStyle name="Normal 5 10 2 22 2 2" xfId="31960" xr:uid="{00000000-0005-0000-0000-0000D87C0000}"/>
    <cellStyle name="Normal 5 10 2 22 2 3" xfId="31961" xr:uid="{00000000-0005-0000-0000-0000D97C0000}"/>
    <cellStyle name="Normal 5 10 2 22 2 4" xfId="31962" xr:uid="{00000000-0005-0000-0000-0000DA7C0000}"/>
    <cellStyle name="Normal 5 10 2 22 2 5" xfId="31963" xr:uid="{00000000-0005-0000-0000-0000DB7C0000}"/>
    <cellStyle name="Normal 5 10 2 22 2 6" xfId="31964" xr:uid="{00000000-0005-0000-0000-0000DC7C0000}"/>
    <cellStyle name="Normal 5 10 2 22 2 7" xfId="31965" xr:uid="{00000000-0005-0000-0000-0000DD7C0000}"/>
    <cellStyle name="Normal 5 10 2 22 2 8" xfId="31966" xr:uid="{00000000-0005-0000-0000-0000DE7C0000}"/>
    <cellStyle name="Normal 5 10 2 22 2 9" xfId="31967" xr:uid="{00000000-0005-0000-0000-0000DF7C0000}"/>
    <cellStyle name="Normal 5 10 2 22 3" xfId="31968" xr:uid="{00000000-0005-0000-0000-0000E07C0000}"/>
    <cellStyle name="Normal 5 10 2 22 3 10" xfId="31969" xr:uid="{00000000-0005-0000-0000-0000E17C0000}"/>
    <cellStyle name="Normal 5 10 2 22 3 2" xfId="31970" xr:uid="{00000000-0005-0000-0000-0000E27C0000}"/>
    <cellStyle name="Normal 5 10 2 22 3 3" xfId="31971" xr:uid="{00000000-0005-0000-0000-0000E37C0000}"/>
    <cellStyle name="Normal 5 10 2 22 3 4" xfId="31972" xr:uid="{00000000-0005-0000-0000-0000E47C0000}"/>
    <cellStyle name="Normal 5 10 2 22 3 5" xfId="31973" xr:uid="{00000000-0005-0000-0000-0000E57C0000}"/>
    <cellStyle name="Normal 5 10 2 22 3 6" xfId="31974" xr:uid="{00000000-0005-0000-0000-0000E67C0000}"/>
    <cellStyle name="Normal 5 10 2 22 3 7" xfId="31975" xr:uid="{00000000-0005-0000-0000-0000E77C0000}"/>
    <cellStyle name="Normal 5 10 2 22 3 8" xfId="31976" xr:uid="{00000000-0005-0000-0000-0000E87C0000}"/>
    <cellStyle name="Normal 5 10 2 22 3 9" xfId="31977" xr:uid="{00000000-0005-0000-0000-0000E97C0000}"/>
    <cellStyle name="Normal 5 10 2 22 4" xfId="31978" xr:uid="{00000000-0005-0000-0000-0000EA7C0000}"/>
    <cellStyle name="Normal 5 10 2 22 4 10" xfId="31979" xr:uid="{00000000-0005-0000-0000-0000EB7C0000}"/>
    <cellStyle name="Normal 5 10 2 22 4 2" xfId="31980" xr:uid="{00000000-0005-0000-0000-0000EC7C0000}"/>
    <cellStyle name="Normal 5 10 2 22 4 3" xfId="31981" xr:uid="{00000000-0005-0000-0000-0000ED7C0000}"/>
    <cellStyle name="Normal 5 10 2 22 4 4" xfId="31982" xr:uid="{00000000-0005-0000-0000-0000EE7C0000}"/>
    <cellStyle name="Normal 5 10 2 22 4 5" xfId="31983" xr:uid="{00000000-0005-0000-0000-0000EF7C0000}"/>
    <cellStyle name="Normal 5 10 2 22 4 6" xfId="31984" xr:uid="{00000000-0005-0000-0000-0000F07C0000}"/>
    <cellStyle name="Normal 5 10 2 22 4 7" xfId="31985" xr:uid="{00000000-0005-0000-0000-0000F17C0000}"/>
    <cellStyle name="Normal 5 10 2 22 4 8" xfId="31986" xr:uid="{00000000-0005-0000-0000-0000F27C0000}"/>
    <cellStyle name="Normal 5 10 2 22 4 9" xfId="31987" xr:uid="{00000000-0005-0000-0000-0000F37C0000}"/>
    <cellStyle name="Normal 5 10 2 22 5" xfId="31988" xr:uid="{00000000-0005-0000-0000-0000F47C0000}"/>
    <cellStyle name="Normal 5 10 2 22 5 10" xfId="31989" xr:uid="{00000000-0005-0000-0000-0000F57C0000}"/>
    <cellStyle name="Normal 5 10 2 22 5 2" xfId="31990" xr:uid="{00000000-0005-0000-0000-0000F67C0000}"/>
    <cellStyle name="Normal 5 10 2 22 5 3" xfId="31991" xr:uid="{00000000-0005-0000-0000-0000F77C0000}"/>
    <cellStyle name="Normal 5 10 2 22 5 4" xfId="31992" xr:uid="{00000000-0005-0000-0000-0000F87C0000}"/>
    <cellStyle name="Normal 5 10 2 22 5 5" xfId="31993" xr:uid="{00000000-0005-0000-0000-0000F97C0000}"/>
    <cellStyle name="Normal 5 10 2 22 5 6" xfId="31994" xr:uid="{00000000-0005-0000-0000-0000FA7C0000}"/>
    <cellStyle name="Normal 5 10 2 22 5 7" xfId="31995" xr:uid="{00000000-0005-0000-0000-0000FB7C0000}"/>
    <cellStyle name="Normal 5 10 2 22 5 8" xfId="31996" xr:uid="{00000000-0005-0000-0000-0000FC7C0000}"/>
    <cellStyle name="Normal 5 10 2 22 5 9" xfId="31997" xr:uid="{00000000-0005-0000-0000-0000FD7C0000}"/>
    <cellStyle name="Normal 5 10 2 22 6" xfId="31998" xr:uid="{00000000-0005-0000-0000-0000FE7C0000}"/>
    <cellStyle name="Normal 5 10 2 22 7" xfId="31999" xr:uid="{00000000-0005-0000-0000-0000FF7C0000}"/>
    <cellStyle name="Normal 5 10 2 22 8" xfId="32000" xr:uid="{00000000-0005-0000-0000-0000007D0000}"/>
    <cellStyle name="Normal 5 10 2 22 9" xfId="32001" xr:uid="{00000000-0005-0000-0000-0000017D0000}"/>
    <cellStyle name="Normal 5 10 2 23" xfId="32002" xr:uid="{00000000-0005-0000-0000-0000027D0000}"/>
    <cellStyle name="Normal 5 10 2 23 10" xfId="32003" xr:uid="{00000000-0005-0000-0000-0000037D0000}"/>
    <cellStyle name="Normal 5 10 2 23 11" xfId="32004" xr:uid="{00000000-0005-0000-0000-0000047D0000}"/>
    <cellStyle name="Normal 5 10 2 23 12" xfId="32005" xr:uid="{00000000-0005-0000-0000-0000057D0000}"/>
    <cellStyle name="Normal 5 10 2 23 13" xfId="32006" xr:uid="{00000000-0005-0000-0000-0000067D0000}"/>
    <cellStyle name="Normal 5 10 2 23 14" xfId="32007" xr:uid="{00000000-0005-0000-0000-0000077D0000}"/>
    <cellStyle name="Normal 5 10 2 23 2" xfId="32008" xr:uid="{00000000-0005-0000-0000-0000087D0000}"/>
    <cellStyle name="Normal 5 10 2 23 2 10" xfId="32009" xr:uid="{00000000-0005-0000-0000-0000097D0000}"/>
    <cellStyle name="Normal 5 10 2 23 2 2" xfId="32010" xr:uid="{00000000-0005-0000-0000-00000A7D0000}"/>
    <cellStyle name="Normal 5 10 2 23 2 3" xfId="32011" xr:uid="{00000000-0005-0000-0000-00000B7D0000}"/>
    <cellStyle name="Normal 5 10 2 23 2 4" xfId="32012" xr:uid="{00000000-0005-0000-0000-00000C7D0000}"/>
    <cellStyle name="Normal 5 10 2 23 2 5" xfId="32013" xr:uid="{00000000-0005-0000-0000-00000D7D0000}"/>
    <cellStyle name="Normal 5 10 2 23 2 6" xfId="32014" xr:uid="{00000000-0005-0000-0000-00000E7D0000}"/>
    <cellStyle name="Normal 5 10 2 23 2 7" xfId="32015" xr:uid="{00000000-0005-0000-0000-00000F7D0000}"/>
    <cellStyle name="Normal 5 10 2 23 2 8" xfId="32016" xr:uid="{00000000-0005-0000-0000-0000107D0000}"/>
    <cellStyle name="Normal 5 10 2 23 2 9" xfId="32017" xr:uid="{00000000-0005-0000-0000-0000117D0000}"/>
    <cellStyle name="Normal 5 10 2 23 3" xfId="32018" xr:uid="{00000000-0005-0000-0000-0000127D0000}"/>
    <cellStyle name="Normal 5 10 2 23 3 10" xfId="32019" xr:uid="{00000000-0005-0000-0000-0000137D0000}"/>
    <cellStyle name="Normal 5 10 2 23 3 2" xfId="32020" xr:uid="{00000000-0005-0000-0000-0000147D0000}"/>
    <cellStyle name="Normal 5 10 2 23 3 3" xfId="32021" xr:uid="{00000000-0005-0000-0000-0000157D0000}"/>
    <cellStyle name="Normal 5 10 2 23 3 4" xfId="32022" xr:uid="{00000000-0005-0000-0000-0000167D0000}"/>
    <cellStyle name="Normal 5 10 2 23 3 5" xfId="32023" xr:uid="{00000000-0005-0000-0000-0000177D0000}"/>
    <cellStyle name="Normal 5 10 2 23 3 6" xfId="32024" xr:uid="{00000000-0005-0000-0000-0000187D0000}"/>
    <cellStyle name="Normal 5 10 2 23 3 7" xfId="32025" xr:uid="{00000000-0005-0000-0000-0000197D0000}"/>
    <cellStyle name="Normal 5 10 2 23 3 8" xfId="32026" xr:uid="{00000000-0005-0000-0000-00001A7D0000}"/>
    <cellStyle name="Normal 5 10 2 23 3 9" xfId="32027" xr:uid="{00000000-0005-0000-0000-00001B7D0000}"/>
    <cellStyle name="Normal 5 10 2 23 4" xfId="32028" xr:uid="{00000000-0005-0000-0000-00001C7D0000}"/>
    <cellStyle name="Normal 5 10 2 23 4 10" xfId="32029" xr:uid="{00000000-0005-0000-0000-00001D7D0000}"/>
    <cellStyle name="Normal 5 10 2 23 4 2" xfId="32030" xr:uid="{00000000-0005-0000-0000-00001E7D0000}"/>
    <cellStyle name="Normal 5 10 2 23 4 3" xfId="32031" xr:uid="{00000000-0005-0000-0000-00001F7D0000}"/>
    <cellStyle name="Normal 5 10 2 23 4 4" xfId="32032" xr:uid="{00000000-0005-0000-0000-0000207D0000}"/>
    <cellStyle name="Normal 5 10 2 23 4 5" xfId="32033" xr:uid="{00000000-0005-0000-0000-0000217D0000}"/>
    <cellStyle name="Normal 5 10 2 23 4 6" xfId="32034" xr:uid="{00000000-0005-0000-0000-0000227D0000}"/>
    <cellStyle name="Normal 5 10 2 23 4 7" xfId="32035" xr:uid="{00000000-0005-0000-0000-0000237D0000}"/>
    <cellStyle name="Normal 5 10 2 23 4 8" xfId="32036" xr:uid="{00000000-0005-0000-0000-0000247D0000}"/>
    <cellStyle name="Normal 5 10 2 23 4 9" xfId="32037" xr:uid="{00000000-0005-0000-0000-0000257D0000}"/>
    <cellStyle name="Normal 5 10 2 23 5" xfId="32038" xr:uid="{00000000-0005-0000-0000-0000267D0000}"/>
    <cellStyle name="Normal 5 10 2 23 5 10" xfId="32039" xr:uid="{00000000-0005-0000-0000-0000277D0000}"/>
    <cellStyle name="Normal 5 10 2 23 5 2" xfId="32040" xr:uid="{00000000-0005-0000-0000-0000287D0000}"/>
    <cellStyle name="Normal 5 10 2 23 5 3" xfId="32041" xr:uid="{00000000-0005-0000-0000-0000297D0000}"/>
    <cellStyle name="Normal 5 10 2 23 5 4" xfId="32042" xr:uid="{00000000-0005-0000-0000-00002A7D0000}"/>
    <cellStyle name="Normal 5 10 2 23 5 5" xfId="32043" xr:uid="{00000000-0005-0000-0000-00002B7D0000}"/>
    <cellStyle name="Normal 5 10 2 23 5 6" xfId="32044" xr:uid="{00000000-0005-0000-0000-00002C7D0000}"/>
    <cellStyle name="Normal 5 10 2 23 5 7" xfId="32045" xr:uid="{00000000-0005-0000-0000-00002D7D0000}"/>
    <cellStyle name="Normal 5 10 2 23 5 8" xfId="32046" xr:uid="{00000000-0005-0000-0000-00002E7D0000}"/>
    <cellStyle name="Normal 5 10 2 23 5 9" xfId="32047" xr:uid="{00000000-0005-0000-0000-00002F7D0000}"/>
    <cellStyle name="Normal 5 10 2 23 6" xfId="32048" xr:uid="{00000000-0005-0000-0000-0000307D0000}"/>
    <cellStyle name="Normal 5 10 2 23 7" xfId="32049" xr:uid="{00000000-0005-0000-0000-0000317D0000}"/>
    <cellStyle name="Normal 5 10 2 23 8" xfId="32050" xr:uid="{00000000-0005-0000-0000-0000327D0000}"/>
    <cellStyle name="Normal 5 10 2 23 9" xfId="32051" xr:uid="{00000000-0005-0000-0000-0000337D0000}"/>
    <cellStyle name="Normal 5 10 2 24" xfId="32052" xr:uid="{00000000-0005-0000-0000-0000347D0000}"/>
    <cellStyle name="Normal 5 10 2 24 10" xfId="32053" xr:uid="{00000000-0005-0000-0000-0000357D0000}"/>
    <cellStyle name="Normal 5 10 2 24 11" xfId="32054" xr:uid="{00000000-0005-0000-0000-0000367D0000}"/>
    <cellStyle name="Normal 5 10 2 24 12" xfId="32055" xr:uid="{00000000-0005-0000-0000-0000377D0000}"/>
    <cellStyle name="Normal 5 10 2 24 13" xfId="32056" xr:uid="{00000000-0005-0000-0000-0000387D0000}"/>
    <cellStyle name="Normal 5 10 2 24 14" xfId="32057" xr:uid="{00000000-0005-0000-0000-0000397D0000}"/>
    <cellStyle name="Normal 5 10 2 24 2" xfId="32058" xr:uid="{00000000-0005-0000-0000-00003A7D0000}"/>
    <cellStyle name="Normal 5 10 2 24 2 10" xfId="32059" xr:uid="{00000000-0005-0000-0000-00003B7D0000}"/>
    <cellStyle name="Normal 5 10 2 24 2 2" xfId="32060" xr:uid="{00000000-0005-0000-0000-00003C7D0000}"/>
    <cellStyle name="Normal 5 10 2 24 2 3" xfId="32061" xr:uid="{00000000-0005-0000-0000-00003D7D0000}"/>
    <cellStyle name="Normal 5 10 2 24 2 4" xfId="32062" xr:uid="{00000000-0005-0000-0000-00003E7D0000}"/>
    <cellStyle name="Normal 5 10 2 24 2 5" xfId="32063" xr:uid="{00000000-0005-0000-0000-00003F7D0000}"/>
    <cellStyle name="Normal 5 10 2 24 2 6" xfId="32064" xr:uid="{00000000-0005-0000-0000-0000407D0000}"/>
    <cellStyle name="Normal 5 10 2 24 2 7" xfId="32065" xr:uid="{00000000-0005-0000-0000-0000417D0000}"/>
    <cellStyle name="Normal 5 10 2 24 2 8" xfId="32066" xr:uid="{00000000-0005-0000-0000-0000427D0000}"/>
    <cellStyle name="Normal 5 10 2 24 2 9" xfId="32067" xr:uid="{00000000-0005-0000-0000-0000437D0000}"/>
    <cellStyle name="Normal 5 10 2 24 3" xfId="32068" xr:uid="{00000000-0005-0000-0000-0000447D0000}"/>
    <cellStyle name="Normal 5 10 2 24 3 10" xfId="32069" xr:uid="{00000000-0005-0000-0000-0000457D0000}"/>
    <cellStyle name="Normal 5 10 2 24 3 2" xfId="32070" xr:uid="{00000000-0005-0000-0000-0000467D0000}"/>
    <cellStyle name="Normal 5 10 2 24 3 3" xfId="32071" xr:uid="{00000000-0005-0000-0000-0000477D0000}"/>
    <cellStyle name="Normal 5 10 2 24 3 4" xfId="32072" xr:uid="{00000000-0005-0000-0000-0000487D0000}"/>
    <cellStyle name="Normal 5 10 2 24 3 5" xfId="32073" xr:uid="{00000000-0005-0000-0000-0000497D0000}"/>
    <cellStyle name="Normal 5 10 2 24 3 6" xfId="32074" xr:uid="{00000000-0005-0000-0000-00004A7D0000}"/>
    <cellStyle name="Normal 5 10 2 24 3 7" xfId="32075" xr:uid="{00000000-0005-0000-0000-00004B7D0000}"/>
    <cellStyle name="Normal 5 10 2 24 3 8" xfId="32076" xr:uid="{00000000-0005-0000-0000-00004C7D0000}"/>
    <cellStyle name="Normal 5 10 2 24 3 9" xfId="32077" xr:uid="{00000000-0005-0000-0000-00004D7D0000}"/>
    <cellStyle name="Normal 5 10 2 24 4" xfId="32078" xr:uid="{00000000-0005-0000-0000-00004E7D0000}"/>
    <cellStyle name="Normal 5 10 2 24 4 10" xfId="32079" xr:uid="{00000000-0005-0000-0000-00004F7D0000}"/>
    <cellStyle name="Normal 5 10 2 24 4 2" xfId="32080" xr:uid="{00000000-0005-0000-0000-0000507D0000}"/>
    <cellStyle name="Normal 5 10 2 24 4 3" xfId="32081" xr:uid="{00000000-0005-0000-0000-0000517D0000}"/>
    <cellStyle name="Normal 5 10 2 24 4 4" xfId="32082" xr:uid="{00000000-0005-0000-0000-0000527D0000}"/>
    <cellStyle name="Normal 5 10 2 24 4 5" xfId="32083" xr:uid="{00000000-0005-0000-0000-0000537D0000}"/>
    <cellStyle name="Normal 5 10 2 24 4 6" xfId="32084" xr:uid="{00000000-0005-0000-0000-0000547D0000}"/>
    <cellStyle name="Normal 5 10 2 24 4 7" xfId="32085" xr:uid="{00000000-0005-0000-0000-0000557D0000}"/>
    <cellStyle name="Normal 5 10 2 24 4 8" xfId="32086" xr:uid="{00000000-0005-0000-0000-0000567D0000}"/>
    <cellStyle name="Normal 5 10 2 24 4 9" xfId="32087" xr:uid="{00000000-0005-0000-0000-0000577D0000}"/>
    <cellStyle name="Normal 5 10 2 24 5" xfId="32088" xr:uid="{00000000-0005-0000-0000-0000587D0000}"/>
    <cellStyle name="Normal 5 10 2 24 5 10" xfId="32089" xr:uid="{00000000-0005-0000-0000-0000597D0000}"/>
    <cellStyle name="Normal 5 10 2 24 5 2" xfId="32090" xr:uid="{00000000-0005-0000-0000-00005A7D0000}"/>
    <cellStyle name="Normal 5 10 2 24 5 3" xfId="32091" xr:uid="{00000000-0005-0000-0000-00005B7D0000}"/>
    <cellStyle name="Normal 5 10 2 24 5 4" xfId="32092" xr:uid="{00000000-0005-0000-0000-00005C7D0000}"/>
    <cellStyle name="Normal 5 10 2 24 5 5" xfId="32093" xr:uid="{00000000-0005-0000-0000-00005D7D0000}"/>
    <cellStyle name="Normal 5 10 2 24 5 6" xfId="32094" xr:uid="{00000000-0005-0000-0000-00005E7D0000}"/>
    <cellStyle name="Normal 5 10 2 24 5 7" xfId="32095" xr:uid="{00000000-0005-0000-0000-00005F7D0000}"/>
    <cellStyle name="Normal 5 10 2 24 5 8" xfId="32096" xr:uid="{00000000-0005-0000-0000-0000607D0000}"/>
    <cellStyle name="Normal 5 10 2 24 5 9" xfId="32097" xr:uid="{00000000-0005-0000-0000-0000617D0000}"/>
    <cellStyle name="Normal 5 10 2 24 6" xfId="32098" xr:uid="{00000000-0005-0000-0000-0000627D0000}"/>
    <cellStyle name="Normal 5 10 2 24 7" xfId="32099" xr:uid="{00000000-0005-0000-0000-0000637D0000}"/>
    <cellStyle name="Normal 5 10 2 24 8" xfId="32100" xr:uid="{00000000-0005-0000-0000-0000647D0000}"/>
    <cellStyle name="Normal 5 10 2 24 9" xfId="32101" xr:uid="{00000000-0005-0000-0000-0000657D0000}"/>
    <cellStyle name="Normal 5 10 2 25" xfId="32102" xr:uid="{00000000-0005-0000-0000-0000667D0000}"/>
    <cellStyle name="Normal 5 10 2 25 10" xfId="32103" xr:uid="{00000000-0005-0000-0000-0000677D0000}"/>
    <cellStyle name="Normal 5 10 2 25 11" xfId="32104" xr:uid="{00000000-0005-0000-0000-0000687D0000}"/>
    <cellStyle name="Normal 5 10 2 25 12" xfId="32105" xr:uid="{00000000-0005-0000-0000-0000697D0000}"/>
    <cellStyle name="Normal 5 10 2 25 13" xfId="32106" xr:uid="{00000000-0005-0000-0000-00006A7D0000}"/>
    <cellStyle name="Normal 5 10 2 25 14" xfId="32107" xr:uid="{00000000-0005-0000-0000-00006B7D0000}"/>
    <cellStyle name="Normal 5 10 2 25 2" xfId="32108" xr:uid="{00000000-0005-0000-0000-00006C7D0000}"/>
    <cellStyle name="Normal 5 10 2 25 2 10" xfId="32109" xr:uid="{00000000-0005-0000-0000-00006D7D0000}"/>
    <cellStyle name="Normal 5 10 2 25 2 2" xfId="32110" xr:uid="{00000000-0005-0000-0000-00006E7D0000}"/>
    <cellStyle name="Normal 5 10 2 25 2 3" xfId="32111" xr:uid="{00000000-0005-0000-0000-00006F7D0000}"/>
    <cellStyle name="Normal 5 10 2 25 2 4" xfId="32112" xr:uid="{00000000-0005-0000-0000-0000707D0000}"/>
    <cellStyle name="Normal 5 10 2 25 2 5" xfId="32113" xr:uid="{00000000-0005-0000-0000-0000717D0000}"/>
    <cellStyle name="Normal 5 10 2 25 2 6" xfId="32114" xr:uid="{00000000-0005-0000-0000-0000727D0000}"/>
    <cellStyle name="Normal 5 10 2 25 2 7" xfId="32115" xr:uid="{00000000-0005-0000-0000-0000737D0000}"/>
    <cellStyle name="Normal 5 10 2 25 2 8" xfId="32116" xr:uid="{00000000-0005-0000-0000-0000747D0000}"/>
    <cellStyle name="Normal 5 10 2 25 2 9" xfId="32117" xr:uid="{00000000-0005-0000-0000-0000757D0000}"/>
    <cellStyle name="Normal 5 10 2 25 3" xfId="32118" xr:uid="{00000000-0005-0000-0000-0000767D0000}"/>
    <cellStyle name="Normal 5 10 2 25 3 10" xfId="32119" xr:uid="{00000000-0005-0000-0000-0000777D0000}"/>
    <cellStyle name="Normal 5 10 2 25 3 2" xfId="32120" xr:uid="{00000000-0005-0000-0000-0000787D0000}"/>
    <cellStyle name="Normal 5 10 2 25 3 3" xfId="32121" xr:uid="{00000000-0005-0000-0000-0000797D0000}"/>
    <cellStyle name="Normal 5 10 2 25 3 4" xfId="32122" xr:uid="{00000000-0005-0000-0000-00007A7D0000}"/>
    <cellStyle name="Normal 5 10 2 25 3 5" xfId="32123" xr:uid="{00000000-0005-0000-0000-00007B7D0000}"/>
    <cellStyle name="Normal 5 10 2 25 3 6" xfId="32124" xr:uid="{00000000-0005-0000-0000-00007C7D0000}"/>
    <cellStyle name="Normal 5 10 2 25 3 7" xfId="32125" xr:uid="{00000000-0005-0000-0000-00007D7D0000}"/>
    <cellStyle name="Normal 5 10 2 25 3 8" xfId="32126" xr:uid="{00000000-0005-0000-0000-00007E7D0000}"/>
    <cellStyle name="Normal 5 10 2 25 3 9" xfId="32127" xr:uid="{00000000-0005-0000-0000-00007F7D0000}"/>
    <cellStyle name="Normal 5 10 2 25 4" xfId="32128" xr:uid="{00000000-0005-0000-0000-0000807D0000}"/>
    <cellStyle name="Normal 5 10 2 25 4 10" xfId="32129" xr:uid="{00000000-0005-0000-0000-0000817D0000}"/>
    <cellStyle name="Normal 5 10 2 25 4 2" xfId="32130" xr:uid="{00000000-0005-0000-0000-0000827D0000}"/>
    <cellStyle name="Normal 5 10 2 25 4 3" xfId="32131" xr:uid="{00000000-0005-0000-0000-0000837D0000}"/>
    <cellStyle name="Normal 5 10 2 25 4 4" xfId="32132" xr:uid="{00000000-0005-0000-0000-0000847D0000}"/>
    <cellStyle name="Normal 5 10 2 25 4 5" xfId="32133" xr:uid="{00000000-0005-0000-0000-0000857D0000}"/>
    <cellStyle name="Normal 5 10 2 25 4 6" xfId="32134" xr:uid="{00000000-0005-0000-0000-0000867D0000}"/>
    <cellStyle name="Normal 5 10 2 25 4 7" xfId="32135" xr:uid="{00000000-0005-0000-0000-0000877D0000}"/>
    <cellStyle name="Normal 5 10 2 25 4 8" xfId="32136" xr:uid="{00000000-0005-0000-0000-0000887D0000}"/>
    <cellStyle name="Normal 5 10 2 25 4 9" xfId="32137" xr:uid="{00000000-0005-0000-0000-0000897D0000}"/>
    <cellStyle name="Normal 5 10 2 25 5" xfId="32138" xr:uid="{00000000-0005-0000-0000-00008A7D0000}"/>
    <cellStyle name="Normal 5 10 2 25 5 10" xfId="32139" xr:uid="{00000000-0005-0000-0000-00008B7D0000}"/>
    <cellStyle name="Normal 5 10 2 25 5 2" xfId="32140" xr:uid="{00000000-0005-0000-0000-00008C7D0000}"/>
    <cellStyle name="Normal 5 10 2 25 5 3" xfId="32141" xr:uid="{00000000-0005-0000-0000-00008D7D0000}"/>
    <cellStyle name="Normal 5 10 2 25 5 4" xfId="32142" xr:uid="{00000000-0005-0000-0000-00008E7D0000}"/>
    <cellStyle name="Normal 5 10 2 25 5 5" xfId="32143" xr:uid="{00000000-0005-0000-0000-00008F7D0000}"/>
    <cellStyle name="Normal 5 10 2 25 5 6" xfId="32144" xr:uid="{00000000-0005-0000-0000-0000907D0000}"/>
    <cellStyle name="Normal 5 10 2 25 5 7" xfId="32145" xr:uid="{00000000-0005-0000-0000-0000917D0000}"/>
    <cellStyle name="Normal 5 10 2 25 5 8" xfId="32146" xr:uid="{00000000-0005-0000-0000-0000927D0000}"/>
    <cellStyle name="Normal 5 10 2 25 5 9" xfId="32147" xr:uid="{00000000-0005-0000-0000-0000937D0000}"/>
    <cellStyle name="Normal 5 10 2 25 6" xfId="32148" xr:uid="{00000000-0005-0000-0000-0000947D0000}"/>
    <cellStyle name="Normal 5 10 2 25 7" xfId="32149" xr:uid="{00000000-0005-0000-0000-0000957D0000}"/>
    <cellStyle name="Normal 5 10 2 25 8" xfId="32150" xr:uid="{00000000-0005-0000-0000-0000967D0000}"/>
    <cellStyle name="Normal 5 10 2 25 9" xfId="32151" xr:uid="{00000000-0005-0000-0000-0000977D0000}"/>
    <cellStyle name="Normal 5 10 2 26" xfId="32152" xr:uid="{00000000-0005-0000-0000-0000987D0000}"/>
    <cellStyle name="Normal 5 10 2 26 10" xfId="32153" xr:uid="{00000000-0005-0000-0000-0000997D0000}"/>
    <cellStyle name="Normal 5 10 2 26 11" xfId="32154" xr:uid="{00000000-0005-0000-0000-00009A7D0000}"/>
    <cellStyle name="Normal 5 10 2 26 12" xfId="32155" xr:uid="{00000000-0005-0000-0000-00009B7D0000}"/>
    <cellStyle name="Normal 5 10 2 26 13" xfId="32156" xr:uid="{00000000-0005-0000-0000-00009C7D0000}"/>
    <cellStyle name="Normal 5 10 2 26 14" xfId="32157" xr:uid="{00000000-0005-0000-0000-00009D7D0000}"/>
    <cellStyle name="Normal 5 10 2 26 2" xfId="32158" xr:uid="{00000000-0005-0000-0000-00009E7D0000}"/>
    <cellStyle name="Normal 5 10 2 26 2 10" xfId="32159" xr:uid="{00000000-0005-0000-0000-00009F7D0000}"/>
    <cellStyle name="Normal 5 10 2 26 2 2" xfId="32160" xr:uid="{00000000-0005-0000-0000-0000A07D0000}"/>
    <cellStyle name="Normal 5 10 2 26 2 3" xfId="32161" xr:uid="{00000000-0005-0000-0000-0000A17D0000}"/>
    <cellStyle name="Normal 5 10 2 26 2 4" xfId="32162" xr:uid="{00000000-0005-0000-0000-0000A27D0000}"/>
    <cellStyle name="Normal 5 10 2 26 2 5" xfId="32163" xr:uid="{00000000-0005-0000-0000-0000A37D0000}"/>
    <cellStyle name="Normal 5 10 2 26 2 6" xfId="32164" xr:uid="{00000000-0005-0000-0000-0000A47D0000}"/>
    <cellStyle name="Normal 5 10 2 26 2 7" xfId="32165" xr:uid="{00000000-0005-0000-0000-0000A57D0000}"/>
    <cellStyle name="Normal 5 10 2 26 2 8" xfId="32166" xr:uid="{00000000-0005-0000-0000-0000A67D0000}"/>
    <cellStyle name="Normal 5 10 2 26 2 9" xfId="32167" xr:uid="{00000000-0005-0000-0000-0000A77D0000}"/>
    <cellStyle name="Normal 5 10 2 26 3" xfId="32168" xr:uid="{00000000-0005-0000-0000-0000A87D0000}"/>
    <cellStyle name="Normal 5 10 2 26 3 10" xfId="32169" xr:uid="{00000000-0005-0000-0000-0000A97D0000}"/>
    <cellStyle name="Normal 5 10 2 26 3 2" xfId="32170" xr:uid="{00000000-0005-0000-0000-0000AA7D0000}"/>
    <cellStyle name="Normal 5 10 2 26 3 3" xfId="32171" xr:uid="{00000000-0005-0000-0000-0000AB7D0000}"/>
    <cellStyle name="Normal 5 10 2 26 3 4" xfId="32172" xr:uid="{00000000-0005-0000-0000-0000AC7D0000}"/>
    <cellStyle name="Normal 5 10 2 26 3 5" xfId="32173" xr:uid="{00000000-0005-0000-0000-0000AD7D0000}"/>
    <cellStyle name="Normal 5 10 2 26 3 6" xfId="32174" xr:uid="{00000000-0005-0000-0000-0000AE7D0000}"/>
    <cellStyle name="Normal 5 10 2 26 3 7" xfId="32175" xr:uid="{00000000-0005-0000-0000-0000AF7D0000}"/>
    <cellStyle name="Normal 5 10 2 26 3 8" xfId="32176" xr:uid="{00000000-0005-0000-0000-0000B07D0000}"/>
    <cellStyle name="Normal 5 10 2 26 3 9" xfId="32177" xr:uid="{00000000-0005-0000-0000-0000B17D0000}"/>
    <cellStyle name="Normal 5 10 2 26 4" xfId="32178" xr:uid="{00000000-0005-0000-0000-0000B27D0000}"/>
    <cellStyle name="Normal 5 10 2 26 4 10" xfId="32179" xr:uid="{00000000-0005-0000-0000-0000B37D0000}"/>
    <cellStyle name="Normal 5 10 2 26 4 2" xfId="32180" xr:uid="{00000000-0005-0000-0000-0000B47D0000}"/>
    <cellStyle name="Normal 5 10 2 26 4 3" xfId="32181" xr:uid="{00000000-0005-0000-0000-0000B57D0000}"/>
    <cellStyle name="Normal 5 10 2 26 4 4" xfId="32182" xr:uid="{00000000-0005-0000-0000-0000B67D0000}"/>
    <cellStyle name="Normal 5 10 2 26 4 5" xfId="32183" xr:uid="{00000000-0005-0000-0000-0000B77D0000}"/>
    <cellStyle name="Normal 5 10 2 26 4 6" xfId="32184" xr:uid="{00000000-0005-0000-0000-0000B87D0000}"/>
    <cellStyle name="Normal 5 10 2 26 4 7" xfId="32185" xr:uid="{00000000-0005-0000-0000-0000B97D0000}"/>
    <cellStyle name="Normal 5 10 2 26 4 8" xfId="32186" xr:uid="{00000000-0005-0000-0000-0000BA7D0000}"/>
    <cellStyle name="Normal 5 10 2 26 4 9" xfId="32187" xr:uid="{00000000-0005-0000-0000-0000BB7D0000}"/>
    <cellStyle name="Normal 5 10 2 26 5" xfId="32188" xr:uid="{00000000-0005-0000-0000-0000BC7D0000}"/>
    <cellStyle name="Normal 5 10 2 26 5 10" xfId="32189" xr:uid="{00000000-0005-0000-0000-0000BD7D0000}"/>
    <cellStyle name="Normal 5 10 2 26 5 2" xfId="32190" xr:uid="{00000000-0005-0000-0000-0000BE7D0000}"/>
    <cellStyle name="Normal 5 10 2 26 5 3" xfId="32191" xr:uid="{00000000-0005-0000-0000-0000BF7D0000}"/>
    <cellStyle name="Normal 5 10 2 26 5 4" xfId="32192" xr:uid="{00000000-0005-0000-0000-0000C07D0000}"/>
    <cellStyle name="Normal 5 10 2 26 5 5" xfId="32193" xr:uid="{00000000-0005-0000-0000-0000C17D0000}"/>
    <cellStyle name="Normal 5 10 2 26 5 6" xfId="32194" xr:uid="{00000000-0005-0000-0000-0000C27D0000}"/>
    <cellStyle name="Normal 5 10 2 26 5 7" xfId="32195" xr:uid="{00000000-0005-0000-0000-0000C37D0000}"/>
    <cellStyle name="Normal 5 10 2 26 5 8" xfId="32196" xr:uid="{00000000-0005-0000-0000-0000C47D0000}"/>
    <cellStyle name="Normal 5 10 2 26 5 9" xfId="32197" xr:uid="{00000000-0005-0000-0000-0000C57D0000}"/>
    <cellStyle name="Normal 5 10 2 26 6" xfId="32198" xr:uid="{00000000-0005-0000-0000-0000C67D0000}"/>
    <cellStyle name="Normal 5 10 2 26 7" xfId="32199" xr:uid="{00000000-0005-0000-0000-0000C77D0000}"/>
    <cellStyle name="Normal 5 10 2 26 8" xfId="32200" xr:uid="{00000000-0005-0000-0000-0000C87D0000}"/>
    <cellStyle name="Normal 5 10 2 26 9" xfId="32201" xr:uid="{00000000-0005-0000-0000-0000C97D0000}"/>
    <cellStyle name="Normal 5 10 2 27" xfId="32202" xr:uid="{00000000-0005-0000-0000-0000CA7D0000}"/>
    <cellStyle name="Normal 5 10 2 27 10" xfId="32203" xr:uid="{00000000-0005-0000-0000-0000CB7D0000}"/>
    <cellStyle name="Normal 5 10 2 27 11" xfId="32204" xr:uid="{00000000-0005-0000-0000-0000CC7D0000}"/>
    <cellStyle name="Normal 5 10 2 27 12" xfId="32205" xr:uid="{00000000-0005-0000-0000-0000CD7D0000}"/>
    <cellStyle name="Normal 5 10 2 27 13" xfId="32206" xr:uid="{00000000-0005-0000-0000-0000CE7D0000}"/>
    <cellStyle name="Normal 5 10 2 27 14" xfId="32207" xr:uid="{00000000-0005-0000-0000-0000CF7D0000}"/>
    <cellStyle name="Normal 5 10 2 27 2" xfId="32208" xr:uid="{00000000-0005-0000-0000-0000D07D0000}"/>
    <cellStyle name="Normal 5 10 2 27 2 10" xfId="32209" xr:uid="{00000000-0005-0000-0000-0000D17D0000}"/>
    <cellStyle name="Normal 5 10 2 27 2 2" xfId="32210" xr:uid="{00000000-0005-0000-0000-0000D27D0000}"/>
    <cellStyle name="Normal 5 10 2 27 2 3" xfId="32211" xr:uid="{00000000-0005-0000-0000-0000D37D0000}"/>
    <cellStyle name="Normal 5 10 2 27 2 4" xfId="32212" xr:uid="{00000000-0005-0000-0000-0000D47D0000}"/>
    <cellStyle name="Normal 5 10 2 27 2 5" xfId="32213" xr:uid="{00000000-0005-0000-0000-0000D57D0000}"/>
    <cellStyle name="Normal 5 10 2 27 2 6" xfId="32214" xr:uid="{00000000-0005-0000-0000-0000D67D0000}"/>
    <cellStyle name="Normal 5 10 2 27 2 7" xfId="32215" xr:uid="{00000000-0005-0000-0000-0000D77D0000}"/>
    <cellStyle name="Normal 5 10 2 27 2 8" xfId="32216" xr:uid="{00000000-0005-0000-0000-0000D87D0000}"/>
    <cellStyle name="Normal 5 10 2 27 2 9" xfId="32217" xr:uid="{00000000-0005-0000-0000-0000D97D0000}"/>
    <cellStyle name="Normal 5 10 2 27 3" xfId="32218" xr:uid="{00000000-0005-0000-0000-0000DA7D0000}"/>
    <cellStyle name="Normal 5 10 2 27 3 10" xfId="32219" xr:uid="{00000000-0005-0000-0000-0000DB7D0000}"/>
    <cellStyle name="Normal 5 10 2 27 3 2" xfId="32220" xr:uid="{00000000-0005-0000-0000-0000DC7D0000}"/>
    <cellStyle name="Normal 5 10 2 27 3 3" xfId="32221" xr:uid="{00000000-0005-0000-0000-0000DD7D0000}"/>
    <cellStyle name="Normal 5 10 2 27 3 4" xfId="32222" xr:uid="{00000000-0005-0000-0000-0000DE7D0000}"/>
    <cellStyle name="Normal 5 10 2 27 3 5" xfId="32223" xr:uid="{00000000-0005-0000-0000-0000DF7D0000}"/>
    <cellStyle name="Normal 5 10 2 27 3 6" xfId="32224" xr:uid="{00000000-0005-0000-0000-0000E07D0000}"/>
    <cellStyle name="Normal 5 10 2 27 3 7" xfId="32225" xr:uid="{00000000-0005-0000-0000-0000E17D0000}"/>
    <cellStyle name="Normal 5 10 2 27 3 8" xfId="32226" xr:uid="{00000000-0005-0000-0000-0000E27D0000}"/>
    <cellStyle name="Normal 5 10 2 27 3 9" xfId="32227" xr:uid="{00000000-0005-0000-0000-0000E37D0000}"/>
    <cellStyle name="Normal 5 10 2 27 4" xfId="32228" xr:uid="{00000000-0005-0000-0000-0000E47D0000}"/>
    <cellStyle name="Normal 5 10 2 27 4 10" xfId="32229" xr:uid="{00000000-0005-0000-0000-0000E57D0000}"/>
    <cellStyle name="Normal 5 10 2 27 4 2" xfId="32230" xr:uid="{00000000-0005-0000-0000-0000E67D0000}"/>
    <cellStyle name="Normal 5 10 2 27 4 3" xfId="32231" xr:uid="{00000000-0005-0000-0000-0000E77D0000}"/>
    <cellStyle name="Normal 5 10 2 27 4 4" xfId="32232" xr:uid="{00000000-0005-0000-0000-0000E87D0000}"/>
    <cellStyle name="Normal 5 10 2 27 4 5" xfId="32233" xr:uid="{00000000-0005-0000-0000-0000E97D0000}"/>
    <cellStyle name="Normal 5 10 2 27 4 6" xfId="32234" xr:uid="{00000000-0005-0000-0000-0000EA7D0000}"/>
    <cellStyle name="Normal 5 10 2 27 4 7" xfId="32235" xr:uid="{00000000-0005-0000-0000-0000EB7D0000}"/>
    <cellStyle name="Normal 5 10 2 27 4 8" xfId="32236" xr:uid="{00000000-0005-0000-0000-0000EC7D0000}"/>
    <cellStyle name="Normal 5 10 2 27 4 9" xfId="32237" xr:uid="{00000000-0005-0000-0000-0000ED7D0000}"/>
    <cellStyle name="Normal 5 10 2 27 5" xfId="32238" xr:uid="{00000000-0005-0000-0000-0000EE7D0000}"/>
    <cellStyle name="Normal 5 10 2 27 5 10" xfId="32239" xr:uid="{00000000-0005-0000-0000-0000EF7D0000}"/>
    <cellStyle name="Normal 5 10 2 27 5 2" xfId="32240" xr:uid="{00000000-0005-0000-0000-0000F07D0000}"/>
    <cellStyle name="Normal 5 10 2 27 5 3" xfId="32241" xr:uid="{00000000-0005-0000-0000-0000F17D0000}"/>
    <cellStyle name="Normal 5 10 2 27 5 4" xfId="32242" xr:uid="{00000000-0005-0000-0000-0000F27D0000}"/>
    <cellStyle name="Normal 5 10 2 27 5 5" xfId="32243" xr:uid="{00000000-0005-0000-0000-0000F37D0000}"/>
    <cellStyle name="Normal 5 10 2 27 5 6" xfId="32244" xr:uid="{00000000-0005-0000-0000-0000F47D0000}"/>
    <cellStyle name="Normal 5 10 2 27 5 7" xfId="32245" xr:uid="{00000000-0005-0000-0000-0000F57D0000}"/>
    <cellStyle name="Normal 5 10 2 27 5 8" xfId="32246" xr:uid="{00000000-0005-0000-0000-0000F67D0000}"/>
    <cellStyle name="Normal 5 10 2 27 5 9" xfId="32247" xr:uid="{00000000-0005-0000-0000-0000F77D0000}"/>
    <cellStyle name="Normal 5 10 2 27 6" xfId="32248" xr:uid="{00000000-0005-0000-0000-0000F87D0000}"/>
    <cellStyle name="Normal 5 10 2 27 7" xfId="32249" xr:uid="{00000000-0005-0000-0000-0000F97D0000}"/>
    <cellStyle name="Normal 5 10 2 27 8" xfId="32250" xr:uid="{00000000-0005-0000-0000-0000FA7D0000}"/>
    <cellStyle name="Normal 5 10 2 27 9" xfId="32251" xr:uid="{00000000-0005-0000-0000-0000FB7D0000}"/>
    <cellStyle name="Normal 5 10 2 28" xfId="32252" xr:uid="{00000000-0005-0000-0000-0000FC7D0000}"/>
    <cellStyle name="Normal 5 10 2 28 10" xfId="32253" xr:uid="{00000000-0005-0000-0000-0000FD7D0000}"/>
    <cellStyle name="Normal 5 10 2 28 11" xfId="32254" xr:uid="{00000000-0005-0000-0000-0000FE7D0000}"/>
    <cellStyle name="Normal 5 10 2 28 12" xfId="32255" xr:uid="{00000000-0005-0000-0000-0000FF7D0000}"/>
    <cellStyle name="Normal 5 10 2 28 13" xfId="32256" xr:uid="{00000000-0005-0000-0000-0000007E0000}"/>
    <cellStyle name="Normal 5 10 2 28 14" xfId="32257" xr:uid="{00000000-0005-0000-0000-0000017E0000}"/>
    <cellStyle name="Normal 5 10 2 28 2" xfId="32258" xr:uid="{00000000-0005-0000-0000-0000027E0000}"/>
    <cellStyle name="Normal 5 10 2 28 2 10" xfId="32259" xr:uid="{00000000-0005-0000-0000-0000037E0000}"/>
    <cellStyle name="Normal 5 10 2 28 2 2" xfId="32260" xr:uid="{00000000-0005-0000-0000-0000047E0000}"/>
    <cellStyle name="Normal 5 10 2 28 2 3" xfId="32261" xr:uid="{00000000-0005-0000-0000-0000057E0000}"/>
    <cellStyle name="Normal 5 10 2 28 2 4" xfId="32262" xr:uid="{00000000-0005-0000-0000-0000067E0000}"/>
    <cellStyle name="Normal 5 10 2 28 2 5" xfId="32263" xr:uid="{00000000-0005-0000-0000-0000077E0000}"/>
    <cellStyle name="Normal 5 10 2 28 2 6" xfId="32264" xr:uid="{00000000-0005-0000-0000-0000087E0000}"/>
    <cellStyle name="Normal 5 10 2 28 2 7" xfId="32265" xr:uid="{00000000-0005-0000-0000-0000097E0000}"/>
    <cellStyle name="Normal 5 10 2 28 2 8" xfId="32266" xr:uid="{00000000-0005-0000-0000-00000A7E0000}"/>
    <cellStyle name="Normal 5 10 2 28 2 9" xfId="32267" xr:uid="{00000000-0005-0000-0000-00000B7E0000}"/>
    <cellStyle name="Normal 5 10 2 28 3" xfId="32268" xr:uid="{00000000-0005-0000-0000-00000C7E0000}"/>
    <cellStyle name="Normal 5 10 2 28 3 10" xfId="32269" xr:uid="{00000000-0005-0000-0000-00000D7E0000}"/>
    <cellStyle name="Normal 5 10 2 28 3 2" xfId="32270" xr:uid="{00000000-0005-0000-0000-00000E7E0000}"/>
    <cellStyle name="Normal 5 10 2 28 3 3" xfId="32271" xr:uid="{00000000-0005-0000-0000-00000F7E0000}"/>
    <cellStyle name="Normal 5 10 2 28 3 4" xfId="32272" xr:uid="{00000000-0005-0000-0000-0000107E0000}"/>
    <cellStyle name="Normal 5 10 2 28 3 5" xfId="32273" xr:uid="{00000000-0005-0000-0000-0000117E0000}"/>
    <cellStyle name="Normal 5 10 2 28 3 6" xfId="32274" xr:uid="{00000000-0005-0000-0000-0000127E0000}"/>
    <cellStyle name="Normal 5 10 2 28 3 7" xfId="32275" xr:uid="{00000000-0005-0000-0000-0000137E0000}"/>
    <cellStyle name="Normal 5 10 2 28 3 8" xfId="32276" xr:uid="{00000000-0005-0000-0000-0000147E0000}"/>
    <cellStyle name="Normal 5 10 2 28 3 9" xfId="32277" xr:uid="{00000000-0005-0000-0000-0000157E0000}"/>
    <cellStyle name="Normal 5 10 2 28 4" xfId="32278" xr:uid="{00000000-0005-0000-0000-0000167E0000}"/>
    <cellStyle name="Normal 5 10 2 28 4 10" xfId="32279" xr:uid="{00000000-0005-0000-0000-0000177E0000}"/>
    <cellStyle name="Normal 5 10 2 28 4 2" xfId="32280" xr:uid="{00000000-0005-0000-0000-0000187E0000}"/>
    <cellStyle name="Normal 5 10 2 28 4 3" xfId="32281" xr:uid="{00000000-0005-0000-0000-0000197E0000}"/>
    <cellStyle name="Normal 5 10 2 28 4 4" xfId="32282" xr:uid="{00000000-0005-0000-0000-00001A7E0000}"/>
    <cellStyle name="Normal 5 10 2 28 4 5" xfId="32283" xr:uid="{00000000-0005-0000-0000-00001B7E0000}"/>
    <cellStyle name="Normal 5 10 2 28 4 6" xfId="32284" xr:uid="{00000000-0005-0000-0000-00001C7E0000}"/>
    <cellStyle name="Normal 5 10 2 28 4 7" xfId="32285" xr:uid="{00000000-0005-0000-0000-00001D7E0000}"/>
    <cellStyle name="Normal 5 10 2 28 4 8" xfId="32286" xr:uid="{00000000-0005-0000-0000-00001E7E0000}"/>
    <cellStyle name="Normal 5 10 2 28 4 9" xfId="32287" xr:uid="{00000000-0005-0000-0000-00001F7E0000}"/>
    <cellStyle name="Normal 5 10 2 28 5" xfId="32288" xr:uid="{00000000-0005-0000-0000-0000207E0000}"/>
    <cellStyle name="Normal 5 10 2 28 5 10" xfId="32289" xr:uid="{00000000-0005-0000-0000-0000217E0000}"/>
    <cellStyle name="Normal 5 10 2 28 5 2" xfId="32290" xr:uid="{00000000-0005-0000-0000-0000227E0000}"/>
    <cellStyle name="Normal 5 10 2 28 5 3" xfId="32291" xr:uid="{00000000-0005-0000-0000-0000237E0000}"/>
    <cellStyle name="Normal 5 10 2 28 5 4" xfId="32292" xr:uid="{00000000-0005-0000-0000-0000247E0000}"/>
    <cellStyle name="Normal 5 10 2 28 5 5" xfId="32293" xr:uid="{00000000-0005-0000-0000-0000257E0000}"/>
    <cellStyle name="Normal 5 10 2 28 5 6" xfId="32294" xr:uid="{00000000-0005-0000-0000-0000267E0000}"/>
    <cellStyle name="Normal 5 10 2 28 5 7" xfId="32295" xr:uid="{00000000-0005-0000-0000-0000277E0000}"/>
    <cellStyle name="Normal 5 10 2 28 5 8" xfId="32296" xr:uid="{00000000-0005-0000-0000-0000287E0000}"/>
    <cellStyle name="Normal 5 10 2 28 5 9" xfId="32297" xr:uid="{00000000-0005-0000-0000-0000297E0000}"/>
    <cellStyle name="Normal 5 10 2 28 6" xfId="32298" xr:uid="{00000000-0005-0000-0000-00002A7E0000}"/>
    <cellStyle name="Normal 5 10 2 28 7" xfId="32299" xr:uid="{00000000-0005-0000-0000-00002B7E0000}"/>
    <cellStyle name="Normal 5 10 2 28 8" xfId="32300" xr:uid="{00000000-0005-0000-0000-00002C7E0000}"/>
    <cellStyle name="Normal 5 10 2 28 9" xfId="32301" xr:uid="{00000000-0005-0000-0000-00002D7E0000}"/>
    <cellStyle name="Normal 5 10 2 29" xfId="32302" xr:uid="{00000000-0005-0000-0000-00002E7E0000}"/>
    <cellStyle name="Normal 5 10 2 29 10" xfId="32303" xr:uid="{00000000-0005-0000-0000-00002F7E0000}"/>
    <cellStyle name="Normal 5 10 2 29 11" xfId="32304" xr:uid="{00000000-0005-0000-0000-0000307E0000}"/>
    <cellStyle name="Normal 5 10 2 29 12" xfId="32305" xr:uid="{00000000-0005-0000-0000-0000317E0000}"/>
    <cellStyle name="Normal 5 10 2 29 13" xfId="32306" xr:uid="{00000000-0005-0000-0000-0000327E0000}"/>
    <cellStyle name="Normal 5 10 2 29 14" xfId="32307" xr:uid="{00000000-0005-0000-0000-0000337E0000}"/>
    <cellStyle name="Normal 5 10 2 29 2" xfId="32308" xr:uid="{00000000-0005-0000-0000-0000347E0000}"/>
    <cellStyle name="Normal 5 10 2 29 2 10" xfId="32309" xr:uid="{00000000-0005-0000-0000-0000357E0000}"/>
    <cellStyle name="Normal 5 10 2 29 2 2" xfId="32310" xr:uid="{00000000-0005-0000-0000-0000367E0000}"/>
    <cellStyle name="Normal 5 10 2 29 2 3" xfId="32311" xr:uid="{00000000-0005-0000-0000-0000377E0000}"/>
    <cellStyle name="Normal 5 10 2 29 2 4" xfId="32312" xr:uid="{00000000-0005-0000-0000-0000387E0000}"/>
    <cellStyle name="Normal 5 10 2 29 2 5" xfId="32313" xr:uid="{00000000-0005-0000-0000-0000397E0000}"/>
    <cellStyle name="Normal 5 10 2 29 2 6" xfId="32314" xr:uid="{00000000-0005-0000-0000-00003A7E0000}"/>
    <cellStyle name="Normal 5 10 2 29 2 7" xfId="32315" xr:uid="{00000000-0005-0000-0000-00003B7E0000}"/>
    <cellStyle name="Normal 5 10 2 29 2 8" xfId="32316" xr:uid="{00000000-0005-0000-0000-00003C7E0000}"/>
    <cellStyle name="Normal 5 10 2 29 2 9" xfId="32317" xr:uid="{00000000-0005-0000-0000-00003D7E0000}"/>
    <cellStyle name="Normal 5 10 2 29 3" xfId="32318" xr:uid="{00000000-0005-0000-0000-00003E7E0000}"/>
    <cellStyle name="Normal 5 10 2 29 3 10" xfId="32319" xr:uid="{00000000-0005-0000-0000-00003F7E0000}"/>
    <cellStyle name="Normal 5 10 2 29 3 2" xfId="32320" xr:uid="{00000000-0005-0000-0000-0000407E0000}"/>
    <cellStyle name="Normal 5 10 2 29 3 3" xfId="32321" xr:uid="{00000000-0005-0000-0000-0000417E0000}"/>
    <cellStyle name="Normal 5 10 2 29 3 4" xfId="32322" xr:uid="{00000000-0005-0000-0000-0000427E0000}"/>
    <cellStyle name="Normal 5 10 2 29 3 5" xfId="32323" xr:uid="{00000000-0005-0000-0000-0000437E0000}"/>
    <cellStyle name="Normal 5 10 2 29 3 6" xfId="32324" xr:uid="{00000000-0005-0000-0000-0000447E0000}"/>
    <cellStyle name="Normal 5 10 2 29 3 7" xfId="32325" xr:uid="{00000000-0005-0000-0000-0000457E0000}"/>
    <cellStyle name="Normal 5 10 2 29 3 8" xfId="32326" xr:uid="{00000000-0005-0000-0000-0000467E0000}"/>
    <cellStyle name="Normal 5 10 2 29 3 9" xfId="32327" xr:uid="{00000000-0005-0000-0000-0000477E0000}"/>
    <cellStyle name="Normal 5 10 2 29 4" xfId="32328" xr:uid="{00000000-0005-0000-0000-0000487E0000}"/>
    <cellStyle name="Normal 5 10 2 29 4 10" xfId="32329" xr:uid="{00000000-0005-0000-0000-0000497E0000}"/>
    <cellStyle name="Normal 5 10 2 29 4 2" xfId="32330" xr:uid="{00000000-0005-0000-0000-00004A7E0000}"/>
    <cellStyle name="Normal 5 10 2 29 4 3" xfId="32331" xr:uid="{00000000-0005-0000-0000-00004B7E0000}"/>
    <cellStyle name="Normal 5 10 2 29 4 4" xfId="32332" xr:uid="{00000000-0005-0000-0000-00004C7E0000}"/>
    <cellStyle name="Normal 5 10 2 29 4 5" xfId="32333" xr:uid="{00000000-0005-0000-0000-00004D7E0000}"/>
    <cellStyle name="Normal 5 10 2 29 4 6" xfId="32334" xr:uid="{00000000-0005-0000-0000-00004E7E0000}"/>
    <cellStyle name="Normal 5 10 2 29 4 7" xfId="32335" xr:uid="{00000000-0005-0000-0000-00004F7E0000}"/>
    <cellStyle name="Normal 5 10 2 29 4 8" xfId="32336" xr:uid="{00000000-0005-0000-0000-0000507E0000}"/>
    <cellStyle name="Normal 5 10 2 29 4 9" xfId="32337" xr:uid="{00000000-0005-0000-0000-0000517E0000}"/>
    <cellStyle name="Normal 5 10 2 29 5" xfId="32338" xr:uid="{00000000-0005-0000-0000-0000527E0000}"/>
    <cellStyle name="Normal 5 10 2 29 5 10" xfId="32339" xr:uid="{00000000-0005-0000-0000-0000537E0000}"/>
    <cellStyle name="Normal 5 10 2 29 5 2" xfId="32340" xr:uid="{00000000-0005-0000-0000-0000547E0000}"/>
    <cellStyle name="Normal 5 10 2 29 5 3" xfId="32341" xr:uid="{00000000-0005-0000-0000-0000557E0000}"/>
    <cellStyle name="Normal 5 10 2 29 5 4" xfId="32342" xr:uid="{00000000-0005-0000-0000-0000567E0000}"/>
    <cellStyle name="Normal 5 10 2 29 5 5" xfId="32343" xr:uid="{00000000-0005-0000-0000-0000577E0000}"/>
    <cellStyle name="Normal 5 10 2 29 5 6" xfId="32344" xr:uid="{00000000-0005-0000-0000-0000587E0000}"/>
    <cellStyle name="Normal 5 10 2 29 5 7" xfId="32345" xr:uid="{00000000-0005-0000-0000-0000597E0000}"/>
    <cellStyle name="Normal 5 10 2 29 5 8" xfId="32346" xr:uid="{00000000-0005-0000-0000-00005A7E0000}"/>
    <cellStyle name="Normal 5 10 2 29 5 9" xfId="32347" xr:uid="{00000000-0005-0000-0000-00005B7E0000}"/>
    <cellStyle name="Normal 5 10 2 29 6" xfId="32348" xr:uid="{00000000-0005-0000-0000-00005C7E0000}"/>
    <cellStyle name="Normal 5 10 2 29 7" xfId="32349" xr:uid="{00000000-0005-0000-0000-00005D7E0000}"/>
    <cellStyle name="Normal 5 10 2 29 8" xfId="32350" xr:uid="{00000000-0005-0000-0000-00005E7E0000}"/>
    <cellStyle name="Normal 5 10 2 29 9" xfId="32351" xr:uid="{00000000-0005-0000-0000-00005F7E0000}"/>
    <cellStyle name="Normal 5 10 2 3" xfId="32352" xr:uid="{00000000-0005-0000-0000-0000607E0000}"/>
    <cellStyle name="Normal 5 10 2 3 10" xfId="32353" xr:uid="{00000000-0005-0000-0000-0000617E0000}"/>
    <cellStyle name="Normal 5 10 2 3 11" xfId="32354" xr:uid="{00000000-0005-0000-0000-0000627E0000}"/>
    <cellStyle name="Normal 5 10 2 3 12" xfId="32355" xr:uid="{00000000-0005-0000-0000-0000637E0000}"/>
    <cellStyle name="Normal 5 10 2 3 13" xfId="32356" xr:uid="{00000000-0005-0000-0000-0000647E0000}"/>
    <cellStyle name="Normal 5 10 2 3 14" xfId="32357" xr:uid="{00000000-0005-0000-0000-0000657E0000}"/>
    <cellStyle name="Normal 5 10 2 3 2" xfId="32358" xr:uid="{00000000-0005-0000-0000-0000667E0000}"/>
    <cellStyle name="Normal 5 10 2 3 2 10" xfId="32359" xr:uid="{00000000-0005-0000-0000-0000677E0000}"/>
    <cellStyle name="Normal 5 10 2 3 2 2" xfId="32360" xr:uid="{00000000-0005-0000-0000-0000687E0000}"/>
    <cellStyle name="Normal 5 10 2 3 2 3" xfId="32361" xr:uid="{00000000-0005-0000-0000-0000697E0000}"/>
    <cellStyle name="Normal 5 10 2 3 2 4" xfId="32362" xr:uid="{00000000-0005-0000-0000-00006A7E0000}"/>
    <cellStyle name="Normal 5 10 2 3 2 5" xfId="32363" xr:uid="{00000000-0005-0000-0000-00006B7E0000}"/>
    <cellStyle name="Normal 5 10 2 3 2 6" xfId="32364" xr:uid="{00000000-0005-0000-0000-00006C7E0000}"/>
    <cellStyle name="Normal 5 10 2 3 2 7" xfId="32365" xr:uid="{00000000-0005-0000-0000-00006D7E0000}"/>
    <cellStyle name="Normal 5 10 2 3 2 8" xfId="32366" xr:uid="{00000000-0005-0000-0000-00006E7E0000}"/>
    <cellStyle name="Normal 5 10 2 3 2 9" xfId="32367" xr:uid="{00000000-0005-0000-0000-00006F7E0000}"/>
    <cellStyle name="Normal 5 10 2 3 3" xfId="32368" xr:uid="{00000000-0005-0000-0000-0000707E0000}"/>
    <cellStyle name="Normal 5 10 2 3 3 10" xfId="32369" xr:uid="{00000000-0005-0000-0000-0000717E0000}"/>
    <cellStyle name="Normal 5 10 2 3 3 2" xfId="32370" xr:uid="{00000000-0005-0000-0000-0000727E0000}"/>
    <cellStyle name="Normal 5 10 2 3 3 3" xfId="32371" xr:uid="{00000000-0005-0000-0000-0000737E0000}"/>
    <cellStyle name="Normal 5 10 2 3 3 4" xfId="32372" xr:uid="{00000000-0005-0000-0000-0000747E0000}"/>
    <cellStyle name="Normal 5 10 2 3 3 5" xfId="32373" xr:uid="{00000000-0005-0000-0000-0000757E0000}"/>
    <cellStyle name="Normal 5 10 2 3 3 6" xfId="32374" xr:uid="{00000000-0005-0000-0000-0000767E0000}"/>
    <cellStyle name="Normal 5 10 2 3 3 7" xfId="32375" xr:uid="{00000000-0005-0000-0000-0000777E0000}"/>
    <cellStyle name="Normal 5 10 2 3 3 8" xfId="32376" xr:uid="{00000000-0005-0000-0000-0000787E0000}"/>
    <cellStyle name="Normal 5 10 2 3 3 9" xfId="32377" xr:uid="{00000000-0005-0000-0000-0000797E0000}"/>
    <cellStyle name="Normal 5 10 2 3 4" xfId="32378" xr:uid="{00000000-0005-0000-0000-00007A7E0000}"/>
    <cellStyle name="Normal 5 10 2 3 4 10" xfId="32379" xr:uid="{00000000-0005-0000-0000-00007B7E0000}"/>
    <cellStyle name="Normal 5 10 2 3 4 2" xfId="32380" xr:uid="{00000000-0005-0000-0000-00007C7E0000}"/>
    <cellStyle name="Normal 5 10 2 3 4 3" xfId="32381" xr:uid="{00000000-0005-0000-0000-00007D7E0000}"/>
    <cellStyle name="Normal 5 10 2 3 4 4" xfId="32382" xr:uid="{00000000-0005-0000-0000-00007E7E0000}"/>
    <cellStyle name="Normal 5 10 2 3 4 5" xfId="32383" xr:uid="{00000000-0005-0000-0000-00007F7E0000}"/>
    <cellStyle name="Normal 5 10 2 3 4 6" xfId="32384" xr:uid="{00000000-0005-0000-0000-0000807E0000}"/>
    <cellStyle name="Normal 5 10 2 3 4 7" xfId="32385" xr:uid="{00000000-0005-0000-0000-0000817E0000}"/>
    <cellStyle name="Normal 5 10 2 3 4 8" xfId="32386" xr:uid="{00000000-0005-0000-0000-0000827E0000}"/>
    <cellStyle name="Normal 5 10 2 3 4 9" xfId="32387" xr:uid="{00000000-0005-0000-0000-0000837E0000}"/>
    <cellStyle name="Normal 5 10 2 3 5" xfId="32388" xr:uid="{00000000-0005-0000-0000-0000847E0000}"/>
    <cellStyle name="Normal 5 10 2 3 5 10" xfId="32389" xr:uid="{00000000-0005-0000-0000-0000857E0000}"/>
    <cellStyle name="Normal 5 10 2 3 5 2" xfId="32390" xr:uid="{00000000-0005-0000-0000-0000867E0000}"/>
    <cellStyle name="Normal 5 10 2 3 5 3" xfId="32391" xr:uid="{00000000-0005-0000-0000-0000877E0000}"/>
    <cellStyle name="Normal 5 10 2 3 5 4" xfId="32392" xr:uid="{00000000-0005-0000-0000-0000887E0000}"/>
    <cellStyle name="Normal 5 10 2 3 5 5" xfId="32393" xr:uid="{00000000-0005-0000-0000-0000897E0000}"/>
    <cellStyle name="Normal 5 10 2 3 5 6" xfId="32394" xr:uid="{00000000-0005-0000-0000-00008A7E0000}"/>
    <cellStyle name="Normal 5 10 2 3 5 7" xfId="32395" xr:uid="{00000000-0005-0000-0000-00008B7E0000}"/>
    <cellStyle name="Normal 5 10 2 3 5 8" xfId="32396" xr:uid="{00000000-0005-0000-0000-00008C7E0000}"/>
    <cellStyle name="Normal 5 10 2 3 5 9" xfId="32397" xr:uid="{00000000-0005-0000-0000-00008D7E0000}"/>
    <cellStyle name="Normal 5 10 2 3 6" xfId="32398" xr:uid="{00000000-0005-0000-0000-00008E7E0000}"/>
    <cellStyle name="Normal 5 10 2 3 7" xfId="32399" xr:uid="{00000000-0005-0000-0000-00008F7E0000}"/>
    <cellStyle name="Normal 5 10 2 3 8" xfId="32400" xr:uid="{00000000-0005-0000-0000-0000907E0000}"/>
    <cellStyle name="Normal 5 10 2 3 9" xfId="32401" xr:uid="{00000000-0005-0000-0000-0000917E0000}"/>
    <cellStyle name="Normal 5 10 2 30" xfId="32402" xr:uid="{00000000-0005-0000-0000-0000927E0000}"/>
    <cellStyle name="Normal 5 10 2 30 10" xfId="32403" xr:uid="{00000000-0005-0000-0000-0000937E0000}"/>
    <cellStyle name="Normal 5 10 2 30 11" xfId="32404" xr:uid="{00000000-0005-0000-0000-0000947E0000}"/>
    <cellStyle name="Normal 5 10 2 30 12" xfId="32405" xr:uid="{00000000-0005-0000-0000-0000957E0000}"/>
    <cellStyle name="Normal 5 10 2 30 13" xfId="32406" xr:uid="{00000000-0005-0000-0000-0000967E0000}"/>
    <cellStyle name="Normal 5 10 2 30 14" xfId="32407" xr:uid="{00000000-0005-0000-0000-0000977E0000}"/>
    <cellStyle name="Normal 5 10 2 30 2" xfId="32408" xr:uid="{00000000-0005-0000-0000-0000987E0000}"/>
    <cellStyle name="Normal 5 10 2 30 2 10" xfId="32409" xr:uid="{00000000-0005-0000-0000-0000997E0000}"/>
    <cellStyle name="Normal 5 10 2 30 2 2" xfId="32410" xr:uid="{00000000-0005-0000-0000-00009A7E0000}"/>
    <cellStyle name="Normal 5 10 2 30 2 3" xfId="32411" xr:uid="{00000000-0005-0000-0000-00009B7E0000}"/>
    <cellStyle name="Normal 5 10 2 30 2 4" xfId="32412" xr:uid="{00000000-0005-0000-0000-00009C7E0000}"/>
    <cellStyle name="Normal 5 10 2 30 2 5" xfId="32413" xr:uid="{00000000-0005-0000-0000-00009D7E0000}"/>
    <cellStyle name="Normal 5 10 2 30 2 6" xfId="32414" xr:uid="{00000000-0005-0000-0000-00009E7E0000}"/>
    <cellStyle name="Normal 5 10 2 30 2 7" xfId="32415" xr:uid="{00000000-0005-0000-0000-00009F7E0000}"/>
    <cellStyle name="Normal 5 10 2 30 2 8" xfId="32416" xr:uid="{00000000-0005-0000-0000-0000A07E0000}"/>
    <cellStyle name="Normal 5 10 2 30 2 9" xfId="32417" xr:uid="{00000000-0005-0000-0000-0000A17E0000}"/>
    <cellStyle name="Normal 5 10 2 30 3" xfId="32418" xr:uid="{00000000-0005-0000-0000-0000A27E0000}"/>
    <cellStyle name="Normal 5 10 2 30 3 10" xfId="32419" xr:uid="{00000000-0005-0000-0000-0000A37E0000}"/>
    <cellStyle name="Normal 5 10 2 30 3 2" xfId="32420" xr:uid="{00000000-0005-0000-0000-0000A47E0000}"/>
    <cellStyle name="Normal 5 10 2 30 3 3" xfId="32421" xr:uid="{00000000-0005-0000-0000-0000A57E0000}"/>
    <cellStyle name="Normal 5 10 2 30 3 4" xfId="32422" xr:uid="{00000000-0005-0000-0000-0000A67E0000}"/>
    <cellStyle name="Normal 5 10 2 30 3 5" xfId="32423" xr:uid="{00000000-0005-0000-0000-0000A77E0000}"/>
    <cellStyle name="Normal 5 10 2 30 3 6" xfId="32424" xr:uid="{00000000-0005-0000-0000-0000A87E0000}"/>
    <cellStyle name="Normal 5 10 2 30 3 7" xfId="32425" xr:uid="{00000000-0005-0000-0000-0000A97E0000}"/>
    <cellStyle name="Normal 5 10 2 30 3 8" xfId="32426" xr:uid="{00000000-0005-0000-0000-0000AA7E0000}"/>
    <cellStyle name="Normal 5 10 2 30 3 9" xfId="32427" xr:uid="{00000000-0005-0000-0000-0000AB7E0000}"/>
    <cellStyle name="Normal 5 10 2 30 4" xfId="32428" xr:uid="{00000000-0005-0000-0000-0000AC7E0000}"/>
    <cellStyle name="Normal 5 10 2 30 4 10" xfId="32429" xr:uid="{00000000-0005-0000-0000-0000AD7E0000}"/>
    <cellStyle name="Normal 5 10 2 30 4 2" xfId="32430" xr:uid="{00000000-0005-0000-0000-0000AE7E0000}"/>
    <cellStyle name="Normal 5 10 2 30 4 3" xfId="32431" xr:uid="{00000000-0005-0000-0000-0000AF7E0000}"/>
    <cellStyle name="Normal 5 10 2 30 4 4" xfId="32432" xr:uid="{00000000-0005-0000-0000-0000B07E0000}"/>
    <cellStyle name="Normal 5 10 2 30 4 5" xfId="32433" xr:uid="{00000000-0005-0000-0000-0000B17E0000}"/>
    <cellStyle name="Normal 5 10 2 30 4 6" xfId="32434" xr:uid="{00000000-0005-0000-0000-0000B27E0000}"/>
    <cellStyle name="Normal 5 10 2 30 4 7" xfId="32435" xr:uid="{00000000-0005-0000-0000-0000B37E0000}"/>
    <cellStyle name="Normal 5 10 2 30 4 8" xfId="32436" xr:uid="{00000000-0005-0000-0000-0000B47E0000}"/>
    <cellStyle name="Normal 5 10 2 30 4 9" xfId="32437" xr:uid="{00000000-0005-0000-0000-0000B57E0000}"/>
    <cellStyle name="Normal 5 10 2 30 5" xfId="32438" xr:uid="{00000000-0005-0000-0000-0000B67E0000}"/>
    <cellStyle name="Normal 5 10 2 30 5 10" xfId="32439" xr:uid="{00000000-0005-0000-0000-0000B77E0000}"/>
    <cellStyle name="Normal 5 10 2 30 5 2" xfId="32440" xr:uid="{00000000-0005-0000-0000-0000B87E0000}"/>
    <cellStyle name="Normal 5 10 2 30 5 3" xfId="32441" xr:uid="{00000000-0005-0000-0000-0000B97E0000}"/>
    <cellStyle name="Normal 5 10 2 30 5 4" xfId="32442" xr:uid="{00000000-0005-0000-0000-0000BA7E0000}"/>
    <cellStyle name="Normal 5 10 2 30 5 5" xfId="32443" xr:uid="{00000000-0005-0000-0000-0000BB7E0000}"/>
    <cellStyle name="Normal 5 10 2 30 5 6" xfId="32444" xr:uid="{00000000-0005-0000-0000-0000BC7E0000}"/>
    <cellStyle name="Normal 5 10 2 30 5 7" xfId="32445" xr:uid="{00000000-0005-0000-0000-0000BD7E0000}"/>
    <cellStyle name="Normal 5 10 2 30 5 8" xfId="32446" xr:uid="{00000000-0005-0000-0000-0000BE7E0000}"/>
    <cellStyle name="Normal 5 10 2 30 5 9" xfId="32447" xr:uid="{00000000-0005-0000-0000-0000BF7E0000}"/>
    <cellStyle name="Normal 5 10 2 30 6" xfId="32448" xr:uid="{00000000-0005-0000-0000-0000C07E0000}"/>
    <cellStyle name="Normal 5 10 2 30 7" xfId="32449" xr:uid="{00000000-0005-0000-0000-0000C17E0000}"/>
    <cellStyle name="Normal 5 10 2 30 8" xfId="32450" xr:uid="{00000000-0005-0000-0000-0000C27E0000}"/>
    <cellStyle name="Normal 5 10 2 30 9" xfId="32451" xr:uid="{00000000-0005-0000-0000-0000C37E0000}"/>
    <cellStyle name="Normal 5 10 2 31" xfId="32452" xr:uid="{00000000-0005-0000-0000-0000C47E0000}"/>
    <cellStyle name="Normal 5 10 2 31 10" xfId="32453" xr:uid="{00000000-0005-0000-0000-0000C57E0000}"/>
    <cellStyle name="Normal 5 10 2 31 11" xfId="32454" xr:uid="{00000000-0005-0000-0000-0000C67E0000}"/>
    <cellStyle name="Normal 5 10 2 31 12" xfId="32455" xr:uid="{00000000-0005-0000-0000-0000C77E0000}"/>
    <cellStyle name="Normal 5 10 2 31 13" xfId="32456" xr:uid="{00000000-0005-0000-0000-0000C87E0000}"/>
    <cellStyle name="Normal 5 10 2 31 14" xfId="32457" xr:uid="{00000000-0005-0000-0000-0000C97E0000}"/>
    <cellStyle name="Normal 5 10 2 31 2" xfId="32458" xr:uid="{00000000-0005-0000-0000-0000CA7E0000}"/>
    <cellStyle name="Normal 5 10 2 31 2 10" xfId="32459" xr:uid="{00000000-0005-0000-0000-0000CB7E0000}"/>
    <cellStyle name="Normal 5 10 2 31 2 2" xfId="32460" xr:uid="{00000000-0005-0000-0000-0000CC7E0000}"/>
    <cellStyle name="Normal 5 10 2 31 2 3" xfId="32461" xr:uid="{00000000-0005-0000-0000-0000CD7E0000}"/>
    <cellStyle name="Normal 5 10 2 31 2 4" xfId="32462" xr:uid="{00000000-0005-0000-0000-0000CE7E0000}"/>
    <cellStyle name="Normal 5 10 2 31 2 5" xfId="32463" xr:uid="{00000000-0005-0000-0000-0000CF7E0000}"/>
    <cellStyle name="Normal 5 10 2 31 2 6" xfId="32464" xr:uid="{00000000-0005-0000-0000-0000D07E0000}"/>
    <cellStyle name="Normal 5 10 2 31 2 7" xfId="32465" xr:uid="{00000000-0005-0000-0000-0000D17E0000}"/>
    <cellStyle name="Normal 5 10 2 31 2 8" xfId="32466" xr:uid="{00000000-0005-0000-0000-0000D27E0000}"/>
    <cellStyle name="Normal 5 10 2 31 2 9" xfId="32467" xr:uid="{00000000-0005-0000-0000-0000D37E0000}"/>
    <cellStyle name="Normal 5 10 2 31 3" xfId="32468" xr:uid="{00000000-0005-0000-0000-0000D47E0000}"/>
    <cellStyle name="Normal 5 10 2 31 3 10" xfId="32469" xr:uid="{00000000-0005-0000-0000-0000D57E0000}"/>
    <cellStyle name="Normal 5 10 2 31 3 2" xfId="32470" xr:uid="{00000000-0005-0000-0000-0000D67E0000}"/>
    <cellStyle name="Normal 5 10 2 31 3 3" xfId="32471" xr:uid="{00000000-0005-0000-0000-0000D77E0000}"/>
    <cellStyle name="Normal 5 10 2 31 3 4" xfId="32472" xr:uid="{00000000-0005-0000-0000-0000D87E0000}"/>
    <cellStyle name="Normal 5 10 2 31 3 5" xfId="32473" xr:uid="{00000000-0005-0000-0000-0000D97E0000}"/>
    <cellStyle name="Normal 5 10 2 31 3 6" xfId="32474" xr:uid="{00000000-0005-0000-0000-0000DA7E0000}"/>
    <cellStyle name="Normal 5 10 2 31 3 7" xfId="32475" xr:uid="{00000000-0005-0000-0000-0000DB7E0000}"/>
    <cellStyle name="Normal 5 10 2 31 3 8" xfId="32476" xr:uid="{00000000-0005-0000-0000-0000DC7E0000}"/>
    <cellStyle name="Normal 5 10 2 31 3 9" xfId="32477" xr:uid="{00000000-0005-0000-0000-0000DD7E0000}"/>
    <cellStyle name="Normal 5 10 2 31 4" xfId="32478" xr:uid="{00000000-0005-0000-0000-0000DE7E0000}"/>
    <cellStyle name="Normal 5 10 2 31 4 10" xfId="32479" xr:uid="{00000000-0005-0000-0000-0000DF7E0000}"/>
    <cellStyle name="Normal 5 10 2 31 4 2" xfId="32480" xr:uid="{00000000-0005-0000-0000-0000E07E0000}"/>
    <cellStyle name="Normal 5 10 2 31 4 3" xfId="32481" xr:uid="{00000000-0005-0000-0000-0000E17E0000}"/>
    <cellStyle name="Normal 5 10 2 31 4 4" xfId="32482" xr:uid="{00000000-0005-0000-0000-0000E27E0000}"/>
    <cellStyle name="Normal 5 10 2 31 4 5" xfId="32483" xr:uid="{00000000-0005-0000-0000-0000E37E0000}"/>
    <cellStyle name="Normal 5 10 2 31 4 6" xfId="32484" xr:uid="{00000000-0005-0000-0000-0000E47E0000}"/>
    <cellStyle name="Normal 5 10 2 31 4 7" xfId="32485" xr:uid="{00000000-0005-0000-0000-0000E57E0000}"/>
    <cellStyle name="Normal 5 10 2 31 4 8" xfId="32486" xr:uid="{00000000-0005-0000-0000-0000E67E0000}"/>
    <cellStyle name="Normal 5 10 2 31 4 9" xfId="32487" xr:uid="{00000000-0005-0000-0000-0000E77E0000}"/>
    <cellStyle name="Normal 5 10 2 31 5" xfId="32488" xr:uid="{00000000-0005-0000-0000-0000E87E0000}"/>
    <cellStyle name="Normal 5 10 2 31 5 10" xfId="32489" xr:uid="{00000000-0005-0000-0000-0000E97E0000}"/>
    <cellStyle name="Normal 5 10 2 31 5 2" xfId="32490" xr:uid="{00000000-0005-0000-0000-0000EA7E0000}"/>
    <cellStyle name="Normal 5 10 2 31 5 3" xfId="32491" xr:uid="{00000000-0005-0000-0000-0000EB7E0000}"/>
    <cellStyle name="Normal 5 10 2 31 5 4" xfId="32492" xr:uid="{00000000-0005-0000-0000-0000EC7E0000}"/>
    <cellStyle name="Normal 5 10 2 31 5 5" xfId="32493" xr:uid="{00000000-0005-0000-0000-0000ED7E0000}"/>
    <cellStyle name="Normal 5 10 2 31 5 6" xfId="32494" xr:uid="{00000000-0005-0000-0000-0000EE7E0000}"/>
    <cellStyle name="Normal 5 10 2 31 5 7" xfId="32495" xr:uid="{00000000-0005-0000-0000-0000EF7E0000}"/>
    <cellStyle name="Normal 5 10 2 31 5 8" xfId="32496" xr:uid="{00000000-0005-0000-0000-0000F07E0000}"/>
    <cellStyle name="Normal 5 10 2 31 5 9" xfId="32497" xr:uid="{00000000-0005-0000-0000-0000F17E0000}"/>
    <cellStyle name="Normal 5 10 2 31 6" xfId="32498" xr:uid="{00000000-0005-0000-0000-0000F27E0000}"/>
    <cellStyle name="Normal 5 10 2 31 7" xfId="32499" xr:uid="{00000000-0005-0000-0000-0000F37E0000}"/>
    <cellStyle name="Normal 5 10 2 31 8" xfId="32500" xr:uid="{00000000-0005-0000-0000-0000F47E0000}"/>
    <cellStyle name="Normal 5 10 2 31 9" xfId="32501" xr:uid="{00000000-0005-0000-0000-0000F57E0000}"/>
    <cellStyle name="Normal 5 10 2 32" xfId="32502" xr:uid="{00000000-0005-0000-0000-0000F67E0000}"/>
    <cellStyle name="Normal 5 10 2 32 10" xfId="32503" xr:uid="{00000000-0005-0000-0000-0000F77E0000}"/>
    <cellStyle name="Normal 5 10 2 32 11" xfId="32504" xr:uid="{00000000-0005-0000-0000-0000F87E0000}"/>
    <cellStyle name="Normal 5 10 2 32 12" xfId="32505" xr:uid="{00000000-0005-0000-0000-0000F97E0000}"/>
    <cellStyle name="Normal 5 10 2 32 13" xfId="32506" xr:uid="{00000000-0005-0000-0000-0000FA7E0000}"/>
    <cellStyle name="Normal 5 10 2 32 14" xfId="32507" xr:uid="{00000000-0005-0000-0000-0000FB7E0000}"/>
    <cellStyle name="Normal 5 10 2 32 2" xfId="32508" xr:uid="{00000000-0005-0000-0000-0000FC7E0000}"/>
    <cellStyle name="Normal 5 10 2 32 2 10" xfId="32509" xr:uid="{00000000-0005-0000-0000-0000FD7E0000}"/>
    <cellStyle name="Normal 5 10 2 32 2 2" xfId="32510" xr:uid="{00000000-0005-0000-0000-0000FE7E0000}"/>
    <cellStyle name="Normal 5 10 2 32 2 3" xfId="32511" xr:uid="{00000000-0005-0000-0000-0000FF7E0000}"/>
    <cellStyle name="Normal 5 10 2 32 2 4" xfId="32512" xr:uid="{00000000-0005-0000-0000-0000007F0000}"/>
    <cellStyle name="Normal 5 10 2 32 2 5" xfId="32513" xr:uid="{00000000-0005-0000-0000-0000017F0000}"/>
    <cellStyle name="Normal 5 10 2 32 2 6" xfId="32514" xr:uid="{00000000-0005-0000-0000-0000027F0000}"/>
    <cellStyle name="Normal 5 10 2 32 2 7" xfId="32515" xr:uid="{00000000-0005-0000-0000-0000037F0000}"/>
    <cellStyle name="Normal 5 10 2 32 2 8" xfId="32516" xr:uid="{00000000-0005-0000-0000-0000047F0000}"/>
    <cellStyle name="Normal 5 10 2 32 2 9" xfId="32517" xr:uid="{00000000-0005-0000-0000-0000057F0000}"/>
    <cellStyle name="Normal 5 10 2 32 3" xfId="32518" xr:uid="{00000000-0005-0000-0000-0000067F0000}"/>
    <cellStyle name="Normal 5 10 2 32 3 10" xfId="32519" xr:uid="{00000000-0005-0000-0000-0000077F0000}"/>
    <cellStyle name="Normal 5 10 2 32 3 2" xfId="32520" xr:uid="{00000000-0005-0000-0000-0000087F0000}"/>
    <cellStyle name="Normal 5 10 2 32 3 3" xfId="32521" xr:uid="{00000000-0005-0000-0000-0000097F0000}"/>
    <cellStyle name="Normal 5 10 2 32 3 4" xfId="32522" xr:uid="{00000000-0005-0000-0000-00000A7F0000}"/>
    <cellStyle name="Normal 5 10 2 32 3 5" xfId="32523" xr:uid="{00000000-0005-0000-0000-00000B7F0000}"/>
    <cellStyle name="Normal 5 10 2 32 3 6" xfId="32524" xr:uid="{00000000-0005-0000-0000-00000C7F0000}"/>
    <cellStyle name="Normal 5 10 2 32 3 7" xfId="32525" xr:uid="{00000000-0005-0000-0000-00000D7F0000}"/>
    <cellStyle name="Normal 5 10 2 32 3 8" xfId="32526" xr:uid="{00000000-0005-0000-0000-00000E7F0000}"/>
    <cellStyle name="Normal 5 10 2 32 3 9" xfId="32527" xr:uid="{00000000-0005-0000-0000-00000F7F0000}"/>
    <cellStyle name="Normal 5 10 2 32 4" xfId="32528" xr:uid="{00000000-0005-0000-0000-0000107F0000}"/>
    <cellStyle name="Normal 5 10 2 32 4 10" xfId="32529" xr:uid="{00000000-0005-0000-0000-0000117F0000}"/>
    <cellStyle name="Normal 5 10 2 32 4 2" xfId="32530" xr:uid="{00000000-0005-0000-0000-0000127F0000}"/>
    <cellStyle name="Normal 5 10 2 32 4 3" xfId="32531" xr:uid="{00000000-0005-0000-0000-0000137F0000}"/>
    <cellStyle name="Normal 5 10 2 32 4 4" xfId="32532" xr:uid="{00000000-0005-0000-0000-0000147F0000}"/>
    <cellStyle name="Normal 5 10 2 32 4 5" xfId="32533" xr:uid="{00000000-0005-0000-0000-0000157F0000}"/>
    <cellStyle name="Normal 5 10 2 32 4 6" xfId="32534" xr:uid="{00000000-0005-0000-0000-0000167F0000}"/>
    <cellStyle name="Normal 5 10 2 32 4 7" xfId="32535" xr:uid="{00000000-0005-0000-0000-0000177F0000}"/>
    <cellStyle name="Normal 5 10 2 32 4 8" xfId="32536" xr:uid="{00000000-0005-0000-0000-0000187F0000}"/>
    <cellStyle name="Normal 5 10 2 32 4 9" xfId="32537" xr:uid="{00000000-0005-0000-0000-0000197F0000}"/>
    <cellStyle name="Normal 5 10 2 32 5" xfId="32538" xr:uid="{00000000-0005-0000-0000-00001A7F0000}"/>
    <cellStyle name="Normal 5 10 2 32 5 10" xfId="32539" xr:uid="{00000000-0005-0000-0000-00001B7F0000}"/>
    <cellStyle name="Normal 5 10 2 32 5 2" xfId="32540" xr:uid="{00000000-0005-0000-0000-00001C7F0000}"/>
    <cellStyle name="Normal 5 10 2 32 5 3" xfId="32541" xr:uid="{00000000-0005-0000-0000-00001D7F0000}"/>
    <cellStyle name="Normal 5 10 2 32 5 4" xfId="32542" xr:uid="{00000000-0005-0000-0000-00001E7F0000}"/>
    <cellStyle name="Normal 5 10 2 32 5 5" xfId="32543" xr:uid="{00000000-0005-0000-0000-00001F7F0000}"/>
    <cellStyle name="Normal 5 10 2 32 5 6" xfId="32544" xr:uid="{00000000-0005-0000-0000-0000207F0000}"/>
    <cellStyle name="Normal 5 10 2 32 5 7" xfId="32545" xr:uid="{00000000-0005-0000-0000-0000217F0000}"/>
    <cellStyle name="Normal 5 10 2 32 5 8" xfId="32546" xr:uid="{00000000-0005-0000-0000-0000227F0000}"/>
    <cellStyle name="Normal 5 10 2 32 5 9" xfId="32547" xr:uid="{00000000-0005-0000-0000-0000237F0000}"/>
    <cellStyle name="Normal 5 10 2 32 6" xfId="32548" xr:uid="{00000000-0005-0000-0000-0000247F0000}"/>
    <cellStyle name="Normal 5 10 2 32 7" xfId="32549" xr:uid="{00000000-0005-0000-0000-0000257F0000}"/>
    <cellStyle name="Normal 5 10 2 32 8" xfId="32550" xr:uid="{00000000-0005-0000-0000-0000267F0000}"/>
    <cellStyle name="Normal 5 10 2 32 9" xfId="32551" xr:uid="{00000000-0005-0000-0000-0000277F0000}"/>
    <cellStyle name="Normal 5 10 2 33" xfId="32552" xr:uid="{00000000-0005-0000-0000-0000287F0000}"/>
    <cellStyle name="Normal 5 10 2 33 10" xfId="32553" xr:uid="{00000000-0005-0000-0000-0000297F0000}"/>
    <cellStyle name="Normal 5 10 2 33 11" xfId="32554" xr:uid="{00000000-0005-0000-0000-00002A7F0000}"/>
    <cellStyle name="Normal 5 10 2 33 12" xfId="32555" xr:uid="{00000000-0005-0000-0000-00002B7F0000}"/>
    <cellStyle name="Normal 5 10 2 33 13" xfId="32556" xr:uid="{00000000-0005-0000-0000-00002C7F0000}"/>
    <cellStyle name="Normal 5 10 2 33 14" xfId="32557" xr:uid="{00000000-0005-0000-0000-00002D7F0000}"/>
    <cellStyle name="Normal 5 10 2 33 2" xfId="32558" xr:uid="{00000000-0005-0000-0000-00002E7F0000}"/>
    <cellStyle name="Normal 5 10 2 33 2 10" xfId="32559" xr:uid="{00000000-0005-0000-0000-00002F7F0000}"/>
    <cellStyle name="Normal 5 10 2 33 2 2" xfId="32560" xr:uid="{00000000-0005-0000-0000-0000307F0000}"/>
    <cellStyle name="Normal 5 10 2 33 2 3" xfId="32561" xr:uid="{00000000-0005-0000-0000-0000317F0000}"/>
    <cellStyle name="Normal 5 10 2 33 2 4" xfId="32562" xr:uid="{00000000-0005-0000-0000-0000327F0000}"/>
    <cellStyle name="Normal 5 10 2 33 2 5" xfId="32563" xr:uid="{00000000-0005-0000-0000-0000337F0000}"/>
    <cellStyle name="Normal 5 10 2 33 2 6" xfId="32564" xr:uid="{00000000-0005-0000-0000-0000347F0000}"/>
    <cellStyle name="Normal 5 10 2 33 2 7" xfId="32565" xr:uid="{00000000-0005-0000-0000-0000357F0000}"/>
    <cellStyle name="Normal 5 10 2 33 2 8" xfId="32566" xr:uid="{00000000-0005-0000-0000-0000367F0000}"/>
    <cellStyle name="Normal 5 10 2 33 2 9" xfId="32567" xr:uid="{00000000-0005-0000-0000-0000377F0000}"/>
    <cellStyle name="Normal 5 10 2 33 3" xfId="32568" xr:uid="{00000000-0005-0000-0000-0000387F0000}"/>
    <cellStyle name="Normal 5 10 2 33 3 10" xfId="32569" xr:uid="{00000000-0005-0000-0000-0000397F0000}"/>
    <cellStyle name="Normal 5 10 2 33 3 2" xfId="32570" xr:uid="{00000000-0005-0000-0000-00003A7F0000}"/>
    <cellStyle name="Normal 5 10 2 33 3 3" xfId="32571" xr:uid="{00000000-0005-0000-0000-00003B7F0000}"/>
    <cellStyle name="Normal 5 10 2 33 3 4" xfId="32572" xr:uid="{00000000-0005-0000-0000-00003C7F0000}"/>
    <cellStyle name="Normal 5 10 2 33 3 5" xfId="32573" xr:uid="{00000000-0005-0000-0000-00003D7F0000}"/>
    <cellStyle name="Normal 5 10 2 33 3 6" xfId="32574" xr:uid="{00000000-0005-0000-0000-00003E7F0000}"/>
    <cellStyle name="Normal 5 10 2 33 3 7" xfId="32575" xr:uid="{00000000-0005-0000-0000-00003F7F0000}"/>
    <cellStyle name="Normal 5 10 2 33 3 8" xfId="32576" xr:uid="{00000000-0005-0000-0000-0000407F0000}"/>
    <cellStyle name="Normal 5 10 2 33 3 9" xfId="32577" xr:uid="{00000000-0005-0000-0000-0000417F0000}"/>
    <cellStyle name="Normal 5 10 2 33 4" xfId="32578" xr:uid="{00000000-0005-0000-0000-0000427F0000}"/>
    <cellStyle name="Normal 5 10 2 33 4 10" xfId="32579" xr:uid="{00000000-0005-0000-0000-0000437F0000}"/>
    <cellStyle name="Normal 5 10 2 33 4 2" xfId="32580" xr:uid="{00000000-0005-0000-0000-0000447F0000}"/>
    <cellStyle name="Normal 5 10 2 33 4 3" xfId="32581" xr:uid="{00000000-0005-0000-0000-0000457F0000}"/>
    <cellStyle name="Normal 5 10 2 33 4 4" xfId="32582" xr:uid="{00000000-0005-0000-0000-0000467F0000}"/>
    <cellStyle name="Normal 5 10 2 33 4 5" xfId="32583" xr:uid="{00000000-0005-0000-0000-0000477F0000}"/>
    <cellStyle name="Normal 5 10 2 33 4 6" xfId="32584" xr:uid="{00000000-0005-0000-0000-0000487F0000}"/>
    <cellStyle name="Normal 5 10 2 33 4 7" xfId="32585" xr:uid="{00000000-0005-0000-0000-0000497F0000}"/>
    <cellStyle name="Normal 5 10 2 33 4 8" xfId="32586" xr:uid="{00000000-0005-0000-0000-00004A7F0000}"/>
    <cellStyle name="Normal 5 10 2 33 4 9" xfId="32587" xr:uid="{00000000-0005-0000-0000-00004B7F0000}"/>
    <cellStyle name="Normal 5 10 2 33 5" xfId="32588" xr:uid="{00000000-0005-0000-0000-00004C7F0000}"/>
    <cellStyle name="Normal 5 10 2 33 5 10" xfId="32589" xr:uid="{00000000-0005-0000-0000-00004D7F0000}"/>
    <cellStyle name="Normal 5 10 2 33 5 2" xfId="32590" xr:uid="{00000000-0005-0000-0000-00004E7F0000}"/>
    <cellStyle name="Normal 5 10 2 33 5 3" xfId="32591" xr:uid="{00000000-0005-0000-0000-00004F7F0000}"/>
    <cellStyle name="Normal 5 10 2 33 5 4" xfId="32592" xr:uid="{00000000-0005-0000-0000-0000507F0000}"/>
    <cellStyle name="Normal 5 10 2 33 5 5" xfId="32593" xr:uid="{00000000-0005-0000-0000-0000517F0000}"/>
    <cellStyle name="Normal 5 10 2 33 5 6" xfId="32594" xr:uid="{00000000-0005-0000-0000-0000527F0000}"/>
    <cellStyle name="Normal 5 10 2 33 5 7" xfId="32595" xr:uid="{00000000-0005-0000-0000-0000537F0000}"/>
    <cellStyle name="Normal 5 10 2 33 5 8" xfId="32596" xr:uid="{00000000-0005-0000-0000-0000547F0000}"/>
    <cellStyle name="Normal 5 10 2 33 5 9" xfId="32597" xr:uid="{00000000-0005-0000-0000-0000557F0000}"/>
    <cellStyle name="Normal 5 10 2 33 6" xfId="32598" xr:uid="{00000000-0005-0000-0000-0000567F0000}"/>
    <cellStyle name="Normal 5 10 2 33 7" xfId="32599" xr:uid="{00000000-0005-0000-0000-0000577F0000}"/>
    <cellStyle name="Normal 5 10 2 33 8" xfId="32600" xr:uid="{00000000-0005-0000-0000-0000587F0000}"/>
    <cellStyle name="Normal 5 10 2 33 9" xfId="32601" xr:uid="{00000000-0005-0000-0000-0000597F0000}"/>
    <cellStyle name="Normal 5 10 2 34" xfId="32602" xr:uid="{00000000-0005-0000-0000-00005A7F0000}"/>
    <cellStyle name="Normal 5 10 2 34 10" xfId="32603" xr:uid="{00000000-0005-0000-0000-00005B7F0000}"/>
    <cellStyle name="Normal 5 10 2 34 2" xfId="32604" xr:uid="{00000000-0005-0000-0000-00005C7F0000}"/>
    <cellStyle name="Normal 5 10 2 34 3" xfId="32605" xr:uid="{00000000-0005-0000-0000-00005D7F0000}"/>
    <cellStyle name="Normal 5 10 2 34 4" xfId="32606" xr:uid="{00000000-0005-0000-0000-00005E7F0000}"/>
    <cellStyle name="Normal 5 10 2 34 5" xfId="32607" xr:uid="{00000000-0005-0000-0000-00005F7F0000}"/>
    <cellStyle name="Normal 5 10 2 34 6" xfId="32608" xr:uid="{00000000-0005-0000-0000-0000607F0000}"/>
    <cellStyle name="Normal 5 10 2 34 7" xfId="32609" xr:uid="{00000000-0005-0000-0000-0000617F0000}"/>
    <cellStyle name="Normal 5 10 2 34 8" xfId="32610" xr:uid="{00000000-0005-0000-0000-0000627F0000}"/>
    <cellStyle name="Normal 5 10 2 34 9" xfId="32611" xr:uid="{00000000-0005-0000-0000-0000637F0000}"/>
    <cellStyle name="Normal 5 10 2 35" xfId="32612" xr:uid="{00000000-0005-0000-0000-0000647F0000}"/>
    <cellStyle name="Normal 5 10 2 35 10" xfId="32613" xr:uid="{00000000-0005-0000-0000-0000657F0000}"/>
    <cellStyle name="Normal 5 10 2 35 2" xfId="32614" xr:uid="{00000000-0005-0000-0000-0000667F0000}"/>
    <cellStyle name="Normal 5 10 2 35 3" xfId="32615" xr:uid="{00000000-0005-0000-0000-0000677F0000}"/>
    <cellStyle name="Normal 5 10 2 35 4" xfId="32616" xr:uid="{00000000-0005-0000-0000-0000687F0000}"/>
    <cellStyle name="Normal 5 10 2 35 5" xfId="32617" xr:uid="{00000000-0005-0000-0000-0000697F0000}"/>
    <cellStyle name="Normal 5 10 2 35 6" xfId="32618" xr:uid="{00000000-0005-0000-0000-00006A7F0000}"/>
    <cellStyle name="Normal 5 10 2 35 7" xfId="32619" xr:uid="{00000000-0005-0000-0000-00006B7F0000}"/>
    <cellStyle name="Normal 5 10 2 35 8" xfId="32620" xr:uid="{00000000-0005-0000-0000-00006C7F0000}"/>
    <cellStyle name="Normal 5 10 2 35 9" xfId="32621" xr:uid="{00000000-0005-0000-0000-00006D7F0000}"/>
    <cellStyle name="Normal 5 10 2 36" xfId="32622" xr:uid="{00000000-0005-0000-0000-00006E7F0000}"/>
    <cellStyle name="Normal 5 10 2 36 10" xfId="32623" xr:uid="{00000000-0005-0000-0000-00006F7F0000}"/>
    <cellStyle name="Normal 5 10 2 36 2" xfId="32624" xr:uid="{00000000-0005-0000-0000-0000707F0000}"/>
    <cellStyle name="Normal 5 10 2 36 3" xfId="32625" xr:uid="{00000000-0005-0000-0000-0000717F0000}"/>
    <cellStyle name="Normal 5 10 2 36 4" xfId="32626" xr:uid="{00000000-0005-0000-0000-0000727F0000}"/>
    <cellStyle name="Normal 5 10 2 36 5" xfId="32627" xr:uid="{00000000-0005-0000-0000-0000737F0000}"/>
    <cellStyle name="Normal 5 10 2 36 6" xfId="32628" xr:uid="{00000000-0005-0000-0000-0000747F0000}"/>
    <cellStyle name="Normal 5 10 2 36 7" xfId="32629" xr:uid="{00000000-0005-0000-0000-0000757F0000}"/>
    <cellStyle name="Normal 5 10 2 36 8" xfId="32630" xr:uid="{00000000-0005-0000-0000-0000767F0000}"/>
    <cellStyle name="Normal 5 10 2 36 9" xfId="32631" xr:uid="{00000000-0005-0000-0000-0000777F0000}"/>
    <cellStyle name="Normal 5 10 2 37" xfId="32632" xr:uid="{00000000-0005-0000-0000-0000787F0000}"/>
    <cellStyle name="Normal 5 10 2 37 10" xfId="32633" xr:uid="{00000000-0005-0000-0000-0000797F0000}"/>
    <cellStyle name="Normal 5 10 2 37 2" xfId="32634" xr:uid="{00000000-0005-0000-0000-00007A7F0000}"/>
    <cellStyle name="Normal 5 10 2 37 3" xfId="32635" xr:uid="{00000000-0005-0000-0000-00007B7F0000}"/>
    <cellStyle name="Normal 5 10 2 37 4" xfId="32636" xr:uid="{00000000-0005-0000-0000-00007C7F0000}"/>
    <cellStyle name="Normal 5 10 2 37 5" xfId="32637" xr:uid="{00000000-0005-0000-0000-00007D7F0000}"/>
    <cellStyle name="Normal 5 10 2 37 6" xfId="32638" xr:uid="{00000000-0005-0000-0000-00007E7F0000}"/>
    <cellStyle name="Normal 5 10 2 37 7" xfId="32639" xr:uid="{00000000-0005-0000-0000-00007F7F0000}"/>
    <cellStyle name="Normal 5 10 2 37 8" xfId="32640" xr:uid="{00000000-0005-0000-0000-0000807F0000}"/>
    <cellStyle name="Normal 5 10 2 37 9" xfId="32641" xr:uid="{00000000-0005-0000-0000-0000817F0000}"/>
    <cellStyle name="Normal 5 10 2 38" xfId="32642" xr:uid="{00000000-0005-0000-0000-0000827F0000}"/>
    <cellStyle name="Normal 5 10 2 39" xfId="32643" xr:uid="{00000000-0005-0000-0000-0000837F0000}"/>
    <cellStyle name="Normal 5 10 2 4" xfId="32644" xr:uid="{00000000-0005-0000-0000-0000847F0000}"/>
    <cellStyle name="Normal 5 10 2 4 10" xfId="32645" xr:uid="{00000000-0005-0000-0000-0000857F0000}"/>
    <cellStyle name="Normal 5 10 2 4 11" xfId="32646" xr:uid="{00000000-0005-0000-0000-0000867F0000}"/>
    <cellStyle name="Normal 5 10 2 4 12" xfId="32647" xr:uid="{00000000-0005-0000-0000-0000877F0000}"/>
    <cellStyle name="Normal 5 10 2 4 13" xfId="32648" xr:uid="{00000000-0005-0000-0000-0000887F0000}"/>
    <cellStyle name="Normal 5 10 2 4 14" xfId="32649" xr:uid="{00000000-0005-0000-0000-0000897F0000}"/>
    <cellStyle name="Normal 5 10 2 4 2" xfId="32650" xr:uid="{00000000-0005-0000-0000-00008A7F0000}"/>
    <cellStyle name="Normal 5 10 2 4 2 10" xfId="32651" xr:uid="{00000000-0005-0000-0000-00008B7F0000}"/>
    <cellStyle name="Normal 5 10 2 4 2 2" xfId="32652" xr:uid="{00000000-0005-0000-0000-00008C7F0000}"/>
    <cellStyle name="Normal 5 10 2 4 2 3" xfId="32653" xr:uid="{00000000-0005-0000-0000-00008D7F0000}"/>
    <cellStyle name="Normal 5 10 2 4 2 4" xfId="32654" xr:uid="{00000000-0005-0000-0000-00008E7F0000}"/>
    <cellStyle name="Normal 5 10 2 4 2 5" xfId="32655" xr:uid="{00000000-0005-0000-0000-00008F7F0000}"/>
    <cellStyle name="Normal 5 10 2 4 2 6" xfId="32656" xr:uid="{00000000-0005-0000-0000-0000907F0000}"/>
    <cellStyle name="Normal 5 10 2 4 2 7" xfId="32657" xr:uid="{00000000-0005-0000-0000-0000917F0000}"/>
    <cellStyle name="Normal 5 10 2 4 2 8" xfId="32658" xr:uid="{00000000-0005-0000-0000-0000927F0000}"/>
    <cellStyle name="Normal 5 10 2 4 2 9" xfId="32659" xr:uid="{00000000-0005-0000-0000-0000937F0000}"/>
    <cellStyle name="Normal 5 10 2 4 3" xfId="32660" xr:uid="{00000000-0005-0000-0000-0000947F0000}"/>
    <cellStyle name="Normal 5 10 2 4 3 10" xfId="32661" xr:uid="{00000000-0005-0000-0000-0000957F0000}"/>
    <cellStyle name="Normal 5 10 2 4 3 2" xfId="32662" xr:uid="{00000000-0005-0000-0000-0000967F0000}"/>
    <cellStyle name="Normal 5 10 2 4 3 3" xfId="32663" xr:uid="{00000000-0005-0000-0000-0000977F0000}"/>
    <cellStyle name="Normal 5 10 2 4 3 4" xfId="32664" xr:uid="{00000000-0005-0000-0000-0000987F0000}"/>
    <cellStyle name="Normal 5 10 2 4 3 5" xfId="32665" xr:uid="{00000000-0005-0000-0000-0000997F0000}"/>
    <cellStyle name="Normal 5 10 2 4 3 6" xfId="32666" xr:uid="{00000000-0005-0000-0000-00009A7F0000}"/>
    <cellStyle name="Normal 5 10 2 4 3 7" xfId="32667" xr:uid="{00000000-0005-0000-0000-00009B7F0000}"/>
    <cellStyle name="Normal 5 10 2 4 3 8" xfId="32668" xr:uid="{00000000-0005-0000-0000-00009C7F0000}"/>
    <cellStyle name="Normal 5 10 2 4 3 9" xfId="32669" xr:uid="{00000000-0005-0000-0000-00009D7F0000}"/>
    <cellStyle name="Normal 5 10 2 4 4" xfId="32670" xr:uid="{00000000-0005-0000-0000-00009E7F0000}"/>
    <cellStyle name="Normal 5 10 2 4 4 10" xfId="32671" xr:uid="{00000000-0005-0000-0000-00009F7F0000}"/>
    <cellStyle name="Normal 5 10 2 4 4 2" xfId="32672" xr:uid="{00000000-0005-0000-0000-0000A07F0000}"/>
    <cellStyle name="Normal 5 10 2 4 4 3" xfId="32673" xr:uid="{00000000-0005-0000-0000-0000A17F0000}"/>
    <cellStyle name="Normal 5 10 2 4 4 4" xfId="32674" xr:uid="{00000000-0005-0000-0000-0000A27F0000}"/>
    <cellStyle name="Normal 5 10 2 4 4 5" xfId="32675" xr:uid="{00000000-0005-0000-0000-0000A37F0000}"/>
    <cellStyle name="Normal 5 10 2 4 4 6" xfId="32676" xr:uid="{00000000-0005-0000-0000-0000A47F0000}"/>
    <cellStyle name="Normal 5 10 2 4 4 7" xfId="32677" xr:uid="{00000000-0005-0000-0000-0000A57F0000}"/>
    <cellStyle name="Normal 5 10 2 4 4 8" xfId="32678" xr:uid="{00000000-0005-0000-0000-0000A67F0000}"/>
    <cellStyle name="Normal 5 10 2 4 4 9" xfId="32679" xr:uid="{00000000-0005-0000-0000-0000A77F0000}"/>
    <cellStyle name="Normal 5 10 2 4 5" xfId="32680" xr:uid="{00000000-0005-0000-0000-0000A87F0000}"/>
    <cellStyle name="Normal 5 10 2 4 5 10" xfId="32681" xr:uid="{00000000-0005-0000-0000-0000A97F0000}"/>
    <cellStyle name="Normal 5 10 2 4 5 2" xfId="32682" xr:uid="{00000000-0005-0000-0000-0000AA7F0000}"/>
    <cellStyle name="Normal 5 10 2 4 5 3" xfId="32683" xr:uid="{00000000-0005-0000-0000-0000AB7F0000}"/>
    <cellStyle name="Normal 5 10 2 4 5 4" xfId="32684" xr:uid="{00000000-0005-0000-0000-0000AC7F0000}"/>
    <cellStyle name="Normal 5 10 2 4 5 5" xfId="32685" xr:uid="{00000000-0005-0000-0000-0000AD7F0000}"/>
    <cellStyle name="Normal 5 10 2 4 5 6" xfId="32686" xr:uid="{00000000-0005-0000-0000-0000AE7F0000}"/>
    <cellStyle name="Normal 5 10 2 4 5 7" xfId="32687" xr:uid="{00000000-0005-0000-0000-0000AF7F0000}"/>
    <cellStyle name="Normal 5 10 2 4 5 8" xfId="32688" xr:uid="{00000000-0005-0000-0000-0000B07F0000}"/>
    <cellStyle name="Normal 5 10 2 4 5 9" xfId="32689" xr:uid="{00000000-0005-0000-0000-0000B17F0000}"/>
    <cellStyle name="Normal 5 10 2 4 6" xfId="32690" xr:uid="{00000000-0005-0000-0000-0000B27F0000}"/>
    <cellStyle name="Normal 5 10 2 4 7" xfId="32691" xr:uid="{00000000-0005-0000-0000-0000B37F0000}"/>
    <cellStyle name="Normal 5 10 2 4 8" xfId="32692" xr:uid="{00000000-0005-0000-0000-0000B47F0000}"/>
    <cellStyle name="Normal 5 10 2 4 9" xfId="32693" xr:uid="{00000000-0005-0000-0000-0000B57F0000}"/>
    <cellStyle name="Normal 5 10 2 40" xfId="32694" xr:uid="{00000000-0005-0000-0000-0000B67F0000}"/>
    <cellStyle name="Normal 5 10 2 41" xfId="32695" xr:uid="{00000000-0005-0000-0000-0000B77F0000}"/>
    <cellStyle name="Normal 5 10 2 42" xfId="32696" xr:uid="{00000000-0005-0000-0000-0000B87F0000}"/>
    <cellStyle name="Normal 5 10 2 43" xfId="32697" xr:uid="{00000000-0005-0000-0000-0000B97F0000}"/>
    <cellStyle name="Normal 5 10 2 44" xfId="32698" xr:uid="{00000000-0005-0000-0000-0000BA7F0000}"/>
    <cellStyle name="Normal 5 10 2 45" xfId="32699" xr:uid="{00000000-0005-0000-0000-0000BB7F0000}"/>
    <cellStyle name="Normal 5 10 2 46" xfId="32700" xr:uid="{00000000-0005-0000-0000-0000BC7F0000}"/>
    <cellStyle name="Normal 5 10 2 47" xfId="32701" xr:uid="{00000000-0005-0000-0000-0000BD7F0000}"/>
    <cellStyle name="Normal 5 10 2 48" xfId="32702" xr:uid="{00000000-0005-0000-0000-0000BE7F0000}"/>
    <cellStyle name="Normal 5 10 2 49" xfId="31299" xr:uid="{00000000-0005-0000-0000-0000437A0000}"/>
    <cellStyle name="Normal 5 10 2 5" xfId="32703" xr:uid="{00000000-0005-0000-0000-0000BF7F0000}"/>
    <cellStyle name="Normal 5 10 2 5 10" xfId="32704" xr:uid="{00000000-0005-0000-0000-0000C07F0000}"/>
    <cellStyle name="Normal 5 10 2 5 11" xfId="32705" xr:uid="{00000000-0005-0000-0000-0000C17F0000}"/>
    <cellStyle name="Normal 5 10 2 5 12" xfId="32706" xr:uid="{00000000-0005-0000-0000-0000C27F0000}"/>
    <cellStyle name="Normal 5 10 2 5 13" xfId="32707" xr:uid="{00000000-0005-0000-0000-0000C37F0000}"/>
    <cellStyle name="Normal 5 10 2 5 14" xfId="32708" xr:uid="{00000000-0005-0000-0000-0000C47F0000}"/>
    <cellStyle name="Normal 5 10 2 5 2" xfId="32709" xr:uid="{00000000-0005-0000-0000-0000C57F0000}"/>
    <cellStyle name="Normal 5 10 2 5 2 10" xfId="32710" xr:uid="{00000000-0005-0000-0000-0000C67F0000}"/>
    <cellStyle name="Normal 5 10 2 5 2 2" xfId="32711" xr:uid="{00000000-0005-0000-0000-0000C77F0000}"/>
    <cellStyle name="Normal 5 10 2 5 2 3" xfId="32712" xr:uid="{00000000-0005-0000-0000-0000C87F0000}"/>
    <cellStyle name="Normal 5 10 2 5 2 4" xfId="32713" xr:uid="{00000000-0005-0000-0000-0000C97F0000}"/>
    <cellStyle name="Normal 5 10 2 5 2 5" xfId="32714" xr:uid="{00000000-0005-0000-0000-0000CA7F0000}"/>
    <cellStyle name="Normal 5 10 2 5 2 6" xfId="32715" xr:uid="{00000000-0005-0000-0000-0000CB7F0000}"/>
    <cellStyle name="Normal 5 10 2 5 2 7" xfId="32716" xr:uid="{00000000-0005-0000-0000-0000CC7F0000}"/>
    <cellStyle name="Normal 5 10 2 5 2 8" xfId="32717" xr:uid="{00000000-0005-0000-0000-0000CD7F0000}"/>
    <cellStyle name="Normal 5 10 2 5 2 9" xfId="32718" xr:uid="{00000000-0005-0000-0000-0000CE7F0000}"/>
    <cellStyle name="Normal 5 10 2 5 3" xfId="32719" xr:uid="{00000000-0005-0000-0000-0000CF7F0000}"/>
    <cellStyle name="Normal 5 10 2 5 3 10" xfId="32720" xr:uid="{00000000-0005-0000-0000-0000D07F0000}"/>
    <cellStyle name="Normal 5 10 2 5 3 2" xfId="32721" xr:uid="{00000000-0005-0000-0000-0000D17F0000}"/>
    <cellStyle name="Normal 5 10 2 5 3 3" xfId="32722" xr:uid="{00000000-0005-0000-0000-0000D27F0000}"/>
    <cellStyle name="Normal 5 10 2 5 3 4" xfId="32723" xr:uid="{00000000-0005-0000-0000-0000D37F0000}"/>
    <cellStyle name="Normal 5 10 2 5 3 5" xfId="32724" xr:uid="{00000000-0005-0000-0000-0000D47F0000}"/>
    <cellStyle name="Normal 5 10 2 5 3 6" xfId="32725" xr:uid="{00000000-0005-0000-0000-0000D57F0000}"/>
    <cellStyle name="Normal 5 10 2 5 3 7" xfId="32726" xr:uid="{00000000-0005-0000-0000-0000D67F0000}"/>
    <cellStyle name="Normal 5 10 2 5 3 8" xfId="32727" xr:uid="{00000000-0005-0000-0000-0000D77F0000}"/>
    <cellStyle name="Normal 5 10 2 5 3 9" xfId="32728" xr:uid="{00000000-0005-0000-0000-0000D87F0000}"/>
    <cellStyle name="Normal 5 10 2 5 4" xfId="32729" xr:uid="{00000000-0005-0000-0000-0000D97F0000}"/>
    <cellStyle name="Normal 5 10 2 5 4 10" xfId="32730" xr:uid="{00000000-0005-0000-0000-0000DA7F0000}"/>
    <cellStyle name="Normal 5 10 2 5 4 2" xfId="32731" xr:uid="{00000000-0005-0000-0000-0000DB7F0000}"/>
    <cellStyle name="Normal 5 10 2 5 4 3" xfId="32732" xr:uid="{00000000-0005-0000-0000-0000DC7F0000}"/>
    <cellStyle name="Normal 5 10 2 5 4 4" xfId="32733" xr:uid="{00000000-0005-0000-0000-0000DD7F0000}"/>
    <cellStyle name="Normal 5 10 2 5 4 5" xfId="32734" xr:uid="{00000000-0005-0000-0000-0000DE7F0000}"/>
    <cellStyle name="Normal 5 10 2 5 4 6" xfId="32735" xr:uid="{00000000-0005-0000-0000-0000DF7F0000}"/>
    <cellStyle name="Normal 5 10 2 5 4 7" xfId="32736" xr:uid="{00000000-0005-0000-0000-0000E07F0000}"/>
    <cellStyle name="Normal 5 10 2 5 4 8" xfId="32737" xr:uid="{00000000-0005-0000-0000-0000E17F0000}"/>
    <cellStyle name="Normal 5 10 2 5 4 9" xfId="32738" xr:uid="{00000000-0005-0000-0000-0000E27F0000}"/>
    <cellStyle name="Normal 5 10 2 5 5" xfId="32739" xr:uid="{00000000-0005-0000-0000-0000E37F0000}"/>
    <cellStyle name="Normal 5 10 2 5 5 10" xfId="32740" xr:uid="{00000000-0005-0000-0000-0000E47F0000}"/>
    <cellStyle name="Normal 5 10 2 5 5 2" xfId="32741" xr:uid="{00000000-0005-0000-0000-0000E57F0000}"/>
    <cellStyle name="Normal 5 10 2 5 5 3" xfId="32742" xr:uid="{00000000-0005-0000-0000-0000E67F0000}"/>
    <cellStyle name="Normal 5 10 2 5 5 4" xfId="32743" xr:uid="{00000000-0005-0000-0000-0000E77F0000}"/>
    <cellStyle name="Normal 5 10 2 5 5 5" xfId="32744" xr:uid="{00000000-0005-0000-0000-0000E87F0000}"/>
    <cellStyle name="Normal 5 10 2 5 5 6" xfId="32745" xr:uid="{00000000-0005-0000-0000-0000E97F0000}"/>
    <cellStyle name="Normal 5 10 2 5 5 7" xfId="32746" xr:uid="{00000000-0005-0000-0000-0000EA7F0000}"/>
    <cellStyle name="Normal 5 10 2 5 5 8" xfId="32747" xr:uid="{00000000-0005-0000-0000-0000EB7F0000}"/>
    <cellStyle name="Normal 5 10 2 5 5 9" xfId="32748" xr:uid="{00000000-0005-0000-0000-0000EC7F0000}"/>
    <cellStyle name="Normal 5 10 2 5 6" xfId="32749" xr:uid="{00000000-0005-0000-0000-0000ED7F0000}"/>
    <cellStyle name="Normal 5 10 2 5 7" xfId="32750" xr:uid="{00000000-0005-0000-0000-0000EE7F0000}"/>
    <cellStyle name="Normal 5 10 2 5 8" xfId="32751" xr:uid="{00000000-0005-0000-0000-0000EF7F0000}"/>
    <cellStyle name="Normal 5 10 2 5 9" xfId="32752" xr:uid="{00000000-0005-0000-0000-0000F07F0000}"/>
    <cellStyle name="Normal 5 10 2 6" xfId="32753" xr:uid="{00000000-0005-0000-0000-0000F17F0000}"/>
    <cellStyle name="Normal 5 10 2 6 10" xfId="32754" xr:uid="{00000000-0005-0000-0000-0000F27F0000}"/>
    <cellStyle name="Normal 5 10 2 6 11" xfId="32755" xr:uid="{00000000-0005-0000-0000-0000F37F0000}"/>
    <cellStyle name="Normal 5 10 2 6 12" xfId="32756" xr:uid="{00000000-0005-0000-0000-0000F47F0000}"/>
    <cellStyle name="Normal 5 10 2 6 13" xfId="32757" xr:uid="{00000000-0005-0000-0000-0000F57F0000}"/>
    <cellStyle name="Normal 5 10 2 6 14" xfId="32758" xr:uid="{00000000-0005-0000-0000-0000F67F0000}"/>
    <cellStyle name="Normal 5 10 2 6 2" xfId="32759" xr:uid="{00000000-0005-0000-0000-0000F77F0000}"/>
    <cellStyle name="Normal 5 10 2 6 2 10" xfId="32760" xr:uid="{00000000-0005-0000-0000-0000F87F0000}"/>
    <cellStyle name="Normal 5 10 2 6 2 2" xfId="32761" xr:uid="{00000000-0005-0000-0000-0000F97F0000}"/>
    <cellStyle name="Normal 5 10 2 6 2 3" xfId="32762" xr:uid="{00000000-0005-0000-0000-0000FA7F0000}"/>
    <cellStyle name="Normal 5 10 2 6 2 4" xfId="32763" xr:uid="{00000000-0005-0000-0000-0000FB7F0000}"/>
    <cellStyle name="Normal 5 10 2 6 2 5" xfId="32764" xr:uid="{00000000-0005-0000-0000-0000FC7F0000}"/>
    <cellStyle name="Normal 5 10 2 6 2 6" xfId="32765" xr:uid="{00000000-0005-0000-0000-0000FD7F0000}"/>
    <cellStyle name="Normal 5 10 2 6 2 7" xfId="32766" xr:uid="{00000000-0005-0000-0000-0000FE7F0000}"/>
    <cellStyle name="Normal 5 10 2 6 2 8" xfId="32767" xr:uid="{00000000-0005-0000-0000-0000FF7F0000}"/>
    <cellStyle name="Normal 5 10 2 6 2 9" xfId="32768" xr:uid="{00000000-0005-0000-0000-000000800000}"/>
    <cellStyle name="Normal 5 10 2 6 3" xfId="32769" xr:uid="{00000000-0005-0000-0000-000001800000}"/>
    <cellStyle name="Normal 5 10 2 6 3 10" xfId="32770" xr:uid="{00000000-0005-0000-0000-000002800000}"/>
    <cellStyle name="Normal 5 10 2 6 3 2" xfId="32771" xr:uid="{00000000-0005-0000-0000-000003800000}"/>
    <cellStyle name="Normal 5 10 2 6 3 3" xfId="32772" xr:uid="{00000000-0005-0000-0000-000004800000}"/>
    <cellStyle name="Normal 5 10 2 6 3 4" xfId="32773" xr:uid="{00000000-0005-0000-0000-000005800000}"/>
    <cellStyle name="Normal 5 10 2 6 3 5" xfId="32774" xr:uid="{00000000-0005-0000-0000-000006800000}"/>
    <cellStyle name="Normal 5 10 2 6 3 6" xfId="32775" xr:uid="{00000000-0005-0000-0000-000007800000}"/>
    <cellStyle name="Normal 5 10 2 6 3 7" xfId="32776" xr:uid="{00000000-0005-0000-0000-000008800000}"/>
    <cellStyle name="Normal 5 10 2 6 3 8" xfId="32777" xr:uid="{00000000-0005-0000-0000-000009800000}"/>
    <cellStyle name="Normal 5 10 2 6 3 9" xfId="32778" xr:uid="{00000000-0005-0000-0000-00000A800000}"/>
    <cellStyle name="Normal 5 10 2 6 4" xfId="32779" xr:uid="{00000000-0005-0000-0000-00000B800000}"/>
    <cellStyle name="Normal 5 10 2 6 4 10" xfId="32780" xr:uid="{00000000-0005-0000-0000-00000C800000}"/>
    <cellStyle name="Normal 5 10 2 6 4 2" xfId="32781" xr:uid="{00000000-0005-0000-0000-00000D800000}"/>
    <cellStyle name="Normal 5 10 2 6 4 3" xfId="32782" xr:uid="{00000000-0005-0000-0000-00000E800000}"/>
    <cellStyle name="Normal 5 10 2 6 4 4" xfId="32783" xr:uid="{00000000-0005-0000-0000-00000F800000}"/>
    <cellStyle name="Normal 5 10 2 6 4 5" xfId="32784" xr:uid="{00000000-0005-0000-0000-000010800000}"/>
    <cellStyle name="Normal 5 10 2 6 4 6" xfId="32785" xr:uid="{00000000-0005-0000-0000-000011800000}"/>
    <cellStyle name="Normal 5 10 2 6 4 7" xfId="32786" xr:uid="{00000000-0005-0000-0000-000012800000}"/>
    <cellStyle name="Normal 5 10 2 6 4 8" xfId="32787" xr:uid="{00000000-0005-0000-0000-000013800000}"/>
    <cellStyle name="Normal 5 10 2 6 4 9" xfId="32788" xr:uid="{00000000-0005-0000-0000-000014800000}"/>
    <cellStyle name="Normal 5 10 2 6 5" xfId="32789" xr:uid="{00000000-0005-0000-0000-000015800000}"/>
    <cellStyle name="Normal 5 10 2 6 5 10" xfId="32790" xr:uid="{00000000-0005-0000-0000-000016800000}"/>
    <cellStyle name="Normal 5 10 2 6 5 2" xfId="32791" xr:uid="{00000000-0005-0000-0000-000017800000}"/>
    <cellStyle name="Normal 5 10 2 6 5 3" xfId="32792" xr:uid="{00000000-0005-0000-0000-000018800000}"/>
    <cellStyle name="Normal 5 10 2 6 5 4" xfId="32793" xr:uid="{00000000-0005-0000-0000-000019800000}"/>
    <cellStyle name="Normal 5 10 2 6 5 5" xfId="32794" xr:uid="{00000000-0005-0000-0000-00001A800000}"/>
    <cellStyle name="Normal 5 10 2 6 5 6" xfId="32795" xr:uid="{00000000-0005-0000-0000-00001B800000}"/>
    <cellStyle name="Normal 5 10 2 6 5 7" xfId="32796" xr:uid="{00000000-0005-0000-0000-00001C800000}"/>
    <cellStyle name="Normal 5 10 2 6 5 8" xfId="32797" xr:uid="{00000000-0005-0000-0000-00001D800000}"/>
    <cellStyle name="Normal 5 10 2 6 5 9" xfId="32798" xr:uid="{00000000-0005-0000-0000-00001E800000}"/>
    <cellStyle name="Normal 5 10 2 6 6" xfId="32799" xr:uid="{00000000-0005-0000-0000-00001F800000}"/>
    <cellStyle name="Normal 5 10 2 6 7" xfId="32800" xr:uid="{00000000-0005-0000-0000-000020800000}"/>
    <cellStyle name="Normal 5 10 2 6 8" xfId="32801" xr:uid="{00000000-0005-0000-0000-000021800000}"/>
    <cellStyle name="Normal 5 10 2 6 9" xfId="32802" xr:uid="{00000000-0005-0000-0000-000022800000}"/>
    <cellStyle name="Normal 5 10 2 7" xfId="32803" xr:uid="{00000000-0005-0000-0000-000023800000}"/>
    <cellStyle name="Normal 5 10 2 7 10" xfId="32804" xr:uid="{00000000-0005-0000-0000-000024800000}"/>
    <cellStyle name="Normal 5 10 2 7 11" xfId="32805" xr:uid="{00000000-0005-0000-0000-000025800000}"/>
    <cellStyle name="Normal 5 10 2 7 12" xfId="32806" xr:uid="{00000000-0005-0000-0000-000026800000}"/>
    <cellStyle name="Normal 5 10 2 7 13" xfId="32807" xr:uid="{00000000-0005-0000-0000-000027800000}"/>
    <cellStyle name="Normal 5 10 2 7 14" xfId="32808" xr:uid="{00000000-0005-0000-0000-000028800000}"/>
    <cellStyle name="Normal 5 10 2 7 2" xfId="32809" xr:uid="{00000000-0005-0000-0000-000029800000}"/>
    <cellStyle name="Normal 5 10 2 7 2 10" xfId="32810" xr:uid="{00000000-0005-0000-0000-00002A800000}"/>
    <cellStyle name="Normal 5 10 2 7 2 2" xfId="32811" xr:uid="{00000000-0005-0000-0000-00002B800000}"/>
    <cellStyle name="Normal 5 10 2 7 2 3" xfId="32812" xr:uid="{00000000-0005-0000-0000-00002C800000}"/>
    <cellStyle name="Normal 5 10 2 7 2 4" xfId="32813" xr:uid="{00000000-0005-0000-0000-00002D800000}"/>
    <cellStyle name="Normal 5 10 2 7 2 5" xfId="32814" xr:uid="{00000000-0005-0000-0000-00002E800000}"/>
    <cellStyle name="Normal 5 10 2 7 2 6" xfId="32815" xr:uid="{00000000-0005-0000-0000-00002F800000}"/>
    <cellStyle name="Normal 5 10 2 7 2 7" xfId="32816" xr:uid="{00000000-0005-0000-0000-000030800000}"/>
    <cellStyle name="Normal 5 10 2 7 2 8" xfId="32817" xr:uid="{00000000-0005-0000-0000-000031800000}"/>
    <cellStyle name="Normal 5 10 2 7 2 9" xfId="32818" xr:uid="{00000000-0005-0000-0000-000032800000}"/>
    <cellStyle name="Normal 5 10 2 7 3" xfId="32819" xr:uid="{00000000-0005-0000-0000-000033800000}"/>
    <cellStyle name="Normal 5 10 2 7 3 10" xfId="32820" xr:uid="{00000000-0005-0000-0000-000034800000}"/>
    <cellStyle name="Normal 5 10 2 7 3 2" xfId="32821" xr:uid="{00000000-0005-0000-0000-000035800000}"/>
    <cellStyle name="Normal 5 10 2 7 3 3" xfId="32822" xr:uid="{00000000-0005-0000-0000-000036800000}"/>
    <cellStyle name="Normal 5 10 2 7 3 4" xfId="32823" xr:uid="{00000000-0005-0000-0000-000037800000}"/>
    <cellStyle name="Normal 5 10 2 7 3 5" xfId="32824" xr:uid="{00000000-0005-0000-0000-000038800000}"/>
    <cellStyle name="Normal 5 10 2 7 3 6" xfId="32825" xr:uid="{00000000-0005-0000-0000-000039800000}"/>
    <cellStyle name="Normal 5 10 2 7 3 7" xfId="32826" xr:uid="{00000000-0005-0000-0000-00003A800000}"/>
    <cellStyle name="Normal 5 10 2 7 3 8" xfId="32827" xr:uid="{00000000-0005-0000-0000-00003B800000}"/>
    <cellStyle name="Normal 5 10 2 7 3 9" xfId="32828" xr:uid="{00000000-0005-0000-0000-00003C800000}"/>
    <cellStyle name="Normal 5 10 2 7 4" xfId="32829" xr:uid="{00000000-0005-0000-0000-00003D800000}"/>
    <cellStyle name="Normal 5 10 2 7 4 10" xfId="32830" xr:uid="{00000000-0005-0000-0000-00003E800000}"/>
    <cellStyle name="Normal 5 10 2 7 4 2" xfId="32831" xr:uid="{00000000-0005-0000-0000-00003F800000}"/>
    <cellStyle name="Normal 5 10 2 7 4 3" xfId="32832" xr:uid="{00000000-0005-0000-0000-000040800000}"/>
    <cellStyle name="Normal 5 10 2 7 4 4" xfId="32833" xr:uid="{00000000-0005-0000-0000-000041800000}"/>
    <cellStyle name="Normal 5 10 2 7 4 5" xfId="32834" xr:uid="{00000000-0005-0000-0000-000042800000}"/>
    <cellStyle name="Normal 5 10 2 7 4 6" xfId="32835" xr:uid="{00000000-0005-0000-0000-000043800000}"/>
    <cellStyle name="Normal 5 10 2 7 4 7" xfId="32836" xr:uid="{00000000-0005-0000-0000-000044800000}"/>
    <cellStyle name="Normal 5 10 2 7 4 8" xfId="32837" xr:uid="{00000000-0005-0000-0000-000045800000}"/>
    <cellStyle name="Normal 5 10 2 7 4 9" xfId="32838" xr:uid="{00000000-0005-0000-0000-000046800000}"/>
    <cellStyle name="Normal 5 10 2 7 5" xfId="32839" xr:uid="{00000000-0005-0000-0000-000047800000}"/>
    <cellStyle name="Normal 5 10 2 7 5 10" xfId="32840" xr:uid="{00000000-0005-0000-0000-000048800000}"/>
    <cellStyle name="Normal 5 10 2 7 5 2" xfId="32841" xr:uid="{00000000-0005-0000-0000-000049800000}"/>
    <cellStyle name="Normal 5 10 2 7 5 3" xfId="32842" xr:uid="{00000000-0005-0000-0000-00004A800000}"/>
    <cellStyle name="Normal 5 10 2 7 5 4" xfId="32843" xr:uid="{00000000-0005-0000-0000-00004B800000}"/>
    <cellStyle name="Normal 5 10 2 7 5 5" xfId="32844" xr:uid="{00000000-0005-0000-0000-00004C800000}"/>
    <cellStyle name="Normal 5 10 2 7 5 6" xfId="32845" xr:uid="{00000000-0005-0000-0000-00004D800000}"/>
    <cellStyle name="Normal 5 10 2 7 5 7" xfId="32846" xr:uid="{00000000-0005-0000-0000-00004E800000}"/>
    <cellStyle name="Normal 5 10 2 7 5 8" xfId="32847" xr:uid="{00000000-0005-0000-0000-00004F800000}"/>
    <cellStyle name="Normal 5 10 2 7 5 9" xfId="32848" xr:uid="{00000000-0005-0000-0000-000050800000}"/>
    <cellStyle name="Normal 5 10 2 7 6" xfId="32849" xr:uid="{00000000-0005-0000-0000-000051800000}"/>
    <cellStyle name="Normal 5 10 2 7 7" xfId="32850" xr:uid="{00000000-0005-0000-0000-000052800000}"/>
    <cellStyle name="Normal 5 10 2 7 8" xfId="32851" xr:uid="{00000000-0005-0000-0000-000053800000}"/>
    <cellStyle name="Normal 5 10 2 7 9" xfId="32852" xr:uid="{00000000-0005-0000-0000-000054800000}"/>
    <cellStyle name="Normal 5 10 2 8" xfId="32853" xr:uid="{00000000-0005-0000-0000-000055800000}"/>
    <cellStyle name="Normal 5 10 2 8 10" xfId="32854" xr:uid="{00000000-0005-0000-0000-000056800000}"/>
    <cellStyle name="Normal 5 10 2 8 11" xfId="32855" xr:uid="{00000000-0005-0000-0000-000057800000}"/>
    <cellStyle name="Normal 5 10 2 8 12" xfId="32856" xr:uid="{00000000-0005-0000-0000-000058800000}"/>
    <cellStyle name="Normal 5 10 2 8 13" xfId="32857" xr:uid="{00000000-0005-0000-0000-000059800000}"/>
    <cellStyle name="Normal 5 10 2 8 14" xfId="32858" xr:uid="{00000000-0005-0000-0000-00005A800000}"/>
    <cellStyle name="Normal 5 10 2 8 2" xfId="32859" xr:uid="{00000000-0005-0000-0000-00005B800000}"/>
    <cellStyle name="Normal 5 10 2 8 2 10" xfId="32860" xr:uid="{00000000-0005-0000-0000-00005C800000}"/>
    <cellStyle name="Normal 5 10 2 8 2 2" xfId="32861" xr:uid="{00000000-0005-0000-0000-00005D800000}"/>
    <cellStyle name="Normal 5 10 2 8 2 3" xfId="32862" xr:uid="{00000000-0005-0000-0000-00005E800000}"/>
    <cellStyle name="Normal 5 10 2 8 2 4" xfId="32863" xr:uid="{00000000-0005-0000-0000-00005F800000}"/>
    <cellStyle name="Normal 5 10 2 8 2 5" xfId="32864" xr:uid="{00000000-0005-0000-0000-000060800000}"/>
    <cellStyle name="Normal 5 10 2 8 2 6" xfId="32865" xr:uid="{00000000-0005-0000-0000-000061800000}"/>
    <cellStyle name="Normal 5 10 2 8 2 7" xfId="32866" xr:uid="{00000000-0005-0000-0000-000062800000}"/>
    <cellStyle name="Normal 5 10 2 8 2 8" xfId="32867" xr:uid="{00000000-0005-0000-0000-000063800000}"/>
    <cellStyle name="Normal 5 10 2 8 2 9" xfId="32868" xr:uid="{00000000-0005-0000-0000-000064800000}"/>
    <cellStyle name="Normal 5 10 2 8 3" xfId="32869" xr:uid="{00000000-0005-0000-0000-000065800000}"/>
    <cellStyle name="Normal 5 10 2 8 3 10" xfId="32870" xr:uid="{00000000-0005-0000-0000-000066800000}"/>
    <cellStyle name="Normal 5 10 2 8 3 2" xfId="32871" xr:uid="{00000000-0005-0000-0000-000067800000}"/>
    <cellStyle name="Normal 5 10 2 8 3 3" xfId="32872" xr:uid="{00000000-0005-0000-0000-000068800000}"/>
    <cellStyle name="Normal 5 10 2 8 3 4" xfId="32873" xr:uid="{00000000-0005-0000-0000-000069800000}"/>
    <cellStyle name="Normal 5 10 2 8 3 5" xfId="32874" xr:uid="{00000000-0005-0000-0000-00006A800000}"/>
    <cellStyle name="Normal 5 10 2 8 3 6" xfId="32875" xr:uid="{00000000-0005-0000-0000-00006B800000}"/>
    <cellStyle name="Normal 5 10 2 8 3 7" xfId="32876" xr:uid="{00000000-0005-0000-0000-00006C800000}"/>
    <cellStyle name="Normal 5 10 2 8 3 8" xfId="32877" xr:uid="{00000000-0005-0000-0000-00006D800000}"/>
    <cellStyle name="Normal 5 10 2 8 3 9" xfId="32878" xr:uid="{00000000-0005-0000-0000-00006E800000}"/>
    <cellStyle name="Normal 5 10 2 8 4" xfId="32879" xr:uid="{00000000-0005-0000-0000-00006F800000}"/>
    <cellStyle name="Normal 5 10 2 8 4 10" xfId="32880" xr:uid="{00000000-0005-0000-0000-000070800000}"/>
    <cellStyle name="Normal 5 10 2 8 4 2" xfId="32881" xr:uid="{00000000-0005-0000-0000-000071800000}"/>
    <cellStyle name="Normal 5 10 2 8 4 3" xfId="32882" xr:uid="{00000000-0005-0000-0000-000072800000}"/>
    <cellStyle name="Normal 5 10 2 8 4 4" xfId="32883" xr:uid="{00000000-0005-0000-0000-000073800000}"/>
    <cellStyle name="Normal 5 10 2 8 4 5" xfId="32884" xr:uid="{00000000-0005-0000-0000-000074800000}"/>
    <cellStyle name="Normal 5 10 2 8 4 6" xfId="32885" xr:uid="{00000000-0005-0000-0000-000075800000}"/>
    <cellStyle name="Normal 5 10 2 8 4 7" xfId="32886" xr:uid="{00000000-0005-0000-0000-000076800000}"/>
    <cellStyle name="Normal 5 10 2 8 4 8" xfId="32887" xr:uid="{00000000-0005-0000-0000-000077800000}"/>
    <cellStyle name="Normal 5 10 2 8 4 9" xfId="32888" xr:uid="{00000000-0005-0000-0000-000078800000}"/>
    <cellStyle name="Normal 5 10 2 8 5" xfId="32889" xr:uid="{00000000-0005-0000-0000-000079800000}"/>
    <cellStyle name="Normal 5 10 2 8 5 10" xfId="32890" xr:uid="{00000000-0005-0000-0000-00007A800000}"/>
    <cellStyle name="Normal 5 10 2 8 5 2" xfId="32891" xr:uid="{00000000-0005-0000-0000-00007B800000}"/>
    <cellStyle name="Normal 5 10 2 8 5 3" xfId="32892" xr:uid="{00000000-0005-0000-0000-00007C800000}"/>
    <cellStyle name="Normal 5 10 2 8 5 4" xfId="32893" xr:uid="{00000000-0005-0000-0000-00007D800000}"/>
    <cellStyle name="Normal 5 10 2 8 5 5" xfId="32894" xr:uid="{00000000-0005-0000-0000-00007E800000}"/>
    <cellStyle name="Normal 5 10 2 8 5 6" xfId="32895" xr:uid="{00000000-0005-0000-0000-00007F800000}"/>
    <cellStyle name="Normal 5 10 2 8 5 7" xfId="32896" xr:uid="{00000000-0005-0000-0000-000080800000}"/>
    <cellStyle name="Normal 5 10 2 8 5 8" xfId="32897" xr:uid="{00000000-0005-0000-0000-000081800000}"/>
    <cellStyle name="Normal 5 10 2 8 5 9" xfId="32898" xr:uid="{00000000-0005-0000-0000-000082800000}"/>
    <cellStyle name="Normal 5 10 2 8 6" xfId="32899" xr:uid="{00000000-0005-0000-0000-000083800000}"/>
    <cellStyle name="Normal 5 10 2 8 7" xfId="32900" xr:uid="{00000000-0005-0000-0000-000084800000}"/>
    <cellStyle name="Normal 5 10 2 8 8" xfId="32901" xr:uid="{00000000-0005-0000-0000-000085800000}"/>
    <cellStyle name="Normal 5 10 2 8 9" xfId="32902" xr:uid="{00000000-0005-0000-0000-000086800000}"/>
    <cellStyle name="Normal 5 10 2 9" xfId="32903" xr:uid="{00000000-0005-0000-0000-000087800000}"/>
    <cellStyle name="Normal 5 10 2 9 10" xfId="32904" xr:uid="{00000000-0005-0000-0000-000088800000}"/>
    <cellStyle name="Normal 5 10 2 9 11" xfId="32905" xr:uid="{00000000-0005-0000-0000-000089800000}"/>
    <cellStyle name="Normal 5 10 2 9 12" xfId="32906" xr:uid="{00000000-0005-0000-0000-00008A800000}"/>
    <cellStyle name="Normal 5 10 2 9 13" xfId="32907" xr:uid="{00000000-0005-0000-0000-00008B800000}"/>
    <cellStyle name="Normal 5 10 2 9 14" xfId="32908" xr:uid="{00000000-0005-0000-0000-00008C800000}"/>
    <cellStyle name="Normal 5 10 2 9 2" xfId="32909" xr:uid="{00000000-0005-0000-0000-00008D800000}"/>
    <cellStyle name="Normal 5 10 2 9 2 10" xfId="32910" xr:uid="{00000000-0005-0000-0000-00008E800000}"/>
    <cellStyle name="Normal 5 10 2 9 2 2" xfId="32911" xr:uid="{00000000-0005-0000-0000-00008F800000}"/>
    <cellStyle name="Normal 5 10 2 9 2 3" xfId="32912" xr:uid="{00000000-0005-0000-0000-000090800000}"/>
    <cellStyle name="Normal 5 10 2 9 2 4" xfId="32913" xr:uid="{00000000-0005-0000-0000-000091800000}"/>
    <cellStyle name="Normal 5 10 2 9 2 5" xfId="32914" xr:uid="{00000000-0005-0000-0000-000092800000}"/>
    <cellStyle name="Normal 5 10 2 9 2 6" xfId="32915" xr:uid="{00000000-0005-0000-0000-000093800000}"/>
    <cellStyle name="Normal 5 10 2 9 2 7" xfId="32916" xr:uid="{00000000-0005-0000-0000-000094800000}"/>
    <cellStyle name="Normal 5 10 2 9 2 8" xfId="32917" xr:uid="{00000000-0005-0000-0000-000095800000}"/>
    <cellStyle name="Normal 5 10 2 9 2 9" xfId="32918" xr:uid="{00000000-0005-0000-0000-000096800000}"/>
    <cellStyle name="Normal 5 10 2 9 3" xfId="32919" xr:uid="{00000000-0005-0000-0000-000097800000}"/>
    <cellStyle name="Normal 5 10 2 9 3 10" xfId="32920" xr:uid="{00000000-0005-0000-0000-000098800000}"/>
    <cellStyle name="Normal 5 10 2 9 3 2" xfId="32921" xr:uid="{00000000-0005-0000-0000-000099800000}"/>
    <cellStyle name="Normal 5 10 2 9 3 3" xfId="32922" xr:uid="{00000000-0005-0000-0000-00009A800000}"/>
    <cellStyle name="Normal 5 10 2 9 3 4" xfId="32923" xr:uid="{00000000-0005-0000-0000-00009B800000}"/>
    <cellStyle name="Normal 5 10 2 9 3 5" xfId="32924" xr:uid="{00000000-0005-0000-0000-00009C800000}"/>
    <cellStyle name="Normal 5 10 2 9 3 6" xfId="32925" xr:uid="{00000000-0005-0000-0000-00009D800000}"/>
    <cellStyle name="Normal 5 10 2 9 3 7" xfId="32926" xr:uid="{00000000-0005-0000-0000-00009E800000}"/>
    <cellStyle name="Normal 5 10 2 9 3 8" xfId="32927" xr:uid="{00000000-0005-0000-0000-00009F800000}"/>
    <cellStyle name="Normal 5 10 2 9 3 9" xfId="32928" xr:uid="{00000000-0005-0000-0000-0000A0800000}"/>
    <cellStyle name="Normal 5 10 2 9 4" xfId="32929" xr:uid="{00000000-0005-0000-0000-0000A1800000}"/>
    <cellStyle name="Normal 5 10 2 9 4 10" xfId="32930" xr:uid="{00000000-0005-0000-0000-0000A2800000}"/>
    <cellStyle name="Normal 5 10 2 9 4 2" xfId="32931" xr:uid="{00000000-0005-0000-0000-0000A3800000}"/>
    <cellStyle name="Normal 5 10 2 9 4 3" xfId="32932" xr:uid="{00000000-0005-0000-0000-0000A4800000}"/>
    <cellStyle name="Normal 5 10 2 9 4 4" xfId="32933" xr:uid="{00000000-0005-0000-0000-0000A5800000}"/>
    <cellStyle name="Normal 5 10 2 9 4 5" xfId="32934" xr:uid="{00000000-0005-0000-0000-0000A6800000}"/>
    <cellStyle name="Normal 5 10 2 9 4 6" xfId="32935" xr:uid="{00000000-0005-0000-0000-0000A7800000}"/>
    <cellStyle name="Normal 5 10 2 9 4 7" xfId="32936" xr:uid="{00000000-0005-0000-0000-0000A8800000}"/>
    <cellStyle name="Normal 5 10 2 9 4 8" xfId="32937" xr:uid="{00000000-0005-0000-0000-0000A9800000}"/>
    <cellStyle name="Normal 5 10 2 9 4 9" xfId="32938" xr:uid="{00000000-0005-0000-0000-0000AA800000}"/>
    <cellStyle name="Normal 5 10 2 9 5" xfId="32939" xr:uid="{00000000-0005-0000-0000-0000AB800000}"/>
    <cellStyle name="Normal 5 10 2 9 5 10" xfId="32940" xr:uid="{00000000-0005-0000-0000-0000AC800000}"/>
    <cellStyle name="Normal 5 10 2 9 5 2" xfId="32941" xr:uid="{00000000-0005-0000-0000-0000AD800000}"/>
    <cellStyle name="Normal 5 10 2 9 5 3" xfId="32942" xr:uid="{00000000-0005-0000-0000-0000AE800000}"/>
    <cellStyle name="Normal 5 10 2 9 5 4" xfId="32943" xr:uid="{00000000-0005-0000-0000-0000AF800000}"/>
    <cellStyle name="Normal 5 10 2 9 5 5" xfId="32944" xr:uid="{00000000-0005-0000-0000-0000B0800000}"/>
    <cellStyle name="Normal 5 10 2 9 5 6" xfId="32945" xr:uid="{00000000-0005-0000-0000-0000B1800000}"/>
    <cellStyle name="Normal 5 10 2 9 5 7" xfId="32946" xr:uid="{00000000-0005-0000-0000-0000B2800000}"/>
    <cellStyle name="Normal 5 10 2 9 5 8" xfId="32947" xr:uid="{00000000-0005-0000-0000-0000B3800000}"/>
    <cellStyle name="Normal 5 10 2 9 5 9" xfId="32948" xr:uid="{00000000-0005-0000-0000-0000B4800000}"/>
    <cellStyle name="Normal 5 10 2 9 6" xfId="32949" xr:uid="{00000000-0005-0000-0000-0000B5800000}"/>
    <cellStyle name="Normal 5 10 2 9 7" xfId="32950" xr:uid="{00000000-0005-0000-0000-0000B6800000}"/>
    <cellStyle name="Normal 5 10 2 9 8" xfId="32951" xr:uid="{00000000-0005-0000-0000-0000B7800000}"/>
    <cellStyle name="Normal 5 10 2 9 9" xfId="32952" xr:uid="{00000000-0005-0000-0000-0000B8800000}"/>
    <cellStyle name="Normal 5 10 20" xfId="32953" xr:uid="{00000000-0005-0000-0000-0000B9800000}"/>
    <cellStyle name="Normal 5 10 20 10" xfId="32954" xr:uid="{00000000-0005-0000-0000-0000BA800000}"/>
    <cellStyle name="Normal 5 10 20 11" xfId="32955" xr:uid="{00000000-0005-0000-0000-0000BB800000}"/>
    <cellStyle name="Normal 5 10 20 12" xfId="32956" xr:uid="{00000000-0005-0000-0000-0000BC800000}"/>
    <cellStyle name="Normal 5 10 20 13" xfId="32957" xr:uid="{00000000-0005-0000-0000-0000BD800000}"/>
    <cellStyle name="Normal 5 10 20 14" xfId="32958" xr:uid="{00000000-0005-0000-0000-0000BE800000}"/>
    <cellStyle name="Normal 5 10 20 2" xfId="32959" xr:uid="{00000000-0005-0000-0000-0000BF800000}"/>
    <cellStyle name="Normal 5 10 20 2 10" xfId="32960" xr:uid="{00000000-0005-0000-0000-0000C0800000}"/>
    <cellStyle name="Normal 5 10 20 2 2" xfId="32961" xr:uid="{00000000-0005-0000-0000-0000C1800000}"/>
    <cellStyle name="Normal 5 10 20 2 3" xfId="32962" xr:uid="{00000000-0005-0000-0000-0000C2800000}"/>
    <cellStyle name="Normal 5 10 20 2 4" xfId="32963" xr:uid="{00000000-0005-0000-0000-0000C3800000}"/>
    <cellStyle name="Normal 5 10 20 2 5" xfId="32964" xr:uid="{00000000-0005-0000-0000-0000C4800000}"/>
    <cellStyle name="Normal 5 10 20 2 6" xfId="32965" xr:uid="{00000000-0005-0000-0000-0000C5800000}"/>
    <cellStyle name="Normal 5 10 20 2 7" xfId="32966" xr:uid="{00000000-0005-0000-0000-0000C6800000}"/>
    <cellStyle name="Normal 5 10 20 2 8" xfId="32967" xr:uid="{00000000-0005-0000-0000-0000C7800000}"/>
    <cellStyle name="Normal 5 10 20 2 9" xfId="32968" xr:uid="{00000000-0005-0000-0000-0000C8800000}"/>
    <cellStyle name="Normal 5 10 20 3" xfId="32969" xr:uid="{00000000-0005-0000-0000-0000C9800000}"/>
    <cellStyle name="Normal 5 10 20 3 10" xfId="32970" xr:uid="{00000000-0005-0000-0000-0000CA800000}"/>
    <cellStyle name="Normal 5 10 20 3 2" xfId="32971" xr:uid="{00000000-0005-0000-0000-0000CB800000}"/>
    <cellStyle name="Normal 5 10 20 3 3" xfId="32972" xr:uid="{00000000-0005-0000-0000-0000CC800000}"/>
    <cellStyle name="Normal 5 10 20 3 4" xfId="32973" xr:uid="{00000000-0005-0000-0000-0000CD800000}"/>
    <cellStyle name="Normal 5 10 20 3 5" xfId="32974" xr:uid="{00000000-0005-0000-0000-0000CE800000}"/>
    <cellStyle name="Normal 5 10 20 3 6" xfId="32975" xr:uid="{00000000-0005-0000-0000-0000CF800000}"/>
    <cellStyle name="Normal 5 10 20 3 7" xfId="32976" xr:uid="{00000000-0005-0000-0000-0000D0800000}"/>
    <cellStyle name="Normal 5 10 20 3 8" xfId="32977" xr:uid="{00000000-0005-0000-0000-0000D1800000}"/>
    <cellStyle name="Normal 5 10 20 3 9" xfId="32978" xr:uid="{00000000-0005-0000-0000-0000D2800000}"/>
    <cellStyle name="Normal 5 10 20 4" xfId="32979" xr:uid="{00000000-0005-0000-0000-0000D3800000}"/>
    <cellStyle name="Normal 5 10 20 4 10" xfId="32980" xr:uid="{00000000-0005-0000-0000-0000D4800000}"/>
    <cellStyle name="Normal 5 10 20 4 2" xfId="32981" xr:uid="{00000000-0005-0000-0000-0000D5800000}"/>
    <cellStyle name="Normal 5 10 20 4 3" xfId="32982" xr:uid="{00000000-0005-0000-0000-0000D6800000}"/>
    <cellStyle name="Normal 5 10 20 4 4" xfId="32983" xr:uid="{00000000-0005-0000-0000-0000D7800000}"/>
    <cellStyle name="Normal 5 10 20 4 5" xfId="32984" xr:uid="{00000000-0005-0000-0000-0000D8800000}"/>
    <cellStyle name="Normal 5 10 20 4 6" xfId="32985" xr:uid="{00000000-0005-0000-0000-0000D9800000}"/>
    <cellStyle name="Normal 5 10 20 4 7" xfId="32986" xr:uid="{00000000-0005-0000-0000-0000DA800000}"/>
    <cellStyle name="Normal 5 10 20 4 8" xfId="32987" xr:uid="{00000000-0005-0000-0000-0000DB800000}"/>
    <cellStyle name="Normal 5 10 20 4 9" xfId="32988" xr:uid="{00000000-0005-0000-0000-0000DC800000}"/>
    <cellStyle name="Normal 5 10 20 5" xfId="32989" xr:uid="{00000000-0005-0000-0000-0000DD800000}"/>
    <cellStyle name="Normal 5 10 20 5 10" xfId="32990" xr:uid="{00000000-0005-0000-0000-0000DE800000}"/>
    <cellStyle name="Normal 5 10 20 5 2" xfId="32991" xr:uid="{00000000-0005-0000-0000-0000DF800000}"/>
    <cellStyle name="Normal 5 10 20 5 3" xfId="32992" xr:uid="{00000000-0005-0000-0000-0000E0800000}"/>
    <cellStyle name="Normal 5 10 20 5 4" xfId="32993" xr:uid="{00000000-0005-0000-0000-0000E1800000}"/>
    <cellStyle name="Normal 5 10 20 5 5" xfId="32994" xr:uid="{00000000-0005-0000-0000-0000E2800000}"/>
    <cellStyle name="Normal 5 10 20 5 6" xfId="32995" xr:uid="{00000000-0005-0000-0000-0000E3800000}"/>
    <cellStyle name="Normal 5 10 20 5 7" xfId="32996" xr:uid="{00000000-0005-0000-0000-0000E4800000}"/>
    <cellStyle name="Normal 5 10 20 5 8" xfId="32997" xr:uid="{00000000-0005-0000-0000-0000E5800000}"/>
    <cellStyle name="Normal 5 10 20 5 9" xfId="32998" xr:uid="{00000000-0005-0000-0000-0000E6800000}"/>
    <cellStyle name="Normal 5 10 20 6" xfId="32999" xr:uid="{00000000-0005-0000-0000-0000E7800000}"/>
    <cellStyle name="Normal 5 10 20 7" xfId="33000" xr:uid="{00000000-0005-0000-0000-0000E8800000}"/>
    <cellStyle name="Normal 5 10 20 8" xfId="33001" xr:uid="{00000000-0005-0000-0000-0000E9800000}"/>
    <cellStyle name="Normal 5 10 20 9" xfId="33002" xr:uid="{00000000-0005-0000-0000-0000EA800000}"/>
    <cellStyle name="Normal 5 10 21" xfId="33003" xr:uid="{00000000-0005-0000-0000-0000EB800000}"/>
    <cellStyle name="Normal 5 10 21 10" xfId="33004" xr:uid="{00000000-0005-0000-0000-0000EC800000}"/>
    <cellStyle name="Normal 5 10 21 11" xfId="33005" xr:uid="{00000000-0005-0000-0000-0000ED800000}"/>
    <cellStyle name="Normal 5 10 21 12" xfId="33006" xr:uid="{00000000-0005-0000-0000-0000EE800000}"/>
    <cellStyle name="Normal 5 10 21 13" xfId="33007" xr:uid="{00000000-0005-0000-0000-0000EF800000}"/>
    <cellStyle name="Normal 5 10 21 14" xfId="33008" xr:uid="{00000000-0005-0000-0000-0000F0800000}"/>
    <cellStyle name="Normal 5 10 21 2" xfId="33009" xr:uid="{00000000-0005-0000-0000-0000F1800000}"/>
    <cellStyle name="Normal 5 10 21 2 10" xfId="33010" xr:uid="{00000000-0005-0000-0000-0000F2800000}"/>
    <cellStyle name="Normal 5 10 21 2 2" xfId="33011" xr:uid="{00000000-0005-0000-0000-0000F3800000}"/>
    <cellStyle name="Normal 5 10 21 2 3" xfId="33012" xr:uid="{00000000-0005-0000-0000-0000F4800000}"/>
    <cellStyle name="Normal 5 10 21 2 4" xfId="33013" xr:uid="{00000000-0005-0000-0000-0000F5800000}"/>
    <cellStyle name="Normal 5 10 21 2 5" xfId="33014" xr:uid="{00000000-0005-0000-0000-0000F6800000}"/>
    <cellStyle name="Normal 5 10 21 2 6" xfId="33015" xr:uid="{00000000-0005-0000-0000-0000F7800000}"/>
    <cellStyle name="Normal 5 10 21 2 7" xfId="33016" xr:uid="{00000000-0005-0000-0000-0000F8800000}"/>
    <cellStyle name="Normal 5 10 21 2 8" xfId="33017" xr:uid="{00000000-0005-0000-0000-0000F9800000}"/>
    <cellStyle name="Normal 5 10 21 2 9" xfId="33018" xr:uid="{00000000-0005-0000-0000-0000FA800000}"/>
    <cellStyle name="Normal 5 10 21 3" xfId="33019" xr:uid="{00000000-0005-0000-0000-0000FB800000}"/>
    <cellStyle name="Normal 5 10 21 3 10" xfId="33020" xr:uid="{00000000-0005-0000-0000-0000FC800000}"/>
    <cellStyle name="Normal 5 10 21 3 2" xfId="33021" xr:uid="{00000000-0005-0000-0000-0000FD800000}"/>
    <cellStyle name="Normal 5 10 21 3 3" xfId="33022" xr:uid="{00000000-0005-0000-0000-0000FE800000}"/>
    <cellStyle name="Normal 5 10 21 3 4" xfId="33023" xr:uid="{00000000-0005-0000-0000-0000FF800000}"/>
    <cellStyle name="Normal 5 10 21 3 5" xfId="33024" xr:uid="{00000000-0005-0000-0000-000000810000}"/>
    <cellStyle name="Normal 5 10 21 3 6" xfId="33025" xr:uid="{00000000-0005-0000-0000-000001810000}"/>
    <cellStyle name="Normal 5 10 21 3 7" xfId="33026" xr:uid="{00000000-0005-0000-0000-000002810000}"/>
    <cellStyle name="Normal 5 10 21 3 8" xfId="33027" xr:uid="{00000000-0005-0000-0000-000003810000}"/>
    <cellStyle name="Normal 5 10 21 3 9" xfId="33028" xr:uid="{00000000-0005-0000-0000-000004810000}"/>
    <cellStyle name="Normal 5 10 21 4" xfId="33029" xr:uid="{00000000-0005-0000-0000-000005810000}"/>
    <cellStyle name="Normal 5 10 21 4 10" xfId="33030" xr:uid="{00000000-0005-0000-0000-000006810000}"/>
    <cellStyle name="Normal 5 10 21 4 2" xfId="33031" xr:uid="{00000000-0005-0000-0000-000007810000}"/>
    <cellStyle name="Normal 5 10 21 4 3" xfId="33032" xr:uid="{00000000-0005-0000-0000-000008810000}"/>
    <cellStyle name="Normal 5 10 21 4 4" xfId="33033" xr:uid="{00000000-0005-0000-0000-000009810000}"/>
    <cellStyle name="Normal 5 10 21 4 5" xfId="33034" xr:uid="{00000000-0005-0000-0000-00000A810000}"/>
    <cellStyle name="Normal 5 10 21 4 6" xfId="33035" xr:uid="{00000000-0005-0000-0000-00000B810000}"/>
    <cellStyle name="Normal 5 10 21 4 7" xfId="33036" xr:uid="{00000000-0005-0000-0000-00000C810000}"/>
    <cellStyle name="Normal 5 10 21 4 8" xfId="33037" xr:uid="{00000000-0005-0000-0000-00000D810000}"/>
    <cellStyle name="Normal 5 10 21 4 9" xfId="33038" xr:uid="{00000000-0005-0000-0000-00000E810000}"/>
    <cellStyle name="Normal 5 10 21 5" xfId="33039" xr:uid="{00000000-0005-0000-0000-00000F810000}"/>
    <cellStyle name="Normal 5 10 21 5 10" xfId="33040" xr:uid="{00000000-0005-0000-0000-000010810000}"/>
    <cellStyle name="Normal 5 10 21 5 2" xfId="33041" xr:uid="{00000000-0005-0000-0000-000011810000}"/>
    <cellStyle name="Normal 5 10 21 5 3" xfId="33042" xr:uid="{00000000-0005-0000-0000-000012810000}"/>
    <cellStyle name="Normal 5 10 21 5 4" xfId="33043" xr:uid="{00000000-0005-0000-0000-000013810000}"/>
    <cellStyle name="Normal 5 10 21 5 5" xfId="33044" xr:uid="{00000000-0005-0000-0000-000014810000}"/>
    <cellStyle name="Normal 5 10 21 5 6" xfId="33045" xr:uid="{00000000-0005-0000-0000-000015810000}"/>
    <cellStyle name="Normal 5 10 21 5 7" xfId="33046" xr:uid="{00000000-0005-0000-0000-000016810000}"/>
    <cellStyle name="Normal 5 10 21 5 8" xfId="33047" xr:uid="{00000000-0005-0000-0000-000017810000}"/>
    <cellStyle name="Normal 5 10 21 5 9" xfId="33048" xr:uid="{00000000-0005-0000-0000-000018810000}"/>
    <cellStyle name="Normal 5 10 21 6" xfId="33049" xr:uid="{00000000-0005-0000-0000-000019810000}"/>
    <cellStyle name="Normal 5 10 21 7" xfId="33050" xr:uid="{00000000-0005-0000-0000-00001A810000}"/>
    <cellStyle name="Normal 5 10 21 8" xfId="33051" xr:uid="{00000000-0005-0000-0000-00001B810000}"/>
    <cellStyle name="Normal 5 10 21 9" xfId="33052" xr:uid="{00000000-0005-0000-0000-00001C810000}"/>
    <cellStyle name="Normal 5 10 22" xfId="33053" xr:uid="{00000000-0005-0000-0000-00001D810000}"/>
    <cellStyle name="Normal 5 10 22 10" xfId="33054" xr:uid="{00000000-0005-0000-0000-00001E810000}"/>
    <cellStyle name="Normal 5 10 22 11" xfId="33055" xr:uid="{00000000-0005-0000-0000-00001F810000}"/>
    <cellStyle name="Normal 5 10 22 12" xfId="33056" xr:uid="{00000000-0005-0000-0000-000020810000}"/>
    <cellStyle name="Normal 5 10 22 13" xfId="33057" xr:uid="{00000000-0005-0000-0000-000021810000}"/>
    <cellStyle name="Normal 5 10 22 14" xfId="33058" xr:uid="{00000000-0005-0000-0000-000022810000}"/>
    <cellStyle name="Normal 5 10 22 2" xfId="33059" xr:uid="{00000000-0005-0000-0000-000023810000}"/>
    <cellStyle name="Normal 5 10 22 2 10" xfId="33060" xr:uid="{00000000-0005-0000-0000-000024810000}"/>
    <cellStyle name="Normal 5 10 22 2 2" xfId="33061" xr:uid="{00000000-0005-0000-0000-000025810000}"/>
    <cellStyle name="Normal 5 10 22 2 3" xfId="33062" xr:uid="{00000000-0005-0000-0000-000026810000}"/>
    <cellStyle name="Normal 5 10 22 2 4" xfId="33063" xr:uid="{00000000-0005-0000-0000-000027810000}"/>
    <cellStyle name="Normal 5 10 22 2 5" xfId="33064" xr:uid="{00000000-0005-0000-0000-000028810000}"/>
    <cellStyle name="Normal 5 10 22 2 6" xfId="33065" xr:uid="{00000000-0005-0000-0000-000029810000}"/>
    <cellStyle name="Normal 5 10 22 2 7" xfId="33066" xr:uid="{00000000-0005-0000-0000-00002A810000}"/>
    <cellStyle name="Normal 5 10 22 2 8" xfId="33067" xr:uid="{00000000-0005-0000-0000-00002B810000}"/>
    <cellStyle name="Normal 5 10 22 2 9" xfId="33068" xr:uid="{00000000-0005-0000-0000-00002C810000}"/>
    <cellStyle name="Normal 5 10 22 3" xfId="33069" xr:uid="{00000000-0005-0000-0000-00002D810000}"/>
    <cellStyle name="Normal 5 10 22 3 10" xfId="33070" xr:uid="{00000000-0005-0000-0000-00002E810000}"/>
    <cellStyle name="Normal 5 10 22 3 2" xfId="33071" xr:uid="{00000000-0005-0000-0000-00002F810000}"/>
    <cellStyle name="Normal 5 10 22 3 3" xfId="33072" xr:uid="{00000000-0005-0000-0000-000030810000}"/>
    <cellStyle name="Normal 5 10 22 3 4" xfId="33073" xr:uid="{00000000-0005-0000-0000-000031810000}"/>
    <cellStyle name="Normal 5 10 22 3 5" xfId="33074" xr:uid="{00000000-0005-0000-0000-000032810000}"/>
    <cellStyle name="Normal 5 10 22 3 6" xfId="33075" xr:uid="{00000000-0005-0000-0000-000033810000}"/>
    <cellStyle name="Normal 5 10 22 3 7" xfId="33076" xr:uid="{00000000-0005-0000-0000-000034810000}"/>
    <cellStyle name="Normal 5 10 22 3 8" xfId="33077" xr:uid="{00000000-0005-0000-0000-000035810000}"/>
    <cellStyle name="Normal 5 10 22 3 9" xfId="33078" xr:uid="{00000000-0005-0000-0000-000036810000}"/>
    <cellStyle name="Normal 5 10 22 4" xfId="33079" xr:uid="{00000000-0005-0000-0000-000037810000}"/>
    <cellStyle name="Normal 5 10 22 4 10" xfId="33080" xr:uid="{00000000-0005-0000-0000-000038810000}"/>
    <cellStyle name="Normal 5 10 22 4 2" xfId="33081" xr:uid="{00000000-0005-0000-0000-000039810000}"/>
    <cellStyle name="Normal 5 10 22 4 3" xfId="33082" xr:uid="{00000000-0005-0000-0000-00003A810000}"/>
    <cellStyle name="Normal 5 10 22 4 4" xfId="33083" xr:uid="{00000000-0005-0000-0000-00003B810000}"/>
    <cellStyle name="Normal 5 10 22 4 5" xfId="33084" xr:uid="{00000000-0005-0000-0000-00003C810000}"/>
    <cellStyle name="Normal 5 10 22 4 6" xfId="33085" xr:uid="{00000000-0005-0000-0000-00003D810000}"/>
    <cellStyle name="Normal 5 10 22 4 7" xfId="33086" xr:uid="{00000000-0005-0000-0000-00003E810000}"/>
    <cellStyle name="Normal 5 10 22 4 8" xfId="33087" xr:uid="{00000000-0005-0000-0000-00003F810000}"/>
    <cellStyle name="Normal 5 10 22 4 9" xfId="33088" xr:uid="{00000000-0005-0000-0000-000040810000}"/>
    <cellStyle name="Normal 5 10 22 5" xfId="33089" xr:uid="{00000000-0005-0000-0000-000041810000}"/>
    <cellStyle name="Normal 5 10 22 5 10" xfId="33090" xr:uid="{00000000-0005-0000-0000-000042810000}"/>
    <cellStyle name="Normal 5 10 22 5 2" xfId="33091" xr:uid="{00000000-0005-0000-0000-000043810000}"/>
    <cellStyle name="Normal 5 10 22 5 3" xfId="33092" xr:uid="{00000000-0005-0000-0000-000044810000}"/>
    <cellStyle name="Normal 5 10 22 5 4" xfId="33093" xr:uid="{00000000-0005-0000-0000-000045810000}"/>
    <cellStyle name="Normal 5 10 22 5 5" xfId="33094" xr:uid="{00000000-0005-0000-0000-000046810000}"/>
    <cellStyle name="Normal 5 10 22 5 6" xfId="33095" xr:uid="{00000000-0005-0000-0000-000047810000}"/>
    <cellStyle name="Normal 5 10 22 5 7" xfId="33096" xr:uid="{00000000-0005-0000-0000-000048810000}"/>
    <cellStyle name="Normal 5 10 22 5 8" xfId="33097" xr:uid="{00000000-0005-0000-0000-000049810000}"/>
    <cellStyle name="Normal 5 10 22 5 9" xfId="33098" xr:uid="{00000000-0005-0000-0000-00004A810000}"/>
    <cellStyle name="Normal 5 10 22 6" xfId="33099" xr:uid="{00000000-0005-0000-0000-00004B810000}"/>
    <cellStyle name="Normal 5 10 22 7" xfId="33100" xr:uid="{00000000-0005-0000-0000-00004C810000}"/>
    <cellStyle name="Normal 5 10 22 8" xfId="33101" xr:uid="{00000000-0005-0000-0000-00004D810000}"/>
    <cellStyle name="Normal 5 10 22 9" xfId="33102" xr:uid="{00000000-0005-0000-0000-00004E810000}"/>
    <cellStyle name="Normal 5 10 23" xfId="33103" xr:uid="{00000000-0005-0000-0000-00004F810000}"/>
    <cellStyle name="Normal 5 10 23 10" xfId="33104" xr:uid="{00000000-0005-0000-0000-000050810000}"/>
    <cellStyle name="Normal 5 10 23 11" xfId="33105" xr:uid="{00000000-0005-0000-0000-000051810000}"/>
    <cellStyle name="Normal 5 10 23 12" xfId="33106" xr:uid="{00000000-0005-0000-0000-000052810000}"/>
    <cellStyle name="Normal 5 10 23 13" xfId="33107" xr:uid="{00000000-0005-0000-0000-000053810000}"/>
    <cellStyle name="Normal 5 10 23 14" xfId="33108" xr:uid="{00000000-0005-0000-0000-000054810000}"/>
    <cellStyle name="Normal 5 10 23 2" xfId="33109" xr:uid="{00000000-0005-0000-0000-000055810000}"/>
    <cellStyle name="Normal 5 10 23 2 10" xfId="33110" xr:uid="{00000000-0005-0000-0000-000056810000}"/>
    <cellStyle name="Normal 5 10 23 2 2" xfId="33111" xr:uid="{00000000-0005-0000-0000-000057810000}"/>
    <cellStyle name="Normal 5 10 23 2 3" xfId="33112" xr:uid="{00000000-0005-0000-0000-000058810000}"/>
    <cellStyle name="Normal 5 10 23 2 4" xfId="33113" xr:uid="{00000000-0005-0000-0000-000059810000}"/>
    <cellStyle name="Normal 5 10 23 2 5" xfId="33114" xr:uid="{00000000-0005-0000-0000-00005A810000}"/>
    <cellStyle name="Normal 5 10 23 2 6" xfId="33115" xr:uid="{00000000-0005-0000-0000-00005B810000}"/>
    <cellStyle name="Normal 5 10 23 2 7" xfId="33116" xr:uid="{00000000-0005-0000-0000-00005C810000}"/>
    <cellStyle name="Normal 5 10 23 2 8" xfId="33117" xr:uid="{00000000-0005-0000-0000-00005D810000}"/>
    <cellStyle name="Normal 5 10 23 2 9" xfId="33118" xr:uid="{00000000-0005-0000-0000-00005E810000}"/>
    <cellStyle name="Normal 5 10 23 3" xfId="33119" xr:uid="{00000000-0005-0000-0000-00005F810000}"/>
    <cellStyle name="Normal 5 10 23 3 10" xfId="33120" xr:uid="{00000000-0005-0000-0000-000060810000}"/>
    <cellStyle name="Normal 5 10 23 3 2" xfId="33121" xr:uid="{00000000-0005-0000-0000-000061810000}"/>
    <cellStyle name="Normal 5 10 23 3 3" xfId="33122" xr:uid="{00000000-0005-0000-0000-000062810000}"/>
    <cellStyle name="Normal 5 10 23 3 4" xfId="33123" xr:uid="{00000000-0005-0000-0000-000063810000}"/>
    <cellStyle name="Normal 5 10 23 3 5" xfId="33124" xr:uid="{00000000-0005-0000-0000-000064810000}"/>
    <cellStyle name="Normal 5 10 23 3 6" xfId="33125" xr:uid="{00000000-0005-0000-0000-000065810000}"/>
    <cellStyle name="Normal 5 10 23 3 7" xfId="33126" xr:uid="{00000000-0005-0000-0000-000066810000}"/>
    <cellStyle name="Normal 5 10 23 3 8" xfId="33127" xr:uid="{00000000-0005-0000-0000-000067810000}"/>
    <cellStyle name="Normal 5 10 23 3 9" xfId="33128" xr:uid="{00000000-0005-0000-0000-000068810000}"/>
    <cellStyle name="Normal 5 10 23 4" xfId="33129" xr:uid="{00000000-0005-0000-0000-000069810000}"/>
    <cellStyle name="Normal 5 10 23 4 10" xfId="33130" xr:uid="{00000000-0005-0000-0000-00006A810000}"/>
    <cellStyle name="Normal 5 10 23 4 2" xfId="33131" xr:uid="{00000000-0005-0000-0000-00006B810000}"/>
    <cellStyle name="Normal 5 10 23 4 3" xfId="33132" xr:uid="{00000000-0005-0000-0000-00006C810000}"/>
    <cellStyle name="Normal 5 10 23 4 4" xfId="33133" xr:uid="{00000000-0005-0000-0000-00006D810000}"/>
    <cellStyle name="Normal 5 10 23 4 5" xfId="33134" xr:uid="{00000000-0005-0000-0000-00006E810000}"/>
    <cellStyle name="Normal 5 10 23 4 6" xfId="33135" xr:uid="{00000000-0005-0000-0000-00006F810000}"/>
    <cellStyle name="Normal 5 10 23 4 7" xfId="33136" xr:uid="{00000000-0005-0000-0000-000070810000}"/>
    <cellStyle name="Normal 5 10 23 4 8" xfId="33137" xr:uid="{00000000-0005-0000-0000-000071810000}"/>
    <cellStyle name="Normal 5 10 23 4 9" xfId="33138" xr:uid="{00000000-0005-0000-0000-000072810000}"/>
    <cellStyle name="Normal 5 10 23 5" xfId="33139" xr:uid="{00000000-0005-0000-0000-000073810000}"/>
    <cellStyle name="Normal 5 10 23 5 10" xfId="33140" xr:uid="{00000000-0005-0000-0000-000074810000}"/>
    <cellStyle name="Normal 5 10 23 5 2" xfId="33141" xr:uid="{00000000-0005-0000-0000-000075810000}"/>
    <cellStyle name="Normal 5 10 23 5 3" xfId="33142" xr:uid="{00000000-0005-0000-0000-000076810000}"/>
    <cellStyle name="Normal 5 10 23 5 4" xfId="33143" xr:uid="{00000000-0005-0000-0000-000077810000}"/>
    <cellStyle name="Normal 5 10 23 5 5" xfId="33144" xr:uid="{00000000-0005-0000-0000-000078810000}"/>
    <cellStyle name="Normal 5 10 23 5 6" xfId="33145" xr:uid="{00000000-0005-0000-0000-000079810000}"/>
    <cellStyle name="Normal 5 10 23 5 7" xfId="33146" xr:uid="{00000000-0005-0000-0000-00007A810000}"/>
    <cellStyle name="Normal 5 10 23 5 8" xfId="33147" xr:uid="{00000000-0005-0000-0000-00007B810000}"/>
    <cellStyle name="Normal 5 10 23 5 9" xfId="33148" xr:uid="{00000000-0005-0000-0000-00007C810000}"/>
    <cellStyle name="Normal 5 10 23 6" xfId="33149" xr:uid="{00000000-0005-0000-0000-00007D810000}"/>
    <cellStyle name="Normal 5 10 23 7" xfId="33150" xr:uid="{00000000-0005-0000-0000-00007E810000}"/>
    <cellStyle name="Normal 5 10 23 8" xfId="33151" xr:uid="{00000000-0005-0000-0000-00007F810000}"/>
    <cellStyle name="Normal 5 10 23 9" xfId="33152" xr:uid="{00000000-0005-0000-0000-000080810000}"/>
    <cellStyle name="Normal 5 10 24" xfId="33153" xr:uid="{00000000-0005-0000-0000-000081810000}"/>
    <cellStyle name="Normal 5 10 24 10" xfId="33154" xr:uid="{00000000-0005-0000-0000-000082810000}"/>
    <cellStyle name="Normal 5 10 24 11" xfId="33155" xr:uid="{00000000-0005-0000-0000-000083810000}"/>
    <cellStyle name="Normal 5 10 24 12" xfId="33156" xr:uid="{00000000-0005-0000-0000-000084810000}"/>
    <cellStyle name="Normal 5 10 24 13" xfId="33157" xr:uid="{00000000-0005-0000-0000-000085810000}"/>
    <cellStyle name="Normal 5 10 24 14" xfId="33158" xr:uid="{00000000-0005-0000-0000-000086810000}"/>
    <cellStyle name="Normal 5 10 24 2" xfId="33159" xr:uid="{00000000-0005-0000-0000-000087810000}"/>
    <cellStyle name="Normal 5 10 24 2 10" xfId="33160" xr:uid="{00000000-0005-0000-0000-000088810000}"/>
    <cellStyle name="Normal 5 10 24 2 2" xfId="33161" xr:uid="{00000000-0005-0000-0000-000089810000}"/>
    <cellStyle name="Normal 5 10 24 2 3" xfId="33162" xr:uid="{00000000-0005-0000-0000-00008A810000}"/>
    <cellStyle name="Normal 5 10 24 2 4" xfId="33163" xr:uid="{00000000-0005-0000-0000-00008B810000}"/>
    <cellStyle name="Normal 5 10 24 2 5" xfId="33164" xr:uid="{00000000-0005-0000-0000-00008C810000}"/>
    <cellStyle name="Normal 5 10 24 2 6" xfId="33165" xr:uid="{00000000-0005-0000-0000-00008D810000}"/>
    <cellStyle name="Normal 5 10 24 2 7" xfId="33166" xr:uid="{00000000-0005-0000-0000-00008E810000}"/>
    <cellStyle name="Normal 5 10 24 2 8" xfId="33167" xr:uid="{00000000-0005-0000-0000-00008F810000}"/>
    <cellStyle name="Normal 5 10 24 2 9" xfId="33168" xr:uid="{00000000-0005-0000-0000-000090810000}"/>
    <cellStyle name="Normal 5 10 24 3" xfId="33169" xr:uid="{00000000-0005-0000-0000-000091810000}"/>
    <cellStyle name="Normal 5 10 24 3 10" xfId="33170" xr:uid="{00000000-0005-0000-0000-000092810000}"/>
    <cellStyle name="Normal 5 10 24 3 2" xfId="33171" xr:uid="{00000000-0005-0000-0000-000093810000}"/>
    <cellStyle name="Normal 5 10 24 3 3" xfId="33172" xr:uid="{00000000-0005-0000-0000-000094810000}"/>
    <cellStyle name="Normal 5 10 24 3 4" xfId="33173" xr:uid="{00000000-0005-0000-0000-000095810000}"/>
    <cellStyle name="Normal 5 10 24 3 5" xfId="33174" xr:uid="{00000000-0005-0000-0000-000096810000}"/>
    <cellStyle name="Normal 5 10 24 3 6" xfId="33175" xr:uid="{00000000-0005-0000-0000-000097810000}"/>
    <cellStyle name="Normal 5 10 24 3 7" xfId="33176" xr:uid="{00000000-0005-0000-0000-000098810000}"/>
    <cellStyle name="Normal 5 10 24 3 8" xfId="33177" xr:uid="{00000000-0005-0000-0000-000099810000}"/>
    <cellStyle name="Normal 5 10 24 3 9" xfId="33178" xr:uid="{00000000-0005-0000-0000-00009A810000}"/>
    <cellStyle name="Normal 5 10 24 4" xfId="33179" xr:uid="{00000000-0005-0000-0000-00009B810000}"/>
    <cellStyle name="Normal 5 10 24 4 10" xfId="33180" xr:uid="{00000000-0005-0000-0000-00009C810000}"/>
    <cellStyle name="Normal 5 10 24 4 2" xfId="33181" xr:uid="{00000000-0005-0000-0000-00009D810000}"/>
    <cellStyle name="Normal 5 10 24 4 3" xfId="33182" xr:uid="{00000000-0005-0000-0000-00009E810000}"/>
    <cellStyle name="Normal 5 10 24 4 4" xfId="33183" xr:uid="{00000000-0005-0000-0000-00009F810000}"/>
    <cellStyle name="Normal 5 10 24 4 5" xfId="33184" xr:uid="{00000000-0005-0000-0000-0000A0810000}"/>
    <cellStyle name="Normal 5 10 24 4 6" xfId="33185" xr:uid="{00000000-0005-0000-0000-0000A1810000}"/>
    <cellStyle name="Normal 5 10 24 4 7" xfId="33186" xr:uid="{00000000-0005-0000-0000-0000A2810000}"/>
    <cellStyle name="Normal 5 10 24 4 8" xfId="33187" xr:uid="{00000000-0005-0000-0000-0000A3810000}"/>
    <cellStyle name="Normal 5 10 24 4 9" xfId="33188" xr:uid="{00000000-0005-0000-0000-0000A4810000}"/>
    <cellStyle name="Normal 5 10 24 5" xfId="33189" xr:uid="{00000000-0005-0000-0000-0000A5810000}"/>
    <cellStyle name="Normal 5 10 24 5 10" xfId="33190" xr:uid="{00000000-0005-0000-0000-0000A6810000}"/>
    <cellStyle name="Normal 5 10 24 5 2" xfId="33191" xr:uid="{00000000-0005-0000-0000-0000A7810000}"/>
    <cellStyle name="Normal 5 10 24 5 3" xfId="33192" xr:uid="{00000000-0005-0000-0000-0000A8810000}"/>
    <cellStyle name="Normal 5 10 24 5 4" xfId="33193" xr:uid="{00000000-0005-0000-0000-0000A9810000}"/>
    <cellStyle name="Normal 5 10 24 5 5" xfId="33194" xr:uid="{00000000-0005-0000-0000-0000AA810000}"/>
    <cellStyle name="Normal 5 10 24 5 6" xfId="33195" xr:uid="{00000000-0005-0000-0000-0000AB810000}"/>
    <cellStyle name="Normal 5 10 24 5 7" xfId="33196" xr:uid="{00000000-0005-0000-0000-0000AC810000}"/>
    <cellStyle name="Normal 5 10 24 5 8" xfId="33197" xr:uid="{00000000-0005-0000-0000-0000AD810000}"/>
    <cellStyle name="Normal 5 10 24 5 9" xfId="33198" xr:uid="{00000000-0005-0000-0000-0000AE810000}"/>
    <cellStyle name="Normal 5 10 24 6" xfId="33199" xr:uid="{00000000-0005-0000-0000-0000AF810000}"/>
    <cellStyle name="Normal 5 10 24 7" xfId="33200" xr:uid="{00000000-0005-0000-0000-0000B0810000}"/>
    <cellStyle name="Normal 5 10 24 8" xfId="33201" xr:uid="{00000000-0005-0000-0000-0000B1810000}"/>
    <cellStyle name="Normal 5 10 24 9" xfId="33202" xr:uid="{00000000-0005-0000-0000-0000B2810000}"/>
    <cellStyle name="Normal 5 10 25" xfId="33203" xr:uid="{00000000-0005-0000-0000-0000B3810000}"/>
    <cellStyle name="Normal 5 10 25 10" xfId="33204" xr:uid="{00000000-0005-0000-0000-0000B4810000}"/>
    <cellStyle name="Normal 5 10 25 11" xfId="33205" xr:uid="{00000000-0005-0000-0000-0000B5810000}"/>
    <cellStyle name="Normal 5 10 25 12" xfId="33206" xr:uid="{00000000-0005-0000-0000-0000B6810000}"/>
    <cellStyle name="Normal 5 10 25 13" xfId="33207" xr:uid="{00000000-0005-0000-0000-0000B7810000}"/>
    <cellStyle name="Normal 5 10 25 14" xfId="33208" xr:uid="{00000000-0005-0000-0000-0000B8810000}"/>
    <cellStyle name="Normal 5 10 25 2" xfId="33209" xr:uid="{00000000-0005-0000-0000-0000B9810000}"/>
    <cellStyle name="Normal 5 10 25 2 10" xfId="33210" xr:uid="{00000000-0005-0000-0000-0000BA810000}"/>
    <cellStyle name="Normal 5 10 25 2 2" xfId="33211" xr:uid="{00000000-0005-0000-0000-0000BB810000}"/>
    <cellStyle name="Normal 5 10 25 2 3" xfId="33212" xr:uid="{00000000-0005-0000-0000-0000BC810000}"/>
    <cellStyle name="Normal 5 10 25 2 4" xfId="33213" xr:uid="{00000000-0005-0000-0000-0000BD810000}"/>
    <cellStyle name="Normal 5 10 25 2 5" xfId="33214" xr:uid="{00000000-0005-0000-0000-0000BE810000}"/>
    <cellStyle name="Normal 5 10 25 2 6" xfId="33215" xr:uid="{00000000-0005-0000-0000-0000BF810000}"/>
    <cellStyle name="Normal 5 10 25 2 7" xfId="33216" xr:uid="{00000000-0005-0000-0000-0000C0810000}"/>
    <cellStyle name="Normal 5 10 25 2 8" xfId="33217" xr:uid="{00000000-0005-0000-0000-0000C1810000}"/>
    <cellStyle name="Normal 5 10 25 2 9" xfId="33218" xr:uid="{00000000-0005-0000-0000-0000C2810000}"/>
    <cellStyle name="Normal 5 10 25 3" xfId="33219" xr:uid="{00000000-0005-0000-0000-0000C3810000}"/>
    <cellStyle name="Normal 5 10 25 3 10" xfId="33220" xr:uid="{00000000-0005-0000-0000-0000C4810000}"/>
    <cellStyle name="Normal 5 10 25 3 2" xfId="33221" xr:uid="{00000000-0005-0000-0000-0000C5810000}"/>
    <cellStyle name="Normal 5 10 25 3 3" xfId="33222" xr:uid="{00000000-0005-0000-0000-0000C6810000}"/>
    <cellStyle name="Normal 5 10 25 3 4" xfId="33223" xr:uid="{00000000-0005-0000-0000-0000C7810000}"/>
    <cellStyle name="Normal 5 10 25 3 5" xfId="33224" xr:uid="{00000000-0005-0000-0000-0000C8810000}"/>
    <cellStyle name="Normal 5 10 25 3 6" xfId="33225" xr:uid="{00000000-0005-0000-0000-0000C9810000}"/>
    <cellStyle name="Normal 5 10 25 3 7" xfId="33226" xr:uid="{00000000-0005-0000-0000-0000CA810000}"/>
    <cellStyle name="Normal 5 10 25 3 8" xfId="33227" xr:uid="{00000000-0005-0000-0000-0000CB810000}"/>
    <cellStyle name="Normal 5 10 25 3 9" xfId="33228" xr:uid="{00000000-0005-0000-0000-0000CC810000}"/>
    <cellStyle name="Normal 5 10 25 4" xfId="33229" xr:uid="{00000000-0005-0000-0000-0000CD810000}"/>
    <cellStyle name="Normal 5 10 25 4 10" xfId="33230" xr:uid="{00000000-0005-0000-0000-0000CE810000}"/>
    <cellStyle name="Normal 5 10 25 4 2" xfId="33231" xr:uid="{00000000-0005-0000-0000-0000CF810000}"/>
    <cellStyle name="Normal 5 10 25 4 3" xfId="33232" xr:uid="{00000000-0005-0000-0000-0000D0810000}"/>
    <cellStyle name="Normal 5 10 25 4 4" xfId="33233" xr:uid="{00000000-0005-0000-0000-0000D1810000}"/>
    <cellStyle name="Normal 5 10 25 4 5" xfId="33234" xr:uid="{00000000-0005-0000-0000-0000D2810000}"/>
    <cellStyle name="Normal 5 10 25 4 6" xfId="33235" xr:uid="{00000000-0005-0000-0000-0000D3810000}"/>
    <cellStyle name="Normal 5 10 25 4 7" xfId="33236" xr:uid="{00000000-0005-0000-0000-0000D4810000}"/>
    <cellStyle name="Normal 5 10 25 4 8" xfId="33237" xr:uid="{00000000-0005-0000-0000-0000D5810000}"/>
    <cellStyle name="Normal 5 10 25 4 9" xfId="33238" xr:uid="{00000000-0005-0000-0000-0000D6810000}"/>
    <cellStyle name="Normal 5 10 25 5" xfId="33239" xr:uid="{00000000-0005-0000-0000-0000D7810000}"/>
    <cellStyle name="Normal 5 10 25 5 10" xfId="33240" xr:uid="{00000000-0005-0000-0000-0000D8810000}"/>
    <cellStyle name="Normal 5 10 25 5 2" xfId="33241" xr:uid="{00000000-0005-0000-0000-0000D9810000}"/>
    <cellStyle name="Normal 5 10 25 5 3" xfId="33242" xr:uid="{00000000-0005-0000-0000-0000DA810000}"/>
    <cellStyle name="Normal 5 10 25 5 4" xfId="33243" xr:uid="{00000000-0005-0000-0000-0000DB810000}"/>
    <cellStyle name="Normal 5 10 25 5 5" xfId="33244" xr:uid="{00000000-0005-0000-0000-0000DC810000}"/>
    <cellStyle name="Normal 5 10 25 5 6" xfId="33245" xr:uid="{00000000-0005-0000-0000-0000DD810000}"/>
    <cellStyle name="Normal 5 10 25 5 7" xfId="33246" xr:uid="{00000000-0005-0000-0000-0000DE810000}"/>
    <cellStyle name="Normal 5 10 25 5 8" xfId="33247" xr:uid="{00000000-0005-0000-0000-0000DF810000}"/>
    <cellStyle name="Normal 5 10 25 5 9" xfId="33248" xr:uid="{00000000-0005-0000-0000-0000E0810000}"/>
    <cellStyle name="Normal 5 10 25 6" xfId="33249" xr:uid="{00000000-0005-0000-0000-0000E1810000}"/>
    <cellStyle name="Normal 5 10 25 7" xfId="33250" xr:uid="{00000000-0005-0000-0000-0000E2810000}"/>
    <cellStyle name="Normal 5 10 25 8" xfId="33251" xr:uid="{00000000-0005-0000-0000-0000E3810000}"/>
    <cellStyle name="Normal 5 10 25 9" xfId="33252" xr:uid="{00000000-0005-0000-0000-0000E4810000}"/>
    <cellStyle name="Normal 5 10 26" xfId="33253" xr:uid="{00000000-0005-0000-0000-0000E5810000}"/>
    <cellStyle name="Normal 5 10 26 10" xfId="33254" xr:uid="{00000000-0005-0000-0000-0000E6810000}"/>
    <cellStyle name="Normal 5 10 26 11" xfId="33255" xr:uid="{00000000-0005-0000-0000-0000E7810000}"/>
    <cellStyle name="Normal 5 10 26 12" xfId="33256" xr:uid="{00000000-0005-0000-0000-0000E8810000}"/>
    <cellStyle name="Normal 5 10 26 13" xfId="33257" xr:uid="{00000000-0005-0000-0000-0000E9810000}"/>
    <cellStyle name="Normal 5 10 26 14" xfId="33258" xr:uid="{00000000-0005-0000-0000-0000EA810000}"/>
    <cellStyle name="Normal 5 10 26 2" xfId="33259" xr:uid="{00000000-0005-0000-0000-0000EB810000}"/>
    <cellStyle name="Normal 5 10 26 2 10" xfId="33260" xr:uid="{00000000-0005-0000-0000-0000EC810000}"/>
    <cellStyle name="Normal 5 10 26 2 2" xfId="33261" xr:uid="{00000000-0005-0000-0000-0000ED810000}"/>
    <cellStyle name="Normal 5 10 26 2 3" xfId="33262" xr:uid="{00000000-0005-0000-0000-0000EE810000}"/>
    <cellStyle name="Normal 5 10 26 2 4" xfId="33263" xr:uid="{00000000-0005-0000-0000-0000EF810000}"/>
    <cellStyle name="Normal 5 10 26 2 5" xfId="33264" xr:uid="{00000000-0005-0000-0000-0000F0810000}"/>
    <cellStyle name="Normal 5 10 26 2 6" xfId="33265" xr:uid="{00000000-0005-0000-0000-0000F1810000}"/>
    <cellStyle name="Normal 5 10 26 2 7" xfId="33266" xr:uid="{00000000-0005-0000-0000-0000F2810000}"/>
    <cellStyle name="Normal 5 10 26 2 8" xfId="33267" xr:uid="{00000000-0005-0000-0000-0000F3810000}"/>
    <cellStyle name="Normal 5 10 26 2 9" xfId="33268" xr:uid="{00000000-0005-0000-0000-0000F4810000}"/>
    <cellStyle name="Normal 5 10 26 3" xfId="33269" xr:uid="{00000000-0005-0000-0000-0000F5810000}"/>
    <cellStyle name="Normal 5 10 26 3 10" xfId="33270" xr:uid="{00000000-0005-0000-0000-0000F6810000}"/>
    <cellStyle name="Normal 5 10 26 3 2" xfId="33271" xr:uid="{00000000-0005-0000-0000-0000F7810000}"/>
    <cellStyle name="Normal 5 10 26 3 3" xfId="33272" xr:uid="{00000000-0005-0000-0000-0000F8810000}"/>
    <cellStyle name="Normal 5 10 26 3 4" xfId="33273" xr:uid="{00000000-0005-0000-0000-0000F9810000}"/>
    <cellStyle name="Normal 5 10 26 3 5" xfId="33274" xr:uid="{00000000-0005-0000-0000-0000FA810000}"/>
    <cellStyle name="Normal 5 10 26 3 6" xfId="33275" xr:uid="{00000000-0005-0000-0000-0000FB810000}"/>
    <cellStyle name="Normal 5 10 26 3 7" xfId="33276" xr:uid="{00000000-0005-0000-0000-0000FC810000}"/>
    <cellStyle name="Normal 5 10 26 3 8" xfId="33277" xr:uid="{00000000-0005-0000-0000-0000FD810000}"/>
    <cellStyle name="Normal 5 10 26 3 9" xfId="33278" xr:uid="{00000000-0005-0000-0000-0000FE810000}"/>
    <cellStyle name="Normal 5 10 26 4" xfId="33279" xr:uid="{00000000-0005-0000-0000-0000FF810000}"/>
    <cellStyle name="Normal 5 10 26 4 10" xfId="33280" xr:uid="{00000000-0005-0000-0000-000000820000}"/>
    <cellStyle name="Normal 5 10 26 4 2" xfId="33281" xr:uid="{00000000-0005-0000-0000-000001820000}"/>
    <cellStyle name="Normal 5 10 26 4 3" xfId="33282" xr:uid="{00000000-0005-0000-0000-000002820000}"/>
    <cellStyle name="Normal 5 10 26 4 4" xfId="33283" xr:uid="{00000000-0005-0000-0000-000003820000}"/>
    <cellStyle name="Normal 5 10 26 4 5" xfId="33284" xr:uid="{00000000-0005-0000-0000-000004820000}"/>
    <cellStyle name="Normal 5 10 26 4 6" xfId="33285" xr:uid="{00000000-0005-0000-0000-000005820000}"/>
    <cellStyle name="Normal 5 10 26 4 7" xfId="33286" xr:uid="{00000000-0005-0000-0000-000006820000}"/>
    <cellStyle name="Normal 5 10 26 4 8" xfId="33287" xr:uid="{00000000-0005-0000-0000-000007820000}"/>
    <cellStyle name="Normal 5 10 26 4 9" xfId="33288" xr:uid="{00000000-0005-0000-0000-000008820000}"/>
    <cellStyle name="Normal 5 10 26 5" xfId="33289" xr:uid="{00000000-0005-0000-0000-000009820000}"/>
    <cellStyle name="Normal 5 10 26 5 10" xfId="33290" xr:uid="{00000000-0005-0000-0000-00000A820000}"/>
    <cellStyle name="Normal 5 10 26 5 2" xfId="33291" xr:uid="{00000000-0005-0000-0000-00000B820000}"/>
    <cellStyle name="Normal 5 10 26 5 3" xfId="33292" xr:uid="{00000000-0005-0000-0000-00000C820000}"/>
    <cellStyle name="Normal 5 10 26 5 4" xfId="33293" xr:uid="{00000000-0005-0000-0000-00000D820000}"/>
    <cellStyle name="Normal 5 10 26 5 5" xfId="33294" xr:uid="{00000000-0005-0000-0000-00000E820000}"/>
    <cellStyle name="Normal 5 10 26 5 6" xfId="33295" xr:uid="{00000000-0005-0000-0000-00000F820000}"/>
    <cellStyle name="Normal 5 10 26 5 7" xfId="33296" xr:uid="{00000000-0005-0000-0000-000010820000}"/>
    <cellStyle name="Normal 5 10 26 5 8" xfId="33297" xr:uid="{00000000-0005-0000-0000-000011820000}"/>
    <cellStyle name="Normal 5 10 26 5 9" xfId="33298" xr:uid="{00000000-0005-0000-0000-000012820000}"/>
    <cellStyle name="Normal 5 10 26 6" xfId="33299" xr:uid="{00000000-0005-0000-0000-000013820000}"/>
    <cellStyle name="Normal 5 10 26 7" xfId="33300" xr:uid="{00000000-0005-0000-0000-000014820000}"/>
    <cellStyle name="Normal 5 10 26 8" xfId="33301" xr:uid="{00000000-0005-0000-0000-000015820000}"/>
    <cellStyle name="Normal 5 10 26 9" xfId="33302" xr:uid="{00000000-0005-0000-0000-000016820000}"/>
    <cellStyle name="Normal 5 10 27" xfId="33303" xr:uid="{00000000-0005-0000-0000-000017820000}"/>
    <cellStyle name="Normal 5 10 27 10" xfId="33304" xr:uid="{00000000-0005-0000-0000-000018820000}"/>
    <cellStyle name="Normal 5 10 27 11" xfId="33305" xr:uid="{00000000-0005-0000-0000-000019820000}"/>
    <cellStyle name="Normal 5 10 27 12" xfId="33306" xr:uid="{00000000-0005-0000-0000-00001A820000}"/>
    <cellStyle name="Normal 5 10 27 13" xfId="33307" xr:uid="{00000000-0005-0000-0000-00001B820000}"/>
    <cellStyle name="Normal 5 10 27 14" xfId="33308" xr:uid="{00000000-0005-0000-0000-00001C820000}"/>
    <cellStyle name="Normal 5 10 27 2" xfId="33309" xr:uid="{00000000-0005-0000-0000-00001D820000}"/>
    <cellStyle name="Normal 5 10 27 2 10" xfId="33310" xr:uid="{00000000-0005-0000-0000-00001E820000}"/>
    <cellStyle name="Normal 5 10 27 2 2" xfId="33311" xr:uid="{00000000-0005-0000-0000-00001F820000}"/>
    <cellStyle name="Normal 5 10 27 2 3" xfId="33312" xr:uid="{00000000-0005-0000-0000-000020820000}"/>
    <cellStyle name="Normal 5 10 27 2 4" xfId="33313" xr:uid="{00000000-0005-0000-0000-000021820000}"/>
    <cellStyle name="Normal 5 10 27 2 5" xfId="33314" xr:uid="{00000000-0005-0000-0000-000022820000}"/>
    <cellStyle name="Normal 5 10 27 2 6" xfId="33315" xr:uid="{00000000-0005-0000-0000-000023820000}"/>
    <cellStyle name="Normal 5 10 27 2 7" xfId="33316" xr:uid="{00000000-0005-0000-0000-000024820000}"/>
    <cellStyle name="Normal 5 10 27 2 8" xfId="33317" xr:uid="{00000000-0005-0000-0000-000025820000}"/>
    <cellStyle name="Normal 5 10 27 2 9" xfId="33318" xr:uid="{00000000-0005-0000-0000-000026820000}"/>
    <cellStyle name="Normal 5 10 27 3" xfId="33319" xr:uid="{00000000-0005-0000-0000-000027820000}"/>
    <cellStyle name="Normal 5 10 27 3 10" xfId="33320" xr:uid="{00000000-0005-0000-0000-000028820000}"/>
    <cellStyle name="Normal 5 10 27 3 2" xfId="33321" xr:uid="{00000000-0005-0000-0000-000029820000}"/>
    <cellStyle name="Normal 5 10 27 3 3" xfId="33322" xr:uid="{00000000-0005-0000-0000-00002A820000}"/>
    <cellStyle name="Normal 5 10 27 3 4" xfId="33323" xr:uid="{00000000-0005-0000-0000-00002B820000}"/>
    <cellStyle name="Normal 5 10 27 3 5" xfId="33324" xr:uid="{00000000-0005-0000-0000-00002C820000}"/>
    <cellStyle name="Normal 5 10 27 3 6" xfId="33325" xr:uid="{00000000-0005-0000-0000-00002D820000}"/>
    <cellStyle name="Normal 5 10 27 3 7" xfId="33326" xr:uid="{00000000-0005-0000-0000-00002E820000}"/>
    <cellStyle name="Normal 5 10 27 3 8" xfId="33327" xr:uid="{00000000-0005-0000-0000-00002F820000}"/>
    <cellStyle name="Normal 5 10 27 3 9" xfId="33328" xr:uid="{00000000-0005-0000-0000-000030820000}"/>
    <cellStyle name="Normal 5 10 27 4" xfId="33329" xr:uid="{00000000-0005-0000-0000-000031820000}"/>
    <cellStyle name="Normal 5 10 27 4 10" xfId="33330" xr:uid="{00000000-0005-0000-0000-000032820000}"/>
    <cellStyle name="Normal 5 10 27 4 2" xfId="33331" xr:uid="{00000000-0005-0000-0000-000033820000}"/>
    <cellStyle name="Normal 5 10 27 4 3" xfId="33332" xr:uid="{00000000-0005-0000-0000-000034820000}"/>
    <cellStyle name="Normal 5 10 27 4 4" xfId="33333" xr:uid="{00000000-0005-0000-0000-000035820000}"/>
    <cellStyle name="Normal 5 10 27 4 5" xfId="33334" xr:uid="{00000000-0005-0000-0000-000036820000}"/>
    <cellStyle name="Normal 5 10 27 4 6" xfId="33335" xr:uid="{00000000-0005-0000-0000-000037820000}"/>
    <cellStyle name="Normal 5 10 27 4 7" xfId="33336" xr:uid="{00000000-0005-0000-0000-000038820000}"/>
    <cellStyle name="Normal 5 10 27 4 8" xfId="33337" xr:uid="{00000000-0005-0000-0000-000039820000}"/>
    <cellStyle name="Normal 5 10 27 4 9" xfId="33338" xr:uid="{00000000-0005-0000-0000-00003A820000}"/>
    <cellStyle name="Normal 5 10 27 5" xfId="33339" xr:uid="{00000000-0005-0000-0000-00003B820000}"/>
    <cellStyle name="Normal 5 10 27 5 10" xfId="33340" xr:uid="{00000000-0005-0000-0000-00003C820000}"/>
    <cellStyle name="Normal 5 10 27 5 2" xfId="33341" xr:uid="{00000000-0005-0000-0000-00003D820000}"/>
    <cellStyle name="Normal 5 10 27 5 3" xfId="33342" xr:uid="{00000000-0005-0000-0000-00003E820000}"/>
    <cellStyle name="Normal 5 10 27 5 4" xfId="33343" xr:uid="{00000000-0005-0000-0000-00003F820000}"/>
    <cellStyle name="Normal 5 10 27 5 5" xfId="33344" xr:uid="{00000000-0005-0000-0000-000040820000}"/>
    <cellStyle name="Normal 5 10 27 5 6" xfId="33345" xr:uid="{00000000-0005-0000-0000-000041820000}"/>
    <cellStyle name="Normal 5 10 27 5 7" xfId="33346" xr:uid="{00000000-0005-0000-0000-000042820000}"/>
    <cellStyle name="Normal 5 10 27 5 8" xfId="33347" xr:uid="{00000000-0005-0000-0000-000043820000}"/>
    <cellStyle name="Normal 5 10 27 5 9" xfId="33348" xr:uid="{00000000-0005-0000-0000-000044820000}"/>
    <cellStyle name="Normal 5 10 27 6" xfId="33349" xr:uid="{00000000-0005-0000-0000-000045820000}"/>
    <cellStyle name="Normal 5 10 27 7" xfId="33350" xr:uid="{00000000-0005-0000-0000-000046820000}"/>
    <cellStyle name="Normal 5 10 27 8" xfId="33351" xr:uid="{00000000-0005-0000-0000-000047820000}"/>
    <cellStyle name="Normal 5 10 27 9" xfId="33352" xr:uid="{00000000-0005-0000-0000-000048820000}"/>
    <cellStyle name="Normal 5 10 28" xfId="33353" xr:uid="{00000000-0005-0000-0000-000049820000}"/>
    <cellStyle name="Normal 5 10 28 10" xfId="33354" xr:uid="{00000000-0005-0000-0000-00004A820000}"/>
    <cellStyle name="Normal 5 10 28 11" xfId="33355" xr:uid="{00000000-0005-0000-0000-00004B820000}"/>
    <cellStyle name="Normal 5 10 28 12" xfId="33356" xr:uid="{00000000-0005-0000-0000-00004C820000}"/>
    <cellStyle name="Normal 5 10 28 13" xfId="33357" xr:uid="{00000000-0005-0000-0000-00004D820000}"/>
    <cellStyle name="Normal 5 10 28 14" xfId="33358" xr:uid="{00000000-0005-0000-0000-00004E820000}"/>
    <cellStyle name="Normal 5 10 28 2" xfId="33359" xr:uid="{00000000-0005-0000-0000-00004F820000}"/>
    <cellStyle name="Normal 5 10 28 2 10" xfId="33360" xr:uid="{00000000-0005-0000-0000-000050820000}"/>
    <cellStyle name="Normal 5 10 28 2 2" xfId="33361" xr:uid="{00000000-0005-0000-0000-000051820000}"/>
    <cellStyle name="Normal 5 10 28 2 3" xfId="33362" xr:uid="{00000000-0005-0000-0000-000052820000}"/>
    <cellStyle name="Normal 5 10 28 2 4" xfId="33363" xr:uid="{00000000-0005-0000-0000-000053820000}"/>
    <cellStyle name="Normal 5 10 28 2 5" xfId="33364" xr:uid="{00000000-0005-0000-0000-000054820000}"/>
    <cellStyle name="Normal 5 10 28 2 6" xfId="33365" xr:uid="{00000000-0005-0000-0000-000055820000}"/>
    <cellStyle name="Normal 5 10 28 2 7" xfId="33366" xr:uid="{00000000-0005-0000-0000-000056820000}"/>
    <cellStyle name="Normal 5 10 28 2 8" xfId="33367" xr:uid="{00000000-0005-0000-0000-000057820000}"/>
    <cellStyle name="Normal 5 10 28 2 9" xfId="33368" xr:uid="{00000000-0005-0000-0000-000058820000}"/>
    <cellStyle name="Normal 5 10 28 3" xfId="33369" xr:uid="{00000000-0005-0000-0000-000059820000}"/>
    <cellStyle name="Normal 5 10 28 3 10" xfId="33370" xr:uid="{00000000-0005-0000-0000-00005A820000}"/>
    <cellStyle name="Normal 5 10 28 3 2" xfId="33371" xr:uid="{00000000-0005-0000-0000-00005B820000}"/>
    <cellStyle name="Normal 5 10 28 3 3" xfId="33372" xr:uid="{00000000-0005-0000-0000-00005C820000}"/>
    <cellStyle name="Normal 5 10 28 3 4" xfId="33373" xr:uid="{00000000-0005-0000-0000-00005D820000}"/>
    <cellStyle name="Normal 5 10 28 3 5" xfId="33374" xr:uid="{00000000-0005-0000-0000-00005E820000}"/>
    <cellStyle name="Normal 5 10 28 3 6" xfId="33375" xr:uid="{00000000-0005-0000-0000-00005F820000}"/>
    <cellStyle name="Normal 5 10 28 3 7" xfId="33376" xr:uid="{00000000-0005-0000-0000-000060820000}"/>
    <cellStyle name="Normal 5 10 28 3 8" xfId="33377" xr:uid="{00000000-0005-0000-0000-000061820000}"/>
    <cellStyle name="Normal 5 10 28 3 9" xfId="33378" xr:uid="{00000000-0005-0000-0000-000062820000}"/>
    <cellStyle name="Normal 5 10 28 4" xfId="33379" xr:uid="{00000000-0005-0000-0000-000063820000}"/>
    <cellStyle name="Normal 5 10 28 4 10" xfId="33380" xr:uid="{00000000-0005-0000-0000-000064820000}"/>
    <cellStyle name="Normal 5 10 28 4 2" xfId="33381" xr:uid="{00000000-0005-0000-0000-000065820000}"/>
    <cellStyle name="Normal 5 10 28 4 3" xfId="33382" xr:uid="{00000000-0005-0000-0000-000066820000}"/>
    <cellStyle name="Normal 5 10 28 4 4" xfId="33383" xr:uid="{00000000-0005-0000-0000-000067820000}"/>
    <cellStyle name="Normal 5 10 28 4 5" xfId="33384" xr:uid="{00000000-0005-0000-0000-000068820000}"/>
    <cellStyle name="Normal 5 10 28 4 6" xfId="33385" xr:uid="{00000000-0005-0000-0000-000069820000}"/>
    <cellStyle name="Normal 5 10 28 4 7" xfId="33386" xr:uid="{00000000-0005-0000-0000-00006A820000}"/>
    <cellStyle name="Normal 5 10 28 4 8" xfId="33387" xr:uid="{00000000-0005-0000-0000-00006B820000}"/>
    <cellStyle name="Normal 5 10 28 4 9" xfId="33388" xr:uid="{00000000-0005-0000-0000-00006C820000}"/>
    <cellStyle name="Normal 5 10 28 5" xfId="33389" xr:uid="{00000000-0005-0000-0000-00006D820000}"/>
    <cellStyle name="Normal 5 10 28 5 10" xfId="33390" xr:uid="{00000000-0005-0000-0000-00006E820000}"/>
    <cellStyle name="Normal 5 10 28 5 2" xfId="33391" xr:uid="{00000000-0005-0000-0000-00006F820000}"/>
    <cellStyle name="Normal 5 10 28 5 3" xfId="33392" xr:uid="{00000000-0005-0000-0000-000070820000}"/>
    <cellStyle name="Normal 5 10 28 5 4" xfId="33393" xr:uid="{00000000-0005-0000-0000-000071820000}"/>
    <cellStyle name="Normal 5 10 28 5 5" xfId="33394" xr:uid="{00000000-0005-0000-0000-000072820000}"/>
    <cellStyle name="Normal 5 10 28 5 6" xfId="33395" xr:uid="{00000000-0005-0000-0000-000073820000}"/>
    <cellStyle name="Normal 5 10 28 5 7" xfId="33396" xr:uid="{00000000-0005-0000-0000-000074820000}"/>
    <cellStyle name="Normal 5 10 28 5 8" xfId="33397" xr:uid="{00000000-0005-0000-0000-000075820000}"/>
    <cellStyle name="Normal 5 10 28 5 9" xfId="33398" xr:uid="{00000000-0005-0000-0000-000076820000}"/>
    <cellStyle name="Normal 5 10 28 6" xfId="33399" xr:uid="{00000000-0005-0000-0000-000077820000}"/>
    <cellStyle name="Normal 5 10 28 7" xfId="33400" xr:uid="{00000000-0005-0000-0000-000078820000}"/>
    <cellStyle name="Normal 5 10 28 8" xfId="33401" xr:uid="{00000000-0005-0000-0000-000079820000}"/>
    <cellStyle name="Normal 5 10 28 9" xfId="33402" xr:uid="{00000000-0005-0000-0000-00007A820000}"/>
    <cellStyle name="Normal 5 10 29" xfId="33403" xr:uid="{00000000-0005-0000-0000-00007B820000}"/>
    <cellStyle name="Normal 5 10 29 10" xfId="33404" xr:uid="{00000000-0005-0000-0000-00007C820000}"/>
    <cellStyle name="Normal 5 10 29 11" xfId="33405" xr:uid="{00000000-0005-0000-0000-00007D820000}"/>
    <cellStyle name="Normal 5 10 29 12" xfId="33406" xr:uid="{00000000-0005-0000-0000-00007E820000}"/>
    <cellStyle name="Normal 5 10 29 13" xfId="33407" xr:uid="{00000000-0005-0000-0000-00007F820000}"/>
    <cellStyle name="Normal 5 10 29 14" xfId="33408" xr:uid="{00000000-0005-0000-0000-000080820000}"/>
    <cellStyle name="Normal 5 10 29 2" xfId="33409" xr:uid="{00000000-0005-0000-0000-000081820000}"/>
    <cellStyle name="Normal 5 10 29 2 10" xfId="33410" xr:uid="{00000000-0005-0000-0000-000082820000}"/>
    <cellStyle name="Normal 5 10 29 2 2" xfId="33411" xr:uid="{00000000-0005-0000-0000-000083820000}"/>
    <cellStyle name="Normal 5 10 29 2 3" xfId="33412" xr:uid="{00000000-0005-0000-0000-000084820000}"/>
    <cellStyle name="Normal 5 10 29 2 4" xfId="33413" xr:uid="{00000000-0005-0000-0000-000085820000}"/>
    <cellStyle name="Normal 5 10 29 2 5" xfId="33414" xr:uid="{00000000-0005-0000-0000-000086820000}"/>
    <cellStyle name="Normal 5 10 29 2 6" xfId="33415" xr:uid="{00000000-0005-0000-0000-000087820000}"/>
    <cellStyle name="Normal 5 10 29 2 7" xfId="33416" xr:uid="{00000000-0005-0000-0000-000088820000}"/>
    <cellStyle name="Normal 5 10 29 2 8" xfId="33417" xr:uid="{00000000-0005-0000-0000-000089820000}"/>
    <cellStyle name="Normal 5 10 29 2 9" xfId="33418" xr:uid="{00000000-0005-0000-0000-00008A820000}"/>
    <cellStyle name="Normal 5 10 29 3" xfId="33419" xr:uid="{00000000-0005-0000-0000-00008B820000}"/>
    <cellStyle name="Normal 5 10 29 3 10" xfId="33420" xr:uid="{00000000-0005-0000-0000-00008C820000}"/>
    <cellStyle name="Normal 5 10 29 3 2" xfId="33421" xr:uid="{00000000-0005-0000-0000-00008D820000}"/>
    <cellStyle name="Normal 5 10 29 3 3" xfId="33422" xr:uid="{00000000-0005-0000-0000-00008E820000}"/>
    <cellStyle name="Normal 5 10 29 3 4" xfId="33423" xr:uid="{00000000-0005-0000-0000-00008F820000}"/>
    <cellStyle name="Normal 5 10 29 3 5" xfId="33424" xr:uid="{00000000-0005-0000-0000-000090820000}"/>
    <cellStyle name="Normal 5 10 29 3 6" xfId="33425" xr:uid="{00000000-0005-0000-0000-000091820000}"/>
    <cellStyle name="Normal 5 10 29 3 7" xfId="33426" xr:uid="{00000000-0005-0000-0000-000092820000}"/>
    <cellStyle name="Normal 5 10 29 3 8" xfId="33427" xr:uid="{00000000-0005-0000-0000-000093820000}"/>
    <cellStyle name="Normal 5 10 29 3 9" xfId="33428" xr:uid="{00000000-0005-0000-0000-000094820000}"/>
    <cellStyle name="Normal 5 10 29 4" xfId="33429" xr:uid="{00000000-0005-0000-0000-000095820000}"/>
    <cellStyle name="Normal 5 10 29 4 10" xfId="33430" xr:uid="{00000000-0005-0000-0000-000096820000}"/>
    <cellStyle name="Normal 5 10 29 4 2" xfId="33431" xr:uid="{00000000-0005-0000-0000-000097820000}"/>
    <cellStyle name="Normal 5 10 29 4 3" xfId="33432" xr:uid="{00000000-0005-0000-0000-000098820000}"/>
    <cellStyle name="Normal 5 10 29 4 4" xfId="33433" xr:uid="{00000000-0005-0000-0000-000099820000}"/>
    <cellStyle name="Normal 5 10 29 4 5" xfId="33434" xr:uid="{00000000-0005-0000-0000-00009A820000}"/>
    <cellStyle name="Normal 5 10 29 4 6" xfId="33435" xr:uid="{00000000-0005-0000-0000-00009B820000}"/>
    <cellStyle name="Normal 5 10 29 4 7" xfId="33436" xr:uid="{00000000-0005-0000-0000-00009C820000}"/>
    <cellStyle name="Normal 5 10 29 4 8" xfId="33437" xr:uid="{00000000-0005-0000-0000-00009D820000}"/>
    <cellStyle name="Normal 5 10 29 4 9" xfId="33438" xr:uid="{00000000-0005-0000-0000-00009E820000}"/>
    <cellStyle name="Normal 5 10 29 5" xfId="33439" xr:uid="{00000000-0005-0000-0000-00009F820000}"/>
    <cellStyle name="Normal 5 10 29 5 10" xfId="33440" xr:uid="{00000000-0005-0000-0000-0000A0820000}"/>
    <cellStyle name="Normal 5 10 29 5 2" xfId="33441" xr:uid="{00000000-0005-0000-0000-0000A1820000}"/>
    <cellStyle name="Normal 5 10 29 5 3" xfId="33442" xr:uid="{00000000-0005-0000-0000-0000A2820000}"/>
    <cellStyle name="Normal 5 10 29 5 4" xfId="33443" xr:uid="{00000000-0005-0000-0000-0000A3820000}"/>
    <cellStyle name="Normal 5 10 29 5 5" xfId="33444" xr:uid="{00000000-0005-0000-0000-0000A4820000}"/>
    <cellStyle name="Normal 5 10 29 5 6" xfId="33445" xr:uid="{00000000-0005-0000-0000-0000A5820000}"/>
    <cellStyle name="Normal 5 10 29 5 7" xfId="33446" xr:uid="{00000000-0005-0000-0000-0000A6820000}"/>
    <cellStyle name="Normal 5 10 29 5 8" xfId="33447" xr:uid="{00000000-0005-0000-0000-0000A7820000}"/>
    <cellStyle name="Normal 5 10 29 5 9" xfId="33448" xr:uid="{00000000-0005-0000-0000-0000A8820000}"/>
    <cellStyle name="Normal 5 10 29 6" xfId="33449" xr:uid="{00000000-0005-0000-0000-0000A9820000}"/>
    <cellStyle name="Normal 5 10 29 7" xfId="33450" xr:uid="{00000000-0005-0000-0000-0000AA820000}"/>
    <cellStyle name="Normal 5 10 29 8" xfId="33451" xr:uid="{00000000-0005-0000-0000-0000AB820000}"/>
    <cellStyle name="Normal 5 10 29 9" xfId="33452" xr:uid="{00000000-0005-0000-0000-0000AC820000}"/>
    <cellStyle name="Normal 5 10 3" xfId="33453" xr:uid="{00000000-0005-0000-0000-0000AD820000}"/>
    <cellStyle name="Normal 5 10 3 10" xfId="33454" xr:uid="{00000000-0005-0000-0000-0000AE820000}"/>
    <cellStyle name="Normal 5 10 3 11" xfId="33455" xr:uid="{00000000-0005-0000-0000-0000AF820000}"/>
    <cellStyle name="Normal 5 10 3 12" xfId="33456" xr:uid="{00000000-0005-0000-0000-0000B0820000}"/>
    <cellStyle name="Normal 5 10 3 13" xfId="33457" xr:uid="{00000000-0005-0000-0000-0000B1820000}"/>
    <cellStyle name="Normal 5 10 3 14" xfId="33458" xr:uid="{00000000-0005-0000-0000-0000B2820000}"/>
    <cellStyle name="Normal 5 10 3 2" xfId="33459" xr:uid="{00000000-0005-0000-0000-0000B3820000}"/>
    <cellStyle name="Normal 5 10 3 2 10" xfId="33460" xr:uid="{00000000-0005-0000-0000-0000B4820000}"/>
    <cellStyle name="Normal 5 10 3 2 2" xfId="33461" xr:uid="{00000000-0005-0000-0000-0000B5820000}"/>
    <cellStyle name="Normal 5 10 3 2 3" xfId="33462" xr:uid="{00000000-0005-0000-0000-0000B6820000}"/>
    <cellStyle name="Normal 5 10 3 2 4" xfId="33463" xr:uid="{00000000-0005-0000-0000-0000B7820000}"/>
    <cellStyle name="Normal 5 10 3 2 5" xfId="33464" xr:uid="{00000000-0005-0000-0000-0000B8820000}"/>
    <cellStyle name="Normal 5 10 3 2 6" xfId="33465" xr:uid="{00000000-0005-0000-0000-0000B9820000}"/>
    <cellStyle name="Normal 5 10 3 2 7" xfId="33466" xr:uid="{00000000-0005-0000-0000-0000BA820000}"/>
    <cellStyle name="Normal 5 10 3 2 8" xfId="33467" xr:uid="{00000000-0005-0000-0000-0000BB820000}"/>
    <cellStyle name="Normal 5 10 3 2 9" xfId="33468" xr:uid="{00000000-0005-0000-0000-0000BC820000}"/>
    <cellStyle name="Normal 5 10 3 3" xfId="33469" xr:uid="{00000000-0005-0000-0000-0000BD820000}"/>
    <cellStyle name="Normal 5 10 3 3 10" xfId="33470" xr:uid="{00000000-0005-0000-0000-0000BE820000}"/>
    <cellStyle name="Normal 5 10 3 3 2" xfId="33471" xr:uid="{00000000-0005-0000-0000-0000BF820000}"/>
    <cellStyle name="Normal 5 10 3 3 3" xfId="33472" xr:uid="{00000000-0005-0000-0000-0000C0820000}"/>
    <cellStyle name="Normal 5 10 3 3 4" xfId="33473" xr:uid="{00000000-0005-0000-0000-0000C1820000}"/>
    <cellStyle name="Normal 5 10 3 3 5" xfId="33474" xr:uid="{00000000-0005-0000-0000-0000C2820000}"/>
    <cellStyle name="Normal 5 10 3 3 6" xfId="33475" xr:uid="{00000000-0005-0000-0000-0000C3820000}"/>
    <cellStyle name="Normal 5 10 3 3 7" xfId="33476" xr:uid="{00000000-0005-0000-0000-0000C4820000}"/>
    <cellStyle name="Normal 5 10 3 3 8" xfId="33477" xr:uid="{00000000-0005-0000-0000-0000C5820000}"/>
    <cellStyle name="Normal 5 10 3 3 9" xfId="33478" xr:uid="{00000000-0005-0000-0000-0000C6820000}"/>
    <cellStyle name="Normal 5 10 3 4" xfId="33479" xr:uid="{00000000-0005-0000-0000-0000C7820000}"/>
    <cellStyle name="Normal 5 10 3 4 10" xfId="33480" xr:uid="{00000000-0005-0000-0000-0000C8820000}"/>
    <cellStyle name="Normal 5 10 3 4 2" xfId="33481" xr:uid="{00000000-0005-0000-0000-0000C9820000}"/>
    <cellStyle name="Normal 5 10 3 4 3" xfId="33482" xr:uid="{00000000-0005-0000-0000-0000CA820000}"/>
    <cellStyle name="Normal 5 10 3 4 4" xfId="33483" xr:uid="{00000000-0005-0000-0000-0000CB820000}"/>
    <cellStyle name="Normal 5 10 3 4 5" xfId="33484" xr:uid="{00000000-0005-0000-0000-0000CC820000}"/>
    <cellStyle name="Normal 5 10 3 4 6" xfId="33485" xr:uid="{00000000-0005-0000-0000-0000CD820000}"/>
    <cellStyle name="Normal 5 10 3 4 7" xfId="33486" xr:uid="{00000000-0005-0000-0000-0000CE820000}"/>
    <cellStyle name="Normal 5 10 3 4 8" xfId="33487" xr:uid="{00000000-0005-0000-0000-0000CF820000}"/>
    <cellStyle name="Normal 5 10 3 4 9" xfId="33488" xr:uid="{00000000-0005-0000-0000-0000D0820000}"/>
    <cellStyle name="Normal 5 10 3 5" xfId="33489" xr:uid="{00000000-0005-0000-0000-0000D1820000}"/>
    <cellStyle name="Normal 5 10 3 5 10" xfId="33490" xr:uid="{00000000-0005-0000-0000-0000D2820000}"/>
    <cellStyle name="Normal 5 10 3 5 2" xfId="33491" xr:uid="{00000000-0005-0000-0000-0000D3820000}"/>
    <cellStyle name="Normal 5 10 3 5 3" xfId="33492" xr:uid="{00000000-0005-0000-0000-0000D4820000}"/>
    <cellStyle name="Normal 5 10 3 5 4" xfId="33493" xr:uid="{00000000-0005-0000-0000-0000D5820000}"/>
    <cellStyle name="Normal 5 10 3 5 5" xfId="33494" xr:uid="{00000000-0005-0000-0000-0000D6820000}"/>
    <cellStyle name="Normal 5 10 3 5 6" xfId="33495" xr:uid="{00000000-0005-0000-0000-0000D7820000}"/>
    <cellStyle name="Normal 5 10 3 5 7" xfId="33496" xr:uid="{00000000-0005-0000-0000-0000D8820000}"/>
    <cellStyle name="Normal 5 10 3 5 8" xfId="33497" xr:uid="{00000000-0005-0000-0000-0000D9820000}"/>
    <cellStyle name="Normal 5 10 3 5 9" xfId="33498" xr:uid="{00000000-0005-0000-0000-0000DA820000}"/>
    <cellStyle name="Normal 5 10 3 6" xfId="33499" xr:uid="{00000000-0005-0000-0000-0000DB820000}"/>
    <cellStyle name="Normal 5 10 3 7" xfId="33500" xr:uid="{00000000-0005-0000-0000-0000DC820000}"/>
    <cellStyle name="Normal 5 10 3 8" xfId="33501" xr:uid="{00000000-0005-0000-0000-0000DD820000}"/>
    <cellStyle name="Normal 5 10 3 9" xfId="33502" xr:uid="{00000000-0005-0000-0000-0000DE820000}"/>
    <cellStyle name="Normal 5 10 30" xfId="33503" xr:uid="{00000000-0005-0000-0000-0000DF820000}"/>
    <cellStyle name="Normal 5 10 30 10" xfId="33504" xr:uid="{00000000-0005-0000-0000-0000E0820000}"/>
    <cellStyle name="Normal 5 10 30 11" xfId="33505" xr:uid="{00000000-0005-0000-0000-0000E1820000}"/>
    <cellStyle name="Normal 5 10 30 12" xfId="33506" xr:uid="{00000000-0005-0000-0000-0000E2820000}"/>
    <cellStyle name="Normal 5 10 30 13" xfId="33507" xr:uid="{00000000-0005-0000-0000-0000E3820000}"/>
    <cellStyle name="Normal 5 10 30 14" xfId="33508" xr:uid="{00000000-0005-0000-0000-0000E4820000}"/>
    <cellStyle name="Normal 5 10 30 2" xfId="33509" xr:uid="{00000000-0005-0000-0000-0000E5820000}"/>
    <cellStyle name="Normal 5 10 30 2 10" xfId="33510" xr:uid="{00000000-0005-0000-0000-0000E6820000}"/>
    <cellStyle name="Normal 5 10 30 2 2" xfId="33511" xr:uid="{00000000-0005-0000-0000-0000E7820000}"/>
    <cellStyle name="Normal 5 10 30 2 3" xfId="33512" xr:uid="{00000000-0005-0000-0000-0000E8820000}"/>
    <cellStyle name="Normal 5 10 30 2 4" xfId="33513" xr:uid="{00000000-0005-0000-0000-0000E9820000}"/>
    <cellStyle name="Normal 5 10 30 2 5" xfId="33514" xr:uid="{00000000-0005-0000-0000-0000EA820000}"/>
    <cellStyle name="Normal 5 10 30 2 6" xfId="33515" xr:uid="{00000000-0005-0000-0000-0000EB820000}"/>
    <cellStyle name="Normal 5 10 30 2 7" xfId="33516" xr:uid="{00000000-0005-0000-0000-0000EC820000}"/>
    <cellStyle name="Normal 5 10 30 2 8" xfId="33517" xr:uid="{00000000-0005-0000-0000-0000ED820000}"/>
    <cellStyle name="Normal 5 10 30 2 9" xfId="33518" xr:uid="{00000000-0005-0000-0000-0000EE820000}"/>
    <cellStyle name="Normal 5 10 30 3" xfId="33519" xr:uid="{00000000-0005-0000-0000-0000EF820000}"/>
    <cellStyle name="Normal 5 10 30 3 10" xfId="33520" xr:uid="{00000000-0005-0000-0000-0000F0820000}"/>
    <cellStyle name="Normal 5 10 30 3 2" xfId="33521" xr:uid="{00000000-0005-0000-0000-0000F1820000}"/>
    <cellStyle name="Normal 5 10 30 3 3" xfId="33522" xr:uid="{00000000-0005-0000-0000-0000F2820000}"/>
    <cellStyle name="Normal 5 10 30 3 4" xfId="33523" xr:uid="{00000000-0005-0000-0000-0000F3820000}"/>
    <cellStyle name="Normal 5 10 30 3 5" xfId="33524" xr:uid="{00000000-0005-0000-0000-0000F4820000}"/>
    <cellStyle name="Normal 5 10 30 3 6" xfId="33525" xr:uid="{00000000-0005-0000-0000-0000F5820000}"/>
    <cellStyle name="Normal 5 10 30 3 7" xfId="33526" xr:uid="{00000000-0005-0000-0000-0000F6820000}"/>
    <cellStyle name="Normal 5 10 30 3 8" xfId="33527" xr:uid="{00000000-0005-0000-0000-0000F7820000}"/>
    <cellStyle name="Normal 5 10 30 3 9" xfId="33528" xr:uid="{00000000-0005-0000-0000-0000F8820000}"/>
    <cellStyle name="Normal 5 10 30 4" xfId="33529" xr:uid="{00000000-0005-0000-0000-0000F9820000}"/>
    <cellStyle name="Normal 5 10 30 4 10" xfId="33530" xr:uid="{00000000-0005-0000-0000-0000FA820000}"/>
    <cellStyle name="Normal 5 10 30 4 2" xfId="33531" xr:uid="{00000000-0005-0000-0000-0000FB820000}"/>
    <cellStyle name="Normal 5 10 30 4 3" xfId="33532" xr:uid="{00000000-0005-0000-0000-0000FC820000}"/>
    <cellStyle name="Normal 5 10 30 4 4" xfId="33533" xr:uid="{00000000-0005-0000-0000-0000FD820000}"/>
    <cellStyle name="Normal 5 10 30 4 5" xfId="33534" xr:uid="{00000000-0005-0000-0000-0000FE820000}"/>
    <cellStyle name="Normal 5 10 30 4 6" xfId="33535" xr:uid="{00000000-0005-0000-0000-0000FF820000}"/>
    <cellStyle name="Normal 5 10 30 4 7" xfId="33536" xr:uid="{00000000-0005-0000-0000-000000830000}"/>
    <cellStyle name="Normal 5 10 30 4 8" xfId="33537" xr:uid="{00000000-0005-0000-0000-000001830000}"/>
    <cellStyle name="Normal 5 10 30 4 9" xfId="33538" xr:uid="{00000000-0005-0000-0000-000002830000}"/>
    <cellStyle name="Normal 5 10 30 5" xfId="33539" xr:uid="{00000000-0005-0000-0000-000003830000}"/>
    <cellStyle name="Normal 5 10 30 5 10" xfId="33540" xr:uid="{00000000-0005-0000-0000-000004830000}"/>
    <cellStyle name="Normal 5 10 30 5 2" xfId="33541" xr:uid="{00000000-0005-0000-0000-000005830000}"/>
    <cellStyle name="Normal 5 10 30 5 3" xfId="33542" xr:uid="{00000000-0005-0000-0000-000006830000}"/>
    <cellStyle name="Normal 5 10 30 5 4" xfId="33543" xr:uid="{00000000-0005-0000-0000-000007830000}"/>
    <cellStyle name="Normal 5 10 30 5 5" xfId="33544" xr:uid="{00000000-0005-0000-0000-000008830000}"/>
    <cellStyle name="Normal 5 10 30 5 6" xfId="33545" xr:uid="{00000000-0005-0000-0000-000009830000}"/>
    <cellStyle name="Normal 5 10 30 5 7" xfId="33546" xr:uid="{00000000-0005-0000-0000-00000A830000}"/>
    <cellStyle name="Normal 5 10 30 5 8" xfId="33547" xr:uid="{00000000-0005-0000-0000-00000B830000}"/>
    <cellStyle name="Normal 5 10 30 5 9" xfId="33548" xr:uid="{00000000-0005-0000-0000-00000C830000}"/>
    <cellStyle name="Normal 5 10 30 6" xfId="33549" xr:uid="{00000000-0005-0000-0000-00000D830000}"/>
    <cellStyle name="Normal 5 10 30 7" xfId="33550" xr:uid="{00000000-0005-0000-0000-00000E830000}"/>
    <cellStyle name="Normal 5 10 30 8" xfId="33551" xr:uid="{00000000-0005-0000-0000-00000F830000}"/>
    <cellStyle name="Normal 5 10 30 9" xfId="33552" xr:uid="{00000000-0005-0000-0000-000010830000}"/>
    <cellStyle name="Normal 5 10 31" xfId="33553" xr:uid="{00000000-0005-0000-0000-000011830000}"/>
    <cellStyle name="Normal 5 10 31 10" xfId="33554" xr:uid="{00000000-0005-0000-0000-000012830000}"/>
    <cellStyle name="Normal 5 10 31 11" xfId="33555" xr:uid="{00000000-0005-0000-0000-000013830000}"/>
    <cellStyle name="Normal 5 10 31 12" xfId="33556" xr:uid="{00000000-0005-0000-0000-000014830000}"/>
    <cellStyle name="Normal 5 10 31 13" xfId="33557" xr:uid="{00000000-0005-0000-0000-000015830000}"/>
    <cellStyle name="Normal 5 10 31 14" xfId="33558" xr:uid="{00000000-0005-0000-0000-000016830000}"/>
    <cellStyle name="Normal 5 10 31 2" xfId="33559" xr:uid="{00000000-0005-0000-0000-000017830000}"/>
    <cellStyle name="Normal 5 10 31 2 10" xfId="33560" xr:uid="{00000000-0005-0000-0000-000018830000}"/>
    <cellStyle name="Normal 5 10 31 2 2" xfId="33561" xr:uid="{00000000-0005-0000-0000-000019830000}"/>
    <cellStyle name="Normal 5 10 31 2 3" xfId="33562" xr:uid="{00000000-0005-0000-0000-00001A830000}"/>
    <cellStyle name="Normal 5 10 31 2 4" xfId="33563" xr:uid="{00000000-0005-0000-0000-00001B830000}"/>
    <cellStyle name="Normal 5 10 31 2 5" xfId="33564" xr:uid="{00000000-0005-0000-0000-00001C830000}"/>
    <cellStyle name="Normal 5 10 31 2 6" xfId="33565" xr:uid="{00000000-0005-0000-0000-00001D830000}"/>
    <cellStyle name="Normal 5 10 31 2 7" xfId="33566" xr:uid="{00000000-0005-0000-0000-00001E830000}"/>
    <cellStyle name="Normal 5 10 31 2 8" xfId="33567" xr:uid="{00000000-0005-0000-0000-00001F830000}"/>
    <cellStyle name="Normal 5 10 31 2 9" xfId="33568" xr:uid="{00000000-0005-0000-0000-000020830000}"/>
    <cellStyle name="Normal 5 10 31 3" xfId="33569" xr:uid="{00000000-0005-0000-0000-000021830000}"/>
    <cellStyle name="Normal 5 10 31 3 10" xfId="33570" xr:uid="{00000000-0005-0000-0000-000022830000}"/>
    <cellStyle name="Normal 5 10 31 3 2" xfId="33571" xr:uid="{00000000-0005-0000-0000-000023830000}"/>
    <cellStyle name="Normal 5 10 31 3 3" xfId="33572" xr:uid="{00000000-0005-0000-0000-000024830000}"/>
    <cellStyle name="Normal 5 10 31 3 4" xfId="33573" xr:uid="{00000000-0005-0000-0000-000025830000}"/>
    <cellStyle name="Normal 5 10 31 3 5" xfId="33574" xr:uid="{00000000-0005-0000-0000-000026830000}"/>
    <cellStyle name="Normal 5 10 31 3 6" xfId="33575" xr:uid="{00000000-0005-0000-0000-000027830000}"/>
    <cellStyle name="Normal 5 10 31 3 7" xfId="33576" xr:uid="{00000000-0005-0000-0000-000028830000}"/>
    <cellStyle name="Normal 5 10 31 3 8" xfId="33577" xr:uid="{00000000-0005-0000-0000-000029830000}"/>
    <cellStyle name="Normal 5 10 31 3 9" xfId="33578" xr:uid="{00000000-0005-0000-0000-00002A830000}"/>
    <cellStyle name="Normal 5 10 31 4" xfId="33579" xr:uid="{00000000-0005-0000-0000-00002B830000}"/>
    <cellStyle name="Normal 5 10 31 4 10" xfId="33580" xr:uid="{00000000-0005-0000-0000-00002C830000}"/>
    <cellStyle name="Normal 5 10 31 4 2" xfId="33581" xr:uid="{00000000-0005-0000-0000-00002D830000}"/>
    <cellStyle name="Normal 5 10 31 4 3" xfId="33582" xr:uid="{00000000-0005-0000-0000-00002E830000}"/>
    <cellStyle name="Normal 5 10 31 4 4" xfId="33583" xr:uid="{00000000-0005-0000-0000-00002F830000}"/>
    <cellStyle name="Normal 5 10 31 4 5" xfId="33584" xr:uid="{00000000-0005-0000-0000-000030830000}"/>
    <cellStyle name="Normal 5 10 31 4 6" xfId="33585" xr:uid="{00000000-0005-0000-0000-000031830000}"/>
    <cellStyle name="Normal 5 10 31 4 7" xfId="33586" xr:uid="{00000000-0005-0000-0000-000032830000}"/>
    <cellStyle name="Normal 5 10 31 4 8" xfId="33587" xr:uid="{00000000-0005-0000-0000-000033830000}"/>
    <cellStyle name="Normal 5 10 31 4 9" xfId="33588" xr:uid="{00000000-0005-0000-0000-000034830000}"/>
    <cellStyle name="Normal 5 10 31 5" xfId="33589" xr:uid="{00000000-0005-0000-0000-000035830000}"/>
    <cellStyle name="Normal 5 10 31 5 10" xfId="33590" xr:uid="{00000000-0005-0000-0000-000036830000}"/>
    <cellStyle name="Normal 5 10 31 5 2" xfId="33591" xr:uid="{00000000-0005-0000-0000-000037830000}"/>
    <cellStyle name="Normal 5 10 31 5 3" xfId="33592" xr:uid="{00000000-0005-0000-0000-000038830000}"/>
    <cellStyle name="Normal 5 10 31 5 4" xfId="33593" xr:uid="{00000000-0005-0000-0000-000039830000}"/>
    <cellStyle name="Normal 5 10 31 5 5" xfId="33594" xr:uid="{00000000-0005-0000-0000-00003A830000}"/>
    <cellStyle name="Normal 5 10 31 5 6" xfId="33595" xr:uid="{00000000-0005-0000-0000-00003B830000}"/>
    <cellStyle name="Normal 5 10 31 5 7" xfId="33596" xr:uid="{00000000-0005-0000-0000-00003C830000}"/>
    <cellStyle name="Normal 5 10 31 5 8" xfId="33597" xr:uid="{00000000-0005-0000-0000-00003D830000}"/>
    <cellStyle name="Normal 5 10 31 5 9" xfId="33598" xr:uid="{00000000-0005-0000-0000-00003E830000}"/>
    <cellStyle name="Normal 5 10 31 6" xfId="33599" xr:uid="{00000000-0005-0000-0000-00003F830000}"/>
    <cellStyle name="Normal 5 10 31 7" xfId="33600" xr:uid="{00000000-0005-0000-0000-000040830000}"/>
    <cellStyle name="Normal 5 10 31 8" xfId="33601" xr:uid="{00000000-0005-0000-0000-000041830000}"/>
    <cellStyle name="Normal 5 10 31 9" xfId="33602" xr:uid="{00000000-0005-0000-0000-000042830000}"/>
    <cellStyle name="Normal 5 10 32" xfId="33603" xr:uid="{00000000-0005-0000-0000-000043830000}"/>
    <cellStyle name="Normal 5 10 32 10" xfId="33604" xr:uid="{00000000-0005-0000-0000-000044830000}"/>
    <cellStyle name="Normal 5 10 32 11" xfId="33605" xr:uid="{00000000-0005-0000-0000-000045830000}"/>
    <cellStyle name="Normal 5 10 32 12" xfId="33606" xr:uid="{00000000-0005-0000-0000-000046830000}"/>
    <cellStyle name="Normal 5 10 32 13" xfId="33607" xr:uid="{00000000-0005-0000-0000-000047830000}"/>
    <cellStyle name="Normal 5 10 32 14" xfId="33608" xr:uid="{00000000-0005-0000-0000-000048830000}"/>
    <cellStyle name="Normal 5 10 32 2" xfId="33609" xr:uid="{00000000-0005-0000-0000-000049830000}"/>
    <cellStyle name="Normal 5 10 32 2 10" xfId="33610" xr:uid="{00000000-0005-0000-0000-00004A830000}"/>
    <cellStyle name="Normal 5 10 32 2 2" xfId="33611" xr:uid="{00000000-0005-0000-0000-00004B830000}"/>
    <cellStyle name="Normal 5 10 32 2 3" xfId="33612" xr:uid="{00000000-0005-0000-0000-00004C830000}"/>
    <cellStyle name="Normal 5 10 32 2 4" xfId="33613" xr:uid="{00000000-0005-0000-0000-00004D830000}"/>
    <cellStyle name="Normal 5 10 32 2 5" xfId="33614" xr:uid="{00000000-0005-0000-0000-00004E830000}"/>
    <cellStyle name="Normal 5 10 32 2 6" xfId="33615" xr:uid="{00000000-0005-0000-0000-00004F830000}"/>
    <cellStyle name="Normal 5 10 32 2 7" xfId="33616" xr:uid="{00000000-0005-0000-0000-000050830000}"/>
    <cellStyle name="Normal 5 10 32 2 8" xfId="33617" xr:uid="{00000000-0005-0000-0000-000051830000}"/>
    <cellStyle name="Normal 5 10 32 2 9" xfId="33618" xr:uid="{00000000-0005-0000-0000-000052830000}"/>
    <cellStyle name="Normal 5 10 32 3" xfId="33619" xr:uid="{00000000-0005-0000-0000-000053830000}"/>
    <cellStyle name="Normal 5 10 32 3 10" xfId="33620" xr:uid="{00000000-0005-0000-0000-000054830000}"/>
    <cellStyle name="Normal 5 10 32 3 2" xfId="33621" xr:uid="{00000000-0005-0000-0000-000055830000}"/>
    <cellStyle name="Normal 5 10 32 3 3" xfId="33622" xr:uid="{00000000-0005-0000-0000-000056830000}"/>
    <cellStyle name="Normal 5 10 32 3 4" xfId="33623" xr:uid="{00000000-0005-0000-0000-000057830000}"/>
    <cellStyle name="Normal 5 10 32 3 5" xfId="33624" xr:uid="{00000000-0005-0000-0000-000058830000}"/>
    <cellStyle name="Normal 5 10 32 3 6" xfId="33625" xr:uid="{00000000-0005-0000-0000-000059830000}"/>
    <cellStyle name="Normal 5 10 32 3 7" xfId="33626" xr:uid="{00000000-0005-0000-0000-00005A830000}"/>
    <cellStyle name="Normal 5 10 32 3 8" xfId="33627" xr:uid="{00000000-0005-0000-0000-00005B830000}"/>
    <cellStyle name="Normal 5 10 32 3 9" xfId="33628" xr:uid="{00000000-0005-0000-0000-00005C830000}"/>
    <cellStyle name="Normal 5 10 32 4" xfId="33629" xr:uid="{00000000-0005-0000-0000-00005D830000}"/>
    <cellStyle name="Normal 5 10 32 4 10" xfId="33630" xr:uid="{00000000-0005-0000-0000-00005E830000}"/>
    <cellStyle name="Normal 5 10 32 4 2" xfId="33631" xr:uid="{00000000-0005-0000-0000-00005F830000}"/>
    <cellStyle name="Normal 5 10 32 4 3" xfId="33632" xr:uid="{00000000-0005-0000-0000-000060830000}"/>
    <cellStyle name="Normal 5 10 32 4 4" xfId="33633" xr:uid="{00000000-0005-0000-0000-000061830000}"/>
    <cellStyle name="Normal 5 10 32 4 5" xfId="33634" xr:uid="{00000000-0005-0000-0000-000062830000}"/>
    <cellStyle name="Normal 5 10 32 4 6" xfId="33635" xr:uid="{00000000-0005-0000-0000-000063830000}"/>
    <cellStyle name="Normal 5 10 32 4 7" xfId="33636" xr:uid="{00000000-0005-0000-0000-000064830000}"/>
    <cellStyle name="Normal 5 10 32 4 8" xfId="33637" xr:uid="{00000000-0005-0000-0000-000065830000}"/>
    <cellStyle name="Normal 5 10 32 4 9" xfId="33638" xr:uid="{00000000-0005-0000-0000-000066830000}"/>
    <cellStyle name="Normal 5 10 32 5" xfId="33639" xr:uid="{00000000-0005-0000-0000-000067830000}"/>
    <cellStyle name="Normal 5 10 32 5 10" xfId="33640" xr:uid="{00000000-0005-0000-0000-000068830000}"/>
    <cellStyle name="Normal 5 10 32 5 2" xfId="33641" xr:uid="{00000000-0005-0000-0000-000069830000}"/>
    <cellStyle name="Normal 5 10 32 5 3" xfId="33642" xr:uid="{00000000-0005-0000-0000-00006A830000}"/>
    <cellStyle name="Normal 5 10 32 5 4" xfId="33643" xr:uid="{00000000-0005-0000-0000-00006B830000}"/>
    <cellStyle name="Normal 5 10 32 5 5" xfId="33644" xr:uid="{00000000-0005-0000-0000-00006C830000}"/>
    <cellStyle name="Normal 5 10 32 5 6" xfId="33645" xr:uid="{00000000-0005-0000-0000-00006D830000}"/>
    <cellStyle name="Normal 5 10 32 5 7" xfId="33646" xr:uid="{00000000-0005-0000-0000-00006E830000}"/>
    <cellStyle name="Normal 5 10 32 5 8" xfId="33647" xr:uid="{00000000-0005-0000-0000-00006F830000}"/>
    <cellStyle name="Normal 5 10 32 5 9" xfId="33648" xr:uid="{00000000-0005-0000-0000-000070830000}"/>
    <cellStyle name="Normal 5 10 32 6" xfId="33649" xr:uid="{00000000-0005-0000-0000-000071830000}"/>
    <cellStyle name="Normal 5 10 32 7" xfId="33650" xr:uid="{00000000-0005-0000-0000-000072830000}"/>
    <cellStyle name="Normal 5 10 32 8" xfId="33651" xr:uid="{00000000-0005-0000-0000-000073830000}"/>
    <cellStyle name="Normal 5 10 32 9" xfId="33652" xr:uid="{00000000-0005-0000-0000-000074830000}"/>
    <cellStyle name="Normal 5 10 33" xfId="33653" xr:uid="{00000000-0005-0000-0000-000075830000}"/>
    <cellStyle name="Normal 5 10 33 10" xfId="33654" xr:uid="{00000000-0005-0000-0000-000076830000}"/>
    <cellStyle name="Normal 5 10 33 11" xfId="33655" xr:uid="{00000000-0005-0000-0000-000077830000}"/>
    <cellStyle name="Normal 5 10 33 12" xfId="33656" xr:uid="{00000000-0005-0000-0000-000078830000}"/>
    <cellStyle name="Normal 5 10 33 13" xfId="33657" xr:uid="{00000000-0005-0000-0000-000079830000}"/>
    <cellStyle name="Normal 5 10 33 14" xfId="33658" xr:uid="{00000000-0005-0000-0000-00007A830000}"/>
    <cellStyle name="Normal 5 10 33 2" xfId="33659" xr:uid="{00000000-0005-0000-0000-00007B830000}"/>
    <cellStyle name="Normal 5 10 33 2 10" xfId="33660" xr:uid="{00000000-0005-0000-0000-00007C830000}"/>
    <cellStyle name="Normal 5 10 33 2 2" xfId="33661" xr:uid="{00000000-0005-0000-0000-00007D830000}"/>
    <cellStyle name="Normal 5 10 33 2 3" xfId="33662" xr:uid="{00000000-0005-0000-0000-00007E830000}"/>
    <cellStyle name="Normal 5 10 33 2 4" xfId="33663" xr:uid="{00000000-0005-0000-0000-00007F830000}"/>
    <cellStyle name="Normal 5 10 33 2 5" xfId="33664" xr:uid="{00000000-0005-0000-0000-000080830000}"/>
    <cellStyle name="Normal 5 10 33 2 6" xfId="33665" xr:uid="{00000000-0005-0000-0000-000081830000}"/>
    <cellStyle name="Normal 5 10 33 2 7" xfId="33666" xr:uid="{00000000-0005-0000-0000-000082830000}"/>
    <cellStyle name="Normal 5 10 33 2 8" xfId="33667" xr:uid="{00000000-0005-0000-0000-000083830000}"/>
    <cellStyle name="Normal 5 10 33 2 9" xfId="33668" xr:uid="{00000000-0005-0000-0000-000084830000}"/>
    <cellStyle name="Normal 5 10 33 3" xfId="33669" xr:uid="{00000000-0005-0000-0000-000085830000}"/>
    <cellStyle name="Normal 5 10 33 3 10" xfId="33670" xr:uid="{00000000-0005-0000-0000-000086830000}"/>
    <cellStyle name="Normal 5 10 33 3 2" xfId="33671" xr:uid="{00000000-0005-0000-0000-000087830000}"/>
    <cellStyle name="Normal 5 10 33 3 3" xfId="33672" xr:uid="{00000000-0005-0000-0000-000088830000}"/>
    <cellStyle name="Normal 5 10 33 3 4" xfId="33673" xr:uid="{00000000-0005-0000-0000-000089830000}"/>
    <cellStyle name="Normal 5 10 33 3 5" xfId="33674" xr:uid="{00000000-0005-0000-0000-00008A830000}"/>
    <cellStyle name="Normal 5 10 33 3 6" xfId="33675" xr:uid="{00000000-0005-0000-0000-00008B830000}"/>
    <cellStyle name="Normal 5 10 33 3 7" xfId="33676" xr:uid="{00000000-0005-0000-0000-00008C830000}"/>
    <cellStyle name="Normal 5 10 33 3 8" xfId="33677" xr:uid="{00000000-0005-0000-0000-00008D830000}"/>
    <cellStyle name="Normal 5 10 33 3 9" xfId="33678" xr:uid="{00000000-0005-0000-0000-00008E830000}"/>
    <cellStyle name="Normal 5 10 33 4" xfId="33679" xr:uid="{00000000-0005-0000-0000-00008F830000}"/>
    <cellStyle name="Normal 5 10 33 4 10" xfId="33680" xr:uid="{00000000-0005-0000-0000-000090830000}"/>
    <cellStyle name="Normal 5 10 33 4 2" xfId="33681" xr:uid="{00000000-0005-0000-0000-000091830000}"/>
    <cellStyle name="Normal 5 10 33 4 3" xfId="33682" xr:uid="{00000000-0005-0000-0000-000092830000}"/>
    <cellStyle name="Normal 5 10 33 4 4" xfId="33683" xr:uid="{00000000-0005-0000-0000-000093830000}"/>
    <cellStyle name="Normal 5 10 33 4 5" xfId="33684" xr:uid="{00000000-0005-0000-0000-000094830000}"/>
    <cellStyle name="Normal 5 10 33 4 6" xfId="33685" xr:uid="{00000000-0005-0000-0000-000095830000}"/>
    <cellStyle name="Normal 5 10 33 4 7" xfId="33686" xr:uid="{00000000-0005-0000-0000-000096830000}"/>
    <cellStyle name="Normal 5 10 33 4 8" xfId="33687" xr:uid="{00000000-0005-0000-0000-000097830000}"/>
    <cellStyle name="Normal 5 10 33 4 9" xfId="33688" xr:uid="{00000000-0005-0000-0000-000098830000}"/>
    <cellStyle name="Normal 5 10 33 5" xfId="33689" xr:uid="{00000000-0005-0000-0000-000099830000}"/>
    <cellStyle name="Normal 5 10 33 5 10" xfId="33690" xr:uid="{00000000-0005-0000-0000-00009A830000}"/>
    <cellStyle name="Normal 5 10 33 5 2" xfId="33691" xr:uid="{00000000-0005-0000-0000-00009B830000}"/>
    <cellStyle name="Normal 5 10 33 5 3" xfId="33692" xr:uid="{00000000-0005-0000-0000-00009C830000}"/>
    <cellStyle name="Normal 5 10 33 5 4" xfId="33693" xr:uid="{00000000-0005-0000-0000-00009D830000}"/>
    <cellStyle name="Normal 5 10 33 5 5" xfId="33694" xr:uid="{00000000-0005-0000-0000-00009E830000}"/>
    <cellStyle name="Normal 5 10 33 5 6" xfId="33695" xr:uid="{00000000-0005-0000-0000-00009F830000}"/>
    <cellStyle name="Normal 5 10 33 5 7" xfId="33696" xr:uid="{00000000-0005-0000-0000-0000A0830000}"/>
    <cellStyle name="Normal 5 10 33 5 8" xfId="33697" xr:uid="{00000000-0005-0000-0000-0000A1830000}"/>
    <cellStyle name="Normal 5 10 33 5 9" xfId="33698" xr:uid="{00000000-0005-0000-0000-0000A2830000}"/>
    <cellStyle name="Normal 5 10 33 6" xfId="33699" xr:uid="{00000000-0005-0000-0000-0000A3830000}"/>
    <cellStyle name="Normal 5 10 33 7" xfId="33700" xr:uid="{00000000-0005-0000-0000-0000A4830000}"/>
    <cellStyle name="Normal 5 10 33 8" xfId="33701" xr:uid="{00000000-0005-0000-0000-0000A5830000}"/>
    <cellStyle name="Normal 5 10 33 9" xfId="33702" xr:uid="{00000000-0005-0000-0000-0000A6830000}"/>
    <cellStyle name="Normal 5 10 34" xfId="33703" xr:uid="{00000000-0005-0000-0000-0000A7830000}"/>
    <cellStyle name="Normal 5 10 34 10" xfId="33704" xr:uid="{00000000-0005-0000-0000-0000A8830000}"/>
    <cellStyle name="Normal 5 10 34 11" xfId="33705" xr:uid="{00000000-0005-0000-0000-0000A9830000}"/>
    <cellStyle name="Normal 5 10 34 12" xfId="33706" xr:uid="{00000000-0005-0000-0000-0000AA830000}"/>
    <cellStyle name="Normal 5 10 34 13" xfId="33707" xr:uid="{00000000-0005-0000-0000-0000AB830000}"/>
    <cellStyle name="Normal 5 10 34 14" xfId="33708" xr:uid="{00000000-0005-0000-0000-0000AC830000}"/>
    <cellStyle name="Normal 5 10 34 2" xfId="33709" xr:uid="{00000000-0005-0000-0000-0000AD830000}"/>
    <cellStyle name="Normal 5 10 34 2 10" xfId="33710" xr:uid="{00000000-0005-0000-0000-0000AE830000}"/>
    <cellStyle name="Normal 5 10 34 2 2" xfId="33711" xr:uid="{00000000-0005-0000-0000-0000AF830000}"/>
    <cellStyle name="Normal 5 10 34 2 3" xfId="33712" xr:uid="{00000000-0005-0000-0000-0000B0830000}"/>
    <cellStyle name="Normal 5 10 34 2 4" xfId="33713" xr:uid="{00000000-0005-0000-0000-0000B1830000}"/>
    <cellStyle name="Normal 5 10 34 2 5" xfId="33714" xr:uid="{00000000-0005-0000-0000-0000B2830000}"/>
    <cellStyle name="Normal 5 10 34 2 6" xfId="33715" xr:uid="{00000000-0005-0000-0000-0000B3830000}"/>
    <cellStyle name="Normal 5 10 34 2 7" xfId="33716" xr:uid="{00000000-0005-0000-0000-0000B4830000}"/>
    <cellStyle name="Normal 5 10 34 2 8" xfId="33717" xr:uid="{00000000-0005-0000-0000-0000B5830000}"/>
    <cellStyle name="Normal 5 10 34 2 9" xfId="33718" xr:uid="{00000000-0005-0000-0000-0000B6830000}"/>
    <cellStyle name="Normal 5 10 34 3" xfId="33719" xr:uid="{00000000-0005-0000-0000-0000B7830000}"/>
    <cellStyle name="Normal 5 10 34 3 10" xfId="33720" xr:uid="{00000000-0005-0000-0000-0000B8830000}"/>
    <cellStyle name="Normal 5 10 34 3 2" xfId="33721" xr:uid="{00000000-0005-0000-0000-0000B9830000}"/>
    <cellStyle name="Normal 5 10 34 3 3" xfId="33722" xr:uid="{00000000-0005-0000-0000-0000BA830000}"/>
    <cellStyle name="Normal 5 10 34 3 4" xfId="33723" xr:uid="{00000000-0005-0000-0000-0000BB830000}"/>
    <cellStyle name="Normal 5 10 34 3 5" xfId="33724" xr:uid="{00000000-0005-0000-0000-0000BC830000}"/>
    <cellStyle name="Normal 5 10 34 3 6" xfId="33725" xr:uid="{00000000-0005-0000-0000-0000BD830000}"/>
    <cellStyle name="Normal 5 10 34 3 7" xfId="33726" xr:uid="{00000000-0005-0000-0000-0000BE830000}"/>
    <cellStyle name="Normal 5 10 34 3 8" xfId="33727" xr:uid="{00000000-0005-0000-0000-0000BF830000}"/>
    <cellStyle name="Normal 5 10 34 3 9" xfId="33728" xr:uid="{00000000-0005-0000-0000-0000C0830000}"/>
    <cellStyle name="Normal 5 10 34 4" xfId="33729" xr:uid="{00000000-0005-0000-0000-0000C1830000}"/>
    <cellStyle name="Normal 5 10 34 4 10" xfId="33730" xr:uid="{00000000-0005-0000-0000-0000C2830000}"/>
    <cellStyle name="Normal 5 10 34 4 2" xfId="33731" xr:uid="{00000000-0005-0000-0000-0000C3830000}"/>
    <cellStyle name="Normal 5 10 34 4 3" xfId="33732" xr:uid="{00000000-0005-0000-0000-0000C4830000}"/>
    <cellStyle name="Normal 5 10 34 4 4" xfId="33733" xr:uid="{00000000-0005-0000-0000-0000C5830000}"/>
    <cellStyle name="Normal 5 10 34 4 5" xfId="33734" xr:uid="{00000000-0005-0000-0000-0000C6830000}"/>
    <cellStyle name="Normal 5 10 34 4 6" xfId="33735" xr:uid="{00000000-0005-0000-0000-0000C7830000}"/>
    <cellStyle name="Normal 5 10 34 4 7" xfId="33736" xr:uid="{00000000-0005-0000-0000-0000C8830000}"/>
    <cellStyle name="Normal 5 10 34 4 8" xfId="33737" xr:uid="{00000000-0005-0000-0000-0000C9830000}"/>
    <cellStyle name="Normal 5 10 34 4 9" xfId="33738" xr:uid="{00000000-0005-0000-0000-0000CA830000}"/>
    <cellStyle name="Normal 5 10 34 5" xfId="33739" xr:uid="{00000000-0005-0000-0000-0000CB830000}"/>
    <cellStyle name="Normal 5 10 34 5 10" xfId="33740" xr:uid="{00000000-0005-0000-0000-0000CC830000}"/>
    <cellStyle name="Normal 5 10 34 5 2" xfId="33741" xr:uid="{00000000-0005-0000-0000-0000CD830000}"/>
    <cellStyle name="Normal 5 10 34 5 3" xfId="33742" xr:uid="{00000000-0005-0000-0000-0000CE830000}"/>
    <cellStyle name="Normal 5 10 34 5 4" xfId="33743" xr:uid="{00000000-0005-0000-0000-0000CF830000}"/>
    <cellStyle name="Normal 5 10 34 5 5" xfId="33744" xr:uid="{00000000-0005-0000-0000-0000D0830000}"/>
    <cellStyle name="Normal 5 10 34 5 6" xfId="33745" xr:uid="{00000000-0005-0000-0000-0000D1830000}"/>
    <cellStyle name="Normal 5 10 34 5 7" xfId="33746" xr:uid="{00000000-0005-0000-0000-0000D2830000}"/>
    <cellStyle name="Normal 5 10 34 5 8" xfId="33747" xr:uid="{00000000-0005-0000-0000-0000D3830000}"/>
    <cellStyle name="Normal 5 10 34 5 9" xfId="33748" xr:uid="{00000000-0005-0000-0000-0000D4830000}"/>
    <cellStyle name="Normal 5 10 34 6" xfId="33749" xr:uid="{00000000-0005-0000-0000-0000D5830000}"/>
    <cellStyle name="Normal 5 10 34 7" xfId="33750" xr:uid="{00000000-0005-0000-0000-0000D6830000}"/>
    <cellStyle name="Normal 5 10 34 8" xfId="33751" xr:uid="{00000000-0005-0000-0000-0000D7830000}"/>
    <cellStyle name="Normal 5 10 34 9" xfId="33752" xr:uid="{00000000-0005-0000-0000-0000D8830000}"/>
    <cellStyle name="Normal 5 10 35" xfId="33753" xr:uid="{00000000-0005-0000-0000-0000D9830000}"/>
    <cellStyle name="Normal 5 10 35 10" xfId="33754" xr:uid="{00000000-0005-0000-0000-0000DA830000}"/>
    <cellStyle name="Normal 5 10 35 2" xfId="33755" xr:uid="{00000000-0005-0000-0000-0000DB830000}"/>
    <cellStyle name="Normal 5 10 35 3" xfId="33756" xr:uid="{00000000-0005-0000-0000-0000DC830000}"/>
    <cellStyle name="Normal 5 10 35 4" xfId="33757" xr:uid="{00000000-0005-0000-0000-0000DD830000}"/>
    <cellStyle name="Normal 5 10 35 5" xfId="33758" xr:uid="{00000000-0005-0000-0000-0000DE830000}"/>
    <cellStyle name="Normal 5 10 35 6" xfId="33759" xr:uid="{00000000-0005-0000-0000-0000DF830000}"/>
    <cellStyle name="Normal 5 10 35 7" xfId="33760" xr:uid="{00000000-0005-0000-0000-0000E0830000}"/>
    <cellStyle name="Normal 5 10 35 8" xfId="33761" xr:uid="{00000000-0005-0000-0000-0000E1830000}"/>
    <cellStyle name="Normal 5 10 35 9" xfId="33762" xr:uid="{00000000-0005-0000-0000-0000E2830000}"/>
    <cellStyle name="Normal 5 10 36" xfId="33763" xr:uid="{00000000-0005-0000-0000-0000E3830000}"/>
    <cellStyle name="Normal 5 10 36 10" xfId="33764" xr:uid="{00000000-0005-0000-0000-0000E4830000}"/>
    <cellStyle name="Normal 5 10 36 2" xfId="33765" xr:uid="{00000000-0005-0000-0000-0000E5830000}"/>
    <cellStyle name="Normal 5 10 36 3" xfId="33766" xr:uid="{00000000-0005-0000-0000-0000E6830000}"/>
    <cellStyle name="Normal 5 10 36 4" xfId="33767" xr:uid="{00000000-0005-0000-0000-0000E7830000}"/>
    <cellStyle name="Normal 5 10 36 5" xfId="33768" xr:uid="{00000000-0005-0000-0000-0000E8830000}"/>
    <cellStyle name="Normal 5 10 36 6" xfId="33769" xr:uid="{00000000-0005-0000-0000-0000E9830000}"/>
    <cellStyle name="Normal 5 10 36 7" xfId="33770" xr:uid="{00000000-0005-0000-0000-0000EA830000}"/>
    <cellStyle name="Normal 5 10 36 8" xfId="33771" xr:uid="{00000000-0005-0000-0000-0000EB830000}"/>
    <cellStyle name="Normal 5 10 36 9" xfId="33772" xr:uid="{00000000-0005-0000-0000-0000EC830000}"/>
    <cellStyle name="Normal 5 10 37" xfId="33773" xr:uid="{00000000-0005-0000-0000-0000ED830000}"/>
    <cellStyle name="Normal 5 10 37 10" xfId="33774" xr:uid="{00000000-0005-0000-0000-0000EE830000}"/>
    <cellStyle name="Normal 5 10 37 2" xfId="33775" xr:uid="{00000000-0005-0000-0000-0000EF830000}"/>
    <cellStyle name="Normal 5 10 37 3" xfId="33776" xr:uid="{00000000-0005-0000-0000-0000F0830000}"/>
    <cellStyle name="Normal 5 10 37 4" xfId="33777" xr:uid="{00000000-0005-0000-0000-0000F1830000}"/>
    <cellStyle name="Normal 5 10 37 5" xfId="33778" xr:uid="{00000000-0005-0000-0000-0000F2830000}"/>
    <cellStyle name="Normal 5 10 37 6" xfId="33779" xr:uid="{00000000-0005-0000-0000-0000F3830000}"/>
    <cellStyle name="Normal 5 10 37 7" xfId="33780" xr:uid="{00000000-0005-0000-0000-0000F4830000}"/>
    <cellStyle name="Normal 5 10 37 8" xfId="33781" xr:uid="{00000000-0005-0000-0000-0000F5830000}"/>
    <cellStyle name="Normal 5 10 37 9" xfId="33782" xr:uid="{00000000-0005-0000-0000-0000F6830000}"/>
    <cellStyle name="Normal 5 10 38" xfId="33783" xr:uid="{00000000-0005-0000-0000-0000F7830000}"/>
    <cellStyle name="Normal 5 10 38 10" xfId="33784" xr:uid="{00000000-0005-0000-0000-0000F8830000}"/>
    <cellStyle name="Normal 5 10 38 2" xfId="33785" xr:uid="{00000000-0005-0000-0000-0000F9830000}"/>
    <cellStyle name="Normal 5 10 38 3" xfId="33786" xr:uid="{00000000-0005-0000-0000-0000FA830000}"/>
    <cellStyle name="Normal 5 10 38 4" xfId="33787" xr:uid="{00000000-0005-0000-0000-0000FB830000}"/>
    <cellStyle name="Normal 5 10 38 5" xfId="33788" xr:uid="{00000000-0005-0000-0000-0000FC830000}"/>
    <cellStyle name="Normal 5 10 38 6" xfId="33789" xr:uid="{00000000-0005-0000-0000-0000FD830000}"/>
    <cellStyle name="Normal 5 10 38 7" xfId="33790" xr:uid="{00000000-0005-0000-0000-0000FE830000}"/>
    <cellStyle name="Normal 5 10 38 8" xfId="33791" xr:uid="{00000000-0005-0000-0000-0000FF830000}"/>
    <cellStyle name="Normal 5 10 38 9" xfId="33792" xr:uid="{00000000-0005-0000-0000-000000840000}"/>
    <cellStyle name="Normal 5 10 39" xfId="33793" xr:uid="{00000000-0005-0000-0000-000001840000}"/>
    <cellStyle name="Normal 5 10 4" xfId="33794" xr:uid="{00000000-0005-0000-0000-000002840000}"/>
    <cellStyle name="Normal 5 10 4 10" xfId="33795" xr:uid="{00000000-0005-0000-0000-000003840000}"/>
    <cellStyle name="Normal 5 10 4 11" xfId="33796" xr:uid="{00000000-0005-0000-0000-000004840000}"/>
    <cellStyle name="Normal 5 10 4 12" xfId="33797" xr:uid="{00000000-0005-0000-0000-000005840000}"/>
    <cellStyle name="Normal 5 10 4 13" xfId="33798" xr:uid="{00000000-0005-0000-0000-000006840000}"/>
    <cellStyle name="Normal 5 10 4 14" xfId="33799" xr:uid="{00000000-0005-0000-0000-000007840000}"/>
    <cellStyle name="Normal 5 10 4 2" xfId="33800" xr:uid="{00000000-0005-0000-0000-000008840000}"/>
    <cellStyle name="Normal 5 10 4 2 10" xfId="33801" xr:uid="{00000000-0005-0000-0000-000009840000}"/>
    <cellStyle name="Normal 5 10 4 2 2" xfId="33802" xr:uid="{00000000-0005-0000-0000-00000A840000}"/>
    <cellStyle name="Normal 5 10 4 2 3" xfId="33803" xr:uid="{00000000-0005-0000-0000-00000B840000}"/>
    <cellStyle name="Normal 5 10 4 2 4" xfId="33804" xr:uid="{00000000-0005-0000-0000-00000C840000}"/>
    <cellStyle name="Normal 5 10 4 2 5" xfId="33805" xr:uid="{00000000-0005-0000-0000-00000D840000}"/>
    <cellStyle name="Normal 5 10 4 2 6" xfId="33806" xr:uid="{00000000-0005-0000-0000-00000E840000}"/>
    <cellStyle name="Normal 5 10 4 2 7" xfId="33807" xr:uid="{00000000-0005-0000-0000-00000F840000}"/>
    <cellStyle name="Normal 5 10 4 2 8" xfId="33808" xr:uid="{00000000-0005-0000-0000-000010840000}"/>
    <cellStyle name="Normal 5 10 4 2 9" xfId="33809" xr:uid="{00000000-0005-0000-0000-000011840000}"/>
    <cellStyle name="Normal 5 10 4 3" xfId="33810" xr:uid="{00000000-0005-0000-0000-000012840000}"/>
    <cellStyle name="Normal 5 10 4 3 10" xfId="33811" xr:uid="{00000000-0005-0000-0000-000013840000}"/>
    <cellStyle name="Normal 5 10 4 3 2" xfId="33812" xr:uid="{00000000-0005-0000-0000-000014840000}"/>
    <cellStyle name="Normal 5 10 4 3 3" xfId="33813" xr:uid="{00000000-0005-0000-0000-000015840000}"/>
    <cellStyle name="Normal 5 10 4 3 4" xfId="33814" xr:uid="{00000000-0005-0000-0000-000016840000}"/>
    <cellStyle name="Normal 5 10 4 3 5" xfId="33815" xr:uid="{00000000-0005-0000-0000-000017840000}"/>
    <cellStyle name="Normal 5 10 4 3 6" xfId="33816" xr:uid="{00000000-0005-0000-0000-000018840000}"/>
    <cellStyle name="Normal 5 10 4 3 7" xfId="33817" xr:uid="{00000000-0005-0000-0000-000019840000}"/>
    <cellStyle name="Normal 5 10 4 3 8" xfId="33818" xr:uid="{00000000-0005-0000-0000-00001A840000}"/>
    <cellStyle name="Normal 5 10 4 3 9" xfId="33819" xr:uid="{00000000-0005-0000-0000-00001B840000}"/>
    <cellStyle name="Normal 5 10 4 4" xfId="33820" xr:uid="{00000000-0005-0000-0000-00001C840000}"/>
    <cellStyle name="Normal 5 10 4 4 10" xfId="33821" xr:uid="{00000000-0005-0000-0000-00001D840000}"/>
    <cellStyle name="Normal 5 10 4 4 2" xfId="33822" xr:uid="{00000000-0005-0000-0000-00001E840000}"/>
    <cellStyle name="Normal 5 10 4 4 3" xfId="33823" xr:uid="{00000000-0005-0000-0000-00001F840000}"/>
    <cellStyle name="Normal 5 10 4 4 4" xfId="33824" xr:uid="{00000000-0005-0000-0000-000020840000}"/>
    <cellStyle name="Normal 5 10 4 4 5" xfId="33825" xr:uid="{00000000-0005-0000-0000-000021840000}"/>
    <cellStyle name="Normal 5 10 4 4 6" xfId="33826" xr:uid="{00000000-0005-0000-0000-000022840000}"/>
    <cellStyle name="Normal 5 10 4 4 7" xfId="33827" xr:uid="{00000000-0005-0000-0000-000023840000}"/>
    <cellStyle name="Normal 5 10 4 4 8" xfId="33828" xr:uid="{00000000-0005-0000-0000-000024840000}"/>
    <cellStyle name="Normal 5 10 4 4 9" xfId="33829" xr:uid="{00000000-0005-0000-0000-000025840000}"/>
    <cellStyle name="Normal 5 10 4 5" xfId="33830" xr:uid="{00000000-0005-0000-0000-000026840000}"/>
    <cellStyle name="Normal 5 10 4 5 10" xfId="33831" xr:uid="{00000000-0005-0000-0000-000027840000}"/>
    <cellStyle name="Normal 5 10 4 5 2" xfId="33832" xr:uid="{00000000-0005-0000-0000-000028840000}"/>
    <cellStyle name="Normal 5 10 4 5 3" xfId="33833" xr:uid="{00000000-0005-0000-0000-000029840000}"/>
    <cellStyle name="Normal 5 10 4 5 4" xfId="33834" xr:uid="{00000000-0005-0000-0000-00002A840000}"/>
    <cellStyle name="Normal 5 10 4 5 5" xfId="33835" xr:uid="{00000000-0005-0000-0000-00002B840000}"/>
    <cellStyle name="Normal 5 10 4 5 6" xfId="33836" xr:uid="{00000000-0005-0000-0000-00002C840000}"/>
    <cellStyle name="Normal 5 10 4 5 7" xfId="33837" xr:uid="{00000000-0005-0000-0000-00002D840000}"/>
    <cellStyle name="Normal 5 10 4 5 8" xfId="33838" xr:uid="{00000000-0005-0000-0000-00002E840000}"/>
    <cellStyle name="Normal 5 10 4 5 9" xfId="33839" xr:uid="{00000000-0005-0000-0000-00002F840000}"/>
    <cellStyle name="Normal 5 10 4 6" xfId="33840" xr:uid="{00000000-0005-0000-0000-000030840000}"/>
    <cellStyle name="Normal 5 10 4 7" xfId="33841" xr:uid="{00000000-0005-0000-0000-000031840000}"/>
    <cellStyle name="Normal 5 10 4 8" xfId="33842" xr:uid="{00000000-0005-0000-0000-000032840000}"/>
    <cellStyle name="Normal 5 10 4 9" xfId="33843" xr:uid="{00000000-0005-0000-0000-000033840000}"/>
    <cellStyle name="Normal 5 10 40" xfId="33844" xr:uid="{00000000-0005-0000-0000-000034840000}"/>
    <cellStyle name="Normal 5 10 41" xfId="33845" xr:uid="{00000000-0005-0000-0000-000035840000}"/>
    <cellStyle name="Normal 5 10 42" xfId="33846" xr:uid="{00000000-0005-0000-0000-000036840000}"/>
    <cellStyle name="Normal 5 10 43" xfId="33847" xr:uid="{00000000-0005-0000-0000-000037840000}"/>
    <cellStyle name="Normal 5 10 44" xfId="33848" xr:uid="{00000000-0005-0000-0000-000038840000}"/>
    <cellStyle name="Normal 5 10 45" xfId="33849" xr:uid="{00000000-0005-0000-0000-000039840000}"/>
    <cellStyle name="Normal 5 10 46" xfId="33850" xr:uid="{00000000-0005-0000-0000-00003A840000}"/>
    <cellStyle name="Normal 5 10 47" xfId="33851" xr:uid="{00000000-0005-0000-0000-00003B840000}"/>
    <cellStyle name="Normal 5 10 48" xfId="33852" xr:uid="{00000000-0005-0000-0000-00003C840000}"/>
    <cellStyle name="Normal 5 10 49" xfId="33853" xr:uid="{00000000-0005-0000-0000-00003D840000}"/>
    <cellStyle name="Normal 5 10 5" xfId="33854" xr:uid="{00000000-0005-0000-0000-00003E840000}"/>
    <cellStyle name="Normal 5 10 5 10" xfId="33855" xr:uid="{00000000-0005-0000-0000-00003F840000}"/>
    <cellStyle name="Normal 5 10 5 11" xfId="33856" xr:uid="{00000000-0005-0000-0000-000040840000}"/>
    <cellStyle name="Normal 5 10 5 12" xfId="33857" xr:uid="{00000000-0005-0000-0000-000041840000}"/>
    <cellStyle name="Normal 5 10 5 13" xfId="33858" xr:uid="{00000000-0005-0000-0000-000042840000}"/>
    <cellStyle name="Normal 5 10 5 14" xfId="33859" xr:uid="{00000000-0005-0000-0000-000043840000}"/>
    <cellStyle name="Normal 5 10 5 2" xfId="33860" xr:uid="{00000000-0005-0000-0000-000044840000}"/>
    <cellStyle name="Normal 5 10 5 2 10" xfId="33861" xr:uid="{00000000-0005-0000-0000-000045840000}"/>
    <cellStyle name="Normal 5 10 5 2 2" xfId="33862" xr:uid="{00000000-0005-0000-0000-000046840000}"/>
    <cellStyle name="Normal 5 10 5 2 3" xfId="33863" xr:uid="{00000000-0005-0000-0000-000047840000}"/>
    <cellStyle name="Normal 5 10 5 2 4" xfId="33864" xr:uid="{00000000-0005-0000-0000-000048840000}"/>
    <cellStyle name="Normal 5 10 5 2 5" xfId="33865" xr:uid="{00000000-0005-0000-0000-000049840000}"/>
    <cellStyle name="Normal 5 10 5 2 6" xfId="33866" xr:uid="{00000000-0005-0000-0000-00004A840000}"/>
    <cellStyle name="Normal 5 10 5 2 7" xfId="33867" xr:uid="{00000000-0005-0000-0000-00004B840000}"/>
    <cellStyle name="Normal 5 10 5 2 8" xfId="33868" xr:uid="{00000000-0005-0000-0000-00004C840000}"/>
    <cellStyle name="Normal 5 10 5 2 9" xfId="33869" xr:uid="{00000000-0005-0000-0000-00004D840000}"/>
    <cellStyle name="Normal 5 10 5 3" xfId="33870" xr:uid="{00000000-0005-0000-0000-00004E840000}"/>
    <cellStyle name="Normal 5 10 5 3 10" xfId="33871" xr:uid="{00000000-0005-0000-0000-00004F840000}"/>
    <cellStyle name="Normal 5 10 5 3 2" xfId="33872" xr:uid="{00000000-0005-0000-0000-000050840000}"/>
    <cellStyle name="Normal 5 10 5 3 3" xfId="33873" xr:uid="{00000000-0005-0000-0000-000051840000}"/>
    <cellStyle name="Normal 5 10 5 3 4" xfId="33874" xr:uid="{00000000-0005-0000-0000-000052840000}"/>
    <cellStyle name="Normal 5 10 5 3 5" xfId="33875" xr:uid="{00000000-0005-0000-0000-000053840000}"/>
    <cellStyle name="Normal 5 10 5 3 6" xfId="33876" xr:uid="{00000000-0005-0000-0000-000054840000}"/>
    <cellStyle name="Normal 5 10 5 3 7" xfId="33877" xr:uid="{00000000-0005-0000-0000-000055840000}"/>
    <cellStyle name="Normal 5 10 5 3 8" xfId="33878" xr:uid="{00000000-0005-0000-0000-000056840000}"/>
    <cellStyle name="Normal 5 10 5 3 9" xfId="33879" xr:uid="{00000000-0005-0000-0000-000057840000}"/>
    <cellStyle name="Normal 5 10 5 4" xfId="33880" xr:uid="{00000000-0005-0000-0000-000058840000}"/>
    <cellStyle name="Normal 5 10 5 4 10" xfId="33881" xr:uid="{00000000-0005-0000-0000-000059840000}"/>
    <cellStyle name="Normal 5 10 5 4 2" xfId="33882" xr:uid="{00000000-0005-0000-0000-00005A840000}"/>
    <cellStyle name="Normal 5 10 5 4 3" xfId="33883" xr:uid="{00000000-0005-0000-0000-00005B840000}"/>
    <cellStyle name="Normal 5 10 5 4 4" xfId="33884" xr:uid="{00000000-0005-0000-0000-00005C840000}"/>
    <cellStyle name="Normal 5 10 5 4 5" xfId="33885" xr:uid="{00000000-0005-0000-0000-00005D840000}"/>
    <cellStyle name="Normal 5 10 5 4 6" xfId="33886" xr:uid="{00000000-0005-0000-0000-00005E840000}"/>
    <cellStyle name="Normal 5 10 5 4 7" xfId="33887" xr:uid="{00000000-0005-0000-0000-00005F840000}"/>
    <cellStyle name="Normal 5 10 5 4 8" xfId="33888" xr:uid="{00000000-0005-0000-0000-000060840000}"/>
    <cellStyle name="Normal 5 10 5 4 9" xfId="33889" xr:uid="{00000000-0005-0000-0000-000061840000}"/>
    <cellStyle name="Normal 5 10 5 5" xfId="33890" xr:uid="{00000000-0005-0000-0000-000062840000}"/>
    <cellStyle name="Normal 5 10 5 5 10" xfId="33891" xr:uid="{00000000-0005-0000-0000-000063840000}"/>
    <cellStyle name="Normal 5 10 5 5 2" xfId="33892" xr:uid="{00000000-0005-0000-0000-000064840000}"/>
    <cellStyle name="Normal 5 10 5 5 3" xfId="33893" xr:uid="{00000000-0005-0000-0000-000065840000}"/>
    <cellStyle name="Normal 5 10 5 5 4" xfId="33894" xr:uid="{00000000-0005-0000-0000-000066840000}"/>
    <cellStyle name="Normal 5 10 5 5 5" xfId="33895" xr:uid="{00000000-0005-0000-0000-000067840000}"/>
    <cellStyle name="Normal 5 10 5 5 6" xfId="33896" xr:uid="{00000000-0005-0000-0000-000068840000}"/>
    <cellStyle name="Normal 5 10 5 5 7" xfId="33897" xr:uid="{00000000-0005-0000-0000-000069840000}"/>
    <cellStyle name="Normal 5 10 5 5 8" xfId="33898" xr:uid="{00000000-0005-0000-0000-00006A840000}"/>
    <cellStyle name="Normal 5 10 5 5 9" xfId="33899" xr:uid="{00000000-0005-0000-0000-00006B840000}"/>
    <cellStyle name="Normal 5 10 5 6" xfId="33900" xr:uid="{00000000-0005-0000-0000-00006C840000}"/>
    <cellStyle name="Normal 5 10 5 7" xfId="33901" xr:uid="{00000000-0005-0000-0000-00006D840000}"/>
    <cellStyle name="Normal 5 10 5 8" xfId="33902" xr:uid="{00000000-0005-0000-0000-00006E840000}"/>
    <cellStyle name="Normal 5 10 5 9" xfId="33903" xr:uid="{00000000-0005-0000-0000-00006F840000}"/>
    <cellStyle name="Normal 5 10 50" xfId="30798" xr:uid="{00000000-0005-0000-0000-00004E780000}"/>
    <cellStyle name="Normal 5 10 6" xfId="33904" xr:uid="{00000000-0005-0000-0000-000070840000}"/>
    <cellStyle name="Normal 5 10 6 10" xfId="33905" xr:uid="{00000000-0005-0000-0000-000071840000}"/>
    <cellStyle name="Normal 5 10 6 11" xfId="33906" xr:uid="{00000000-0005-0000-0000-000072840000}"/>
    <cellStyle name="Normal 5 10 6 12" xfId="33907" xr:uid="{00000000-0005-0000-0000-000073840000}"/>
    <cellStyle name="Normal 5 10 6 13" xfId="33908" xr:uid="{00000000-0005-0000-0000-000074840000}"/>
    <cellStyle name="Normal 5 10 6 14" xfId="33909" xr:uid="{00000000-0005-0000-0000-000075840000}"/>
    <cellStyle name="Normal 5 10 6 2" xfId="33910" xr:uid="{00000000-0005-0000-0000-000076840000}"/>
    <cellStyle name="Normal 5 10 6 2 10" xfId="33911" xr:uid="{00000000-0005-0000-0000-000077840000}"/>
    <cellStyle name="Normal 5 10 6 2 2" xfId="33912" xr:uid="{00000000-0005-0000-0000-000078840000}"/>
    <cellStyle name="Normal 5 10 6 2 3" xfId="33913" xr:uid="{00000000-0005-0000-0000-000079840000}"/>
    <cellStyle name="Normal 5 10 6 2 4" xfId="33914" xr:uid="{00000000-0005-0000-0000-00007A840000}"/>
    <cellStyle name="Normal 5 10 6 2 5" xfId="33915" xr:uid="{00000000-0005-0000-0000-00007B840000}"/>
    <cellStyle name="Normal 5 10 6 2 6" xfId="33916" xr:uid="{00000000-0005-0000-0000-00007C840000}"/>
    <cellStyle name="Normal 5 10 6 2 7" xfId="33917" xr:uid="{00000000-0005-0000-0000-00007D840000}"/>
    <cellStyle name="Normal 5 10 6 2 8" xfId="33918" xr:uid="{00000000-0005-0000-0000-00007E840000}"/>
    <cellStyle name="Normal 5 10 6 2 9" xfId="33919" xr:uid="{00000000-0005-0000-0000-00007F840000}"/>
    <cellStyle name="Normal 5 10 6 3" xfId="33920" xr:uid="{00000000-0005-0000-0000-000080840000}"/>
    <cellStyle name="Normal 5 10 6 3 10" xfId="33921" xr:uid="{00000000-0005-0000-0000-000081840000}"/>
    <cellStyle name="Normal 5 10 6 3 2" xfId="33922" xr:uid="{00000000-0005-0000-0000-000082840000}"/>
    <cellStyle name="Normal 5 10 6 3 3" xfId="33923" xr:uid="{00000000-0005-0000-0000-000083840000}"/>
    <cellStyle name="Normal 5 10 6 3 4" xfId="33924" xr:uid="{00000000-0005-0000-0000-000084840000}"/>
    <cellStyle name="Normal 5 10 6 3 5" xfId="33925" xr:uid="{00000000-0005-0000-0000-000085840000}"/>
    <cellStyle name="Normal 5 10 6 3 6" xfId="33926" xr:uid="{00000000-0005-0000-0000-000086840000}"/>
    <cellStyle name="Normal 5 10 6 3 7" xfId="33927" xr:uid="{00000000-0005-0000-0000-000087840000}"/>
    <cellStyle name="Normal 5 10 6 3 8" xfId="33928" xr:uid="{00000000-0005-0000-0000-000088840000}"/>
    <cellStyle name="Normal 5 10 6 3 9" xfId="33929" xr:uid="{00000000-0005-0000-0000-000089840000}"/>
    <cellStyle name="Normal 5 10 6 4" xfId="33930" xr:uid="{00000000-0005-0000-0000-00008A840000}"/>
    <cellStyle name="Normal 5 10 6 4 10" xfId="33931" xr:uid="{00000000-0005-0000-0000-00008B840000}"/>
    <cellStyle name="Normal 5 10 6 4 2" xfId="33932" xr:uid="{00000000-0005-0000-0000-00008C840000}"/>
    <cellStyle name="Normal 5 10 6 4 3" xfId="33933" xr:uid="{00000000-0005-0000-0000-00008D840000}"/>
    <cellStyle name="Normal 5 10 6 4 4" xfId="33934" xr:uid="{00000000-0005-0000-0000-00008E840000}"/>
    <cellStyle name="Normal 5 10 6 4 5" xfId="33935" xr:uid="{00000000-0005-0000-0000-00008F840000}"/>
    <cellStyle name="Normal 5 10 6 4 6" xfId="33936" xr:uid="{00000000-0005-0000-0000-000090840000}"/>
    <cellStyle name="Normal 5 10 6 4 7" xfId="33937" xr:uid="{00000000-0005-0000-0000-000091840000}"/>
    <cellStyle name="Normal 5 10 6 4 8" xfId="33938" xr:uid="{00000000-0005-0000-0000-000092840000}"/>
    <cellStyle name="Normal 5 10 6 4 9" xfId="33939" xr:uid="{00000000-0005-0000-0000-000093840000}"/>
    <cellStyle name="Normal 5 10 6 5" xfId="33940" xr:uid="{00000000-0005-0000-0000-000094840000}"/>
    <cellStyle name="Normal 5 10 6 5 10" xfId="33941" xr:uid="{00000000-0005-0000-0000-000095840000}"/>
    <cellStyle name="Normal 5 10 6 5 2" xfId="33942" xr:uid="{00000000-0005-0000-0000-000096840000}"/>
    <cellStyle name="Normal 5 10 6 5 3" xfId="33943" xr:uid="{00000000-0005-0000-0000-000097840000}"/>
    <cellStyle name="Normal 5 10 6 5 4" xfId="33944" xr:uid="{00000000-0005-0000-0000-000098840000}"/>
    <cellStyle name="Normal 5 10 6 5 5" xfId="33945" xr:uid="{00000000-0005-0000-0000-000099840000}"/>
    <cellStyle name="Normal 5 10 6 5 6" xfId="33946" xr:uid="{00000000-0005-0000-0000-00009A840000}"/>
    <cellStyle name="Normal 5 10 6 5 7" xfId="33947" xr:uid="{00000000-0005-0000-0000-00009B840000}"/>
    <cellStyle name="Normal 5 10 6 5 8" xfId="33948" xr:uid="{00000000-0005-0000-0000-00009C840000}"/>
    <cellStyle name="Normal 5 10 6 5 9" xfId="33949" xr:uid="{00000000-0005-0000-0000-00009D840000}"/>
    <cellStyle name="Normal 5 10 6 6" xfId="33950" xr:uid="{00000000-0005-0000-0000-00009E840000}"/>
    <cellStyle name="Normal 5 10 6 7" xfId="33951" xr:uid="{00000000-0005-0000-0000-00009F840000}"/>
    <cellStyle name="Normal 5 10 6 8" xfId="33952" xr:uid="{00000000-0005-0000-0000-0000A0840000}"/>
    <cellStyle name="Normal 5 10 6 9" xfId="33953" xr:uid="{00000000-0005-0000-0000-0000A1840000}"/>
    <cellStyle name="Normal 5 10 7" xfId="33954" xr:uid="{00000000-0005-0000-0000-0000A2840000}"/>
    <cellStyle name="Normal 5 10 7 10" xfId="33955" xr:uid="{00000000-0005-0000-0000-0000A3840000}"/>
    <cellStyle name="Normal 5 10 7 11" xfId="33956" xr:uid="{00000000-0005-0000-0000-0000A4840000}"/>
    <cellStyle name="Normal 5 10 7 12" xfId="33957" xr:uid="{00000000-0005-0000-0000-0000A5840000}"/>
    <cellStyle name="Normal 5 10 7 13" xfId="33958" xr:uid="{00000000-0005-0000-0000-0000A6840000}"/>
    <cellStyle name="Normal 5 10 7 14" xfId="33959" xr:uid="{00000000-0005-0000-0000-0000A7840000}"/>
    <cellStyle name="Normal 5 10 7 2" xfId="33960" xr:uid="{00000000-0005-0000-0000-0000A8840000}"/>
    <cellStyle name="Normal 5 10 7 2 10" xfId="33961" xr:uid="{00000000-0005-0000-0000-0000A9840000}"/>
    <cellStyle name="Normal 5 10 7 2 2" xfId="33962" xr:uid="{00000000-0005-0000-0000-0000AA840000}"/>
    <cellStyle name="Normal 5 10 7 2 3" xfId="33963" xr:uid="{00000000-0005-0000-0000-0000AB840000}"/>
    <cellStyle name="Normal 5 10 7 2 4" xfId="33964" xr:uid="{00000000-0005-0000-0000-0000AC840000}"/>
    <cellStyle name="Normal 5 10 7 2 5" xfId="33965" xr:uid="{00000000-0005-0000-0000-0000AD840000}"/>
    <cellStyle name="Normal 5 10 7 2 6" xfId="33966" xr:uid="{00000000-0005-0000-0000-0000AE840000}"/>
    <cellStyle name="Normal 5 10 7 2 7" xfId="33967" xr:uid="{00000000-0005-0000-0000-0000AF840000}"/>
    <cellStyle name="Normal 5 10 7 2 8" xfId="33968" xr:uid="{00000000-0005-0000-0000-0000B0840000}"/>
    <cellStyle name="Normal 5 10 7 2 9" xfId="33969" xr:uid="{00000000-0005-0000-0000-0000B1840000}"/>
    <cellStyle name="Normal 5 10 7 3" xfId="33970" xr:uid="{00000000-0005-0000-0000-0000B2840000}"/>
    <cellStyle name="Normal 5 10 7 3 10" xfId="33971" xr:uid="{00000000-0005-0000-0000-0000B3840000}"/>
    <cellStyle name="Normal 5 10 7 3 2" xfId="33972" xr:uid="{00000000-0005-0000-0000-0000B4840000}"/>
    <cellStyle name="Normal 5 10 7 3 3" xfId="33973" xr:uid="{00000000-0005-0000-0000-0000B5840000}"/>
    <cellStyle name="Normal 5 10 7 3 4" xfId="33974" xr:uid="{00000000-0005-0000-0000-0000B6840000}"/>
    <cellStyle name="Normal 5 10 7 3 5" xfId="33975" xr:uid="{00000000-0005-0000-0000-0000B7840000}"/>
    <cellStyle name="Normal 5 10 7 3 6" xfId="33976" xr:uid="{00000000-0005-0000-0000-0000B8840000}"/>
    <cellStyle name="Normal 5 10 7 3 7" xfId="33977" xr:uid="{00000000-0005-0000-0000-0000B9840000}"/>
    <cellStyle name="Normal 5 10 7 3 8" xfId="33978" xr:uid="{00000000-0005-0000-0000-0000BA840000}"/>
    <cellStyle name="Normal 5 10 7 3 9" xfId="33979" xr:uid="{00000000-0005-0000-0000-0000BB840000}"/>
    <cellStyle name="Normal 5 10 7 4" xfId="33980" xr:uid="{00000000-0005-0000-0000-0000BC840000}"/>
    <cellStyle name="Normal 5 10 7 4 10" xfId="33981" xr:uid="{00000000-0005-0000-0000-0000BD840000}"/>
    <cellStyle name="Normal 5 10 7 4 2" xfId="33982" xr:uid="{00000000-0005-0000-0000-0000BE840000}"/>
    <cellStyle name="Normal 5 10 7 4 3" xfId="33983" xr:uid="{00000000-0005-0000-0000-0000BF840000}"/>
    <cellStyle name="Normal 5 10 7 4 4" xfId="33984" xr:uid="{00000000-0005-0000-0000-0000C0840000}"/>
    <cellStyle name="Normal 5 10 7 4 5" xfId="33985" xr:uid="{00000000-0005-0000-0000-0000C1840000}"/>
    <cellStyle name="Normal 5 10 7 4 6" xfId="33986" xr:uid="{00000000-0005-0000-0000-0000C2840000}"/>
    <cellStyle name="Normal 5 10 7 4 7" xfId="33987" xr:uid="{00000000-0005-0000-0000-0000C3840000}"/>
    <cellStyle name="Normal 5 10 7 4 8" xfId="33988" xr:uid="{00000000-0005-0000-0000-0000C4840000}"/>
    <cellStyle name="Normal 5 10 7 4 9" xfId="33989" xr:uid="{00000000-0005-0000-0000-0000C5840000}"/>
    <cellStyle name="Normal 5 10 7 5" xfId="33990" xr:uid="{00000000-0005-0000-0000-0000C6840000}"/>
    <cellStyle name="Normal 5 10 7 5 10" xfId="33991" xr:uid="{00000000-0005-0000-0000-0000C7840000}"/>
    <cellStyle name="Normal 5 10 7 5 2" xfId="33992" xr:uid="{00000000-0005-0000-0000-0000C8840000}"/>
    <cellStyle name="Normal 5 10 7 5 3" xfId="33993" xr:uid="{00000000-0005-0000-0000-0000C9840000}"/>
    <cellStyle name="Normal 5 10 7 5 4" xfId="33994" xr:uid="{00000000-0005-0000-0000-0000CA840000}"/>
    <cellStyle name="Normal 5 10 7 5 5" xfId="33995" xr:uid="{00000000-0005-0000-0000-0000CB840000}"/>
    <cellStyle name="Normal 5 10 7 5 6" xfId="33996" xr:uid="{00000000-0005-0000-0000-0000CC840000}"/>
    <cellStyle name="Normal 5 10 7 5 7" xfId="33997" xr:uid="{00000000-0005-0000-0000-0000CD840000}"/>
    <cellStyle name="Normal 5 10 7 5 8" xfId="33998" xr:uid="{00000000-0005-0000-0000-0000CE840000}"/>
    <cellStyle name="Normal 5 10 7 5 9" xfId="33999" xr:uid="{00000000-0005-0000-0000-0000CF840000}"/>
    <cellStyle name="Normal 5 10 7 6" xfId="34000" xr:uid="{00000000-0005-0000-0000-0000D0840000}"/>
    <cellStyle name="Normal 5 10 7 7" xfId="34001" xr:uid="{00000000-0005-0000-0000-0000D1840000}"/>
    <cellStyle name="Normal 5 10 7 8" xfId="34002" xr:uid="{00000000-0005-0000-0000-0000D2840000}"/>
    <cellStyle name="Normal 5 10 7 9" xfId="34003" xr:uid="{00000000-0005-0000-0000-0000D3840000}"/>
    <cellStyle name="Normal 5 10 8" xfId="34004" xr:uid="{00000000-0005-0000-0000-0000D4840000}"/>
    <cellStyle name="Normal 5 10 8 10" xfId="34005" xr:uid="{00000000-0005-0000-0000-0000D5840000}"/>
    <cellStyle name="Normal 5 10 8 11" xfId="34006" xr:uid="{00000000-0005-0000-0000-0000D6840000}"/>
    <cellStyle name="Normal 5 10 8 12" xfId="34007" xr:uid="{00000000-0005-0000-0000-0000D7840000}"/>
    <cellStyle name="Normal 5 10 8 13" xfId="34008" xr:uid="{00000000-0005-0000-0000-0000D8840000}"/>
    <cellStyle name="Normal 5 10 8 14" xfId="34009" xr:uid="{00000000-0005-0000-0000-0000D9840000}"/>
    <cellStyle name="Normal 5 10 8 2" xfId="34010" xr:uid="{00000000-0005-0000-0000-0000DA840000}"/>
    <cellStyle name="Normal 5 10 8 2 10" xfId="34011" xr:uid="{00000000-0005-0000-0000-0000DB840000}"/>
    <cellStyle name="Normal 5 10 8 2 2" xfId="34012" xr:uid="{00000000-0005-0000-0000-0000DC840000}"/>
    <cellStyle name="Normal 5 10 8 2 3" xfId="34013" xr:uid="{00000000-0005-0000-0000-0000DD840000}"/>
    <cellStyle name="Normal 5 10 8 2 4" xfId="34014" xr:uid="{00000000-0005-0000-0000-0000DE840000}"/>
    <cellStyle name="Normal 5 10 8 2 5" xfId="34015" xr:uid="{00000000-0005-0000-0000-0000DF840000}"/>
    <cellStyle name="Normal 5 10 8 2 6" xfId="34016" xr:uid="{00000000-0005-0000-0000-0000E0840000}"/>
    <cellStyle name="Normal 5 10 8 2 7" xfId="34017" xr:uid="{00000000-0005-0000-0000-0000E1840000}"/>
    <cellStyle name="Normal 5 10 8 2 8" xfId="34018" xr:uid="{00000000-0005-0000-0000-0000E2840000}"/>
    <cellStyle name="Normal 5 10 8 2 9" xfId="34019" xr:uid="{00000000-0005-0000-0000-0000E3840000}"/>
    <cellStyle name="Normal 5 10 8 3" xfId="34020" xr:uid="{00000000-0005-0000-0000-0000E4840000}"/>
    <cellStyle name="Normal 5 10 8 3 10" xfId="34021" xr:uid="{00000000-0005-0000-0000-0000E5840000}"/>
    <cellStyle name="Normal 5 10 8 3 2" xfId="34022" xr:uid="{00000000-0005-0000-0000-0000E6840000}"/>
    <cellStyle name="Normal 5 10 8 3 3" xfId="34023" xr:uid="{00000000-0005-0000-0000-0000E7840000}"/>
    <cellStyle name="Normal 5 10 8 3 4" xfId="34024" xr:uid="{00000000-0005-0000-0000-0000E8840000}"/>
    <cellStyle name="Normal 5 10 8 3 5" xfId="34025" xr:uid="{00000000-0005-0000-0000-0000E9840000}"/>
    <cellStyle name="Normal 5 10 8 3 6" xfId="34026" xr:uid="{00000000-0005-0000-0000-0000EA840000}"/>
    <cellStyle name="Normal 5 10 8 3 7" xfId="34027" xr:uid="{00000000-0005-0000-0000-0000EB840000}"/>
    <cellStyle name="Normal 5 10 8 3 8" xfId="34028" xr:uid="{00000000-0005-0000-0000-0000EC840000}"/>
    <cellStyle name="Normal 5 10 8 3 9" xfId="34029" xr:uid="{00000000-0005-0000-0000-0000ED840000}"/>
    <cellStyle name="Normal 5 10 8 4" xfId="34030" xr:uid="{00000000-0005-0000-0000-0000EE840000}"/>
    <cellStyle name="Normal 5 10 8 4 10" xfId="34031" xr:uid="{00000000-0005-0000-0000-0000EF840000}"/>
    <cellStyle name="Normal 5 10 8 4 2" xfId="34032" xr:uid="{00000000-0005-0000-0000-0000F0840000}"/>
    <cellStyle name="Normal 5 10 8 4 3" xfId="34033" xr:uid="{00000000-0005-0000-0000-0000F1840000}"/>
    <cellStyle name="Normal 5 10 8 4 4" xfId="34034" xr:uid="{00000000-0005-0000-0000-0000F2840000}"/>
    <cellStyle name="Normal 5 10 8 4 5" xfId="34035" xr:uid="{00000000-0005-0000-0000-0000F3840000}"/>
    <cellStyle name="Normal 5 10 8 4 6" xfId="34036" xr:uid="{00000000-0005-0000-0000-0000F4840000}"/>
    <cellStyle name="Normal 5 10 8 4 7" xfId="34037" xr:uid="{00000000-0005-0000-0000-0000F5840000}"/>
    <cellStyle name="Normal 5 10 8 4 8" xfId="34038" xr:uid="{00000000-0005-0000-0000-0000F6840000}"/>
    <cellStyle name="Normal 5 10 8 4 9" xfId="34039" xr:uid="{00000000-0005-0000-0000-0000F7840000}"/>
    <cellStyle name="Normal 5 10 8 5" xfId="34040" xr:uid="{00000000-0005-0000-0000-0000F8840000}"/>
    <cellStyle name="Normal 5 10 8 5 10" xfId="34041" xr:uid="{00000000-0005-0000-0000-0000F9840000}"/>
    <cellStyle name="Normal 5 10 8 5 2" xfId="34042" xr:uid="{00000000-0005-0000-0000-0000FA840000}"/>
    <cellStyle name="Normal 5 10 8 5 3" xfId="34043" xr:uid="{00000000-0005-0000-0000-0000FB840000}"/>
    <cellStyle name="Normal 5 10 8 5 4" xfId="34044" xr:uid="{00000000-0005-0000-0000-0000FC840000}"/>
    <cellStyle name="Normal 5 10 8 5 5" xfId="34045" xr:uid="{00000000-0005-0000-0000-0000FD840000}"/>
    <cellStyle name="Normal 5 10 8 5 6" xfId="34046" xr:uid="{00000000-0005-0000-0000-0000FE840000}"/>
    <cellStyle name="Normal 5 10 8 5 7" xfId="34047" xr:uid="{00000000-0005-0000-0000-0000FF840000}"/>
    <cellStyle name="Normal 5 10 8 5 8" xfId="34048" xr:uid="{00000000-0005-0000-0000-000000850000}"/>
    <cellStyle name="Normal 5 10 8 5 9" xfId="34049" xr:uid="{00000000-0005-0000-0000-000001850000}"/>
    <cellStyle name="Normal 5 10 8 6" xfId="34050" xr:uid="{00000000-0005-0000-0000-000002850000}"/>
    <cellStyle name="Normal 5 10 8 7" xfId="34051" xr:uid="{00000000-0005-0000-0000-000003850000}"/>
    <cellStyle name="Normal 5 10 8 8" xfId="34052" xr:uid="{00000000-0005-0000-0000-000004850000}"/>
    <cellStyle name="Normal 5 10 8 9" xfId="34053" xr:uid="{00000000-0005-0000-0000-000005850000}"/>
    <cellStyle name="Normal 5 10 9" xfId="34054" xr:uid="{00000000-0005-0000-0000-000006850000}"/>
    <cellStyle name="Normal 5 10 9 10" xfId="34055" xr:uid="{00000000-0005-0000-0000-000007850000}"/>
    <cellStyle name="Normal 5 10 9 11" xfId="34056" xr:uid="{00000000-0005-0000-0000-000008850000}"/>
    <cellStyle name="Normal 5 10 9 12" xfId="34057" xr:uid="{00000000-0005-0000-0000-000009850000}"/>
    <cellStyle name="Normal 5 10 9 13" xfId="34058" xr:uid="{00000000-0005-0000-0000-00000A850000}"/>
    <cellStyle name="Normal 5 10 9 14" xfId="34059" xr:uid="{00000000-0005-0000-0000-00000B850000}"/>
    <cellStyle name="Normal 5 10 9 2" xfId="34060" xr:uid="{00000000-0005-0000-0000-00000C850000}"/>
    <cellStyle name="Normal 5 10 9 2 10" xfId="34061" xr:uid="{00000000-0005-0000-0000-00000D850000}"/>
    <cellStyle name="Normal 5 10 9 2 2" xfId="34062" xr:uid="{00000000-0005-0000-0000-00000E850000}"/>
    <cellStyle name="Normal 5 10 9 2 3" xfId="34063" xr:uid="{00000000-0005-0000-0000-00000F850000}"/>
    <cellStyle name="Normal 5 10 9 2 4" xfId="34064" xr:uid="{00000000-0005-0000-0000-000010850000}"/>
    <cellStyle name="Normal 5 10 9 2 5" xfId="34065" xr:uid="{00000000-0005-0000-0000-000011850000}"/>
    <cellStyle name="Normal 5 10 9 2 6" xfId="34066" xr:uid="{00000000-0005-0000-0000-000012850000}"/>
    <cellStyle name="Normal 5 10 9 2 7" xfId="34067" xr:uid="{00000000-0005-0000-0000-000013850000}"/>
    <cellStyle name="Normal 5 10 9 2 8" xfId="34068" xr:uid="{00000000-0005-0000-0000-000014850000}"/>
    <cellStyle name="Normal 5 10 9 2 9" xfId="34069" xr:uid="{00000000-0005-0000-0000-000015850000}"/>
    <cellStyle name="Normal 5 10 9 3" xfId="34070" xr:uid="{00000000-0005-0000-0000-000016850000}"/>
    <cellStyle name="Normal 5 10 9 3 10" xfId="34071" xr:uid="{00000000-0005-0000-0000-000017850000}"/>
    <cellStyle name="Normal 5 10 9 3 2" xfId="34072" xr:uid="{00000000-0005-0000-0000-000018850000}"/>
    <cellStyle name="Normal 5 10 9 3 3" xfId="34073" xr:uid="{00000000-0005-0000-0000-000019850000}"/>
    <cellStyle name="Normal 5 10 9 3 4" xfId="34074" xr:uid="{00000000-0005-0000-0000-00001A850000}"/>
    <cellStyle name="Normal 5 10 9 3 5" xfId="34075" xr:uid="{00000000-0005-0000-0000-00001B850000}"/>
    <cellStyle name="Normal 5 10 9 3 6" xfId="34076" xr:uid="{00000000-0005-0000-0000-00001C850000}"/>
    <cellStyle name="Normal 5 10 9 3 7" xfId="34077" xr:uid="{00000000-0005-0000-0000-00001D850000}"/>
    <cellStyle name="Normal 5 10 9 3 8" xfId="34078" xr:uid="{00000000-0005-0000-0000-00001E850000}"/>
    <cellStyle name="Normal 5 10 9 3 9" xfId="34079" xr:uid="{00000000-0005-0000-0000-00001F850000}"/>
    <cellStyle name="Normal 5 10 9 4" xfId="34080" xr:uid="{00000000-0005-0000-0000-000020850000}"/>
    <cellStyle name="Normal 5 10 9 4 10" xfId="34081" xr:uid="{00000000-0005-0000-0000-000021850000}"/>
    <cellStyle name="Normal 5 10 9 4 2" xfId="34082" xr:uid="{00000000-0005-0000-0000-000022850000}"/>
    <cellStyle name="Normal 5 10 9 4 3" xfId="34083" xr:uid="{00000000-0005-0000-0000-000023850000}"/>
    <cellStyle name="Normal 5 10 9 4 4" xfId="34084" xr:uid="{00000000-0005-0000-0000-000024850000}"/>
    <cellStyle name="Normal 5 10 9 4 5" xfId="34085" xr:uid="{00000000-0005-0000-0000-000025850000}"/>
    <cellStyle name="Normal 5 10 9 4 6" xfId="34086" xr:uid="{00000000-0005-0000-0000-000026850000}"/>
    <cellStyle name="Normal 5 10 9 4 7" xfId="34087" xr:uid="{00000000-0005-0000-0000-000027850000}"/>
    <cellStyle name="Normal 5 10 9 4 8" xfId="34088" xr:uid="{00000000-0005-0000-0000-000028850000}"/>
    <cellStyle name="Normal 5 10 9 4 9" xfId="34089" xr:uid="{00000000-0005-0000-0000-000029850000}"/>
    <cellStyle name="Normal 5 10 9 5" xfId="34090" xr:uid="{00000000-0005-0000-0000-00002A850000}"/>
    <cellStyle name="Normal 5 10 9 5 10" xfId="34091" xr:uid="{00000000-0005-0000-0000-00002B850000}"/>
    <cellStyle name="Normal 5 10 9 5 2" xfId="34092" xr:uid="{00000000-0005-0000-0000-00002C850000}"/>
    <cellStyle name="Normal 5 10 9 5 3" xfId="34093" xr:uid="{00000000-0005-0000-0000-00002D850000}"/>
    <cellStyle name="Normal 5 10 9 5 4" xfId="34094" xr:uid="{00000000-0005-0000-0000-00002E850000}"/>
    <cellStyle name="Normal 5 10 9 5 5" xfId="34095" xr:uid="{00000000-0005-0000-0000-00002F850000}"/>
    <cellStyle name="Normal 5 10 9 5 6" xfId="34096" xr:uid="{00000000-0005-0000-0000-000030850000}"/>
    <cellStyle name="Normal 5 10 9 5 7" xfId="34097" xr:uid="{00000000-0005-0000-0000-000031850000}"/>
    <cellStyle name="Normal 5 10 9 5 8" xfId="34098" xr:uid="{00000000-0005-0000-0000-000032850000}"/>
    <cellStyle name="Normal 5 10 9 5 9" xfId="34099" xr:uid="{00000000-0005-0000-0000-000033850000}"/>
    <cellStyle name="Normal 5 10 9 6" xfId="34100" xr:uid="{00000000-0005-0000-0000-000034850000}"/>
    <cellStyle name="Normal 5 10 9 7" xfId="34101" xr:uid="{00000000-0005-0000-0000-000035850000}"/>
    <cellStyle name="Normal 5 10 9 8" xfId="34102" xr:uid="{00000000-0005-0000-0000-000036850000}"/>
    <cellStyle name="Normal 5 10 9 9" xfId="34103" xr:uid="{00000000-0005-0000-0000-000037850000}"/>
    <cellStyle name="Normal 5 11" xfId="34104" xr:uid="{00000000-0005-0000-0000-000038850000}"/>
    <cellStyle name="Normal 5 11 2" xfId="34105" xr:uid="{00000000-0005-0000-0000-000039850000}"/>
    <cellStyle name="Normal 5 11 2 2" xfId="34106" xr:uid="{00000000-0005-0000-0000-00003A850000}"/>
    <cellStyle name="Normal 5 11 3" xfId="34107" xr:uid="{00000000-0005-0000-0000-00003B850000}"/>
    <cellStyle name="Normal 5 11 4" xfId="34108" xr:uid="{00000000-0005-0000-0000-00003C850000}"/>
    <cellStyle name="Normal 5 12" xfId="34109" xr:uid="{00000000-0005-0000-0000-00003D850000}"/>
    <cellStyle name="Normal 5 12 2" xfId="34110" xr:uid="{00000000-0005-0000-0000-00003E850000}"/>
    <cellStyle name="Normal 5 12 2 2" xfId="34111" xr:uid="{00000000-0005-0000-0000-00003F850000}"/>
    <cellStyle name="Normal 5 12 3" xfId="34112" xr:uid="{00000000-0005-0000-0000-000040850000}"/>
    <cellStyle name="Normal 5 12 4" xfId="34113" xr:uid="{00000000-0005-0000-0000-000041850000}"/>
    <cellStyle name="Normal 5 13" xfId="34114" xr:uid="{00000000-0005-0000-0000-000042850000}"/>
    <cellStyle name="Normal 5 13 2" xfId="34115" xr:uid="{00000000-0005-0000-0000-000043850000}"/>
    <cellStyle name="Normal 5 13 2 2" xfId="34116" xr:uid="{00000000-0005-0000-0000-000044850000}"/>
    <cellStyle name="Normal 5 13 3" xfId="34117" xr:uid="{00000000-0005-0000-0000-000045850000}"/>
    <cellStyle name="Normal 5 13 4" xfId="34118" xr:uid="{00000000-0005-0000-0000-000046850000}"/>
    <cellStyle name="Normal 5 14" xfId="34119" xr:uid="{00000000-0005-0000-0000-000047850000}"/>
    <cellStyle name="Normal 5 14 2" xfId="34120" xr:uid="{00000000-0005-0000-0000-000048850000}"/>
    <cellStyle name="Normal 5 14 2 2" xfId="34121" xr:uid="{00000000-0005-0000-0000-000049850000}"/>
    <cellStyle name="Normal 5 14 3" xfId="34122" xr:uid="{00000000-0005-0000-0000-00004A850000}"/>
    <cellStyle name="Normal 5 14 4" xfId="34123" xr:uid="{00000000-0005-0000-0000-00004B850000}"/>
    <cellStyle name="Normal 5 15" xfId="34124" xr:uid="{00000000-0005-0000-0000-00004C850000}"/>
    <cellStyle name="Normal 5 15 2" xfId="34125" xr:uid="{00000000-0005-0000-0000-00004D850000}"/>
    <cellStyle name="Normal 5 15 2 2" xfId="34126" xr:uid="{00000000-0005-0000-0000-00004E850000}"/>
    <cellStyle name="Normal 5 15 3" xfId="34127" xr:uid="{00000000-0005-0000-0000-00004F850000}"/>
    <cellStyle name="Normal 5 15 4" xfId="34128" xr:uid="{00000000-0005-0000-0000-000050850000}"/>
    <cellStyle name="Normal 5 16" xfId="34129" xr:uid="{00000000-0005-0000-0000-000051850000}"/>
    <cellStyle name="Normal 5 16 2" xfId="34130" xr:uid="{00000000-0005-0000-0000-000052850000}"/>
    <cellStyle name="Normal 5 16 2 2" xfId="34131" xr:uid="{00000000-0005-0000-0000-000053850000}"/>
    <cellStyle name="Normal 5 16 3" xfId="34132" xr:uid="{00000000-0005-0000-0000-000054850000}"/>
    <cellStyle name="Normal 5 16 4" xfId="34133" xr:uid="{00000000-0005-0000-0000-000055850000}"/>
    <cellStyle name="Normal 5 17" xfId="34134" xr:uid="{00000000-0005-0000-0000-000056850000}"/>
    <cellStyle name="Normal 5 17 10" xfId="34135" xr:uid="{00000000-0005-0000-0000-000057850000}"/>
    <cellStyle name="Normal 5 17 10 10" xfId="34136" xr:uid="{00000000-0005-0000-0000-000058850000}"/>
    <cellStyle name="Normal 5 17 10 11" xfId="34137" xr:uid="{00000000-0005-0000-0000-000059850000}"/>
    <cellStyle name="Normal 5 17 10 12" xfId="34138" xr:uid="{00000000-0005-0000-0000-00005A850000}"/>
    <cellStyle name="Normal 5 17 10 13" xfId="34139" xr:uid="{00000000-0005-0000-0000-00005B850000}"/>
    <cellStyle name="Normal 5 17 10 14" xfId="34140" xr:uid="{00000000-0005-0000-0000-00005C850000}"/>
    <cellStyle name="Normal 5 17 10 2" xfId="34141" xr:uid="{00000000-0005-0000-0000-00005D850000}"/>
    <cellStyle name="Normal 5 17 10 2 10" xfId="34142" xr:uid="{00000000-0005-0000-0000-00005E850000}"/>
    <cellStyle name="Normal 5 17 10 2 2" xfId="34143" xr:uid="{00000000-0005-0000-0000-00005F850000}"/>
    <cellStyle name="Normal 5 17 10 2 3" xfId="34144" xr:uid="{00000000-0005-0000-0000-000060850000}"/>
    <cellStyle name="Normal 5 17 10 2 4" xfId="34145" xr:uid="{00000000-0005-0000-0000-000061850000}"/>
    <cellStyle name="Normal 5 17 10 2 5" xfId="34146" xr:uid="{00000000-0005-0000-0000-000062850000}"/>
    <cellStyle name="Normal 5 17 10 2 6" xfId="34147" xr:uid="{00000000-0005-0000-0000-000063850000}"/>
    <cellStyle name="Normal 5 17 10 2 7" xfId="34148" xr:uid="{00000000-0005-0000-0000-000064850000}"/>
    <cellStyle name="Normal 5 17 10 2 8" xfId="34149" xr:uid="{00000000-0005-0000-0000-000065850000}"/>
    <cellStyle name="Normal 5 17 10 2 9" xfId="34150" xr:uid="{00000000-0005-0000-0000-000066850000}"/>
    <cellStyle name="Normal 5 17 10 3" xfId="34151" xr:uid="{00000000-0005-0000-0000-000067850000}"/>
    <cellStyle name="Normal 5 17 10 3 10" xfId="34152" xr:uid="{00000000-0005-0000-0000-000068850000}"/>
    <cellStyle name="Normal 5 17 10 3 2" xfId="34153" xr:uid="{00000000-0005-0000-0000-000069850000}"/>
    <cellStyle name="Normal 5 17 10 3 3" xfId="34154" xr:uid="{00000000-0005-0000-0000-00006A850000}"/>
    <cellStyle name="Normal 5 17 10 3 4" xfId="34155" xr:uid="{00000000-0005-0000-0000-00006B850000}"/>
    <cellStyle name="Normal 5 17 10 3 5" xfId="34156" xr:uid="{00000000-0005-0000-0000-00006C850000}"/>
    <cellStyle name="Normal 5 17 10 3 6" xfId="34157" xr:uid="{00000000-0005-0000-0000-00006D850000}"/>
    <cellStyle name="Normal 5 17 10 3 7" xfId="34158" xr:uid="{00000000-0005-0000-0000-00006E850000}"/>
    <cellStyle name="Normal 5 17 10 3 8" xfId="34159" xr:uid="{00000000-0005-0000-0000-00006F850000}"/>
    <cellStyle name="Normal 5 17 10 3 9" xfId="34160" xr:uid="{00000000-0005-0000-0000-000070850000}"/>
    <cellStyle name="Normal 5 17 10 4" xfId="34161" xr:uid="{00000000-0005-0000-0000-000071850000}"/>
    <cellStyle name="Normal 5 17 10 4 10" xfId="34162" xr:uid="{00000000-0005-0000-0000-000072850000}"/>
    <cellStyle name="Normal 5 17 10 4 2" xfId="34163" xr:uid="{00000000-0005-0000-0000-000073850000}"/>
    <cellStyle name="Normal 5 17 10 4 3" xfId="34164" xr:uid="{00000000-0005-0000-0000-000074850000}"/>
    <cellStyle name="Normal 5 17 10 4 4" xfId="34165" xr:uid="{00000000-0005-0000-0000-000075850000}"/>
    <cellStyle name="Normal 5 17 10 4 5" xfId="34166" xr:uid="{00000000-0005-0000-0000-000076850000}"/>
    <cellStyle name="Normal 5 17 10 4 6" xfId="34167" xr:uid="{00000000-0005-0000-0000-000077850000}"/>
    <cellStyle name="Normal 5 17 10 4 7" xfId="34168" xr:uid="{00000000-0005-0000-0000-000078850000}"/>
    <cellStyle name="Normal 5 17 10 4 8" xfId="34169" xr:uid="{00000000-0005-0000-0000-000079850000}"/>
    <cellStyle name="Normal 5 17 10 4 9" xfId="34170" xr:uid="{00000000-0005-0000-0000-00007A850000}"/>
    <cellStyle name="Normal 5 17 10 5" xfId="34171" xr:uid="{00000000-0005-0000-0000-00007B850000}"/>
    <cellStyle name="Normal 5 17 10 5 10" xfId="34172" xr:uid="{00000000-0005-0000-0000-00007C850000}"/>
    <cellStyle name="Normal 5 17 10 5 2" xfId="34173" xr:uid="{00000000-0005-0000-0000-00007D850000}"/>
    <cellStyle name="Normal 5 17 10 5 3" xfId="34174" xr:uid="{00000000-0005-0000-0000-00007E850000}"/>
    <cellStyle name="Normal 5 17 10 5 4" xfId="34175" xr:uid="{00000000-0005-0000-0000-00007F850000}"/>
    <cellStyle name="Normal 5 17 10 5 5" xfId="34176" xr:uid="{00000000-0005-0000-0000-000080850000}"/>
    <cellStyle name="Normal 5 17 10 5 6" xfId="34177" xr:uid="{00000000-0005-0000-0000-000081850000}"/>
    <cellStyle name="Normal 5 17 10 5 7" xfId="34178" xr:uid="{00000000-0005-0000-0000-000082850000}"/>
    <cellStyle name="Normal 5 17 10 5 8" xfId="34179" xr:uid="{00000000-0005-0000-0000-000083850000}"/>
    <cellStyle name="Normal 5 17 10 5 9" xfId="34180" xr:uid="{00000000-0005-0000-0000-000084850000}"/>
    <cellStyle name="Normal 5 17 10 6" xfId="34181" xr:uid="{00000000-0005-0000-0000-000085850000}"/>
    <cellStyle name="Normal 5 17 10 7" xfId="34182" xr:uid="{00000000-0005-0000-0000-000086850000}"/>
    <cellStyle name="Normal 5 17 10 8" xfId="34183" xr:uid="{00000000-0005-0000-0000-000087850000}"/>
    <cellStyle name="Normal 5 17 10 9" xfId="34184" xr:uid="{00000000-0005-0000-0000-000088850000}"/>
    <cellStyle name="Normal 5 17 11" xfId="34185" xr:uid="{00000000-0005-0000-0000-000089850000}"/>
    <cellStyle name="Normal 5 17 11 10" xfId="34186" xr:uid="{00000000-0005-0000-0000-00008A850000}"/>
    <cellStyle name="Normal 5 17 11 11" xfId="34187" xr:uid="{00000000-0005-0000-0000-00008B850000}"/>
    <cellStyle name="Normal 5 17 11 12" xfId="34188" xr:uid="{00000000-0005-0000-0000-00008C850000}"/>
    <cellStyle name="Normal 5 17 11 13" xfId="34189" xr:uid="{00000000-0005-0000-0000-00008D850000}"/>
    <cellStyle name="Normal 5 17 11 14" xfId="34190" xr:uid="{00000000-0005-0000-0000-00008E850000}"/>
    <cellStyle name="Normal 5 17 11 2" xfId="34191" xr:uid="{00000000-0005-0000-0000-00008F850000}"/>
    <cellStyle name="Normal 5 17 11 2 10" xfId="34192" xr:uid="{00000000-0005-0000-0000-000090850000}"/>
    <cellStyle name="Normal 5 17 11 2 2" xfId="34193" xr:uid="{00000000-0005-0000-0000-000091850000}"/>
    <cellStyle name="Normal 5 17 11 2 3" xfId="34194" xr:uid="{00000000-0005-0000-0000-000092850000}"/>
    <cellStyle name="Normal 5 17 11 2 4" xfId="34195" xr:uid="{00000000-0005-0000-0000-000093850000}"/>
    <cellStyle name="Normal 5 17 11 2 5" xfId="34196" xr:uid="{00000000-0005-0000-0000-000094850000}"/>
    <cellStyle name="Normal 5 17 11 2 6" xfId="34197" xr:uid="{00000000-0005-0000-0000-000095850000}"/>
    <cellStyle name="Normal 5 17 11 2 7" xfId="34198" xr:uid="{00000000-0005-0000-0000-000096850000}"/>
    <cellStyle name="Normal 5 17 11 2 8" xfId="34199" xr:uid="{00000000-0005-0000-0000-000097850000}"/>
    <cellStyle name="Normal 5 17 11 2 9" xfId="34200" xr:uid="{00000000-0005-0000-0000-000098850000}"/>
    <cellStyle name="Normal 5 17 11 3" xfId="34201" xr:uid="{00000000-0005-0000-0000-000099850000}"/>
    <cellStyle name="Normal 5 17 11 3 10" xfId="34202" xr:uid="{00000000-0005-0000-0000-00009A850000}"/>
    <cellStyle name="Normal 5 17 11 3 2" xfId="34203" xr:uid="{00000000-0005-0000-0000-00009B850000}"/>
    <cellStyle name="Normal 5 17 11 3 3" xfId="34204" xr:uid="{00000000-0005-0000-0000-00009C850000}"/>
    <cellStyle name="Normal 5 17 11 3 4" xfId="34205" xr:uid="{00000000-0005-0000-0000-00009D850000}"/>
    <cellStyle name="Normal 5 17 11 3 5" xfId="34206" xr:uid="{00000000-0005-0000-0000-00009E850000}"/>
    <cellStyle name="Normal 5 17 11 3 6" xfId="34207" xr:uid="{00000000-0005-0000-0000-00009F850000}"/>
    <cellStyle name="Normal 5 17 11 3 7" xfId="34208" xr:uid="{00000000-0005-0000-0000-0000A0850000}"/>
    <cellStyle name="Normal 5 17 11 3 8" xfId="34209" xr:uid="{00000000-0005-0000-0000-0000A1850000}"/>
    <cellStyle name="Normal 5 17 11 3 9" xfId="34210" xr:uid="{00000000-0005-0000-0000-0000A2850000}"/>
    <cellStyle name="Normal 5 17 11 4" xfId="34211" xr:uid="{00000000-0005-0000-0000-0000A3850000}"/>
    <cellStyle name="Normal 5 17 11 4 10" xfId="34212" xr:uid="{00000000-0005-0000-0000-0000A4850000}"/>
    <cellStyle name="Normal 5 17 11 4 2" xfId="34213" xr:uid="{00000000-0005-0000-0000-0000A5850000}"/>
    <cellStyle name="Normal 5 17 11 4 3" xfId="34214" xr:uid="{00000000-0005-0000-0000-0000A6850000}"/>
    <cellStyle name="Normal 5 17 11 4 4" xfId="34215" xr:uid="{00000000-0005-0000-0000-0000A7850000}"/>
    <cellStyle name="Normal 5 17 11 4 5" xfId="34216" xr:uid="{00000000-0005-0000-0000-0000A8850000}"/>
    <cellStyle name="Normal 5 17 11 4 6" xfId="34217" xr:uid="{00000000-0005-0000-0000-0000A9850000}"/>
    <cellStyle name="Normal 5 17 11 4 7" xfId="34218" xr:uid="{00000000-0005-0000-0000-0000AA850000}"/>
    <cellStyle name="Normal 5 17 11 4 8" xfId="34219" xr:uid="{00000000-0005-0000-0000-0000AB850000}"/>
    <cellStyle name="Normal 5 17 11 4 9" xfId="34220" xr:uid="{00000000-0005-0000-0000-0000AC850000}"/>
    <cellStyle name="Normal 5 17 11 5" xfId="34221" xr:uid="{00000000-0005-0000-0000-0000AD850000}"/>
    <cellStyle name="Normal 5 17 11 5 10" xfId="34222" xr:uid="{00000000-0005-0000-0000-0000AE850000}"/>
    <cellStyle name="Normal 5 17 11 5 2" xfId="34223" xr:uid="{00000000-0005-0000-0000-0000AF850000}"/>
    <cellStyle name="Normal 5 17 11 5 3" xfId="34224" xr:uid="{00000000-0005-0000-0000-0000B0850000}"/>
    <cellStyle name="Normal 5 17 11 5 4" xfId="34225" xr:uid="{00000000-0005-0000-0000-0000B1850000}"/>
    <cellStyle name="Normal 5 17 11 5 5" xfId="34226" xr:uid="{00000000-0005-0000-0000-0000B2850000}"/>
    <cellStyle name="Normal 5 17 11 5 6" xfId="34227" xr:uid="{00000000-0005-0000-0000-0000B3850000}"/>
    <cellStyle name="Normal 5 17 11 5 7" xfId="34228" xr:uid="{00000000-0005-0000-0000-0000B4850000}"/>
    <cellStyle name="Normal 5 17 11 5 8" xfId="34229" xr:uid="{00000000-0005-0000-0000-0000B5850000}"/>
    <cellStyle name="Normal 5 17 11 5 9" xfId="34230" xr:uid="{00000000-0005-0000-0000-0000B6850000}"/>
    <cellStyle name="Normal 5 17 11 6" xfId="34231" xr:uid="{00000000-0005-0000-0000-0000B7850000}"/>
    <cellStyle name="Normal 5 17 11 7" xfId="34232" xr:uid="{00000000-0005-0000-0000-0000B8850000}"/>
    <cellStyle name="Normal 5 17 11 8" xfId="34233" xr:uid="{00000000-0005-0000-0000-0000B9850000}"/>
    <cellStyle name="Normal 5 17 11 9" xfId="34234" xr:uid="{00000000-0005-0000-0000-0000BA850000}"/>
    <cellStyle name="Normal 5 17 12" xfId="34235" xr:uid="{00000000-0005-0000-0000-0000BB850000}"/>
    <cellStyle name="Normal 5 17 12 10" xfId="34236" xr:uid="{00000000-0005-0000-0000-0000BC850000}"/>
    <cellStyle name="Normal 5 17 12 11" xfId="34237" xr:uid="{00000000-0005-0000-0000-0000BD850000}"/>
    <cellStyle name="Normal 5 17 12 12" xfId="34238" xr:uid="{00000000-0005-0000-0000-0000BE850000}"/>
    <cellStyle name="Normal 5 17 12 13" xfId="34239" xr:uid="{00000000-0005-0000-0000-0000BF850000}"/>
    <cellStyle name="Normal 5 17 12 14" xfId="34240" xr:uid="{00000000-0005-0000-0000-0000C0850000}"/>
    <cellStyle name="Normal 5 17 12 2" xfId="34241" xr:uid="{00000000-0005-0000-0000-0000C1850000}"/>
    <cellStyle name="Normal 5 17 12 2 10" xfId="34242" xr:uid="{00000000-0005-0000-0000-0000C2850000}"/>
    <cellStyle name="Normal 5 17 12 2 2" xfId="34243" xr:uid="{00000000-0005-0000-0000-0000C3850000}"/>
    <cellStyle name="Normal 5 17 12 2 3" xfId="34244" xr:uid="{00000000-0005-0000-0000-0000C4850000}"/>
    <cellStyle name="Normal 5 17 12 2 4" xfId="34245" xr:uid="{00000000-0005-0000-0000-0000C5850000}"/>
    <cellStyle name="Normal 5 17 12 2 5" xfId="34246" xr:uid="{00000000-0005-0000-0000-0000C6850000}"/>
    <cellStyle name="Normal 5 17 12 2 6" xfId="34247" xr:uid="{00000000-0005-0000-0000-0000C7850000}"/>
    <cellStyle name="Normal 5 17 12 2 7" xfId="34248" xr:uid="{00000000-0005-0000-0000-0000C8850000}"/>
    <cellStyle name="Normal 5 17 12 2 8" xfId="34249" xr:uid="{00000000-0005-0000-0000-0000C9850000}"/>
    <cellStyle name="Normal 5 17 12 2 9" xfId="34250" xr:uid="{00000000-0005-0000-0000-0000CA850000}"/>
    <cellStyle name="Normal 5 17 12 3" xfId="34251" xr:uid="{00000000-0005-0000-0000-0000CB850000}"/>
    <cellStyle name="Normal 5 17 12 3 10" xfId="34252" xr:uid="{00000000-0005-0000-0000-0000CC850000}"/>
    <cellStyle name="Normal 5 17 12 3 2" xfId="34253" xr:uid="{00000000-0005-0000-0000-0000CD850000}"/>
    <cellStyle name="Normal 5 17 12 3 3" xfId="34254" xr:uid="{00000000-0005-0000-0000-0000CE850000}"/>
    <cellStyle name="Normal 5 17 12 3 4" xfId="34255" xr:uid="{00000000-0005-0000-0000-0000CF850000}"/>
    <cellStyle name="Normal 5 17 12 3 5" xfId="34256" xr:uid="{00000000-0005-0000-0000-0000D0850000}"/>
    <cellStyle name="Normal 5 17 12 3 6" xfId="34257" xr:uid="{00000000-0005-0000-0000-0000D1850000}"/>
    <cellStyle name="Normal 5 17 12 3 7" xfId="34258" xr:uid="{00000000-0005-0000-0000-0000D2850000}"/>
    <cellStyle name="Normal 5 17 12 3 8" xfId="34259" xr:uid="{00000000-0005-0000-0000-0000D3850000}"/>
    <cellStyle name="Normal 5 17 12 3 9" xfId="34260" xr:uid="{00000000-0005-0000-0000-0000D4850000}"/>
    <cellStyle name="Normal 5 17 12 4" xfId="34261" xr:uid="{00000000-0005-0000-0000-0000D5850000}"/>
    <cellStyle name="Normal 5 17 12 4 10" xfId="34262" xr:uid="{00000000-0005-0000-0000-0000D6850000}"/>
    <cellStyle name="Normal 5 17 12 4 2" xfId="34263" xr:uid="{00000000-0005-0000-0000-0000D7850000}"/>
    <cellStyle name="Normal 5 17 12 4 3" xfId="34264" xr:uid="{00000000-0005-0000-0000-0000D8850000}"/>
    <cellStyle name="Normal 5 17 12 4 4" xfId="34265" xr:uid="{00000000-0005-0000-0000-0000D9850000}"/>
    <cellStyle name="Normal 5 17 12 4 5" xfId="34266" xr:uid="{00000000-0005-0000-0000-0000DA850000}"/>
    <cellStyle name="Normal 5 17 12 4 6" xfId="34267" xr:uid="{00000000-0005-0000-0000-0000DB850000}"/>
    <cellStyle name="Normal 5 17 12 4 7" xfId="34268" xr:uid="{00000000-0005-0000-0000-0000DC850000}"/>
    <cellStyle name="Normal 5 17 12 4 8" xfId="34269" xr:uid="{00000000-0005-0000-0000-0000DD850000}"/>
    <cellStyle name="Normal 5 17 12 4 9" xfId="34270" xr:uid="{00000000-0005-0000-0000-0000DE850000}"/>
    <cellStyle name="Normal 5 17 12 5" xfId="34271" xr:uid="{00000000-0005-0000-0000-0000DF850000}"/>
    <cellStyle name="Normal 5 17 12 5 10" xfId="34272" xr:uid="{00000000-0005-0000-0000-0000E0850000}"/>
    <cellStyle name="Normal 5 17 12 5 2" xfId="34273" xr:uid="{00000000-0005-0000-0000-0000E1850000}"/>
    <cellStyle name="Normal 5 17 12 5 3" xfId="34274" xr:uid="{00000000-0005-0000-0000-0000E2850000}"/>
    <cellStyle name="Normal 5 17 12 5 4" xfId="34275" xr:uid="{00000000-0005-0000-0000-0000E3850000}"/>
    <cellStyle name="Normal 5 17 12 5 5" xfId="34276" xr:uid="{00000000-0005-0000-0000-0000E4850000}"/>
    <cellStyle name="Normal 5 17 12 5 6" xfId="34277" xr:uid="{00000000-0005-0000-0000-0000E5850000}"/>
    <cellStyle name="Normal 5 17 12 5 7" xfId="34278" xr:uid="{00000000-0005-0000-0000-0000E6850000}"/>
    <cellStyle name="Normal 5 17 12 5 8" xfId="34279" xr:uid="{00000000-0005-0000-0000-0000E7850000}"/>
    <cellStyle name="Normal 5 17 12 5 9" xfId="34280" xr:uid="{00000000-0005-0000-0000-0000E8850000}"/>
    <cellStyle name="Normal 5 17 12 6" xfId="34281" xr:uid="{00000000-0005-0000-0000-0000E9850000}"/>
    <cellStyle name="Normal 5 17 12 7" xfId="34282" xr:uid="{00000000-0005-0000-0000-0000EA850000}"/>
    <cellStyle name="Normal 5 17 12 8" xfId="34283" xr:uid="{00000000-0005-0000-0000-0000EB850000}"/>
    <cellStyle name="Normal 5 17 12 9" xfId="34284" xr:uid="{00000000-0005-0000-0000-0000EC850000}"/>
    <cellStyle name="Normal 5 17 13" xfId="34285" xr:uid="{00000000-0005-0000-0000-0000ED850000}"/>
    <cellStyle name="Normal 5 17 13 10" xfId="34286" xr:uid="{00000000-0005-0000-0000-0000EE850000}"/>
    <cellStyle name="Normal 5 17 13 11" xfId="34287" xr:uid="{00000000-0005-0000-0000-0000EF850000}"/>
    <cellStyle name="Normal 5 17 13 12" xfId="34288" xr:uid="{00000000-0005-0000-0000-0000F0850000}"/>
    <cellStyle name="Normal 5 17 13 13" xfId="34289" xr:uid="{00000000-0005-0000-0000-0000F1850000}"/>
    <cellStyle name="Normal 5 17 13 14" xfId="34290" xr:uid="{00000000-0005-0000-0000-0000F2850000}"/>
    <cellStyle name="Normal 5 17 13 2" xfId="34291" xr:uid="{00000000-0005-0000-0000-0000F3850000}"/>
    <cellStyle name="Normal 5 17 13 2 10" xfId="34292" xr:uid="{00000000-0005-0000-0000-0000F4850000}"/>
    <cellStyle name="Normal 5 17 13 2 2" xfId="34293" xr:uid="{00000000-0005-0000-0000-0000F5850000}"/>
    <cellStyle name="Normal 5 17 13 2 3" xfId="34294" xr:uid="{00000000-0005-0000-0000-0000F6850000}"/>
    <cellStyle name="Normal 5 17 13 2 4" xfId="34295" xr:uid="{00000000-0005-0000-0000-0000F7850000}"/>
    <cellStyle name="Normal 5 17 13 2 5" xfId="34296" xr:uid="{00000000-0005-0000-0000-0000F8850000}"/>
    <cellStyle name="Normal 5 17 13 2 6" xfId="34297" xr:uid="{00000000-0005-0000-0000-0000F9850000}"/>
    <cellStyle name="Normal 5 17 13 2 7" xfId="34298" xr:uid="{00000000-0005-0000-0000-0000FA850000}"/>
    <cellStyle name="Normal 5 17 13 2 8" xfId="34299" xr:uid="{00000000-0005-0000-0000-0000FB850000}"/>
    <cellStyle name="Normal 5 17 13 2 9" xfId="34300" xr:uid="{00000000-0005-0000-0000-0000FC850000}"/>
    <cellStyle name="Normal 5 17 13 3" xfId="34301" xr:uid="{00000000-0005-0000-0000-0000FD850000}"/>
    <cellStyle name="Normal 5 17 13 3 10" xfId="34302" xr:uid="{00000000-0005-0000-0000-0000FE850000}"/>
    <cellStyle name="Normal 5 17 13 3 2" xfId="34303" xr:uid="{00000000-0005-0000-0000-0000FF850000}"/>
    <cellStyle name="Normal 5 17 13 3 3" xfId="34304" xr:uid="{00000000-0005-0000-0000-000000860000}"/>
    <cellStyle name="Normal 5 17 13 3 4" xfId="34305" xr:uid="{00000000-0005-0000-0000-000001860000}"/>
    <cellStyle name="Normal 5 17 13 3 5" xfId="34306" xr:uid="{00000000-0005-0000-0000-000002860000}"/>
    <cellStyle name="Normal 5 17 13 3 6" xfId="34307" xr:uid="{00000000-0005-0000-0000-000003860000}"/>
    <cellStyle name="Normal 5 17 13 3 7" xfId="34308" xr:uid="{00000000-0005-0000-0000-000004860000}"/>
    <cellStyle name="Normal 5 17 13 3 8" xfId="34309" xr:uid="{00000000-0005-0000-0000-000005860000}"/>
    <cellStyle name="Normal 5 17 13 3 9" xfId="34310" xr:uid="{00000000-0005-0000-0000-000006860000}"/>
    <cellStyle name="Normal 5 17 13 4" xfId="34311" xr:uid="{00000000-0005-0000-0000-000007860000}"/>
    <cellStyle name="Normal 5 17 13 4 10" xfId="34312" xr:uid="{00000000-0005-0000-0000-000008860000}"/>
    <cellStyle name="Normal 5 17 13 4 2" xfId="34313" xr:uid="{00000000-0005-0000-0000-000009860000}"/>
    <cellStyle name="Normal 5 17 13 4 3" xfId="34314" xr:uid="{00000000-0005-0000-0000-00000A860000}"/>
    <cellStyle name="Normal 5 17 13 4 4" xfId="34315" xr:uid="{00000000-0005-0000-0000-00000B860000}"/>
    <cellStyle name="Normal 5 17 13 4 5" xfId="34316" xr:uid="{00000000-0005-0000-0000-00000C860000}"/>
    <cellStyle name="Normal 5 17 13 4 6" xfId="34317" xr:uid="{00000000-0005-0000-0000-00000D860000}"/>
    <cellStyle name="Normal 5 17 13 4 7" xfId="34318" xr:uid="{00000000-0005-0000-0000-00000E860000}"/>
    <cellStyle name="Normal 5 17 13 4 8" xfId="34319" xr:uid="{00000000-0005-0000-0000-00000F860000}"/>
    <cellStyle name="Normal 5 17 13 4 9" xfId="34320" xr:uid="{00000000-0005-0000-0000-000010860000}"/>
    <cellStyle name="Normal 5 17 13 5" xfId="34321" xr:uid="{00000000-0005-0000-0000-000011860000}"/>
    <cellStyle name="Normal 5 17 13 5 10" xfId="34322" xr:uid="{00000000-0005-0000-0000-000012860000}"/>
    <cellStyle name="Normal 5 17 13 5 2" xfId="34323" xr:uid="{00000000-0005-0000-0000-000013860000}"/>
    <cellStyle name="Normal 5 17 13 5 3" xfId="34324" xr:uid="{00000000-0005-0000-0000-000014860000}"/>
    <cellStyle name="Normal 5 17 13 5 4" xfId="34325" xr:uid="{00000000-0005-0000-0000-000015860000}"/>
    <cellStyle name="Normal 5 17 13 5 5" xfId="34326" xr:uid="{00000000-0005-0000-0000-000016860000}"/>
    <cellStyle name="Normal 5 17 13 5 6" xfId="34327" xr:uid="{00000000-0005-0000-0000-000017860000}"/>
    <cellStyle name="Normal 5 17 13 5 7" xfId="34328" xr:uid="{00000000-0005-0000-0000-000018860000}"/>
    <cellStyle name="Normal 5 17 13 5 8" xfId="34329" xr:uid="{00000000-0005-0000-0000-000019860000}"/>
    <cellStyle name="Normal 5 17 13 5 9" xfId="34330" xr:uid="{00000000-0005-0000-0000-00001A860000}"/>
    <cellStyle name="Normal 5 17 13 6" xfId="34331" xr:uid="{00000000-0005-0000-0000-00001B860000}"/>
    <cellStyle name="Normal 5 17 13 7" xfId="34332" xr:uid="{00000000-0005-0000-0000-00001C860000}"/>
    <cellStyle name="Normal 5 17 13 8" xfId="34333" xr:uid="{00000000-0005-0000-0000-00001D860000}"/>
    <cellStyle name="Normal 5 17 13 9" xfId="34334" xr:uid="{00000000-0005-0000-0000-00001E860000}"/>
    <cellStyle name="Normal 5 17 14" xfId="34335" xr:uid="{00000000-0005-0000-0000-00001F860000}"/>
    <cellStyle name="Normal 5 17 14 10" xfId="34336" xr:uid="{00000000-0005-0000-0000-000020860000}"/>
    <cellStyle name="Normal 5 17 14 11" xfId="34337" xr:uid="{00000000-0005-0000-0000-000021860000}"/>
    <cellStyle name="Normal 5 17 14 12" xfId="34338" xr:uid="{00000000-0005-0000-0000-000022860000}"/>
    <cellStyle name="Normal 5 17 14 13" xfId="34339" xr:uid="{00000000-0005-0000-0000-000023860000}"/>
    <cellStyle name="Normal 5 17 14 14" xfId="34340" xr:uid="{00000000-0005-0000-0000-000024860000}"/>
    <cellStyle name="Normal 5 17 14 2" xfId="34341" xr:uid="{00000000-0005-0000-0000-000025860000}"/>
    <cellStyle name="Normal 5 17 14 2 10" xfId="34342" xr:uid="{00000000-0005-0000-0000-000026860000}"/>
    <cellStyle name="Normal 5 17 14 2 2" xfId="34343" xr:uid="{00000000-0005-0000-0000-000027860000}"/>
    <cellStyle name="Normal 5 17 14 2 3" xfId="34344" xr:uid="{00000000-0005-0000-0000-000028860000}"/>
    <cellStyle name="Normal 5 17 14 2 4" xfId="34345" xr:uid="{00000000-0005-0000-0000-000029860000}"/>
    <cellStyle name="Normal 5 17 14 2 5" xfId="34346" xr:uid="{00000000-0005-0000-0000-00002A860000}"/>
    <cellStyle name="Normal 5 17 14 2 6" xfId="34347" xr:uid="{00000000-0005-0000-0000-00002B860000}"/>
    <cellStyle name="Normal 5 17 14 2 7" xfId="34348" xr:uid="{00000000-0005-0000-0000-00002C860000}"/>
    <cellStyle name="Normal 5 17 14 2 8" xfId="34349" xr:uid="{00000000-0005-0000-0000-00002D860000}"/>
    <cellStyle name="Normal 5 17 14 2 9" xfId="34350" xr:uid="{00000000-0005-0000-0000-00002E860000}"/>
    <cellStyle name="Normal 5 17 14 3" xfId="34351" xr:uid="{00000000-0005-0000-0000-00002F860000}"/>
    <cellStyle name="Normal 5 17 14 3 10" xfId="34352" xr:uid="{00000000-0005-0000-0000-000030860000}"/>
    <cellStyle name="Normal 5 17 14 3 2" xfId="34353" xr:uid="{00000000-0005-0000-0000-000031860000}"/>
    <cellStyle name="Normal 5 17 14 3 3" xfId="34354" xr:uid="{00000000-0005-0000-0000-000032860000}"/>
    <cellStyle name="Normal 5 17 14 3 4" xfId="34355" xr:uid="{00000000-0005-0000-0000-000033860000}"/>
    <cellStyle name="Normal 5 17 14 3 5" xfId="34356" xr:uid="{00000000-0005-0000-0000-000034860000}"/>
    <cellStyle name="Normal 5 17 14 3 6" xfId="34357" xr:uid="{00000000-0005-0000-0000-000035860000}"/>
    <cellStyle name="Normal 5 17 14 3 7" xfId="34358" xr:uid="{00000000-0005-0000-0000-000036860000}"/>
    <cellStyle name="Normal 5 17 14 3 8" xfId="34359" xr:uid="{00000000-0005-0000-0000-000037860000}"/>
    <cellStyle name="Normal 5 17 14 3 9" xfId="34360" xr:uid="{00000000-0005-0000-0000-000038860000}"/>
    <cellStyle name="Normal 5 17 14 4" xfId="34361" xr:uid="{00000000-0005-0000-0000-000039860000}"/>
    <cellStyle name="Normal 5 17 14 4 10" xfId="34362" xr:uid="{00000000-0005-0000-0000-00003A860000}"/>
    <cellStyle name="Normal 5 17 14 4 2" xfId="34363" xr:uid="{00000000-0005-0000-0000-00003B860000}"/>
    <cellStyle name="Normal 5 17 14 4 3" xfId="34364" xr:uid="{00000000-0005-0000-0000-00003C860000}"/>
    <cellStyle name="Normal 5 17 14 4 4" xfId="34365" xr:uid="{00000000-0005-0000-0000-00003D860000}"/>
    <cellStyle name="Normal 5 17 14 4 5" xfId="34366" xr:uid="{00000000-0005-0000-0000-00003E860000}"/>
    <cellStyle name="Normal 5 17 14 4 6" xfId="34367" xr:uid="{00000000-0005-0000-0000-00003F860000}"/>
    <cellStyle name="Normal 5 17 14 4 7" xfId="34368" xr:uid="{00000000-0005-0000-0000-000040860000}"/>
    <cellStyle name="Normal 5 17 14 4 8" xfId="34369" xr:uid="{00000000-0005-0000-0000-000041860000}"/>
    <cellStyle name="Normal 5 17 14 4 9" xfId="34370" xr:uid="{00000000-0005-0000-0000-000042860000}"/>
    <cellStyle name="Normal 5 17 14 5" xfId="34371" xr:uid="{00000000-0005-0000-0000-000043860000}"/>
    <cellStyle name="Normal 5 17 14 5 10" xfId="34372" xr:uid="{00000000-0005-0000-0000-000044860000}"/>
    <cellStyle name="Normal 5 17 14 5 2" xfId="34373" xr:uid="{00000000-0005-0000-0000-000045860000}"/>
    <cellStyle name="Normal 5 17 14 5 3" xfId="34374" xr:uid="{00000000-0005-0000-0000-000046860000}"/>
    <cellStyle name="Normal 5 17 14 5 4" xfId="34375" xr:uid="{00000000-0005-0000-0000-000047860000}"/>
    <cellStyle name="Normal 5 17 14 5 5" xfId="34376" xr:uid="{00000000-0005-0000-0000-000048860000}"/>
    <cellStyle name="Normal 5 17 14 5 6" xfId="34377" xr:uid="{00000000-0005-0000-0000-000049860000}"/>
    <cellStyle name="Normal 5 17 14 5 7" xfId="34378" xr:uid="{00000000-0005-0000-0000-00004A860000}"/>
    <cellStyle name="Normal 5 17 14 5 8" xfId="34379" xr:uid="{00000000-0005-0000-0000-00004B860000}"/>
    <cellStyle name="Normal 5 17 14 5 9" xfId="34380" xr:uid="{00000000-0005-0000-0000-00004C860000}"/>
    <cellStyle name="Normal 5 17 14 6" xfId="34381" xr:uid="{00000000-0005-0000-0000-00004D860000}"/>
    <cellStyle name="Normal 5 17 14 7" xfId="34382" xr:uid="{00000000-0005-0000-0000-00004E860000}"/>
    <cellStyle name="Normal 5 17 14 8" xfId="34383" xr:uid="{00000000-0005-0000-0000-00004F860000}"/>
    <cellStyle name="Normal 5 17 14 9" xfId="34384" xr:uid="{00000000-0005-0000-0000-000050860000}"/>
    <cellStyle name="Normal 5 17 15" xfId="34385" xr:uid="{00000000-0005-0000-0000-000051860000}"/>
    <cellStyle name="Normal 5 17 15 10" xfId="34386" xr:uid="{00000000-0005-0000-0000-000052860000}"/>
    <cellStyle name="Normal 5 17 15 11" xfId="34387" xr:uid="{00000000-0005-0000-0000-000053860000}"/>
    <cellStyle name="Normal 5 17 15 12" xfId="34388" xr:uid="{00000000-0005-0000-0000-000054860000}"/>
    <cellStyle name="Normal 5 17 15 13" xfId="34389" xr:uid="{00000000-0005-0000-0000-000055860000}"/>
    <cellStyle name="Normal 5 17 15 14" xfId="34390" xr:uid="{00000000-0005-0000-0000-000056860000}"/>
    <cellStyle name="Normal 5 17 15 2" xfId="34391" xr:uid="{00000000-0005-0000-0000-000057860000}"/>
    <cellStyle name="Normal 5 17 15 2 10" xfId="34392" xr:uid="{00000000-0005-0000-0000-000058860000}"/>
    <cellStyle name="Normal 5 17 15 2 2" xfId="34393" xr:uid="{00000000-0005-0000-0000-000059860000}"/>
    <cellStyle name="Normal 5 17 15 2 3" xfId="34394" xr:uid="{00000000-0005-0000-0000-00005A860000}"/>
    <cellStyle name="Normal 5 17 15 2 4" xfId="34395" xr:uid="{00000000-0005-0000-0000-00005B860000}"/>
    <cellStyle name="Normal 5 17 15 2 5" xfId="34396" xr:uid="{00000000-0005-0000-0000-00005C860000}"/>
    <cellStyle name="Normal 5 17 15 2 6" xfId="34397" xr:uid="{00000000-0005-0000-0000-00005D860000}"/>
    <cellStyle name="Normal 5 17 15 2 7" xfId="34398" xr:uid="{00000000-0005-0000-0000-00005E860000}"/>
    <cellStyle name="Normal 5 17 15 2 8" xfId="34399" xr:uid="{00000000-0005-0000-0000-00005F860000}"/>
    <cellStyle name="Normal 5 17 15 2 9" xfId="34400" xr:uid="{00000000-0005-0000-0000-000060860000}"/>
    <cellStyle name="Normal 5 17 15 3" xfId="34401" xr:uid="{00000000-0005-0000-0000-000061860000}"/>
    <cellStyle name="Normal 5 17 15 3 10" xfId="34402" xr:uid="{00000000-0005-0000-0000-000062860000}"/>
    <cellStyle name="Normal 5 17 15 3 2" xfId="34403" xr:uid="{00000000-0005-0000-0000-000063860000}"/>
    <cellStyle name="Normal 5 17 15 3 3" xfId="34404" xr:uid="{00000000-0005-0000-0000-000064860000}"/>
    <cellStyle name="Normal 5 17 15 3 4" xfId="34405" xr:uid="{00000000-0005-0000-0000-000065860000}"/>
    <cellStyle name="Normal 5 17 15 3 5" xfId="34406" xr:uid="{00000000-0005-0000-0000-000066860000}"/>
    <cellStyle name="Normal 5 17 15 3 6" xfId="34407" xr:uid="{00000000-0005-0000-0000-000067860000}"/>
    <cellStyle name="Normal 5 17 15 3 7" xfId="34408" xr:uid="{00000000-0005-0000-0000-000068860000}"/>
    <cellStyle name="Normal 5 17 15 3 8" xfId="34409" xr:uid="{00000000-0005-0000-0000-000069860000}"/>
    <cellStyle name="Normal 5 17 15 3 9" xfId="34410" xr:uid="{00000000-0005-0000-0000-00006A860000}"/>
    <cellStyle name="Normal 5 17 15 4" xfId="34411" xr:uid="{00000000-0005-0000-0000-00006B860000}"/>
    <cellStyle name="Normal 5 17 15 4 10" xfId="34412" xr:uid="{00000000-0005-0000-0000-00006C860000}"/>
    <cellStyle name="Normal 5 17 15 4 2" xfId="34413" xr:uid="{00000000-0005-0000-0000-00006D860000}"/>
    <cellStyle name="Normal 5 17 15 4 3" xfId="34414" xr:uid="{00000000-0005-0000-0000-00006E860000}"/>
    <cellStyle name="Normal 5 17 15 4 4" xfId="34415" xr:uid="{00000000-0005-0000-0000-00006F860000}"/>
    <cellStyle name="Normal 5 17 15 4 5" xfId="34416" xr:uid="{00000000-0005-0000-0000-000070860000}"/>
    <cellStyle name="Normal 5 17 15 4 6" xfId="34417" xr:uid="{00000000-0005-0000-0000-000071860000}"/>
    <cellStyle name="Normal 5 17 15 4 7" xfId="34418" xr:uid="{00000000-0005-0000-0000-000072860000}"/>
    <cellStyle name="Normal 5 17 15 4 8" xfId="34419" xr:uid="{00000000-0005-0000-0000-000073860000}"/>
    <cellStyle name="Normal 5 17 15 4 9" xfId="34420" xr:uid="{00000000-0005-0000-0000-000074860000}"/>
    <cellStyle name="Normal 5 17 15 5" xfId="34421" xr:uid="{00000000-0005-0000-0000-000075860000}"/>
    <cellStyle name="Normal 5 17 15 5 10" xfId="34422" xr:uid="{00000000-0005-0000-0000-000076860000}"/>
    <cellStyle name="Normal 5 17 15 5 2" xfId="34423" xr:uid="{00000000-0005-0000-0000-000077860000}"/>
    <cellStyle name="Normal 5 17 15 5 3" xfId="34424" xr:uid="{00000000-0005-0000-0000-000078860000}"/>
    <cellStyle name="Normal 5 17 15 5 4" xfId="34425" xr:uid="{00000000-0005-0000-0000-000079860000}"/>
    <cellStyle name="Normal 5 17 15 5 5" xfId="34426" xr:uid="{00000000-0005-0000-0000-00007A860000}"/>
    <cellStyle name="Normal 5 17 15 5 6" xfId="34427" xr:uid="{00000000-0005-0000-0000-00007B860000}"/>
    <cellStyle name="Normal 5 17 15 5 7" xfId="34428" xr:uid="{00000000-0005-0000-0000-00007C860000}"/>
    <cellStyle name="Normal 5 17 15 5 8" xfId="34429" xr:uid="{00000000-0005-0000-0000-00007D860000}"/>
    <cellStyle name="Normal 5 17 15 5 9" xfId="34430" xr:uid="{00000000-0005-0000-0000-00007E860000}"/>
    <cellStyle name="Normal 5 17 15 6" xfId="34431" xr:uid="{00000000-0005-0000-0000-00007F860000}"/>
    <cellStyle name="Normal 5 17 15 7" xfId="34432" xr:uid="{00000000-0005-0000-0000-000080860000}"/>
    <cellStyle name="Normal 5 17 15 8" xfId="34433" xr:uid="{00000000-0005-0000-0000-000081860000}"/>
    <cellStyle name="Normal 5 17 15 9" xfId="34434" xr:uid="{00000000-0005-0000-0000-000082860000}"/>
    <cellStyle name="Normal 5 17 16" xfId="34435" xr:uid="{00000000-0005-0000-0000-000083860000}"/>
    <cellStyle name="Normal 5 17 16 10" xfId="34436" xr:uid="{00000000-0005-0000-0000-000084860000}"/>
    <cellStyle name="Normal 5 17 16 11" xfId="34437" xr:uid="{00000000-0005-0000-0000-000085860000}"/>
    <cellStyle name="Normal 5 17 16 12" xfId="34438" xr:uid="{00000000-0005-0000-0000-000086860000}"/>
    <cellStyle name="Normal 5 17 16 13" xfId="34439" xr:uid="{00000000-0005-0000-0000-000087860000}"/>
    <cellStyle name="Normal 5 17 16 14" xfId="34440" xr:uid="{00000000-0005-0000-0000-000088860000}"/>
    <cellStyle name="Normal 5 17 16 2" xfId="34441" xr:uid="{00000000-0005-0000-0000-000089860000}"/>
    <cellStyle name="Normal 5 17 16 2 10" xfId="34442" xr:uid="{00000000-0005-0000-0000-00008A860000}"/>
    <cellStyle name="Normal 5 17 16 2 2" xfId="34443" xr:uid="{00000000-0005-0000-0000-00008B860000}"/>
    <cellStyle name="Normal 5 17 16 2 3" xfId="34444" xr:uid="{00000000-0005-0000-0000-00008C860000}"/>
    <cellStyle name="Normal 5 17 16 2 4" xfId="34445" xr:uid="{00000000-0005-0000-0000-00008D860000}"/>
    <cellStyle name="Normal 5 17 16 2 5" xfId="34446" xr:uid="{00000000-0005-0000-0000-00008E860000}"/>
    <cellStyle name="Normal 5 17 16 2 6" xfId="34447" xr:uid="{00000000-0005-0000-0000-00008F860000}"/>
    <cellStyle name="Normal 5 17 16 2 7" xfId="34448" xr:uid="{00000000-0005-0000-0000-000090860000}"/>
    <cellStyle name="Normal 5 17 16 2 8" xfId="34449" xr:uid="{00000000-0005-0000-0000-000091860000}"/>
    <cellStyle name="Normal 5 17 16 2 9" xfId="34450" xr:uid="{00000000-0005-0000-0000-000092860000}"/>
    <cellStyle name="Normal 5 17 16 3" xfId="34451" xr:uid="{00000000-0005-0000-0000-000093860000}"/>
    <cellStyle name="Normal 5 17 16 3 10" xfId="34452" xr:uid="{00000000-0005-0000-0000-000094860000}"/>
    <cellStyle name="Normal 5 17 16 3 2" xfId="34453" xr:uid="{00000000-0005-0000-0000-000095860000}"/>
    <cellStyle name="Normal 5 17 16 3 3" xfId="34454" xr:uid="{00000000-0005-0000-0000-000096860000}"/>
    <cellStyle name="Normal 5 17 16 3 4" xfId="34455" xr:uid="{00000000-0005-0000-0000-000097860000}"/>
    <cellStyle name="Normal 5 17 16 3 5" xfId="34456" xr:uid="{00000000-0005-0000-0000-000098860000}"/>
    <cellStyle name="Normal 5 17 16 3 6" xfId="34457" xr:uid="{00000000-0005-0000-0000-000099860000}"/>
    <cellStyle name="Normal 5 17 16 3 7" xfId="34458" xr:uid="{00000000-0005-0000-0000-00009A860000}"/>
    <cellStyle name="Normal 5 17 16 3 8" xfId="34459" xr:uid="{00000000-0005-0000-0000-00009B860000}"/>
    <cellStyle name="Normal 5 17 16 3 9" xfId="34460" xr:uid="{00000000-0005-0000-0000-00009C860000}"/>
    <cellStyle name="Normal 5 17 16 4" xfId="34461" xr:uid="{00000000-0005-0000-0000-00009D860000}"/>
    <cellStyle name="Normal 5 17 16 4 10" xfId="34462" xr:uid="{00000000-0005-0000-0000-00009E860000}"/>
    <cellStyle name="Normal 5 17 16 4 2" xfId="34463" xr:uid="{00000000-0005-0000-0000-00009F860000}"/>
    <cellStyle name="Normal 5 17 16 4 3" xfId="34464" xr:uid="{00000000-0005-0000-0000-0000A0860000}"/>
    <cellStyle name="Normal 5 17 16 4 4" xfId="34465" xr:uid="{00000000-0005-0000-0000-0000A1860000}"/>
    <cellStyle name="Normal 5 17 16 4 5" xfId="34466" xr:uid="{00000000-0005-0000-0000-0000A2860000}"/>
    <cellStyle name="Normal 5 17 16 4 6" xfId="34467" xr:uid="{00000000-0005-0000-0000-0000A3860000}"/>
    <cellStyle name="Normal 5 17 16 4 7" xfId="34468" xr:uid="{00000000-0005-0000-0000-0000A4860000}"/>
    <cellStyle name="Normal 5 17 16 4 8" xfId="34469" xr:uid="{00000000-0005-0000-0000-0000A5860000}"/>
    <cellStyle name="Normal 5 17 16 4 9" xfId="34470" xr:uid="{00000000-0005-0000-0000-0000A6860000}"/>
    <cellStyle name="Normal 5 17 16 5" xfId="34471" xr:uid="{00000000-0005-0000-0000-0000A7860000}"/>
    <cellStyle name="Normal 5 17 16 5 10" xfId="34472" xr:uid="{00000000-0005-0000-0000-0000A8860000}"/>
    <cellStyle name="Normal 5 17 16 5 2" xfId="34473" xr:uid="{00000000-0005-0000-0000-0000A9860000}"/>
    <cellStyle name="Normal 5 17 16 5 3" xfId="34474" xr:uid="{00000000-0005-0000-0000-0000AA860000}"/>
    <cellStyle name="Normal 5 17 16 5 4" xfId="34475" xr:uid="{00000000-0005-0000-0000-0000AB860000}"/>
    <cellStyle name="Normal 5 17 16 5 5" xfId="34476" xr:uid="{00000000-0005-0000-0000-0000AC860000}"/>
    <cellStyle name="Normal 5 17 16 5 6" xfId="34477" xr:uid="{00000000-0005-0000-0000-0000AD860000}"/>
    <cellStyle name="Normal 5 17 16 5 7" xfId="34478" xr:uid="{00000000-0005-0000-0000-0000AE860000}"/>
    <cellStyle name="Normal 5 17 16 5 8" xfId="34479" xr:uid="{00000000-0005-0000-0000-0000AF860000}"/>
    <cellStyle name="Normal 5 17 16 5 9" xfId="34480" xr:uid="{00000000-0005-0000-0000-0000B0860000}"/>
    <cellStyle name="Normal 5 17 16 6" xfId="34481" xr:uid="{00000000-0005-0000-0000-0000B1860000}"/>
    <cellStyle name="Normal 5 17 16 7" xfId="34482" xr:uid="{00000000-0005-0000-0000-0000B2860000}"/>
    <cellStyle name="Normal 5 17 16 8" xfId="34483" xr:uid="{00000000-0005-0000-0000-0000B3860000}"/>
    <cellStyle name="Normal 5 17 16 9" xfId="34484" xr:uid="{00000000-0005-0000-0000-0000B4860000}"/>
    <cellStyle name="Normal 5 17 17" xfId="34485" xr:uid="{00000000-0005-0000-0000-0000B5860000}"/>
    <cellStyle name="Normal 5 17 17 10" xfId="34486" xr:uid="{00000000-0005-0000-0000-0000B6860000}"/>
    <cellStyle name="Normal 5 17 17 11" xfId="34487" xr:uid="{00000000-0005-0000-0000-0000B7860000}"/>
    <cellStyle name="Normal 5 17 17 12" xfId="34488" xr:uid="{00000000-0005-0000-0000-0000B8860000}"/>
    <cellStyle name="Normal 5 17 17 13" xfId="34489" xr:uid="{00000000-0005-0000-0000-0000B9860000}"/>
    <cellStyle name="Normal 5 17 17 14" xfId="34490" xr:uid="{00000000-0005-0000-0000-0000BA860000}"/>
    <cellStyle name="Normal 5 17 17 2" xfId="34491" xr:uid="{00000000-0005-0000-0000-0000BB860000}"/>
    <cellStyle name="Normal 5 17 17 2 10" xfId="34492" xr:uid="{00000000-0005-0000-0000-0000BC860000}"/>
    <cellStyle name="Normal 5 17 17 2 2" xfId="34493" xr:uid="{00000000-0005-0000-0000-0000BD860000}"/>
    <cellStyle name="Normal 5 17 17 2 3" xfId="34494" xr:uid="{00000000-0005-0000-0000-0000BE860000}"/>
    <cellStyle name="Normal 5 17 17 2 4" xfId="34495" xr:uid="{00000000-0005-0000-0000-0000BF860000}"/>
    <cellStyle name="Normal 5 17 17 2 5" xfId="34496" xr:uid="{00000000-0005-0000-0000-0000C0860000}"/>
    <cellStyle name="Normal 5 17 17 2 6" xfId="34497" xr:uid="{00000000-0005-0000-0000-0000C1860000}"/>
    <cellStyle name="Normal 5 17 17 2 7" xfId="34498" xr:uid="{00000000-0005-0000-0000-0000C2860000}"/>
    <cellStyle name="Normal 5 17 17 2 8" xfId="34499" xr:uid="{00000000-0005-0000-0000-0000C3860000}"/>
    <cellStyle name="Normal 5 17 17 2 9" xfId="34500" xr:uid="{00000000-0005-0000-0000-0000C4860000}"/>
    <cellStyle name="Normal 5 17 17 3" xfId="34501" xr:uid="{00000000-0005-0000-0000-0000C5860000}"/>
    <cellStyle name="Normal 5 17 17 3 10" xfId="34502" xr:uid="{00000000-0005-0000-0000-0000C6860000}"/>
    <cellStyle name="Normal 5 17 17 3 2" xfId="34503" xr:uid="{00000000-0005-0000-0000-0000C7860000}"/>
    <cellStyle name="Normal 5 17 17 3 3" xfId="34504" xr:uid="{00000000-0005-0000-0000-0000C8860000}"/>
    <cellStyle name="Normal 5 17 17 3 4" xfId="34505" xr:uid="{00000000-0005-0000-0000-0000C9860000}"/>
    <cellStyle name="Normal 5 17 17 3 5" xfId="34506" xr:uid="{00000000-0005-0000-0000-0000CA860000}"/>
    <cellStyle name="Normal 5 17 17 3 6" xfId="34507" xr:uid="{00000000-0005-0000-0000-0000CB860000}"/>
    <cellStyle name="Normal 5 17 17 3 7" xfId="34508" xr:uid="{00000000-0005-0000-0000-0000CC860000}"/>
    <cellStyle name="Normal 5 17 17 3 8" xfId="34509" xr:uid="{00000000-0005-0000-0000-0000CD860000}"/>
    <cellStyle name="Normal 5 17 17 3 9" xfId="34510" xr:uid="{00000000-0005-0000-0000-0000CE860000}"/>
    <cellStyle name="Normal 5 17 17 4" xfId="34511" xr:uid="{00000000-0005-0000-0000-0000CF860000}"/>
    <cellStyle name="Normal 5 17 17 4 10" xfId="34512" xr:uid="{00000000-0005-0000-0000-0000D0860000}"/>
    <cellStyle name="Normal 5 17 17 4 2" xfId="34513" xr:uid="{00000000-0005-0000-0000-0000D1860000}"/>
    <cellStyle name="Normal 5 17 17 4 3" xfId="34514" xr:uid="{00000000-0005-0000-0000-0000D2860000}"/>
    <cellStyle name="Normal 5 17 17 4 4" xfId="34515" xr:uid="{00000000-0005-0000-0000-0000D3860000}"/>
    <cellStyle name="Normal 5 17 17 4 5" xfId="34516" xr:uid="{00000000-0005-0000-0000-0000D4860000}"/>
    <cellStyle name="Normal 5 17 17 4 6" xfId="34517" xr:uid="{00000000-0005-0000-0000-0000D5860000}"/>
    <cellStyle name="Normal 5 17 17 4 7" xfId="34518" xr:uid="{00000000-0005-0000-0000-0000D6860000}"/>
    <cellStyle name="Normal 5 17 17 4 8" xfId="34519" xr:uid="{00000000-0005-0000-0000-0000D7860000}"/>
    <cellStyle name="Normal 5 17 17 4 9" xfId="34520" xr:uid="{00000000-0005-0000-0000-0000D8860000}"/>
    <cellStyle name="Normal 5 17 17 5" xfId="34521" xr:uid="{00000000-0005-0000-0000-0000D9860000}"/>
    <cellStyle name="Normal 5 17 17 5 10" xfId="34522" xr:uid="{00000000-0005-0000-0000-0000DA860000}"/>
    <cellStyle name="Normal 5 17 17 5 2" xfId="34523" xr:uid="{00000000-0005-0000-0000-0000DB860000}"/>
    <cellStyle name="Normal 5 17 17 5 3" xfId="34524" xr:uid="{00000000-0005-0000-0000-0000DC860000}"/>
    <cellStyle name="Normal 5 17 17 5 4" xfId="34525" xr:uid="{00000000-0005-0000-0000-0000DD860000}"/>
    <cellStyle name="Normal 5 17 17 5 5" xfId="34526" xr:uid="{00000000-0005-0000-0000-0000DE860000}"/>
    <cellStyle name="Normal 5 17 17 5 6" xfId="34527" xr:uid="{00000000-0005-0000-0000-0000DF860000}"/>
    <cellStyle name="Normal 5 17 17 5 7" xfId="34528" xr:uid="{00000000-0005-0000-0000-0000E0860000}"/>
    <cellStyle name="Normal 5 17 17 5 8" xfId="34529" xr:uid="{00000000-0005-0000-0000-0000E1860000}"/>
    <cellStyle name="Normal 5 17 17 5 9" xfId="34530" xr:uid="{00000000-0005-0000-0000-0000E2860000}"/>
    <cellStyle name="Normal 5 17 17 6" xfId="34531" xr:uid="{00000000-0005-0000-0000-0000E3860000}"/>
    <cellStyle name="Normal 5 17 17 7" xfId="34532" xr:uid="{00000000-0005-0000-0000-0000E4860000}"/>
    <cellStyle name="Normal 5 17 17 8" xfId="34533" xr:uid="{00000000-0005-0000-0000-0000E5860000}"/>
    <cellStyle name="Normal 5 17 17 9" xfId="34534" xr:uid="{00000000-0005-0000-0000-0000E6860000}"/>
    <cellStyle name="Normal 5 17 18" xfId="34535" xr:uid="{00000000-0005-0000-0000-0000E7860000}"/>
    <cellStyle name="Normal 5 17 18 10" xfId="34536" xr:uid="{00000000-0005-0000-0000-0000E8860000}"/>
    <cellStyle name="Normal 5 17 18 11" xfId="34537" xr:uid="{00000000-0005-0000-0000-0000E9860000}"/>
    <cellStyle name="Normal 5 17 18 12" xfId="34538" xr:uid="{00000000-0005-0000-0000-0000EA860000}"/>
    <cellStyle name="Normal 5 17 18 13" xfId="34539" xr:uid="{00000000-0005-0000-0000-0000EB860000}"/>
    <cellStyle name="Normal 5 17 18 14" xfId="34540" xr:uid="{00000000-0005-0000-0000-0000EC860000}"/>
    <cellStyle name="Normal 5 17 18 2" xfId="34541" xr:uid="{00000000-0005-0000-0000-0000ED860000}"/>
    <cellStyle name="Normal 5 17 18 2 10" xfId="34542" xr:uid="{00000000-0005-0000-0000-0000EE860000}"/>
    <cellStyle name="Normal 5 17 18 2 2" xfId="34543" xr:uid="{00000000-0005-0000-0000-0000EF860000}"/>
    <cellStyle name="Normal 5 17 18 2 3" xfId="34544" xr:uid="{00000000-0005-0000-0000-0000F0860000}"/>
    <cellStyle name="Normal 5 17 18 2 4" xfId="34545" xr:uid="{00000000-0005-0000-0000-0000F1860000}"/>
    <cellStyle name="Normal 5 17 18 2 5" xfId="34546" xr:uid="{00000000-0005-0000-0000-0000F2860000}"/>
    <cellStyle name="Normal 5 17 18 2 6" xfId="34547" xr:uid="{00000000-0005-0000-0000-0000F3860000}"/>
    <cellStyle name="Normal 5 17 18 2 7" xfId="34548" xr:uid="{00000000-0005-0000-0000-0000F4860000}"/>
    <cellStyle name="Normal 5 17 18 2 8" xfId="34549" xr:uid="{00000000-0005-0000-0000-0000F5860000}"/>
    <cellStyle name="Normal 5 17 18 2 9" xfId="34550" xr:uid="{00000000-0005-0000-0000-0000F6860000}"/>
    <cellStyle name="Normal 5 17 18 3" xfId="34551" xr:uid="{00000000-0005-0000-0000-0000F7860000}"/>
    <cellStyle name="Normal 5 17 18 3 10" xfId="34552" xr:uid="{00000000-0005-0000-0000-0000F8860000}"/>
    <cellStyle name="Normal 5 17 18 3 2" xfId="34553" xr:uid="{00000000-0005-0000-0000-0000F9860000}"/>
    <cellStyle name="Normal 5 17 18 3 3" xfId="34554" xr:uid="{00000000-0005-0000-0000-0000FA860000}"/>
    <cellStyle name="Normal 5 17 18 3 4" xfId="34555" xr:uid="{00000000-0005-0000-0000-0000FB860000}"/>
    <cellStyle name="Normal 5 17 18 3 5" xfId="34556" xr:uid="{00000000-0005-0000-0000-0000FC860000}"/>
    <cellStyle name="Normal 5 17 18 3 6" xfId="34557" xr:uid="{00000000-0005-0000-0000-0000FD860000}"/>
    <cellStyle name="Normal 5 17 18 3 7" xfId="34558" xr:uid="{00000000-0005-0000-0000-0000FE860000}"/>
    <cellStyle name="Normal 5 17 18 3 8" xfId="34559" xr:uid="{00000000-0005-0000-0000-0000FF860000}"/>
    <cellStyle name="Normal 5 17 18 3 9" xfId="34560" xr:uid="{00000000-0005-0000-0000-000000870000}"/>
    <cellStyle name="Normal 5 17 18 4" xfId="34561" xr:uid="{00000000-0005-0000-0000-000001870000}"/>
    <cellStyle name="Normal 5 17 18 4 10" xfId="34562" xr:uid="{00000000-0005-0000-0000-000002870000}"/>
    <cellStyle name="Normal 5 17 18 4 2" xfId="34563" xr:uid="{00000000-0005-0000-0000-000003870000}"/>
    <cellStyle name="Normal 5 17 18 4 3" xfId="34564" xr:uid="{00000000-0005-0000-0000-000004870000}"/>
    <cellStyle name="Normal 5 17 18 4 4" xfId="34565" xr:uid="{00000000-0005-0000-0000-000005870000}"/>
    <cellStyle name="Normal 5 17 18 4 5" xfId="34566" xr:uid="{00000000-0005-0000-0000-000006870000}"/>
    <cellStyle name="Normal 5 17 18 4 6" xfId="34567" xr:uid="{00000000-0005-0000-0000-000007870000}"/>
    <cellStyle name="Normal 5 17 18 4 7" xfId="34568" xr:uid="{00000000-0005-0000-0000-000008870000}"/>
    <cellStyle name="Normal 5 17 18 4 8" xfId="34569" xr:uid="{00000000-0005-0000-0000-000009870000}"/>
    <cellStyle name="Normal 5 17 18 4 9" xfId="34570" xr:uid="{00000000-0005-0000-0000-00000A870000}"/>
    <cellStyle name="Normal 5 17 18 5" xfId="34571" xr:uid="{00000000-0005-0000-0000-00000B870000}"/>
    <cellStyle name="Normal 5 17 18 5 10" xfId="34572" xr:uid="{00000000-0005-0000-0000-00000C870000}"/>
    <cellStyle name="Normal 5 17 18 5 2" xfId="34573" xr:uid="{00000000-0005-0000-0000-00000D870000}"/>
    <cellStyle name="Normal 5 17 18 5 3" xfId="34574" xr:uid="{00000000-0005-0000-0000-00000E870000}"/>
    <cellStyle name="Normal 5 17 18 5 4" xfId="34575" xr:uid="{00000000-0005-0000-0000-00000F870000}"/>
    <cellStyle name="Normal 5 17 18 5 5" xfId="34576" xr:uid="{00000000-0005-0000-0000-000010870000}"/>
    <cellStyle name="Normal 5 17 18 5 6" xfId="34577" xr:uid="{00000000-0005-0000-0000-000011870000}"/>
    <cellStyle name="Normal 5 17 18 5 7" xfId="34578" xr:uid="{00000000-0005-0000-0000-000012870000}"/>
    <cellStyle name="Normal 5 17 18 5 8" xfId="34579" xr:uid="{00000000-0005-0000-0000-000013870000}"/>
    <cellStyle name="Normal 5 17 18 5 9" xfId="34580" xr:uid="{00000000-0005-0000-0000-000014870000}"/>
    <cellStyle name="Normal 5 17 18 6" xfId="34581" xr:uid="{00000000-0005-0000-0000-000015870000}"/>
    <cellStyle name="Normal 5 17 18 7" xfId="34582" xr:uid="{00000000-0005-0000-0000-000016870000}"/>
    <cellStyle name="Normal 5 17 18 8" xfId="34583" xr:uid="{00000000-0005-0000-0000-000017870000}"/>
    <cellStyle name="Normal 5 17 18 9" xfId="34584" xr:uid="{00000000-0005-0000-0000-000018870000}"/>
    <cellStyle name="Normal 5 17 19" xfId="34585" xr:uid="{00000000-0005-0000-0000-000019870000}"/>
    <cellStyle name="Normal 5 17 19 10" xfId="34586" xr:uid="{00000000-0005-0000-0000-00001A870000}"/>
    <cellStyle name="Normal 5 17 19 11" xfId="34587" xr:uid="{00000000-0005-0000-0000-00001B870000}"/>
    <cellStyle name="Normal 5 17 19 12" xfId="34588" xr:uid="{00000000-0005-0000-0000-00001C870000}"/>
    <cellStyle name="Normal 5 17 19 13" xfId="34589" xr:uid="{00000000-0005-0000-0000-00001D870000}"/>
    <cellStyle name="Normal 5 17 19 14" xfId="34590" xr:uid="{00000000-0005-0000-0000-00001E870000}"/>
    <cellStyle name="Normal 5 17 19 2" xfId="34591" xr:uid="{00000000-0005-0000-0000-00001F870000}"/>
    <cellStyle name="Normal 5 17 19 2 10" xfId="34592" xr:uid="{00000000-0005-0000-0000-000020870000}"/>
    <cellStyle name="Normal 5 17 19 2 2" xfId="34593" xr:uid="{00000000-0005-0000-0000-000021870000}"/>
    <cellStyle name="Normal 5 17 19 2 3" xfId="34594" xr:uid="{00000000-0005-0000-0000-000022870000}"/>
    <cellStyle name="Normal 5 17 19 2 4" xfId="34595" xr:uid="{00000000-0005-0000-0000-000023870000}"/>
    <cellStyle name="Normal 5 17 19 2 5" xfId="34596" xr:uid="{00000000-0005-0000-0000-000024870000}"/>
    <cellStyle name="Normal 5 17 19 2 6" xfId="34597" xr:uid="{00000000-0005-0000-0000-000025870000}"/>
    <cellStyle name="Normal 5 17 19 2 7" xfId="34598" xr:uid="{00000000-0005-0000-0000-000026870000}"/>
    <cellStyle name="Normal 5 17 19 2 8" xfId="34599" xr:uid="{00000000-0005-0000-0000-000027870000}"/>
    <cellStyle name="Normal 5 17 19 2 9" xfId="34600" xr:uid="{00000000-0005-0000-0000-000028870000}"/>
    <cellStyle name="Normal 5 17 19 3" xfId="34601" xr:uid="{00000000-0005-0000-0000-000029870000}"/>
    <cellStyle name="Normal 5 17 19 3 10" xfId="34602" xr:uid="{00000000-0005-0000-0000-00002A870000}"/>
    <cellStyle name="Normal 5 17 19 3 2" xfId="34603" xr:uid="{00000000-0005-0000-0000-00002B870000}"/>
    <cellStyle name="Normal 5 17 19 3 3" xfId="34604" xr:uid="{00000000-0005-0000-0000-00002C870000}"/>
    <cellStyle name="Normal 5 17 19 3 4" xfId="34605" xr:uid="{00000000-0005-0000-0000-00002D870000}"/>
    <cellStyle name="Normal 5 17 19 3 5" xfId="34606" xr:uid="{00000000-0005-0000-0000-00002E870000}"/>
    <cellStyle name="Normal 5 17 19 3 6" xfId="34607" xr:uid="{00000000-0005-0000-0000-00002F870000}"/>
    <cellStyle name="Normal 5 17 19 3 7" xfId="34608" xr:uid="{00000000-0005-0000-0000-000030870000}"/>
    <cellStyle name="Normal 5 17 19 3 8" xfId="34609" xr:uid="{00000000-0005-0000-0000-000031870000}"/>
    <cellStyle name="Normal 5 17 19 3 9" xfId="34610" xr:uid="{00000000-0005-0000-0000-000032870000}"/>
    <cellStyle name="Normal 5 17 19 4" xfId="34611" xr:uid="{00000000-0005-0000-0000-000033870000}"/>
    <cellStyle name="Normal 5 17 19 4 10" xfId="34612" xr:uid="{00000000-0005-0000-0000-000034870000}"/>
    <cellStyle name="Normal 5 17 19 4 2" xfId="34613" xr:uid="{00000000-0005-0000-0000-000035870000}"/>
    <cellStyle name="Normal 5 17 19 4 3" xfId="34614" xr:uid="{00000000-0005-0000-0000-000036870000}"/>
    <cellStyle name="Normal 5 17 19 4 4" xfId="34615" xr:uid="{00000000-0005-0000-0000-000037870000}"/>
    <cellStyle name="Normal 5 17 19 4 5" xfId="34616" xr:uid="{00000000-0005-0000-0000-000038870000}"/>
    <cellStyle name="Normal 5 17 19 4 6" xfId="34617" xr:uid="{00000000-0005-0000-0000-000039870000}"/>
    <cellStyle name="Normal 5 17 19 4 7" xfId="34618" xr:uid="{00000000-0005-0000-0000-00003A870000}"/>
    <cellStyle name="Normal 5 17 19 4 8" xfId="34619" xr:uid="{00000000-0005-0000-0000-00003B870000}"/>
    <cellStyle name="Normal 5 17 19 4 9" xfId="34620" xr:uid="{00000000-0005-0000-0000-00003C870000}"/>
    <cellStyle name="Normal 5 17 19 5" xfId="34621" xr:uid="{00000000-0005-0000-0000-00003D870000}"/>
    <cellStyle name="Normal 5 17 19 5 10" xfId="34622" xr:uid="{00000000-0005-0000-0000-00003E870000}"/>
    <cellStyle name="Normal 5 17 19 5 2" xfId="34623" xr:uid="{00000000-0005-0000-0000-00003F870000}"/>
    <cellStyle name="Normal 5 17 19 5 3" xfId="34624" xr:uid="{00000000-0005-0000-0000-000040870000}"/>
    <cellStyle name="Normal 5 17 19 5 4" xfId="34625" xr:uid="{00000000-0005-0000-0000-000041870000}"/>
    <cellStyle name="Normal 5 17 19 5 5" xfId="34626" xr:uid="{00000000-0005-0000-0000-000042870000}"/>
    <cellStyle name="Normal 5 17 19 5 6" xfId="34627" xr:uid="{00000000-0005-0000-0000-000043870000}"/>
    <cellStyle name="Normal 5 17 19 5 7" xfId="34628" xr:uid="{00000000-0005-0000-0000-000044870000}"/>
    <cellStyle name="Normal 5 17 19 5 8" xfId="34629" xr:uid="{00000000-0005-0000-0000-000045870000}"/>
    <cellStyle name="Normal 5 17 19 5 9" xfId="34630" xr:uid="{00000000-0005-0000-0000-000046870000}"/>
    <cellStyle name="Normal 5 17 19 6" xfId="34631" xr:uid="{00000000-0005-0000-0000-000047870000}"/>
    <cellStyle name="Normal 5 17 19 7" xfId="34632" xr:uid="{00000000-0005-0000-0000-000048870000}"/>
    <cellStyle name="Normal 5 17 19 8" xfId="34633" xr:uid="{00000000-0005-0000-0000-000049870000}"/>
    <cellStyle name="Normal 5 17 19 9" xfId="34634" xr:uid="{00000000-0005-0000-0000-00004A870000}"/>
    <cellStyle name="Normal 5 17 2" xfId="34635" xr:uid="{00000000-0005-0000-0000-00004B870000}"/>
    <cellStyle name="Normal 5 17 2 10" xfId="34636" xr:uid="{00000000-0005-0000-0000-00004C870000}"/>
    <cellStyle name="Normal 5 17 2 10 10" xfId="34637" xr:uid="{00000000-0005-0000-0000-00004D870000}"/>
    <cellStyle name="Normal 5 17 2 10 11" xfId="34638" xr:uid="{00000000-0005-0000-0000-00004E870000}"/>
    <cellStyle name="Normal 5 17 2 10 12" xfId="34639" xr:uid="{00000000-0005-0000-0000-00004F870000}"/>
    <cellStyle name="Normal 5 17 2 10 13" xfId="34640" xr:uid="{00000000-0005-0000-0000-000050870000}"/>
    <cellStyle name="Normal 5 17 2 10 14" xfId="34641" xr:uid="{00000000-0005-0000-0000-000051870000}"/>
    <cellStyle name="Normal 5 17 2 10 2" xfId="34642" xr:uid="{00000000-0005-0000-0000-000052870000}"/>
    <cellStyle name="Normal 5 17 2 10 2 10" xfId="34643" xr:uid="{00000000-0005-0000-0000-000053870000}"/>
    <cellStyle name="Normal 5 17 2 10 2 2" xfId="34644" xr:uid="{00000000-0005-0000-0000-000054870000}"/>
    <cellStyle name="Normal 5 17 2 10 2 3" xfId="34645" xr:uid="{00000000-0005-0000-0000-000055870000}"/>
    <cellStyle name="Normal 5 17 2 10 2 4" xfId="34646" xr:uid="{00000000-0005-0000-0000-000056870000}"/>
    <cellStyle name="Normal 5 17 2 10 2 5" xfId="34647" xr:uid="{00000000-0005-0000-0000-000057870000}"/>
    <cellStyle name="Normal 5 17 2 10 2 6" xfId="34648" xr:uid="{00000000-0005-0000-0000-000058870000}"/>
    <cellStyle name="Normal 5 17 2 10 2 7" xfId="34649" xr:uid="{00000000-0005-0000-0000-000059870000}"/>
    <cellStyle name="Normal 5 17 2 10 2 8" xfId="34650" xr:uid="{00000000-0005-0000-0000-00005A870000}"/>
    <cellStyle name="Normal 5 17 2 10 2 9" xfId="34651" xr:uid="{00000000-0005-0000-0000-00005B870000}"/>
    <cellStyle name="Normal 5 17 2 10 3" xfId="34652" xr:uid="{00000000-0005-0000-0000-00005C870000}"/>
    <cellStyle name="Normal 5 17 2 10 3 10" xfId="34653" xr:uid="{00000000-0005-0000-0000-00005D870000}"/>
    <cellStyle name="Normal 5 17 2 10 3 2" xfId="34654" xr:uid="{00000000-0005-0000-0000-00005E870000}"/>
    <cellStyle name="Normal 5 17 2 10 3 3" xfId="34655" xr:uid="{00000000-0005-0000-0000-00005F870000}"/>
    <cellStyle name="Normal 5 17 2 10 3 4" xfId="34656" xr:uid="{00000000-0005-0000-0000-000060870000}"/>
    <cellStyle name="Normal 5 17 2 10 3 5" xfId="34657" xr:uid="{00000000-0005-0000-0000-000061870000}"/>
    <cellStyle name="Normal 5 17 2 10 3 6" xfId="34658" xr:uid="{00000000-0005-0000-0000-000062870000}"/>
    <cellStyle name="Normal 5 17 2 10 3 7" xfId="34659" xr:uid="{00000000-0005-0000-0000-000063870000}"/>
    <cellStyle name="Normal 5 17 2 10 3 8" xfId="34660" xr:uid="{00000000-0005-0000-0000-000064870000}"/>
    <cellStyle name="Normal 5 17 2 10 3 9" xfId="34661" xr:uid="{00000000-0005-0000-0000-000065870000}"/>
    <cellStyle name="Normal 5 17 2 10 4" xfId="34662" xr:uid="{00000000-0005-0000-0000-000066870000}"/>
    <cellStyle name="Normal 5 17 2 10 4 10" xfId="34663" xr:uid="{00000000-0005-0000-0000-000067870000}"/>
    <cellStyle name="Normal 5 17 2 10 4 2" xfId="34664" xr:uid="{00000000-0005-0000-0000-000068870000}"/>
    <cellStyle name="Normal 5 17 2 10 4 3" xfId="34665" xr:uid="{00000000-0005-0000-0000-000069870000}"/>
    <cellStyle name="Normal 5 17 2 10 4 4" xfId="34666" xr:uid="{00000000-0005-0000-0000-00006A870000}"/>
    <cellStyle name="Normal 5 17 2 10 4 5" xfId="34667" xr:uid="{00000000-0005-0000-0000-00006B870000}"/>
    <cellStyle name="Normal 5 17 2 10 4 6" xfId="34668" xr:uid="{00000000-0005-0000-0000-00006C870000}"/>
    <cellStyle name="Normal 5 17 2 10 4 7" xfId="34669" xr:uid="{00000000-0005-0000-0000-00006D870000}"/>
    <cellStyle name="Normal 5 17 2 10 4 8" xfId="34670" xr:uid="{00000000-0005-0000-0000-00006E870000}"/>
    <cellStyle name="Normal 5 17 2 10 4 9" xfId="34671" xr:uid="{00000000-0005-0000-0000-00006F870000}"/>
    <cellStyle name="Normal 5 17 2 10 5" xfId="34672" xr:uid="{00000000-0005-0000-0000-000070870000}"/>
    <cellStyle name="Normal 5 17 2 10 5 10" xfId="34673" xr:uid="{00000000-0005-0000-0000-000071870000}"/>
    <cellStyle name="Normal 5 17 2 10 5 2" xfId="34674" xr:uid="{00000000-0005-0000-0000-000072870000}"/>
    <cellStyle name="Normal 5 17 2 10 5 3" xfId="34675" xr:uid="{00000000-0005-0000-0000-000073870000}"/>
    <cellStyle name="Normal 5 17 2 10 5 4" xfId="34676" xr:uid="{00000000-0005-0000-0000-000074870000}"/>
    <cellStyle name="Normal 5 17 2 10 5 5" xfId="34677" xr:uid="{00000000-0005-0000-0000-000075870000}"/>
    <cellStyle name="Normal 5 17 2 10 5 6" xfId="34678" xr:uid="{00000000-0005-0000-0000-000076870000}"/>
    <cellStyle name="Normal 5 17 2 10 5 7" xfId="34679" xr:uid="{00000000-0005-0000-0000-000077870000}"/>
    <cellStyle name="Normal 5 17 2 10 5 8" xfId="34680" xr:uid="{00000000-0005-0000-0000-000078870000}"/>
    <cellStyle name="Normal 5 17 2 10 5 9" xfId="34681" xr:uid="{00000000-0005-0000-0000-000079870000}"/>
    <cellStyle name="Normal 5 17 2 10 6" xfId="34682" xr:uid="{00000000-0005-0000-0000-00007A870000}"/>
    <cellStyle name="Normal 5 17 2 10 7" xfId="34683" xr:uid="{00000000-0005-0000-0000-00007B870000}"/>
    <cellStyle name="Normal 5 17 2 10 8" xfId="34684" xr:uid="{00000000-0005-0000-0000-00007C870000}"/>
    <cellStyle name="Normal 5 17 2 10 9" xfId="34685" xr:uid="{00000000-0005-0000-0000-00007D870000}"/>
    <cellStyle name="Normal 5 17 2 11" xfId="34686" xr:uid="{00000000-0005-0000-0000-00007E870000}"/>
    <cellStyle name="Normal 5 17 2 11 10" xfId="34687" xr:uid="{00000000-0005-0000-0000-00007F870000}"/>
    <cellStyle name="Normal 5 17 2 11 11" xfId="34688" xr:uid="{00000000-0005-0000-0000-000080870000}"/>
    <cellStyle name="Normal 5 17 2 11 12" xfId="34689" xr:uid="{00000000-0005-0000-0000-000081870000}"/>
    <cellStyle name="Normal 5 17 2 11 13" xfId="34690" xr:uid="{00000000-0005-0000-0000-000082870000}"/>
    <cellStyle name="Normal 5 17 2 11 14" xfId="34691" xr:uid="{00000000-0005-0000-0000-000083870000}"/>
    <cellStyle name="Normal 5 17 2 11 2" xfId="34692" xr:uid="{00000000-0005-0000-0000-000084870000}"/>
    <cellStyle name="Normal 5 17 2 11 2 10" xfId="34693" xr:uid="{00000000-0005-0000-0000-000085870000}"/>
    <cellStyle name="Normal 5 17 2 11 2 2" xfId="34694" xr:uid="{00000000-0005-0000-0000-000086870000}"/>
    <cellStyle name="Normal 5 17 2 11 2 3" xfId="34695" xr:uid="{00000000-0005-0000-0000-000087870000}"/>
    <cellStyle name="Normal 5 17 2 11 2 4" xfId="34696" xr:uid="{00000000-0005-0000-0000-000088870000}"/>
    <cellStyle name="Normal 5 17 2 11 2 5" xfId="34697" xr:uid="{00000000-0005-0000-0000-000089870000}"/>
    <cellStyle name="Normal 5 17 2 11 2 6" xfId="34698" xr:uid="{00000000-0005-0000-0000-00008A870000}"/>
    <cellStyle name="Normal 5 17 2 11 2 7" xfId="34699" xr:uid="{00000000-0005-0000-0000-00008B870000}"/>
    <cellStyle name="Normal 5 17 2 11 2 8" xfId="34700" xr:uid="{00000000-0005-0000-0000-00008C870000}"/>
    <cellStyle name="Normal 5 17 2 11 2 9" xfId="34701" xr:uid="{00000000-0005-0000-0000-00008D870000}"/>
    <cellStyle name="Normal 5 17 2 11 3" xfId="34702" xr:uid="{00000000-0005-0000-0000-00008E870000}"/>
    <cellStyle name="Normal 5 17 2 11 3 10" xfId="34703" xr:uid="{00000000-0005-0000-0000-00008F870000}"/>
    <cellStyle name="Normal 5 17 2 11 3 2" xfId="34704" xr:uid="{00000000-0005-0000-0000-000090870000}"/>
    <cellStyle name="Normal 5 17 2 11 3 3" xfId="34705" xr:uid="{00000000-0005-0000-0000-000091870000}"/>
    <cellStyle name="Normal 5 17 2 11 3 4" xfId="34706" xr:uid="{00000000-0005-0000-0000-000092870000}"/>
    <cellStyle name="Normal 5 17 2 11 3 5" xfId="34707" xr:uid="{00000000-0005-0000-0000-000093870000}"/>
    <cellStyle name="Normal 5 17 2 11 3 6" xfId="34708" xr:uid="{00000000-0005-0000-0000-000094870000}"/>
    <cellStyle name="Normal 5 17 2 11 3 7" xfId="34709" xr:uid="{00000000-0005-0000-0000-000095870000}"/>
    <cellStyle name="Normal 5 17 2 11 3 8" xfId="34710" xr:uid="{00000000-0005-0000-0000-000096870000}"/>
    <cellStyle name="Normal 5 17 2 11 3 9" xfId="34711" xr:uid="{00000000-0005-0000-0000-000097870000}"/>
    <cellStyle name="Normal 5 17 2 11 4" xfId="34712" xr:uid="{00000000-0005-0000-0000-000098870000}"/>
    <cellStyle name="Normal 5 17 2 11 4 10" xfId="34713" xr:uid="{00000000-0005-0000-0000-000099870000}"/>
    <cellStyle name="Normal 5 17 2 11 4 2" xfId="34714" xr:uid="{00000000-0005-0000-0000-00009A870000}"/>
    <cellStyle name="Normal 5 17 2 11 4 3" xfId="34715" xr:uid="{00000000-0005-0000-0000-00009B870000}"/>
    <cellStyle name="Normal 5 17 2 11 4 4" xfId="34716" xr:uid="{00000000-0005-0000-0000-00009C870000}"/>
    <cellStyle name="Normal 5 17 2 11 4 5" xfId="34717" xr:uid="{00000000-0005-0000-0000-00009D870000}"/>
    <cellStyle name="Normal 5 17 2 11 4 6" xfId="34718" xr:uid="{00000000-0005-0000-0000-00009E870000}"/>
    <cellStyle name="Normal 5 17 2 11 4 7" xfId="34719" xr:uid="{00000000-0005-0000-0000-00009F870000}"/>
    <cellStyle name="Normal 5 17 2 11 4 8" xfId="34720" xr:uid="{00000000-0005-0000-0000-0000A0870000}"/>
    <cellStyle name="Normal 5 17 2 11 4 9" xfId="34721" xr:uid="{00000000-0005-0000-0000-0000A1870000}"/>
    <cellStyle name="Normal 5 17 2 11 5" xfId="34722" xr:uid="{00000000-0005-0000-0000-0000A2870000}"/>
    <cellStyle name="Normal 5 17 2 11 5 10" xfId="34723" xr:uid="{00000000-0005-0000-0000-0000A3870000}"/>
    <cellStyle name="Normal 5 17 2 11 5 2" xfId="34724" xr:uid="{00000000-0005-0000-0000-0000A4870000}"/>
    <cellStyle name="Normal 5 17 2 11 5 3" xfId="34725" xr:uid="{00000000-0005-0000-0000-0000A5870000}"/>
    <cellStyle name="Normal 5 17 2 11 5 4" xfId="34726" xr:uid="{00000000-0005-0000-0000-0000A6870000}"/>
    <cellStyle name="Normal 5 17 2 11 5 5" xfId="34727" xr:uid="{00000000-0005-0000-0000-0000A7870000}"/>
    <cellStyle name="Normal 5 17 2 11 5 6" xfId="34728" xr:uid="{00000000-0005-0000-0000-0000A8870000}"/>
    <cellStyle name="Normal 5 17 2 11 5 7" xfId="34729" xr:uid="{00000000-0005-0000-0000-0000A9870000}"/>
    <cellStyle name="Normal 5 17 2 11 5 8" xfId="34730" xr:uid="{00000000-0005-0000-0000-0000AA870000}"/>
    <cellStyle name="Normal 5 17 2 11 5 9" xfId="34731" xr:uid="{00000000-0005-0000-0000-0000AB870000}"/>
    <cellStyle name="Normal 5 17 2 11 6" xfId="34732" xr:uid="{00000000-0005-0000-0000-0000AC870000}"/>
    <cellStyle name="Normal 5 17 2 11 7" xfId="34733" xr:uid="{00000000-0005-0000-0000-0000AD870000}"/>
    <cellStyle name="Normal 5 17 2 11 8" xfId="34734" xr:uid="{00000000-0005-0000-0000-0000AE870000}"/>
    <cellStyle name="Normal 5 17 2 11 9" xfId="34735" xr:uid="{00000000-0005-0000-0000-0000AF870000}"/>
    <cellStyle name="Normal 5 17 2 12" xfId="34736" xr:uid="{00000000-0005-0000-0000-0000B0870000}"/>
    <cellStyle name="Normal 5 17 2 12 10" xfId="34737" xr:uid="{00000000-0005-0000-0000-0000B1870000}"/>
    <cellStyle name="Normal 5 17 2 12 11" xfId="34738" xr:uid="{00000000-0005-0000-0000-0000B2870000}"/>
    <cellStyle name="Normal 5 17 2 12 12" xfId="34739" xr:uid="{00000000-0005-0000-0000-0000B3870000}"/>
    <cellStyle name="Normal 5 17 2 12 13" xfId="34740" xr:uid="{00000000-0005-0000-0000-0000B4870000}"/>
    <cellStyle name="Normal 5 17 2 12 14" xfId="34741" xr:uid="{00000000-0005-0000-0000-0000B5870000}"/>
    <cellStyle name="Normal 5 17 2 12 2" xfId="34742" xr:uid="{00000000-0005-0000-0000-0000B6870000}"/>
    <cellStyle name="Normal 5 17 2 12 2 10" xfId="34743" xr:uid="{00000000-0005-0000-0000-0000B7870000}"/>
    <cellStyle name="Normal 5 17 2 12 2 2" xfId="34744" xr:uid="{00000000-0005-0000-0000-0000B8870000}"/>
    <cellStyle name="Normal 5 17 2 12 2 3" xfId="34745" xr:uid="{00000000-0005-0000-0000-0000B9870000}"/>
    <cellStyle name="Normal 5 17 2 12 2 4" xfId="34746" xr:uid="{00000000-0005-0000-0000-0000BA870000}"/>
    <cellStyle name="Normal 5 17 2 12 2 5" xfId="34747" xr:uid="{00000000-0005-0000-0000-0000BB870000}"/>
    <cellStyle name="Normal 5 17 2 12 2 6" xfId="34748" xr:uid="{00000000-0005-0000-0000-0000BC870000}"/>
    <cellStyle name="Normal 5 17 2 12 2 7" xfId="34749" xr:uid="{00000000-0005-0000-0000-0000BD870000}"/>
    <cellStyle name="Normal 5 17 2 12 2 8" xfId="34750" xr:uid="{00000000-0005-0000-0000-0000BE870000}"/>
    <cellStyle name="Normal 5 17 2 12 2 9" xfId="34751" xr:uid="{00000000-0005-0000-0000-0000BF870000}"/>
    <cellStyle name="Normal 5 17 2 12 3" xfId="34752" xr:uid="{00000000-0005-0000-0000-0000C0870000}"/>
    <cellStyle name="Normal 5 17 2 12 3 10" xfId="34753" xr:uid="{00000000-0005-0000-0000-0000C1870000}"/>
    <cellStyle name="Normal 5 17 2 12 3 2" xfId="34754" xr:uid="{00000000-0005-0000-0000-0000C2870000}"/>
    <cellStyle name="Normal 5 17 2 12 3 3" xfId="34755" xr:uid="{00000000-0005-0000-0000-0000C3870000}"/>
    <cellStyle name="Normal 5 17 2 12 3 4" xfId="34756" xr:uid="{00000000-0005-0000-0000-0000C4870000}"/>
    <cellStyle name="Normal 5 17 2 12 3 5" xfId="34757" xr:uid="{00000000-0005-0000-0000-0000C5870000}"/>
    <cellStyle name="Normal 5 17 2 12 3 6" xfId="34758" xr:uid="{00000000-0005-0000-0000-0000C6870000}"/>
    <cellStyle name="Normal 5 17 2 12 3 7" xfId="34759" xr:uid="{00000000-0005-0000-0000-0000C7870000}"/>
    <cellStyle name="Normal 5 17 2 12 3 8" xfId="34760" xr:uid="{00000000-0005-0000-0000-0000C8870000}"/>
    <cellStyle name="Normal 5 17 2 12 3 9" xfId="34761" xr:uid="{00000000-0005-0000-0000-0000C9870000}"/>
    <cellStyle name="Normal 5 17 2 12 4" xfId="34762" xr:uid="{00000000-0005-0000-0000-0000CA870000}"/>
    <cellStyle name="Normal 5 17 2 12 4 10" xfId="34763" xr:uid="{00000000-0005-0000-0000-0000CB870000}"/>
    <cellStyle name="Normal 5 17 2 12 4 2" xfId="34764" xr:uid="{00000000-0005-0000-0000-0000CC870000}"/>
    <cellStyle name="Normal 5 17 2 12 4 3" xfId="34765" xr:uid="{00000000-0005-0000-0000-0000CD870000}"/>
    <cellStyle name="Normal 5 17 2 12 4 4" xfId="34766" xr:uid="{00000000-0005-0000-0000-0000CE870000}"/>
    <cellStyle name="Normal 5 17 2 12 4 5" xfId="34767" xr:uid="{00000000-0005-0000-0000-0000CF870000}"/>
    <cellStyle name="Normal 5 17 2 12 4 6" xfId="34768" xr:uid="{00000000-0005-0000-0000-0000D0870000}"/>
    <cellStyle name="Normal 5 17 2 12 4 7" xfId="34769" xr:uid="{00000000-0005-0000-0000-0000D1870000}"/>
    <cellStyle name="Normal 5 17 2 12 4 8" xfId="34770" xr:uid="{00000000-0005-0000-0000-0000D2870000}"/>
    <cellStyle name="Normal 5 17 2 12 4 9" xfId="34771" xr:uid="{00000000-0005-0000-0000-0000D3870000}"/>
    <cellStyle name="Normal 5 17 2 12 5" xfId="34772" xr:uid="{00000000-0005-0000-0000-0000D4870000}"/>
    <cellStyle name="Normal 5 17 2 12 5 10" xfId="34773" xr:uid="{00000000-0005-0000-0000-0000D5870000}"/>
    <cellStyle name="Normal 5 17 2 12 5 2" xfId="34774" xr:uid="{00000000-0005-0000-0000-0000D6870000}"/>
    <cellStyle name="Normal 5 17 2 12 5 3" xfId="34775" xr:uid="{00000000-0005-0000-0000-0000D7870000}"/>
    <cellStyle name="Normal 5 17 2 12 5 4" xfId="34776" xr:uid="{00000000-0005-0000-0000-0000D8870000}"/>
    <cellStyle name="Normal 5 17 2 12 5 5" xfId="34777" xr:uid="{00000000-0005-0000-0000-0000D9870000}"/>
    <cellStyle name="Normal 5 17 2 12 5 6" xfId="34778" xr:uid="{00000000-0005-0000-0000-0000DA870000}"/>
    <cellStyle name="Normal 5 17 2 12 5 7" xfId="34779" xr:uid="{00000000-0005-0000-0000-0000DB870000}"/>
    <cellStyle name="Normal 5 17 2 12 5 8" xfId="34780" xr:uid="{00000000-0005-0000-0000-0000DC870000}"/>
    <cellStyle name="Normal 5 17 2 12 5 9" xfId="34781" xr:uid="{00000000-0005-0000-0000-0000DD870000}"/>
    <cellStyle name="Normal 5 17 2 12 6" xfId="34782" xr:uid="{00000000-0005-0000-0000-0000DE870000}"/>
    <cellStyle name="Normal 5 17 2 12 7" xfId="34783" xr:uid="{00000000-0005-0000-0000-0000DF870000}"/>
    <cellStyle name="Normal 5 17 2 12 8" xfId="34784" xr:uid="{00000000-0005-0000-0000-0000E0870000}"/>
    <cellStyle name="Normal 5 17 2 12 9" xfId="34785" xr:uid="{00000000-0005-0000-0000-0000E1870000}"/>
    <cellStyle name="Normal 5 17 2 13" xfId="34786" xr:uid="{00000000-0005-0000-0000-0000E2870000}"/>
    <cellStyle name="Normal 5 17 2 13 10" xfId="34787" xr:uid="{00000000-0005-0000-0000-0000E3870000}"/>
    <cellStyle name="Normal 5 17 2 13 11" xfId="34788" xr:uid="{00000000-0005-0000-0000-0000E4870000}"/>
    <cellStyle name="Normal 5 17 2 13 12" xfId="34789" xr:uid="{00000000-0005-0000-0000-0000E5870000}"/>
    <cellStyle name="Normal 5 17 2 13 13" xfId="34790" xr:uid="{00000000-0005-0000-0000-0000E6870000}"/>
    <cellStyle name="Normal 5 17 2 13 14" xfId="34791" xr:uid="{00000000-0005-0000-0000-0000E7870000}"/>
    <cellStyle name="Normal 5 17 2 13 2" xfId="34792" xr:uid="{00000000-0005-0000-0000-0000E8870000}"/>
    <cellStyle name="Normal 5 17 2 13 2 10" xfId="34793" xr:uid="{00000000-0005-0000-0000-0000E9870000}"/>
    <cellStyle name="Normal 5 17 2 13 2 2" xfId="34794" xr:uid="{00000000-0005-0000-0000-0000EA870000}"/>
    <cellStyle name="Normal 5 17 2 13 2 3" xfId="34795" xr:uid="{00000000-0005-0000-0000-0000EB870000}"/>
    <cellStyle name="Normal 5 17 2 13 2 4" xfId="34796" xr:uid="{00000000-0005-0000-0000-0000EC870000}"/>
    <cellStyle name="Normal 5 17 2 13 2 5" xfId="34797" xr:uid="{00000000-0005-0000-0000-0000ED870000}"/>
    <cellStyle name="Normal 5 17 2 13 2 6" xfId="34798" xr:uid="{00000000-0005-0000-0000-0000EE870000}"/>
    <cellStyle name="Normal 5 17 2 13 2 7" xfId="34799" xr:uid="{00000000-0005-0000-0000-0000EF870000}"/>
    <cellStyle name="Normal 5 17 2 13 2 8" xfId="34800" xr:uid="{00000000-0005-0000-0000-0000F0870000}"/>
    <cellStyle name="Normal 5 17 2 13 2 9" xfId="34801" xr:uid="{00000000-0005-0000-0000-0000F1870000}"/>
    <cellStyle name="Normal 5 17 2 13 3" xfId="34802" xr:uid="{00000000-0005-0000-0000-0000F2870000}"/>
    <cellStyle name="Normal 5 17 2 13 3 10" xfId="34803" xr:uid="{00000000-0005-0000-0000-0000F3870000}"/>
    <cellStyle name="Normal 5 17 2 13 3 2" xfId="34804" xr:uid="{00000000-0005-0000-0000-0000F4870000}"/>
    <cellStyle name="Normal 5 17 2 13 3 3" xfId="34805" xr:uid="{00000000-0005-0000-0000-0000F5870000}"/>
    <cellStyle name="Normal 5 17 2 13 3 4" xfId="34806" xr:uid="{00000000-0005-0000-0000-0000F6870000}"/>
    <cellStyle name="Normal 5 17 2 13 3 5" xfId="34807" xr:uid="{00000000-0005-0000-0000-0000F7870000}"/>
    <cellStyle name="Normal 5 17 2 13 3 6" xfId="34808" xr:uid="{00000000-0005-0000-0000-0000F8870000}"/>
    <cellStyle name="Normal 5 17 2 13 3 7" xfId="34809" xr:uid="{00000000-0005-0000-0000-0000F9870000}"/>
    <cellStyle name="Normal 5 17 2 13 3 8" xfId="34810" xr:uid="{00000000-0005-0000-0000-0000FA870000}"/>
    <cellStyle name="Normal 5 17 2 13 3 9" xfId="34811" xr:uid="{00000000-0005-0000-0000-0000FB870000}"/>
    <cellStyle name="Normal 5 17 2 13 4" xfId="34812" xr:uid="{00000000-0005-0000-0000-0000FC870000}"/>
    <cellStyle name="Normal 5 17 2 13 4 10" xfId="34813" xr:uid="{00000000-0005-0000-0000-0000FD870000}"/>
    <cellStyle name="Normal 5 17 2 13 4 2" xfId="34814" xr:uid="{00000000-0005-0000-0000-0000FE870000}"/>
    <cellStyle name="Normal 5 17 2 13 4 3" xfId="34815" xr:uid="{00000000-0005-0000-0000-0000FF870000}"/>
    <cellStyle name="Normal 5 17 2 13 4 4" xfId="34816" xr:uid="{00000000-0005-0000-0000-000000880000}"/>
    <cellStyle name="Normal 5 17 2 13 4 5" xfId="34817" xr:uid="{00000000-0005-0000-0000-000001880000}"/>
    <cellStyle name="Normal 5 17 2 13 4 6" xfId="34818" xr:uid="{00000000-0005-0000-0000-000002880000}"/>
    <cellStyle name="Normal 5 17 2 13 4 7" xfId="34819" xr:uid="{00000000-0005-0000-0000-000003880000}"/>
    <cellStyle name="Normal 5 17 2 13 4 8" xfId="34820" xr:uid="{00000000-0005-0000-0000-000004880000}"/>
    <cellStyle name="Normal 5 17 2 13 4 9" xfId="34821" xr:uid="{00000000-0005-0000-0000-000005880000}"/>
    <cellStyle name="Normal 5 17 2 13 5" xfId="34822" xr:uid="{00000000-0005-0000-0000-000006880000}"/>
    <cellStyle name="Normal 5 17 2 13 5 10" xfId="34823" xr:uid="{00000000-0005-0000-0000-000007880000}"/>
    <cellStyle name="Normal 5 17 2 13 5 2" xfId="34824" xr:uid="{00000000-0005-0000-0000-000008880000}"/>
    <cellStyle name="Normal 5 17 2 13 5 3" xfId="34825" xr:uid="{00000000-0005-0000-0000-000009880000}"/>
    <cellStyle name="Normal 5 17 2 13 5 4" xfId="34826" xr:uid="{00000000-0005-0000-0000-00000A880000}"/>
    <cellStyle name="Normal 5 17 2 13 5 5" xfId="34827" xr:uid="{00000000-0005-0000-0000-00000B880000}"/>
    <cellStyle name="Normal 5 17 2 13 5 6" xfId="34828" xr:uid="{00000000-0005-0000-0000-00000C880000}"/>
    <cellStyle name="Normal 5 17 2 13 5 7" xfId="34829" xr:uid="{00000000-0005-0000-0000-00000D880000}"/>
    <cellStyle name="Normal 5 17 2 13 5 8" xfId="34830" xr:uid="{00000000-0005-0000-0000-00000E880000}"/>
    <cellStyle name="Normal 5 17 2 13 5 9" xfId="34831" xr:uid="{00000000-0005-0000-0000-00000F880000}"/>
    <cellStyle name="Normal 5 17 2 13 6" xfId="34832" xr:uid="{00000000-0005-0000-0000-000010880000}"/>
    <cellStyle name="Normal 5 17 2 13 7" xfId="34833" xr:uid="{00000000-0005-0000-0000-000011880000}"/>
    <cellStyle name="Normal 5 17 2 13 8" xfId="34834" xr:uid="{00000000-0005-0000-0000-000012880000}"/>
    <cellStyle name="Normal 5 17 2 13 9" xfId="34835" xr:uid="{00000000-0005-0000-0000-000013880000}"/>
    <cellStyle name="Normal 5 17 2 14" xfId="34836" xr:uid="{00000000-0005-0000-0000-000014880000}"/>
    <cellStyle name="Normal 5 17 2 14 10" xfId="34837" xr:uid="{00000000-0005-0000-0000-000015880000}"/>
    <cellStyle name="Normal 5 17 2 14 11" xfId="34838" xr:uid="{00000000-0005-0000-0000-000016880000}"/>
    <cellStyle name="Normal 5 17 2 14 12" xfId="34839" xr:uid="{00000000-0005-0000-0000-000017880000}"/>
    <cellStyle name="Normal 5 17 2 14 13" xfId="34840" xr:uid="{00000000-0005-0000-0000-000018880000}"/>
    <cellStyle name="Normal 5 17 2 14 14" xfId="34841" xr:uid="{00000000-0005-0000-0000-000019880000}"/>
    <cellStyle name="Normal 5 17 2 14 2" xfId="34842" xr:uid="{00000000-0005-0000-0000-00001A880000}"/>
    <cellStyle name="Normal 5 17 2 14 2 10" xfId="34843" xr:uid="{00000000-0005-0000-0000-00001B880000}"/>
    <cellStyle name="Normal 5 17 2 14 2 2" xfId="34844" xr:uid="{00000000-0005-0000-0000-00001C880000}"/>
    <cellStyle name="Normal 5 17 2 14 2 3" xfId="34845" xr:uid="{00000000-0005-0000-0000-00001D880000}"/>
    <cellStyle name="Normal 5 17 2 14 2 4" xfId="34846" xr:uid="{00000000-0005-0000-0000-00001E880000}"/>
    <cellStyle name="Normal 5 17 2 14 2 5" xfId="34847" xr:uid="{00000000-0005-0000-0000-00001F880000}"/>
    <cellStyle name="Normal 5 17 2 14 2 6" xfId="34848" xr:uid="{00000000-0005-0000-0000-000020880000}"/>
    <cellStyle name="Normal 5 17 2 14 2 7" xfId="34849" xr:uid="{00000000-0005-0000-0000-000021880000}"/>
    <cellStyle name="Normal 5 17 2 14 2 8" xfId="34850" xr:uid="{00000000-0005-0000-0000-000022880000}"/>
    <cellStyle name="Normal 5 17 2 14 2 9" xfId="34851" xr:uid="{00000000-0005-0000-0000-000023880000}"/>
    <cellStyle name="Normal 5 17 2 14 3" xfId="34852" xr:uid="{00000000-0005-0000-0000-000024880000}"/>
    <cellStyle name="Normal 5 17 2 14 3 10" xfId="34853" xr:uid="{00000000-0005-0000-0000-000025880000}"/>
    <cellStyle name="Normal 5 17 2 14 3 2" xfId="34854" xr:uid="{00000000-0005-0000-0000-000026880000}"/>
    <cellStyle name="Normal 5 17 2 14 3 3" xfId="34855" xr:uid="{00000000-0005-0000-0000-000027880000}"/>
    <cellStyle name="Normal 5 17 2 14 3 4" xfId="34856" xr:uid="{00000000-0005-0000-0000-000028880000}"/>
    <cellStyle name="Normal 5 17 2 14 3 5" xfId="34857" xr:uid="{00000000-0005-0000-0000-000029880000}"/>
    <cellStyle name="Normal 5 17 2 14 3 6" xfId="34858" xr:uid="{00000000-0005-0000-0000-00002A880000}"/>
    <cellStyle name="Normal 5 17 2 14 3 7" xfId="34859" xr:uid="{00000000-0005-0000-0000-00002B880000}"/>
    <cellStyle name="Normal 5 17 2 14 3 8" xfId="34860" xr:uid="{00000000-0005-0000-0000-00002C880000}"/>
    <cellStyle name="Normal 5 17 2 14 3 9" xfId="34861" xr:uid="{00000000-0005-0000-0000-00002D880000}"/>
    <cellStyle name="Normal 5 17 2 14 4" xfId="34862" xr:uid="{00000000-0005-0000-0000-00002E880000}"/>
    <cellStyle name="Normal 5 17 2 14 4 10" xfId="34863" xr:uid="{00000000-0005-0000-0000-00002F880000}"/>
    <cellStyle name="Normal 5 17 2 14 4 2" xfId="34864" xr:uid="{00000000-0005-0000-0000-000030880000}"/>
    <cellStyle name="Normal 5 17 2 14 4 3" xfId="34865" xr:uid="{00000000-0005-0000-0000-000031880000}"/>
    <cellStyle name="Normal 5 17 2 14 4 4" xfId="34866" xr:uid="{00000000-0005-0000-0000-000032880000}"/>
    <cellStyle name="Normal 5 17 2 14 4 5" xfId="34867" xr:uid="{00000000-0005-0000-0000-000033880000}"/>
    <cellStyle name="Normal 5 17 2 14 4 6" xfId="34868" xr:uid="{00000000-0005-0000-0000-000034880000}"/>
    <cellStyle name="Normal 5 17 2 14 4 7" xfId="34869" xr:uid="{00000000-0005-0000-0000-000035880000}"/>
    <cellStyle name="Normal 5 17 2 14 4 8" xfId="34870" xr:uid="{00000000-0005-0000-0000-000036880000}"/>
    <cellStyle name="Normal 5 17 2 14 4 9" xfId="34871" xr:uid="{00000000-0005-0000-0000-000037880000}"/>
    <cellStyle name="Normal 5 17 2 14 5" xfId="34872" xr:uid="{00000000-0005-0000-0000-000038880000}"/>
    <cellStyle name="Normal 5 17 2 14 5 10" xfId="34873" xr:uid="{00000000-0005-0000-0000-000039880000}"/>
    <cellStyle name="Normal 5 17 2 14 5 2" xfId="34874" xr:uid="{00000000-0005-0000-0000-00003A880000}"/>
    <cellStyle name="Normal 5 17 2 14 5 3" xfId="34875" xr:uid="{00000000-0005-0000-0000-00003B880000}"/>
    <cellStyle name="Normal 5 17 2 14 5 4" xfId="34876" xr:uid="{00000000-0005-0000-0000-00003C880000}"/>
    <cellStyle name="Normal 5 17 2 14 5 5" xfId="34877" xr:uid="{00000000-0005-0000-0000-00003D880000}"/>
    <cellStyle name="Normal 5 17 2 14 5 6" xfId="34878" xr:uid="{00000000-0005-0000-0000-00003E880000}"/>
    <cellStyle name="Normal 5 17 2 14 5 7" xfId="34879" xr:uid="{00000000-0005-0000-0000-00003F880000}"/>
    <cellStyle name="Normal 5 17 2 14 5 8" xfId="34880" xr:uid="{00000000-0005-0000-0000-000040880000}"/>
    <cellStyle name="Normal 5 17 2 14 5 9" xfId="34881" xr:uid="{00000000-0005-0000-0000-000041880000}"/>
    <cellStyle name="Normal 5 17 2 14 6" xfId="34882" xr:uid="{00000000-0005-0000-0000-000042880000}"/>
    <cellStyle name="Normal 5 17 2 14 7" xfId="34883" xr:uid="{00000000-0005-0000-0000-000043880000}"/>
    <cellStyle name="Normal 5 17 2 14 8" xfId="34884" xr:uid="{00000000-0005-0000-0000-000044880000}"/>
    <cellStyle name="Normal 5 17 2 14 9" xfId="34885" xr:uid="{00000000-0005-0000-0000-000045880000}"/>
    <cellStyle name="Normal 5 17 2 15" xfId="34886" xr:uid="{00000000-0005-0000-0000-000046880000}"/>
    <cellStyle name="Normal 5 17 2 15 10" xfId="34887" xr:uid="{00000000-0005-0000-0000-000047880000}"/>
    <cellStyle name="Normal 5 17 2 15 11" xfId="34888" xr:uid="{00000000-0005-0000-0000-000048880000}"/>
    <cellStyle name="Normal 5 17 2 15 12" xfId="34889" xr:uid="{00000000-0005-0000-0000-000049880000}"/>
    <cellStyle name="Normal 5 17 2 15 13" xfId="34890" xr:uid="{00000000-0005-0000-0000-00004A880000}"/>
    <cellStyle name="Normal 5 17 2 15 14" xfId="34891" xr:uid="{00000000-0005-0000-0000-00004B880000}"/>
    <cellStyle name="Normal 5 17 2 15 2" xfId="34892" xr:uid="{00000000-0005-0000-0000-00004C880000}"/>
    <cellStyle name="Normal 5 17 2 15 2 10" xfId="34893" xr:uid="{00000000-0005-0000-0000-00004D880000}"/>
    <cellStyle name="Normal 5 17 2 15 2 2" xfId="34894" xr:uid="{00000000-0005-0000-0000-00004E880000}"/>
    <cellStyle name="Normal 5 17 2 15 2 3" xfId="34895" xr:uid="{00000000-0005-0000-0000-00004F880000}"/>
    <cellStyle name="Normal 5 17 2 15 2 4" xfId="34896" xr:uid="{00000000-0005-0000-0000-000050880000}"/>
    <cellStyle name="Normal 5 17 2 15 2 5" xfId="34897" xr:uid="{00000000-0005-0000-0000-000051880000}"/>
    <cellStyle name="Normal 5 17 2 15 2 6" xfId="34898" xr:uid="{00000000-0005-0000-0000-000052880000}"/>
    <cellStyle name="Normal 5 17 2 15 2 7" xfId="34899" xr:uid="{00000000-0005-0000-0000-000053880000}"/>
    <cellStyle name="Normal 5 17 2 15 2 8" xfId="34900" xr:uid="{00000000-0005-0000-0000-000054880000}"/>
    <cellStyle name="Normal 5 17 2 15 2 9" xfId="34901" xr:uid="{00000000-0005-0000-0000-000055880000}"/>
    <cellStyle name="Normal 5 17 2 15 3" xfId="34902" xr:uid="{00000000-0005-0000-0000-000056880000}"/>
    <cellStyle name="Normal 5 17 2 15 3 10" xfId="34903" xr:uid="{00000000-0005-0000-0000-000057880000}"/>
    <cellStyle name="Normal 5 17 2 15 3 2" xfId="34904" xr:uid="{00000000-0005-0000-0000-000058880000}"/>
    <cellStyle name="Normal 5 17 2 15 3 3" xfId="34905" xr:uid="{00000000-0005-0000-0000-000059880000}"/>
    <cellStyle name="Normal 5 17 2 15 3 4" xfId="34906" xr:uid="{00000000-0005-0000-0000-00005A880000}"/>
    <cellStyle name="Normal 5 17 2 15 3 5" xfId="34907" xr:uid="{00000000-0005-0000-0000-00005B880000}"/>
    <cellStyle name="Normal 5 17 2 15 3 6" xfId="34908" xr:uid="{00000000-0005-0000-0000-00005C880000}"/>
    <cellStyle name="Normal 5 17 2 15 3 7" xfId="34909" xr:uid="{00000000-0005-0000-0000-00005D880000}"/>
    <cellStyle name="Normal 5 17 2 15 3 8" xfId="34910" xr:uid="{00000000-0005-0000-0000-00005E880000}"/>
    <cellStyle name="Normal 5 17 2 15 3 9" xfId="34911" xr:uid="{00000000-0005-0000-0000-00005F880000}"/>
    <cellStyle name="Normal 5 17 2 15 4" xfId="34912" xr:uid="{00000000-0005-0000-0000-000060880000}"/>
    <cellStyle name="Normal 5 17 2 15 4 10" xfId="34913" xr:uid="{00000000-0005-0000-0000-000061880000}"/>
    <cellStyle name="Normal 5 17 2 15 4 2" xfId="34914" xr:uid="{00000000-0005-0000-0000-000062880000}"/>
    <cellStyle name="Normal 5 17 2 15 4 3" xfId="34915" xr:uid="{00000000-0005-0000-0000-000063880000}"/>
    <cellStyle name="Normal 5 17 2 15 4 4" xfId="34916" xr:uid="{00000000-0005-0000-0000-000064880000}"/>
    <cellStyle name="Normal 5 17 2 15 4 5" xfId="34917" xr:uid="{00000000-0005-0000-0000-000065880000}"/>
    <cellStyle name="Normal 5 17 2 15 4 6" xfId="34918" xr:uid="{00000000-0005-0000-0000-000066880000}"/>
    <cellStyle name="Normal 5 17 2 15 4 7" xfId="34919" xr:uid="{00000000-0005-0000-0000-000067880000}"/>
    <cellStyle name="Normal 5 17 2 15 4 8" xfId="34920" xr:uid="{00000000-0005-0000-0000-000068880000}"/>
    <cellStyle name="Normal 5 17 2 15 4 9" xfId="34921" xr:uid="{00000000-0005-0000-0000-000069880000}"/>
    <cellStyle name="Normal 5 17 2 15 5" xfId="34922" xr:uid="{00000000-0005-0000-0000-00006A880000}"/>
    <cellStyle name="Normal 5 17 2 15 5 10" xfId="34923" xr:uid="{00000000-0005-0000-0000-00006B880000}"/>
    <cellStyle name="Normal 5 17 2 15 5 2" xfId="34924" xr:uid="{00000000-0005-0000-0000-00006C880000}"/>
    <cellStyle name="Normal 5 17 2 15 5 3" xfId="34925" xr:uid="{00000000-0005-0000-0000-00006D880000}"/>
    <cellStyle name="Normal 5 17 2 15 5 4" xfId="34926" xr:uid="{00000000-0005-0000-0000-00006E880000}"/>
    <cellStyle name="Normal 5 17 2 15 5 5" xfId="34927" xr:uid="{00000000-0005-0000-0000-00006F880000}"/>
    <cellStyle name="Normal 5 17 2 15 5 6" xfId="34928" xr:uid="{00000000-0005-0000-0000-000070880000}"/>
    <cellStyle name="Normal 5 17 2 15 5 7" xfId="34929" xr:uid="{00000000-0005-0000-0000-000071880000}"/>
    <cellStyle name="Normal 5 17 2 15 5 8" xfId="34930" xr:uid="{00000000-0005-0000-0000-000072880000}"/>
    <cellStyle name="Normal 5 17 2 15 5 9" xfId="34931" xr:uid="{00000000-0005-0000-0000-000073880000}"/>
    <cellStyle name="Normal 5 17 2 15 6" xfId="34932" xr:uid="{00000000-0005-0000-0000-000074880000}"/>
    <cellStyle name="Normal 5 17 2 15 7" xfId="34933" xr:uid="{00000000-0005-0000-0000-000075880000}"/>
    <cellStyle name="Normal 5 17 2 15 8" xfId="34934" xr:uid="{00000000-0005-0000-0000-000076880000}"/>
    <cellStyle name="Normal 5 17 2 15 9" xfId="34935" xr:uid="{00000000-0005-0000-0000-000077880000}"/>
    <cellStyle name="Normal 5 17 2 16" xfId="34936" xr:uid="{00000000-0005-0000-0000-000078880000}"/>
    <cellStyle name="Normal 5 17 2 16 10" xfId="34937" xr:uid="{00000000-0005-0000-0000-000079880000}"/>
    <cellStyle name="Normal 5 17 2 16 11" xfId="34938" xr:uid="{00000000-0005-0000-0000-00007A880000}"/>
    <cellStyle name="Normal 5 17 2 16 12" xfId="34939" xr:uid="{00000000-0005-0000-0000-00007B880000}"/>
    <cellStyle name="Normal 5 17 2 16 13" xfId="34940" xr:uid="{00000000-0005-0000-0000-00007C880000}"/>
    <cellStyle name="Normal 5 17 2 16 14" xfId="34941" xr:uid="{00000000-0005-0000-0000-00007D880000}"/>
    <cellStyle name="Normal 5 17 2 16 2" xfId="34942" xr:uid="{00000000-0005-0000-0000-00007E880000}"/>
    <cellStyle name="Normal 5 17 2 16 2 10" xfId="34943" xr:uid="{00000000-0005-0000-0000-00007F880000}"/>
    <cellStyle name="Normal 5 17 2 16 2 2" xfId="34944" xr:uid="{00000000-0005-0000-0000-000080880000}"/>
    <cellStyle name="Normal 5 17 2 16 2 3" xfId="34945" xr:uid="{00000000-0005-0000-0000-000081880000}"/>
    <cellStyle name="Normal 5 17 2 16 2 4" xfId="34946" xr:uid="{00000000-0005-0000-0000-000082880000}"/>
    <cellStyle name="Normal 5 17 2 16 2 5" xfId="34947" xr:uid="{00000000-0005-0000-0000-000083880000}"/>
    <cellStyle name="Normal 5 17 2 16 2 6" xfId="34948" xr:uid="{00000000-0005-0000-0000-000084880000}"/>
    <cellStyle name="Normal 5 17 2 16 2 7" xfId="34949" xr:uid="{00000000-0005-0000-0000-000085880000}"/>
    <cellStyle name="Normal 5 17 2 16 2 8" xfId="34950" xr:uid="{00000000-0005-0000-0000-000086880000}"/>
    <cellStyle name="Normal 5 17 2 16 2 9" xfId="34951" xr:uid="{00000000-0005-0000-0000-000087880000}"/>
    <cellStyle name="Normal 5 17 2 16 3" xfId="34952" xr:uid="{00000000-0005-0000-0000-000088880000}"/>
    <cellStyle name="Normal 5 17 2 16 3 10" xfId="34953" xr:uid="{00000000-0005-0000-0000-000089880000}"/>
    <cellStyle name="Normal 5 17 2 16 3 2" xfId="34954" xr:uid="{00000000-0005-0000-0000-00008A880000}"/>
    <cellStyle name="Normal 5 17 2 16 3 3" xfId="34955" xr:uid="{00000000-0005-0000-0000-00008B880000}"/>
    <cellStyle name="Normal 5 17 2 16 3 4" xfId="34956" xr:uid="{00000000-0005-0000-0000-00008C880000}"/>
    <cellStyle name="Normal 5 17 2 16 3 5" xfId="34957" xr:uid="{00000000-0005-0000-0000-00008D880000}"/>
    <cellStyle name="Normal 5 17 2 16 3 6" xfId="34958" xr:uid="{00000000-0005-0000-0000-00008E880000}"/>
    <cellStyle name="Normal 5 17 2 16 3 7" xfId="34959" xr:uid="{00000000-0005-0000-0000-00008F880000}"/>
    <cellStyle name="Normal 5 17 2 16 3 8" xfId="34960" xr:uid="{00000000-0005-0000-0000-000090880000}"/>
    <cellStyle name="Normal 5 17 2 16 3 9" xfId="34961" xr:uid="{00000000-0005-0000-0000-000091880000}"/>
    <cellStyle name="Normal 5 17 2 16 4" xfId="34962" xr:uid="{00000000-0005-0000-0000-000092880000}"/>
    <cellStyle name="Normal 5 17 2 16 4 10" xfId="34963" xr:uid="{00000000-0005-0000-0000-000093880000}"/>
    <cellStyle name="Normal 5 17 2 16 4 2" xfId="34964" xr:uid="{00000000-0005-0000-0000-000094880000}"/>
    <cellStyle name="Normal 5 17 2 16 4 3" xfId="34965" xr:uid="{00000000-0005-0000-0000-000095880000}"/>
    <cellStyle name="Normal 5 17 2 16 4 4" xfId="34966" xr:uid="{00000000-0005-0000-0000-000096880000}"/>
    <cellStyle name="Normal 5 17 2 16 4 5" xfId="34967" xr:uid="{00000000-0005-0000-0000-000097880000}"/>
    <cellStyle name="Normal 5 17 2 16 4 6" xfId="34968" xr:uid="{00000000-0005-0000-0000-000098880000}"/>
    <cellStyle name="Normal 5 17 2 16 4 7" xfId="34969" xr:uid="{00000000-0005-0000-0000-000099880000}"/>
    <cellStyle name="Normal 5 17 2 16 4 8" xfId="34970" xr:uid="{00000000-0005-0000-0000-00009A880000}"/>
    <cellStyle name="Normal 5 17 2 16 4 9" xfId="34971" xr:uid="{00000000-0005-0000-0000-00009B880000}"/>
    <cellStyle name="Normal 5 17 2 16 5" xfId="34972" xr:uid="{00000000-0005-0000-0000-00009C880000}"/>
    <cellStyle name="Normal 5 17 2 16 5 10" xfId="34973" xr:uid="{00000000-0005-0000-0000-00009D880000}"/>
    <cellStyle name="Normal 5 17 2 16 5 2" xfId="34974" xr:uid="{00000000-0005-0000-0000-00009E880000}"/>
    <cellStyle name="Normal 5 17 2 16 5 3" xfId="34975" xr:uid="{00000000-0005-0000-0000-00009F880000}"/>
    <cellStyle name="Normal 5 17 2 16 5 4" xfId="34976" xr:uid="{00000000-0005-0000-0000-0000A0880000}"/>
    <cellStyle name="Normal 5 17 2 16 5 5" xfId="34977" xr:uid="{00000000-0005-0000-0000-0000A1880000}"/>
    <cellStyle name="Normal 5 17 2 16 5 6" xfId="34978" xr:uid="{00000000-0005-0000-0000-0000A2880000}"/>
    <cellStyle name="Normal 5 17 2 16 5 7" xfId="34979" xr:uid="{00000000-0005-0000-0000-0000A3880000}"/>
    <cellStyle name="Normal 5 17 2 16 5 8" xfId="34980" xr:uid="{00000000-0005-0000-0000-0000A4880000}"/>
    <cellStyle name="Normal 5 17 2 16 5 9" xfId="34981" xr:uid="{00000000-0005-0000-0000-0000A5880000}"/>
    <cellStyle name="Normal 5 17 2 16 6" xfId="34982" xr:uid="{00000000-0005-0000-0000-0000A6880000}"/>
    <cellStyle name="Normal 5 17 2 16 7" xfId="34983" xr:uid="{00000000-0005-0000-0000-0000A7880000}"/>
    <cellStyle name="Normal 5 17 2 16 8" xfId="34984" xr:uid="{00000000-0005-0000-0000-0000A8880000}"/>
    <cellStyle name="Normal 5 17 2 16 9" xfId="34985" xr:uid="{00000000-0005-0000-0000-0000A9880000}"/>
    <cellStyle name="Normal 5 17 2 17" xfId="34986" xr:uid="{00000000-0005-0000-0000-0000AA880000}"/>
    <cellStyle name="Normal 5 17 2 17 10" xfId="34987" xr:uid="{00000000-0005-0000-0000-0000AB880000}"/>
    <cellStyle name="Normal 5 17 2 17 11" xfId="34988" xr:uid="{00000000-0005-0000-0000-0000AC880000}"/>
    <cellStyle name="Normal 5 17 2 17 12" xfId="34989" xr:uid="{00000000-0005-0000-0000-0000AD880000}"/>
    <cellStyle name="Normal 5 17 2 17 13" xfId="34990" xr:uid="{00000000-0005-0000-0000-0000AE880000}"/>
    <cellStyle name="Normal 5 17 2 17 14" xfId="34991" xr:uid="{00000000-0005-0000-0000-0000AF880000}"/>
    <cellStyle name="Normal 5 17 2 17 2" xfId="34992" xr:uid="{00000000-0005-0000-0000-0000B0880000}"/>
    <cellStyle name="Normal 5 17 2 17 2 10" xfId="34993" xr:uid="{00000000-0005-0000-0000-0000B1880000}"/>
    <cellStyle name="Normal 5 17 2 17 2 2" xfId="34994" xr:uid="{00000000-0005-0000-0000-0000B2880000}"/>
    <cellStyle name="Normal 5 17 2 17 2 3" xfId="34995" xr:uid="{00000000-0005-0000-0000-0000B3880000}"/>
    <cellStyle name="Normal 5 17 2 17 2 4" xfId="34996" xr:uid="{00000000-0005-0000-0000-0000B4880000}"/>
    <cellStyle name="Normal 5 17 2 17 2 5" xfId="34997" xr:uid="{00000000-0005-0000-0000-0000B5880000}"/>
    <cellStyle name="Normal 5 17 2 17 2 6" xfId="34998" xr:uid="{00000000-0005-0000-0000-0000B6880000}"/>
    <cellStyle name="Normal 5 17 2 17 2 7" xfId="34999" xr:uid="{00000000-0005-0000-0000-0000B7880000}"/>
    <cellStyle name="Normal 5 17 2 17 2 8" xfId="35000" xr:uid="{00000000-0005-0000-0000-0000B8880000}"/>
    <cellStyle name="Normal 5 17 2 17 2 9" xfId="35001" xr:uid="{00000000-0005-0000-0000-0000B9880000}"/>
    <cellStyle name="Normal 5 17 2 17 3" xfId="35002" xr:uid="{00000000-0005-0000-0000-0000BA880000}"/>
    <cellStyle name="Normal 5 17 2 17 3 10" xfId="35003" xr:uid="{00000000-0005-0000-0000-0000BB880000}"/>
    <cellStyle name="Normal 5 17 2 17 3 2" xfId="35004" xr:uid="{00000000-0005-0000-0000-0000BC880000}"/>
    <cellStyle name="Normal 5 17 2 17 3 3" xfId="35005" xr:uid="{00000000-0005-0000-0000-0000BD880000}"/>
    <cellStyle name="Normal 5 17 2 17 3 4" xfId="35006" xr:uid="{00000000-0005-0000-0000-0000BE880000}"/>
    <cellStyle name="Normal 5 17 2 17 3 5" xfId="35007" xr:uid="{00000000-0005-0000-0000-0000BF880000}"/>
    <cellStyle name="Normal 5 17 2 17 3 6" xfId="35008" xr:uid="{00000000-0005-0000-0000-0000C0880000}"/>
    <cellStyle name="Normal 5 17 2 17 3 7" xfId="35009" xr:uid="{00000000-0005-0000-0000-0000C1880000}"/>
    <cellStyle name="Normal 5 17 2 17 3 8" xfId="35010" xr:uid="{00000000-0005-0000-0000-0000C2880000}"/>
    <cellStyle name="Normal 5 17 2 17 3 9" xfId="35011" xr:uid="{00000000-0005-0000-0000-0000C3880000}"/>
    <cellStyle name="Normal 5 17 2 17 4" xfId="35012" xr:uid="{00000000-0005-0000-0000-0000C4880000}"/>
    <cellStyle name="Normal 5 17 2 17 4 10" xfId="35013" xr:uid="{00000000-0005-0000-0000-0000C5880000}"/>
    <cellStyle name="Normal 5 17 2 17 4 2" xfId="35014" xr:uid="{00000000-0005-0000-0000-0000C6880000}"/>
    <cellStyle name="Normal 5 17 2 17 4 3" xfId="35015" xr:uid="{00000000-0005-0000-0000-0000C7880000}"/>
    <cellStyle name="Normal 5 17 2 17 4 4" xfId="35016" xr:uid="{00000000-0005-0000-0000-0000C8880000}"/>
    <cellStyle name="Normal 5 17 2 17 4 5" xfId="35017" xr:uid="{00000000-0005-0000-0000-0000C9880000}"/>
    <cellStyle name="Normal 5 17 2 17 4 6" xfId="35018" xr:uid="{00000000-0005-0000-0000-0000CA880000}"/>
    <cellStyle name="Normal 5 17 2 17 4 7" xfId="35019" xr:uid="{00000000-0005-0000-0000-0000CB880000}"/>
    <cellStyle name="Normal 5 17 2 17 4 8" xfId="35020" xr:uid="{00000000-0005-0000-0000-0000CC880000}"/>
    <cellStyle name="Normal 5 17 2 17 4 9" xfId="35021" xr:uid="{00000000-0005-0000-0000-0000CD880000}"/>
    <cellStyle name="Normal 5 17 2 17 5" xfId="35022" xr:uid="{00000000-0005-0000-0000-0000CE880000}"/>
    <cellStyle name="Normal 5 17 2 17 5 10" xfId="35023" xr:uid="{00000000-0005-0000-0000-0000CF880000}"/>
    <cellStyle name="Normal 5 17 2 17 5 2" xfId="35024" xr:uid="{00000000-0005-0000-0000-0000D0880000}"/>
    <cellStyle name="Normal 5 17 2 17 5 3" xfId="35025" xr:uid="{00000000-0005-0000-0000-0000D1880000}"/>
    <cellStyle name="Normal 5 17 2 17 5 4" xfId="35026" xr:uid="{00000000-0005-0000-0000-0000D2880000}"/>
    <cellStyle name="Normal 5 17 2 17 5 5" xfId="35027" xr:uid="{00000000-0005-0000-0000-0000D3880000}"/>
    <cellStyle name="Normal 5 17 2 17 5 6" xfId="35028" xr:uid="{00000000-0005-0000-0000-0000D4880000}"/>
    <cellStyle name="Normal 5 17 2 17 5 7" xfId="35029" xr:uid="{00000000-0005-0000-0000-0000D5880000}"/>
    <cellStyle name="Normal 5 17 2 17 5 8" xfId="35030" xr:uid="{00000000-0005-0000-0000-0000D6880000}"/>
    <cellStyle name="Normal 5 17 2 17 5 9" xfId="35031" xr:uid="{00000000-0005-0000-0000-0000D7880000}"/>
    <cellStyle name="Normal 5 17 2 17 6" xfId="35032" xr:uid="{00000000-0005-0000-0000-0000D8880000}"/>
    <cellStyle name="Normal 5 17 2 17 7" xfId="35033" xr:uid="{00000000-0005-0000-0000-0000D9880000}"/>
    <cellStyle name="Normal 5 17 2 17 8" xfId="35034" xr:uid="{00000000-0005-0000-0000-0000DA880000}"/>
    <cellStyle name="Normal 5 17 2 17 9" xfId="35035" xr:uid="{00000000-0005-0000-0000-0000DB880000}"/>
    <cellStyle name="Normal 5 17 2 18" xfId="35036" xr:uid="{00000000-0005-0000-0000-0000DC880000}"/>
    <cellStyle name="Normal 5 17 2 18 10" xfId="35037" xr:uid="{00000000-0005-0000-0000-0000DD880000}"/>
    <cellStyle name="Normal 5 17 2 18 11" xfId="35038" xr:uid="{00000000-0005-0000-0000-0000DE880000}"/>
    <cellStyle name="Normal 5 17 2 18 12" xfId="35039" xr:uid="{00000000-0005-0000-0000-0000DF880000}"/>
    <cellStyle name="Normal 5 17 2 18 13" xfId="35040" xr:uid="{00000000-0005-0000-0000-0000E0880000}"/>
    <cellStyle name="Normal 5 17 2 18 14" xfId="35041" xr:uid="{00000000-0005-0000-0000-0000E1880000}"/>
    <cellStyle name="Normal 5 17 2 18 2" xfId="35042" xr:uid="{00000000-0005-0000-0000-0000E2880000}"/>
    <cellStyle name="Normal 5 17 2 18 2 10" xfId="35043" xr:uid="{00000000-0005-0000-0000-0000E3880000}"/>
    <cellStyle name="Normal 5 17 2 18 2 2" xfId="35044" xr:uid="{00000000-0005-0000-0000-0000E4880000}"/>
    <cellStyle name="Normal 5 17 2 18 2 3" xfId="35045" xr:uid="{00000000-0005-0000-0000-0000E5880000}"/>
    <cellStyle name="Normal 5 17 2 18 2 4" xfId="35046" xr:uid="{00000000-0005-0000-0000-0000E6880000}"/>
    <cellStyle name="Normal 5 17 2 18 2 5" xfId="35047" xr:uid="{00000000-0005-0000-0000-0000E7880000}"/>
    <cellStyle name="Normal 5 17 2 18 2 6" xfId="35048" xr:uid="{00000000-0005-0000-0000-0000E8880000}"/>
    <cellStyle name="Normal 5 17 2 18 2 7" xfId="35049" xr:uid="{00000000-0005-0000-0000-0000E9880000}"/>
    <cellStyle name="Normal 5 17 2 18 2 8" xfId="35050" xr:uid="{00000000-0005-0000-0000-0000EA880000}"/>
    <cellStyle name="Normal 5 17 2 18 2 9" xfId="35051" xr:uid="{00000000-0005-0000-0000-0000EB880000}"/>
    <cellStyle name="Normal 5 17 2 18 3" xfId="35052" xr:uid="{00000000-0005-0000-0000-0000EC880000}"/>
    <cellStyle name="Normal 5 17 2 18 3 10" xfId="35053" xr:uid="{00000000-0005-0000-0000-0000ED880000}"/>
    <cellStyle name="Normal 5 17 2 18 3 2" xfId="35054" xr:uid="{00000000-0005-0000-0000-0000EE880000}"/>
    <cellStyle name="Normal 5 17 2 18 3 3" xfId="35055" xr:uid="{00000000-0005-0000-0000-0000EF880000}"/>
    <cellStyle name="Normal 5 17 2 18 3 4" xfId="35056" xr:uid="{00000000-0005-0000-0000-0000F0880000}"/>
    <cellStyle name="Normal 5 17 2 18 3 5" xfId="35057" xr:uid="{00000000-0005-0000-0000-0000F1880000}"/>
    <cellStyle name="Normal 5 17 2 18 3 6" xfId="35058" xr:uid="{00000000-0005-0000-0000-0000F2880000}"/>
    <cellStyle name="Normal 5 17 2 18 3 7" xfId="35059" xr:uid="{00000000-0005-0000-0000-0000F3880000}"/>
    <cellStyle name="Normal 5 17 2 18 3 8" xfId="35060" xr:uid="{00000000-0005-0000-0000-0000F4880000}"/>
    <cellStyle name="Normal 5 17 2 18 3 9" xfId="35061" xr:uid="{00000000-0005-0000-0000-0000F5880000}"/>
    <cellStyle name="Normal 5 17 2 18 4" xfId="35062" xr:uid="{00000000-0005-0000-0000-0000F6880000}"/>
    <cellStyle name="Normal 5 17 2 18 4 10" xfId="35063" xr:uid="{00000000-0005-0000-0000-0000F7880000}"/>
    <cellStyle name="Normal 5 17 2 18 4 2" xfId="35064" xr:uid="{00000000-0005-0000-0000-0000F8880000}"/>
    <cellStyle name="Normal 5 17 2 18 4 3" xfId="35065" xr:uid="{00000000-0005-0000-0000-0000F9880000}"/>
    <cellStyle name="Normal 5 17 2 18 4 4" xfId="35066" xr:uid="{00000000-0005-0000-0000-0000FA880000}"/>
    <cellStyle name="Normal 5 17 2 18 4 5" xfId="35067" xr:uid="{00000000-0005-0000-0000-0000FB880000}"/>
    <cellStyle name="Normal 5 17 2 18 4 6" xfId="35068" xr:uid="{00000000-0005-0000-0000-0000FC880000}"/>
    <cellStyle name="Normal 5 17 2 18 4 7" xfId="35069" xr:uid="{00000000-0005-0000-0000-0000FD880000}"/>
    <cellStyle name="Normal 5 17 2 18 4 8" xfId="35070" xr:uid="{00000000-0005-0000-0000-0000FE880000}"/>
    <cellStyle name="Normal 5 17 2 18 4 9" xfId="35071" xr:uid="{00000000-0005-0000-0000-0000FF880000}"/>
    <cellStyle name="Normal 5 17 2 18 5" xfId="35072" xr:uid="{00000000-0005-0000-0000-000000890000}"/>
    <cellStyle name="Normal 5 17 2 18 5 10" xfId="35073" xr:uid="{00000000-0005-0000-0000-000001890000}"/>
    <cellStyle name="Normal 5 17 2 18 5 2" xfId="35074" xr:uid="{00000000-0005-0000-0000-000002890000}"/>
    <cellStyle name="Normal 5 17 2 18 5 3" xfId="35075" xr:uid="{00000000-0005-0000-0000-000003890000}"/>
    <cellStyle name="Normal 5 17 2 18 5 4" xfId="35076" xr:uid="{00000000-0005-0000-0000-000004890000}"/>
    <cellStyle name="Normal 5 17 2 18 5 5" xfId="35077" xr:uid="{00000000-0005-0000-0000-000005890000}"/>
    <cellStyle name="Normal 5 17 2 18 5 6" xfId="35078" xr:uid="{00000000-0005-0000-0000-000006890000}"/>
    <cellStyle name="Normal 5 17 2 18 5 7" xfId="35079" xr:uid="{00000000-0005-0000-0000-000007890000}"/>
    <cellStyle name="Normal 5 17 2 18 5 8" xfId="35080" xr:uid="{00000000-0005-0000-0000-000008890000}"/>
    <cellStyle name="Normal 5 17 2 18 5 9" xfId="35081" xr:uid="{00000000-0005-0000-0000-000009890000}"/>
    <cellStyle name="Normal 5 17 2 18 6" xfId="35082" xr:uid="{00000000-0005-0000-0000-00000A890000}"/>
    <cellStyle name="Normal 5 17 2 18 7" xfId="35083" xr:uid="{00000000-0005-0000-0000-00000B890000}"/>
    <cellStyle name="Normal 5 17 2 18 8" xfId="35084" xr:uid="{00000000-0005-0000-0000-00000C890000}"/>
    <cellStyle name="Normal 5 17 2 18 9" xfId="35085" xr:uid="{00000000-0005-0000-0000-00000D890000}"/>
    <cellStyle name="Normal 5 17 2 19" xfId="35086" xr:uid="{00000000-0005-0000-0000-00000E890000}"/>
    <cellStyle name="Normal 5 17 2 19 10" xfId="35087" xr:uid="{00000000-0005-0000-0000-00000F890000}"/>
    <cellStyle name="Normal 5 17 2 19 11" xfId="35088" xr:uid="{00000000-0005-0000-0000-000010890000}"/>
    <cellStyle name="Normal 5 17 2 19 12" xfId="35089" xr:uid="{00000000-0005-0000-0000-000011890000}"/>
    <cellStyle name="Normal 5 17 2 19 13" xfId="35090" xr:uid="{00000000-0005-0000-0000-000012890000}"/>
    <cellStyle name="Normal 5 17 2 19 14" xfId="35091" xr:uid="{00000000-0005-0000-0000-000013890000}"/>
    <cellStyle name="Normal 5 17 2 19 2" xfId="35092" xr:uid="{00000000-0005-0000-0000-000014890000}"/>
    <cellStyle name="Normal 5 17 2 19 2 10" xfId="35093" xr:uid="{00000000-0005-0000-0000-000015890000}"/>
    <cellStyle name="Normal 5 17 2 19 2 2" xfId="35094" xr:uid="{00000000-0005-0000-0000-000016890000}"/>
    <cellStyle name="Normal 5 17 2 19 2 3" xfId="35095" xr:uid="{00000000-0005-0000-0000-000017890000}"/>
    <cellStyle name="Normal 5 17 2 19 2 4" xfId="35096" xr:uid="{00000000-0005-0000-0000-000018890000}"/>
    <cellStyle name="Normal 5 17 2 19 2 5" xfId="35097" xr:uid="{00000000-0005-0000-0000-000019890000}"/>
    <cellStyle name="Normal 5 17 2 19 2 6" xfId="35098" xr:uid="{00000000-0005-0000-0000-00001A890000}"/>
    <cellStyle name="Normal 5 17 2 19 2 7" xfId="35099" xr:uid="{00000000-0005-0000-0000-00001B890000}"/>
    <cellStyle name="Normal 5 17 2 19 2 8" xfId="35100" xr:uid="{00000000-0005-0000-0000-00001C890000}"/>
    <cellStyle name="Normal 5 17 2 19 2 9" xfId="35101" xr:uid="{00000000-0005-0000-0000-00001D890000}"/>
    <cellStyle name="Normal 5 17 2 19 3" xfId="35102" xr:uid="{00000000-0005-0000-0000-00001E890000}"/>
    <cellStyle name="Normal 5 17 2 19 3 10" xfId="35103" xr:uid="{00000000-0005-0000-0000-00001F890000}"/>
    <cellStyle name="Normal 5 17 2 19 3 2" xfId="35104" xr:uid="{00000000-0005-0000-0000-000020890000}"/>
    <cellStyle name="Normal 5 17 2 19 3 3" xfId="35105" xr:uid="{00000000-0005-0000-0000-000021890000}"/>
    <cellStyle name="Normal 5 17 2 19 3 4" xfId="35106" xr:uid="{00000000-0005-0000-0000-000022890000}"/>
    <cellStyle name="Normal 5 17 2 19 3 5" xfId="35107" xr:uid="{00000000-0005-0000-0000-000023890000}"/>
    <cellStyle name="Normal 5 17 2 19 3 6" xfId="35108" xr:uid="{00000000-0005-0000-0000-000024890000}"/>
    <cellStyle name="Normal 5 17 2 19 3 7" xfId="35109" xr:uid="{00000000-0005-0000-0000-000025890000}"/>
    <cellStyle name="Normal 5 17 2 19 3 8" xfId="35110" xr:uid="{00000000-0005-0000-0000-000026890000}"/>
    <cellStyle name="Normal 5 17 2 19 3 9" xfId="35111" xr:uid="{00000000-0005-0000-0000-000027890000}"/>
    <cellStyle name="Normal 5 17 2 19 4" xfId="35112" xr:uid="{00000000-0005-0000-0000-000028890000}"/>
    <cellStyle name="Normal 5 17 2 19 4 10" xfId="35113" xr:uid="{00000000-0005-0000-0000-000029890000}"/>
    <cellStyle name="Normal 5 17 2 19 4 2" xfId="35114" xr:uid="{00000000-0005-0000-0000-00002A890000}"/>
    <cellStyle name="Normal 5 17 2 19 4 3" xfId="35115" xr:uid="{00000000-0005-0000-0000-00002B890000}"/>
    <cellStyle name="Normal 5 17 2 19 4 4" xfId="35116" xr:uid="{00000000-0005-0000-0000-00002C890000}"/>
    <cellStyle name="Normal 5 17 2 19 4 5" xfId="35117" xr:uid="{00000000-0005-0000-0000-00002D890000}"/>
    <cellStyle name="Normal 5 17 2 19 4 6" xfId="35118" xr:uid="{00000000-0005-0000-0000-00002E890000}"/>
    <cellStyle name="Normal 5 17 2 19 4 7" xfId="35119" xr:uid="{00000000-0005-0000-0000-00002F890000}"/>
    <cellStyle name="Normal 5 17 2 19 4 8" xfId="35120" xr:uid="{00000000-0005-0000-0000-000030890000}"/>
    <cellStyle name="Normal 5 17 2 19 4 9" xfId="35121" xr:uid="{00000000-0005-0000-0000-000031890000}"/>
    <cellStyle name="Normal 5 17 2 19 5" xfId="35122" xr:uid="{00000000-0005-0000-0000-000032890000}"/>
    <cellStyle name="Normal 5 17 2 19 5 10" xfId="35123" xr:uid="{00000000-0005-0000-0000-000033890000}"/>
    <cellStyle name="Normal 5 17 2 19 5 2" xfId="35124" xr:uid="{00000000-0005-0000-0000-000034890000}"/>
    <cellStyle name="Normal 5 17 2 19 5 3" xfId="35125" xr:uid="{00000000-0005-0000-0000-000035890000}"/>
    <cellStyle name="Normal 5 17 2 19 5 4" xfId="35126" xr:uid="{00000000-0005-0000-0000-000036890000}"/>
    <cellStyle name="Normal 5 17 2 19 5 5" xfId="35127" xr:uid="{00000000-0005-0000-0000-000037890000}"/>
    <cellStyle name="Normal 5 17 2 19 5 6" xfId="35128" xr:uid="{00000000-0005-0000-0000-000038890000}"/>
    <cellStyle name="Normal 5 17 2 19 5 7" xfId="35129" xr:uid="{00000000-0005-0000-0000-000039890000}"/>
    <cellStyle name="Normal 5 17 2 19 5 8" xfId="35130" xr:uid="{00000000-0005-0000-0000-00003A890000}"/>
    <cellStyle name="Normal 5 17 2 19 5 9" xfId="35131" xr:uid="{00000000-0005-0000-0000-00003B890000}"/>
    <cellStyle name="Normal 5 17 2 19 6" xfId="35132" xr:uid="{00000000-0005-0000-0000-00003C890000}"/>
    <cellStyle name="Normal 5 17 2 19 7" xfId="35133" xr:uid="{00000000-0005-0000-0000-00003D890000}"/>
    <cellStyle name="Normal 5 17 2 19 8" xfId="35134" xr:uid="{00000000-0005-0000-0000-00003E890000}"/>
    <cellStyle name="Normal 5 17 2 19 9" xfId="35135" xr:uid="{00000000-0005-0000-0000-00003F890000}"/>
    <cellStyle name="Normal 5 17 2 2" xfId="35136" xr:uid="{00000000-0005-0000-0000-000040890000}"/>
    <cellStyle name="Normal 5 17 2 2 10" xfId="35137" xr:uid="{00000000-0005-0000-0000-000041890000}"/>
    <cellStyle name="Normal 5 17 2 2 11" xfId="35138" xr:uid="{00000000-0005-0000-0000-000042890000}"/>
    <cellStyle name="Normal 5 17 2 2 12" xfId="35139" xr:uid="{00000000-0005-0000-0000-000043890000}"/>
    <cellStyle name="Normal 5 17 2 2 13" xfId="35140" xr:uid="{00000000-0005-0000-0000-000044890000}"/>
    <cellStyle name="Normal 5 17 2 2 14" xfId="35141" xr:uid="{00000000-0005-0000-0000-000045890000}"/>
    <cellStyle name="Normal 5 17 2 2 15" xfId="35142" xr:uid="{00000000-0005-0000-0000-000046890000}"/>
    <cellStyle name="Normal 5 17 2 2 16" xfId="35143" xr:uid="{00000000-0005-0000-0000-000047890000}"/>
    <cellStyle name="Normal 5 17 2 2 2" xfId="35144" xr:uid="{00000000-0005-0000-0000-000048890000}"/>
    <cellStyle name="Normal 5 17 2 2 2 10" xfId="35145" xr:uid="{00000000-0005-0000-0000-000049890000}"/>
    <cellStyle name="Normal 5 17 2 2 2 2" xfId="35146" xr:uid="{00000000-0005-0000-0000-00004A890000}"/>
    <cellStyle name="Normal 5 17 2 2 2 3" xfId="35147" xr:uid="{00000000-0005-0000-0000-00004B890000}"/>
    <cellStyle name="Normal 5 17 2 2 2 4" xfId="35148" xr:uid="{00000000-0005-0000-0000-00004C890000}"/>
    <cellStyle name="Normal 5 17 2 2 2 5" xfId="35149" xr:uid="{00000000-0005-0000-0000-00004D890000}"/>
    <cellStyle name="Normal 5 17 2 2 2 6" xfId="35150" xr:uid="{00000000-0005-0000-0000-00004E890000}"/>
    <cellStyle name="Normal 5 17 2 2 2 7" xfId="35151" xr:uid="{00000000-0005-0000-0000-00004F890000}"/>
    <cellStyle name="Normal 5 17 2 2 2 8" xfId="35152" xr:uid="{00000000-0005-0000-0000-000050890000}"/>
    <cellStyle name="Normal 5 17 2 2 2 9" xfId="35153" xr:uid="{00000000-0005-0000-0000-000051890000}"/>
    <cellStyle name="Normal 5 17 2 2 3" xfId="35154" xr:uid="{00000000-0005-0000-0000-000052890000}"/>
    <cellStyle name="Normal 5 17 2 2 3 10" xfId="35155" xr:uid="{00000000-0005-0000-0000-000053890000}"/>
    <cellStyle name="Normal 5 17 2 2 3 2" xfId="35156" xr:uid="{00000000-0005-0000-0000-000054890000}"/>
    <cellStyle name="Normal 5 17 2 2 3 3" xfId="35157" xr:uid="{00000000-0005-0000-0000-000055890000}"/>
    <cellStyle name="Normal 5 17 2 2 3 4" xfId="35158" xr:uid="{00000000-0005-0000-0000-000056890000}"/>
    <cellStyle name="Normal 5 17 2 2 3 5" xfId="35159" xr:uid="{00000000-0005-0000-0000-000057890000}"/>
    <cellStyle name="Normal 5 17 2 2 3 6" xfId="35160" xr:uid="{00000000-0005-0000-0000-000058890000}"/>
    <cellStyle name="Normal 5 17 2 2 3 7" xfId="35161" xr:uid="{00000000-0005-0000-0000-000059890000}"/>
    <cellStyle name="Normal 5 17 2 2 3 8" xfId="35162" xr:uid="{00000000-0005-0000-0000-00005A890000}"/>
    <cellStyle name="Normal 5 17 2 2 3 9" xfId="35163" xr:uid="{00000000-0005-0000-0000-00005B890000}"/>
    <cellStyle name="Normal 5 17 2 2 4" xfId="35164" xr:uid="{00000000-0005-0000-0000-00005C890000}"/>
    <cellStyle name="Normal 5 17 2 2 4 10" xfId="35165" xr:uid="{00000000-0005-0000-0000-00005D890000}"/>
    <cellStyle name="Normal 5 17 2 2 4 2" xfId="35166" xr:uid="{00000000-0005-0000-0000-00005E890000}"/>
    <cellStyle name="Normal 5 17 2 2 4 3" xfId="35167" xr:uid="{00000000-0005-0000-0000-00005F890000}"/>
    <cellStyle name="Normal 5 17 2 2 4 4" xfId="35168" xr:uid="{00000000-0005-0000-0000-000060890000}"/>
    <cellStyle name="Normal 5 17 2 2 4 5" xfId="35169" xr:uid="{00000000-0005-0000-0000-000061890000}"/>
    <cellStyle name="Normal 5 17 2 2 4 6" xfId="35170" xr:uid="{00000000-0005-0000-0000-000062890000}"/>
    <cellStyle name="Normal 5 17 2 2 4 7" xfId="35171" xr:uid="{00000000-0005-0000-0000-000063890000}"/>
    <cellStyle name="Normal 5 17 2 2 4 8" xfId="35172" xr:uid="{00000000-0005-0000-0000-000064890000}"/>
    <cellStyle name="Normal 5 17 2 2 4 9" xfId="35173" xr:uid="{00000000-0005-0000-0000-000065890000}"/>
    <cellStyle name="Normal 5 17 2 2 5" xfId="35174" xr:uid="{00000000-0005-0000-0000-000066890000}"/>
    <cellStyle name="Normal 5 17 2 2 5 10" xfId="35175" xr:uid="{00000000-0005-0000-0000-000067890000}"/>
    <cellStyle name="Normal 5 17 2 2 5 2" xfId="35176" xr:uid="{00000000-0005-0000-0000-000068890000}"/>
    <cellStyle name="Normal 5 17 2 2 5 3" xfId="35177" xr:uid="{00000000-0005-0000-0000-000069890000}"/>
    <cellStyle name="Normal 5 17 2 2 5 4" xfId="35178" xr:uid="{00000000-0005-0000-0000-00006A890000}"/>
    <cellStyle name="Normal 5 17 2 2 5 5" xfId="35179" xr:uid="{00000000-0005-0000-0000-00006B890000}"/>
    <cellStyle name="Normal 5 17 2 2 5 6" xfId="35180" xr:uid="{00000000-0005-0000-0000-00006C890000}"/>
    <cellStyle name="Normal 5 17 2 2 5 7" xfId="35181" xr:uid="{00000000-0005-0000-0000-00006D890000}"/>
    <cellStyle name="Normal 5 17 2 2 5 8" xfId="35182" xr:uid="{00000000-0005-0000-0000-00006E890000}"/>
    <cellStyle name="Normal 5 17 2 2 5 9" xfId="35183" xr:uid="{00000000-0005-0000-0000-00006F890000}"/>
    <cellStyle name="Normal 5 17 2 2 6" xfId="35184" xr:uid="{00000000-0005-0000-0000-000070890000}"/>
    <cellStyle name="Normal 5 17 2 2 7" xfId="35185" xr:uid="{00000000-0005-0000-0000-000071890000}"/>
    <cellStyle name="Normal 5 17 2 2 8" xfId="35186" xr:uid="{00000000-0005-0000-0000-000072890000}"/>
    <cellStyle name="Normal 5 17 2 2 9" xfId="35187" xr:uid="{00000000-0005-0000-0000-000073890000}"/>
    <cellStyle name="Normal 5 17 2 20" xfId="35188" xr:uid="{00000000-0005-0000-0000-000074890000}"/>
    <cellStyle name="Normal 5 17 2 20 10" xfId="35189" xr:uid="{00000000-0005-0000-0000-000075890000}"/>
    <cellStyle name="Normal 5 17 2 20 11" xfId="35190" xr:uid="{00000000-0005-0000-0000-000076890000}"/>
    <cellStyle name="Normal 5 17 2 20 12" xfId="35191" xr:uid="{00000000-0005-0000-0000-000077890000}"/>
    <cellStyle name="Normal 5 17 2 20 13" xfId="35192" xr:uid="{00000000-0005-0000-0000-000078890000}"/>
    <cellStyle name="Normal 5 17 2 20 14" xfId="35193" xr:uid="{00000000-0005-0000-0000-000079890000}"/>
    <cellStyle name="Normal 5 17 2 20 2" xfId="35194" xr:uid="{00000000-0005-0000-0000-00007A890000}"/>
    <cellStyle name="Normal 5 17 2 20 2 10" xfId="35195" xr:uid="{00000000-0005-0000-0000-00007B890000}"/>
    <cellStyle name="Normal 5 17 2 20 2 2" xfId="35196" xr:uid="{00000000-0005-0000-0000-00007C890000}"/>
    <cellStyle name="Normal 5 17 2 20 2 3" xfId="35197" xr:uid="{00000000-0005-0000-0000-00007D890000}"/>
    <cellStyle name="Normal 5 17 2 20 2 4" xfId="35198" xr:uid="{00000000-0005-0000-0000-00007E890000}"/>
    <cellStyle name="Normal 5 17 2 20 2 5" xfId="35199" xr:uid="{00000000-0005-0000-0000-00007F890000}"/>
    <cellStyle name="Normal 5 17 2 20 2 6" xfId="35200" xr:uid="{00000000-0005-0000-0000-000080890000}"/>
    <cellStyle name="Normal 5 17 2 20 2 7" xfId="35201" xr:uid="{00000000-0005-0000-0000-000081890000}"/>
    <cellStyle name="Normal 5 17 2 20 2 8" xfId="35202" xr:uid="{00000000-0005-0000-0000-000082890000}"/>
    <cellStyle name="Normal 5 17 2 20 2 9" xfId="35203" xr:uid="{00000000-0005-0000-0000-000083890000}"/>
    <cellStyle name="Normal 5 17 2 20 3" xfId="35204" xr:uid="{00000000-0005-0000-0000-000084890000}"/>
    <cellStyle name="Normal 5 17 2 20 3 10" xfId="35205" xr:uid="{00000000-0005-0000-0000-000085890000}"/>
    <cellStyle name="Normal 5 17 2 20 3 2" xfId="35206" xr:uid="{00000000-0005-0000-0000-000086890000}"/>
    <cellStyle name="Normal 5 17 2 20 3 3" xfId="35207" xr:uid="{00000000-0005-0000-0000-000087890000}"/>
    <cellStyle name="Normal 5 17 2 20 3 4" xfId="35208" xr:uid="{00000000-0005-0000-0000-000088890000}"/>
    <cellStyle name="Normal 5 17 2 20 3 5" xfId="35209" xr:uid="{00000000-0005-0000-0000-000089890000}"/>
    <cellStyle name="Normal 5 17 2 20 3 6" xfId="35210" xr:uid="{00000000-0005-0000-0000-00008A890000}"/>
    <cellStyle name="Normal 5 17 2 20 3 7" xfId="35211" xr:uid="{00000000-0005-0000-0000-00008B890000}"/>
    <cellStyle name="Normal 5 17 2 20 3 8" xfId="35212" xr:uid="{00000000-0005-0000-0000-00008C890000}"/>
    <cellStyle name="Normal 5 17 2 20 3 9" xfId="35213" xr:uid="{00000000-0005-0000-0000-00008D890000}"/>
    <cellStyle name="Normal 5 17 2 20 4" xfId="35214" xr:uid="{00000000-0005-0000-0000-00008E890000}"/>
    <cellStyle name="Normal 5 17 2 20 4 10" xfId="35215" xr:uid="{00000000-0005-0000-0000-00008F890000}"/>
    <cellStyle name="Normal 5 17 2 20 4 2" xfId="35216" xr:uid="{00000000-0005-0000-0000-000090890000}"/>
    <cellStyle name="Normal 5 17 2 20 4 3" xfId="35217" xr:uid="{00000000-0005-0000-0000-000091890000}"/>
    <cellStyle name="Normal 5 17 2 20 4 4" xfId="35218" xr:uid="{00000000-0005-0000-0000-000092890000}"/>
    <cellStyle name="Normal 5 17 2 20 4 5" xfId="35219" xr:uid="{00000000-0005-0000-0000-000093890000}"/>
    <cellStyle name="Normal 5 17 2 20 4 6" xfId="35220" xr:uid="{00000000-0005-0000-0000-000094890000}"/>
    <cellStyle name="Normal 5 17 2 20 4 7" xfId="35221" xr:uid="{00000000-0005-0000-0000-000095890000}"/>
    <cellStyle name="Normal 5 17 2 20 4 8" xfId="35222" xr:uid="{00000000-0005-0000-0000-000096890000}"/>
    <cellStyle name="Normal 5 17 2 20 4 9" xfId="35223" xr:uid="{00000000-0005-0000-0000-000097890000}"/>
    <cellStyle name="Normal 5 17 2 20 5" xfId="35224" xr:uid="{00000000-0005-0000-0000-000098890000}"/>
    <cellStyle name="Normal 5 17 2 20 5 10" xfId="35225" xr:uid="{00000000-0005-0000-0000-000099890000}"/>
    <cellStyle name="Normal 5 17 2 20 5 2" xfId="35226" xr:uid="{00000000-0005-0000-0000-00009A890000}"/>
    <cellStyle name="Normal 5 17 2 20 5 3" xfId="35227" xr:uid="{00000000-0005-0000-0000-00009B890000}"/>
    <cellStyle name="Normal 5 17 2 20 5 4" xfId="35228" xr:uid="{00000000-0005-0000-0000-00009C890000}"/>
    <cellStyle name="Normal 5 17 2 20 5 5" xfId="35229" xr:uid="{00000000-0005-0000-0000-00009D890000}"/>
    <cellStyle name="Normal 5 17 2 20 5 6" xfId="35230" xr:uid="{00000000-0005-0000-0000-00009E890000}"/>
    <cellStyle name="Normal 5 17 2 20 5 7" xfId="35231" xr:uid="{00000000-0005-0000-0000-00009F890000}"/>
    <cellStyle name="Normal 5 17 2 20 5 8" xfId="35232" xr:uid="{00000000-0005-0000-0000-0000A0890000}"/>
    <cellStyle name="Normal 5 17 2 20 5 9" xfId="35233" xr:uid="{00000000-0005-0000-0000-0000A1890000}"/>
    <cellStyle name="Normal 5 17 2 20 6" xfId="35234" xr:uid="{00000000-0005-0000-0000-0000A2890000}"/>
    <cellStyle name="Normal 5 17 2 20 7" xfId="35235" xr:uid="{00000000-0005-0000-0000-0000A3890000}"/>
    <cellStyle name="Normal 5 17 2 20 8" xfId="35236" xr:uid="{00000000-0005-0000-0000-0000A4890000}"/>
    <cellStyle name="Normal 5 17 2 20 9" xfId="35237" xr:uid="{00000000-0005-0000-0000-0000A5890000}"/>
    <cellStyle name="Normal 5 17 2 21" xfId="35238" xr:uid="{00000000-0005-0000-0000-0000A6890000}"/>
    <cellStyle name="Normal 5 17 2 21 10" xfId="35239" xr:uid="{00000000-0005-0000-0000-0000A7890000}"/>
    <cellStyle name="Normal 5 17 2 21 11" xfId="35240" xr:uid="{00000000-0005-0000-0000-0000A8890000}"/>
    <cellStyle name="Normal 5 17 2 21 12" xfId="35241" xr:uid="{00000000-0005-0000-0000-0000A9890000}"/>
    <cellStyle name="Normal 5 17 2 21 13" xfId="35242" xr:uid="{00000000-0005-0000-0000-0000AA890000}"/>
    <cellStyle name="Normal 5 17 2 21 14" xfId="35243" xr:uid="{00000000-0005-0000-0000-0000AB890000}"/>
    <cellStyle name="Normal 5 17 2 21 2" xfId="35244" xr:uid="{00000000-0005-0000-0000-0000AC890000}"/>
    <cellStyle name="Normal 5 17 2 21 2 10" xfId="35245" xr:uid="{00000000-0005-0000-0000-0000AD890000}"/>
    <cellStyle name="Normal 5 17 2 21 2 2" xfId="35246" xr:uid="{00000000-0005-0000-0000-0000AE890000}"/>
    <cellStyle name="Normal 5 17 2 21 2 3" xfId="35247" xr:uid="{00000000-0005-0000-0000-0000AF890000}"/>
    <cellStyle name="Normal 5 17 2 21 2 4" xfId="35248" xr:uid="{00000000-0005-0000-0000-0000B0890000}"/>
    <cellStyle name="Normal 5 17 2 21 2 5" xfId="35249" xr:uid="{00000000-0005-0000-0000-0000B1890000}"/>
    <cellStyle name="Normal 5 17 2 21 2 6" xfId="35250" xr:uid="{00000000-0005-0000-0000-0000B2890000}"/>
    <cellStyle name="Normal 5 17 2 21 2 7" xfId="35251" xr:uid="{00000000-0005-0000-0000-0000B3890000}"/>
    <cellStyle name="Normal 5 17 2 21 2 8" xfId="35252" xr:uid="{00000000-0005-0000-0000-0000B4890000}"/>
    <cellStyle name="Normal 5 17 2 21 2 9" xfId="35253" xr:uid="{00000000-0005-0000-0000-0000B5890000}"/>
    <cellStyle name="Normal 5 17 2 21 3" xfId="35254" xr:uid="{00000000-0005-0000-0000-0000B6890000}"/>
    <cellStyle name="Normal 5 17 2 21 3 10" xfId="35255" xr:uid="{00000000-0005-0000-0000-0000B7890000}"/>
    <cellStyle name="Normal 5 17 2 21 3 2" xfId="35256" xr:uid="{00000000-0005-0000-0000-0000B8890000}"/>
    <cellStyle name="Normal 5 17 2 21 3 3" xfId="35257" xr:uid="{00000000-0005-0000-0000-0000B9890000}"/>
    <cellStyle name="Normal 5 17 2 21 3 4" xfId="35258" xr:uid="{00000000-0005-0000-0000-0000BA890000}"/>
    <cellStyle name="Normal 5 17 2 21 3 5" xfId="35259" xr:uid="{00000000-0005-0000-0000-0000BB890000}"/>
    <cellStyle name="Normal 5 17 2 21 3 6" xfId="35260" xr:uid="{00000000-0005-0000-0000-0000BC890000}"/>
    <cellStyle name="Normal 5 17 2 21 3 7" xfId="35261" xr:uid="{00000000-0005-0000-0000-0000BD890000}"/>
    <cellStyle name="Normal 5 17 2 21 3 8" xfId="35262" xr:uid="{00000000-0005-0000-0000-0000BE890000}"/>
    <cellStyle name="Normal 5 17 2 21 3 9" xfId="35263" xr:uid="{00000000-0005-0000-0000-0000BF890000}"/>
    <cellStyle name="Normal 5 17 2 21 4" xfId="35264" xr:uid="{00000000-0005-0000-0000-0000C0890000}"/>
    <cellStyle name="Normal 5 17 2 21 4 10" xfId="35265" xr:uid="{00000000-0005-0000-0000-0000C1890000}"/>
    <cellStyle name="Normal 5 17 2 21 4 2" xfId="35266" xr:uid="{00000000-0005-0000-0000-0000C2890000}"/>
    <cellStyle name="Normal 5 17 2 21 4 3" xfId="35267" xr:uid="{00000000-0005-0000-0000-0000C3890000}"/>
    <cellStyle name="Normal 5 17 2 21 4 4" xfId="35268" xr:uid="{00000000-0005-0000-0000-0000C4890000}"/>
    <cellStyle name="Normal 5 17 2 21 4 5" xfId="35269" xr:uid="{00000000-0005-0000-0000-0000C5890000}"/>
    <cellStyle name="Normal 5 17 2 21 4 6" xfId="35270" xr:uid="{00000000-0005-0000-0000-0000C6890000}"/>
    <cellStyle name="Normal 5 17 2 21 4 7" xfId="35271" xr:uid="{00000000-0005-0000-0000-0000C7890000}"/>
    <cellStyle name="Normal 5 17 2 21 4 8" xfId="35272" xr:uid="{00000000-0005-0000-0000-0000C8890000}"/>
    <cellStyle name="Normal 5 17 2 21 4 9" xfId="35273" xr:uid="{00000000-0005-0000-0000-0000C9890000}"/>
    <cellStyle name="Normal 5 17 2 21 5" xfId="35274" xr:uid="{00000000-0005-0000-0000-0000CA890000}"/>
    <cellStyle name="Normal 5 17 2 21 5 10" xfId="35275" xr:uid="{00000000-0005-0000-0000-0000CB890000}"/>
    <cellStyle name="Normal 5 17 2 21 5 2" xfId="35276" xr:uid="{00000000-0005-0000-0000-0000CC890000}"/>
    <cellStyle name="Normal 5 17 2 21 5 3" xfId="35277" xr:uid="{00000000-0005-0000-0000-0000CD890000}"/>
    <cellStyle name="Normal 5 17 2 21 5 4" xfId="35278" xr:uid="{00000000-0005-0000-0000-0000CE890000}"/>
    <cellStyle name="Normal 5 17 2 21 5 5" xfId="35279" xr:uid="{00000000-0005-0000-0000-0000CF890000}"/>
    <cellStyle name="Normal 5 17 2 21 5 6" xfId="35280" xr:uid="{00000000-0005-0000-0000-0000D0890000}"/>
    <cellStyle name="Normal 5 17 2 21 5 7" xfId="35281" xr:uid="{00000000-0005-0000-0000-0000D1890000}"/>
    <cellStyle name="Normal 5 17 2 21 5 8" xfId="35282" xr:uid="{00000000-0005-0000-0000-0000D2890000}"/>
    <cellStyle name="Normal 5 17 2 21 5 9" xfId="35283" xr:uid="{00000000-0005-0000-0000-0000D3890000}"/>
    <cellStyle name="Normal 5 17 2 21 6" xfId="35284" xr:uid="{00000000-0005-0000-0000-0000D4890000}"/>
    <cellStyle name="Normal 5 17 2 21 7" xfId="35285" xr:uid="{00000000-0005-0000-0000-0000D5890000}"/>
    <cellStyle name="Normal 5 17 2 21 8" xfId="35286" xr:uid="{00000000-0005-0000-0000-0000D6890000}"/>
    <cellStyle name="Normal 5 17 2 21 9" xfId="35287" xr:uid="{00000000-0005-0000-0000-0000D7890000}"/>
    <cellStyle name="Normal 5 17 2 22" xfId="35288" xr:uid="{00000000-0005-0000-0000-0000D8890000}"/>
    <cellStyle name="Normal 5 17 2 22 10" xfId="35289" xr:uid="{00000000-0005-0000-0000-0000D9890000}"/>
    <cellStyle name="Normal 5 17 2 22 11" xfId="35290" xr:uid="{00000000-0005-0000-0000-0000DA890000}"/>
    <cellStyle name="Normal 5 17 2 22 12" xfId="35291" xr:uid="{00000000-0005-0000-0000-0000DB890000}"/>
    <cellStyle name="Normal 5 17 2 22 13" xfId="35292" xr:uid="{00000000-0005-0000-0000-0000DC890000}"/>
    <cellStyle name="Normal 5 17 2 22 14" xfId="35293" xr:uid="{00000000-0005-0000-0000-0000DD890000}"/>
    <cellStyle name="Normal 5 17 2 22 2" xfId="35294" xr:uid="{00000000-0005-0000-0000-0000DE890000}"/>
    <cellStyle name="Normal 5 17 2 22 2 10" xfId="35295" xr:uid="{00000000-0005-0000-0000-0000DF890000}"/>
    <cellStyle name="Normal 5 17 2 22 2 2" xfId="35296" xr:uid="{00000000-0005-0000-0000-0000E0890000}"/>
    <cellStyle name="Normal 5 17 2 22 2 3" xfId="35297" xr:uid="{00000000-0005-0000-0000-0000E1890000}"/>
    <cellStyle name="Normal 5 17 2 22 2 4" xfId="35298" xr:uid="{00000000-0005-0000-0000-0000E2890000}"/>
    <cellStyle name="Normal 5 17 2 22 2 5" xfId="35299" xr:uid="{00000000-0005-0000-0000-0000E3890000}"/>
    <cellStyle name="Normal 5 17 2 22 2 6" xfId="35300" xr:uid="{00000000-0005-0000-0000-0000E4890000}"/>
    <cellStyle name="Normal 5 17 2 22 2 7" xfId="35301" xr:uid="{00000000-0005-0000-0000-0000E5890000}"/>
    <cellStyle name="Normal 5 17 2 22 2 8" xfId="35302" xr:uid="{00000000-0005-0000-0000-0000E6890000}"/>
    <cellStyle name="Normal 5 17 2 22 2 9" xfId="35303" xr:uid="{00000000-0005-0000-0000-0000E7890000}"/>
    <cellStyle name="Normal 5 17 2 22 3" xfId="35304" xr:uid="{00000000-0005-0000-0000-0000E8890000}"/>
    <cellStyle name="Normal 5 17 2 22 3 10" xfId="35305" xr:uid="{00000000-0005-0000-0000-0000E9890000}"/>
    <cellStyle name="Normal 5 17 2 22 3 2" xfId="35306" xr:uid="{00000000-0005-0000-0000-0000EA890000}"/>
    <cellStyle name="Normal 5 17 2 22 3 3" xfId="35307" xr:uid="{00000000-0005-0000-0000-0000EB890000}"/>
    <cellStyle name="Normal 5 17 2 22 3 4" xfId="35308" xr:uid="{00000000-0005-0000-0000-0000EC890000}"/>
    <cellStyle name="Normal 5 17 2 22 3 5" xfId="35309" xr:uid="{00000000-0005-0000-0000-0000ED890000}"/>
    <cellStyle name="Normal 5 17 2 22 3 6" xfId="35310" xr:uid="{00000000-0005-0000-0000-0000EE890000}"/>
    <cellStyle name="Normal 5 17 2 22 3 7" xfId="35311" xr:uid="{00000000-0005-0000-0000-0000EF890000}"/>
    <cellStyle name="Normal 5 17 2 22 3 8" xfId="35312" xr:uid="{00000000-0005-0000-0000-0000F0890000}"/>
    <cellStyle name="Normal 5 17 2 22 3 9" xfId="35313" xr:uid="{00000000-0005-0000-0000-0000F1890000}"/>
    <cellStyle name="Normal 5 17 2 22 4" xfId="35314" xr:uid="{00000000-0005-0000-0000-0000F2890000}"/>
    <cellStyle name="Normal 5 17 2 22 4 10" xfId="35315" xr:uid="{00000000-0005-0000-0000-0000F3890000}"/>
    <cellStyle name="Normal 5 17 2 22 4 2" xfId="35316" xr:uid="{00000000-0005-0000-0000-0000F4890000}"/>
    <cellStyle name="Normal 5 17 2 22 4 3" xfId="35317" xr:uid="{00000000-0005-0000-0000-0000F5890000}"/>
    <cellStyle name="Normal 5 17 2 22 4 4" xfId="35318" xr:uid="{00000000-0005-0000-0000-0000F6890000}"/>
    <cellStyle name="Normal 5 17 2 22 4 5" xfId="35319" xr:uid="{00000000-0005-0000-0000-0000F7890000}"/>
    <cellStyle name="Normal 5 17 2 22 4 6" xfId="35320" xr:uid="{00000000-0005-0000-0000-0000F8890000}"/>
    <cellStyle name="Normal 5 17 2 22 4 7" xfId="35321" xr:uid="{00000000-0005-0000-0000-0000F9890000}"/>
    <cellStyle name="Normal 5 17 2 22 4 8" xfId="35322" xr:uid="{00000000-0005-0000-0000-0000FA890000}"/>
    <cellStyle name="Normal 5 17 2 22 4 9" xfId="35323" xr:uid="{00000000-0005-0000-0000-0000FB890000}"/>
    <cellStyle name="Normal 5 17 2 22 5" xfId="35324" xr:uid="{00000000-0005-0000-0000-0000FC890000}"/>
    <cellStyle name="Normal 5 17 2 22 5 10" xfId="35325" xr:uid="{00000000-0005-0000-0000-0000FD890000}"/>
    <cellStyle name="Normal 5 17 2 22 5 2" xfId="35326" xr:uid="{00000000-0005-0000-0000-0000FE890000}"/>
    <cellStyle name="Normal 5 17 2 22 5 3" xfId="35327" xr:uid="{00000000-0005-0000-0000-0000FF890000}"/>
    <cellStyle name="Normal 5 17 2 22 5 4" xfId="35328" xr:uid="{00000000-0005-0000-0000-0000008A0000}"/>
    <cellStyle name="Normal 5 17 2 22 5 5" xfId="35329" xr:uid="{00000000-0005-0000-0000-0000018A0000}"/>
    <cellStyle name="Normal 5 17 2 22 5 6" xfId="35330" xr:uid="{00000000-0005-0000-0000-0000028A0000}"/>
    <cellStyle name="Normal 5 17 2 22 5 7" xfId="35331" xr:uid="{00000000-0005-0000-0000-0000038A0000}"/>
    <cellStyle name="Normal 5 17 2 22 5 8" xfId="35332" xr:uid="{00000000-0005-0000-0000-0000048A0000}"/>
    <cellStyle name="Normal 5 17 2 22 5 9" xfId="35333" xr:uid="{00000000-0005-0000-0000-0000058A0000}"/>
    <cellStyle name="Normal 5 17 2 22 6" xfId="35334" xr:uid="{00000000-0005-0000-0000-0000068A0000}"/>
    <cellStyle name="Normal 5 17 2 22 7" xfId="35335" xr:uid="{00000000-0005-0000-0000-0000078A0000}"/>
    <cellStyle name="Normal 5 17 2 22 8" xfId="35336" xr:uid="{00000000-0005-0000-0000-0000088A0000}"/>
    <cellStyle name="Normal 5 17 2 22 9" xfId="35337" xr:uid="{00000000-0005-0000-0000-0000098A0000}"/>
    <cellStyle name="Normal 5 17 2 23" xfId="35338" xr:uid="{00000000-0005-0000-0000-00000A8A0000}"/>
    <cellStyle name="Normal 5 17 2 23 10" xfId="35339" xr:uid="{00000000-0005-0000-0000-00000B8A0000}"/>
    <cellStyle name="Normal 5 17 2 23 11" xfId="35340" xr:uid="{00000000-0005-0000-0000-00000C8A0000}"/>
    <cellStyle name="Normal 5 17 2 23 12" xfId="35341" xr:uid="{00000000-0005-0000-0000-00000D8A0000}"/>
    <cellStyle name="Normal 5 17 2 23 13" xfId="35342" xr:uid="{00000000-0005-0000-0000-00000E8A0000}"/>
    <cellStyle name="Normal 5 17 2 23 14" xfId="35343" xr:uid="{00000000-0005-0000-0000-00000F8A0000}"/>
    <cellStyle name="Normal 5 17 2 23 2" xfId="35344" xr:uid="{00000000-0005-0000-0000-0000108A0000}"/>
    <cellStyle name="Normal 5 17 2 23 2 10" xfId="35345" xr:uid="{00000000-0005-0000-0000-0000118A0000}"/>
    <cellStyle name="Normal 5 17 2 23 2 2" xfId="35346" xr:uid="{00000000-0005-0000-0000-0000128A0000}"/>
    <cellStyle name="Normal 5 17 2 23 2 3" xfId="35347" xr:uid="{00000000-0005-0000-0000-0000138A0000}"/>
    <cellStyle name="Normal 5 17 2 23 2 4" xfId="35348" xr:uid="{00000000-0005-0000-0000-0000148A0000}"/>
    <cellStyle name="Normal 5 17 2 23 2 5" xfId="35349" xr:uid="{00000000-0005-0000-0000-0000158A0000}"/>
    <cellStyle name="Normal 5 17 2 23 2 6" xfId="35350" xr:uid="{00000000-0005-0000-0000-0000168A0000}"/>
    <cellStyle name="Normal 5 17 2 23 2 7" xfId="35351" xr:uid="{00000000-0005-0000-0000-0000178A0000}"/>
    <cellStyle name="Normal 5 17 2 23 2 8" xfId="35352" xr:uid="{00000000-0005-0000-0000-0000188A0000}"/>
    <cellStyle name="Normal 5 17 2 23 2 9" xfId="35353" xr:uid="{00000000-0005-0000-0000-0000198A0000}"/>
    <cellStyle name="Normal 5 17 2 23 3" xfId="35354" xr:uid="{00000000-0005-0000-0000-00001A8A0000}"/>
    <cellStyle name="Normal 5 17 2 23 3 10" xfId="35355" xr:uid="{00000000-0005-0000-0000-00001B8A0000}"/>
    <cellStyle name="Normal 5 17 2 23 3 2" xfId="35356" xr:uid="{00000000-0005-0000-0000-00001C8A0000}"/>
    <cellStyle name="Normal 5 17 2 23 3 3" xfId="35357" xr:uid="{00000000-0005-0000-0000-00001D8A0000}"/>
    <cellStyle name="Normal 5 17 2 23 3 4" xfId="35358" xr:uid="{00000000-0005-0000-0000-00001E8A0000}"/>
    <cellStyle name="Normal 5 17 2 23 3 5" xfId="35359" xr:uid="{00000000-0005-0000-0000-00001F8A0000}"/>
    <cellStyle name="Normal 5 17 2 23 3 6" xfId="35360" xr:uid="{00000000-0005-0000-0000-0000208A0000}"/>
    <cellStyle name="Normal 5 17 2 23 3 7" xfId="35361" xr:uid="{00000000-0005-0000-0000-0000218A0000}"/>
    <cellStyle name="Normal 5 17 2 23 3 8" xfId="35362" xr:uid="{00000000-0005-0000-0000-0000228A0000}"/>
    <cellStyle name="Normal 5 17 2 23 3 9" xfId="35363" xr:uid="{00000000-0005-0000-0000-0000238A0000}"/>
    <cellStyle name="Normal 5 17 2 23 4" xfId="35364" xr:uid="{00000000-0005-0000-0000-0000248A0000}"/>
    <cellStyle name="Normal 5 17 2 23 4 10" xfId="35365" xr:uid="{00000000-0005-0000-0000-0000258A0000}"/>
    <cellStyle name="Normal 5 17 2 23 4 2" xfId="35366" xr:uid="{00000000-0005-0000-0000-0000268A0000}"/>
    <cellStyle name="Normal 5 17 2 23 4 3" xfId="35367" xr:uid="{00000000-0005-0000-0000-0000278A0000}"/>
    <cellStyle name="Normal 5 17 2 23 4 4" xfId="35368" xr:uid="{00000000-0005-0000-0000-0000288A0000}"/>
    <cellStyle name="Normal 5 17 2 23 4 5" xfId="35369" xr:uid="{00000000-0005-0000-0000-0000298A0000}"/>
    <cellStyle name="Normal 5 17 2 23 4 6" xfId="35370" xr:uid="{00000000-0005-0000-0000-00002A8A0000}"/>
    <cellStyle name="Normal 5 17 2 23 4 7" xfId="35371" xr:uid="{00000000-0005-0000-0000-00002B8A0000}"/>
    <cellStyle name="Normal 5 17 2 23 4 8" xfId="35372" xr:uid="{00000000-0005-0000-0000-00002C8A0000}"/>
    <cellStyle name="Normal 5 17 2 23 4 9" xfId="35373" xr:uid="{00000000-0005-0000-0000-00002D8A0000}"/>
    <cellStyle name="Normal 5 17 2 23 5" xfId="35374" xr:uid="{00000000-0005-0000-0000-00002E8A0000}"/>
    <cellStyle name="Normal 5 17 2 23 5 10" xfId="35375" xr:uid="{00000000-0005-0000-0000-00002F8A0000}"/>
    <cellStyle name="Normal 5 17 2 23 5 2" xfId="35376" xr:uid="{00000000-0005-0000-0000-0000308A0000}"/>
    <cellStyle name="Normal 5 17 2 23 5 3" xfId="35377" xr:uid="{00000000-0005-0000-0000-0000318A0000}"/>
    <cellStyle name="Normal 5 17 2 23 5 4" xfId="35378" xr:uid="{00000000-0005-0000-0000-0000328A0000}"/>
    <cellStyle name="Normal 5 17 2 23 5 5" xfId="35379" xr:uid="{00000000-0005-0000-0000-0000338A0000}"/>
    <cellStyle name="Normal 5 17 2 23 5 6" xfId="35380" xr:uid="{00000000-0005-0000-0000-0000348A0000}"/>
    <cellStyle name="Normal 5 17 2 23 5 7" xfId="35381" xr:uid="{00000000-0005-0000-0000-0000358A0000}"/>
    <cellStyle name="Normal 5 17 2 23 5 8" xfId="35382" xr:uid="{00000000-0005-0000-0000-0000368A0000}"/>
    <cellStyle name="Normal 5 17 2 23 5 9" xfId="35383" xr:uid="{00000000-0005-0000-0000-0000378A0000}"/>
    <cellStyle name="Normal 5 17 2 23 6" xfId="35384" xr:uid="{00000000-0005-0000-0000-0000388A0000}"/>
    <cellStyle name="Normal 5 17 2 23 7" xfId="35385" xr:uid="{00000000-0005-0000-0000-0000398A0000}"/>
    <cellStyle name="Normal 5 17 2 23 8" xfId="35386" xr:uid="{00000000-0005-0000-0000-00003A8A0000}"/>
    <cellStyle name="Normal 5 17 2 23 9" xfId="35387" xr:uid="{00000000-0005-0000-0000-00003B8A0000}"/>
    <cellStyle name="Normal 5 17 2 24" xfId="35388" xr:uid="{00000000-0005-0000-0000-00003C8A0000}"/>
    <cellStyle name="Normal 5 17 2 24 10" xfId="35389" xr:uid="{00000000-0005-0000-0000-00003D8A0000}"/>
    <cellStyle name="Normal 5 17 2 24 11" xfId="35390" xr:uid="{00000000-0005-0000-0000-00003E8A0000}"/>
    <cellStyle name="Normal 5 17 2 24 12" xfId="35391" xr:uid="{00000000-0005-0000-0000-00003F8A0000}"/>
    <cellStyle name="Normal 5 17 2 24 13" xfId="35392" xr:uid="{00000000-0005-0000-0000-0000408A0000}"/>
    <cellStyle name="Normal 5 17 2 24 14" xfId="35393" xr:uid="{00000000-0005-0000-0000-0000418A0000}"/>
    <cellStyle name="Normal 5 17 2 24 2" xfId="35394" xr:uid="{00000000-0005-0000-0000-0000428A0000}"/>
    <cellStyle name="Normal 5 17 2 24 2 10" xfId="35395" xr:uid="{00000000-0005-0000-0000-0000438A0000}"/>
    <cellStyle name="Normal 5 17 2 24 2 2" xfId="35396" xr:uid="{00000000-0005-0000-0000-0000448A0000}"/>
    <cellStyle name="Normal 5 17 2 24 2 3" xfId="35397" xr:uid="{00000000-0005-0000-0000-0000458A0000}"/>
    <cellStyle name="Normal 5 17 2 24 2 4" xfId="35398" xr:uid="{00000000-0005-0000-0000-0000468A0000}"/>
    <cellStyle name="Normal 5 17 2 24 2 5" xfId="35399" xr:uid="{00000000-0005-0000-0000-0000478A0000}"/>
    <cellStyle name="Normal 5 17 2 24 2 6" xfId="35400" xr:uid="{00000000-0005-0000-0000-0000488A0000}"/>
    <cellStyle name="Normal 5 17 2 24 2 7" xfId="35401" xr:uid="{00000000-0005-0000-0000-0000498A0000}"/>
    <cellStyle name="Normal 5 17 2 24 2 8" xfId="35402" xr:uid="{00000000-0005-0000-0000-00004A8A0000}"/>
    <cellStyle name="Normal 5 17 2 24 2 9" xfId="35403" xr:uid="{00000000-0005-0000-0000-00004B8A0000}"/>
    <cellStyle name="Normal 5 17 2 24 3" xfId="35404" xr:uid="{00000000-0005-0000-0000-00004C8A0000}"/>
    <cellStyle name="Normal 5 17 2 24 3 10" xfId="35405" xr:uid="{00000000-0005-0000-0000-00004D8A0000}"/>
    <cellStyle name="Normal 5 17 2 24 3 2" xfId="35406" xr:uid="{00000000-0005-0000-0000-00004E8A0000}"/>
    <cellStyle name="Normal 5 17 2 24 3 3" xfId="35407" xr:uid="{00000000-0005-0000-0000-00004F8A0000}"/>
    <cellStyle name="Normal 5 17 2 24 3 4" xfId="35408" xr:uid="{00000000-0005-0000-0000-0000508A0000}"/>
    <cellStyle name="Normal 5 17 2 24 3 5" xfId="35409" xr:uid="{00000000-0005-0000-0000-0000518A0000}"/>
    <cellStyle name="Normal 5 17 2 24 3 6" xfId="35410" xr:uid="{00000000-0005-0000-0000-0000528A0000}"/>
    <cellStyle name="Normal 5 17 2 24 3 7" xfId="35411" xr:uid="{00000000-0005-0000-0000-0000538A0000}"/>
    <cellStyle name="Normal 5 17 2 24 3 8" xfId="35412" xr:uid="{00000000-0005-0000-0000-0000548A0000}"/>
    <cellStyle name="Normal 5 17 2 24 3 9" xfId="35413" xr:uid="{00000000-0005-0000-0000-0000558A0000}"/>
    <cellStyle name="Normal 5 17 2 24 4" xfId="35414" xr:uid="{00000000-0005-0000-0000-0000568A0000}"/>
    <cellStyle name="Normal 5 17 2 24 4 10" xfId="35415" xr:uid="{00000000-0005-0000-0000-0000578A0000}"/>
    <cellStyle name="Normal 5 17 2 24 4 2" xfId="35416" xr:uid="{00000000-0005-0000-0000-0000588A0000}"/>
    <cellStyle name="Normal 5 17 2 24 4 3" xfId="35417" xr:uid="{00000000-0005-0000-0000-0000598A0000}"/>
    <cellStyle name="Normal 5 17 2 24 4 4" xfId="35418" xr:uid="{00000000-0005-0000-0000-00005A8A0000}"/>
    <cellStyle name="Normal 5 17 2 24 4 5" xfId="35419" xr:uid="{00000000-0005-0000-0000-00005B8A0000}"/>
    <cellStyle name="Normal 5 17 2 24 4 6" xfId="35420" xr:uid="{00000000-0005-0000-0000-00005C8A0000}"/>
    <cellStyle name="Normal 5 17 2 24 4 7" xfId="35421" xr:uid="{00000000-0005-0000-0000-00005D8A0000}"/>
    <cellStyle name="Normal 5 17 2 24 4 8" xfId="35422" xr:uid="{00000000-0005-0000-0000-00005E8A0000}"/>
    <cellStyle name="Normal 5 17 2 24 4 9" xfId="35423" xr:uid="{00000000-0005-0000-0000-00005F8A0000}"/>
    <cellStyle name="Normal 5 17 2 24 5" xfId="35424" xr:uid="{00000000-0005-0000-0000-0000608A0000}"/>
    <cellStyle name="Normal 5 17 2 24 5 10" xfId="35425" xr:uid="{00000000-0005-0000-0000-0000618A0000}"/>
    <cellStyle name="Normal 5 17 2 24 5 2" xfId="35426" xr:uid="{00000000-0005-0000-0000-0000628A0000}"/>
    <cellStyle name="Normal 5 17 2 24 5 3" xfId="35427" xr:uid="{00000000-0005-0000-0000-0000638A0000}"/>
    <cellStyle name="Normal 5 17 2 24 5 4" xfId="35428" xr:uid="{00000000-0005-0000-0000-0000648A0000}"/>
    <cellStyle name="Normal 5 17 2 24 5 5" xfId="35429" xr:uid="{00000000-0005-0000-0000-0000658A0000}"/>
    <cellStyle name="Normal 5 17 2 24 5 6" xfId="35430" xr:uid="{00000000-0005-0000-0000-0000668A0000}"/>
    <cellStyle name="Normal 5 17 2 24 5 7" xfId="35431" xr:uid="{00000000-0005-0000-0000-0000678A0000}"/>
    <cellStyle name="Normal 5 17 2 24 5 8" xfId="35432" xr:uid="{00000000-0005-0000-0000-0000688A0000}"/>
    <cellStyle name="Normal 5 17 2 24 5 9" xfId="35433" xr:uid="{00000000-0005-0000-0000-0000698A0000}"/>
    <cellStyle name="Normal 5 17 2 24 6" xfId="35434" xr:uid="{00000000-0005-0000-0000-00006A8A0000}"/>
    <cellStyle name="Normal 5 17 2 24 7" xfId="35435" xr:uid="{00000000-0005-0000-0000-00006B8A0000}"/>
    <cellStyle name="Normal 5 17 2 24 8" xfId="35436" xr:uid="{00000000-0005-0000-0000-00006C8A0000}"/>
    <cellStyle name="Normal 5 17 2 24 9" xfId="35437" xr:uid="{00000000-0005-0000-0000-00006D8A0000}"/>
    <cellStyle name="Normal 5 17 2 25" xfId="35438" xr:uid="{00000000-0005-0000-0000-00006E8A0000}"/>
    <cellStyle name="Normal 5 17 2 25 10" xfId="35439" xr:uid="{00000000-0005-0000-0000-00006F8A0000}"/>
    <cellStyle name="Normal 5 17 2 25 11" xfId="35440" xr:uid="{00000000-0005-0000-0000-0000708A0000}"/>
    <cellStyle name="Normal 5 17 2 25 12" xfId="35441" xr:uid="{00000000-0005-0000-0000-0000718A0000}"/>
    <cellStyle name="Normal 5 17 2 25 13" xfId="35442" xr:uid="{00000000-0005-0000-0000-0000728A0000}"/>
    <cellStyle name="Normal 5 17 2 25 14" xfId="35443" xr:uid="{00000000-0005-0000-0000-0000738A0000}"/>
    <cellStyle name="Normal 5 17 2 25 2" xfId="35444" xr:uid="{00000000-0005-0000-0000-0000748A0000}"/>
    <cellStyle name="Normal 5 17 2 25 2 10" xfId="35445" xr:uid="{00000000-0005-0000-0000-0000758A0000}"/>
    <cellStyle name="Normal 5 17 2 25 2 2" xfId="35446" xr:uid="{00000000-0005-0000-0000-0000768A0000}"/>
    <cellStyle name="Normal 5 17 2 25 2 3" xfId="35447" xr:uid="{00000000-0005-0000-0000-0000778A0000}"/>
    <cellStyle name="Normal 5 17 2 25 2 4" xfId="35448" xr:uid="{00000000-0005-0000-0000-0000788A0000}"/>
    <cellStyle name="Normal 5 17 2 25 2 5" xfId="35449" xr:uid="{00000000-0005-0000-0000-0000798A0000}"/>
    <cellStyle name="Normal 5 17 2 25 2 6" xfId="35450" xr:uid="{00000000-0005-0000-0000-00007A8A0000}"/>
    <cellStyle name="Normal 5 17 2 25 2 7" xfId="35451" xr:uid="{00000000-0005-0000-0000-00007B8A0000}"/>
    <cellStyle name="Normal 5 17 2 25 2 8" xfId="35452" xr:uid="{00000000-0005-0000-0000-00007C8A0000}"/>
    <cellStyle name="Normal 5 17 2 25 2 9" xfId="35453" xr:uid="{00000000-0005-0000-0000-00007D8A0000}"/>
    <cellStyle name="Normal 5 17 2 25 3" xfId="35454" xr:uid="{00000000-0005-0000-0000-00007E8A0000}"/>
    <cellStyle name="Normal 5 17 2 25 3 10" xfId="35455" xr:uid="{00000000-0005-0000-0000-00007F8A0000}"/>
    <cellStyle name="Normal 5 17 2 25 3 2" xfId="35456" xr:uid="{00000000-0005-0000-0000-0000808A0000}"/>
    <cellStyle name="Normal 5 17 2 25 3 3" xfId="35457" xr:uid="{00000000-0005-0000-0000-0000818A0000}"/>
    <cellStyle name="Normal 5 17 2 25 3 4" xfId="35458" xr:uid="{00000000-0005-0000-0000-0000828A0000}"/>
    <cellStyle name="Normal 5 17 2 25 3 5" xfId="35459" xr:uid="{00000000-0005-0000-0000-0000838A0000}"/>
    <cellStyle name="Normal 5 17 2 25 3 6" xfId="35460" xr:uid="{00000000-0005-0000-0000-0000848A0000}"/>
    <cellStyle name="Normal 5 17 2 25 3 7" xfId="35461" xr:uid="{00000000-0005-0000-0000-0000858A0000}"/>
    <cellStyle name="Normal 5 17 2 25 3 8" xfId="35462" xr:uid="{00000000-0005-0000-0000-0000868A0000}"/>
    <cellStyle name="Normal 5 17 2 25 3 9" xfId="35463" xr:uid="{00000000-0005-0000-0000-0000878A0000}"/>
    <cellStyle name="Normal 5 17 2 25 4" xfId="35464" xr:uid="{00000000-0005-0000-0000-0000888A0000}"/>
    <cellStyle name="Normal 5 17 2 25 4 10" xfId="35465" xr:uid="{00000000-0005-0000-0000-0000898A0000}"/>
    <cellStyle name="Normal 5 17 2 25 4 2" xfId="35466" xr:uid="{00000000-0005-0000-0000-00008A8A0000}"/>
    <cellStyle name="Normal 5 17 2 25 4 3" xfId="35467" xr:uid="{00000000-0005-0000-0000-00008B8A0000}"/>
    <cellStyle name="Normal 5 17 2 25 4 4" xfId="35468" xr:uid="{00000000-0005-0000-0000-00008C8A0000}"/>
    <cellStyle name="Normal 5 17 2 25 4 5" xfId="35469" xr:uid="{00000000-0005-0000-0000-00008D8A0000}"/>
    <cellStyle name="Normal 5 17 2 25 4 6" xfId="35470" xr:uid="{00000000-0005-0000-0000-00008E8A0000}"/>
    <cellStyle name="Normal 5 17 2 25 4 7" xfId="35471" xr:uid="{00000000-0005-0000-0000-00008F8A0000}"/>
    <cellStyle name="Normal 5 17 2 25 4 8" xfId="35472" xr:uid="{00000000-0005-0000-0000-0000908A0000}"/>
    <cellStyle name="Normal 5 17 2 25 4 9" xfId="35473" xr:uid="{00000000-0005-0000-0000-0000918A0000}"/>
    <cellStyle name="Normal 5 17 2 25 5" xfId="35474" xr:uid="{00000000-0005-0000-0000-0000928A0000}"/>
    <cellStyle name="Normal 5 17 2 25 5 10" xfId="35475" xr:uid="{00000000-0005-0000-0000-0000938A0000}"/>
    <cellStyle name="Normal 5 17 2 25 5 2" xfId="35476" xr:uid="{00000000-0005-0000-0000-0000948A0000}"/>
    <cellStyle name="Normal 5 17 2 25 5 3" xfId="35477" xr:uid="{00000000-0005-0000-0000-0000958A0000}"/>
    <cellStyle name="Normal 5 17 2 25 5 4" xfId="35478" xr:uid="{00000000-0005-0000-0000-0000968A0000}"/>
    <cellStyle name="Normal 5 17 2 25 5 5" xfId="35479" xr:uid="{00000000-0005-0000-0000-0000978A0000}"/>
    <cellStyle name="Normal 5 17 2 25 5 6" xfId="35480" xr:uid="{00000000-0005-0000-0000-0000988A0000}"/>
    <cellStyle name="Normal 5 17 2 25 5 7" xfId="35481" xr:uid="{00000000-0005-0000-0000-0000998A0000}"/>
    <cellStyle name="Normal 5 17 2 25 5 8" xfId="35482" xr:uid="{00000000-0005-0000-0000-00009A8A0000}"/>
    <cellStyle name="Normal 5 17 2 25 5 9" xfId="35483" xr:uid="{00000000-0005-0000-0000-00009B8A0000}"/>
    <cellStyle name="Normal 5 17 2 25 6" xfId="35484" xr:uid="{00000000-0005-0000-0000-00009C8A0000}"/>
    <cellStyle name="Normal 5 17 2 25 7" xfId="35485" xr:uid="{00000000-0005-0000-0000-00009D8A0000}"/>
    <cellStyle name="Normal 5 17 2 25 8" xfId="35486" xr:uid="{00000000-0005-0000-0000-00009E8A0000}"/>
    <cellStyle name="Normal 5 17 2 25 9" xfId="35487" xr:uid="{00000000-0005-0000-0000-00009F8A0000}"/>
    <cellStyle name="Normal 5 17 2 26" xfId="35488" xr:uid="{00000000-0005-0000-0000-0000A08A0000}"/>
    <cellStyle name="Normal 5 17 2 26 10" xfId="35489" xr:uid="{00000000-0005-0000-0000-0000A18A0000}"/>
    <cellStyle name="Normal 5 17 2 26 11" xfId="35490" xr:uid="{00000000-0005-0000-0000-0000A28A0000}"/>
    <cellStyle name="Normal 5 17 2 26 12" xfId="35491" xr:uid="{00000000-0005-0000-0000-0000A38A0000}"/>
    <cellStyle name="Normal 5 17 2 26 13" xfId="35492" xr:uid="{00000000-0005-0000-0000-0000A48A0000}"/>
    <cellStyle name="Normal 5 17 2 26 14" xfId="35493" xr:uid="{00000000-0005-0000-0000-0000A58A0000}"/>
    <cellStyle name="Normal 5 17 2 26 2" xfId="35494" xr:uid="{00000000-0005-0000-0000-0000A68A0000}"/>
    <cellStyle name="Normal 5 17 2 26 2 10" xfId="35495" xr:uid="{00000000-0005-0000-0000-0000A78A0000}"/>
    <cellStyle name="Normal 5 17 2 26 2 2" xfId="35496" xr:uid="{00000000-0005-0000-0000-0000A88A0000}"/>
    <cellStyle name="Normal 5 17 2 26 2 3" xfId="35497" xr:uid="{00000000-0005-0000-0000-0000A98A0000}"/>
    <cellStyle name="Normal 5 17 2 26 2 4" xfId="35498" xr:uid="{00000000-0005-0000-0000-0000AA8A0000}"/>
    <cellStyle name="Normal 5 17 2 26 2 5" xfId="35499" xr:uid="{00000000-0005-0000-0000-0000AB8A0000}"/>
    <cellStyle name="Normal 5 17 2 26 2 6" xfId="35500" xr:uid="{00000000-0005-0000-0000-0000AC8A0000}"/>
    <cellStyle name="Normal 5 17 2 26 2 7" xfId="35501" xr:uid="{00000000-0005-0000-0000-0000AD8A0000}"/>
    <cellStyle name="Normal 5 17 2 26 2 8" xfId="35502" xr:uid="{00000000-0005-0000-0000-0000AE8A0000}"/>
    <cellStyle name="Normal 5 17 2 26 2 9" xfId="35503" xr:uid="{00000000-0005-0000-0000-0000AF8A0000}"/>
    <cellStyle name="Normal 5 17 2 26 3" xfId="35504" xr:uid="{00000000-0005-0000-0000-0000B08A0000}"/>
    <cellStyle name="Normal 5 17 2 26 3 10" xfId="35505" xr:uid="{00000000-0005-0000-0000-0000B18A0000}"/>
    <cellStyle name="Normal 5 17 2 26 3 2" xfId="35506" xr:uid="{00000000-0005-0000-0000-0000B28A0000}"/>
    <cellStyle name="Normal 5 17 2 26 3 3" xfId="35507" xr:uid="{00000000-0005-0000-0000-0000B38A0000}"/>
    <cellStyle name="Normal 5 17 2 26 3 4" xfId="35508" xr:uid="{00000000-0005-0000-0000-0000B48A0000}"/>
    <cellStyle name="Normal 5 17 2 26 3 5" xfId="35509" xr:uid="{00000000-0005-0000-0000-0000B58A0000}"/>
    <cellStyle name="Normal 5 17 2 26 3 6" xfId="35510" xr:uid="{00000000-0005-0000-0000-0000B68A0000}"/>
    <cellStyle name="Normal 5 17 2 26 3 7" xfId="35511" xr:uid="{00000000-0005-0000-0000-0000B78A0000}"/>
    <cellStyle name="Normal 5 17 2 26 3 8" xfId="35512" xr:uid="{00000000-0005-0000-0000-0000B88A0000}"/>
    <cellStyle name="Normal 5 17 2 26 3 9" xfId="35513" xr:uid="{00000000-0005-0000-0000-0000B98A0000}"/>
    <cellStyle name="Normal 5 17 2 26 4" xfId="35514" xr:uid="{00000000-0005-0000-0000-0000BA8A0000}"/>
    <cellStyle name="Normal 5 17 2 26 4 10" xfId="35515" xr:uid="{00000000-0005-0000-0000-0000BB8A0000}"/>
    <cellStyle name="Normal 5 17 2 26 4 2" xfId="35516" xr:uid="{00000000-0005-0000-0000-0000BC8A0000}"/>
    <cellStyle name="Normal 5 17 2 26 4 3" xfId="35517" xr:uid="{00000000-0005-0000-0000-0000BD8A0000}"/>
    <cellStyle name="Normal 5 17 2 26 4 4" xfId="35518" xr:uid="{00000000-0005-0000-0000-0000BE8A0000}"/>
    <cellStyle name="Normal 5 17 2 26 4 5" xfId="35519" xr:uid="{00000000-0005-0000-0000-0000BF8A0000}"/>
    <cellStyle name="Normal 5 17 2 26 4 6" xfId="35520" xr:uid="{00000000-0005-0000-0000-0000C08A0000}"/>
    <cellStyle name="Normal 5 17 2 26 4 7" xfId="35521" xr:uid="{00000000-0005-0000-0000-0000C18A0000}"/>
    <cellStyle name="Normal 5 17 2 26 4 8" xfId="35522" xr:uid="{00000000-0005-0000-0000-0000C28A0000}"/>
    <cellStyle name="Normal 5 17 2 26 4 9" xfId="35523" xr:uid="{00000000-0005-0000-0000-0000C38A0000}"/>
    <cellStyle name="Normal 5 17 2 26 5" xfId="35524" xr:uid="{00000000-0005-0000-0000-0000C48A0000}"/>
    <cellStyle name="Normal 5 17 2 26 5 10" xfId="35525" xr:uid="{00000000-0005-0000-0000-0000C58A0000}"/>
    <cellStyle name="Normal 5 17 2 26 5 2" xfId="35526" xr:uid="{00000000-0005-0000-0000-0000C68A0000}"/>
    <cellStyle name="Normal 5 17 2 26 5 3" xfId="35527" xr:uid="{00000000-0005-0000-0000-0000C78A0000}"/>
    <cellStyle name="Normal 5 17 2 26 5 4" xfId="35528" xr:uid="{00000000-0005-0000-0000-0000C88A0000}"/>
    <cellStyle name="Normal 5 17 2 26 5 5" xfId="35529" xr:uid="{00000000-0005-0000-0000-0000C98A0000}"/>
    <cellStyle name="Normal 5 17 2 26 5 6" xfId="35530" xr:uid="{00000000-0005-0000-0000-0000CA8A0000}"/>
    <cellStyle name="Normal 5 17 2 26 5 7" xfId="35531" xr:uid="{00000000-0005-0000-0000-0000CB8A0000}"/>
    <cellStyle name="Normal 5 17 2 26 5 8" xfId="35532" xr:uid="{00000000-0005-0000-0000-0000CC8A0000}"/>
    <cellStyle name="Normal 5 17 2 26 5 9" xfId="35533" xr:uid="{00000000-0005-0000-0000-0000CD8A0000}"/>
    <cellStyle name="Normal 5 17 2 26 6" xfId="35534" xr:uid="{00000000-0005-0000-0000-0000CE8A0000}"/>
    <cellStyle name="Normal 5 17 2 26 7" xfId="35535" xr:uid="{00000000-0005-0000-0000-0000CF8A0000}"/>
    <cellStyle name="Normal 5 17 2 26 8" xfId="35536" xr:uid="{00000000-0005-0000-0000-0000D08A0000}"/>
    <cellStyle name="Normal 5 17 2 26 9" xfId="35537" xr:uid="{00000000-0005-0000-0000-0000D18A0000}"/>
    <cellStyle name="Normal 5 17 2 27" xfId="35538" xr:uid="{00000000-0005-0000-0000-0000D28A0000}"/>
    <cellStyle name="Normal 5 17 2 27 10" xfId="35539" xr:uid="{00000000-0005-0000-0000-0000D38A0000}"/>
    <cellStyle name="Normal 5 17 2 27 11" xfId="35540" xr:uid="{00000000-0005-0000-0000-0000D48A0000}"/>
    <cellStyle name="Normal 5 17 2 27 12" xfId="35541" xr:uid="{00000000-0005-0000-0000-0000D58A0000}"/>
    <cellStyle name="Normal 5 17 2 27 13" xfId="35542" xr:uid="{00000000-0005-0000-0000-0000D68A0000}"/>
    <cellStyle name="Normal 5 17 2 27 14" xfId="35543" xr:uid="{00000000-0005-0000-0000-0000D78A0000}"/>
    <cellStyle name="Normal 5 17 2 27 2" xfId="35544" xr:uid="{00000000-0005-0000-0000-0000D88A0000}"/>
    <cellStyle name="Normal 5 17 2 27 2 10" xfId="35545" xr:uid="{00000000-0005-0000-0000-0000D98A0000}"/>
    <cellStyle name="Normal 5 17 2 27 2 2" xfId="35546" xr:uid="{00000000-0005-0000-0000-0000DA8A0000}"/>
    <cellStyle name="Normal 5 17 2 27 2 3" xfId="35547" xr:uid="{00000000-0005-0000-0000-0000DB8A0000}"/>
    <cellStyle name="Normal 5 17 2 27 2 4" xfId="35548" xr:uid="{00000000-0005-0000-0000-0000DC8A0000}"/>
    <cellStyle name="Normal 5 17 2 27 2 5" xfId="35549" xr:uid="{00000000-0005-0000-0000-0000DD8A0000}"/>
    <cellStyle name="Normal 5 17 2 27 2 6" xfId="35550" xr:uid="{00000000-0005-0000-0000-0000DE8A0000}"/>
    <cellStyle name="Normal 5 17 2 27 2 7" xfId="35551" xr:uid="{00000000-0005-0000-0000-0000DF8A0000}"/>
    <cellStyle name="Normal 5 17 2 27 2 8" xfId="35552" xr:uid="{00000000-0005-0000-0000-0000E08A0000}"/>
    <cellStyle name="Normal 5 17 2 27 2 9" xfId="35553" xr:uid="{00000000-0005-0000-0000-0000E18A0000}"/>
    <cellStyle name="Normal 5 17 2 27 3" xfId="35554" xr:uid="{00000000-0005-0000-0000-0000E28A0000}"/>
    <cellStyle name="Normal 5 17 2 27 3 10" xfId="35555" xr:uid="{00000000-0005-0000-0000-0000E38A0000}"/>
    <cellStyle name="Normal 5 17 2 27 3 2" xfId="35556" xr:uid="{00000000-0005-0000-0000-0000E48A0000}"/>
    <cellStyle name="Normal 5 17 2 27 3 3" xfId="35557" xr:uid="{00000000-0005-0000-0000-0000E58A0000}"/>
    <cellStyle name="Normal 5 17 2 27 3 4" xfId="35558" xr:uid="{00000000-0005-0000-0000-0000E68A0000}"/>
    <cellStyle name="Normal 5 17 2 27 3 5" xfId="35559" xr:uid="{00000000-0005-0000-0000-0000E78A0000}"/>
    <cellStyle name="Normal 5 17 2 27 3 6" xfId="35560" xr:uid="{00000000-0005-0000-0000-0000E88A0000}"/>
    <cellStyle name="Normal 5 17 2 27 3 7" xfId="35561" xr:uid="{00000000-0005-0000-0000-0000E98A0000}"/>
    <cellStyle name="Normal 5 17 2 27 3 8" xfId="35562" xr:uid="{00000000-0005-0000-0000-0000EA8A0000}"/>
    <cellStyle name="Normal 5 17 2 27 3 9" xfId="35563" xr:uid="{00000000-0005-0000-0000-0000EB8A0000}"/>
    <cellStyle name="Normal 5 17 2 27 4" xfId="35564" xr:uid="{00000000-0005-0000-0000-0000EC8A0000}"/>
    <cellStyle name="Normal 5 17 2 27 4 10" xfId="35565" xr:uid="{00000000-0005-0000-0000-0000ED8A0000}"/>
    <cellStyle name="Normal 5 17 2 27 4 2" xfId="35566" xr:uid="{00000000-0005-0000-0000-0000EE8A0000}"/>
    <cellStyle name="Normal 5 17 2 27 4 3" xfId="35567" xr:uid="{00000000-0005-0000-0000-0000EF8A0000}"/>
    <cellStyle name="Normal 5 17 2 27 4 4" xfId="35568" xr:uid="{00000000-0005-0000-0000-0000F08A0000}"/>
    <cellStyle name="Normal 5 17 2 27 4 5" xfId="35569" xr:uid="{00000000-0005-0000-0000-0000F18A0000}"/>
    <cellStyle name="Normal 5 17 2 27 4 6" xfId="35570" xr:uid="{00000000-0005-0000-0000-0000F28A0000}"/>
    <cellStyle name="Normal 5 17 2 27 4 7" xfId="35571" xr:uid="{00000000-0005-0000-0000-0000F38A0000}"/>
    <cellStyle name="Normal 5 17 2 27 4 8" xfId="35572" xr:uid="{00000000-0005-0000-0000-0000F48A0000}"/>
    <cellStyle name="Normal 5 17 2 27 4 9" xfId="35573" xr:uid="{00000000-0005-0000-0000-0000F58A0000}"/>
    <cellStyle name="Normal 5 17 2 27 5" xfId="35574" xr:uid="{00000000-0005-0000-0000-0000F68A0000}"/>
    <cellStyle name="Normal 5 17 2 27 5 10" xfId="35575" xr:uid="{00000000-0005-0000-0000-0000F78A0000}"/>
    <cellStyle name="Normal 5 17 2 27 5 2" xfId="35576" xr:uid="{00000000-0005-0000-0000-0000F88A0000}"/>
    <cellStyle name="Normal 5 17 2 27 5 3" xfId="35577" xr:uid="{00000000-0005-0000-0000-0000F98A0000}"/>
    <cellStyle name="Normal 5 17 2 27 5 4" xfId="35578" xr:uid="{00000000-0005-0000-0000-0000FA8A0000}"/>
    <cellStyle name="Normal 5 17 2 27 5 5" xfId="35579" xr:uid="{00000000-0005-0000-0000-0000FB8A0000}"/>
    <cellStyle name="Normal 5 17 2 27 5 6" xfId="35580" xr:uid="{00000000-0005-0000-0000-0000FC8A0000}"/>
    <cellStyle name="Normal 5 17 2 27 5 7" xfId="35581" xr:uid="{00000000-0005-0000-0000-0000FD8A0000}"/>
    <cellStyle name="Normal 5 17 2 27 5 8" xfId="35582" xr:uid="{00000000-0005-0000-0000-0000FE8A0000}"/>
    <cellStyle name="Normal 5 17 2 27 5 9" xfId="35583" xr:uid="{00000000-0005-0000-0000-0000FF8A0000}"/>
    <cellStyle name="Normal 5 17 2 27 6" xfId="35584" xr:uid="{00000000-0005-0000-0000-0000008B0000}"/>
    <cellStyle name="Normal 5 17 2 27 7" xfId="35585" xr:uid="{00000000-0005-0000-0000-0000018B0000}"/>
    <cellStyle name="Normal 5 17 2 27 8" xfId="35586" xr:uid="{00000000-0005-0000-0000-0000028B0000}"/>
    <cellStyle name="Normal 5 17 2 27 9" xfId="35587" xr:uid="{00000000-0005-0000-0000-0000038B0000}"/>
    <cellStyle name="Normal 5 17 2 28" xfId="35588" xr:uid="{00000000-0005-0000-0000-0000048B0000}"/>
    <cellStyle name="Normal 5 17 2 28 10" xfId="35589" xr:uid="{00000000-0005-0000-0000-0000058B0000}"/>
    <cellStyle name="Normal 5 17 2 28 11" xfId="35590" xr:uid="{00000000-0005-0000-0000-0000068B0000}"/>
    <cellStyle name="Normal 5 17 2 28 12" xfId="35591" xr:uid="{00000000-0005-0000-0000-0000078B0000}"/>
    <cellStyle name="Normal 5 17 2 28 13" xfId="35592" xr:uid="{00000000-0005-0000-0000-0000088B0000}"/>
    <cellStyle name="Normal 5 17 2 28 14" xfId="35593" xr:uid="{00000000-0005-0000-0000-0000098B0000}"/>
    <cellStyle name="Normal 5 17 2 28 2" xfId="35594" xr:uid="{00000000-0005-0000-0000-00000A8B0000}"/>
    <cellStyle name="Normal 5 17 2 28 2 10" xfId="35595" xr:uid="{00000000-0005-0000-0000-00000B8B0000}"/>
    <cellStyle name="Normal 5 17 2 28 2 2" xfId="35596" xr:uid="{00000000-0005-0000-0000-00000C8B0000}"/>
    <cellStyle name="Normal 5 17 2 28 2 3" xfId="35597" xr:uid="{00000000-0005-0000-0000-00000D8B0000}"/>
    <cellStyle name="Normal 5 17 2 28 2 4" xfId="35598" xr:uid="{00000000-0005-0000-0000-00000E8B0000}"/>
    <cellStyle name="Normal 5 17 2 28 2 5" xfId="35599" xr:uid="{00000000-0005-0000-0000-00000F8B0000}"/>
    <cellStyle name="Normal 5 17 2 28 2 6" xfId="35600" xr:uid="{00000000-0005-0000-0000-0000108B0000}"/>
    <cellStyle name="Normal 5 17 2 28 2 7" xfId="35601" xr:uid="{00000000-0005-0000-0000-0000118B0000}"/>
    <cellStyle name="Normal 5 17 2 28 2 8" xfId="35602" xr:uid="{00000000-0005-0000-0000-0000128B0000}"/>
    <cellStyle name="Normal 5 17 2 28 2 9" xfId="35603" xr:uid="{00000000-0005-0000-0000-0000138B0000}"/>
    <cellStyle name="Normal 5 17 2 28 3" xfId="35604" xr:uid="{00000000-0005-0000-0000-0000148B0000}"/>
    <cellStyle name="Normal 5 17 2 28 3 10" xfId="35605" xr:uid="{00000000-0005-0000-0000-0000158B0000}"/>
    <cellStyle name="Normal 5 17 2 28 3 2" xfId="35606" xr:uid="{00000000-0005-0000-0000-0000168B0000}"/>
    <cellStyle name="Normal 5 17 2 28 3 3" xfId="35607" xr:uid="{00000000-0005-0000-0000-0000178B0000}"/>
    <cellStyle name="Normal 5 17 2 28 3 4" xfId="35608" xr:uid="{00000000-0005-0000-0000-0000188B0000}"/>
    <cellStyle name="Normal 5 17 2 28 3 5" xfId="35609" xr:uid="{00000000-0005-0000-0000-0000198B0000}"/>
    <cellStyle name="Normal 5 17 2 28 3 6" xfId="35610" xr:uid="{00000000-0005-0000-0000-00001A8B0000}"/>
    <cellStyle name="Normal 5 17 2 28 3 7" xfId="35611" xr:uid="{00000000-0005-0000-0000-00001B8B0000}"/>
    <cellStyle name="Normal 5 17 2 28 3 8" xfId="35612" xr:uid="{00000000-0005-0000-0000-00001C8B0000}"/>
    <cellStyle name="Normal 5 17 2 28 3 9" xfId="35613" xr:uid="{00000000-0005-0000-0000-00001D8B0000}"/>
    <cellStyle name="Normal 5 17 2 28 4" xfId="35614" xr:uid="{00000000-0005-0000-0000-00001E8B0000}"/>
    <cellStyle name="Normal 5 17 2 28 4 10" xfId="35615" xr:uid="{00000000-0005-0000-0000-00001F8B0000}"/>
    <cellStyle name="Normal 5 17 2 28 4 2" xfId="35616" xr:uid="{00000000-0005-0000-0000-0000208B0000}"/>
    <cellStyle name="Normal 5 17 2 28 4 3" xfId="35617" xr:uid="{00000000-0005-0000-0000-0000218B0000}"/>
    <cellStyle name="Normal 5 17 2 28 4 4" xfId="35618" xr:uid="{00000000-0005-0000-0000-0000228B0000}"/>
    <cellStyle name="Normal 5 17 2 28 4 5" xfId="35619" xr:uid="{00000000-0005-0000-0000-0000238B0000}"/>
    <cellStyle name="Normal 5 17 2 28 4 6" xfId="35620" xr:uid="{00000000-0005-0000-0000-0000248B0000}"/>
    <cellStyle name="Normal 5 17 2 28 4 7" xfId="35621" xr:uid="{00000000-0005-0000-0000-0000258B0000}"/>
    <cellStyle name="Normal 5 17 2 28 4 8" xfId="35622" xr:uid="{00000000-0005-0000-0000-0000268B0000}"/>
    <cellStyle name="Normal 5 17 2 28 4 9" xfId="35623" xr:uid="{00000000-0005-0000-0000-0000278B0000}"/>
    <cellStyle name="Normal 5 17 2 28 5" xfId="35624" xr:uid="{00000000-0005-0000-0000-0000288B0000}"/>
    <cellStyle name="Normal 5 17 2 28 5 10" xfId="35625" xr:uid="{00000000-0005-0000-0000-0000298B0000}"/>
    <cellStyle name="Normal 5 17 2 28 5 2" xfId="35626" xr:uid="{00000000-0005-0000-0000-00002A8B0000}"/>
    <cellStyle name="Normal 5 17 2 28 5 3" xfId="35627" xr:uid="{00000000-0005-0000-0000-00002B8B0000}"/>
    <cellStyle name="Normal 5 17 2 28 5 4" xfId="35628" xr:uid="{00000000-0005-0000-0000-00002C8B0000}"/>
    <cellStyle name="Normal 5 17 2 28 5 5" xfId="35629" xr:uid="{00000000-0005-0000-0000-00002D8B0000}"/>
    <cellStyle name="Normal 5 17 2 28 5 6" xfId="35630" xr:uid="{00000000-0005-0000-0000-00002E8B0000}"/>
    <cellStyle name="Normal 5 17 2 28 5 7" xfId="35631" xr:uid="{00000000-0005-0000-0000-00002F8B0000}"/>
    <cellStyle name="Normal 5 17 2 28 5 8" xfId="35632" xr:uid="{00000000-0005-0000-0000-0000308B0000}"/>
    <cellStyle name="Normal 5 17 2 28 5 9" xfId="35633" xr:uid="{00000000-0005-0000-0000-0000318B0000}"/>
    <cellStyle name="Normal 5 17 2 28 6" xfId="35634" xr:uid="{00000000-0005-0000-0000-0000328B0000}"/>
    <cellStyle name="Normal 5 17 2 28 7" xfId="35635" xr:uid="{00000000-0005-0000-0000-0000338B0000}"/>
    <cellStyle name="Normal 5 17 2 28 8" xfId="35636" xr:uid="{00000000-0005-0000-0000-0000348B0000}"/>
    <cellStyle name="Normal 5 17 2 28 9" xfId="35637" xr:uid="{00000000-0005-0000-0000-0000358B0000}"/>
    <cellStyle name="Normal 5 17 2 29" xfId="35638" xr:uid="{00000000-0005-0000-0000-0000368B0000}"/>
    <cellStyle name="Normal 5 17 2 29 10" xfId="35639" xr:uid="{00000000-0005-0000-0000-0000378B0000}"/>
    <cellStyle name="Normal 5 17 2 29 11" xfId="35640" xr:uid="{00000000-0005-0000-0000-0000388B0000}"/>
    <cellStyle name="Normal 5 17 2 29 12" xfId="35641" xr:uid="{00000000-0005-0000-0000-0000398B0000}"/>
    <cellStyle name="Normal 5 17 2 29 13" xfId="35642" xr:uid="{00000000-0005-0000-0000-00003A8B0000}"/>
    <cellStyle name="Normal 5 17 2 29 14" xfId="35643" xr:uid="{00000000-0005-0000-0000-00003B8B0000}"/>
    <cellStyle name="Normal 5 17 2 29 2" xfId="35644" xr:uid="{00000000-0005-0000-0000-00003C8B0000}"/>
    <cellStyle name="Normal 5 17 2 29 2 10" xfId="35645" xr:uid="{00000000-0005-0000-0000-00003D8B0000}"/>
    <cellStyle name="Normal 5 17 2 29 2 2" xfId="35646" xr:uid="{00000000-0005-0000-0000-00003E8B0000}"/>
    <cellStyle name="Normal 5 17 2 29 2 3" xfId="35647" xr:uid="{00000000-0005-0000-0000-00003F8B0000}"/>
    <cellStyle name="Normal 5 17 2 29 2 4" xfId="35648" xr:uid="{00000000-0005-0000-0000-0000408B0000}"/>
    <cellStyle name="Normal 5 17 2 29 2 5" xfId="35649" xr:uid="{00000000-0005-0000-0000-0000418B0000}"/>
    <cellStyle name="Normal 5 17 2 29 2 6" xfId="35650" xr:uid="{00000000-0005-0000-0000-0000428B0000}"/>
    <cellStyle name="Normal 5 17 2 29 2 7" xfId="35651" xr:uid="{00000000-0005-0000-0000-0000438B0000}"/>
    <cellStyle name="Normal 5 17 2 29 2 8" xfId="35652" xr:uid="{00000000-0005-0000-0000-0000448B0000}"/>
    <cellStyle name="Normal 5 17 2 29 2 9" xfId="35653" xr:uid="{00000000-0005-0000-0000-0000458B0000}"/>
    <cellStyle name="Normal 5 17 2 29 3" xfId="35654" xr:uid="{00000000-0005-0000-0000-0000468B0000}"/>
    <cellStyle name="Normal 5 17 2 29 3 10" xfId="35655" xr:uid="{00000000-0005-0000-0000-0000478B0000}"/>
    <cellStyle name="Normal 5 17 2 29 3 2" xfId="35656" xr:uid="{00000000-0005-0000-0000-0000488B0000}"/>
    <cellStyle name="Normal 5 17 2 29 3 3" xfId="35657" xr:uid="{00000000-0005-0000-0000-0000498B0000}"/>
    <cellStyle name="Normal 5 17 2 29 3 4" xfId="35658" xr:uid="{00000000-0005-0000-0000-00004A8B0000}"/>
    <cellStyle name="Normal 5 17 2 29 3 5" xfId="35659" xr:uid="{00000000-0005-0000-0000-00004B8B0000}"/>
    <cellStyle name="Normal 5 17 2 29 3 6" xfId="35660" xr:uid="{00000000-0005-0000-0000-00004C8B0000}"/>
    <cellStyle name="Normal 5 17 2 29 3 7" xfId="35661" xr:uid="{00000000-0005-0000-0000-00004D8B0000}"/>
    <cellStyle name="Normal 5 17 2 29 3 8" xfId="35662" xr:uid="{00000000-0005-0000-0000-00004E8B0000}"/>
    <cellStyle name="Normal 5 17 2 29 3 9" xfId="35663" xr:uid="{00000000-0005-0000-0000-00004F8B0000}"/>
    <cellStyle name="Normal 5 17 2 29 4" xfId="35664" xr:uid="{00000000-0005-0000-0000-0000508B0000}"/>
    <cellStyle name="Normal 5 17 2 29 4 10" xfId="35665" xr:uid="{00000000-0005-0000-0000-0000518B0000}"/>
    <cellStyle name="Normal 5 17 2 29 4 2" xfId="35666" xr:uid="{00000000-0005-0000-0000-0000528B0000}"/>
    <cellStyle name="Normal 5 17 2 29 4 3" xfId="35667" xr:uid="{00000000-0005-0000-0000-0000538B0000}"/>
    <cellStyle name="Normal 5 17 2 29 4 4" xfId="35668" xr:uid="{00000000-0005-0000-0000-0000548B0000}"/>
    <cellStyle name="Normal 5 17 2 29 4 5" xfId="35669" xr:uid="{00000000-0005-0000-0000-0000558B0000}"/>
    <cellStyle name="Normal 5 17 2 29 4 6" xfId="35670" xr:uid="{00000000-0005-0000-0000-0000568B0000}"/>
    <cellStyle name="Normal 5 17 2 29 4 7" xfId="35671" xr:uid="{00000000-0005-0000-0000-0000578B0000}"/>
    <cellStyle name="Normal 5 17 2 29 4 8" xfId="35672" xr:uid="{00000000-0005-0000-0000-0000588B0000}"/>
    <cellStyle name="Normal 5 17 2 29 4 9" xfId="35673" xr:uid="{00000000-0005-0000-0000-0000598B0000}"/>
    <cellStyle name="Normal 5 17 2 29 5" xfId="35674" xr:uid="{00000000-0005-0000-0000-00005A8B0000}"/>
    <cellStyle name="Normal 5 17 2 29 5 10" xfId="35675" xr:uid="{00000000-0005-0000-0000-00005B8B0000}"/>
    <cellStyle name="Normal 5 17 2 29 5 2" xfId="35676" xr:uid="{00000000-0005-0000-0000-00005C8B0000}"/>
    <cellStyle name="Normal 5 17 2 29 5 3" xfId="35677" xr:uid="{00000000-0005-0000-0000-00005D8B0000}"/>
    <cellStyle name="Normal 5 17 2 29 5 4" xfId="35678" xr:uid="{00000000-0005-0000-0000-00005E8B0000}"/>
    <cellStyle name="Normal 5 17 2 29 5 5" xfId="35679" xr:uid="{00000000-0005-0000-0000-00005F8B0000}"/>
    <cellStyle name="Normal 5 17 2 29 5 6" xfId="35680" xr:uid="{00000000-0005-0000-0000-0000608B0000}"/>
    <cellStyle name="Normal 5 17 2 29 5 7" xfId="35681" xr:uid="{00000000-0005-0000-0000-0000618B0000}"/>
    <cellStyle name="Normal 5 17 2 29 5 8" xfId="35682" xr:uid="{00000000-0005-0000-0000-0000628B0000}"/>
    <cellStyle name="Normal 5 17 2 29 5 9" xfId="35683" xr:uid="{00000000-0005-0000-0000-0000638B0000}"/>
    <cellStyle name="Normal 5 17 2 29 6" xfId="35684" xr:uid="{00000000-0005-0000-0000-0000648B0000}"/>
    <cellStyle name="Normal 5 17 2 29 7" xfId="35685" xr:uid="{00000000-0005-0000-0000-0000658B0000}"/>
    <cellStyle name="Normal 5 17 2 29 8" xfId="35686" xr:uid="{00000000-0005-0000-0000-0000668B0000}"/>
    <cellStyle name="Normal 5 17 2 29 9" xfId="35687" xr:uid="{00000000-0005-0000-0000-0000678B0000}"/>
    <cellStyle name="Normal 5 17 2 3" xfId="35688" xr:uid="{00000000-0005-0000-0000-0000688B0000}"/>
    <cellStyle name="Normal 5 17 2 3 10" xfId="35689" xr:uid="{00000000-0005-0000-0000-0000698B0000}"/>
    <cellStyle name="Normal 5 17 2 3 11" xfId="35690" xr:uid="{00000000-0005-0000-0000-00006A8B0000}"/>
    <cellStyle name="Normal 5 17 2 3 12" xfId="35691" xr:uid="{00000000-0005-0000-0000-00006B8B0000}"/>
    <cellStyle name="Normal 5 17 2 3 13" xfId="35692" xr:uid="{00000000-0005-0000-0000-00006C8B0000}"/>
    <cellStyle name="Normal 5 17 2 3 14" xfId="35693" xr:uid="{00000000-0005-0000-0000-00006D8B0000}"/>
    <cellStyle name="Normal 5 17 2 3 2" xfId="35694" xr:uid="{00000000-0005-0000-0000-00006E8B0000}"/>
    <cellStyle name="Normal 5 17 2 3 2 10" xfId="35695" xr:uid="{00000000-0005-0000-0000-00006F8B0000}"/>
    <cellStyle name="Normal 5 17 2 3 2 2" xfId="35696" xr:uid="{00000000-0005-0000-0000-0000708B0000}"/>
    <cellStyle name="Normal 5 17 2 3 2 3" xfId="35697" xr:uid="{00000000-0005-0000-0000-0000718B0000}"/>
    <cellStyle name="Normal 5 17 2 3 2 4" xfId="35698" xr:uid="{00000000-0005-0000-0000-0000728B0000}"/>
    <cellStyle name="Normal 5 17 2 3 2 5" xfId="35699" xr:uid="{00000000-0005-0000-0000-0000738B0000}"/>
    <cellStyle name="Normal 5 17 2 3 2 6" xfId="35700" xr:uid="{00000000-0005-0000-0000-0000748B0000}"/>
    <cellStyle name="Normal 5 17 2 3 2 7" xfId="35701" xr:uid="{00000000-0005-0000-0000-0000758B0000}"/>
    <cellStyle name="Normal 5 17 2 3 2 8" xfId="35702" xr:uid="{00000000-0005-0000-0000-0000768B0000}"/>
    <cellStyle name="Normal 5 17 2 3 2 9" xfId="35703" xr:uid="{00000000-0005-0000-0000-0000778B0000}"/>
    <cellStyle name="Normal 5 17 2 3 3" xfId="35704" xr:uid="{00000000-0005-0000-0000-0000788B0000}"/>
    <cellStyle name="Normal 5 17 2 3 3 10" xfId="35705" xr:uid="{00000000-0005-0000-0000-0000798B0000}"/>
    <cellStyle name="Normal 5 17 2 3 3 2" xfId="35706" xr:uid="{00000000-0005-0000-0000-00007A8B0000}"/>
    <cellStyle name="Normal 5 17 2 3 3 3" xfId="35707" xr:uid="{00000000-0005-0000-0000-00007B8B0000}"/>
    <cellStyle name="Normal 5 17 2 3 3 4" xfId="35708" xr:uid="{00000000-0005-0000-0000-00007C8B0000}"/>
    <cellStyle name="Normal 5 17 2 3 3 5" xfId="35709" xr:uid="{00000000-0005-0000-0000-00007D8B0000}"/>
    <cellStyle name="Normal 5 17 2 3 3 6" xfId="35710" xr:uid="{00000000-0005-0000-0000-00007E8B0000}"/>
    <cellStyle name="Normal 5 17 2 3 3 7" xfId="35711" xr:uid="{00000000-0005-0000-0000-00007F8B0000}"/>
    <cellStyle name="Normal 5 17 2 3 3 8" xfId="35712" xr:uid="{00000000-0005-0000-0000-0000808B0000}"/>
    <cellStyle name="Normal 5 17 2 3 3 9" xfId="35713" xr:uid="{00000000-0005-0000-0000-0000818B0000}"/>
    <cellStyle name="Normal 5 17 2 3 4" xfId="35714" xr:uid="{00000000-0005-0000-0000-0000828B0000}"/>
    <cellStyle name="Normal 5 17 2 3 4 10" xfId="35715" xr:uid="{00000000-0005-0000-0000-0000838B0000}"/>
    <cellStyle name="Normal 5 17 2 3 4 2" xfId="35716" xr:uid="{00000000-0005-0000-0000-0000848B0000}"/>
    <cellStyle name="Normal 5 17 2 3 4 3" xfId="35717" xr:uid="{00000000-0005-0000-0000-0000858B0000}"/>
    <cellStyle name="Normal 5 17 2 3 4 4" xfId="35718" xr:uid="{00000000-0005-0000-0000-0000868B0000}"/>
    <cellStyle name="Normal 5 17 2 3 4 5" xfId="35719" xr:uid="{00000000-0005-0000-0000-0000878B0000}"/>
    <cellStyle name="Normal 5 17 2 3 4 6" xfId="35720" xr:uid="{00000000-0005-0000-0000-0000888B0000}"/>
    <cellStyle name="Normal 5 17 2 3 4 7" xfId="35721" xr:uid="{00000000-0005-0000-0000-0000898B0000}"/>
    <cellStyle name="Normal 5 17 2 3 4 8" xfId="35722" xr:uid="{00000000-0005-0000-0000-00008A8B0000}"/>
    <cellStyle name="Normal 5 17 2 3 4 9" xfId="35723" xr:uid="{00000000-0005-0000-0000-00008B8B0000}"/>
    <cellStyle name="Normal 5 17 2 3 5" xfId="35724" xr:uid="{00000000-0005-0000-0000-00008C8B0000}"/>
    <cellStyle name="Normal 5 17 2 3 5 10" xfId="35725" xr:uid="{00000000-0005-0000-0000-00008D8B0000}"/>
    <cellStyle name="Normal 5 17 2 3 5 2" xfId="35726" xr:uid="{00000000-0005-0000-0000-00008E8B0000}"/>
    <cellStyle name="Normal 5 17 2 3 5 3" xfId="35727" xr:uid="{00000000-0005-0000-0000-00008F8B0000}"/>
    <cellStyle name="Normal 5 17 2 3 5 4" xfId="35728" xr:uid="{00000000-0005-0000-0000-0000908B0000}"/>
    <cellStyle name="Normal 5 17 2 3 5 5" xfId="35729" xr:uid="{00000000-0005-0000-0000-0000918B0000}"/>
    <cellStyle name="Normal 5 17 2 3 5 6" xfId="35730" xr:uid="{00000000-0005-0000-0000-0000928B0000}"/>
    <cellStyle name="Normal 5 17 2 3 5 7" xfId="35731" xr:uid="{00000000-0005-0000-0000-0000938B0000}"/>
    <cellStyle name="Normal 5 17 2 3 5 8" xfId="35732" xr:uid="{00000000-0005-0000-0000-0000948B0000}"/>
    <cellStyle name="Normal 5 17 2 3 5 9" xfId="35733" xr:uid="{00000000-0005-0000-0000-0000958B0000}"/>
    <cellStyle name="Normal 5 17 2 3 6" xfId="35734" xr:uid="{00000000-0005-0000-0000-0000968B0000}"/>
    <cellStyle name="Normal 5 17 2 3 7" xfId="35735" xr:uid="{00000000-0005-0000-0000-0000978B0000}"/>
    <cellStyle name="Normal 5 17 2 3 8" xfId="35736" xr:uid="{00000000-0005-0000-0000-0000988B0000}"/>
    <cellStyle name="Normal 5 17 2 3 9" xfId="35737" xr:uid="{00000000-0005-0000-0000-0000998B0000}"/>
    <cellStyle name="Normal 5 17 2 30" xfId="35738" xr:uid="{00000000-0005-0000-0000-00009A8B0000}"/>
    <cellStyle name="Normal 5 17 2 30 10" xfId="35739" xr:uid="{00000000-0005-0000-0000-00009B8B0000}"/>
    <cellStyle name="Normal 5 17 2 30 11" xfId="35740" xr:uid="{00000000-0005-0000-0000-00009C8B0000}"/>
    <cellStyle name="Normal 5 17 2 30 12" xfId="35741" xr:uid="{00000000-0005-0000-0000-00009D8B0000}"/>
    <cellStyle name="Normal 5 17 2 30 13" xfId="35742" xr:uid="{00000000-0005-0000-0000-00009E8B0000}"/>
    <cellStyle name="Normal 5 17 2 30 14" xfId="35743" xr:uid="{00000000-0005-0000-0000-00009F8B0000}"/>
    <cellStyle name="Normal 5 17 2 30 2" xfId="35744" xr:uid="{00000000-0005-0000-0000-0000A08B0000}"/>
    <cellStyle name="Normal 5 17 2 30 2 10" xfId="35745" xr:uid="{00000000-0005-0000-0000-0000A18B0000}"/>
    <cellStyle name="Normal 5 17 2 30 2 2" xfId="35746" xr:uid="{00000000-0005-0000-0000-0000A28B0000}"/>
    <cellStyle name="Normal 5 17 2 30 2 3" xfId="35747" xr:uid="{00000000-0005-0000-0000-0000A38B0000}"/>
    <cellStyle name="Normal 5 17 2 30 2 4" xfId="35748" xr:uid="{00000000-0005-0000-0000-0000A48B0000}"/>
    <cellStyle name="Normal 5 17 2 30 2 5" xfId="35749" xr:uid="{00000000-0005-0000-0000-0000A58B0000}"/>
    <cellStyle name="Normal 5 17 2 30 2 6" xfId="35750" xr:uid="{00000000-0005-0000-0000-0000A68B0000}"/>
    <cellStyle name="Normal 5 17 2 30 2 7" xfId="35751" xr:uid="{00000000-0005-0000-0000-0000A78B0000}"/>
    <cellStyle name="Normal 5 17 2 30 2 8" xfId="35752" xr:uid="{00000000-0005-0000-0000-0000A88B0000}"/>
    <cellStyle name="Normal 5 17 2 30 2 9" xfId="35753" xr:uid="{00000000-0005-0000-0000-0000A98B0000}"/>
    <cellStyle name="Normal 5 17 2 30 3" xfId="35754" xr:uid="{00000000-0005-0000-0000-0000AA8B0000}"/>
    <cellStyle name="Normal 5 17 2 30 3 10" xfId="35755" xr:uid="{00000000-0005-0000-0000-0000AB8B0000}"/>
    <cellStyle name="Normal 5 17 2 30 3 2" xfId="35756" xr:uid="{00000000-0005-0000-0000-0000AC8B0000}"/>
    <cellStyle name="Normal 5 17 2 30 3 3" xfId="35757" xr:uid="{00000000-0005-0000-0000-0000AD8B0000}"/>
    <cellStyle name="Normal 5 17 2 30 3 4" xfId="35758" xr:uid="{00000000-0005-0000-0000-0000AE8B0000}"/>
    <cellStyle name="Normal 5 17 2 30 3 5" xfId="35759" xr:uid="{00000000-0005-0000-0000-0000AF8B0000}"/>
    <cellStyle name="Normal 5 17 2 30 3 6" xfId="35760" xr:uid="{00000000-0005-0000-0000-0000B08B0000}"/>
    <cellStyle name="Normal 5 17 2 30 3 7" xfId="35761" xr:uid="{00000000-0005-0000-0000-0000B18B0000}"/>
    <cellStyle name="Normal 5 17 2 30 3 8" xfId="35762" xr:uid="{00000000-0005-0000-0000-0000B28B0000}"/>
    <cellStyle name="Normal 5 17 2 30 3 9" xfId="35763" xr:uid="{00000000-0005-0000-0000-0000B38B0000}"/>
    <cellStyle name="Normal 5 17 2 30 4" xfId="35764" xr:uid="{00000000-0005-0000-0000-0000B48B0000}"/>
    <cellStyle name="Normal 5 17 2 30 4 10" xfId="35765" xr:uid="{00000000-0005-0000-0000-0000B58B0000}"/>
    <cellStyle name="Normal 5 17 2 30 4 2" xfId="35766" xr:uid="{00000000-0005-0000-0000-0000B68B0000}"/>
    <cellStyle name="Normal 5 17 2 30 4 3" xfId="35767" xr:uid="{00000000-0005-0000-0000-0000B78B0000}"/>
    <cellStyle name="Normal 5 17 2 30 4 4" xfId="35768" xr:uid="{00000000-0005-0000-0000-0000B88B0000}"/>
    <cellStyle name="Normal 5 17 2 30 4 5" xfId="35769" xr:uid="{00000000-0005-0000-0000-0000B98B0000}"/>
    <cellStyle name="Normal 5 17 2 30 4 6" xfId="35770" xr:uid="{00000000-0005-0000-0000-0000BA8B0000}"/>
    <cellStyle name="Normal 5 17 2 30 4 7" xfId="35771" xr:uid="{00000000-0005-0000-0000-0000BB8B0000}"/>
    <cellStyle name="Normal 5 17 2 30 4 8" xfId="35772" xr:uid="{00000000-0005-0000-0000-0000BC8B0000}"/>
    <cellStyle name="Normal 5 17 2 30 4 9" xfId="35773" xr:uid="{00000000-0005-0000-0000-0000BD8B0000}"/>
    <cellStyle name="Normal 5 17 2 30 5" xfId="35774" xr:uid="{00000000-0005-0000-0000-0000BE8B0000}"/>
    <cellStyle name="Normal 5 17 2 30 5 10" xfId="35775" xr:uid="{00000000-0005-0000-0000-0000BF8B0000}"/>
    <cellStyle name="Normal 5 17 2 30 5 2" xfId="35776" xr:uid="{00000000-0005-0000-0000-0000C08B0000}"/>
    <cellStyle name="Normal 5 17 2 30 5 3" xfId="35777" xr:uid="{00000000-0005-0000-0000-0000C18B0000}"/>
    <cellStyle name="Normal 5 17 2 30 5 4" xfId="35778" xr:uid="{00000000-0005-0000-0000-0000C28B0000}"/>
    <cellStyle name="Normal 5 17 2 30 5 5" xfId="35779" xr:uid="{00000000-0005-0000-0000-0000C38B0000}"/>
    <cellStyle name="Normal 5 17 2 30 5 6" xfId="35780" xr:uid="{00000000-0005-0000-0000-0000C48B0000}"/>
    <cellStyle name="Normal 5 17 2 30 5 7" xfId="35781" xr:uid="{00000000-0005-0000-0000-0000C58B0000}"/>
    <cellStyle name="Normal 5 17 2 30 5 8" xfId="35782" xr:uid="{00000000-0005-0000-0000-0000C68B0000}"/>
    <cellStyle name="Normal 5 17 2 30 5 9" xfId="35783" xr:uid="{00000000-0005-0000-0000-0000C78B0000}"/>
    <cellStyle name="Normal 5 17 2 30 6" xfId="35784" xr:uid="{00000000-0005-0000-0000-0000C88B0000}"/>
    <cellStyle name="Normal 5 17 2 30 7" xfId="35785" xr:uid="{00000000-0005-0000-0000-0000C98B0000}"/>
    <cellStyle name="Normal 5 17 2 30 8" xfId="35786" xr:uid="{00000000-0005-0000-0000-0000CA8B0000}"/>
    <cellStyle name="Normal 5 17 2 30 9" xfId="35787" xr:uid="{00000000-0005-0000-0000-0000CB8B0000}"/>
    <cellStyle name="Normal 5 17 2 31" xfId="35788" xr:uid="{00000000-0005-0000-0000-0000CC8B0000}"/>
    <cellStyle name="Normal 5 17 2 31 10" xfId="35789" xr:uid="{00000000-0005-0000-0000-0000CD8B0000}"/>
    <cellStyle name="Normal 5 17 2 31 11" xfId="35790" xr:uid="{00000000-0005-0000-0000-0000CE8B0000}"/>
    <cellStyle name="Normal 5 17 2 31 12" xfId="35791" xr:uid="{00000000-0005-0000-0000-0000CF8B0000}"/>
    <cellStyle name="Normal 5 17 2 31 13" xfId="35792" xr:uid="{00000000-0005-0000-0000-0000D08B0000}"/>
    <cellStyle name="Normal 5 17 2 31 14" xfId="35793" xr:uid="{00000000-0005-0000-0000-0000D18B0000}"/>
    <cellStyle name="Normal 5 17 2 31 2" xfId="35794" xr:uid="{00000000-0005-0000-0000-0000D28B0000}"/>
    <cellStyle name="Normal 5 17 2 31 2 10" xfId="35795" xr:uid="{00000000-0005-0000-0000-0000D38B0000}"/>
    <cellStyle name="Normal 5 17 2 31 2 2" xfId="35796" xr:uid="{00000000-0005-0000-0000-0000D48B0000}"/>
    <cellStyle name="Normal 5 17 2 31 2 3" xfId="35797" xr:uid="{00000000-0005-0000-0000-0000D58B0000}"/>
    <cellStyle name="Normal 5 17 2 31 2 4" xfId="35798" xr:uid="{00000000-0005-0000-0000-0000D68B0000}"/>
    <cellStyle name="Normal 5 17 2 31 2 5" xfId="35799" xr:uid="{00000000-0005-0000-0000-0000D78B0000}"/>
    <cellStyle name="Normal 5 17 2 31 2 6" xfId="35800" xr:uid="{00000000-0005-0000-0000-0000D88B0000}"/>
    <cellStyle name="Normal 5 17 2 31 2 7" xfId="35801" xr:uid="{00000000-0005-0000-0000-0000D98B0000}"/>
    <cellStyle name="Normal 5 17 2 31 2 8" xfId="35802" xr:uid="{00000000-0005-0000-0000-0000DA8B0000}"/>
    <cellStyle name="Normal 5 17 2 31 2 9" xfId="35803" xr:uid="{00000000-0005-0000-0000-0000DB8B0000}"/>
    <cellStyle name="Normal 5 17 2 31 3" xfId="35804" xr:uid="{00000000-0005-0000-0000-0000DC8B0000}"/>
    <cellStyle name="Normal 5 17 2 31 3 10" xfId="35805" xr:uid="{00000000-0005-0000-0000-0000DD8B0000}"/>
    <cellStyle name="Normal 5 17 2 31 3 2" xfId="35806" xr:uid="{00000000-0005-0000-0000-0000DE8B0000}"/>
    <cellStyle name="Normal 5 17 2 31 3 3" xfId="35807" xr:uid="{00000000-0005-0000-0000-0000DF8B0000}"/>
    <cellStyle name="Normal 5 17 2 31 3 4" xfId="35808" xr:uid="{00000000-0005-0000-0000-0000E08B0000}"/>
    <cellStyle name="Normal 5 17 2 31 3 5" xfId="35809" xr:uid="{00000000-0005-0000-0000-0000E18B0000}"/>
    <cellStyle name="Normal 5 17 2 31 3 6" xfId="35810" xr:uid="{00000000-0005-0000-0000-0000E28B0000}"/>
    <cellStyle name="Normal 5 17 2 31 3 7" xfId="35811" xr:uid="{00000000-0005-0000-0000-0000E38B0000}"/>
    <cellStyle name="Normal 5 17 2 31 3 8" xfId="35812" xr:uid="{00000000-0005-0000-0000-0000E48B0000}"/>
    <cellStyle name="Normal 5 17 2 31 3 9" xfId="35813" xr:uid="{00000000-0005-0000-0000-0000E58B0000}"/>
    <cellStyle name="Normal 5 17 2 31 4" xfId="35814" xr:uid="{00000000-0005-0000-0000-0000E68B0000}"/>
    <cellStyle name="Normal 5 17 2 31 4 10" xfId="35815" xr:uid="{00000000-0005-0000-0000-0000E78B0000}"/>
    <cellStyle name="Normal 5 17 2 31 4 2" xfId="35816" xr:uid="{00000000-0005-0000-0000-0000E88B0000}"/>
    <cellStyle name="Normal 5 17 2 31 4 3" xfId="35817" xr:uid="{00000000-0005-0000-0000-0000E98B0000}"/>
    <cellStyle name="Normal 5 17 2 31 4 4" xfId="35818" xr:uid="{00000000-0005-0000-0000-0000EA8B0000}"/>
    <cellStyle name="Normal 5 17 2 31 4 5" xfId="35819" xr:uid="{00000000-0005-0000-0000-0000EB8B0000}"/>
    <cellStyle name="Normal 5 17 2 31 4 6" xfId="35820" xr:uid="{00000000-0005-0000-0000-0000EC8B0000}"/>
    <cellStyle name="Normal 5 17 2 31 4 7" xfId="35821" xr:uid="{00000000-0005-0000-0000-0000ED8B0000}"/>
    <cellStyle name="Normal 5 17 2 31 4 8" xfId="35822" xr:uid="{00000000-0005-0000-0000-0000EE8B0000}"/>
    <cellStyle name="Normal 5 17 2 31 4 9" xfId="35823" xr:uid="{00000000-0005-0000-0000-0000EF8B0000}"/>
    <cellStyle name="Normal 5 17 2 31 5" xfId="35824" xr:uid="{00000000-0005-0000-0000-0000F08B0000}"/>
    <cellStyle name="Normal 5 17 2 31 5 10" xfId="35825" xr:uid="{00000000-0005-0000-0000-0000F18B0000}"/>
    <cellStyle name="Normal 5 17 2 31 5 2" xfId="35826" xr:uid="{00000000-0005-0000-0000-0000F28B0000}"/>
    <cellStyle name="Normal 5 17 2 31 5 3" xfId="35827" xr:uid="{00000000-0005-0000-0000-0000F38B0000}"/>
    <cellStyle name="Normal 5 17 2 31 5 4" xfId="35828" xr:uid="{00000000-0005-0000-0000-0000F48B0000}"/>
    <cellStyle name="Normal 5 17 2 31 5 5" xfId="35829" xr:uid="{00000000-0005-0000-0000-0000F58B0000}"/>
    <cellStyle name="Normal 5 17 2 31 5 6" xfId="35830" xr:uid="{00000000-0005-0000-0000-0000F68B0000}"/>
    <cellStyle name="Normal 5 17 2 31 5 7" xfId="35831" xr:uid="{00000000-0005-0000-0000-0000F78B0000}"/>
    <cellStyle name="Normal 5 17 2 31 5 8" xfId="35832" xr:uid="{00000000-0005-0000-0000-0000F88B0000}"/>
    <cellStyle name="Normal 5 17 2 31 5 9" xfId="35833" xr:uid="{00000000-0005-0000-0000-0000F98B0000}"/>
    <cellStyle name="Normal 5 17 2 31 6" xfId="35834" xr:uid="{00000000-0005-0000-0000-0000FA8B0000}"/>
    <cellStyle name="Normal 5 17 2 31 7" xfId="35835" xr:uid="{00000000-0005-0000-0000-0000FB8B0000}"/>
    <cellStyle name="Normal 5 17 2 31 8" xfId="35836" xr:uid="{00000000-0005-0000-0000-0000FC8B0000}"/>
    <cellStyle name="Normal 5 17 2 31 9" xfId="35837" xr:uid="{00000000-0005-0000-0000-0000FD8B0000}"/>
    <cellStyle name="Normal 5 17 2 32" xfId="35838" xr:uid="{00000000-0005-0000-0000-0000FE8B0000}"/>
    <cellStyle name="Normal 5 17 2 32 10" xfId="35839" xr:uid="{00000000-0005-0000-0000-0000FF8B0000}"/>
    <cellStyle name="Normal 5 17 2 32 11" xfId="35840" xr:uid="{00000000-0005-0000-0000-0000008C0000}"/>
    <cellStyle name="Normal 5 17 2 32 12" xfId="35841" xr:uid="{00000000-0005-0000-0000-0000018C0000}"/>
    <cellStyle name="Normal 5 17 2 32 13" xfId="35842" xr:uid="{00000000-0005-0000-0000-0000028C0000}"/>
    <cellStyle name="Normal 5 17 2 32 14" xfId="35843" xr:uid="{00000000-0005-0000-0000-0000038C0000}"/>
    <cellStyle name="Normal 5 17 2 32 2" xfId="35844" xr:uid="{00000000-0005-0000-0000-0000048C0000}"/>
    <cellStyle name="Normal 5 17 2 32 2 10" xfId="35845" xr:uid="{00000000-0005-0000-0000-0000058C0000}"/>
    <cellStyle name="Normal 5 17 2 32 2 2" xfId="35846" xr:uid="{00000000-0005-0000-0000-0000068C0000}"/>
    <cellStyle name="Normal 5 17 2 32 2 3" xfId="35847" xr:uid="{00000000-0005-0000-0000-0000078C0000}"/>
    <cellStyle name="Normal 5 17 2 32 2 4" xfId="35848" xr:uid="{00000000-0005-0000-0000-0000088C0000}"/>
    <cellStyle name="Normal 5 17 2 32 2 5" xfId="35849" xr:uid="{00000000-0005-0000-0000-0000098C0000}"/>
    <cellStyle name="Normal 5 17 2 32 2 6" xfId="35850" xr:uid="{00000000-0005-0000-0000-00000A8C0000}"/>
    <cellStyle name="Normal 5 17 2 32 2 7" xfId="35851" xr:uid="{00000000-0005-0000-0000-00000B8C0000}"/>
    <cellStyle name="Normal 5 17 2 32 2 8" xfId="35852" xr:uid="{00000000-0005-0000-0000-00000C8C0000}"/>
    <cellStyle name="Normal 5 17 2 32 2 9" xfId="35853" xr:uid="{00000000-0005-0000-0000-00000D8C0000}"/>
    <cellStyle name="Normal 5 17 2 32 3" xfId="35854" xr:uid="{00000000-0005-0000-0000-00000E8C0000}"/>
    <cellStyle name="Normal 5 17 2 32 3 10" xfId="35855" xr:uid="{00000000-0005-0000-0000-00000F8C0000}"/>
    <cellStyle name="Normal 5 17 2 32 3 2" xfId="35856" xr:uid="{00000000-0005-0000-0000-0000108C0000}"/>
    <cellStyle name="Normal 5 17 2 32 3 3" xfId="35857" xr:uid="{00000000-0005-0000-0000-0000118C0000}"/>
    <cellStyle name="Normal 5 17 2 32 3 4" xfId="35858" xr:uid="{00000000-0005-0000-0000-0000128C0000}"/>
    <cellStyle name="Normal 5 17 2 32 3 5" xfId="35859" xr:uid="{00000000-0005-0000-0000-0000138C0000}"/>
    <cellStyle name="Normal 5 17 2 32 3 6" xfId="35860" xr:uid="{00000000-0005-0000-0000-0000148C0000}"/>
    <cellStyle name="Normal 5 17 2 32 3 7" xfId="35861" xr:uid="{00000000-0005-0000-0000-0000158C0000}"/>
    <cellStyle name="Normal 5 17 2 32 3 8" xfId="35862" xr:uid="{00000000-0005-0000-0000-0000168C0000}"/>
    <cellStyle name="Normal 5 17 2 32 3 9" xfId="35863" xr:uid="{00000000-0005-0000-0000-0000178C0000}"/>
    <cellStyle name="Normal 5 17 2 32 4" xfId="35864" xr:uid="{00000000-0005-0000-0000-0000188C0000}"/>
    <cellStyle name="Normal 5 17 2 32 4 10" xfId="35865" xr:uid="{00000000-0005-0000-0000-0000198C0000}"/>
    <cellStyle name="Normal 5 17 2 32 4 2" xfId="35866" xr:uid="{00000000-0005-0000-0000-00001A8C0000}"/>
    <cellStyle name="Normal 5 17 2 32 4 3" xfId="35867" xr:uid="{00000000-0005-0000-0000-00001B8C0000}"/>
    <cellStyle name="Normal 5 17 2 32 4 4" xfId="35868" xr:uid="{00000000-0005-0000-0000-00001C8C0000}"/>
    <cellStyle name="Normal 5 17 2 32 4 5" xfId="35869" xr:uid="{00000000-0005-0000-0000-00001D8C0000}"/>
    <cellStyle name="Normal 5 17 2 32 4 6" xfId="35870" xr:uid="{00000000-0005-0000-0000-00001E8C0000}"/>
    <cellStyle name="Normal 5 17 2 32 4 7" xfId="35871" xr:uid="{00000000-0005-0000-0000-00001F8C0000}"/>
    <cellStyle name="Normal 5 17 2 32 4 8" xfId="35872" xr:uid="{00000000-0005-0000-0000-0000208C0000}"/>
    <cellStyle name="Normal 5 17 2 32 4 9" xfId="35873" xr:uid="{00000000-0005-0000-0000-0000218C0000}"/>
    <cellStyle name="Normal 5 17 2 32 5" xfId="35874" xr:uid="{00000000-0005-0000-0000-0000228C0000}"/>
    <cellStyle name="Normal 5 17 2 32 5 10" xfId="35875" xr:uid="{00000000-0005-0000-0000-0000238C0000}"/>
    <cellStyle name="Normal 5 17 2 32 5 2" xfId="35876" xr:uid="{00000000-0005-0000-0000-0000248C0000}"/>
    <cellStyle name="Normal 5 17 2 32 5 3" xfId="35877" xr:uid="{00000000-0005-0000-0000-0000258C0000}"/>
    <cellStyle name="Normal 5 17 2 32 5 4" xfId="35878" xr:uid="{00000000-0005-0000-0000-0000268C0000}"/>
    <cellStyle name="Normal 5 17 2 32 5 5" xfId="35879" xr:uid="{00000000-0005-0000-0000-0000278C0000}"/>
    <cellStyle name="Normal 5 17 2 32 5 6" xfId="35880" xr:uid="{00000000-0005-0000-0000-0000288C0000}"/>
    <cellStyle name="Normal 5 17 2 32 5 7" xfId="35881" xr:uid="{00000000-0005-0000-0000-0000298C0000}"/>
    <cellStyle name="Normal 5 17 2 32 5 8" xfId="35882" xr:uid="{00000000-0005-0000-0000-00002A8C0000}"/>
    <cellStyle name="Normal 5 17 2 32 5 9" xfId="35883" xr:uid="{00000000-0005-0000-0000-00002B8C0000}"/>
    <cellStyle name="Normal 5 17 2 32 6" xfId="35884" xr:uid="{00000000-0005-0000-0000-00002C8C0000}"/>
    <cellStyle name="Normal 5 17 2 32 7" xfId="35885" xr:uid="{00000000-0005-0000-0000-00002D8C0000}"/>
    <cellStyle name="Normal 5 17 2 32 8" xfId="35886" xr:uid="{00000000-0005-0000-0000-00002E8C0000}"/>
    <cellStyle name="Normal 5 17 2 32 9" xfId="35887" xr:uid="{00000000-0005-0000-0000-00002F8C0000}"/>
    <cellStyle name="Normal 5 17 2 33" xfId="35888" xr:uid="{00000000-0005-0000-0000-0000308C0000}"/>
    <cellStyle name="Normal 5 17 2 33 10" xfId="35889" xr:uid="{00000000-0005-0000-0000-0000318C0000}"/>
    <cellStyle name="Normal 5 17 2 33 11" xfId="35890" xr:uid="{00000000-0005-0000-0000-0000328C0000}"/>
    <cellStyle name="Normal 5 17 2 33 12" xfId="35891" xr:uid="{00000000-0005-0000-0000-0000338C0000}"/>
    <cellStyle name="Normal 5 17 2 33 13" xfId="35892" xr:uid="{00000000-0005-0000-0000-0000348C0000}"/>
    <cellStyle name="Normal 5 17 2 33 14" xfId="35893" xr:uid="{00000000-0005-0000-0000-0000358C0000}"/>
    <cellStyle name="Normal 5 17 2 33 2" xfId="35894" xr:uid="{00000000-0005-0000-0000-0000368C0000}"/>
    <cellStyle name="Normal 5 17 2 33 2 10" xfId="35895" xr:uid="{00000000-0005-0000-0000-0000378C0000}"/>
    <cellStyle name="Normal 5 17 2 33 2 2" xfId="35896" xr:uid="{00000000-0005-0000-0000-0000388C0000}"/>
    <cellStyle name="Normal 5 17 2 33 2 3" xfId="35897" xr:uid="{00000000-0005-0000-0000-0000398C0000}"/>
    <cellStyle name="Normal 5 17 2 33 2 4" xfId="35898" xr:uid="{00000000-0005-0000-0000-00003A8C0000}"/>
    <cellStyle name="Normal 5 17 2 33 2 5" xfId="35899" xr:uid="{00000000-0005-0000-0000-00003B8C0000}"/>
    <cellStyle name="Normal 5 17 2 33 2 6" xfId="35900" xr:uid="{00000000-0005-0000-0000-00003C8C0000}"/>
    <cellStyle name="Normal 5 17 2 33 2 7" xfId="35901" xr:uid="{00000000-0005-0000-0000-00003D8C0000}"/>
    <cellStyle name="Normal 5 17 2 33 2 8" xfId="35902" xr:uid="{00000000-0005-0000-0000-00003E8C0000}"/>
    <cellStyle name="Normal 5 17 2 33 2 9" xfId="35903" xr:uid="{00000000-0005-0000-0000-00003F8C0000}"/>
    <cellStyle name="Normal 5 17 2 33 3" xfId="35904" xr:uid="{00000000-0005-0000-0000-0000408C0000}"/>
    <cellStyle name="Normal 5 17 2 33 3 10" xfId="35905" xr:uid="{00000000-0005-0000-0000-0000418C0000}"/>
    <cellStyle name="Normal 5 17 2 33 3 2" xfId="35906" xr:uid="{00000000-0005-0000-0000-0000428C0000}"/>
    <cellStyle name="Normal 5 17 2 33 3 3" xfId="35907" xr:uid="{00000000-0005-0000-0000-0000438C0000}"/>
    <cellStyle name="Normal 5 17 2 33 3 4" xfId="35908" xr:uid="{00000000-0005-0000-0000-0000448C0000}"/>
    <cellStyle name="Normal 5 17 2 33 3 5" xfId="35909" xr:uid="{00000000-0005-0000-0000-0000458C0000}"/>
    <cellStyle name="Normal 5 17 2 33 3 6" xfId="35910" xr:uid="{00000000-0005-0000-0000-0000468C0000}"/>
    <cellStyle name="Normal 5 17 2 33 3 7" xfId="35911" xr:uid="{00000000-0005-0000-0000-0000478C0000}"/>
    <cellStyle name="Normal 5 17 2 33 3 8" xfId="35912" xr:uid="{00000000-0005-0000-0000-0000488C0000}"/>
    <cellStyle name="Normal 5 17 2 33 3 9" xfId="35913" xr:uid="{00000000-0005-0000-0000-0000498C0000}"/>
    <cellStyle name="Normal 5 17 2 33 4" xfId="35914" xr:uid="{00000000-0005-0000-0000-00004A8C0000}"/>
    <cellStyle name="Normal 5 17 2 33 4 10" xfId="35915" xr:uid="{00000000-0005-0000-0000-00004B8C0000}"/>
    <cellStyle name="Normal 5 17 2 33 4 2" xfId="35916" xr:uid="{00000000-0005-0000-0000-00004C8C0000}"/>
    <cellStyle name="Normal 5 17 2 33 4 3" xfId="35917" xr:uid="{00000000-0005-0000-0000-00004D8C0000}"/>
    <cellStyle name="Normal 5 17 2 33 4 4" xfId="35918" xr:uid="{00000000-0005-0000-0000-00004E8C0000}"/>
    <cellStyle name="Normal 5 17 2 33 4 5" xfId="35919" xr:uid="{00000000-0005-0000-0000-00004F8C0000}"/>
    <cellStyle name="Normal 5 17 2 33 4 6" xfId="35920" xr:uid="{00000000-0005-0000-0000-0000508C0000}"/>
    <cellStyle name="Normal 5 17 2 33 4 7" xfId="35921" xr:uid="{00000000-0005-0000-0000-0000518C0000}"/>
    <cellStyle name="Normal 5 17 2 33 4 8" xfId="35922" xr:uid="{00000000-0005-0000-0000-0000528C0000}"/>
    <cellStyle name="Normal 5 17 2 33 4 9" xfId="35923" xr:uid="{00000000-0005-0000-0000-0000538C0000}"/>
    <cellStyle name="Normal 5 17 2 33 5" xfId="35924" xr:uid="{00000000-0005-0000-0000-0000548C0000}"/>
    <cellStyle name="Normal 5 17 2 33 5 10" xfId="35925" xr:uid="{00000000-0005-0000-0000-0000558C0000}"/>
    <cellStyle name="Normal 5 17 2 33 5 2" xfId="35926" xr:uid="{00000000-0005-0000-0000-0000568C0000}"/>
    <cellStyle name="Normal 5 17 2 33 5 3" xfId="35927" xr:uid="{00000000-0005-0000-0000-0000578C0000}"/>
    <cellStyle name="Normal 5 17 2 33 5 4" xfId="35928" xr:uid="{00000000-0005-0000-0000-0000588C0000}"/>
    <cellStyle name="Normal 5 17 2 33 5 5" xfId="35929" xr:uid="{00000000-0005-0000-0000-0000598C0000}"/>
    <cellStyle name="Normal 5 17 2 33 5 6" xfId="35930" xr:uid="{00000000-0005-0000-0000-00005A8C0000}"/>
    <cellStyle name="Normal 5 17 2 33 5 7" xfId="35931" xr:uid="{00000000-0005-0000-0000-00005B8C0000}"/>
    <cellStyle name="Normal 5 17 2 33 5 8" xfId="35932" xr:uid="{00000000-0005-0000-0000-00005C8C0000}"/>
    <cellStyle name="Normal 5 17 2 33 5 9" xfId="35933" xr:uid="{00000000-0005-0000-0000-00005D8C0000}"/>
    <cellStyle name="Normal 5 17 2 33 6" xfId="35934" xr:uid="{00000000-0005-0000-0000-00005E8C0000}"/>
    <cellStyle name="Normal 5 17 2 33 7" xfId="35935" xr:uid="{00000000-0005-0000-0000-00005F8C0000}"/>
    <cellStyle name="Normal 5 17 2 33 8" xfId="35936" xr:uid="{00000000-0005-0000-0000-0000608C0000}"/>
    <cellStyle name="Normal 5 17 2 33 9" xfId="35937" xr:uid="{00000000-0005-0000-0000-0000618C0000}"/>
    <cellStyle name="Normal 5 17 2 34" xfId="35938" xr:uid="{00000000-0005-0000-0000-0000628C0000}"/>
    <cellStyle name="Normal 5 17 2 34 10" xfId="35939" xr:uid="{00000000-0005-0000-0000-0000638C0000}"/>
    <cellStyle name="Normal 5 17 2 34 2" xfId="35940" xr:uid="{00000000-0005-0000-0000-0000648C0000}"/>
    <cellStyle name="Normal 5 17 2 34 3" xfId="35941" xr:uid="{00000000-0005-0000-0000-0000658C0000}"/>
    <cellStyle name="Normal 5 17 2 34 4" xfId="35942" xr:uid="{00000000-0005-0000-0000-0000668C0000}"/>
    <cellStyle name="Normal 5 17 2 34 5" xfId="35943" xr:uid="{00000000-0005-0000-0000-0000678C0000}"/>
    <cellStyle name="Normal 5 17 2 34 6" xfId="35944" xr:uid="{00000000-0005-0000-0000-0000688C0000}"/>
    <cellStyle name="Normal 5 17 2 34 7" xfId="35945" xr:uid="{00000000-0005-0000-0000-0000698C0000}"/>
    <cellStyle name="Normal 5 17 2 34 8" xfId="35946" xr:uid="{00000000-0005-0000-0000-00006A8C0000}"/>
    <cellStyle name="Normal 5 17 2 34 9" xfId="35947" xr:uid="{00000000-0005-0000-0000-00006B8C0000}"/>
    <cellStyle name="Normal 5 17 2 35" xfId="35948" xr:uid="{00000000-0005-0000-0000-00006C8C0000}"/>
    <cellStyle name="Normal 5 17 2 35 10" xfId="35949" xr:uid="{00000000-0005-0000-0000-00006D8C0000}"/>
    <cellStyle name="Normal 5 17 2 35 2" xfId="35950" xr:uid="{00000000-0005-0000-0000-00006E8C0000}"/>
    <cellStyle name="Normal 5 17 2 35 3" xfId="35951" xr:uid="{00000000-0005-0000-0000-00006F8C0000}"/>
    <cellStyle name="Normal 5 17 2 35 4" xfId="35952" xr:uid="{00000000-0005-0000-0000-0000708C0000}"/>
    <cellStyle name="Normal 5 17 2 35 5" xfId="35953" xr:uid="{00000000-0005-0000-0000-0000718C0000}"/>
    <cellStyle name="Normal 5 17 2 35 6" xfId="35954" xr:uid="{00000000-0005-0000-0000-0000728C0000}"/>
    <cellStyle name="Normal 5 17 2 35 7" xfId="35955" xr:uid="{00000000-0005-0000-0000-0000738C0000}"/>
    <cellStyle name="Normal 5 17 2 35 8" xfId="35956" xr:uid="{00000000-0005-0000-0000-0000748C0000}"/>
    <cellStyle name="Normal 5 17 2 35 9" xfId="35957" xr:uid="{00000000-0005-0000-0000-0000758C0000}"/>
    <cellStyle name="Normal 5 17 2 36" xfId="35958" xr:uid="{00000000-0005-0000-0000-0000768C0000}"/>
    <cellStyle name="Normal 5 17 2 36 10" xfId="35959" xr:uid="{00000000-0005-0000-0000-0000778C0000}"/>
    <cellStyle name="Normal 5 17 2 36 2" xfId="35960" xr:uid="{00000000-0005-0000-0000-0000788C0000}"/>
    <cellStyle name="Normal 5 17 2 36 3" xfId="35961" xr:uid="{00000000-0005-0000-0000-0000798C0000}"/>
    <cellStyle name="Normal 5 17 2 36 4" xfId="35962" xr:uid="{00000000-0005-0000-0000-00007A8C0000}"/>
    <cellStyle name="Normal 5 17 2 36 5" xfId="35963" xr:uid="{00000000-0005-0000-0000-00007B8C0000}"/>
    <cellStyle name="Normal 5 17 2 36 6" xfId="35964" xr:uid="{00000000-0005-0000-0000-00007C8C0000}"/>
    <cellStyle name="Normal 5 17 2 36 7" xfId="35965" xr:uid="{00000000-0005-0000-0000-00007D8C0000}"/>
    <cellStyle name="Normal 5 17 2 36 8" xfId="35966" xr:uid="{00000000-0005-0000-0000-00007E8C0000}"/>
    <cellStyle name="Normal 5 17 2 36 9" xfId="35967" xr:uid="{00000000-0005-0000-0000-00007F8C0000}"/>
    <cellStyle name="Normal 5 17 2 37" xfId="35968" xr:uid="{00000000-0005-0000-0000-0000808C0000}"/>
    <cellStyle name="Normal 5 17 2 37 10" xfId="35969" xr:uid="{00000000-0005-0000-0000-0000818C0000}"/>
    <cellStyle name="Normal 5 17 2 37 2" xfId="35970" xr:uid="{00000000-0005-0000-0000-0000828C0000}"/>
    <cellStyle name="Normal 5 17 2 37 3" xfId="35971" xr:uid="{00000000-0005-0000-0000-0000838C0000}"/>
    <cellStyle name="Normal 5 17 2 37 4" xfId="35972" xr:uid="{00000000-0005-0000-0000-0000848C0000}"/>
    <cellStyle name="Normal 5 17 2 37 5" xfId="35973" xr:uid="{00000000-0005-0000-0000-0000858C0000}"/>
    <cellStyle name="Normal 5 17 2 37 6" xfId="35974" xr:uid="{00000000-0005-0000-0000-0000868C0000}"/>
    <cellStyle name="Normal 5 17 2 37 7" xfId="35975" xr:uid="{00000000-0005-0000-0000-0000878C0000}"/>
    <cellStyle name="Normal 5 17 2 37 8" xfId="35976" xr:uid="{00000000-0005-0000-0000-0000888C0000}"/>
    <cellStyle name="Normal 5 17 2 37 9" xfId="35977" xr:uid="{00000000-0005-0000-0000-0000898C0000}"/>
    <cellStyle name="Normal 5 17 2 38" xfId="35978" xr:uid="{00000000-0005-0000-0000-00008A8C0000}"/>
    <cellStyle name="Normal 5 17 2 39" xfId="35979" xr:uid="{00000000-0005-0000-0000-00008B8C0000}"/>
    <cellStyle name="Normal 5 17 2 4" xfId="35980" xr:uid="{00000000-0005-0000-0000-00008C8C0000}"/>
    <cellStyle name="Normal 5 17 2 4 10" xfId="35981" xr:uid="{00000000-0005-0000-0000-00008D8C0000}"/>
    <cellStyle name="Normal 5 17 2 4 11" xfId="35982" xr:uid="{00000000-0005-0000-0000-00008E8C0000}"/>
    <cellStyle name="Normal 5 17 2 4 12" xfId="35983" xr:uid="{00000000-0005-0000-0000-00008F8C0000}"/>
    <cellStyle name="Normal 5 17 2 4 13" xfId="35984" xr:uid="{00000000-0005-0000-0000-0000908C0000}"/>
    <cellStyle name="Normal 5 17 2 4 14" xfId="35985" xr:uid="{00000000-0005-0000-0000-0000918C0000}"/>
    <cellStyle name="Normal 5 17 2 4 2" xfId="35986" xr:uid="{00000000-0005-0000-0000-0000928C0000}"/>
    <cellStyle name="Normal 5 17 2 4 2 10" xfId="35987" xr:uid="{00000000-0005-0000-0000-0000938C0000}"/>
    <cellStyle name="Normal 5 17 2 4 2 2" xfId="35988" xr:uid="{00000000-0005-0000-0000-0000948C0000}"/>
    <cellStyle name="Normal 5 17 2 4 2 3" xfId="35989" xr:uid="{00000000-0005-0000-0000-0000958C0000}"/>
    <cellStyle name="Normal 5 17 2 4 2 4" xfId="35990" xr:uid="{00000000-0005-0000-0000-0000968C0000}"/>
    <cellStyle name="Normal 5 17 2 4 2 5" xfId="35991" xr:uid="{00000000-0005-0000-0000-0000978C0000}"/>
    <cellStyle name="Normal 5 17 2 4 2 6" xfId="35992" xr:uid="{00000000-0005-0000-0000-0000988C0000}"/>
    <cellStyle name="Normal 5 17 2 4 2 7" xfId="35993" xr:uid="{00000000-0005-0000-0000-0000998C0000}"/>
    <cellStyle name="Normal 5 17 2 4 2 8" xfId="35994" xr:uid="{00000000-0005-0000-0000-00009A8C0000}"/>
    <cellStyle name="Normal 5 17 2 4 2 9" xfId="35995" xr:uid="{00000000-0005-0000-0000-00009B8C0000}"/>
    <cellStyle name="Normal 5 17 2 4 3" xfId="35996" xr:uid="{00000000-0005-0000-0000-00009C8C0000}"/>
    <cellStyle name="Normal 5 17 2 4 3 10" xfId="35997" xr:uid="{00000000-0005-0000-0000-00009D8C0000}"/>
    <cellStyle name="Normal 5 17 2 4 3 2" xfId="35998" xr:uid="{00000000-0005-0000-0000-00009E8C0000}"/>
    <cellStyle name="Normal 5 17 2 4 3 3" xfId="35999" xr:uid="{00000000-0005-0000-0000-00009F8C0000}"/>
    <cellStyle name="Normal 5 17 2 4 3 4" xfId="36000" xr:uid="{00000000-0005-0000-0000-0000A08C0000}"/>
    <cellStyle name="Normal 5 17 2 4 3 5" xfId="36001" xr:uid="{00000000-0005-0000-0000-0000A18C0000}"/>
    <cellStyle name="Normal 5 17 2 4 3 6" xfId="36002" xr:uid="{00000000-0005-0000-0000-0000A28C0000}"/>
    <cellStyle name="Normal 5 17 2 4 3 7" xfId="36003" xr:uid="{00000000-0005-0000-0000-0000A38C0000}"/>
    <cellStyle name="Normal 5 17 2 4 3 8" xfId="36004" xr:uid="{00000000-0005-0000-0000-0000A48C0000}"/>
    <cellStyle name="Normal 5 17 2 4 3 9" xfId="36005" xr:uid="{00000000-0005-0000-0000-0000A58C0000}"/>
    <cellStyle name="Normal 5 17 2 4 4" xfId="36006" xr:uid="{00000000-0005-0000-0000-0000A68C0000}"/>
    <cellStyle name="Normal 5 17 2 4 4 10" xfId="36007" xr:uid="{00000000-0005-0000-0000-0000A78C0000}"/>
    <cellStyle name="Normal 5 17 2 4 4 2" xfId="36008" xr:uid="{00000000-0005-0000-0000-0000A88C0000}"/>
    <cellStyle name="Normal 5 17 2 4 4 3" xfId="36009" xr:uid="{00000000-0005-0000-0000-0000A98C0000}"/>
    <cellStyle name="Normal 5 17 2 4 4 4" xfId="36010" xr:uid="{00000000-0005-0000-0000-0000AA8C0000}"/>
    <cellStyle name="Normal 5 17 2 4 4 5" xfId="36011" xr:uid="{00000000-0005-0000-0000-0000AB8C0000}"/>
    <cellStyle name="Normal 5 17 2 4 4 6" xfId="36012" xr:uid="{00000000-0005-0000-0000-0000AC8C0000}"/>
    <cellStyle name="Normal 5 17 2 4 4 7" xfId="36013" xr:uid="{00000000-0005-0000-0000-0000AD8C0000}"/>
    <cellStyle name="Normal 5 17 2 4 4 8" xfId="36014" xr:uid="{00000000-0005-0000-0000-0000AE8C0000}"/>
    <cellStyle name="Normal 5 17 2 4 4 9" xfId="36015" xr:uid="{00000000-0005-0000-0000-0000AF8C0000}"/>
    <cellStyle name="Normal 5 17 2 4 5" xfId="36016" xr:uid="{00000000-0005-0000-0000-0000B08C0000}"/>
    <cellStyle name="Normal 5 17 2 4 5 10" xfId="36017" xr:uid="{00000000-0005-0000-0000-0000B18C0000}"/>
    <cellStyle name="Normal 5 17 2 4 5 2" xfId="36018" xr:uid="{00000000-0005-0000-0000-0000B28C0000}"/>
    <cellStyle name="Normal 5 17 2 4 5 3" xfId="36019" xr:uid="{00000000-0005-0000-0000-0000B38C0000}"/>
    <cellStyle name="Normal 5 17 2 4 5 4" xfId="36020" xr:uid="{00000000-0005-0000-0000-0000B48C0000}"/>
    <cellStyle name="Normal 5 17 2 4 5 5" xfId="36021" xr:uid="{00000000-0005-0000-0000-0000B58C0000}"/>
    <cellStyle name="Normal 5 17 2 4 5 6" xfId="36022" xr:uid="{00000000-0005-0000-0000-0000B68C0000}"/>
    <cellStyle name="Normal 5 17 2 4 5 7" xfId="36023" xr:uid="{00000000-0005-0000-0000-0000B78C0000}"/>
    <cellStyle name="Normal 5 17 2 4 5 8" xfId="36024" xr:uid="{00000000-0005-0000-0000-0000B88C0000}"/>
    <cellStyle name="Normal 5 17 2 4 5 9" xfId="36025" xr:uid="{00000000-0005-0000-0000-0000B98C0000}"/>
    <cellStyle name="Normal 5 17 2 4 6" xfId="36026" xr:uid="{00000000-0005-0000-0000-0000BA8C0000}"/>
    <cellStyle name="Normal 5 17 2 4 7" xfId="36027" xr:uid="{00000000-0005-0000-0000-0000BB8C0000}"/>
    <cellStyle name="Normal 5 17 2 4 8" xfId="36028" xr:uid="{00000000-0005-0000-0000-0000BC8C0000}"/>
    <cellStyle name="Normal 5 17 2 4 9" xfId="36029" xr:uid="{00000000-0005-0000-0000-0000BD8C0000}"/>
    <cellStyle name="Normal 5 17 2 40" xfId="36030" xr:uid="{00000000-0005-0000-0000-0000BE8C0000}"/>
    <cellStyle name="Normal 5 17 2 41" xfId="36031" xr:uid="{00000000-0005-0000-0000-0000BF8C0000}"/>
    <cellStyle name="Normal 5 17 2 42" xfId="36032" xr:uid="{00000000-0005-0000-0000-0000C08C0000}"/>
    <cellStyle name="Normal 5 17 2 43" xfId="36033" xr:uid="{00000000-0005-0000-0000-0000C18C0000}"/>
    <cellStyle name="Normal 5 17 2 44" xfId="36034" xr:uid="{00000000-0005-0000-0000-0000C28C0000}"/>
    <cellStyle name="Normal 5 17 2 45" xfId="36035" xr:uid="{00000000-0005-0000-0000-0000C38C0000}"/>
    <cellStyle name="Normal 5 17 2 46" xfId="36036" xr:uid="{00000000-0005-0000-0000-0000C48C0000}"/>
    <cellStyle name="Normal 5 17 2 47" xfId="36037" xr:uid="{00000000-0005-0000-0000-0000C58C0000}"/>
    <cellStyle name="Normal 5 17 2 48" xfId="36038" xr:uid="{00000000-0005-0000-0000-0000C68C0000}"/>
    <cellStyle name="Normal 5 17 2 5" xfId="36039" xr:uid="{00000000-0005-0000-0000-0000C78C0000}"/>
    <cellStyle name="Normal 5 17 2 5 10" xfId="36040" xr:uid="{00000000-0005-0000-0000-0000C88C0000}"/>
    <cellStyle name="Normal 5 17 2 5 11" xfId="36041" xr:uid="{00000000-0005-0000-0000-0000C98C0000}"/>
    <cellStyle name="Normal 5 17 2 5 12" xfId="36042" xr:uid="{00000000-0005-0000-0000-0000CA8C0000}"/>
    <cellStyle name="Normal 5 17 2 5 13" xfId="36043" xr:uid="{00000000-0005-0000-0000-0000CB8C0000}"/>
    <cellStyle name="Normal 5 17 2 5 14" xfId="36044" xr:uid="{00000000-0005-0000-0000-0000CC8C0000}"/>
    <cellStyle name="Normal 5 17 2 5 2" xfId="36045" xr:uid="{00000000-0005-0000-0000-0000CD8C0000}"/>
    <cellStyle name="Normal 5 17 2 5 2 10" xfId="36046" xr:uid="{00000000-0005-0000-0000-0000CE8C0000}"/>
    <cellStyle name="Normal 5 17 2 5 2 2" xfId="36047" xr:uid="{00000000-0005-0000-0000-0000CF8C0000}"/>
    <cellStyle name="Normal 5 17 2 5 2 3" xfId="36048" xr:uid="{00000000-0005-0000-0000-0000D08C0000}"/>
    <cellStyle name="Normal 5 17 2 5 2 4" xfId="36049" xr:uid="{00000000-0005-0000-0000-0000D18C0000}"/>
    <cellStyle name="Normal 5 17 2 5 2 5" xfId="36050" xr:uid="{00000000-0005-0000-0000-0000D28C0000}"/>
    <cellStyle name="Normal 5 17 2 5 2 6" xfId="36051" xr:uid="{00000000-0005-0000-0000-0000D38C0000}"/>
    <cellStyle name="Normal 5 17 2 5 2 7" xfId="36052" xr:uid="{00000000-0005-0000-0000-0000D48C0000}"/>
    <cellStyle name="Normal 5 17 2 5 2 8" xfId="36053" xr:uid="{00000000-0005-0000-0000-0000D58C0000}"/>
    <cellStyle name="Normal 5 17 2 5 2 9" xfId="36054" xr:uid="{00000000-0005-0000-0000-0000D68C0000}"/>
    <cellStyle name="Normal 5 17 2 5 3" xfId="36055" xr:uid="{00000000-0005-0000-0000-0000D78C0000}"/>
    <cellStyle name="Normal 5 17 2 5 3 10" xfId="36056" xr:uid="{00000000-0005-0000-0000-0000D88C0000}"/>
    <cellStyle name="Normal 5 17 2 5 3 2" xfId="36057" xr:uid="{00000000-0005-0000-0000-0000D98C0000}"/>
    <cellStyle name="Normal 5 17 2 5 3 3" xfId="36058" xr:uid="{00000000-0005-0000-0000-0000DA8C0000}"/>
    <cellStyle name="Normal 5 17 2 5 3 4" xfId="36059" xr:uid="{00000000-0005-0000-0000-0000DB8C0000}"/>
    <cellStyle name="Normal 5 17 2 5 3 5" xfId="36060" xr:uid="{00000000-0005-0000-0000-0000DC8C0000}"/>
    <cellStyle name="Normal 5 17 2 5 3 6" xfId="36061" xr:uid="{00000000-0005-0000-0000-0000DD8C0000}"/>
    <cellStyle name="Normal 5 17 2 5 3 7" xfId="36062" xr:uid="{00000000-0005-0000-0000-0000DE8C0000}"/>
    <cellStyle name="Normal 5 17 2 5 3 8" xfId="36063" xr:uid="{00000000-0005-0000-0000-0000DF8C0000}"/>
    <cellStyle name="Normal 5 17 2 5 3 9" xfId="36064" xr:uid="{00000000-0005-0000-0000-0000E08C0000}"/>
    <cellStyle name="Normal 5 17 2 5 4" xfId="36065" xr:uid="{00000000-0005-0000-0000-0000E18C0000}"/>
    <cellStyle name="Normal 5 17 2 5 4 10" xfId="36066" xr:uid="{00000000-0005-0000-0000-0000E28C0000}"/>
    <cellStyle name="Normal 5 17 2 5 4 2" xfId="36067" xr:uid="{00000000-0005-0000-0000-0000E38C0000}"/>
    <cellStyle name="Normal 5 17 2 5 4 3" xfId="36068" xr:uid="{00000000-0005-0000-0000-0000E48C0000}"/>
    <cellStyle name="Normal 5 17 2 5 4 4" xfId="36069" xr:uid="{00000000-0005-0000-0000-0000E58C0000}"/>
    <cellStyle name="Normal 5 17 2 5 4 5" xfId="36070" xr:uid="{00000000-0005-0000-0000-0000E68C0000}"/>
    <cellStyle name="Normal 5 17 2 5 4 6" xfId="36071" xr:uid="{00000000-0005-0000-0000-0000E78C0000}"/>
    <cellStyle name="Normal 5 17 2 5 4 7" xfId="36072" xr:uid="{00000000-0005-0000-0000-0000E88C0000}"/>
    <cellStyle name="Normal 5 17 2 5 4 8" xfId="36073" xr:uid="{00000000-0005-0000-0000-0000E98C0000}"/>
    <cellStyle name="Normal 5 17 2 5 4 9" xfId="36074" xr:uid="{00000000-0005-0000-0000-0000EA8C0000}"/>
    <cellStyle name="Normal 5 17 2 5 5" xfId="36075" xr:uid="{00000000-0005-0000-0000-0000EB8C0000}"/>
    <cellStyle name="Normal 5 17 2 5 5 10" xfId="36076" xr:uid="{00000000-0005-0000-0000-0000EC8C0000}"/>
    <cellStyle name="Normal 5 17 2 5 5 2" xfId="36077" xr:uid="{00000000-0005-0000-0000-0000ED8C0000}"/>
    <cellStyle name="Normal 5 17 2 5 5 3" xfId="36078" xr:uid="{00000000-0005-0000-0000-0000EE8C0000}"/>
    <cellStyle name="Normal 5 17 2 5 5 4" xfId="36079" xr:uid="{00000000-0005-0000-0000-0000EF8C0000}"/>
    <cellStyle name="Normal 5 17 2 5 5 5" xfId="36080" xr:uid="{00000000-0005-0000-0000-0000F08C0000}"/>
    <cellStyle name="Normal 5 17 2 5 5 6" xfId="36081" xr:uid="{00000000-0005-0000-0000-0000F18C0000}"/>
    <cellStyle name="Normal 5 17 2 5 5 7" xfId="36082" xr:uid="{00000000-0005-0000-0000-0000F28C0000}"/>
    <cellStyle name="Normal 5 17 2 5 5 8" xfId="36083" xr:uid="{00000000-0005-0000-0000-0000F38C0000}"/>
    <cellStyle name="Normal 5 17 2 5 5 9" xfId="36084" xr:uid="{00000000-0005-0000-0000-0000F48C0000}"/>
    <cellStyle name="Normal 5 17 2 5 6" xfId="36085" xr:uid="{00000000-0005-0000-0000-0000F58C0000}"/>
    <cellStyle name="Normal 5 17 2 5 7" xfId="36086" xr:uid="{00000000-0005-0000-0000-0000F68C0000}"/>
    <cellStyle name="Normal 5 17 2 5 8" xfId="36087" xr:uid="{00000000-0005-0000-0000-0000F78C0000}"/>
    <cellStyle name="Normal 5 17 2 5 9" xfId="36088" xr:uid="{00000000-0005-0000-0000-0000F88C0000}"/>
    <cellStyle name="Normal 5 17 2 6" xfId="36089" xr:uid="{00000000-0005-0000-0000-0000F98C0000}"/>
    <cellStyle name="Normal 5 17 2 6 10" xfId="36090" xr:uid="{00000000-0005-0000-0000-0000FA8C0000}"/>
    <cellStyle name="Normal 5 17 2 6 11" xfId="36091" xr:uid="{00000000-0005-0000-0000-0000FB8C0000}"/>
    <cellStyle name="Normal 5 17 2 6 12" xfId="36092" xr:uid="{00000000-0005-0000-0000-0000FC8C0000}"/>
    <cellStyle name="Normal 5 17 2 6 13" xfId="36093" xr:uid="{00000000-0005-0000-0000-0000FD8C0000}"/>
    <cellStyle name="Normal 5 17 2 6 14" xfId="36094" xr:uid="{00000000-0005-0000-0000-0000FE8C0000}"/>
    <cellStyle name="Normal 5 17 2 6 2" xfId="36095" xr:uid="{00000000-0005-0000-0000-0000FF8C0000}"/>
    <cellStyle name="Normal 5 17 2 6 2 10" xfId="36096" xr:uid="{00000000-0005-0000-0000-0000008D0000}"/>
    <cellStyle name="Normal 5 17 2 6 2 2" xfId="36097" xr:uid="{00000000-0005-0000-0000-0000018D0000}"/>
    <cellStyle name="Normal 5 17 2 6 2 3" xfId="36098" xr:uid="{00000000-0005-0000-0000-0000028D0000}"/>
    <cellStyle name="Normal 5 17 2 6 2 4" xfId="36099" xr:uid="{00000000-0005-0000-0000-0000038D0000}"/>
    <cellStyle name="Normal 5 17 2 6 2 5" xfId="36100" xr:uid="{00000000-0005-0000-0000-0000048D0000}"/>
    <cellStyle name="Normal 5 17 2 6 2 6" xfId="36101" xr:uid="{00000000-0005-0000-0000-0000058D0000}"/>
    <cellStyle name="Normal 5 17 2 6 2 7" xfId="36102" xr:uid="{00000000-0005-0000-0000-0000068D0000}"/>
    <cellStyle name="Normal 5 17 2 6 2 8" xfId="36103" xr:uid="{00000000-0005-0000-0000-0000078D0000}"/>
    <cellStyle name="Normal 5 17 2 6 2 9" xfId="36104" xr:uid="{00000000-0005-0000-0000-0000088D0000}"/>
    <cellStyle name="Normal 5 17 2 6 3" xfId="36105" xr:uid="{00000000-0005-0000-0000-0000098D0000}"/>
    <cellStyle name="Normal 5 17 2 6 3 10" xfId="36106" xr:uid="{00000000-0005-0000-0000-00000A8D0000}"/>
    <cellStyle name="Normal 5 17 2 6 3 2" xfId="36107" xr:uid="{00000000-0005-0000-0000-00000B8D0000}"/>
    <cellStyle name="Normal 5 17 2 6 3 3" xfId="36108" xr:uid="{00000000-0005-0000-0000-00000C8D0000}"/>
    <cellStyle name="Normal 5 17 2 6 3 4" xfId="36109" xr:uid="{00000000-0005-0000-0000-00000D8D0000}"/>
    <cellStyle name="Normal 5 17 2 6 3 5" xfId="36110" xr:uid="{00000000-0005-0000-0000-00000E8D0000}"/>
    <cellStyle name="Normal 5 17 2 6 3 6" xfId="36111" xr:uid="{00000000-0005-0000-0000-00000F8D0000}"/>
    <cellStyle name="Normal 5 17 2 6 3 7" xfId="36112" xr:uid="{00000000-0005-0000-0000-0000108D0000}"/>
    <cellStyle name="Normal 5 17 2 6 3 8" xfId="36113" xr:uid="{00000000-0005-0000-0000-0000118D0000}"/>
    <cellStyle name="Normal 5 17 2 6 3 9" xfId="36114" xr:uid="{00000000-0005-0000-0000-0000128D0000}"/>
    <cellStyle name="Normal 5 17 2 6 4" xfId="36115" xr:uid="{00000000-0005-0000-0000-0000138D0000}"/>
    <cellStyle name="Normal 5 17 2 6 4 10" xfId="36116" xr:uid="{00000000-0005-0000-0000-0000148D0000}"/>
    <cellStyle name="Normal 5 17 2 6 4 2" xfId="36117" xr:uid="{00000000-0005-0000-0000-0000158D0000}"/>
    <cellStyle name="Normal 5 17 2 6 4 3" xfId="36118" xr:uid="{00000000-0005-0000-0000-0000168D0000}"/>
    <cellStyle name="Normal 5 17 2 6 4 4" xfId="36119" xr:uid="{00000000-0005-0000-0000-0000178D0000}"/>
    <cellStyle name="Normal 5 17 2 6 4 5" xfId="36120" xr:uid="{00000000-0005-0000-0000-0000188D0000}"/>
    <cellStyle name="Normal 5 17 2 6 4 6" xfId="36121" xr:uid="{00000000-0005-0000-0000-0000198D0000}"/>
    <cellStyle name="Normal 5 17 2 6 4 7" xfId="36122" xr:uid="{00000000-0005-0000-0000-00001A8D0000}"/>
    <cellStyle name="Normal 5 17 2 6 4 8" xfId="36123" xr:uid="{00000000-0005-0000-0000-00001B8D0000}"/>
    <cellStyle name="Normal 5 17 2 6 4 9" xfId="36124" xr:uid="{00000000-0005-0000-0000-00001C8D0000}"/>
    <cellStyle name="Normal 5 17 2 6 5" xfId="36125" xr:uid="{00000000-0005-0000-0000-00001D8D0000}"/>
    <cellStyle name="Normal 5 17 2 6 5 10" xfId="36126" xr:uid="{00000000-0005-0000-0000-00001E8D0000}"/>
    <cellStyle name="Normal 5 17 2 6 5 2" xfId="36127" xr:uid="{00000000-0005-0000-0000-00001F8D0000}"/>
    <cellStyle name="Normal 5 17 2 6 5 3" xfId="36128" xr:uid="{00000000-0005-0000-0000-0000208D0000}"/>
    <cellStyle name="Normal 5 17 2 6 5 4" xfId="36129" xr:uid="{00000000-0005-0000-0000-0000218D0000}"/>
    <cellStyle name="Normal 5 17 2 6 5 5" xfId="36130" xr:uid="{00000000-0005-0000-0000-0000228D0000}"/>
    <cellStyle name="Normal 5 17 2 6 5 6" xfId="36131" xr:uid="{00000000-0005-0000-0000-0000238D0000}"/>
    <cellStyle name="Normal 5 17 2 6 5 7" xfId="36132" xr:uid="{00000000-0005-0000-0000-0000248D0000}"/>
    <cellStyle name="Normal 5 17 2 6 5 8" xfId="36133" xr:uid="{00000000-0005-0000-0000-0000258D0000}"/>
    <cellStyle name="Normal 5 17 2 6 5 9" xfId="36134" xr:uid="{00000000-0005-0000-0000-0000268D0000}"/>
    <cellStyle name="Normal 5 17 2 6 6" xfId="36135" xr:uid="{00000000-0005-0000-0000-0000278D0000}"/>
    <cellStyle name="Normal 5 17 2 6 7" xfId="36136" xr:uid="{00000000-0005-0000-0000-0000288D0000}"/>
    <cellStyle name="Normal 5 17 2 6 8" xfId="36137" xr:uid="{00000000-0005-0000-0000-0000298D0000}"/>
    <cellStyle name="Normal 5 17 2 6 9" xfId="36138" xr:uid="{00000000-0005-0000-0000-00002A8D0000}"/>
    <cellStyle name="Normal 5 17 2 7" xfId="36139" xr:uid="{00000000-0005-0000-0000-00002B8D0000}"/>
    <cellStyle name="Normal 5 17 2 7 10" xfId="36140" xr:uid="{00000000-0005-0000-0000-00002C8D0000}"/>
    <cellStyle name="Normal 5 17 2 7 11" xfId="36141" xr:uid="{00000000-0005-0000-0000-00002D8D0000}"/>
    <cellStyle name="Normal 5 17 2 7 12" xfId="36142" xr:uid="{00000000-0005-0000-0000-00002E8D0000}"/>
    <cellStyle name="Normal 5 17 2 7 13" xfId="36143" xr:uid="{00000000-0005-0000-0000-00002F8D0000}"/>
    <cellStyle name="Normal 5 17 2 7 14" xfId="36144" xr:uid="{00000000-0005-0000-0000-0000308D0000}"/>
    <cellStyle name="Normal 5 17 2 7 2" xfId="36145" xr:uid="{00000000-0005-0000-0000-0000318D0000}"/>
    <cellStyle name="Normal 5 17 2 7 2 10" xfId="36146" xr:uid="{00000000-0005-0000-0000-0000328D0000}"/>
    <cellStyle name="Normal 5 17 2 7 2 2" xfId="36147" xr:uid="{00000000-0005-0000-0000-0000338D0000}"/>
    <cellStyle name="Normal 5 17 2 7 2 3" xfId="36148" xr:uid="{00000000-0005-0000-0000-0000348D0000}"/>
    <cellStyle name="Normal 5 17 2 7 2 4" xfId="36149" xr:uid="{00000000-0005-0000-0000-0000358D0000}"/>
    <cellStyle name="Normal 5 17 2 7 2 5" xfId="36150" xr:uid="{00000000-0005-0000-0000-0000368D0000}"/>
    <cellStyle name="Normal 5 17 2 7 2 6" xfId="36151" xr:uid="{00000000-0005-0000-0000-0000378D0000}"/>
    <cellStyle name="Normal 5 17 2 7 2 7" xfId="36152" xr:uid="{00000000-0005-0000-0000-0000388D0000}"/>
    <cellStyle name="Normal 5 17 2 7 2 8" xfId="36153" xr:uid="{00000000-0005-0000-0000-0000398D0000}"/>
    <cellStyle name="Normal 5 17 2 7 2 9" xfId="36154" xr:uid="{00000000-0005-0000-0000-00003A8D0000}"/>
    <cellStyle name="Normal 5 17 2 7 3" xfId="36155" xr:uid="{00000000-0005-0000-0000-00003B8D0000}"/>
    <cellStyle name="Normal 5 17 2 7 3 10" xfId="36156" xr:uid="{00000000-0005-0000-0000-00003C8D0000}"/>
    <cellStyle name="Normal 5 17 2 7 3 2" xfId="36157" xr:uid="{00000000-0005-0000-0000-00003D8D0000}"/>
    <cellStyle name="Normal 5 17 2 7 3 3" xfId="36158" xr:uid="{00000000-0005-0000-0000-00003E8D0000}"/>
    <cellStyle name="Normal 5 17 2 7 3 4" xfId="36159" xr:uid="{00000000-0005-0000-0000-00003F8D0000}"/>
    <cellStyle name="Normal 5 17 2 7 3 5" xfId="36160" xr:uid="{00000000-0005-0000-0000-0000408D0000}"/>
    <cellStyle name="Normal 5 17 2 7 3 6" xfId="36161" xr:uid="{00000000-0005-0000-0000-0000418D0000}"/>
    <cellStyle name="Normal 5 17 2 7 3 7" xfId="36162" xr:uid="{00000000-0005-0000-0000-0000428D0000}"/>
    <cellStyle name="Normal 5 17 2 7 3 8" xfId="36163" xr:uid="{00000000-0005-0000-0000-0000438D0000}"/>
    <cellStyle name="Normal 5 17 2 7 3 9" xfId="36164" xr:uid="{00000000-0005-0000-0000-0000448D0000}"/>
    <cellStyle name="Normal 5 17 2 7 4" xfId="36165" xr:uid="{00000000-0005-0000-0000-0000458D0000}"/>
    <cellStyle name="Normal 5 17 2 7 4 10" xfId="36166" xr:uid="{00000000-0005-0000-0000-0000468D0000}"/>
    <cellStyle name="Normal 5 17 2 7 4 2" xfId="36167" xr:uid="{00000000-0005-0000-0000-0000478D0000}"/>
    <cellStyle name="Normal 5 17 2 7 4 3" xfId="36168" xr:uid="{00000000-0005-0000-0000-0000488D0000}"/>
    <cellStyle name="Normal 5 17 2 7 4 4" xfId="36169" xr:uid="{00000000-0005-0000-0000-0000498D0000}"/>
    <cellStyle name="Normal 5 17 2 7 4 5" xfId="36170" xr:uid="{00000000-0005-0000-0000-00004A8D0000}"/>
    <cellStyle name="Normal 5 17 2 7 4 6" xfId="36171" xr:uid="{00000000-0005-0000-0000-00004B8D0000}"/>
    <cellStyle name="Normal 5 17 2 7 4 7" xfId="36172" xr:uid="{00000000-0005-0000-0000-00004C8D0000}"/>
    <cellStyle name="Normal 5 17 2 7 4 8" xfId="36173" xr:uid="{00000000-0005-0000-0000-00004D8D0000}"/>
    <cellStyle name="Normal 5 17 2 7 4 9" xfId="36174" xr:uid="{00000000-0005-0000-0000-00004E8D0000}"/>
    <cellStyle name="Normal 5 17 2 7 5" xfId="36175" xr:uid="{00000000-0005-0000-0000-00004F8D0000}"/>
    <cellStyle name="Normal 5 17 2 7 5 10" xfId="36176" xr:uid="{00000000-0005-0000-0000-0000508D0000}"/>
    <cellStyle name="Normal 5 17 2 7 5 2" xfId="36177" xr:uid="{00000000-0005-0000-0000-0000518D0000}"/>
    <cellStyle name="Normal 5 17 2 7 5 3" xfId="36178" xr:uid="{00000000-0005-0000-0000-0000528D0000}"/>
    <cellStyle name="Normal 5 17 2 7 5 4" xfId="36179" xr:uid="{00000000-0005-0000-0000-0000538D0000}"/>
    <cellStyle name="Normal 5 17 2 7 5 5" xfId="36180" xr:uid="{00000000-0005-0000-0000-0000548D0000}"/>
    <cellStyle name="Normal 5 17 2 7 5 6" xfId="36181" xr:uid="{00000000-0005-0000-0000-0000558D0000}"/>
    <cellStyle name="Normal 5 17 2 7 5 7" xfId="36182" xr:uid="{00000000-0005-0000-0000-0000568D0000}"/>
    <cellStyle name="Normal 5 17 2 7 5 8" xfId="36183" xr:uid="{00000000-0005-0000-0000-0000578D0000}"/>
    <cellStyle name="Normal 5 17 2 7 5 9" xfId="36184" xr:uid="{00000000-0005-0000-0000-0000588D0000}"/>
    <cellStyle name="Normal 5 17 2 7 6" xfId="36185" xr:uid="{00000000-0005-0000-0000-0000598D0000}"/>
    <cellStyle name="Normal 5 17 2 7 7" xfId="36186" xr:uid="{00000000-0005-0000-0000-00005A8D0000}"/>
    <cellStyle name="Normal 5 17 2 7 8" xfId="36187" xr:uid="{00000000-0005-0000-0000-00005B8D0000}"/>
    <cellStyle name="Normal 5 17 2 7 9" xfId="36188" xr:uid="{00000000-0005-0000-0000-00005C8D0000}"/>
    <cellStyle name="Normal 5 17 2 8" xfId="36189" xr:uid="{00000000-0005-0000-0000-00005D8D0000}"/>
    <cellStyle name="Normal 5 17 2 8 10" xfId="36190" xr:uid="{00000000-0005-0000-0000-00005E8D0000}"/>
    <cellStyle name="Normal 5 17 2 8 11" xfId="36191" xr:uid="{00000000-0005-0000-0000-00005F8D0000}"/>
    <cellStyle name="Normal 5 17 2 8 12" xfId="36192" xr:uid="{00000000-0005-0000-0000-0000608D0000}"/>
    <cellStyle name="Normal 5 17 2 8 13" xfId="36193" xr:uid="{00000000-0005-0000-0000-0000618D0000}"/>
    <cellStyle name="Normal 5 17 2 8 14" xfId="36194" xr:uid="{00000000-0005-0000-0000-0000628D0000}"/>
    <cellStyle name="Normal 5 17 2 8 2" xfId="36195" xr:uid="{00000000-0005-0000-0000-0000638D0000}"/>
    <cellStyle name="Normal 5 17 2 8 2 10" xfId="36196" xr:uid="{00000000-0005-0000-0000-0000648D0000}"/>
    <cellStyle name="Normal 5 17 2 8 2 2" xfId="36197" xr:uid="{00000000-0005-0000-0000-0000658D0000}"/>
    <cellStyle name="Normal 5 17 2 8 2 3" xfId="36198" xr:uid="{00000000-0005-0000-0000-0000668D0000}"/>
    <cellStyle name="Normal 5 17 2 8 2 4" xfId="36199" xr:uid="{00000000-0005-0000-0000-0000678D0000}"/>
    <cellStyle name="Normal 5 17 2 8 2 5" xfId="36200" xr:uid="{00000000-0005-0000-0000-0000688D0000}"/>
    <cellStyle name="Normal 5 17 2 8 2 6" xfId="36201" xr:uid="{00000000-0005-0000-0000-0000698D0000}"/>
    <cellStyle name="Normal 5 17 2 8 2 7" xfId="36202" xr:uid="{00000000-0005-0000-0000-00006A8D0000}"/>
    <cellStyle name="Normal 5 17 2 8 2 8" xfId="36203" xr:uid="{00000000-0005-0000-0000-00006B8D0000}"/>
    <cellStyle name="Normal 5 17 2 8 2 9" xfId="36204" xr:uid="{00000000-0005-0000-0000-00006C8D0000}"/>
    <cellStyle name="Normal 5 17 2 8 3" xfId="36205" xr:uid="{00000000-0005-0000-0000-00006D8D0000}"/>
    <cellStyle name="Normal 5 17 2 8 3 10" xfId="36206" xr:uid="{00000000-0005-0000-0000-00006E8D0000}"/>
    <cellStyle name="Normal 5 17 2 8 3 2" xfId="36207" xr:uid="{00000000-0005-0000-0000-00006F8D0000}"/>
    <cellStyle name="Normal 5 17 2 8 3 3" xfId="36208" xr:uid="{00000000-0005-0000-0000-0000708D0000}"/>
    <cellStyle name="Normal 5 17 2 8 3 4" xfId="36209" xr:uid="{00000000-0005-0000-0000-0000718D0000}"/>
    <cellStyle name="Normal 5 17 2 8 3 5" xfId="36210" xr:uid="{00000000-0005-0000-0000-0000728D0000}"/>
    <cellStyle name="Normal 5 17 2 8 3 6" xfId="36211" xr:uid="{00000000-0005-0000-0000-0000738D0000}"/>
    <cellStyle name="Normal 5 17 2 8 3 7" xfId="36212" xr:uid="{00000000-0005-0000-0000-0000748D0000}"/>
    <cellStyle name="Normal 5 17 2 8 3 8" xfId="36213" xr:uid="{00000000-0005-0000-0000-0000758D0000}"/>
    <cellStyle name="Normal 5 17 2 8 3 9" xfId="36214" xr:uid="{00000000-0005-0000-0000-0000768D0000}"/>
    <cellStyle name="Normal 5 17 2 8 4" xfId="36215" xr:uid="{00000000-0005-0000-0000-0000778D0000}"/>
    <cellStyle name="Normal 5 17 2 8 4 10" xfId="36216" xr:uid="{00000000-0005-0000-0000-0000788D0000}"/>
    <cellStyle name="Normal 5 17 2 8 4 2" xfId="36217" xr:uid="{00000000-0005-0000-0000-0000798D0000}"/>
    <cellStyle name="Normal 5 17 2 8 4 3" xfId="36218" xr:uid="{00000000-0005-0000-0000-00007A8D0000}"/>
    <cellStyle name="Normal 5 17 2 8 4 4" xfId="36219" xr:uid="{00000000-0005-0000-0000-00007B8D0000}"/>
    <cellStyle name="Normal 5 17 2 8 4 5" xfId="36220" xr:uid="{00000000-0005-0000-0000-00007C8D0000}"/>
    <cellStyle name="Normal 5 17 2 8 4 6" xfId="36221" xr:uid="{00000000-0005-0000-0000-00007D8D0000}"/>
    <cellStyle name="Normal 5 17 2 8 4 7" xfId="36222" xr:uid="{00000000-0005-0000-0000-00007E8D0000}"/>
    <cellStyle name="Normal 5 17 2 8 4 8" xfId="36223" xr:uid="{00000000-0005-0000-0000-00007F8D0000}"/>
    <cellStyle name="Normal 5 17 2 8 4 9" xfId="36224" xr:uid="{00000000-0005-0000-0000-0000808D0000}"/>
    <cellStyle name="Normal 5 17 2 8 5" xfId="36225" xr:uid="{00000000-0005-0000-0000-0000818D0000}"/>
    <cellStyle name="Normal 5 17 2 8 5 10" xfId="36226" xr:uid="{00000000-0005-0000-0000-0000828D0000}"/>
    <cellStyle name="Normal 5 17 2 8 5 2" xfId="36227" xr:uid="{00000000-0005-0000-0000-0000838D0000}"/>
    <cellStyle name="Normal 5 17 2 8 5 3" xfId="36228" xr:uid="{00000000-0005-0000-0000-0000848D0000}"/>
    <cellStyle name="Normal 5 17 2 8 5 4" xfId="36229" xr:uid="{00000000-0005-0000-0000-0000858D0000}"/>
    <cellStyle name="Normal 5 17 2 8 5 5" xfId="36230" xr:uid="{00000000-0005-0000-0000-0000868D0000}"/>
    <cellStyle name="Normal 5 17 2 8 5 6" xfId="36231" xr:uid="{00000000-0005-0000-0000-0000878D0000}"/>
    <cellStyle name="Normal 5 17 2 8 5 7" xfId="36232" xr:uid="{00000000-0005-0000-0000-0000888D0000}"/>
    <cellStyle name="Normal 5 17 2 8 5 8" xfId="36233" xr:uid="{00000000-0005-0000-0000-0000898D0000}"/>
    <cellStyle name="Normal 5 17 2 8 5 9" xfId="36234" xr:uid="{00000000-0005-0000-0000-00008A8D0000}"/>
    <cellStyle name="Normal 5 17 2 8 6" xfId="36235" xr:uid="{00000000-0005-0000-0000-00008B8D0000}"/>
    <cellStyle name="Normal 5 17 2 8 7" xfId="36236" xr:uid="{00000000-0005-0000-0000-00008C8D0000}"/>
    <cellStyle name="Normal 5 17 2 8 8" xfId="36237" xr:uid="{00000000-0005-0000-0000-00008D8D0000}"/>
    <cellStyle name="Normal 5 17 2 8 9" xfId="36238" xr:uid="{00000000-0005-0000-0000-00008E8D0000}"/>
    <cellStyle name="Normal 5 17 2 9" xfId="36239" xr:uid="{00000000-0005-0000-0000-00008F8D0000}"/>
    <cellStyle name="Normal 5 17 2 9 10" xfId="36240" xr:uid="{00000000-0005-0000-0000-0000908D0000}"/>
    <cellStyle name="Normal 5 17 2 9 11" xfId="36241" xr:uid="{00000000-0005-0000-0000-0000918D0000}"/>
    <cellStyle name="Normal 5 17 2 9 12" xfId="36242" xr:uid="{00000000-0005-0000-0000-0000928D0000}"/>
    <cellStyle name="Normal 5 17 2 9 13" xfId="36243" xr:uid="{00000000-0005-0000-0000-0000938D0000}"/>
    <cellStyle name="Normal 5 17 2 9 14" xfId="36244" xr:uid="{00000000-0005-0000-0000-0000948D0000}"/>
    <cellStyle name="Normal 5 17 2 9 2" xfId="36245" xr:uid="{00000000-0005-0000-0000-0000958D0000}"/>
    <cellStyle name="Normal 5 17 2 9 2 10" xfId="36246" xr:uid="{00000000-0005-0000-0000-0000968D0000}"/>
    <cellStyle name="Normal 5 17 2 9 2 2" xfId="36247" xr:uid="{00000000-0005-0000-0000-0000978D0000}"/>
    <cellStyle name="Normal 5 17 2 9 2 3" xfId="36248" xr:uid="{00000000-0005-0000-0000-0000988D0000}"/>
    <cellStyle name="Normal 5 17 2 9 2 4" xfId="36249" xr:uid="{00000000-0005-0000-0000-0000998D0000}"/>
    <cellStyle name="Normal 5 17 2 9 2 5" xfId="36250" xr:uid="{00000000-0005-0000-0000-00009A8D0000}"/>
    <cellStyle name="Normal 5 17 2 9 2 6" xfId="36251" xr:uid="{00000000-0005-0000-0000-00009B8D0000}"/>
    <cellStyle name="Normal 5 17 2 9 2 7" xfId="36252" xr:uid="{00000000-0005-0000-0000-00009C8D0000}"/>
    <cellStyle name="Normal 5 17 2 9 2 8" xfId="36253" xr:uid="{00000000-0005-0000-0000-00009D8D0000}"/>
    <cellStyle name="Normal 5 17 2 9 2 9" xfId="36254" xr:uid="{00000000-0005-0000-0000-00009E8D0000}"/>
    <cellStyle name="Normal 5 17 2 9 3" xfId="36255" xr:uid="{00000000-0005-0000-0000-00009F8D0000}"/>
    <cellStyle name="Normal 5 17 2 9 3 10" xfId="36256" xr:uid="{00000000-0005-0000-0000-0000A08D0000}"/>
    <cellStyle name="Normal 5 17 2 9 3 2" xfId="36257" xr:uid="{00000000-0005-0000-0000-0000A18D0000}"/>
    <cellStyle name="Normal 5 17 2 9 3 3" xfId="36258" xr:uid="{00000000-0005-0000-0000-0000A28D0000}"/>
    <cellStyle name="Normal 5 17 2 9 3 4" xfId="36259" xr:uid="{00000000-0005-0000-0000-0000A38D0000}"/>
    <cellStyle name="Normal 5 17 2 9 3 5" xfId="36260" xr:uid="{00000000-0005-0000-0000-0000A48D0000}"/>
    <cellStyle name="Normal 5 17 2 9 3 6" xfId="36261" xr:uid="{00000000-0005-0000-0000-0000A58D0000}"/>
    <cellStyle name="Normal 5 17 2 9 3 7" xfId="36262" xr:uid="{00000000-0005-0000-0000-0000A68D0000}"/>
    <cellStyle name="Normal 5 17 2 9 3 8" xfId="36263" xr:uid="{00000000-0005-0000-0000-0000A78D0000}"/>
    <cellStyle name="Normal 5 17 2 9 3 9" xfId="36264" xr:uid="{00000000-0005-0000-0000-0000A88D0000}"/>
    <cellStyle name="Normal 5 17 2 9 4" xfId="36265" xr:uid="{00000000-0005-0000-0000-0000A98D0000}"/>
    <cellStyle name="Normal 5 17 2 9 4 10" xfId="36266" xr:uid="{00000000-0005-0000-0000-0000AA8D0000}"/>
    <cellStyle name="Normal 5 17 2 9 4 2" xfId="36267" xr:uid="{00000000-0005-0000-0000-0000AB8D0000}"/>
    <cellStyle name="Normal 5 17 2 9 4 3" xfId="36268" xr:uid="{00000000-0005-0000-0000-0000AC8D0000}"/>
    <cellStyle name="Normal 5 17 2 9 4 4" xfId="36269" xr:uid="{00000000-0005-0000-0000-0000AD8D0000}"/>
    <cellStyle name="Normal 5 17 2 9 4 5" xfId="36270" xr:uid="{00000000-0005-0000-0000-0000AE8D0000}"/>
    <cellStyle name="Normal 5 17 2 9 4 6" xfId="36271" xr:uid="{00000000-0005-0000-0000-0000AF8D0000}"/>
    <cellStyle name="Normal 5 17 2 9 4 7" xfId="36272" xr:uid="{00000000-0005-0000-0000-0000B08D0000}"/>
    <cellStyle name="Normal 5 17 2 9 4 8" xfId="36273" xr:uid="{00000000-0005-0000-0000-0000B18D0000}"/>
    <cellStyle name="Normal 5 17 2 9 4 9" xfId="36274" xr:uid="{00000000-0005-0000-0000-0000B28D0000}"/>
    <cellStyle name="Normal 5 17 2 9 5" xfId="36275" xr:uid="{00000000-0005-0000-0000-0000B38D0000}"/>
    <cellStyle name="Normal 5 17 2 9 5 10" xfId="36276" xr:uid="{00000000-0005-0000-0000-0000B48D0000}"/>
    <cellStyle name="Normal 5 17 2 9 5 2" xfId="36277" xr:uid="{00000000-0005-0000-0000-0000B58D0000}"/>
    <cellStyle name="Normal 5 17 2 9 5 3" xfId="36278" xr:uid="{00000000-0005-0000-0000-0000B68D0000}"/>
    <cellStyle name="Normal 5 17 2 9 5 4" xfId="36279" xr:uid="{00000000-0005-0000-0000-0000B78D0000}"/>
    <cellStyle name="Normal 5 17 2 9 5 5" xfId="36280" xr:uid="{00000000-0005-0000-0000-0000B88D0000}"/>
    <cellStyle name="Normal 5 17 2 9 5 6" xfId="36281" xr:uid="{00000000-0005-0000-0000-0000B98D0000}"/>
    <cellStyle name="Normal 5 17 2 9 5 7" xfId="36282" xr:uid="{00000000-0005-0000-0000-0000BA8D0000}"/>
    <cellStyle name="Normal 5 17 2 9 5 8" xfId="36283" xr:uid="{00000000-0005-0000-0000-0000BB8D0000}"/>
    <cellStyle name="Normal 5 17 2 9 5 9" xfId="36284" xr:uid="{00000000-0005-0000-0000-0000BC8D0000}"/>
    <cellStyle name="Normal 5 17 2 9 6" xfId="36285" xr:uid="{00000000-0005-0000-0000-0000BD8D0000}"/>
    <cellStyle name="Normal 5 17 2 9 7" xfId="36286" xr:uid="{00000000-0005-0000-0000-0000BE8D0000}"/>
    <cellStyle name="Normal 5 17 2 9 8" xfId="36287" xr:uid="{00000000-0005-0000-0000-0000BF8D0000}"/>
    <cellStyle name="Normal 5 17 2 9 9" xfId="36288" xr:uid="{00000000-0005-0000-0000-0000C08D0000}"/>
    <cellStyle name="Normal 5 17 20" xfId="36289" xr:uid="{00000000-0005-0000-0000-0000C18D0000}"/>
    <cellStyle name="Normal 5 17 20 10" xfId="36290" xr:uid="{00000000-0005-0000-0000-0000C28D0000}"/>
    <cellStyle name="Normal 5 17 20 11" xfId="36291" xr:uid="{00000000-0005-0000-0000-0000C38D0000}"/>
    <cellStyle name="Normal 5 17 20 12" xfId="36292" xr:uid="{00000000-0005-0000-0000-0000C48D0000}"/>
    <cellStyle name="Normal 5 17 20 13" xfId="36293" xr:uid="{00000000-0005-0000-0000-0000C58D0000}"/>
    <cellStyle name="Normal 5 17 20 14" xfId="36294" xr:uid="{00000000-0005-0000-0000-0000C68D0000}"/>
    <cellStyle name="Normal 5 17 20 2" xfId="36295" xr:uid="{00000000-0005-0000-0000-0000C78D0000}"/>
    <cellStyle name="Normal 5 17 20 2 10" xfId="36296" xr:uid="{00000000-0005-0000-0000-0000C88D0000}"/>
    <cellStyle name="Normal 5 17 20 2 2" xfId="36297" xr:uid="{00000000-0005-0000-0000-0000C98D0000}"/>
    <cellStyle name="Normal 5 17 20 2 3" xfId="36298" xr:uid="{00000000-0005-0000-0000-0000CA8D0000}"/>
    <cellStyle name="Normal 5 17 20 2 4" xfId="36299" xr:uid="{00000000-0005-0000-0000-0000CB8D0000}"/>
    <cellStyle name="Normal 5 17 20 2 5" xfId="36300" xr:uid="{00000000-0005-0000-0000-0000CC8D0000}"/>
    <cellStyle name="Normal 5 17 20 2 6" xfId="36301" xr:uid="{00000000-0005-0000-0000-0000CD8D0000}"/>
    <cellStyle name="Normal 5 17 20 2 7" xfId="36302" xr:uid="{00000000-0005-0000-0000-0000CE8D0000}"/>
    <cellStyle name="Normal 5 17 20 2 8" xfId="36303" xr:uid="{00000000-0005-0000-0000-0000CF8D0000}"/>
    <cellStyle name="Normal 5 17 20 2 9" xfId="36304" xr:uid="{00000000-0005-0000-0000-0000D08D0000}"/>
    <cellStyle name="Normal 5 17 20 3" xfId="36305" xr:uid="{00000000-0005-0000-0000-0000D18D0000}"/>
    <cellStyle name="Normal 5 17 20 3 10" xfId="36306" xr:uid="{00000000-0005-0000-0000-0000D28D0000}"/>
    <cellStyle name="Normal 5 17 20 3 2" xfId="36307" xr:uid="{00000000-0005-0000-0000-0000D38D0000}"/>
    <cellStyle name="Normal 5 17 20 3 3" xfId="36308" xr:uid="{00000000-0005-0000-0000-0000D48D0000}"/>
    <cellStyle name="Normal 5 17 20 3 4" xfId="36309" xr:uid="{00000000-0005-0000-0000-0000D58D0000}"/>
    <cellStyle name="Normal 5 17 20 3 5" xfId="36310" xr:uid="{00000000-0005-0000-0000-0000D68D0000}"/>
    <cellStyle name="Normal 5 17 20 3 6" xfId="36311" xr:uid="{00000000-0005-0000-0000-0000D78D0000}"/>
    <cellStyle name="Normal 5 17 20 3 7" xfId="36312" xr:uid="{00000000-0005-0000-0000-0000D88D0000}"/>
    <cellStyle name="Normal 5 17 20 3 8" xfId="36313" xr:uid="{00000000-0005-0000-0000-0000D98D0000}"/>
    <cellStyle name="Normal 5 17 20 3 9" xfId="36314" xr:uid="{00000000-0005-0000-0000-0000DA8D0000}"/>
    <cellStyle name="Normal 5 17 20 4" xfId="36315" xr:uid="{00000000-0005-0000-0000-0000DB8D0000}"/>
    <cellStyle name="Normal 5 17 20 4 10" xfId="36316" xr:uid="{00000000-0005-0000-0000-0000DC8D0000}"/>
    <cellStyle name="Normal 5 17 20 4 2" xfId="36317" xr:uid="{00000000-0005-0000-0000-0000DD8D0000}"/>
    <cellStyle name="Normal 5 17 20 4 3" xfId="36318" xr:uid="{00000000-0005-0000-0000-0000DE8D0000}"/>
    <cellStyle name="Normal 5 17 20 4 4" xfId="36319" xr:uid="{00000000-0005-0000-0000-0000DF8D0000}"/>
    <cellStyle name="Normal 5 17 20 4 5" xfId="36320" xr:uid="{00000000-0005-0000-0000-0000E08D0000}"/>
    <cellStyle name="Normal 5 17 20 4 6" xfId="36321" xr:uid="{00000000-0005-0000-0000-0000E18D0000}"/>
    <cellStyle name="Normal 5 17 20 4 7" xfId="36322" xr:uid="{00000000-0005-0000-0000-0000E28D0000}"/>
    <cellStyle name="Normal 5 17 20 4 8" xfId="36323" xr:uid="{00000000-0005-0000-0000-0000E38D0000}"/>
    <cellStyle name="Normal 5 17 20 4 9" xfId="36324" xr:uid="{00000000-0005-0000-0000-0000E48D0000}"/>
    <cellStyle name="Normal 5 17 20 5" xfId="36325" xr:uid="{00000000-0005-0000-0000-0000E58D0000}"/>
    <cellStyle name="Normal 5 17 20 5 10" xfId="36326" xr:uid="{00000000-0005-0000-0000-0000E68D0000}"/>
    <cellStyle name="Normal 5 17 20 5 2" xfId="36327" xr:uid="{00000000-0005-0000-0000-0000E78D0000}"/>
    <cellStyle name="Normal 5 17 20 5 3" xfId="36328" xr:uid="{00000000-0005-0000-0000-0000E88D0000}"/>
    <cellStyle name="Normal 5 17 20 5 4" xfId="36329" xr:uid="{00000000-0005-0000-0000-0000E98D0000}"/>
    <cellStyle name="Normal 5 17 20 5 5" xfId="36330" xr:uid="{00000000-0005-0000-0000-0000EA8D0000}"/>
    <cellStyle name="Normal 5 17 20 5 6" xfId="36331" xr:uid="{00000000-0005-0000-0000-0000EB8D0000}"/>
    <cellStyle name="Normal 5 17 20 5 7" xfId="36332" xr:uid="{00000000-0005-0000-0000-0000EC8D0000}"/>
    <cellStyle name="Normal 5 17 20 5 8" xfId="36333" xr:uid="{00000000-0005-0000-0000-0000ED8D0000}"/>
    <cellStyle name="Normal 5 17 20 5 9" xfId="36334" xr:uid="{00000000-0005-0000-0000-0000EE8D0000}"/>
    <cellStyle name="Normal 5 17 20 6" xfId="36335" xr:uid="{00000000-0005-0000-0000-0000EF8D0000}"/>
    <cellStyle name="Normal 5 17 20 7" xfId="36336" xr:uid="{00000000-0005-0000-0000-0000F08D0000}"/>
    <cellStyle name="Normal 5 17 20 8" xfId="36337" xr:uid="{00000000-0005-0000-0000-0000F18D0000}"/>
    <cellStyle name="Normal 5 17 20 9" xfId="36338" xr:uid="{00000000-0005-0000-0000-0000F28D0000}"/>
    <cellStyle name="Normal 5 17 21" xfId="36339" xr:uid="{00000000-0005-0000-0000-0000F38D0000}"/>
    <cellStyle name="Normal 5 17 21 10" xfId="36340" xr:uid="{00000000-0005-0000-0000-0000F48D0000}"/>
    <cellStyle name="Normal 5 17 21 11" xfId="36341" xr:uid="{00000000-0005-0000-0000-0000F58D0000}"/>
    <cellStyle name="Normal 5 17 21 12" xfId="36342" xr:uid="{00000000-0005-0000-0000-0000F68D0000}"/>
    <cellStyle name="Normal 5 17 21 13" xfId="36343" xr:uid="{00000000-0005-0000-0000-0000F78D0000}"/>
    <cellStyle name="Normal 5 17 21 14" xfId="36344" xr:uid="{00000000-0005-0000-0000-0000F88D0000}"/>
    <cellStyle name="Normal 5 17 21 2" xfId="36345" xr:uid="{00000000-0005-0000-0000-0000F98D0000}"/>
    <cellStyle name="Normal 5 17 21 2 10" xfId="36346" xr:uid="{00000000-0005-0000-0000-0000FA8D0000}"/>
    <cellStyle name="Normal 5 17 21 2 2" xfId="36347" xr:uid="{00000000-0005-0000-0000-0000FB8D0000}"/>
    <cellStyle name="Normal 5 17 21 2 3" xfId="36348" xr:uid="{00000000-0005-0000-0000-0000FC8D0000}"/>
    <cellStyle name="Normal 5 17 21 2 4" xfId="36349" xr:uid="{00000000-0005-0000-0000-0000FD8D0000}"/>
    <cellStyle name="Normal 5 17 21 2 5" xfId="36350" xr:uid="{00000000-0005-0000-0000-0000FE8D0000}"/>
    <cellStyle name="Normal 5 17 21 2 6" xfId="36351" xr:uid="{00000000-0005-0000-0000-0000FF8D0000}"/>
    <cellStyle name="Normal 5 17 21 2 7" xfId="36352" xr:uid="{00000000-0005-0000-0000-0000008E0000}"/>
    <cellStyle name="Normal 5 17 21 2 8" xfId="36353" xr:uid="{00000000-0005-0000-0000-0000018E0000}"/>
    <cellStyle name="Normal 5 17 21 2 9" xfId="36354" xr:uid="{00000000-0005-0000-0000-0000028E0000}"/>
    <cellStyle name="Normal 5 17 21 3" xfId="36355" xr:uid="{00000000-0005-0000-0000-0000038E0000}"/>
    <cellStyle name="Normal 5 17 21 3 10" xfId="36356" xr:uid="{00000000-0005-0000-0000-0000048E0000}"/>
    <cellStyle name="Normal 5 17 21 3 2" xfId="36357" xr:uid="{00000000-0005-0000-0000-0000058E0000}"/>
    <cellStyle name="Normal 5 17 21 3 3" xfId="36358" xr:uid="{00000000-0005-0000-0000-0000068E0000}"/>
    <cellStyle name="Normal 5 17 21 3 4" xfId="36359" xr:uid="{00000000-0005-0000-0000-0000078E0000}"/>
    <cellStyle name="Normal 5 17 21 3 5" xfId="36360" xr:uid="{00000000-0005-0000-0000-0000088E0000}"/>
    <cellStyle name="Normal 5 17 21 3 6" xfId="36361" xr:uid="{00000000-0005-0000-0000-0000098E0000}"/>
    <cellStyle name="Normal 5 17 21 3 7" xfId="36362" xr:uid="{00000000-0005-0000-0000-00000A8E0000}"/>
    <cellStyle name="Normal 5 17 21 3 8" xfId="36363" xr:uid="{00000000-0005-0000-0000-00000B8E0000}"/>
    <cellStyle name="Normal 5 17 21 3 9" xfId="36364" xr:uid="{00000000-0005-0000-0000-00000C8E0000}"/>
    <cellStyle name="Normal 5 17 21 4" xfId="36365" xr:uid="{00000000-0005-0000-0000-00000D8E0000}"/>
    <cellStyle name="Normal 5 17 21 4 10" xfId="36366" xr:uid="{00000000-0005-0000-0000-00000E8E0000}"/>
    <cellStyle name="Normal 5 17 21 4 2" xfId="36367" xr:uid="{00000000-0005-0000-0000-00000F8E0000}"/>
    <cellStyle name="Normal 5 17 21 4 3" xfId="36368" xr:uid="{00000000-0005-0000-0000-0000108E0000}"/>
    <cellStyle name="Normal 5 17 21 4 4" xfId="36369" xr:uid="{00000000-0005-0000-0000-0000118E0000}"/>
    <cellStyle name="Normal 5 17 21 4 5" xfId="36370" xr:uid="{00000000-0005-0000-0000-0000128E0000}"/>
    <cellStyle name="Normal 5 17 21 4 6" xfId="36371" xr:uid="{00000000-0005-0000-0000-0000138E0000}"/>
    <cellStyle name="Normal 5 17 21 4 7" xfId="36372" xr:uid="{00000000-0005-0000-0000-0000148E0000}"/>
    <cellStyle name="Normal 5 17 21 4 8" xfId="36373" xr:uid="{00000000-0005-0000-0000-0000158E0000}"/>
    <cellStyle name="Normal 5 17 21 4 9" xfId="36374" xr:uid="{00000000-0005-0000-0000-0000168E0000}"/>
    <cellStyle name="Normal 5 17 21 5" xfId="36375" xr:uid="{00000000-0005-0000-0000-0000178E0000}"/>
    <cellStyle name="Normal 5 17 21 5 10" xfId="36376" xr:uid="{00000000-0005-0000-0000-0000188E0000}"/>
    <cellStyle name="Normal 5 17 21 5 2" xfId="36377" xr:uid="{00000000-0005-0000-0000-0000198E0000}"/>
    <cellStyle name="Normal 5 17 21 5 3" xfId="36378" xr:uid="{00000000-0005-0000-0000-00001A8E0000}"/>
    <cellStyle name="Normal 5 17 21 5 4" xfId="36379" xr:uid="{00000000-0005-0000-0000-00001B8E0000}"/>
    <cellStyle name="Normal 5 17 21 5 5" xfId="36380" xr:uid="{00000000-0005-0000-0000-00001C8E0000}"/>
    <cellStyle name="Normal 5 17 21 5 6" xfId="36381" xr:uid="{00000000-0005-0000-0000-00001D8E0000}"/>
    <cellStyle name="Normal 5 17 21 5 7" xfId="36382" xr:uid="{00000000-0005-0000-0000-00001E8E0000}"/>
    <cellStyle name="Normal 5 17 21 5 8" xfId="36383" xr:uid="{00000000-0005-0000-0000-00001F8E0000}"/>
    <cellStyle name="Normal 5 17 21 5 9" xfId="36384" xr:uid="{00000000-0005-0000-0000-0000208E0000}"/>
    <cellStyle name="Normal 5 17 21 6" xfId="36385" xr:uid="{00000000-0005-0000-0000-0000218E0000}"/>
    <cellStyle name="Normal 5 17 21 7" xfId="36386" xr:uid="{00000000-0005-0000-0000-0000228E0000}"/>
    <cellStyle name="Normal 5 17 21 8" xfId="36387" xr:uid="{00000000-0005-0000-0000-0000238E0000}"/>
    <cellStyle name="Normal 5 17 21 9" xfId="36388" xr:uid="{00000000-0005-0000-0000-0000248E0000}"/>
    <cellStyle name="Normal 5 17 22" xfId="36389" xr:uid="{00000000-0005-0000-0000-0000258E0000}"/>
    <cellStyle name="Normal 5 17 22 10" xfId="36390" xr:uid="{00000000-0005-0000-0000-0000268E0000}"/>
    <cellStyle name="Normal 5 17 22 11" xfId="36391" xr:uid="{00000000-0005-0000-0000-0000278E0000}"/>
    <cellStyle name="Normal 5 17 22 12" xfId="36392" xr:uid="{00000000-0005-0000-0000-0000288E0000}"/>
    <cellStyle name="Normal 5 17 22 13" xfId="36393" xr:uid="{00000000-0005-0000-0000-0000298E0000}"/>
    <cellStyle name="Normal 5 17 22 14" xfId="36394" xr:uid="{00000000-0005-0000-0000-00002A8E0000}"/>
    <cellStyle name="Normal 5 17 22 2" xfId="36395" xr:uid="{00000000-0005-0000-0000-00002B8E0000}"/>
    <cellStyle name="Normal 5 17 22 2 10" xfId="36396" xr:uid="{00000000-0005-0000-0000-00002C8E0000}"/>
    <cellStyle name="Normal 5 17 22 2 2" xfId="36397" xr:uid="{00000000-0005-0000-0000-00002D8E0000}"/>
    <cellStyle name="Normal 5 17 22 2 3" xfId="36398" xr:uid="{00000000-0005-0000-0000-00002E8E0000}"/>
    <cellStyle name="Normal 5 17 22 2 4" xfId="36399" xr:uid="{00000000-0005-0000-0000-00002F8E0000}"/>
    <cellStyle name="Normal 5 17 22 2 5" xfId="36400" xr:uid="{00000000-0005-0000-0000-0000308E0000}"/>
    <cellStyle name="Normal 5 17 22 2 6" xfId="36401" xr:uid="{00000000-0005-0000-0000-0000318E0000}"/>
    <cellStyle name="Normal 5 17 22 2 7" xfId="36402" xr:uid="{00000000-0005-0000-0000-0000328E0000}"/>
    <cellStyle name="Normal 5 17 22 2 8" xfId="36403" xr:uid="{00000000-0005-0000-0000-0000338E0000}"/>
    <cellStyle name="Normal 5 17 22 2 9" xfId="36404" xr:uid="{00000000-0005-0000-0000-0000348E0000}"/>
    <cellStyle name="Normal 5 17 22 3" xfId="36405" xr:uid="{00000000-0005-0000-0000-0000358E0000}"/>
    <cellStyle name="Normal 5 17 22 3 10" xfId="36406" xr:uid="{00000000-0005-0000-0000-0000368E0000}"/>
    <cellStyle name="Normal 5 17 22 3 2" xfId="36407" xr:uid="{00000000-0005-0000-0000-0000378E0000}"/>
    <cellStyle name="Normal 5 17 22 3 3" xfId="36408" xr:uid="{00000000-0005-0000-0000-0000388E0000}"/>
    <cellStyle name="Normal 5 17 22 3 4" xfId="36409" xr:uid="{00000000-0005-0000-0000-0000398E0000}"/>
    <cellStyle name="Normal 5 17 22 3 5" xfId="36410" xr:uid="{00000000-0005-0000-0000-00003A8E0000}"/>
    <cellStyle name="Normal 5 17 22 3 6" xfId="36411" xr:uid="{00000000-0005-0000-0000-00003B8E0000}"/>
    <cellStyle name="Normal 5 17 22 3 7" xfId="36412" xr:uid="{00000000-0005-0000-0000-00003C8E0000}"/>
    <cellStyle name="Normal 5 17 22 3 8" xfId="36413" xr:uid="{00000000-0005-0000-0000-00003D8E0000}"/>
    <cellStyle name="Normal 5 17 22 3 9" xfId="36414" xr:uid="{00000000-0005-0000-0000-00003E8E0000}"/>
    <cellStyle name="Normal 5 17 22 4" xfId="36415" xr:uid="{00000000-0005-0000-0000-00003F8E0000}"/>
    <cellStyle name="Normal 5 17 22 4 10" xfId="36416" xr:uid="{00000000-0005-0000-0000-0000408E0000}"/>
    <cellStyle name="Normal 5 17 22 4 2" xfId="36417" xr:uid="{00000000-0005-0000-0000-0000418E0000}"/>
    <cellStyle name="Normal 5 17 22 4 3" xfId="36418" xr:uid="{00000000-0005-0000-0000-0000428E0000}"/>
    <cellStyle name="Normal 5 17 22 4 4" xfId="36419" xr:uid="{00000000-0005-0000-0000-0000438E0000}"/>
    <cellStyle name="Normal 5 17 22 4 5" xfId="36420" xr:uid="{00000000-0005-0000-0000-0000448E0000}"/>
    <cellStyle name="Normal 5 17 22 4 6" xfId="36421" xr:uid="{00000000-0005-0000-0000-0000458E0000}"/>
    <cellStyle name="Normal 5 17 22 4 7" xfId="36422" xr:uid="{00000000-0005-0000-0000-0000468E0000}"/>
    <cellStyle name="Normal 5 17 22 4 8" xfId="36423" xr:uid="{00000000-0005-0000-0000-0000478E0000}"/>
    <cellStyle name="Normal 5 17 22 4 9" xfId="36424" xr:uid="{00000000-0005-0000-0000-0000488E0000}"/>
    <cellStyle name="Normal 5 17 22 5" xfId="36425" xr:uid="{00000000-0005-0000-0000-0000498E0000}"/>
    <cellStyle name="Normal 5 17 22 5 10" xfId="36426" xr:uid="{00000000-0005-0000-0000-00004A8E0000}"/>
    <cellStyle name="Normal 5 17 22 5 2" xfId="36427" xr:uid="{00000000-0005-0000-0000-00004B8E0000}"/>
    <cellStyle name="Normal 5 17 22 5 3" xfId="36428" xr:uid="{00000000-0005-0000-0000-00004C8E0000}"/>
    <cellStyle name="Normal 5 17 22 5 4" xfId="36429" xr:uid="{00000000-0005-0000-0000-00004D8E0000}"/>
    <cellStyle name="Normal 5 17 22 5 5" xfId="36430" xr:uid="{00000000-0005-0000-0000-00004E8E0000}"/>
    <cellStyle name="Normal 5 17 22 5 6" xfId="36431" xr:uid="{00000000-0005-0000-0000-00004F8E0000}"/>
    <cellStyle name="Normal 5 17 22 5 7" xfId="36432" xr:uid="{00000000-0005-0000-0000-0000508E0000}"/>
    <cellStyle name="Normal 5 17 22 5 8" xfId="36433" xr:uid="{00000000-0005-0000-0000-0000518E0000}"/>
    <cellStyle name="Normal 5 17 22 5 9" xfId="36434" xr:uid="{00000000-0005-0000-0000-0000528E0000}"/>
    <cellStyle name="Normal 5 17 22 6" xfId="36435" xr:uid="{00000000-0005-0000-0000-0000538E0000}"/>
    <cellStyle name="Normal 5 17 22 7" xfId="36436" xr:uid="{00000000-0005-0000-0000-0000548E0000}"/>
    <cellStyle name="Normal 5 17 22 8" xfId="36437" xr:uid="{00000000-0005-0000-0000-0000558E0000}"/>
    <cellStyle name="Normal 5 17 22 9" xfId="36438" xr:uid="{00000000-0005-0000-0000-0000568E0000}"/>
    <cellStyle name="Normal 5 17 23" xfId="36439" xr:uid="{00000000-0005-0000-0000-0000578E0000}"/>
    <cellStyle name="Normal 5 17 23 10" xfId="36440" xr:uid="{00000000-0005-0000-0000-0000588E0000}"/>
    <cellStyle name="Normal 5 17 23 11" xfId="36441" xr:uid="{00000000-0005-0000-0000-0000598E0000}"/>
    <cellStyle name="Normal 5 17 23 12" xfId="36442" xr:uid="{00000000-0005-0000-0000-00005A8E0000}"/>
    <cellStyle name="Normal 5 17 23 13" xfId="36443" xr:uid="{00000000-0005-0000-0000-00005B8E0000}"/>
    <cellStyle name="Normal 5 17 23 14" xfId="36444" xr:uid="{00000000-0005-0000-0000-00005C8E0000}"/>
    <cellStyle name="Normal 5 17 23 2" xfId="36445" xr:uid="{00000000-0005-0000-0000-00005D8E0000}"/>
    <cellStyle name="Normal 5 17 23 2 10" xfId="36446" xr:uid="{00000000-0005-0000-0000-00005E8E0000}"/>
    <cellStyle name="Normal 5 17 23 2 2" xfId="36447" xr:uid="{00000000-0005-0000-0000-00005F8E0000}"/>
    <cellStyle name="Normal 5 17 23 2 3" xfId="36448" xr:uid="{00000000-0005-0000-0000-0000608E0000}"/>
    <cellStyle name="Normal 5 17 23 2 4" xfId="36449" xr:uid="{00000000-0005-0000-0000-0000618E0000}"/>
    <cellStyle name="Normal 5 17 23 2 5" xfId="36450" xr:uid="{00000000-0005-0000-0000-0000628E0000}"/>
    <cellStyle name="Normal 5 17 23 2 6" xfId="36451" xr:uid="{00000000-0005-0000-0000-0000638E0000}"/>
    <cellStyle name="Normal 5 17 23 2 7" xfId="36452" xr:uid="{00000000-0005-0000-0000-0000648E0000}"/>
    <cellStyle name="Normal 5 17 23 2 8" xfId="36453" xr:uid="{00000000-0005-0000-0000-0000658E0000}"/>
    <cellStyle name="Normal 5 17 23 2 9" xfId="36454" xr:uid="{00000000-0005-0000-0000-0000668E0000}"/>
    <cellStyle name="Normal 5 17 23 3" xfId="36455" xr:uid="{00000000-0005-0000-0000-0000678E0000}"/>
    <cellStyle name="Normal 5 17 23 3 10" xfId="36456" xr:uid="{00000000-0005-0000-0000-0000688E0000}"/>
    <cellStyle name="Normal 5 17 23 3 2" xfId="36457" xr:uid="{00000000-0005-0000-0000-0000698E0000}"/>
    <cellStyle name="Normal 5 17 23 3 3" xfId="36458" xr:uid="{00000000-0005-0000-0000-00006A8E0000}"/>
    <cellStyle name="Normal 5 17 23 3 4" xfId="36459" xr:uid="{00000000-0005-0000-0000-00006B8E0000}"/>
    <cellStyle name="Normal 5 17 23 3 5" xfId="36460" xr:uid="{00000000-0005-0000-0000-00006C8E0000}"/>
    <cellStyle name="Normal 5 17 23 3 6" xfId="36461" xr:uid="{00000000-0005-0000-0000-00006D8E0000}"/>
    <cellStyle name="Normal 5 17 23 3 7" xfId="36462" xr:uid="{00000000-0005-0000-0000-00006E8E0000}"/>
    <cellStyle name="Normal 5 17 23 3 8" xfId="36463" xr:uid="{00000000-0005-0000-0000-00006F8E0000}"/>
    <cellStyle name="Normal 5 17 23 3 9" xfId="36464" xr:uid="{00000000-0005-0000-0000-0000708E0000}"/>
    <cellStyle name="Normal 5 17 23 4" xfId="36465" xr:uid="{00000000-0005-0000-0000-0000718E0000}"/>
    <cellStyle name="Normal 5 17 23 4 10" xfId="36466" xr:uid="{00000000-0005-0000-0000-0000728E0000}"/>
    <cellStyle name="Normal 5 17 23 4 2" xfId="36467" xr:uid="{00000000-0005-0000-0000-0000738E0000}"/>
    <cellStyle name="Normal 5 17 23 4 3" xfId="36468" xr:uid="{00000000-0005-0000-0000-0000748E0000}"/>
    <cellStyle name="Normal 5 17 23 4 4" xfId="36469" xr:uid="{00000000-0005-0000-0000-0000758E0000}"/>
    <cellStyle name="Normal 5 17 23 4 5" xfId="36470" xr:uid="{00000000-0005-0000-0000-0000768E0000}"/>
    <cellStyle name="Normal 5 17 23 4 6" xfId="36471" xr:uid="{00000000-0005-0000-0000-0000778E0000}"/>
    <cellStyle name="Normal 5 17 23 4 7" xfId="36472" xr:uid="{00000000-0005-0000-0000-0000788E0000}"/>
    <cellStyle name="Normal 5 17 23 4 8" xfId="36473" xr:uid="{00000000-0005-0000-0000-0000798E0000}"/>
    <cellStyle name="Normal 5 17 23 4 9" xfId="36474" xr:uid="{00000000-0005-0000-0000-00007A8E0000}"/>
    <cellStyle name="Normal 5 17 23 5" xfId="36475" xr:uid="{00000000-0005-0000-0000-00007B8E0000}"/>
    <cellStyle name="Normal 5 17 23 5 10" xfId="36476" xr:uid="{00000000-0005-0000-0000-00007C8E0000}"/>
    <cellStyle name="Normal 5 17 23 5 2" xfId="36477" xr:uid="{00000000-0005-0000-0000-00007D8E0000}"/>
    <cellStyle name="Normal 5 17 23 5 3" xfId="36478" xr:uid="{00000000-0005-0000-0000-00007E8E0000}"/>
    <cellStyle name="Normal 5 17 23 5 4" xfId="36479" xr:uid="{00000000-0005-0000-0000-00007F8E0000}"/>
    <cellStyle name="Normal 5 17 23 5 5" xfId="36480" xr:uid="{00000000-0005-0000-0000-0000808E0000}"/>
    <cellStyle name="Normal 5 17 23 5 6" xfId="36481" xr:uid="{00000000-0005-0000-0000-0000818E0000}"/>
    <cellStyle name="Normal 5 17 23 5 7" xfId="36482" xr:uid="{00000000-0005-0000-0000-0000828E0000}"/>
    <cellStyle name="Normal 5 17 23 5 8" xfId="36483" xr:uid="{00000000-0005-0000-0000-0000838E0000}"/>
    <cellStyle name="Normal 5 17 23 5 9" xfId="36484" xr:uid="{00000000-0005-0000-0000-0000848E0000}"/>
    <cellStyle name="Normal 5 17 23 6" xfId="36485" xr:uid="{00000000-0005-0000-0000-0000858E0000}"/>
    <cellStyle name="Normal 5 17 23 7" xfId="36486" xr:uid="{00000000-0005-0000-0000-0000868E0000}"/>
    <cellStyle name="Normal 5 17 23 8" xfId="36487" xr:uid="{00000000-0005-0000-0000-0000878E0000}"/>
    <cellStyle name="Normal 5 17 23 9" xfId="36488" xr:uid="{00000000-0005-0000-0000-0000888E0000}"/>
    <cellStyle name="Normal 5 17 24" xfId="36489" xr:uid="{00000000-0005-0000-0000-0000898E0000}"/>
    <cellStyle name="Normal 5 17 24 10" xfId="36490" xr:uid="{00000000-0005-0000-0000-00008A8E0000}"/>
    <cellStyle name="Normal 5 17 24 11" xfId="36491" xr:uid="{00000000-0005-0000-0000-00008B8E0000}"/>
    <cellStyle name="Normal 5 17 24 12" xfId="36492" xr:uid="{00000000-0005-0000-0000-00008C8E0000}"/>
    <cellStyle name="Normal 5 17 24 13" xfId="36493" xr:uid="{00000000-0005-0000-0000-00008D8E0000}"/>
    <cellStyle name="Normal 5 17 24 14" xfId="36494" xr:uid="{00000000-0005-0000-0000-00008E8E0000}"/>
    <cellStyle name="Normal 5 17 24 2" xfId="36495" xr:uid="{00000000-0005-0000-0000-00008F8E0000}"/>
    <cellStyle name="Normal 5 17 24 2 10" xfId="36496" xr:uid="{00000000-0005-0000-0000-0000908E0000}"/>
    <cellStyle name="Normal 5 17 24 2 2" xfId="36497" xr:uid="{00000000-0005-0000-0000-0000918E0000}"/>
    <cellStyle name="Normal 5 17 24 2 3" xfId="36498" xr:uid="{00000000-0005-0000-0000-0000928E0000}"/>
    <cellStyle name="Normal 5 17 24 2 4" xfId="36499" xr:uid="{00000000-0005-0000-0000-0000938E0000}"/>
    <cellStyle name="Normal 5 17 24 2 5" xfId="36500" xr:uid="{00000000-0005-0000-0000-0000948E0000}"/>
    <cellStyle name="Normal 5 17 24 2 6" xfId="36501" xr:uid="{00000000-0005-0000-0000-0000958E0000}"/>
    <cellStyle name="Normal 5 17 24 2 7" xfId="36502" xr:uid="{00000000-0005-0000-0000-0000968E0000}"/>
    <cellStyle name="Normal 5 17 24 2 8" xfId="36503" xr:uid="{00000000-0005-0000-0000-0000978E0000}"/>
    <cellStyle name="Normal 5 17 24 2 9" xfId="36504" xr:uid="{00000000-0005-0000-0000-0000988E0000}"/>
    <cellStyle name="Normal 5 17 24 3" xfId="36505" xr:uid="{00000000-0005-0000-0000-0000998E0000}"/>
    <cellStyle name="Normal 5 17 24 3 10" xfId="36506" xr:uid="{00000000-0005-0000-0000-00009A8E0000}"/>
    <cellStyle name="Normal 5 17 24 3 2" xfId="36507" xr:uid="{00000000-0005-0000-0000-00009B8E0000}"/>
    <cellStyle name="Normal 5 17 24 3 3" xfId="36508" xr:uid="{00000000-0005-0000-0000-00009C8E0000}"/>
    <cellStyle name="Normal 5 17 24 3 4" xfId="36509" xr:uid="{00000000-0005-0000-0000-00009D8E0000}"/>
    <cellStyle name="Normal 5 17 24 3 5" xfId="36510" xr:uid="{00000000-0005-0000-0000-00009E8E0000}"/>
    <cellStyle name="Normal 5 17 24 3 6" xfId="36511" xr:uid="{00000000-0005-0000-0000-00009F8E0000}"/>
    <cellStyle name="Normal 5 17 24 3 7" xfId="36512" xr:uid="{00000000-0005-0000-0000-0000A08E0000}"/>
    <cellStyle name="Normal 5 17 24 3 8" xfId="36513" xr:uid="{00000000-0005-0000-0000-0000A18E0000}"/>
    <cellStyle name="Normal 5 17 24 3 9" xfId="36514" xr:uid="{00000000-0005-0000-0000-0000A28E0000}"/>
    <cellStyle name="Normal 5 17 24 4" xfId="36515" xr:uid="{00000000-0005-0000-0000-0000A38E0000}"/>
    <cellStyle name="Normal 5 17 24 4 10" xfId="36516" xr:uid="{00000000-0005-0000-0000-0000A48E0000}"/>
    <cellStyle name="Normal 5 17 24 4 2" xfId="36517" xr:uid="{00000000-0005-0000-0000-0000A58E0000}"/>
    <cellStyle name="Normal 5 17 24 4 3" xfId="36518" xr:uid="{00000000-0005-0000-0000-0000A68E0000}"/>
    <cellStyle name="Normal 5 17 24 4 4" xfId="36519" xr:uid="{00000000-0005-0000-0000-0000A78E0000}"/>
    <cellStyle name="Normal 5 17 24 4 5" xfId="36520" xr:uid="{00000000-0005-0000-0000-0000A88E0000}"/>
    <cellStyle name="Normal 5 17 24 4 6" xfId="36521" xr:uid="{00000000-0005-0000-0000-0000A98E0000}"/>
    <cellStyle name="Normal 5 17 24 4 7" xfId="36522" xr:uid="{00000000-0005-0000-0000-0000AA8E0000}"/>
    <cellStyle name="Normal 5 17 24 4 8" xfId="36523" xr:uid="{00000000-0005-0000-0000-0000AB8E0000}"/>
    <cellStyle name="Normal 5 17 24 4 9" xfId="36524" xr:uid="{00000000-0005-0000-0000-0000AC8E0000}"/>
    <cellStyle name="Normal 5 17 24 5" xfId="36525" xr:uid="{00000000-0005-0000-0000-0000AD8E0000}"/>
    <cellStyle name="Normal 5 17 24 5 10" xfId="36526" xr:uid="{00000000-0005-0000-0000-0000AE8E0000}"/>
    <cellStyle name="Normal 5 17 24 5 2" xfId="36527" xr:uid="{00000000-0005-0000-0000-0000AF8E0000}"/>
    <cellStyle name="Normal 5 17 24 5 3" xfId="36528" xr:uid="{00000000-0005-0000-0000-0000B08E0000}"/>
    <cellStyle name="Normal 5 17 24 5 4" xfId="36529" xr:uid="{00000000-0005-0000-0000-0000B18E0000}"/>
    <cellStyle name="Normal 5 17 24 5 5" xfId="36530" xr:uid="{00000000-0005-0000-0000-0000B28E0000}"/>
    <cellStyle name="Normal 5 17 24 5 6" xfId="36531" xr:uid="{00000000-0005-0000-0000-0000B38E0000}"/>
    <cellStyle name="Normal 5 17 24 5 7" xfId="36532" xr:uid="{00000000-0005-0000-0000-0000B48E0000}"/>
    <cellStyle name="Normal 5 17 24 5 8" xfId="36533" xr:uid="{00000000-0005-0000-0000-0000B58E0000}"/>
    <cellStyle name="Normal 5 17 24 5 9" xfId="36534" xr:uid="{00000000-0005-0000-0000-0000B68E0000}"/>
    <cellStyle name="Normal 5 17 24 6" xfId="36535" xr:uid="{00000000-0005-0000-0000-0000B78E0000}"/>
    <cellStyle name="Normal 5 17 24 7" xfId="36536" xr:uid="{00000000-0005-0000-0000-0000B88E0000}"/>
    <cellStyle name="Normal 5 17 24 8" xfId="36537" xr:uid="{00000000-0005-0000-0000-0000B98E0000}"/>
    <cellStyle name="Normal 5 17 24 9" xfId="36538" xr:uid="{00000000-0005-0000-0000-0000BA8E0000}"/>
    <cellStyle name="Normal 5 17 25" xfId="36539" xr:uid="{00000000-0005-0000-0000-0000BB8E0000}"/>
    <cellStyle name="Normal 5 17 25 10" xfId="36540" xr:uid="{00000000-0005-0000-0000-0000BC8E0000}"/>
    <cellStyle name="Normal 5 17 25 11" xfId="36541" xr:uid="{00000000-0005-0000-0000-0000BD8E0000}"/>
    <cellStyle name="Normal 5 17 25 12" xfId="36542" xr:uid="{00000000-0005-0000-0000-0000BE8E0000}"/>
    <cellStyle name="Normal 5 17 25 13" xfId="36543" xr:uid="{00000000-0005-0000-0000-0000BF8E0000}"/>
    <cellStyle name="Normal 5 17 25 14" xfId="36544" xr:uid="{00000000-0005-0000-0000-0000C08E0000}"/>
    <cellStyle name="Normal 5 17 25 2" xfId="36545" xr:uid="{00000000-0005-0000-0000-0000C18E0000}"/>
    <cellStyle name="Normal 5 17 25 2 10" xfId="36546" xr:uid="{00000000-0005-0000-0000-0000C28E0000}"/>
    <cellStyle name="Normal 5 17 25 2 2" xfId="36547" xr:uid="{00000000-0005-0000-0000-0000C38E0000}"/>
    <cellStyle name="Normal 5 17 25 2 3" xfId="36548" xr:uid="{00000000-0005-0000-0000-0000C48E0000}"/>
    <cellStyle name="Normal 5 17 25 2 4" xfId="36549" xr:uid="{00000000-0005-0000-0000-0000C58E0000}"/>
    <cellStyle name="Normal 5 17 25 2 5" xfId="36550" xr:uid="{00000000-0005-0000-0000-0000C68E0000}"/>
    <cellStyle name="Normal 5 17 25 2 6" xfId="36551" xr:uid="{00000000-0005-0000-0000-0000C78E0000}"/>
    <cellStyle name="Normal 5 17 25 2 7" xfId="36552" xr:uid="{00000000-0005-0000-0000-0000C88E0000}"/>
    <cellStyle name="Normal 5 17 25 2 8" xfId="36553" xr:uid="{00000000-0005-0000-0000-0000C98E0000}"/>
    <cellStyle name="Normal 5 17 25 2 9" xfId="36554" xr:uid="{00000000-0005-0000-0000-0000CA8E0000}"/>
    <cellStyle name="Normal 5 17 25 3" xfId="36555" xr:uid="{00000000-0005-0000-0000-0000CB8E0000}"/>
    <cellStyle name="Normal 5 17 25 3 10" xfId="36556" xr:uid="{00000000-0005-0000-0000-0000CC8E0000}"/>
    <cellStyle name="Normal 5 17 25 3 2" xfId="36557" xr:uid="{00000000-0005-0000-0000-0000CD8E0000}"/>
    <cellStyle name="Normal 5 17 25 3 3" xfId="36558" xr:uid="{00000000-0005-0000-0000-0000CE8E0000}"/>
    <cellStyle name="Normal 5 17 25 3 4" xfId="36559" xr:uid="{00000000-0005-0000-0000-0000CF8E0000}"/>
    <cellStyle name="Normal 5 17 25 3 5" xfId="36560" xr:uid="{00000000-0005-0000-0000-0000D08E0000}"/>
    <cellStyle name="Normal 5 17 25 3 6" xfId="36561" xr:uid="{00000000-0005-0000-0000-0000D18E0000}"/>
    <cellStyle name="Normal 5 17 25 3 7" xfId="36562" xr:uid="{00000000-0005-0000-0000-0000D28E0000}"/>
    <cellStyle name="Normal 5 17 25 3 8" xfId="36563" xr:uid="{00000000-0005-0000-0000-0000D38E0000}"/>
    <cellStyle name="Normal 5 17 25 3 9" xfId="36564" xr:uid="{00000000-0005-0000-0000-0000D48E0000}"/>
    <cellStyle name="Normal 5 17 25 4" xfId="36565" xr:uid="{00000000-0005-0000-0000-0000D58E0000}"/>
    <cellStyle name="Normal 5 17 25 4 10" xfId="36566" xr:uid="{00000000-0005-0000-0000-0000D68E0000}"/>
    <cellStyle name="Normal 5 17 25 4 2" xfId="36567" xr:uid="{00000000-0005-0000-0000-0000D78E0000}"/>
    <cellStyle name="Normal 5 17 25 4 3" xfId="36568" xr:uid="{00000000-0005-0000-0000-0000D88E0000}"/>
    <cellStyle name="Normal 5 17 25 4 4" xfId="36569" xr:uid="{00000000-0005-0000-0000-0000D98E0000}"/>
    <cellStyle name="Normal 5 17 25 4 5" xfId="36570" xr:uid="{00000000-0005-0000-0000-0000DA8E0000}"/>
    <cellStyle name="Normal 5 17 25 4 6" xfId="36571" xr:uid="{00000000-0005-0000-0000-0000DB8E0000}"/>
    <cellStyle name="Normal 5 17 25 4 7" xfId="36572" xr:uid="{00000000-0005-0000-0000-0000DC8E0000}"/>
    <cellStyle name="Normal 5 17 25 4 8" xfId="36573" xr:uid="{00000000-0005-0000-0000-0000DD8E0000}"/>
    <cellStyle name="Normal 5 17 25 4 9" xfId="36574" xr:uid="{00000000-0005-0000-0000-0000DE8E0000}"/>
    <cellStyle name="Normal 5 17 25 5" xfId="36575" xr:uid="{00000000-0005-0000-0000-0000DF8E0000}"/>
    <cellStyle name="Normal 5 17 25 5 10" xfId="36576" xr:uid="{00000000-0005-0000-0000-0000E08E0000}"/>
    <cellStyle name="Normal 5 17 25 5 2" xfId="36577" xr:uid="{00000000-0005-0000-0000-0000E18E0000}"/>
    <cellStyle name="Normal 5 17 25 5 3" xfId="36578" xr:uid="{00000000-0005-0000-0000-0000E28E0000}"/>
    <cellStyle name="Normal 5 17 25 5 4" xfId="36579" xr:uid="{00000000-0005-0000-0000-0000E38E0000}"/>
    <cellStyle name="Normal 5 17 25 5 5" xfId="36580" xr:uid="{00000000-0005-0000-0000-0000E48E0000}"/>
    <cellStyle name="Normal 5 17 25 5 6" xfId="36581" xr:uid="{00000000-0005-0000-0000-0000E58E0000}"/>
    <cellStyle name="Normal 5 17 25 5 7" xfId="36582" xr:uid="{00000000-0005-0000-0000-0000E68E0000}"/>
    <cellStyle name="Normal 5 17 25 5 8" xfId="36583" xr:uid="{00000000-0005-0000-0000-0000E78E0000}"/>
    <cellStyle name="Normal 5 17 25 5 9" xfId="36584" xr:uid="{00000000-0005-0000-0000-0000E88E0000}"/>
    <cellStyle name="Normal 5 17 25 6" xfId="36585" xr:uid="{00000000-0005-0000-0000-0000E98E0000}"/>
    <cellStyle name="Normal 5 17 25 7" xfId="36586" xr:uid="{00000000-0005-0000-0000-0000EA8E0000}"/>
    <cellStyle name="Normal 5 17 25 8" xfId="36587" xr:uid="{00000000-0005-0000-0000-0000EB8E0000}"/>
    <cellStyle name="Normal 5 17 25 9" xfId="36588" xr:uid="{00000000-0005-0000-0000-0000EC8E0000}"/>
    <cellStyle name="Normal 5 17 26" xfId="36589" xr:uid="{00000000-0005-0000-0000-0000ED8E0000}"/>
    <cellStyle name="Normal 5 17 26 10" xfId="36590" xr:uid="{00000000-0005-0000-0000-0000EE8E0000}"/>
    <cellStyle name="Normal 5 17 26 11" xfId="36591" xr:uid="{00000000-0005-0000-0000-0000EF8E0000}"/>
    <cellStyle name="Normal 5 17 26 12" xfId="36592" xr:uid="{00000000-0005-0000-0000-0000F08E0000}"/>
    <cellStyle name="Normal 5 17 26 13" xfId="36593" xr:uid="{00000000-0005-0000-0000-0000F18E0000}"/>
    <cellStyle name="Normal 5 17 26 14" xfId="36594" xr:uid="{00000000-0005-0000-0000-0000F28E0000}"/>
    <cellStyle name="Normal 5 17 26 2" xfId="36595" xr:uid="{00000000-0005-0000-0000-0000F38E0000}"/>
    <cellStyle name="Normal 5 17 26 2 10" xfId="36596" xr:uid="{00000000-0005-0000-0000-0000F48E0000}"/>
    <cellStyle name="Normal 5 17 26 2 2" xfId="36597" xr:uid="{00000000-0005-0000-0000-0000F58E0000}"/>
    <cellStyle name="Normal 5 17 26 2 3" xfId="36598" xr:uid="{00000000-0005-0000-0000-0000F68E0000}"/>
    <cellStyle name="Normal 5 17 26 2 4" xfId="36599" xr:uid="{00000000-0005-0000-0000-0000F78E0000}"/>
    <cellStyle name="Normal 5 17 26 2 5" xfId="36600" xr:uid="{00000000-0005-0000-0000-0000F88E0000}"/>
    <cellStyle name="Normal 5 17 26 2 6" xfId="36601" xr:uid="{00000000-0005-0000-0000-0000F98E0000}"/>
    <cellStyle name="Normal 5 17 26 2 7" xfId="36602" xr:uid="{00000000-0005-0000-0000-0000FA8E0000}"/>
    <cellStyle name="Normal 5 17 26 2 8" xfId="36603" xr:uid="{00000000-0005-0000-0000-0000FB8E0000}"/>
    <cellStyle name="Normal 5 17 26 2 9" xfId="36604" xr:uid="{00000000-0005-0000-0000-0000FC8E0000}"/>
    <cellStyle name="Normal 5 17 26 3" xfId="36605" xr:uid="{00000000-0005-0000-0000-0000FD8E0000}"/>
    <cellStyle name="Normal 5 17 26 3 10" xfId="36606" xr:uid="{00000000-0005-0000-0000-0000FE8E0000}"/>
    <cellStyle name="Normal 5 17 26 3 2" xfId="36607" xr:uid="{00000000-0005-0000-0000-0000FF8E0000}"/>
    <cellStyle name="Normal 5 17 26 3 3" xfId="36608" xr:uid="{00000000-0005-0000-0000-0000008F0000}"/>
    <cellStyle name="Normal 5 17 26 3 4" xfId="36609" xr:uid="{00000000-0005-0000-0000-0000018F0000}"/>
    <cellStyle name="Normal 5 17 26 3 5" xfId="36610" xr:uid="{00000000-0005-0000-0000-0000028F0000}"/>
    <cellStyle name="Normal 5 17 26 3 6" xfId="36611" xr:uid="{00000000-0005-0000-0000-0000038F0000}"/>
    <cellStyle name="Normal 5 17 26 3 7" xfId="36612" xr:uid="{00000000-0005-0000-0000-0000048F0000}"/>
    <cellStyle name="Normal 5 17 26 3 8" xfId="36613" xr:uid="{00000000-0005-0000-0000-0000058F0000}"/>
    <cellStyle name="Normal 5 17 26 3 9" xfId="36614" xr:uid="{00000000-0005-0000-0000-0000068F0000}"/>
    <cellStyle name="Normal 5 17 26 4" xfId="36615" xr:uid="{00000000-0005-0000-0000-0000078F0000}"/>
    <cellStyle name="Normal 5 17 26 4 10" xfId="36616" xr:uid="{00000000-0005-0000-0000-0000088F0000}"/>
    <cellStyle name="Normal 5 17 26 4 2" xfId="36617" xr:uid="{00000000-0005-0000-0000-0000098F0000}"/>
    <cellStyle name="Normal 5 17 26 4 3" xfId="36618" xr:uid="{00000000-0005-0000-0000-00000A8F0000}"/>
    <cellStyle name="Normal 5 17 26 4 4" xfId="36619" xr:uid="{00000000-0005-0000-0000-00000B8F0000}"/>
    <cellStyle name="Normal 5 17 26 4 5" xfId="36620" xr:uid="{00000000-0005-0000-0000-00000C8F0000}"/>
    <cellStyle name="Normal 5 17 26 4 6" xfId="36621" xr:uid="{00000000-0005-0000-0000-00000D8F0000}"/>
    <cellStyle name="Normal 5 17 26 4 7" xfId="36622" xr:uid="{00000000-0005-0000-0000-00000E8F0000}"/>
    <cellStyle name="Normal 5 17 26 4 8" xfId="36623" xr:uid="{00000000-0005-0000-0000-00000F8F0000}"/>
    <cellStyle name="Normal 5 17 26 4 9" xfId="36624" xr:uid="{00000000-0005-0000-0000-0000108F0000}"/>
    <cellStyle name="Normal 5 17 26 5" xfId="36625" xr:uid="{00000000-0005-0000-0000-0000118F0000}"/>
    <cellStyle name="Normal 5 17 26 5 10" xfId="36626" xr:uid="{00000000-0005-0000-0000-0000128F0000}"/>
    <cellStyle name="Normal 5 17 26 5 2" xfId="36627" xr:uid="{00000000-0005-0000-0000-0000138F0000}"/>
    <cellStyle name="Normal 5 17 26 5 3" xfId="36628" xr:uid="{00000000-0005-0000-0000-0000148F0000}"/>
    <cellStyle name="Normal 5 17 26 5 4" xfId="36629" xr:uid="{00000000-0005-0000-0000-0000158F0000}"/>
    <cellStyle name="Normal 5 17 26 5 5" xfId="36630" xr:uid="{00000000-0005-0000-0000-0000168F0000}"/>
    <cellStyle name="Normal 5 17 26 5 6" xfId="36631" xr:uid="{00000000-0005-0000-0000-0000178F0000}"/>
    <cellStyle name="Normal 5 17 26 5 7" xfId="36632" xr:uid="{00000000-0005-0000-0000-0000188F0000}"/>
    <cellStyle name="Normal 5 17 26 5 8" xfId="36633" xr:uid="{00000000-0005-0000-0000-0000198F0000}"/>
    <cellStyle name="Normal 5 17 26 5 9" xfId="36634" xr:uid="{00000000-0005-0000-0000-00001A8F0000}"/>
    <cellStyle name="Normal 5 17 26 6" xfId="36635" xr:uid="{00000000-0005-0000-0000-00001B8F0000}"/>
    <cellStyle name="Normal 5 17 26 7" xfId="36636" xr:uid="{00000000-0005-0000-0000-00001C8F0000}"/>
    <cellStyle name="Normal 5 17 26 8" xfId="36637" xr:uid="{00000000-0005-0000-0000-00001D8F0000}"/>
    <cellStyle name="Normal 5 17 26 9" xfId="36638" xr:uid="{00000000-0005-0000-0000-00001E8F0000}"/>
    <cellStyle name="Normal 5 17 27" xfId="36639" xr:uid="{00000000-0005-0000-0000-00001F8F0000}"/>
    <cellStyle name="Normal 5 17 27 10" xfId="36640" xr:uid="{00000000-0005-0000-0000-0000208F0000}"/>
    <cellStyle name="Normal 5 17 27 11" xfId="36641" xr:uid="{00000000-0005-0000-0000-0000218F0000}"/>
    <cellStyle name="Normal 5 17 27 12" xfId="36642" xr:uid="{00000000-0005-0000-0000-0000228F0000}"/>
    <cellStyle name="Normal 5 17 27 13" xfId="36643" xr:uid="{00000000-0005-0000-0000-0000238F0000}"/>
    <cellStyle name="Normal 5 17 27 14" xfId="36644" xr:uid="{00000000-0005-0000-0000-0000248F0000}"/>
    <cellStyle name="Normal 5 17 27 2" xfId="36645" xr:uid="{00000000-0005-0000-0000-0000258F0000}"/>
    <cellStyle name="Normal 5 17 27 2 10" xfId="36646" xr:uid="{00000000-0005-0000-0000-0000268F0000}"/>
    <cellStyle name="Normal 5 17 27 2 2" xfId="36647" xr:uid="{00000000-0005-0000-0000-0000278F0000}"/>
    <cellStyle name="Normal 5 17 27 2 3" xfId="36648" xr:uid="{00000000-0005-0000-0000-0000288F0000}"/>
    <cellStyle name="Normal 5 17 27 2 4" xfId="36649" xr:uid="{00000000-0005-0000-0000-0000298F0000}"/>
    <cellStyle name="Normal 5 17 27 2 5" xfId="36650" xr:uid="{00000000-0005-0000-0000-00002A8F0000}"/>
    <cellStyle name="Normal 5 17 27 2 6" xfId="36651" xr:uid="{00000000-0005-0000-0000-00002B8F0000}"/>
    <cellStyle name="Normal 5 17 27 2 7" xfId="36652" xr:uid="{00000000-0005-0000-0000-00002C8F0000}"/>
    <cellStyle name="Normal 5 17 27 2 8" xfId="36653" xr:uid="{00000000-0005-0000-0000-00002D8F0000}"/>
    <cellStyle name="Normal 5 17 27 2 9" xfId="36654" xr:uid="{00000000-0005-0000-0000-00002E8F0000}"/>
    <cellStyle name="Normal 5 17 27 3" xfId="36655" xr:uid="{00000000-0005-0000-0000-00002F8F0000}"/>
    <cellStyle name="Normal 5 17 27 3 10" xfId="36656" xr:uid="{00000000-0005-0000-0000-0000308F0000}"/>
    <cellStyle name="Normal 5 17 27 3 2" xfId="36657" xr:uid="{00000000-0005-0000-0000-0000318F0000}"/>
    <cellStyle name="Normal 5 17 27 3 3" xfId="36658" xr:uid="{00000000-0005-0000-0000-0000328F0000}"/>
    <cellStyle name="Normal 5 17 27 3 4" xfId="36659" xr:uid="{00000000-0005-0000-0000-0000338F0000}"/>
    <cellStyle name="Normal 5 17 27 3 5" xfId="36660" xr:uid="{00000000-0005-0000-0000-0000348F0000}"/>
    <cellStyle name="Normal 5 17 27 3 6" xfId="36661" xr:uid="{00000000-0005-0000-0000-0000358F0000}"/>
    <cellStyle name="Normal 5 17 27 3 7" xfId="36662" xr:uid="{00000000-0005-0000-0000-0000368F0000}"/>
    <cellStyle name="Normal 5 17 27 3 8" xfId="36663" xr:uid="{00000000-0005-0000-0000-0000378F0000}"/>
    <cellStyle name="Normal 5 17 27 3 9" xfId="36664" xr:uid="{00000000-0005-0000-0000-0000388F0000}"/>
    <cellStyle name="Normal 5 17 27 4" xfId="36665" xr:uid="{00000000-0005-0000-0000-0000398F0000}"/>
    <cellStyle name="Normal 5 17 27 4 10" xfId="36666" xr:uid="{00000000-0005-0000-0000-00003A8F0000}"/>
    <cellStyle name="Normal 5 17 27 4 2" xfId="36667" xr:uid="{00000000-0005-0000-0000-00003B8F0000}"/>
    <cellStyle name="Normal 5 17 27 4 3" xfId="36668" xr:uid="{00000000-0005-0000-0000-00003C8F0000}"/>
    <cellStyle name="Normal 5 17 27 4 4" xfId="36669" xr:uid="{00000000-0005-0000-0000-00003D8F0000}"/>
    <cellStyle name="Normal 5 17 27 4 5" xfId="36670" xr:uid="{00000000-0005-0000-0000-00003E8F0000}"/>
    <cellStyle name="Normal 5 17 27 4 6" xfId="36671" xr:uid="{00000000-0005-0000-0000-00003F8F0000}"/>
    <cellStyle name="Normal 5 17 27 4 7" xfId="36672" xr:uid="{00000000-0005-0000-0000-0000408F0000}"/>
    <cellStyle name="Normal 5 17 27 4 8" xfId="36673" xr:uid="{00000000-0005-0000-0000-0000418F0000}"/>
    <cellStyle name="Normal 5 17 27 4 9" xfId="36674" xr:uid="{00000000-0005-0000-0000-0000428F0000}"/>
    <cellStyle name="Normal 5 17 27 5" xfId="36675" xr:uid="{00000000-0005-0000-0000-0000438F0000}"/>
    <cellStyle name="Normal 5 17 27 5 10" xfId="36676" xr:uid="{00000000-0005-0000-0000-0000448F0000}"/>
    <cellStyle name="Normal 5 17 27 5 2" xfId="36677" xr:uid="{00000000-0005-0000-0000-0000458F0000}"/>
    <cellStyle name="Normal 5 17 27 5 3" xfId="36678" xr:uid="{00000000-0005-0000-0000-0000468F0000}"/>
    <cellStyle name="Normal 5 17 27 5 4" xfId="36679" xr:uid="{00000000-0005-0000-0000-0000478F0000}"/>
    <cellStyle name="Normal 5 17 27 5 5" xfId="36680" xr:uid="{00000000-0005-0000-0000-0000488F0000}"/>
    <cellStyle name="Normal 5 17 27 5 6" xfId="36681" xr:uid="{00000000-0005-0000-0000-0000498F0000}"/>
    <cellStyle name="Normal 5 17 27 5 7" xfId="36682" xr:uid="{00000000-0005-0000-0000-00004A8F0000}"/>
    <cellStyle name="Normal 5 17 27 5 8" xfId="36683" xr:uid="{00000000-0005-0000-0000-00004B8F0000}"/>
    <cellStyle name="Normal 5 17 27 5 9" xfId="36684" xr:uid="{00000000-0005-0000-0000-00004C8F0000}"/>
    <cellStyle name="Normal 5 17 27 6" xfId="36685" xr:uid="{00000000-0005-0000-0000-00004D8F0000}"/>
    <cellStyle name="Normal 5 17 27 7" xfId="36686" xr:uid="{00000000-0005-0000-0000-00004E8F0000}"/>
    <cellStyle name="Normal 5 17 27 8" xfId="36687" xr:uid="{00000000-0005-0000-0000-00004F8F0000}"/>
    <cellStyle name="Normal 5 17 27 9" xfId="36688" xr:uid="{00000000-0005-0000-0000-0000508F0000}"/>
    <cellStyle name="Normal 5 17 28" xfId="36689" xr:uid="{00000000-0005-0000-0000-0000518F0000}"/>
    <cellStyle name="Normal 5 17 28 10" xfId="36690" xr:uid="{00000000-0005-0000-0000-0000528F0000}"/>
    <cellStyle name="Normal 5 17 28 11" xfId="36691" xr:uid="{00000000-0005-0000-0000-0000538F0000}"/>
    <cellStyle name="Normal 5 17 28 12" xfId="36692" xr:uid="{00000000-0005-0000-0000-0000548F0000}"/>
    <cellStyle name="Normal 5 17 28 13" xfId="36693" xr:uid="{00000000-0005-0000-0000-0000558F0000}"/>
    <cellStyle name="Normal 5 17 28 14" xfId="36694" xr:uid="{00000000-0005-0000-0000-0000568F0000}"/>
    <cellStyle name="Normal 5 17 28 2" xfId="36695" xr:uid="{00000000-0005-0000-0000-0000578F0000}"/>
    <cellStyle name="Normal 5 17 28 2 10" xfId="36696" xr:uid="{00000000-0005-0000-0000-0000588F0000}"/>
    <cellStyle name="Normal 5 17 28 2 2" xfId="36697" xr:uid="{00000000-0005-0000-0000-0000598F0000}"/>
    <cellStyle name="Normal 5 17 28 2 3" xfId="36698" xr:uid="{00000000-0005-0000-0000-00005A8F0000}"/>
    <cellStyle name="Normal 5 17 28 2 4" xfId="36699" xr:uid="{00000000-0005-0000-0000-00005B8F0000}"/>
    <cellStyle name="Normal 5 17 28 2 5" xfId="36700" xr:uid="{00000000-0005-0000-0000-00005C8F0000}"/>
    <cellStyle name="Normal 5 17 28 2 6" xfId="36701" xr:uid="{00000000-0005-0000-0000-00005D8F0000}"/>
    <cellStyle name="Normal 5 17 28 2 7" xfId="36702" xr:uid="{00000000-0005-0000-0000-00005E8F0000}"/>
    <cellStyle name="Normal 5 17 28 2 8" xfId="36703" xr:uid="{00000000-0005-0000-0000-00005F8F0000}"/>
    <cellStyle name="Normal 5 17 28 2 9" xfId="36704" xr:uid="{00000000-0005-0000-0000-0000608F0000}"/>
    <cellStyle name="Normal 5 17 28 3" xfId="36705" xr:uid="{00000000-0005-0000-0000-0000618F0000}"/>
    <cellStyle name="Normal 5 17 28 3 10" xfId="36706" xr:uid="{00000000-0005-0000-0000-0000628F0000}"/>
    <cellStyle name="Normal 5 17 28 3 2" xfId="36707" xr:uid="{00000000-0005-0000-0000-0000638F0000}"/>
    <cellStyle name="Normal 5 17 28 3 3" xfId="36708" xr:uid="{00000000-0005-0000-0000-0000648F0000}"/>
    <cellStyle name="Normal 5 17 28 3 4" xfId="36709" xr:uid="{00000000-0005-0000-0000-0000658F0000}"/>
    <cellStyle name="Normal 5 17 28 3 5" xfId="36710" xr:uid="{00000000-0005-0000-0000-0000668F0000}"/>
    <cellStyle name="Normal 5 17 28 3 6" xfId="36711" xr:uid="{00000000-0005-0000-0000-0000678F0000}"/>
    <cellStyle name="Normal 5 17 28 3 7" xfId="36712" xr:uid="{00000000-0005-0000-0000-0000688F0000}"/>
    <cellStyle name="Normal 5 17 28 3 8" xfId="36713" xr:uid="{00000000-0005-0000-0000-0000698F0000}"/>
    <cellStyle name="Normal 5 17 28 3 9" xfId="36714" xr:uid="{00000000-0005-0000-0000-00006A8F0000}"/>
    <cellStyle name="Normal 5 17 28 4" xfId="36715" xr:uid="{00000000-0005-0000-0000-00006B8F0000}"/>
    <cellStyle name="Normal 5 17 28 4 10" xfId="36716" xr:uid="{00000000-0005-0000-0000-00006C8F0000}"/>
    <cellStyle name="Normal 5 17 28 4 2" xfId="36717" xr:uid="{00000000-0005-0000-0000-00006D8F0000}"/>
    <cellStyle name="Normal 5 17 28 4 3" xfId="36718" xr:uid="{00000000-0005-0000-0000-00006E8F0000}"/>
    <cellStyle name="Normal 5 17 28 4 4" xfId="36719" xr:uid="{00000000-0005-0000-0000-00006F8F0000}"/>
    <cellStyle name="Normal 5 17 28 4 5" xfId="36720" xr:uid="{00000000-0005-0000-0000-0000708F0000}"/>
    <cellStyle name="Normal 5 17 28 4 6" xfId="36721" xr:uid="{00000000-0005-0000-0000-0000718F0000}"/>
    <cellStyle name="Normal 5 17 28 4 7" xfId="36722" xr:uid="{00000000-0005-0000-0000-0000728F0000}"/>
    <cellStyle name="Normal 5 17 28 4 8" xfId="36723" xr:uid="{00000000-0005-0000-0000-0000738F0000}"/>
    <cellStyle name="Normal 5 17 28 4 9" xfId="36724" xr:uid="{00000000-0005-0000-0000-0000748F0000}"/>
    <cellStyle name="Normal 5 17 28 5" xfId="36725" xr:uid="{00000000-0005-0000-0000-0000758F0000}"/>
    <cellStyle name="Normal 5 17 28 5 10" xfId="36726" xr:uid="{00000000-0005-0000-0000-0000768F0000}"/>
    <cellStyle name="Normal 5 17 28 5 2" xfId="36727" xr:uid="{00000000-0005-0000-0000-0000778F0000}"/>
    <cellStyle name="Normal 5 17 28 5 3" xfId="36728" xr:uid="{00000000-0005-0000-0000-0000788F0000}"/>
    <cellStyle name="Normal 5 17 28 5 4" xfId="36729" xr:uid="{00000000-0005-0000-0000-0000798F0000}"/>
    <cellStyle name="Normal 5 17 28 5 5" xfId="36730" xr:uid="{00000000-0005-0000-0000-00007A8F0000}"/>
    <cellStyle name="Normal 5 17 28 5 6" xfId="36731" xr:uid="{00000000-0005-0000-0000-00007B8F0000}"/>
    <cellStyle name="Normal 5 17 28 5 7" xfId="36732" xr:uid="{00000000-0005-0000-0000-00007C8F0000}"/>
    <cellStyle name="Normal 5 17 28 5 8" xfId="36733" xr:uid="{00000000-0005-0000-0000-00007D8F0000}"/>
    <cellStyle name="Normal 5 17 28 5 9" xfId="36734" xr:uid="{00000000-0005-0000-0000-00007E8F0000}"/>
    <cellStyle name="Normal 5 17 28 6" xfId="36735" xr:uid="{00000000-0005-0000-0000-00007F8F0000}"/>
    <cellStyle name="Normal 5 17 28 7" xfId="36736" xr:uid="{00000000-0005-0000-0000-0000808F0000}"/>
    <cellStyle name="Normal 5 17 28 8" xfId="36737" xr:uid="{00000000-0005-0000-0000-0000818F0000}"/>
    <cellStyle name="Normal 5 17 28 9" xfId="36738" xr:uid="{00000000-0005-0000-0000-0000828F0000}"/>
    <cellStyle name="Normal 5 17 29" xfId="36739" xr:uid="{00000000-0005-0000-0000-0000838F0000}"/>
    <cellStyle name="Normal 5 17 29 10" xfId="36740" xr:uid="{00000000-0005-0000-0000-0000848F0000}"/>
    <cellStyle name="Normal 5 17 29 11" xfId="36741" xr:uid="{00000000-0005-0000-0000-0000858F0000}"/>
    <cellStyle name="Normal 5 17 29 12" xfId="36742" xr:uid="{00000000-0005-0000-0000-0000868F0000}"/>
    <cellStyle name="Normal 5 17 29 13" xfId="36743" xr:uid="{00000000-0005-0000-0000-0000878F0000}"/>
    <cellStyle name="Normal 5 17 29 14" xfId="36744" xr:uid="{00000000-0005-0000-0000-0000888F0000}"/>
    <cellStyle name="Normal 5 17 29 2" xfId="36745" xr:uid="{00000000-0005-0000-0000-0000898F0000}"/>
    <cellStyle name="Normal 5 17 29 2 10" xfId="36746" xr:uid="{00000000-0005-0000-0000-00008A8F0000}"/>
    <cellStyle name="Normal 5 17 29 2 2" xfId="36747" xr:uid="{00000000-0005-0000-0000-00008B8F0000}"/>
    <cellStyle name="Normal 5 17 29 2 3" xfId="36748" xr:uid="{00000000-0005-0000-0000-00008C8F0000}"/>
    <cellStyle name="Normal 5 17 29 2 4" xfId="36749" xr:uid="{00000000-0005-0000-0000-00008D8F0000}"/>
    <cellStyle name="Normal 5 17 29 2 5" xfId="36750" xr:uid="{00000000-0005-0000-0000-00008E8F0000}"/>
    <cellStyle name="Normal 5 17 29 2 6" xfId="36751" xr:uid="{00000000-0005-0000-0000-00008F8F0000}"/>
    <cellStyle name="Normal 5 17 29 2 7" xfId="36752" xr:uid="{00000000-0005-0000-0000-0000908F0000}"/>
    <cellStyle name="Normal 5 17 29 2 8" xfId="36753" xr:uid="{00000000-0005-0000-0000-0000918F0000}"/>
    <cellStyle name="Normal 5 17 29 2 9" xfId="36754" xr:uid="{00000000-0005-0000-0000-0000928F0000}"/>
    <cellStyle name="Normal 5 17 29 3" xfId="36755" xr:uid="{00000000-0005-0000-0000-0000938F0000}"/>
    <cellStyle name="Normal 5 17 29 3 10" xfId="36756" xr:uid="{00000000-0005-0000-0000-0000948F0000}"/>
    <cellStyle name="Normal 5 17 29 3 2" xfId="36757" xr:uid="{00000000-0005-0000-0000-0000958F0000}"/>
    <cellStyle name="Normal 5 17 29 3 3" xfId="36758" xr:uid="{00000000-0005-0000-0000-0000968F0000}"/>
    <cellStyle name="Normal 5 17 29 3 4" xfId="36759" xr:uid="{00000000-0005-0000-0000-0000978F0000}"/>
    <cellStyle name="Normal 5 17 29 3 5" xfId="36760" xr:uid="{00000000-0005-0000-0000-0000988F0000}"/>
    <cellStyle name="Normal 5 17 29 3 6" xfId="36761" xr:uid="{00000000-0005-0000-0000-0000998F0000}"/>
    <cellStyle name="Normal 5 17 29 3 7" xfId="36762" xr:uid="{00000000-0005-0000-0000-00009A8F0000}"/>
    <cellStyle name="Normal 5 17 29 3 8" xfId="36763" xr:uid="{00000000-0005-0000-0000-00009B8F0000}"/>
    <cellStyle name="Normal 5 17 29 3 9" xfId="36764" xr:uid="{00000000-0005-0000-0000-00009C8F0000}"/>
    <cellStyle name="Normal 5 17 29 4" xfId="36765" xr:uid="{00000000-0005-0000-0000-00009D8F0000}"/>
    <cellStyle name="Normal 5 17 29 4 10" xfId="36766" xr:uid="{00000000-0005-0000-0000-00009E8F0000}"/>
    <cellStyle name="Normal 5 17 29 4 2" xfId="36767" xr:uid="{00000000-0005-0000-0000-00009F8F0000}"/>
    <cellStyle name="Normal 5 17 29 4 3" xfId="36768" xr:uid="{00000000-0005-0000-0000-0000A08F0000}"/>
    <cellStyle name="Normal 5 17 29 4 4" xfId="36769" xr:uid="{00000000-0005-0000-0000-0000A18F0000}"/>
    <cellStyle name="Normal 5 17 29 4 5" xfId="36770" xr:uid="{00000000-0005-0000-0000-0000A28F0000}"/>
    <cellStyle name="Normal 5 17 29 4 6" xfId="36771" xr:uid="{00000000-0005-0000-0000-0000A38F0000}"/>
    <cellStyle name="Normal 5 17 29 4 7" xfId="36772" xr:uid="{00000000-0005-0000-0000-0000A48F0000}"/>
    <cellStyle name="Normal 5 17 29 4 8" xfId="36773" xr:uid="{00000000-0005-0000-0000-0000A58F0000}"/>
    <cellStyle name="Normal 5 17 29 4 9" xfId="36774" xr:uid="{00000000-0005-0000-0000-0000A68F0000}"/>
    <cellStyle name="Normal 5 17 29 5" xfId="36775" xr:uid="{00000000-0005-0000-0000-0000A78F0000}"/>
    <cellStyle name="Normal 5 17 29 5 10" xfId="36776" xr:uid="{00000000-0005-0000-0000-0000A88F0000}"/>
    <cellStyle name="Normal 5 17 29 5 2" xfId="36777" xr:uid="{00000000-0005-0000-0000-0000A98F0000}"/>
    <cellStyle name="Normal 5 17 29 5 3" xfId="36778" xr:uid="{00000000-0005-0000-0000-0000AA8F0000}"/>
    <cellStyle name="Normal 5 17 29 5 4" xfId="36779" xr:uid="{00000000-0005-0000-0000-0000AB8F0000}"/>
    <cellStyle name="Normal 5 17 29 5 5" xfId="36780" xr:uid="{00000000-0005-0000-0000-0000AC8F0000}"/>
    <cellStyle name="Normal 5 17 29 5 6" xfId="36781" xr:uid="{00000000-0005-0000-0000-0000AD8F0000}"/>
    <cellStyle name="Normal 5 17 29 5 7" xfId="36782" xr:uid="{00000000-0005-0000-0000-0000AE8F0000}"/>
    <cellStyle name="Normal 5 17 29 5 8" xfId="36783" xr:uid="{00000000-0005-0000-0000-0000AF8F0000}"/>
    <cellStyle name="Normal 5 17 29 5 9" xfId="36784" xr:uid="{00000000-0005-0000-0000-0000B08F0000}"/>
    <cellStyle name="Normal 5 17 29 6" xfId="36785" xr:uid="{00000000-0005-0000-0000-0000B18F0000}"/>
    <cellStyle name="Normal 5 17 29 7" xfId="36786" xr:uid="{00000000-0005-0000-0000-0000B28F0000}"/>
    <cellStyle name="Normal 5 17 29 8" xfId="36787" xr:uid="{00000000-0005-0000-0000-0000B38F0000}"/>
    <cellStyle name="Normal 5 17 29 9" xfId="36788" xr:uid="{00000000-0005-0000-0000-0000B48F0000}"/>
    <cellStyle name="Normal 5 17 3" xfId="36789" xr:uid="{00000000-0005-0000-0000-0000B58F0000}"/>
    <cellStyle name="Normal 5 17 3 10" xfId="36790" xr:uid="{00000000-0005-0000-0000-0000B68F0000}"/>
    <cellStyle name="Normal 5 17 3 11" xfId="36791" xr:uid="{00000000-0005-0000-0000-0000B78F0000}"/>
    <cellStyle name="Normal 5 17 3 12" xfId="36792" xr:uid="{00000000-0005-0000-0000-0000B88F0000}"/>
    <cellStyle name="Normal 5 17 3 13" xfId="36793" xr:uid="{00000000-0005-0000-0000-0000B98F0000}"/>
    <cellStyle name="Normal 5 17 3 14" xfId="36794" xr:uid="{00000000-0005-0000-0000-0000BA8F0000}"/>
    <cellStyle name="Normal 5 17 3 2" xfId="36795" xr:uid="{00000000-0005-0000-0000-0000BB8F0000}"/>
    <cellStyle name="Normal 5 17 3 2 10" xfId="36796" xr:uid="{00000000-0005-0000-0000-0000BC8F0000}"/>
    <cellStyle name="Normal 5 17 3 2 2" xfId="36797" xr:uid="{00000000-0005-0000-0000-0000BD8F0000}"/>
    <cellStyle name="Normal 5 17 3 2 3" xfId="36798" xr:uid="{00000000-0005-0000-0000-0000BE8F0000}"/>
    <cellStyle name="Normal 5 17 3 2 4" xfId="36799" xr:uid="{00000000-0005-0000-0000-0000BF8F0000}"/>
    <cellStyle name="Normal 5 17 3 2 5" xfId="36800" xr:uid="{00000000-0005-0000-0000-0000C08F0000}"/>
    <cellStyle name="Normal 5 17 3 2 6" xfId="36801" xr:uid="{00000000-0005-0000-0000-0000C18F0000}"/>
    <cellStyle name="Normal 5 17 3 2 7" xfId="36802" xr:uid="{00000000-0005-0000-0000-0000C28F0000}"/>
    <cellStyle name="Normal 5 17 3 2 8" xfId="36803" xr:uid="{00000000-0005-0000-0000-0000C38F0000}"/>
    <cellStyle name="Normal 5 17 3 2 9" xfId="36804" xr:uid="{00000000-0005-0000-0000-0000C48F0000}"/>
    <cellStyle name="Normal 5 17 3 3" xfId="36805" xr:uid="{00000000-0005-0000-0000-0000C58F0000}"/>
    <cellStyle name="Normal 5 17 3 3 10" xfId="36806" xr:uid="{00000000-0005-0000-0000-0000C68F0000}"/>
    <cellStyle name="Normal 5 17 3 3 2" xfId="36807" xr:uid="{00000000-0005-0000-0000-0000C78F0000}"/>
    <cellStyle name="Normal 5 17 3 3 3" xfId="36808" xr:uid="{00000000-0005-0000-0000-0000C88F0000}"/>
    <cellStyle name="Normal 5 17 3 3 4" xfId="36809" xr:uid="{00000000-0005-0000-0000-0000C98F0000}"/>
    <cellStyle name="Normal 5 17 3 3 5" xfId="36810" xr:uid="{00000000-0005-0000-0000-0000CA8F0000}"/>
    <cellStyle name="Normal 5 17 3 3 6" xfId="36811" xr:uid="{00000000-0005-0000-0000-0000CB8F0000}"/>
    <cellStyle name="Normal 5 17 3 3 7" xfId="36812" xr:uid="{00000000-0005-0000-0000-0000CC8F0000}"/>
    <cellStyle name="Normal 5 17 3 3 8" xfId="36813" xr:uid="{00000000-0005-0000-0000-0000CD8F0000}"/>
    <cellStyle name="Normal 5 17 3 3 9" xfId="36814" xr:uid="{00000000-0005-0000-0000-0000CE8F0000}"/>
    <cellStyle name="Normal 5 17 3 4" xfId="36815" xr:uid="{00000000-0005-0000-0000-0000CF8F0000}"/>
    <cellStyle name="Normal 5 17 3 4 10" xfId="36816" xr:uid="{00000000-0005-0000-0000-0000D08F0000}"/>
    <cellStyle name="Normal 5 17 3 4 2" xfId="36817" xr:uid="{00000000-0005-0000-0000-0000D18F0000}"/>
    <cellStyle name="Normal 5 17 3 4 3" xfId="36818" xr:uid="{00000000-0005-0000-0000-0000D28F0000}"/>
    <cellStyle name="Normal 5 17 3 4 4" xfId="36819" xr:uid="{00000000-0005-0000-0000-0000D38F0000}"/>
    <cellStyle name="Normal 5 17 3 4 5" xfId="36820" xr:uid="{00000000-0005-0000-0000-0000D48F0000}"/>
    <cellStyle name="Normal 5 17 3 4 6" xfId="36821" xr:uid="{00000000-0005-0000-0000-0000D58F0000}"/>
    <cellStyle name="Normal 5 17 3 4 7" xfId="36822" xr:uid="{00000000-0005-0000-0000-0000D68F0000}"/>
    <cellStyle name="Normal 5 17 3 4 8" xfId="36823" xr:uid="{00000000-0005-0000-0000-0000D78F0000}"/>
    <cellStyle name="Normal 5 17 3 4 9" xfId="36824" xr:uid="{00000000-0005-0000-0000-0000D88F0000}"/>
    <cellStyle name="Normal 5 17 3 5" xfId="36825" xr:uid="{00000000-0005-0000-0000-0000D98F0000}"/>
    <cellStyle name="Normal 5 17 3 5 10" xfId="36826" xr:uid="{00000000-0005-0000-0000-0000DA8F0000}"/>
    <cellStyle name="Normal 5 17 3 5 2" xfId="36827" xr:uid="{00000000-0005-0000-0000-0000DB8F0000}"/>
    <cellStyle name="Normal 5 17 3 5 3" xfId="36828" xr:uid="{00000000-0005-0000-0000-0000DC8F0000}"/>
    <cellStyle name="Normal 5 17 3 5 4" xfId="36829" xr:uid="{00000000-0005-0000-0000-0000DD8F0000}"/>
    <cellStyle name="Normal 5 17 3 5 5" xfId="36830" xr:uid="{00000000-0005-0000-0000-0000DE8F0000}"/>
    <cellStyle name="Normal 5 17 3 5 6" xfId="36831" xr:uid="{00000000-0005-0000-0000-0000DF8F0000}"/>
    <cellStyle name="Normal 5 17 3 5 7" xfId="36832" xr:uid="{00000000-0005-0000-0000-0000E08F0000}"/>
    <cellStyle name="Normal 5 17 3 5 8" xfId="36833" xr:uid="{00000000-0005-0000-0000-0000E18F0000}"/>
    <cellStyle name="Normal 5 17 3 5 9" xfId="36834" xr:uid="{00000000-0005-0000-0000-0000E28F0000}"/>
    <cellStyle name="Normal 5 17 3 6" xfId="36835" xr:uid="{00000000-0005-0000-0000-0000E38F0000}"/>
    <cellStyle name="Normal 5 17 3 7" xfId="36836" xr:uid="{00000000-0005-0000-0000-0000E48F0000}"/>
    <cellStyle name="Normal 5 17 3 8" xfId="36837" xr:uid="{00000000-0005-0000-0000-0000E58F0000}"/>
    <cellStyle name="Normal 5 17 3 9" xfId="36838" xr:uid="{00000000-0005-0000-0000-0000E68F0000}"/>
    <cellStyle name="Normal 5 17 30" xfId="36839" xr:uid="{00000000-0005-0000-0000-0000E78F0000}"/>
    <cellStyle name="Normal 5 17 30 10" xfId="36840" xr:uid="{00000000-0005-0000-0000-0000E88F0000}"/>
    <cellStyle name="Normal 5 17 30 11" xfId="36841" xr:uid="{00000000-0005-0000-0000-0000E98F0000}"/>
    <cellStyle name="Normal 5 17 30 12" xfId="36842" xr:uid="{00000000-0005-0000-0000-0000EA8F0000}"/>
    <cellStyle name="Normal 5 17 30 13" xfId="36843" xr:uid="{00000000-0005-0000-0000-0000EB8F0000}"/>
    <cellStyle name="Normal 5 17 30 14" xfId="36844" xr:uid="{00000000-0005-0000-0000-0000EC8F0000}"/>
    <cellStyle name="Normal 5 17 30 2" xfId="36845" xr:uid="{00000000-0005-0000-0000-0000ED8F0000}"/>
    <cellStyle name="Normal 5 17 30 2 10" xfId="36846" xr:uid="{00000000-0005-0000-0000-0000EE8F0000}"/>
    <cellStyle name="Normal 5 17 30 2 2" xfId="36847" xr:uid="{00000000-0005-0000-0000-0000EF8F0000}"/>
    <cellStyle name="Normal 5 17 30 2 3" xfId="36848" xr:uid="{00000000-0005-0000-0000-0000F08F0000}"/>
    <cellStyle name="Normal 5 17 30 2 4" xfId="36849" xr:uid="{00000000-0005-0000-0000-0000F18F0000}"/>
    <cellStyle name="Normal 5 17 30 2 5" xfId="36850" xr:uid="{00000000-0005-0000-0000-0000F28F0000}"/>
    <cellStyle name="Normal 5 17 30 2 6" xfId="36851" xr:uid="{00000000-0005-0000-0000-0000F38F0000}"/>
    <cellStyle name="Normal 5 17 30 2 7" xfId="36852" xr:uid="{00000000-0005-0000-0000-0000F48F0000}"/>
    <cellStyle name="Normal 5 17 30 2 8" xfId="36853" xr:uid="{00000000-0005-0000-0000-0000F58F0000}"/>
    <cellStyle name="Normal 5 17 30 2 9" xfId="36854" xr:uid="{00000000-0005-0000-0000-0000F68F0000}"/>
    <cellStyle name="Normal 5 17 30 3" xfId="36855" xr:uid="{00000000-0005-0000-0000-0000F78F0000}"/>
    <cellStyle name="Normal 5 17 30 3 10" xfId="36856" xr:uid="{00000000-0005-0000-0000-0000F88F0000}"/>
    <cellStyle name="Normal 5 17 30 3 2" xfId="36857" xr:uid="{00000000-0005-0000-0000-0000F98F0000}"/>
    <cellStyle name="Normal 5 17 30 3 3" xfId="36858" xr:uid="{00000000-0005-0000-0000-0000FA8F0000}"/>
    <cellStyle name="Normal 5 17 30 3 4" xfId="36859" xr:uid="{00000000-0005-0000-0000-0000FB8F0000}"/>
    <cellStyle name="Normal 5 17 30 3 5" xfId="36860" xr:uid="{00000000-0005-0000-0000-0000FC8F0000}"/>
    <cellStyle name="Normal 5 17 30 3 6" xfId="36861" xr:uid="{00000000-0005-0000-0000-0000FD8F0000}"/>
    <cellStyle name="Normal 5 17 30 3 7" xfId="36862" xr:uid="{00000000-0005-0000-0000-0000FE8F0000}"/>
    <cellStyle name="Normal 5 17 30 3 8" xfId="36863" xr:uid="{00000000-0005-0000-0000-0000FF8F0000}"/>
    <cellStyle name="Normal 5 17 30 3 9" xfId="36864" xr:uid="{00000000-0005-0000-0000-000000900000}"/>
    <cellStyle name="Normal 5 17 30 4" xfId="36865" xr:uid="{00000000-0005-0000-0000-000001900000}"/>
    <cellStyle name="Normal 5 17 30 4 10" xfId="36866" xr:uid="{00000000-0005-0000-0000-000002900000}"/>
    <cellStyle name="Normal 5 17 30 4 2" xfId="36867" xr:uid="{00000000-0005-0000-0000-000003900000}"/>
    <cellStyle name="Normal 5 17 30 4 3" xfId="36868" xr:uid="{00000000-0005-0000-0000-000004900000}"/>
    <cellStyle name="Normal 5 17 30 4 4" xfId="36869" xr:uid="{00000000-0005-0000-0000-000005900000}"/>
    <cellStyle name="Normal 5 17 30 4 5" xfId="36870" xr:uid="{00000000-0005-0000-0000-000006900000}"/>
    <cellStyle name="Normal 5 17 30 4 6" xfId="36871" xr:uid="{00000000-0005-0000-0000-000007900000}"/>
    <cellStyle name="Normal 5 17 30 4 7" xfId="36872" xr:uid="{00000000-0005-0000-0000-000008900000}"/>
    <cellStyle name="Normal 5 17 30 4 8" xfId="36873" xr:uid="{00000000-0005-0000-0000-000009900000}"/>
    <cellStyle name="Normal 5 17 30 4 9" xfId="36874" xr:uid="{00000000-0005-0000-0000-00000A900000}"/>
    <cellStyle name="Normal 5 17 30 5" xfId="36875" xr:uid="{00000000-0005-0000-0000-00000B900000}"/>
    <cellStyle name="Normal 5 17 30 5 10" xfId="36876" xr:uid="{00000000-0005-0000-0000-00000C900000}"/>
    <cellStyle name="Normal 5 17 30 5 2" xfId="36877" xr:uid="{00000000-0005-0000-0000-00000D900000}"/>
    <cellStyle name="Normal 5 17 30 5 3" xfId="36878" xr:uid="{00000000-0005-0000-0000-00000E900000}"/>
    <cellStyle name="Normal 5 17 30 5 4" xfId="36879" xr:uid="{00000000-0005-0000-0000-00000F900000}"/>
    <cellStyle name="Normal 5 17 30 5 5" xfId="36880" xr:uid="{00000000-0005-0000-0000-000010900000}"/>
    <cellStyle name="Normal 5 17 30 5 6" xfId="36881" xr:uid="{00000000-0005-0000-0000-000011900000}"/>
    <cellStyle name="Normal 5 17 30 5 7" xfId="36882" xr:uid="{00000000-0005-0000-0000-000012900000}"/>
    <cellStyle name="Normal 5 17 30 5 8" xfId="36883" xr:uid="{00000000-0005-0000-0000-000013900000}"/>
    <cellStyle name="Normal 5 17 30 5 9" xfId="36884" xr:uid="{00000000-0005-0000-0000-000014900000}"/>
    <cellStyle name="Normal 5 17 30 6" xfId="36885" xr:uid="{00000000-0005-0000-0000-000015900000}"/>
    <cellStyle name="Normal 5 17 30 7" xfId="36886" xr:uid="{00000000-0005-0000-0000-000016900000}"/>
    <cellStyle name="Normal 5 17 30 8" xfId="36887" xr:uid="{00000000-0005-0000-0000-000017900000}"/>
    <cellStyle name="Normal 5 17 30 9" xfId="36888" xr:uid="{00000000-0005-0000-0000-000018900000}"/>
    <cellStyle name="Normal 5 17 31" xfId="36889" xr:uid="{00000000-0005-0000-0000-000019900000}"/>
    <cellStyle name="Normal 5 17 31 10" xfId="36890" xr:uid="{00000000-0005-0000-0000-00001A900000}"/>
    <cellStyle name="Normal 5 17 31 11" xfId="36891" xr:uid="{00000000-0005-0000-0000-00001B900000}"/>
    <cellStyle name="Normal 5 17 31 12" xfId="36892" xr:uid="{00000000-0005-0000-0000-00001C900000}"/>
    <cellStyle name="Normal 5 17 31 13" xfId="36893" xr:uid="{00000000-0005-0000-0000-00001D900000}"/>
    <cellStyle name="Normal 5 17 31 14" xfId="36894" xr:uid="{00000000-0005-0000-0000-00001E900000}"/>
    <cellStyle name="Normal 5 17 31 2" xfId="36895" xr:uid="{00000000-0005-0000-0000-00001F900000}"/>
    <cellStyle name="Normal 5 17 31 2 10" xfId="36896" xr:uid="{00000000-0005-0000-0000-000020900000}"/>
    <cellStyle name="Normal 5 17 31 2 2" xfId="36897" xr:uid="{00000000-0005-0000-0000-000021900000}"/>
    <cellStyle name="Normal 5 17 31 2 3" xfId="36898" xr:uid="{00000000-0005-0000-0000-000022900000}"/>
    <cellStyle name="Normal 5 17 31 2 4" xfId="36899" xr:uid="{00000000-0005-0000-0000-000023900000}"/>
    <cellStyle name="Normal 5 17 31 2 5" xfId="36900" xr:uid="{00000000-0005-0000-0000-000024900000}"/>
    <cellStyle name="Normal 5 17 31 2 6" xfId="36901" xr:uid="{00000000-0005-0000-0000-000025900000}"/>
    <cellStyle name="Normal 5 17 31 2 7" xfId="36902" xr:uid="{00000000-0005-0000-0000-000026900000}"/>
    <cellStyle name="Normal 5 17 31 2 8" xfId="36903" xr:uid="{00000000-0005-0000-0000-000027900000}"/>
    <cellStyle name="Normal 5 17 31 2 9" xfId="36904" xr:uid="{00000000-0005-0000-0000-000028900000}"/>
    <cellStyle name="Normal 5 17 31 3" xfId="36905" xr:uid="{00000000-0005-0000-0000-000029900000}"/>
    <cellStyle name="Normal 5 17 31 3 10" xfId="36906" xr:uid="{00000000-0005-0000-0000-00002A900000}"/>
    <cellStyle name="Normal 5 17 31 3 2" xfId="36907" xr:uid="{00000000-0005-0000-0000-00002B900000}"/>
    <cellStyle name="Normal 5 17 31 3 3" xfId="36908" xr:uid="{00000000-0005-0000-0000-00002C900000}"/>
    <cellStyle name="Normal 5 17 31 3 4" xfId="36909" xr:uid="{00000000-0005-0000-0000-00002D900000}"/>
    <cellStyle name="Normal 5 17 31 3 5" xfId="36910" xr:uid="{00000000-0005-0000-0000-00002E900000}"/>
    <cellStyle name="Normal 5 17 31 3 6" xfId="36911" xr:uid="{00000000-0005-0000-0000-00002F900000}"/>
    <cellStyle name="Normal 5 17 31 3 7" xfId="36912" xr:uid="{00000000-0005-0000-0000-000030900000}"/>
    <cellStyle name="Normal 5 17 31 3 8" xfId="36913" xr:uid="{00000000-0005-0000-0000-000031900000}"/>
    <cellStyle name="Normal 5 17 31 3 9" xfId="36914" xr:uid="{00000000-0005-0000-0000-000032900000}"/>
    <cellStyle name="Normal 5 17 31 4" xfId="36915" xr:uid="{00000000-0005-0000-0000-000033900000}"/>
    <cellStyle name="Normal 5 17 31 4 10" xfId="36916" xr:uid="{00000000-0005-0000-0000-000034900000}"/>
    <cellStyle name="Normal 5 17 31 4 2" xfId="36917" xr:uid="{00000000-0005-0000-0000-000035900000}"/>
    <cellStyle name="Normal 5 17 31 4 3" xfId="36918" xr:uid="{00000000-0005-0000-0000-000036900000}"/>
    <cellStyle name="Normal 5 17 31 4 4" xfId="36919" xr:uid="{00000000-0005-0000-0000-000037900000}"/>
    <cellStyle name="Normal 5 17 31 4 5" xfId="36920" xr:uid="{00000000-0005-0000-0000-000038900000}"/>
    <cellStyle name="Normal 5 17 31 4 6" xfId="36921" xr:uid="{00000000-0005-0000-0000-000039900000}"/>
    <cellStyle name="Normal 5 17 31 4 7" xfId="36922" xr:uid="{00000000-0005-0000-0000-00003A900000}"/>
    <cellStyle name="Normal 5 17 31 4 8" xfId="36923" xr:uid="{00000000-0005-0000-0000-00003B900000}"/>
    <cellStyle name="Normal 5 17 31 4 9" xfId="36924" xr:uid="{00000000-0005-0000-0000-00003C900000}"/>
    <cellStyle name="Normal 5 17 31 5" xfId="36925" xr:uid="{00000000-0005-0000-0000-00003D900000}"/>
    <cellStyle name="Normal 5 17 31 5 10" xfId="36926" xr:uid="{00000000-0005-0000-0000-00003E900000}"/>
    <cellStyle name="Normal 5 17 31 5 2" xfId="36927" xr:uid="{00000000-0005-0000-0000-00003F900000}"/>
    <cellStyle name="Normal 5 17 31 5 3" xfId="36928" xr:uid="{00000000-0005-0000-0000-000040900000}"/>
    <cellStyle name="Normal 5 17 31 5 4" xfId="36929" xr:uid="{00000000-0005-0000-0000-000041900000}"/>
    <cellStyle name="Normal 5 17 31 5 5" xfId="36930" xr:uid="{00000000-0005-0000-0000-000042900000}"/>
    <cellStyle name="Normal 5 17 31 5 6" xfId="36931" xr:uid="{00000000-0005-0000-0000-000043900000}"/>
    <cellStyle name="Normal 5 17 31 5 7" xfId="36932" xr:uid="{00000000-0005-0000-0000-000044900000}"/>
    <cellStyle name="Normal 5 17 31 5 8" xfId="36933" xr:uid="{00000000-0005-0000-0000-000045900000}"/>
    <cellStyle name="Normal 5 17 31 5 9" xfId="36934" xr:uid="{00000000-0005-0000-0000-000046900000}"/>
    <cellStyle name="Normal 5 17 31 6" xfId="36935" xr:uid="{00000000-0005-0000-0000-000047900000}"/>
    <cellStyle name="Normal 5 17 31 7" xfId="36936" xr:uid="{00000000-0005-0000-0000-000048900000}"/>
    <cellStyle name="Normal 5 17 31 8" xfId="36937" xr:uid="{00000000-0005-0000-0000-000049900000}"/>
    <cellStyle name="Normal 5 17 31 9" xfId="36938" xr:uid="{00000000-0005-0000-0000-00004A900000}"/>
    <cellStyle name="Normal 5 17 32" xfId="36939" xr:uid="{00000000-0005-0000-0000-00004B900000}"/>
    <cellStyle name="Normal 5 17 32 10" xfId="36940" xr:uid="{00000000-0005-0000-0000-00004C900000}"/>
    <cellStyle name="Normal 5 17 32 11" xfId="36941" xr:uid="{00000000-0005-0000-0000-00004D900000}"/>
    <cellStyle name="Normal 5 17 32 12" xfId="36942" xr:uid="{00000000-0005-0000-0000-00004E900000}"/>
    <cellStyle name="Normal 5 17 32 13" xfId="36943" xr:uid="{00000000-0005-0000-0000-00004F900000}"/>
    <cellStyle name="Normal 5 17 32 14" xfId="36944" xr:uid="{00000000-0005-0000-0000-000050900000}"/>
    <cellStyle name="Normal 5 17 32 2" xfId="36945" xr:uid="{00000000-0005-0000-0000-000051900000}"/>
    <cellStyle name="Normal 5 17 32 2 10" xfId="36946" xr:uid="{00000000-0005-0000-0000-000052900000}"/>
    <cellStyle name="Normal 5 17 32 2 2" xfId="36947" xr:uid="{00000000-0005-0000-0000-000053900000}"/>
    <cellStyle name="Normal 5 17 32 2 3" xfId="36948" xr:uid="{00000000-0005-0000-0000-000054900000}"/>
    <cellStyle name="Normal 5 17 32 2 4" xfId="36949" xr:uid="{00000000-0005-0000-0000-000055900000}"/>
    <cellStyle name="Normal 5 17 32 2 5" xfId="36950" xr:uid="{00000000-0005-0000-0000-000056900000}"/>
    <cellStyle name="Normal 5 17 32 2 6" xfId="36951" xr:uid="{00000000-0005-0000-0000-000057900000}"/>
    <cellStyle name="Normal 5 17 32 2 7" xfId="36952" xr:uid="{00000000-0005-0000-0000-000058900000}"/>
    <cellStyle name="Normal 5 17 32 2 8" xfId="36953" xr:uid="{00000000-0005-0000-0000-000059900000}"/>
    <cellStyle name="Normal 5 17 32 2 9" xfId="36954" xr:uid="{00000000-0005-0000-0000-00005A900000}"/>
    <cellStyle name="Normal 5 17 32 3" xfId="36955" xr:uid="{00000000-0005-0000-0000-00005B900000}"/>
    <cellStyle name="Normal 5 17 32 3 10" xfId="36956" xr:uid="{00000000-0005-0000-0000-00005C900000}"/>
    <cellStyle name="Normal 5 17 32 3 2" xfId="36957" xr:uid="{00000000-0005-0000-0000-00005D900000}"/>
    <cellStyle name="Normal 5 17 32 3 3" xfId="36958" xr:uid="{00000000-0005-0000-0000-00005E900000}"/>
    <cellStyle name="Normal 5 17 32 3 4" xfId="36959" xr:uid="{00000000-0005-0000-0000-00005F900000}"/>
    <cellStyle name="Normal 5 17 32 3 5" xfId="36960" xr:uid="{00000000-0005-0000-0000-000060900000}"/>
    <cellStyle name="Normal 5 17 32 3 6" xfId="36961" xr:uid="{00000000-0005-0000-0000-000061900000}"/>
    <cellStyle name="Normal 5 17 32 3 7" xfId="36962" xr:uid="{00000000-0005-0000-0000-000062900000}"/>
    <cellStyle name="Normal 5 17 32 3 8" xfId="36963" xr:uid="{00000000-0005-0000-0000-000063900000}"/>
    <cellStyle name="Normal 5 17 32 3 9" xfId="36964" xr:uid="{00000000-0005-0000-0000-000064900000}"/>
    <cellStyle name="Normal 5 17 32 4" xfId="36965" xr:uid="{00000000-0005-0000-0000-000065900000}"/>
    <cellStyle name="Normal 5 17 32 4 10" xfId="36966" xr:uid="{00000000-0005-0000-0000-000066900000}"/>
    <cellStyle name="Normal 5 17 32 4 2" xfId="36967" xr:uid="{00000000-0005-0000-0000-000067900000}"/>
    <cellStyle name="Normal 5 17 32 4 3" xfId="36968" xr:uid="{00000000-0005-0000-0000-000068900000}"/>
    <cellStyle name="Normal 5 17 32 4 4" xfId="36969" xr:uid="{00000000-0005-0000-0000-000069900000}"/>
    <cellStyle name="Normal 5 17 32 4 5" xfId="36970" xr:uid="{00000000-0005-0000-0000-00006A900000}"/>
    <cellStyle name="Normal 5 17 32 4 6" xfId="36971" xr:uid="{00000000-0005-0000-0000-00006B900000}"/>
    <cellStyle name="Normal 5 17 32 4 7" xfId="36972" xr:uid="{00000000-0005-0000-0000-00006C900000}"/>
    <cellStyle name="Normal 5 17 32 4 8" xfId="36973" xr:uid="{00000000-0005-0000-0000-00006D900000}"/>
    <cellStyle name="Normal 5 17 32 4 9" xfId="36974" xr:uid="{00000000-0005-0000-0000-00006E900000}"/>
    <cellStyle name="Normal 5 17 32 5" xfId="36975" xr:uid="{00000000-0005-0000-0000-00006F900000}"/>
    <cellStyle name="Normal 5 17 32 5 10" xfId="36976" xr:uid="{00000000-0005-0000-0000-000070900000}"/>
    <cellStyle name="Normal 5 17 32 5 2" xfId="36977" xr:uid="{00000000-0005-0000-0000-000071900000}"/>
    <cellStyle name="Normal 5 17 32 5 3" xfId="36978" xr:uid="{00000000-0005-0000-0000-000072900000}"/>
    <cellStyle name="Normal 5 17 32 5 4" xfId="36979" xr:uid="{00000000-0005-0000-0000-000073900000}"/>
    <cellStyle name="Normal 5 17 32 5 5" xfId="36980" xr:uid="{00000000-0005-0000-0000-000074900000}"/>
    <cellStyle name="Normal 5 17 32 5 6" xfId="36981" xr:uid="{00000000-0005-0000-0000-000075900000}"/>
    <cellStyle name="Normal 5 17 32 5 7" xfId="36982" xr:uid="{00000000-0005-0000-0000-000076900000}"/>
    <cellStyle name="Normal 5 17 32 5 8" xfId="36983" xr:uid="{00000000-0005-0000-0000-000077900000}"/>
    <cellStyle name="Normal 5 17 32 5 9" xfId="36984" xr:uid="{00000000-0005-0000-0000-000078900000}"/>
    <cellStyle name="Normal 5 17 32 6" xfId="36985" xr:uid="{00000000-0005-0000-0000-000079900000}"/>
    <cellStyle name="Normal 5 17 32 7" xfId="36986" xr:uid="{00000000-0005-0000-0000-00007A900000}"/>
    <cellStyle name="Normal 5 17 32 8" xfId="36987" xr:uid="{00000000-0005-0000-0000-00007B900000}"/>
    <cellStyle name="Normal 5 17 32 9" xfId="36988" xr:uid="{00000000-0005-0000-0000-00007C900000}"/>
    <cellStyle name="Normal 5 17 33" xfId="36989" xr:uid="{00000000-0005-0000-0000-00007D900000}"/>
    <cellStyle name="Normal 5 17 33 10" xfId="36990" xr:uid="{00000000-0005-0000-0000-00007E900000}"/>
    <cellStyle name="Normal 5 17 33 11" xfId="36991" xr:uid="{00000000-0005-0000-0000-00007F900000}"/>
    <cellStyle name="Normal 5 17 33 12" xfId="36992" xr:uid="{00000000-0005-0000-0000-000080900000}"/>
    <cellStyle name="Normal 5 17 33 13" xfId="36993" xr:uid="{00000000-0005-0000-0000-000081900000}"/>
    <cellStyle name="Normal 5 17 33 14" xfId="36994" xr:uid="{00000000-0005-0000-0000-000082900000}"/>
    <cellStyle name="Normal 5 17 33 2" xfId="36995" xr:uid="{00000000-0005-0000-0000-000083900000}"/>
    <cellStyle name="Normal 5 17 33 2 10" xfId="36996" xr:uid="{00000000-0005-0000-0000-000084900000}"/>
    <cellStyle name="Normal 5 17 33 2 2" xfId="36997" xr:uid="{00000000-0005-0000-0000-000085900000}"/>
    <cellStyle name="Normal 5 17 33 2 3" xfId="36998" xr:uid="{00000000-0005-0000-0000-000086900000}"/>
    <cellStyle name="Normal 5 17 33 2 4" xfId="36999" xr:uid="{00000000-0005-0000-0000-000087900000}"/>
    <cellStyle name="Normal 5 17 33 2 5" xfId="37000" xr:uid="{00000000-0005-0000-0000-000088900000}"/>
    <cellStyle name="Normal 5 17 33 2 6" xfId="37001" xr:uid="{00000000-0005-0000-0000-000089900000}"/>
    <cellStyle name="Normal 5 17 33 2 7" xfId="37002" xr:uid="{00000000-0005-0000-0000-00008A900000}"/>
    <cellStyle name="Normal 5 17 33 2 8" xfId="37003" xr:uid="{00000000-0005-0000-0000-00008B900000}"/>
    <cellStyle name="Normal 5 17 33 2 9" xfId="37004" xr:uid="{00000000-0005-0000-0000-00008C900000}"/>
    <cellStyle name="Normal 5 17 33 3" xfId="37005" xr:uid="{00000000-0005-0000-0000-00008D900000}"/>
    <cellStyle name="Normal 5 17 33 3 10" xfId="37006" xr:uid="{00000000-0005-0000-0000-00008E900000}"/>
    <cellStyle name="Normal 5 17 33 3 2" xfId="37007" xr:uid="{00000000-0005-0000-0000-00008F900000}"/>
    <cellStyle name="Normal 5 17 33 3 3" xfId="37008" xr:uid="{00000000-0005-0000-0000-000090900000}"/>
    <cellStyle name="Normal 5 17 33 3 4" xfId="37009" xr:uid="{00000000-0005-0000-0000-000091900000}"/>
    <cellStyle name="Normal 5 17 33 3 5" xfId="37010" xr:uid="{00000000-0005-0000-0000-000092900000}"/>
    <cellStyle name="Normal 5 17 33 3 6" xfId="37011" xr:uid="{00000000-0005-0000-0000-000093900000}"/>
    <cellStyle name="Normal 5 17 33 3 7" xfId="37012" xr:uid="{00000000-0005-0000-0000-000094900000}"/>
    <cellStyle name="Normal 5 17 33 3 8" xfId="37013" xr:uid="{00000000-0005-0000-0000-000095900000}"/>
    <cellStyle name="Normal 5 17 33 3 9" xfId="37014" xr:uid="{00000000-0005-0000-0000-000096900000}"/>
    <cellStyle name="Normal 5 17 33 4" xfId="37015" xr:uid="{00000000-0005-0000-0000-000097900000}"/>
    <cellStyle name="Normal 5 17 33 4 10" xfId="37016" xr:uid="{00000000-0005-0000-0000-000098900000}"/>
    <cellStyle name="Normal 5 17 33 4 2" xfId="37017" xr:uid="{00000000-0005-0000-0000-000099900000}"/>
    <cellStyle name="Normal 5 17 33 4 3" xfId="37018" xr:uid="{00000000-0005-0000-0000-00009A900000}"/>
    <cellStyle name="Normal 5 17 33 4 4" xfId="37019" xr:uid="{00000000-0005-0000-0000-00009B900000}"/>
    <cellStyle name="Normal 5 17 33 4 5" xfId="37020" xr:uid="{00000000-0005-0000-0000-00009C900000}"/>
    <cellStyle name="Normal 5 17 33 4 6" xfId="37021" xr:uid="{00000000-0005-0000-0000-00009D900000}"/>
    <cellStyle name="Normal 5 17 33 4 7" xfId="37022" xr:uid="{00000000-0005-0000-0000-00009E900000}"/>
    <cellStyle name="Normal 5 17 33 4 8" xfId="37023" xr:uid="{00000000-0005-0000-0000-00009F900000}"/>
    <cellStyle name="Normal 5 17 33 4 9" xfId="37024" xr:uid="{00000000-0005-0000-0000-0000A0900000}"/>
    <cellStyle name="Normal 5 17 33 5" xfId="37025" xr:uid="{00000000-0005-0000-0000-0000A1900000}"/>
    <cellStyle name="Normal 5 17 33 5 10" xfId="37026" xr:uid="{00000000-0005-0000-0000-0000A2900000}"/>
    <cellStyle name="Normal 5 17 33 5 2" xfId="37027" xr:uid="{00000000-0005-0000-0000-0000A3900000}"/>
    <cellStyle name="Normal 5 17 33 5 3" xfId="37028" xr:uid="{00000000-0005-0000-0000-0000A4900000}"/>
    <cellStyle name="Normal 5 17 33 5 4" xfId="37029" xr:uid="{00000000-0005-0000-0000-0000A5900000}"/>
    <cellStyle name="Normal 5 17 33 5 5" xfId="37030" xr:uid="{00000000-0005-0000-0000-0000A6900000}"/>
    <cellStyle name="Normal 5 17 33 5 6" xfId="37031" xr:uid="{00000000-0005-0000-0000-0000A7900000}"/>
    <cellStyle name="Normal 5 17 33 5 7" xfId="37032" xr:uid="{00000000-0005-0000-0000-0000A8900000}"/>
    <cellStyle name="Normal 5 17 33 5 8" xfId="37033" xr:uid="{00000000-0005-0000-0000-0000A9900000}"/>
    <cellStyle name="Normal 5 17 33 5 9" xfId="37034" xr:uid="{00000000-0005-0000-0000-0000AA900000}"/>
    <cellStyle name="Normal 5 17 33 6" xfId="37035" xr:uid="{00000000-0005-0000-0000-0000AB900000}"/>
    <cellStyle name="Normal 5 17 33 7" xfId="37036" xr:uid="{00000000-0005-0000-0000-0000AC900000}"/>
    <cellStyle name="Normal 5 17 33 8" xfId="37037" xr:uid="{00000000-0005-0000-0000-0000AD900000}"/>
    <cellStyle name="Normal 5 17 33 9" xfId="37038" xr:uid="{00000000-0005-0000-0000-0000AE900000}"/>
    <cellStyle name="Normal 5 17 34" xfId="37039" xr:uid="{00000000-0005-0000-0000-0000AF900000}"/>
    <cellStyle name="Normal 5 17 34 10" xfId="37040" xr:uid="{00000000-0005-0000-0000-0000B0900000}"/>
    <cellStyle name="Normal 5 17 34 11" xfId="37041" xr:uid="{00000000-0005-0000-0000-0000B1900000}"/>
    <cellStyle name="Normal 5 17 34 12" xfId="37042" xr:uid="{00000000-0005-0000-0000-0000B2900000}"/>
    <cellStyle name="Normal 5 17 34 13" xfId="37043" xr:uid="{00000000-0005-0000-0000-0000B3900000}"/>
    <cellStyle name="Normal 5 17 34 14" xfId="37044" xr:uid="{00000000-0005-0000-0000-0000B4900000}"/>
    <cellStyle name="Normal 5 17 34 2" xfId="37045" xr:uid="{00000000-0005-0000-0000-0000B5900000}"/>
    <cellStyle name="Normal 5 17 34 2 10" xfId="37046" xr:uid="{00000000-0005-0000-0000-0000B6900000}"/>
    <cellStyle name="Normal 5 17 34 2 2" xfId="37047" xr:uid="{00000000-0005-0000-0000-0000B7900000}"/>
    <cellStyle name="Normal 5 17 34 2 3" xfId="37048" xr:uid="{00000000-0005-0000-0000-0000B8900000}"/>
    <cellStyle name="Normal 5 17 34 2 4" xfId="37049" xr:uid="{00000000-0005-0000-0000-0000B9900000}"/>
    <cellStyle name="Normal 5 17 34 2 5" xfId="37050" xr:uid="{00000000-0005-0000-0000-0000BA900000}"/>
    <cellStyle name="Normal 5 17 34 2 6" xfId="37051" xr:uid="{00000000-0005-0000-0000-0000BB900000}"/>
    <cellStyle name="Normal 5 17 34 2 7" xfId="37052" xr:uid="{00000000-0005-0000-0000-0000BC900000}"/>
    <cellStyle name="Normal 5 17 34 2 8" xfId="37053" xr:uid="{00000000-0005-0000-0000-0000BD900000}"/>
    <cellStyle name="Normal 5 17 34 2 9" xfId="37054" xr:uid="{00000000-0005-0000-0000-0000BE900000}"/>
    <cellStyle name="Normal 5 17 34 3" xfId="37055" xr:uid="{00000000-0005-0000-0000-0000BF900000}"/>
    <cellStyle name="Normal 5 17 34 3 10" xfId="37056" xr:uid="{00000000-0005-0000-0000-0000C0900000}"/>
    <cellStyle name="Normal 5 17 34 3 2" xfId="37057" xr:uid="{00000000-0005-0000-0000-0000C1900000}"/>
    <cellStyle name="Normal 5 17 34 3 3" xfId="37058" xr:uid="{00000000-0005-0000-0000-0000C2900000}"/>
    <cellStyle name="Normal 5 17 34 3 4" xfId="37059" xr:uid="{00000000-0005-0000-0000-0000C3900000}"/>
    <cellStyle name="Normal 5 17 34 3 5" xfId="37060" xr:uid="{00000000-0005-0000-0000-0000C4900000}"/>
    <cellStyle name="Normal 5 17 34 3 6" xfId="37061" xr:uid="{00000000-0005-0000-0000-0000C5900000}"/>
    <cellStyle name="Normal 5 17 34 3 7" xfId="37062" xr:uid="{00000000-0005-0000-0000-0000C6900000}"/>
    <cellStyle name="Normal 5 17 34 3 8" xfId="37063" xr:uid="{00000000-0005-0000-0000-0000C7900000}"/>
    <cellStyle name="Normal 5 17 34 3 9" xfId="37064" xr:uid="{00000000-0005-0000-0000-0000C8900000}"/>
    <cellStyle name="Normal 5 17 34 4" xfId="37065" xr:uid="{00000000-0005-0000-0000-0000C9900000}"/>
    <cellStyle name="Normal 5 17 34 4 10" xfId="37066" xr:uid="{00000000-0005-0000-0000-0000CA900000}"/>
    <cellStyle name="Normal 5 17 34 4 2" xfId="37067" xr:uid="{00000000-0005-0000-0000-0000CB900000}"/>
    <cellStyle name="Normal 5 17 34 4 3" xfId="37068" xr:uid="{00000000-0005-0000-0000-0000CC900000}"/>
    <cellStyle name="Normal 5 17 34 4 4" xfId="37069" xr:uid="{00000000-0005-0000-0000-0000CD900000}"/>
    <cellStyle name="Normal 5 17 34 4 5" xfId="37070" xr:uid="{00000000-0005-0000-0000-0000CE900000}"/>
    <cellStyle name="Normal 5 17 34 4 6" xfId="37071" xr:uid="{00000000-0005-0000-0000-0000CF900000}"/>
    <cellStyle name="Normal 5 17 34 4 7" xfId="37072" xr:uid="{00000000-0005-0000-0000-0000D0900000}"/>
    <cellStyle name="Normal 5 17 34 4 8" xfId="37073" xr:uid="{00000000-0005-0000-0000-0000D1900000}"/>
    <cellStyle name="Normal 5 17 34 4 9" xfId="37074" xr:uid="{00000000-0005-0000-0000-0000D2900000}"/>
    <cellStyle name="Normal 5 17 34 5" xfId="37075" xr:uid="{00000000-0005-0000-0000-0000D3900000}"/>
    <cellStyle name="Normal 5 17 34 5 10" xfId="37076" xr:uid="{00000000-0005-0000-0000-0000D4900000}"/>
    <cellStyle name="Normal 5 17 34 5 2" xfId="37077" xr:uid="{00000000-0005-0000-0000-0000D5900000}"/>
    <cellStyle name="Normal 5 17 34 5 3" xfId="37078" xr:uid="{00000000-0005-0000-0000-0000D6900000}"/>
    <cellStyle name="Normal 5 17 34 5 4" xfId="37079" xr:uid="{00000000-0005-0000-0000-0000D7900000}"/>
    <cellStyle name="Normal 5 17 34 5 5" xfId="37080" xr:uid="{00000000-0005-0000-0000-0000D8900000}"/>
    <cellStyle name="Normal 5 17 34 5 6" xfId="37081" xr:uid="{00000000-0005-0000-0000-0000D9900000}"/>
    <cellStyle name="Normal 5 17 34 5 7" xfId="37082" xr:uid="{00000000-0005-0000-0000-0000DA900000}"/>
    <cellStyle name="Normal 5 17 34 5 8" xfId="37083" xr:uid="{00000000-0005-0000-0000-0000DB900000}"/>
    <cellStyle name="Normal 5 17 34 5 9" xfId="37084" xr:uid="{00000000-0005-0000-0000-0000DC900000}"/>
    <cellStyle name="Normal 5 17 34 6" xfId="37085" xr:uid="{00000000-0005-0000-0000-0000DD900000}"/>
    <cellStyle name="Normal 5 17 34 7" xfId="37086" xr:uid="{00000000-0005-0000-0000-0000DE900000}"/>
    <cellStyle name="Normal 5 17 34 8" xfId="37087" xr:uid="{00000000-0005-0000-0000-0000DF900000}"/>
    <cellStyle name="Normal 5 17 34 9" xfId="37088" xr:uid="{00000000-0005-0000-0000-0000E0900000}"/>
    <cellStyle name="Normal 5 17 35" xfId="37089" xr:uid="{00000000-0005-0000-0000-0000E1900000}"/>
    <cellStyle name="Normal 5 17 35 10" xfId="37090" xr:uid="{00000000-0005-0000-0000-0000E2900000}"/>
    <cellStyle name="Normal 5 17 35 2" xfId="37091" xr:uid="{00000000-0005-0000-0000-0000E3900000}"/>
    <cellStyle name="Normal 5 17 35 3" xfId="37092" xr:uid="{00000000-0005-0000-0000-0000E4900000}"/>
    <cellStyle name="Normal 5 17 35 4" xfId="37093" xr:uid="{00000000-0005-0000-0000-0000E5900000}"/>
    <cellStyle name="Normal 5 17 35 5" xfId="37094" xr:uid="{00000000-0005-0000-0000-0000E6900000}"/>
    <cellStyle name="Normal 5 17 35 6" xfId="37095" xr:uid="{00000000-0005-0000-0000-0000E7900000}"/>
    <cellStyle name="Normal 5 17 35 7" xfId="37096" xr:uid="{00000000-0005-0000-0000-0000E8900000}"/>
    <cellStyle name="Normal 5 17 35 8" xfId="37097" xr:uid="{00000000-0005-0000-0000-0000E9900000}"/>
    <cellStyle name="Normal 5 17 35 9" xfId="37098" xr:uid="{00000000-0005-0000-0000-0000EA900000}"/>
    <cellStyle name="Normal 5 17 36" xfId="37099" xr:uid="{00000000-0005-0000-0000-0000EB900000}"/>
    <cellStyle name="Normal 5 17 36 10" xfId="37100" xr:uid="{00000000-0005-0000-0000-0000EC900000}"/>
    <cellStyle name="Normal 5 17 36 2" xfId="37101" xr:uid="{00000000-0005-0000-0000-0000ED900000}"/>
    <cellStyle name="Normal 5 17 36 3" xfId="37102" xr:uid="{00000000-0005-0000-0000-0000EE900000}"/>
    <cellStyle name="Normal 5 17 36 4" xfId="37103" xr:uid="{00000000-0005-0000-0000-0000EF900000}"/>
    <cellStyle name="Normal 5 17 36 5" xfId="37104" xr:uid="{00000000-0005-0000-0000-0000F0900000}"/>
    <cellStyle name="Normal 5 17 36 6" xfId="37105" xr:uid="{00000000-0005-0000-0000-0000F1900000}"/>
    <cellStyle name="Normal 5 17 36 7" xfId="37106" xr:uid="{00000000-0005-0000-0000-0000F2900000}"/>
    <cellStyle name="Normal 5 17 36 8" xfId="37107" xr:uid="{00000000-0005-0000-0000-0000F3900000}"/>
    <cellStyle name="Normal 5 17 36 9" xfId="37108" xr:uid="{00000000-0005-0000-0000-0000F4900000}"/>
    <cellStyle name="Normal 5 17 37" xfId="37109" xr:uid="{00000000-0005-0000-0000-0000F5900000}"/>
    <cellStyle name="Normal 5 17 37 10" xfId="37110" xr:uid="{00000000-0005-0000-0000-0000F6900000}"/>
    <cellStyle name="Normal 5 17 37 2" xfId="37111" xr:uid="{00000000-0005-0000-0000-0000F7900000}"/>
    <cellStyle name="Normal 5 17 37 3" xfId="37112" xr:uid="{00000000-0005-0000-0000-0000F8900000}"/>
    <cellStyle name="Normal 5 17 37 4" xfId="37113" xr:uid="{00000000-0005-0000-0000-0000F9900000}"/>
    <cellStyle name="Normal 5 17 37 5" xfId="37114" xr:uid="{00000000-0005-0000-0000-0000FA900000}"/>
    <cellStyle name="Normal 5 17 37 6" xfId="37115" xr:uid="{00000000-0005-0000-0000-0000FB900000}"/>
    <cellStyle name="Normal 5 17 37 7" xfId="37116" xr:uid="{00000000-0005-0000-0000-0000FC900000}"/>
    <cellStyle name="Normal 5 17 37 8" xfId="37117" xr:uid="{00000000-0005-0000-0000-0000FD900000}"/>
    <cellStyle name="Normal 5 17 37 9" xfId="37118" xr:uid="{00000000-0005-0000-0000-0000FE900000}"/>
    <cellStyle name="Normal 5 17 38" xfId="37119" xr:uid="{00000000-0005-0000-0000-0000FF900000}"/>
    <cellStyle name="Normal 5 17 38 10" xfId="37120" xr:uid="{00000000-0005-0000-0000-000000910000}"/>
    <cellStyle name="Normal 5 17 38 2" xfId="37121" xr:uid="{00000000-0005-0000-0000-000001910000}"/>
    <cellStyle name="Normal 5 17 38 3" xfId="37122" xr:uid="{00000000-0005-0000-0000-000002910000}"/>
    <cellStyle name="Normal 5 17 38 4" xfId="37123" xr:uid="{00000000-0005-0000-0000-000003910000}"/>
    <cellStyle name="Normal 5 17 38 5" xfId="37124" xr:uid="{00000000-0005-0000-0000-000004910000}"/>
    <cellStyle name="Normal 5 17 38 6" xfId="37125" xr:uid="{00000000-0005-0000-0000-000005910000}"/>
    <cellStyle name="Normal 5 17 38 7" xfId="37126" xr:uid="{00000000-0005-0000-0000-000006910000}"/>
    <cellStyle name="Normal 5 17 38 8" xfId="37127" xr:uid="{00000000-0005-0000-0000-000007910000}"/>
    <cellStyle name="Normal 5 17 38 9" xfId="37128" xr:uid="{00000000-0005-0000-0000-000008910000}"/>
    <cellStyle name="Normal 5 17 39" xfId="37129" xr:uid="{00000000-0005-0000-0000-000009910000}"/>
    <cellStyle name="Normal 5 17 4" xfId="37130" xr:uid="{00000000-0005-0000-0000-00000A910000}"/>
    <cellStyle name="Normal 5 17 4 10" xfId="37131" xr:uid="{00000000-0005-0000-0000-00000B910000}"/>
    <cellStyle name="Normal 5 17 4 11" xfId="37132" xr:uid="{00000000-0005-0000-0000-00000C910000}"/>
    <cellStyle name="Normal 5 17 4 12" xfId="37133" xr:uid="{00000000-0005-0000-0000-00000D910000}"/>
    <cellStyle name="Normal 5 17 4 13" xfId="37134" xr:uid="{00000000-0005-0000-0000-00000E910000}"/>
    <cellStyle name="Normal 5 17 4 14" xfId="37135" xr:uid="{00000000-0005-0000-0000-00000F910000}"/>
    <cellStyle name="Normal 5 17 4 2" xfId="37136" xr:uid="{00000000-0005-0000-0000-000010910000}"/>
    <cellStyle name="Normal 5 17 4 2 10" xfId="37137" xr:uid="{00000000-0005-0000-0000-000011910000}"/>
    <cellStyle name="Normal 5 17 4 2 2" xfId="37138" xr:uid="{00000000-0005-0000-0000-000012910000}"/>
    <cellStyle name="Normal 5 17 4 2 3" xfId="37139" xr:uid="{00000000-0005-0000-0000-000013910000}"/>
    <cellStyle name="Normal 5 17 4 2 4" xfId="37140" xr:uid="{00000000-0005-0000-0000-000014910000}"/>
    <cellStyle name="Normal 5 17 4 2 5" xfId="37141" xr:uid="{00000000-0005-0000-0000-000015910000}"/>
    <cellStyle name="Normal 5 17 4 2 6" xfId="37142" xr:uid="{00000000-0005-0000-0000-000016910000}"/>
    <cellStyle name="Normal 5 17 4 2 7" xfId="37143" xr:uid="{00000000-0005-0000-0000-000017910000}"/>
    <cellStyle name="Normal 5 17 4 2 8" xfId="37144" xr:uid="{00000000-0005-0000-0000-000018910000}"/>
    <cellStyle name="Normal 5 17 4 2 9" xfId="37145" xr:uid="{00000000-0005-0000-0000-000019910000}"/>
    <cellStyle name="Normal 5 17 4 3" xfId="37146" xr:uid="{00000000-0005-0000-0000-00001A910000}"/>
    <cellStyle name="Normal 5 17 4 3 10" xfId="37147" xr:uid="{00000000-0005-0000-0000-00001B910000}"/>
    <cellStyle name="Normal 5 17 4 3 2" xfId="37148" xr:uid="{00000000-0005-0000-0000-00001C910000}"/>
    <cellStyle name="Normal 5 17 4 3 3" xfId="37149" xr:uid="{00000000-0005-0000-0000-00001D910000}"/>
    <cellStyle name="Normal 5 17 4 3 4" xfId="37150" xr:uid="{00000000-0005-0000-0000-00001E910000}"/>
    <cellStyle name="Normal 5 17 4 3 5" xfId="37151" xr:uid="{00000000-0005-0000-0000-00001F910000}"/>
    <cellStyle name="Normal 5 17 4 3 6" xfId="37152" xr:uid="{00000000-0005-0000-0000-000020910000}"/>
    <cellStyle name="Normal 5 17 4 3 7" xfId="37153" xr:uid="{00000000-0005-0000-0000-000021910000}"/>
    <cellStyle name="Normal 5 17 4 3 8" xfId="37154" xr:uid="{00000000-0005-0000-0000-000022910000}"/>
    <cellStyle name="Normal 5 17 4 3 9" xfId="37155" xr:uid="{00000000-0005-0000-0000-000023910000}"/>
    <cellStyle name="Normal 5 17 4 4" xfId="37156" xr:uid="{00000000-0005-0000-0000-000024910000}"/>
    <cellStyle name="Normal 5 17 4 4 10" xfId="37157" xr:uid="{00000000-0005-0000-0000-000025910000}"/>
    <cellStyle name="Normal 5 17 4 4 2" xfId="37158" xr:uid="{00000000-0005-0000-0000-000026910000}"/>
    <cellStyle name="Normal 5 17 4 4 3" xfId="37159" xr:uid="{00000000-0005-0000-0000-000027910000}"/>
    <cellStyle name="Normal 5 17 4 4 4" xfId="37160" xr:uid="{00000000-0005-0000-0000-000028910000}"/>
    <cellStyle name="Normal 5 17 4 4 5" xfId="37161" xr:uid="{00000000-0005-0000-0000-000029910000}"/>
    <cellStyle name="Normal 5 17 4 4 6" xfId="37162" xr:uid="{00000000-0005-0000-0000-00002A910000}"/>
    <cellStyle name="Normal 5 17 4 4 7" xfId="37163" xr:uid="{00000000-0005-0000-0000-00002B910000}"/>
    <cellStyle name="Normal 5 17 4 4 8" xfId="37164" xr:uid="{00000000-0005-0000-0000-00002C910000}"/>
    <cellStyle name="Normal 5 17 4 4 9" xfId="37165" xr:uid="{00000000-0005-0000-0000-00002D910000}"/>
    <cellStyle name="Normal 5 17 4 5" xfId="37166" xr:uid="{00000000-0005-0000-0000-00002E910000}"/>
    <cellStyle name="Normal 5 17 4 5 10" xfId="37167" xr:uid="{00000000-0005-0000-0000-00002F910000}"/>
    <cellStyle name="Normal 5 17 4 5 2" xfId="37168" xr:uid="{00000000-0005-0000-0000-000030910000}"/>
    <cellStyle name="Normal 5 17 4 5 3" xfId="37169" xr:uid="{00000000-0005-0000-0000-000031910000}"/>
    <cellStyle name="Normal 5 17 4 5 4" xfId="37170" xr:uid="{00000000-0005-0000-0000-000032910000}"/>
    <cellStyle name="Normal 5 17 4 5 5" xfId="37171" xr:uid="{00000000-0005-0000-0000-000033910000}"/>
    <cellStyle name="Normal 5 17 4 5 6" xfId="37172" xr:uid="{00000000-0005-0000-0000-000034910000}"/>
    <cellStyle name="Normal 5 17 4 5 7" xfId="37173" xr:uid="{00000000-0005-0000-0000-000035910000}"/>
    <cellStyle name="Normal 5 17 4 5 8" xfId="37174" xr:uid="{00000000-0005-0000-0000-000036910000}"/>
    <cellStyle name="Normal 5 17 4 5 9" xfId="37175" xr:uid="{00000000-0005-0000-0000-000037910000}"/>
    <cellStyle name="Normal 5 17 4 6" xfId="37176" xr:uid="{00000000-0005-0000-0000-000038910000}"/>
    <cellStyle name="Normal 5 17 4 7" xfId="37177" xr:uid="{00000000-0005-0000-0000-000039910000}"/>
    <cellStyle name="Normal 5 17 4 8" xfId="37178" xr:uid="{00000000-0005-0000-0000-00003A910000}"/>
    <cellStyle name="Normal 5 17 4 9" xfId="37179" xr:uid="{00000000-0005-0000-0000-00003B910000}"/>
    <cellStyle name="Normal 5 17 40" xfId="37180" xr:uid="{00000000-0005-0000-0000-00003C910000}"/>
    <cellStyle name="Normal 5 17 41" xfId="37181" xr:uid="{00000000-0005-0000-0000-00003D910000}"/>
    <cellStyle name="Normal 5 17 42" xfId="37182" xr:uid="{00000000-0005-0000-0000-00003E910000}"/>
    <cellStyle name="Normal 5 17 43" xfId="37183" xr:uid="{00000000-0005-0000-0000-00003F910000}"/>
    <cellStyle name="Normal 5 17 44" xfId="37184" xr:uid="{00000000-0005-0000-0000-000040910000}"/>
    <cellStyle name="Normal 5 17 45" xfId="37185" xr:uid="{00000000-0005-0000-0000-000041910000}"/>
    <cellStyle name="Normal 5 17 46" xfId="37186" xr:uid="{00000000-0005-0000-0000-000042910000}"/>
    <cellStyle name="Normal 5 17 47" xfId="37187" xr:uid="{00000000-0005-0000-0000-000043910000}"/>
    <cellStyle name="Normal 5 17 48" xfId="37188" xr:uid="{00000000-0005-0000-0000-000044910000}"/>
    <cellStyle name="Normal 5 17 49" xfId="37189" xr:uid="{00000000-0005-0000-0000-000045910000}"/>
    <cellStyle name="Normal 5 17 5" xfId="37190" xr:uid="{00000000-0005-0000-0000-000046910000}"/>
    <cellStyle name="Normal 5 17 5 10" xfId="37191" xr:uid="{00000000-0005-0000-0000-000047910000}"/>
    <cellStyle name="Normal 5 17 5 11" xfId="37192" xr:uid="{00000000-0005-0000-0000-000048910000}"/>
    <cellStyle name="Normal 5 17 5 12" xfId="37193" xr:uid="{00000000-0005-0000-0000-000049910000}"/>
    <cellStyle name="Normal 5 17 5 13" xfId="37194" xr:uid="{00000000-0005-0000-0000-00004A910000}"/>
    <cellStyle name="Normal 5 17 5 14" xfId="37195" xr:uid="{00000000-0005-0000-0000-00004B910000}"/>
    <cellStyle name="Normal 5 17 5 2" xfId="37196" xr:uid="{00000000-0005-0000-0000-00004C910000}"/>
    <cellStyle name="Normal 5 17 5 2 10" xfId="37197" xr:uid="{00000000-0005-0000-0000-00004D910000}"/>
    <cellStyle name="Normal 5 17 5 2 2" xfId="37198" xr:uid="{00000000-0005-0000-0000-00004E910000}"/>
    <cellStyle name="Normal 5 17 5 2 3" xfId="37199" xr:uid="{00000000-0005-0000-0000-00004F910000}"/>
    <cellStyle name="Normal 5 17 5 2 4" xfId="37200" xr:uid="{00000000-0005-0000-0000-000050910000}"/>
    <cellStyle name="Normal 5 17 5 2 5" xfId="37201" xr:uid="{00000000-0005-0000-0000-000051910000}"/>
    <cellStyle name="Normal 5 17 5 2 6" xfId="37202" xr:uid="{00000000-0005-0000-0000-000052910000}"/>
    <cellStyle name="Normal 5 17 5 2 7" xfId="37203" xr:uid="{00000000-0005-0000-0000-000053910000}"/>
    <cellStyle name="Normal 5 17 5 2 8" xfId="37204" xr:uid="{00000000-0005-0000-0000-000054910000}"/>
    <cellStyle name="Normal 5 17 5 2 9" xfId="37205" xr:uid="{00000000-0005-0000-0000-000055910000}"/>
    <cellStyle name="Normal 5 17 5 3" xfId="37206" xr:uid="{00000000-0005-0000-0000-000056910000}"/>
    <cellStyle name="Normal 5 17 5 3 10" xfId="37207" xr:uid="{00000000-0005-0000-0000-000057910000}"/>
    <cellStyle name="Normal 5 17 5 3 2" xfId="37208" xr:uid="{00000000-0005-0000-0000-000058910000}"/>
    <cellStyle name="Normal 5 17 5 3 3" xfId="37209" xr:uid="{00000000-0005-0000-0000-000059910000}"/>
    <cellStyle name="Normal 5 17 5 3 4" xfId="37210" xr:uid="{00000000-0005-0000-0000-00005A910000}"/>
    <cellStyle name="Normal 5 17 5 3 5" xfId="37211" xr:uid="{00000000-0005-0000-0000-00005B910000}"/>
    <cellStyle name="Normal 5 17 5 3 6" xfId="37212" xr:uid="{00000000-0005-0000-0000-00005C910000}"/>
    <cellStyle name="Normal 5 17 5 3 7" xfId="37213" xr:uid="{00000000-0005-0000-0000-00005D910000}"/>
    <cellStyle name="Normal 5 17 5 3 8" xfId="37214" xr:uid="{00000000-0005-0000-0000-00005E910000}"/>
    <cellStyle name="Normal 5 17 5 3 9" xfId="37215" xr:uid="{00000000-0005-0000-0000-00005F910000}"/>
    <cellStyle name="Normal 5 17 5 4" xfId="37216" xr:uid="{00000000-0005-0000-0000-000060910000}"/>
    <cellStyle name="Normal 5 17 5 4 10" xfId="37217" xr:uid="{00000000-0005-0000-0000-000061910000}"/>
    <cellStyle name="Normal 5 17 5 4 2" xfId="37218" xr:uid="{00000000-0005-0000-0000-000062910000}"/>
    <cellStyle name="Normal 5 17 5 4 3" xfId="37219" xr:uid="{00000000-0005-0000-0000-000063910000}"/>
    <cellStyle name="Normal 5 17 5 4 4" xfId="37220" xr:uid="{00000000-0005-0000-0000-000064910000}"/>
    <cellStyle name="Normal 5 17 5 4 5" xfId="37221" xr:uid="{00000000-0005-0000-0000-000065910000}"/>
    <cellStyle name="Normal 5 17 5 4 6" xfId="37222" xr:uid="{00000000-0005-0000-0000-000066910000}"/>
    <cellStyle name="Normal 5 17 5 4 7" xfId="37223" xr:uid="{00000000-0005-0000-0000-000067910000}"/>
    <cellStyle name="Normal 5 17 5 4 8" xfId="37224" xr:uid="{00000000-0005-0000-0000-000068910000}"/>
    <cellStyle name="Normal 5 17 5 4 9" xfId="37225" xr:uid="{00000000-0005-0000-0000-000069910000}"/>
    <cellStyle name="Normal 5 17 5 5" xfId="37226" xr:uid="{00000000-0005-0000-0000-00006A910000}"/>
    <cellStyle name="Normal 5 17 5 5 10" xfId="37227" xr:uid="{00000000-0005-0000-0000-00006B910000}"/>
    <cellStyle name="Normal 5 17 5 5 2" xfId="37228" xr:uid="{00000000-0005-0000-0000-00006C910000}"/>
    <cellStyle name="Normal 5 17 5 5 3" xfId="37229" xr:uid="{00000000-0005-0000-0000-00006D910000}"/>
    <cellStyle name="Normal 5 17 5 5 4" xfId="37230" xr:uid="{00000000-0005-0000-0000-00006E910000}"/>
    <cellStyle name="Normal 5 17 5 5 5" xfId="37231" xr:uid="{00000000-0005-0000-0000-00006F910000}"/>
    <cellStyle name="Normal 5 17 5 5 6" xfId="37232" xr:uid="{00000000-0005-0000-0000-000070910000}"/>
    <cellStyle name="Normal 5 17 5 5 7" xfId="37233" xr:uid="{00000000-0005-0000-0000-000071910000}"/>
    <cellStyle name="Normal 5 17 5 5 8" xfId="37234" xr:uid="{00000000-0005-0000-0000-000072910000}"/>
    <cellStyle name="Normal 5 17 5 5 9" xfId="37235" xr:uid="{00000000-0005-0000-0000-000073910000}"/>
    <cellStyle name="Normal 5 17 5 6" xfId="37236" xr:uid="{00000000-0005-0000-0000-000074910000}"/>
    <cellStyle name="Normal 5 17 5 7" xfId="37237" xr:uid="{00000000-0005-0000-0000-000075910000}"/>
    <cellStyle name="Normal 5 17 5 8" xfId="37238" xr:uid="{00000000-0005-0000-0000-000076910000}"/>
    <cellStyle name="Normal 5 17 5 9" xfId="37239" xr:uid="{00000000-0005-0000-0000-000077910000}"/>
    <cellStyle name="Normal 5 17 6" xfId="37240" xr:uid="{00000000-0005-0000-0000-000078910000}"/>
    <cellStyle name="Normal 5 17 6 10" xfId="37241" xr:uid="{00000000-0005-0000-0000-000079910000}"/>
    <cellStyle name="Normal 5 17 6 11" xfId="37242" xr:uid="{00000000-0005-0000-0000-00007A910000}"/>
    <cellStyle name="Normal 5 17 6 12" xfId="37243" xr:uid="{00000000-0005-0000-0000-00007B910000}"/>
    <cellStyle name="Normal 5 17 6 13" xfId="37244" xr:uid="{00000000-0005-0000-0000-00007C910000}"/>
    <cellStyle name="Normal 5 17 6 14" xfId="37245" xr:uid="{00000000-0005-0000-0000-00007D910000}"/>
    <cellStyle name="Normal 5 17 6 2" xfId="37246" xr:uid="{00000000-0005-0000-0000-00007E910000}"/>
    <cellStyle name="Normal 5 17 6 2 10" xfId="37247" xr:uid="{00000000-0005-0000-0000-00007F910000}"/>
    <cellStyle name="Normal 5 17 6 2 2" xfId="37248" xr:uid="{00000000-0005-0000-0000-000080910000}"/>
    <cellStyle name="Normal 5 17 6 2 3" xfId="37249" xr:uid="{00000000-0005-0000-0000-000081910000}"/>
    <cellStyle name="Normal 5 17 6 2 4" xfId="37250" xr:uid="{00000000-0005-0000-0000-000082910000}"/>
    <cellStyle name="Normal 5 17 6 2 5" xfId="37251" xr:uid="{00000000-0005-0000-0000-000083910000}"/>
    <cellStyle name="Normal 5 17 6 2 6" xfId="37252" xr:uid="{00000000-0005-0000-0000-000084910000}"/>
    <cellStyle name="Normal 5 17 6 2 7" xfId="37253" xr:uid="{00000000-0005-0000-0000-000085910000}"/>
    <cellStyle name="Normal 5 17 6 2 8" xfId="37254" xr:uid="{00000000-0005-0000-0000-000086910000}"/>
    <cellStyle name="Normal 5 17 6 2 9" xfId="37255" xr:uid="{00000000-0005-0000-0000-000087910000}"/>
    <cellStyle name="Normal 5 17 6 3" xfId="37256" xr:uid="{00000000-0005-0000-0000-000088910000}"/>
    <cellStyle name="Normal 5 17 6 3 10" xfId="37257" xr:uid="{00000000-0005-0000-0000-000089910000}"/>
    <cellStyle name="Normal 5 17 6 3 2" xfId="37258" xr:uid="{00000000-0005-0000-0000-00008A910000}"/>
    <cellStyle name="Normal 5 17 6 3 3" xfId="37259" xr:uid="{00000000-0005-0000-0000-00008B910000}"/>
    <cellStyle name="Normal 5 17 6 3 4" xfId="37260" xr:uid="{00000000-0005-0000-0000-00008C910000}"/>
    <cellStyle name="Normal 5 17 6 3 5" xfId="37261" xr:uid="{00000000-0005-0000-0000-00008D910000}"/>
    <cellStyle name="Normal 5 17 6 3 6" xfId="37262" xr:uid="{00000000-0005-0000-0000-00008E910000}"/>
    <cellStyle name="Normal 5 17 6 3 7" xfId="37263" xr:uid="{00000000-0005-0000-0000-00008F910000}"/>
    <cellStyle name="Normal 5 17 6 3 8" xfId="37264" xr:uid="{00000000-0005-0000-0000-000090910000}"/>
    <cellStyle name="Normal 5 17 6 3 9" xfId="37265" xr:uid="{00000000-0005-0000-0000-000091910000}"/>
    <cellStyle name="Normal 5 17 6 4" xfId="37266" xr:uid="{00000000-0005-0000-0000-000092910000}"/>
    <cellStyle name="Normal 5 17 6 4 10" xfId="37267" xr:uid="{00000000-0005-0000-0000-000093910000}"/>
    <cellStyle name="Normal 5 17 6 4 2" xfId="37268" xr:uid="{00000000-0005-0000-0000-000094910000}"/>
    <cellStyle name="Normal 5 17 6 4 3" xfId="37269" xr:uid="{00000000-0005-0000-0000-000095910000}"/>
    <cellStyle name="Normal 5 17 6 4 4" xfId="37270" xr:uid="{00000000-0005-0000-0000-000096910000}"/>
    <cellStyle name="Normal 5 17 6 4 5" xfId="37271" xr:uid="{00000000-0005-0000-0000-000097910000}"/>
    <cellStyle name="Normal 5 17 6 4 6" xfId="37272" xr:uid="{00000000-0005-0000-0000-000098910000}"/>
    <cellStyle name="Normal 5 17 6 4 7" xfId="37273" xr:uid="{00000000-0005-0000-0000-000099910000}"/>
    <cellStyle name="Normal 5 17 6 4 8" xfId="37274" xr:uid="{00000000-0005-0000-0000-00009A910000}"/>
    <cellStyle name="Normal 5 17 6 4 9" xfId="37275" xr:uid="{00000000-0005-0000-0000-00009B910000}"/>
    <cellStyle name="Normal 5 17 6 5" xfId="37276" xr:uid="{00000000-0005-0000-0000-00009C910000}"/>
    <cellStyle name="Normal 5 17 6 5 10" xfId="37277" xr:uid="{00000000-0005-0000-0000-00009D910000}"/>
    <cellStyle name="Normal 5 17 6 5 2" xfId="37278" xr:uid="{00000000-0005-0000-0000-00009E910000}"/>
    <cellStyle name="Normal 5 17 6 5 3" xfId="37279" xr:uid="{00000000-0005-0000-0000-00009F910000}"/>
    <cellStyle name="Normal 5 17 6 5 4" xfId="37280" xr:uid="{00000000-0005-0000-0000-0000A0910000}"/>
    <cellStyle name="Normal 5 17 6 5 5" xfId="37281" xr:uid="{00000000-0005-0000-0000-0000A1910000}"/>
    <cellStyle name="Normal 5 17 6 5 6" xfId="37282" xr:uid="{00000000-0005-0000-0000-0000A2910000}"/>
    <cellStyle name="Normal 5 17 6 5 7" xfId="37283" xr:uid="{00000000-0005-0000-0000-0000A3910000}"/>
    <cellStyle name="Normal 5 17 6 5 8" xfId="37284" xr:uid="{00000000-0005-0000-0000-0000A4910000}"/>
    <cellStyle name="Normal 5 17 6 5 9" xfId="37285" xr:uid="{00000000-0005-0000-0000-0000A5910000}"/>
    <cellStyle name="Normal 5 17 6 6" xfId="37286" xr:uid="{00000000-0005-0000-0000-0000A6910000}"/>
    <cellStyle name="Normal 5 17 6 7" xfId="37287" xr:uid="{00000000-0005-0000-0000-0000A7910000}"/>
    <cellStyle name="Normal 5 17 6 8" xfId="37288" xr:uid="{00000000-0005-0000-0000-0000A8910000}"/>
    <cellStyle name="Normal 5 17 6 9" xfId="37289" xr:uid="{00000000-0005-0000-0000-0000A9910000}"/>
    <cellStyle name="Normal 5 17 7" xfId="37290" xr:uid="{00000000-0005-0000-0000-0000AA910000}"/>
    <cellStyle name="Normal 5 17 7 10" xfId="37291" xr:uid="{00000000-0005-0000-0000-0000AB910000}"/>
    <cellStyle name="Normal 5 17 7 11" xfId="37292" xr:uid="{00000000-0005-0000-0000-0000AC910000}"/>
    <cellStyle name="Normal 5 17 7 12" xfId="37293" xr:uid="{00000000-0005-0000-0000-0000AD910000}"/>
    <cellStyle name="Normal 5 17 7 13" xfId="37294" xr:uid="{00000000-0005-0000-0000-0000AE910000}"/>
    <cellStyle name="Normal 5 17 7 14" xfId="37295" xr:uid="{00000000-0005-0000-0000-0000AF910000}"/>
    <cellStyle name="Normal 5 17 7 2" xfId="37296" xr:uid="{00000000-0005-0000-0000-0000B0910000}"/>
    <cellStyle name="Normal 5 17 7 2 10" xfId="37297" xr:uid="{00000000-0005-0000-0000-0000B1910000}"/>
    <cellStyle name="Normal 5 17 7 2 2" xfId="37298" xr:uid="{00000000-0005-0000-0000-0000B2910000}"/>
    <cellStyle name="Normal 5 17 7 2 3" xfId="37299" xr:uid="{00000000-0005-0000-0000-0000B3910000}"/>
    <cellStyle name="Normal 5 17 7 2 4" xfId="37300" xr:uid="{00000000-0005-0000-0000-0000B4910000}"/>
    <cellStyle name="Normal 5 17 7 2 5" xfId="37301" xr:uid="{00000000-0005-0000-0000-0000B5910000}"/>
    <cellStyle name="Normal 5 17 7 2 6" xfId="37302" xr:uid="{00000000-0005-0000-0000-0000B6910000}"/>
    <cellStyle name="Normal 5 17 7 2 7" xfId="37303" xr:uid="{00000000-0005-0000-0000-0000B7910000}"/>
    <cellStyle name="Normal 5 17 7 2 8" xfId="37304" xr:uid="{00000000-0005-0000-0000-0000B8910000}"/>
    <cellStyle name="Normal 5 17 7 2 9" xfId="37305" xr:uid="{00000000-0005-0000-0000-0000B9910000}"/>
    <cellStyle name="Normal 5 17 7 3" xfId="37306" xr:uid="{00000000-0005-0000-0000-0000BA910000}"/>
    <cellStyle name="Normal 5 17 7 3 10" xfId="37307" xr:uid="{00000000-0005-0000-0000-0000BB910000}"/>
    <cellStyle name="Normal 5 17 7 3 2" xfId="37308" xr:uid="{00000000-0005-0000-0000-0000BC910000}"/>
    <cellStyle name="Normal 5 17 7 3 3" xfId="37309" xr:uid="{00000000-0005-0000-0000-0000BD910000}"/>
    <cellStyle name="Normal 5 17 7 3 4" xfId="37310" xr:uid="{00000000-0005-0000-0000-0000BE910000}"/>
    <cellStyle name="Normal 5 17 7 3 5" xfId="37311" xr:uid="{00000000-0005-0000-0000-0000BF910000}"/>
    <cellStyle name="Normal 5 17 7 3 6" xfId="37312" xr:uid="{00000000-0005-0000-0000-0000C0910000}"/>
    <cellStyle name="Normal 5 17 7 3 7" xfId="37313" xr:uid="{00000000-0005-0000-0000-0000C1910000}"/>
    <cellStyle name="Normal 5 17 7 3 8" xfId="37314" xr:uid="{00000000-0005-0000-0000-0000C2910000}"/>
    <cellStyle name="Normal 5 17 7 3 9" xfId="37315" xr:uid="{00000000-0005-0000-0000-0000C3910000}"/>
    <cellStyle name="Normal 5 17 7 4" xfId="37316" xr:uid="{00000000-0005-0000-0000-0000C4910000}"/>
    <cellStyle name="Normal 5 17 7 4 10" xfId="37317" xr:uid="{00000000-0005-0000-0000-0000C5910000}"/>
    <cellStyle name="Normal 5 17 7 4 2" xfId="37318" xr:uid="{00000000-0005-0000-0000-0000C6910000}"/>
    <cellStyle name="Normal 5 17 7 4 3" xfId="37319" xr:uid="{00000000-0005-0000-0000-0000C7910000}"/>
    <cellStyle name="Normal 5 17 7 4 4" xfId="37320" xr:uid="{00000000-0005-0000-0000-0000C8910000}"/>
    <cellStyle name="Normal 5 17 7 4 5" xfId="37321" xr:uid="{00000000-0005-0000-0000-0000C9910000}"/>
    <cellStyle name="Normal 5 17 7 4 6" xfId="37322" xr:uid="{00000000-0005-0000-0000-0000CA910000}"/>
    <cellStyle name="Normal 5 17 7 4 7" xfId="37323" xr:uid="{00000000-0005-0000-0000-0000CB910000}"/>
    <cellStyle name="Normal 5 17 7 4 8" xfId="37324" xr:uid="{00000000-0005-0000-0000-0000CC910000}"/>
    <cellStyle name="Normal 5 17 7 4 9" xfId="37325" xr:uid="{00000000-0005-0000-0000-0000CD910000}"/>
    <cellStyle name="Normal 5 17 7 5" xfId="37326" xr:uid="{00000000-0005-0000-0000-0000CE910000}"/>
    <cellStyle name="Normal 5 17 7 5 10" xfId="37327" xr:uid="{00000000-0005-0000-0000-0000CF910000}"/>
    <cellStyle name="Normal 5 17 7 5 2" xfId="37328" xr:uid="{00000000-0005-0000-0000-0000D0910000}"/>
    <cellStyle name="Normal 5 17 7 5 3" xfId="37329" xr:uid="{00000000-0005-0000-0000-0000D1910000}"/>
    <cellStyle name="Normal 5 17 7 5 4" xfId="37330" xr:uid="{00000000-0005-0000-0000-0000D2910000}"/>
    <cellStyle name="Normal 5 17 7 5 5" xfId="37331" xr:uid="{00000000-0005-0000-0000-0000D3910000}"/>
    <cellStyle name="Normal 5 17 7 5 6" xfId="37332" xr:uid="{00000000-0005-0000-0000-0000D4910000}"/>
    <cellStyle name="Normal 5 17 7 5 7" xfId="37333" xr:uid="{00000000-0005-0000-0000-0000D5910000}"/>
    <cellStyle name="Normal 5 17 7 5 8" xfId="37334" xr:uid="{00000000-0005-0000-0000-0000D6910000}"/>
    <cellStyle name="Normal 5 17 7 5 9" xfId="37335" xr:uid="{00000000-0005-0000-0000-0000D7910000}"/>
    <cellStyle name="Normal 5 17 7 6" xfId="37336" xr:uid="{00000000-0005-0000-0000-0000D8910000}"/>
    <cellStyle name="Normal 5 17 7 7" xfId="37337" xr:uid="{00000000-0005-0000-0000-0000D9910000}"/>
    <cellStyle name="Normal 5 17 7 8" xfId="37338" xr:uid="{00000000-0005-0000-0000-0000DA910000}"/>
    <cellStyle name="Normal 5 17 7 9" xfId="37339" xr:uid="{00000000-0005-0000-0000-0000DB910000}"/>
    <cellStyle name="Normal 5 17 8" xfId="37340" xr:uid="{00000000-0005-0000-0000-0000DC910000}"/>
    <cellStyle name="Normal 5 17 8 10" xfId="37341" xr:uid="{00000000-0005-0000-0000-0000DD910000}"/>
    <cellStyle name="Normal 5 17 8 11" xfId="37342" xr:uid="{00000000-0005-0000-0000-0000DE910000}"/>
    <cellStyle name="Normal 5 17 8 12" xfId="37343" xr:uid="{00000000-0005-0000-0000-0000DF910000}"/>
    <cellStyle name="Normal 5 17 8 13" xfId="37344" xr:uid="{00000000-0005-0000-0000-0000E0910000}"/>
    <cellStyle name="Normal 5 17 8 14" xfId="37345" xr:uid="{00000000-0005-0000-0000-0000E1910000}"/>
    <cellStyle name="Normal 5 17 8 2" xfId="37346" xr:uid="{00000000-0005-0000-0000-0000E2910000}"/>
    <cellStyle name="Normal 5 17 8 2 10" xfId="37347" xr:uid="{00000000-0005-0000-0000-0000E3910000}"/>
    <cellStyle name="Normal 5 17 8 2 2" xfId="37348" xr:uid="{00000000-0005-0000-0000-0000E4910000}"/>
    <cellStyle name="Normal 5 17 8 2 3" xfId="37349" xr:uid="{00000000-0005-0000-0000-0000E5910000}"/>
    <cellStyle name="Normal 5 17 8 2 4" xfId="37350" xr:uid="{00000000-0005-0000-0000-0000E6910000}"/>
    <cellStyle name="Normal 5 17 8 2 5" xfId="37351" xr:uid="{00000000-0005-0000-0000-0000E7910000}"/>
    <cellStyle name="Normal 5 17 8 2 6" xfId="37352" xr:uid="{00000000-0005-0000-0000-0000E8910000}"/>
    <cellStyle name="Normal 5 17 8 2 7" xfId="37353" xr:uid="{00000000-0005-0000-0000-0000E9910000}"/>
    <cellStyle name="Normal 5 17 8 2 8" xfId="37354" xr:uid="{00000000-0005-0000-0000-0000EA910000}"/>
    <cellStyle name="Normal 5 17 8 2 9" xfId="37355" xr:uid="{00000000-0005-0000-0000-0000EB910000}"/>
    <cellStyle name="Normal 5 17 8 3" xfId="37356" xr:uid="{00000000-0005-0000-0000-0000EC910000}"/>
    <cellStyle name="Normal 5 17 8 3 10" xfId="37357" xr:uid="{00000000-0005-0000-0000-0000ED910000}"/>
    <cellStyle name="Normal 5 17 8 3 2" xfId="37358" xr:uid="{00000000-0005-0000-0000-0000EE910000}"/>
    <cellStyle name="Normal 5 17 8 3 3" xfId="37359" xr:uid="{00000000-0005-0000-0000-0000EF910000}"/>
    <cellStyle name="Normal 5 17 8 3 4" xfId="37360" xr:uid="{00000000-0005-0000-0000-0000F0910000}"/>
    <cellStyle name="Normal 5 17 8 3 5" xfId="37361" xr:uid="{00000000-0005-0000-0000-0000F1910000}"/>
    <cellStyle name="Normal 5 17 8 3 6" xfId="37362" xr:uid="{00000000-0005-0000-0000-0000F2910000}"/>
    <cellStyle name="Normal 5 17 8 3 7" xfId="37363" xr:uid="{00000000-0005-0000-0000-0000F3910000}"/>
    <cellStyle name="Normal 5 17 8 3 8" xfId="37364" xr:uid="{00000000-0005-0000-0000-0000F4910000}"/>
    <cellStyle name="Normal 5 17 8 3 9" xfId="37365" xr:uid="{00000000-0005-0000-0000-0000F5910000}"/>
    <cellStyle name="Normal 5 17 8 4" xfId="37366" xr:uid="{00000000-0005-0000-0000-0000F6910000}"/>
    <cellStyle name="Normal 5 17 8 4 10" xfId="37367" xr:uid="{00000000-0005-0000-0000-0000F7910000}"/>
    <cellStyle name="Normal 5 17 8 4 2" xfId="37368" xr:uid="{00000000-0005-0000-0000-0000F8910000}"/>
    <cellStyle name="Normal 5 17 8 4 3" xfId="37369" xr:uid="{00000000-0005-0000-0000-0000F9910000}"/>
    <cellStyle name="Normal 5 17 8 4 4" xfId="37370" xr:uid="{00000000-0005-0000-0000-0000FA910000}"/>
    <cellStyle name="Normal 5 17 8 4 5" xfId="37371" xr:uid="{00000000-0005-0000-0000-0000FB910000}"/>
    <cellStyle name="Normal 5 17 8 4 6" xfId="37372" xr:uid="{00000000-0005-0000-0000-0000FC910000}"/>
    <cellStyle name="Normal 5 17 8 4 7" xfId="37373" xr:uid="{00000000-0005-0000-0000-0000FD910000}"/>
    <cellStyle name="Normal 5 17 8 4 8" xfId="37374" xr:uid="{00000000-0005-0000-0000-0000FE910000}"/>
    <cellStyle name="Normal 5 17 8 4 9" xfId="37375" xr:uid="{00000000-0005-0000-0000-0000FF910000}"/>
    <cellStyle name="Normal 5 17 8 5" xfId="37376" xr:uid="{00000000-0005-0000-0000-000000920000}"/>
    <cellStyle name="Normal 5 17 8 5 10" xfId="37377" xr:uid="{00000000-0005-0000-0000-000001920000}"/>
    <cellStyle name="Normal 5 17 8 5 2" xfId="37378" xr:uid="{00000000-0005-0000-0000-000002920000}"/>
    <cellStyle name="Normal 5 17 8 5 3" xfId="37379" xr:uid="{00000000-0005-0000-0000-000003920000}"/>
    <cellStyle name="Normal 5 17 8 5 4" xfId="37380" xr:uid="{00000000-0005-0000-0000-000004920000}"/>
    <cellStyle name="Normal 5 17 8 5 5" xfId="37381" xr:uid="{00000000-0005-0000-0000-000005920000}"/>
    <cellStyle name="Normal 5 17 8 5 6" xfId="37382" xr:uid="{00000000-0005-0000-0000-000006920000}"/>
    <cellStyle name="Normal 5 17 8 5 7" xfId="37383" xr:uid="{00000000-0005-0000-0000-000007920000}"/>
    <cellStyle name="Normal 5 17 8 5 8" xfId="37384" xr:uid="{00000000-0005-0000-0000-000008920000}"/>
    <cellStyle name="Normal 5 17 8 5 9" xfId="37385" xr:uid="{00000000-0005-0000-0000-000009920000}"/>
    <cellStyle name="Normal 5 17 8 6" xfId="37386" xr:uid="{00000000-0005-0000-0000-00000A920000}"/>
    <cellStyle name="Normal 5 17 8 7" xfId="37387" xr:uid="{00000000-0005-0000-0000-00000B920000}"/>
    <cellStyle name="Normal 5 17 8 8" xfId="37388" xr:uid="{00000000-0005-0000-0000-00000C920000}"/>
    <cellStyle name="Normal 5 17 8 9" xfId="37389" xr:uid="{00000000-0005-0000-0000-00000D920000}"/>
    <cellStyle name="Normal 5 17 9" xfId="37390" xr:uid="{00000000-0005-0000-0000-00000E920000}"/>
    <cellStyle name="Normal 5 17 9 10" xfId="37391" xr:uid="{00000000-0005-0000-0000-00000F920000}"/>
    <cellStyle name="Normal 5 17 9 11" xfId="37392" xr:uid="{00000000-0005-0000-0000-000010920000}"/>
    <cellStyle name="Normal 5 17 9 12" xfId="37393" xr:uid="{00000000-0005-0000-0000-000011920000}"/>
    <cellStyle name="Normal 5 17 9 13" xfId="37394" xr:uid="{00000000-0005-0000-0000-000012920000}"/>
    <cellStyle name="Normal 5 17 9 14" xfId="37395" xr:uid="{00000000-0005-0000-0000-000013920000}"/>
    <cellStyle name="Normal 5 17 9 2" xfId="37396" xr:uid="{00000000-0005-0000-0000-000014920000}"/>
    <cellStyle name="Normal 5 17 9 2 10" xfId="37397" xr:uid="{00000000-0005-0000-0000-000015920000}"/>
    <cellStyle name="Normal 5 17 9 2 2" xfId="37398" xr:uid="{00000000-0005-0000-0000-000016920000}"/>
    <cellStyle name="Normal 5 17 9 2 3" xfId="37399" xr:uid="{00000000-0005-0000-0000-000017920000}"/>
    <cellStyle name="Normal 5 17 9 2 4" xfId="37400" xr:uid="{00000000-0005-0000-0000-000018920000}"/>
    <cellStyle name="Normal 5 17 9 2 5" xfId="37401" xr:uid="{00000000-0005-0000-0000-000019920000}"/>
    <cellStyle name="Normal 5 17 9 2 6" xfId="37402" xr:uid="{00000000-0005-0000-0000-00001A920000}"/>
    <cellStyle name="Normal 5 17 9 2 7" xfId="37403" xr:uid="{00000000-0005-0000-0000-00001B920000}"/>
    <cellStyle name="Normal 5 17 9 2 8" xfId="37404" xr:uid="{00000000-0005-0000-0000-00001C920000}"/>
    <cellStyle name="Normal 5 17 9 2 9" xfId="37405" xr:uid="{00000000-0005-0000-0000-00001D920000}"/>
    <cellStyle name="Normal 5 17 9 3" xfId="37406" xr:uid="{00000000-0005-0000-0000-00001E920000}"/>
    <cellStyle name="Normal 5 17 9 3 10" xfId="37407" xr:uid="{00000000-0005-0000-0000-00001F920000}"/>
    <cellStyle name="Normal 5 17 9 3 2" xfId="37408" xr:uid="{00000000-0005-0000-0000-000020920000}"/>
    <cellStyle name="Normal 5 17 9 3 3" xfId="37409" xr:uid="{00000000-0005-0000-0000-000021920000}"/>
    <cellStyle name="Normal 5 17 9 3 4" xfId="37410" xr:uid="{00000000-0005-0000-0000-000022920000}"/>
    <cellStyle name="Normal 5 17 9 3 5" xfId="37411" xr:uid="{00000000-0005-0000-0000-000023920000}"/>
    <cellStyle name="Normal 5 17 9 3 6" xfId="37412" xr:uid="{00000000-0005-0000-0000-000024920000}"/>
    <cellStyle name="Normal 5 17 9 3 7" xfId="37413" xr:uid="{00000000-0005-0000-0000-000025920000}"/>
    <cellStyle name="Normal 5 17 9 3 8" xfId="37414" xr:uid="{00000000-0005-0000-0000-000026920000}"/>
    <cellStyle name="Normal 5 17 9 3 9" xfId="37415" xr:uid="{00000000-0005-0000-0000-000027920000}"/>
    <cellStyle name="Normal 5 17 9 4" xfId="37416" xr:uid="{00000000-0005-0000-0000-000028920000}"/>
    <cellStyle name="Normal 5 17 9 4 10" xfId="37417" xr:uid="{00000000-0005-0000-0000-000029920000}"/>
    <cellStyle name="Normal 5 17 9 4 2" xfId="37418" xr:uid="{00000000-0005-0000-0000-00002A920000}"/>
    <cellStyle name="Normal 5 17 9 4 3" xfId="37419" xr:uid="{00000000-0005-0000-0000-00002B920000}"/>
    <cellStyle name="Normal 5 17 9 4 4" xfId="37420" xr:uid="{00000000-0005-0000-0000-00002C920000}"/>
    <cellStyle name="Normal 5 17 9 4 5" xfId="37421" xr:uid="{00000000-0005-0000-0000-00002D920000}"/>
    <cellStyle name="Normal 5 17 9 4 6" xfId="37422" xr:uid="{00000000-0005-0000-0000-00002E920000}"/>
    <cellStyle name="Normal 5 17 9 4 7" xfId="37423" xr:uid="{00000000-0005-0000-0000-00002F920000}"/>
    <cellStyle name="Normal 5 17 9 4 8" xfId="37424" xr:uid="{00000000-0005-0000-0000-000030920000}"/>
    <cellStyle name="Normal 5 17 9 4 9" xfId="37425" xr:uid="{00000000-0005-0000-0000-000031920000}"/>
    <cellStyle name="Normal 5 17 9 5" xfId="37426" xr:uid="{00000000-0005-0000-0000-000032920000}"/>
    <cellStyle name="Normal 5 17 9 5 10" xfId="37427" xr:uid="{00000000-0005-0000-0000-000033920000}"/>
    <cellStyle name="Normal 5 17 9 5 2" xfId="37428" xr:uid="{00000000-0005-0000-0000-000034920000}"/>
    <cellStyle name="Normal 5 17 9 5 3" xfId="37429" xr:uid="{00000000-0005-0000-0000-000035920000}"/>
    <cellStyle name="Normal 5 17 9 5 4" xfId="37430" xr:uid="{00000000-0005-0000-0000-000036920000}"/>
    <cellStyle name="Normal 5 17 9 5 5" xfId="37431" xr:uid="{00000000-0005-0000-0000-000037920000}"/>
    <cellStyle name="Normal 5 17 9 5 6" xfId="37432" xr:uid="{00000000-0005-0000-0000-000038920000}"/>
    <cellStyle name="Normal 5 17 9 5 7" xfId="37433" xr:uid="{00000000-0005-0000-0000-000039920000}"/>
    <cellStyle name="Normal 5 17 9 5 8" xfId="37434" xr:uid="{00000000-0005-0000-0000-00003A920000}"/>
    <cellStyle name="Normal 5 17 9 5 9" xfId="37435" xr:uid="{00000000-0005-0000-0000-00003B920000}"/>
    <cellStyle name="Normal 5 17 9 6" xfId="37436" xr:uid="{00000000-0005-0000-0000-00003C920000}"/>
    <cellStyle name="Normal 5 17 9 7" xfId="37437" xr:uid="{00000000-0005-0000-0000-00003D920000}"/>
    <cellStyle name="Normal 5 17 9 8" xfId="37438" xr:uid="{00000000-0005-0000-0000-00003E920000}"/>
    <cellStyle name="Normal 5 17 9 9" xfId="37439" xr:uid="{00000000-0005-0000-0000-00003F920000}"/>
    <cellStyle name="Normal 5 18" xfId="37440" xr:uid="{00000000-0005-0000-0000-000040920000}"/>
    <cellStyle name="Normal 5 18 2" xfId="37441" xr:uid="{00000000-0005-0000-0000-000041920000}"/>
    <cellStyle name="Normal 5 18 2 2" xfId="37442" xr:uid="{00000000-0005-0000-0000-000042920000}"/>
    <cellStyle name="Normal 5 18 3" xfId="37443" xr:uid="{00000000-0005-0000-0000-000043920000}"/>
    <cellStyle name="Normal 5 18 4" xfId="37444" xr:uid="{00000000-0005-0000-0000-000044920000}"/>
    <cellStyle name="Normal 5 19" xfId="37445" xr:uid="{00000000-0005-0000-0000-000045920000}"/>
    <cellStyle name="Normal 5 19 2" xfId="37446" xr:uid="{00000000-0005-0000-0000-000046920000}"/>
    <cellStyle name="Normal 5 19 2 2" xfId="37447" xr:uid="{00000000-0005-0000-0000-000047920000}"/>
    <cellStyle name="Normal 5 19 3" xfId="37448" xr:uid="{00000000-0005-0000-0000-000048920000}"/>
    <cellStyle name="Normal 5 19 4" xfId="37449" xr:uid="{00000000-0005-0000-0000-000049920000}"/>
    <cellStyle name="Normal 5 2" xfId="27" xr:uid="{00000000-0005-0000-0000-00001B000000}"/>
    <cellStyle name="Normal 5 2 10" xfId="37451" xr:uid="{00000000-0005-0000-0000-00004B920000}"/>
    <cellStyle name="Normal 5 2 11" xfId="37452" xr:uid="{00000000-0005-0000-0000-00004C920000}"/>
    <cellStyle name="Normal 5 2 12" xfId="37453" xr:uid="{00000000-0005-0000-0000-00004D920000}"/>
    <cellStyle name="Normal 5 2 13" xfId="37454" xr:uid="{00000000-0005-0000-0000-00004E920000}"/>
    <cellStyle name="Normal 5 2 14" xfId="37455" xr:uid="{00000000-0005-0000-0000-00004F920000}"/>
    <cellStyle name="Normal 5 2 15" xfId="37456" xr:uid="{00000000-0005-0000-0000-000050920000}"/>
    <cellStyle name="Normal 5 2 16" xfId="37457" xr:uid="{00000000-0005-0000-0000-000051920000}"/>
    <cellStyle name="Normal 5 2 17" xfId="37458" xr:uid="{00000000-0005-0000-0000-000052920000}"/>
    <cellStyle name="Normal 5 2 18" xfId="37459" xr:uid="{00000000-0005-0000-0000-000053920000}"/>
    <cellStyle name="Normal 5 2 19" xfId="37460" xr:uid="{00000000-0005-0000-0000-000054920000}"/>
    <cellStyle name="Normal 5 2 2" xfId="61" xr:uid="{00000000-0005-0000-0000-00003D000000}"/>
    <cellStyle name="Normal 5 2 2 2" xfId="37462" xr:uid="{00000000-0005-0000-0000-000056920000}"/>
    <cellStyle name="Normal 5 2 2 2 2" xfId="37463" xr:uid="{00000000-0005-0000-0000-000057920000}"/>
    <cellStyle name="Normal 5 2 2 3" xfId="37461" xr:uid="{00000000-0005-0000-0000-000055920000}"/>
    <cellStyle name="Normal 5 2 20" xfId="37464" xr:uid="{00000000-0005-0000-0000-000058920000}"/>
    <cellStyle name="Normal 5 2 21" xfId="37465" xr:uid="{00000000-0005-0000-0000-000059920000}"/>
    <cellStyle name="Normal 5 2 22" xfId="37466" xr:uid="{00000000-0005-0000-0000-00005A920000}"/>
    <cellStyle name="Normal 5 2 23" xfId="37467" xr:uid="{00000000-0005-0000-0000-00005B920000}"/>
    <cellStyle name="Normal 5 2 24" xfId="37468" xr:uid="{00000000-0005-0000-0000-00005C920000}"/>
    <cellStyle name="Normal 5 2 25" xfId="37469" xr:uid="{00000000-0005-0000-0000-00005D920000}"/>
    <cellStyle name="Normal 5 2 26" xfId="37470" xr:uid="{00000000-0005-0000-0000-00005E920000}"/>
    <cellStyle name="Normal 5 2 27" xfId="37471" xr:uid="{00000000-0005-0000-0000-00005F920000}"/>
    <cellStyle name="Normal 5 2 28" xfId="37472" xr:uid="{00000000-0005-0000-0000-000060920000}"/>
    <cellStyle name="Normal 5 2 29" xfId="37473" xr:uid="{00000000-0005-0000-0000-000061920000}"/>
    <cellStyle name="Normal 5 2 3" xfId="37474" xr:uid="{00000000-0005-0000-0000-000062920000}"/>
    <cellStyle name="Normal 5 2 30" xfId="37475" xr:uid="{00000000-0005-0000-0000-000063920000}"/>
    <cellStyle name="Normal 5 2 31" xfId="37476" xr:uid="{00000000-0005-0000-0000-000064920000}"/>
    <cellStyle name="Normal 5 2 32" xfId="37477" xr:uid="{00000000-0005-0000-0000-000065920000}"/>
    <cellStyle name="Normal 5 2 33" xfId="37478" xr:uid="{00000000-0005-0000-0000-000066920000}"/>
    <cellStyle name="Normal 5 2 34" xfId="37479" xr:uid="{00000000-0005-0000-0000-000067920000}"/>
    <cellStyle name="Normal 5 2 35" xfId="37480" xr:uid="{00000000-0005-0000-0000-000068920000}"/>
    <cellStyle name="Normal 5 2 36" xfId="37481" xr:uid="{00000000-0005-0000-0000-000069920000}"/>
    <cellStyle name="Normal 5 2 37" xfId="37482" xr:uid="{00000000-0005-0000-0000-00006A920000}"/>
    <cellStyle name="Normal 5 2 38" xfId="37483" xr:uid="{00000000-0005-0000-0000-00006B920000}"/>
    <cellStyle name="Normal 5 2 39" xfId="37484" xr:uid="{00000000-0005-0000-0000-00006C920000}"/>
    <cellStyle name="Normal 5 2 4" xfId="37485" xr:uid="{00000000-0005-0000-0000-00006D920000}"/>
    <cellStyle name="Normal 5 2 40" xfId="37486" xr:uid="{00000000-0005-0000-0000-00006E920000}"/>
    <cellStyle name="Normal 5 2 41" xfId="37487" xr:uid="{00000000-0005-0000-0000-00006F920000}"/>
    <cellStyle name="Normal 5 2 42" xfId="37488" xr:uid="{00000000-0005-0000-0000-000070920000}"/>
    <cellStyle name="Normal 5 2 43" xfId="37489" xr:uid="{00000000-0005-0000-0000-000071920000}"/>
    <cellStyle name="Normal 5 2 44" xfId="37490" xr:uid="{00000000-0005-0000-0000-000072920000}"/>
    <cellStyle name="Normal 5 2 45" xfId="37491" xr:uid="{00000000-0005-0000-0000-000073920000}"/>
    <cellStyle name="Normal 5 2 46" xfId="37492" xr:uid="{00000000-0005-0000-0000-000074920000}"/>
    <cellStyle name="Normal 5 2 47" xfId="37493" xr:uid="{00000000-0005-0000-0000-000075920000}"/>
    <cellStyle name="Normal 5 2 48" xfId="37494" xr:uid="{00000000-0005-0000-0000-000076920000}"/>
    <cellStyle name="Normal 5 2 49" xfId="37495" xr:uid="{00000000-0005-0000-0000-000077920000}"/>
    <cellStyle name="Normal 5 2 5" xfId="37496" xr:uid="{00000000-0005-0000-0000-000078920000}"/>
    <cellStyle name="Normal 5 2 50" xfId="37497" xr:uid="{00000000-0005-0000-0000-000079920000}"/>
    <cellStyle name="Normal 5 2 51" xfId="37498" xr:uid="{00000000-0005-0000-0000-00007A920000}"/>
    <cellStyle name="Normal 5 2 52" xfId="37499" xr:uid="{00000000-0005-0000-0000-00007B920000}"/>
    <cellStyle name="Normal 5 2 53" xfId="37500" xr:uid="{00000000-0005-0000-0000-00007C920000}"/>
    <cellStyle name="Normal 5 2 54" xfId="37501" xr:uid="{00000000-0005-0000-0000-00007D920000}"/>
    <cellStyle name="Normal 5 2 55" xfId="37502" xr:uid="{00000000-0005-0000-0000-00007E920000}"/>
    <cellStyle name="Normal 5 2 56" xfId="37503" xr:uid="{00000000-0005-0000-0000-00007F920000}"/>
    <cellStyle name="Normal 5 2 57" xfId="37504" xr:uid="{00000000-0005-0000-0000-000080920000}"/>
    <cellStyle name="Normal 5 2 58" xfId="37505" xr:uid="{00000000-0005-0000-0000-000081920000}"/>
    <cellStyle name="Normal 5 2 59" xfId="37506" xr:uid="{00000000-0005-0000-0000-000082920000}"/>
    <cellStyle name="Normal 5 2 6" xfId="37507" xr:uid="{00000000-0005-0000-0000-000083920000}"/>
    <cellStyle name="Normal 5 2 60" xfId="37508" xr:uid="{00000000-0005-0000-0000-000084920000}"/>
    <cellStyle name="Normal 5 2 61" xfId="37509" xr:uid="{00000000-0005-0000-0000-000085920000}"/>
    <cellStyle name="Normal 5 2 62" xfId="37510" xr:uid="{00000000-0005-0000-0000-000086920000}"/>
    <cellStyle name="Normal 5 2 63" xfId="37511" xr:uid="{00000000-0005-0000-0000-000087920000}"/>
    <cellStyle name="Normal 5 2 64" xfId="37512" xr:uid="{00000000-0005-0000-0000-000088920000}"/>
    <cellStyle name="Normal 5 2 65" xfId="37513" xr:uid="{00000000-0005-0000-0000-000089920000}"/>
    <cellStyle name="Normal 5 2 66" xfId="37514" xr:uid="{00000000-0005-0000-0000-00008A920000}"/>
    <cellStyle name="Normal 5 2 67" xfId="37515" xr:uid="{00000000-0005-0000-0000-00008B920000}"/>
    <cellStyle name="Normal 5 2 68" xfId="37516" xr:uid="{00000000-0005-0000-0000-00008C920000}"/>
    <cellStyle name="Normal 5 2 69" xfId="37517" xr:uid="{00000000-0005-0000-0000-00008D920000}"/>
    <cellStyle name="Normal 5 2 7" xfId="37518" xr:uid="{00000000-0005-0000-0000-00008E920000}"/>
    <cellStyle name="Normal 5 2 70" xfId="37519" xr:uid="{00000000-0005-0000-0000-00008F920000}"/>
    <cellStyle name="Normal 5 2 71" xfId="37520" xr:uid="{00000000-0005-0000-0000-000090920000}"/>
    <cellStyle name="Normal 5 2 72" xfId="37521" xr:uid="{00000000-0005-0000-0000-000091920000}"/>
    <cellStyle name="Normal 5 2 73" xfId="37522" xr:uid="{00000000-0005-0000-0000-000092920000}"/>
    <cellStyle name="Normal 5 2 74" xfId="37523" xr:uid="{00000000-0005-0000-0000-000093920000}"/>
    <cellStyle name="Normal 5 2 75" xfId="37524" xr:uid="{00000000-0005-0000-0000-000094920000}"/>
    <cellStyle name="Normal 5 2 76" xfId="37525" xr:uid="{00000000-0005-0000-0000-000095920000}"/>
    <cellStyle name="Normal 5 2 77" xfId="37526" xr:uid="{00000000-0005-0000-0000-000096920000}"/>
    <cellStyle name="Normal 5 2 78" xfId="37527" xr:uid="{00000000-0005-0000-0000-000097920000}"/>
    <cellStyle name="Normal 5 2 79" xfId="37528" xr:uid="{00000000-0005-0000-0000-000098920000}"/>
    <cellStyle name="Normal 5 2 8" xfId="37529" xr:uid="{00000000-0005-0000-0000-000099920000}"/>
    <cellStyle name="Normal 5 2 80" xfId="37530" xr:uid="{00000000-0005-0000-0000-00009A920000}"/>
    <cellStyle name="Normal 5 2 81" xfId="37531" xr:uid="{00000000-0005-0000-0000-00009B920000}"/>
    <cellStyle name="Normal 5 2 82" xfId="37532" xr:uid="{00000000-0005-0000-0000-00009C920000}"/>
    <cellStyle name="Normal 5 2 83" xfId="37450" xr:uid="{00000000-0005-0000-0000-00004A920000}"/>
    <cellStyle name="Normal 5 2 9" xfId="37533" xr:uid="{00000000-0005-0000-0000-00009D920000}"/>
    <cellStyle name="Normal 5 2_Enlaces" xfId="37534" xr:uid="{00000000-0005-0000-0000-00009E920000}"/>
    <cellStyle name="Normal 5 20" xfId="37535" xr:uid="{00000000-0005-0000-0000-00009F920000}"/>
    <cellStyle name="Normal 5 20 2" xfId="37536" xr:uid="{00000000-0005-0000-0000-0000A0920000}"/>
    <cellStyle name="Normal 5 20 2 2" xfId="37537" xr:uid="{00000000-0005-0000-0000-0000A1920000}"/>
    <cellStyle name="Normal 5 20 3" xfId="37538" xr:uid="{00000000-0005-0000-0000-0000A2920000}"/>
    <cellStyle name="Normal 5 20 4" xfId="37539" xr:uid="{00000000-0005-0000-0000-0000A3920000}"/>
    <cellStyle name="Normal 5 21" xfId="37540" xr:uid="{00000000-0005-0000-0000-0000A4920000}"/>
    <cellStyle name="Normal 5 21 2" xfId="37541" xr:uid="{00000000-0005-0000-0000-0000A5920000}"/>
    <cellStyle name="Normal 5 21 2 2" xfId="37542" xr:uid="{00000000-0005-0000-0000-0000A6920000}"/>
    <cellStyle name="Normal 5 21 3" xfId="37543" xr:uid="{00000000-0005-0000-0000-0000A7920000}"/>
    <cellStyle name="Normal 5 21 4" xfId="37544" xr:uid="{00000000-0005-0000-0000-0000A8920000}"/>
    <cellStyle name="Normal 5 22" xfId="37545" xr:uid="{00000000-0005-0000-0000-0000A9920000}"/>
    <cellStyle name="Normal 5 22 2" xfId="37546" xr:uid="{00000000-0005-0000-0000-0000AA920000}"/>
    <cellStyle name="Normal 5 22 3" xfId="37547" xr:uid="{00000000-0005-0000-0000-0000AB920000}"/>
    <cellStyle name="Normal 5 23" xfId="37548" xr:uid="{00000000-0005-0000-0000-0000AC920000}"/>
    <cellStyle name="Normal 5 24" xfId="37549" xr:uid="{00000000-0005-0000-0000-0000AD920000}"/>
    <cellStyle name="Normal 5 25" xfId="37550" xr:uid="{00000000-0005-0000-0000-0000AE920000}"/>
    <cellStyle name="Normal 5 26" xfId="37551" xr:uid="{00000000-0005-0000-0000-0000AF920000}"/>
    <cellStyle name="Normal 5 27" xfId="37552" xr:uid="{00000000-0005-0000-0000-0000B0920000}"/>
    <cellStyle name="Normal 5 28" xfId="37553" xr:uid="{00000000-0005-0000-0000-0000B1920000}"/>
    <cellStyle name="Normal 5 29" xfId="37554" xr:uid="{00000000-0005-0000-0000-0000B2920000}"/>
    <cellStyle name="Normal 5 3" xfId="62" xr:uid="{00000000-0005-0000-0000-00003E000000}"/>
    <cellStyle name="Normal 5 3 10" xfId="37556" xr:uid="{00000000-0005-0000-0000-0000B4920000}"/>
    <cellStyle name="Normal 5 3 11" xfId="37557" xr:uid="{00000000-0005-0000-0000-0000B5920000}"/>
    <cellStyle name="Normal 5 3 12" xfId="37558" xr:uid="{00000000-0005-0000-0000-0000B6920000}"/>
    <cellStyle name="Normal 5 3 13" xfId="37555" xr:uid="{00000000-0005-0000-0000-0000B3920000}"/>
    <cellStyle name="Normal 5 3 2" xfId="37559" xr:uid="{00000000-0005-0000-0000-0000B7920000}"/>
    <cellStyle name="Normal 5 3 3" xfId="37560" xr:uid="{00000000-0005-0000-0000-0000B8920000}"/>
    <cellStyle name="Normal 5 3 4" xfId="37561" xr:uid="{00000000-0005-0000-0000-0000B9920000}"/>
    <cellStyle name="Normal 5 3 4 2" xfId="37562" xr:uid="{00000000-0005-0000-0000-0000BA920000}"/>
    <cellStyle name="Normal 5 3 4 2 2" xfId="37563" xr:uid="{00000000-0005-0000-0000-0000BB920000}"/>
    <cellStyle name="Normal 5 3 4 3" xfId="37564" xr:uid="{00000000-0005-0000-0000-0000BC920000}"/>
    <cellStyle name="Normal 5 3 5" xfId="37565" xr:uid="{00000000-0005-0000-0000-0000BD920000}"/>
    <cellStyle name="Normal 5 3 6" xfId="37566" xr:uid="{00000000-0005-0000-0000-0000BE920000}"/>
    <cellStyle name="Normal 5 3 7" xfId="37567" xr:uid="{00000000-0005-0000-0000-0000BF920000}"/>
    <cellStyle name="Normal 5 3 7 2" xfId="37568" xr:uid="{00000000-0005-0000-0000-0000C0920000}"/>
    <cellStyle name="Normal 5 3 8" xfId="37569" xr:uid="{00000000-0005-0000-0000-0000C1920000}"/>
    <cellStyle name="Normal 5 3 9" xfId="37570" xr:uid="{00000000-0005-0000-0000-0000C2920000}"/>
    <cellStyle name="Normal 5 3_Implem" xfId="37571" xr:uid="{00000000-0005-0000-0000-0000C3920000}"/>
    <cellStyle name="Normal 5 30" xfId="37572" xr:uid="{00000000-0005-0000-0000-0000C4920000}"/>
    <cellStyle name="Normal 5 31" xfId="37573" xr:uid="{00000000-0005-0000-0000-0000C5920000}"/>
    <cellStyle name="Normal 5 32" xfId="37574" xr:uid="{00000000-0005-0000-0000-0000C6920000}"/>
    <cellStyle name="Normal 5 33" xfId="37575" xr:uid="{00000000-0005-0000-0000-0000C7920000}"/>
    <cellStyle name="Normal 5 34" xfId="37576" xr:uid="{00000000-0005-0000-0000-0000C8920000}"/>
    <cellStyle name="Normal 5 35" xfId="37577" xr:uid="{00000000-0005-0000-0000-0000C9920000}"/>
    <cellStyle name="Normal 5 36" xfId="37578" xr:uid="{00000000-0005-0000-0000-0000CA920000}"/>
    <cellStyle name="Normal 5 37" xfId="37579" xr:uid="{00000000-0005-0000-0000-0000CB920000}"/>
    <cellStyle name="Normal 5 38" xfId="37580" xr:uid="{00000000-0005-0000-0000-0000CC920000}"/>
    <cellStyle name="Normal 5 39" xfId="37581" xr:uid="{00000000-0005-0000-0000-0000CD920000}"/>
    <cellStyle name="Normal 5 4" xfId="41" xr:uid="{00000000-0005-0000-0000-000029000000}"/>
    <cellStyle name="Normal 5 4 2" xfId="37583" xr:uid="{00000000-0005-0000-0000-0000CF920000}"/>
    <cellStyle name="Normal 5 4 2 2" xfId="37584" xr:uid="{00000000-0005-0000-0000-0000D0920000}"/>
    <cellStyle name="Normal 5 4 3" xfId="37585" xr:uid="{00000000-0005-0000-0000-0000D1920000}"/>
    <cellStyle name="Normal 5 4 4" xfId="37586" xr:uid="{00000000-0005-0000-0000-0000D2920000}"/>
    <cellStyle name="Normal 5 4 5" xfId="37582" xr:uid="{00000000-0005-0000-0000-0000CE920000}"/>
    <cellStyle name="Normal 5 40" xfId="37587" xr:uid="{00000000-0005-0000-0000-0000D3920000}"/>
    <cellStyle name="Normal 5 41" xfId="37588" xr:uid="{00000000-0005-0000-0000-0000D4920000}"/>
    <cellStyle name="Normal 5 42" xfId="37589" xr:uid="{00000000-0005-0000-0000-0000D5920000}"/>
    <cellStyle name="Normal 5 43" xfId="37590" xr:uid="{00000000-0005-0000-0000-0000D6920000}"/>
    <cellStyle name="Normal 5 44" xfId="37591" xr:uid="{00000000-0005-0000-0000-0000D7920000}"/>
    <cellStyle name="Normal 5 45" xfId="37592" xr:uid="{00000000-0005-0000-0000-0000D8920000}"/>
    <cellStyle name="Normal 5 46" xfId="37593" xr:uid="{00000000-0005-0000-0000-0000D9920000}"/>
    <cellStyle name="Normal 5 47" xfId="37594" xr:uid="{00000000-0005-0000-0000-0000DA920000}"/>
    <cellStyle name="Normal 5 48" xfId="37595" xr:uid="{00000000-0005-0000-0000-0000DB920000}"/>
    <cellStyle name="Normal 5 49" xfId="37596" xr:uid="{00000000-0005-0000-0000-0000DC920000}"/>
    <cellStyle name="Normal 5 5" xfId="37597" xr:uid="{00000000-0005-0000-0000-0000DD920000}"/>
    <cellStyle name="Normal 5 5 2" xfId="37598" xr:uid="{00000000-0005-0000-0000-0000DE920000}"/>
    <cellStyle name="Normal 5 5 2 2" xfId="37599" xr:uid="{00000000-0005-0000-0000-0000DF920000}"/>
    <cellStyle name="Normal 5 5 3" xfId="37600" xr:uid="{00000000-0005-0000-0000-0000E0920000}"/>
    <cellStyle name="Normal 5 5 4" xfId="37601" xr:uid="{00000000-0005-0000-0000-0000E1920000}"/>
    <cellStyle name="Normal 5 50" xfId="37602" xr:uid="{00000000-0005-0000-0000-0000E2920000}"/>
    <cellStyle name="Normal 5 51" xfId="37603" xr:uid="{00000000-0005-0000-0000-0000E3920000}"/>
    <cellStyle name="Normal 5 52" xfId="37604" xr:uid="{00000000-0005-0000-0000-0000E4920000}"/>
    <cellStyle name="Normal 5 53" xfId="37605" xr:uid="{00000000-0005-0000-0000-0000E5920000}"/>
    <cellStyle name="Normal 5 54" xfId="37606" xr:uid="{00000000-0005-0000-0000-0000E6920000}"/>
    <cellStyle name="Normal 5 55" xfId="37607" xr:uid="{00000000-0005-0000-0000-0000E7920000}"/>
    <cellStyle name="Normal 5 56" xfId="37608" xr:uid="{00000000-0005-0000-0000-0000E8920000}"/>
    <cellStyle name="Normal 5 57" xfId="37609" xr:uid="{00000000-0005-0000-0000-0000E9920000}"/>
    <cellStyle name="Normal 5 58" xfId="37610" xr:uid="{00000000-0005-0000-0000-0000EA920000}"/>
    <cellStyle name="Normal 5 59" xfId="37611" xr:uid="{00000000-0005-0000-0000-0000EB920000}"/>
    <cellStyle name="Normal 5 6" xfId="37612" xr:uid="{00000000-0005-0000-0000-0000EC920000}"/>
    <cellStyle name="Normal 5 6 2" xfId="37613" xr:uid="{00000000-0005-0000-0000-0000ED920000}"/>
    <cellStyle name="Normal 5 6 2 2" xfId="37614" xr:uid="{00000000-0005-0000-0000-0000EE920000}"/>
    <cellStyle name="Normal 5 6 3" xfId="37615" xr:uid="{00000000-0005-0000-0000-0000EF920000}"/>
    <cellStyle name="Normal 5 6 4" xfId="37616" xr:uid="{00000000-0005-0000-0000-0000F0920000}"/>
    <cellStyle name="Normal 5 60" xfId="37617" xr:uid="{00000000-0005-0000-0000-0000F1920000}"/>
    <cellStyle name="Normal 5 7" xfId="37618" xr:uid="{00000000-0005-0000-0000-0000F2920000}"/>
    <cellStyle name="Normal 5 7 2" xfId="37619" xr:uid="{00000000-0005-0000-0000-0000F3920000}"/>
    <cellStyle name="Normal 5 7 2 2" xfId="37620" xr:uid="{00000000-0005-0000-0000-0000F4920000}"/>
    <cellStyle name="Normal 5 7 3" xfId="37621" xr:uid="{00000000-0005-0000-0000-0000F5920000}"/>
    <cellStyle name="Normal 5 7 4" xfId="37622" xr:uid="{00000000-0005-0000-0000-0000F6920000}"/>
    <cellStyle name="Normal 5 8" xfId="37623" xr:uid="{00000000-0005-0000-0000-0000F7920000}"/>
    <cellStyle name="Normal 5 8 2" xfId="37624" xr:uid="{00000000-0005-0000-0000-0000F8920000}"/>
    <cellStyle name="Normal 5 8 2 2" xfId="37625" xr:uid="{00000000-0005-0000-0000-0000F9920000}"/>
    <cellStyle name="Normal 5 8 3" xfId="37626" xr:uid="{00000000-0005-0000-0000-0000FA920000}"/>
    <cellStyle name="Normal 5 8 4" xfId="37627" xr:uid="{00000000-0005-0000-0000-0000FB920000}"/>
    <cellStyle name="Normal 5 9" xfId="37628" xr:uid="{00000000-0005-0000-0000-0000FC920000}"/>
    <cellStyle name="Normal 5 9 2" xfId="37629" xr:uid="{00000000-0005-0000-0000-0000FD920000}"/>
    <cellStyle name="Normal 5 9 2 2" xfId="37630" xr:uid="{00000000-0005-0000-0000-0000FE920000}"/>
    <cellStyle name="Normal 5 9 3" xfId="37631" xr:uid="{00000000-0005-0000-0000-0000FF920000}"/>
    <cellStyle name="Normal 5 9 4" xfId="37632" xr:uid="{00000000-0005-0000-0000-000000930000}"/>
    <cellStyle name="Normal 50" xfId="37633" xr:uid="{00000000-0005-0000-0000-000001930000}"/>
    <cellStyle name="Normal 50 10" xfId="37634" xr:uid="{00000000-0005-0000-0000-000002930000}"/>
    <cellStyle name="Normal 50 11" xfId="37635" xr:uid="{00000000-0005-0000-0000-000003930000}"/>
    <cellStyle name="Normal 50 12" xfId="37636" xr:uid="{00000000-0005-0000-0000-000004930000}"/>
    <cellStyle name="Normal 50 13" xfId="37637" xr:uid="{00000000-0005-0000-0000-000005930000}"/>
    <cellStyle name="Normal 50 14" xfId="37638" xr:uid="{00000000-0005-0000-0000-000006930000}"/>
    <cellStyle name="Normal 50 15" xfId="37639" xr:uid="{00000000-0005-0000-0000-000007930000}"/>
    <cellStyle name="Normal 50 16" xfId="37640" xr:uid="{00000000-0005-0000-0000-000008930000}"/>
    <cellStyle name="Normal 50 17" xfId="37641" xr:uid="{00000000-0005-0000-0000-000009930000}"/>
    <cellStyle name="Normal 50 18" xfId="37642" xr:uid="{00000000-0005-0000-0000-00000A930000}"/>
    <cellStyle name="Normal 50 19" xfId="37643" xr:uid="{00000000-0005-0000-0000-00000B930000}"/>
    <cellStyle name="Normal 50 2" xfId="37644" xr:uid="{00000000-0005-0000-0000-00000C930000}"/>
    <cellStyle name="Normal 50 2 2" xfId="37645" xr:uid="{00000000-0005-0000-0000-00000D930000}"/>
    <cellStyle name="Normal 50 20" xfId="37646" xr:uid="{00000000-0005-0000-0000-00000E930000}"/>
    <cellStyle name="Normal 50 21" xfId="37647" xr:uid="{00000000-0005-0000-0000-00000F930000}"/>
    <cellStyle name="Normal 50 22" xfId="37648" xr:uid="{00000000-0005-0000-0000-000010930000}"/>
    <cellStyle name="Normal 50 23" xfId="37649" xr:uid="{00000000-0005-0000-0000-000011930000}"/>
    <cellStyle name="Normal 50 24" xfId="37650" xr:uid="{00000000-0005-0000-0000-000012930000}"/>
    <cellStyle name="Normal 50 25" xfId="37651" xr:uid="{00000000-0005-0000-0000-000013930000}"/>
    <cellStyle name="Normal 50 26" xfId="37652" xr:uid="{00000000-0005-0000-0000-000014930000}"/>
    <cellStyle name="Normal 50 3" xfId="37653" xr:uid="{00000000-0005-0000-0000-000015930000}"/>
    <cellStyle name="Normal 50 3 2" xfId="37654" xr:uid="{00000000-0005-0000-0000-000016930000}"/>
    <cellStyle name="Normal 50 4" xfId="37655" xr:uid="{00000000-0005-0000-0000-000017930000}"/>
    <cellStyle name="Normal 50 4 2" xfId="37656" xr:uid="{00000000-0005-0000-0000-000018930000}"/>
    <cellStyle name="Normal 50 5" xfId="37657" xr:uid="{00000000-0005-0000-0000-000019930000}"/>
    <cellStyle name="Normal 50 5 2" xfId="37658" xr:uid="{00000000-0005-0000-0000-00001A930000}"/>
    <cellStyle name="Normal 50 6" xfId="37659" xr:uid="{00000000-0005-0000-0000-00001B930000}"/>
    <cellStyle name="Normal 50 7" xfId="37660" xr:uid="{00000000-0005-0000-0000-00001C930000}"/>
    <cellStyle name="Normal 50 8" xfId="37661" xr:uid="{00000000-0005-0000-0000-00001D930000}"/>
    <cellStyle name="Normal 50 9" xfId="37662" xr:uid="{00000000-0005-0000-0000-00001E930000}"/>
    <cellStyle name="Normal 51" xfId="37663" xr:uid="{00000000-0005-0000-0000-00001F930000}"/>
    <cellStyle name="Normal 52" xfId="37664" xr:uid="{00000000-0005-0000-0000-000020930000}"/>
    <cellStyle name="Normal 53" xfId="37665" xr:uid="{00000000-0005-0000-0000-000021930000}"/>
    <cellStyle name="Normal 54" xfId="37666" xr:uid="{00000000-0005-0000-0000-000022930000}"/>
    <cellStyle name="Normal 55" xfId="37667" xr:uid="{00000000-0005-0000-0000-000023930000}"/>
    <cellStyle name="Normal 56" xfId="37668" xr:uid="{00000000-0005-0000-0000-000024930000}"/>
    <cellStyle name="Normal 57" xfId="37669" xr:uid="{00000000-0005-0000-0000-000025930000}"/>
    <cellStyle name="Normal 58" xfId="37670" xr:uid="{00000000-0005-0000-0000-000026930000}"/>
    <cellStyle name="Normal 59" xfId="37671" xr:uid="{00000000-0005-0000-0000-000027930000}"/>
    <cellStyle name="Normal 6" xfId="43" xr:uid="{00000000-0005-0000-0000-00002B000000}"/>
    <cellStyle name="Normal 6 10" xfId="37673" xr:uid="{00000000-0005-0000-0000-000029930000}"/>
    <cellStyle name="Normal 6 11" xfId="37674" xr:uid="{00000000-0005-0000-0000-00002A930000}"/>
    <cellStyle name="Normal 6 12" xfId="37675" xr:uid="{00000000-0005-0000-0000-00002B930000}"/>
    <cellStyle name="Normal 6 13" xfId="37676" xr:uid="{00000000-0005-0000-0000-00002C930000}"/>
    <cellStyle name="Normal 6 14" xfId="37677" xr:uid="{00000000-0005-0000-0000-00002D930000}"/>
    <cellStyle name="Normal 6 15" xfId="37678" xr:uid="{00000000-0005-0000-0000-00002E930000}"/>
    <cellStyle name="Normal 6 16" xfId="37679" xr:uid="{00000000-0005-0000-0000-00002F930000}"/>
    <cellStyle name="Normal 6 17" xfId="37680" xr:uid="{00000000-0005-0000-0000-000030930000}"/>
    <cellStyle name="Normal 6 18" xfId="37681" xr:uid="{00000000-0005-0000-0000-000031930000}"/>
    <cellStyle name="Normal 6 19" xfId="37682" xr:uid="{00000000-0005-0000-0000-000032930000}"/>
    <cellStyle name="Normal 6 2" xfId="37683" xr:uid="{00000000-0005-0000-0000-000033930000}"/>
    <cellStyle name="Normal 6 2 10" xfId="37684" xr:uid="{00000000-0005-0000-0000-000034930000}"/>
    <cellStyle name="Normal 6 2 11" xfId="37685" xr:uid="{00000000-0005-0000-0000-000035930000}"/>
    <cellStyle name="Normal 6 2 12" xfId="37686" xr:uid="{00000000-0005-0000-0000-000036930000}"/>
    <cellStyle name="Normal 6 2 13" xfId="37687" xr:uid="{00000000-0005-0000-0000-000037930000}"/>
    <cellStyle name="Normal 6 2 14" xfId="37688" xr:uid="{00000000-0005-0000-0000-000038930000}"/>
    <cellStyle name="Normal 6 2 15" xfId="37689" xr:uid="{00000000-0005-0000-0000-000039930000}"/>
    <cellStyle name="Normal 6 2 16" xfId="37690" xr:uid="{00000000-0005-0000-0000-00003A930000}"/>
    <cellStyle name="Normal 6 2 17" xfId="37691" xr:uid="{00000000-0005-0000-0000-00003B930000}"/>
    <cellStyle name="Normal 6 2 18" xfId="37692" xr:uid="{00000000-0005-0000-0000-00003C930000}"/>
    <cellStyle name="Normal 6 2 19" xfId="37693" xr:uid="{00000000-0005-0000-0000-00003D930000}"/>
    <cellStyle name="Normal 6 2 2" xfId="37694" xr:uid="{00000000-0005-0000-0000-00003E930000}"/>
    <cellStyle name="Normal 6 2 20" xfId="37695" xr:uid="{00000000-0005-0000-0000-00003F930000}"/>
    <cellStyle name="Normal 6 2 21" xfId="37696" xr:uid="{00000000-0005-0000-0000-000040930000}"/>
    <cellStyle name="Normal 6 2 22" xfId="37697" xr:uid="{00000000-0005-0000-0000-000041930000}"/>
    <cellStyle name="Normal 6 2 23" xfId="37698" xr:uid="{00000000-0005-0000-0000-000042930000}"/>
    <cellStyle name="Normal 6 2 24" xfId="37699" xr:uid="{00000000-0005-0000-0000-000043930000}"/>
    <cellStyle name="Normal 6 2 25" xfId="37700" xr:uid="{00000000-0005-0000-0000-000044930000}"/>
    <cellStyle name="Normal 6 2 26" xfId="37701" xr:uid="{00000000-0005-0000-0000-000045930000}"/>
    <cellStyle name="Normal 6 2 27" xfId="37702" xr:uid="{00000000-0005-0000-0000-000046930000}"/>
    <cellStyle name="Normal 6 2 28" xfId="37703" xr:uid="{00000000-0005-0000-0000-000047930000}"/>
    <cellStyle name="Normal 6 2 29" xfId="37704" xr:uid="{00000000-0005-0000-0000-000048930000}"/>
    <cellStyle name="Normal 6 2 3" xfId="37705" xr:uid="{00000000-0005-0000-0000-000049930000}"/>
    <cellStyle name="Normal 6 2 30" xfId="37706" xr:uid="{00000000-0005-0000-0000-00004A930000}"/>
    <cellStyle name="Normal 6 2 31" xfId="37707" xr:uid="{00000000-0005-0000-0000-00004B930000}"/>
    <cellStyle name="Normal 6 2 32" xfId="37708" xr:uid="{00000000-0005-0000-0000-00004C930000}"/>
    <cellStyle name="Normal 6 2 33" xfId="37709" xr:uid="{00000000-0005-0000-0000-00004D930000}"/>
    <cellStyle name="Normal 6 2 34" xfId="37710" xr:uid="{00000000-0005-0000-0000-00004E930000}"/>
    <cellStyle name="Normal 6 2 35" xfId="37711" xr:uid="{00000000-0005-0000-0000-00004F930000}"/>
    <cellStyle name="Normal 6 2 36" xfId="37712" xr:uid="{00000000-0005-0000-0000-000050930000}"/>
    <cellStyle name="Normal 6 2 37" xfId="37713" xr:uid="{00000000-0005-0000-0000-000051930000}"/>
    <cellStyle name="Normal 6 2 38" xfId="37714" xr:uid="{00000000-0005-0000-0000-000052930000}"/>
    <cellStyle name="Normal 6 2 39" xfId="37715" xr:uid="{00000000-0005-0000-0000-000053930000}"/>
    <cellStyle name="Normal 6 2 4" xfId="37716" xr:uid="{00000000-0005-0000-0000-000054930000}"/>
    <cellStyle name="Normal 6 2 40" xfId="37717" xr:uid="{00000000-0005-0000-0000-000055930000}"/>
    <cellStyle name="Normal 6 2 41" xfId="37718" xr:uid="{00000000-0005-0000-0000-000056930000}"/>
    <cellStyle name="Normal 6 2 42" xfId="37719" xr:uid="{00000000-0005-0000-0000-000057930000}"/>
    <cellStyle name="Normal 6 2 43" xfId="37720" xr:uid="{00000000-0005-0000-0000-000058930000}"/>
    <cellStyle name="Normal 6 2 44" xfId="37721" xr:uid="{00000000-0005-0000-0000-000059930000}"/>
    <cellStyle name="Normal 6 2 45" xfId="37722" xr:uid="{00000000-0005-0000-0000-00005A930000}"/>
    <cellStyle name="Normal 6 2 46" xfId="37723" xr:uid="{00000000-0005-0000-0000-00005B930000}"/>
    <cellStyle name="Normal 6 2 47" xfId="37724" xr:uid="{00000000-0005-0000-0000-00005C930000}"/>
    <cellStyle name="Normal 6 2 48" xfId="37725" xr:uid="{00000000-0005-0000-0000-00005D930000}"/>
    <cellStyle name="Normal 6 2 49" xfId="37726" xr:uid="{00000000-0005-0000-0000-00005E930000}"/>
    <cellStyle name="Normal 6 2 5" xfId="37727" xr:uid="{00000000-0005-0000-0000-00005F930000}"/>
    <cellStyle name="Normal 6 2 50" xfId="37728" xr:uid="{00000000-0005-0000-0000-000060930000}"/>
    <cellStyle name="Normal 6 2 51" xfId="37729" xr:uid="{00000000-0005-0000-0000-000061930000}"/>
    <cellStyle name="Normal 6 2 52" xfId="37730" xr:uid="{00000000-0005-0000-0000-000062930000}"/>
    <cellStyle name="Normal 6 2 53" xfId="37731" xr:uid="{00000000-0005-0000-0000-000063930000}"/>
    <cellStyle name="Normal 6 2 54" xfId="37732" xr:uid="{00000000-0005-0000-0000-000064930000}"/>
    <cellStyle name="Normal 6 2 55" xfId="37733" xr:uid="{00000000-0005-0000-0000-000065930000}"/>
    <cellStyle name="Normal 6 2 56" xfId="37734" xr:uid="{00000000-0005-0000-0000-000066930000}"/>
    <cellStyle name="Normal 6 2 57" xfId="37735" xr:uid="{00000000-0005-0000-0000-000067930000}"/>
    <cellStyle name="Normal 6 2 58" xfId="37736" xr:uid="{00000000-0005-0000-0000-000068930000}"/>
    <cellStyle name="Normal 6 2 59" xfId="37737" xr:uid="{00000000-0005-0000-0000-000069930000}"/>
    <cellStyle name="Normal 6 2 6" xfId="37738" xr:uid="{00000000-0005-0000-0000-00006A930000}"/>
    <cellStyle name="Normal 6 2 60" xfId="37739" xr:uid="{00000000-0005-0000-0000-00006B930000}"/>
    <cellStyle name="Normal 6 2 61" xfId="37740" xr:uid="{00000000-0005-0000-0000-00006C930000}"/>
    <cellStyle name="Normal 6 2 62" xfId="37741" xr:uid="{00000000-0005-0000-0000-00006D930000}"/>
    <cellStyle name="Normal 6 2 63" xfId="37742" xr:uid="{00000000-0005-0000-0000-00006E930000}"/>
    <cellStyle name="Normal 6 2 64" xfId="37743" xr:uid="{00000000-0005-0000-0000-00006F930000}"/>
    <cellStyle name="Normal 6 2 65" xfId="37744" xr:uid="{00000000-0005-0000-0000-000070930000}"/>
    <cellStyle name="Normal 6 2 66" xfId="37745" xr:uid="{00000000-0005-0000-0000-000071930000}"/>
    <cellStyle name="Normal 6 2 67" xfId="37746" xr:uid="{00000000-0005-0000-0000-000072930000}"/>
    <cellStyle name="Normal 6 2 68" xfId="37747" xr:uid="{00000000-0005-0000-0000-000073930000}"/>
    <cellStyle name="Normal 6 2 69" xfId="37748" xr:uid="{00000000-0005-0000-0000-000074930000}"/>
    <cellStyle name="Normal 6 2 7" xfId="37749" xr:uid="{00000000-0005-0000-0000-000075930000}"/>
    <cellStyle name="Normal 6 2 70" xfId="37750" xr:uid="{00000000-0005-0000-0000-000076930000}"/>
    <cellStyle name="Normal 6 2 71" xfId="37751" xr:uid="{00000000-0005-0000-0000-000077930000}"/>
    <cellStyle name="Normal 6 2 72" xfId="37752" xr:uid="{00000000-0005-0000-0000-000078930000}"/>
    <cellStyle name="Normal 6 2 73" xfId="37753" xr:uid="{00000000-0005-0000-0000-000079930000}"/>
    <cellStyle name="Normal 6 2 74" xfId="37754" xr:uid="{00000000-0005-0000-0000-00007A930000}"/>
    <cellStyle name="Normal 6 2 75" xfId="37755" xr:uid="{00000000-0005-0000-0000-00007B930000}"/>
    <cellStyle name="Normal 6 2 76" xfId="37756" xr:uid="{00000000-0005-0000-0000-00007C930000}"/>
    <cellStyle name="Normal 6 2 77" xfId="37757" xr:uid="{00000000-0005-0000-0000-00007D930000}"/>
    <cellStyle name="Normal 6 2 78" xfId="37758" xr:uid="{00000000-0005-0000-0000-00007E930000}"/>
    <cellStyle name="Normal 6 2 79" xfId="37759" xr:uid="{00000000-0005-0000-0000-00007F930000}"/>
    <cellStyle name="Normal 6 2 8" xfId="37760" xr:uid="{00000000-0005-0000-0000-000080930000}"/>
    <cellStyle name="Normal 6 2 80" xfId="37761" xr:uid="{00000000-0005-0000-0000-000081930000}"/>
    <cellStyle name="Normal 6 2 81" xfId="37762" xr:uid="{00000000-0005-0000-0000-000082930000}"/>
    <cellStyle name="Normal 6 2 82" xfId="37763" xr:uid="{00000000-0005-0000-0000-000083930000}"/>
    <cellStyle name="Normal 6 2 83" xfId="37764" xr:uid="{00000000-0005-0000-0000-000084930000}"/>
    <cellStyle name="Normal 6 2 84" xfId="37765" xr:uid="{00000000-0005-0000-0000-000085930000}"/>
    <cellStyle name="Normal 6 2 85" xfId="37766" xr:uid="{00000000-0005-0000-0000-000086930000}"/>
    <cellStyle name="Normal 6 2 86" xfId="37767" xr:uid="{00000000-0005-0000-0000-000087930000}"/>
    <cellStyle name="Normal 6 2 9" xfId="37768" xr:uid="{00000000-0005-0000-0000-000088930000}"/>
    <cellStyle name="Normal 6 2_Xa Parametrización de Usuarios" xfId="37769" xr:uid="{00000000-0005-0000-0000-000089930000}"/>
    <cellStyle name="Normal 6 20" xfId="37770" xr:uid="{00000000-0005-0000-0000-00008A930000}"/>
    <cellStyle name="Normal 6 21" xfId="37771" xr:uid="{00000000-0005-0000-0000-00008B930000}"/>
    <cellStyle name="Normal 6 22" xfId="37772" xr:uid="{00000000-0005-0000-0000-00008C930000}"/>
    <cellStyle name="Normal 6 23" xfId="37773" xr:uid="{00000000-0005-0000-0000-00008D930000}"/>
    <cellStyle name="Normal 6 24" xfId="37774" xr:uid="{00000000-0005-0000-0000-00008E930000}"/>
    <cellStyle name="Normal 6 25" xfId="37775" xr:uid="{00000000-0005-0000-0000-00008F930000}"/>
    <cellStyle name="Normal 6 26" xfId="37776" xr:uid="{00000000-0005-0000-0000-000090930000}"/>
    <cellStyle name="Normal 6 27" xfId="37777" xr:uid="{00000000-0005-0000-0000-000091930000}"/>
    <cellStyle name="Normal 6 28" xfId="37778" xr:uid="{00000000-0005-0000-0000-000092930000}"/>
    <cellStyle name="Normal 6 29" xfId="37779" xr:uid="{00000000-0005-0000-0000-000093930000}"/>
    <cellStyle name="Normal 6 3" xfId="37780" xr:uid="{00000000-0005-0000-0000-000094930000}"/>
    <cellStyle name="Normal 6 3 10" xfId="37781" xr:uid="{00000000-0005-0000-0000-000095930000}"/>
    <cellStyle name="Normal 6 3 11" xfId="37782" xr:uid="{00000000-0005-0000-0000-000096930000}"/>
    <cellStyle name="Normal 6 3 12" xfId="37783" xr:uid="{00000000-0005-0000-0000-000097930000}"/>
    <cellStyle name="Normal 6 3 2" xfId="37784" xr:uid="{00000000-0005-0000-0000-000098930000}"/>
    <cellStyle name="Normal 6 3 3" xfId="37785" xr:uid="{00000000-0005-0000-0000-000099930000}"/>
    <cellStyle name="Normal 6 3 4" xfId="37786" xr:uid="{00000000-0005-0000-0000-00009A930000}"/>
    <cellStyle name="Normal 6 3 5" xfId="37787" xr:uid="{00000000-0005-0000-0000-00009B930000}"/>
    <cellStyle name="Normal 6 3 6" xfId="37788" xr:uid="{00000000-0005-0000-0000-00009C930000}"/>
    <cellStyle name="Normal 6 3 7" xfId="37789" xr:uid="{00000000-0005-0000-0000-00009D930000}"/>
    <cellStyle name="Normal 6 3 8" xfId="37790" xr:uid="{00000000-0005-0000-0000-00009E930000}"/>
    <cellStyle name="Normal 6 3 9" xfId="37791" xr:uid="{00000000-0005-0000-0000-00009F930000}"/>
    <cellStyle name="Normal 6 3_Xa Parametrización de Usuarios" xfId="37792" xr:uid="{00000000-0005-0000-0000-0000A0930000}"/>
    <cellStyle name="Normal 6 30" xfId="39189" xr:uid="{00000000-0005-0000-0000-000015990000}"/>
    <cellStyle name="Normal 6 31" xfId="37672" xr:uid="{00000000-0005-0000-0000-000028930000}"/>
    <cellStyle name="Normal 6 4" xfId="37793" xr:uid="{00000000-0005-0000-0000-0000A1930000}"/>
    <cellStyle name="Normal 6 5" xfId="37794" xr:uid="{00000000-0005-0000-0000-0000A2930000}"/>
    <cellStyle name="Normal 6 6" xfId="37795" xr:uid="{00000000-0005-0000-0000-0000A3930000}"/>
    <cellStyle name="Normal 6 7" xfId="37796" xr:uid="{00000000-0005-0000-0000-0000A4930000}"/>
    <cellStyle name="Normal 6 8" xfId="37797" xr:uid="{00000000-0005-0000-0000-0000A5930000}"/>
    <cellStyle name="Normal 6 9" xfId="37798" xr:uid="{00000000-0005-0000-0000-0000A6930000}"/>
    <cellStyle name="Normal 60" xfId="37799" xr:uid="{00000000-0005-0000-0000-0000A7930000}"/>
    <cellStyle name="Normal 61" xfId="37800" xr:uid="{00000000-0005-0000-0000-0000A8930000}"/>
    <cellStyle name="Normal 61 2" xfId="37801" xr:uid="{00000000-0005-0000-0000-0000A9930000}"/>
    <cellStyle name="Normal 61 2 2" xfId="37802" xr:uid="{00000000-0005-0000-0000-0000AA930000}"/>
    <cellStyle name="Normal 61 2 3" xfId="37803" xr:uid="{00000000-0005-0000-0000-0000AB930000}"/>
    <cellStyle name="Normal 61 3" xfId="37804" xr:uid="{00000000-0005-0000-0000-0000AC930000}"/>
    <cellStyle name="Normal 62" xfId="37805" xr:uid="{00000000-0005-0000-0000-0000AD930000}"/>
    <cellStyle name="Normal 62 2" xfId="37806" xr:uid="{00000000-0005-0000-0000-0000AE930000}"/>
    <cellStyle name="Normal 62 3" xfId="37807" xr:uid="{00000000-0005-0000-0000-0000AF930000}"/>
    <cellStyle name="Normal 62 4" xfId="39190" xr:uid="{00000000-0005-0000-0000-000016990000}"/>
    <cellStyle name="Normal 63" xfId="37808" xr:uid="{00000000-0005-0000-0000-0000B0930000}"/>
    <cellStyle name="Normal 63 2" xfId="37809" xr:uid="{00000000-0005-0000-0000-0000B1930000}"/>
    <cellStyle name="Normal 63 3" xfId="37810" xr:uid="{00000000-0005-0000-0000-0000B2930000}"/>
    <cellStyle name="Normal 63 4" xfId="37811" xr:uid="{00000000-0005-0000-0000-0000B3930000}"/>
    <cellStyle name="Normal 63 5" xfId="39191" xr:uid="{00000000-0005-0000-0000-000017990000}"/>
    <cellStyle name="Normal 64" xfId="37812" xr:uid="{00000000-0005-0000-0000-0000B4930000}"/>
    <cellStyle name="Normal 64 2" xfId="37813" xr:uid="{00000000-0005-0000-0000-0000B5930000}"/>
    <cellStyle name="Normal 64 3" xfId="37814" xr:uid="{00000000-0005-0000-0000-0000B6930000}"/>
    <cellStyle name="Normal 64 4" xfId="37815" xr:uid="{00000000-0005-0000-0000-0000B7930000}"/>
    <cellStyle name="Normal 64 5" xfId="39192" xr:uid="{00000000-0005-0000-0000-000018990000}"/>
    <cellStyle name="Normal 65" xfId="37816" xr:uid="{00000000-0005-0000-0000-0000B8930000}"/>
    <cellStyle name="Normal 65 2" xfId="37817" xr:uid="{00000000-0005-0000-0000-0000B9930000}"/>
    <cellStyle name="Normal 65 3" xfId="37818" xr:uid="{00000000-0005-0000-0000-0000BA930000}"/>
    <cellStyle name="Normal 66" xfId="37819" xr:uid="{00000000-0005-0000-0000-0000BB930000}"/>
    <cellStyle name="Normal 66 2" xfId="37820" xr:uid="{00000000-0005-0000-0000-0000BC930000}"/>
    <cellStyle name="Normal 66 3" xfId="37821" xr:uid="{00000000-0005-0000-0000-0000BD930000}"/>
    <cellStyle name="Normal 66 4" xfId="39193" xr:uid="{00000000-0005-0000-0000-000019990000}"/>
    <cellStyle name="Normal 67" xfId="37822" xr:uid="{00000000-0005-0000-0000-0000BE930000}"/>
    <cellStyle name="Normal 67 2" xfId="37823" xr:uid="{00000000-0005-0000-0000-0000BF930000}"/>
    <cellStyle name="Normal 67 3" xfId="39194" xr:uid="{00000000-0005-0000-0000-00001A990000}"/>
    <cellStyle name="Normal 68" xfId="37824" xr:uid="{00000000-0005-0000-0000-0000C0930000}"/>
    <cellStyle name="Normal 68 2" xfId="37825" xr:uid="{00000000-0005-0000-0000-0000C1930000}"/>
    <cellStyle name="Normal 68 3" xfId="39195" xr:uid="{00000000-0005-0000-0000-00001B990000}"/>
    <cellStyle name="Normal 69" xfId="37826" xr:uid="{00000000-0005-0000-0000-0000C2930000}"/>
    <cellStyle name="Normal 69 2" xfId="37827" xr:uid="{00000000-0005-0000-0000-0000C3930000}"/>
    <cellStyle name="Normal 69 3" xfId="37828" xr:uid="{00000000-0005-0000-0000-0000C4930000}"/>
    <cellStyle name="Normal 69 4" xfId="39196" xr:uid="{00000000-0005-0000-0000-00001C990000}"/>
    <cellStyle name="Normal 7" xfId="2" xr:uid="{00000000-0005-0000-0000-000002000000}"/>
    <cellStyle name="Normal 7 10" xfId="63" xr:uid="{00000000-0005-0000-0000-00003F000000}"/>
    <cellStyle name="Normal 7 11" xfId="37829" xr:uid="{00000000-0005-0000-0000-0000C5930000}"/>
    <cellStyle name="Normal 7 12" xfId="37830" xr:uid="{00000000-0005-0000-0000-0000C6930000}"/>
    <cellStyle name="Normal 7 13" xfId="37831" xr:uid="{00000000-0005-0000-0000-0000C7930000}"/>
    <cellStyle name="Normal 7 14" xfId="37832" xr:uid="{00000000-0005-0000-0000-0000C8930000}"/>
    <cellStyle name="Normal 7 15" xfId="37833" xr:uid="{00000000-0005-0000-0000-0000C9930000}"/>
    <cellStyle name="Normal 7 16" xfId="37834" xr:uid="{00000000-0005-0000-0000-0000CA930000}"/>
    <cellStyle name="Normal 7 17" xfId="37835" xr:uid="{00000000-0005-0000-0000-0000CB930000}"/>
    <cellStyle name="Normal 7 18" xfId="37836" xr:uid="{00000000-0005-0000-0000-0000CC930000}"/>
    <cellStyle name="Normal 7 19" xfId="37837" xr:uid="{00000000-0005-0000-0000-0000CD930000}"/>
    <cellStyle name="Normal 7 2" xfId="6" xr:uid="{00000000-0005-0000-0000-000006000000}"/>
    <cellStyle name="Normal 7 2 10" xfId="37838" xr:uid="{00000000-0005-0000-0000-0000CE930000}"/>
    <cellStyle name="Normal 7 2 11" xfId="37839" xr:uid="{00000000-0005-0000-0000-0000CF930000}"/>
    <cellStyle name="Normal 7 2 12" xfId="37840" xr:uid="{00000000-0005-0000-0000-0000D0930000}"/>
    <cellStyle name="Normal 7 2 13" xfId="37841" xr:uid="{00000000-0005-0000-0000-0000D1930000}"/>
    <cellStyle name="Normal 7 2 14" xfId="37842" xr:uid="{00000000-0005-0000-0000-0000D2930000}"/>
    <cellStyle name="Normal 7 2 15" xfId="37843" xr:uid="{00000000-0005-0000-0000-0000D3930000}"/>
    <cellStyle name="Normal 7 2 16" xfId="37844" xr:uid="{00000000-0005-0000-0000-0000D4930000}"/>
    <cellStyle name="Normal 7 2 17" xfId="37845" xr:uid="{00000000-0005-0000-0000-0000D5930000}"/>
    <cellStyle name="Normal 7 2 18" xfId="37846" xr:uid="{00000000-0005-0000-0000-0000D6930000}"/>
    <cellStyle name="Normal 7 2 19" xfId="37847" xr:uid="{00000000-0005-0000-0000-0000D7930000}"/>
    <cellStyle name="Normal 7 2 2" xfId="37848" xr:uid="{00000000-0005-0000-0000-0000D8930000}"/>
    <cellStyle name="Normal 7 2 2 2" xfId="37849" xr:uid="{00000000-0005-0000-0000-0000D9930000}"/>
    <cellStyle name="Normal 7 2 2 2 2" xfId="37850" xr:uid="{00000000-0005-0000-0000-0000DA930000}"/>
    <cellStyle name="Normal 7 2 20" xfId="37851" xr:uid="{00000000-0005-0000-0000-0000DB930000}"/>
    <cellStyle name="Normal 7 2 21" xfId="37852" xr:uid="{00000000-0005-0000-0000-0000DC930000}"/>
    <cellStyle name="Normal 7 2 22" xfId="37853" xr:uid="{00000000-0005-0000-0000-0000DD930000}"/>
    <cellStyle name="Normal 7 2 23" xfId="37854" xr:uid="{00000000-0005-0000-0000-0000DE930000}"/>
    <cellStyle name="Normal 7 2 24" xfId="37855" xr:uid="{00000000-0005-0000-0000-0000DF930000}"/>
    <cellStyle name="Normal 7 2 25" xfId="37856" xr:uid="{00000000-0005-0000-0000-0000E0930000}"/>
    <cellStyle name="Normal 7 2 26" xfId="37857" xr:uid="{00000000-0005-0000-0000-0000E1930000}"/>
    <cellStyle name="Normal 7 2 27" xfId="37858" xr:uid="{00000000-0005-0000-0000-0000E2930000}"/>
    <cellStyle name="Normal 7 2 28" xfId="37859" xr:uid="{00000000-0005-0000-0000-0000E3930000}"/>
    <cellStyle name="Normal 7 2 29" xfId="37860" xr:uid="{00000000-0005-0000-0000-0000E4930000}"/>
    <cellStyle name="Normal 7 2 3" xfId="37861" xr:uid="{00000000-0005-0000-0000-0000E5930000}"/>
    <cellStyle name="Normal 7 2 30" xfId="37862" xr:uid="{00000000-0005-0000-0000-0000E6930000}"/>
    <cellStyle name="Normal 7 2 31" xfId="37863" xr:uid="{00000000-0005-0000-0000-0000E7930000}"/>
    <cellStyle name="Normal 7 2 32" xfId="37864" xr:uid="{00000000-0005-0000-0000-0000E8930000}"/>
    <cellStyle name="Normal 7 2 33" xfId="37865" xr:uid="{00000000-0005-0000-0000-0000E9930000}"/>
    <cellStyle name="Normal 7 2 34" xfId="37866" xr:uid="{00000000-0005-0000-0000-0000EA930000}"/>
    <cellStyle name="Normal 7 2 35" xfId="37867" xr:uid="{00000000-0005-0000-0000-0000EB930000}"/>
    <cellStyle name="Normal 7 2 36" xfId="37868" xr:uid="{00000000-0005-0000-0000-0000EC930000}"/>
    <cellStyle name="Normal 7 2 37" xfId="37869" xr:uid="{00000000-0005-0000-0000-0000ED930000}"/>
    <cellStyle name="Normal 7 2 38" xfId="37870" xr:uid="{00000000-0005-0000-0000-0000EE930000}"/>
    <cellStyle name="Normal 7 2 39" xfId="37871" xr:uid="{00000000-0005-0000-0000-0000EF930000}"/>
    <cellStyle name="Normal 7 2 4" xfId="37872" xr:uid="{00000000-0005-0000-0000-0000F0930000}"/>
    <cellStyle name="Normal 7 2 40" xfId="37873" xr:uid="{00000000-0005-0000-0000-0000F1930000}"/>
    <cellStyle name="Normal 7 2 41" xfId="37874" xr:uid="{00000000-0005-0000-0000-0000F2930000}"/>
    <cellStyle name="Normal 7 2 42" xfId="37875" xr:uid="{00000000-0005-0000-0000-0000F3930000}"/>
    <cellStyle name="Normal 7 2 43" xfId="37876" xr:uid="{00000000-0005-0000-0000-0000F4930000}"/>
    <cellStyle name="Normal 7 2 44" xfId="37877" xr:uid="{00000000-0005-0000-0000-0000F5930000}"/>
    <cellStyle name="Normal 7 2 45" xfId="37878" xr:uid="{00000000-0005-0000-0000-0000F6930000}"/>
    <cellStyle name="Normal 7 2 46" xfId="37879" xr:uid="{00000000-0005-0000-0000-0000F7930000}"/>
    <cellStyle name="Normal 7 2 47" xfId="37880" xr:uid="{00000000-0005-0000-0000-0000F8930000}"/>
    <cellStyle name="Normal 7 2 48" xfId="37881" xr:uid="{00000000-0005-0000-0000-0000F9930000}"/>
    <cellStyle name="Normal 7 2 49" xfId="37882" xr:uid="{00000000-0005-0000-0000-0000FA930000}"/>
    <cellStyle name="Normal 7 2 5" xfId="37883" xr:uid="{00000000-0005-0000-0000-0000FB930000}"/>
    <cellStyle name="Normal 7 2 50" xfId="37884" xr:uid="{00000000-0005-0000-0000-0000FC930000}"/>
    <cellStyle name="Normal 7 2 51" xfId="37885" xr:uid="{00000000-0005-0000-0000-0000FD930000}"/>
    <cellStyle name="Normal 7 2 52" xfId="37886" xr:uid="{00000000-0005-0000-0000-0000FE930000}"/>
    <cellStyle name="Normal 7 2 53" xfId="37887" xr:uid="{00000000-0005-0000-0000-0000FF930000}"/>
    <cellStyle name="Normal 7 2 54" xfId="37888" xr:uid="{00000000-0005-0000-0000-000000940000}"/>
    <cellStyle name="Normal 7 2 55" xfId="37889" xr:uid="{00000000-0005-0000-0000-000001940000}"/>
    <cellStyle name="Normal 7 2 56" xfId="37890" xr:uid="{00000000-0005-0000-0000-000002940000}"/>
    <cellStyle name="Normal 7 2 57" xfId="37891" xr:uid="{00000000-0005-0000-0000-000003940000}"/>
    <cellStyle name="Normal 7 2 58" xfId="37892" xr:uid="{00000000-0005-0000-0000-000004940000}"/>
    <cellStyle name="Normal 7 2 59" xfId="37893" xr:uid="{00000000-0005-0000-0000-000005940000}"/>
    <cellStyle name="Normal 7 2 6" xfId="37894" xr:uid="{00000000-0005-0000-0000-000006940000}"/>
    <cellStyle name="Normal 7 2 60" xfId="37895" xr:uid="{00000000-0005-0000-0000-000007940000}"/>
    <cellStyle name="Normal 7 2 61" xfId="37896" xr:uid="{00000000-0005-0000-0000-000008940000}"/>
    <cellStyle name="Normal 7 2 62" xfId="37897" xr:uid="{00000000-0005-0000-0000-000009940000}"/>
    <cellStyle name="Normal 7 2 63" xfId="37898" xr:uid="{00000000-0005-0000-0000-00000A940000}"/>
    <cellStyle name="Normal 7 2 64" xfId="37899" xr:uid="{00000000-0005-0000-0000-00000B940000}"/>
    <cellStyle name="Normal 7 2 65" xfId="37900" xr:uid="{00000000-0005-0000-0000-00000C940000}"/>
    <cellStyle name="Normal 7 2 66" xfId="37901" xr:uid="{00000000-0005-0000-0000-00000D940000}"/>
    <cellStyle name="Normal 7 2 67" xfId="37902" xr:uid="{00000000-0005-0000-0000-00000E940000}"/>
    <cellStyle name="Normal 7 2 68" xfId="37903" xr:uid="{00000000-0005-0000-0000-00000F940000}"/>
    <cellStyle name="Normal 7 2 69" xfId="37904" xr:uid="{00000000-0005-0000-0000-000010940000}"/>
    <cellStyle name="Normal 7 2 7" xfId="37905" xr:uid="{00000000-0005-0000-0000-000011940000}"/>
    <cellStyle name="Normal 7 2 70" xfId="37906" xr:uid="{00000000-0005-0000-0000-000012940000}"/>
    <cellStyle name="Normal 7 2 71" xfId="37907" xr:uid="{00000000-0005-0000-0000-000013940000}"/>
    <cellStyle name="Normal 7 2 72" xfId="37908" xr:uid="{00000000-0005-0000-0000-000014940000}"/>
    <cellStyle name="Normal 7 2 73" xfId="37909" xr:uid="{00000000-0005-0000-0000-000015940000}"/>
    <cellStyle name="Normal 7 2 74" xfId="37910" xr:uid="{00000000-0005-0000-0000-000016940000}"/>
    <cellStyle name="Normal 7 2 75" xfId="37911" xr:uid="{00000000-0005-0000-0000-000017940000}"/>
    <cellStyle name="Normal 7 2 76" xfId="37912" xr:uid="{00000000-0005-0000-0000-000018940000}"/>
    <cellStyle name="Normal 7 2 77" xfId="37913" xr:uid="{00000000-0005-0000-0000-000019940000}"/>
    <cellStyle name="Normal 7 2 78" xfId="37914" xr:uid="{00000000-0005-0000-0000-00001A940000}"/>
    <cellStyle name="Normal 7 2 79" xfId="37915" xr:uid="{00000000-0005-0000-0000-00001B940000}"/>
    <cellStyle name="Normal 7 2 8" xfId="37916" xr:uid="{00000000-0005-0000-0000-00001C940000}"/>
    <cellStyle name="Normal 7 2 80" xfId="37917" xr:uid="{00000000-0005-0000-0000-00001D940000}"/>
    <cellStyle name="Normal 7 2 81" xfId="37918" xr:uid="{00000000-0005-0000-0000-00001E940000}"/>
    <cellStyle name="Normal 7 2 9" xfId="37919" xr:uid="{00000000-0005-0000-0000-00001F940000}"/>
    <cellStyle name="Normal 7 2_Enlaces" xfId="37920" xr:uid="{00000000-0005-0000-0000-000020940000}"/>
    <cellStyle name="Normal 7 20" xfId="37921" xr:uid="{00000000-0005-0000-0000-000021940000}"/>
    <cellStyle name="Normal 7 21" xfId="37922" xr:uid="{00000000-0005-0000-0000-000022940000}"/>
    <cellStyle name="Normal 7 22" xfId="37923" xr:uid="{00000000-0005-0000-0000-000023940000}"/>
    <cellStyle name="Normal 7 23" xfId="37924" xr:uid="{00000000-0005-0000-0000-000024940000}"/>
    <cellStyle name="Normal 7 24" xfId="37925" xr:uid="{00000000-0005-0000-0000-000025940000}"/>
    <cellStyle name="Normal 7 25" xfId="37926" xr:uid="{00000000-0005-0000-0000-000026940000}"/>
    <cellStyle name="Normal 7 26" xfId="37927" xr:uid="{00000000-0005-0000-0000-000027940000}"/>
    <cellStyle name="Normal 7 27" xfId="37928" xr:uid="{00000000-0005-0000-0000-000028940000}"/>
    <cellStyle name="Normal 7 28" xfId="37929" xr:uid="{00000000-0005-0000-0000-000029940000}"/>
    <cellStyle name="Normal 7 29" xfId="37930" xr:uid="{00000000-0005-0000-0000-00002A940000}"/>
    <cellStyle name="Normal 7 3" xfId="37931" xr:uid="{00000000-0005-0000-0000-00002B940000}"/>
    <cellStyle name="Normal 7 3 2" xfId="37932" xr:uid="{00000000-0005-0000-0000-00002C940000}"/>
    <cellStyle name="Normal 7 3 3" xfId="37933" xr:uid="{00000000-0005-0000-0000-00002D940000}"/>
    <cellStyle name="Normal 7 3 4" xfId="37934" xr:uid="{00000000-0005-0000-0000-00002E940000}"/>
    <cellStyle name="Normal 7 3 4 2" xfId="37935" xr:uid="{00000000-0005-0000-0000-00002F940000}"/>
    <cellStyle name="Normal 7 3 4 2 2" xfId="37936" xr:uid="{00000000-0005-0000-0000-000030940000}"/>
    <cellStyle name="Normal 7 3 4 3" xfId="37937" xr:uid="{00000000-0005-0000-0000-000031940000}"/>
    <cellStyle name="Normal 7 3 5" xfId="37938" xr:uid="{00000000-0005-0000-0000-000032940000}"/>
    <cellStyle name="Normal 7 3 6" xfId="37939" xr:uid="{00000000-0005-0000-0000-000033940000}"/>
    <cellStyle name="Normal 7 3 7" xfId="37940" xr:uid="{00000000-0005-0000-0000-000034940000}"/>
    <cellStyle name="Normal 7 3 7 2" xfId="37941" xr:uid="{00000000-0005-0000-0000-000035940000}"/>
    <cellStyle name="Normal 7 3_Implem" xfId="37942" xr:uid="{00000000-0005-0000-0000-000036940000}"/>
    <cellStyle name="Normal 7 30" xfId="37943" xr:uid="{00000000-0005-0000-0000-000037940000}"/>
    <cellStyle name="Normal 7 30 2" xfId="37944" xr:uid="{00000000-0005-0000-0000-000038940000}"/>
    <cellStyle name="Normal 7 31" xfId="37945" xr:uid="{00000000-0005-0000-0000-000039940000}"/>
    <cellStyle name="Normal 7 32" xfId="37946" xr:uid="{00000000-0005-0000-0000-00003A940000}"/>
    <cellStyle name="Normal 7 33" xfId="37947" xr:uid="{00000000-0005-0000-0000-00003B940000}"/>
    <cellStyle name="Normal 7 34" xfId="37948" xr:uid="{00000000-0005-0000-0000-00003C940000}"/>
    <cellStyle name="Normal 7 35" xfId="37949" xr:uid="{00000000-0005-0000-0000-00003D940000}"/>
    <cellStyle name="Normal 7 36" xfId="37950" xr:uid="{00000000-0005-0000-0000-00003E940000}"/>
    <cellStyle name="Normal 7 37" xfId="37951" xr:uid="{00000000-0005-0000-0000-00003F940000}"/>
    <cellStyle name="Normal 7 38" xfId="37952" xr:uid="{00000000-0005-0000-0000-000040940000}"/>
    <cellStyle name="Normal 7 39" xfId="37953" xr:uid="{00000000-0005-0000-0000-000041940000}"/>
    <cellStyle name="Normal 7 4" xfId="64" xr:uid="{00000000-0005-0000-0000-000040000000}"/>
    <cellStyle name="Normal 7 4 2" xfId="37954" xr:uid="{00000000-0005-0000-0000-000042940000}"/>
    <cellStyle name="Normal 7 40" xfId="37955" xr:uid="{00000000-0005-0000-0000-000043940000}"/>
    <cellStyle name="Normal 7 41" xfId="37956" xr:uid="{00000000-0005-0000-0000-000044940000}"/>
    <cellStyle name="Normal 7 42" xfId="37957" xr:uid="{00000000-0005-0000-0000-000045940000}"/>
    <cellStyle name="Normal 7 43" xfId="37958" xr:uid="{00000000-0005-0000-0000-000046940000}"/>
    <cellStyle name="Normal 7 44" xfId="37959" xr:uid="{00000000-0005-0000-0000-000047940000}"/>
    <cellStyle name="Normal 7 45" xfId="37960" xr:uid="{00000000-0005-0000-0000-000048940000}"/>
    <cellStyle name="Normal 7 46" xfId="37961" xr:uid="{00000000-0005-0000-0000-000049940000}"/>
    <cellStyle name="Normal 7 5" xfId="37962" xr:uid="{00000000-0005-0000-0000-00004A940000}"/>
    <cellStyle name="Normal 7 6" xfId="37963" xr:uid="{00000000-0005-0000-0000-00004B940000}"/>
    <cellStyle name="Normal 7 7" xfId="37964" xr:uid="{00000000-0005-0000-0000-00004C940000}"/>
    <cellStyle name="Normal 7 8" xfId="37965" xr:uid="{00000000-0005-0000-0000-00004D940000}"/>
    <cellStyle name="Normal 7 9" xfId="37966" xr:uid="{00000000-0005-0000-0000-00004E940000}"/>
    <cellStyle name="Normal 70" xfId="37967" xr:uid="{00000000-0005-0000-0000-00004F940000}"/>
    <cellStyle name="Normal 70 2" xfId="37968" xr:uid="{00000000-0005-0000-0000-000050940000}"/>
    <cellStyle name="Normal 71" xfId="37969" xr:uid="{00000000-0005-0000-0000-000051940000}"/>
    <cellStyle name="Normal 71 2" xfId="37970" xr:uid="{00000000-0005-0000-0000-000052940000}"/>
    <cellStyle name="Normal 72" xfId="37971" xr:uid="{00000000-0005-0000-0000-000053940000}"/>
    <cellStyle name="Normal 72 2" xfId="37972" xr:uid="{00000000-0005-0000-0000-000054940000}"/>
    <cellStyle name="Normal 72 3" xfId="37973" xr:uid="{00000000-0005-0000-0000-000055940000}"/>
    <cellStyle name="Normal 72 4" xfId="39197" xr:uid="{00000000-0005-0000-0000-00001D990000}"/>
    <cellStyle name="Normal 73" xfId="37974" xr:uid="{00000000-0005-0000-0000-000056940000}"/>
    <cellStyle name="Normal 73 2" xfId="37975" xr:uid="{00000000-0005-0000-0000-000057940000}"/>
    <cellStyle name="Normal 74" xfId="37976" xr:uid="{00000000-0005-0000-0000-000058940000}"/>
    <cellStyle name="Normal 74 2" xfId="37977" xr:uid="{00000000-0005-0000-0000-000059940000}"/>
    <cellStyle name="Normal 75" xfId="37978" xr:uid="{00000000-0005-0000-0000-00005A940000}"/>
    <cellStyle name="Normal 75 2" xfId="37979" xr:uid="{00000000-0005-0000-0000-00005B940000}"/>
    <cellStyle name="Normal 75 3" xfId="37980" xr:uid="{00000000-0005-0000-0000-00005C940000}"/>
    <cellStyle name="Normal 75 4" xfId="39198" xr:uid="{00000000-0005-0000-0000-00001E990000}"/>
    <cellStyle name="Normal 76" xfId="37981" xr:uid="{00000000-0005-0000-0000-00005D940000}"/>
    <cellStyle name="Normal 76 2" xfId="37982" xr:uid="{00000000-0005-0000-0000-00005E940000}"/>
    <cellStyle name="Normal 76 3" xfId="37983" xr:uid="{00000000-0005-0000-0000-00005F940000}"/>
    <cellStyle name="Normal 76 4" xfId="39199" xr:uid="{00000000-0005-0000-0000-00001F990000}"/>
    <cellStyle name="Normal 77" xfId="37984" xr:uid="{00000000-0005-0000-0000-000060940000}"/>
    <cellStyle name="Normal 77 2" xfId="37985" xr:uid="{00000000-0005-0000-0000-000061940000}"/>
    <cellStyle name="Normal 77 3" xfId="37986" xr:uid="{00000000-0005-0000-0000-000062940000}"/>
    <cellStyle name="Normal 77 4" xfId="39200" xr:uid="{00000000-0005-0000-0000-000020990000}"/>
    <cellStyle name="Normal 78" xfId="37987" xr:uid="{00000000-0005-0000-0000-000063940000}"/>
    <cellStyle name="Normal 78 2" xfId="37988" xr:uid="{00000000-0005-0000-0000-000064940000}"/>
    <cellStyle name="Normal 79" xfId="37989" xr:uid="{00000000-0005-0000-0000-000065940000}"/>
    <cellStyle name="Normal 79 2" xfId="37990" xr:uid="{00000000-0005-0000-0000-000066940000}"/>
    <cellStyle name="Normal 8" xfId="1" xr:uid="{00000000-0005-0000-0000-000001000000}"/>
    <cellStyle name="Normal 8 2" xfId="65" xr:uid="{00000000-0005-0000-0000-000041000000}"/>
    <cellStyle name="Normal 8 2 2" xfId="37993" xr:uid="{00000000-0005-0000-0000-000069940000}"/>
    <cellStyle name="Normal 8 2 2 2" xfId="37994" xr:uid="{00000000-0005-0000-0000-00006A940000}"/>
    <cellStyle name="Normal 8 2 3" xfId="37995" xr:uid="{00000000-0005-0000-0000-00006B940000}"/>
    <cellStyle name="Normal 8 2 3 2" xfId="37996" xr:uid="{00000000-0005-0000-0000-00006C940000}"/>
    <cellStyle name="Normal 8 2 4" xfId="37992" xr:uid="{00000000-0005-0000-0000-000068940000}"/>
    <cellStyle name="Normal 8 3" xfId="37" xr:uid="{00000000-0005-0000-0000-000025000000}"/>
    <cellStyle name="Normal 8 3 2" xfId="37997" xr:uid="{00000000-0005-0000-0000-00006D940000}"/>
    <cellStyle name="Normal 8 4" xfId="37998" xr:uid="{00000000-0005-0000-0000-00006E940000}"/>
    <cellStyle name="Normal 8 5" xfId="37999" xr:uid="{00000000-0005-0000-0000-00006F940000}"/>
    <cellStyle name="Normal 8 6" xfId="38000" xr:uid="{00000000-0005-0000-0000-000070940000}"/>
    <cellStyle name="Normal 8 7" xfId="38001" xr:uid="{00000000-0005-0000-0000-000071940000}"/>
    <cellStyle name="Normal 8 8" xfId="38002" xr:uid="{00000000-0005-0000-0000-000072940000}"/>
    <cellStyle name="Normal 8 8 2" xfId="38003" xr:uid="{00000000-0005-0000-0000-000073940000}"/>
    <cellStyle name="Normal 8 9" xfId="37991" xr:uid="{00000000-0005-0000-0000-000067940000}"/>
    <cellStyle name="Normal 80" xfId="38004" xr:uid="{00000000-0005-0000-0000-000074940000}"/>
    <cellStyle name="Normal 80 2" xfId="38005" xr:uid="{00000000-0005-0000-0000-000075940000}"/>
    <cellStyle name="Normal 80 3" xfId="38006" xr:uid="{00000000-0005-0000-0000-000076940000}"/>
    <cellStyle name="Normal 80 4" xfId="39201" xr:uid="{00000000-0005-0000-0000-000021990000}"/>
    <cellStyle name="Normal 81" xfId="3" xr:uid="{00000000-0005-0000-0000-000003000000}"/>
    <cellStyle name="Normal 81 2" xfId="38008" xr:uid="{00000000-0005-0000-0000-000078940000}"/>
    <cellStyle name="Normal 81 3" xfId="39202" xr:uid="{00000000-0005-0000-0000-000022990000}"/>
    <cellStyle name="Normal 81 4" xfId="38007" xr:uid="{00000000-0005-0000-0000-000077940000}"/>
    <cellStyle name="Normal 82" xfId="38009" xr:uid="{00000000-0005-0000-0000-000079940000}"/>
    <cellStyle name="Normal 82 2" xfId="38010" xr:uid="{00000000-0005-0000-0000-00007A940000}"/>
    <cellStyle name="Normal 83" xfId="38011" xr:uid="{00000000-0005-0000-0000-00007B940000}"/>
    <cellStyle name="Normal 83 2" xfId="38012" xr:uid="{00000000-0005-0000-0000-00007C940000}"/>
    <cellStyle name="Normal 83 3" xfId="38013" xr:uid="{00000000-0005-0000-0000-00007D940000}"/>
    <cellStyle name="Normal 83 4" xfId="39203" xr:uid="{00000000-0005-0000-0000-000023990000}"/>
    <cellStyle name="Normal 84" xfId="38014" xr:uid="{00000000-0005-0000-0000-00007E940000}"/>
    <cellStyle name="Normal 84 2" xfId="38015" xr:uid="{00000000-0005-0000-0000-00007F940000}"/>
    <cellStyle name="Normal 85" xfId="38016" xr:uid="{00000000-0005-0000-0000-000080940000}"/>
    <cellStyle name="Normal 85 2" xfId="38017" xr:uid="{00000000-0005-0000-0000-000081940000}"/>
    <cellStyle name="Normal 85 3" xfId="38018" xr:uid="{00000000-0005-0000-0000-000082940000}"/>
    <cellStyle name="Normal 86" xfId="38019" xr:uid="{00000000-0005-0000-0000-000083940000}"/>
    <cellStyle name="Normal 86 2" xfId="38020" xr:uid="{00000000-0005-0000-0000-000084940000}"/>
    <cellStyle name="Normal 86 3" xfId="38021" xr:uid="{00000000-0005-0000-0000-000085940000}"/>
    <cellStyle name="Normal 86 4" xfId="39204" xr:uid="{00000000-0005-0000-0000-000024990000}"/>
    <cellStyle name="Normal 87" xfId="38022" xr:uid="{00000000-0005-0000-0000-000086940000}"/>
    <cellStyle name="Normal 87 2" xfId="38023" xr:uid="{00000000-0005-0000-0000-000087940000}"/>
    <cellStyle name="Normal 88" xfId="38024" xr:uid="{00000000-0005-0000-0000-000088940000}"/>
    <cellStyle name="Normal 88 2" xfId="38025" xr:uid="{00000000-0005-0000-0000-000089940000}"/>
    <cellStyle name="Normal 88 3" xfId="38026" xr:uid="{00000000-0005-0000-0000-00008A940000}"/>
    <cellStyle name="Normal 88 4" xfId="39205" xr:uid="{00000000-0005-0000-0000-000025990000}"/>
    <cellStyle name="Normal 89" xfId="38027" xr:uid="{00000000-0005-0000-0000-00008B940000}"/>
    <cellStyle name="Normal 89 2" xfId="38028" xr:uid="{00000000-0005-0000-0000-00008C940000}"/>
    <cellStyle name="Normal 9" xfId="38" xr:uid="{00000000-0005-0000-0000-000026000000}"/>
    <cellStyle name="Normal 9 10" xfId="38030" xr:uid="{00000000-0005-0000-0000-00008E940000}"/>
    <cellStyle name="Normal 9 11" xfId="38031" xr:uid="{00000000-0005-0000-0000-00008F940000}"/>
    <cellStyle name="Normal 9 12" xfId="38032" xr:uid="{00000000-0005-0000-0000-000090940000}"/>
    <cellStyle name="Normal 9 13" xfId="38033" xr:uid="{00000000-0005-0000-0000-000091940000}"/>
    <cellStyle name="Normal 9 14" xfId="38034" xr:uid="{00000000-0005-0000-0000-000092940000}"/>
    <cellStyle name="Normal 9 15" xfId="38035" xr:uid="{00000000-0005-0000-0000-000093940000}"/>
    <cellStyle name="Normal 9 16" xfId="38036" xr:uid="{00000000-0005-0000-0000-000094940000}"/>
    <cellStyle name="Normal 9 17" xfId="38037" xr:uid="{00000000-0005-0000-0000-000095940000}"/>
    <cellStyle name="Normal 9 18" xfId="38038" xr:uid="{00000000-0005-0000-0000-000096940000}"/>
    <cellStyle name="Normal 9 19" xfId="38039" xr:uid="{00000000-0005-0000-0000-000097940000}"/>
    <cellStyle name="Normal 9 2" xfId="66" xr:uid="{00000000-0005-0000-0000-000042000000}"/>
    <cellStyle name="Normal 9 2 10" xfId="38041" xr:uid="{00000000-0005-0000-0000-000099940000}"/>
    <cellStyle name="Normal 9 2 11" xfId="38042" xr:uid="{00000000-0005-0000-0000-00009A940000}"/>
    <cellStyle name="Normal 9 2 12" xfId="38043" xr:uid="{00000000-0005-0000-0000-00009B940000}"/>
    <cellStyle name="Normal 9 2 13" xfId="38044" xr:uid="{00000000-0005-0000-0000-00009C940000}"/>
    <cellStyle name="Normal 9 2 14" xfId="38045" xr:uid="{00000000-0005-0000-0000-00009D940000}"/>
    <cellStyle name="Normal 9 2 15" xfId="38046" xr:uid="{00000000-0005-0000-0000-00009E940000}"/>
    <cellStyle name="Normal 9 2 16" xfId="38047" xr:uid="{00000000-0005-0000-0000-00009F940000}"/>
    <cellStyle name="Normal 9 2 17" xfId="38048" xr:uid="{00000000-0005-0000-0000-0000A0940000}"/>
    <cellStyle name="Normal 9 2 18" xfId="38049" xr:uid="{00000000-0005-0000-0000-0000A1940000}"/>
    <cellStyle name="Normal 9 2 19" xfId="38050" xr:uid="{00000000-0005-0000-0000-0000A2940000}"/>
    <cellStyle name="Normal 9 2 2" xfId="38051" xr:uid="{00000000-0005-0000-0000-0000A3940000}"/>
    <cellStyle name="Normal 9 2 2 2" xfId="38052" xr:uid="{00000000-0005-0000-0000-0000A4940000}"/>
    <cellStyle name="Normal 9 2 2 2 2" xfId="38053" xr:uid="{00000000-0005-0000-0000-0000A5940000}"/>
    <cellStyle name="Normal 9 2 20" xfId="38054" xr:uid="{00000000-0005-0000-0000-0000A6940000}"/>
    <cellStyle name="Normal 9 2 21" xfId="38055" xr:uid="{00000000-0005-0000-0000-0000A7940000}"/>
    <cellStyle name="Normal 9 2 22" xfId="38056" xr:uid="{00000000-0005-0000-0000-0000A8940000}"/>
    <cellStyle name="Normal 9 2 23" xfId="38057" xr:uid="{00000000-0005-0000-0000-0000A9940000}"/>
    <cellStyle name="Normal 9 2 24" xfId="38058" xr:uid="{00000000-0005-0000-0000-0000AA940000}"/>
    <cellStyle name="Normal 9 2 25" xfId="38059" xr:uid="{00000000-0005-0000-0000-0000AB940000}"/>
    <cellStyle name="Normal 9 2 26" xfId="38060" xr:uid="{00000000-0005-0000-0000-0000AC940000}"/>
    <cellStyle name="Normal 9 2 27" xfId="38061" xr:uid="{00000000-0005-0000-0000-0000AD940000}"/>
    <cellStyle name="Normal 9 2 28" xfId="38062" xr:uid="{00000000-0005-0000-0000-0000AE940000}"/>
    <cellStyle name="Normal 9 2 29" xfId="38063" xr:uid="{00000000-0005-0000-0000-0000AF940000}"/>
    <cellStyle name="Normal 9 2 3" xfId="38064" xr:uid="{00000000-0005-0000-0000-0000B0940000}"/>
    <cellStyle name="Normal 9 2 30" xfId="38065" xr:uid="{00000000-0005-0000-0000-0000B1940000}"/>
    <cellStyle name="Normal 9 2 31" xfId="38066" xr:uid="{00000000-0005-0000-0000-0000B2940000}"/>
    <cellStyle name="Normal 9 2 32" xfId="38067" xr:uid="{00000000-0005-0000-0000-0000B3940000}"/>
    <cellStyle name="Normal 9 2 33" xfId="38068" xr:uid="{00000000-0005-0000-0000-0000B4940000}"/>
    <cellStyle name="Normal 9 2 34" xfId="38069" xr:uid="{00000000-0005-0000-0000-0000B5940000}"/>
    <cellStyle name="Normal 9 2 35" xfId="38070" xr:uid="{00000000-0005-0000-0000-0000B6940000}"/>
    <cellStyle name="Normal 9 2 36" xfId="38071" xr:uid="{00000000-0005-0000-0000-0000B7940000}"/>
    <cellStyle name="Normal 9 2 37" xfId="38072" xr:uid="{00000000-0005-0000-0000-0000B8940000}"/>
    <cellStyle name="Normal 9 2 38" xfId="38073" xr:uid="{00000000-0005-0000-0000-0000B9940000}"/>
    <cellStyle name="Normal 9 2 39" xfId="38074" xr:uid="{00000000-0005-0000-0000-0000BA940000}"/>
    <cellStyle name="Normal 9 2 4" xfId="38075" xr:uid="{00000000-0005-0000-0000-0000BB940000}"/>
    <cellStyle name="Normal 9 2 40" xfId="38076" xr:uid="{00000000-0005-0000-0000-0000BC940000}"/>
    <cellStyle name="Normal 9 2 41" xfId="38077" xr:uid="{00000000-0005-0000-0000-0000BD940000}"/>
    <cellStyle name="Normal 9 2 42" xfId="38078" xr:uid="{00000000-0005-0000-0000-0000BE940000}"/>
    <cellStyle name="Normal 9 2 43" xfId="38079" xr:uid="{00000000-0005-0000-0000-0000BF940000}"/>
    <cellStyle name="Normal 9 2 44" xfId="38080" xr:uid="{00000000-0005-0000-0000-0000C0940000}"/>
    <cellStyle name="Normal 9 2 45" xfId="38081" xr:uid="{00000000-0005-0000-0000-0000C1940000}"/>
    <cellStyle name="Normal 9 2 46" xfId="38082" xr:uid="{00000000-0005-0000-0000-0000C2940000}"/>
    <cellStyle name="Normal 9 2 47" xfId="38083" xr:uid="{00000000-0005-0000-0000-0000C3940000}"/>
    <cellStyle name="Normal 9 2 48" xfId="38084" xr:uid="{00000000-0005-0000-0000-0000C4940000}"/>
    <cellStyle name="Normal 9 2 49" xfId="38085" xr:uid="{00000000-0005-0000-0000-0000C5940000}"/>
    <cellStyle name="Normal 9 2 5" xfId="38086" xr:uid="{00000000-0005-0000-0000-0000C6940000}"/>
    <cellStyle name="Normal 9 2 50" xfId="38087" xr:uid="{00000000-0005-0000-0000-0000C7940000}"/>
    <cellStyle name="Normal 9 2 51" xfId="38088" xr:uid="{00000000-0005-0000-0000-0000C8940000}"/>
    <cellStyle name="Normal 9 2 52" xfId="38089" xr:uid="{00000000-0005-0000-0000-0000C9940000}"/>
    <cellStyle name="Normal 9 2 53" xfId="38090" xr:uid="{00000000-0005-0000-0000-0000CA940000}"/>
    <cellStyle name="Normal 9 2 54" xfId="38091" xr:uid="{00000000-0005-0000-0000-0000CB940000}"/>
    <cellStyle name="Normal 9 2 55" xfId="38092" xr:uid="{00000000-0005-0000-0000-0000CC940000}"/>
    <cellStyle name="Normal 9 2 56" xfId="38093" xr:uid="{00000000-0005-0000-0000-0000CD940000}"/>
    <cellStyle name="Normal 9 2 57" xfId="38094" xr:uid="{00000000-0005-0000-0000-0000CE940000}"/>
    <cellStyle name="Normal 9 2 58" xfId="38095" xr:uid="{00000000-0005-0000-0000-0000CF940000}"/>
    <cellStyle name="Normal 9 2 59" xfId="38096" xr:uid="{00000000-0005-0000-0000-0000D0940000}"/>
    <cellStyle name="Normal 9 2 6" xfId="38097" xr:uid="{00000000-0005-0000-0000-0000D1940000}"/>
    <cellStyle name="Normal 9 2 60" xfId="38098" xr:uid="{00000000-0005-0000-0000-0000D2940000}"/>
    <cellStyle name="Normal 9 2 61" xfId="38099" xr:uid="{00000000-0005-0000-0000-0000D3940000}"/>
    <cellStyle name="Normal 9 2 62" xfId="38100" xr:uid="{00000000-0005-0000-0000-0000D4940000}"/>
    <cellStyle name="Normal 9 2 63" xfId="38101" xr:uid="{00000000-0005-0000-0000-0000D5940000}"/>
    <cellStyle name="Normal 9 2 64" xfId="38102" xr:uid="{00000000-0005-0000-0000-0000D6940000}"/>
    <cellStyle name="Normal 9 2 65" xfId="38103" xr:uid="{00000000-0005-0000-0000-0000D7940000}"/>
    <cellStyle name="Normal 9 2 66" xfId="38104" xr:uid="{00000000-0005-0000-0000-0000D8940000}"/>
    <cellStyle name="Normal 9 2 67" xfId="38105" xr:uid="{00000000-0005-0000-0000-0000D9940000}"/>
    <cellStyle name="Normal 9 2 68" xfId="38106" xr:uid="{00000000-0005-0000-0000-0000DA940000}"/>
    <cellStyle name="Normal 9 2 69" xfId="38107" xr:uid="{00000000-0005-0000-0000-0000DB940000}"/>
    <cellStyle name="Normal 9 2 7" xfId="38108" xr:uid="{00000000-0005-0000-0000-0000DC940000}"/>
    <cellStyle name="Normal 9 2 70" xfId="38109" xr:uid="{00000000-0005-0000-0000-0000DD940000}"/>
    <cellStyle name="Normal 9 2 71" xfId="38110" xr:uid="{00000000-0005-0000-0000-0000DE940000}"/>
    <cellStyle name="Normal 9 2 72" xfId="38111" xr:uid="{00000000-0005-0000-0000-0000DF940000}"/>
    <cellStyle name="Normal 9 2 73" xfId="38112" xr:uid="{00000000-0005-0000-0000-0000E0940000}"/>
    <cellStyle name="Normal 9 2 74" xfId="38113" xr:uid="{00000000-0005-0000-0000-0000E1940000}"/>
    <cellStyle name="Normal 9 2 75" xfId="38114" xr:uid="{00000000-0005-0000-0000-0000E2940000}"/>
    <cellStyle name="Normal 9 2 76" xfId="38115" xr:uid="{00000000-0005-0000-0000-0000E3940000}"/>
    <cellStyle name="Normal 9 2 77" xfId="38116" xr:uid="{00000000-0005-0000-0000-0000E4940000}"/>
    <cellStyle name="Normal 9 2 78" xfId="38117" xr:uid="{00000000-0005-0000-0000-0000E5940000}"/>
    <cellStyle name="Normal 9 2 79" xfId="38118" xr:uid="{00000000-0005-0000-0000-0000E6940000}"/>
    <cellStyle name="Normal 9 2 8" xfId="38119" xr:uid="{00000000-0005-0000-0000-0000E7940000}"/>
    <cellStyle name="Normal 9 2 80" xfId="38040" xr:uid="{00000000-0005-0000-0000-000098940000}"/>
    <cellStyle name="Normal 9 2 9" xfId="38120" xr:uid="{00000000-0005-0000-0000-0000E8940000}"/>
    <cellStyle name="Normal 9 2_Enlaces" xfId="38121" xr:uid="{00000000-0005-0000-0000-0000E9940000}"/>
    <cellStyle name="Normal 9 20" xfId="38122" xr:uid="{00000000-0005-0000-0000-0000EA940000}"/>
    <cellStyle name="Normal 9 20 2" xfId="38123" xr:uid="{00000000-0005-0000-0000-0000EB940000}"/>
    <cellStyle name="Normal 9 20 2 2" xfId="38124" xr:uid="{00000000-0005-0000-0000-0000EC940000}"/>
    <cellStyle name="Normal 9 20 2 3" xfId="38125" xr:uid="{00000000-0005-0000-0000-0000ED940000}"/>
    <cellStyle name="Normal 9 20 3" xfId="38126" xr:uid="{00000000-0005-0000-0000-0000EE940000}"/>
    <cellStyle name="Normal 9 20 4" xfId="38127" xr:uid="{00000000-0005-0000-0000-0000EF940000}"/>
    <cellStyle name="Normal 9 21" xfId="38128" xr:uid="{00000000-0005-0000-0000-0000F0940000}"/>
    <cellStyle name="Normal 9 21 2" xfId="38129" xr:uid="{00000000-0005-0000-0000-0000F1940000}"/>
    <cellStyle name="Normal 9 21 2 2" xfId="38130" xr:uid="{00000000-0005-0000-0000-0000F2940000}"/>
    <cellStyle name="Normal 9 21 2 3" xfId="38131" xr:uid="{00000000-0005-0000-0000-0000F3940000}"/>
    <cellStyle name="Normal 9 21 3" xfId="38132" xr:uid="{00000000-0005-0000-0000-0000F4940000}"/>
    <cellStyle name="Normal 9 21 4" xfId="38133" xr:uid="{00000000-0005-0000-0000-0000F5940000}"/>
    <cellStyle name="Normal 9 22" xfId="38134" xr:uid="{00000000-0005-0000-0000-0000F6940000}"/>
    <cellStyle name="Normal 9 22 2" xfId="38135" xr:uid="{00000000-0005-0000-0000-0000F7940000}"/>
    <cellStyle name="Normal 9 22 2 2" xfId="38136" xr:uid="{00000000-0005-0000-0000-0000F8940000}"/>
    <cellStyle name="Normal 9 22 2 3" xfId="38137" xr:uid="{00000000-0005-0000-0000-0000F9940000}"/>
    <cellStyle name="Normal 9 22 3" xfId="38138" xr:uid="{00000000-0005-0000-0000-0000FA940000}"/>
    <cellStyle name="Normal 9 22 4" xfId="38139" xr:uid="{00000000-0005-0000-0000-0000FB940000}"/>
    <cellStyle name="Normal 9 23" xfId="38140" xr:uid="{00000000-0005-0000-0000-0000FC940000}"/>
    <cellStyle name="Normal 9 23 2" xfId="38141" xr:uid="{00000000-0005-0000-0000-0000FD940000}"/>
    <cellStyle name="Normal 9 23 2 2" xfId="38142" xr:uid="{00000000-0005-0000-0000-0000FE940000}"/>
    <cellStyle name="Normal 9 23 2 3" xfId="38143" xr:uid="{00000000-0005-0000-0000-0000FF940000}"/>
    <cellStyle name="Normal 9 23 3" xfId="38144" xr:uid="{00000000-0005-0000-0000-000000950000}"/>
    <cellStyle name="Normal 9 23 4" xfId="38145" xr:uid="{00000000-0005-0000-0000-000001950000}"/>
    <cellStyle name="Normal 9 24" xfId="38146" xr:uid="{00000000-0005-0000-0000-000002950000}"/>
    <cellStyle name="Normal 9 24 2" xfId="38147" xr:uid="{00000000-0005-0000-0000-000003950000}"/>
    <cellStyle name="Normal 9 24 2 2" xfId="38148" xr:uid="{00000000-0005-0000-0000-000004950000}"/>
    <cellStyle name="Normal 9 24 2 3" xfId="38149" xr:uid="{00000000-0005-0000-0000-000005950000}"/>
    <cellStyle name="Normal 9 24 3" xfId="38150" xr:uid="{00000000-0005-0000-0000-000006950000}"/>
    <cellStyle name="Normal 9 24 4" xfId="38151" xr:uid="{00000000-0005-0000-0000-000007950000}"/>
    <cellStyle name="Normal 9 25" xfId="38152" xr:uid="{00000000-0005-0000-0000-000008950000}"/>
    <cellStyle name="Normal 9 25 2" xfId="38153" xr:uid="{00000000-0005-0000-0000-000009950000}"/>
    <cellStyle name="Normal 9 25 2 2" xfId="38154" xr:uid="{00000000-0005-0000-0000-00000A950000}"/>
    <cellStyle name="Normal 9 25 2 3" xfId="38155" xr:uid="{00000000-0005-0000-0000-00000B950000}"/>
    <cellStyle name="Normal 9 25 3" xfId="38156" xr:uid="{00000000-0005-0000-0000-00000C950000}"/>
    <cellStyle name="Normal 9 25 4" xfId="38157" xr:uid="{00000000-0005-0000-0000-00000D950000}"/>
    <cellStyle name="Normal 9 26" xfId="38158" xr:uid="{00000000-0005-0000-0000-00000E950000}"/>
    <cellStyle name="Normal 9 26 2" xfId="38159" xr:uid="{00000000-0005-0000-0000-00000F950000}"/>
    <cellStyle name="Normal 9 26 2 2" xfId="38160" xr:uid="{00000000-0005-0000-0000-000010950000}"/>
    <cellStyle name="Normal 9 26 2 3" xfId="38161" xr:uid="{00000000-0005-0000-0000-000011950000}"/>
    <cellStyle name="Normal 9 26 3" xfId="38162" xr:uid="{00000000-0005-0000-0000-000012950000}"/>
    <cellStyle name="Normal 9 26 4" xfId="38163" xr:uid="{00000000-0005-0000-0000-000013950000}"/>
    <cellStyle name="Normal 9 27" xfId="38164" xr:uid="{00000000-0005-0000-0000-000014950000}"/>
    <cellStyle name="Normal 9 27 2" xfId="38165" xr:uid="{00000000-0005-0000-0000-000015950000}"/>
    <cellStyle name="Normal 9 27 2 2" xfId="38166" xr:uid="{00000000-0005-0000-0000-000016950000}"/>
    <cellStyle name="Normal 9 27 2 3" xfId="38167" xr:uid="{00000000-0005-0000-0000-000017950000}"/>
    <cellStyle name="Normal 9 27 3" xfId="38168" xr:uid="{00000000-0005-0000-0000-000018950000}"/>
    <cellStyle name="Normal 9 27 4" xfId="38169" xr:uid="{00000000-0005-0000-0000-000019950000}"/>
    <cellStyle name="Normal 9 28" xfId="38170" xr:uid="{00000000-0005-0000-0000-00001A950000}"/>
    <cellStyle name="Normal 9 28 2" xfId="38171" xr:uid="{00000000-0005-0000-0000-00001B950000}"/>
    <cellStyle name="Normal 9 28 2 2" xfId="38172" xr:uid="{00000000-0005-0000-0000-00001C950000}"/>
    <cellStyle name="Normal 9 28 2 3" xfId="38173" xr:uid="{00000000-0005-0000-0000-00001D950000}"/>
    <cellStyle name="Normal 9 28 3" xfId="38174" xr:uid="{00000000-0005-0000-0000-00001E950000}"/>
    <cellStyle name="Normal 9 28 4" xfId="38175" xr:uid="{00000000-0005-0000-0000-00001F950000}"/>
    <cellStyle name="Normal 9 29" xfId="38176" xr:uid="{00000000-0005-0000-0000-000020950000}"/>
    <cellStyle name="Normal 9 29 2" xfId="38177" xr:uid="{00000000-0005-0000-0000-000021950000}"/>
    <cellStyle name="Normal 9 29 2 2" xfId="38178" xr:uid="{00000000-0005-0000-0000-000022950000}"/>
    <cellStyle name="Normal 9 29 2 3" xfId="38179" xr:uid="{00000000-0005-0000-0000-000023950000}"/>
    <cellStyle name="Normal 9 29 3" xfId="38180" xr:uid="{00000000-0005-0000-0000-000024950000}"/>
    <cellStyle name="Normal 9 29 4" xfId="38181" xr:uid="{00000000-0005-0000-0000-000025950000}"/>
    <cellStyle name="Normal 9 3" xfId="38182" xr:uid="{00000000-0005-0000-0000-000026950000}"/>
    <cellStyle name="Normal 9 3 2" xfId="38183" xr:uid="{00000000-0005-0000-0000-000027950000}"/>
    <cellStyle name="Normal 9 3 2 2" xfId="38184" xr:uid="{00000000-0005-0000-0000-000028950000}"/>
    <cellStyle name="Normal 9 3 2 2 2" xfId="38185" xr:uid="{00000000-0005-0000-0000-000029950000}"/>
    <cellStyle name="Normal 9 3 2 2 3" xfId="38186" xr:uid="{00000000-0005-0000-0000-00002A950000}"/>
    <cellStyle name="Normal 9 3 2 3" xfId="38187" xr:uid="{00000000-0005-0000-0000-00002B950000}"/>
    <cellStyle name="Normal 9 3 2 4" xfId="38188" xr:uid="{00000000-0005-0000-0000-00002C950000}"/>
    <cellStyle name="Normal 9 3 3" xfId="38189" xr:uid="{00000000-0005-0000-0000-00002D950000}"/>
    <cellStyle name="Normal 9 3 3 2" xfId="38190" xr:uid="{00000000-0005-0000-0000-00002E950000}"/>
    <cellStyle name="Normal 9 3 3 2 2" xfId="38191" xr:uid="{00000000-0005-0000-0000-00002F950000}"/>
    <cellStyle name="Normal 9 3 3 2 3" xfId="38192" xr:uid="{00000000-0005-0000-0000-000030950000}"/>
    <cellStyle name="Normal 9 3 3 3" xfId="38193" xr:uid="{00000000-0005-0000-0000-000031950000}"/>
    <cellStyle name="Normal 9 3 3 4" xfId="38194" xr:uid="{00000000-0005-0000-0000-000032950000}"/>
    <cellStyle name="Normal 9 3 4" xfId="38195" xr:uid="{00000000-0005-0000-0000-000033950000}"/>
    <cellStyle name="Normal 9 3 4 2" xfId="38196" xr:uid="{00000000-0005-0000-0000-000034950000}"/>
    <cellStyle name="Normal 9 3 4 2 2" xfId="38197" xr:uid="{00000000-0005-0000-0000-000035950000}"/>
    <cellStyle name="Normal 9 3 4 2 2 2" xfId="38198" xr:uid="{00000000-0005-0000-0000-000036950000}"/>
    <cellStyle name="Normal 9 3 4 2 2 2 2" xfId="38199" xr:uid="{00000000-0005-0000-0000-000037950000}"/>
    <cellStyle name="Normal 9 3 4 2 2 2 3" xfId="38200" xr:uid="{00000000-0005-0000-0000-000038950000}"/>
    <cellStyle name="Normal 9 3 4 2 2 3" xfId="38201" xr:uid="{00000000-0005-0000-0000-000039950000}"/>
    <cellStyle name="Normal 9 3 4 2 2 4" xfId="38202" xr:uid="{00000000-0005-0000-0000-00003A950000}"/>
    <cellStyle name="Normal 9 3 4 3" xfId="38203" xr:uid="{00000000-0005-0000-0000-00003B950000}"/>
    <cellStyle name="Normal 9 3 4 3 2" xfId="38204" xr:uid="{00000000-0005-0000-0000-00003C950000}"/>
    <cellStyle name="Normal 9 3 4 3 2 2" xfId="38205" xr:uid="{00000000-0005-0000-0000-00003D950000}"/>
    <cellStyle name="Normal 9 3 4 3 2 3" xfId="38206" xr:uid="{00000000-0005-0000-0000-00003E950000}"/>
    <cellStyle name="Normal 9 3 4 3 3" xfId="38207" xr:uid="{00000000-0005-0000-0000-00003F950000}"/>
    <cellStyle name="Normal 9 3 4 3 4" xfId="38208" xr:uid="{00000000-0005-0000-0000-000040950000}"/>
    <cellStyle name="Normal 9 3 4 4" xfId="38209" xr:uid="{00000000-0005-0000-0000-000041950000}"/>
    <cellStyle name="Normal 9 3 4 4 2" xfId="38210" xr:uid="{00000000-0005-0000-0000-000042950000}"/>
    <cellStyle name="Normal 9 3 4 4 3" xfId="38211" xr:uid="{00000000-0005-0000-0000-000043950000}"/>
    <cellStyle name="Normal 9 3 4 5" xfId="38212" xr:uid="{00000000-0005-0000-0000-000044950000}"/>
    <cellStyle name="Normal 9 3 5" xfId="38213" xr:uid="{00000000-0005-0000-0000-000045950000}"/>
    <cellStyle name="Normal 9 3 5 2" xfId="38214" xr:uid="{00000000-0005-0000-0000-000046950000}"/>
    <cellStyle name="Normal 9 3 5 2 2" xfId="38215" xr:uid="{00000000-0005-0000-0000-000047950000}"/>
    <cellStyle name="Normal 9 3 5 2 3" xfId="38216" xr:uid="{00000000-0005-0000-0000-000048950000}"/>
    <cellStyle name="Normal 9 3 5 3" xfId="38217" xr:uid="{00000000-0005-0000-0000-000049950000}"/>
    <cellStyle name="Normal 9 3 5 4" xfId="38218" xr:uid="{00000000-0005-0000-0000-00004A950000}"/>
    <cellStyle name="Normal 9 3 6" xfId="38219" xr:uid="{00000000-0005-0000-0000-00004B950000}"/>
    <cellStyle name="Normal 9 3 6 2" xfId="38220" xr:uid="{00000000-0005-0000-0000-00004C950000}"/>
    <cellStyle name="Normal 9 3 6 2 2" xfId="38221" xr:uid="{00000000-0005-0000-0000-00004D950000}"/>
    <cellStyle name="Normal 9 3 6 2 3" xfId="38222" xr:uid="{00000000-0005-0000-0000-00004E950000}"/>
    <cellStyle name="Normal 9 3 6 3" xfId="38223" xr:uid="{00000000-0005-0000-0000-00004F950000}"/>
    <cellStyle name="Normal 9 3 6 4" xfId="38224" xr:uid="{00000000-0005-0000-0000-000050950000}"/>
    <cellStyle name="Normal 9 3 7" xfId="38225" xr:uid="{00000000-0005-0000-0000-000051950000}"/>
    <cellStyle name="Normal 9 3 7 2" xfId="38226" xr:uid="{00000000-0005-0000-0000-000052950000}"/>
    <cellStyle name="Normal 9 3 7 3" xfId="38227" xr:uid="{00000000-0005-0000-0000-000053950000}"/>
    <cellStyle name="Normal 9 3 7 3 2" xfId="38228" xr:uid="{00000000-0005-0000-0000-000054950000}"/>
    <cellStyle name="Normal 9 3 7 3 3" xfId="38229" xr:uid="{00000000-0005-0000-0000-000055950000}"/>
    <cellStyle name="Normal 9 3 7 4" xfId="38230" xr:uid="{00000000-0005-0000-0000-000056950000}"/>
    <cellStyle name="Normal 9 3 8" xfId="38231" xr:uid="{00000000-0005-0000-0000-000057950000}"/>
    <cellStyle name="Normal 9 3 9" xfId="38232" xr:uid="{00000000-0005-0000-0000-000058950000}"/>
    <cellStyle name="Normal 9 3 9 2" xfId="38233" xr:uid="{00000000-0005-0000-0000-000059950000}"/>
    <cellStyle name="Normal 9 3 9 2 2" xfId="38234" xr:uid="{00000000-0005-0000-0000-00005A950000}"/>
    <cellStyle name="Normal 9 3 9 2 3" xfId="38235" xr:uid="{00000000-0005-0000-0000-00005B950000}"/>
    <cellStyle name="Normal 9 3 9 3" xfId="38236" xr:uid="{00000000-0005-0000-0000-00005C950000}"/>
    <cellStyle name="Normal 9 3 9 4" xfId="38237" xr:uid="{00000000-0005-0000-0000-00005D950000}"/>
    <cellStyle name="Normal 9 3_Implem" xfId="38238" xr:uid="{00000000-0005-0000-0000-00005E950000}"/>
    <cellStyle name="Normal 9 30" xfId="39188" xr:uid="{00000000-0005-0000-0000-000014990000}"/>
    <cellStyle name="Normal 9 31" xfId="38029" xr:uid="{00000000-0005-0000-0000-00008D940000}"/>
    <cellStyle name="Normal 9 4" xfId="38239" xr:uid="{00000000-0005-0000-0000-00005F950000}"/>
    <cellStyle name="Normal 9 4 2" xfId="38240" xr:uid="{00000000-0005-0000-0000-000060950000}"/>
    <cellStyle name="Normal 9 4 2 2" xfId="38241" xr:uid="{00000000-0005-0000-0000-000061950000}"/>
    <cellStyle name="Normal 9 4 2 3" xfId="38242" xr:uid="{00000000-0005-0000-0000-000062950000}"/>
    <cellStyle name="Normal 9 4 3" xfId="38243" xr:uid="{00000000-0005-0000-0000-000063950000}"/>
    <cellStyle name="Normal 9 4 4" xfId="38244" xr:uid="{00000000-0005-0000-0000-000064950000}"/>
    <cellStyle name="Normal 9 5" xfId="38245" xr:uid="{00000000-0005-0000-0000-000065950000}"/>
    <cellStyle name="Normal 9 5 2" xfId="38246" xr:uid="{00000000-0005-0000-0000-000066950000}"/>
    <cellStyle name="Normal 9 5 2 2" xfId="38247" xr:uid="{00000000-0005-0000-0000-000067950000}"/>
    <cellStyle name="Normal 9 5 2 3" xfId="38248" xr:uid="{00000000-0005-0000-0000-000068950000}"/>
    <cellStyle name="Normal 9 5 3" xfId="38249" xr:uid="{00000000-0005-0000-0000-000069950000}"/>
    <cellStyle name="Normal 9 5 4" xfId="38250" xr:uid="{00000000-0005-0000-0000-00006A950000}"/>
    <cellStyle name="Normal 9 6" xfId="38251" xr:uid="{00000000-0005-0000-0000-00006B950000}"/>
    <cellStyle name="Normal 9 6 2" xfId="38252" xr:uid="{00000000-0005-0000-0000-00006C950000}"/>
    <cellStyle name="Normal 9 6 2 2" xfId="38253" xr:uid="{00000000-0005-0000-0000-00006D950000}"/>
    <cellStyle name="Normal 9 6 2 3" xfId="38254" xr:uid="{00000000-0005-0000-0000-00006E950000}"/>
    <cellStyle name="Normal 9 6 3" xfId="38255" xr:uid="{00000000-0005-0000-0000-00006F950000}"/>
    <cellStyle name="Normal 9 6 4" xfId="38256" xr:uid="{00000000-0005-0000-0000-000070950000}"/>
    <cellStyle name="Normal 9 7" xfId="38257" xr:uid="{00000000-0005-0000-0000-000071950000}"/>
    <cellStyle name="Normal 9 7 2" xfId="38258" xr:uid="{00000000-0005-0000-0000-000072950000}"/>
    <cellStyle name="Normal 9 7 2 2" xfId="38259" xr:uid="{00000000-0005-0000-0000-000073950000}"/>
    <cellStyle name="Normal 9 7 2 3" xfId="38260" xr:uid="{00000000-0005-0000-0000-000074950000}"/>
    <cellStyle name="Normal 9 7 3" xfId="38261" xr:uid="{00000000-0005-0000-0000-000075950000}"/>
    <cellStyle name="Normal 9 7 4" xfId="38262" xr:uid="{00000000-0005-0000-0000-000076950000}"/>
    <cellStyle name="Normal 9 8" xfId="38263" xr:uid="{00000000-0005-0000-0000-000077950000}"/>
    <cellStyle name="Normal 9 8 2" xfId="38264" xr:uid="{00000000-0005-0000-0000-000078950000}"/>
    <cellStyle name="Normal 9 8 2 2" xfId="38265" xr:uid="{00000000-0005-0000-0000-000079950000}"/>
    <cellStyle name="Normal 9 8 2 3" xfId="38266" xr:uid="{00000000-0005-0000-0000-00007A950000}"/>
    <cellStyle name="Normal 9 8 3" xfId="38267" xr:uid="{00000000-0005-0000-0000-00007B950000}"/>
    <cellStyle name="Normal 9 8 4" xfId="38268" xr:uid="{00000000-0005-0000-0000-00007C950000}"/>
    <cellStyle name="Normal 9 9" xfId="38269" xr:uid="{00000000-0005-0000-0000-00007D950000}"/>
    <cellStyle name="Normal 9 9 2" xfId="38270" xr:uid="{00000000-0005-0000-0000-00007E950000}"/>
    <cellStyle name="Normal 9 9 2 2" xfId="38271" xr:uid="{00000000-0005-0000-0000-00007F950000}"/>
    <cellStyle name="Normal 9 9 2 3" xfId="38272" xr:uid="{00000000-0005-0000-0000-000080950000}"/>
    <cellStyle name="Normal 9 9 3" xfId="38273" xr:uid="{00000000-0005-0000-0000-000081950000}"/>
    <cellStyle name="Normal 9 9 4" xfId="38274" xr:uid="{00000000-0005-0000-0000-000082950000}"/>
    <cellStyle name="Normal 90" xfId="38275" xr:uid="{00000000-0005-0000-0000-000083950000}"/>
    <cellStyle name="Normal 90 2" xfId="38276" xr:uid="{00000000-0005-0000-0000-000084950000}"/>
    <cellStyle name="Normal 90 2 2" xfId="38277" xr:uid="{00000000-0005-0000-0000-000085950000}"/>
    <cellStyle name="Normal 90 2 2 2" xfId="38278" xr:uid="{00000000-0005-0000-0000-000086950000}"/>
    <cellStyle name="Normal 90 2 2 3" xfId="38279" xr:uid="{00000000-0005-0000-0000-000087950000}"/>
    <cellStyle name="Normal 90 2 3" xfId="38280" xr:uid="{00000000-0005-0000-0000-000088950000}"/>
    <cellStyle name="Normal 90 2 4" xfId="38281" xr:uid="{00000000-0005-0000-0000-000089950000}"/>
    <cellStyle name="Normal 90 3" xfId="38282" xr:uid="{00000000-0005-0000-0000-00008A950000}"/>
    <cellStyle name="Normal 90 3 2" xfId="38283" xr:uid="{00000000-0005-0000-0000-00008B950000}"/>
    <cellStyle name="Normal 90 3 3" xfId="38284" xr:uid="{00000000-0005-0000-0000-00008C950000}"/>
    <cellStyle name="Normal 90 4" xfId="38285" xr:uid="{00000000-0005-0000-0000-00008D950000}"/>
    <cellStyle name="Normal 90 5" xfId="38286" xr:uid="{00000000-0005-0000-0000-00008E950000}"/>
    <cellStyle name="Normal 91" xfId="38287" xr:uid="{00000000-0005-0000-0000-00008F950000}"/>
    <cellStyle name="Normal 91 2" xfId="38288" xr:uid="{00000000-0005-0000-0000-000090950000}"/>
    <cellStyle name="Normal 91 2 2" xfId="38289" xr:uid="{00000000-0005-0000-0000-000091950000}"/>
    <cellStyle name="Normal 91 2 2 2" xfId="38290" xr:uid="{00000000-0005-0000-0000-000092950000}"/>
    <cellStyle name="Normal 91 2 2 3" xfId="38291" xr:uid="{00000000-0005-0000-0000-000093950000}"/>
    <cellStyle name="Normal 91 2 3" xfId="38292" xr:uid="{00000000-0005-0000-0000-000094950000}"/>
    <cellStyle name="Normal 91 2 4" xfId="38293" xr:uid="{00000000-0005-0000-0000-000095950000}"/>
    <cellStyle name="Normal 91 3" xfId="38294" xr:uid="{00000000-0005-0000-0000-000096950000}"/>
    <cellStyle name="Normal 91 3 2" xfId="38295" xr:uid="{00000000-0005-0000-0000-000097950000}"/>
    <cellStyle name="Normal 91 3 3" xfId="38296" xr:uid="{00000000-0005-0000-0000-000098950000}"/>
    <cellStyle name="Normal 91 4" xfId="38297" xr:uid="{00000000-0005-0000-0000-000099950000}"/>
    <cellStyle name="Normal 91 5" xfId="38298" xr:uid="{00000000-0005-0000-0000-00009A950000}"/>
    <cellStyle name="Normal 92" xfId="38299" xr:uid="{00000000-0005-0000-0000-00009B950000}"/>
    <cellStyle name="Normal 92 2" xfId="38300" xr:uid="{00000000-0005-0000-0000-00009C950000}"/>
    <cellStyle name="Normal 92 2 2" xfId="38301" xr:uid="{00000000-0005-0000-0000-00009D950000}"/>
    <cellStyle name="Normal 92 2 2 2" xfId="38302" xr:uid="{00000000-0005-0000-0000-00009E950000}"/>
    <cellStyle name="Normal 92 2 2 3" xfId="38303" xr:uid="{00000000-0005-0000-0000-00009F950000}"/>
    <cellStyle name="Normal 92 2 3" xfId="38304" xr:uid="{00000000-0005-0000-0000-0000A0950000}"/>
    <cellStyle name="Normal 92 2 4" xfId="38305" xr:uid="{00000000-0005-0000-0000-0000A1950000}"/>
    <cellStyle name="Normal 92 3" xfId="38306" xr:uid="{00000000-0005-0000-0000-0000A2950000}"/>
    <cellStyle name="Normal 92 3 2" xfId="38307" xr:uid="{00000000-0005-0000-0000-0000A3950000}"/>
    <cellStyle name="Normal 92 3 3" xfId="38308" xr:uid="{00000000-0005-0000-0000-0000A4950000}"/>
    <cellStyle name="Normal 92 4" xfId="38309" xr:uid="{00000000-0005-0000-0000-0000A5950000}"/>
    <cellStyle name="Normal 92 5" xfId="38310" xr:uid="{00000000-0005-0000-0000-0000A6950000}"/>
    <cellStyle name="Normal 92 6" xfId="38311" xr:uid="{00000000-0005-0000-0000-0000A7950000}"/>
    <cellStyle name="Normal 92 7" xfId="39206" xr:uid="{00000000-0005-0000-0000-000026990000}"/>
    <cellStyle name="Normal 93" xfId="38312" xr:uid="{00000000-0005-0000-0000-0000A8950000}"/>
    <cellStyle name="Normal 93 2" xfId="38313" xr:uid="{00000000-0005-0000-0000-0000A9950000}"/>
    <cellStyle name="Normal 93 2 2" xfId="38314" xr:uid="{00000000-0005-0000-0000-0000AA950000}"/>
    <cellStyle name="Normal 93 2 2 2" xfId="38315" xr:uid="{00000000-0005-0000-0000-0000AB950000}"/>
    <cellStyle name="Normal 93 2 2 3" xfId="38316" xr:uid="{00000000-0005-0000-0000-0000AC950000}"/>
    <cellStyle name="Normal 93 2 3" xfId="38317" xr:uid="{00000000-0005-0000-0000-0000AD950000}"/>
    <cellStyle name="Normal 93 2 4" xfId="38318" xr:uid="{00000000-0005-0000-0000-0000AE950000}"/>
    <cellStyle name="Normal 93 3" xfId="38319" xr:uid="{00000000-0005-0000-0000-0000AF950000}"/>
    <cellStyle name="Normal 93 3 2" xfId="38320" xr:uid="{00000000-0005-0000-0000-0000B0950000}"/>
    <cellStyle name="Normal 93 3 3" xfId="38321" xr:uid="{00000000-0005-0000-0000-0000B1950000}"/>
    <cellStyle name="Normal 93 4" xfId="38322" xr:uid="{00000000-0005-0000-0000-0000B2950000}"/>
    <cellStyle name="Normal 93 5" xfId="38323" xr:uid="{00000000-0005-0000-0000-0000B3950000}"/>
    <cellStyle name="Normal 93 6" xfId="38324" xr:uid="{00000000-0005-0000-0000-0000B4950000}"/>
    <cellStyle name="Normal 93 7" xfId="39207" xr:uid="{00000000-0005-0000-0000-000027990000}"/>
    <cellStyle name="Normal 94" xfId="38325" xr:uid="{00000000-0005-0000-0000-0000B5950000}"/>
    <cellStyle name="Normal 94 2" xfId="38326" xr:uid="{00000000-0005-0000-0000-0000B6950000}"/>
    <cellStyle name="Normal 94 2 2" xfId="38327" xr:uid="{00000000-0005-0000-0000-0000B7950000}"/>
    <cellStyle name="Normal 94 2 2 2" xfId="38328" xr:uid="{00000000-0005-0000-0000-0000B8950000}"/>
    <cellStyle name="Normal 94 2 2 3" xfId="38329" xr:uid="{00000000-0005-0000-0000-0000B9950000}"/>
    <cellStyle name="Normal 94 2 3" xfId="38330" xr:uid="{00000000-0005-0000-0000-0000BA950000}"/>
    <cellStyle name="Normal 94 2 4" xfId="38331" xr:uid="{00000000-0005-0000-0000-0000BB950000}"/>
    <cellStyle name="Normal 94 3" xfId="38332" xr:uid="{00000000-0005-0000-0000-0000BC950000}"/>
    <cellStyle name="Normal 94 3 2" xfId="38333" xr:uid="{00000000-0005-0000-0000-0000BD950000}"/>
    <cellStyle name="Normal 94 3 3" xfId="38334" xr:uid="{00000000-0005-0000-0000-0000BE950000}"/>
    <cellStyle name="Normal 94 4" xfId="38335" xr:uid="{00000000-0005-0000-0000-0000BF950000}"/>
    <cellStyle name="Normal 94 5" xfId="38336" xr:uid="{00000000-0005-0000-0000-0000C0950000}"/>
    <cellStyle name="Normal 94 6" xfId="38337" xr:uid="{00000000-0005-0000-0000-0000C1950000}"/>
    <cellStyle name="Normal 95" xfId="38338" xr:uid="{00000000-0005-0000-0000-0000C2950000}"/>
    <cellStyle name="Normal 95 2" xfId="38339" xr:uid="{00000000-0005-0000-0000-0000C3950000}"/>
    <cellStyle name="Normal 95 2 2" xfId="38340" xr:uid="{00000000-0005-0000-0000-0000C4950000}"/>
    <cellStyle name="Normal 95 2 2 2" xfId="38341" xr:uid="{00000000-0005-0000-0000-0000C5950000}"/>
    <cellStyle name="Normal 95 2 2 3" xfId="38342" xr:uid="{00000000-0005-0000-0000-0000C6950000}"/>
    <cellStyle name="Normal 95 2 3" xfId="38343" xr:uid="{00000000-0005-0000-0000-0000C7950000}"/>
    <cellStyle name="Normal 95 2 4" xfId="38344" xr:uid="{00000000-0005-0000-0000-0000C8950000}"/>
    <cellStyle name="Normal 95 3" xfId="38345" xr:uid="{00000000-0005-0000-0000-0000C9950000}"/>
    <cellStyle name="Normal 95 3 2" xfId="38346" xr:uid="{00000000-0005-0000-0000-0000CA950000}"/>
    <cellStyle name="Normal 95 3 3" xfId="38347" xr:uid="{00000000-0005-0000-0000-0000CB950000}"/>
    <cellStyle name="Normal 95 4" xfId="38348" xr:uid="{00000000-0005-0000-0000-0000CC950000}"/>
    <cellStyle name="Normal 95 5" xfId="38349" xr:uid="{00000000-0005-0000-0000-0000CD950000}"/>
    <cellStyle name="Normal 96" xfId="38350" xr:uid="{00000000-0005-0000-0000-0000CE950000}"/>
    <cellStyle name="Normal 96 2" xfId="38351" xr:uid="{00000000-0005-0000-0000-0000CF950000}"/>
    <cellStyle name="Normal 96 2 2" xfId="38352" xr:uid="{00000000-0005-0000-0000-0000D0950000}"/>
    <cellStyle name="Normal 96 2 2 2" xfId="38353" xr:uid="{00000000-0005-0000-0000-0000D1950000}"/>
    <cellStyle name="Normal 96 2 2 3" xfId="38354" xr:uid="{00000000-0005-0000-0000-0000D2950000}"/>
    <cellStyle name="Normal 96 2 3" xfId="38355" xr:uid="{00000000-0005-0000-0000-0000D3950000}"/>
    <cellStyle name="Normal 96 2 4" xfId="38356" xr:uid="{00000000-0005-0000-0000-0000D4950000}"/>
    <cellStyle name="Normal 96 3" xfId="38357" xr:uid="{00000000-0005-0000-0000-0000D5950000}"/>
    <cellStyle name="Normal 96 3 2" xfId="38358" xr:uid="{00000000-0005-0000-0000-0000D6950000}"/>
    <cellStyle name="Normal 96 3 3" xfId="38359" xr:uid="{00000000-0005-0000-0000-0000D7950000}"/>
    <cellStyle name="Normal 96 4" xfId="38360" xr:uid="{00000000-0005-0000-0000-0000D8950000}"/>
    <cellStyle name="Normal 96 5" xfId="38361" xr:uid="{00000000-0005-0000-0000-0000D9950000}"/>
    <cellStyle name="Normal 96 6" xfId="38362" xr:uid="{00000000-0005-0000-0000-0000DA950000}"/>
    <cellStyle name="Normal 97" xfId="38363" xr:uid="{00000000-0005-0000-0000-0000DB950000}"/>
    <cellStyle name="Normal 97 2" xfId="38364" xr:uid="{00000000-0005-0000-0000-0000DC950000}"/>
    <cellStyle name="Normal 97 2 2" xfId="38365" xr:uid="{00000000-0005-0000-0000-0000DD950000}"/>
    <cellStyle name="Normal 97 2 2 2" xfId="38366" xr:uid="{00000000-0005-0000-0000-0000DE950000}"/>
    <cellStyle name="Normal 97 2 2 3" xfId="38367" xr:uid="{00000000-0005-0000-0000-0000DF950000}"/>
    <cellStyle name="Normal 97 2 3" xfId="38368" xr:uid="{00000000-0005-0000-0000-0000E0950000}"/>
    <cellStyle name="Normal 97 2 4" xfId="38369" xr:uid="{00000000-0005-0000-0000-0000E1950000}"/>
    <cellStyle name="Normal 97 3" xfId="38370" xr:uid="{00000000-0005-0000-0000-0000E2950000}"/>
    <cellStyle name="Normal 97 3 2" xfId="38371" xr:uid="{00000000-0005-0000-0000-0000E3950000}"/>
    <cellStyle name="Normal 97 3 3" xfId="38372" xr:uid="{00000000-0005-0000-0000-0000E4950000}"/>
    <cellStyle name="Normal 97 4" xfId="38373" xr:uid="{00000000-0005-0000-0000-0000E5950000}"/>
    <cellStyle name="Normal 97 5" xfId="38374" xr:uid="{00000000-0005-0000-0000-0000E6950000}"/>
    <cellStyle name="Normal 98" xfId="38375" xr:uid="{00000000-0005-0000-0000-0000E7950000}"/>
    <cellStyle name="Normal 98 2" xfId="38376" xr:uid="{00000000-0005-0000-0000-0000E8950000}"/>
    <cellStyle name="Normal 98 2 2" xfId="38377" xr:uid="{00000000-0005-0000-0000-0000E9950000}"/>
    <cellStyle name="Normal 98 2 2 2" xfId="38378" xr:uid="{00000000-0005-0000-0000-0000EA950000}"/>
    <cellStyle name="Normal 98 2 2 3" xfId="38379" xr:uid="{00000000-0005-0000-0000-0000EB950000}"/>
    <cellStyle name="Normal 98 2 3" xfId="38380" xr:uid="{00000000-0005-0000-0000-0000EC950000}"/>
    <cellStyle name="Normal 98 2 4" xfId="38381" xr:uid="{00000000-0005-0000-0000-0000ED950000}"/>
    <cellStyle name="Normal 98 3" xfId="38382" xr:uid="{00000000-0005-0000-0000-0000EE950000}"/>
    <cellStyle name="Normal 98 3 2" xfId="38383" xr:uid="{00000000-0005-0000-0000-0000EF950000}"/>
    <cellStyle name="Normal 98 3 3" xfId="38384" xr:uid="{00000000-0005-0000-0000-0000F0950000}"/>
    <cellStyle name="Normal 98 4" xfId="38385" xr:uid="{00000000-0005-0000-0000-0000F1950000}"/>
    <cellStyle name="Normal 98 5" xfId="38386" xr:uid="{00000000-0005-0000-0000-0000F2950000}"/>
    <cellStyle name="Normal 99" xfId="38387" xr:uid="{00000000-0005-0000-0000-0000F3950000}"/>
    <cellStyle name="Normal 99 2" xfId="38388" xr:uid="{00000000-0005-0000-0000-0000F4950000}"/>
    <cellStyle name="Normal 99 2 2" xfId="38389" xr:uid="{00000000-0005-0000-0000-0000F5950000}"/>
    <cellStyle name="Normal 99 2 2 2" xfId="38390" xr:uid="{00000000-0005-0000-0000-0000F6950000}"/>
    <cellStyle name="Normal 99 2 2 3" xfId="38391" xr:uid="{00000000-0005-0000-0000-0000F7950000}"/>
    <cellStyle name="Normal 99 2 3" xfId="38392" xr:uid="{00000000-0005-0000-0000-0000F8950000}"/>
    <cellStyle name="Normal 99 2 4" xfId="38393" xr:uid="{00000000-0005-0000-0000-0000F9950000}"/>
    <cellStyle name="Normal 99 3" xfId="38394" xr:uid="{00000000-0005-0000-0000-0000FA950000}"/>
    <cellStyle name="Normal 99 3 2" xfId="38395" xr:uid="{00000000-0005-0000-0000-0000FB950000}"/>
    <cellStyle name="Normal 99 3 3" xfId="38396" xr:uid="{00000000-0005-0000-0000-0000FC950000}"/>
    <cellStyle name="Normal 99 4" xfId="38397" xr:uid="{00000000-0005-0000-0000-0000FD950000}"/>
    <cellStyle name="Normal 99 5" xfId="38398" xr:uid="{00000000-0005-0000-0000-0000FE950000}"/>
    <cellStyle name="Normal 99 6" xfId="38399" xr:uid="{00000000-0005-0000-0000-0000FF950000}"/>
    <cellStyle name="Notas 10" xfId="38400" xr:uid="{00000000-0005-0000-0000-000000960000}"/>
    <cellStyle name="Notas 2" xfId="38401" xr:uid="{00000000-0005-0000-0000-000001960000}"/>
    <cellStyle name="Notas 2 2" xfId="38402" xr:uid="{00000000-0005-0000-0000-000002960000}"/>
    <cellStyle name="Notas 2 2 2" xfId="38403" xr:uid="{00000000-0005-0000-0000-000003960000}"/>
    <cellStyle name="Notas 2 2 2 2" xfId="38404" xr:uid="{00000000-0005-0000-0000-000004960000}"/>
    <cellStyle name="Notas 2 2 2 2 2" xfId="38405" xr:uid="{00000000-0005-0000-0000-000005960000}"/>
    <cellStyle name="Notas 2 2 2 2 2 2" xfId="38406" xr:uid="{00000000-0005-0000-0000-000006960000}"/>
    <cellStyle name="Notas 2 2 2 2 2 2 2" xfId="38407" xr:uid="{00000000-0005-0000-0000-000007960000}"/>
    <cellStyle name="Notas 2 2 2 2 2 2 3" xfId="38408" xr:uid="{00000000-0005-0000-0000-000008960000}"/>
    <cellStyle name="Notas 2 2 2 2 2 3" xfId="38409" xr:uid="{00000000-0005-0000-0000-000009960000}"/>
    <cellStyle name="Notas 2 2 2 2 2 4" xfId="38410" xr:uid="{00000000-0005-0000-0000-00000A960000}"/>
    <cellStyle name="Notas 2 2 2 2 3" xfId="38411" xr:uid="{00000000-0005-0000-0000-00000B960000}"/>
    <cellStyle name="Notas 2 2 2 2 3 2" xfId="38412" xr:uid="{00000000-0005-0000-0000-00000C960000}"/>
    <cellStyle name="Notas 2 2 2 2 3 3" xfId="38413" xr:uid="{00000000-0005-0000-0000-00000D960000}"/>
    <cellStyle name="Notas 2 2 2 2 4" xfId="38414" xr:uid="{00000000-0005-0000-0000-00000E960000}"/>
    <cellStyle name="Notas 2 2 2 2 5" xfId="38415" xr:uid="{00000000-0005-0000-0000-00000F960000}"/>
    <cellStyle name="Notas 2 2 2 3" xfId="38416" xr:uid="{00000000-0005-0000-0000-000010960000}"/>
    <cellStyle name="Notas 2 2 2 3 2" xfId="38417" xr:uid="{00000000-0005-0000-0000-000011960000}"/>
    <cellStyle name="Notas 2 2 2 3 3" xfId="38418" xr:uid="{00000000-0005-0000-0000-000012960000}"/>
    <cellStyle name="Notas 2 2 2 4" xfId="38419" xr:uid="{00000000-0005-0000-0000-000013960000}"/>
    <cellStyle name="Notas 2 2 2 5" xfId="38420" xr:uid="{00000000-0005-0000-0000-000014960000}"/>
    <cellStyle name="Notas 2 2 3" xfId="38421" xr:uid="{00000000-0005-0000-0000-000015960000}"/>
    <cellStyle name="Notas 2 2 3 2" xfId="38422" xr:uid="{00000000-0005-0000-0000-000016960000}"/>
    <cellStyle name="Notas 2 2 3 2 2" xfId="38423" xr:uid="{00000000-0005-0000-0000-000017960000}"/>
    <cellStyle name="Notas 2 2 3 2 3" xfId="38424" xr:uid="{00000000-0005-0000-0000-000018960000}"/>
    <cellStyle name="Notas 2 2 3 3" xfId="38425" xr:uid="{00000000-0005-0000-0000-000019960000}"/>
    <cellStyle name="Notas 2 2 3 4" xfId="38426" xr:uid="{00000000-0005-0000-0000-00001A960000}"/>
    <cellStyle name="Notas 2 2 4" xfId="38427" xr:uid="{00000000-0005-0000-0000-00001B960000}"/>
    <cellStyle name="Notas 2 2 4 2" xfId="38428" xr:uid="{00000000-0005-0000-0000-00001C960000}"/>
    <cellStyle name="Notas 2 2 4 2 2" xfId="38429" xr:uid="{00000000-0005-0000-0000-00001D960000}"/>
    <cellStyle name="Notas 2 2 4 2 3" xfId="38430" xr:uid="{00000000-0005-0000-0000-00001E960000}"/>
    <cellStyle name="Notas 2 2 4 3" xfId="38431" xr:uid="{00000000-0005-0000-0000-00001F960000}"/>
    <cellStyle name="Notas 2 2 4 4" xfId="38432" xr:uid="{00000000-0005-0000-0000-000020960000}"/>
    <cellStyle name="Notas 2 2 5" xfId="38433" xr:uid="{00000000-0005-0000-0000-000021960000}"/>
    <cellStyle name="Notas 2 2 5 2" xfId="38434" xr:uid="{00000000-0005-0000-0000-000022960000}"/>
    <cellStyle name="Notas 2 2 5 3" xfId="38435" xr:uid="{00000000-0005-0000-0000-000023960000}"/>
    <cellStyle name="Notas 2 2 6" xfId="38436" xr:uid="{00000000-0005-0000-0000-000024960000}"/>
    <cellStyle name="Notas 2 2 7" xfId="38437" xr:uid="{00000000-0005-0000-0000-000025960000}"/>
    <cellStyle name="Notas 2 3" xfId="38438" xr:uid="{00000000-0005-0000-0000-000026960000}"/>
    <cellStyle name="Notas 2 3 2" xfId="38439" xr:uid="{00000000-0005-0000-0000-000027960000}"/>
    <cellStyle name="Notas 2 3 2 2" xfId="38440" xr:uid="{00000000-0005-0000-0000-000028960000}"/>
    <cellStyle name="Notas 2 3 2 3" xfId="38441" xr:uid="{00000000-0005-0000-0000-000029960000}"/>
    <cellStyle name="Notas 2 3 3" xfId="38442" xr:uid="{00000000-0005-0000-0000-00002A960000}"/>
    <cellStyle name="Notas 2 3 4" xfId="38443" xr:uid="{00000000-0005-0000-0000-00002B960000}"/>
    <cellStyle name="Notas 2 4" xfId="38444" xr:uid="{00000000-0005-0000-0000-00002C960000}"/>
    <cellStyle name="Notas 2 4 2" xfId="38445" xr:uid="{00000000-0005-0000-0000-00002D960000}"/>
    <cellStyle name="Notas 2 4 2 2" xfId="38446" xr:uid="{00000000-0005-0000-0000-00002E960000}"/>
    <cellStyle name="Notas 2 4 2 3" xfId="38447" xr:uid="{00000000-0005-0000-0000-00002F960000}"/>
    <cellStyle name="Notas 2 4 3" xfId="38448" xr:uid="{00000000-0005-0000-0000-000030960000}"/>
    <cellStyle name="Notas 2 4 4" xfId="38449" xr:uid="{00000000-0005-0000-0000-000031960000}"/>
    <cellStyle name="Notas 2 5" xfId="38450" xr:uid="{00000000-0005-0000-0000-000032960000}"/>
    <cellStyle name="Notas 2 5 2" xfId="38451" xr:uid="{00000000-0005-0000-0000-000033960000}"/>
    <cellStyle name="Notas 2 5 2 2" xfId="38452" xr:uid="{00000000-0005-0000-0000-000034960000}"/>
    <cellStyle name="Notas 2 5 2 3" xfId="38453" xr:uid="{00000000-0005-0000-0000-000035960000}"/>
    <cellStyle name="Notas 2 5 3" xfId="38454" xr:uid="{00000000-0005-0000-0000-000036960000}"/>
    <cellStyle name="Notas 2 5 4" xfId="38455" xr:uid="{00000000-0005-0000-0000-000037960000}"/>
    <cellStyle name="Notas 2 6" xfId="38456" xr:uid="{00000000-0005-0000-0000-000038960000}"/>
    <cellStyle name="Notas 2 6 2" xfId="38457" xr:uid="{00000000-0005-0000-0000-000039960000}"/>
    <cellStyle name="Notas 2 6 3" xfId="38458" xr:uid="{00000000-0005-0000-0000-00003A960000}"/>
    <cellStyle name="Notas 2 7" xfId="38459" xr:uid="{00000000-0005-0000-0000-00003B960000}"/>
    <cellStyle name="Notas 2 8" xfId="38460" xr:uid="{00000000-0005-0000-0000-00003C960000}"/>
    <cellStyle name="Notas 3" xfId="38461" xr:uid="{00000000-0005-0000-0000-00003D960000}"/>
    <cellStyle name="Notas 3 2" xfId="38462" xr:uid="{00000000-0005-0000-0000-00003E960000}"/>
    <cellStyle name="Notas 3 2 2" xfId="38463" xr:uid="{00000000-0005-0000-0000-00003F960000}"/>
    <cellStyle name="Notas 3 2 2 2" xfId="38464" xr:uid="{00000000-0005-0000-0000-000040960000}"/>
    <cellStyle name="Notas 3 2 2 3" xfId="38465" xr:uid="{00000000-0005-0000-0000-000041960000}"/>
    <cellStyle name="Notas 3 2 3" xfId="38466" xr:uid="{00000000-0005-0000-0000-000042960000}"/>
    <cellStyle name="Notas 3 2 4" xfId="38467" xr:uid="{00000000-0005-0000-0000-000043960000}"/>
    <cellStyle name="Notas 3 2 5" xfId="38468" xr:uid="{00000000-0005-0000-0000-000044960000}"/>
    <cellStyle name="Notas 3 3" xfId="38469" xr:uid="{00000000-0005-0000-0000-000045960000}"/>
    <cellStyle name="Notas 3 3 2" xfId="38470" xr:uid="{00000000-0005-0000-0000-000046960000}"/>
    <cellStyle name="Notas 3 3 3" xfId="38471" xr:uid="{00000000-0005-0000-0000-000047960000}"/>
    <cellStyle name="Notas 3 4" xfId="38472" xr:uid="{00000000-0005-0000-0000-000048960000}"/>
    <cellStyle name="Notas 3 5" xfId="38473" xr:uid="{00000000-0005-0000-0000-000049960000}"/>
    <cellStyle name="Notas 4" xfId="38474" xr:uid="{00000000-0005-0000-0000-00004A960000}"/>
    <cellStyle name="Notas 4 2" xfId="38475" xr:uid="{00000000-0005-0000-0000-00004B960000}"/>
    <cellStyle name="Notas 4 2 2" xfId="38476" xr:uid="{00000000-0005-0000-0000-00004C960000}"/>
    <cellStyle name="Notas 4 2 3" xfId="38477" xr:uid="{00000000-0005-0000-0000-00004D960000}"/>
    <cellStyle name="Notas 4 3" xfId="38478" xr:uid="{00000000-0005-0000-0000-00004E960000}"/>
    <cellStyle name="Notas 4 4" xfId="38479" xr:uid="{00000000-0005-0000-0000-00004F960000}"/>
    <cellStyle name="Notas 5" xfId="38480" xr:uid="{00000000-0005-0000-0000-000050960000}"/>
    <cellStyle name="Notas 5 2" xfId="38481" xr:uid="{00000000-0005-0000-0000-000051960000}"/>
    <cellStyle name="Notas 5 2 2" xfId="38482" xr:uid="{00000000-0005-0000-0000-000052960000}"/>
    <cellStyle name="Notas 5 2 3" xfId="38483" xr:uid="{00000000-0005-0000-0000-000053960000}"/>
    <cellStyle name="Notas 5 3" xfId="38484" xr:uid="{00000000-0005-0000-0000-000054960000}"/>
    <cellStyle name="Notas 5 4" xfId="38485" xr:uid="{00000000-0005-0000-0000-000055960000}"/>
    <cellStyle name="Notas 6" xfId="38486" xr:uid="{00000000-0005-0000-0000-000056960000}"/>
    <cellStyle name="Notas 6 2" xfId="38487" xr:uid="{00000000-0005-0000-0000-000057960000}"/>
    <cellStyle name="Notas 6 2 2" xfId="38488" xr:uid="{00000000-0005-0000-0000-000058960000}"/>
    <cellStyle name="Notas 6 2 3" xfId="38489" xr:uid="{00000000-0005-0000-0000-000059960000}"/>
    <cellStyle name="Notas 6 3" xfId="38490" xr:uid="{00000000-0005-0000-0000-00005A960000}"/>
    <cellStyle name="Notas 6 4" xfId="38491" xr:uid="{00000000-0005-0000-0000-00005B960000}"/>
    <cellStyle name="Notas 7" xfId="38492" xr:uid="{00000000-0005-0000-0000-00005C960000}"/>
    <cellStyle name="Notas 7 2" xfId="38493" xr:uid="{00000000-0005-0000-0000-00005D960000}"/>
    <cellStyle name="Notas 7 2 2" xfId="38494" xr:uid="{00000000-0005-0000-0000-00005E960000}"/>
    <cellStyle name="Notas 7 2 3" xfId="38495" xr:uid="{00000000-0005-0000-0000-00005F960000}"/>
    <cellStyle name="Notas 7 3" xfId="38496" xr:uid="{00000000-0005-0000-0000-000060960000}"/>
    <cellStyle name="Notas 7 4" xfId="38497" xr:uid="{00000000-0005-0000-0000-000061960000}"/>
    <cellStyle name="Notas 8" xfId="38498" xr:uid="{00000000-0005-0000-0000-000062960000}"/>
    <cellStyle name="Notas 8 2" xfId="38499" xr:uid="{00000000-0005-0000-0000-000063960000}"/>
    <cellStyle name="Notas 8 2 2" xfId="38500" xr:uid="{00000000-0005-0000-0000-000064960000}"/>
    <cellStyle name="Notas 8 2 3" xfId="38501" xr:uid="{00000000-0005-0000-0000-000065960000}"/>
    <cellStyle name="Notas 8 3" xfId="38502" xr:uid="{00000000-0005-0000-0000-000066960000}"/>
    <cellStyle name="Notas 8 4" xfId="38503" xr:uid="{00000000-0005-0000-0000-000067960000}"/>
    <cellStyle name="Notas 9" xfId="38504" xr:uid="{00000000-0005-0000-0000-000068960000}"/>
    <cellStyle name="Notas 9 2" xfId="38505" xr:uid="{00000000-0005-0000-0000-000069960000}"/>
    <cellStyle name="Notas 9 2 2" xfId="38506" xr:uid="{00000000-0005-0000-0000-00006A960000}"/>
    <cellStyle name="Notas 9 2 3" xfId="38507" xr:uid="{00000000-0005-0000-0000-00006B960000}"/>
    <cellStyle name="Notas 9 3" xfId="38508" xr:uid="{00000000-0005-0000-0000-00006C960000}"/>
    <cellStyle name="Notas 9 4" xfId="38509" xr:uid="{00000000-0005-0000-0000-00006D960000}"/>
    <cellStyle name="Note" xfId="38510" xr:uid="{00000000-0005-0000-0000-00006E960000}"/>
    <cellStyle name="Note 10" xfId="38511" xr:uid="{00000000-0005-0000-0000-00006F960000}"/>
    <cellStyle name="Note 11" xfId="38512" xr:uid="{00000000-0005-0000-0000-000070960000}"/>
    <cellStyle name="Note 2" xfId="38513" xr:uid="{00000000-0005-0000-0000-000071960000}"/>
    <cellStyle name="Note 2 2" xfId="38514" xr:uid="{00000000-0005-0000-0000-000072960000}"/>
    <cellStyle name="Note 2 2 2" xfId="38515" xr:uid="{00000000-0005-0000-0000-000073960000}"/>
    <cellStyle name="Note 2 2 2 2" xfId="38516" xr:uid="{00000000-0005-0000-0000-000074960000}"/>
    <cellStyle name="Note 2 2 2 3" xfId="38517" xr:uid="{00000000-0005-0000-0000-000075960000}"/>
    <cellStyle name="Note 2 2 3" xfId="38518" xr:uid="{00000000-0005-0000-0000-000076960000}"/>
    <cellStyle name="Note 2 2 4" xfId="38519" xr:uid="{00000000-0005-0000-0000-000077960000}"/>
    <cellStyle name="Note 2 3" xfId="38520" xr:uid="{00000000-0005-0000-0000-000078960000}"/>
    <cellStyle name="Note 2 3 2" xfId="38521" xr:uid="{00000000-0005-0000-0000-000079960000}"/>
    <cellStyle name="Note 2 3 2 2" xfId="38522" xr:uid="{00000000-0005-0000-0000-00007A960000}"/>
    <cellStyle name="Note 2 3 2 3" xfId="38523" xr:uid="{00000000-0005-0000-0000-00007B960000}"/>
    <cellStyle name="Note 2 3 3" xfId="38524" xr:uid="{00000000-0005-0000-0000-00007C960000}"/>
    <cellStyle name="Note 2 3 4" xfId="38525" xr:uid="{00000000-0005-0000-0000-00007D960000}"/>
    <cellStyle name="Note 2 4" xfId="38526" xr:uid="{00000000-0005-0000-0000-00007E960000}"/>
    <cellStyle name="Note 2 4 2" xfId="38527" xr:uid="{00000000-0005-0000-0000-00007F960000}"/>
    <cellStyle name="Note 2 4 2 2" xfId="38528" xr:uid="{00000000-0005-0000-0000-000080960000}"/>
    <cellStyle name="Note 2 4 2 3" xfId="38529" xr:uid="{00000000-0005-0000-0000-000081960000}"/>
    <cellStyle name="Note 2 4 3" xfId="38530" xr:uid="{00000000-0005-0000-0000-000082960000}"/>
    <cellStyle name="Note 2 4 4" xfId="38531" xr:uid="{00000000-0005-0000-0000-000083960000}"/>
    <cellStyle name="Note 2 5" xfId="38532" xr:uid="{00000000-0005-0000-0000-000084960000}"/>
    <cellStyle name="Note 2 5 2" xfId="38533" xr:uid="{00000000-0005-0000-0000-000085960000}"/>
    <cellStyle name="Note 2 5 3" xfId="38534" xr:uid="{00000000-0005-0000-0000-000086960000}"/>
    <cellStyle name="Note 2 6" xfId="38535" xr:uid="{00000000-0005-0000-0000-000087960000}"/>
    <cellStyle name="Note 2 7" xfId="38536" xr:uid="{00000000-0005-0000-0000-000088960000}"/>
    <cellStyle name="Note 3" xfId="38537" xr:uid="{00000000-0005-0000-0000-000089960000}"/>
    <cellStyle name="Note 3 2" xfId="38538" xr:uid="{00000000-0005-0000-0000-00008A960000}"/>
    <cellStyle name="Note 3 2 2" xfId="38539" xr:uid="{00000000-0005-0000-0000-00008B960000}"/>
    <cellStyle name="Note 3 2 2 2" xfId="38540" xr:uid="{00000000-0005-0000-0000-00008C960000}"/>
    <cellStyle name="Note 3 2 2 3" xfId="38541" xr:uid="{00000000-0005-0000-0000-00008D960000}"/>
    <cellStyle name="Note 3 2 3" xfId="38542" xr:uid="{00000000-0005-0000-0000-00008E960000}"/>
    <cellStyle name="Note 3 2 4" xfId="38543" xr:uid="{00000000-0005-0000-0000-00008F960000}"/>
    <cellStyle name="Note 3 3" xfId="38544" xr:uid="{00000000-0005-0000-0000-000090960000}"/>
    <cellStyle name="Note 3 3 2" xfId="38545" xr:uid="{00000000-0005-0000-0000-000091960000}"/>
    <cellStyle name="Note 3 3 2 2" xfId="38546" xr:uid="{00000000-0005-0000-0000-000092960000}"/>
    <cellStyle name="Note 3 3 2 3" xfId="38547" xr:uid="{00000000-0005-0000-0000-000093960000}"/>
    <cellStyle name="Note 3 3 3" xfId="38548" xr:uid="{00000000-0005-0000-0000-000094960000}"/>
    <cellStyle name="Note 3 3 4" xfId="38549" xr:uid="{00000000-0005-0000-0000-000095960000}"/>
    <cellStyle name="Note 3 4" xfId="38550" xr:uid="{00000000-0005-0000-0000-000096960000}"/>
    <cellStyle name="Note 3 4 2" xfId="38551" xr:uid="{00000000-0005-0000-0000-000097960000}"/>
    <cellStyle name="Note 3 4 2 2" xfId="38552" xr:uid="{00000000-0005-0000-0000-000098960000}"/>
    <cellStyle name="Note 3 4 2 3" xfId="38553" xr:uid="{00000000-0005-0000-0000-000099960000}"/>
    <cellStyle name="Note 3 4 3" xfId="38554" xr:uid="{00000000-0005-0000-0000-00009A960000}"/>
    <cellStyle name="Note 3 4 4" xfId="38555" xr:uid="{00000000-0005-0000-0000-00009B960000}"/>
    <cellStyle name="Note 3 5" xfId="38556" xr:uid="{00000000-0005-0000-0000-00009C960000}"/>
    <cellStyle name="Note 3 5 2" xfId="38557" xr:uid="{00000000-0005-0000-0000-00009D960000}"/>
    <cellStyle name="Note 3 5 3" xfId="38558" xr:uid="{00000000-0005-0000-0000-00009E960000}"/>
    <cellStyle name="Note 3 6" xfId="38559" xr:uid="{00000000-0005-0000-0000-00009F960000}"/>
    <cellStyle name="Note 3 7" xfId="38560" xr:uid="{00000000-0005-0000-0000-0000A0960000}"/>
    <cellStyle name="Note 4" xfId="38561" xr:uid="{00000000-0005-0000-0000-0000A1960000}"/>
    <cellStyle name="Note 4 2" xfId="38562" xr:uid="{00000000-0005-0000-0000-0000A2960000}"/>
    <cellStyle name="Note 4 2 2" xfId="38563" xr:uid="{00000000-0005-0000-0000-0000A3960000}"/>
    <cellStyle name="Note 4 2 2 2" xfId="38564" xr:uid="{00000000-0005-0000-0000-0000A4960000}"/>
    <cellStyle name="Note 4 2 2 3" xfId="38565" xr:uid="{00000000-0005-0000-0000-0000A5960000}"/>
    <cellStyle name="Note 4 2 3" xfId="38566" xr:uid="{00000000-0005-0000-0000-0000A6960000}"/>
    <cellStyle name="Note 4 2 4" xfId="38567" xr:uid="{00000000-0005-0000-0000-0000A7960000}"/>
    <cellStyle name="Note 4 3" xfId="38568" xr:uid="{00000000-0005-0000-0000-0000A8960000}"/>
    <cellStyle name="Note 4 3 2" xfId="38569" xr:uid="{00000000-0005-0000-0000-0000A9960000}"/>
    <cellStyle name="Note 4 3 2 2" xfId="38570" xr:uid="{00000000-0005-0000-0000-0000AA960000}"/>
    <cellStyle name="Note 4 3 2 3" xfId="38571" xr:uid="{00000000-0005-0000-0000-0000AB960000}"/>
    <cellStyle name="Note 4 3 3" xfId="38572" xr:uid="{00000000-0005-0000-0000-0000AC960000}"/>
    <cellStyle name="Note 4 3 4" xfId="38573" xr:uid="{00000000-0005-0000-0000-0000AD960000}"/>
    <cellStyle name="Note 4 4" xfId="38574" xr:uid="{00000000-0005-0000-0000-0000AE960000}"/>
    <cellStyle name="Note 4 4 2" xfId="38575" xr:uid="{00000000-0005-0000-0000-0000AF960000}"/>
    <cellStyle name="Note 4 4 2 2" xfId="38576" xr:uid="{00000000-0005-0000-0000-0000B0960000}"/>
    <cellStyle name="Note 4 4 2 3" xfId="38577" xr:uid="{00000000-0005-0000-0000-0000B1960000}"/>
    <cellStyle name="Note 4 4 3" xfId="38578" xr:uid="{00000000-0005-0000-0000-0000B2960000}"/>
    <cellStyle name="Note 4 4 4" xfId="38579" xr:uid="{00000000-0005-0000-0000-0000B3960000}"/>
    <cellStyle name="Note 4 5" xfId="38580" xr:uid="{00000000-0005-0000-0000-0000B4960000}"/>
    <cellStyle name="Note 4 5 2" xfId="38581" xr:uid="{00000000-0005-0000-0000-0000B5960000}"/>
    <cellStyle name="Note 4 5 3" xfId="38582" xr:uid="{00000000-0005-0000-0000-0000B6960000}"/>
    <cellStyle name="Note 4 6" xfId="38583" xr:uid="{00000000-0005-0000-0000-0000B7960000}"/>
    <cellStyle name="Note 4 7" xfId="38584" xr:uid="{00000000-0005-0000-0000-0000B8960000}"/>
    <cellStyle name="Note 5" xfId="38585" xr:uid="{00000000-0005-0000-0000-0000B9960000}"/>
    <cellStyle name="Note 5 2" xfId="38586" xr:uid="{00000000-0005-0000-0000-0000BA960000}"/>
    <cellStyle name="Note 5 2 2" xfId="38587" xr:uid="{00000000-0005-0000-0000-0000BB960000}"/>
    <cellStyle name="Note 5 2 2 2" xfId="38588" xr:uid="{00000000-0005-0000-0000-0000BC960000}"/>
    <cellStyle name="Note 5 2 2 3" xfId="38589" xr:uid="{00000000-0005-0000-0000-0000BD960000}"/>
    <cellStyle name="Note 5 2 3" xfId="38590" xr:uid="{00000000-0005-0000-0000-0000BE960000}"/>
    <cellStyle name="Note 5 2 4" xfId="38591" xr:uid="{00000000-0005-0000-0000-0000BF960000}"/>
    <cellStyle name="Note 5 3" xfId="38592" xr:uid="{00000000-0005-0000-0000-0000C0960000}"/>
    <cellStyle name="Note 5 3 2" xfId="38593" xr:uid="{00000000-0005-0000-0000-0000C1960000}"/>
    <cellStyle name="Note 5 3 2 2" xfId="38594" xr:uid="{00000000-0005-0000-0000-0000C2960000}"/>
    <cellStyle name="Note 5 3 2 3" xfId="38595" xr:uid="{00000000-0005-0000-0000-0000C3960000}"/>
    <cellStyle name="Note 5 3 3" xfId="38596" xr:uid="{00000000-0005-0000-0000-0000C4960000}"/>
    <cellStyle name="Note 5 3 4" xfId="38597" xr:uid="{00000000-0005-0000-0000-0000C5960000}"/>
    <cellStyle name="Note 5 4" xfId="38598" xr:uid="{00000000-0005-0000-0000-0000C6960000}"/>
    <cellStyle name="Note 5 4 2" xfId="38599" xr:uid="{00000000-0005-0000-0000-0000C7960000}"/>
    <cellStyle name="Note 5 4 2 2" xfId="38600" xr:uid="{00000000-0005-0000-0000-0000C8960000}"/>
    <cellStyle name="Note 5 4 2 3" xfId="38601" xr:uid="{00000000-0005-0000-0000-0000C9960000}"/>
    <cellStyle name="Note 5 4 3" xfId="38602" xr:uid="{00000000-0005-0000-0000-0000CA960000}"/>
    <cellStyle name="Note 5 4 4" xfId="38603" xr:uid="{00000000-0005-0000-0000-0000CB960000}"/>
    <cellStyle name="Note 5 5" xfId="38604" xr:uid="{00000000-0005-0000-0000-0000CC960000}"/>
    <cellStyle name="Note 5 5 2" xfId="38605" xr:uid="{00000000-0005-0000-0000-0000CD960000}"/>
    <cellStyle name="Note 5 5 3" xfId="38606" xr:uid="{00000000-0005-0000-0000-0000CE960000}"/>
    <cellStyle name="Note 5 6" xfId="38607" xr:uid="{00000000-0005-0000-0000-0000CF960000}"/>
    <cellStyle name="Note 5 7" xfId="38608" xr:uid="{00000000-0005-0000-0000-0000D0960000}"/>
    <cellStyle name="Note 6" xfId="38609" xr:uid="{00000000-0005-0000-0000-0000D1960000}"/>
    <cellStyle name="Note 6 2" xfId="38610" xr:uid="{00000000-0005-0000-0000-0000D2960000}"/>
    <cellStyle name="Note 6 2 2" xfId="38611" xr:uid="{00000000-0005-0000-0000-0000D3960000}"/>
    <cellStyle name="Note 6 2 3" xfId="38612" xr:uid="{00000000-0005-0000-0000-0000D4960000}"/>
    <cellStyle name="Note 6 3" xfId="38613" xr:uid="{00000000-0005-0000-0000-0000D5960000}"/>
    <cellStyle name="Note 6 4" xfId="38614" xr:uid="{00000000-0005-0000-0000-0000D6960000}"/>
    <cellStyle name="Note 7" xfId="38615" xr:uid="{00000000-0005-0000-0000-0000D7960000}"/>
    <cellStyle name="Note 7 2" xfId="38616" xr:uid="{00000000-0005-0000-0000-0000D8960000}"/>
    <cellStyle name="Note 7 2 2" xfId="38617" xr:uid="{00000000-0005-0000-0000-0000D9960000}"/>
    <cellStyle name="Note 7 2 3" xfId="38618" xr:uid="{00000000-0005-0000-0000-0000DA960000}"/>
    <cellStyle name="Note 7 3" xfId="38619" xr:uid="{00000000-0005-0000-0000-0000DB960000}"/>
    <cellStyle name="Note 7 4" xfId="38620" xr:uid="{00000000-0005-0000-0000-0000DC960000}"/>
    <cellStyle name="Note 8" xfId="38621" xr:uid="{00000000-0005-0000-0000-0000DD960000}"/>
    <cellStyle name="Note 8 2" xfId="38622" xr:uid="{00000000-0005-0000-0000-0000DE960000}"/>
    <cellStyle name="Note 8 2 2" xfId="38623" xr:uid="{00000000-0005-0000-0000-0000DF960000}"/>
    <cellStyle name="Note 8 2 3" xfId="38624" xr:uid="{00000000-0005-0000-0000-0000E0960000}"/>
    <cellStyle name="Note 8 3" xfId="38625" xr:uid="{00000000-0005-0000-0000-0000E1960000}"/>
    <cellStyle name="Note 8 4" xfId="38626" xr:uid="{00000000-0005-0000-0000-0000E2960000}"/>
    <cellStyle name="Note 9" xfId="38627" xr:uid="{00000000-0005-0000-0000-0000E3960000}"/>
    <cellStyle name="Note 9 2" xfId="38628" xr:uid="{00000000-0005-0000-0000-0000E4960000}"/>
    <cellStyle name="Note 9 3" xfId="38629" xr:uid="{00000000-0005-0000-0000-0000E5960000}"/>
    <cellStyle name="Output" xfId="38630" xr:uid="{00000000-0005-0000-0000-0000E6960000}"/>
    <cellStyle name="Output 2" xfId="38631" xr:uid="{00000000-0005-0000-0000-0000E7960000}"/>
    <cellStyle name="Output 2 2" xfId="38632" xr:uid="{00000000-0005-0000-0000-0000E8960000}"/>
    <cellStyle name="Output 2 2 2" xfId="38633" xr:uid="{00000000-0005-0000-0000-0000E9960000}"/>
    <cellStyle name="Output 2 2 3" xfId="38634" xr:uid="{00000000-0005-0000-0000-0000EA960000}"/>
    <cellStyle name="Output 2 3" xfId="38635" xr:uid="{00000000-0005-0000-0000-0000EB960000}"/>
    <cellStyle name="Output 2 4" xfId="38636" xr:uid="{00000000-0005-0000-0000-0000EC960000}"/>
    <cellStyle name="Output 3" xfId="38637" xr:uid="{00000000-0005-0000-0000-0000ED960000}"/>
    <cellStyle name="Output 3 2" xfId="38638" xr:uid="{00000000-0005-0000-0000-0000EE960000}"/>
    <cellStyle name="Output 3 2 2" xfId="38639" xr:uid="{00000000-0005-0000-0000-0000EF960000}"/>
    <cellStyle name="Output 3 2 3" xfId="38640" xr:uid="{00000000-0005-0000-0000-0000F0960000}"/>
    <cellStyle name="Output 3 3" xfId="38641" xr:uid="{00000000-0005-0000-0000-0000F1960000}"/>
    <cellStyle name="Output 3 4" xfId="38642" xr:uid="{00000000-0005-0000-0000-0000F2960000}"/>
    <cellStyle name="Output 4" xfId="38643" xr:uid="{00000000-0005-0000-0000-0000F3960000}"/>
    <cellStyle name="Output 4 2" xfId="38644" xr:uid="{00000000-0005-0000-0000-0000F4960000}"/>
    <cellStyle name="Output 4 2 2" xfId="38645" xr:uid="{00000000-0005-0000-0000-0000F5960000}"/>
    <cellStyle name="Output 4 2 3" xfId="38646" xr:uid="{00000000-0005-0000-0000-0000F6960000}"/>
    <cellStyle name="Output 4 3" xfId="38647" xr:uid="{00000000-0005-0000-0000-0000F7960000}"/>
    <cellStyle name="Output 4 4" xfId="38648" xr:uid="{00000000-0005-0000-0000-0000F8960000}"/>
    <cellStyle name="Output 5" xfId="38649" xr:uid="{00000000-0005-0000-0000-0000F9960000}"/>
    <cellStyle name="Output 5 2" xfId="38650" xr:uid="{00000000-0005-0000-0000-0000FA960000}"/>
    <cellStyle name="Output 5 2 2" xfId="38651" xr:uid="{00000000-0005-0000-0000-0000FB960000}"/>
    <cellStyle name="Output 5 2 3" xfId="38652" xr:uid="{00000000-0005-0000-0000-0000FC960000}"/>
    <cellStyle name="Output 5 3" xfId="38653" xr:uid="{00000000-0005-0000-0000-0000FD960000}"/>
    <cellStyle name="Output 5 4" xfId="38654" xr:uid="{00000000-0005-0000-0000-0000FE960000}"/>
    <cellStyle name="Output 6" xfId="38655" xr:uid="{00000000-0005-0000-0000-0000FF960000}"/>
    <cellStyle name="Output 6 2" xfId="38656" xr:uid="{00000000-0005-0000-0000-000000970000}"/>
    <cellStyle name="Output 6 3" xfId="38657" xr:uid="{00000000-0005-0000-0000-000001970000}"/>
    <cellStyle name="Output 7" xfId="38658" xr:uid="{00000000-0005-0000-0000-000002970000}"/>
    <cellStyle name="Output 8" xfId="38659" xr:uid="{00000000-0005-0000-0000-000003970000}"/>
    <cellStyle name="Porcentaje 2" xfId="38660" xr:uid="{00000000-0005-0000-0000-000004970000}"/>
    <cellStyle name="Porcentual 2" xfId="38661" xr:uid="{00000000-0005-0000-0000-000005970000}"/>
    <cellStyle name="Porcentual 2 2" xfId="38662" xr:uid="{00000000-0005-0000-0000-000006970000}"/>
    <cellStyle name="Porcentual 2 2 2" xfId="38663" xr:uid="{00000000-0005-0000-0000-000007970000}"/>
    <cellStyle name="Porcentual 2 2 2 2" xfId="38664" xr:uid="{00000000-0005-0000-0000-000008970000}"/>
    <cellStyle name="Porcentual 2 2 2 3" xfId="38665" xr:uid="{00000000-0005-0000-0000-000009970000}"/>
    <cellStyle name="Porcentual 2 2 3" xfId="38666" xr:uid="{00000000-0005-0000-0000-00000A970000}"/>
    <cellStyle name="Porcentual 2 2 4" xfId="38667" xr:uid="{00000000-0005-0000-0000-00000B970000}"/>
    <cellStyle name="Porcentual 2 3" xfId="38668" xr:uid="{00000000-0005-0000-0000-00000C970000}"/>
    <cellStyle name="Porcentual 2 3 2" xfId="38669" xr:uid="{00000000-0005-0000-0000-00000D970000}"/>
    <cellStyle name="Porcentual 2 3 2 2" xfId="38670" xr:uid="{00000000-0005-0000-0000-00000E970000}"/>
    <cellStyle name="Porcentual 2 3 2 3" xfId="38671" xr:uid="{00000000-0005-0000-0000-00000F970000}"/>
    <cellStyle name="Porcentual 2 3 3" xfId="38672" xr:uid="{00000000-0005-0000-0000-000010970000}"/>
    <cellStyle name="Porcentual 2 3 4" xfId="38673" xr:uid="{00000000-0005-0000-0000-000011970000}"/>
    <cellStyle name="Porcentual 2 4" xfId="38674" xr:uid="{00000000-0005-0000-0000-000012970000}"/>
    <cellStyle name="Porcentual 2 4 2" xfId="38675" xr:uid="{00000000-0005-0000-0000-000013970000}"/>
    <cellStyle name="Porcentual 2 4 2 2" xfId="38676" xr:uid="{00000000-0005-0000-0000-000014970000}"/>
    <cellStyle name="Porcentual 2 4 2 3" xfId="38677" xr:uid="{00000000-0005-0000-0000-000015970000}"/>
    <cellStyle name="Porcentual 2 4 3" xfId="38678" xr:uid="{00000000-0005-0000-0000-000016970000}"/>
    <cellStyle name="Porcentual 2 4 4" xfId="38679" xr:uid="{00000000-0005-0000-0000-000017970000}"/>
    <cellStyle name="Porcentual 2 5" xfId="38680" xr:uid="{00000000-0005-0000-0000-000018970000}"/>
    <cellStyle name="Porcentual 2 5 2" xfId="38681" xr:uid="{00000000-0005-0000-0000-000019970000}"/>
    <cellStyle name="Porcentual 2 5 2 2" xfId="38682" xr:uid="{00000000-0005-0000-0000-00001A970000}"/>
    <cellStyle name="Porcentual 2 5 2 3" xfId="38683" xr:uid="{00000000-0005-0000-0000-00001B970000}"/>
    <cellStyle name="Porcentual 2 5 3" xfId="38684" xr:uid="{00000000-0005-0000-0000-00001C970000}"/>
    <cellStyle name="Porcentual 2 5 4" xfId="38685" xr:uid="{00000000-0005-0000-0000-00001D970000}"/>
    <cellStyle name="Salida 10" xfId="38686" xr:uid="{00000000-0005-0000-0000-00001E970000}"/>
    <cellStyle name="Salida 11" xfId="38687" xr:uid="{00000000-0005-0000-0000-00001F970000}"/>
    <cellStyle name="Salida 2" xfId="38688" xr:uid="{00000000-0005-0000-0000-000020970000}"/>
    <cellStyle name="Salida 2 2" xfId="38689" xr:uid="{00000000-0005-0000-0000-000021970000}"/>
    <cellStyle name="Salida 2 2 2" xfId="38690" xr:uid="{00000000-0005-0000-0000-000022970000}"/>
    <cellStyle name="Salida 2 2 3" xfId="38691" xr:uid="{00000000-0005-0000-0000-000023970000}"/>
    <cellStyle name="Salida 2 2 4" xfId="38692" xr:uid="{00000000-0005-0000-0000-000024970000}"/>
    <cellStyle name="Salida 2 3" xfId="38693" xr:uid="{00000000-0005-0000-0000-000025970000}"/>
    <cellStyle name="Salida 2 4" xfId="38694" xr:uid="{00000000-0005-0000-0000-000026970000}"/>
    <cellStyle name="Salida 3" xfId="38695" xr:uid="{00000000-0005-0000-0000-000027970000}"/>
    <cellStyle name="Salida 3 2" xfId="38696" xr:uid="{00000000-0005-0000-0000-000028970000}"/>
    <cellStyle name="Salida 3 2 2" xfId="38697" xr:uid="{00000000-0005-0000-0000-000029970000}"/>
    <cellStyle name="Salida 3 2 3" xfId="38698" xr:uid="{00000000-0005-0000-0000-00002A970000}"/>
    <cellStyle name="Salida 3 3" xfId="38699" xr:uid="{00000000-0005-0000-0000-00002B970000}"/>
    <cellStyle name="Salida 3 4" xfId="38700" xr:uid="{00000000-0005-0000-0000-00002C970000}"/>
    <cellStyle name="Salida 4" xfId="38701" xr:uid="{00000000-0005-0000-0000-00002D970000}"/>
    <cellStyle name="Salida 4 2" xfId="38702" xr:uid="{00000000-0005-0000-0000-00002E970000}"/>
    <cellStyle name="Salida 4 2 2" xfId="38703" xr:uid="{00000000-0005-0000-0000-00002F970000}"/>
    <cellStyle name="Salida 4 2 3" xfId="38704" xr:uid="{00000000-0005-0000-0000-000030970000}"/>
    <cellStyle name="Salida 4 3" xfId="38705" xr:uid="{00000000-0005-0000-0000-000031970000}"/>
    <cellStyle name="Salida 4 4" xfId="38706" xr:uid="{00000000-0005-0000-0000-000032970000}"/>
    <cellStyle name="Salida 5" xfId="38707" xr:uid="{00000000-0005-0000-0000-000033970000}"/>
    <cellStyle name="Salida 5 2" xfId="38708" xr:uid="{00000000-0005-0000-0000-000034970000}"/>
    <cellStyle name="Salida 5 2 2" xfId="38709" xr:uid="{00000000-0005-0000-0000-000035970000}"/>
    <cellStyle name="Salida 5 2 3" xfId="38710" xr:uid="{00000000-0005-0000-0000-000036970000}"/>
    <cellStyle name="Salida 5 3" xfId="38711" xr:uid="{00000000-0005-0000-0000-000037970000}"/>
    <cellStyle name="Salida 5 4" xfId="38712" xr:uid="{00000000-0005-0000-0000-000038970000}"/>
    <cellStyle name="Salida 6" xfId="38713" xr:uid="{00000000-0005-0000-0000-000039970000}"/>
    <cellStyle name="Salida 6 2" xfId="38714" xr:uid="{00000000-0005-0000-0000-00003A970000}"/>
    <cellStyle name="Salida 6 2 2" xfId="38715" xr:uid="{00000000-0005-0000-0000-00003B970000}"/>
    <cellStyle name="Salida 6 2 3" xfId="38716" xr:uid="{00000000-0005-0000-0000-00003C970000}"/>
    <cellStyle name="Salida 6 3" xfId="38717" xr:uid="{00000000-0005-0000-0000-00003D970000}"/>
    <cellStyle name="Salida 6 4" xfId="38718" xr:uid="{00000000-0005-0000-0000-00003E970000}"/>
    <cellStyle name="Salida 7" xfId="38719" xr:uid="{00000000-0005-0000-0000-00003F970000}"/>
    <cellStyle name="Salida 7 2" xfId="38720" xr:uid="{00000000-0005-0000-0000-000040970000}"/>
    <cellStyle name="Salida 7 2 2" xfId="38721" xr:uid="{00000000-0005-0000-0000-000041970000}"/>
    <cellStyle name="Salida 7 2 3" xfId="38722" xr:uid="{00000000-0005-0000-0000-000042970000}"/>
    <cellStyle name="Salida 7 3" xfId="38723" xr:uid="{00000000-0005-0000-0000-000043970000}"/>
    <cellStyle name="Salida 7 4" xfId="38724" xr:uid="{00000000-0005-0000-0000-000044970000}"/>
    <cellStyle name="Salida 8" xfId="38725" xr:uid="{00000000-0005-0000-0000-000045970000}"/>
    <cellStyle name="Salida 8 2" xfId="38726" xr:uid="{00000000-0005-0000-0000-000046970000}"/>
    <cellStyle name="Salida 8 2 2" xfId="38727" xr:uid="{00000000-0005-0000-0000-000047970000}"/>
    <cellStyle name="Salida 8 2 3" xfId="38728" xr:uid="{00000000-0005-0000-0000-000048970000}"/>
    <cellStyle name="Salida 8 3" xfId="38729" xr:uid="{00000000-0005-0000-0000-000049970000}"/>
    <cellStyle name="Salida 8 4" xfId="38730" xr:uid="{00000000-0005-0000-0000-00004A970000}"/>
    <cellStyle name="Salida 9" xfId="38731" xr:uid="{00000000-0005-0000-0000-00004B970000}"/>
    <cellStyle name="Salida 9 2" xfId="38732" xr:uid="{00000000-0005-0000-0000-00004C970000}"/>
    <cellStyle name="Salida 9 3" xfId="38733" xr:uid="{00000000-0005-0000-0000-00004D970000}"/>
    <cellStyle name="TableStyleLight1" xfId="38734" xr:uid="{00000000-0005-0000-0000-00004E970000}"/>
    <cellStyle name="TableStyleLight1 2" xfId="38735" xr:uid="{00000000-0005-0000-0000-00004F970000}"/>
    <cellStyle name="TableStyleLight1 2 2" xfId="38736" xr:uid="{00000000-0005-0000-0000-000050970000}"/>
    <cellStyle name="TableStyleLight1 2 3" xfId="38737" xr:uid="{00000000-0005-0000-0000-000051970000}"/>
    <cellStyle name="TableStyleLight1 3" xfId="38738" xr:uid="{00000000-0005-0000-0000-000052970000}"/>
    <cellStyle name="TableStyleLight1 4" xfId="38739" xr:uid="{00000000-0005-0000-0000-000053970000}"/>
    <cellStyle name="Texto de advertencia 10" xfId="38740" xr:uid="{00000000-0005-0000-0000-000054970000}"/>
    <cellStyle name="Texto de advertencia 10 2" xfId="38741" xr:uid="{00000000-0005-0000-0000-000055970000}"/>
    <cellStyle name="Texto de advertencia 10 3" xfId="38742" xr:uid="{00000000-0005-0000-0000-000056970000}"/>
    <cellStyle name="Texto de advertencia 11" xfId="38743" xr:uid="{00000000-0005-0000-0000-000057970000}"/>
    <cellStyle name="Texto de advertencia 12" xfId="38744" xr:uid="{00000000-0005-0000-0000-000058970000}"/>
    <cellStyle name="Texto de advertencia 2" xfId="38745" xr:uid="{00000000-0005-0000-0000-000059970000}"/>
    <cellStyle name="Texto de advertencia 2 2" xfId="38746" xr:uid="{00000000-0005-0000-0000-00005A970000}"/>
    <cellStyle name="Texto de advertencia 2 2 2" xfId="38747" xr:uid="{00000000-0005-0000-0000-00005B970000}"/>
    <cellStyle name="Texto de advertencia 2 2 2 2" xfId="38748" xr:uid="{00000000-0005-0000-0000-00005C970000}"/>
    <cellStyle name="Texto de advertencia 2 2 2 2 2" xfId="38749" xr:uid="{00000000-0005-0000-0000-00005D970000}"/>
    <cellStyle name="Texto de advertencia 2 2 2 2 2 2" xfId="38750" xr:uid="{00000000-0005-0000-0000-00005E970000}"/>
    <cellStyle name="Texto de advertencia 2 2 2 2 2 2 2" xfId="38751" xr:uid="{00000000-0005-0000-0000-00005F970000}"/>
    <cellStyle name="Texto de advertencia 2 2 2 2 2 2 3" xfId="38752" xr:uid="{00000000-0005-0000-0000-000060970000}"/>
    <cellStyle name="Texto de advertencia 2 2 2 2 2 3" xfId="38753" xr:uid="{00000000-0005-0000-0000-000061970000}"/>
    <cellStyle name="Texto de advertencia 2 2 2 2 2 4" xfId="38754" xr:uid="{00000000-0005-0000-0000-000062970000}"/>
    <cellStyle name="Texto de advertencia 2 2 2 2 3" xfId="38755" xr:uid="{00000000-0005-0000-0000-000063970000}"/>
    <cellStyle name="Texto de advertencia 2 2 2 2 3 2" xfId="38756" xr:uid="{00000000-0005-0000-0000-000064970000}"/>
    <cellStyle name="Texto de advertencia 2 2 2 2 3 3" xfId="38757" xr:uid="{00000000-0005-0000-0000-000065970000}"/>
    <cellStyle name="Texto de advertencia 2 2 2 2 4" xfId="38758" xr:uid="{00000000-0005-0000-0000-000066970000}"/>
    <cellStyle name="Texto de advertencia 2 2 2 2 5" xfId="38759" xr:uid="{00000000-0005-0000-0000-000067970000}"/>
    <cellStyle name="Texto de advertencia 2 2 2 3" xfId="38760" xr:uid="{00000000-0005-0000-0000-000068970000}"/>
    <cellStyle name="Texto de advertencia 2 2 2 3 2" xfId="38761" xr:uid="{00000000-0005-0000-0000-000069970000}"/>
    <cellStyle name="Texto de advertencia 2 2 2 3 3" xfId="38762" xr:uid="{00000000-0005-0000-0000-00006A970000}"/>
    <cellStyle name="Texto de advertencia 2 2 2 4" xfId="38763" xr:uid="{00000000-0005-0000-0000-00006B970000}"/>
    <cellStyle name="Texto de advertencia 2 2 2 5" xfId="38764" xr:uid="{00000000-0005-0000-0000-00006C970000}"/>
    <cellStyle name="Texto de advertencia 2 2 3" xfId="38765" xr:uid="{00000000-0005-0000-0000-00006D970000}"/>
    <cellStyle name="Texto de advertencia 2 2 3 2" xfId="38766" xr:uid="{00000000-0005-0000-0000-00006E970000}"/>
    <cellStyle name="Texto de advertencia 2 2 3 2 2" xfId="38767" xr:uid="{00000000-0005-0000-0000-00006F970000}"/>
    <cellStyle name="Texto de advertencia 2 2 3 2 3" xfId="38768" xr:uid="{00000000-0005-0000-0000-000070970000}"/>
    <cellStyle name="Texto de advertencia 2 2 3 3" xfId="38769" xr:uid="{00000000-0005-0000-0000-000071970000}"/>
    <cellStyle name="Texto de advertencia 2 2 3 4" xfId="38770" xr:uid="{00000000-0005-0000-0000-000072970000}"/>
    <cellStyle name="Texto de advertencia 2 2 4" xfId="38771" xr:uid="{00000000-0005-0000-0000-000073970000}"/>
    <cellStyle name="Texto de advertencia 2 2 4 2" xfId="38772" xr:uid="{00000000-0005-0000-0000-000074970000}"/>
    <cellStyle name="Texto de advertencia 2 2 4 2 2" xfId="38773" xr:uid="{00000000-0005-0000-0000-000075970000}"/>
    <cellStyle name="Texto de advertencia 2 2 4 2 3" xfId="38774" xr:uid="{00000000-0005-0000-0000-000076970000}"/>
    <cellStyle name="Texto de advertencia 2 2 4 3" xfId="38775" xr:uid="{00000000-0005-0000-0000-000077970000}"/>
    <cellStyle name="Texto de advertencia 2 2 4 4" xfId="38776" xr:uid="{00000000-0005-0000-0000-000078970000}"/>
    <cellStyle name="Texto de advertencia 2 2 5" xfId="38777" xr:uid="{00000000-0005-0000-0000-000079970000}"/>
    <cellStyle name="Texto de advertencia 2 2 5 2" xfId="38778" xr:uid="{00000000-0005-0000-0000-00007A970000}"/>
    <cellStyle name="Texto de advertencia 2 2 5 3" xfId="38779" xr:uid="{00000000-0005-0000-0000-00007B970000}"/>
    <cellStyle name="Texto de advertencia 2 2 6" xfId="38780" xr:uid="{00000000-0005-0000-0000-00007C970000}"/>
    <cellStyle name="Texto de advertencia 2 2 7" xfId="38781" xr:uid="{00000000-0005-0000-0000-00007D970000}"/>
    <cellStyle name="Texto de advertencia 2 3" xfId="38782" xr:uid="{00000000-0005-0000-0000-00007E970000}"/>
    <cellStyle name="Texto de advertencia 2 3 2" xfId="38783" xr:uid="{00000000-0005-0000-0000-00007F970000}"/>
    <cellStyle name="Texto de advertencia 2 3 2 2" xfId="38784" xr:uid="{00000000-0005-0000-0000-000080970000}"/>
    <cellStyle name="Texto de advertencia 2 3 2 3" xfId="38785" xr:uid="{00000000-0005-0000-0000-000081970000}"/>
    <cellStyle name="Texto de advertencia 2 3 3" xfId="38786" xr:uid="{00000000-0005-0000-0000-000082970000}"/>
    <cellStyle name="Texto de advertencia 2 3 4" xfId="38787" xr:uid="{00000000-0005-0000-0000-000083970000}"/>
    <cellStyle name="Texto de advertencia 2 4" xfId="38788" xr:uid="{00000000-0005-0000-0000-000084970000}"/>
    <cellStyle name="Texto de advertencia 2 4 2" xfId="38789" xr:uid="{00000000-0005-0000-0000-000085970000}"/>
    <cellStyle name="Texto de advertencia 2 4 2 2" xfId="38790" xr:uid="{00000000-0005-0000-0000-000086970000}"/>
    <cellStyle name="Texto de advertencia 2 4 2 3" xfId="38791" xr:uid="{00000000-0005-0000-0000-000087970000}"/>
    <cellStyle name="Texto de advertencia 2 4 3" xfId="38792" xr:uid="{00000000-0005-0000-0000-000088970000}"/>
    <cellStyle name="Texto de advertencia 2 4 4" xfId="38793" xr:uid="{00000000-0005-0000-0000-000089970000}"/>
    <cellStyle name="Texto de advertencia 2 5" xfId="38794" xr:uid="{00000000-0005-0000-0000-00008A970000}"/>
    <cellStyle name="Texto de advertencia 2 5 2" xfId="38795" xr:uid="{00000000-0005-0000-0000-00008B970000}"/>
    <cellStyle name="Texto de advertencia 2 5 3" xfId="38796" xr:uid="{00000000-0005-0000-0000-00008C970000}"/>
    <cellStyle name="Texto de advertencia 2 6" xfId="38797" xr:uid="{00000000-0005-0000-0000-00008D970000}"/>
    <cellStyle name="Texto de advertencia 2 7" xfId="38798" xr:uid="{00000000-0005-0000-0000-00008E970000}"/>
    <cellStyle name="Texto de advertencia 3" xfId="38799" xr:uid="{00000000-0005-0000-0000-00008F970000}"/>
    <cellStyle name="Texto de advertencia 3 2" xfId="38800" xr:uid="{00000000-0005-0000-0000-000090970000}"/>
    <cellStyle name="Texto de advertencia 3 2 2" xfId="38801" xr:uid="{00000000-0005-0000-0000-000091970000}"/>
    <cellStyle name="Texto de advertencia 3 2 3" xfId="38802" xr:uid="{00000000-0005-0000-0000-000092970000}"/>
    <cellStyle name="Texto de advertencia 3 3" xfId="38803" xr:uid="{00000000-0005-0000-0000-000093970000}"/>
    <cellStyle name="Texto de advertencia 3 4" xfId="38804" xr:uid="{00000000-0005-0000-0000-000094970000}"/>
    <cellStyle name="Texto de advertencia 4" xfId="38805" xr:uid="{00000000-0005-0000-0000-000095970000}"/>
    <cellStyle name="Texto de advertencia 4 2" xfId="38806" xr:uid="{00000000-0005-0000-0000-000096970000}"/>
    <cellStyle name="Texto de advertencia 4 2 2" xfId="38807" xr:uid="{00000000-0005-0000-0000-000097970000}"/>
    <cellStyle name="Texto de advertencia 4 2 3" xfId="38808" xr:uid="{00000000-0005-0000-0000-000098970000}"/>
    <cellStyle name="Texto de advertencia 4 3" xfId="38809" xr:uid="{00000000-0005-0000-0000-000099970000}"/>
    <cellStyle name="Texto de advertencia 4 4" xfId="38810" xr:uid="{00000000-0005-0000-0000-00009A970000}"/>
    <cellStyle name="Texto de advertencia 5" xfId="38811" xr:uid="{00000000-0005-0000-0000-00009B970000}"/>
    <cellStyle name="Texto de advertencia 5 2" xfId="38812" xr:uid="{00000000-0005-0000-0000-00009C970000}"/>
    <cellStyle name="Texto de advertencia 5 2 2" xfId="38813" xr:uid="{00000000-0005-0000-0000-00009D970000}"/>
    <cellStyle name="Texto de advertencia 5 2 3" xfId="38814" xr:uid="{00000000-0005-0000-0000-00009E970000}"/>
    <cellStyle name="Texto de advertencia 5 3" xfId="38815" xr:uid="{00000000-0005-0000-0000-00009F970000}"/>
    <cellStyle name="Texto de advertencia 5 4" xfId="38816" xr:uid="{00000000-0005-0000-0000-0000A0970000}"/>
    <cellStyle name="Texto de advertencia 6" xfId="38817" xr:uid="{00000000-0005-0000-0000-0000A1970000}"/>
    <cellStyle name="Texto de advertencia 6 2" xfId="38818" xr:uid="{00000000-0005-0000-0000-0000A2970000}"/>
    <cellStyle name="Texto de advertencia 6 2 2" xfId="38819" xr:uid="{00000000-0005-0000-0000-0000A3970000}"/>
    <cellStyle name="Texto de advertencia 6 2 3" xfId="38820" xr:uid="{00000000-0005-0000-0000-0000A4970000}"/>
    <cellStyle name="Texto de advertencia 6 3" xfId="38821" xr:uid="{00000000-0005-0000-0000-0000A5970000}"/>
    <cellStyle name="Texto de advertencia 6 4" xfId="38822" xr:uid="{00000000-0005-0000-0000-0000A6970000}"/>
    <cellStyle name="Texto de advertencia 7" xfId="38823" xr:uid="{00000000-0005-0000-0000-0000A7970000}"/>
    <cellStyle name="Texto de advertencia 7 2" xfId="38824" xr:uid="{00000000-0005-0000-0000-0000A8970000}"/>
    <cellStyle name="Texto de advertencia 7 2 2" xfId="38825" xr:uid="{00000000-0005-0000-0000-0000A9970000}"/>
    <cellStyle name="Texto de advertencia 7 2 3" xfId="38826" xr:uid="{00000000-0005-0000-0000-0000AA970000}"/>
    <cellStyle name="Texto de advertencia 7 3" xfId="38827" xr:uid="{00000000-0005-0000-0000-0000AB970000}"/>
    <cellStyle name="Texto de advertencia 7 4" xfId="38828" xr:uid="{00000000-0005-0000-0000-0000AC970000}"/>
    <cellStyle name="Texto de advertencia 8" xfId="38829" xr:uid="{00000000-0005-0000-0000-0000AD970000}"/>
    <cellStyle name="Texto de advertencia 8 2" xfId="38830" xr:uid="{00000000-0005-0000-0000-0000AE970000}"/>
    <cellStyle name="Texto de advertencia 8 2 2" xfId="38831" xr:uid="{00000000-0005-0000-0000-0000AF970000}"/>
    <cellStyle name="Texto de advertencia 8 2 3" xfId="38832" xr:uid="{00000000-0005-0000-0000-0000B0970000}"/>
    <cellStyle name="Texto de advertencia 8 3" xfId="38833" xr:uid="{00000000-0005-0000-0000-0000B1970000}"/>
    <cellStyle name="Texto de advertencia 8 4" xfId="38834" xr:uid="{00000000-0005-0000-0000-0000B2970000}"/>
    <cellStyle name="Texto de advertencia 9" xfId="38835" xr:uid="{00000000-0005-0000-0000-0000B3970000}"/>
    <cellStyle name="Texto de advertencia 9 2" xfId="38836" xr:uid="{00000000-0005-0000-0000-0000B4970000}"/>
    <cellStyle name="Texto de advertencia 9 2 2" xfId="38837" xr:uid="{00000000-0005-0000-0000-0000B5970000}"/>
    <cellStyle name="Texto de advertencia 9 2 3" xfId="38838" xr:uid="{00000000-0005-0000-0000-0000B6970000}"/>
    <cellStyle name="Texto de advertencia 9 3" xfId="38839" xr:uid="{00000000-0005-0000-0000-0000B7970000}"/>
    <cellStyle name="Texto de advertencia 9 4" xfId="38840" xr:uid="{00000000-0005-0000-0000-0000B8970000}"/>
    <cellStyle name="Texto explicativo 10" xfId="38841" xr:uid="{00000000-0005-0000-0000-0000B9970000}"/>
    <cellStyle name="Texto explicativo 11" xfId="38842" xr:uid="{00000000-0005-0000-0000-0000BA970000}"/>
    <cellStyle name="Texto explicativo 2" xfId="38843" xr:uid="{00000000-0005-0000-0000-0000BB970000}"/>
    <cellStyle name="Texto explicativo 2 2" xfId="38844" xr:uid="{00000000-0005-0000-0000-0000BC970000}"/>
    <cellStyle name="Texto explicativo 2 2 2" xfId="38845" xr:uid="{00000000-0005-0000-0000-0000BD970000}"/>
    <cellStyle name="Texto explicativo 2 2 3" xfId="38846" xr:uid="{00000000-0005-0000-0000-0000BE970000}"/>
    <cellStyle name="Texto explicativo 2 2 4" xfId="38847" xr:uid="{00000000-0005-0000-0000-0000BF970000}"/>
    <cellStyle name="Texto explicativo 2 3" xfId="38848" xr:uid="{00000000-0005-0000-0000-0000C0970000}"/>
    <cellStyle name="Texto explicativo 2 4" xfId="38849" xr:uid="{00000000-0005-0000-0000-0000C1970000}"/>
    <cellStyle name="Texto explicativo 3" xfId="38850" xr:uid="{00000000-0005-0000-0000-0000C2970000}"/>
    <cellStyle name="Texto explicativo 3 2" xfId="38851" xr:uid="{00000000-0005-0000-0000-0000C3970000}"/>
    <cellStyle name="Texto explicativo 3 2 2" xfId="38852" xr:uid="{00000000-0005-0000-0000-0000C4970000}"/>
    <cellStyle name="Texto explicativo 3 2 3" xfId="38853" xr:uid="{00000000-0005-0000-0000-0000C5970000}"/>
    <cellStyle name="Texto explicativo 3 3" xfId="38854" xr:uid="{00000000-0005-0000-0000-0000C6970000}"/>
    <cellStyle name="Texto explicativo 3 4" xfId="38855" xr:uid="{00000000-0005-0000-0000-0000C7970000}"/>
    <cellStyle name="Texto explicativo 4" xfId="38856" xr:uid="{00000000-0005-0000-0000-0000C8970000}"/>
    <cellStyle name="Texto explicativo 4 2" xfId="38857" xr:uid="{00000000-0005-0000-0000-0000C9970000}"/>
    <cellStyle name="Texto explicativo 4 2 2" xfId="38858" xr:uid="{00000000-0005-0000-0000-0000CA970000}"/>
    <cellStyle name="Texto explicativo 4 2 3" xfId="38859" xr:uid="{00000000-0005-0000-0000-0000CB970000}"/>
    <cellStyle name="Texto explicativo 4 3" xfId="38860" xr:uid="{00000000-0005-0000-0000-0000CC970000}"/>
    <cellStyle name="Texto explicativo 4 4" xfId="38861" xr:uid="{00000000-0005-0000-0000-0000CD970000}"/>
    <cellStyle name="Texto explicativo 5" xfId="38862" xr:uid="{00000000-0005-0000-0000-0000CE970000}"/>
    <cellStyle name="Texto explicativo 5 2" xfId="38863" xr:uid="{00000000-0005-0000-0000-0000CF970000}"/>
    <cellStyle name="Texto explicativo 5 2 2" xfId="38864" xr:uid="{00000000-0005-0000-0000-0000D0970000}"/>
    <cellStyle name="Texto explicativo 5 2 3" xfId="38865" xr:uid="{00000000-0005-0000-0000-0000D1970000}"/>
    <cellStyle name="Texto explicativo 5 3" xfId="38866" xr:uid="{00000000-0005-0000-0000-0000D2970000}"/>
    <cellStyle name="Texto explicativo 5 4" xfId="38867" xr:uid="{00000000-0005-0000-0000-0000D3970000}"/>
    <cellStyle name="Texto explicativo 6" xfId="38868" xr:uid="{00000000-0005-0000-0000-0000D4970000}"/>
    <cellStyle name="Texto explicativo 6 2" xfId="38869" xr:uid="{00000000-0005-0000-0000-0000D5970000}"/>
    <cellStyle name="Texto explicativo 6 2 2" xfId="38870" xr:uid="{00000000-0005-0000-0000-0000D6970000}"/>
    <cellStyle name="Texto explicativo 6 2 3" xfId="38871" xr:uid="{00000000-0005-0000-0000-0000D7970000}"/>
    <cellStyle name="Texto explicativo 6 3" xfId="38872" xr:uid="{00000000-0005-0000-0000-0000D8970000}"/>
    <cellStyle name="Texto explicativo 6 4" xfId="38873" xr:uid="{00000000-0005-0000-0000-0000D9970000}"/>
    <cellStyle name="Texto explicativo 7" xfId="38874" xr:uid="{00000000-0005-0000-0000-0000DA970000}"/>
    <cellStyle name="Texto explicativo 7 2" xfId="38875" xr:uid="{00000000-0005-0000-0000-0000DB970000}"/>
    <cellStyle name="Texto explicativo 7 2 2" xfId="38876" xr:uid="{00000000-0005-0000-0000-0000DC970000}"/>
    <cellStyle name="Texto explicativo 7 2 3" xfId="38877" xr:uid="{00000000-0005-0000-0000-0000DD970000}"/>
    <cellStyle name="Texto explicativo 7 3" xfId="38878" xr:uid="{00000000-0005-0000-0000-0000DE970000}"/>
    <cellStyle name="Texto explicativo 7 4" xfId="38879" xr:uid="{00000000-0005-0000-0000-0000DF970000}"/>
    <cellStyle name="Texto explicativo 8" xfId="38880" xr:uid="{00000000-0005-0000-0000-0000E0970000}"/>
    <cellStyle name="Texto explicativo 8 2" xfId="38881" xr:uid="{00000000-0005-0000-0000-0000E1970000}"/>
    <cellStyle name="Texto explicativo 8 2 2" xfId="38882" xr:uid="{00000000-0005-0000-0000-0000E2970000}"/>
    <cellStyle name="Texto explicativo 8 2 3" xfId="38883" xr:uid="{00000000-0005-0000-0000-0000E3970000}"/>
    <cellStyle name="Texto explicativo 8 3" xfId="38884" xr:uid="{00000000-0005-0000-0000-0000E4970000}"/>
    <cellStyle name="Texto explicativo 8 4" xfId="38885" xr:uid="{00000000-0005-0000-0000-0000E5970000}"/>
    <cellStyle name="Texto explicativo 9" xfId="38886" xr:uid="{00000000-0005-0000-0000-0000E6970000}"/>
    <cellStyle name="Texto explicativo 9 2" xfId="38887" xr:uid="{00000000-0005-0000-0000-0000E7970000}"/>
    <cellStyle name="Texto explicativo 9 3" xfId="38888" xr:uid="{00000000-0005-0000-0000-0000E8970000}"/>
    <cellStyle name="Title" xfId="38889" xr:uid="{00000000-0005-0000-0000-0000E9970000}"/>
    <cellStyle name="Title 2" xfId="38890" xr:uid="{00000000-0005-0000-0000-0000EA970000}"/>
    <cellStyle name="Title 2 2" xfId="38891" xr:uid="{00000000-0005-0000-0000-0000EB970000}"/>
    <cellStyle name="Title 2 2 2" xfId="38892" xr:uid="{00000000-0005-0000-0000-0000EC970000}"/>
    <cellStyle name="Title 2 2 3" xfId="38893" xr:uid="{00000000-0005-0000-0000-0000ED970000}"/>
    <cellStyle name="Title 2 3" xfId="38894" xr:uid="{00000000-0005-0000-0000-0000EE970000}"/>
    <cellStyle name="Title 2 4" xfId="38895" xr:uid="{00000000-0005-0000-0000-0000EF970000}"/>
    <cellStyle name="Title 3" xfId="38896" xr:uid="{00000000-0005-0000-0000-0000F0970000}"/>
    <cellStyle name="Title 3 2" xfId="38897" xr:uid="{00000000-0005-0000-0000-0000F1970000}"/>
    <cellStyle name="Title 3 2 2" xfId="38898" xr:uid="{00000000-0005-0000-0000-0000F2970000}"/>
    <cellStyle name="Title 3 2 3" xfId="38899" xr:uid="{00000000-0005-0000-0000-0000F3970000}"/>
    <cellStyle name="Title 3 3" xfId="38900" xr:uid="{00000000-0005-0000-0000-0000F4970000}"/>
    <cellStyle name="Title 3 4" xfId="38901" xr:uid="{00000000-0005-0000-0000-0000F5970000}"/>
    <cellStyle name="Title 4" xfId="38902" xr:uid="{00000000-0005-0000-0000-0000F6970000}"/>
    <cellStyle name="Title 4 2" xfId="38903" xr:uid="{00000000-0005-0000-0000-0000F7970000}"/>
    <cellStyle name="Title 4 2 2" xfId="38904" xr:uid="{00000000-0005-0000-0000-0000F8970000}"/>
    <cellStyle name="Title 4 2 3" xfId="38905" xr:uid="{00000000-0005-0000-0000-0000F9970000}"/>
    <cellStyle name="Title 4 3" xfId="38906" xr:uid="{00000000-0005-0000-0000-0000FA970000}"/>
    <cellStyle name="Title 4 4" xfId="38907" xr:uid="{00000000-0005-0000-0000-0000FB970000}"/>
    <cellStyle name="Title 5" xfId="38908" xr:uid="{00000000-0005-0000-0000-0000FC970000}"/>
    <cellStyle name="Title 5 2" xfId="38909" xr:uid="{00000000-0005-0000-0000-0000FD970000}"/>
    <cellStyle name="Title 5 2 2" xfId="38910" xr:uid="{00000000-0005-0000-0000-0000FE970000}"/>
    <cellStyle name="Title 5 2 3" xfId="38911" xr:uid="{00000000-0005-0000-0000-0000FF970000}"/>
    <cellStyle name="Title 5 3" xfId="38912" xr:uid="{00000000-0005-0000-0000-000000980000}"/>
    <cellStyle name="Title 5 4" xfId="38913" xr:uid="{00000000-0005-0000-0000-000001980000}"/>
    <cellStyle name="Title 6" xfId="38914" xr:uid="{00000000-0005-0000-0000-000002980000}"/>
    <cellStyle name="Title 6 2" xfId="38915" xr:uid="{00000000-0005-0000-0000-000003980000}"/>
    <cellStyle name="Title 6 3" xfId="38916" xr:uid="{00000000-0005-0000-0000-000004980000}"/>
    <cellStyle name="Title 7" xfId="38917" xr:uid="{00000000-0005-0000-0000-000005980000}"/>
    <cellStyle name="Title 8" xfId="38918" xr:uid="{00000000-0005-0000-0000-000006980000}"/>
    <cellStyle name="Título 1 10" xfId="38919" xr:uid="{00000000-0005-0000-0000-000007980000}"/>
    <cellStyle name="Título 1 11" xfId="38920" xr:uid="{00000000-0005-0000-0000-000008980000}"/>
    <cellStyle name="Título 1 2" xfId="38921" xr:uid="{00000000-0005-0000-0000-000009980000}"/>
    <cellStyle name="Título 1 2 2" xfId="38922" xr:uid="{00000000-0005-0000-0000-00000A980000}"/>
    <cellStyle name="Título 1 2 2 2" xfId="38923" xr:uid="{00000000-0005-0000-0000-00000B980000}"/>
    <cellStyle name="Título 1 2 2 3" xfId="38924" xr:uid="{00000000-0005-0000-0000-00000C980000}"/>
    <cellStyle name="Título 1 2 3" xfId="38925" xr:uid="{00000000-0005-0000-0000-00000D980000}"/>
    <cellStyle name="Título 1 2 4" xfId="38926" xr:uid="{00000000-0005-0000-0000-00000E980000}"/>
    <cellStyle name="Título 1 3" xfId="38927" xr:uid="{00000000-0005-0000-0000-00000F980000}"/>
    <cellStyle name="Título 1 3 2" xfId="38928" xr:uid="{00000000-0005-0000-0000-000010980000}"/>
    <cellStyle name="Título 1 3 2 2" xfId="38929" xr:uid="{00000000-0005-0000-0000-000011980000}"/>
    <cellStyle name="Título 1 3 2 3" xfId="38930" xr:uid="{00000000-0005-0000-0000-000012980000}"/>
    <cellStyle name="Título 1 3 3" xfId="38931" xr:uid="{00000000-0005-0000-0000-000013980000}"/>
    <cellStyle name="Título 1 3 4" xfId="38932" xr:uid="{00000000-0005-0000-0000-000014980000}"/>
    <cellStyle name="Título 1 4" xfId="38933" xr:uid="{00000000-0005-0000-0000-000015980000}"/>
    <cellStyle name="Título 1 4 2" xfId="38934" xr:uid="{00000000-0005-0000-0000-000016980000}"/>
    <cellStyle name="Título 1 4 2 2" xfId="38935" xr:uid="{00000000-0005-0000-0000-000017980000}"/>
    <cellStyle name="Título 1 4 2 3" xfId="38936" xr:uid="{00000000-0005-0000-0000-000018980000}"/>
    <cellStyle name="Título 1 4 3" xfId="38937" xr:uid="{00000000-0005-0000-0000-000019980000}"/>
    <cellStyle name="Título 1 4 4" xfId="38938" xr:uid="{00000000-0005-0000-0000-00001A980000}"/>
    <cellStyle name="Título 1 5" xfId="38939" xr:uid="{00000000-0005-0000-0000-00001B980000}"/>
    <cellStyle name="Título 1 5 2" xfId="38940" xr:uid="{00000000-0005-0000-0000-00001C980000}"/>
    <cellStyle name="Título 1 5 2 2" xfId="38941" xr:uid="{00000000-0005-0000-0000-00001D980000}"/>
    <cellStyle name="Título 1 5 2 3" xfId="38942" xr:uid="{00000000-0005-0000-0000-00001E980000}"/>
    <cellStyle name="Título 1 5 3" xfId="38943" xr:uid="{00000000-0005-0000-0000-00001F980000}"/>
    <cellStyle name="Título 1 5 4" xfId="38944" xr:uid="{00000000-0005-0000-0000-000020980000}"/>
    <cellStyle name="Título 1 6" xfId="38945" xr:uid="{00000000-0005-0000-0000-000021980000}"/>
    <cellStyle name="Título 1 6 2" xfId="38946" xr:uid="{00000000-0005-0000-0000-000022980000}"/>
    <cellStyle name="Título 1 6 2 2" xfId="38947" xr:uid="{00000000-0005-0000-0000-000023980000}"/>
    <cellStyle name="Título 1 6 2 3" xfId="38948" xr:uid="{00000000-0005-0000-0000-000024980000}"/>
    <cellStyle name="Título 1 6 3" xfId="38949" xr:uid="{00000000-0005-0000-0000-000025980000}"/>
    <cellStyle name="Título 1 6 4" xfId="38950" xr:uid="{00000000-0005-0000-0000-000026980000}"/>
    <cellStyle name="Título 1 7" xfId="38951" xr:uid="{00000000-0005-0000-0000-000027980000}"/>
    <cellStyle name="Título 1 7 2" xfId="38952" xr:uid="{00000000-0005-0000-0000-000028980000}"/>
    <cellStyle name="Título 1 7 2 2" xfId="38953" xr:uid="{00000000-0005-0000-0000-000029980000}"/>
    <cellStyle name="Título 1 7 2 3" xfId="38954" xr:uid="{00000000-0005-0000-0000-00002A980000}"/>
    <cellStyle name="Título 1 7 3" xfId="38955" xr:uid="{00000000-0005-0000-0000-00002B980000}"/>
    <cellStyle name="Título 1 7 4" xfId="38956" xr:uid="{00000000-0005-0000-0000-00002C980000}"/>
    <cellStyle name="Título 1 8" xfId="38957" xr:uid="{00000000-0005-0000-0000-00002D980000}"/>
    <cellStyle name="Título 1 8 2" xfId="38958" xr:uid="{00000000-0005-0000-0000-00002E980000}"/>
    <cellStyle name="Título 1 8 2 2" xfId="38959" xr:uid="{00000000-0005-0000-0000-00002F980000}"/>
    <cellStyle name="Título 1 8 2 3" xfId="38960" xr:uid="{00000000-0005-0000-0000-000030980000}"/>
    <cellStyle name="Título 1 8 3" xfId="38961" xr:uid="{00000000-0005-0000-0000-000031980000}"/>
    <cellStyle name="Título 1 8 4" xfId="38962" xr:uid="{00000000-0005-0000-0000-000032980000}"/>
    <cellStyle name="Título 1 9" xfId="38963" xr:uid="{00000000-0005-0000-0000-000033980000}"/>
    <cellStyle name="Título 1 9 2" xfId="38964" xr:uid="{00000000-0005-0000-0000-000034980000}"/>
    <cellStyle name="Título 1 9 3" xfId="38965" xr:uid="{00000000-0005-0000-0000-000035980000}"/>
    <cellStyle name="Título 10" xfId="38966" xr:uid="{00000000-0005-0000-0000-000036980000}"/>
    <cellStyle name="Título 10 2" xfId="38967" xr:uid="{00000000-0005-0000-0000-000037980000}"/>
    <cellStyle name="Título 10 2 2" xfId="38968" xr:uid="{00000000-0005-0000-0000-000038980000}"/>
    <cellStyle name="Título 10 2 3" xfId="38969" xr:uid="{00000000-0005-0000-0000-000039980000}"/>
    <cellStyle name="Título 10 3" xfId="38970" xr:uid="{00000000-0005-0000-0000-00003A980000}"/>
    <cellStyle name="Título 10 4" xfId="38971" xr:uid="{00000000-0005-0000-0000-00003B980000}"/>
    <cellStyle name="Título 11" xfId="38972" xr:uid="{00000000-0005-0000-0000-00003C980000}"/>
    <cellStyle name="Título 11 2" xfId="38973" xr:uid="{00000000-0005-0000-0000-00003D980000}"/>
    <cellStyle name="Título 11 3" xfId="38974" xr:uid="{00000000-0005-0000-0000-00003E980000}"/>
    <cellStyle name="Título 12" xfId="38975" xr:uid="{00000000-0005-0000-0000-00003F980000}"/>
    <cellStyle name="Título 13" xfId="38976" xr:uid="{00000000-0005-0000-0000-000040980000}"/>
    <cellStyle name="Título 2 10" xfId="38977" xr:uid="{00000000-0005-0000-0000-000041980000}"/>
    <cellStyle name="Título 2 11" xfId="38978" xr:uid="{00000000-0005-0000-0000-000042980000}"/>
    <cellStyle name="Título 2 2" xfId="38979" xr:uid="{00000000-0005-0000-0000-000043980000}"/>
    <cellStyle name="Título 2 2 2" xfId="38980" xr:uid="{00000000-0005-0000-0000-000044980000}"/>
    <cellStyle name="Título 2 2 2 2" xfId="38981" xr:uid="{00000000-0005-0000-0000-000045980000}"/>
    <cellStyle name="Título 2 2 2 3" xfId="38982" xr:uid="{00000000-0005-0000-0000-000046980000}"/>
    <cellStyle name="Título 2 2 2 4" xfId="38983" xr:uid="{00000000-0005-0000-0000-000047980000}"/>
    <cellStyle name="Título 2 2 3" xfId="38984" xr:uid="{00000000-0005-0000-0000-000048980000}"/>
    <cellStyle name="Título 2 2 4" xfId="38985" xr:uid="{00000000-0005-0000-0000-000049980000}"/>
    <cellStyle name="Título 2 3" xfId="38986" xr:uid="{00000000-0005-0000-0000-00004A980000}"/>
    <cellStyle name="Título 2 3 2" xfId="38987" xr:uid="{00000000-0005-0000-0000-00004B980000}"/>
    <cellStyle name="Título 2 3 2 2" xfId="38988" xr:uid="{00000000-0005-0000-0000-00004C980000}"/>
    <cellStyle name="Título 2 3 2 3" xfId="38989" xr:uid="{00000000-0005-0000-0000-00004D980000}"/>
    <cellStyle name="Título 2 3 3" xfId="38990" xr:uid="{00000000-0005-0000-0000-00004E980000}"/>
    <cellStyle name="Título 2 3 4" xfId="38991" xr:uid="{00000000-0005-0000-0000-00004F980000}"/>
    <cellStyle name="Título 2 4" xfId="38992" xr:uid="{00000000-0005-0000-0000-000050980000}"/>
    <cellStyle name="Título 2 4 2" xfId="38993" xr:uid="{00000000-0005-0000-0000-000051980000}"/>
    <cellStyle name="Título 2 4 2 2" xfId="38994" xr:uid="{00000000-0005-0000-0000-000052980000}"/>
    <cellStyle name="Título 2 4 2 3" xfId="38995" xr:uid="{00000000-0005-0000-0000-000053980000}"/>
    <cellStyle name="Título 2 4 3" xfId="38996" xr:uid="{00000000-0005-0000-0000-000054980000}"/>
    <cellStyle name="Título 2 4 4" xfId="38997" xr:uid="{00000000-0005-0000-0000-000055980000}"/>
    <cellStyle name="Título 2 5" xfId="38998" xr:uid="{00000000-0005-0000-0000-000056980000}"/>
    <cellStyle name="Título 2 5 2" xfId="38999" xr:uid="{00000000-0005-0000-0000-000057980000}"/>
    <cellStyle name="Título 2 5 2 2" xfId="39000" xr:uid="{00000000-0005-0000-0000-000058980000}"/>
    <cellStyle name="Título 2 5 2 3" xfId="39001" xr:uid="{00000000-0005-0000-0000-000059980000}"/>
    <cellStyle name="Título 2 5 3" xfId="39002" xr:uid="{00000000-0005-0000-0000-00005A980000}"/>
    <cellStyle name="Título 2 5 4" xfId="39003" xr:uid="{00000000-0005-0000-0000-00005B980000}"/>
    <cellStyle name="Título 2 6" xfId="39004" xr:uid="{00000000-0005-0000-0000-00005C980000}"/>
    <cellStyle name="Título 2 6 2" xfId="39005" xr:uid="{00000000-0005-0000-0000-00005D980000}"/>
    <cellStyle name="Título 2 6 2 2" xfId="39006" xr:uid="{00000000-0005-0000-0000-00005E980000}"/>
    <cellStyle name="Título 2 6 2 3" xfId="39007" xr:uid="{00000000-0005-0000-0000-00005F980000}"/>
    <cellStyle name="Título 2 6 3" xfId="39008" xr:uid="{00000000-0005-0000-0000-000060980000}"/>
    <cellStyle name="Título 2 6 4" xfId="39009" xr:uid="{00000000-0005-0000-0000-000061980000}"/>
    <cellStyle name="Título 2 7" xfId="39010" xr:uid="{00000000-0005-0000-0000-000062980000}"/>
    <cellStyle name="Título 2 7 2" xfId="39011" xr:uid="{00000000-0005-0000-0000-000063980000}"/>
    <cellStyle name="Título 2 7 2 2" xfId="39012" xr:uid="{00000000-0005-0000-0000-000064980000}"/>
    <cellStyle name="Título 2 7 2 3" xfId="39013" xr:uid="{00000000-0005-0000-0000-000065980000}"/>
    <cellStyle name="Título 2 7 3" xfId="39014" xr:uid="{00000000-0005-0000-0000-000066980000}"/>
    <cellStyle name="Título 2 7 4" xfId="39015" xr:uid="{00000000-0005-0000-0000-000067980000}"/>
    <cellStyle name="Título 2 8" xfId="39016" xr:uid="{00000000-0005-0000-0000-000068980000}"/>
    <cellStyle name="Título 2 8 2" xfId="39017" xr:uid="{00000000-0005-0000-0000-000069980000}"/>
    <cellStyle name="Título 2 8 2 2" xfId="39018" xr:uid="{00000000-0005-0000-0000-00006A980000}"/>
    <cellStyle name="Título 2 8 2 3" xfId="39019" xr:uid="{00000000-0005-0000-0000-00006B980000}"/>
    <cellStyle name="Título 2 8 3" xfId="39020" xr:uid="{00000000-0005-0000-0000-00006C980000}"/>
    <cellStyle name="Título 2 8 4" xfId="39021" xr:uid="{00000000-0005-0000-0000-00006D980000}"/>
    <cellStyle name="Título 2 9" xfId="39022" xr:uid="{00000000-0005-0000-0000-00006E980000}"/>
    <cellStyle name="Título 2 9 2" xfId="39023" xr:uid="{00000000-0005-0000-0000-00006F980000}"/>
    <cellStyle name="Título 2 9 3" xfId="39024" xr:uid="{00000000-0005-0000-0000-000070980000}"/>
    <cellStyle name="Título 3 10" xfId="39025" xr:uid="{00000000-0005-0000-0000-000071980000}"/>
    <cellStyle name="Título 3 11" xfId="39026" xr:uid="{00000000-0005-0000-0000-000072980000}"/>
    <cellStyle name="Título 3 2" xfId="39027" xr:uid="{00000000-0005-0000-0000-000073980000}"/>
    <cellStyle name="Título 3 2 2" xfId="39028" xr:uid="{00000000-0005-0000-0000-000074980000}"/>
    <cellStyle name="Título 3 2 2 2" xfId="39029" xr:uid="{00000000-0005-0000-0000-000075980000}"/>
    <cellStyle name="Título 3 2 2 3" xfId="39030" xr:uid="{00000000-0005-0000-0000-000076980000}"/>
    <cellStyle name="Título 3 2 2 4" xfId="39031" xr:uid="{00000000-0005-0000-0000-000077980000}"/>
    <cellStyle name="Título 3 2 3" xfId="39032" xr:uid="{00000000-0005-0000-0000-000078980000}"/>
    <cellStyle name="Título 3 2 4" xfId="39033" xr:uid="{00000000-0005-0000-0000-000079980000}"/>
    <cellStyle name="Título 3 3" xfId="39034" xr:uid="{00000000-0005-0000-0000-00007A980000}"/>
    <cellStyle name="Título 3 3 2" xfId="39035" xr:uid="{00000000-0005-0000-0000-00007B980000}"/>
    <cellStyle name="Título 3 3 2 2" xfId="39036" xr:uid="{00000000-0005-0000-0000-00007C980000}"/>
    <cellStyle name="Título 3 3 2 3" xfId="39037" xr:uid="{00000000-0005-0000-0000-00007D980000}"/>
    <cellStyle name="Título 3 3 3" xfId="39038" xr:uid="{00000000-0005-0000-0000-00007E980000}"/>
    <cellStyle name="Título 3 3 4" xfId="39039" xr:uid="{00000000-0005-0000-0000-00007F980000}"/>
    <cellStyle name="Título 3 4" xfId="39040" xr:uid="{00000000-0005-0000-0000-000080980000}"/>
    <cellStyle name="Título 3 4 2" xfId="39041" xr:uid="{00000000-0005-0000-0000-000081980000}"/>
    <cellStyle name="Título 3 4 2 2" xfId="39042" xr:uid="{00000000-0005-0000-0000-000082980000}"/>
    <cellStyle name="Título 3 4 2 3" xfId="39043" xr:uid="{00000000-0005-0000-0000-000083980000}"/>
    <cellStyle name="Título 3 4 3" xfId="39044" xr:uid="{00000000-0005-0000-0000-000084980000}"/>
    <cellStyle name="Título 3 4 4" xfId="39045" xr:uid="{00000000-0005-0000-0000-000085980000}"/>
    <cellStyle name="Título 3 5" xfId="39046" xr:uid="{00000000-0005-0000-0000-000086980000}"/>
    <cellStyle name="Título 3 5 2" xfId="39047" xr:uid="{00000000-0005-0000-0000-000087980000}"/>
    <cellStyle name="Título 3 5 2 2" xfId="39048" xr:uid="{00000000-0005-0000-0000-000088980000}"/>
    <cellStyle name="Título 3 5 2 3" xfId="39049" xr:uid="{00000000-0005-0000-0000-000089980000}"/>
    <cellStyle name="Título 3 5 3" xfId="39050" xr:uid="{00000000-0005-0000-0000-00008A980000}"/>
    <cellStyle name="Título 3 5 4" xfId="39051" xr:uid="{00000000-0005-0000-0000-00008B980000}"/>
    <cellStyle name="Título 3 6" xfId="39052" xr:uid="{00000000-0005-0000-0000-00008C980000}"/>
    <cellStyle name="Título 3 6 2" xfId="39053" xr:uid="{00000000-0005-0000-0000-00008D980000}"/>
    <cellStyle name="Título 3 6 2 2" xfId="39054" xr:uid="{00000000-0005-0000-0000-00008E980000}"/>
    <cellStyle name="Título 3 6 2 3" xfId="39055" xr:uid="{00000000-0005-0000-0000-00008F980000}"/>
    <cellStyle name="Título 3 6 3" xfId="39056" xr:uid="{00000000-0005-0000-0000-000090980000}"/>
    <cellStyle name="Título 3 6 4" xfId="39057" xr:uid="{00000000-0005-0000-0000-000091980000}"/>
    <cellStyle name="Título 3 7" xfId="39058" xr:uid="{00000000-0005-0000-0000-000092980000}"/>
    <cellStyle name="Título 3 7 2" xfId="39059" xr:uid="{00000000-0005-0000-0000-000093980000}"/>
    <cellStyle name="Título 3 7 2 2" xfId="39060" xr:uid="{00000000-0005-0000-0000-000094980000}"/>
    <cellStyle name="Título 3 7 2 3" xfId="39061" xr:uid="{00000000-0005-0000-0000-000095980000}"/>
    <cellStyle name="Título 3 7 3" xfId="39062" xr:uid="{00000000-0005-0000-0000-000096980000}"/>
    <cellStyle name="Título 3 7 4" xfId="39063" xr:uid="{00000000-0005-0000-0000-000097980000}"/>
    <cellStyle name="Título 3 8" xfId="39064" xr:uid="{00000000-0005-0000-0000-000098980000}"/>
    <cellStyle name="Título 3 8 2" xfId="39065" xr:uid="{00000000-0005-0000-0000-000099980000}"/>
    <cellStyle name="Título 3 8 2 2" xfId="39066" xr:uid="{00000000-0005-0000-0000-00009A980000}"/>
    <cellStyle name="Título 3 8 2 3" xfId="39067" xr:uid="{00000000-0005-0000-0000-00009B980000}"/>
    <cellStyle name="Título 3 8 3" xfId="39068" xr:uid="{00000000-0005-0000-0000-00009C980000}"/>
    <cellStyle name="Título 3 8 4" xfId="39069" xr:uid="{00000000-0005-0000-0000-00009D980000}"/>
    <cellStyle name="Título 3 9" xfId="39070" xr:uid="{00000000-0005-0000-0000-00009E980000}"/>
    <cellStyle name="Título 3 9 2" xfId="39071" xr:uid="{00000000-0005-0000-0000-00009F980000}"/>
    <cellStyle name="Título 3 9 3" xfId="39072" xr:uid="{00000000-0005-0000-0000-0000A0980000}"/>
    <cellStyle name="Título 4" xfId="39073" xr:uid="{00000000-0005-0000-0000-0000A1980000}"/>
    <cellStyle name="Título 4 2" xfId="39074" xr:uid="{00000000-0005-0000-0000-0000A2980000}"/>
    <cellStyle name="Título 4 2 2" xfId="39075" xr:uid="{00000000-0005-0000-0000-0000A3980000}"/>
    <cellStyle name="Título 4 2 3" xfId="39076" xr:uid="{00000000-0005-0000-0000-0000A4980000}"/>
    <cellStyle name="Título 4 2 4" xfId="39077" xr:uid="{00000000-0005-0000-0000-0000A5980000}"/>
    <cellStyle name="Título 4 3" xfId="39078" xr:uid="{00000000-0005-0000-0000-0000A6980000}"/>
    <cellStyle name="Título 4 4" xfId="39079" xr:uid="{00000000-0005-0000-0000-0000A7980000}"/>
    <cellStyle name="Título 5" xfId="39080" xr:uid="{00000000-0005-0000-0000-0000A8980000}"/>
    <cellStyle name="Título 5 2" xfId="39081" xr:uid="{00000000-0005-0000-0000-0000A9980000}"/>
    <cellStyle name="Título 5 2 2" xfId="39082" xr:uid="{00000000-0005-0000-0000-0000AA980000}"/>
    <cellStyle name="Título 5 2 3" xfId="39083" xr:uid="{00000000-0005-0000-0000-0000AB980000}"/>
    <cellStyle name="Título 5 2 4" xfId="39084" xr:uid="{00000000-0005-0000-0000-0000AC980000}"/>
    <cellStyle name="Título 5 3" xfId="39085" xr:uid="{00000000-0005-0000-0000-0000AD980000}"/>
    <cellStyle name="Título 5 4" xfId="39086" xr:uid="{00000000-0005-0000-0000-0000AE980000}"/>
    <cellStyle name="Título 6" xfId="39087" xr:uid="{00000000-0005-0000-0000-0000AF980000}"/>
    <cellStyle name="Título 6 2" xfId="39088" xr:uid="{00000000-0005-0000-0000-0000B0980000}"/>
    <cellStyle name="Título 6 2 2" xfId="39089" xr:uid="{00000000-0005-0000-0000-0000B1980000}"/>
    <cellStyle name="Título 6 2 3" xfId="39090" xr:uid="{00000000-0005-0000-0000-0000B2980000}"/>
    <cellStyle name="Título 6 3" xfId="39091" xr:uid="{00000000-0005-0000-0000-0000B3980000}"/>
    <cellStyle name="Título 6 4" xfId="39092" xr:uid="{00000000-0005-0000-0000-0000B4980000}"/>
    <cellStyle name="Título 7" xfId="39093" xr:uid="{00000000-0005-0000-0000-0000B5980000}"/>
    <cellStyle name="Título 7 2" xfId="39094" xr:uid="{00000000-0005-0000-0000-0000B6980000}"/>
    <cellStyle name="Título 7 2 2" xfId="39095" xr:uid="{00000000-0005-0000-0000-0000B7980000}"/>
    <cellStyle name="Título 7 2 3" xfId="39096" xr:uid="{00000000-0005-0000-0000-0000B8980000}"/>
    <cellStyle name="Título 7 3" xfId="39097" xr:uid="{00000000-0005-0000-0000-0000B9980000}"/>
    <cellStyle name="Título 7 4" xfId="39098" xr:uid="{00000000-0005-0000-0000-0000BA980000}"/>
    <cellStyle name="Título 8" xfId="39099" xr:uid="{00000000-0005-0000-0000-0000BB980000}"/>
    <cellStyle name="Título 8 2" xfId="39100" xr:uid="{00000000-0005-0000-0000-0000BC980000}"/>
    <cellStyle name="Título 8 2 2" xfId="39101" xr:uid="{00000000-0005-0000-0000-0000BD980000}"/>
    <cellStyle name="Título 8 2 3" xfId="39102" xr:uid="{00000000-0005-0000-0000-0000BE980000}"/>
    <cellStyle name="Título 8 3" xfId="39103" xr:uid="{00000000-0005-0000-0000-0000BF980000}"/>
    <cellStyle name="Título 8 4" xfId="39104" xr:uid="{00000000-0005-0000-0000-0000C0980000}"/>
    <cellStyle name="Título 9" xfId="39105" xr:uid="{00000000-0005-0000-0000-0000C1980000}"/>
    <cellStyle name="Título 9 2" xfId="39106" xr:uid="{00000000-0005-0000-0000-0000C2980000}"/>
    <cellStyle name="Título 9 2 2" xfId="39107" xr:uid="{00000000-0005-0000-0000-0000C3980000}"/>
    <cellStyle name="Título 9 2 3" xfId="39108" xr:uid="{00000000-0005-0000-0000-0000C4980000}"/>
    <cellStyle name="Título 9 3" xfId="39109" xr:uid="{00000000-0005-0000-0000-0000C5980000}"/>
    <cellStyle name="Título 9 4" xfId="39110" xr:uid="{00000000-0005-0000-0000-0000C6980000}"/>
    <cellStyle name="Total 2" xfId="39111" xr:uid="{00000000-0005-0000-0000-0000C7980000}"/>
    <cellStyle name="Total 2 2" xfId="39112" xr:uid="{00000000-0005-0000-0000-0000C8980000}"/>
    <cellStyle name="Total 2 2 2" xfId="39113" xr:uid="{00000000-0005-0000-0000-0000C9980000}"/>
    <cellStyle name="Total 2 2 3" xfId="39114" xr:uid="{00000000-0005-0000-0000-0000CA980000}"/>
    <cellStyle name="Total 2 3" xfId="39115" xr:uid="{00000000-0005-0000-0000-0000CB980000}"/>
    <cellStyle name="Total 2 4" xfId="39116" xr:uid="{00000000-0005-0000-0000-0000CC980000}"/>
    <cellStyle name="Total 3" xfId="39117" xr:uid="{00000000-0005-0000-0000-0000CD980000}"/>
    <cellStyle name="Total 3 2" xfId="39118" xr:uid="{00000000-0005-0000-0000-0000CE980000}"/>
    <cellStyle name="Total 3 2 2" xfId="39119" xr:uid="{00000000-0005-0000-0000-0000CF980000}"/>
    <cellStyle name="Total 3 2 3" xfId="39120" xr:uid="{00000000-0005-0000-0000-0000D0980000}"/>
    <cellStyle name="Total 3 3" xfId="39121" xr:uid="{00000000-0005-0000-0000-0000D1980000}"/>
    <cellStyle name="Total 3 4" xfId="39122" xr:uid="{00000000-0005-0000-0000-0000D2980000}"/>
    <cellStyle name="Total 4" xfId="39123" xr:uid="{00000000-0005-0000-0000-0000D3980000}"/>
    <cellStyle name="Total 4 2" xfId="39124" xr:uid="{00000000-0005-0000-0000-0000D4980000}"/>
    <cellStyle name="Total 4 2 2" xfId="39125" xr:uid="{00000000-0005-0000-0000-0000D5980000}"/>
    <cellStyle name="Total 4 2 3" xfId="39126" xr:uid="{00000000-0005-0000-0000-0000D6980000}"/>
    <cellStyle name="Total 4 3" xfId="39127" xr:uid="{00000000-0005-0000-0000-0000D7980000}"/>
    <cellStyle name="Total 4 4" xfId="39128" xr:uid="{00000000-0005-0000-0000-0000D8980000}"/>
    <cellStyle name="Total 5" xfId="39129" xr:uid="{00000000-0005-0000-0000-0000D9980000}"/>
    <cellStyle name="Total 5 2" xfId="39130" xr:uid="{00000000-0005-0000-0000-0000DA980000}"/>
    <cellStyle name="Total 5 3" xfId="39131" xr:uid="{00000000-0005-0000-0000-0000DB980000}"/>
    <cellStyle name="Total 6" xfId="39132" xr:uid="{00000000-0005-0000-0000-0000DC980000}"/>
    <cellStyle name="Total 7" xfId="39133" xr:uid="{00000000-0005-0000-0000-0000DD980000}"/>
    <cellStyle name="Warning Text" xfId="39134" xr:uid="{00000000-0005-0000-0000-0000DE980000}"/>
    <cellStyle name="Warning Text 2" xfId="39135" xr:uid="{00000000-0005-0000-0000-0000DF980000}"/>
    <cellStyle name="Warning Text 2 2" xfId="39136" xr:uid="{00000000-0005-0000-0000-0000E0980000}"/>
    <cellStyle name="Warning Text 2 2 2" xfId="39137" xr:uid="{00000000-0005-0000-0000-0000E1980000}"/>
    <cellStyle name="Warning Text 2 2 3" xfId="39138" xr:uid="{00000000-0005-0000-0000-0000E2980000}"/>
    <cellStyle name="Warning Text 2 3" xfId="39139" xr:uid="{00000000-0005-0000-0000-0000E3980000}"/>
    <cellStyle name="Warning Text 2 4" xfId="39140" xr:uid="{00000000-0005-0000-0000-0000E4980000}"/>
    <cellStyle name="Warning Text 3" xfId="39141" xr:uid="{00000000-0005-0000-0000-0000E5980000}"/>
    <cellStyle name="Warning Text 3 2" xfId="39142" xr:uid="{00000000-0005-0000-0000-0000E6980000}"/>
    <cellStyle name="Warning Text 3 2 2" xfId="39143" xr:uid="{00000000-0005-0000-0000-0000E7980000}"/>
    <cellStyle name="Warning Text 3 2 3" xfId="39144" xr:uid="{00000000-0005-0000-0000-0000E8980000}"/>
    <cellStyle name="Warning Text 3 3" xfId="39145" xr:uid="{00000000-0005-0000-0000-0000E9980000}"/>
    <cellStyle name="Warning Text 3 4" xfId="39146" xr:uid="{00000000-0005-0000-0000-0000EA980000}"/>
    <cellStyle name="Warning Text 4" xfId="39147" xr:uid="{00000000-0005-0000-0000-0000EB980000}"/>
    <cellStyle name="Warning Text 4 2" xfId="39148" xr:uid="{00000000-0005-0000-0000-0000EC980000}"/>
    <cellStyle name="Warning Text 4 2 2" xfId="39149" xr:uid="{00000000-0005-0000-0000-0000ED980000}"/>
    <cellStyle name="Warning Text 4 2 3" xfId="39150" xr:uid="{00000000-0005-0000-0000-0000EE980000}"/>
    <cellStyle name="Warning Text 4 3" xfId="39151" xr:uid="{00000000-0005-0000-0000-0000EF980000}"/>
    <cellStyle name="Warning Text 4 4" xfId="39152" xr:uid="{00000000-0005-0000-0000-0000F0980000}"/>
    <cellStyle name="Warning Text 5" xfId="39153" xr:uid="{00000000-0005-0000-0000-0000F1980000}"/>
    <cellStyle name="Warning Text 5 2" xfId="39154" xr:uid="{00000000-0005-0000-0000-0000F2980000}"/>
    <cellStyle name="Warning Text 5 2 2" xfId="39155" xr:uid="{00000000-0005-0000-0000-0000F3980000}"/>
    <cellStyle name="Warning Text 5 2 3" xfId="39156" xr:uid="{00000000-0005-0000-0000-0000F4980000}"/>
    <cellStyle name="Warning Text 5 3" xfId="39157" xr:uid="{00000000-0005-0000-0000-0000F5980000}"/>
    <cellStyle name="Warning Text 5 4" xfId="39158" xr:uid="{00000000-0005-0000-0000-0000F6980000}"/>
    <cellStyle name="Warning Text 6" xfId="39159" xr:uid="{00000000-0005-0000-0000-0000F7980000}"/>
    <cellStyle name="Warning Text 6 2" xfId="39160" xr:uid="{00000000-0005-0000-0000-0000F8980000}"/>
    <cellStyle name="Warning Text 6 3" xfId="39161" xr:uid="{00000000-0005-0000-0000-0000F9980000}"/>
    <cellStyle name="Warning Text 7" xfId="39162" xr:uid="{00000000-0005-0000-0000-0000FA980000}"/>
    <cellStyle name="Warning Text 8" xfId="39163" xr:uid="{00000000-0005-0000-0000-0000FB980000}"/>
    <cellStyle name="好" xfId="39164" xr:uid="{00000000-0005-0000-0000-0000FC980000}"/>
    <cellStyle name="差" xfId="39165" xr:uid="{00000000-0005-0000-0000-0000FD980000}"/>
    <cellStyle name="强调文字颜色 1" xfId="39166" xr:uid="{00000000-0005-0000-0000-0000FE980000}"/>
    <cellStyle name="强调文字颜色 2" xfId="39167" xr:uid="{00000000-0005-0000-0000-0000FF980000}"/>
    <cellStyle name="强调文字颜色 3" xfId="39168" xr:uid="{00000000-0005-0000-0000-000000990000}"/>
    <cellStyle name="强调文字颜色 4" xfId="39169" xr:uid="{00000000-0005-0000-0000-000001990000}"/>
    <cellStyle name="强调文字颜色 5" xfId="39170" xr:uid="{00000000-0005-0000-0000-000002990000}"/>
    <cellStyle name="强调文字颜色 6" xfId="39171" xr:uid="{00000000-0005-0000-0000-000003990000}"/>
    <cellStyle name="标题" xfId="39172" xr:uid="{00000000-0005-0000-0000-000004990000}"/>
    <cellStyle name="标题 1" xfId="39173" xr:uid="{00000000-0005-0000-0000-000005990000}"/>
    <cellStyle name="标题 2" xfId="39174" xr:uid="{00000000-0005-0000-0000-000006990000}"/>
    <cellStyle name="标题 3" xfId="39175" xr:uid="{00000000-0005-0000-0000-000007990000}"/>
    <cellStyle name="标题 4" xfId="39176" xr:uid="{00000000-0005-0000-0000-000008990000}"/>
    <cellStyle name="检查单元格" xfId="39177" xr:uid="{00000000-0005-0000-0000-000009990000}"/>
    <cellStyle name="汇总" xfId="39178" xr:uid="{00000000-0005-0000-0000-00000A990000}"/>
    <cellStyle name="注释" xfId="39179" xr:uid="{00000000-0005-0000-0000-00000B990000}"/>
    <cellStyle name="解释性文本" xfId="39180" xr:uid="{00000000-0005-0000-0000-00000C990000}"/>
    <cellStyle name="警告文本" xfId="39181" xr:uid="{00000000-0005-0000-0000-00000D990000}"/>
    <cellStyle name="计算" xfId="39182" xr:uid="{00000000-0005-0000-0000-00000E990000}"/>
    <cellStyle name="输入" xfId="39183" xr:uid="{00000000-0005-0000-0000-00000F990000}"/>
    <cellStyle name="输出" xfId="39184" xr:uid="{00000000-0005-0000-0000-000010990000}"/>
    <cellStyle name="适中" xfId="39185" xr:uid="{00000000-0005-0000-0000-000011990000}"/>
    <cellStyle name="链接单元格" xfId="39186" xr:uid="{00000000-0005-0000-0000-000012990000}"/>
  </cellStyles>
  <dxfs count="3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B12" sqref="B12"/>
    </sheetView>
  </sheetViews>
  <sheetFormatPr baseColWidth="10" defaultColWidth="11.44140625" defaultRowHeight="13.2"/>
  <cols>
    <col min="1" max="1" width="20" style="3" bestFit="1" customWidth="1"/>
    <col min="2" max="2" width="25.44140625" style="3" bestFit="1" customWidth="1"/>
    <col min="3" max="3" width="18.109375" style="3" bestFit="1" customWidth="1"/>
    <col min="4" max="4" width="18" style="3" bestFit="1" customWidth="1"/>
    <col min="5" max="5" width="15.88671875" style="1" customWidth="1"/>
    <col min="6" max="6" width="11.44140625" style="1" customWidth="1"/>
    <col min="7" max="16384" width="11.44140625" style="1"/>
  </cols>
  <sheetData>
    <row r="1" spans="1:7">
      <c r="A1" s="43" t="s">
        <v>0</v>
      </c>
      <c r="B1" s="44"/>
      <c r="C1" s="44"/>
      <c r="D1" s="45"/>
      <c r="E1" s="8" t="s">
        <v>1</v>
      </c>
    </row>
    <row r="2" spans="1:7">
      <c r="A2" s="8" t="s">
        <v>2</v>
      </c>
      <c r="B2" s="8" t="s">
        <v>3</v>
      </c>
      <c r="C2" s="8" t="s">
        <v>4</v>
      </c>
      <c r="D2" s="8" t="s">
        <v>5</v>
      </c>
      <c r="E2" s="9">
        <v>5.1999999999999998E-2</v>
      </c>
    </row>
    <row r="3" spans="1:7">
      <c r="A3" s="4" t="s">
        <v>6</v>
      </c>
      <c r="B3" s="4" t="s">
        <v>7</v>
      </c>
      <c r="C3" s="10">
        <f>62700.07*(1+$E$2)</f>
        <v>65960.473639999997</v>
      </c>
      <c r="D3" s="10">
        <f>42357.4*(1+$E$2)</f>
        <v>44559.984800000006</v>
      </c>
      <c r="E3" s="2"/>
      <c r="F3" s="2"/>
      <c r="G3" s="2"/>
    </row>
    <row r="4" spans="1:7">
      <c r="A4" s="4" t="s">
        <v>8</v>
      </c>
      <c r="B4" s="4" t="s">
        <v>9</v>
      </c>
      <c r="C4" s="10">
        <f>155716.31*(1+$E$2)</f>
        <v>163813.55812</v>
      </c>
      <c r="D4" s="10">
        <f>127766.53*(1+$E$2)</f>
        <v>134410.38956000001</v>
      </c>
      <c r="E4" s="2"/>
      <c r="F4" s="2"/>
      <c r="G4" s="2"/>
    </row>
    <row r="5" spans="1:7">
      <c r="A5" s="4" t="s">
        <v>10</v>
      </c>
      <c r="B5" s="4" t="s">
        <v>11</v>
      </c>
      <c r="C5" s="10">
        <f>262099.22*(1+$E$2)</f>
        <v>275728.37943999999</v>
      </c>
      <c r="D5" s="10">
        <f>211886.19*(1+$E$2)</f>
        <v>222904.27188000001</v>
      </c>
      <c r="E5" s="2"/>
      <c r="F5" s="2"/>
      <c r="G5" s="2"/>
    </row>
    <row r="6" spans="1:7">
      <c r="A6" s="4" t="s">
        <v>12</v>
      </c>
      <c r="B6" s="4" t="s">
        <v>13</v>
      </c>
      <c r="C6" s="10">
        <f>455883.78*(1+$E$2)</f>
        <v>479589.73656000005</v>
      </c>
      <c r="D6" s="10">
        <f>441833.68*(1+$E$2)</f>
        <v>464809.03136000002</v>
      </c>
      <c r="E6" s="2"/>
      <c r="F6" s="2"/>
      <c r="G6" s="2"/>
    </row>
    <row r="7" spans="1:7">
      <c r="A7" s="4" t="s">
        <v>14</v>
      </c>
      <c r="B7" s="4" t="s">
        <v>15</v>
      </c>
      <c r="C7" s="10">
        <f>455883.78*(1+$E$2)</f>
        <v>479589.73656000005</v>
      </c>
      <c r="D7" s="10">
        <f>441833.68*(1+$E$2)</f>
        <v>464809.03136000002</v>
      </c>
      <c r="E7" s="2"/>
      <c r="F7" s="2"/>
      <c r="G7" s="2"/>
    </row>
    <row r="8" spans="1:7" ht="24" customHeight="1">
      <c r="A8" s="46" t="s">
        <v>16</v>
      </c>
      <c r="B8" s="44"/>
      <c r="C8" s="44"/>
      <c r="D8" s="45"/>
      <c r="E8" s="2"/>
    </row>
    <row r="9" spans="1:7">
      <c r="A9" s="5"/>
      <c r="B9" s="6"/>
      <c r="C9" s="6"/>
      <c r="D9" s="7"/>
    </row>
    <row r="10" spans="1:7">
      <c r="A10" s="4" t="s">
        <v>17</v>
      </c>
      <c r="B10" s="10">
        <f>36031.04*(1+$E$2)</f>
        <v>37904.65408</v>
      </c>
      <c r="C10" s="2"/>
      <c r="D10" s="2"/>
    </row>
    <row r="11" spans="1:7">
      <c r="A11" s="4" t="s">
        <v>18</v>
      </c>
      <c r="B11" s="10">
        <f>30182.1*(1+$E$2)</f>
        <v>31751.569199999998</v>
      </c>
      <c r="C11" s="2"/>
      <c r="D11" s="2"/>
    </row>
    <row r="12" spans="1:7">
      <c r="A12" s="4" t="s">
        <v>19</v>
      </c>
      <c r="B12" s="10">
        <f>15432.22*(1+$E$2)</f>
        <v>16234.69544</v>
      </c>
      <c r="C12" s="2"/>
      <c r="D12" s="2"/>
    </row>
    <row r="13" spans="1:7">
      <c r="A13" s="4" t="s">
        <v>20</v>
      </c>
      <c r="B13" s="10">
        <f>244669.03*(1+$E$2)</f>
        <v>257391.81956</v>
      </c>
      <c r="C13" s="2"/>
      <c r="D13" s="2"/>
    </row>
    <row r="14" spans="1:7">
      <c r="A14" s="4" t="s">
        <v>21</v>
      </c>
      <c r="B14" s="10">
        <f>291399.51*(1+$E$2)</f>
        <v>306552.28452000004</v>
      </c>
      <c r="C14" s="2"/>
      <c r="D14" s="2"/>
    </row>
    <row r="15" spans="1:7">
      <c r="A15" s="4" t="s">
        <v>22</v>
      </c>
      <c r="B15" s="11">
        <f>53547.34*(1+$E$2)</f>
        <v>56331.801679999997</v>
      </c>
      <c r="C15" s="2"/>
      <c r="D15" s="2"/>
    </row>
    <row r="16" spans="1:7">
      <c r="E16" s="2"/>
    </row>
  </sheetData>
  <mergeCells count="2">
    <mergeCell ref="A1:D1"/>
    <mergeCell ref="A8: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291A-1A8B-47D4-9D19-AE82792E3F1B}">
  <dimension ref="A1:J12"/>
  <sheetViews>
    <sheetView tabSelected="1" workbookViewId="0">
      <selection activeCell="D10" sqref="D10"/>
    </sheetView>
  </sheetViews>
  <sheetFormatPr baseColWidth="10" defaultRowHeight="13.2"/>
  <cols>
    <col min="1" max="1" width="14" bestFit="1" customWidth="1"/>
    <col min="3" max="3" width="15.6640625" bestFit="1" customWidth="1"/>
    <col min="4" max="4" width="11.88671875" bestFit="1" customWidth="1"/>
    <col min="6" max="6" width="18.44140625" bestFit="1" customWidth="1"/>
    <col min="7" max="7" width="31.33203125" bestFit="1" customWidth="1"/>
  </cols>
  <sheetData>
    <row r="1" spans="1:10">
      <c r="A1" s="56" t="s">
        <v>887</v>
      </c>
      <c r="B1" s="57"/>
      <c r="C1" s="57"/>
      <c r="D1" s="57"/>
      <c r="E1" s="3"/>
      <c r="F1" s="58" t="s">
        <v>888</v>
      </c>
      <c r="G1" s="59"/>
      <c r="H1" s="59"/>
      <c r="I1" s="59"/>
      <c r="J1" s="60"/>
    </row>
    <row r="2" spans="1:10">
      <c r="A2" s="61" t="s">
        <v>889</v>
      </c>
      <c r="B2" s="61"/>
      <c r="C2" s="61"/>
      <c r="D2" s="61"/>
      <c r="E2" s="3"/>
      <c r="F2" s="62">
        <f>A3</f>
        <v>45962</v>
      </c>
      <c r="G2" s="63"/>
      <c r="H2" s="63"/>
      <c r="I2" s="63"/>
      <c r="J2" s="64"/>
    </row>
    <row r="3" spans="1:10">
      <c r="A3" s="65">
        <v>45962</v>
      </c>
      <c r="B3" s="61"/>
      <c r="C3" s="61"/>
      <c r="D3" s="61"/>
      <c r="E3" s="3"/>
      <c r="F3" s="16"/>
      <c r="G3" s="16"/>
      <c r="H3" s="16"/>
      <c r="I3" s="17"/>
      <c r="J3" s="17"/>
    </row>
    <row r="4" spans="1:10">
      <c r="A4" s="66"/>
      <c r="B4" s="66"/>
      <c r="C4" s="66"/>
      <c r="D4" s="66"/>
      <c r="E4" s="3"/>
      <c r="F4" s="19" t="s">
        <v>890</v>
      </c>
      <c r="G4" s="19" t="s">
        <v>891</v>
      </c>
      <c r="H4" s="20" t="s">
        <v>892</v>
      </c>
      <c r="I4" s="19" t="s">
        <v>893</v>
      </c>
      <c r="J4" s="21" t="s">
        <v>892</v>
      </c>
    </row>
    <row r="5" spans="1:10">
      <c r="A5" s="22" t="s">
        <v>890</v>
      </c>
      <c r="B5" s="15" t="s">
        <v>894</v>
      </c>
      <c r="C5" s="23" t="s">
        <v>895</v>
      </c>
      <c r="D5" s="22" t="s">
        <v>864</v>
      </c>
      <c r="F5" s="24" t="s">
        <v>902</v>
      </c>
      <c r="G5" s="24" t="s">
        <v>903</v>
      </c>
      <c r="H5" s="24">
        <f>440000+285800</f>
        <v>725800</v>
      </c>
      <c r="I5" s="25">
        <f t="shared" ref="I5:I11" si="0">H5*0.12</f>
        <v>87096</v>
      </c>
      <c r="J5" s="26">
        <f t="shared" ref="J5:J11" si="1">H5+I5</f>
        <v>812896</v>
      </c>
    </row>
    <row r="6" spans="1:10">
      <c r="A6" s="27" t="s">
        <v>896</v>
      </c>
      <c r="B6" s="18">
        <f>COUNTA(ADECUCACIONES!A:A)-1</f>
        <v>7</v>
      </c>
      <c r="C6" s="28">
        <v>0</v>
      </c>
      <c r="D6" s="29">
        <f>SUM(ADECUCACIONES!AE2:AE10000)</f>
        <v>2274665</v>
      </c>
      <c r="F6" s="24"/>
      <c r="G6" s="24"/>
      <c r="H6" s="24"/>
      <c r="I6" s="25">
        <f t="shared" si="0"/>
        <v>0</v>
      </c>
      <c r="J6" s="26">
        <f t="shared" si="1"/>
        <v>0</v>
      </c>
    </row>
    <row r="7" spans="1:10">
      <c r="A7" s="27" t="s">
        <v>897</v>
      </c>
      <c r="B7" s="18">
        <f>COUNTA(INCIDENTES!A:A)-1</f>
        <v>88</v>
      </c>
      <c r="C7" s="28">
        <v>0</v>
      </c>
      <c r="D7" s="30">
        <f>SUM(INCIDENTES!AH2:AH9913)</f>
        <v>9077759</v>
      </c>
      <c r="F7" s="31"/>
      <c r="G7" s="32"/>
      <c r="H7" s="33"/>
      <c r="I7" s="25">
        <f t="shared" si="0"/>
        <v>0</v>
      </c>
      <c r="J7" s="26">
        <f t="shared" si="1"/>
        <v>0</v>
      </c>
    </row>
    <row r="8" spans="1:10">
      <c r="A8" s="27" t="s">
        <v>898</v>
      </c>
      <c r="B8" s="18">
        <f>COUNTA(OC!A:A)-1</f>
        <v>4</v>
      </c>
      <c r="C8" s="28">
        <v>0</v>
      </c>
      <c r="D8" s="30">
        <f>SUM(OC!AG2:AG10000)</f>
        <v>263840</v>
      </c>
      <c r="F8" s="31"/>
      <c r="G8" s="32"/>
      <c r="H8" s="33"/>
      <c r="I8" s="25">
        <f t="shared" si="0"/>
        <v>0</v>
      </c>
      <c r="J8" s="26">
        <f t="shared" si="1"/>
        <v>0</v>
      </c>
    </row>
    <row r="9" spans="1:10">
      <c r="A9" s="27" t="s">
        <v>899</v>
      </c>
      <c r="B9" s="18">
        <v>1</v>
      </c>
      <c r="C9" s="28">
        <v>0</v>
      </c>
      <c r="D9" s="30">
        <f>J12</f>
        <v>812896</v>
      </c>
      <c r="F9" s="31"/>
      <c r="G9" s="32"/>
      <c r="H9" s="33"/>
      <c r="I9" s="25">
        <f t="shared" si="0"/>
        <v>0</v>
      </c>
      <c r="J9" s="26">
        <f t="shared" si="1"/>
        <v>0</v>
      </c>
    </row>
    <row r="10" spans="1:10">
      <c r="A10" s="47" t="s">
        <v>900</v>
      </c>
      <c r="B10" s="48"/>
      <c r="C10" s="49"/>
      <c r="D10" s="34">
        <f>SUM(D6:D9)</f>
        <v>12429160</v>
      </c>
      <c r="F10" s="31"/>
      <c r="G10" s="32"/>
      <c r="H10" s="33"/>
      <c r="I10" s="25">
        <f t="shared" si="0"/>
        <v>0</v>
      </c>
      <c r="J10" s="26">
        <f t="shared" si="1"/>
        <v>0</v>
      </c>
    </row>
    <row r="11" spans="1:10">
      <c r="A11" s="50" t="s">
        <v>901</v>
      </c>
      <c r="B11" s="51"/>
      <c r="C11" s="52"/>
      <c r="D11" s="35">
        <f>D10*0.19</f>
        <v>2361540.4</v>
      </c>
      <c r="F11" s="31"/>
      <c r="G11" s="32"/>
      <c r="H11" s="33"/>
      <c r="I11" s="25">
        <f t="shared" si="0"/>
        <v>0</v>
      </c>
      <c r="J11" s="26">
        <f t="shared" si="1"/>
        <v>0</v>
      </c>
    </row>
    <row r="12" spans="1:10">
      <c r="A12" s="53" t="s">
        <v>892</v>
      </c>
      <c r="B12" s="54"/>
      <c r="C12" s="55"/>
      <c r="D12" s="36">
        <f>D10+D11</f>
        <v>14790700.4</v>
      </c>
      <c r="E12" s="3"/>
      <c r="F12" s="37" t="s">
        <v>892</v>
      </c>
      <c r="G12" s="38"/>
      <c r="H12" s="39">
        <f>SUM(H5:H11)</f>
        <v>725800</v>
      </c>
      <c r="I12" s="39">
        <f>SUM(I5:I11)</f>
        <v>87096</v>
      </c>
      <c r="J12" s="39">
        <f>SUM(J5:J11)</f>
        <v>812896</v>
      </c>
    </row>
  </sheetData>
  <mergeCells count="9">
    <mergeCell ref="A10:C10"/>
    <mergeCell ref="A11:C11"/>
    <mergeCell ref="A12:C12"/>
    <mergeCell ref="A1:D1"/>
    <mergeCell ref="F1:J1"/>
    <mergeCell ref="A2:D2"/>
    <mergeCell ref="F2:J2"/>
    <mergeCell ref="A3:D3"/>
    <mergeCell ref="A4:D4"/>
  </mergeCells>
  <conditionalFormatting sqref="F5:F6">
    <cfRule type="duplicateValues" dxfId="337"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
  <sheetViews>
    <sheetView topLeftCell="U1" workbookViewId="0">
      <pane ySplit="1" topLeftCell="A2" activePane="bottomLeft" state="frozen"/>
      <selection pane="bottomLeft" activeCell="X30" sqref="X30"/>
    </sheetView>
  </sheetViews>
  <sheetFormatPr baseColWidth="10" defaultColWidth="9.109375" defaultRowHeight="13.2"/>
  <cols>
    <col min="1" max="1" width="13" customWidth="1"/>
    <col min="2" max="2" width="32.44140625" bestFit="1" customWidth="1"/>
    <col min="3" max="3" width="27" customWidth="1"/>
    <col min="4" max="4" width="13" customWidth="1"/>
    <col min="5" max="5" width="21" customWidth="1"/>
    <col min="6" max="6" width="12" customWidth="1"/>
    <col min="7" max="7" width="11" customWidth="1"/>
    <col min="8" max="8" width="39" customWidth="1"/>
    <col min="9" max="9" width="17" customWidth="1"/>
    <col min="10" max="10" width="19"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20" customWidth="1"/>
    <col min="21" max="22" width="14" customWidth="1"/>
    <col min="23" max="23" width="18" customWidth="1"/>
    <col min="24" max="24" width="36" customWidth="1"/>
    <col min="25" max="25" width="17" customWidth="1"/>
    <col min="26" max="26" width="21" customWidth="1"/>
    <col min="27" max="28" width="10" customWidth="1"/>
    <col min="29" max="29" width="34" customWidth="1"/>
    <col min="30" max="30" width="28" customWidth="1"/>
    <col min="31" max="31" width="39" customWidth="1"/>
  </cols>
  <sheetData>
    <row r="1" spans="1:31" ht="27.6">
      <c r="A1" s="12" t="s">
        <v>23</v>
      </c>
      <c r="B1" s="12" t="s">
        <v>24</v>
      </c>
      <c r="C1" s="12" t="s">
        <v>25</v>
      </c>
      <c r="D1" s="12"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12" t="s">
        <v>41</v>
      </c>
      <c r="T1" s="12" t="s">
        <v>42</v>
      </c>
      <c r="U1" s="12" t="s">
        <v>43</v>
      </c>
      <c r="V1" s="12" t="s">
        <v>44</v>
      </c>
      <c r="W1" s="40" t="s">
        <v>45</v>
      </c>
      <c r="X1" s="12" t="s">
        <v>46</v>
      </c>
      <c r="Y1" s="12" t="s">
        <v>47</v>
      </c>
      <c r="Z1" s="12" t="s">
        <v>48</v>
      </c>
      <c r="AA1" s="12" t="s">
        <v>49</v>
      </c>
      <c r="AB1" s="12" t="s">
        <v>50</v>
      </c>
      <c r="AC1" s="12" t="s">
        <v>51</v>
      </c>
      <c r="AD1" s="12" t="s">
        <v>52</v>
      </c>
      <c r="AE1" s="12" t="s">
        <v>53</v>
      </c>
    </row>
    <row r="2" spans="1:31">
      <c r="A2" t="s">
        <v>54</v>
      </c>
      <c r="B2" t="s">
        <v>55</v>
      </c>
      <c r="C2" t="s">
        <v>56</v>
      </c>
      <c r="D2" t="s">
        <v>57</v>
      </c>
      <c r="E2" t="s">
        <v>58</v>
      </c>
      <c r="F2" t="s">
        <v>59</v>
      </c>
      <c r="G2" t="s">
        <v>60</v>
      </c>
      <c r="H2" t="s">
        <v>61</v>
      </c>
      <c r="I2" t="s">
        <v>62</v>
      </c>
      <c r="J2" t="s">
        <v>63</v>
      </c>
      <c r="K2" t="s">
        <v>64</v>
      </c>
      <c r="L2" t="s">
        <v>65</v>
      </c>
      <c r="M2" t="s">
        <v>66</v>
      </c>
      <c r="N2" s="13">
        <v>45959.881944444453</v>
      </c>
      <c r="O2" s="13">
        <v>45965.644444444442</v>
      </c>
      <c r="P2" t="s">
        <v>67</v>
      </c>
      <c r="Q2" t="s">
        <v>68</v>
      </c>
      <c r="R2" t="s">
        <v>69</v>
      </c>
      <c r="S2" t="s">
        <v>70</v>
      </c>
      <c r="T2" t="s">
        <v>71</v>
      </c>
      <c r="V2" t="s">
        <v>72</v>
      </c>
      <c r="W2" t="s">
        <v>73</v>
      </c>
      <c r="X2" t="s">
        <v>74</v>
      </c>
      <c r="Y2" s="14">
        <v>0</v>
      </c>
      <c r="Z2" s="14">
        <v>0</v>
      </c>
      <c r="AA2" s="14">
        <v>0</v>
      </c>
      <c r="AB2" s="14">
        <v>0</v>
      </c>
      <c r="AC2" s="14">
        <v>1</v>
      </c>
      <c r="AD2" s="14">
        <v>464809</v>
      </c>
      <c r="AE2" s="14">
        <v>464809</v>
      </c>
    </row>
    <row r="3" spans="1:31">
      <c r="A3" t="s">
        <v>75</v>
      </c>
      <c r="B3" t="s">
        <v>55</v>
      </c>
      <c r="C3" t="s">
        <v>56</v>
      </c>
      <c r="D3" t="s">
        <v>76</v>
      </c>
      <c r="E3" s="41" t="s">
        <v>77</v>
      </c>
      <c r="F3">
        <v>3007082025</v>
      </c>
      <c r="G3" t="s">
        <v>60</v>
      </c>
      <c r="H3" t="s">
        <v>61</v>
      </c>
      <c r="I3" t="s">
        <v>78</v>
      </c>
      <c r="J3" t="s">
        <v>79</v>
      </c>
      <c r="K3" t="s">
        <v>80</v>
      </c>
      <c r="L3" t="s">
        <v>65</v>
      </c>
      <c r="M3" t="s">
        <v>81</v>
      </c>
      <c r="N3" s="13">
        <v>45959.723611111112</v>
      </c>
      <c r="O3" s="13">
        <v>45966.821527777778</v>
      </c>
      <c r="P3" t="s">
        <v>67</v>
      </c>
      <c r="Q3" t="s">
        <v>68</v>
      </c>
      <c r="R3" t="s">
        <v>82</v>
      </c>
      <c r="S3" t="s">
        <v>83</v>
      </c>
      <c r="T3" t="s">
        <v>84</v>
      </c>
      <c r="V3" t="s">
        <v>85</v>
      </c>
      <c r="W3" t="s">
        <v>86</v>
      </c>
      <c r="X3" t="s">
        <v>87</v>
      </c>
      <c r="Y3" s="14">
        <v>0</v>
      </c>
      <c r="Z3" s="14">
        <v>0</v>
      </c>
      <c r="AA3" s="14">
        <v>0</v>
      </c>
      <c r="AB3" s="14">
        <v>0</v>
      </c>
      <c r="AC3" s="14">
        <v>1</v>
      </c>
      <c r="AD3" s="14">
        <v>988463</v>
      </c>
      <c r="AE3" s="14">
        <v>988463</v>
      </c>
    </row>
    <row r="4" spans="1:31">
      <c r="A4" t="s">
        <v>88</v>
      </c>
      <c r="B4" t="s">
        <v>89</v>
      </c>
      <c r="C4" t="s">
        <v>90</v>
      </c>
      <c r="D4" t="s">
        <v>91</v>
      </c>
      <c r="E4" t="s">
        <v>92</v>
      </c>
      <c r="F4" t="s">
        <v>93</v>
      </c>
      <c r="G4" t="s">
        <v>60</v>
      </c>
      <c r="H4" t="s">
        <v>61</v>
      </c>
      <c r="I4" t="s">
        <v>94</v>
      </c>
      <c r="J4" t="s">
        <v>95</v>
      </c>
      <c r="K4" t="s">
        <v>96</v>
      </c>
      <c r="L4" t="s">
        <v>65</v>
      </c>
      <c r="M4" t="s">
        <v>97</v>
      </c>
      <c r="N4" s="13">
        <v>45959.875694444447</v>
      </c>
      <c r="O4" s="13">
        <v>45966.832638888889</v>
      </c>
      <c r="P4" t="s">
        <v>67</v>
      </c>
      <c r="Q4" t="s">
        <v>68</v>
      </c>
      <c r="R4" t="s">
        <v>82</v>
      </c>
      <c r="S4" t="s">
        <v>98</v>
      </c>
      <c r="T4" t="s">
        <v>84</v>
      </c>
      <c r="V4" t="s">
        <v>72</v>
      </c>
      <c r="W4" t="s">
        <v>73</v>
      </c>
      <c r="X4" t="s">
        <v>99</v>
      </c>
      <c r="Y4" s="14">
        <v>0</v>
      </c>
      <c r="Z4" s="14">
        <v>0</v>
      </c>
      <c r="AA4" s="14">
        <v>0</v>
      </c>
      <c r="AB4" s="14">
        <v>0</v>
      </c>
      <c r="AC4" s="14">
        <v>1</v>
      </c>
      <c r="AD4" s="14">
        <v>464809</v>
      </c>
      <c r="AE4" s="14">
        <v>464809</v>
      </c>
    </row>
    <row r="5" spans="1:31">
      <c r="A5" t="s">
        <v>100</v>
      </c>
      <c r="B5" t="s">
        <v>89</v>
      </c>
      <c r="C5" t="s">
        <v>90</v>
      </c>
      <c r="D5" t="s">
        <v>101</v>
      </c>
      <c r="E5" t="s">
        <v>102</v>
      </c>
      <c r="F5" t="s">
        <v>103</v>
      </c>
      <c r="G5" t="s">
        <v>60</v>
      </c>
      <c r="H5" t="s">
        <v>61</v>
      </c>
      <c r="I5" t="s">
        <v>104</v>
      </c>
      <c r="J5" t="s">
        <v>105</v>
      </c>
      <c r="K5" t="s">
        <v>106</v>
      </c>
      <c r="L5" t="s">
        <v>65</v>
      </c>
      <c r="M5" t="s">
        <v>107</v>
      </c>
      <c r="N5" s="13">
        <v>45982.333333333343</v>
      </c>
      <c r="O5" s="13">
        <v>45985.506249999999</v>
      </c>
      <c r="R5" t="s">
        <v>82</v>
      </c>
      <c r="S5" t="s">
        <v>108</v>
      </c>
      <c r="T5" t="s">
        <v>84</v>
      </c>
      <c r="V5" t="s">
        <v>109</v>
      </c>
      <c r="W5" t="s">
        <v>73</v>
      </c>
      <c r="X5" t="s">
        <v>110</v>
      </c>
      <c r="Y5" s="14">
        <v>0</v>
      </c>
      <c r="Z5" s="14">
        <v>0</v>
      </c>
      <c r="AA5" s="14">
        <v>0</v>
      </c>
      <c r="AB5" s="14">
        <v>0</v>
      </c>
      <c r="AC5" s="14">
        <v>1</v>
      </c>
      <c r="AD5" s="14">
        <v>44560</v>
      </c>
      <c r="AE5" s="14">
        <v>44560</v>
      </c>
    </row>
    <row r="6" spans="1:31">
      <c r="A6" t="s">
        <v>54</v>
      </c>
      <c r="B6" t="s">
        <v>55</v>
      </c>
      <c r="C6" t="s">
        <v>56</v>
      </c>
      <c r="D6" t="s">
        <v>111</v>
      </c>
      <c r="E6" t="s">
        <v>112</v>
      </c>
      <c r="F6" t="s">
        <v>113</v>
      </c>
      <c r="G6" t="s">
        <v>60</v>
      </c>
      <c r="H6" t="s">
        <v>114</v>
      </c>
      <c r="I6" t="s">
        <v>62</v>
      </c>
      <c r="J6" t="s">
        <v>54</v>
      </c>
      <c r="K6" t="s">
        <v>115</v>
      </c>
      <c r="L6" t="s">
        <v>65</v>
      </c>
      <c r="M6" t="s">
        <v>116</v>
      </c>
      <c r="N6" s="13">
        <v>45982.333333333343</v>
      </c>
      <c r="O6" s="13">
        <v>45983.515277777777</v>
      </c>
      <c r="P6" t="s">
        <v>67</v>
      </c>
      <c r="Q6" t="s">
        <v>117</v>
      </c>
      <c r="R6" t="s">
        <v>82</v>
      </c>
      <c r="S6" t="s">
        <v>118</v>
      </c>
      <c r="T6" t="s">
        <v>84</v>
      </c>
      <c r="V6" t="s">
        <v>109</v>
      </c>
      <c r="W6" t="s">
        <v>73</v>
      </c>
      <c r="X6" t="s">
        <v>119</v>
      </c>
      <c r="Y6" s="14">
        <v>0</v>
      </c>
      <c r="Z6" s="14">
        <v>0</v>
      </c>
      <c r="AA6" s="14">
        <v>0</v>
      </c>
      <c r="AB6" s="14">
        <v>0</v>
      </c>
      <c r="AC6" s="14">
        <v>1</v>
      </c>
      <c r="AD6" s="14">
        <v>44560</v>
      </c>
      <c r="AE6" s="14">
        <v>44560</v>
      </c>
    </row>
    <row r="7" spans="1:31">
      <c r="A7" t="s">
        <v>120</v>
      </c>
      <c r="B7" t="s">
        <v>121</v>
      </c>
      <c r="C7" t="s">
        <v>122</v>
      </c>
      <c r="D7" t="s">
        <v>123</v>
      </c>
      <c r="E7" t="s">
        <v>124</v>
      </c>
      <c r="F7" t="s">
        <v>125</v>
      </c>
      <c r="G7" t="s">
        <v>60</v>
      </c>
      <c r="H7" t="s">
        <v>61</v>
      </c>
      <c r="I7" t="s">
        <v>121</v>
      </c>
      <c r="J7" t="s">
        <v>126</v>
      </c>
      <c r="K7" t="s">
        <v>127</v>
      </c>
      <c r="L7" t="s">
        <v>65</v>
      </c>
      <c r="M7" t="s">
        <v>128</v>
      </c>
      <c r="N7" s="13">
        <v>45985.333333333343</v>
      </c>
      <c r="O7" s="13">
        <v>45986.422222222223</v>
      </c>
      <c r="R7" t="s">
        <v>82</v>
      </c>
      <c r="S7" t="s">
        <v>129</v>
      </c>
      <c r="T7" t="s">
        <v>84</v>
      </c>
      <c r="V7" t="s">
        <v>130</v>
      </c>
      <c r="W7" t="s">
        <v>73</v>
      </c>
      <c r="X7" t="s">
        <v>131</v>
      </c>
      <c r="Y7" s="14">
        <v>0</v>
      </c>
      <c r="Z7" s="14">
        <v>0</v>
      </c>
      <c r="AA7" s="14">
        <v>0</v>
      </c>
      <c r="AB7" s="14">
        <v>0</v>
      </c>
      <c r="AC7" s="14">
        <v>1</v>
      </c>
      <c r="AD7" s="14">
        <v>222904</v>
      </c>
      <c r="AE7" s="14">
        <v>222904</v>
      </c>
    </row>
    <row r="8" spans="1:31">
      <c r="A8" t="s">
        <v>120</v>
      </c>
      <c r="B8" t="s">
        <v>121</v>
      </c>
      <c r="C8" t="s">
        <v>122</v>
      </c>
      <c r="D8" t="s">
        <v>132</v>
      </c>
      <c r="E8" t="s">
        <v>133</v>
      </c>
      <c r="F8" t="s">
        <v>134</v>
      </c>
      <c r="G8" t="s">
        <v>60</v>
      </c>
      <c r="H8" t="s">
        <v>135</v>
      </c>
      <c r="I8" t="s">
        <v>121</v>
      </c>
      <c r="J8" t="s">
        <v>120</v>
      </c>
      <c r="K8" t="s">
        <v>136</v>
      </c>
      <c r="L8" t="s">
        <v>65</v>
      </c>
      <c r="M8" t="s">
        <v>137</v>
      </c>
      <c r="N8" s="13">
        <v>45988.333333333343</v>
      </c>
      <c r="O8" s="13">
        <v>45989.711111111108</v>
      </c>
      <c r="R8" t="s">
        <v>138</v>
      </c>
      <c r="S8" t="s">
        <v>139</v>
      </c>
      <c r="T8" t="s">
        <v>84</v>
      </c>
      <c r="U8" t="s">
        <v>140</v>
      </c>
      <c r="V8" t="s">
        <v>109</v>
      </c>
      <c r="W8" t="s">
        <v>73</v>
      </c>
      <c r="X8" t="s">
        <v>141</v>
      </c>
      <c r="Y8" s="14">
        <v>0</v>
      </c>
      <c r="Z8" s="14">
        <v>0</v>
      </c>
      <c r="AA8" s="14">
        <v>0</v>
      </c>
      <c r="AB8" s="14">
        <v>0</v>
      </c>
      <c r="AC8" s="14">
        <v>1</v>
      </c>
      <c r="AD8" s="14">
        <v>44560</v>
      </c>
      <c r="AE8" s="14">
        <v>44560</v>
      </c>
    </row>
    <row r="9" spans="1:31">
      <c r="AE9" s="14"/>
    </row>
  </sheetData>
  <autoFilter ref="A1:AE8" xr:uid="{00000000-0009-0000-0000-000001000000}"/>
  <conditionalFormatting sqref="E1:E8 E18:E1048576">
    <cfRule type="duplicateValues" dxfId="336"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H89"/>
  <sheetViews>
    <sheetView topLeftCell="X1" zoomScaleNormal="100" workbookViewId="0">
      <pane ySplit="1" topLeftCell="A2" activePane="bottomLeft" state="frozen"/>
      <selection pane="bottomLeft" activeCell="Y1" sqref="Y1"/>
    </sheetView>
  </sheetViews>
  <sheetFormatPr baseColWidth="10" defaultColWidth="9.109375" defaultRowHeight="13.2"/>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7" customWidth="1"/>
    <col min="10" max="10" width="39" customWidth="1"/>
    <col min="11" max="11" width="10" customWidth="1"/>
    <col min="12" max="12" width="31" customWidth="1"/>
    <col min="13" max="13" width="17.6640625" customWidth="1"/>
    <col min="14" max="14" width="44" customWidth="1"/>
    <col min="15" max="15" width="11" customWidth="1"/>
    <col min="16" max="16" width="13" customWidth="1"/>
    <col min="17" max="17" width="24" customWidth="1"/>
    <col min="18" max="18" width="39" customWidth="1"/>
    <col min="19" max="19" width="14" customWidth="1"/>
    <col min="20" max="20" width="21" customWidth="1"/>
    <col min="21" max="21" width="23" customWidth="1"/>
    <col min="22" max="22" width="50" customWidth="1"/>
    <col min="23" max="23" width="20" customWidth="1"/>
    <col min="24" max="24" width="19" customWidth="1"/>
    <col min="25" max="25" width="14" customWidth="1"/>
    <col min="26" max="26" width="19" customWidth="1"/>
    <col min="27" max="27" width="42" customWidth="1"/>
    <col min="28" max="28" width="16" style="68" customWidth="1"/>
    <col min="29" max="29" width="17" style="68" customWidth="1"/>
    <col min="30" max="30" width="21" style="68" customWidth="1"/>
    <col min="31" max="32" width="10" style="68" customWidth="1"/>
    <col min="33" max="33" width="34" style="68" customWidth="1"/>
    <col min="34" max="34" width="39" style="68" customWidth="1"/>
  </cols>
  <sheetData>
    <row r="1" spans="1:34" ht="69">
      <c r="A1" s="12" t="s">
        <v>23</v>
      </c>
      <c r="B1" s="12" t="s">
        <v>24</v>
      </c>
      <c r="C1" s="12" t="s">
        <v>25</v>
      </c>
      <c r="D1" s="12" t="s">
        <v>26</v>
      </c>
      <c r="E1" s="12" t="s">
        <v>27</v>
      </c>
      <c r="F1" s="12" t="s">
        <v>28</v>
      </c>
      <c r="G1" s="12" t="s">
        <v>29</v>
      </c>
      <c r="H1" s="12" t="s">
        <v>31</v>
      </c>
      <c r="I1" s="12" t="s">
        <v>32</v>
      </c>
      <c r="J1" s="12" t="s">
        <v>33</v>
      </c>
      <c r="K1" s="12" t="s">
        <v>34</v>
      </c>
      <c r="L1" s="12" t="s">
        <v>35</v>
      </c>
      <c r="M1" s="12" t="s">
        <v>142</v>
      </c>
      <c r="N1" s="12" t="s">
        <v>143</v>
      </c>
      <c r="O1" s="12" t="s">
        <v>144</v>
      </c>
      <c r="P1" s="12" t="s">
        <v>145</v>
      </c>
      <c r="Q1" s="12" t="s">
        <v>146</v>
      </c>
      <c r="R1" s="12" t="s">
        <v>147</v>
      </c>
      <c r="S1" s="12" t="s">
        <v>38</v>
      </c>
      <c r="T1" s="12" t="s">
        <v>39</v>
      </c>
      <c r="U1" s="12" t="s">
        <v>40</v>
      </c>
      <c r="V1" s="12" t="s">
        <v>148</v>
      </c>
      <c r="W1" s="12" t="s">
        <v>42</v>
      </c>
      <c r="X1" s="12" t="s">
        <v>43</v>
      </c>
      <c r="Y1" s="12" t="s">
        <v>44</v>
      </c>
      <c r="Z1" s="12" t="s">
        <v>45</v>
      </c>
      <c r="AA1" s="12" t="s">
        <v>46</v>
      </c>
      <c r="AB1" s="12" t="s">
        <v>149</v>
      </c>
      <c r="AC1" s="12" t="s">
        <v>47</v>
      </c>
      <c r="AD1" s="12" t="s">
        <v>150</v>
      </c>
      <c r="AE1" s="12" t="s">
        <v>49</v>
      </c>
      <c r="AF1" s="12" t="s">
        <v>50</v>
      </c>
      <c r="AG1" s="12" t="s">
        <v>51</v>
      </c>
      <c r="AH1" s="12" t="s">
        <v>151</v>
      </c>
    </row>
    <row r="2" spans="1:34" hidden="1">
      <c r="A2" t="s">
        <v>88</v>
      </c>
      <c r="B2" t="s">
        <v>89</v>
      </c>
      <c r="C2" t="s">
        <v>90</v>
      </c>
      <c r="D2" t="s">
        <v>152</v>
      </c>
      <c r="E2" t="s">
        <v>153</v>
      </c>
      <c r="F2" t="s">
        <v>154</v>
      </c>
      <c r="G2" t="s">
        <v>155</v>
      </c>
      <c r="H2" t="s">
        <v>94</v>
      </c>
      <c r="I2" t="s">
        <v>156</v>
      </c>
      <c r="J2" t="s">
        <v>157</v>
      </c>
      <c r="K2" t="s">
        <v>65</v>
      </c>
      <c r="L2" t="s">
        <v>158</v>
      </c>
      <c r="M2" s="13">
        <v>45960.461747685193</v>
      </c>
      <c r="N2" s="13">
        <v>45967.489583333343</v>
      </c>
      <c r="O2" t="s">
        <v>159</v>
      </c>
      <c r="P2" t="s">
        <v>160</v>
      </c>
      <c r="Q2" t="s">
        <v>161</v>
      </c>
      <c r="R2" t="s">
        <v>162</v>
      </c>
      <c r="S2" t="s">
        <v>163</v>
      </c>
      <c r="T2" t="s">
        <v>163</v>
      </c>
      <c r="U2" t="s">
        <v>164</v>
      </c>
      <c r="V2" t="s">
        <v>165</v>
      </c>
      <c r="W2" t="s">
        <v>84</v>
      </c>
      <c r="X2" t="s">
        <v>166</v>
      </c>
      <c r="Y2" t="s">
        <v>72</v>
      </c>
      <c r="Z2" t="s">
        <v>73</v>
      </c>
      <c r="AA2" t="s">
        <v>99</v>
      </c>
      <c r="AB2" s="67">
        <v>1</v>
      </c>
      <c r="AC2" s="67">
        <v>0</v>
      </c>
      <c r="AD2" s="67">
        <v>0</v>
      </c>
      <c r="AE2" s="67">
        <v>0</v>
      </c>
      <c r="AF2" s="67">
        <v>0</v>
      </c>
      <c r="AG2" s="67">
        <v>479590</v>
      </c>
      <c r="AH2" s="67">
        <v>479590</v>
      </c>
    </row>
    <row r="3" spans="1:34" hidden="1">
      <c r="A3" t="s">
        <v>167</v>
      </c>
      <c r="B3" t="s">
        <v>168</v>
      </c>
      <c r="C3" t="s">
        <v>169</v>
      </c>
      <c r="D3" t="s">
        <v>170</v>
      </c>
      <c r="E3" t="s">
        <v>171</v>
      </c>
      <c r="F3" t="s">
        <v>172</v>
      </c>
      <c r="G3" t="s">
        <v>155</v>
      </c>
      <c r="H3" t="s">
        <v>173</v>
      </c>
      <c r="I3" t="s">
        <v>167</v>
      </c>
      <c r="J3" t="s">
        <v>174</v>
      </c>
      <c r="K3" t="s">
        <v>65</v>
      </c>
      <c r="L3" t="s">
        <v>175</v>
      </c>
      <c r="M3" s="13">
        <v>45961.383402777778</v>
      </c>
      <c r="N3" s="13">
        <v>45962.361111111109</v>
      </c>
      <c r="O3" t="s">
        <v>159</v>
      </c>
      <c r="P3" t="s">
        <v>160</v>
      </c>
      <c r="Q3" t="s">
        <v>176</v>
      </c>
      <c r="R3" t="s">
        <v>177</v>
      </c>
      <c r="S3" t="s">
        <v>163</v>
      </c>
      <c r="T3" t="s">
        <v>163</v>
      </c>
      <c r="V3" t="s">
        <v>178</v>
      </c>
      <c r="W3" t="s">
        <v>71</v>
      </c>
      <c r="Y3" t="s">
        <v>109</v>
      </c>
      <c r="Z3" t="s">
        <v>73</v>
      </c>
      <c r="AA3" t="s">
        <v>179</v>
      </c>
      <c r="AB3" s="67">
        <v>0</v>
      </c>
      <c r="AC3" s="67">
        <v>0</v>
      </c>
      <c r="AD3" s="67">
        <v>0</v>
      </c>
      <c r="AE3" s="67">
        <v>0</v>
      </c>
      <c r="AF3" s="67">
        <v>0</v>
      </c>
      <c r="AG3" s="67">
        <v>37905</v>
      </c>
      <c r="AH3" s="67">
        <v>37905</v>
      </c>
    </row>
    <row r="4" spans="1:34" hidden="1">
      <c r="A4" t="s">
        <v>180</v>
      </c>
      <c r="B4" t="s">
        <v>181</v>
      </c>
      <c r="C4" t="s">
        <v>182</v>
      </c>
      <c r="D4" t="s">
        <v>183</v>
      </c>
      <c r="E4" t="s">
        <v>184</v>
      </c>
      <c r="F4" t="s">
        <v>185</v>
      </c>
      <c r="G4" t="s">
        <v>155</v>
      </c>
      <c r="H4" t="s">
        <v>186</v>
      </c>
      <c r="I4" t="s">
        <v>187</v>
      </c>
      <c r="J4" t="s">
        <v>188</v>
      </c>
      <c r="K4" t="s">
        <v>65</v>
      </c>
      <c r="L4" t="s">
        <v>189</v>
      </c>
      <c r="M4" s="13">
        <v>45961.475023148138</v>
      </c>
      <c r="N4" s="13">
        <v>45962.451388888891</v>
      </c>
      <c r="O4" t="s">
        <v>159</v>
      </c>
      <c r="P4" t="s">
        <v>160</v>
      </c>
      <c r="Q4" t="s">
        <v>190</v>
      </c>
      <c r="R4" t="s">
        <v>191</v>
      </c>
      <c r="S4" t="s">
        <v>192</v>
      </c>
      <c r="T4" t="s">
        <v>163</v>
      </c>
      <c r="V4" t="s">
        <v>193</v>
      </c>
      <c r="W4" t="s">
        <v>71</v>
      </c>
      <c r="Y4" t="s">
        <v>194</v>
      </c>
      <c r="Z4" t="s">
        <v>73</v>
      </c>
      <c r="AA4" t="s">
        <v>195</v>
      </c>
      <c r="AB4" s="67">
        <v>0</v>
      </c>
      <c r="AC4" s="67">
        <v>0</v>
      </c>
      <c r="AD4" s="67">
        <v>0</v>
      </c>
      <c r="AE4" s="67">
        <v>0</v>
      </c>
      <c r="AF4" s="67">
        <v>0</v>
      </c>
      <c r="AG4" s="67">
        <v>37905</v>
      </c>
      <c r="AH4" s="67">
        <v>37905</v>
      </c>
    </row>
    <row r="5" spans="1:34" hidden="1">
      <c r="A5" t="s">
        <v>196</v>
      </c>
      <c r="B5" t="s">
        <v>181</v>
      </c>
      <c r="C5" t="s">
        <v>182</v>
      </c>
      <c r="D5" t="s">
        <v>197</v>
      </c>
      <c r="E5" t="s">
        <v>198</v>
      </c>
      <c r="F5" t="s">
        <v>199</v>
      </c>
      <c r="G5" t="s">
        <v>155</v>
      </c>
      <c r="H5" t="s">
        <v>200</v>
      </c>
      <c r="I5" t="s">
        <v>201</v>
      </c>
      <c r="J5" t="s">
        <v>202</v>
      </c>
      <c r="K5" t="s">
        <v>65</v>
      </c>
      <c r="L5" t="s">
        <v>203</v>
      </c>
      <c r="M5" s="13">
        <v>45961.538182870368</v>
      </c>
      <c r="N5" s="13">
        <v>45965.407638888893</v>
      </c>
      <c r="O5" t="s">
        <v>159</v>
      </c>
      <c r="P5" t="s">
        <v>160</v>
      </c>
      <c r="Q5" t="s">
        <v>204</v>
      </c>
      <c r="R5" t="s">
        <v>205</v>
      </c>
      <c r="S5" t="s">
        <v>163</v>
      </c>
      <c r="T5" t="s">
        <v>163</v>
      </c>
      <c r="V5" t="s">
        <v>206</v>
      </c>
      <c r="W5" t="s">
        <v>71</v>
      </c>
      <c r="Y5" t="s">
        <v>130</v>
      </c>
      <c r="Z5" t="s">
        <v>73</v>
      </c>
      <c r="AA5" t="s">
        <v>207</v>
      </c>
      <c r="AB5" s="67">
        <v>0</v>
      </c>
      <c r="AC5" s="67">
        <v>0</v>
      </c>
      <c r="AD5" s="67">
        <v>0</v>
      </c>
      <c r="AE5" s="67">
        <v>0</v>
      </c>
      <c r="AF5" s="67">
        <v>0</v>
      </c>
      <c r="AG5" s="67">
        <v>37905</v>
      </c>
      <c r="AH5" s="67">
        <v>37905</v>
      </c>
    </row>
    <row r="6" spans="1:34" hidden="1">
      <c r="A6" t="s">
        <v>208</v>
      </c>
      <c r="B6" t="s">
        <v>209</v>
      </c>
      <c r="C6" t="s">
        <v>210</v>
      </c>
      <c r="D6" t="s">
        <v>211</v>
      </c>
      <c r="E6" t="s">
        <v>212</v>
      </c>
      <c r="F6" t="s">
        <v>213</v>
      </c>
      <c r="G6" t="s">
        <v>155</v>
      </c>
      <c r="H6" t="s">
        <v>214</v>
      </c>
      <c r="I6" t="s">
        <v>208</v>
      </c>
      <c r="J6" t="s">
        <v>215</v>
      </c>
      <c r="K6" t="s">
        <v>65</v>
      </c>
      <c r="L6" t="s">
        <v>216</v>
      </c>
      <c r="M6" s="13">
        <v>45961.660185185188</v>
      </c>
      <c r="N6" s="13">
        <v>45962.411111111112</v>
      </c>
      <c r="O6" t="s">
        <v>159</v>
      </c>
      <c r="P6" t="s">
        <v>160</v>
      </c>
      <c r="Q6" t="s">
        <v>161</v>
      </c>
      <c r="R6" t="s">
        <v>162</v>
      </c>
      <c r="S6" t="s">
        <v>163</v>
      </c>
      <c r="T6" t="s">
        <v>163</v>
      </c>
      <c r="U6" t="s">
        <v>164</v>
      </c>
      <c r="V6" t="s">
        <v>217</v>
      </c>
      <c r="W6" t="s">
        <v>84</v>
      </c>
      <c r="X6" t="s">
        <v>218</v>
      </c>
      <c r="Y6" t="s">
        <v>109</v>
      </c>
      <c r="Z6" t="s">
        <v>73</v>
      </c>
      <c r="AA6" t="s">
        <v>219</v>
      </c>
      <c r="AB6" s="67">
        <v>1</v>
      </c>
      <c r="AC6" s="67">
        <v>0</v>
      </c>
      <c r="AD6" s="67">
        <v>0</v>
      </c>
      <c r="AE6" s="67">
        <v>0</v>
      </c>
      <c r="AF6" s="67">
        <v>0</v>
      </c>
      <c r="AG6" s="67">
        <v>65960</v>
      </c>
      <c r="AH6" s="67">
        <v>65960</v>
      </c>
    </row>
    <row r="7" spans="1:34" hidden="1">
      <c r="A7" t="s">
        <v>54</v>
      </c>
      <c r="B7" t="s">
        <v>55</v>
      </c>
      <c r="C7" t="s">
        <v>56</v>
      </c>
      <c r="D7" t="s">
        <v>220</v>
      </c>
      <c r="E7" t="s">
        <v>221</v>
      </c>
      <c r="F7" t="s">
        <v>222</v>
      </c>
      <c r="G7" t="s">
        <v>155</v>
      </c>
      <c r="H7" t="s">
        <v>62</v>
      </c>
      <c r="I7" t="s">
        <v>223</v>
      </c>
      <c r="J7" t="s">
        <v>224</v>
      </c>
      <c r="K7" t="s">
        <v>65</v>
      </c>
      <c r="L7" t="s">
        <v>225</v>
      </c>
      <c r="M7" s="13">
        <v>45962.452627314808</v>
      </c>
      <c r="N7" s="13">
        <v>45964.378472222219</v>
      </c>
      <c r="O7" t="s">
        <v>159</v>
      </c>
      <c r="P7" t="s">
        <v>160</v>
      </c>
      <c r="Q7" t="s">
        <v>226</v>
      </c>
      <c r="R7" t="s">
        <v>227</v>
      </c>
      <c r="S7" t="s">
        <v>163</v>
      </c>
      <c r="T7" t="s">
        <v>163</v>
      </c>
      <c r="V7" t="s">
        <v>228</v>
      </c>
      <c r="W7" t="s">
        <v>71</v>
      </c>
      <c r="Y7" t="s">
        <v>194</v>
      </c>
      <c r="Z7" t="s">
        <v>73</v>
      </c>
      <c r="AA7" t="s">
        <v>229</v>
      </c>
      <c r="AB7" s="67">
        <v>0</v>
      </c>
      <c r="AC7" s="67">
        <v>0</v>
      </c>
      <c r="AD7" s="67">
        <v>0</v>
      </c>
      <c r="AE7" s="67">
        <v>0</v>
      </c>
      <c r="AF7" s="67">
        <v>0</v>
      </c>
      <c r="AG7" s="67">
        <v>37905</v>
      </c>
      <c r="AH7" s="67">
        <v>37905</v>
      </c>
    </row>
    <row r="8" spans="1:34" hidden="1">
      <c r="A8" t="s">
        <v>120</v>
      </c>
      <c r="B8" t="s">
        <v>121</v>
      </c>
      <c r="C8" t="s">
        <v>122</v>
      </c>
      <c r="D8" t="s">
        <v>132</v>
      </c>
      <c r="E8" t="s">
        <v>230</v>
      </c>
      <c r="F8" t="s">
        <v>231</v>
      </c>
      <c r="G8" t="s">
        <v>155</v>
      </c>
      <c r="H8" t="s">
        <v>121</v>
      </c>
      <c r="I8" t="s">
        <v>120</v>
      </c>
      <c r="J8" t="s">
        <v>232</v>
      </c>
      <c r="K8" t="s">
        <v>65</v>
      </c>
      <c r="L8" t="s">
        <v>233</v>
      </c>
      <c r="M8" s="13">
        <v>45962.428194444437</v>
      </c>
      <c r="N8" s="13">
        <v>45962.563194444447</v>
      </c>
      <c r="O8" t="s">
        <v>159</v>
      </c>
      <c r="P8" t="s">
        <v>160</v>
      </c>
      <c r="Q8" t="s">
        <v>234</v>
      </c>
      <c r="R8" t="s">
        <v>235</v>
      </c>
      <c r="S8" t="s">
        <v>236</v>
      </c>
      <c r="T8" t="s">
        <v>237</v>
      </c>
      <c r="U8" t="s">
        <v>164</v>
      </c>
      <c r="V8" t="s">
        <v>238</v>
      </c>
      <c r="W8" t="s">
        <v>84</v>
      </c>
      <c r="X8" t="s">
        <v>239</v>
      </c>
      <c r="Y8" t="s">
        <v>109</v>
      </c>
      <c r="Z8" t="s">
        <v>73</v>
      </c>
      <c r="AA8" t="s">
        <v>141</v>
      </c>
      <c r="AB8" s="67">
        <v>1</v>
      </c>
      <c r="AC8" s="67">
        <v>0</v>
      </c>
      <c r="AD8" s="67">
        <v>0</v>
      </c>
      <c r="AE8" s="67">
        <v>0</v>
      </c>
      <c r="AF8" s="67">
        <v>0</v>
      </c>
      <c r="AG8" s="67">
        <v>65960</v>
      </c>
      <c r="AH8" s="67">
        <v>65960</v>
      </c>
    </row>
    <row r="9" spans="1:34" hidden="1">
      <c r="A9" t="s">
        <v>88</v>
      </c>
      <c r="B9" t="s">
        <v>89</v>
      </c>
      <c r="C9" t="s">
        <v>90</v>
      </c>
      <c r="D9" t="s">
        <v>240</v>
      </c>
      <c r="E9" t="s">
        <v>241</v>
      </c>
      <c r="F9" t="s">
        <v>242</v>
      </c>
      <c r="G9" t="s">
        <v>155</v>
      </c>
      <c r="H9" t="s">
        <v>243</v>
      </c>
      <c r="I9" t="s">
        <v>88</v>
      </c>
      <c r="J9" t="s">
        <v>244</v>
      </c>
      <c r="K9" t="s">
        <v>65</v>
      </c>
      <c r="L9" t="s">
        <v>245</v>
      </c>
      <c r="M9" s="13">
        <v>45962.44872685185</v>
      </c>
      <c r="N9" s="13">
        <v>45965.563194444447</v>
      </c>
      <c r="O9" t="s">
        <v>159</v>
      </c>
      <c r="P9" t="s">
        <v>160</v>
      </c>
      <c r="Q9" t="s">
        <v>190</v>
      </c>
      <c r="R9" t="s">
        <v>191</v>
      </c>
      <c r="S9" t="s">
        <v>67</v>
      </c>
      <c r="T9" t="s">
        <v>117</v>
      </c>
      <c r="V9" t="s">
        <v>246</v>
      </c>
      <c r="W9" t="s">
        <v>71</v>
      </c>
      <c r="Y9" t="s">
        <v>109</v>
      </c>
      <c r="Z9" t="s">
        <v>73</v>
      </c>
      <c r="AA9" t="s">
        <v>247</v>
      </c>
      <c r="AB9" s="67">
        <v>0</v>
      </c>
      <c r="AC9" s="67">
        <v>0</v>
      </c>
      <c r="AD9" s="67">
        <v>0</v>
      </c>
      <c r="AE9" s="67">
        <v>0</v>
      </c>
      <c r="AF9" s="67">
        <v>0</v>
      </c>
      <c r="AG9" s="67">
        <v>37905</v>
      </c>
      <c r="AH9" s="67">
        <v>37905</v>
      </c>
    </row>
    <row r="10" spans="1:34" hidden="1">
      <c r="A10" t="s">
        <v>167</v>
      </c>
      <c r="B10" t="s">
        <v>168</v>
      </c>
      <c r="C10" t="s">
        <v>169</v>
      </c>
      <c r="D10" t="s">
        <v>248</v>
      </c>
      <c r="E10" t="s">
        <v>249</v>
      </c>
      <c r="F10" t="s">
        <v>250</v>
      </c>
      <c r="G10" t="s">
        <v>155</v>
      </c>
      <c r="H10" t="s">
        <v>173</v>
      </c>
      <c r="I10" t="s">
        <v>251</v>
      </c>
      <c r="J10" t="s">
        <v>252</v>
      </c>
      <c r="K10" t="s">
        <v>65</v>
      </c>
      <c r="L10" t="s">
        <v>253</v>
      </c>
      <c r="M10" s="13">
        <v>45962.451111111113</v>
      </c>
      <c r="N10" s="13">
        <v>45965.62777777778</v>
      </c>
      <c r="O10" t="s">
        <v>159</v>
      </c>
      <c r="P10" t="s">
        <v>160</v>
      </c>
      <c r="Q10" t="s">
        <v>190</v>
      </c>
      <c r="R10" t="s">
        <v>227</v>
      </c>
      <c r="S10" t="s">
        <v>192</v>
      </c>
      <c r="T10" t="s">
        <v>163</v>
      </c>
      <c r="U10" t="s">
        <v>164</v>
      </c>
      <c r="V10" t="s">
        <v>254</v>
      </c>
      <c r="W10" t="s">
        <v>84</v>
      </c>
      <c r="X10" t="s">
        <v>255</v>
      </c>
      <c r="Y10" t="s">
        <v>194</v>
      </c>
      <c r="Z10" t="s">
        <v>73</v>
      </c>
      <c r="AA10" t="s">
        <v>256</v>
      </c>
      <c r="AB10" s="67">
        <v>1</v>
      </c>
      <c r="AC10" s="67">
        <v>0</v>
      </c>
      <c r="AD10" s="67">
        <v>0</v>
      </c>
      <c r="AE10" s="67">
        <v>0</v>
      </c>
      <c r="AF10" s="67">
        <v>0</v>
      </c>
      <c r="AG10" s="67">
        <v>163814</v>
      </c>
      <c r="AH10" s="67">
        <v>163814</v>
      </c>
    </row>
    <row r="11" spans="1:34" hidden="1">
      <c r="A11" t="s">
        <v>88</v>
      </c>
      <c r="B11" t="s">
        <v>89</v>
      </c>
      <c r="C11" t="s">
        <v>90</v>
      </c>
      <c r="D11" t="s">
        <v>257</v>
      </c>
      <c r="E11" t="s">
        <v>258</v>
      </c>
      <c r="F11" t="s">
        <v>259</v>
      </c>
      <c r="G11" t="s">
        <v>155</v>
      </c>
      <c r="H11" t="s">
        <v>243</v>
      </c>
      <c r="I11" t="s">
        <v>260</v>
      </c>
      <c r="J11" t="s">
        <v>261</v>
      </c>
      <c r="K11" t="s">
        <v>65</v>
      </c>
      <c r="L11" t="s">
        <v>262</v>
      </c>
      <c r="M11" s="13">
        <v>45963.587002314824</v>
      </c>
      <c r="N11" s="13">
        <v>45965.530555555553</v>
      </c>
      <c r="O11" t="s">
        <v>159</v>
      </c>
      <c r="P11" t="s">
        <v>160</v>
      </c>
      <c r="Q11" t="s">
        <v>234</v>
      </c>
      <c r="R11" t="s">
        <v>235</v>
      </c>
      <c r="S11" t="s">
        <v>163</v>
      </c>
      <c r="T11" t="s">
        <v>163</v>
      </c>
      <c r="V11" t="s">
        <v>263</v>
      </c>
      <c r="W11" t="s">
        <v>71</v>
      </c>
      <c r="Y11" t="s">
        <v>194</v>
      </c>
      <c r="Z11" t="s">
        <v>73</v>
      </c>
      <c r="AA11" t="s">
        <v>264</v>
      </c>
      <c r="AB11" s="67">
        <v>0</v>
      </c>
      <c r="AC11" s="67">
        <v>0</v>
      </c>
      <c r="AD11" s="67">
        <v>0</v>
      </c>
      <c r="AE11" s="67">
        <v>0</v>
      </c>
      <c r="AF11" s="67">
        <v>0</v>
      </c>
      <c r="AG11" s="67">
        <v>37905</v>
      </c>
      <c r="AH11" s="67">
        <v>37905</v>
      </c>
    </row>
    <row r="12" spans="1:34" hidden="1">
      <c r="A12" t="s">
        <v>120</v>
      </c>
      <c r="B12" t="s">
        <v>121</v>
      </c>
      <c r="C12" t="s">
        <v>122</v>
      </c>
      <c r="D12" t="s">
        <v>265</v>
      </c>
      <c r="E12" t="s">
        <v>266</v>
      </c>
      <c r="F12" t="s">
        <v>267</v>
      </c>
      <c r="G12" t="s">
        <v>155</v>
      </c>
      <c r="H12" t="s">
        <v>121</v>
      </c>
      <c r="I12" t="s">
        <v>268</v>
      </c>
      <c r="J12" t="s">
        <v>269</v>
      </c>
      <c r="K12" t="s">
        <v>65</v>
      </c>
      <c r="L12" t="s">
        <v>270</v>
      </c>
      <c r="M12" s="13">
        <v>45963.607928240737</v>
      </c>
      <c r="N12" s="13">
        <v>45965.630555555559</v>
      </c>
      <c r="O12" t="s">
        <v>159</v>
      </c>
      <c r="P12" t="s">
        <v>160</v>
      </c>
      <c r="Q12" t="s">
        <v>226</v>
      </c>
      <c r="R12" t="s">
        <v>227</v>
      </c>
      <c r="S12" t="s">
        <v>67</v>
      </c>
      <c r="T12" t="s">
        <v>68</v>
      </c>
      <c r="U12" t="s">
        <v>164</v>
      </c>
      <c r="V12" t="s">
        <v>271</v>
      </c>
      <c r="W12" t="s">
        <v>84</v>
      </c>
      <c r="X12" t="s">
        <v>272</v>
      </c>
      <c r="Y12" t="s">
        <v>194</v>
      </c>
      <c r="Z12" t="s">
        <v>73</v>
      </c>
      <c r="AA12" t="s">
        <v>273</v>
      </c>
      <c r="AB12" s="67">
        <v>1</v>
      </c>
      <c r="AC12" s="67">
        <v>0</v>
      </c>
      <c r="AD12" s="67">
        <v>0</v>
      </c>
      <c r="AE12" s="67">
        <v>0</v>
      </c>
      <c r="AF12" s="67">
        <v>0</v>
      </c>
      <c r="AG12" s="67">
        <v>163814</v>
      </c>
      <c r="AH12" s="67">
        <v>163814</v>
      </c>
    </row>
    <row r="13" spans="1:34" hidden="1">
      <c r="A13" t="s">
        <v>274</v>
      </c>
      <c r="B13" t="s">
        <v>168</v>
      </c>
      <c r="C13" t="s">
        <v>169</v>
      </c>
      <c r="D13" t="s">
        <v>275</v>
      </c>
      <c r="E13" t="s">
        <v>276</v>
      </c>
      <c r="F13" t="s">
        <v>277</v>
      </c>
      <c r="G13" t="s">
        <v>155</v>
      </c>
      <c r="H13" t="s">
        <v>278</v>
      </c>
      <c r="I13" t="s">
        <v>274</v>
      </c>
      <c r="J13" t="s">
        <v>279</v>
      </c>
      <c r="K13" t="s">
        <v>65</v>
      </c>
      <c r="L13" t="s">
        <v>280</v>
      </c>
      <c r="M13" s="13">
        <v>45965.387175925927</v>
      </c>
      <c r="N13" s="13">
        <v>45966.408333333333</v>
      </c>
      <c r="O13" t="s">
        <v>159</v>
      </c>
      <c r="P13" t="s">
        <v>160</v>
      </c>
      <c r="Q13" t="s">
        <v>190</v>
      </c>
      <c r="R13" t="s">
        <v>191</v>
      </c>
      <c r="S13" t="s">
        <v>67</v>
      </c>
      <c r="T13" t="s">
        <v>117</v>
      </c>
      <c r="V13" t="s">
        <v>281</v>
      </c>
      <c r="W13" t="s">
        <v>71</v>
      </c>
      <c r="Y13" t="s">
        <v>109</v>
      </c>
      <c r="Z13" t="s">
        <v>73</v>
      </c>
      <c r="AA13" t="s">
        <v>282</v>
      </c>
      <c r="AB13" s="67">
        <v>0</v>
      </c>
      <c r="AC13" s="67">
        <v>0</v>
      </c>
      <c r="AD13" s="67">
        <v>0</v>
      </c>
      <c r="AE13" s="67">
        <v>0</v>
      </c>
      <c r="AF13" s="67">
        <v>0</v>
      </c>
      <c r="AG13" s="67">
        <v>37905</v>
      </c>
      <c r="AH13" s="67">
        <v>37905</v>
      </c>
    </row>
    <row r="14" spans="1:34" hidden="1">
      <c r="A14" t="s">
        <v>208</v>
      </c>
      <c r="B14" t="s">
        <v>209</v>
      </c>
      <c r="C14" t="s">
        <v>210</v>
      </c>
      <c r="D14" t="s">
        <v>283</v>
      </c>
      <c r="E14" t="s">
        <v>284</v>
      </c>
      <c r="F14" t="s">
        <v>285</v>
      </c>
      <c r="G14" t="s">
        <v>155</v>
      </c>
      <c r="H14" t="s">
        <v>214</v>
      </c>
      <c r="I14" t="s">
        <v>286</v>
      </c>
      <c r="J14" t="s">
        <v>287</v>
      </c>
      <c r="K14" t="s">
        <v>65</v>
      </c>
      <c r="L14" t="s">
        <v>288</v>
      </c>
      <c r="M14" s="13">
        <v>45965.407604166663</v>
      </c>
      <c r="N14" s="13">
        <v>45968.388888888891</v>
      </c>
      <c r="O14" t="s">
        <v>159</v>
      </c>
      <c r="P14" t="s">
        <v>160</v>
      </c>
      <c r="Q14" t="s">
        <v>190</v>
      </c>
      <c r="R14" t="s">
        <v>191</v>
      </c>
      <c r="S14" t="s">
        <v>163</v>
      </c>
      <c r="T14" t="s">
        <v>163</v>
      </c>
      <c r="U14" t="s">
        <v>289</v>
      </c>
      <c r="V14" t="s">
        <v>290</v>
      </c>
      <c r="W14" t="s">
        <v>84</v>
      </c>
      <c r="X14" t="s">
        <v>291</v>
      </c>
      <c r="Y14" t="s">
        <v>130</v>
      </c>
      <c r="Z14" t="s">
        <v>73</v>
      </c>
      <c r="AA14" t="s">
        <v>292</v>
      </c>
      <c r="AB14" s="67">
        <v>1</v>
      </c>
      <c r="AC14" s="67">
        <v>0</v>
      </c>
      <c r="AD14" s="67">
        <v>0</v>
      </c>
      <c r="AE14" s="67">
        <v>0</v>
      </c>
      <c r="AF14" s="67">
        <v>0</v>
      </c>
      <c r="AG14" s="67">
        <v>275728</v>
      </c>
      <c r="AH14" s="67">
        <v>275728</v>
      </c>
    </row>
    <row r="15" spans="1:34" hidden="1">
      <c r="A15" t="s">
        <v>196</v>
      </c>
      <c r="B15" t="s">
        <v>181</v>
      </c>
      <c r="C15" t="s">
        <v>182</v>
      </c>
      <c r="D15" t="s">
        <v>294</v>
      </c>
      <c r="E15" t="s">
        <v>295</v>
      </c>
      <c r="F15" t="s">
        <v>296</v>
      </c>
      <c r="G15" t="s">
        <v>155</v>
      </c>
      <c r="H15" t="s">
        <v>200</v>
      </c>
      <c r="I15" t="s">
        <v>297</v>
      </c>
      <c r="J15" t="s">
        <v>298</v>
      </c>
      <c r="K15" t="s">
        <v>65</v>
      </c>
      <c r="L15" t="s">
        <v>299</v>
      </c>
      <c r="M15" s="13">
        <v>45965.670416666668</v>
      </c>
      <c r="N15" s="13">
        <v>45966.652083333327</v>
      </c>
      <c r="O15" t="s">
        <v>159</v>
      </c>
      <c r="P15" t="s">
        <v>160</v>
      </c>
      <c r="Q15" t="s">
        <v>190</v>
      </c>
      <c r="R15" t="s">
        <v>191</v>
      </c>
      <c r="S15" t="s">
        <v>163</v>
      </c>
      <c r="T15" t="s">
        <v>163</v>
      </c>
      <c r="U15" t="s">
        <v>164</v>
      </c>
      <c r="V15" t="s">
        <v>300</v>
      </c>
      <c r="W15" t="s">
        <v>84</v>
      </c>
      <c r="X15" t="s">
        <v>301</v>
      </c>
      <c r="Y15" t="s">
        <v>109</v>
      </c>
      <c r="Z15" t="s">
        <v>73</v>
      </c>
      <c r="AA15" t="s">
        <v>302</v>
      </c>
      <c r="AB15" s="67">
        <v>1</v>
      </c>
      <c r="AC15" s="67">
        <v>0</v>
      </c>
      <c r="AD15" s="67">
        <v>0</v>
      </c>
      <c r="AE15" s="67">
        <v>0</v>
      </c>
      <c r="AF15" s="67">
        <v>0</v>
      </c>
      <c r="AG15" s="67">
        <v>65960</v>
      </c>
      <c r="AH15" s="67">
        <v>65960</v>
      </c>
    </row>
    <row r="16" spans="1:34" hidden="1">
      <c r="A16" t="s">
        <v>100</v>
      </c>
      <c r="B16" t="s">
        <v>89</v>
      </c>
      <c r="C16" t="s">
        <v>90</v>
      </c>
      <c r="D16" t="s">
        <v>303</v>
      </c>
      <c r="E16" t="s">
        <v>304</v>
      </c>
      <c r="F16" t="s">
        <v>305</v>
      </c>
      <c r="G16" t="s">
        <v>155</v>
      </c>
      <c r="H16" t="s">
        <v>104</v>
      </c>
      <c r="I16" t="s">
        <v>100</v>
      </c>
      <c r="J16" t="s">
        <v>306</v>
      </c>
      <c r="K16" t="s">
        <v>65</v>
      </c>
      <c r="L16" t="s">
        <v>307</v>
      </c>
      <c r="M16" s="13">
        <v>45966.348055555558</v>
      </c>
      <c r="N16" s="13">
        <v>45966.474999999999</v>
      </c>
      <c r="O16" t="s">
        <v>159</v>
      </c>
      <c r="P16" t="s">
        <v>160</v>
      </c>
      <c r="Q16" t="s">
        <v>161</v>
      </c>
      <c r="R16" t="s">
        <v>162</v>
      </c>
      <c r="S16" t="s">
        <v>192</v>
      </c>
      <c r="T16" t="s">
        <v>192</v>
      </c>
      <c r="U16" t="s">
        <v>164</v>
      </c>
      <c r="V16" t="s">
        <v>308</v>
      </c>
      <c r="W16" t="s">
        <v>84</v>
      </c>
      <c r="X16" t="s">
        <v>309</v>
      </c>
      <c r="Y16" t="s">
        <v>109</v>
      </c>
      <c r="Z16" t="s">
        <v>73</v>
      </c>
      <c r="AA16" t="s">
        <v>110</v>
      </c>
      <c r="AB16" s="67">
        <v>1</v>
      </c>
      <c r="AC16" s="67">
        <v>0</v>
      </c>
      <c r="AD16" s="67">
        <v>0</v>
      </c>
      <c r="AE16" s="67">
        <v>0</v>
      </c>
      <c r="AF16" s="67">
        <v>0</v>
      </c>
      <c r="AG16" s="67">
        <v>65960</v>
      </c>
      <c r="AH16" s="67">
        <v>65960</v>
      </c>
    </row>
    <row r="17" spans="1:34" hidden="1">
      <c r="A17" t="s">
        <v>54</v>
      </c>
      <c r="B17" t="s">
        <v>55</v>
      </c>
      <c r="C17" t="s">
        <v>56</v>
      </c>
      <c r="D17" t="s">
        <v>310</v>
      </c>
      <c r="E17" t="s">
        <v>311</v>
      </c>
      <c r="F17" t="s">
        <v>312</v>
      </c>
      <c r="G17" t="s">
        <v>155</v>
      </c>
      <c r="H17" t="s">
        <v>186</v>
      </c>
      <c r="I17" t="s">
        <v>313</v>
      </c>
      <c r="J17" t="s">
        <v>314</v>
      </c>
      <c r="K17" t="s">
        <v>65</v>
      </c>
      <c r="L17" t="s">
        <v>315</v>
      </c>
      <c r="M17" s="13">
        <v>45966.55</v>
      </c>
      <c r="N17" s="13">
        <v>45968.408333333333</v>
      </c>
      <c r="O17" t="s">
        <v>159</v>
      </c>
      <c r="P17" t="s">
        <v>160</v>
      </c>
      <c r="Q17" t="s">
        <v>204</v>
      </c>
      <c r="R17" t="s">
        <v>205</v>
      </c>
      <c r="S17" t="s">
        <v>67</v>
      </c>
      <c r="T17" t="s">
        <v>68</v>
      </c>
      <c r="V17" t="s">
        <v>316</v>
      </c>
      <c r="W17" t="s">
        <v>71</v>
      </c>
      <c r="Y17" t="s">
        <v>72</v>
      </c>
      <c r="Z17" t="s">
        <v>73</v>
      </c>
      <c r="AA17" t="s">
        <v>317</v>
      </c>
      <c r="AB17" s="67">
        <v>0</v>
      </c>
      <c r="AC17" s="67">
        <v>0</v>
      </c>
      <c r="AD17" s="67">
        <v>0</v>
      </c>
      <c r="AE17" s="67">
        <v>0</v>
      </c>
      <c r="AF17" s="67">
        <v>0</v>
      </c>
      <c r="AG17" s="67">
        <v>37905</v>
      </c>
      <c r="AH17" s="67">
        <v>37905</v>
      </c>
    </row>
    <row r="18" spans="1:34" hidden="1">
      <c r="A18" t="s">
        <v>318</v>
      </c>
      <c r="B18" t="s">
        <v>209</v>
      </c>
      <c r="C18" t="s">
        <v>210</v>
      </c>
      <c r="D18" t="s">
        <v>319</v>
      </c>
      <c r="E18" t="s">
        <v>320</v>
      </c>
      <c r="F18" t="s">
        <v>321</v>
      </c>
      <c r="G18" t="s">
        <v>155</v>
      </c>
      <c r="H18" t="s">
        <v>322</v>
      </c>
      <c r="I18" t="s">
        <v>318</v>
      </c>
      <c r="J18" t="s">
        <v>323</v>
      </c>
      <c r="K18" t="s">
        <v>65</v>
      </c>
      <c r="L18" t="s">
        <v>324</v>
      </c>
      <c r="M18" s="13">
        <v>45966.700092592589</v>
      </c>
      <c r="N18" s="13">
        <v>45967.572222222218</v>
      </c>
      <c r="O18" t="s">
        <v>159</v>
      </c>
      <c r="P18" t="s">
        <v>160</v>
      </c>
      <c r="Q18" t="s">
        <v>190</v>
      </c>
      <c r="R18" t="s">
        <v>191</v>
      </c>
      <c r="S18" t="s">
        <v>67</v>
      </c>
      <c r="T18" t="s">
        <v>68</v>
      </c>
      <c r="U18" t="s">
        <v>289</v>
      </c>
      <c r="V18" t="s">
        <v>325</v>
      </c>
      <c r="W18" t="s">
        <v>84</v>
      </c>
      <c r="X18" t="s">
        <v>326</v>
      </c>
      <c r="Y18" t="s">
        <v>109</v>
      </c>
      <c r="Z18" t="s">
        <v>73</v>
      </c>
      <c r="AA18" t="s">
        <v>327</v>
      </c>
      <c r="AB18" s="67">
        <v>1</v>
      </c>
      <c r="AC18" s="67">
        <v>0</v>
      </c>
      <c r="AD18" s="67">
        <v>0</v>
      </c>
      <c r="AE18" s="67">
        <v>0</v>
      </c>
      <c r="AF18" s="67">
        <v>0</v>
      </c>
      <c r="AG18" s="67">
        <v>65960</v>
      </c>
      <c r="AH18" s="67">
        <v>65960</v>
      </c>
    </row>
    <row r="19" spans="1:34" hidden="1">
      <c r="A19" t="s">
        <v>54</v>
      </c>
      <c r="B19" t="s">
        <v>55</v>
      </c>
      <c r="C19" t="s">
        <v>56</v>
      </c>
      <c r="D19" t="s">
        <v>111</v>
      </c>
      <c r="E19" t="s">
        <v>328</v>
      </c>
      <c r="F19" t="s">
        <v>329</v>
      </c>
      <c r="G19" t="s">
        <v>155</v>
      </c>
      <c r="H19" t="s">
        <v>62</v>
      </c>
      <c r="I19" t="s">
        <v>54</v>
      </c>
      <c r="J19" t="s">
        <v>330</v>
      </c>
      <c r="K19" t="s">
        <v>65</v>
      </c>
      <c r="L19" t="s">
        <v>331</v>
      </c>
      <c r="M19" s="13">
        <v>45967.426608796297</v>
      </c>
      <c r="N19" s="13">
        <v>45967.627083333333</v>
      </c>
      <c r="O19" t="s">
        <v>159</v>
      </c>
      <c r="P19" t="s">
        <v>160</v>
      </c>
      <c r="Q19" t="s">
        <v>234</v>
      </c>
      <c r="R19" t="s">
        <v>235</v>
      </c>
      <c r="S19" t="s">
        <v>236</v>
      </c>
      <c r="T19" t="s">
        <v>237</v>
      </c>
      <c r="U19" t="s">
        <v>164</v>
      </c>
      <c r="V19" t="s">
        <v>332</v>
      </c>
      <c r="W19" t="s">
        <v>84</v>
      </c>
      <c r="X19" t="s">
        <v>333</v>
      </c>
      <c r="Y19" t="s">
        <v>109</v>
      </c>
      <c r="Z19" t="s">
        <v>73</v>
      </c>
      <c r="AA19" t="s">
        <v>293</v>
      </c>
      <c r="AB19" s="67">
        <v>1</v>
      </c>
      <c r="AC19" s="67">
        <v>0</v>
      </c>
      <c r="AD19" s="67">
        <v>0</v>
      </c>
      <c r="AE19" s="67">
        <v>0</v>
      </c>
      <c r="AF19" s="67">
        <v>0</v>
      </c>
      <c r="AG19" s="67">
        <v>65960</v>
      </c>
      <c r="AH19" s="67">
        <v>65960</v>
      </c>
    </row>
    <row r="20" spans="1:34" hidden="1">
      <c r="A20" t="s">
        <v>54</v>
      </c>
      <c r="B20" t="s">
        <v>55</v>
      </c>
      <c r="C20" t="s">
        <v>56</v>
      </c>
      <c r="D20" t="s">
        <v>334</v>
      </c>
      <c r="E20" t="s">
        <v>335</v>
      </c>
      <c r="F20" t="s">
        <v>336</v>
      </c>
      <c r="G20" t="s">
        <v>155</v>
      </c>
      <c r="H20" t="s">
        <v>62</v>
      </c>
      <c r="I20" t="s">
        <v>337</v>
      </c>
      <c r="J20" t="s">
        <v>338</v>
      </c>
      <c r="K20" t="s">
        <v>65</v>
      </c>
      <c r="L20" t="s">
        <v>339</v>
      </c>
      <c r="M20" s="13">
        <v>45967.457407407397</v>
      </c>
      <c r="N20" s="13">
        <v>45968.707638888889</v>
      </c>
      <c r="O20" t="s">
        <v>159</v>
      </c>
      <c r="P20" t="s">
        <v>160</v>
      </c>
      <c r="Q20" t="s">
        <v>190</v>
      </c>
      <c r="R20" t="s">
        <v>191</v>
      </c>
      <c r="S20" t="s">
        <v>163</v>
      </c>
      <c r="T20" t="s">
        <v>163</v>
      </c>
      <c r="V20" t="s">
        <v>340</v>
      </c>
      <c r="W20" t="s">
        <v>71</v>
      </c>
      <c r="Y20" t="s">
        <v>194</v>
      </c>
      <c r="Z20" t="s">
        <v>73</v>
      </c>
      <c r="AA20" t="s">
        <v>341</v>
      </c>
      <c r="AB20" s="67">
        <v>0</v>
      </c>
      <c r="AC20" s="67">
        <v>0</v>
      </c>
      <c r="AD20" s="67">
        <v>0</v>
      </c>
      <c r="AE20" s="67">
        <v>0</v>
      </c>
      <c r="AF20" s="67">
        <v>0</v>
      </c>
      <c r="AG20" s="67">
        <v>37905</v>
      </c>
      <c r="AH20" s="67">
        <v>37905</v>
      </c>
    </row>
    <row r="21" spans="1:34" hidden="1">
      <c r="A21" t="s">
        <v>167</v>
      </c>
      <c r="B21" t="s">
        <v>168</v>
      </c>
      <c r="C21" t="s">
        <v>169</v>
      </c>
      <c r="D21" t="s">
        <v>248</v>
      </c>
      <c r="E21" t="s">
        <v>342</v>
      </c>
      <c r="F21" t="s">
        <v>343</v>
      </c>
      <c r="G21" t="s">
        <v>155</v>
      </c>
      <c r="H21" t="s">
        <v>173</v>
      </c>
      <c r="I21" t="s">
        <v>251</v>
      </c>
      <c r="J21" t="s">
        <v>344</v>
      </c>
      <c r="K21" t="s">
        <v>65</v>
      </c>
      <c r="L21" t="s">
        <v>345</v>
      </c>
      <c r="M21" s="13">
        <v>45967.538726851853</v>
      </c>
      <c r="N21" s="13">
        <v>45968.447222222218</v>
      </c>
      <c r="O21" t="s">
        <v>159</v>
      </c>
      <c r="P21" t="s">
        <v>346</v>
      </c>
      <c r="Q21" t="s">
        <v>347</v>
      </c>
      <c r="R21" t="s">
        <v>348</v>
      </c>
      <c r="S21" t="s">
        <v>163</v>
      </c>
      <c r="T21" t="s">
        <v>163</v>
      </c>
      <c r="U21" t="s">
        <v>164</v>
      </c>
      <c r="V21" t="s">
        <v>349</v>
      </c>
      <c r="W21" t="s">
        <v>84</v>
      </c>
      <c r="X21" t="s">
        <v>350</v>
      </c>
      <c r="Y21" t="s">
        <v>194</v>
      </c>
      <c r="Z21" t="s">
        <v>73</v>
      </c>
      <c r="AA21" t="s">
        <v>351</v>
      </c>
      <c r="AB21" s="67">
        <v>1</v>
      </c>
      <c r="AC21" s="67">
        <v>0</v>
      </c>
      <c r="AD21" s="67">
        <v>0</v>
      </c>
      <c r="AE21" s="67">
        <v>0</v>
      </c>
      <c r="AF21" s="67">
        <v>0</v>
      </c>
      <c r="AG21" s="67">
        <v>163814</v>
      </c>
      <c r="AH21" s="67">
        <v>163814</v>
      </c>
    </row>
    <row r="22" spans="1:34" hidden="1">
      <c r="A22" t="s">
        <v>54</v>
      </c>
      <c r="B22" t="s">
        <v>55</v>
      </c>
      <c r="C22" t="s">
        <v>56</v>
      </c>
      <c r="D22" t="s">
        <v>352</v>
      </c>
      <c r="E22" t="s">
        <v>353</v>
      </c>
      <c r="F22" t="s">
        <v>354</v>
      </c>
      <c r="G22" t="s">
        <v>155</v>
      </c>
      <c r="H22" t="s">
        <v>62</v>
      </c>
      <c r="I22" t="s">
        <v>355</v>
      </c>
      <c r="J22" t="s">
        <v>356</v>
      </c>
      <c r="K22" t="s">
        <v>65</v>
      </c>
      <c r="L22" t="s">
        <v>357</v>
      </c>
      <c r="M22" s="13">
        <v>45967.730381944442</v>
      </c>
      <c r="N22" s="13">
        <v>45968.709027777782</v>
      </c>
      <c r="O22" t="s">
        <v>159</v>
      </c>
      <c r="P22" t="s">
        <v>160</v>
      </c>
      <c r="Q22" t="s">
        <v>234</v>
      </c>
      <c r="R22" t="s">
        <v>235</v>
      </c>
      <c r="S22" t="s">
        <v>163</v>
      </c>
      <c r="T22" t="s">
        <v>163</v>
      </c>
      <c r="V22" t="s">
        <v>358</v>
      </c>
      <c r="W22" t="s">
        <v>71</v>
      </c>
      <c r="Y22" t="s">
        <v>194</v>
      </c>
      <c r="Z22" t="s">
        <v>73</v>
      </c>
      <c r="AA22" t="s">
        <v>341</v>
      </c>
      <c r="AB22" s="67">
        <v>0</v>
      </c>
      <c r="AC22" s="67">
        <v>0</v>
      </c>
      <c r="AD22" s="67">
        <v>0</v>
      </c>
      <c r="AE22" s="67">
        <v>0</v>
      </c>
      <c r="AF22" s="67">
        <v>0</v>
      </c>
      <c r="AG22" s="67">
        <v>37905</v>
      </c>
      <c r="AH22" s="67">
        <v>37905</v>
      </c>
    </row>
    <row r="23" spans="1:34" hidden="1">
      <c r="A23" t="s">
        <v>196</v>
      </c>
      <c r="B23" t="s">
        <v>181</v>
      </c>
      <c r="C23" t="s">
        <v>182</v>
      </c>
      <c r="D23" t="s">
        <v>294</v>
      </c>
      <c r="E23" t="s">
        <v>359</v>
      </c>
      <c r="F23" t="s">
        <v>360</v>
      </c>
      <c r="G23" t="s">
        <v>155</v>
      </c>
      <c r="H23" t="s">
        <v>200</v>
      </c>
      <c r="I23" t="s">
        <v>297</v>
      </c>
      <c r="J23" t="s">
        <v>361</v>
      </c>
      <c r="K23" t="s">
        <v>65</v>
      </c>
      <c r="L23" t="s">
        <v>362</v>
      </c>
      <c r="M23" s="13">
        <v>45968.333333333343</v>
      </c>
      <c r="N23" s="13">
        <v>45969.618750000001</v>
      </c>
      <c r="O23" t="s">
        <v>159</v>
      </c>
      <c r="P23" t="s">
        <v>160</v>
      </c>
      <c r="Q23" t="s">
        <v>226</v>
      </c>
      <c r="R23" t="s">
        <v>227</v>
      </c>
      <c r="S23" t="s">
        <v>163</v>
      </c>
      <c r="T23" t="s">
        <v>163</v>
      </c>
      <c r="V23" t="s">
        <v>363</v>
      </c>
      <c r="W23" t="s">
        <v>71</v>
      </c>
      <c r="Y23" t="s">
        <v>109</v>
      </c>
      <c r="Z23" t="s">
        <v>73</v>
      </c>
      <c r="AA23" t="s">
        <v>364</v>
      </c>
      <c r="AB23" s="67">
        <v>0</v>
      </c>
      <c r="AC23" s="67">
        <v>0</v>
      </c>
      <c r="AD23" s="67">
        <v>0</v>
      </c>
      <c r="AE23" s="67">
        <v>0</v>
      </c>
      <c r="AF23" s="67">
        <v>0</v>
      </c>
      <c r="AG23" s="67">
        <v>37905</v>
      </c>
      <c r="AH23" s="67">
        <v>37905</v>
      </c>
    </row>
    <row r="24" spans="1:34" hidden="1">
      <c r="A24" t="s">
        <v>365</v>
      </c>
      <c r="B24" t="s">
        <v>89</v>
      </c>
      <c r="C24" t="s">
        <v>366</v>
      </c>
      <c r="D24" t="s">
        <v>367</v>
      </c>
      <c r="E24" t="s">
        <v>368</v>
      </c>
      <c r="F24" t="s">
        <v>369</v>
      </c>
      <c r="G24" t="s">
        <v>155</v>
      </c>
      <c r="H24" t="s">
        <v>370</v>
      </c>
      <c r="I24" t="s">
        <v>365</v>
      </c>
      <c r="J24" t="s">
        <v>371</v>
      </c>
      <c r="K24" t="s">
        <v>65</v>
      </c>
      <c r="L24" t="s">
        <v>372</v>
      </c>
      <c r="M24" s="13">
        <v>45968.357581018521</v>
      </c>
      <c r="N24" s="13">
        <v>45968.680555555547</v>
      </c>
      <c r="O24" t="s">
        <v>159</v>
      </c>
      <c r="P24" t="s">
        <v>160</v>
      </c>
      <c r="Q24" t="s">
        <v>161</v>
      </c>
      <c r="R24" t="s">
        <v>162</v>
      </c>
      <c r="S24" t="s">
        <v>163</v>
      </c>
      <c r="T24" t="s">
        <v>163</v>
      </c>
      <c r="U24" t="s">
        <v>164</v>
      </c>
      <c r="V24" t="s">
        <v>373</v>
      </c>
      <c r="W24" t="s">
        <v>84</v>
      </c>
      <c r="X24" t="s">
        <v>374</v>
      </c>
      <c r="Y24" t="s">
        <v>109</v>
      </c>
      <c r="Z24" t="s">
        <v>73</v>
      </c>
      <c r="AA24" t="s">
        <v>375</v>
      </c>
      <c r="AB24" s="67">
        <v>1</v>
      </c>
      <c r="AC24" s="67">
        <v>0</v>
      </c>
      <c r="AD24" s="67">
        <v>0</v>
      </c>
      <c r="AE24" s="67">
        <v>0</v>
      </c>
      <c r="AF24" s="67">
        <v>0</v>
      </c>
      <c r="AG24" s="67">
        <v>65960</v>
      </c>
      <c r="AH24" s="67">
        <v>65960</v>
      </c>
    </row>
    <row r="25" spans="1:34" hidden="1">
      <c r="A25" t="s">
        <v>54</v>
      </c>
      <c r="B25" t="s">
        <v>55</v>
      </c>
      <c r="C25" t="s">
        <v>56</v>
      </c>
      <c r="D25" t="s">
        <v>376</v>
      </c>
      <c r="E25" t="s">
        <v>377</v>
      </c>
      <c r="F25" t="s">
        <v>378</v>
      </c>
      <c r="G25" t="s">
        <v>155</v>
      </c>
      <c r="H25" t="s">
        <v>62</v>
      </c>
      <c r="I25" t="s">
        <v>379</v>
      </c>
      <c r="J25" t="s">
        <v>380</v>
      </c>
      <c r="K25" t="s">
        <v>65</v>
      </c>
      <c r="L25" t="s">
        <v>381</v>
      </c>
      <c r="M25" s="13">
        <v>45968.437581018523</v>
      </c>
      <c r="N25" s="13">
        <v>45968.506944444453</v>
      </c>
      <c r="O25" t="s">
        <v>159</v>
      </c>
      <c r="P25" t="s">
        <v>160</v>
      </c>
      <c r="Q25" t="s">
        <v>190</v>
      </c>
      <c r="R25" t="s">
        <v>227</v>
      </c>
      <c r="S25" t="s">
        <v>67</v>
      </c>
      <c r="T25" t="s">
        <v>68</v>
      </c>
      <c r="V25" t="s">
        <v>382</v>
      </c>
      <c r="W25" t="s">
        <v>71</v>
      </c>
      <c r="Y25" t="s">
        <v>109</v>
      </c>
      <c r="Z25" t="s">
        <v>73</v>
      </c>
      <c r="AA25" t="s">
        <v>383</v>
      </c>
      <c r="AB25" s="67">
        <v>0</v>
      </c>
      <c r="AC25" s="67">
        <v>0</v>
      </c>
      <c r="AD25" s="67">
        <v>0</v>
      </c>
      <c r="AE25" s="67">
        <v>0</v>
      </c>
      <c r="AF25" s="67">
        <v>0</v>
      </c>
      <c r="AG25" s="67">
        <v>37905</v>
      </c>
      <c r="AH25" s="67">
        <v>37905</v>
      </c>
    </row>
    <row r="26" spans="1:34" hidden="1">
      <c r="A26" t="s">
        <v>167</v>
      </c>
      <c r="B26" t="s">
        <v>168</v>
      </c>
      <c r="C26" t="s">
        <v>169</v>
      </c>
      <c r="D26" t="s">
        <v>384</v>
      </c>
      <c r="E26" t="s">
        <v>385</v>
      </c>
      <c r="F26" t="s">
        <v>386</v>
      </c>
      <c r="G26" t="s">
        <v>155</v>
      </c>
      <c r="H26" t="s">
        <v>387</v>
      </c>
      <c r="I26" t="s">
        <v>388</v>
      </c>
      <c r="J26" t="s">
        <v>389</v>
      </c>
      <c r="K26" t="s">
        <v>65</v>
      </c>
      <c r="L26" t="s">
        <v>390</v>
      </c>
      <c r="M26" s="13">
        <v>45968.59584490741</v>
      </c>
      <c r="N26" s="13">
        <v>45971.429861111108</v>
      </c>
      <c r="O26" t="s">
        <v>159</v>
      </c>
      <c r="P26" t="s">
        <v>160</v>
      </c>
      <c r="Q26" t="s">
        <v>176</v>
      </c>
      <c r="R26" t="s">
        <v>391</v>
      </c>
      <c r="S26" t="s">
        <v>67</v>
      </c>
      <c r="T26" t="s">
        <v>68</v>
      </c>
      <c r="U26" t="s">
        <v>289</v>
      </c>
      <c r="V26" t="s">
        <v>392</v>
      </c>
      <c r="W26" t="s">
        <v>84</v>
      </c>
      <c r="X26" t="s">
        <v>393</v>
      </c>
      <c r="Y26" t="s">
        <v>72</v>
      </c>
      <c r="Z26" t="s">
        <v>73</v>
      </c>
      <c r="AA26" t="s">
        <v>394</v>
      </c>
      <c r="AB26" s="67">
        <v>1</v>
      </c>
      <c r="AC26" s="67">
        <v>0</v>
      </c>
      <c r="AD26" s="67">
        <v>0</v>
      </c>
      <c r="AE26" s="67">
        <v>0</v>
      </c>
      <c r="AF26" s="67">
        <v>0</v>
      </c>
      <c r="AG26" s="67">
        <v>479590</v>
      </c>
      <c r="AH26" s="67">
        <v>479590</v>
      </c>
    </row>
    <row r="27" spans="1:34" hidden="1">
      <c r="A27" t="s">
        <v>274</v>
      </c>
      <c r="B27" t="s">
        <v>168</v>
      </c>
      <c r="C27" t="s">
        <v>169</v>
      </c>
      <c r="D27" t="s">
        <v>275</v>
      </c>
      <c r="E27" t="s">
        <v>395</v>
      </c>
      <c r="F27" t="s">
        <v>396</v>
      </c>
      <c r="G27" t="s">
        <v>155</v>
      </c>
      <c r="H27" t="s">
        <v>278</v>
      </c>
      <c r="I27" t="s">
        <v>274</v>
      </c>
      <c r="J27" t="s">
        <v>397</v>
      </c>
      <c r="K27" t="s">
        <v>65</v>
      </c>
      <c r="L27" t="s">
        <v>398</v>
      </c>
      <c r="M27" s="13">
        <v>45968.691354166673</v>
      </c>
      <c r="N27" s="13">
        <v>45969.488888888889</v>
      </c>
      <c r="O27" t="s">
        <v>159</v>
      </c>
      <c r="P27" t="s">
        <v>160</v>
      </c>
      <c r="Q27" t="s">
        <v>226</v>
      </c>
      <c r="R27" t="s">
        <v>227</v>
      </c>
      <c r="S27" t="s">
        <v>67</v>
      </c>
      <c r="T27" t="s">
        <v>68</v>
      </c>
      <c r="U27" t="s">
        <v>164</v>
      </c>
      <c r="V27" t="s">
        <v>399</v>
      </c>
      <c r="W27" t="s">
        <v>84</v>
      </c>
      <c r="X27" t="s">
        <v>400</v>
      </c>
      <c r="Y27" t="s">
        <v>109</v>
      </c>
      <c r="Z27" t="s">
        <v>73</v>
      </c>
      <c r="AA27" t="s">
        <v>282</v>
      </c>
      <c r="AB27" s="67">
        <v>1</v>
      </c>
      <c r="AC27" s="67">
        <v>0</v>
      </c>
      <c r="AD27" s="67">
        <v>0</v>
      </c>
      <c r="AE27" s="67">
        <v>0</v>
      </c>
      <c r="AF27" s="67">
        <v>0</v>
      </c>
      <c r="AG27" s="67">
        <v>65960</v>
      </c>
      <c r="AH27" s="67">
        <v>65960</v>
      </c>
    </row>
    <row r="28" spans="1:34" hidden="1">
      <c r="A28" t="s">
        <v>100</v>
      </c>
      <c r="B28" t="s">
        <v>89</v>
      </c>
      <c r="C28" t="s">
        <v>90</v>
      </c>
      <c r="D28" t="s">
        <v>101</v>
      </c>
      <c r="E28" t="s">
        <v>401</v>
      </c>
      <c r="F28" t="s">
        <v>402</v>
      </c>
      <c r="G28" t="s">
        <v>155</v>
      </c>
      <c r="H28" t="s">
        <v>104</v>
      </c>
      <c r="I28" t="s">
        <v>105</v>
      </c>
      <c r="J28" t="s">
        <v>403</v>
      </c>
      <c r="K28" t="s">
        <v>65</v>
      </c>
      <c r="L28" t="s">
        <v>404</v>
      </c>
      <c r="M28" s="13">
        <v>45968.744988425933</v>
      </c>
      <c r="N28" s="13">
        <v>45969.53125</v>
      </c>
      <c r="O28" t="s">
        <v>159</v>
      </c>
      <c r="P28" t="s">
        <v>160</v>
      </c>
      <c r="Q28" t="s">
        <v>190</v>
      </c>
      <c r="R28" t="s">
        <v>227</v>
      </c>
      <c r="S28" t="s">
        <v>67</v>
      </c>
      <c r="T28" t="s">
        <v>117</v>
      </c>
      <c r="U28" t="s">
        <v>164</v>
      </c>
      <c r="V28" t="s">
        <v>405</v>
      </c>
      <c r="W28" t="s">
        <v>84</v>
      </c>
      <c r="X28" t="s">
        <v>406</v>
      </c>
      <c r="Y28" t="s">
        <v>109</v>
      </c>
      <c r="Z28" t="s">
        <v>73</v>
      </c>
      <c r="AA28" t="s">
        <v>407</v>
      </c>
      <c r="AB28" s="67">
        <v>1</v>
      </c>
      <c r="AC28" s="67">
        <v>0</v>
      </c>
      <c r="AD28" s="67">
        <v>0</v>
      </c>
      <c r="AE28" s="67">
        <v>0</v>
      </c>
      <c r="AF28" s="67">
        <v>0</v>
      </c>
      <c r="AG28" s="67">
        <v>65960</v>
      </c>
      <c r="AH28" s="67">
        <v>65960</v>
      </c>
    </row>
    <row r="29" spans="1:34" hidden="1">
      <c r="A29" t="s">
        <v>100</v>
      </c>
      <c r="B29" t="s">
        <v>89</v>
      </c>
      <c r="C29" t="s">
        <v>90</v>
      </c>
      <c r="D29" t="s">
        <v>303</v>
      </c>
      <c r="E29" t="s">
        <v>408</v>
      </c>
      <c r="F29" t="s">
        <v>409</v>
      </c>
      <c r="G29" t="s">
        <v>155</v>
      </c>
      <c r="H29" t="s">
        <v>104</v>
      </c>
      <c r="I29" t="s">
        <v>100</v>
      </c>
      <c r="J29" t="s">
        <v>410</v>
      </c>
      <c r="K29" t="s">
        <v>65</v>
      </c>
      <c r="L29" t="s">
        <v>411</v>
      </c>
      <c r="M29" s="13">
        <v>45969.499421296299</v>
      </c>
      <c r="N29" s="13">
        <v>45971.637499999997</v>
      </c>
      <c r="O29" t="s">
        <v>159</v>
      </c>
      <c r="P29" t="s">
        <v>160</v>
      </c>
      <c r="Q29" t="s">
        <v>234</v>
      </c>
      <c r="R29" t="s">
        <v>235</v>
      </c>
      <c r="S29" t="s">
        <v>67</v>
      </c>
      <c r="T29" t="s">
        <v>117</v>
      </c>
      <c r="U29" t="s">
        <v>289</v>
      </c>
      <c r="V29" t="s">
        <v>412</v>
      </c>
      <c r="W29" t="s">
        <v>84</v>
      </c>
      <c r="X29" t="s">
        <v>413</v>
      </c>
      <c r="Y29" t="s">
        <v>109</v>
      </c>
      <c r="Z29" t="s">
        <v>73</v>
      </c>
      <c r="AA29" t="s">
        <v>414</v>
      </c>
      <c r="AB29" s="67">
        <v>1</v>
      </c>
      <c r="AC29" s="67">
        <v>0</v>
      </c>
      <c r="AD29" s="67">
        <v>0</v>
      </c>
      <c r="AE29" s="67">
        <v>0</v>
      </c>
      <c r="AF29" s="67">
        <v>0</v>
      </c>
      <c r="AG29" s="67">
        <v>65960</v>
      </c>
      <c r="AH29" s="67">
        <v>65960</v>
      </c>
    </row>
    <row r="30" spans="1:34">
      <c r="A30" t="s">
        <v>196</v>
      </c>
      <c r="B30" t="s">
        <v>181</v>
      </c>
      <c r="C30" t="s">
        <v>182</v>
      </c>
      <c r="D30" t="s">
        <v>415</v>
      </c>
      <c r="E30" t="s">
        <v>416</v>
      </c>
      <c r="F30" t="s">
        <v>417</v>
      </c>
      <c r="G30" t="s">
        <v>155</v>
      </c>
      <c r="H30" t="s">
        <v>214</v>
      </c>
      <c r="I30" t="s">
        <v>418</v>
      </c>
      <c r="J30" t="s">
        <v>419</v>
      </c>
      <c r="K30" t="s">
        <v>65</v>
      </c>
      <c r="L30" t="s">
        <v>420</v>
      </c>
      <c r="M30" s="13">
        <v>45969.402719907397</v>
      </c>
      <c r="N30" s="13">
        <v>45972.727083333331</v>
      </c>
      <c r="O30" t="s">
        <v>159</v>
      </c>
      <c r="P30" t="s">
        <v>160</v>
      </c>
      <c r="Q30" t="s">
        <v>190</v>
      </c>
      <c r="R30" t="s">
        <v>227</v>
      </c>
      <c r="S30" t="s">
        <v>163</v>
      </c>
      <c r="T30" t="s">
        <v>163</v>
      </c>
      <c r="V30" t="s">
        <v>421</v>
      </c>
      <c r="W30" t="s">
        <v>71</v>
      </c>
      <c r="Y30" t="s">
        <v>85</v>
      </c>
      <c r="Z30" t="s">
        <v>422</v>
      </c>
      <c r="AA30" t="s">
        <v>423</v>
      </c>
      <c r="AB30" s="67">
        <v>0</v>
      </c>
      <c r="AC30" s="67">
        <v>0</v>
      </c>
      <c r="AD30" s="67">
        <v>0</v>
      </c>
      <c r="AE30" s="67">
        <v>0</v>
      </c>
      <c r="AF30" s="67">
        <v>0</v>
      </c>
      <c r="AG30" s="67">
        <v>37905</v>
      </c>
      <c r="AH30" s="67">
        <v>37905</v>
      </c>
    </row>
    <row r="31" spans="1:34" hidden="1">
      <c r="A31" t="s">
        <v>54</v>
      </c>
      <c r="B31" t="s">
        <v>55</v>
      </c>
      <c r="C31" t="s">
        <v>56</v>
      </c>
      <c r="D31" t="s">
        <v>424</v>
      </c>
      <c r="E31" t="s">
        <v>425</v>
      </c>
      <c r="F31" t="s">
        <v>426</v>
      </c>
      <c r="G31" t="s">
        <v>155</v>
      </c>
      <c r="H31" t="s">
        <v>62</v>
      </c>
      <c r="I31" t="s">
        <v>427</v>
      </c>
      <c r="J31" t="s">
        <v>428</v>
      </c>
      <c r="K31" t="s">
        <v>65</v>
      </c>
      <c r="L31" t="s">
        <v>429</v>
      </c>
      <c r="M31" s="13">
        <v>45969.54278935185</v>
      </c>
      <c r="N31" s="13">
        <v>45971.461805555547</v>
      </c>
      <c r="O31" t="s">
        <v>159</v>
      </c>
      <c r="P31" t="s">
        <v>160</v>
      </c>
      <c r="Q31" t="s">
        <v>234</v>
      </c>
      <c r="R31" t="s">
        <v>235</v>
      </c>
      <c r="S31" t="s">
        <v>163</v>
      </c>
      <c r="T31" t="s">
        <v>163</v>
      </c>
      <c r="U31" t="s">
        <v>164</v>
      </c>
      <c r="V31" t="s">
        <v>430</v>
      </c>
      <c r="W31" t="s">
        <v>84</v>
      </c>
      <c r="X31" t="s">
        <v>431</v>
      </c>
      <c r="Y31" t="s">
        <v>194</v>
      </c>
      <c r="Z31" t="s">
        <v>73</v>
      </c>
      <c r="AA31" t="s">
        <v>293</v>
      </c>
      <c r="AB31" s="67">
        <v>1</v>
      </c>
      <c r="AC31" s="67">
        <v>0</v>
      </c>
      <c r="AD31" s="67">
        <v>0</v>
      </c>
      <c r="AE31" s="67">
        <v>0</v>
      </c>
      <c r="AF31" s="67">
        <v>0</v>
      </c>
      <c r="AG31" s="67">
        <v>163814</v>
      </c>
      <c r="AH31" s="67">
        <v>163814</v>
      </c>
    </row>
    <row r="32" spans="1:34" hidden="1">
      <c r="A32" t="s">
        <v>196</v>
      </c>
      <c r="B32" t="s">
        <v>181</v>
      </c>
      <c r="C32" t="s">
        <v>182</v>
      </c>
      <c r="D32" t="s">
        <v>432</v>
      </c>
      <c r="E32" t="s">
        <v>433</v>
      </c>
      <c r="F32" t="s">
        <v>434</v>
      </c>
      <c r="G32" t="s">
        <v>155</v>
      </c>
      <c r="H32" t="s">
        <v>200</v>
      </c>
      <c r="I32" t="s">
        <v>435</v>
      </c>
      <c r="J32" t="s">
        <v>436</v>
      </c>
      <c r="K32" t="s">
        <v>65</v>
      </c>
      <c r="L32" t="s">
        <v>437</v>
      </c>
      <c r="M32" s="13">
        <v>45970.384953703702</v>
      </c>
      <c r="N32" s="13">
        <v>45971.341666666667</v>
      </c>
      <c r="O32" t="s">
        <v>159</v>
      </c>
      <c r="P32" t="s">
        <v>160</v>
      </c>
      <c r="Q32" t="s">
        <v>226</v>
      </c>
      <c r="R32" t="s">
        <v>227</v>
      </c>
      <c r="S32" t="s">
        <v>67</v>
      </c>
      <c r="T32" t="s">
        <v>117</v>
      </c>
      <c r="V32" t="s">
        <v>438</v>
      </c>
      <c r="W32" t="s">
        <v>71</v>
      </c>
      <c r="Y32" t="s">
        <v>109</v>
      </c>
      <c r="Z32" t="s">
        <v>73</v>
      </c>
      <c r="AA32" t="s">
        <v>439</v>
      </c>
      <c r="AB32" s="67">
        <v>0</v>
      </c>
      <c r="AC32" s="67">
        <v>0</v>
      </c>
      <c r="AD32" s="67">
        <v>0</v>
      </c>
      <c r="AE32" s="67">
        <v>0</v>
      </c>
      <c r="AF32" s="67">
        <v>0</v>
      </c>
      <c r="AG32" s="67">
        <v>37905</v>
      </c>
      <c r="AH32" s="67">
        <v>37905</v>
      </c>
    </row>
    <row r="33" spans="1:34" hidden="1">
      <c r="A33" t="s">
        <v>440</v>
      </c>
      <c r="B33" t="s">
        <v>89</v>
      </c>
      <c r="C33" t="s">
        <v>366</v>
      </c>
      <c r="D33" t="s">
        <v>441</v>
      </c>
      <c r="E33" t="s">
        <v>442</v>
      </c>
      <c r="F33" t="s">
        <v>443</v>
      </c>
      <c r="G33" t="s">
        <v>155</v>
      </c>
      <c r="H33" t="s">
        <v>444</v>
      </c>
      <c r="I33" t="s">
        <v>445</v>
      </c>
      <c r="J33" t="s">
        <v>446</v>
      </c>
      <c r="K33" t="s">
        <v>65</v>
      </c>
      <c r="L33" t="s">
        <v>447</v>
      </c>
      <c r="M33" s="13">
        <v>45971.395671296297</v>
      </c>
      <c r="N33" s="13">
        <v>45972.709027777782</v>
      </c>
      <c r="O33" t="s">
        <v>159</v>
      </c>
      <c r="P33" t="s">
        <v>160</v>
      </c>
      <c r="Q33" t="s">
        <v>226</v>
      </c>
      <c r="R33" t="s">
        <v>227</v>
      </c>
      <c r="S33" t="s">
        <v>67</v>
      </c>
      <c r="T33" t="s">
        <v>68</v>
      </c>
      <c r="V33" t="s">
        <v>448</v>
      </c>
      <c r="W33" t="s">
        <v>71</v>
      </c>
      <c r="Y33" t="s">
        <v>130</v>
      </c>
      <c r="Z33" t="s">
        <v>73</v>
      </c>
      <c r="AA33" t="s">
        <v>449</v>
      </c>
      <c r="AB33" s="67">
        <v>0</v>
      </c>
      <c r="AC33" s="67">
        <v>0</v>
      </c>
      <c r="AD33" s="67">
        <v>0</v>
      </c>
      <c r="AE33" s="67">
        <v>0</v>
      </c>
      <c r="AF33" s="67">
        <v>0</v>
      </c>
      <c r="AG33" s="67">
        <v>37905</v>
      </c>
      <c r="AH33" s="67">
        <v>37905</v>
      </c>
    </row>
    <row r="34" spans="1:34" hidden="1">
      <c r="A34" t="s">
        <v>167</v>
      </c>
      <c r="B34" t="s">
        <v>168</v>
      </c>
      <c r="C34" t="s">
        <v>169</v>
      </c>
      <c r="D34" t="s">
        <v>450</v>
      </c>
      <c r="E34" t="s">
        <v>451</v>
      </c>
      <c r="F34" t="s">
        <v>452</v>
      </c>
      <c r="G34" t="s">
        <v>155</v>
      </c>
      <c r="H34" t="s">
        <v>173</v>
      </c>
      <c r="I34" t="s">
        <v>453</v>
      </c>
      <c r="J34" t="s">
        <v>454</v>
      </c>
      <c r="K34" t="s">
        <v>65</v>
      </c>
      <c r="L34" t="s">
        <v>455</v>
      </c>
      <c r="M34" s="13">
        <v>45971.443425925929</v>
      </c>
      <c r="N34" s="13">
        <v>45972.462500000001</v>
      </c>
      <c r="O34" t="s">
        <v>159</v>
      </c>
      <c r="P34" t="s">
        <v>160</v>
      </c>
      <c r="Q34" t="s">
        <v>190</v>
      </c>
      <c r="R34" t="s">
        <v>227</v>
      </c>
      <c r="S34" t="s">
        <v>67</v>
      </c>
      <c r="T34" t="s">
        <v>68</v>
      </c>
      <c r="U34" t="s">
        <v>164</v>
      </c>
      <c r="V34" t="s">
        <v>456</v>
      </c>
      <c r="W34" t="s">
        <v>84</v>
      </c>
      <c r="X34" t="s">
        <v>457</v>
      </c>
      <c r="Y34" t="s">
        <v>130</v>
      </c>
      <c r="Z34" t="s">
        <v>73</v>
      </c>
      <c r="AA34" t="s">
        <v>351</v>
      </c>
      <c r="AB34" s="67">
        <v>1</v>
      </c>
      <c r="AC34" s="67">
        <v>0</v>
      </c>
      <c r="AD34" s="67">
        <v>0</v>
      </c>
      <c r="AE34" s="67">
        <v>0</v>
      </c>
      <c r="AF34" s="67">
        <v>0</v>
      </c>
      <c r="AG34" s="67">
        <v>275728</v>
      </c>
      <c r="AH34" s="67">
        <v>275728</v>
      </c>
    </row>
    <row r="35" spans="1:34" hidden="1">
      <c r="A35" t="s">
        <v>54</v>
      </c>
      <c r="B35" t="s">
        <v>55</v>
      </c>
      <c r="C35" t="s">
        <v>56</v>
      </c>
      <c r="D35" t="s">
        <v>111</v>
      </c>
      <c r="E35" t="s">
        <v>458</v>
      </c>
      <c r="F35" t="s">
        <v>459</v>
      </c>
      <c r="G35" t="s">
        <v>155</v>
      </c>
      <c r="H35" t="s">
        <v>62</v>
      </c>
      <c r="I35" t="s">
        <v>54</v>
      </c>
      <c r="J35" t="s">
        <v>460</v>
      </c>
      <c r="K35" t="s">
        <v>65</v>
      </c>
      <c r="L35" t="s">
        <v>461</v>
      </c>
      <c r="M35" s="13">
        <v>45972.333333333343</v>
      </c>
      <c r="N35" s="13">
        <v>45972.580555555563</v>
      </c>
      <c r="O35" t="s">
        <v>159</v>
      </c>
      <c r="P35" t="s">
        <v>160</v>
      </c>
      <c r="Q35" t="s">
        <v>161</v>
      </c>
      <c r="R35" t="s">
        <v>162</v>
      </c>
      <c r="S35" t="s">
        <v>67</v>
      </c>
      <c r="T35" t="s">
        <v>117</v>
      </c>
      <c r="U35" t="s">
        <v>164</v>
      </c>
      <c r="V35" t="s">
        <v>462</v>
      </c>
      <c r="W35" t="s">
        <v>84</v>
      </c>
      <c r="X35" t="s">
        <v>463</v>
      </c>
      <c r="Y35" t="s">
        <v>109</v>
      </c>
      <c r="Z35" t="s">
        <v>73</v>
      </c>
      <c r="AA35" t="s">
        <v>464</v>
      </c>
      <c r="AB35" s="67">
        <v>1</v>
      </c>
      <c r="AC35" s="67">
        <v>0</v>
      </c>
      <c r="AD35" s="67">
        <v>0</v>
      </c>
      <c r="AE35" s="67">
        <v>0</v>
      </c>
      <c r="AF35" s="67">
        <v>0</v>
      </c>
      <c r="AG35" s="67">
        <v>65960</v>
      </c>
      <c r="AH35" s="67">
        <v>65960</v>
      </c>
    </row>
    <row r="36" spans="1:34" hidden="1">
      <c r="A36" t="s">
        <v>180</v>
      </c>
      <c r="B36" t="s">
        <v>181</v>
      </c>
      <c r="C36" t="s">
        <v>182</v>
      </c>
      <c r="D36" t="s">
        <v>465</v>
      </c>
      <c r="E36" t="s">
        <v>466</v>
      </c>
      <c r="F36" t="s">
        <v>467</v>
      </c>
      <c r="G36" t="s">
        <v>155</v>
      </c>
      <c r="H36" t="s">
        <v>186</v>
      </c>
      <c r="I36" t="s">
        <v>468</v>
      </c>
      <c r="J36" t="s">
        <v>469</v>
      </c>
      <c r="K36" t="s">
        <v>65</v>
      </c>
      <c r="L36" t="s">
        <v>470</v>
      </c>
      <c r="M36" s="13">
        <v>45972.415706018517</v>
      </c>
      <c r="N36" s="13">
        <v>45972.520138888889</v>
      </c>
      <c r="O36" t="s">
        <v>159</v>
      </c>
      <c r="P36" t="s">
        <v>160</v>
      </c>
      <c r="Q36" t="s">
        <v>190</v>
      </c>
      <c r="R36" t="s">
        <v>191</v>
      </c>
      <c r="S36" t="s">
        <v>192</v>
      </c>
      <c r="T36" t="s">
        <v>192</v>
      </c>
      <c r="U36" t="s">
        <v>164</v>
      </c>
      <c r="V36" t="s">
        <v>471</v>
      </c>
      <c r="W36" t="s">
        <v>84</v>
      </c>
      <c r="X36" t="s">
        <v>472</v>
      </c>
      <c r="Y36" t="s">
        <v>130</v>
      </c>
      <c r="Z36" t="s">
        <v>73</v>
      </c>
      <c r="AA36" t="s">
        <v>473</v>
      </c>
      <c r="AB36" s="67">
        <v>1</v>
      </c>
      <c r="AC36" s="67">
        <v>0</v>
      </c>
      <c r="AD36" s="67">
        <v>0</v>
      </c>
      <c r="AE36" s="67">
        <v>0</v>
      </c>
      <c r="AF36" s="67">
        <v>0</v>
      </c>
      <c r="AG36" s="67">
        <v>275728</v>
      </c>
      <c r="AH36" s="67">
        <v>275728</v>
      </c>
    </row>
    <row r="37" spans="1:34" hidden="1">
      <c r="A37" t="s">
        <v>365</v>
      </c>
      <c r="B37" t="s">
        <v>89</v>
      </c>
      <c r="C37" t="s">
        <v>366</v>
      </c>
      <c r="D37" t="s">
        <v>367</v>
      </c>
      <c r="E37" t="s">
        <v>474</v>
      </c>
      <c r="F37" t="s">
        <v>475</v>
      </c>
      <c r="G37" t="s">
        <v>155</v>
      </c>
      <c r="H37" t="s">
        <v>370</v>
      </c>
      <c r="I37" t="s">
        <v>365</v>
      </c>
      <c r="J37" t="s">
        <v>476</v>
      </c>
      <c r="K37" t="s">
        <v>65</v>
      </c>
      <c r="L37" t="s">
        <v>477</v>
      </c>
      <c r="M37" s="13">
        <v>45972.582175925927</v>
      </c>
      <c r="N37" s="13">
        <v>45973.386111111111</v>
      </c>
      <c r="O37" t="s">
        <v>159</v>
      </c>
      <c r="P37" t="s">
        <v>160</v>
      </c>
      <c r="Q37" t="s">
        <v>234</v>
      </c>
      <c r="R37" t="s">
        <v>235</v>
      </c>
      <c r="S37" t="s">
        <v>236</v>
      </c>
      <c r="T37" t="s">
        <v>237</v>
      </c>
      <c r="U37" t="s">
        <v>289</v>
      </c>
      <c r="V37" t="s">
        <v>478</v>
      </c>
      <c r="W37" t="s">
        <v>84</v>
      </c>
      <c r="Y37" t="s">
        <v>109</v>
      </c>
      <c r="Z37" t="s">
        <v>73</v>
      </c>
      <c r="AA37" t="s">
        <v>479</v>
      </c>
      <c r="AB37" s="67">
        <v>1</v>
      </c>
      <c r="AC37" s="67">
        <v>0</v>
      </c>
      <c r="AD37" s="67">
        <v>0</v>
      </c>
      <c r="AE37" s="67">
        <v>0</v>
      </c>
      <c r="AF37" s="67">
        <v>0</v>
      </c>
      <c r="AG37" s="67">
        <v>65960</v>
      </c>
      <c r="AH37" s="67">
        <v>65960</v>
      </c>
    </row>
    <row r="38" spans="1:34">
      <c r="A38" t="s">
        <v>196</v>
      </c>
      <c r="B38" t="s">
        <v>181</v>
      </c>
      <c r="C38" t="s">
        <v>182</v>
      </c>
      <c r="D38" t="s">
        <v>480</v>
      </c>
      <c r="E38" s="42">
        <v>3003898</v>
      </c>
      <c r="F38" t="s">
        <v>481</v>
      </c>
      <c r="G38" t="s">
        <v>155</v>
      </c>
      <c r="H38" t="s">
        <v>482</v>
      </c>
      <c r="I38" t="s">
        <v>482</v>
      </c>
      <c r="J38" t="s">
        <v>483</v>
      </c>
      <c r="K38" t="s">
        <v>65</v>
      </c>
      <c r="L38" t="s">
        <v>484</v>
      </c>
      <c r="M38" s="13">
        <v>45972.61136574074</v>
      </c>
      <c r="N38" s="13">
        <v>45981.381249999999</v>
      </c>
      <c r="O38" t="s">
        <v>159</v>
      </c>
      <c r="P38" t="s">
        <v>160</v>
      </c>
      <c r="Q38" t="s">
        <v>190</v>
      </c>
      <c r="R38" t="s">
        <v>227</v>
      </c>
      <c r="S38" t="s">
        <v>163</v>
      </c>
      <c r="T38" t="s">
        <v>163</v>
      </c>
      <c r="U38" t="s">
        <v>164</v>
      </c>
      <c r="V38" t="s">
        <v>485</v>
      </c>
      <c r="W38" t="s">
        <v>84</v>
      </c>
      <c r="X38" t="s">
        <v>486</v>
      </c>
      <c r="Y38" t="s">
        <v>85</v>
      </c>
      <c r="Z38" t="s">
        <v>86</v>
      </c>
      <c r="AA38" t="s">
        <v>207</v>
      </c>
      <c r="AB38" s="67">
        <v>1</v>
      </c>
      <c r="AC38" s="67">
        <v>0</v>
      </c>
      <c r="AD38" s="67">
        <v>0</v>
      </c>
      <c r="AE38" s="67">
        <v>0</v>
      </c>
      <c r="AF38" s="67">
        <v>0</v>
      </c>
      <c r="AG38" s="67">
        <v>988463</v>
      </c>
      <c r="AH38" s="67">
        <v>988463</v>
      </c>
    </row>
    <row r="39" spans="1:34" hidden="1">
      <c r="A39" t="s">
        <v>75</v>
      </c>
      <c r="B39" t="s">
        <v>55</v>
      </c>
      <c r="C39" t="s">
        <v>56</v>
      </c>
      <c r="D39" t="s">
        <v>487</v>
      </c>
      <c r="E39" t="s">
        <v>488</v>
      </c>
      <c r="F39" t="s">
        <v>489</v>
      </c>
      <c r="G39" t="s">
        <v>155</v>
      </c>
      <c r="H39" t="s">
        <v>62</v>
      </c>
      <c r="I39" t="s">
        <v>75</v>
      </c>
      <c r="J39" t="s">
        <v>490</v>
      </c>
      <c r="K39" t="s">
        <v>65</v>
      </c>
      <c r="L39" t="s">
        <v>491</v>
      </c>
      <c r="M39" s="13">
        <v>45973.395740740743</v>
      </c>
      <c r="N39" s="13">
        <v>45973.599305555559</v>
      </c>
      <c r="O39" t="s">
        <v>159</v>
      </c>
      <c r="P39" t="s">
        <v>160</v>
      </c>
      <c r="Q39" t="s">
        <v>190</v>
      </c>
      <c r="R39" t="s">
        <v>191</v>
      </c>
      <c r="S39" t="s">
        <v>67</v>
      </c>
      <c r="T39" t="s">
        <v>68</v>
      </c>
      <c r="U39" t="s">
        <v>164</v>
      </c>
      <c r="V39" t="s">
        <v>492</v>
      </c>
      <c r="W39" t="s">
        <v>84</v>
      </c>
      <c r="X39" t="s">
        <v>493</v>
      </c>
      <c r="Y39" t="s">
        <v>109</v>
      </c>
      <c r="Z39" t="s">
        <v>73</v>
      </c>
      <c r="AA39" t="s">
        <v>87</v>
      </c>
      <c r="AB39" s="67">
        <v>1</v>
      </c>
      <c r="AC39" s="67">
        <v>0</v>
      </c>
      <c r="AD39" s="67">
        <v>0</v>
      </c>
      <c r="AE39" s="67">
        <v>0</v>
      </c>
      <c r="AF39" s="67">
        <v>0</v>
      </c>
      <c r="AG39" s="67">
        <v>65960</v>
      </c>
      <c r="AH39" s="67">
        <v>65960</v>
      </c>
    </row>
    <row r="40" spans="1:34" hidden="1">
      <c r="A40" t="s">
        <v>54</v>
      </c>
      <c r="B40" t="s">
        <v>55</v>
      </c>
      <c r="C40" t="s">
        <v>56</v>
      </c>
      <c r="D40" t="s">
        <v>111</v>
      </c>
      <c r="E40" t="s">
        <v>494</v>
      </c>
      <c r="F40" t="s">
        <v>495</v>
      </c>
      <c r="G40" t="s">
        <v>155</v>
      </c>
      <c r="H40" t="s">
        <v>62</v>
      </c>
      <c r="I40" t="s">
        <v>54</v>
      </c>
      <c r="J40" t="s">
        <v>496</v>
      </c>
      <c r="K40" t="s">
        <v>65</v>
      </c>
      <c r="L40" t="s">
        <v>497</v>
      </c>
      <c r="M40" s="13">
        <v>45973.469895833332</v>
      </c>
      <c r="N40" s="13">
        <v>45974.397222222222</v>
      </c>
      <c r="O40" t="s">
        <v>159</v>
      </c>
      <c r="P40" t="s">
        <v>160</v>
      </c>
      <c r="Q40" t="s">
        <v>498</v>
      </c>
      <c r="R40" t="s">
        <v>499</v>
      </c>
      <c r="S40" t="s">
        <v>67</v>
      </c>
      <c r="T40" t="s">
        <v>117</v>
      </c>
      <c r="V40" t="s">
        <v>500</v>
      </c>
      <c r="W40" t="s">
        <v>71</v>
      </c>
      <c r="Y40" t="s">
        <v>109</v>
      </c>
      <c r="Z40" t="s">
        <v>73</v>
      </c>
      <c r="AA40" t="s">
        <v>293</v>
      </c>
      <c r="AB40" s="67">
        <v>0</v>
      </c>
      <c r="AC40" s="67">
        <v>0</v>
      </c>
      <c r="AD40" s="67">
        <v>0</v>
      </c>
      <c r="AE40" s="67">
        <v>0</v>
      </c>
      <c r="AF40" s="67">
        <v>0</v>
      </c>
      <c r="AG40" s="67">
        <v>37905</v>
      </c>
      <c r="AH40" s="67">
        <v>37905</v>
      </c>
    </row>
    <row r="41" spans="1:34" hidden="1">
      <c r="A41" t="s">
        <v>501</v>
      </c>
      <c r="B41" t="s">
        <v>168</v>
      </c>
      <c r="C41" t="s">
        <v>169</v>
      </c>
      <c r="D41" t="s">
        <v>502</v>
      </c>
      <c r="E41" t="s">
        <v>503</v>
      </c>
      <c r="F41" t="s">
        <v>504</v>
      </c>
      <c r="G41" t="s">
        <v>155</v>
      </c>
      <c r="H41" t="s">
        <v>505</v>
      </c>
      <c r="I41" t="s">
        <v>501</v>
      </c>
      <c r="J41" t="s">
        <v>506</v>
      </c>
      <c r="K41" t="s">
        <v>65</v>
      </c>
      <c r="L41" t="s">
        <v>507</v>
      </c>
      <c r="M41" s="13">
        <v>45973.659814814811</v>
      </c>
      <c r="N41" s="13">
        <v>45974.431944444441</v>
      </c>
      <c r="O41" t="s">
        <v>159</v>
      </c>
      <c r="P41" t="s">
        <v>160</v>
      </c>
      <c r="Q41" t="s">
        <v>234</v>
      </c>
      <c r="R41" t="s">
        <v>235</v>
      </c>
      <c r="S41" t="s">
        <v>236</v>
      </c>
      <c r="T41" t="s">
        <v>508</v>
      </c>
      <c r="U41" t="s">
        <v>289</v>
      </c>
      <c r="V41" t="s">
        <v>509</v>
      </c>
      <c r="W41" t="s">
        <v>84</v>
      </c>
      <c r="Y41" t="s">
        <v>109</v>
      </c>
      <c r="Z41" t="s">
        <v>73</v>
      </c>
      <c r="AA41" t="s">
        <v>510</v>
      </c>
      <c r="AB41" s="67">
        <v>1</v>
      </c>
      <c r="AC41" s="67">
        <v>0</v>
      </c>
      <c r="AD41" s="67">
        <v>0</v>
      </c>
      <c r="AE41" s="67">
        <v>0</v>
      </c>
      <c r="AF41" s="67">
        <v>0</v>
      </c>
      <c r="AG41" s="67">
        <v>65960</v>
      </c>
      <c r="AH41" s="67">
        <v>65960</v>
      </c>
    </row>
    <row r="42" spans="1:34" hidden="1">
      <c r="A42" t="s">
        <v>54</v>
      </c>
      <c r="B42" t="s">
        <v>55</v>
      </c>
      <c r="C42" t="s">
        <v>56</v>
      </c>
      <c r="D42" t="s">
        <v>111</v>
      </c>
      <c r="E42" t="s">
        <v>511</v>
      </c>
      <c r="F42" t="s">
        <v>512</v>
      </c>
      <c r="G42" t="s">
        <v>155</v>
      </c>
      <c r="H42" t="s">
        <v>62</v>
      </c>
      <c r="I42" t="s">
        <v>54</v>
      </c>
      <c r="J42" t="s">
        <v>513</v>
      </c>
      <c r="K42" t="s">
        <v>65</v>
      </c>
      <c r="L42" t="s">
        <v>514</v>
      </c>
      <c r="M42" s="13">
        <v>45973.699479166673</v>
      </c>
      <c r="N42" s="13">
        <v>45974.57708333333</v>
      </c>
      <c r="O42" t="s">
        <v>159</v>
      </c>
      <c r="P42" t="s">
        <v>160</v>
      </c>
      <c r="Q42" t="s">
        <v>234</v>
      </c>
      <c r="R42" t="s">
        <v>235</v>
      </c>
      <c r="S42" t="s">
        <v>67</v>
      </c>
      <c r="T42" t="s">
        <v>117</v>
      </c>
      <c r="U42" t="s">
        <v>164</v>
      </c>
      <c r="V42" t="s">
        <v>515</v>
      </c>
      <c r="W42" t="s">
        <v>84</v>
      </c>
      <c r="X42" t="s">
        <v>516</v>
      </c>
      <c r="Y42" t="s">
        <v>109</v>
      </c>
      <c r="Z42" t="s">
        <v>73</v>
      </c>
      <c r="AA42" t="s">
        <v>293</v>
      </c>
      <c r="AB42" s="67">
        <v>1</v>
      </c>
      <c r="AC42" s="67">
        <v>0</v>
      </c>
      <c r="AD42" s="67">
        <v>0</v>
      </c>
      <c r="AE42" s="67">
        <v>0</v>
      </c>
      <c r="AF42" s="67">
        <v>0</v>
      </c>
      <c r="AG42" s="67">
        <v>65960</v>
      </c>
      <c r="AH42" s="67">
        <v>65960</v>
      </c>
    </row>
    <row r="43" spans="1:34" hidden="1">
      <c r="A43" t="s">
        <v>517</v>
      </c>
      <c r="B43" t="s">
        <v>181</v>
      </c>
      <c r="C43" t="s">
        <v>182</v>
      </c>
      <c r="D43" t="s">
        <v>518</v>
      </c>
      <c r="E43" t="s">
        <v>519</v>
      </c>
      <c r="F43" t="s">
        <v>520</v>
      </c>
      <c r="G43" t="s">
        <v>155</v>
      </c>
      <c r="H43" t="s">
        <v>521</v>
      </c>
      <c r="I43" t="s">
        <v>517</v>
      </c>
      <c r="J43" t="s">
        <v>522</v>
      </c>
      <c r="K43" t="s">
        <v>65</v>
      </c>
      <c r="L43" t="s">
        <v>523</v>
      </c>
      <c r="M43" s="13">
        <v>45974.390706018523</v>
      </c>
      <c r="N43" s="13">
        <v>45974.718055555553</v>
      </c>
      <c r="O43" t="s">
        <v>159</v>
      </c>
      <c r="P43" t="s">
        <v>160</v>
      </c>
      <c r="Q43" t="s">
        <v>190</v>
      </c>
      <c r="R43" t="s">
        <v>191</v>
      </c>
      <c r="S43" t="s">
        <v>163</v>
      </c>
      <c r="T43" t="s">
        <v>163</v>
      </c>
      <c r="U43" t="s">
        <v>164</v>
      </c>
      <c r="V43" t="s">
        <v>524</v>
      </c>
      <c r="W43" t="s">
        <v>84</v>
      </c>
      <c r="Y43" t="s">
        <v>109</v>
      </c>
      <c r="Z43" t="s">
        <v>73</v>
      </c>
      <c r="AA43" t="s">
        <v>525</v>
      </c>
      <c r="AB43" s="67">
        <v>1</v>
      </c>
      <c r="AC43" s="67">
        <v>0</v>
      </c>
      <c r="AD43" s="67">
        <v>0</v>
      </c>
      <c r="AE43" s="67">
        <v>0</v>
      </c>
      <c r="AF43" s="67">
        <v>0</v>
      </c>
      <c r="AG43" s="67">
        <v>65960</v>
      </c>
      <c r="AH43" s="67">
        <v>65960</v>
      </c>
    </row>
    <row r="44" spans="1:34" hidden="1">
      <c r="A44" t="s">
        <v>440</v>
      </c>
      <c r="B44" t="s">
        <v>89</v>
      </c>
      <c r="C44" t="s">
        <v>366</v>
      </c>
      <c r="D44" t="s">
        <v>526</v>
      </c>
      <c r="E44" t="s">
        <v>527</v>
      </c>
      <c r="F44" t="s">
        <v>528</v>
      </c>
      <c r="G44" t="s">
        <v>155</v>
      </c>
      <c r="H44" t="s">
        <v>444</v>
      </c>
      <c r="I44" t="s">
        <v>440</v>
      </c>
      <c r="J44" t="s">
        <v>529</v>
      </c>
      <c r="K44" t="s">
        <v>65</v>
      </c>
      <c r="L44" t="s">
        <v>530</v>
      </c>
      <c r="M44" s="13">
        <v>45974.524826388893</v>
      </c>
      <c r="N44" s="13">
        <v>45975.443749999999</v>
      </c>
      <c r="O44" t="s">
        <v>159</v>
      </c>
      <c r="P44" t="s">
        <v>160</v>
      </c>
      <c r="Q44" t="s">
        <v>234</v>
      </c>
      <c r="R44" t="s">
        <v>235</v>
      </c>
      <c r="S44" t="s">
        <v>531</v>
      </c>
      <c r="T44" t="s">
        <v>532</v>
      </c>
      <c r="V44" t="s">
        <v>533</v>
      </c>
      <c r="W44" t="s">
        <v>71</v>
      </c>
      <c r="Y44" t="s">
        <v>109</v>
      </c>
      <c r="Z44" t="s">
        <v>73</v>
      </c>
      <c r="AA44" t="s">
        <v>534</v>
      </c>
      <c r="AB44" s="67">
        <v>0</v>
      </c>
      <c r="AC44" s="67">
        <v>0</v>
      </c>
      <c r="AD44" s="67">
        <v>0</v>
      </c>
      <c r="AE44" s="67">
        <v>0</v>
      </c>
      <c r="AF44" s="67">
        <v>0</v>
      </c>
      <c r="AG44" s="67">
        <v>37905</v>
      </c>
      <c r="AH44" s="67">
        <v>37905</v>
      </c>
    </row>
    <row r="45" spans="1:34" hidden="1">
      <c r="A45" t="s">
        <v>88</v>
      </c>
      <c r="B45" t="s">
        <v>89</v>
      </c>
      <c r="C45" t="s">
        <v>90</v>
      </c>
      <c r="D45" t="s">
        <v>535</v>
      </c>
      <c r="E45" t="s">
        <v>536</v>
      </c>
      <c r="F45" t="s">
        <v>537</v>
      </c>
      <c r="G45" t="s">
        <v>155</v>
      </c>
      <c r="H45" t="s">
        <v>243</v>
      </c>
      <c r="I45" t="s">
        <v>538</v>
      </c>
      <c r="J45" t="s">
        <v>539</v>
      </c>
      <c r="K45" t="s">
        <v>65</v>
      </c>
      <c r="L45" t="s">
        <v>540</v>
      </c>
      <c r="M45" s="13">
        <v>45974.518113425933</v>
      </c>
      <c r="N45" s="13">
        <v>45975.552777777782</v>
      </c>
      <c r="O45" t="s">
        <v>159</v>
      </c>
      <c r="P45" t="s">
        <v>160</v>
      </c>
      <c r="Q45" t="s">
        <v>190</v>
      </c>
      <c r="R45" t="s">
        <v>227</v>
      </c>
      <c r="S45" t="s">
        <v>67</v>
      </c>
      <c r="T45" t="s">
        <v>68</v>
      </c>
      <c r="U45" t="s">
        <v>164</v>
      </c>
      <c r="V45" t="s">
        <v>541</v>
      </c>
      <c r="W45" t="s">
        <v>84</v>
      </c>
      <c r="X45" t="s">
        <v>542</v>
      </c>
      <c r="Y45" t="s">
        <v>194</v>
      </c>
      <c r="Z45" t="s">
        <v>73</v>
      </c>
      <c r="AA45" t="s">
        <v>99</v>
      </c>
      <c r="AB45" s="67">
        <v>1</v>
      </c>
      <c r="AC45" s="67">
        <v>0</v>
      </c>
      <c r="AD45" s="67">
        <v>0</v>
      </c>
      <c r="AE45" s="67">
        <v>0</v>
      </c>
      <c r="AF45" s="67">
        <v>0</v>
      </c>
      <c r="AG45" s="67">
        <v>163814</v>
      </c>
      <c r="AH45" s="67">
        <v>163814</v>
      </c>
    </row>
    <row r="46" spans="1:34" hidden="1">
      <c r="A46" t="s">
        <v>120</v>
      </c>
      <c r="B46" t="s">
        <v>121</v>
      </c>
      <c r="C46" t="s">
        <v>122</v>
      </c>
      <c r="D46" t="s">
        <v>132</v>
      </c>
      <c r="E46" t="s">
        <v>543</v>
      </c>
      <c r="F46" t="s">
        <v>544</v>
      </c>
      <c r="G46" t="s">
        <v>155</v>
      </c>
      <c r="H46" t="s">
        <v>121</v>
      </c>
      <c r="I46" t="s">
        <v>120</v>
      </c>
      <c r="J46" t="s">
        <v>545</v>
      </c>
      <c r="K46" t="s">
        <v>65</v>
      </c>
      <c r="L46" t="s">
        <v>546</v>
      </c>
      <c r="M46" s="13">
        <v>45975.333333333343</v>
      </c>
      <c r="N46" s="13">
        <v>45975.475694444453</v>
      </c>
      <c r="O46" t="s">
        <v>159</v>
      </c>
      <c r="P46" t="s">
        <v>160</v>
      </c>
      <c r="Q46" t="s">
        <v>190</v>
      </c>
      <c r="R46" t="s">
        <v>191</v>
      </c>
      <c r="S46" t="s">
        <v>67</v>
      </c>
      <c r="T46" t="s">
        <v>117</v>
      </c>
      <c r="V46" t="s">
        <v>547</v>
      </c>
      <c r="W46" t="s">
        <v>71</v>
      </c>
      <c r="Y46" t="s">
        <v>109</v>
      </c>
      <c r="Z46" t="s">
        <v>73</v>
      </c>
      <c r="AA46" t="s">
        <v>548</v>
      </c>
      <c r="AB46" s="67">
        <v>0</v>
      </c>
      <c r="AC46" s="67">
        <v>0</v>
      </c>
      <c r="AD46" s="67">
        <v>0</v>
      </c>
      <c r="AE46" s="67">
        <v>0</v>
      </c>
      <c r="AF46" s="67">
        <v>0</v>
      </c>
      <c r="AG46" s="67">
        <v>37905</v>
      </c>
      <c r="AH46" s="67">
        <v>37905</v>
      </c>
    </row>
    <row r="47" spans="1:34" hidden="1">
      <c r="A47" t="s">
        <v>501</v>
      </c>
      <c r="B47" t="s">
        <v>168</v>
      </c>
      <c r="C47" t="s">
        <v>169</v>
      </c>
      <c r="D47" t="s">
        <v>549</v>
      </c>
      <c r="E47" t="s">
        <v>550</v>
      </c>
      <c r="F47" t="s">
        <v>551</v>
      </c>
      <c r="G47" t="s">
        <v>155</v>
      </c>
      <c r="H47" t="s">
        <v>505</v>
      </c>
      <c r="I47" t="s">
        <v>552</v>
      </c>
      <c r="J47" t="s">
        <v>553</v>
      </c>
      <c r="K47" t="s">
        <v>65</v>
      </c>
      <c r="L47" t="s">
        <v>554</v>
      </c>
      <c r="M47" s="13">
        <v>45975.491805555554</v>
      </c>
      <c r="N47" s="13">
        <v>45976.398611111108</v>
      </c>
      <c r="O47" t="s">
        <v>159</v>
      </c>
      <c r="P47" t="s">
        <v>160</v>
      </c>
      <c r="Q47" t="s">
        <v>190</v>
      </c>
      <c r="R47" t="s">
        <v>227</v>
      </c>
      <c r="S47" t="s">
        <v>67</v>
      </c>
      <c r="T47" t="s">
        <v>68</v>
      </c>
      <c r="V47" t="s">
        <v>555</v>
      </c>
      <c r="W47" t="s">
        <v>71</v>
      </c>
      <c r="Y47" t="s">
        <v>194</v>
      </c>
      <c r="Z47" t="s">
        <v>73</v>
      </c>
      <c r="AA47" t="s">
        <v>510</v>
      </c>
      <c r="AB47" s="67">
        <v>0</v>
      </c>
      <c r="AC47" s="67">
        <v>0</v>
      </c>
      <c r="AD47" s="67">
        <v>0</v>
      </c>
      <c r="AE47" s="67">
        <v>0</v>
      </c>
      <c r="AF47" s="67">
        <v>0</v>
      </c>
      <c r="AG47" s="67">
        <v>37905</v>
      </c>
      <c r="AH47" s="67">
        <v>37905</v>
      </c>
    </row>
    <row r="48" spans="1:34" hidden="1">
      <c r="A48" t="s">
        <v>196</v>
      </c>
      <c r="B48" t="s">
        <v>181</v>
      </c>
      <c r="C48" t="s">
        <v>182</v>
      </c>
      <c r="D48" t="s">
        <v>432</v>
      </c>
      <c r="E48" t="s">
        <v>556</v>
      </c>
      <c r="F48" t="s">
        <v>557</v>
      </c>
      <c r="G48" t="s">
        <v>155</v>
      </c>
      <c r="H48" t="s">
        <v>200</v>
      </c>
      <c r="I48" t="s">
        <v>435</v>
      </c>
      <c r="J48" t="s">
        <v>558</v>
      </c>
      <c r="K48" t="s">
        <v>65</v>
      </c>
      <c r="L48" t="s">
        <v>559</v>
      </c>
      <c r="M48" s="13">
        <v>45975.556238425917</v>
      </c>
      <c r="N48" s="13">
        <v>45976.407638888893</v>
      </c>
      <c r="O48" t="s">
        <v>159</v>
      </c>
      <c r="P48" t="s">
        <v>160</v>
      </c>
      <c r="Q48" t="s">
        <v>161</v>
      </c>
      <c r="R48" t="s">
        <v>162</v>
      </c>
      <c r="S48" t="s">
        <v>67</v>
      </c>
      <c r="T48" t="s">
        <v>117</v>
      </c>
      <c r="V48" t="s">
        <v>560</v>
      </c>
      <c r="W48" t="s">
        <v>71</v>
      </c>
      <c r="Y48" t="s">
        <v>109</v>
      </c>
      <c r="Z48" t="s">
        <v>73</v>
      </c>
      <c r="AA48" t="s">
        <v>561</v>
      </c>
      <c r="AB48" s="67">
        <v>0</v>
      </c>
      <c r="AC48" s="67">
        <v>0</v>
      </c>
      <c r="AD48" s="67">
        <v>0</v>
      </c>
      <c r="AE48" s="67">
        <v>0</v>
      </c>
      <c r="AF48" s="67">
        <v>0</v>
      </c>
      <c r="AG48" s="67">
        <v>37905</v>
      </c>
      <c r="AH48" s="67">
        <v>37905</v>
      </c>
    </row>
    <row r="49" spans="1:34" hidden="1">
      <c r="A49" t="s">
        <v>54</v>
      </c>
      <c r="B49" t="s">
        <v>55</v>
      </c>
      <c r="C49" t="s">
        <v>56</v>
      </c>
      <c r="D49" t="s">
        <v>376</v>
      </c>
      <c r="E49" t="s">
        <v>562</v>
      </c>
      <c r="F49" t="s">
        <v>563</v>
      </c>
      <c r="G49" t="s">
        <v>155</v>
      </c>
      <c r="H49" t="s">
        <v>62</v>
      </c>
      <c r="I49" t="s">
        <v>379</v>
      </c>
      <c r="J49" t="s">
        <v>564</v>
      </c>
      <c r="K49" t="s">
        <v>65</v>
      </c>
      <c r="L49" t="s">
        <v>565</v>
      </c>
      <c r="M49" s="13">
        <v>45975.599745370368</v>
      </c>
      <c r="N49" s="13">
        <v>45976.613888888889</v>
      </c>
      <c r="O49" t="s">
        <v>159</v>
      </c>
      <c r="P49" t="s">
        <v>160</v>
      </c>
      <c r="Q49" t="s">
        <v>176</v>
      </c>
      <c r="R49" t="s">
        <v>391</v>
      </c>
      <c r="S49" t="s">
        <v>67</v>
      </c>
      <c r="T49" t="s">
        <v>68</v>
      </c>
      <c r="V49" t="s">
        <v>566</v>
      </c>
      <c r="W49" t="s">
        <v>71</v>
      </c>
      <c r="Y49" t="s">
        <v>109</v>
      </c>
      <c r="Z49" t="s">
        <v>73</v>
      </c>
      <c r="AA49" t="s">
        <v>567</v>
      </c>
      <c r="AB49" s="67">
        <v>0</v>
      </c>
      <c r="AC49" s="67">
        <v>0</v>
      </c>
      <c r="AD49" s="67">
        <v>0</v>
      </c>
      <c r="AE49" s="67">
        <v>0</v>
      </c>
      <c r="AF49" s="67">
        <v>0</v>
      </c>
      <c r="AG49" s="67">
        <v>37905</v>
      </c>
      <c r="AH49" s="67">
        <v>37905</v>
      </c>
    </row>
    <row r="50" spans="1:34" hidden="1">
      <c r="A50" t="s">
        <v>120</v>
      </c>
      <c r="B50" t="s">
        <v>121</v>
      </c>
      <c r="C50" t="s">
        <v>122</v>
      </c>
      <c r="D50" t="s">
        <v>132</v>
      </c>
      <c r="E50" t="s">
        <v>568</v>
      </c>
      <c r="F50" t="s">
        <v>569</v>
      </c>
      <c r="G50" t="s">
        <v>155</v>
      </c>
      <c r="H50" t="s">
        <v>121</v>
      </c>
      <c r="I50" t="s">
        <v>120</v>
      </c>
      <c r="J50" t="s">
        <v>570</v>
      </c>
      <c r="K50" t="s">
        <v>65</v>
      </c>
      <c r="L50" t="s">
        <v>571</v>
      </c>
      <c r="M50" s="13">
        <v>45976.494502314818</v>
      </c>
      <c r="N50" s="13">
        <v>45979.494444444441</v>
      </c>
      <c r="O50" t="s">
        <v>159</v>
      </c>
      <c r="P50" t="s">
        <v>160</v>
      </c>
      <c r="Q50" t="s">
        <v>161</v>
      </c>
      <c r="R50" t="s">
        <v>162</v>
      </c>
      <c r="S50" t="s">
        <v>67</v>
      </c>
      <c r="T50" t="s">
        <v>68</v>
      </c>
      <c r="U50" t="s">
        <v>164</v>
      </c>
      <c r="V50" t="s">
        <v>572</v>
      </c>
      <c r="W50" t="s">
        <v>84</v>
      </c>
      <c r="X50" t="s">
        <v>573</v>
      </c>
      <c r="Y50" t="s">
        <v>109</v>
      </c>
      <c r="Z50" t="s">
        <v>73</v>
      </c>
      <c r="AA50" t="s">
        <v>273</v>
      </c>
      <c r="AB50" s="67">
        <v>1</v>
      </c>
      <c r="AC50" s="67">
        <v>0</v>
      </c>
      <c r="AD50" s="67">
        <v>0</v>
      </c>
      <c r="AE50" s="67">
        <v>0</v>
      </c>
      <c r="AF50" s="67">
        <v>0</v>
      </c>
      <c r="AG50" s="67">
        <v>65960</v>
      </c>
      <c r="AH50" s="67">
        <v>65960</v>
      </c>
    </row>
    <row r="51" spans="1:34" hidden="1">
      <c r="A51" t="s">
        <v>54</v>
      </c>
      <c r="B51" t="s">
        <v>55</v>
      </c>
      <c r="C51" t="s">
        <v>56</v>
      </c>
      <c r="D51" t="s">
        <v>111</v>
      </c>
      <c r="E51" t="s">
        <v>574</v>
      </c>
      <c r="F51" t="s">
        <v>512</v>
      </c>
      <c r="G51" t="s">
        <v>155</v>
      </c>
      <c r="H51" t="s">
        <v>62</v>
      </c>
      <c r="I51" t="s">
        <v>54</v>
      </c>
      <c r="J51" t="s">
        <v>513</v>
      </c>
      <c r="K51" t="s">
        <v>65</v>
      </c>
      <c r="L51" t="s">
        <v>575</v>
      </c>
      <c r="M51" s="13">
        <v>45976.653252314813</v>
      </c>
      <c r="N51" s="13">
        <v>45979.541666666657</v>
      </c>
      <c r="O51" t="s">
        <v>159</v>
      </c>
      <c r="P51" t="s">
        <v>160</v>
      </c>
      <c r="Q51" t="s">
        <v>234</v>
      </c>
      <c r="R51" t="s">
        <v>235</v>
      </c>
      <c r="S51" t="s">
        <v>67</v>
      </c>
      <c r="T51" t="s">
        <v>117</v>
      </c>
      <c r="V51" t="s">
        <v>576</v>
      </c>
      <c r="W51" t="s">
        <v>71</v>
      </c>
      <c r="Y51" t="s">
        <v>109</v>
      </c>
      <c r="Z51" t="s">
        <v>73</v>
      </c>
      <c r="AA51" t="s">
        <v>293</v>
      </c>
      <c r="AB51" s="67">
        <v>0</v>
      </c>
      <c r="AC51" s="67">
        <v>0</v>
      </c>
      <c r="AD51" s="67">
        <v>0</v>
      </c>
      <c r="AE51" s="67">
        <v>0</v>
      </c>
      <c r="AF51" s="67">
        <v>0</v>
      </c>
      <c r="AG51" s="67">
        <v>37905</v>
      </c>
      <c r="AH51" s="67">
        <v>37905</v>
      </c>
    </row>
    <row r="52" spans="1:34" hidden="1">
      <c r="A52" t="s">
        <v>274</v>
      </c>
      <c r="B52" t="s">
        <v>168</v>
      </c>
      <c r="C52" t="s">
        <v>169</v>
      </c>
      <c r="D52" t="s">
        <v>577</v>
      </c>
      <c r="E52" t="s">
        <v>578</v>
      </c>
      <c r="F52" t="s">
        <v>579</v>
      </c>
      <c r="G52" t="s">
        <v>155</v>
      </c>
      <c r="H52" t="s">
        <v>278</v>
      </c>
      <c r="I52" t="s">
        <v>580</v>
      </c>
      <c r="J52" t="s">
        <v>581</v>
      </c>
      <c r="K52" t="s">
        <v>65</v>
      </c>
      <c r="L52" t="s">
        <v>582</v>
      </c>
      <c r="M52" s="13">
        <v>45977.333333333343</v>
      </c>
      <c r="N52" s="13">
        <v>45987.372916666667</v>
      </c>
      <c r="O52" t="s">
        <v>583</v>
      </c>
      <c r="P52" t="s">
        <v>584</v>
      </c>
      <c r="Q52" t="s">
        <v>585</v>
      </c>
      <c r="R52" t="s">
        <v>586</v>
      </c>
      <c r="S52" t="s">
        <v>163</v>
      </c>
      <c r="T52" t="s">
        <v>163</v>
      </c>
      <c r="U52" t="s">
        <v>164</v>
      </c>
      <c r="V52" t="s">
        <v>587</v>
      </c>
      <c r="W52" t="s">
        <v>84</v>
      </c>
      <c r="X52" t="s">
        <v>588</v>
      </c>
      <c r="Y52" t="s">
        <v>130</v>
      </c>
      <c r="Z52" t="s">
        <v>73</v>
      </c>
      <c r="AA52" t="s">
        <v>589</v>
      </c>
      <c r="AB52" s="67">
        <v>0</v>
      </c>
      <c r="AC52" s="68" t="s">
        <v>590</v>
      </c>
      <c r="AD52" s="67">
        <v>0</v>
      </c>
      <c r="AE52" s="67">
        <v>0</v>
      </c>
      <c r="AF52" s="67">
        <v>0</v>
      </c>
      <c r="AG52" s="67">
        <v>16234.69544</v>
      </c>
      <c r="AH52" s="67">
        <v>162350</v>
      </c>
    </row>
    <row r="53" spans="1:34" hidden="1">
      <c r="A53" t="s">
        <v>54</v>
      </c>
      <c r="B53" t="s">
        <v>55</v>
      </c>
      <c r="C53" t="s">
        <v>56</v>
      </c>
      <c r="D53" t="s">
        <v>591</v>
      </c>
      <c r="E53" t="s">
        <v>592</v>
      </c>
      <c r="F53" t="s">
        <v>593</v>
      </c>
      <c r="G53" t="s">
        <v>155</v>
      </c>
      <c r="H53" t="s">
        <v>62</v>
      </c>
      <c r="I53" t="s">
        <v>444</v>
      </c>
      <c r="J53" t="s">
        <v>594</v>
      </c>
      <c r="K53" t="s">
        <v>65</v>
      </c>
      <c r="L53" t="s">
        <v>595</v>
      </c>
      <c r="M53" s="13">
        <v>45977.440983796303</v>
      </c>
      <c r="N53" s="13">
        <v>45978.707638888889</v>
      </c>
      <c r="O53" t="s">
        <v>159</v>
      </c>
      <c r="P53" t="s">
        <v>160</v>
      </c>
      <c r="Q53" t="s">
        <v>190</v>
      </c>
      <c r="R53" t="s">
        <v>191</v>
      </c>
      <c r="S53" t="s">
        <v>67</v>
      </c>
      <c r="T53" t="s">
        <v>117</v>
      </c>
      <c r="V53" t="s">
        <v>596</v>
      </c>
      <c r="W53" t="s">
        <v>71</v>
      </c>
      <c r="Y53" t="s">
        <v>109</v>
      </c>
      <c r="Z53" t="s">
        <v>73</v>
      </c>
      <c r="AA53" t="s">
        <v>597</v>
      </c>
      <c r="AB53" s="67">
        <v>0</v>
      </c>
      <c r="AC53" s="67">
        <v>0</v>
      </c>
      <c r="AD53" s="67">
        <v>0</v>
      </c>
      <c r="AE53" s="67">
        <v>0</v>
      </c>
      <c r="AF53" s="67">
        <v>0</v>
      </c>
      <c r="AG53" s="67">
        <v>37905</v>
      </c>
      <c r="AH53" s="67">
        <v>37905</v>
      </c>
    </row>
    <row r="54" spans="1:34" hidden="1">
      <c r="A54" t="s">
        <v>75</v>
      </c>
      <c r="B54" t="s">
        <v>55</v>
      </c>
      <c r="C54" t="s">
        <v>56</v>
      </c>
      <c r="D54" t="s">
        <v>598</v>
      </c>
      <c r="E54" t="s">
        <v>599</v>
      </c>
      <c r="F54" t="s">
        <v>600</v>
      </c>
      <c r="G54" t="s">
        <v>155</v>
      </c>
      <c r="H54" t="s">
        <v>62</v>
      </c>
      <c r="I54" t="s">
        <v>601</v>
      </c>
      <c r="J54" t="s">
        <v>602</v>
      </c>
      <c r="K54" t="s">
        <v>65</v>
      </c>
      <c r="L54" t="s">
        <v>603</v>
      </c>
      <c r="M54" s="13">
        <v>45978.477430555547</v>
      </c>
      <c r="N54" s="13">
        <v>45979.461805555547</v>
      </c>
      <c r="O54" t="s">
        <v>159</v>
      </c>
      <c r="P54" t="s">
        <v>160</v>
      </c>
      <c r="Q54" t="s">
        <v>190</v>
      </c>
      <c r="R54" t="s">
        <v>191</v>
      </c>
      <c r="S54" t="s">
        <v>67</v>
      </c>
      <c r="T54" t="s">
        <v>117</v>
      </c>
      <c r="U54" t="s">
        <v>164</v>
      </c>
      <c r="V54" t="s">
        <v>604</v>
      </c>
      <c r="W54" t="s">
        <v>84</v>
      </c>
      <c r="X54" t="s">
        <v>605</v>
      </c>
      <c r="Y54" t="s">
        <v>194</v>
      </c>
      <c r="Z54" t="s">
        <v>73</v>
      </c>
      <c r="AA54" t="s">
        <v>87</v>
      </c>
      <c r="AB54" s="67">
        <v>1</v>
      </c>
      <c r="AC54" s="67">
        <v>0</v>
      </c>
      <c r="AD54" s="67">
        <v>0</v>
      </c>
      <c r="AE54" s="67">
        <v>0</v>
      </c>
      <c r="AF54" s="67">
        <v>0</v>
      </c>
      <c r="AG54" s="67">
        <v>163814</v>
      </c>
      <c r="AH54" s="67">
        <v>163814</v>
      </c>
    </row>
    <row r="55" spans="1:34" hidden="1">
      <c r="A55" t="s">
        <v>501</v>
      </c>
      <c r="B55" t="s">
        <v>168</v>
      </c>
      <c r="C55" t="s">
        <v>169</v>
      </c>
      <c r="D55" t="s">
        <v>549</v>
      </c>
      <c r="E55" t="s">
        <v>606</v>
      </c>
      <c r="F55" t="s">
        <v>607</v>
      </c>
      <c r="G55" t="s">
        <v>155</v>
      </c>
      <c r="H55" t="s">
        <v>505</v>
      </c>
      <c r="I55" t="s">
        <v>552</v>
      </c>
      <c r="J55" t="s">
        <v>608</v>
      </c>
      <c r="K55" t="s">
        <v>65</v>
      </c>
      <c r="L55" t="s">
        <v>609</v>
      </c>
      <c r="M55" s="13">
        <v>45979.35260416667</v>
      </c>
      <c r="N55" s="13">
        <v>45979.571527777778</v>
      </c>
      <c r="O55" t="s">
        <v>159</v>
      </c>
      <c r="P55" t="s">
        <v>160</v>
      </c>
      <c r="Q55" t="s">
        <v>190</v>
      </c>
      <c r="R55" t="s">
        <v>227</v>
      </c>
      <c r="S55" t="s">
        <v>67</v>
      </c>
      <c r="T55" t="s">
        <v>68</v>
      </c>
      <c r="V55" t="s">
        <v>610</v>
      </c>
      <c r="W55" t="s">
        <v>71</v>
      </c>
      <c r="Y55" t="s">
        <v>194</v>
      </c>
      <c r="Z55" t="s">
        <v>73</v>
      </c>
      <c r="AA55" t="s">
        <v>510</v>
      </c>
      <c r="AB55" s="67">
        <v>0</v>
      </c>
      <c r="AC55" s="67">
        <v>0</v>
      </c>
      <c r="AD55" s="67">
        <v>0</v>
      </c>
      <c r="AE55" s="67">
        <v>0</v>
      </c>
      <c r="AF55" s="67">
        <v>0</v>
      </c>
      <c r="AG55" s="67">
        <v>37905</v>
      </c>
      <c r="AH55" s="67">
        <v>37905</v>
      </c>
    </row>
    <row r="56" spans="1:34" hidden="1">
      <c r="A56" t="s">
        <v>611</v>
      </c>
      <c r="B56" t="s">
        <v>209</v>
      </c>
      <c r="C56" t="s">
        <v>210</v>
      </c>
      <c r="D56" t="s">
        <v>612</v>
      </c>
      <c r="E56" t="s">
        <v>613</v>
      </c>
      <c r="F56" t="s">
        <v>614</v>
      </c>
      <c r="G56" t="s">
        <v>155</v>
      </c>
      <c r="H56" t="s">
        <v>615</v>
      </c>
      <c r="I56" t="s">
        <v>611</v>
      </c>
      <c r="J56" t="s">
        <v>616</v>
      </c>
      <c r="K56" t="s">
        <v>65</v>
      </c>
      <c r="L56" t="s">
        <v>617</v>
      </c>
      <c r="M56" s="13">
        <v>45979.433020833327</v>
      </c>
      <c r="N56" s="13">
        <v>45979.500694444447</v>
      </c>
      <c r="O56" t="s">
        <v>159</v>
      </c>
      <c r="P56" t="s">
        <v>160</v>
      </c>
      <c r="Q56" t="s">
        <v>190</v>
      </c>
      <c r="R56" t="s">
        <v>191</v>
      </c>
      <c r="S56" t="s">
        <v>67</v>
      </c>
      <c r="T56" t="s">
        <v>117</v>
      </c>
      <c r="V56" t="s">
        <v>618</v>
      </c>
      <c r="W56" t="s">
        <v>71</v>
      </c>
      <c r="Y56" t="s">
        <v>109</v>
      </c>
      <c r="Z56" t="s">
        <v>73</v>
      </c>
      <c r="AA56" t="s">
        <v>619</v>
      </c>
      <c r="AB56" s="67">
        <v>0</v>
      </c>
      <c r="AC56" s="67">
        <v>0</v>
      </c>
      <c r="AD56" s="67">
        <v>0</v>
      </c>
      <c r="AE56" s="67">
        <v>0</v>
      </c>
      <c r="AF56" s="67">
        <v>0</v>
      </c>
      <c r="AG56" s="67">
        <v>37905</v>
      </c>
      <c r="AH56" s="67">
        <v>37905</v>
      </c>
    </row>
    <row r="57" spans="1:34" hidden="1">
      <c r="A57" t="s">
        <v>620</v>
      </c>
      <c r="B57" t="s">
        <v>168</v>
      </c>
      <c r="C57" t="s">
        <v>169</v>
      </c>
      <c r="D57" t="s">
        <v>621</v>
      </c>
      <c r="E57" t="s">
        <v>622</v>
      </c>
      <c r="F57" t="s">
        <v>623</v>
      </c>
      <c r="G57" t="s">
        <v>155</v>
      </c>
      <c r="H57" t="s">
        <v>624</v>
      </c>
      <c r="I57" t="s">
        <v>620</v>
      </c>
      <c r="J57" t="s">
        <v>625</v>
      </c>
      <c r="K57" t="s">
        <v>65</v>
      </c>
      <c r="L57" t="s">
        <v>626</v>
      </c>
      <c r="M57" s="13">
        <v>45979.518692129634</v>
      </c>
      <c r="N57" s="13">
        <v>45979.720833333333</v>
      </c>
      <c r="O57" t="s">
        <v>159</v>
      </c>
      <c r="P57" t="s">
        <v>160</v>
      </c>
      <c r="Q57" t="s">
        <v>226</v>
      </c>
      <c r="R57" t="s">
        <v>227</v>
      </c>
      <c r="S57" t="s">
        <v>163</v>
      </c>
      <c r="T57" t="s">
        <v>163</v>
      </c>
      <c r="U57" t="s">
        <v>164</v>
      </c>
      <c r="V57" t="s">
        <v>627</v>
      </c>
      <c r="W57" t="s">
        <v>84</v>
      </c>
      <c r="X57" t="s">
        <v>628</v>
      </c>
      <c r="Y57" t="s">
        <v>109</v>
      </c>
      <c r="Z57" t="s">
        <v>73</v>
      </c>
      <c r="AA57" t="s">
        <v>629</v>
      </c>
      <c r="AB57" s="67">
        <v>1</v>
      </c>
      <c r="AC57" s="67">
        <v>0</v>
      </c>
      <c r="AD57" s="67">
        <v>0</v>
      </c>
      <c r="AE57" s="67">
        <v>0</v>
      </c>
      <c r="AF57" s="67">
        <v>0</v>
      </c>
      <c r="AG57" s="67">
        <v>65960</v>
      </c>
      <c r="AH57" s="67">
        <v>65960</v>
      </c>
    </row>
    <row r="58" spans="1:34" hidden="1">
      <c r="A58" t="s">
        <v>75</v>
      </c>
      <c r="B58" t="s">
        <v>55</v>
      </c>
      <c r="C58" t="s">
        <v>56</v>
      </c>
      <c r="D58" t="s">
        <v>630</v>
      </c>
      <c r="E58" t="s">
        <v>631</v>
      </c>
      <c r="F58" t="s">
        <v>632</v>
      </c>
      <c r="G58" t="s">
        <v>155</v>
      </c>
      <c r="H58" t="s">
        <v>62</v>
      </c>
      <c r="I58" t="s">
        <v>633</v>
      </c>
      <c r="J58" t="s">
        <v>634</v>
      </c>
      <c r="K58" t="s">
        <v>65</v>
      </c>
      <c r="L58" t="s">
        <v>635</v>
      </c>
      <c r="M58" s="13">
        <v>45980.460833333331</v>
      </c>
      <c r="N58" s="13">
        <v>45981.510416666657</v>
      </c>
      <c r="O58" t="s">
        <v>159</v>
      </c>
      <c r="P58" t="s">
        <v>160</v>
      </c>
      <c r="Q58" t="s">
        <v>190</v>
      </c>
      <c r="R58" t="s">
        <v>191</v>
      </c>
      <c r="S58" t="s">
        <v>163</v>
      </c>
      <c r="T58" t="s">
        <v>163</v>
      </c>
      <c r="U58" t="s">
        <v>164</v>
      </c>
      <c r="V58" t="s">
        <v>636</v>
      </c>
      <c r="W58" t="s">
        <v>84</v>
      </c>
      <c r="X58" t="s">
        <v>637</v>
      </c>
      <c r="Y58" t="s">
        <v>194</v>
      </c>
      <c r="Z58" t="s">
        <v>73</v>
      </c>
      <c r="AA58" t="s">
        <v>87</v>
      </c>
      <c r="AB58" s="67">
        <v>1</v>
      </c>
      <c r="AC58" s="67">
        <v>0</v>
      </c>
      <c r="AD58" s="67">
        <v>0</v>
      </c>
      <c r="AE58" s="67">
        <v>0</v>
      </c>
      <c r="AF58" s="67">
        <v>0</v>
      </c>
      <c r="AG58" s="67">
        <v>163814</v>
      </c>
      <c r="AH58" s="67">
        <v>163814</v>
      </c>
    </row>
    <row r="59" spans="1:34" hidden="1">
      <c r="A59" t="s">
        <v>274</v>
      </c>
      <c r="B59" t="s">
        <v>168</v>
      </c>
      <c r="C59" t="s">
        <v>169</v>
      </c>
      <c r="D59" t="s">
        <v>638</v>
      </c>
      <c r="E59" t="s">
        <v>639</v>
      </c>
      <c r="F59" t="s">
        <v>640</v>
      </c>
      <c r="G59" t="s">
        <v>155</v>
      </c>
      <c r="H59" t="s">
        <v>278</v>
      </c>
      <c r="I59" t="s">
        <v>641</v>
      </c>
      <c r="J59" t="s">
        <v>642</v>
      </c>
      <c r="K59" t="s">
        <v>65</v>
      </c>
      <c r="L59" t="s">
        <v>643</v>
      </c>
      <c r="M59" s="13">
        <v>45980.642175925917</v>
      </c>
      <c r="N59" s="13">
        <v>45982.381249999999</v>
      </c>
      <c r="O59" t="s">
        <v>159</v>
      </c>
      <c r="P59" t="s">
        <v>160</v>
      </c>
      <c r="Q59" t="s">
        <v>190</v>
      </c>
      <c r="R59" t="s">
        <v>191</v>
      </c>
      <c r="S59" t="s">
        <v>163</v>
      </c>
      <c r="T59" t="s">
        <v>163</v>
      </c>
      <c r="V59" t="s">
        <v>644</v>
      </c>
      <c r="W59" t="s">
        <v>71</v>
      </c>
      <c r="Y59" t="s">
        <v>194</v>
      </c>
      <c r="Z59" t="s">
        <v>73</v>
      </c>
      <c r="AA59" t="s">
        <v>282</v>
      </c>
      <c r="AB59" s="67">
        <v>0</v>
      </c>
      <c r="AC59" s="67">
        <v>0</v>
      </c>
      <c r="AD59" s="67">
        <v>0</v>
      </c>
      <c r="AE59" s="67">
        <v>0</v>
      </c>
      <c r="AF59" s="67">
        <v>0</v>
      </c>
      <c r="AG59" s="67">
        <v>37905</v>
      </c>
      <c r="AH59" s="67">
        <v>37905</v>
      </c>
    </row>
    <row r="60" spans="1:34" hidden="1">
      <c r="A60" t="s">
        <v>196</v>
      </c>
      <c r="B60" t="s">
        <v>181</v>
      </c>
      <c r="C60" t="s">
        <v>182</v>
      </c>
      <c r="D60" t="s">
        <v>645</v>
      </c>
      <c r="E60" t="s">
        <v>646</v>
      </c>
      <c r="F60" t="s">
        <v>647</v>
      </c>
      <c r="G60" t="s">
        <v>155</v>
      </c>
      <c r="H60" t="s">
        <v>200</v>
      </c>
      <c r="I60" t="s">
        <v>648</v>
      </c>
      <c r="J60" t="s">
        <v>649</v>
      </c>
      <c r="K60" t="s">
        <v>65</v>
      </c>
      <c r="L60" t="s">
        <v>650</v>
      </c>
      <c r="M60" s="13">
        <v>45981.333333333343</v>
      </c>
      <c r="N60" s="13">
        <v>45981.625694444447</v>
      </c>
      <c r="O60" t="s">
        <v>159</v>
      </c>
      <c r="P60" t="s">
        <v>160</v>
      </c>
      <c r="Q60" t="s">
        <v>161</v>
      </c>
      <c r="R60" t="s">
        <v>162</v>
      </c>
      <c r="S60" t="s">
        <v>67</v>
      </c>
      <c r="T60" t="s">
        <v>117</v>
      </c>
      <c r="V60" t="s">
        <v>651</v>
      </c>
      <c r="W60" t="s">
        <v>71</v>
      </c>
      <c r="Y60" t="s">
        <v>130</v>
      </c>
      <c r="Z60" t="s">
        <v>73</v>
      </c>
      <c r="AA60" t="s">
        <v>561</v>
      </c>
      <c r="AB60" s="67">
        <v>0</v>
      </c>
      <c r="AC60" s="67">
        <v>0</v>
      </c>
      <c r="AD60" s="67">
        <v>0</v>
      </c>
      <c r="AE60" s="67">
        <v>0</v>
      </c>
      <c r="AF60" s="67">
        <v>0</v>
      </c>
      <c r="AG60" s="67">
        <v>37905</v>
      </c>
      <c r="AH60" s="67">
        <v>37905</v>
      </c>
    </row>
    <row r="61" spans="1:34" hidden="1">
      <c r="A61" t="s">
        <v>54</v>
      </c>
      <c r="B61" t="s">
        <v>55</v>
      </c>
      <c r="C61" t="s">
        <v>56</v>
      </c>
      <c r="D61" t="s">
        <v>652</v>
      </c>
      <c r="E61" t="s">
        <v>653</v>
      </c>
      <c r="F61" t="s">
        <v>654</v>
      </c>
      <c r="G61" t="s">
        <v>155</v>
      </c>
      <c r="H61" t="s">
        <v>78</v>
      </c>
      <c r="I61" t="s">
        <v>655</v>
      </c>
      <c r="J61" t="s">
        <v>656</v>
      </c>
      <c r="K61" t="s">
        <v>65</v>
      </c>
      <c r="L61" t="s">
        <v>657</v>
      </c>
      <c r="M61" s="13">
        <v>45981.333333333343</v>
      </c>
      <c r="N61" s="13">
        <v>45982.38958333333</v>
      </c>
      <c r="O61" t="s">
        <v>159</v>
      </c>
      <c r="P61" t="s">
        <v>160</v>
      </c>
      <c r="Q61" t="s">
        <v>190</v>
      </c>
      <c r="R61" t="s">
        <v>191</v>
      </c>
      <c r="S61" t="s">
        <v>163</v>
      </c>
      <c r="T61" t="s">
        <v>163</v>
      </c>
      <c r="U61" t="s">
        <v>164</v>
      </c>
      <c r="V61" t="s">
        <v>658</v>
      </c>
      <c r="W61" t="s">
        <v>84</v>
      </c>
      <c r="X61" t="s">
        <v>659</v>
      </c>
      <c r="Y61" t="s">
        <v>72</v>
      </c>
      <c r="Z61" t="s">
        <v>73</v>
      </c>
      <c r="AA61" t="s">
        <v>464</v>
      </c>
      <c r="AB61" s="67">
        <v>1</v>
      </c>
      <c r="AC61" s="67">
        <v>0</v>
      </c>
      <c r="AD61" s="67">
        <v>0</v>
      </c>
      <c r="AE61" s="67">
        <v>0</v>
      </c>
      <c r="AF61" s="67">
        <v>0</v>
      </c>
      <c r="AG61" s="67">
        <v>479590</v>
      </c>
      <c r="AH61" s="67">
        <v>479590</v>
      </c>
    </row>
    <row r="62" spans="1:34" hidden="1">
      <c r="A62" t="s">
        <v>54</v>
      </c>
      <c r="B62" t="s">
        <v>55</v>
      </c>
      <c r="C62" t="s">
        <v>56</v>
      </c>
      <c r="D62" t="s">
        <v>660</v>
      </c>
      <c r="E62" t="s">
        <v>661</v>
      </c>
      <c r="F62" t="s">
        <v>662</v>
      </c>
      <c r="G62" t="s">
        <v>155</v>
      </c>
      <c r="H62" t="s">
        <v>62</v>
      </c>
      <c r="I62" t="s">
        <v>663</v>
      </c>
      <c r="J62" t="s">
        <v>664</v>
      </c>
      <c r="K62" t="s">
        <v>65</v>
      </c>
      <c r="L62" t="s">
        <v>665</v>
      </c>
      <c r="M62" s="13">
        <v>45981.333333333343</v>
      </c>
      <c r="N62" s="13">
        <v>45982.344444444447</v>
      </c>
      <c r="O62" t="s">
        <v>159</v>
      </c>
      <c r="P62" t="s">
        <v>160</v>
      </c>
      <c r="Q62" t="s">
        <v>176</v>
      </c>
      <c r="R62" t="s">
        <v>177</v>
      </c>
      <c r="S62" t="s">
        <v>67</v>
      </c>
      <c r="T62" t="s">
        <v>117</v>
      </c>
      <c r="V62" t="s">
        <v>666</v>
      </c>
      <c r="W62" t="s">
        <v>71</v>
      </c>
      <c r="Y62" t="s">
        <v>109</v>
      </c>
      <c r="Z62" t="s">
        <v>73</v>
      </c>
      <c r="AA62" t="s">
        <v>667</v>
      </c>
      <c r="AB62" s="67">
        <v>0</v>
      </c>
      <c r="AC62" s="67">
        <v>0</v>
      </c>
      <c r="AD62" s="67">
        <v>0</v>
      </c>
      <c r="AE62" s="67">
        <v>0</v>
      </c>
      <c r="AF62" s="67">
        <v>0</v>
      </c>
      <c r="AG62" s="67">
        <v>37905</v>
      </c>
      <c r="AH62" s="67">
        <v>37905</v>
      </c>
    </row>
    <row r="63" spans="1:34" hidden="1">
      <c r="A63" t="s">
        <v>54</v>
      </c>
      <c r="B63" t="s">
        <v>55</v>
      </c>
      <c r="C63" t="s">
        <v>56</v>
      </c>
      <c r="D63" t="s">
        <v>660</v>
      </c>
      <c r="E63" t="s">
        <v>668</v>
      </c>
      <c r="F63" t="s">
        <v>669</v>
      </c>
      <c r="G63" t="s">
        <v>155</v>
      </c>
      <c r="H63" t="s">
        <v>62</v>
      </c>
      <c r="I63" t="s">
        <v>663</v>
      </c>
      <c r="J63" t="s">
        <v>670</v>
      </c>
      <c r="K63" t="s">
        <v>65</v>
      </c>
      <c r="L63" t="s">
        <v>671</v>
      </c>
      <c r="M63" s="13">
        <v>45981.657395833332</v>
      </c>
      <c r="N63" s="13">
        <v>45982.431944444441</v>
      </c>
      <c r="O63" t="s">
        <v>159</v>
      </c>
      <c r="P63" t="s">
        <v>160</v>
      </c>
      <c r="Q63" t="s">
        <v>204</v>
      </c>
      <c r="R63" t="s">
        <v>205</v>
      </c>
      <c r="S63" t="s">
        <v>163</v>
      </c>
      <c r="T63" t="s">
        <v>163</v>
      </c>
      <c r="U63" t="s">
        <v>164</v>
      </c>
      <c r="V63" t="s">
        <v>672</v>
      </c>
      <c r="W63" t="s">
        <v>84</v>
      </c>
      <c r="X63" t="s">
        <v>673</v>
      </c>
      <c r="Y63" t="s">
        <v>109</v>
      </c>
      <c r="Z63" t="s">
        <v>73</v>
      </c>
      <c r="AA63" t="s">
        <v>667</v>
      </c>
      <c r="AB63" s="67">
        <v>1</v>
      </c>
      <c r="AC63" s="67">
        <v>0</v>
      </c>
      <c r="AD63" s="67">
        <v>0</v>
      </c>
      <c r="AE63" s="67">
        <v>0</v>
      </c>
      <c r="AF63" s="67">
        <v>0</v>
      </c>
      <c r="AG63" s="67">
        <v>65960</v>
      </c>
      <c r="AH63" s="67">
        <v>65960</v>
      </c>
    </row>
    <row r="64" spans="1:34" hidden="1">
      <c r="A64" t="s">
        <v>88</v>
      </c>
      <c r="B64" t="s">
        <v>89</v>
      </c>
      <c r="C64" t="s">
        <v>90</v>
      </c>
      <c r="D64" t="s">
        <v>240</v>
      </c>
      <c r="E64" t="s">
        <v>674</v>
      </c>
      <c r="F64" t="s">
        <v>675</v>
      </c>
      <c r="G64" t="s">
        <v>155</v>
      </c>
      <c r="H64" t="s">
        <v>243</v>
      </c>
      <c r="I64" t="s">
        <v>88</v>
      </c>
      <c r="J64" t="s">
        <v>676</v>
      </c>
      <c r="K64" t="s">
        <v>65</v>
      </c>
      <c r="L64" t="s">
        <v>677</v>
      </c>
      <c r="M64" s="13">
        <v>45981.649664351848</v>
      </c>
      <c r="N64" s="13">
        <v>45982.45208333333</v>
      </c>
      <c r="O64" t="s">
        <v>159</v>
      </c>
      <c r="P64" t="s">
        <v>160</v>
      </c>
      <c r="Q64" t="s">
        <v>234</v>
      </c>
      <c r="R64" t="s">
        <v>235</v>
      </c>
      <c r="S64" t="s">
        <v>67</v>
      </c>
      <c r="T64" t="s">
        <v>117</v>
      </c>
      <c r="U64" t="s">
        <v>164</v>
      </c>
      <c r="V64" t="s">
        <v>678</v>
      </c>
      <c r="W64" t="s">
        <v>84</v>
      </c>
      <c r="X64" t="s">
        <v>679</v>
      </c>
      <c r="Y64" t="s">
        <v>109</v>
      </c>
      <c r="Z64" t="s">
        <v>73</v>
      </c>
      <c r="AA64" t="s">
        <v>99</v>
      </c>
      <c r="AB64" s="67">
        <v>1</v>
      </c>
      <c r="AC64" s="67">
        <v>0</v>
      </c>
      <c r="AD64" s="67">
        <v>0</v>
      </c>
      <c r="AE64" s="67">
        <v>0</v>
      </c>
      <c r="AF64" s="67">
        <v>0</v>
      </c>
      <c r="AG64" s="67">
        <v>65960</v>
      </c>
      <c r="AH64" s="67">
        <v>65960</v>
      </c>
    </row>
    <row r="65" spans="1:34" hidden="1">
      <c r="A65" t="s">
        <v>680</v>
      </c>
      <c r="B65" t="s">
        <v>209</v>
      </c>
      <c r="C65" t="s">
        <v>210</v>
      </c>
      <c r="D65" t="s">
        <v>681</v>
      </c>
      <c r="E65" t="s">
        <v>682</v>
      </c>
      <c r="F65" t="s">
        <v>683</v>
      </c>
      <c r="G65" t="s">
        <v>155</v>
      </c>
      <c r="H65" t="s">
        <v>684</v>
      </c>
      <c r="I65" t="s">
        <v>685</v>
      </c>
      <c r="J65" t="s">
        <v>686</v>
      </c>
      <c r="K65" t="s">
        <v>65</v>
      </c>
      <c r="L65" t="s">
        <v>687</v>
      </c>
      <c r="M65" s="13">
        <v>45982.333333333343</v>
      </c>
      <c r="N65" s="13">
        <v>45982.497916666667</v>
      </c>
      <c r="O65" t="s">
        <v>159</v>
      </c>
      <c r="P65" t="s">
        <v>160</v>
      </c>
      <c r="Q65" t="s">
        <v>161</v>
      </c>
      <c r="R65" t="s">
        <v>162</v>
      </c>
      <c r="S65" t="s">
        <v>236</v>
      </c>
      <c r="T65" t="s">
        <v>237</v>
      </c>
      <c r="V65" t="s">
        <v>688</v>
      </c>
      <c r="W65" t="s">
        <v>71</v>
      </c>
      <c r="Y65" t="s">
        <v>72</v>
      </c>
      <c r="Z65" t="s">
        <v>73</v>
      </c>
      <c r="AA65" t="s">
        <v>689</v>
      </c>
      <c r="AB65" s="67">
        <v>0</v>
      </c>
      <c r="AC65" s="67">
        <v>0</v>
      </c>
      <c r="AD65" s="67">
        <v>0</v>
      </c>
      <c r="AE65" s="67">
        <v>0</v>
      </c>
      <c r="AF65" s="67">
        <v>0</v>
      </c>
      <c r="AG65" s="67">
        <v>37905</v>
      </c>
      <c r="AH65" s="67">
        <v>37905</v>
      </c>
    </row>
    <row r="66" spans="1:34" hidden="1">
      <c r="A66" t="s">
        <v>54</v>
      </c>
      <c r="B66" t="s">
        <v>55</v>
      </c>
      <c r="C66" t="s">
        <v>56</v>
      </c>
      <c r="D66" t="s">
        <v>111</v>
      </c>
      <c r="E66" t="s">
        <v>690</v>
      </c>
      <c r="F66" t="s">
        <v>691</v>
      </c>
      <c r="G66" t="s">
        <v>155</v>
      </c>
      <c r="H66" t="s">
        <v>62</v>
      </c>
      <c r="I66" t="s">
        <v>54</v>
      </c>
      <c r="J66" t="s">
        <v>692</v>
      </c>
      <c r="K66" t="s">
        <v>65</v>
      </c>
      <c r="L66" t="s">
        <v>693</v>
      </c>
      <c r="M66" s="13">
        <v>45982.333333333343</v>
      </c>
      <c r="N66" s="13">
        <v>45982.399305555547</v>
      </c>
      <c r="O66" t="s">
        <v>159</v>
      </c>
      <c r="P66" t="s">
        <v>160</v>
      </c>
      <c r="Q66" t="s">
        <v>204</v>
      </c>
      <c r="R66" t="s">
        <v>205</v>
      </c>
      <c r="S66" t="s">
        <v>67</v>
      </c>
      <c r="T66" t="s">
        <v>117</v>
      </c>
      <c r="U66" t="s">
        <v>164</v>
      </c>
      <c r="V66" t="s">
        <v>694</v>
      </c>
      <c r="W66" t="s">
        <v>84</v>
      </c>
      <c r="X66" t="s">
        <v>695</v>
      </c>
      <c r="Y66" t="s">
        <v>109</v>
      </c>
      <c r="Z66" t="s">
        <v>73</v>
      </c>
      <c r="AA66" t="s">
        <v>667</v>
      </c>
      <c r="AB66" s="67">
        <v>1</v>
      </c>
      <c r="AC66" s="67">
        <v>0</v>
      </c>
      <c r="AD66" s="67">
        <v>0</v>
      </c>
      <c r="AE66" s="67">
        <v>0</v>
      </c>
      <c r="AF66" s="67">
        <v>0</v>
      </c>
      <c r="AG66" s="67">
        <v>65960</v>
      </c>
      <c r="AH66" s="67">
        <v>65960</v>
      </c>
    </row>
    <row r="67" spans="1:34" hidden="1">
      <c r="A67" t="s">
        <v>88</v>
      </c>
      <c r="B67" t="s">
        <v>89</v>
      </c>
      <c r="C67" t="s">
        <v>90</v>
      </c>
      <c r="D67" t="s">
        <v>696</v>
      </c>
      <c r="E67" t="s">
        <v>697</v>
      </c>
      <c r="F67" t="s">
        <v>698</v>
      </c>
      <c r="G67" t="s">
        <v>155</v>
      </c>
      <c r="H67" t="s">
        <v>243</v>
      </c>
      <c r="I67" t="s">
        <v>699</v>
      </c>
      <c r="J67" t="s">
        <v>700</v>
      </c>
      <c r="K67" t="s">
        <v>65</v>
      </c>
      <c r="L67" t="s">
        <v>701</v>
      </c>
      <c r="M67" s="13">
        <v>45982.414780092593</v>
      </c>
      <c r="N67" s="13">
        <v>45985.546527777777</v>
      </c>
      <c r="O67" t="s">
        <v>159</v>
      </c>
      <c r="P67" t="s">
        <v>160</v>
      </c>
      <c r="Q67" t="s">
        <v>190</v>
      </c>
      <c r="R67" t="s">
        <v>227</v>
      </c>
      <c r="S67" t="s">
        <v>67</v>
      </c>
      <c r="T67" t="s">
        <v>117</v>
      </c>
      <c r="U67" t="s">
        <v>164</v>
      </c>
      <c r="V67" t="s">
        <v>702</v>
      </c>
      <c r="W67" t="s">
        <v>84</v>
      </c>
      <c r="X67" t="s">
        <v>703</v>
      </c>
      <c r="Y67" t="s">
        <v>194</v>
      </c>
      <c r="Z67" t="s">
        <v>73</v>
      </c>
      <c r="AA67" t="s">
        <v>247</v>
      </c>
      <c r="AB67" s="67">
        <v>1</v>
      </c>
      <c r="AC67" s="67">
        <v>0</v>
      </c>
      <c r="AD67" s="67">
        <v>0</v>
      </c>
      <c r="AE67" s="67">
        <v>0</v>
      </c>
      <c r="AF67" s="67">
        <v>0</v>
      </c>
      <c r="AG67" s="67">
        <v>163814</v>
      </c>
      <c r="AH67" s="67">
        <v>163814</v>
      </c>
    </row>
    <row r="68" spans="1:34" hidden="1">
      <c r="A68" t="s">
        <v>704</v>
      </c>
      <c r="B68" t="s">
        <v>209</v>
      </c>
      <c r="C68" t="s">
        <v>210</v>
      </c>
      <c r="D68" t="s">
        <v>705</v>
      </c>
      <c r="E68" t="s">
        <v>706</v>
      </c>
      <c r="F68" t="s">
        <v>707</v>
      </c>
      <c r="G68" t="s">
        <v>155</v>
      </c>
      <c r="H68" t="s">
        <v>708</v>
      </c>
      <c r="I68" t="s">
        <v>704</v>
      </c>
      <c r="J68" t="s">
        <v>709</v>
      </c>
      <c r="K68" t="s">
        <v>65</v>
      </c>
      <c r="L68" t="s">
        <v>710</v>
      </c>
      <c r="M68" s="13">
        <v>45982.451574074083</v>
      </c>
      <c r="N68" s="13">
        <v>45982.634027777778</v>
      </c>
      <c r="O68" t="s">
        <v>159</v>
      </c>
      <c r="P68" t="s">
        <v>160</v>
      </c>
      <c r="Q68" t="s">
        <v>234</v>
      </c>
      <c r="R68" t="s">
        <v>235</v>
      </c>
      <c r="S68" t="s">
        <v>163</v>
      </c>
      <c r="T68" t="s">
        <v>163</v>
      </c>
      <c r="U68" t="s">
        <v>164</v>
      </c>
      <c r="V68" t="s">
        <v>711</v>
      </c>
      <c r="W68" t="s">
        <v>84</v>
      </c>
      <c r="X68" t="s">
        <v>712</v>
      </c>
      <c r="Y68" t="s">
        <v>109</v>
      </c>
      <c r="Z68" t="s">
        <v>73</v>
      </c>
      <c r="AA68" t="s">
        <v>713</v>
      </c>
      <c r="AB68" s="67">
        <v>1</v>
      </c>
      <c r="AC68" s="67">
        <v>0</v>
      </c>
      <c r="AD68" s="67">
        <v>0</v>
      </c>
      <c r="AE68" s="67">
        <v>0</v>
      </c>
      <c r="AF68" s="67">
        <v>0</v>
      </c>
      <c r="AG68" s="67">
        <v>65960</v>
      </c>
      <c r="AH68" s="67">
        <v>65960</v>
      </c>
    </row>
    <row r="69" spans="1:34" hidden="1">
      <c r="A69" t="s">
        <v>501</v>
      </c>
      <c r="B69" t="s">
        <v>168</v>
      </c>
      <c r="C69" t="s">
        <v>169</v>
      </c>
      <c r="D69" t="s">
        <v>502</v>
      </c>
      <c r="E69" t="s">
        <v>714</v>
      </c>
      <c r="F69" t="s">
        <v>715</v>
      </c>
      <c r="G69" t="s">
        <v>155</v>
      </c>
      <c r="H69" t="s">
        <v>505</v>
      </c>
      <c r="I69" t="s">
        <v>501</v>
      </c>
      <c r="J69" t="s">
        <v>716</v>
      </c>
      <c r="K69" t="s">
        <v>65</v>
      </c>
      <c r="L69" t="s">
        <v>717</v>
      </c>
      <c r="M69" s="13">
        <v>45982.688148148147</v>
      </c>
      <c r="N69" s="13">
        <v>45983.4375</v>
      </c>
      <c r="O69" t="s">
        <v>159</v>
      </c>
      <c r="P69" t="s">
        <v>160</v>
      </c>
      <c r="Q69" t="s">
        <v>234</v>
      </c>
      <c r="R69" t="s">
        <v>235</v>
      </c>
      <c r="S69" t="s">
        <v>67</v>
      </c>
      <c r="T69" t="s">
        <v>68</v>
      </c>
      <c r="V69" t="s">
        <v>718</v>
      </c>
      <c r="W69" t="s">
        <v>71</v>
      </c>
      <c r="Y69" t="s">
        <v>109</v>
      </c>
      <c r="Z69" t="s">
        <v>73</v>
      </c>
      <c r="AA69" t="s">
        <v>510</v>
      </c>
      <c r="AB69" s="67">
        <v>0</v>
      </c>
      <c r="AC69" s="67">
        <v>0</v>
      </c>
      <c r="AD69" s="67">
        <v>0</v>
      </c>
      <c r="AE69" s="67">
        <v>0</v>
      </c>
      <c r="AF69" s="67">
        <v>0</v>
      </c>
      <c r="AG69" s="67">
        <v>37905</v>
      </c>
      <c r="AH69" s="67">
        <v>37905</v>
      </c>
    </row>
    <row r="70" spans="1:34" hidden="1">
      <c r="A70" t="s">
        <v>54</v>
      </c>
      <c r="B70" t="s">
        <v>55</v>
      </c>
      <c r="C70" t="s">
        <v>56</v>
      </c>
      <c r="D70" t="s">
        <v>719</v>
      </c>
      <c r="E70" t="s">
        <v>720</v>
      </c>
      <c r="F70" t="s">
        <v>721</v>
      </c>
      <c r="G70" t="s">
        <v>155</v>
      </c>
      <c r="H70" t="s">
        <v>62</v>
      </c>
      <c r="I70" t="s">
        <v>722</v>
      </c>
      <c r="J70" t="s">
        <v>723</v>
      </c>
      <c r="K70" t="s">
        <v>65</v>
      </c>
      <c r="L70" t="s">
        <v>724</v>
      </c>
      <c r="M70" s="13">
        <v>45982.684837962966</v>
      </c>
      <c r="N70" s="13">
        <v>45986.65</v>
      </c>
      <c r="O70" t="s">
        <v>159</v>
      </c>
      <c r="P70" t="s">
        <v>160</v>
      </c>
      <c r="Q70" t="s">
        <v>190</v>
      </c>
      <c r="R70" t="s">
        <v>191</v>
      </c>
      <c r="S70" t="s">
        <v>163</v>
      </c>
      <c r="T70" t="s">
        <v>163</v>
      </c>
      <c r="U70" t="s">
        <v>164</v>
      </c>
      <c r="V70" t="s">
        <v>725</v>
      </c>
      <c r="W70" t="s">
        <v>84</v>
      </c>
      <c r="X70" t="s">
        <v>726</v>
      </c>
      <c r="Y70" t="s">
        <v>194</v>
      </c>
      <c r="Z70" t="s">
        <v>73</v>
      </c>
      <c r="AA70" t="s">
        <v>383</v>
      </c>
      <c r="AB70" s="67">
        <v>1</v>
      </c>
      <c r="AC70" s="67">
        <v>0</v>
      </c>
      <c r="AD70" s="67">
        <v>0</v>
      </c>
      <c r="AE70" s="67">
        <v>0</v>
      </c>
      <c r="AF70" s="67">
        <v>0</v>
      </c>
      <c r="AG70" s="67">
        <v>163814</v>
      </c>
      <c r="AH70" s="67">
        <v>163814</v>
      </c>
    </row>
    <row r="71" spans="1:34" hidden="1">
      <c r="A71" t="s">
        <v>196</v>
      </c>
      <c r="B71" t="s">
        <v>181</v>
      </c>
      <c r="C71" t="s">
        <v>182</v>
      </c>
      <c r="D71" t="s">
        <v>727</v>
      </c>
      <c r="E71" t="s">
        <v>728</v>
      </c>
      <c r="F71" t="s">
        <v>729</v>
      </c>
      <c r="G71" t="s">
        <v>155</v>
      </c>
      <c r="H71" t="s">
        <v>200</v>
      </c>
      <c r="I71" t="s">
        <v>730</v>
      </c>
      <c r="J71" t="s">
        <v>731</v>
      </c>
      <c r="K71" t="s">
        <v>65</v>
      </c>
      <c r="L71" t="s">
        <v>732</v>
      </c>
      <c r="M71" s="13">
        <v>45983.38622685185</v>
      </c>
      <c r="N71" s="13">
        <v>45985.417361111111</v>
      </c>
      <c r="O71" t="s">
        <v>159</v>
      </c>
      <c r="P71" t="s">
        <v>160</v>
      </c>
      <c r="Q71" t="s">
        <v>190</v>
      </c>
      <c r="R71" t="s">
        <v>191</v>
      </c>
      <c r="S71" t="s">
        <v>163</v>
      </c>
      <c r="T71" t="s">
        <v>163</v>
      </c>
      <c r="U71" t="s">
        <v>164</v>
      </c>
      <c r="V71" t="s">
        <v>733</v>
      </c>
      <c r="W71" t="s">
        <v>84</v>
      </c>
      <c r="X71" t="s">
        <v>734</v>
      </c>
      <c r="Y71" t="s">
        <v>194</v>
      </c>
      <c r="Z71" t="s">
        <v>73</v>
      </c>
      <c r="AA71" t="s">
        <v>364</v>
      </c>
      <c r="AB71" s="67">
        <v>1</v>
      </c>
      <c r="AC71" s="67">
        <v>0</v>
      </c>
      <c r="AD71" s="67">
        <v>0</v>
      </c>
      <c r="AE71" s="67">
        <v>0</v>
      </c>
      <c r="AF71" s="67">
        <v>0</v>
      </c>
      <c r="AG71" s="67">
        <v>163814</v>
      </c>
      <c r="AH71" s="67">
        <v>163814</v>
      </c>
    </row>
    <row r="72" spans="1:34" hidden="1">
      <c r="A72" t="s">
        <v>54</v>
      </c>
      <c r="B72" t="s">
        <v>55</v>
      </c>
      <c r="C72" t="s">
        <v>56</v>
      </c>
      <c r="D72" t="s">
        <v>660</v>
      </c>
      <c r="E72" t="s">
        <v>735</v>
      </c>
      <c r="F72" t="s">
        <v>736</v>
      </c>
      <c r="G72" t="s">
        <v>155</v>
      </c>
      <c r="H72" t="s">
        <v>62</v>
      </c>
      <c r="I72" t="s">
        <v>663</v>
      </c>
      <c r="J72" t="s">
        <v>737</v>
      </c>
      <c r="K72" t="s">
        <v>65</v>
      </c>
      <c r="L72" t="s">
        <v>738</v>
      </c>
      <c r="M72" s="13">
        <v>45983.431875000002</v>
      </c>
      <c r="N72" s="13">
        <v>45985.470138888893</v>
      </c>
      <c r="O72" t="s">
        <v>159</v>
      </c>
      <c r="P72" t="s">
        <v>160</v>
      </c>
      <c r="Q72" t="s">
        <v>204</v>
      </c>
      <c r="R72" t="s">
        <v>205</v>
      </c>
      <c r="S72" t="s">
        <v>163</v>
      </c>
      <c r="T72" t="s">
        <v>163</v>
      </c>
      <c r="U72" t="s">
        <v>164</v>
      </c>
      <c r="V72" t="s">
        <v>739</v>
      </c>
      <c r="W72" t="s">
        <v>84</v>
      </c>
      <c r="X72" t="s">
        <v>740</v>
      </c>
      <c r="Y72" t="s">
        <v>109</v>
      </c>
      <c r="Z72" t="s">
        <v>73</v>
      </c>
      <c r="AA72" t="s">
        <v>667</v>
      </c>
      <c r="AB72" s="67">
        <v>1</v>
      </c>
      <c r="AC72" s="67">
        <v>0</v>
      </c>
      <c r="AD72" s="67">
        <v>0</v>
      </c>
      <c r="AE72" s="67">
        <v>0</v>
      </c>
      <c r="AF72" s="67">
        <v>0</v>
      </c>
      <c r="AG72" s="67">
        <v>65960</v>
      </c>
      <c r="AH72" s="67">
        <v>65960</v>
      </c>
    </row>
    <row r="73" spans="1:34" hidden="1">
      <c r="A73" t="s">
        <v>88</v>
      </c>
      <c r="B73" t="s">
        <v>89</v>
      </c>
      <c r="C73" t="s">
        <v>90</v>
      </c>
      <c r="D73" t="s">
        <v>240</v>
      </c>
      <c r="E73" t="s">
        <v>741</v>
      </c>
      <c r="F73" t="s">
        <v>742</v>
      </c>
      <c r="G73" t="s">
        <v>155</v>
      </c>
      <c r="H73" t="s">
        <v>243</v>
      </c>
      <c r="I73" t="s">
        <v>88</v>
      </c>
      <c r="J73" t="s">
        <v>743</v>
      </c>
      <c r="K73" t="s">
        <v>65</v>
      </c>
      <c r="L73" t="s">
        <v>744</v>
      </c>
      <c r="M73" s="13">
        <v>45983.523854166669</v>
      </c>
      <c r="N73" s="13">
        <v>45985.447916666657</v>
      </c>
      <c r="O73" t="s">
        <v>159</v>
      </c>
      <c r="P73" t="s">
        <v>160</v>
      </c>
      <c r="Q73" t="s">
        <v>226</v>
      </c>
      <c r="R73" t="s">
        <v>227</v>
      </c>
      <c r="S73" t="s">
        <v>67</v>
      </c>
      <c r="T73" t="s">
        <v>117</v>
      </c>
      <c r="V73" t="s">
        <v>745</v>
      </c>
      <c r="W73" t="s">
        <v>71</v>
      </c>
      <c r="Y73" t="s">
        <v>109</v>
      </c>
      <c r="Z73" t="s">
        <v>73</v>
      </c>
      <c r="AA73" t="s">
        <v>746</v>
      </c>
      <c r="AB73" s="67">
        <v>0</v>
      </c>
      <c r="AC73" s="67">
        <v>0</v>
      </c>
      <c r="AD73" s="67">
        <v>0</v>
      </c>
      <c r="AE73" s="67">
        <v>0</v>
      </c>
      <c r="AF73" s="67">
        <v>0</v>
      </c>
      <c r="AG73" s="67">
        <v>37905</v>
      </c>
      <c r="AH73" s="67">
        <v>37905</v>
      </c>
    </row>
    <row r="74" spans="1:34" hidden="1">
      <c r="A74" t="s">
        <v>54</v>
      </c>
      <c r="B74" t="s">
        <v>55</v>
      </c>
      <c r="C74" t="s">
        <v>56</v>
      </c>
      <c r="D74" t="s">
        <v>111</v>
      </c>
      <c r="E74" t="s">
        <v>747</v>
      </c>
      <c r="F74" t="s">
        <v>748</v>
      </c>
      <c r="G74" t="s">
        <v>155</v>
      </c>
      <c r="H74" t="s">
        <v>62</v>
      </c>
      <c r="I74" t="s">
        <v>54</v>
      </c>
      <c r="J74" t="s">
        <v>749</v>
      </c>
      <c r="K74" t="s">
        <v>65</v>
      </c>
      <c r="L74" t="s">
        <v>750</v>
      </c>
      <c r="M74" s="13">
        <v>45985.384050925917</v>
      </c>
      <c r="N74" s="13">
        <v>45985.659722222219</v>
      </c>
      <c r="O74" t="s">
        <v>159</v>
      </c>
      <c r="P74" t="s">
        <v>160</v>
      </c>
      <c r="Q74" t="s">
        <v>234</v>
      </c>
      <c r="R74" t="s">
        <v>235</v>
      </c>
      <c r="S74" t="s">
        <v>67</v>
      </c>
      <c r="T74" t="s">
        <v>68</v>
      </c>
      <c r="U74" t="s">
        <v>164</v>
      </c>
      <c r="V74" t="s">
        <v>751</v>
      </c>
      <c r="W74" t="s">
        <v>84</v>
      </c>
      <c r="X74" t="s">
        <v>752</v>
      </c>
      <c r="Y74" t="s">
        <v>109</v>
      </c>
      <c r="Z74" t="s">
        <v>73</v>
      </c>
      <c r="AA74" t="s">
        <v>753</v>
      </c>
      <c r="AB74" s="67">
        <v>1</v>
      </c>
      <c r="AC74" s="67">
        <v>0</v>
      </c>
      <c r="AD74" s="67">
        <v>0</v>
      </c>
      <c r="AE74" s="67">
        <v>0</v>
      </c>
      <c r="AF74" s="67">
        <v>0</v>
      </c>
      <c r="AG74" s="67">
        <v>65960</v>
      </c>
      <c r="AH74" s="67">
        <v>65960</v>
      </c>
    </row>
    <row r="75" spans="1:34" hidden="1">
      <c r="A75" t="s">
        <v>196</v>
      </c>
      <c r="B75" t="s">
        <v>181</v>
      </c>
      <c r="C75" t="s">
        <v>182</v>
      </c>
      <c r="D75" t="s">
        <v>754</v>
      </c>
      <c r="E75" t="s">
        <v>755</v>
      </c>
      <c r="F75" t="s">
        <v>756</v>
      </c>
      <c r="G75" t="s">
        <v>155</v>
      </c>
      <c r="H75" t="s">
        <v>200</v>
      </c>
      <c r="I75" t="s">
        <v>196</v>
      </c>
      <c r="J75" t="s">
        <v>757</v>
      </c>
      <c r="K75" t="s">
        <v>65</v>
      </c>
      <c r="L75" t="s">
        <v>758</v>
      </c>
      <c r="M75" s="13">
        <v>45985.495868055557</v>
      </c>
      <c r="N75" s="13">
        <v>45986.433333333327</v>
      </c>
      <c r="O75" t="s">
        <v>159</v>
      </c>
      <c r="P75" t="s">
        <v>160</v>
      </c>
      <c r="Q75" t="s">
        <v>190</v>
      </c>
      <c r="R75" t="s">
        <v>227</v>
      </c>
      <c r="S75" t="s">
        <v>192</v>
      </c>
      <c r="T75" t="s">
        <v>192</v>
      </c>
      <c r="U75" t="s">
        <v>164</v>
      </c>
      <c r="V75" t="s">
        <v>759</v>
      </c>
      <c r="W75" t="s">
        <v>84</v>
      </c>
      <c r="X75" t="s">
        <v>760</v>
      </c>
      <c r="Y75" t="s">
        <v>109</v>
      </c>
      <c r="Z75" t="s">
        <v>73</v>
      </c>
      <c r="AA75" t="s">
        <v>561</v>
      </c>
      <c r="AB75" s="67">
        <v>1</v>
      </c>
      <c r="AC75" s="67">
        <v>0</v>
      </c>
      <c r="AD75" s="67">
        <v>0</v>
      </c>
      <c r="AE75" s="67">
        <v>0</v>
      </c>
      <c r="AF75" s="67">
        <v>0</v>
      </c>
      <c r="AG75" s="67">
        <v>65960</v>
      </c>
      <c r="AH75" s="67">
        <v>65960</v>
      </c>
    </row>
    <row r="76" spans="1:34" hidden="1">
      <c r="A76" t="s">
        <v>88</v>
      </c>
      <c r="B76" t="s">
        <v>89</v>
      </c>
      <c r="C76" t="s">
        <v>90</v>
      </c>
      <c r="D76" t="s">
        <v>761</v>
      </c>
      <c r="E76" t="s">
        <v>762</v>
      </c>
      <c r="F76" t="s">
        <v>763</v>
      </c>
      <c r="G76" t="s">
        <v>155</v>
      </c>
      <c r="H76" t="s">
        <v>243</v>
      </c>
      <c r="I76" t="s">
        <v>764</v>
      </c>
      <c r="J76" t="s">
        <v>765</v>
      </c>
      <c r="K76" t="s">
        <v>65</v>
      </c>
      <c r="L76" t="s">
        <v>766</v>
      </c>
      <c r="M76" s="13">
        <v>45985.707187499997</v>
      </c>
      <c r="N76" s="13">
        <v>45986.477777777778</v>
      </c>
      <c r="O76" t="s">
        <v>159</v>
      </c>
      <c r="P76" t="s">
        <v>160</v>
      </c>
      <c r="Q76" t="s">
        <v>498</v>
      </c>
      <c r="R76" t="s">
        <v>499</v>
      </c>
      <c r="S76" t="s">
        <v>163</v>
      </c>
      <c r="T76" t="s">
        <v>163</v>
      </c>
      <c r="V76" t="s">
        <v>767</v>
      </c>
      <c r="W76" t="s">
        <v>71</v>
      </c>
      <c r="Y76" t="s">
        <v>194</v>
      </c>
      <c r="Z76" t="s">
        <v>73</v>
      </c>
      <c r="AA76" t="s">
        <v>247</v>
      </c>
      <c r="AB76" s="67">
        <v>0</v>
      </c>
      <c r="AC76" s="67">
        <v>0</v>
      </c>
      <c r="AD76" s="67">
        <v>0</v>
      </c>
      <c r="AE76" s="67">
        <v>0</v>
      </c>
      <c r="AF76" s="67">
        <v>0</v>
      </c>
      <c r="AG76" s="67">
        <v>37905</v>
      </c>
      <c r="AH76" s="67">
        <v>37905</v>
      </c>
    </row>
    <row r="77" spans="1:34" hidden="1">
      <c r="A77" t="s">
        <v>54</v>
      </c>
      <c r="B77" t="s">
        <v>55</v>
      </c>
      <c r="C77" t="s">
        <v>56</v>
      </c>
      <c r="D77" t="s">
        <v>376</v>
      </c>
      <c r="E77" t="s">
        <v>768</v>
      </c>
      <c r="F77" t="s">
        <v>769</v>
      </c>
      <c r="G77" t="s">
        <v>155</v>
      </c>
      <c r="H77" t="s">
        <v>62</v>
      </c>
      <c r="I77" t="s">
        <v>379</v>
      </c>
      <c r="J77" t="s">
        <v>770</v>
      </c>
      <c r="K77" t="s">
        <v>65</v>
      </c>
      <c r="L77" t="s">
        <v>771</v>
      </c>
      <c r="M77" s="13">
        <v>45986.333333333343</v>
      </c>
      <c r="N77" s="13">
        <v>45986.53402777778</v>
      </c>
      <c r="O77" t="s">
        <v>159</v>
      </c>
      <c r="P77" t="s">
        <v>160</v>
      </c>
      <c r="Q77" t="s">
        <v>161</v>
      </c>
      <c r="R77" t="s">
        <v>162</v>
      </c>
      <c r="S77" t="s">
        <v>67</v>
      </c>
      <c r="T77" t="s">
        <v>68</v>
      </c>
      <c r="V77" t="s">
        <v>772</v>
      </c>
      <c r="W77" t="s">
        <v>71</v>
      </c>
      <c r="Y77" t="s">
        <v>109</v>
      </c>
      <c r="Z77" t="s">
        <v>73</v>
      </c>
      <c r="AA77" t="s">
        <v>773</v>
      </c>
      <c r="AB77" s="67">
        <v>0</v>
      </c>
      <c r="AC77" s="67">
        <v>0</v>
      </c>
      <c r="AD77" s="67">
        <v>0</v>
      </c>
      <c r="AE77" s="67">
        <v>0</v>
      </c>
      <c r="AF77" s="67">
        <v>0</v>
      </c>
      <c r="AG77" s="67">
        <v>37905</v>
      </c>
      <c r="AH77" s="67">
        <v>37905</v>
      </c>
    </row>
    <row r="78" spans="1:34" hidden="1">
      <c r="A78" t="s">
        <v>611</v>
      </c>
      <c r="B78" t="s">
        <v>209</v>
      </c>
      <c r="C78" t="s">
        <v>210</v>
      </c>
      <c r="D78" t="s">
        <v>774</v>
      </c>
      <c r="E78" t="s">
        <v>775</v>
      </c>
      <c r="F78" t="s">
        <v>776</v>
      </c>
      <c r="G78" t="s">
        <v>155</v>
      </c>
      <c r="H78" t="s">
        <v>615</v>
      </c>
      <c r="I78" t="s">
        <v>777</v>
      </c>
      <c r="J78" t="s">
        <v>778</v>
      </c>
      <c r="K78" t="s">
        <v>65</v>
      </c>
      <c r="L78" t="s">
        <v>779</v>
      </c>
      <c r="M78" s="13">
        <v>45986.371111111112</v>
      </c>
      <c r="N78" s="13">
        <v>45987.72152777778</v>
      </c>
      <c r="O78" t="s">
        <v>159</v>
      </c>
      <c r="P78" t="s">
        <v>346</v>
      </c>
      <c r="Q78" t="s">
        <v>347</v>
      </c>
      <c r="R78" t="s">
        <v>348</v>
      </c>
      <c r="S78" t="s">
        <v>67</v>
      </c>
      <c r="T78" t="s">
        <v>117</v>
      </c>
      <c r="U78" t="s">
        <v>164</v>
      </c>
      <c r="V78" t="s">
        <v>780</v>
      </c>
      <c r="W78" t="s">
        <v>84</v>
      </c>
      <c r="X78" t="s">
        <v>781</v>
      </c>
      <c r="Y78" t="s">
        <v>194</v>
      </c>
      <c r="Z78" t="s">
        <v>73</v>
      </c>
      <c r="AA78" t="s">
        <v>619</v>
      </c>
      <c r="AB78" s="67">
        <v>1</v>
      </c>
      <c r="AC78" s="67">
        <v>0</v>
      </c>
      <c r="AD78" s="67">
        <v>0</v>
      </c>
      <c r="AE78" s="67">
        <v>0</v>
      </c>
      <c r="AF78" s="67">
        <v>0</v>
      </c>
      <c r="AG78" s="67">
        <v>163814</v>
      </c>
      <c r="AH78" s="67">
        <v>163814</v>
      </c>
    </row>
    <row r="79" spans="1:34" hidden="1">
      <c r="A79" t="s">
        <v>75</v>
      </c>
      <c r="B79" t="s">
        <v>55</v>
      </c>
      <c r="C79" t="s">
        <v>56</v>
      </c>
      <c r="D79" t="s">
        <v>487</v>
      </c>
      <c r="E79" t="s">
        <v>782</v>
      </c>
      <c r="F79" t="s">
        <v>489</v>
      </c>
      <c r="G79" t="s">
        <v>155</v>
      </c>
      <c r="H79" t="s">
        <v>62</v>
      </c>
      <c r="I79" t="s">
        <v>75</v>
      </c>
      <c r="J79" t="s">
        <v>490</v>
      </c>
      <c r="K79" t="s">
        <v>65</v>
      </c>
      <c r="L79" t="s">
        <v>783</v>
      </c>
      <c r="M79" s="13">
        <v>45986.390138888892</v>
      </c>
      <c r="N79" s="13">
        <v>45986.647222222222</v>
      </c>
      <c r="O79" t="s">
        <v>159</v>
      </c>
      <c r="P79" t="s">
        <v>160</v>
      </c>
      <c r="Q79" t="s">
        <v>190</v>
      </c>
      <c r="R79" t="s">
        <v>191</v>
      </c>
      <c r="S79" t="s">
        <v>67</v>
      </c>
      <c r="T79" t="s">
        <v>68</v>
      </c>
      <c r="U79" t="s">
        <v>164</v>
      </c>
      <c r="V79" t="s">
        <v>784</v>
      </c>
      <c r="W79" t="s">
        <v>84</v>
      </c>
      <c r="X79" t="s">
        <v>493</v>
      </c>
      <c r="Y79" t="s">
        <v>109</v>
      </c>
      <c r="Z79" t="s">
        <v>73</v>
      </c>
      <c r="AA79" t="s">
        <v>87</v>
      </c>
      <c r="AB79" s="67">
        <v>1</v>
      </c>
      <c r="AC79" s="67">
        <v>0</v>
      </c>
      <c r="AD79" s="67">
        <v>0</v>
      </c>
      <c r="AE79" s="67">
        <v>0</v>
      </c>
      <c r="AF79" s="67">
        <v>0</v>
      </c>
      <c r="AG79" s="67">
        <v>65960</v>
      </c>
      <c r="AH79" s="67">
        <v>65960</v>
      </c>
    </row>
    <row r="80" spans="1:34" hidden="1">
      <c r="A80" t="s">
        <v>196</v>
      </c>
      <c r="B80" t="s">
        <v>181</v>
      </c>
      <c r="C80" t="s">
        <v>182</v>
      </c>
      <c r="D80" t="s">
        <v>785</v>
      </c>
      <c r="E80" t="s">
        <v>786</v>
      </c>
      <c r="F80" t="s">
        <v>787</v>
      </c>
      <c r="G80" t="s">
        <v>155</v>
      </c>
      <c r="H80" t="s">
        <v>200</v>
      </c>
      <c r="I80" t="s">
        <v>788</v>
      </c>
      <c r="J80" t="s">
        <v>789</v>
      </c>
      <c r="K80" t="s">
        <v>65</v>
      </c>
      <c r="L80" t="s">
        <v>790</v>
      </c>
      <c r="M80" s="13">
        <v>45986.407881944448</v>
      </c>
      <c r="N80" s="13">
        <v>45987.681944444441</v>
      </c>
      <c r="O80" t="s">
        <v>159</v>
      </c>
      <c r="P80" t="s">
        <v>160</v>
      </c>
      <c r="Q80" t="s">
        <v>190</v>
      </c>
      <c r="R80" t="s">
        <v>227</v>
      </c>
      <c r="S80" t="s">
        <v>163</v>
      </c>
      <c r="T80" t="s">
        <v>163</v>
      </c>
      <c r="V80" t="s">
        <v>791</v>
      </c>
      <c r="W80" t="s">
        <v>71</v>
      </c>
      <c r="Y80" t="s">
        <v>72</v>
      </c>
      <c r="Z80" t="s">
        <v>73</v>
      </c>
      <c r="AA80" t="s">
        <v>439</v>
      </c>
      <c r="AB80" s="67">
        <v>0</v>
      </c>
      <c r="AC80" s="67">
        <v>0</v>
      </c>
      <c r="AD80" s="67">
        <v>0</v>
      </c>
      <c r="AE80" s="67">
        <v>0</v>
      </c>
      <c r="AF80" s="67">
        <v>0</v>
      </c>
      <c r="AG80" s="67">
        <v>37905</v>
      </c>
      <c r="AH80" s="67">
        <v>37905</v>
      </c>
    </row>
    <row r="81" spans="1:34" hidden="1">
      <c r="A81" t="s">
        <v>208</v>
      </c>
      <c r="B81" t="s">
        <v>209</v>
      </c>
      <c r="C81" t="s">
        <v>210</v>
      </c>
      <c r="D81" t="s">
        <v>211</v>
      </c>
      <c r="E81" t="s">
        <v>792</v>
      </c>
      <c r="F81" t="s">
        <v>793</v>
      </c>
      <c r="G81" t="s">
        <v>155</v>
      </c>
      <c r="H81" t="s">
        <v>214</v>
      </c>
      <c r="I81" t="s">
        <v>208</v>
      </c>
      <c r="J81" t="s">
        <v>794</v>
      </c>
      <c r="K81" t="s">
        <v>65</v>
      </c>
      <c r="L81" t="s">
        <v>795</v>
      </c>
      <c r="M81" s="13">
        <v>45986.455312500002</v>
      </c>
      <c r="N81" s="13">
        <v>45986.665277777778</v>
      </c>
      <c r="O81" t="s">
        <v>159</v>
      </c>
      <c r="P81" t="s">
        <v>160</v>
      </c>
      <c r="Q81" t="s">
        <v>190</v>
      </c>
      <c r="R81" t="s">
        <v>191</v>
      </c>
      <c r="S81" t="s">
        <v>67</v>
      </c>
      <c r="T81" t="s">
        <v>117</v>
      </c>
      <c r="U81" t="s">
        <v>164</v>
      </c>
      <c r="V81" t="s">
        <v>796</v>
      </c>
      <c r="W81" t="s">
        <v>84</v>
      </c>
      <c r="X81" t="s">
        <v>797</v>
      </c>
      <c r="Y81" t="s">
        <v>109</v>
      </c>
      <c r="Z81" t="s">
        <v>73</v>
      </c>
      <c r="AA81" t="s">
        <v>292</v>
      </c>
      <c r="AB81" s="67">
        <v>1</v>
      </c>
      <c r="AC81" s="67">
        <v>0</v>
      </c>
      <c r="AD81" s="67">
        <v>0</v>
      </c>
      <c r="AE81" s="67">
        <v>0</v>
      </c>
      <c r="AF81" s="67">
        <v>0</v>
      </c>
      <c r="AG81" s="67">
        <v>65960</v>
      </c>
      <c r="AH81" s="67">
        <v>65960</v>
      </c>
    </row>
    <row r="82" spans="1:34" hidden="1">
      <c r="A82" t="s">
        <v>365</v>
      </c>
      <c r="B82" t="s">
        <v>89</v>
      </c>
      <c r="C82" t="s">
        <v>366</v>
      </c>
      <c r="D82" t="s">
        <v>798</v>
      </c>
      <c r="E82" t="s">
        <v>799</v>
      </c>
      <c r="F82" t="s">
        <v>800</v>
      </c>
      <c r="G82" t="s">
        <v>155</v>
      </c>
      <c r="H82" t="s">
        <v>104</v>
      </c>
      <c r="I82" t="s">
        <v>801</v>
      </c>
      <c r="J82" t="s">
        <v>802</v>
      </c>
      <c r="K82" t="s">
        <v>65</v>
      </c>
      <c r="L82" t="s">
        <v>803</v>
      </c>
      <c r="M82" s="13">
        <v>45986.705150462964</v>
      </c>
      <c r="N82" s="13">
        <v>45987.680555555547</v>
      </c>
      <c r="O82" t="s">
        <v>159</v>
      </c>
      <c r="P82" t="s">
        <v>160</v>
      </c>
      <c r="Q82" t="s">
        <v>234</v>
      </c>
      <c r="R82" t="s">
        <v>235</v>
      </c>
      <c r="S82" t="s">
        <v>67</v>
      </c>
      <c r="T82" t="s">
        <v>68</v>
      </c>
      <c r="U82" t="s">
        <v>164</v>
      </c>
      <c r="V82" t="s">
        <v>804</v>
      </c>
      <c r="W82" t="s">
        <v>84</v>
      </c>
      <c r="X82" t="s">
        <v>805</v>
      </c>
      <c r="Y82" t="s">
        <v>194</v>
      </c>
      <c r="Z82" t="s">
        <v>73</v>
      </c>
      <c r="AA82" t="s">
        <v>806</v>
      </c>
      <c r="AB82" s="67">
        <v>1</v>
      </c>
      <c r="AC82" s="67">
        <v>0</v>
      </c>
      <c r="AD82" s="67">
        <v>0</v>
      </c>
      <c r="AE82" s="67">
        <v>0</v>
      </c>
      <c r="AF82" s="67">
        <v>0</v>
      </c>
      <c r="AG82" s="67">
        <v>163814</v>
      </c>
      <c r="AH82" s="67">
        <v>163814</v>
      </c>
    </row>
    <row r="83" spans="1:34" hidden="1">
      <c r="A83" t="s">
        <v>501</v>
      </c>
      <c r="B83" t="s">
        <v>168</v>
      </c>
      <c r="C83" t="s">
        <v>169</v>
      </c>
      <c r="D83" t="s">
        <v>502</v>
      </c>
      <c r="E83" t="s">
        <v>807</v>
      </c>
      <c r="F83" t="s">
        <v>808</v>
      </c>
      <c r="G83" t="s">
        <v>155</v>
      </c>
      <c r="H83" t="s">
        <v>505</v>
      </c>
      <c r="I83" t="s">
        <v>501</v>
      </c>
      <c r="J83" t="s">
        <v>809</v>
      </c>
      <c r="K83" t="s">
        <v>65</v>
      </c>
      <c r="L83" t="s">
        <v>810</v>
      </c>
      <c r="M83" s="13">
        <v>45987.368252314824</v>
      </c>
      <c r="N83" s="13">
        <v>45990.51458333333</v>
      </c>
      <c r="O83" t="s">
        <v>159</v>
      </c>
      <c r="P83" t="s">
        <v>346</v>
      </c>
      <c r="Q83" t="s">
        <v>347</v>
      </c>
      <c r="R83" t="s">
        <v>348</v>
      </c>
      <c r="S83" t="s">
        <v>67</v>
      </c>
      <c r="T83" t="s">
        <v>68</v>
      </c>
      <c r="U83" t="s">
        <v>289</v>
      </c>
      <c r="V83" t="s">
        <v>811</v>
      </c>
      <c r="W83" t="s">
        <v>84</v>
      </c>
      <c r="X83" t="s">
        <v>812</v>
      </c>
      <c r="Y83" t="s">
        <v>109</v>
      </c>
      <c r="Z83" t="s">
        <v>73</v>
      </c>
      <c r="AA83" t="s">
        <v>510</v>
      </c>
      <c r="AB83" s="67">
        <v>2</v>
      </c>
      <c r="AC83" s="67">
        <v>0</v>
      </c>
      <c r="AD83" s="67">
        <v>0</v>
      </c>
      <c r="AE83" s="67">
        <v>0</v>
      </c>
      <c r="AF83" s="67">
        <v>0</v>
      </c>
      <c r="AG83" s="67">
        <v>65960</v>
      </c>
      <c r="AH83" s="67">
        <v>131920</v>
      </c>
    </row>
    <row r="84" spans="1:34" hidden="1">
      <c r="A84" t="s">
        <v>274</v>
      </c>
      <c r="B84" t="s">
        <v>168</v>
      </c>
      <c r="C84" t="s">
        <v>169</v>
      </c>
      <c r="D84" t="s">
        <v>275</v>
      </c>
      <c r="E84" t="s">
        <v>813</v>
      </c>
      <c r="F84" t="s">
        <v>814</v>
      </c>
      <c r="G84" t="s">
        <v>155</v>
      </c>
      <c r="H84" t="s">
        <v>278</v>
      </c>
      <c r="I84" t="s">
        <v>274</v>
      </c>
      <c r="J84" t="s">
        <v>815</v>
      </c>
      <c r="K84" t="s">
        <v>65</v>
      </c>
      <c r="L84" t="s">
        <v>816</v>
      </c>
      <c r="M84" s="13">
        <v>45987.499085648153</v>
      </c>
      <c r="N84" s="13">
        <v>45987.725694444453</v>
      </c>
      <c r="O84" t="s">
        <v>159</v>
      </c>
      <c r="P84" t="s">
        <v>160</v>
      </c>
      <c r="Q84" t="s">
        <v>161</v>
      </c>
      <c r="R84" t="s">
        <v>162</v>
      </c>
      <c r="S84" t="s">
        <v>192</v>
      </c>
      <c r="T84" t="s">
        <v>163</v>
      </c>
      <c r="U84" t="s">
        <v>164</v>
      </c>
      <c r="V84" t="s">
        <v>817</v>
      </c>
      <c r="W84" t="s">
        <v>84</v>
      </c>
      <c r="X84" t="s">
        <v>818</v>
      </c>
      <c r="Y84" t="s">
        <v>109</v>
      </c>
      <c r="Z84" t="s">
        <v>73</v>
      </c>
      <c r="AA84" t="s">
        <v>819</v>
      </c>
      <c r="AB84" s="67">
        <v>1</v>
      </c>
      <c r="AC84" s="67">
        <v>0</v>
      </c>
      <c r="AD84" s="67">
        <v>0</v>
      </c>
      <c r="AE84" s="67">
        <v>0</v>
      </c>
      <c r="AF84" s="67">
        <v>0</v>
      </c>
      <c r="AG84" s="67">
        <v>65960</v>
      </c>
      <c r="AH84" s="67">
        <v>65960</v>
      </c>
    </row>
    <row r="85" spans="1:34" hidden="1">
      <c r="A85" t="s">
        <v>120</v>
      </c>
      <c r="B85" t="s">
        <v>121</v>
      </c>
      <c r="C85" t="s">
        <v>122</v>
      </c>
      <c r="D85" t="s">
        <v>132</v>
      </c>
      <c r="E85" t="s">
        <v>820</v>
      </c>
      <c r="F85" t="s">
        <v>821</v>
      </c>
      <c r="G85" t="s">
        <v>155</v>
      </c>
      <c r="H85" t="s">
        <v>121</v>
      </c>
      <c r="I85" t="s">
        <v>120</v>
      </c>
      <c r="J85" t="s">
        <v>822</v>
      </c>
      <c r="K85" t="s">
        <v>65</v>
      </c>
      <c r="L85" t="s">
        <v>823</v>
      </c>
      <c r="M85" s="13">
        <v>45988.626203703701</v>
      </c>
      <c r="N85" s="13">
        <v>45989.586111111108</v>
      </c>
      <c r="O85" t="s">
        <v>159</v>
      </c>
      <c r="P85" t="s">
        <v>160</v>
      </c>
      <c r="Q85" t="s">
        <v>190</v>
      </c>
      <c r="R85" t="s">
        <v>227</v>
      </c>
      <c r="S85" t="s">
        <v>236</v>
      </c>
      <c r="T85" t="s">
        <v>824</v>
      </c>
      <c r="U85" t="s">
        <v>164</v>
      </c>
      <c r="V85" t="s">
        <v>825</v>
      </c>
      <c r="W85" t="s">
        <v>84</v>
      </c>
      <c r="X85" t="s">
        <v>826</v>
      </c>
      <c r="Y85" t="s">
        <v>109</v>
      </c>
      <c r="Z85" t="s">
        <v>73</v>
      </c>
      <c r="AA85" t="s">
        <v>827</v>
      </c>
      <c r="AB85" s="67">
        <v>1</v>
      </c>
      <c r="AC85" s="67">
        <v>0</v>
      </c>
      <c r="AD85" s="67">
        <v>0</v>
      </c>
      <c r="AE85" s="67">
        <v>0</v>
      </c>
      <c r="AF85" s="67">
        <v>0</v>
      </c>
      <c r="AG85" s="67">
        <v>65960</v>
      </c>
      <c r="AH85" s="67">
        <v>65960</v>
      </c>
    </row>
    <row r="86" spans="1:34" hidden="1">
      <c r="A86" t="s">
        <v>318</v>
      </c>
      <c r="B86" t="s">
        <v>209</v>
      </c>
      <c r="C86" t="s">
        <v>210</v>
      </c>
      <c r="D86" t="s">
        <v>319</v>
      </c>
      <c r="E86" t="s">
        <v>828</v>
      </c>
      <c r="F86" t="s">
        <v>829</v>
      </c>
      <c r="G86" t="s">
        <v>155</v>
      </c>
      <c r="H86" t="s">
        <v>322</v>
      </c>
      <c r="I86" t="s">
        <v>318</v>
      </c>
      <c r="J86" t="s">
        <v>830</v>
      </c>
      <c r="K86" t="s">
        <v>65</v>
      </c>
      <c r="L86" t="s">
        <v>831</v>
      </c>
      <c r="M86" s="13">
        <v>45989.358657407407</v>
      </c>
      <c r="N86" s="13">
        <v>45989.762499999997</v>
      </c>
      <c r="O86" t="s">
        <v>159</v>
      </c>
      <c r="P86" t="s">
        <v>160</v>
      </c>
      <c r="Q86" t="s">
        <v>161</v>
      </c>
      <c r="R86" t="s">
        <v>162</v>
      </c>
      <c r="S86" t="s">
        <v>163</v>
      </c>
      <c r="T86" t="s">
        <v>163</v>
      </c>
      <c r="U86" t="s">
        <v>164</v>
      </c>
      <c r="V86" t="s">
        <v>832</v>
      </c>
      <c r="W86" t="s">
        <v>84</v>
      </c>
      <c r="X86" t="s">
        <v>833</v>
      </c>
      <c r="Y86" t="s">
        <v>109</v>
      </c>
      <c r="Z86" t="s">
        <v>73</v>
      </c>
      <c r="AA86" t="s">
        <v>834</v>
      </c>
      <c r="AB86" s="67">
        <v>1</v>
      </c>
      <c r="AC86" s="67">
        <v>0</v>
      </c>
      <c r="AD86" s="67">
        <v>0</v>
      </c>
      <c r="AE86" s="67">
        <v>0</v>
      </c>
      <c r="AF86" s="67">
        <v>0</v>
      </c>
      <c r="AG86" s="67">
        <v>65960</v>
      </c>
      <c r="AH86" s="67">
        <v>65960</v>
      </c>
    </row>
    <row r="87" spans="1:34" hidden="1">
      <c r="A87" t="s">
        <v>75</v>
      </c>
      <c r="B87" t="s">
        <v>55</v>
      </c>
      <c r="C87" t="s">
        <v>56</v>
      </c>
      <c r="D87" t="s">
        <v>835</v>
      </c>
      <c r="E87" t="s">
        <v>836</v>
      </c>
      <c r="F87" t="s">
        <v>837</v>
      </c>
      <c r="G87" t="s">
        <v>155</v>
      </c>
      <c r="H87" t="s">
        <v>62</v>
      </c>
      <c r="I87" t="s">
        <v>838</v>
      </c>
      <c r="J87" t="s">
        <v>839</v>
      </c>
      <c r="K87" t="s">
        <v>65</v>
      </c>
      <c r="L87" t="s">
        <v>840</v>
      </c>
      <c r="M87" s="13">
        <v>45989.427083333343</v>
      </c>
      <c r="N87" s="13">
        <v>45989.713888888888</v>
      </c>
      <c r="O87" t="s">
        <v>159</v>
      </c>
      <c r="P87" t="s">
        <v>160</v>
      </c>
      <c r="Q87" t="s">
        <v>190</v>
      </c>
      <c r="R87" t="s">
        <v>191</v>
      </c>
      <c r="S87" t="s">
        <v>163</v>
      </c>
      <c r="T87" t="s">
        <v>163</v>
      </c>
      <c r="U87" t="s">
        <v>164</v>
      </c>
      <c r="V87" t="s">
        <v>841</v>
      </c>
      <c r="W87" t="s">
        <v>84</v>
      </c>
      <c r="X87" t="s">
        <v>842</v>
      </c>
      <c r="Y87" t="s">
        <v>194</v>
      </c>
      <c r="Z87" t="s">
        <v>73</v>
      </c>
      <c r="AA87" t="s">
        <v>87</v>
      </c>
      <c r="AB87" s="67">
        <v>1</v>
      </c>
      <c r="AC87" s="67">
        <v>0</v>
      </c>
      <c r="AD87" s="67">
        <v>0</v>
      </c>
      <c r="AE87" s="67">
        <v>0</v>
      </c>
      <c r="AF87" s="67">
        <v>0</v>
      </c>
      <c r="AG87" s="67">
        <v>163814</v>
      </c>
      <c r="AH87" s="67">
        <v>163814</v>
      </c>
    </row>
    <row r="88" spans="1:34" hidden="1">
      <c r="A88" t="s">
        <v>75</v>
      </c>
      <c r="B88" t="s">
        <v>55</v>
      </c>
      <c r="C88" t="s">
        <v>56</v>
      </c>
      <c r="D88" t="s">
        <v>843</v>
      </c>
      <c r="E88" t="s">
        <v>844</v>
      </c>
      <c r="F88" t="s">
        <v>845</v>
      </c>
      <c r="G88" t="s">
        <v>155</v>
      </c>
      <c r="H88" t="s">
        <v>62</v>
      </c>
      <c r="I88" t="s">
        <v>846</v>
      </c>
      <c r="J88" t="s">
        <v>847</v>
      </c>
      <c r="K88" t="s">
        <v>65</v>
      </c>
      <c r="L88" t="s">
        <v>848</v>
      </c>
      <c r="M88" s="13">
        <v>45989.471041666657</v>
      </c>
      <c r="N88" s="13">
        <v>45989.662499999999</v>
      </c>
      <c r="O88" t="s">
        <v>159</v>
      </c>
      <c r="P88" t="s">
        <v>160</v>
      </c>
      <c r="Q88" t="s">
        <v>190</v>
      </c>
      <c r="R88" t="s">
        <v>191</v>
      </c>
      <c r="S88" t="s">
        <v>67</v>
      </c>
      <c r="T88" t="s">
        <v>68</v>
      </c>
      <c r="U88" t="s">
        <v>164</v>
      </c>
      <c r="V88" t="s">
        <v>849</v>
      </c>
      <c r="W88" t="s">
        <v>84</v>
      </c>
      <c r="X88" t="s">
        <v>850</v>
      </c>
      <c r="Y88" t="s">
        <v>109</v>
      </c>
      <c r="Z88" t="s">
        <v>73</v>
      </c>
      <c r="AA88" t="s">
        <v>87</v>
      </c>
      <c r="AB88" s="67">
        <v>1</v>
      </c>
      <c r="AC88" s="67">
        <v>0</v>
      </c>
      <c r="AD88" s="67">
        <v>0</v>
      </c>
      <c r="AE88" s="67">
        <v>0</v>
      </c>
      <c r="AF88" s="67">
        <v>0</v>
      </c>
      <c r="AG88" s="67">
        <v>65960</v>
      </c>
      <c r="AH88" s="67">
        <v>65960</v>
      </c>
    </row>
    <row r="89" spans="1:34" hidden="1">
      <c r="A89" t="s">
        <v>54</v>
      </c>
      <c r="B89" t="s">
        <v>55</v>
      </c>
      <c r="C89" t="s">
        <v>56</v>
      </c>
      <c r="D89" t="s">
        <v>851</v>
      </c>
      <c r="E89" t="s">
        <v>852</v>
      </c>
      <c r="F89" t="s">
        <v>853</v>
      </c>
      <c r="G89" t="s">
        <v>155</v>
      </c>
      <c r="H89" t="s">
        <v>62</v>
      </c>
      <c r="I89" t="s">
        <v>854</v>
      </c>
      <c r="J89" t="s">
        <v>855</v>
      </c>
      <c r="K89" t="s">
        <v>65</v>
      </c>
      <c r="L89" t="s">
        <v>856</v>
      </c>
      <c r="M89" s="13">
        <v>45990.38925925926</v>
      </c>
      <c r="N89" s="13">
        <v>45990.520833333343</v>
      </c>
      <c r="O89" t="s">
        <v>159</v>
      </c>
      <c r="P89" t="s">
        <v>160</v>
      </c>
      <c r="Q89" t="s">
        <v>190</v>
      </c>
      <c r="R89" t="s">
        <v>191</v>
      </c>
      <c r="S89" t="s">
        <v>531</v>
      </c>
      <c r="T89" t="s">
        <v>857</v>
      </c>
      <c r="U89" t="s">
        <v>164</v>
      </c>
      <c r="V89" t="s">
        <v>858</v>
      </c>
      <c r="W89" t="s">
        <v>84</v>
      </c>
      <c r="X89" t="s">
        <v>859</v>
      </c>
      <c r="Y89" t="s">
        <v>109</v>
      </c>
      <c r="Z89" t="s">
        <v>73</v>
      </c>
      <c r="AA89" t="s">
        <v>667</v>
      </c>
      <c r="AB89" s="67">
        <v>1</v>
      </c>
      <c r="AC89" s="67">
        <v>0</v>
      </c>
      <c r="AD89" s="67">
        <v>0</v>
      </c>
      <c r="AE89" s="67">
        <v>0</v>
      </c>
      <c r="AF89" s="67">
        <v>0</v>
      </c>
      <c r="AG89" s="67">
        <v>65960</v>
      </c>
      <c r="AH89" s="67">
        <v>65960</v>
      </c>
    </row>
  </sheetData>
  <autoFilter ref="A1:AH89" xr:uid="{00000000-0001-0000-0200-000000000000}">
    <filterColumn colId="25">
      <filters>
        <filter val="AEREO"/>
        <filter val="TERRESTRE/FLUVIAL"/>
      </filters>
    </filterColumn>
  </autoFilter>
  <conditionalFormatting sqref="E1:E89 E178:E1048576">
    <cfRule type="duplicateValues" dxfId="335" priority="58"/>
  </conditionalFormatting>
  <conditionalFormatting sqref="E1:E89 E178:E1048576">
    <cfRule type="duplicateValues" dxfId="221"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5"/>
  <sheetViews>
    <sheetView topLeftCell="V1" workbookViewId="0">
      <selection activeCell="AG2" sqref="AG2:AG6"/>
    </sheetView>
  </sheetViews>
  <sheetFormatPr baseColWidth="10" defaultColWidth="9.109375" defaultRowHeight="13.2"/>
  <cols>
    <col min="1" max="1" width="13" customWidth="1"/>
    <col min="2" max="2" width="29" customWidth="1"/>
    <col min="3" max="3" width="27" customWidth="1"/>
    <col min="4" max="4" width="13" customWidth="1"/>
    <col min="5" max="5" width="21" customWidth="1"/>
    <col min="6" max="6" width="12" customWidth="1"/>
    <col min="7" max="7" width="16.6640625" bestFit="1" customWidth="1"/>
    <col min="8" max="8" width="14" customWidth="1"/>
    <col min="9" max="9" width="11" customWidth="1"/>
    <col min="10" max="10" width="28" customWidth="1"/>
    <col min="11" max="11" width="10" customWidth="1"/>
    <col min="12" max="12" width="15" customWidth="1"/>
    <col min="13" max="13" width="41" customWidth="1"/>
    <col min="14" max="14" width="44" customWidth="1"/>
    <col min="15" max="16" width="11" customWidth="1"/>
    <col min="17" max="17" width="18" customWidth="1"/>
    <col min="18" max="19" width="14" customWidth="1"/>
    <col min="20" max="20" width="23" customWidth="1"/>
    <col min="21" max="21" width="18" customWidth="1"/>
    <col min="22" max="22" width="50" customWidth="1"/>
    <col min="23" max="23" width="19" customWidth="1"/>
    <col min="24" max="25" width="14" customWidth="1"/>
    <col min="26" max="26" width="18" customWidth="1"/>
    <col min="27" max="27" width="36" customWidth="1"/>
    <col min="28" max="28" width="16" customWidth="1"/>
    <col min="29" max="29" width="10" customWidth="1"/>
    <col min="30" max="30" width="17" customWidth="1"/>
    <col min="31" max="31" width="21" customWidth="1"/>
    <col min="32" max="32" width="17" customWidth="1"/>
    <col min="33" max="33" width="13" customWidth="1"/>
  </cols>
  <sheetData>
    <row r="1" spans="1:33" ht="27.6">
      <c r="A1" s="12" t="s">
        <v>23</v>
      </c>
      <c r="B1" s="12" t="s">
        <v>24</v>
      </c>
      <c r="C1" s="12" t="s">
        <v>25</v>
      </c>
      <c r="D1" s="12" t="s">
        <v>26</v>
      </c>
      <c r="E1" s="12" t="s">
        <v>27</v>
      </c>
      <c r="F1" s="12" t="s">
        <v>28</v>
      </c>
      <c r="G1" s="12" t="s">
        <v>29</v>
      </c>
      <c r="H1" s="12" t="s">
        <v>31</v>
      </c>
      <c r="I1" s="12" t="s">
        <v>32</v>
      </c>
      <c r="J1" s="12" t="s">
        <v>33</v>
      </c>
      <c r="K1" s="12" t="s">
        <v>34</v>
      </c>
      <c r="L1" s="12" t="s">
        <v>35</v>
      </c>
      <c r="M1" s="12" t="s">
        <v>142</v>
      </c>
      <c r="N1" s="12" t="s">
        <v>143</v>
      </c>
      <c r="O1" s="12" t="s">
        <v>144</v>
      </c>
      <c r="P1" s="12" t="s">
        <v>860</v>
      </c>
      <c r="Q1" s="12" t="s">
        <v>861</v>
      </c>
      <c r="R1" s="12" t="s">
        <v>38</v>
      </c>
      <c r="S1" s="12" t="s">
        <v>39</v>
      </c>
      <c r="T1" s="12" t="s">
        <v>40</v>
      </c>
      <c r="U1" s="12" t="s">
        <v>862</v>
      </c>
      <c r="V1" s="12" t="s">
        <v>148</v>
      </c>
      <c r="W1" s="12" t="s">
        <v>42</v>
      </c>
      <c r="X1" s="12" t="s">
        <v>43</v>
      </c>
      <c r="Y1" s="12" t="s">
        <v>44</v>
      </c>
      <c r="Z1" s="12" t="s">
        <v>45</v>
      </c>
      <c r="AA1" s="12" t="s">
        <v>46</v>
      </c>
      <c r="AB1" s="12" t="s">
        <v>149</v>
      </c>
      <c r="AC1" s="12" t="s">
        <v>49</v>
      </c>
      <c r="AD1" s="12" t="s">
        <v>47</v>
      </c>
      <c r="AE1" s="12" t="s">
        <v>150</v>
      </c>
      <c r="AF1" s="12" t="s">
        <v>863</v>
      </c>
      <c r="AG1" s="12" t="s">
        <v>864</v>
      </c>
    </row>
    <row r="2" spans="1:33">
      <c r="A2" t="s">
        <v>318</v>
      </c>
      <c r="B2" t="s">
        <v>209</v>
      </c>
      <c r="C2" t="s">
        <v>210</v>
      </c>
      <c r="D2" t="s">
        <v>319</v>
      </c>
      <c r="E2" t="s">
        <v>865</v>
      </c>
      <c r="F2" t="s">
        <v>866</v>
      </c>
      <c r="G2" t="s">
        <v>867</v>
      </c>
      <c r="H2" t="s">
        <v>322</v>
      </c>
      <c r="I2" t="s">
        <v>318</v>
      </c>
      <c r="J2" t="s">
        <v>868</v>
      </c>
      <c r="K2" t="s">
        <v>65</v>
      </c>
      <c r="L2" t="s">
        <v>869</v>
      </c>
      <c r="M2" s="13">
        <v>45965.703472222223</v>
      </c>
      <c r="N2" s="13">
        <v>45967.631249999999</v>
      </c>
      <c r="O2" t="s">
        <v>159</v>
      </c>
      <c r="P2" t="s">
        <v>870</v>
      </c>
      <c r="Q2" t="s">
        <v>871</v>
      </c>
      <c r="R2" t="s">
        <v>192</v>
      </c>
      <c r="S2" t="s">
        <v>192</v>
      </c>
      <c r="T2" t="s">
        <v>289</v>
      </c>
      <c r="U2" t="s">
        <v>872</v>
      </c>
      <c r="V2" t="s">
        <v>873</v>
      </c>
      <c r="W2" t="s">
        <v>84</v>
      </c>
      <c r="Y2" t="s">
        <v>109</v>
      </c>
      <c r="Z2" t="s">
        <v>73</v>
      </c>
      <c r="AA2" t="s">
        <v>327</v>
      </c>
      <c r="AB2" s="14">
        <v>1</v>
      </c>
      <c r="AC2" s="14">
        <v>0</v>
      </c>
      <c r="AD2" s="14">
        <v>0</v>
      </c>
      <c r="AE2" s="14">
        <v>0</v>
      </c>
      <c r="AF2" s="14">
        <v>65960</v>
      </c>
      <c r="AG2" s="14">
        <v>65960</v>
      </c>
    </row>
    <row r="3" spans="1:33">
      <c r="A3" t="s">
        <v>440</v>
      </c>
      <c r="B3" t="s">
        <v>89</v>
      </c>
      <c r="C3" t="s">
        <v>366</v>
      </c>
      <c r="D3" t="s">
        <v>526</v>
      </c>
      <c r="E3" t="s">
        <v>874</v>
      </c>
      <c r="F3" t="s">
        <v>875</v>
      </c>
      <c r="G3" t="s">
        <v>867</v>
      </c>
      <c r="H3" t="s">
        <v>444</v>
      </c>
      <c r="I3" t="s">
        <v>440</v>
      </c>
      <c r="J3" t="s">
        <v>876</v>
      </c>
      <c r="K3" t="s">
        <v>65</v>
      </c>
      <c r="L3" t="s">
        <v>877</v>
      </c>
      <c r="M3" s="13">
        <v>45965.703472222223</v>
      </c>
      <c r="N3" s="13">
        <v>45967.572916666657</v>
      </c>
      <c r="O3" t="s">
        <v>159</v>
      </c>
      <c r="P3" t="s">
        <v>870</v>
      </c>
      <c r="Q3" t="s">
        <v>871</v>
      </c>
      <c r="R3" t="s">
        <v>192</v>
      </c>
      <c r="S3" t="s">
        <v>192</v>
      </c>
      <c r="T3" t="s">
        <v>289</v>
      </c>
      <c r="U3" t="s">
        <v>878</v>
      </c>
      <c r="V3" t="s">
        <v>879</v>
      </c>
      <c r="W3" t="s">
        <v>84</v>
      </c>
      <c r="Y3" t="s">
        <v>109</v>
      </c>
      <c r="Z3" t="s">
        <v>73</v>
      </c>
      <c r="AA3" t="s">
        <v>449</v>
      </c>
      <c r="AB3" s="14">
        <v>1</v>
      </c>
      <c r="AC3" s="14">
        <v>0</v>
      </c>
      <c r="AD3" s="14">
        <v>0</v>
      </c>
      <c r="AE3" s="14">
        <v>0</v>
      </c>
      <c r="AF3" s="14">
        <v>65960</v>
      </c>
      <c r="AG3" s="14">
        <v>65960</v>
      </c>
    </row>
    <row r="4" spans="1:33">
      <c r="A4" t="s">
        <v>120</v>
      </c>
      <c r="B4" t="s">
        <v>121</v>
      </c>
      <c r="C4" t="s">
        <v>122</v>
      </c>
      <c r="D4" t="s">
        <v>132</v>
      </c>
      <c r="E4" t="s">
        <v>880</v>
      </c>
      <c r="F4" t="s">
        <v>881</v>
      </c>
      <c r="G4" t="s">
        <v>867</v>
      </c>
      <c r="H4" t="s">
        <v>121</v>
      </c>
      <c r="I4" t="s">
        <v>120</v>
      </c>
      <c r="J4" t="s">
        <v>882</v>
      </c>
      <c r="K4" t="s">
        <v>65</v>
      </c>
      <c r="L4" t="s">
        <v>883</v>
      </c>
      <c r="M4" s="13">
        <v>45975.515972222223</v>
      </c>
      <c r="N4" s="13">
        <v>45980.463888888888</v>
      </c>
      <c r="O4" t="s">
        <v>159</v>
      </c>
      <c r="P4" t="s">
        <v>870</v>
      </c>
      <c r="Q4" t="s">
        <v>871</v>
      </c>
      <c r="R4" t="s">
        <v>163</v>
      </c>
      <c r="S4" t="s">
        <v>163</v>
      </c>
      <c r="T4" t="s">
        <v>164</v>
      </c>
      <c r="U4" t="s">
        <v>878</v>
      </c>
      <c r="V4" t="s">
        <v>884</v>
      </c>
      <c r="W4" t="s">
        <v>84</v>
      </c>
      <c r="X4" t="s">
        <v>885</v>
      </c>
      <c r="Y4" t="s">
        <v>109</v>
      </c>
      <c r="Z4" t="s">
        <v>73</v>
      </c>
      <c r="AA4" t="s">
        <v>886</v>
      </c>
      <c r="AB4" s="14">
        <v>1</v>
      </c>
      <c r="AC4" s="14">
        <v>0</v>
      </c>
      <c r="AD4" s="14">
        <v>0</v>
      </c>
      <c r="AE4" s="14">
        <v>0</v>
      </c>
      <c r="AF4" s="14">
        <v>65960</v>
      </c>
      <c r="AG4" s="14">
        <v>65960</v>
      </c>
    </row>
    <row r="5" spans="1:33">
      <c r="A5" t="s">
        <v>120</v>
      </c>
      <c r="B5" t="s">
        <v>121</v>
      </c>
      <c r="C5" t="s">
        <v>122</v>
      </c>
      <c r="D5" t="s">
        <v>132</v>
      </c>
      <c r="E5" t="s">
        <v>904</v>
      </c>
      <c r="F5" t="s">
        <v>905</v>
      </c>
      <c r="G5" t="s">
        <v>867</v>
      </c>
      <c r="H5" t="s">
        <v>121</v>
      </c>
      <c r="I5" t="s">
        <v>120</v>
      </c>
      <c r="J5" t="s">
        <v>906</v>
      </c>
      <c r="K5" t="s">
        <v>65</v>
      </c>
      <c r="L5" t="s">
        <v>907</v>
      </c>
      <c r="M5" s="13">
        <v>45975.515972222223</v>
      </c>
      <c r="N5" s="13">
        <v>45979.595833333333</v>
      </c>
      <c r="O5" t="s">
        <v>159</v>
      </c>
      <c r="P5" t="s">
        <v>870</v>
      </c>
      <c r="Q5" t="s">
        <v>871</v>
      </c>
      <c r="R5" t="s">
        <v>163</v>
      </c>
      <c r="S5" t="s">
        <v>163</v>
      </c>
      <c r="T5" t="s">
        <v>908</v>
      </c>
      <c r="U5" t="s">
        <v>909</v>
      </c>
      <c r="V5" t="s">
        <v>910</v>
      </c>
      <c r="W5" t="s">
        <v>84</v>
      </c>
      <c r="X5" t="s">
        <v>911</v>
      </c>
      <c r="Y5" t="s">
        <v>109</v>
      </c>
      <c r="Z5" t="s">
        <v>73</v>
      </c>
      <c r="AA5" t="s">
        <v>273</v>
      </c>
      <c r="AB5" s="14">
        <v>1</v>
      </c>
      <c r="AC5" s="14">
        <v>0</v>
      </c>
      <c r="AD5" s="14">
        <v>0</v>
      </c>
      <c r="AE5" s="14">
        <v>0</v>
      </c>
      <c r="AF5" s="14">
        <v>65960</v>
      </c>
      <c r="AG5" s="14">
        <v>65960</v>
      </c>
    </row>
  </sheetData>
  <autoFilter ref="A1:AG4" xr:uid="{00000000-0009-0000-0000-000003000000}"/>
  <conditionalFormatting sqref="E1:E1048576">
    <cfRule type="duplicateValues" dxfId="220" priority="111"/>
  </conditionalFormatting>
  <conditionalFormatting sqref="E6">
    <cfRule type="duplicateValues" dxfId="219" priority="85"/>
    <cfRule type="duplicateValues" dxfId="218" priority="86"/>
    <cfRule type="duplicateValues" dxfId="217" priority="87"/>
    <cfRule type="duplicateValues" dxfId="216" priority="88"/>
    <cfRule type="duplicateValues" dxfId="215" priority="89"/>
    <cfRule type="duplicateValues" dxfId="214" priority="90"/>
    <cfRule type="duplicateValues" dxfId="213" priority="91"/>
    <cfRule type="duplicateValues" dxfId="212" priority="92"/>
    <cfRule type="duplicateValues" dxfId="211" priority="93"/>
    <cfRule type="duplicateValues" dxfId="210" priority="94"/>
    <cfRule type="duplicateValues" dxfId="209" priority="95"/>
    <cfRule type="duplicateValues" dxfId="208" priority="96"/>
    <cfRule type="duplicateValues" dxfId="207" priority="97"/>
    <cfRule type="duplicateValues" dxfId="206" priority="98"/>
    <cfRule type="duplicateValues" dxfId="205" priority="99"/>
    <cfRule type="duplicateValues" dxfId="204" priority="100"/>
    <cfRule type="duplicateValues" dxfId="203" priority="101"/>
    <cfRule type="duplicateValues" dxfId="202" priority="102"/>
    <cfRule type="duplicateValues" dxfId="201" priority="103"/>
    <cfRule type="duplicateValues" dxfId="200" priority="104"/>
    <cfRule type="duplicateValues" dxfId="199" priority="105"/>
    <cfRule type="duplicateValues" dxfId="198" priority="106"/>
    <cfRule type="duplicateValues" dxfId="197" priority="107"/>
    <cfRule type="duplicateValues" dxfId="196" priority="108"/>
  </conditionalFormatting>
  <conditionalFormatting sqref="E6:E10">
    <cfRule type="duplicateValues" dxfId="195" priority="67"/>
  </conditionalFormatting>
  <conditionalFormatting sqref="E6">
    <cfRule type="duplicateValues" dxfId="194" priority="84"/>
  </conditionalFormatting>
  <conditionalFormatting sqref="E6">
    <cfRule type="duplicateValues" dxfId="193" priority="83"/>
  </conditionalFormatting>
  <conditionalFormatting sqref="E6">
    <cfRule type="duplicateValues" dxfId="192" priority="110"/>
  </conditionalFormatting>
  <conditionalFormatting sqref="E6">
    <cfRule type="duplicateValues" dxfId="191" priority="82"/>
  </conditionalFormatting>
  <conditionalFormatting sqref="E6:E8">
    <cfRule type="duplicateValues" dxfId="190" priority="81"/>
  </conditionalFormatting>
  <conditionalFormatting sqref="E6:E8">
    <cfRule type="duplicateValues" dxfId="189" priority="80"/>
  </conditionalFormatting>
  <conditionalFormatting sqref="E6:E8">
    <cfRule type="duplicateValues" dxfId="188" priority="79"/>
  </conditionalFormatting>
  <conditionalFormatting sqref="E6:E8">
    <cfRule type="duplicateValues" dxfId="187" priority="78"/>
  </conditionalFormatting>
  <conditionalFormatting sqref="E6:E8">
    <cfRule type="duplicateValues" dxfId="186" priority="77"/>
  </conditionalFormatting>
  <conditionalFormatting sqref="E6:E9">
    <cfRule type="duplicateValues" dxfId="185" priority="76"/>
  </conditionalFormatting>
  <conditionalFormatting sqref="E6:E9">
    <cfRule type="duplicateValues" dxfId="184" priority="75"/>
  </conditionalFormatting>
  <conditionalFormatting sqref="E6:E10">
    <cfRule type="duplicateValues" dxfId="183" priority="74"/>
  </conditionalFormatting>
  <conditionalFormatting sqref="E6:E10">
    <cfRule type="duplicateValues" dxfId="182" priority="73"/>
  </conditionalFormatting>
  <conditionalFormatting sqref="E6:E10">
    <cfRule type="duplicateValues" dxfId="181" priority="72"/>
  </conditionalFormatting>
  <conditionalFormatting sqref="E6:E10">
    <cfRule type="duplicateValues" dxfId="180" priority="71"/>
  </conditionalFormatting>
  <conditionalFormatting sqref="E6:E10">
    <cfRule type="duplicateValues" dxfId="179" priority="70"/>
  </conditionalFormatting>
  <conditionalFormatting sqref="E6:E10">
    <cfRule type="duplicateValues" dxfId="178" priority="69"/>
  </conditionalFormatting>
  <conditionalFormatting sqref="E6:E10">
    <cfRule type="duplicateValues" dxfId="177" priority="68"/>
  </conditionalFormatting>
  <conditionalFormatting sqref="E6">
    <cfRule type="duplicateValues" dxfId="176" priority="109"/>
  </conditionalFormatting>
  <conditionalFormatting sqref="E7:E8">
    <cfRule type="duplicateValues" dxfId="175" priority="48"/>
    <cfRule type="duplicateValues" dxfId="174" priority="49"/>
    <cfRule type="duplicateValues" dxfId="173" priority="50"/>
    <cfRule type="duplicateValues" dxfId="172" priority="51"/>
    <cfRule type="duplicateValues" dxfId="171" priority="52"/>
    <cfRule type="duplicateValues" dxfId="170" priority="53"/>
    <cfRule type="duplicateValues" dxfId="169" priority="54"/>
    <cfRule type="duplicateValues" dxfId="168" priority="55"/>
    <cfRule type="duplicateValues" dxfId="167" priority="56"/>
    <cfRule type="duplicateValues" dxfId="166" priority="57"/>
    <cfRule type="duplicateValues" dxfId="165" priority="58"/>
    <cfRule type="duplicateValues" dxfId="164" priority="59"/>
    <cfRule type="duplicateValues" dxfId="163" priority="60"/>
    <cfRule type="duplicateValues" dxfId="162" priority="61"/>
    <cfRule type="duplicateValues" dxfId="161" priority="62"/>
    <cfRule type="duplicateValues" dxfId="160" priority="63"/>
    <cfRule type="duplicateValues" dxfId="159" priority="64"/>
    <cfRule type="duplicateValues" dxfId="158" priority="65"/>
    <cfRule type="duplicateValues" dxfId="157" priority="66"/>
  </conditionalFormatting>
  <conditionalFormatting sqref="E9">
    <cfRule type="duplicateValues" dxfId="156" priority="25"/>
    <cfRule type="duplicateValues" dxfId="155" priority="26"/>
    <cfRule type="duplicateValues" dxfId="154" priority="27"/>
    <cfRule type="duplicateValues" dxfId="153" priority="28"/>
    <cfRule type="duplicateValues" dxfId="152" priority="29"/>
    <cfRule type="duplicateValues" dxfId="151" priority="30"/>
    <cfRule type="duplicateValues" dxfId="150" priority="31"/>
    <cfRule type="duplicateValues" dxfId="149" priority="32"/>
    <cfRule type="duplicateValues" dxfId="148" priority="33"/>
    <cfRule type="duplicateValues" dxfId="147" priority="34"/>
    <cfRule type="duplicateValues" dxfId="146" priority="35"/>
    <cfRule type="duplicateValues" dxfId="145" priority="36"/>
    <cfRule type="duplicateValues" dxfId="144" priority="37"/>
    <cfRule type="duplicateValues" dxfId="143" priority="38"/>
    <cfRule type="duplicateValues" dxfId="142" priority="39"/>
    <cfRule type="duplicateValues" dxfId="141" priority="40"/>
    <cfRule type="duplicateValues" dxfId="140" priority="41"/>
    <cfRule type="duplicateValues" dxfId="139" priority="42"/>
    <cfRule type="duplicateValues" dxfId="138" priority="43"/>
    <cfRule type="duplicateValues" dxfId="137" priority="44"/>
    <cfRule type="duplicateValues" dxfId="136" priority="45"/>
    <cfRule type="duplicateValues" dxfId="135" priority="46"/>
    <cfRule type="duplicateValues" dxfId="134" priority="47"/>
  </conditionalFormatting>
  <conditionalFormatting sqref="E10">
    <cfRule type="duplicateValues" dxfId="133" priority="2"/>
    <cfRule type="duplicateValues" dxfId="132" priority="3"/>
    <cfRule type="duplicateValues" dxfId="131" priority="4"/>
    <cfRule type="duplicateValues" dxfId="130" priority="5"/>
    <cfRule type="duplicateValues" dxfId="129" priority="6"/>
    <cfRule type="duplicateValues" dxfId="128" priority="7"/>
    <cfRule type="duplicateValues" dxfId="127" priority="8"/>
    <cfRule type="duplicateValues" dxfId="126" priority="9"/>
    <cfRule type="duplicateValues" dxfId="125" priority="10"/>
    <cfRule type="duplicateValues" dxfId="124" priority="11"/>
    <cfRule type="duplicateValues" dxfId="123" priority="12"/>
    <cfRule type="duplicateValues" dxfId="122" priority="13"/>
    <cfRule type="duplicateValues" dxfId="121" priority="14"/>
    <cfRule type="duplicateValues" dxfId="120" priority="15"/>
    <cfRule type="duplicateValues" dxfId="119" priority="16"/>
    <cfRule type="duplicateValues" dxfId="118" priority="17"/>
    <cfRule type="duplicateValues" dxfId="117" priority="18"/>
    <cfRule type="duplicateValues" dxfId="116" priority="19"/>
    <cfRule type="duplicateValues" dxfId="115" priority="20"/>
    <cfRule type="duplicateValues" dxfId="114" priority="21"/>
    <cfRule type="duplicateValues" dxfId="113" priority="22"/>
    <cfRule type="duplicateValues" dxfId="112" priority="23"/>
    <cfRule type="duplicateValues" dxfId="111" priority="24"/>
  </conditionalFormatting>
  <conditionalFormatting sqref="E1:E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E50C45-46D0-4198-B1CB-9F8BDC8A096B}">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7CE73C57-F7AD-43FA-8958-97943AC93B8C}">
  <ds:schemaRefs>
    <ds:schemaRef ds:uri="http://schemas.microsoft.com/sharepoint/v3/contenttype/forms"/>
  </ds:schemaRefs>
</ds:datastoreItem>
</file>

<file path=customXml/itemProps3.xml><?xml version="1.0" encoding="utf-8"?>
<ds:datastoreItem xmlns:ds="http://schemas.openxmlformats.org/officeDocument/2006/customXml" ds:itemID="{5E877EDB-2B1A-4290-BF6A-2A9360EEF4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LIQUIDACION</vt:lpstr>
      <vt:lpstr>RESUMEN LIQUIDACIONES</vt:lpstr>
      <vt:lpstr>ADECUCACIONES</vt:lpstr>
      <vt:lpstr>INCIDENTES</vt:lpstr>
      <vt:lpst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Suramericana</dc:creator>
  <cp:lastModifiedBy>Lini Jhojana Hernandez Mora</cp:lastModifiedBy>
  <dcterms:created xsi:type="dcterms:W3CDTF">2010-11-30T07:07:28Z</dcterms:created>
  <dcterms:modified xsi:type="dcterms:W3CDTF">2025-12-03T15:50:00Z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