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
    </mc:Choice>
  </mc:AlternateContent>
  <xr:revisionPtr revIDLastSave="2" documentId="8_{E21416C6-8934-46F0-AAC3-100EC8C8970D}" xr6:coauthVersionLast="47" xr6:coauthVersionMax="47" xr10:uidLastSave="{1B6914F5-F9A1-4033-8701-B215DC923384}"/>
  <bookViews>
    <workbookView xWindow="28680" yWindow="-825" windowWidth="29040" windowHeight="15720" activeTab="1" xr2:uid="{62D52309-6677-4BA7-9394-40E0ABB8B281}"/>
  </bookViews>
  <sheets>
    <sheet name="BASE DE LIQUIDACION 2025" sheetId="1" r:id="rId1"/>
    <sheet name="RESUMEN LIQUIDACIÓN" sheetId="5" r:id="rId2"/>
    <sheet name="CENTRO DE COSTOS" sheetId="2" state="hidden" r:id="rId3"/>
    <sheet name="PUBLICIDAD_APERTURAS" sheetId="3" r:id="rId4"/>
    <sheet name="PUBLICIDAD_OC" sheetId="4"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xlnm._FilterDatabase" localSheetId="2" hidden="1">'CENTRO DE COSTOS'!$A$1:$D$23</definedName>
    <definedName name="_xlnm._FilterDatabase" localSheetId="3" hidden="1">PUBLICIDAD_APERTURAS!$A$1:$AE$126</definedName>
    <definedName name="_xlnm._FilterDatabase" localSheetId="4" hidden="1">PUBLICIDAD_OC!$A$1:$AF$152</definedName>
    <definedName name="A" localSheetId="2">#REF!</definedName>
    <definedName name="A">#REF!</definedName>
    <definedName name="ACTIVIDAD" localSheetId="2">[1]Hoja2!$P$2:$P$30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2">[6]Clientes!$A$2:$A$100</definedName>
    <definedName name="Clientes">[2]Clientes!$A$2:$A$100</definedName>
    <definedName name="COORDINADOR">[1]Hoja2!$D$2:$D$30</definedName>
    <definedName name="Coordinadores" localSheetId="2">[7]Coordinadores!$A$2:$A$1000</definedName>
    <definedName name="Coordinadores">[2]Coordinadores!$A$2:$A$1000</definedName>
    <definedName name="DOCUMENTADOR">[1]Hoja2!$A$2:$A$30</definedName>
    <definedName name="ES">[1]Hoja2!$K$2:$K$30</definedName>
    <definedName name="ESS">[1]Hoja2!$K$2:$K$30</definedName>
    <definedName name="Estado" localSheetId="2">[6]Formulas!$K$2:$K$5000</definedName>
    <definedName name="Estado">[2]Formulas!$K$2:$K$5000</definedName>
    <definedName name="ESTADOACTIVIDAD">[1]Hoja2!$M$2:$M$30</definedName>
    <definedName name="ESTADOS" localSheetId="2">'[8]Listas desplegables'!$B$1:$D$1</definedName>
    <definedName name="ESTADOS">'[9]Listas desplegables'!$B$1:$D$1</definedName>
    <definedName name="ESTADOSCIERRES">'[10]lista desplegable'!$CX$1:$DA$1</definedName>
    <definedName name="Facturacion">'[11]Listas desplegables'!$AO$1:$AR$1</definedName>
    <definedName name="FACTURACIÓN" localSheetId="2">'[8]Listas desplegables'!$Y$1:$AB$1</definedName>
    <definedName name="FACTURACIÓN">'[9]Listas desplegables'!$Y$1:$AB$1</definedName>
    <definedName name="falla">#REF!</definedName>
    <definedName name="Fallas" localSheetId="2">'[12]Listas desplegables'!$F$2:$L$2</definedName>
    <definedName name="Fallas">'[13]Listas desplegables'!$F$2:$L$2</definedName>
    <definedName name="Grupo_Falla" localSheetId="2">'[14]Listas Desplegables'!$CH$2:$CH$5</definedName>
    <definedName name="Grupo_Falla">'[15]Listas Desplegables'!$CH$2:$CH$5</definedName>
    <definedName name="inconservmanager" localSheetId="2">'[16]Listas desplegables'!$BC$2:$BC$100</definedName>
    <definedName name="inconservmanager">'[4]Listas desplegables'!$BC$2:$BC$100</definedName>
    <definedName name="INCUMPLIMIENTO" localSheetId="2">'[4]Listas desplegables'!$AK$1:$AN$1</definedName>
    <definedName name="INCUMPLIMIENTO">'[17]Listas desplegables'!$AT$1:$AX$1</definedName>
    <definedName name="LISTA" localSheetId="2">[18]Dptos!$A$1139:$A$1171</definedName>
    <definedName name="LISTA">[19]Dptos!$A$1139:$A$1171</definedName>
    <definedName name="LISTA2" localSheetId="2">#REF!</definedName>
    <definedName name="LISTA2">[20]Hoja3!$A$1:$A$26</definedName>
    <definedName name="LOLO">[21]Coordinadores!$A$2:$A$1000</definedName>
    <definedName name="solicitudes" localSheetId="2">'[11]Listas desplegables'!$U$1:$AF$1</definedName>
    <definedName name="solicitudes">'[11]Listas desplegables'!$U$1:$AF$1</definedName>
    <definedName name="Tecnicos" localSheetId="2">[6]Tecnicos!$A$2:$A$1000</definedName>
    <definedName name="Tecnicos">[2]Tecnicos!$A$2:$A$1000</definedName>
    <definedName name="Version" localSheetId="2">[22]Formulas!$I$2:$I$3</definedName>
    <definedName name="Version">[2]Formulas!$I$2:$I$3</definedName>
  </definedNames>
  <calcPr calcId="191029"/>
</workbook>
</file>

<file path=xl/calcChain.xml><?xml version="1.0" encoding="utf-8"?>
<calcChain xmlns="http://schemas.openxmlformats.org/spreadsheetml/2006/main">
  <c r="L5" i="5" l="1"/>
  <c r="L7" i="5"/>
  <c r="G4" i="5"/>
  <c r="M4" i="5"/>
  <c r="N4" i="5" s="1"/>
  <c r="H4" i="5"/>
  <c r="G3" i="5"/>
  <c r="H3" i="5" s="1"/>
  <c r="F4" i="5"/>
  <c r="F3" i="5"/>
  <c r="A1" i="5"/>
  <c r="M6" i="5"/>
  <c r="N6" i="5" s="1"/>
  <c r="F5" i="5"/>
  <c r="A4" i="5"/>
  <c r="A5" i="5" s="1"/>
  <c r="M3" i="5"/>
  <c r="M5" i="5" l="1"/>
  <c r="N5" i="5" s="1"/>
  <c r="M7" i="5"/>
  <c r="F6" i="5"/>
  <c r="N3" i="5"/>
  <c r="N7" i="5" l="1"/>
  <c r="G5" i="5" s="1"/>
  <c r="H5" i="5" s="1"/>
  <c r="H6" i="5" s="1"/>
  <c r="L8" i="1"/>
  <c r="K8" i="1"/>
  <c r="J8" i="1"/>
  <c r="I8" i="1"/>
  <c r="L7" i="1"/>
  <c r="K7" i="1"/>
  <c r="J7" i="1"/>
  <c r="I7" i="1"/>
  <c r="L6" i="1"/>
  <c r="K6" i="1"/>
  <c r="J6" i="1"/>
  <c r="I6" i="1"/>
  <c r="L5" i="1"/>
  <c r="K5" i="1"/>
  <c r="J5" i="1"/>
  <c r="I5" i="1"/>
  <c r="L4" i="1"/>
  <c r="K4" i="1"/>
  <c r="J4" i="1"/>
  <c r="I4" i="1"/>
  <c r="E4" i="1"/>
  <c r="D4" i="1"/>
  <c r="C4" i="1"/>
  <c r="B4" i="1"/>
  <c r="E3" i="1"/>
  <c r="D3" i="1"/>
  <c r="C3" i="1"/>
  <c r="B3" i="1"/>
  <c r="G6" i="5" l="1"/>
</calcChain>
</file>

<file path=xl/sharedStrings.xml><?xml version="1.0" encoding="utf-8"?>
<sst xmlns="http://schemas.openxmlformats.org/spreadsheetml/2006/main" count="4362" uniqueCount="1482">
  <si>
    <t>TARIFAS AÑO 2025</t>
  </si>
  <si>
    <t>Incremento 2025</t>
  </si>
  <si>
    <t>TIPOLOGÍA</t>
  </si>
  <si>
    <t>Instalación de avisos internos</t>
  </si>
  <si>
    <t>Instalación de avisos EXTERNOS</t>
  </si>
  <si>
    <t>Transporte de señalización y aviso de 1,50m x 50 cm.</t>
  </si>
  <si>
    <t>Total Valor Actividad</t>
  </si>
  <si>
    <t>ORDENES DE CAMBIO</t>
  </si>
  <si>
    <t>TIPO I</t>
  </si>
  <si>
    <t xml:space="preserve">Tipificación </t>
  </si>
  <si>
    <t>Descripción</t>
  </si>
  <si>
    <t>Dia actividad</t>
  </si>
  <si>
    <t>Transporte</t>
  </si>
  <si>
    <t>Envio operador Logistico</t>
  </si>
  <si>
    <t>Gestión telefónica</t>
  </si>
  <si>
    <t>TIPO II - TIPO III - TIPO IV</t>
  </si>
  <si>
    <t>Tipo I</t>
  </si>
  <si>
    <t>Metropolitano</t>
  </si>
  <si>
    <t>Tipo II</t>
  </si>
  <si>
    <t>Hasta 3 horas</t>
  </si>
  <si>
    <t>Tipo III</t>
  </si>
  <si>
    <t>De 3 a 5 horas</t>
  </si>
  <si>
    <t>Tipo IV</t>
  </si>
  <si>
    <t>Más de 5 horas</t>
  </si>
  <si>
    <t>Destino Aereo*</t>
  </si>
  <si>
    <t>Viaje en Avión</t>
  </si>
  <si>
    <t>* donde se requiera transporte aéreo o fluvial se factura adicional a tarifa TIPO IV el valor del tiquete + el 12% de admon</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</si>
  <si>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</si>
  <si>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</si>
  <si>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</si>
  <si>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</si>
  <si>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</si>
  <si>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</si>
  <si>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</si>
  <si>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</si>
  <si>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</si>
  <si>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</si>
  <si>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</si>
  <si>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</si>
  <si>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</si>
  <si>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</si>
  <si>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</si>
  <si>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</si>
  <si>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</si>
  <si>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</si>
  <si>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</si>
  <si>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</si>
  <si>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</si>
  <si>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</si>
  <si>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</si>
  <si>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</si>
  <si>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</si>
  <si>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</si>
  <si>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</si>
  <si>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</si>
  <si>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</si>
  <si>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</si>
  <si>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</si>
  <si>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</si>
  <si>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</si>
  <si>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</si>
  <si>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</si>
  <si>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</si>
  <si>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</si>
  <si>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</si>
  <si>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</si>
  <si>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</si>
  <si>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</si>
  <si>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</si>
  <si>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</si>
  <si>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</si>
  <si>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</si>
  <si>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</si>
  <si>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</si>
  <si>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</si>
  <si>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</si>
  <si>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</si>
  <si>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</si>
  <si>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</si>
  <si>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</si>
  <si>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TIPO DE APERTURA</t>
  </si>
  <si>
    <t>DEPARTAMENTO</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</si>
  <si>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</si>
  <si>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</si>
  <si>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</si>
  <si>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</si>
  <si>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</si>
  <si>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</si>
  <si>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</si>
  <si>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</si>
  <si>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</si>
  <si>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</si>
  <si>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</si>
  <si>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</si>
  <si>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</si>
  <si>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</si>
  <si>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FLANGER, DISPLAY LEGAL, DISPLAY CARTA O TABLOIDE</t>
  </si>
  <si>
    <t xml:space="preserve">INSTALACION DE AVISOS EXTERNOS </t>
  </si>
  <si>
    <t>TRANSPORTE DE AVISO  POR INSTALACION O POR NO INSTALACION (IDA-REGRESO)</t>
  </si>
  <si>
    <t>VALOR FLANGER, SEPARADOR, STICKER, DISPLAY</t>
  </si>
  <si>
    <t xml:space="preserve">VALOR INSTALACIÓN DE AVISOS EXTERNOS </t>
  </si>
  <si>
    <t>VALOR TRANSPORTE DE AVISO</t>
  </si>
  <si>
    <t>VALOR TOTAL INSTALACION DE PUBLICIDAD</t>
  </si>
  <si>
    <t>NOROCCIDENTE</t>
  </si>
  <si>
    <t>5736</t>
  </si>
  <si>
    <t>TA-25-1247964</t>
  </si>
  <si>
    <t>3007082061</t>
  </si>
  <si>
    <t>APERTURA</t>
  </si>
  <si>
    <t>CB CRECIMIENTO ALIANZA - NUEVO</t>
  </si>
  <si>
    <t>ANTIOQUIA</t>
  </si>
  <si>
    <t>SEGOVIA</t>
  </si>
  <si>
    <t>DISTRICOL PLANETARIO 2000</t>
  </si>
  <si>
    <t>REDEBAN</t>
  </si>
  <si>
    <t>FO-25-1765343 | FO-25-1751719</t>
  </si>
  <si>
    <t>AGREGADOR</t>
  </si>
  <si>
    <t>DISTRICOL</t>
  </si>
  <si>
    <t>CANCELADO | EJECUTADO/CANCELADO</t>
  </si>
  <si>
    <t>04/11/2025 ENTIDAD SOLICITA CANCELAR LA INSTALACIÓN</t>
  </si>
  <si>
    <t>SOPORTE TELEFONICO</t>
  </si>
  <si>
    <t>TIPO IV</t>
  </si>
  <si>
    <t>TERRESTRE</t>
  </si>
  <si>
    <t>ECHEVERRI ECHEVERRI EVELIN DANIELA</t>
  </si>
  <si>
    <t>27006</t>
  </si>
  <si>
    <t>TA-25-1247980</t>
  </si>
  <si>
    <t>3007082025</t>
  </si>
  <si>
    <t>CHOCO</t>
  </si>
  <si>
    <t>ACANDI</t>
  </si>
  <si>
    <t>DISTRICOL CONFITERIA VENTANITA</t>
  </si>
  <si>
    <t>FO-25-1751759</t>
  </si>
  <si>
    <t>EJECUTADO/CANCELADO</t>
  </si>
  <si>
    <t>29/10/2025 29-10 PROGRAMACIÓN REALIZADA POR LA ALIANZA| INSTALACIÓN PROGRAMADA PARA EL 2025-11-05 | 06/11/2025 SE LLEGA A SITIO, SE ENCUENTRA QUE EL COMERCIO ES UN RESTAURANTE PANADERÍA, NO SE VE COMO CONFITERÍA. ADICIONAL EN TODO EL FRENTE TIENE UN CORRESPONSAL BANCOLOMBIA Y AL LADO IZQUIERDO A 40 METROS TIENE OTRO CORRESPONSAL. SE ESCALA TEMA A COORDINADOR EL CUAL INDICA NO INSTALAR POR PROXIMIDAD ENTRE CORRESPONSALES.</t>
  </si>
  <si>
    <t>VISITA TECNICA</t>
  </si>
  <si>
    <t>TIPO V</t>
  </si>
  <si>
    <t>AEREO</t>
  </si>
  <si>
    <t>CASTRO HENAO DANIEL ESTEBAN</t>
  </si>
  <si>
    <t>SUROCCIDENTE Y EJE CAFETERO</t>
  </si>
  <si>
    <t>52399</t>
  </si>
  <si>
    <t>TA-25-1247989</t>
  </si>
  <si>
    <t>3007082042</t>
  </si>
  <si>
    <t>NARIÑO</t>
  </si>
  <si>
    <t>LA UNION</t>
  </si>
  <si>
    <t>DISTRICOL DISTRI SALSAS LOPEZ</t>
  </si>
  <si>
    <t>FO-25-1751786</t>
  </si>
  <si>
    <t>EJECUTADO</t>
  </si>
  <si>
    <t>29/10/2025 29-10 PROGRAMACIÓN REALIZADA POR LA ALIANZA| INSTALACIÓN PROGRAMADA PARA EL 2025-11-03 | 05/11/2025 SE REALIZA INSTALACIÓN DE CORRESPONSAL BANCARIO SE INSTALA VERSION SE CONFIGURA PARÁMETROS SE INICIALIZA SE REALIZA INSTALACIÓN DE PUBLICIDAD SE DICTA CAPACITACIÓN PRUEBAS DE FUNCIONAMIENTO EXITOSAS CB QUEDA OPERATIVO</t>
  </si>
  <si>
    <t>CA002301</t>
  </si>
  <si>
    <t>TIPO III</t>
  </si>
  <si>
    <t>BRAVO MADROÑERO OSCAR ESTEBAN</t>
  </si>
  <si>
    <t>TA-25-1247990</t>
  </si>
  <si>
    <t>3007082043</t>
  </si>
  <si>
    <t>DISTRICOL PAP Y MIS DEL PARQUE</t>
  </si>
  <si>
    <t>FO-25-1751788</t>
  </si>
  <si>
    <t>29/10/2025 29-10 PROGRAMACIÓN REALIZADA POR LA ALIANZA| INSTALACIÓN PROGRAMADA PARA EL 2025-11-03 | 04/11/2025 SE ESTABLECE COMUNICACIÓN CON CLIENTE SE LE INFORMA QUE POR NOVEDAD EN LA VÍA NO FUE POSIBLE REALIZAR INSTALACIÓN EL DÍA DE HOY SE PROGRAMA VISITA PARA EL DÍA DE MAÑANA 05/11 | 05/11/2025 SE LLEGA A CORRESPONSAL A REALIZAR INSTALACIÓN DE CORRESPONSAL BANCARIO SE INICIA CONFIGURACIÓN  DE DATAFONO SE VERIFICA QUE PLACA NO CONCUERDA CON TERMINAL Y NOMBRE DE CB SE ESCALA A RBM REALIZAN ACTUALIZACIÓN DE TERMINAL SE CONFIGURA PARÁMETROS SE INICIALIZA SE REALIZA INSTALACIÓN DE PUBLICIDAD SE DICTA CAPACITACIÓN PRUEBAS DE FUNCIONAMIENTO EXITOSAS CB QUEDA OPERATIVO</t>
  </si>
  <si>
    <t>CA002302</t>
  </si>
  <si>
    <t>SANTANDERES</t>
  </si>
  <si>
    <t>81736</t>
  </si>
  <si>
    <t>TA-25-1248004</t>
  </si>
  <si>
    <t>3007082067</t>
  </si>
  <si>
    <t>ARAUCA</t>
  </si>
  <si>
    <t>SARAVENA</t>
  </si>
  <si>
    <t>DISTRICOL SOLUCIONES EMPRESARI</t>
  </si>
  <si>
    <t>FO-25-1751834</t>
  </si>
  <si>
    <t>29/10/2025 29-10 PROGRAMACIÓN REALIZADA POR LA ALIANZA| INSTALACIÓN PROGRAMADA PARA EL 2025-11-06 | 31/10/2025 EN COMUNICACIÓN CON EL SEÑOR FIDEL AL MOVIL 3162733574, EN COMUNICACIÓN CON EL SEÑOR FIDEL AL MOVIL 3162733574, NO SE LE INFORMA QUE ESTAMOS A LA ESPERA DE LA DISPONIBILIDAD DEL VUELO, QUÉ ESTARÍAMOS VISITANDOLO PARA REALIZAR LA INSTALACIÓN DESPUÉS DEL MARTES 4 DE NOVIEMBRE | 04/11/2025 EN COMUNICACIÓN CON EL SEÑOR FIDEL AL MOVIL 3162733574, SE CONFIRMA CANAL A DE DATOS Y SERVICIO ELECTRICO OK, SE VALIDA DISPONIBILIDAD DE ATENCIÓN PARA EL DÍA DE HOY 4 DE NOVIEMBRE | 04/11/2025 INSTALACIÓN DE CB BANCOLOMBIA, INSTALACION DE DATAFONO LECTORA FUENTE CABLE PACTHCORD Y BASE FUENTE Y CUBRE CLAVE, SE CAPACITA SOBRE LA WEB SOMOS BANCOLOMBIA, SE CAPACITA SOBRE RETIROS DEPÓSITOS RECUADOS TRASFERENCIAS SALDO Y SE EXPLICA SOBRE CIERRE Y CUADRE DIARIO.</t>
  </si>
  <si>
    <t>CA002315</t>
  </si>
  <si>
    <t>SANTOS GONZALEZ JOHAN FABIAN</t>
  </si>
  <si>
    <t>86320</t>
  </si>
  <si>
    <t>TA-25-1248007</t>
  </si>
  <si>
    <t>3007082049</t>
  </si>
  <si>
    <t>PUTUMAYO</t>
  </si>
  <si>
    <t>ORITO</t>
  </si>
  <si>
    <t>DISTRICOL  ATLANTHA CJ</t>
  </si>
  <si>
    <t>FO-25-1751838</t>
  </si>
  <si>
    <t>29/10/2025 29-10 PROGRAMACIÓN REALIZADA POR LA ALIANZA| INSTALACIÓN PROGRAMADA PARA EL 2025-10-31 | 31/10/2025 NO ES POSIBLE VIAJAR EL DIA DE HOY HACIA EL DEPARTAMENTO DEL PUTUMAYO POR PROBLEMAS DE TRANSPORTE SE REALIZARA DESPLAZAMIENTO AL DIA MARTES . | 05/11/2025 SE VISITA EL COMERCIO PARA DAR APERTURA AL CB, SE INSTALA DATÁFONO CON MAGIC BOX, BASE, LECTORA, SE INSTALA PUBLICIDAD, SE DEJA ROLLOS, SE HACE PRUEBAS EXCEPTO DE RECAUDO POR NO TENER RECURSOS PARA HACERLO, SE CAPACITA OK, SOMOS BANCOLOMBIA OK CB OPERATIVO</t>
  </si>
  <si>
    <t>CA002316</t>
  </si>
  <si>
    <t>GUERRERO RAMIREZ OSCAR DARIO</t>
  </si>
  <si>
    <t>86865</t>
  </si>
  <si>
    <t>TA-25-1248008</t>
  </si>
  <si>
    <t>3007082070</t>
  </si>
  <si>
    <t>VALLE DEL GUAMUEZ</t>
  </si>
  <si>
    <t>DISTRICOL ESTILO REAL</t>
  </si>
  <si>
    <t>FO-25-1751843</t>
  </si>
  <si>
    <t>29/10/2025 29-10 PROGRAMACIÓN REALIZADA POR LA ALIANZA| INSTALACIÓN PROGRAMADA PARA EL 2025-10-31 | 31/10/2025 NO ES POSIBLE VIAJAR EL DIA DE HOY HACIA EL DEPARTAMENTO DEL PUTUMAYO POR PROBLEMAS DE TRANSPORTE SE REALIZARA DESPLAZAMIENTO AL DIA MARTES | 06/11/2025 SE VISITA EL COMERCIO PARA DAR APERTURA AL CB PERO NO ES POSIBLE YA QUE EL CLIENTE AUN NO TIENE LA ADECUACIÓN DE DATOS Y ENERGIA LISTOS DONDE VA A QUEDAR UBICADO EL DATAFONO, INFORMA QUE CUANDO TENGA DICHA ADECUACION INFORMARA PARA HACER LA INSTALACIÓN</t>
  </si>
  <si>
    <t>5001</t>
  </si>
  <si>
    <t>TA-25-1253196</t>
  </si>
  <si>
    <t>3007082082</t>
  </si>
  <si>
    <t>OPRAP MALL LA FRONTERA</t>
  </si>
  <si>
    <t>FO-25-1762877</t>
  </si>
  <si>
    <t>ROBUSTO</t>
  </si>
  <si>
    <t>OPRAP</t>
  </si>
  <si>
    <t>31/10/2025 31-10 SE REALIZA LLAMADA AL CLIENTE, SE HABLA CON EL SR WILLIAM CABRERA SE VALIDA DIRECCIÓN OK, CANAL OK, DISPONIBILIDAD TOTAL, SOLICITA PROGRAMAR VISITA EL 10-11-2025 POR QUE ESE DÍA COMIENZA A OPERAR EL PUNTO - COMUNICACIÓN POR WPP | 10/11/2025 SE REALIZA INSTALACIÓN DE CB ROBUSTO OK PRUEBAS OK NO SE CAPACITACIÓN CB ROBUSTO PUBLICIDAD INTERNA OK NO TELECARGA CUBRE CLAVE OK</t>
  </si>
  <si>
    <t>CA003547</t>
  </si>
  <si>
    <t>PAREJA ECHAVARRIA JHON DAVID</t>
  </si>
  <si>
    <t>TA-25-1270687</t>
  </si>
  <si>
    <t>3007082151</t>
  </si>
  <si>
    <t>DISTRICOL LA ABUNDANCIA SHALOM</t>
  </si>
  <si>
    <t>FO-25-1790280</t>
  </si>
  <si>
    <t>06/11/2025 06-11 PROGRAMACION REALIZADA POR LA ALIANZA| INSTALACIÓN PROGRAMADA PARA EL 2025-11-07 | 07/11/2025 SE INSTALA EQUIPO, SE REALIZA CAPACITACIÓN SE INSTALA PUBLICIDAD SE REALIZAN PRUEBAS EXITOSAS SERVICIO OPERATIVO OK</t>
  </si>
  <si>
    <t>DA000378</t>
  </si>
  <si>
    <t>ZAPATA LOPEZ EDWARD ASDRUBAL</t>
  </si>
  <si>
    <t>TA-25-1270688</t>
  </si>
  <si>
    <t>3007082152</t>
  </si>
  <si>
    <t>DISTRICOL MERCOFERTAS</t>
  </si>
  <si>
    <t>FO-25-1790283</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</si>
  <si>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 CAPACITACIÓN OK.</t>
  </si>
  <si>
    <t>DA000379</t>
  </si>
  <si>
    <t>BARRIENTOS HERNANDEZ CRISTIAN HORACIO</t>
  </si>
  <si>
    <t>TA-25-1270689</t>
  </si>
  <si>
    <t>3007082153</t>
  </si>
  <si>
    <t>PTM MEDELLIN THE ALBANS</t>
  </si>
  <si>
    <t>FO-25-1790289</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</si>
  <si>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t>
  </si>
  <si>
    <t>DA000380-DA000313</t>
  </si>
  <si>
    <t>TA-25-1270690</t>
  </si>
  <si>
    <t>3007082154</t>
  </si>
  <si>
    <t>PTM MEDELLIN DISTRIBUIDORA A&amp;M</t>
  </si>
  <si>
    <t>FO-25-1790295</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</si>
  <si>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
UNA VEZ APROBADO EL ESPACIO, SE PROCEDIÓ CON LA INSTALACIÓN DE LOS EQUIPOS CORRESPONDIENTES. SE REALIZARON PRUEBAS FUNCIONALES, TODAS CON RESULTADOS EXITOSOS, GARANTIZANDO EL CORRECTO DESEMPEÑO DE LOS DISPOSITIVOS.
POSTERIORMENTE, SE BRINDÓ CAPACITACIÓN AL USUARIO SOBRE EL USO DE LA PLATAFORMA SOMOS BANCOLOMBIA, INCLUYENDO EL MANEJO DE LOS EQUIPOS Y LA EJECUCIÓN DE TRANSACCIONES. TAMBIÉN SE INSTALARON LOS AVISOS INFORMATIVOS SEGÚN LAS INDICACIONES DEL CLIENTE.
FINALIZADA LA INTERVENCIÓN, EL PUNTO QUEDÓ COMPLETAMENTE OPERATIVO Y LISTO PARA INICIAR ACTIVIDADES.</t>
  </si>
  <si>
    <t>DA000381- DA000314</t>
  </si>
  <si>
    <t>MARTINEZ TOVAR OSCAR DAVID</t>
  </si>
  <si>
    <t>TA-25-1270692</t>
  </si>
  <si>
    <t>3007082155</t>
  </si>
  <si>
    <t>PTM MEDELLIN TU CYBER ESPACIO</t>
  </si>
  <si>
    <t>FO-25-1790300</t>
  </si>
  <si>
    <t>06/11/2025 06-11 PROGRAMACION REALIZADA POR LA ALIANZA| INSTALACIÓN PROGRAMADA PARA EL 2025-11-08 | 10/11/2025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
UNA VEZ APROBADO EL ESPACIO, SE PROCEDIÓ CON LA INSTALACIÓN DE LOS EQUIPOS CORRESPONDIENTES. SE REALIZARON PRUEBAS FUNCIONALES, TODAS CON RESULTADOS EXITOSOS, GARANTIZANDO EL CORRECTO DESEMPEÑO DE LOS DISPOSITIVOS.
POSTERIORMENTE, SE BRINDÓ CAPACITACIÓN AL USUARIO SOBRE EL USO DE LA PLATAFORMA SOMOS BANCOLOMBIA, INCLUYENDO EL MANEJO DE LOS EQUIPOS Y LA EJECUCIÓN DE TRANSACCIONES. TAMBIÉN SE INSTALARON LOS AVISOS INFORMATIVOS SEGÚN LAS INDICACIONES DEL CLIENTE.
FINALIZADA LA INTERVENCIÓN, EL PUNTO QUEDÓ COMPLETAMENTE OPERATIVO Y LISTO PARA INICIAR ACTIVIDADES.</t>
  </si>
  <si>
    <t>DA000382- DA000315</t>
  </si>
  <si>
    <t>5088</t>
  </si>
  <si>
    <t>TA-25-1270694</t>
  </si>
  <si>
    <t>3007082149</t>
  </si>
  <si>
    <t>BELLO</t>
  </si>
  <si>
    <t>DISTRICOL ENTRECERRO</t>
  </si>
  <si>
    <t>FO-25-1790303</t>
  </si>
  <si>
    <t>06/11/2025 06-11 PROGRAMACION REALIZADA POR LA ALIANZA| INSTALACIÓN PROGRAMADA PARA EL 2025-11-07 | 11/11/2025 SE INSTALA PUBLICIDAD Y EQUIPOS A PETICIÓN DEL USUARIO, SE DEJAN SERVICIOS FUNCIONANDO CORRECTAMENTE Y CAPACITACIÓN OK</t>
  </si>
  <si>
    <t>DA000383</t>
  </si>
  <si>
    <t>5212</t>
  </si>
  <si>
    <t>TA-25-1270696</t>
  </si>
  <si>
    <t>3007082126</t>
  </si>
  <si>
    <t>COPACABANA</t>
  </si>
  <si>
    <t>DISTRICOL LIDER</t>
  </si>
  <si>
    <t>FO-25-1790312</t>
  </si>
  <si>
    <t>06/11/2025 06-11 PROGRAMACION REALIZADA POR LA ALIANZA| INSTALACIÓN PROGRAMADA PARA EL 2025-11-07 | 07/11/2025 SE INSTALA PUBLICIDAD Y EQUIPOS A PETICIÓN DEL USUARIO, SERVICIOS FUNCIONANDO CORRECTAMENTE Y CAPACITACIÓN OK</t>
  </si>
  <si>
    <t>DA000384</t>
  </si>
  <si>
    <t>5318</t>
  </si>
  <si>
    <t>TA-25-1270697</t>
  </si>
  <si>
    <t>3007082150</t>
  </si>
  <si>
    <t>GUARNE</t>
  </si>
  <si>
    <t>DISTRICOL TECNOVA GUARNE</t>
  </si>
  <si>
    <t>FO-25-1790317</t>
  </si>
  <si>
    <t>06/11/2025 06-11 PROGRAMACION REALIZADA POR LA ALIANZA| INSTALACIÓN PROGRAMADA PARA EL 2025-11-07 | 07/11/2025 SE HACE IMPLEMENTACION OK EQUIPOS OPERATIVOS PRUEBAS EXITOSAS SOMOS BANCOLOMBIA INACTIVO</t>
  </si>
  <si>
    <t>DA00385</t>
  </si>
  <si>
    <t>TIPO II</t>
  </si>
  <si>
    <t>DIAZ ZABALA FRANCIS DUBAN</t>
  </si>
  <si>
    <t>13670</t>
  </si>
  <si>
    <t>TA-25-1270698</t>
  </si>
  <si>
    <t>3007082141</t>
  </si>
  <si>
    <t>BOLIVAR</t>
  </si>
  <si>
    <t>SAN PABLO</t>
  </si>
  <si>
    <t>DISTRICOL PAPELERIA MARIETH</t>
  </si>
  <si>
    <t>FO-25-1790322</t>
  </si>
  <si>
    <t>06/11/2025 06-11 PROGRAMACION REALIZADA POR LA ALIANZA| INSTALACIÓN PROGRAMADA PARA EL 2025-11-10 | 10/11/2025 SE REALIZA APERTURA CB BANCOLOMBIA PURO, SE INSTALA AVISO EXTERIOR, FLANGED, DISPLAY, BASE, DATÁFONO, LECTOR DE BARRAS,CUBRE CLAVES, SE HACE CREACION DE USUARIOS OK, CAPACITACIÓN GENERAL COMPLETA, SOMOS BANCOLOMBIA OK, PRUEBAS OK</t>
  </si>
  <si>
    <t>DA000386</t>
  </si>
  <si>
    <t>TERRESTRE/FLUVIAL</t>
  </si>
  <si>
    <t>GONZALEZ ESTUPIÑAN YEISON WALTER ANTONIO</t>
  </si>
  <si>
    <t>TA-25-1270699</t>
  </si>
  <si>
    <t>3007082142</t>
  </si>
  <si>
    <t>DISTRICOL SERVISMART</t>
  </si>
  <si>
    <t>FO-25-1790328</t>
  </si>
  <si>
    <t>06/11/2025 06-11 PROGRAMACION REALIZADA POR LA ALIANZA| INSTALACIÓN PROGRAMADA PARA EL 2025-11-11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t>
  </si>
  <si>
    <t>DA000387</t>
  </si>
  <si>
    <t>TA-25-1270700</t>
  </si>
  <si>
    <t>3007082143</t>
  </si>
  <si>
    <t>DISTRICOL DAYGLAT</t>
  </si>
  <si>
    <t>FO-25-1790336</t>
  </si>
  <si>
    <t>06/11/2025 06-11 PROGRAMACION REALIZADA POR LA ALIANZA| INSTALACIÓN PROGRAMADA PARA EL 2025-11-11 | 11/11/2025 SE REALIZA CONTACTO TELEFÓNICO CON LA SEÑORA LILIANA RADA AL NÚMERO DE CONTACTO 3168226289 QUIEN COMENTA QUE TIENE LA DISPONIBLIDAD PARA ATENDERNOS, ADICIONAL SE LE PREGUNTA SOBRE SI HAY CERCANIA CON OTROS CB, LA CUAL ARGUMENTA QUE NO HAY PUNTOS CERCANOS NI TAMPOCO MANEJA DE OTROS BANCOS EN EL PUNTO DONDE SE INSTALA EL CORRESPONSAL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t>
  </si>
  <si>
    <t>DA000388</t>
  </si>
  <si>
    <t>15224</t>
  </si>
  <si>
    <t>TA-25-1270701</t>
  </si>
  <si>
    <t>3007082135</t>
  </si>
  <si>
    <t>BOYACA</t>
  </si>
  <si>
    <t>CUCAITA</t>
  </si>
  <si>
    <t>PTM CUCAITA M Y S COMUNICACION</t>
  </si>
  <si>
    <t>FO-25-1790341</t>
  </si>
  <si>
    <t>06/11/2025 06-11 PROGRAMACION REALIZADA POR LA ALIANZA| INSTALACIÓN PROGRAMADA PARA EL 2025-11-10 | 10/11/2025 SE INTENTA COMUNICACIÓN CON EL SEÑOR NELSON SUAREZ AL NÚMERO DE CONTACTO 3213096808 PARA CONFIRMAR LA DISPONIBILIDAD PARA EL DÍA DE HOY NO SE LOGRA CONTACTO SE DEJA MENSAJE POR WHATSAPP A ESPERA DE UNA RESPUESTA. | 10/11/2025 SE CONTACTA CLIENTE QUIÉN CONFIRMA TENER LA DISPONIBILIDAD PARA ATENDER LA VISITA EL DÍA DE HOY ROUTER DE INTERNET CERCA A DONDE VA QUEDAR INSTALADO EL DATÁFONO | 10/11/2025 SE EJECUTA APERTURA BANCOLOMBIA EXITOSA RED RBM INSTALADO EQUIPOS Y PUBLICIDAD PERSONAL CAPACITADO PRUEBAS OK CLIENTE CONFORME</t>
  </si>
  <si>
    <t>DA000389</t>
  </si>
  <si>
    <t>RODRIGUEZ MURCIA YERSON IVAN</t>
  </si>
  <si>
    <t>COSTA</t>
  </si>
  <si>
    <t>23675</t>
  </si>
  <si>
    <t>TA-25-1270702</t>
  </si>
  <si>
    <t>3007082139</t>
  </si>
  <si>
    <t>CORDOBA</t>
  </si>
  <si>
    <t>SAN BERNARDO DEL VIENTO</t>
  </si>
  <si>
    <t>DISTRICOL CALZADO LA TRONCAL</t>
  </si>
  <si>
    <t>FO-25-1790346</t>
  </si>
  <si>
    <t>06/11/2025 06-11 PROGRAMACION REALIZADA POR LA ALIANZA| INSTALACIÓN PROGRAMADA PARA EL 2025-11-07 | 07/11/2025 SE REALIZA INSTALACIÓN DEL CB BANCOLOMBIA, SE CREAN USUARIOS (OPERADOR Y ADMINISTRADOR )SE CAPACITA AL CLIENTE EN EL MANEJO DEL DATAFONO  SE REALIZAN PRUEBAS EXITOSA, SE INSTALA AVISO EXTERIOR, FLANGER, DISPLAY HORARIO. SE ENTREGAN 40 ROLLOS CB OPERANDO CON NORMALIDAD</t>
  </si>
  <si>
    <t>DA000391</t>
  </si>
  <si>
    <t>ARRAZOLA HERNANDEZ NICOLAS AUGUSTO</t>
  </si>
  <si>
    <t>CUNDINAMARCA</t>
  </si>
  <si>
    <t>25754</t>
  </si>
  <si>
    <t>TA-25-1270703</t>
  </si>
  <si>
    <t>3007082146</t>
  </si>
  <si>
    <t>SOACHA</t>
  </si>
  <si>
    <t>PTM SOACHA LA MONA.ES</t>
  </si>
  <si>
    <t>FO-25-1790353</t>
  </si>
  <si>
    <t>06/11/2025 06-11 PROGRAMACION REALIZADA POR LA ALIANZA| INSTALACIÓN PROGRAMADA PARA EL 2025-11-07 | 07/11/2025 NO SE PUEDE CONCLUIR INSTALACIÓN YA QUE LA TERMINAL DE CB NO HA SUBIDO EN BASE 24 PARA PODER CARGARLA Y PODER EJECUTAR EL CORRESPONSAL. SE REALIZA ESCALAMIENTO A COORDINADOR Y SE VISITARÁ NUEVAMENTE EL DÍA LUNES 10 DE NOVIEMBRE EN HORAS DE LA MAÑANA, CLIENTE COMPRENDE | 10/11/2025 INSTALACIÓN BANCOLOMBIA CON PUBLICIDAD DATAFONO LECTORA ROLLOS BASE FUENTE DATOS SERVICIO OPERATIVO PRUEBAS OK TRNA RBM SE INSTALA CUBRE TECLADO SOLO SE REALIZA CONSULTA DE SALDO, NO HAY COMO HACER RETIRO Y CONSIGNACIÓN</t>
  </si>
  <si>
    <t>DA000392</t>
  </si>
  <si>
    <t>BUSTOS MORA DIEGO MANUEL</t>
  </si>
  <si>
    <t>44090</t>
  </si>
  <si>
    <t>TA-25-1270707</t>
  </si>
  <si>
    <t>3007082130</t>
  </si>
  <si>
    <t>LA GUAJIRA</t>
  </si>
  <si>
    <t>DIBULLA</t>
  </si>
  <si>
    <t>PTM DIBULLA PAPELERIA Y VARIED</t>
  </si>
  <si>
    <t>FO-25-1790361</t>
  </si>
  <si>
    <t>06/11/2025 06-11 PROGRAMACION REALIZADA POR LA ALIANZA| INSTALACIÓN PROGRAMADA PARA EL 2025-11-10 | 12/11/2025 SE REALIZA APERTURA DE CORRESPONSAL BANCARIO</t>
  </si>
  <si>
    <t>DA000393 - DA000318</t>
  </si>
  <si>
    <t>THOMAS  CAMPO SIGIFREDO SEGUNDO</t>
  </si>
  <si>
    <t>47001</t>
  </si>
  <si>
    <t>TA-25-1270708</t>
  </si>
  <si>
    <t>3007082145</t>
  </si>
  <si>
    <t>MAGDALENA</t>
  </si>
  <si>
    <t>PTM SANTA MARTA VARIEDADES SAM</t>
  </si>
  <si>
    <t>FO-25-1790365</t>
  </si>
  <si>
    <t>06/11/2025 06-11 PROGRAMACION REALIZADA POR LA ALIANZA| INSTALACIÓN PROGRAMADA PARA EL 2025-11-07 | 07/11/2025 SE REALIZA APERTURA DE CORRSPONAL BANCARIO</t>
  </si>
  <si>
    <t>DA000394</t>
  </si>
  <si>
    <t>52001</t>
  </si>
  <si>
    <t>TA-25-1270709</t>
  </si>
  <si>
    <t>3007082137</t>
  </si>
  <si>
    <t>DISTRICOL ALM VAR LA 16 PASTO</t>
  </si>
  <si>
    <t>FO-25-1790369</t>
  </si>
  <si>
    <t>06/11/2025 06-11 PROGRAMACION REALIZADA POR LA ALIANZA| INSTALACIÓN PROGRAMADA PARA EL 2025-11-07 | 10/11/2025 SE REALIZÓ LA INSTALACIÓN DE EQUIPOS PUBLICIDAD Y ACCESORIOS PARA APERTURA CB BANCOLOMBIA SE DIO CAPACITACIÓN MANEJO DE DATÁFONO CB Y SOMOS BANCOLOMBIA (ESTE ÚLTIMO NO SE PUDO INGRESAR PORQUE EL CORREO INSCRITO NO ESTÁ ACTIVO, NO PERMITE GENERAR CREDENCIALES) SE EJECUTAN PRUEBAS TX EXITOSAS QUEDA OPERATIVO</t>
  </si>
  <si>
    <t>DA000395</t>
  </si>
  <si>
    <t>REMICIO AMADO JOHN HEBER</t>
  </si>
  <si>
    <t>TA-25-1270711</t>
  </si>
  <si>
    <t>3007082138</t>
  </si>
  <si>
    <t>DISTRICOL LONDOÑO CELULARES</t>
  </si>
  <si>
    <t>FO-25-1790377</t>
  </si>
  <si>
    <t>06/11/2025 06-11 PROGRAMACION REALIZADA POR LA ALIANZA| INSTALACIÓN PROGRAMADA PARA EL 2025-11-07 | 07/11/2025 SE REALIZÓ LA INSTALACIÓN DE EQUIPOS PUBLICIDAD Y ACCESORIOS PARA APERTURA CB BANCOLOMBIA SE DIO CAPACITACIÓN MANEJO DE DATÁFONO CB Y SOMOS BANCOLOMBIA (ESTE ÚLTIMO NO GENERA CONTRASEÑA NO LLEGA CÓDIGO VERIFICACIÓN AL CORREO, CORREO NO ACTIVO), SE REALIZO PRUEBAS TX EXITOSAS QUEDA OPERATIVO.</t>
  </si>
  <si>
    <t>DA000396</t>
  </si>
  <si>
    <t>54001</t>
  </si>
  <si>
    <t>TA-25-1270712</t>
  </si>
  <si>
    <t>3007082127</t>
  </si>
  <si>
    <t>NORTE DE SANTANDER</t>
  </si>
  <si>
    <t>DISTRICOL FERRETERIA CORONDOS</t>
  </si>
  <si>
    <t>FO-25-1790380</t>
  </si>
  <si>
    <t>06/11/2025 06-11 PROGRAMACION REALIZADA POR LA ALIANZA| INSTALACIÓN PROGRAMADA PARA EL 2025-11-10 | 10/11/2025 SE COMUNICA CON EL CLIENTE IVAN CORONEL AL #3114754727,  CONFIRMA CONECIONES OK,SE PROGRAMA VISITA EN SITIO. | 10/11/2025 SE VISITA COMERCIO, SE REALIZA APERTURA EXITOSA, SE INSTALA DATAFONO, BASE, SCANNER, AVISO EXTERIOR, PUBLICIDAD DEL BANCO, SE  CAPACITA PERSONAL, PRUEBAS Y CIERRES OK ,CB OPERATIVO.</t>
  </si>
  <si>
    <t>DA000397</t>
  </si>
  <si>
    <t>NARANJO AFANADOR RUBEN JESUS</t>
  </si>
  <si>
    <t>TA-25-1270713</t>
  </si>
  <si>
    <t>3007082128</t>
  </si>
  <si>
    <t>DISTRICOL AG EL BAUL DORADO</t>
  </si>
  <si>
    <t>FO-25-1790387</t>
  </si>
  <si>
    <t>06/11/2025 06-11 PROGRAMACION REALIZADA POR LA ALIANZA| INSTALACIÓN PROGRAMADA PARA EL 2025-11-10 | 10/11/2025 SE REALIZA VISITA, SE REALIZA APERTURA DE CB, SE INSTALA DATÁFONO CON ACCESORIOS, SE INSTALA ÚLTIMA VERSIÓN, SE CREAN USUARIOS OK, SE CAPACITA COMERCIO, SE REALIZAN PRUEBAS Y CIERRES OK, SE INSTALA PUBLICIDAD Y AVISO EXTERIOR.</t>
  </si>
  <si>
    <t>DA000398</t>
  </si>
  <si>
    <t>PACHECO BUITRAGO JAVIER ALONSO</t>
  </si>
  <si>
    <t>TA-25-1270715</t>
  </si>
  <si>
    <t>3007082129</t>
  </si>
  <si>
    <t>DISTRICOL IDEAL HOUSE REAL EST</t>
  </si>
  <si>
    <t>FO-25-1790393</t>
  </si>
  <si>
    <t>06/11/2025 06-11 PROGRAMACION REALIZADA POR LA ALIANZA| INSTALACIÓN PROGRAMADA PARA EL 2025-11-10 | 10/11/2025 SE REALIZÓ LLAMADA TELEFÓNICA AL NÚMERO 3103389859 SE HABLÓ CON LA SRA YAKNEL MANIFIESTA QUE LA VISITEMOS EN HORAS DE LA TARDE YA QUE ESTÁ DISPONIBLE DESPUÉS DE LA 2PM | 11/11/2025 SE REALIZA VISITA AL COMERCIO Y SE HIZO INSTALACIÓN DE DATAFONO LECTORA CABLEADO IDENTIFICADOR DE PUNTO CAPACITACIÓN SOMOS BANCOLOMBIA OK PUBLICIDAD BANCOLOMBIA INSTALADA OK PRUEBAS EXITOSAS</t>
  </si>
  <si>
    <t>DA000399</t>
  </si>
  <si>
    <t>MORA VEGA JEAMPIER</t>
  </si>
  <si>
    <t>54800</t>
  </si>
  <si>
    <t>TA-25-1270716</t>
  </si>
  <si>
    <t>3007082147</t>
  </si>
  <si>
    <t>TEORAMA</t>
  </si>
  <si>
    <t>DISTRICOL DISTRIBUIDORA OCHOA</t>
  </si>
  <si>
    <t>FO-25-1790398</t>
  </si>
  <si>
    <t>06/11/2025 06-11 PROGRAMACION REALIZADA POR LA ALIANZA| INSTALACIÓN PROGRAMADA PARA EL 2025-11-10 | 10/11/2025 SE REALIZA LLAMADA TELEFÓNICA AL NÚMERO 3104305464 SE HABLÓ CON EL SR EUDIS SE LE INDICA QUE POR MOTIVO DE ORDEN PÚBLICO EN LA ZONA DEL CATATUMBO, NO SE ESTÁ REALIZANDO DESPLAZAMIENTOS HASTA LOS COMERCIO, SE LE PLANTEA UNA SOLUCIÓN EN UN PUNTO INTERMEDIO EN EL CASO SERÍA (OCAÑA) EL CLIENTE ACCEDE A LA PROPUESTA, QUEDA PENDIENTE CONFIRMAR HORA Y FECHA, SE ESCALA CASO CON EL COORDINADOR | 10/11/2025 EL SEÑOR EUDIS OCHOA CÁCERES, IDENTIFICADO CON CÉDULA NO. 1.067.590.373, CONFIRMA QUE EL DÍA MIÉRCOLES A LAS 9:00 A.M. PODRÁ ATENDERNOS EN EL MUNICIPIO DE OCAÑA.
TENIENDO EN CUENTA QUE EL MUNICIPIO DE TEORAMA HACE PARTE DE LA ZONA DEL CATATUMBO, SOLICITAMOS MUY RESPETUOSAMENTE QUE LA ATENCIÓN PUEDA REALIZARSE EN EL MUNICIPIO DE OCAÑA,
CON EL FIN DE GARANTIZAR LA INTEGRIDAD DEL PERSONAL TÉCNICO Y ASÍ PODER PROCEDER CON LA IMPLEMENTACIÓN DEL PUNTO DE MANERA SEGURA Y EFECTIVA. | 13/11/2025 SE REALIZA VISITA A LA DIRECCIÓN ASIGNADA POR EL CLIENTE PARA LA ENTREGA DE CORRESPONSAL DISTRICOL EN EL MUNICIPIO DE OCAÑA ( CLL 31# 43-02 LOTE PISO 1 BARRIO LOS SAUCES)  YA QUE TEORAMA HACE PARTE DE LA ZONA DEL CATATUMBO, SE REALIZA ENTREGA DE DATAFONO, LECTORA, CABLEADO, IDENTIFICADOR DE PUNTO, PUBLICIDAD BANCOLOMBIA PRUEBAS EXITOSAS CORRESPONSAL SE ENVÍA BLOQUEADO HASTA QUE CLIENTE CONFIRME LLEGADA DEL CORRESPONSAL A LA DIRECCIÓN EXACTA.
COMERCIO SIN AVISO PUBLICITARIO, SIN EMBARGO SI ES EL MISMO OBJETIVO COMERCIAL, LA DIRECCION COINCIDE Y LA CÁMARA DE COMERCIO TAMBIEN TIENE EL MISMO NOMBRE DE LISTA DE CHEQUEO.</t>
  </si>
  <si>
    <t>DA000400</t>
  </si>
  <si>
    <t>54810</t>
  </si>
  <si>
    <t>TA-25-1270717</t>
  </si>
  <si>
    <t>3007082148</t>
  </si>
  <si>
    <t>TIBU</t>
  </si>
  <si>
    <t>DISTRICOL SOLDECO RUIZ</t>
  </si>
  <si>
    <t>FO-25-1790405</t>
  </si>
  <si>
    <t>06/11/2025 06-11 PROGRAMACION REALIZADA POR LA ALIANZA| INSTALACIÓN PROGRAMADA PARA EL 2025-11-18 | 14/11/2025 SE LLAMA AL 3219334669 Y SE HABLA CON EL SEÑOR DEINER RUIZ QUIEN NOS INFORMA QUE SE ENCUENTRA EN LA CIUDAD DE CUCUTA, SE PLANIFICA ENTREGA DE EQUIPOS Y CAPACITACIÓN EN LA BODEGA CUCUTA DESPUÉS DE LAS 9:00 AM, POR MOTIVO DE ORDEN PÚBLICO EN EL MUNICIPIO DE TIBU. | 18/11/2025 SE REALIZA INSTALACION EN LA BODEGA DEL MUNICIPIO DE CUCUTA POR TEMAS DE ORDEN PÚBLICO EN LA ZONA DEL CATATUMBO, SE INSTALAN DATAFONO, LECTOR, MAGICBOX 2600, ACCESORIOS, PUBLICIDAD ENTREGADA AL CLIENTE, SE CAPACITA SE REALIZAN CIERRES Y PRUEBAS OK.</t>
  </si>
  <si>
    <t>DA000401</t>
  </si>
  <si>
    <t>TORRES MANTILLA JOSE DANIEL</t>
  </si>
  <si>
    <t>66170</t>
  </si>
  <si>
    <t>TA-25-1270718</t>
  </si>
  <si>
    <t>3007082131</t>
  </si>
  <si>
    <t>RISARALDA</t>
  </si>
  <si>
    <t>DOSQUEBRADAS</t>
  </si>
  <si>
    <t>PTM DOSQUEBRADAS PETVITALIA</t>
  </si>
  <si>
    <t>FO-25-1790411</t>
  </si>
  <si>
    <t>06/11/2025 06-11 PROGRAMACION REALIZADA POR LA ALIANZA| INSTALACIÓN PROGRAMADA PARA EL 2025-11-07 | 07/11/2025 SE CANCELA LA APERTURA PARA EL DÍA DE HOY YA QUE NO ES POSIBLE  INICIALIZAR LA TERMINAL DEL CB POR INCONVENIENTE QUE HUBO CON REDEBAN ASOCIADO LAS TERMINALES. | 08/11/2025 VISITAMOS COMERCIO REALIZAMOS INSTALACIÓN DE DATÁFONO CON LECTOR DE BARRAS LO CONFIGURAMOS Y REALIZAMOS PRUEBAS OK INSTALAMOS TODA LA PUBLICIDAD, SOLO HACEMOS PRUEBAS DE CONSULTA DE SALDO YA QUE EL CLIENTE NO TIENE COMO HACER LAS OTRAS PRUEBAS.</t>
  </si>
  <si>
    <t>DA000402-DA000320</t>
  </si>
  <si>
    <t>ARROYAVE CANO MANUEL GUILLERMO</t>
  </si>
  <si>
    <t>68001</t>
  </si>
  <si>
    <t>TA-25-1270719</t>
  </si>
  <si>
    <t>3007082122</t>
  </si>
  <si>
    <t>SANTANDER</t>
  </si>
  <si>
    <t>DISTRICOL ANTONIA SANTOS</t>
  </si>
  <si>
    <t>FO-25-1790419</t>
  </si>
  <si>
    <t>06/11/2025 06-11 PROGRAMACION REALIZADA POR LA ALIANZA| INSTALACIÓN PROGRAMADA PARA EL 2025-11-07 | 07/11/2025 SE REALIZA LLAMADA Y CONTACTO POR WHATSAPP AL NÚMERO 3163503259 PARA PODER TENER COMUNICACIÓN CON LA SRA SILVIA JULIANA CAMPOS Y NO FUE POSIBLE, SE INSISTIRA NUEVAMENTE | 07/11/2025 SE LOGRO COMUNICACIÓN CON LA SRA SILVIA CAMPOS AL NÚMERO DE CONTACTO 3163503259, QUIEN COMENTA QUE EN LA DIRECCIÓN ESTARA LA PERSONA ENCARGADA QUIEN NOS RECIBIRA PARA PODER REALIZAR LA ACTIVIDAD DE IMPLEMENTACIÓN A PARTIR DE LAS 9 AM | 07/11/2025 SE REALIZA APERTURA CB BANCOLOMBIA PURO, SE INSTALA, AVISO EXTERIOR, FLANGED, DISPLAY, BASE , DATÁFONO, MÁGIC BOX, PINPAD, CUBRE CLAVES.
SE HACE CAPACITACIÓN GENERAL COMPLETA, MANEJO DEL EQUIPO, CREACIÓN DE USUARIOS A GUSTO DEL CLIENTE, SE HACEN PRUEBAS DEJANDO TODO OK , PORTAL DE SAMO BANCOLOMBIA NO SE PUDO ABRIR POR CUESTIONES DE ACTUALIZACIÓN DE CORREO SE HACE LA CAPACITACIÓN CON EL USUARIO Y CLAVE QUE SE MANEJA DE PRUEBA EXPLICANDO EL FUNCIONAMIENTO</t>
  </si>
  <si>
    <t>DA000403</t>
  </si>
  <si>
    <t>68689</t>
  </si>
  <si>
    <t>TA-25-1270721</t>
  </si>
  <si>
    <t>3007082144</t>
  </si>
  <si>
    <t>SAN VICENTE DE CHUCURI</t>
  </si>
  <si>
    <t>DISTRICOL SUPERMARKET AMIGA</t>
  </si>
  <si>
    <t>FO-25-1790424</t>
  </si>
  <si>
    <t>06/11/2025 06-11 PROGRAMACION REALIZADA POR LA ALIANZA| INSTALACIÓN PROGRAMADA PARA EL 2025-11-07 | 07/11/2025 SE INTENTA EN COMUNICACIÓN CON CLIENTE AL 3138136410 Y DE LOGRA COMUNICACIÓN A LAS 10:00 AM, INFORMA TENER DISPONIBILIDAD Y CANAL DE DATOS DISPONIBLE, SE INICIA DESPLAZAMIENTO | 07/11/2025 SE INSTALA DATÁFONO, LECTOR DE BARRAS, MAGIBOX, BASE DATÁFONO, 40 ROLLOS, PASCORD, CUMBRE CLAVE, SE CAPACITA CORRESPONSAL, SOMOS BANCOLOMBIA, SE ENTREGA MANUAL OPERATIVO REDEBAN, PRUEBAS EXITOSA.</t>
  </si>
  <si>
    <t>DA000404</t>
  </si>
  <si>
    <t>MARTINEZ FLOREZ DONIS ALBERTO</t>
  </si>
  <si>
    <t>REMOTAS</t>
  </si>
  <si>
    <t>73001</t>
  </si>
  <si>
    <t>TA-25-1270724</t>
  </si>
  <si>
    <t>3007082133</t>
  </si>
  <si>
    <t>TOLIMA</t>
  </si>
  <si>
    <t>DISTRICOL SUPERTIENDA JESSICA</t>
  </si>
  <si>
    <t>FO-25-1790430</t>
  </si>
  <si>
    <t>06/11/2025 06-11 PROGRAMACION REALIZADA POR LA ALIANZA| INSTALACIÓN PROGRAMADA PARA EL 2025-11-10 | 10/11/2025 SE REALIZA INSTALACIÓN DE CB BANCOLOMBIA, SE CAPACITA A SANDRA ROMERO SOBRE EL MANEJO DEL CB; SE INSTALA PUBLICIDAD INCLUIDO HORARIO Y OTROS LUGARES PRUEBAS OK SE INSTALA CUBRE CLAVE.</t>
  </si>
  <si>
    <t>DA000405</t>
  </si>
  <si>
    <t>BARRAGAN TAFUR EDWIN ESTEBAN</t>
  </si>
  <si>
    <t>TA-25-1270726</t>
  </si>
  <si>
    <t>3007082134</t>
  </si>
  <si>
    <t>PTM IBAGUE DROGUERIA SUPER ECO</t>
  </si>
  <si>
    <t>FO-25-1790436</t>
  </si>
  <si>
    <t>06/11/2025 06-11 PROGRAMACION REALIZADA POR LA ALIANZA| INSTALACIÓN PROGRAMADA PARA EL 2025-11-07 | 07/11/2025 SE COMUNICA AL NÚMERO 3178574073, LA SEÑORA DIANA MARCELA BERNAL SOLICITA QUE SEA REPROGRAMADA LA INSTALACIÓN PARA EL DÍA 13-11-2025 DEBIDO A QUE SE ENCUENTRA REALIZANDO DE URGENCIA TEMAS PERSONALES LO CUAL LE IMPIDE RECIBIR LA INSTALACIÓN. GESTIÓN TELEFÓNICA. | 13/11/2025 SE REALIZA INSTALACIÓN DE CB BANCOLOMBIA, SE CAPACITA A ELIANA PÉREZ SOBRE EL MANEJO DEL CB; SE INSTALA PUBLICIDAD INCLUIDO HORARIO Y OTROS LUGARES PRUEBAS OK SE INSTALA CUBRE CLAVE.</t>
  </si>
  <si>
    <t>DA000406-DA000321</t>
  </si>
  <si>
    <t>76001</t>
  </si>
  <si>
    <t>TA-25-1270728</t>
  </si>
  <si>
    <t>3007082123</t>
  </si>
  <si>
    <t>VALLE DEL CAUCA</t>
  </si>
  <si>
    <t>DISTRICOL TIENDA MIXTA RENACER</t>
  </si>
  <si>
    <t>FO-25-1790441</t>
  </si>
  <si>
    <t>06/11/2025 06-11 PROGRAMACION REALIZADA POR LA ALIANZA| INSTALACIÓN PROGRAMADA PARA EL 2025-11-07 | 07/11/2025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
SE REALIZA CAPACITACIÓN DE SOMOS BANCOLOMBIA CON USUARIO DE LÍNEA COMUNICACIONES POR MOTIVO QUE A EL CB AUN NO LE CREAN LA PLATAFORMA.</t>
  </si>
  <si>
    <t>DA000407</t>
  </si>
  <si>
    <t>TORRES GARCIA JENDRY JOSE</t>
  </si>
  <si>
    <t>TA-25-1270732</t>
  </si>
  <si>
    <t>3007082124</t>
  </si>
  <si>
    <t>DISTRICOL CENTER ELECTRONICS</t>
  </si>
  <si>
    <t>FO-25-1790446</t>
  </si>
  <si>
    <t>07/11/2025 SE VISITA ESTABLECIMIENTO, SE REALIZA INSTALACIÓN DE CORRESPONSAL BANCOLOMBIA. TRANSACCIONES DE PRUEBA EXITOSAS. SE CAPACITA Y SE INSTALA PUBLICIDAD  COMPLETA</t>
  </si>
  <si>
    <t>DA000408</t>
  </si>
  <si>
    <t>BOLAÑOS TABORDA JORGE ENRIQUE</t>
  </si>
  <si>
    <t>TA-25-1270736</t>
  </si>
  <si>
    <t>3007082125</t>
  </si>
  <si>
    <t>DISTRICOL CEA AGUABLANCA</t>
  </si>
  <si>
    <t>FO-25-1790451</t>
  </si>
  <si>
    <t>06/11/2025 06-11 PROGRAMACION REALIZADA POR LA ALIANZA| INSTALACIÓN PROGRAMADA PARA EL 2025-11-07 | 07/11/2025 SE VISITA ESTABLECIMIENTO, SE REALIZA INSTALACIÓN CORRESPONSAL BANCOLOMBIA PURO. TRANSACCIONES DE PRUEBA EXITOSAS. SE CAPACITA Y SE INSTALA PUBLICIDAD COMPLETA</t>
  </si>
  <si>
    <t>DA000409</t>
  </si>
  <si>
    <t>76036</t>
  </si>
  <si>
    <t>TA-25-1270738</t>
  </si>
  <si>
    <t>3007082119</t>
  </si>
  <si>
    <t>ANDALUCIA</t>
  </si>
  <si>
    <t>PTM  ANDALUCIA LA CASA DE PAPE</t>
  </si>
  <si>
    <t>FO-25-1790457</t>
  </si>
  <si>
    <t>06/11/2025 06-11 PROGRAMACION REALIZADA POR LA ALIANZA| INSTALACIÓN PROGRAMADA PARA EL 2025-11-10 | 10/11/2025 SE INSTALA EQUIPO, LECTOR Y ACCESORIOS, LUEGO SE CAPACITA Y SE INSTALA PUBLICIDAD, PRUEBAS OK</t>
  </si>
  <si>
    <t>DA000410 - DA000322</t>
  </si>
  <si>
    <t>PAREDES CASTILLO DIEGO</t>
  </si>
  <si>
    <t>86573</t>
  </si>
  <si>
    <t>TA-25-1270739</t>
  </si>
  <si>
    <t>3007082136</t>
  </si>
  <si>
    <t>LEGUIZAMO</t>
  </si>
  <si>
    <t>DISTRICOL ECOELECTRIC MOTORS</t>
  </si>
  <si>
    <t>FO-25-1790462</t>
  </si>
  <si>
    <t>06/11/2025 06-11 PROGRAMACION REALIZADA POR LA ALIANZA| INSTALACIÓN PROGRAMADA PARA EL 2025-11-10 | 10/11/2025 NO ES POSIBLE EL DESPLAZAMIENTO DADO QUE PARA EL SITIO SOLO SALE UN VUELO SEMANAL LOS MIERCOLES, SE ESTA GESTIONANDO VUELO PARA EL MIERCOLES 19 POR DISPONIBILIDAD DE VUELOS. | 20/11/2025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</si>
  <si>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DA000411</t>
  </si>
  <si>
    <t>CASTILLO HERRERA ALEX RICARDO</t>
  </si>
  <si>
    <t>86757</t>
  </si>
  <si>
    <t>TA-25-1270740</t>
  </si>
  <si>
    <t>3007082140</t>
  </si>
  <si>
    <t>SAN MIGUEL</t>
  </si>
  <si>
    <t>DISTRICOL MI GRANERITO</t>
  </si>
  <si>
    <t>FO-25-1790467</t>
  </si>
  <si>
    <t>06/11/2025 06-11 PROGRAMACION REALIZADA POR LA ALIANZA| INSTALACIÓN PROGRAMADA PARA EL 2025-11-10 | 10/11/2025 POR DERRUMBES EN LA VÍA SAN FRANCISCO MOCOA NO ES POSIBLE LLEGAR EL DÍA DE HOY SE LE INFORMA A CLIENTE QUE SE ESTARA REALIZANDO VISITA EL DÍA DE MAÑANA 11/11 | 11/11/2025 SE REALIZA INSTALACIÓN DE CORRESPONSAL BANCARIO SE CONFIGURA EQUIPO SE INICIALIZA SE REALIZA INSTALACIÓN DE PUBLICIDAD SE DICTA CAPACITACIÓN PRUEBAS DE FUNCIONAMIENTO EXITOSAS CB QUEDA OPERATIVO</t>
  </si>
  <si>
    <t>DA000412</t>
  </si>
  <si>
    <t>11001</t>
  </si>
  <si>
    <t>TA-25-1270741</t>
  </si>
  <si>
    <t>3007082120</t>
  </si>
  <si>
    <t>DISTRICOL DIAMOND FASHION</t>
  </si>
  <si>
    <t>FO-25-1790471</t>
  </si>
  <si>
    <t>06/11/2025 06-11 PROGRAMACION REALIZADA POR LA ALIANZA| INSTALACIÓN PROGRAMADA PARA EL 2025-11-10 | 10/11/2025 SE REALIZA INSTALACIÓN DE CB BANCOLOMBIA SIN NOVEDAD PRUEBA OK SE CREAN USUARIOS Y SE HABILITAN CIERRES OK</t>
  </si>
  <si>
    <t>DA000413</t>
  </si>
  <si>
    <t>ORTIZ MARTINEZ STIVEN</t>
  </si>
  <si>
    <t>TA-25-1270742</t>
  </si>
  <si>
    <t>3007082121</t>
  </si>
  <si>
    <t>PTM BOGOTA SERVIFLEXORG</t>
  </si>
  <si>
    <t>FO-25-1790478</t>
  </si>
  <si>
    <t>DA000414</t>
  </si>
  <si>
    <t>76834</t>
  </si>
  <si>
    <t>TA-25-1270747</t>
  </si>
  <si>
    <t>3007081986</t>
  </si>
  <si>
    <t>CB CRECIMIENTO ALIANZA - OTRAS LISTAS</t>
  </si>
  <si>
    <t>TULUA</t>
  </si>
  <si>
    <t>PTM TULUA YUAN CITY TULUA</t>
  </si>
  <si>
    <t>FO-25-1790502</t>
  </si>
  <si>
    <t>COMCARD - PTM</t>
  </si>
  <si>
    <t>DA000418 - CA000576</t>
  </si>
  <si>
    <t>TA-25-1288927</t>
  </si>
  <si>
    <t>3007082177</t>
  </si>
  <si>
    <t>PTM MEDELLIN VARIEDADES PICACH</t>
  </si>
  <si>
    <t>FO-25-1818137</t>
  </si>
  <si>
    <t>12/11/2025 12-11 PROGRAMACION REALIZADA POR LA ALIANZA| INSTALACIÓN PROGRAMADA PARA EL 2025-11-14 | 14/11/2025 INSTALACIÓN DE CB MIXTO OK PUBLICIDAD Y CAPACITACIÓN OK PRUEBAS SOLO CONSULTA DE SALDO NO HAY PARA MÁS PRUEBAS CUBRE CLAVE OK NO TELECARGA</t>
  </si>
  <si>
    <t>FB001812 - FB001591</t>
  </si>
  <si>
    <t>5360</t>
  </si>
  <si>
    <t>TA-25-1288928</t>
  </si>
  <si>
    <t>3007082169</t>
  </si>
  <si>
    <t>ITAGUI</t>
  </si>
  <si>
    <t>PTM ITAGUI GRANERO SUPER HISTO</t>
  </si>
  <si>
    <t>FO-25-1818139</t>
  </si>
  <si>
    <t>12/11/2025 12-11 PROGRAMACION REALIZADA POR LA ALIANZA| INSTALACIÓN PROGRAMADA PARA EL 2025-11-14 | 15/11/2025 INSTALACIÓN CB OK</t>
  </si>
  <si>
    <t>FB001813-FB001543</t>
  </si>
  <si>
    <t>BADEL ACUÑA LUIS ALBERTO</t>
  </si>
  <si>
    <t>TA-25-1288929</t>
  </si>
  <si>
    <t>3007082170</t>
  </si>
  <si>
    <t>PTM ITAGUI MOTO CLUB S&amp;S</t>
  </si>
  <si>
    <t>FO-25-1818143</t>
  </si>
  <si>
    <t>12/11/2025 12-11 PROGRAMACION REALIZADA POR LA ALIANZA| INSTALACIÓN PROGRAMADA PARA EL 2025-11-14 | 14/11/2025 INSTALACIÓN CB OK</t>
  </si>
  <si>
    <t>FB001814-FB001551</t>
  </si>
  <si>
    <t>5837</t>
  </si>
  <si>
    <t>TA-25-1288930</t>
  </si>
  <si>
    <t>3007082172</t>
  </si>
  <si>
    <t>TURBO</t>
  </si>
  <si>
    <t>PTM TURBO TIENDA ARBASU</t>
  </si>
  <si>
    <t>FO-25-1818147</t>
  </si>
  <si>
    <t>12/11/2025 12-11 PROGRAMACION REALIZADA POR LA ALIANZA| INSTALACIÓN PROGRAMADA PARA EL 2025-11-14 | 15/11/2025 SE INSTALA DATAFONO,MAGIBOX.LECTORA.BASE DATAFONO, PIN PAD Y PUBLICIDAD. SE DA CAPACITACION DE MANEJO DE EQUIPO Y PLATAFORMA SOMOS BANCOLOMBIA. SE HACEN PRUEBAS DE RETIRO,CONSULTA DE SALDO,CONSIGNACON, PRUEBA DE LECTORA Y SE DEJA TODO OK</t>
  </si>
  <si>
    <t>FB001815</t>
  </si>
  <si>
    <t>SALDARRIAGA MIRANDA SANTIAGO</t>
  </si>
  <si>
    <t>44847</t>
  </si>
  <si>
    <t>TA-25-1288931</t>
  </si>
  <si>
    <t>3007082175</t>
  </si>
  <si>
    <t>URIBIA</t>
  </si>
  <si>
    <t>PTM URIBIA  TIENDA Y VERDURERA</t>
  </si>
  <si>
    <t>FO-25-1818152</t>
  </si>
  <si>
    <t>12/11/2025 12-11 PROGRAMACION REALIZADA POR LA ALIANZA| INSTALACIÓN PROGRAMADA PARA EL 2025-11-14 | 14/11/2025 SE REALIZA APERTURA DE CB, SE INSTALA DATAFONO, LECTOR Y PUBLICIDAD,SE ENTREGAN 40 ROLLOS, SE BRINDA CAPACITACIÓN, SE REALIZAN PRUEBAS DE DEPOSITO, RETIRO, TRANSFERENCIA, CONSULTA DE SALDO, ENTRE OTRAS, DEJANDO EL SERVICIO FUNCIONAL AL 100 %</t>
  </si>
  <si>
    <t>FB001816</t>
  </si>
  <si>
    <t>MONTES DIAZ JOHN FRED</t>
  </si>
  <si>
    <t>TA-25-1288932</t>
  </si>
  <si>
    <t>3007082173</t>
  </si>
  <si>
    <t>PTM PASTO IMPACTO NARIÑO 23</t>
  </si>
  <si>
    <t>FO-25-1818158</t>
  </si>
  <si>
    <t>12/11/2025 12-11 PROGRAMACION REALIZADA POR LA ALIANZA| INSTALACIÓN PROGRAMADA PARA EL 2025-11-13 | 13/11/2025 SE REALIZÓ LA INSTALACIÓN DE EQUIPOS PUBLICIDAD Y ACCESORIOS PARA APERTURA CB BANCOLOMBIA SE DIO CAPACITACIÓN MANEJO DE DATÁFONO CB Y SOMOS BANCOLOMBIA SE EJECUTAN PRUEBAS TX EXITOSAS QUEDA OPERATIVO</t>
  </si>
  <si>
    <t>FB001818 - FB001566</t>
  </si>
  <si>
    <t>52215</t>
  </si>
  <si>
    <t>TA-25-1288933</t>
  </si>
  <si>
    <t>3007082171</t>
  </si>
  <si>
    <t>PTM CORDOBA DROGUERIA EL COMER</t>
  </si>
  <si>
    <t>FO-25-1818160</t>
  </si>
  <si>
    <t>12/11/2025 12-11 PROGRAMACION REALIZADA POR LA ALIANZA| INSTALACIÓN PROGRAMADA PARA EL 2025-11-14 | 14/11/2025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</si>
  <si>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FB001819</t>
  </si>
  <si>
    <t>TA-25-1288937</t>
  </si>
  <si>
    <t>3007082166</t>
  </si>
  <si>
    <t>PTM BUCARAMANGA PAPELERIA NOGA</t>
  </si>
  <si>
    <t>FO-25-1818166</t>
  </si>
  <si>
    <t>12/11/2025 12-11 PROGRAMACION REALIZADA POR LA ALIANZA| INSTALACIÓN PROGRAMADA PARA EL 2025-11-13 | 13/11/2025 EN COMUNICACIÓN CON CLIENTE INDICA Q NOS ATIENDES DESPUES DE LAS 3PM Q ABRE EL LOCAL, SE CONFIRMA INTERNET OK | 14/11/2025 SE INSTALA PUBLICIDAD COMPLETA ,DATAFONO ,LECTOR , CABLES Y FUENTE DE PODER. 40 ROLLOS, BASE, SE CAPACITAN CLIENTE MANEJO CORRESPONSAL CIERRES CUADRE DIARIO COMPENSACIÓN,MANEJO DATAFONO OK , VISITA EXITOSA PRUEBAS OK</t>
  </si>
  <si>
    <t>FB001820</t>
  </si>
  <si>
    <t>GELVEZ MOGOLLON JOSE ELISEO</t>
  </si>
  <si>
    <t>TA-25-1288939</t>
  </si>
  <si>
    <t>3007082167</t>
  </si>
  <si>
    <t>PTM CALI SKYNET 2.2</t>
  </si>
  <si>
    <t>FO-25-1818168</t>
  </si>
  <si>
    <t>12/11/2025 12-11 PROGRAMACION REALIZADA POR LA ALIANZA| INSTALACIÓN PROGRAMADA PARA EL 2025-11-13 | 13/11/2025 SE INSTALA EQUIPO, LECTOR Y ACCESORIOS, LUEGO SE CAPACITA Y SE INSTALA PUBLICIDAD, PRUEBAS OK</t>
  </si>
  <si>
    <t>FB001821 - FJZZZ533</t>
  </si>
  <si>
    <t>TA-25-1288940</t>
  </si>
  <si>
    <t>3007082168</t>
  </si>
  <si>
    <t>PTM CALI VARIEDADES BLU</t>
  </si>
  <si>
    <t>FO-25-1818172</t>
  </si>
  <si>
    <t>12/11/2025 12-11 PROGRAMACION REALIZADA POR LA ALIANZA| INSTALACIÓN PROGRAMADA PARA EL 2025-11-13 | 14/11/2025 SE VISITA ESTABLECIMIENTO, SE REALIZA INSTALACIÓN CORRESPONSAL BANCOLOMBIA MIXTO M. TRANSACCIONES DE PRUEBA EXITOSAS. SE CAPACITA Y SE INSTALA PUBLICIDAD COMPLETA. 
COMERCIO SIN AVISO PUBLICITARIO, SIN EMBARGO SI ES EL MISMO OBJETIVO COMERCIAL, LA DIRECCION COINCIDE Y LA CÁMARA DE COMERCIO TAMBIEN TIENE EL MISMO NOMBRE DE LISTA DE CHEQUEO.</t>
  </si>
  <si>
    <t>FB001822, FB001570</t>
  </si>
  <si>
    <t>76869</t>
  </si>
  <si>
    <t>TA-25-1288942</t>
  </si>
  <si>
    <t>3007082176</t>
  </si>
  <si>
    <t>VIJES</t>
  </si>
  <si>
    <t>PTM VIJES DROGAS LA SUPERIOR</t>
  </si>
  <si>
    <t>FO-25-1818178</t>
  </si>
  <si>
    <t>12/11/2025 12-11 PROGRAMACION REALIZADA POR LA ALIANZA| INSTALACIÓN PROGRAMADA PARA EL 2025-11-14 | 14/11/2025 SE LLAMA AL CLIENTE Y SE VÁLIDA INSTALACIÓN, DIRECCIÓN Y DISPONIBILIDAD, SE VISITA EL COMERCIO, SE INSTALA DATAFONO, LECTORA, ACCESORIOS EN APERTURA CB BANCOLOMBIA MIXTO, SE CAPACITA, PRUEBAS OK, TELECARGA TRNA</t>
  </si>
  <si>
    <t>FB001823 - FB001580</t>
  </si>
  <si>
    <t>HERRERA MONAR GEOVANNY</t>
  </si>
  <si>
    <t>TA-25-1288948</t>
  </si>
  <si>
    <t>3007082165</t>
  </si>
  <si>
    <t>PTM BOGOTA SHOESTYLE CALZADO</t>
  </si>
  <si>
    <t>FO-25-1818181</t>
  </si>
  <si>
    <t>12/11/2025 12-11 PROGRAMACION REALIZADA POR LA ALIANZA| INSTALACIÓN PROGRAMADA PARA EL 2025-11-14 | 18/11/2025 APERTURA BANCOLOMBIA OK CAPACITACIÓN OK PUBLICIDAD OK SERVICIO OPERATIVO SOLO SE REALIZAN PRUEBAS CON AN INFORMACIÓN QUE NOS SUMINISTRO EL CLIENTE YA QUE NO SE CUENTA CON TARJETA DE PRUEBAS SUMISTRADA POR LA EMPRESA</t>
  </si>
  <si>
    <t>FB001824 - FB001581</t>
  </si>
  <si>
    <t>HERNANDEZ NARANJO OSCAR EDUARDO</t>
  </si>
  <si>
    <t>70708</t>
  </si>
  <si>
    <t>TA-25-1288955</t>
  </si>
  <si>
    <t>3007082064</t>
  </si>
  <si>
    <t>SUCRE</t>
  </si>
  <si>
    <t>SAN MARCOS</t>
  </si>
  <si>
    <t>DISTRICOL DROGUERÍA FARMASUCRE</t>
  </si>
  <si>
    <t>FO-25-1818199</t>
  </si>
  <si>
    <t>12/11/2025 12-11 PROGRAMACION REALIZADA POR LA ALIANZA| INSTALACIÓN PROGRAMADA PARA EL 2025-11-13 | 13/11/2025 SE REALIZA INSTALACIÓN DE CORRESPONSAL BANCOLOMBIA PURO OK, EQUIPOS INSTALADOS OPERATIVOS OK, PRUEBAS DE TRANSACCIONES EXITOSAS, PERSONAL CAPACITADO OK, CLIENTE CB VALIDA SALDO EN CERO DESPUES DE LA INSTALACIÓN OK, CB SE DEJA OPERATIVO SIN NOVEDAD</t>
  </si>
  <si>
    <t>CA001882</t>
  </si>
  <si>
    <t>GONZALEZ FERRER JESUS ALEXANDER</t>
  </si>
  <si>
    <t>TA-25-1315901</t>
  </si>
  <si>
    <t>3007082259</t>
  </si>
  <si>
    <t>PTM MEDELLIN LA BENDICION MINI</t>
  </si>
  <si>
    <t>FO-25-1852517</t>
  </si>
  <si>
    <t>20/11/2025 20-11 PROGRAMACION REALIZADA POR LA ALIANZA| INSTALACIÓN PROGRAMADA PARA EL 2025-11-24 | 24/11/2025 SE REALIZA INSTALACIÓN DE EQUIPO. CAPACITACIÓN Y SE INSTALA PUBLICIDAD SERVICIO OPERATIVO OK</t>
  </si>
  <si>
    <t>OB001375 - OB000961</t>
  </si>
  <si>
    <t>TA-25-1315902</t>
  </si>
  <si>
    <t>3007082254</t>
  </si>
  <si>
    <t>PTM MEDELLIN DIEGO ALEJANDRO</t>
  </si>
  <si>
    <t>FO-25-1852520</t>
  </si>
  <si>
    <t>20/11/2025 20-11 PROGRAMACION REALIZADA POR LA ALIANZA| INSTALACIÓN PROGRAMADA PARA EL 2025-11-24 | 24/11/2025 SE INSTALA PUBLICIDAD Y EQUIPOS A PETICIÓN DEL USUARIO, SERVICIOS OK CAPACITACIÓN OK</t>
  </si>
  <si>
    <t>OB001376-OB000964</t>
  </si>
  <si>
    <t>TA-25-1315903</t>
  </si>
  <si>
    <t>3007082255</t>
  </si>
  <si>
    <t>PTM MEDELLIN SALEJO PERFUMES</t>
  </si>
  <si>
    <t>FO-25-1852523</t>
  </si>
  <si>
    <t>20/11/2025 20-11 PROGRAMACION REALIZADA POR LA ALIANZA| INSTALACIÓN PROGRAMADA PARA EL 2025-11-24 | 24/11/2025 SE INSTALA PUBLICIDAD Y EQUIPOS A PETICIÓN DEL USUARIO, SE DEJAN SERVICIOS FUNCIONANDO CORRECTAMENTE, CAPACITACIÓN OK</t>
  </si>
  <si>
    <t>OB001377-OB000965</t>
  </si>
  <si>
    <t>TA-25-1315904</t>
  </si>
  <si>
    <t>3007082256</t>
  </si>
  <si>
    <t>PMT MEDELLIN A D G.</t>
  </si>
  <si>
    <t>FO-25-1852526</t>
  </si>
  <si>
    <t>20/11/2025 20-11 PROGRAMACION REALIZADA POR LA ALIANZA| INSTALACIÓN PROGRAMADA PARA EL 2025-11-21 | 22/11/2025 SE REALIZA INSTALACIÓN DEL CB EXITOSAMENTE. SE CAPACITA SIN NOVEDAD, SE INSTALA PUBLICIDAD, SE REALIZAN PRUEBAS EXITOSAS. INSTALACION OK.</t>
  </si>
  <si>
    <t>OB001378</t>
  </si>
  <si>
    <t>RUA ALVAREZ RICHARD ANDRES</t>
  </si>
  <si>
    <t>TA-25-1315905</t>
  </si>
  <si>
    <t>3007082257</t>
  </si>
  <si>
    <t>PTM MEDELLIN FERRETERIA EMANIS</t>
  </si>
  <si>
    <t>FO-25-1852531</t>
  </si>
  <si>
    <t>20/11/2025 20-11 PROGRAMACION REALIZADA POR LA ALIANZA| INSTALACIÓN PROGRAMADA PARA EL 2025-11-24 | 24/11/2025 SE INSTALAN EQUIPOS OK</t>
  </si>
  <si>
    <t>OB001379 - OB000971</t>
  </si>
  <si>
    <t>QUINTERO SANCHEZ JUAN SEBASTIAN</t>
  </si>
  <si>
    <t>TA-25-1315906</t>
  </si>
  <si>
    <t>3007082258</t>
  </si>
  <si>
    <t>PTM MEDELLIN TIENDA MIXTA EL P</t>
  </si>
  <si>
    <t>FO-25-1852533</t>
  </si>
  <si>
    <t>OB001380 - OB000972</t>
  </si>
  <si>
    <t>TA-25-1315907</t>
  </si>
  <si>
    <t>3007082251</t>
  </si>
  <si>
    <t>PTM BELLO EL BUEN PRECIO N &amp; S</t>
  </si>
  <si>
    <t>FO-25-1852537</t>
  </si>
  <si>
    <t>20/11/2025 20-11 PROGRAMACION REALIZADA POR LA ALIANZA| INSTALACIÓN PROGRAMADA PARA EL 2025-11-21 | 21/11/2025 SE REALIZA VISITA TÉCNICA PARA LA INSTALACIÓN DEL CORRESPONSAL BANCOLOMBIA. EL USUARIO CONFIRMA SU IDENTIFICACIÓN Y SE VALIDA EL SITIO, ENCONTRANDO CONDICIONES ADECUADAS.  
SE PROCEDE CON LA INSTALACIÓN Y CONFIGURACIÓN DE LOS EQUIPOS, ASEGURANDO SU CORRECTO FUNCIONAMIENTO. POSTERIORMENTE, SE CAPACITA AL CLIENTE EN EL MANEJO DEL EQUIPO, LA EJECUCIÓN DE TRANSACCIONES Y EL USO DE LA PLATAFORMA SOMOS BANCOLOMBIA.  
FINALMENTE, SE REALIZAN PRUEBAS OPERATIVAS CON RESULTADOS EXITOSOS, DEJANDO EL SERVICIO COMPLETAMENTE HABILITADO Y EN ÓPTIMAS CONDICIONES. EL CLIENTE QUEDA INFORMADO, CAPACITADO Y CON PLENA CONFIANZA EN EL FUNCIONAMIENTO DEL CORRESPONSAL.</t>
  </si>
  <si>
    <t>OB001381-OB000975</t>
  </si>
  <si>
    <t>5129</t>
  </si>
  <si>
    <t>TA-25-1315908</t>
  </si>
  <si>
    <t>3007082243</t>
  </si>
  <si>
    <t>CALDAS</t>
  </si>
  <si>
    <t>PTM CALDAS DISTRIBUIDORA LAS</t>
  </si>
  <si>
    <t>FO-25-1852541</t>
  </si>
  <si>
    <t>20/11/2025 20-11 PROGRAMACION REALIZADA POR LA ALIANZA| INSTALACIÓN PROGRAMADA PARA EL 2025-11-21 | 21/11/2025 SE REALIZA INSTALACIÓN DE EQUIPO, SE CAPACITA Y SE INSTALA PUBLICIDAD SE REALIZAN PRUEBAS EXITOSAS SERVICIO OPERATIVO OK</t>
  </si>
  <si>
    <t>OB001382-OB000977</t>
  </si>
  <si>
    <t>TA-25-1315910</t>
  </si>
  <si>
    <t>3007082244</t>
  </si>
  <si>
    <t>PTM ITAGUI ALEXIS RICO ALZATE</t>
  </si>
  <si>
    <t>FO-25-1852544</t>
  </si>
  <si>
    <t>20/11/2025 20-11 PROGRAMACION REALIZADA POR LA ALIANZA| INSTALACIÓN PROGRAMADA PARA EL 2025-11-21 | 21/11/2025 SE INSTALA PUBLICIDAD Y EQUIPOS A PETICIÓN DEL USUARIO, SERVICIOS OK CAPACITACIÓN OK USUARIO SOMOS BANCOLOMBIA NO HABILITADO POR EL BANCO</t>
  </si>
  <si>
    <t>OB001383-OB000981</t>
  </si>
  <si>
    <t>5576</t>
  </si>
  <si>
    <t>TA-25-1315911</t>
  </si>
  <si>
    <t>3007082247</t>
  </si>
  <si>
    <t>PUEBLORRICO</t>
  </si>
  <si>
    <t>PTM PUEBLORRICO GRANERO DONDE</t>
  </si>
  <si>
    <t>FO-25-1874381 | FO-25-1852547</t>
  </si>
  <si>
    <t>26/11/2025 SE LLEVÓ A CABO LA INSTALACIÓN DE LOS AVISOS EXTERIORES E INTERIORES EN LA SEDE DEL CORRESPONSAL BANCOLOMBIA. ESTOS ELEMENTOS NO HABÍAN PODIDO SER INSTALADOS EL DÍA ANTERIOR DEBIDO AL RETRASO EN LA LLEGADA OCASIONADO POR EL VIAJE. LA INSTALACIÓN SE REALIZÓ SIGUIENDO LAS INDICACIONES ESPECÍFICAS DEL CLIENTE, GARANTIZANDO LA CORRECTA UBICACIÓN Y PRESENTACIÓN DE LOS AVISOS SEGÚN LO ACORDADO.</t>
  </si>
  <si>
    <t>OB001384</t>
  </si>
  <si>
    <t>15407</t>
  </si>
  <si>
    <t>TA-25-1315913</t>
  </si>
  <si>
    <t>3007082252</t>
  </si>
  <si>
    <t>VILLA DE LEYVA</t>
  </si>
  <si>
    <t>PTM VILLA DE LEYVA DROGUERIA E</t>
  </si>
  <si>
    <t>FO-25-1852551</t>
  </si>
  <si>
    <t>20/11/2025 20-11 PROGRAMACION REALIZADA POR LA ALIANZA| INSTALACIÓN PROGRAMADA PARA EL 2025-11-21 | 21/11/2025 SE ESTABLECE COMUNICACIÓN CON EL SEÑOR JAIME ALIRIO SARMIENTO MORENO AL NÚMERO DE CONTACTO 3118275842 CLIENTE CONFIRMA TENER LA DISPONIBILIDAD PARA ATENDER LA VISITA EL DÍA DE HOY ROUTER DE INTERNET APROXIMADAMENTE A 3 METROS DE DISTANCIA DEL LUGAR DONDE VA QUEDAR INSTALADO EL DATÁFONO. | 21/11/2025 SE EJECUTA APERTURA BANCOLOMBIA EXITOSA RED RBM INSTALANDO EQUIPOS Y PUBLICIDAD PERSONAL CAPACITADO PRUEBAS OK CLIENTE CONFORME</t>
  </si>
  <si>
    <t>OB001385</t>
  </si>
  <si>
    <t>20710</t>
  </si>
  <si>
    <t>TA-25-1315914</t>
  </si>
  <si>
    <t>3007082249</t>
  </si>
  <si>
    <t>CESAR</t>
  </si>
  <si>
    <t>SAN ALBERTO</t>
  </si>
  <si>
    <t>PTM SAN ALBERTO MULTISERVICIOS</t>
  </si>
  <si>
    <t>FO-25-1852555</t>
  </si>
  <si>
    <t>20/11/2025 20-11 PROGRAMACION REALIZADA POR LA ALIANZA| INSTALACIÓN PROGRAMADA PARA EL 2025-11-24 | 24/11/2025 EN COMUNICACIÓN CIN EL SR JOHAN SEBASTIÁN GELVEZ AL NÚMERO DE CONTACTO 3012032631 CONFIRMA DISPONIBILIDAD PARA PODER ATENDERNOS | 24/11/2025 SE REALIZA APERTURA BANCOLOMBIA CB MIXTO, SE INSTALA AVISO EXTERIOR, FLANGED, DISPLAY, BASE, DATÁFONO, LECTOR DE BARRAS, CUBRE CLAVES, MÁGIC BOX,PINPAD POR MÓDULO DE VIDRIO, SE CONFIGURÓ TERMINALES TANTO DE ADQUIRENCIA COMO LA DEL CB, SE CREAN USUARIOS AL GUSTO DEL CLIENTE, SE HACEN PRUEBAS DEJANDO TODO OK, .SOMOS BANCOLOMBIA OK</t>
  </si>
  <si>
    <t>OB001386</t>
  </si>
  <si>
    <t>23466</t>
  </si>
  <si>
    <t>TA-25-1315915</t>
  </si>
  <si>
    <t>3007082245</t>
  </si>
  <si>
    <t>MONTELIBANO</t>
  </si>
  <si>
    <t>PTM MONTELIBANO PAPELERIA EYM</t>
  </si>
  <si>
    <t>FO-25-1852559</t>
  </si>
  <si>
    <t>20/11/2025 20-11 PROGRAMACION REALIZADA POR LA ALIANZA| INSTALACIÓN PROGRAMADA PARA EL 2025-11-21 | 21/11/2025 SE REALIZA INSTALACIÓN DE CB MIXTO BANCOLOMBIA ALIANZA PTM OK. SE INSTALAN EQUIPOS, DATAFONO, LECTOR DE BARRAS BASE OK.
SE CAPACITA AL USUARIO Y SE INSTALA PUBLICIDAD.
SE REALIZAN PRUEBAS EXITOSAS</t>
  </si>
  <si>
    <t>OB000996-OB001387</t>
  </si>
  <si>
    <t>COGOLLO VERTEL EDER LUIS</t>
  </si>
  <si>
    <t>50001</t>
  </si>
  <si>
    <t>TA-25-1315916</t>
  </si>
  <si>
    <t>3007082253</t>
  </si>
  <si>
    <t>META</t>
  </si>
  <si>
    <t>PTM VILLAVICENCIO DROGUERIA EC</t>
  </si>
  <si>
    <t>FO-25-1852563</t>
  </si>
  <si>
    <t>20/11/2025 20-11 PROGRAMACION REALIZADA POR LA ALIANZA| INSTALACIÓN PROGRAMADA PARA EL 2025-11-21 | 21/11/2025 SE REALIZA APERTURA CB MIXTO SE REALIZAN PRUEBAS OK SIN NOVEDADES SE INGRESA A SOMOS</t>
  </si>
  <si>
    <t>OB001388</t>
  </si>
  <si>
    <t>CASTRILLON URREA LONDIER LEANDRO</t>
  </si>
  <si>
    <t>TA-25-1315917</t>
  </si>
  <si>
    <t>3007082248</t>
  </si>
  <si>
    <t>PTM CORREGIMIENTO DE jONGOVITO</t>
  </si>
  <si>
    <t>FO-25-1852566</t>
  </si>
  <si>
    <t>20/11/2025 20-11 PROGRAMACION REALIZADA POR LA ALIANZA| INSTALACIÓN PROGRAMADA PARA EL 2025-11-21 | 21/11/2025 SE REALIZÓ LA INSTALACIÓN DE EQUIPOS PUBLICIDAD Y ACCESORIOS PARA APERTURA CB BANCOLOMBIA SE DIO CAPACITACIÓN MANEJO DE DATÁFONO CB Y SOMOS BANCOLOMBIA SE EJECUTAN PRUEBAS TX EXITOSAS QUEDA OPERATIVO</t>
  </si>
  <si>
    <t>OB001389 - OB000999</t>
  </si>
  <si>
    <t>70001</t>
  </si>
  <si>
    <t>TA-25-1315918</t>
  </si>
  <si>
    <t>3007082250</t>
  </si>
  <si>
    <t>PTM SINCELEJO DISTRIBUIDORA IS</t>
  </si>
  <si>
    <t>FO-25-1852569</t>
  </si>
  <si>
    <t>20/11/2025 20-11 PROGRAMACION REALIZADA POR LA ALIANZA| INSTALACIÓN PROGRAMADA PARA EL 2025-11-21 | 21/11/2025 SE VISITA SITIO SE VERIFICA INFORMACIÓN SE REALIZA INSTALACIÓN DE DATÁFONO, ESCÁNER, MAGIC BOX, FUENTE PODER, CABLE DE RED, BASE SOPORTE, PAPELERIA, PUBLICIDAD, CAPACITACIÓN, PRUEBA TRX EXITOSAS.</t>
  </si>
  <si>
    <t>OB001390</t>
  </si>
  <si>
    <t>SANTOS GUZMAN CHRISTIAN FELIPE</t>
  </si>
  <si>
    <t>TA-25-1315919</t>
  </si>
  <si>
    <t>3007082239</t>
  </si>
  <si>
    <t>PTM CALI RAPITIENDA MATHIAS</t>
  </si>
  <si>
    <t>FO-25-1852572</t>
  </si>
  <si>
    <t>20/11/2025 20-11 PROGRAMACION REALIZADA POR LA ALIANZA| INSTALACIÓN PROGRAMADA PARA EL 2025-11-24 | 24/11/2025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t>
  </si>
  <si>
    <t>OB001391</t>
  </si>
  <si>
    <t>TA-25-1315921</t>
  </si>
  <si>
    <t>3007082240</t>
  </si>
  <si>
    <t>PTM CALI PAÑALES Y PAÑALES ANG</t>
  </si>
  <si>
    <t>FO-25-1852578</t>
  </si>
  <si>
    <t>20/11/2025 20-11 PROGRAMACION REALIZADA POR LA ALIANZA| INSTALACIÓN PROGRAMADA PARA EL 2025-11-24 | 24/11/2025 SE REALIZA APERTURA DE CB BANCOLOMBIA MIXTO, SE INSTALA EQUIPO, ACCESORIOS Y PUBLICIDAD, SE REALIZAN PRUEBAS OK, EL CLIENTE NO CUENTA CON LOS MEDIOS PARA REALIZAR TODAS LAS PRUEBAS REQUERIDAS, SE REALIZA ENTREGA DE 40 ROLLOS TÉRMICOS REDEBAN.</t>
  </si>
  <si>
    <t>OB001392</t>
  </si>
  <si>
    <t>MONTERO MUESES GIAN CARLO</t>
  </si>
  <si>
    <t>TA-25-1315923</t>
  </si>
  <si>
    <t>3007082241</t>
  </si>
  <si>
    <t>PTM CALI CIBERMUNDO CIEN PALOS</t>
  </si>
  <si>
    <t>FO-25-1852583</t>
  </si>
  <si>
    <t>20/11/2025 20-11 PROGRAMACION REALIZADA POR LA ALIANZA| INSTALACIÓN PROGRAMADA PARA EL 2025-11-24 | 24/11/2025 SE LLAMA AL CLIENTE Y SE VALIDA INSTALACIÓN, DIRECCIÓN Y DISPONIBILIDAD, SE VISITA EL COMERCIO INSTALO DATAFONO, LECTORA EN APERTURA CB BANCOLOMBIA MIXTO, SE CAPACITA, PRUEBAS OK, TELECARGA TRNA</t>
  </si>
  <si>
    <t>OB001393</t>
  </si>
  <si>
    <t>TA-25-1315924</t>
  </si>
  <si>
    <t>3007082237</t>
  </si>
  <si>
    <t>PTM CALI DROGUERIA FARMACIA XA</t>
  </si>
  <si>
    <t>FO-25-1852587</t>
  </si>
  <si>
    <t>20/11/2025 20-11 PROGRAMACION REALIZADA POR LA ALIANZA| INSTALACIÓN PROGRAMADA PARA EL 2025-11-24 | 24/11/2025 SE LLAMA AL CLIENTE Y SE VALIDA INSTALACIÓN, DIRECCIÓN Y DISPONIBILIDAD, SE VISITA EL COMERCIO INSTALO DATAFONO, LECTORA, PINPAD, MAGIC BOX EN APERTURA CB BANCOLOMBIA MIXTO, SE CAPACITA, PRUEBAS OK, TELECARGA TRNA</t>
  </si>
  <si>
    <t>OB001394</t>
  </si>
  <si>
    <t>76520</t>
  </si>
  <si>
    <t>TA-25-1315926</t>
  </si>
  <si>
    <t>3007082246</t>
  </si>
  <si>
    <t>PALMIRA</t>
  </si>
  <si>
    <t>PTM PALMIRA TIENDA Y VARIEDADE</t>
  </si>
  <si>
    <t>FO-25-1852593</t>
  </si>
  <si>
    <t>20/11/2025 20-11 PROGRAMACION REALIZADA POR LA ALIANZA| INSTALACIÓN PROGRAMADA PARA EL 2025-11-24 | 24/11/2025 SE PROCEDE LLAMA AL CONTACTO PARA CONFIRMAR VISITA, DONDE SE EVIDENCIA QUÉ DIRECCIÓN EN ORDEN DE INSTALACIÓN NO COINCIDE CON LA DIRECCIÓN FÍSICA DEL CLIENTE. SE PROCEDE A VISITAR PARA CONFIRMAR. DIRECCIÓN CORRECTA DEL COMERCIO ES CARRERA 27 B # 3 0-6. SE EVIDENCIÓ QUE CÁMARA Y COMERCIO ESTÁ ERRADA Y SE LE INDICA AL CLIENTE QUE DEBE CORREGIR Y ENVIAR DATOS NUEVAMENTE.</t>
  </si>
  <si>
    <t>5034</t>
  </si>
  <si>
    <t>TA-25-1315927</t>
  </si>
  <si>
    <t>3007082242</t>
  </si>
  <si>
    <t>ANDES</t>
  </si>
  <si>
    <t>PTM ANDES LEONARDO DE JESUS VA</t>
  </si>
  <si>
    <t>FO-25-1852595</t>
  </si>
  <si>
    <t>20/11/2025 20-11 PROGRAMACION REALIZADA POR LA ALIANZA| INSTALACIÓN PROGRAMADA PARA EL 2025-11-21 | 22/11/2025 SE REALIZA A INSTALACIÓN EXITOSA TODO QUEDA OK NO SE REALIZA OPERACIÓN DE TRANSFERENCIA NO HAY CUENTA PARA TRASFERIR</t>
  </si>
  <si>
    <t>OB001397-OB001026</t>
  </si>
  <si>
    <t>ALVAREZ ARENAS VICTOR HUGO</t>
  </si>
  <si>
    <t>TA-25-1315928</t>
  </si>
  <si>
    <t>3007082236</t>
  </si>
  <si>
    <t>PTM BOGOTA MISCELANEA EL PUNTO</t>
  </si>
  <si>
    <t>FO-25-1852599</t>
  </si>
  <si>
    <t>20/11/2025 20-11 PROGRAMACION REALIZADA POR LA ALIANZA| INSTALACIÓN PROGRAMADA PARA EL 2025-11-21 | 21/11/2025 SE REALIZA CONTACTO TELEFÓNICO CON LA CLIENTE SE LE INFORMA QUE DEBIDO A LAS FUERTES LLUVIAS, NO FUE POSIBLE REALIZAR EL DESPLAZAMIENTO. SE LE INDICA QUE SERÁ ATENDIDA EL DÍA DE MAÑANA EN HORAS DE LA MAÑANA SÁBADO 22 DE NOVIEMBRE TODO ESTO CON AUTORIZACIÓN E INFORMADO COORDINADOR WILLIAM ROZO | 24/11/2025 APERTURA BANCOLOMBIA OK CAPACITACIÓN OK PUBLICIDAD OK SERVICIO OPERATIVO</t>
  </si>
  <si>
    <t>OB001398 OB001027</t>
  </si>
  <si>
    <t>TA-25-1315929</t>
  </si>
  <si>
    <t>3007082231</t>
  </si>
  <si>
    <t>PTM BOGOTA PAPELERIA EL MILAGR</t>
  </si>
  <si>
    <t>FO-25-1852603</t>
  </si>
  <si>
    <t>20/11/2025 20-11 PROGRAMACION REALIZADA POR LA ALIANZA| INSTALACIÓN PROGRAMADA PARA EL 2025-11-21 | 21/11/2025 INSTALACIÓN DE CORRESPONSAL OK PRUEBA DE NEQUI YA QUE CLIENTE NO CUENTA CON TARJETA DE PRUEBAS NO PARA CORRESPONSAL NI ADQUIRENCIA PUBLICIDAD OK PAPELERÍA OK</t>
  </si>
  <si>
    <t>OB001399</t>
  </si>
  <si>
    <t>GOMEZ VEGA DAVID SNEYDER</t>
  </si>
  <si>
    <t>TA-25-1315930</t>
  </si>
  <si>
    <t>3007082232</t>
  </si>
  <si>
    <t>PTM DROGUERIA MEVIPLUZ</t>
  </si>
  <si>
    <t>FO-25-1852605</t>
  </si>
  <si>
    <t>20/11/2025 20-11 PROGRAMACION REALIZADA POR LA ALIANZA| INSTALACIÓN PROGRAMADA PARA EL 2025-11-21 | 21/11/2025 SE ESTABLECE COMUNICACIÓN TELEFÓNICA CON CLIENTE PARA REAGENDAR VISITA TÉCNICA DEBIDO A LAS FUERTES LLUVIAS DE LA CIUDAD DE BOGOTÁ QUE RETRASARON EL TRABAJO | 22/11/2025 SE REALIZA INSTALACIÓN DE CORRESPONSAL OK PRUEBA OK CAPACITACIÓN IVA OK CAPACITACIÓN SOMOS BANCOLOMBIA OK CAPACITACIÓN DATAFONO OK PUBLICIDAD OK PAPELERÍA OK</t>
  </si>
  <si>
    <t>OB001400</t>
  </si>
  <si>
    <t>TA-25-1315931</t>
  </si>
  <si>
    <t>3007082233</t>
  </si>
  <si>
    <t>PTM BOGOTA SUPERMERCADO EL TRI</t>
  </si>
  <si>
    <t>FO-25-1852608</t>
  </si>
  <si>
    <t>20/11/2025 20-11 PROGRAMACION REALIZADA POR LA ALIANZA| INSTALACIÓN PROGRAMADA PARA EL 2025-11-24 | 24/11/2025 SE REALIZA INSTALACIÓN DE DATAFONO, LECTOR DE CÓDIGO DE BARRAS, BASE PARA DATAFONO Y PUBLICIDAD POR IMPLEMENTACIÓN CB BANCOLOMBIA</t>
  </si>
  <si>
    <t>OB001401</t>
  </si>
  <si>
    <t>ARIAS QUILINDO JULIAN</t>
  </si>
  <si>
    <t>TA-25-1315933</t>
  </si>
  <si>
    <t>3007082235</t>
  </si>
  <si>
    <t>PTM BOGOTA DROGUERIA CAMINO A</t>
  </si>
  <si>
    <t>FO-25-1852614</t>
  </si>
  <si>
    <t>20/11/2025 20-11 PROGRAMACION REALIZADA POR LA ALIANZA| INSTALACIÓN PROGRAMADA PARA EL 2025-11-24 | 24/11/2025 SE LLEGA A LA DIRECCIÓN INDICADA Y SE REALIZA APERTURA DE PTM , SE HABILITAN MÓDULOS DE ADQUIRENCIA Y MÓDULO DE CORRESPONSALIA, PUBLICIDAD  OK, USUARIO OK, SE REALIZA CAPACITACIÓN DE FUNCIONAMIENTO Y PAG SOMOS OK INGRESO OK, SE PROMUEVE EL BUEN USO Y CUIDADO DEL DATÁFONO, SE REALIZAN PRUEBAS EXITOSAS, NO SE TIENE TARJETA PARA REALIZAR PRUEBAS DE MÓDULO DE ADQUIRENCIA.</t>
  </si>
  <si>
    <t>OB001403-OB001098</t>
  </si>
  <si>
    <t>GARCIA PASTRANA KEVIN FERNANDO</t>
  </si>
  <si>
    <t>TA-25-1315941</t>
  </si>
  <si>
    <t>3007082174</t>
  </si>
  <si>
    <t>PTM SANTA MARTA ESTACION DE SE</t>
  </si>
  <si>
    <t>FO-25-1852643</t>
  </si>
  <si>
    <t>20/11/2025 20-11 PROGRAMACION REALIZADA POR LA ALIANZA| INSTALACIÓN PROGRAMADA PARA EL 2025-11-21 | 22/11/2025 SE REALIZA APERTURA ADE CORRESPONDA BANCARIO A SATISFACCIÓN DEL CLIENTE, NO SE REALIZA CAPACITACIÓN SOMOS BANCOLOMBIA YA QUE EL USUARIO O LA CONTRASEÑA DE PRUEBA QUE NOS DAN A LOS TÉCNICOS ESTABA BLOQUEADA Y NO HABÍA ACCESO A LA PÁGINA</t>
  </si>
  <si>
    <t>FB001529</t>
  </si>
  <si>
    <t>19001</t>
  </si>
  <si>
    <t>TA-25-1315942</t>
  </si>
  <si>
    <t>3007081882</t>
  </si>
  <si>
    <t>CAUCA</t>
  </si>
  <si>
    <t>PTM POPAYAS TIENDA LA 14N</t>
  </si>
  <si>
    <t>FO-25-1852646</t>
  </si>
  <si>
    <t>20/11/2025 20-11 PROGRAMACION REALIZADA POR LA ALIANZA| INSTALACIÓN PROGRAMADA PARA EL 2025-11-24 | 25/11/2025 SE INGRESA EQUIPO PREINTALADO NO ENCIENDE SE CAMBIA EQUIPO  SE INSTALA BASE FUENTE CUBRE CLAVES SE INSTALA SISTEMA OPERATIVO VERSIÓN CREACIÓN DE USUARIOS PRUEBAS NO SE REALIZAN GENERA RECHAZO SE LLAMO  A LA ENTIDAD INFORMAN PUNTO ESTA INACTIVO POR PARTE LA ALIANZA PTM CAPACITACIÓN AL CB SE INSTALA AVISO  EXTERIOR FLANGER DISPLAY LEGAL DE HORARIO SE ENTREGAN ROLLOS DE REDEBA  SE HACE MARCACIÓN DE CÓDIGO DEL PUNTO POR ORDEN DE REDEBAN</t>
  </si>
  <si>
    <t>AE001890</t>
  </si>
  <si>
    <t>GIMBUEL LASSO LUIS GERMAN</t>
  </si>
  <si>
    <t>TA-25-1319220</t>
  </si>
  <si>
    <t>3007082268</t>
  </si>
  <si>
    <t>DISTRICOL LLAVE MAGICA DISTRIB</t>
  </si>
  <si>
    <t>FO-25-1859217</t>
  </si>
  <si>
    <t>21/11/2025 21-11 PROGRAMACION REALIZADA POR LA ALIANZA| INSTALACIÓN PROGRAMADA PARA EL 2025-11-25 | 25/11/2025 SE INSTALAN EQUIPOS OK</t>
  </si>
  <si>
    <t>OB002009</t>
  </si>
  <si>
    <t>TA-25-1319221</t>
  </si>
  <si>
    <t>3007082269</t>
  </si>
  <si>
    <t>DISTRICOL AMERICAN D&amp;L</t>
  </si>
  <si>
    <t>FO-25-1859221</t>
  </si>
  <si>
    <t>21/11/2025 21-11 PROGRAMACION REALIZADA POR LA ALIANZA| INSTALACIÓN PROGRAMADA PARA EL 2025-11-25 | 25/11/2025 INSTALACIÓN CB OK</t>
  </si>
  <si>
    <t>OB002010</t>
  </si>
  <si>
    <t>TA-25-1319222</t>
  </si>
  <si>
    <t>3007082270</t>
  </si>
  <si>
    <t>DISTRICOL VICTORIA ACCESORIOS</t>
  </si>
  <si>
    <t>FO-25-1859227</t>
  </si>
  <si>
    <t>OB002011</t>
  </si>
  <si>
    <t>25599</t>
  </si>
  <si>
    <t>TA-25-1319223</t>
  </si>
  <si>
    <t>3007082265</t>
  </si>
  <si>
    <t>APULO</t>
  </si>
  <si>
    <t>DISTRICOL AUTOSERVICIO APULO</t>
  </si>
  <si>
    <t>FO-25-1859233</t>
  </si>
  <si>
    <t>21/11/2025 21-11 PROGRAMACION REALIZADA POR LA ALIANZA| INSTALACIÓN PROGRAMADA PARA EL 2025-11-25 | 25/11/2025 SE VISITA COMERCIO, SE VALIDA CB CERCANO Y NO SE PUEDE REALIZAR LA INSTALACIÓN. SE ESCALA CON EL COORDINADOR INDICANDO QUE SE CIERRA</t>
  </si>
  <si>
    <t>TA-25-1319224</t>
  </si>
  <si>
    <t>3007082264</t>
  </si>
  <si>
    <t>DISTRICOL MINI MARKET TECNOFER</t>
  </si>
  <si>
    <t>FO-25-1859234</t>
  </si>
  <si>
    <t>21/11/2025 21-11 PROGRAMACION REALIZADA POR LA ALIANZA| INSTALACIÓN PROGRAMADA PARA EL 2025-11-25 | 25/11/2025 SE REALIZA LLAMADA TELEFÓNICA AL NÚMERO 3205528850 SE HABLÓ CON EL SR JOHAN Y MANIFIESTA QUE LO VISITEMOS A LAS 2PM , | 26/11/2025 SE REALIZA VISITA AL COMERCIO Y SE INSTALA DATAFONO LECTORA CABLEADO PUBLICIDAD BANCOLOMBIA OK, SOMOS BANCOLOMBIA OK, PRUEBAS EXITOSAS</t>
  </si>
  <si>
    <t>OB002013</t>
  </si>
  <si>
    <t>TA-25-1319226</t>
  </si>
  <si>
    <t>3007082262</t>
  </si>
  <si>
    <t>DISTRICOL YUYIS MULTISERVICIO</t>
  </si>
  <si>
    <t>FO-25-1859238</t>
  </si>
  <si>
    <t>21/11/2025 21-11 PROGRAMACION REALIZADA POR LA ALIANZA| INSTALACIÓN PROGRAMADA PARA EL 2025-11-24 | 24/11/2025 SE INSTALA PUBLICIDAD COMPLETA DATAFONO, LECTOR, PINPAD  MAGIC BOX, SE CAPACITA CLIENTE MANEJO CORRESPONSAL, CIERRES CUATRO DIARIO, COMPENSACIÓN, MANEJO DATAFONO, PRUEBAS OK, INSTALACION EXITOSA</t>
  </si>
  <si>
    <t>OB002014</t>
  </si>
  <si>
    <t>TA-25-1319227</t>
  </si>
  <si>
    <t>3007082263</t>
  </si>
  <si>
    <t>DISTRICOL ADOARTE</t>
  </si>
  <si>
    <t>FO-25-1859241</t>
  </si>
  <si>
    <t>21/11/2025 21-11 PROGRAMACION REALIZADA POR LA ALIANZA| INSTALACIÓN PROGRAMADA PARA EL 2025-11-24 | 24/11/2025 EN COMUNICACIÓN CON EL SEÑOR CARLOS CONTRERAS NOS INDICA QUE TIENE LA DISPONIBILIDAD DE ATENDERNOS EN HORAS AM | 24/11/2025 INSTALACION Y ADECUACION DE CB, INSTALACION DE DATAFONO LECTORA FUENTE CABLE PACTHCORD, PINPAD, PRUEBAS OK, ADESIVO IDENTIFICADOR OK, CUBRE CLAVE OK, FLANGGER Y DISPLAY LEGAL OK Y AVISO EXTERIO OK. SE EXPLICA SOBRE LA WEB SOMOS BANCOLOMBIA, CIERRE Y CUADRE DIARIO, SE EXPLICA SOBRE USO Y MANEJO DE DATAFONO. PRUEBAS OK</t>
  </si>
  <si>
    <t>OB002015</t>
  </si>
  <si>
    <t>MARIÑO PABON JORGE ENRIQUE</t>
  </si>
  <si>
    <t>76364</t>
  </si>
  <si>
    <t>TA-25-1319230</t>
  </si>
  <si>
    <t>3007082266</t>
  </si>
  <si>
    <t>JAMUNDI</t>
  </si>
  <si>
    <t>DISTRICOL VARIEDADES Y COTELER</t>
  </si>
  <si>
    <t>FO-25-1859244</t>
  </si>
  <si>
    <t>21/11/2025 21-11 PROGRAMACION REALIZADA POR LA ALIANZA| INSTALACIÓN PROGRAMADA PARA EL 2025-11-25 | 26/11/2025 SE VISITA ESTABLECIMIENTO, SE REALIZA INSTALACIÓN CORRESPONSAL BANCOLOMBIA PURO. TRANSACCIONES DE PRUEBA EXITOSAS. SE CAPACITA Y SE INSTALA PUBLICIDAD COMPLETA.</t>
  </si>
  <si>
    <t>OB002016</t>
  </si>
  <si>
    <t>85001</t>
  </si>
  <si>
    <t>TA-25-1319231</t>
  </si>
  <si>
    <t>3007082271</t>
  </si>
  <si>
    <t>CASANARE</t>
  </si>
  <si>
    <t>DISTRICOL SUMERCE</t>
  </si>
  <si>
    <t>FO-25-1859246</t>
  </si>
  <si>
    <t>21/11/2025 21-11 PROGRAMACION REALIZADA POR LA ALIANZA| INSTALACIÓN PROGRAMADA PARA EL 2025-11-25 | 25/11/2025 SE VISITA COMERCIO, SE INSTALA DATÁFONO LECTOR BASE Y CUBRE TECLADO. PRUEBAS OK. OPERATIVO EL SERVICIO. NO SE REALIZA PRUEBA DE TRANSFERENCIA NO SE CUENTA CON TARJETA. SOMOS BANCOLOMBIA OK</t>
  </si>
  <si>
    <t>OB002017</t>
  </si>
  <si>
    <t>BERNAL ELAICA EDGAR ALEXIS</t>
  </si>
  <si>
    <t>86001</t>
  </si>
  <si>
    <t>TA-25-1319232</t>
  </si>
  <si>
    <t>3007082267</t>
  </si>
  <si>
    <t>MOCOA</t>
  </si>
  <si>
    <t>DISTRICOL LA GRANJA DE MOCOA</t>
  </si>
  <si>
    <t>FO-25-1859250</t>
  </si>
  <si>
    <t>21/11/2025 21-11 PROGRAMACION REALIZADA POR LA ALIANZA| INSTALACIÓN PROGRAMADA PARA EL 2025-11-25 | 25/11/2025 POR COMPLICACIONES EN EL TRANSPORTE SE ESTARÁ DESPLAZANDO HOY AL MUNICIPIO PARA MAÑANA REALIZAR LA APERTURA | 26/11/2025 SE VISITA EL COMERCIO PARA REALIZAR APERTURA DEL CORRESPONSAL, SE INSTALA DATÁFONO, CON LECTORA BASE Y CABLEADO, SE DEJA ROLLOS, SE INSTALA PUBLICIDAD, SE CAPACITA OK, SE HACE PRUEBAS EXCEPTO DE RECAUDO POR NO TENER MEDIOS PARA REALIZARLA, SOMOS BANCOLOMBIA OK, CB OPERATIVO</t>
  </si>
  <si>
    <t>OB002018</t>
  </si>
  <si>
    <t>TA-25-1319233</t>
  </si>
  <si>
    <t>3007082261</t>
  </si>
  <si>
    <t>DISTRICOL TODO EN UNO SUBA</t>
  </si>
  <si>
    <t>FO-25-1859253</t>
  </si>
  <si>
    <t>21/11/2025 21-11 PROGRAMACION REALIZADA POR LA ALIANZA| INSTALACIÓN PROGRAMADA PARA EL 2025-11-25 | 25/11/2025 SE VISITA COMERCIO, SE INSTALA CB BANCOLOMBIA, SE REALIZAN PRUEBAS OK, SE BRINDA CAPACITACIÓN DE USO, SE CREAN USUARIOS DEL CLIENTE, SE INSTALA PUBLICIDAD COMPLETA, NO UPS, SE EVIDENCIA EN CÁMARA Y COMERCIO QUE LA ACTIVIDAD ECONÓMICA DEL ESTABLECIMIENTO NO COMPRENDE JUEGOS DE AZAR O APUESTAS, SE ANEXA CÁMARA Y COMERCIO DONDE LOS CÓDIGOS DE ACTIVIDAD ECONÓMICA MUESTRAN OTRA ACTIVIDAD, LOS COLORES DEL ESTABLECIMIENTO SON DE LA RAZÓN SOCIAL ANTIGUA, ESTÁ INFORMACIÓN SE LE SUMINISTRA AL COORDINADOR Y A JHON SAMBONY PARA LA AUTORIZACIÓN DE INSTALACIÓN DE CB Y AFICIONAR EL PINPAD.</t>
  </si>
  <si>
    <t>OB002019</t>
  </si>
  <si>
    <t>VEGA MANRIQUE JONATAN MAURICIO</t>
  </si>
  <si>
    <t>TA-25-1330513</t>
  </si>
  <si>
    <t>3007082234</t>
  </si>
  <si>
    <t>PTM BOGOTA DROGUERIA SPECIALME</t>
  </si>
  <si>
    <t>FO-25-1904464 | FO-25-1884063</t>
  </si>
  <si>
    <t>EJECUTADO | EJECUTADO/CANCELADO</t>
  </si>
  <si>
    <t>28/11/2025 SE REALIZA INSTALACIÓN DE CB, SE INSTALA DATÁFONO, LECTORA, BASE, 40 ROLLOS, CABLE DE RED Y SE REALIZA CAPACITACIÓN DEL CB AL SR SERGIO</t>
  </si>
  <si>
    <t>AE006359</t>
  </si>
  <si>
    <t>ALARCON AREVALO JOHAN STIVEN</t>
  </si>
  <si>
    <t>TA-25-1330535</t>
  </si>
  <si>
    <t>3007082356</t>
  </si>
  <si>
    <t>PTM MEDELLIN ECONOFARMA</t>
  </si>
  <si>
    <t>FO-25-1884132</t>
  </si>
  <si>
    <t>26/11/2025 26-11 PROGRAMACION REALIZADA POR LA ALIANZA| INSTALACIÓN PROGRAMADA PARA EL 2025-11-27 | 27/11/2025 INSTALACIÓN CB OK</t>
  </si>
  <si>
    <t>OB004128-OB004836</t>
  </si>
  <si>
    <t>TA-25-1330536</t>
  </si>
  <si>
    <t>3007082357</t>
  </si>
  <si>
    <t>PTM MEDELLIN DROGUERIA FARMARK</t>
  </si>
  <si>
    <t>FO-25-1884135</t>
  </si>
  <si>
    <t>26/11/2025 26-11 PROGRAMACION REALIZADA POR LA ALIANZA| INSTALACIÓN PROGRAMADA PARA EL 2025-11-27 | 27/11/2025 SE HACE IMPLEMENTACION OK EQUIPOS OPERATIVOS PRUEBAS EXITOSAS SOMOS BANCOLOMBIA INACTIVO</t>
  </si>
  <si>
    <t>OB004837</t>
  </si>
  <si>
    <t>TA-25-1330537</t>
  </si>
  <si>
    <t>3007082358</t>
  </si>
  <si>
    <t>PTM MEDELLIN TIENDA DE COSMETI</t>
  </si>
  <si>
    <t>FO-25-1884136</t>
  </si>
  <si>
    <t>OB004838</t>
  </si>
  <si>
    <t>5120</t>
  </si>
  <si>
    <t>TA-25-1330538</t>
  </si>
  <si>
    <t>3007082326</t>
  </si>
  <si>
    <t>CACERES</t>
  </si>
  <si>
    <t>PTM CACERES DROGUERIA SUPERFAR</t>
  </si>
  <si>
    <t>FO-25-1884140</t>
  </si>
  <si>
    <t>26/11/2025 26-11 PROGRAMACION REALIZADA POR LA ALIANZA| INSTALACIÓN PROGRAMADA PARA EL 2025-11-28 | 28/11/2025 SE REALIZÓ INSTALACIÓN DE CB BANCOLOMBIA OK, PRUEBAS OK, USUARIOS OK, TELECARGA DRNA.</t>
  </si>
  <si>
    <t>OB004839</t>
  </si>
  <si>
    <t>CALDERA SALCEDO CARLOS JULIO</t>
  </si>
  <si>
    <t>5615</t>
  </si>
  <si>
    <t>TA-25-1330541</t>
  </si>
  <si>
    <t>3007082320</t>
  </si>
  <si>
    <t>RIONEGRO</t>
  </si>
  <si>
    <t>PTM RIONEGRO TIENDA LA ESQUINA</t>
  </si>
  <si>
    <t>FO-25-1884146</t>
  </si>
  <si>
    <t>26/11/2025 26-11 PROGRAMACION REALIZADA POR LA ALIANZA| INSTALACIÓN PROGRAMADA PARA EL 2025-11-28 | 28/11/2025 LA INSTALACIÓN DEL CORRESPONSAL BANCOLOMBIA SE REALIZÓ EXITOSAMENTE, INCLUYENDO LA PUESTA EN MARCHA DE LOS EQUIPOS ,  SE BRINDÓ CAPACITACIÓN AL CLIENTE SOBRE EL MANEJO DEL EQUIPO Y LOS PROCESOS DE TRANSACCIONES, ASEGURANDO UN USO ADECUADO DESDE EL PRIMER DÍA. ASIMISMO, SE INSTALARON LOS AVISOS SOLICITADOS, UBICÁNDOLOS DENTRO DEL LOCAL EN CUMPLIMIENTO DE LAS NORMAS DEL EDIFICIO, QUE NO PERMITEN INSTALACIÓN EN LA FACHADA EXTERNA. FINALMENTE, SE VERIFICÓ QUE TODO QUEDARA OPERATIVO Y EN CONDICIONES ÓPTIMAS PARA INICIAR LA ATENCIÓN AL PÚBLICO.</t>
  </si>
  <si>
    <t>OB004841-OB004138</t>
  </si>
  <si>
    <t>5690</t>
  </si>
  <si>
    <t>TA-25-1330542</t>
  </si>
  <si>
    <t>3007082341</t>
  </si>
  <si>
    <t>SANTO DOMINGO</t>
  </si>
  <si>
    <t>PTM MEDELLIN AGENCIA COONORTE</t>
  </si>
  <si>
    <t>FO-25-1884148</t>
  </si>
  <si>
    <t>26/11/2025 26-11 PROGRAMACION REALIZADA POR LA ALIANZA| INSTALACIÓN PROGRAMADA PARA EL 2025-11-28 | 28/11/2025 SE INSTALA PUBLICIDAD Y EQUIPOS A PETICIÓN DEL USUARIO, SERVICIOS OK, CAPACITACIÓN OK, USUARIO SOMOS BANCOLOMBIA NO CREADO POR EL BANCO</t>
  </si>
  <si>
    <t>OB004842</t>
  </si>
  <si>
    <t>8001</t>
  </si>
  <si>
    <t>TA-25-1330544</t>
  </si>
  <si>
    <t>3007082274</t>
  </si>
  <si>
    <t>ATLANTICO</t>
  </si>
  <si>
    <t>PTM BARRANQUILLA DROGUERIA Y V</t>
  </si>
  <si>
    <t>FO-25-1884154</t>
  </si>
  <si>
    <t>26/11/2025 26-11 PROGRAMACION REALIZADA POR LA ALIANZA| INSTALACIÓN PROGRAMADA PARA EL 2025-11-27 | 27/11/2025 SE INSTALAN EQUIPOS, ACCESORIOS Y PUBLICIDAD PARA CB BANCOLOMBIA</t>
  </si>
  <si>
    <t>OB004843 - OB004151</t>
  </si>
  <si>
    <t>DE AVILA SIADES ALBERTO ENRIQUE</t>
  </si>
  <si>
    <t>TA-25-1330546</t>
  </si>
  <si>
    <t>3007082275</t>
  </si>
  <si>
    <t>PTM ROBERTO DANIEL SAVIGNANO O</t>
  </si>
  <si>
    <t>FO-25-1884162</t>
  </si>
  <si>
    <t>26/11/2025 26-11 PROGRAMACION REALIZADA POR LA ALIANZA| INSTALACIÓN PROGRAMADA PARA EL 2025-11-27 | 27/11/2025 SE INSTALAN EQUIPOS Y PUBLICIDAD PARA CB BANCOLOMBIA
CORRESPONSAL MIXTO</t>
  </si>
  <si>
    <t>OB004844 - OB004156</t>
  </si>
  <si>
    <t>13836</t>
  </si>
  <si>
    <t>TA-25-1330547</t>
  </si>
  <si>
    <t>3007082350</t>
  </si>
  <si>
    <t>TURBACO</t>
  </si>
  <si>
    <t>PTM TURBACO TIENDA Y VARIEDADE</t>
  </si>
  <si>
    <t>FO-25-1884169</t>
  </si>
  <si>
    <t>26/11/2025 26-11 PROGRAMACION REALIZADA POR LA ALIANZA| INSTALACIÓN PROGRAMADA PARA EL 2025-11-28 | 28/11/2025 SE ESCALA NOVEDAD POR NO TENER NOMBRE DE NEGOCIO EL CUAL AUTORIZARON Y SE INSTALA Y SE ADJUNTA FOTO DE PRODUCTOS DENTRO DEL NEGOCIO | 29/11/2025 SE REALIZA INSTALACIÓN DE CORRESPONSAL AUTORIZADO SE INSTALA PUBLICIDAD SE REALIZAN PRUEBAS DE CONSULTA DE SALDO CONSIGNACIÓN RETIRO Y SE PRUEBA LECTOR DE BARRAS CON FACTURA SE CAPACITA Y TODO QUEDA OK</t>
  </si>
  <si>
    <t>OB004845</t>
  </si>
  <si>
    <t>MARTINEZ SALGUEDO ANDRES AUGUSTO</t>
  </si>
  <si>
    <t>17001</t>
  </si>
  <si>
    <t>TA-25-1330548</t>
  </si>
  <si>
    <t>3007082334</t>
  </si>
  <si>
    <t>PTM MANIZALES PAPELERIA  LINDS</t>
  </si>
  <si>
    <t>FO-25-1884173</t>
  </si>
  <si>
    <t>26/11/2025 26-11 PROGRAMACION REALIZADA POR LA ALIANZA| INSTALACIÓN PROGRAMADA PARA EL 2025-11-28 | 28/11/2025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</si>
  <si>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OB004846</t>
  </si>
  <si>
    <t>AGUIRRE HENAO RAUL EDUARDO</t>
  </si>
  <si>
    <t>TA-25-1330549</t>
  </si>
  <si>
    <t>3007082335</t>
  </si>
  <si>
    <t>PTM MANIZALES DROGUERIA FARMAM</t>
  </si>
  <si>
    <t>FO-25-1884177</t>
  </si>
  <si>
    <t>OB004847</t>
  </si>
  <si>
    <t>44430</t>
  </si>
  <si>
    <t>TA-25-1330550</t>
  </si>
  <si>
    <t>3007082333</t>
  </si>
  <si>
    <t>MAICAO</t>
  </si>
  <si>
    <t>PTM MAICAO TIENDA MEDINA E.M</t>
  </si>
  <si>
    <t>FO-25-1884181</t>
  </si>
  <si>
    <t>26/11/2025 26-11 PROGRAMACION REALIZADA POR LA ALIANZA| INSTALACIÓN PROGRAMADA PARA EL 2025-11-28 | 28/11/2025 SE REALIZA VISITA TÉCNICA, SE INSTALA DATAFONO Y SUS ACCESORIOS, SE REALIZA CAPACITACIÓN A LA PERSONA ENCARGADA DEL CB, SE REALIZAN PRUEBAS EXITOSAS, EQUIPO FUNCIONA CORRECTAMENTE, CB QUEDA OPERATIVO, SE INSTALA PUBLICIDAD DE BANCOLOMBIA.</t>
  </si>
  <si>
    <t>VJZZZ653 - OB004848</t>
  </si>
  <si>
    <t>DE AGUAS MUÑOZ DAVID JOSE</t>
  </si>
  <si>
    <t>TA-25-1330552</t>
  </si>
  <si>
    <t>3007082304</t>
  </si>
  <si>
    <t>PTM BUCARAMANGA PAPELERIA MAXI</t>
  </si>
  <si>
    <t>FO-25-1884188</t>
  </si>
  <si>
    <t>26/11/2025 26-11 PROGRAMACION REALIZADA POR LA ALIANZA| INSTALACIÓN PROGRAMADA PARA EL 2025-11-28 | 28/11/2025 SE REALIZA INSTALACIÓN DE AVISO EXTERIOR , FLANGER, DISPLAY LEGAL , IDENTIFICADOR,BASE , MAGIC BOX, DATÁFONO, LECTORA CAMBIO DE S.O Y VERSIÓN 10.3 CREACIÓN DE USUARIOS PRUEBAS OK SIN INGRESO A PÁGINA SOMOS BANCOLOMBIA SERVICIO OPERATIVO</t>
  </si>
  <si>
    <t>OB004170-OB004849</t>
  </si>
  <si>
    <t>REYES RAMIREZ DIEGO ALEXANDER</t>
  </si>
  <si>
    <t>TA-25-1330553</t>
  </si>
  <si>
    <t>3007082327</t>
  </si>
  <si>
    <t>PTM IBAGUE SURTITIENDA JENNI</t>
  </si>
  <si>
    <t>FO-25-1884189</t>
  </si>
  <si>
    <t>26/11/2025 26-11 PROGRAMACION REALIZADA POR LA ALIANZA| INSTALACIÓN PROGRAMADA PARA EL 2025-11-27 | 27/11/2025 SE REALIZA INSTALACIÓN DE CB BANCOLOMBIA, SE CAPACITA A JENNIFER VIVIANA CABREJO GUZMAN SOBRE EL MANEJO DEL CB; SE INSTALA PUBLICIDAD INCLUIDO HORARIO Y OTROS LUGARES PRUEBAS OK SE INSTALA CUBRE CLAVE.</t>
  </si>
  <si>
    <t>OB004850</t>
  </si>
  <si>
    <t>TA-25-1330554</t>
  </si>
  <si>
    <t>3007082328</t>
  </si>
  <si>
    <t>PTM  IBAGUE SALSAMENTARIA DEL</t>
  </si>
  <si>
    <t>FO-25-1884192</t>
  </si>
  <si>
    <t>26/11/2025 26-11 PROGRAMACION REALIZADA POR LA ALIANZA| INSTALACIÓN PROGRAMADA PARA EL 2025-11-27 | 28/11/2025 SE CAPACITA A LA SEÑORITA TATIANA SILVA, EN EL MANEJO DEL DATÁFONO Y SOMOS BANCOLOMBIA. SE HACEN PRUEBAS DE TRANSACCIONES TODO OK. SE CAMBIA DATÁFONO POR FALLA DE IMPRESORA.</t>
  </si>
  <si>
    <t>OB004851 - OB004180</t>
  </si>
  <si>
    <t>VARGAS HERRERA JHON JAIRO</t>
  </si>
  <si>
    <t>73352</t>
  </si>
  <si>
    <t>TA-25-1330556</t>
  </si>
  <si>
    <t>3007082330</t>
  </si>
  <si>
    <t>ICONONZO</t>
  </si>
  <si>
    <t>PTM TOLIMA MINIMERCADO LUPITA</t>
  </si>
  <si>
    <t>FO-25-1884198</t>
  </si>
  <si>
    <t>26/11/2025 26-11 PROGRAMACION REALIZADA POR LA ALIANZA| INSTALACIÓN PROGRAMADA PARA EL 2025-11-28 | 28/11/2025 INSTALACIÓN DE DATÁFONO, LECTOR,BASE, MAGIC BOX,FUENTE DESK,CABLE PASCOR,CUBRE CLAVE,40  ROLLOS CAPACITACIÓN SOMOS BANCOLOMBIA,
MANUAL OPERATIVO,MENU ADMINISTRATIVO,CREACIÓN DE USUARIO CREAR, MODIFICAR, ELIMINACIÓN, SOLICITUD DE ANULACIÓN, PUBLICIAD ,COMPARTE VIDEO VÍA WHATSAPP DE RESPONSABLE DE IVA E INFORMA CONTENIDO DEL MISMO
TRANSACCIÓNES DE PRUEBA O.K</t>
  </si>
  <si>
    <t>OB004853</t>
  </si>
  <si>
    <t>GUTIERREZ  CAMILO ANDRES</t>
  </si>
  <si>
    <t>TA-25-1330557</t>
  </si>
  <si>
    <t>3007082305</t>
  </si>
  <si>
    <t>PTM CALI SALSAMENTARIA LA 1</t>
  </si>
  <si>
    <t>FO-25-1884200</t>
  </si>
  <si>
    <t>26/11/2025 26-11 PROGRAMACION REALIZADA POR LA ALIANZA| INSTALACIÓN PROGRAMADA PARA EL 2025-11-28 | 28/11/2025 SE LLAMA AL CLIENTE, SE VALIDA INSTALACIÓN Y DISPONIBILIDAD, SE VISITA EL COMERCIO, SE INSTALA DATAFONO, LECTORA, ACCESORIOS EN APERTURA CB BANCOLOMBIA MIXTO, SE CAPACITA, PRUEBAS OK, TELECARGA TRNA</t>
  </si>
  <si>
    <t>OB004854</t>
  </si>
  <si>
    <t>76130</t>
  </si>
  <si>
    <t>TA-25-1330559</t>
  </si>
  <si>
    <t>3007082310</t>
  </si>
  <si>
    <t>CANDELARIA</t>
  </si>
  <si>
    <t>PTM CANDELARIA TEPAGA.COM</t>
  </si>
  <si>
    <t>FO-25-1884205</t>
  </si>
  <si>
    <t>26/11/2025 26-11 PROGRAMACION REALIZADA POR LA ALIANZA| INSTALACIÓN PROGRAMADA PARA EL 2025-11-27 | 27/11/2025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
‎</t>
  </si>
  <si>
    <t>OB004856</t>
  </si>
  <si>
    <t>76275</t>
  </si>
  <si>
    <t>TA-25-1330560</t>
  </si>
  <si>
    <t>3007082323</t>
  </si>
  <si>
    <t>FLORIDA</t>
  </si>
  <si>
    <t>PTM FLORIDA LUBRICANTES PINTUR</t>
  </si>
  <si>
    <t>FO-25-1884208</t>
  </si>
  <si>
    <t>26/11/2025 26-11 PROGRAMACION REALIZADA POR LA ALIANZA| INSTALACIÓN PROGRAMADA PARA EL 2025-11-27 | 27/11/2025 SE INSTALA EQUIPO, LECTOR Y ACCESORIOS, LUEGO SE REALIZA CAPACITACIÓN Y SE INSTALA PUBLICIDAD, PRIEBAS OK</t>
  </si>
  <si>
    <t>OB004857 - OB004190</t>
  </si>
  <si>
    <t>TA-25-1330561</t>
  </si>
  <si>
    <t>3007082331</t>
  </si>
  <si>
    <t>PTM JAMUNDI PAPELERIA Y VARIED</t>
  </si>
  <si>
    <t>FO-25-1884214</t>
  </si>
  <si>
    <t>26/11/2025 26-11 PROGRAMACION REALIZADA POR LA ALIANZA| INSTALACIÓN PROGRAMADA PARA EL 2025-11-28 | 28/11/2025 SE VISITA ESTABLECIMIENTO, SE REALIZA INSTALACIÓN CORRESPONSAL BANCOLOMBIA MIXTO. TRANSACCIONES DE PRUEBA EXITOSA. SE CAPACITA Y SE INSTALA PUBLICIDAD COMPLETA.</t>
  </si>
  <si>
    <t>OB004858 - OB004191</t>
  </si>
  <si>
    <t>76736</t>
  </si>
  <si>
    <t>TA-25-1330562</t>
  </si>
  <si>
    <t>3007082342</t>
  </si>
  <si>
    <t>SEVILLA</t>
  </si>
  <si>
    <t>PTM SEVILLA  DROGUERIA GLORIA</t>
  </si>
  <si>
    <t>FO-25-1884218</t>
  </si>
  <si>
    <t>26/11/2025 26-11 PROGRAMACION REALIZADA POR LA ALIANZA| INSTALACIÓN PROGRAMADA PARA EL 2025-11-27 | 27/11/2025 SE VISITA COMERCIO SE REALIZÓ APERTURA CB PURO REDEBANSE INSTALÓ DATAFONO, LECTOR, BASE, ROLLOS, PUBLICIDAD PRUEBAS OK.</t>
  </si>
  <si>
    <t>OB004859</t>
  </si>
  <si>
    <t>SANCHEZ SOLORZANO JUAN SEBASTIAN</t>
  </si>
  <si>
    <t>TA-25-1330563</t>
  </si>
  <si>
    <t>3007082349</t>
  </si>
  <si>
    <t>PTM TULUA RAPITIENDA HEDMONDT</t>
  </si>
  <si>
    <t>FO-25-1884220</t>
  </si>
  <si>
    <t>26/11/2025 26-11 PROGRAMACION REALIZADA POR LA ALIANZA| INSTALACIÓN PROGRAMADA PARA EL 2025-11-27 | 27/11/2025 SE REALIZA APERTURA DE CB BANCOLOMBIA MIXTO, SE INSTALA EQUIPO, ACCESORIOS Y PUBLICIDAD, SE REALIZAN PRUEBAS OK. SE ENTREGAN 40 ROLLOS TÉRMICOS REDEBAN.</t>
  </si>
  <si>
    <t>OB004860</t>
  </si>
  <si>
    <t>5042</t>
  </si>
  <si>
    <t>TA-25-1330564</t>
  </si>
  <si>
    <t>3007082321</t>
  </si>
  <si>
    <t>SANTA FE DE ANTIOQUIA</t>
  </si>
  <si>
    <t>PTM SANTA FE DE ANTIOQUIA VARI</t>
  </si>
  <si>
    <t>FO-25-1884223</t>
  </si>
  <si>
    <t>26/11/2025 26-11 PROGRAMACION REALIZADA POR LA ALIANZA| INSTALACIÓN PROGRAMADA PARA EL 2025-11-28 | 28/11/2025 INSTALACIÓN CB OK</t>
  </si>
  <si>
    <t>OB004861-OB004201</t>
  </si>
  <si>
    <t>TA-25-1330565</t>
  </si>
  <si>
    <t>3007082279</t>
  </si>
  <si>
    <t>PTM BOGOTA MISCELANEA URBANN</t>
  </si>
  <si>
    <t>FO-25-1884230</t>
  </si>
  <si>
    <t>26/11/2025 26-11 PROGRAMACION REALIZADA POR LA ALIANZA| INSTALACIÓN PROGRAMADA PARA EL 2025-11-28 | 28/11/2025 SE REALIZA INSTALACIÓN DE CORRESPONSAL BANCARIO CON  DATAFONO, SE CREAN USUARIOS DE CB INDICADOS POR EL CLIENTE, SE REALIZA PRUEBAS OK DE CB. CIERRES OK A CONFORMIDAD DE CORRESPONSAL SIN NOVEDAD EN INSTALACIÓN, NO SE REALIZA PRUEBA DE CONSULTA CDE SALDO NI DEPOSITO DEBIDO A QUE NO HAY TARJETA DE PRUEBA NI FACTURA DISPONIBLE.</t>
  </si>
  <si>
    <t>OB004862-OB001061</t>
  </si>
  <si>
    <t>LOZADA ROJAS CHRISTIAN ANDRES</t>
  </si>
  <si>
    <t>FECHA ASIGNACION A LINEA COMUNICACIONES</t>
  </si>
  <si>
    <t>FECHA CIERRE DEL TICKET (DD/MM/AAAA HH:MM)</t>
  </si>
  <si>
    <t>ACOMETIDA</t>
  </si>
  <si>
    <t>SOLICITUD</t>
  </si>
  <si>
    <t>CAUSAL ESTADO</t>
  </si>
  <si>
    <t>OBSERVACION</t>
  </si>
  <si>
    <t>DIAS DE VISITA</t>
  </si>
  <si>
    <t>TRANSPORTE AVISO EXTERIOR</t>
  </si>
  <si>
    <t>VALOR ACTIVIDAD</t>
  </si>
  <si>
    <t>VALOR TRANSPORTE AVISO</t>
  </si>
  <si>
    <t>15835</t>
  </si>
  <si>
    <t>3007048615</t>
  </si>
  <si>
    <t>OC PUBLICIDAD</t>
  </si>
  <si>
    <t>TURMEQUE</t>
  </si>
  <si>
    <t>BARRIO CENTRO TURMEQUE</t>
  </si>
  <si>
    <t>FO-25-1751113</t>
  </si>
  <si>
    <t>PUBLICIDAD</t>
  </si>
  <si>
    <t>AVISO EXTERIOR</t>
  </si>
  <si>
    <t>CB UNO A UNO</t>
  </si>
  <si>
    <t>PETICIÓN USUARIO</t>
  </si>
  <si>
    <t>29/10/2025 POR FAVOR, COMUNICARSE CON USUARIO PARA CONFIRMAR UBICACION, SOLICITUD Y PROGRAMAR VISITA TECNICA | 04/11/2025 SE ESTABLECE COMUNICACIÓN CON EL CLIENTE PARA VALIDAR LA ORDEN GENERADA. EL CLIENTE INDICA QUE DICHA ORDEN CORRESPONDE A LA INSTALACIÓN DE LA PUBLICIDAD TIPO FLANGER, YA QUE EL AVISO EXTERIOR ACTUAL SE ENCUENTRA EN PERFECTO ESTADO.SE LE INFORMA QUE LA ORDEN REGISTRADA CORRESPONDE A UN AVISO EXTERIOR DE 1.50 METROS, SIENDO ESTE EL ÚNICO TIPO DE PUBLICIDAD ACTUALMENTE AUTORIZADO. SE ACLARA QUE LA INSTALACIÓN DEL FLANGER NO ESTÁ PERMITIDA.SE PROCEDE CON EL CIERRE DE LA ORDEN Y SE SUGIERE AL CLIENTE COMUNICARSE NUEVAMENTE CON LA LÍNEA DE ATENCIÓN DE BANCOLOMBIA PARA INFORMAR SU CASO Y SOLICITAR, SI ES POSIBLE, LA GENERACIÓN DE UNA ORDEN ESPECÍFICA PARA LA INSTALACIÓN DEL FLANGER. EL CLIENTE MANIFIESTA ESTAR CONFORME CON LA INFORMACIÓN BRINDADA.</t>
  </si>
  <si>
    <t>3007052695</t>
  </si>
  <si>
    <t>PTM CALI SOCIAL FRUVER SERVICA</t>
  </si>
  <si>
    <t>FO-25-1751103</t>
  </si>
  <si>
    <t>EJECUTADO EXITOSO</t>
  </si>
  <si>
    <t>29/10/2025 POR FAVOR, COMUNICARSE CON USUARIO PARA CONFIRMAR UBICACION, SOLICITUD Y PROGRAMAR VISITA TECNICA | 04/11/2025 SE REALIZA INSTALACIÓN DE NUEVO AVISO EXTERIOR DEBIDO A QUE EL ANTERIOR SE LO ROBARON.</t>
  </si>
  <si>
    <t>3007077759</t>
  </si>
  <si>
    <t>BARRIO CENTRO MEDELLIN 105</t>
  </si>
  <si>
    <t>FO-25-1751200</t>
  </si>
  <si>
    <t>29/10/2025 POR FAVOR, COMUNICARSE CON USUARIO PARA CONFIRMAR UBICACION, SOLICITUD Y PROGRAMAR VISITA TECNICA | 01/11/2025 SE INSTALA AVISO EXTERIOR OK</t>
  </si>
  <si>
    <t>3007045206</t>
  </si>
  <si>
    <t>DISTRICOL CAJITA DE ILUSIONES</t>
  </si>
  <si>
    <t>FO-25-1751201</t>
  </si>
  <si>
    <t>29/10/2025 POR FAVOR, COMUNICARSE CON USUARIO PARA CONFIRMAR UBICACION, SOLICITUD Y PROGRAMAR VISITA TECNICA | 04/11/2025 INSTALACIÓN DE AVISO EXTERIOR OK</t>
  </si>
  <si>
    <t>3007042711</t>
  </si>
  <si>
    <t>PTM MED SERVI SALUD</t>
  </si>
  <si>
    <t>FO-25-1753694</t>
  </si>
  <si>
    <t>3007069701</t>
  </si>
  <si>
    <t>DISTRICOL LA PERFU TIENDA</t>
  </si>
  <si>
    <t>FO-25-1753697</t>
  </si>
  <si>
    <t>29/10/2025 POR FAVOR, COMUNICARSE CON USUARIO PARA CONFIRMAR UBICACION, SOLICITUD Y PROGRAMAR VISITA TECNICA | 01/11/2025 SE LLAMABA USUARIO Y NO CONTESTA, VISITA PUNTO Y SE CONFIRMA QUE NO ERA POR AVISO EXTERIOR SINO POR FLANGER</t>
  </si>
  <si>
    <t>18460</t>
  </si>
  <si>
    <t>3007081016</t>
  </si>
  <si>
    <t>CAQUETA</t>
  </si>
  <si>
    <t>MILAN</t>
  </si>
  <si>
    <t>DISTRICOL MISELANEA FAMILIAR</t>
  </si>
  <si>
    <t>FO-25-1755261</t>
  </si>
  <si>
    <t>30/10/2025 SE COMUNICA CON EL USUARIO VALIDAR UBICACION, SOLICITUD Y PROGRAMAR VISITA TECNICA | 04/11/2025 SE REALIZA INSTALACIÓN DE AVISO EXTERIOR YA QUE EL ANTERIOR SE CAYÓ Y SE DAÑÓ.</t>
  </si>
  <si>
    <t>BERMUDEZ SANCHEZ JOSE NEYBER</t>
  </si>
  <si>
    <t>54498</t>
  </si>
  <si>
    <t>3007042524</t>
  </si>
  <si>
    <t>OCAÑA</t>
  </si>
  <si>
    <t>BARRIO SANTA CLARA OCANA 1</t>
  </si>
  <si>
    <t>FO-25-1756889</t>
  </si>
  <si>
    <t>30/10/2025 SE LLAMA A EL USUARIO NO HAY COMUNICACION | 05/11/2025 SE REALIZA VISITA AL COMERCIO SE INSTALA AVISO EXTERIOR DEBIDO A QUE EL ANTERIOR SE PARTIÓ</t>
  </si>
  <si>
    <t>50006</t>
  </si>
  <si>
    <t>3007051716</t>
  </si>
  <si>
    <t>ACACIAS</t>
  </si>
  <si>
    <t>BARRIO BACHUE ACACIAS 4</t>
  </si>
  <si>
    <t>FO-25-1761651</t>
  </si>
  <si>
    <t>UNO A UNO</t>
  </si>
  <si>
    <t>30/10/2025 POR FAVOR, COMUNICARSE CON USUARIO PARA CONFIRMAR UBICACION, SOLICITUD Y PROGRAMAR VISITA TECNICA | 04/11/2025 SE REALIZA INSTALACIÓN DE AVISO EXTERIOR</t>
  </si>
  <si>
    <t>MURCIA HERNANDEZ HARVEY IGNACIO</t>
  </si>
  <si>
    <t>25718</t>
  </si>
  <si>
    <t>3007023053</t>
  </si>
  <si>
    <t>SASAIMA</t>
  </si>
  <si>
    <t>BR SANTA INES SASAIMA</t>
  </si>
  <si>
    <t>FO-25-1768309</t>
  </si>
  <si>
    <t>01/11/2025 POR FAVOR, COMUNICARSE CON USUARIO PARA CONFIRMAR UBICACION, SOLICITUD Y PROGRAMAR VISITA TECNICA | 04/11/2025 SE REALIZA INSTALACIÓN DE AVISO EXTERIOR</t>
  </si>
  <si>
    <t>MICHELI LOPEZ MIGUEL ANGEL</t>
  </si>
  <si>
    <t>3007040101</t>
  </si>
  <si>
    <t>PTM RED MED SAMMY SHOP</t>
  </si>
  <si>
    <t>FO-25-1768308</t>
  </si>
  <si>
    <t>01/11/2025 POR FAVOR, COMUNICARSE CON USUARIO PARA CONFIRMAR UBICACION, SOLICITUD Y PROGRAMAR VISITA TECNICA | 04/11/2025 CLIENTE INFORMA QUE HOY NO PODÍA ATENDER QUE MAÑANA SE PUEDE VISITAR | 05/11/2025 INSTALACIÓN DE AVISO EXTERIOR OK</t>
  </si>
  <si>
    <t>3007055395</t>
  </si>
  <si>
    <t>PTM JAMUNDI VARIEDADES LAS 2K</t>
  </si>
  <si>
    <t>FO-25-1769702</t>
  </si>
  <si>
    <t>01/11/2025 POR FAVOR, COMUNICARSE CON USUARIO PARA CONFIRMAR UBICACION, SOLICITUD Y PROGRAMAR VISITA TECNICA | 04/11/2025 SE REALIZA INSTALACIÓN DE AVISO EXTERIOR EL QUE TENÍA SE CAYÓ Y SE DAÑÓ, NO SE INTERVIENE EQUIPOS</t>
  </si>
  <si>
    <t>3007037389</t>
  </si>
  <si>
    <t>BARRIO CALLE CENTENARIO SEGOVI</t>
  </si>
  <si>
    <t>FO-25-1770796</t>
  </si>
  <si>
    <t>02/11/2025 SE ESCALA PARA VISITA. LLAMAR ANTES DE VISITAR, CONFIRMAR FALLA Y DATOS | 10/11/2025 SE LLEGA EL DÍA 10 DE NOVIEMBRE  PERO EL TRANSPORTE DONDE VENÍA EL AVISO NO PUDO LLEGAR POR PARES Y SIGAS Y LLEGO DESPUÉS DE LAS 7PM EL CB ESTÁBA CERRADO SE HABLA CON EL USUARIO E INDICA QUE TIENE UNA CITA EN LA MAÑANA Y LLEGA DESPUÉS DE LAS 9 AM SE QUEDA DE VISITAR EN PRIMERA HORA | 11/11/2025 SE REALIZA LA ENTREGA DE AVISO EXTERIOR SE INSTALA</t>
  </si>
  <si>
    <t>MONTOYA VELEZ ANDRES FELIPE</t>
  </si>
  <si>
    <t>3007080605</t>
  </si>
  <si>
    <t>BARRIO LA GAVIOTA IBAGUE 8</t>
  </si>
  <si>
    <t>FO-25-1774265</t>
  </si>
  <si>
    <t>04/11/2025 POR FAVOR, COMUNICARSE CON USUARIO PARA CONFIRMAR UBICACION, SOLICITUD Y PROGRAMAR VISITA TECNICA | 05/11/2025 SE REALIZA INSTALACIÓN DE AVISÓ EXTERIOR POR ROBO.</t>
  </si>
  <si>
    <t>17495</t>
  </si>
  <si>
    <t>3007024076</t>
  </si>
  <si>
    <t>NORCASIA</t>
  </si>
  <si>
    <t>PTM MULTIMOVIL FC</t>
  </si>
  <si>
    <t>FO-25-1775851</t>
  </si>
  <si>
    <t>04/11/2025 POR FAVOR, COMUNICARSE CON USUARIO PARA CONFIRMAR UBICACION, SOLICITUD Y PROGRAMAR VISITA TECNICA | 06/11/2025 SE INSTALA AVISO EXTERIOR POR DAÑO DEL ANTERIOR POR TORMENTA</t>
  </si>
  <si>
    <t>66001</t>
  </si>
  <si>
    <t>3007049275</t>
  </si>
  <si>
    <t>DISTRICOL TIENDA NUEVA VILLA</t>
  </si>
  <si>
    <t>FO-25-1776074</t>
  </si>
  <si>
    <t>04/11/2025 POR FAVOR, COMUNICARSE CON USUARIO PARA CONFIRMAR UBICACION, SOLICITUD Y PROGRAMAR VISITA TECNICA | 06/11/2025 VISITAMOS COMERCIO REALIZAMOS INSTALACIÓN DE AVISO EXTERIOR YA QUE LE ROBARON EL QUE TENIA</t>
  </si>
  <si>
    <t>41797</t>
  </si>
  <si>
    <t>3007054452</t>
  </si>
  <si>
    <t>HUILA</t>
  </si>
  <si>
    <t>TESALIA</t>
  </si>
  <si>
    <t>BARRIO ARANZASU TESALIA</t>
  </si>
  <si>
    <t>FO-25-1777416</t>
  </si>
  <si>
    <t>04/11/2025 POR FAVOR, COMUNICARSE CON USUARIO PARA CONFIRMAR UBICACION, SOLICITUD Y PROGRAMAR VISITA TECNICA | 08/11/2025 SE REALIZA VISITA AL PUNTO SE IMPLEMNTA CON ÉXITO AVISO EXTERIOR POR DAÑO</t>
  </si>
  <si>
    <t>DEVIA REINOSO JUAN CARLOS</t>
  </si>
  <si>
    <t>3007068100</t>
  </si>
  <si>
    <t>PTM CALI MEGAFARMAS PLUS1</t>
  </si>
  <si>
    <t>FO-25-1784319</t>
  </si>
  <si>
    <t>EJECUTADO / CANCELADO</t>
  </si>
  <si>
    <t>05/11/2025 POR FAVOR, COMUNICARSE CON USUARIO PARA CONFIRMAR UBICACION, SOLICITUD Y PROGRAMAR VISITA TECNICA | 08/11/2025 SE VISITA CORRESPONSAL Y CLIENTE INDICA QUE PIDIÓ FLANGER YA QUE CUENTA CON AVISO EXTERIOR. NO SE INSTALA AVISO</t>
  </si>
  <si>
    <t>3007070860</t>
  </si>
  <si>
    <t>BARRIO VILLA DEL PRADO CALI 2</t>
  </si>
  <si>
    <t>FO-25-1785529</t>
  </si>
  <si>
    <t>06/11/2025 POR FAVOR, COMUNICARSE CON USUARIO PARA CONFIRMAR UBICACION, SOLICITUD Y PROGRAMAR VISITA TECNICA | 07/11/2025 CLIENTE SE KE AVIA CAIDO EL AVISO EXTERIOR SE VUELVE A INSTALAR YA QUE EL AVISO ESTABA EN PERFECTO ESTADO</t>
  </si>
  <si>
    <t>CUERO RUIZ JHONNY</t>
  </si>
  <si>
    <t>5665</t>
  </si>
  <si>
    <t>3007044358</t>
  </si>
  <si>
    <t>SAN PEDRO DE URABA</t>
  </si>
  <si>
    <t>DISTRICOL CELUCOM JAENNY</t>
  </si>
  <si>
    <t>FO-25-1787430</t>
  </si>
  <si>
    <t>06/11/2025 POR FAVOR, COMUNICARSE CON USUARIO PARA CONFIRMAR UBICACION, SOLICITUD Y PROGRAMAR VISITA TECNICA | 07/11/2025 INSTALACIÓN AVISO EXTERIOR</t>
  </si>
  <si>
    <t>3007079096</t>
  </si>
  <si>
    <t>BARRIO ANTARES 1 IBAGUE</t>
  </si>
  <si>
    <t>FO-25-1790957</t>
  </si>
  <si>
    <t>06/11/2025 POR FAVOR, COMUNICARSE CON USUARIO PARA CONFIRMAR UBICACION, SOLICITUD Y PROGRAMAR VISITA TECNICA | 12/11/2025 SE LLEGA A LA DIRECCIÓN DEL CORRESPONSAL, SE GOLPEA Y LLAMA A LA PUERTA PERO NADIE CONTESTA. EL COMERCIO NO TIENE NADIE QUE LO ATIENDA</t>
  </si>
  <si>
    <t>5686</t>
  </si>
  <si>
    <t>3007031779</t>
  </si>
  <si>
    <t>SANTA ROSA DE OSOS</t>
  </si>
  <si>
    <t>BARRIO LA TERMINAL SANTA ROSA</t>
  </si>
  <si>
    <t>FO-25-1791070</t>
  </si>
  <si>
    <t>06/11/2025 POR FAVOR, COMUNICARSE CON USUARIO PARA CONFIRMAR UBICACION, SOLICITUD Y PROGRAMAR VISITA TECNICA | 11/11/2025 SE INSTALA AVISO EXTERIOR A PETICIÓN DEL USUARIO</t>
  </si>
  <si>
    <t>3007074360</t>
  </si>
  <si>
    <t>DISTRICOL HOGAR TEKA</t>
  </si>
  <si>
    <t>FO-25-1792478</t>
  </si>
  <si>
    <t>06/11/2025 POR FAVOR, COMUNICARSE CON USUARIO PARA CONFIRMAR UBICACION, SOLICITUD Y PROGRAMAR VISITA TECNICA | 12/11/2025 SE INSTALA AVISO EXTERIOR OK</t>
  </si>
  <si>
    <t>5209</t>
  </si>
  <si>
    <t>3007063971</t>
  </si>
  <si>
    <t>CONCORDIA</t>
  </si>
  <si>
    <t>BARRIO CENTRO CONCORDIA</t>
  </si>
  <si>
    <t>FO-25-1811296</t>
  </si>
  <si>
    <t>12/11/2025 SE REALIZA VISITA TÉCNICA PARA LA INSTALACIÓN DEL AVISO EXTERIOR DEL CORRESPONSAL BANCOLOMBIA. EL USUARIO CONFIRMA LA IDENTIFICACIÓN DEL TÉCNICO SIN NOVEDADES. DURANTE LA VISITA, INFORMA QUE EL AVISO EXTERIOR DEL CORRESPONSAL SE DESPRENDIÓ A CAUSA DE UNA FUERTE TEMPESTAD. ATENDIENDO LA SOLICITUD, SE PROCEDE CON LA REINSTALACIÓN DEL AVISO EXTERIOR, COMPLETANDO LA LABOR DE FORMA EXITOSA SEGÚN LAS INDICACIONES DEL CLIENTE.</t>
  </si>
  <si>
    <t>25402</t>
  </si>
  <si>
    <t>3007023945</t>
  </si>
  <si>
    <t>LA VEGA</t>
  </si>
  <si>
    <t>BARRIO EL VINO BARRIO EL VINO</t>
  </si>
  <si>
    <t>FO-25-1792798</t>
  </si>
  <si>
    <t>06/11/2025 POR FAVOR, COMUNICARSE CON USUARIO PARA CONFIRMAR UBICACION, SOLICITUD Y PROGRAMAR VISITA TECNICA | 11/11/2025 SE LLEGA A LA DIRECCIÓN INDICADA Y SE INSTALA AVISO EXTERIOR POR ROBO</t>
  </si>
  <si>
    <t>76147</t>
  </si>
  <si>
    <t>3007059645</t>
  </si>
  <si>
    <t>CARTAGO</t>
  </si>
  <si>
    <t>BARRIO SAN NICOLAS CARTAGO 1</t>
  </si>
  <si>
    <t>FO-25-1792919</t>
  </si>
  <si>
    <t>PETICIÓN BANCOLOMBIA</t>
  </si>
  <si>
    <t>06/11/2025 POR FAVOR, COMUNICARSE CON USUARIO PARA CONFIRMAR UBICACION, SOLICITUD Y PROGRAMAR VISITA TECNICA | 10/11/2025 SE LLEGA AL PUNTO, SE EVIDENCIA QUE YA HAY UN AVISO INSTALADO, NO SE PROCEDE A INSTALAR.</t>
  </si>
  <si>
    <t>FRANCO CAÑAVERAL YAMID RAUL</t>
  </si>
  <si>
    <t>3007027419</t>
  </si>
  <si>
    <t>BARRIO BOLIVAR 3 POPAYAN</t>
  </si>
  <si>
    <t>FO-25-1794511</t>
  </si>
  <si>
    <t>07/11/2025 POR FAVOR, COMUNICARSE CON USUARIO PARA CONFIRMAR UBICACION, SOLICITUD Y PROGRAMAR VISITA TECNICA | 10/11/2025 SE LLEGA AL SITIO SE ENCUENTRA CERRADO SE LLAMA AL CB NO CONTESTAN</t>
  </si>
  <si>
    <t>3007050697</t>
  </si>
  <si>
    <t>PTM CUCUTA PUNTOSERVIS</t>
  </si>
  <si>
    <t>FO-25-1794811</t>
  </si>
  <si>
    <t>07/11/2025 POR FAVOR, COMUNICARSE CON USUARIO PARA CONFIRMAR UBICACION, SOLICITUD Y PROGRAMAR VISITA TECNICA | 11/11/2025 SE VISITA COMERCIO Y SE INSTALA AVISO EXTERIOR DE 1.50 MT.</t>
  </si>
  <si>
    <t>3007034309</t>
  </si>
  <si>
    <t>BARRIO SANTO DOMINGO CALI</t>
  </si>
  <si>
    <t>FO-25-1796169</t>
  </si>
  <si>
    <t>07/11/2025 POR FAVOR, COMUNICARSE CON USUARIO PARA CONFIRMAR UBICACION, SOLICITUD Y PROGRAMAR VISITA TECNICA | 08/11/2025 SE LLAMA AL CLIENTE SE VÁLIDA SOLICITUD Y DIRECCIÓN, SE VISITA EL COMERCIO, SE INSTALA AVISO EXTERIOR DEBIDO A QUE EL ANTERIOR SE LO DAÑARON, NO SE INTERVIENE EQUIPOS</t>
  </si>
  <si>
    <t>20001</t>
  </si>
  <si>
    <t>3007072095</t>
  </si>
  <si>
    <t>VALLEDUPAR FUNDADORES1</t>
  </si>
  <si>
    <t>FO-25-1797740</t>
  </si>
  <si>
    <t>07/11/2025 POR FAVOR, COMUNICARSE CON USUARIO PARA CONFIRMAR UBICACION, SOLICITUD Y PROGRAMAR VISITA TECNICA | 10/11/2025 BUENAS TARDES SE VISITA CB Y SE LE HACE INSTALACIÓN DE AVISO EXTERIOR</t>
  </si>
  <si>
    <t>BENITEZ CARVAJAL ALVARO JAVIER</t>
  </si>
  <si>
    <t>5266</t>
  </si>
  <si>
    <t>3007037925</t>
  </si>
  <si>
    <t>ENVIGADO</t>
  </si>
  <si>
    <t>PTM EDS TEXACO 10 ENVIGADO</t>
  </si>
  <si>
    <t>FO-25-1799070</t>
  </si>
  <si>
    <t>08/11/2025 POR FAVOR, COMUNICARSE CON USUARIO PARA CONFIRMAR UBICACION, SOLICITUD Y PROGRAMAR VISITA TECNICA | 14/11/2025 SE REALIZA INSTALACIÓN DE AVISO EXTERIOR</t>
  </si>
  <si>
    <t>HERNANDEZ CHAVARRIA JUAN CAMILO</t>
  </si>
  <si>
    <t>50568</t>
  </si>
  <si>
    <t>3007050390</t>
  </si>
  <si>
    <t>PUERTO GAITAN</t>
  </si>
  <si>
    <t>BARRIO CENTRO PUERTO GAITAN 4</t>
  </si>
  <si>
    <t>FO-25-1800541</t>
  </si>
  <si>
    <t>08/11/2025 POR FAVOR, COMUNICARSE CON USUARIO PARA CONFIRMAR UBICACION, SOLICITUD Y PROGRAMAR VISITA TECNICA | 11/11/2025 SE REALIZA INSTALACIÓN DE AVISO EXTERIOR SE LO ROBARON</t>
  </si>
  <si>
    <t>5376</t>
  </si>
  <si>
    <t>3007044519</t>
  </si>
  <si>
    <t>LA CEJA</t>
  </si>
  <si>
    <t>DISTRICOL VARIEDADES YENIEST</t>
  </si>
  <si>
    <t>FO-25-1804059</t>
  </si>
  <si>
    <t>10/11/2025 POR FAVOR, COMUNICARSE CON USUARIO PARA CONFIRMAR UBICACION, SOLICITUD Y PROGRAMAR VISITA TECNICA | 15/11/2025 SE INSTALA AVISO EXTERIOR</t>
  </si>
  <si>
    <t>3007038310</t>
  </si>
  <si>
    <t>BARRIO KENNEDY BUCARAMANGA</t>
  </si>
  <si>
    <t>FO-25-1807572</t>
  </si>
  <si>
    <t>10/11/2025 POR FAVOR, COMUNICARSE CON USUARIO PARA CONFIRMAR UBICACION, SOLICITUD Y PROGRAMAR VISITA TECNICA | 11/11/2025 SE HACE PRESENCIA EN COMERCIO SE REALIZA INSTALACIÓN DE AVISO DEBIDO A QUE EL QUE ESTABA EN EL COMERCIO SE DAÑO</t>
  </si>
  <si>
    <t>BARRERA ORTEGA MARLON STWAR</t>
  </si>
  <si>
    <t>3007052425</t>
  </si>
  <si>
    <t>BARRIO FUERA DEL MUNICIPIO DE</t>
  </si>
  <si>
    <t>FO-25-1809530</t>
  </si>
  <si>
    <t>11/11/2025 POR FAVOR, COMUNICARSE CON USUARIO PARA CONFIRMAR UBICACION, SOLICITUD Y PROGRAMAR VISITA TECNICA | 19/11/2025 TENIENDO EN CUENTA LA SOLICITUD DEL CASO, SE DEJA EN CONOCIMIENTO QUE EL MUNICIPIO DE TIBÚ ES UNA ZONA DE ALTO RIESGO, CATALOGADA COMO ZONA ROJA DEBIDO AL CONSTANTE HOSTIGAMIENTO DE GRUPOS ARMADOS AL MARGEN DE LA LEY.
SE INTENTARÁ ESTABLECER COMUNICACIÓN PARA CONFIRMAR LA ENTREGA A TRAVÉS DE LA TRANSPORTADORA, SEGÚN LAS INDICACIONES DE LA RESPUESTA DE REDEBAN Y LA ENTIDAD
.
NÚMERO DE CONTACTO: 322 245 6780 – NELSON ROMERO. | 29/11/2025 SE REALIZA ENVIO DE AVISO POR TRANSPORTADORA DEBIDO A QUE  ES ZONA ROJA CATATUMBO, AUTORIZADA POR LA ENTIDAD, CLIENTE AUTORIZA ENVIO. SE REALIZA ENVIO EXITOSO.</t>
  </si>
  <si>
    <t>47189</t>
  </si>
  <si>
    <t>3007053759</t>
  </si>
  <si>
    <t>CIENAGA</t>
  </si>
  <si>
    <t>PTM CIENAGA VARIEDADES VPM</t>
  </si>
  <si>
    <t>FO-25-1811465</t>
  </si>
  <si>
    <t>11/11/2025 POR FAVOR, COMUNICARSE CON USUARIO PARA CONFIRMAR UBICACION, SOLICITUD Y PROGRAMAR VISITA TECNICA | 12/11/2025 SE REALIZA INSTALACIÓN DE AVISO EXTERIOR A SATISFACCIÓN DEL CLIENTE</t>
  </si>
  <si>
    <t>3007068185</t>
  </si>
  <si>
    <t>BARRANCAS BOGOTA CUNDINAMARCA</t>
  </si>
  <si>
    <t>FO-25-1816479</t>
  </si>
  <si>
    <t>12/11/2025 POR FAVOR, COMUNICARSE CON USUARIO PARA CONFIRMAR UBICACION, SOLICITUD Y PROGRAMAR VISITA TECNICA | 14/11/2025 INSTALACIÓN DE AVISO EXTERIOR POR VANDALISMO</t>
  </si>
  <si>
    <t>FO-25-1817853</t>
  </si>
  <si>
    <t>12/11/2025 POR FAVOR, COMUNICARSE CON USUARIO PARA CONFIRMAR UBICACION, SOLICITUD Y PROGRAMAR VISITA TECNICA | 13/11/2025 SE REALIZA INSTALACIÓN DE NUEVO AVISO EXTERIOR DEBIDO A QUE EL ANTERIOR FUE ROBADO</t>
  </si>
  <si>
    <t>8573</t>
  </si>
  <si>
    <t>3007040288</t>
  </si>
  <si>
    <t>PUERTO COLOMBIA</t>
  </si>
  <si>
    <t>BARRIO PUERTO COLOMBIA PUERTO</t>
  </si>
  <si>
    <t>FO-25-1818556</t>
  </si>
  <si>
    <t>12/11/2025 POR FAVOR, COMUNICARSE CON USUARIO PARA CONFIRMAR UBICACION, SOLICITUD Y PROGRAMAR VISITA TECNICA | 15/11/2025 SE INSTALA AVISO EXTERIOR, EL QUE ESTABA SE LE PARTIÓ EL ACRÍLICO</t>
  </si>
  <si>
    <t>3007034512</t>
  </si>
  <si>
    <t>BARRIO MOLINOS BOGOTA 1</t>
  </si>
  <si>
    <t>FO-25-1818562</t>
  </si>
  <si>
    <t>12/11/2025 POR FAVOR, COMUNICARSE CON USUARIO PARA CONFIRMAR UBICACION, SOLICITUD Y PROGRAMAR VISITA TECNICA | 13/11/2025 SE REALIZA LA INSTALACIÓN DEL AVISO EXTERIOR</t>
  </si>
  <si>
    <t>3007070795</t>
  </si>
  <si>
    <t>BARRIO SUBA LA CAMPINA BOGOTA</t>
  </si>
  <si>
    <t>FO-25-1818557</t>
  </si>
  <si>
    <t>12/11/2025 POR FAVOR, COMUNICARSE CON USUARIO PARA CONFIRMAR UBICACION, SOLICITUD Y PROGRAMAR VISITA TECNICA | 18/11/2025 SE REALIZA REINSTALACIÓN DE AVISO EXTERNO. MOTIVO DETERIORO</t>
  </si>
  <si>
    <t>3007034401</t>
  </si>
  <si>
    <t>COMCARD MED JANAVI</t>
  </si>
  <si>
    <t>FO-25-1819393</t>
  </si>
  <si>
    <t>12/11/2025 POR FAVOR, COMUNICARSE CON USUARIO PARA CONFIRMAR UBICACION, SOLICITUD Y PROGRAMAR VISITA TECNICA | 13/11/2025 INSTALACIÓN DE AVISO EXTERIOR OK</t>
  </si>
  <si>
    <t>3007052248</t>
  </si>
  <si>
    <t>BARRIO BELLAVISTA BOGOTA 2</t>
  </si>
  <si>
    <t>FO-25-1819597</t>
  </si>
  <si>
    <t>13/11/2025 SE REALIZA INSTALACIÓN DE AVISO EXTERIOR</t>
  </si>
  <si>
    <t>15740</t>
  </si>
  <si>
    <t>3007050560</t>
  </si>
  <si>
    <t>SIACHOQUE</t>
  </si>
  <si>
    <t>PTM SIACHOQUE PAPELERIA SAN AL</t>
  </si>
  <si>
    <t>FO-25-1823005</t>
  </si>
  <si>
    <t>13/11/2025 POR FAVOR, COMUNICARSE CON USUARIO PARA CONFIRMAR UBICACION, SOLICITUD Y PROGRAMAR VISITA TECNICA | 13/11/2025 SE VISITA CB INSTALACION AVISO EXTERIOR</t>
  </si>
  <si>
    <t>GONZALEZ GONZALEZ MARIO ALBERTO</t>
  </si>
  <si>
    <t>15480</t>
  </si>
  <si>
    <t>3007022786</t>
  </si>
  <si>
    <t>MUZO</t>
  </si>
  <si>
    <t>BARRIO CENTRO III MUZO</t>
  </si>
  <si>
    <t>FO-25-1822956</t>
  </si>
  <si>
    <t>13/11/2025 POR FAVOR, COMUNICARSE CON USUARIO PARA CONFIRMAR UBICACION, SOLICITUD Y PROGRAMAR VISITA TECNICA | 13/11/2025 SE ESTABLECE COMUNICACIÓN CON LA SEÑORA LINA MARÍA DURAN AL NÚMERO DE CONTACTO 3213443183 CLIENTE CONFIRMA TENER LA DISPONIBILIDAD PARA EL DÍA DE MAÑANA PARA LA INSTALACIÓN DEL AVISO EXTERIOR. | 14/11/2025 SE REALIZA INSTALACIÓN AVISO EXTERIOR 1.50 METROS NUEVO POR REGULAR ESTADO PRUEBAS OK CLIENTE CONFORME</t>
  </si>
  <si>
    <t>3007057162</t>
  </si>
  <si>
    <t>PTM CUCUTA FARMA EXITO PALMERA</t>
  </si>
  <si>
    <t>FO-25-1828057</t>
  </si>
  <si>
    <t>14/11/2025 POR FAVOR, COMUNICARSE CON USUARIO PARA CONFIRMAR UBICACION, SOLICITUD Y PROGRAMAR VISITA TECNICA | 18/11/2025 SE VISITA COMERCIO, SE INSTALA AVISO</t>
  </si>
  <si>
    <t>3007064884</t>
  </si>
  <si>
    <t>DISTRICOL ARTHEMIS</t>
  </si>
  <si>
    <t>FO-25-1828347</t>
  </si>
  <si>
    <t>14/11/2025 POR FAVOR, COMUNICARSE CON USUARIO PARA CONFIRMAR UBICACION, SOLICITUD Y PROGRAMAR VISITA TECNICA | 15/11/2025 SE VISITA CORRESPONSAL Y SE REALIZA INSTALACIÓN AVISO EXTERIOR</t>
  </si>
  <si>
    <t>5347</t>
  </si>
  <si>
    <t>3007059672</t>
  </si>
  <si>
    <t>HELICONIA</t>
  </si>
  <si>
    <t>BARRIO AVENIDA PRINCIPAL HELIC</t>
  </si>
  <si>
    <t>FO-25-1836535</t>
  </si>
  <si>
    <t>17/11/2025 POR FAVOR, COMUNICARSE CON USUARIO PARA CONFIRMAR UBICACION, SOLICITUD Y PROGRAMAR VISITA TECNICA | 18/11/2025 SE INSTALA AVISO EXTERIOR OK</t>
  </si>
  <si>
    <t>3007055744</t>
  </si>
  <si>
    <t>BARRIO CENTRAL SAN MIGUEL 2</t>
  </si>
  <si>
    <t>FO-25-1837230</t>
  </si>
  <si>
    <t>17/11/2025 POR FAVOR, COMUNICARSE CON USUARIO PARA CONFIRMAR UBICACION, SOLICITUD Y PROGRAMAR VISITA TECNICA | 26/11/2025 SE VISITA AL CORRESPONSAL PARA INSTALAR AVISO EXTERIOR, ÉL CB FUNCIONA CON NORMALIDAD.</t>
  </si>
  <si>
    <t>3007078064</t>
  </si>
  <si>
    <t>BARRIO MERCEDES SUR BARRANQUIL</t>
  </si>
  <si>
    <t>FO-25-1837229</t>
  </si>
  <si>
    <t>17/11/2025 POR FAVOR, COMUNICARSE CON USUARIO PARA CONFIRMAR UBICACION, SOLICITUD Y PROGRAMAR VISITA TECNICA | 18/11/2025 SE REALIZA VISITA TÉCNICA, SE INSTALA AVISO EXTERIOR.</t>
  </si>
  <si>
    <t>19573</t>
  </si>
  <si>
    <t>3007060318</t>
  </si>
  <si>
    <t>PUERTO TEJADA</t>
  </si>
  <si>
    <t>BARRIO CENTRO PUERTO TEJADA 7</t>
  </si>
  <si>
    <t>FO-25-1839612</t>
  </si>
  <si>
    <t>18/11/2025 POR FAVOR, COMUNICARSE CON USUARIO PARA CONFIRMAR UBICACION, SOLICITUD Y PROGRAMAR VISITA TECNICA | 19/11/2025 SE REALIZA INSTALACIÓN DE AVISO EXTERIOR SIN NOVEDAD.</t>
  </si>
  <si>
    <t>3007068329</t>
  </si>
  <si>
    <t>BARRIO SANTA HELENA VILLAVICEN</t>
  </si>
  <si>
    <t>FO-25-1840323</t>
  </si>
  <si>
    <t>18/11/2025 POR FAVOR, COMUNICARSE CON USUARIO PARA CONFIRMAR UBICACION, SOLICITUD Y PROGRAMAR VISITA TECNICA | 19/11/2025 SE REALIZA INSTALACIÓN DE AVISO EXTERIOR</t>
  </si>
  <si>
    <t>FO-25-1841044</t>
  </si>
  <si>
    <t>18/11/2025 POR FAVOR, COMUNICARSE CON USUARIO PARA CONFIRMAR UBICACION, SOLICITUD Y PROGRAMAR VISITA TECNICA | 20/11/2025 SE REALIZA INSTALACIÓN DE AVISÓ EXTERIOR SIN MARCO POR SOLICITUD DEL CLIENTE, INDICA ROBOS CONSTANTES EN EL SECTOR.</t>
  </si>
  <si>
    <t>5380</t>
  </si>
  <si>
    <t>3007055109</t>
  </si>
  <si>
    <t>LA ESTRELLA</t>
  </si>
  <si>
    <t>PTM LA ESTRELLA MAX PHONE A O</t>
  </si>
  <si>
    <t>FO-25-1842486</t>
  </si>
  <si>
    <t>18/11/2025 POR FAVOR, COMUNICARSE CON USUARIO PARA CONFIRMAR UBICACION, SOLICITUD Y PROGRAMAR VISITA TECNICA | 21/11/2025 SE REALIZÓ GESTIÓN TELEFÓNICA EN LA LLAMADA SE LOGRA EVIDENCIAR DE QUE EL CORRESPONSAL TIENE OTRO AVISO EXTERIOR INSTALADO POR LO TANTO NO NECESITA ESTE NUEVO SE PROCEDE A CERRAR CASO</t>
  </si>
  <si>
    <t>CASTAÑEDA PALACIO CARLOS FELIPE</t>
  </si>
  <si>
    <t>3007056173</t>
  </si>
  <si>
    <t>DISTRICOL DIGINET</t>
  </si>
  <si>
    <t>FO-25-1842481</t>
  </si>
  <si>
    <t>19/11/2025 SE REALIZA VISITA AL COMERCIO SE INSTALA AVISO EXTERIOR EL ANTERIOR SE LO ROBARON</t>
  </si>
  <si>
    <t>3007038830</t>
  </si>
  <si>
    <t>PTM B MANGA JAIMES</t>
  </si>
  <si>
    <t>FO-25-1843280</t>
  </si>
  <si>
    <t>18/11/2025 POR FAVOR, COMUNICARSE CON USUARIO PARA CONFIRMAR UBICACION, SOLICITUD Y PROGRAMAR VISITA TECNICA | 19/11/2025 SE REALIZA INSTALACION DE AVISO EXTERIOR AL GUSTO DEL CLIENTE</t>
  </si>
  <si>
    <t>41001</t>
  </si>
  <si>
    <t>3007076741</t>
  </si>
  <si>
    <t>BARRIO TEJARES DEL SUR NEIVA 1</t>
  </si>
  <si>
    <t>FO-25-1843930</t>
  </si>
  <si>
    <t>19/11/2025 POR FAVOR, COMUNICARSE CON USUARIO PARA CONFIRMAR UBICACION, SOLICITUD Y PROGRAMAR VISITA TECNICA | 20/11/2025 SE REALIZA VISITA AL PUNTO SE IMPLEMENTA CON ÉXITO AVISO EXTERIOR</t>
  </si>
  <si>
    <t>5030</t>
  </si>
  <si>
    <t>3007077223</t>
  </si>
  <si>
    <t>AMAGA</t>
  </si>
  <si>
    <t>"BARRIO VEREDA PIE DE CUESTA AMAGA"</t>
  </si>
  <si>
    <t>FO-25-1846336</t>
  </si>
  <si>
    <t>19/11/2025 POR FAVOR, COMUNICARSE CON USUARIO PARA CONFIRMAR UBICACION, SOLICITUD Y PROGRAMAR VISITA TECNICA | 27/11/2025 SE REALIZA LA INSTALACIÓN DE AVISO EXTERIOR</t>
  </si>
  <si>
    <t>19698</t>
  </si>
  <si>
    <t>3007041420</t>
  </si>
  <si>
    <t>SANTANDER DE QUILICHAO</t>
  </si>
  <si>
    <t>BARRIO CENTRO SANTNADER DE QUI</t>
  </si>
  <si>
    <t>FO-25-1847936</t>
  </si>
  <si>
    <t>19/11/2025 POR FAVOR, COMUNICARSE CON USUARIO PARA CONFIRMAR UBICACION, SOLICITUD Y PROGRAMAR VISITA TECNICA | 24/11/2025 SE REALIZA INSTALACIÓN DE AVISÓ EXTERIOR, YA QUE EL ANTIGUO SE LO ROBARON</t>
  </si>
  <si>
    <t>3007047007</t>
  </si>
  <si>
    <t>BARRIO LOS SAMANES SANTANDER D</t>
  </si>
  <si>
    <t>FO-25-1851133</t>
  </si>
  <si>
    <t>20/11/2025 POR FAVOR, COMUNICARSE CON USUARIO PARA CONFIRMAR UBICACION, SOLICITUD Y PROGRAMAR VISITA TECNICA | 24/11/2025 SE REALIZA INSTALACIÓN DE AVISÓ EXTERIOR YA QIE EL ANTIGUO AVISÓ SE DAÑO</t>
  </si>
  <si>
    <t>70221</t>
  </si>
  <si>
    <t>3007045863</t>
  </si>
  <si>
    <t>COVEÑAS</t>
  </si>
  <si>
    <t>DISTRICOL LIRA NET</t>
  </si>
  <si>
    <t>FO-25-1851258</t>
  </si>
  <si>
    <t>20/11/2025 POR FAVOR, COMUNICARSE CON USUARIO PARA CONFIRMAR UBICACION, SOLICITUD Y PROGRAMAR VISITA TECNICA | 22/11/2025 SE VISITA SITIO SE VERIFICA INFORMACIÓN SE REALIZA INSTALACIÓN DE AVISO EXTERIOR ÚNICAMENTE, NO SE MANIPULA EQUIPOS.</t>
  </si>
  <si>
    <t>76828</t>
  </si>
  <si>
    <t>3007032418</t>
  </si>
  <si>
    <t>TRUJILLO</t>
  </si>
  <si>
    <t>BARRIO CENTRO TRUJILLO 1</t>
  </si>
  <si>
    <t>FO-25-1851869</t>
  </si>
  <si>
    <t>20/11/2025 POR FAVOR, COMUNICARSE CON USUARIO PARA CONFIRMAR UBICACION, SOLICITUD Y PROGRAMAR VISITA TECNICA | 25/11/2025 VISITAMOS COMERCIO REALIZAMOS INSTALACIÓN DE AVISO EXTERIOR EL QUE TENIA SE DAÑO.</t>
  </si>
  <si>
    <t>25430</t>
  </si>
  <si>
    <t>3007067273</t>
  </si>
  <si>
    <t>MADRID</t>
  </si>
  <si>
    <t>BARRIO SAN CARLOS MADRID 2</t>
  </si>
  <si>
    <t>FO-25-1858018 | FO-25-1852045</t>
  </si>
  <si>
    <t>EJECUTADO | EJECUTADO / CANCELADO</t>
  </si>
  <si>
    <t>21/11/2025 SE REALIZA VISITA DE CAMPO DONDE SE INSTALA AVISO EXTERIOR SIN NOVEDAD NO SE MANIPULA EQUIPOS</t>
  </si>
  <si>
    <t>3007035499</t>
  </si>
  <si>
    <t>DISTRICOL CONECTADOS</t>
  </si>
  <si>
    <t>FO-25-1852613</t>
  </si>
  <si>
    <t>20/11/2025 POR FAVOR, COMUNICARSE CON USUARIO PARA CONFIRMAR UBICACION, SOLICITUD Y PROGRAMAR VISITA TECNICA | 22/11/2025 VISITAMOS COMERCIO REALIZAMOS INSTALACIÓN DE AVISO EXTERIOR EL QUE TENIA SE LO ROBARON.</t>
  </si>
  <si>
    <t>3007081108</t>
  </si>
  <si>
    <t>BARRIO CENTRO BELLO 1</t>
  </si>
  <si>
    <t>FO-25-1853490</t>
  </si>
  <si>
    <t>20/11/2025 POR FAVOR, COMUNICARSE CON USUARIO PARA CONFIRMAR UBICACION, SOLICITUD Y PROGRAMAR VISITA TECNICA | 26/11/2025 SE REALIZA INSTALACIÓN DE AVISO EXTERIOR</t>
  </si>
  <si>
    <t>3007074829</t>
  </si>
  <si>
    <t>BARRIO SALITRE SUBA BOGOTA</t>
  </si>
  <si>
    <t>FO-25-1853688</t>
  </si>
  <si>
    <t>20/11/2025 POR FAVOR, COMUNICARSE CON USUARIO PARA CONFIRMAR UBICACION, SOLICITUD Y PROGRAMAR VISITA TECNICA | 21/11/2025 SE REALIZA LA ENTREGA E INSTALACIÓN DE AVISO EXTERIOR SIN NOVEDAD</t>
  </si>
  <si>
    <t>3007080516</t>
  </si>
  <si>
    <t>BARRIO SANTA SOFIA BOGOTA 4</t>
  </si>
  <si>
    <t>FO-25-1859863</t>
  </si>
  <si>
    <t>21/11/2025 POR FAVOR, COMUNICARSE CON USUARIO PARA CONFIRMAR UBICACION, SOLICITUD Y PROGRAMAR VISITA TECNICA | 27/11/2025 SE INTALA AVISO EXTERIOR</t>
  </si>
  <si>
    <t>INFANTE SIERRA MANUEL FERNANDO</t>
  </si>
  <si>
    <t>17042</t>
  </si>
  <si>
    <t>3007028386</t>
  </si>
  <si>
    <t>ANSERMA</t>
  </si>
  <si>
    <t>DISTRICOL DROGUERIA LA FAVORIT</t>
  </si>
  <si>
    <t>FO-25-1861637</t>
  </si>
  <si>
    <t>21/11/2025 POR FAVOR, COMUNICARSE CON USUARIO PARA CONFIRMAR UBICACION, SOLICITUD Y PROGRAMAR VISITA TECNICA | 24/11/2025 SE INSTALA AVISO EXTERIOR.</t>
  </si>
  <si>
    <t>3007023561</t>
  </si>
  <si>
    <t>BARRIO LA CONCORDIA III CUCUTA</t>
  </si>
  <si>
    <t>FO-25-1861473</t>
  </si>
  <si>
    <t>21/11/2025 POR FAVOR, COMUNICARSE CON USUARIO PARA CONFIRMAR UBICACION, SOLICITUD Y PROGRAMAR VISITA TECNICA | 28/11/2025 SE REALIZA VISITA AL COMERCIO Y SE HIZO INSTALACIÓN DE AVISO EXTERIOR TODO OK</t>
  </si>
  <si>
    <t>3007018535</t>
  </si>
  <si>
    <t>BARRIO RODADERO II SANTA MARTA</t>
  </si>
  <si>
    <t>FO-25-1863215</t>
  </si>
  <si>
    <t>22/11/2025 POR FAVOR, COMUNICARSE CON USUARIO PARA CONFIRMAR UBICACION, SOLICITUD Y PROGRAMAR VISITA TECNICA | 24/11/2025 SE REALIZA INSTALACIÓN DE AVISO EXTERIOR A SATISFACCIÓN DEL CLIENTE</t>
  </si>
  <si>
    <t>5045</t>
  </si>
  <si>
    <t>3007034146</t>
  </si>
  <si>
    <t>DISTRICOL RECARGAS MOVILES</t>
  </si>
  <si>
    <t>FO-25-1866413</t>
  </si>
  <si>
    <t>CANCELADO POR EL USUARIO</t>
  </si>
  <si>
    <t>23/11/2025 POR FAVOR, COMUNICARSE CON USUARIO PARA CONFIRMAR UBICACION, SOLICITUD Y PROGRAMAR VISITA TECNICA | 30/11/2025 SE LLAMA A USUARIA Y SE VALIDA QUE TIENE TODA LA PUBLICIDAD, ELLA COMUNICA QUE QUIERE MÁS PUBLICIDAD Y SE LE DICE QUE SOLO SE ENTREGA LETRERO DE 1.50 Y QUE EN ESTE CASO NO APLICA YA QUE DÍAS ATRÁS DE HIZO UN TRASLADO DE CB Y CONTABA CON TODA LA PUBLICIDAD . USUARIA ENTIENDE Y QUEDA SATISFECHA CON LA INFORMACIÓN</t>
  </si>
  <si>
    <t>3007077676</t>
  </si>
  <si>
    <t>BARRIO FRANCIA IBAGUE</t>
  </si>
  <si>
    <t>FO-25-1871768</t>
  </si>
  <si>
    <t>24/11/2025 POR FAVOR, COMUNICARSE CON USUARIO PARA CONFIRMAR UBICACION, SOLICITUD Y PROGRAMAR VISITA TECNICA | 27/11/2025 SE REALIZA INSTALACIÓN DE AVISO EXTERIOR SIN MARCO CON PREVIA AUTORIZACIÓN DE COORDINADOR YA QUE EN VARIAS OCASIONES SE LO ROBAN POR EL MARCO</t>
  </si>
  <si>
    <t>3007075839</t>
  </si>
  <si>
    <t>BARRIO HACARITAMA VILLAVICENCI</t>
  </si>
  <si>
    <t>FO-25-1874128</t>
  </si>
  <si>
    <t>25/11/2025 POR FAVOR, COMUNICARSE CON USUARIO PARA CONFIRMAR UBICACION, SOLICITUD Y PROGRAMAR VISITA TECNICA | 26/11/2025 CLIENTE SOLICITA INSTALACIÓN DE AVISO LUEGO DE LAS 2:00PM POR HORA DE ALMUERZO | 26/11/2025 SE REALIZA INSTALACIÓN DE AVISO EXTERIOR SIN MARCÓ DE ALUMINIO</t>
  </si>
  <si>
    <t>23182</t>
  </si>
  <si>
    <t>3007031697</t>
  </si>
  <si>
    <t>CHINU</t>
  </si>
  <si>
    <t>BARRIO CENTRO 3 CHINU</t>
  </si>
  <si>
    <t>FO-25-1884118</t>
  </si>
  <si>
    <t>26/11/2025 POR FAVOR, COMUNICARSE CON USUARIO PARA CONFIRMAR UBICACION, SOLICITUD Y PROGRAMAR VISITA TECNICA | 28/11/2025 SE VISITA COMERCIO Y SE HACE INSTALACIÓN DE AVISÓ EXTERIOR POR PERDIDA DE LA RED.</t>
  </si>
  <si>
    <t>CACERES HERNANDEZ ANDRES</t>
  </si>
  <si>
    <t>FACTURACIÓN CORRESPONSALES BANCARIOS TIQUIETES AEREOS</t>
  </si>
  <si>
    <t>MES</t>
  </si>
  <si>
    <t>NIT Proveedor</t>
  </si>
  <si>
    <t>Nombre Proveedor (el proveedor ya debe estar creado para el Grupo Bancolombia)</t>
  </si>
  <si>
    <t>Concepto Facturación</t>
  </si>
  <si>
    <t>Público al que le instalo la publicidad</t>
  </si>
  <si>
    <t>No. personas impactadas</t>
  </si>
  <si>
    <t>Valor a Facturar sin IVA</t>
  </si>
  <si>
    <t>Valor a Facturar con IVA</t>
  </si>
  <si>
    <t>CONCEPTOS</t>
  </si>
  <si>
    <t>TRAYECTOS</t>
  </si>
  <si>
    <t>TOTAL</t>
  </si>
  <si>
    <t xml:space="preserve">% Administración </t>
  </si>
  <si>
    <t>811013990-5</t>
  </si>
  <si>
    <t>LINEA COMUNICACIONES S.A.S</t>
  </si>
  <si>
    <t>INSTALACION PUBLICIDAD APERTURAS CORRESPONSALES BANCARIOS</t>
  </si>
  <si>
    <t xml:space="preserve">OPERADOR DEL CORRESPONSAL BANCARIO </t>
  </si>
  <si>
    <t>ORDENES DE CAMBIO POR DEMANDA</t>
  </si>
  <si>
    <t>TRAYECTOS ESPECIALES OC</t>
  </si>
  <si>
    <t>TOTAL A FACTURAR</t>
  </si>
  <si>
    <t>NOVIEMBRE DE 2025</t>
  </si>
  <si>
    <t>TA-25-1330539</t>
  </si>
  <si>
    <t>TA-25-1330558</t>
  </si>
  <si>
    <t>5148</t>
  </si>
  <si>
    <t>3007082352</t>
  </si>
  <si>
    <t>EL CARMEN DE VIBORAL</t>
  </si>
  <si>
    <t>PTM EL CARMEN DE VIBORAL BIO P</t>
  </si>
  <si>
    <t>FO-25-1884142</t>
  </si>
  <si>
    <t>26/11/2025 26-11 PROGRAMACION REALIZADA POR LA ALIANZA| INSTALACIÓN PROGRAMADA PARA EL 2025-11-28 | 29/11/2025 SE REALIZÓ LA INSTALACIÓN DEL CORRESPONSAL BANCOLOMBIA DE MANERA EXITOSA. SE IMPARTIÓ CAPACITACIÓN AL PERSONAL ENCARGADO Y SE EFECTUARON PRUEBAS OPERATIVAS, TODAS CON RESULTADOS SATISFACTORIOS. ASIMISMO, SE INSTALARON LOS AVISOS EN LOS PUNTOS DEFINIDOS POR EL CLIENTE. EL SISTEMA QUEDÓ PLENAMENTE OPERATIVO Y EN CONDICIONES DE PRESTAR SERVICIO.</t>
  </si>
  <si>
    <t>OB004840-OB004136</t>
  </si>
  <si>
    <t>3007082306</t>
  </si>
  <si>
    <t>PTM CALI BY LOVE COSMETICS</t>
  </si>
  <si>
    <t>FO-25-1884202</t>
  </si>
  <si>
    <t>26/11/2025 26-11 PROGRAMACION REALIZADA POR LA ALIANZA| INSTALACIÓN PROGRAMADA PARA EL 2025-11-28 | 29/11/2025 SE LLAMA AL CLIENTE, SE VALIDA INSTALACIÓN Y DISPONIBILIDAD, SE VISITA EL COMERCIO, SE INSTALA DATAFONO, LECTORA, PINPAD, MAGIC BOX, ACCESORIOS EN APERTURA CB BANCOLOMBIA MIXTO, SE CAPACITA, PRUEBAS OK, TELECARGA TRNA</t>
  </si>
  <si>
    <t>OB004855</t>
  </si>
  <si>
    <t>TA</t>
  </si>
  <si>
    <t>BUCARAMANGA-SAN PABLO BOLIVAR - BUCARAMANGA</t>
  </si>
  <si>
    <t>APERTURA CB 82025</t>
  </si>
  <si>
    <t>APERTURA CB 82067</t>
  </si>
  <si>
    <t>APERTURA CB 82136</t>
  </si>
  <si>
    <t>MEDELLIN-ACANDI-MEDELLIN</t>
  </si>
  <si>
    <t>BUCARAMANGA-SARAVENA-BUCARAMANGA</t>
  </si>
  <si>
    <t>CALI-PTO LEGUIZAMO-CALI</t>
  </si>
  <si>
    <t>APERTURAS CB 82141- CB 82142- CB 82143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</si>
</sst>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 #,##0.00_-;\-&quot;$&quot;\ * #,##0.00_-;_-&quot;$&quot;\ * &quot;-&quot;??_-;_-@_-"/>
    <numFmt numFmtId="43" formatCode="_-* #,##0.00_-;\-* #,##0.00_-;_-* &quot;-&quot;??_-;_-@_-"/>
    <numFmt numFmtId="164" formatCode="_(&quot;$&quot;\ * #,##0.00_);_(&quot;$&quot;\ * \(#,##0.00\);_(&quot;$&quot;\ * &quot;-&quot;??_);_(@_)"/>
    <numFmt numFmtId="165" formatCode="_(&quot;$&quot;\ * #,##0_);_(&quot;$&quot;\ * \(#,##0\);_(&quot;$&quot;\ * &quot;-&quot;??_);_(@_)"/>
    <numFmt numFmtId="166" formatCode="&quot;$&quot;#,##0.00;\-&quot;$&quot;#,##0.00"/>
    <numFmt numFmtId="167" formatCode="dd/mm/yyyy"/>
    <numFmt numFmtId="168" formatCode="[$-409]d\-m\-yy\ h:mm\ AM/PM;@"/>
    <numFmt numFmtId="169" formatCode="_ &quot;$&quot;\ * #,##0_ ;_ &quot;$&quot;\ * \-#,##0_ ;_ &quot;$&quot;\ * &quot;-&quot;??_ ;_ @_ "/>
    <numFmt numFmtId="170" formatCode="[$-240A]dddd\,\ dd&quot; de &quot;mmmm&quot; de &quot;yyyy"/>
    <numFmt numFmtId="171" formatCode="_ * #,##0.00_ ;_ * \-#,##0.00_ ;_ * &quot;-&quot;??_ ;_ @_ "/>
    <numFmt numFmtId="172" formatCode="_-* #,##0.00\ _€_-;\-* #,##0.00\ _€_-;_-* &quot;-&quot;??\ _€_-;_-@_-"/>
    <numFmt numFmtId="173" formatCode="_-&quot;$&quot;* #,##0.00_-;\-&quot;$&quot;* #,##0.00_-;_-&quot;$&quot;* &quot;-&quot;??_-;_-@_-"/>
    <numFmt numFmtId="174" formatCode="_-&quot;$&quot;* #,##0_-;\-&quot;$&quot;* #,##0_-;_-&quot;$&quot;* &quot;-&quot;_-;_-@_-"/>
    <numFmt numFmtId="175" formatCode="&quot;$&quot;\ #,##0"/>
    <numFmt numFmtId="176" formatCode="_-&quot;$&quot;* #,##0_-;\-&quot;$&quot;* #,##0_-;_-&quot;$&quot;* &quot;-&quot;??_-;_-@_-"/>
  </numFmts>
  <fonts count="19">
    <font>
      <sz val="11"/>
      <color theme="1"/>
      <name val="Calibri"/>
      <family val="2"/>
      <scheme val="minor"/>
    </font>
    <font>
      <sz val="11"/>
      <color theme="1"/>
      <name val="Calibri"/>
      <family val="2"/>
      <scheme val="minor"/>
    </font>
    <font>
      <sz val="10"/>
      <name val="Arial"/>
      <family val="2"/>
    </font>
    <font>
      <sz val="10"/>
      <color theme="1"/>
      <name val="Apex"/>
      <family val="2"/>
    </font>
    <font>
      <sz val="8"/>
      <color theme="1"/>
      <name val="Century Gothic"/>
      <family val="2"/>
    </font>
    <font>
      <sz val="11"/>
      <color indexed="8"/>
      <name val="Calibri"/>
      <family val="2"/>
    </font>
    <font>
      <sz val="10"/>
      <color rgb="FF000000"/>
      <name val="Arial"/>
      <family val="2"/>
    </font>
    <font>
      <u/>
      <sz val="11"/>
      <color theme="10"/>
      <name val="Calibri"/>
      <family val="2"/>
      <scheme val="minor"/>
    </font>
    <font>
      <sz val="12"/>
      <color theme="1"/>
      <name val="Trebuchet MS"/>
      <family val="2"/>
    </font>
    <font>
      <b/>
      <sz val="11"/>
      <color theme="1"/>
      <name val="Gelion Thin"/>
    </font>
    <font>
      <b/>
      <sz val="8"/>
      <name val="Gelion Thin"/>
    </font>
    <font>
      <sz val="8"/>
      <color rgb="FF000000"/>
      <name val="Gelion Thin"/>
    </font>
    <font>
      <sz val="8"/>
      <color theme="1"/>
      <name val="Gelion Thin"/>
    </font>
    <font>
      <sz val="11"/>
      <color rgb="FF000000"/>
      <name val="Gelion Thin"/>
    </font>
    <font>
      <b/>
      <sz val="11"/>
      <color rgb="FFFFFFFF"/>
      <name val="Calibri"/>
      <family val="2"/>
    </font>
    <font>
      <b/>
      <sz val="11"/>
      <name val="Gelion Thin"/>
    </font>
    <font>
      <sz val="8"/>
      <name val="Gelion Thin"/>
    </font>
    <font>
      <b/>
      <sz val="8"/>
      <color theme="0"/>
      <name val="Gelion Light"/>
    </font>
    <font>
      <sz val="8"/>
      <color theme="1"/>
      <name val="Gelion Light"/>
    </font>
  </fonts>
  <fills count="7">
    <fill>
      <patternFill patternType="none"/>
    </fill>
    <fill>
      <patternFill patternType="gray125"/>
    </fill>
    <fill>
      <patternFill patternType="solid">
        <fgColor rgb="FF9B9B9A"/>
        <bgColor indexed="64"/>
      </patternFill>
    </fill>
    <fill>
      <patternFill patternType="solid">
        <fgColor rgb="FFB0F70A"/>
        <bgColor indexed="64"/>
      </patternFill>
    </fill>
    <fill>
      <patternFill patternType="solid">
        <fgColor theme="6" tint="0.79998168889431442"/>
        <bgColor indexed="64"/>
      </patternFill>
    </fill>
    <fill>
      <patternFill patternType="solid">
        <fgColor rgb="FF001D62"/>
        <bgColor rgb="FF001D62"/>
      </patternFill>
    </fill>
    <fill>
      <patternFill patternType="solid">
        <fgColor theme="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85">
    <xf numFmtId="0" fontId="0" fillId="0" borderId="0"/>
    <xf numFmtId="164" fontId="1" fillId="0" borderId="0"/>
    <xf numFmtId="0" fontId="2" fillId="0" borderId="0"/>
    <xf numFmtId="164" fontId="1" fillId="0" borderId="0"/>
    <xf numFmtId="0" fontId="2" fillId="0" borderId="0"/>
    <xf numFmtId="164" fontId="2" fillId="0" borderId="0"/>
    <xf numFmtId="0" fontId="1" fillId="0" borderId="0"/>
    <xf numFmtId="164" fontId="2" fillId="0" borderId="0"/>
    <xf numFmtId="0" fontId="3" fillId="0" borderId="0"/>
    <xf numFmtId="0" fontId="1" fillId="0" borderId="0"/>
    <xf numFmtId="0" fontId="2" fillId="0" borderId="0"/>
    <xf numFmtId="0" fontId="2" fillId="0" borderId="0"/>
    <xf numFmtId="168" fontId="2" fillId="0" borderId="0"/>
    <xf numFmtId="169" fontId="2" fillId="0" borderId="0"/>
    <xf numFmtId="0" fontId="2" fillId="0" borderId="0"/>
    <xf numFmtId="0" fontId="2" fillId="0" borderId="0"/>
    <xf numFmtId="0" fontId="1" fillId="0" borderId="0"/>
    <xf numFmtId="0" fontId="2" fillId="0" borderId="0"/>
    <xf numFmtId="168" fontId="1" fillId="0" borderId="0"/>
    <xf numFmtId="0" fontId="5" fillId="0" borderId="0"/>
    <xf numFmtId="170" fontId="2" fillId="0" borderId="0"/>
    <xf numFmtId="168" fontId="1" fillId="0" borderId="0"/>
    <xf numFmtId="0" fontId="6" fillId="0" borderId="0"/>
    <xf numFmtId="0" fontId="6" fillId="0" borderId="0"/>
    <xf numFmtId="0" fontId="1" fillId="0" borderId="0"/>
    <xf numFmtId="0" fontId="1" fillId="0" borderId="0"/>
    <xf numFmtId="0" fontId="1" fillId="0" borderId="0"/>
    <xf numFmtId="43" fontId="1" fillId="0" borderId="0"/>
    <xf numFmtId="0" fontId="2" fillId="0" borderId="0"/>
    <xf numFmtId="171" fontId="2" fillId="0" borderId="0"/>
    <xf numFmtId="168" fontId="2" fillId="0" borderId="0"/>
    <xf numFmtId="0" fontId="1" fillId="0" borderId="0"/>
    <xf numFmtId="168" fontId="2" fillId="0" borderId="0"/>
    <xf numFmtId="0" fontId="2" fillId="0" borderId="0"/>
    <xf numFmtId="0" fontId="1" fillId="0" borderId="0"/>
    <xf numFmtId="0" fontId="1" fillId="0" borderId="0"/>
    <xf numFmtId="0" fontId="2" fillId="0" borderId="0"/>
    <xf numFmtId="43" fontId="2" fillId="0" borderId="0"/>
    <xf numFmtId="0" fontId="2" fillId="0" borderId="0"/>
    <xf numFmtId="0" fontId="3" fillId="0" borderId="0"/>
    <xf numFmtId="0" fontId="1" fillId="0" borderId="0"/>
    <xf numFmtId="168" fontId="1" fillId="0" borderId="0"/>
    <xf numFmtId="0" fontId="1" fillId="0" borderId="0"/>
    <xf numFmtId="0" fontId="1" fillId="0" borderId="0"/>
    <xf numFmtId="171" fontId="2" fillId="0" borderId="0"/>
    <xf numFmtId="0" fontId="1" fillId="0" borderId="0"/>
    <xf numFmtId="0" fontId="1" fillId="0" borderId="0"/>
    <xf numFmtId="0" fontId="1" fillId="0" borderId="0"/>
    <xf numFmtId="0" fontId="1" fillId="0" borderId="0"/>
    <xf numFmtId="0" fontId="7" fillId="0" borderId="0"/>
    <xf numFmtId="0" fontId="1" fillId="0" borderId="0"/>
    <xf numFmtId="43" fontId="1" fillId="0" borderId="0"/>
    <xf numFmtId="172" fontId="1" fillId="0" borderId="0"/>
    <xf numFmtId="173" fontId="3" fillId="0" borderId="0"/>
    <xf numFmtId="164" fontId="1" fillId="0" borderId="0"/>
    <xf numFmtId="168"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68" fontId="2" fillId="0" borderId="0"/>
    <xf numFmtId="171" fontId="2" fillId="0" borderId="0"/>
    <xf numFmtId="0" fontId="1" fillId="0" borderId="0"/>
    <xf numFmtId="174" fontId="2" fillId="0" borderId="0"/>
    <xf numFmtId="0" fontId="1" fillId="0" borderId="0"/>
    <xf numFmtId="0" fontId="1" fillId="0" borderId="0"/>
    <xf numFmtId="0" fontId="1" fillId="0" borderId="0"/>
    <xf numFmtId="173" fontId="1" fillId="0" borderId="0"/>
    <xf numFmtId="164" fontId="2" fillId="0" borderId="0"/>
    <xf numFmtId="164" fontId="1" fillId="0" borderId="0"/>
    <xf numFmtId="0" fontId="1" fillId="0" borderId="0"/>
    <xf numFmtId="173" fontId="1" fillId="0" borderId="0"/>
    <xf numFmtId="173" fontId="1" fillId="0" borderId="0"/>
    <xf numFmtId="0" fontId="1" fillId="0" borderId="0"/>
    <xf numFmtId="44" fontId="1" fillId="0" borderId="0" applyFont="0" applyFill="0" applyBorder="0" applyAlignment="0" applyProtection="0"/>
  </cellStyleXfs>
  <cellXfs count="57">
    <xf numFmtId="0" fontId="0" fillId="0" borderId="0" xfId="0"/>
    <xf numFmtId="0" fontId="4" fillId="0" borderId="0" xfId="0" applyFont="1"/>
    <xf numFmtId="0" fontId="12" fillId="0" borderId="0" xfId="0" applyFont="1"/>
    <xf numFmtId="164" fontId="12" fillId="0" borderId="1" xfId="3"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165" fontId="12" fillId="0" borderId="0" xfId="0" applyNumberFormat="1" applyFont="1"/>
    <xf numFmtId="0" fontId="9" fillId="0" borderId="1" xfId="83" applyFont="1" applyBorder="1"/>
    <xf numFmtId="0" fontId="1" fillId="0" borderId="0" xfId="83"/>
    <xf numFmtId="0" fontId="10" fillId="2" borderId="1" xfId="0" applyFont="1" applyFill="1" applyBorder="1" applyAlignment="1">
      <alignment vertical="center" wrapText="1"/>
    </xf>
    <xf numFmtId="0" fontId="10" fillId="2" borderId="1" xfId="0" applyFont="1" applyFill="1" applyBorder="1" applyAlignment="1">
      <alignment horizontal="center" vertical="center" wrapText="1"/>
    </xf>
    <xf numFmtId="166" fontId="10" fillId="2" borderId="1" xfId="0" applyNumberFormat="1" applyFont="1" applyFill="1" applyBorder="1" applyAlignment="1">
      <alignment horizontal="left" vertical="center" wrapText="1"/>
    </xf>
    <xf numFmtId="0" fontId="13" fillId="0" borderId="1" xfId="0" applyFont="1" applyBorder="1"/>
    <xf numFmtId="0" fontId="13" fillId="0" borderId="5" xfId="0" applyFont="1" applyBorder="1"/>
    <xf numFmtId="0" fontId="13" fillId="0" borderId="3" xfId="0" applyFont="1" applyBorder="1"/>
    <xf numFmtId="0" fontId="13" fillId="0" borderId="7" xfId="0" applyFont="1" applyBorder="1"/>
    <xf numFmtId="10" fontId="4" fillId="3" borderId="0" xfId="0" applyNumberFormat="1" applyFont="1" applyFill="1" applyAlignment="1">
      <alignment horizontal="center"/>
    </xf>
    <xf numFmtId="165" fontId="12" fillId="4" borderId="1" xfId="3" applyNumberFormat="1" applyFont="1" applyFill="1" applyBorder="1" applyAlignment="1">
      <alignment horizontal="center" vertical="center"/>
    </xf>
    <xf numFmtId="165" fontId="12" fillId="4" borderId="2" xfId="3" applyNumberFormat="1" applyFont="1" applyFill="1" applyBorder="1" applyAlignment="1">
      <alignment horizontal="center" vertical="center"/>
    </xf>
    <xf numFmtId="165" fontId="12" fillId="4" borderId="1" xfId="3" applyNumberFormat="1" applyFont="1" applyFill="1" applyBorder="1" applyAlignment="1">
      <alignment vertical="center" wrapText="1"/>
    </xf>
    <xf numFmtId="165" fontId="12" fillId="4" borderId="1" xfId="3" applyNumberFormat="1" applyFont="1" applyFill="1" applyBorder="1" applyAlignment="1">
      <alignment horizontal="center"/>
    </xf>
    <xf numFmtId="0" fontId="10" fillId="2" borderId="1" xfId="0" applyFont="1" applyFill="1" applyBorder="1" applyAlignment="1">
      <alignment horizontal="center" vertical="center"/>
    </xf>
    <xf numFmtId="0" fontId="14" fillId="5" borderId="0" xfId="0" applyFont="1" applyFill="1" applyAlignment="1">
      <alignment horizontal="center" vertical="center" wrapText="1"/>
    </xf>
    <xf numFmtId="167" fontId="0" fillId="0" borderId="0" xfId="0" applyNumberFormat="1"/>
    <xf numFmtId="1" fontId="0" fillId="0" borderId="0" xfId="0" applyNumberFormat="1"/>
    <xf numFmtId="0" fontId="10" fillId="2" borderId="4" xfId="11" applyFont="1" applyFill="1" applyBorder="1" applyAlignment="1">
      <alignment horizontal="center"/>
    </xf>
    <xf numFmtId="175" fontId="10" fillId="2" borderId="4" xfId="11" applyNumberFormat="1" applyFont="1" applyFill="1" applyBorder="1" applyAlignment="1">
      <alignment horizontal="center" vertical="center"/>
    </xf>
    <xf numFmtId="17" fontId="11" fillId="0" borderId="1" xfId="0" applyNumberFormat="1" applyFont="1" applyBorder="1" applyAlignment="1">
      <alignment vertical="center"/>
    </xf>
    <xf numFmtId="0" fontId="11" fillId="0" borderId="1" xfId="0" applyFont="1" applyBorder="1" applyAlignment="1">
      <alignment horizontal="center" vertical="center"/>
    </xf>
    <xf numFmtId="176" fontId="11" fillId="0" borderId="1" xfId="0" applyNumberFormat="1" applyFont="1" applyBorder="1" applyAlignment="1">
      <alignment vertical="center"/>
    </xf>
    <xf numFmtId="176" fontId="0" fillId="0" borderId="0" xfId="0" applyNumberFormat="1"/>
    <xf numFmtId="0" fontId="16" fillId="0" borderId="1" xfId="0" applyFont="1" applyBorder="1" applyAlignment="1">
      <alignment horizontal="center" vertical="center"/>
    </xf>
    <xf numFmtId="176" fontId="16" fillId="0" borderId="1" xfId="84" applyNumberFormat="1" applyFont="1" applyBorder="1" applyAlignment="1">
      <alignment horizontal="center" vertical="center"/>
    </xf>
    <xf numFmtId="165" fontId="16" fillId="0" borderId="1" xfId="11" applyNumberFormat="1" applyFont="1" applyBorder="1" applyAlignment="1">
      <alignment vertical="center"/>
    </xf>
    <xf numFmtId="43" fontId="0" fillId="0" borderId="0" xfId="0" applyNumberFormat="1"/>
    <xf numFmtId="176" fontId="10" fillId="2" borderId="1" xfId="84" applyNumberFormat="1" applyFont="1" applyFill="1" applyBorder="1" applyAlignment="1">
      <alignment vertical="center" wrapText="1"/>
    </xf>
    <xf numFmtId="175" fontId="10" fillId="2" borderId="10" xfId="11" applyNumberFormat="1" applyFont="1" applyFill="1" applyBorder="1" applyAlignment="1">
      <alignment horizontal="center" vertical="center"/>
    </xf>
    <xf numFmtId="175" fontId="10" fillId="2" borderId="7" xfId="11" applyNumberFormat="1" applyFont="1" applyFill="1" applyBorder="1" applyAlignment="1">
      <alignment horizontal="center" vertical="center"/>
    </xf>
    <xf numFmtId="175" fontId="10" fillId="2" borderId="3" xfId="11" applyNumberFormat="1" applyFont="1" applyFill="1" applyBorder="1" applyAlignment="1">
      <alignment horizontal="center" vertical="center"/>
    </xf>
    <xf numFmtId="0" fontId="10" fillId="2" borderId="1" xfId="0" applyFont="1" applyFill="1" applyBorder="1" applyAlignment="1">
      <alignment horizontal="center"/>
    </xf>
    <xf numFmtId="0" fontId="0" fillId="0" borderId="6" xfId="0" applyBorder="1"/>
    <xf numFmtId="0" fontId="0" fillId="0" borderId="5" xfId="0" applyBorder="1"/>
    <xf numFmtId="0" fontId="11" fillId="0" borderId="1" xfId="0" applyFont="1" applyBorder="1" applyAlignment="1">
      <alignment horizontal="left" vertical="center" wrapText="1"/>
    </xf>
    <xf numFmtId="0" fontId="0" fillId="0" borderId="8" xfId="0" applyBorder="1"/>
    <xf numFmtId="0" fontId="0" fillId="0" borderId="9" xfId="0" applyBorder="1"/>
    <xf numFmtId="0" fontId="0" fillId="0" borderId="10" xfId="0" applyBorder="1"/>
    <xf numFmtId="0" fontId="0" fillId="0" borderId="11" xfId="0" applyBorder="1"/>
    <xf numFmtId="0" fontId="0" fillId="0" borderId="7" xfId="0" applyBorder="1"/>
    <xf numFmtId="0" fontId="10"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0" fillId="2" borderId="2" xfId="11" applyFont="1" applyFill="1" applyBorder="1" applyAlignment="1">
      <alignment horizontal="center"/>
    </xf>
    <xf numFmtId="0" fontId="10" fillId="2" borderId="6" xfId="11" applyFont="1" applyFill="1" applyBorder="1" applyAlignment="1">
      <alignment horizontal="center"/>
    </xf>
    <xf numFmtId="0" fontId="10" fillId="2" borderId="5" xfId="11" applyFont="1" applyFill="1" applyBorder="1" applyAlignment="1">
      <alignment horizontal="center"/>
    </xf>
    <xf numFmtId="0" fontId="15" fillId="2" borderId="1" xfId="0" applyFont="1" applyFill="1" applyBorder="1" applyAlignment="1">
      <alignment horizontal="center"/>
    </xf>
    <xf numFmtId="0" fontId="17" fillId="6" borderId="0" xfId="0" applyFont="1" applyFill="1" applyAlignment="1">
      <alignment horizontal="center" vertical="center" wrapText="1"/>
    </xf>
    <xf numFmtId="0" fontId="18" fillId="0" borderId="0" xfId="0" applyFont="1" applyAlignment="1">
      <alignment horizontal="center"/>
    </xf>
    <xf numFmtId="0" fontId="0" fillId="0" borderId="0" xfId="0" applyNumberFormat="1"/>
  </cellXfs>
  <cellStyles count="85">
    <cellStyle name="Excel Built-in Normal" xfId="19" xr:uid="{00000000-0005-0000-0000-000013000000}"/>
    <cellStyle name="Hyperlink" xfId="49" xr:uid="{00000000-0005-0000-0000-000031000000}"/>
    <cellStyle name="Millares 2" xfId="27" xr:uid="{00000000-0005-0000-0000-00001B000000}"/>
    <cellStyle name="Millares 2 2" xfId="37" xr:uid="{00000000-0005-0000-0000-000025000000}"/>
    <cellStyle name="Millares 2 3" xfId="51" xr:uid="{00000000-0005-0000-0000-000033000000}"/>
    <cellStyle name="Millares 3" xfId="52" xr:uid="{00000000-0005-0000-0000-000034000000}"/>
    <cellStyle name="Moneda" xfId="84" builtinId="4"/>
    <cellStyle name="Moneda [0] 2" xfId="73" xr:uid="{00000000-0005-0000-0000-000049000000}"/>
    <cellStyle name="Moneda 2" xfId="5" xr:uid="{00000000-0005-0000-0000-000005000000}"/>
    <cellStyle name="Moneda 2 10" xfId="7" xr:uid="{00000000-0005-0000-0000-000007000000}"/>
    <cellStyle name="Moneda 2 10 2" xfId="78" xr:uid="{00000000-0005-0000-0000-00004E000000}"/>
    <cellStyle name="Moneda 2 2 2" xfId="1" xr:uid="{00000000-0005-0000-0000-000001000000}"/>
    <cellStyle name="Moneda 3" xfId="53" xr:uid="{00000000-0005-0000-0000-000035000000}"/>
    <cellStyle name="Moneda 3 7" xfId="82" xr:uid="{00000000-0005-0000-0000-000052000000}"/>
    <cellStyle name="Moneda 4" xfId="3" xr:uid="{00000000-0005-0000-0000-000003000000}"/>
    <cellStyle name="Moneda 4 2" xfId="54" xr:uid="{00000000-0005-0000-0000-000036000000}"/>
    <cellStyle name="Moneda 4 3" xfId="79" xr:uid="{00000000-0005-0000-0000-00004F000000}"/>
    <cellStyle name="Moneda 5" xfId="77" xr:uid="{00000000-0005-0000-0000-00004D000000}"/>
    <cellStyle name="Moneda 6" xfId="81" xr:uid="{00000000-0005-0000-0000-000051000000}"/>
    <cellStyle name="Normal" xfId="0" builtinId="0"/>
    <cellStyle name="Normal 10" xfId="39" xr:uid="{00000000-0005-0000-0000-000027000000}"/>
    <cellStyle name="Normal 10 2 10" xfId="21" xr:uid="{00000000-0005-0000-0000-000015000000}"/>
    <cellStyle name="Normal 10 2 10 2" xfId="55" xr:uid="{00000000-0005-0000-0000-000037000000}"/>
    <cellStyle name="Normal 10 2 10 3" xfId="41" xr:uid="{00000000-0005-0000-0000-000029000000}"/>
    <cellStyle name="Normal 10 2 10 50" xfId="31" xr:uid="{00000000-0005-0000-0000-00001F000000}"/>
    <cellStyle name="Normal 10 2 10 50 2" xfId="56" xr:uid="{00000000-0005-0000-0000-000038000000}"/>
    <cellStyle name="Normal 11" xfId="74" xr:uid="{00000000-0005-0000-0000-00004A000000}"/>
    <cellStyle name="Normal 12" xfId="75" xr:uid="{00000000-0005-0000-0000-00004B000000}"/>
    <cellStyle name="Normal 15" xfId="28" xr:uid="{00000000-0005-0000-0000-00001C000000}"/>
    <cellStyle name="Normal 17" xfId="29" xr:uid="{00000000-0005-0000-0000-00001D000000}"/>
    <cellStyle name="Normal 172" xfId="8" xr:uid="{00000000-0005-0000-0000-000008000000}"/>
    <cellStyle name="Normal 177" xfId="83" xr:uid="{00000000-0005-0000-0000-000053000000}"/>
    <cellStyle name="Normal 2" xfId="16" xr:uid="{00000000-0005-0000-0000-000010000000}"/>
    <cellStyle name="Normal 2 10" xfId="10" xr:uid="{00000000-0005-0000-0000-00000A000000}"/>
    <cellStyle name="Normal 2 10 2" xfId="11" xr:uid="{00000000-0005-0000-0000-00000B000000}"/>
    <cellStyle name="Normal 2 10 3" xfId="24" xr:uid="{00000000-0005-0000-0000-000018000000}"/>
    <cellStyle name="Normal 2 2" xfId="18" xr:uid="{00000000-0005-0000-0000-000012000000}"/>
    <cellStyle name="Normal 2 2 2" xfId="2" xr:uid="{00000000-0005-0000-0000-000002000000}"/>
    <cellStyle name="Normal 2 2 2 2" xfId="12" xr:uid="{00000000-0005-0000-0000-00000C000000}"/>
    <cellStyle name="Normal 2 2 2 2 2" xfId="32" xr:uid="{00000000-0005-0000-0000-000020000000}"/>
    <cellStyle name="Normal 2 2 2 2 3" xfId="57" xr:uid="{00000000-0005-0000-0000-000039000000}"/>
    <cellStyle name="Normal 2 2 2 2 6 2" xfId="6" xr:uid="{00000000-0005-0000-0000-000006000000}"/>
    <cellStyle name="Normal 2 2 2 2 6 2 2" xfId="76" xr:uid="{00000000-0005-0000-0000-00004C000000}"/>
    <cellStyle name="Normal 2 2 2 2 6 2 3" xfId="80" xr:uid="{00000000-0005-0000-0000-000050000000}"/>
    <cellStyle name="Normal 2 2 2 3" xfId="4" xr:uid="{00000000-0005-0000-0000-000004000000}"/>
    <cellStyle name="Normal 2 2 2 3 49" xfId="38" xr:uid="{00000000-0005-0000-0000-000026000000}"/>
    <cellStyle name="Normal 2 2 2 4" xfId="20" xr:uid="{00000000-0005-0000-0000-000014000000}"/>
    <cellStyle name="Normal 2 2 3" xfId="34" xr:uid="{00000000-0005-0000-0000-000022000000}"/>
    <cellStyle name="Normal 2 2 3 2" xfId="58" xr:uid="{00000000-0005-0000-0000-00003A000000}"/>
    <cellStyle name="Normal 2 2 4" xfId="25" xr:uid="{00000000-0005-0000-0000-000019000000}"/>
    <cellStyle name="Normal 2 2 4 2" xfId="59" xr:uid="{00000000-0005-0000-0000-00003B000000}"/>
    <cellStyle name="Normal 2 2 5" xfId="42" xr:uid="{00000000-0005-0000-0000-00002A000000}"/>
    <cellStyle name="Normal 2 2 52" xfId="60" xr:uid="{00000000-0005-0000-0000-00003C000000}"/>
    <cellStyle name="Normal 2 3" xfId="35" xr:uid="{00000000-0005-0000-0000-000023000000}"/>
    <cellStyle name="Normal 2 3 2" xfId="61" xr:uid="{00000000-0005-0000-0000-00003D000000}"/>
    <cellStyle name="Normal 2 4" xfId="22" xr:uid="{00000000-0005-0000-0000-000016000000}"/>
    <cellStyle name="Normal 2 4 2" xfId="62" xr:uid="{00000000-0005-0000-0000-00003E000000}"/>
    <cellStyle name="Normal 2 41" xfId="30" xr:uid="{00000000-0005-0000-0000-00001E000000}"/>
    <cellStyle name="Normal 2 5" xfId="40" xr:uid="{00000000-0005-0000-0000-000028000000}"/>
    <cellStyle name="Normal 3" xfId="23" xr:uid="{00000000-0005-0000-0000-000017000000}"/>
    <cellStyle name="Normal 3 2" xfId="63" xr:uid="{00000000-0005-0000-0000-00003F000000}"/>
    <cellStyle name="Normal 3 3" xfId="64" xr:uid="{00000000-0005-0000-0000-000040000000}"/>
    <cellStyle name="Normal 3 4" xfId="46" xr:uid="{00000000-0005-0000-0000-00002E000000}"/>
    <cellStyle name="Normal 4" xfId="26" xr:uid="{00000000-0005-0000-0000-00001A000000}"/>
    <cellStyle name="Normal 4 2" xfId="65" xr:uid="{00000000-0005-0000-0000-000041000000}"/>
    <cellStyle name="Normal 4 3" xfId="47" xr:uid="{00000000-0005-0000-0000-00002F000000}"/>
    <cellStyle name="Normal 5" xfId="9" xr:uid="{00000000-0005-0000-0000-000009000000}"/>
    <cellStyle name="Normal 5 10" xfId="43" xr:uid="{00000000-0005-0000-0000-00002B000000}"/>
    <cellStyle name="Normal 5 10 2" xfId="66" xr:uid="{00000000-0005-0000-0000-000042000000}"/>
    <cellStyle name="Normal 5 2" xfId="36" xr:uid="{00000000-0005-0000-0000-000024000000}"/>
    <cellStyle name="Normal 5 2 2" xfId="67" xr:uid="{00000000-0005-0000-0000-000043000000}"/>
    <cellStyle name="Normal 5 3" xfId="68" xr:uid="{00000000-0005-0000-0000-000044000000}"/>
    <cellStyle name="Normal 5 4" xfId="48" xr:uid="{00000000-0005-0000-0000-000030000000}"/>
    <cellStyle name="Normal 5 5" xfId="33" xr:uid="{00000000-0005-0000-0000-000021000000}"/>
    <cellStyle name="Normal 6" xfId="50" xr:uid="{00000000-0005-0000-0000-000032000000}"/>
    <cellStyle name="Normal 7" xfId="14" xr:uid="{00000000-0005-0000-0000-00000E000000}"/>
    <cellStyle name="Normal 7 10" xfId="69" xr:uid="{00000000-0005-0000-0000-000045000000}"/>
    <cellStyle name="Normal 7 2" xfId="17" xr:uid="{00000000-0005-0000-0000-000011000000}"/>
    <cellStyle name="Normal 7 4" xfId="70" xr:uid="{00000000-0005-0000-0000-000046000000}"/>
    <cellStyle name="Normal 8" xfId="13" xr:uid="{00000000-0005-0000-0000-00000D000000}"/>
    <cellStyle name="Normal 8 2" xfId="71" xr:uid="{00000000-0005-0000-0000-000047000000}"/>
    <cellStyle name="Normal 8 3" xfId="44" xr:uid="{00000000-0005-0000-0000-00002C000000}"/>
    <cellStyle name="Normal 81" xfId="15" xr:uid="{00000000-0005-0000-0000-00000F000000}"/>
    <cellStyle name="Normal 9" xfId="45" xr:uid="{00000000-0005-0000-0000-00002D000000}"/>
    <cellStyle name="Normal 9 2" xfId="72" xr:uid="{00000000-0005-0000-0000-000048000000}"/>
  </cellStyles>
  <dxfs count="4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16.xml"/><Relationship Id="rId34" Type="http://schemas.openxmlformats.org/officeDocument/2006/relationships/customXml" Target="../customXml/item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theme" Target="theme/theme1.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sharedStrings" Target="sharedStrings.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dr:twoCellAnchor editAs="oneCell">
    <xdr:from>
      <xdr:col>12</xdr:col>
      <xdr:colOff>752475</xdr:colOff>
      <xdr:row>2</xdr:row>
      <xdr:rowOff>0</xdr:rowOff>
    </xdr:from>
    <xdr:to>
      <xdr:col>12</xdr:col>
      <xdr:colOff>758190</xdr:colOff>
      <xdr:row>2</xdr:row>
      <xdr:rowOff>76200</xdr:rowOff>
    </xdr:to>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872B4695-DDBD-43E7-8363-5576B1F07DE5}"/>
            </a:ext>
          </a:extLst>
        </xdr:cNvPr>
        <xdr:cNvSpPr/>
      </xdr:nvSpPr>
      <xdr:spPr bwMode="auto">
        <a:xfrm>
          <a:off x="19354800" y="38100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0</xdr:row>
      <xdr:rowOff>0</xdr:rowOff>
    </xdr:from>
    <xdr:to>
      <xdr:col>12</xdr:col>
      <xdr:colOff>758190</xdr:colOff>
      <xdr:row>0</xdr:row>
      <xdr:rowOff>76200</xdr:rowOff>
    </xdr:to>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588F761E-50BD-474E-813F-DD43B247AD5B}"/>
            </a:ext>
          </a:extLst>
        </xdr:cNvPr>
        <xdr:cNvSpPr/>
      </xdr:nvSpPr>
      <xdr:spPr bwMode="auto">
        <a:xfrm>
          <a:off x="19354800" y="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3</xdr:row>
      <xdr:rowOff>0</xdr:rowOff>
    </xdr:from>
    <xdr:ext cx="5715" cy="76200"/>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DB763115-2C30-4E98-8EAA-89CBB1ED10E3}"/>
            </a:ext>
          </a:extLst>
        </xdr:cNvPr>
        <xdr:cNvSpPr/>
      </xdr:nvSpPr>
      <xdr:spPr bwMode="auto">
        <a:xfrm>
          <a:off x="19421475" y="38100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4</xdr:row>
      <xdr:rowOff>0</xdr:rowOff>
    </xdr:from>
    <xdr:ext cx="5715" cy="76200"/>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0F12EE67-6D4E-43C1-B2A0-E633533E1838}"/>
            </a:ext>
          </a:extLst>
        </xdr:cNvPr>
        <xdr:cNvSpPr/>
      </xdr:nvSpPr>
      <xdr:spPr bwMode="auto">
        <a:xfrm>
          <a:off x="19421475" y="38100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5</xdr:row>
      <xdr:rowOff>0</xdr:rowOff>
    </xdr:from>
    <xdr:ext cx="571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C8965B4E-C9B8-4B9F-9880-13F17786897B}"/>
            </a:ext>
          </a:extLst>
        </xdr:cNvPr>
        <xdr:cNvSpPr/>
      </xdr:nvSpPr>
      <xdr:spPr bwMode="auto">
        <a:xfrm>
          <a:off x="19421475" y="38100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ineacomunicacionesco.sharepoint.com/linea%20comunicaciones/ZONAS%20REMOTAS/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lineacomunicacionesco.sharepoint.com/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lineacomunicacionesco.sharepoint.com/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Puntos"/>
      <sheetName val="Formulas"/>
      <sheetName val="CAPACIDAD"/>
      <sheetName val="PERSONAL"/>
      <sheetName val="EVALUAR"/>
      <sheetName val="Hoja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workbookViewId="0">
      <selection activeCell="D4" sqref="D4"/>
    </sheetView>
  </sheetViews>
  <sheetFormatPr baseColWidth="10" defaultColWidth="11.44140625" defaultRowHeight="10.8"/>
  <cols>
    <col min="1" max="1" width="17.5546875" style="2" bestFit="1" customWidth="1"/>
    <col min="2" max="2" width="16.5546875" style="2" customWidth="1"/>
    <col min="3" max="3" width="15.109375" style="2" customWidth="1"/>
    <col min="4" max="4" width="20.109375" style="2" customWidth="1"/>
    <col min="5" max="5" width="14.109375" style="2" customWidth="1"/>
    <col min="6" max="6" width="2" style="2" customWidth="1"/>
    <col min="7" max="7" width="12.6640625" style="2" bestFit="1" customWidth="1"/>
    <col min="8" max="11" width="11.44140625" style="2" customWidth="1"/>
    <col min="12" max="12" width="15" style="2" bestFit="1" customWidth="1"/>
    <col min="13" max="13" width="11.44140625" style="1" customWidth="1"/>
    <col min="14" max="16384" width="11.44140625" style="1"/>
  </cols>
  <sheetData>
    <row r="1" spans="1:14" ht="21" customHeight="1">
      <c r="A1" s="39" t="s">
        <v>0</v>
      </c>
      <c r="B1" s="40"/>
      <c r="C1" s="40"/>
      <c r="D1" s="40"/>
      <c r="E1" s="41"/>
      <c r="G1" s="39" t="s">
        <v>0</v>
      </c>
      <c r="H1" s="40"/>
      <c r="I1" s="40"/>
      <c r="J1" s="40"/>
      <c r="K1" s="40"/>
      <c r="L1" s="41"/>
      <c r="N1" s="10" t="s">
        <v>1</v>
      </c>
    </row>
    <row r="2" spans="1:14" ht="31.5" customHeight="1">
      <c r="A2" s="11" t="s">
        <v>2</v>
      </c>
      <c r="B2" s="10" t="s">
        <v>3</v>
      </c>
      <c r="C2" s="10" t="s">
        <v>4</v>
      </c>
      <c r="D2" s="10" t="s">
        <v>5</v>
      </c>
      <c r="E2" s="11" t="s">
        <v>6</v>
      </c>
      <c r="G2" s="48" t="s">
        <v>7</v>
      </c>
      <c r="H2" s="40"/>
      <c r="I2" s="40"/>
      <c r="J2" s="40"/>
      <c r="K2" s="40"/>
      <c r="L2" s="41"/>
      <c r="N2" s="16">
        <v>5.1999999999999998E-2</v>
      </c>
    </row>
    <row r="3" spans="1:14" ht="31.5" customHeight="1">
      <c r="A3" s="3" t="s">
        <v>8</v>
      </c>
      <c r="B3" s="17">
        <f>10695.08*(1+$N$2)</f>
        <v>11251.22416</v>
      </c>
      <c r="C3" s="18">
        <f>120073.31*(1+$N$2)</f>
        <v>126317.12212</v>
      </c>
      <c r="D3" s="18">
        <f>54574.12*(1+$N$2)</f>
        <v>57411.974240000003</v>
      </c>
      <c r="E3" s="19">
        <f>185342.51*(1+$N$2)</f>
        <v>194980.32052000001</v>
      </c>
      <c r="G3" s="9" t="s">
        <v>9</v>
      </c>
      <c r="H3" s="9" t="s">
        <v>10</v>
      </c>
      <c r="I3" s="9" t="s">
        <v>11</v>
      </c>
      <c r="J3" s="9" t="s">
        <v>12</v>
      </c>
      <c r="K3" s="9" t="s">
        <v>13</v>
      </c>
      <c r="L3" s="9" t="s">
        <v>14</v>
      </c>
    </row>
    <row r="4" spans="1:14">
      <c r="A4" s="3" t="s">
        <v>15</v>
      </c>
      <c r="B4" s="17">
        <f>10695.08*(1+$N$2)</f>
        <v>11251.22416</v>
      </c>
      <c r="C4" s="18">
        <f>120073.31*(1+$N$2)</f>
        <v>126317.12212</v>
      </c>
      <c r="D4" s="18">
        <f>105331.06*(1+$N$2)</f>
        <v>110808.27512000001</v>
      </c>
      <c r="E4" s="19">
        <f>236099.45*(1+$N$2)</f>
        <v>248376.62140000003</v>
      </c>
      <c r="G4" s="4" t="s">
        <v>16</v>
      </c>
      <c r="H4" s="4" t="s">
        <v>17</v>
      </c>
      <c r="I4" s="20">
        <f>91255.89*(1+$N$2)</f>
        <v>96001.196280000004</v>
      </c>
      <c r="J4" s="20">
        <f>54574.12*(1+$N$2)</f>
        <v>57411.974240000003</v>
      </c>
      <c r="K4" s="20">
        <f>53547.34*(1+$N$2)</f>
        <v>56331.801679999997</v>
      </c>
      <c r="L4" s="20">
        <f>36031.04*(1+$N$2)</f>
        <v>37904.65408</v>
      </c>
    </row>
    <row r="5" spans="1:14">
      <c r="G5" s="4" t="s">
        <v>18</v>
      </c>
      <c r="H5" s="4" t="s">
        <v>19</v>
      </c>
      <c r="I5" s="20">
        <f>221348.48*(1+$N$2)</f>
        <v>232858.60096000001</v>
      </c>
      <c r="J5" s="20">
        <f>105331.06*(1+$N$2)</f>
        <v>110808.27512000001</v>
      </c>
      <c r="K5" s="20">
        <f>53547.34*(1+$N$2)</f>
        <v>56331.801679999997</v>
      </c>
      <c r="L5" s="20">
        <f>36031.04*(1+$N$2)</f>
        <v>37904.65408</v>
      </c>
    </row>
    <row r="6" spans="1:14">
      <c r="G6" s="4" t="s">
        <v>20</v>
      </c>
      <c r="H6" s="4" t="s">
        <v>21</v>
      </c>
      <c r="I6" s="20">
        <f>327732.48*(1+$N$2)</f>
        <v>344774.56896</v>
      </c>
      <c r="J6" s="20">
        <f>105331.06*(1+$N$2)</f>
        <v>110808.27512000001</v>
      </c>
      <c r="K6" s="20">
        <f>53547.34*(1+$N$2)</f>
        <v>56331.801679999997</v>
      </c>
      <c r="L6" s="20">
        <f>36031.04*(1+$N$2)</f>
        <v>37904.65408</v>
      </c>
    </row>
    <row r="7" spans="1:14">
      <c r="B7" s="6"/>
      <c r="C7" s="6"/>
      <c r="D7" s="6"/>
      <c r="E7" s="6"/>
      <c r="G7" s="4" t="s">
        <v>22</v>
      </c>
      <c r="H7" s="4" t="s">
        <v>23</v>
      </c>
      <c r="I7" s="20">
        <f>521514.86*(1+$N$2)</f>
        <v>548633.63271999999</v>
      </c>
      <c r="J7" s="20">
        <f>105331.06*(1+$N$2)</f>
        <v>110808.27512000001</v>
      </c>
      <c r="K7" s="20">
        <f>53547.34*(1+$N$2)</f>
        <v>56331.801679999997</v>
      </c>
      <c r="L7" s="20">
        <f>36031.04*(1+$N$2)</f>
        <v>37904.65408</v>
      </c>
    </row>
    <row r="8" spans="1:14">
      <c r="D8" s="6"/>
      <c r="E8" s="6"/>
      <c r="G8" s="5" t="s">
        <v>24</v>
      </c>
      <c r="H8" s="5" t="s">
        <v>25</v>
      </c>
      <c r="I8" s="20">
        <f>521514.86*(1+$N$2)</f>
        <v>548633.63271999999</v>
      </c>
      <c r="J8" s="20">
        <f>105331.06*(1+$N$2)</f>
        <v>110808.27512000001</v>
      </c>
      <c r="K8" s="20">
        <f>53547.34*(1+$N$2)</f>
        <v>56331.801679999997</v>
      </c>
      <c r="L8" s="20">
        <f>36031.04*(1+$N$2)</f>
        <v>37904.65408</v>
      </c>
    </row>
    <row r="9" spans="1:14">
      <c r="G9" s="42" t="s">
        <v>26</v>
      </c>
      <c r="H9" s="43"/>
      <c r="I9" s="43"/>
      <c r="J9" s="43"/>
      <c r="K9" s="43"/>
      <c r="L9" s="44"/>
    </row>
    <row r="10" spans="1:14">
      <c r="B10" s="6"/>
      <c r="C10" s="6"/>
      <c r="D10" s="6"/>
      <c r="E10" s="6"/>
      <c r="G10" s="45"/>
      <c r="H10" s="46"/>
      <c r="I10" s="46"/>
      <c r="J10" s="46"/>
      <c r="K10" s="46"/>
      <c r="L10" s="47"/>
    </row>
    <row r="11" spans="1:14">
      <c r="B11" s="6"/>
      <c r="C11" s="6"/>
      <c r="D11" s="6"/>
      <c r="E11" s="6"/>
    </row>
    <row r="12" spans="1:14">
      <c r="I12" s="6"/>
      <c r="J12" s="6"/>
      <c r="K12" s="6"/>
      <c r="L12" s="6"/>
    </row>
    <row r="13" spans="1:14">
      <c r="I13" s="6"/>
      <c r="J13" s="6"/>
      <c r="K13" s="6"/>
      <c r="L13" s="6"/>
    </row>
    <row r="14" spans="1:14">
      <c r="I14" s="6"/>
      <c r="J14" s="6"/>
      <c r="K14" s="6"/>
      <c r="L14" s="6"/>
    </row>
    <row r="15" spans="1:14">
      <c r="I15" s="6"/>
      <c r="J15" s="6"/>
      <c r="K15" s="6"/>
      <c r="L15" s="6"/>
    </row>
    <row r="16" spans="1:14">
      <c r="C16" s="6"/>
      <c r="G16" s="6"/>
      <c r="I16" s="6"/>
      <c r="J16" s="6"/>
      <c r="K16" s="6"/>
      <c r="L16" s="6"/>
    </row>
    <row r="17" spans="7:12">
      <c r="G17" s="6"/>
      <c r="I17" s="6"/>
      <c r="J17" s="6"/>
      <c r="K17" s="6"/>
      <c r="L17" s="6"/>
    </row>
    <row r="18" spans="7:12">
      <c r="G18" s="6"/>
    </row>
    <row r="19" spans="7:12">
      <c r="G19" s="6"/>
    </row>
    <row r="20" spans="7:12">
      <c r="G20" s="6"/>
    </row>
    <row r="21" spans="7:12">
      <c r="G21" s="6"/>
    </row>
  </sheetData>
  <mergeCells count="4">
    <mergeCell ref="G1:L1"/>
    <mergeCell ref="G9:L10"/>
    <mergeCell ref="A1:E1"/>
    <mergeCell ref="G2:L2"/>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11F62-1A5D-401C-B9F7-30D7C3C728E7}">
  <dimension ref="A1:N7"/>
  <sheetViews>
    <sheetView tabSelected="1" topLeftCell="E1" workbookViewId="0">
      <selection activeCell="G12" sqref="G12"/>
    </sheetView>
  </sheetViews>
  <sheetFormatPr baseColWidth="10" defaultRowHeight="14.4"/>
  <cols>
    <col min="1" max="1" width="14.6640625" bestFit="1" customWidth="1"/>
    <col min="3" max="3" width="66.6640625" bestFit="1" customWidth="1"/>
    <col min="4" max="4" width="49" bestFit="1" customWidth="1"/>
    <col min="5" max="5" width="31.5546875" bestFit="1" customWidth="1"/>
    <col min="6" max="6" width="21.33203125" bestFit="1" customWidth="1"/>
    <col min="7" max="7" width="19.5546875" bestFit="1" customWidth="1"/>
    <col min="8" max="8" width="20.33203125" bestFit="1" customWidth="1"/>
    <col min="10" max="10" width="30.5546875" customWidth="1"/>
    <col min="11" max="11" width="37.33203125" customWidth="1"/>
  </cols>
  <sheetData>
    <row r="1" spans="1:14">
      <c r="A1" s="49" t="str">
        <f>CONCATENATE("TOTAL GENERAL MES ",A3)</f>
        <v>TOTAL GENERAL MES NOVIEMBRE DE 2025</v>
      </c>
      <c r="B1" s="49"/>
      <c r="C1" s="49"/>
      <c r="D1" s="49"/>
      <c r="E1" s="49"/>
      <c r="F1" s="49"/>
      <c r="G1" s="49"/>
      <c r="H1" s="49"/>
      <c r="J1" s="50" t="s">
        <v>1438</v>
      </c>
      <c r="K1" s="51"/>
      <c r="L1" s="51"/>
      <c r="M1" s="51"/>
      <c r="N1" s="52"/>
    </row>
    <row r="2" spans="1:14">
      <c r="A2" s="21" t="s">
        <v>1439</v>
      </c>
      <c r="B2" s="21" t="s">
        <v>1440</v>
      </c>
      <c r="C2" s="21" t="s">
        <v>1441</v>
      </c>
      <c r="D2" s="21" t="s">
        <v>1442</v>
      </c>
      <c r="E2" s="21" t="s">
        <v>1443</v>
      </c>
      <c r="F2" s="21" t="s">
        <v>1444</v>
      </c>
      <c r="G2" s="21" t="s">
        <v>1445</v>
      </c>
      <c r="H2" s="21" t="s">
        <v>1446</v>
      </c>
      <c r="J2" s="25" t="s">
        <v>1447</v>
      </c>
      <c r="K2" s="25" t="s">
        <v>1448</v>
      </c>
      <c r="L2" s="25" t="s">
        <v>1449</v>
      </c>
      <c r="M2" s="25" t="s">
        <v>1450</v>
      </c>
      <c r="N2" s="26" t="s">
        <v>1449</v>
      </c>
    </row>
    <row r="3" spans="1:14">
      <c r="A3" s="27" t="s">
        <v>1458</v>
      </c>
      <c r="B3" s="4" t="s">
        <v>1451</v>
      </c>
      <c r="C3" s="4" t="s">
        <v>1452</v>
      </c>
      <c r="D3" s="4" t="s">
        <v>1453</v>
      </c>
      <c r="E3" s="4" t="s">
        <v>1454</v>
      </c>
      <c r="F3" s="28">
        <f>COUNTA(PUBLICIDAD_APERTURAS!A:A)-1</f>
        <v>125</v>
      </c>
      <c r="G3" s="29">
        <f>SUM(PUBLICIDAD_APERTURAS!AE2:AE126)</f>
        <v>26813187</v>
      </c>
      <c r="H3" s="29">
        <f>G3*1.19</f>
        <v>31907692.529999997</v>
      </c>
      <c r="I3" s="30"/>
      <c r="J3" s="31" t="s">
        <v>1481</v>
      </c>
      <c r="K3" s="31" t="s">
        <v>1474</v>
      </c>
      <c r="L3" s="32">
        <v>300000</v>
      </c>
      <c r="M3" s="33">
        <f t="shared" ref="M3:M6" si="0">L3*0.12</f>
        <v>36000</v>
      </c>
      <c r="N3" s="33">
        <f t="shared" ref="N3:N6" si="1">L3+M3</f>
        <v>336000</v>
      </c>
    </row>
    <row r="4" spans="1:14">
      <c r="A4" s="27" t="str">
        <f>A3</f>
        <v>NOVIEMBRE DE 2025</v>
      </c>
      <c r="B4" s="4" t="s">
        <v>1451</v>
      </c>
      <c r="C4" s="4" t="s">
        <v>1452</v>
      </c>
      <c r="D4" s="4" t="s">
        <v>1455</v>
      </c>
      <c r="E4" s="4" t="s">
        <v>1454</v>
      </c>
      <c r="F4" s="28">
        <f>COUNTA(PUBLICIDAD_OC!A:A)-1</f>
        <v>74</v>
      </c>
      <c r="G4" s="29">
        <f>SUM(PUBLICIDAD_OC!AF2:AF75)</f>
        <v>20806065</v>
      </c>
      <c r="H4" s="29">
        <f>G4*1.19</f>
        <v>24759217.349999998</v>
      </c>
      <c r="I4" s="34"/>
      <c r="J4" s="31" t="s">
        <v>1475</v>
      </c>
      <c r="K4" s="31" t="s">
        <v>1478</v>
      </c>
      <c r="L4" s="32">
        <v>572600</v>
      </c>
      <c r="M4" s="33">
        <f t="shared" ref="M4:M5" si="2">L4*0.12</f>
        <v>68712</v>
      </c>
      <c r="N4" s="33">
        <f t="shared" ref="N4:N5" si="3">L4+M4</f>
        <v>641312</v>
      </c>
    </row>
    <row r="5" spans="1:14">
      <c r="A5" s="27" t="str">
        <f>A4</f>
        <v>NOVIEMBRE DE 2025</v>
      </c>
      <c r="B5" s="4" t="s">
        <v>1451</v>
      </c>
      <c r="C5" s="4" t="s">
        <v>1452</v>
      </c>
      <c r="D5" s="4" t="s">
        <v>1456</v>
      </c>
      <c r="E5" s="4" t="s">
        <v>1454</v>
      </c>
      <c r="F5" s="28">
        <f>COUNTA(J3:J19)-1</f>
        <v>4</v>
      </c>
      <c r="G5" s="29">
        <f>N7</f>
        <v>2597504</v>
      </c>
      <c r="H5" s="29">
        <f>G5*1.19</f>
        <v>3091029.76</v>
      </c>
      <c r="I5" s="34"/>
      <c r="J5" s="31" t="s">
        <v>1476</v>
      </c>
      <c r="K5" s="31" t="s">
        <v>1479</v>
      </c>
      <c r="L5" s="32">
        <f>399550+422650</f>
        <v>822200</v>
      </c>
      <c r="M5" s="33">
        <f t="shared" si="2"/>
        <v>98664</v>
      </c>
      <c r="N5" s="33">
        <f t="shared" si="3"/>
        <v>920864</v>
      </c>
    </row>
    <row r="6" spans="1:14">
      <c r="A6" s="53" t="s">
        <v>1457</v>
      </c>
      <c r="B6" s="53"/>
      <c r="C6" s="53"/>
      <c r="D6" s="53"/>
      <c r="E6" s="53"/>
      <c r="F6" s="10">
        <f>SUM(F3:F5)</f>
        <v>203</v>
      </c>
      <c r="G6" s="35">
        <f>SUM(G3:G5)</f>
        <v>50216756</v>
      </c>
      <c r="H6" s="35">
        <f>SUM(H3:H5)</f>
        <v>59757939.639999993</v>
      </c>
      <c r="J6" s="31" t="s">
        <v>1477</v>
      </c>
      <c r="K6" s="31" t="s">
        <v>1480</v>
      </c>
      <c r="L6" s="32">
        <v>624400</v>
      </c>
      <c r="M6" s="33">
        <f t="shared" si="0"/>
        <v>74928</v>
      </c>
      <c r="N6" s="33">
        <f t="shared" si="1"/>
        <v>699328</v>
      </c>
    </row>
    <row r="7" spans="1:14">
      <c r="J7" s="36" t="s">
        <v>1449</v>
      </c>
      <c r="K7" s="37"/>
      <c r="L7" s="38">
        <f>SUM(L3:L6)</f>
        <v>2319200</v>
      </c>
      <c r="M7" s="38">
        <f>SUM(M3:M6)</f>
        <v>278304</v>
      </c>
      <c r="N7" s="38">
        <f>SUM(N3:N6)</f>
        <v>2597504</v>
      </c>
    </row>
  </sheetData>
  <mergeCells count="3">
    <mergeCell ref="A1:H1"/>
    <mergeCell ref="J1:N1"/>
    <mergeCell ref="A6:E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heetViews>
  <sheetFormatPr baseColWidth="10" defaultColWidth="11.44140625" defaultRowHeight="14.4"/>
  <cols>
    <col min="1" max="1" width="15.33203125" style="8" bestFit="1" customWidth="1"/>
    <col min="2" max="2" width="18.33203125" style="8" bestFit="1" customWidth="1"/>
    <col min="3" max="4" width="30.33203125" style="8" bestFit="1" customWidth="1"/>
    <col min="5" max="5" width="11.44140625" style="8" customWidth="1"/>
    <col min="6" max="16384" width="11.44140625" style="8"/>
  </cols>
  <sheetData>
    <row r="1" spans="1:4">
      <c r="A1" s="7" t="s">
        <v>27</v>
      </c>
      <c r="B1" s="7" t="s">
        <v>28</v>
      </c>
      <c r="C1" s="7" t="s">
        <v>29</v>
      </c>
      <c r="D1" s="7" t="s">
        <v>30</v>
      </c>
    </row>
    <row r="2" spans="1:4">
      <c r="A2" s="12" t="s">
        <v>31</v>
      </c>
      <c r="B2" s="13" t="s">
        <v>32</v>
      </c>
      <c r="C2" s="13" t="s">
        <v>33</v>
      </c>
      <c r="D2" s="13" t="s">
        <v>34</v>
      </c>
    </row>
    <row r="3" spans="1:4">
      <c r="A3" s="14" t="s">
        <v>35</v>
      </c>
      <c r="B3" s="15" t="s">
        <v>36</v>
      </c>
      <c r="C3" s="15" t="s">
        <v>37</v>
      </c>
      <c r="D3" s="15" t="s">
        <v>38</v>
      </c>
    </row>
    <row r="4" spans="1:4">
      <c r="A4" s="14" t="s">
        <v>39</v>
      </c>
      <c r="B4" s="15" t="s">
        <v>40</v>
      </c>
      <c r="C4" s="15" t="s">
        <v>41</v>
      </c>
      <c r="D4" s="15" t="s">
        <v>42</v>
      </c>
    </row>
    <row r="5" spans="1:4">
      <c r="A5" s="14" t="s">
        <v>43</v>
      </c>
      <c r="B5" s="15" t="s">
        <v>44</v>
      </c>
      <c r="C5" s="15" t="s">
        <v>45</v>
      </c>
      <c r="D5" s="15" t="s">
        <v>46</v>
      </c>
    </row>
    <row r="6" spans="1:4">
      <c r="A6" s="14" t="s">
        <v>47</v>
      </c>
      <c r="B6" s="15" t="s">
        <v>48</v>
      </c>
      <c r="C6" s="15" t="s">
        <v>49</v>
      </c>
      <c r="D6" s="15" t="s">
        <v>50</v>
      </c>
    </row>
    <row r="7" spans="1:4">
      <c r="A7" s="14" t="s">
        <v>51</v>
      </c>
      <c r="B7" s="15" t="s">
        <v>36</v>
      </c>
      <c r="C7" s="15" t="s">
        <v>37</v>
      </c>
      <c r="D7" s="15" t="s">
        <v>38</v>
      </c>
    </row>
    <row r="8" spans="1:4">
      <c r="A8" s="14" t="s">
        <v>52</v>
      </c>
      <c r="B8" s="15" t="s">
        <v>44</v>
      </c>
      <c r="C8" s="15" t="s">
        <v>45</v>
      </c>
      <c r="D8" s="15" t="s">
        <v>46</v>
      </c>
    </row>
    <row r="9" spans="1:4">
      <c r="A9" s="14" t="s">
        <v>53</v>
      </c>
      <c r="B9" s="15" t="s">
        <v>54</v>
      </c>
      <c r="C9" s="15" t="s">
        <v>55</v>
      </c>
      <c r="D9" s="15" t="s">
        <v>56</v>
      </c>
    </row>
    <row r="10" spans="1:4">
      <c r="A10" s="14" t="s">
        <v>57</v>
      </c>
      <c r="B10" s="15" t="s">
        <v>54</v>
      </c>
      <c r="C10" s="15" t="s">
        <v>55</v>
      </c>
      <c r="D10" s="15" t="s">
        <v>56</v>
      </c>
    </row>
    <row r="11" spans="1:4">
      <c r="A11" s="14" t="s">
        <v>58</v>
      </c>
      <c r="B11" s="15" t="s">
        <v>59</v>
      </c>
      <c r="C11" s="15" t="s">
        <v>60</v>
      </c>
      <c r="D11" s="15" t="s">
        <v>50</v>
      </c>
    </row>
    <row r="12" spans="1:4">
      <c r="A12" s="14" t="s">
        <v>61</v>
      </c>
      <c r="B12" s="15" t="s">
        <v>32</v>
      </c>
      <c r="C12" s="15" t="s">
        <v>33</v>
      </c>
      <c r="D12" s="15" t="s">
        <v>34</v>
      </c>
    </row>
    <row r="13" spans="1:4">
      <c r="A13" s="14" t="s">
        <v>62</v>
      </c>
      <c r="B13" s="15" t="s">
        <v>36</v>
      </c>
      <c r="C13" s="15" t="s">
        <v>37</v>
      </c>
      <c r="D13" s="15" t="s">
        <v>38</v>
      </c>
    </row>
    <row r="14" spans="1:4">
      <c r="A14" s="14" t="s">
        <v>63</v>
      </c>
      <c r="B14" s="15" t="s">
        <v>54</v>
      </c>
      <c r="C14" s="15" t="s">
        <v>55</v>
      </c>
      <c r="D14" s="15" t="s">
        <v>56</v>
      </c>
    </row>
    <row r="15" spans="1:4">
      <c r="A15" s="14" t="s">
        <v>64</v>
      </c>
      <c r="B15" s="15" t="s">
        <v>48</v>
      </c>
      <c r="C15" s="15" t="s">
        <v>49</v>
      </c>
      <c r="D15" s="15" t="s">
        <v>50</v>
      </c>
    </row>
    <row r="16" spans="1:4">
      <c r="A16" s="14" t="s">
        <v>65</v>
      </c>
      <c r="B16" s="15" t="s">
        <v>59</v>
      </c>
      <c r="C16" s="15" t="s">
        <v>60</v>
      </c>
      <c r="D16" s="15" t="s">
        <v>50</v>
      </c>
    </row>
    <row r="17" spans="1:4">
      <c r="A17" s="14" t="s">
        <v>66</v>
      </c>
      <c r="B17" s="15" t="s">
        <v>48</v>
      </c>
      <c r="C17" s="15" t="s">
        <v>49</v>
      </c>
      <c r="D17" s="15" t="s">
        <v>50</v>
      </c>
    </row>
    <row r="18" spans="1:4">
      <c r="A18" s="14" t="s">
        <v>67</v>
      </c>
      <c r="B18" s="15" t="s">
        <v>36</v>
      </c>
      <c r="C18" s="15" t="s">
        <v>37</v>
      </c>
      <c r="D18" s="15" t="s">
        <v>38</v>
      </c>
    </row>
    <row r="19" spans="1:4">
      <c r="A19" s="14" t="s">
        <v>68</v>
      </c>
      <c r="B19" s="15" t="s">
        <v>36</v>
      </c>
      <c r="C19" s="15" t="s">
        <v>37</v>
      </c>
      <c r="D19" s="15" t="s">
        <v>38</v>
      </c>
    </row>
    <row r="20" spans="1:4">
      <c r="A20" s="14" t="s">
        <v>69</v>
      </c>
      <c r="B20" s="15" t="s">
        <v>44</v>
      </c>
      <c r="C20" s="15" t="s">
        <v>45</v>
      </c>
      <c r="D20" s="15" t="s">
        <v>46</v>
      </c>
    </row>
    <row r="21" spans="1:4">
      <c r="A21" s="14" t="s">
        <v>70</v>
      </c>
      <c r="B21" s="15" t="s">
        <v>36</v>
      </c>
      <c r="C21" s="15" t="s">
        <v>37</v>
      </c>
      <c r="D21" s="15" t="s">
        <v>38</v>
      </c>
    </row>
    <row r="22" spans="1:4">
      <c r="A22" s="14" t="s">
        <v>71</v>
      </c>
      <c r="B22" s="15" t="s">
        <v>54</v>
      </c>
      <c r="C22" s="15" t="s">
        <v>55</v>
      </c>
      <c r="D22" s="15" t="s">
        <v>56</v>
      </c>
    </row>
    <row r="23" spans="1:4">
      <c r="A23" s="14" t="s">
        <v>72</v>
      </c>
      <c r="B23" s="15" t="s">
        <v>54</v>
      </c>
      <c r="C23" s="15" t="s">
        <v>55</v>
      </c>
      <c r="D23" s="15" t="s">
        <v>56</v>
      </c>
    </row>
  </sheetData>
  <autoFilter ref="A1:D23"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26"/>
  <sheetViews>
    <sheetView topLeftCell="Z1" workbookViewId="0">
      <selection activeCell="AE1" sqref="AE1:AE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39" customWidth="1"/>
    <col min="9" max="9" width="20" customWidth="1"/>
    <col min="10" max="10" width="25"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20" customWidth="1"/>
    <col min="21" max="21" width="21" customWidth="1"/>
    <col min="22" max="22" width="14" customWidth="1"/>
    <col min="23" max="23" width="19" customWidth="1"/>
    <col min="24" max="24" width="42" customWidth="1"/>
    <col min="25" max="25" width="50" customWidth="1"/>
    <col min="26" max="26" width="33" customWidth="1"/>
    <col min="27" max="27" width="50" customWidth="1"/>
    <col min="28" max="28" width="44" customWidth="1"/>
    <col min="29" max="29" width="39" customWidth="1"/>
    <col min="30" max="30" width="27" customWidth="1"/>
    <col min="31" max="31" width="39" customWidth="1"/>
  </cols>
  <sheetData>
    <row r="1" spans="1:31" ht="28.8">
      <c r="A1" s="22" t="s">
        <v>73</v>
      </c>
      <c r="B1" s="22" t="s">
        <v>74</v>
      </c>
      <c r="C1" s="22" t="s">
        <v>75</v>
      </c>
      <c r="D1" s="22" t="s">
        <v>76</v>
      </c>
      <c r="E1" s="22" t="s">
        <v>77</v>
      </c>
      <c r="F1" s="22" t="s">
        <v>78</v>
      </c>
      <c r="G1" s="22" t="s">
        <v>79</v>
      </c>
      <c r="H1" s="22" t="s">
        <v>80</v>
      </c>
      <c r="I1" s="22" t="s">
        <v>81</v>
      </c>
      <c r="J1" s="22" t="s">
        <v>27</v>
      </c>
      <c r="K1" s="22" t="s">
        <v>82</v>
      </c>
      <c r="L1" s="22" t="s">
        <v>83</v>
      </c>
      <c r="M1" s="22" t="s">
        <v>84</v>
      </c>
      <c r="N1" s="22" t="s">
        <v>85</v>
      </c>
      <c r="O1" s="22" t="s">
        <v>86</v>
      </c>
      <c r="P1" s="22" t="s">
        <v>87</v>
      </c>
      <c r="Q1" s="22" t="s">
        <v>88</v>
      </c>
      <c r="R1" s="22" t="s">
        <v>89</v>
      </c>
      <c r="S1" s="22" t="s">
        <v>90</v>
      </c>
      <c r="T1" s="22" t="s">
        <v>91</v>
      </c>
      <c r="U1" s="22" t="s">
        <v>92</v>
      </c>
      <c r="V1" s="22" t="s">
        <v>93</v>
      </c>
      <c r="W1" s="22" t="s">
        <v>94</v>
      </c>
      <c r="X1" s="22" t="s">
        <v>95</v>
      </c>
      <c r="Y1" s="22" t="s">
        <v>96</v>
      </c>
      <c r="Z1" s="22" t="s">
        <v>97</v>
      </c>
      <c r="AA1" s="22" t="s">
        <v>98</v>
      </c>
      <c r="AB1" s="22" t="s">
        <v>99</v>
      </c>
      <c r="AC1" s="22" t="s">
        <v>100</v>
      </c>
      <c r="AD1" s="22" t="s">
        <v>101</v>
      </c>
      <c r="AE1" s="22" t="s">
        <v>102</v>
      </c>
    </row>
    <row r="2" spans="1:31">
      <c r="A2" t="s">
        <v>61</v>
      </c>
      <c r="B2" t="s">
        <v>103</v>
      </c>
      <c r="C2" t="s">
        <v>32</v>
      </c>
      <c r="D2" t="s">
        <v>104</v>
      </c>
      <c r="E2" t="s">
        <v>105</v>
      </c>
      <c r="F2" t="s">
        <v>106</v>
      </c>
      <c r="G2" t="s">
        <v>107</v>
      </c>
      <c r="H2" t="s">
        <v>108</v>
      </c>
      <c r="I2" t="s">
        <v>109</v>
      </c>
      <c r="J2" t="s">
        <v>110</v>
      </c>
      <c r="K2" t="s">
        <v>111</v>
      </c>
      <c r="L2" t="s">
        <v>112</v>
      </c>
      <c r="M2" t="s">
        <v>113</v>
      </c>
      <c r="N2" s="23">
        <v>45959.881944444453</v>
      </c>
      <c r="O2" s="23">
        <v>45965.644444444442</v>
      </c>
      <c r="P2" t="s">
        <v>114</v>
      </c>
      <c r="Q2" t="s">
        <v>115</v>
      </c>
      <c r="R2" t="s">
        <v>116</v>
      </c>
      <c r="S2" t="s">
        <v>117</v>
      </c>
      <c r="T2" t="s">
        <v>118</v>
      </c>
      <c r="V2" t="s">
        <v>119</v>
      </c>
      <c r="W2" t="s">
        <v>120</v>
      </c>
      <c r="X2" t="s">
        <v>121</v>
      </c>
      <c r="Y2" s="24">
        <v>0</v>
      </c>
      <c r="Z2" s="24">
        <v>0</v>
      </c>
      <c r="AA2" s="24">
        <v>2</v>
      </c>
      <c r="AB2" s="24">
        <v>0</v>
      </c>
      <c r="AC2" s="24">
        <v>0</v>
      </c>
      <c r="AD2" s="24">
        <v>0</v>
      </c>
      <c r="AE2" s="24">
        <v>221616</v>
      </c>
    </row>
    <row r="3" spans="1:31">
      <c r="A3" t="s">
        <v>31</v>
      </c>
      <c r="B3" t="s">
        <v>103</v>
      </c>
      <c r="C3" t="s">
        <v>32</v>
      </c>
      <c r="D3" t="s">
        <v>122</v>
      </c>
      <c r="E3" t="s">
        <v>123</v>
      </c>
      <c r="F3" t="s">
        <v>124</v>
      </c>
      <c r="G3" t="s">
        <v>107</v>
      </c>
      <c r="H3" t="s">
        <v>108</v>
      </c>
      <c r="I3" t="s">
        <v>125</v>
      </c>
      <c r="J3" t="s">
        <v>126</v>
      </c>
      <c r="K3" t="s">
        <v>127</v>
      </c>
      <c r="L3" t="s">
        <v>112</v>
      </c>
      <c r="M3" t="s">
        <v>128</v>
      </c>
      <c r="N3" s="23">
        <v>45959.723611111112</v>
      </c>
      <c r="O3" s="23">
        <v>45966.821527777778</v>
      </c>
      <c r="P3" t="s">
        <v>114</v>
      </c>
      <c r="Q3" t="s">
        <v>115</v>
      </c>
      <c r="R3" t="s">
        <v>129</v>
      </c>
      <c r="S3" t="s">
        <v>130</v>
      </c>
      <c r="T3" t="s">
        <v>131</v>
      </c>
      <c r="V3" t="s">
        <v>132</v>
      </c>
      <c r="W3" t="s">
        <v>133</v>
      </c>
      <c r="X3" t="s">
        <v>134</v>
      </c>
      <c r="Y3" s="24">
        <v>0</v>
      </c>
      <c r="Z3" s="24">
        <v>0</v>
      </c>
      <c r="AA3" s="24">
        <v>2</v>
      </c>
      <c r="AB3" s="24">
        <v>0</v>
      </c>
      <c r="AC3" s="24">
        <v>0</v>
      </c>
      <c r="AD3" s="24">
        <v>110808</v>
      </c>
      <c r="AE3" s="24">
        <v>221616</v>
      </c>
    </row>
    <row r="4" spans="1:31">
      <c r="A4" t="s">
        <v>64</v>
      </c>
      <c r="B4" t="s">
        <v>135</v>
      </c>
      <c r="C4" t="s">
        <v>48</v>
      </c>
      <c r="D4" t="s">
        <v>136</v>
      </c>
      <c r="E4" t="s">
        <v>137</v>
      </c>
      <c r="F4" t="s">
        <v>138</v>
      </c>
      <c r="G4" t="s">
        <v>107</v>
      </c>
      <c r="H4" t="s">
        <v>108</v>
      </c>
      <c r="I4" t="s">
        <v>139</v>
      </c>
      <c r="J4" t="s">
        <v>140</v>
      </c>
      <c r="K4" t="s">
        <v>141</v>
      </c>
      <c r="L4" t="s">
        <v>112</v>
      </c>
      <c r="M4" t="s">
        <v>142</v>
      </c>
      <c r="N4" s="23">
        <v>45959.86041666667</v>
      </c>
      <c r="O4" s="23">
        <v>45965.710416666669</v>
      </c>
      <c r="P4" t="s">
        <v>114</v>
      </c>
      <c r="Q4" t="s">
        <v>115</v>
      </c>
      <c r="R4" t="s">
        <v>143</v>
      </c>
      <c r="S4" t="s">
        <v>144</v>
      </c>
      <c r="T4" t="s">
        <v>131</v>
      </c>
      <c r="U4" t="s">
        <v>145</v>
      </c>
      <c r="V4" t="s">
        <v>146</v>
      </c>
      <c r="W4" t="s">
        <v>120</v>
      </c>
      <c r="X4" t="s">
        <v>147</v>
      </c>
      <c r="Y4" s="24">
        <v>1</v>
      </c>
      <c r="Z4" s="24">
        <v>1</v>
      </c>
      <c r="AA4" s="24">
        <v>1</v>
      </c>
      <c r="AB4" s="24">
        <v>11251</v>
      </c>
      <c r="AC4" s="24">
        <v>126317</v>
      </c>
      <c r="AD4" s="24">
        <v>110808</v>
      </c>
      <c r="AE4" s="24">
        <v>248376</v>
      </c>
    </row>
    <row r="5" spans="1:31">
      <c r="A5" t="s">
        <v>64</v>
      </c>
      <c r="B5" t="s">
        <v>135</v>
      </c>
      <c r="C5" t="s">
        <v>48</v>
      </c>
      <c r="D5" t="s">
        <v>136</v>
      </c>
      <c r="E5" t="s">
        <v>148</v>
      </c>
      <c r="F5" t="s">
        <v>149</v>
      </c>
      <c r="G5" t="s">
        <v>107</v>
      </c>
      <c r="H5" t="s">
        <v>108</v>
      </c>
      <c r="I5" t="s">
        <v>139</v>
      </c>
      <c r="J5" t="s">
        <v>140</v>
      </c>
      <c r="K5" t="s">
        <v>150</v>
      </c>
      <c r="L5" t="s">
        <v>112</v>
      </c>
      <c r="M5" t="s">
        <v>151</v>
      </c>
      <c r="N5" s="23">
        <v>45959.861111111109</v>
      </c>
      <c r="O5" s="23">
        <v>45966.826388888891</v>
      </c>
      <c r="P5" t="s">
        <v>114</v>
      </c>
      <c r="Q5" t="s">
        <v>115</v>
      </c>
      <c r="R5" t="s">
        <v>143</v>
      </c>
      <c r="S5" t="s">
        <v>152</v>
      </c>
      <c r="T5" t="s">
        <v>131</v>
      </c>
      <c r="U5" t="s">
        <v>153</v>
      </c>
      <c r="V5" t="s">
        <v>146</v>
      </c>
      <c r="W5" t="s">
        <v>120</v>
      </c>
      <c r="X5" t="s">
        <v>147</v>
      </c>
      <c r="Y5" s="24">
        <v>1</v>
      </c>
      <c r="Z5" s="24">
        <v>1</v>
      </c>
      <c r="AA5" s="24">
        <v>1</v>
      </c>
      <c r="AB5" s="24">
        <v>11251</v>
      </c>
      <c r="AC5" s="24">
        <v>126317</v>
      </c>
      <c r="AD5" s="24">
        <v>110808</v>
      </c>
      <c r="AE5" s="24">
        <v>248376</v>
      </c>
    </row>
    <row r="6" spans="1:31">
      <c r="A6" t="s">
        <v>43</v>
      </c>
      <c r="B6" t="s">
        <v>154</v>
      </c>
      <c r="C6" t="s">
        <v>44</v>
      </c>
      <c r="D6" t="s">
        <v>155</v>
      </c>
      <c r="E6" t="s">
        <v>156</v>
      </c>
      <c r="F6" t="s">
        <v>157</v>
      </c>
      <c r="G6" t="s">
        <v>107</v>
      </c>
      <c r="H6" t="s">
        <v>108</v>
      </c>
      <c r="I6" t="s">
        <v>158</v>
      </c>
      <c r="J6" t="s">
        <v>159</v>
      </c>
      <c r="K6" t="s">
        <v>160</v>
      </c>
      <c r="L6" t="s">
        <v>112</v>
      </c>
      <c r="M6" t="s">
        <v>161</v>
      </c>
      <c r="N6" s="23">
        <v>45959.710416666669</v>
      </c>
      <c r="O6" s="23">
        <v>45965.713194444441</v>
      </c>
      <c r="P6" t="s">
        <v>114</v>
      </c>
      <c r="Q6" t="s">
        <v>115</v>
      </c>
      <c r="R6" t="s">
        <v>143</v>
      </c>
      <c r="S6" t="s">
        <v>162</v>
      </c>
      <c r="T6" t="s">
        <v>131</v>
      </c>
      <c r="U6" t="s">
        <v>163</v>
      </c>
      <c r="V6" t="s">
        <v>132</v>
      </c>
      <c r="W6" t="s">
        <v>133</v>
      </c>
      <c r="X6" t="s">
        <v>164</v>
      </c>
      <c r="Y6" s="24">
        <v>1</v>
      </c>
      <c r="Z6" s="24">
        <v>1</v>
      </c>
      <c r="AA6" s="24">
        <v>1</v>
      </c>
      <c r="AB6" s="24">
        <v>11251</v>
      </c>
      <c r="AC6" s="24">
        <v>126317</v>
      </c>
      <c r="AD6" s="24">
        <v>110808</v>
      </c>
      <c r="AE6" s="24">
        <v>248376</v>
      </c>
    </row>
    <row r="7" spans="1:31">
      <c r="A7" t="s">
        <v>64</v>
      </c>
      <c r="B7" t="s">
        <v>135</v>
      </c>
      <c r="C7" t="s">
        <v>48</v>
      </c>
      <c r="D7" t="s">
        <v>165</v>
      </c>
      <c r="E7" t="s">
        <v>166</v>
      </c>
      <c r="F7" t="s">
        <v>167</v>
      </c>
      <c r="G7" t="s">
        <v>107</v>
      </c>
      <c r="H7" t="s">
        <v>108</v>
      </c>
      <c r="I7" t="s">
        <v>168</v>
      </c>
      <c r="J7" t="s">
        <v>169</v>
      </c>
      <c r="K7" t="s">
        <v>170</v>
      </c>
      <c r="L7" t="s">
        <v>112</v>
      </c>
      <c r="M7" t="s">
        <v>171</v>
      </c>
      <c r="N7" s="23">
        <v>45959.875694444447</v>
      </c>
      <c r="O7" s="23">
        <v>45966.828472222223</v>
      </c>
      <c r="P7" t="s">
        <v>114</v>
      </c>
      <c r="Q7" t="s">
        <v>115</v>
      </c>
      <c r="R7" t="s">
        <v>143</v>
      </c>
      <c r="S7" t="s">
        <v>172</v>
      </c>
      <c r="T7" t="s">
        <v>131</v>
      </c>
      <c r="U7" t="s">
        <v>173</v>
      </c>
      <c r="V7" t="s">
        <v>119</v>
      </c>
      <c r="W7" t="s">
        <v>120</v>
      </c>
      <c r="X7" t="s">
        <v>174</v>
      </c>
      <c r="Y7" s="24">
        <v>1</v>
      </c>
      <c r="Z7" s="24">
        <v>1</v>
      </c>
      <c r="AA7" s="24">
        <v>1</v>
      </c>
      <c r="AB7" s="24">
        <v>11251</v>
      </c>
      <c r="AC7" s="24">
        <v>126317</v>
      </c>
      <c r="AD7" s="24">
        <v>110808</v>
      </c>
      <c r="AE7" s="24">
        <v>248376</v>
      </c>
    </row>
    <row r="8" spans="1:31">
      <c r="A8" t="s">
        <v>64</v>
      </c>
      <c r="B8" t="s">
        <v>135</v>
      </c>
      <c r="C8" t="s">
        <v>48</v>
      </c>
      <c r="D8" t="s">
        <v>175</v>
      </c>
      <c r="E8" t="s">
        <v>176</v>
      </c>
      <c r="F8" t="s">
        <v>177</v>
      </c>
      <c r="G8" t="s">
        <v>107</v>
      </c>
      <c r="H8" t="s">
        <v>108</v>
      </c>
      <c r="I8" t="s">
        <v>168</v>
      </c>
      <c r="J8" t="s">
        <v>178</v>
      </c>
      <c r="K8" t="s">
        <v>179</v>
      </c>
      <c r="L8" t="s">
        <v>112</v>
      </c>
      <c r="M8" t="s">
        <v>180</v>
      </c>
      <c r="N8" s="23">
        <v>45959.875694444447</v>
      </c>
      <c r="O8" s="23">
        <v>45966.832638888889</v>
      </c>
      <c r="P8" t="s">
        <v>114</v>
      </c>
      <c r="Q8" t="s">
        <v>115</v>
      </c>
      <c r="R8" t="s">
        <v>129</v>
      </c>
      <c r="S8" t="s">
        <v>181</v>
      </c>
      <c r="T8" t="s">
        <v>131</v>
      </c>
      <c r="V8" t="s">
        <v>119</v>
      </c>
      <c r="W8" t="s">
        <v>120</v>
      </c>
      <c r="X8" t="s">
        <v>174</v>
      </c>
      <c r="Y8" s="24">
        <v>0</v>
      </c>
      <c r="Z8" s="24">
        <v>0</v>
      </c>
      <c r="AA8" s="24">
        <v>2</v>
      </c>
      <c r="AB8" s="24">
        <v>0</v>
      </c>
      <c r="AC8" s="24">
        <v>0</v>
      </c>
      <c r="AD8" s="24">
        <v>110808</v>
      </c>
      <c r="AE8" s="24">
        <v>221616</v>
      </c>
    </row>
    <row r="9" spans="1:31">
      <c r="A9" t="s">
        <v>61</v>
      </c>
      <c r="B9" t="s">
        <v>103</v>
      </c>
      <c r="C9" t="s">
        <v>32</v>
      </c>
      <c r="D9" t="s">
        <v>182</v>
      </c>
      <c r="E9" t="s">
        <v>183</v>
      </c>
      <c r="F9" t="s">
        <v>184</v>
      </c>
      <c r="G9" t="s">
        <v>107</v>
      </c>
      <c r="H9" t="s">
        <v>108</v>
      </c>
      <c r="I9" t="s">
        <v>109</v>
      </c>
      <c r="J9" t="s">
        <v>61</v>
      </c>
      <c r="K9" t="s">
        <v>185</v>
      </c>
      <c r="L9" t="s">
        <v>112</v>
      </c>
      <c r="M9" t="s">
        <v>186</v>
      </c>
      <c r="N9" s="23">
        <v>45961.726388888892</v>
      </c>
      <c r="O9" s="23">
        <v>45971.701388888891</v>
      </c>
      <c r="P9" t="s">
        <v>187</v>
      </c>
      <c r="Q9" t="s">
        <v>188</v>
      </c>
      <c r="R9" t="s">
        <v>143</v>
      </c>
      <c r="S9" t="s">
        <v>189</v>
      </c>
      <c r="T9" t="s">
        <v>131</v>
      </c>
      <c r="U9" t="s">
        <v>190</v>
      </c>
      <c r="V9" t="s">
        <v>8</v>
      </c>
      <c r="W9" t="s">
        <v>120</v>
      </c>
      <c r="X9" t="s">
        <v>191</v>
      </c>
      <c r="Y9" s="24">
        <v>0</v>
      </c>
      <c r="Z9" s="24">
        <v>1</v>
      </c>
      <c r="AA9" s="24">
        <v>0</v>
      </c>
      <c r="AB9" s="24">
        <v>11251</v>
      </c>
      <c r="AC9" s="24">
        <v>0</v>
      </c>
      <c r="AD9" s="24">
        <v>0</v>
      </c>
      <c r="AE9" s="24">
        <v>11251</v>
      </c>
    </row>
    <row r="10" spans="1:31">
      <c r="A10" t="s">
        <v>61</v>
      </c>
      <c r="B10" t="s">
        <v>103</v>
      </c>
      <c r="C10" t="s">
        <v>32</v>
      </c>
      <c r="D10" t="s">
        <v>182</v>
      </c>
      <c r="E10" t="s">
        <v>192</v>
      </c>
      <c r="F10" t="s">
        <v>193</v>
      </c>
      <c r="G10" t="s">
        <v>107</v>
      </c>
      <c r="H10" t="s">
        <v>108</v>
      </c>
      <c r="I10" t="s">
        <v>109</v>
      </c>
      <c r="J10" t="s">
        <v>61</v>
      </c>
      <c r="K10" t="s">
        <v>194</v>
      </c>
      <c r="L10" t="s">
        <v>112</v>
      </c>
      <c r="M10" t="s">
        <v>195</v>
      </c>
      <c r="N10" s="23">
        <v>45968.333333333343</v>
      </c>
      <c r="O10" s="23">
        <v>45968.644444444442</v>
      </c>
      <c r="R10" t="s">
        <v>143</v>
      </c>
      <c r="S10" t="s">
        <v>196</v>
      </c>
      <c r="T10" t="s">
        <v>131</v>
      </c>
      <c r="U10" t="s">
        <v>197</v>
      </c>
      <c r="V10" t="s">
        <v>8</v>
      </c>
      <c r="W10" t="s">
        <v>120</v>
      </c>
      <c r="X10" t="s">
        <v>198</v>
      </c>
      <c r="Y10" s="24">
        <v>1</v>
      </c>
      <c r="Z10" s="24">
        <v>1</v>
      </c>
      <c r="AA10" s="24">
        <v>1</v>
      </c>
      <c r="AB10" s="24">
        <v>11251</v>
      </c>
      <c r="AC10" s="24">
        <v>126317</v>
      </c>
      <c r="AD10" s="24">
        <v>57415</v>
      </c>
      <c r="AE10" s="24">
        <v>194983</v>
      </c>
    </row>
    <row r="11" spans="1:31">
      <c r="A11" t="s">
        <v>61</v>
      </c>
      <c r="B11" t="s">
        <v>103</v>
      </c>
      <c r="C11" t="s">
        <v>32</v>
      </c>
      <c r="D11" t="s">
        <v>182</v>
      </c>
      <c r="E11" t="s">
        <v>199</v>
      </c>
      <c r="F11" t="s">
        <v>200</v>
      </c>
      <c r="G11" t="s">
        <v>107</v>
      </c>
      <c r="H11" t="s">
        <v>108</v>
      </c>
      <c r="I11" t="s">
        <v>109</v>
      </c>
      <c r="J11" t="s">
        <v>61</v>
      </c>
      <c r="K11" t="s">
        <v>201</v>
      </c>
      <c r="L11" t="s">
        <v>112</v>
      </c>
      <c r="M11" t="s">
        <v>202</v>
      </c>
      <c r="N11" s="23">
        <v>45968.333333333343</v>
      </c>
      <c r="O11" s="23">
        <v>45971.505555555559</v>
      </c>
      <c r="R11" t="s">
        <v>143</v>
      </c>
      <c r="S11" t="s">
        <v>203</v>
      </c>
      <c r="T11" t="s">
        <v>131</v>
      </c>
      <c r="U11" t="s">
        <v>204</v>
      </c>
      <c r="V11" t="s">
        <v>8</v>
      </c>
      <c r="W11" t="s">
        <v>120</v>
      </c>
      <c r="X11" t="s">
        <v>205</v>
      </c>
      <c r="Y11" s="24">
        <v>1</v>
      </c>
      <c r="Z11" s="24">
        <v>1</v>
      </c>
      <c r="AA11" s="24">
        <v>1</v>
      </c>
      <c r="AB11" s="24">
        <v>11251</v>
      </c>
      <c r="AC11" s="24">
        <v>126317</v>
      </c>
      <c r="AD11" s="24">
        <v>57415</v>
      </c>
      <c r="AE11" s="24">
        <v>194983</v>
      </c>
    </row>
    <row r="12" spans="1:31">
      <c r="A12" t="s">
        <v>61</v>
      </c>
      <c r="B12" t="s">
        <v>103</v>
      </c>
      <c r="C12" t="s">
        <v>32</v>
      </c>
      <c r="D12" t="s">
        <v>182</v>
      </c>
      <c r="E12" t="s">
        <v>206</v>
      </c>
      <c r="F12" t="s">
        <v>207</v>
      </c>
      <c r="G12" t="s">
        <v>107</v>
      </c>
      <c r="H12" t="s">
        <v>108</v>
      </c>
      <c r="I12" t="s">
        <v>109</v>
      </c>
      <c r="J12" t="s">
        <v>61</v>
      </c>
      <c r="K12" t="s">
        <v>208</v>
      </c>
      <c r="L12" t="s">
        <v>112</v>
      </c>
      <c r="M12" t="s">
        <v>209</v>
      </c>
      <c r="N12" s="23">
        <v>45968.333333333343</v>
      </c>
      <c r="O12" s="23">
        <v>45971.638194444437</v>
      </c>
      <c r="R12" t="s">
        <v>143</v>
      </c>
      <c r="S12" t="s">
        <v>210</v>
      </c>
      <c r="T12" t="s">
        <v>131</v>
      </c>
      <c r="U12" t="s">
        <v>211</v>
      </c>
      <c r="V12" t="s">
        <v>8</v>
      </c>
      <c r="W12" t="s">
        <v>120</v>
      </c>
      <c r="X12" t="s">
        <v>205</v>
      </c>
      <c r="Y12" s="24">
        <v>1</v>
      </c>
      <c r="Z12" s="24">
        <v>1</v>
      </c>
      <c r="AA12" s="24">
        <v>1</v>
      </c>
      <c r="AB12" s="24">
        <v>11251</v>
      </c>
      <c r="AC12" s="24">
        <v>126317</v>
      </c>
      <c r="AD12" s="24">
        <v>57415</v>
      </c>
      <c r="AE12" s="24">
        <v>194983</v>
      </c>
    </row>
    <row r="13" spans="1:31">
      <c r="A13" t="s">
        <v>61</v>
      </c>
      <c r="B13" t="s">
        <v>103</v>
      </c>
      <c r="C13" t="s">
        <v>32</v>
      </c>
      <c r="D13" t="s">
        <v>182</v>
      </c>
      <c r="E13" t="s">
        <v>212</v>
      </c>
      <c r="F13" t="s">
        <v>213</v>
      </c>
      <c r="G13" t="s">
        <v>107</v>
      </c>
      <c r="H13" t="s">
        <v>108</v>
      </c>
      <c r="I13" t="s">
        <v>109</v>
      </c>
      <c r="J13" t="s">
        <v>61</v>
      </c>
      <c r="K13" t="s">
        <v>214</v>
      </c>
      <c r="L13" t="s">
        <v>112</v>
      </c>
      <c r="M13" t="s">
        <v>215</v>
      </c>
      <c r="N13" s="23">
        <v>45968.333333333343</v>
      </c>
      <c r="O13" s="23">
        <v>45971.748611111107</v>
      </c>
      <c r="R13" t="s">
        <v>143</v>
      </c>
      <c r="S13" t="s">
        <v>216</v>
      </c>
      <c r="T13" t="s">
        <v>131</v>
      </c>
      <c r="U13" t="s">
        <v>217</v>
      </c>
      <c r="V13" t="s">
        <v>8</v>
      </c>
      <c r="W13" t="s">
        <v>120</v>
      </c>
      <c r="X13" t="s">
        <v>218</v>
      </c>
      <c r="Y13" s="24">
        <v>1</v>
      </c>
      <c r="Z13" s="24">
        <v>1</v>
      </c>
      <c r="AA13" s="24">
        <v>1</v>
      </c>
      <c r="AB13" s="24">
        <v>11251</v>
      </c>
      <c r="AC13" s="24">
        <v>126317</v>
      </c>
      <c r="AD13" s="24">
        <v>57415</v>
      </c>
      <c r="AE13" s="24">
        <v>194983</v>
      </c>
    </row>
    <row r="14" spans="1:31">
      <c r="A14" t="s">
        <v>61</v>
      </c>
      <c r="B14" t="s">
        <v>103</v>
      </c>
      <c r="C14" t="s">
        <v>32</v>
      </c>
      <c r="D14" t="s">
        <v>182</v>
      </c>
      <c r="E14" t="s">
        <v>219</v>
      </c>
      <c r="F14" t="s">
        <v>220</v>
      </c>
      <c r="G14" t="s">
        <v>107</v>
      </c>
      <c r="H14" t="s">
        <v>108</v>
      </c>
      <c r="I14" t="s">
        <v>109</v>
      </c>
      <c r="J14" t="s">
        <v>61</v>
      </c>
      <c r="K14" t="s">
        <v>221</v>
      </c>
      <c r="L14" t="s">
        <v>112</v>
      </c>
      <c r="M14" t="s">
        <v>222</v>
      </c>
      <c r="N14" s="23">
        <v>45968.333333333343</v>
      </c>
      <c r="O14" s="23">
        <v>45971.551388888889</v>
      </c>
      <c r="R14" t="s">
        <v>143</v>
      </c>
      <c r="S14" t="s">
        <v>223</v>
      </c>
      <c r="T14" t="s">
        <v>131</v>
      </c>
      <c r="U14" t="s">
        <v>224</v>
      </c>
      <c r="V14" t="s">
        <v>8</v>
      </c>
      <c r="W14" t="s">
        <v>120</v>
      </c>
      <c r="X14" t="s">
        <v>218</v>
      </c>
      <c r="Y14" s="24">
        <v>1</v>
      </c>
      <c r="Z14" s="24">
        <v>1</v>
      </c>
      <c r="AA14" s="24">
        <v>1</v>
      </c>
      <c r="AB14" s="24">
        <v>11251</v>
      </c>
      <c r="AC14" s="24">
        <v>126317</v>
      </c>
      <c r="AD14" s="24">
        <v>57415</v>
      </c>
      <c r="AE14" s="24">
        <v>194983</v>
      </c>
    </row>
    <row r="15" spans="1:31">
      <c r="A15" t="s">
        <v>61</v>
      </c>
      <c r="B15" t="s">
        <v>103</v>
      </c>
      <c r="C15" t="s">
        <v>32</v>
      </c>
      <c r="D15" t="s">
        <v>225</v>
      </c>
      <c r="E15" t="s">
        <v>226</v>
      </c>
      <c r="F15" t="s">
        <v>227</v>
      </c>
      <c r="G15" t="s">
        <v>107</v>
      </c>
      <c r="H15" t="s">
        <v>108</v>
      </c>
      <c r="I15" t="s">
        <v>109</v>
      </c>
      <c r="J15" t="s">
        <v>228</v>
      </c>
      <c r="K15" t="s">
        <v>229</v>
      </c>
      <c r="L15" t="s">
        <v>112</v>
      </c>
      <c r="M15" t="s">
        <v>230</v>
      </c>
      <c r="N15" s="23">
        <v>45968.333333333343</v>
      </c>
      <c r="O15" s="23">
        <v>45968.67083333333</v>
      </c>
      <c r="R15" t="s">
        <v>143</v>
      </c>
      <c r="S15" t="s">
        <v>231</v>
      </c>
      <c r="T15" t="s">
        <v>131</v>
      </c>
      <c r="U15" t="s">
        <v>232</v>
      </c>
      <c r="V15" t="s">
        <v>8</v>
      </c>
      <c r="W15" t="s">
        <v>120</v>
      </c>
      <c r="X15" t="s">
        <v>205</v>
      </c>
      <c r="Y15" s="24">
        <v>1</v>
      </c>
      <c r="Z15" s="24">
        <v>1</v>
      </c>
      <c r="AA15" s="24">
        <v>1</v>
      </c>
      <c r="AB15" s="24">
        <v>11251</v>
      </c>
      <c r="AC15" s="24">
        <v>126317</v>
      </c>
      <c r="AD15" s="24">
        <v>57415</v>
      </c>
      <c r="AE15" s="24">
        <v>194983</v>
      </c>
    </row>
    <row r="16" spans="1:31">
      <c r="A16" t="s">
        <v>61</v>
      </c>
      <c r="B16" t="s">
        <v>103</v>
      </c>
      <c r="C16" t="s">
        <v>32</v>
      </c>
      <c r="D16" t="s">
        <v>233</v>
      </c>
      <c r="E16" t="s">
        <v>234</v>
      </c>
      <c r="F16" t="s">
        <v>235</v>
      </c>
      <c r="G16" t="s">
        <v>107</v>
      </c>
      <c r="H16" t="s">
        <v>108</v>
      </c>
      <c r="I16" t="s">
        <v>109</v>
      </c>
      <c r="J16" t="s">
        <v>236</v>
      </c>
      <c r="K16" t="s">
        <v>237</v>
      </c>
      <c r="L16" t="s">
        <v>112</v>
      </c>
      <c r="M16" t="s">
        <v>238</v>
      </c>
      <c r="N16" s="23">
        <v>45968.333333333343</v>
      </c>
      <c r="O16" s="23">
        <v>45968.560416666667</v>
      </c>
      <c r="R16" t="s">
        <v>143</v>
      </c>
      <c r="S16" t="s">
        <v>239</v>
      </c>
      <c r="T16" t="s">
        <v>131</v>
      </c>
      <c r="U16" t="s">
        <v>240</v>
      </c>
      <c r="V16" t="s">
        <v>8</v>
      </c>
      <c r="W16" t="s">
        <v>120</v>
      </c>
      <c r="X16" t="s">
        <v>205</v>
      </c>
      <c r="Y16" s="24">
        <v>1</v>
      </c>
      <c r="Z16" s="24">
        <v>1</v>
      </c>
      <c r="AA16" s="24">
        <v>1</v>
      </c>
      <c r="AB16" s="24">
        <v>11251</v>
      </c>
      <c r="AC16" s="24">
        <v>126317</v>
      </c>
      <c r="AD16" s="24">
        <v>57415</v>
      </c>
      <c r="AE16" s="24">
        <v>194983</v>
      </c>
    </row>
    <row r="17" spans="1:31">
      <c r="A17" t="s">
        <v>61</v>
      </c>
      <c r="B17" t="s">
        <v>103</v>
      </c>
      <c r="C17" t="s">
        <v>32</v>
      </c>
      <c r="D17" t="s">
        <v>241</v>
      </c>
      <c r="E17" t="s">
        <v>242</v>
      </c>
      <c r="F17" t="s">
        <v>243</v>
      </c>
      <c r="G17" t="s">
        <v>107</v>
      </c>
      <c r="H17" t="s">
        <v>108</v>
      </c>
      <c r="I17" t="s">
        <v>109</v>
      </c>
      <c r="J17" t="s">
        <v>244</v>
      </c>
      <c r="K17" t="s">
        <v>245</v>
      </c>
      <c r="L17" t="s">
        <v>112</v>
      </c>
      <c r="M17" t="s">
        <v>246</v>
      </c>
      <c r="N17" s="23">
        <v>45968.333333333343</v>
      </c>
      <c r="O17" s="23">
        <v>45968.624305555553</v>
      </c>
      <c r="R17" t="s">
        <v>143</v>
      </c>
      <c r="S17" t="s">
        <v>247</v>
      </c>
      <c r="T17" t="s">
        <v>131</v>
      </c>
      <c r="U17" t="s">
        <v>248</v>
      </c>
      <c r="V17" t="s">
        <v>249</v>
      </c>
      <c r="W17" t="s">
        <v>120</v>
      </c>
      <c r="X17" t="s">
        <v>250</v>
      </c>
      <c r="Y17" s="24">
        <v>1</v>
      </c>
      <c r="Z17" s="24">
        <v>1</v>
      </c>
      <c r="AA17" s="24">
        <v>1</v>
      </c>
      <c r="AB17" s="24">
        <v>11251</v>
      </c>
      <c r="AC17" s="24">
        <v>126317</v>
      </c>
      <c r="AD17" s="24">
        <v>110808</v>
      </c>
      <c r="AE17" s="24">
        <v>248376</v>
      </c>
    </row>
    <row r="18" spans="1:31">
      <c r="A18" t="s">
        <v>43</v>
      </c>
      <c r="B18" t="s">
        <v>154</v>
      </c>
      <c r="C18" t="s">
        <v>44</v>
      </c>
      <c r="D18" t="s">
        <v>251</v>
      </c>
      <c r="E18" t="s">
        <v>252</v>
      </c>
      <c r="F18" t="s">
        <v>253</v>
      </c>
      <c r="G18" t="s">
        <v>107</v>
      </c>
      <c r="H18" t="s">
        <v>108</v>
      </c>
      <c r="I18" t="s">
        <v>254</v>
      </c>
      <c r="J18" t="s">
        <v>255</v>
      </c>
      <c r="K18" t="s">
        <v>256</v>
      </c>
      <c r="L18" t="s">
        <v>112</v>
      </c>
      <c r="M18" t="s">
        <v>257</v>
      </c>
      <c r="N18" s="23">
        <v>45968.333333333343</v>
      </c>
      <c r="O18" s="23">
        <v>45971.732638888891</v>
      </c>
      <c r="R18" t="s">
        <v>143</v>
      </c>
      <c r="S18" t="s">
        <v>258</v>
      </c>
      <c r="T18" t="s">
        <v>131</v>
      </c>
      <c r="U18" t="s">
        <v>259</v>
      </c>
      <c r="V18" t="s">
        <v>132</v>
      </c>
      <c r="W18" t="s">
        <v>260</v>
      </c>
      <c r="X18" t="s">
        <v>261</v>
      </c>
      <c r="Y18" s="24">
        <v>1</v>
      </c>
      <c r="Z18" s="24">
        <v>1</v>
      </c>
      <c r="AA18" s="24">
        <v>1</v>
      </c>
      <c r="AB18" s="24">
        <v>11251</v>
      </c>
      <c r="AC18" s="24">
        <v>126317</v>
      </c>
      <c r="AD18" s="24">
        <v>110808</v>
      </c>
      <c r="AE18" s="24">
        <v>248376</v>
      </c>
    </row>
    <row r="19" spans="1:31">
      <c r="A19" t="s">
        <v>43</v>
      </c>
      <c r="B19" t="s">
        <v>154</v>
      </c>
      <c r="C19" t="s">
        <v>44</v>
      </c>
      <c r="D19" t="s">
        <v>251</v>
      </c>
      <c r="E19" t="s">
        <v>262</v>
      </c>
      <c r="F19" t="s">
        <v>263</v>
      </c>
      <c r="G19" t="s">
        <v>107</v>
      </c>
      <c r="H19" t="s">
        <v>108</v>
      </c>
      <c r="I19" t="s">
        <v>254</v>
      </c>
      <c r="J19" t="s">
        <v>255</v>
      </c>
      <c r="K19" t="s">
        <v>264</v>
      </c>
      <c r="L19" t="s">
        <v>112</v>
      </c>
      <c r="M19" t="s">
        <v>265</v>
      </c>
      <c r="N19" s="23">
        <v>45968.333333333343</v>
      </c>
      <c r="O19" s="23">
        <v>45972.450694444437</v>
      </c>
      <c r="R19" t="s">
        <v>143</v>
      </c>
      <c r="S19" t="s">
        <v>266</v>
      </c>
      <c r="T19" t="s">
        <v>131</v>
      </c>
      <c r="U19" t="s">
        <v>267</v>
      </c>
      <c r="V19" t="s">
        <v>132</v>
      </c>
      <c r="W19" t="s">
        <v>260</v>
      </c>
      <c r="X19" t="s">
        <v>261</v>
      </c>
      <c r="Y19" s="24">
        <v>1</v>
      </c>
      <c r="Z19" s="24">
        <v>1</v>
      </c>
      <c r="AA19" s="24">
        <v>1</v>
      </c>
      <c r="AB19" s="24">
        <v>11251</v>
      </c>
      <c r="AC19" s="24">
        <v>126317</v>
      </c>
      <c r="AD19" s="24">
        <v>110808</v>
      </c>
      <c r="AE19" s="24">
        <v>248376</v>
      </c>
    </row>
    <row r="20" spans="1:31">
      <c r="A20" t="s">
        <v>43</v>
      </c>
      <c r="B20" t="s">
        <v>154</v>
      </c>
      <c r="C20" t="s">
        <v>44</v>
      </c>
      <c r="D20" t="s">
        <v>251</v>
      </c>
      <c r="E20" t="s">
        <v>268</v>
      </c>
      <c r="F20" t="s">
        <v>269</v>
      </c>
      <c r="G20" t="s">
        <v>107</v>
      </c>
      <c r="H20" t="s">
        <v>108</v>
      </c>
      <c r="I20" t="s">
        <v>254</v>
      </c>
      <c r="J20" t="s">
        <v>255</v>
      </c>
      <c r="K20" t="s">
        <v>270</v>
      </c>
      <c r="L20" t="s">
        <v>112</v>
      </c>
      <c r="M20" t="s">
        <v>271</v>
      </c>
      <c r="N20" s="23">
        <v>45968.333333333343</v>
      </c>
      <c r="O20" s="23">
        <v>45972.675000000003</v>
      </c>
      <c r="R20" t="s">
        <v>143</v>
      </c>
      <c r="S20" t="s">
        <v>272</v>
      </c>
      <c r="T20" t="s">
        <v>131</v>
      </c>
      <c r="U20" t="s">
        <v>273</v>
      </c>
      <c r="V20" t="s">
        <v>132</v>
      </c>
      <c r="W20" t="s">
        <v>260</v>
      </c>
      <c r="X20" t="s">
        <v>261</v>
      </c>
      <c r="Y20" s="24">
        <v>1</v>
      </c>
      <c r="Z20" s="24">
        <v>1</v>
      </c>
      <c r="AA20" s="24">
        <v>1</v>
      </c>
      <c r="AB20" s="24">
        <v>11251</v>
      </c>
      <c r="AC20" s="24">
        <v>126317</v>
      </c>
      <c r="AD20" s="24">
        <v>110808</v>
      </c>
      <c r="AE20" s="24">
        <v>248376</v>
      </c>
    </row>
    <row r="21" spans="1:31">
      <c r="A21" t="s">
        <v>69</v>
      </c>
      <c r="B21" t="s">
        <v>154</v>
      </c>
      <c r="C21" t="s">
        <v>44</v>
      </c>
      <c r="D21" t="s">
        <v>274</v>
      </c>
      <c r="E21" t="s">
        <v>275</v>
      </c>
      <c r="F21" t="s">
        <v>276</v>
      </c>
      <c r="G21" t="s">
        <v>107</v>
      </c>
      <c r="H21" t="s">
        <v>108</v>
      </c>
      <c r="I21" t="s">
        <v>277</v>
      </c>
      <c r="J21" t="s">
        <v>278</v>
      </c>
      <c r="K21" t="s">
        <v>279</v>
      </c>
      <c r="L21" t="s">
        <v>112</v>
      </c>
      <c r="M21" t="s">
        <v>280</v>
      </c>
      <c r="N21" s="23">
        <v>45968.333333333343</v>
      </c>
      <c r="O21" s="23">
        <v>45971.975694444453</v>
      </c>
      <c r="R21" t="s">
        <v>143</v>
      </c>
      <c r="S21" t="s">
        <v>281</v>
      </c>
      <c r="T21" t="s">
        <v>131</v>
      </c>
      <c r="U21" t="s">
        <v>282</v>
      </c>
      <c r="V21" t="s">
        <v>249</v>
      </c>
      <c r="W21" t="s">
        <v>120</v>
      </c>
      <c r="X21" t="s">
        <v>283</v>
      </c>
      <c r="Y21" s="24">
        <v>1</v>
      </c>
      <c r="Z21" s="24">
        <v>1</v>
      </c>
      <c r="AA21" s="24">
        <v>1</v>
      </c>
      <c r="AB21" s="24">
        <v>11251</v>
      </c>
      <c r="AC21" s="24">
        <v>126317</v>
      </c>
      <c r="AD21" s="24">
        <v>110808</v>
      </c>
      <c r="AE21" s="24">
        <v>248376</v>
      </c>
    </row>
    <row r="22" spans="1:31">
      <c r="A22" t="s">
        <v>62</v>
      </c>
      <c r="B22" t="s">
        <v>284</v>
      </c>
      <c r="C22" t="s">
        <v>36</v>
      </c>
      <c r="D22" t="s">
        <v>285</v>
      </c>
      <c r="E22" t="s">
        <v>286</v>
      </c>
      <c r="F22" t="s">
        <v>287</v>
      </c>
      <c r="G22" t="s">
        <v>107</v>
      </c>
      <c r="H22" t="s">
        <v>108</v>
      </c>
      <c r="I22" t="s">
        <v>288</v>
      </c>
      <c r="J22" t="s">
        <v>289</v>
      </c>
      <c r="K22" t="s">
        <v>290</v>
      </c>
      <c r="L22" t="s">
        <v>112</v>
      </c>
      <c r="M22" t="s">
        <v>291</v>
      </c>
      <c r="N22" s="23">
        <v>45968.333333333343</v>
      </c>
      <c r="O22" s="23">
        <v>45968.715277777781</v>
      </c>
      <c r="R22" t="s">
        <v>143</v>
      </c>
      <c r="S22" t="s">
        <v>292</v>
      </c>
      <c r="T22" t="s">
        <v>131</v>
      </c>
      <c r="U22" t="s">
        <v>293</v>
      </c>
      <c r="V22" t="s">
        <v>249</v>
      </c>
      <c r="W22" t="s">
        <v>120</v>
      </c>
      <c r="X22" t="s">
        <v>294</v>
      </c>
      <c r="Y22" s="24">
        <v>1</v>
      </c>
      <c r="Z22" s="24">
        <v>1</v>
      </c>
      <c r="AA22" s="24">
        <v>1</v>
      </c>
      <c r="AB22" s="24">
        <v>11251</v>
      </c>
      <c r="AC22" s="24">
        <v>126317</v>
      </c>
      <c r="AD22" s="24">
        <v>110808</v>
      </c>
      <c r="AE22" s="24">
        <v>248376</v>
      </c>
    </row>
    <row r="23" spans="1:31">
      <c r="A23" t="s">
        <v>39</v>
      </c>
      <c r="B23" t="s">
        <v>295</v>
      </c>
      <c r="C23" t="s">
        <v>40</v>
      </c>
      <c r="D23" t="s">
        <v>296</v>
      </c>
      <c r="E23" t="s">
        <v>297</v>
      </c>
      <c r="F23" t="s">
        <v>298</v>
      </c>
      <c r="G23" t="s">
        <v>107</v>
      </c>
      <c r="H23" t="s">
        <v>108</v>
      </c>
      <c r="I23" t="s">
        <v>295</v>
      </c>
      <c r="J23" t="s">
        <v>299</v>
      </c>
      <c r="K23" t="s">
        <v>300</v>
      </c>
      <c r="L23" t="s">
        <v>112</v>
      </c>
      <c r="M23" t="s">
        <v>301</v>
      </c>
      <c r="N23" s="23">
        <v>45968.333333333343</v>
      </c>
      <c r="O23" s="23">
        <v>45971.484027777777</v>
      </c>
      <c r="R23" t="s">
        <v>143</v>
      </c>
      <c r="S23" t="s">
        <v>302</v>
      </c>
      <c r="T23" t="s">
        <v>131</v>
      </c>
      <c r="U23" t="s">
        <v>303</v>
      </c>
      <c r="V23" t="s">
        <v>8</v>
      </c>
      <c r="W23" t="s">
        <v>120</v>
      </c>
      <c r="X23" t="s">
        <v>304</v>
      </c>
      <c r="Y23" s="24">
        <v>1</v>
      </c>
      <c r="Z23" s="24">
        <v>1</v>
      </c>
      <c r="AA23" s="24">
        <v>1</v>
      </c>
      <c r="AB23" s="24">
        <v>11251</v>
      </c>
      <c r="AC23" s="24">
        <v>126317</v>
      </c>
      <c r="AD23" s="24">
        <v>57415</v>
      </c>
      <c r="AE23" s="24">
        <v>194983</v>
      </c>
    </row>
    <row r="24" spans="1:31">
      <c r="A24" t="s">
        <v>67</v>
      </c>
      <c r="B24" t="s">
        <v>284</v>
      </c>
      <c r="C24" t="s">
        <v>36</v>
      </c>
      <c r="D24" t="s">
        <v>305</v>
      </c>
      <c r="E24" t="s">
        <v>306</v>
      </c>
      <c r="F24" t="s">
        <v>307</v>
      </c>
      <c r="G24" t="s">
        <v>107</v>
      </c>
      <c r="H24" t="s">
        <v>108</v>
      </c>
      <c r="I24" t="s">
        <v>308</v>
      </c>
      <c r="J24" t="s">
        <v>309</v>
      </c>
      <c r="K24" t="s">
        <v>310</v>
      </c>
      <c r="L24" t="s">
        <v>112</v>
      </c>
      <c r="M24" t="s">
        <v>311</v>
      </c>
      <c r="N24" s="23">
        <v>45968.333333333343</v>
      </c>
      <c r="O24" s="23">
        <v>45971.624305555553</v>
      </c>
      <c r="R24" t="s">
        <v>143</v>
      </c>
      <c r="S24" t="s">
        <v>312</v>
      </c>
      <c r="T24" t="s">
        <v>131</v>
      </c>
      <c r="U24" t="s">
        <v>313</v>
      </c>
      <c r="V24" t="s">
        <v>146</v>
      </c>
      <c r="W24" t="s">
        <v>120</v>
      </c>
      <c r="X24" t="s">
        <v>314</v>
      </c>
      <c r="Y24" s="24">
        <v>1</v>
      </c>
      <c r="Z24" s="24">
        <v>1</v>
      </c>
      <c r="AA24" s="24">
        <v>1</v>
      </c>
      <c r="AB24" s="24">
        <v>11251</v>
      </c>
      <c r="AC24" s="24">
        <v>126317</v>
      </c>
      <c r="AD24" s="24">
        <v>110808</v>
      </c>
      <c r="AE24" s="24">
        <v>248376</v>
      </c>
    </row>
    <row r="25" spans="1:31">
      <c r="A25" t="s">
        <v>67</v>
      </c>
      <c r="B25" t="s">
        <v>284</v>
      </c>
      <c r="C25" t="s">
        <v>36</v>
      </c>
      <c r="D25" t="s">
        <v>315</v>
      </c>
      <c r="E25" t="s">
        <v>316</v>
      </c>
      <c r="F25" t="s">
        <v>317</v>
      </c>
      <c r="G25" t="s">
        <v>107</v>
      </c>
      <c r="H25" t="s">
        <v>108</v>
      </c>
      <c r="I25" t="s">
        <v>318</v>
      </c>
      <c r="J25" t="s">
        <v>67</v>
      </c>
      <c r="K25" t="s">
        <v>319</v>
      </c>
      <c r="L25" t="s">
        <v>112</v>
      </c>
      <c r="M25" t="s">
        <v>320</v>
      </c>
      <c r="N25" s="23">
        <v>45968.333333333343</v>
      </c>
      <c r="O25" s="23">
        <v>45968.668055555558</v>
      </c>
      <c r="R25" t="s">
        <v>143</v>
      </c>
      <c r="S25" t="s">
        <v>321</v>
      </c>
      <c r="T25" t="s">
        <v>131</v>
      </c>
      <c r="U25" t="s">
        <v>322</v>
      </c>
      <c r="V25" t="s">
        <v>8</v>
      </c>
      <c r="W25" t="s">
        <v>120</v>
      </c>
      <c r="X25" t="s">
        <v>314</v>
      </c>
      <c r="Y25" s="24">
        <v>1</v>
      </c>
      <c r="Z25" s="24">
        <v>1</v>
      </c>
      <c r="AA25" s="24">
        <v>1</v>
      </c>
      <c r="AB25" s="24">
        <v>11251</v>
      </c>
      <c r="AC25" s="24">
        <v>126317</v>
      </c>
      <c r="AD25" s="24">
        <v>57415</v>
      </c>
      <c r="AE25" s="24">
        <v>194983</v>
      </c>
    </row>
    <row r="26" spans="1:31">
      <c r="A26" t="s">
        <v>64</v>
      </c>
      <c r="B26" t="s">
        <v>135</v>
      </c>
      <c r="C26" t="s">
        <v>48</v>
      </c>
      <c r="D26" t="s">
        <v>323</v>
      </c>
      <c r="E26" t="s">
        <v>324</v>
      </c>
      <c r="F26" t="s">
        <v>325</v>
      </c>
      <c r="G26" t="s">
        <v>107</v>
      </c>
      <c r="H26" t="s">
        <v>108</v>
      </c>
      <c r="I26" t="s">
        <v>139</v>
      </c>
      <c r="J26" t="s">
        <v>64</v>
      </c>
      <c r="K26" t="s">
        <v>326</v>
      </c>
      <c r="L26" t="s">
        <v>112</v>
      </c>
      <c r="M26" t="s">
        <v>327</v>
      </c>
      <c r="N26" s="23">
        <v>45968.333333333343</v>
      </c>
      <c r="O26" s="23">
        <v>45968.29583333333</v>
      </c>
      <c r="R26" t="s">
        <v>143</v>
      </c>
      <c r="S26" t="s">
        <v>328</v>
      </c>
      <c r="T26" t="s">
        <v>131</v>
      </c>
      <c r="U26" t="s">
        <v>329</v>
      </c>
      <c r="V26" t="s">
        <v>8</v>
      </c>
      <c r="W26" t="s">
        <v>120</v>
      </c>
      <c r="X26" t="s">
        <v>330</v>
      </c>
      <c r="Y26" s="24">
        <v>1</v>
      </c>
      <c r="Z26" s="24">
        <v>1</v>
      </c>
      <c r="AA26" s="24">
        <v>1</v>
      </c>
      <c r="AB26" s="24">
        <v>11251</v>
      </c>
      <c r="AC26" s="24">
        <v>126317</v>
      </c>
      <c r="AD26" s="24">
        <v>57415</v>
      </c>
      <c r="AE26" s="24">
        <v>194983</v>
      </c>
    </row>
    <row r="27" spans="1:31">
      <c r="A27" t="s">
        <v>64</v>
      </c>
      <c r="B27" t="s">
        <v>135</v>
      </c>
      <c r="C27" t="s">
        <v>48</v>
      </c>
      <c r="D27" t="s">
        <v>323</v>
      </c>
      <c r="E27" t="s">
        <v>331</v>
      </c>
      <c r="F27" t="s">
        <v>332</v>
      </c>
      <c r="G27" t="s">
        <v>107</v>
      </c>
      <c r="H27" t="s">
        <v>108</v>
      </c>
      <c r="I27" t="s">
        <v>139</v>
      </c>
      <c r="J27" t="s">
        <v>64</v>
      </c>
      <c r="K27" t="s">
        <v>333</v>
      </c>
      <c r="L27" t="s">
        <v>112</v>
      </c>
      <c r="M27" t="s">
        <v>334</v>
      </c>
      <c r="N27" s="23">
        <v>45968.333333333343</v>
      </c>
      <c r="O27" s="23">
        <v>45968.561805555553</v>
      </c>
      <c r="R27" t="s">
        <v>143</v>
      </c>
      <c r="S27" t="s">
        <v>335</v>
      </c>
      <c r="T27" t="s">
        <v>131</v>
      </c>
      <c r="U27" t="s">
        <v>336</v>
      </c>
      <c r="V27" t="s">
        <v>8</v>
      </c>
      <c r="W27" t="s">
        <v>120</v>
      </c>
      <c r="X27" t="s">
        <v>330</v>
      </c>
      <c r="Y27" s="24">
        <v>1</v>
      </c>
      <c r="Z27" s="24">
        <v>1</v>
      </c>
      <c r="AA27" s="24">
        <v>1</v>
      </c>
      <c r="AB27" s="24">
        <v>11251</v>
      </c>
      <c r="AC27" s="24">
        <v>126317</v>
      </c>
      <c r="AD27" s="24">
        <v>57415</v>
      </c>
      <c r="AE27" s="24">
        <v>194983</v>
      </c>
    </row>
    <row r="28" spans="1:31">
      <c r="A28" t="s">
        <v>52</v>
      </c>
      <c r="B28" t="s">
        <v>154</v>
      </c>
      <c r="C28" t="s">
        <v>44</v>
      </c>
      <c r="D28" t="s">
        <v>337</v>
      </c>
      <c r="E28" t="s">
        <v>338</v>
      </c>
      <c r="F28" t="s">
        <v>339</v>
      </c>
      <c r="G28" t="s">
        <v>107</v>
      </c>
      <c r="H28" t="s">
        <v>108</v>
      </c>
      <c r="I28" t="s">
        <v>340</v>
      </c>
      <c r="J28" t="s">
        <v>52</v>
      </c>
      <c r="K28" t="s">
        <v>341</v>
      </c>
      <c r="L28" t="s">
        <v>112</v>
      </c>
      <c r="M28" t="s">
        <v>342</v>
      </c>
      <c r="N28" s="23">
        <v>45968.333333333343</v>
      </c>
      <c r="O28" s="23">
        <v>45971.556944444441</v>
      </c>
      <c r="R28" t="s">
        <v>143</v>
      </c>
      <c r="S28" t="s">
        <v>343</v>
      </c>
      <c r="T28" t="s">
        <v>131</v>
      </c>
      <c r="U28" t="s">
        <v>344</v>
      </c>
      <c r="V28" t="s">
        <v>8</v>
      </c>
      <c r="W28" t="s">
        <v>120</v>
      </c>
      <c r="X28" t="s">
        <v>345</v>
      </c>
      <c r="Y28" s="24">
        <v>1</v>
      </c>
      <c r="Z28" s="24">
        <v>1</v>
      </c>
      <c r="AA28" s="24">
        <v>1</v>
      </c>
      <c r="AB28" s="24">
        <v>11251</v>
      </c>
      <c r="AC28" s="24">
        <v>126317</v>
      </c>
      <c r="AD28" s="24">
        <v>57415</v>
      </c>
      <c r="AE28" s="24">
        <v>194983</v>
      </c>
    </row>
    <row r="29" spans="1:31">
      <c r="A29" t="s">
        <v>52</v>
      </c>
      <c r="B29" t="s">
        <v>154</v>
      </c>
      <c r="C29" t="s">
        <v>44</v>
      </c>
      <c r="D29" t="s">
        <v>337</v>
      </c>
      <c r="E29" t="s">
        <v>346</v>
      </c>
      <c r="F29" t="s">
        <v>347</v>
      </c>
      <c r="G29" t="s">
        <v>107</v>
      </c>
      <c r="H29" t="s">
        <v>108</v>
      </c>
      <c r="I29" t="s">
        <v>340</v>
      </c>
      <c r="J29" t="s">
        <v>52</v>
      </c>
      <c r="K29" t="s">
        <v>348</v>
      </c>
      <c r="L29" t="s">
        <v>112</v>
      </c>
      <c r="M29" t="s">
        <v>349</v>
      </c>
      <c r="N29" s="23">
        <v>45968.333333333343</v>
      </c>
      <c r="O29" s="23">
        <v>45971.758333333331</v>
      </c>
      <c r="R29" t="s">
        <v>143</v>
      </c>
      <c r="S29" t="s">
        <v>350</v>
      </c>
      <c r="T29" t="s">
        <v>131</v>
      </c>
      <c r="U29" t="s">
        <v>351</v>
      </c>
      <c r="V29" t="s">
        <v>8</v>
      </c>
      <c r="W29" t="s">
        <v>120</v>
      </c>
      <c r="X29" t="s">
        <v>352</v>
      </c>
      <c r="Y29" s="24">
        <v>1</v>
      </c>
      <c r="Z29" s="24">
        <v>1</v>
      </c>
      <c r="AA29" s="24">
        <v>1</v>
      </c>
      <c r="AB29" s="24">
        <v>11251</v>
      </c>
      <c r="AC29" s="24">
        <v>126317</v>
      </c>
      <c r="AD29" s="24">
        <v>57415</v>
      </c>
      <c r="AE29" s="24">
        <v>194983</v>
      </c>
    </row>
    <row r="30" spans="1:31">
      <c r="A30" t="s">
        <v>52</v>
      </c>
      <c r="B30" t="s">
        <v>154</v>
      </c>
      <c r="C30" t="s">
        <v>44</v>
      </c>
      <c r="D30" t="s">
        <v>337</v>
      </c>
      <c r="E30" t="s">
        <v>353</v>
      </c>
      <c r="F30" t="s">
        <v>354</v>
      </c>
      <c r="G30" t="s">
        <v>107</v>
      </c>
      <c r="H30" t="s">
        <v>108</v>
      </c>
      <c r="I30" t="s">
        <v>340</v>
      </c>
      <c r="J30" t="s">
        <v>52</v>
      </c>
      <c r="K30" t="s">
        <v>355</v>
      </c>
      <c r="L30" t="s">
        <v>112</v>
      </c>
      <c r="M30" t="s">
        <v>356</v>
      </c>
      <c r="N30" s="23">
        <v>45968.333333333343</v>
      </c>
      <c r="O30" s="23">
        <v>45971.671527777777</v>
      </c>
      <c r="R30" t="s">
        <v>143</v>
      </c>
      <c r="S30" t="s">
        <v>357</v>
      </c>
      <c r="T30" t="s">
        <v>131</v>
      </c>
      <c r="U30" t="s">
        <v>358</v>
      </c>
      <c r="V30" t="s">
        <v>8</v>
      </c>
      <c r="W30" t="s">
        <v>120</v>
      </c>
      <c r="X30" t="s">
        <v>359</v>
      </c>
      <c r="Y30" s="24">
        <v>1</v>
      </c>
      <c r="Z30" s="24">
        <v>1</v>
      </c>
      <c r="AA30" s="24">
        <v>1</v>
      </c>
      <c r="AB30" s="24">
        <v>11251</v>
      </c>
      <c r="AC30" s="24">
        <v>126317</v>
      </c>
      <c r="AD30" s="24">
        <v>57415</v>
      </c>
      <c r="AE30" s="24">
        <v>194983</v>
      </c>
    </row>
    <row r="31" spans="1:31">
      <c r="A31" t="s">
        <v>52</v>
      </c>
      <c r="B31" t="s">
        <v>154</v>
      </c>
      <c r="C31" t="s">
        <v>44</v>
      </c>
      <c r="D31" t="s">
        <v>360</v>
      </c>
      <c r="E31" t="s">
        <v>361</v>
      </c>
      <c r="F31" t="s">
        <v>362</v>
      </c>
      <c r="G31" t="s">
        <v>107</v>
      </c>
      <c r="H31" t="s">
        <v>108</v>
      </c>
      <c r="I31" t="s">
        <v>340</v>
      </c>
      <c r="J31" t="s">
        <v>363</v>
      </c>
      <c r="K31" t="s">
        <v>364</v>
      </c>
      <c r="L31" t="s">
        <v>112</v>
      </c>
      <c r="M31" t="s">
        <v>365</v>
      </c>
      <c r="N31" s="23">
        <v>45968.333333333343</v>
      </c>
      <c r="O31" s="23">
        <v>45974.401388888888</v>
      </c>
      <c r="R31" t="s">
        <v>143</v>
      </c>
      <c r="S31" t="s">
        <v>366</v>
      </c>
      <c r="T31" t="s">
        <v>131</v>
      </c>
      <c r="U31" t="s">
        <v>367</v>
      </c>
      <c r="V31" t="s">
        <v>119</v>
      </c>
      <c r="W31" t="s">
        <v>120</v>
      </c>
      <c r="X31" t="s">
        <v>359</v>
      </c>
      <c r="Y31" s="24">
        <v>1</v>
      </c>
      <c r="Z31" s="24">
        <v>1</v>
      </c>
      <c r="AA31" s="24">
        <v>1</v>
      </c>
      <c r="AB31" s="24">
        <v>11251</v>
      </c>
      <c r="AC31" s="24">
        <v>126317</v>
      </c>
      <c r="AD31" s="24">
        <v>110808</v>
      </c>
      <c r="AE31" s="24">
        <v>248376</v>
      </c>
    </row>
    <row r="32" spans="1:31">
      <c r="A32" t="s">
        <v>52</v>
      </c>
      <c r="B32" t="s">
        <v>154</v>
      </c>
      <c r="C32" t="s">
        <v>44</v>
      </c>
      <c r="D32" t="s">
        <v>368</v>
      </c>
      <c r="E32" t="s">
        <v>369</v>
      </c>
      <c r="F32" t="s">
        <v>370</v>
      </c>
      <c r="G32" t="s">
        <v>107</v>
      </c>
      <c r="H32" t="s">
        <v>108</v>
      </c>
      <c r="I32" t="s">
        <v>340</v>
      </c>
      <c r="J32" t="s">
        <v>371</v>
      </c>
      <c r="K32" t="s">
        <v>372</v>
      </c>
      <c r="L32" t="s">
        <v>112</v>
      </c>
      <c r="M32" t="s">
        <v>373</v>
      </c>
      <c r="N32" s="23">
        <v>45968.333333333343</v>
      </c>
      <c r="O32" s="23">
        <v>45979.62222222222</v>
      </c>
      <c r="R32" t="s">
        <v>143</v>
      </c>
      <c r="S32" t="s">
        <v>374</v>
      </c>
      <c r="T32" t="s">
        <v>131</v>
      </c>
      <c r="U32" t="s">
        <v>375</v>
      </c>
      <c r="V32" t="s">
        <v>132</v>
      </c>
      <c r="W32" t="s">
        <v>120</v>
      </c>
      <c r="X32" t="s">
        <v>376</v>
      </c>
      <c r="Y32" s="24">
        <v>1</v>
      </c>
      <c r="Z32" s="24">
        <v>1</v>
      </c>
      <c r="AA32" s="24">
        <v>1</v>
      </c>
      <c r="AB32" s="24">
        <v>11251</v>
      </c>
      <c r="AC32" s="24">
        <v>126317</v>
      </c>
      <c r="AD32" s="24">
        <v>110808</v>
      </c>
      <c r="AE32" s="24">
        <v>248376</v>
      </c>
    </row>
    <row r="33" spans="1:31">
      <c r="A33" t="s">
        <v>65</v>
      </c>
      <c r="B33" t="s">
        <v>135</v>
      </c>
      <c r="C33" t="s">
        <v>59</v>
      </c>
      <c r="D33" t="s">
        <v>377</v>
      </c>
      <c r="E33" t="s">
        <v>378</v>
      </c>
      <c r="F33" t="s">
        <v>379</v>
      </c>
      <c r="G33" t="s">
        <v>107</v>
      </c>
      <c r="H33" t="s">
        <v>108</v>
      </c>
      <c r="I33" t="s">
        <v>380</v>
      </c>
      <c r="J33" t="s">
        <v>381</v>
      </c>
      <c r="K33" t="s">
        <v>382</v>
      </c>
      <c r="L33" t="s">
        <v>112</v>
      </c>
      <c r="M33" t="s">
        <v>383</v>
      </c>
      <c r="N33" s="23">
        <v>45968.333333333343</v>
      </c>
      <c r="O33" s="23">
        <v>45968.299305555563</v>
      </c>
      <c r="R33" t="s">
        <v>143</v>
      </c>
      <c r="S33" t="s">
        <v>384</v>
      </c>
      <c r="T33" t="s">
        <v>131</v>
      </c>
      <c r="U33" t="s">
        <v>385</v>
      </c>
      <c r="V33" t="s">
        <v>8</v>
      </c>
      <c r="W33" t="s">
        <v>120</v>
      </c>
      <c r="X33" t="s">
        <v>386</v>
      </c>
      <c r="Y33" s="24">
        <v>1</v>
      </c>
      <c r="Z33" s="24">
        <v>1</v>
      </c>
      <c r="AA33" s="24">
        <v>1</v>
      </c>
      <c r="AB33" s="24">
        <v>11251</v>
      </c>
      <c r="AC33" s="24">
        <v>126317</v>
      </c>
      <c r="AD33" s="24">
        <v>57415</v>
      </c>
      <c r="AE33" s="24">
        <v>194983</v>
      </c>
    </row>
    <row r="34" spans="1:31">
      <c r="A34" t="s">
        <v>43</v>
      </c>
      <c r="B34" t="s">
        <v>154</v>
      </c>
      <c r="C34" t="s">
        <v>44</v>
      </c>
      <c r="D34" t="s">
        <v>387</v>
      </c>
      <c r="E34" t="s">
        <v>388</v>
      </c>
      <c r="F34" t="s">
        <v>389</v>
      </c>
      <c r="G34" t="s">
        <v>107</v>
      </c>
      <c r="H34" t="s">
        <v>108</v>
      </c>
      <c r="I34" t="s">
        <v>390</v>
      </c>
      <c r="J34" t="s">
        <v>43</v>
      </c>
      <c r="K34" t="s">
        <v>391</v>
      </c>
      <c r="L34" t="s">
        <v>112</v>
      </c>
      <c r="M34" t="s">
        <v>392</v>
      </c>
      <c r="N34" s="23">
        <v>45968.333333333343</v>
      </c>
      <c r="O34" s="23">
        <v>45968.53402777778</v>
      </c>
      <c r="R34" t="s">
        <v>143</v>
      </c>
      <c r="S34" t="s">
        <v>393</v>
      </c>
      <c r="T34" t="s">
        <v>131</v>
      </c>
      <c r="U34" t="s">
        <v>394</v>
      </c>
      <c r="V34" t="s">
        <v>8</v>
      </c>
      <c r="W34" t="s">
        <v>120</v>
      </c>
      <c r="X34" t="s">
        <v>261</v>
      </c>
      <c r="Y34" s="24">
        <v>1</v>
      </c>
      <c r="Z34" s="24">
        <v>1</v>
      </c>
      <c r="AA34" s="24">
        <v>1</v>
      </c>
      <c r="AB34" s="24">
        <v>11251</v>
      </c>
      <c r="AC34" s="24">
        <v>126317</v>
      </c>
      <c r="AD34" s="24">
        <v>57415</v>
      </c>
      <c r="AE34" s="24">
        <v>194983</v>
      </c>
    </row>
    <row r="35" spans="1:31">
      <c r="A35" t="s">
        <v>43</v>
      </c>
      <c r="B35" t="s">
        <v>154</v>
      </c>
      <c r="C35" t="s">
        <v>44</v>
      </c>
      <c r="D35" t="s">
        <v>395</v>
      </c>
      <c r="E35" t="s">
        <v>396</v>
      </c>
      <c r="F35" t="s">
        <v>397</v>
      </c>
      <c r="G35" t="s">
        <v>107</v>
      </c>
      <c r="H35" t="s">
        <v>108</v>
      </c>
      <c r="I35" t="s">
        <v>390</v>
      </c>
      <c r="J35" t="s">
        <v>398</v>
      </c>
      <c r="K35" t="s">
        <v>399</v>
      </c>
      <c r="L35" t="s">
        <v>112</v>
      </c>
      <c r="M35" t="s">
        <v>400</v>
      </c>
      <c r="N35" s="23">
        <v>45968.333333333343</v>
      </c>
      <c r="O35" s="23">
        <v>45968.661805555559</v>
      </c>
      <c r="R35" t="s">
        <v>143</v>
      </c>
      <c r="S35" t="s">
        <v>401</v>
      </c>
      <c r="T35" t="s">
        <v>131</v>
      </c>
      <c r="U35" t="s">
        <v>402</v>
      </c>
      <c r="V35" t="s">
        <v>146</v>
      </c>
      <c r="W35" t="s">
        <v>120</v>
      </c>
      <c r="X35" t="s">
        <v>403</v>
      </c>
      <c r="Y35" s="24">
        <v>1</v>
      </c>
      <c r="Z35" s="24">
        <v>1</v>
      </c>
      <c r="AA35" s="24">
        <v>1</v>
      </c>
      <c r="AB35" s="24">
        <v>11251</v>
      </c>
      <c r="AC35" s="24">
        <v>126317</v>
      </c>
      <c r="AD35" s="24">
        <v>110808</v>
      </c>
      <c r="AE35" s="24">
        <v>248376</v>
      </c>
    </row>
    <row r="36" spans="1:31">
      <c r="A36" t="s">
        <v>57</v>
      </c>
      <c r="B36" t="s">
        <v>404</v>
      </c>
      <c r="C36" t="s">
        <v>54</v>
      </c>
      <c r="D36" t="s">
        <v>405</v>
      </c>
      <c r="E36" t="s">
        <v>406</v>
      </c>
      <c r="F36" t="s">
        <v>407</v>
      </c>
      <c r="G36" t="s">
        <v>107</v>
      </c>
      <c r="H36" t="s">
        <v>108</v>
      </c>
      <c r="I36" t="s">
        <v>408</v>
      </c>
      <c r="J36" t="s">
        <v>57</v>
      </c>
      <c r="K36" t="s">
        <v>409</v>
      </c>
      <c r="L36" t="s">
        <v>112</v>
      </c>
      <c r="M36" t="s">
        <v>410</v>
      </c>
      <c r="N36" s="23">
        <v>45968.333333333343</v>
      </c>
      <c r="O36" s="23">
        <v>45971.693055555559</v>
      </c>
      <c r="R36" t="s">
        <v>143</v>
      </c>
      <c r="S36" t="s">
        <v>411</v>
      </c>
      <c r="T36" t="s">
        <v>131</v>
      </c>
      <c r="U36" t="s">
        <v>412</v>
      </c>
      <c r="V36" t="s">
        <v>8</v>
      </c>
      <c r="W36" t="s">
        <v>120</v>
      </c>
      <c r="X36" t="s">
        <v>413</v>
      </c>
      <c r="Y36" s="24">
        <v>1</v>
      </c>
      <c r="Z36" s="24">
        <v>1</v>
      </c>
      <c r="AA36" s="24">
        <v>1</v>
      </c>
      <c r="AB36" s="24">
        <v>11251</v>
      </c>
      <c r="AC36" s="24">
        <v>126317</v>
      </c>
      <c r="AD36" s="24">
        <v>57415</v>
      </c>
      <c r="AE36" s="24">
        <v>194983</v>
      </c>
    </row>
    <row r="37" spans="1:31">
      <c r="A37" t="s">
        <v>57</v>
      </c>
      <c r="B37" t="s">
        <v>404</v>
      </c>
      <c r="C37" t="s">
        <v>54</v>
      </c>
      <c r="D37" t="s">
        <v>405</v>
      </c>
      <c r="E37" t="s">
        <v>414</v>
      </c>
      <c r="F37" t="s">
        <v>415</v>
      </c>
      <c r="G37" t="s">
        <v>107</v>
      </c>
      <c r="H37" t="s">
        <v>108</v>
      </c>
      <c r="I37" t="s">
        <v>408</v>
      </c>
      <c r="J37" t="s">
        <v>57</v>
      </c>
      <c r="K37" t="s">
        <v>416</v>
      </c>
      <c r="L37" t="s">
        <v>112</v>
      </c>
      <c r="M37" t="s">
        <v>417</v>
      </c>
      <c r="N37" s="23">
        <v>45968.333333333343</v>
      </c>
      <c r="O37" s="23">
        <v>45974.697222222218</v>
      </c>
      <c r="R37" t="s">
        <v>143</v>
      </c>
      <c r="S37" t="s">
        <v>418</v>
      </c>
      <c r="T37" t="s">
        <v>131</v>
      </c>
      <c r="U37" t="s">
        <v>419</v>
      </c>
      <c r="V37" t="s">
        <v>8</v>
      </c>
      <c r="W37" t="s">
        <v>120</v>
      </c>
      <c r="X37" t="s">
        <v>413</v>
      </c>
      <c r="Y37" s="24">
        <v>1</v>
      </c>
      <c r="Z37" s="24">
        <v>1</v>
      </c>
      <c r="AA37" s="24">
        <v>1</v>
      </c>
      <c r="AB37" s="24">
        <v>11251</v>
      </c>
      <c r="AC37" s="24">
        <v>126317</v>
      </c>
      <c r="AD37" s="24">
        <v>57415</v>
      </c>
      <c r="AE37" s="24">
        <v>194983</v>
      </c>
    </row>
    <row r="38" spans="1:31">
      <c r="A38" t="s">
        <v>47</v>
      </c>
      <c r="B38" t="s">
        <v>135</v>
      </c>
      <c r="C38" t="s">
        <v>48</v>
      </c>
      <c r="D38" t="s">
        <v>420</v>
      </c>
      <c r="E38" t="s">
        <v>421</v>
      </c>
      <c r="F38" t="s">
        <v>422</v>
      </c>
      <c r="G38" t="s">
        <v>107</v>
      </c>
      <c r="H38" t="s">
        <v>108</v>
      </c>
      <c r="I38" t="s">
        <v>423</v>
      </c>
      <c r="J38" t="s">
        <v>47</v>
      </c>
      <c r="K38" t="s">
        <v>424</v>
      </c>
      <c r="L38" t="s">
        <v>112</v>
      </c>
      <c r="M38" t="s">
        <v>425</v>
      </c>
      <c r="N38" s="23">
        <v>45968.333333333343</v>
      </c>
      <c r="O38" s="23">
        <v>45968.553472222222</v>
      </c>
      <c r="R38" t="s">
        <v>143</v>
      </c>
      <c r="S38" t="s">
        <v>426</v>
      </c>
      <c r="T38" t="s">
        <v>131</v>
      </c>
      <c r="U38" t="s">
        <v>427</v>
      </c>
      <c r="V38" t="s">
        <v>8</v>
      </c>
      <c r="W38" t="s">
        <v>120</v>
      </c>
      <c r="X38" t="s">
        <v>428</v>
      </c>
      <c r="Y38" s="24">
        <v>1</v>
      </c>
      <c r="Z38" s="24">
        <v>1</v>
      </c>
      <c r="AA38" s="24">
        <v>1</v>
      </c>
      <c r="AB38" s="24">
        <v>11251</v>
      </c>
      <c r="AC38" s="24">
        <v>126317</v>
      </c>
      <c r="AD38" s="24">
        <v>57415</v>
      </c>
      <c r="AE38" s="24">
        <v>194983</v>
      </c>
    </row>
    <row r="39" spans="1:31">
      <c r="A39" t="s">
        <v>47</v>
      </c>
      <c r="B39" t="s">
        <v>135</v>
      </c>
      <c r="C39" t="s">
        <v>48</v>
      </c>
      <c r="D39" t="s">
        <v>420</v>
      </c>
      <c r="E39" t="s">
        <v>429</v>
      </c>
      <c r="F39" t="s">
        <v>430</v>
      </c>
      <c r="G39" t="s">
        <v>107</v>
      </c>
      <c r="H39" t="s">
        <v>108</v>
      </c>
      <c r="I39" t="s">
        <v>423</v>
      </c>
      <c r="J39" t="s">
        <v>47</v>
      </c>
      <c r="K39" t="s">
        <v>431</v>
      </c>
      <c r="L39" t="s">
        <v>112</v>
      </c>
      <c r="M39" t="s">
        <v>432</v>
      </c>
      <c r="N39" s="23">
        <v>45968.333333333343</v>
      </c>
      <c r="O39" s="23">
        <v>45968.570833333331</v>
      </c>
      <c r="R39" t="s">
        <v>143</v>
      </c>
      <c r="S39" t="s">
        <v>433</v>
      </c>
      <c r="T39" t="s">
        <v>131</v>
      </c>
      <c r="U39" t="s">
        <v>434</v>
      </c>
      <c r="V39" t="s">
        <v>8</v>
      </c>
      <c r="W39" t="s">
        <v>120</v>
      </c>
      <c r="X39" t="s">
        <v>435</v>
      </c>
      <c r="Y39" s="24">
        <v>1</v>
      </c>
      <c r="Z39" s="24">
        <v>1</v>
      </c>
      <c r="AA39" s="24">
        <v>1</v>
      </c>
      <c r="AB39" s="24">
        <v>11251</v>
      </c>
      <c r="AC39" s="24">
        <v>126317</v>
      </c>
      <c r="AD39" s="24">
        <v>57415</v>
      </c>
      <c r="AE39" s="24">
        <v>194983</v>
      </c>
    </row>
    <row r="40" spans="1:31">
      <c r="A40" t="s">
        <v>47</v>
      </c>
      <c r="B40" t="s">
        <v>135</v>
      </c>
      <c r="C40" t="s">
        <v>48</v>
      </c>
      <c r="D40" t="s">
        <v>420</v>
      </c>
      <c r="E40" t="s">
        <v>436</v>
      </c>
      <c r="F40" t="s">
        <v>437</v>
      </c>
      <c r="G40" t="s">
        <v>107</v>
      </c>
      <c r="H40" t="s">
        <v>108</v>
      </c>
      <c r="I40" t="s">
        <v>423</v>
      </c>
      <c r="J40" t="s">
        <v>47</v>
      </c>
      <c r="K40" t="s">
        <v>438</v>
      </c>
      <c r="L40" t="s">
        <v>112</v>
      </c>
      <c r="M40" t="s">
        <v>439</v>
      </c>
      <c r="N40" s="23">
        <v>45968.333333333343</v>
      </c>
      <c r="O40" s="23">
        <v>45967.727777777778</v>
      </c>
      <c r="R40" t="s">
        <v>143</v>
      </c>
      <c r="S40" t="s">
        <v>440</v>
      </c>
      <c r="T40" t="s">
        <v>131</v>
      </c>
      <c r="U40" t="s">
        <v>441</v>
      </c>
      <c r="V40" t="s">
        <v>8</v>
      </c>
      <c r="W40" t="s">
        <v>120</v>
      </c>
      <c r="X40" t="s">
        <v>435</v>
      </c>
      <c r="Y40" s="24">
        <v>1</v>
      </c>
      <c r="Z40" s="24">
        <v>1</v>
      </c>
      <c r="AA40" s="24">
        <v>1</v>
      </c>
      <c r="AB40" s="24">
        <v>11251</v>
      </c>
      <c r="AC40" s="24">
        <v>126317</v>
      </c>
      <c r="AD40" s="24">
        <v>57415</v>
      </c>
      <c r="AE40" s="24">
        <v>194983</v>
      </c>
    </row>
    <row r="41" spans="1:31">
      <c r="A41" t="s">
        <v>47</v>
      </c>
      <c r="B41" t="s">
        <v>135</v>
      </c>
      <c r="C41" t="s">
        <v>48</v>
      </c>
      <c r="D41" t="s">
        <v>442</v>
      </c>
      <c r="E41" t="s">
        <v>443</v>
      </c>
      <c r="F41" t="s">
        <v>444</v>
      </c>
      <c r="G41" t="s">
        <v>107</v>
      </c>
      <c r="H41" t="s">
        <v>108</v>
      </c>
      <c r="I41" t="s">
        <v>423</v>
      </c>
      <c r="J41" t="s">
        <v>445</v>
      </c>
      <c r="K41" t="s">
        <v>446</v>
      </c>
      <c r="L41" t="s">
        <v>112</v>
      </c>
      <c r="M41" t="s">
        <v>447</v>
      </c>
      <c r="N41" s="23">
        <v>45968.333333333343</v>
      </c>
      <c r="O41" s="23">
        <v>45971.727777777778</v>
      </c>
      <c r="R41" t="s">
        <v>143</v>
      </c>
      <c r="S41" t="s">
        <v>448</v>
      </c>
      <c r="T41" t="s">
        <v>131</v>
      </c>
      <c r="U41" t="s">
        <v>449</v>
      </c>
      <c r="V41" t="s">
        <v>249</v>
      </c>
      <c r="W41" t="s">
        <v>120</v>
      </c>
      <c r="X41" t="s">
        <v>450</v>
      </c>
      <c r="Y41" s="24">
        <v>1</v>
      </c>
      <c r="Z41" s="24">
        <v>1</v>
      </c>
      <c r="AA41" s="24">
        <v>1</v>
      </c>
      <c r="AB41" s="24">
        <v>11251</v>
      </c>
      <c r="AC41" s="24">
        <v>126317</v>
      </c>
      <c r="AD41" s="24">
        <v>110808</v>
      </c>
      <c r="AE41" s="24">
        <v>248376</v>
      </c>
    </row>
    <row r="42" spans="1:31">
      <c r="A42" t="s">
        <v>64</v>
      </c>
      <c r="B42" t="s">
        <v>135</v>
      </c>
      <c r="C42" t="s">
        <v>48</v>
      </c>
      <c r="D42" t="s">
        <v>451</v>
      </c>
      <c r="E42" t="s">
        <v>452</v>
      </c>
      <c r="F42" t="s">
        <v>453</v>
      </c>
      <c r="G42" t="s">
        <v>107</v>
      </c>
      <c r="H42" t="s">
        <v>108</v>
      </c>
      <c r="I42" t="s">
        <v>168</v>
      </c>
      <c r="J42" t="s">
        <v>454</v>
      </c>
      <c r="K42" t="s">
        <v>455</v>
      </c>
      <c r="L42" t="s">
        <v>112</v>
      </c>
      <c r="M42" t="s">
        <v>456</v>
      </c>
      <c r="N42" s="23">
        <v>45968.333333333343</v>
      </c>
      <c r="O42" s="23">
        <v>45980.706250000003</v>
      </c>
      <c r="R42" t="s">
        <v>143</v>
      </c>
      <c r="S42" t="s">
        <v>457</v>
      </c>
      <c r="T42" t="s">
        <v>131</v>
      </c>
      <c r="U42" t="s">
        <v>458</v>
      </c>
      <c r="V42" t="s">
        <v>119</v>
      </c>
      <c r="W42" t="s">
        <v>133</v>
      </c>
      <c r="X42" t="s">
        <v>459</v>
      </c>
      <c r="Y42" s="24">
        <v>1</v>
      </c>
      <c r="Z42" s="24">
        <v>1</v>
      </c>
      <c r="AA42" s="24">
        <v>1</v>
      </c>
      <c r="AB42" s="24">
        <v>11251</v>
      </c>
      <c r="AC42" s="24">
        <v>126317</v>
      </c>
      <c r="AD42" s="24">
        <v>110808</v>
      </c>
      <c r="AE42" s="24">
        <v>248376</v>
      </c>
    </row>
    <row r="43" spans="1:31">
      <c r="A43" t="s">
        <v>64</v>
      </c>
      <c r="B43" t="s">
        <v>135</v>
      </c>
      <c r="C43" t="s">
        <v>48</v>
      </c>
      <c r="D43" t="s">
        <v>460</v>
      </c>
      <c r="E43" t="s">
        <v>461</v>
      </c>
      <c r="F43" t="s">
        <v>462</v>
      </c>
      <c r="G43" t="s">
        <v>107</v>
      </c>
      <c r="H43" t="s">
        <v>108</v>
      </c>
      <c r="I43" t="s">
        <v>168</v>
      </c>
      <c r="J43" t="s">
        <v>463</v>
      </c>
      <c r="K43" t="s">
        <v>464</v>
      </c>
      <c r="L43" t="s">
        <v>112</v>
      </c>
      <c r="M43" t="s">
        <v>465</v>
      </c>
      <c r="N43" s="23">
        <v>45968.333333333343</v>
      </c>
      <c r="O43" s="23">
        <v>45972.546527777777</v>
      </c>
      <c r="R43" t="s">
        <v>143</v>
      </c>
      <c r="S43" t="s">
        <v>466</v>
      </c>
      <c r="T43" t="s">
        <v>131</v>
      </c>
      <c r="U43" t="s">
        <v>467</v>
      </c>
      <c r="V43" t="s">
        <v>119</v>
      </c>
      <c r="W43" t="s">
        <v>120</v>
      </c>
      <c r="X43" t="s">
        <v>147</v>
      </c>
      <c r="Y43" s="24">
        <v>1</v>
      </c>
      <c r="Z43" s="24">
        <v>1</v>
      </c>
      <c r="AA43" s="24">
        <v>1</v>
      </c>
      <c r="AB43" s="24">
        <v>11251</v>
      </c>
      <c r="AC43" s="24">
        <v>126317</v>
      </c>
      <c r="AD43" s="24">
        <v>110808</v>
      </c>
      <c r="AE43" s="24">
        <v>248376</v>
      </c>
    </row>
    <row r="44" spans="1:31">
      <c r="A44" t="s">
        <v>39</v>
      </c>
      <c r="B44" t="s">
        <v>295</v>
      </c>
      <c r="C44" t="s">
        <v>40</v>
      </c>
      <c r="D44" t="s">
        <v>468</v>
      </c>
      <c r="E44" t="s">
        <v>469</v>
      </c>
      <c r="F44" t="s">
        <v>470</v>
      </c>
      <c r="G44" t="s">
        <v>107</v>
      </c>
      <c r="H44" t="s">
        <v>108</v>
      </c>
      <c r="I44" t="s">
        <v>295</v>
      </c>
      <c r="J44" t="s">
        <v>39</v>
      </c>
      <c r="K44" t="s">
        <v>471</v>
      </c>
      <c r="L44" t="s">
        <v>112</v>
      </c>
      <c r="M44" t="s">
        <v>472</v>
      </c>
      <c r="N44" s="23">
        <v>45968.333333333343</v>
      </c>
      <c r="O44" s="23">
        <v>45971.649305555547</v>
      </c>
      <c r="R44" t="s">
        <v>143</v>
      </c>
      <c r="S44" t="s">
        <v>473</v>
      </c>
      <c r="T44" t="s">
        <v>131</v>
      </c>
      <c r="U44" t="s">
        <v>474</v>
      </c>
      <c r="V44" t="s">
        <v>8</v>
      </c>
      <c r="W44" t="s">
        <v>120</v>
      </c>
      <c r="X44" t="s">
        <v>475</v>
      </c>
      <c r="Y44" s="24">
        <v>1</v>
      </c>
      <c r="Z44" s="24">
        <v>1</v>
      </c>
      <c r="AA44" s="24">
        <v>1</v>
      </c>
      <c r="AB44" s="24">
        <v>11251</v>
      </c>
      <c r="AC44" s="24">
        <v>126317</v>
      </c>
      <c r="AD44" s="24">
        <v>57415</v>
      </c>
      <c r="AE44" s="24">
        <v>194983</v>
      </c>
    </row>
    <row r="45" spans="1:31">
      <c r="A45" t="s">
        <v>39</v>
      </c>
      <c r="B45" t="s">
        <v>295</v>
      </c>
      <c r="C45" t="s">
        <v>40</v>
      </c>
      <c r="D45" t="s">
        <v>468</v>
      </c>
      <c r="E45" t="s">
        <v>476</v>
      </c>
      <c r="F45" t="s">
        <v>477</v>
      </c>
      <c r="G45" t="s">
        <v>107</v>
      </c>
      <c r="H45" t="s">
        <v>108</v>
      </c>
      <c r="I45" t="s">
        <v>295</v>
      </c>
      <c r="J45" t="s">
        <v>39</v>
      </c>
      <c r="K45" t="s">
        <v>478</v>
      </c>
      <c r="L45" t="s">
        <v>112</v>
      </c>
      <c r="M45" t="s">
        <v>479</v>
      </c>
      <c r="N45" s="23">
        <v>45968.333333333343</v>
      </c>
      <c r="O45" s="23">
        <v>45971.689583333333</v>
      </c>
      <c r="R45" t="s">
        <v>143</v>
      </c>
      <c r="S45" t="s">
        <v>473</v>
      </c>
      <c r="T45" t="s">
        <v>131</v>
      </c>
      <c r="U45" t="s">
        <v>480</v>
      </c>
      <c r="V45" t="s">
        <v>8</v>
      </c>
      <c r="W45" t="s">
        <v>120</v>
      </c>
      <c r="X45" t="s">
        <v>475</v>
      </c>
      <c r="Y45" s="24">
        <v>1</v>
      </c>
      <c r="Z45" s="24">
        <v>1</v>
      </c>
      <c r="AA45" s="24">
        <v>1</v>
      </c>
      <c r="AB45" s="24">
        <v>11251</v>
      </c>
      <c r="AC45" s="24">
        <v>126317</v>
      </c>
      <c r="AD45" s="24">
        <v>57415</v>
      </c>
      <c r="AE45" s="24">
        <v>194983</v>
      </c>
    </row>
    <row r="46" spans="1:31">
      <c r="A46" t="s">
        <v>47</v>
      </c>
      <c r="B46" t="s">
        <v>135</v>
      </c>
      <c r="C46" t="s">
        <v>48</v>
      </c>
      <c r="D46" t="s">
        <v>481</v>
      </c>
      <c r="E46" t="s">
        <v>482</v>
      </c>
      <c r="F46" t="s">
        <v>483</v>
      </c>
      <c r="G46" t="s">
        <v>107</v>
      </c>
      <c r="H46" t="s">
        <v>484</v>
      </c>
      <c r="I46" t="s">
        <v>423</v>
      </c>
      <c r="J46" t="s">
        <v>485</v>
      </c>
      <c r="K46" t="s">
        <v>486</v>
      </c>
      <c r="L46" t="s">
        <v>112</v>
      </c>
      <c r="M46" t="s">
        <v>487</v>
      </c>
      <c r="N46" s="23">
        <v>45968.333333333343</v>
      </c>
      <c r="O46" s="23">
        <v>45971.783333333333</v>
      </c>
      <c r="P46" t="s">
        <v>114</v>
      </c>
      <c r="Q46" t="s">
        <v>488</v>
      </c>
      <c r="R46" t="s">
        <v>143</v>
      </c>
      <c r="S46" t="s">
        <v>448</v>
      </c>
      <c r="T46" t="s">
        <v>131</v>
      </c>
      <c r="U46" t="s">
        <v>489</v>
      </c>
      <c r="V46" t="s">
        <v>249</v>
      </c>
      <c r="W46" t="s">
        <v>120</v>
      </c>
      <c r="X46" t="s">
        <v>450</v>
      </c>
      <c r="Y46" s="24">
        <v>1</v>
      </c>
      <c r="Z46" s="24">
        <v>1</v>
      </c>
      <c r="AA46" s="24">
        <v>1</v>
      </c>
      <c r="AB46" s="24">
        <v>11251</v>
      </c>
      <c r="AC46" s="24">
        <v>126317</v>
      </c>
      <c r="AD46" s="24">
        <v>110808</v>
      </c>
      <c r="AE46" s="24">
        <v>248376</v>
      </c>
    </row>
    <row r="47" spans="1:31">
      <c r="A47" t="s">
        <v>61</v>
      </c>
      <c r="B47" t="s">
        <v>103</v>
      </c>
      <c r="C47" t="s">
        <v>32</v>
      </c>
      <c r="D47" t="s">
        <v>182</v>
      </c>
      <c r="E47" t="s">
        <v>490</v>
      </c>
      <c r="F47" t="s">
        <v>491</v>
      </c>
      <c r="G47" t="s">
        <v>107</v>
      </c>
      <c r="H47" t="s">
        <v>108</v>
      </c>
      <c r="I47" t="s">
        <v>109</v>
      </c>
      <c r="J47" t="s">
        <v>61</v>
      </c>
      <c r="K47" t="s">
        <v>492</v>
      </c>
      <c r="L47" t="s">
        <v>112</v>
      </c>
      <c r="M47" t="s">
        <v>493</v>
      </c>
      <c r="N47" s="23">
        <v>45974.333333333343</v>
      </c>
      <c r="O47" s="23">
        <v>45975.570138888892</v>
      </c>
      <c r="R47" t="s">
        <v>143</v>
      </c>
      <c r="S47" t="s">
        <v>494</v>
      </c>
      <c r="T47" t="s">
        <v>131</v>
      </c>
      <c r="U47" t="s">
        <v>495</v>
      </c>
      <c r="V47" t="s">
        <v>8</v>
      </c>
      <c r="W47" t="s">
        <v>120</v>
      </c>
      <c r="X47" t="s">
        <v>191</v>
      </c>
      <c r="Y47" s="24">
        <v>1</v>
      </c>
      <c r="Z47" s="24">
        <v>1</v>
      </c>
      <c r="AA47" s="24">
        <v>1</v>
      </c>
      <c r="AB47" s="24">
        <v>11251</v>
      </c>
      <c r="AC47" s="24">
        <v>126317</v>
      </c>
      <c r="AD47" s="24">
        <v>57415</v>
      </c>
      <c r="AE47" s="24">
        <v>194983</v>
      </c>
    </row>
    <row r="48" spans="1:31">
      <c r="A48" t="s">
        <v>61</v>
      </c>
      <c r="B48" t="s">
        <v>103</v>
      </c>
      <c r="C48" t="s">
        <v>32</v>
      </c>
      <c r="D48" t="s">
        <v>496</v>
      </c>
      <c r="E48" t="s">
        <v>497</v>
      </c>
      <c r="F48" t="s">
        <v>498</v>
      </c>
      <c r="G48" t="s">
        <v>107</v>
      </c>
      <c r="H48" t="s">
        <v>108</v>
      </c>
      <c r="I48" t="s">
        <v>109</v>
      </c>
      <c r="J48" t="s">
        <v>499</v>
      </c>
      <c r="K48" t="s">
        <v>500</v>
      </c>
      <c r="L48" t="s">
        <v>112</v>
      </c>
      <c r="M48" t="s">
        <v>501</v>
      </c>
      <c r="N48" s="23">
        <v>45974.333333333343</v>
      </c>
      <c r="O48" s="23">
        <v>45975.688194444447</v>
      </c>
      <c r="R48" t="s">
        <v>143</v>
      </c>
      <c r="S48" t="s">
        <v>502</v>
      </c>
      <c r="T48" t="s">
        <v>131</v>
      </c>
      <c r="U48" t="s">
        <v>503</v>
      </c>
      <c r="V48" t="s">
        <v>8</v>
      </c>
      <c r="W48" t="s">
        <v>120</v>
      </c>
      <c r="X48" t="s">
        <v>504</v>
      </c>
      <c r="Y48" s="24">
        <v>1</v>
      </c>
      <c r="Z48" s="24">
        <v>1</v>
      </c>
      <c r="AA48" s="24">
        <v>1</v>
      </c>
      <c r="AB48" s="24">
        <v>11251</v>
      </c>
      <c r="AC48" s="24">
        <v>126317</v>
      </c>
      <c r="AD48" s="24">
        <v>57415</v>
      </c>
      <c r="AE48" s="24">
        <v>194983</v>
      </c>
    </row>
    <row r="49" spans="1:31">
      <c r="A49" t="s">
        <v>61</v>
      </c>
      <c r="B49" t="s">
        <v>103</v>
      </c>
      <c r="C49" t="s">
        <v>32</v>
      </c>
      <c r="D49" t="s">
        <v>496</v>
      </c>
      <c r="E49" t="s">
        <v>505</v>
      </c>
      <c r="F49" t="s">
        <v>506</v>
      </c>
      <c r="G49" t="s">
        <v>107</v>
      </c>
      <c r="H49" t="s">
        <v>108</v>
      </c>
      <c r="I49" t="s">
        <v>109</v>
      </c>
      <c r="J49" t="s">
        <v>499</v>
      </c>
      <c r="K49" t="s">
        <v>507</v>
      </c>
      <c r="L49" t="s">
        <v>112</v>
      </c>
      <c r="M49" t="s">
        <v>508</v>
      </c>
      <c r="N49" s="23">
        <v>45974.333333333343</v>
      </c>
      <c r="O49" s="23">
        <v>45975.563888888893</v>
      </c>
      <c r="R49" t="s">
        <v>143</v>
      </c>
      <c r="S49" t="s">
        <v>509</v>
      </c>
      <c r="T49" t="s">
        <v>131</v>
      </c>
      <c r="U49" t="s">
        <v>510</v>
      </c>
      <c r="V49" t="s">
        <v>8</v>
      </c>
      <c r="W49" t="s">
        <v>120</v>
      </c>
      <c r="X49" t="s">
        <v>504</v>
      </c>
      <c r="Y49" s="24">
        <v>1</v>
      </c>
      <c r="Z49" s="24">
        <v>1</v>
      </c>
      <c r="AA49" s="24">
        <v>1</v>
      </c>
      <c r="AB49" s="24">
        <v>11251</v>
      </c>
      <c r="AC49" s="24">
        <v>126317</v>
      </c>
      <c r="AD49" s="24">
        <v>57415</v>
      </c>
      <c r="AE49" s="24">
        <v>194983</v>
      </c>
    </row>
    <row r="50" spans="1:31">
      <c r="A50" t="s">
        <v>31</v>
      </c>
      <c r="B50" t="s">
        <v>103</v>
      </c>
      <c r="C50" t="s">
        <v>32</v>
      </c>
      <c r="D50" t="s">
        <v>511</v>
      </c>
      <c r="E50" t="s">
        <v>512</v>
      </c>
      <c r="F50" t="s">
        <v>513</v>
      </c>
      <c r="G50" t="s">
        <v>107</v>
      </c>
      <c r="H50" t="s">
        <v>108</v>
      </c>
      <c r="I50" t="s">
        <v>109</v>
      </c>
      <c r="J50" t="s">
        <v>514</v>
      </c>
      <c r="K50" t="s">
        <v>515</v>
      </c>
      <c r="L50" t="s">
        <v>112</v>
      </c>
      <c r="M50" t="s">
        <v>516</v>
      </c>
      <c r="N50" s="23">
        <v>45974.333333333343</v>
      </c>
      <c r="O50" s="23">
        <v>45975.693749999999</v>
      </c>
      <c r="R50" t="s">
        <v>143</v>
      </c>
      <c r="S50" t="s">
        <v>517</v>
      </c>
      <c r="T50" t="s">
        <v>131</v>
      </c>
      <c r="U50" t="s">
        <v>518</v>
      </c>
      <c r="V50" t="s">
        <v>249</v>
      </c>
      <c r="W50" t="s">
        <v>120</v>
      </c>
      <c r="X50" t="s">
        <v>519</v>
      </c>
      <c r="Y50" s="24">
        <v>1</v>
      </c>
      <c r="Z50" s="24">
        <v>1</v>
      </c>
      <c r="AA50" s="24">
        <v>1</v>
      </c>
      <c r="AB50" s="24">
        <v>11251</v>
      </c>
      <c r="AC50" s="24">
        <v>126317</v>
      </c>
      <c r="AD50" s="24">
        <v>110808</v>
      </c>
      <c r="AE50" s="24">
        <v>248376</v>
      </c>
    </row>
    <row r="51" spans="1:31">
      <c r="A51" t="s">
        <v>67</v>
      </c>
      <c r="B51" t="s">
        <v>284</v>
      </c>
      <c r="C51" t="s">
        <v>36</v>
      </c>
      <c r="D51" t="s">
        <v>520</v>
      </c>
      <c r="E51" t="s">
        <v>521</v>
      </c>
      <c r="F51" t="s">
        <v>522</v>
      </c>
      <c r="G51" t="s">
        <v>107</v>
      </c>
      <c r="H51" t="s">
        <v>108</v>
      </c>
      <c r="I51" t="s">
        <v>308</v>
      </c>
      <c r="J51" t="s">
        <v>523</v>
      </c>
      <c r="K51" t="s">
        <v>524</v>
      </c>
      <c r="L51" t="s">
        <v>112</v>
      </c>
      <c r="M51" t="s">
        <v>525</v>
      </c>
      <c r="N51" s="23">
        <v>45974.333333333343</v>
      </c>
      <c r="O51" s="23">
        <v>45975.70416666667</v>
      </c>
      <c r="R51" t="s">
        <v>143</v>
      </c>
      <c r="S51" t="s">
        <v>526</v>
      </c>
      <c r="T51" t="s">
        <v>131</v>
      </c>
      <c r="U51" t="s">
        <v>527</v>
      </c>
      <c r="V51" t="s">
        <v>119</v>
      </c>
      <c r="W51" t="s">
        <v>120</v>
      </c>
      <c r="X51" t="s">
        <v>528</v>
      </c>
      <c r="Y51" s="24">
        <v>1</v>
      </c>
      <c r="Z51" s="24">
        <v>1</v>
      </c>
      <c r="AA51" s="24">
        <v>1</v>
      </c>
      <c r="AB51" s="24">
        <v>11251</v>
      </c>
      <c r="AC51" s="24">
        <v>126317</v>
      </c>
      <c r="AD51" s="24">
        <v>110808</v>
      </c>
      <c r="AE51" s="24">
        <v>248376</v>
      </c>
    </row>
    <row r="52" spans="1:31">
      <c r="A52" t="s">
        <v>64</v>
      </c>
      <c r="B52" t="s">
        <v>135</v>
      </c>
      <c r="C52" t="s">
        <v>48</v>
      </c>
      <c r="D52" t="s">
        <v>323</v>
      </c>
      <c r="E52" t="s">
        <v>529</v>
      </c>
      <c r="F52" t="s">
        <v>530</v>
      </c>
      <c r="G52" t="s">
        <v>107</v>
      </c>
      <c r="H52" t="s">
        <v>108</v>
      </c>
      <c r="I52" t="s">
        <v>139</v>
      </c>
      <c r="J52" t="s">
        <v>64</v>
      </c>
      <c r="K52" t="s">
        <v>531</v>
      </c>
      <c r="L52" t="s">
        <v>112</v>
      </c>
      <c r="M52" t="s">
        <v>532</v>
      </c>
      <c r="N52" s="23">
        <v>45974.333333333343</v>
      </c>
      <c r="O52" s="23">
        <v>45974.626388888893</v>
      </c>
      <c r="R52" t="s">
        <v>143</v>
      </c>
      <c r="S52" t="s">
        <v>533</v>
      </c>
      <c r="T52" t="s">
        <v>131</v>
      </c>
      <c r="U52" t="s">
        <v>534</v>
      </c>
      <c r="V52" t="s">
        <v>8</v>
      </c>
      <c r="W52" t="s">
        <v>120</v>
      </c>
      <c r="X52" t="s">
        <v>330</v>
      </c>
      <c r="Y52" s="24">
        <v>1</v>
      </c>
      <c r="Z52" s="24">
        <v>1</v>
      </c>
      <c r="AA52" s="24">
        <v>1</v>
      </c>
      <c r="AB52" s="24">
        <v>11251</v>
      </c>
      <c r="AC52" s="24">
        <v>126317</v>
      </c>
      <c r="AD52" s="24">
        <v>57415</v>
      </c>
      <c r="AE52" s="24">
        <v>194983</v>
      </c>
    </row>
    <row r="53" spans="1:31">
      <c r="A53" t="s">
        <v>64</v>
      </c>
      <c r="B53" t="s">
        <v>135</v>
      </c>
      <c r="C53" t="s">
        <v>48</v>
      </c>
      <c r="D53" t="s">
        <v>535</v>
      </c>
      <c r="E53" t="s">
        <v>536</v>
      </c>
      <c r="F53" t="s">
        <v>537</v>
      </c>
      <c r="G53" t="s">
        <v>107</v>
      </c>
      <c r="H53" t="s">
        <v>108</v>
      </c>
      <c r="I53" t="s">
        <v>139</v>
      </c>
      <c r="J53" t="s">
        <v>288</v>
      </c>
      <c r="K53" t="s">
        <v>538</v>
      </c>
      <c r="L53" t="s">
        <v>112</v>
      </c>
      <c r="M53" t="s">
        <v>539</v>
      </c>
      <c r="N53" s="23">
        <v>45974.333333333343</v>
      </c>
      <c r="O53" s="23">
        <v>45975.709027777782</v>
      </c>
      <c r="R53" t="s">
        <v>143</v>
      </c>
      <c r="S53" t="s">
        <v>540</v>
      </c>
      <c r="T53" t="s">
        <v>131</v>
      </c>
      <c r="U53" t="s">
        <v>541</v>
      </c>
      <c r="V53" t="s">
        <v>249</v>
      </c>
      <c r="W53" t="s">
        <v>120</v>
      </c>
      <c r="X53" t="s">
        <v>459</v>
      </c>
      <c r="Y53" s="24">
        <v>1</v>
      </c>
      <c r="Z53" s="24">
        <v>1</v>
      </c>
      <c r="AA53" s="24">
        <v>1</v>
      </c>
      <c r="AB53" s="24">
        <v>11251</v>
      </c>
      <c r="AC53" s="24">
        <v>126317</v>
      </c>
      <c r="AD53" s="24">
        <v>110808</v>
      </c>
      <c r="AE53" s="24">
        <v>248376</v>
      </c>
    </row>
    <row r="54" spans="1:31">
      <c r="A54" t="s">
        <v>43</v>
      </c>
      <c r="B54" t="s">
        <v>154</v>
      </c>
      <c r="C54" t="s">
        <v>44</v>
      </c>
      <c r="D54" t="s">
        <v>387</v>
      </c>
      <c r="E54" t="s">
        <v>542</v>
      </c>
      <c r="F54" t="s">
        <v>543</v>
      </c>
      <c r="G54" t="s">
        <v>107</v>
      </c>
      <c r="H54" t="s">
        <v>108</v>
      </c>
      <c r="I54" t="s">
        <v>390</v>
      </c>
      <c r="J54" t="s">
        <v>43</v>
      </c>
      <c r="K54" t="s">
        <v>544</v>
      </c>
      <c r="L54" t="s">
        <v>112</v>
      </c>
      <c r="M54" t="s">
        <v>545</v>
      </c>
      <c r="N54" s="23">
        <v>45974.333333333343</v>
      </c>
      <c r="O54" s="23">
        <v>45974.301388888889</v>
      </c>
      <c r="R54" t="s">
        <v>143</v>
      </c>
      <c r="S54" t="s">
        <v>546</v>
      </c>
      <c r="T54" t="s">
        <v>131</v>
      </c>
      <c r="U54" t="s">
        <v>547</v>
      </c>
      <c r="V54" t="s">
        <v>8</v>
      </c>
      <c r="W54" t="s">
        <v>120</v>
      </c>
      <c r="X54" t="s">
        <v>548</v>
      </c>
      <c r="Y54" s="24">
        <v>1</v>
      </c>
      <c r="Z54" s="24">
        <v>1</v>
      </c>
      <c r="AA54" s="24">
        <v>1</v>
      </c>
      <c r="AB54" s="24">
        <v>11251</v>
      </c>
      <c r="AC54" s="24">
        <v>126317</v>
      </c>
      <c r="AD54" s="24">
        <v>57415</v>
      </c>
      <c r="AE54" s="24">
        <v>194983</v>
      </c>
    </row>
    <row r="55" spans="1:31">
      <c r="A55" t="s">
        <v>47</v>
      </c>
      <c r="B55" t="s">
        <v>135</v>
      </c>
      <c r="C55" t="s">
        <v>48</v>
      </c>
      <c r="D55" t="s">
        <v>420</v>
      </c>
      <c r="E55" t="s">
        <v>549</v>
      </c>
      <c r="F55" t="s">
        <v>550</v>
      </c>
      <c r="G55" t="s">
        <v>107</v>
      </c>
      <c r="H55" t="s">
        <v>108</v>
      </c>
      <c r="I55" t="s">
        <v>423</v>
      </c>
      <c r="J55" t="s">
        <v>47</v>
      </c>
      <c r="K55" t="s">
        <v>551</v>
      </c>
      <c r="L55" t="s">
        <v>112</v>
      </c>
      <c r="M55" t="s">
        <v>552</v>
      </c>
      <c r="N55" s="23">
        <v>45974.333333333343</v>
      </c>
      <c r="O55" s="23">
        <v>45974.609722222223</v>
      </c>
      <c r="R55" t="s">
        <v>143</v>
      </c>
      <c r="S55" t="s">
        <v>553</v>
      </c>
      <c r="T55" t="s">
        <v>131</v>
      </c>
      <c r="U55" t="s">
        <v>554</v>
      </c>
      <c r="V55" t="s">
        <v>8</v>
      </c>
      <c r="W55" t="s">
        <v>120</v>
      </c>
      <c r="X55" t="s">
        <v>450</v>
      </c>
      <c r="Y55" s="24">
        <v>1</v>
      </c>
      <c r="Z55" s="24">
        <v>1</v>
      </c>
      <c r="AA55" s="24">
        <v>1</v>
      </c>
      <c r="AB55" s="24">
        <v>11251</v>
      </c>
      <c r="AC55" s="24">
        <v>126317</v>
      </c>
      <c r="AD55" s="24">
        <v>57415</v>
      </c>
      <c r="AE55" s="24">
        <v>194983</v>
      </c>
    </row>
    <row r="56" spans="1:31">
      <c r="A56" t="s">
        <v>47</v>
      </c>
      <c r="B56" t="s">
        <v>135</v>
      </c>
      <c r="C56" t="s">
        <v>48</v>
      </c>
      <c r="D56" t="s">
        <v>420</v>
      </c>
      <c r="E56" t="s">
        <v>555</v>
      </c>
      <c r="F56" t="s">
        <v>556</v>
      </c>
      <c r="G56" t="s">
        <v>107</v>
      </c>
      <c r="H56" t="s">
        <v>108</v>
      </c>
      <c r="I56" t="s">
        <v>423</v>
      </c>
      <c r="J56" t="s">
        <v>47</v>
      </c>
      <c r="K56" t="s">
        <v>557</v>
      </c>
      <c r="L56" t="s">
        <v>112</v>
      </c>
      <c r="M56" t="s">
        <v>558</v>
      </c>
      <c r="N56" s="23">
        <v>45974.333333333343</v>
      </c>
      <c r="O56" s="23">
        <v>45974.304166666669</v>
      </c>
      <c r="R56" t="s">
        <v>143</v>
      </c>
      <c r="S56" t="s">
        <v>559</v>
      </c>
      <c r="T56" t="s">
        <v>131</v>
      </c>
      <c r="U56" t="s">
        <v>560</v>
      </c>
      <c r="V56" t="s">
        <v>8</v>
      </c>
      <c r="W56" t="s">
        <v>120</v>
      </c>
      <c r="X56" t="s">
        <v>435</v>
      </c>
      <c r="Y56" s="24">
        <v>1</v>
      </c>
      <c r="Z56" s="24">
        <v>1</v>
      </c>
      <c r="AA56" s="24">
        <v>1</v>
      </c>
      <c r="AB56" s="24">
        <v>11251</v>
      </c>
      <c r="AC56" s="24">
        <v>126317</v>
      </c>
      <c r="AD56" s="24">
        <v>57415</v>
      </c>
      <c r="AE56" s="24">
        <v>194983</v>
      </c>
    </row>
    <row r="57" spans="1:31">
      <c r="A57" t="s">
        <v>47</v>
      </c>
      <c r="B57" t="s">
        <v>135</v>
      </c>
      <c r="C57" t="s">
        <v>48</v>
      </c>
      <c r="D57" t="s">
        <v>561</v>
      </c>
      <c r="E57" t="s">
        <v>562</v>
      </c>
      <c r="F57" t="s">
        <v>563</v>
      </c>
      <c r="G57" t="s">
        <v>107</v>
      </c>
      <c r="H57" t="s">
        <v>108</v>
      </c>
      <c r="I57" t="s">
        <v>423</v>
      </c>
      <c r="J57" t="s">
        <v>564</v>
      </c>
      <c r="K57" t="s">
        <v>565</v>
      </c>
      <c r="L57" t="s">
        <v>112</v>
      </c>
      <c r="M57" t="s">
        <v>566</v>
      </c>
      <c r="N57" s="23">
        <v>45974.333333333343</v>
      </c>
      <c r="O57" s="23">
        <v>45975.713194444441</v>
      </c>
      <c r="R57" t="s">
        <v>143</v>
      </c>
      <c r="S57" t="s">
        <v>567</v>
      </c>
      <c r="T57" t="s">
        <v>131</v>
      </c>
      <c r="U57" t="s">
        <v>568</v>
      </c>
      <c r="V57" t="s">
        <v>249</v>
      </c>
      <c r="W57" t="s">
        <v>120</v>
      </c>
      <c r="X57" t="s">
        <v>569</v>
      </c>
      <c r="Y57" s="24">
        <v>1</v>
      </c>
      <c r="Z57" s="24">
        <v>1</v>
      </c>
      <c r="AA57" s="24">
        <v>1</v>
      </c>
      <c r="AB57" s="24">
        <v>11251</v>
      </c>
      <c r="AC57" s="24">
        <v>126317</v>
      </c>
      <c r="AD57" s="24">
        <v>110808</v>
      </c>
      <c r="AE57" s="24">
        <v>248376</v>
      </c>
    </row>
    <row r="58" spans="1:31">
      <c r="A58" t="s">
        <v>39</v>
      </c>
      <c r="B58" t="s">
        <v>295</v>
      </c>
      <c r="C58" t="s">
        <v>40</v>
      </c>
      <c r="D58" t="s">
        <v>468</v>
      </c>
      <c r="E58" t="s">
        <v>570</v>
      </c>
      <c r="F58" t="s">
        <v>571</v>
      </c>
      <c r="G58" t="s">
        <v>107</v>
      </c>
      <c r="H58" t="s">
        <v>108</v>
      </c>
      <c r="I58" t="s">
        <v>295</v>
      </c>
      <c r="J58" t="s">
        <v>39</v>
      </c>
      <c r="K58" t="s">
        <v>572</v>
      </c>
      <c r="L58" t="s">
        <v>112</v>
      </c>
      <c r="M58" t="s">
        <v>573</v>
      </c>
      <c r="N58" s="23">
        <v>45974.333333333343</v>
      </c>
      <c r="O58" s="23">
        <v>45975.577777777777</v>
      </c>
      <c r="R58" t="s">
        <v>143</v>
      </c>
      <c r="S58" t="s">
        <v>574</v>
      </c>
      <c r="T58" t="s">
        <v>131</v>
      </c>
      <c r="U58" t="s">
        <v>575</v>
      </c>
      <c r="V58" t="s">
        <v>8</v>
      </c>
      <c r="W58" t="s">
        <v>120</v>
      </c>
      <c r="X58" t="s">
        <v>576</v>
      </c>
      <c r="Y58" s="24">
        <v>1</v>
      </c>
      <c r="Z58" s="24">
        <v>1</v>
      </c>
      <c r="AA58" s="24">
        <v>1</v>
      </c>
      <c r="AB58" s="24">
        <v>11251</v>
      </c>
      <c r="AC58" s="24">
        <v>126317</v>
      </c>
      <c r="AD58" s="24">
        <v>57415</v>
      </c>
      <c r="AE58" s="24">
        <v>194983</v>
      </c>
    </row>
    <row r="59" spans="1:31">
      <c r="A59" t="s">
        <v>68</v>
      </c>
      <c r="B59" t="s">
        <v>284</v>
      </c>
      <c r="C59" t="s">
        <v>36</v>
      </c>
      <c r="D59" t="s">
        <v>577</v>
      </c>
      <c r="E59" t="s">
        <v>578</v>
      </c>
      <c r="F59" t="s">
        <v>579</v>
      </c>
      <c r="G59" t="s">
        <v>107</v>
      </c>
      <c r="H59" t="s">
        <v>484</v>
      </c>
      <c r="I59" t="s">
        <v>580</v>
      </c>
      <c r="J59" t="s">
        <v>581</v>
      </c>
      <c r="K59" t="s">
        <v>582</v>
      </c>
      <c r="L59" t="s">
        <v>112</v>
      </c>
      <c r="M59" t="s">
        <v>583</v>
      </c>
      <c r="N59" s="23">
        <v>45974.333333333343</v>
      </c>
      <c r="O59" s="23">
        <v>45974.621527777781</v>
      </c>
      <c r="P59" t="s">
        <v>114</v>
      </c>
      <c r="Q59" t="s">
        <v>115</v>
      </c>
      <c r="R59" t="s">
        <v>143</v>
      </c>
      <c r="S59" t="s">
        <v>584</v>
      </c>
      <c r="T59" t="s">
        <v>131</v>
      </c>
      <c r="U59" t="s">
        <v>585</v>
      </c>
      <c r="V59" t="s">
        <v>146</v>
      </c>
      <c r="W59" t="s">
        <v>120</v>
      </c>
      <c r="X59" t="s">
        <v>586</v>
      </c>
      <c r="Y59" s="24">
        <v>1</v>
      </c>
      <c r="Z59" s="24">
        <v>1</v>
      </c>
      <c r="AA59" s="24">
        <v>1</v>
      </c>
      <c r="AB59" s="24">
        <v>11251</v>
      </c>
      <c r="AC59" s="24">
        <v>126317</v>
      </c>
      <c r="AD59" s="24">
        <v>110808</v>
      </c>
      <c r="AE59" s="24">
        <v>248376</v>
      </c>
    </row>
    <row r="60" spans="1:31">
      <c r="A60" t="s">
        <v>61</v>
      </c>
      <c r="B60" t="s">
        <v>103</v>
      </c>
      <c r="C60" t="s">
        <v>32</v>
      </c>
      <c r="D60" t="s">
        <v>182</v>
      </c>
      <c r="E60" t="s">
        <v>587</v>
      </c>
      <c r="F60" t="s">
        <v>588</v>
      </c>
      <c r="G60" t="s">
        <v>107</v>
      </c>
      <c r="H60" t="s">
        <v>108</v>
      </c>
      <c r="I60" t="s">
        <v>109</v>
      </c>
      <c r="J60" t="s">
        <v>61</v>
      </c>
      <c r="K60" t="s">
        <v>589</v>
      </c>
      <c r="L60" t="s">
        <v>112</v>
      </c>
      <c r="M60" t="s">
        <v>590</v>
      </c>
      <c r="N60" s="23">
        <v>45982.333333333343</v>
      </c>
      <c r="O60" s="23">
        <v>45985.53402777778</v>
      </c>
      <c r="R60" t="s">
        <v>143</v>
      </c>
      <c r="S60" t="s">
        <v>591</v>
      </c>
      <c r="T60" t="s">
        <v>131</v>
      </c>
      <c r="U60" t="s">
        <v>592</v>
      </c>
      <c r="V60" t="s">
        <v>8</v>
      </c>
      <c r="W60" t="s">
        <v>120</v>
      </c>
      <c r="X60" t="s">
        <v>198</v>
      </c>
      <c r="Y60" s="24">
        <v>1</v>
      </c>
      <c r="Z60" s="24">
        <v>1</v>
      </c>
      <c r="AA60" s="24">
        <v>1</v>
      </c>
      <c r="AB60" s="24">
        <v>11251</v>
      </c>
      <c r="AC60" s="24">
        <v>126317</v>
      </c>
      <c r="AD60" s="24">
        <v>57415</v>
      </c>
      <c r="AE60" s="24">
        <v>194983</v>
      </c>
    </row>
    <row r="61" spans="1:31">
      <c r="A61" t="s">
        <v>61</v>
      </c>
      <c r="B61" t="s">
        <v>103</v>
      </c>
      <c r="C61" t="s">
        <v>32</v>
      </c>
      <c r="D61" t="s">
        <v>182</v>
      </c>
      <c r="E61" t="s">
        <v>593</v>
      </c>
      <c r="F61" t="s">
        <v>594</v>
      </c>
      <c r="G61" t="s">
        <v>107</v>
      </c>
      <c r="H61" t="s">
        <v>108</v>
      </c>
      <c r="I61" t="s">
        <v>109</v>
      </c>
      <c r="J61" t="s">
        <v>61</v>
      </c>
      <c r="K61" t="s">
        <v>595</v>
      </c>
      <c r="L61" t="s">
        <v>112</v>
      </c>
      <c r="M61" t="s">
        <v>596</v>
      </c>
      <c r="N61" s="23">
        <v>45982.333333333343</v>
      </c>
      <c r="O61" s="23">
        <v>45985.538888888892</v>
      </c>
      <c r="R61" t="s">
        <v>143</v>
      </c>
      <c r="S61" t="s">
        <v>597</v>
      </c>
      <c r="T61" t="s">
        <v>131</v>
      </c>
      <c r="U61" t="s">
        <v>598</v>
      </c>
      <c r="V61" t="s">
        <v>8</v>
      </c>
      <c r="W61" t="s">
        <v>120</v>
      </c>
      <c r="X61" t="s">
        <v>205</v>
      </c>
      <c r="Y61" s="24">
        <v>1</v>
      </c>
      <c r="Z61" s="24">
        <v>1</v>
      </c>
      <c r="AA61" s="24">
        <v>1</v>
      </c>
      <c r="AB61" s="24">
        <v>11251</v>
      </c>
      <c r="AC61" s="24">
        <v>126317</v>
      </c>
      <c r="AD61" s="24">
        <v>57415</v>
      </c>
      <c r="AE61" s="24">
        <v>194983</v>
      </c>
    </row>
    <row r="62" spans="1:31">
      <c r="A62" t="s">
        <v>61</v>
      </c>
      <c r="B62" t="s">
        <v>103</v>
      </c>
      <c r="C62" t="s">
        <v>32</v>
      </c>
      <c r="D62" t="s">
        <v>182</v>
      </c>
      <c r="E62" t="s">
        <v>599</v>
      </c>
      <c r="F62" t="s">
        <v>600</v>
      </c>
      <c r="G62" t="s">
        <v>107</v>
      </c>
      <c r="H62" t="s">
        <v>108</v>
      </c>
      <c r="I62" t="s">
        <v>109</v>
      </c>
      <c r="J62" t="s">
        <v>61</v>
      </c>
      <c r="K62" t="s">
        <v>601</v>
      </c>
      <c r="L62" t="s">
        <v>112</v>
      </c>
      <c r="M62" t="s">
        <v>602</v>
      </c>
      <c r="N62" s="23">
        <v>45982.333333333343</v>
      </c>
      <c r="O62" s="23">
        <v>45985.65</v>
      </c>
      <c r="R62" t="s">
        <v>143</v>
      </c>
      <c r="S62" t="s">
        <v>603</v>
      </c>
      <c r="T62" t="s">
        <v>131</v>
      </c>
      <c r="U62" t="s">
        <v>604</v>
      </c>
      <c r="V62" t="s">
        <v>8</v>
      </c>
      <c r="W62" t="s">
        <v>120</v>
      </c>
      <c r="X62" t="s">
        <v>205</v>
      </c>
      <c r="Y62" s="24">
        <v>1</v>
      </c>
      <c r="Z62" s="24">
        <v>1</v>
      </c>
      <c r="AA62" s="24">
        <v>1</v>
      </c>
      <c r="AB62" s="24">
        <v>11251</v>
      </c>
      <c r="AC62" s="24">
        <v>126317</v>
      </c>
      <c r="AD62" s="24">
        <v>57415</v>
      </c>
      <c r="AE62" s="24">
        <v>194983</v>
      </c>
    </row>
    <row r="63" spans="1:31">
      <c r="A63" t="s">
        <v>61</v>
      </c>
      <c r="B63" t="s">
        <v>103</v>
      </c>
      <c r="C63" t="s">
        <v>32</v>
      </c>
      <c r="D63" t="s">
        <v>182</v>
      </c>
      <c r="E63" t="s">
        <v>605</v>
      </c>
      <c r="F63" t="s">
        <v>606</v>
      </c>
      <c r="G63" t="s">
        <v>107</v>
      </c>
      <c r="H63" t="s">
        <v>108</v>
      </c>
      <c r="I63" t="s">
        <v>109</v>
      </c>
      <c r="J63" t="s">
        <v>61</v>
      </c>
      <c r="K63" t="s">
        <v>607</v>
      </c>
      <c r="L63" t="s">
        <v>112</v>
      </c>
      <c r="M63" t="s">
        <v>608</v>
      </c>
      <c r="N63" s="23">
        <v>45982.333333333343</v>
      </c>
      <c r="O63" s="23">
        <v>45982.805555555547</v>
      </c>
      <c r="R63" t="s">
        <v>143</v>
      </c>
      <c r="S63" t="s">
        <v>609</v>
      </c>
      <c r="T63" t="s">
        <v>131</v>
      </c>
      <c r="U63" t="s">
        <v>610</v>
      </c>
      <c r="V63" t="s">
        <v>8</v>
      </c>
      <c r="W63" t="s">
        <v>120</v>
      </c>
      <c r="X63" t="s">
        <v>611</v>
      </c>
      <c r="Y63" s="24">
        <v>1</v>
      </c>
      <c r="Z63" s="24">
        <v>1</v>
      </c>
      <c r="AA63" s="24">
        <v>1</v>
      </c>
      <c r="AB63" s="24">
        <v>11251</v>
      </c>
      <c r="AC63" s="24">
        <v>126317</v>
      </c>
      <c r="AD63" s="24">
        <v>57415</v>
      </c>
      <c r="AE63" s="24">
        <v>194983</v>
      </c>
    </row>
    <row r="64" spans="1:31">
      <c r="A64" t="s">
        <v>61</v>
      </c>
      <c r="B64" t="s">
        <v>103</v>
      </c>
      <c r="C64" t="s">
        <v>32</v>
      </c>
      <c r="D64" t="s">
        <v>182</v>
      </c>
      <c r="E64" t="s">
        <v>612</v>
      </c>
      <c r="F64" t="s">
        <v>613</v>
      </c>
      <c r="G64" t="s">
        <v>107</v>
      </c>
      <c r="H64" t="s">
        <v>108</v>
      </c>
      <c r="I64" t="s">
        <v>109</v>
      </c>
      <c r="J64" t="s">
        <v>61</v>
      </c>
      <c r="K64" t="s">
        <v>614</v>
      </c>
      <c r="L64" t="s">
        <v>112</v>
      </c>
      <c r="M64" t="s">
        <v>615</v>
      </c>
      <c r="N64" s="23">
        <v>45982.333333333343</v>
      </c>
      <c r="O64" s="23">
        <v>45985.515277777777</v>
      </c>
      <c r="R64" t="s">
        <v>143</v>
      </c>
      <c r="S64" t="s">
        <v>616</v>
      </c>
      <c r="T64" t="s">
        <v>131</v>
      </c>
      <c r="U64" t="s">
        <v>617</v>
      </c>
      <c r="V64" t="s">
        <v>8</v>
      </c>
      <c r="W64" t="s">
        <v>120</v>
      </c>
      <c r="X64" t="s">
        <v>618</v>
      </c>
      <c r="Y64" s="24">
        <v>1</v>
      </c>
      <c r="Z64" s="24">
        <v>1</v>
      </c>
      <c r="AA64" s="24">
        <v>1</v>
      </c>
      <c r="AB64" s="24">
        <v>11251</v>
      </c>
      <c r="AC64" s="24">
        <v>126317</v>
      </c>
      <c r="AD64" s="24">
        <v>57415</v>
      </c>
      <c r="AE64" s="24">
        <v>194983</v>
      </c>
    </row>
    <row r="65" spans="1:31">
      <c r="A65" t="s">
        <v>61</v>
      </c>
      <c r="B65" t="s">
        <v>103</v>
      </c>
      <c r="C65" t="s">
        <v>32</v>
      </c>
      <c r="D65" t="s">
        <v>182</v>
      </c>
      <c r="E65" t="s">
        <v>619</v>
      </c>
      <c r="F65" t="s">
        <v>620</v>
      </c>
      <c r="G65" t="s">
        <v>107</v>
      </c>
      <c r="H65" t="s">
        <v>108</v>
      </c>
      <c r="I65" t="s">
        <v>109</v>
      </c>
      <c r="J65" t="s">
        <v>61</v>
      </c>
      <c r="K65" t="s">
        <v>621</v>
      </c>
      <c r="L65" t="s">
        <v>112</v>
      </c>
      <c r="M65" t="s">
        <v>622</v>
      </c>
      <c r="N65" s="23">
        <v>45982.333333333343</v>
      </c>
      <c r="O65" s="23">
        <v>45985.629166666673</v>
      </c>
      <c r="R65" t="s">
        <v>143</v>
      </c>
      <c r="S65" t="s">
        <v>616</v>
      </c>
      <c r="T65" t="s">
        <v>131</v>
      </c>
      <c r="U65" t="s">
        <v>623</v>
      </c>
      <c r="V65" t="s">
        <v>8</v>
      </c>
      <c r="W65" t="s">
        <v>120</v>
      </c>
      <c r="X65" t="s">
        <v>618</v>
      </c>
      <c r="Y65" s="24">
        <v>1</v>
      </c>
      <c r="Z65" s="24">
        <v>1</v>
      </c>
      <c r="AA65" s="24">
        <v>1</v>
      </c>
      <c r="AB65" s="24">
        <v>11251</v>
      </c>
      <c r="AC65" s="24">
        <v>126317</v>
      </c>
      <c r="AD65" s="24">
        <v>57415</v>
      </c>
      <c r="AE65" s="24">
        <v>194983</v>
      </c>
    </row>
    <row r="66" spans="1:31">
      <c r="A66" t="s">
        <v>61</v>
      </c>
      <c r="B66" t="s">
        <v>103</v>
      </c>
      <c r="C66" t="s">
        <v>32</v>
      </c>
      <c r="D66" t="s">
        <v>225</v>
      </c>
      <c r="E66" t="s">
        <v>624</v>
      </c>
      <c r="F66" t="s">
        <v>625</v>
      </c>
      <c r="G66" t="s">
        <v>107</v>
      </c>
      <c r="H66" t="s">
        <v>108</v>
      </c>
      <c r="I66" t="s">
        <v>109</v>
      </c>
      <c r="J66" t="s">
        <v>228</v>
      </c>
      <c r="K66" t="s">
        <v>626</v>
      </c>
      <c r="L66" t="s">
        <v>112</v>
      </c>
      <c r="M66" t="s">
        <v>627</v>
      </c>
      <c r="N66" s="23">
        <v>45982.333333333343</v>
      </c>
      <c r="O66" s="23">
        <v>45982.762499999997</v>
      </c>
      <c r="R66" t="s">
        <v>143</v>
      </c>
      <c r="S66" t="s">
        <v>628</v>
      </c>
      <c r="T66" t="s">
        <v>131</v>
      </c>
      <c r="U66" t="s">
        <v>629</v>
      </c>
      <c r="V66" t="s">
        <v>8</v>
      </c>
      <c r="W66" t="s">
        <v>120</v>
      </c>
      <c r="X66" t="s">
        <v>218</v>
      </c>
      <c r="Y66" s="24">
        <v>1</v>
      </c>
      <c r="Z66" s="24">
        <v>1</v>
      </c>
      <c r="AA66" s="24">
        <v>1</v>
      </c>
      <c r="AB66" s="24">
        <v>11251</v>
      </c>
      <c r="AC66" s="24">
        <v>126317</v>
      </c>
      <c r="AD66" s="24">
        <v>57415</v>
      </c>
      <c r="AE66" s="24">
        <v>194983</v>
      </c>
    </row>
    <row r="67" spans="1:31">
      <c r="A67" t="s">
        <v>61</v>
      </c>
      <c r="B67" t="s">
        <v>103</v>
      </c>
      <c r="C67" t="s">
        <v>32</v>
      </c>
      <c r="D67" t="s">
        <v>630</v>
      </c>
      <c r="E67" t="s">
        <v>631</v>
      </c>
      <c r="F67" t="s">
        <v>632</v>
      </c>
      <c r="G67" t="s">
        <v>107</v>
      </c>
      <c r="H67" t="s">
        <v>108</v>
      </c>
      <c r="I67" t="s">
        <v>109</v>
      </c>
      <c r="J67" t="s">
        <v>633</v>
      </c>
      <c r="K67" t="s">
        <v>634</v>
      </c>
      <c r="L67" t="s">
        <v>112</v>
      </c>
      <c r="M67" t="s">
        <v>635</v>
      </c>
      <c r="N67" s="23">
        <v>45982.333333333343</v>
      </c>
      <c r="O67" s="23">
        <v>45982.704861111109</v>
      </c>
      <c r="R67" t="s">
        <v>143</v>
      </c>
      <c r="S67" t="s">
        <v>636</v>
      </c>
      <c r="T67" t="s">
        <v>131</v>
      </c>
      <c r="U67" t="s">
        <v>637</v>
      </c>
      <c r="V67" t="s">
        <v>8</v>
      </c>
      <c r="W67" t="s">
        <v>120</v>
      </c>
      <c r="X67" t="s">
        <v>198</v>
      </c>
      <c r="Y67" s="24">
        <v>1</v>
      </c>
      <c r="Z67" s="24">
        <v>1</v>
      </c>
      <c r="AA67" s="24">
        <v>1</v>
      </c>
      <c r="AB67" s="24">
        <v>11251</v>
      </c>
      <c r="AC67" s="24">
        <v>126317</v>
      </c>
      <c r="AD67" s="24">
        <v>57415</v>
      </c>
      <c r="AE67" s="24">
        <v>194983</v>
      </c>
    </row>
    <row r="68" spans="1:31">
      <c r="A68" t="s">
        <v>61</v>
      </c>
      <c r="B68" t="s">
        <v>103</v>
      </c>
      <c r="C68" t="s">
        <v>32</v>
      </c>
      <c r="D68" t="s">
        <v>496</v>
      </c>
      <c r="E68" t="s">
        <v>638</v>
      </c>
      <c r="F68" t="s">
        <v>639</v>
      </c>
      <c r="G68" t="s">
        <v>107</v>
      </c>
      <c r="H68" t="s">
        <v>108</v>
      </c>
      <c r="I68" t="s">
        <v>109</v>
      </c>
      <c r="J68" t="s">
        <v>499</v>
      </c>
      <c r="K68" t="s">
        <v>640</v>
      </c>
      <c r="L68" t="s">
        <v>112</v>
      </c>
      <c r="M68" t="s">
        <v>641</v>
      </c>
      <c r="N68" s="23">
        <v>45982.333333333343</v>
      </c>
      <c r="O68" s="23">
        <v>45982.504166666673</v>
      </c>
      <c r="R68" t="s">
        <v>143</v>
      </c>
      <c r="S68" t="s">
        <v>642</v>
      </c>
      <c r="T68" t="s">
        <v>131</v>
      </c>
      <c r="U68" t="s">
        <v>643</v>
      </c>
      <c r="V68" t="s">
        <v>8</v>
      </c>
      <c r="W68" t="s">
        <v>120</v>
      </c>
      <c r="X68" t="s">
        <v>205</v>
      </c>
      <c r="Y68" s="24">
        <v>1</v>
      </c>
      <c r="Z68" s="24">
        <v>1</v>
      </c>
      <c r="AA68" s="24">
        <v>1</v>
      </c>
      <c r="AB68" s="24">
        <v>11251</v>
      </c>
      <c r="AC68" s="24">
        <v>126317</v>
      </c>
      <c r="AD68" s="24">
        <v>57415</v>
      </c>
      <c r="AE68" s="24">
        <v>194983</v>
      </c>
    </row>
    <row r="69" spans="1:31">
      <c r="A69" t="s">
        <v>61</v>
      </c>
      <c r="B69" t="s">
        <v>103</v>
      </c>
      <c r="C69" t="s">
        <v>32</v>
      </c>
      <c r="D69" t="s">
        <v>644</v>
      </c>
      <c r="E69" t="s">
        <v>645</v>
      </c>
      <c r="F69" t="s">
        <v>646</v>
      </c>
      <c r="G69" t="s">
        <v>107</v>
      </c>
      <c r="H69" t="s">
        <v>108</v>
      </c>
      <c r="I69" t="s">
        <v>109</v>
      </c>
      <c r="J69" t="s">
        <v>647</v>
      </c>
      <c r="K69" t="s">
        <v>648</v>
      </c>
      <c r="L69" t="s">
        <v>112</v>
      </c>
      <c r="M69" t="s">
        <v>649</v>
      </c>
      <c r="N69" s="23">
        <v>45982.333333333343</v>
      </c>
      <c r="O69" s="23">
        <v>45986.407638888893</v>
      </c>
      <c r="R69" t="s">
        <v>143</v>
      </c>
      <c r="S69" t="s">
        <v>650</v>
      </c>
      <c r="T69" t="s">
        <v>131</v>
      </c>
      <c r="U69" t="s">
        <v>651</v>
      </c>
      <c r="V69" t="s">
        <v>146</v>
      </c>
      <c r="W69" t="s">
        <v>120</v>
      </c>
      <c r="X69" t="s">
        <v>218</v>
      </c>
      <c r="Y69" s="24">
        <v>2</v>
      </c>
      <c r="Z69" s="24">
        <v>2</v>
      </c>
      <c r="AA69" s="24">
        <v>2</v>
      </c>
      <c r="AB69" s="24">
        <v>11251</v>
      </c>
      <c r="AC69" s="24">
        <v>126317</v>
      </c>
      <c r="AD69" s="24">
        <v>110808</v>
      </c>
      <c r="AE69" s="24">
        <v>496752</v>
      </c>
    </row>
    <row r="70" spans="1:31">
      <c r="A70" t="s">
        <v>69</v>
      </c>
      <c r="B70" t="s">
        <v>154</v>
      </c>
      <c r="C70" t="s">
        <v>44</v>
      </c>
      <c r="D70" t="s">
        <v>652</v>
      </c>
      <c r="E70" t="s">
        <v>653</v>
      </c>
      <c r="F70" t="s">
        <v>654</v>
      </c>
      <c r="G70" t="s">
        <v>107</v>
      </c>
      <c r="H70" t="s">
        <v>108</v>
      </c>
      <c r="I70" t="s">
        <v>277</v>
      </c>
      <c r="J70" t="s">
        <v>655</v>
      </c>
      <c r="K70" t="s">
        <v>656</v>
      </c>
      <c r="L70" t="s">
        <v>112</v>
      </c>
      <c r="M70" t="s">
        <v>657</v>
      </c>
      <c r="N70" s="23">
        <v>45982.333333333343</v>
      </c>
      <c r="O70" s="23">
        <v>45982.711111111108</v>
      </c>
      <c r="R70" t="s">
        <v>143</v>
      </c>
      <c r="S70" t="s">
        <v>658</v>
      </c>
      <c r="T70" t="s">
        <v>131</v>
      </c>
      <c r="U70" t="s">
        <v>659</v>
      </c>
      <c r="V70" t="s">
        <v>249</v>
      </c>
      <c r="W70" t="s">
        <v>120</v>
      </c>
      <c r="X70" t="s">
        <v>283</v>
      </c>
      <c r="Y70" s="24">
        <v>1</v>
      </c>
      <c r="Z70" s="24">
        <v>1</v>
      </c>
      <c r="AA70" s="24">
        <v>1</v>
      </c>
      <c r="AB70" s="24">
        <v>11251</v>
      </c>
      <c r="AC70" s="24">
        <v>126317</v>
      </c>
      <c r="AD70" s="24">
        <v>110808</v>
      </c>
      <c r="AE70" s="24">
        <v>248376</v>
      </c>
    </row>
    <row r="71" spans="1:31">
      <c r="A71" t="s">
        <v>43</v>
      </c>
      <c r="B71" t="s">
        <v>154</v>
      </c>
      <c r="C71" t="s">
        <v>44</v>
      </c>
      <c r="D71" t="s">
        <v>660</v>
      </c>
      <c r="E71" t="s">
        <v>661</v>
      </c>
      <c r="F71" t="s">
        <v>662</v>
      </c>
      <c r="G71" t="s">
        <v>107</v>
      </c>
      <c r="H71" t="s">
        <v>108</v>
      </c>
      <c r="I71" t="s">
        <v>663</v>
      </c>
      <c r="J71" t="s">
        <v>664</v>
      </c>
      <c r="K71" t="s">
        <v>665</v>
      </c>
      <c r="L71" t="s">
        <v>112</v>
      </c>
      <c r="M71" t="s">
        <v>666</v>
      </c>
      <c r="N71" s="23">
        <v>45982.333333333343</v>
      </c>
      <c r="O71" s="23">
        <v>45985.657638888893</v>
      </c>
      <c r="R71" t="s">
        <v>143</v>
      </c>
      <c r="S71" t="s">
        <v>667</v>
      </c>
      <c r="T71" t="s">
        <v>131</v>
      </c>
      <c r="U71" t="s">
        <v>668</v>
      </c>
      <c r="V71" t="s">
        <v>146</v>
      </c>
      <c r="W71" t="s">
        <v>120</v>
      </c>
      <c r="X71" t="s">
        <v>261</v>
      </c>
      <c r="Y71" s="24">
        <v>1</v>
      </c>
      <c r="Z71" s="24">
        <v>1</v>
      </c>
      <c r="AA71" s="24">
        <v>1</v>
      </c>
      <c r="AB71" s="24">
        <v>11251</v>
      </c>
      <c r="AC71" s="24">
        <v>126317</v>
      </c>
      <c r="AD71" s="24">
        <v>110808</v>
      </c>
      <c r="AE71" s="24">
        <v>248376</v>
      </c>
    </row>
    <row r="72" spans="1:31">
      <c r="A72" t="s">
        <v>62</v>
      </c>
      <c r="B72" t="s">
        <v>284</v>
      </c>
      <c r="C72" t="s">
        <v>36</v>
      </c>
      <c r="D72" t="s">
        <v>669</v>
      </c>
      <c r="E72" t="s">
        <v>670</v>
      </c>
      <c r="F72" t="s">
        <v>671</v>
      </c>
      <c r="G72" t="s">
        <v>107</v>
      </c>
      <c r="H72" t="s">
        <v>108</v>
      </c>
      <c r="I72" t="s">
        <v>288</v>
      </c>
      <c r="J72" t="s">
        <v>672</v>
      </c>
      <c r="K72" t="s">
        <v>673</v>
      </c>
      <c r="L72" t="s">
        <v>112</v>
      </c>
      <c r="M72" t="s">
        <v>674</v>
      </c>
      <c r="N72" s="23">
        <v>45982.333333333343</v>
      </c>
      <c r="O72" s="23">
        <v>45982.716666666667</v>
      </c>
      <c r="R72" t="s">
        <v>143</v>
      </c>
      <c r="S72" t="s">
        <v>675</v>
      </c>
      <c r="T72" t="s">
        <v>131</v>
      </c>
      <c r="U72" t="s">
        <v>676</v>
      </c>
      <c r="V72" t="s">
        <v>119</v>
      </c>
      <c r="W72" t="s">
        <v>120</v>
      </c>
      <c r="X72" t="s">
        <v>677</v>
      </c>
      <c r="Y72" s="24">
        <v>1</v>
      </c>
      <c r="Z72" s="24">
        <v>1</v>
      </c>
      <c r="AA72" s="24">
        <v>1</v>
      </c>
      <c r="AB72" s="24">
        <v>11251</v>
      </c>
      <c r="AC72" s="24">
        <v>126317</v>
      </c>
      <c r="AD72" s="24">
        <v>110808</v>
      </c>
      <c r="AE72" s="24">
        <v>248376</v>
      </c>
    </row>
    <row r="73" spans="1:31">
      <c r="A73" t="s">
        <v>71</v>
      </c>
      <c r="B73" t="s">
        <v>404</v>
      </c>
      <c r="C73" t="s">
        <v>54</v>
      </c>
      <c r="D73" t="s">
        <v>678</v>
      </c>
      <c r="E73" t="s">
        <v>679</v>
      </c>
      <c r="F73" t="s">
        <v>680</v>
      </c>
      <c r="G73" t="s">
        <v>107</v>
      </c>
      <c r="H73" t="s">
        <v>108</v>
      </c>
      <c r="I73" t="s">
        <v>681</v>
      </c>
      <c r="J73" t="s">
        <v>71</v>
      </c>
      <c r="K73" t="s">
        <v>682</v>
      </c>
      <c r="L73" t="s">
        <v>112</v>
      </c>
      <c r="M73" t="s">
        <v>683</v>
      </c>
      <c r="N73" s="23">
        <v>45982.333333333343</v>
      </c>
      <c r="O73" s="23">
        <v>45982.722222222219</v>
      </c>
      <c r="R73" t="s">
        <v>143</v>
      </c>
      <c r="S73" t="s">
        <v>684</v>
      </c>
      <c r="T73" t="s">
        <v>131</v>
      </c>
      <c r="U73" t="s">
        <v>685</v>
      </c>
      <c r="V73" t="s">
        <v>8</v>
      </c>
      <c r="W73" t="s">
        <v>120</v>
      </c>
      <c r="X73" t="s">
        <v>686</v>
      </c>
      <c r="Y73" s="24">
        <v>1</v>
      </c>
      <c r="Z73" s="24">
        <v>1</v>
      </c>
      <c r="AA73" s="24">
        <v>1</v>
      </c>
      <c r="AB73" s="24">
        <v>11251</v>
      </c>
      <c r="AC73" s="24">
        <v>126317</v>
      </c>
      <c r="AD73" s="24">
        <v>57415</v>
      </c>
      <c r="AE73" s="24">
        <v>194983</v>
      </c>
    </row>
    <row r="74" spans="1:31">
      <c r="A74" t="s">
        <v>64</v>
      </c>
      <c r="B74" t="s">
        <v>135</v>
      </c>
      <c r="C74" t="s">
        <v>48</v>
      </c>
      <c r="D74" t="s">
        <v>323</v>
      </c>
      <c r="E74" t="s">
        <v>687</v>
      </c>
      <c r="F74" t="s">
        <v>688</v>
      </c>
      <c r="G74" t="s">
        <v>107</v>
      </c>
      <c r="H74" t="s">
        <v>108</v>
      </c>
      <c r="I74" t="s">
        <v>139</v>
      </c>
      <c r="J74" t="s">
        <v>64</v>
      </c>
      <c r="K74" t="s">
        <v>689</v>
      </c>
      <c r="L74" t="s">
        <v>112</v>
      </c>
      <c r="M74" t="s">
        <v>690</v>
      </c>
      <c r="N74" s="23">
        <v>45982.333333333343</v>
      </c>
      <c r="O74" s="23">
        <v>45982.728472222218</v>
      </c>
      <c r="R74" t="s">
        <v>143</v>
      </c>
      <c r="S74" t="s">
        <v>691</v>
      </c>
      <c r="T74" t="s">
        <v>131</v>
      </c>
      <c r="U74" t="s">
        <v>692</v>
      </c>
      <c r="V74" t="s">
        <v>8</v>
      </c>
      <c r="W74" t="s">
        <v>120</v>
      </c>
      <c r="X74" t="s">
        <v>330</v>
      </c>
      <c r="Y74" s="24">
        <v>1</v>
      </c>
      <c r="Z74" s="24">
        <v>1</v>
      </c>
      <c r="AA74" s="24">
        <v>1</v>
      </c>
      <c r="AB74" s="24">
        <v>11251</v>
      </c>
      <c r="AC74" s="24">
        <v>126317</v>
      </c>
      <c r="AD74" s="24">
        <v>57415</v>
      </c>
      <c r="AE74" s="24">
        <v>194983</v>
      </c>
    </row>
    <row r="75" spans="1:31">
      <c r="A75" t="s">
        <v>68</v>
      </c>
      <c r="B75" t="s">
        <v>284</v>
      </c>
      <c r="C75" t="s">
        <v>36</v>
      </c>
      <c r="D75" t="s">
        <v>693</v>
      </c>
      <c r="E75" t="s">
        <v>694</v>
      </c>
      <c r="F75" t="s">
        <v>695</v>
      </c>
      <c r="G75" t="s">
        <v>107</v>
      </c>
      <c r="H75" t="s">
        <v>108</v>
      </c>
      <c r="I75" t="s">
        <v>580</v>
      </c>
      <c r="J75" t="s">
        <v>68</v>
      </c>
      <c r="K75" t="s">
        <v>696</v>
      </c>
      <c r="L75" t="s">
        <v>112</v>
      </c>
      <c r="M75" t="s">
        <v>697</v>
      </c>
      <c r="N75" s="23">
        <v>45982.333333333343</v>
      </c>
      <c r="O75" s="23">
        <v>45982.679861111108</v>
      </c>
      <c r="R75" t="s">
        <v>143</v>
      </c>
      <c r="S75" t="s">
        <v>698</v>
      </c>
      <c r="T75" t="s">
        <v>131</v>
      </c>
      <c r="U75" t="s">
        <v>699</v>
      </c>
      <c r="V75" t="s">
        <v>8</v>
      </c>
      <c r="W75" t="s">
        <v>120</v>
      </c>
      <c r="X75" t="s">
        <v>700</v>
      </c>
      <c r="Y75" s="24">
        <v>1</v>
      </c>
      <c r="Z75" s="24">
        <v>1</v>
      </c>
      <c r="AA75" s="24">
        <v>1</v>
      </c>
      <c r="AB75" s="24">
        <v>11251</v>
      </c>
      <c r="AC75" s="24">
        <v>126317</v>
      </c>
      <c r="AD75" s="24">
        <v>57415</v>
      </c>
      <c r="AE75" s="24">
        <v>194983</v>
      </c>
    </row>
    <row r="76" spans="1:31">
      <c r="A76" t="s">
        <v>47</v>
      </c>
      <c r="B76" t="s">
        <v>135</v>
      </c>
      <c r="C76" t="s">
        <v>48</v>
      </c>
      <c r="D76" t="s">
        <v>420</v>
      </c>
      <c r="E76" t="s">
        <v>701</v>
      </c>
      <c r="F76" t="s">
        <v>702</v>
      </c>
      <c r="G76" t="s">
        <v>107</v>
      </c>
      <c r="H76" t="s">
        <v>108</v>
      </c>
      <c r="I76" t="s">
        <v>423</v>
      </c>
      <c r="J76" t="s">
        <v>47</v>
      </c>
      <c r="K76" t="s">
        <v>703</v>
      </c>
      <c r="L76" t="s">
        <v>112</v>
      </c>
      <c r="M76" t="s">
        <v>704</v>
      </c>
      <c r="N76" s="23">
        <v>45982.333333333343</v>
      </c>
      <c r="O76" s="23">
        <v>45985.64166666667</v>
      </c>
      <c r="R76" t="s">
        <v>143</v>
      </c>
      <c r="S76" t="s">
        <v>705</v>
      </c>
      <c r="T76" t="s">
        <v>131</v>
      </c>
      <c r="U76" t="s">
        <v>706</v>
      </c>
      <c r="V76" t="s">
        <v>8</v>
      </c>
      <c r="W76" t="s">
        <v>120</v>
      </c>
      <c r="X76" t="s">
        <v>428</v>
      </c>
      <c r="Y76" s="24">
        <v>1</v>
      </c>
      <c r="Z76" s="24">
        <v>1</v>
      </c>
      <c r="AA76" s="24">
        <v>1</v>
      </c>
      <c r="AB76" s="24">
        <v>11251</v>
      </c>
      <c r="AC76" s="24">
        <v>126317</v>
      </c>
      <c r="AD76" s="24">
        <v>57415</v>
      </c>
      <c r="AE76" s="24">
        <v>194983</v>
      </c>
    </row>
    <row r="77" spans="1:31">
      <c r="A77" t="s">
        <v>47</v>
      </c>
      <c r="B77" t="s">
        <v>135</v>
      </c>
      <c r="C77" t="s">
        <v>48</v>
      </c>
      <c r="D77" t="s">
        <v>420</v>
      </c>
      <c r="E77" t="s">
        <v>707</v>
      </c>
      <c r="F77" t="s">
        <v>708</v>
      </c>
      <c r="G77" t="s">
        <v>107</v>
      </c>
      <c r="H77" t="s">
        <v>108</v>
      </c>
      <c r="I77" t="s">
        <v>423</v>
      </c>
      <c r="J77" t="s">
        <v>47</v>
      </c>
      <c r="K77" t="s">
        <v>709</v>
      </c>
      <c r="L77" t="s">
        <v>112</v>
      </c>
      <c r="M77" t="s">
        <v>710</v>
      </c>
      <c r="N77" s="23">
        <v>45982.333333333343</v>
      </c>
      <c r="O77" s="23">
        <v>45985.618055555547</v>
      </c>
      <c r="R77" t="s">
        <v>143</v>
      </c>
      <c r="S77" t="s">
        <v>711</v>
      </c>
      <c r="T77" t="s">
        <v>131</v>
      </c>
      <c r="U77" t="s">
        <v>712</v>
      </c>
      <c r="V77" t="s">
        <v>8</v>
      </c>
      <c r="W77" t="s">
        <v>120</v>
      </c>
      <c r="X77" t="s">
        <v>713</v>
      </c>
      <c r="Y77" s="24">
        <v>1</v>
      </c>
      <c r="Z77" s="24">
        <v>1</v>
      </c>
      <c r="AA77" s="24">
        <v>1</v>
      </c>
      <c r="AB77" s="24">
        <v>11251</v>
      </c>
      <c r="AC77" s="24">
        <v>126317</v>
      </c>
      <c r="AD77" s="24">
        <v>57415</v>
      </c>
      <c r="AE77" s="24">
        <v>194983</v>
      </c>
    </row>
    <row r="78" spans="1:31">
      <c r="A78" t="s">
        <v>47</v>
      </c>
      <c r="B78" t="s">
        <v>135</v>
      </c>
      <c r="C78" t="s">
        <v>48</v>
      </c>
      <c r="D78" t="s">
        <v>420</v>
      </c>
      <c r="E78" t="s">
        <v>714</v>
      </c>
      <c r="F78" t="s">
        <v>715</v>
      </c>
      <c r="G78" t="s">
        <v>107</v>
      </c>
      <c r="H78" t="s">
        <v>108</v>
      </c>
      <c r="I78" t="s">
        <v>423</v>
      </c>
      <c r="J78" t="s">
        <v>47</v>
      </c>
      <c r="K78" t="s">
        <v>716</v>
      </c>
      <c r="L78" t="s">
        <v>112</v>
      </c>
      <c r="M78" t="s">
        <v>717</v>
      </c>
      <c r="N78" s="23">
        <v>45982.333333333343</v>
      </c>
      <c r="O78" s="23">
        <v>45985.738194444442</v>
      </c>
      <c r="R78" t="s">
        <v>143</v>
      </c>
      <c r="S78" t="s">
        <v>718</v>
      </c>
      <c r="T78" t="s">
        <v>131</v>
      </c>
      <c r="U78" t="s">
        <v>719</v>
      </c>
      <c r="V78" t="s">
        <v>8</v>
      </c>
      <c r="W78" t="s">
        <v>120</v>
      </c>
      <c r="X78" t="s">
        <v>569</v>
      </c>
      <c r="Y78" s="24">
        <v>1</v>
      </c>
      <c r="Z78" s="24">
        <v>1</v>
      </c>
      <c r="AA78" s="24">
        <v>1</v>
      </c>
      <c r="AB78" s="24">
        <v>11251</v>
      </c>
      <c r="AC78" s="24">
        <v>126317</v>
      </c>
      <c r="AD78" s="24">
        <v>57415</v>
      </c>
      <c r="AE78" s="24">
        <v>194983</v>
      </c>
    </row>
    <row r="79" spans="1:31">
      <c r="A79" t="s">
        <v>47</v>
      </c>
      <c r="B79" t="s">
        <v>135</v>
      </c>
      <c r="C79" t="s">
        <v>48</v>
      </c>
      <c r="D79" t="s">
        <v>420</v>
      </c>
      <c r="E79" t="s">
        <v>720</v>
      </c>
      <c r="F79" t="s">
        <v>721</v>
      </c>
      <c r="G79" t="s">
        <v>107</v>
      </c>
      <c r="H79" t="s">
        <v>108</v>
      </c>
      <c r="I79" t="s">
        <v>423</v>
      </c>
      <c r="J79" t="s">
        <v>47</v>
      </c>
      <c r="K79" t="s">
        <v>722</v>
      </c>
      <c r="L79" t="s">
        <v>112</v>
      </c>
      <c r="M79" t="s">
        <v>723</v>
      </c>
      <c r="N79" s="23">
        <v>45982.333333333343</v>
      </c>
      <c r="O79" s="23">
        <v>45985.624305555553</v>
      </c>
      <c r="R79" t="s">
        <v>143</v>
      </c>
      <c r="S79" t="s">
        <v>724</v>
      </c>
      <c r="T79" t="s">
        <v>131</v>
      </c>
      <c r="U79" t="s">
        <v>725</v>
      </c>
      <c r="V79" t="s">
        <v>8</v>
      </c>
      <c r="W79" t="s">
        <v>120</v>
      </c>
      <c r="X79" t="s">
        <v>569</v>
      </c>
      <c r="Y79" s="24">
        <v>1</v>
      </c>
      <c r="Z79" s="24">
        <v>1</v>
      </c>
      <c r="AA79" s="24">
        <v>1</v>
      </c>
      <c r="AB79" s="24">
        <v>11251</v>
      </c>
      <c r="AC79" s="24">
        <v>126317</v>
      </c>
      <c r="AD79" s="24">
        <v>57415</v>
      </c>
      <c r="AE79" s="24">
        <v>194983</v>
      </c>
    </row>
    <row r="80" spans="1:31">
      <c r="A80" t="s">
        <v>47</v>
      </c>
      <c r="B80" t="s">
        <v>135</v>
      </c>
      <c r="C80" t="s">
        <v>48</v>
      </c>
      <c r="D80" t="s">
        <v>726</v>
      </c>
      <c r="E80" t="s">
        <v>727</v>
      </c>
      <c r="F80" t="s">
        <v>728</v>
      </c>
      <c r="G80" t="s">
        <v>107</v>
      </c>
      <c r="H80" t="s">
        <v>108</v>
      </c>
      <c r="I80" t="s">
        <v>423</v>
      </c>
      <c r="J80" t="s">
        <v>729</v>
      </c>
      <c r="K80" t="s">
        <v>730</v>
      </c>
      <c r="L80" t="s">
        <v>112</v>
      </c>
      <c r="M80" t="s">
        <v>731</v>
      </c>
      <c r="N80" s="23">
        <v>45982.333333333343</v>
      </c>
      <c r="O80" s="23">
        <v>45985.506249999999</v>
      </c>
      <c r="R80" t="s">
        <v>129</v>
      </c>
      <c r="S80" t="s">
        <v>732</v>
      </c>
      <c r="T80" t="s">
        <v>131</v>
      </c>
      <c r="V80" t="s">
        <v>8</v>
      </c>
      <c r="W80" t="s">
        <v>120</v>
      </c>
      <c r="X80" t="s">
        <v>435</v>
      </c>
      <c r="Y80" s="24">
        <v>0</v>
      </c>
      <c r="Z80" s="24">
        <v>0</v>
      </c>
      <c r="AA80" s="24">
        <v>2</v>
      </c>
      <c r="AB80" s="24">
        <v>0</v>
      </c>
      <c r="AC80" s="24">
        <v>0</v>
      </c>
      <c r="AD80" s="24">
        <v>57415</v>
      </c>
      <c r="AE80" s="24">
        <v>114830</v>
      </c>
    </row>
    <row r="81" spans="1:31">
      <c r="A81" t="s">
        <v>61</v>
      </c>
      <c r="B81" t="s">
        <v>103</v>
      </c>
      <c r="C81" t="s">
        <v>32</v>
      </c>
      <c r="D81" t="s">
        <v>733</v>
      </c>
      <c r="E81" t="s">
        <v>734</v>
      </c>
      <c r="F81" t="s">
        <v>735</v>
      </c>
      <c r="G81" t="s">
        <v>107</v>
      </c>
      <c r="H81" t="s">
        <v>108</v>
      </c>
      <c r="I81" t="s">
        <v>109</v>
      </c>
      <c r="J81" t="s">
        <v>736</v>
      </c>
      <c r="K81" t="s">
        <v>737</v>
      </c>
      <c r="L81" t="s">
        <v>112</v>
      </c>
      <c r="M81" t="s">
        <v>738</v>
      </c>
      <c r="N81" s="23">
        <v>45982.333333333343</v>
      </c>
      <c r="O81" s="23">
        <v>45982.799305555563</v>
      </c>
      <c r="R81" t="s">
        <v>143</v>
      </c>
      <c r="S81" t="s">
        <v>739</v>
      </c>
      <c r="T81" t="s">
        <v>131</v>
      </c>
      <c r="U81" t="s">
        <v>740</v>
      </c>
      <c r="V81" t="s">
        <v>146</v>
      </c>
      <c r="W81" t="s">
        <v>120</v>
      </c>
      <c r="X81" t="s">
        <v>741</v>
      </c>
      <c r="Y81" s="24">
        <v>1</v>
      </c>
      <c r="Z81" s="24">
        <v>1</v>
      </c>
      <c r="AA81" s="24">
        <v>1</v>
      </c>
      <c r="AB81" s="24">
        <v>11251</v>
      </c>
      <c r="AC81" s="24">
        <v>126317</v>
      </c>
      <c r="AD81" s="24">
        <v>110808</v>
      </c>
      <c r="AE81" s="24">
        <v>248376</v>
      </c>
    </row>
    <row r="82" spans="1:31">
      <c r="A82" t="s">
        <v>39</v>
      </c>
      <c r="B82" t="s">
        <v>295</v>
      </c>
      <c r="C82" t="s">
        <v>40</v>
      </c>
      <c r="D82" t="s">
        <v>468</v>
      </c>
      <c r="E82" t="s">
        <v>742</v>
      </c>
      <c r="F82" t="s">
        <v>743</v>
      </c>
      <c r="G82" t="s">
        <v>107</v>
      </c>
      <c r="H82" t="s">
        <v>108</v>
      </c>
      <c r="I82" t="s">
        <v>295</v>
      </c>
      <c r="J82" t="s">
        <v>39</v>
      </c>
      <c r="K82" t="s">
        <v>744</v>
      </c>
      <c r="L82" t="s">
        <v>112</v>
      </c>
      <c r="M82" t="s">
        <v>745</v>
      </c>
      <c r="N82" s="23">
        <v>45982.333333333343</v>
      </c>
      <c r="O82" s="23">
        <v>45983.496527777781</v>
      </c>
      <c r="R82" t="s">
        <v>143</v>
      </c>
      <c r="S82" t="s">
        <v>746</v>
      </c>
      <c r="T82" t="s">
        <v>131</v>
      </c>
      <c r="U82" t="s">
        <v>747</v>
      </c>
      <c r="V82" t="s">
        <v>8</v>
      </c>
      <c r="W82" t="s">
        <v>120</v>
      </c>
      <c r="X82" t="s">
        <v>576</v>
      </c>
      <c r="Y82" s="24">
        <v>1</v>
      </c>
      <c r="Z82" s="24">
        <v>1</v>
      </c>
      <c r="AA82" s="24">
        <v>1</v>
      </c>
      <c r="AB82" s="24">
        <v>11251</v>
      </c>
      <c r="AC82" s="24">
        <v>126317</v>
      </c>
      <c r="AD82" s="24">
        <v>57415</v>
      </c>
      <c r="AE82" s="24">
        <v>194983</v>
      </c>
    </row>
    <row r="83" spans="1:31">
      <c r="A83" t="s">
        <v>39</v>
      </c>
      <c r="B83" t="s">
        <v>295</v>
      </c>
      <c r="C83" t="s">
        <v>40</v>
      </c>
      <c r="D83" t="s">
        <v>468</v>
      </c>
      <c r="E83" t="s">
        <v>748</v>
      </c>
      <c r="F83" t="s">
        <v>749</v>
      </c>
      <c r="G83" t="s">
        <v>107</v>
      </c>
      <c r="H83" t="s">
        <v>108</v>
      </c>
      <c r="I83" t="s">
        <v>295</v>
      </c>
      <c r="J83" t="s">
        <v>39</v>
      </c>
      <c r="K83" t="s">
        <v>750</v>
      </c>
      <c r="L83" t="s">
        <v>112</v>
      </c>
      <c r="M83" t="s">
        <v>751</v>
      </c>
      <c r="N83" s="23">
        <v>45982.333333333343</v>
      </c>
      <c r="O83" s="23">
        <v>45982.618055555547</v>
      </c>
      <c r="R83" t="s">
        <v>143</v>
      </c>
      <c r="S83" t="s">
        <v>752</v>
      </c>
      <c r="T83" t="s">
        <v>131</v>
      </c>
      <c r="U83" t="s">
        <v>753</v>
      </c>
      <c r="V83" t="s">
        <v>8</v>
      </c>
      <c r="W83" t="s">
        <v>120</v>
      </c>
      <c r="X83" t="s">
        <v>754</v>
      </c>
      <c r="Y83" s="24">
        <v>1</v>
      </c>
      <c r="Z83" s="24">
        <v>1</v>
      </c>
      <c r="AA83" s="24">
        <v>1</v>
      </c>
      <c r="AB83" s="24">
        <v>11251</v>
      </c>
      <c r="AC83" s="24">
        <v>126317</v>
      </c>
      <c r="AD83" s="24">
        <v>57415</v>
      </c>
      <c r="AE83" s="24">
        <v>194983</v>
      </c>
    </row>
    <row r="84" spans="1:31">
      <c r="A84" t="s">
        <v>39</v>
      </c>
      <c r="B84" t="s">
        <v>295</v>
      </c>
      <c r="C84" t="s">
        <v>40</v>
      </c>
      <c r="D84" t="s">
        <v>468</v>
      </c>
      <c r="E84" t="s">
        <v>755</v>
      </c>
      <c r="F84" t="s">
        <v>756</v>
      </c>
      <c r="G84" t="s">
        <v>107</v>
      </c>
      <c r="H84" t="s">
        <v>108</v>
      </c>
      <c r="I84" t="s">
        <v>295</v>
      </c>
      <c r="J84" t="s">
        <v>39</v>
      </c>
      <c r="K84" t="s">
        <v>757</v>
      </c>
      <c r="L84" t="s">
        <v>112</v>
      </c>
      <c r="M84" t="s">
        <v>758</v>
      </c>
      <c r="N84" s="23">
        <v>45982.333333333343</v>
      </c>
      <c r="O84" s="23">
        <v>45983.529166666667</v>
      </c>
      <c r="R84" t="s">
        <v>143</v>
      </c>
      <c r="S84" t="s">
        <v>759</v>
      </c>
      <c r="T84" t="s">
        <v>131</v>
      </c>
      <c r="U84" t="s">
        <v>760</v>
      </c>
      <c r="V84" t="s">
        <v>8</v>
      </c>
      <c r="W84" t="s">
        <v>120</v>
      </c>
      <c r="X84" t="s">
        <v>754</v>
      </c>
      <c r="Y84" s="24">
        <v>1</v>
      </c>
      <c r="Z84" s="24">
        <v>1</v>
      </c>
      <c r="AA84" s="24">
        <v>1</v>
      </c>
      <c r="AB84" s="24">
        <v>11251</v>
      </c>
      <c r="AC84" s="24">
        <v>126317</v>
      </c>
      <c r="AD84" s="24">
        <v>57415</v>
      </c>
      <c r="AE84" s="24">
        <v>194983</v>
      </c>
    </row>
    <row r="85" spans="1:31">
      <c r="A85" t="s">
        <v>39</v>
      </c>
      <c r="B85" t="s">
        <v>295</v>
      </c>
      <c r="C85" t="s">
        <v>40</v>
      </c>
      <c r="D85" t="s">
        <v>468</v>
      </c>
      <c r="E85" t="s">
        <v>761</v>
      </c>
      <c r="F85" t="s">
        <v>762</v>
      </c>
      <c r="G85" t="s">
        <v>107</v>
      </c>
      <c r="H85" t="s">
        <v>108</v>
      </c>
      <c r="I85" t="s">
        <v>295</v>
      </c>
      <c r="J85" t="s">
        <v>39</v>
      </c>
      <c r="K85" t="s">
        <v>763</v>
      </c>
      <c r="L85" t="s">
        <v>112</v>
      </c>
      <c r="M85" t="s">
        <v>764</v>
      </c>
      <c r="N85" s="23">
        <v>45982.333333333343</v>
      </c>
      <c r="O85" s="23">
        <v>45985.71875</v>
      </c>
      <c r="R85" t="s">
        <v>143</v>
      </c>
      <c r="S85" t="s">
        <v>765</v>
      </c>
      <c r="T85" t="s">
        <v>131</v>
      </c>
      <c r="U85" t="s">
        <v>766</v>
      </c>
      <c r="V85" t="s">
        <v>8</v>
      </c>
      <c r="W85" t="s">
        <v>120</v>
      </c>
      <c r="X85" t="s">
        <v>767</v>
      </c>
      <c r="Y85" s="24">
        <v>1</v>
      </c>
      <c r="Z85" s="24">
        <v>1</v>
      </c>
      <c r="AA85" s="24">
        <v>1</v>
      </c>
      <c r="AB85" s="24">
        <v>11251</v>
      </c>
      <c r="AC85" s="24">
        <v>126317</v>
      </c>
      <c r="AD85" s="24">
        <v>57415</v>
      </c>
      <c r="AE85" s="24">
        <v>194983</v>
      </c>
    </row>
    <row r="86" spans="1:31">
      <c r="A86" t="s">
        <v>39</v>
      </c>
      <c r="B86" t="s">
        <v>295</v>
      </c>
      <c r="C86" t="s">
        <v>40</v>
      </c>
      <c r="D86" t="s">
        <v>468</v>
      </c>
      <c r="E86" t="s">
        <v>768</v>
      </c>
      <c r="F86" t="s">
        <v>769</v>
      </c>
      <c r="G86" t="s">
        <v>107</v>
      </c>
      <c r="H86" t="s">
        <v>108</v>
      </c>
      <c r="I86" t="s">
        <v>295</v>
      </c>
      <c r="J86" t="s">
        <v>39</v>
      </c>
      <c r="K86" t="s">
        <v>770</v>
      </c>
      <c r="L86" t="s">
        <v>112</v>
      </c>
      <c r="M86" t="s">
        <v>771</v>
      </c>
      <c r="N86" s="23">
        <v>45982.333333333343</v>
      </c>
      <c r="O86" s="23">
        <v>45985.666666666657</v>
      </c>
      <c r="R86" t="s">
        <v>143</v>
      </c>
      <c r="S86" t="s">
        <v>772</v>
      </c>
      <c r="T86" t="s">
        <v>131</v>
      </c>
      <c r="U86" t="s">
        <v>773</v>
      </c>
      <c r="V86" t="s">
        <v>8</v>
      </c>
      <c r="W86" t="s">
        <v>120</v>
      </c>
      <c r="X86" t="s">
        <v>774</v>
      </c>
      <c r="Y86" s="24">
        <v>1</v>
      </c>
      <c r="Z86" s="24">
        <v>1</v>
      </c>
      <c r="AA86" s="24">
        <v>1</v>
      </c>
      <c r="AB86" s="24">
        <v>11251</v>
      </c>
      <c r="AC86" s="24">
        <v>126317</v>
      </c>
      <c r="AD86" s="24">
        <v>57415</v>
      </c>
      <c r="AE86" s="24">
        <v>194983</v>
      </c>
    </row>
    <row r="87" spans="1:31">
      <c r="A87" t="s">
        <v>67</v>
      </c>
      <c r="B87" t="s">
        <v>284</v>
      </c>
      <c r="C87" t="s">
        <v>36</v>
      </c>
      <c r="D87" t="s">
        <v>315</v>
      </c>
      <c r="E87" t="s">
        <v>775</v>
      </c>
      <c r="F87" t="s">
        <v>776</v>
      </c>
      <c r="G87" t="s">
        <v>107</v>
      </c>
      <c r="H87" t="s">
        <v>484</v>
      </c>
      <c r="I87" t="s">
        <v>318</v>
      </c>
      <c r="J87" t="s">
        <v>67</v>
      </c>
      <c r="K87" t="s">
        <v>777</v>
      </c>
      <c r="L87" t="s">
        <v>112</v>
      </c>
      <c r="M87" t="s">
        <v>778</v>
      </c>
      <c r="N87" s="23">
        <v>45982.333333333343</v>
      </c>
      <c r="O87" s="23">
        <v>45982.668055555558</v>
      </c>
      <c r="R87" t="s">
        <v>143</v>
      </c>
      <c r="S87" t="s">
        <v>779</v>
      </c>
      <c r="T87" t="s">
        <v>131</v>
      </c>
      <c r="U87" t="s">
        <v>780</v>
      </c>
      <c r="V87" t="s">
        <v>8</v>
      </c>
      <c r="W87" t="s">
        <v>120</v>
      </c>
      <c r="X87" t="s">
        <v>314</v>
      </c>
      <c r="Y87" s="24">
        <v>1</v>
      </c>
      <c r="Z87" s="24">
        <v>1</v>
      </c>
      <c r="AA87" s="24">
        <v>1</v>
      </c>
      <c r="AB87" s="24">
        <v>11251</v>
      </c>
      <c r="AC87" s="24">
        <v>126317</v>
      </c>
      <c r="AD87" s="24">
        <v>57415</v>
      </c>
      <c r="AE87" s="24">
        <v>194983</v>
      </c>
    </row>
    <row r="88" spans="1:31">
      <c r="A88" t="s">
        <v>47</v>
      </c>
      <c r="B88" t="s">
        <v>135</v>
      </c>
      <c r="C88" t="s">
        <v>48</v>
      </c>
      <c r="D88" t="s">
        <v>781</v>
      </c>
      <c r="E88" t="s">
        <v>782</v>
      </c>
      <c r="F88" t="s">
        <v>783</v>
      </c>
      <c r="G88" t="s">
        <v>107</v>
      </c>
      <c r="H88" t="s">
        <v>484</v>
      </c>
      <c r="I88" t="s">
        <v>784</v>
      </c>
      <c r="J88" t="s">
        <v>66</v>
      </c>
      <c r="K88" t="s">
        <v>785</v>
      </c>
      <c r="L88" t="s">
        <v>112</v>
      </c>
      <c r="M88" t="s">
        <v>786</v>
      </c>
      <c r="N88" s="23">
        <v>45982.333333333343</v>
      </c>
      <c r="O88" s="23">
        <v>45985.680555555547</v>
      </c>
      <c r="P88" t="s">
        <v>114</v>
      </c>
      <c r="Q88" t="s">
        <v>488</v>
      </c>
      <c r="R88" t="s">
        <v>143</v>
      </c>
      <c r="S88" t="s">
        <v>787</v>
      </c>
      <c r="T88" t="s">
        <v>131</v>
      </c>
      <c r="U88" t="s">
        <v>788</v>
      </c>
      <c r="V88" t="s">
        <v>146</v>
      </c>
      <c r="W88" t="s">
        <v>120</v>
      </c>
      <c r="X88" t="s">
        <v>789</v>
      </c>
      <c r="Y88" s="24">
        <v>1</v>
      </c>
      <c r="Z88" s="24">
        <v>1</v>
      </c>
      <c r="AA88" s="24">
        <v>1</v>
      </c>
      <c r="AB88" s="24">
        <v>11251</v>
      </c>
      <c r="AC88" s="24">
        <v>126317</v>
      </c>
      <c r="AD88" s="24">
        <v>110808</v>
      </c>
      <c r="AE88" s="24">
        <v>248376</v>
      </c>
    </row>
    <row r="89" spans="1:31">
      <c r="A89" t="s">
        <v>61</v>
      </c>
      <c r="B89" t="s">
        <v>103</v>
      </c>
      <c r="C89" t="s">
        <v>32</v>
      </c>
      <c r="D89" t="s">
        <v>182</v>
      </c>
      <c r="E89" t="s">
        <v>790</v>
      </c>
      <c r="F89" t="s">
        <v>791</v>
      </c>
      <c r="G89" t="s">
        <v>107</v>
      </c>
      <c r="H89" t="s">
        <v>108</v>
      </c>
      <c r="I89" t="s">
        <v>109</v>
      </c>
      <c r="J89" t="s">
        <v>61</v>
      </c>
      <c r="K89" t="s">
        <v>792</v>
      </c>
      <c r="L89" t="s">
        <v>112</v>
      </c>
      <c r="M89" t="s">
        <v>793</v>
      </c>
      <c r="N89" s="23">
        <v>45985.333333333343</v>
      </c>
      <c r="O89" s="23">
        <v>45986.652083333327</v>
      </c>
      <c r="R89" t="s">
        <v>143</v>
      </c>
      <c r="S89" t="s">
        <v>794</v>
      </c>
      <c r="T89" t="s">
        <v>131</v>
      </c>
      <c r="U89" t="s">
        <v>795</v>
      </c>
      <c r="V89" t="s">
        <v>8</v>
      </c>
      <c r="W89" t="s">
        <v>120</v>
      </c>
      <c r="X89" t="s">
        <v>618</v>
      </c>
      <c r="Y89" s="24">
        <v>1</v>
      </c>
      <c r="Z89" s="24">
        <v>1</v>
      </c>
      <c r="AA89" s="24">
        <v>1</v>
      </c>
      <c r="AB89" s="24">
        <v>11251</v>
      </c>
      <c r="AC89" s="24">
        <v>126317</v>
      </c>
      <c r="AD89" s="24">
        <v>57415</v>
      </c>
      <c r="AE89" s="24">
        <v>194983</v>
      </c>
    </row>
    <row r="90" spans="1:31">
      <c r="A90" t="s">
        <v>61</v>
      </c>
      <c r="B90" t="s">
        <v>103</v>
      </c>
      <c r="C90" t="s">
        <v>32</v>
      </c>
      <c r="D90" t="s">
        <v>182</v>
      </c>
      <c r="E90" t="s">
        <v>796</v>
      </c>
      <c r="F90" t="s">
        <v>797</v>
      </c>
      <c r="G90" t="s">
        <v>107</v>
      </c>
      <c r="H90" t="s">
        <v>108</v>
      </c>
      <c r="I90" t="s">
        <v>109</v>
      </c>
      <c r="J90" t="s">
        <v>61</v>
      </c>
      <c r="K90" t="s">
        <v>798</v>
      </c>
      <c r="L90" t="s">
        <v>112</v>
      </c>
      <c r="M90" t="s">
        <v>799</v>
      </c>
      <c r="N90" s="23">
        <v>45985.333333333343</v>
      </c>
      <c r="O90" s="23">
        <v>45986.660416666673</v>
      </c>
      <c r="R90" t="s">
        <v>143</v>
      </c>
      <c r="S90" t="s">
        <v>800</v>
      </c>
      <c r="T90" t="s">
        <v>131</v>
      </c>
      <c r="U90" t="s">
        <v>801</v>
      </c>
      <c r="V90" t="s">
        <v>8</v>
      </c>
      <c r="W90" t="s">
        <v>120</v>
      </c>
      <c r="X90" t="s">
        <v>504</v>
      </c>
      <c r="Y90" s="24">
        <v>1</v>
      </c>
      <c r="Z90" s="24">
        <v>1</v>
      </c>
      <c r="AA90" s="24">
        <v>1</v>
      </c>
      <c r="AB90" s="24">
        <v>11251</v>
      </c>
      <c r="AC90" s="24">
        <v>126317</v>
      </c>
      <c r="AD90" s="24">
        <v>57415</v>
      </c>
      <c r="AE90" s="24">
        <v>194983</v>
      </c>
    </row>
    <row r="91" spans="1:31">
      <c r="A91" t="s">
        <v>61</v>
      </c>
      <c r="B91" t="s">
        <v>103</v>
      </c>
      <c r="C91" t="s">
        <v>32</v>
      </c>
      <c r="D91" t="s">
        <v>182</v>
      </c>
      <c r="E91" t="s">
        <v>802</v>
      </c>
      <c r="F91" t="s">
        <v>803</v>
      </c>
      <c r="G91" t="s">
        <v>107</v>
      </c>
      <c r="H91" t="s">
        <v>108</v>
      </c>
      <c r="I91" t="s">
        <v>109</v>
      </c>
      <c r="J91" t="s">
        <v>61</v>
      </c>
      <c r="K91" t="s">
        <v>804</v>
      </c>
      <c r="L91" t="s">
        <v>112</v>
      </c>
      <c r="M91" t="s">
        <v>805</v>
      </c>
      <c r="N91" s="23">
        <v>45985.333333333343</v>
      </c>
      <c r="O91" s="23">
        <v>45986.679166666669</v>
      </c>
      <c r="R91" t="s">
        <v>143</v>
      </c>
      <c r="S91" t="s">
        <v>800</v>
      </c>
      <c r="T91" t="s">
        <v>131</v>
      </c>
      <c r="U91" t="s">
        <v>806</v>
      </c>
      <c r="V91" t="s">
        <v>8</v>
      </c>
      <c r="W91" t="s">
        <v>120</v>
      </c>
      <c r="X91" t="s">
        <v>504</v>
      </c>
      <c r="Y91" s="24">
        <v>1</v>
      </c>
      <c r="Z91" s="24">
        <v>1</v>
      </c>
      <c r="AA91" s="24">
        <v>1</v>
      </c>
      <c r="AB91" s="24">
        <v>11251</v>
      </c>
      <c r="AC91" s="24">
        <v>126317</v>
      </c>
      <c r="AD91" s="24">
        <v>57415</v>
      </c>
      <c r="AE91" s="24">
        <v>194983</v>
      </c>
    </row>
    <row r="92" spans="1:31">
      <c r="A92" t="s">
        <v>39</v>
      </c>
      <c r="B92" t="s">
        <v>295</v>
      </c>
      <c r="C92" t="s">
        <v>40</v>
      </c>
      <c r="D92" t="s">
        <v>807</v>
      </c>
      <c r="E92" t="s">
        <v>808</v>
      </c>
      <c r="F92" t="s">
        <v>809</v>
      </c>
      <c r="G92" t="s">
        <v>107</v>
      </c>
      <c r="H92" t="s">
        <v>108</v>
      </c>
      <c r="I92" t="s">
        <v>295</v>
      </c>
      <c r="J92" t="s">
        <v>810</v>
      </c>
      <c r="K92" t="s">
        <v>811</v>
      </c>
      <c r="L92" t="s">
        <v>112</v>
      </c>
      <c r="M92" t="s">
        <v>812</v>
      </c>
      <c r="N92" s="23">
        <v>45985.333333333343</v>
      </c>
      <c r="O92" s="23">
        <v>45986.422222222223</v>
      </c>
      <c r="R92" t="s">
        <v>129</v>
      </c>
      <c r="S92" t="s">
        <v>813</v>
      </c>
      <c r="T92" t="s">
        <v>131</v>
      </c>
      <c r="V92" t="s">
        <v>146</v>
      </c>
      <c r="W92" t="s">
        <v>120</v>
      </c>
      <c r="X92" t="s">
        <v>767</v>
      </c>
      <c r="Y92" s="24">
        <v>0</v>
      </c>
      <c r="Z92" s="24">
        <v>0</v>
      </c>
      <c r="AA92" s="24">
        <v>2</v>
      </c>
      <c r="AB92" s="24">
        <v>0</v>
      </c>
      <c r="AC92" s="24">
        <v>0</v>
      </c>
      <c r="AD92" s="24">
        <v>110808</v>
      </c>
      <c r="AE92" s="24">
        <v>221616</v>
      </c>
    </row>
    <row r="93" spans="1:31">
      <c r="A93" t="s">
        <v>52</v>
      </c>
      <c r="B93" t="s">
        <v>154</v>
      </c>
      <c r="C93" t="s">
        <v>44</v>
      </c>
      <c r="D93" t="s">
        <v>337</v>
      </c>
      <c r="E93" t="s">
        <v>814</v>
      </c>
      <c r="F93" t="s">
        <v>815</v>
      </c>
      <c r="G93" t="s">
        <v>107</v>
      </c>
      <c r="H93" t="s">
        <v>108</v>
      </c>
      <c r="I93" t="s">
        <v>340</v>
      </c>
      <c r="J93" t="s">
        <v>52</v>
      </c>
      <c r="K93" t="s">
        <v>816</v>
      </c>
      <c r="L93" t="s">
        <v>112</v>
      </c>
      <c r="M93" t="s">
        <v>817</v>
      </c>
      <c r="N93" s="23">
        <v>45985.333333333343</v>
      </c>
      <c r="O93" s="23">
        <v>45986.718055555553</v>
      </c>
      <c r="R93" t="s">
        <v>143</v>
      </c>
      <c r="S93" t="s">
        <v>818</v>
      </c>
      <c r="T93" t="s">
        <v>131</v>
      </c>
      <c r="U93" t="s">
        <v>819</v>
      </c>
      <c r="V93" t="s">
        <v>8</v>
      </c>
      <c r="W93" t="s">
        <v>120</v>
      </c>
      <c r="X93" t="s">
        <v>359</v>
      </c>
      <c r="Y93" s="24">
        <v>1</v>
      </c>
      <c r="Z93" s="24">
        <v>1</v>
      </c>
      <c r="AA93" s="24">
        <v>1</v>
      </c>
      <c r="AB93" s="24">
        <v>11251</v>
      </c>
      <c r="AC93" s="24">
        <v>126317</v>
      </c>
      <c r="AD93" s="24">
        <v>57415</v>
      </c>
      <c r="AE93" s="24">
        <v>194983</v>
      </c>
    </row>
    <row r="94" spans="1:31">
      <c r="A94" t="s">
        <v>43</v>
      </c>
      <c r="B94" t="s">
        <v>154</v>
      </c>
      <c r="C94" t="s">
        <v>44</v>
      </c>
      <c r="D94" t="s">
        <v>387</v>
      </c>
      <c r="E94" t="s">
        <v>820</v>
      </c>
      <c r="F94" t="s">
        <v>821</v>
      </c>
      <c r="G94" t="s">
        <v>107</v>
      </c>
      <c r="H94" t="s">
        <v>108</v>
      </c>
      <c r="I94" t="s">
        <v>390</v>
      </c>
      <c r="J94" t="s">
        <v>43</v>
      </c>
      <c r="K94" t="s">
        <v>822</v>
      </c>
      <c r="L94" t="s">
        <v>112</v>
      </c>
      <c r="M94" t="s">
        <v>823</v>
      </c>
      <c r="N94" s="23">
        <v>45985.333333333343</v>
      </c>
      <c r="O94" s="23">
        <v>45985.492361111108</v>
      </c>
      <c r="R94" t="s">
        <v>143</v>
      </c>
      <c r="S94" t="s">
        <v>824</v>
      </c>
      <c r="T94" t="s">
        <v>131</v>
      </c>
      <c r="U94" t="s">
        <v>825</v>
      </c>
      <c r="V94" t="s">
        <v>8</v>
      </c>
      <c r="W94" t="s">
        <v>120</v>
      </c>
      <c r="X94" t="s">
        <v>548</v>
      </c>
      <c r="Y94" s="24">
        <v>1</v>
      </c>
      <c r="Z94" s="24">
        <v>1</v>
      </c>
      <c r="AA94" s="24">
        <v>1</v>
      </c>
      <c r="AB94" s="24">
        <v>11251</v>
      </c>
      <c r="AC94" s="24">
        <v>126317</v>
      </c>
      <c r="AD94" s="24">
        <v>57415</v>
      </c>
      <c r="AE94" s="24">
        <v>194983</v>
      </c>
    </row>
    <row r="95" spans="1:31">
      <c r="A95" t="s">
        <v>43</v>
      </c>
      <c r="B95" t="s">
        <v>154</v>
      </c>
      <c r="C95" t="s">
        <v>44</v>
      </c>
      <c r="D95" t="s">
        <v>387</v>
      </c>
      <c r="E95" t="s">
        <v>826</v>
      </c>
      <c r="F95" t="s">
        <v>827</v>
      </c>
      <c r="G95" t="s">
        <v>107</v>
      </c>
      <c r="H95" t="s">
        <v>108</v>
      </c>
      <c r="I95" t="s">
        <v>390</v>
      </c>
      <c r="J95" t="s">
        <v>43</v>
      </c>
      <c r="K95" t="s">
        <v>828</v>
      </c>
      <c r="L95" t="s">
        <v>112</v>
      </c>
      <c r="M95" t="s">
        <v>829</v>
      </c>
      <c r="N95" s="23">
        <v>45985.333333333343</v>
      </c>
      <c r="O95" s="23">
        <v>45985.487500000003</v>
      </c>
      <c r="R95" t="s">
        <v>143</v>
      </c>
      <c r="S95" t="s">
        <v>830</v>
      </c>
      <c r="T95" t="s">
        <v>131</v>
      </c>
      <c r="U95" t="s">
        <v>831</v>
      </c>
      <c r="V95" t="s">
        <v>8</v>
      </c>
      <c r="W95" t="s">
        <v>120</v>
      </c>
      <c r="X95" t="s">
        <v>832</v>
      </c>
      <c r="Y95" s="24">
        <v>1</v>
      </c>
      <c r="Z95" s="24">
        <v>1</v>
      </c>
      <c r="AA95" s="24">
        <v>1</v>
      </c>
      <c r="AB95" s="24">
        <v>11251</v>
      </c>
      <c r="AC95" s="24">
        <v>126317</v>
      </c>
      <c r="AD95" s="24">
        <v>57415</v>
      </c>
      <c r="AE95" s="24">
        <v>194983</v>
      </c>
    </row>
    <row r="96" spans="1:31">
      <c r="A96" t="s">
        <v>47</v>
      </c>
      <c r="B96" t="s">
        <v>135</v>
      </c>
      <c r="C96" t="s">
        <v>48</v>
      </c>
      <c r="D96" t="s">
        <v>833</v>
      </c>
      <c r="E96" t="s">
        <v>834</v>
      </c>
      <c r="F96" t="s">
        <v>835</v>
      </c>
      <c r="G96" t="s">
        <v>107</v>
      </c>
      <c r="H96" t="s">
        <v>108</v>
      </c>
      <c r="I96" t="s">
        <v>423</v>
      </c>
      <c r="J96" t="s">
        <v>836</v>
      </c>
      <c r="K96" t="s">
        <v>837</v>
      </c>
      <c r="L96" t="s">
        <v>112</v>
      </c>
      <c r="M96" t="s">
        <v>838</v>
      </c>
      <c r="N96" s="23">
        <v>45985.333333333343</v>
      </c>
      <c r="O96" s="23">
        <v>45986.68472222222</v>
      </c>
      <c r="R96" t="s">
        <v>143</v>
      </c>
      <c r="S96" t="s">
        <v>839</v>
      </c>
      <c r="T96" t="s">
        <v>131</v>
      </c>
      <c r="U96" t="s">
        <v>840</v>
      </c>
      <c r="V96" t="s">
        <v>249</v>
      </c>
      <c r="W96" t="s">
        <v>120</v>
      </c>
      <c r="X96" t="s">
        <v>435</v>
      </c>
      <c r="Y96" s="24">
        <v>1</v>
      </c>
      <c r="Z96" s="24">
        <v>1</v>
      </c>
      <c r="AA96" s="24">
        <v>1</v>
      </c>
      <c r="AB96" s="24">
        <v>11251</v>
      </c>
      <c r="AC96" s="24">
        <v>126317</v>
      </c>
      <c r="AD96" s="24">
        <v>110808</v>
      </c>
      <c r="AE96" s="24">
        <v>248376</v>
      </c>
    </row>
    <row r="97" spans="1:31">
      <c r="A97" t="s">
        <v>72</v>
      </c>
      <c r="B97" t="s">
        <v>404</v>
      </c>
      <c r="C97" t="s">
        <v>54</v>
      </c>
      <c r="D97" t="s">
        <v>841</v>
      </c>
      <c r="E97" t="s">
        <v>842</v>
      </c>
      <c r="F97" t="s">
        <v>843</v>
      </c>
      <c r="G97" t="s">
        <v>107</v>
      </c>
      <c r="H97" t="s">
        <v>108</v>
      </c>
      <c r="I97" t="s">
        <v>844</v>
      </c>
      <c r="J97" t="s">
        <v>72</v>
      </c>
      <c r="K97" t="s">
        <v>845</v>
      </c>
      <c r="L97" t="s">
        <v>112</v>
      </c>
      <c r="M97" t="s">
        <v>846</v>
      </c>
      <c r="N97" s="23">
        <v>45985.333333333343</v>
      </c>
      <c r="O97" s="23">
        <v>45986.713194444441</v>
      </c>
      <c r="R97" t="s">
        <v>143</v>
      </c>
      <c r="S97" t="s">
        <v>847</v>
      </c>
      <c r="T97" t="s">
        <v>131</v>
      </c>
      <c r="U97" t="s">
        <v>848</v>
      </c>
      <c r="V97" t="s">
        <v>8</v>
      </c>
      <c r="W97" t="s">
        <v>120</v>
      </c>
      <c r="X97" t="s">
        <v>849</v>
      </c>
      <c r="Y97" s="24">
        <v>1</v>
      </c>
      <c r="Z97" s="24">
        <v>1</v>
      </c>
      <c r="AA97" s="24">
        <v>1</v>
      </c>
      <c r="AB97" s="24">
        <v>11251</v>
      </c>
      <c r="AC97" s="24">
        <v>126317</v>
      </c>
      <c r="AD97" s="24">
        <v>57415</v>
      </c>
      <c r="AE97" s="24">
        <v>194983</v>
      </c>
    </row>
    <row r="98" spans="1:31">
      <c r="A98" t="s">
        <v>64</v>
      </c>
      <c r="B98" t="s">
        <v>135</v>
      </c>
      <c r="C98" t="s">
        <v>48</v>
      </c>
      <c r="D98" t="s">
        <v>850</v>
      </c>
      <c r="E98" t="s">
        <v>851</v>
      </c>
      <c r="F98" t="s">
        <v>852</v>
      </c>
      <c r="G98" t="s">
        <v>107</v>
      </c>
      <c r="H98" t="s">
        <v>108</v>
      </c>
      <c r="I98" t="s">
        <v>168</v>
      </c>
      <c r="J98" t="s">
        <v>853</v>
      </c>
      <c r="K98" t="s">
        <v>854</v>
      </c>
      <c r="L98" t="s">
        <v>112</v>
      </c>
      <c r="M98" t="s">
        <v>855</v>
      </c>
      <c r="N98" s="23">
        <v>45985.333333333343</v>
      </c>
      <c r="O98" s="23">
        <v>45987.5</v>
      </c>
      <c r="R98" t="s">
        <v>143</v>
      </c>
      <c r="S98" t="s">
        <v>856</v>
      </c>
      <c r="T98" t="s">
        <v>131</v>
      </c>
      <c r="U98" t="s">
        <v>857</v>
      </c>
      <c r="V98" t="s">
        <v>119</v>
      </c>
      <c r="W98" t="s">
        <v>120</v>
      </c>
      <c r="X98" t="s">
        <v>174</v>
      </c>
      <c r="Y98" s="24">
        <v>1</v>
      </c>
      <c r="Z98" s="24">
        <v>1</v>
      </c>
      <c r="AA98" s="24">
        <v>1</v>
      </c>
      <c r="AB98" s="24">
        <v>11251</v>
      </c>
      <c r="AC98" s="24">
        <v>126317</v>
      </c>
      <c r="AD98" s="24">
        <v>110808</v>
      </c>
      <c r="AE98" s="24">
        <v>248376</v>
      </c>
    </row>
    <row r="99" spans="1:31">
      <c r="A99" t="s">
        <v>39</v>
      </c>
      <c r="B99" t="s">
        <v>295</v>
      </c>
      <c r="C99" t="s">
        <v>40</v>
      </c>
      <c r="D99" t="s">
        <v>468</v>
      </c>
      <c r="E99" t="s">
        <v>858</v>
      </c>
      <c r="F99" t="s">
        <v>859</v>
      </c>
      <c r="G99" t="s">
        <v>107</v>
      </c>
      <c r="H99" t="s">
        <v>108</v>
      </c>
      <c r="I99" t="s">
        <v>295</v>
      </c>
      <c r="J99" t="s">
        <v>39</v>
      </c>
      <c r="K99" t="s">
        <v>860</v>
      </c>
      <c r="L99" t="s">
        <v>112</v>
      </c>
      <c r="M99" t="s">
        <v>861</v>
      </c>
      <c r="N99" s="23">
        <v>45985.333333333343</v>
      </c>
      <c r="O99" s="23">
        <v>45986.724999999999</v>
      </c>
      <c r="R99" t="s">
        <v>143</v>
      </c>
      <c r="S99" t="s">
        <v>862</v>
      </c>
      <c r="T99" t="s">
        <v>131</v>
      </c>
      <c r="U99" t="s">
        <v>863</v>
      </c>
      <c r="V99" t="s">
        <v>8</v>
      </c>
      <c r="W99" t="s">
        <v>120</v>
      </c>
      <c r="X99" t="s">
        <v>864</v>
      </c>
      <c r="Y99" s="24">
        <v>1</v>
      </c>
      <c r="Z99" s="24">
        <v>1</v>
      </c>
      <c r="AA99" s="24">
        <v>1</v>
      </c>
      <c r="AB99" s="24">
        <v>11251</v>
      </c>
      <c r="AC99" s="24">
        <v>126317</v>
      </c>
      <c r="AD99" s="24">
        <v>57415</v>
      </c>
      <c r="AE99" s="24">
        <v>194983</v>
      </c>
    </row>
    <row r="100" spans="1:31">
      <c r="A100" t="s">
        <v>39</v>
      </c>
      <c r="B100" t="s">
        <v>295</v>
      </c>
      <c r="C100" t="s">
        <v>40</v>
      </c>
      <c r="D100" t="s">
        <v>468</v>
      </c>
      <c r="E100" t="s">
        <v>865</v>
      </c>
      <c r="F100" t="s">
        <v>866</v>
      </c>
      <c r="G100" t="s">
        <v>107</v>
      </c>
      <c r="H100" t="s">
        <v>484</v>
      </c>
      <c r="I100" t="s">
        <v>295</v>
      </c>
      <c r="J100" t="s">
        <v>39</v>
      </c>
      <c r="K100" t="s">
        <v>867</v>
      </c>
      <c r="L100" t="s">
        <v>112</v>
      </c>
      <c r="M100" t="s">
        <v>868</v>
      </c>
      <c r="N100" s="23">
        <v>45988.333333333343</v>
      </c>
      <c r="O100" s="23">
        <v>45989.711111111108</v>
      </c>
      <c r="R100" t="s">
        <v>869</v>
      </c>
      <c r="S100" t="s">
        <v>870</v>
      </c>
      <c r="T100" t="s">
        <v>131</v>
      </c>
      <c r="U100" t="s">
        <v>871</v>
      </c>
      <c r="V100" t="s">
        <v>8</v>
      </c>
      <c r="W100" t="s">
        <v>120</v>
      </c>
      <c r="X100" t="s">
        <v>872</v>
      </c>
      <c r="Y100" s="24">
        <v>1</v>
      </c>
      <c r="Z100" s="24">
        <v>1</v>
      </c>
      <c r="AA100" s="24">
        <v>1</v>
      </c>
      <c r="AB100" s="24">
        <v>11251</v>
      </c>
      <c r="AC100" s="24">
        <v>126317</v>
      </c>
      <c r="AD100" s="24">
        <v>57415</v>
      </c>
      <c r="AE100" s="24">
        <v>194980</v>
      </c>
    </row>
    <row r="101" spans="1:31">
      <c r="A101" t="s">
        <v>61</v>
      </c>
      <c r="B101" t="s">
        <v>103</v>
      </c>
      <c r="C101" t="s">
        <v>32</v>
      </c>
      <c r="D101" t="s">
        <v>182</v>
      </c>
      <c r="E101" t="s">
        <v>873</v>
      </c>
      <c r="F101" t="s">
        <v>874</v>
      </c>
      <c r="G101" t="s">
        <v>107</v>
      </c>
      <c r="H101" t="s">
        <v>108</v>
      </c>
      <c r="I101" t="s">
        <v>109</v>
      </c>
      <c r="J101" t="s">
        <v>61</v>
      </c>
      <c r="K101" t="s">
        <v>875</v>
      </c>
      <c r="L101" t="s">
        <v>112</v>
      </c>
      <c r="M101" t="s">
        <v>876</v>
      </c>
      <c r="N101" s="23">
        <v>45988.333333333343</v>
      </c>
      <c r="O101" s="23">
        <v>45988.572916666657</v>
      </c>
      <c r="R101" t="s">
        <v>143</v>
      </c>
      <c r="S101" t="s">
        <v>877</v>
      </c>
      <c r="T101" t="s">
        <v>131</v>
      </c>
      <c r="U101" t="s">
        <v>878</v>
      </c>
      <c r="V101" t="s">
        <v>8</v>
      </c>
      <c r="W101" t="s">
        <v>120</v>
      </c>
      <c r="X101" t="s">
        <v>504</v>
      </c>
      <c r="Y101" s="24">
        <v>1</v>
      </c>
      <c r="Z101" s="24">
        <v>1</v>
      </c>
      <c r="AA101" s="24">
        <v>1</v>
      </c>
      <c r="AB101" s="24">
        <v>11251</v>
      </c>
      <c r="AC101" s="24">
        <v>126317</v>
      </c>
      <c r="AD101" s="24">
        <v>57415</v>
      </c>
      <c r="AE101" s="24">
        <v>194983</v>
      </c>
    </row>
    <row r="102" spans="1:31">
      <c r="A102" t="s">
        <v>61</v>
      </c>
      <c r="B102" t="s">
        <v>103</v>
      </c>
      <c r="C102" t="s">
        <v>32</v>
      </c>
      <c r="D102" t="s">
        <v>182</v>
      </c>
      <c r="E102" t="s">
        <v>879</v>
      </c>
      <c r="F102" t="s">
        <v>880</v>
      </c>
      <c r="G102" t="s">
        <v>107</v>
      </c>
      <c r="H102" t="s">
        <v>108</v>
      </c>
      <c r="I102" t="s">
        <v>109</v>
      </c>
      <c r="J102" t="s">
        <v>61</v>
      </c>
      <c r="K102" t="s">
        <v>881</v>
      </c>
      <c r="L102" t="s">
        <v>112</v>
      </c>
      <c r="M102" t="s">
        <v>882</v>
      </c>
      <c r="N102" s="23">
        <v>45988.333333333343</v>
      </c>
      <c r="O102" s="23">
        <v>45988.578472222223</v>
      </c>
      <c r="R102" t="s">
        <v>143</v>
      </c>
      <c r="S102" t="s">
        <v>883</v>
      </c>
      <c r="T102" t="s">
        <v>131</v>
      </c>
      <c r="U102" t="s">
        <v>884</v>
      </c>
      <c r="V102" t="s">
        <v>8</v>
      </c>
      <c r="W102" t="s">
        <v>120</v>
      </c>
      <c r="X102" t="s">
        <v>250</v>
      </c>
      <c r="Y102" s="24">
        <v>1</v>
      </c>
      <c r="Z102" s="24">
        <v>1</v>
      </c>
      <c r="AA102" s="24">
        <v>1</v>
      </c>
      <c r="AB102" s="24">
        <v>11251</v>
      </c>
      <c r="AC102" s="24">
        <v>126317</v>
      </c>
      <c r="AD102" s="24">
        <v>57415</v>
      </c>
      <c r="AE102" s="24">
        <v>194983</v>
      </c>
    </row>
    <row r="103" spans="1:31">
      <c r="A103" t="s">
        <v>61</v>
      </c>
      <c r="B103" t="s">
        <v>103</v>
      </c>
      <c r="C103" t="s">
        <v>32</v>
      </c>
      <c r="D103" t="s">
        <v>182</v>
      </c>
      <c r="E103" t="s">
        <v>885</v>
      </c>
      <c r="F103" t="s">
        <v>886</v>
      </c>
      <c r="G103" t="s">
        <v>107</v>
      </c>
      <c r="H103" t="s">
        <v>108</v>
      </c>
      <c r="I103" t="s">
        <v>109</v>
      </c>
      <c r="J103" t="s">
        <v>61</v>
      </c>
      <c r="K103" t="s">
        <v>887</v>
      </c>
      <c r="L103" t="s">
        <v>112</v>
      </c>
      <c r="M103" t="s">
        <v>888</v>
      </c>
      <c r="N103" s="23">
        <v>45988.333333333343</v>
      </c>
      <c r="O103" s="23">
        <v>45988.724305555559</v>
      </c>
      <c r="R103" t="s">
        <v>143</v>
      </c>
      <c r="S103" t="s">
        <v>883</v>
      </c>
      <c r="T103" t="s">
        <v>131</v>
      </c>
      <c r="U103" t="s">
        <v>889</v>
      </c>
      <c r="V103" t="s">
        <v>8</v>
      </c>
      <c r="W103" t="s">
        <v>120</v>
      </c>
      <c r="X103" t="s">
        <v>250</v>
      </c>
      <c r="Y103" s="24">
        <v>1</v>
      </c>
      <c r="Z103" s="24">
        <v>1</v>
      </c>
      <c r="AA103" s="24">
        <v>1</v>
      </c>
      <c r="AB103" s="24">
        <v>11251</v>
      </c>
      <c r="AC103" s="24">
        <v>126317</v>
      </c>
      <c r="AD103" s="24">
        <v>57415</v>
      </c>
      <c r="AE103" s="24">
        <v>194983</v>
      </c>
    </row>
    <row r="104" spans="1:31">
      <c r="A104" t="s">
        <v>61</v>
      </c>
      <c r="B104" t="s">
        <v>103</v>
      </c>
      <c r="C104" t="s">
        <v>32</v>
      </c>
      <c r="D104" t="s">
        <v>890</v>
      </c>
      <c r="E104" t="s">
        <v>891</v>
      </c>
      <c r="F104" t="s">
        <v>892</v>
      </c>
      <c r="G104" t="s">
        <v>107</v>
      </c>
      <c r="H104" t="s">
        <v>108</v>
      </c>
      <c r="I104" t="s">
        <v>109</v>
      </c>
      <c r="J104" t="s">
        <v>893</v>
      </c>
      <c r="K104" t="s">
        <v>894</v>
      </c>
      <c r="L104" t="s">
        <v>112</v>
      </c>
      <c r="M104" t="s">
        <v>895</v>
      </c>
      <c r="N104" s="23">
        <v>45988.333333333343</v>
      </c>
      <c r="O104" s="23">
        <v>45989.630555555559</v>
      </c>
      <c r="R104" t="s">
        <v>143</v>
      </c>
      <c r="S104" t="s">
        <v>896</v>
      </c>
      <c r="T104" t="s">
        <v>131</v>
      </c>
      <c r="U104" t="s">
        <v>897</v>
      </c>
      <c r="V104" t="s">
        <v>119</v>
      </c>
      <c r="W104" t="s">
        <v>120</v>
      </c>
      <c r="X104" t="s">
        <v>898</v>
      </c>
      <c r="Y104" s="24">
        <v>1</v>
      </c>
      <c r="Z104" s="24">
        <v>1</v>
      </c>
      <c r="AA104" s="24">
        <v>1</v>
      </c>
      <c r="AB104" s="24">
        <v>11251</v>
      </c>
      <c r="AC104" s="24">
        <v>126317</v>
      </c>
      <c r="AD104" s="24">
        <v>110808</v>
      </c>
      <c r="AE104" s="24">
        <v>248376</v>
      </c>
    </row>
    <row r="105" spans="1:31">
      <c r="A105" t="s">
        <v>61</v>
      </c>
      <c r="B105" t="s">
        <v>103</v>
      </c>
      <c r="C105" t="s">
        <v>32</v>
      </c>
      <c r="D105" t="s">
        <v>899</v>
      </c>
      <c r="E105" t="s">
        <v>900</v>
      </c>
      <c r="F105" t="s">
        <v>901</v>
      </c>
      <c r="G105" t="s">
        <v>107</v>
      </c>
      <c r="H105" t="s">
        <v>108</v>
      </c>
      <c r="I105" t="s">
        <v>109</v>
      </c>
      <c r="J105" t="s">
        <v>902</v>
      </c>
      <c r="K105" t="s">
        <v>903</v>
      </c>
      <c r="L105" t="s">
        <v>112</v>
      </c>
      <c r="M105" t="s">
        <v>904</v>
      </c>
      <c r="N105" s="23">
        <v>45988.333333333343</v>
      </c>
      <c r="O105" s="23">
        <v>45989.636111111111</v>
      </c>
      <c r="R105" t="s">
        <v>143</v>
      </c>
      <c r="S105" t="s">
        <v>905</v>
      </c>
      <c r="T105" t="s">
        <v>131</v>
      </c>
      <c r="U105" t="s">
        <v>906</v>
      </c>
      <c r="V105" t="s">
        <v>249</v>
      </c>
      <c r="W105" t="s">
        <v>120</v>
      </c>
      <c r="X105" t="s">
        <v>218</v>
      </c>
      <c r="Y105" s="24">
        <v>1</v>
      </c>
      <c r="Z105" s="24">
        <v>1</v>
      </c>
      <c r="AA105" s="24">
        <v>1</v>
      </c>
      <c r="AB105" s="24">
        <v>11251</v>
      </c>
      <c r="AC105" s="24">
        <v>126317</v>
      </c>
      <c r="AD105" s="24">
        <v>110808</v>
      </c>
      <c r="AE105" s="24">
        <v>248376</v>
      </c>
    </row>
    <row r="106" spans="1:31">
      <c r="A106" t="s">
        <v>61</v>
      </c>
      <c r="B106" t="s">
        <v>103</v>
      </c>
      <c r="C106" t="s">
        <v>32</v>
      </c>
      <c r="D106" t="s">
        <v>907</v>
      </c>
      <c r="E106" t="s">
        <v>908</v>
      </c>
      <c r="F106" t="s">
        <v>909</v>
      </c>
      <c r="G106" t="s">
        <v>107</v>
      </c>
      <c r="H106" t="s">
        <v>108</v>
      </c>
      <c r="I106" t="s">
        <v>109</v>
      </c>
      <c r="J106" t="s">
        <v>910</v>
      </c>
      <c r="K106" t="s">
        <v>911</v>
      </c>
      <c r="L106" t="s">
        <v>112</v>
      </c>
      <c r="M106" t="s">
        <v>912</v>
      </c>
      <c r="N106" s="23">
        <v>45988.333333333343</v>
      </c>
      <c r="O106" s="23">
        <v>45989.576388888891</v>
      </c>
      <c r="R106" t="s">
        <v>143</v>
      </c>
      <c r="S106" t="s">
        <v>913</v>
      </c>
      <c r="T106" t="s">
        <v>131</v>
      </c>
      <c r="U106" t="s">
        <v>914</v>
      </c>
      <c r="V106" t="s">
        <v>249</v>
      </c>
      <c r="W106" t="s">
        <v>120</v>
      </c>
      <c r="X106" t="s">
        <v>205</v>
      </c>
      <c r="Y106" s="24">
        <v>1</v>
      </c>
      <c r="Z106" s="24">
        <v>1</v>
      </c>
      <c r="AA106" s="24">
        <v>1</v>
      </c>
      <c r="AB106" s="24">
        <v>11251</v>
      </c>
      <c r="AC106" s="24">
        <v>126317</v>
      </c>
      <c r="AD106" s="24">
        <v>110808</v>
      </c>
      <c r="AE106" s="24">
        <v>248376</v>
      </c>
    </row>
    <row r="107" spans="1:31">
      <c r="A107" t="s">
        <v>35</v>
      </c>
      <c r="B107" t="s">
        <v>284</v>
      </c>
      <c r="C107" t="s">
        <v>36</v>
      </c>
      <c r="D107" t="s">
        <v>915</v>
      </c>
      <c r="E107" t="s">
        <v>916</v>
      </c>
      <c r="F107" t="s">
        <v>917</v>
      </c>
      <c r="G107" t="s">
        <v>107</v>
      </c>
      <c r="H107" t="s">
        <v>108</v>
      </c>
      <c r="I107" t="s">
        <v>918</v>
      </c>
      <c r="J107" t="s">
        <v>35</v>
      </c>
      <c r="K107" t="s">
        <v>919</v>
      </c>
      <c r="L107" t="s">
        <v>112</v>
      </c>
      <c r="M107" t="s">
        <v>920</v>
      </c>
      <c r="N107" s="23">
        <v>45988.333333333343</v>
      </c>
      <c r="O107" s="23">
        <v>45988.743055555547</v>
      </c>
      <c r="R107" t="s">
        <v>143</v>
      </c>
      <c r="S107" t="s">
        <v>921</v>
      </c>
      <c r="T107" t="s">
        <v>131</v>
      </c>
      <c r="U107" t="s">
        <v>922</v>
      </c>
      <c r="V107" t="s">
        <v>8</v>
      </c>
      <c r="W107" t="s">
        <v>120</v>
      </c>
      <c r="X107" t="s">
        <v>923</v>
      </c>
      <c r="Y107" s="24">
        <v>1</v>
      </c>
      <c r="Z107" s="24">
        <v>1</v>
      </c>
      <c r="AA107" s="24">
        <v>1</v>
      </c>
      <c r="AB107" s="24">
        <v>11251</v>
      </c>
      <c r="AC107" s="24">
        <v>126317</v>
      </c>
      <c r="AD107" s="24">
        <v>57415</v>
      </c>
      <c r="AE107" s="24">
        <v>194983</v>
      </c>
    </row>
    <row r="108" spans="1:31">
      <c r="A108" t="s">
        <v>35</v>
      </c>
      <c r="B108" t="s">
        <v>284</v>
      </c>
      <c r="C108" t="s">
        <v>36</v>
      </c>
      <c r="D108" t="s">
        <v>915</v>
      </c>
      <c r="E108" t="s">
        <v>924</v>
      </c>
      <c r="F108" t="s">
        <v>925</v>
      </c>
      <c r="G108" t="s">
        <v>107</v>
      </c>
      <c r="H108" t="s">
        <v>108</v>
      </c>
      <c r="I108" t="s">
        <v>918</v>
      </c>
      <c r="J108" t="s">
        <v>35</v>
      </c>
      <c r="K108" t="s">
        <v>926</v>
      </c>
      <c r="L108" t="s">
        <v>112</v>
      </c>
      <c r="M108" t="s">
        <v>927</v>
      </c>
      <c r="N108" s="23">
        <v>45988.333333333343</v>
      </c>
      <c r="O108" s="23">
        <v>45988.618055555547</v>
      </c>
      <c r="R108" t="s">
        <v>143</v>
      </c>
      <c r="S108" t="s">
        <v>928</v>
      </c>
      <c r="T108" t="s">
        <v>131</v>
      </c>
      <c r="U108" t="s">
        <v>929</v>
      </c>
      <c r="V108" t="s">
        <v>8</v>
      </c>
      <c r="W108" t="s">
        <v>120</v>
      </c>
      <c r="X108" t="s">
        <v>923</v>
      </c>
      <c r="Y108" s="24">
        <v>1</v>
      </c>
      <c r="Z108" s="24">
        <v>1</v>
      </c>
      <c r="AA108" s="24">
        <v>1</v>
      </c>
      <c r="AB108" s="24">
        <v>11251</v>
      </c>
      <c r="AC108" s="24">
        <v>126317</v>
      </c>
      <c r="AD108" s="24">
        <v>57415</v>
      </c>
      <c r="AE108" s="24">
        <v>194983</v>
      </c>
    </row>
    <row r="109" spans="1:31">
      <c r="A109" t="s">
        <v>51</v>
      </c>
      <c r="B109" t="s">
        <v>284</v>
      </c>
      <c r="C109" t="s">
        <v>36</v>
      </c>
      <c r="D109" t="s">
        <v>930</v>
      </c>
      <c r="E109" t="s">
        <v>931</v>
      </c>
      <c r="F109" t="s">
        <v>932</v>
      </c>
      <c r="G109" t="s">
        <v>107</v>
      </c>
      <c r="H109" t="s">
        <v>108</v>
      </c>
      <c r="I109" t="s">
        <v>254</v>
      </c>
      <c r="J109" t="s">
        <v>933</v>
      </c>
      <c r="K109" t="s">
        <v>934</v>
      </c>
      <c r="L109" t="s">
        <v>112</v>
      </c>
      <c r="M109" t="s">
        <v>935</v>
      </c>
      <c r="N109" s="23">
        <v>45988.333333333343</v>
      </c>
      <c r="O109" s="23">
        <v>45989.569444444453</v>
      </c>
      <c r="R109" t="s">
        <v>143</v>
      </c>
      <c r="S109" t="s">
        <v>936</v>
      </c>
      <c r="T109" t="s">
        <v>131</v>
      </c>
      <c r="U109" t="s">
        <v>937</v>
      </c>
      <c r="V109" t="s">
        <v>249</v>
      </c>
      <c r="W109" t="s">
        <v>120</v>
      </c>
      <c r="X109" t="s">
        <v>938</v>
      </c>
      <c r="Y109" s="24">
        <v>1</v>
      </c>
      <c r="Z109" s="24">
        <v>1</v>
      </c>
      <c r="AA109" s="24">
        <v>1</v>
      </c>
      <c r="AB109" s="24">
        <v>11251</v>
      </c>
      <c r="AC109" s="24">
        <v>126317</v>
      </c>
      <c r="AD109" s="24">
        <v>110808</v>
      </c>
      <c r="AE109" s="24">
        <v>248376</v>
      </c>
    </row>
    <row r="110" spans="1:31">
      <c r="A110" t="s">
        <v>58</v>
      </c>
      <c r="B110" t="s">
        <v>135</v>
      </c>
      <c r="C110" t="s">
        <v>59</v>
      </c>
      <c r="D110" t="s">
        <v>939</v>
      </c>
      <c r="E110" t="s">
        <v>940</v>
      </c>
      <c r="F110" t="s">
        <v>941</v>
      </c>
      <c r="G110" t="s">
        <v>107</v>
      </c>
      <c r="H110" t="s">
        <v>108</v>
      </c>
      <c r="I110" t="s">
        <v>633</v>
      </c>
      <c r="J110" t="s">
        <v>58</v>
      </c>
      <c r="K110" t="s">
        <v>942</v>
      </c>
      <c r="L110" t="s">
        <v>112</v>
      </c>
      <c r="M110" t="s">
        <v>943</v>
      </c>
      <c r="N110" s="23">
        <v>45988.333333333343</v>
      </c>
      <c r="O110" s="23">
        <v>45989.559027777781</v>
      </c>
      <c r="R110" t="s">
        <v>143</v>
      </c>
      <c r="S110" t="s">
        <v>944</v>
      </c>
      <c r="T110" t="s">
        <v>131</v>
      </c>
      <c r="U110" t="s">
        <v>945</v>
      </c>
      <c r="V110" t="s">
        <v>8</v>
      </c>
      <c r="W110" t="s">
        <v>120</v>
      </c>
      <c r="X110" t="s">
        <v>946</v>
      </c>
      <c r="Y110" s="24">
        <v>1</v>
      </c>
      <c r="Z110" s="24">
        <v>1</v>
      </c>
      <c r="AA110" s="24">
        <v>1</v>
      </c>
      <c r="AB110" s="24">
        <v>11251</v>
      </c>
      <c r="AC110" s="24">
        <v>126317</v>
      </c>
      <c r="AD110" s="24">
        <v>57415</v>
      </c>
      <c r="AE110" s="24">
        <v>194983</v>
      </c>
    </row>
    <row r="111" spans="1:31">
      <c r="A111" t="s">
        <v>58</v>
      </c>
      <c r="B111" t="s">
        <v>135</v>
      </c>
      <c r="C111" t="s">
        <v>59</v>
      </c>
      <c r="D111" t="s">
        <v>939</v>
      </c>
      <c r="E111" t="s">
        <v>947</v>
      </c>
      <c r="F111" t="s">
        <v>948</v>
      </c>
      <c r="G111" t="s">
        <v>107</v>
      </c>
      <c r="H111" t="s">
        <v>108</v>
      </c>
      <c r="I111" t="s">
        <v>633</v>
      </c>
      <c r="J111" t="s">
        <v>58</v>
      </c>
      <c r="K111" t="s">
        <v>949</v>
      </c>
      <c r="L111" t="s">
        <v>112</v>
      </c>
      <c r="M111" t="s">
        <v>950</v>
      </c>
      <c r="N111" s="23">
        <v>45988.333333333343</v>
      </c>
      <c r="O111" s="23">
        <v>45989.738888888889</v>
      </c>
      <c r="R111" t="s">
        <v>143</v>
      </c>
      <c r="S111" t="s">
        <v>944</v>
      </c>
      <c r="T111" t="s">
        <v>131</v>
      </c>
      <c r="U111" t="s">
        <v>951</v>
      </c>
      <c r="V111" t="s">
        <v>8</v>
      </c>
      <c r="W111" t="s">
        <v>120</v>
      </c>
      <c r="X111" t="s">
        <v>946</v>
      </c>
      <c r="Y111" s="24">
        <v>1</v>
      </c>
      <c r="Z111" s="24">
        <v>1</v>
      </c>
      <c r="AA111" s="24">
        <v>1</v>
      </c>
      <c r="AB111" s="24">
        <v>11251</v>
      </c>
      <c r="AC111" s="24">
        <v>126317</v>
      </c>
      <c r="AD111" s="24">
        <v>57415</v>
      </c>
      <c r="AE111" s="24">
        <v>194983</v>
      </c>
    </row>
    <row r="112" spans="1:31">
      <c r="A112" t="s">
        <v>67</v>
      </c>
      <c r="B112" t="s">
        <v>284</v>
      </c>
      <c r="C112" t="s">
        <v>36</v>
      </c>
      <c r="D112" t="s">
        <v>952</v>
      </c>
      <c r="E112" t="s">
        <v>953</v>
      </c>
      <c r="F112" t="s">
        <v>954</v>
      </c>
      <c r="G112" t="s">
        <v>107</v>
      </c>
      <c r="H112" t="s">
        <v>108</v>
      </c>
      <c r="I112" t="s">
        <v>308</v>
      </c>
      <c r="J112" t="s">
        <v>955</v>
      </c>
      <c r="K112" t="s">
        <v>956</v>
      </c>
      <c r="L112" t="s">
        <v>112</v>
      </c>
      <c r="M112" t="s">
        <v>957</v>
      </c>
      <c r="N112" s="23">
        <v>45988.333333333343</v>
      </c>
      <c r="O112" s="23">
        <v>45989.67291666667</v>
      </c>
      <c r="R112" t="s">
        <v>143</v>
      </c>
      <c r="S112" t="s">
        <v>958</v>
      </c>
      <c r="T112" t="s">
        <v>131</v>
      </c>
      <c r="U112" t="s">
        <v>959</v>
      </c>
      <c r="V112" t="s">
        <v>119</v>
      </c>
      <c r="W112" t="s">
        <v>120</v>
      </c>
      <c r="X112" t="s">
        <v>960</v>
      </c>
      <c r="Y112" s="24">
        <v>1</v>
      </c>
      <c r="Z112" s="24">
        <v>1</v>
      </c>
      <c r="AA112" s="24">
        <v>1</v>
      </c>
      <c r="AB112" s="24">
        <v>11251</v>
      </c>
      <c r="AC112" s="24">
        <v>126317</v>
      </c>
      <c r="AD112" s="24">
        <v>110808</v>
      </c>
      <c r="AE112" s="24">
        <v>248376</v>
      </c>
    </row>
    <row r="113" spans="1:31">
      <c r="A113" t="s">
        <v>43</v>
      </c>
      <c r="B113" t="s">
        <v>154</v>
      </c>
      <c r="C113" t="s">
        <v>44</v>
      </c>
      <c r="D113" t="s">
        <v>387</v>
      </c>
      <c r="E113" t="s">
        <v>961</v>
      </c>
      <c r="F113" t="s">
        <v>962</v>
      </c>
      <c r="G113" t="s">
        <v>107</v>
      </c>
      <c r="H113" t="s">
        <v>108</v>
      </c>
      <c r="I113" t="s">
        <v>390</v>
      </c>
      <c r="J113" t="s">
        <v>43</v>
      </c>
      <c r="K113" t="s">
        <v>963</v>
      </c>
      <c r="L113" t="s">
        <v>112</v>
      </c>
      <c r="M113" t="s">
        <v>964</v>
      </c>
      <c r="N113" s="23">
        <v>45988.333333333343</v>
      </c>
      <c r="O113" s="23">
        <v>45989.5</v>
      </c>
      <c r="R113" t="s">
        <v>143</v>
      </c>
      <c r="S113" t="s">
        <v>965</v>
      </c>
      <c r="T113" t="s">
        <v>131</v>
      </c>
      <c r="U113" t="s">
        <v>966</v>
      </c>
      <c r="V113" t="s">
        <v>8</v>
      </c>
      <c r="W113" t="s">
        <v>120</v>
      </c>
      <c r="X113" t="s">
        <v>967</v>
      </c>
      <c r="Y113" s="24">
        <v>1</v>
      </c>
      <c r="Z113" s="24">
        <v>1</v>
      </c>
      <c r="AA113" s="24">
        <v>1</v>
      </c>
      <c r="AB113" s="24">
        <v>11251</v>
      </c>
      <c r="AC113" s="24">
        <v>126317</v>
      </c>
      <c r="AD113" s="24">
        <v>57415</v>
      </c>
      <c r="AE113" s="24">
        <v>194983</v>
      </c>
    </row>
    <row r="114" spans="1:31">
      <c r="A114" t="s">
        <v>57</v>
      </c>
      <c r="B114" t="s">
        <v>404</v>
      </c>
      <c r="C114" t="s">
        <v>54</v>
      </c>
      <c r="D114" t="s">
        <v>405</v>
      </c>
      <c r="E114" t="s">
        <v>968</v>
      </c>
      <c r="F114" t="s">
        <v>969</v>
      </c>
      <c r="G114" t="s">
        <v>107</v>
      </c>
      <c r="H114" t="s">
        <v>108</v>
      </c>
      <c r="I114" t="s">
        <v>408</v>
      </c>
      <c r="J114" t="s">
        <v>57</v>
      </c>
      <c r="K114" t="s">
        <v>970</v>
      </c>
      <c r="L114" t="s">
        <v>112</v>
      </c>
      <c r="M114" t="s">
        <v>971</v>
      </c>
      <c r="N114" s="23">
        <v>45988.333333333343</v>
      </c>
      <c r="O114" s="23">
        <v>45988.693749999999</v>
      </c>
      <c r="R114" t="s">
        <v>143</v>
      </c>
      <c r="S114" t="s">
        <v>972</v>
      </c>
      <c r="T114" t="s">
        <v>131</v>
      </c>
      <c r="U114" t="s">
        <v>973</v>
      </c>
      <c r="V114" t="s">
        <v>8</v>
      </c>
      <c r="W114" t="s">
        <v>120</v>
      </c>
      <c r="X114" t="s">
        <v>413</v>
      </c>
      <c r="Y114" s="24">
        <v>1</v>
      </c>
      <c r="Z114" s="24">
        <v>1</v>
      </c>
      <c r="AA114" s="24">
        <v>1</v>
      </c>
      <c r="AB114" s="24">
        <v>11251</v>
      </c>
      <c r="AC114" s="24">
        <v>126317</v>
      </c>
      <c r="AD114" s="24">
        <v>57415</v>
      </c>
      <c r="AE114" s="24">
        <v>194983</v>
      </c>
    </row>
    <row r="115" spans="1:31">
      <c r="A115" t="s">
        <v>57</v>
      </c>
      <c r="B115" t="s">
        <v>404</v>
      </c>
      <c r="C115" t="s">
        <v>54</v>
      </c>
      <c r="D115" t="s">
        <v>405</v>
      </c>
      <c r="E115" t="s">
        <v>974</v>
      </c>
      <c r="F115" t="s">
        <v>975</v>
      </c>
      <c r="G115" t="s">
        <v>107</v>
      </c>
      <c r="H115" t="s">
        <v>108</v>
      </c>
      <c r="I115" t="s">
        <v>408</v>
      </c>
      <c r="J115" t="s">
        <v>57</v>
      </c>
      <c r="K115" t="s">
        <v>976</v>
      </c>
      <c r="L115" t="s">
        <v>112</v>
      </c>
      <c r="M115" t="s">
        <v>977</v>
      </c>
      <c r="N115" s="23">
        <v>45988.333333333343</v>
      </c>
      <c r="O115" s="23">
        <v>45988.682638888888</v>
      </c>
      <c r="R115" t="s">
        <v>143</v>
      </c>
      <c r="S115" t="s">
        <v>978</v>
      </c>
      <c r="T115" t="s">
        <v>131</v>
      </c>
      <c r="U115" t="s">
        <v>979</v>
      </c>
      <c r="V115" t="s">
        <v>8</v>
      </c>
      <c r="W115" t="s">
        <v>120</v>
      </c>
      <c r="X115" t="s">
        <v>980</v>
      </c>
      <c r="Y115" s="24">
        <v>1</v>
      </c>
      <c r="Z115" s="24">
        <v>1</v>
      </c>
      <c r="AA115" s="24">
        <v>1</v>
      </c>
      <c r="AB115" s="24">
        <v>11251</v>
      </c>
      <c r="AC115" s="24">
        <v>126317</v>
      </c>
      <c r="AD115" s="24">
        <v>57415</v>
      </c>
      <c r="AE115" s="24">
        <v>194983</v>
      </c>
    </row>
    <row r="116" spans="1:31">
      <c r="A116" t="s">
        <v>57</v>
      </c>
      <c r="B116" t="s">
        <v>404</v>
      </c>
      <c r="C116" t="s">
        <v>54</v>
      </c>
      <c r="D116" t="s">
        <v>981</v>
      </c>
      <c r="E116" t="s">
        <v>982</v>
      </c>
      <c r="F116" t="s">
        <v>983</v>
      </c>
      <c r="G116" t="s">
        <v>107</v>
      </c>
      <c r="H116" t="s">
        <v>108</v>
      </c>
      <c r="I116" t="s">
        <v>408</v>
      </c>
      <c r="J116" t="s">
        <v>984</v>
      </c>
      <c r="K116" t="s">
        <v>985</v>
      </c>
      <c r="L116" t="s">
        <v>112</v>
      </c>
      <c r="M116" t="s">
        <v>986</v>
      </c>
      <c r="N116" s="23">
        <v>45988.333333333343</v>
      </c>
      <c r="O116" s="23">
        <v>45989.731944444437</v>
      </c>
      <c r="R116" t="s">
        <v>143</v>
      </c>
      <c r="S116" t="s">
        <v>987</v>
      </c>
      <c r="T116" t="s">
        <v>131</v>
      </c>
      <c r="U116" t="s">
        <v>988</v>
      </c>
      <c r="V116" t="s">
        <v>146</v>
      </c>
      <c r="W116" t="s">
        <v>120</v>
      </c>
      <c r="X116" t="s">
        <v>989</v>
      </c>
      <c r="Y116" s="24">
        <v>1</v>
      </c>
      <c r="Z116" s="24">
        <v>1</v>
      </c>
      <c r="AA116" s="24">
        <v>1</v>
      </c>
      <c r="AB116" s="24">
        <v>11251</v>
      </c>
      <c r="AC116" s="24">
        <v>126317</v>
      </c>
      <c r="AD116" s="24">
        <v>110808</v>
      </c>
      <c r="AE116" s="24">
        <v>248376</v>
      </c>
    </row>
    <row r="117" spans="1:31">
      <c r="A117" t="s">
        <v>47</v>
      </c>
      <c r="B117" t="s">
        <v>135</v>
      </c>
      <c r="C117" t="s">
        <v>48</v>
      </c>
      <c r="D117" t="s">
        <v>420</v>
      </c>
      <c r="E117" t="s">
        <v>990</v>
      </c>
      <c r="F117" t="s">
        <v>991</v>
      </c>
      <c r="G117" t="s">
        <v>107</v>
      </c>
      <c r="H117" t="s">
        <v>108</v>
      </c>
      <c r="I117" t="s">
        <v>423</v>
      </c>
      <c r="J117" t="s">
        <v>47</v>
      </c>
      <c r="K117" t="s">
        <v>992</v>
      </c>
      <c r="L117" t="s">
        <v>112</v>
      </c>
      <c r="M117" t="s">
        <v>993</v>
      </c>
      <c r="N117" s="23">
        <v>45988.333333333343</v>
      </c>
      <c r="O117" s="23">
        <v>45989.65347222222</v>
      </c>
      <c r="R117" t="s">
        <v>143</v>
      </c>
      <c r="S117" t="s">
        <v>994</v>
      </c>
      <c r="T117" t="s">
        <v>131</v>
      </c>
      <c r="U117" t="s">
        <v>995</v>
      </c>
      <c r="V117" t="s">
        <v>8</v>
      </c>
      <c r="W117" t="s">
        <v>120</v>
      </c>
      <c r="X117" t="s">
        <v>569</v>
      </c>
      <c r="Y117" s="24">
        <v>1</v>
      </c>
      <c r="Z117" s="24">
        <v>1</v>
      </c>
      <c r="AA117" s="24">
        <v>1</v>
      </c>
      <c r="AB117" s="24">
        <v>11251</v>
      </c>
      <c r="AC117" s="24">
        <v>126317</v>
      </c>
      <c r="AD117" s="24">
        <v>57415</v>
      </c>
      <c r="AE117" s="24">
        <v>194983</v>
      </c>
    </row>
    <row r="118" spans="1:31">
      <c r="A118" t="s">
        <v>47</v>
      </c>
      <c r="B118" t="s">
        <v>135</v>
      </c>
      <c r="C118" t="s">
        <v>48</v>
      </c>
      <c r="D118" t="s">
        <v>996</v>
      </c>
      <c r="E118" t="s">
        <v>997</v>
      </c>
      <c r="F118" t="s">
        <v>998</v>
      </c>
      <c r="G118" t="s">
        <v>107</v>
      </c>
      <c r="H118" t="s">
        <v>108</v>
      </c>
      <c r="I118" t="s">
        <v>423</v>
      </c>
      <c r="J118" t="s">
        <v>999</v>
      </c>
      <c r="K118" t="s">
        <v>1000</v>
      </c>
      <c r="L118" t="s">
        <v>112</v>
      </c>
      <c r="M118" t="s">
        <v>1001</v>
      </c>
      <c r="N118" s="23">
        <v>45988.333333333343</v>
      </c>
      <c r="O118" s="23">
        <v>45988.625694444447</v>
      </c>
      <c r="R118" t="s">
        <v>143</v>
      </c>
      <c r="S118" t="s">
        <v>1002</v>
      </c>
      <c r="T118" t="s">
        <v>131</v>
      </c>
      <c r="U118" t="s">
        <v>1003</v>
      </c>
      <c r="V118" t="s">
        <v>249</v>
      </c>
      <c r="W118" t="s">
        <v>120</v>
      </c>
      <c r="X118" t="s">
        <v>428</v>
      </c>
      <c r="Y118" s="24">
        <v>1</v>
      </c>
      <c r="Z118" s="24">
        <v>1</v>
      </c>
      <c r="AA118" s="24">
        <v>1</v>
      </c>
      <c r="AB118" s="24">
        <v>11251</v>
      </c>
      <c r="AC118" s="24">
        <v>126317</v>
      </c>
      <c r="AD118" s="24">
        <v>110808</v>
      </c>
      <c r="AE118" s="24">
        <v>248376</v>
      </c>
    </row>
    <row r="119" spans="1:31">
      <c r="A119" t="s">
        <v>47</v>
      </c>
      <c r="B119" t="s">
        <v>135</v>
      </c>
      <c r="C119" t="s">
        <v>48</v>
      </c>
      <c r="D119" t="s">
        <v>1004</v>
      </c>
      <c r="E119" t="s">
        <v>1005</v>
      </c>
      <c r="F119" t="s">
        <v>1006</v>
      </c>
      <c r="G119" t="s">
        <v>107</v>
      </c>
      <c r="H119" t="s">
        <v>108</v>
      </c>
      <c r="I119" t="s">
        <v>423</v>
      </c>
      <c r="J119" t="s">
        <v>1007</v>
      </c>
      <c r="K119" t="s">
        <v>1008</v>
      </c>
      <c r="L119" t="s">
        <v>112</v>
      </c>
      <c r="M119" t="s">
        <v>1009</v>
      </c>
      <c r="N119" s="23">
        <v>45988.333333333343</v>
      </c>
      <c r="O119" s="23">
        <v>45988.643055555563</v>
      </c>
      <c r="R119" t="s">
        <v>143</v>
      </c>
      <c r="S119" t="s">
        <v>1010</v>
      </c>
      <c r="T119" t="s">
        <v>131</v>
      </c>
      <c r="U119" t="s">
        <v>1011</v>
      </c>
      <c r="V119" t="s">
        <v>249</v>
      </c>
      <c r="W119" t="s">
        <v>120</v>
      </c>
      <c r="X119" t="s">
        <v>450</v>
      </c>
      <c r="Y119" s="24">
        <v>1</v>
      </c>
      <c r="Z119" s="24">
        <v>1</v>
      </c>
      <c r="AA119" s="24">
        <v>1</v>
      </c>
      <c r="AB119" s="24">
        <v>11251</v>
      </c>
      <c r="AC119" s="24">
        <v>126317</v>
      </c>
      <c r="AD119" s="24">
        <v>110808</v>
      </c>
      <c r="AE119" s="24">
        <v>248376</v>
      </c>
    </row>
    <row r="120" spans="1:31">
      <c r="A120" t="s">
        <v>47</v>
      </c>
      <c r="B120" t="s">
        <v>135</v>
      </c>
      <c r="C120" t="s">
        <v>48</v>
      </c>
      <c r="D120" t="s">
        <v>833</v>
      </c>
      <c r="E120" t="s">
        <v>1012</v>
      </c>
      <c r="F120" t="s">
        <v>1013</v>
      </c>
      <c r="G120" t="s">
        <v>107</v>
      </c>
      <c r="H120" t="s">
        <v>108</v>
      </c>
      <c r="I120" t="s">
        <v>423</v>
      </c>
      <c r="J120" t="s">
        <v>836</v>
      </c>
      <c r="K120" t="s">
        <v>1014</v>
      </c>
      <c r="L120" t="s">
        <v>112</v>
      </c>
      <c r="M120" t="s">
        <v>1015</v>
      </c>
      <c r="N120" s="23">
        <v>45988.333333333343</v>
      </c>
      <c r="O120" s="23">
        <v>45989.688888888893</v>
      </c>
      <c r="R120" t="s">
        <v>143</v>
      </c>
      <c r="S120" t="s">
        <v>1016</v>
      </c>
      <c r="T120" t="s">
        <v>131</v>
      </c>
      <c r="U120" t="s">
        <v>1017</v>
      </c>
      <c r="V120" t="s">
        <v>249</v>
      </c>
      <c r="W120" t="s">
        <v>120</v>
      </c>
      <c r="X120" t="s">
        <v>435</v>
      </c>
      <c r="Y120" s="24">
        <v>1</v>
      </c>
      <c r="Z120" s="24">
        <v>1</v>
      </c>
      <c r="AA120" s="24">
        <v>1</v>
      </c>
      <c r="AB120" s="24">
        <v>11251</v>
      </c>
      <c r="AC120" s="24">
        <v>126317</v>
      </c>
      <c r="AD120" s="24">
        <v>110808</v>
      </c>
      <c r="AE120" s="24">
        <v>248376</v>
      </c>
    </row>
    <row r="121" spans="1:31">
      <c r="A121" t="s">
        <v>65</v>
      </c>
      <c r="B121" t="s">
        <v>135</v>
      </c>
      <c r="C121" t="s">
        <v>59</v>
      </c>
      <c r="D121" t="s">
        <v>1018</v>
      </c>
      <c r="E121" t="s">
        <v>1019</v>
      </c>
      <c r="F121" t="s">
        <v>1020</v>
      </c>
      <c r="G121" t="s">
        <v>107</v>
      </c>
      <c r="H121" t="s">
        <v>108</v>
      </c>
      <c r="I121" t="s">
        <v>423</v>
      </c>
      <c r="J121" t="s">
        <v>1021</v>
      </c>
      <c r="K121" t="s">
        <v>1022</v>
      </c>
      <c r="L121" t="s">
        <v>112</v>
      </c>
      <c r="M121" t="s">
        <v>1023</v>
      </c>
      <c r="N121" s="23">
        <v>45988.333333333343</v>
      </c>
      <c r="O121" s="23">
        <v>45988.584722222222</v>
      </c>
      <c r="R121" t="s">
        <v>143</v>
      </c>
      <c r="S121" t="s">
        <v>1024</v>
      </c>
      <c r="T121" t="s">
        <v>131</v>
      </c>
      <c r="U121" t="s">
        <v>1025</v>
      </c>
      <c r="V121" t="s">
        <v>249</v>
      </c>
      <c r="W121" t="s">
        <v>120</v>
      </c>
      <c r="X121" t="s">
        <v>1026</v>
      </c>
      <c r="Y121" s="24">
        <v>1</v>
      </c>
      <c r="Z121" s="24">
        <v>1</v>
      </c>
      <c r="AA121" s="24">
        <v>1</v>
      </c>
      <c r="AB121" s="24">
        <v>11251</v>
      </c>
      <c r="AC121" s="24">
        <v>126317</v>
      </c>
      <c r="AD121" s="24">
        <v>110808</v>
      </c>
      <c r="AE121" s="24">
        <v>248376</v>
      </c>
    </row>
    <row r="122" spans="1:31">
      <c r="A122" t="s">
        <v>47</v>
      </c>
      <c r="B122" t="s">
        <v>135</v>
      </c>
      <c r="C122" t="s">
        <v>48</v>
      </c>
      <c r="D122" t="s">
        <v>481</v>
      </c>
      <c r="E122" t="s">
        <v>1027</v>
      </c>
      <c r="F122" t="s">
        <v>1028</v>
      </c>
      <c r="G122" t="s">
        <v>107</v>
      </c>
      <c r="H122" t="s">
        <v>108</v>
      </c>
      <c r="I122" t="s">
        <v>423</v>
      </c>
      <c r="J122" t="s">
        <v>485</v>
      </c>
      <c r="K122" t="s">
        <v>1029</v>
      </c>
      <c r="L122" t="s">
        <v>112</v>
      </c>
      <c r="M122" t="s">
        <v>1030</v>
      </c>
      <c r="N122" s="23">
        <v>45988.333333333343</v>
      </c>
      <c r="O122" s="23">
        <v>45988.729861111111</v>
      </c>
      <c r="R122" t="s">
        <v>143</v>
      </c>
      <c r="S122" t="s">
        <v>1031</v>
      </c>
      <c r="T122" t="s">
        <v>131</v>
      </c>
      <c r="U122" t="s">
        <v>1032</v>
      </c>
      <c r="V122" t="s">
        <v>249</v>
      </c>
      <c r="W122" t="s">
        <v>120</v>
      </c>
      <c r="X122" t="s">
        <v>713</v>
      </c>
      <c r="Y122" s="24">
        <v>1</v>
      </c>
      <c r="Z122" s="24">
        <v>1</v>
      </c>
      <c r="AA122" s="24">
        <v>1</v>
      </c>
      <c r="AB122" s="24">
        <v>11251</v>
      </c>
      <c r="AC122" s="24">
        <v>126317</v>
      </c>
      <c r="AD122" s="24">
        <v>110808</v>
      </c>
      <c r="AE122" s="24">
        <v>248376</v>
      </c>
    </row>
    <row r="123" spans="1:31">
      <c r="A123" t="s">
        <v>61</v>
      </c>
      <c r="B123" t="s">
        <v>103</v>
      </c>
      <c r="C123" t="s">
        <v>32</v>
      </c>
      <c r="D123" t="s">
        <v>1033</v>
      </c>
      <c r="E123" t="s">
        <v>1034</v>
      </c>
      <c r="F123" t="s">
        <v>1035</v>
      </c>
      <c r="G123" t="s">
        <v>107</v>
      </c>
      <c r="H123" t="s">
        <v>108</v>
      </c>
      <c r="I123" t="s">
        <v>109</v>
      </c>
      <c r="J123" t="s">
        <v>1036</v>
      </c>
      <c r="K123" t="s">
        <v>1037</v>
      </c>
      <c r="L123" t="s">
        <v>112</v>
      </c>
      <c r="M123" t="s">
        <v>1038</v>
      </c>
      <c r="N123" s="23">
        <v>45988.333333333343</v>
      </c>
      <c r="O123" s="23">
        <v>45989.625</v>
      </c>
      <c r="R123" t="s">
        <v>143</v>
      </c>
      <c r="S123" t="s">
        <v>1039</v>
      </c>
      <c r="T123" t="s">
        <v>131</v>
      </c>
      <c r="U123" t="s">
        <v>1040</v>
      </c>
      <c r="V123" t="s">
        <v>249</v>
      </c>
      <c r="W123" t="s">
        <v>120</v>
      </c>
      <c r="X123" t="s">
        <v>504</v>
      </c>
      <c r="Y123" s="24">
        <v>1</v>
      </c>
      <c r="Z123" s="24">
        <v>1</v>
      </c>
      <c r="AA123" s="24">
        <v>1</v>
      </c>
      <c r="AB123" s="24">
        <v>11251</v>
      </c>
      <c r="AC123" s="24">
        <v>126317</v>
      </c>
      <c r="AD123" s="24">
        <v>110808</v>
      </c>
      <c r="AE123" s="24">
        <v>248376</v>
      </c>
    </row>
    <row r="124" spans="1:31">
      <c r="A124" t="s">
        <v>39</v>
      </c>
      <c r="B124" t="s">
        <v>295</v>
      </c>
      <c r="C124" t="s">
        <v>40</v>
      </c>
      <c r="D124" t="s">
        <v>468</v>
      </c>
      <c r="E124" t="s">
        <v>1041</v>
      </c>
      <c r="F124" t="s">
        <v>1042</v>
      </c>
      <c r="G124" t="s">
        <v>107</v>
      </c>
      <c r="H124" t="s">
        <v>108</v>
      </c>
      <c r="I124" t="s">
        <v>295</v>
      </c>
      <c r="J124" t="s">
        <v>39</v>
      </c>
      <c r="K124" t="s">
        <v>1043</v>
      </c>
      <c r="L124" t="s">
        <v>112</v>
      </c>
      <c r="M124" t="s">
        <v>1044</v>
      </c>
      <c r="N124" s="23">
        <v>45988.333333333343</v>
      </c>
      <c r="O124" s="23">
        <v>45989.59097222222</v>
      </c>
      <c r="R124" t="s">
        <v>143</v>
      </c>
      <c r="S124" t="s">
        <v>1045</v>
      </c>
      <c r="T124" t="s">
        <v>131</v>
      </c>
      <c r="U124" t="s">
        <v>1046</v>
      </c>
      <c r="V124" t="s">
        <v>8</v>
      </c>
      <c r="W124" t="s">
        <v>120</v>
      </c>
      <c r="X124" t="s">
        <v>1047</v>
      </c>
      <c r="Y124" s="24">
        <v>1</v>
      </c>
      <c r="Z124" s="24">
        <v>1</v>
      </c>
      <c r="AA124" s="24">
        <v>1</v>
      </c>
      <c r="AB124" s="24">
        <v>11251</v>
      </c>
      <c r="AC124" s="24">
        <v>126317</v>
      </c>
      <c r="AD124" s="24">
        <v>57415</v>
      </c>
      <c r="AE124" s="24">
        <v>194983</v>
      </c>
    </row>
    <row r="125" spans="1:31">
      <c r="A125" t="s">
        <v>61</v>
      </c>
      <c r="B125" t="s">
        <v>103</v>
      </c>
      <c r="C125" t="s">
        <v>32</v>
      </c>
      <c r="D125" t="s">
        <v>1461</v>
      </c>
      <c r="E125" t="s">
        <v>1459</v>
      </c>
      <c r="F125" t="s">
        <v>1462</v>
      </c>
      <c r="G125" t="s">
        <v>107</v>
      </c>
      <c r="H125" t="s">
        <v>108</v>
      </c>
      <c r="I125" t="s">
        <v>109</v>
      </c>
      <c r="J125" t="s">
        <v>1463</v>
      </c>
      <c r="K125" t="s">
        <v>1464</v>
      </c>
      <c r="L125" t="s">
        <v>112</v>
      </c>
      <c r="M125" t="s">
        <v>1465</v>
      </c>
      <c r="N125" s="23">
        <v>45988.333333333343</v>
      </c>
      <c r="O125" s="23">
        <v>45989.797222222223</v>
      </c>
      <c r="R125" t="s">
        <v>143</v>
      </c>
      <c r="S125" t="s">
        <v>1466</v>
      </c>
      <c r="T125" t="s">
        <v>131</v>
      </c>
      <c r="U125" t="s">
        <v>1467</v>
      </c>
      <c r="V125" t="s">
        <v>249</v>
      </c>
      <c r="W125" t="s">
        <v>120</v>
      </c>
      <c r="X125" t="s">
        <v>218</v>
      </c>
      <c r="Y125" s="24">
        <v>1</v>
      </c>
      <c r="Z125" s="24">
        <v>1</v>
      </c>
      <c r="AA125" s="24">
        <v>1</v>
      </c>
      <c r="AB125" s="24">
        <v>11251</v>
      </c>
      <c r="AC125" s="24">
        <v>126317</v>
      </c>
      <c r="AD125" s="24">
        <v>110808.27512000001</v>
      </c>
      <c r="AE125" s="24">
        <v>248376</v>
      </c>
    </row>
    <row r="126" spans="1:31">
      <c r="A126" t="s">
        <v>47</v>
      </c>
      <c r="B126" t="s">
        <v>135</v>
      </c>
      <c r="C126" t="s">
        <v>48</v>
      </c>
      <c r="D126" t="s">
        <v>420</v>
      </c>
      <c r="E126" t="s">
        <v>1460</v>
      </c>
      <c r="F126" t="s">
        <v>1468</v>
      </c>
      <c r="G126" t="s">
        <v>107</v>
      </c>
      <c r="H126" t="s">
        <v>108</v>
      </c>
      <c r="I126" t="s">
        <v>423</v>
      </c>
      <c r="J126" t="s">
        <v>47</v>
      </c>
      <c r="K126" t="s">
        <v>1469</v>
      </c>
      <c r="L126" t="s">
        <v>112</v>
      </c>
      <c r="M126" t="s">
        <v>1470</v>
      </c>
      <c r="N126" s="23">
        <v>45988.333333333343</v>
      </c>
      <c r="O126" s="23">
        <v>45989.794444444437</v>
      </c>
      <c r="R126" t="s">
        <v>143</v>
      </c>
      <c r="S126" t="s">
        <v>1471</v>
      </c>
      <c r="T126" t="s">
        <v>131</v>
      </c>
      <c r="U126" t="s">
        <v>1472</v>
      </c>
      <c r="V126" t="s">
        <v>8</v>
      </c>
      <c r="W126" t="s">
        <v>120</v>
      </c>
      <c r="X126" t="s">
        <v>569</v>
      </c>
      <c r="Y126" s="24">
        <v>1</v>
      </c>
      <c r="Z126" s="24">
        <v>1</v>
      </c>
      <c r="AA126" s="24">
        <v>1</v>
      </c>
      <c r="AB126" s="24">
        <v>11251</v>
      </c>
      <c r="AC126" s="24">
        <v>126317</v>
      </c>
      <c r="AD126" s="24">
        <v>57415</v>
      </c>
      <c r="AE126" s="24">
        <v>194983</v>
      </c>
    </row>
  </sheetData>
  <conditionalFormatting sqref="E1:E1048576">
    <cfRule type="duplicateValues" dxfId="457"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52"/>
  <sheetViews>
    <sheetView topLeftCell="W1" workbookViewId="0">
      <pane ySplit="1" topLeftCell="A2" activePane="bottomLeft" state="frozen"/>
      <selection activeCell="O1" sqref="O1"/>
      <selection pane="bottomLeft" activeCell="AF1" sqref="AF1:AF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5" customWidth="1"/>
    <col min="8" max="8" width="20" customWidth="1"/>
    <col min="9" max="9" width="24" customWidth="1"/>
    <col min="10" max="10" width="37" customWidth="1"/>
    <col min="11" max="11" width="10" customWidth="1"/>
    <col min="12" max="12" width="31" customWidth="1"/>
    <col min="13" max="13" width="41" customWidth="1"/>
    <col min="14" max="14" width="44" customWidth="1"/>
    <col min="15" max="15" width="11" customWidth="1"/>
    <col min="16" max="16" width="12" customWidth="1"/>
    <col min="17" max="17" width="16" customWidth="1"/>
    <col min="18" max="18" width="14" customWidth="1"/>
    <col min="19" max="19" width="15" customWidth="1"/>
    <col min="20" max="20" width="35" customWidth="1"/>
    <col min="21" max="21" width="26" customWidth="1"/>
    <col min="22" max="22" width="50" customWidth="1"/>
    <col min="23" max="23" width="20" customWidth="1"/>
    <col min="24" max="25" width="14" customWidth="1"/>
    <col min="26" max="26" width="18" customWidth="1"/>
    <col min="27" max="27" width="42" customWidth="1"/>
    <col min="28" max="28" width="16" customWidth="1"/>
    <col min="29" max="29" width="27" customWidth="1"/>
    <col min="30" max="30" width="17" customWidth="1"/>
    <col min="31" max="31" width="24" customWidth="1"/>
    <col min="32" max="32" width="39" customWidth="1"/>
  </cols>
  <sheetData>
    <row r="1" spans="1:32" ht="28.8">
      <c r="A1" s="22" t="s">
        <v>73</v>
      </c>
      <c r="B1" s="22" t="s">
        <v>74</v>
      </c>
      <c r="C1" s="22" t="s">
        <v>75</v>
      </c>
      <c r="D1" s="22" t="s">
        <v>76</v>
      </c>
      <c r="E1" s="22" t="s">
        <v>77</v>
      </c>
      <c r="F1" s="22" t="s">
        <v>78</v>
      </c>
      <c r="G1" s="22" t="s">
        <v>79</v>
      </c>
      <c r="H1" s="22" t="s">
        <v>81</v>
      </c>
      <c r="I1" s="22" t="s">
        <v>27</v>
      </c>
      <c r="J1" s="22" t="s">
        <v>82</v>
      </c>
      <c r="K1" s="22" t="s">
        <v>83</v>
      </c>
      <c r="L1" s="22" t="s">
        <v>84</v>
      </c>
      <c r="M1" s="22" t="s">
        <v>1048</v>
      </c>
      <c r="N1" s="22" t="s">
        <v>1049</v>
      </c>
      <c r="O1" s="22" t="s">
        <v>1050</v>
      </c>
      <c r="P1" s="22" t="s">
        <v>1051</v>
      </c>
      <c r="Q1" s="22" t="s">
        <v>29</v>
      </c>
      <c r="R1" s="22" t="s">
        <v>87</v>
      </c>
      <c r="S1" s="22" t="s">
        <v>88</v>
      </c>
      <c r="T1" s="22" t="s">
        <v>89</v>
      </c>
      <c r="U1" s="22" t="s">
        <v>1052</v>
      </c>
      <c r="V1" s="22" t="s">
        <v>1053</v>
      </c>
      <c r="W1" s="22" t="s">
        <v>91</v>
      </c>
      <c r="X1" s="22" t="s">
        <v>92</v>
      </c>
      <c r="Y1" s="22" t="s">
        <v>93</v>
      </c>
      <c r="Z1" s="22" t="s">
        <v>94</v>
      </c>
      <c r="AA1" s="22" t="s">
        <v>95</v>
      </c>
      <c r="AB1" s="22" t="s">
        <v>1054</v>
      </c>
      <c r="AC1" s="22" t="s">
        <v>1055</v>
      </c>
      <c r="AD1" s="22" t="s">
        <v>1056</v>
      </c>
      <c r="AE1" s="22" t="s">
        <v>1057</v>
      </c>
      <c r="AF1" s="22" t="s">
        <v>102</v>
      </c>
    </row>
    <row r="2" spans="1:32">
      <c r="A2" t="s">
        <v>69</v>
      </c>
      <c r="B2" t="s">
        <v>154</v>
      </c>
      <c r="C2" t="s">
        <v>44</v>
      </c>
      <c r="D2" t="s">
        <v>1058</v>
      </c>
      <c r="E2" s="56">
        <v>2950578</v>
      </c>
      <c r="F2" t="s">
        <v>1059</v>
      </c>
      <c r="G2" t="s">
        <v>1060</v>
      </c>
      <c r="H2" t="s">
        <v>277</v>
      </c>
      <c r="I2" t="s">
        <v>1061</v>
      </c>
      <c r="J2" t="s">
        <v>1062</v>
      </c>
      <c r="K2" t="s">
        <v>112</v>
      </c>
      <c r="L2" t="s">
        <v>1063</v>
      </c>
      <c r="M2" s="23">
        <v>45959.367361111108</v>
      </c>
      <c r="N2" s="23">
        <v>45965.454861111109</v>
      </c>
      <c r="P2" t="s">
        <v>1064</v>
      </c>
      <c r="Q2" t="s">
        <v>1065</v>
      </c>
      <c r="R2" t="s">
        <v>1066</v>
      </c>
      <c r="S2" t="s">
        <v>1066</v>
      </c>
      <c r="T2" t="s">
        <v>143</v>
      </c>
      <c r="U2" t="s">
        <v>1067</v>
      </c>
      <c r="V2" t="s">
        <v>1068</v>
      </c>
      <c r="W2" t="s">
        <v>118</v>
      </c>
      <c r="Y2" t="s">
        <v>249</v>
      </c>
      <c r="Z2" t="s">
        <v>120</v>
      </c>
      <c r="AA2" t="s">
        <v>283</v>
      </c>
      <c r="AB2" s="24">
        <v>0</v>
      </c>
      <c r="AC2" s="24">
        <v>0</v>
      </c>
      <c r="AD2" s="24">
        <v>37905</v>
      </c>
      <c r="AE2" s="24">
        <v>0</v>
      </c>
      <c r="AF2" s="24">
        <v>37905</v>
      </c>
    </row>
    <row r="3" spans="1:32">
      <c r="A3" t="s">
        <v>47</v>
      </c>
      <c r="B3" t="s">
        <v>135</v>
      </c>
      <c r="C3" t="s">
        <v>48</v>
      </c>
      <c r="D3" t="s">
        <v>420</v>
      </c>
      <c r="E3" s="56">
        <v>2952057</v>
      </c>
      <c r="F3" t="s">
        <v>1069</v>
      </c>
      <c r="G3" t="s">
        <v>1060</v>
      </c>
      <c r="H3" t="s">
        <v>423</v>
      </c>
      <c r="I3" t="s">
        <v>47</v>
      </c>
      <c r="J3" t="s">
        <v>1070</v>
      </c>
      <c r="K3" t="s">
        <v>112</v>
      </c>
      <c r="L3" t="s">
        <v>1071</v>
      </c>
      <c r="M3" s="23">
        <v>45959.432638888888</v>
      </c>
      <c r="N3" s="23">
        <v>45965.518055555563</v>
      </c>
      <c r="P3" t="s">
        <v>1064</v>
      </c>
      <c r="Q3" t="s">
        <v>1065</v>
      </c>
      <c r="R3" t="s">
        <v>114</v>
      </c>
      <c r="S3" t="s">
        <v>488</v>
      </c>
      <c r="T3" t="s">
        <v>143</v>
      </c>
      <c r="U3" t="s">
        <v>1072</v>
      </c>
      <c r="V3" t="s">
        <v>1073</v>
      </c>
      <c r="W3" t="s">
        <v>131</v>
      </c>
      <c r="Y3" t="s">
        <v>8</v>
      </c>
      <c r="Z3" t="s">
        <v>120</v>
      </c>
      <c r="AA3" t="s">
        <v>713</v>
      </c>
      <c r="AB3" s="24">
        <v>1</v>
      </c>
      <c r="AC3" s="24">
        <v>1</v>
      </c>
      <c r="AD3" s="24">
        <v>96011</v>
      </c>
      <c r="AE3" s="24">
        <v>57415</v>
      </c>
      <c r="AF3" s="24">
        <v>153426</v>
      </c>
    </row>
    <row r="4" spans="1:32">
      <c r="A4" t="s">
        <v>61</v>
      </c>
      <c r="B4" t="s">
        <v>103</v>
      </c>
      <c r="C4" t="s">
        <v>32</v>
      </c>
      <c r="D4" t="s">
        <v>182</v>
      </c>
      <c r="E4" s="56">
        <v>2952668</v>
      </c>
      <c r="F4" t="s">
        <v>1074</v>
      </c>
      <c r="G4" t="s">
        <v>1060</v>
      </c>
      <c r="H4" t="s">
        <v>109</v>
      </c>
      <c r="I4" t="s">
        <v>61</v>
      </c>
      <c r="J4" t="s">
        <v>1075</v>
      </c>
      <c r="K4" t="s">
        <v>112</v>
      </c>
      <c r="L4" t="s">
        <v>1076</v>
      </c>
      <c r="M4" s="23">
        <v>45959.46875</v>
      </c>
      <c r="N4" s="23">
        <v>45962.535416666673</v>
      </c>
      <c r="P4" t="s">
        <v>1064</v>
      </c>
      <c r="Q4" t="s">
        <v>1065</v>
      </c>
      <c r="R4" t="s">
        <v>1066</v>
      </c>
      <c r="S4" t="s">
        <v>1066</v>
      </c>
      <c r="T4" t="s">
        <v>143</v>
      </c>
      <c r="U4" t="s">
        <v>1072</v>
      </c>
      <c r="V4" t="s">
        <v>1077</v>
      </c>
      <c r="W4" t="s">
        <v>131</v>
      </c>
      <c r="Y4" t="s">
        <v>8</v>
      </c>
      <c r="Z4" t="s">
        <v>120</v>
      </c>
      <c r="AA4" t="s">
        <v>618</v>
      </c>
      <c r="AB4" s="24">
        <v>1</v>
      </c>
      <c r="AC4" s="24">
        <v>1</v>
      </c>
      <c r="AD4" s="24">
        <v>96011</v>
      </c>
      <c r="AE4" s="24">
        <v>57415</v>
      </c>
      <c r="AF4" s="24">
        <v>153426</v>
      </c>
    </row>
    <row r="5" spans="1:32">
      <c r="A5" t="s">
        <v>61</v>
      </c>
      <c r="B5" t="s">
        <v>103</v>
      </c>
      <c r="C5" t="s">
        <v>32</v>
      </c>
      <c r="D5" t="s">
        <v>182</v>
      </c>
      <c r="E5" s="56">
        <v>2952757</v>
      </c>
      <c r="F5" t="s">
        <v>1078</v>
      </c>
      <c r="G5" t="s">
        <v>1060</v>
      </c>
      <c r="H5" t="s">
        <v>109</v>
      </c>
      <c r="I5" t="s">
        <v>61</v>
      </c>
      <c r="J5" t="s">
        <v>1079</v>
      </c>
      <c r="K5" t="s">
        <v>112</v>
      </c>
      <c r="L5" t="s">
        <v>1080</v>
      </c>
      <c r="M5" s="23">
        <v>45959.466666666667</v>
      </c>
      <c r="N5" s="23">
        <v>45965.447222222218</v>
      </c>
      <c r="P5" t="s">
        <v>1064</v>
      </c>
      <c r="Q5" t="s">
        <v>1065</v>
      </c>
      <c r="R5" t="s">
        <v>114</v>
      </c>
      <c r="S5" t="s">
        <v>115</v>
      </c>
      <c r="T5" t="s">
        <v>143</v>
      </c>
      <c r="U5" t="s">
        <v>1072</v>
      </c>
      <c r="V5" t="s">
        <v>1081</v>
      </c>
      <c r="W5" t="s">
        <v>131</v>
      </c>
      <c r="Y5" t="s">
        <v>8</v>
      </c>
      <c r="Z5" t="s">
        <v>120</v>
      </c>
      <c r="AA5" t="s">
        <v>191</v>
      </c>
      <c r="AB5" s="24">
        <v>1</v>
      </c>
      <c r="AC5" s="24">
        <v>1</v>
      </c>
      <c r="AD5" s="24">
        <v>96011</v>
      </c>
      <c r="AE5" s="24">
        <v>57415</v>
      </c>
      <c r="AF5" s="24">
        <v>153426</v>
      </c>
    </row>
    <row r="6" spans="1:32">
      <c r="A6" t="s">
        <v>61</v>
      </c>
      <c r="B6" t="s">
        <v>103</v>
      </c>
      <c r="C6" t="s">
        <v>32</v>
      </c>
      <c r="D6" t="s">
        <v>182</v>
      </c>
      <c r="E6" s="56">
        <v>2954773</v>
      </c>
      <c r="F6" t="s">
        <v>1082</v>
      </c>
      <c r="G6" t="s">
        <v>1060</v>
      </c>
      <c r="H6" t="s">
        <v>109</v>
      </c>
      <c r="I6" t="s">
        <v>61</v>
      </c>
      <c r="J6" t="s">
        <v>1083</v>
      </c>
      <c r="K6" t="s">
        <v>112</v>
      </c>
      <c r="L6" t="s">
        <v>1084</v>
      </c>
      <c r="M6" s="23">
        <v>45959.655555555553</v>
      </c>
      <c r="N6" s="23">
        <v>45962.500694444447</v>
      </c>
      <c r="P6" t="s">
        <v>1064</v>
      </c>
      <c r="Q6" t="s">
        <v>1065</v>
      </c>
      <c r="R6" t="s">
        <v>114</v>
      </c>
      <c r="S6" t="s">
        <v>488</v>
      </c>
      <c r="T6" t="s">
        <v>143</v>
      </c>
      <c r="U6" t="s">
        <v>1072</v>
      </c>
      <c r="V6" t="s">
        <v>1077</v>
      </c>
      <c r="W6" t="s">
        <v>131</v>
      </c>
      <c r="Y6" t="s">
        <v>8</v>
      </c>
      <c r="Z6" t="s">
        <v>120</v>
      </c>
      <c r="AA6" t="s">
        <v>618</v>
      </c>
      <c r="AB6" s="24">
        <v>1</v>
      </c>
      <c r="AC6" s="24">
        <v>1</v>
      </c>
      <c r="AD6" s="24">
        <v>96011</v>
      </c>
      <c r="AE6" s="24">
        <v>57415</v>
      </c>
      <c r="AF6" s="24">
        <v>153426</v>
      </c>
    </row>
    <row r="7" spans="1:32">
      <c r="A7" t="s">
        <v>61</v>
      </c>
      <c r="B7" t="s">
        <v>103</v>
      </c>
      <c r="C7" t="s">
        <v>32</v>
      </c>
      <c r="D7" t="s">
        <v>182</v>
      </c>
      <c r="E7" s="56">
        <v>2954846</v>
      </c>
      <c r="F7" t="s">
        <v>1085</v>
      </c>
      <c r="G7" t="s">
        <v>1060</v>
      </c>
      <c r="H7" t="s">
        <v>109</v>
      </c>
      <c r="I7" t="s">
        <v>61</v>
      </c>
      <c r="J7" t="s">
        <v>1086</v>
      </c>
      <c r="K7" t="s">
        <v>112</v>
      </c>
      <c r="L7" t="s">
        <v>1087</v>
      </c>
      <c r="M7" s="23">
        <v>45959.65347222222</v>
      </c>
      <c r="N7" s="23">
        <v>45962.461111111108</v>
      </c>
      <c r="P7" t="s">
        <v>1064</v>
      </c>
      <c r="Q7" t="s">
        <v>1065</v>
      </c>
      <c r="R7" t="s">
        <v>114</v>
      </c>
      <c r="S7" t="s">
        <v>115</v>
      </c>
      <c r="T7" t="s">
        <v>143</v>
      </c>
      <c r="U7" t="s">
        <v>1067</v>
      </c>
      <c r="V7" t="s">
        <v>1088</v>
      </c>
      <c r="W7" t="s">
        <v>131</v>
      </c>
      <c r="Y7" t="s">
        <v>8</v>
      </c>
      <c r="Z7" t="s">
        <v>120</v>
      </c>
      <c r="AA7" t="s">
        <v>618</v>
      </c>
      <c r="AB7" s="24">
        <v>1</v>
      </c>
      <c r="AC7" s="24">
        <v>2</v>
      </c>
      <c r="AD7" s="24">
        <v>96011</v>
      </c>
      <c r="AE7" s="24">
        <v>57415</v>
      </c>
      <c r="AF7" s="24">
        <v>210841</v>
      </c>
    </row>
    <row r="8" spans="1:32">
      <c r="A8" t="s">
        <v>63</v>
      </c>
      <c r="B8" t="s">
        <v>404</v>
      </c>
      <c r="C8" t="s">
        <v>54</v>
      </c>
      <c r="D8" t="s">
        <v>1089</v>
      </c>
      <c r="E8" s="56">
        <v>2955754</v>
      </c>
      <c r="F8" t="s">
        <v>1090</v>
      </c>
      <c r="G8" t="s">
        <v>1060</v>
      </c>
      <c r="H8" t="s">
        <v>1091</v>
      </c>
      <c r="I8" t="s">
        <v>1092</v>
      </c>
      <c r="J8" t="s">
        <v>1093</v>
      </c>
      <c r="K8" t="s">
        <v>112</v>
      </c>
      <c r="L8" t="s">
        <v>1094</v>
      </c>
      <c r="M8" s="23">
        <v>45959.729166666657</v>
      </c>
      <c r="N8" s="23">
        <v>45965.420138888891</v>
      </c>
      <c r="P8" t="s">
        <v>1064</v>
      </c>
      <c r="Q8" t="s">
        <v>1065</v>
      </c>
      <c r="R8" t="s">
        <v>114</v>
      </c>
      <c r="S8" t="s">
        <v>115</v>
      </c>
      <c r="T8" t="s">
        <v>143</v>
      </c>
      <c r="U8" t="s">
        <v>1072</v>
      </c>
      <c r="V8" t="s">
        <v>1095</v>
      </c>
      <c r="W8" t="s">
        <v>131</v>
      </c>
      <c r="Y8" t="s">
        <v>119</v>
      </c>
      <c r="Z8" t="s">
        <v>120</v>
      </c>
      <c r="AA8" t="s">
        <v>1096</v>
      </c>
      <c r="AB8" s="24">
        <v>1</v>
      </c>
      <c r="AC8" s="24">
        <v>1</v>
      </c>
      <c r="AD8" s="24">
        <v>548634</v>
      </c>
      <c r="AE8" s="24">
        <v>110808</v>
      </c>
      <c r="AF8" s="24">
        <v>659442</v>
      </c>
    </row>
    <row r="9" spans="1:32">
      <c r="A9" t="s">
        <v>52</v>
      </c>
      <c r="B9" t="s">
        <v>154</v>
      </c>
      <c r="C9" t="s">
        <v>44</v>
      </c>
      <c r="D9" t="s">
        <v>1097</v>
      </c>
      <c r="E9" s="56">
        <v>2957434</v>
      </c>
      <c r="F9" t="s">
        <v>1098</v>
      </c>
      <c r="G9" t="s">
        <v>1060</v>
      </c>
      <c r="H9" t="s">
        <v>340</v>
      </c>
      <c r="I9" t="s">
        <v>1099</v>
      </c>
      <c r="J9" t="s">
        <v>1100</v>
      </c>
      <c r="K9" t="s">
        <v>112</v>
      </c>
      <c r="L9" t="s">
        <v>1101</v>
      </c>
      <c r="M9" s="23">
        <v>45960.401388888888</v>
      </c>
      <c r="N9" s="23">
        <v>45966.402083333327</v>
      </c>
      <c r="P9" t="s">
        <v>1064</v>
      </c>
      <c r="Q9" t="s">
        <v>1065</v>
      </c>
      <c r="R9" t="s">
        <v>1066</v>
      </c>
      <c r="S9" t="s">
        <v>1066</v>
      </c>
      <c r="T9" t="s">
        <v>143</v>
      </c>
      <c r="U9" t="s">
        <v>1072</v>
      </c>
      <c r="V9" t="s">
        <v>1102</v>
      </c>
      <c r="W9" t="s">
        <v>131</v>
      </c>
      <c r="Y9" t="s">
        <v>119</v>
      </c>
      <c r="Z9" t="s">
        <v>120</v>
      </c>
      <c r="AA9" t="s">
        <v>832</v>
      </c>
      <c r="AB9" s="24">
        <v>1</v>
      </c>
      <c r="AC9" s="24">
        <v>1</v>
      </c>
      <c r="AD9" s="24">
        <v>548634</v>
      </c>
      <c r="AE9" s="24">
        <v>110808</v>
      </c>
      <c r="AF9" s="24">
        <v>659442</v>
      </c>
    </row>
    <row r="10" spans="1:32">
      <c r="A10" t="s">
        <v>71</v>
      </c>
      <c r="B10" t="s">
        <v>404</v>
      </c>
      <c r="C10" t="s">
        <v>54</v>
      </c>
      <c r="D10" t="s">
        <v>1103</v>
      </c>
      <c r="E10" s="56">
        <v>2960423</v>
      </c>
      <c r="F10" t="s">
        <v>1104</v>
      </c>
      <c r="G10" t="s">
        <v>1060</v>
      </c>
      <c r="H10" t="s">
        <v>681</v>
      </c>
      <c r="I10" t="s">
        <v>1105</v>
      </c>
      <c r="J10" t="s">
        <v>1106</v>
      </c>
      <c r="K10" t="s">
        <v>112</v>
      </c>
      <c r="L10" t="s">
        <v>1107</v>
      </c>
      <c r="M10" s="23">
        <v>45960.661805555559</v>
      </c>
      <c r="N10" s="23">
        <v>45965.478472222218</v>
      </c>
      <c r="P10" t="s">
        <v>1064</v>
      </c>
      <c r="Q10" t="s">
        <v>1065</v>
      </c>
      <c r="R10" t="s">
        <v>1108</v>
      </c>
      <c r="S10" t="s">
        <v>1066</v>
      </c>
      <c r="T10" t="s">
        <v>143</v>
      </c>
      <c r="U10" t="s">
        <v>1072</v>
      </c>
      <c r="V10" t="s">
        <v>1109</v>
      </c>
      <c r="W10" t="s">
        <v>131</v>
      </c>
      <c r="Y10" t="s">
        <v>249</v>
      </c>
      <c r="Z10" t="s">
        <v>120</v>
      </c>
      <c r="AA10" t="s">
        <v>1110</v>
      </c>
      <c r="AB10" s="24">
        <v>1</v>
      </c>
      <c r="AC10" s="24">
        <v>1</v>
      </c>
      <c r="AD10" s="24">
        <v>232859</v>
      </c>
      <c r="AE10" s="24">
        <v>110808</v>
      </c>
      <c r="AF10" s="24">
        <v>343667</v>
      </c>
    </row>
    <row r="11" spans="1:32">
      <c r="A11" t="s">
        <v>39</v>
      </c>
      <c r="B11" t="s">
        <v>295</v>
      </c>
      <c r="C11" t="s">
        <v>40</v>
      </c>
      <c r="D11" t="s">
        <v>1111</v>
      </c>
      <c r="E11" s="56">
        <v>2965563</v>
      </c>
      <c r="F11" t="s">
        <v>1112</v>
      </c>
      <c r="G11" t="s">
        <v>1060</v>
      </c>
      <c r="H11" t="s">
        <v>295</v>
      </c>
      <c r="I11" t="s">
        <v>1113</v>
      </c>
      <c r="J11" t="s">
        <v>1114</v>
      </c>
      <c r="K11" t="s">
        <v>112</v>
      </c>
      <c r="L11" t="s">
        <v>1115</v>
      </c>
      <c r="M11" s="23">
        <v>45961.715277777781</v>
      </c>
      <c r="N11" s="23">
        <v>45965.611805555563</v>
      </c>
      <c r="P11" t="s">
        <v>1064</v>
      </c>
      <c r="Q11" t="s">
        <v>1065</v>
      </c>
      <c r="R11" t="s">
        <v>1066</v>
      </c>
      <c r="S11" t="s">
        <v>1066</v>
      </c>
      <c r="T11" t="s">
        <v>143</v>
      </c>
      <c r="U11" t="s">
        <v>1072</v>
      </c>
      <c r="V11" t="s">
        <v>1116</v>
      </c>
      <c r="W11" t="s">
        <v>131</v>
      </c>
      <c r="Y11" t="s">
        <v>249</v>
      </c>
      <c r="Z11" t="s">
        <v>120</v>
      </c>
      <c r="AA11" t="s">
        <v>1117</v>
      </c>
      <c r="AB11" s="24">
        <v>1</v>
      </c>
      <c r="AC11" s="24">
        <v>1</v>
      </c>
      <c r="AD11" s="24">
        <v>232859</v>
      </c>
      <c r="AE11" s="24">
        <v>110808</v>
      </c>
      <c r="AF11" s="24">
        <v>343667</v>
      </c>
    </row>
    <row r="12" spans="1:32">
      <c r="A12" t="s">
        <v>61</v>
      </c>
      <c r="B12" t="s">
        <v>103</v>
      </c>
      <c r="C12" t="s">
        <v>32</v>
      </c>
      <c r="D12" t="s">
        <v>182</v>
      </c>
      <c r="E12" s="56">
        <v>2965567</v>
      </c>
      <c r="F12" t="s">
        <v>1118</v>
      </c>
      <c r="G12" t="s">
        <v>1060</v>
      </c>
      <c r="H12" t="s">
        <v>109</v>
      </c>
      <c r="I12" t="s">
        <v>61</v>
      </c>
      <c r="J12" t="s">
        <v>1119</v>
      </c>
      <c r="K12" t="s">
        <v>112</v>
      </c>
      <c r="L12" t="s">
        <v>1120</v>
      </c>
      <c r="M12" s="23">
        <v>45961.716666666667</v>
      </c>
      <c r="N12" s="23">
        <v>45966.51666666667</v>
      </c>
      <c r="P12" t="s">
        <v>1064</v>
      </c>
      <c r="Q12" t="s">
        <v>1065</v>
      </c>
      <c r="R12" t="s">
        <v>114</v>
      </c>
      <c r="S12" t="s">
        <v>488</v>
      </c>
      <c r="T12" t="s">
        <v>143</v>
      </c>
      <c r="U12" t="s">
        <v>1072</v>
      </c>
      <c r="V12" t="s">
        <v>1121</v>
      </c>
      <c r="W12" t="s">
        <v>131</v>
      </c>
      <c r="Y12" t="s">
        <v>8</v>
      </c>
      <c r="Z12" t="s">
        <v>120</v>
      </c>
      <c r="AA12" t="s">
        <v>191</v>
      </c>
      <c r="AB12" s="24">
        <v>1</v>
      </c>
      <c r="AC12" s="24">
        <v>1</v>
      </c>
      <c r="AD12" s="24">
        <v>96011</v>
      </c>
      <c r="AE12" s="24">
        <v>57415</v>
      </c>
      <c r="AF12" s="24">
        <v>153426</v>
      </c>
    </row>
    <row r="13" spans="1:32">
      <c r="A13" t="s">
        <v>47</v>
      </c>
      <c r="B13" t="s">
        <v>135</v>
      </c>
      <c r="C13" t="s">
        <v>48</v>
      </c>
      <c r="D13" t="s">
        <v>833</v>
      </c>
      <c r="E13" s="56">
        <v>2967028</v>
      </c>
      <c r="F13" t="s">
        <v>1122</v>
      </c>
      <c r="G13" t="s">
        <v>1060</v>
      </c>
      <c r="H13" t="s">
        <v>423</v>
      </c>
      <c r="I13" t="s">
        <v>836</v>
      </c>
      <c r="J13" t="s">
        <v>1123</v>
      </c>
      <c r="K13" t="s">
        <v>112</v>
      </c>
      <c r="L13" t="s">
        <v>1124</v>
      </c>
      <c r="M13" s="23">
        <v>45965.333333333343</v>
      </c>
      <c r="N13" s="23">
        <v>45965.613888888889</v>
      </c>
      <c r="P13" t="s">
        <v>1064</v>
      </c>
      <c r="Q13" t="s">
        <v>1065</v>
      </c>
      <c r="R13" t="s">
        <v>114</v>
      </c>
      <c r="S13" t="s">
        <v>488</v>
      </c>
      <c r="T13" t="s">
        <v>143</v>
      </c>
      <c r="U13" t="s">
        <v>1072</v>
      </c>
      <c r="V13" t="s">
        <v>1125</v>
      </c>
      <c r="W13" t="s">
        <v>131</v>
      </c>
      <c r="Y13" t="s">
        <v>249</v>
      </c>
      <c r="Z13" t="s">
        <v>120</v>
      </c>
      <c r="AA13" t="s">
        <v>569</v>
      </c>
      <c r="AB13" s="24">
        <v>1</v>
      </c>
      <c r="AC13" s="24">
        <v>1</v>
      </c>
      <c r="AD13" s="24">
        <v>232859</v>
      </c>
      <c r="AE13" s="24">
        <v>110808</v>
      </c>
      <c r="AF13" s="24">
        <v>343667</v>
      </c>
    </row>
    <row r="14" spans="1:32">
      <c r="A14" t="s">
        <v>61</v>
      </c>
      <c r="B14" t="s">
        <v>103</v>
      </c>
      <c r="C14" t="s">
        <v>32</v>
      </c>
      <c r="D14" t="s">
        <v>104</v>
      </c>
      <c r="E14" s="56">
        <v>2967241</v>
      </c>
      <c r="F14" t="s">
        <v>1126</v>
      </c>
      <c r="G14" t="s">
        <v>1060</v>
      </c>
      <c r="H14" t="s">
        <v>109</v>
      </c>
      <c r="I14" t="s">
        <v>110</v>
      </c>
      <c r="J14" t="s">
        <v>1127</v>
      </c>
      <c r="K14" t="s">
        <v>112</v>
      </c>
      <c r="L14" t="s">
        <v>1128</v>
      </c>
      <c r="M14" s="23">
        <v>45965.333333333343</v>
      </c>
      <c r="N14" s="23">
        <v>45972.369444444441</v>
      </c>
      <c r="P14" t="s">
        <v>1064</v>
      </c>
      <c r="Q14" t="s">
        <v>1065</v>
      </c>
      <c r="R14" t="s">
        <v>1108</v>
      </c>
      <c r="S14" t="s">
        <v>1066</v>
      </c>
      <c r="T14" t="s">
        <v>143</v>
      </c>
      <c r="U14" t="s">
        <v>1072</v>
      </c>
      <c r="V14" t="s">
        <v>1129</v>
      </c>
      <c r="W14" t="s">
        <v>131</v>
      </c>
      <c r="Y14" t="s">
        <v>119</v>
      </c>
      <c r="Z14" t="s">
        <v>120</v>
      </c>
      <c r="AA14" t="s">
        <v>1130</v>
      </c>
      <c r="AB14" s="24">
        <v>1</v>
      </c>
      <c r="AC14" s="24">
        <v>1</v>
      </c>
      <c r="AD14" s="24">
        <v>548634</v>
      </c>
      <c r="AE14" s="24">
        <v>110808</v>
      </c>
      <c r="AF14" s="24">
        <v>659442</v>
      </c>
    </row>
    <row r="15" spans="1:32">
      <c r="A15" t="s">
        <v>57</v>
      </c>
      <c r="B15" t="s">
        <v>404</v>
      </c>
      <c r="C15" t="s">
        <v>54</v>
      </c>
      <c r="D15" t="s">
        <v>405</v>
      </c>
      <c r="E15" s="56">
        <v>2968403</v>
      </c>
      <c r="F15" t="s">
        <v>1131</v>
      </c>
      <c r="G15" t="s">
        <v>1060</v>
      </c>
      <c r="H15" t="s">
        <v>408</v>
      </c>
      <c r="I15" t="s">
        <v>57</v>
      </c>
      <c r="J15" t="s">
        <v>1132</v>
      </c>
      <c r="K15" t="s">
        <v>112</v>
      </c>
      <c r="L15" t="s">
        <v>1133</v>
      </c>
      <c r="M15" s="23">
        <v>45964.62222222222</v>
      </c>
      <c r="N15" s="23">
        <v>45966.666666666657</v>
      </c>
      <c r="P15" t="s">
        <v>1064</v>
      </c>
      <c r="Q15" t="s">
        <v>1065</v>
      </c>
      <c r="R15" t="s">
        <v>1108</v>
      </c>
      <c r="S15" t="s">
        <v>1108</v>
      </c>
      <c r="T15" t="s">
        <v>143</v>
      </c>
      <c r="U15" t="s">
        <v>1072</v>
      </c>
      <c r="V15" t="s">
        <v>1134</v>
      </c>
      <c r="W15" t="s">
        <v>131</v>
      </c>
      <c r="Y15" t="s">
        <v>8</v>
      </c>
      <c r="Z15" t="s">
        <v>120</v>
      </c>
      <c r="AA15" t="s">
        <v>413</v>
      </c>
      <c r="AB15" s="24">
        <v>1</v>
      </c>
      <c r="AC15" s="24">
        <v>1</v>
      </c>
      <c r="AD15" s="24">
        <v>96011</v>
      </c>
      <c r="AE15" s="24">
        <v>57415</v>
      </c>
      <c r="AF15" s="24">
        <v>153426</v>
      </c>
    </row>
    <row r="16" spans="1:32">
      <c r="A16" t="s">
        <v>57</v>
      </c>
      <c r="B16" t="s">
        <v>404</v>
      </c>
      <c r="C16" t="s">
        <v>54</v>
      </c>
      <c r="D16" t="s">
        <v>1135</v>
      </c>
      <c r="E16" s="56">
        <v>2970305</v>
      </c>
      <c r="F16" t="s">
        <v>1136</v>
      </c>
      <c r="G16" t="s">
        <v>1060</v>
      </c>
      <c r="H16" t="s">
        <v>633</v>
      </c>
      <c r="I16" t="s">
        <v>1137</v>
      </c>
      <c r="J16" t="s">
        <v>1138</v>
      </c>
      <c r="K16" t="s">
        <v>112</v>
      </c>
      <c r="L16" t="s">
        <v>1139</v>
      </c>
      <c r="M16" s="23">
        <v>45965.415972222218</v>
      </c>
      <c r="N16" s="23">
        <v>45967.574999999997</v>
      </c>
      <c r="P16" t="s">
        <v>1064</v>
      </c>
      <c r="Q16" t="s">
        <v>1065</v>
      </c>
      <c r="R16" t="s">
        <v>114</v>
      </c>
      <c r="S16" t="s">
        <v>488</v>
      </c>
      <c r="T16" t="s">
        <v>143</v>
      </c>
      <c r="U16" t="s">
        <v>1072</v>
      </c>
      <c r="V16" t="s">
        <v>1140</v>
      </c>
      <c r="W16" t="s">
        <v>131</v>
      </c>
      <c r="Y16" t="s">
        <v>119</v>
      </c>
      <c r="Z16" t="s">
        <v>120</v>
      </c>
      <c r="AA16" t="s">
        <v>980</v>
      </c>
      <c r="AB16" s="24">
        <v>1</v>
      </c>
      <c r="AC16" s="24">
        <v>1</v>
      </c>
      <c r="AD16" s="24">
        <v>548634</v>
      </c>
      <c r="AE16" s="24">
        <v>110808</v>
      </c>
      <c r="AF16" s="24">
        <v>659442</v>
      </c>
    </row>
    <row r="17" spans="1:32">
      <c r="A17" t="s">
        <v>65</v>
      </c>
      <c r="B17" t="s">
        <v>135</v>
      </c>
      <c r="C17" t="s">
        <v>59</v>
      </c>
      <c r="D17" t="s">
        <v>1141</v>
      </c>
      <c r="E17" s="56">
        <v>2971081</v>
      </c>
      <c r="F17" t="s">
        <v>1142</v>
      </c>
      <c r="G17" t="s">
        <v>1060</v>
      </c>
      <c r="H17" t="s">
        <v>380</v>
      </c>
      <c r="I17" t="s">
        <v>65</v>
      </c>
      <c r="J17" t="s">
        <v>1143</v>
      </c>
      <c r="K17" t="s">
        <v>112</v>
      </c>
      <c r="L17" t="s">
        <v>1144</v>
      </c>
      <c r="M17" s="23">
        <v>45965.453472222223</v>
      </c>
      <c r="N17" s="23">
        <v>45967.443749999999</v>
      </c>
      <c r="P17" t="s">
        <v>1064</v>
      </c>
      <c r="Q17" t="s">
        <v>1065</v>
      </c>
      <c r="R17" t="s">
        <v>114</v>
      </c>
      <c r="S17" t="s">
        <v>115</v>
      </c>
      <c r="T17" t="s">
        <v>143</v>
      </c>
      <c r="U17" t="s">
        <v>1072</v>
      </c>
      <c r="V17" t="s">
        <v>1145</v>
      </c>
      <c r="W17" t="s">
        <v>131</v>
      </c>
      <c r="Y17" t="s">
        <v>8</v>
      </c>
      <c r="Z17" t="s">
        <v>120</v>
      </c>
      <c r="AA17" t="s">
        <v>386</v>
      </c>
      <c r="AB17" s="24">
        <v>1</v>
      </c>
      <c r="AC17" s="24">
        <v>1</v>
      </c>
      <c r="AD17" s="24">
        <v>96011</v>
      </c>
      <c r="AE17" s="24">
        <v>57415</v>
      </c>
      <c r="AF17" s="24">
        <v>153426</v>
      </c>
    </row>
    <row r="18" spans="1:32">
      <c r="A18" t="s">
        <v>63</v>
      </c>
      <c r="B18" t="s">
        <v>404</v>
      </c>
      <c r="C18" t="s">
        <v>54</v>
      </c>
      <c r="D18" t="s">
        <v>1146</v>
      </c>
      <c r="E18" s="56">
        <v>2972585</v>
      </c>
      <c r="F18" t="s">
        <v>1147</v>
      </c>
      <c r="G18" t="s">
        <v>1060</v>
      </c>
      <c r="H18" t="s">
        <v>1148</v>
      </c>
      <c r="I18" t="s">
        <v>1149</v>
      </c>
      <c r="J18" t="s">
        <v>1150</v>
      </c>
      <c r="K18" t="s">
        <v>112</v>
      </c>
      <c r="L18" t="s">
        <v>1151</v>
      </c>
      <c r="M18" s="23">
        <v>45965.575694444437</v>
      </c>
      <c r="N18" s="23">
        <v>45969.525000000001</v>
      </c>
      <c r="P18" t="s">
        <v>1064</v>
      </c>
      <c r="Q18" t="s">
        <v>1065</v>
      </c>
      <c r="R18" t="s">
        <v>1066</v>
      </c>
      <c r="S18" t="s">
        <v>1066</v>
      </c>
      <c r="T18" t="s">
        <v>143</v>
      </c>
      <c r="U18" t="s">
        <v>1072</v>
      </c>
      <c r="V18" t="s">
        <v>1152</v>
      </c>
      <c r="W18" t="s">
        <v>131</v>
      </c>
      <c r="Y18" t="s">
        <v>249</v>
      </c>
      <c r="Z18" t="s">
        <v>120</v>
      </c>
      <c r="AA18" t="s">
        <v>1153</v>
      </c>
      <c r="AB18" s="24">
        <v>1</v>
      </c>
      <c r="AC18" s="24">
        <v>1</v>
      </c>
      <c r="AD18" s="24">
        <v>232859</v>
      </c>
      <c r="AE18" s="24">
        <v>110808</v>
      </c>
      <c r="AF18" s="24">
        <v>343667</v>
      </c>
    </row>
    <row r="19" spans="1:32">
      <c r="A19" t="s">
        <v>47</v>
      </c>
      <c r="B19" t="s">
        <v>135</v>
      </c>
      <c r="C19" t="s">
        <v>48</v>
      </c>
      <c r="D19" t="s">
        <v>420</v>
      </c>
      <c r="E19" s="56">
        <v>2980119</v>
      </c>
      <c r="F19" t="s">
        <v>1154</v>
      </c>
      <c r="G19" t="s">
        <v>1060</v>
      </c>
      <c r="H19" t="s">
        <v>423</v>
      </c>
      <c r="I19" t="s">
        <v>47</v>
      </c>
      <c r="J19" t="s">
        <v>1155</v>
      </c>
      <c r="K19" t="s">
        <v>112</v>
      </c>
      <c r="L19" t="s">
        <v>1156</v>
      </c>
      <c r="M19" s="23">
        <v>45966.656944444447</v>
      </c>
      <c r="N19" s="23">
        <v>45969.675694444442</v>
      </c>
      <c r="P19" t="s">
        <v>1064</v>
      </c>
      <c r="Q19" t="s">
        <v>1065</v>
      </c>
      <c r="R19" t="s">
        <v>114</v>
      </c>
      <c r="S19" t="s">
        <v>488</v>
      </c>
      <c r="T19" t="s">
        <v>1157</v>
      </c>
      <c r="U19" t="s">
        <v>1067</v>
      </c>
      <c r="V19" t="s">
        <v>1158</v>
      </c>
      <c r="W19" t="s">
        <v>131</v>
      </c>
      <c r="Y19" t="s">
        <v>8</v>
      </c>
      <c r="Z19" t="s">
        <v>120</v>
      </c>
      <c r="AA19" t="s">
        <v>435</v>
      </c>
      <c r="AB19" s="24">
        <v>1</v>
      </c>
      <c r="AC19" s="24">
        <v>2</v>
      </c>
      <c r="AD19" s="24">
        <v>96011</v>
      </c>
      <c r="AE19" s="24">
        <v>57415</v>
      </c>
      <c r="AF19" s="24">
        <v>210841</v>
      </c>
    </row>
    <row r="20" spans="1:32">
      <c r="A20" t="s">
        <v>47</v>
      </c>
      <c r="B20" t="s">
        <v>135</v>
      </c>
      <c r="C20" t="s">
        <v>48</v>
      </c>
      <c r="D20" t="s">
        <v>420</v>
      </c>
      <c r="E20" s="56">
        <v>2981545</v>
      </c>
      <c r="F20" t="s">
        <v>1159</v>
      </c>
      <c r="G20" t="s">
        <v>1060</v>
      </c>
      <c r="H20" t="s">
        <v>423</v>
      </c>
      <c r="I20" t="s">
        <v>47</v>
      </c>
      <c r="J20" t="s">
        <v>1160</v>
      </c>
      <c r="K20" t="s">
        <v>112</v>
      </c>
      <c r="L20" t="s">
        <v>1161</v>
      </c>
      <c r="M20" s="23">
        <v>45967.333333333343</v>
      </c>
      <c r="N20" s="23">
        <v>45968.500694444447</v>
      </c>
      <c r="P20" t="s">
        <v>1064</v>
      </c>
      <c r="Q20" t="s">
        <v>1065</v>
      </c>
      <c r="R20" t="s">
        <v>1066</v>
      </c>
      <c r="S20" t="s">
        <v>1066</v>
      </c>
      <c r="T20" t="s">
        <v>143</v>
      </c>
      <c r="U20" t="s">
        <v>1072</v>
      </c>
      <c r="V20" t="s">
        <v>1162</v>
      </c>
      <c r="W20" t="s">
        <v>131</v>
      </c>
      <c r="Y20" t="s">
        <v>8</v>
      </c>
      <c r="Z20" t="s">
        <v>120</v>
      </c>
      <c r="AA20" t="s">
        <v>1163</v>
      </c>
      <c r="AB20" s="24">
        <v>1</v>
      </c>
      <c r="AC20" s="24">
        <v>0</v>
      </c>
      <c r="AD20" s="24">
        <v>96011</v>
      </c>
      <c r="AE20" s="24">
        <v>0</v>
      </c>
      <c r="AF20" s="24">
        <v>96011</v>
      </c>
    </row>
    <row r="21" spans="1:32">
      <c r="A21" t="s">
        <v>31</v>
      </c>
      <c r="B21" t="s">
        <v>103</v>
      </c>
      <c r="C21" t="s">
        <v>32</v>
      </c>
      <c r="D21" t="s">
        <v>1164</v>
      </c>
      <c r="E21" s="56">
        <v>2983806</v>
      </c>
      <c r="F21" t="s">
        <v>1165</v>
      </c>
      <c r="G21" t="s">
        <v>1060</v>
      </c>
      <c r="H21" t="s">
        <v>109</v>
      </c>
      <c r="I21" t="s">
        <v>1166</v>
      </c>
      <c r="J21" t="s">
        <v>1167</v>
      </c>
      <c r="K21" t="s">
        <v>112</v>
      </c>
      <c r="L21" t="s">
        <v>1168</v>
      </c>
      <c r="M21" s="23">
        <v>45967.459722222222</v>
      </c>
      <c r="N21" s="23">
        <v>45968.534722222219</v>
      </c>
      <c r="P21" t="s">
        <v>1064</v>
      </c>
      <c r="Q21" t="s">
        <v>1065</v>
      </c>
      <c r="R21" t="s">
        <v>114</v>
      </c>
      <c r="S21" t="s">
        <v>115</v>
      </c>
      <c r="T21" t="s">
        <v>143</v>
      </c>
      <c r="U21" t="s">
        <v>1072</v>
      </c>
      <c r="V21" t="s">
        <v>1169</v>
      </c>
      <c r="W21" t="s">
        <v>131</v>
      </c>
      <c r="Y21" t="s">
        <v>146</v>
      </c>
      <c r="Z21" t="s">
        <v>120</v>
      </c>
      <c r="AA21" t="s">
        <v>134</v>
      </c>
      <c r="AB21" s="24">
        <v>1</v>
      </c>
      <c r="AC21" s="24">
        <v>1</v>
      </c>
      <c r="AD21" s="24">
        <v>344775</v>
      </c>
      <c r="AE21" s="24">
        <v>110808</v>
      </c>
      <c r="AF21" s="24">
        <v>455583</v>
      </c>
    </row>
    <row r="22" spans="1:32">
      <c r="A22" t="s">
        <v>57</v>
      </c>
      <c r="B22" t="s">
        <v>404</v>
      </c>
      <c r="C22" t="s">
        <v>54</v>
      </c>
      <c r="D22" t="s">
        <v>405</v>
      </c>
      <c r="E22" s="56">
        <v>2985079</v>
      </c>
      <c r="F22" t="s">
        <v>1170</v>
      </c>
      <c r="G22" t="s">
        <v>1060</v>
      </c>
      <c r="H22" t="s">
        <v>408</v>
      </c>
      <c r="I22" t="s">
        <v>57</v>
      </c>
      <c r="J22" t="s">
        <v>1171</v>
      </c>
      <c r="K22" t="s">
        <v>112</v>
      </c>
      <c r="L22" t="s">
        <v>1172</v>
      </c>
      <c r="M22" s="23">
        <v>45967.591666666667</v>
      </c>
      <c r="N22" s="23">
        <v>45973.675000000003</v>
      </c>
      <c r="P22" t="s">
        <v>1064</v>
      </c>
      <c r="Q22" t="s">
        <v>1065</v>
      </c>
      <c r="R22" t="s">
        <v>1066</v>
      </c>
      <c r="S22" t="s">
        <v>1066</v>
      </c>
      <c r="T22" t="s">
        <v>1157</v>
      </c>
      <c r="U22" t="s">
        <v>1067</v>
      </c>
      <c r="V22" t="s">
        <v>1173</v>
      </c>
      <c r="W22" t="s">
        <v>131</v>
      </c>
      <c r="Y22" t="s">
        <v>8</v>
      </c>
      <c r="Z22" t="s">
        <v>120</v>
      </c>
      <c r="AA22" t="s">
        <v>980</v>
      </c>
      <c r="AB22" s="24">
        <v>1</v>
      </c>
      <c r="AC22" s="24">
        <v>2</v>
      </c>
      <c r="AD22" s="24">
        <v>96011</v>
      </c>
      <c r="AE22" s="24">
        <v>57415</v>
      </c>
      <c r="AF22" s="24">
        <v>210841</v>
      </c>
    </row>
    <row r="23" spans="1:32">
      <c r="A23" t="s">
        <v>61</v>
      </c>
      <c r="B23" t="s">
        <v>103</v>
      </c>
      <c r="C23" t="s">
        <v>32</v>
      </c>
      <c r="D23" t="s">
        <v>1174</v>
      </c>
      <c r="E23" s="56">
        <v>2985345</v>
      </c>
      <c r="F23" t="s">
        <v>1175</v>
      </c>
      <c r="G23" t="s">
        <v>1060</v>
      </c>
      <c r="H23" t="s">
        <v>109</v>
      </c>
      <c r="I23" t="s">
        <v>1176</v>
      </c>
      <c r="J23" t="s">
        <v>1177</v>
      </c>
      <c r="K23" t="s">
        <v>112</v>
      </c>
      <c r="L23" t="s">
        <v>1178</v>
      </c>
      <c r="M23" s="23">
        <v>45967.603472222218</v>
      </c>
      <c r="N23" s="23">
        <v>45972.619444444441</v>
      </c>
      <c r="P23" t="s">
        <v>1064</v>
      </c>
      <c r="Q23" t="s">
        <v>1065</v>
      </c>
      <c r="R23" t="s">
        <v>1066</v>
      </c>
      <c r="S23" t="s">
        <v>1066</v>
      </c>
      <c r="T23" t="s">
        <v>143</v>
      </c>
      <c r="U23" t="s">
        <v>1072</v>
      </c>
      <c r="V23" t="s">
        <v>1179</v>
      </c>
      <c r="W23" t="s">
        <v>131</v>
      </c>
      <c r="Y23" t="s">
        <v>249</v>
      </c>
      <c r="Z23" t="s">
        <v>120</v>
      </c>
      <c r="AA23" t="s">
        <v>205</v>
      </c>
      <c r="AB23" s="24">
        <v>1</v>
      </c>
      <c r="AC23" s="24">
        <v>1</v>
      </c>
      <c r="AD23" s="24">
        <v>232859</v>
      </c>
      <c r="AE23" s="24">
        <v>110808</v>
      </c>
      <c r="AF23" s="24">
        <v>343667</v>
      </c>
    </row>
    <row r="24" spans="1:32">
      <c r="A24" t="s">
        <v>61</v>
      </c>
      <c r="B24" t="s">
        <v>103</v>
      </c>
      <c r="C24" t="s">
        <v>32</v>
      </c>
      <c r="D24" t="s">
        <v>104</v>
      </c>
      <c r="E24" s="56">
        <v>2985948</v>
      </c>
      <c r="F24" t="s">
        <v>1180</v>
      </c>
      <c r="G24" t="s">
        <v>1060</v>
      </c>
      <c r="H24" t="s">
        <v>109</v>
      </c>
      <c r="I24" t="s">
        <v>110</v>
      </c>
      <c r="J24" t="s">
        <v>1181</v>
      </c>
      <c r="K24" t="s">
        <v>112</v>
      </c>
      <c r="L24" t="s">
        <v>1182</v>
      </c>
      <c r="M24" s="23">
        <v>45967.647222222222</v>
      </c>
      <c r="N24" s="23">
        <v>45972.62222222222</v>
      </c>
      <c r="P24" t="s">
        <v>1064</v>
      </c>
      <c r="Q24" t="s">
        <v>1065</v>
      </c>
      <c r="R24" t="s">
        <v>114</v>
      </c>
      <c r="S24" t="s">
        <v>115</v>
      </c>
      <c r="T24" t="s">
        <v>143</v>
      </c>
      <c r="U24" t="s">
        <v>1072</v>
      </c>
      <c r="V24" t="s">
        <v>1183</v>
      </c>
      <c r="W24" t="s">
        <v>131</v>
      </c>
      <c r="Y24" t="s">
        <v>119</v>
      </c>
      <c r="Z24" t="s">
        <v>120</v>
      </c>
      <c r="AA24" t="s">
        <v>1130</v>
      </c>
      <c r="AB24" s="24">
        <v>1</v>
      </c>
      <c r="AC24" s="24">
        <v>1</v>
      </c>
      <c r="AD24" s="24">
        <v>548634</v>
      </c>
      <c r="AE24" s="24">
        <v>110808</v>
      </c>
      <c r="AF24" s="24">
        <v>659442</v>
      </c>
    </row>
    <row r="25" spans="1:32">
      <c r="A25" t="s">
        <v>61</v>
      </c>
      <c r="B25" t="s">
        <v>103</v>
      </c>
      <c r="C25" t="s">
        <v>32</v>
      </c>
      <c r="D25" t="s">
        <v>1184</v>
      </c>
      <c r="E25" s="56">
        <v>2986071</v>
      </c>
      <c r="F25" t="s">
        <v>1185</v>
      </c>
      <c r="G25" t="s">
        <v>1060</v>
      </c>
      <c r="H25" t="s">
        <v>109</v>
      </c>
      <c r="I25" t="s">
        <v>1186</v>
      </c>
      <c r="J25" t="s">
        <v>1187</v>
      </c>
      <c r="K25" t="s">
        <v>112</v>
      </c>
      <c r="L25" t="s">
        <v>1188</v>
      </c>
      <c r="M25" s="23">
        <v>45967.65347222222</v>
      </c>
      <c r="N25" s="23">
        <v>45973.635416666657</v>
      </c>
      <c r="P25" t="s">
        <v>1064</v>
      </c>
      <c r="Q25" t="s">
        <v>1065</v>
      </c>
      <c r="R25" t="s">
        <v>1066</v>
      </c>
      <c r="S25" t="s">
        <v>1066</v>
      </c>
      <c r="T25" t="s">
        <v>143</v>
      </c>
      <c r="U25" t="s">
        <v>1072</v>
      </c>
      <c r="V25" t="s">
        <v>1189</v>
      </c>
      <c r="W25" t="s">
        <v>131</v>
      </c>
      <c r="Y25" t="s">
        <v>146</v>
      </c>
      <c r="Z25" t="s">
        <v>120</v>
      </c>
      <c r="AA25" t="s">
        <v>218</v>
      </c>
      <c r="AB25" s="24">
        <v>1</v>
      </c>
      <c r="AC25" s="24">
        <v>1</v>
      </c>
      <c r="AD25" s="24">
        <v>344775</v>
      </c>
      <c r="AE25" s="24">
        <v>110808</v>
      </c>
      <c r="AF25" s="24">
        <v>455583</v>
      </c>
    </row>
    <row r="26" spans="1:32">
      <c r="A26" t="s">
        <v>39</v>
      </c>
      <c r="B26" t="s">
        <v>295</v>
      </c>
      <c r="C26" t="s">
        <v>40</v>
      </c>
      <c r="D26" t="s">
        <v>1190</v>
      </c>
      <c r="E26" s="56">
        <v>2986378</v>
      </c>
      <c r="F26" t="s">
        <v>1191</v>
      </c>
      <c r="G26" t="s">
        <v>1060</v>
      </c>
      <c r="H26" t="s">
        <v>295</v>
      </c>
      <c r="I26" t="s">
        <v>1192</v>
      </c>
      <c r="J26" t="s">
        <v>1193</v>
      </c>
      <c r="K26" t="s">
        <v>112</v>
      </c>
      <c r="L26" t="s">
        <v>1194</v>
      </c>
      <c r="M26" s="23">
        <v>45967.677083333343</v>
      </c>
      <c r="N26" s="23">
        <v>45971.666666666657</v>
      </c>
      <c r="P26" t="s">
        <v>1064</v>
      </c>
      <c r="Q26" t="s">
        <v>1065</v>
      </c>
      <c r="R26" t="s">
        <v>1108</v>
      </c>
      <c r="S26" t="s">
        <v>1066</v>
      </c>
      <c r="T26" t="s">
        <v>143</v>
      </c>
      <c r="U26" t="s">
        <v>1072</v>
      </c>
      <c r="V26" t="s">
        <v>1195</v>
      </c>
      <c r="W26" t="s">
        <v>131</v>
      </c>
      <c r="Y26" t="s">
        <v>249</v>
      </c>
      <c r="Z26" t="s">
        <v>120</v>
      </c>
      <c r="AA26" t="s">
        <v>774</v>
      </c>
      <c r="AB26" s="24">
        <v>1</v>
      </c>
      <c r="AC26" s="24">
        <v>1</v>
      </c>
      <c r="AD26" s="24">
        <v>232859</v>
      </c>
      <c r="AE26" s="24">
        <v>110808</v>
      </c>
      <c r="AF26" s="24">
        <v>343667</v>
      </c>
    </row>
    <row r="27" spans="1:32">
      <c r="A27" t="s">
        <v>65</v>
      </c>
      <c r="B27" t="s">
        <v>135</v>
      </c>
      <c r="C27" t="s">
        <v>59</v>
      </c>
      <c r="D27" t="s">
        <v>1196</v>
      </c>
      <c r="E27" s="56">
        <v>2986530</v>
      </c>
      <c r="F27" t="s">
        <v>1197</v>
      </c>
      <c r="G27" t="s">
        <v>1060</v>
      </c>
      <c r="H27" t="s">
        <v>423</v>
      </c>
      <c r="I27" t="s">
        <v>1198</v>
      </c>
      <c r="J27" t="s">
        <v>1199</v>
      </c>
      <c r="K27" t="s">
        <v>112</v>
      </c>
      <c r="L27" t="s">
        <v>1200</v>
      </c>
      <c r="M27" s="23">
        <v>45967.685416666667</v>
      </c>
      <c r="N27" s="23">
        <v>45971.668749999997</v>
      </c>
      <c r="P27" t="s">
        <v>1064</v>
      </c>
      <c r="Q27" t="s">
        <v>1065</v>
      </c>
      <c r="R27" t="s">
        <v>1066</v>
      </c>
      <c r="S27" t="s">
        <v>1066</v>
      </c>
      <c r="T27" t="s">
        <v>1157</v>
      </c>
      <c r="U27" t="s">
        <v>1201</v>
      </c>
      <c r="V27" t="s">
        <v>1202</v>
      </c>
      <c r="W27" t="s">
        <v>131</v>
      </c>
      <c r="Y27" t="s">
        <v>8</v>
      </c>
      <c r="Z27" t="s">
        <v>120</v>
      </c>
      <c r="AA27" t="s">
        <v>1203</v>
      </c>
      <c r="AB27" s="24">
        <v>1</v>
      </c>
      <c r="AC27" s="24">
        <v>2</v>
      </c>
      <c r="AD27" s="24">
        <v>96011</v>
      </c>
      <c r="AE27" s="24">
        <v>57415</v>
      </c>
      <c r="AF27" s="24">
        <v>210841</v>
      </c>
    </row>
    <row r="28" spans="1:32">
      <c r="A28" t="s">
        <v>47</v>
      </c>
      <c r="B28" t="s">
        <v>135</v>
      </c>
      <c r="C28" t="s">
        <v>48</v>
      </c>
      <c r="D28" t="s">
        <v>781</v>
      </c>
      <c r="E28" s="56">
        <v>2988423</v>
      </c>
      <c r="F28" t="s">
        <v>1204</v>
      </c>
      <c r="G28" t="s">
        <v>1060</v>
      </c>
      <c r="H28" t="s">
        <v>784</v>
      </c>
      <c r="I28" t="s">
        <v>66</v>
      </c>
      <c r="J28" t="s">
        <v>1205</v>
      </c>
      <c r="K28" t="s">
        <v>112</v>
      </c>
      <c r="L28" t="s">
        <v>1206</v>
      </c>
      <c r="M28" s="23">
        <v>45968.375</v>
      </c>
      <c r="N28" s="23">
        <v>45971.671527777777</v>
      </c>
      <c r="P28" t="s">
        <v>1064</v>
      </c>
      <c r="Q28" t="s">
        <v>1065</v>
      </c>
      <c r="R28" t="s">
        <v>1108</v>
      </c>
      <c r="S28" t="s">
        <v>1066</v>
      </c>
      <c r="T28" t="s">
        <v>1157</v>
      </c>
      <c r="U28" t="s">
        <v>1067</v>
      </c>
      <c r="V28" t="s">
        <v>1207</v>
      </c>
      <c r="W28" t="s">
        <v>131</v>
      </c>
      <c r="Y28" t="s">
        <v>146</v>
      </c>
      <c r="Z28" t="s">
        <v>120</v>
      </c>
      <c r="AA28" t="s">
        <v>789</v>
      </c>
      <c r="AB28" s="24">
        <v>1</v>
      </c>
      <c r="AC28" s="24">
        <v>2</v>
      </c>
      <c r="AD28" s="24">
        <v>344775</v>
      </c>
      <c r="AE28" s="24">
        <v>110808</v>
      </c>
      <c r="AF28" s="24">
        <v>566391</v>
      </c>
    </row>
    <row r="29" spans="1:32">
      <c r="A29" t="s">
        <v>52</v>
      </c>
      <c r="B29" t="s">
        <v>154</v>
      </c>
      <c r="C29" t="s">
        <v>44</v>
      </c>
      <c r="D29" t="s">
        <v>337</v>
      </c>
      <c r="E29" s="56">
        <v>2988752</v>
      </c>
      <c r="F29" t="s">
        <v>1208</v>
      </c>
      <c r="G29" t="s">
        <v>1060</v>
      </c>
      <c r="H29" t="s">
        <v>340</v>
      </c>
      <c r="I29" t="s">
        <v>52</v>
      </c>
      <c r="J29" t="s">
        <v>1209</v>
      </c>
      <c r="K29" t="s">
        <v>112</v>
      </c>
      <c r="L29" t="s">
        <v>1210</v>
      </c>
      <c r="M29" s="23">
        <v>45968.390972222223</v>
      </c>
      <c r="N29" s="23">
        <v>45972.625694444447</v>
      </c>
      <c r="P29" t="s">
        <v>1064</v>
      </c>
      <c r="Q29" t="s">
        <v>1065</v>
      </c>
      <c r="R29" t="s">
        <v>114</v>
      </c>
      <c r="S29" t="s">
        <v>488</v>
      </c>
      <c r="T29" t="s">
        <v>143</v>
      </c>
      <c r="U29" t="s">
        <v>1072</v>
      </c>
      <c r="V29" t="s">
        <v>1211</v>
      </c>
      <c r="W29" t="s">
        <v>131</v>
      </c>
      <c r="Y29" t="s">
        <v>8</v>
      </c>
      <c r="Z29" t="s">
        <v>120</v>
      </c>
      <c r="AA29" t="s">
        <v>376</v>
      </c>
      <c r="AB29" s="24">
        <v>1</v>
      </c>
      <c r="AC29" s="24">
        <v>1</v>
      </c>
      <c r="AD29" s="24">
        <v>96011</v>
      </c>
      <c r="AE29" s="24">
        <v>57415</v>
      </c>
      <c r="AF29" s="24">
        <v>153426</v>
      </c>
    </row>
    <row r="30" spans="1:32">
      <c r="A30" t="s">
        <v>47</v>
      </c>
      <c r="B30" t="s">
        <v>135</v>
      </c>
      <c r="C30" t="s">
        <v>48</v>
      </c>
      <c r="D30" t="s">
        <v>420</v>
      </c>
      <c r="E30" s="56">
        <v>2990451</v>
      </c>
      <c r="F30" t="s">
        <v>1212</v>
      </c>
      <c r="G30" t="s">
        <v>1060</v>
      </c>
      <c r="H30" t="s">
        <v>423</v>
      </c>
      <c r="I30" t="s">
        <v>47</v>
      </c>
      <c r="J30" t="s">
        <v>1213</v>
      </c>
      <c r="K30" t="s">
        <v>112</v>
      </c>
      <c r="L30" t="s">
        <v>1214</v>
      </c>
      <c r="M30" s="23">
        <v>45968.505555555559</v>
      </c>
      <c r="N30" s="23">
        <v>45969.527083333327</v>
      </c>
      <c r="P30" t="s">
        <v>1064</v>
      </c>
      <c r="Q30" t="s">
        <v>1065</v>
      </c>
      <c r="R30" t="s">
        <v>1066</v>
      </c>
      <c r="S30" t="s">
        <v>1066</v>
      </c>
      <c r="T30" t="s">
        <v>143</v>
      </c>
      <c r="U30" t="s">
        <v>1072</v>
      </c>
      <c r="V30" t="s">
        <v>1215</v>
      </c>
      <c r="W30" t="s">
        <v>131</v>
      </c>
      <c r="Y30" t="s">
        <v>8</v>
      </c>
      <c r="Z30" t="s">
        <v>120</v>
      </c>
      <c r="AA30" t="s">
        <v>569</v>
      </c>
      <c r="AB30" s="24">
        <v>1</v>
      </c>
      <c r="AC30" s="24">
        <v>1</v>
      </c>
      <c r="AD30" s="24">
        <v>96011</v>
      </c>
      <c r="AE30" s="24">
        <v>57415</v>
      </c>
      <c r="AF30" s="24">
        <v>153426</v>
      </c>
    </row>
    <row r="31" spans="1:32">
      <c r="A31" t="s">
        <v>70</v>
      </c>
      <c r="B31" t="s">
        <v>284</v>
      </c>
      <c r="C31" t="s">
        <v>36</v>
      </c>
      <c r="D31" t="s">
        <v>1216</v>
      </c>
      <c r="E31" s="56">
        <v>2992236</v>
      </c>
      <c r="F31" t="s">
        <v>1217</v>
      </c>
      <c r="G31" t="s">
        <v>1060</v>
      </c>
      <c r="H31" t="s">
        <v>663</v>
      </c>
      <c r="I31" t="s">
        <v>70</v>
      </c>
      <c r="J31" t="s">
        <v>1218</v>
      </c>
      <c r="K31" t="s">
        <v>112</v>
      </c>
      <c r="L31" t="s">
        <v>1219</v>
      </c>
      <c r="M31" s="23">
        <v>45968.675000000003</v>
      </c>
      <c r="N31" s="23">
        <v>45971.681944444441</v>
      </c>
      <c r="P31" t="s">
        <v>1064</v>
      </c>
      <c r="Q31" t="s">
        <v>1065</v>
      </c>
      <c r="R31" t="s">
        <v>1066</v>
      </c>
      <c r="S31" t="s">
        <v>1066</v>
      </c>
      <c r="T31" t="s">
        <v>143</v>
      </c>
      <c r="U31" t="s">
        <v>1072</v>
      </c>
      <c r="V31" t="s">
        <v>1220</v>
      </c>
      <c r="W31" t="s">
        <v>131</v>
      </c>
      <c r="Y31" t="s">
        <v>8</v>
      </c>
      <c r="Z31" t="s">
        <v>120</v>
      </c>
      <c r="AA31" t="s">
        <v>1221</v>
      </c>
      <c r="AB31" s="24">
        <v>1</v>
      </c>
      <c r="AC31" s="24">
        <v>1</v>
      </c>
      <c r="AD31" s="24">
        <v>96011</v>
      </c>
      <c r="AE31" s="24">
        <v>57415</v>
      </c>
      <c r="AF31" s="24">
        <v>153426</v>
      </c>
    </row>
    <row r="32" spans="1:32">
      <c r="A32" t="s">
        <v>61</v>
      </c>
      <c r="B32" t="s">
        <v>103</v>
      </c>
      <c r="C32" t="s">
        <v>32</v>
      </c>
      <c r="D32" t="s">
        <v>1222</v>
      </c>
      <c r="E32" s="56">
        <v>2992519</v>
      </c>
      <c r="F32" t="s">
        <v>1223</v>
      </c>
      <c r="G32" t="s">
        <v>1060</v>
      </c>
      <c r="H32" t="s">
        <v>109</v>
      </c>
      <c r="I32" t="s">
        <v>1224</v>
      </c>
      <c r="J32" t="s">
        <v>1225</v>
      </c>
      <c r="K32" t="s">
        <v>112</v>
      </c>
      <c r="L32" t="s">
        <v>1226</v>
      </c>
      <c r="M32" s="23">
        <v>45968.695138888892</v>
      </c>
      <c r="N32" s="23">
        <v>45975.425694444442</v>
      </c>
      <c r="P32" t="s">
        <v>1064</v>
      </c>
      <c r="Q32" t="s">
        <v>1065</v>
      </c>
      <c r="R32" t="s">
        <v>114</v>
      </c>
      <c r="S32" t="s">
        <v>488</v>
      </c>
      <c r="T32" t="s">
        <v>143</v>
      </c>
      <c r="U32" t="s">
        <v>1072</v>
      </c>
      <c r="V32" t="s">
        <v>1227</v>
      </c>
      <c r="W32" t="s">
        <v>131</v>
      </c>
      <c r="Y32" t="s">
        <v>8</v>
      </c>
      <c r="Z32" t="s">
        <v>120</v>
      </c>
      <c r="AA32" t="s">
        <v>1228</v>
      </c>
      <c r="AB32" s="24">
        <v>1</v>
      </c>
      <c r="AC32" s="24">
        <v>1</v>
      </c>
      <c r="AD32" s="24">
        <v>96011</v>
      </c>
      <c r="AE32" s="24">
        <v>57415</v>
      </c>
      <c r="AF32" s="24">
        <v>153426</v>
      </c>
    </row>
    <row r="33" spans="1:32">
      <c r="A33" t="s">
        <v>71</v>
      </c>
      <c r="B33" t="s">
        <v>404</v>
      </c>
      <c r="C33" t="s">
        <v>54</v>
      </c>
      <c r="D33" t="s">
        <v>1229</v>
      </c>
      <c r="E33" s="56">
        <v>2993565</v>
      </c>
      <c r="F33" t="s">
        <v>1230</v>
      </c>
      <c r="G33" t="s">
        <v>1060</v>
      </c>
      <c r="H33" t="s">
        <v>681</v>
      </c>
      <c r="I33" t="s">
        <v>1231</v>
      </c>
      <c r="J33" t="s">
        <v>1232</v>
      </c>
      <c r="K33" t="s">
        <v>112</v>
      </c>
      <c r="L33" t="s">
        <v>1233</v>
      </c>
      <c r="M33" s="23">
        <v>45969.486111111109</v>
      </c>
      <c r="N33" s="23">
        <v>45972.637499999997</v>
      </c>
      <c r="P33" t="s">
        <v>1064</v>
      </c>
      <c r="Q33" t="s">
        <v>1065</v>
      </c>
      <c r="R33" t="s">
        <v>1066</v>
      </c>
      <c r="S33" t="s">
        <v>1066</v>
      </c>
      <c r="T33" t="s">
        <v>143</v>
      </c>
      <c r="U33" t="s">
        <v>1072</v>
      </c>
      <c r="V33" t="s">
        <v>1234</v>
      </c>
      <c r="W33" t="s">
        <v>131</v>
      </c>
      <c r="Y33" t="s">
        <v>146</v>
      </c>
      <c r="Z33" t="s">
        <v>120</v>
      </c>
      <c r="AA33" t="s">
        <v>686</v>
      </c>
      <c r="AB33" s="24">
        <v>1</v>
      </c>
      <c r="AC33" s="24">
        <v>1</v>
      </c>
      <c r="AD33" s="24">
        <v>344775</v>
      </c>
      <c r="AE33" s="24">
        <v>110808</v>
      </c>
      <c r="AF33" s="24">
        <v>455583</v>
      </c>
    </row>
    <row r="34" spans="1:32">
      <c r="A34" t="s">
        <v>61</v>
      </c>
      <c r="B34" t="s">
        <v>103</v>
      </c>
      <c r="C34" t="s">
        <v>32</v>
      </c>
      <c r="D34" t="s">
        <v>1235</v>
      </c>
      <c r="E34" s="56">
        <v>2994969</v>
      </c>
      <c r="F34" t="s">
        <v>1236</v>
      </c>
      <c r="G34" t="s">
        <v>1060</v>
      </c>
      <c r="H34" t="s">
        <v>109</v>
      </c>
      <c r="I34" t="s">
        <v>1237</v>
      </c>
      <c r="J34" t="s">
        <v>1238</v>
      </c>
      <c r="K34" t="s">
        <v>112</v>
      </c>
      <c r="L34" t="s">
        <v>1239</v>
      </c>
      <c r="M34" s="23">
        <v>45971.390972222223</v>
      </c>
      <c r="N34" s="23">
        <v>45976.545138888891</v>
      </c>
      <c r="P34" t="s">
        <v>1064</v>
      </c>
      <c r="Q34" t="s">
        <v>1065</v>
      </c>
      <c r="R34" t="s">
        <v>114</v>
      </c>
      <c r="S34" t="s">
        <v>115</v>
      </c>
      <c r="T34" t="s">
        <v>143</v>
      </c>
      <c r="U34" t="s">
        <v>1072</v>
      </c>
      <c r="V34" t="s">
        <v>1240</v>
      </c>
      <c r="W34" t="s">
        <v>131</v>
      </c>
      <c r="Y34" t="s">
        <v>249</v>
      </c>
      <c r="Z34" t="s">
        <v>120</v>
      </c>
      <c r="AA34" t="s">
        <v>504</v>
      </c>
      <c r="AB34" s="24">
        <v>1</v>
      </c>
      <c r="AC34" s="24">
        <v>1</v>
      </c>
      <c r="AD34" s="24">
        <v>232859</v>
      </c>
      <c r="AE34" s="24">
        <v>110808</v>
      </c>
      <c r="AF34" s="24">
        <v>343667</v>
      </c>
    </row>
    <row r="35" spans="1:32">
      <c r="A35" t="s">
        <v>43</v>
      </c>
      <c r="B35" t="s">
        <v>154</v>
      </c>
      <c r="C35" t="s">
        <v>44</v>
      </c>
      <c r="D35" t="s">
        <v>387</v>
      </c>
      <c r="E35" s="56">
        <v>2997668</v>
      </c>
      <c r="F35" t="s">
        <v>1241</v>
      </c>
      <c r="G35" t="s">
        <v>1060</v>
      </c>
      <c r="H35" t="s">
        <v>390</v>
      </c>
      <c r="I35" t="s">
        <v>43</v>
      </c>
      <c r="J35" t="s">
        <v>1242</v>
      </c>
      <c r="K35" t="s">
        <v>112</v>
      </c>
      <c r="L35" t="s">
        <v>1243</v>
      </c>
      <c r="M35" s="23">
        <v>45971.618055555547</v>
      </c>
      <c r="N35" s="23">
        <v>45972.709722222222</v>
      </c>
      <c r="P35" t="s">
        <v>1064</v>
      </c>
      <c r="Q35" t="s">
        <v>1065</v>
      </c>
      <c r="R35" t="s">
        <v>1066</v>
      </c>
      <c r="S35" t="s">
        <v>1066</v>
      </c>
      <c r="T35" t="s">
        <v>143</v>
      </c>
      <c r="U35" t="s">
        <v>1072</v>
      </c>
      <c r="V35" t="s">
        <v>1244</v>
      </c>
      <c r="W35" t="s">
        <v>131</v>
      </c>
      <c r="Y35" t="s">
        <v>8</v>
      </c>
      <c r="Z35" t="s">
        <v>120</v>
      </c>
      <c r="AA35" t="s">
        <v>1245</v>
      </c>
      <c r="AB35" s="24">
        <v>1</v>
      </c>
      <c r="AC35" s="24">
        <v>1</v>
      </c>
      <c r="AD35" s="24">
        <v>96011</v>
      </c>
      <c r="AE35" s="24">
        <v>57415</v>
      </c>
      <c r="AF35" s="24">
        <v>153426</v>
      </c>
    </row>
    <row r="36" spans="1:32">
      <c r="A36" t="s">
        <v>52</v>
      </c>
      <c r="B36" t="s">
        <v>154</v>
      </c>
      <c r="C36" t="s">
        <v>44</v>
      </c>
      <c r="D36" t="s">
        <v>368</v>
      </c>
      <c r="E36" s="56">
        <v>2999190</v>
      </c>
      <c r="F36" t="s">
        <v>1246</v>
      </c>
      <c r="G36" t="s">
        <v>1060</v>
      </c>
      <c r="H36" t="s">
        <v>340</v>
      </c>
      <c r="I36" t="s">
        <v>371</v>
      </c>
      <c r="J36" t="s">
        <v>1247</v>
      </c>
      <c r="K36" t="s">
        <v>112</v>
      </c>
      <c r="L36" t="s">
        <v>1248</v>
      </c>
      <c r="M36" s="23">
        <v>45972.333333333343</v>
      </c>
      <c r="N36" s="23">
        <v>45990.509027777778</v>
      </c>
      <c r="P36" t="s">
        <v>1064</v>
      </c>
      <c r="Q36" t="s">
        <v>1065</v>
      </c>
      <c r="R36" t="s">
        <v>1066</v>
      </c>
      <c r="S36" t="s">
        <v>1066</v>
      </c>
      <c r="T36" t="s">
        <v>143</v>
      </c>
      <c r="U36" t="s">
        <v>1072</v>
      </c>
      <c r="V36" t="s">
        <v>1249</v>
      </c>
      <c r="W36" t="s">
        <v>131</v>
      </c>
      <c r="Y36" t="s">
        <v>132</v>
      </c>
      <c r="Z36" t="s">
        <v>120</v>
      </c>
      <c r="AA36" t="s">
        <v>345</v>
      </c>
      <c r="AB36" s="24">
        <v>1</v>
      </c>
      <c r="AC36" s="24">
        <v>1</v>
      </c>
      <c r="AD36" s="24">
        <v>548634</v>
      </c>
      <c r="AE36" s="24">
        <v>110808</v>
      </c>
      <c r="AF36" s="24">
        <v>659442</v>
      </c>
    </row>
    <row r="37" spans="1:32">
      <c r="A37" t="s">
        <v>67</v>
      </c>
      <c r="B37" t="s">
        <v>284</v>
      </c>
      <c r="C37" t="s">
        <v>36</v>
      </c>
      <c r="D37" t="s">
        <v>1250</v>
      </c>
      <c r="E37" s="56">
        <v>3002727</v>
      </c>
      <c r="F37" t="s">
        <v>1251</v>
      </c>
      <c r="G37" t="s">
        <v>1060</v>
      </c>
      <c r="H37" t="s">
        <v>318</v>
      </c>
      <c r="I37" t="s">
        <v>1252</v>
      </c>
      <c r="J37" t="s">
        <v>1253</v>
      </c>
      <c r="K37" t="s">
        <v>112</v>
      </c>
      <c r="L37" t="s">
        <v>1254</v>
      </c>
      <c r="M37" s="23">
        <v>45972.472916666673</v>
      </c>
      <c r="N37" s="23">
        <v>45973.638194444437</v>
      </c>
      <c r="P37" t="s">
        <v>1064</v>
      </c>
      <c r="Q37" t="s">
        <v>1065</v>
      </c>
      <c r="R37" t="s">
        <v>114</v>
      </c>
      <c r="S37" t="s">
        <v>488</v>
      </c>
      <c r="T37" t="s">
        <v>143</v>
      </c>
      <c r="U37" t="s">
        <v>1072</v>
      </c>
      <c r="V37" t="s">
        <v>1255</v>
      </c>
      <c r="W37" t="s">
        <v>131</v>
      </c>
      <c r="Y37" t="s">
        <v>249</v>
      </c>
      <c r="Z37" t="s">
        <v>120</v>
      </c>
      <c r="AA37" t="s">
        <v>314</v>
      </c>
      <c r="AB37" s="24">
        <v>1</v>
      </c>
      <c r="AC37" s="24">
        <v>1</v>
      </c>
      <c r="AD37" s="24">
        <v>232859</v>
      </c>
      <c r="AE37" s="24">
        <v>110808</v>
      </c>
      <c r="AF37" s="24">
        <v>343667</v>
      </c>
    </row>
    <row r="38" spans="1:32">
      <c r="A38" t="s">
        <v>39</v>
      </c>
      <c r="B38" t="s">
        <v>295</v>
      </c>
      <c r="C38" t="s">
        <v>40</v>
      </c>
      <c r="D38" t="s">
        <v>468</v>
      </c>
      <c r="E38" s="56">
        <v>3007447</v>
      </c>
      <c r="F38" t="s">
        <v>1256</v>
      </c>
      <c r="G38" t="s">
        <v>1060</v>
      </c>
      <c r="H38" t="s">
        <v>295</v>
      </c>
      <c r="I38" t="s">
        <v>39</v>
      </c>
      <c r="J38" t="s">
        <v>1257</v>
      </c>
      <c r="K38" t="s">
        <v>112</v>
      </c>
      <c r="L38" t="s">
        <v>1258</v>
      </c>
      <c r="M38" s="23">
        <v>45973.4</v>
      </c>
      <c r="N38" s="23">
        <v>45975.597222222219</v>
      </c>
      <c r="P38" t="s">
        <v>1064</v>
      </c>
      <c r="Q38" t="s">
        <v>1065</v>
      </c>
      <c r="R38" t="s">
        <v>1066</v>
      </c>
      <c r="S38" t="s">
        <v>1066</v>
      </c>
      <c r="T38" t="s">
        <v>143</v>
      </c>
      <c r="U38" t="s">
        <v>1072</v>
      </c>
      <c r="V38" t="s">
        <v>1259</v>
      </c>
      <c r="W38" t="s">
        <v>131</v>
      </c>
      <c r="Y38" t="s">
        <v>8</v>
      </c>
      <c r="Z38" t="s">
        <v>120</v>
      </c>
      <c r="AA38" t="s">
        <v>304</v>
      </c>
      <c r="AB38" s="24">
        <v>1</v>
      </c>
      <c r="AC38" s="24">
        <v>1</v>
      </c>
      <c r="AD38" s="24">
        <v>96011</v>
      </c>
      <c r="AE38" s="24">
        <v>57415</v>
      </c>
      <c r="AF38" s="24">
        <v>153426</v>
      </c>
    </row>
    <row r="39" spans="1:32">
      <c r="A39" t="s">
        <v>47</v>
      </c>
      <c r="B39" t="s">
        <v>135</v>
      </c>
      <c r="C39" t="s">
        <v>48</v>
      </c>
      <c r="D39" t="s">
        <v>420</v>
      </c>
      <c r="E39" s="56">
        <v>3008695</v>
      </c>
      <c r="F39" t="s">
        <v>430</v>
      </c>
      <c r="G39" t="s">
        <v>1060</v>
      </c>
      <c r="H39" t="s">
        <v>423</v>
      </c>
      <c r="I39" t="s">
        <v>47</v>
      </c>
      <c r="J39" t="s">
        <v>431</v>
      </c>
      <c r="K39" t="s">
        <v>112</v>
      </c>
      <c r="L39" t="s">
        <v>1260</v>
      </c>
      <c r="M39" s="23">
        <v>45973.486111111109</v>
      </c>
      <c r="N39" s="23">
        <v>45974.626388888893</v>
      </c>
      <c r="P39" t="s">
        <v>1064</v>
      </c>
      <c r="Q39" t="s">
        <v>1065</v>
      </c>
      <c r="T39" t="s">
        <v>143</v>
      </c>
      <c r="U39" t="s">
        <v>1072</v>
      </c>
      <c r="V39" t="s">
        <v>1261</v>
      </c>
      <c r="W39" t="s">
        <v>131</v>
      </c>
      <c r="Y39" t="s">
        <v>8</v>
      </c>
      <c r="Z39" t="s">
        <v>120</v>
      </c>
      <c r="AA39" t="s">
        <v>713</v>
      </c>
      <c r="AB39" s="24">
        <v>1</v>
      </c>
      <c r="AC39" s="24">
        <v>1</v>
      </c>
      <c r="AD39" s="24">
        <v>96011</v>
      </c>
      <c r="AE39" s="24">
        <v>57415</v>
      </c>
      <c r="AF39" s="24">
        <v>153426</v>
      </c>
    </row>
    <row r="40" spans="1:32">
      <c r="A40" t="s">
        <v>35</v>
      </c>
      <c r="B40" t="s">
        <v>284</v>
      </c>
      <c r="C40" t="s">
        <v>36</v>
      </c>
      <c r="D40" t="s">
        <v>1262</v>
      </c>
      <c r="E40" s="56">
        <v>3009279</v>
      </c>
      <c r="F40" t="s">
        <v>1263</v>
      </c>
      <c r="G40" t="s">
        <v>1060</v>
      </c>
      <c r="H40" t="s">
        <v>918</v>
      </c>
      <c r="I40" t="s">
        <v>1264</v>
      </c>
      <c r="J40" t="s">
        <v>1265</v>
      </c>
      <c r="K40" t="s">
        <v>112</v>
      </c>
      <c r="L40" t="s">
        <v>1266</v>
      </c>
      <c r="M40" s="23">
        <v>45973.542361111111</v>
      </c>
      <c r="N40" s="23">
        <v>45976.62222222222</v>
      </c>
      <c r="P40" t="s">
        <v>1064</v>
      </c>
      <c r="Q40" t="s">
        <v>1065</v>
      </c>
      <c r="R40" t="s">
        <v>1108</v>
      </c>
      <c r="S40" t="s">
        <v>1066</v>
      </c>
      <c r="T40" t="s">
        <v>143</v>
      </c>
      <c r="U40" t="s">
        <v>1072</v>
      </c>
      <c r="V40" t="s">
        <v>1267</v>
      </c>
      <c r="W40" t="s">
        <v>131</v>
      </c>
      <c r="Y40" t="s">
        <v>249</v>
      </c>
      <c r="Z40" t="s">
        <v>120</v>
      </c>
      <c r="AA40" t="s">
        <v>923</v>
      </c>
      <c r="AB40" s="24">
        <v>1</v>
      </c>
      <c r="AC40" s="24">
        <v>1</v>
      </c>
      <c r="AD40" s="24">
        <v>232859</v>
      </c>
      <c r="AE40" s="24">
        <v>110808</v>
      </c>
      <c r="AF40" s="24">
        <v>343667</v>
      </c>
    </row>
    <row r="41" spans="1:32">
      <c r="A41" t="s">
        <v>39</v>
      </c>
      <c r="B41" t="s">
        <v>295</v>
      </c>
      <c r="C41" t="s">
        <v>40</v>
      </c>
      <c r="D41" t="s">
        <v>468</v>
      </c>
      <c r="E41" s="56">
        <v>3009358</v>
      </c>
      <c r="F41" t="s">
        <v>1268</v>
      </c>
      <c r="G41" t="s">
        <v>1060</v>
      </c>
      <c r="H41" t="s">
        <v>295</v>
      </c>
      <c r="I41" t="s">
        <v>39</v>
      </c>
      <c r="J41" t="s">
        <v>1269</v>
      </c>
      <c r="K41" t="s">
        <v>112</v>
      </c>
      <c r="L41" t="s">
        <v>1270</v>
      </c>
      <c r="M41" s="23">
        <v>45973.517361111109</v>
      </c>
      <c r="N41" s="23">
        <v>45974.631944444453</v>
      </c>
      <c r="P41" t="s">
        <v>1064</v>
      </c>
      <c r="Q41" t="s">
        <v>1065</v>
      </c>
      <c r="R41" t="s">
        <v>1066</v>
      </c>
      <c r="S41" t="s">
        <v>1066</v>
      </c>
      <c r="T41" t="s">
        <v>143</v>
      </c>
      <c r="U41" t="s">
        <v>1072</v>
      </c>
      <c r="V41" t="s">
        <v>1271</v>
      </c>
      <c r="W41" t="s">
        <v>131</v>
      </c>
      <c r="Y41" t="s">
        <v>8</v>
      </c>
      <c r="Z41" t="s">
        <v>120</v>
      </c>
      <c r="AA41" t="s">
        <v>1117</v>
      </c>
      <c r="AB41" s="24">
        <v>1</v>
      </c>
      <c r="AC41" s="24">
        <v>1</v>
      </c>
      <c r="AD41" s="24">
        <v>96011</v>
      </c>
      <c r="AE41" s="24">
        <v>57415</v>
      </c>
      <c r="AF41" s="24">
        <v>153426</v>
      </c>
    </row>
    <row r="42" spans="1:32">
      <c r="A42" t="s">
        <v>39</v>
      </c>
      <c r="B42" t="s">
        <v>295</v>
      </c>
      <c r="C42" t="s">
        <v>40</v>
      </c>
      <c r="D42" t="s">
        <v>468</v>
      </c>
      <c r="E42" s="56">
        <v>3009451</v>
      </c>
      <c r="F42" t="s">
        <v>1272</v>
      </c>
      <c r="G42" t="s">
        <v>1060</v>
      </c>
      <c r="H42" t="s">
        <v>295</v>
      </c>
      <c r="I42" t="s">
        <v>39</v>
      </c>
      <c r="J42" t="s">
        <v>1273</v>
      </c>
      <c r="K42" t="s">
        <v>112</v>
      </c>
      <c r="L42" t="s">
        <v>1274</v>
      </c>
      <c r="M42" s="23">
        <v>45973.536805555559</v>
      </c>
      <c r="N42" s="23">
        <v>45979.592361111107</v>
      </c>
      <c r="P42" t="s">
        <v>1064</v>
      </c>
      <c r="Q42" t="s">
        <v>1065</v>
      </c>
      <c r="R42" t="s">
        <v>1066</v>
      </c>
      <c r="S42" t="s">
        <v>1066</v>
      </c>
      <c r="T42" t="s">
        <v>143</v>
      </c>
      <c r="U42" t="s">
        <v>1072</v>
      </c>
      <c r="V42" t="s">
        <v>1275</v>
      </c>
      <c r="W42" t="s">
        <v>131</v>
      </c>
      <c r="Y42" t="s">
        <v>8</v>
      </c>
      <c r="Z42" t="s">
        <v>120</v>
      </c>
      <c r="AA42" t="s">
        <v>872</v>
      </c>
      <c r="AB42" s="24">
        <v>1</v>
      </c>
      <c r="AC42" s="24">
        <v>1</v>
      </c>
      <c r="AD42" s="24">
        <v>96011</v>
      </c>
      <c r="AE42" s="24">
        <v>57415</v>
      </c>
      <c r="AF42" s="24">
        <v>153426</v>
      </c>
    </row>
    <row r="43" spans="1:32">
      <c r="A43" t="s">
        <v>61</v>
      </c>
      <c r="B43" t="s">
        <v>103</v>
      </c>
      <c r="C43" t="s">
        <v>32</v>
      </c>
      <c r="D43" t="s">
        <v>182</v>
      </c>
      <c r="E43" s="56">
        <v>3010363</v>
      </c>
      <c r="F43" t="s">
        <v>1276</v>
      </c>
      <c r="G43" t="s">
        <v>1060</v>
      </c>
      <c r="H43" t="s">
        <v>109</v>
      </c>
      <c r="I43" t="s">
        <v>61</v>
      </c>
      <c r="J43" t="s">
        <v>1277</v>
      </c>
      <c r="K43" t="s">
        <v>112</v>
      </c>
      <c r="L43" t="s">
        <v>1278</v>
      </c>
      <c r="M43" s="23">
        <v>45973.634722222218</v>
      </c>
      <c r="N43" s="23">
        <v>45974.494444444441</v>
      </c>
      <c r="P43" t="s">
        <v>1064</v>
      </c>
      <c r="Q43" t="s">
        <v>1065</v>
      </c>
      <c r="R43" t="s">
        <v>114</v>
      </c>
      <c r="S43" t="s">
        <v>488</v>
      </c>
      <c r="T43" t="s">
        <v>143</v>
      </c>
      <c r="U43" t="s">
        <v>1072</v>
      </c>
      <c r="V43" t="s">
        <v>1279</v>
      </c>
      <c r="W43" t="s">
        <v>131</v>
      </c>
      <c r="Y43" t="s">
        <v>8</v>
      </c>
      <c r="Z43" t="s">
        <v>120</v>
      </c>
      <c r="AA43" t="s">
        <v>191</v>
      </c>
      <c r="AB43" s="24">
        <v>1</v>
      </c>
      <c r="AC43" s="24">
        <v>1</v>
      </c>
      <c r="AD43" s="24">
        <v>96011</v>
      </c>
      <c r="AE43" s="24">
        <v>57415</v>
      </c>
      <c r="AF43" s="24">
        <v>153426</v>
      </c>
    </row>
    <row r="44" spans="1:32">
      <c r="A44" t="s">
        <v>39</v>
      </c>
      <c r="B44" t="s">
        <v>295</v>
      </c>
      <c r="C44" t="s">
        <v>40</v>
      </c>
      <c r="D44" t="s">
        <v>468</v>
      </c>
      <c r="E44" s="56">
        <v>3010499</v>
      </c>
      <c r="F44" t="s">
        <v>1280</v>
      </c>
      <c r="G44" t="s">
        <v>1060</v>
      </c>
      <c r="H44" t="s">
        <v>295</v>
      </c>
      <c r="I44" t="s">
        <v>39</v>
      </c>
      <c r="J44" t="s">
        <v>1281</v>
      </c>
      <c r="K44" t="s">
        <v>112</v>
      </c>
      <c r="L44" t="s">
        <v>1282</v>
      </c>
      <c r="M44" s="23">
        <v>45973.645833333343</v>
      </c>
      <c r="N44" s="23">
        <v>45974.527083333327</v>
      </c>
      <c r="P44" t="s">
        <v>1064</v>
      </c>
      <c r="Q44" t="s">
        <v>1065</v>
      </c>
      <c r="R44" t="s">
        <v>1066</v>
      </c>
      <c r="S44" t="s">
        <v>1066</v>
      </c>
      <c r="T44" t="s">
        <v>143</v>
      </c>
      <c r="U44" t="s">
        <v>1072</v>
      </c>
      <c r="V44" t="s">
        <v>1283</v>
      </c>
      <c r="W44" t="s">
        <v>131</v>
      </c>
      <c r="Y44" t="s">
        <v>8</v>
      </c>
      <c r="Z44" t="s">
        <v>120</v>
      </c>
      <c r="AA44" t="s">
        <v>1117</v>
      </c>
      <c r="AB44" s="24">
        <v>1</v>
      </c>
      <c r="AC44" s="24">
        <v>1</v>
      </c>
      <c r="AD44" s="24">
        <v>96011</v>
      </c>
      <c r="AE44" s="24">
        <v>57415</v>
      </c>
      <c r="AF44" s="24">
        <v>153426</v>
      </c>
    </row>
    <row r="45" spans="1:32">
      <c r="A45" t="s">
        <v>69</v>
      </c>
      <c r="B45" t="s">
        <v>154</v>
      </c>
      <c r="C45" t="s">
        <v>44</v>
      </c>
      <c r="D45" t="s">
        <v>1284</v>
      </c>
      <c r="E45" s="56">
        <v>3013672</v>
      </c>
      <c r="F45" t="s">
        <v>1285</v>
      </c>
      <c r="G45" t="s">
        <v>1060</v>
      </c>
      <c r="H45" t="s">
        <v>277</v>
      </c>
      <c r="I45" t="s">
        <v>1286</v>
      </c>
      <c r="J45" t="s">
        <v>1287</v>
      </c>
      <c r="K45" t="s">
        <v>112</v>
      </c>
      <c r="L45" t="s">
        <v>1288</v>
      </c>
      <c r="M45" s="23">
        <v>45974.418055555558</v>
      </c>
      <c r="N45" s="23">
        <v>45974.765277777777</v>
      </c>
      <c r="P45" t="s">
        <v>1064</v>
      </c>
      <c r="Q45" t="s">
        <v>1065</v>
      </c>
      <c r="R45" t="s">
        <v>114</v>
      </c>
      <c r="S45" t="s">
        <v>488</v>
      </c>
      <c r="T45" t="s">
        <v>143</v>
      </c>
      <c r="U45" t="s">
        <v>1072</v>
      </c>
      <c r="V45" t="s">
        <v>1289</v>
      </c>
      <c r="W45" t="s">
        <v>131</v>
      </c>
      <c r="Y45" t="s">
        <v>249</v>
      </c>
      <c r="Z45" t="s">
        <v>120</v>
      </c>
      <c r="AA45" t="s">
        <v>1290</v>
      </c>
      <c r="AB45" s="24">
        <v>1</v>
      </c>
      <c r="AC45" s="24">
        <v>1</v>
      </c>
      <c r="AD45" s="24">
        <v>232859</v>
      </c>
      <c r="AE45" s="24">
        <v>110808</v>
      </c>
      <c r="AF45" s="24">
        <v>343667</v>
      </c>
    </row>
    <row r="46" spans="1:32">
      <c r="A46" t="s">
        <v>69</v>
      </c>
      <c r="B46" t="s">
        <v>154</v>
      </c>
      <c r="C46" t="s">
        <v>44</v>
      </c>
      <c r="D46" t="s">
        <v>1291</v>
      </c>
      <c r="E46" s="56">
        <v>3014024</v>
      </c>
      <c r="F46" t="s">
        <v>1292</v>
      </c>
      <c r="G46" t="s">
        <v>1060</v>
      </c>
      <c r="H46" t="s">
        <v>277</v>
      </c>
      <c r="I46" t="s">
        <v>1293</v>
      </c>
      <c r="J46" t="s">
        <v>1294</v>
      </c>
      <c r="K46" t="s">
        <v>112</v>
      </c>
      <c r="L46" t="s">
        <v>1295</v>
      </c>
      <c r="M46" s="23">
        <v>45974.43472222222</v>
      </c>
      <c r="N46" s="23">
        <v>45975.601388888892</v>
      </c>
      <c r="P46" t="s">
        <v>1064</v>
      </c>
      <c r="Q46" t="s">
        <v>1065</v>
      </c>
      <c r="R46" t="s">
        <v>1066</v>
      </c>
      <c r="S46" t="s">
        <v>1066</v>
      </c>
      <c r="T46" t="s">
        <v>143</v>
      </c>
      <c r="U46" t="s">
        <v>1072</v>
      </c>
      <c r="V46" t="s">
        <v>1296</v>
      </c>
      <c r="W46" t="s">
        <v>131</v>
      </c>
      <c r="Y46" t="s">
        <v>119</v>
      </c>
      <c r="Z46" t="s">
        <v>120</v>
      </c>
      <c r="AA46" t="s">
        <v>283</v>
      </c>
      <c r="AB46" s="24">
        <v>1</v>
      </c>
      <c r="AC46" s="24">
        <v>1</v>
      </c>
      <c r="AD46" s="24">
        <v>548634</v>
      </c>
      <c r="AE46" s="24">
        <v>110808</v>
      </c>
      <c r="AF46" s="24">
        <v>659442</v>
      </c>
    </row>
    <row r="47" spans="1:32">
      <c r="A47" t="s">
        <v>52</v>
      </c>
      <c r="B47" t="s">
        <v>154</v>
      </c>
      <c r="C47" t="s">
        <v>44</v>
      </c>
      <c r="D47" t="s">
        <v>337</v>
      </c>
      <c r="E47" s="56">
        <v>3019371</v>
      </c>
      <c r="F47" t="s">
        <v>1297</v>
      </c>
      <c r="G47" t="s">
        <v>1060</v>
      </c>
      <c r="H47" t="s">
        <v>340</v>
      </c>
      <c r="I47" t="s">
        <v>52</v>
      </c>
      <c r="J47" t="s">
        <v>1298</v>
      </c>
      <c r="K47" t="s">
        <v>112</v>
      </c>
      <c r="L47" t="s">
        <v>1299</v>
      </c>
      <c r="M47" s="23">
        <v>45975.44027777778</v>
      </c>
      <c r="N47" s="23">
        <v>45980.352083333331</v>
      </c>
      <c r="P47" t="s">
        <v>1064</v>
      </c>
      <c r="Q47" t="s">
        <v>1065</v>
      </c>
      <c r="R47" t="s">
        <v>114</v>
      </c>
      <c r="S47" t="s">
        <v>488</v>
      </c>
      <c r="T47" t="s">
        <v>143</v>
      </c>
      <c r="U47" t="s">
        <v>1072</v>
      </c>
      <c r="V47" t="s">
        <v>1300</v>
      </c>
      <c r="W47" t="s">
        <v>131</v>
      </c>
      <c r="Y47" t="s">
        <v>8</v>
      </c>
      <c r="Z47" t="s">
        <v>120</v>
      </c>
      <c r="AA47" t="s">
        <v>345</v>
      </c>
      <c r="AB47" s="24">
        <v>1</v>
      </c>
      <c r="AC47" s="24">
        <v>1</v>
      </c>
      <c r="AD47" s="24">
        <v>96011</v>
      </c>
      <c r="AE47" s="24">
        <v>57415</v>
      </c>
      <c r="AF47" s="24">
        <v>153426</v>
      </c>
    </row>
    <row r="48" spans="1:32">
      <c r="A48" t="s">
        <v>47</v>
      </c>
      <c r="B48" t="s">
        <v>135</v>
      </c>
      <c r="C48" t="s">
        <v>48</v>
      </c>
      <c r="D48" t="s">
        <v>726</v>
      </c>
      <c r="E48" s="56">
        <v>3019808</v>
      </c>
      <c r="F48" t="s">
        <v>1301</v>
      </c>
      <c r="G48" t="s">
        <v>1060</v>
      </c>
      <c r="H48" t="s">
        <v>423</v>
      </c>
      <c r="I48" t="s">
        <v>729</v>
      </c>
      <c r="J48" t="s">
        <v>1302</v>
      </c>
      <c r="K48" t="s">
        <v>112</v>
      </c>
      <c r="L48" t="s">
        <v>1303</v>
      </c>
      <c r="M48" s="23">
        <v>45975.452777777777</v>
      </c>
      <c r="N48" s="23">
        <v>45976.546527777777</v>
      </c>
      <c r="P48" t="s">
        <v>1064</v>
      </c>
      <c r="Q48" t="s">
        <v>1065</v>
      </c>
      <c r="R48" t="s">
        <v>114</v>
      </c>
      <c r="S48" t="s">
        <v>115</v>
      </c>
      <c r="T48" t="s">
        <v>143</v>
      </c>
      <c r="U48" t="s">
        <v>1072</v>
      </c>
      <c r="V48" t="s">
        <v>1304</v>
      </c>
      <c r="W48" t="s">
        <v>131</v>
      </c>
      <c r="Y48" t="s">
        <v>8</v>
      </c>
      <c r="Z48" t="s">
        <v>120</v>
      </c>
      <c r="AA48" t="s">
        <v>435</v>
      </c>
      <c r="AB48" s="24">
        <v>1</v>
      </c>
      <c r="AC48" s="24">
        <v>1</v>
      </c>
      <c r="AD48" s="24">
        <v>96011</v>
      </c>
      <c r="AE48" s="24">
        <v>57415</v>
      </c>
      <c r="AF48" s="24">
        <v>153426</v>
      </c>
    </row>
    <row r="49" spans="1:32">
      <c r="A49" t="s">
        <v>61</v>
      </c>
      <c r="B49" t="s">
        <v>103</v>
      </c>
      <c r="C49" t="s">
        <v>32</v>
      </c>
      <c r="D49" t="s">
        <v>1305</v>
      </c>
      <c r="E49" s="56">
        <v>3024177</v>
      </c>
      <c r="F49" t="s">
        <v>1306</v>
      </c>
      <c r="G49" t="s">
        <v>1060</v>
      </c>
      <c r="H49" t="s">
        <v>109</v>
      </c>
      <c r="I49" t="s">
        <v>1307</v>
      </c>
      <c r="J49" t="s">
        <v>1308</v>
      </c>
      <c r="K49" t="s">
        <v>112</v>
      </c>
      <c r="L49" t="s">
        <v>1309</v>
      </c>
      <c r="M49" s="23">
        <v>45978.469444444447</v>
      </c>
      <c r="N49" s="23">
        <v>45979.590277777781</v>
      </c>
      <c r="P49" t="s">
        <v>1064</v>
      </c>
      <c r="Q49" t="s">
        <v>1065</v>
      </c>
      <c r="R49" t="s">
        <v>1108</v>
      </c>
      <c r="S49" t="s">
        <v>1066</v>
      </c>
      <c r="T49" t="s">
        <v>143</v>
      </c>
      <c r="U49" t="s">
        <v>1072</v>
      </c>
      <c r="V49" t="s">
        <v>1310</v>
      </c>
      <c r="W49" t="s">
        <v>131</v>
      </c>
      <c r="Y49" t="s">
        <v>249</v>
      </c>
      <c r="Z49" t="s">
        <v>120</v>
      </c>
      <c r="AA49" t="s">
        <v>618</v>
      </c>
      <c r="AB49" s="24">
        <v>1</v>
      </c>
      <c r="AC49" s="24">
        <v>1</v>
      </c>
      <c r="AD49" s="24">
        <v>232859</v>
      </c>
      <c r="AE49" s="24">
        <v>110808</v>
      </c>
      <c r="AF49" s="24">
        <v>343667</v>
      </c>
    </row>
    <row r="50" spans="1:32">
      <c r="A50" t="s">
        <v>64</v>
      </c>
      <c r="B50" t="s">
        <v>135</v>
      </c>
      <c r="C50" t="s">
        <v>48</v>
      </c>
      <c r="D50" t="s">
        <v>460</v>
      </c>
      <c r="E50" s="56">
        <v>3024852</v>
      </c>
      <c r="F50" t="s">
        <v>1311</v>
      </c>
      <c r="G50" t="s">
        <v>1060</v>
      </c>
      <c r="H50" t="s">
        <v>168</v>
      </c>
      <c r="I50" t="s">
        <v>463</v>
      </c>
      <c r="J50" t="s">
        <v>1312</v>
      </c>
      <c r="K50" t="s">
        <v>112</v>
      </c>
      <c r="L50" t="s">
        <v>1313</v>
      </c>
      <c r="M50" s="23">
        <v>45979.636805555558</v>
      </c>
      <c r="N50" s="23">
        <v>45986.583333333343</v>
      </c>
      <c r="P50" t="s">
        <v>1064</v>
      </c>
      <c r="Q50" t="s">
        <v>1065</v>
      </c>
      <c r="R50" t="s">
        <v>1066</v>
      </c>
      <c r="S50" t="s">
        <v>1066</v>
      </c>
      <c r="T50" t="s">
        <v>143</v>
      </c>
      <c r="U50" t="s">
        <v>1072</v>
      </c>
      <c r="V50" t="s">
        <v>1314</v>
      </c>
      <c r="W50" t="s">
        <v>131</v>
      </c>
      <c r="Y50" t="s">
        <v>119</v>
      </c>
      <c r="Z50" t="s">
        <v>120</v>
      </c>
      <c r="AA50" t="s">
        <v>174</v>
      </c>
      <c r="AB50" s="24">
        <v>1</v>
      </c>
      <c r="AC50" s="24">
        <v>1</v>
      </c>
      <c r="AD50" s="24">
        <v>548634</v>
      </c>
      <c r="AE50" s="24">
        <v>110808</v>
      </c>
      <c r="AF50" s="24">
        <v>659442</v>
      </c>
    </row>
    <row r="51" spans="1:32">
      <c r="A51" t="s">
        <v>35</v>
      </c>
      <c r="B51" t="s">
        <v>284</v>
      </c>
      <c r="C51" t="s">
        <v>36</v>
      </c>
      <c r="D51" t="s">
        <v>915</v>
      </c>
      <c r="E51" s="56">
        <v>3024858</v>
      </c>
      <c r="F51" t="s">
        <v>1315</v>
      </c>
      <c r="G51" t="s">
        <v>1060</v>
      </c>
      <c r="H51" t="s">
        <v>918</v>
      </c>
      <c r="I51" t="s">
        <v>35</v>
      </c>
      <c r="J51" t="s">
        <v>1316</v>
      </c>
      <c r="K51" t="s">
        <v>112</v>
      </c>
      <c r="L51" t="s">
        <v>1317</v>
      </c>
      <c r="M51" s="23">
        <v>45978.647916666669</v>
      </c>
      <c r="N51" s="23">
        <v>45979.511111111111</v>
      </c>
      <c r="P51" t="s">
        <v>1064</v>
      </c>
      <c r="Q51" t="s">
        <v>1065</v>
      </c>
      <c r="R51" t="s">
        <v>1066</v>
      </c>
      <c r="S51" t="s">
        <v>1066</v>
      </c>
      <c r="T51" t="s">
        <v>143</v>
      </c>
      <c r="U51" t="s">
        <v>1072</v>
      </c>
      <c r="V51" t="s">
        <v>1318</v>
      </c>
      <c r="W51" t="s">
        <v>131</v>
      </c>
      <c r="Y51" t="s">
        <v>8</v>
      </c>
      <c r="Z51" t="s">
        <v>120</v>
      </c>
      <c r="AA51" t="s">
        <v>960</v>
      </c>
      <c r="AB51" s="24">
        <v>1</v>
      </c>
      <c r="AC51" s="24">
        <v>1</v>
      </c>
      <c r="AD51" s="24">
        <v>96011</v>
      </c>
      <c r="AE51" s="24">
        <v>57415</v>
      </c>
      <c r="AF51" s="24">
        <v>153426</v>
      </c>
    </row>
    <row r="52" spans="1:32">
      <c r="A52" t="s">
        <v>47</v>
      </c>
      <c r="B52" t="s">
        <v>135</v>
      </c>
      <c r="C52" t="s">
        <v>48</v>
      </c>
      <c r="D52" t="s">
        <v>1319</v>
      </c>
      <c r="E52" s="56">
        <v>3027591</v>
      </c>
      <c r="F52" t="s">
        <v>1320</v>
      </c>
      <c r="G52" t="s">
        <v>1060</v>
      </c>
      <c r="H52" t="s">
        <v>784</v>
      </c>
      <c r="I52" t="s">
        <v>1321</v>
      </c>
      <c r="J52" t="s">
        <v>1322</v>
      </c>
      <c r="K52" t="s">
        <v>112</v>
      </c>
      <c r="L52" t="s">
        <v>1323</v>
      </c>
      <c r="M52" s="23">
        <v>45979.438888888893</v>
      </c>
      <c r="N52" s="23">
        <v>45980.586805555547</v>
      </c>
      <c r="P52" t="s">
        <v>1064</v>
      </c>
      <c r="Q52" t="s">
        <v>1065</v>
      </c>
      <c r="R52" t="s">
        <v>1066</v>
      </c>
      <c r="S52" t="s">
        <v>1066</v>
      </c>
      <c r="T52" t="s">
        <v>143</v>
      </c>
      <c r="U52" t="s">
        <v>1072</v>
      </c>
      <c r="V52" t="s">
        <v>1324</v>
      </c>
      <c r="W52" t="s">
        <v>131</v>
      </c>
      <c r="Y52" t="s">
        <v>249</v>
      </c>
      <c r="Z52" t="s">
        <v>120</v>
      </c>
      <c r="AA52" t="s">
        <v>428</v>
      </c>
      <c r="AB52" s="24">
        <v>1</v>
      </c>
      <c r="AC52" s="24">
        <v>1</v>
      </c>
      <c r="AD52" s="24">
        <v>232859</v>
      </c>
      <c r="AE52" s="24">
        <v>110808</v>
      </c>
      <c r="AF52" s="24">
        <v>343667</v>
      </c>
    </row>
    <row r="53" spans="1:32">
      <c r="A53" t="s">
        <v>71</v>
      </c>
      <c r="B53" t="s">
        <v>404</v>
      </c>
      <c r="C53" t="s">
        <v>54</v>
      </c>
      <c r="D53" t="s">
        <v>678</v>
      </c>
      <c r="E53" s="56">
        <v>3028672</v>
      </c>
      <c r="F53" t="s">
        <v>1325</v>
      </c>
      <c r="G53" t="s">
        <v>1060</v>
      </c>
      <c r="H53" t="s">
        <v>681</v>
      </c>
      <c r="I53" t="s">
        <v>71</v>
      </c>
      <c r="J53" t="s">
        <v>1326</v>
      </c>
      <c r="K53" t="s">
        <v>112</v>
      </c>
      <c r="L53" t="s">
        <v>1327</v>
      </c>
      <c r="M53" s="23">
        <v>45979.506944444453</v>
      </c>
      <c r="N53" s="23">
        <v>45980.481249999997</v>
      </c>
      <c r="P53" t="s">
        <v>1064</v>
      </c>
      <c r="Q53" t="s">
        <v>1065</v>
      </c>
      <c r="R53" t="s">
        <v>1066</v>
      </c>
      <c r="S53" t="s">
        <v>1066</v>
      </c>
      <c r="T53" t="s">
        <v>143</v>
      </c>
      <c r="U53" t="s">
        <v>1072</v>
      </c>
      <c r="V53" t="s">
        <v>1328</v>
      </c>
      <c r="W53" t="s">
        <v>131</v>
      </c>
      <c r="Y53" t="s">
        <v>8</v>
      </c>
      <c r="Z53" t="s">
        <v>120</v>
      </c>
      <c r="AA53" t="s">
        <v>1110</v>
      </c>
      <c r="AB53" s="24">
        <v>1</v>
      </c>
      <c r="AC53" s="24">
        <v>1</v>
      </c>
      <c r="AD53" s="24">
        <v>96011</v>
      </c>
      <c r="AE53" s="24">
        <v>57415</v>
      </c>
      <c r="AF53" s="24">
        <v>153426</v>
      </c>
    </row>
    <row r="54" spans="1:32">
      <c r="A54" t="s">
        <v>57</v>
      </c>
      <c r="B54" t="s">
        <v>404</v>
      </c>
      <c r="C54" t="s">
        <v>54</v>
      </c>
      <c r="D54" t="s">
        <v>405</v>
      </c>
      <c r="E54" s="56">
        <v>3028950</v>
      </c>
      <c r="F54" t="s">
        <v>1170</v>
      </c>
      <c r="G54" t="s">
        <v>1060</v>
      </c>
      <c r="H54" t="s">
        <v>408</v>
      </c>
      <c r="I54" t="s">
        <v>57</v>
      </c>
      <c r="J54" t="s">
        <v>1171</v>
      </c>
      <c r="K54" t="s">
        <v>112</v>
      </c>
      <c r="L54" t="s">
        <v>1329</v>
      </c>
      <c r="M54" s="23">
        <v>45979.561111111107</v>
      </c>
      <c r="N54" s="23">
        <v>45981.480555555558</v>
      </c>
      <c r="P54" t="s">
        <v>1064</v>
      </c>
      <c r="Q54" t="s">
        <v>1065</v>
      </c>
      <c r="R54" t="s">
        <v>1066</v>
      </c>
      <c r="S54" t="s">
        <v>1066</v>
      </c>
      <c r="T54" t="s">
        <v>143</v>
      </c>
      <c r="U54" t="s">
        <v>1072</v>
      </c>
      <c r="V54" t="s">
        <v>1330</v>
      </c>
      <c r="W54" t="s">
        <v>131</v>
      </c>
      <c r="Y54" t="s">
        <v>8</v>
      </c>
      <c r="Z54" t="s">
        <v>120</v>
      </c>
      <c r="AA54" t="s">
        <v>413</v>
      </c>
      <c r="AB54" s="24">
        <v>1</v>
      </c>
      <c r="AC54" s="24">
        <v>1</v>
      </c>
      <c r="AD54" s="24">
        <v>96011</v>
      </c>
      <c r="AE54" s="24">
        <v>57415</v>
      </c>
      <c r="AF54" s="24">
        <v>153426</v>
      </c>
    </row>
    <row r="55" spans="1:32">
      <c r="A55" t="s">
        <v>61</v>
      </c>
      <c r="B55" t="s">
        <v>103</v>
      </c>
      <c r="C55" t="s">
        <v>32</v>
      </c>
      <c r="D55" t="s">
        <v>1331</v>
      </c>
      <c r="E55" s="56">
        <v>3031020</v>
      </c>
      <c r="F55" t="s">
        <v>1332</v>
      </c>
      <c r="G55" t="s">
        <v>1060</v>
      </c>
      <c r="H55" t="s">
        <v>109</v>
      </c>
      <c r="I55" t="s">
        <v>1333</v>
      </c>
      <c r="J55" t="s">
        <v>1334</v>
      </c>
      <c r="K55" t="s">
        <v>112</v>
      </c>
      <c r="L55" t="s">
        <v>1335</v>
      </c>
      <c r="M55" s="23">
        <v>45979.686111111107</v>
      </c>
      <c r="N55" s="23">
        <v>45982.47152777778</v>
      </c>
      <c r="P55" t="s">
        <v>1064</v>
      </c>
      <c r="Q55" t="s">
        <v>1065</v>
      </c>
      <c r="R55" t="s">
        <v>114</v>
      </c>
      <c r="S55" t="s">
        <v>488</v>
      </c>
      <c r="T55" t="s">
        <v>143</v>
      </c>
      <c r="U55" t="s">
        <v>1072</v>
      </c>
      <c r="V55" t="s">
        <v>1336</v>
      </c>
      <c r="W55" t="s">
        <v>118</v>
      </c>
      <c r="Y55" t="s">
        <v>8</v>
      </c>
      <c r="Z55" t="s">
        <v>120</v>
      </c>
      <c r="AA55" t="s">
        <v>1337</v>
      </c>
      <c r="AB55" s="24">
        <v>0</v>
      </c>
      <c r="AC55" s="24">
        <v>0</v>
      </c>
      <c r="AD55" s="24">
        <v>37905</v>
      </c>
      <c r="AE55" s="24">
        <v>0</v>
      </c>
      <c r="AF55" s="24">
        <v>37905</v>
      </c>
    </row>
    <row r="56" spans="1:32">
      <c r="A56" t="s">
        <v>43</v>
      </c>
      <c r="B56" t="s">
        <v>154</v>
      </c>
      <c r="C56" t="s">
        <v>44</v>
      </c>
      <c r="D56" t="s">
        <v>387</v>
      </c>
      <c r="E56" s="56">
        <v>3031048</v>
      </c>
      <c r="F56" t="s">
        <v>1338</v>
      </c>
      <c r="G56" t="s">
        <v>1060</v>
      </c>
      <c r="H56" t="s">
        <v>390</v>
      </c>
      <c r="I56" t="s">
        <v>43</v>
      </c>
      <c r="J56" t="s">
        <v>1339</v>
      </c>
      <c r="K56" t="s">
        <v>112</v>
      </c>
      <c r="L56" t="s">
        <v>1340</v>
      </c>
      <c r="M56" s="23">
        <v>45979.691666666673</v>
      </c>
      <c r="N56" s="23">
        <v>45980.390972222223</v>
      </c>
      <c r="P56" t="s">
        <v>1064</v>
      </c>
      <c r="Q56" t="s">
        <v>1065</v>
      </c>
      <c r="R56" t="s">
        <v>114</v>
      </c>
      <c r="S56" t="s">
        <v>115</v>
      </c>
      <c r="T56" t="s">
        <v>143</v>
      </c>
      <c r="U56" t="s">
        <v>1072</v>
      </c>
      <c r="V56" t="s">
        <v>1341</v>
      </c>
      <c r="W56" t="s">
        <v>131</v>
      </c>
      <c r="Y56" t="s">
        <v>8</v>
      </c>
      <c r="Z56" t="s">
        <v>120</v>
      </c>
      <c r="AA56" t="s">
        <v>832</v>
      </c>
      <c r="AB56" s="24">
        <v>1</v>
      </c>
      <c r="AC56" s="24">
        <v>1</v>
      </c>
      <c r="AD56" s="24">
        <v>96011</v>
      </c>
      <c r="AE56" s="24">
        <v>57415</v>
      </c>
      <c r="AF56" s="24">
        <v>153426</v>
      </c>
    </row>
    <row r="57" spans="1:32">
      <c r="A57" t="s">
        <v>43</v>
      </c>
      <c r="B57" t="s">
        <v>154</v>
      </c>
      <c r="C57" t="s">
        <v>44</v>
      </c>
      <c r="D57" t="s">
        <v>387</v>
      </c>
      <c r="E57" s="56">
        <v>3031374</v>
      </c>
      <c r="F57" t="s">
        <v>1342</v>
      </c>
      <c r="G57" t="s">
        <v>1060</v>
      </c>
      <c r="H57" t="s">
        <v>390</v>
      </c>
      <c r="I57" t="s">
        <v>43</v>
      </c>
      <c r="J57" t="s">
        <v>1343</v>
      </c>
      <c r="K57" t="s">
        <v>112</v>
      </c>
      <c r="L57" t="s">
        <v>1344</v>
      </c>
      <c r="M57" s="23">
        <v>45980.333333333343</v>
      </c>
      <c r="N57" s="23">
        <v>45980.433333333327</v>
      </c>
      <c r="P57" t="s">
        <v>1064</v>
      </c>
      <c r="Q57" t="s">
        <v>1065</v>
      </c>
      <c r="R57" t="s">
        <v>114</v>
      </c>
      <c r="S57" t="s">
        <v>488</v>
      </c>
      <c r="T57" t="s">
        <v>143</v>
      </c>
      <c r="U57" t="s">
        <v>1072</v>
      </c>
      <c r="V57" t="s">
        <v>1345</v>
      </c>
      <c r="W57" t="s">
        <v>131</v>
      </c>
      <c r="Y57" t="s">
        <v>8</v>
      </c>
      <c r="Z57" t="s">
        <v>120</v>
      </c>
      <c r="AA57" t="s">
        <v>261</v>
      </c>
      <c r="AB57" s="24">
        <v>1</v>
      </c>
      <c r="AC57" s="24">
        <v>1</v>
      </c>
      <c r="AD57" s="24">
        <v>96011</v>
      </c>
      <c r="AE57" s="24">
        <v>57415</v>
      </c>
      <c r="AF57" s="24">
        <v>153426</v>
      </c>
    </row>
    <row r="58" spans="1:32">
      <c r="A58" t="s">
        <v>63</v>
      </c>
      <c r="B58" t="s">
        <v>404</v>
      </c>
      <c r="C58" t="s">
        <v>54</v>
      </c>
      <c r="D58" t="s">
        <v>1346</v>
      </c>
      <c r="E58" s="56">
        <v>3031468</v>
      </c>
      <c r="F58" t="s">
        <v>1347</v>
      </c>
      <c r="G58" t="s">
        <v>1060</v>
      </c>
      <c r="H58" t="s">
        <v>1148</v>
      </c>
      <c r="I58" t="s">
        <v>63</v>
      </c>
      <c r="J58" t="s">
        <v>1348</v>
      </c>
      <c r="K58" t="s">
        <v>112</v>
      </c>
      <c r="L58" t="s">
        <v>1349</v>
      </c>
      <c r="M58" s="23">
        <v>45980.333333333343</v>
      </c>
      <c r="N58" s="23">
        <v>45981.636805555558</v>
      </c>
      <c r="P58" t="s">
        <v>1064</v>
      </c>
      <c r="Q58" t="s">
        <v>1065</v>
      </c>
      <c r="R58" t="s">
        <v>1108</v>
      </c>
      <c r="S58" t="s">
        <v>1108</v>
      </c>
      <c r="T58" t="s">
        <v>143</v>
      </c>
      <c r="U58" t="s">
        <v>1072</v>
      </c>
      <c r="V58" t="s">
        <v>1350</v>
      </c>
      <c r="W58" t="s">
        <v>131</v>
      </c>
      <c r="Y58" t="s">
        <v>8</v>
      </c>
      <c r="Z58" t="s">
        <v>120</v>
      </c>
      <c r="AA58" t="s">
        <v>1153</v>
      </c>
      <c r="AB58" s="24">
        <v>1</v>
      </c>
      <c r="AC58" s="24">
        <v>1</v>
      </c>
      <c r="AD58" s="24">
        <v>96011</v>
      </c>
      <c r="AE58" s="24">
        <v>57415</v>
      </c>
      <c r="AF58" s="24">
        <v>153426</v>
      </c>
    </row>
    <row r="59" spans="1:32">
      <c r="A59" t="s">
        <v>61</v>
      </c>
      <c r="B59" t="s">
        <v>103</v>
      </c>
      <c r="C59" t="s">
        <v>32</v>
      </c>
      <c r="D59" t="s">
        <v>1351</v>
      </c>
      <c r="E59" s="56">
        <v>3034539</v>
      </c>
      <c r="F59" t="s">
        <v>1352</v>
      </c>
      <c r="G59" t="s">
        <v>1060</v>
      </c>
      <c r="H59" t="s">
        <v>109</v>
      </c>
      <c r="I59" t="s">
        <v>1353</v>
      </c>
      <c r="J59" t="s">
        <v>1354</v>
      </c>
      <c r="K59" t="s">
        <v>112</v>
      </c>
      <c r="L59" t="s">
        <v>1355</v>
      </c>
      <c r="M59" s="23">
        <v>45980.463194444441</v>
      </c>
      <c r="N59" s="23">
        <v>45987.446527777778</v>
      </c>
      <c r="P59" t="s">
        <v>1064</v>
      </c>
      <c r="Q59" t="s">
        <v>1065</v>
      </c>
      <c r="R59" t="s">
        <v>1108</v>
      </c>
      <c r="S59" t="s">
        <v>1108</v>
      </c>
      <c r="T59" t="s">
        <v>143</v>
      </c>
      <c r="U59" t="s">
        <v>1072</v>
      </c>
      <c r="V59" t="s">
        <v>1356</v>
      </c>
      <c r="W59" t="s">
        <v>131</v>
      </c>
      <c r="Y59" t="s">
        <v>249</v>
      </c>
      <c r="Z59" t="s">
        <v>120</v>
      </c>
      <c r="AA59" t="s">
        <v>198</v>
      </c>
      <c r="AB59" s="24">
        <v>1</v>
      </c>
      <c r="AC59" s="24">
        <v>1</v>
      </c>
      <c r="AD59" s="24">
        <v>232859</v>
      </c>
      <c r="AE59" s="24">
        <v>110808</v>
      </c>
      <c r="AF59" s="24">
        <v>343667</v>
      </c>
    </row>
    <row r="60" spans="1:32">
      <c r="A60" t="s">
        <v>47</v>
      </c>
      <c r="B60" t="s">
        <v>135</v>
      </c>
      <c r="C60" t="s">
        <v>48</v>
      </c>
      <c r="D60" t="s">
        <v>1357</v>
      </c>
      <c r="E60" s="56">
        <v>3036301</v>
      </c>
      <c r="F60" t="s">
        <v>1358</v>
      </c>
      <c r="G60" t="s">
        <v>1060</v>
      </c>
      <c r="H60" t="s">
        <v>784</v>
      </c>
      <c r="I60" t="s">
        <v>1359</v>
      </c>
      <c r="J60" t="s">
        <v>1360</v>
      </c>
      <c r="K60" t="s">
        <v>112</v>
      </c>
      <c r="L60" t="s">
        <v>1361</v>
      </c>
      <c r="M60" s="23">
        <v>45980.614583333343</v>
      </c>
      <c r="N60" s="23">
        <v>45985.625</v>
      </c>
      <c r="P60" t="s">
        <v>1064</v>
      </c>
      <c r="Q60" t="s">
        <v>1065</v>
      </c>
      <c r="R60" t="s">
        <v>1066</v>
      </c>
      <c r="S60" t="s">
        <v>1066</v>
      </c>
      <c r="T60" t="s">
        <v>143</v>
      </c>
      <c r="U60" t="s">
        <v>1072</v>
      </c>
      <c r="V60" t="s">
        <v>1362</v>
      </c>
      <c r="W60" t="s">
        <v>131</v>
      </c>
      <c r="Y60" t="s">
        <v>249</v>
      </c>
      <c r="Z60" t="s">
        <v>120</v>
      </c>
      <c r="AA60" t="s">
        <v>450</v>
      </c>
      <c r="AB60" s="24">
        <v>1</v>
      </c>
      <c r="AC60" s="24">
        <v>1</v>
      </c>
      <c r="AD60" s="24">
        <v>232859</v>
      </c>
      <c r="AE60" s="24">
        <v>110808</v>
      </c>
      <c r="AF60" s="24">
        <v>343667</v>
      </c>
    </row>
    <row r="61" spans="1:32">
      <c r="A61" t="s">
        <v>47</v>
      </c>
      <c r="B61" t="s">
        <v>135</v>
      </c>
      <c r="C61" t="s">
        <v>48</v>
      </c>
      <c r="D61" t="s">
        <v>1357</v>
      </c>
      <c r="E61" s="56">
        <v>3039878</v>
      </c>
      <c r="F61" t="s">
        <v>1363</v>
      </c>
      <c r="G61" t="s">
        <v>1060</v>
      </c>
      <c r="H61" t="s">
        <v>784</v>
      </c>
      <c r="I61" t="s">
        <v>1359</v>
      </c>
      <c r="J61" t="s">
        <v>1364</v>
      </c>
      <c r="K61" t="s">
        <v>112</v>
      </c>
      <c r="L61" t="s">
        <v>1365</v>
      </c>
      <c r="M61" s="23">
        <v>45981.420138888891</v>
      </c>
      <c r="N61" s="23">
        <v>45985.620833333327</v>
      </c>
      <c r="P61" t="s">
        <v>1064</v>
      </c>
      <c r="Q61" t="s">
        <v>1065</v>
      </c>
      <c r="R61" t="s">
        <v>1066</v>
      </c>
      <c r="S61" t="s">
        <v>1066</v>
      </c>
      <c r="T61" t="s">
        <v>143</v>
      </c>
      <c r="U61" t="s">
        <v>1072</v>
      </c>
      <c r="V61" t="s">
        <v>1366</v>
      </c>
      <c r="W61" t="s">
        <v>131</v>
      </c>
      <c r="Y61" t="s">
        <v>249</v>
      </c>
      <c r="Z61" t="s">
        <v>120</v>
      </c>
      <c r="AA61" t="s">
        <v>450</v>
      </c>
      <c r="AB61" s="24">
        <v>1</v>
      </c>
      <c r="AC61" s="24">
        <v>1</v>
      </c>
      <c r="AD61" s="24">
        <v>232859</v>
      </c>
      <c r="AE61" s="24">
        <v>110808</v>
      </c>
      <c r="AF61" s="24">
        <v>343667</v>
      </c>
    </row>
    <row r="62" spans="1:32">
      <c r="A62" t="s">
        <v>68</v>
      </c>
      <c r="B62" t="s">
        <v>284</v>
      </c>
      <c r="C62" t="s">
        <v>36</v>
      </c>
      <c r="D62" t="s">
        <v>1367</v>
      </c>
      <c r="E62" s="56">
        <v>3039956</v>
      </c>
      <c r="F62" t="s">
        <v>1368</v>
      </c>
      <c r="G62" t="s">
        <v>1060</v>
      </c>
      <c r="H62" t="s">
        <v>580</v>
      </c>
      <c r="I62" t="s">
        <v>1369</v>
      </c>
      <c r="J62" t="s">
        <v>1370</v>
      </c>
      <c r="K62" t="s">
        <v>112</v>
      </c>
      <c r="L62" t="s">
        <v>1371</v>
      </c>
      <c r="M62" s="23">
        <v>45981.426388888889</v>
      </c>
      <c r="N62" s="23">
        <v>45983.513194444437</v>
      </c>
      <c r="P62" t="s">
        <v>1064</v>
      </c>
      <c r="Q62" t="s">
        <v>1065</v>
      </c>
      <c r="R62" t="s">
        <v>114</v>
      </c>
      <c r="S62" t="s">
        <v>115</v>
      </c>
      <c r="T62" t="s">
        <v>143</v>
      </c>
      <c r="U62" t="s">
        <v>1072</v>
      </c>
      <c r="V62" t="s">
        <v>1372</v>
      </c>
      <c r="W62" t="s">
        <v>131</v>
      </c>
      <c r="Y62" t="s">
        <v>249</v>
      </c>
      <c r="Z62" t="s">
        <v>120</v>
      </c>
      <c r="AA62" t="s">
        <v>700</v>
      </c>
      <c r="AB62" s="24">
        <v>1</v>
      </c>
      <c r="AC62" s="24">
        <v>1</v>
      </c>
      <c r="AD62" s="24">
        <v>232859</v>
      </c>
      <c r="AE62" s="24">
        <v>110808</v>
      </c>
      <c r="AF62" s="24">
        <v>343667</v>
      </c>
    </row>
    <row r="63" spans="1:32">
      <c r="A63" t="s">
        <v>65</v>
      </c>
      <c r="B63" t="s">
        <v>135</v>
      </c>
      <c r="C63" t="s">
        <v>59</v>
      </c>
      <c r="D63" t="s">
        <v>1373</v>
      </c>
      <c r="E63" s="56">
        <v>3041047</v>
      </c>
      <c r="F63" t="s">
        <v>1374</v>
      </c>
      <c r="G63" t="s">
        <v>1060</v>
      </c>
      <c r="H63" t="s">
        <v>423</v>
      </c>
      <c r="I63" t="s">
        <v>1375</v>
      </c>
      <c r="J63" t="s">
        <v>1376</v>
      </c>
      <c r="K63" t="s">
        <v>112</v>
      </c>
      <c r="L63" t="s">
        <v>1377</v>
      </c>
      <c r="M63" s="23">
        <v>45981.478472222218</v>
      </c>
      <c r="N63" s="23">
        <v>45986.663194444453</v>
      </c>
      <c r="P63" t="s">
        <v>1064</v>
      </c>
      <c r="Q63" t="s">
        <v>1065</v>
      </c>
      <c r="R63" t="s">
        <v>1066</v>
      </c>
      <c r="S63" t="s">
        <v>1066</v>
      </c>
      <c r="T63" t="s">
        <v>143</v>
      </c>
      <c r="U63" t="s">
        <v>1072</v>
      </c>
      <c r="V63" t="s">
        <v>1378</v>
      </c>
      <c r="W63" t="s">
        <v>131</v>
      </c>
      <c r="Y63" t="s">
        <v>249</v>
      </c>
      <c r="Z63" t="s">
        <v>120</v>
      </c>
      <c r="AA63" t="s">
        <v>386</v>
      </c>
      <c r="AB63" s="24">
        <v>1</v>
      </c>
      <c r="AC63" s="24">
        <v>1</v>
      </c>
      <c r="AD63" s="24">
        <v>232859</v>
      </c>
      <c r="AE63" s="24">
        <v>110808</v>
      </c>
      <c r="AF63" s="24">
        <v>343667</v>
      </c>
    </row>
    <row r="64" spans="1:32">
      <c r="A64" t="s">
        <v>39</v>
      </c>
      <c r="B64" t="s">
        <v>295</v>
      </c>
      <c r="C64" t="s">
        <v>40</v>
      </c>
      <c r="D64" t="s">
        <v>1379</v>
      </c>
      <c r="E64" s="56">
        <v>3041221</v>
      </c>
      <c r="F64" t="s">
        <v>1380</v>
      </c>
      <c r="G64" t="s">
        <v>1060</v>
      </c>
      <c r="H64" t="s">
        <v>295</v>
      </c>
      <c r="I64" t="s">
        <v>1381</v>
      </c>
      <c r="J64" t="s">
        <v>1382</v>
      </c>
      <c r="K64" t="s">
        <v>112</v>
      </c>
      <c r="L64" t="s">
        <v>1383</v>
      </c>
      <c r="M64" s="23">
        <v>45981.493750000001</v>
      </c>
      <c r="N64" s="23">
        <v>45982.588194444441</v>
      </c>
      <c r="P64" t="s">
        <v>1064</v>
      </c>
      <c r="Q64" t="s">
        <v>1065</v>
      </c>
      <c r="R64" t="s">
        <v>1066</v>
      </c>
      <c r="S64" t="s">
        <v>1066</v>
      </c>
      <c r="T64" t="s">
        <v>1384</v>
      </c>
      <c r="U64" t="s">
        <v>1072</v>
      </c>
      <c r="V64" t="s">
        <v>1385</v>
      </c>
      <c r="W64" t="s">
        <v>131</v>
      </c>
      <c r="Y64" t="s">
        <v>249</v>
      </c>
      <c r="Z64" t="s">
        <v>120</v>
      </c>
      <c r="AA64" t="s">
        <v>1047</v>
      </c>
      <c r="AB64" s="24">
        <v>2</v>
      </c>
      <c r="AC64" s="24">
        <v>3</v>
      </c>
      <c r="AD64" s="24">
        <v>465718</v>
      </c>
      <c r="AE64" s="24">
        <v>110808</v>
      </c>
      <c r="AF64" s="24">
        <v>798142</v>
      </c>
    </row>
    <row r="65" spans="1:32">
      <c r="A65" t="s">
        <v>65</v>
      </c>
      <c r="B65" t="s">
        <v>135</v>
      </c>
      <c r="C65" t="s">
        <v>59</v>
      </c>
      <c r="D65" t="s">
        <v>1141</v>
      </c>
      <c r="E65" s="56">
        <v>3041708</v>
      </c>
      <c r="F65" t="s">
        <v>1386</v>
      </c>
      <c r="G65" t="s">
        <v>1060</v>
      </c>
      <c r="H65" t="s">
        <v>380</v>
      </c>
      <c r="I65" t="s">
        <v>65</v>
      </c>
      <c r="J65" t="s">
        <v>1387</v>
      </c>
      <c r="K65" t="s">
        <v>112</v>
      </c>
      <c r="L65" t="s">
        <v>1388</v>
      </c>
      <c r="M65" s="23">
        <v>45981.557638888888</v>
      </c>
      <c r="N65" s="23">
        <v>45983.443055555559</v>
      </c>
      <c r="P65" t="s">
        <v>1064</v>
      </c>
      <c r="Q65" t="s">
        <v>1065</v>
      </c>
      <c r="R65" t="s">
        <v>114</v>
      </c>
      <c r="S65" t="s">
        <v>115</v>
      </c>
      <c r="T65" t="s">
        <v>143</v>
      </c>
      <c r="U65" t="s">
        <v>1072</v>
      </c>
      <c r="V65" t="s">
        <v>1389</v>
      </c>
      <c r="W65" t="s">
        <v>131</v>
      </c>
      <c r="Y65" t="s">
        <v>8</v>
      </c>
      <c r="Z65" t="s">
        <v>120</v>
      </c>
      <c r="AA65" t="s">
        <v>386</v>
      </c>
      <c r="AB65" s="24">
        <v>1</v>
      </c>
      <c r="AC65" s="24">
        <v>1</v>
      </c>
      <c r="AD65" s="24">
        <v>96011</v>
      </c>
      <c r="AE65" s="24">
        <v>57415</v>
      </c>
      <c r="AF65" s="24">
        <v>153426</v>
      </c>
    </row>
    <row r="66" spans="1:32">
      <c r="A66" t="s">
        <v>61</v>
      </c>
      <c r="B66" t="s">
        <v>103</v>
      </c>
      <c r="C66" t="s">
        <v>32</v>
      </c>
      <c r="D66" t="s">
        <v>225</v>
      </c>
      <c r="E66" s="56">
        <v>3042130</v>
      </c>
      <c r="F66" t="s">
        <v>1390</v>
      </c>
      <c r="G66" t="s">
        <v>1060</v>
      </c>
      <c r="H66" t="s">
        <v>109</v>
      </c>
      <c r="I66" t="s">
        <v>228</v>
      </c>
      <c r="J66" t="s">
        <v>1391</v>
      </c>
      <c r="K66" t="s">
        <v>112</v>
      </c>
      <c r="L66" t="s">
        <v>1392</v>
      </c>
      <c r="M66" s="23">
        <v>45981.625</v>
      </c>
      <c r="N66" s="23">
        <v>45987.586805555547</v>
      </c>
      <c r="P66" t="s">
        <v>1064</v>
      </c>
      <c r="Q66" t="s">
        <v>1065</v>
      </c>
      <c r="R66" t="s">
        <v>1108</v>
      </c>
      <c r="S66" t="s">
        <v>1108</v>
      </c>
      <c r="T66" t="s">
        <v>143</v>
      </c>
      <c r="U66" t="s">
        <v>1072</v>
      </c>
      <c r="V66" t="s">
        <v>1393</v>
      </c>
      <c r="W66" t="s">
        <v>131</v>
      </c>
      <c r="Y66" t="s">
        <v>8</v>
      </c>
      <c r="Z66" t="s">
        <v>120</v>
      </c>
      <c r="AA66" t="s">
        <v>198</v>
      </c>
      <c r="AB66" s="24">
        <v>1</v>
      </c>
      <c r="AC66" s="24">
        <v>1</v>
      </c>
      <c r="AD66" s="24">
        <v>96011</v>
      </c>
      <c r="AE66" s="24">
        <v>57415</v>
      </c>
      <c r="AF66" s="24">
        <v>153426</v>
      </c>
    </row>
    <row r="67" spans="1:32">
      <c r="A67" t="s">
        <v>39</v>
      </c>
      <c r="B67" t="s">
        <v>295</v>
      </c>
      <c r="C67" t="s">
        <v>40</v>
      </c>
      <c r="D67" t="s">
        <v>468</v>
      </c>
      <c r="E67" s="56">
        <v>3042659</v>
      </c>
      <c r="F67" t="s">
        <v>1394</v>
      </c>
      <c r="G67" t="s">
        <v>1060</v>
      </c>
      <c r="H67" t="s">
        <v>295</v>
      </c>
      <c r="I67" t="s">
        <v>39</v>
      </c>
      <c r="J67" t="s">
        <v>1395</v>
      </c>
      <c r="K67" t="s">
        <v>112</v>
      </c>
      <c r="L67" t="s">
        <v>1396</v>
      </c>
      <c r="M67" s="23">
        <v>45981.65625</v>
      </c>
      <c r="N67" s="23">
        <v>45982.463888888888</v>
      </c>
      <c r="P67" t="s">
        <v>1064</v>
      </c>
      <c r="Q67" t="s">
        <v>1065</v>
      </c>
      <c r="R67" t="s">
        <v>1066</v>
      </c>
      <c r="S67" t="s">
        <v>1066</v>
      </c>
      <c r="T67" t="s">
        <v>143</v>
      </c>
      <c r="U67" t="s">
        <v>1072</v>
      </c>
      <c r="V67" t="s">
        <v>1397</v>
      </c>
      <c r="W67" t="s">
        <v>131</v>
      </c>
      <c r="Y67" t="s">
        <v>8</v>
      </c>
      <c r="Z67" t="s">
        <v>120</v>
      </c>
      <c r="AA67" t="s">
        <v>475</v>
      </c>
      <c r="AB67" s="24">
        <v>1</v>
      </c>
      <c r="AC67" s="24">
        <v>1</v>
      </c>
      <c r="AD67" s="24">
        <v>96011</v>
      </c>
      <c r="AE67" s="24">
        <v>57415</v>
      </c>
      <c r="AF67" s="24">
        <v>153426</v>
      </c>
    </row>
    <row r="68" spans="1:32">
      <c r="A68" t="s">
        <v>39</v>
      </c>
      <c r="B68" t="s">
        <v>295</v>
      </c>
      <c r="C68" t="s">
        <v>40</v>
      </c>
      <c r="D68" t="s">
        <v>468</v>
      </c>
      <c r="E68" s="56">
        <v>3047165</v>
      </c>
      <c r="F68" t="s">
        <v>1398</v>
      </c>
      <c r="G68" t="s">
        <v>1060</v>
      </c>
      <c r="H68" t="s">
        <v>295</v>
      </c>
      <c r="I68" t="s">
        <v>39</v>
      </c>
      <c r="J68" t="s">
        <v>1399</v>
      </c>
      <c r="K68" t="s">
        <v>112</v>
      </c>
      <c r="L68" t="s">
        <v>1400</v>
      </c>
      <c r="M68" s="23">
        <v>45982.602777777778</v>
      </c>
      <c r="N68" s="23">
        <v>45988.498611111107</v>
      </c>
      <c r="P68" t="s">
        <v>1064</v>
      </c>
      <c r="Q68" t="s">
        <v>1065</v>
      </c>
      <c r="R68" t="s">
        <v>1108</v>
      </c>
      <c r="S68" t="s">
        <v>1108</v>
      </c>
      <c r="T68" t="s">
        <v>143</v>
      </c>
      <c r="U68" t="s">
        <v>1072</v>
      </c>
      <c r="V68" t="s">
        <v>1401</v>
      </c>
      <c r="W68" t="s">
        <v>131</v>
      </c>
      <c r="Y68" t="s">
        <v>8</v>
      </c>
      <c r="Z68" t="s">
        <v>120</v>
      </c>
      <c r="AA68" t="s">
        <v>1402</v>
      </c>
      <c r="AB68" s="24">
        <v>1</v>
      </c>
      <c r="AC68" s="24">
        <v>1</v>
      </c>
      <c r="AD68" s="24">
        <v>96011</v>
      </c>
      <c r="AE68" s="24">
        <v>57415</v>
      </c>
      <c r="AF68" s="24">
        <v>153426</v>
      </c>
    </row>
    <row r="69" spans="1:32">
      <c r="A69" t="s">
        <v>58</v>
      </c>
      <c r="B69" t="s">
        <v>135</v>
      </c>
      <c r="C69" t="s">
        <v>59</v>
      </c>
      <c r="D69" t="s">
        <v>1403</v>
      </c>
      <c r="E69" s="56">
        <v>3048493</v>
      </c>
      <c r="F69" t="s">
        <v>1404</v>
      </c>
      <c r="G69" t="s">
        <v>1060</v>
      </c>
      <c r="H69" t="s">
        <v>633</v>
      </c>
      <c r="I69" t="s">
        <v>1405</v>
      </c>
      <c r="J69" t="s">
        <v>1406</v>
      </c>
      <c r="K69" t="s">
        <v>112</v>
      </c>
      <c r="L69" t="s">
        <v>1407</v>
      </c>
      <c r="M69" s="23">
        <v>45983.375</v>
      </c>
      <c r="N69" s="23">
        <v>45985.51666666667</v>
      </c>
      <c r="P69" t="s">
        <v>1064</v>
      </c>
      <c r="Q69" t="s">
        <v>1065</v>
      </c>
      <c r="R69" t="s">
        <v>114</v>
      </c>
      <c r="S69" t="s">
        <v>115</v>
      </c>
      <c r="T69" t="s">
        <v>143</v>
      </c>
      <c r="U69" t="s">
        <v>1072</v>
      </c>
      <c r="V69" t="s">
        <v>1408</v>
      </c>
      <c r="W69" t="s">
        <v>131</v>
      </c>
      <c r="Y69" t="s">
        <v>249</v>
      </c>
      <c r="Z69" t="s">
        <v>120</v>
      </c>
      <c r="AA69" t="s">
        <v>1203</v>
      </c>
      <c r="AB69" s="24">
        <v>1</v>
      </c>
      <c r="AC69" s="24">
        <v>1</v>
      </c>
      <c r="AD69" s="24">
        <v>232859</v>
      </c>
      <c r="AE69" s="24">
        <v>110808</v>
      </c>
      <c r="AF69" s="24">
        <v>343667</v>
      </c>
    </row>
    <row r="70" spans="1:32">
      <c r="A70" t="s">
        <v>52</v>
      </c>
      <c r="B70" t="s">
        <v>154</v>
      </c>
      <c r="C70" t="s">
        <v>44</v>
      </c>
      <c r="D70" t="s">
        <v>337</v>
      </c>
      <c r="E70" s="56">
        <v>3048602</v>
      </c>
      <c r="F70" t="s">
        <v>1409</v>
      </c>
      <c r="G70" t="s">
        <v>1060</v>
      </c>
      <c r="H70" t="s">
        <v>340</v>
      </c>
      <c r="I70" t="s">
        <v>52</v>
      </c>
      <c r="J70" t="s">
        <v>1410</v>
      </c>
      <c r="K70" t="s">
        <v>112</v>
      </c>
      <c r="L70" t="s">
        <v>1411</v>
      </c>
      <c r="M70" s="23">
        <v>45982.71875</v>
      </c>
      <c r="N70" s="23">
        <v>45989.681944444441</v>
      </c>
      <c r="P70" t="s">
        <v>1064</v>
      </c>
      <c r="Q70" t="s">
        <v>1065</v>
      </c>
      <c r="R70" t="s">
        <v>1066</v>
      </c>
      <c r="S70" t="s">
        <v>1066</v>
      </c>
      <c r="T70" t="s">
        <v>143</v>
      </c>
      <c r="U70" t="s">
        <v>1072</v>
      </c>
      <c r="V70" t="s">
        <v>1412</v>
      </c>
      <c r="W70" t="s">
        <v>131</v>
      </c>
      <c r="Y70" t="s">
        <v>8</v>
      </c>
      <c r="Z70" t="s">
        <v>120</v>
      </c>
      <c r="AA70" t="s">
        <v>359</v>
      </c>
      <c r="AB70" s="24">
        <v>1</v>
      </c>
      <c r="AC70" s="24">
        <v>1</v>
      </c>
      <c r="AD70" s="24">
        <v>96011</v>
      </c>
      <c r="AE70" s="24">
        <v>57415</v>
      </c>
      <c r="AF70" s="24">
        <v>153426</v>
      </c>
    </row>
    <row r="71" spans="1:32">
      <c r="A71" t="s">
        <v>67</v>
      </c>
      <c r="B71" t="s">
        <v>284</v>
      </c>
      <c r="C71" t="s">
        <v>36</v>
      </c>
      <c r="D71" t="s">
        <v>315</v>
      </c>
      <c r="E71" s="56">
        <v>3048751</v>
      </c>
      <c r="F71" t="s">
        <v>1413</v>
      </c>
      <c r="G71" t="s">
        <v>1060</v>
      </c>
      <c r="H71" t="s">
        <v>318</v>
      </c>
      <c r="I71" t="s">
        <v>67</v>
      </c>
      <c r="J71" t="s">
        <v>1414</v>
      </c>
      <c r="K71" t="s">
        <v>112</v>
      </c>
      <c r="L71" t="s">
        <v>1415</v>
      </c>
      <c r="M71" s="23">
        <v>45983.375</v>
      </c>
      <c r="N71" s="23">
        <v>45985.685416666667</v>
      </c>
      <c r="P71" t="s">
        <v>1064</v>
      </c>
      <c r="Q71" t="s">
        <v>1065</v>
      </c>
      <c r="R71" t="s">
        <v>1066</v>
      </c>
      <c r="S71" t="s">
        <v>1066</v>
      </c>
      <c r="T71" t="s">
        <v>143</v>
      </c>
      <c r="U71" t="s">
        <v>1072</v>
      </c>
      <c r="V71" t="s">
        <v>1416</v>
      </c>
      <c r="W71" t="s">
        <v>131</v>
      </c>
      <c r="Y71" t="s">
        <v>8</v>
      </c>
      <c r="Z71" t="s">
        <v>120</v>
      </c>
      <c r="AA71" t="s">
        <v>314</v>
      </c>
      <c r="AB71" s="24">
        <v>1</v>
      </c>
      <c r="AC71" s="24">
        <v>1</v>
      </c>
      <c r="AD71" s="24">
        <v>96011</v>
      </c>
      <c r="AE71" s="24">
        <v>57415</v>
      </c>
      <c r="AF71" s="24">
        <v>153426</v>
      </c>
    </row>
    <row r="72" spans="1:32">
      <c r="A72" t="s">
        <v>31</v>
      </c>
      <c r="B72" t="s">
        <v>103</v>
      </c>
      <c r="C72" t="s">
        <v>32</v>
      </c>
      <c r="D72" t="s">
        <v>1417</v>
      </c>
      <c r="E72" s="56">
        <v>3049854</v>
      </c>
      <c r="F72" t="s">
        <v>1418</v>
      </c>
      <c r="G72" t="s">
        <v>1060</v>
      </c>
      <c r="H72" t="s">
        <v>109</v>
      </c>
      <c r="I72" t="s">
        <v>31</v>
      </c>
      <c r="J72" t="s">
        <v>1419</v>
      </c>
      <c r="K72" t="s">
        <v>112</v>
      </c>
      <c r="L72" t="s">
        <v>1420</v>
      </c>
      <c r="M72" s="23">
        <v>45985.333333333343</v>
      </c>
      <c r="N72" s="23">
        <v>45991.622916666667</v>
      </c>
      <c r="P72" t="s">
        <v>1064</v>
      </c>
      <c r="Q72" t="s">
        <v>1065</v>
      </c>
      <c r="R72" t="s">
        <v>114</v>
      </c>
      <c r="S72" t="s">
        <v>115</v>
      </c>
      <c r="T72" t="s">
        <v>1157</v>
      </c>
      <c r="U72" t="s">
        <v>1421</v>
      </c>
      <c r="V72" t="s">
        <v>1422</v>
      </c>
      <c r="W72" t="s">
        <v>118</v>
      </c>
      <c r="Y72" t="s">
        <v>8</v>
      </c>
      <c r="Z72" t="s">
        <v>120</v>
      </c>
      <c r="AA72" t="s">
        <v>519</v>
      </c>
      <c r="AB72" s="24">
        <v>0</v>
      </c>
      <c r="AC72" s="24">
        <v>0</v>
      </c>
      <c r="AD72" s="24">
        <v>37905</v>
      </c>
      <c r="AE72" s="24">
        <v>0</v>
      </c>
      <c r="AF72" s="24">
        <v>37905</v>
      </c>
    </row>
    <row r="73" spans="1:32">
      <c r="A73" t="s">
        <v>57</v>
      </c>
      <c r="B73" t="s">
        <v>404</v>
      </c>
      <c r="C73" t="s">
        <v>54</v>
      </c>
      <c r="D73" t="s">
        <v>405</v>
      </c>
      <c r="E73" s="56">
        <v>3053729</v>
      </c>
      <c r="F73" t="s">
        <v>1423</v>
      </c>
      <c r="G73" t="s">
        <v>1060</v>
      </c>
      <c r="H73" t="s">
        <v>408</v>
      </c>
      <c r="I73" t="s">
        <v>57</v>
      </c>
      <c r="J73" t="s">
        <v>1424</v>
      </c>
      <c r="K73" t="s">
        <v>112</v>
      </c>
      <c r="L73" t="s">
        <v>1425</v>
      </c>
      <c r="M73" s="23">
        <v>45985.48541666667</v>
      </c>
      <c r="N73" s="23">
        <v>45988.696527777778</v>
      </c>
      <c r="P73" t="s">
        <v>1064</v>
      </c>
      <c r="Q73" t="s">
        <v>1065</v>
      </c>
      <c r="R73" t="s">
        <v>1108</v>
      </c>
      <c r="S73" t="s">
        <v>1108</v>
      </c>
      <c r="T73" t="s">
        <v>143</v>
      </c>
      <c r="U73" t="s">
        <v>1072</v>
      </c>
      <c r="V73" t="s">
        <v>1426</v>
      </c>
      <c r="W73" t="s">
        <v>131</v>
      </c>
      <c r="Y73" t="s">
        <v>8</v>
      </c>
      <c r="Z73" t="s">
        <v>120</v>
      </c>
      <c r="AA73" t="s">
        <v>989</v>
      </c>
      <c r="AB73" s="24">
        <v>1</v>
      </c>
      <c r="AC73" s="24">
        <v>1</v>
      </c>
      <c r="AD73" s="24">
        <v>96011</v>
      </c>
      <c r="AE73" s="24">
        <v>57415</v>
      </c>
      <c r="AF73" s="24">
        <v>153426</v>
      </c>
    </row>
    <row r="74" spans="1:32">
      <c r="A74" t="s">
        <v>71</v>
      </c>
      <c r="B74" t="s">
        <v>404</v>
      </c>
      <c r="C74" t="s">
        <v>54</v>
      </c>
      <c r="D74" t="s">
        <v>678</v>
      </c>
      <c r="E74" s="56">
        <v>3056562</v>
      </c>
      <c r="F74" t="s">
        <v>1427</v>
      </c>
      <c r="G74" t="s">
        <v>1060</v>
      </c>
      <c r="H74" t="s">
        <v>681</v>
      </c>
      <c r="I74" t="s">
        <v>71</v>
      </c>
      <c r="J74" t="s">
        <v>1428</v>
      </c>
      <c r="K74" t="s">
        <v>112</v>
      </c>
      <c r="L74" t="s">
        <v>1429</v>
      </c>
      <c r="M74" s="23">
        <v>45985.6875</v>
      </c>
      <c r="N74" s="23">
        <v>45987.646527777782</v>
      </c>
      <c r="P74" t="s">
        <v>1064</v>
      </c>
      <c r="Q74" t="s">
        <v>1065</v>
      </c>
      <c r="R74" t="s">
        <v>1066</v>
      </c>
      <c r="S74" t="s">
        <v>1066</v>
      </c>
      <c r="T74" t="s">
        <v>143</v>
      </c>
      <c r="U74" t="s">
        <v>1072</v>
      </c>
      <c r="V74" t="s">
        <v>1430</v>
      </c>
      <c r="W74" t="s">
        <v>131</v>
      </c>
      <c r="Y74" t="s">
        <v>8</v>
      </c>
      <c r="Z74" t="s">
        <v>120</v>
      </c>
      <c r="AA74" t="s">
        <v>1110</v>
      </c>
      <c r="AB74" s="24">
        <v>1</v>
      </c>
      <c r="AC74" s="24">
        <v>1</v>
      </c>
      <c r="AD74" s="24">
        <v>96011</v>
      </c>
      <c r="AE74" s="24">
        <v>57415</v>
      </c>
      <c r="AF74" s="24">
        <v>153426</v>
      </c>
    </row>
    <row r="75" spans="1:32">
      <c r="A75" t="s">
        <v>62</v>
      </c>
      <c r="B75" t="s">
        <v>284</v>
      </c>
      <c r="C75" t="s">
        <v>36</v>
      </c>
      <c r="D75" t="s">
        <v>1431</v>
      </c>
      <c r="E75" s="56">
        <v>3066290</v>
      </c>
      <c r="F75" t="s">
        <v>1432</v>
      </c>
      <c r="G75" t="s">
        <v>1060</v>
      </c>
      <c r="H75" t="s">
        <v>288</v>
      </c>
      <c r="I75" t="s">
        <v>1433</v>
      </c>
      <c r="J75" t="s">
        <v>1434</v>
      </c>
      <c r="K75" t="s">
        <v>112</v>
      </c>
      <c r="L75" t="s">
        <v>1435</v>
      </c>
      <c r="M75" s="23">
        <v>45987.518055555563</v>
      </c>
      <c r="N75" s="23">
        <v>45989.529166666667</v>
      </c>
      <c r="R75" t="s">
        <v>1066</v>
      </c>
      <c r="S75" t="s">
        <v>1066</v>
      </c>
      <c r="T75" t="s">
        <v>143</v>
      </c>
      <c r="U75" t="s">
        <v>1072</v>
      </c>
      <c r="V75" t="s">
        <v>1436</v>
      </c>
      <c r="W75" t="s">
        <v>131</v>
      </c>
      <c r="Y75" t="s">
        <v>249</v>
      </c>
      <c r="Z75" t="s">
        <v>120</v>
      </c>
      <c r="AA75" t="s">
        <v>1437</v>
      </c>
      <c r="AB75" s="24">
        <v>1</v>
      </c>
      <c r="AC75" s="24">
        <v>1</v>
      </c>
      <c r="AD75" s="24">
        <v>232859</v>
      </c>
      <c r="AE75" s="24">
        <v>110808</v>
      </c>
      <c r="AF75" s="24">
        <v>343667</v>
      </c>
    </row>
    <row r="76" spans="1:32">
      <c r="E76" s="54" t="s">
        <v>1473</v>
      </c>
      <c r="AF76" s="24"/>
    </row>
    <row r="77" spans="1:32">
      <c r="E77" s="55">
        <v>2954846</v>
      </c>
    </row>
    <row r="78" spans="1:32">
      <c r="E78" s="55">
        <v>2954773</v>
      </c>
    </row>
    <row r="79" spans="1:32">
      <c r="E79" s="55">
        <v>2952668</v>
      </c>
    </row>
    <row r="80" spans="1:32">
      <c r="E80" s="55">
        <v>2955754</v>
      </c>
    </row>
    <row r="81" spans="5:5">
      <c r="E81" s="55">
        <v>2952757</v>
      </c>
    </row>
    <row r="82" spans="5:5">
      <c r="E82" s="55">
        <v>2950578</v>
      </c>
    </row>
    <row r="83" spans="5:5">
      <c r="E83" s="55">
        <v>2960423</v>
      </c>
    </row>
    <row r="84" spans="5:5">
      <c r="E84" s="55">
        <v>2952057</v>
      </c>
    </row>
    <row r="85" spans="5:5">
      <c r="E85" s="55">
        <v>2965563</v>
      </c>
    </row>
    <row r="86" spans="5:5">
      <c r="E86" s="55">
        <v>2967028</v>
      </c>
    </row>
    <row r="87" spans="5:5">
      <c r="E87" s="55">
        <v>2957434</v>
      </c>
    </row>
    <row r="88" spans="5:5">
      <c r="E88" s="55">
        <v>2965567</v>
      </c>
    </row>
    <row r="89" spans="5:5">
      <c r="E89" s="55">
        <v>2968403</v>
      </c>
    </row>
    <row r="90" spans="5:5">
      <c r="E90" s="55">
        <v>2971081</v>
      </c>
    </row>
    <row r="91" spans="5:5">
      <c r="E91" s="55">
        <v>2970305</v>
      </c>
    </row>
    <row r="92" spans="5:5">
      <c r="E92" s="55">
        <v>2981545</v>
      </c>
    </row>
    <row r="93" spans="5:5">
      <c r="E93" s="55">
        <v>2983806</v>
      </c>
    </row>
    <row r="94" spans="5:5">
      <c r="E94" s="55">
        <v>2972585</v>
      </c>
    </row>
    <row r="95" spans="5:5">
      <c r="E95" s="55">
        <v>2990451</v>
      </c>
    </row>
    <row r="96" spans="5:5">
      <c r="E96" s="55">
        <v>2980119</v>
      </c>
    </row>
    <row r="97" spans="5:5">
      <c r="E97" s="55">
        <v>2986378</v>
      </c>
    </row>
    <row r="98" spans="5:5">
      <c r="E98" s="55">
        <v>2986530</v>
      </c>
    </row>
    <row r="99" spans="5:5">
      <c r="E99" s="55">
        <v>2988423</v>
      </c>
    </row>
    <row r="100" spans="5:5">
      <c r="E100" s="55">
        <v>2992236</v>
      </c>
    </row>
    <row r="101" spans="5:5">
      <c r="E101" s="55">
        <v>2967241</v>
      </c>
    </row>
    <row r="102" spans="5:5">
      <c r="E102" s="55">
        <v>3002461</v>
      </c>
    </row>
    <row r="103" spans="5:5">
      <c r="E103" s="55">
        <v>2985345</v>
      </c>
    </row>
    <row r="104" spans="5:5">
      <c r="E104" s="55">
        <v>2985948</v>
      </c>
    </row>
    <row r="105" spans="5:5">
      <c r="E105" s="55">
        <v>2988752</v>
      </c>
    </row>
    <row r="106" spans="5:5">
      <c r="E106" s="55">
        <v>2993565</v>
      </c>
    </row>
    <row r="107" spans="5:5">
      <c r="E107" s="55">
        <v>2997668</v>
      </c>
    </row>
    <row r="108" spans="5:5">
      <c r="E108" s="55">
        <v>2986071</v>
      </c>
    </row>
    <row r="109" spans="5:5">
      <c r="E109" s="55">
        <v>3002727</v>
      </c>
    </row>
    <row r="110" spans="5:5">
      <c r="E110" s="55">
        <v>2985079</v>
      </c>
    </row>
    <row r="111" spans="5:5">
      <c r="E111" s="55">
        <v>3010363</v>
      </c>
    </row>
    <row r="112" spans="5:5">
      <c r="E112" s="55">
        <v>3010499</v>
      </c>
    </row>
    <row r="113" spans="5:5">
      <c r="E113" s="55">
        <v>3008695</v>
      </c>
    </row>
    <row r="114" spans="5:5">
      <c r="E114" s="55">
        <v>3009358</v>
      </c>
    </row>
    <row r="115" spans="5:5">
      <c r="E115" s="55">
        <v>3013672</v>
      </c>
    </row>
    <row r="116" spans="5:5">
      <c r="E116" s="55">
        <v>2992519</v>
      </c>
    </row>
    <row r="117" spans="5:5">
      <c r="E117" s="55">
        <v>2999386</v>
      </c>
    </row>
    <row r="118" spans="5:5">
      <c r="E118" s="55">
        <v>3007447</v>
      </c>
    </row>
    <row r="119" spans="5:5">
      <c r="E119" s="55">
        <v>3014024</v>
      </c>
    </row>
    <row r="120" spans="5:5">
      <c r="E120" s="55">
        <v>2994969</v>
      </c>
    </row>
    <row r="121" spans="5:5">
      <c r="E121" s="55">
        <v>3019808</v>
      </c>
    </row>
    <row r="122" spans="5:5">
      <c r="E122" s="55">
        <v>3009279</v>
      </c>
    </row>
    <row r="123" spans="5:5">
      <c r="E123" s="55">
        <v>3024858</v>
      </c>
    </row>
    <row r="124" spans="5:5">
      <c r="E124" s="55">
        <v>3024177</v>
      </c>
    </row>
    <row r="125" spans="5:5">
      <c r="E125" s="55">
        <v>3009451</v>
      </c>
    </row>
    <row r="126" spans="5:5">
      <c r="E126" s="55">
        <v>3019371</v>
      </c>
    </row>
    <row r="127" spans="5:5">
      <c r="E127" s="55">
        <v>3031048</v>
      </c>
    </row>
    <row r="128" spans="5:5">
      <c r="E128" s="55">
        <v>3031374</v>
      </c>
    </row>
    <row r="129" spans="5:5">
      <c r="E129" s="55">
        <v>3028672</v>
      </c>
    </row>
    <row r="130" spans="5:5">
      <c r="E130" s="55">
        <v>3027591</v>
      </c>
    </row>
    <row r="131" spans="5:5">
      <c r="E131" s="55">
        <v>3028950</v>
      </c>
    </row>
    <row r="132" spans="5:5">
      <c r="E132" s="55">
        <v>3031468</v>
      </c>
    </row>
    <row r="133" spans="5:5">
      <c r="E133" s="55">
        <v>3042659</v>
      </c>
    </row>
    <row r="134" spans="5:5">
      <c r="E134" s="55">
        <v>3031020</v>
      </c>
    </row>
    <row r="135" spans="5:5">
      <c r="E135" s="55">
        <v>3041221</v>
      </c>
    </row>
    <row r="136" spans="5:5">
      <c r="E136" s="55">
        <v>3041708</v>
      </c>
    </row>
    <row r="137" spans="5:5">
      <c r="E137" s="55">
        <v>3039956</v>
      </c>
    </row>
    <row r="138" spans="5:5">
      <c r="E138" s="55">
        <v>3048493</v>
      </c>
    </row>
    <row r="139" spans="5:5">
      <c r="E139" s="55">
        <v>3039878</v>
      </c>
    </row>
    <row r="140" spans="5:5">
      <c r="E140" s="55">
        <v>3036301</v>
      </c>
    </row>
    <row r="141" spans="5:5">
      <c r="E141" s="55">
        <v>3048751</v>
      </c>
    </row>
    <row r="142" spans="5:5">
      <c r="E142" s="55">
        <v>3024852</v>
      </c>
    </row>
    <row r="143" spans="5:5">
      <c r="E143" s="55">
        <v>3041047</v>
      </c>
    </row>
    <row r="144" spans="5:5">
      <c r="E144" s="55">
        <v>3034539</v>
      </c>
    </row>
    <row r="145" spans="5:5">
      <c r="E145" s="55">
        <v>3042130</v>
      </c>
    </row>
    <row r="146" spans="5:5">
      <c r="E146" s="55">
        <v>3056562</v>
      </c>
    </row>
    <row r="147" spans="5:5">
      <c r="E147" s="55">
        <v>3047165</v>
      </c>
    </row>
    <row r="148" spans="5:5">
      <c r="E148" s="55">
        <v>3053729</v>
      </c>
    </row>
    <row r="149" spans="5:5">
      <c r="E149" s="55">
        <v>3066290</v>
      </c>
    </row>
    <row r="150" spans="5:5">
      <c r="E150" s="55">
        <v>3048602</v>
      </c>
    </row>
    <row r="151" spans="5:5">
      <c r="E151" s="55">
        <v>2999190</v>
      </c>
    </row>
    <row r="152" spans="5:5">
      <c r="E152" s="55">
        <v>3049854</v>
      </c>
    </row>
  </sheetData>
  <autoFilter ref="A1:AF152" xr:uid="{00000000-0001-0000-0300-000000000000}"/>
  <conditionalFormatting sqref="E1:E75 E153:E1048576">
    <cfRule type="duplicateValues" dxfId="456" priority="457"/>
  </conditionalFormatting>
  <conditionalFormatting sqref="E76">
    <cfRule type="duplicateValues" dxfId="455" priority="431"/>
    <cfRule type="duplicateValues" dxfId="454" priority="432"/>
    <cfRule type="duplicateValues" dxfId="453" priority="433"/>
    <cfRule type="duplicateValues" dxfId="452" priority="434"/>
    <cfRule type="duplicateValues" dxfId="451" priority="435"/>
    <cfRule type="duplicateValues" dxfId="450" priority="436"/>
    <cfRule type="duplicateValues" dxfId="449" priority="437"/>
    <cfRule type="duplicateValues" dxfId="448" priority="438"/>
    <cfRule type="duplicateValues" dxfId="447" priority="439"/>
    <cfRule type="duplicateValues" dxfId="446" priority="440"/>
    <cfRule type="duplicateValues" dxfId="445" priority="441"/>
    <cfRule type="duplicateValues" dxfId="444" priority="442"/>
    <cfRule type="duplicateValues" dxfId="443" priority="443"/>
    <cfRule type="duplicateValues" dxfId="442" priority="444"/>
    <cfRule type="duplicateValues" dxfId="441" priority="445"/>
    <cfRule type="duplicateValues" dxfId="440" priority="446"/>
    <cfRule type="duplicateValues" dxfId="439" priority="447"/>
    <cfRule type="duplicateValues" dxfId="438" priority="448"/>
    <cfRule type="duplicateValues" dxfId="437" priority="449"/>
    <cfRule type="duplicateValues" dxfId="436" priority="450"/>
    <cfRule type="duplicateValues" dxfId="435" priority="451"/>
    <cfRule type="duplicateValues" dxfId="434" priority="452"/>
    <cfRule type="duplicateValues" dxfId="433" priority="453"/>
    <cfRule type="duplicateValues" dxfId="432" priority="454"/>
  </conditionalFormatting>
  <conditionalFormatting sqref="E76:E152">
    <cfRule type="duplicateValues" dxfId="431" priority="413"/>
  </conditionalFormatting>
  <conditionalFormatting sqref="E76">
    <cfRule type="duplicateValues" dxfId="430" priority="430"/>
  </conditionalFormatting>
  <conditionalFormatting sqref="E76:E79">
    <cfRule type="duplicateValues" dxfId="429" priority="429"/>
  </conditionalFormatting>
  <conditionalFormatting sqref="E76:E86">
    <cfRule type="duplicateValues" dxfId="428" priority="456"/>
  </conditionalFormatting>
  <conditionalFormatting sqref="E76:E89">
    <cfRule type="duplicateValues" dxfId="427" priority="428"/>
  </conditionalFormatting>
  <conditionalFormatting sqref="E76:E91">
    <cfRule type="duplicateValues" dxfId="426" priority="427"/>
  </conditionalFormatting>
  <conditionalFormatting sqref="E76:E100">
    <cfRule type="duplicateValues" dxfId="425" priority="426"/>
  </conditionalFormatting>
  <conditionalFormatting sqref="E76:E107">
    <cfRule type="duplicateValues" dxfId="424" priority="425"/>
  </conditionalFormatting>
  <conditionalFormatting sqref="E76:E110">
    <cfRule type="duplicateValues" dxfId="423" priority="424"/>
  </conditionalFormatting>
  <conditionalFormatting sqref="E76:E115">
    <cfRule type="duplicateValues" dxfId="422" priority="423"/>
  </conditionalFormatting>
  <conditionalFormatting sqref="E76:E122">
    <cfRule type="duplicateValues" dxfId="421" priority="422"/>
  </conditionalFormatting>
  <conditionalFormatting sqref="E76:E125">
    <cfRule type="duplicateValues" dxfId="420" priority="421"/>
  </conditionalFormatting>
  <conditionalFormatting sqref="E76:E130">
    <cfRule type="duplicateValues" dxfId="419" priority="420"/>
  </conditionalFormatting>
  <conditionalFormatting sqref="E76:E132">
    <cfRule type="duplicateValues" dxfId="418" priority="419"/>
  </conditionalFormatting>
  <conditionalFormatting sqref="E76:E137">
    <cfRule type="duplicateValues" dxfId="417" priority="418"/>
  </conditionalFormatting>
  <conditionalFormatting sqref="E76:E140">
    <cfRule type="duplicateValues" dxfId="416" priority="417"/>
  </conditionalFormatting>
  <conditionalFormatting sqref="E76:E143">
    <cfRule type="duplicateValues" dxfId="415" priority="416"/>
  </conditionalFormatting>
  <conditionalFormatting sqref="E76:E146">
    <cfRule type="duplicateValues" dxfId="414" priority="415"/>
  </conditionalFormatting>
  <conditionalFormatting sqref="E76:E148">
    <cfRule type="duplicateValues" dxfId="413" priority="414"/>
  </conditionalFormatting>
  <conditionalFormatting sqref="E76">
    <cfRule type="duplicateValues" dxfId="412" priority="455"/>
  </conditionalFormatting>
  <conditionalFormatting sqref="E77:E79">
    <cfRule type="duplicateValues" dxfId="411" priority="397"/>
    <cfRule type="duplicateValues" dxfId="410" priority="398"/>
    <cfRule type="duplicateValues" dxfId="409" priority="399"/>
    <cfRule type="duplicateValues" dxfId="408" priority="400"/>
    <cfRule type="duplicateValues" dxfId="407" priority="401"/>
    <cfRule type="duplicateValues" dxfId="406" priority="402"/>
    <cfRule type="duplicateValues" dxfId="405" priority="403"/>
    <cfRule type="duplicateValues" dxfId="404" priority="404"/>
    <cfRule type="duplicateValues" dxfId="403" priority="405"/>
    <cfRule type="duplicateValues" dxfId="402" priority="406"/>
    <cfRule type="duplicateValues" dxfId="401" priority="407"/>
    <cfRule type="duplicateValues" dxfId="400" priority="408"/>
    <cfRule type="duplicateValues" dxfId="399" priority="409"/>
    <cfRule type="duplicateValues" dxfId="398" priority="410"/>
    <cfRule type="duplicateValues" dxfId="397" priority="411"/>
    <cfRule type="duplicateValues" dxfId="396" priority="412"/>
  </conditionalFormatting>
  <conditionalFormatting sqref="E80:E86">
    <cfRule type="duplicateValues" dxfId="395" priority="380"/>
    <cfRule type="duplicateValues" dxfId="394" priority="381"/>
    <cfRule type="duplicateValues" dxfId="393" priority="382"/>
    <cfRule type="duplicateValues" dxfId="392" priority="383"/>
    <cfRule type="duplicateValues" dxfId="391" priority="384"/>
    <cfRule type="duplicateValues" dxfId="390" priority="385"/>
    <cfRule type="duplicateValues" dxfId="389" priority="386"/>
    <cfRule type="duplicateValues" dxfId="388" priority="387"/>
    <cfRule type="duplicateValues" dxfId="387" priority="388"/>
    <cfRule type="duplicateValues" dxfId="386" priority="389"/>
    <cfRule type="duplicateValues" dxfId="385" priority="390"/>
    <cfRule type="duplicateValues" dxfId="384" priority="391"/>
    <cfRule type="duplicateValues" dxfId="383" priority="392"/>
    <cfRule type="duplicateValues" dxfId="382" priority="393"/>
    <cfRule type="duplicateValues" dxfId="381" priority="394"/>
    <cfRule type="duplicateValues" dxfId="380" priority="395"/>
    <cfRule type="duplicateValues" dxfId="379" priority="396"/>
  </conditionalFormatting>
  <conditionalFormatting sqref="E87:E89">
    <cfRule type="duplicateValues" dxfId="378" priority="362"/>
    <cfRule type="duplicateValues" dxfId="377" priority="363"/>
    <cfRule type="duplicateValues" dxfId="376" priority="364"/>
    <cfRule type="duplicateValues" dxfId="375" priority="365"/>
    <cfRule type="duplicateValues" dxfId="374" priority="366"/>
    <cfRule type="duplicateValues" dxfId="373" priority="367"/>
    <cfRule type="duplicateValues" dxfId="372" priority="368"/>
    <cfRule type="duplicateValues" dxfId="371" priority="369"/>
    <cfRule type="duplicateValues" dxfId="370" priority="370"/>
    <cfRule type="duplicateValues" dxfId="369" priority="371"/>
    <cfRule type="duplicateValues" dxfId="368" priority="372"/>
    <cfRule type="duplicateValues" dxfId="367" priority="373"/>
    <cfRule type="duplicateValues" dxfId="366" priority="374"/>
    <cfRule type="duplicateValues" dxfId="365" priority="375"/>
    <cfRule type="duplicateValues" dxfId="364" priority="376"/>
    <cfRule type="duplicateValues" dxfId="363" priority="377"/>
    <cfRule type="duplicateValues" dxfId="362" priority="378"/>
    <cfRule type="duplicateValues" dxfId="361" priority="379"/>
  </conditionalFormatting>
  <conditionalFormatting sqref="E90:E91">
    <cfRule type="duplicateValues" dxfId="360" priority="343"/>
    <cfRule type="duplicateValues" dxfId="359" priority="344"/>
    <cfRule type="duplicateValues" dxfId="358" priority="345"/>
    <cfRule type="duplicateValues" dxfId="357" priority="346"/>
    <cfRule type="duplicateValues" dxfId="356" priority="347"/>
    <cfRule type="duplicateValues" dxfId="355" priority="348"/>
    <cfRule type="duplicateValues" dxfId="354" priority="349"/>
    <cfRule type="duplicateValues" dxfId="353" priority="350"/>
    <cfRule type="duplicateValues" dxfId="352" priority="351"/>
    <cfRule type="duplicateValues" dxfId="351" priority="352"/>
    <cfRule type="duplicateValues" dxfId="350" priority="353"/>
    <cfRule type="duplicateValues" dxfId="349" priority="354"/>
    <cfRule type="duplicateValues" dxfId="348" priority="355"/>
    <cfRule type="duplicateValues" dxfId="347" priority="356"/>
    <cfRule type="duplicateValues" dxfId="346" priority="357"/>
    <cfRule type="duplicateValues" dxfId="345" priority="358"/>
    <cfRule type="duplicateValues" dxfId="344" priority="359"/>
    <cfRule type="duplicateValues" dxfId="343" priority="360"/>
    <cfRule type="duplicateValues" dxfId="342" priority="361"/>
  </conditionalFormatting>
  <conditionalFormatting sqref="E92:E100">
    <cfRule type="duplicateValues" dxfId="341" priority="324"/>
    <cfRule type="duplicateValues" dxfId="340" priority="325"/>
    <cfRule type="duplicateValues" dxfId="339" priority="326"/>
    <cfRule type="duplicateValues" dxfId="338" priority="327"/>
    <cfRule type="duplicateValues" dxfId="337" priority="328"/>
    <cfRule type="duplicateValues" dxfId="336" priority="329"/>
    <cfRule type="duplicateValues" dxfId="335" priority="330"/>
    <cfRule type="duplicateValues" dxfId="334" priority="331"/>
    <cfRule type="duplicateValues" dxfId="333" priority="332"/>
    <cfRule type="duplicateValues" dxfId="332" priority="333"/>
    <cfRule type="duplicateValues" dxfId="331" priority="334"/>
    <cfRule type="duplicateValues" dxfId="330" priority="335"/>
    <cfRule type="duplicateValues" dxfId="329" priority="336"/>
    <cfRule type="duplicateValues" dxfId="328" priority="337"/>
    <cfRule type="duplicateValues" dxfId="327" priority="338"/>
    <cfRule type="duplicateValues" dxfId="326" priority="339"/>
    <cfRule type="duplicateValues" dxfId="325" priority="340"/>
    <cfRule type="duplicateValues" dxfId="324" priority="341"/>
    <cfRule type="duplicateValues" dxfId="323" priority="342"/>
  </conditionalFormatting>
  <conditionalFormatting sqref="E101:E107">
    <cfRule type="duplicateValues" dxfId="322" priority="305"/>
    <cfRule type="duplicateValues" dxfId="321" priority="306"/>
    <cfRule type="duplicateValues" dxfId="320" priority="307"/>
    <cfRule type="duplicateValues" dxfId="319" priority="308"/>
    <cfRule type="duplicateValues" dxfId="318" priority="309"/>
    <cfRule type="duplicateValues" dxfId="317" priority="310"/>
    <cfRule type="duplicateValues" dxfId="316" priority="311"/>
    <cfRule type="duplicateValues" dxfId="315" priority="312"/>
    <cfRule type="duplicateValues" dxfId="314" priority="313"/>
    <cfRule type="duplicateValues" dxfId="313" priority="314"/>
    <cfRule type="duplicateValues" dxfId="312" priority="315"/>
    <cfRule type="duplicateValues" dxfId="311" priority="316"/>
    <cfRule type="duplicateValues" dxfId="310" priority="317"/>
    <cfRule type="duplicateValues" dxfId="309" priority="318"/>
    <cfRule type="duplicateValues" dxfId="308" priority="319"/>
    <cfRule type="duplicateValues" dxfId="307" priority="320"/>
    <cfRule type="duplicateValues" dxfId="306" priority="321"/>
    <cfRule type="duplicateValues" dxfId="305" priority="322"/>
    <cfRule type="duplicateValues" dxfId="304" priority="323"/>
  </conditionalFormatting>
  <conditionalFormatting sqref="E108:E110">
    <cfRule type="duplicateValues" dxfId="303" priority="283"/>
    <cfRule type="duplicateValues" dxfId="302" priority="284"/>
    <cfRule type="duplicateValues" dxfId="301" priority="285"/>
    <cfRule type="duplicateValues" dxfId="300" priority="286"/>
    <cfRule type="duplicateValues" dxfId="299" priority="287"/>
    <cfRule type="duplicateValues" dxfId="298" priority="288"/>
    <cfRule type="duplicateValues" dxfId="297" priority="289"/>
    <cfRule type="duplicateValues" dxfId="296" priority="290"/>
    <cfRule type="duplicateValues" dxfId="295" priority="291"/>
    <cfRule type="duplicateValues" dxfId="294" priority="292"/>
    <cfRule type="duplicateValues" dxfId="293" priority="293"/>
    <cfRule type="duplicateValues" dxfId="292" priority="294"/>
    <cfRule type="duplicateValues" dxfId="291" priority="295"/>
    <cfRule type="duplicateValues" dxfId="290" priority="296"/>
    <cfRule type="duplicateValues" dxfId="289" priority="297"/>
    <cfRule type="duplicateValues" dxfId="288" priority="298"/>
    <cfRule type="duplicateValues" dxfId="287" priority="299"/>
    <cfRule type="duplicateValues" dxfId="286" priority="300"/>
    <cfRule type="duplicateValues" dxfId="285" priority="301"/>
    <cfRule type="duplicateValues" dxfId="284" priority="302"/>
    <cfRule type="duplicateValues" dxfId="283" priority="303"/>
    <cfRule type="duplicateValues" dxfId="282" priority="304"/>
  </conditionalFormatting>
  <conditionalFormatting sqref="E111:E115">
    <cfRule type="duplicateValues" dxfId="281" priority="260"/>
    <cfRule type="duplicateValues" dxfId="280" priority="261"/>
    <cfRule type="duplicateValues" dxfId="279" priority="262"/>
    <cfRule type="duplicateValues" dxfId="278" priority="263"/>
    <cfRule type="duplicateValues" dxfId="277" priority="264"/>
    <cfRule type="duplicateValues" dxfId="276" priority="265"/>
    <cfRule type="duplicateValues" dxfId="275" priority="266"/>
    <cfRule type="duplicateValues" dxfId="274" priority="267"/>
    <cfRule type="duplicateValues" dxfId="273" priority="268"/>
    <cfRule type="duplicateValues" dxfId="272" priority="269"/>
    <cfRule type="duplicateValues" dxfId="271" priority="270"/>
    <cfRule type="duplicateValues" dxfId="270" priority="271"/>
    <cfRule type="duplicateValues" dxfId="269" priority="272"/>
    <cfRule type="duplicateValues" dxfId="268" priority="273"/>
    <cfRule type="duplicateValues" dxfId="267" priority="274"/>
    <cfRule type="duplicateValues" dxfId="266" priority="275"/>
    <cfRule type="duplicateValues" dxfId="265" priority="276"/>
    <cfRule type="duplicateValues" dxfId="264" priority="277"/>
    <cfRule type="duplicateValues" dxfId="263" priority="278"/>
    <cfRule type="duplicateValues" dxfId="262" priority="279"/>
    <cfRule type="duplicateValues" dxfId="261" priority="280"/>
    <cfRule type="duplicateValues" dxfId="260" priority="281"/>
    <cfRule type="duplicateValues" dxfId="259" priority="282"/>
  </conditionalFormatting>
  <conditionalFormatting sqref="E116:E122">
    <cfRule type="duplicateValues" dxfId="258" priority="237"/>
    <cfRule type="duplicateValues" dxfId="257" priority="238"/>
    <cfRule type="duplicateValues" dxfId="256" priority="239"/>
    <cfRule type="duplicateValues" dxfId="255" priority="240"/>
    <cfRule type="duplicateValues" dxfId="254" priority="241"/>
    <cfRule type="duplicateValues" dxfId="253" priority="242"/>
    <cfRule type="duplicateValues" dxfId="252" priority="243"/>
    <cfRule type="duplicateValues" dxfId="251" priority="244"/>
    <cfRule type="duplicateValues" dxfId="250" priority="245"/>
    <cfRule type="duplicateValues" dxfId="249" priority="246"/>
    <cfRule type="duplicateValues" dxfId="248" priority="247"/>
    <cfRule type="duplicateValues" dxfId="247" priority="248"/>
    <cfRule type="duplicateValues" dxfId="246" priority="249"/>
    <cfRule type="duplicateValues" dxfId="245" priority="250"/>
    <cfRule type="duplicateValues" dxfId="244" priority="251"/>
    <cfRule type="duplicateValues" dxfId="243" priority="252"/>
    <cfRule type="duplicateValues" dxfId="242" priority="253"/>
    <cfRule type="duplicateValues" dxfId="241" priority="254"/>
    <cfRule type="duplicateValues" dxfId="240" priority="255"/>
    <cfRule type="duplicateValues" dxfId="239" priority="256"/>
    <cfRule type="duplicateValues" dxfId="238" priority="257"/>
    <cfRule type="duplicateValues" dxfId="237" priority="258"/>
    <cfRule type="duplicateValues" dxfId="236" priority="259"/>
  </conditionalFormatting>
  <conditionalFormatting sqref="E123:E125">
    <cfRule type="duplicateValues" dxfId="235" priority="191"/>
    <cfRule type="duplicateValues" dxfId="234" priority="192"/>
    <cfRule type="duplicateValues" dxfId="233" priority="193"/>
    <cfRule type="duplicateValues" dxfId="232" priority="194"/>
    <cfRule type="duplicateValues" dxfId="231" priority="195"/>
    <cfRule type="duplicateValues" dxfId="230" priority="196"/>
    <cfRule type="duplicateValues" dxfId="229" priority="197"/>
    <cfRule type="duplicateValues" dxfId="228" priority="198"/>
    <cfRule type="duplicateValues" dxfId="227" priority="199"/>
    <cfRule type="duplicateValues" dxfId="226" priority="200"/>
    <cfRule type="duplicateValues" dxfId="225" priority="201"/>
    <cfRule type="duplicateValues" dxfId="224" priority="202"/>
    <cfRule type="duplicateValues" dxfId="223" priority="203"/>
    <cfRule type="duplicateValues" dxfId="222" priority="204"/>
    <cfRule type="duplicateValues" dxfId="221" priority="205"/>
    <cfRule type="duplicateValues" dxfId="220" priority="206"/>
    <cfRule type="duplicateValues" dxfId="219" priority="207"/>
    <cfRule type="duplicateValues" dxfId="218" priority="208"/>
    <cfRule type="duplicateValues" dxfId="217" priority="209"/>
    <cfRule type="duplicateValues" dxfId="216" priority="210"/>
    <cfRule type="duplicateValues" dxfId="215" priority="211"/>
    <cfRule type="duplicateValues" dxfId="214" priority="212"/>
    <cfRule type="duplicateValues" dxfId="213" priority="213"/>
  </conditionalFormatting>
  <conditionalFormatting sqref="E126:E130">
    <cfRule type="duplicateValues" dxfId="212" priority="214"/>
    <cfRule type="duplicateValues" dxfId="211" priority="215"/>
    <cfRule type="duplicateValues" dxfId="210" priority="216"/>
    <cfRule type="duplicateValues" dxfId="209" priority="217"/>
    <cfRule type="duplicateValues" dxfId="208" priority="218"/>
    <cfRule type="duplicateValues" dxfId="207" priority="219"/>
    <cfRule type="duplicateValues" dxfId="206" priority="220"/>
    <cfRule type="duplicateValues" dxfId="205" priority="221"/>
    <cfRule type="duplicateValues" dxfId="204" priority="222"/>
    <cfRule type="duplicateValues" dxfId="203" priority="223"/>
    <cfRule type="duplicateValues" dxfId="202" priority="224"/>
    <cfRule type="duplicateValues" dxfId="201" priority="225"/>
    <cfRule type="duplicateValues" dxfId="200" priority="226"/>
    <cfRule type="duplicateValues" dxfId="199" priority="227"/>
    <cfRule type="duplicateValues" dxfId="198" priority="228"/>
    <cfRule type="duplicateValues" dxfId="197" priority="229"/>
    <cfRule type="duplicateValues" dxfId="196" priority="230"/>
    <cfRule type="duplicateValues" dxfId="195" priority="231"/>
    <cfRule type="duplicateValues" dxfId="194" priority="232"/>
    <cfRule type="duplicateValues" dxfId="193" priority="233"/>
    <cfRule type="duplicateValues" dxfId="192" priority="234"/>
    <cfRule type="duplicateValues" dxfId="191" priority="235"/>
    <cfRule type="duplicateValues" dxfId="190" priority="236"/>
  </conditionalFormatting>
  <conditionalFormatting sqref="E131:E132">
    <cfRule type="duplicateValues" dxfId="189" priority="168"/>
    <cfRule type="duplicateValues" dxfId="188" priority="169"/>
    <cfRule type="duplicateValues" dxfId="187" priority="170"/>
    <cfRule type="duplicateValues" dxfId="186" priority="171"/>
    <cfRule type="duplicateValues" dxfId="185" priority="172"/>
    <cfRule type="duplicateValues" dxfId="184" priority="173"/>
    <cfRule type="duplicateValues" dxfId="183" priority="174"/>
    <cfRule type="duplicateValues" dxfId="182" priority="175"/>
    <cfRule type="duplicateValues" dxfId="181" priority="176"/>
    <cfRule type="duplicateValues" dxfId="180" priority="177"/>
    <cfRule type="duplicateValues" dxfId="179" priority="178"/>
    <cfRule type="duplicateValues" dxfId="178" priority="179"/>
    <cfRule type="duplicateValues" dxfId="177" priority="180"/>
    <cfRule type="duplicateValues" dxfId="176" priority="181"/>
    <cfRule type="duplicateValues" dxfId="175" priority="182"/>
    <cfRule type="duplicateValues" dxfId="174" priority="183"/>
    <cfRule type="duplicateValues" dxfId="173" priority="184"/>
    <cfRule type="duplicateValues" dxfId="172" priority="185"/>
    <cfRule type="duplicateValues" dxfId="171" priority="186"/>
    <cfRule type="duplicateValues" dxfId="170" priority="187"/>
    <cfRule type="duplicateValues" dxfId="169" priority="188"/>
    <cfRule type="duplicateValues" dxfId="168" priority="189"/>
    <cfRule type="duplicateValues" dxfId="167" priority="190"/>
  </conditionalFormatting>
  <conditionalFormatting sqref="E133:E137">
    <cfRule type="duplicateValues" dxfId="166" priority="145"/>
    <cfRule type="duplicateValues" dxfId="165" priority="146"/>
    <cfRule type="duplicateValues" dxfId="164" priority="147"/>
    <cfRule type="duplicateValues" dxfId="163" priority="148"/>
    <cfRule type="duplicateValues" dxfId="162" priority="149"/>
    <cfRule type="duplicateValues" dxfId="161" priority="150"/>
    <cfRule type="duplicateValues" dxfId="160" priority="151"/>
    <cfRule type="duplicateValues" dxfId="159" priority="152"/>
    <cfRule type="duplicateValues" dxfId="158" priority="153"/>
    <cfRule type="duplicateValues" dxfId="157" priority="154"/>
    <cfRule type="duplicateValues" dxfId="156" priority="155"/>
    <cfRule type="duplicateValues" dxfId="155" priority="156"/>
    <cfRule type="duplicateValues" dxfId="154" priority="157"/>
    <cfRule type="duplicateValues" dxfId="153" priority="158"/>
    <cfRule type="duplicateValues" dxfId="152" priority="159"/>
    <cfRule type="duplicateValues" dxfId="151" priority="160"/>
    <cfRule type="duplicateValues" dxfId="150" priority="161"/>
    <cfRule type="duplicateValues" dxfId="149" priority="162"/>
    <cfRule type="duplicateValues" dxfId="148" priority="163"/>
    <cfRule type="duplicateValues" dxfId="147" priority="164"/>
    <cfRule type="duplicateValues" dxfId="146" priority="165"/>
    <cfRule type="duplicateValues" dxfId="145" priority="166"/>
    <cfRule type="duplicateValues" dxfId="144" priority="167"/>
  </conditionalFormatting>
  <conditionalFormatting sqref="E133">
    <cfRule type="duplicateValues" dxfId="143" priority="117"/>
    <cfRule type="duplicateValues" dxfId="142" priority="118"/>
    <cfRule type="duplicateValues" dxfId="141" priority="119"/>
    <cfRule type="duplicateValues" dxfId="140" priority="120"/>
    <cfRule type="duplicateValues" dxfId="139" priority="121"/>
    <cfRule type="duplicateValues" dxfId="138" priority="122"/>
    <cfRule type="duplicateValues" dxfId="137" priority="123"/>
    <cfRule type="duplicateValues" dxfId="136" priority="124"/>
    <cfRule type="duplicateValues" dxfId="135" priority="125"/>
    <cfRule type="duplicateValues" dxfId="134" priority="126"/>
    <cfRule type="duplicateValues" dxfId="133" priority="127"/>
    <cfRule type="duplicateValues" dxfId="132" priority="128"/>
    <cfRule type="duplicateValues" dxfId="131" priority="129"/>
    <cfRule type="duplicateValues" dxfId="130" priority="130"/>
    <cfRule type="duplicateValues" dxfId="129" priority="131"/>
    <cfRule type="duplicateValues" dxfId="128" priority="132"/>
    <cfRule type="duplicateValues" dxfId="127" priority="133"/>
    <cfRule type="duplicateValues" dxfId="126" priority="134"/>
    <cfRule type="duplicateValues" dxfId="125" priority="135"/>
    <cfRule type="duplicateValues" dxfId="124" priority="136"/>
    <cfRule type="duplicateValues" dxfId="123" priority="137"/>
    <cfRule type="duplicateValues" dxfId="122" priority="138"/>
    <cfRule type="duplicateValues" dxfId="121" priority="139"/>
    <cfRule type="duplicateValues" dxfId="120" priority="140"/>
    <cfRule type="duplicateValues" dxfId="119" priority="141"/>
    <cfRule type="duplicateValues" dxfId="118" priority="142"/>
    <cfRule type="duplicateValues" dxfId="117" priority="143"/>
    <cfRule type="duplicateValues" dxfId="116" priority="144"/>
  </conditionalFormatting>
  <conditionalFormatting sqref="E138:E140">
    <cfRule type="duplicateValues" dxfId="115" priority="94"/>
    <cfRule type="duplicateValues" dxfId="114" priority="95"/>
    <cfRule type="duplicateValues" dxfId="113" priority="96"/>
    <cfRule type="duplicateValues" dxfId="112" priority="97"/>
    <cfRule type="duplicateValues" dxfId="111" priority="98"/>
    <cfRule type="duplicateValues" dxfId="110" priority="99"/>
    <cfRule type="duplicateValues" dxfId="109" priority="100"/>
    <cfRule type="duplicateValues" dxfId="108" priority="101"/>
    <cfRule type="duplicateValues" dxfId="107" priority="102"/>
    <cfRule type="duplicateValues" dxfId="106" priority="103"/>
    <cfRule type="duplicateValues" dxfId="105" priority="104"/>
    <cfRule type="duplicateValues" dxfId="104" priority="105"/>
    <cfRule type="duplicateValues" dxfId="103" priority="106"/>
    <cfRule type="duplicateValues" dxfId="102" priority="107"/>
    <cfRule type="duplicateValues" dxfId="101" priority="108"/>
    <cfRule type="duplicateValues" dxfId="100" priority="109"/>
    <cfRule type="duplicateValues" dxfId="99" priority="110"/>
    <cfRule type="duplicateValues" dxfId="98" priority="111"/>
    <cfRule type="duplicateValues" dxfId="97" priority="112"/>
    <cfRule type="duplicateValues" dxfId="96" priority="113"/>
    <cfRule type="duplicateValues" dxfId="95" priority="114"/>
    <cfRule type="duplicateValues" dxfId="94" priority="115"/>
    <cfRule type="duplicateValues" dxfId="93" priority="116"/>
  </conditionalFormatting>
  <conditionalFormatting sqref="E141:E143">
    <cfRule type="duplicateValues" dxfId="92" priority="71"/>
    <cfRule type="duplicateValues" dxfId="91" priority="72"/>
    <cfRule type="duplicateValues" dxfId="90" priority="73"/>
    <cfRule type="duplicateValues" dxfId="89" priority="74"/>
    <cfRule type="duplicateValues" dxfId="88" priority="75"/>
    <cfRule type="duplicateValues" dxfId="87" priority="76"/>
    <cfRule type="duplicateValues" dxfId="86" priority="77"/>
    <cfRule type="duplicateValues" dxfId="85" priority="78"/>
    <cfRule type="duplicateValues" dxfId="84" priority="79"/>
    <cfRule type="duplicateValues" dxfId="83" priority="80"/>
    <cfRule type="duplicateValues" dxfId="82" priority="81"/>
    <cfRule type="duplicateValues" dxfId="81" priority="82"/>
    <cfRule type="duplicateValues" dxfId="80" priority="83"/>
    <cfRule type="duplicateValues" dxfId="79" priority="84"/>
    <cfRule type="duplicateValues" dxfId="78" priority="85"/>
    <cfRule type="duplicateValues" dxfId="77" priority="86"/>
    <cfRule type="duplicateValues" dxfId="76" priority="87"/>
    <cfRule type="duplicateValues" dxfId="75" priority="88"/>
    <cfRule type="duplicateValues" dxfId="74" priority="89"/>
    <cfRule type="duplicateValues" dxfId="73" priority="90"/>
    <cfRule type="duplicateValues" dxfId="72" priority="91"/>
    <cfRule type="duplicateValues" dxfId="71" priority="92"/>
    <cfRule type="duplicateValues" dxfId="70" priority="93"/>
  </conditionalFormatting>
  <conditionalFormatting sqref="E144:E146">
    <cfRule type="duplicateValues" dxfId="69" priority="48"/>
    <cfRule type="duplicateValues" dxfId="68" priority="49"/>
    <cfRule type="duplicateValues" dxfId="67" priority="50"/>
    <cfRule type="duplicateValues" dxfId="66" priority="51"/>
    <cfRule type="duplicateValues" dxfId="65" priority="52"/>
    <cfRule type="duplicateValues" dxfId="64" priority="53"/>
    <cfRule type="duplicateValues" dxfId="63" priority="54"/>
    <cfRule type="duplicateValues" dxfId="62" priority="55"/>
    <cfRule type="duplicateValues" dxfId="61" priority="56"/>
    <cfRule type="duplicateValues" dxfId="60" priority="57"/>
    <cfRule type="duplicateValues" dxfId="59" priority="58"/>
    <cfRule type="duplicateValues" dxfId="58" priority="59"/>
    <cfRule type="duplicateValues" dxfId="57" priority="60"/>
    <cfRule type="duplicateValues" dxfId="56" priority="61"/>
    <cfRule type="duplicateValues" dxfId="55" priority="62"/>
    <cfRule type="duplicateValues" dxfId="54" priority="63"/>
    <cfRule type="duplicateValues" dxfId="53" priority="64"/>
    <cfRule type="duplicateValues" dxfId="52" priority="65"/>
    <cfRule type="duplicateValues" dxfId="51" priority="66"/>
    <cfRule type="duplicateValues" dxfId="50" priority="67"/>
    <cfRule type="duplicateValues" dxfId="49" priority="68"/>
    <cfRule type="duplicateValues" dxfId="48" priority="69"/>
    <cfRule type="duplicateValues" dxfId="47" priority="70"/>
  </conditionalFormatting>
  <conditionalFormatting sqref="E147:E148">
    <cfRule type="duplicateValues" dxfId="46" priority="25"/>
    <cfRule type="duplicateValues" dxfId="45" priority="26"/>
    <cfRule type="duplicateValues" dxfId="44" priority="27"/>
    <cfRule type="duplicateValues" dxfId="43" priority="28"/>
    <cfRule type="duplicateValues" dxfId="42" priority="29"/>
    <cfRule type="duplicateValues" dxfId="41" priority="30"/>
    <cfRule type="duplicateValues" dxfId="40" priority="31"/>
    <cfRule type="duplicateValues" dxfId="39" priority="32"/>
    <cfRule type="duplicateValues" dxfId="38" priority="33"/>
    <cfRule type="duplicateValues" dxfId="37" priority="34"/>
    <cfRule type="duplicateValues" dxfId="36" priority="35"/>
    <cfRule type="duplicateValues" dxfId="35" priority="36"/>
    <cfRule type="duplicateValues" dxfId="34" priority="37"/>
    <cfRule type="duplicateValues" dxfId="33" priority="38"/>
    <cfRule type="duplicateValues" dxfId="32" priority="39"/>
    <cfRule type="duplicateValues" dxfId="31" priority="40"/>
    <cfRule type="duplicateValues" dxfId="30" priority="41"/>
    <cfRule type="duplicateValues" dxfId="29" priority="42"/>
    <cfRule type="duplicateValues" dxfId="28" priority="43"/>
    <cfRule type="duplicateValues" dxfId="27" priority="44"/>
    <cfRule type="duplicateValues" dxfId="26" priority="45"/>
    <cfRule type="duplicateValues" dxfId="25" priority="46"/>
    <cfRule type="duplicateValues" dxfId="24" priority="47"/>
  </conditionalFormatting>
  <conditionalFormatting sqref="E149:E152">
    <cfRule type="duplicateValues" dxfId="23" priority="2"/>
    <cfRule type="duplicateValues" dxfId="22" priority="3"/>
    <cfRule type="duplicateValues" dxfId="21" priority="4"/>
    <cfRule type="duplicateValues" dxfId="20" priority="5"/>
    <cfRule type="duplicateValues" dxfId="19" priority="6"/>
    <cfRule type="duplicateValues" dxfId="18" priority="7"/>
    <cfRule type="duplicateValues" dxfId="17" priority="8"/>
    <cfRule type="duplicateValues" dxfId="16" priority="9"/>
    <cfRule type="duplicateValues" dxfId="15" priority="10"/>
    <cfRule type="duplicateValues" dxfId="14" priority="11"/>
    <cfRule type="duplicateValues" dxfId="13" priority="12"/>
    <cfRule type="duplicateValues" dxfId="12" priority="13"/>
    <cfRule type="duplicateValues" dxfId="11" priority="14"/>
    <cfRule type="duplicateValues" dxfId="10" priority="15"/>
    <cfRule type="duplicateValues" dxfId="9" priority="16"/>
    <cfRule type="duplicateValues" dxfId="8" priority="17"/>
    <cfRule type="duplicateValues" dxfId="7" priority="18"/>
    <cfRule type="duplicateValues" dxfId="6" priority="19"/>
    <cfRule type="duplicateValues" dxfId="5" priority="20"/>
    <cfRule type="duplicateValues" dxfId="4" priority="21"/>
    <cfRule type="duplicateValues" dxfId="3" priority="22"/>
    <cfRule type="duplicateValues" dxfId="2" priority="23"/>
    <cfRule type="duplicateValues" dxfId="1" priority="24"/>
  </conditionalFormatting>
  <conditionalFormatting sqref="E1:E1048576">
    <cfRule type="duplicateValues" dxfId="0"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lcf76f155ced4ddcb4097134ff3c332f xmlns="648a81c2-4916-475b-a000-96bb15999f48">
      <Terms xmlns="http://schemas.microsoft.com/office/infopath/2007/PartnerControls"/>
    </lcf76f155ced4ddcb4097134ff3c332f>
    <TaxCatchAll xmlns="119b5519-82bb-48ea-a3c2-7e5a29ecf86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BEC846-F20D-4E79-9E59-6C791B2CFE9C}">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2.xml><?xml version="1.0" encoding="utf-8"?>
<ds:datastoreItem xmlns:ds="http://schemas.openxmlformats.org/officeDocument/2006/customXml" ds:itemID="{3DDDAB84-3B82-473F-8C9C-7E0655FDD3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50F7F0-0093-4C0B-A246-BEC75B98A1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 DE LIQUIDACION 2025</vt:lpstr>
      <vt:lpstr>RESUMEN LIQUIDACIÓN</vt:lpstr>
      <vt:lpstr>CENTRO DE COSTOS</vt:lpstr>
      <vt:lpstr>PUBLICIDAD_APERTURAS</vt:lpstr>
      <vt:lpstr>PUBLICIDAD_OC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Lini Jhojana Hernandez Mora</cp:lastModifiedBy>
  <dcterms:created xsi:type="dcterms:W3CDTF">2015-02-09T21:21:29Z</dcterms:created>
  <dcterms:modified xsi:type="dcterms:W3CDTF">2025-12-03T13:47:48Z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y fmtid="{D5CDD505-2E9C-101B-9397-08002B2CF9AE}" pid="3" name="MediaServiceImageTags">
    <vt:lpwstr/>
  </property>
</Properties>
</file>