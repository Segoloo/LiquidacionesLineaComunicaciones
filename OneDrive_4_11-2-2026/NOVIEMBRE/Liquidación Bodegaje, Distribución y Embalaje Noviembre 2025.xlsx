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NOVIEMBRE/"/>
    </mc:Choice>
  </mc:AlternateContent>
  <xr:revisionPtr revIDLastSave="3" documentId="8_{2E687AB3-0DE9-4878-9517-F27C27F4B754}" xr6:coauthVersionLast="47" xr6:coauthVersionMax="47" xr10:uidLastSave="{F880FB08-234F-46D4-BDB1-21B78F6154C0}"/>
  <bookViews>
    <workbookView xWindow="28680" yWindow="-825" windowWidth="29040" windowHeight="15720" activeTab="2" xr2:uid="{00000000-000D-0000-FFFF-FFFF00000000}"/>
  </bookViews>
  <sheets>
    <sheet name="RESUMEN" sheetId="5" r:id="rId1"/>
    <sheet name="BASE DE LIQUIDACIÓN" sheetId="2" r:id="rId2"/>
    <sheet name="BODEGA Y EMBALAJE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">#REF!</definedName>
    <definedName name="Actividad">[1]Formulas!$H$2:$H$5000</definedName>
    <definedName name="Analistas">'[2]Listas Desplegables'!$T$2:$T$7</definedName>
    <definedName name="arearesponsable">'[3]Listas desplegables'!$BB$2:$BB$100</definedName>
    <definedName name="CCO">[4]Tecnicos!$A$2:$A$1000</definedName>
    <definedName name="Clientes">[1]Clientes!$A$2:$A$100</definedName>
    <definedName name="Coordinadores">[1]Coordinadores!$A$2:$A$1000</definedName>
    <definedName name="Estado">[1]Formulas!$K$2:$K$5000</definedName>
    <definedName name="ESTADOS">'[5]Listas desplegables'!$B$1:$D$1</definedName>
    <definedName name="Facturacion">'[6]Listas desplegables'!$AO$1:$AR$1</definedName>
    <definedName name="FACTURACIÓN">'[5]Listas desplegables'!$Y$1:$AB$1</definedName>
    <definedName name="falla">#REF!</definedName>
    <definedName name="Fallas">'[7]Listas desplegables'!$F$2:$L$2</definedName>
    <definedName name="Grupo_Falla">'[8]Listas Desplegables'!$CH$2:$CH$5</definedName>
    <definedName name="inconservmanager">'[3]Listas desplegables'!$BC$2:$BC$100</definedName>
    <definedName name="INCUMPLIMIENTO">'[9]Listas desplegables'!$AT$1:$AX$1</definedName>
    <definedName name="LISTA">[10]Dptos!$A$1139:$A$1171</definedName>
    <definedName name="LISTA2">#REF!</definedName>
    <definedName name="LOLO">[11]Coordinadores!$A$2:$A$1000</definedName>
    <definedName name="solicitudes">'[12]Listas desplegables'!$AF$1:$AQ$1</definedName>
    <definedName name="Tecnicos">[1]Tecnicos!$A$2:$A$1000</definedName>
    <definedName name="Version">[1]Formulas!$I$2:$I$3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8" i="2"/>
  <c r="B7" i="2"/>
  <c r="B6" i="2"/>
  <c r="B5" i="2"/>
  <c r="B3" i="2"/>
  <c r="B2" i="2"/>
  <c r="A3" i="5"/>
  <c r="C5" i="4"/>
  <c r="A1" i="4" l="1"/>
  <c r="B3" i="4" l="1"/>
  <c r="C4" i="4" l="1"/>
  <c r="D4" i="4" s="1"/>
  <c r="C3" i="4"/>
  <c r="D3" i="4" s="1"/>
  <c r="D5" i="4"/>
  <c r="D6" i="4" l="1"/>
  <c r="F3" i="5"/>
  <c r="F4" i="5" l="1"/>
  <c r="G3" i="5"/>
  <c r="H3" i="5" s="1"/>
  <c r="D7" i="4"/>
  <c r="D8" i="4" s="1"/>
  <c r="G4" i="5" l="1"/>
  <c r="H4" i="5"/>
</calcChain>
</file>

<file path=xl/sharedStrings.xml><?xml version="1.0" encoding="utf-8"?>
<sst xmlns="http://schemas.openxmlformats.org/spreadsheetml/2006/main" count="32" uniqueCount="31">
  <si>
    <t>MES</t>
  </si>
  <si>
    <t>NIT Proveedor</t>
  </si>
  <si>
    <t>Nombre Proveedor (el proveedor ya debe estar creado para el Grupo Bancolombia)</t>
  </si>
  <si>
    <t>Concepto Facturación</t>
  </si>
  <si>
    <t>Cantidad</t>
  </si>
  <si>
    <t>Valor por mes</t>
  </si>
  <si>
    <t xml:space="preserve"> IVA</t>
  </si>
  <si>
    <t>Valor a Facturar con IVA</t>
  </si>
  <si>
    <t>811013990-5</t>
  </si>
  <si>
    <t>LINEA COMUNICACIONES S.A.S</t>
  </si>
  <si>
    <t>Bodegaje, Embalaje y distribución</t>
  </si>
  <si>
    <t>TOTAL A FACTURAR</t>
  </si>
  <si>
    <t>DETALLE</t>
  </si>
  <si>
    <t>VALOR 2025</t>
  </si>
  <si>
    <t>Bodegaje Nacional</t>
  </si>
  <si>
    <t>Material de Empaque</t>
  </si>
  <si>
    <t>Dsitribucion de material a nivel país</t>
  </si>
  <si>
    <t>1-100</t>
  </si>
  <si>
    <t>101-150</t>
  </si>
  <si>
    <t>151-225</t>
  </si>
  <si>
    <t>226-275</t>
  </si>
  <si>
    <t>CONCEPTOS</t>
  </si>
  <si>
    <t>CANTIDAD/MTS</t>
  </si>
  <si>
    <t>VALOR UNITARIO</t>
  </si>
  <si>
    <t>VALOR TOTAL</t>
  </si>
  <si>
    <t xml:space="preserve">Material de empaque </t>
  </si>
  <si>
    <t>Distribución Nacional 151 - 225</t>
  </si>
  <si>
    <t>SUBTOTAL</t>
  </si>
  <si>
    <t>Iva 19%</t>
  </si>
  <si>
    <t>TOTAL</t>
  </si>
  <si>
    <t>TOTAL GENERAL MES DE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</si>
</sst>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??_-;_-@_-"/>
    <numFmt numFmtId="168" formatCode="&quot;$&quot;\ #,##0"/>
    <numFmt numFmtId="169" formatCode="_-* #,##0.0_-;\-* #,##0.0_-;_-* &quot;-&quot;??_-;_-@_-"/>
    <numFmt numFmtId="170" formatCode="_-&quot;$&quot;* #,##0.0_-;\-&quot;$&quot;* #,##0.0_-;_-&quot;$&quot;* &quot;-&quot;_-;_-@_-"/>
    <numFmt numFmtId="171" formatCode="_-* #,##0.00\ _€_-;\-* #,##0.00\ _€_-;_-* &quot;-&quot;??\ _€_-;_-@_-"/>
    <numFmt numFmtId="172" formatCode="[$-240A]dddd\,\ dd&quot; de &quot;mmmm&quot; de &quot;yyyy"/>
    <numFmt numFmtId="173" formatCode="[$-409]d\-m\-yy\ h:mm\ AM/PM;@"/>
    <numFmt numFmtId="174" formatCode="_ &quot;$&quot;\ * #,##0_ ;_ &quot;$&quot;\ * \-#,##0_ ;_ &quot;$&quot;\ * &quot;-&quot;??_ ;_ @_ "/>
    <numFmt numFmtId="175" formatCode="_ * #,##0.00_ ;_ * \-#,##0.00_ ;_ * &quot;-&quot;??_ ;_ @_ "/>
    <numFmt numFmtId="176" formatCode="_-[$$-240A]\ * #,##0_-;\-[$$-240A]\ * #,##0_-;_-[$$-240A]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ex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b/>
      <sz val="10"/>
      <color theme="1"/>
      <name val="Gelion Thin"/>
    </font>
    <font>
      <b/>
      <sz val="10"/>
      <name val="Gelion Thin"/>
    </font>
    <font>
      <sz val="10"/>
      <color rgb="FF000000"/>
      <name val="Gelion Thin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9B9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173" fontId="2" fillId="0" borderId="0"/>
    <xf numFmtId="174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173" fontId="1" fillId="0" borderId="0"/>
    <xf numFmtId="0" fontId="9" fillId="0" borderId="0"/>
    <xf numFmtId="172" fontId="2" fillId="0" borderId="0"/>
    <xf numFmtId="173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175" fontId="2" fillId="0" borderId="0" applyFont="0" applyFill="0" applyBorder="0" applyAlignment="0" applyProtection="0"/>
    <xf numFmtId="173" fontId="2" fillId="0" borderId="0"/>
    <xf numFmtId="0" fontId="1" fillId="0" borderId="0"/>
    <xf numFmtId="173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17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3" fontId="2" fillId="0" borderId="0"/>
    <xf numFmtId="175" fontId="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7">
    <xf numFmtId="0" fontId="0" fillId="0" borderId="0" xfId="0"/>
    <xf numFmtId="0" fontId="4" fillId="2" borderId="3" xfId="0" applyFont="1" applyFill="1" applyBorder="1"/>
    <xf numFmtId="166" fontId="5" fillId="0" borderId="1" xfId="3" applyFont="1" applyBorder="1"/>
    <xf numFmtId="167" fontId="5" fillId="0" borderId="1" xfId="3" applyNumberFormat="1" applyFont="1" applyBorder="1"/>
    <xf numFmtId="168" fontId="4" fillId="0" borderId="1" xfId="0" applyNumberFormat="1" applyFont="1" applyBorder="1"/>
    <xf numFmtId="168" fontId="4" fillId="3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3" applyFont="1" applyFill="1" applyBorder="1"/>
    <xf numFmtId="0" fontId="4" fillId="2" borderId="1" xfId="0" applyFont="1" applyFill="1" applyBorder="1"/>
    <xf numFmtId="164" fontId="6" fillId="0" borderId="1" xfId="2" applyFont="1" applyBorder="1" applyAlignment="1">
      <alignment wrapText="1"/>
    </xf>
    <xf numFmtId="0" fontId="6" fillId="0" borderId="0" xfId="0" applyFont="1"/>
    <xf numFmtId="0" fontId="8" fillId="0" borderId="0" xfId="0" applyFont="1"/>
    <xf numFmtId="164" fontId="6" fillId="0" borderId="7" xfId="2" applyFont="1" applyBorder="1" applyAlignment="1">
      <alignment wrapText="1"/>
    </xf>
    <xf numFmtId="165" fontId="6" fillId="0" borderId="1" xfId="12" applyFont="1" applyBorder="1"/>
    <xf numFmtId="0" fontId="7" fillId="0" borderId="1" xfId="0" applyFont="1" applyBorder="1" applyAlignment="1">
      <alignment horizontal="center"/>
    </xf>
    <xf numFmtId="10" fontId="6" fillId="0" borderId="0" xfId="0" applyNumberFormat="1" applyFont="1"/>
    <xf numFmtId="165" fontId="6" fillId="0" borderId="0" xfId="0" applyNumberFormat="1" applyFont="1"/>
    <xf numFmtId="170" fontId="6" fillId="0" borderId="0" xfId="0" applyNumberFormat="1" applyFont="1"/>
    <xf numFmtId="43" fontId="0" fillId="0" borderId="0" xfId="0" applyNumberFormat="1"/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7" fontId="15" fillId="0" borderId="1" xfId="3" applyNumberFormat="1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176" fontId="14" fillId="4" borderId="1" xfId="0" applyNumberFormat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vertical="center"/>
    </xf>
    <xf numFmtId="167" fontId="8" fillId="0" borderId="0" xfId="0" applyNumberFormat="1" applyFont="1"/>
    <xf numFmtId="166" fontId="5" fillId="0" borderId="3" xfId="3" applyFont="1" applyBorder="1"/>
    <xf numFmtId="167" fontId="5" fillId="0" borderId="3" xfId="3" applyNumberFormat="1" applyFont="1" applyBorder="1"/>
    <xf numFmtId="168" fontId="4" fillId="0" borderId="7" xfId="0" applyNumberFormat="1" applyFont="1" applyBorder="1"/>
    <xf numFmtId="166" fontId="5" fillId="0" borderId="11" xfId="3" applyFont="1" applyBorder="1"/>
    <xf numFmtId="43" fontId="5" fillId="0" borderId="11" xfId="1" applyFont="1" applyFill="1" applyBorder="1" applyAlignment="1">
      <alignment vertical="center"/>
    </xf>
    <xf numFmtId="167" fontId="5" fillId="0" borderId="11" xfId="3" applyNumberFormat="1" applyFont="1" applyBorder="1"/>
    <xf numFmtId="169" fontId="5" fillId="0" borderId="3" xfId="1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4" fillId="0" borderId="8" xfId="4" applyFont="1" applyBorder="1" applyAlignment="1">
      <alignment horizontal="center"/>
    </xf>
    <xf numFmtId="164" fontId="4" fillId="0" borderId="9" xfId="4" applyFont="1" applyBorder="1" applyAlignment="1">
      <alignment horizontal="center"/>
    </xf>
    <xf numFmtId="164" fontId="4" fillId="0" borderId="10" xfId="4" applyFont="1" applyBorder="1" applyAlignment="1">
      <alignment horizontal="center"/>
    </xf>
    <xf numFmtId="164" fontId="4" fillId="0" borderId="4" xfId="4" applyFont="1" applyBorder="1" applyAlignment="1">
      <alignment horizontal="center"/>
    </xf>
    <xf numFmtId="164" fontId="4" fillId="0" borderId="6" xfId="4" applyFont="1" applyBorder="1" applyAlignment="1">
      <alignment horizontal="center"/>
    </xf>
    <xf numFmtId="164" fontId="4" fillId="0" borderId="5" xfId="4" applyFont="1" applyBorder="1" applyAlignment="1">
      <alignment horizontal="center"/>
    </xf>
    <xf numFmtId="164" fontId="4" fillId="3" borderId="4" xfId="4" applyFont="1" applyFill="1" applyBorder="1" applyAlignment="1">
      <alignment horizontal="center"/>
    </xf>
    <xf numFmtId="164" fontId="4" fillId="3" borderId="6" xfId="4" applyFont="1" applyFill="1" applyBorder="1" applyAlignment="1">
      <alignment horizontal="center"/>
    </xf>
    <xf numFmtId="164" fontId="4" fillId="3" borderId="5" xfId="4" applyFont="1" applyFill="1" applyBorder="1" applyAlignment="1">
      <alignment horizontal="center"/>
    </xf>
  </cellXfs>
  <cellStyles count="86">
    <cellStyle name="Excel Built-in Normal" xfId="22" xr:uid="{15E305F7-EFC0-452B-963F-0CE9C804A659}"/>
    <cellStyle name="Hyperlink" xfId="52" xr:uid="{BFF241AC-6F9C-4AB2-A223-E6971BEFE62A}"/>
    <cellStyle name="Millares" xfId="1" builtinId="3"/>
    <cellStyle name="Millares 2" xfId="30" xr:uid="{48E07EC3-F41A-43B2-B3DB-B21C50FD4966}"/>
    <cellStyle name="Millares 2 2" xfId="40" xr:uid="{A7DDE20C-4055-4BFB-A98F-3394FB15871F}"/>
    <cellStyle name="Millares 2 3" xfId="54" xr:uid="{A323BA1A-9903-4BDA-A139-3C720BB3BED9}"/>
    <cellStyle name="Millares 3" xfId="55" xr:uid="{672C464E-9E39-4D58-97E6-5F3AC3C192A5}"/>
    <cellStyle name="Moneda [0]" xfId="12" builtinId="7"/>
    <cellStyle name="Moneda [0] 2" xfId="76" xr:uid="{3DC6781E-87E8-4292-A3E1-3E03D0F85E02}"/>
    <cellStyle name="Moneda 2" xfId="3" xr:uid="{00000000-0005-0000-0000-000002000000}"/>
    <cellStyle name="Moneda 2 10" xfId="5" xr:uid="{00000000-0005-0000-0000-000003000000}"/>
    <cellStyle name="Moneda 2 10 2" xfId="81" xr:uid="{D477CBC4-E1D8-406D-955F-2308B78A7021}"/>
    <cellStyle name="Moneda 2 2" xfId="4" xr:uid="{00000000-0005-0000-0000-000004000000}"/>
    <cellStyle name="Moneda 2 2 2" xfId="6" xr:uid="{00000000-0005-0000-0000-000005000000}"/>
    <cellStyle name="Moneda 3" xfId="56" xr:uid="{0BAA5877-9161-446D-9855-81EAE6FC6751}"/>
    <cellStyle name="Moneda 3 7" xfId="85" xr:uid="{130B7C04-F3FE-4A89-875D-4D236CFDE34D}"/>
    <cellStyle name="Moneda 4" xfId="2" xr:uid="{00000000-0005-0000-0000-000006000000}"/>
    <cellStyle name="Moneda 4 2" xfId="57" xr:uid="{40053C62-B90A-486C-8721-4DB04E032DE6}"/>
    <cellStyle name="Moneda 4 3" xfId="82" xr:uid="{53E829DD-3F60-44FC-B139-F0999664E1A5}"/>
    <cellStyle name="Moneda 5" xfId="80" xr:uid="{60AA941F-5797-4E24-9C1D-F94A5450F9FD}"/>
    <cellStyle name="Moneda 6" xfId="84" xr:uid="{8BDEC610-37D6-4BC1-AB1D-7AD28FFB0B27}"/>
    <cellStyle name="Normal" xfId="0" builtinId="0"/>
    <cellStyle name="Normal 10" xfId="42" xr:uid="{829F9460-2C20-4C5A-8694-ECD8DCB7D48B}"/>
    <cellStyle name="Normal 10 2 10" xfId="24" xr:uid="{CDAF884E-A07F-4F64-8DF6-BE57216287E5}"/>
    <cellStyle name="Normal 10 2 10 2" xfId="58" xr:uid="{F3BF0A22-2E0E-4B0C-A272-910BB044C074}"/>
    <cellStyle name="Normal 10 2 10 3" xfId="44" xr:uid="{3B2F1287-A128-46E6-BF64-BAC44861671D}"/>
    <cellStyle name="Normal 10 2 10 50" xfId="34" xr:uid="{2561EE24-35A6-42E5-A5BF-BBAFAED731DC}"/>
    <cellStyle name="Normal 10 2 10 50 2" xfId="59" xr:uid="{E3910BD1-99A6-4549-8059-3B7440A71CFF}"/>
    <cellStyle name="Normal 11" xfId="77" xr:uid="{2824E1CB-D3C4-4191-9E15-5BE3460EBC48}"/>
    <cellStyle name="Normal 12" xfId="78" xr:uid="{E00B4866-B121-4CFF-AC05-D46FA099B13C}"/>
    <cellStyle name="Normal 15" xfId="31" xr:uid="{0C415084-8859-49E4-81FD-528BDF7328BD}"/>
    <cellStyle name="Normal 17" xfId="32" xr:uid="{C5D1DF2F-B6A2-4A64-979D-23C8EED3F0C3}"/>
    <cellStyle name="Normal 172" xfId="7" xr:uid="{00000000-0005-0000-0000-000008000000}"/>
    <cellStyle name="Normal 2" xfId="19" xr:uid="{BE55419B-F587-405D-9831-0AA884F46DAF}"/>
    <cellStyle name="Normal 2 10" xfId="13" xr:uid="{F1A7BEA5-1A91-4647-A502-4AF427958C39}"/>
    <cellStyle name="Normal 2 10 2" xfId="14" xr:uid="{6165C117-A087-4BE5-A01C-73373E01589A}"/>
    <cellStyle name="Normal 2 10 3" xfId="27" xr:uid="{FAE9DCBA-08F9-4A1F-B378-19CA5C4CFE08}"/>
    <cellStyle name="Normal 2 2" xfId="21" xr:uid="{9C4D9B61-B26F-4D01-9E8F-11EEBFD71C30}"/>
    <cellStyle name="Normal 2 2 2" xfId="8" xr:uid="{00000000-0005-0000-0000-000009000000}"/>
    <cellStyle name="Normal 2 2 2 2" xfId="15" xr:uid="{F42044D7-F3FA-449E-8B88-C8C72FE08270}"/>
    <cellStyle name="Normal 2 2 2 2 2" xfId="35" xr:uid="{300C07D0-2A6B-4145-ADB4-DBC53C84349E}"/>
    <cellStyle name="Normal 2 2 2 2 3" xfId="60" xr:uid="{2F40FA22-D80F-4D25-BBA5-B872782A739E}"/>
    <cellStyle name="Normal 2 2 2 2 6 2" xfId="9" xr:uid="{00000000-0005-0000-0000-00000A000000}"/>
    <cellStyle name="Normal 2 2 2 2 6 2 2" xfId="79" xr:uid="{AF4F1136-2A82-4655-B0E4-2C4F586C5770}"/>
    <cellStyle name="Normal 2 2 2 2 6 2 3" xfId="83" xr:uid="{E4879C1C-60B8-402F-8F8D-0342DD4A74B0}"/>
    <cellStyle name="Normal 2 2 2 3" xfId="10" xr:uid="{00000000-0005-0000-0000-00000B000000}"/>
    <cellStyle name="Normal 2 2 2 3 49" xfId="41" xr:uid="{AB6F42FC-55D1-477A-AF00-DA168C330630}"/>
    <cellStyle name="Normal 2 2 2 4" xfId="23" xr:uid="{13FAE07A-27ED-487D-9A91-35F8D5ACDE3C}"/>
    <cellStyle name="Normal 2 2 3" xfId="37" xr:uid="{FC1180C0-349D-4567-965B-7781839E0B5B}"/>
    <cellStyle name="Normal 2 2 3 2" xfId="61" xr:uid="{8E98AC02-2092-49DA-9322-11FE573E7B7E}"/>
    <cellStyle name="Normal 2 2 4" xfId="28" xr:uid="{02793E66-831B-4268-ABB7-1578B12C77D2}"/>
    <cellStyle name="Normal 2 2 4 2" xfId="62" xr:uid="{C2988123-1BF7-4002-9A15-4EBD9E135379}"/>
    <cellStyle name="Normal 2 2 5" xfId="45" xr:uid="{6854B5DC-7EF7-4C74-AA60-39C027B1B4CC}"/>
    <cellStyle name="Normal 2 2 52" xfId="63" xr:uid="{59536A04-3942-43F4-9EFE-0978D4CBCBF6}"/>
    <cellStyle name="Normal 2 3" xfId="38" xr:uid="{54DFC51B-DCCD-455C-8083-5719B44E1137}"/>
    <cellStyle name="Normal 2 3 2" xfId="64" xr:uid="{F7184008-FD19-43C6-BFD1-63C1F0936238}"/>
    <cellStyle name="Normal 2 4" xfId="25" xr:uid="{8A6B9991-9BB0-499A-A98D-D4799A72C269}"/>
    <cellStyle name="Normal 2 4 2" xfId="65" xr:uid="{FC8ED0A4-AD9D-4219-A20E-57EFB47D2C2A}"/>
    <cellStyle name="Normal 2 41" xfId="33" xr:uid="{2E7A8C71-F84F-4E96-9B9D-640BCF6082E8}"/>
    <cellStyle name="Normal 2 5" xfId="43" xr:uid="{181BA249-06BA-41D7-AE4F-471289871CA5}"/>
    <cellStyle name="Normal 3" xfId="26" xr:uid="{B3395BC8-BB8E-4A3E-A16C-199AEB673E68}"/>
    <cellStyle name="Normal 3 2" xfId="66" xr:uid="{23D05502-0EAD-4530-BED9-6B825A16A5B5}"/>
    <cellStyle name="Normal 3 3" xfId="67" xr:uid="{82CDD6C5-F4A9-4B3C-A95C-DA6D567E2F23}"/>
    <cellStyle name="Normal 3 4" xfId="49" xr:uid="{4B87EB8C-88BE-495F-951A-76FBEC6CC6ED}"/>
    <cellStyle name="Normal 4" xfId="29" xr:uid="{C767BBFE-C902-4842-A195-10801731E606}"/>
    <cellStyle name="Normal 4 2" xfId="68" xr:uid="{A27A9266-6D29-4B68-B870-8A5A25038FBD}"/>
    <cellStyle name="Normal 4 3" xfId="50" xr:uid="{67CBBB9F-E2FA-4806-BF28-A6D11AC26C53}"/>
    <cellStyle name="Normal 5" xfId="11" xr:uid="{00000000-0005-0000-0000-00000C000000}"/>
    <cellStyle name="Normal 5 10" xfId="46" xr:uid="{01C6E9D7-076F-48F6-B670-BB75F5F01353}"/>
    <cellStyle name="Normal 5 10 2" xfId="69" xr:uid="{916BEDFF-B46E-40A7-9372-BFB3E43CFFFE}"/>
    <cellStyle name="Normal 5 2" xfId="39" xr:uid="{F5390F9A-543B-42E7-9460-FF712F8B3046}"/>
    <cellStyle name="Normal 5 2 2" xfId="70" xr:uid="{BB9AC807-13D4-4CB7-8254-37D30A9231B9}"/>
    <cellStyle name="Normal 5 3" xfId="71" xr:uid="{EC232D85-061F-49E5-800F-0A68C549298B}"/>
    <cellStyle name="Normal 5 4" xfId="51" xr:uid="{1FBCAE4A-70CB-4ABB-BD98-0749AEF914D0}"/>
    <cellStyle name="Normal 5 5" xfId="36" xr:uid="{0A5EACB8-EC4B-4417-994F-5F5EE596BA65}"/>
    <cellStyle name="Normal 6" xfId="53" xr:uid="{C4128381-A3EF-43EA-AA6A-FF3CA77F20D7}"/>
    <cellStyle name="Normal 7" xfId="17" xr:uid="{75A297A9-F825-4655-8631-B63530F5264F}"/>
    <cellStyle name="Normal 7 10" xfId="72" xr:uid="{2FF2D628-3421-49CC-BF78-327009395853}"/>
    <cellStyle name="Normal 7 2" xfId="20" xr:uid="{79E901B7-874E-434E-8E4B-B0373E017877}"/>
    <cellStyle name="Normal 7 4" xfId="73" xr:uid="{28875AC7-E531-4D40-9CF4-8E49F560CCED}"/>
    <cellStyle name="Normal 8" xfId="16" xr:uid="{037570AD-2FE1-4D6D-B77D-C071C6D026AA}"/>
    <cellStyle name="Normal 8 2" xfId="74" xr:uid="{166A7C38-9289-41FD-89D6-CA33A2E2293E}"/>
    <cellStyle name="Normal 8 3" xfId="47" xr:uid="{6853F15A-2C18-4AE7-80A1-0042883C24DB}"/>
    <cellStyle name="Normal 81" xfId="18" xr:uid="{BA2B7C28-0382-4757-80C6-B524FAE3E6AE}"/>
    <cellStyle name="Normal 9" xfId="48" xr:uid="{5552A3C7-9D06-40D9-84AC-156B7FDB4F15}"/>
    <cellStyle name="Normal 9 2" xfId="75" xr:uid="{7D242F4B-6B8A-41C8-AE1F-812A020B5EDF}"/>
  </cellStyles>
  <dxfs count="0"/>
  <tableStyles count="0" defaultTableStyle="TableStyleMedium2" defaultPivotStyle="PivotStyleLight16"/>
  <colors>
    <mruColors>
      <color rgb="FF9B9B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nea%20comunicaciones/ZONAS%20REMOTAS/Matriz%20Formato%20Estado%20Diario%20Zonas%20Remotas%20Jul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&#243;n%20Incidentes%20CB%20Bancolombia%20Julio%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Usuario\Desktop\COORDINACI&#211;N%20NOROCCIDENTE\Operacion\INFORME%20DE%20GESTION%20ESTADO%20DIARIO\MATRIZ%20INFORME%20DE%20GESTION%20JULIO\Matriz%20Formato%20Estado%20Diario%20(Julio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sdata01\Gerencia%20de%20Medios%20de%20Acceso%201\Aleja\Downloads\Informe%20Gesti&#243;n%20Incidentes%20CB%20Bancolombia%20V4%20(7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uliethTatiana\Downloads\Informe%20Gesti&#243;n%20Ordenes%20Cambio%20CB%20Bancolombia%20V6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enovo\AppData\Local\Microsoft\Windows\Temporary%20Internet%20Files\Content.Outlook\I8UJS5CV\Informe%20Gesti&#243;n%20Incidentes%20CB%20Bancolombia%20con%20corte%20al%2030%20septiembre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on%20de%20Incidentes%20Bancolombia%20Marzo%202021%20(66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a.galvis/Downloads/Informe%20Gestion%20Ordenes%20de%20cambio%20CB%20Bancolombia%20Noviembre%2001-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Ucanales\GERENCIA%20CORRESPONSALES%20NO%20BANCARIOS\CARPETA%20COMPARTIDA%20CNB%20CON%20OTRAS%20AREAS\MACRO%20PROCESO%20SELECCION%20E%20IMPLEMENTACION%20CNB\Seleccion%20vinculacion%20y%20apertura%20de%20CN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/Documents/LINEA%20COMUNICACIONES/Informes/Matriz%20Formato%20Estado%20Diario%20%20Costa%20New%2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NTREGA%20GERENCIA%20PROYECTO%20BANCO\FACTURACION\JUNIO\INCIDENTES\Informe%20Gesti&#243;n%20OC%20CB%20Redeban,%20con%20corte%20al%2030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Puntos"/>
      <sheetName val="Formulas"/>
      <sheetName val="CAPACIDAD"/>
      <sheetName val="PERSONAL"/>
      <sheetName val="EVALUA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AVAL JUNIO"/>
      <sheetName val="Cerrados RBM JUNIO"/>
      <sheetName val="Cerrados CCO JUNIO"/>
      <sheetName val="Listas Desplegables"/>
      <sheetName val="TIPOLOGÍAS"/>
      <sheetName val="Abiertos CCO"/>
      <sheetName val="Abiertos AVAL"/>
      <sheetName val="Cerrados RBM JULIO"/>
      <sheetName val="Matriz1"/>
      <sheetName val="Cerrados AVAL JULIO"/>
      <sheetName val="Cambio de equipos"/>
      <sheetName val="Cerrados CCO JULIO"/>
      <sheetName val="Gestión de IM(ATH BBVA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>
        <row r="1">
          <cell r="B1" t="str">
            <v>Cerrado</v>
          </cell>
        </row>
        <row r="2">
          <cell r="BB2" t="str">
            <v>CAD</v>
          </cell>
        </row>
        <row r="3">
          <cell r="BB3" t="str">
            <v>DMA Barranquilla</v>
          </cell>
        </row>
        <row r="4">
          <cell r="BB4" t="str">
            <v>DMA Bogotá</v>
          </cell>
        </row>
        <row r="5">
          <cell r="BB5" t="str">
            <v xml:space="preserve">DMA Bucaramanga </v>
          </cell>
        </row>
        <row r="6">
          <cell r="BB6" t="str">
            <v>DMA Cali</v>
          </cell>
        </row>
        <row r="7">
          <cell r="BB7" t="str">
            <v>DMA Cartagena</v>
          </cell>
        </row>
        <row r="8">
          <cell r="BB8" t="str">
            <v>DMA Manizales</v>
          </cell>
        </row>
        <row r="9">
          <cell r="BB9" t="str">
            <v>DMA Medellin</v>
          </cell>
        </row>
        <row r="10">
          <cell r="BB10" t="str">
            <v xml:space="preserve">DMA MONTERIA </v>
          </cell>
        </row>
        <row r="11">
          <cell r="BB11" t="str">
            <v>DMA Pasto</v>
          </cell>
        </row>
        <row r="12">
          <cell r="BB12" t="str">
            <v>DMA Valledupar</v>
          </cell>
        </row>
        <row r="13">
          <cell r="BB13" t="str">
            <v>DMA Villavicencio</v>
          </cell>
        </row>
        <row r="14">
          <cell r="BB14" t="str">
            <v>ETB</v>
          </cell>
        </row>
        <row r="15">
          <cell r="BB15" t="str">
            <v>Línea de Comunicaciones</v>
          </cell>
        </row>
        <row r="16">
          <cell r="BB16" t="str">
            <v>Servicios para los clientes</v>
          </cell>
        </row>
        <row r="17">
          <cell r="BB17" t="str">
            <v>UNE</v>
          </cell>
        </row>
      </sheetData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diario"/>
      <sheetName val="Hoja1"/>
      <sheetName val="Capacidad Operativa"/>
      <sheetName val="Coordinadores"/>
      <sheetName val="Tecnicos"/>
      <sheetName val="Clientes"/>
      <sheetName val="Punto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>
        <row r="1">
          <cell r="U1" t="str">
            <v>Capacitación</v>
          </cell>
          <cell r="AO1" t="str">
            <v>Bancolombia</v>
          </cell>
          <cell r="AP1" t="str">
            <v>Red</v>
          </cell>
          <cell r="AQ1" t="str">
            <v>LíneaComunicaciones</v>
          </cell>
          <cell r="AR1" t="str">
            <v>NoAplica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1"/>
      <sheetName val="Cerrados RBM Abril"/>
      <sheetName val="Cerrados RBM Mayo"/>
      <sheetName val="Cerrados AVAL Abril"/>
      <sheetName val="Cerrados CCO Abril"/>
      <sheetName val="Abiertos RBM"/>
      <sheetName val="Abiertos CCO"/>
      <sheetName val="Abiertos AVAL"/>
      <sheetName val="Cerrados CCO Mayo"/>
      <sheetName val="Gestión de IM(ATH BBVA)"/>
      <sheetName val="Cerrados AVAL Mayo"/>
      <sheetName val="PINPAD AGENTES CLARO"/>
      <sheetName val="Listas Desplegables"/>
      <sheetName val="TIPOLOGÍ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graciones cerrados Enero"/>
      <sheetName val="Matriz"/>
      <sheetName val="Migraciones"/>
      <sheetName val="Cerrados Enero"/>
      <sheetName val="OC Abiertas"/>
      <sheetName val="Cerrados Febrero"/>
      <sheetName val="Rollos RBM"/>
      <sheetName val="Cierres"/>
      <sheetName val="MEGA LINEA"/>
      <sheetName val="Cierres AVAL"/>
      <sheetName val="OC AVAL"/>
      <sheetName val="TIPOLOGÍAS REALE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ESTADO"/>
      <sheetName val="VALORES CB"/>
      <sheetName val="ACTIV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 desplegables"/>
      <sheetName val="Consolidado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D9" sqref="D9"/>
    </sheetView>
  </sheetViews>
  <sheetFormatPr baseColWidth="10" defaultColWidth="11.44140625" defaultRowHeight="13.2"/>
  <cols>
    <col min="1" max="1" width="20" style="11" customWidth="1"/>
    <col min="2" max="2" width="11.44140625" style="11"/>
    <col min="3" max="3" width="27.44140625" style="11" customWidth="1"/>
    <col min="4" max="4" width="32.5546875" style="11" customWidth="1"/>
    <col min="5" max="5" width="19.44140625" style="11" customWidth="1"/>
    <col min="6" max="6" width="14.109375" style="11" bestFit="1" customWidth="1"/>
    <col min="7" max="7" width="12.6640625" style="11" customWidth="1"/>
    <col min="8" max="8" width="13.6640625" style="11" bestFit="1" customWidth="1"/>
    <col min="9" max="16384" width="11.44140625" style="11"/>
  </cols>
  <sheetData>
    <row r="1" spans="1:9">
      <c r="A1" s="34" t="s">
        <v>30</v>
      </c>
      <c r="B1" s="34"/>
      <c r="C1" s="34"/>
      <c r="D1" s="34"/>
      <c r="E1" s="34"/>
      <c r="F1" s="34"/>
      <c r="G1" s="34"/>
      <c r="H1" s="34"/>
    </row>
    <row r="2" spans="1:9" ht="52.8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</row>
    <row r="3" spans="1:9">
      <c r="A3" s="19" t="str">
        <f>CONCATENATE(MID(A1,22,10)," DE 2025")</f>
        <v>NOVIEMBRE DE 2025</v>
      </c>
      <c r="B3" s="19" t="s">
        <v>8</v>
      </c>
      <c r="C3" s="19" t="s">
        <v>9</v>
      </c>
      <c r="D3" s="19" t="s">
        <v>10</v>
      </c>
      <c r="E3" s="20">
        <v>1</v>
      </c>
      <c r="F3" s="21">
        <f>'BODEGA Y EMBALAJE'!D6</f>
        <v>15703413.888281005</v>
      </c>
      <c r="G3" s="22">
        <f>F3*0.19</f>
        <v>2983648.638773391</v>
      </c>
      <c r="H3" s="22">
        <f>F3+G3</f>
        <v>18687062.527054396</v>
      </c>
      <c r="I3" s="26"/>
    </row>
    <row r="4" spans="1:9" ht="15.75" customHeight="1">
      <c r="A4" s="35" t="s">
        <v>11</v>
      </c>
      <c r="B4" s="35"/>
      <c r="C4" s="35"/>
      <c r="D4" s="35"/>
      <c r="E4" s="35"/>
      <c r="F4" s="24">
        <f>SUM(F3:F3)</f>
        <v>15703413.888281005</v>
      </c>
      <c r="G4" s="24">
        <f>SUM(G3:G3)</f>
        <v>2983648.638773391</v>
      </c>
      <c r="H4" s="24">
        <f>SUM(H3:H3)</f>
        <v>18687062.527054396</v>
      </c>
    </row>
  </sheetData>
  <mergeCells count="2">
    <mergeCell ref="A1:H1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8" sqref="B8"/>
    </sheetView>
  </sheetViews>
  <sheetFormatPr baseColWidth="10" defaultColWidth="11.44140625" defaultRowHeight="15"/>
  <cols>
    <col min="1" max="1" width="41.33203125" style="10" bestFit="1" customWidth="1"/>
    <col min="2" max="2" width="14.109375" style="10" bestFit="1" customWidth="1"/>
    <col min="3" max="3" width="11.44140625" style="10"/>
    <col min="4" max="5" width="14.109375" style="10" bestFit="1" customWidth="1"/>
    <col min="6" max="16384" width="11.44140625" style="10"/>
  </cols>
  <sheetData>
    <row r="1" spans="1:5">
      <c r="A1" s="14" t="s">
        <v>12</v>
      </c>
      <c r="B1" s="14" t="s">
        <v>13</v>
      </c>
      <c r="C1" s="15"/>
    </row>
    <row r="2" spans="1:5">
      <c r="A2" s="12" t="s">
        <v>14</v>
      </c>
      <c r="B2" s="13">
        <f>78725.3372*(1+5.2%)</f>
        <v>82819.054734399993</v>
      </c>
    </row>
    <row r="3" spans="1:5">
      <c r="A3" s="9" t="s">
        <v>15</v>
      </c>
      <c r="B3" s="13">
        <f>814381.5645*(1+5.2%)</f>
        <v>856729.40585400001</v>
      </c>
    </row>
    <row r="4" spans="1:5">
      <c r="A4" s="14" t="s">
        <v>16</v>
      </c>
      <c r="B4" s="13"/>
    </row>
    <row r="5" spans="1:5">
      <c r="A5" s="9" t="s">
        <v>17</v>
      </c>
      <c r="B5" s="13">
        <f>868673.6688*(1+5.2%)</f>
        <v>913844.6995776</v>
      </c>
    </row>
    <row r="6" spans="1:5">
      <c r="A6" s="9" t="s">
        <v>18</v>
      </c>
      <c r="B6" s="13">
        <f>1447789.448*(1+5.2%)</f>
        <v>1523074.4992960002</v>
      </c>
    </row>
    <row r="7" spans="1:5">
      <c r="A7" s="9" t="s">
        <v>19</v>
      </c>
      <c r="B7" s="13">
        <f>2171684.172*(1+5.2%)</f>
        <v>2284611.7489439999</v>
      </c>
      <c r="D7" s="16"/>
    </row>
    <row r="8" spans="1:5">
      <c r="A8" s="9" t="s">
        <v>20</v>
      </c>
      <c r="B8" s="13">
        <f>2895578.896*(1+5.2%)</f>
        <v>3046148.9985920005</v>
      </c>
      <c r="D8" s="17"/>
      <c r="E8" s="16"/>
    </row>
    <row r="9" spans="1:5">
      <c r="D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tabSelected="1" workbookViewId="0">
      <selection activeCell="B5" sqref="B5"/>
    </sheetView>
  </sheetViews>
  <sheetFormatPr baseColWidth="10" defaultColWidth="11.44140625" defaultRowHeight="14.4"/>
  <cols>
    <col min="1" max="1" width="51" customWidth="1"/>
    <col min="2" max="4" width="20" customWidth="1"/>
  </cols>
  <sheetData>
    <row r="1" spans="1:9" ht="15.6">
      <c r="A1" s="36" t="str">
        <f>CONCATENATE("FACTURACIÓN PROYECTO CB BANCOLOMBIA ",RESUMEN!A3)</f>
        <v>FACTURACIÓN PROYECTO CB BANCOLOMBIA NOVIEMBRE DE 2025</v>
      </c>
      <c r="B1" s="37"/>
      <c r="C1" s="37"/>
      <c r="D1" s="37"/>
    </row>
    <row r="2" spans="1:9" ht="15.6">
      <c r="A2" s="1" t="s">
        <v>21</v>
      </c>
      <c r="B2" s="6" t="s">
        <v>22</v>
      </c>
      <c r="C2" s="7" t="s">
        <v>23</v>
      </c>
      <c r="D2" s="8" t="s">
        <v>24</v>
      </c>
    </row>
    <row r="3" spans="1:9" ht="15.6">
      <c r="A3" s="2" t="s">
        <v>25</v>
      </c>
      <c r="B3" s="25">
        <f>B5</f>
        <v>1.4304635761589404</v>
      </c>
      <c r="C3" s="3">
        <f>'BASE DE LIQUIDACIÓN'!B3</f>
        <v>856729.40585400001</v>
      </c>
      <c r="D3" s="3">
        <f>B3*C3</f>
        <v>1225520.209698437</v>
      </c>
    </row>
    <row r="4" spans="1:9" ht="15.6">
      <c r="A4" s="27" t="s">
        <v>14</v>
      </c>
      <c r="B4" s="33">
        <v>122.2</v>
      </c>
      <c r="C4" s="28">
        <f>'BASE DE LIQUIDACIÓN'!B2</f>
        <v>82819.054734399993</v>
      </c>
      <c r="D4" s="28">
        <f>B4*C4</f>
        <v>10120488.48854368</v>
      </c>
    </row>
    <row r="5" spans="1:9" ht="15.6">
      <c r="A5" s="30" t="s">
        <v>26</v>
      </c>
      <c r="B5" s="31">
        <f>(140+76)/151</f>
        <v>1.4304635761589404</v>
      </c>
      <c r="C5" s="32">
        <f>'BASE DE LIQUIDACIÓN'!B8</f>
        <v>3046148.9985920005</v>
      </c>
      <c r="D5" s="32">
        <f>B5*C5</f>
        <v>4357405.1900388878</v>
      </c>
      <c r="I5" s="18"/>
    </row>
    <row r="6" spans="1:9" ht="15.6">
      <c r="A6" s="38" t="s">
        <v>27</v>
      </c>
      <c r="B6" s="39"/>
      <c r="C6" s="40"/>
      <c r="D6" s="29">
        <f>SUM(D3:D5)</f>
        <v>15703413.888281005</v>
      </c>
    </row>
    <row r="7" spans="1:9" ht="15.6">
      <c r="A7" s="41" t="s">
        <v>28</v>
      </c>
      <c r="B7" s="42"/>
      <c r="C7" s="43"/>
      <c r="D7" s="4">
        <f>D6*0.19</f>
        <v>2983648.638773391</v>
      </c>
    </row>
    <row r="8" spans="1:9" ht="15.6">
      <c r="A8" s="44" t="s">
        <v>29</v>
      </c>
      <c r="B8" s="45"/>
      <c r="C8" s="46"/>
      <c r="D8" s="5">
        <f>D6+D7</f>
        <v>18687062.527054396</v>
      </c>
    </row>
  </sheetData>
  <mergeCells count="4">
    <mergeCell ref="A1:D1"/>
    <mergeCell ref="A6:C6"/>
    <mergeCell ref="A7:C7"/>
    <mergeCell ref="A8:C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A8736163078B46BA45051ACB50C0B2" ma:contentTypeVersion="16" ma:contentTypeDescription="Crear nuevo documento." ma:contentTypeScope="" ma:versionID="3688f3dae372e14fc0065b8deaede2af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6be92bc8077a6e15648bc8fb56071b5e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Props1.xml><?xml version="1.0" encoding="utf-8"?>
<ds:datastoreItem xmlns:ds="http://schemas.openxmlformats.org/officeDocument/2006/customXml" ds:itemID="{38C25EFB-530E-4D50-9C54-498D901D5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FFEE2A-3D47-409F-BA10-AA3FC4BB0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763D4B-7D36-4D82-9D86-EE5FCEDBA826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BASE DE LIQUIDACIÓN</vt:lpstr>
      <vt:lpstr>BODEGA Y EMBALAJE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</dc:creator>
  <cp:keywords/>
  <dc:description/>
  <cp:lastModifiedBy>Lini Jhojana Hernandez Mora</cp:lastModifiedBy>
  <cp:revision/>
  <dcterms:created xsi:type="dcterms:W3CDTF">2016-09-05T12:50:39Z</dcterms:created>
  <dcterms:modified xsi:type="dcterms:W3CDTF">2025-12-03T23:02:45Z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