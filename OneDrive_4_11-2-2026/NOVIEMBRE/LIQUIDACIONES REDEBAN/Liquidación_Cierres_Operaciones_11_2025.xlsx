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Lini Hernández\AppData\Local\Microsoft\Windows\INetCache\Content.Outlook\PF16X5LU\"/>
    </mc:Choice>
  </mc:AlternateContent>
  <xr:revisionPtr revIDLastSave="0" documentId="13_ncr:1_{5D3F3CC2-377B-48BE-A0B4-9F1732564826}" xr6:coauthVersionLast="47" xr6:coauthVersionMax="47" xr10:uidLastSave="{00000000-0000-0000-0000-000000000000}"/>
  <bookViews>
    <workbookView xWindow="-108" yWindow="-108" windowWidth="23256" windowHeight="12456" activeTab="1" xr2:uid="{CDA665D3-E095-4427-BF38-9910CC75BA01}"/>
  </bookViews>
  <sheets>
    <sheet name="BASE DE LIQUIDACION 2025" sheetId="1" r:id="rId1"/>
    <sheet name="RESUMEN LIQUIDACIÓN" sheetId="4" r:id="rId2"/>
    <sheet name="CENTRO DE COSTOS" sheetId="2" state="hidden" r:id="rId3"/>
    <sheet name="CIERRES" sheetId="3" r:id="rId4"/>
  </sheets>
  <externalReferences>
    <externalReference r:id="rId5"/>
    <externalReference r:id="rId6"/>
    <externalReference r:id="rId7"/>
    <externalReference r:id="rId8"/>
    <externalReference r:id="rId9"/>
  </externalReferences>
  <definedNames>
    <definedName name="_xlnm._FilterDatabase" localSheetId="2" hidden="1">'CENTRO DE COSTOS'!$A$1:$D$23</definedName>
    <definedName name="_xlnm._FilterDatabase" localSheetId="3" hidden="1">CIERRES!$A$1:$AD$74</definedName>
    <definedName name="ACTIVIDAD">[1]Hoja2!$P$2:$P$30</definedName>
    <definedName name="Clientes">[2]Clientes!$A$2:$A$100</definedName>
    <definedName name="COORDINADOR">[1]Hoja2!$D$2:$D$30</definedName>
    <definedName name="Coordinadores">[3]Coordinadores!$A$2:$A$1000</definedName>
    <definedName name="DOCUMENTADOR">[1]Hoja2!$A$2:$A$30</definedName>
    <definedName name="ES">[1]Hoja2!$K$2:$K$30</definedName>
    <definedName name="ESS">[1]Hoja2!$K$2:$K$30</definedName>
    <definedName name="Estado">[2]Formulas!$K$2:$K$5000</definedName>
    <definedName name="ESTADOACTIVIDAD">[1]Hoja2!$M$2:$M$30</definedName>
    <definedName name="ESTADOSCIERRES">'[4]lista desplegable'!$CX$1:$DA$1</definedName>
    <definedName name="Facturacion">'[5]Listas desplegables'!$AO$1:$AR$1</definedName>
    <definedName name="solicitudes">'[5]Listas desplegables'!$U$1:$AF$1</definedName>
    <definedName name="Tecnicos">[2]Tecnicos!$A$2:$A$1000</definedName>
  </definedNames>
  <calcPr calcId="191029"/>
</workbook>
</file>

<file path=xl/calcChain.xml><?xml version="1.0" encoding="utf-8"?>
<calcChain xmlns="http://schemas.openxmlformats.org/spreadsheetml/2006/main">
  <c r="D6" i="4" l="1"/>
  <c r="B6" i="4"/>
  <c r="F2" i="4"/>
  <c r="I5" i="4" l="1"/>
  <c r="I10" i="4" s="1"/>
  <c r="H10" i="4"/>
  <c r="B9" i="1"/>
  <c r="C6" i="1"/>
  <c r="C5" i="1"/>
  <c r="C4" i="1"/>
  <c r="C3" i="1"/>
  <c r="J5" i="4" l="1"/>
  <c r="J10" i="4" s="1"/>
  <c r="D7" i="4" s="1"/>
  <c r="D8" i="4" s="1"/>
  <c r="D9" i="4" l="1"/>
  <c r="D1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Natacha Gutierrez Tamayo</author>
  </authors>
  <commentList>
    <comment ref="C7" authorId="0" shapeId="0" xr:uid="{00000000-0006-0000-0000-000001000000}">
      <text>
        <r>
          <rPr>
            <sz val="11"/>
            <color theme="1"/>
            <rFont val="Calibri"/>
            <family val="2"/>
            <scheme val="minor"/>
          </rPr>
          <t>Zoom</t>
        </r>
      </text>
    </comment>
  </commentList>
</comments>
</file>

<file path=xl/sharedStrings.xml><?xml version="1.0" encoding="utf-8"?>
<sst xmlns="http://schemas.openxmlformats.org/spreadsheetml/2006/main" count="1867" uniqueCount="680">
  <si>
    <t>CIERRE CB - VISITAS FALLIDAS O CIERRES NO EXITOSOS TARIFAS 2024</t>
  </si>
  <si>
    <t>Incremento 2025</t>
  </si>
  <si>
    <t xml:space="preserve">Tipificación </t>
  </si>
  <si>
    <t>Descripción</t>
  </si>
  <si>
    <t xml:space="preserve">Tarifa </t>
  </si>
  <si>
    <t>Tipo I</t>
  </si>
  <si>
    <t>Metropolitano</t>
  </si>
  <si>
    <t>Tipo II</t>
  </si>
  <si>
    <t>Hasta 3 horas</t>
  </si>
  <si>
    <t>Tipo III</t>
  </si>
  <si>
    <t>De 3 a 5 horas</t>
  </si>
  <si>
    <t>Tipo IV</t>
  </si>
  <si>
    <t>Más de 5 horas</t>
  </si>
  <si>
    <t>Trayecto Especial</t>
  </si>
  <si>
    <t>No incluye valor del Tiquete</t>
  </si>
  <si>
    <t>Valor de actividad Tipo IV + Valor tiquete aéreo (o fluvial) + 12% administración)</t>
  </si>
  <si>
    <t>Gestión telefonica</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</si>
  <si>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</si>
  <si>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</si>
  <si>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</si>
  <si>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</si>
  <si>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</si>
  <si>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</si>
  <si>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</si>
  <si>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</si>
  <si>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</si>
  <si>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</si>
  <si>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</si>
  <si>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</si>
  <si>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</si>
  <si>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</si>
  <si>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</si>
  <si>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</si>
  <si>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</si>
  <si>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</si>
  <si>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</si>
  <si>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</si>
  <si>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</si>
  <si>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</si>
  <si>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</si>
  <si>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</si>
  <si>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</si>
  <si>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</si>
  <si>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</si>
  <si>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</si>
  <si>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</si>
  <si>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</si>
  <si>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</si>
  <si>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</si>
  <si>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</si>
  <si>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</si>
  <si>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</si>
  <si>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</si>
  <si>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</si>
  <si>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</si>
  <si>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</si>
  <si>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</si>
  <si>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</si>
  <si>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</si>
  <si>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</si>
  <si>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</si>
  <si>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</si>
  <si>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</si>
  <si>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</si>
  <si>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</si>
  <si>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</si>
  <si>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</si>
  <si>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</si>
  <si>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</si>
  <si>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</si>
  <si>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DEPARTAMENTO</t>
  </si>
  <si>
    <t xml:space="preserve">NOMBRE  DEL CB </t>
  </si>
  <si>
    <t>RED</t>
  </si>
  <si>
    <t>FO</t>
  </si>
  <si>
    <t>FECHA ASIGNACION A LINEA COMUNICACIONES</t>
  </si>
  <si>
    <t>FECHA CIERRE DEL TICKET (DD/MM/AAAA HH:MM)</t>
  </si>
  <si>
    <t>ACOMETIDA</t>
  </si>
  <si>
    <t>SOLICITUD</t>
  </si>
  <si>
    <t>FORMATO</t>
  </si>
  <si>
    <t>CADENA</t>
  </si>
  <si>
    <t>ESTADO</t>
  </si>
  <si>
    <t>CAUSAL ESTADO</t>
  </si>
  <si>
    <t>OBSERVACION</t>
  </si>
  <si>
    <t>FORMA DE ATENCION</t>
  </si>
  <si>
    <t>TERMINAL(ES)</t>
  </si>
  <si>
    <t>TIPIFICACION</t>
  </si>
  <si>
    <t>TIPO DE TRAYECTO</t>
  </si>
  <si>
    <t xml:space="preserve">NOMBRE DEL TECNICO </t>
  </si>
  <si>
    <t>DIAS DE VISITA</t>
  </si>
  <si>
    <t>VALOR ACTIVIDAD</t>
  </si>
  <si>
    <t>VALOR TOTAL</t>
  </si>
  <si>
    <t>NOROCCIDENTE</t>
  </si>
  <si>
    <t>5088</t>
  </si>
  <si>
    <t>LC-CS-25-004023</t>
  </si>
  <si>
    <t>3007059103</t>
  </si>
  <si>
    <t>OC CIERRE</t>
  </si>
  <si>
    <t>ANTIOQUIA</t>
  </si>
  <si>
    <t>BELLO</t>
  </si>
  <si>
    <t>BARRIO LA GABRIELA CALLE VIEJA</t>
  </si>
  <si>
    <t>REDEBAN</t>
  </si>
  <si>
    <t>FO-25-1726888</t>
  </si>
  <si>
    <t>CIERRE</t>
  </si>
  <si>
    <t>UNO A UNO</t>
  </si>
  <si>
    <t>CB UNO A UNO</t>
  </si>
  <si>
    <t>EJECUTADO / CANCELADO</t>
  </si>
  <si>
    <t>CB NO ENTREGA EQUIPO</t>
  </si>
  <si>
    <t>23/10/2025 SE ESCALA PARA VISITA. CONFIRMAR DATOS PARA LA RECOLECCION DE EQUIPOS | 25/10/2025 USUARIO GUSTAVO ALBERTO INDICA QUE HOY NO PODRÍA REALIZAR LA ENTREGA DE LOS EQUIPOS, YA PARA EL LUNES NOS PUEDE ATENDER. | 04/11/2025 SE REALIZA VISITA TÉCNICA PROGRAMADA CON EL OBJETIVO DE EFECTUAR EL CIERRE DEL CORRESPONSAL BANCOLOMBIA Y PROCEDER CON EL RETIRO DE LOS EQUIPOS ASIGNADOS. AL LLEGAR AL LUGAR, SE ENCUENTRA EL ESTABLECIMIENTO COMERCIAL CERRADO. SE INTENTA CONTACTAR AL USUARIO RESPONSABLE, LOGRANDO COMUNICACIÓN TELEFÓNICA. EL CLIENTE RESPONDE E INFORMA QUE LOS EQUIPOS SE ENCUENTRAN EN UNA UBICACIÓN DIFERENTE A LA REGISTRADA, PERO SE NIEGA A PROPORCIONAR LA DIRECCIÓN O COORDENADAS DEL NUEVO PUNTO. DEBIDO A ESTA SITUACIÓN, NO FUE POSIBLE COMPLETAR EL PROCEDIMIENTO DE RETIRO.</t>
  </si>
  <si>
    <t>VISITA TECNICA</t>
  </si>
  <si>
    <t>TIPO I</t>
  </si>
  <si>
    <t>TERRESTRE</t>
  </si>
  <si>
    <t>MARTINEZ TOVAR OSCAR DAVID</t>
  </si>
  <si>
    <t>SUROCCIDENTE Y EJE CAFETERO</t>
  </si>
  <si>
    <t>63401</t>
  </si>
  <si>
    <t>LC-CS-25-004065</t>
  </si>
  <si>
    <t>3007066033</t>
  </si>
  <si>
    <t>QUINDIO</t>
  </si>
  <si>
    <t>LA TEBAIDA</t>
  </si>
  <si>
    <t>BARRIO GUAYACANES LA TEBAIDA</t>
  </si>
  <si>
    <t>FO-25-1742543</t>
  </si>
  <si>
    <t>CB CERRADO - DESOCUPADO</t>
  </si>
  <si>
    <t>27/10/2025 SE ESCALA PARA VISITA. CONFIRMAR DATOS PARA LA RECOLECCION DE EQUIPOS | 04/11/2025 SE BUSCA DIRECCIÓN PERO NO ES POSIBLE LOCALIZARLA SE  VÁLIDO CON HABITANTES DEL SECTOR, EN PLATAFORMAS VIRTUALES, SE INTENTA LOCALIZAR VÍA TELEFÓNICA PERO NO ES POSIBLE LA COMUNICACIÓN.</t>
  </si>
  <si>
    <t>TIPO II</t>
  </si>
  <si>
    <t>SANCHEZ SOLORZANO JUAN SEBASTIAN</t>
  </si>
  <si>
    <t>SANTANDERES</t>
  </si>
  <si>
    <t>54001</t>
  </si>
  <si>
    <t>LC-CS-25-004095</t>
  </si>
  <si>
    <t>3007081070</t>
  </si>
  <si>
    <t>NORTE DE SANTANDER</t>
  </si>
  <si>
    <t>BARRIO SANTANDER CUCUTA 3</t>
  </si>
  <si>
    <t>FO-25-1754230</t>
  </si>
  <si>
    <t>06/11/2025 SE ESCALA PARA VISITA. CONFIRMAR DATOS PARA LA RECOLECCION DE EQUIPOS | 06/11/2025 SE REALIZÓN LLAMADAS AL NÚMERO TELEFÓNICO 3122521506 Y NO SE OBTIENE RESPUESTA SE PROCEDE A REALIZAR VISITA | 06/11/2025 SE REALIZARON LLAMADAS TELEFÓNICA AL NÚMERO 3122521506 Y NO SE OBTUVO RESPUESTA, SE PROCEDE A REALIZAR VISITA TÉCNICA Y COMERCIO YA NO EXISTE. SE DEJAN MSJ POR VÍA WHATSAPP</t>
  </si>
  <si>
    <t>MORA VEGA JEAMPIER</t>
  </si>
  <si>
    <t>76100</t>
  </si>
  <si>
    <t>LC-CS-25-004096</t>
  </si>
  <si>
    <t>3007010187</t>
  </si>
  <si>
    <t>VALLE DEL CAUCA</t>
  </si>
  <si>
    <t>BOLIVAR</t>
  </si>
  <si>
    <t>BOLIVAR VALLE DEL CAUCA</t>
  </si>
  <si>
    <t>FO-25-1754220</t>
  </si>
  <si>
    <t>29/10/2025 SE ESCALA PARA VISITA. CONFIRMAR DATOS PARA LA RECOLECCION DE EQUIPOS | 07/11/2025 SE LLEGA AL PUNTO, SE ENCUENTRA CERRADO, SE LLAMA PERO NO CONTESTAN.</t>
  </si>
  <si>
    <t>IZ7ZZ567</t>
  </si>
  <si>
    <t>FRANCO CAÑAVERAL YAMID RAUL</t>
  </si>
  <si>
    <t>CUNDINAMARCA</t>
  </si>
  <si>
    <t>11001</t>
  </si>
  <si>
    <t>LC-CS-25-004105</t>
  </si>
  <si>
    <t>3007070701</t>
  </si>
  <si>
    <t>PTM BOGOTA PAGOSNET</t>
  </si>
  <si>
    <t>FO-25-1779207 | FO-25-1754315</t>
  </si>
  <si>
    <t>AGREGADOR</t>
  </si>
  <si>
    <t>COMCARD - PTM</t>
  </si>
  <si>
    <t>EJECUTADO | EJECUTADO / CANCELADO</t>
  </si>
  <si>
    <t>CIERRE EXITOSO</t>
  </si>
  <si>
    <t>05/11/2025 DESPLAZARSE | 05/11/2025 SE RETIRA DATAFONO LECTORA PIND PAD Y HUB</t>
  </si>
  <si>
    <t>UV008443</t>
  </si>
  <si>
    <t>INFANTE SIERRA MANUEL FERNANDO</t>
  </si>
  <si>
    <t>LC-CS-25-004108</t>
  </si>
  <si>
    <t>3007033556</t>
  </si>
  <si>
    <t>COMCARD BOGOTA ALTAVISTA</t>
  </si>
  <si>
    <t>FO-25-1754324</t>
  </si>
  <si>
    <t>RECUPERACION DE EQUIPOS</t>
  </si>
  <si>
    <t>29/10/2025 SE ESCALA PARA VISITA. CONFIRMAR DATOS PARA LA RECOLECCION DE EQUIPOS | 04/11/2025 SE LLEGA LA DIRECCIÓN ESTABLECIDA POR EL CLIENTE CONJUNTO RESIDENCIAL ALTAVISTA BARRIO CASTILLA SE VALÍA CON VIGILANTE NO PERMITEN INGRESO YA QUE SE DEBE TENER CONTACTO CON EL CLIENTE PREVIAMENTE SE LE MARCAN MÚLTIPLES OCASIONES AL NÚMERO DE CONTACTO 3508309021 RECHAZAN LA LLAMA INTENTAN COMUNICACIÓN DESDE PORTERÍA IGUALMENTE Y TAMPOCO HAY CONTACTO SE DEJA EVIDENCIA FOTOGRÁFICA DEL SITIO</t>
  </si>
  <si>
    <t>0</t>
  </si>
  <si>
    <t>GOMEZ VEGA DAVID SNEYDER</t>
  </si>
  <si>
    <t>86749</t>
  </si>
  <si>
    <t>LC-CS-25-004116</t>
  </si>
  <si>
    <t>3007048166</t>
  </si>
  <si>
    <t>PUTUMAYO</t>
  </si>
  <si>
    <t>SIBUNDOY</t>
  </si>
  <si>
    <t>DISTRICOL DROGUERIAS SOY SALUD</t>
  </si>
  <si>
    <t>FO-25-1754290</t>
  </si>
  <si>
    <t>DISTRICOL</t>
  </si>
  <si>
    <t>29/10/2025 SE ESCALA PARA VISITA. CONFIRMAR DATOS PARA LA RECOLECCION DE EQUIPOS | 05/11/2025 SE REALIZA LLAMADA TELEFÓNICA PARA CONFIRMAR VISITA, SE CONTACTA CON LA SEÑORA ERIKA CORDOBA ARAUJO LA CUÁL INFORMA QUE ELLA YA HIZO ENVÍO D LOS EQUIPOS POR MEDIO DE TRANSPORTADORA SERVIENTREGA A LA DIRECCIÓN QUE LE INDICARON POR LO CUAL YA LO TIENE EQUIPOS EN SU PODER Y NO DESEA VISITA...</t>
  </si>
  <si>
    <t>SOPORTE TELEFONICO</t>
  </si>
  <si>
    <t>TIPO III</t>
  </si>
  <si>
    <t>PAZ MARTINEZ RICHARD HUMBERTO</t>
  </si>
  <si>
    <t>66001</t>
  </si>
  <si>
    <t>LC-CS-25-004117</t>
  </si>
  <si>
    <t>3007047716</t>
  </si>
  <si>
    <t>RISARALDA</t>
  </si>
  <si>
    <t>DISTRICOL JP SYSTEM</t>
  </si>
  <si>
    <t>FO-25-1754299</t>
  </si>
  <si>
    <t>29/10/2025 SE ESCALA PARA VISITA. CONFIRMAR DATOS PARA LA RECOLECCION DE EQUIPOS | 06/11/2025 VISITAMOS COMERCIO PERO ESTA CERRADO NOS INTENTAMOS COMUNICAR CON EL CLIENTE PERO NO CONTESTA LA LLAMADA NI WHATSAPP, EN OTRO LOCAL TRABAJA LA MAMÁ DEL CLIENTE Y NOS INDICA QUE LOS EQUIPOS ESTÁN EN LA CASA HOY NO LOS PUEDE ENTREGAR YA QUE ESTA TRABAJANDO NO FIRMA CONTROL DE VISITA.</t>
  </si>
  <si>
    <t>ARROYAVE CANO MANUEL GUILLERMO</t>
  </si>
  <si>
    <t>LC-CS-25-004123</t>
  </si>
  <si>
    <t>3007036811</t>
  </si>
  <si>
    <t>BARRIO BELLO ANTIOQUIA 2</t>
  </si>
  <si>
    <t>FO-25-1761289</t>
  </si>
  <si>
    <t>30/10/2025 SE ESCALA PARA VISITA. CONFIRMAR DATOS PARA LA RECOLECCION DE EQUIPOS | 04/11/2025 SE LLEGA A PREDIO PERO INDICAN QUE LA DUEÑA DEL CORRESPONSAL SE MUDÓ Y LOS NÚMEROS DE CONTACTO NO CONTESTAN NI FIJO NI CELULAR | 05/11/2025 SE VISITA PREDIO PERO YA NO ESTÁ EL CORRESPONSAL, NO HAY COMUNICACIÓN NI AL FIJO NI CELULAR, LE ESCRIBO AL WHATSAPP Y TAMPOCO RESPONDEN.</t>
  </si>
  <si>
    <t>RAMIREZ TABARES JUAN DIEGO</t>
  </si>
  <si>
    <t>REMOTAS</t>
  </si>
  <si>
    <t>50573</t>
  </si>
  <si>
    <t>LC-CS-25-004129</t>
  </si>
  <si>
    <t>3007048733</t>
  </si>
  <si>
    <t>META</t>
  </si>
  <si>
    <t>PUERTO LOPEZ</t>
  </si>
  <si>
    <t>BARRIO ZONA RURAL PUERTO LOPEZ</t>
  </si>
  <si>
    <t>FO-25-1761271</t>
  </si>
  <si>
    <t>30/10/2025 SE ESCALA PARA VISITA. CONFIRMAR DATOS PARA LA RECOLECCION DE EQUIPOS | 04/11/2025 SE REALIZA CONTACTO TELEFONICO Y NO ES POSIBLE SE REALIZA DESPLAZAMIENTO Y CLIENTE NOS INFORMA QUE SE LE ROBARON LOS EQUIPOS Y QUE YA REPORTO EL ROBO DE LOS EQUIPOS A LA ENTIDAD Y YA REALIZO LA RESPECTIVA DENUNCIA</t>
  </si>
  <si>
    <t>PEDREROS CONTRERAS MICHAEL STEVENS</t>
  </si>
  <si>
    <t>76001</t>
  </si>
  <si>
    <t>LC-CS-25-004132</t>
  </si>
  <si>
    <t>3007037180</t>
  </si>
  <si>
    <t>BARRIO NUEVA FLORESTA CALI 1</t>
  </si>
  <si>
    <t>FO-25-1761305</t>
  </si>
  <si>
    <t>30/10/2025 SE ESCALA PARA VISITA. CONFIRMAR DATOS PARA LA RECOLECCION DE EQUIPOS | 06/11/2025 SE LLAMA AL CLIENTE AL NÚMERO 3168692277 SIN RESPUESTA, SE VISITA EL LOCAL SE ENCUENTRA CERRADO LOS VECINOS CERCANOS INFORMAN QUE SE FUERON HACE MÁS DE UN MES, VISITA FALLIDA CIERRE NO EXITOSO</t>
  </si>
  <si>
    <t>HERRERA MONAR GEOVANNY</t>
  </si>
  <si>
    <t>76111</t>
  </si>
  <si>
    <t>LC-CS-25-004133</t>
  </si>
  <si>
    <t>3007064020</t>
  </si>
  <si>
    <t>GUADALAJARA DE BUGA</t>
  </si>
  <si>
    <t>BARRIO CENTRO GUADALAJARA DE B</t>
  </si>
  <si>
    <t>FO-25-1761308</t>
  </si>
  <si>
    <t>30/10/2025 SE ESCALA PARA VISITA. CONFIRMAR DATOS PARA LA RECOLECCION DE EQUIPOS | 05/11/2025 SE REALIZÓ GESTIÓN TELEFÓNICA PARA CONFIRMAR LA VISITA TÉCNICA PERO NO HUBO RESPUESTA, SE REALIZÓ VISITA TÉCNICA AL SITIO PERO SE ENCONTRÓ EL COMERCIO CERRADO NUEVAMENTE SE REALIZÓ GESTIÓN TELEFÓNICA PERO NO RESPONDE, NO HUBO CONTACTO CON EL CLIENTE.</t>
  </si>
  <si>
    <t>NO HUBO INTERVENCIÓN</t>
  </si>
  <si>
    <t>SANCHEZ URREGO ROBINSON DAVID</t>
  </si>
  <si>
    <t>76520</t>
  </si>
  <si>
    <t>LC-CS-25-004134</t>
  </si>
  <si>
    <t>3007066525</t>
  </si>
  <si>
    <t>PALMIRA</t>
  </si>
  <si>
    <t>BARRIO SENDEROS DE LA ITALIA A</t>
  </si>
  <si>
    <t>FO-25-1761296</t>
  </si>
  <si>
    <t>30/10/2025 SE ESCALA PARA VISITA. CONFIRMAR DATOS PARA LA RECOLECCION DE EQUIPOS | 05/11/2025 SE REALIZA VISITA COMERCIAL AL COMERCIO EN DONDE NO SE ENCUENTRA NADIE PARA QUE ENTREGUE LOS DISPOSITIVOS DE REDEBAN SE REALIZA LLAMADA TELEFÓNICA AL NÚMERO QUE ESTÁ EN LA DESCRIPCIÓN DE LA NOVEDAD Y NO CONTESTAN, SE VA A SISTEMA CORREO DE VOZ, ENTONCES NO SE TIENE INFORMACIÓN PARA QUE ENTREGUEN LOS DISPOSITIVOS , SE PROCEDE A CERRAR FALLIDO</t>
  </si>
  <si>
    <t>NO SE</t>
  </si>
  <si>
    <t>ESCOBAR LENIS JUAN SEBASTIAN</t>
  </si>
  <si>
    <t>LC-CS-25-004135</t>
  </si>
  <si>
    <t>3007079350</t>
  </si>
  <si>
    <t>BARRIO VILLAMAYOR BOGOTA</t>
  </si>
  <si>
    <t>FO-25-1778329 | FO-25-1761273</t>
  </si>
  <si>
    <t>PARCIAL EXITOSO ACCESORIOS</t>
  </si>
  <si>
    <t>05/11/2025 NA | 05/11/2025 SE REALIZA RETIRO DE PUBLICIDAD, ROLLOS Y EQUIPOS REDEBAN  AL MOMENTO DE RETIRAR PÚBLICO PASA CAMIÓN DE BASURA Y RECOGE LA PUBLICIDAD SIN PODER TOMARLE FOTO CORRECTAMENTE</t>
  </si>
  <si>
    <t>10XZZ888</t>
  </si>
  <si>
    <t>ALARCON AREVALO JOHAN STIVEN</t>
  </si>
  <si>
    <t>5030</t>
  </si>
  <si>
    <t>LC-CS-25-004140</t>
  </si>
  <si>
    <t>3007068711</t>
  </si>
  <si>
    <t>AMAGA</t>
  </si>
  <si>
    <t>BARRIO CORREGIMIENTO MINAS AMA</t>
  </si>
  <si>
    <t>FO-25-1774295</t>
  </si>
  <si>
    <t>04/11/2025 SE ESCALA PARA VISITA. CONFIRMAR DATOS PARA LA RECOLECCION DE EQUIPOS | 05/11/2025 CIERRE FALLIDO SE LLEGÓ AL PUNTO SE ENCONTRÓ CERRADO SE REALIZÓ GESTIÓN TELEFÓNICA SE HABLÓ CON EL SEÑOR ÁLVARO NOS INDICA QUE EL DÍA Y NO NOS PUEDE ATENDER YA QUE SE ENCUENTRA ENMEDELLÍN</t>
  </si>
  <si>
    <t>9L0UZ965</t>
  </si>
  <si>
    <t>CASTAÑEDA PALACIO CARLOS FELIPE</t>
  </si>
  <si>
    <t>52356</t>
  </si>
  <si>
    <t>LC-CS-25-004144</t>
  </si>
  <si>
    <t>3007071672</t>
  </si>
  <si>
    <t>NARIÑO</t>
  </si>
  <si>
    <t>IPIALES</t>
  </si>
  <si>
    <t>BARRIO PANAM</t>
  </si>
  <si>
    <t>FO-25-1774299</t>
  </si>
  <si>
    <t>04/11/2025 SE ESCALA PARA VISITA. CONFIRMAR DATOS PARA LA RECOLECCION DE EQUIPOS | 10/11/2025 SE HABALA CON EL CLIENTE QUIEN INDICA QUE ESTA POR FUERA DEL MUNICIPIO PERO CONFIRMA QUE SI TIENE LOS EQUIPOS EN SU PODER , QUE LOS PUEDDE DEVOVLER LA PROXIMA SEMANA, SE CERRARA CASO PARA NO AFECTAR LOS INDICADORES Y UNA VEZ EL CLIENTE ESTA EN EL MUNICIPIO PARA LA ENTREGA DE LOS EQUIPOS SE REALIZARA COMO CIERRE VOLUNTARIO</t>
  </si>
  <si>
    <t>HENAO CARDONA DIEGO FERNANDO</t>
  </si>
  <si>
    <t>85001</t>
  </si>
  <si>
    <t>LC-CS-25-004158</t>
  </si>
  <si>
    <t>3007059188</t>
  </si>
  <si>
    <t>CASANARE</t>
  </si>
  <si>
    <t>MULTIPAGAS YOPAL CENTRO</t>
  </si>
  <si>
    <t>FO-25-1802816</t>
  </si>
  <si>
    <t>ROBUSTO</t>
  </si>
  <si>
    <t>MULTIPAGAS</t>
  </si>
  <si>
    <t>EJECUTADO</t>
  </si>
  <si>
    <t>PARCIAL EXITOSO PTE. DATAFONO</t>
  </si>
  <si>
    <t>10/11/2025 NO CONTACTO | 10/11/2025 SE VISITA COMERCIO, ENTREGAN VOLUNTARIAMENTE 3 DATAFONOS 3 PINPAD 2 HUB Y 1 LECTORA. CB INDICA NO TENER MAS EQUIPOS PARA ENTREGA. NO SE RETIRA PUBLICIDA, MULTIPAGAS OPERATIVO</t>
  </si>
  <si>
    <t>JA004028-JA002564-JA004041</t>
  </si>
  <si>
    <t>BERNAL ELAICA EDGAR ALEXIS</t>
  </si>
  <si>
    <t>COSTA</t>
  </si>
  <si>
    <t>8001</t>
  </si>
  <si>
    <t>LC-CS-25-004167</t>
  </si>
  <si>
    <t>3007077838</t>
  </si>
  <si>
    <t>ATLANTICO</t>
  </si>
  <si>
    <t>PTM BARRANQUILLA DROGUERIA FAR</t>
  </si>
  <si>
    <t>FO-25-1802810</t>
  </si>
  <si>
    <t>10/11/2025 SE REALIZA LLAMADA ,SE LE ESCRIBE AL WSP AL NÚMERO 3008253823, PERO NO SE OBTIENE RESPUESTA, SE PROCEDE A REALIZAR VISITA PERSONAL SE ENCUENTRA LOCAL CERRADO ,VECINOS NO DAN INFORMACIÓN ,DATAFONO ILOCALIZABLE | 10/11/2025 LLUVIAS FUERTES | 10/11/2025 SE REALIZA LLAMADA ,SE LE ESCRIBE AL WSP AL NÚMERO 3008253823, PERO NO SE OBTIENE RESPUESTA, SE PROCEDE A REALIZAR VISITA PERSONAL SE ENCUENTRA LOCAL CERRADO ,VECINOS NO DAN INFORMACIÓN ,DATAFONO ILOCALIZABLE</t>
  </si>
  <si>
    <t>A1MZZ022</t>
  </si>
  <si>
    <t>PORRAS CASTRO DARLON NASCK</t>
  </si>
  <si>
    <t>25817</t>
  </si>
  <si>
    <t>LC-CS-25-004172</t>
  </si>
  <si>
    <t>3007064378</t>
  </si>
  <si>
    <t>TOCANCIPA</t>
  </si>
  <si>
    <t>DISTRICOL DON PAGO TOCANCIPA</t>
  </si>
  <si>
    <t>FO-25-1802804</t>
  </si>
  <si>
    <t>13/11/2025 NO CONTESTAN | 14/11/2025 SE VISITA COMERCIO, Y SE VALIDA QUE SE TRASLADO Y NO CONTESTAN AL NUMERO 3124516311 SE CIERRA</t>
  </si>
  <si>
    <t>ARIAS QUILINDO JULIAN</t>
  </si>
  <si>
    <t>LC-CS-25-004182</t>
  </si>
  <si>
    <t>3007073773</t>
  </si>
  <si>
    <t>PTM CALI VARIEDADES Y PAPELERI</t>
  </si>
  <si>
    <t>FO-25-1802793</t>
  </si>
  <si>
    <t>13/11/2025 CLIENTE NO CONTESTA | 13/11/2025 SE LLEGA AL COMERCIO Y EL COMERCIO ESTA CERRADO SE LLAMA AL CLIENTE E INDICA QUE NO PUEDE EL DIA DE HOY</t>
  </si>
  <si>
    <t>ON04Z868</t>
  </si>
  <si>
    <t>CUERO RUIZ JHONNY</t>
  </si>
  <si>
    <t>81065</t>
  </si>
  <si>
    <t>LC-CS-25-004184</t>
  </si>
  <si>
    <t>3007069637</t>
  </si>
  <si>
    <t>ARAUCA</t>
  </si>
  <si>
    <t>ARAUQUITA</t>
  </si>
  <si>
    <t>DISTRICOL CVS CONE CELULARES 2</t>
  </si>
  <si>
    <t>FO-25-1802801</t>
  </si>
  <si>
    <t>12/11/2025 SE ESTABLECE CONTACTO VIA WHATSAPP AL NÚMERO  +57 314 3881888 CON LA USUARIA MAYERLY ZULAY AREVALO CARRASCAL Y SE LE INDICA QUE DADO LA DISPONIBILIDAD DE VUELOS PARA LA ZONA Y LAS RECIENTES ACTIVIDADES DE ATENTADOS Y ENFRENTAMIENTOS EN LA ZONA ENTRE LOS GRUPOS ARMADOS NOS ENCONTRAMOS EN ESPERA PARA PODER REALIZAR LA RESPECTIVA VISITA TÉCNICA. | 19/11/2025 SE ESTABLECE CONTACTO VIA WHATSAPP AL NÚMERO3143881888 REGISTRADO EN LA ORDEN RESPONDE UNA PERSONA QUE NO INDICA NOMBRE QUIEN INFORMA QUE NO TIENE CONOCIMIENTO DE DICHOS EQUIPOS Y DA UN NÚMERO PARA QUE SE CONTACTÉ AL SEÑOR YUBER QUIEN DICE SER EL ENCARGADO DE CB 3204392022 SE CONTACTA AL SEÑOR YUBER A DICHO NÚMERO QUIEN DICE NO TRABAJAR EN DICHO LUGAR HACE MAS DE UN AÑOS SE VALIDA CON EL ASESOR DE LA ALIANZA SI ELLOS TIENE LOS EQUIPOS EN SU PEDOR A LO QUE INFORMA QUE SI,QUE LOS EQUIPOS ESTAN EN PODER DE ELLOS POR LO QUE SE PROCEDE A CERRAR LA ORDEN</t>
  </si>
  <si>
    <t>TIPO V</t>
  </si>
  <si>
    <t>AEREO</t>
  </si>
  <si>
    <t>BARRERA ORTEGA MARLON STWAR</t>
  </si>
  <si>
    <t>LC-CS-25-004185</t>
  </si>
  <si>
    <t>3007036934</t>
  </si>
  <si>
    <t>PTM BOGOTA COMPUSERVICIOS</t>
  </si>
  <si>
    <t>FO-25-1812189 | FO-25-1802727</t>
  </si>
  <si>
    <t>12/11/2025 OK | 13/11/2025 SE LLEGA A LA DIRECCIÓN INDICADA Y SE ENCUENTRA COMERCIO CERRADO , SE INTENTA ESTABLECER COMUNICACIÓN #3133640410 PERO NO ES POSIBLE SE ESPERA 20 MINUTOS PERO COMERCIO CONTINUA CERRADO Y SIN PODER ESTABLECER COMUNICACIÓN.</t>
  </si>
  <si>
    <t>LOZADA ROJAS CHRISTIAN ANDRES</t>
  </si>
  <si>
    <t>LC-CS-25-004188</t>
  </si>
  <si>
    <t>3007059205</t>
  </si>
  <si>
    <t>PTM BOGOTA VARIEDADES CARINIT</t>
  </si>
  <si>
    <t>FO-25-1802753</t>
  </si>
  <si>
    <t>12/11/2025 OK | 12/11/2025 SE REALIZA VISITA DE CAMPO ENCONTRADO QUE COMERCIO ESTA CERRADO SE INTENTA COMUNICACIÓN A LA LÍNEA 3219031025 DONDE LA SRTA ROCIO INFORMA QUE NO ESTÁ EN BOGOTA Y NO HAY QUIEN ENTREGUE LOS EQUIPOS. SE LE INFORMA QUE ES NECESARIO COMUNICARSE CUANDO ESTÉ EN LA CIUDAD PARA EL RETIROS DE CB, SE INFORMA A SUPERVISOR QUIEN AUTORIZA CIERRE DE VISITA</t>
  </si>
  <si>
    <t>54498</t>
  </si>
  <si>
    <t>LC-CS-25-004190</t>
  </si>
  <si>
    <t>3007045030</t>
  </si>
  <si>
    <t>OCAÑA</t>
  </si>
  <si>
    <t>PTM OCANA OFIPAGOS 8 10</t>
  </si>
  <si>
    <t>FO-25-1802764</t>
  </si>
  <si>
    <t>10/11/2025 SE ESCALA PARA VISITA. CONFIRMAR DATOS PARA LA RECOLECCION DE EQUIPOS | 10/11/2025 SE LLAMA AL SEÑOR JOHAN MEJIA EL CUAL INFORMA QUE HUBO UN ERROR CON LA CREACIÓN DE LA ORDEN Y EL CB 45030 NO ERA EL PUNTO A CERRAR POR LO QUE SE CIERRE ORDEN</t>
  </si>
  <si>
    <t>TIPO IV</t>
  </si>
  <si>
    <t>ALVAREZ ARENAS VICTOR HUGO</t>
  </si>
  <si>
    <t>18001</t>
  </si>
  <si>
    <t>LC-CS-25-004203</t>
  </si>
  <si>
    <t>3007048652</t>
  </si>
  <si>
    <t>CAQUETA</t>
  </si>
  <si>
    <t>BARRIO EL PUERTO FLORENCIA</t>
  </si>
  <si>
    <t>FO-25-1802625</t>
  </si>
  <si>
    <t>09/11/2025 SE ESCALA PARA VISITA. CONFIRMAR DATOS PARA LA RECOLECCION DE EQUIPOS | 11/11/2025 SE LLEGA A LA DIRECCIÓN INDICADA PERO LOS EQUIPOS NO SE ENCUENTRA EN LA DIRECCIÓN, CLIENTE MANIFIESTA QUE GENERO TRASLADO CON RADICADO #14359376, CIERRE FALLIDO</t>
  </si>
  <si>
    <t>9C0LZ966 - AD00L191</t>
  </si>
  <si>
    <t>BERMUDEZ SANCHEZ JOSE NEYBER</t>
  </si>
  <si>
    <t>23001</t>
  </si>
  <si>
    <t>LC-CS-25-004206</t>
  </si>
  <si>
    <t>3007076016</t>
  </si>
  <si>
    <t>CORDOBA</t>
  </si>
  <si>
    <t>BARRIO MOGAMBO MONTERIA 10</t>
  </si>
  <si>
    <t>FO-25-1802705</t>
  </si>
  <si>
    <t>10/11/2025 SE INTENTÓ COMUNICACIÓN Y NO FUE POSIBLE. | 10/11/2025 SE LLEGÓ A LA DIRECCIÓN Y EL LOCAL SE ENCONTRÓ CERRADO, SE INTENTÓ COMUNICACIÓN CON EL CLIENTE Y NO FUÉ POSIBLE, LOS NÚMEROS DE TELÉFONOS INFORMAN QUE ESTÁN ERRADOS.</t>
  </si>
  <si>
    <t>00000000</t>
  </si>
  <si>
    <t>CALDERA SALCEDO CARLOS JULIO</t>
  </si>
  <si>
    <t>25754</t>
  </si>
  <si>
    <t>LC-CS-25-004207</t>
  </si>
  <si>
    <t>3007078110</t>
  </si>
  <si>
    <t>SOACHA</t>
  </si>
  <si>
    <t>BARRIO SAN LUIS SOACHA 1</t>
  </si>
  <si>
    <t>FO-25-1806964 | FO-25-1802708</t>
  </si>
  <si>
    <t>11/11/2025 . | 11/11/2025 DURANTE LA VISITA DE TECNICA PARA ATENDER CIERRE DE CORRESPONSAL BANCARIO LO CUAL NO ES POSIBLE PORQUE COMERCIO SE ENCUENTRA CERRADO Y NO SE EVIDENCIA LA EXISTENCIA DEL CB  SE LLAMA AL CELULAR 3182010980 EL CUAL NO RESPONDEN SE INFORMA A COORDINADOR Y SE PROCEDE AL CIERRE DE LA ACTIVIDAD</t>
  </si>
  <si>
    <t>GALEANO SORIANO JUAN DAVID</t>
  </si>
  <si>
    <t>54874</t>
  </si>
  <si>
    <t>LC-CS-25-004215</t>
  </si>
  <si>
    <t>3007078119</t>
  </si>
  <si>
    <t>VILLA DEL ROSARIO</t>
  </si>
  <si>
    <t>BARRIO ANTONIO NARINO VILLA DE</t>
  </si>
  <si>
    <t>FO-25-1802622</t>
  </si>
  <si>
    <t>09/11/2025 SE ESCALA PARA VISITA. CONFIRMAR DATOS PARA LA RECOLECCION DE EQUIPOS | 12/11/2025 SE REALIZA VISITA, COMERCIO SE ENCUENTRA CERRADO, SE INTENTA CONTACTAR TELEFÓNICAMENTE AL CLIENTE, PERO NO RESPONDE EL NÚMERO DE CONTACTO.
3144831346</t>
  </si>
  <si>
    <t>PACHECO BUITRAGO JAVIER ALONSO</t>
  </si>
  <si>
    <t>66170</t>
  </si>
  <si>
    <t>LC-CS-25-004216</t>
  </si>
  <si>
    <t>3007067376</t>
  </si>
  <si>
    <t>DOSQUEBRADAS</t>
  </si>
  <si>
    <t>BARRIO BOSQUES DE LA ACUARELA</t>
  </si>
  <si>
    <t>FO-25-1802684</t>
  </si>
  <si>
    <t>13/11/2025 SE ESCALA PARA VISITA. CONFIRMAR DATOS PARA LA RECOLECCION DE EQUIPOS | 13/11/2025 VISITAMOS COMERCIO PERO NO ES POSIBLE REALIZAR CIERRE YA QUE ESTA CERRADO. NOS INTENTAMOS COMUNICAR POR WHATSAPP Y LLAMADA TELEFÓNICA PERO NO CONTESTA.</t>
  </si>
  <si>
    <t>6A0TZ964</t>
  </si>
  <si>
    <t>68773</t>
  </si>
  <si>
    <t>LC-CS-25-004218</t>
  </si>
  <si>
    <t>3007069411</t>
  </si>
  <si>
    <t>SANTANDER</t>
  </si>
  <si>
    <t>SUCRE</t>
  </si>
  <si>
    <t>BARRIO SARMIENTO SUCRE</t>
  </si>
  <si>
    <t>FO-25-1802660</t>
  </si>
  <si>
    <t>11/11/2025 EN COMUNICACIÓN TELEFÓNICA AL NÚMERO 3102230840 SANDRA YAMILE RUEDA NOS INDICA QUE ESTÁ SEMANA NO SE ENCUENTRA EN EL CORREGIMIENTO LA GRANJA SUCRE QUE NOS ES POSIBLE LA ENTREGA DE LOS EQUIPOS ESTÁ SEMANA | 11/11/2025 EN COMUNICACIÓN TELEFÓNICA AL NÚMERO 3102230840 SANDRA YAMILE RUEDA NOS INDICA QUE ESTÁ SEMANA NO SE ENCUENTRA EN EL CORREGIMIENTO LA GRANJA SUCRE QUE NOS ES POSIBLE LA ENTREGA DE LOS EQUIPOS ESTÁ SEMANA | 13/11/2025 EN COMUNICACIÓN CON LA SEÑORA SANDRA YAMILE RUEDA NOS INDICA QUE ESTÁ SEMANA NO SE ENCUENTRA EN EL CORREGIMIENTO LAS GRANJAS DE SUCRE POR LO TANTO NO HAY NADIE DISPONIBLE PARA LA ENTREGA DE LOS EQUIPOS SE LE INDICA LLAMAR A LA LA 018000953344 APENAS TENGA LA DISPONIBILIDAD DE ENTREGAR LOS EQUIPOS PARA REALIZAR LA VISITA DEBIDO A LOS TIEMPOS DE CIERRA ORDEN</t>
  </si>
  <si>
    <t>MARIÑO PABON JORGE ENRIQUE</t>
  </si>
  <si>
    <t>LC-CS-25-004219</t>
  </si>
  <si>
    <t>3007080440</t>
  </si>
  <si>
    <t>BARRIO MODELO CALI</t>
  </si>
  <si>
    <t>FO-25-1802652</t>
  </si>
  <si>
    <t>12/11/2025 SE ESCALA A VISITA: CONFIRMAR DATOS PARA RECOLECCIÓN DE EQUIPOS | 12/11/2025 SE LLEGA AL PUNTO NO SE ENCUENTRA CORRESPONSAL BANCARIO, SE CONTACTA LA SEÑORA DICE QUE SE CAMBIARON DE LOCAL TIENE LOS EQUIPOS PERO NO HACE ENTREGA PORQUE ESTÁ EN PROCESO LEGAL CON BANCOLOMBIA Y HASTA NO TENER RESPUESTA DE UN JUEZ NO HACE ENTREGA DE EQUIPOS.</t>
  </si>
  <si>
    <t>VALENCIA GONZALEZ JOSE DANIEL</t>
  </si>
  <si>
    <t>76364</t>
  </si>
  <si>
    <t>LC-CS-25-004220</t>
  </si>
  <si>
    <t>3007017119</t>
  </si>
  <si>
    <t>JAMUNDI</t>
  </si>
  <si>
    <t>BARRIO JUAN DE APUNDIA JAMUNDI</t>
  </si>
  <si>
    <t>FO-25-1802613</t>
  </si>
  <si>
    <t>09/11/2025 SE ESCALA PARA VISITA. CONFIRMAR DATOS PARA LA RECOLECCION DE EQUIPOS | 12/11/2025 SE VISITO EL SITIO Y NO SE ENCONTRO EL CN, SE INDAGÓ EN EL SECTOR E INFORMARON QUE EL CB HACE TIEMPO CERRO Y QUE ENTREGARON LOS LOCALES</t>
  </si>
  <si>
    <t>PAREDES CASTILLO DIEGO</t>
  </si>
  <si>
    <t>86865</t>
  </si>
  <si>
    <t>LC-CS-25-004222</t>
  </si>
  <si>
    <t>3007020573</t>
  </si>
  <si>
    <t>VALLE DEL GUAMUEZ</t>
  </si>
  <si>
    <t>CENTRO VALLE DEL GUAMUEZ PUTUM</t>
  </si>
  <si>
    <t>FO-25-1802687</t>
  </si>
  <si>
    <t>12/11/2025 PROGRAMADA | 12/11/2025 SE LLEGA A CORRESPONSAL DIRECCIÓN  REGISTRADA PROPIETARIO NO SE ENCUENTRA NO SE PUEDE ESTABLECER COMUNICACION SE HABLA CON PERSONA ENCARGADA INFORMA QUE NO SE ENCUENTRA EN EL MUNICIPIO Y NO PUEDE REALIZAR ENTREGA DE EQUIPOS SIN AUTORIZACIÓN NO FIRMA ACTA DE CIERRE NO ESTÁ AUTORIZADA</t>
  </si>
  <si>
    <t>AAAAS151</t>
  </si>
  <si>
    <t>BRAVO MADROÑERO OSCAR ESTEBAN</t>
  </si>
  <si>
    <t>LC-CS-25-004223</t>
  </si>
  <si>
    <t>3007055320</t>
  </si>
  <si>
    <t>BARRIO LAS FERIAS BOGOTA 4</t>
  </si>
  <si>
    <t>FO-25-1802672</t>
  </si>
  <si>
    <t>10/11/2025 NO | 10/11/2025 SE REALIZA VISITA A CB PARA REALIZAR CIERRE CLIENTE INDICA NO DEVOLVER LOS EQUIPOS YA QUE NO FUERON NOTIFICADOS ,SE LE INDICA LLAMAR A LA LÍNEA DE BANCOLOMBIA PARA VALIDAR SOBRE EL CIERRE PERO INDICA QUE NO LO VA HACER,NO FIRMA ,NO DA INFORMACIÓN</t>
  </si>
  <si>
    <t>NO</t>
  </si>
  <si>
    <t>GALINDO ROJAS LUIS FELIPE</t>
  </si>
  <si>
    <t>LC-CS-25-004227</t>
  </si>
  <si>
    <t>3007023154</t>
  </si>
  <si>
    <t>BARRIO PUENTE ARANDA VIII BOGO</t>
  </si>
  <si>
    <t>FO-25-1802665</t>
  </si>
  <si>
    <t>09/11/2025 SE ESCALA PARA VISITA. CONFIRMAR DATOS PARA LA RECOLECCION DE EQUIPOS | 11/11/2025 SE VISITA COMERCIAL PARA REALIZAR CIERRE PERO AL LLEGAR AL PUNTO E INDICAN QUE YA NO EXISTE LA ADMINISTRACIÓN ANTERIOR, NOS TRATAMOS DE COMUNICAR TELEFÓNICAMENTE EL TELÉFONO 3124838604 PERO NO SE TIENE RESPUESTA</t>
  </si>
  <si>
    <t>GZZZZ908</t>
  </si>
  <si>
    <t>SOTO LONDOÑO FREDY ALEXANDER</t>
  </si>
  <si>
    <t>5591</t>
  </si>
  <si>
    <t>LC-CS-25-004241</t>
  </si>
  <si>
    <t>3007058197</t>
  </si>
  <si>
    <t>PUERTO TRIUNFO</t>
  </si>
  <si>
    <t>DISTRICOL EL TURISTA</t>
  </si>
  <si>
    <t>FO-25-1809003</t>
  </si>
  <si>
    <t>11/11/2025 SE ESCALA PARA VISITA. CONFIRMAR DATOS PARA LA RECOLECCION DE EQUIPOS | 14/11/2025 SE EFECTUÓ CONTACTO TELEFÓNICO Y GESTIÓN VÍA WHATSAPP CON EL CORRESPONSAL BANCOLOMBIA PARA CONFIRMAR EL RETIRO DE LOS EQUIPOS; SIN EMBARGO, NO FUE POSIBLE ESTABLECER COMUNICACIÓN POR NINGUNO DE LOS MEDIOS. POSTERIORMENTE, SE REALIZÓ VISITA PRESENCIAL AL COMERCIO, ENCONTRÁNDOSE EL ESTABLECIMIENTO CERRADO. UN VECINO DEL SECTOR INFORMÓ QUE EN EL LUGAR NO SE ENCUENTRA NINGUNO</t>
  </si>
  <si>
    <t>TUZZZ388</t>
  </si>
  <si>
    <t>LC-CS-25-004249</t>
  </si>
  <si>
    <t>3007048674</t>
  </si>
  <si>
    <t>PTM CALI MISCELANEA BETHEL</t>
  </si>
  <si>
    <t>FO-25-1809015</t>
  </si>
  <si>
    <t>11/11/2025 SE ESCALA PARA VISITA. CONFIRMAR DATOS PARA LA RECOLECCION DE EQUIPOS | 14/11/2025 VISITA FALLIDA, SE VISITÓ EL CB E INDICARON QUE LA SRA BLANCA ESTÁ DE VIAJE Y QUE POSIBLEMENTE REGRESA A CALI LA PRÓXIMA SEMANA, NO FUE POSIBLE CONTACTAR A LA CLIENTA NI POR LLAMADA NI POR WHATSAPP,LA DIRECCIÓN DEL CB NO ESTÁ ACTUALIZADA EN LA ORDEN, LA DIRECCIÓN CORRECTA ES KRA 1A 10 # 69 - 78</t>
  </si>
  <si>
    <t>VISITA FALLIDA</t>
  </si>
  <si>
    <t>LC-CS-25-004250</t>
  </si>
  <si>
    <t>3007071643</t>
  </si>
  <si>
    <t>DISTRICOL CRISTFSTORE</t>
  </si>
  <si>
    <t>FO-25-1809027</t>
  </si>
  <si>
    <t>11/11/2025 SE ESCALA PARA VISITA. CONFIRMAR DATOS PARA LA RECOLECCION DE EQUIPOS | 14/11/2025 SE LLEGA A LA DIRECCION Y SE ENCUENTRA CERRADO EL NEGOCIO, AL PREGUNTAR A LOCALES MANIFIESTA QUE YA SE ACERCARON A RECOGER LOS EQUIPOS UNA PERSONA DE NOMBRE CARLOS.
EL ENCARGADO DEL CB LLEGA DESPUES DE LAS 1400.</t>
  </si>
  <si>
    <t>000000</t>
  </si>
  <si>
    <t>TORRES GARCIA JENDRY JOSE</t>
  </si>
  <si>
    <t>81001</t>
  </si>
  <si>
    <t>LC-CS-25-004253</t>
  </si>
  <si>
    <t>3007063584</t>
  </si>
  <si>
    <t>DISTRICOL TECNOESCAM SAS</t>
  </si>
  <si>
    <t>FO-25-1808999</t>
  </si>
  <si>
    <t>11/11/2025 SE ESCALA PARA VISITA. CONFIRMAR DATOS PARA LA RECOLECCION DE EQUIPOS | 19/11/2025 ACTIVIDAD PENDIENTE POR ALTERACIÓN DE ORDEN PUBLICO EN LA ZONA | 19/11/2025 SE ESTABLECE COMUNICACIÓN CON EL SEÑORE CARLOS ESCAMILLA AL NÚMERO 3178092925 VIA WHATSAPP SE CONFIRMA  CON EL ASUARIO QUE ATRAVEZ DE LA ALIANZA DISTRICOL LE SOLICITARON EL ENVÍO DE LOS EQUIPOS Y QUE EL ASESOR YA LOS TIENE EN SU PODER POR TAL MOTIVO SE PROCEDE CERRANDO LA ORDEN</t>
  </si>
  <si>
    <t>LC-CS-25-004265</t>
  </si>
  <si>
    <t>FO-25-1811886</t>
  </si>
  <si>
    <t>11/11/2025 SE ESCALA PARA VISITA. CONFIRMAR DATOS PARA LA RECOLECCION DE EQUIPOS | 19/11/2025 SE VISITA COMERCIO, NO SE ENCUENTRA CB EN SITIO, SE COMUNICA CON EL CLIENTE VIA LLAMADA Y WHTASAP, SIN RESPUESTA. CB ILOCALIZABLE.</t>
  </si>
  <si>
    <t>NARANJO AFANADOR RUBEN JESUS</t>
  </si>
  <si>
    <t>LC-CS-25-004266</t>
  </si>
  <si>
    <t>3007081725</t>
  </si>
  <si>
    <t>DISTRICOL MULTIEXPRESS</t>
  </si>
  <si>
    <t>FO-25-1818030</t>
  </si>
  <si>
    <t>12/11/2025 SE ESCALA PARA VISITA. CONFIRMAR DATOS PARA LA RECOLECCION DE EQUIPOS | 14/11/2025 CLIENTE YA ENTREGO EQUIPOS NO FIRMA DEVIDO A ESO</t>
  </si>
  <si>
    <t>SUZZZ691</t>
  </si>
  <si>
    <t>LC-CS-25-004267</t>
  </si>
  <si>
    <t>3007016653</t>
  </si>
  <si>
    <t>MULTIPAGAS CC UNICO CALI</t>
  </si>
  <si>
    <t>FO-25-1818021</t>
  </si>
  <si>
    <t>12/11/2025 SE ESCALA PARA VISITA. CONFIRMAR DATOS PARA LA RECOLECCION DE EQUIPOS | 14/11/2025 NO SE RETIRAN EQUIPOS YA QUE CLIENTE QUIERE ENTREGAR EQUIPOS DE CREDIBANCO NO DE RBM</t>
  </si>
  <si>
    <t>NO SE INTERVIENE DATÁFONO</t>
  </si>
  <si>
    <t>LC-CS-25-004268</t>
  </si>
  <si>
    <t>3007053921</t>
  </si>
  <si>
    <t>SUPERCADE AMÉRICAS</t>
  </si>
  <si>
    <t>FO-25-1818026</t>
  </si>
  <si>
    <t>REVAL</t>
  </si>
  <si>
    <t>12/11/2025 SE ESCALA PARA VISITA. CONFIRMAR DATOS PARA LA RECOLECCION DE EQUIPOS | 14/11/2025 SE REALIZA VISITA DE CAMPO DONDE SE RETIRA EQUIPO SIN NOVEDAD.</t>
  </si>
  <si>
    <t>TR0ZZ664-XP1ZZ942</t>
  </si>
  <si>
    <t>LC-CS-25-004275</t>
  </si>
  <si>
    <t>3007076787</t>
  </si>
  <si>
    <t>BARRIO MARCO FIDEL SUAREZ BOGOTA 4</t>
  </si>
  <si>
    <t>FO-25-1820859</t>
  </si>
  <si>
    <t>12/11/2025 SE ESCALA PARA VISITA. CONFIRMAR DATOS PARA LA RECOLECCION DE EQUIPOS | 15/11/2025 SE LLEGA AL COMERCIO SE VALÍA CERRADO SE MARCA A LOS NÚMEROS DE CONTACTO EN MÚLTIPLES OCASIONES Y NADIE RESPONDE SE DEJA EVIDENCIA FOTOGRÁFICA DEL COMERCIO CERRADO</t>
  </si>
  <si>
    <t>LC-CS-25-004283</t>
  </si>
  <si>
    <t>3007064124</t>
  </si>
  <si>
    <t>BARRIO BILBAO SUBA BOGOTA</t>
  </si>
  <si>
    <t>FO-25-1840849 | FO-25-1824660</t>
  </si>
  <si>
    <t>20/11/2025 NO CONTESTA | 20/11/2025 SE VISITA LA DIRECCIÓN EL COMERCIO ESTÁ CERRADO SE LLAMA AL NÚMERO DE CONTACTO 3137755966 NO HAY RESPUESTA DE LA SEÑORA MELISA MUÑOZ</t>
  </si>
  <si>
    <t>NA</t>
  </si>
  <si>
    <t>HERNANDEZ NARANJO OSCAR EDUARDO</t>
  </si>
  <si>
    <t>5001</t>
  </si>
  <si>
    <t>LC-CS-25-004284</t>
  </si>
  <si>
    <t>3007082074</t>
  </si>
  <si>
    <t>DISTRICOL DESECHABLES JYM</t>
  </si>
  <si>
    <t>FO-25-1824864</t>
  </si>
  <si>
    <t>13/11/2025 SE ESCALA PARA VISITA. CONFIRMAR DATOS PARA LA RECOLECCION DE EQUIPOS | 21/11/2025 SE LLEGA AL CB Y ESTÁ CERRADO SE LLAMA AL USUARIO E INDICA QUE NO ESTÁ YA QUE NO LE AVISARON QUE ÍBAMOS HOY Y SALIÓ HACER UNA VUELTA Y LLEGA DESPUÉS DE MEDIO DÍA</t>
  </si>
  <si>
    <t>N/A</t>
  </si>
  <si>
    <t>MONTOYA VELEZ ANDRES FELIPE</t>
  </si>
  <si>
    <t>5490</t>
  </si>
  <si>
    <t>LC-CS-25-004285</t>
  </si>
  <si>
    <t>3007060777</t>
  </si>
  <si>
    <t>NECOCLI</t>
  </si>
  <si>
    <t>DISTRICOL TIENDA MAFE TORDECIL</t>
  </si>
  <si>
    <t>FO-25-1824822</t>
  </si>
  <si>
    <t>13/11/2025 SE ESCALA PARA VISITA. CONFIRMAR DATOS PARA LA RECOLECCION DE EQUIPOS | 20/11/2025 VECINOS INFORMAN LOCAL CERRADO, NO CONTESTA LLAMAS TELEFÓNICAS Y WAPP</t>
  </si>
  <si>
    <t>FUA0G661</t>
  </si>
  <si>
    <t>CASTRO HENAO DANIEL ESTEBAN</t>
  </si>
  <si>
    <t>68001</t>
  </si>
  <si>
    <t>LC-CS-25-004290</t>
  </si>
  <si>
    <t>3007048185</t>
  </si>
  <si>
    <t>DISTRICOL VENTA DE PASAJES DIP</t>
  </si>
  <si>
    <t>FO-25-1824813</t>
  </si>
  <si>
    <t>13/11/2025 SE ESCALA PARA VISITA. CONFIRMAR DATOS PARA LA RECOLECCION DE EQUIPOS | 18/11/2025 SE REALIZA VISITA AL COMERCIO NOS INDICAN QUE YA EL NEGOCIO TIENE OTRO DUEÑO FUNCIONA OTRO COMERCIO. SE ESTABLECE COMUNICACIÓN AL NÚMERO 3186991157, NO SE OBTIENE RESPUESTA</t>
  </si>
  <si>
    <t>20001</t>
  </si>
  <si>
    <t>LC-CS-25-004292</t>
  </si>
  <si>
    <t>3007070379</t>
  </si>
  <si>
    <t>CESAR</t>
  </si>
  <si>
    <t>PTM VALLEDUPAR  PUNTO SERVIS G</t>
  </si>
  <si>
    <t>FO-25-1824858</t>
  </si>
  <si>
    <t>13/11/2025 SE ESCALA PARA VISITA. CONFIRMAR DATOS PARA LA RECOLECCION DE EQUIPOS | 14/11/2025 SE LLEGA A DIRECCIÓN COMERCIO SE ENCUENTRA CERRADO SE REALIZA GESTIÓN TELEFÓNICA CLIENTE NO ATIENDE LLAMADA | 14/11/2025 SE LLEGA A DIRECCIÓN COMERCIO SE ENCUENTRA CERRADO SE REALIZA GESTIÓN TELEFÓNICA CLIENTE NO ATIENDE LLAMADA</t>
  </si>
  <si>
    <t>MAESTRE MENGUAL EDGAR ENRIQUE</t>
  </si>
  <si>
    <t>LC-CS-25-004295</t>
  </si>
  <si>
    <t>3007074642</t>
  </si>
  <si>
    <t>PTM CUCUTA PAPELERIA G Y J</t>
  </si>
  <si>
    <t>FO-25-1824809</t>
  </si>
  <si>
    <t>13/11/2025 SE ESCALA PARA VISITA. CONFIRMAR DATOS PARA LA RECOLECCION DE EQUIPOS | 21/11/2025 SE REALIZA VISITA AL COMERCIO, SE ENCUENTRA CB CERRADO, SE INTENTA COMUNICAR CON EL CLIENTE SIN RESPUES.</t>
  </si>
  <si>
    <t>NNLZZ175</t>
  </si>
  <si>
    <t>LC-CS-25-004299</t>
  </si>
  <si>
    <t>3007070110</t>
  </si>
  <si>
    <t>PTM DROGUERIAS BOGOTANA DE DRO</t>
  </si>
  <si>
    <t>FO-25-1824832</t>
  </si>
  <si>
    <t>13/11/2025 SE ESCALA PARA VISITA. CONFIRMAR DATOS PARA LA RECOLECCION DE EQUIPOS | 18/11/2025 SE LLEGA AL COMERCIO SE VALIDA CON LA PERSONA ENCARGADA DEL NEGOCIO LA CUAL INFORMA QUE NO TIENE NINGÚN CONOCIMIENTO SOBRE EL CORRESPONSAL. INDICA QUE POR FAVOR NOS COMUNIQUEMOS CON LA SEÑORA NATSLY. SE ESTABLECE COMUNICACIÓN TELEFÓNICA CON LA CLIENTE LA SEÑORA NATALY AL CONTACTO 3213112945 LA CUAL INFORMA QUE NO TIENE LOS EQUIPOS ACÁ EN ESTE PUNTO QUE ELLA SE COMUNICA CUANDO LOS TRAIGA PARA PODER REALIZAR LA ENTREGA. LA PERSONA ENCARGADA DE LA DROGUERÍA NO TIENE CONOCIMIENTO DEL CORRESPONSAL POR TAL MOTIVO NO ENTREGA DATOS TAMPOCO FIRMA</t>
  </si>
  <si>
    <t>LC-CS-25-004304</t>
  </si>
  <si>
    <t>3007080729</t>
  </si>
  <si>
    <t>BARRIO EL CENTRO CUCUTA 86</t>
  </si>
  <si>
    <t>FO-25-1830654</t>
  </si>
  <si>
    <t>22/11/2025 SE LLAMA AL CLIENTE Y NO SE OBTIENE RESPUESTA SE PROCEDE A VISITA | 22/11/2025 SE VISITA COMERCIO Y EL CLIENTE NOS INFORMA QUE SE ENCUENTRA EN COMUNICACIÓN CON BANCOLOMBIA PARA EL DESBLOQUEO DEL CB, RADICADO DE LLAMADA DEL CLIENTE 14425841.</t>
  </si>
  <si>
    <t>TORRES MANTILLA JOSE DANIEL</t>
  </si>
  <si>
    <t>LC-CS-25-004306</t>
  </si>
  <si>
    <t>3007053381</t>
  </si>
  <si>
    <t>BARRIO CENTRO ARAUCA 6</t>
  </si>
  <si>
    <t>FO-25-1830659</t>
  </si>
  <si>
    <t>14/11/2025 SE ESCALA PARA VISITA. CONFIRMAR DATOS PARA LA RECOLECCION DE EQUIPOS | 21/11/2025 SE HACE PRESENCIA EN COMERCIO, SE OBSERVA QUE ESTA CERRADO, SE LLAMA A NÚMERO DE CONTACTO EN LA ORDEN NO SE OBTIENE RESPUESTA, SE VALIDA QUE DICHO NÚMERO TENGA WHATSAPP Y SE DEJA MENSAJE SIN RESPUESTA. SE CONTACTA A LA SEÑORA JHOANA AL NÚMERO 3506150639 VIA WHATSAPP QUIEN INFORMA QUE ELLA NO PUEDE HACER ENTREGA DE LOS EQUIPOS EN ESTE MOMENTO DEBIDO A QUE SE ENCUENTRA LABORANDO, QUE ELLA SE COMUNICA LA OTRA SEMANA A LA LINES 018000953344 Y SOLICITA LA RECOLECCIÓN DE LOS EQUIPOS POR TAL MOTIVO SE PROCEDE A CERRAR ORDEN</t>
  </si>
  <si>
    <t>COMERCIO CERRADO</t>
  </si>
  <si>
    <t>LC-CS-25-004321</t>
  </si>
  <si>
    <t>3007049908</t>
  </si>
  <si>
    <t>PTM  MEDELLIN  PAPELERIA DETO2</t>
  </si>
  <si>
    <t>FO-25-1848503</t>
  </si>
  <si>
    <t>26/11/2025 SE ESCALA PARA VISITA. CONFIRMAR DATOS PARA LA RECOLECCION DE EQUIPOS | 26/11/2025 SE VISITA UBICACIÓN PERO EN LA DIRECCIÓN HAY OTRO COMERCIO DIFERENTE, SE LLAMA AL NÚMERO INDICADO PERO NO CONTESTAN</t>
  </si>
  <si>
    <t>RUA ALVAREZ RICHARD ANDRES</t>
  </si>
  <si>
    <t>LC-CS-25-004322</t>
  </si>
  <si>
    <t>3007027702</t>
  </si>
  <si>
    <t>DISTRICOL ADCTIVOS</t>
  </si>
  <si>
    <t>FO-25-1848416</t>
  </si>
  <si>
    <t>CANCELADO</t>
  </si>
  <si>
    <t>26/11/2025 OK | 26/11/2025 SE VISITA EL PUNTO Y PERSONA QUE ATIENDE INFORMA QUE EL GESTOR DE ZONA JUAN PABLO LÓPEZ DE DISTRICOL SE LLEVÓ LOS EQUIPOS PARA LA OFICINA DE DISTRICOL PARA AGILIZAR TRÁMITES DE PAZ Y SALVO, NO SE RECOGEN EQUIPOS</t>
  </si>
  <si>
    <t>BARRIENTOS HERNANDEZ CRISTIAN HORACIO</t>
  </si>
  <si>
    <t>5034</t>
  </si>
  <si>
    <t>LC-CS-25-004328</t>
  </si>
  <si>
    <t>3007061741</t>
  </si>
  <si>
    <t>ANDES</t>
  </si>
  <si>
    <t>DISTRICOL TIENDA ROBERT</t>
  </si>
  <si>
    <t>FO-25-1848421</t>
  </si>
  <si>
    <t>26/11/2025 NO SE LOGRA CONECTAR A USUARIO POR NINGUNO DE LOS MEDIOS | 26/11/2025 SE INTENTÓ COORDINAR EL RETIRO DE LOS EQUIPOS REDEBAN CON EL CORRESPONSAL BANCOLOMBIA A TRAVÉS DE LLAMADA Y WHATSAPP, PERO NO HUBO RESPUESTA. ANTE LA FALTA DE CONFIRMACIÓN, SE REALIZÓ VISITA TÉCNICA AL PUNTO, ENCONTRANDO EL COMERCIO CERRADO Y SIN PERSONAL DISPONIBLE. EL PROCEDIMIENTO NO PUDO COMPLETARSE EXITOSAMENTE,</t>
  </si>
  <si>
    <t>FUA0L535</t>
  </si>
  <si>
    <t>LC-CS-25-004329</t>
  </si>
  <si>
    <t>3007072519</t>
  </si>
  <si>
    <t>DISTRICOL LIKENEW CALI</t>
  </si>
  <si>
    <t>FO-25-1848373</t>
  </si>
  <si>
    <t>22/11/2025 SE ESCALA PARA VISITA. CONFIRMAR DATOS PARA LA RECOLECCION DE EQUIPOS | 22/11/2025 SE REALIZA GESTIÓN TELEFÓNICA ANTES DE REALIZAR VISITA PARA CONFIRMAR EL RETIRO DE LOS EQUIPOS PERO EL CLIENTE INDICA QUE LOS EQUIPOS YA FUERON RECOGIDOS EL DÍA MIÉRCOLES POR EL SEÑOR CARLOS ALDANA ASESOR DE DISTRICOL.</t>
  </si>
  <si>
    <t>MONTERO MUESES GIAN CARLO</t>
  </si>
  <si>
    <t>52838</t>
  </si>
  <si>
    <t>LC-CS-25-004337</t>
  </si>
  <si>
    <t>3007068144</t>
  </si>
  <si>
    <t>TUQUERRES</t>
  </si>
  <si>
    <t>PTM TUQUERRES EL FERRETERO TUQ</t>
  </si>
  <si>
    <t>FO-25-1848440</t>
  </si>
  <si>
    <t>24/11/2025 CLIENTE NO TIENE SEÑAL O SUENA APAGADO | 24/11/2025 SE REALIZA COMUNICACIÓN TELEFÓNICA PARA CONFIRMAR VISITA PARA REALIZAR CIERRE Y EL CLIENTE INFORMA QUE EL SE ENCUENTRA EN PASTO, EL TIENE LOS EQUIPOS Y QUE HOY EN EL TRANSCURSO DEL DÍA VA A ENTREGAR PERSONALMENTE LOS EQUIPOS EN LA OFICINA DE REDEBAN. NO SE REALIZA VISITA, CB YA NO EXISTE EN SITIO</t>
  </si>
  <si>
    <t>CASTILLO HERRERA ALEX RICARDO</t>
  </si>
  <si>
    <t>73001</t>
  </si>
  <si>
    <t>LC-CS-25-004346</t>
  </si>
  <si>
    <t>3007044817</t>
  </si>
  <si>
    <t>TOLIMA</t>
  </si>
  <si>
    <t>DISTRICOL CACHARRERIA LA 39</t>
  </si>
  <si>
    <t>FO-25-1848387</t>
  </si>
  <si>
    <t>25/11/2025 SE VALIDA CONTACTO TELEFÓNICO SIN NINGÚN RESULTADO AL NÚMERO  3134378434. | 26/11/2025 SE VALIDA CONTACTO TELEFÓNICO AL NÚMERO 3134378434 SIN NINGÚN RESULTADO, SE VISITA EL SITIO PERO SE ENCUENTRA CERRADO.</t>
  </si>
  <si>
    <t>BARRAGAN TAFUR EDWIN ESTEBAN</t>
  </si>
  <si>
    <t>50568</t>
  </si>
  <si>
    <t>LC-CS-25-004360</t>
  </si>
  <si>
    <t>3007069922</t>
  </si>
  <si>
    <t>PUERTO GAITAN</t>
  </si>
  <si>
    <t>BARRIO PERLAS DEL MANACACIAS P</t>
  </si>
  <si>
    <t>FO-25-1855530</t>
  </si>
  <si>
    <t>25/11/2025 SE ESCALA PARA VISITA. CONFIRMAR DATOS PARA LA RECOLECCION DE EQUIPOS | 25/11/2025 SE REALIZA VISITA A CB, COMERCIO CERRADO. SE REALIZAN MÚLTIPLES INTENTOS DE COMUNICACIÓN CON LA SEÑORA DIANA DEL PILAR AL NÚMERO 3214676130, SIN ÉXITO, SE ESCRIBE AL WHATSAPP SIN RESPUESTA</t>
  </si>
  <si>
    <t>TV000683</t>
  </si>
  <si>
    <t>CASTRILLON URREA LONDIER LEANDRO</t>
  </si>
  <si>
    <t>76400</t>
  </si>
  <si>
    <t>LC-CS-25-004365</t>
  </si>
  <si>
    <t>3007028926</t>
  </si>
  <si>
    <t>LA UNION</t>
  </si>
  <si>
    <t>BARRIO CENTRO 7 LA UNION</t>
  </si>
  <si>
    <t>FO-25-1855579</t>
  </si>
  <si>
    <t>21/11/2025 SE ESCALA PARA VISITA. CONFIRMAR DATOS PARA LA RECOLECCION DE EQUIPOS | 25/11/2025 SE LLEGA AL PUNTO, EL ENCARGADO INDICA QUE NO PUEDE ENTREGAR, YA QUE LOS DUEÑOS NO ESTÁN Y ELLOS NO DIERON AUTORIZACIÓN PARA ENTREGAR.</t>
  </si>
  <si>
    <t>BBBBA834</t>
  </si>
  <si>
    <t>50001</t>
  </si>
  <si>
    <t>LC-CS-25-004369</t>
  </si>
  <si>
    <t>3007077984</t>
  </si>
  <si>
    <t>BARRIO SAN ANTONIO VILLAVICENC</t>
  </si>
  <si>
    <t>FO-25-1855574</t>
  </si>
  <si>
    <t>21/11/2025 NA | 21/11/2025 SE REALIZA VISITA A COMERCIO POS ILOCALIZABLE, COMERCIO NO EXISTE SE REALIZA INTERNO DE COMUNICACIÓN CON NÚMEROS TELEFÓNICOS 3132654668 3227464720 NO ES POSIBLE CONTACTAR</t>
  </si>
  <si>
    <t>76130</t>
  </si>
  <si>
    <t>LC-CS-25-004381</t>
  </si>
  <si>
    <t>3007033533</t>
  </si>
  <si>
    <t>CANDELARIA</t>
  </si>
  <si>
    <t>BARRIO SAN JOAQUIN CANDELARIA</t>
  </si>
  <si>
    <t>FO-25-1861152</t>
  </si>
  <si>
    <t>21/11/2025 SE ESCALA PARA VISITA. CONFIRMAR DATOS PARA LA RECOLECCION DE EQUIPOS | 24/11/2025 EL PUNTO SE ENCUENTRA CERRADO CLIENTE HA SALIDO DE VIAJE Y NO ESTA DISPONIBLE PARA HACER ENTREGA DE EQUIPOS HASTA LA OTRA SEMANA.</t>
  </si>
  <si>
    <t>BL01Y191</t>
  </si>
  <si>
    <t>17433</t>
  </si>
  <si>
    <t>LC-CS-25-004383</t>
  </si>
  <si>
    <t>3007033826</t>
  </si>
  <si>
    <t>CALDAS</t>
  </si>
  <si>
    <t>MANZANARES</t>
  </si>
  <si>
    <t>BARRIO CENTRO MANZANARES CALDA</t>
  </si>
  <si>
    <t>FO-25-1861168</t>
  </si>
  <si>
    <t>21/11/2025 SE ESCALA PARA VISITA. CONFIRMAR DATOS PARA LA RECOLECCION DE EQUIPOS | 28/11/2025 SE HABLA CON EL CLIENTE PARA VALIDAR ENTREGA DE EQUIPOS, DADO LA VIA HACIA EL MUNICIPIO DE MANZANARES SE ENCUENTRA CERRADA, EL CLIENTE INDICA QUE SE DEBE VALIDAR LA ENTREGA DESPUES DE LA PROXIMA SEMANA,  YA QUE ELLA DEPENDE DE UNA PERSONA ALLA EN MANZANARES QUE ESTE DISPONIBLE  PARA ACORDAR ENTREGA, POR LO QUE DADO VENCIMIENTO SE CIERRA ACTIVIDAD Y UNA VEZ PODAMOS DESPLAZAZRNOS AL SITIO EN COMUN ACUERDO CON LA USUARIA SE REALIZARA COMO CIERRE VOLUNTARIO</t>
  </si>
  <si>
    <t>52683</t>
  </si>
  <si>
    <t>LC-CS-25-004392</t>
  </si>
  <si>
    <t>3007049693</t>
  </si>
  <si>
    <t>SANDONA</t>
  </si>
  <si>
    <t>PTM  SANDONA  TIENDAS PICASSO</t>
  </si>
  <si>
    <t>FO-25-1874914</t>
  </si>
  <si>
    <t>25/11/2025 SE ESCALA PARA VISITA. CONFIRMAR DATOS PARA LA RECOLECCION DE EQUIPOS | 27/11/2025 SE LLEGA A DIRECCION SE ENCUENTRA CERRADO SE TRATA DE ESTABLECER COMUNICACION CON CLIENTE SIN RESPUESTA SE PREGUNTA EN LOCALES CERCANOS INFORMAN QUE DESDE LA MAÑANA SALIÓ Y NO TIENEN INFORMACIÓN DE HORA DE REGRESO</t>
  </si>
  <si>
    <t>AD00S272</t>
  </si>
  <si>
    <t>76828</t>
  </si>
  <si>
    <t>LC-CS-25-004394</t>
  </si>
  <si>
    <t>3007065722</t>
  </si>
  <si>
    <t>TRUJILLO</t>
  </si>
  <si>
    <t>DISTRICOL AUTOSERVICIO LA ECON</t>
  </si>
  <si>
    <t>FO-25-1874726</t>
  </si>
  <si>
    <t>25/11/2025 SE ESCALA PARA VISITA. CONFIRMAR DATOS PARA LA RECOLECCION DE EQUIPOS | 26/11/2025 SE LLAMA AL CLIENTE AL NÚMERO 3112839768 SIN RESPUESTA PARA VALIDAR EL CIERRE, SE VISITA EL COMERCIO, EL ENCARGADO DEL LOCAL INFORMA QUE EL DATAFONO LO TIENE OPERANDO CON NORMALIDAD ESTA AL DÍA CON LAS COMPENSACIONES, NO ESTABA ENTERADO QUE SE LE IBA A CERRAR EL CB CLIENTE SE VA A COMUNICAR CON LA ALIANZA DISTRICOL PARA QUE LE COLABOREN CONTINUAR PRESTANDO EL SERVICIO DEL CB VA ESPERAR RESPUESTA, NO SE REALIZA EL CIERRE</t>
  </si>
  <si>
    <t>6A00F745</t>
  </si>
  <si>
    <t>25402</t>
  </si>
  <si>
    <t>LC-CS-25-004399</t>
  </si>
  <si>
    <t>3007061136</t>
  </si>
  <si>
    <t>LA VEGA</t>
  </si>
  <si>
    <t>BARRIO VEREDA ARRAYANES BAJO L</t>
  </si>
  <si>
    <t>FO-25-1874766</t>
  </si>
  <si>
    <t>28/11/2025 SE ESCALA PARA VISITA. CONFIRMAR DATOS PARA LA RECOLECCION DE EQUIPOS | 28/11/2025 SE VISITA COMERCIO PARA CIERRE, SE LLAMA AL 3204255694 NO CONTESTAN, SE CIERRA.</t>
  </si>
  <si>
    <t>25307</t>
  </si>
  <si>
    <t>LC-CS-25-004404</t>
  </si>
  <si>
    <t>3007058514</t>
  </si>
  <si>
    <t>GIRARDOT</t>
  </si>
  <si>
    <t>BARRIO SAN JORGE GIRARDOT</t>
  </si>
  <si>
    <t>FO-25-1874769</t>
  </si>
  <si>
    <t>25/11/2025 SE ESCALA PARA VISITA. CONFIRMAR DATOS PARA LA RECOLECCION DE EQUIPOS | 27/11/2025 SE REALIZA VISITA DE CAMPO ENCONTRADO QUE COMERCIO ESTA CERRADO SE INTENTA COMUNICACIÓN A LA LÍNEA 3133363722 PERO NO HAY RESPUESTA, SE INFORMA A SUPERVISOR DE NOVEDAD  QUIEN UTIORZA CIERRE DE VISITA.</t>
  </si>
  <si>
    <t>LC-CS-25-007254</t>
  </si>
  <si>
    <t>3007064016</t>
  </si>
  <si>
    <t>BARRIO PAMPALINDA CALI 2</t>
  </si>
  <si>
    <t>FO-25-1879913</t>
  </si>
  <si>
    <t>25/11/2025 SE ESCALA PARA VISITA. CONFIRMAR DATOS PARA LA RECOLECCION DE EQUIPOS | 26/11/2025 SE LLEGA A LA DIRECCIÓN Y SE ENCUENTRA EL CB CERRADO, SE REALIZÓ MÚLTIPLE LLAMADAS Y MENSAJE VIA CHAT Y NO HUBO RESPUESTA.</t>
  </si>
  <si>
    <t>NA00Y854</t>
  </si>
  <si>
    <t>LC-CS-25-010012</t>
  </si>
  <si>
    <t>3007076503</t>
  </si>
  <si>
    <t>BARRIO EL PORVENIR FLORENCIA 2</t>
  </si>
  <si>
    <t>FO-25-1888775</t>
  </si>
  <si>
    <t>26/11/2025 SE ESCALA PARA VISITA. CONFIRMAR DATOS PARA LA RECOLECCION DE EQUIPOS | 29/11/2025 SE LLEGA A LA DIRECCIÓN INDICADA PERO NO HAY NADIE NI NADA EN EL LUGAR, SE LLAMA A LOS NÚMEROS DE LA ORDEN Y NADIE CONTESTA.</t>
  </si>
  <si>
    <t>F10YZ566</t>
  </si>
  <si>
    <t>TA-25-1241732</t>
  </si>
  <si>
    <t>3007046617</t>
  </si>
  <si>
    <t>FO-25-1740008</t>
  </si>
  <si>
    <t>RETIRO VOLUNTARIO</t>
  </si>
  <si>
    <t>04/11/2025 LLAMADA EXITOSA, CON 0 ROLLOS, OK | 04/11/2025 ACTIVIDAD NO SE REALIZÓ. INICIALMENTE PTM INFORMÓ QUE TENÍA ESTE CODIGO DE PUNTO EN SU PODER, SE SOLICITA CREACIÓN DE TA COMO RETIRO VOLUNTARIO, PERO LUEGO EN REVISIÓN DE EQUIPO, SE ENCUENTRA QUE ERA DE OTRO CODIGO DE PUNTO DISTINTO. ESTE PUNTO 46617 NO SE CIERRA.</t>
  </si>
  <si>
    <t>HENAO JARAMILLO JUAN JOSE</t>
  </si>
  <si>
    <t>TA-25-1253905</t>
  </si>
  <si>
    <t>3007051558</t>
  </si>
  <si>
    <t>BARRIO PLAZA DE FERIA MEDELLIN</t>
  </si>
  <si>
    <t>FO-25-1764771</t>
  </si>
  <si>
    <t>31/10/2025 SE ESCALA PARA VISITA. CONFIRMAR DATOS PARA LA RECOLECCION DE EQUIPOS | 04/11/2025 DURANTE EL CIERRE DE LA TA LC-CS-25-000914, CORRESPONDIENTE AL CU 3007021261 UBICADO EN BARRIO NIQUÍA IV, BELLO, EL TÉCNICO TENÍA COMO TAREA RETIRAR EL LECTOR DE PLACA 997796. SIN EMBARGO, EL CORRESPONSAL EN SITIO ENTREGÓ EL LECTOR DE PLACA 905283, EL CUAL ESTÁ ASIGNADO EN INVENTARIO AL CU 3007051558, UBICADO EN BARRIO PLAZA DE FERIA, MEDELLÍN.
AL MOMENTO DE INFORMAR SOBRE LA DISCREPANCIA, EL CORRESPONSAL MANIFESTÓ QUE LA PLACA 905283 ES LA ÚNICA LECTORA QUE HA MANEJADO HISTÓRICAMENTE EN ESE PUNTO, Y NO ACEPTÓ QUE SE LE DEVOLVIERA. DEBIDO A ESTA NEGATIVA, SE PROCEDIÓ A CREAR UNA NUEVA TA BAJO EL CU 3007051558 BARRIO PLAZA DE FERIA MEDELLÍN, CON EL FIN DE REGISTRAR FORMALMENTE EL RETIRO DEL LECTOR ENTREGADO.</t>
  </si>
  <si>
    <t>41001</t>
  </si>
  <si>
    <t>TA-25-1302903</t>
  </si>
  <si>
    <t>3007066851</t>
  </si>
  <si>
    <t>HUILA</t>
  </si>
  <si>
    <t>DISTRICOL VIRTUAL SAS</t>
  </si>
  <si>
    <t>FO-25-1839991</t>
  </si>
  <si>
    <t>18/11/2025 OK | 18/11/2025 LA SEÑORITA JUAN VALENTINA CUELLAR REALIZA ENTREGA VOLUNTARIA DEL LECTOR DE BARRAS , SE HIZO CONSULTA A REDEBAN Y ESTÁ SE ENCUENTRA EN ESTADO ILOCALIZABLE Y PERTENECIÓ AL CB 66851.</t>
  </si>
  <si>
    <t>ANDRADE HERNANDEZ JUAN CARLOS</t>
  </si>
  <si>
    <t>LÍNEA COMUNICACIONES S.A.S</t>
  </si>
  <si>
    <t>FACTURACIÓN CORRESPONSALES BANCARIOS TIQUIETES AÉREOS</t>
  </si>
  <si>
    <t>FACTURACIÓN VISITAS FALLIDAS CORRESPONSALES BANCARIOS</t>
  </si>
  <si>
    <t>CONCEPTOS</t>
  </si>
  <si>
    <t>TRAYECTOS</t>
  </si>
  <si>
    <t>TOTAL</t>
  </si>
  <si>
    <t>% ADMINISTRACIÓN</t>
  </si>
  <si>
    <t>CANT</t>
  </si>
  <si>
    <t xml:space="preserve">$ -   </t>
  </si>
  <si>
    <t xml:space="preserve"> $ -   </t>
  </si>
  <si>
    <t>TIQUETES</t>
  </si>
  <si>
    <t>SUBTOTAL</t>
  </si>
  <si>
    <t>IVA</t>
  </si>
  <si>
    <t>CIERRES NO EXITOSOS NOVIEMBRE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</si>
</sst>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4" formatCode="_-&quot;$&quot;\ * #,##0.00_-;\-&quot;$&quot;\ * #,##0.00_-;_-&quot;$&quot;\ * &quot;-&quot;??_-;_-@_-"/>
    <numFmt numFmtId="164" formatCode="_(&quot;$&quot;\ * #,##0.00_);_(&quot;$&quot;\ * \(#,##0.00\);_(&quot;$&quot;\ * &quot;-&quot;??_);_(@_)"/>
    <numFmt numFmtId="165" formatCode="_(&quot;$&quot;\ * #,##0_);_(&quot;$&quot;\ * \(#,##0\);_(&quot;$&quot;\ * &quot;-&quot;??_);_(@_)"/>
    <numFmt numFmtId="166" formatCode="dd/mm/yyyy"/>
    <numFmt numFmtId="167" formatCode="_-&quot;$&quot;\ * #,##0_-;\-&quot;$&quot;\ * #,##0_-;_-&quot;$&quot;\ * &quot;-&quot;??_-;_-@_-"/>
  </numFmts>
  <fonts count="17">
    <font>
      <sz val="11"/>
      <color theme="1"/>
      <name val="Calibri"/>
      <family val="2"/>
      <scheme val="minor"/>
    </font>
    <font>
      <sz val="11"/>
      <color theme="1"/>
      <name val="Calibri"/>
      <family val="2"/>
      <scheme val="minor"/>
    </font>
    <font>
      <sz val="10"/>
      <color theme="1"/>
      <name val="Apex"/>
      <family val="2"/>
    </font>
    <font>
      <sz val="10"/>
      <name val="Arial"/>
      <family val="2"/>
    </font>
    <font>
      <sz val="8"/>
      <color theme="1"/>
      <name val="Gelion Thin"/>
    </font>
    <font>
      <b/>
      <sz val="10"/>
      <name val="Gelion Thin"/>
    </font>
    <font>
      <sz val="10"/>
      <color rgb="FF000000"/>
      <name val="Gelion Thin"/>
    </font>
    <font>
      <sz val="10"/>
      <color theme="1"/>
      <name val="Gelion Thin"/>
    </font>
    <font>
      <sz val="8"/>
      <color rgb="FF000000"/>
      <name val="Gelion Thin"/>
    </font>
    <font>
      <b/>
      <sz val="11"/>
      <color theme="1"/>
      <name val="Gelion Thin"/>
    </font>
    <font>
      <sz val="11"/>
      <color rgb="FF000000"/>
      <name val="Gelion Thin"/>
    </font>
    <font>
      <b/>
      <sz val="11"/>
      <color rgb="FFFFFFFF"/>
      <name val="Calibri"/>
      <family val="2"/>
    </font>
    <font>
      <sz val="11"/>
      <color rgb="FF000000"/>
      <name val="Calibri"/>
      <family val="2"/>
      <scheme val="minor"/>
    </font>
    <font>
      <b/>
      <sz val="8"/>
      <name val="Gelion Thin"/>
    </font>
    <font>
      <sz val="8"/>
      <name val="Gelion Light"/>
    </font>
    <font>
      <sz val="10"/>
      <name val="Gelion Thin"/>
    </font>
    <font>
      <sz val="8"/>
      <name val="Gelion Thin"/>
    </font>
  </fonts>
  <fills count="7">
    <fill>
      <patternFill patternType="none"/>
    </fill>
    <fill>
      <patternFill patternType="gray125"/>
    </fill>
    <fill>
      <patternFill patternType="solid">
        <fgColor theme="0" tint="-0.34998626667073579"/>
        <bgColor indexed="64"/>
      </patternFill>
    </fill>
    <fill>
      <patternFill patternType="solid">
        <fgColor rgb="FF92D050"/>
        <bgColor indexed="64"/>
      </patternFill>
    </fill>
    <fill>
      <patternFill patternType="solid">
        <fgColor theme="6" tint="0.79998168889431442"/>
        <bgColor indexed="64"/>
      </patternFill>
    </fill>
    <fill>
      <patternFill patternType="solid">
        <fgColor rgb="FF001D62"/>
        <bgColor rgb="FF001D62"/>
      </patternFill>
    </fill>
    <fill>
      <patternFill patternType="solid">
        <fgColor rgb="FF9B9B9A"/>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s>
  <cellStyleXfs count="7">
    <xf numFmtId="0" fontId="0" fillId="0" borderId="0"/>
    <xf numFmtId="0" fontId="1" fillId="0" borderId="0"/>
    <xf numFmtId="0" fontId="2" fillId="0" borderId="0"/>
    <xf numFmtId="164" fontId="3" fillId="0" borderId="0"/>
    <xf numFmtId="0" fontId="3" fillId="0" borderId="0"/>
    <xf numFmtId="0" fontId="1" fillId="0" borderId="0"/>
    <xf numFmtId="44" fontId="1" fillId="0" borderId="0" applyFont="0" applyFill="0" applyBorder="0" applyAlignment="0" applyProtection="0"/>
  </cellStyleXfs>
  <cellXfs count="61">
    <xf numFmtId="0" fontId="0" fillId="0" borderId="0" xfId="0"/>
    <xf numFmtId="164" fontId="5" fillId="2" borderId="1" xfId="3" applyFont="1" applyFill="1" applyBorder="1" applyAlignment="1">
      <alignment horizontal="center" vertical="center"/>
    </xf>
    <xf numFmtId="0" fontId="6" fillId="0" borderId="1" xfId="0" applyFont="1" applyBorder="1" applyAlignment="1">
      <alignment vertical="center"/>
    </xf>
    <xf numFmtId="6" fontId="7" fillId="0" borderId="1" xfId="0" applyNumberFormat="1" applyFont="1" applyBorder="1" applyAlignment="1">
      <alignment vertical="center" wrapText="1"/>
    </xf>
    <xf numFmtId="0" fontId="8" fillId="0" borderId="2" xfId="0" applyFont="1" applyBorder="1" applyAlignment="1">
      <alignment vertical="center"/>
    </xf>
    <xf numFmtId="0" fontId="8" fillId="0" borderId="0" xfId="0" applyFont="1" applyAlignment="1">
      <alignment vertical="center"/>
    </xf>
    <xf numFmtId="165" fontId="4" fillId="0" borderId="0" xfId="3" applyNumberFormat="1" applyFont="1" applyAlignment="1">
      <alignment horizontal="center" vertical="center"/>
    </xf>
    <xf numFmtId="0" fontId="8" fillId="0" borderId="1" xfId="0" applyFont="1" applyBorder="1" applyAlignment="1">
      <alignment vertical="center"/>
    </xf>
    <xf numFmtId="0" fontId="4" fillId="0" borderId="0" xfId="0" applyFont="1"/>
    <xf numFmtId="0" fontId="9" fillId="0" borderId="1" xfId="0" applyFont="1" applyBorder="1"/>
    <xf numFmtId="0" fontId="9" fillId="0" borderId="1" xfId="5" applyFont="1" applyBorder="1"/>
    <xf numFmtId="0" fontId="10" fillId="0" borderId="1" xfId="0" applyFont="1" applyBorder="1"/>
    <xf numFmtId="0" fontId="10" fillId="0" borderId="4" xfId="0" applyFont="1" applyBorder="1"/>
    <xf numFmtId="0" fontId="10" fillId="0" borderId="5" xfId="0" applyFont="1" applyBorder="1"/>
    <xf numFmtId="0" fontId="10" fillId="0" borderId="8" xfId="0" applyFont="1" applyBorder="1"/>
    <xf numFmtId="6" fontId="0" fillId="0" borderId="0" xfId="0" applyNumberFormat="1"/>
    <xf numFmtId="10" fontId="0" fillId="3" borderId="6" xfId="0" applyNumberFormat="1" applyFill="1" applyBorder="1" applyAlignment="1">
      <alignment horizontal="center"/>
    </xf>
    <xf numFmtId="164" fontId="5" fillId="2" borderId="3" xfId="3" applyFont="1" applyFill="1" applyBorder="1" applyAlignment="1">
      <alignment horizontal="center" vertical="center"/>
    </xf>
    <xf numFmtId="164" fontId="5" fillId="2" borderId="7" xfId="3" applyFont="1" applyFill="1" applyBorder="1" applyAlignment="1">
      <alignment horizontal="center" vertical="center"/>
    </xf>
    <xf numFmtId="6" fontId="7" fillId="4" borderId="1" xfId="0" applyNumberFormat="1" applyFont="1" applyFill="1" applyBorder="1" applyAlignment="1">
      <alignment horizontal="center"/>
    </xf>
    <xf numFmtId="165" fontId="4" fillId="4" borderId="1" xfId="3" applyNumberFormat="1" applyFont="1" applyFill="1" applyBorder="1" applyAlignment="1">
      <alignment horizontal="center" vertical="center"/>
    </xf>
    <xf numFmtId="0" fontId="11" fillId="5" borderId="0" xfId="0" applyFont="1" applyFill="1" applyAlignment="1">
      <alignment horizontal="center" vertical="center" wrapText="1"/>
    </xf>
    <xf numFmtId="166" fontId="0" fillId="0" borderId="0" xfId="0" applyNumberFormat="1"/>
    <xf numFmtId="1" fontId="0" fillId="0" borderId="0" xfId="0" applyNumberFormat="1"/>
    <xf numFmtId="0" fontId="12" fillId="0" borderId="0" xfId="0" applyFont="1"/>
    <xf numFmtId="0" fontId="8" fillId="0" borderId="1" xfId="0" applyFont="1" applyBorder="1"/>
    <xf numFmtId="0" fontId="5" fillId="0" borderId="1" xfId="0" applyFont="1" applyBorder="1" applyAlignment="1">
      <alignment horizontal="center"/>
    </xf>
    <xf numFmtId="0" fontId="13" fillId="6" borderId="7" xfId="0" applyFont="1" applyFill="1" applyBorder="1" applyAlignment="1">
      <alignment horizontal="center"/>
    </xf>
    <xf numFmtId="0" fontId="13" fillId="6" borderId="1" xfId="0" applyFont="1" applyFill="1" applyBorder="1" applyAlignment="1">
      <alignment horizontal="center"/>
    </xf>
    <xf numFmtId="0" fontId="13" fillId="6" borderId="1" xfId="0" applyFont="1" applyFill="1" applyBorder="1" applyAlignment="1">
      <alignment horizontal="center" vertical="center"/>
    </xf>
    <xf numFmtId="0" fontId="5" fillId="6" borderId="1" xfId="0" applyFont="1" applyFill="1" applyBorder="1"/>
    <xf numFmtId="0" fontId="14" fillId="0" borderId="6" xfId="0" applyFont="1" applyBorder="1" applyAlignment="1">
      <alignment horizontal="center"/>
    </xf>
    <xf numFmtId="167" fontId="8" fillId="0" borderId="1" xfId="6" applyNumberFormat="1" applyFont="1" applyBorder="1" applyAlignment="1">
      <alignment vertical="center"/>
    </xf>
    <xf numFmtId="0" fontId="15" fillId="0" borderId="7" xfId="0" applyFont="1" applyBorder="1"/>
    <xf numFmtId="6" fontId="15" fillId="0" borderId="7" xfId="0" applyNumberFormat="1" applyFont="1" applyBorder="1"/>
    <xf numFmtId="0" fontId="14" fillId="0" borderId="10" xfId="0" applyFont="1" applyBorder="1" applyAlignment="1">
      <alignment horizontal="center"/>
    </xf>
    <xf numFmtId="167" fontId="8" fillId="0" borderId="7" xfId="6" applyNumberFormat="1" applyFont="1" applyBorder="1" applyAlignment="1">
      <alignment vertical="center"/>
    </xf>
    <xf numFmtId="0" fontId="15" fillId="0" borderId="1" xfId="0" applyFont="1" applyBorder="1"/>
    <xf numFmtId="6" fontId="15" fillId="0" borderId="1" xfId="0" applyNumberFormat="1" applyFont="1" applyBorder="1"/>
    <xf numFmtId="0" fontId="16" fillId="0" borderId="6" xfId="0" applyFont="1" applyBorder="1"/>
    <xf numFmtId="167" fontId="8" fillId="0" borderId="6" xfId="6" applyNumberFormat="1" applyFont="1" applyBorder="1" applyAlignment="1">
      <alignment vertical="center"/>
    </xf>
    <xf numFmtId="6" fontId="15" fillId="0" borderId="5" xfId="0" applyNumberFormat="1" applyFont="1" applyBorder="1"/>
    <xf numFmtId="0" fontId="8" fillId="0" borderId="6" xfId="0" applyFont="1" applyBorder="1" applyAlignment="1">
      <alignment horizontal="center" vertical="center"/>
    </xf>
    <xf numFmtId="6" fontId="5" fillId="0" borderId="1" xfId="0" applyNumberFormat="1" applyFont="1" applyBorder="1"/>
    <xf numFmtId="6" fontId="5" fillId="6" borderId="1" xfId="0" applyNumberFormat="1" applyFont="1" applyFill="1" applyBorder="1"/>
    <xf numFmtId="0" fontId="13" fillId="6" borderId="11" xfId="0" applyFont="1" applyFill="1" applyBorder="1" applyAlignment="1">
      <alignment horizontal="center" vertical="center"/>
    </xf>
    <xf numFmtId="0" fontId="13" fillId="6" borderId="8" xfId="0" applyFont="1" applyFill="1" applyBorder="1" applyAlignment="1">
      <alignment horizontal="center" vertical="center"/>
    </xf>
    <xf numFmtId="167" fontId="13" fillId="6" borderId="5" xfId="6" applyNumberFormat="1" applyFont="1" applyFill="1" applyBorder="1" applyAlignment="1">
      <alignment horizontal="center" vertical="center"/>
    </xf>
    <xf numFmtId="0" fontId="5" fillId="2" borderId="0" xfId="0" applyFont="1" applyFill="1" applyAlignment="1">
      <alignment horizontal="center"/>
    </xf>
    <xf numFmtId="0" fontId="0" fillId="0" borderId="0" xfId="0"/>
    <xf numFmtId="0" fontId="5" fillId="6" borderId="3" xfId="0" applyFont="1" applyFill="1" applyBorder="1" applyAlignment="1">
      <alignment horizontal="center"/>
    </xf>
    <xf numFmtId="0" fontId="5" fillId="6" borderId="9" xfId="0" applyFont="1" applyFill="1" applyBorder="1" applyAlignment="1">
      <alignment horizontal="center"/>
    </xf>
    <xf numFmtId="0" fontId="5" fillId="6" borderId="4" xfId="0" applyFont="1" applyFill="1" applyBorder="1" applyAlignment="1">
      <alignment horizontal="center"/>
    </xf>
    <xf numFmtId="17" fontId="5" fillId="6" borderId="3" xfId="0" applyNumberFormat="1" applyFont="1" applyFill="1" applyBorder="1" applyAlignment="1">
      <alignment horizontal="center"/>
    </xf>
    <xf numFmtId="17" fontId="5" fillId="6" borderId="9" xfId="0" applyNumberFormat="1" applyFont="1" applyFill="1" applyBorder="1" applyAlignment="1">
      <alignment horizontal="center"/>
    </xf>
    <xf numFmtId="17" fontId="5" fillId="6" borderId="4" xfId="0" applyNumberFormat="1" applyFont="1" applyFill="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15" fillId="0" borderId="3" xfId="0" applyFont="1" applyBorder="1" applyAlignment="1">
      <alignment horizontal="center"/>
    </xf>
    <xf numFmtId="0" fontId="15" fillId="0" borderId="4" xfId="0" applyFont="1" applyBorder="1" applyAlignment="1">
      <alignment horizontal="center"/>
    </xf>
    <xf numFmtId="0" fontId="5" fillId="0" borderId="9" xfId="0" applyFont="1" applyBorder="1" applyAlignment="1">
      <alignment horizontal="center"/>
    </xf>
  </cellXfs>
  <cellStyles count="7">
    <cellStyle name="Moneda" xfId="6" builtinId="4"/>
    <cellStyle name="Moneda 2 10" xfId="3" xr:uid="{00000000-0005-0000-0000-000003000000}"/>
    <cellStyle name="Normal" xfId="0" builtinId="0"/>
    <cellStyle name="Normal 172" xfId="2" xr:uid="{00000000-0005-0000-0000-000002000000}"/>
    <cellStyle name="Normal 177" xfId="5" xr:uid="{00000000-0005-0000-0000-000005000000}"/>
    <cellStyle name="Normal 2 10 2" xfId="4" xr:uid="{00000000-0005-0000-0000-000004000000}"/>
    <cellStyle name="Normal 2 2 2 2 6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sqref="A1:C1"/>
    </sheetView>
  </sheetViews>
  <sheetFormatPr baseColWidth="10" defaultColWidth="11.44140625" defaultRowHeight="14.4"/>
  <cols>
    <col min="1" max="1" width="15" bestFit="1" customWidth="1"/>
    <col min="2" max="2" width="22.6640625" bestFit="1" customWidth="1"/>
    <col min="3" max="3" width="42" customWidth="1"/>
    <col min="4" max="4" width="14.44140625" customWidth="1"/>
  </cols>
  <sheetData>
    <row r="1" spans="1:4">
      <c r="A1" s="48" t="s">
        <v>0</v>
      </c>
      <c r="B1" s="49"/>
      <c r="C1" s="49"/>
      <c r="D1" s="18" t="s">
        <v>1</v>
      </c>
    </row>
    <row r="2" spans="1:4">
      <c r="A2" s="1" t="s">
        <v>2</v>
      </c>
      <c r="B2" s="1" t="s">
        <v>3</v>
      </c>
      <c r="C2" s="17" t="s">
        <v>4</v>
      </c>
      <c r="D2" s="16">
        <v>5.1999999999999998E-2</v>
      </c>
    </row>
    <row r="3" spans="1:4">
      <c r="A3" s="2" t="s">
        <v>5</v>
      </c>
      <c r="B3" s="2" t="s">
        <v>6</v>
      </c>
      <c r="C3" s="19">
        <f>42357*(1+$D$2)</f>
        <v>44559.563999999998</v>
      </c>
      <c r="D3" s="15"/>
    </row>
    <row r="4" spans="1:4">
      <c r="A4" s="2" t="s">
        <v>7</v>
      </c>
      <c r="B4" s="2" t="s">
        <v>8</v>
      </c>
      <c r="C4" s="19">
        <f>127767*(1+$D$2)</f>
        <v>134410.88400000002</v>
      </c>
      <c r="D4" s="15"/>
    </row>
    <row r="5" spans="1:4">
      <c r="A5" s="2" t="s">
        <v>9</v>
      </c>
      <c r="B5" s="2" t="s">
        <v>10</v>
      </c>
      <c r="C5" s="19">
        <f>211886*(1+$D$2)</f>
        <v>222904.07200000001</v>
      </c>
      <c r="D5" s="15"/>
    </row>
    <row r="6" spans="1:4">
      <c r="A6" s="2" t="s">
        <v>11</v>
      </c>
      <c r="B6" s="2" t="s">
        <v>12</v>
      </c>
      <c r="C6" s="19">
        <f>441834*(1+$D$2)</f>
        <v>464809.36800000002</v>
      </c>
      <c r="D6" s="15"/>
    </row>
    <row r="7" spans="1:4" ht="24.75" customHeight="1">
      <c r="A7" s="2" t="s">
        <v>13</v>
      </c>
      <c r="B7" s="2" t="s">
        <v>14</v>
      </c>
      <c r="C7" s="3" t="s">
        <v>15</v>
      </c>
      <c r="D7" s="15"/>
    </row>
    <row r="8" spans="1:4">
      <c r="A8" s="4"/>
      <c r="B8" s="5"/>
      <c r="C8" s="6"/>
    </row>
    <row r="9" spans="1:4">
      <c r="A9" s="7" t="s">
        <v>16</v>
      </c>
      <c r="B9" s="20">
        <f>36031*(1+$D$2)</f>
        <v>37904.612000000001</v>
      </c>
      <c r="C9" s="8"/>
    </row>
  </sheetData>
  <mergeCells count="1">
    <mergeCell ref="A1:C1"/>
  </mergeCell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ABFB-BD60-4750-91FD-CA42FA494478}">
  <dimension ref="A1:J10"/>
  <sheetViews>
    <sheetView tabSelected="1" workbookViewId="0">
      <selection activeCell="F17" sqref="F17"/>
    </sheetView>
  </sheetViews>
  <sheetFormatPr baseColWidth="10" defaultRowHeight="14.4"/>
  <cols>
    <col min="1" max="1" width="31.5546875" bestFit="1" customWidth="1"/>
    <col min="6" max="6" width="13.6640625" bestFit="1" customWidth="1"/>
    <col min="7" max="7" width="29.5546875" bestFit="1" customWidth="1"/>
    <col min="8" max="8" width="10.5546875" bestFit="1" customWidth="1"/>
    <col min="9" max="9" width="16.44140625" bestFit="1" customWidth="1"/>
  </cols>
  <sheetData>
    <row r="1" spans="1:10">
      <c r="A1" s="50" t="s">
        <v>666</v>
      </c>
      <c r="B1" s="51"/>
      <c r="C1" s="51"/>
      <c r="D1" s="52"/>
      <c r="E1" s="24"/>
      <c r="F1" s="50" t="s">
        <v>667</v>
      </c>
      <c r="G1" s="51"/>
      <c r="H1" s="51"/>
      <c r="I1" s="51"/>
      <c r="J1" s="51"/>
    </row>
    <row r="2" spans="1:10">
      <c r="A2" s="50" t="s">
        <v>668</v>
      </c>
      <c r="B2" s="51"/>
      <c r="C2" s="51"/>
      <c r="D2" s="52"/>
      <c r="E2" s="24"/>
      <c r="F2" s="53">
        <f>A3</f>
        <v>45962</v>
      </c>
      <c r="G2" s="54"/>
      <c r="H2" s="54"/>
      <c r="I2" s="54"/>
      <c r="J2" s="54"/>
    </row>
    <row r="3" spans="1:10">
      <c r="A3" s="53">
        <v>45962</v>
      </c>
      <c r="B3" s="54"/>
      <c r="C3" s="54"/>
      <c r="D3" s="55"/>
      <c r="E3" s="24"/>
      <c r="F3" s="25"/>
      <c r="G3" s="25"/>
      <c r="H3" s="25"/>
      <c r="I3" s="25"/>
      <c r="J3" s="25"/>
    </row>
    <row r="4" spans="1:10">
      <c r="A4" s="26"/>
      <c r="B4" s="56"/>
      <c r="C4" s="57"/>
      <c r="D4" s="26"/>
      <c r="E4" s="24"/>
      <c r="F4" s="27" t="s">
        <v>669</v>
      </c>
      <c r="G4" s="28" t="s">
        <v>670</v>
      </c>
      <c r="H4" s="28" t="s">
        <v>671</v>
      </c>
      <c r="I4" s="28" t="s">
        <v>672</v>
      </c>
      <c r="J4" s="29" t="s">
        <v>671</v>
      </c>
    </row>
    <row r="5" spans="1:10">
      <c r="A5" s="30" t="s">
        <v>669</v>
      </c>
      <c r="B5" s="50" t="s">
        <v>673</v>
      </c>
      <c r="C5" s="52"/>
      <c r="D5" s="30" t="s">
        <v>671</v>
      </c>
      <c r="E5" s="24"/>
      <c r="F5" s="31"/>
      <c r="G5" s="31"/>
      <c r="H5" s="32"/>
      <c r="I5" s="32">
        <f>H5*0.12</f>
        <v>0</v>
      </c>
      <c r="J5" s="32">
        <f>H5+I5</f>
        <v>0</v>
      </c>
    </row>
    <row r="6" spans="1:10">
      <c r="A6" s="33" t="s">
        <v>679</v>
      </c>
      <c r="B6" s="58">
        <f>COUNTA(CIERRES!A:A)-1</f>
        <v>73</v>
      </c>
      <c r="C6" s="59"/>
      <c r="D6" s="34">
        <f>SUM(CIERRES!AD2:AD10000)</f>
        <v>7551498</v>
      </c>
      <c r="E6" s="24"/>
      <c r="F6" s="35"/>
      <c r="G6" s="35"/>
      <c r="H6" s="36"/>
      <c r="I6" s="36" t="s">
        <v>674</v>
      </c>
      <c r="J6" s="36" t="s">
        <v>675</v>
      </c>
    </row>
    <row r="7" spans="1:10">
      <c r="A7" s="37" t="s">
        <v>676</v>
      </c>
      <c r="B7" s="58">
        <v>0</v>
      </c>
      <c r="C7" s="59"/>
      <c r="D7" s="38">
        <f>J10</f>
        <v>0</v>
      </c>
      <c r="E7" s="24"/>
      <c r="F7" s="39"/>
      <c r="G7" s="39"/>
      <c r="H7" s="40"/>
      <c r="I7" s="40" t="s">
        <v>674</v>
      </c>
      <c r="J7" s="40" t="s">
        <v>675</v>
      </c>
    </row>
    <row r="8" spans="1:10">
      <c r="A8" s="56" t="s">
        <v>677</v>
      </c>
      <c r="B8" s="60"/>
      <c r="C8" s="57"/>
      <c r="D8" s="41">
        <f>SUM(D6:D7)</f>
        <v>7551498</v>
      </c>
      <c r="E8" s="24"/>
      <c r="F8" s="39"/>
      <c r="G8" s="42"/>
      <c r="H8" s="40"/>
      <c r="I8" s="40"/>
      <c r="J8" s="40"/>
    </row>
    <row r="9" spans="1:10">
      <c r="A9" s="56" t="s">
        <v>678</v>
      </c>
      <c r="B9" s="60"/>
      <c r="C9" s="57"/>
      <c r="D9" s="43">
        <f>D8*0.19</f>
        <v>1434784.62</v>
      </c>
      <c r="E9" s="24"/>
      <c r="F9" s="39"/>
      <c r="G9" s="42"/>
      <c r="H9" s="40"/>
      <c r="I9" s="40"/>
      <c r="J9" s="40"/>
    </row>
    <row r="10" spans="1:10">
      <c r="A10" s="50" t="s">
        <v>671</v>
      </c>
      <c r="B10" s="51"/>
      <c r="C10" s="52"/>
      <c r="D10" s="44">
        <f>D8+D9</f>
        <v>8986282.620000001</v>
      </c>
      <c r="E10" s="24"/>
      <c r="F10" s="45" t="s">
        <v>671</v>
      </c>
      <c r="G10" s="46"/>
      <c r="H10" s="47">
        <f>SUM(H5:H9)</f>
        <v>0</v>
      </c>
      <c r="I10" s="47">
        <f t="shared" ref="I10:J10" si="0">SUM(I5:I9)</f>
        <v>0</v>
      </c>
      <c r="J10" s="47">
        <f t="shared" si="0"/>
        <v>0</v>
      </c>
    </row>
  </sheetData>
  <mergeCells count="12">
    <mergeCell ref="A10:C10"/>
    <mergeCell ref="A1:D1"/>
    <mergeCell ref="F1:J1"/>
    <mergeCell ref="A2:D2"/>
    <mergeCell ref="F2:J2"/>
    <mergeCell ref="A3:D3"/>
    <mergeCell ref="B4:C4"/>
    <mergeCell ref="B5:C5"/>
    <mergeCell ref="B6:C6"/>
    <mergeCell ref="B7:C7"/>
    <mergeCell ref="A8:C8"/>
    <mergeCell ref="A9:C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baseColWidth="10" defaultColWidth="11.44140625" defaultRowHeight="14.4"/>
  <cols>
    <col min="1" max="1" width="15.33203125" bestFit="1" customWidth="1"/>
    <col min="2" max="2" width="18.33203125" bestFit="1" customWidth="1"/>
    <col min="3" max="3" width="30.33203125" bestFit="1" customWidth="1"/>
    <col min="4" max="4" width="34.109375" bestFit="1" customWidth="1"/>
  </cols>
  <sheetData>
    <row r="1" spans="1:4">
      <c r="A1" s="9" t="s">
        <v>17</v>
      </c>
      <c r="B1" s="9" t="s">
        <v>18</v>
      </c>
      <c r="C1" s="9" t="s">
        <v>19</v>
      </c>
      <c r="D1" s="10" t="s">
        <v>20</v>
      </c>
    </row>
    <row r="2" spans="1:4">
      <c r="A2" s="11" t="s">
        <v>21</v>
      </c>
      <c r="B2" s="12" t="s">
        <v>22</v>
      </c>
      <c r="C2" s="12" t="s">
        <v>23</v>
      </c>
      <c r="D2" s="12" t="s">
        <v>24</v>
      </c>
    </row>
    <row r="3" spans="1:4">
      <c r="A3" s="13" t="s">
        <v>25</v>
      </c>
      <c r="B3" s="14" t="s">
        <v>26</v>
      </c>
      <c r="C3" s="14" t="s">
        <v>27</v>
      </c>
      <c r="D3" s="14" t="s">
        <v>28</v>
      </c>
    </row>
    <row r="4" spans="1:4">
      <c r="A4" s="13" t="s">
        <v>29</v>
      </c>
      <c r="B4" s="14" t="s">
        <v>30</v>
      </c>
      <c r="C4" s="14" t="s">
        <v>31</v>
      </c>
      <c r="D4" s="14" t="s">
        <v>32</v>
      </c>
    </row>
    <row r="5" spans="1:4">
      <c r="A5" s="13" t="s">
        <v>33</v>
      </c>
      <c r="B5" s="14" t="s">
        <v>34</v>
      </c>
      <c r="C5" s="14" t="s">
        <v>35</v>
      </c>
      <c r="D5" s="14" t="s">
        <v>36</v>
      </c>
    </row>
    <row r="6" spans="1:4">
      <c r="A6" s="13" t="s">
        <v>37</v>
      </c>
      <c r="B6" s="14" t="s">
        <v>38</v>
      </c>
      <c r="C6" s="14" t="s">
        <v>39</v>
      </c>
      <c r="D6" s="14" t="s">
        <v>40</v>
      </c>
    </row>
    <row r="7" spans="1:4">
      <c r="A7" s="13" t="s">
        <v>41</v>
      </c>
      <c r="B7" s="14" t="s">
        <v>26</v>
      </c>
      <c r="C7" s="14" t="s">
        <v>27</v>
      </c>
      <c r="D7" s="14" t="s">
        <v>28</v>
      </c>
    </row>
    <row r="8" spans="1:4">
      <c r="A8" s="13" t="s">
        <v>42</v>
      </c>
      <c r="B8" s="14" t="s">
        <v>34</v>
      </c>
      <c r="C8" s="14" t="s">
        <v>35</v>
      </c>
      <c r="D8" s="14" t="s">
        <v>36</v>
      </c>
    </row>
    <row r="9" spans="1:4">
      <c r="A9" s="13" t="s">
        <v>43</v>
      </c>
      <c r="B9" s="14" t="s">
        <v>44</v>
      </c>
      <c r="C9" s="14" t="s">
        <v>45</v>
      </c>
      <c r="D9" s="14" t="s">
        <v>46</v>
      </c>
    </row>
    <row r="10" spans="1:4">
      <c r="A10" s="13" t="s">
        <v>47</v>
      </c>
      <c r="B10" s="14" t="s">
        <v>44</v>
      </c>
      <c r="C10" s="14" t="s">
        <v>45</v>
      </c>
      <c r="D10" s="14" t="s">
        <v>46</v>
      </c>
    </row>
    <row r="11" spans="1:4">
      <c r="A11" s="13" t="s">
        <v>48</v>
      </c>
      <c r="B11" s="14" t="s">
        <v>49</v>
      </c>
      <c r="C11" s="14" t="s">
        <v>50</v>
      </c>
      <c r="D11" s="14" t="s">
        <v>40</v>
      </c>
    </row>
    <row r="12" spans="1:4">
      <c r="A12" s="13" t="s">
        <v>51</v>
      </c>
      <c r="B12" s="14" t="s">
        <v>22</v>
      </c>
      <c r="C12" s="14" t="s">
        <v>23</v>
      </c>
      <c r="D12" s="14" t="s">
        <v>24</v>
      </c>
    </row>
    <row r="13" spans="1:4">
      <c r="A13" s="13" t="s">
        <v>52</v>
      </c>
      <c r="B13" s="14" t="s">
        <v>26</v>
      </c>
      <c r="C13" s="14" t="s">
        <v>27</v>
      </c>
      <c r="D13" s="14" t="s">
        <v>28</v>
      </c>
    </row>
    <row r="14" spans="1:4">
      <c r="A14" s="13" t="s">
        <v>53</v>
      </c>
      <c r="B14" s="14" t="s">
        <v>44</v>
      </c>
      <c r="C14" s="14" t="s">
        <v>45</v>
      </c>
      <c r="D14" s="14" t="s">
        <v>46</v>
      </c>
    </row>
    <row r="15" spans="1:4">
      <c r="A15" s="13" t="s">
        <v>54</v>
      </c>
      <c r="B15" s="14" t="s">
        <v>38</v>
      </c>
      <c r="C15" s="14" t="s">
        <v>39</v>
      </c>
      <c r="D15" s="14" t="s">
        <v>40</v>
      </c>
    </row>
    <row r="16" spans="1:4">
      <c r="A16" s="13" t="s">
        <v>55</v>
      </c>
      <c r="B16" s="14" t="s">
        <v>49</v>
      </c>
      <c r="C16" s="14" t="s">
        <v>50</v>
      </c>
      <c r="D16" s="14" t="s">
        <v>40</v>
      </c>
    </row>
    <row r="17" spans="1:4">
      <c r="A17" s="13" t="s">
        <v>56</v>
      </c>
      <c r="B17" s="14" t="s">
        <v>38</v>
      </c>
      <c r="C17" s="14" t="s">
        <v>39</v>
      </c>
      <c r="D17" s="14" t="s">
        <v>40</v>
      </c>
    </row>
    <row r="18" spans="1:4">
      <c r="A18" s="13" t="s">
        <v>57</v>
      </c>
      <c r="B18" s="14" t="s">
        <v>26</v>
      </c>
      <c r="C18" s="14" t="s">
        <v>27</v>
      </c>
      <c r="D18" s="14" t="s">
        <v>28</v>
      </c>
    </row>
    <row r="19" spans="1:4">
      <c r="A19" s="13" t="s">
        <v>58</v>
      </c>
      <c r="B19" s="14" t="s">
        <v>26</v>
      </c>
      <c r="C19" s="14" t="s">
        <v>27</v>
      </c>
      <c r="D19" s="14" t="s">
        <v>28</v>
      </c>
    </row>
    <row r="20" spans="1:4">
      <c r="A20" s="13" t="s">
        <v>59</v>
      </c>
      <c r="B20" s="14" t="s">
        <v>34</v>
      </c>
      <c r="C20" s="14" t="s">
        <v>35</v>
      </c>
      <c r="D20" s="14" t="s">
        <v>36</v>
      </c>
    </row>
    <row r="21" spans="1:4">
      <c r="A21" s="13" t="s">
        <v>60</v>
      </c>
      <c r="B21" s="14" t="s">
        <v>26</v>
      </c>
      <c r="C21" s="14" t="s">
        <v>27</v>
      </c>
      <c r="D21" s="14" t="s">
        <v>28</v>
      </c>
    </row>
    <row r="22" spans="1:4">
      <c r="A22" s="13" t="s">
        <v>61</v>
      </c>
      <c r="B22" s="14" t="s">
        <v>44</v>
      </c>
      <c r="C22" s="14" t="s">
        <v>45</v>
      </c>
      <c r="D22" s="14" t="s">
        <v>46</v>
      </c>
    </row>
    <row r="23" spans="1:4">
      <c r="A23" s="13" t="s">
        <v>62</v>
      </c>
      <c r="B23" s="14" t="s">
        <v>44</v>
      </c>
      <c r="C23" s="14" t="s">
        <v>45</v>
      </c>
      <c r="D23" s="14" t="s">
        <v>46</v>
      </c>
    </row>
  </sheetData>
  <autoFilter ref="A1:D23"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74"/>
  <sheetViews>
    <sheetView topLeftCell="U1" workbookViewId="0">
      <selection activeCell="AD1" sqref="AD1:A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1" customWidth="1"/>
    <col min="10" max="10" width="36" customWidth="1"/>
    <col min="11" max="11" width="10" customWidth="1"/>
    <col min="12" max="12" width="31" customWidth="1"/>
    <col min="13" max="13" width="41" customWidth="1"/>
    <col min="14" max="14" width="44" customWidth="1"/>
    <col min="15" max="16" width="11" customWidth="1"/>
    <col min="17" max="17" width="25" customWidth="1"/>
    <col min="18" max="18" width="14" customWidth="1"/>
    <col min="19" max="19" width="15" customWidth="1"/>
    <col min="20" max="20" width="35" customWidth="1"/>
    <col min="21" max="21" width="31" customWidth="1"/>
    <col min="22" max="22" width="50" customWidth="1"/>
    <col min="23" max="23" width="20" customWidth="1"/>
    <col min="24" max="24" width="28" customWidth="1"/>
    <col min="25" max="25" width="14" customWidth="1"/>
    <col min="26" max="26" width="18" customWidth="1"/>
    <col min="27" max="27" width="39" customWidth="1"/>
    <col min="28" max="28" width="16" customWidth="1"/>
    <col min="29" max="29" width="17" customWidth="1"/>
    <col min="30" max="30" width="13" customWidth="1"/>
  </cols>
  <sheetData>
    <row r="1" spans="1:30" ht="28.8">
      <c r="A1" s="21" t="s">
        <v>63</v>
      </c>
      <c r="B1" s="21" t="s">
        <v>64</v>
      </c>
      <c r="C1" s="21" t="s">
        <v>65</v>
      </c>
      <c r="D1" s="21" t="s">
        <v>66</v>
      </c>
      <c r="E1" s="21" t="s">
        <v>67</v>
      </c>
      <c r="F1" s="21" t="s">
        <v>68</v>
      </c>
      <c r="G1" s="21" t="s">
        <v>69</v>
      </c>
      <c r="H1" s="21" t="s">
        <v>70</v>
      </c>
      <c r="I1" s="21" t="s">
        <v>17</v>
      </c>
      <c r="J1" s="21" t="s">
        <v>71</v>
      </c>
      <c r="K1" s="21" t="s">
        <v>72</v>
      </c>
      <c r="L1" s="21" t="s">
        <v>73</v>
      </c>
      <c r="M1" s="21" t="s">
        <v>74</v>
      </c>
      <c r="N1" s="21" t="s">
        <v>75</v>
      </c>
      <c r="O1" s="21" t="s">
        <v>76</v>
      </c>
      <c r="P1" s="21" t="s">
        <v>77</v>
      </c>
      <c r="Q1" s="21" t="s">
        <v>19</v>
      </c>
      <c r="R1" s="21" t="s">
        <v>78</v>
      </c>
      <c r="S1" s="21" t="s">
        <v>79</v>
      </c>
      <c r="T1" s="21" t="s">
        <v>80</v>
      </c>
      <c r="U1" s="21" t="s">
        <v>81</v>
      </c>
      <c r="V1" s="21" t="s">
        <v>82</v>
      </c>
      <c r="W1" s="21" t="s">
        <v>83</v>
      </c>
      <c r="X1" s="21" t="s">
        <v>84</v>
      </c>
      <c r="Y1" s="21" t="s">
        <v>85</v>
      </c>
      <c r="Z1" s="21" t="s">
        <v>86</v>
      </c>
      <c r="AA1" s="21" t="s">
        <v>87</v>
      </c>
      <c r="AB1" s="21" t="s">
        <v>88</v>
      </c>
      <c r="AC1" s="21" t="s">
        <v>89</v>
      </c>
      <c r="AD1" s="21" t="s">
        <v>90</v>
      </c>
    </row>
    <row r="2" spans="1:30">
      <c r="A2" t="s">
        <v>51</v>
      </c>
      <c r="B2" t="s">
        <v>91</v>
      </c>
      <c r="C2" t="s">
        <v>22</v>
      </c>
      <c r="D2" t="s">
        <v>92</v>
      </c>
      <c r="E2" t="s">
        <v>93</v>
      </c>
      <c r="F2" t="s">
        <v>94</v>
      </c>
      <c r="G2" t="s">
        <v>95</v>
      </c>
      <c r="H2" t="s">
        <v>96</v>
      </c>
      <c r="I2" t="s">
        <v>97</v>
      </c>
      <c r="J2" t="s">
        <v>98</v>
      </c>
      <c r="K2" t="s">
        <v>99</v>
      </c>
      <c r="L2" t="s">
        <v>100</v>
      </c>
      <c r="M2" s="22">
        <v>45954.333333333343</v>
      </c>
      <c r="N2" s="22">
        <v>45966.302777777782</v>
      </c>
      <c r="P2" t="s">
        <v>101</v>
      </c>
      <c r="Q2" t="s">
        <v>101</v>
      </c>
      <c r="R2" t="s">
        <v>102</v>
      </c>
      <c r="S2" t="s">
        <v>103</v>
      </c>
      <c r="T2" t="s">
        <v>104</v>
      </c>
      <c r="U2" t="s">
        <v>105</v>
      </c>
      <c r="V2" t="s">
        <v>106</v>
      </c>
      <c r="W2" t="s">
        <v>107</v>
      </c>
      <c r="Y2" t="s">
        <v>108</v>
      </c>
      <c r="Z2" t="s">
        <v>109</v>
      </c>
      <c r="AA2" t="s">
        <v>110</v>
      </c>
      <c r="AB2" s="23">
        <v>1</v>
      </c>
      <c r="AC2" s="23">
        <v>44560</v>
      </c>
      <c r="AD2" s="23">
        <v>44560</v>
      </c>
    </row>
    <row r="3" spans="1:30">
      <c r="A3" t="s">
        <v>55</v>
      </c>
      <c r="B3" t="s">
        <v>111</v>
      </c>
      <c r="C3" t="s">
        <v>49</v>
      </c>
      <c r="D3" t="s">
        <v>112</v>
      </c>
      <c r="E3" t="s">
        <v>113</v>
      </c>
      <c r="F3" t="s">
        <v>114</v>
      </c>
      <c r="G3" t="s">
        <v>95</v>
      </c>
      <c r="H3" t="s">
        <v>115</v>
      </c>
      <c r="I3" t="s">
        <v>116</v>
      </c>
      <c r="J3" t="s">
        <v>117</v>
      </c>
      <c r="K3" t="s">
        <v>99</v>
      </c>
      <c r="L3" t="s">
        <v>118</v>
      </c>
      <c r="M3" s="22">
        <v>45958.333333333343</v>
      </c>
      <c r="N3" s="22">
        <v>45966.302083333343</v>
      </c>
      <c r="P3" t="s">
        <v>101</v>
      </c>
      <c r="Q3" t="s">
        <v>101</v>
      </c>
      <c r="R3" t="s">
        <v>103</v>
      </c>
      <c r="S3" t="s">
        <v>103</v>
      </c>
      <c r="T3" t="s">
        <v>104</v>
      </c>
      <c r="U3" t="s">
        <v>119</v>
      </c>
      <c r="V3" t="s">
        <v>120</v>
      </c>
      <c r="W3" t="s">
        <v>107</v>
      </c>
      <c r="Y3" t="s">
        <v>121</v>
      </c>
      <c r="Z3" t="s">
        <v>109</v>
      </c>
      <c r="AA3" t="s">
        <v>122</v>
      </c>
      <c r="AB3" s="23">
        <v>1</v>
      </c>
      <c r="AC3" s="23">
        <v>134411</v>
      </c>
      <c r="AD3" s="23">
        <v>134411</v>
      </c>
    </row>
    <row r="4" spans="1:30">
      <c r="A4" t="s">
        <v>42</v>
      </c>
      <c r="B4" t="s">
        <v>123</v>
      </c>
      <c r="C4" t="s">
        <v>34</v>
      </c>
      <c r="D4" t="s">
        <v>124</v>
      </c>
      <c r="E4" t="s">
        <v>125</v>
      </c>
      <c r="F4" t="s">
        <v>126</v>
      </c>
      <c r="G4" t="s">
        <v>95</v>
      </c>
      <c r="H4" t="s">
        <v>127</v>
      </c>
      <c r="I4" t="s">
        <v>42</v>
      </c>
      <c r="J4" t="s">
        <v>128</v>
      </c>
      <c r="K4" t="s">
        <v>99</v>
      </c>
      <c r="L4" t="s">
        <v>129</v>
      </c>
      <c r="M4" s="22">
        <v>45959.697222222218</v>
      </c>
      <c r="N4" s="22">
        <v>45967.556250000001</v>
      </c>
      <c r="P4" t="s">
        <v>101</v>
      </c>
      <c r="Q4" t="s">
        <v>101</v>
      </c>
      <c r="R4" t="s">
        <v>102</v>
      </c>
      <c r="S4" t="s">
        <v>102</v>
      </c>
      <c r="T4" t="s">
        <v>104</v>
      </c>
      <c r="U4" t="s">
        <v>119</v>
      </c>
      <c r="V4" t="s">
        <v>130</v>
      </c>
      <c r="W4" t="s">
        <v>107</v>
      </c>
      <c r="Y4" t="s">
        <v>108</v>
      </c>
      <c r="Z4" t="s">
        <v>109</v>
      </c>
      <c r="AA4" t="s">
        <v>131</v>
      </c>
      <c r="AB4" s="23">
        <v>1</v>
      </c>
      <c r="AC4" s="23">
        <v>44560</v>
      </c>
      <c r="AD4" s="23">
        <v>44560</v>
      </c>
    </row>
    <row r="5" spans="1:30">
      <c r="A5" t="s">
        <v>55</v>
      </c>
      <c r="B5" t="s">
        <v>111</v>
      </c>
      <c r="C5" t="s">
        <v>49</v>
      </c>
      <c r="D5" t="s">
        <v>132</v>
      </c>
      <c r="E5" t="s">
        <v>133</v>
      </c>
      <c r="F5" t="s">
        <v>134</v>
      </c>
      <c r="G5" t="s">
        <v>95</v>
      </c>
      <c r="H5" t="s">
        <v>135</v>
      </c>
      <c r="I5" t="s">
        <v>136</v>
      </c>
      <c r="J5" t="s">
        <v>137</v>
      </c>
      <c r="K5" t="s">
        <v>99</v>
      </c>
      <c r="L5" t="s">
        <v>138</v>
      </c>
      <c r="M5" s="22">
        <v>45959.697222222218</v>
      </c>
      <c r="N5" s="22">
        <v>45967.65347222222</v>
      </c>
      <c r="P5" t="s">
        <v>101</v>
      </c>
      <c r="Q5" t="s">
        <v>101</v>
      </c>
      <c r="R5" t="s">
        <v>103</v>
      </c>
      <c r="S5" t="s">
        <v>103</v>
      </c>
      <c r="T5" t="s">
        <v>104</v>
      </c>
      <c r="U5" t="s">
        <v>119</v>
      </c>
      <c r="V5" t="s">
        <v>139</v>
      </c>
      <c r="W5" t="s">
        <v>107</v>
      </c>
      <c r="X5" t="s">
        <v>140</v>
      </c>
      <c r="Y5" t="s">
        <v>121</v>
      </c>
      <c r="Z5" t="s">
        <v>109</v>
      </c>
      <c r="AA5" t="s">
        <v>141</v>
      </c>
      <c r="AB5" s="23">
        <v>1</v>
      </c>
      <c r="AC5" s="23">
        <v>134411</v>
      </c>
      <c r="AD5" s="23">
        <v>134411</v>
      </c>
    </row>
    <row r="6" spans="1:30">
      <c r="A6" t="s">
        <v>29</v>
      </c>
      <c r="B6" t="s">
        <v>142</v>
      </c>
      <c r="C6" t="s">
        <v>30</v>
      </c>
      <c r="D6" t="s">
        <v>143</v>
      </c>
      <c r="E6" t="s">
        <v>144</v>
      </c>
      <c r="F6" t="s">
        <v>145</v>
      </c>
      <c r="G6" t="s">
        <v>95</v>
      </c>
      <c r="H6" t="s">
        <v>142</v>
      </c>
      <c r="I6" t="s">
        <v>29</v>
      </c>
      <c r="J6" t="s">
        <v>146</v>
      </c>
      <c r="K6" t="s">
        <v>99</v>
      </c>
      <c r="L6" t="s">
        <v>147</v>
      </c>
      <c r="M6" s="22">
        <v>45959.697916666657</v>
      </c>
      <c r="N6" s="22">
        <v>45966.609722222223</v>
      </c>
      <c r="P6" t="s">
        <v>101</v>
      </c>
      <c r="Q6" t="s">
        <v>101</v>
      </c>
      <c r="R6" t="s">
        <v>148</v>
      </c>
      <c r="S6" t="s">
        <v>149</v>
      </c>
      <c r="T6" t="s">
        <v>150</v>
      </c>
      <c r="U6" t="s">
        <v>151</v>
      </c>
      <c r="V6" t="s">
        <v>152</v>
      </c>
      <c r="W6" t="s">
        <v>107</v>
      </c>
      <c r="X6" t="s">
        <v>153</v>
      </c>
      <c r="Y6" t="s">
        <v>108</v>
      </c>
      <c r="Z6" t="s">
        <v>109</v>
      </c>
      <c r="AA6" t="s">
        <v>154</v>
      </c>
      <c r="AB6" s="23">
        <v>1</v>
      </c>
      <c r="AC6" s="23">
        <v>44560</v>
      </c>
      <c r="AD6" s="23">
        <v>44560</v>
      </c>
    </row>
    <row r="7" spans="1:30">
      <c r="A7" t="s">
        <v>29</v>
      </c>
      <c r="B7" t="s">
        <v>142</v>
      </c>
      <c r="C7" t="s">
        <v>30</v>
      </c>
      <c r="D7" t="s">
        <v>143</v>
      </c>
      <c r="E7" t="s">
        <v>155</v>
      </c>
      <c r="F7" t="s">
        <v>156</v>
      </c>
      <c r="G7" t="s">
        <v>95</v>
      </c>
      <c r="H7" t="s">
        <v>142</v>
      </c>
      <c r="I7" t="s">
        <v>29</v>
      </c>
      <c r="J7" t="s">
        <v>157</v>
      </c>
      <c r="K7" t="s">
        <v>99</v>
      </c>
      <c r="L7" t="s">
        <v>158</v>
      </c>
      <c r="M7" s="22">
        <v>45959.697916666657</v>
      </c>
      <c r="N7" s="22">
        <v>45965.588888888888</v>
      </c>
      <c r="P7" t="s">
        <v>101</v>
      </c>
      <c r="Q7" t="s">
        <v>159</v>
      </c>
      <c r="R7" t="s">
        <v>148</v>
      </c>
      <c r="S7" t="s">
        <v>149</v>
      </c>
      <c r="T7" t="s">
        <v>104</v>
      </c>
      <c r="U7" t="s">
        <v>119</v>
      </c>
      <c r="V7" t="s">
        <v>160</v>
      </c>
      <c r="W7" t="s">
        <v>107</v>
      </c>
      <c r="X7" t="s">
        <v>161</v>
      </c>
      <c r="Y7" t="s">
        <v>108</v>
      </c>
      <c r="Z7" t="s">
        <v>109</v>
      </c>
      <c r="AA7" t="s">
        <v>162</v>
      </c>
      <c r="AB7" s="23">
        <v>1</v>
      </c>
      <c r="AC7" s="23">
        <v>44560</v>
      </c>
      <c r="AD7" s="23">
        <v>44560</v>
      </c>
    </row>
    <row r="8" spans="1:30">
      <c r="A8" t="s">
        <v>54</v>
      </c>
      <c r="B8" t="s">
        <v>111</v>
      </c>
      <c r="C8" t="s">
        <v>38</v>
      </c>
      <c r="D8" t="s">
        <v>163</v>
      </c>
      <c r="E8" t="s">
        <v>164</v>
      </c>
      <c r="F8" t="s">
        <v>165</v>
      </c>
      <c r="G8" t="s">
        <v>95</v>
      </c>
      <c r="H8" t="s">
        <v>166</v>
      </c>
      <c r="I8" t="s">
        <v>167</v>
      </c>
      <c r="J8" t="s">
        <v>168</v>
      </c>
      <c r="K8" t="s">
        <v>99</v>
      </c>
      <c r="L8" t="s">
        <v>169</v>
      </c>
      <c r="M8" s="22">
        <v>45959.697916666657</v>
      </c>
      <c r="N8" s="22">
        <v>45966.573611111111</v>
      </c>
      <c r="P8" t="s">
        <v>101</v>
      </c>
      <c r="Q8" t="s">
        <v>101</v>
      </c>
      <c r="R8" t="s">
        <v>148</v>
      </c>
      <c r="S8" t="s">
        <v>170</v>
      </c>
      <c r="U8" t="s">
        <v>105</v>
      </c>
      <c r="V8" t="s">
        <v>171</v>
      </c>
      <c r="W8" t="s">
        <v>172</v>
      </c>
      <c r="Y8" t="s">
        <v>173</v>
      </c>
      <c r="Z8" t="s">
        <v>109</v>
      </c>
      <c r="AA8" t="s">
        <v>174</v>
      </c>
      <c r="AB8" s="23">
        <v>0</v>
      </c>
      <c r="AC8" s="23">
        <v>37905</v>
      </c>
      <c r="AD8" s="23">
        <v>37905</v>
      </c>
    </row>
    <row r="9" spans="1:30">
      <c r="A9" t="s">
        <v>55</v>
      </c>
      <c r="B9" t="s">
        <v>111</v>
      </c>
      <c r="C9" t="s">
        <v>49</v>
      </c>
      <c r="D9" t="s">
        <v>175</v>
      </c>
      <c r="E9" t="s">
        <v>176</v>
      </c>
      <c r="F9" t="s">
        <v>177</v>
      </c>
      <c r="G9" t="s">
        <v>95</v>
      </c>
      <c r="H9" t="s">
        <v>178</v>
      </c>
      <c r="I9" t="s">
        <v>55</v>
      </c>
      <c r="J9" t="s">
        <v>179</v>
      </c>
      <c r="K9" t="s">
        <v>99</v>
      </c>
      <c r="L9" t="s">
        <v>180</v>
      </c>
      <c r="M9" s="22">
        <v>45959.697916666657</v>
      </c>
      <c r="N9" s="22">
        <v>45967.62777777778</v>
      </c>
      <c r="P9" t="s">
        <v>101</v>
      </c>
      <c r="Q9" t="s">
        <v>101</v>
      </c>
      <c r="R9" t="s">
        <v>148</v>
      </c>
      <c r="S9" t="s">
        <v>170</v>
      </c>
      <c r="T9" t="s">
        <v>104</v>
      </c>
      <c r="U9" t="s">
        <v>105</v>
      </c>
      <c r="V9" t="s">
        <v>181</v>
      </c>
      <c r="W9" t="s">
        <v>107</v>
      </c>
      <c r="Y9" t="s">
        <v>108</v>
      </c>
      <c r="Z9" t="s">
        <v>109</v>
      </c>
      <c r="AA9" t="s">
        <v>182</v>
      </c>
      <c r="AB9" s="23">
        <v>1</v>
      </c>
      <c r="AC9" s="23">
        <v>44560</v>
      </c>
      <c r="AD9" s="23">
        <v>44560</v>
      </c>
    </row>
    <row r="10" spans="1:30">
      <c r="A10" t="s">
        <v>51</v>
      </c>
      <c r="B10" t="s">
        <v>91</v>
      </c>
      <c r="C10" t="s">
        <v>22</v>
      </c>
      <c r="D10" t="s">
        <v>92</v>
      </c>
      <c r="E10" t="s">
        <v>183</v>
      </c>
      <c r="F10" t="s">
        <v>184</v>
      </c>
      <c r="G10" t="s">
        <v>95</v>
      </c>
      <c r="H10" t="s">
        <v>96</v>
      </c>
      <c r="I10" t="s">
        <v>97</v>
      </c>
      <c r="J10" t="s">
        <v>185</v>
      </c>
      <c r="K10" t="s">
        <v>99</v>
      </c>
      <c r="L10" t="s">
        <v>186</v>
      </c>
      <c r="M10" s="22">
        <v>45960.62777777778</v>
      </c>
      <c r="N10" s="22">
        <v>45966.461111111108</v>
      </c>
      <c r="P10" t="s">
        <v>101</v>
      </c>
      <c r="Q10" t="s">
        <v>101</v>
      </c>
      <c r="R10" t="s">
        <v>103</v>
      </c>
      <c r="S10" t="s">
        <v>103</v>
      </c>
      <c r="T10" t="s">
        <v>104</v>
      </c>
      <c r="U10" t="s">
        <v>119</v>
      </c>
      <c r="V10" t="s">
        <v>187</v>
      </c>
      <c r="W10" t="s">
        <v>107</v>
      </c>
      <c r="Y10" t="s">
        <v>108</v>
      </c>
      <c r="Z10" t="s">
        <v>109</v>
      </c>
      <c r="AA10" t="s">
        <v>188</v>
      </c>
      <c r="AB10" s="23">
        <v>1</v>
      </c>
      <c r="AC10" s="23">
        <v>44560</v>
      </c>
      <c r="AD10" s="23">
        <v>44560</v>
      </c>
    </row>
    <row r="11" spans="1:30">
      <c r="A11" t="s">
        <v>61</v>
      </c>
      <c r="B11" t="s">
        <v>189</v>
      </c>
      <c r="C11" t="s">
        <v>44</v>
      </c>
      <c r="D11" t="s">
        <v>190</v>
      </c>
      <c r="E11" t="s">
        <v>191</v>
      </c>
      <c r="F11" t="s">
        <v>192</v>
      </c>
      <c r="G11" t="s">
        <v>95</v>
      </c>
      <c r="H11" t="s">
        <v>193</v>
      </c>
      <c r="I11" t="s">
        <v>194</v>
      </c>
      <c r="J11" t="s">
        <v>195</v>
      </c>
      <c r="K11" t="s">
        <v>99</v>
      </c>
      <c r="L11" t="s">
        <v>196</v>
      </c>
      <c r="M11" s="22">
        <v>45960.62777777778</v>
      </c>
      <c r="N11" s="22">
        <v>45965.636111111111</v>
      </c>
      <c r="P11" t="s">
        <v>101</v>
      </c>
      <c r="Q11" t="s">
        <v>101</v>
      </c>
      <c r="R11" t="s">
        <v>102</v>
      </c>
      <c r="S11" t="s">
        <v>103</v>
      </c>
      <c r="U11" t="s">
        <v>105</v>
      </c>
      <c r="V11" t="s">
        <v>197</v>
      </c>
      <c r="W11" t="s">
        <v>172</v>
      </c>
      <c r="Y11" t="s">
        <v>121</v>
      </c>
      <c r="Z11" t="s">
        <v>109</v>
      </c>
      <c r="AA11" t="s">
        <v>198</v>
      </c>
      <c r="AB11" s="23">
        <v>0</v>
      </c>
      <c r="AC11" s="23">
        <v>37905</v>
      </c>
      <c r="AD11" s="23">
        <v>37905</v>
      </c>
    </row>
    <row r="12" spans="1:30">
      <c r="A12" t="s">
        <v>37</v>
      </c>
      <c r="B12" t="s">
        <v>111</v>
      </c>
      <c r="C12" t="s">
        <v>38</v>
      </c>
      <c r="D12" t="s">
        <v>199</v>
      </c>
      <c r="E12" t="s">
        <v>200</v>
      </c>
      <c r="F12" t="s">
        <v>201</v>
      </c>
      <c r="G12" t="s">
        <v>95</v>
      </c>
      <c r="H12" t="s">
        <v>135</v>
      </c>
      <c r="I12" t="s">
        <v>37</v>
      </c>
      <c r="J12" t="s">
        <v>202</v>
      </c>
      <c r="K12" t="s">
        <v>99</v>
      </c>
      <c r="L12" t="s">
        <v>203</v>
      </c>
      <c r="M12" s="22">
        <v>45960.62777777778</v>
      </c>
      <c r="N12" s="22">
        <v>45967.554861111108</v>
      </c>
      <c r="P12" t="s">
        <v>101</v>
      </c>
      <c r="Q12" t="s">
        <v>101</v>
      </c>
      <c r="R12" t="s">
        <v>103</v>
      </c>
      <c r="S12" t="s">
        <v>103</v>
      </c>
      <c r="T12" t="s">
        <v>104</v>
      </c>
      <c r="U12" t="s">
        <v>119</v>
      </c>
      <c r="V12" t="s">
        <v>204</v>
      </c>
      <c r="W12" t="s">
        <v>107</v>
      </c>
      <c r="Y12" t="s">
        <v>108</v>
      </c>
      <c r="Z12" t="s">
        <v>109</v>
      </c>
      <c r="AA12" t="s">
        <v>205</v>
      </c>
      <c r="AB12" s="23">
        <v>1</v>
      </c>
      <c r="AC12" s="23">
        <v>44560</v>
      </c>
      <c r="AD12" s="23">
        <v>44560</v>
      </c>
    </row>
    <row r="13" spans="1:30">
      <c r="A13" t="s">
        <v>37</v>
      </c>
      <c r="B13" t="s">
        <v>111</v>
      </c>
      <c r="C13" t="s">
        <v>38</v>
      </c>
      <c r="D13" t="s">
        <v>206</v>
      </c>
      <c r="E13" t="s">
        <v>207</v>
      </c>
      <c r="F13" t="s">
        <v>208</v>
      </c>
      <c r="G13" t="s">
        <v>95</v>
      </c>
      <c r="H13" t="s">
        <v>135</v>
      </c>
      <c r="I13" t="s">
        <v>209</v>
      </c>
      <c r="J13" t="s">
        <v>210</v>
      </c>
      <c r="K13" t="s">
        <v>99</v>
      </c>
      <c r="L13" t="s">
        <v>211</v>
      </c>
      <c r="M13" s="22">
        <v>45960.62777777778</v>
      </c>
      <c r="N13" s="22">
        <v>45966.553472222222</v>
      </c>
      <c r="P13" t="s">
        <v>101</v>
      </c>
      <c r="Q13" t="s">
        <v>101</v>
      </c>
      <c r="R13" t="s">
        <v>102</v>
      </c>
      <c r="S13" t="s">
        <v>103</v>
      </c>
      <c r="T13" t="s">
        <v>104</v>
      </c>
      <c r="U13" t="s">
        <v>119</v>
      </c>
      <c r="V13" t="s">
        <v>212</v>
      </c>
      <c r="W13" t="s">
        <v>107</v>
      </c>
      <c r="X13" t="s">
        <v>213</v>
      </c>
      <c r="Y13" t="s">
        <v>121</v>
      </c>
      <c r="Z13" t="s">
        <v>109</v>
      </c>
      <c r="AA13" t="s">
        <v>214</v>
      </c>
      <c r="AB13" s="23">
        <v>1</v>
      </c>
      <c r="AC13" s="23">
        <v>134411</v>
      </c>
      <c r="AD13" s="23">
        <v>134411</v>
      </c>
    </row>
    <row r="14" spans="1:30">
      <c r="A14" t="s">
        <v>37</v>
      </c>
      <c r="B14" t="s">
        <v>111</v>
      </c>
      <c r="C14" t="s">
        <v>38</v>
      </c>
      <c r="D14" t="s">
        <v>215</v>
      </c>
      <c r="E14" t="s">
        <v>216</v>
      </c>
      <c r="F14" t="s">
        <v>217</v>
      </c>
      <c r="G14" t="s">
        <v>95</v>
      </c>
      <c r="H14" t="s">
        <v>135</v>
      </c>
      <c r="I14" t="s">
        <v>218</v>
      </c>
      <c r="J14" t="s">
        <v>219</v>
      </c>
      <c r="K14" t="s">
        <v>99</v>
      </c>
      <c r="L14" t="s">
        <v>220</v>
      </c>
      <c r="M14" s="22">
        <v>45960.62777777778</v>
      </c>
      <c r="N14" s="22">
        <v>45966.489583333343</v>
      </c>
      <c r="P14" t="s">
        <v>101</v>
      </c>
      <c r="Q14" t="s">
        <v>101</v>
      </c>
      <c r="R14" t="s">
        <v>102</v>
      </c>
      <c r="S14" t="s">
        <v>103</v>
      </c>
      <c r="T14" t="s">
        <v>104</v>
      </c>
      <c r="U14" t="s">
        <v>119</v>
      </c>
      <c r="V14" t="s">
        <v>221</v>
      </c>
      <c r="W14" t="s">
        <v>107</v>
      </c>
      <c r="X14" t="s">
        <v>222</v>
      </c>
      <c r="Y14" t="s">
        <v>108</v>
      </c>
      <c r="Z14" t="s">
        <v>109</v>
      </c>
      <c r="AA14" t="s">
        <v>223</v>
      </c>
      <c r="AB14" s="23">
        <v>1</v>
      </c>
      <c r="AC14" s="23">
        <v>44560</v>
      </c>
      <c r="AD14" s="23">
        <v>44560</v>
      </c>
    </row>
    <row r="15" spans="1:30">
      <c r="A15" t="s">
        <v>29</v>
      </c>
      <c r="B15" t="s">
        <v>142</v>
      </c>
      <c r="C15" t="s">
        <v>30</v>
      </c>
      <c r="D15" t="s">
        <v>143</v>
      </c>
      <c r="E15" t="s">
        <v>224</v>
      </c>
      <c r="F15" t="s">
        <v>225</v>
      </c>
      <c r="G15" t="s">
        <v>95</v>
      </c>
      <c r="H15" t="s">
        <v>142</v>
      </c>
      <c r="I15" t="s">
        <v>29</v>
      </c>
      <c r="J15" t="s">
        <v>226</v>
      </c>
      <c r="K15" t="s">
        <v>99</v>
      </c>
      <c r="L15" t="s">
        <v>227</v>
      </c>
      <c r="M15" s="22">
        <v>45960.62777777778</v>
      </c>
      <c r="N15" s="22">
        <v>45966.62222222222</v>
      </c>
      <c r="P15" t="s">
        <v>101</v>
      </c>
      <c r="Q15" t="s">
        <v>101</v>
      </c>
      <c r="R15" t="s">
        <v>102</v>
      </c>
      <c r="S15" t="s">
        <v>102</v>
      </c>
      <c r="T15" t="s">
        <v>150</v>
      </c>
      <c r="U15" t="s">
        <v>228</v>
      </c>
      <c r="V15" t="s">
        <v>229</v>
      </c>
      <c r="W15" t="s">
        <v>107</v>
      </c>
      <c r="X15" t="s">
        <v>230</v>
      </c>
      <c r="Y15" t="s">
        <v>108</v>
      </c>
      <c r="Z15" t="s">
        <v>109</v>
      </c>
      <c r="AA15" t="s">
        <v>231</v>
      </c>
      <c r="AB15" s="23">
        <v>1</v>
      </c>
      <c r="AC15" s="23">
        <v>44560</v>
      </c>
      <c r="AD15" s="23">
        <v>44560</v>
      </c>
    </row>
    <row r="16" spans="1:30">
      <c r="A16" t="s">
        <v>51</v>
      </c>
      <c r="B16" t="s">
        <v>91</v>
      </c>
      <c r="C16" t="s">
        <v>22</v>
      </c>
      <c r="D16" t="s">
        <v>232</v>
      </c>
      <c r="E16" t="s">
        <v>233</v>
      </c>
      <c r="F16" t="s">
        <v>234</v>
      </c>
      <c r="G16" t="s">
        <v>95</v>
      </c>
      <c r="H16" t="s">
        <v>96</v>
      </c>
      <c r="I16" t="s">
        <v>235</v>
      </c>
      <c r="J16" t="s">
        <v>236</v>
      </c>
      <c r="K16" t="s">
        <v>99</v>
      </c>
      <c r="L16" t="s">
        <v>237</v>
      </c>
      <c r="M16" s="22">
        <v>45962.375</v>
      </c>
      <c r="N16" s="22">
        <v>45966.390972222223</v>
      </c>
      <c r="P16" t="s">
        <v>101</v>
      </c>
      <c r="Q16" t="s">
        <v>101</v>
      </c>
      <c r="R16" t="s">
        <v>103</v>
      </c>
      <c r="S16" t="s">
        <v>103</v>
      </c>
      <c r="T16" t="s">
        <v>104</v>
      </c>
      <c r="U16" t="s">
        <v>105</v>
      </c>
      <c r="V16" t="s">
        <v>238</v>
      </c>
      <c r="W16" t="s">
        <v>107</v>
      </c>
      <c r="X16" t="s">
        <v>239</v>
      </c>
      <c r="Y16" t="s">
        <v>121</v>
      </c>
      <c r="Z16" t="s">
        <v>109</v>
      </c>
      <c r="AA16" t="s">
        <v>240</v>
      </c>
      <c r="AB16" s="23">
        <v>1</v>
      </c>
      <c r="AC16" s="23">
        <v>134411</v>
      </c>
      <c r="AD16" s="23">
        <v>134411</v>
      </c>
    </row>
    <row r="17" spans="1:30">
      <c r="A17" t="s">
        <v>54</v>
      </c>
      <c r="B17" t="s">
        <v>111</v>
      </c>
      <c r="C17" t="s">
        <v>38</v>
      </c>
      <c r="D17" t="s">
        <v>241</v>
      </c>
      <c r="E17" t="s">
        <v>242</v>
      </c>
      <c r="F17" t="s">
        <v>243</v>
      </c>
      <c r="G17" t="s">
        <v>95</v>
      </c>
      <c r="H17" t="s">
        <v>244</v>
      </c>
      <c r="I17" t="s">
        <v>245</v>
      </c>
      <c r="J17" t="s">
        <v>246</v>
      </c>
      <c r="K17" t="s">
        <v>99</v>
      </c>
      <c r="L17" t="s">
        <v>247</v>
      </c>
      <c r="M17" s="22">
        <v>45962.375</v>
      </c>
      <c r="N17" s="22">
        <v>45971.370138888888</v>
      </c>
      <c r="P17" t="s">
        <v>101</v>
      </c>
      <c r="Q17" t="s">
        <v>101</v>
      </c>
      <c r="R17" t="s">
        <v>102</v>
      </c>
      <c r="S17" t="s">
        <v>102</v>
      </c>
      <c r="U17" t="s">
        <v>105</v>
      </c>
      <c r="V17" t="s">
        <v>248</v>
      </c>
      <c r="W17" t="s">
        <v>172</v>
      </c>
      <c r="Y17" t="s">
        <v>121</v>
      </c>
      <c r="Z17" t="s">
        <v>109</v>
      </c>
      <c r="AA17" t="s">
        <v>249</v>
      </c>
      <c r="AB17" s="23">
        <v>0</v>
      </c>
      <c r="AC17" s="23">
        <v>37905</v>
      </c>
      <c r="AD17" s="23">
        <v>37905</v>
      </c>
    </row>
    <row r="18" spans="1:30">
      <c r="A18" t="s">
        <v>62</v>
      </c>
      <c r="B18" t="s">
        <v>189</v>
      </c>
      <c r="C18" t="s">
        <v>44</v>
      </c>
      <c r="D18" t="s">
        <v>250</v>
      </c>
      <c r="E18" t="s">
        <v>251</v>
      </c>
      <c r="F18" t="s">
        <v>252</v>
      </c>
      <c r="G18" t="s">
        <v>95</v>
      </c>
      <c r="H18" t="s">
        <v>253</v>
      </c>
      <c r="I18" t="s">
        <v>62</v>
      </c>
      <c r="J18" t="s">
        <v>254</v>
      </c>
      <c r="K18" t="s">
        <v>99</v>
      </c>
      <c r="L18" t="s">
        <v>255</v>
      </c>
      <c r="M18" s="22">
        <v>45971.333333333343</v>
      </c>
      <c r="N18" s="22">
        <v>45971.47152777778</v>
      </c>
      <c r="P18" t="s">
        <v>101</v>
      </c>
      <c r="Q18" t="s">
        <v>159</v>
      </c>
      <c r="R18" t="s">
        <v>256</v>
      </c>
      <c r="S18" t="s">
        <v>257</v>
      </c>
      <c r="T18" t="s">
        <v>258</v>
      </c>
      <c r="U18" t="s">
        <v>259</v>
      </c>
      <c r="V18" t="s">
        <v>260</v>
      </c>
      <c r="W18" t="s">
        <v>107</v>
      </c>
      <c r="X18" t="s">
        <v>261</v>
      </c>
      <c r="Y18" t="s">
        <v>108</v>
      </c>
      <c r="Z18" t="s">
        <v>109</v>
      </c>
      <c r="AA18" t="s">
        <v>262</v>
      </c>
      <c r="AB18" s="23">
        <v>1</v>
      </c>
      <c r="AC18" s="23">
        <v>44560</v>
      </c>
      <c r="AD18" s="23">
        <v>44560</v>
      </c>
    </row>
    <row r="19" spans="1:30">
      <c r="A19" t="s">
        <v>25</v>
      </c>
      <c r="B19" t="s">
        <v>263</v>
      </c>
      <c r="C19" t="s">
        <v>26</v>
      </c>
      <c r="D19" t="s">
        <v>264</v>
      </c>
      <c r="E19" t="s">
        <v>265</v>
      </c>
      <c r="F19" t="s">
        <v>266</v>
      </c>
      <c r="G19" t="s">
        <v>95</v>
      </c>
      <c r="H19" t="s">
        <v>267</v>
      </c>
      <c r="I19" t="s">
        <v>25</v>
      </c>
      <c r="J19" t="s">
        <v>268</v>
      </c>
      <c r="K19" t="s">
        <v>99</v>
      </c>
      <c r="L19" t="s">
        <v>269</v>
      </c>
      <c r="M19" s="22">
        <v>45971.333333333343</v>
      </c>
      <c r="N19" s="22">
        <v>45972.284722222219</v>
      </c>
      <c r="P19" t="s">
        <v>101</v>
      </c>
      <c r="Q19" t="s">
        <v>101</v>
      </c>
      <c r="R19" t="s">
        <v>148</v>
      </c>
      <c r="S19" t="s">
        <v>149</v>
      </c>
      <c r="T19" t="s">
        <v>104</v>
      </c>
      <c r="U19" t="s">
        <v>119</v>
      </c>
      <c r="V19" t="s">
        <v>270</v>
      </c>
      <c r="W19" t="s">
        <v>107</v>
      </c>
      <c r="X19" t="s">
        <v>271</v>
      </c>
      <c r="Y19" t="s">
        <v>108</v>
      </c>
      <c r="Z19" t="s">
        <v>109</v>
      </c>
      <c r="AA19" t="s">
        <v>272</v>
      </c>
      <c r="AB19" s="23">
        <v>1</v>
      </c>
      <c r="AC19" s="23">
        <v>44560</v>
      </c>
      <c r="AD19" s="23">
        <v>44560</v>
      </c>
    </row>
    <row r="20" spans="1:30">
      <c r="A20" t="s">
        <v>29</v>
      </c>
      <c r="B20" t="s">
        <v>142</v>
      </c>
      <c r="C20" t="s">
        <v>30</v>
      </c>
      <c r="D20" t="s">
        <v>273</v>
      </c>
      <c r="E20" t="s">
        <v>274</v>
      </c>
      <c r="F20" t="s">
        <v>275</v>
      </c>
      <c r="G20" t="s">
        <v>95</v>
      </c>
      <c r="H20" t="s">
        <v>142</v>
      </c>
      <c r="I20" t="s">
        <v>276</v>
      </c>
      <c r="J20" t="s">
        <v>277</v>
      </c>
      <c r="K20" t="s">
        <v>99</v>
      </c>
      <c r="L20" t="s">
        <v>278</v>
      </c>
      <c r="M20" s="22">
        <v>45971.333333333343</v>
      </c>
      <c r="N20" s="22">
        <v>45975.292361111111</v>
      </c>
      <c r="P20" t="s">
        <v>101</v>
      </c>
      <c r="Q20" t="s">
        <v>101</v>
      </c>
      <c r="R20" t="s">
        <v>148</v>
      </c>
      <c r="S20" t="s">
        <v>170</v>
      </c>
      <c r="T20" t="s">
        <v>104</v>
      </c>
      <c r="U20" t="s">
        <v>119</v>
      </c>
      <c r="V20" t="s">
        <v>279</v>
      </c>
      <c r="W20" t="s">
        <v>107</v>
      </c>
      <c r="X20" t="s">
        <v>161</v>
      </c>
      <c r="Y20" t="s">
        <v>121</v>
      </c>
      <c r="Z20" t="s">
        <v>109</v>
      </c>
      <c r="AA20" t="s">
        <v>280</v>
      </c>
      <c r="AB20" s="23">
        <v>1</v>
      </c>
      <c r="AC20" s="23">
        <v>134411</v>
      </c>
      <c r="AD20" s="23">
        <v>134411</v>
      </c>
    </row>
    <row r="21" spans="1:30">
      <c r="A21" t="s">
        <v>37</v>
      </c>
      <c r="B21" t="s">
        <v>111</v>
      </c>
      <c r="C21" t="s">
        <v>38</v>
      </c>
      <c r="D21" t="s">
        <v>199</v>
      </c>
      <c r="E21" t="s">
        <v>281</v>
      </c>
      <c r="F21" t="s">
        <v>282</v>
      </c>
      <c r="G21" t="s">
        <v>95</v>
      </c>
      <c r="H21" t="s">
        <v>135</v>
      </c>
      <c r="I21" t="s">
        <v>37</v>
      </c>
      <c r="J21" t="s">
        <v>283</v>
      </c>
      <c r="K21" t="s">
        <v>99</v>
      </c>
      <c r="L21" t="s">
        <v>284</v>
      </c>
      <c r="M21" s="22">
        <v>45971.333333333343</v>
      </c>
      <c r="N21" s="22">
        <v>45974.48541666667</v>
      </c>
      <c r="P21" t="s">
        <v>101</v>
      </c>
      <c r="Q21" t="s">
        <v>101</v>
      </c>
      <c r="R21" t="s">
        <v>148</v>
      </c>
      <c r="S21" t="s">
        <v>149</v>
      </c>
      <c r="T21" t="s">
        <v>104</v>
      </c>
      <c r="U21" t="s">
        <v>119</v>
      </c>
      <c r="V21" t="s">
        <v>285</v>
      </c>
      <c r="W21" t="s">
        <v>107</v>
      </c>
      <c r="X21" t="s">
        <v>286</v>
      </c>
      <c r="Y21" t="s">
        <v>108</v>
      </c>
      <c r="Z21" t="s">
        <v>109</v>
      </c>
      <c r="AA21" t="s">
        <v>287</v>
      </c>
      <c r="AB21" s="23">
        <v>1</v>
      </c>
      <c r="AC21" s="23">
        <v>44560</v>
      </c>
      <c r="AD21" s="23">
        <v>44560</v>
      </c>
    </row>
    <row r="22" spans="1:30">
      <c r="A22" t="s">
        <v>33</v>
      </c>
      <c r="B22" t="s">
        <v>123</v>
      </c>
      <c r="C22" t="s">
        <v>34</v>
      </c>
      <c r="D22" t="s">
        <v>288</v>
      </c>
      <c r="E22" t="s">
        <v>289</v>
      </c>
      <c r="F22" t="s">
        <v>290</v>
      </c>
      <c r="G22" t="s">
        <v>95</v>
      </c>
      <c r="H22" t="s">
        <v>291</v>
      </c>
      <c r="I22" t="s">
        <v>292</v>
      </c>
      <c r="J22" t="s">
        <v>293</v>
      </c>
      <c r="K22" t="s">
        <v>99</v>
      </c>
      <c r="L22" t="s">
        <v>294</v>
      </c>
      <c r="M22" s="22">
        <v>45971.333333333343</v>
      </c>
      <c r="N22" s="22">
        <v>45980.566666666673</v>
      </c>
      <c r="P22" t="s">
        <v>101</v>
      </c>
      <c r="Q22" t="s">
        <v>101</v>
      </c>
      <c r="R22" t="s">
        <v>148</v>
      </c>
      <c r="S22" t="s">
        <v>170</v>
      </c>
      <c r="U22" t="s">
        <v>105</v>
      </c>
      <c r="V22" t="s">
        <v>295</v>
      </c>
      <c r="W22" t="s">
        <v>172</v>
      </c>
      <c r="Y22" t="s">
        <v>296</v>
      </c>
      <c r="Z22" t="s">
        <v>297</v>
      </c>
      <c r="AA22" t="s">
        <v>298</v>
      </c>
      <c r="AB22" s="23">
        <v>0</v>
      </c>
      <c r="AC22" s="23">
        <v>37905</v>
      </c>
      <c r="AD22" s="23">
        <v>37905</v>
      </c>
    </row>
    <row r="23" spans="1:30">
      <c r="A23" t="s">
        <v>29</v>
      </c>
      <c r="B23" t="s">
        <v>142</v>
      </c>
      <c r="C23" t="s">
        <v>30</v>
      </c>
      <c r="D23" t="s">
        <v>143</v>
      </c>
      <c r="E23" t="s">
        <v>299</v>
      </c>
      <c r="F23" t="s">
        <v>300</v>
      </c>
      <c r="G23" t="s">
        <v>95</v>
      </c>
      <c r="H23" t="s">
        <v>142</v>
      </c>
      <c r="I23" t="s">
        <v>29</v>
      </c>
      <c r="J23" t="s">
        <v>301</v>
      </c>
      <c r="K23" t="s">
        <v>99</v>
      </c>
      <c r="L23" t="s">
        <v>302</v>
      </c>
      <c r="M23" s="22">
        <v>45971.333333333343</v>
      </c>
      <c r="N23" s="22">
        <v>45974.292361111111</v>
      </c>
      <c r="P23" t="s">
        <v>101</v>
      </c>
      <c r="Q23" t="s">
        <v>101</v>
      </c>
      <c r="R23" t="s">
        <v>148</v>
      </c>
      <c r="S23" t="s">
        <v>149</v>
      </c>
      <c r="T23" t="s">
        <v>104</v>
      </c>
      <c r="U23" t="s">
        <v>119</v>
      </c>
      <c r="V23" t="s">
        <v>303</v>
      </c>
      <c r="W23" t="s">
        <v>107</v>
      </c>
      <c r="Y23" t="s">
        <v>108</v>
      </c>
      <c r="Z23" t="s">
        <v>109</v>
      </c>
      <c r="AA23" t="s">
        <v>304</v>
      </c>
      <c r="AB23" s="23">
        <v>2</v>
      </c>
      <c r="AC23" s="23">
        <v>44560</v>
      </c>
      <c r="AD23" s="23">
        <v>89120</v>
      </c>
    </row>
    <row r="24" spans="1:30">
      <c r="A24" t="s">
        <v>29</v>
      </c>
      <c r="B24" t="s">
        <v>142</v>
      </c>
      <c r="C24" t="s">
        <v>30</v>
      </c>
      <c r="D24" t="s">
        <v>143</v>
      </c>
      <c r="E24" t="s">
        <v>305</v>
      </c>
      <c r="F24" t="s">
        <v>306</v>
      </c>
      <c r="G24" t="s">
        <v>95</v>
      </c>
      <c r="H24" t="s">
        <v>142</v>
      </c>
      <c r="I24" t="s">
        <v>29</v>
      </c>
      <c r="J24" t="s">
        <v>307</v>
      </c>
      <c r="K24" t="s">
        <v>99</v>
      </c>
      <c r="L24" t="s">
        <v>308</v>
      </c>
      <c r="M24" s="22">
        <v>45971.333333333343</v>
      </c>
      <c r="N24" s="22">
        <v>45973.620833333327</v>
      </c>
      <c r="P24" t="s">
        <v>101</v>
      </c>
      <c r="Q24" t="s">
        <v>101</v>
      </c>
      <c r="R24" t="s">
        <v>148</v>
      </c>
      <c r="S24" t="s">
        <v>149</v>
      </c>
      <c r="T24" t="s">
        <v>104</v>
      </c>
      <c r="U24" t="s">
        <v>105</v>
      </c>
      <c r="V24" t="s">
        <v>309</v>
      </c>
      <c r="W24" t="s">
        <v>107</v>
      </c>
      <c r="Y24" t="s">
        <v>108</v>
      </c>
      <c r="Z24" t="s">
        <v>109</v>
      </c>
      <c r="AA24" t="s">
        <v>304</v>
      </c>
      <c r="AB24" s="23">
        <v>1</v>
      </c>
      <c r="AC24" s="23">
        <v>44560</v>
      </c>
      <c r="AD24" s="23">
        <v>44560</v>
      </c>
    </row>
    <row r="25" spans="1:30">
      <c r="A25" t="s">
        <v>42</v>
      </c>
      <c r="B25" t="s">
        <v>123</v>
      </c>
      <c r="C25" t="s">
        <v>34</v>
      </c>
      <c r="D25" t="s">
        <v>310</v>
      </c>
      <c r="E25" t="s">
        <v>311</v>
      </c>
      <c r="F25" t="s">
        <v>312</v>
      </c>
      <c r="G25" t="s">
        <v>95</v>
      </c>
      <c r="H25" t="s">
        <v>127</v>
      </c>
      <c r="I25" t="s">
        <v>313</v>
      </c>
      <c r="J25" t="s">
        <v>314</v>
      </c>
      <c r="K25" t="s">
        <v>99</v>
      </c>
      <c r="L25" t="s">
        <v>315</v>
      </c>
      <c r="M25" s="22">
        <v>45971.333333333343</v>
      </c>
      <c r="N25" s="22">
        <v>45971.505555555559</v>
      </c>
      <c r="P25" t="s">
        <v>101</v>
      </c>
      <c r="Q25" t="s">
        <v>159</v>
      </c>
      <c r="R25" t="s">
        <v>148</v>
      </c>
      <c r="S25" t="s">
        <v>149</v>
      </c>
      <c r="U25" t="s">
        <v>105</v>
      </c>
      <c r="V25" t="s">
        <v>316</v>
      </c>
      <c r="W25" t="s">
        <v>172</v>
      </c>
      <c r="Y25" t="s">
        <v>317</v>
      </c>
      <c r="Z25" t="s">
        <v>109</v>
      </c>
      <c r="AA25" t="s">
        <v>318</v>
      </c>
      <c r="AB25" s="23">
        <v>0</v>
      </c>
      <c r="AC25" s="23">
        <v>37905</v>
      </c>
      <c r="AD25" s="23">
        <v>37905</v>
      </c>
    </row>
    <row r="26" spans="1:30">
      <c r="A26" t="s">
        <v>53</v>
      </c>
      <c r="B26" t="s">
        <v>189</v>
      </c>
      <c r="C26" t="s">
        <v>44</v>
      </c>
      <c r="D26" t="s">
        <v>319</v>
      </c>
      <c r="E26" t="s">
        <v>320</v>
      </c>
      <c r="F26" t="s">
        <v>321</v>
      </c>
      <c r="G26" t="s">
        <v>95</v>
      </c>
      <c r="H26" t="s">
        <v>322</v>
      </c>
      <c r="I26" t="s">
        <v>43</v>
      </c>
      <c r="J26" t="s">
        <v>323</v>
      </c>
      <c r="K26" t="s">
        <v>99</v>
      </c>
      <c r="L26" t="s">
        <v>324</v>
      </c>
      <c r="M26" s="22">
        <v>45969.375</v>
      </c>
      <c r="N26" s="22">
        <v>45972.422222222223</v>
      </c>
      <c r="P26" t="s">
        <v>101</v>
      </c>
      <c r="Q26" t="s">
        <v>101</v>
      </c>
      <c r="R26" t="s">
        <v>102</v>
      </c>
      <c r="S26" t="s">
        <v>103</v>
      </c>
      <c r="T26" t="s">
        <v>104</v>
      </c>
      <c r="U26" t="s">
        <v>105</v>
      </c>
      <c r="V26" t="s">
        <v>325</v>
      </c>
      <c r="W26" t="s">
        <v>107</v>
      </c>
      <c r="X26" t="s">
        <v>326</v>
      </c>
      <c r="Y26" t="s">
        <v>317</v>
      </c>
      <c r="Z26" t="s">
        <v>109</v>
      </c>
      <c r="AA26" t="s">
        <v>327</v>
      </c>
      <c r="AB26" s="23">
        <v>1</v>
      </c>
      <c r="AC26" s="23">
        <v>464809</v>
      </c>
      <c r="AD26" s="23">
        <v>464809</v>
      </c>
    </row>
    <row r="27" spans="1:30">
      <c r="A27" t="s">
        <v>52</v>
      </c>
      <c r="B27" t="s">
        <v>263</v>
      </c>
      <c r="C27" t="s">
        <v>26</v>
      </c>
      <c r="D27" t="s">
        <v>328</v>
      </c>
      <c r="E27" t="s">
        <v>329</v>
      </c>
      <c r="F27" t="s">
        <v>330</v>
      </c>
      <c r="G27" t="s">
        <v>95</v>
      </c>
      <c r="H27" t="s">
        <v>331</v>
      </c>
      <c r="I27" t="s">
        <v>52</v>
      </c>
      <c r="J27" t="s">
        <v>332</v>
      </c>
      <c r="K27" t="s">
        <v>99</v>
      </c>
      <c r="L27" t="s">
        <v>333</v>
      </c>
      <c r="M27" s="22">
        <v>45969.375</v>
      </c>
      <c r="N27" s="22">
        <v>45971.617361111108</v>
      </c>
      <c r="P27" t="s">
        <v>101</v>
      </c>
      <c r="Q27" t="s">
        <v>101</v>
      </c>
      <c r="R27" t="s">
        <v>103</v>
      </c>
      <c r="S27" t="s">
        <v>103</v>
      </c>
      <c r="T27" t="s">
        <v>104</v>
      </c>
      <c r="U27" t="s">
        <v>119</v>
      </c>
      <c r="V27" t="s">
        <v>334</v>
      </c>
      <c r="W27" t="s">
        <v>107</v>
      </c>
      <c r="X27" t="s">
        <v>335</v>
      </c>
      <c r="Y27" t="s">
        <v>108</v>
      </c>
      <c r="Z27" t="s">
        <v>109</v>
      </c>
      <c r="AA27" t="s">
        <v>336</v>
      </c>
      <c r="AB27" s="23">
        <v>1</v>
      </c>
      <c r="AC27" s="23">
        <v>44560</v>
      </c>
      <c r="AD27" s="23">
        <v>44560</v>
      </c>
    </row>
    <row r="28" spans="1:30">
      <c r="A28" t="s">
        <v>29</v>
      </c>
      <c r="B28" t="s">
        <v>142</v>
      </c>
      <c r="C28" t="s">
        <v>30</v>
      </c>
      <c r="D28" t="s">
        <v>337</v>
      </c>
      <c r="E28" t="s">
        <v>338</v>
      </c>
      <c r="F28" t="s">
        <v>339</v>
      </c>
      <c r="G28" t="s">
        <v>95</v>
      </c>
      <c r="H28" t="s">
        <v>142</v>
      </c>
      <c r="I28" t="s">
        <v>340</v>
      </c>
      <c r="J28" t="s">
        <v>341</v>
      </c>
      <c r="K28" t="s">
        <v>99</v>
      </c>
      <c r="L28" t="s">
        <v>342</v>
      </c>
      <c r="M28" s="22">
        <v>45969.375</v>
      </c>
      <c r="N28" s="22">
        <v>45972.390972222223</v>
      </c>
      <c r="P28" t="s">
        <v>101</v>
      </c>
      <c r="Q28" t="s">
        <v>101</v>
      </c>
      <c r="R28" t="s">
        <v>103</v>
      </c>
      <c r="S28" t="s">
        <v>103</v>
      </c>
      <c r="T28" t="s">
        <v>104</v>
      </c>
      <c r="U28" t="s">
        <v>119</v>
      </c>
      <c r="V28" t="s">
        <v>343</v>
      </c>
      <c r="W28" t="s">
        <v>107</v>
      </c>
      <c r="Y28" t="s">
        <v>108</v>
      </c>
      <c r="Z28" t="s">
        <v>109</v>
      </c>
      <c r="AA28" t="s">
        <v>344</v>
      </c>
      <c r="AB28" s="23">
        <v>2</v>
      </c>
      <c r="AC28" s="23">
        <v>44560</v>
      </c>
      <c r="AD28" s="23">
        <v>89120</v>
      </c>
    </row>
    <row r="29" spans="1:30">
      <c r="A29" t="s">
        <v>42</v>
      </c>
      <c r="B29" t="s">
        <v>123</v>
      </c>
      <c r="C29" t="s">
        <v>34</v>
      </c>
      <c r="D29" t="s">
        <v>345</v>
      </c>
      <c r="E29" t="s">
        <v>346</v>
      </c>
      <c r="F29" t="s">
        <v>347</v>
      </c>
      <c r="G29" t="s">
        <v>95</v>
      </c>
      <c r="H29" t="s">
        <v>127</v>
      </c>
      <c r="I29" t="s">
        <v>348</v>
      </c>
      <c r="J29" t="s">
        <v>349</v>
      </c>
      <c r="K29" t="s">
        <v>99</v>
      </c>
      <c r="L29" t="s">
        <v>350</v>
      </c>
      <c r="M29" s="22">
        <v>45969.375</v>
      </c>
      <c r="N29" s="22">
        <v>45973.591666666667</v>
      </c>
      <c r="P29" t="s">
        <v>101</v>
      </c>
      <c r="Q29" t="s">
        <v>101</v>
      </c>
      <c r="R29" t="s">
        <v>103</v>
      </c>
      <c r="S29" t="s">
        <v>103</v>
      </c>
      <c r="T29" t="s">
        <v>104</v>
      </c>
      <c r="U29" t="s">
        <v>119</v>
      </c>
      <c r="V29" t="s">
        <v>351</v>
      </c>
      <c r="W29" t="s">
        <v>107</v>
      </c>
      <c r="Y29" t="s">
        <v>108</v>
      </c>
      <c r="Z29" t="s">
        <v>109</v>
      </c>
      <c r="AA29" t="s">
        <v>352</v>
      </c>
      <c r="AB29" s="23">
        <v>1</v>
      </c>
      <c r="AC29" s="23">
        <v>44560</v>
      </c>
      <c r="AD29" s="23">
        <v>44560</v>
      </c>
    </row>
    <row r="30" spans="1:30">
      <c r="A30" t="s">
        <v>55</v>
      </c>
      <c r="B30" t="s">
        <v>111</v>
      </c>
      <c r="C30" t="s">
        <v>49</v>
      </c>
      <c r="D30" t="s">
        <v>353</v>
      </c>
      <c r="E30" t="s">
        <v>354</v>
      </c>
      <c r="F30" t="s">
        <v>355</v>
      </c>
      <c r="G30" t="s">
        <v>95</v>
      </c>
      <c r="H30" t="s">
        <v>178</v>
      </c>
      <c r="I30" t="s">
        <v>356</v>
      </c>
      <c r="J30" t="s">
        <v>357</v>
      </c>
      <c r="K30" t="s">
        <v>99</v>
      </c>
      <c r="L30" t="s">
        <v>358</v>
      </c>
      <c r="M30" s="22">
        <v>45969.375</v>
      </c>
      <c r="N30" s="22">
        <v>45974.674305555563</v>
      </c>
      <c r="P30" t="s">
        <v>101</v>
      </c>
      <c r="Q30" t="s">
        <v>101</v>
      </c>
      <c r="R30" t="s">
        <v>103</v>
      </c>
      <c r="S30" t="s">
        <v>103</v>
      </c>
      <c r="T30" t="s">
        <v>104</v>
      </c>
      <c r="U30" t="s">
        <v>119</v>
      </c>
      <c r="V30" t="s">
        <v>359</v>
      </c>
      <c r="W30" t="s">
        <v>107</v>
      </c>
      <c r="X30" t="s">
        <v>360</v>
      </c>
      <c r="Y30" t="s">
        <v>108</v>
      </c>
      <c r="Z30" t="s">
        <v>109</v>
      </c>
      <c r="AA30" t="s">
        <v>182</v>
      </c>
      <c r="AB30" s="23">
        <v>1</v>
      </c>
      <c r="AC30" s="23">
        <v>44560</v>
      </c>
      <c r="AD30" s="23">
        <v>44560</v>
      </c>
    </row>
    <row r="31" spans="1:30">
      <c r="A31" t="s">
        <v>59</v>
      </c>
      <c r="B31" t="s">
        <v>123</v>
      </c>
      <c r="C31" t="s">
        <v>34</v>
      </c>
      <c r="D31" t="s">
        <v>361</v>
      </c>
      <c r="E31" t="s">
        <v>362</v>
      </c>
      <c r="F31" t="s">
        <v>363</v>
      </c>
      <c r="G31" t="s">
        <v>95</v>
      </c>
      <c r="H31" t="s">
        <v>364</v>
      </c>
      <c r="I31" t="s">
        <v>365</v>
      </c>
      <c r="J31" t="s">
        <v>366</v>
      </c>
      <c r="K31" t="s">
        <v>99</v>
      </c>
      <c r="L31" t="s">
        <v>367</v>
      </c>
      <c r="M31" s="22">
        <v>45969.375</v>
      </c>
      <c r="N31" s="22">
        <v>45974.776145833333</v>
      </c>
      <c r="P31" t="s">
        <v>101</v>
      </c>
      <c r="Q31" t="s">
        <v>101</v>
      </c>
      <c r="R31" t="s">
        <v>102</v>
      </c>
      <c r="S31" t="s">
        <v>103</v>
      </c>
      <c r="U31" t="s">
        <v>105</v>
      </c>
      <c r="V31" t="s">
        <v>368</v>
      </c>
      <c r="W31" t="s">
        <v>172</v>
      </c>
      <c r="Y31" t="s">
        <v>173</v>
      </c>
      <c r="Z31" t="s">
        <v>109</v>
      </c>
      <c r="AA31" t="s">
        <v>369</v>
      </c>
      <c r="AB31" s="23">
        <v>0</v>
      </c>
      <c r="AC31" s="23">
        <v>37905</v>
      </c>
      <c r="AD31" s="23">
        <v>37905</v>
      </c>
    </row>
    <row r="32" spans="1:30">
      <c r="A32" t="s">
        <v>37</v>
      </c>
      <c r="B32" t="s">
        <v>111</v>
      </c>
      <c r="C32" t="s">
        <v>38</v>
      </c>
      <c r="D32" t="s">
        <v>199</v>
      </c>
      <c r="E32" t="s">
        <v>370</v>
      </c>
      <c r="F32" t="s">
        <v>371</v>
      </c>
      <c r="G32" t="s">
        <v>95</v>
      </c>
      <c r="H32" t="s">
        <v>135</v>
      </c>
      <c r="I32" t="s">
        <v>37</v>
      </c>
      <c r="J32" t="s">
        <v>372</v>
      </c>
      <c r="K32" t="s">
        <v>99</v>
      </c>
      <c r="L32" t="s">
        <v>373</v>
      </c>
      <c r="M32" s="22">
        <v>45969.375</v>
      </c>
      <c r="N32" s="22">
        <v>45973.554166666669</v>
      </c>
      <c r="P32" t="s">
        <v>101</v>
      </c>
      <c r="Q32" t="s">
        <v>101</v>
      </c>
      <c r="R32" t="s">
        <v>102</v>
      </c>
      <c r="S32" t="s">
        <v>102</v>
      </c>
      <c r="T32" t="s">
        <v>104</v>
      </c>
      <c r="U32" t="s">
        <v>105</v>
      </c>
      <c r="V32" t="s">
        <v>374</v>
      </c>
      <c r="W32" t="s">
        <v>107</v>
      </c>
      <c r="X32" t="s">
        <v>161</v>
      </c>
      <c r="Y32" t="s">
        <v>108</v>
      </c>
      <c r="Z32" t="s">
        <v>109</v>
      </c>
      <c r="AA32" t="s">
        <v>375</v>
      </c>
      <c r="AB32" s="23">
        <v>1</v>
      </c>
      <c r="AC32" s="23">
        <v>44560</v>
      </c>
      <c r="AD32" s="23">
        <v>44560</v>
      </c>
    </row>
    <row r="33" spans="1:30">
      <c r="A33" t="s">
        <v>37</v>
      </c>
      <c r="B33" t="s">
        <v>111</v>
      </c>
      <c r="C33" t="s">
        <v>38</v>
      </c>
      <c r="D33" t="s">
        <v>376</v>
      </c>
      <c r="E33" t="s">
        <v>377</v>
      </c>
      <c r="F33" t="s">
        <v>378</v>
      </c>
      <c r="G33" t="s">
        <v>95</v>
      </c>
      <c r="H33" t="s">
        <v>135</v>
      </c>
      <c r="I33" t="s">
        <v>379</v>
      </c>
      <c r="J33" t="s">
        <v>380</v>
      </c>
      <c r="K33" t="s">
        <v>99</v>
      </c>
      <c r="L33" t="s">
        <v>381</v>
      </c>
      <c r="M33" s="22">
        <v>45969.375</v>
      </c>
      <c r="N33" s="22">
        <v>45973.456250000003</v>
      </c>
      <c r="P33" t="s">
        <v>101</v>
      </c>
      <c r="Q33" t="s">
        <v>101</v>
      </c>
      <c r="R33" t="s">
        <v>102</v>
      </c>
      <c r="S33" t="s">
        <v>103</v>
      </c>
      <c r="T33" t="s">
        <v>104</v>
      </c>
      <c r="U33" t="s">
        <v>119</v>
      </c>
      <c r="V33" t="s">
        <v>382</v>
      </c>
      <c r="W33" t="s">
        <v>107</v>
      </c>
      <c r="Y33" t="s">
        <v>121</v>
      </c>
      <c r="Z33" t="s">
        <v>109</v>
      </c>
      <c r="AA33" t="s">
        <v>383</v>
      </c>
      <c r="AB33" s="23">
        <v>1</v>
      </c>
      <c r="AC33" s="23">
        <v>134411</v>
      </c>
      <c r="AD33" s="23">
        <v>134411</v>
      </c>
    </row>
    <row r="34" spans="1:30">
      <c r="A34" t="s">
        <v>54</v>
      </c>
      <c r="B34" t="s">
        <v>111</v>
      </c>
      <c r="C34" t="s">
        <v>38</v>
      </c>
      <c r="D34" t="s">
        <v>384</v>
      </c>
      <c r="E34" t="s">
        <v>385</v>
      </c>
      <c r="F34" t="s">
        <v>386</v>
      </c>
      <c r="G34" t="s">
        <v>95</v>
      </c>
      <c r="H34" t="s">
        <v>166</v>
      </c>
      <c r="I34" t="s">
        <v>387</v>
      </c>
      <c r="J34" t="s">
        <v>388</v>
      </c>
      <c r="K34" t="s">
        <v>99</v>
      </c>
      <c r="L34" t="s">
        <v>389</v>
      </c>
      <c r="M34" s="22">
        <v>45969.375</v>
      </c>
      <c r="N34" s="22">
        <v>45973.38958333333</v>
      </c>
      <c r="P34" t="s">
        <v>101</v>
      </c>
      <c r="Q34" t="s">
        <v>101</v>
      </c>
      <c r="R34" t="s">
        <v>103</v>
      </c>
      <c r="S34" t="s">
        <v>103</v>
      </c>
      <c r="T34" t="s">
        <v>104</v>
      </c>
      <c r="U34" t="s">
        <v>105</v>
      </c>
      <c r="V34" t="s">
        <v>390</v>
      </c>
      <c r="W34" t="s">
        <v>107</v>
      </c>
      <c r="X34" t="s">
        <v>391</v>
      </c>
      <c r="Y34" t="s">
        <v>317</v>
      </c>
      <c r="Z34" t="s">
        <v>109</v>
      </c>
      <c r="AA34" t="s">
        <v>392</v>
      </c>
      <c r="AB34" s="23">
        <v>1</v>
      </c>
      <c r="AC34" s="23">
        <v>464809</v>
      </c>
      <c r="AD34" s="23">
        <v>464809</v>
      </c>
    </row>
    <row r="35" spans="1:30">
      <c r="A35" t="s">
        <v>29</v>
      </c>
      <c r="B35" t="s">
        <v>142</v>
      </c>
      <c r="C35" t="s">
        <v>30</v>
      </c>
      <c r="D35" t="s">
        <v>143</v>
      </c>
      <c r="E35" t="s">
        <v>393</v>
      </c>
      <c r="F35" t="s">
        <v>394</v>
      </c>
      <c r="G35" t="s">
        <v>95</v>
      </c>
      <c r="H35" t="s">
        <v>142</v>
      </c>
      <c r="I35" t="s">
        <v>29</v>
      </c>
      <c r="J35" t="s">
        <v>395</v>
      </c>
      <c r="K35" t="s">
        <v>99</v>
      </c>
      <c r="L35" t="s">
        <v>396</v>
      </c>
      <c r="M35" s="22">
        <v>45969.375</v>
      </c>
      <c r="N35" s="22">
        <v>45971.671527777777</v>
      </c>
      <c r="P35" t="s">
        <v>101</v>
      </c>
      <c r="Q35" t="s">
        <v>101</v>
      </c>
      <c r="R35" t="s">
        <v>102</v>
      </c>
      <c r="S35" t="s">
        <v>103</v>
      </c>
      <c r="T35" t="s">
        <v>104</v>
      </c>
      <c r="U35" t="s">
        <v>105</v>
      </c>
      <c r="V35" t="s">
        <v>397</v>
      </c>
      <c r="W35" t="s">
        <v>107</v>
      </c>
      <c r="X35" t="s">
        <v>398</v>
      </c>
      <c r="Y35" t="s">
        <v>108</v>
      </c>
      <c r="Z35" t="s">
        <v>109</v>
      </c>
      <c r="AA35" t="s">
        <v>399</v>
      </c>
      <c r="AB35" s="23">
        <v>1</v>
      </c>
      <c r="AC35" s="23">
        <v>44560</v>
      </c>
      <c r="AD35" s="23">
        <v>44560</v>
      </c>
    </row>
    <row r="36" spans="1:30">
      <c r="A36" t="s">
        <v>29</v>
      </c>
      <c r="B36" t="s">
        <v>142</v>
      </c>
      <c r="C36" t="s">
        <v>30</v>
      </c>
      <c r="D36" t="s">
        <v>143</v>
      </c>
      <c r="E36" t="s">
        <v>400</v>
      </c>
      <c r="F36" t="s">
        <v>401</v>
      </c>
      <c r="G36" t="s">
        <v>95</v>
      </c>
      <c r="H36" t="s">
        <v>142</v>
      </c>
      <c r="I36" t="s">
        <v>29</v>
      </c>
      <c r="J36" t="s">
        <v>402</v>
      </c>
      <c r="K36" t="s">
        <v>99</v>
      </c>
      <c r="L36" t="s">
        <v>403</v>
      </c>
      <c r="M36" s="22">
        <v>45969.375</v>
      </c>
      <c r="N36" s="22">
        <v>45972.286111111112</v>
      </c>
      <c r="P36" t="s">
        <v>101</v>
      </c>
      <c r="Q36" t="s">
        <v>159</v>
      </c>
      <c r="R36" t="s">
        <v>102</v>
      </c>
      <c r="S36" t="s">
        <v>103</v>
      </c>
      <c r="T36" t="s">
        <v>104</v>
      </c>
      <c r="U36" t="s">
        <v>119</v>
      </c>
      <c r="V36" t="s">
        <v>404</v>
      </c>
      <c r="W36" t="s">
        <v>107</v>
      </c>
      <c r="X36" t="s">
        <v>405</v>
      </c>
      <c r="Y36" t="s">
        <v>108</v>
      </c>
      <c r="Z36" t="s">
        <v>109</v>
      </c>
      <c r="AA36" t="s">
        <v>406</v>
      </c>
      <c r="AB36" s="23">
        <v>1</v>
      </c>
      <c r="AC36" s="23">
        <v>44560</v>
      </c>
      <c r="AD36" s="23">
        <v>44560</v>
      </c>
    </row>
    <row r="37" spans="1:30">
      <c r="A37" t="s">
        <v>51</v>
      </c>
      <c r="B37" t="s">
        <v>91</v>
      </c>
      <c r="C37" t="s">
        <v>22</v>
      </c>
      <c r="D37" t="s">
        <v>407</v>
      </c>
      <c r="E37" t="s">
        <v>408</v>
      </c>
      <c r="F37" t="s">
        <v>409</v>
      </c>
      <c r="G37" t="s">
        <v>95</v>
      </c>
      <c r="H37" t="s">
        <v>96</v>
      </c>
      <c r="I37" t="s">
        <v>410</v>
      </c>
      <c r="J37" t="s">
        <v>411</v>
      </c>
      <c r="K37" t="s">
        <v>99</v>
      </c>
      <c r="L37" t="s">
        <v>412</v>
      </c>
      <c r="M37" s="22">
        <v>45972.333333333343</v>
      </c>
      <c r="N37" s="22">
        <v>45975.536805555559</v>
      </c>
      <c r="P37" t="s">
        <v>101</v>
      </c>
      <c r="Q37" t="s">
        <v>101</v>
      </c>
      <c r="R37" t="s">
        <v>148</v>
      </c>
      <c r="S37" t="s">
        <v>170</v>
      </c>
      <c r="T37" t="s">
        <v>104</v>
      </c>
      <c r="U37" t="s">
        <v>119</v>
      </c>
      <c r="V37" t="s">
        <v>413</v>
      </c>
      <c r="W37" t="s">
        <v>107</v>
      </c>
      <c r="X37" t="s">
        <v>414</v>
      </c>
      <c r="Y37" t="s">
        <v>317</v>
      </c>
      <c r="Z37" t="s">
        <v>109</v>
      </c>
      <c r="AA37" t="s">
        <v>110</v>
      </c>
      <c r="AB37" s="23">
        <v>1</v>
      </c>
      <c r="AC37" s="23">
        <v>464809</v>
      </c>
      <c r="AD37" s="23">
        <v>464809</v>
      </c>
    </row>
    <row r="38" spans="1:30">
      <c r="A38" t="s">
        <v>37</v>
      </c>
      <c r="B38" t="s">
        <v>111</v>
      </c>
      <c r="C38" t="s">
        <v>38</v>
      </c>
      <c r="D38" t="s">
        <v>199</v>
      </c>
      <c r="E38" t="s">
        <v>415</v>
      </c>
      <c r="F38" t="s">
        <v>416</v>
      </c>
      <c r="G38" t="s">
        <v>95</v>
      </c>
      <c r="H38" t="s">
        <v>135</v>
      </c>
      <c r="I38" t="s">
        <v>37</v>
      </c>
      <c r="J38" t="s">
        <v>417</v>
      </c>
      <c r="K38" t="s">
        <v>99</v>
      </c>
      <c r="L38" t="s">
        <v>418</v>
      </c>
      <c r="M38" s="22">
        <v>45972.333333333343</v>
      </c>
      <c r="N38" s="22">
        <v>45975.498611111107</v>
      </c>
      <c r="P38" t="s">
        <v>101</v>
      </c>
      <c r="Q38" t="s">
        <v>101</v>
      </c>
      <c r="R38" t="s">
        <v>148</v>
      </c>
      <c r="S38" t="s">
        <v>149</v>
      </c>
      <c r="T38" t="s">
        <v>104</v>
      </c>
      <c r="U38" t="s">
        <v>119</v>
      </c>
      <c r="V38" t="s">
        <v>419</v>
      </c>
      <c r="W38" t="s">
        <v>107</v>
      </c>
      <c r="X38" t="s">
        <v>420</v>
      </c>
      <c r="Y38" t="s">
        <v>108</v>
      </c>
      <c r="Z38" t="s">
        <v>109</v>
      </c>
      <c r="AA38" t="s">
        <v>383</v>
      </c>
      <c r="AB38" s="23">
        <v>1</v>
      </c>
      <c r="AC38" s="23">
        <v>44560</v>
      </c>
      <c r="AD38" s="23">
        <v>44560</v>
      </c>
    </row>
    <row r="39" spans="1:30">
      <c r="A39" t="s">
        <v>37</v>
      </c>
      <c r="B39" t="s">
        <v>111</v>
      </c>
      <c r="C39" t="s">
        <v>38</v>
      </c>
      <c r="D39" t="s">
        <v>199</v>
      </c>
      <c r="E39" t="s">
        <v>421</v>
      </c>
      <c r="F39" t="s">
        <v>422</v>
      </c>
      <c r="G39" t="s">
        <v>95</v>
      </c>
      <c r="H39" t="s">
        <v>135</v>
      </c>
      <c r="I39" t="s">
        <v>37</v>
      </c>
      <c r="J39" t="s">
        <v>423</v>
      </c>
      <c r="K39" t="s">
        <v>99</v>
      </c>
      <c r="L39" t="s">
        <v>424</v>
      </c>
      <c r="M39" s="22">
        <v>45972.333333333343</v>
      </c>
      <c r="N39" s="22">
        <v>45975.597222222219</v>
      </c>
      <c r="P39" t="s">
        <v>101</v>
      </c>
      <c r="Q39" t="s">
        <v>101</v>
      </c>
      <c r="R39" t="s">
        <v>148</v>
      </c>
      <c r="S39" t="s">
        <v>170</v>
      </c>
      <c r="T39" t="s">
        <v>104</v>
      </c>
      <c r="U39" t="s">
        <v>119</v>
      </c>
      <c r="V39" t="s">
        <v>425</v>
      </c>
      <c r="W39" t="s">
        <v>107</v>
      </c>
      <c r="X39" t="s">
        <v>426</v>
      </c>
      <c r="Y39" t="s">
        <v>108</v>
      </c>
      <c r="Z39" t="s">
        <v>109</v>
      </c>
      <c r="AA39" t="s">
        <v>427</v>
      </c>
      <c r="AB39" s="23">
        <v>1</v>
      </c>
      <c r="AC39" s="23">
        <v>44560</v>
      </c>
      <c r="AD39" s="23">
        <v>44560</v>
      </c>
    </row>
    <row r="40" spans="1:30">
      <c r="A40" t="s">
        <v>33</v>
      </c>
      <c r="B40" t="s">
        <v>123</v>
      </c>
      <c r="C40" t="s">
        <v>34</v>
      </c>
      <c r="D40" t="s">
        <v>428</v>
      </c>
      <c r="E40" t="s">
        <v>429</v>
      </c>
      <c r="F40" t="s">
        <v>430</v>
      </c>
      <c r="G40" t="s">
        <v>95</v>
      </c>
      <c r="H40" t="s">
        <v>291</v>
      </c>
      <c r="I40" t="s">
        <v>291</v>
      </c>
      <c r="J40" t="s">
        <v>431</v>
      </c>
      <c r="K40" t="s">
        <v>99</v>
      </c>
      <c r="L40" t="s">
        <v>432</v>
      </c>
      <c r="M40" s="22">
        <v>45972.333333333343</v>
      </c>
      <c r="N40" s="22">
        <v>45980.492361111108</v>
      </c>
      <c r="P40" t="s">
        <v>101</v>
      </c>
      <c r="Q40" t="s">
        <v>101</v>
      </c>
      <c r="R40" t="s">
        <v>148</v>
      </c>
      <c r="S40" t="s">
        <v>170</v>
      </c>
      <c r="U40" t="s">
        <v>105</v>
      </c>
      <c r="V40" t="s">
        <v>433</v>
      </c>
      <c r="W40" t="s">
        <v>172</v>
      </c>
      <c r="Y40" t="s">
        <v>296</v>
      </c>
      <c r="Z40" t="s">
        <v>297</v>
      </c>
      <c r="AA40" t="s">
        <v>298</v>
      </c>
      <c r="AB40" s="23">
        <v>0</v>
      </c>
      <c r="AC40" s="23">
        <v>37905</v>
      </c>
      <c r="AD40" s="23">
        <v>37905</v>
      </c>
    </row>
    <row r="41" spans="1:30">
      <c r="A41" t="s">
        <v>42</v>
      </c>
      <c r="B41" t="s">
        <v>123</v>
      </c>
      <c r="C41" t="s">
        <v>34</v>
      </c>
      <c r="D41" t="s">
        <v>124</v>
      </c>
      <c r="E41" t="s">
        <v>434</v>
      </c>
      <c r="F41" t="s">
        <v>126</v>
      </c>
      <c r="G41" t="s">
        <v>95</v>
      </c>
      <c r="H41" t="s">
        <v>127</v>
      </c>
      <c r="I41" t="s">
        <v>42</v>
      </c>
      <c r="J41" t="s">
        <v>128</v>
      </c>
      <c r="K41" t="s">
        <v>99</v>
      </c>
      <c r="L41" t="s">
        <v>435</v>
      </c>
      <c r="M41" s="22">
        <v>45972.520833333343</v>
      </c>
      <c r="N41" s="22">
        <v>45980.495833333327</v>
      </c>
      <c r="P41" t="s">
        <v>101</v>
      </c>
      <c r="Q41" t="s">
        <v>159</v>
      </c>
      <c r="R41" t="s">
        <v>102</v>
      </c>
      <c r="S41" t="s">
        <v>102</v>
      </c>
      <c r="T41" t="s">
        <v>104</v>
      </c>
      <c r="U41" t="s">
        <v>119</v>
      </c>
      <c r="V41" t="s">
        <v>436</v>
      </c>
      <c r="W41" t="s">
        <v>107</v>
      </c>
      <c r="Y41" t="s">
        <v>108</v>
      </c>
      <c r="Z41" t="s">
        <v>109</v>
      </c>
      <c r="AA41" t="s">
        <v>437</v>
      </c>
      <c r="AB41" s="23">
        <v>1</v>
      </c>
      <c r="AC41" s="23">
        <v>44560</v>
      </c>
      <c r="AD41" s="23">
        <v>44560</v>
      </c>
    </row>
    <row r="42" spans="1:30">
      <c r="A42" t="s">
        <v>37</v>
      </c>
      <c r="B42" t="s">
        <v>111</v>
      </c>
      <c r="C42" t="s">
        <v>38</v>
      </c>
      <c r="D42" t="s">
        <v>199</v>
      </c>
      <c r="E42" t="s">
        <v>438</v>
      </c>
      <c r="F42" t="s">
        <v>439</v>
      </c>
      <c r="G42" t="s">
        <v>95</v>
      </c>
      <c r="H42" t="s">
        <v>135</v>
      </c>
      <c r="I42" t="s">
        <v>37</v>
      </c>
      <c r="J42" t="s">
        <v>440</v>
      </c>
      <c r="K42" t="s">
        <v>99</v>
      </c>
      <c r="L42" t="s">
        <v>441</v>
      </c>
      <c r="M42" s="22">
        <v>45973.510416666657</v>
      </c>
      <c r="N42" s="22">
        <v>45975.568055555559</v>
      </c>
      <c r="P42" t="s">
        <v>101</v>
      </c>
      <c r="Q42" t="s">
        <v>101</v>
      </c>
      <c r="R42" t="s">
        <v>148</v>
      </c>
      <c r="S42" t="s">
        <v>170</v>
      </c>
      <c r="T42" t="s">
        <v>104</v>
      </c>
      <c r="U42" t="s">
        <v>105</v>
      </c>
      <c r="V42" t="s">
        <v>442</v>
      </c>
      <c r="W42" t="s">
        <v>107</v>
      </c>
      <c r="X42" t="s">
        <v>443</v>
      </c>
      <c r="Y42" t="s">
        <v>108</v>
      </c>
      <c r="Z42" t="s">
        <v>109</v>
      </c>
      <c r="AA42" t="s">
        <v>287</v>
      </c>
      <c r="AB42" s="23">
        <v>1</v>
      </c>
      <c r="AC42" s="23">
        <v>44560</v>
      </c>
      <c r="AD42" s="23">
        <v>44560</v>
      </c>
    </row>
    <row r="43" spans="1:30">
      <c r="A43" t="s">
        <v>37</v>
      </c>
      <c r="B43" t="s">
        <v>111</v>
      </c>
      <c r="C43" t="s">
        <v>38</v>
      </c>
      <c r="D43" t="s">
        <v>199</v>
      </c>
      <c r="E43" t="s">
        <v>444</v>
      </c>
      <c r="F43" t="s">
        <v>445</v>
      </c>
      <c r="G43" t="s">
        <v>95</v>
      </c>
      <c r="H43" t="s">
        <v>135</v>
      </c>
      <c r="I43" t="s">
        <v>37</v>
      </c>
      <c r="J43" t="s">
        <v>446</v>
      </c>
      <c r="K43" t="s">
        <v>99</v>
      </c>
      <c r="L43" t="s">
        <v>447</v>
      </c>
      <c r="M43" s="22">
        <v>45973.510416666657</v>
      </c>
      <c r="N43" s="22">
        <v>45975.535416666673</v>
      </c>
      <c r="P43" t="s">
        <v>101</v>
      </c>
      <c r="Q43" t="s">
        <v>159</v>
      </c>
      <c r="R43" t="s">
        <v>256</v>
      </c>
      <c r="S43" t="s">
        <v>257</v>
      </c>
      <c r="T43" t="s">
        <v>104</v>
      </c>
      <c r="U43" t="s">
        <v>105</v>
      </c>
      <c r="V43" t="s">
        <v>448</v>
      </c>
      <c r="W43" t="s">
        <v>107</v>
      </c>
      <c r="X43" t="s">
        <v>449</v>
      </c>
      <c r="Y43" t="s">
        <v>108</v>
      </c>
      <c r="Z43" t="s">
        <v>109</v>
      </c>
      <c r="AA43" t="s">
        <v>287</v>
      </c>
      <c r="AB43" s="23">
        <v>1</v>
      </c>
      <c r="AC43" s="23">
        <v>44560</v>
      </c>
      <c r="AD43" s="23">
        <v>44560</v>
      </c>
    </row>
    <row r="44" spans="1:30">
      <c r="A44" t="s">
        <v>29</v>
      </c>
      <c r="B44" t="s">
        <v>142</v>
      </c>
      <c r="C44" t="s">
        <v>30</v>
      </c>
      <c r="D44" t="s">
        <v>143</v>
      </c>
      <c r="E44" t="s">
        <v>450</v>
      </c>
      <c r="F44" t="s">
        <v>451</v>
      </c>
      <c r="G44" t="s">
        <v>95</v>
      </c>
      <c r="H44" t="s">
        <v>142</v>
      </c>
      <c r="I44" t="s">
        <v>29</v>
      </c>
      <c r="J44" t="s">
        <v>452</v>
      </c>
      <c r="K44" t="s">
        <v>99</v>
      </c>
      <c r="L44" t="s">
        <v>453</v>
      </c>
      <c r="M44" s="22">
        <v>45973.510416666657</v>
      </c>
      <c r="N44" s="22">
        <v>45975.552083333343</v>
      </c>
      <c r="P44" t="s">
        <v>101</v>
      </c>
      <c r="Q44" t="s">
        <v>159</v>
      </c>
      <c r="R44" t="s">
        <v>256</v>
      </c>
      <c r="S44" t="s">
        <v>454</v>
      </c>
      <c r="T44" t="s">
        <v>258</v>
      </c>
      <c r="U44" t="s">
        <v>259</v>
      </c>
      <c r="V44" t="s">
        <v>455</v>
      </c>
      <c r="W44" t="s">
        <v>107</v>
      </c>
      <c r="X44" t="s">
        <v>456</v>
      </c>
      <c r="Y44" t="s">
        <v>108</v>
      </c>
      <c r="Z44" t="s">
        <v>109</v>
      </c>
      <c r="AA44" t="s">
        <v>304</v>
      </c>
      <c r="AB44" s="23">
        <v>1</v>
      </c>
      <c r="AC44" s="23">
        <v>44560</v>
      </c>
      <c r="AD44" s="23">
        <v>44560</v>
      </c>
    </row>
    <row r="45" spans="1:30">
      <c r="A45" t="s">
        <v>29</v>
      </c>
      <c r="B45" t="s">
        <v>142</v>
      </c>
      <c r="C45" t="s">
        <v>30</v>
      </c>
      <c r="D45" t="s">
        <v>143</v>
      </c>
      <c r="E45" t="s">
        <v>457</v>
      </c>
      <c r="F45" t="s">
        <v>458</v>
      </c>
      <c r="G45" t="s">
        <v>95</v>
      </c>
      <c r="H45" t="s">
        <v>142</v>
      </c>
      <c r="I45" t="s">
        <v>29</v>
      </c>
      <c r="J45" t="s">
        <v>459</v>
      </c>
      <c r="K45" t="s">
        <v>99</v>
      </c>
      <c r="L45" t="s">
        <v>460</v>
      </c>
      <c r="M45" s="22">
        <v>45973.708333333343</v>
      </c>
      <c r="N45" s="22">
        <v>45976.495833333327</v>
      </c>
      <c r="P45" t="s">
        <v>101</v>
      </c>
      <c r="Q45" t="s">
        <v>101</v>
      </c>
      <c r="R45" t="s">
        <v>102</v>
      </c>
      <c r="S45" t="s">
        <v>102</v>
      </c>
      <c r="T45" t="s">
        <v>104</v>
      </c>
      <c r="U45" t="s">
        <v>119</v>
      </c>
      <c r="V45" t="s">
        <v>461</v>
      </c>
      <c r="W45" t="s">
        <v>107</v>
      </c>
      <c r="X45" t="s">
        <v>161</v>
      </c>
      <c r="Y45" t="s">
        <v>108</v>
      </c>
      <c r="Z45" t="s">
        <v>109</v>
      </c>
      <c r="AA45" t="s">
        <v>162</v>
      </c>
      <c r="AB45" s="23">
        <v>1</v>
      </c>
      <c r="AC45" s="23">
        <v>44560</v>
      </c>
      <c r="AD45" s="23">
        <v>44560</v>
      </c>
    </row>
    <row r="46" spans="1:30">
      <c r="A46" t="s">
        <v>29</v>
      </c>
      <c r="B46" t="s">
        <v>142</v>
      </c>
      <c r="C46" t="s">
        <v>30</v>
      </c>
      <c r="D46" t="s">
        <v>143</v>
      </c>
      <c r="E46" t="s">
        <v>462</v>
      </c>
      <c r="F46" t="s">
        <v>463</v>
      </c>
      <c r="G46" t="s">
        <v>95</v>
      </c>
      <c r="H46" t="s">
        <v>142</v>
      </c>
      <c r="I46" t="s">
        <v>29</v>
      </c>
      <c r="J46" t="s">
        <v>464</v>
      </c>
      <c r="K46" t="s">
        <v>99</v>
      </c>
      <c r="L46" t="s">
        <v>465</v>
      </c>
      <c r="M46" s="22">
        <v>45974.625</v>
      </c>
      <c r="N46" s="22">
        <v>45981.568749999999</v>
      </c>
      <c r="P46" t="s">
        <v>101</v>
      </c>
      <c r="Q46" t="s">
        <v>159</v>
      </c>
      <c r="R46" t="s">
        <v>102</v>
      </c>
      <c r="S46" t="s">
        <v>103</v>
      </c>
      <c r="T46" t="s">
        <v>104</v>
      </c>
      <c r="U46" t="s">
        <v>119</v>
      </c>
      <c r="V46" t="s">
        <v>466</v>
      </c>
      <c r="W46" t="s">
        <v>107</v>
      </c>
      <c r="X46" t="s">
        <v>467</v>
      </c>
      <c r="Y46" t="s">
        <v>108</v>
      </c>
      <c r="Z46" t="s">
        <v>109</v>
      </c>
      <c r="AA46" t="s">
        <v>468</v>
      </c>
      <c r="AB46" s="23">
        <v>2</v>
      </c>
      <c r="AC46" s="23">
        <v>44560</v>
      </c>
      <c r="AD46" s="23">
        <v>89120</v>
      </c>
    </row>
    <row r="47" spans="1:30">
      <c r="A47" t="s">
        <v>51</v>
      </c>
      <c r="B47" t="s">
        <v>91</v>
      </c>
      <c r="C47" t="s">
        <v>22</v>
      </c>
      <c r="D47" t="s">
        <v>469</v>
      </c>
      <c r="E47" t="s">
        <v>470</v>
      </c>
      <c r="F47" t="s">
        <v>471</v>
      </c>
      <c r="G47" t="s">
        <v>95</v>
      </c>
      <c r="H47" t="s">
        <v>96</v>
      </c>
      <c r="I47" t="s">
        <v>51</v>
      </c>
      <c r="J47" t="s">
        <v>472</v>
      </c>
      <c r="K47" t="s">
        <v>99</v>
      </c>
      <c r="L47" t="s">
        <v>473</v>
      </c>
      <c r="M47" s="22">
        <v>45974.626388888893</v>
      </c>
      <c r="N47" s="22">
        <v>45982.384027777778</v>
      </c>
      <c r="P47" t="s">
        <v>101</v>
      </c>
      <c r="Q47" t="s">
        <v>101</v>
      </c>
      <c r="R47" t="s">
        <v>148</v>
      </c>
      <c r="S47" t="s">
        <v>170</v>
      </c>
      <c r="T47" t="s">
        <v>104</v>
      </c>
      <c r="U47" t="s">
        <v>105</v>
      </c>
      <c r="V47" t="s">
        <v>474</v>
      </c>
      <c r="W47" t="s">
        <v>107</v>
      </c>
      <c r="X47" t="s">
        <v>475</v>
      </c>
      <c r="Y47" t="s">
        <v>108</v>
      </c>
      <c r="Z47" t="s">
        <v>109</v>
      </c>
      <c r="AA47" t="s">
        <v>476</v>
      </c>
      <c r="AB47" s="23">
        <v>1</v>
      </c>
      <c r="AC47" s="23">
        <v>44560</v>
      </c>
      <c r="AD47" s="23">
        <v>44560</v>
      </c>
    </row>
    <row r="48" spans="1:30">
      <c r="A48" t="s">
        <v>21</v>
      </c>
      <c r="B48" t="s">
        <v>91</v>
      </c>
      <c r="C48" t="s">
        <v>22</v>
      </c>
      <c r="D48" t="s">
        <v>477</v>
      </c>
      <c r="E48" t="s">
        <v>478</v>
      </c>
      <c r="F48" t="s">
        <v>479</v>
      </c>
      <c r="G48" t="s">
        <v>95</v>
      </c>
      <c r="H48" t="s">
        <v>96</v>
      </c>
      <c r="I48" t="s">
        <v>480</v>
      </c>
      <c r="J48" t="s">
        <v>481</v>
      </c>
      <c r="K48" t="s">
        <v>99</v>
      </c>
      <c r="L48" t="s">
        <v>482</v>
      </c>
      <c r="M48" s="22">
        <v>45974.626388888893</v>
      </c>
      <c r="N48" s="22">
        <v>45981.623611111107</v>
      </c>
      <c r="P48" t="s">
        <v>101</v>
      </c>
      <c r="Q48" t="s">
        <v>101</v>
      </c>
      <c r="R48" t="s">
        <v>148</v>
      </c>
      <c r="S48" t="s">
        <v>170</v>
      </c>
      <c r="T48" t="s">
        <v>104</v>
      </c>
      <c r="U48" t="s">
        <v>119</v>
      </c>
      <c r="V48" t="s">
        <v>483</v>
      </c>
      <c r="W48" t="s">
        <v>107</v>
      </c>
      <c r="X48" t="s">
        <v>484</v>
      </c>
      <c r="Y48" t="s">
        <v>121</v>
      </c>
      <c r="Z48" t="s">
        <v>109</v>
      </c>
      <c r="AA48" t="s">
        <v>485</v>
      </c>
      <c r="AB48" s="23">
        <v>1</v>
      </c>
      <c r="AC48" s="23">
        <v>134411</v>
      </c>
      <c r="AD48" s="23">
        <v>134411</v>
      </c>
    </row>
    <row r="49" spans="1:30">
      <c r="A49" t="s">
        <v>33</v>
      </c>
      <c r="B49" t="s">
        <v>123</v>
      </c>
      <c r="C49" t="s">
        <v>34</v>
      </c>
      <c r="D49" t="s">
        <v>486</v>
      </c>
      <c r="E49" t="s">
        <v>487</v>
      </c>
      <c r="F49" t="s">
        <v>488</v>
      </c>
      <c r="G49" t="s">
        <v>95</v>
      </c>
      <c r="H49" t="s">
        <v>364</v>
      </c>
      <c r="I49" t="s">
        <v>33</v>
      </c>
      <c r="J49" t="s">
        <v>489</v>
      </c>
      <c r="K49" t="s">
        <v>99</v>
      </c>
      <c r="L49" t="s">
        <v>490</v>
      </c>
      <c r="M49" s="22">
        <v>45974.626388888893</v>
      </c>
      <c r="N49" s="22">
        <v>45979.54791666667</v>
      </c>
      <c r="P49" t="s">
        <v>101</v>
      </c>
      <c r="Q49" t="s">
        <v>101</v>
      </c>
      <c r="R49" t="s">
        <v>148</v>
      </c>
      <c r="S49" t="s">
        <v>170</v>
      </c>
      <c r="T49" t="s">
        <v>104</v>
      </c>
      <c r="U49" t="s">
        <v>105</v>
      </c>
      <c r="V49" t="s">
        <v>491</v>
      </c>
      <c r="W49" t="s">
        <v>107</v>
      </c>
      <c r="Y49" t="s">
        <v>108</v>
      </c>
      <c r="Z49" t="s">
        <v>109</v>
      </c>
      <c r="AA49" t="s">
        <v>369</v>
      </c>
      <c r="AB49" s="23">
        <v>1</v>
      </c>
      <c r="AC49" s="23">
        <v>44560</v>
      </c>
      <c r="AD49" s="23">
        <v>44560</v>
      </c>
    </row>
    <row r="50" spans="1:30">
      <c r="A50" t="s">
        <v>60</v>
      </c>
      <c r="B50" t="s">
        <v>263</v>
      </c>
      <c r="C50" t="s">
        <v>26</v>
      </c>
      <c r="D50" t="s">
        <v>492</v>
      </c>
      <c r="E50" t="s">
        <v>493</v>
      </c>
      <c r="F50" t="s">
        <v>494</v>
      </c>
      <c r="G50" t="s">
        <v>95</v>
      </c>
      <c r="H50" t="s">
        <v>495</v>
      </c>
      <c r="I50" t="s">
        <v>60</v>
      </c>
      <c r="J50" t="s">
        <v>496</v>
      </c>
      <c r="K50" t="s">
        <v>99</v>
      </c>
      <c r="L50" t="s">
        <v>497</v>
      </c>
      <c r="M50" s="22">
        <v>45974.626388888893</v>
      </c>
      <c r="N50" s="22">
        <v>45975.580555555563</v>
      </c>
      <c r="P50" t="s">
        <v>101</v>
      </c>
      <c r="Q50" t="s">
        <v>101</v>
      </c>
      <c r="R50" t="s">
        <v>148</v>
      </c>
      <c r="S50" t="s">
        <v>149</v>
      </c>
      <c r="T50" t="s">
        <v>104</v>
      </c>
      <c r="U50" t="s">
        <v>119</v>
      </c>
      <c r="V50" t="s">
        <v>498</v>
      </c>
      <c r="W50" t="s">
        <v>107</v>
      </c>
      <c r="X50" t="s">
        <v>467</v>
      </c>
      <c r="Y50" t="s">
        <v>108</v>
      </c>
      <c r="Z50" t="s">
        <v>109</v>
      </c>
      <c r="AA50" t="s">
        <v>499</v>
      </c>
      <c r="AB50" s="23">
        <v>1</v>
      </c>
      <c r="AC50" s="23">
        <v>44560</v>
      </c>
      <c r="AD50" s="23">
        <v>44560</v>
      </c>
    </row>
    <row r="51" spans="1:30">
      <c r="A51" t="s">
        <v>42</v>
      </c>
      <c r="B51" t="s">
        <v>123</v>
      </c>
      <c r="C51" t="s">
        <v>34</v>
      </c>
      <c r="D51" t="s">
        <v>124</v>
      </c>
      <c r="E51" t="s">
        <v>500</v>
      </c>
      <c r="F51" t="s">
        <v>501</v>
      </c>
      <c r="G51" t="s">
        <v>95</v>
      </c>
      <c r="H51" t="s">
        <v>127</v>
      </c>
      <c r="I51" t="s">
        <v>42</v>
      </c>
      <c r="J51" t="s">
        <v>502</v>
      </c>
      <c r="K51" t="s">
        <v>99</v>
      </c>
      <c r="L51" t="s">
        <v>503</v>
      </c>
      <c r="M51" s="22">
        <v>45974.626388888893</v>
      </c>
      <c r="N51" s="22">
        <v>45982.621527777781</v>
      </c>
      <c r="P51" t="s">
        <v>101</v>
      </c>
      <c r="Q51" t="s">
        <v>101</v>
      </c>
      <c r="R51" t="s">
        <v>148</v>
      </c>
      <c r="S51" t="s">
        <v>149</v>
      </c>
      <c r="T51" t="s">
        <v>104</v>
      </c>
      <c r="U51" t="s">
        <v>119</v>
      </c>
      <c r="V51" t="s">
        <v>504</v>
      </c>
      <c r="W51" t="s">
        <v>107</v>
      </c>
      <c r="X51" t="s">
        <v>505</v>
      </c>
      <c r="Y51" t="s">
        <v>108</v>
      </c>
      <c r="Z51" t="s">
        <v>109</v>
      </c>
      <c r="AA51" t="s">
        <v>437</v>
      </c>
      <c r="AB51" s="23">
        <v>1</v>
      </c>
      <c r="AC51" s="23">
        <v>44560</v>
      </c>
      <c r="AD51" s="23">
        <v>44560</v>
      </c>
    </row>
    <row r="52" spans="1:30">
      <c r="A52" t="s">
        <v>29</v>
      </c>
      <c r="B52" t="s">
        <v>142</v>
      </c>
      <c r="C52" t="s">
        <v>30</v>
      </c>
      <c r="D52" t="s">
        <v>143</v>
      </c>
      <c r="E52" t="s">
        <v>506</v>
      </c>
      <c r="F52" t="s">
        <v>507</v>
      </c>
      <c r="G52" t="s">
        <v>95</v>
      </c>
      <c r="H52" t="s">
        <v>142</v>
      </c>
      <c r="I52" t="s">
        <v>29</v>
      </c>
      <c r="J52" t="s">
        <v>508</v>
      </c>
      <c r="K52" t="s">
        <v>99</v>
      </c>
      <c r="L52" t="s">
        <v>509</v>
      </c>
      <c r="M52" s="22">
        <v>45974.626388888893</v>
      </c>
      <c r="N52" s="22">
        <v>45979.55</v>
      </c>
      <c r="P52" t="s">
        <v>101</v>
      </c>
      <c r="Q52" t="s">
        <v>101</v>
      </c>
      <c r="R52" t="s">
        <v>148</v>
      </c>
      <c r="S52" t="s">
        <v>149</v>
      </c>
      <c r="T52" t="s">
        <v>104</v>
      </c>
      <c r="U52" t="s">
        <v>105</v>
      </c>
      <c r="V52" t="s">
        <v>510</v>
      </c>
      <c r="W52" t="s">
        <v>107</v>
      </c>
      <c r="X52" t="s">
        <v>161</v>
      </c>
      <c r="Y52" t="s">
        <v>108</v>
      </c>
      <c r="Z52" t="s">
        <v>109</v>
      </c>
      <c r="AA52" t="s">
        <v>162</v>
      </c>
      <c r="AB52" s="23">
        <v>1</v>
      </c>
      <c r="AC52" s="23">
        <v>44560</v>
      </c>
      <c r="AD52" s="23">
        <v>44560</v>
      </c>
    </row>
    <row r="53" spans="1:30">
      <c r="A53" t="s">
        <v>42</v>
      </c>
      <c r="B53" t="s">
        <v>123</v>
      </c>
      <c r="C53" t="s">
        <v>34</v>
      </c>
      <c r="D53" t="s">
        <v>124</v>
      </c>
      <c r="E53" t="s">
        <v>511</v>
      </c>
      <c r="F53" t="s">
        <v>512</v>
      </c>
      <c r="G53" t="s">
        <v>95</v>
      </c>
      <c r="H53" t="s">
        <v>127</v>
      </c>
      <c r="I53" t="s">
        <v>42</v>
      </c>
      <c r="J53" t="s">
        <v>513</v>
      </c>
      <c r="K53" t="s">
        <v>99</v>
      </c>
      <c r="L53" t="s">
        <v>514</v>
      </c>
      <c r="M53" s="22">
        <v>45976.375</v>
      </c>
      <c r="N53" s="22">
        <v>45983.677777777782</v>
      </c>
      <c r="P53" t="s">
        <v>101</v>
      </c>
      <c r="Q53" t="s">
        <v>101</v>
      </c>
      <c r="R53" t="s">
        <v>102</v>
      </c>
      <c r="S53" t="s">
        <v>102</v>
      </c>
      <c r="T53" t="s">
        <v>104</v>
      </c>
      <c r="U53" t="s">
        <v>105</v>
      </c>
      <c r="V53" t="s">
        <v>515</v>
      </c>
      <c r="W53" t="s">
        <v>107</v>
      </c>
      <c r="X53" t="s">
        <v>467</v>
      </c>
      <c r="Y53" t="s">
        <v>108</v>
      </c>
      <c r="Z53" t="s">
        <v>109</v>
      </c>
      <c r="AA53" t="s">
        <v>516</v>
      </c>
      <c r="AB53" s="23">
        <v>1</v>
      </c>
      <c r="AC53" s="23">
        <v>44560</v>
      </c>
      <c r="AD53" s="23">
        <v>44560</v>
      </c>
    </row>
    <row r="54" spans="1:30">
      <c r="A54" t="s">
        <v>33</v>
      </c>
      <c r="B54" t="s">
        <v>123</v>
      </c>
      <c r="C54" t="s">
        <v>34</v>
      </c>
      <c r="D54" t="s">
        <v>428</v>
      </c>
      <c r="E54" t="s">
        <v>517</v>
      </c>
      <c r="F54" t="s">
        <v>518</v>
      </c>
      <c r="G54" t="s">
        <v>95</v>
      </c>
      <c r="H54" t="s">
        <v>291</v>
      </c>
      <c r="I54" t="s">
        <v>291</v>
      </c>
      <c r="J54" t="s">
        <v>519</v>
      </c>
      <c r="K54" t="s">
        <v>99</v>
      </c>
      <c r="L54" t="s">
        <v>520</v>
      </c>
      <c r="M54" s="22">
        <v>45976.375</v>
      </c>
      <c r="N54" s="22">
        <v>45982.429861111108</v>
      </c>
      <c r="P54" t="s">
        <v>101</v>
      </c>
      <c r="Q54" t="s">
        <v>101</v>
      </c>
      <c r="R54" t="s">
        <v>103</v>
      </c>
      <c r="S54" t="s">
        <v>103</v>
      </c>
      <c r="T54" t="s">
        <v>104</v>
      </c>
      <c r="U54" t="s">
        <v>105</v>
      </c>
      <c r="V54" t="s">
        <v>521</v>
      </c>
      <c r="W54" t="s">
        <v>107</v>
      </c>
      <c r="X54" t="s">
        <v>522</v>
      </c>
      <c r="Y54" t="s">
        <v>296</v>
      </c>
      <c r="Z54" t="s">
        <v>297</v>
      </c>
      <c r="AA54" t="s">
        <v>298</v>
      </c>
      <c r="AB54" s="23">
        <v>1</v>
      </c>
      <c r="AC54" s="23">
        <v>988463</v>
      </c>
      <c r="AD54" s="23">
        <v>988463</v>
      </c>
    </row>
    <row r="55" spans="1:30">
      <c r="A55" t="s">
        <v>51</v>
      </c>
      <c r="B55" t="s">
        <v>91</v>
      </c>
      <c r="C55" t="s">
        <v>22</v>
      </c>
      <c r="D55" t="s">
        <v>469</v>
      </c>
      <c r="E55" t="s">
        <v>523</v>
      </c>
      <c r="F55" t="s">
        <v>524</v>
      </c>
      <c r="G55" t="s">
        <v>95</v>
      </c>
      <c r="H55" t="s">
        <v>96</v>
      </c>
      <c r="I55" t="s">
        <v>51</v>
      </c>
      <c r="J55" t="s">
        <v>525</v>
      </c>
      <c r="K55" t="s">
        <v>99</v>
      </c>
      <c r="L55" t="s">
        <v>526</v>
      </c>
      <c r="M55" s="22">
        <v>45980.620138888888</v>
      </c>
      <c r="N55" s="22">
        <v>45987.618055555547</v>
      </c>
      <c r="P55" t="s">
        <v>101</v>
      </c>
      <c r="Q55" t="s">
        <v>101</v>
      </c>
      <c r="R55" t="s">
        <v>148</v>
      </c>
      <c r="S55" t="s">
        <v>149</v>
      </c>
      <c r="T55" t="s">
        <v>104</v>
      </c>
      <c r="U55" t="s">
        <v>119</v>
      </c>
      <c r="V55" t="s">
        <v>527</v>
      </c>
      <c r="W55" t="s">
        <v>107</v>
      </c>
      <c r="Y55" t="s">
        <v>108</v>
      </c>
      <c r="Z55" t="s">
        <v>109</v>
      </c>
      <c r="AA55" t="s">
        <v>528</v>
      </c>
      <c r="AB55" s="23">
        <v>1</v>
      </c>
      <c r="AC55" s="23">
        <v>44560</v>
      </c>
      <c r="AD55" s="23">
        <v>44560</v>
      </c>
    </row>
    <row r="56" spans="1:30">
      <c r="A56" t="s">
        <v>51</v>
      </c>
      <c r="B56" t="s">
        <v>91</v>
      </c>
      <c r="C56" t="s">
        <v>22</v>
      </c>
      <c r="D56" t="s">
        <v>92</v>
      </c>
      <c r="E56" t="s">
        <v>529</v>
      </c>
      <c r="F56" t="s">
        <v>530</v>
      </c>
      <c r="G56" t="s">
        <v>95</v>
      </c>
      <c r="H56" t="s">
        <v>96</v>
      </c>
      <c r="I56" t="s">
        <v>97</v>
      </c>
      <c r="J56" t="s">
        <v>531</v>
      </c>
      <c r="K56" t="s">
        <v>99</v>
      </c>
      <c r="L56" t="s">
        <v>532</v>
      </c>
      <c r="M56" s="22">
        <v>45980.620138888888</v>
      </c>
      <c r="N56" s="22">
        <v>45987.507638888892</v>
      </c>
      <c r="P56" t="s">
        <v>101</v>
      </c>
      <c r="Q56" t="s">
        <v>101</v>
      </c>
      <c r="R56" t="s">
        <v>148</v>
      </c>
      <c r="S56" t="s">
        <v>170</v>
      </c>
      <c r="T56" t="s">
        <v>533</v>
      </c>
      <c r="U56" t="s">
        <v>105</v>
      </c>
      <c r="V56" t="s">
        <v>534</v>
      </c>
      <c r="W56" t="s">
        <v>107</v>
      </c>
      <c r="Y56" t="s">
        <v>108</v>
      </c>
      <c r="Z56" t="s">
        <v>109</v>
      </c>
      <c r="AA56" t="s">
        <v>535</v>
      </c>
      <c r="AB56" s="23">
        <v>1</v>
      </c>
      <c r="AC56" s="23">
        <v>44560</v>
      </c>
      <c r="AD56" s="23">
        <v>44560</v>
      </c>
    </row>
    <row r="57" spans="1:30">
      <c r="A57" t="s">
        <v>51</v>
      </c>
      <c r="B57" t="s">
        <v>91</v>
      </c>
      <c r="C57" t="s">
        <v>22</v>
      </c>
      <c r="D57" t="s">
        <v>536</v>
      </c>
      <c r="E57" t="s">
        <v>537</v>
      </c>
      <c r="F57" t="s">
        <v>538</v>
      </c>
      <c r="G57" t="s">
        <v>95</v>
      </c>
      <c r="H57" t="s">
        <v>96</v>
      </c>
      <c r="I57" t="s">
        <v>539</v>
      </c>
      <c r="J57" t="s">
        <v>540</v>
      </c>
      <c r="K57" t="s">
        <v>99</v>
      </c>
      <c r="L57" t="s">
        <v>541</v>
      </c>
      <c r="M57" s="22">
        <v>45980.620138888888</v>
      </c>
      <c r="N57" s="22">
        <v>45987.520833333343</v>
      </c>
      <c r="P57" t="s">
        <v>101</v>
      </c>
      <c r="Q57" t="s">
        <v>101</v>
      </c>
      <c r="R57" t="s">
        <v>148</v>
      </c>
      <c r="S57" t="s">
        <v>170</v>
      </c>
      <c r="T57" t="s">
        <v>104</v>
      </c>
      <c r="U57" t="s">
        <v>119</v>
      </c>
      <c r="V57" t="s">
        <v>542</v>
      </c>
      <c r="W57" t="s">
        <v>107</v>
      </c>
      <c r="X57" t="s">
        <v>543</v>
      </c>
      <c r="Y57" t="s">
        <v>173</v>
      </c>
      <c r="Z57" t="s">
        <v>109</v>
      </c>
      <c r="AA57" t="s">
        <v>110</v>
      </c>
      <c r="AB57" s="23">
        <v>1</v>
      </c>
      <c r="AC57" s="23">
        <v>222904</v>
      </c>
      <c r="AD57" s="23">
        <v>222904</v>
      </c>
    </row>
    <row r="58" spans="1:30">
      <c r="A58" t="s">
        <v>37</v>
      </c>
      <c r="B58" t="s">
        <v>111</v>
      </c>
      <c r="C58" t="s">
        <v>38</v>
      </c>
      <c r="D58" t="s">
        <v>199</v>
      </c>
      <c r="E58" t="s">
        <v>544</v>
      </c>
      <c r="F58" t="s">
        <v>545</v>
      </c>
      <c r="G58" t="s">
        <v>95</v>
      </c>
      <c r="H58" t="s">
        <v>135</v>
      </c>
      <c r="I58" t="s">
        <v>37</v>
      </c>
      <c r="J58" t="s">
        <v>546</v>
      </c>
      <c r="K58" t="s">
        <v>99</v>
      </c>
      <c r="L58" t="s">
        <v>547</v>
      </c>
      <c r="M58" s="22">
        <v>45980.620138888888</v>
      </c>
      <c r="N58" s="22">
        <v>45983.565972222219</v>
      </c>
      <c r="P58" t="s">
        <v>101</v>
      </c>
      <c r="Q58" t="s">
        <v>101</v>
      </c>
      <c r="R58" t="s">
        <v>148</v>
      </c>
      <c r="S58" t="s">
        <v>170</v>
      </c>
      <c r="U58" t="s">
        <v>105</v>
      </c>
      <c r="V58" t="s">
        <v>548</v>
      </c>
      <c r="W58" t="s">
        <v>172</v>
      </c>
      <c r="Y58" t="s">
        <v>108</v>
      </c>
      <c r="Z58" t="s">
        <v>109</v>
      </c>
      <c r="AA58" t="s">
        <v>549</v>
      </c>
      <c r="AB58" s="23">
        <v>0</v>
      </c>
      <c r="AC58" s="23">
        <v>37905</v>
      </c>
      <c r="AD58" s="23">
        <v>37905</v>
      </c>
    </row>
    <row r="59" spans="1:30">
      <c r="A59" t="s">
        <v>54</v>
      </c>
      <c r="B59" t="s">
        <v>111</v>
      </c>
      <c r="C59" t="s">
        <v>38</v>
      </c>
      <c r="D59" t="s">
        <v>550</v>
      </c>
      <c r="E59" t="s">
        <v>551</v>
      </c>
      <c r="F59" t="s">
        <v>552</v>
      </c>
      <c r="G59" t="s">
        <v>95</v>
      </c>
      <c r="H59" t="s">
        <v>244</v>
      </c>
      <c r="I59" t="s">
        <v>553</v>
      </c>
      <c r="J59" t="s">
        <v>554</v>
      </c>
      <c r="K59" t="s">
        <v>99</v>
      </c>
      <c r="L59" t="s">
        <v>555</v>
      </c>
      <c r="M59" s="22">
        <v>45980.620138888888</v>
      </c>
      <c r="N59" s="22">
        <v>45985.533333333333</v>
      </c>
      <c r="P59" t="s">
        <v>101</v>
      </c>
      <c r="Q59" t="s">
        <v>101</v>
      </c>
      <c r="R59" t="s">
        <v>148</v>
      </c>
      <c r="S59" t="s">
        <v>149</v>
      </c>
      <c r="U59" t="s">
        <v>105</v>
      </c>
      <c r="V59" t="s">
        <v>556</v>
      </c>
      <c r="W59" t="s">
        <v>172</v>
      </c>
      <c r="Y59" t="s">
        <v>121</v>
      </c>
      <c r="Z59" t="s">
        <v>109</v>
      </c>
      <c r="AA59" t="s">
        <v>557</v>
      </c>
      <c r="AB59" s="23">
        <v>0</v>
      </c>
      <c r="AC59" s="23">
        <v>37905</v>
      </c>
      <c r="AD59" s="23">
        <v>37905</v>
      </c>
    </row>
    <row r="60" spans="1:30">
      <c r="A60" t="s">
        <v>47</v>
      </c>
      <c r="B60" t="s">
        <v>189</v>
      </c>
      <c r="C60" t="s">
        <v>44</v>
      </c>
      <c r="D60" t="s">
        <v>558</v>
      </c>
      <c r="E60" t="s">
        <v>559</v>
      </c>
      <c r="F60" t="s">
        <v>560</v>
      </c>
      <c r="G60" t="s">
        <v>95</v>
      </c>
      <c r="H60" t="s">
        <v>561</v>
      </c>
      <c r="I60" t="s">
        <v>47</v>
      </c>
      <c r="J60" t="s">
        <v>562</v>
      </c>
      <c r="K60" t="s">
        <v>99</v>
      </c>
      <c r="L60" t="s">
        <v>563</v>
      </c>
      <c r="M60" s="22">
        <v>45980.620138888888</v>
      </c>
      <c r="N60" s="22">
        <v>45987.613194444442</v>
      </c>
      <c r="P60" t="s">
        <v>101</v>
      </c>
      <c r="Q60" t="s">
        <v>101</v>
      </c>
      <c r="R60" t="s">
        <v>148</v>
      </c>
      <c r="S60" t="s">
        <v>170</v>
      </c>
      <c r="T60" t="s">
        <v>104</v>
      </c>
      <c r="U60" t="s">
        <v>119</v>
      </c>
      <c r="V60" t="s">
        <v>564</v>
      </c>
      <c r="W60" t="s">
        <v>107</v>
      </c>
      <c r="Y60" t="s">
        <v>108</v>
      </c>
      <c r="Z60" t="s">
        <v>109</v>
      </c>
      <c r="AA60" t="s">
        <v>565</v>
      </c>
      <c r="AB60" s="23">
        <v>1</v>
      </c>
      <c r="AC60" s="23">
        <v>44560</v>
      </c>
      <c r="AD60" s="23">
        <v>44560</v>
      </c>
    </row>
    <row r="61" spans="1:30">
      <c r="A61" t="s">
        <v>61</v>
      </c>
      <c r="B61" t="s">
        <v>189</v>
      </c>
      <c r="C61" t="s">
        <v>44</v>
      </c>
      <c r="D61" t="s">
        <v>566</v>
      </c>
      <c r="E61" t="s">
        <v>567</v>
      </c>
      <c r="F61" t="s">
        <v>568</v>
      </c>
      <c r="G61" t="s">
        <v>95</v>
      </c>
      <c r="H61" t="s">
        <v>193</v>
      </c>
      <c r="I61" t="s">
        <v>569</v>
      </c>
      <c r="J61" t="s">
        <v>570</v>
      </c>
      <c r="K61" t="s">
        <v>99</v>
      </c>
      <c r="L61" t="s">
        <v>571</v>
      </c>
      <c r="M61" s="22">
        <v>45982.333333333343</v>
      </c>
      <c r="N61" s="22">
        <v>45987.522222222222</v>
      </c>
      <c r="P61" t="s">
        <v>101</v>
      </c>
      <c r="Q61" t="s">
        <v>101</v>
      </c>
      <c r="R61" t="s">
        <v>102</v>
      </c>
      <c r="S61" t="s">
        <v>103</v>
      </c>
      <c r="T61" t="s">
        <v>104</v>
      </c>
      <c r="U61" t="s">
        <v>119</v>
      </c>
      <c r="V61" t="s">
        <v>572</v>
      </c>
      <c r="W61" t="s">
        <v>107</v>
      </c>
      <c r="X61" t="s">
        <v>573</v>
      </c>
      <c r="Y61" t="s">
        <v>173</v>
      </c>
      <c r="Z61" t="s">
        <v>109</v>
      </c>
      <c r="AA61" t="s">
        <v>574</v>
      </c>
      <c r="AB61" s="23">
        <v>1</v>
      </c>
      <c r="AC61" s="23">
        <v>222904</v>
      </c>
      <c r="AD61" s="23">
        <v>222904</v>
      </c>
    </row>
    <row r="62" spans="1:30">
      <c r="A62" t="s">
        <v>55</v>
      </c>
      <c r="B62" t="s">
        <v>111</v>
      </c>
      <c r="C62" t="s">
        <v>49</v>
      </c>
      <c r="D62" t="s">
        <v>575</v>
      </c>
      <c r="E62" t="s">
        <v>576</v>
      </c>
      <c r="F62" t="s">
        <v>577</v>
      </c>
      <c r="G62" t="s">
        <v>95</v>
      </c>
      <c r="H62" t="s">
        <v>135</v>
      </c>
      <c r="I62" t="s">
        <v>578</v>
      </c>
      <c r="J62" t="s">
        <v>579</v>
      </c>
      <c r="K62" t="s">
        <v>99</v>
      </c>
      <c r="L62" t="s">
        <v>580</v>
      </c>
      <c r="M62" s="22">
        <v>45982.333333333343</v>
      </c>
      <c r="N62" s="22">
        <v>45987.518055555563</v>
      </c>
      <c r="P62" t="s">
        <v>101</v>
      </c>
      <c r="Q62" t="s">
        <v>101</v>
      </c>
      <c r="R62" t="s">
        <v>102</v>
      </c>
      <c r="S62" t="s">
        <v>103</v>
      </c>
      <c r="T62" t="s">
        <v>104</v>
      </c>
      <c r="U62" t="s">
        <v>105</v>
      </c>
      <c r="V62" t="s">
        <v>581</v>
      </c>
      <c r="W62" t="s">
        <v>107</v>
      </c>
      <c r="X62" t="s">
        <v>582</v>
      </c>
      <c r="Y62" t="s">
        <v>121</v>
      </c>
      <c r="Z62" t="s">
        <v>109</v>
      </c>
      <c r="AA62" t="s">
        <v>141</v>
      </c>
      <c r="AB62" s="23">
        <v>1</v>
      </c>
      <c r="AC62" s="23">
        <v>134411</v>
      </c>
      <c r="AD62" s="23">
        <v>134411</v>
      </c>
    </row>
    <row r="63" spans="1:30">
      <c r="A63" t="s">
        <v>61</v>
      </c>
      <c r="B63" t="s">
        <v>189</v>
      </c>
      <c r="C63" t="s">
        <v>44</v>
      </c>
      <c r="D63" t="s">
        <v>583</v>
      </c>
      <c r="E63" t="s">
        <v>584</v>
      </c>
      <c r="F63" t="s">
        <v>585</v>
      </c>
      <c r="G63" t="s">
        <v>95</v>
      </c>
      <c r="H63" t="s">
        <v>193</v>
      </c>
      <c r="I63" t="s">
        <v>61</v>
      </c>
      <c r="J63" t="s">
        <v>586</v>
      </c>
      <c r="K63" t="s">
        <v>99</v>
      </c>
      <c r="L63" t="s">
        <v>587</v>
      </c>
      <c r="M63" s="22">
        <v>45982.333333333343</v>
      </c>
      <c r="N63" s="22">
        <v>45982.611111111109</v>
      </c>
      <c r="P63" t="s">
        <v>101</v>
      </c>
      <c r="Q63" t="s">
        <v>159</v>
      </c>
      <c r="R63" t="s">
        <v>103</v>
      </c>
      <c r="S63" t="s">
        <v>103</v>
      </c>
      <c r="T63" t="s">
        <v>104</v>
      </c>
      <c r="U63" t="s">
        <v>119</v>
      </c>
      <c r="V63" t="s">
        <v>588</v>
      </c>
      <c r="W63" t="s">
        <v>107</v>
      </c>
      <c r="Y63" t="s">
        <v>108</v>
      </c>
      <c r="Z63" t="s">
        <v>109</v>
      </c>
      <c r="AA63" t="s">
        <v>574</v>
      </c>
      <c r="AB63" s="23">
        <v>1</v>
      </c>
      <c r="AC63" s="23">
        <v>44560</v>
      </c>
      <c r="AD63" s="23">
        <v>44560</v>
      </c>
    </row>
    <row r="64" spans="1:30">
      <c r="A64" t="s">
        <v>37</v>
      </c>
      <c r="B64" t="s">
        <v>111</v>
      </c>
      <c r="C64" t="s">
        <v>38</v>
      </c>
      <c r="D64" t="s">
        <v>589</v>
      </c>
      <c r="E64" t="s">
        <v>590</v>
      </c>
      <c r="F64" t="s">
        <v>591</v>
      </c>
      <c r="G64" t="s">
        <v>95</v>
      </c>
      <c r="H64" t="s">
        <v>135</v>
      </c>
      <c r="I64" t="s">
        <v>592</v>
      </c>
      <c r="J64" t="s">
        <v>593</v>
      </c>
      <c r="K64" t="s">
        <v>99</v>
      </c>
      <c r="L64" t="s">
        <v>594</v>
      </c>
      <c r="M64" s="22">
        <v>45982.681944444441</v>
      </c>
      <c r="N64" s="22">
        <v>45985.523611111108</v>
      </c>
      <c r="P64" t="s">
        <v>101</v>
      </c>
      <c r="Q64" t="s">
        <v>101</v>
      </c>
      <c r="R64" t="s">
        <v>103</v>
      </c>
      <c r="S64" t="s">
        <v>103</v>
      </c>
      <c r="T64" t="s">
        <v>104</v>
      </c>
      <c r="U64" t="s">
        <v>105</v>
      </c>
      <c r="V64" t="s">
        <v>595</v>
      </c>
      <c r="W64" t="s">
        <v>107</v>
      </c>
      <c r="X64" t="s">
        <v>596</v>
      </c>
      <c r="Y64" t="s">
        <v>121</v>
      </c>
      <c r="Z64" t="s">
        <v>109</v>
      </c>
      <c r="AA64" t="s">
        <v>375</v>
      </c>
      <c r="AB64" s="23">
        <v>1</v>
      </c>
      <c r="AC64" s="23">
        <v>134411</v>
      </c>
      <c r="AD64" s="23">
        <v>134411</v>
      </c>
    </row>
    <row r="65" spans="1:30">
      <c r="A65" t="s">
        <v>48</v>
      </c>
      <c r="B65" t="s">
        <v>111</v>
      </c>
      <c r="C65" t="s">
        <v>49</v>
      </c>
      <c r="D65" t="s">
        <v>597</v>
      </c>
      <c r="E65" t="s">
        <v>598</v>
      </c>
      <c r="F65" t="s">
        <v>599</v>
      </c>
      <c r="G65" t="s">
        <v>95</v>
      </c>
      <c r="H65" t="s">
        <v>600</v>
      </c>
      <c r="I65" t="s">
        <v>601</v>
      </c>
      <c r="J65" t="s">
        <v>602</v>
      </c>
      <c r="K65" t="s">
        <v>99</v>
      </c>
      <c r="L65" t="s">
        <v>603</v>
      </c>
      <c r="M65" s="22">
        <v>45982.681944444441</v>
      </c>
      <c r="N65" s="22">
        <v>45990.368055555547</v>
      </c>
      <c r="P65" t="s">
        <v>101</v>
      </c>
      <c r="Q65" t="s">
        <v>159</v>
      </c>
      <c r="R65" t="s">
        <v>103</v>
      </c>
      <c r="S65" t="s">
        <v>103</v>
      </c>
      <c r="V65" t="s">
        <v>604</v>
      </c>
      <c r="W65" t="s">
        <v>172</v>
      </c>
      <c r="Y65" t="s">
        <v>173</v>
      </c>
      <c r="Z65" t="s">
        <v>109</v>
      </c>
      <c r="AA65" t="s">
        <v>249</v>
      </c>
      <c r="AB65" s="23">
        <v>0</v>
      </c>
      <c r="AC65" s="23">
        <v>37905</v>
      </c>
      <c r="AD65" s="23">
        <v>37905</v>
      </c>
    </row>
    <row r="66" spans="1:30">
      <c r="A66" t="s">
        <v>54</v>
      </c>
      <c r="B66" t="s">
        <v>111</v>
      </c>
      <c r="C66" t="s">
        <v>38</v>
      </c>
      <c r="D66" t="s">
        <v>605</v>
      </c>
      <c r="E66" t="s">
        <v>606</v>
      </c>
      <c r="F66" t="s">
        <v>607</v>
      </c>
      <c r="G66" t="s">
        <v>95</v>
      </c>
      <c r="H66" t="s">
        <v>244</v>
      </c>
      <c r="I66" t="s">
        <v>608</v>
      </c>
      <c r="J66" t="s">
        <v>609</v>
      </c>
      <c r="K66" t="s">
        <v>99</v>
      </c>
      <c r="L66" t="s">
        <v>610</v>
      </c>
      <c r="M66" s="22">
        <v>45986.352777777778</v>
      </c>
      <c r="N66" s="22">
        <v>45988.994444444441</v>
      </c>
      <c r="P66" t="s">
        <v>101</v>
      </c>
      <c r="Q66" t="s">
        <v>159</v>
      </c>
      <c r="R66" t="s">
        <v>148</v>
      </c>
      <c r="S66" t="s">
        <v>149</v>
      </c>
      <c r="T66" t="s">
        <v>258</v>
      </c>
      <c r="U66" t="s">
        <v>119</v>
      </c>
      <c r="V66" t="s">
        <v>611</v>
      </c>
      <c r="W66" t="s">
        <v>107</v>
      </c>
      <c r="X66" t="s">
        <v>612</v>
      </c>
      <c r="Y66" t="s">
        <v>121</v>
      </c>
      <c r="Z66" t="s">
        <v>109</v>
      </c>
      <c r="AA66" t="s">
        <v>392</v>
      </c>
      <c r="AB66" s="23">
        <v>1</v>
      </c>
      <c r="AC66" s="23">
        <v>134411</v>
      </c>
      <c r="AD66" s="23">
        <v>134411</v>
      </c>
    </row>
    <row r="67" spans="1:30">
      <c r="A67" t="s">
        <v>55</v>
      </c>
      <c r="B67" t="s">
        <v>111</v>
      </c>
      <c r="C67" t="s">
        <v>49</v>
      </c>
      <c r="D67" t="s">
        <v>613</v>
      </c>
      <c r="E67" t="s">
        <v>614</v>
      </c>
      <c r="F67" t="s">
        <v>615</v>
      </c>
      <c r="G67" t="s">
        <v>95</v>
      </c>
      <c r="H67" t="s">
        <v>135</v>
      </c>
      <c r="I67" t="s">
        <v>616</v>
      </c>
      <c r="J67" t="s">
        <v>617</v>
      </c>
      <c r="K67" t="s">
        <v>99</v>
      </c>
      <c r="L67" t="s">
        <v>618</v>
      </c>
      <c r="M67" s="22">
        <v>45986.352777777778</v>
      </c>
      <c r="N67" s="22">
        <v>45987.688888888893</v>
      </c>
      <c r="P67" t="s">
        <v>101</v>
      </c>
      <c r="Q67" t="s">
        <v>101</v>
      </c>
      <c r="R67" t="s">
        <v>148</v>
      </c>
      <c r="S67" t="s">
        <v>170</v>
      </c>
      <c r="T67" t="s">
        <v>104</v>
      </c>
      <c r="U67" t="s">
        <v>105</v>
      </c>
      <c r="V67" t="s">
        <v>619</v>
      </c>
      <c r="W67" t="s">
        <v>107</v>
      </c>
      <c r="X67" t="s">
        <v>620</v>
      </c>
      <c r="Y67" t="s">
        <v>121</v>
      </c>
      <c r="Z67" t="s">
        <v>109</v>
      </c>
      <c r="AA67" t="s">
        <v>205</v>
      </c>
      <c r="AB67" s="23">
        <v>1</v>
      </c>
      <c r="AC67" s="23">
        <v>134411</v>
      </c>
      <c r="AD67" s="23">
        <v>134411</v>
      </c>
    </row>
    <row r="68" spans="1:30">
      <c r="A68" t="s">
        <v>29</v>
      </c>
      <c r="B68" t="s">
        <v>142</v>
      </c>
      <c r="C68" t="s">
        <v>30</v>
      </c>
      <c r="D68" t="s">
        <v>621</v>
      </c>
      <c r="E68" t="s">
        <v>622</v>
      </c>
      <c r="F68" t="s">
        <v>623</v>
      </c>
      <c r="G68" t="s">
        <v>95</v>
      </c>
      <c r="H68" t="s">
        <v>142</v>
      </c>
      <c r="I68" t="s">
        <v>624</v>
      </c>
      <c r="J68" t="s">
        <v>625</v>
      </c>
      <c r="K68" t="s">
        <v>99</v>
      </c>
      <c r="L68" t="s">
        <v>626</v>
      </c>
      <c r="M68" s="22">
        <v>45986.350694444453</v>
      </c>
      <c r="N68" s="22">
        <v>45990.446527777778</v>
      </c>
      <c r="P68" t="s">
        <v>101</v>
      </c>
      <c r="Q68" t="s">
        <v>101</v>
      </c>
      <c r="R68" t="s">
        <v>102</v>
      </c>
      <c r="S68" t="s">
        <v>103</v>
      </c>
      <c r="T68" t="s">
        <v>104</v>
      </c>
      <c r="U68" t="s">
        <v>119</v>
      </c>
      <c r="V68" t="s">
        <v>627</v>
      </c>
      <c r="W68" t="s">
        <v>107</v>
      </c>
      <c r="X68" t="s">
        <v>161</v>
      </c>
      <c r="Y68" t="s">
        <v>121</v>
      </c>
      <c r="Z68" t="s">
        <v>109</v>
      </c>
      <c r="AA68" t="s">
        <v>280</v>
      </c>
      <c r="AB68" s="23">
        <v>1</v>
      </c>
      <c r="AC68" s="23">
        <v>134411</v>
      </c>
      <c r="AD68" s="23">
        <v>134411</v>
      </c>
    </row>
    <row r="69" spans="1:30">
      <c r="A69" t="s">
        <v>29</v>
      </c>
      <c r="B69" t="s">
        <v>142</v>
      </c>
      <c r="C69" t="s">
        <v>30</v>
      </c>
      <c r="D69" t="s">
        <v>628</v>
      </c>
      <c r="E69" t="s">
        <v>629</v>
      </c>
      <c r="F69" t="s">
        <v>630</v>
      </c>
      <c r="G69" t="s">
        <v>95</v>
      </c>
      <c r="H69" t="s">
        <v>142</v>
      </c>
      <c r="I69" t="s">
        <v>631</v>
      </c>
      <c r="J69" t="s">
        <v>632</v>
      </c>
      <c r="K69" t="s">
        <v>99</v>
      </c>
      <c r="L69" t="s">
        <v>633</v>
      </c>
      <c r="M69" s="22">
        <v>45986.350694444453</v>
      </c>
      <c r="N69" s="22">
        <v>45988.992361111108</v>
      </c>
      <c r="P69" t="s">
        <v>101</v>
      </c>
      <c r="Q69" t="s">
        <v>159</v>
      </c>
      <c r="R69" t="s">
        <v>103</v>
      </c>
      <c r="S69" t="s">
        <v>103</v>
      </c>
      <c r="T69" t="s">
        <v>104</v>
      </c>
      <c r="U69" t="s">
        <v>119</v>
      </c>
      <c r="V69" t="s">
        <v>634</v>
      </c>
      <c r="W69" t="s">
        <v>107</v>
      </c>
      <c r="Y69" t="s">
        <v>173</v>
      </c>
      <c r="Z69" t="s">
        <v>109</v>
      </c>
      <c r="AA69" t="s">
        <v>304</v>
      </c>
      <c r="AB69" s="23">
        <v>1</v>
      </c>
      <c r="AC69" s="23">
        <v>222904</v>
      </c>
      <c r="AD69" s="23">
        <v>222904</v>
      </c>
    </row>
    <row r="70" spans="1:30">
      <c r="A70" t="s">
        <v>37</v>
      </c>
      <c r="B70" t="s">
        <v>111</v>
      </c>
      <c r="C70" t="s">
        <v>38</v>
      </c>
      <c r="D70" t="s">
        <v>199</v>
      </c>
      <c r="E70" t="s">
        <v>635</v>
      </c>
      <c r="F70" t="s">
        <v>636</v>
      </c>
      <c r="G70" t="s">
        <v>95</v>
      </c>
      <c r="H70" t="s">
        <v>135</v>
      </c>
      <c r="I70" t="s">
        <v>37</v>
      </c>
      <c r="J70" t="s">
        <v>637</v>
      </c>
      <c r="K70" t="s">
        <v>99</v>
      </c>
      <c r="L70" t="s">
        <v>638</v>
      </c>
      <c r="M70" s="22">
        <v>45986.682638888888</v>
      </c>
      <c r="N70" s="22">
        <v>45987.507638888892</v>
      </c>
      <c r="P70" t="s">
        <v>101</v>
      </c>
      <c r="Q70" t="s">
        <v>101</v>
      </c>
      <c r="R70" t="s">
        <v>103</v>
      </c>
      <c r="S70" t="s">
        <v>103</v>
      </c>
      <c r="T70" t="s">
        <v>104</v>
      </c>
      <c r="U70" t="s">
        <v>119</v>
      </c>
      <c r="V70" t="s">
        <v>639</v>
      </c>
      <c r="W70" t="s">
        <v>107</v>
      </c>
      <c r="X70" t="s">
        <v>640</v>
      </c>
      <c r="Y70" t="s">
        <v>108</v>
      </c>
      <c r="Z70" t="s">
        <v>109</v>
      </c>
      <c r="AA70" t="s">
        <v>427</v>
      </c>
      <c r="AB70" s="23">
        <v>1</v>
      </c>
      <c r="AC70" s="23">
        <v>44560</v>
      </c>
      <c r="AD70" s="23">
        <v>44560</v>
      </c>
    </row>
    <row r="71" spans="1:30">
      <c r="A71" t="s">
        <v>53</v>
      </c>
      <c r="B71" t="s">
        <v>189</v>
      </c>
      <c r="C71" t="s">
        <v>44</v>
      </c>
      <c r="D71" t="s">
        <v>319</v>
      </c>
      <c r="E71" t="s">
        <v>641</v>
      </c>
      <c r="F71" t="s">
        <v>642</v>
      </c>
      <c r="G71" t="s">
        <v>95</v>
      </c>
      <c r="H71" t="s">
        <v>322</v>
      </c>
      <c r="I71" t="s">
        <v>43</v>
      </c>
      <c r="J71" t="s">
        <v>643</v>
      </c>
      <c r="K71" t="s">
        <v>99</v>
      </c>
      <c r="L71" t="s">
        <v>644</v>
      </c>
      <c r="M71" s="22">
        <v>45988.333333333343</v>
      </c>
      <c r="N71" s="22">
        <v>45990.45</v>
      </c>
      <c r="P71" t="s">
        <v>101</v>
      </c>
      <c r="Q71" t="s">
        <v>101</v>
      </c>
      <c r="R71" t="s">
        <v>103</v>
      </c>
      <c r="S71" t="s">
        <v>103</v>
      </c>
      <c r="T71" t="s">
        <v>104</v>
      </c>
      <c r="U71" t="s">
        <v>119</v>
      </c>
      <c r="V71" t="s">
        <v>645</v>
      </c>
      <c r="W71" t="s">
        <v>107</v>
      </c>
      <c r="X71" t="s">
        <v>646</v>
      </c>
      <c r="Y71" t="s">
        <v>317</v>
      </c>
      <c r="Z71" t="s">
        <v>109</v>
      </c>
      <c r="AA71" t="s">
        <v>327</v>
      </c>
      <c r="AB71" s="23">
        <v>1</v>
      </c>
      <c r="AC71" s="23">
        <v>464809</v>
      </c>
      <c r="AD71" s="23">
        <v>464809</v>
      </c>
    </row>
    <row r="72" spans="1:30">
      <c r="A72" t="s">
        <v>51</v>
      </c>
      <c r="B72" t="s">
        <v>91</v>
      </c>
      <c r="C72" t="s">
        <v>22</v>
      </c>
      <c r="D72" t="s">
        <v>469</v>
      </c>
      <c r="E72" t="s">
        <v>647</v>
      </c>
      <c r="F72" t="s">
        <v>648</v>
      </c>
      <c r="G72" t="s">
        <v>95</v>
      </c>
      <c r="H72" t="s">
        <v>96</v>
      </c>
      <c r="I72" t="s">
        <v>51</v>
      </c>
      <c r="K72" t="s">
        <v>99</v>
      </c>
      <c r="L72" t="s">
        <v>649</v>
      </c>
      <c r="M72" s="22">
        <v>45957.504861111112</v>
      </c>
      <c r="N72" s="22">
        <v>45965.39166666667</v>
      </c>
      <c r="Q72" t="s">
        <v>650</v>
      </c>
      <c r="R72" t="s">
        <v>148</v>
      </c>
      <c r="U72" t="s">
        <v>105</v>
      </c>
      <c r="V72" t="s">
        <v>651</v>
      </c>
      <c r="W72" t="s">
        <v>172</v>
      </c>
      <c r="Y72" t="s">
        <v>173</v>
      </c>
      <c r="Z72" t="s">
        <v>109</v>
      </c>
      <c r="AA72" t="s">
        <v>652</v>
      </c>
      <c r="AB72" s="23">
        <v>0</v>
      </c>
      <c r="AC72" s="23">
        <v>37905</v>
      </c>
      <c r="AD72" s="23">
        <v>37905</v>
      </c>
    </row>
    <row r="73" spans="1:30">
      <c r="A73" t="s">
        <v>51</v>
      </c>
      <c r="B73" t="s">
        <v>91</v>
      </c>
      <c r="C73" t="s">
        <v>22</v>
      </c>
      <c r="D73" t="s">
        <v>469</v>
      </c>
      <c r="E73" t="s">
        <v>653</v>
      </c>
      <c r="F73" t="s">
        <v>654</v>
      </c>
      <c r="G73" t="s">
        <v>95</v>
      </c>
      <c r="H73" t="s">
        <v>96</v>
      </c>
      <c r="I73" t="s">
        <v>51</v>
      </c>
      <c r="J73" t="s">
        <v>655</v>
      </c>
      <c r="K73" t="s">
        <v>99</v>
      </c>
      <c r="L73" t="s">
        <v>656</v>
      </c>
      <c r="M73" s="22">
        <v>45961.458333333343</v>
      </c>
      <c r="N73" s="22">
        <v>45965.320833333331</v>
      </c>
      <c r="P73" t="s">
        <v>101</v>
      </c>
      <c r="Q73" t="s">
        <v>650</v>
      </c>
      <c r="R73" t="s">
        <v>103</v>
      </c>
      <c r="S73" t="s">
        <v>103</v>
      </c>
      <c r="T73" t="s">
        <v>258</v>
      </c>
      <c r="U73" t="s">
        <v>259</v>
      </c>
      <c r="V73" t="s">
        <v>657</v>
      </c>
      <c r="W73" t="s">
        <v>107</v>
      </c>
      <c r="Y73" t="s">
        <v>108</v>
      </c>
      <c r="Z73" t="s">
        <v>109</v>
      </c>
      <c r="AA73" t="s">
        <v>110</v>
      </c>
      <c r="AB73" s="23">
        <v>1</v>
      </c>
      <c r="AC73" s="23">
        <v>44560</v>
      </c>
      <c r="AD73" s="23">
        <v>44560</v>
      </c>
    </row>
    <row r="74" spans="1:30">
      <c r="A74" t="s">
        <v>53</v>
      </c>
      <c r="B74" t="s">
        <v>189</v>
      </c>
      <c r="C74" t="s">
        <v>44</v>
      </c>
      <c r="D74" t="s">
        <v>658</v>
      </c>
      <c r="E74" t="s">
        <v>659</v>
      </c>
      <c r="F74" t="s">
        <v>660</v>
      </c>
      <c r="G74" t="s">
        <v>95</v>
      </c>
      <c r="H74" t="s">
        <v>661</v>
      </c>
      <c r="I74" t="s">
        <v>53</v>
      </c>
      <c r="J74" t="s">
        <v>662</v>
      </c>
      <c r="K74" t="s">
        <v>99</v>
      </c>
      <c r="L74" t="s">
        <v>663</v>
      </c>
      <c r="M74" s="22">
        <v>45979.482638888891</v>
      </c>
      <c r="N74" s="22">
        <v>45979.595138888893</v>
      </c>
      <c r="P74" t="s">
        <v>101</v>
      </c>
      <c r="Q74" t="s">
        <v>650</v>
      </c>
      <c r="R74" t="s">
        <v>148</v>
      </c>
      <c r="S74" t="s">
        <v>170</v>
      </c>
      <c r="T74" t="s">
        <v>258</v>
      </c>
      <c r="U74" t="s">
        <v>259</v>
      </c>
      <c r="V74" t="s">
        <v>664</v>
      </c>
      <c r="W74" t="s">
        <v>107</v>
      </c>
      <c r="X74" t="s">
        <v>475</v>
      </c>
      <c r="Y74" t="s">
        <v>108</v>
      </c>
      <c r="Z74" t="s">
        <v>109</v>
      </c>
      <c r="AA74" t="s">
        <v>665</v>
      </c>
      <c r="AB74" s="23">
        <v>1</v>
      </c>
      <c r="AC74" s="23">
        <v>44560</v>
      </c>
      <c r="AD74" s="23">
        <v>44560</v>
      </c>
    </row>
  </sheetData>
  <conditionalFormatting sqref="E1:E74 E148:E1048576">
    <cfRule type="duplicateValues" dxfId="1" priority="1"/>
    <cfRule type="duplicateValues" dxfId="0" priority="2"/>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7869D4-974D-4D37-873A-58594EB75D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A65298-E6CA-494F-87E3-685232EAFA0F}">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3.xml><?xml version="1.0" encoding="utf-8"?>
<ds:datastoreItem xmlns:ds="http://schemas.openxmlformats.org/officeDocument/2006/customXml" ds:itemID="{273B75CD-5714-4AE0-A213-3155EFFD8F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DE LIQUIDACION 2025</vt:lpstr>
      <vt:lpstr>RESUMEN LIQUIDACIÓN</vt:lpstr>
      <vt:lpstr>CENTRO DE COSTOS</vt:lpstr>
      <vt:lpstr>CIERRES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Lini Jhojana Hernandez Mora</cp:lastModifiedBy>
  <dcterms:created xsi:type="dcterms:W3CDTF">2015-11-09T13:46:27Z</dcterms:created>
  <dcterms:modified xsi:type="dcterms:W3CDTF">2025-12-05T03:02:20Z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