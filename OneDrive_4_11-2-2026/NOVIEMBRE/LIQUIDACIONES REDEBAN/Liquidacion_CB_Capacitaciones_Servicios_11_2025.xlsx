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NOVIEMBRE/"/>
    </mc:Choice>
  </mc:AlternateContent>
  <xr:revisionPtr revIDLastSave="0" documentId="8_{B4AE7185-C16D-42AD-9B1A-735B1F0F56AE}" xr6:coauthVersionLast="47" xr6:coauthVersionMax="47" xr10:uidLastSave="{00000000-0000-0000-0000-000000000000}"/>
  <bookViews>
    <workbookView xWindow="28680" yWindow="-825" windowWidth="29040" windowHeight="15720" tabRatio="903" activeTab="1" xr2:uid="{00000000-000D-0000-FFFF-FFFF00000000}"/>
  </bookViews>
  <sheets>
    <sheet name="BASE FACTURACION 2025" sheetId="1" r:id="rId1"/>
    <sheet name="RESUMEN LIQUIDACIÓN" sheetId="4" r:id="rId2"/>
    <sheet name="CENTRO DE COSTOS" sheetId="2" state="hidden" r:id="rId3"/>
    <sheet name="CAPACITACIONES_APERTURAS" sheetId="3"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xlnm._FilterDatabase" localSheetId="3" hidden="1">CAPACITACIONES_APERTURAS!$A$1:$AC$120</definedName>
    <definedName name="_xlnm._FilterDatabase" localSheetId="2" hidden="1">'CENTRO DE COSTOS'!$A$1:$D$23</definedName>
    <definedName name="A" localSheetId="2">#REF!</definedName>
    <definedName name="A">#REF!</definedName>
    <definedName name="ACTIVIDAD" localSheetId="2">[1]Hoja2!$P$2:$P$30</definedName>
    <definedName name="Actividad">[2]Formulas!$H$2:$H$5000</definedName>
    <definedName name="Analistas">'[3]Listas Desplegables'!$T$2:$T$7</definedName>
    <definedName name="arearesponsable">'[4]Listas desplegables'!$BB$2:$BB$100</definedName>
    <definedName name="CCO" localSheetId="2">[5]Tecnicos!$A$2:$A$1000</definedName>
    <definedName name="CCO">[6]Tecnicos!$A$2:$A$1000</definedName>
    <definedName name="Clientes" localSheetId="2">[7]Clientes!$A$2:$A$100</definedName>
    <definedName name="Clientes">[2]Clientes!$A$2:$A$100</definedName>
    <definedName name="COORDINADOR">[1]Hoja2!$D$2:$D$30</definedName>
    <definedName name="Coordinadores" localSheetId="2">[8]Coordinadores!$A$2:$A$1000</definedName>
    <definedName name="Coordinadores">[2]Coordinadores!$A$2:$A$1000</definedName>
    <definedName name="DOCUMENTADOR">[1]Hoja2!$A$2:$A$30</definedName>
    <definedName name="ES">[1]Hoja2!$K$2:$K$30</definedName>
    <definedName name="ESS">[1]Hoja2!$K$2:$K$30</definedName>
    <definedName name="Estado" localSheetId="2">[7]Formulas!$K$2:$K$5000</definedName>
    <definedName name="Estado">[2]Formulas!$K$2:$K$5000</definedName>
    <definedName name="ESTADOACTIVIDAD">[1]Hoja2!$M$2:$M$30</definedName>
    <definedName name="ESTADOS" localSheetId="2">'[9]Listas desplegables'!$B$1:$D$1</definedName>
    <definedName name="ESTADOS">'[10]Listas desplegables'!$B$1:$D$1</definedName>
    <definedName name="ESTADOSCIERRES">'[11]lista desplegable'!$CX$1:$DA$1</definedName>
    <definedName name="Facturacion">'[12]Listas desplegables'!$AO$1:$AR$1</definedName>
    <definedName name="FACTURACIÓN" localSheetId="2">'[9]Listas desplegables'!$Y$1:$AB$1</definedName>
    <definedName name="FACTURACIÓN">'[10]Listas desplegables'!$Y$1:$AB$1</definedName>
    <definedName name="falla">#REF!</definedName>
    <definedName name="Fallas" localSheetId="2">'[13]Listas desplegables'!$F$2:$L$2</definedName>
    <definedName name="Fallas">'[14]Listas desplegables'!$F$2:$L$2</definedName>
    <definedName name="Grupo_Falla" localSheetId="2">'[15]Listas Desplegables'!$CH$2:$CH$5</definedName>
    <definedName name="Grupo_Falla">'[16]Listas Desplegables'!$CH$2:$CH$5</definedName>
    <definedName name="inconservmanager" localSheetId="2">'[17]Listas desplegables'!$BC$2:$BC$100</definedName>
    <definedName name="inconservmanager">'[4]Listas desplegables'!$BC$2:$BC$100</definedName>
    <definedName name="INCUMPLIMIENTO" localSheetId="2">'[4]Listas desplegables'!$AK$1:$AN$1</definedName>
    <definedName name="INCUMPLIMIENTO">'[18]Listas desplegables'!$AT$1:$AX$1</definedName>
    <definedName name="LISTA" localSheetId="2">[19]Dptos!$A$1139:$A$1171</definedName>
    <definedName name="LISTA">[19]Dptos!$A$1139:$A$1171</definedName>
    <definedName name="LISTA2" localSheetId="2">#REF!</definedName>
    <definedName name="LISTA2">[20]Hoja3!$A$1:$A$26</definedName>
    <definedName name="LOLO">[21]Coordinadores!$A$2:$A$1000</definedName>
    <definedName name="solicitudes" localSheetId="2">'[12]Listas desplegables'!$U$1:$AF$1</definedName>
    <definedName name="solicitudes">'[22]Listas desplegables'!$U$1:$AF$1</definedName>
    <definedName name="Tecnicos" localSheetId="2">[7]Tecnicos!$A$2:$A$1000</definedName>
    <definedName name="Tecnicos">[2]Tecnicos!$A$2:$A$1000</definedName>
    <definedName name="Version" localSheetId="2">[23]Formulas!$I$2:$I$3</definedName>
    <definedName name="Version">[2]Formulas!$I$2:$I$3</definedName>
  </definedNames>
  <calcPr calcId="191029"/>
</workbook>
</file>

<file path=xl/calcChain.xml><?xml version="1.0" encoding="utf-8"?>
<calcChain xmlns="http://schemas.openxmlformats.org/spreadsheetml/2006/main">
  <c r="F2" i="4" l="1"/>
  <c r="F4" i="4" s="1"/>
  <c r="H3" i="4"/>
  <c r="I3" i="4" s="1"/>
  <c r="A3" i="4"/>
  <c r="H2" i="4" l="1"/>
  <c r="H4" i="4" l="1"/>
  <c r="I2" i="4"/>
  <c r="I4" i="4" s="1"/>
  <c r="D17" i="1"/>
  <c r="C17" i="1"/>
  <c r="D16" i="1"/>
  <c r="C16" i="1"/>
  <c r="D15" i="1"/>
  <c r="C15" i="1"/>
  <c r="D14" i="1"/>
  <c r="C14" i="1"/>
  <c r="D13" i="1"/>
  <c r="C13" i="1"/>
  <c r="F7" i="1"/>
  <c r="E7" i="1"/>
  <c r="D7" i="1"/>
  <c r="C7" i="1"/>
  <c r="F6" i="1"/>
  <c r="E6" i="1"/>
  <c r="D6" i="1"/>
  <c r="C6" i="1"/>
  <c r="F5" i="1"/>
  <c r="E5" i="1"/>
  <c r="D5" i="1"/>
  <c r="C5" i="1"/>
  <c r="F4" i="1"/>
  <c r="E4" i="1"/>
  <c r="D4" i="1"/>
  <c r="C4" i="1"/>
  <c r="F3" i="1"/>
  <c r="E3" i="1"/>
  <c r="D3" i="1"/>
  <c r="C3" i="1"/>
</calcChain>
</file>

<file path=xl/sharedStrings.xml><?xml version="1.0" encoding="utf-8"?>
<sst xmlns="http://schemas.openxmlformats.org/spreadsheetml/2006/main" count="2571" uniqueCount="1027">
  <si>
    <t>Incidentes, Aperturas y Gestion de campo 2025</t>
  </si>
  <si>
    <t>Incremento 2025</t>
  </si>
  <si>
    <t xml:space="preserve">Tipificación </t>
  </si>
  <si>
    <t>Descripción</t>
  </si>
  <si>
    <t>Capacitacion - Apertura</t>
  </si>
  <si>
    <t xml:space="preserve">Capacitacion OC  </t>
  </si>
  <si>
    <t>Gestión Telefónica</t>
  </si>
  <si>
    <t>Capacitación especifica Cambio de red</t>
  </si>
  <si>
    <t>Tipo I</t>
  </si>
  <si>
    <t>Metropolitano</t>
  </si>
  <si>
    <t>Tipo II</t>
  </si>
  <si>
    <t>Hasta 3 horas</t>
  </si>
  <si>
    <t>Tipo III</t>
  </si>
  <si>
    <t>De 3 a 5 horas</t>
  </si>
  <si>
    <t>Tipo IV</t>
  </si>
  <si>
    <t>Más de 5 horas</t>
  </si>
  <si>
    <t>Destino Aereo*</t>
  </si>
  <si>
    <t>Viajes en Avión</t>
  </si>
  <si>
    <t xml:space="preserve">* Tener presente que se cobrara el valor del tiquete de avion mas un porcentaje </t>
  </si>
  <si>
    <t>**Para  la capacitacion de datafono adicional se cobrara la mitad de una actividad normal, para este caso $70.053</t>
  </si>
  <si>
    <t>TARIFAS 2025</t>
  </si>
  <si>
    <t>Dia actividad Exitosa</t>
  </si>
  <si>
    <t>Dia actividad Fallida</t>
  </si>
  <si>
    <t>Destino aereo</t>
  </si>
  <si>
    <t>No incluye valor del Tiquete</t>
  </si>
  <si>
    <t>*Donde se requiera transporte aéreo o fluvial se factura adicional a tarifa TIPO IV el valor del tiquete + el 12% de admon.</t>
  </si>
  <si>
    <t>CIUDAD</t>
  </si>
  <si>
    <t>CENTRO_COSTO</t>
  </si>
  <si>
    <t>DESCRIPCION</t>
  </si>
  <si>
    <t>COORDINADOR</t>
  </si>
  <si>
    <t>APARTADO</t>
  </si>
  <si>
    <t>0004-0005</t>
  </si>
  <si>
    <t>Redeban Noroccidente (Medellín)</t>
  </si>
  <si>
    <t>JUAN SEBASTIÁN RÍOS CASTRILLÓN</t>
  </si>
  <si>
    <t>BARRANQUILLA</t>
  </si>
  <si>
    <t>0004-0001</t>
  </si>
  <si>
    <t>Redeban Costa (Barranqullla)</t>
  </si>
  <si>
    <t>JOSE MAURICIO HERNANDEZ ROJAS</t>
  </si>
  <si>
    <t>BOGOTA</t>
  </si>
  <si>
    <t>0004-0004</t>
  </si>
  <si>
    <t>Redeban Centro ( Bogotá)</t>
  </si>
  <si>
    <t>WILLIAM ASDRUBAL ROZO ROZO</t>
  </si>
  <si>
    <t>BUCARAMANGA</t>
  </si>
  <si>
    <t>0004-0008</t>
  </si>
  <si>
    <t>Redeban Santander</t>
  </si>
  <si>
    <t>MIGUEL JULIÁN HERNÁNDEZ GUARÍN</t>
  </si>
  <si>
    <t>CALI</t>
  </si>
  <si>
    <t>0004-0003</t>
  </si>
  <si>
    <t>Redeban Suroccidente (Cali)</t>
  </si>
  <si>
    <t>DIEGO FERNANDO HENAO CARDONA</t>
  </si>
  <si>
    <t>CARTAGENA</t>
  </si>
  <si>
    <t>CUCUTA</t>
  </si>
  <si>
    <t>FLORENCIA</t>
  </si>
  <si>
    <t>0004-0007</t>
  </si>
  <si>
    <t>Redeban Oriente (Otros)</t>
  </si>
  <si>
    <t>KEVIN ALEXIS CORZO BUSTOS</t>
  </si>
  <si>
    <t>IBAGUE</t>
  </si>
  <si>
    <t>MANIZALES</t>
  </si>
  <si>
    <t>0004-0002</t>
  </si>
  <si>
    <t>Redeban Eje Cafetero (Pereira)</t>
  </si>
  <si>
    <t>MEDELLIN</t>
  </si>
  <si>
    <t>MONTERIA</t>
  </si>
  <si>
    <t>NEIVA</t>
  </si>
  <si>
    <t>PASTO</t>
  </si>
  <si>
    <t>PEREIRA</t>
  </si>
  <si>
    <t>POPAYAN</t>
  </si>
  <si>
    <t>SANTA MARTA</t>
  </si>
  <si>
    <t>SINCELEJO</t>
  </si>
  <si>
    <t>TUNJA</t>
  </si>
  <si>
    <t>VALLEDUPAR</t>
  </si>
  <si>
    <t>VILLAVICENCIO</t>
  </si>
  <si>
    <t>YOPAL</t>
  </si>
  <si>
    <t>CIUDAD SEDE</t>
  </si>
  <si>
    <t>ZONA</t>
  </si>
  <si>
    <t>CENTRO DE COSTOS LINEACOM</t>
  </si>
  <si>
    <t>CODIGO DANE</t>
  </si>
  <si>
    <t>TA/CODIGO ACTIVIDAD</t>
  </si>
  <si>
    <t>CODIGO CB</t>
  </si>
  <si>
    <t>ACTIVIDAD</t>
  </si>
  <si>
    <t>TIPO DE APERTURA</t>
  </si>
  <si>
    <t>DEPARTAMENTO</t>
  </si>
  <si>
    <t xml:space="preserve">NOMBRE  DEL CB </t>
  </si>
  <si>
    <t>RED</t>
  </si>
  <si>
    <t>FO</t>
  </si>
  <si>
    <t>FECHA LISTA</t>
  </si>
  <si>
    <t>FECHA ULTIMA ACTUALIZACION</t>
  </si>
  <si>
    <t>FORMATO</t>
  </si>
  <si>
    <t>CADENA</t>
  </si>
  <si>
    <t>ESTADO</t>
  </si>
  <si>
    <t>OBSERVACIONES CLIENTE</t>
  </si>
  <si>
    <t>FORMA DE ATENCION</t>
  </si>
  <si>
    <t>TERMINAL(ES)</t>
  </si>
  <si>
    <t>TIPIFICACION</t>
  </si>
  <si>
    <t>TIPO DE TRAYECTO</t>
  </si>
  <si>
    <t xml:space="preserve">NOMBRE DEL TECNICO </t>
  </si>
  <si>
    <t>CAPACITACION COMPLETA</t>
  </si>
  <si>
    <t>CAPACITACION ESPECIFICA</t>
  </si>
  <si>
    <t>VALOR DIAS ACTIVIDAD FACTURABLES</t>
  </si>
  <si>
    <t>VALOR DIAS ACOMPAÑAMIENTO FACTURABLES</t>
  </si>
  <si>
    <t>VALOR TOTAL</t>
  </si>
  <si>
    <t>SUROCCIDENTE Y EJE CAFETERO</t>
  </si>
  <si>
    <t>52399</t>
  </si>
  <si>
    <t>TA-25-1247989</t>
  </si>
  <si>
    <t>3007082042</t>
  </si>
  <si>
    <t>APERTURA</t>
  </si>
  <si>
    <t>CB CRECIMIENTO ALIANZA - NUEVO</t>
  </si>
  <si>
    <t>NARIÑO</t>
  </si>
  <si>
    <t>LA UNION</t>
  </si>
  <si>
    <t>DISTRICOL DISTRI SALSAS LOPEZ</t>
  </si>
  <si>
    <t>REDEBAN</t>
  </si>
  <si>
    <t>FO-25-1751786</t>
  </si>
  <si>
    <t>AGREGADOR</t>
  </si>
  <si>
    <t>DISTRICOL</t>
  </si>
  <si>
    <t>EJECUTADO</t>
  </si>
  <si>
    <t>29/10/2025 29-10 PROGRAMACIÓN REALIZADA POR LA ALIANZA| INSTALACIÓN PROGRAMADA PARA EL 2025-11-03 | 05/11/2025 SE REALIZA INSTALACIÓN DE CORRESPONSAL BANCARIO SE INSTALA VERSION SE CONFIGURA PARÁMETROS SE INICIALIZA SE REALIZA INSTALACIÓN DE PUBLICIDAD SE DICTA CAPACITACIÓN PRUEBAS DE FUNCIONAMIENTO EXITOSAS CB QUEDA OPERATIVO</t>
  </si>
  <si>
    <t>VISITA TECNICA</t>
  </si>
  <si>
    <t>CA002301</t>
  </si>
  <si>
    <t>TIPO III</t>
  </si>
  <si>
    <t>TERRESTRE</t>
  </si>
  <si>
    <t>BRAVO MADROÑERO OSCAR ESTEBAN</t>
  </si>
  <si>
    <t>TA-25-1247990</t>
  </si>
  <si>
    <t>3007082043</t>
  </si>
  <si>
    <t>DISTRICOL PAP Y MIS DEL PARQUE</t>
  </si>
  <si>
    <t>FO-25-1751788</t>
  </si>
  <si>
    <t>29/10/2025 29-10 PROGRAMACIÓN REALIZADA POR LA ALIANZA| INSTALACIÓN PROGRAMADA PARA EL 2025-11-03 | 04/11/2025 SE ESTABLECE COMUNICACIÓN CON CLIENTE SE LE INFORMA QUE POR NOVEDAD EN LA VÍA NO FUE POSIBLE REALIZAR INSTALACIÓN EL DÍA DE HOY SE PROGRAMA VISITA PARA EL DÍA DE MAÑANA 05/11 | 05/11/2025 SE LLEGA A CORRESPONSAL A REALIZAR INSTALACIÓN DE CORRESPONSAL BANCARIO SE INICIA CONFIGURACIÓN  DE DATAFONO SE VERIFICA QUE PLACA NO CONCUERDA CON TERMINAL Y NOMBRE DE CB SE ESCALA A RBM REALIZAN ACTUALIZACIÓN DE TERMINAL SE CONFIGURA PARÁMETROS SE INICIALIZA SE REALIZA INSTALACIÓN DE PUBLICIDAD SE DICTA CAPACITACIÓN PRUEBAS DE FUNCIONAMIENTO EXITOSAS CB QUEDA OPERATIVO</t>
  </si>
  <si>
    <t>CA002302</t>
  </si>
  <si>
    <t>SANTANDERES</t>
  </si>
  <si>
    <t>81736</t>
  </si>
  <si>
    <t>TA-25-1248004</t>
  </si>
  <si>
    <t>3007082067</t>
  </si>
  <si>
    <t>ARAUCA</t>
  </si>
  <si>
    <t>SARAVENA</t>
  </si>
  <si>
    <t>DISTRICOL SOLUCIONES EMPRESARI</t>
  </si>
  <si>
    <t>FO-25-1751834</t>
  </si>
  <si>
    <t>29/10/2025 29-10 PROGRAMACIÓN REALIZADA POR LA ALIANZA| INSTALACIÓN PROGRAMADA PARA EL 2025-11-06 | 31/10/2025 EN COMUNICACIÓN CON EL SEÑOR FIDEL AL MOVIL 3162733574, EN COMUNICACIÓN CON EL SEÑOR FIDEL AL MOVIL 3162733574, NO SE LE INFORMA QUE ESTAMOS A LA ESPERA DE LA DISPONIBILIDAD DEL VUELO, QUÉ ESTARÍAMOS VISITANDOLO PARA REALIZAR LA INSTALACIÓN DESPUÉS DEL MARTES 4 DE NOVIEMBRE | 04/11/2025 EN COMUNICACIÓN CON EL SEÑOR FIDEL AL MOVIL 3162733574, SE CONFIRMA CANAL A DE DATOS Y SERVICIO ELECTRICO OK, SE VALIDA DISPONIBILIDAD DE ATENCIÓN PARA EL DÍA DE HOY 4 DE NOVIEMBRE | 04/11/2025 INSTALACIÓN DE CB BANCOLOMBIA, INSTALACION DE DATAFONO LECTORA FUENTE CABLE PACTHCORD Y BASE FUENTE Y CUBRE CLAVE, SE CAPACITA SOBRE LA WEB SOMOS BANCOLOMBIA, SE CAPACITA SOBRE RETIROS DEPÓSITOS RECUADOS TRASFERENCIAS SALDO Y SE EXPLICA SOBRE CIERRE Y CUADRE DIARIO.</t>
  </si>
  <si>
    <t>CA002315</t>
  </si>
  <si>
    <t>TIPO V</t>
  </si>
  <si>
    <t>AEREO</t>
  </si>
  <si>
    <t>SANTOS GONZALEZ JOHAN FABIAN</t>
  </si>
  <si>
    <t>86320</t>
  </si>
  <si>
    <t>TA-25-1248007</t>
  </si>
  <si>
    <t>3007082049</t>
  </si>
  <si>
    <t>PUTUMAYO</t>
  </si>
  <si>
    <t>ORITO</t>
  </si>
  <si>
    <t>DISTRICOL  ATLANTHA CJ</t>
  </si>
  <si>
    <t>FO-25-1751838</t>
  </si>
  <si>
    <t>29/10/2025 29-10 PROGRAMACIÓN REALIZADA POR LA ALIANZA| INSTALACIÓN PROGRAMADA PARA EL 2025-10-31 | 31/10/2025 NO ES POSIBLE VIAJAR EL DIA DE HOY HACIA EL DEPARTAMENTO DEL PUTUMAYO POR PROBLEMAS DE TRANSPORTE SE REALIZARA DESPLAZAMIENTO AL DIA MARTES . | 05/11/2025 SE VISITA EL COMERCIO PARA DAR APERTURA AL CB, SE INSTALA DATÁFONO CON MAGIC BOX, BASE, LECTORA, SE INSTALA PUBLICIDAD, SE DEJA ROLLOS, SE HACE PRUEBAS EXCEPTO DE RECAUDO POR NO TENER RECURSOS PARA HACERLO, SE CAPACITA OK, SOMOS BANCOLOMBIA OK CB OPERATIVO</t>
  </si>
  <si>
    <t>CA002316</t>
  </si>
  <si>
    <t>TIPO IV</t>
  </si>
  <si>
    <t>GUERRERO RAMIREZ OSCAR DARIO</t>
  </si>
  <si>
    <t>NOROCCIDENTE</t>
  </si>
  <si>
    <t>5001</t>
  </si>
  <si>
    <t>TA-25-1270687</t>
  </si>
  <si>
    <t>3007082151</t>
  </si>
  <si>
    <t>ANTIOQUIA</t>
  </si>
  <si>
    <t>DISTRICOL LA ABUNDANCIA SHALOM</t>
  </si>
  <si>
    <t>FO-25-1790280</t>
  </si>
  <si>
    <t>06/11/2025 06-11 PROGRAMACION REALIZADA POR LA ALIANZA| INSTALACIÓN PROGRAMADA PARA EL 2025-11-07 | 07/11/2025 SE INSTALA EQUIPO, SE REALIZA CAPACITACIÓN SE INSTALA PUBLICIDAD SE REALIZAN PRUEBAS EXITOSAS SERVICIO OPERATIVO OK</t>
  </si>
  <si>
    <t>DA000378</t>
  </si>
  <si>
    <t>TIPO I</t>
  </si>
  <si>
    <t>ZAPATA LOPEZ EDWARD ASDRUBAL</t>
  </si>
  <si>
    <t>TA-25-1270688</t>
  </si>
  <si>
    <t>3007082152</t>
  </si>
  <si>
    <t>DISTRICOL MERCOFERTAS</t>
  </si>
  <si>
    <t>FO-25-1790283</t>
  </si>
  <si>
    <t>06/11/2025 06-11 PROGRAMACION REALIZADA POR LA ALIANZA| INSTALACIÓN PROGRAMADA PARA EL 2025-11-08 | 07/11/2025 INSTALACIÓN SE REPROGRAMA PARA DÍA LUNES 10 POR PREVENCIÓN DE NOVEDADES QUE SE PUEDAN PRESENTAR DÍA SÁBADO. SE INFORMÓ A USUARIO Y CON SU APROBACIÓN SE ACUERDA VISITA DÍA LUNES. | 11/11/2025 SE INSTALA PUBLICIDAD Y EQUIPOS A PETICIÓN DEL USUARIO, SE DEJAN SERVICIOS FUNCIONANDO CORRECTAMENTE, CAPACITACIÓN OK.</t>
  </si>
  <si>
    <t>DA000379</t>
  </si>
  <si>
    <t>BARRIENTOS HERNANDEZ CRISTIAN HORACIO</t>
  </si>
  <si>
    <t>TA-25-1270689</t>
  </si>
  <si>
    <t>3007082153</t>
  </si>
  <si>
    <t>PTM MEDELLIN THE ALBANS</t>
  </si>
  <si>
    <t>FO-25-1790289</t>
  </si>
  <si>
    <t>06/11/2025 06-11 PROGRAMACION REALIZADA POR LA ALIANZA| INSTALACIÓN PROGRAMADA PARA EL 2025-11-08 | 07/11/2025 INSTALACIÓN SE REPROGRAMA PARA DÍA LUNES 10 POR PREVENCIÓN DE NOVEDADES QUE SE PUEDAN PRESENTAR DÍA SÁBADO. SE INFORMÓ A USUARIO Y CON SU APROBACIÓN SE ACUERDA VISITA DÍA LUNES. | 11/11/2025 SE INSTALA PUBLICIDAD Y EQUIPOS A PETICIÓN DEL USUARIO, SE DEJAN SERVICIOS FUNCIONANDO CORRECTAMENTE</t>
  </si>
  <si>
    <t>DA000380-DA000313</t>
  </si>
  <si>
    <t>TA-25-1270690</t>
  </si>
  <si>
    <t>3007082154</t>
  </si>
  <si>
    <t>PTM MEDELLIN DISTRIBUIDORA A&amp;M</t>
  </si>
  <si>
    <t>FO-25-1790295</t>
  </si>
  <si>
    <t>06/11/2025 06-11 PROGRAMACION REALIZADA POR LA ALIANZA| INSTALACIÓN PROGRAMADA PARA EL 2025-11-08 | 07/11/2025 INSTALACIÓN SE REPROGRAMA PARA DÍA LUNES 10 POR PREVENCIÓN DE NOVEDADES QUE SE PUEDAN PRESENTAR DÍA SÁBADO. SE INFORMÓ A USUARIO Y CON SU APROBACIÓN SE ACUERDA VISITA DÍA LUNES. | 10/11/2025 SE REALIZÓ VISITA TÉCNICA PARA LA INSTALACIÓN DEL CORRESPONSAL BANCOLOMBIA. EL USUARIO CONFIRMÓ SU IDENTIFICACIÓN Y SE VALIDARON LAS CONDICIONES DEL LUGAR, VERIFICANDO QUE CUMPLIERA CON LOS REQUISITOS NECESARIOS PARA LA INSTALACIÓN.
UNA VEZ APROBADO EL ESPACIO, SE PROCEDIÓ CON LA INSTALACIÓN DE LOS EQUIPOS CORRESPONDIENTES. SE REALIZARON PRUEBAS FUNCIONALES, TODAS CON RESULTADOS EXITOSOS, GARANTIZANDO EL CORRECTO DESEMPEÑO DE LOS DISPOSITIVOS.
POSTERIORMENTE, SE BRINDÓ CAPACITACIÓN AL USUARIO SOBRE EL USO DE LA PLATAFORMA SOMOS BANCOLOMBIA, INCLUYENDO EL MANEJO DE LOS EQUIPOS Y LA EJECUCIÓN DE TRANSACCIONES. TAMBIÉN SE INSTALARON LOS AVISOS INFORMATIVOS SEGÚN LAS INDICACIONES DEL CLIENTE.
FINALIZADA LA INTERVENCIÓN, EL PUNTO QUEDÓ COMPLETAMENTE OPERATIVO Y LISTO PARA INICIAR ACTIVIDADES.</t>
  </si>
  <si>
    <t>DA000381- DA000314</t>
  </si>
  <si>
    <t>MARTINEZ TOVAR OSCAR DAVID</t>
  </si>
  <si>
    <t>TA-25-1270692</t>
  </si>
  <si>
    <t>3007082155</t>
  </si>
  <si>
    <t>PTM MEDELLIN TU CYBER ESPACIO</t>
  </si>
  <si>
    <t>FO-25-1790300</t>
  </si>
  <si>
    <t>06/11/2025 06-11 PROGRAMACION REALIZADA POR LA ALIANZA| INSTALACIÓN PROGRAMADA PARA EL 2025-11-08 | 10/11/2025 INSTALACIÓN SE REPROGRAMA PARA DÍA LUNES 10 POR PREVENCIÓN DE NOVEDADES QUE SE PUEDAN PRESENTAR DÍA SÁBADO. SE INFORMÓ A USUARIO Y CON SU APROBACIÓN SE ACUERDA VISITA DÍA LUNES. | 10/11/2025 SE REALIZÓ VISITA TÉCNICA PARA LA INSTALACIÓN DEL CORRESPONSAL BANCOLOMBIA. EL USUARIO CONFIRMÓ SU IDENTIFICACIÓN Y SE VALIDARON LAS CONDICIONES DEL LUGAR, VERIFICANDO QUE CUMPLIERA CON LOS REQUISITOS NECESARIOS PARA LA INSTALACIÓN.
UNA VEZ APROBADO EL ESPACIO, SE PROCEDIÓ CON LA INSTALACIÓN DE LOS EQUIPOS CORRESPONDIENTES. SE REALIZARON PRUEBAS FUNCIONALES, TODAS CON RESULTADOS EXITOSOS, GARANTIZANDO EL CORRECTO DESEMPEÑO DE LOS DISPOSITIVOS.
POSTERIORMENTE, SE BRINDÓ CAPACITACIÓN AL USUARIO SOBRE EL USO DE LA PLATAFORMA SOMOS BANCOLOMBIA, INCLUYENDO EL MANEJO DE LOS EQUIPOS Y LA EJECUCIÓN DE TRANSACCIONES. TAMBIÉN SE INSTALARON LOS AVISOS INFORMATIVOS SEGÚN LAS INDICACIONES DEL CLIENTE.
FINALIZADA LA INTERVENCIÓN, EL PUNTO QUEDÓ COMPLETAMENTE OPERATIVO Y LISTO PARA INICIAR ACTIVIDADES.</t>
  </si>
  <si>
    <t>DA000382- DA000315</t>
  </si>
  <si>
    <t>5088</t>
  </si>
  <si>
    <t>TA-25-1270694</t>
  </si>
  <si>
    <t>3007082149</t>
  </si>
  <si>
    <t>BELLO</t>
  </si>
  <si>
    <t>DISTRICOL ENTRECERRO</t>
  </si>
  <si>
    <t>FO-25-1790303</t>
  </si>
  <si>
    <t>06/11/2025 06-11 PROGRAMACION REALIZADA POR LA ALIANZA| INSTALACIÓN PROGRAMADA PARA EL 2025-11-07 | 11/11/2025 SE INSTALA PUBLICIDAD Y EQUIPOS A PETICIÓN DEL USUARIO, SE DEJAN SERVICIOS FUNCIONANDO CORRECTAMENTE Y CAPACITACIÓN OK</t>
  </si>
  <si>
    <t>DA000383</t>
  </si>
  <si>
    <t>5212</t>
  </si>
  <si>
    <t>TA-25-1270696</t>
  </si>
  <si>
    <t>3007082126</t>
  </si>
  <si>
    <t>COPACABANA</t>
  </si>
  <si>
    <t>DISTRICOL LIDER</t>
  </si>
  <si>
    <t>FO-25-1790312</t>
  </si>
  <si>
    <t>06/11/2025 06-11 PROGRAMACION REALIZADA POR LA ALIANZA| INSTALACIÓN PROGRAMADA PARA EL 2025-11-07 | 07/11/2025 SE INSTALA PUBLICIDAD Y EQUIPOS A PETICIÓN DEL USUARIO, SERVICIOS FUNCIONANDO CORRECTAMENTE Y CAPACITACIÓN OK</t>
  </si>
  <si>
    <t>DA000384</t>
  </si>
  <si>
    <t>5318</t>
  </si>
  <si>
    <t>TA-25-1270697</t>
  </si>
  <si>
    <t>3007082150</t>
  </si>
  <si>
    <t>GUARNE</t>
  </si>
  <si>
    <t>DISTRICOL TECNOVA GUARNE</t>
  </si>
  <si>
    <t>FO-25-1790317</t>
  </si>
  <si>
    <t>06/11/2025 06-11 PROGRAMACION REALIZADA POR LA ALIANZA| INSTALACIÓN PROGRAMADA PARA EL 2025-11-07 | 07/11/2025 SE HACE IMPLEMENTACION OK EQUIPOS OPERATIVOS PRUEBAS EXITOSAS SOMOS BANCOLOMBIA INACTIVO</t>
  </si>
  <si>
    <t>DA00385</t>
  </si>
  <si>
    <t>TIPO II</t>
  </si>
  <si>
    <t>DIAZ ZABALA FRANCIS DUBAN</t>
  </si>
  <si>
    <t>13670</t>
  </si>
  <si>
    <t>TA-25-1270698</t>
  </si>
  <si>
    <t>3007082141</t>
  </si>
  <si>
    <t>BOLIVAR</t>
  </si>
  <si>
    <t>SAN PABLO</t>
  </si>
  <si>
    <t>DISTRICOL PAPELERIA MARIETH</t>
  </si>
  <si>
    <t>FO-25-1790322</t>
  </si>
  <si>
    <t>06/11/2025 06-11 PROGRAMACION REALIZADA POR LA ALIANZA| INSTALACIÓN PROGRAMADA PARA EL 2025-11-10 | 10/11/2025 SE REALIZA APERTURA CB BANCOLOMBIA PURO, SE INSTALA AVISO EXTERIOR, FLANGED, DISPLAY, BASE, DATÁFONO, LECTOR DE BARRAS,CUBRE CLAVES, SE HACE CREACION DE USUARIOS OK, CAPACITACIÓN GENERAL COMPLETA, SOMOS BANCOLOMBIA OK, PRUEBAS OK</t>
  </si>
  <si>
    <t>DA000386</t>
  </si>
  <si>
    <t>TERRESTRE/FLUVIAL</t>
  </si>
  <si>
    <t>GONZALEZ ESTUPIÑAN YEISON WALTER ANTONIO</t>
  </si>
  <si>
    <t>TA-25-1270699</t>
  </si>
  <si>
    <t>3007082142</t>
  </si>
  <si>
    <t>DISTRICOL SERVISMART</t>
  </si>
  <si>
    <t>FO-25-1790328</t>
  </si>
  <si>
    <t>06/11/2025 06-11 PROGRAMACION REALIZADA POR LA ALIANZA| INSTALACIÓN PROGRAMADA PARA EL 2025-11-11 | 11/11/2025 SE REALIZA APERTURA CB BANCOLOMBIA PURO, SE INSTALA AVISO EXTERIOR, FLANGED, DISPLAY,BASE, DATÁFONO, LECTOR DE BARRAS, CUBRE CLAVES, SE HACE CREACION DE USUARIOS A GUSTO DEL CLIENTE, SE HACE CAPACITACIÓN GENERAL COMPLETA, SE INDICA EL MANEJO CORRECTO DEL EQUIPO, SE HACEN PRUEBAS DEJANDO TODO OK</t>
  </si>
  <si>
    <t>DA000387</t>
  </si>
  <si>
    <t>TA-25-1270700</t>
  </si>
  <si>
    <t>3007082143</t>
  </si>
  <si>
    <t>DISTRICOL DAYGLAT</t>
  </si>
  <si>
    <t>FO-25-1790336</t>
  </si>
  <si>
    <t>06/11/2025 06-11 PROGRAMACION REALIZADA POR LA ALIANZA| INSTALACIÓN PROGRAMADA PARA EL 2025-11-11 | 11/11/2025 SE REALIZA CONTACTO TELEFÓNICO CON LA SEÑORA LILIANA RADA AL NÚMERO DE CONTACTO 3168226289 QUIEN COMENTA QUE TIENE LA DISPONIBLIDAD PARA ATENDERNOS, ADICIONAL SE LE PREGUNTA SOBRE SI HAY CERCANIA CON OTROS CB, LA CUAL ARGUMENTA QUE NO HAY PUNTOS CERCANOS NI TAMPOCO MANEJA DE OTROS BANCOS EN EL PUNTO DONDE SE INSTALA EL CORRESPONSAL | 11/11/2025 SE REALIZA APERTURA CB BANCOLOMBIA PURO, SE INSTALA AVISO EXTERIOR, FLANGED, DISPLAY,BASE, DATÁFONO, LECTOR DE BARRAS, CUBRE CLAVES, SE HACE CREACION DE USUARIOS A GUSTO DEL CLIENTE, SE HACE CAPACITACIÓN GENERAL COMPLETA, SE INDICA EL MANEJO CORRECTO DEL EQUIPO, SE HACEN PRUEBAS DEJANDO TODO OK</t>
  </si>
  <si>
    <t>DA000388</t>
  </si>
  <si>
    <t>15224</t>
  </si>
  <si>
    <t>TA-25-1270701</t>
  </si>
  <si>
    <t>3007082135</t>
  </si>
  <si>
    <t>BOYACA</t>
  </si>
  <si>
    <t>CUCAITA</t>
  </si>
  <si>
    <t>PTM CUCAITA M Y S COMUNICACION</t>
  </si>
  <si>
    <t>FO-25-1790341</t>
  </si>
  <si>
    <t>06/11/2025 06-11 PROGRAMACION REALIZADA POR LA ALIANZA| INSTALACIÓN PROGRAMADA PARA EL 2025-11-10 | 10/11/2025 SE INTENTA COMUNICACIÓN CON EL SEÑOR NELSON SUAREZ AL NÚMERO DE CONTACTO 3213096808 PARA CONFIRMAR LA DISPONIBILIDAD PARA EL DÍA DE HOY NO SE LOGRA CONTACTO SE DEJA MENSAJE POR WHATSAPP A ESPERA DE UNA RESPUESTA. | 10/11/2025 SE CONTACTA CLIENTE QUIÉN CONFIRMA TENER LA DISPONIBILIDAD PARA ATENDER LA VISITA EL DÍA DE HOY ROUTER DE INTERNET CERCA A DONDE VA QUEDAR INSTALADO EL DATÁFONO | 10/11/2025 SE EJECUTA APERTURA BANCOLOMBIA EXITOSA RED RBM INSTALADO EQUIPOS Y PUBLICIDAD PERSONAL CAPACITADO PRUEBAS OK CLIENTE CONFORME</t>
  </si>
  <si>
    <t>DA000389</t>
  </si>
  <si>
    <t>RODRIGUEZ MURCIA YERSON IVAN</t>
  </si>
  <si>
    <t>COSTA</t>
  </si>
  <si>
    <t>23675</t>
  </si>
  <si>
    <t>TA-25-1270702</t>
  </si>
  <si>
    <t>3007082139</t>
  </si>
  <si>
    <t>CORDOBA</t>
  </si>
  <si>
    <t>SAN BERNARDO DEL VIENTO</t>
  </si>
  <si>
    <t>DISTRICOL CALZADO LA TRONCAL</t>
  </si>
  <si>
    <t>FO-25-1790346</t>
  </si>
  <si>
    <t>06/11/2025 06-11 PROGRAMACION REALIZADA POR LA ALIANZA| INSTALACIÓN PROGRAMADA PARA EL 2025-11-07 | 07/11/2025 SE REALIZA INSTALACIÓN DEL CB BANCOLOMBIA, SE CREAN USUARIOS (OPERADOR Y ADMINISTRADOR )SE CAPACITA AL CLIENTE EN EL MANEJO DEL DATAFONO  SE REALIZAN PRUEBAS EXITOSA, SE INSTALA AVISO EXTERIOR, FLANGER, DISPLAY HORARIO. SE ENTREGAN 40 ROLLOS CB OPERANDO CON NORMALIDAD</t>
  </si>
  <si>
    <t>DA000391</t>
  </si>
  <si>
    <t>ARRAZOLA HERNANDEZ NICOLAS AUGUSTO</t>
  </si>
  <si>
    <t>CUNDINAMARCA</t>
  </si>
  <si>
    <t>25754</t>
  </si>
  <si>
    <t>TA-25-1270703</t>
  </si>
  <si>
    <t>3007082146</t>
  </si>
  <si>
    <t>SOACHA</t>
  </si>
  <si>
    <t>PTM SOACHA LA MONA.ES</t>
  </si>
  <si>
    <t>FO-25-1790353</t>
  </si>
  <si>
    <t>06/11/2025 06-11 PROGRAMACION REALIZADA POR LA ALIANZA| INSTALACIÓN PROGRAMADA PARA EL 2025-11-07 | 07/11/2025 NO SE PUEDE CONCLUIR INSTALACIÓN YA QUE LA TERMINAL DE CB NO HA SUBIDO EN BASE 24 PARA PODER CARGARLA Y PODER EJECUTAR EL CORRESPONSAL. SE REALIZA ESCALAMIENTO A COORDINADOR Y SE VISITARÁ NUEVAMENTE EL DÍA LUNES 10 DE NOVIEMBRE EN HORAS DE LA MAÑANA, CLIENTE COMPRENDE | 10/11/2025 INSTALACIÓN BANCOLOMBIA CON PUBLICIDAD DATAFONO LECTORA ROLLOS BASE FUENTE DATOS SERVICIO OPERATIVO PRUEBAS OK TRNA RBM SE INSTALA CUBRE TECLADO SOLO SE REALIZA CONSULTA DE SALDO, NO HAY COMO HACER RETIRO Y CONSIGNACIÓN</t>
  </si>
  <si>
    <t>DA000392</t>
  </si>
  <si>
    <t>BUSTOS MORA DIEGO MANUEL</t>
  </si>
  <si>
    <t>44090</t>
  </si>
  <si>
    <t>TA-25-1270707</t>
  </si>
  <si>
    <t>3007082130</t>
  </si>
  <si>
    <t>LA GUAJIRA</t>
  </si>
  <si>
    <t>DIBULLA</t>
  </si>
  <si>
    <t>PTM DIBULLA PAPELERIA Y VARIED</t>
  </si>
  <si>
    <t>FO-25-1790361</t>
  </si>
  <si>
    <t>06/11/2025 06-11 PROGRAMACION REALIZADA POR LA ALIANZA| INSTALACIÓN PROGRAMADA PARA EL 2025-11-10 | 12/11/2025 SE REALIZA APERTURA DE CORRESPONSAL BANCARIO</t>
  </si>
  <si>
    <t>DA000393 - DA000318</t>
  </si>
  <si>
    <t>THOMAS  CAMPO SIGIFREDO SEGUNDO</t>
  </si>
  <si>
    <t>47001</t>
  </si>
  <si>
    <t>TA-25-1270708</t>
  </si>
  <si>
    <t>3007082145</t>
  </si>
  <si>
    <t>MAGDALENA</t>
  </si>
  <si>
    <t>PTM SANTA MARTA VARIEDADES SAM</t>
  </si>
  <si>
    <t>FO-25-1790365</t>
  </si>
  <si>
    <t>06/11/2025 06-11 PROGRAMACION REALIZADA POR LA ALIANZA| INSTALACIÓN PROGRAMADA PARA EL 2025-11-07 | 07/11/2025 SE REALIZA APERTURA DE CORRSPONAL BANCARIO</t>
  </si>
  <si>
    <t>DA000394</t>
  </si>
  <si>
    <t>52001</t>
  </si>
  <si>
    <t>TA-25-1270709</t>
  </si>
  <si>
    <t>3007082137</t>
  </si>
  <si>
    <t>DISTRICOL ALM VAR LA 16 PASTO</t>
  </si>
  <si>
    <t>FO-25-1790369</t>
  </si>
  <si>
    <t>06/11/2025 06-11 PROGRAMACION REALIZADA POR LA ALIANZA| INSTALACIÓN PROGRAMADA PARA EL 2025-11-07 | 10/11/2025 SE REALIZÓ LA INSTALACIÓN DE EQUIPOS PUBLICIDAD Y ACCESORIOS PARA APERTURA CB BANCOLOMBIA SE DIO CAPACITACIÓN MANEJO DE DATÁFONO CB Y SOMOS BANCOLOMBIA (ESTE ÚLTIMO NO SE PUDO INGRESAR PORQUE EL CORREO INSCRITO NO ESTÁ ACTIVO, NO PERMITE GENERAR CREDENCIALES) SE EJECUTAN PRUEBAS TX EXITOSAS QUEDA OPERATIVO</t>
  </si>
  <si>
    <t>DA000395</t>
  </si>
  <si>
    <t>REMICIO AMADO JOHN HEBER</t>
  </si>
  <si>
    <t>TA-25-1270711</t>
  </si>
  <si>
    <t>3007082138</t>
  </si>
  <si>
    <t>DISTRICOL LONDOÑO CELULARES</t>
  </si>
  <si>
    <t>FO-25-1790377</t>
  </si>
  <si>
    <t>06/11/2025 06-11 PROGRAMACION REALIZADA POR LA ALIANZA| INSTALACIÓN PROGRAMADA PARA EL 2025-11-07 | 07/11/2025 SE REALIZÓ LA INSTALACIÓN DE EQUIPOS PUBLICIDAD Y ACCESORIOS PARA APERTURA CB BANCOLOMBIA SE DIO CAPACITACIÓN MANEJO DE DATÁFONO CB Y SOMOS BANCOLOMBIA (ESTE ÚLTIMO NO GENERA CONTRASEÑA NO LLEGA CÓDIGO VERIFICACIÓN AL CORREO, CORREO NO ACTIVO), SE REALIZO PRUEBAS TX EXITOSAS QUEDA OPERATIVO.</t>
  </si>
  <si>
    <t>DA000396</t>
  </si>
  <si>
    <t>54001</t>
  </si>
  <si>
    <t>TA-25-1270712</t>
  </si>
  <si>
    <t>3007082127</t>
  </si>
  <si>
    <t>NORTE DE SANTANDER</t>
  </si>
  <si>
    <t>DISTRICOL FERRETERIA CORONDOS</t>
  </si>
  <si>
    <t>FO-25-1790380</t>
  </si>
  <si>
    <t>06/11/2025 06-11 PROGRAMACION REALIZADA POR LA ALIANZA| INSTALACIÓN PROGRAMADA PARA EL 2025-11-10 | 10/11/2025 SE COMUNICA CON EL CLIENTE IVAN CORONEL AL #3114754727,  CONFIRMA CONECIONES OK,SE PROGRAMA VISITA EN SITIO. | 10/11/2025 SE VISITA COMERCIO, SE REALIZA APERTURA EXITOSA, SE INSTALA DATAFONO, BASE, SCANNER, AVISO EXTERIOR, PUBLICIDAD DEL BANCO, SE  CAPACITA PERSONAL, PRUEBAS Y CIERRES OK ,CB OPERATIVO.</t>
  </si>
  <si>
    <t>DA000397</t>
  </si>
  <si>
    <t>NARANJO AFANADOR RUBEN JESUS</t>
  </si>
  <si>
    <t>TA-25-1270713</t>
  </si>
  <si>
    <t>3007082128</t>
  </si>
  <si>
    <t>DISTRICOL AG EL BAUL DORADO</t>
  </si>
  <si>
    <t>FO-25-1790387</t>
  </si>
  <si>
    <t>06/11/2025 06-11 PROGRAMACION REALIZADA POR LA ALIANZA| INSTALACIÓN PROGRAMADA PARA EL 2025-11-10 | 10/11/2025 SE REALIZA VISITA, SE REALIZA APERTURA DE CB, SE INSTALA DATÁFONO CON ACCESORIOS, SE INSTALA ÚLTIMA VERSIÓN, SE CREAN USUARIOS OK, SE CAPACITA COMERCIO, SE REALIZAN PRUEBAS Y CIERRES OK, SE INSTALA PUBLICIDAD Y AVISO EXTERIOR.</t>
  </si>
  <si>
    <t>DA000398</t>
  </si>
  <si>
    <t>PACHECO BUITRAGO JAVIER ALONSO</t>
  </si>
  <si>
    <t>TA-25-1270715</t>
  </si>
  <si>
    <t>3007082129</t>
  </si>
  <si>
    <t>DISTRICOL IDEAL HOUSE REAL EST</t>
  </si>
  <si>
    <t>FO-25-1790393</t>
  </si>
  <si>
    <t>06/11/2025 06-11 PROGRAMACION REALIZADA POR LA ALIANZA| INSTALACIÓN PROGRAMADA PARA EL 2025-11-10 | 10/11/2025 SE REALIZÓ LLAMADA TELEFÓNICA AL NÚMERO 3103389859 SE HABLÓ CON LA SRA YAKNEL MANIFIESTA QUE LA VISITEMOS EN HORAS DE LA TARDE YA QUE ESTÁ DISPONIBLE DESPUÉS DE LA 2PM | 11/11/2025 SE REALIZA VISITA AL COMERCIO Y SE HIZO INSTALACIÓN DE DATAFONO LECTORA CABLEADO IDENTIFICADOR DE PUNTO CAPACITACIÓN SOMOS BANCOLOMBIA OK PUBLICIDAD BANCOLOMBIA INSTALADA OK PRUEBAS EXITOSAS</t>
  </si>
  <si>
    <t>DA000399</t>
  </si>
  <si>
    <t>MORA VEGA JEAMPIER</t>
  </si>
  <si>
    <t>54800</t>
  </si>
  <si>
    <t>TA-25-1270716</t>
  </si>
  <si>
    <t>3007082147</t>
  </si>
  <si>
    <t>TEORAMA</t>
  </si>
  <si>
    <t>DISTRICOL DISTRIBUIDORA OCHOA</t>
  </si>
  <si>
    <t>FO-25-1790398</t>
  </si>
  <si>
    <t>06/11/2025 06-11 PROGRAMACION REALIZADA POR LA ALIANZA| INSTALACIÓN PROGRAMADA PARA EL 2025-11-10 | 10/11/2025 SE REALIZA LLAMADA TELEFÓNICA AL NÚMERO 3104305464 SE HABLÓ CON EL SR EUDIS SE LE INDICA QUE POR MOTIVO DE ORDEN PÚBLICO EN LA ZONA DEL CATATUMBO, NO SE ESTÁ REALIZANDO DESPLAZAMIENTOS HASTA LOS COMERCIO, SE LE PLANTEA UNA SOLUCIÓN EN UN PUNTO INTERMEDIO EN EL CASO SERÍA (OCAÑA) EL CLIENTE ACCEDE A LA PROPUESTA, QUEDA PENDIENTE CONFIRMAR HORA Y FECHA, SE ESCALA CASO CON EL COORDINADOR | 10/11/2025 EL SEÑOR EUDIS OCHOA CÁCERES, IDENTIFICADO CON CÉDULA NO. 1.067.590.373, CONFIRMA QUE EL DÍA MIÉRCOLES A LAS 9:00 A.M. PODRÁ ATENDERNOS EN EL MUNICIPIO DE OCAÑA.
TENIENDO EN CUENTA QUE EL MUNICIPIO DE TEORAMA HACE PARTE DE LA ZONA DEL CATATUMBO, SOLICITAMOS MUY RESPETUOSAMENTE QUE LA ATENCIÓN PUEDA REALIZARSE EN EL MUNICIPIO DE OCAÑA,
CON EL FIN DE GARANTIZAR LA INTEGRIDAD DEL PERSONAL TÉCNICO Y ASÍ PODER PROCEDER CON LA IMPLEMENTACIÓN DEL PUNTO DE MANERA SEGURA Y EFECTIVA. | 13/11/2025 SE REALIZA VISITA A LA DIRECCIÓN ASIGNADA POR EL CLIENTE PARA LA ENTREGA DE CORRESPONSAL DISTRICOL EN EL MUNICIPIO DE OCAÑA ( CLL 31# 43-02 LOTE PISO 1 BARRIO LOS SAUCES)  YA QUE TEORAMA HACE PARTE DE LA ZONA DEL CATATUMBO, SE REALIZA ENTREGA DE DATAFONO, LECTORA, CABLEADO, IDENTIFICADOR DE PUNTO, PUBLICIDAD BANCOLOMBIA PRUEBAS EXITOSAS CORRESPONSAL SE ENVÍA BLOQUEADO HASTA QUE CLIENTE CONFIRME LLEGADA DEL CORRESPONSAL A LA DIRECCIÓN EXACTA.
COMERCIO SIN AVISO PUBLICITARIO, SIN EMBARGO SI ES EL MISMO OBJETIVO COMERCIAL, LA DIRECCION COINCIDE Y LA CÁMARA DE COMERCIO TAMBIEN TIENE EL MISMO NOMBRE DE LISTA DE CHEQUEO.</t>
  </si>
  <si>
    <t>DA000400</t>
  </si>
  <si>
    <t>54810</t>
  </si>
  <si>
    <t>TA-25-1270717</t>
  </si>
  <si>
    <t>3007082148</t>
  </si>
  <si>
    <t>TIBU</t>
  </si>
  <si>
    <t>DISTRICOL SOLDECO RUIZ</t>
  </si>
  <si>
    <t>FO-25-1790405</t>
  </si>
  <si>
    <t>06/11/2025 06-11 PROGRAMACION REALIZADA POR LA ALIANZA| INSTALACIÓN PROGRAMADA PARA EL 2025-11-18 | 14/11/2025 SE LLAMA AL 3219334669 Y SE HABLA CON EL SEÑOR DEINER RUIZ QUIEN NOS INFORMA QUE SE ENCUENTRA EN LA CIUDAD DE CUCUTA, SE PLANIFICA ENTREGA DE EQUIPOS Y CAPACITACIÓN EN LA BODEGA CUCUTA DESPUÉS DE LAS 9:00 AM, POR MOTIVO DE ORDEN PÚBLICO EN EL MUNICIPIO DE TIBU. | 18/11/2025 SE REALIZA INSTALACION EN LA BODEGA DEL MUNICIPIO DE CUCUTA POR TEMAS DE ORDEN PÚBLICO EN LA ZONA DEL CATATUMBO, SE INSTALAN DATAFONO, LECTOR, MAGICBOX 2600, ACCESORIOS, PUBLICIDAD ENTREGADA AL CLIENTE, SE CAPACITA SE REALIZAN CIERRES Y PRUEBAS OK.</t>
  </si>
  <si>
    <t>DA000401</t>
  </si>
  <si>
    <t>TORRES MANTILLA JOSE DANIEL</t>
  </si>
  <si>
    <t>66170</t>
  </si>
  <si>
    <t>TA-25-1270718</t>
  </si>
  <si>
    <t>3007082131</t>
  </si>
  <si>
    <t>RISARALDA</t>
  </si>
  <si>
    <t>DOSQUEBRADAS</t>
  </si>
  <si>
    <t>PTM DOSQUEBRADAS PETVITALIA</t>
  </si>
  <si>
    <t>FO-25-1790411</t>
  </si>
  <si>
    <t>06/11/2025 06-11 PROGRAMACION REALIZADA POR LA ALIANZA| INSTALACIÓN PROGRAMADA PARA EL 2025-11-07 | 07/11/2025 SE CANCELA LA APERTURA PARA EL DÍA DE HOY YA QUE NO ES POSIBLE  INICIALIZAR LA TERMINAL DEL CB POR INCONVENIENTE QUE HUBO CON REDEBAN ASOCIADO LAS TERMINALES. | 08/11/2025 VISITAMOS COMERCIO REALIZAMOS INSTALACIÓN DE DATÁFONO CON LECTOR DE BARRAS LO CONFIGURAMOS Y REALIZAMOS PRUEBAS OK INSTALAMOS TODA LA PUBLICIDAD, SOLO HACEMOS PRUEBAS DE CONSULTA DE SALDO YA QUE EL CLIENTE NO TIENE COMO HACER LAS OTRAS PRUEBAS.</t>
  </si>
  <si>
    <t>DA000402-DA000320</t>
  </si>
  <si>
    <t>ARROYAVE CANO MANUEL GUILLERMO</t>
  </si>
  <si>
    <t>68001</t>
  </si>
  <si>
    <t>TA-25-1270719</t>
  </si>
  <si>
    <t>3007082122</t>
  </si>
  <si>
    <t>SANTANDER</t>
  </si>
  <si>
    <t>DISTRICOL ANTONIA SANTOS</t>
  </si>
  <si>
    <t>FO-25-1790419</t>
  </si>
  <si>
    <t>06/11/2025 06-11 PROGRAMACION REALIZADA POR LA ALIANZA| INSTALACIÓN PROGRAMADA PARA EL 2025-11-07 | 07/11/2025 SE REALIZA LLAMADA Y CONTACTO POR WHATSAPP AL NÚMERO 3163503259 PARA PODER TENER COMUNICACIÓN CON LA SRA SILVIA JULIANA CAMPOS Y NO FUE POSIBLE, SE INSISTIRA NUEVAMENTE | 07/11/2025 SE LOGRO COMUNICACIÓN CON LA SRA SILVIA CAMPOS AL NÚMERO DE CONTACTO 3163503259, QUIEN COMENTA QUE EN LA DIRECCIÓN ESTARA LA PERSONA ENCARGADA QUIEN NOS RECIBIRA PARA PODER REALIZAR LA ACTIVIDAD DE IMPLEMENTACIÓN A PARTIR DE LAS 9 AM | 07/11/2025 SE REALIZA APERTURA CB BANCOLOMBIA PURO, SE INSTALA, AVISO EXTERIOR, FLANGED, DISPLAY, BASE , DATÁFONO, MÁGIC BOX, PINPAD, CUBRE CLAVES.
SE HACE CAPACITACIÓN GENERAL COMPLETA, MANEJO DEL EQUIPO, CREACIÓN DE USUARIOS A GUSTO DEL CLIENTE, SE HACEN PRUEBAS DEJANDO TODO OK , PORTAL DE SAMO BANCOLOMBIA NO SE PUDO ABRIR POR CUESTIONES DE ACTUALIZACIÓN DE CORREO SE HACE LA CAPACITACIÓN CON EL USUARIO Y CLAVE QUE SE MANEJA DE PRUEBA EXPLICANDO EL FUNCIONAMIENTO</t>
  </si>
  <si>
    <t>DA000403</t>
  </si>
  <si>
    <t>68689</t>
  </si>
  <si>
    <t>TA-25-1270721</t>
  </si>
  <si>
    <t>3007082144</t>
  </si>
  <si>
    <t>SAN VICENTE DE CHUCURI</t>
  </si>
  <si>
    <t>DISTRICOL SUPERMARKET AMIGA</t>
  </si>
  <si>
    <t>FO-25-1790424</t>
  </si>
  <si>
    <t>06/11/2025 06-11 PROGRAMACION REALIZADA POR LA ALIANZA| INSTALACIÓN PROGRAMADA PARA EL 2025-11-07 | 07/11/2025 SE INTENTA EN COMUNICACIÓN CON CLIENTE AL 3138136410 Y DE LOGRA COMUNICACIÓN A LAS 10:00 AM, INFORMA TENER DISPONIBILIDAD Y CANAL DE DATOS DISPONIBLE, SE INICIA DESPLAZAMIENTO | 07/11/2025 SE INSTALA DATÁFONO, LECTOR DE BARRAS, MAGIBOX, BASE DATÁFONO, 40 ROLLOS, PASCORD, CUMBRE CLAVE, SE CAPACITA CORRESPONSAL, SOMOS BANCOLOMBIA, SE ENTREGA MANUAL OPERATIVO REDEBAN, PRUEBAS EXITOSA.</t>
  </si>
  <si>
    <t>DA000404</t>
  </si>
  <si>
    <t>MARTINEZ FLOREZ DONIS ALBERTO</t>
  </si>
  <si>
    <t>REMOTAS</t>
  </si>
  <si>
    <t>73001</t>
  </si>
  <si>
    <t>TA-25-1270724</t>
  </si>
  <si>
    <t>3007082133</t>
  </si>
  <si>
    <t>TOLIMA</t>
  </si>
  <si>
    <t>DISTRICOL SUPERTIENDA JESSICA</t>
  </si>
  <si>
    <t>FO-25-1790430</t>
  </si>
  <si>
    <t>06/11/2025 06-11 PROGRAMACION REALIZADA POR LA ALIANZA| INSTALACIÓN PROGRAMADA PARA EL 2025-11-10 | 10/11/2025 SE REALIZA INSTALACIÓN DE CB BANCOLOMBIA, SE CAPACITA A SANDRA ROMERO SOBRE EL MANEJO DEL CB; SE INSTALA PUBLICIDAD INCLUIDO HORARIO Y OTROS LUGARES PRUEBAS OK SE INSTALA CUBRE CLAVE.</t>
  </si>
  <si>
    <t>DA000405</t>
  </si>
  <si>
    <t>BARRAGAN TAFUR EDWIN ESTEBAN</t>
  </si>
  <si>
    <t>TA-25-1270726</t>
  </si>
  <si>
    <t>3007082134</t>
  </si>
  <si>
    <t>PTM IBAGUE DROGUERIA SUPER ECO</t>
  </si>
  <si>
    <t>FO-25-1790436</t>
  </si>
  <si>
    <t>06/11/2025 06-11 PROGRAMACION REALIZADA POR LA ALIANZA| INSTALACIÓN PROGRAMADA PARA EL 2025-11-07 | 07/11/2025 SE COMUNICA AL NÚMERO 3178574073, LA SEÑORA DIANA MARCELA BERNAL SOLICITA QUE SEA REPROGRAMADA LA INSTALACIÓN PARA EL DÍA 13-11-2025 DEBIDO A QUE SE ENCUENTRA REALIZANDO DE URGENCIA TEMAS PERSONALES LO CUAL LE IMPIDE RECIBIR LA INSTALACIÓN. GESTIÓN TELEFÓNICA. | 13/11/2025 SE REALIZA INSTALACIÓN DE CB BANCOLOMBIA, SE CAPACITA A ELIANA PÉREZ SOBRE EL MANEJO DEL CB; SE INSTALA PUBLICIDAD INCLUIDO HORARIO Y OTROS LUGARES PRUEBAS OK SE INSTALA CUBRE CLAVE.</t>
  </si>
  <si>
    <t>DA000406-DA000321</t>
  </si>
  <si>
    <t>76001</t>
  </si>
  <si>
    <t>TA-25-1270728</t>
  </si>
  <si>
    <t>3007082123</t>
  </si>
  <si>
    <t>VALLE DEL CAUCA</t>
  </si>
  <si>
    <t>DISTRICOL TIENDA MIXTA RENACER</t>
  </si>
  <si>
    <t>FO-25-1790441</t>
  </si>
  <si>
    <t>06/11/2025 06-11 PROGRAMACION REALIZADA POR LA ALIANZA| INSTALACIÓN PROGRAMADA PARA EL 2025-11-07 | 07/11/2025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‎CB NO CUENTA CON TARJETA PARA REALIZAR CONSULTA DE SALDOS
‎SE DEJAN 40 ROLLOS TÉRMICOS EN EL CB.
‎CB QUEDA OKEY.
SE REALIZA CAPACITACIÓN DE SOMOS BANCOLOMBIA CON USUARIO DE LÍNEA COMUNICACIONES POR MOTIVO QUE A EL CB AUN NO LE CREAN LA PLATAFORMA.</t>
  </si>
  <si>
    <t>DA000407</t>
  </si>
  <si>
    <t>TORRES GARCIA JENDRY JOSE</t>
  </si>
  <si>
    <t>TA-25-1270732</t>
  </si>
  <si>
    <t>3007082124</t>
  </si>
  <si>
    <t>DISTRICOL CENTER ELECTRONICS</t>
  </si>
  <si>
    <t>FO-25-1790446</t>
  </si>
  <si>
    <t>07/11/2025 SE VISITA ESTABLECIMIENTO, SE REALIZA INSTALACIÓN DE CORRESPONSAL BANCOLOMBIA. TRANSACCIONES DE PRUEBA EXITOSAS. SE CAPACITA Y SE INSTALA PUBLICIDAD  COMPLETA</t>
  </si>
  <si>
    <t>DA000408</t>
  </si>
  <si>
    <t>BOLAÑOS TABORDA JORGE ENRIQUE</t>
  </si>
  <si>
    <t>TA-25-1270736</t>
  </si>
  <si>
    <t>3007082125</t>
  </si>
  <si>
    <t>DISTRICOL CEA AGUABLANCA</t>
  </si>
  <si>
    <t>FO-25-1790451</t>
  </si>
  <si>
    <t>06/11/2025 06-11 PROGRAMACION REALIZADA POR LA ALIANZA| INSTALACIÓN PROGRAMADA PARA EL 2025-11-07 | 07/11/2025 SE VISITA ESTABLECIMIENTO, SE REALIZA INSTALACIÓN CORRESPONSAL BANCOLOMBIA PURO. TRANSACCIONES DE PRUEBA EXITOSAS. SE CAPACITA Y SE INSTALA PUBLICIDAD COMPLETA</t>
  </si>
  <si>
    <t>DA000409</t>
  </si>
  <si>
    <t>76036</t>
  </si>
  <si>
    <t>TA-25-1270738</t>
  </si>
  <si>
    <t>3007082119</t>
  </si>
  <si>
    <t>ANDALUCIA</t>
  </si>
  <si>
    <t>PTM  ANDALUCIA LA CASA DE PAPE</t>
  </si>
  <si>
    <t>FO-25-1790457</t>
  </si>
  <si>
    <t>06/11/2025 06-11 PROGRAMACION REALIZADA POR LA ALIANZA| INSTALACIÓN PROGRAMADA PARA EL 2025-11-10 | 10/11/2025 SE INSTALA EQUIPO, LECTOR Y ACCESORIOS, LUEGO SE CAPACITA Y SE INSTALA PUBLICIDAD, PRUEBAS OK</t>
  </si>
  <si>
    <t>DA000410 - DA000322</t>
  </si>
  <si>
    <t>PAREDES CASTILLO DIEGO</t>
  </si>
  <si>
    <t>86573</t>
  </si>
  <si>
    <t>TA-25-1270739</t>
  </si>
  <si>
    <t>3007082136</t>
  </si>
  <si>
    <t>LEGUIZAMO</t>
  </si>
  <si>
    <t>DISTRICOL ECOELECTRIC MOTORS</t>
  </si>
  <si>
    <t>FO-25-1790462</t>
  </si>
  <si>
    <t>06/11/2025 06-11 PROGRAMACION REALIZADA POR LA ALIANZA| INSTALACIÓN PROGRAMADA PARA EL 2025-11-10 | 10/11/2025 NO ES POSIBLE EL DESPLAZAMIENTO DADO QUE PARA EL SITIO SOLO SALE UN VUELO SEMANAL LOS MIERCOLES, SE ESTA GESTIONANDO VUELO PARA EL MIERCOLES 19 POR DISPONIBILIDAD DE VUELOS. | 20/11/2025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</si>
  <si>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DA000411</t>
  </si>
  <si>
    <t>CASTILLO HERRERA ALEX RICARDO</t>
  </si>
  <si>
    <t>86757</t>
  </si>
  <si>
    <t>TA-25-1270740</t>
  </si>
  <si>
    <t>3007082140</t>
  </si>
  <si>
    <t>SAN MIGUEL</t>
  </si>
  <si>
    <t>DISTRICOL MI GRANERITO</t>
  </si>
  <si>
    <t>FO-25-1790467</t>
  </si>
  <si>
    <t>06/11/2025 06-11 PROGRAMACION REALIZADA POR LA ALIANZA| INSTALACIÓN PROGRAMADA PARA EL 2025-11-10 | 10/11/2025 POR DERRUMBES EN LA VÍA SAN FRANCISCO MOCOA NO ES POSIBLE LLEGAR EL DÍA DE HOY SE LE INFORMA A CLIENTE QUE SE ESTARA REALIZANDO VISITA EL DÍA DE MAÑANA 11/11 | 11/11/2025 SE REALIZA INSTALACIÓN DE CORRESPONSAL BANCARIO SE CONFIGURA EQUIPO SE INICIALIZA SE REALIZA INSTALACIÓN DE PUBLICIDAD SE DICTA CAPACITACIÓN PRUEBAS DE FUNCIONAMIENTO EXITOSAS CB QUEDA OPERATIVO</t>
  </si>
  <si>
    <t>DA000412</t>
  </si>
  <si>
    <t>11001</t>
  </si>
  <si>
    <t>TA-25-1270741</t>
  </si>
  <si>
    <t>3007082120</t>
  </si>
  <si>
    <t>DISTRICOL DIAMOND FASHION</t>
  </si>
  <si>
    <t>FO-25-1790471</t>
  </si>
  <si>
    <t>06/11/2025 06-11 PROGRAMACION REALIZADA POR LA ALIANZA| INSTALACIÓN PROGRAMADA PARA EL 2025-11-10 | 10/11/2025 SE REALIZA INSTALACIÓN DE CB BANCOLOMBIA SIN NOVEDAD PRUEBA OK SE CREAN USUARIOS Y SE HABILITAN CIERRES OK</t>
  </si>
  <si>
    <t>DA000413</t>
  </si>
  <si>
    <t>ORTIZ MARTINEZ STIVEN</t>
  </si>
  <si>
    <t>TA-25-1270742</t>
  </si>
  <si>
    <t>3007082121</t>
  </si>
  <si>
    <t>PTM BOGOTA SERVIFLEXORG</t>
  </si>
  <si>
    <t>FO-25-1790478</t>
  </si>
  <si>
    <t>DA000414</t>
  </si>
  <si>
    <t>76834</t>
  </si>
  <si>
    <t>TA-25-1270747</t>
  </si>
  <si>
    <t>3007081986</t>
  </si>
  <si>
    <t>CB CRECIMIENTO ALIANZA - OTRAS LISTAS</t>
  </si>
  <si>
    <t>TULUA</t>
  </si>
  <si>
    <t>PTM TULUA YUAN CITY TULUA</t>
  </si>
  <si>
    <t>FO-25-1790502</t>
  </si>
  <si>
    <t>COMCARD - PTM</t>
  </si>
  <si>
    <t>DA000418 - CA000576</t>
  </si>
  <si>
    <t>TA-25-1288927</t>
  </si>
  <si>
    <t>3007082177</t>
  </si>
  <si>
    <t>PTM MEDELLIN VARIEDADES PICACH</t>
  </si>
  <si>
    <t>FO-25-1818137</t>
  </si>
  <si>
    <t>12/11/2025 12-11 PROGRAMACION REALIZADA POR LA ALIANZA| INSTALACIÓN PROGRAMADA PARA EL 2025-11-14 | 14/11/2025 INSTALACIÓN DE CB MIXTO OK PUBLICIDAD Y CAPACITACIÓN OK PRUEBAS SOLO CONSULTA DE SALDO NO HAY PARA MÁS PRUEBAS CUBRE CLAVE OK NO TELECARGA</t>
  </si>
  <si>
    <t>FB001812 - FB001591</t>
  </si>
  <si>
    <t>PAREJA ECHAVARRIA JHON DAVID</t>
  </si>
  <si>
    <t>5360</t>
  </si>
  <si>
    <t>TA-25-1288928</t>
  </si>
  <si>
    <t>3007082169</t>
  </si>
  <si>
    <t>ITAGUI</t>
  </si>
  <si>
    <t>PTM ITAGUI GRANERO SUPER HISTO</t>
  </si>
  <si>
    <t>FO-25-1818139</t>
  </si>
  <si>
    <t>12/11/2025 12-11 PROGRAMACION REALIZADA POR LA ALIANZA| INSTALACIÓN PROGRAMADA PARA EL 2025-11-14 | 15/11/2025 INSTALACIÓN CB OK</t>
  </si>
  <si>
    <t>FB001813-FB001543</t>
  </si>
  <si>
    <t>BADEL ACUÑA LUIS ALBERTO</t>
  </si>
  <si>
    <t>TA-25-1288929</t>
  </si>
  <si>
    <t>3007082170</t>
  </si>
  <si>
    <t>PTM ITAGUI MOTO CLUB S&amp;S</t>
  </si>
  <si>
    <t>FO-25-1818143</t>
  </si>
  <si>
    <t>12/11/2025 12-11 PROGRAMACION REALIZADA POR LA ALIANZA| INSTALACIÓN PROGRAMADA PARA EL 2025-11-14 | 14/11/2025 INSTALACIÓN CB OK</t>
  </si>
  <si>
    <t>FB001814-FB001551</t>
  </si>
  <si>
    <t>5837</t>
  </si>
  <si>
    <t>TA-25-1288930</t>
  </si>
  <si>
    <t>3007082172</t>
  </si>
  <si>
    <t>TURBO</t>
  </si>
  <si>
    <t>PTM TURBO TIENDA ARBASU</t>
  </si>
  <si>
    <t>FO-25-1818147</t>
  </si>
  <si>
    <t>12/11/2025 12-11 PROGRAMACION REALIZADA POR LA ALIANZA| INSTALACIÓN PROGRAMADA PARA EL 2025-11-14 | 15/11/2025 SE INSTALA DATAFONO,MAGIBOX.LECTORA.BASE DATAFONO, PIN PAD Y PUBLICIDAD. SE DA CAPACITACION DE MANEJO DE EQUIPO Y PLATAFORMA SOMOS BANCOLOMBIA. SE HACEN PRUEBAS DE RETIRO,CONSULTA DE SALDO,CONSIGNACON, PRUEBA DE LECTORA Y SE DEJA TODO OK</t>
  </si>
  <si>
    <t>FB001815</t>
  </si>
  <si>
    <t>SALDARRIAGA MIRANDA SANTIAGO</t>
  </si>
  <si>
    <t>44847</t>
  </si>
  <si>
    <t>TA-25-1288931</t>
  </si>
  <si>
    <t>3007082175</t>
  </si>
  <si>
    <t>URIBIA</t>
  </si>
  <si>
    <t>PTM URIBIA  TIENDA Y VERDURERA</t>
  </si>
  <si>
    <t>FO-25-1818152</t>
  </si>
  <si>
    <t>12/11/2025 12-11 PROGRAMACION REALIZADA POR LA ALIANZA| INSTALACIÓN PROGRAMADA PARA EL 2025-11-14 | 14/11/2025 SE REALIZA APERTURA DE CB, SE INSTALA DATAFONO, LECTOR Y PUBLICIDAD,SE ENTREGAN 40 ROLLOS, SE BRINDA CAPACITACIÓN, SE REALIZAN PRUEBAS DE DEPOSITO, RETIRO, TRANSFERENCIA, CONSULTA DE SALDO, ENTRE OTRAS, DEJANDO EL SERVICIO FUNCIONAL AL 100 %</t>
  </si>
  <si>
    <t>FB001816</t>
  </si>
  <si>
    <t>MONTES DIAZ JOHN FRED</t>
  </si>
  <si>
    <t>TA-25-1288932</t>
  </si>
  <si>
    <t>3007082173</t>
  </si>
  <si>
    <t>PTM PASTO IMPACTO NARIÑO 23</t>
  </si>
  <si>
    <t>FO-25-1818158</t>
  </si>
  <si>
    <t>12/11/2025 12-11 PROGRAMACION REALIZADA POR LA ALIANZA| INSTALACIÓN PROGRAMADA PARA EL 2025-11-13 | 13/11/2025 SE REALIZÓ LA INSTALACIÓN DE EQUIPOS PUBLICIDAD Y ACCESORIOS PARA APERTURA CB BANCOLOMBIA SE DIO CAPACITACIÓN MANEJO DE DATÁFONO CB Y SOMOS BANCOLOMBIA SE EJECUTAN PRUEBAS TX EXITOSAS QUEDA OPERATIVO</t>
  </si>
  <si>
    <t>FB001818 - FB001566</t>
  </si>
  <si>
    <t>52215</t>
  </si>
  <si>
    <t>TA-25-1288933</t>
  </si>
  <si>
    <t>3007082171</t>
  </si>
  <si>
    <t>PTM CORDOBA DROGUERIA EL COMER</t>
  </si>
  <si>
    <t>FO-25-1818160</t>
  </si>
  <si>
    <t>12/11/2025 12-11 PROGRAMACION REALIZADA POR LA ALIANZA| INSTALACIÓN PROGRAMADA PARA EL 2025-11-14 | 14/11/2025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</si>
  <si>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FB001819</t>
  </si>
  <si>
    <t>TA-25-1288937</t>
  </si>
  <si>
    <t>3007082166</t>
  </si>
  <si>
    <t>PTM BUCARAMANGA PAPELERIA NOGA</t>
  </si>
  <si>
    <t>FO-25-1818166</t>
  </si>
  <si>
    <t>12/11/2025 12-11 PROGRAMACION REALIZADA POR LA ALIANZA| INSTALACIÓN PROGRAMADA PARA EL 2025-11-13 | 13/11/2025 EN COMUNICACIÓN CON CLIENTE INDICA Q NOS ATIENDES DESPUES DE LAS 3PM Q ABRE EL LOCAL, SE CONFIRMA INTERNET OK | 14/11/2025 SE INSTALA PUBLICIDAD COMPLETA ,DATAFONO ,LECTOR , CABLES Y FUENTE DE PODER. 40 ROLLOS, BASE, SE CAPACITAN CLIENTE MANEJO CORRESPONSAL CIERRES CUADRE DIARIO COMPENSACIÓN,MANEJO DATAFONO OK , VISITA EXITOSA PRUEBAS OK</t>
  </si>
  <si>
    <t>FB001820</t>
  </si>
  <si>
    <t>GELVEZ MOGOLLON JOSE ELISEO</t>
  </si>
  <si>
    <t>TA-25-1288939</t>
  </si>
  <si>
    <t>3007082167</t>
  </si>
  <si>
    <t>PTM CALI SKYNET 2.2</t>
  </si>
  <si>
    <t>FO-25-1818168</t>
  </si>
  <si>
    <t>12/11/2025 12-11 PROGRAMACION REALIZADA POR LA ALIANZA| INSTALACIÓN PROGRAMADA PARA EL 2025-11-13 | 13/11/2025 SE INSTALA EQUIPO, LECTOR Y ACCESORIOS, LUEGO SE CAPACITA Y SE INSTALA PUBLICIDAD, PRUEBAS OK</t>
  </si>
  <si>
    <t>FB001821 - FJZZZ533</t>
  </si>
  <si>
    <t>TA-25-1288940</t>
  </si>
  <si>
    <t>3007082168</t>
  </si>
  <si>
    <t>PTM CALI VARIEDADES BLU</t>
  </si>
  <si>
    <t>FO-25-1818172</t>
  </si>
  <si>
    <t>12/11/2025 12-11 PROGRAMACION REALIZADA POR LA ALIANZA| INSTALACIÓN PROGRAMADA PARA EL 2025-11-13 | 14/11/2025 SE VISITA ESTABLECIMIENTO, SE REALIZA INSTALACIÓN CORRESPONSAL BANCOLOMBIA MIXTO M. TRANSACCIONES DE PRUEBA EXITOSAS. SE CAPACITA Y SE INSTALA PUBLICIDAD COMPLETA. 
COMERCIO SIN AVISO PUBLICITARIO, SIN EMBARGO SI ES EL MISMO OBJETIVO COMERCIAL, LA DIRECCION COINCIDE Y LA CÁMARA DE COMERCIO TAMBIEN TIENE EL MISMO NOMBRE DE LISTA DE CHEQUEO.</t>
  </si>
  <si>
    <t>FB001822, FB001570</t>
  </si>
  <si>
    <t>76869</t>
  </si>
  <si>
    <t>TA-25-1288942</t>
  </si>
  <si>
    <t>3007082176</t>
  </si>
  <si>
    <t>VIJES</t>
  </si>
  <si>
    <t>PTM VIJES DROGAS LA SUPERIOR</t>
  </si>
  <si>
    <t>FO-25-1818178</t>
  </si>
  <si>
    <t>12/11/2025 12-11 PROGRAMACION REALIZADA POR LA ALIANZA| INSTALACIÓN PROGRAMADA PARA EL 2025-11-14 | 14/11/2025 SE LLAMA AL CLIENTE Y SE VÁLIDA INSTALACIÓN, DIRECCIÓN Y DISPONIBILIDAD, SE VISITA EL COMERCIO, SE INSTALA DATAFONO, LECTORA, ACCESORIOS EN APERTURA CB BANCOLOMBIA MIXTO, SE CAPACITA, PRUEBAS OK, TELECARGA TRNA</t>
  </si>
  <si>
    <t>FB001823 - FB001580</t>
  </si>
  <si>
    <t>HERRERA MONAR GEOVANNY</t>
  </si>
  <si>
    <t>TA-25-1288948</t>
  </si>
  <si>
    <t>3007082165</t>
  </si>
  <si>
    <t>PTM BOGOTA SHOESTYLE CALZADO</t>
  </si>
  <si>
    <t>FO-25-1818181</t>
  </si>
  <si>
    <t>12/11/2025 12-11 PROGRAMACION REALIZADA POR LA ALIANZA| INSTALACIÓN PROGRAMADA PARA EL 2025-11-14 | 18/11/2025 APERTURA BANCOLOMBIA OK CAPACITACIÓN OK PUBLICIDAD OK SERVICIO OPERATIVO SOLO SE REALIZAN PRUEBAS CON AN INFORMACIÓN QUE NOS SUMINISTRO EL CLIENTE YA QUE NO SE CUENTA CON TARJETA DE PRUEBAS SUMISTRADA POR LA EMPRESA</t>
  </si>
  <si>
    <t>FB001824 - FB001581</t>
  </si>
  <si>
    <t>HERNANDEZ NARANJO OSCAR EDUARDO</t>
  </si>
  <si>
    <t>70708</t>
  </si>
  <si>
    <t>TA-25-1288955</t>
  </si>
  <si>
    <t>3007082064</t>
  </si>
  <si>
    <t>SUCRE</t>
  </si>
  <si>
    <t>SAN MARCOS</t>
  </si>
  <si>
    <t>DISTRICOL DROGUERÍA FARMASUCRE</t>
  </si>
  <si>
    <t>FO-25-1818199</t>
  </si>
  <si>
    <t>12/11/2025 12-11 PROGRAMACION REALIZADA POR LA ALIANZA| INSTALACIÓN PROGRAMADA PARA EL 2025-11-13 | 13/11/2025 SE REALIZA INSTALACIÓN DE CORRESPONSAL BANCOLOMBIA PURO OK, EQUIPOS INSTALADOS OPERATIVOS OK, PRUEBAS DE TRANSACCIONES EXITOSAS, PERSONAL CAPACITADO OK, CLIENTE CB VALIDA SALDO EN CERO DESPUES DE LA INSTALACIÓN OK, CB SE DEJA OPERATIVO SIN NOVEDAD</t>
  </si>
  <si>
    <t>CA001882</t>
  </si>
  <si>
    <t>GONZALEZ FERRER JESUS ALEXANDER</t>
  </si>
  <si>
    <t>TA-25-1315901</t>
  </si>
  <si>
    <t>3007082259</t>
  </si>
  <si>
    <t>PTM MEDELLIN LA BENDICION MINI</t>
  </si>
  <si>
    <t>FO-25-1852517</t>
  </si>
  <si>
    <t>20/11/2025 20-11 PROGRAMACION REALIZADA POR LA ALIANZA| INSTALACIÓN PROGRAMADA PARA EL 2025-11-24 | 24/11/2025 SE REALIZA INSTALACIÓN DE EQUIPO. CAPACITACIÓN Y SE INSTALA PUBLICIDAD SERVICIO OPERATIVO OK</t>
  </si>
  <si>
    <t>OB001375 - OB000961</t>
  </si>
  <si>
    <t>TA-25-1315902</t>
  </si>
  <si>
    <t>3007082254</t>
  </si>
  <si>
    <t>PTM MEDELLIN DIEGO ALEJANDRO</t>
  </si>
  <si>
    <t>FO-25-1852520</t>
  </si>
  <si>
    <t>20/11/2025 20-11 PROGRAMACION REALIZADA POR LA ALIANZA| INSTALACIÓN PROGRAMADA PARA EL 2025-11-24 | 24/11/2025 SE INSTALA PUBLICIDAD Y EQUIPOS A PETICIÓN DEL USUARIO, SERVICIOS OK CAPACITACIÓN OK</t>
  </si>
  <si>
    <t>OB001376-OB000964</t>
  </si>
  <si>
    <t>TA-25-1315903</t>
  </si>
  <si>
    <t>3007082255</t>
  </si>
  <si>
    <t>PTM MEDELLIN SALEJO PERFUMES</t>
  </si>
  <si>
    <t>FO-25-1852523</t>
  </si>
  <si>
    <t>20/11/2025 20-11 PROGRAMACION REALIZADA POR LA ALIANZA| INSTALACIÓN PROGRAMADA PARA EL 2025-11-24 | 24/11/2025 SE INSTALA PUBLICIDAD Y EQUIPOS A PETICIÓN DEL USUARIO, SE DEJAN SERVICIOS FUNCIONANDO CORRECTAMENTE, CAPACITACIÓN OK</t>
  </si>
  <si>
    <t>OB001377-OB000965</t>
  </si>
  <si>
    <t>TA-25-1315904</t>
  </si>
  <si>
    <t>3007082256</t>
  </si>
  <si>
    <t>PMT MEDELLIN A D G.</t>
  </si>
  <si>
    <t>FO-25-1852526</t>
  </si>
  <si>
    <t>20/11/2025 20-11 PROGRAMACION REALIZADA POR LA ALIANZA| INSTALACIÓN PROGRAMADA PARA EL 2025-11-21 | 22/11/2025 SE REALIZA INSTALACIÓN DEL CB EXITOSAMENTE. SE CAPACITA SIN NOVEDAD, SE INSTALA PUBLICIDAD, SE REALIZAN PRUEBAS EXITOSAS. INSTALACION OK.</t>
  </si>
  <si>
    <t>OB001378</t>
  </si>
  <si>
    <t>RUA ALVAREZ RICHARD ANDRES</t>
  </si>
  <si>
    <t>TA-25-1315905</t>
  </si>
  <si>
    <t>3007082257</t>
  </si>
  <si>
    <t>PTM MEDELLIN FERRETERIA EMANIS</t>
  </si>
  <si>
    <t>FO-25-1852531</t>
  </si>
  <si>
    <t>20/11/2025 20-11 PROGRAMACION REALIZADA POR LA ALIANZA| INSTALACIÓN PROGRAMADA PARA EL 2025-11-24 | 24/11/2025 SE INSTALAN EQUIPOS OK</t>
  </si>
  <si>
    <t>OB001379 - OB000971</t>
  </si>
  <si>
    <t>QUINTERO SANCHEZ JUAN SEBASTIAN</t>
  </si>
  <si>
    <t>TA-25-1315906</t>
  </si>
  <si>
    <t>3007082258</t>
  </si>
  <si>
    <t>PTM MEDELLIN TIENDA MIXTA EL P</t>
  </si>
  <si>
    <t>FO-25-1852533</t>
  </si>
  <si>
    <t>OB001380 - OB000972</t>
  </si>
  <si>
    <t>TA-25-1315907</t>
  </si>
  <si>
    <t>3007082251</t>
  </si>
  <si>
    <t>PTM BELLO EL BUEN PRECIO N &amp; S</t>
  </si>
  <si>
    <t>FO-25-1852537</t>
  </si>
  <si>
    <t>20/11/2025 20-11 PROGRAMACION REALIZADA POR LA ALIANZA| INSTALACIÓN PROGRAMADA PARA EL 2025-11-21 | 21/11/2025 SE REALIZA VISITA TÉCNICA PARA LA INSTALACIÓN DEL CORRESPONSAL BANCOLOMBIA. EL USUARIO CONFIRMA SU IDENTIFICACIÓN Y SE VALIDA EL SITIO, ENCONTRANDO CONDICIONES ADECUADAS.  
SE PROCEDE CON LA INSTALACIÓN Y CONFIGURACIÓN DE LOS EQUIPOS, ASEGURANDO SU CORRECTO FUNCIONAMIENTO. POSTERIORMENTE, SE CAPACITA AL CLIENTE EN EL MANEJO DEL EQUIPO, LA EJECUCIÓN DE TRANSACCIONES Y EL USO DE LA PLATAFORMA SOMOS BANCOLOMBIA.  
FINALMENTE, SE REALIZAN PRUEBAS OPERATIVAS CON RESULTADOS EXITOSOS, DEJANDO EL SERVICIO COMPLETAMENTE HABILITADO Y EN ÓPTIMAS CONDICIONES. EL CLIENTE QUEDA INFORMADO, CAPACITADO Y CON PLENA CONFIANZA EN EL FUNCIONAMIENTO DEL CORRESPONSAL.</t>
  </si>
  <si>
    <t>OB001381-OB000975</t>
  </si>
  <si>
    <t>5129</t>
  </si>
  <si>
    <t>TA-25-1315908</t>
  </si>
  <si>
    <t>3007082243</t>
  </si>
  <si>
    <t>CALDAS</t>
  </si>
  <si>
    <t>PTM CALDAS DISTRIBUIDORA LAS</t>
  </si>
  <si>
    <t>FO-25-1852541</t>
  </si>
  <si>
    <t>20/11/2025 20-11 PROGRAMACION REALIZADA POR LA ALIANZA| INSTALACIÓN PROGRAMADA PARA EL 2025-11-21 | 21/11/2025 SE REALIZA INSTALACIÓN DE EQUIPO, SE CAPACITA Y SE INSTALA PUBLICIDAD SE REALIZAN PRUEBAS EXITOSAS SERVICIO OPERATIVO OK</t>
  </si>
  <si>
    <t>OB001382-OB000977</t>
  </si>
  <si>
    <t>TA-25-1315910</t>
  </si>
  <si>
    <t>3007082244</t>
  </si>
  <si>
    <t>PTM ITAGUI ALEXIS RICO ALZATE</t>
  </si>
  <si>
    <t>FO-25-1852544</t>
  </si>
  <si>
    <t>20/11/2025 20-11 PROGRAMACION REALIZADA POR LA ALIANZA| INSTALACIÓN PROGRAMADA PARA EL 2025-11-21 | 21/11/2025 SE INSTALA PUBLICIDAD Y EQUIPOS A PETICIÓN DEL USUARIO, SERVICIOS OK CAPACITACIÓN OK USUARIO SOMOS BANCOLOMBIA NO HABILITADO POR EL BANCO</t>
  </si>
  <si>
    <t>OB001383-OB000981</t>
  </si>
  <si>
    <t>5576</t>
  </si>
  <si>
    <t>TA-25-1315911</t>
  </si>
  <si>
    <t>3007082247</t>
  </si>
  <si>
    <t>PUEBLORRICO</t>
  </si>
  <si>
    <t>PTM PUEBLORRICO GRANERO DONDE</t>
  </si>
  <si>
    <t>FO-25-1874381 | FO-25-1852547</t>
  </si>
  <si>
    <t>26/11/2025 SE LLEVÓ A CABO LA INSTALACIÓN DE LOS AVISOS EXTERIORES E INTERIORES EN LA SEDE DEL CORRESPONSAL BANCOLOMBIA. ESTOS ELEMENTOS NO HABÍAN PODIDO SER INSTALADOS EL DÍA ANTERIOR DEBIDO AL RETRASO EN LA LLEGADA OCASIONADO POR EL VIAJE. LA INSTALACIÓN SE REALIZÓ SIGUIENDO LAS INDICACIONES ESPECÍFICAS DEL CLIENTE, GARANTIZANDO LA CORRECTA UBICACIÓN Y PRESENTACIÓN DE LOS AVISOS SEGÚN LO ACORDADO.</t>
  </si>
  <si>
    <t>OB001384</t>
  </si>
  <si>
    <t>15407</t>
  </si>
  <si>
    <t>TA-25-1315913</t>
  </si>
  <si>
    <t>3007082252</t>
  </si>
  <si>
    <t>VILLA DE LEYVA</t>
  </si>
  <si>
    <t>PTM VILLA DE LEYVA DROGUERIA E</t>
  </si>
  <si>
    <t>FO-25-1852551</t>
  </si>
  <si>
    <t>20/11/2025 20-11 PROGRAMACION REALIZADA POR LA ALIANZA| INSTALACIÓN PROGRAMADA PARA EL 2025-11-21 | 21/11/2025 SE ESTABLECE COMUNICACIÓN CON EL SEÑOR JAIME ALIRIO SARMIENTO MORENO AL NÚMERO DE CONTACTO 3118275842 CLIENTE CONFIRMA TENER LA DISPONIBILIDAD PARA ATENDER LA VISITA EL DÍA DE HOY ROUTER DE INTERNET APROXIMADAMENTE A 3 METROS DE DISTANCIA DEL LUGAR DONDE VA QUEDAR INSTALADO EL DATÁFONO. | 21/11/2025 SE EJECUTA APERTURA BANCOLOMBIA EXITOSA RED RBM INSTALANDO EQUIPOS Y PUBLICIDAD PERSONAL CAPACITADO PRUEBAS OK CLIENTE CONFORME</t>
  </si>
  <si>
    <t>OB001385</t>
  </si>
  <si>
    <t>20710</t>
  </si>
  <si>
    <t>TA-25-1315914</t>
  </si>
  <si>
    <t>3007082249</t>
  </si>
  <si>
    <t>CESAR</t>
  </si>
  <si>
    <t>SAN ALBERTO</t>
  </si>
  <si>
    <t>PTM SAN ALBERTO MULTISERVICIOS</t>
  </si>
  <si>
    <t>FO-25-1852555</t>
  </si>
  <si>
    <t>20/11/2025 20-11 PROGRAMACION REALIZADA POR LA ALIANZA| INSTALACIÓN PROGRAMADA PARA EL 2025-11-24 | 24/11/2025 EN COMUNICACIÓN CIN EL SR JOHAN SEBASTIÁN GELVEZ AL NÚMERO DE CONTACTO 3012032631 CONFIRMA DISPONIBILIDAD PARA PODER ATENDERNOS | 24/11/2025 SE REALIZA APERTURA BANCOLOMBIA CB MIXTO, SE INSTALA AVISO EXTERIOR, FLANGED, DISPLAY, BASE, DATÁFONO, LECTOR DE BARRAS, CUBRE CLAVES, MÁGIC BOX,PINPAD POR MÓDULO DE VIDRIO, SE CONFIGURÓ TERMINALES TANTO DE ADQUIRENCIA COMO LA DEL CB, SE CREAN USUARIOS AL GUSTO DEL CLIENTE, SE HACEN PRUEBAS DEJANDO TODO OK, .SOMOS BANCOLOMBIA OK</t>
  </si>
  <si>
    <t>OB001386</t>
  </si>
  <si>
    <t>23466</t>
  </si>
  <si>
    <t>TA-25-1315915</t>
  </si>
  <si>
    <t>3007082245</t>
  </si>
  <si>
    <t>MONTELIBANO</t>
  </si>
  <si>
    <t>PTM MONTELIBANO PAPELERIA EYM</t>
  </si>
  <si>
    <t>FO-25-1852559</t>
  </si>
  <si>
    <t>20/11/2025 20-11 PROGRAMACION REALIZADA POR LA ALIANZA| INSTALACIÓN PROGRAMADA PARA EL 2025-11-21 | 21/11/2025 SE REALIZA INSTALACIÓN DE CB MIXTO BANCOLOMBIA ALIANZA PTM OK. SE INSTALAN EQUIPOS, DATAFONO, LECTOR DE BARRAS BASE OK.
SE CAPACITA AL USUARIO Y SE INSTALA PUBLICIDAD.
SE REALIZAN PRUEBAS EXITOSAS</t>
  </si>
  <si>
    <t>OB000996-OB001387</t>
  </si>
  <si>
    <t>COGOLLO VERTEL EDER LUIS</t>
  </si>
  <si>
    <t>50001</t>
  </si>
  <si>
    <t>TA-25-1315916</t>
  </si>
  <si>
    <t>3007082253</t>
  </si>
  <si>
    <t>META</t>
  </si>
  <si>
    <t>PTM VILLAVICENCIO DROGUERIA EC</t>
  </si>
  <si>
    <t>FO-25-1852563</t>
  </si>
  <si>
    <t>20/11/2025 20-11 PROGRAMACION REALIZADA POR LA ALIANZA| INSTALACIÓN PROGRAMADA PARA EL 2025-11-21 | 21/11/2025 SE REALIZA APERTURA CB MIXTO SE REALIZAN PRUEBAS OK SIN NOVEDADES SE INGRESA A SOMOS</t>
  </si>
  <si>
    <t>OB001388</t>
  </si>
  <si>
    <t>CASTRILLON URREA LONDIER LEANDRO</t>
  </si>
  <si>
    <t>TA-25-1315917</t>
  </si>
  <si>
    <t>3007082248</t>
  </si>
  <si>
    <t>PTM CORREGIMIENTO DE jONGOVITO</t>
  </si>
  <si>
    <t>FO-25-1852566</t>
  </si>
  <si>
    <t>20/11/2025 20-11 PROGRAMACION REALIZADA POR LA ALIANZA| INSTALACIÓN PROGRAMADA PARA EL 2025-11-21 | 21/11/2025 SE REALIZÓ LA INSTALACIÓN DE EQUIPOS PUBLICIDAD Y ACCESORIOS PARA APERTURA CB BANCOLOMBIA SE DIO CAPACITACIÓN MANEJO DE DATÁFONO CB Y SOMOS BANCOLOMBIA SE EJECUTAN PRUEBAS TX EXITOSAS QUEDA OPERATIVO</t>
  </si>
  <si>
    <t>OB001389 - OB000999</t>
  </si>
  <si>
    <t>70001</t>
  </si>
  <si>
    <t>TA-25-1315918</t>
  </si>
  <si>
    <t>3007082250</t>
  </si>
  <si>
    <t>PTM SINCELEJO DISTRIBUIDORA IS</t>
  </si>
  <si>
    <t>FO-25-1852569</t>
  </si>
  <si>
    <t>20/11/2025 20-11 PROGRAMACION REALIZADA POR LA ALIANZA| INSTALACIÓN PROGRAMADA PARA EL 2025-11-21 | 21/11/2025 SE VISITA SITIO SE VERIFICA INFORMACIÓN SE REALIZA INSTALACIÓN DE DATÁFONO, ESCÁNER, MAGIC BOX, FUENTE PODER, CABLE DE RED, BASE SOPORTE, PAPELERIA, PUBLICIDAD, CAPACITACIÓN, PRUEBA TRX EXITOSAS.</t>
  </si>
  <si>
    <t>OB001390</t>
  </si>
  <si>
    <t>SANTOS GUZMAN CHRISTIAN FELIPE</t>
  </si>
  <si>
    <t>TA-25-1315919</t>
  </si>
  <si>
    <t>3007082239</t>
  </si>
  <si>
    <t>PTM CALI RAPITIENDA MATHIAS</t>
  </si>
  <si>
    <t>FO-25-1852572</t>
  </si>
  <si>
    <t>20/11/2025 20-11 PROGRAMACION REALIZADA POR LA ALIANZA| INSTALACIÓN PROGRAMADA PARA EL 2025-11-24 | 24/11/2025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‎CB NO CUENTA CON TARJETA PARA REALIZAR CONSULTA DE SALDOS
‎SE DEJAN 40 ROLLOS TÉRMICOS EN EL CB.
‎CB QUEDA OKEY.</t>
  </si>
  <si>
    <t>OB001391</t>
  </si>
  <si>
    <t>TA-25-1315921</t>
  </si>
  <si>
    <t>3007082240</t>
  </si>
  <si>
    <t>PTM CALI PAÑALES Y PAÑALES ANG</t>
  </si>
  <si>
    <t>FO-25-1852578</t>
  </si>
  <si>
    <t>20/11/2025 20-11 PROGRAMACION REALIZADA POR LA ALIANZA| INSTALACIÓN PROGRAMADA PARA EL 2025-11-24 | 24/11/2025 SE REALIZA APERTURA DE CB BANCOLOMBIA MIXTO, SE INSTALA EQUIPO, ACCESORIOS Y PUBLICIDAD, SE REALIZAN PRUEBAS OK, EL CLIENTE NO CUENTA CON LOS MEDIOS PARA REALIZAR TODAS LAS PRUEBAS REQUERIDAS, SE REALIZA ENTREGA DE 40 ROLLOS TÉRMICOS REDEBAN.</t>
  </si>
  <si>
    <t>OB001392</t>
  </si>
  <si>
    <t>MONTERO MUESES GIAN CARLO</t>
  </si>
  <si>
    <t>TA-25-1315923</t>
  </si>
  <si>
    <t>3007082241</t>
  </si>
  <si>
    <t>PTM CALI CIBERMUNDO CIEN PALOS</t>
  </si>
  <si>
    <t>FO-25-1852583</t>
  </si>
  <si>
    <t>20/11/2025 20-11 PROGRAMACION REALIZADA POR LA ALIANZA| INSTALACIÓN PROGRAMADA PARA EL 2025-11-24 | 24/11/2025 SE LLAMA AL CLIENTE Y SE VALIDA INSTALACIÓN, DIRECCIÓN Y DISPONIBILIDAD, SE VISITA EL COMERCIO INSTALO DATAFONO, LECTORA EN APERTURA CB BANCOLOMBIA MIXTO, SE CAPACITA, PRUEBAS OK, TELECARGA TRNA</t>
  </si>
  <si>
    <t>OB001393</t>
  </si>
  <si>
    <t>TA-25-1315924</t>
  </si>
  <si>
    <t>3007082237</t>
  </si>
  <si>
    <t>PTM CALI DROGUERIA FARMACIA XA</t>
  </si>
  <si>
    <t>FO-25-1852587</t>
  </si>
  <si>
    <t>20/11/2025 20-11 PROGRAMACION REALIZADA POR LA ALIANZA| INSTALACIÓN PROGRAMADA PARA EL 2025-11-24 | 24/11/2025 SE LLAMA AL CLIENTE Y SE VALIDA INSTALACIÓN, DIRECCIÓN Y DISPONIBILIDAD, SE VISITA EL COMERCIO INSTALO DATAFONO, LECTORA, PINPAD, MAGIC BOX EN APERTURA CB BANCOLOMBIA MIXTO, SE CAPACITA, PRUEBAS OK, TELECARGA TRNA</t>
  </si>
  <si>
    <t>OB001394</t>
  </si>
  <si>
    <t>5034</t>
  </si>
  <si>
    <t>TA-25-1315927</t>
  </si>
  <si>
    <t>3007082242</t>
  </si>
  <si>
    <t>ANDES</t>
  </si>
  <si>
    <t>PTM ANDES LEONARDO DE JESUS VA</t>
  </si>
  <si>
    <t>FO-25-1852595</t>
  </si>
  <si>
    <t>20/11/2025 20-11 PROGRAMACION REALIZADA POR LA ALIANZA| INSTALACIÓN PROGRAMADA PARA EL 2025-11-21 | 22/11/2025 SE REALIZA A INSTALACIÓN EXITOSA TODO QUEDA OK NO SE REALIZA OPERACIÓN DE TRANSFERENCIA NO HAY CUENTA PARA TRASFERIR</t>
  </si>
  <si>
    <t>OB001397-OB001026</t>
  </si>
  <si>
    <t>ALVAREZ ARENAS VICTOR HUGO</t>
  </si>
  <si>
    <t>TA-25-1315928</t>
  </si>
  <si>
    <t>3007082236</t>
  </si>
  <si>
    <t>PTM BOGOTA MISCELANEA EL PUNTO</t>
  </si>
  <si>
    <t>FO-25-1852599</t>
  </si>
  <si>
    <t>20/11/2025 20-11 PROGRAMACION REALIZADA POR LA ALIANZA| INSTALACIÓN PROGRAMADA PARA EL 2025-11-21 | 21/11/2025 SE REALIZA CONTACTO TELEFÓNICO CON LA CLIENTE SE LE INFORMA QUE DEBIDO A LAS FUERTES LLUVIAS, NO FUE POSIBLE REALIZAR EL DESPLAZAMIENTO. SE LE INDICA QUE SERÁ ATENDIDA EL DÍA DE MAÑANA EN HORAS DE LA MAÑANA SÁBADO 22 DE NOVIEMBRE TODO ESTO CON AUTORIZACIÓN E INFORMADO COORDINADOR WILLIAM ROZO | 24/11/2025 APERTURA BANCOLOMBIA OK CAPACITACIÓN OK PUBLICIDAD OK SERVICIO OPERATIVO</t>
  </si>
  <si>
    <t>OB001398 OB001027</t>
  </si>
  <si>
    <t>TA-25-1315929</t>
  </si>
  <si>
    <t>3007082231</t>
  </si>
  <si>
    <t>PTM BOGOTA PAPELERIA EL MILAGR</t>
  </si>
  <si>
    <t>FO-25-1852603</t>
  </si>
  <si>
    <t>20/11/2025 20-11 PROGRAMACION REALIZADA POR LA ALIANZA| INSTALACIÓN PROGRAMADA PARA EL 2025-11-21 | 21/11/2025 INSTALACIÓN DE CORRESPONSAL OK PRUEBA DE NEQUI YA QUE CLIENTE NO CUENTA CON TARJETA DE PRUEBAS NO PARA CORRESPONSAL NI ADQUIRENCIA PUBLICIDAD OK PAPELERÍA OK</t>
  </si>
  <si>
    <t>OB001399</t>
  </si>
  <si>
    <t>GOMEZ VEGA DAVID SNEYDER</t>
  </si>
  <si>
    <t>TA-25-1315930</t>
  </si>
  <si>
    <t>3007082232</t>
  </si>
  <si>
    <t>PTM DROGUERIA MEVIPLUZ</t>
  </si>
  <si>
    <t>FO-25-1852605</t>
  </si>
  <si>
    <t>20/11/2025 20-11 PROGRAMACION REALIZADA POR LA ALIANZA| INSTALACIÓN PROGRAMADA PARA EL 2025-11-21 | 21/11/2025 SE ESTABLECE COMUNICACIÓN TELEFÓNICA CON CLIENTE PARA REAGENDAR VISITA TÉCNICA DEBIDO A LAS FUERTES LLUVIAS DE LA CIUDAD DE BOGOTÁ QUE RETRASARON EL TRABAJO | 22/11/2025 SE REALIZA INSTALACIÓN DE CORRESPONSAL OK PRUEBA OK CAPACITACIÓN IVA OK CAPACITACIÓN SOMOS BANCOLOMBIA OK CAPACITACIÓN DATAFONO OK PUBLICIDAD OK PAPELERÍA OK</t>
  </si>
  <si>
    <t>OB001400</t>
  </si>
  <si>
    <t>TA-25-1315931</t>
  </si>
  <si>
    <t>3007082233</t>
  </si>
  <si>
    <t>PTM BOGOTA SUPERMERCADO EL TRI</t>
  </si>
  <si>
    <t>FO-25-1852608</t>
  </si>
  <si>
    <t>20/11/2025 20-11 PROGRAMACION REALIZADA POR LA ALIANZA| INSTALACIÓN PROGRAMADA PARA EL 2025-11-24 | 24/11/2025 SE REALIZA INSTALACIÓN DE DATAFONO, LECTOR DE CÓDIGO DE BARRAS, BASE PARA DATAFONO Y PUBLICIDAD POR IMPLEMENTACIÓN CB BANCOLOMBIA</t>
  </si>
  <si>
    <t>OB001401</t>
  </si>
  <si>
    <t>ARIAS QUILINDO JULIAN</t>
  </si>
  <si>
    <t>TA-25-1315933</t>
  </si>
  <si>
    <t>3007082235</t>
  </si>
  <si>
    <t>PTM BOGOTA DROGUERIA CAMINO A</t>
  </si>
  <si>
    <t>FO-25-1852614</t>
  </si>
  <si>
    <t>20/11/2025 20-11 PROGRAMACION REALIZADA POR LA ALIANZA| INSTALACIÓN PROGRAMADA PARA EL 2025-11-24 | 24/11/2025 SE LLEGA A LA DIRECCIÓN INDICADA Y SE REALIZA APERTURA DE PTM , SE HABILITAN MÓDULOS DE ADQUIRENCIA Y MÓDULO DE CORRESPONSALIA, PUBLICIDAD  OK, USUARIO OK, SE REALIZA CAPACITACIÓN DE FUNCIONAMIENTO Y PAG SOMOS OK INGRESO OK, SE PROMUEVE EL BUEN USO Y CUIDADO DEL DATÁFONO, SE REALIZAN PRUEBAS EXITOSAS, NO SE TIENE TARJETA PARA REALIZAR PRUEBAS DE MÓDULO DE ADQUIRENCIA.</t>
  </si>
  <si>
    <t>OB001403-OB001098</t>
  </si>
  <si>
    <t>GARCIA PASTRANA KEVIN FERNANDO</t>
  </si>
  <si>
    <t>TA-25-1315941</t>
  </si>
  <si>
    <t>3007082174</t>
  </si>
  <si>
    <t>PTM SANTA MARTA ESTACION DE SE</t>
  </si>
  <si>
    <t>FO-25-1852643</t>
  </si>
  <si>
    <t>20/11/2025 20-11 PROGRAMACION REALIZADA POR LA ALIANZA| INSTALACIÓN PROGRAMADA PARA EL 2025-11-21 | 22/11/2025 SE REALIZA APERTURA ADE CORRESPONDA BANCARIO A SATISFACCIÓN DEL CLIENTE, NO SE REALIZA CAPACITACIÓN SOMOS BANCOLOMBIA YA QUE EL USUARIO O LA CONTRASEÑA DE PRUEBA QUE NOS DAN A LOS TÉCNICOS ESTABA BLOQUEADA Y NO HABÍA ACCESO A LA PÁGINA</t>
  </si>
  <si>
    <t>FB001529</t>
  </si>
  <si>
    <t>19001</t>
  </si>
  <si>
    <t>TA-25-1315942</t>
  </si>
  <si>
    <t>3007081882</t>
  </si>
  <si>
    <t>CAUCA</t>
  </si>
  <si>
    <t>PTM POPAYAS TIENDA LA 14N</t>
  </si>
  <si>
    <t>FO-25-1852646</t>
  </si>
  <si>
    <t>20/11/2025 20-11 PROGRAMACION REALIZADA POR LA ALIANZA| INSTALACIÓN PROGRAMADA PARA EL 2025-11-24 | 25/11/2025 SE INGRESA EQUIPO PREINTALADO NO ENCIENDE SE CAMBIA EQUIPO  SE INSTALA BASE FUENTE CUBRE CLAVES SE INSTALA SISTEMA OPERATIVO VERSIÓN CREACIÓN DE USUARIOS PRUEBAS NO SE REALIZAN GENERA RECHAZO SE LLAMO  A LA ENTIDAD INFORMAN PUNTO ESTA INACTIVO POR PARTE LA ALIANZA PTM CAPACITACIÓN AL CB SE INSTALA AVISO  EXTERIOR FLANGER DISPLAY LEGAL DE HORARIO SE ENTREGAN ROLLOS DE REDEBA  SE HACE MARCACIÓN DE CÓDIGO DEL PUNTO POR ORDEN DE REDEBAN</t>
  </si>
  <si>
    <t>AE001890</t>
  </si>
  <si>
    <t>GIMBUEL LASSO LUIS GERMAN</t>
  </si>
  <si>
    <t>TA-25-1319220</t>
  </si>
  <si>
    <t>3007082268</t>
  </si>
  <si>
    <t>DISTRICOL LLAVE MAGICA DISTRIB</t>
  </si>
  <si>
    <t>FO-25-1859217</t>
  </si>
  <si>
    <t>21/11/2025 21-11 PROGRAMACION REALIZADA POR LA ALIANZA| INSTALACIÓN PROGRAMADA PARA EL 2025-11-25 | 25/11/2025 SE INSTALAN EQUIPOS OK</t>
  </si>
  <si>
    <t>OB002009</t>
  </si>
  <si>
    <t>TA-25-1319221</t>
  </si>
  <si>
    <t>3007082269</t>
  </si>
  <si>
    <t>DISTRICOL AMERICAN D&amp;L</t>
  </si>
  <si>
    <t>FO-25-1859221</t>
  </si>
  <si>
    <t>21/11/2025 21-11 PROGRAMACION REALIZADA POR LA ALIANZA| INSTALACIÓN PROGRAMADA PARA EL 2025-11-25 | 25/11/2025 INSTALACIÓN CB OK</t>
  </si>
  <si>
    <t>OB002010</t>
  </si>
  <si>
    <t>TA-25-1319222</t>
  </si>
  <si>
    <t>3007082270</t>
  </si>
  <si>
    <t>DISTRICOL VICTORIA ACCESORIOS</t>
  </si>
  <si>
    <t>FO-25-1859227</t>
  </si>
  <si>
    <t>OB002011</t>
  </si>
  <si>
    <t>TA-25-1319224</t>
  </si>
  <si>
    <t>3007082264</t>
  </si>
  <si>
    <t>DISTRICOL MINI MARKET TECNOFER</t>
  </si>
  <si>
    <t>FO-25-1859234</t>
  </si>
  <si>
    <t>21/11/2025 21-11 PROGRAMACION REALIZADA POR LA ALIANZA| INSTALACIÓN PROGRAMADA PARA EL 2025-11-25 | 25/11/2025 SE REALIZA LLAMADA TELEFÓNICA AL NÚMERO 3205528850 SE HABLÓ CON EL SR JOHAN Y MANIFIESTA QUE LO VISITEMOS A LAS 2PM , | 26/11/2025 SE REALIZA VISITA AL COMERCIO Y SE INSTALA DATAFONO LECTORA CABLEADO PUBLICIDAD BANCOLOMBIA OK, SOMOS BANCOLOMBIA OK, PRUEBAS EXITOSAS</t>
  </si>
  <si>
    <t>OB002013</t>
  </si>
  <si>
    <t>TA-25-1319226</t>
  </si>
  <si>
    <t>3007082262</t>
  </si>
  <si>
    <t>DISTRICOL YUYIS MULTISERVICIO</t>
  </si>
  <si>
    <t>FO-25-1859238</t>
  </si>
  <si>
    <t>21/11/2025 21-11 PROGRAMACION REALIZADA POR LA ALIANZA| INSTALACIÓN PROGRAMADA PARA EL 2025-11-24 | 24/11/2025 SE INSTALA PUBLICIDAD COMPLETA DATAFONO, LECTOR, PINPAD  MAGIC BOX, SE CAPACITA CLIENTE MANEJO CORRESPONSAL, CIERRES CUATRO DIARIO, COMPENSACIÓN, MANEJO DATAFONO, PRUEBAS OK, INSTALACION EXITOSA</t>
  </si>
  <si>
    <t>OB002014</t>
  </si>
  <si>
    <t>TA-25-1319227</t>
  </si>
  <si>
    <t>3007082263</t>
  </si>
  <si>
    <t>DISTRICOL ADOARTE</t>
  </si>
  <si>
    <t>FO-25-1859241</t>
  </si>
  <si>
    <t>21/11/2025 21-11 PROGRAMACION REALIZADA POR LA ALIANZA| INSTALACIÓN PROGRAMADA PARA EL 2025-11-24 | 24/11/2025 EN COMUNICACIÓN CON EL SEÑOR CARLOS CONTRERAS NOS INDICA QUE TIENE LA DISPONIBILIDAD DE ATENDERNOS EN HORAS AM | 24/11/2025 INSTALACION Y ADECUACION DE CB, INSTALACION DE DATAFONO LECTORA FUENTE CABLE PACTHCORD, PINPAD, PRUEBAS OK, ADESIVO IDENTIFICADOR OK, CUBRE CLAVE OK, FLANGGER Y DISPLAY LEGAL OK Y AVISO EXTERIO OK. SE EXPLICA SOBRE LA WEB SOMOS BANCOLOMBIA, CIERRE Y CUADRE DIARIO, SE EXPLICA SOBRE USO Y MANEJO DE DATAFONO. PRUEBAS OK</t>
  </si>
  <si>
    <t>OB002015</t>
  </si>
  <si>
    <t>MARIÑO PABON JORGE ENRIQUE</t>
  </si>
  <si>
    <t>76364</t>
  </si>
  <si>
    <t>TA-25-1319230</t>
  </si>
  <si>
    <t>3007082266</t>
  </si>
  <si>
    <t>JAMUNDI</t>
  </si>
  <si>
    <t>DISTRICOL VARIEDADES Y COTELER</t>
  </si>
  <si>
    <t>FO-25-1859244</t>
  </si>
  <si>
    <t>21/11/2025 21-11 PROGRAMACION REALIZADA POR LA ALIANZA| INSTALACIÓN PROGRAMADA PARA EL 2025-11-25 | 26/11/2025 SE VISITA ESTABLECIMIENTO, SE REALIZA INSTALACIÓN CORRESPONSAL BANCOLOMBIA PURO. TRANSACCIONES DE PRUEBA EXITOSAS. SE CAPACITA Y SE INSTALA PUBLICIDAD COMPLETA.</t>
  </si>
  <si>
    <t>OB002016</t>
  </si>
  <si>
    <t>85001</t>
  </si>
  <si>
    <t>TA-25-1319231</t>
  </si>
  <si>
    <t>3007082271</t>
  </si>
  <si>
    <t>CASANARE</t>
  </si>
  <si>
    <t>DISTRICOL SUMERCE</t>
  </si>
  <si>
    <t>FO-25-1859246</t>
  </si>
  <si>
    <t>21/11/2025 21-11 PROGRAMACION REALIZADA POR LA ALIANZA| INSTALACIÓN PROGRAMADA PARA EL 2025-11-25 | 25/11/2025 SE VISITA COMERCIO, SE INSTALA DATÁFONO LECTOR BASE Y CUBRE TECLADO. PRUEBAS OK. OPERATIVO EL SERVICIO. NO SE REALIZA PRUEBA DE TRANSFERENCIA NO SE CUENTA CON TARJETA. SOMOS BANCOLOMBIA OK</t>
  </si>
  <si>
    <t>OB002017</t>
  </si>
  <si>
    <t>BERNAL ELAICA EDGAR ALEXIS</t>
  </si>
  <si>
    <t>86001</t>
  </si>
  <si>
    <t>TA-25-1319232</t>
  </si>
  <si>
    <t>3007082267</t>
  </si>
  <si>
    <t>MOCOA</t>
  </si>
  <si>
    <t>DISTRICOL LA GRANJA DE MOCOA</t>
  </si>
  <si>
    <t>FO-25-1859250</t>
  </si>
  <si>
    <t>21/11/2025 21-11 PROGRAMACION REALIZADA POR LA ALIANZA| INSTALACIÓN PROGRAMADA PARA EL 2025-11-25 | 25/11/2025 POR COMPLICACIONES EN EL TRANSPORTE SE ESTARÁ DESPLAZANDO HOY AL MUNICIPIO PARA MAÑANA REALIZAR LA APERTURA | 26/11/2025 SE VISITA EL COMERCIO PARA REALIZAR APERTURA DEL CORRESPONSAL, SE INSTALA DATÁFONO, CON LECTORA BASE Y CABLEADO, SE DEJA ROLLOS, SE INSTALA PUBLICIDAD, SE CAPACITA OK, SE HACE PRUEBAS EXCEPTO DE RECAUDO POR NO TENER MEDIOS PARA REALIZARLA, SOMOS BANCOLOMBIA OK, CB OPERATIVO</t>
  </si>
  <si>
    <t>OB002018</t>
  </si>
  <si>
    <t>TA-25-1319233</t>
  </si>
  <si>
    <t>3007082261</t>
  </si>
  <si>
    <t>DISTRICOL TODO EN UNO SUBA</t>
  </si>
  <si>
    <t>FO-25-1859253</t>
  </si>
  <si>
    <t>21/11/2025 21-11 PROGRAMACION REALIZADA POR LA ALIANZA| INSTALACIÓN PROGRAMADA PARA EL 2025-11-25 | 25/11/2025 SE VISITA COMERCIO, SE INSTALA CB BANCOLOMBIA, SE REALIZAN PRUEBAS OK, SE BRINDA CAPACITACIÓN DE USO, SE CREAN USUARIOS DEL CLIENTE, SE INSTALA PUBLICIDAD COMPLETA, NO UPS, SE EVIDENCIA EN CÁMARA Y COMERCIO QUE LA ACTIVIDAD ECONÓMICA DEL ESTABLECIMIENTO NO COMPRENDE JUEGOS DE AZAR O APUESTAS, SE ANEXA CÁMARA Y COMERCIO DONDE LOS CÓDIGOS DE ACTIVIDAD ECONÓMICA MUESTRAN OTRA ACTIVIDAD, LOS COLORES DEL ESTABLECIMIENTO SON DE LA RAZÓN SOCIAL ANTIGUA, ESTÁ INFORMACIÓN SE LE SUMINISTRA AL COORDINADOR Y A JHON SAMBONY PARA LA AUTORIZACIÓN DE INSTALACIÓN DE CB Y AFICIONAR EL PINPAD.</t>
  </si>
  <si>
    <t>OB002019</t>
  </si>
  <si>
    <t>VEGA MANRIQUE JONATAN MAURICIO</t>
  </si>
  <si>
    <t>TA-25-1330513</t>
  </si>
  <si>
    <t>3007082234</t>
  </si>
  <si>
    <t>PTM BOGOTA DROGUERIA SPECIALME</t>
  </si>
  <si>
    <t>FO-25-1904464 | FO-25-1884063</t>
  </si>
  <si>
    <t>EJECUTADO | EJECUTADO/CANCELADO</t>
  </si>
  <si>
    <t>28/11/2025 SE REALIZA INSTALACIÓN DE CB, SE INSTALA DATÁFONO, LECTORA, BASE, 40 ROLLOS, CABLE DE RED Y SE REALIZA CAPACITACIÓN DEL CB AL SR SERGIO</t>
  </si>
  <si>
    <t>AE006359</t>
  </si>
  <si>
    <t>ALARCON AREVALO JOHAN STIVEN</t>
  </si>
  <si>
    <t>TA-25-1330535</t>
  </si>
  <si>
    <t>3007082356</t>
  </si>
  <si>
    <t>PTM MEDELLIN ECONOFARMA</t>
  </si>
  <si>
    <t>FO-25-1884132</t>
  </si>
  <si>
    <t>26/11/2025 26-11 PROGRAMACION REALIZADA POR LA ALIANZA| INSTALACIÓN PROGRAMADA PARA EL 2025-11-27 | 27/11/2025 INSTALACIÓN CB OK</t>
  </si>
  <si>
    <t>OB004128-OB004836</t>
  </si>
  <si>
    <t>TA-25-1330536</t>
  </si>
  <si>
    <t>3007082357</t>
  </si>
  <si>
    <t>PTM MEDELLIN DROGUERIA FARMARK</t>
  </si>
  <si>
    <t>FO-25-1884135</t>
  </si>
  <si>
    <t>26/11/2025 26-11 PROGRAMACION REALIZADA POR LA ALIANZA| INSTALACIÓN PROGRAMADA PARA EL 2025-11-27 | 27/11/2025 SE HACE IMPLEMENTACION OK EQUIPOS OPERATIVOS PRUEBAS EXITOSAS SOMOS BANCOLOMBIA INACTIVO</t>
  </si>
  <si>
    <t>OB004837</t>
  </si>
  <si>
    <t>TA-25-1330537</t>
  </si>
  <si>
    <t>3007082358</t>
  </si>
  <si>
    <t>PTM MEDELLIN TIENDA DE COSMETI</t>
  </si>
  <si>
    <t>FO-25-1884136</t>
  </si>
  <si>
    <t>OB004838</t>
  </si>
  <si>
    <t>5120</t>
  </si>
  <si>
    <t>TA-25-1330538</t>
  </si>
  <si>
    <t>3007082326</t>
  </si>
  <si>
    <t>CACERES</t>
  </si>
  <si>
    <t>PTM CACERES DROGUERIA SUPERFAR</t>
  </si>
  <si>
    <t>FO-25-1884140</t>
  </si>
  <si>
    <t>26/11/2025 26-11 PROGRAMACION REALIZADA POR LA ALIANZA| INSTALACIÓN PROGRAMADA PARA EL 2025-11-28 | 28/11/2025 SE REALIZÓ INSTALACIÓN DE CB BANCOLOMBIA OK, PRUEBAS OK, USUARIOS OK, TELECARGA DRNA.</t>
  </si>
  <si>
    <t>OB004839</t>
  </si>
  <si>
    <t>CALDERA SALCEDO CARLOS JULIO</t>
  </si>
  <si>
    <t>5615</t>
  </si>
  <si>
    <t>TA-25-1330541</t>
  </si>
  <si>
    <t>3007082320</t>
  </si>
  <si>
    <t>RIONEGRO</t>
  </si>
  <si>
    <t>PTM RIONEGRO TIENDA LA ESQUINA</t>
  </si>
  <si>
    <t>FO-25-1884146</t>
  </si>
  <si>
    <t>26/11/2025 26-11 PROGRAMACION REALIZADA POR LA ALIANZA| INSTALACIÓN PROGRAMADA PARA EL 2025-11-28 | 28/11/2025 LA INSTALACIÓN DEL CORRESPONSAL BANCOLOMBIA SE REALIZÓ EXITOSAMENTE, INCLUYENDO LA PUESTA EN MARCHA DE LOS EQUIPOS ,  SE BRINDÓ CAPACITACIÓN AL CLIENTE SOBRE EL MANEJO DEL EQUIPO Y LOS PROCESOS DE TRANSACCIONES, ASEGURANDO UN USO ADECUADO DESDE EL PRIMER DÍA. ASIMISMO, SE INSTALARON LOS AVISOS SOLICITADOS, UBICÁNDOLOS DENTRO DEL LOCAL EN CUMPLIMIENTO DE LAS NORMAS DEL EDIFICIO, QUE NO PERMITEN INSTALACIÓN EN LA FACHADA EXTERNA. FINALMENTE, SE VERIFICÓ QUE TODO QUEDARA OPERATIVO Y EN CONDICIONES ÓPTIMAS PARA INICIAR LA ATENCIÓN AL PÚBLICO.</t>
  </si>
  <si>
    <t>OB004841-OB004138</t>
  </si>
  <si>
    <t>5690</t>
  </si>
  <si>
    <t>TA-25-1330542</t>
  </si>
  <si>
    <t>3007082341</t>
  </si>
  <si>
    <t>SANTO DOMINGO</t>
  </si>
  <si>
    <t>PTM MEDELLIN AGENCIA COONORTE</t>
  </si>
  <si>
    <t>FO-25-1884148</t>
  </si>
  <si>
    <t>26/11/2025 26-11 PROGRAMACION REALIZADA POR LA ALIANZA| INSTALACIÓN PROGRAMADA PARA EL 2025-11-28 | 28/11/2025 SE INSTALA PUBLICIDAD Y EQUIPOS A PETICIÓN DEL USUARIO, SERVICIOS OK, CAPACITACIÓN OK, USUARIO SOMOS BANCOLOMBIA NO CREADO POR EL BANCO</t>
  </si>
  <si>
    <t>OB004842</t>
  </si>
  <si>
    <t>8001</t>
  </si>
  <si>
    <t>TA-25-1330544</t>
  </si>
  <si>
    <t>3007082274</t>
  </si>
  <si>
    <t>ATLANTICO</t>
  </si>
  <si>
    <t>PTM BARRANQUILLA DROGUERIA Y V</t>
  </si>
  <si>
    <t>FO-25-1884154</t>
  </si>
  <si>
    <t>26/11/2025 26-11 PROGRAMACION REALIZADA POR LA ALIANZA| INSTALACIÓN PROGRAMADA PARA EL 2025-11-27 | 27/11/2025 SE INSTALAN EQUIPOS, ACCESORIOS Y PUBLICIDAD PARA CB BANCOLOMBIA</t>
  </si>
  <si>
    <t>OB004843 - OB004151</t>
  </si>
  <si>
    <t>DE AVILA SIADES ALBERTO ENRIQUE</t>
  </si>
  <si>
    <t>TA-25-1330546</t>
  </si>
  <si>
    <t>3007082275</t>
  </si>
  <si>
    <t>PTM ROBERTO DANIEL SAVIGNANO O</t>
  </si>
  <si>
    <t>FO-25-1884162</t>
  </si>
  <si>
    <t>26/11/2025 26-11 PROGRAMACION REALIZADA POR LA ALIANZA| INSTALACIÓN PROGRAMADA PARA EL 2025-11-27 | 27/11/2025 SE INSTALAN EQUIPOS Y PUBLICIDAD PARA CB BANCOLOMBIA
CORRESPONSAL MIXTO</t>
  </si>
  <si>
    <t>OB004844 - OB004156</t>
  </si>
  <si>
    <t>13836</t>
  </si>
  <si>
    <t>TA-25-1330547</t>
  </si>
  <si>
    <t>3007082350</t>
  </si>
  <si>
    <t>TURBACO</t>
  </si>
  <si>
    <t>PTM TURBACO TIENDA Y VARIEDADE</t>
  </si>
  <si>
    <t>FO-25-1884169</t>
  </si>
  <si>
    <t>26/11/2025 26-11 PROGRAMACION REALIZADA POR LA ALIANZA| INSTALACIÓN PROGRAMADA PARA EL 2025-11-28 | 28/11/2025 SE ESCALA NOVEDAD POR NO TENER NOMBRE DE NEGOCIO EL CUAL AUTORIZARON Y SE INSTALA Y SE ADJUNTA FOTO DE PRODUCTOS DENTRO DEL NEGOCIO | 29/11/2025 SE REALIZA INSTALACIÓN DE CORRESPONSAL AUTORIZADO SE INSTALA PUBLICIDAD SE REALIZAN PRUEBAS DE CONSULTA DE SALDO CONSIGNACIÓN RETIRO Y SE PRUEBA LECTOR DE BARRAS CON FACTURA SE CAPACITA Y TODO QUEDA OK</t>
  </si>
  <si>
    <t>OB004845</t>
  </si>
  <si>
    <t>MARTINEZ SALGUEDO ANDRES AUGUSTO</t>
  </si>
  <si>
    <t>17001</t>
  </si>
  <si>
    <t>TA-25-1330548</t>
  </si>
  <si>
    <t>3007082334</t>
  </si>
  <si>
    <t>PTM MANIZALES PAPELERIA  LINDS</t>
  </si>
  <si>
    <t>FO-25-1884173</t>
  </si>
  <si>
    <t>26/11/2025 26-11 PROGRAMACION REALIZADA POR LA ALIANZA| INSTALACIÓN PROGRAMADA PARA EL 2025-11-28 | 28/11/2025 SE REALIZA INSTALACIÓN DE DATAFONO Y ACCESORIOS BASE LECTOR 40 ROLLOS Y PUBLICIDAD SE CAPACITA AL COMERCIO SE CREAN USUARIOS SE HACEN PRUEBAS DE CONSULTA DE SALDO SOLAMENTE YA QUE USUARIO NO CUENTA CON HERRAMIENTAS PARA REALIZAR RETIRO RECAUDO NI CONSIGNACIÓN SERVICIO OK</t>
  </si>
  <si>
    <t>OB004846</t>
  </si>
  <si>
    <t>AGUIRRE HENAO RAUL EDUARDO</t>
  </si>
  <si>
    <t>TA-25-1330549</t>
  </si>
  <si>
    <t>3007082335</t>
  </si>
  <si>
    <t>PTM MANIZALES DROGUERIA FARMAM</t>
  </si>
  <si>
    <t>FO-25-1884177</t>
  </si>
  <si>
    <t>OB004847</t>
  </si>
  <si>
    <t>44430</t>
  </si>
  <si>
    <t>TA-25-1330550</t>
  </si>
  <si>
    <t>3007082333</t>
  </si>
  <si>
    <t>MAICAO</t>
  </si>
  <si>
    <t>PTM MAICAO TIENDA MEDINA E.M</t>
  </si>
  <si>
    <t>FO-25-1884181</t>
  </si>
  <si>
    <t>26/11/2025 26-11 PROGRAMACION REALIZADA POR LA ALIANZA| INSTALACIÓN PROGRAMADA PARA EL 2025-11-28 | 28/11/2025 SE REALIZA VISITA TÉCNICA, SE INSTALA DATAFONO Y SUS ACCESORIOS, SE REALIZA CAPACITACIÓN A LA PERSONA ENCARGADA DEL CB, SE REALIZAN PRUEBAS EXITOSAS, EQUIPO FUNCIONA CORRECTAMENTE, CB QUEDA OPERATIVO, SE INSTALA PUBLICIDAD DE BANCOLOMBIA.</t>
  </si>
  <si>
    <t>VJZZZ653 - OB004848</t>
  </si>
  <si>
    <t>DE AGUAS MUÑOZ DAVID JOSE</t>
  </si>
  <si>
    <t>TA-25-1330552</t>
  </si>
  <si>
    <t>3007082304</t>
  </si>
  <si>
    <t>PTM BUCARAMANGA PAPELERIA MAXI</t>
  </si>
  <si>
    <t>FO-25-1884188</t>
  </si>
  <si>
    <t>26/11/2025 26-11 PROGRAMACION REALIZADA POR LA ALIANZA| INSTALACIÓN PROGRAMADA PARA EL 2025-11-28 | 28/11/2025 SE REALIZA INSTALACIÓN DE AVISO EXTERIOR , FLANGER, DISPLAY LEGAL , IDENTIFICADOR,BASE , MAGIC BOX, DATÁFONO, LECTORA CAMBIO DE S.O Y VERSIÓN 10.3 CREACIÓN DE USUARIOS PRUEBAS OK SIN INGRESO A PÁGINA SOMOS BANCOLOMBIA SERVICIO OPERATIVO</t>
  </si>
  <si>
    <t>OB004170-OB004849</t>
  </si>
  <si>
    <t>REYES RAMIREZ DIEGO ALEXANDER</t>
  </si>
  <si>
    <t>TA-25-1330553</t>
  </si>
  <si>
    <t>3007082327</t>
  </si>
  <si>
    <t>PTM IBAGUE SURTITIENDA JENNI</t>
  </si>
  <si>
    <t>FO-25-1884189</t>
  </si>
  <si>
    <t>26/11/2025 26-11 PROGRAMACION REALIZADA POR LA ALIANZA| INSTALACIÓN PROGRAMADA PARA EL 2025-11-27 | 27/11/2025 SE REALIZA INSTALACIÓN DE CB BANCOLOMBIA, SE CAPACITA A JENNIFER VIVIANA CABREJO GUZMAN SOBRE EL MANEJO DEL CB; SE INSTALA PUBLICIDAD INCLUIDO HORARIO Y OTROS LUGARES PRUEBAS OK SE INSTALA CUBRE CLAVE.</t>
  </si>
  <si>
    <t>OB004850</t>
  </si>
  <si>
    <t>TA-25-1330554</t>
  </si>
  <si>
    <t>3007082328</t>
  </si>
  <si>
    <t>PTM  IBAGUE SALSAMENTARIA DEL</t>
  </si>
  <si>
    <t>FO-25-1884192</t>
  </si>
  <si>
    <t>26/11/2025 26-11 PROGRAMACION REALIZADA POR LA ALIANZA| INSTALACIÓN PROGRAMADA PARA EL 2025-11-27 | 28/11/2025 SE CAPACITA A LA SEÑORITA TATIANA SILVA, EN EL MANEJO DEL DATÁFONO Y SOMOS BANCOLOMBIA. SE HACEN PRUEBAS DE TRANSACCIONES TODO OK. SE CAMBIA DATÁFONO POR FALLA DE IMPRESORA.</t>
  </si>
  <si>
    <t>OB004851 - OB004180</t>
  </si>
  <si>
    <t>VARGAS HERRERA JHON JAIRO</t>
  </si>
  <si>
    <t>73352</t>
  </si>
  <si>
    <t>TA-25-1330556</t>
  </si>
  <si>
    <t>3007082330</t>
  </si>
  <si>
    <t>ICONONZO</t>
  </si>
  <si>
    <t>PTM TOLIMA MINIMERCADO LUPITA</t>
  </si>
  <si>
    <t>FO-25-1884198</t>
  </si>
  <si>
    <t>26/11/2025 26-11 PROGRAMACION REALIZADA POR LA ALIANZA| INSTALACIÓN PROGRAMADA PARA EL 2025-11-28 | 28/11/2025 INSTALACIÓN DE DATÁFONO, LECTOR,BASE, MAGIC BOX,FUENTE DESK,CABLE PASCOR,CUBRE CLAVE,40  ROLLOS CAPACITACIÓN SOMOS BANCOLOMBIA,
MANUAL OPERATIVO,MENU ADMINISTRATIVO,CREACIÓN DE USUARIO CREAR, MODIFICAR, ELIMINACIÓN, SOLICITUD DE ANULACIÓN, PUBLICIAD ,COMPARTE VIDEO VÍA WHATSAPP DE RESPONSABLE DE IVA E INFORMA CONTENIDO DEL MISMO
TRANSACCIÓNES DE PRUEBA O.K</t>
  </si>
  <si>
    <t>OB004853</t>
  </si>
  <si>
    <t>GUTIERREZ  CAMILO ANDRES</t>
  </si>
  <si>
    <t>TA-25-1330557</t>
  </si>
  <si>
    <t>3007082305</t>
  </si>
  <si>
    <t>PTM CALI SALSAMENTARIA LA 1</t>
  </si>
  <si>
    <t>FO-25-1884200</t>
  </si>
  <si>
    <t>26/11/2025 26-11 PROGRAMACION REALIZADA POR LA ALIANZA| INSTALACIÓN PROGRAMADA PARA EL 2025-11-28 | 28/11/2025 SE LLAMA AL CLIENTE, SE VALIDA INSTALACIÓN Y DISPONIBILIDAD, SE VISITA EL COMERCIO, SE INSTALA DATAFONO, LECTORA, ACCESORIOS EN APERTURA CB BANCOLOMBIA MIXTO, SE CAPACITA, PRUEBAS OK, TELECARGA TRNA</t>
  </si>
  <si>
    <t>OB004854</t>
  </si>
  <si>
    <t>76130</t>
  </si>
  <si>
    <t>TA-25-1330559</t>
  </si>
  <si>
    <t>3007082310</t>
  </si>
  <si>
    <t>CANDELARIA</t>
  </si>
  <si>
    <t>PTM CANDELARIA TEPAGA.COM</t>
  </si>
  <si>
    <t>FO-25-1884205</t>
  </si>
  <si>
    <t>26/11/2025 26-11 PROGRAMACION REALIZADA POR LA ALIANZA| INSTALACIÓN PROGRAMADA PARA EL 2025-11-27 | 27/11/2025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‎CB NO CUENTA CON TARJETA PARA REALIZAR CONSULTA DE SALDOS
‎SE DEJAN 40 ROLLOS TÉRMICOS EN EL CB.
‎CB QUEDA OKEY.
‎</t>
  </si>
  <si>
    <t>OB004856</t>
  </si>
  <si>
    <t>76275</t>
  </si>
  <si>
    <t>TA-25-1330560</t>
  </si>
  <si>
    <t>3007082323</t>
  </si>
  <si>
    <t>FLORIDA</t>
  </si>
  <si>
    <t>PTM FLORIDA LUBRICANTES PINTUR</t>
  </si>
  <si>
    <t>FO-25-1884208</t>
  </si>
  <si>
    <t>26/11/2025 26-11 PROGRAMACION REALIZADA POR LA ALIANZA| INSTALACIÓN PROGRAMADA PARA EL 2025-11-27 | 27/11/2025 SE INSTALA EQUIPO, LECTOR Y ACCESORIOS, LUEGO SE REALIZA CAPACITACIÓN Y SE INSTALA PUBLICIDAD, PRIEBAS OK</t>
  </si>
  <si>
    <t>OB004857 - OB004190</t>
  </si>
  <si>
    <t>TA-25-1330561</t>
  </si>
  <si>
    <t>3007082331</t>
  </si>
  <si>
    <t>PTM JAMUNDI PAPELERIA Y VARIED</t>
  </si>
  <si>
    <t>FO-25-1884214</t>
  </si>
  <si>
    <t>26/11/2025 26-11 PROGRAMACION REALIZADA POR LA ALIANZA| INSTALACIÓN PROGRAMADA PARA EL 2025-11-28 | 28/11/2025 SE VISITA ESTABLECIMIENTO, SE REALIZA INSTALACIÓN CORRESPONSAL BANCOLOMBIA MIXTO. TRANSACCIONES DE PRUEBA EXITOSA. SE CAPACITA Y SE INSTALA PUBLICIDAD COMPLETA.</t>
  </si>
  <si>
    <t>OB004858 - OB004191</t>
  </si>
  <si>
    <t>76736</t>
  </si>
  <si>
    <t>TA-25-1330562</t>
  </si>
  <si>
    <t>3007082342</t>
  </si>
  <si>
    <t>SEVILLA</t>
  </si>
  <si>
    <t>PTM SEVILLA  DROGUERIA GLORIA</t>
  </si>
  <si>
    <t>FO-25-1884218</t>
  </si>
  <si>
    <t>26/11/2025 26-11 PROGRAMACION REALIZADA POR LA ALIANZA| INSTALACIÓN PROGRAMADA PARA EL 2025-11-27 | 27/11/2025 SE VISITA COMERCIO SE REALIZÓ APERTURA CB PURO REDEBANSE INSTALÓ DATAFONO, LECTOR, BASE, ROLLOS, PUBLICIDAD PRUEBAS OK.</t>
  </si>
  <si>
    <t>OB004859</t>
  </si>
  <si>
    <t>SANCHEZ SOLORZANO JUAN SEBASTIAN</t>
  </si>
  <si>
    <t>TA-25-1330563</t>
  </si>
  <si>
    <t>3007082349</t>
  </si>
  <si>
    <t>PTM TULUA RAPITIENDA HEDMONDT</t>
  </si>
  <si>
    <t>FO-25-1884220</t>
  </si>
  <si>
    <t>26/11/2025 26-11 PROGRAMACION REALIZADA POR LA ALIANZA| INSTALACIÓN PROGRAMADA PARA EL 2025-11-27 | 27/11/2025 SE REALIZA APERTURA DE CB BANCOLOMBIA MIXTO, SE INSTALA EQUIPO, ACCESORIOS Y PUBLICIDAD, SE REALIZAN PRUEBAS OK. SE ENTREGAN 40 ROLLOS TÉRMICOS REDEBAN.</t>
  </si>
  <si>
    <t>OB004860</t>
  </si>
  <si>
    <t>5042</t>
  </si>
  <si>
    <t>TA-25-1330564</t>
  </si>
  <si>
    <t>3007082321</t>
  </si>
  <si>
    <t>SANTA FE DE ANTIOQUIA</t>
  </si>
  <si>
    <t>PTM SANTA FE DE ANTIOQUIA VARI</t>
  </si>
  <si>
    <t>FO-25-1884223</t>
  </si>
  <si>
    <t>26/11/2025 26-11 PROGRAMACION REALIZADA POR LA ALIANZA| INSTALACIÓN PROGRAMADA PARA EL 2025-11-28 | 28/11/2025 INSTALACIÓN CB OK</t>
  </si>
  <si>
    <t>OB004861-OB004201</t>
  </si>
  <si>
    <t>TA-25-1330565</t>
  </si>
  <si>
    <t>3007082279</t>
  </si>
  <si>
    <t>PTM BOGOTA MISCELANEA URBANN</t>
  </si>
  <si>
    <t>FO-25-1884230</t>
  </si>
  <si>
    <t>26/11/2025 26-11 PROGRAMACION REALIZADA POR LA ALIANZA| INSTALACIÓN PROGRAMADA PARA EL 2025-11-28 | 28/11/2025 SE REALIZA INSTALACIÓN DE CORRESPONSAL BANCARIO CON  DATAFONO, SE CREAN USUARIOS DE CB INDICADOS POR EL CLIENTE, SE REALIZA PRUEBAS OK DE CB. CIERRES OK A CONFORMIDAD DE CORRESPONSAL SIN NOVEDAD EN INSTALACIÓN, NO SE REALIZA PRUEBA DE CONSULTA CDE SALDO NI DEPOSITO DEBIDO A QUE NO HAY TARJETA DE PRUEBA NI FACTURA DISPONIBLE.</t>
  </si>
  <si>
    <t>OB004862-OB001061</t>
  </si>
  <si>
    <t>LOZADA ROJAS CHRISTIAN ANDRES</t>
  </si>
  <si>
    <t>MES</t>
  </si>
  <si>
    <t>NIT Proveedor</t>
  </si>
  <si>
    <t>Nombre Proveedor (el proveedor ya debe estar creado para el Grupo Bancolombia)</t>
  </si>
  <si>
    <t>Concepto Facturación</t>
  </si>
  <si>
    <t>Público que se capacitó</t>
  </si>
  <si>
    <t>No. personas impactadas</t>
  </si>
  <si>
    <t>Valor Servicio Unitario</t>
  </si>
  <si>
    <t>Valor a Facturar sin IVA</t>
  </si>
  <si>
    <t>Valor a Facturar con IVA</t>
  </si>
  <si>
    <t>811013990-5</t>
  </si>
  <si>
    <t>LINEA COMUNICACIONES</t>
  </si>
  <si>
    <t>CAPACITACION CORRESPONSALES BANCARIOS APERTURAS</t>
  </si>
  <si>
    <t>CAPACITACION CORRESPONSALES BANCARIOS</t>
  </si>
  <si>
    <t>CAPACITACION CORRESPONSALES BANCARIOS OC</t>
  </si>
  <si>
    <t>TOTAL</t>
  </si>
  <si>
    <t>NOVIEMBRE DE 2025</t>
  </si>
  <si>
    <t>TA-25-1330539</t>
  </si>
  <si>
    <t>TA-25-1330558</t>
  </si>
  <si>
    <t>5148</t>
  </si>
  <si>
    <t>3007082352</t>
  </si>
  <si>
    <t>EL CARMEN DE VIBORAL</t>
  </si>
  <si>
    <t>PTM EL CARMEN DE VIBORAL BIO P</t>
  </si>
  <si>
    <t>FO-25-1884142</t>
  </si>
  <si>
    <t>26/11/2025 26-11 PROGRAMACION REALIZADA POR LA ALIANZA| INSTALACIÓN PROGRAMADA PARA EL 2025-11-28 | 29/11/2025 SE REALIZÓ LA INSTALACIÓN DEL CORRESPONSAL BANCOLOMBIA DE MANERA EXITOSA. SE IMPARTIÓ CAPACITACIÓN AL PERSONAL ENCARGADO Y SE EFECTUARON PRUEBAS OPERATIVAS, TODAS CON RESULTADOS SATISFACTORIOS. ASIMISMO, SE INSTALARON LOS AVISOS EN LOS PUNTOS DEFINIDOS POR EL CLIENTE. EL SISTEMA QUEDÓ PLENAMENTE OPERATIVO Y EN CONDICIONES DE PRESTAR SERVICIO.</t>
  </si>
  <si>
    <t>OB004840-OB004136</t>
  </si>
  <si>
    <t>3007082306</t>
  </si>
  <si>
    <t>PTM CALI BY LOVE COSMETICS</t>
  </si>
  <si>
    <t>FO-25-1884202</t>
  </si>
  <si>
    <t>26/11/2025 26-11 PROGRAMACION REALIZADA POR LA ALIANZA| INSTALACIÓN PROGRAMADA PARA EL 2025-11-28 | 29/11/2025 SE LLAMA AL CLIENTE, SE VALIDA INSTALACIÓN Y DISPONIBILIDAD, SE VISITA EL COMERCIO, SE INSTALA DATAFONO, LECTORA, PINPAD, MAGIC BOX, ACCESORIOS EN APERTURA CB BANCOLOMBIA MIXTO, SE CAPACITA, PRUEBAS OK, TELECARGA TRNA</t>
  </si>
  <si>
    <t>OB004855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</si>
</sst>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8" formatCode="&quot;$&quot;\ #,##0.00;[Red]\-&quot;$&quot;\ #,##0.00"/>
    <numFmt numFmtId="43" formatCode="_-* #,##0.00_-;\-* #,##0.00_-;_-* &quot;-&quot;??_-;_-@_-"/>
    <numFmt numFmtId="164" formatCode="_(&quot;$&quot;\ * #,##0_);_(&quot;$&quot;\ * \(#,##0\);_(&quot;$&quot;\ * &quot;-&quot;??_);_(@_)"/>
    <numFmt numFmtId="165" formatCode="_(&quot;$&quot;\ * #,##0.00_);_(&quot;$&quot;\ * \(#,##0.00\);_(&quot;$&quot;\ * &quot;-&quot;??_);_(@_)"/>
    <numFmt numFmtId="166" formatCode="[$-409]d\-m\-yy\ h:mm\ AM/PM;@"/>
    <numFmt numFmtId="167" formatCode="_ * #,##0.00_ ;_ * \-#,##0.00_ ;_ * &quot;-&quot;??_ ;_ @_ "/>
    <numFmt numFmtId="168" formatCode="[$-240A]dddd\,\ dd&quot; de &quot;mmmm&quot; de &quot;yyyy"/>
    <numFmt numFmtId="169" formatCode="_ &quot;$&quot;\ * #,##0_ ;_ &quot;$&quot;\ * \-#,##0_ ;_ &quot;$&quot;\ * &quot;-&quot;??_ ;_ @_ "/>
    <numFmt numFmtId="170" formatCode="_ [$€-2]\ * #,##0.00_ ;_ [$€-2]\ * \-#,##0.00_ ;_ [$€-2]\ * &quot;-&quot;??_ "/>
    <numFmt numFmtId="171" formatCode="[$-C0A]d\-mmm\-yy;@"/>
    <numFmt numFmtId="172" formatCode="[$-240A]General"/>
    <numFmt numFmtId="173" formatCode="_-* #,##0.00\ _€_-;\-* #,##0.00\ _€_-;_-* &quot;-&quot;??\ _€_-;_-@_-"/>
    <numFmt numFmtId="174" formatCode="0.000%"/>
    <numFmt numFmtId="175" formatCode="_ * #,##0.00_ ;_ * \-#,##0.00_ ;_ * \-??_ ;_ @_ "/>
    <numFmt numFmtId="176" formatCode="_ &quot;$&quot;\ * #,##0.00_ ;_ &quot;$&quot;\ * \-#,##0.00_ ;_ &quot;$&quot;\ * &quot;-&quot;??_ ;_ @_ "/>
    <numFmt numFmtId="177" formatCode="_-&quot;$&quot;* #,##0.00_-;\-&quot;$&quot;* #,##0.00_-;_-&quot;$&quot;* &quot;-&quot;??_-;_-@_-"/>
    <numFmt numFmtId="178" formatCode="dd/mm/yyyy"/>
    <numFmt numFmtId="179" formatCode="_-&quot;$&quot;* #,##0_-;\-&quot;$&quot;* #,##0_-;_-&quot;$&quot;* &quot;-&quot;??_-;_-@_-"/>
  </numFmts>
  <fonts count="8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Arial"/>
      <family val="2"/>
    </font>
    <font>
      <sz val="11"/>
      <color indexed="8"/>
      <name val="Calibri"/>
      <family val="2"/>
    </font>
    <font>
      <sz val="10"/>
      <color rgb="FF00000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Arial"/>
      <family val="2"/>
    </font>
    <font>
      <sz val="11"/>
      <color indexed="9"/>
      <name val="Calibri"/>
      <family val="2"/>
    </font>
    <font>
      <sz val="11"/>
      <color rgb="FFFFFFFF"/>
      <name val="Arial"/>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rgb="FF000000"/>
      <name val="Calibri"/>
      <family val="2"/>
    </font>
    <font>
      <u/>
      <sz val="10"/>
      <color indexed="12"/>
      <name val="Arial"/>
      <family val="2"/>
    </font>
    <font>
      <u/>
      <sz val="11"/>
      <color theme="10"/>
      <name val="Calibri"/>
      <family val="2"/>
    </font>
    <font>
      <u/>
      <sz val="11"/>
      <color theme="10"/>
      <name val="Calibri"/>
      <family val="2"/>
      <scheme val="minor"/>
    </font>
    <font>
      <u/>
      <sz val="12.1"/>
      <color theme="10"/>
      <name val="Calibri"/>
      <family val="2"/>
    </font>
    <font>
      <sz val="11"/>
      <color indexed="20"/>
      <name val="Calibri"/>
      <family val="2"/>
    </font>
    <font>
      <sz val="12"/>
      <color theme="1"/>
      <name val="Trebuchet MS"/>
      <family val="2"/>
    </font>
    <font>
      <sz val="11"/>
      <color indexed="60"/>
      <name val="Calibri"/>
      <family val="2"/>
    </font>
    <font>
      <sz val="11"/>
      <color theme="1"/>
      <name val="ApexSansBookT"/>
      <family val="2"/>
    </font>
    <font>
      <sz val="10"/>
      <color indexed="64"/>
      <name val="Arial"/>
      <family val="2"/>
    </font>
    <font>
      <sz val="10"/>
      <color theme="1"/>
      <name val="Arial"/>
      <family val="2"/>
    </font>
    <font>
      <sz val="10"/>
      <color theme="1"/>
      <name val="Tw Cen MT"/>
      <family val="2"/>
    </font>
    <font>
      <sz val="10"/>
      <name val="MS Sans Serif"/>
      <family val="2"/>
    </font>
    <font>
      <sz val="10"/>
      <color indexed="8"/>
      <name val="Arial"/>
      <family val="2"/>
    </font>
    <font>
      <sz val="11"/>
      <name val="Calibri"/>
      <family val="2"/>
    </font>
    <font>
      <b/>
      <sz val="11"/>
      <color indexed="63"/>
      <name val="Calibri"/>
      <family val="2"/>
    </font>
    <font>
      <sz val="11"/>
      <color rgb="FF000000"/>
      <name val="Calibri"/>
      <family val="2"/>
      <charset val="1"/>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10"/>
      <color theme="1"/>
      <name val="Apex"/>
      <family val="2"/>
    </font>
    <font>
      <b/>
      <sz val="8"/>
      <name val="Gelion Thin"/>
    </font>
    <font>
      <sz val="8"/>
      <color theme="1"/>
      <name val="Gelion Thin"/>
    </font>
    <font>
      <sz val="11"/>
      <color theme="1"/>
      <name val="Gelion Thin"/>
    </font>
    <font>
      <b/>
      <sz val="10"/>
      <name val="Gelion Thin"/>
    </font>
    <font>
      <sz val="10"/>
      <name val="Gelion Thin"/>
    </font>
    <font>
      <sz val="10"/>
      <color rgb="FF000000"/>
      <name val="Gelion Thin"/>
    </font>
    <font>
      <sz val="8"/>
      <color rgb="FF000000"/>
      <name val="Gelion Thin"/>
    </font>
    <font>
      <b/>
      <sz val="11"/>
      <color theme="1"/>
      <name val="Gelion Thin"/>
    </font>
    <font>
      <sz val="10"/>
      <name val="Century Gothic"/>
      <family val="2"/>
    </font>
    <font>
      <sz val="11"/>
      <color rgb="FF000000"/>
      <name val="Gelion Thin"/>
    </font>
    <font>
      <b/>
      <sz val="11"/>
      <color rgb="FFFFFFFF"/>
      <name val="Calibri"/>
      <family val="2"/>
    </font>
    <font>
      <b/>
      <u/>
      <sz val="10"/>
      <name val="Gelion Thin"/>
    </font>
  </fonts>
  <fills count="8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9B9B9A"/>
        <bgColor indexed="64"/>
      </patternFill>
    </fill>
    <fill>
      <patternFill patternType="solid">
        <fgColor rgb="FF92D050"/>
        <bgColor indexed="64"/>
      </patternFill>
    </fill>
    <fill>
      <patternFill patternType="solid">
        <fgColor rgb="FF001D62"/>
        <bgColor rgb="FF001D62"/>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39124">
    <xf numFmtId="0" fontId="0" fillId="0" borderId="0"/>
    <xf numFmtId="0" fontId="4" fillId="0" borderId="0"/>
    <xf numFmtId="0" fontId="4" fillId="0" borderId="0"/>
    <xf numFmtId="43" fontId="4" fillId="0" borderId="0"/>
    <xf numFmtId="0" fontId="5" fillId="0" borderId="0"/>
    <xf numFmtId="165" fontId="4" fillId="0" borderId="0"/>
    <xf numFmtId="166" fontId="1" fillId="0" borderId="0"/>
    <xf numFmtId="0" fontId="1" fillId="0" borderId="0"/>
    <xf numFmtId="0" fontId="4" fillId="0" borderId="0"/>
    <xf numFmtId="167" fontId="4" fillId="0" borderId="0"/>
    <xf numFmtId="0" fontId="1" fillId="0" borderId="0"/>
    <xf numFmtId="0" fontId="1" fillId="0" borderId="0"/>
    <xf numFmtId="166" fontId="1" fillId="0" borderId="0"/>
    <xf numFmtId="168" fontId="4" fillId="0" borderId="0"/>
    <xf numFmtId="0" fontId="1" fillId="0" borderId="0"/>
    <xf numFmtId="166" fontId="4" fillId="0" borderId="0"/>
    <xf numFmtId="0" fontId="4" fillId="0" borderId="0"/>
    <xf numFmtId="0" fontId="1" fillId="0" borderId="0"/>
    <xf numFmtId="0" fontId="6" fillId="0" borderId="0"/>
    <xf numFmtId="166" fontId="4" fillId="0" borderId="0"/>
    <xf numFmtId="0" fontId="6" fillId="0" borderId="0"/>
    <xf numFmtId="0" fontId="1" fillId="0" borderId="0"/>
    <xf numFmtId="0" fontId="4" fillId="0" borderId="0"/>
    <xf numFmtId="169" fontId="4" fillId="0" borderId="0"/>
    <xf numFmtId="0" fontId="4" fillId="0" borderId="0"/>
    <xf numFmtId="165" fontId="1" fillId="0" borderId="0"/>
    <xf numFmtId="0" fontId="1" fillId="10" borderId="0"/>
    <xf numFmtId="0" fontId="1" fillId="10" borderId="0"/>
    <xf numFmtId="0" fontId="1" fillId="10" borderId="0"/>
    <xf numFmtId="0" fontId="1" fillId="10" borderId="0"/>
    <xf numFmtId="0" fontId="1" fillId="10" borderId="0"/>
    <xf numFmtId="0" fontId="1" fillId="14" borderId="0"/>
    <xf numFmtId="0" fontId="1" fillId="14" borderId="0"/>
    <xf numFmtId="0" fontId="1" fillId="14" borderId="0"/>
    <xf numFmtId="0" fontId="1" fillId="14" borderId="0"/>
    <xf numFmtId="0" fontId="1" fillId="14" borderId="0"/>
    <xf numFmtId="0" fontId="1" fillId="18" borderId="0"/>
    <xf numFmtId="0" fontId="1" fillId="18" borderId="0"/>
    <xf numFmtId="0" fontId="1" fillId="18" borderId="0"/>
    <xf numFmtId="0" fontId="1" fillId="18" borderId="0"/>
    <xf numFmtId="0" fontId="1" fillId="18" borderId="0"/>
    <xf numFmtId="0" fontId="1" fillId="22" borderId="0"/>
    <xf numFmtId="0" fontId="1" fillId="22" borderId="0"/>
    <xf numFmtId="0" fontId="1" fillId="22" borderId="0"/>
    <xf numFmtId="0" fontId="1" fillId="22" borderId="0"/>
    <xf numFmtId="0" fontId="1" fillId="22" borderId="0"/>
    <xf numFmtId="0" fontId="1" fillId="26" borderId="0"/>
    <xf numFmtId="0" fontId="1" fillId="26" borderId="0"/>
    <xf numFmtId="0" fontId="1" fillId="26" borderId="0"/>
    <xf numFmtId="0" fontId="1" fillId="26" borderId="0"/>
    <xf numFmtId="0" fontId="1" fillId="26" borderId="0"/>
    <xf numFmtId="0" fontId="1" fillId="30" borderId="0"/>
    <xf numFmtId="0" fontId="1" fillId="30" borderId="0"/>
    <xf numFmtId="0" fontId="1" fillId="30" borderId="0"/>
    <xf numFmtId="0" fontId="1" fillId="30" borderId="0"/>
    <xf numFmtId="0" fontId="1" fillId="30" borderId="0"/>
    <xf numFmtId="0" fontId="5" fillId="33" borderId="0"/>
    <xf numFmtId="0" fontId="1" fillId="10" borderId="0"/>
    <xf numFmtId="0" fontId="5" fillId="33" borderId="0"/>
    <xf numFmtId="0" fontId="5" fillId="33" borderId="0"/>
    <xf numFmtId="0" fontId="1" fillId="10" borderId="0"/>
    <xf numFmtId="0" fontId="1" fillId="10" borderId="0"/>
    <xf numFmtId="0" fontId="1" fillId="10" borderId="0"/>
    <xf numFmtId="0" fontId="1" fillId="10" borderId="0"/>
    <xf numFmtId="0" fontId="5" fillId="34" borderId="0"/>
    <xf numFmtId="0" fontId="1" fillId="14" borderId="0"/>
    <xf numFmtId="0" fontId="5" fillId="34" borderId="0"/>
    <xf numFmtId="0" fontId="5" fillId="34" borderId="0"/>
    <xf numFmtId="0" fontId="1" fillId="14" borderId="0"/>
    <xf numFmtId="0" fontId="1" fillId="14" borderId="0"/>
    <xf numFmtId="0" fontId="1" fillId="14" borderId="0"/>
    <xf numFmtId="0" fontId="1" fillId="14" borderId="0"/>
    <xf numFmtId="0" fontId="5" fillId="35" borderId="0"/>
    <xf numFmtId="0" fontId="1" fillId="18" borderId="0"/>
    <xf numFmtId="0" fontId="5" fillId="35" borderId="0"/>
    <xf numFmtId="0" fontId="5" fillId="35" borderId="0"/>
    <xf numFmtId="0" fontId="1" fillId="18" borderId="0"/>
    <xf numFmtId="0" fontId="1" fillId="18" borderId="0"/>
    <xf numFmtId="0" fontId="1" fillId="18" borderId="0"/>
    <xf numFmtId="0" fontId="1" fillId="18" borderId="0"/>
    <xf numFmtId="0" fontId="5" fillId="36" borderId="0"/>
    <xf numFmtId="0" fontId="1" fillId="22" borderId="0"/>
    <xf numFmtId="0" fontId="5" fillId="36" borderId="0"/>
    <xf numFmtId="0" fontId="5" fillId="36" borderId="0"/>
    <xf numFmtId="0" fontId="1" fillId="22" borderId="0"/>
    <xf numFmtId="0" fontId="1" fillId="22" borderId="0"/>
    <xf numFmtId="0" fontId="1" fillId="22" borderId="0"/>
    <xf numFmtId="0" fontId="1" fillId="22" borderId="0"/>
    <xf numFmtId="0" fontId="5" fillId="37" borderId="0"/>
    <xf numFmtId="0" fontId="1" fillId="26" borderId="0"/>
    <xf numFmtId="0" fontId="5" fillId="37" borderId="0"/>
    <xf numFmtId="0" fontId="5" fillId="37" borderId="0"/>
    <xf numFmtId="0" fontId="1" fillId="26" borderId="0"/>
    <xf numFmtId="0" fontId="1" fillId="26" borderId="0"/>
    <xf numFmtId="0" fontId="1" fillId="26" borderId="0"/>
    <xf numFmtId="0" fontId="1" fillId="26" borderId="0"/>
    <xf numFmtId="0" fontId="5" fillId="38" borderId="0"/>
    <xf numFmtId="0" fontId="1" fillId="30" borderId="0"/>
    <xf numFmtId="0" fontId="5" fillId="38" borderId="0"/>
    <xf numFmtId="0" fontId="5" fillId="38" borderId="0"/>
    <xf numFmtId="0" fontId="1" fillId="30" borderId="0"/>
    <xf numFmtId="0" fontId="1" fillId="30" borderId="0"/>
    <xf numFmtId="0" fontId="1" fillId="30" borderId="0"/>
    <xf numFmtId="0" fontId="1" fillId="30" borderId="0"/>
    <xf numFmtId="0" fontId="21" fillId="39" borderId="0"/>
    <xf numFmtId="0" fontId="21" fillId="40" borderId="0"/>
    <xf numFmtId="0" fontId="21" fillId="41" borderId="0"/>
    <xf numFmtId="0" fontId="21" fillId="42" borderId="0"/>
    <xf numFmtId="0" fontId="21" fillId="43" borderId="0"/>
    <xf numFmtId="0" fontId="21" fillId="44" borderId="0"/>
    <xf numFmtId="0" fontId="1" fillId="11" borderId="0"/>
    <xf numFmtId="0" fontId="1" fillId="11" borderId="0"/>
    <xf numFmtId="0" fontId="1" fillId="11" borderId="0"/>
    <xf numFmtId="0" fontId="1" fillId="11" borderId="0"/>
    <xf numFmtId="0" fontId="1" fillId="11" borderId="0"/>
    <xf numFmtId="0" fontId="1" fillId="15" borderId="0"/>
    <xf numFmtId="0" fontId="1" fillId="15" borderId="0"/>
    <xf numFmtId="0" fontId="1" fillId="15" borderId="0"/>
    <xf numFmtId="0" fontId="1" fillId="15" borderId="0"/>
    <xf numFmtId="0" fontId="1" fillId="15" borderId="0"/>
    <xf numFmtId="0" fontId="1" fillId="19" borderId="0"/>
    <xf numFmtId="0" fontId="1" fillId="19" borderId="0"/>
    <xf numFmtId="0" fontId="1" fillId="19" borderId="0"/>
    <xf numFmtId="0" fontId="1" fillId="19" borderId="0"/>
    <xf numFmtId="0" fontId="1" fillId="19" borderId="0"/>
    <xf numFmtId="0" fontId="1" fillId="23" borderId="0"/>
    <xf numFmtId="0" fontId="1" fillId="23" borderId="0"/>
    <xf numFmtId="0" fontId="1" fillId="23" borderId="0"/>
    <xf numFmtId="0" fontId="1" fillId="23" borderId="0"/>
    <xf numFmtId="0" fontId="1" fillId="23" borderId="0"/>
    <xf numFmtId="0" fontId="1" fillId="27" borderId="0"/>
    <xf numFmtId="0" fontId="1" fillId="27" borderId="0"/>
    <xf numFmtId="0" fontId="1" fillId="27" borderId="0"/>
    <xf numFmtId="0" fontId="1" fillId="27" borderId="0"/>
    <xf numFmtId="0" fontId="1" fillId="27" borderId="0"/>
    <xf numFmtId="0" fontId="1" fillId="31" borderId="0"/>
    <xf numFmtId="0" fontId="1" fillId="31" borderId="0"/>
    <xf numFmtId="0" fontId="1" fillId="31" borderId="0"/>
    <xf numFmtId="0" fontId="1" fillId="31" borderId="0"/>
    <xf numFmtId="0" fontId="1" fillId="31" borderId="0"/>
    <xf numFmtId="0" fontId="5" fillId="45" borderId="0"/>
    <xf numFmtId="0" fontId="1" fillId="11" borderId="0"/>
    <xf numFmtId="0" fontId="5" fillId="45" borderId="0"/>
    <xf numFmtId="0" fontId="5" fillId="45" borderId="0"/>
    <xf numFmtId="0" fontId="1" fillId="11" borderId="0"/>
    <xf numFmtId="0" fontId="1" fillId="11" borderId="0"/>
    <xf numFmtId="0" fontId="1" fillId="11" borderId="0"/>
    <xf numFmtId="0" fontId="1" fillId="11" borderId="0"/>
    <xf numFmtId="0" fontId="5" fillId="46" borderId="0"/>
    <xf numFmtId="0" fontId="1" fillId="15" borderId="0"/>
    <xf numFmtId="0" fontId="5" fillId="46" borderId="0"/>
    <xf numFmtId="0" fontId="5" fillId="46" borderId="0"/>
    <xf numFmtId="0" fontId="1" fillId="15" borderId="0"/>
    <xf numFmtId="0" fontId="1" fillId="15" borderId="0"/>
    <xf numFmtId="0" fontId="1" fillId="15" borderId="0"/>
    <xf numFmtId="0" fontId="1" fillId="15" borderId="0"/>
    <xf numFmtId="0" fontId="5" fillId="47" borderId="0"/>
    <xf numFmtId="0" fontId="1" fillId="19" borderId="0"/>
    <xf numFmtId="0" fontId="5" fillId="47" borderId="0"/>
    <xf numFmtId="0" fontId="5" fillId="47" borderId="0"/>
    <xf numFmtId="0" fontId="1" fillId="19" borderId="0"/>
    <xf numFmtId="0" fontId="1" fillId="19" borderId="0"/>
    <xf numFmtId="0" fontId="1" fillId="19" borderId="0"/>
    <xf numFmtId="0" fontId="1" fillId="19" borderId="0"/>
    <xf numFmtId="0" fontId="5" fillId="36" borderId="0"/>
    <xf numFmtId="0" fontId="1" fillId="23" borderId="0"/>
    <xf numFmtId="0" fontId="5" fillId="36" borderId="0"/>
    <xf numFmtId="0" fontId="5" fillId="36" borderId="0"/>
    <xf numFmtId="0" fontId="1" fillId="23" borderId="0"/>
    <xf numFmtId="0" fontId="1" fillId="23" borderId="0"/>
    <xf numFmtId="0" fontId="1" fillId="23" borderId="0"/>
    <xf numFmtId="0" fontId="1" fillId="23" borderId="0"/>
    <xf numFmtId="0" fontId="5" fillId="45" borderId="0"/>
    <xf numFmtId="0" fontId="1" fillId="27" borderId="0"/>
    <xf numFmtId="0" fontId="5" fillId="45" borderId="0"/>
    <xf numFmtId="0" fontId="5" fillId="45" borderId="0"/>
    <xf numFmtId="0" fontId="1" fillId="27" borderId="0"/>
    <xf numFmtId="0" fontId="1" fillId="27" borderId="0"/>
    <xf numFmtId="0" fontId="1" fillId="27" borderId="0"/>
    <xf numFmtId="0" fontId="1" fillId="27" borderId="0"/>
    <xf numFmtId="0" fontId="5" fillId="48" borderId="0"/>
    <xf numFmtId="0" fontId="1" fillId="31" borderId="0"/>
    <xf numFmtId="0" fontId="5" fillId="48" borderId="0"/>
    <xf numFmtId="0" fontId="5" fillId="48" borderId="0"/>
    <xf numFmtId="0" fontId="1" fillId="31" borderId="0"/>
    <xf numFmtId="0" fontId="1" fillId="31" borderId="0"/>
    <xf numFmtId="0" fontId="1" fillId="31" borderId="0"/>
    <xf numFmtId="0" fontId="1" fillId="31" borderId="0"/>
    <xf numFmtId="0" fontId="21" fillId="49" borderId="0"/>
    <xf numFmtId="0" fontId="21" fillId="50" borderId="0"/>
    <xf numFmtId="0" fontId="21" fillId="51" borderId="0"/>
    <xf numFmtId="0" fontId="21" fillId="52" borderId="0"/>
    <xf numFmtId="0" fontId="21" fillId="53" borderId="0"/>
    <xf numFmtId="0" fontId="21" fillId="54" borderId="0"/>
    <xf numFmtId="0" fontId="20" fillId="12" borderId="0"/>
    <xf numFmtId="0" fontId="20" fillId="12" borderId="0"/>
    <xf numFmtId="0" fontId="20" fillId="12" borderId="0"/>
    <xf numFmtId="0" fontId="20" fillId="12" borderId="0"/>
    <xf numFmtId="0" fontId="20" fillId="12" borderId="0"/>
    <xf numFmtId="0" fontId="20" fillId="16" borderId="0"/>
    <xf numFmtId="0" fontId="20" fillId="16" borderId="0"/>
    <xf numFmtId="0" fontId="20" fillId="16" borderId="0"/>
    <xf numFmtId="0" fontId="20" fillId="16" borderId="0"/>
    <xf numFmtId="0" fontId="20" fillId="16" borderId="0"/>
    <xf numFmtId="0" fontId="20" fillId="20" borderId="0"/>
    <xf numFmtId="0" fontId="20" fillId="20" borderId="0"/>
    <xf numFmtId="0" fontId="20" fillId="20" borderId="0"/>
    <xf numFmtId="0" fontId="20" fillId="20" borderId="0"/>
    <xf numFmtId="0" fontId="20" fillId="20" borderId="0"/>
    <xf numFmtId="0" fontId="20" fillId="24" borderId="0"/>
    <xf numFmtId="0" fontId="20" fillId="24" borderId="0"/>
    <xf numFmtId="0" fontId="20" fillId="24" borderId="0"/>
    <xf numFmtId="0" fontId="20" fillId="24" borderId="0"/>
    <xf numFmtId="0" fontId="20" fillId="24" borderId="0"/>
    <xf numFmtId="0" fontId="20" fillId="28" borderId="0"/>
    <xf numFmtId="0" fontId="20" fillId="28" borderId="0"/>
    <xf numFmtId="0" fontId="20" fillId="28" borderId="0"/>
    <xf numFmtId="0" fontId="20" fillId="28" borderId="0"/>
    <xf numFmtId="0" fontId="20" fillId="28" borderId="0"/>
    <xf numFmtId="0" fontId="20" fillId="32" borderId="0"/>
    <xf numFmtId="0" fontId="20" fillId="32" borderId="0"/>
    <xf numFmtId="0" fontId="20" fillId="32" borderId="0"/>
    <xf numFmtId="0" fontId="20" fillId="32" borderId="0"/>
    <xf numFmtId="0" fontId="20" fillId="32" borderId="0"/>
    <xf numFmtId="0" fontId="22" fillId="55" borderId="0"/>
    <xf numFmtId="0" fontId="20" fillId="12" borderId="0"/>
    <xf numFmtId="0" fontId="22" fillId="55" borderId="0"/>
    <xf numFmtId="0" fontId="22" fillId="55" borderId="0"/>
    <xf numFmtId="0" fontId="20" fillId="12" borderId="0"/>
    <xf numFmtId="0" fontId="20" fillId="12" borderId="0"/>
    <xf numFmtId="0" fontId="20" fillId="12" borderId="0"/>
    <xf numFmtId="0" fontId="20" fillId="12" borderId="0"/>
    <xf numFmtId="0" fontId="22" fillId="46" borderId="0"/>
    <xf numFmtId="0" fontId="20" fillId="16" borderId="0"/>
    <xf numFmtId="0" fontId="22" fillId="46" borderId="0"/>
    <xf numFmtId="0" fontId="22" fillId="46" borderId="0"/>
    <xf numFmtId="0" fontId="20" fillId="16" borderId="0"/>
    <xf numFmtId="0" fontId="20" fillId="16" borderId="0"/>
    <xf numFmtId="0" fontId="20" fillId="16" borderId="0"/>
    <xf numFmtId="0" fontId="20" fillId="16" borderId="0"/>
    <xf numFmtId="0" fontId="22" fillId="47" borderId="0"/>
    <xf numFmtId="0" fontId="20" fillId="20" borderId="0"/>
    <xf numFmtId="0" fontId="22" fillId="47" borderId="0"/>
    <xf numFmtId="0" fontId="22" fillId="47" borderId="0"/>
    <xf numFmtId="0" fontId="20" fillId="20" borderId="0"/>
    <xf numFmtId="0" fontId="20" fillId="20" borderId="0"/>
    <xf numFmtId="0" fontId="20" fillId="20" borderId="0"/>
    <xf numFmtId="0" fontId="20" fillId="20" borderId="0"/>
    <xf numFmtId="0" fontId="22" fillId="56" borderId="0"/>
    <xf numFmtId="0" fontId="20" fillId="24" borderId="0"/>
    <xf numFmtId="0" fontId="22" fillId="56" borderId="0"/>
    <xf numFmtId="0" fontId="22" fillId="56" borderId="0"/>
    <xf numFmtId="0" fontId="20" fillId="24" borderId="0"/>
    <xf numFmtId="0" fontId="20" fillId="24" borderId="0"/>
    <xf numFmtId="0" fontId="20" fillId="24" borderId="0"/>
    <xf numFmtId="0" fontId="20" fillId="24" borderId="0"/>
    <xf numFmtId="0" fontId="22" fillId="57" borderId="0"/>
    <xf numFmtId="0" fontId="20" fillId="28" borderId="0"/>
    <xf numFmtId="0" fontId="22" fillId="57" borderId="0"/>
    <xf numFmtId="0" fontId="22" fillId="57" borderId="0"/>
    <xf numFmtId="0" fontId="20" fillId="28" borderId="0"/>
    <xf numFmtId="0" fontId="20" fillId="28" borderId="0"/>
    <xf numFmtId="0" fontId="20" fillId="28" borderId="0"/>
    <xf numFmtId="0" fontId="20" fillId="28" borderId="0"/>
    <xf numFmtId="0" fontId="22" fillId="58" borderId="0"/>
    <xf numFmtId="0" fontId="20" fillId="32" borderId="0"/>
    <xf numFmtId="0" fontId="22" fillId="58" borderId="0"/>
    <xf numFmtId="0" fontId="22" fillId="58" borderId="0"/>
    <xf numFmtId="0" fontId="20" fillId="32" borderId="0"/>
    <xf numFmtId="0" fontId="20" fillId="32" borderId="0"/>
    <xf numFmtId="0" fontId="20" fillId="32" borderId="0"/>
    <xf numFmtId="0" fontId="20" fillId="32" borderId="0"/>
    <xf numFmtId="0" fontId="23" fillId="59" borderId="0"/>
    <xf numFmtId="0" fontId="23" fillId="60" borderId="0"/>
    <xf numFmtId="0" fontId="23" fillId="61" borderId="0"/>
    <xf numFmtId="0" fontId="23" fillId="62" borderId="0"/>
    <xf numFmtId="0" fontId="23" fillId="63" borderId="0"/>
    <xf numFmtId="0" fontId="23" fillId="64" borderId="0"/>
    <xf numFmtId="0" fontId="20" fillId="9" borderId="0"/>
    <xf numFmtId="0" fontId="20" fillId="9" borderId="0"/>
    <xf numFmtId="0" fontId="20" fillId="9" borderId="0"/>
    <xf numFmtId="0" fontId="20" fillId="9" borderId="0"/>
    <xf numFmtId="0" fontId="20" fillId="9" borderId="0"/>
    <xf numFmtId="0" fontId="20" fillId="13" borderId="0"/>
    <xf numFmtId="0" fontId="20" fillId="13" borderId="0"/>
    <xf numFmtId="0" fontId="20" fillId="13" borderId="0"/>
    <xf numFmtId="0" fontId="20" fillId="13" borderId="0"/>
    <xf numFmtId="0" fontId="20" fillId="13" borderId="0"/>
    <xf numFmtId="0" fontId="20" fillId="17" borderId="0"/>
    <xf numFmtId="0" fontId="20" fillId="17" borderId="0"/>
    <xf numFmtId="0" fontId="20" fillId="17" borderId="0"/>
    <xf numFmtId="0" fontId="20" fillId="17" borderId="0"/>
    <xf numFmtId="0" fontId="20" fillId="17" borderId="0"/>
    <xf numFmtId="0" fontId="20" fillId="21" borderId="0"/>
    <xf numFmtId="0" fontId="20" fillId="21" borderId="0"/>
    <xf numFmtId="0" fontId="20" fillId="21" borderId="0"/>
    <xf numFmtId="0" fontId="20" fillId="21" borderId="0"/>
    <xf numFmtId="0" fontId="20" fillId="21" borderId="0"/>
    <xf numFmtId="0" fontId="20" fillId="25" borderId="0"/>
    <xf numFmtId="0" fontId="20" fillId="25" borderId="0"/>
    <xf numFmtId="0" fontId="20" fillId="25" borderId="0"/>
    <xf numFmtId="0" fontId="20" fillId="25" borderId="0"/>
    <xf numFmtId="0" fontId="20" fillId="25" borderId="0"/>
    <xf numFmtId="0" fontId="20" fillId="29" borderId="0"/>
    <xf numFmtId="0" fontId="20" fillId="29" borderId="0"/>
    <xf numFmtId="0" fontId="20" fillId="29" borderId="0"/>
    <xf numFmtId="0" fontId="20" fillId="29" borderId="0"/>
    <xf numFmtId="0" fontId="20" fillId="29" borderId="0"/>
    <xf numFmtId="0" fontId="12" fillId="3" borderId="0"/>
    <xf numFmtId="0" fontId="12" fillId="3" borderId="0"/>
    <xf numFmtId="0" fontId="12" fillId="3" borderId="0"/>
    <xf numFmtId="0" fontId="12" fillId="3" borderId="0"/>
    <xf numFmtId="0" fontId="12" fillId="3" borderId="0"/>
    <xf numFmtId="0" fontId="24" fillId="35" borderId="0"/>
    <xf numFmtId="0" fontId="11" fillId="2" borderId="0"/>
    <xf numFmtId="0" fontId="24" fillId="35" borderId="0"/>
    <xf numFmtId="0" fontId="11" fillId="2" borderId="0"/>
    <xf numFmtId="0" fontId="24" fillId="35" borderId="0"/>
    <xf numFmtId="0" fontId="24" fillId="35" borderId="0"/>
    <xf numFmtId="0" fontId="24" fillId="35" borderId="0"/>
    <xf numFmtId="0" fontId="11" fillId="2" borderId="0"/>
    <xf numFmtId="0" fontId="11" fillId="2" borderId="0"/>
    <xf numFmtId="0" fontId="24" fillId="35" borderId="0"/>
    <xf numFmtId="0" fontId="24" fillId="35" borderId="0"/>
    <xf numFmtId="0" fontId="11" fillId="2" borderId="0"/>
    <xf numFmtId="0" fontId="11" fillId="2" borderId="0"/>
    <xf numFmtId="0" fontId="11" fillId="2" borderId="0"/>
    <xf numFmtId="0" fontId="11" fillId="2" borderId="0"/>
    <xf numFmtId="0" fontId="11" fillId="2" borderId="0"/>
    <xf numFmtId="0" fontId="15" fillId="6" borderId="5"/>
    <xf numFmtId="0" fontId="15" fillId="6" borderId="5"/>
    <xf numFmtId="0" fontId="15" fillId="6" borderId="5"/>
    <xf numFmtId="0" fontId="15" fillId="6" borderId="5"/>
    <xf numFmtId="0" fontId="15" fillId="6" borderId="5"/>
    <xf numFmtId="0" fontId="25" fillId="65" borderId="11"/>
    <xf numFmtId="0" fontId="15" fillId="6" borderId="5"/>
    <xf numFmtId="0" fontId="25" fillId="65" borderId="11"/>
    <xf numFmtId="0" fontId="25" fillId="65" borderId="11"/>
    <xf numFmtId="0" fontId="15" fillId="6" borderId="5"/>
    <xf numFmtId="0" fontId="15" fillId="6" borderId="5"/>
    <xf numFmtId="0" fontId="15" fillId="6" borderId="5"/>
    <xf numFmtId="0" fontId="15" fillId="6" borderId="5"/>
    <xf numFmtId="0" fontId="26" fillId="66" borderId="12"/>
    <xf numFmtId="0" fontId="17" fillId="7" borderId="8"/>
    <xf numFmtId="0" fontId="26" fillId="66" borderId="12"/>
    <xf numFmtId="0" fontId="17" fillId="7" borderId="8"/>
    <xf numFmtId="0" fontId="26" fillId="66" borderId="12"/>
    <xf numFmtId="0" fontId="26" fillId="66" borderId="12"/>
    <xf numFmtId="0" fontId="26" fillId="66" borderId="12"/>
    <xf numFmtId="0" fontId="17" fillId="7" borderId="8"/>
    <xf numFmtId="0" fontId="17" fillId="7" borderId="8"/>
    <xf numFmtId="0" fontId="26" fillId="66" borderId="12"/>
    <xf numFmtId="0" fontId="26" fillId="66" borderId="12"/>
    <xf numFmtId="0" fontId="17" fillId="7" borderId="8"/>
    <xf numFmtId="0" fontId="17" fillId="7" borderId="8"/>
    <xf numFmtId="0" fontId="17" fillId="7" borderId="8"/>
    <xf numFmtId="0" fontId="17" fillId="7" borderId="8"/>
    <xf numFmtId="0" fontId="17" fillId="7" borderId="8"/>
    <xf numFmtId="0" fontId="27" fillId="0" borderId="13"/>
    <xf numFmtId="0" fontId="16" fillId="0" borderId="7"/>
    <xf numFmtId="0" fontId="27" fillId="0" borderId="13"/>
    <xf numFmtId="0" fontId="16" fillId="0" borderId="7"/>
    <xf numFmtId="0" fontId="27" fillId="0" borderId="13"/>
    <xf numFmtId="0" fontId="27" fillId="0" borderId="13"/>
    <xf numFmtId="0" fontId="27" fillId="0" borderId="13"/>
    <xf numFmtId="0" fontId="16" fillId="0" borderId="7"/>
    <xf numFmtId="0" fontId="16" fillId="0" borderId="7"/>
    <xf numFmtId="0" fontId="27" fillId="0" borderId="13"/>
    <xf numFmtId="0" fontId="27" fillId="0" borderId="13"/>
    <xf numFmtId="0" fontId="16" fillId="0" borderId="7"/>
    <xf numFmtId="0" fontId="16" fillId="0" borderId="7"/>
    <xf numFmtId="0" fontId="16" fillId="0" borderId="7"/>
    <xf numFmtId="0" fontId="16" fillId="0" borderId="7"/>
    <xf numFmtId="0" fontId="16" fillId="0" borderId="7"/>
    <xf numFmtId="0" fontId="17" fillId="7" borderId="8"/>
    <xf numFmtId="0" fontId="17" fillId="7" borderId="8"/>
    <xf numFmtId="0" fontId="17" fillId="7" borderId="8"/>
    <xf numFmtId="0" fontId="17" fillId="7" borderId="8"/>
    <xf numFmtId="0" fontId="17" fillId="7" borderId="8"/>
    <xf numFmtId="43" fontId="4" fillId="0" borderId="0"/>
    <xf numFmtId="0" fontId="28" fillId="0" borderId="0"/>
    <xf numFmtId="0" fontId="10" fillId="0" borderId="0"/>
    <xf numFmtId="0" fontId="28" fillId="0" borderId="0"/>
    <xf numFmtId="0" fontId="10" fillId="0" borderId="0"/>
    <xf numFmtId="0" fontId="28" fillId="0" borderId="0"/>
    <xf numFmtId="0" fontId="28" fillId="0" borderId="0"/>
    <xf numFmtId="0" fontId="28" fillId="0" borderId="0"/>
    <xf numFmtId="0" fontId="10" fillId="0" borderId="0"/>
    <xf numFmtId="0" fontId="10" fillId="0" borderId="0"/>
    <xf numFmtId="0" fontId="28" fillId="0" borderId="0"/>
    <xf numFmtId="0" fontId="28" fillId="0" borderId="0"/>
    <xf numFmtId="0" fontId="10" fillId="0" borderId="0"/>
    <xf numFmtId="0" fontId="10" fillId="0" borderId="0"/>
    <xf numFmtId="0" fontId="10" fillId="0" borderId="0"/>
    <xf numFmtId="0" fontId="10" fillId="0" borderId="0"/>
    <xf numFmtId="0" fontId="10" fillId="0" borderId="0"/>
    <xf numFmtId="0" fontId="22" fillId="67" borderId="0"/>
    <xf numFmtId="0" fontId="20" fillId="9" borderId="0"/>
    <xf numFmtId="0" fontId="22" fillId="67" borderId="0"/>
    <xf numFmtId="0" fontId="22" fillId="67" borderId="0"/>
    <xf numFmtId="0" fontId="20" fillId="9" borderId="0"/>
    <xf numFmtId="0" fontId="20" fillId="9" borderId="0"/>
    <xf numFmtId="0" fontId="20" fillId="9" borderId="0"/>
    <xf numFmtId="0" fontId="20" fillId="9" borderId="0"/>
    <xf numFmtId="0" fontId="22" fillId="68" borderId="0"/>
    <xf numFmtId="0" fontId="20" fillId="13" borderId="0"/>
    <xf numFmtId="0" fontId="22" fillId="68" borderId="0"/>
    <xf numFmtId="0" fontId="22" fillId="68" borderId="0"/>
    <xf numFmtId="0" fontId="20" fillId="13" borderId="0"/>
    <xf numFmtId="0" fontId="20" fillId="13" borderId="0"/>
    <xf numFmtId="0" fontId="20" fillId="13" borderId="0"/>
    <xf numFmtId="0" fontId="20" fillId="13" borderId="0"/>
    <xf numFmtId="0" fontId="22" fillId="69" borderId="0"/>
    <xf numFmtId="0" fontId="20" fillId="17" borderId="0"/>
    <xf numFmtId="0" fontId="22" fillId="69" borderId="0"/>
    <xf numFmtId="0" fontId="22" fillId="69" borderId="0"/>
    <xf numFmtId="0" fontId="20" fillId="17" borderId="0"/>
    <xf numFmtId="0" fontId="20" fillId="17" borderId="0"/>
    <xf numFmtId="0" fontId="20" fillId="17" borderId="0"/>
    <xf numFmtId="0" fontId="20" fillId="17" borderId="0"/>
    <xf numFmtId="0" fontId="22" fillId="56" borderId="0"/>
    <xf numFmtId="0" fontId="20" fillId="21" borderId="0"/>
    <xf numFmtId="0" fontId="22" fillId="56" borderId="0"/>
    <xf numFmtId="0" fontId="22" fillId="56" borderId="0"/>
    <xf numFmtId="0" fontId="20" fillId="21" borderId="0"/>
    <xf numFmtId="0" fontId="20" fillId="21" borderId="0"/>
    <xf numFmtId="0" fontId="20" fillId="21" borderId="0"/>
    <xf numFmtId="0" fontId="20" fillId="21" borderId="0"/>
    <xf numFmtId="0" fontId="22" fillId="57" borderId="0"/>
    <xf numFmtId="0" fontId="20" fillId="25" borderId="0"/>
    <xf numFmtId="0" fontId="22" fillId="57" borderId="0"/>
    <xf numFmtId="0" fontId="22" fillId="57" borderId="0"/>
    <xf numFmtId="0" fontId="20" fillId="25" borderId="0"/>
    <xf numFmtId="0" fontId="20" fillId="25" borderId="0"/>
    <xf numFmtId="0" fontId="20" fillId="25" borderId="0"/>
    <xf numFmtId="0" fontId="20" fillId="25" borderId="0"/>
    <xf numFmtId="0" fontId="22" fillId="70" borderId="0"/>
    <xf numFmtId="0" fontId="20" fillId="29" borderId="0"/>
    <xf numFmtId="0" fontId="22" fillId="70" borderId="0"/>
    <xf numFmtId="0" fontId="22" fillId="70" borderId="0"/>
    <xf numFmtId="0" fontId="20" fillId="29" borderId="0"/>
    <xf numFmtId="0" fontId="20" fillId="29" borderId="0"/>
    <xf numFmtId="0" fontId="20" fillId="29" borderId="0"/>
    <xf numFmtId="0" fontId="20" fillId="29" borderId="0"/>
    <xf numFmtId="0" fontId="29" fillId="38" borderId="11"/>
    <xf numFmtId="0" fontId="13" fillId="5" borderId="5"/>
    <xf numFmtId="0" fontId="29" fillId="38" borderId="11"/>
    <xf numFmtId="0" fontId="13" fillId="5" borderId="5"/>
    <xf numFmtId="0" fontId="29" fillId="38" borderId="11"/>
    <xf numFmtId="0" fontId="29" fillId="38" borderId="11"/>
    <xf numFmtId="0" fontId="29" fillId="38" borderId="11"/>
    <xf numFmtId="0" fontId="13" fillId="5" borderId="5"/>
    <xf numFmtId="0" fontId="13" fillId="5" borderId="5"/>
    <xf numFmtId="0" fontId="29" fillId="38" borderId="11"/>
    <xf numFmtId="0" fontId="29" fillId="38" borderId="11"/>
    <xf numFmtId="0" fontId="13" fillId="5" borderId="5"/>
    <xf numFmtId="0" fontId="13" fillId="5" borderId="5"/>
    <xf numFmtId="0" fontId="13" fillId="5" borderId="5"/>
    <xf numFmtId="0" fontId="13" fillId="5" borderId="5"/>
    <xf numFmtId="0" fontId="13" fillId="5" borderId="5"/>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171" fontId="5" fillId="0" borderId="0"/>
    <xf numFmtId="172" fontId="30" fillId="0" borderId="0"/>
    <xf numFmtId="0" fontId="19" fillId="0" borderId="0"/>
    <xf numFmtId="0" fontId="19" fillId="0" borderId="0"/>
    <xf numFmtId="0" fontId="19" fillId="0" borderId="0"/>
    <xf numFmtId="0" fontId="19" fillId="0" borderId="0"/>
    <xf numFmtId="0" fontId="19" fillId="0" borderId="0"/>
    <xf numFmtId="0" fontId="11" fillId="2" borderId="0"/>
    <xf numFmtId="0" fontId="11" fillId="2" borderId="0"/>
    <xf numFmtId="0" fontId="11" fillId="2" borderId="0"/>
    <xf numFmtId="0" fontId="11" fillId="2" borderId="0"/>
    <xf numFmtId="0" fontId="11" fillId="2" borderId="0"/>
    <xf numFmtId="0" fontId="8" fillId="0" borderId="2"/>
    <xf numFmtId="0" fontId="8" fillId="0" borderId="2"/>
    <xf numFmtId="0" fontId="8" fillId="0" borderId="2"/>
    <xf numFmtId="0" fontId="8" fillId="0" borderId="2"/>
    <xf numFmtId="0" fontId="8" fillId="0" borderId="2"/>
    <xf numFmtId="0" fontId="9" fillId="0" borderId="3"/>
    <xf numFmtId="0" fontId="9" fillId="0" borderId="3"/>
    <xf numFmtId="0" fontId="9" fillId="0" borderId="3"/>
    <xf numFmtId="0" fontId="9" fillId="0" borderId="3"/>
    <xf numFmtId="0" fontId="9" fillId="0" borderId="3"/>
    <xf numFmtId="0" fontId="10" fillId="0" borderId="4"/>
    <xf numFmtId="0" fontId="10" fillId="0" borderId="4"/>
    <xf numFmtId="0" fontId="10" fillId="0" borderId="4"/>
    <xf numFmtId="0" fontId="10" fillId="0" borderId="4"/>
    <xf numFmtId="0" fontId="10" fillId="0" borderId="4"/>
    <xf numFmtId="0" fontId="10" fillId="0" borderId="0"/>
    <xf numFmtId="0" fontId="10" fillId="0" borderId="0"/>
    <xf numFmtId="0" fontId="10" fillId="0" borderId="0"/>
    <xf numFmtId="0" fontId="10" fillId="0" borderId="0"/>
    <xf numFmtId="0" fontId="10" fillId="0" borderId="0"/>
    <xf numFmtId="0" fontId="31" fillId="0" borderId="0">
      <alignment vertical="top"/>
      <protection locked="0"/>
    </xf>
    <xf numFmtId="0" fontId="31" fillId="0" borderId="0"/>
    <xf numFmtId="0" fontId="32" fillId="0" borderId="0">
      <alignment vertical="top"/>
      <protection locked="0"/>
    </xf>
    <xf numFmtId="0" fontId="33" fillId="0" borderId="0"/>
    <xf numFmtId="0" fontId="32" fillId="0" borderId="0">
      <alignment vertical="top"/>
      <protection locked="0"/>
    </xf>
    <xf numFmtId="0" fontId="34" fillId="0" borderId="0">
      <alignment vertical="top"/>
      <protection locked="0"/>
    </xf>
    <xf numFmtId="171" fontId="33" fillId="0" borderId="0"/>
    <xf numFmtId="0" fontId="35" fillId="34" borderId="0"/>
    <xf numFmtId="0" fontId="12" fillId="3" borderId="0"/>
    <xf numFmtId="0" fontId="35" fillId="34" borderId="0"/>
    <xf numFmtId="0" fontId="35" fillId="34" borderId="0"/>
    <xf numFmtId="0" fontId="12" fillId="3" borderId="0"/>
    <xf numFmtId="0" fontId="12" fillId="3" borderId="0"/>
    <xf numFmtId="0" fontId="12" fillId="3" borderId="0"/>
    <xf numFmtId="0" fontId="12" fillId="3" borderId="0"/>
    <xf numFmtId="0" fontId="13" fillId="5" borderId="5"/>
    <xf numFmtId="0" fontId="13" fillId="5" borderId="5"/>
    <xf numFmtId="0" fontId="13" fillId="5" borderId="5"/>
    <xf numFmtId="0" fontId="13" fillId="5" borderId="5"/>
    <xf numFmtId="0" fontId="13" fillId="5" borderId="5"/>
    <xf numFmtId="0" fontId="16" fillId="0" borderId="7"/>
    <xf numFmtId="0" fontId="16" fillId="0" borderId="7"/>
    <xf numFmtId="0" fontId="16" fillId="0" borderId="7"/>
    <xf numFmtId="0" fontId="16" fillId="0" borderId="7"/>
    <xf numFmtId="0" fontId="16" fillId="0" borderId="7"/>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43" fontId="36" fillId="0" borderId="0"/>
    <xf numFmtId="167" fontId="4" fillId="0" borderId="0"/>
    <xf numFmtId="167" fontId="4" fillId="0" borderId="0"/>
    <xf numFmtId="167" fontId="4" fillId="0" borderId="0"/>
    <xf numFmtId="174" fontId="4" fillId="0" borderId="0"/>
    <xf numFmtId="167" fontId="4" fillId="0" borderId="0"/>
    <xf numFmtId="43" fontId="1" fillId="0" borderId="0"/>
    <xf numFmtId="167" fontId="4" fillId="0" borderId="0"/>
    <xf numFmtId="167" fontId="4" fillId="0" borderId="0"/>
    <xf numFmtId="4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36"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5"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75"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36" fillId="0" borderId="0"/>
    <xf numFmtId="167" fontId="4" fillId="0" borderId="0"/>
    <xf numFmtId="167" fontId="4" fillId="0" borderId="0"/>
    <xf numFmtId="173" fontId="1" fillId="0" borderId="0"/>
    <xf numFmtId="167" fontId="4" fillId="0" borderId="0"/>
    <xf numFmtId="167" fontId="4" fillId="0" borderId="0"/>
    <xf numFmtId="43" fontId="36" fillId="0" borderId="0"/>
    <xf numFmtId="167" fontId="4" fillId="0" borderId="0"/>
    <xf numFmtId="167" fontId="4" fillId="0" borderId="0"/>
    <xf numFmtId="43" fontId="36" fillId="0" borderId="0"/>
    <xf numFmtId="167" fontId="4" fillId="0" borderId="0"/>
    <xf numFmtId="167" fontId="4" fillId="0" borderId="0"/>
    <xf numFmtId="43" fontId="36" fillId="0" borderId="0"/>
    <xf numFmtId="167" fontId="4" fillId="0" borderId="0"/>
    <xf numFmtId="167" fontId="4" fillId="0" borderId="0"/>
    <xf numFmtId="167" fontId="4" fillId="0" borderId="0"/>
    <xf numFmtId="167" fontId="4" fillId="0" borderId="0"/>
    <xf numFmtId="4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43"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73" fontId="1" fillId="0" borderId="0"/>
    <xf numFmtId="173" fontId="1"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73" fontId="1" fillId="0" borderId="0"/>
    <xf numFmtId="173" fontId="1"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73" fontId="1" fillId="0" borderId="0"/>
    <xf numFmtId="167" fontId="4" fillId="0" borderId="0"/>
    <xf numFmtId="173" fontId="1" fillId="0" borderId="0"/>
    <xf numFmtId="167" fontId="4" fillId="0" borderId="0"/>
    <xf numFmtId="173" fontId="1" fillId="0" borderId="0"/>
    <xf numFmtId="173" fontId="1" fillId="0" borderId="0"/>
    <xf numFmtId="167" fontId="4" fillId="0" borderId="0"/>
    <xf numFmtId="173" fontId="1" fillId="0" borderId="0"/>
    <xf numFmtId="173" fontId="1" fillId="0" borderId="0"/>
    <xf numFmtId="173" fontId="1"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67" fontId="4" fillId="0" borderId="0"/>
    <xf numFmtId="167" fontId="4" fillId="0" borderId="0"/>
    <xf numFmtId="167" fontId="4"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73" fontId="1"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5" fontId="4" fillId="0" borderId="0"/>
    <xf numFmtId="176" fontId="4" fillId="0" borderId="0"/>
    <xf numFmtId="165" fontId="1" fillId="0" borderId="0"/>
    <xf numFmtId="165" fontId="1" fillId="0" borderId="0"/>
    <xf numFmtId="176" fontId="4" fillId="0" borderId="0"/>
    <xf numFmtId="165" fontId="1" fillId="0" borderId="0"/>
    <xf numFmtId="176" fontId="4" fillId="0" borderId="0"/>
    <xf numFmtId="165" fontId="1" fillId="0" borderId="0"/>
    <xf numFmtId="176" fontId="4" fillId="0" borderId="0"/>
    <xf numFmtId="165" fontId="1" fillId="0" borderId="0"/>
    <xf numFmtId="176" fontId="4" fillId="0" borderId="0"/>
    <xf numFmtId="176" fontId="4" fillId="0" borderId="0"/>
    <xf numFmtId="176" fontId="4" fillId="0" borderId="0"/>
    <xf numFmtId="176" fontId="4" fillId="0" borderId="0"/>
    <xf numFmtId="176" fontId="4" fillId="0" borderId="0"/>
    <xf numFmtId="165" fontId="4" fillId="0" borderId="0"/>
    <xf numFmtId="165"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6" fontId="4" fillId="0" borderId="0"/>
    <xf numFmtId="177" fontId="1" fillId="0" borderId="0"/>
    <xf numFmtId="177" fontId="1" fillId="0" borderId="0"/>
    <xf numFmtId="165" fontId="1" fillId="0" borderId="0"/>
    <xf numFmtId="0" fontId="37" fillId="71" borderId="0"/>
    <xf numFmtId="0" fontId="37" fillId="71" borderId="0"/>
    <xf numFmtId="0" fontId="37" fillId="71"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166" fontId="4" fillId="0" borderId="0"/>
    <xf numFmtId="0" fontId="1" fillId="0" borderId="0"/>
    <xf numFmtId="0" fontId="4" fillId="0" borderId="0">
      <alignment vertical="top"/>
    </xf>
    <xf numFmtId="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38"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171"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171" fontId="4" fillId="0" borderId="0"/>
    <xf numFmtId="0"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36"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36"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4" fillId="0" borderId="0"/>
    <xf numFmtId="166"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4" fillId="0" borderId="0"/>
    <xf numFmtId="166"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4" fillId="0" borderId="0"/>
    <xf numFmtId="166"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4"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66" fontId="4"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66" fontId="4"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66" fontId="4" fillId="0" borderId="0"/>
    <xf numFmtId="166" fontId="4" fillId="0" borderId="0"/>
    <xf numFmtId="166" fontId="4" fillId="0" borderId="0"/>
    <xf numFmtId="166"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4" fillId="0" borderId="0"/>
    <xf numFmtId="0" fontId="1"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0" fontId="4" fillId="0" borderId="0">
      <alignment vertical="top"/>
    </xf>
    <xf numFmtId="166" fontId="4" fillId="0" borderId="0"/>
    <xf numFmtId="171" fontId="1" fillId="0" borderId="0"/>
    <xf numFmtId="166" fontId="4" fillId="0" borderId="0"/>
    <xf numFmtId="171" fontId="1" fillId="0" borderId="0"/>
    <xf numFmtId="166"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66" fontId="4"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0"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66"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4" fillId="0" borderId="0"/>
    <xf numFmtId="171" fontId="4" fillId="0" borderId="0"/>
    <xf numFmtId="166" fontId="4" fillId="0" borderId="0"/>
    <xf numFmtId="171" fontId="1" fillId="0" borderId="0"/>
    <xf numFmtId="171" fontId="1" fillId="0" borderId="0"/>
    <xf numFmtId="171" fontId="1" fillId="0" borderId="0"/>
    <xf numFmtId="171" fontId="1" fillId="0" borderId="0"/>
    <xf numFmtId="171" fontId="1" fillId="0" borderId="0"/>
    <xf numFmtId="166"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0" fontId="1" fillId="0" borderId="0"/>
    <xf numFmtId="0" fontId="4" fillId="0" borderId="0"/>
    <xf numFmtId="171" fontId="4" fillId="0" borderId="0"/>
    <xf numFmtId="0"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4"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171" fontId="1" fillId="0" borderId="0"/>
    <xf numFmtId="171" fontId="1" fillId="0" borderId="0"/>
    <xf numFmtId="171" fontId="1" fillId="0" borderId="0"/>
    <xf numFmtId="171" fontId="1"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4"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4" fillId="0" borderId="0"/>
    <xf numFmtId="0" fontId="1" fillId="0" borderId="0"/>
    <xf numFmtId="171" fontId="1" fillId="0" borderId="0"/>
    <xf numFmtId="0" fontId="4" fillId="0" borderId="0"/>
    <xf numFmtId="0" fontId="4" fillId="0" borderId="0"/>
    <xf numFmtId="171" fontId="4" fillId="0" borderId="0"/>
    <xf numFmtId="0" fontId="4" fillId="0" borderId="0"/>
    <xf numFmtId="0" fontId="4" fillId="0" borderId="0"/>
    <xf numFmtId="171" fontId="4" fillId="0" borderId="0"/>
    <xf numFmtId="0" fontId="4" fillId="0" borderId="0"/>
    <xf numFmtId="0" fontId="4" fillId="0" borderId="0"/>
    <xf numFmtId="171" fontId="4" fillId="0" borderId="0"/>
    <xf numFmtId="0" fontId="4" fillId="0" borderId="0"/>
    <xf numFmtId="0" fontId="4" fillId="0" borderId="0"/>
    <xf numFmtId="171" fontId="4"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alignment vertical="top"/>
    </xf>
    <xf numFmtId="0" fontId="4" fillId="0" borderId="0">
      <alignment vertical="top"/>
    </xf>
    <xf numFmtId="0" fontId="4" fillId="0" borderId="0"/>
    <xf numFmtId="171" fontId="36" fillId="0" borderId="0"/>
    <xf numFmtId="0" fontId="4" fillId="0" borderId="0"/>
    <xf numFmtId="0" fontId="4" fillId="0" borderId="0"/>
    <xf numFmtId="171" fontId="4" fillId="0" borderId="0"/>
    <xf numFmtId="0" fontId="4" fillId="0" borderId="0"/>
    <xf numFmtId="0" fontId="4" fillId="0" borderId="0"/>
    <xf numFmtId="171" fontId="36" fillId="0" borderId="0"/>
    <xf numFmtId="0" fontId="4" fillId="0" borderId="0"/>
    <xf numFmtId="0" fontId="4" fillId="0" borderId="0"/>
    <xf numFmtId="171" fontId="4" fillId="0" borderId="0"/>
    <xf numFmtId="0" fontId="4" fillId="0" borderId="0"/>
    <xf numFmtId="0" fontId="4" fillId="0" borderId="0"/>
    <xf numFmtId="171" fontId="36" fillId="0" borderId="0"/>
    <xf numFmtId="0" fontId="4" fillId="0" borderId="0"/>
    <xf numFmtId="0" fontId="4" fillId="0" borderId="0"/>
    <xf numFmtId="171" fontId="4" fillId="0" borderId="0"/>
    <xf numFmtId="0" fontId="4" fillId="0" borderId="0"/>
    <xf numFmtId="0" fontId="4" fillId="0" borderId="0"/>
    <xf numFmtId="171" fontId="36"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0" fontId="4"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0"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0" fontId="4" fillId="0" borderId="0"/>
    <xf numFmtId="171" fontId="4" fillId="0" borderId="0"/>
    <xf numFmtId="0" fontId="4" fillId="0" borderId="0"/>
    <xf numFmtId="0" fontId="4" fillId="0" borderId="0"/>
    <xf numFmtId="0" fontId="21" fillId="0" borderId="0"/>
    <xf numFmtId="171" fontId="36" fillId="0" borderId="0"/>
    <xf numFmtId="0" fontId="4" fillId="0" borderId="0"/>
    <xf numFmtId="0" fontId="4" fillId="0" borderId="0"/>
    <xf numFmtId="0" fontId="21" fillId="0" borderId="0"/>
    <xf numFmtId="171" fontId="36" fillId="0" borderId="0"/>
    <xf numFmtId="0" fontId="4" fillId="0" borderId="0"/>
    <xf numFmtId="0" fontId="4" fillId="0" borderId="0"/>
    <xf numFmtId="0" fontId="39" fillId="0" borderId="0"/>
    <xf numFmtId="0" fontId="21" fillId="0" borderId="0"/>
    <xf numFmtId="0" fontId="39" fillId="0" borderId="0"/>
    <xf numFmtId="0" fontId="39" fillId="0" borderId="0"/>
    <xf numFmtId="0" fontId="21" fillId="0" borderId="0"/>
    <xf numFmtId="171" fontId="36" fillId="0" borderId="0"/>
    <xf numFmtId="0" fontId="39" fillId="0" borderId="0"/>
    <xf numFmtId="0" fontId="21" fillId="0" borderId="0"/>
    <xf numFmtId="0" fontId="39" fillId="0" borderId="0"/>
    <xf numFmtId="0" fontId="4" fillId="0" borderId="0"/>
    <xf numFmtId="0" fontId="4" fillId="0" borderId="0"/>
    <xf numFmtId="0" fontId="21" fillId="0" borderId="0"/>
    <xf numFmtId="171" fontId="4" fillId="0" borderId="0"/>
    <xf numFmtId="0" fontId="4" fillId="0" borderId="0"/>
    <xf numFmtId="0" fontId="4" fillId="0" borderId="0"/>
    <xf numFmtId="0" fontId="21" fillId="0" borderId="0"/>
    <xf numFmtId="171" fontId="36" fillId="0" borderId="0"/>
    <xf numFmtId="0" fontId="4" fillId="0" borderId="0"/>
    <xf numFmtId="0" fontId="4" fillId="0" borderId="0"/>
    <xf numFmtId="0" fontId="39" fillId="0" borderId="0"/>
    <xf numFmtId="171" fontId="4"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21" fillId="0" borderId="0"/>
    <xf numFmtId="0" fontId="4" fillId="0" borderId="0"/>
    <xf numFmtId="0" fontId="21" fillId="0" borderId="0"/>
    <xf numFmtId="0" fontId="21" fillId="0" borderId="0"/>
    <xf numFmtId="0" fontId="4" fillId="0" borderId="0"/>
    <xf numFmtId="0" fontId="21" fillId="0" borderId="0"/>
    <xf numFmtId="0" fontId="4" fillId="0" borderId="0"/>
    <xf numFmtId="166" fontId="36"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36" fillId="0" borderId="0"/>
    <xf numFmtId="0" fontId="36" fillId="0" borderId="0"/>
    <xf numFmtId="0" fontId="4" fillId="0" borderId="0"/>
    <xf numFmtId="166" fontId="36" fillId="0" borderId="0"/>
    <xf numFmtId="0" fontId="4" fillId="0" borderId="0"/>
    <xf numFmtId="0" fontId="21" fillId="0" borderId="0"/>
    <xf numFmtId="171" fontId="36" fillId="0" borderId="0"/>
    <xf numFmtId="0" fontId="21" fillId="0" borderId="0"/>
    <xf numFmtId="166" fontId="36" fillId="0" borderId="0"/>
    <xf numFmtId="0" fontId="21" fillId="0" borderId="0"/>
    <xf numFmtId="0" fontId="21" fillId="0" borderId="0"/>
    <xf numFmtId="0" fontId="21" fillId="0" borderId="0"/>
    <xf numFmtId="0" fontId="21" fillId="0" borderId="0"/>
    <xf numFmtId="0" fontId="4" fillId="0" borderId="0"/>
    <xf numFmtId="0" fontId="4" fillId="0" borderId="0"/>
    <xf numFmtId="171"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166" fontId="4" fillId="0" borderId="0"/>
    <xf numFmtId="171"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4" fillId="0" borderId="0"/>
    <xf numFmtId="0" fontId="4" fillId="0" borderId="0"/>
    <xf numFmtId="0" fontId="4" fillId="0" borderId="0"/>
    <xf numFmtId="171" fontId="4" fillId="0" borderId="0"/>
    <xf numFmtId="0" fontId="4" fillId="0" borderId="0"/>
    <xf numFmtId="0" fontId="4" fillId="0" borderId="0"/>
    <xf numFmtId="171" fontId="36" fillId="0" borderId="0"/>
    <xf numFmtId="0" fontId="4" fillId="0" borderId="0"/>
    <xf numFmtId="0" fontId="4" fillId="0" borderId="0"/>
    <xf numFmtId="171" fontId="4" fillId="0" borderId="0"/>
    <xf numFmtId="0"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0" fontId="4"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36" fillId="0" borderId="0"/>
    <xf numFmtId="0" fontId="4" fillId="0" borderId="0"/>
    <xf numFmtId="171" fontId="4" fillId="0" borderId="0"/>
    <xf numFmtId="0" fontId="21"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66" fontId="1" fillId="0" borderId="0"/>
    <xf numFmtId="166" fontId="1" fillId="0" borderId="0"/>
    <xf numFmtId="171" fontId="4" fillId="0" borderId="0"/>
    <xf numFmtId="0" fontId="39" fillId="0" borderId="0"/>
    <xf numFmtId="171" fontId="4" fillId="0" borderId="0"/>
    <xf numFmtId="171" fontId="4" fillId="0" borderId="0"/>
    <xf numFmtId="171" fontId="4" fillId="0" borderId="0"/>
    <xf numFmtId="171" fontId="4" fillId="0" borderId="0"/>
    <xf numFmtId="0" fontId="4" fillId="0" borderId="0"/>
    <xf numFmtId="171" fontId="36" fillId="0" borderId="0"/>
    <xf numFmtId="171" fontId="4" fillId="0" borderId="0"/>
    <xf numFmtId="0" fontId="4" fillId="0" borderId="0"/>
    <xf numFmtId="171" fontId="4" fillId="0" borderId="0"/>
    <xf numFmtId="0" fontId="21" fillId="0" borderId="0"/>
    <xf numFmtId="171" fontId="4" fillId="0" borderId="0"/>
    <xf numFmtId="0" fontId="39" fillId="0" borderId="0"/>
    <xf numFmtId="171" fontId="4" fillId="0" borderId="0"/>
    <xf numFmtId="0" fontId="39" fillId="0" borderId="0"/>
    <xf numFmtId="171" fontId="4" fillId="0" borderId="0"/>
    <xf numFmtId="171"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171" fontId="4" fillId="0" borderId="0"/>
    <xf numFmtId="0"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0" fontId="4"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36" fillId="0" borderId="0"/>
    <xf numFmtId="171" fontId="4" fillId="0" borderId="0"/>
    <xf numFmtId="0" fontId="4" fillId="0" borderId="0"/>
    <xf numFmtId="171" fontId="36" fillId="0" borderId="0"/>
    <xf numFmtId="171" fontId="4" fillId="0" borderId="0"/>
    <xf numFmtId="171" fontId="4" fillId="0" borderId="0"/>
    <xf numFmtId="171" fontId="4" fillId="0" borderId="0"/>
    <xf numFmtId="171" fontId="4" fillId="0" borderId="0"/>
    <xf numFmtId="171" fontId="4" fillId="0" borderId="0"/>
    <xf numFmtId="171"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171" fontId="4" fillId="0" borderId="0"/>
    <xf numFmtId="0" fontId="4" fillId="0" borderId="0"/>
    <xf numFmtId="0" fontId="4" fillId="0" borderId="0"/>
    <xf numFmtId="166" fontId="4" fillId="0" borderId="0"/>
    <xf numFmtId="0" fontId="4" fillId="0" borderId="0"/>
    <xf numFmtId="166" fontId="4" fillId="0" borderId="0"/>
    <xf numFmtId="0" fontId="4" fillId="0" borderId="0"/>
    <xf numFmtId="0" fontId="4" fillId="0" borderId="0"/>
    <xf numFmtId="0" fontId="4" fillId="0" borderId="0"/>
    <xf numFmtId="171"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38" fillId="0" borderId="0"/>
    <xf numFmtId="0" fontId="4" fillId="0" borderId="0"/>
    <xf numFmtId="0" fontId="4" fillId="0" borderId="0"/>
    <xf numFmtId="171" fontId="4" fillId="0" borderId="0"/>
    <xf numFmtId="0" fontId="4" fillId="0" borderId="0"/>
    <xf numFmtId="0" fontId="38" fillId="0" borderId="0"/>
    <xf numFmtId="171"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38"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166"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171" fontId="4" fillId="0" borderId="0"/>
    <xf numFmtId="0" fontId="4" fillId="0" borderId="0"/>
    <xf numFmtId="0" fontId="4" fillId="0" borderId="0"/>
    <xf numFmtId="0" fontId="1"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1" fillId="0" borderId="0"/>
    <xf numFmtId="0" fontId="41" fillId="0" borderId="0"/>
    <xf numFmtId="0" fontId="4" fillId="0" borderId="0"/>
    <xf numFmtId="0" fontId="4" fillId="0" borderId="0"/>
    <xf numFmtId="0" fontId="41"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1" fillId="0" borderId="0"/>
    <xf numFmtId="0" fontId="4" fillId="0" borderId="0"/>
    <xf numFmtId="0" fontId="4" fillId="0" borderId="0"/>
    <xf numFmtId="0" fontId="41" fillId="0" borderId="0"/>
    <xf numFmtId="0" fontId="4" fillId="0" borderId="0"/>
    <xf numFmtId="0" fontId="4" fillId="0" borderId="0"/>
    <xf numFmtId="0" fontId="41" fillId="0" borderId="0"/>
    <xf numFmtId="0" fontId="4" fillId="0" borderId="0"/>
    <xf numFmtId="0" fontId="4" fillId="0" borderId="0"/>
    <xf numFmtId="0" fontId="41" fillId="0" borderId="0"/>
    <xf numFmtId="0" fontId="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 fillId="0" borderId="0"/>
    <xf numFmtId="0" fontId="4" fillId="0" borderId="0"/>
    <xf numFmtId="0" fontId="4" fillId="0" borderId="0"/>
    <xf numFmtId="0" fontId="4" fillId="0" borderId="0"/>
    <xf numFmtId="171" fontId="36" fillId="0" borderId="0"/>
    <xf numFmtId="0" fontId="4"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 fillId="0" borderId="0"/>
    <xf numFmtId="0" fontId="4" fillId="0" borderId="0"/>
    <xf numFmtId="0" fontId="4" fillId="0" borderId="0"/>
    <xf numFmtId="0" fontId="4" fillId="0" borderId="0"/>
    <xf numFmtId="171" fontId="36" fillId="0" borderId="0"/>
    <xf numFmtId="0" fontId="4" fillId="0" borderId="0"/>
    <xf numFmtId="0" fontId="41" fillId="0" borderId="0"/>
    <xf numFmtId="0" fontId="41"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4"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171" fontId="1"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xf numFmtId="0" fontId="4" fillId="0" borderId="0">
      <alignment vertical="top"/>
    </xf>
    <xf numFmtId="0" fontId="4" fillId="0" borderId="0">
      <alignment vertical="top"/>
    </xf>
    <xf numFmtId="0" fontId="4" fillId="0" borderId="0"/>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1" fillId="0" borderId="0"/>
    <xf numFmtId="0" fontId="4" fillId="0" borderId="0">
      <alignment vertical="top"/>
    </xf>
    <xf numFmtId="171" fontId="36" fillId="0" borderId="0"/>
    <xf numFmtId="0" fontId="4" fillId="0" borderId="0">
      <alignment vertical="top"/>
    </xf>
    <xf numFmtId="0" fontId="4"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4" fillId="0" borderId="0"/>
    <xf numFmtId="0" fontId="4" fillId="0" borderId="0"/>
    <xf numFmtId="171" fontId="36"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4" fillId="0" borderId="0">
      <alignment vertical="top"/>
    </xf>
    <xf numFmtId="166" fontId="4" fillId="0" borderId="0"/>
    <xf numFmtId="0" fontId="4" fillId="0" borderId="0">
      <alignment vertical="top"/>
    </xf>
    <xf numFmtId="171" fontId="36" fillId="0" borderId="0"/>
    <xf numFmtId="0" fontId="4" fillId="0" borderId="0"/>
    <xf numFmtId="0" fontId="4" fillId="0" borderId="0"/>
    <xf numFmtId="0" fontId="4" fillId="0" borderId="0"/>
    <xf numFmtId="0" fontId="4" fillId="0" borderId="0">
      <alignment vertical="top"/>
    </xf>
    <xf numFmtId="0" fontId="4" fillId="0" borderId="0"/>
    <xf numFmtId="0" fontId="4" fillId="0" borderId="0"/>
    <xf numFmtId="0" fontId="4" fillId="0" borderId="0"/>
    <xf numFmtId="0" fontId="4" fillId="0" borderId="0"/>
    <xf numFmtId="0" fontId="4" fillId="0" borderId="0"/>
    <xf numFmtId="0" fontId="4" fillId="0" borderId="0">
      <alignment vertical="top"/>
    </xf>
    <xf numFmtId="0" fontId="4" fillId="0" borderId="0">
      <alignment vertical="top"/>
    </xf>
    <xf numFmtId="0" fontId="1" fillId="0" borderId="0"/>
    <xf numFmtId="0" fontId="4"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171" fontId="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171" fontId="36"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1" fillId="0" borderId="0"/>
    <xf numFmtId="171" fontId="36"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1" fillId="0" borderId="0"/>
    <xf numFmtId="0" fontId="4" fillId="0" borderId="0"/>
    <xf numFmtId="0" fontId="1" fillId="0" borderId="0"/>
    <xf numFmtId="0" fontId="1" fillId="0" borderId="0"/>
    <xf numFmtId="171" fontId="3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171" fontId="4" fillId="0" borderId="0"/>
    <xf numFmtId="0" fontId="38" fillId="0" borderId="0"/>
    <xf numFmtId="0" fontId="1" fillId="0" borderId="0"/>
    <xf numFmtId="0" fontId="42" fillId="0" borderId="0"/>
    <xf numFmtId="0" fontId="38" fillId="0" borderId="0"/>
    <xf numFmtId="0" fontId="42" fillId="0" borderId="0"/>
    <xf numFmtId="166" fontId="1" fillId="0" borderId="0"/>
    <xf numFmtId="0" fontId="42" fillId="0" borderId="0"/>
    <xf numFmtId="0" fontId="38" fillId="0" borderId="0"/>
    <xf numFmtId="0" fontId="1" fillId="0" borderId="0"/>
    <xf numFmtId="0" fontId="1" fillId="0" borderId="0"/>
    <xf numFmtId="0" fontId="42" fillId="0" borderId="0"/>
    <xf numFmtId="0" fontId="38" fillId="0" borderId="0"/>
    <xf numFmtId="0" fontId="42" fillId="0" borderId="0"/>
    <xf numFmtId="0" fontId="42" fillId="0" borderId="0"/>
    <xf numFmtId="0" fontId="38" fillId="0" borderId="0"/>
    <xf numFmtId="0" fontId="42" fillId="0" borderId="0"/>
    <xf numFmtId="0" fontId="42" fillId="0" borderId="0"/>
    <xf numFmtId="0" fontId="38" fillId="0" borderId="0"/>
    <xf numFmtId="0" fontId="43" fillId="0" borderId="0"/>
    <xf numFmtId="0" fontId="38" fillId="0" borderId="0"/>
    <xf numFmtId="0" fontId="43" fillId="0" borderId="0"/>
    <xf numFmtId="0" fontId="38" fillId="0" borderId="0"/>
    <xf numFmtId="0" fontId="42" fillId="0" borderId="0"/>
    <xf numFmtId="0" fontId="4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166" fontId="4" fillId="0" borderId="0"/>
    <xf numFmtId="171"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16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38"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1" fillId="0" borderId="0"/>
    <xf numFmtId="0" fontId="44" fillId="0" borderId="0"/>
    <xf numFmtId="0" fontId="1" fillId="0" borderId="0"/>
    <xf numFmtId="0" fontId="4" fillId="0" borderId="0"/>
    <xf numFmtId="0" fontId="4" fillId="0" borderId="0"/>
    <xf numFmtId="0" fontId="4" fillId="0" borderId="0"/>
    <xf numFmtId="0" fontId="4" fillId="0" borderId="0"/>
    <xf numFmtId="169" fontId="4" fillId="0" borderId="0"/>
    <xf numFmtId="171"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3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4" fillId="0" borderId="0"/>
    <xf numFmtId="0" fontId="1" fillId="0" borderId="0"/>
    <xf numFmtId="166" fontId="4" fillId="0" borderId="0"/>
    <xf numFmtId="166" fontId="4" fillId="0" borderId="0"/>
    <xf numFmtId="166" fontId="4" fillId="0" borderId="0"/>
    <xf numFmtId="0" fontId="1" fillId="0" borderId="0"/>
    <xf numFmtId="0" fontId="1" fillId="0" borderId="0"/>
    <xf numFmtId="166" fontId="4"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38"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38"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38"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38"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38"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5" fillId="72" borderId="14"/>
    <xf numFmtId="0" fontId="4" fillId="72" borderId="14"/>
    <xf numFmtId="0" fontId="5" fillId="8" borderId="9"/>
    <xf numFmtId="0" fontId="4" fillId="72" borderId="14"/>
    <xf numFmtId="0" fontId="5" fillId="8" borderId="9"/>
    <xf numFmtId="0" fontId="4" fillId="72" borderId="14"/>
    <xf numFmtId="0" fontId="4" fillId="72" borderId="14"/>
    <xf numFmtId="0" fontId="4" fillId="72" borderId="14"/>
    <xf numFmtId="0" fontId="1" fillId="0" borderId="0"/>
    <xf numFmtId="0" fontId="1" fillId="0" borderId="0"/>
    <xf numFmtId="0" fontId="4" fillId="72" borderId="14"/>
    <xf numFmtId="0" fontId="5" fillId="8" borderId="9"/>
    <xf numFmtId="0" fontId="5" fillId="8" borderId="9"/>
    <xf numFmtId="0" fontId="1" fillId="0" borderId="0"/>
    <xf numFmtId="0" fontId="1" fillId="0" borderId="0"/>
    <xf numFmtId="0" fontId="5" fillId="8" borderId="9"/>
    <xf numFmtId="0" fontId="4" fillId="72" borderId="14"/>
    <xf numFmtId="0" fontId="4" fillId="72" borderId="14"/>
    <xf numFmtId="0" fontId="1" fillId="0" borderId="0"/>
    <xf numFmtId="0" fontId="1" fillId="0" borderId="0"/>
    <xf numFmtId="0" fontId="4" fillId="72" borderId="14"/>
    <xf numFmtId="0" fontId="4" fillId="72" borderId="14"/>
    <xf numFmtId="0" fontId="4" fillId="72" borderId="14"/>
    <xf numFmtId="0" fontId="4" fillId="72" borderId="14"/>
    <xf numFmtId="0" fontId="1" fillId="0" borderId="0"/>
    <xf numFmtId="0" fontId="1" fillId="0" borderId="0"/>
    <xf numFmtId="0" fontId="4" fillId="72" borderId="14"/>
    <xf numFmtId="0" fontId="4" fillId="72" borderId="14"/>
    <xf numFmtId="0" fontId="4" fillId="72" borderId="14"/>
    <xf numFmtId="0" fontId="4" fillId="72" borderId="14"/>
    <xf numFmtId="0" fontId="1" fillId="0" borderId="0"/>
    <xf numFmtId="0" fontId="1" fillId="0" borderId="0"/>
    <xf numFmtId="0" fontId="4" fillId="72" borderId="14"/>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1" fillId="8" borderId="9"/>
    <xf numFmtId="0" fontId="1" fillId="8" borderId="9"/>
    <xf numFmtId="0" fontId="1" fillId="8" borderId="9"/>
    <xf numFmtId="0" fontId="1" fillId="0" borderId="0"/>
    <xf numFmtId="0" fontId="1" fillId="0" borderId="0"/>
    <xf numFmtId="0" fontId="1" fillId="8" borderId="9"/>
    <xf numFmtId="0" fontId="4" fillId="72" borderId="14"/>
    <xf numFmtId="0" fontId="4" fillId="72" borderId="14"/>
    <xf numFmtId="0" fontId="1" fillId="0" borderId="0"/>
    <xf numFmtId="0" fontId="1" fillId="0" borderId="0"/>
    <xf numFmtId="0" fontId="4" fillId="72" borderId="14"/>
    <xf numFmtId="0" fontId="4" fillId="72" borderId="14"/>
    <xf numFmtId="0" fontId="1" fillId="8" borderId="9"/>
    <xf numFmtId="0" fontId="1" fillId="8" borderId="9"/>
    <xf numFmtId="0" fontId="1" fillId="8" borderId="9"/>
    <xf numFmtId="0" fontId="1" fillId="0" borderId="0"/>
    <xf numFmtId="0" fontId="1" fillId="0" borderId="0"/>
    <xf numFmtId="0" fontId="1" fillId="8" borderId="9"/>
    <xf numFmtId="0" fontId="5" fillId="72" borderId="14"/>
    <xf numFmtId="0" fontId="4" fillId="72" borderId="14"/>
    <xf numFmtId="0" fontId="4" fillId="72" borderId="14"/>
    <xf numFmtId="0" fontId="1" fillId="0" borderId="0"/>
    <xf numFmtId="0" fontId="1" fillId="0" borderId="0"/>
    <xf numFmtId="0" fontId="4" fillId="72" borderId="14"/>
    <xf numFmtId="0" fontId="4" fillId="72" borderId="14"/>
    <xf numFmtId="0" fontId="4" fillId="72" borderId="14"/>
    <xf numFmtId="0" fontId="4" fillId="72" borderId="14"/>
    <xf numFmtId="0" fontId="1" fillId="0" borderId="0"/>
    <xf numFmtId="0" fontId="1" fillId="0" borderId="0"/>
    <xf numFmtId="0" fontId="4" fillId="72" borderId="14"/>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1" fillId="0" borderId="0"/>
    <xf numFmtId="0" fontId="5" fillId="8" borderId="9"/>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5" fillId="8" borderId="9"/>
    <xf numFmtId="0" fontId="1" fillId="0" borderId="0"/>
    <xf numFmtId="0" fontId="1" fillId="0" borderId="0"/>
    <xf numFmtId="0" fontId="5" fillId="8" borderId="9"/>
    <xf numFmtId="0" fontId="5" fillId="8" borderId="9"/>
    <xf numFmtId="0" fontId="5" fillId="8" borderId="9"/>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 fillId="0" borderId="0"/>
    <xf numFmtId="0" fontId="1" fillId="0" borderId="0"/>
    <xf numFmtId="0" fontId="14" fillId="6" borderId="6"/>
    <xf numFmtId="9" fontId="4" fillId="0" borderId="0"/>
    <xf numFmtId="9" fontId="4" fillId="0" borderId="0"/>
    <xf numFmtId="9" fontId="4" fillId="0" borderId="0"/>
    <xf numFmtId="9" fontId="4" fillId="0" borderId="0"/>
    <xf numFmtId="9" fontId="4" fillId="0" borderId="0"/>
    <xf numFmtId="0" fontId="1" fillId="0" borderId="0"/>
    <xf numFmtId="0" fontId="1" fillId="0" borderId="0"/>
    <xf numFmtId="9" fontId="4" fillId="0" borderId="0"/>
    <xf numFmtId="9" fontId="4" fillId="0" borderId="0"/>
    <xf numFmtId="9" fontId="4" fillId="0" borderId="0"/>
    <xf numFmtId="9" fontId="4" fillId="0" borderId="0"/>
    <xf numFmtId="0" fontId="1" fillId="0" borderId="0"/>
    <xf numFmtId="0" fontId="1" fillId="0" borderId="0"/>
    <xf numFmtId="9" fontId="4" fillId="0" borderId="0"/>
    <xf numFmtId="9" fontId="4" fillId="0" borderId="0"/>
    <xf numFmtId="9" fontId="4" fillId="0" borderId="0"/>
    <xf numFmtId="9" fontId="4" fillId="0" borderId="0"/>
    <xf numFmtId="0" fontId="1" fillId="0" borderId="0"/>
    <xf numFmtId="0" fontId="1" fillId="0" borderId="0"/>
    <xf numFmtId="9" fontId="4" fillId="0" borderId="0"/>
    <xf numFmtId="9" fontId="4" fillId="0" borderId="0"/>
    <xf numFmtId="9" fontId="4" fillId="0" borderId="0"/>
    <xf numFmtId="9" fontId="4" fillId="0" borderId="0"/>
    <xf numFmtId="0" fontId="1" fillId="0" borderId="0"/>
    <xf numFmtId="0" fontId="1" fillId="0" borderId="0"/>
    <xf numFmtId="9" fontId="4" fillId="0" borderId="0"/>
    <xf numFmtId="0" fontId="1" fillId="0" borderId="0"/>
    <xf numFmtId="0" fontId="14" fillId="6" borderId="6"/>
    <xf numFmtId="0" fontId="45" fillId="65" borderId="15"/>
    <xf numFmtId="0" fontId="45" fillId="65" borderId="15"/>
    <xf numFmtId="0" fontId="45" fillId="65" borderId="15"/>
    <xf numFmtId="0" fontId="1" fillId="0" borderId="0"/>
    <xf numFmtId="0" fontId="14" fillId="6" borderId="6"/>
    <xf numFmtId="0" fontId="1" fillId="0" borderId="0"/>
    <xf numFmtId="0" fontId="45" fillId="65" borderId="15"/>
    <xf numFmtId="0" fontId="45" fillId="65" borderId="15"/>
    <xf numFmtId="0" fontId="45" fillId="65" borderId="15"/>
    <xf numFmtId="0" fontId="45" fillId="65" borderId="15"/>
    <xf numFmtId="0" fontId="1" fillId="0" borderId="0"/>
    <xf numFmtId="0" fontId="1" fillId="0" borderId="0"/>
    <xf numFmtId="0" fontId="45" fillId="65" borderId="15"/>
    <xf numFmtId="0" fontId="45" fillId="65" borderId="15"/>
    <xf numFmtId="0" fontId="45" fillId="65" borderId="15"/>
    <xf numFmtId="0" fontId="45" fillId="65" borderId="15"/>
    <xf numFmtId="0" fontId="1" fillId="0" borderId="0"/>
    <xf numFmtId="0" fontId="1" fillId="0" borderId="0"/>
    <xf numFmtId="0" fontId="45" fillId="65" borderId="15"/>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4" fillId="6" borderId="6"/>
    <xf numFmtId="0" fontId="1" fillId="0" borderId="0"/>
    <xf numFmtId="0" fontId="1" fillId="0" borderId="0"/>
    <xf numFmtId="0" fontId="14" fillId="6" borderId="6"/>
    <xf numFmtId="0" fontId="14" fillId="6" borderId="6"/>
    <xf numFmtId="0" fontId="14" fillId="6" borderId="6"/>
    <xf numFmtId="0" fontId="1" fillId="0" borderId="0"/>
    <xf numFmtId="0" fontId="46" fillId="0" borderId="0"/>
    <xf numFmtId="0" fontId="46" fillId="0" borderId="0"/>
    <xf numFmtId="0" fontId="46" fillId="0" borderId="0"/>
    <xf numFmtId="0" fontId="1" fillId="0" borderId="0"/>
    <xf numFmtId="0" fontId="1" fillId="0" borderId="0"/>
    <xf numFmtId="0" fontId="46" fillId="0" borderId="0"/>
    <xf numFmtId="0" fontId="18" fillId="0" borderId="0"/>
    <xf numFmtId="0" fontId="18" fillId="0" borderId="0"/>
    <xf numFmtId="0" fontId="1" fillId="0" borderId="0"/>
    <xf numFmtId="0" fontId="1" fillId="0" borderId="0"/>
    <xf numFmtId="0" fontId="18" fillId="0" borderId="0"/>
    <xf numFmtId="0" fontId="47" fillId="0" borderId="0"/>
    <xf numFmtId="0" fontId="18" fillId="0" borderId="0"/>
    <xf numFmtId="0" fontId="47" fillId="0" borderId="0"/>
    <xf numFmtId="0" fontId="18" fillId="0" borderId="0"/>
    <xf numFmtId="0" fontId="47" fillId="0" borderId="0"/>
    <xf numFmtId="0" fontId="47" fillId="0" borderId="0"/>
    <xf numFmtId="0" fontId="47" fillId="0" borderId="0"/>
    <xf numFmtId="0" fontId="1" fillId="0" borderId="0"/>
    <xf numFmtId="0" fontId="1" fillId="0" borderId="0"/>
    <xf numFmtId="0" fontId="47" fillId="0" borderId="0"/>
    <xf numFmtId="0" fontId="18" fillId="0" borderId="0"/>
    <xf numFmtId="0" fontId="18" fillId="0" borderId="0"/>
    <xf numFmtId="0" fontId="1" fillId="0" borderId="0"/>
    <xf numFmtId="0" fontId="1" fillId="0" borderId="0"/>
    <xf numFmtId="0" fontId="18" fillId="0" borderId="0"/>
    <xf numFmtId="0" fontId="47" fillId="0" borderId="0"/>
    <xf numFmtId="0" fontId="47" fillId="0" borderId="0"/>
    <xf numFmtId="0" fontId="1" fillId="0" borderId="0"/>
    <xf numFmtId="0" fontId="1" fillId="0" borderId="0"/>
    <xf numFmtId="0" fontId="47" fillId="0" borderId="0"/>
    <xf numFmtId="0" fontId="47" fillId="0" borderId="0"/>
    <xf numFmtId="0" fontId="47" fillId="0" borderId="0"/>
    <xf numFmtId="0" fontId="47" fillId="0" borderId="0"/>
    <xf numFmtId="0" fontId="1" fillId="0" borderId="0"/>
    <xf numFmtId="0" fontId="1" fillId="0" borderId="0"/>
    <xf numFmtId="0" fontId="47" fillId="0" borderId="0"/>
    <xf numFmtId="0" fontId="47" fillId="0" borderId="0"/>
    <xf numFmtId="0" fontId="47" fillId="0" borderId="0"/>
    <xf numFmtId="0" fontId="47" fillId="0" borderId="0"/>
    <xf numFmtId="0" fontId="1" fillId="0" borderId="0"/>
    <xf numFmtId="0" fontId="1" fillId="0" borderId="0"/>
    <xf numFmtId="0" fontId="47"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47" fillId="0" borderId="0"/>
    <xf numFmtId="0" fontId="47" fillId="0" borderId="0"/>
    <xf numFmtId="0" fontId="1" fillId="0" borderId="0"/>
    <xf numFmtId="0" fontId="1" fillId="0" borderId="0"/>
    <xf numFmtId="0" fontId="47" fillId="0" borderId="0"/>
    <xf numFmtId="0" fontId="47" fillId="0" borderId="0"/>
    <xf numFmtId="0" fontId="47" fillId="0" borderId="0"/>
    <xf numFmtId="0" fontId="47" fillId="0" borderId="0"/>
    <xf numFmtId="0" fontId="1" fillId="0" borderId="0"/>
    <xf numFmtId="0" fontId="1" fillId="0" borderId="0"/>
    <xf numFmtId="0" fontId="47" fillId="0" borderId="0"/>
    <xf numFmtId="0" fontId="47" fillId="0" borderId="0"/>
    <xf numFmtId="0" fontId="47" fillId="0" borderId="0"/>
    <xf numFmtId="0" fontId="47" fillId="0" borderId="0"/>
    <xf numFmtId="0" fontId="1" fillId="0" borderId="0"/>
    <xf numFmtId="0" fontId="1" fillId="0" borderId="0"/>
    <xf numFmtId="0" fontId="47"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 fillId="0" borderId="0"/>
    <xf numFmtId="0" fontId="19" fillId="0" borderId="0"/>
    <xf numFmtId="0" fontId="48" fillId="0" borderId="0"/>
    <xf numFmtId="0" fontId="48" fillId="0" borderId="0"/>
    <xf numFmtId="0" fontId="48" fillId="0" borderId="0"/>
    <xf numFmtId="0" fontId="1" fillId="0" borderId="0"/>
    <xf numFmtId="0" fontId="19" fillId="0" borderId="0"/>
    <xf numFmtId="0" fontId="1" fillId="0" borderId="0"/>
    <xf numFmtId="0" fontId="48" fillId="0" borderId="0"/>
    <xf numFmtId="0" fontId="48" fillId="0" borderId="0"/>
    <xf numFmtId="0" fontId="48" fillId="0" borderId="0"/>
    <xf numFmtId="0" fontId="48" fillId="0" borderId="0"/>
    <xf numFmtId="0" fontId="1" fillId="0" borderId="0"/>
    <xf numFmtId="0" fontId="1" fillId="0" borderId="0"/>
    <xf numFmtId="0" fontId="48" fillId="0" borderId="0"/>
    <xf numFmtId="0" fontId="48" fillId="0" borderId="0"/>
    <xf numFmtId="0" fontId="48" fillId="0" borderId="0"/>
    <xf numFmtId="0" fontId="48" fillId="0" borderId="0"/>
    <xf numFmtId="0" fontId="1" fillId="0" borderId="0"/>
    <xf numFmtId="0" fontId="1" fillId="0" borderId="0"/>
    <xf numFmtId="0" fontId="48"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19"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1" fillId="0" borderId="0"/>
    <xf numFmtId="0" fontId="1" fillId="0" borderId="0"/>
    <xf numFmtId="0" fontId="7" fillId="0" borderId="0"/>
    <xf numFmtId="0" fontId="1" fillId="0" borderId="0"/>
    <xf numFmtId="0" fontId="8" fillId="0" borderId="2"/>
    <xf numFmtId="0" fontId="49" fillId="0" borderId="16"/>
    <xf numFmtId="0" fontId="49" fillId="0" borderId="16"/>
    <xf numFmtId="0" fontId="49" fillId="0" borderId="16"/>
    <xf numFmtId="0" fontId="1" fillId="0" borderId="0"/>
    <xf numFmtId="0" fontId="1" fillId="0" borderId="0"/>
    <xf numFmtId="0" fontId="49" fillId="0" borderId="16"/>
    <xf numFmtId="0" fontId="49" fillId="0" borderId="16"/>
    <xf numFmtId="0" fontId="49" fillId="0" borderId="16"/>
    <xf numFmtId="0" fontId="49" fillId="0" borderId="16"/>
    <xf numFmtId="0" fontId="1" fillId="0" borderId="0"/>
    <xf numFmtId="0" fontId="1" fillId="0" borderId="0"/>
    <xf numFmtId="0" fontId="49" fillId="0" borderId="16"/>
    <xf numFmtId="0" fontId="49" fillId="0" borderId="16"/>
    <xf numFmtId="0" fontId="49" fillId="0" borderId="16"/>
    <xf numFmtId="0" fontId="49" fillId="0" borderId="16"/>
    <xf numFmtId="0" fontId="1" fillId="0" borderId="0"/>
    <xf numFmtId="0" fontId="1" fillId="0" borderId="0"/>
    <xf numFmtId="0" fontId="49" fillId="0" borderId="16"/>
    <xf numFmtId="0" fontId="8" fillId="0" borderId="2"/>
    <xf numFmtId="0" fontId="8" fillId="0" borderId="2"/>
    <xf numFmtId="0" fontId="8" fillId="0" borderId="2"/>
    <xf numFmtId="0" fontId="1" fillId="0" borderId="0"/>
    <xf numFmtId="0" fontId="1" fillId="0" borderId="0"/>
    <xf numFmtId="0" fontId="8" fillId="0" borderId="2"/>
    <xf numFmtId="0" fontId="8" fillId="0" borderId="2"/>
    <xf numFmtId="0" fontId="8" fillId="0" borderId="2"/>
    <xf numFmtId="0" fontId="8" fillId="0" borderId="2"/>
    <xf numFmtId="0" fontId="1" fillId="0" borderId="0"/>
    <xf numFmtId="0" fontId="1" fillId="0" borderId="0"/>
    <xf numFmtId="0" fontId="8" fillId="0" borderId="2"/>
    <xf numFmtId="0" fontId="8" fillId="0" borderId="2"/>
    <xf numFmtId="0" fontId="8" fillId="0" borderId="2"/>
    <xf numFmtId="0" fontId="8" fillId="0" borderId="2"/>
    <xf numFmtId="0" fontId="1" fillId="0" borderId="0"/>
    <xf numFmtId="0" fontId="1" fillId="0" borderId="0"/>
    <xf numFmtId="0" fontId="8" fillId="0" borderId="2"/>
    <xf numFmtId="0" fontId="8" fillId="0" borderId="2"/>
    <xf numFmtId="0" fontId="8" fillId="0" borderId="2"/>
    <xf numFmtId="0" fontId="8" fillId="0" borderId="2"/>
    <xf numFmtId="0" fontId="1" fillId="0" borderId="0"/>
    <xf numFmtId="0" fontId="1" fillId="0" borderId="0"/>
    <xf numFmtId="0" fontId="8" fillId="0" borderId="2"/>
    <xf numFmtId="0" fontId="8" fillId="0" borderId="2"/>
    <xf numFmtId="0" fontId="8" fillId="0" borderId="2"/>
    <xf numFmtId="0" fontId="1"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1" fillId="0" borderId="0"/>
    <xf numFmtId="0" fontId="1" fillId="0" borderId="0"/>
    <xf numFmtId="0" fontId="7" fillId="0" borderId="0"/>
    <xf numFmtId="0" fontId="1" fillId="0" borderId="0"/>
    <xf numFmtId="0" fontId="9" fillId="0" borderId="3"/>
    <xf numFmtId="0" fontId="50" fillId="0" borderId="17"/>
    <xf numFmtId="0" fontId="50" fillId="0" borderId="17"/>
    <xf numFmtId="0" fontId="50" fillId="0" borderId="17"/>
    <xf numFmtId="0" fontId="1" fillId="0" borderId="0"/>
    <xf numFmtId="0" fontId="9" fillId="0" borderId="3"/>
    <xf numFmtId="0" fontId="1" fillId="0" borderId="0"/>
    <xf numFmtId="0" fontId="50" fillId="0" borderId="17"/>
    <xf numFmtId="0" fontId="50" fillId="0" borderId="17"/>
    <xf numFmtId="0" fontId="50" fillId="0" borderId="17"/>
    <xf numFmtId="0" fontId="50" fillId="0" borderId="17"/>
    <xf numFmtId="0" fontId="1" fillId="0" borderId="0"/>
    <xf numFmtId="0" fontId="1" fillId="0" borderId="0"/>
    <xf numFmtId="0" fontId="50" fillId="0" borderId="17"/>
    <xf numFmtId="0" fontId="50" fillId="0" borderId="17"/>
    <xf numFmtId="0" fontId="50" fillId="0" borderId="17"/>
    <xf numFmtId="0" fontId="50" fillId="0" borderId="17"/>
    <xf numFmtId="0" fontId="1" fillId="0" borderId="0"/>
    <xf numFmtId="0" fontId="1" fillId="0" borderId="0"/>
    <xf numFmtId="0" fontId="50" fillId="0" borderId="17"/>
    <xf numFmtId="0" fontId="9" fillId="0" borderId="3"/>
    <xf numFmtId="0" fontId="9" fillId="0" borderId="3"/>
    <xf numFmtId="0" fontId="9" fillId="0" borderId="3"/>
    <xf numFmtId="0" fontId="1" fillId="0" borderId="0"/>
    <xf numFmtId="0" fontId="1" fillId="0" borderId="0"/>
    <xf numFmtId="0" fontId="9" fillId="0" borderId="3"/>
    <xf numFmtId="0" fontId="9" fillId="0" borderId="3"/>
    <xf numFmtId="0" fontId="9" fillId="0" borderId="3"/>
    <xf numFmtId="0" fontId="9" fillId="0" borderId="3"/>
    <xf numFmtId="0" fontId="1" fillId="0" borderId="0"/>
    <xf numFmtId="0" fontId="1" fillId="0" borderId="0"/>
    <xf numFmtId="0" fontId="9" fillId="0" borderId="3"/>
    <xf numFmtId="0" fontId="9" fillId="0" borderId="3"/>
    <xf numFmtId="0" fontId="9" fillId="0" borderId="3"/>
    <xf numFmtId="0" fontId="9" fillId="0" borderId="3"/>
    <xf numFmtId="0" fontId="1" fillId="0" borderId="0"/>
    <xf numFmtId="0" fontId="1" fillId="0" borderId="0"/>
    <xf numFmtId="0" fontId="9" fillId="0" borderId="3"/>
    <xf numFmtId="0" fontId="9" fillId="0" borderId="3"/>
    <xf numFmtId="0" fontId="9" fillId="0" borderId="3"/>
    <xf numFmtId="0" fontId="9" fillId="0" borderId="3"/>
    <xf numFmtId="0" fontId="1" fillId="0" borderId="0"/>
    <xf numFmtId="0" fontId="1" fillId="0" borderId="0"/>
    <xf numFmtId="0" fontId="9" fillId="0" borderId="3"/>
    <xf numFmtId="0" fontId="9" fillId="0" borderId="3"/>
    <xf numFmtId="0" fontId="9" fillId="0" borderId="3"/>
    <xf numFmtId="0" fontId="1" fillId="0" borderId="0"/>
    <xf numFmtId="0" fontId="1" fillId="0" borderId="0"/>
    <xf numFmtId="0" fontId="10" fillId="0" borderId="4"/>
    <xf numFmtId="0" fontId="28" fillId="0" borderId="18"/>
    <xf numFmtId="0" fontId="28" fillId="0" borderId="18"/>
    <xf numFmtId="0" fontId="28" fillId="0" borderId="18"/>
    <xf numFmtId="0" fontId="1" fillId="0" borderId="0"/>
    <xf numFmtId="0" fontId="10" fillId="0" borderId="4"/>
    <xf numFmtId="0" fontId="1" fillId="0" borderId="0"/>
    <xf numFmtId="0" fontId="28" fillId="0" borderId="18"/>
    <xf numFmtId="0" fontId="28" fillId="0" borderId="18"/>
    <xf numFmtId="0" fontId="28" fillId="0" borderId="18"/>
    <xf numFmtId="0" fontId="28" fillId="0" borderId="18"/>
    <xf numFmtId="0" fontId="1" fillId="0" borderId="0"/>
    <xf numFmtId="0" fontId="1" fillId="0" borderId="0"/>
    <xf numFmtId="0" fontId="28" fillId="0" borderId="18"/>
    <xf numFmtId="0" fontId="28" fillId="0" borderId="18"/>
    <xf numFmtId="0" fontId="28" fillId="0" borderId="18"/>
    <xf numFmtId="0" fontId="28" fillId="0" borderId="18"/>
    <xf numFmtId="0" fontId="1" fillId="0" borderId="0"/>
    <xf numFmtId="0" fontId="1" fillId="0" borderId="0"/>
    <xf numFmtId="0" fontId="28" fillId="0" borderId="18"/>
    <xf numFmtId="0" fontId="10" fillId="0" borderId="4"/>
    <xf numFmtId="0" fontId="10" fillId="0" borderId="4"/>
    <xf numFmtId="0" fontId="10" fillId="0" borderId="4"/>
    <xf numFmtId="0" fontId="1" fillId="0" borderId="0"/>
    <xf numFmtId="0" fontId="1" fillId="0" borderId="0"/>
    <xf numFmtId="0" fontId="10" fillId="0" borderId="4"/>
    <xf numFmtId="0" fontId="10" fillId="0" borderId="4"/>
    <xf numFmtId="0" fontId="10" fillId="0" borderId="4"/>
    <xf numFmtId="0" fontId="10" fillId="0" borderId="4"/>
    <xf numFmtId="0" fontId="1" fillId="0" borderId="0"/>
    <xf numFmtId="0" fontId="1" fillId="0" borderId="0"/>
    <xf numFmtId="0" fontId="10" fillId="0" borderId="4"/>
    <xf numFmtId="0" fontId="10" fillId="0" borderId="4"/>
    <xf numFmtId="0" fontId="10" fillId="0" borderId="4"/>
    <xf numFmtId="0" fontId="10" fillId="0" borderId="4"/>
    <xf numFmtId="0" fontId="1" fillId="0" borderId="0"/>
    <xf numFmtId="0" fontId="1" fillId="0" borderId="0"/>
    <xf numFmtId="0" fontId="10" fillId="0" borderId="4"/>
    <xf numFmtId="0" fontId="10" fillId="0" borderId="4"/>
    <xf numFmtId="0" fontId="10" fillId="0" borderId="4"/>
    <xf numFmtId="0" fontId="10" fillId="0" borderId="4"/>
    <xf numFmtId="0" fontId="1" fillId="0" borderId="0"/>
    <xf numFmtId="0" fontId="1" fillId="0" borderId="0"/>
    <xf numFmtId="0" fontId="10" fillId="0" borderId="4"/>
    <xf numFmtId="0" fontId="10" fillId="0" borderId="4"/>
    <xf numFmtId="0" fontId="10" fillId="0" borderId="4"/>
    <xf numFmtId="0" fontId="1" fillId="0" borderId="0"/>
    <xf numFmtId="0" fontId="51" fillId="0" borderId="0"/>
    <xf numFmtId="0" fontId="51" fillId="0" borderId="0"/>
    <xf numFmtId="0" fontId="51" fillId="0" borderId="0"/>
    <xf numFmtId="0" fontId="1" fillId="0" borderId="0"/>
    <xf numFmtId="0" fontId="7" fillId="0" borderId="0"/>
    <xf numFmtId="0" fontId="1" fillId="0" borderId="0"/>
    <xf numFmtId="0" fontId="51" fillId="0" borderId="0"/>
    <xf numFmtId="0" fontId="51" fillId="0" borderId="0"/>
    <xf numFmtId="0" fontId="51" fillId="0" borderId="0"/>
    <xf numFmtId="0" fontId="51" fillId="0" borderId="0"/>
    <xf numFmtId="0" fontId="1" fillId="0" borderId="0"/>
    <xf numFmtId="0" fontId="7" fillId="0" borderId="0"/>
    <xf numFmtId="0" fontId="1" fillId="0" borderId="0"/>
    <xf numFmtId="0" fontId="51" fillId="0" borderId="0"/>
    <xf numFmtId="0" fontId="51" fillId="0" borderId="0"/>
    <xf numFmtId="0" fontId="51" fillId="0" borderId="0"/>
    <xf numFmtId="0" fontId="51" fillId="0" borderId="0"/>
    <xf numFmtId="0" fontId="1" fillId="0" borderId="0"/>
    <xf numFmtId="0" fontId="1" fillId="0" borderId="0"/>
    <xf numFmtId="0" fontId="51"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52" fillId="0" borderId="19"/>
    <xf numFmtId="0" fontId="52" fillId="0" borderId="19"/>
    <xf numFmtId="0" fontId="52" fillId="0" borderId="19"/>
    <xf numFmtId="0" fontId="1" fillId="0" borderId="0"/>
    <xf numFmtId="0" fontId="1" fillId="0" borderId="0"/>
    <xf numFmtId="0" fontId="52" fillId="0" borderId="19"/>
    <xf numFmtId="0" fontId="52" fillId="0" borderId="19"/>
    <xf numFmtId="0" fontId="52" fillId="0" borderId="19"/>
    <xf numFmtId="0" fontId="52" fillId="0" borderId="19"/>
    <xf numFmtId="0" fontId="1" fillId="0" borderId="0"/>
    <xf numFmtId="0" fontId="1" fillId="0" borderId="0"/>
    <xf numFmtId="0" fontId="52" fillId="0" borderId="19"/>
    <xf numFmtId="0" fontId="52" fillId="0" borderId="19"/>
    <xf numFmtId="0" fontId="52" fillId="0" borderId="19"/>
    <xf numFmtId="0" fontId="52" fillId="0" borderId="19"/>
    <xf numFmtId="0" fontId="1" fillId="0" borderId="0"/>
    <xf numFmtId="0" fontId="1" fillId="0" borderId="0"/>
    <xf numFmtId="0" fontId="52" fillId="0" borderId="19"/>
    <xf numFmtId="0" fontId="2" fillId="0" borderId="10"/>
    <xf numFmtId="0" fontId="2" fillId="0" borderId="10"/>
    <xf numFmtId="0" fontId="1" fillId="0" borderId="0"/>
    <xf numFmtId="0" fontId="1" fillId="0" borderId="0"/>
    <xf numFmtId="0" fontId="2" fillId="0" borderId="1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8" fillId="0" borderId="0"/>
    <xf numFmtId="0" fontId="1" fillId="0" borderId="0"/>
    <xf numFmtId="0" fontId="1" fillId="0" borderId="0"/>
    <xf numFmtId="0" fontId="18" fillId="0" borderId="0"/>
    <xf numFmtId="0" fontId="53" fillId="2" borderId="0"/>
    <xf numFmtId="0" fontId="54" fillId="3" borderId="0"/>
    <xf numFmtId="0" fontId="23" fillId="73" borderId="0"/>
    <xf numFmtId="0" fontId="23" fillId="74" borderId="0"/>
    <xf numFmtId="0" fontId="23" fillId="75" borderId="0"/>
    <xf numFmtId="0" fontId="23" fillId="76" borderId="0"/>
    <xf numFmtId="0" fontId="23" fillId="77" borderId="0"/>
    <xf numFmtId="0" fontId="23" fillId="78" borderId="0"/>
    <xf numFmtId="0" fontId="55" fillId="0" borderId="0"/>
    <xf numFmtId="0" fontId="56" fillId="0" borderId="20"/>
    <xf numFmtId="0" fontId="57" fillId="0" borderId="21"/>
    <xf numFmtId="0" fontId="58" fillId="0" borderId="22"/>
    <xf numFmtId="0" fontId="58" fillId="0" borderId="0"/>
    <xf numFmtId="0" fontId="59" fillId="7" borderId="8"/>
    <xf numFmtId="0" fontId="60" fillId="0" borderId="23"/>
    <xf numFmtId="0" fontId="21" fillId="8" borderId="9"/>
    <xf numFmtId="0" fontId="61" fillId="0" borderId="0"/>
    <xf numFmtId="0" fontId="62" fillId="0" borderId="0"/>
    <xf numFmtId="0" fontId="63" fillId="6" borderId="5"/>
    <xf numFmtId="0" fontId="64" fillId="5" borderId="5"/>
    <xf numFmtId="0" fontId="65" fillId="6" borderId="6"/>
    <xf numFmtId="0" fontId="66" fillId="4" borderId="0"/>
    <xf numFmtId="0" fontId="67" fillId="0" borderId="7"/>
    <xf numFmtId="0" fontId="68" fillId="0" borderId="0"/>
    <xf numFmtId="0" fontId="1" fillId="0" borderId="0"/>
  </cellStyleXfs>
  <cellXfs count="42">
    <xf numFmtId="0" fontId="0" fillId="0" borderId="0" xfId="0"/>
    <xf numFmtId="0" fontId="71" fillId="0" borderId="0" xfId="0" applyFont="1"/>
    <xf numFmtId="164" fontId="71" fillId="0" borderId="0" xfId="0" applyNumberFormat="1" applyFont="1"/>
    <xf numFmtId="0" fontId="76" fillId="0" borderId="1" xfId="39123" applyFont="1" applyBorder="1"/>
    <xf numFmtId="0" fontId="1" fillId="0" borderId="0" xfId="39123"/>
    <xf numFmtId="0" fontId="72" fillId="79" borderId="1" xfId="0" applyFont="1" applyFill="1" applyBorder="1" applyAlignment="1">
      <alignment horizontal="center" vertical="center"/>
    </xf>
    <xf numFmtId="0" fontId="72" fillId="79" borderId="1" xfId="0" applyFont="1" applyFill="1" applyBorder="1" applyAlignment="1">
      <alignment horizontal="center" vertical="center" wrapText="1"/>
    </xf>
    <xf numFmtId="165" fontId="69" fillId="79" borderId="1" xfId="2144" applyFont="1" applyFill="1" applyBorder="1" applyAlignment="1">
      <alignment horizontal="center" vertical="center"/>
    </xf>
    <xf numFmtId="0" fontId="75" fillId="0" borderId="1" xfId="0" applyFont="1" applyBorder="1" applyAlignment="1">
      <alignment vertical="center"/>
    </xf>
    <xf numFmtId="0" fontId="3" fillId="0" borderId="0" xfId="0" applyFont="1"/>
    <xf numFmtId="0" fontId="77" fillId="0" borderId="0" xfId="0" applyFont="1"/>
    <xf numFmtId="8" fontId="71" fillId="0" borderId="0" xfId="0" applyNumberFormat="1" applyFont="1"/>
    <xf numFmtId="0" fontId="78" fillId="0" borderId="1" xfId="0" applyFont="1" applyBorder="1"/>
    <xf numFmtId="0" fontId="78" fillId="0" borderId="25" xfId="0" applyFont="1" applyBorder="1"/>
    <xf numFmtId="0" fontId="78" fillId="0" borderId="26" xfId="0" applyFont="1" applyBorder="1"/>
    <xf numFmtId="0" fontId="78" fillId="0" borderId="27" xfId="0" applyFont="1" applyBorder="1"/>
    <xf numFmtId="10" fontId="71" fillId="80" borderId="0" xfId="0" applyNumberFormat="1" applyFont="1" applyFill="1" applyAlignment="1">
      <alignment horizontal="center" vertical="center"/>
    </xf>
    <xf numFmtId="0" fontId="74" fillId="0" borderId="1" xfId="0" applyFont="1" applyBorder="1" applyAlignment="1">
      <alignment horizontal="left" vertical="center"/>
    </xf>
    <xf numFmtId="164" fontId="73" fillId="0" borderId="1" xfId="2144" applyNumberFormat="1" applyFont="1" applyBorder="1" applyAlignment="1">
      <alignment vertical="center"/>
    </xf>
    <xf numFmtId="164" fontId="70" fillId="0" borderId="1" xfId="2144" applyNumberFormat="1" applyFont="1" applyBorder="1" applyAlignment="1">
      <alignment horizontal="center" vertical="center"/>
    </xf>
    <xf numFmtId="0" fontId="79" fillId="81" borderId="0" xfId="0" applyFont="1" applyFill="1" applyAlignment="1">
      <alignment horizontal="center" vertical="center" wrapText="1"/>
    </xf>
    <xf numFmtId="178" fontId="0" fillId="0" borderId="0" xfId="0" applyNumberFormat="1"/>
    <xf numFmtId="1" fontId="0" fillId="0" borderId="0" xfId="0" applyNumberFormat="1"/>
    <xf numFmtId="0" fontId="72" fillId="79" borderId="28" xfId="0" applyFont="1" applyFill="1" applyBorder="1" applyAlignment="1">
      <alignment horizontal="center" vertical="center"/>
    </xf>
    <xf numFmtId="0" fontId="72" fillId="79" borderId="29" xfId="0" applyFont="1" applyFill="1" applyBorder="1" applyAlignment="1">
      <alignment horizontal="center" vertical="center"/>
    </xf>
    <xf numFmtId="17" fontId="74" fillId="0" borderId="30" xfId="0" applyNumberFormat="1" applyFont="1" applyBorder="1" applyAlignment="1">
      <alignment vertical="center"/>
    </xf>
    <xf numFmtId="0" fontId="74" fillId="0" borderId="31" xfId="0" applyFont="1" applyBorder="1" applyAlignment="1">
      <alignment vertical="center"/>
    </xf>
    <xf numFmtId="0" fontId="74" fillId="0" borderId="31" xfId="0" applyFont="1" applyBorder="1" applyAlignment="1">
      <alignment horizontal="center" vertical="center"/>
    </xf>
    <xf numFmtId="179" fontId="74" fillId="0" borderId="31" xfId="0" applyNumberFormat="1" applyFont="1" applyBorder="1" applyAlignment="1">
      <alignment vertical="center"/>
    </xf>
    <xf numFmtId="0" fontId="80" fillId="79" borderId="31" xfId="0" applyFont="1" applyFill="1" applyBorder="1" applyAlignment="1">
      <alignment vertical="center"/>
    </xf>
    <xf numFmtId="0" fontId="80" fillId="79" borderId="31" xfId="0" applyFont="1" applyFill="1" applyBorder="1" applyAlignment="1">
      <alignment horizontal="center" vertical="center"/>
    </xf>
    <xf numFmtId="179" fontId="80" fillId="79" borderId="31" xfId="0" applyNumberFormat="1" applyFont="1" applyFill="1" applyBorder="1" applyAlignment="1">
      <alignment vertical="center"/>
    </xf>
    <xf numFmtId="179" fontId="72" fillId="79" borderId="31" xfId="0" applyNumberFormat="1" applyFont="1" applyFill="1" applyBorder="1" applyAlignment="1">
      <alignment vertical="center"/>
    </xf>
    <xf numFmtId="0" fontId="75" fillId="0" borderId="1" xfId="0" applyFont="1" applyBorder="1" applyAlignment="1">
      <alignment horizontal="left" vertical="center" wrapText="1"/>
    </xf>
    <xf numFmtId="0" fontId="0" fillId="0" borderId="24" xfId="0" applyBorder="1"/>
    <xf numFmtId="0" fontId="0" fillId="0" borderId="25" xfId="0" applyBorder="1"/>
    <xf numFmtId="0" fontId="72" fillId="79" borderId="1" xfId="0" applyFont="1" applyFill="1" applyBorder="1" applyAlignment="1">
      <alignment horizontal="center" vertical="center"/>
    </xf>
    <xf numFmtId="0" fontId="74" fillId="0" borderId="1" xfId="0" applyFont="1" applyBorder="1" applyAlignment="1">
      <alignment horizontal="left" vertical="center"/>
    </xf>
    <xf numFmtId="0" fontId="72" fillId="79" borderId="1" xfId="0" applyFont="1" applyFill="1" applyBorder="1" applyAlignment="1">
      <alignment horizontal="center"/>
    </xf>
    <xf numFmtId="17" fontId="80" fillId="79" borderId="32" xfId="0" applyNumberFormat="1" applyFont="1" applyFill="1" applyBorder="1" applyAlignment="1">
      <alignment horizontal="center" vertical="center"/>
    </xf>
    <xf numFmtId="17" fontId="80" fillId="79" borderId="33" xfId="0" applyNumberFormat="1" applyFont="1" applyFill="1" applyBorder="1" applyAlignment="1">
      <alignment horizontal="center" vertical="center"/>
    </xf>
    <xf numFmtId="17" fontId="80" fillId="79" borderId="29" xfId="0" applyNumberFormat="1" applyFont="1" applyFill="1" applyBorder="1" applyAlignment="1">
      <alignment horizontal="center" vertical="center"/>
    </xf>
  </cellXfs>
  <cellStyles count="39124">
    <cellStyle name="20% - Accent1" xfId="26" xr:uid="{00000000-0005-0000-0000-00001A000000}"/>
    <cellStyle name="20% - Accent1 2" xfId="27" xr:uid="{00000000-0005-0000-0000-00001B000000}"/>
    <cellStyle name="20% - Accent1 3" xfId="28" xr:uid="{00000000-0005-0000-0000-00001C000000}"/>
    <cellStyle name="20% - Accent1 4" xfId="29" xr:uid="{00000000-0005-0000-0000-00001D000000}"/>
    <cellStyle name="20% - Accent1 5" xfId="30" xr:uid="{00000000-0005-0000-0000-00001E000000}"/>
    <cellStyle name="20% - Accent2" xfId="31" xr:uid="{00000000-0005-0000-0000-00001F000000}"/>
    <cellStyle name="20% - Accent2 2" xfId="32" xr:uid="{00000000-0005-0000-0000-000020000000}"/>
    <cellStyle name="20% - Accent2 3" xfId="33" xr:uid="{00000000-0005-0000-0000-000021000000}"/>
    <cellStyle name="20% - Accent2 4" xfId="34" xr:uid="{00000000-0005-0000-0000-000022000000}"/>
    <cellStyle name="20% - Accent2 5" xfId="35" xr:uid="{00000000-0005-0000-0000-000023000000}"/>
    <cellStyle name="20% - Accent3" xfId="36" xr:uid="{00000000-0005-0000-0000-000024000000}"/>
    <cellStyle name="20% - Accent3 2" xfId="37" xr:uid="{00000000-0005-0000-0000-000025000000}"/>
    <cellStyle name="20% - Accent3 3" xfId="38" xr:uid="{00000000-0005-0000-0000-000026000000}"/>
    <cellStyle name="20% - Accent3 4" xfId="39" xr:uid="{00000000-0005-0000-0000-000027000000}"/>
    <cellStyle name="20% - Accent3 5" xfId="40" xr:uid="{00000000-0005-0000-0000-000028000000}"/>
    <cellStyle name="20% - Accent4" xfId="41" xr:uid="{00000000-0005-0000-0000-000029000000}"/>
    <cellStyle name="20% - Accent4 2" xfId="42" xr:uid="{00000000-0005-0000-0000-00002A000000}"/>
    <cellStyle name="20% - Accent4 3" xfId="43" xr:uid="{00000000-0005-0000-0000-00002B000000}"/>
    <cellStyle name="20% - Accent4 4" xfId="44" xr:uid="{00000000-0005-0000-0000-00002C000000}"/>
    <cellStyle name="20% - Accent4 5" xfId="45" xr:uid="{00000000-0005-0000-0000-00002D000000}"/>
    <cellStyle name="20% - Accent5" xfId="46" xr:uid="{00000000-0005-0000-0000-00002E000000}"/>
    <cellStyle name="20% - Accent5 2" xfId="47" xr:uid="{00000000-0005-0000-0000-00002F000000}"/>
    <cellStyle name="20% - Accent5 3" xfId="48" xr:uid="{00000000-0005-0000-0000-000030000000}"/>
    <cellStyle name="20% - Accent5 4" xfId="49" xr:uid="{00000000-0005-0000-0000-000031000000}"/>
    <cellStyle name="20% - Accent5 5" xfId="50" xr:uid="{00000000-0005-0000-0000-000032000000}"/>
    <cellStyle name="20% - Accent6" xfId="51" xr:uid="{00000000-0005-0000-0000-000033000000}"/>
    <cellStyle name="20% - Accent6 2" xfId="52" xr:uid="{00000000-0005-0000-0000-000034000000}"/>
    <cellStyle name="20% - Accent6 3" xfId="53" xr:uid="{00000000-0005-0000-0000-000035000000}"/>
    <cellStyle name="20% - Accent6 4" xfId="54" xr:uid="{00000000-0005-0000-0000-000036000000}"/>
    <cellStyle name="20% - Accent6 5" xfId="55" xr:uid="{00000000-0005-0000-0000-000037000000}"/>
    <cellStyle name="20% - Énfasis1 2" xfId="56" xr:uid="{00000000-0005-0000-0000-000038000000}"/>
    <cellStyle name="20% - Énfasis1 2 2" xfId="57" xr:uid="{00000000-0005-0000-0000-000039000000}"/>
    <cellStyle name="20% - Énfasis1 3" xfId="58" xr:uid="{00000000-0005-0000-0000-00003A000000}"/>
    <cellStyle name="20% - Énfasis1 4" xfId="59" xr:uid="{00000000-0005-0000-0000-00003B000000}"/>
    <cellStyle name="20% - Énfasis1 5" xfId="60" xr:uid="{00000000-0005-0000-0000-00003C000000}"/>
    <cellStyle name="20% - Énfasis1 6" xfId="61" xr:uid="{00000000-0005-0000-0000-00003D000000}"/>
    <cellStyle name="20% - Énfasis1 7" xfId="62" xr:uid="{00000000-0005-0000-0000-00003E000000}"/>
    <cellStyle name="20% - Énfasis1 8" xfId="63" xr:uid="{00000000-0005-0000-0000-00003F000000}"/>
    <cellStyle name="20% - Énfasis2 2" xfId="64" xr:uid="{00000000-0005-0000-0000-000040000000}"/>
    <cellStyle name="20% - Énfasis2 2 2" xfId="65" xr:uid="{00000000-0005-0000-0000-000041000000}"/>
    <cellStyle name="20% - Énfasis2 3" xfId="66" xr:uid="{00000000-0005-0000-0000-000042000000}"/>
    <cellStyle name="20% - Énfasis2 4" xfId="67" xr:uid="{00000000-0005-0000-0000-000043000000}"/>
    <cellStyle name="20% - Énfasis2 5" xfId="68" xr:uid="{00000000-0005-0000-0000-000044000000}"/>
    <cellStyle name="20% - Énfasis2 6" xfId="69" xr:uid="{00000000-0005-0000-0000-000045000000}"/>
    <cellStyle name="20% - Énfasis2 7" xfId="70" xr:uid="{00000000-0005-0000-0000-000046000000}"/>
    <cellStyle name="20% - Énfasis2 8" xfId="71" xr:uid="{00000000-0005-0000-0000-000047000000}"/>
    <cellStyle name="20% - Énfasis3 2" xfId="72" xr:uid="{00000000-0005-0000-0000-000048000000}"/>
    <cellStyle name="20% - Énfasis3 2 2" xfId="73" xr:uid="{00000000-0005-0000-0000-000049000000}"/>
    <cellStyle name="20% - Énfasis3 3" xfId="74" xr:uid="{00000000-0005-0000-0000-00004A000000}"/>
    <cellStyle name="20% - Énfasis3 4" xfId="75" xr:uid="{00000000-0005-0000-0000-00004B000000}"/>
    <cellStyle name="20% - Énfasis3 5" xfId="76" xr:uid="{00000000-0005-0000-0000-00004C000000}"/>
    <cellStyle name="20% - Énfasis3 6" xfId="77" xr:uid="{00000000-0005-0000-0000-00004D000000}"/>
    <cellStyle name="20% - Énfasis3 7" xfId="78" xr:uid="{00000000-0005-0000-0000-00004E000000}"/>
    <cellStyle name="20% - Énfasis3 8" xfId="79" xr:uid="{00000000-0005-0000-0000-00004F000000}"/>
    <cellStyle name="20% - Énfasis4 2" xfId="80" xr:uid="{00000000-0005-0000-0000-000050000000}"/>
    <cellStyle name="20% - Énfasis4 2 2" xfId="81" xr:uid="{00000000-0005-0000-0000-000051000000}"/>
    <cellStyle name="20% - Énfasis4 3" xfId="82" xr:uid="{00000000-0005-0000-0000-000052000000}"/>
    <cellStyle name="20% - Énfasis4 4" xfId="83" xr:uid="{00000000-0005-0000-0000-000053000000}"/>
    <cellStyle name="20% - Énfasis4 5" xfId="84" xr:uid="{00000000-0005-0000-0000-000054000000}"/>
    <cellStyle name="20% - Énfasis4 6" xfId="85" xr:uid="{00000000-0005-0000-0000-000055000000}"/>
    <cellStyle name="20% - Énfasis4 7" xfId="86" xr:uid="{00000000-0005-0000-0000-000056000000}"/>
    <cellStyle name="20% - Énfasis4 8" xfId="87" xr:uid="{00000000-0005-0000-0000-000057000000}"/>
    <cellStyle name="20% - Énfasis5 2" xfId="88" xr:uid="{00000000-0005-0000-0000-000058000000}"/>
    <cellStyle name="20% - Énfasis5 2 2" xfId="89" xr:uid="{00000000-0005-0000-0000-000059000000}"/>
    <cellStyle name="20% - Énfasis5 3" xfId="90" xr:uid="{00000000-0005-0000-0000-00005A000000}"/>
    <cellStyle name="20% - Énfasis5 4" xfId="91" xr:uid="{00000000-0005-0000-0000-00005B000000}"/>
    <cellStyle name="20% - Énfasis5 5" xfId="92" xr:uid="{00000000-0005-0000-0000-00005C000000}"/>
    <cellStyle name="20% - Énfasis5 6" xfId="93" xr:uid="{00000000-0005-0000-0000-00005D000000}"/>
    <cellStyle name="20% - Énfasis5 7" xfId="94" xr:uid="{00000000-0005-0000-0000-00005E000000}"/>
    <cellStyle name="20% - Énfasis5 8" xfId="95" xr:uid="{00000000-0005-0000-0000-00005F000000}"/>
    <cellStyle name="20% - Énfasis6 2" xfId="96" xr:uid="{00000000-0005-0000-0000-000060000000}"/>
    <cellStyle name="20% - Énfasis6 2 2" xfId="97" xr:uid="{00000000-0005-0000-0000-000061000000}"/>
    <cellStyle name="20% - Énfasis6 3" xfId="98" xr:uid="{00000000-0005-0000-0000-000062000000}"/>
    <cellStyle name="20% - Énfasis6 4" xfId="99" xr:uid="{00000000-0005-0000-0000-000063000000}"/>
    <cellStyle name="20% - Énfasis6 5" xfId="100" xr:uid="{00000000-0005-0000-0000-000064000000}"/>
    <cellStyle name="20% - Énfasis6 6" xfId="101" xr:uid="{00000000-0005-0000-0000-000065000000}"/>
    <cellStyle name="20% - Énfasis6 7" xfId="102" xr:uid="{00000000-0005-0000-0000-000066000000}"/>
    <cellStyle name="20% - Énfasis6 8" xfId="103" xr:uid="{00000000-0005-0000-0000-000067000000}"/>
    <cellStyle name="20% - 强调文字颜色 1" xfId="104" xr:uid="{00000000-0005-0000-0000-000068000000}"/>
    <cellStyle name="20% - 强调文字颜色 2" xfId="105" xr:uid="{00000000-0005-0000-0000-000069000000}"/>
    <cellStyle name="20% - 强调文字颜色 3" xfId="106" xr:uid="{00000000-0005-0000-0000-00006A000000}"/>
    <cellStyle name="20% - 强调文字颜色 4" xfId="107" xr:uid="{00000000-0005-0000-0000-00006B000000}"/>
    <cellStyle name="20% - 强调文字颜色 5" xfId="108" xr:uid="{00000000-0005-0000-0000-00006C000000}"/>
    <cellStyle name="20% - 强调文字颜色 6" xfId="109" xr:uid="{00000000-0005-0000-0000-00006D000000}"/>
    <cellStyle name="40% - Accent1" xfId="110" xr:uid="{00000000-0005-0000-0000-00006E000000}"/>
    <cellStyle name="40% - Accent1 2" xfId="111" xr:uid="{00000000-0005-0000-0000-00006F000000}"/>
    <cellStyle name="40% - Accent1 3" xfId="112" xr:uid="{00000000-0005-0000-0000-000070000000}"/>
    <cellStyle name="40% - Accent1 4" xfId="113" xr:uid="{00000000-0005-0000-0000-000071000000}"/>
    <cellStyle name="40% - Accent1 5" xfId="114" xr:uid="{00000000-0005-0000-0000-000072000000}"/>
    <cellStyle name="40% - Accent2" xfId="115" xr:uid="{00000000-0005-0000-0000-000073000000}"/>
    <cellStyle name="40% - Accent2 2" xfId="116" xr:uid="{00000000-0005-0000-0000-000074000000}"/>
    <cellStyle name="40% - Accent2 3" xfId="117" xr:uid="{00000000-0005-0000-0000-000075000000}"/>
    <cellStyle name="40% - Accent2 4" xfId="118" xr:uid="{00000000-0005-0000-0000-000076000000}"/>
    <cellStyle name="40% - Accent2 5" xfId="119" xr:uid="{00000000-0005-0000-0000-000077000000}"/>
    <cellStyle name="40% - Accent3" xfId="120" xr:uid="{00000000-0005-0000-0000-000078000000}"/>
    <cellStyle name="40% - Accent3 2" xfId="121" xr:uid="{00000000-0005-0000-0000-000079000000}"/>
    <cellStyle name="40% - Accent3 3" xfId="122" xr:uid="{00000000-0005-0000-0000-00007A000000}"/>
    <cellStyle name="40% - Accent3 4" xfId="123" xr:uid="{00000000-0005-0000-0000-00007B000000}"/>
    <cellStyle name="40% - Accent3 5" xfId="124" xr:uid="{00000000-0005-0000-0000-00007C000000}"/>
    <cellStyle name="40% - Accent4" xfId="125" xr:uid="{00000000-0005-0000-0000-00007D000000}"/>
    <cellStyle name="40% - Accent4 2" xfId="126" xr:uid="{00000000-0005-0000-0000-00007E000000}"/>
    <cellStyle name="40% - Accent4 3" xfId="127" xr:uid="{00000000-0005-0000-0000-00007F000000}"/>
    <cellStyle name="40% - Accent4 4" xfId="128" xr:uid="{00000000-0005-0000-0000-000080000000}"/>
    <cellStyle name="40% - Accent4 5" xfId="129" xr:uid="{00000000-0005-0000-0000-000081000000}"/>
    <cellStyle name="40% - Accent5" xfId="130" xr:uid="{00000000-0005-0000-0000-000082000000}"/>
    <cellStyle name="40% - Accent5 2" xfId="131" xr:uid="{00000000-0005-0000-0000-000083000000}"/>
    <cellStyle name="40% - Accent5 3" xfId="132" xr:uid="{00000000-0005-0000-0000-000084000000}"/>
    <cellStyle name="40% - Accent5 4" xfId="133" xr:uid="{00000000-0005-0000-0000-000085000000}"/>
    <cellStyle name="40% - Accent5 5" xfId="134" xr:uid="{00000000-0005-0000-0000-000086000000}"/>
    <cellStyle name="40% - Accent6" xfId="135" xr:uid="{00000000-0005-0000-0000-000087000000}"/>
    <cellStyle name="40% - Accent6 2" xfId="136" xr:uid="{00000000-0005-0000-0000-000088000000}"/>
    <cellStyle name="40% - Accent6 3" xfId="137" xr:uid="{00000000-0005-0000-0000-000089000000}"/>
    <cellStyle name="40% - Accent6 4" xfId="138" xr:uid="{00000000-0005-0000-0000-00008A000000}"/>
    <cellStyle name="40% - Accent6 5" xfId="139" xr:uid="{00000000-0005-0000-0000-00008B000000}"/>
    <cellStyle name="40% - Énfasis1 2" xfId="140" xr:uid="{00000000-0005-0000-0000-00008C000000}"/>
    <cellStyle name="40% - Énfasis1 2 2" xfId="141" xr:uid="{00000000-0005-0000-0000-00008D000000}"/>
    <cellStyle name="40% - Énfasis1 3" xfId="142" xr:uid="{00000000-0005-0000-0000-00008E000000}"/>
    <cellStyle name="40% - Énfasis1 4" xfId="143" xr:uid="{00000000-0005-0000-0000-00008F000000}"/>
    <cellStyle name="40% - Énfasis1 5" xfId="144" xr:uid="{00000000-0005-0000-0000-000090000000}"/>
    <cellStyle name="40% - Énfasis1 6" xfId="145" xr:uid="{00000000-0005-0000-0000-000091000000}"/>
    <cellStyle name="40% - Énfasis1 7" xfId="146" xr:uid="{00000000-0005-0000-0000-000092000000}"/>
    <cellStyle name="40% - Énfasis1 8" xfId="147" xr:uid="{00000000-0005-0000-0000-000093000000}"/>
    <cellStyle name="40% - Énfasis2 2" xfId="148" xr:uid="{00000000-0005-0000-0000-000094000000}"/>
    <cellStyle name="40% - Énfasis2 2 2" xfId="149" xr:uid="{00000000-0005-0000-0000-000095000000}"/>
    <cellStyle name="40% - Énfasis2 3" xfId="150" xr:uid="{00000000-0005-0000-0000-000096000000}"/>
    <cellStyle name="40% - Énfasis2 4" xfId="151" xr:uid="{00000000-0005-0000-0000-000097000000}"/>
    <cellStyle name="40% - Énfasis2 5" xfId="152" xr:uid="{00000000-0005-0000-0000-000098000000}"/>
    <cellStyle name="40% - Énfasis2 6" xfId="153" xr:uid="{00000000-0005-0000-0000-000099000000}"/>
    <cellStyle name="40% - Énfasis2 7" xfId="154" xr:uid="{00000000-0005-0000-0000-00009A000000}"/>
    <cellStyle name="40% - Énfasis2 8" xfId="155" xr:uid="{00000000-0005-0000-0000-00009B000000}"/>
    <cellStyle name="40% - Énfasis3 2" xfId="156" xr:uid="{00000000-0005-0000-0000-00009C000000}"/>
    <cellStyle name="40% - Énfasis3 2 2" xfId="157" xr:uid="{00000000-0005-0000-0000-00009D000000}"/>
    <cellStyle name="40% - Énfasis3 3" xfId="158" xr:uid="{00000000-0005-0000-0000-00009E000000}"/>
    <cellStyle name="40% - Énfasis3 4" xfId="159" xr:uid="{00000000-0005-0000-0000-00009F000000}"/>
    <cellStyle name="40% - Énfasis3 5" xfId="160" xr:uid="{00000000-0005-0000-0000-0000A0000000}"/>
    <cellStyle name="40% - Énfasis3 6" xfId="161" xr:uid="{00000000-0005-0000-0000-0000A1000000}"/>
    <cellStyle name="40% - Énfasis3 7" xfId="162" xr:uid="{00000000-0005-0000-0000-0000A2000000}"/>
    <cellStyle name="40% - Énfasis3 8" xfId="163" xr:uid="{00000000-0005-0000-0000-0000A3000000}"/>
    <cellStyle name="40% - Énfasis4 2" xfId="164" xr:uid="{00000000-0005-0000-0000-0000A4000000}"/>
    <cellStyle name="40% - Énfasis4 2 2" xfId="165" xr:uid="{00000000-0005-0000-0000-0000A5000000}"/>
    <cellStyle name="40% - Énfasis4 3" xfId="166" xr:uid="{00000000-0005-0000-0000-0000A6000000}"/>
    <cellStyle name="40% - Énfasis4 4" xfId="167" xr:uid="{00000000-0005-0000-0000-0000A7000000}"/>
    <cellStyle name="40% - Énfasis4 5" xfId="168" xr:uid="{00000000-0005-0000-0000-0000A8000000}"/>
    <cellStyle name="40% - Énfasis4 6" xfId="169" xr:uid="{00000000-0005-0000-0000-0000A9000000}"/>
    <cellStyle name="40% - Énfasis4 7" xfId="170" xr:uid="{00000000-0005-0000-0000-0000AA000000}"/>
    <cellStyle name="40% - Énfasis4 8" xfId="171" xr:uid="{00000000-0005-0000-0000-0000AB000000}"/>
    <cellStyle name="40% - Énfasis5 2" xfId="172" xr:uid="{00000000-0005-0000-0000-0000AC000000}"/>
    <cellStyle name="40% - Énfasis5 2 2" xfId="173" xr:uid="{00000000-0005-0000-0000-0000AD000000}"/>
    <cellStyle name="40% - Énfasis5 3" xfId="174" xr:uid="{00000000-0005-0000-0000-0000AE000000}"/>
    <cellStyle name="40% - Énfasis5 4" xfId="175" xr:uid="{00000000-0005-0000-0000-0000AF000000}"/>
    <cellStyle name="40% - Énfasis5 5" xfId="176" xr:uid="{00000000-0005-0000-0000-0000B0000000}"/>
    <cellStyle name="40% - Énfasis5 6" xfId="177" xr:uid="{00000000-0005-0000-0000-0000B1000000}"/>
    <cellStyle name="40% - Énfasis5 7" xfId="178" xr:uid="{00000000-0005-0000-0000-0000B2000000}"/>
    <cellStyle name="40% - Énfasis5 8" xfId="179" xr:uid="{00000000-0005-0000-0000-0000B3000000}"/>
    <cellStyle name="40% - Énfasis6 2" xfId="180" xr:uid="{00000000-0005-0000-0000-0000B4000000}"/>
    <cellStyle name="40% - Énfasis6 2 2" xfId="181" xr:uid="{00000000-0005-0000-0000-0000B5000000}"/>
    <cellStyle name="40% - Énfasis6 3" xfId="182" xr:uid="{00000000-0005-0000-0000-0000B6000000}"/>
    <cellStyle name="40% - Énfasis6 4" xfId="183" xr:uid="{00000000-0005-0000-0000-0000B7000000}"/>
    <cellStyle name="40% - Énfasis6 5" xfId="184" xr:uid="{00000000-0005-0000-0000-0000B8000000}"/>
    <cellStyle name="40% - Énfasis6 6" xfId="185" xr:uid="{00000000-0005-0000-0000-0000B9000000}"/>
    <cellStyle name="40% - Énfasis6 7" xfId="186" xr:uid="{00000000-0005-0000-0000-0000BA000000}"/>
    <cellStyle name="40% - Énfasis6 8" xfId="187" xr:uid="{00000000-0005-0000-0000-0000BB000000}"/>
    <cellStyle name="40% - 强调文字颜色 1" xfId="188" xr:uid="{00000000-0005-0000-0000-0000BC000000}"/>
    <cellStyle name="40% - 强调文字颜色 2" xfId="189" xr:uid="{00000000-0005-0000-0000-0000BD000000}"/>
    <cellStyle name="40% - 强调文字颜色 3" xfId="190" xr:uid="{00000000-0005-0000-0000-0000BE000000}"/>
    <cellStyle name="40% - 强调文字颜色 4" xfId="191" xr:uid="{00000000-0005-0000-0000-0000BF000000}"/>
    <cellStyle name="40% - 强调文字颜色 5" xfId="192" xr:uid="{00000000-0005-0000-0000-0000C0000000}"/>
    <cellStyle name="40% - 强调文字颜色 6" xfId="193" xr:uid="{00000000-0005-0000-0000-0000C1000000}"/>
    <cellStyle name="60% - Accent1" xfId="194" xr:uid="{00000000-0005-0000-0000-0000C2000000}"/>
    <cellStyle name="60% - Accent1 2" xfId="195" xr:uid="{00000000-0005-0000-0000-0000C3000000}"/>
    <cellStyle name="60% - Accent1 3" xfId="196" xr:uid="{00000000-0005-0000-0000-0000C4000000}"/>
    <cellStyle name="60% - Accent1 4" xfId="197" xr:uid="{00000000-0005-0000-0000-0000C5000000}"/>
    <cellStyle name="60% - Accent1 5" xfId="198" xr:uid="{00000000-0005-0000-0000-0000C6000000}"/>
    <cellStyle name="60% - Accent2" xfId="199" xr:uid="{00000000-0005-0000-0000-0000C7000000}"/>
    <cellStyle name="60% - Accent2 2" xfId="200" xr:uid="{00000000-0005-0000-0000-0000C8000000}"/>
    <cellStyle name="60% - Accent2 3" xfId="201" xr:uid="{00000000-0005-0000-0000-0000C9000000}"/>
    <cellStyle name="60% - Accent2 4" xfId="202" xr:uid="{00000000-0005-0000-0000-0000CA000000}"/>
    <cellStyle name="60% - Accent2 5" xfId="203" xr:uid="{00000000-0005-0000-0000-0000CB000000}"/>
    <cellStyle name="60% - Accent3" xfId="204" xr:uid="{00000000-0005-0000-0000-0000CC000000}"/>
    <cellStyle name="60% - Accent3 2" xfId="205" xr:uid="{00000000-0005-0000-0000-0000CD000000}"/>
    <cellStyle name="60% - Accent3 3" xfId="206" xr:uid="{00000000-0005-0000-0000-0000CE000000}"/>
    <cellStyle name="60% - Accent3 4" xfId="207" xr:uid="{00000000-0005-0000-0000-0000CF000000}"/>
    <cellStyle name="60% - Accent3 5" xfId="208" xr:uid="{00000000-0005-0000-0000-0000D0000000}"/>
    <cellStyle name="60% - Accent4" xfId="209" xr:uid="{00000000-0005-0000-0000-0000D1000000}"/>
    <cellStyle name="60% - Accent4 2" xfId="210" xr:uid="{00000000-0005-0000-0000-0000D2000000}"/>
    <cellStyle name="60% - Accent4 3" xfId="211" xr:uid="{00000000-0005-0000-0000-0000D3000000}"/>
    <cellStyle name="60% - Accent4 4" xfId="212" xr:uid="{00000000-0005-0000-0000-0000D4000000}"/>
    <cellStyle name="60% - Accent4 5" xfId="213" xr:uid="{00000000-0005-0000-0000-0000D5000000}"/>
    <cellStyle name="60% - Accent5" xfId="214" xr:uid="{00000000-0005-0000-0000-0000D6000000}"/>
    <cellStyle name="60% - Accent5 2" xfId="215" xr:uid="{00000000-0005-0000-0000-0000D7000000}"/>
    <cellStyle name="60% - Accent5 3" xfId="216" xr:uid="{00000000-0005-0000-0000-0000D8000000}"/>
    <cellStyle name="60% - Accent5 4" xfId="217" xr:uid="{00000000-0005-0000-0000-0000D9000000}"/>
    <cellStyle name="60% - Accent5 5" xfId="218" xr:uid="{00000000-0005-0000-0000-0000DA000000}"/>
    <cellStyle name="60% - Accent6" xfId="219" xr:uid="{00000000-0005-0000-0000-0000DB000000}"/>
    <cellStyle name="60% - Accent6 2" xfId="220" xr:uid="{00000000-0005-0000-0000-0000DC000000}"/>
    <cellStyle name="60% - Accent6 3" xfId="221" xr:uid="{00000000-0005-0000-0000-0000DD000000}"/>
    <cellStyle name="60% - Accent6 4" xfId="222" xr:uid="{00000000-0005-0000-0000-0000DE000000}"/>
    <cellStyle name="60% - Accent6 5" xfId="223" xr:uid="{00000000-0005-0000-0000-0000DF000000}"/>
    <cellStyle name="60% - Énfasis1 2" xfId="224" xr:uid="{00000000-0005-0000-0000-0000E0000000}"/>
    <cellStyle name="60% - Énfasis1 2 2" xfId="225" xr:uid="{00000000-0005-0000-0000-0000E1000000}"/>
    <cellStyle name="60% - Énfasis1 3" xfId="226" xr:uid="{00000000-0005-0000-0000-0000E2000000}"/>
    <cellStyle name="60% - Énfasis1 4" xfId="227" xr:uid="{00000000-0005-0000-0000-0000E3000000}"/>
    <cellStyle name="60% - Énfasis1 5" xfId="228" xr:uid="{00000000-0005-0000-0000-0000E4000000}"/>
    <cellStyle name="60% - Énfasis1 6" xfId="229" xr:uid="{00000000-0005-0000-0000-0000E5000000}"/>
    <cellStyle name="60% - Énfasis1 7" xfId="230" xr:uid="{00000000-0005-0000-0000-0000E6000000}"/>
    <cellStyle name="60% - Énfasis1 8" xfId="231" xr:uid="{00000000-0005-0000-0000-0000E7000000}"/>
    <cellStyle name="60% - Énfasis2 2" xfId="232" xr:uid="{00000000-0005-0000-0000-0000E8000000}"/>
    <cellStyle name="60% - Énfasis2 2 2" xfId="233" xr:uid="{00000000-0005-0000-0000-0000E9000000}"/>
    <cellStyle name="60% - Énfasis2 3" xfId="234" xr:uid="{00000000-0005-0000-0000-0000EA000000}"/>
    <cellStyle name="60% - Énfasis2 4" xfId="235" xr:uid="{00000000-0005-0000-0000-0000EB000000}"/>
    <cellStyle name="60% - Énfasis2 5" xfId="236" xr:uid="{00000000-0005-0000-0000-0000EC000000}"/>
    <cellStyle name="60% - Énfasis2 6" xfId="237" xr:uid="{00000000-0005-0000-0000-0000ED000000}"/>
    <cellStyle name="60% - Énfasis2 7" xfId="238" xr:uid="{00000000-0005-0000-0000-0000EE000000}"/>
    <cellStyle name="60% - Énfasis2 8" xfId="239" xr:uid="{00000000-0005-0000-0000-0000EF000000}"/>
    <cellStyle name="60% - Énfasis3 2" xfId="240" xr:uid="{00000000-0005-0000-0000-0000F0000000}"/>
    <cellStyle name="60% - Énfasis3 2 2" xfId="241" xr:uid="{00000000-0005-0000-0000-0000F1000000}"/>
    <cellStyle name="60% - Énfasis3 3" xfId="242" xr:uid="{00000000-0005-0000-0000-0000F2000000}"/>
    <cellStyle name="60% - Énfasis3 4" xfId="243" xr:uid="{00000000-0005-0000-0000-0000F3000000}"/>
    <cellStyle name="60% - Énfasis3 5" xfId="244" xr:uid="{00000000-0005-0000-0000-0000F4000000}"/>
    <cellStyle name="60% - Énfasis3 6" xfId="245" xr:uid="{00000000-0005-0000-0000-0000F5000000}"/>
    <cellStyle name="60% - Énfasis3 7" xfId="246" xr:uid="{00000000-0005-0000-0000-0000F6000000}"/>
    <cellStyle name="60% - Énfasis3 8" xfId="247" xr:uid="{00000000-0005-0000-0000-0000F7000000}"/>
    <cellStyle name="60% - Énfasis4 2" xfId="248" xr:uid="{00000000-0005-0000-0000-0000F8000000}"/>
    <cellStyle name="60% - Énfasis4 2 2" xfId="249" xr:uid="{00000000-0005-0000-0000-0000F9000000}"/>
    <cellStyle name="60% - Énfasis4 3" xfId="250" xr:uid="{00000000-0005-0000-0000-0000FA000000}"/>
    <cellStyle name="60% - Énfasis4 4" xfId="251" xr:uid="{00000000-0005-0000-0000-0000FB000000}"/>
    <cellStyle name="60% - Énfasis4 5" xfId="252" xr:uid="{00000000-0005-0000-0000-0000FC000000}"/>
    <cellStyle name="60% - Énfasis4 6" xfId="253" xr:uid="{00000000-0005-0000-0000-0000FD000000}"/>
    <cellStyle name="60% - Énfasis4 7" xfId="254" xr:uid="{00000000-0005-0000-0000-0000FE000000}"/>
    <cellStyle name="60% - Énfasis4 8" xfId="255" xr:uid="{00000000-0005-0000-0000-0000FF000000}"/>
    <cellStyle name="60% - Énfasis5 2" xfId="256" xr:uid="{00000000-0005-0000-0000-000000010000}"/>
    <cellStyle name="60% - Énfasis5 2 2" xfId="257" xr:uid="{00000000-0005-0000-0000-000001010000}"/>
    <cellStyle name="60% - Énfasis5 3" xfId="258" xr:uid="{00000000-0005-0000-0000-000002010000}"/>
    <cellStyle name="60% - Énfasis5 4" xfId="259" xr:uid="{00000000-0005-0000-0000-000003010000}"/>
    <cellStyle name="60% - Énfasis5 5" xfId="260" xr:uid="{00000000-0005-0000-0000-000004010000}"/>
    <cellStyle name="60% - Énfasis5 6" xfId="261" xr:uid="{00000000-0005-0000-0000-000005010000}"/>
    <cellStyle name="60% - Énfasis5 7" xfId="262" xr:uid="{00000000-0005-0000-0000-000006010000}"/>
    <cellStyle name="60% - Énfasis5 8" xfId="263" xr:uid="{00000000-0005-0000-0000-000007010000}"/>
    <cellStyle name="60% - Énfasis6 2" xfId="264" xr:uid="{00000000-0005-0000-0000-000008010000}"/>
    <cellStyle name="60% - Énfasis6 2 2" xfId="265" xr:uid="{00000000-0005-0000-0000-000009010000}"/>
    <cellStyle name="60% - Énfasis6 3" xfId="266" xr:uid="{00000000-0005-0000-0000-00000A010000}"/>
    <cellStyle name="60% - Énfasis6 4" xfId="267" xr:uid="{00000000-0005-0000-0000-00000B010000}"/>
    <cellStyle name="60% - Énfasis6 5" xfId="268" xr:uid="{00000000-0005-0000-0000-00000C010000}"/>
    <cellStyle name="60% - Énfasis6 6" xfId="269" xr:uid="{00000000-0005-0000-0000-00000D010000}"/>
    <cellStyle name="60% - Énfasis6 7" xfId="270" xr:uid="{00000000-0005-0000-0000-00000E010000}"/>
    <cellStyle name="60% - Énfasis6 8" xfId="271" xr:uid="{00000000-0005-0000-0000-00000F010000}"/>
    <cellStyle name="60% - 强调文字颜色 1" xfId="272" xr:uid="{00000000-0005-0000-0000-000010010000}"/>
    <cellStyle name="60% - 强调文字颜色 2" xfId="273" xr:uid="{00000000-0005-0000-0000-000011010000}"/>
    <cellStyle name="60% - 强调文字颜色 3" xfId="274" xr:uid="{00000000-0005-0000-0000-000012010000}"/>
    <cellStyle name="60% - 强调文字颜色 4" xfId="275" xr:uid="{00000000-0005-0000-0000-000013010000}"/>
    <cellStyle name="60% - 强调文字颜色 5" xfId="276" xr:uid="{00000000-0005-0000-0000-000014010000}"/>
    <cellStyle name="60% - 强调文字颜色 6" xfId="277" xr:uid="{00000000-0005-0000-0000-000015010000}"/>
    <cellStyle name="Accent1" xfId="278" xr:uid="{00000000-0005-0000-0000-000016010000}"/>
    <cellStyle name="Accent1 2" xfId="279" xr:uid="{00000000-0005-0000-0000-000017010000}"/>
    <cellStyle name="Accent1 3" xfId="280" xr:uid="{00000000-0005-0000-0000-000018010000}"/>
    <cellStyle name="Accent1 4" xfId="281" xr:uid="{00000000-0005-0000-0000-000019010000}"/>
    <cellStyle name="Accent1 5" xfId="282" xr:uid="{00000000-0005-0000-0000-00001A010000}"/>
    <cellStyle name="Accent2" xfId="283" xr:uid="{00000000-0005-0000-0000-00001B010000}"/>
    <cellStyle name="Accent2 2" xfId="284" xr:uid="{00000000-0005-0000-0000-00001C010000}"/>
    <cellStyle name="Accent2 3" xfId="285" xr:uid="{00000000-0005-0000-0000-00001D010000}"/>
    <cellStyle name="Accent2 4" xfId="286" xr:uid="{00000000-0005-0000-0000-00001E010000}"/>
    <cellStyle name="Accent2 5" xfId="287" xr:uid="{00000000-0005-0000-0000-00001F010000}"/>
    <cellStyle name="Accent3" xfId="288" xr:uid="{00000000-0005-0000-0000-000020010000}"/>
    <cellStyle name="Accent3 2" xfId="289" xr:uid="{00000000-0005-0000-0000-000021010000}"/>
    <cellStyle name="Accent3 3" xfId="290" xr:uid="{00000000-0005-0000-0000-000022010000}"/>
    <cellStyle name="Accent3 4" xfId="291" xr:uid="{00000000-0005-0000-0000-000023010000}"/>
    <cellStyle name="Accent3 5" xfId="292" xr:uid="{00000000-0005-0000-0000-000024010000}"/>
    <cellStyle name="Accent4" xfId="293" xr:uid="{00000000-0005-0000-0000-000025010000}"/>
    <cellStyle name="Accent4 2" xfId="294" xr:uid="{00000000-0005-0000-0000-000026010000}"/>
    <cellStyle name="Accent4 3" xfId="295" xr:uid="{00000000-0005-0000-0000-000027010000}"/>
    <cellStyle name="Accent4 4" xfId="296" xr:uid="{00000000-0005-0000-0000-000028010000}"/>
    <cellStyle name="Accent4 5" xfId="297" xr:uid="{00000000-0005-0000-0000-000029010000}"/>
    <cellStyle name="Accent5" xfId="298" xr:uid="{00000000-0005-0000-0000-00002A010000}"/>
    <cellStyle name="Accent5 2" xfId="299" xr:uid="{00000000-0005-0000-0000-00002B010000}"/>
    <cellStyle name="Accent5 3" xfId="300" xr:uid="{00000000-0005-0000-0000-00002C010000}"/>
    <cellStyle name="Accent5 4" xfId="301" xr:uid="{00000000-0005-0000-0000-00002D010000}"/>
    <cellStyle name="Accent5 5" xfId="302" xr:uid="{00000000-0005-0000-0000-00002E010000}"/>
    <cellStyle name="Accent6" xfId="303" xr:uid="{00000000-0005-0000-0000-00002F010000}"/>
    <cellStyle name="Accent6 2" xfId="304" xr:uid="{00000000-0005-0000-0000-000030010000}"/>
    <cellStyle name="Accent6 3" xfId="305" xr:uid="{00000000-0005-0000-0000-000031010000}"/>
    <cellStyle name="Accent6 4" xfId="306" xr:uid="{00000000-0005-0000-0000-000032010000}"/>
    <cellStyle name="Accent6 5" xfId="307" xr:uid="{00000000-0005-0000-0000-000033010000}"/>
    <cellStyle name="Bad" xfId="308" xr:uid="{00000000-0005-0000-0000-000034010000}"/>
    <cellStyle name="Bad 2" xfId="309" xr:uid="{00000000-0005-0000-0000-000035010000}"/>
    <cellStyle name="Bad 3" xfId="310" xr:uid="{00000000-0005-0000-0000-000036010000}"/>
    <cellStyle name="Bad 4" xfId="311" xr:uid="{00000000-0005-0000-0000-000037010000}"/>
    <cellStyle name="Bad 5" xfId="312" xr:uid="{00000000-0005-0000-0000-000038010000}"/>
    <cellStyle name="Buena 2" xfId="313" xr:uid="{00000000-0005-0000-0000-000039010000}"/>
    <cellStyle name="Buena 2 2" xfId="314" xr:uid="{00000000-0005-0000-0000-00003A010000}"/>
    <cellStyle name="Buena 2 2 2" xfId="315" xr:uid="{00000000-0005-0000-0000-00003B010000}"/>
    <cellStyle name="Buena 2 2 2 2" xfId="316" xr:uid="{00000000-0005-0000-0000-00003C010000}"/>
    <cellStyle name="Buena 2 2 2 2 2" xfId="317" xr:uid="{00000000-0005-0000-0000-00003D010000}"/>
    <cellStyle name="Buena 2 2 3" xfId="318" xr:uid="{00000000-0005-0000-0000-00003E010000}"/>
    <cellStyle name="Buena 2 2 4" xfId="319" xr:uid="{00000000-0005-0000-0000-00003F010000}"/>
    <cellStyle name="Buena 2 3" xfId="320" xr:uid="{00000000-0005-0000-0000-000040010000}"/>
    <cellStyle name="Buena 2 4" xfId="321" xr:uid="{00000000-0005-0000-0000-000041010000}"/>
    <cellStyle name="Buena 3" xfId="322" xr:uid="{00000000-0005-0000-0000-000042010000}"/>
    <cellStyle name="Buena 4" xfId="323" xr:uid="{00000000-0005-0000-0000-000043010000}"/>
    <cellStyle name="Buena 5" xfId="324" xr:uid="{00000000-0005-0000-0000-000044010000}"/>
    <cellStyle name="Buena 6" xfId="325" xr:uid="{00000000-0005-0000-0000-000045010000}"/>
    <cellStyle name="Buena 7" xfId="326" xr:uid="{00000000-0005-0000-0000-000046010000}"/>
    <cellStyle name="Buena 8" xfId="327" xr:uid="{00000000-0005-0000-0000-000047010000}"/>
    <cellStyle name="Buena 9" xfId="328" xr:uid="{00000000-0005-0000-0000-000048010000}"/>
    <cellStyle name="Calculation" xfId="329" xr:uid="{00000000-0005-0000-0000-000049010000}"/>
    <cellStyle name="Calculation 2" xfId="330" xr:uid="{00000000-0005-0000-0000-00004A010000}"/>
    <cellStyle name="Calculation 3" xfId="331" xr:uid="{00000000-0005-0000-0000-00004B010000}"/>
    <cellStyle name="Calculation 4" xfId="332" xr:uid="{00000000-0005-0000-0000-00004C010000}"/>
    <cellStyle name="Calculation 5" xfId="333" xr:uid="{00000000-0005-0000-0000-00004D010000}"/>
    <cellStyle name="Cálculo 2" xfId="334" xr:uid="{00000000-0005-0000-0000-00004E010000}"/>
    <cellStyle name="Cálculo 2 2" xfId="335" xr:uid="{00000000-0005-0000-0000-00004F010000}"/>
    <cellStyle name="Cálculo 3" xfId="336" xr:uid="{00000000-0005-0000-0000-000050010000}"/>
    <cellStyle name="Cálculo 4" xfId="337" xr:uid="{00000000-0005-0000-0000-000051010000}"/>
    <cellStyle name="Cálculo 5" xfId="338" xr:uid="{00000000-0005-0000-0000-000052010000}"/>
    <cellStyle name="Cálculo 6" xfId="339" xr:uid="{00000000-0005-0000-0000-000053010000}"/>
    <cellStyle name="Cálculo 7" xfId="340" xr:uid="{00000000-0005-0000-0000-000054010000}"/>
    <cellStyle name="Cálculo 8" xfId="341" xr:uid="{00000000-0005-0000-0000-000055010000}"/>
    <cellStyle name="Celda de comprobación 2" xfId="342" xr:uid="{00000000-0005-0000-0000-000056010000}"/>
    <cellStyle name="Celda de comprobación 2 2" xfId="343" xr:uid="{00000000-0005-0000-0000-000057010000}"/>
    <cellStyle name="Celda de comprobación 2 2 2" xfId="344" xr:uid="{00000000-0005-0000-0000-000058010000}"/>
    <cellStyle name="Celda de comprobación 2 2 2 2" xfId="345" xr:uid="{00000000-0005-0000-0000-000059010000}"/>
    <cellStyle name="Celda de comprobación 2 2 2 2 2" xfId="346" xr:uid="{00000000-0005-0000-0000-00005A010000}"/>
    <cellStyle name="Celda de comprobación 2 2 3" xfId="347" xr:uid="{00000000-0005-0000-0000-00005B010000}"/>
    <cellStyle name="Celda de comprobación 2 2 4" xfId="348" xr:uid="{00000000-0005-0000-0000-00005C010000}"/>
    <cellStyle name="Celda de comprobación 2 3" xfId="349" xr:uid="{00000000-0005-0000-0000-00005D010000}"/>
    <cellStyle name="Celda de comprobación 2 4" xfId="350" xr:uid="{00000000-0005-0000-0000-00005E010000}"/>
    <cellStyle name="Celda de comprobación 3" xfId="351" xr:uid="{00000000-0005-0000-0000-00005F010000}"/>
    <cellStyle name="Celda de comprobación 4" xfId="352" xr:uid="{00000000-0005-0000-0000-000060010000}"/>
    <cellStyle name="Celda de comprobación 5" xfId="353" xr:uid="{00000000-0005-0000-0000-000061010000}"/>
    <cellStyle name="Celda de comprobación 6" xfId="354" xr:uid="{00000000-0005-0000-0000-000062010000}"/>
    <cellStyle name="Celda de comprobación 7" xfId="355" xr:uid="{00000000-0005-0000-0000-000063010000}"/>
    <cellStyle name="Celda de comprobación 8" xfId="356" xr:uid="{00000000-0005-0000-0000-000064010000}"/>
    <cellStyle name="Celda de comprobación 9" xfId="357" xr:uid="{00000000-0005-0000-0000-000065010000}"/>
    <cellStyle name="Celda vinculada 2" xfId="358" xr:uid="{00000000-0005-0000-0000-000066010000}"/>
    <cellStyle name="Celda vinculada 2 2" xfId="359" xr:uid="{00000000-0005-0000-0000-000067010000}"/>
    <cellStyle name="Celda vinculada 2 2 2" xfId="360" xr:uid="{00000000-0005-0000-0000-000068010000}"/>
    <cellStyle name="Celda vinculada 2 2 2 2" xfId="361" xr:uid="{00000000-0005-0000-0000-000069010000}"/>
    <cellStyle name="Celda vinculada 2 2 2 2 2" xfId="362" xr:uid="{00000000-0005-0000-0000-00006A010000}"/>
    <cellStyle name="Celda vinculada 2 2 3" xfId="363" xr:uid="{00000000-0005-0000-0000-00006B010000}"/>
    <cellStyle name="Celda vinculada 2 2 4" xfId="364" xr:uid="{00000000-0005-0000-0000-00006C010000}"/>
    <cellStyle name="Celda vinculada 2 3" xfId="365" xr:uid="{00000000-0005-0000-0000-00006D010000}"/>
    <cellStyle name="Celda vinculada 2 4" xfId="366" xr:uid="{00000000-0005-0000-0000-00006E010000}"/>
    <cellStyle name="Celda vinculada 3" xfId="367" xr:uid="{00000000-0005-0000-0000-00006F010000}"/>
    <cellStyle name="Celda vinculada 4" xfId="368" xr:uid="{00000000-0005-0000-0000-000070010000}"/>
    <cellStyle name="Celda vinculada 5" xfId="369" xr:uid="{00000000-0005-0000-0000-000071010000}"/>
    <cellStyle name="Celda vinculada 6" xfId="370" xr:uid="{00000000-0005-0000-0000-000072010000}"/>
    <cellStyle name="Celda vinculada 7" xfId="371" xr:uid="{00000000-0005-0000-0000-000073010000}"/>
    <cellStyle name="Celda vinculada 8" xfId="372" xr:uid="{00000000-0005-0000-0000-000074010000}"/>
    <cellStyle name="Celda vinculada 9" xfId="373" xr:uid="{00000000-0005-0000-0000-000075010000}"/>
    <cellStyle name="Check Cell" xfId="374" xr:uid="{00000000-0005-0000-0000-000076010000}"/>
    <cellStyle name="Check Cell 2" xfId="375" xr:uid="{00000000-0005-0000-0000-000077010000}"/>
    <cellStyle name="Check Cell 3" xfId="376" xr:uid="{00000000-0005-0000-0000-000078010000}"/>
    <cellStyle name="Check Cell 4" xfId="377" xr:uid="{00000000-0005-0000-0000-000079010000}"/>
    <cellStyle name="Check Cell 5" xfId="378" xr:uid="{00000000-0005-0000-0000-00007A010000}"/>
    <cellStyle name="Coma 2" xfId="379" xr:uid="{00000000-0005-0000-0000-00007B010000}"/>
    <cellStyle name="Encabezado 4 2" xfId="380" xr:uid="{00000000-0005-0000-0000-00007C010000}"/>
    <cellStyle name="Encabezado 4 2 2" xfId="381" xr:uid="{00000000-0005-0000-0000-00007D010000}"/>
    <cellStyle name="Encabezado 4 2 2 2" xfId="382" xr:uid="{00000000-0005-0000-0000-00007E010000}"/>
    <cellStyle name="Encabezado 4 2 2 2 2" xfId="383" xr:uid="{00000000-0005-0000-0000-00007F010000}"/>
    <cellStyle name="Encabezado 4 2 2 2 2 2" xfId="384" xr:uid="{00000000-0005-0000-0000-000080010000}"/>
    <cellStyle name="Encabezado 4 2 2 3" xfId="385" xr:uid="{00000000-0005-0000-0000-000081010000}"/>
    <cellStyle name="Encabezado 4 2 2 4" xfId="386" xr:uid="{00000000-0005-0000-0000-000082010000}"/>
    <cellStyle name="Encabezado 4 2 3" xfId="387" xr:uid="{00000000-0005-0000-0000-000083010000}"/>
    <cellStyle name="Encabezado 4 2 4" xfId="388" xr:uid="{00000000-0005-0000-0000-000084010000}"/>
    <cellStyle name="Encabezado 4 3" xfId="389" xr:uid="{00000000-0005-0000-0000-000085010000}"/>
    <cellStyle name="Encabezado 4 4" xfId="390" xr:uid="{00000000-0005-0000-0000-000086010000}"/>
    <cellStyle name="Encabezado 4 5" xfId="391" xr:uid="{00000000-0005-0000-0000-000087010000}"/>
    <cellStyle name="Encabezado 4 6" xfId="392" xr:uid="{00000000-0005-0000-0000-000088010000}"/>
    <cellStyle name="Encabezado 4 7" xfId="393" xr:uid="{00000000-0005-0000-0000-000089010000}"/>
    <cellStyle name="Encabezado 4 8" xfId="394" xr:uid="{00000000-0005-0000-0000-00008A010000}"/>
    <cellStyle name="Encabezado 4 9" xfId="395" xr:uid="{00000000-0005-0000-0000-00008B010000}"/>
    <cellStyle name="Énfasis1 2" xfId="396" xr:uid="{00000000-0005-0000-0000-00008C010000}"/>
    <cellStyle name="Énfasis1 2 2" xfId="397" xr:uid="{00000000-0005-0000-0000-00008D010000}"/>
    <cellStyle name="Énfasis1 3" xfId="398" xr:uid="{00000000-0005-0000-0000-00008E010000}"/>
    <cellStyle name="Énfasis1 4" xfId="399" xr:uid="{00000000-0005-0000-0000-00008F010000}"/>
    <cellStyle name="Énfasis1 5" xfId="400" xr:uid="{00000000-0005-0000-0000-000090010000}"/>
    <cellStyle name="Énfasis1 6" xfId="401" xr:uid="{00000000-0005-0000-0000-000091010000}"/>
    <cellStyle name="Énfasis1 7" xfId="402" xr:uid="{00000000-0005-0000-0000-000092010000}"/>
    <cellStyle name="Énfasis1 8" xfId="403" xr:uid="{00000000-0005-0000-0000-000093010000}"/>
    <cellStyle name="Énfasis2 2" xfId="404" xr:uid="{00000000-0005-0000-0000-000094010000}"/>
    <cellStyle name="Énfasis2 2 2" xfId="405" xr:uid="{00000000-0005-0000-0000-000095010000}"/>
    <cellStyle name="Énfasis2 3" xfId="406" xr:uid="{00000000-0005-0000-0000-000096010000}"/>
    <cellStyle name="Énfasis2 4" xfId="407" xr:uid="{00000000-0005-0000-0000-000097010000}"/>
    <cellStyle name="Énfasis2 5" xfId="408" xr:uid="{00000000-0005-0000-0000-000098010000}"/>
    <cellStyle name="Énfasis2 6" xfId="409" xr:uid="{00000000-0005-0000-0000-000099010000}"/>
    <cellStyle name="Énfasis2 7" xfId="410" xr:uid="{00000000-0005-0000-0000-00009A010000}"/>
    <cellStyle name="Énfasis2 8" xfId="411" xr:uid="{00000000-0005-0000-0000-00009B010000}"/>
    <cellStyle name="Énfasis3 2" xfId="412" xr:uid="{00000000-0005-0000-0000-00009C010000}"/>
    <cellStyle name="Énfasis3 2 2" xfId="413" xr:uid="{00000000-0005-0000-0000-00009D010000}"/>
    <cellStyle name="Énfasis3 3" xfId="414" xr:uid="{00000000-0005-0000-0000-00009E010000}"/>
    <cellStyle name="Énfasis3 4" xfId="415" xr:uid="{00000000-0005-0000-0000-00009F010000}"/>
    <cellStyle name="Énfasis3 5" xfId="416" xr:uid="{00000000-0005-0000-0000-0000A0010000}"/>
    <cellStyle name="Énfasis3 6" xfId="417" xr:uid="{00000000-0005-0000-0000-0000A1010000}"/>
    <cellStyle name="Énfasis3 7" xfId="418" xr:uid="{00000000-0005-0000-0000-0000A2010000}"/>
    <cellStyle name="Énfasis3 8" xfId="419" xr:uid="{00000000-0005-0000-0000-0000A3010000}"/>
    <cellStyle name="Énfasis4 2" xfId="420" xr:uid="{00000000-0005-0000-0000-0000A4010000}"/>
    <cellStyle name="Énfasis4 2 2" xfId="421" xr:uid="{00000000-0005-0000-0000-0000A5010000}"/>
    <cellStyle name="Énfasis4 3" xfId="422" xr:uid="{00000000-0005-0000-0000-0000A6010000}"/>
    <cellStyle name="Énfasis4 4" xfId="423" xr:uid="{00000000-0005-0000-0000-0000A7010000}"/>
    <cellStyle name="Énfasis4 5" xfId="424" xr:uid="{00000000-0005-0000-0000-0000A8010000}"/>
    <cellStyle name="Énfasis4 6" xfId="425" xr:uid="{00000000-0005-0000-0000-0000A9010000}"/>
    <cellStyle name="Énfasis4 7" xfId="426" xr:uid="{00000000-0005-0000-0000-0000AA010000}"/>
    <cellStyle name="Énfasis4 8" xfId="427" xr:uid="{00000000-0005-0000-0000-0000AB010000}"/>
    <cellStyle name="Énfasis5 2" xfId="428" xr:uid="{00000000-0005-0000-0000-0000AC010000}"/>
    <cellStyle name="Énfasis5 2 2" xfId="429" xr:uid="{00000000-0005-0000-0000-0000AD010000}"/>
    <cellStyle name="Énfasis5 3" xfId="430" xr:uid="{00000000-0005-0000-0000-0000AE010000}"/>
    <cellStyle name="Énfasis5 4" xfId="431" xr:uid="{00000000-0005-0000-0000-0000AF010000}"/>
    <cellStyle name="Énfasis5 5" xfId="432" xr:uid="{00000000-0005-0000-0000-0000B0010000}"/>
    <cellStyle name="Énfasis5 6" xfId="433" xr:uid="{00000000-0005-0000-0000-0000B1010000}"/>
    <cellStyle name="Énfasis5 7" xfId="434" xr:uid="{00000000-0005-0000-0000-0000B2010000}"/>
    <cellStyle name="Énfasis5 8" xfId="435" xr:uid="{00000000-0005-0000-0000-0000B3010000}"/>
    <cellStyle name="Énfasis6 2" xfId="436" xr:uid="{00000000-0005-0000-0000-0000B4010000}"/>
    <cellStyle name="Énfasis6 2 2" xfId="437" xr:uid="{00000000-0005-0000-0000-0000B5010000}"/>
    <cellStyle name="Énfasis6 3" xfId="438" xr:uid="{00000000-0005-0000-0000-0000B6010000}"/>
    <cellStyle name="Énfasis6 4" xfId="439" xr:uid="{00000000-0005-0000-0000-0000B7010000}"/>
    <cellStyle name="Énfasis6 5" xfId="440" xr:uid="{00000000-0005-0000-0000-0000B8010000}"/>
    <cellStyle name="Énfasis6 6" xfId="441" xr:uid="{00000000-0005-0000-0000-0000B9010000}"/>
    <cellStyle name="Énfasis6 7" xfId="442" xr:uid="{00000000-0005-0000-0000-0000BA010000}"/>
    <cellStyle name="Énfasis6 8" xfId="443" xr:uid="{00000000-0005-0000-0000-0000BB010000}"/>
    <cellStyle name="Entrada 2" xfId="444" xr:uid="{00000000-0005-0000-0000-0000BC010000}"/>
    <cellStyle name="Entrada 2 2" xfId="445" xr:uid="{00000000-0005-0000-0000-0000BD010000}"/>
    <cellStyle name="Entrada 2 2 2" xfId="446" xr:uid="{00000000-0005-0000-0000-0000BE010000}"/>
    <cellStyle name="Entrada 2 2 2 2" xfId="447" xr:uid="{00000000-0005-0000-0000-0000BF010000}"/>
    <cellStyle name="Entrada 2 2 2 2 2" xfId="448" xr:uid="{00000000-0005-0000-0000-0000C0010000}"/>
    <cellStyle name="Entrada 2 2 3" xfId="449" xr:uid="{00000000-0005-0000-0000-0000C1010000}"/>
    <cellStyle name="Entrada 2 2 4" xfId="450" xr:uid="{00000000-0005-0000-0000-0000C2010000}"/>
    <cellStyle name="Entrada 2 3" xfId="451" xr:uid="{00000000-0005-0000-0000-0000C3010000}"/>
    <cellStyle name="Entrada 2 4" xfId="452" xr:uid="{00000000-0005-0000-0000-0000C4010000}"/>
    <cellStyle name="Entrada 3" xfId="453" xr:uid="{00000000-0005-0000-0000-0000C5010000}"/>
    <cellStyle name="Entrada 4" xfId="454" xr:uid="{00000000-0005-0000-0000-0000C6010000}"/>
    <cellStyle name="Entrada 5" xfId="455" xr:uid="{00000000-0005-0000-0000-0000C7010000}"/>
    <cellStyle name="Entrada 6" xfId="456" xr:uid="{00000000-0005-0000-0000-0000C8010000}"/>
    <cellStyle name="Entrada 7" xfId="457" xr:uid="{00000000-0005-0000-0000-0000C9010000}"/>
    <cellStyle name="Entrada 8" xfId="458" xr:uid="{00000000-0005-0000-0000-0000CA010000}"/>
    <cellStyle name="Entrada 9" xfId="459" xr:uid="{00000000-0005-0000-0000-0000CB010000}"/>
    <cellStyle name="Estilo 1" xfId="460" xr:uid="{00000000-0005-0000-0000-0000CC010000}"/>
    <cellStyle name="Estilo 1 10" xfId="461" xr:uid="{00000000-0005-0000-0000-0000CD010000}"/>
    <cellStyle name="Estilo 1 10 2" xfId="462" xr:uid="{00000000-0005-0000-0000-0000CE010000}"/>
    <cellStyle name="Estilo 1 10 3" xfId="463" xr:uid="{00000000-0005-0000-0000-0000CF010000}"/>
    <cellStyle name="Estilo 1 10_Enlaces" xfId="464" xr:uid="{00000000-0005-0000-0000-0000D0010000}"/>
    <cellStyle name="Estilo 1 100" xfId="465" xr:uid="{00000000-0005-0000-0000-0000D1010000}"/>
    <cellStyle name="Estilo 1 100 2" xfId="466" xr:uid="{00000000-0005-0000-0000-0000D2010000}"/>
    <cellStyle name="Estilo 1 101" xfId="467" xr:uid="{00000000-0005-0000-0000-0000D3010000}"/>
    <cellStyle name="Estilo 1 101 2" xfId="468" xr:uid="{00000000-0005-0000-0000-0000D4010000}"/>
    <cellStyle name="Estilo 1 102" xfId="469" xr:uid="{00000000-0005-0000-0000-0000D5010000}"/>
    <cellStyle name="Estilo 1 102 2" xfId="470" xr:uid="{00000000-0005-0000-0000-0000D6010000}"/>
    <cellStyle name="Estilo 1 103" xfId="471" xr:uid="{00000000-0005-0000-0000-0000D7010000}"/>
    <cellStyle name="Estilo 1 103 2" xfId="472" xr:uid="{00000000-0005-0000-0000-0000D8010000}"/>
    <cellStyle name="Estilo 1 104" xfId="473" xr:uid="{00000000-0005-0000-0000-0000D9010000}"/>
    <cellStyle name="Estilo 1 104 2" xfId="474" xr:uid="{00000000-0005-0000-0000-0000DA010000}"/>
    <cellStyle name="Estilo 1 105" xfId="475" xr:uid="{00000000-0005-0000-0000-0000DB010000}"/>
    <cellStyle name="Estilo 1 105 2" xfId="476" xr:uid="{00000000-0005-0000-0000-0000DC010000}"/>
    <cellStyle name="Estilo 1 106" xfId="477" xr:uid="{00000000-0005-0000-0000-0000DD010000}"/>
    <cellStyle name="Estilo 1 106 2" xfId="478" xr:uid="{00000000-0005-0000-0000-0000DE010000}"/>
    <cellStyle name="Estilo 1 107" xfId="479" xr:uid="{00000000-0005-0000-0000-0000DF010000}"/>
    <cellStyle name="Estilo 1 107 2" xfId="480" xr:uid="{00000000-0005-0000-0000-0000E0010000}"/>
    <cellStyle name="Estilo 1 108" xfId="481" xr:uid="{00000000-0005-0000-0000-0000E1010000}"/>
    <cellStyle name="Estilo 1 108 2" xfId="482" xr:uid="{00000000-0005-0000-0000-0000E2010000}"/>
    <cellStyle name="Estilo 1 109" xfId="483" xr:uid="{00000000-0005-0000-0000-0000E3010000}"/>
    <cellStyle name="Estilo 1 109 2" xfId="484" xr:uid="{00000000-0005-0000-0000-0000E4010000}"/>
    <cellStyle name="Estilo 1 11" xfId="485" xr:uid="{00000000-0005-0000-0000-0000E5010000}"/>
    <cellStyle name="Estilo 1 11 2" xfId="486" xr:uid="{00000000-0005-0000-0000-0000E6010000}"/>
    <cellStyle name="Estilo 1 11 3" xfId="487" xr:uid="{00000000-0005-0000-0000-0000E7010000}"/>
    <cellStyle name="Estilo 1 11_Enlaces" xfId="488" xr:uid="{00000000-0005-0000-0000-0000E8010000}"/>
    <cellStyle name="Estilo 1 110" xfId="489" xr:uid="{00000000-0005-0000-0000-0000E9010000}"/>
    <cellStyle name="Estilo 1 110 2" xfId="490" xr:uid="{00000000-0005-0000-0000-0000EA010000}"/>
    <cellStyle name="Estilo 1 111" xfId="491" xr:uid="{00000000-0005-0000-0000-0000EB010000}"/>
    <cellStyle name="Estilo 1 111 2" xfId="492" xr:uid="{00000000-0005-0000-0000-0000EC010000}"/>
    <cellStyle name="Estilo 1 112" xfId="493" xr:uid="{00000000-0005-0000-0000-0000ED010000}"/>
    <cellStyle name="Estilo 1 112 2" xfId="494" xr:uid="{00000000-0005-0000-0000-0000EE010000}"/>
    <cellStyle name="Estilo 1 113" xfId="495" xr:uid="{00000000-0005-0000-0000-0000EF010000}"/>
    <cellStyle name="Estilo 1 113 2" xfId="496" xr:uid="{00000000-0005-0000-0000-0000F0010000}"/>
    <cellStyle name="Estilo 1 114" xfId="497" xr:uid="{00000000-0005-0000-0000-0000F1010000}"/>
    <cellStyle name="Estilo 1 114 2" xfId="498" xr:uid="{00000000-0005-0000-0000-0000F2010000}"/>
    <cellStyle name="Estilo 1 115" xfId="499" xr:uid="{00000000-0005-0000-0000-0000F3010000}"/>
    <cellStyle name="Estilo 1 115 2" xfId="500" xr:uid="{00000000-0005-0000-0000-0000F4010000}"/>
    <cellStyle name="Estilo 1 116" xfId="501" xr:uid="{00000000-0005-0000-0000-0000F5010000}"/>
    <cellStyle name="Estilo 1 116 2" xfId="502" xr:uid="{00000000-0005-0000-0000-0000F6010000}"/>
    <cellStyle name="Estilo 1 117" xfId="503" xr:uid="{00000000-0005-0000-0000-0000F7010000}"/>
    <cellStyle name="Estilo 1 117 2" xfId="504" xr:uid="{00000000-0005-0000-0000-0000F8010000}"/>
    <cellStyle name="Estilo 1 118" xfId="505" xr:uid="{00000000-0005-0000-0000-0000F9010000}"/>
    <cellStyle name="Estilo 1 118 2" xfId="506" xr:uid="{00000000-0005-0000-0000-0000FA010000}"/>
    <cellStyle name="Estilo 1 119" xfId="507" xr:uid="{00000000-0005-0000-0000-0000FB010000}"/>
    <cellStyle name="Estilo 1 119 2" xfId="508" xr:uid="{00000000-0005-0000-0000-0000FC010000}"/>
    <cellStyle name="Estilo 1 12" xfId="509" xr:uid="{00000000-0005-0000-0000-0000FD010000}"/>
    <cellStyle name="Estilo 1 12 2" xfId="510" xr:uid="{00000000-0005-0000-0000-0000FE010000}"/>
    <cellStyle name="Estilo 1 12 3" xfId="511" xr:uid="{00000000-0005-0000-0000-0000FF010000}"/>
    <cellStyle name="Estilo 1 12_Enlaces" xfId="512" xr:uid="{00000000-0005-0000-0000-000000020000}"/>
    <cellStyle name="Estilo 1 120" xfId="513" xr:uid="{00000000-0005-0000-0000-000001020000}"/>
    <cellStyle name="Estilo 1 120 2" xfId="514" xr:uid="{00000000-0005-0000-0000-000002020000}"/>
    <cellStyle name="Estilo 1 121" xfId="515" xr:uid="{00000000-0005-0000-0000-000003020000}"/>
    <cellStyle name="Estilo 1 121 2" xfId="516" xr:uid="{00000000-0005-0000-0000-000004020000}"/>
    <cellStyle name="Estilo 1 122" xfId="517" xr:uid="{00000000-0005-0000-0000-000005020000}"/>
    <cellStyle name="Estilo 1 122 2" xfId="518" xr:uid="{00000000-0005-0000-0000-000006020000}"/>
    <cellStyle name="Estilo 1 123" xfId="519" xr:uid="{00000000-0005-0000-0000-000007020000}"/>
    <cellStyle name="Estilo 1 123 2" xfId="520" xr:uid="{00000000-0005-0000-0000-000008020000}"/>
    <cellStyle name="Estilo 1 124" xfId="521" xr:uid="{00000000-0005-0000-0000-000009020000}"/>
    <cellStyle name="Estilo 1 124 2" xfId="522" xr:uid="{00000000-0005-0000-0000-00000A020000}"/>
    <cellStyle name="Estilo 1 125" xfId="523" xr:uid="{00000000-0005-0000-0000-00000B020000}"/>
    <cellStyle name="Estilo 1 125 2" xfId="524" xr:uid="{00000000-0005-0000-0000-00000C020000}"/>
    <cellStyle name="Estilo 1 126" xfId="525" xr:uid="{00000000-0005-0000-0000-00000D020000}"/>
    <cellStyle name="Estilo 1 126 2" xfId="526" xr:uid="{00000000-0005-0000-0000-00000E020000}"/>
    <cellStyle name="Estilo 1 127" xfId="527" xr:uid="{00000000-0005-0000-0000-00000F020000}"/>
    <cellStyle name="Estilo 1 127 2" xfId="528" xr:uid="{00000000-0005-0000-0000-000010020000}"/>
    <cellStyle name="Estilo 1 128" xfId="529" xr:uid="{00000000-0005-0000-0000-000011020000}"/>
    <cellStyle name="Estilo 1 128 2" xfId="530" xr:uid="{00000000-0005-0000-0000-000012020000}"/>
    <cellStyle name="Estilo 1 129" xfId="531" xr:uid="{00000000-0005-0000-0000-000013020000}"/>
    <cellStyle name="Estilo 1 129 2" xfId="532" xr:uid="{00000000-0005-0000-0000-000014020000}"/>
    <cellStyle name="Estilo 1 13" xfId="533" xr:uid="{00000000-0005-0000-0000-000015020000}"/>
    <cellStyle name="Estilo 1 13 2" xfId="534" xr:uid="{00000000-0005-0000-0000-000016020000}"/>
    <cellStyle name="Estilo 1 13 3" xfId="535" xr:uid="{00000000-0005-0000-0000-000017020000}"/>
    <cellStyle name="Estilo 1 13_Enlaces" xfId="536" xr:uid="{00000000-0005-0000-0000-000018020000}"/>
    <cellStyle name="Estilo 1 130" xfId="537" xr:uid="{00000000-0005-0000-0000-000019020000}"/>
    <cellStyle name="Estilo 1 130 2" xfId="538" xr:uid="{00000000-0005-0000-0000-00001A020000}"/>
    <cellStyle name="Estilo 1 131" xfId="539" xr:uid="{00000000-0005-0000-0000-00001B020000}"/>
    <cellStyle name="Estilo 1 131 2" xfId="540" xr:uid="{00000000-0005-0000-0000-00001C020000}"/>
    <cellStyle name="Estilo 1 132" xfId="541" xr:uid="{00000000-0005-0000-0000-00001D020000}"/>
    <cellStyle name="Estilo 1 132 2" xfId="542" xr:uid="{00000000-0005-0000-0000-00001E020000}"/>
    <cellStyle name="Estilo 1 133" xfId="543" xr:uid="{00000000-0005-0000-0000-00001F020000}"/>
    <cellStyle name="Estilo 1 133 2" xfId="544" xr:uid="{00000000-0005-0000-0000-000020020000}"/>
    <cellStyle name="Estilo 1 134" xfId="545" xr:uid="{00000000-0005-0000-0000-000021020000}"/>
    <cellStyle name="Estilo 1 134 2" xfId="546" xr:uid="{00000000-0005-0000-0000-000022020000}"/>
    <cellStyle name="Estilo 1 135" xfId="547" xr:uid="{00000000-0005-0000-0000-000023020000}"/>
    <cellStyle name="Estilo 1 135 2" xfId="548" xr:uid="{00000000-0005-0000-0000-000024020000}"/>
    <cellStyle name="Estilo 1 136" xfId="549" xr:uid="{00000000-0005-0000-0000-000025020000}"/>
    <cellStyle name="Estilo 1 136 2" xfId="550" xr:uid="{00000000-0005-0000-0000-000026020000}"/>
    <cellStyle name="Estilo 1 137" xfId="551" xr:uid="{00000000-0005-0000-0000-000027020000}"/>
    <cellStyle name="Estilo 1 137 2" xfId="552" xr:uid="{00000000-0005-0000-0000-000028020000}"/>
    <cellStyle name="Estilo 1 138" xfId="553" xr:uid="{00000000-0005-0000-0000-000029020000}"/>
    <cellStyle name="Estilo 1 138 2" xfId="554" xr:uid="{00000000-0005-0000-0000-00002A020000}"/>
    <cellStyle name="Estilo 1 139" xfId="555" xr:uid="{00000000-0005-0000-0000-00002B020000}"/>
    <cellStyle name="Estilo 1 139 2" xfId="556" xr:uid="{00000000-0005-0000-0000-00002C020000}"/>
    <cellStyle name="Estilo 1 14" xfId="557" xr:uid="{00000000-0005-0000-0000-00002D020000}"/>
    <cellStyle name="Estilo 1 14 2" xfId="558" xr:uid="{00000000-0005-0000-0000-00002E020000}"/>
    <cellStyle name="Estilo 1 14 3" xfId="559" xr:uid="{00000000-0005-0000-0000-00002F020000}"/>
    <cellStyle name="Estilo 1 14_Enlaces" xfId="560" xr:uid="{00000000-0005-0000-0000-000030020000}"/>
    <cellStyle name="Estilo 1 140" xfId="561" xr:uid="{00000000-0005-0000-0000-000031020000}"/>
    <cellStyle name="Estilo 1 140 2" xfId="562" xr:uid="{00000000-0005-0000-0000-000032020000}"/>
    <cellStyle name="Estilo 1 141" xfId="563" xr:uid="{00000000-0005-0000-0000-000033020000}"/>
    <cellStyle name="Estilo 1 141 2" xfId="564" xr:uid="{00000000-0005-0000-0000-000034020000}"/>
    <cellStyle name="Estilo 1 142" xfId="565" xr:uid="{00000000-0005-0000-0000-000035020000}"/>
    <cellStyle name="Estilo 1 142 2" xfId="566" xr:uid="{00000000-0005-0000-0000-000036020000}"/>
    <cellStyle name="Estilo 1 143" xfId="567" xr:uid="{00000000-0005-0000-0000-000037020000}"/>
    <cellStyle name="Estilo 1 143 2" xfId="568" xr:uid="{00000000-0005-0000-0000-000038020000}"/>
    <cellStyle name="Estilo 1 144" xfId="569" xr:uid="{00000000-0005-0000-0000-000039020000}"/>
    <cellStyle name="Estilo 1 144 2" xfId="570" xr:uid="{00000000-0005-0000-0000-00003A020000}"/>
    <cellStyle name="Estilo 1 145" xfId="571" xr:uid="{00000000-0005-0000-0000-00003B020000}"/>
    <cellStyle name="Estilo 1 145 2" xfId="572" xr:uid="{00000000-0005-0000-0000-00003C020000}"/>
    <cellStyle name="Estilo 1 146" xfId="573" xr:uid="{00000000-0005-0000-0000-00003D020000}"/>
    <cellStyle name="Estilo 1 146 2" xfId="574" xr:uid="{00000000-0005-0000-0000-00003E020000}"/>
    <cellStyle name="Estilo 1 147" xfId="575" xr:uid="{00000000-0005-0000-0000-00003F020000}"/>
    <cellStyle name="Estilo 1 147 2" xfId="576" xr:uid="{00000000-0005-0000-0000-000040020000}"/>
    <cellStyle name="Estilo 1 148" xfId="577" xr:uid="{00000000-0005-0000-0000-000041020000}"/>
    <cellStyle name="Estilo 1 148 2" xfId="578" xr:uid="{00000000-0005-0000-0000-000042020000}"/>
    <cellStyle name="Estilo 1 149" xfId="579" xr:uid="{00000000-0005-0000-0000-000043020000}"/>
    <cellStyle name="Estilo 1 149 2" xfId="580" xr:uid="{00000000-0005-0000-0000-000044020000}"/>
    <cellStyle name="Estilo 1 15" xfId="581" xr:uid="{00000000-0005-0000-0000-000045020000}"/>
    <cellStyle name="Estilo 1 15 2" xfId="582" xr:uid="{00000000-0005-0000-0000-000046020000}"/>
    <cellStyle name="Estilo 1 15 3" xfId="583" xr:uid="{00000000-0005-0000-0000-000047020000}"/>
    <cellStyle name="Estilo 1 15_Enlaces" xfId="584" xr:uid="{00000000-0005-0000-0000-000048020000}"/>
    <cellStyle name="Estilo 1 150" xfId="585" xr:uid="{00000000-0005-0000-0000-000049020000}"/>
    <cellStyle name="Estilo 1 150 2" xfId="586" xr:uid="{00000000-0005-0000-0000-00004A020000}"/>
    <cellStyle name="Estilo 1 151" xfId="587" xr:uid="{00000000-0005-0000-0000-00004B020000}"/>
    <cellStyle name="Estilo 1 151 2" xfId="588" xr:uid="{00000000-0005-0000-0000-00004C020000}"/>
    <cellStyle name="Estilo 1 152" xfId="589" xr:uid="{00000000-0005-0000-0000-00004D020000}"/>
    <cellStyle name="Estilo 1 152 2" xfId="590" xr:uid="{00000000-0005-0000-0000-00004E020000}"/>
    <cellStyle name="Estilo 1 153" xfId="591" xr:uid="{00000000-0005-0000-0000-00004F020000}"/>
    <cellStyle name="Estilo 1 153 2" xfId="592" xr:uid="{00000000-0005-0000-0000-000050020000}"/>
    <cellStyle name="Estilo 1 154" xfId="593" xr:uid="{00000000-0005-0000-0000-000051020000}"/>
    <cellStyle name="Estilo 1 154 2" xfId="594" xr:uid="{00000000-0005-0000-0000-000052020000}"/>
    <cellStyle name="Estilo 1 155" xfId="595" xr:uid="{00000000-0005-0000-0000-000053020000}"/>
    <cellStyle name="Estilo 1 155 2" xfId="596" xr:uid="{00000000-0005-0000-0000-000054020000}"/>
    <cellStyle name="Estilo 1 156" xfId="597" xr:uid="{00000000-0005-0000-0000-000055020000}"/>
    <cellStyle name="Estilo 1 156 2" xfId="598" xr:uid="{00000000-0005-0000-0000-000056020000}"/>
    <cellStyle name="Estilo 1 157" xfId="599" xr:uid="{00000000-0005-0000-0000-000057020000}"/>
    <cellStyle name="Estilo 1 157 2" xfId="600" xr:uid="{00000000-0005-0000-0000-000058020000}"/>
    <cellStyle name="Estilo 1 158" xfId="601" xr:uid="{00000000-0005-0000-0000-000059020000}"/>
    <cellStyle name="Estilo 1 158 2" xfId="602" xr:uid="{00000000-0005-0000-0000-00005A020000}"/>
    <cellStyle name="Estilo 1 159" xfId="603" xr:uid="{00000000-0005-0000-0000-00005B020000}"/>
    <cellStyle name="Estilo 1 159 2" xfId="604" xr:uid="{00000000-0005-0000-0000-00005C020000}"/>
    <cellStyle name="Estilo 1 16" xfId="605" xr:uid="{00000000-0005-0000-0000-00005D020000}"/>
    <cellStyle name="Estilo 1 16 2" xfId="606" xr:uid="{00000000-0005-0000-0000-00005E020000}"/>
    <cellStyle name="Estilo 1 16 3" xfId="607" xr:uid="{00000000-0005-0000-0000-00005F020000}"/>
    <cellStyle name="Estilo 1 16_Enlaces" xfId="608" xr:uid="{00000000-0005-0000-0000-000060020000}"/>
    <cellStyle name="Estilo 1 160" xfId="609" xr:uid="{00000000-0005-0000-0000-000061020000}"/>
    <cellStyle name="Estilo 1 160 2" xfId="610" xr:uid="{00000000-0005-0000-0000-000062020000}"/>
    <cellStyle name="Estilo 1 161" xfId="611" xr:uid="{00000000-0005-0000-0000-000063020000}"/>
    <cellStyle name="Estilo 1 161 2" xfId="612" xr:uid="{00000000-0005-0000-0000-000064020000}"/>
    <cellStyle name="Estilo 1 162" xfId="613" xr:uid="{00000000-0005-0000-0000-000065020000}"/>
    <cellStyle name="Estilo 1 162 2" xfId="614" xr:uid="{00000000-0005-0000-0000-000066020000}"/>
    <cellStyle name="Estilo 1 163" xfId="615" xr:uid="{00000000-0005-0000-0000-000067020000}"/>
    <cellStyle name="Estilo 1 163 2" xfId="616" xr:uid="{00000000-0005-0000-0000-000068020000}"/>
    <cellStyle name="Estilo 1 164" xfId="617" xr:uid="{00000000-0005-0000-0000-000069020000}"/>
    <cellStyle name="Estilo 1 164 2" xfId="618" xr:uid="{00000000-0005-0000-0000-00006A020000}"/>
    <cellStyle name="Estilo 1 165" xfId="619" xr:uid="{00000000-0005-0000-0000-00006B020000}"/>
    <cellStyle name="Estilo 1 165 2" xfId="620" xr:uid="{00000000-0005-0000-0000-00006C020000}"/>
    <cellStyle name="Estilo 1 166" xfId="621" xr:uid="{00000000-0005-0000-0000-00006D020000}"/>
    <cellStyle name="Estilo 1 166 2" xfId="622" xr:uid="{00000000-0005-0000-0000-00006E020000}"/>
    <cellStyle name="Estilo 1 167" xfId="623" xr:uid="{00000000-0005-0000-0000-00006F020000}"/>
    <cellStyle name="Estilo 1 167 2" xfId="624" xr:uid="{00000000-0005-0000-0000-000070020000}"/>
    <cellStyle name="Estilo 1 168" xfId="625" xr:uid="{00000000-0005-0000-0000-000071020000}"/>
    <cellStyle name="Estilo 1 168 2" xfId="626" xr:uid="{00000000-0005-0000-0000-000072020000}"/>
    <cellStyle name="Estilo 1 169" xfId="627" xr:uid="{00000000-0005-0000-0000-000073020000}"/>
    <cellStyle name="Estilo 1 169 2" xfId="628" xr:uid="{00000000-0005-0000-0000-000074020000}"/>
    <cellStyle name="Estilo 1 17" xfId="629" xr:uid="{00000000-0005-0000-0000-000075020000}"/>
    <cellStyle name="Estilo 1 17 2" xfId="630" xr:uid="{00000000-0005-0000-0000-000076020000}"/>
    <cellStyle name="Estilo 1 17 3" xfId="631" xr:uid="{00000000-0005-0000-0000-000077020000}"/>
    <cellStyle name="Estilo 1 17_Enlaces" xfId="632" xr:uid="{00000000-0005-0000-0000-000078020000}"/>
    <cellStyle name="Estilo 1 170" xfId="633" xr:uid="{00000000-0005-0000-0000-000079020000}"/>
    <cellStyle name="Estilo 1 170 2" xfId="634" xr:uid="{00000000-0005-0000-0000-00007A020000}"/>
    <cellStyle name="Estilo 1 171" xfId="635" xr:uid="{00000000-0005-0000-0000-00007B020000}"/>
    <cellStyle name="Estilo 1 171 2" xfId="636" xr:uid="{00000000-0005-0000-0000-00007C020000}"/>
    <cellStyle name="Estilo 1 172" xfId="637" xr:uid="{00000000-0005-0000-0000-00007D020000}"/>
    <cellStyle name="Estilo 1 172 2" xfId="638" xr:uid="{00000000-0005-0000-0000-00007E020000}"/>
    <cellStyle name="Estilo 1 173" xfId="639" xr:uid="{00000000-0005-0000-0000-00007F020000}"/>
    <cellStyle name="Estilo 1 173 2" xfId="640" xr:uid="{00000000-0005-0000-0000-000080020000}"/>
    <cellStyle name="Estilo 1 174" xfId="641" xr:uid="{00000000-0005-0000-0000-000081020000}"/>
    <cellStyle name="Estilo 1 174 2" xfId="642" xr:uid="{00000000-0005-0000-0000-000082020000}"/>
    <cellStyle name="Estilo 1 175" xfId="643" xr:uid="{00000000-0005-0000-0000-000083020000}"/>
    <cellStyle name="Estilo 1 175 2" xfId="644" xr:uid="{00000000-0005-0000-0000-000084020000}"/>
    <cellStyle name="Estilo 1 176" xfId="645" xr:uid="{00000000-0005-0000-0000-000085020000}"/>
    <cellStyle name="Estilo 1 176 2" xfId="646" xr:uid="{00000000-0005-0000-0000-000086020000}"/>
    <cellStyle name="Estilo 1 177" xfId="647" xr:uid="{00000000-0005-0000-0000-000087020000}"/>
    <cellStyle name="Estilo 1 177 2" xfId="648" xr:uid="{00000000-0005-0000-0000-000088020000}"/>
    <cellStyle name="Estilo 1 178" xfId="649" xr:uid="{00000000-0005-0000-0000-000089020000}"/>
    <cellStyle name="Estilo 1 178 2" xfId="650" xr:uid="{00000000-0005-0000-0000-00008A020000}"/>
    <cellStyle name="Estilo 1 179" xfId="651" xr:uid="{00000000-0005-0000-0000-00008B020000}"/>
    <cellStyle name="Estilo 1 179 2" xfId="652" xr:uid="{00000000-0005-0000-0000-00008C020000}"/>
    <cellStyle name="Estilo 1 18" xfId="653" xr:uid="{00000000-0005-0000-0000-00008D020000}"/>
    <cellStyle name="Estilo 1 18 2" xfId="654" xr:uid="{00000000-0005-0000-0000-00008E020000}"/>
    <cellStyle name="Estilo 1 18 3" xfId="655" xr:uid="{00000000-0005-0000-0000-00008F020000}"/>
    <cellStyle name="Estilo 1 18_Enlaces" xfId="656" xr:uid="{00000000-0005-0000-0000-000090020000}"/>
    <cellStyle name="Estilo 1 180" xfId="657" xr:uid="{00000000-0005-0000-0000-000091020000}"/>
    <cellStyle name="Estilo 1 180 2" xfId="658" xr:uid="{00000000-0005-0000-0000-000092020000}"/>
    <cellStyle name="Estilo 1 181" xfId="659" xr:uid="{00000000-0005-0000-0000-000093020000}"/>
    <cellStyle name="Estilo 1 181 2" xfId="660" xr:uid="{00000000-0005-0000-0000-000094020000}"/>
    <cellStyle name="Estilo 1 182" xfId="661" xr:uid="{00000000-0005-0000-0000-000095020000}"/>
    <cellStyle name="Estilo 1 182 2" xfId="662" xr:uid="{00000000-0005-0000-0000-000096020000}"/>
    <cellStyle name="Estilo 1 183" xfId="663" xr:uid="{00000000-0005-0000-0000-000097020000}"/>
    <cellStyle name="Estilo 1 183 2" xfId="664" xr:uid="{00000000-0005-0000-0000-000098020000}"/>
    <cellStyle name="Estilo 1 184" xfId="665" xr:uid="{00000000-0005-0000-0000-000099020000}"/>
    <cellStyle name="Estilo 1 184 2" xfId="666" xr:uid="{00000000-0005-0000-0000-00009A020000}"/>
    <cellStyle name="Estilo 1 185" xfId="667" xr:uid="{00000000-0005-0000-0000-00009B020000}"/>
    <cellStyle name="Estilo 1 185 2" xfId="668" xr:uid="{00000000-0005-0000-0000-00009C020000}"/>
    <cellStyle name="Estilo 1 186" xfId="669" xr:uid="{00000000-0005-0000-0000-00009D020000}"/>
    <cellStyle name="Estilo 1 186 2" xfId="670" xr:uid="{00000000-0005-0000-0000-00009E020000}"/>
    <cellStyle name="Estilo 1 187" xfId="671" xr:uid="{00000000-0005-0000-0000-00009F020000}"/>
    <cellStyle name="Estilo 1 187 2" xfId="672" xr:uid="{00000000-0005-0000-0000-0000A0020000}"/>
    <cellStyle name="Estilo 1 188" xfId="673" xr:uid="{00000000-0005-0000-0000-0000A1020000}"/>
    <cellStyle name="Estilo 1 188 2" xfId="674" xr:uid="{00000000-0005-0000-0000-0000A2020000}"/>
    <cellStyle name="Estilo 1 189" xfId="675" xr:uid="{00000000-0005-0000-0000-0000A3020000}"/>
    <cellStyle name="Estilo 1 189 2" xfId="676" xr:uid="{00000000-0005-0000-0000-0000A4020000}"/>
    <cellStyle name="Estilo 1 19" xfId="677" xr:uid="{00000000-0005-0000-0000-0000A5020000}"/>
    <cellStyle name="Estilo 1 19 2" xfId="678" xr:uid="{00000000-0005-0000-0000-0000A6020000}"/>
    <cellStyle name="Estilo 1 19 3" xfId="679" xr:uid="{00000000-0005-0000-0000-0000A7020000}"/>
    <cellStyle name="Estilo 1 19_Enlaces" xfId="680" xr:uid="{00000000-0005-0000-0000-0000A8020000}"/>
    <cellStyle name="Estilo 1 190" xfId="681" xr:uid="{00000000-0005-0000-0000-0000A9020000}"/>
    <cellStyle name="Estilo 1 190 2" xfId="682" xr:uid="{00000000-0005-0000-0000-0000AA020000}"/>
    <cellStyle name="Estilo 1 191" xfId="683" xr:uid="{00000000-0005-0000-0000-0000AB020000}"/>
    <cellStyle name="Estilo 1 191 2" xfId="684" xr:uid="{00000000-0005-0000-0000-0000AC020000}"/>
    <cellStyle name="Estilo 1 192" xfId="685" xr:uid="{00000000-0005-0000-0000-0000AD020000}"/>
    <cellStyle name="Estilo 1 192 2" xfId="686" xr:uid="{00000000-0005-0000-0000-0000AE020000}"/>
    <cellStyle name="Estilo 1 193" xfId="687" xr:uid="{00000000-0005-0000-0000-0000AF020000}"/>
    <cellStyle name="Estilo 1 193 2" xfId="688" xr:uid="{00000000-0005-0000-0000-0000B0020000}"/>
    <cellStyle name="Estilo 1 194" xfId="689" xr:uid="{00000000-0005-0000-0000-0000B1020000}"/>
    <cellStyle name="Estilo 1 194 2" xfId="690" xr:uid="{00000000-0005-0000-0000-0000B2020000}"/>
    <cellStyle name="Estilo 1 195" xfId="691" xr:uid="{00000000-0005-0000-0000-0000B3020000}"/>
    <cellStyle name="Estilo 1 195 2" xfId="692" xr:uid="{00000000-0005-0000-0000-0000B4020000}"/>
    <cellStyle name="Estilo 1 196" xfId="693" xr:uid="{00000000-0005-0000-0000-0000B5020000}"/>
    <cellStyle name="Estilo 1 196 2" xfId="694" xr:uid="{00000000-0005-0000-0000-0000B6020000}"/>
    <cellStyle name="Estilo 1 197" xfId="695" xr:uid="{00000000-0005-0000-0000-0000B7020000}"/>
    <cellStyle name="Estilo 1 197 2" xfId="696" xr:uid="{00000000-0005-0000-0000-0000B8020000}"/>
    <cellStyle name="Estilo 1 198" xfId="697" xr:uid="{00000000-0005-0000-0000-0000B9020000}"/>
    <cellStyle name="Estilo 1 198 2" xfId="698" xr:uid="{00000000-0005-0000-0000-0000BA020000}"/>
    <cellStyle name="Estilo 1 199" xfId="699" xr:uid="{00000000-0005-0000-0000-0000BB020000}"/>
    <cellStyle name="Estilo 1 199 2" xfId="700" xr:uid="{00000000-0005-0000-0000-0000BC020000}"/>
    <cellStyle name="Estilo 1 2" xfId="701" xr:uid="{00000000-0005-0000-0000-0000BD020000}"/>
    <cellStyle name="Estilo 1 2 2" xfId="702" xr:uid="{00000000-0005-0000-0000-0000BE020000}"/>
    <cellStyle name="Estilo 1 2 2 2" xfId="703" xr:uid="{00000000-0005-0000-0000-0000BF020000}"/>
    <cellStyle name="Estilo 1 2 3" xfId="704" xr:uid="{00000000-0005-0000-0000-0000C0020000}"/>
    <cellStyle name="Estilo 1 2 3 2" xfId="705" xr:uid="{00000000-0005-0000-0000-0000C1020000}"/>
    <cellStyle name="Estilo 1 2 4" xfId="706" xr:uid="{00000000-0005-0000-0000-0000C2020000}"/>
    <cellStyle name="Estilo 1 2 4 2" xfId="707" xr:uid="{00000000-0005-0000-0000-0000C3020000}"/>
    <cellStyle name="Estilo 1 2 5" xfId="708" xr:uid="{00000000-0005-0000-0000-0000C4020000}"/>
    <cellStyle name="Estilo 1 2 6" xfId="709" xr:uid="{00000000-0005-0000-0000-0000C5020000}"/>
    <cellStyle name="Estilo 1 2 7" xfId="710" xr:uid="{00000000-0005-0000-0000-0000C6020000}"/>
    <cellStyle name="Estilo 1 2 7 2" xfId="711" xr:uid="{00000000-0005-0000-0000-0000C7020000}"/>
    <cellStyle name="Estilo 1 2_Enlaces" xfId="712" xr:uid="{00000000-0005-0000-0000-0000C8020000}"/>
    <cellStyle name="Estilo 1 20" xfId="713" xr:uid="{00000000-0005-0000-0000-0000C9020000}"/>
    <cellStyle name="Estilo 1 20 2" xfId="714" xr:uid="{00000000-0005-0000-0000-0000CA020000}"/>
    <cellStyle name="Estilo 1 20 3" xfId="715" xr:uid="{00000000-0005-0000-0000-0000CB020000}"/>
    <cellStyle name="Estilo 1 20_Enlaces" xfId="716" xr:uid="{00000000-0005-0000-0000-0000CC020000}"/>
    <cellStyle name="Estilo 1 200" xfId="717" xr:uid="{00000000-0005-0000-0000-0000CD020000}"/>
    <cellStyle name="Estilo 1 200 2" xfId="718" xr:uid="{00000000-0005-0000-0000-0000CE020000}"/>
    <cellStyle name="Estilo 1 21" xfId="719" xr:uid="{00000000-0005-0000-0000-0000CF020000}"/>
    <cellStyle name="Estilo 1 21 2" xfId="720" xr:uid="{00000000-0005-0000-0000-0000D0020000}"/>
    <cellStyle name="Estilo 1 21_Enlaces" xfId="721" xr:uid="{00000000-0005-0000-0000-0000D1020000}"/>
    <cellStyle name="Estilo 1 22" xfId="722" xr:uid="{00000000-0005-0000-0000-0000D2020000}"/>
    <cellStyle name="Estilo 1 22 2" xfId="723" xr:uid="{00000000-0005-0000-0000-0000D3020000}"/>
    <cellStyle name="Estilo 1 22_Enlaces" xfId="724" xr:uid="{00000000-0005-0000-0000-0000D4020000}"/>
    <cellStyle name="Estilo 1 23" xfId="725" xr:uid="{00000000-0005-0000-0000-0000D5020000}"/>
    <cellStyle name="Estilo 1 23 2" xfId="726" xr:uid="{00000000-0005-0000-0000-0000D6020000}"/>
    <cellStyle name="Estilo 1 23_Enlaces" xfId="727" xr:uid="{00000000-0005-0000-0000-0000D7020000}"/>
    <cellStyle name="Estilo 1 24" xfId="728" xr:uid="{00000000-0005-0000-0000-0000D8020000}"/>
    <cellStyle name="Estilo 1 24 2" xfId="729" xr:uid="{00000000-0005-0000-0000-0000D9020000}"/>
    <cellStyle name="Estilo 1 24_Enlaces" xfId="730" xr:uid="{00000000-0005-0000-0000-0000DA020000}"/>
    <cellStyle name="Estilo 1 25" xfId="731" xr:uid="{00000000-0005-0000-0000-0000DB020000}"/>
    <cellStyle name="Estilo 1 25 2" xfId="732" xr:uid="{00000000-0005-0000-0000-0000DC020000}"/>
    <cellStyle name="Estilo 1 25_Enlaces" xfId="733" xr:uid="{00000000-0005-0000-0000-0000DD020000}"/>
    <cellStyle name="Estilo 1 26" xfId="734" xr:uid="{00000000-0005-0000-0000-0000DE020000}"/>
    <cellStyle name="Estilo 1 26 2" xfId="735" xr:uid="{00000000-0005-0000-0000-0000DF020000}"/>
    <cellStyle name="Estilo 1 26_Enlaces" xfId="736" xr:uid="{00000000-0005-0000-0000-0000E0020000}"/>
    <cellStyle name="Estilo 1 27" xfId="737" xr:uid="{00000000-0005-0000-0000-0000E1020000}"/>
    <cellStyle name="Estilo 1 27 2" xfId="738" xr:uid="{00000000-0005-0000-0000-0000E2020000}"/>
    <cellStyle name="Estilo 1 27_Enlaces" xfId="739" xr:uid="{00000000-0005-0000-0000-0000E3020000}"/>
    <cellStyle name="Estilo 1 28" xfId="740" xr:uid="{00000000-0005-0000-0000-0000E4020000}"/>
    <cellStyle name="Estilo 1 29" xfId="741" xr:uid="{00000000-0005-0000-0000-0000E5020000}"/>
    <cellStyle name="Estilo 1 3" xfId="742" xr:uid="{00000000-0005-0000-0000-0000E6020000}"/>
    <cellStyle name="Estilo 1 3 2" xfId="743" xr:uid="{00000000-0005-0000-0000-0000E7020000}"/>
    <cellStyle name="Estilo 1 3 3" xfId="744" xr:uid="{00000000-0005-0000-0000-0000E8020000}"/>
    <cellStyle name="Estilo 1 3_Enlaces" xfId="745" xr:uid="{00000000-0005-0000-0000-0000E9020000}"/>
    <cellStyle name="Estilo 1 30" xfId="746" xr:uid="{00000000-0005-0000-0000-0000EA020000}"/>
    <cellStyle name="Estilo 1 31" xfId="747" xr:uid="{00000000-0005-0000-0000-0000EB020000}"/>
    <cellStyle name="Estilo 1 32" xfId="748" xr:uid="{00000000-0005-0000-0000-0000EC020000}"/>
    <cellStyle name="Estilo 1 33" xfId="749" xr:uid="{00000000-0005-0000-0000-0000ED020000}"/>
    <cellStyle name="Estilo 1 34" xfId="750" xr:uid="{00000000-0005-0000-0000-0000EE020000}"/>
    <cellStyle name="Estilo 1 35" xfId="751" xr:uid="{00000000-0005-0000-0000-0000EF020000}"/>
    <cellStyle name="Estilo 1 36" xfId="752" xr:uid="{00000000-0005-0000-0000-0000F0020000}"/>
    <cellStyle name="Estilo 1 37" xfId="753" xr:uid="{00000000-0005-0000-0000-0000F1020000}"/>
    <cellStyle name="Estilo 1 38" xfId="754" xr:uid="{00000000-0005-0000-0000-0000F2020000}"/>
    <cellStyle name="Estilo 1 39" xfId="755" xr:uid="{00000000-0005-0000-0000-0000F3020000}"/>
    <cellStyle name="Estilo 1 4" xfId="756" xr:uid="{00000000-0005-0000-0000-0000F4020000}"/>
    <cellStyle name="Estilo 1 4 2" xfId="757" xr:uid="{00000000-0005-0000-0000-0000F5020000}"/>
    <cellStyle name="Estilo 1 4 3" xfId="758" xr:uid="{00000000-0005-0000-0000-0000F6020000}"/>
    <cellStyle name="Estilo 1 4_Enlaces" xfId="759" xr:uid="{00000000-0005-0000-0000-0000F7020000}"/>
    <cellStyle name="Estilo 1 40" xfId="760" xr:uid="{00000000-0005-0000-0000-0000F8020000}"/>
    <cellStyle name="Estilo 1 41" xfId="761" xr:uid="{00000000-0005-0000-0000-0000F9020000}"/>
    <cellStyle name="Estilo 1 42" xfId="762" xr:uid="{00000000-0005-0000-0000-0000FA020000}"/>
    <cellStyle name="Estilo 1 43" xfId="763" xr:uid="{00000000-0005-0000-0000-0000FB020000}"/>
    <cellStyle name="Estilo 1 44" xfId="764" xr:uid="{00000000-0005-0000-0000-0000FC020000}"/>
    <cellStyle name="Estilo 1 45" xfId="765" xr:uid="{00000000-0005-0000-0000-0000FD020000}"/>
    <cellStyle name="Estilo 1 46" xfId="766" xr:uid="{00000000-0005-0000-0000-0000FE020000}"/>
    <cellStyle name="Estilo 1 47" xfId="767" xr:uid="{00000000-0005-0000-0000-0000FF020000}"/>
    <cellStyle name="Estilo 1 48" xfId="768" xr:uid="{00000000-0005-0000-0000-000000030000}"/>
    <cellStyle name="Estilo 1 49" xfId="769" xr:uid="{00000000-0005-0000-0000-000001030000}"/>
    <cellStyle name="Estilo 1 5" xfId="770" xr:uid="{00000000-0005-0000-0000-000002030000}"/>
    <cellStyle name="Estilo 1 5 2" xfId="771" xr:uid="{00000000-0005-0000-0000-000003030000}"/>
    <cellStyle name="Estilo 1 5 3" xfId="772" xr:uid="{00000000-0005-0000-0000-000004030000}"/>
    <cellStyle name="Estilo 1 5_Enlaces" xfId="773" xr:uid="{00000000-0005-0000-0000-000005030000}"/>
    <cellStyle name="Estilo 1 50" xfId="774" xr:uid="{00000000-0005-0000-0000-000006030000}"/>
    <cellStyle name="Estilo 1 51" xfId="775" xr:uid="{00000000-0005-0000-0000-000007030000}"/>
    <cellStyle name="Estilo 1 52" xfId="776" xr:uid="{00000000-0005-0000-0000-000008030000}"/>
    <cellStyle name="Estilo 1 53" xfId="777" xr:uid="{00000000-0005-0000-0000-000009030000}"/>
    <cellStyle name="Estilo 1 54" xfId="778" xr:uid="{00000000-0005-0000-0000-00000A030000}"/>
    <cellStyle name="Estilo 1 55" xfId="779" xr:uid="{00000000-0005-0000-0000-00000B030000}"/>
    <cellStyle name="Estilo 1 56" xfId="780" xr:uid="{00000000-0005-0000-0000-00000C030000}"/>
    <cellStyle name="Estilo 1 57" xfId="781" xr:uid="{00000000-0005-0000-0000-00000D030000}"/>
    <cellStyle name="Estilo 1 57 2" xfId="782" xr:uid="{00000000-0005-0000-0000-00000E030000}"/>
    <cellStyle name="Estilo 1 57 3" xfId="783" xr:uid="{00000000-0005-0000-0000-00000F030000}"/>
    <cellStyle name="Estilo 1 57 4" xfId="784" xr:uid="{00000000-0005-0000-0000-000010030000}"/>
    <cellStyle name="Estilo 1 57 5" xfId="785" xr:uid="{00000000-0005-0000-0000-000011030000}"/>
    <cellStyle name="Estilo 1 57 6" xfId="786" xr:uid="{00000000-0005-0000-0000-000012030000}"/>
    <cellStyle name="Estilo 1 58" xfId="787" xr:uid="{00000000-0005-0000-0000-000013030000}"/>
    <cellStyle name="Estilo 1 58 2" xfId="788" xr:uid="{00000000-0005-0000-0000-000014030000}"/>
    <cellStyle name="Estilo 1 58 3" xfId="789" xr:uid="{00000000-0005-0000-0000-000015030000}"/>
    <cellStyle name="Estilo 1 58 4" xfId="790" xr:uid="{00000000-0005-0000-0000-000016030000}"/>
    <cellStyle name="Estilo 1 58 5" xfId="791" xr:uid="{00000000-0005-0000-0000-000017030000}"/>
    <cellStyle name="Estilo 1 58 6" xfId="792" xr:uid="{00000000-0005-0000-0000-000018030000}"/>
    <cellStyle name="Estilo 1 59" xfId="793" xr:uid="{00000000-0005-0000-0000-000019030000}"/>
    <cellStyle name="Estilo 1 59 2" xfId="794" xr:uid="{00000000-0005-0000-0000-00001A030000}"/>
    <cellStyle name="Estilo 1 59 3" xfId="795" xr:uid="{00000000-0005-0000-0000-00001B030000}"/>
    <cellStyle name="Estilo 1 6" xfId="796" xr:uid="{00000000-0005-0000-0000-00001C030000}"/>
    <cellStyle name="Estilo 1 6 2" xfId="797" xr:uid="{00000000-0005-0000-0000-00001D030000}"/>
    <cellStyle name="Estilo 1 6 3" xfId="798" xr:uid="{00000000-0005-0000-0000-00001E030000}"/>
    <cellStyle name="Estilo 1 6_Enlaces" xfId="799" xr:uid="{00000000-0005-0000-0000-00001F030000}"/>
    <cellStyle name="Estilo 1 60" xfId="800" xr:uid="{00000000-0005-0000-0000-000020030000}"/>
    <cellStyle name="Estilo 1 60 2" xfId="801" xr:uid="{00000000-0005-0000-0000-000021030000}"/>
    <cellStyle name="Estilo 1 60 3" xfId="802" xr:uid="{00000000-0005-0000-0000-000022030000}"/>
    <cellStyle name="Estilo 1 61" xfId="803" xr:uid="{00000000-0005-0000-0000-000023030000}"/>
    <cellStyle name="Estilo 1 61 2" xfId="804" xr:uid="{00000000-0005-0000-0000-000024030000}"/>
    <cellStyle name="Estilo 1 61 3" xfId="805" xr:uid="{00000000-0005-0000-0000-000025030000}"/>
    <cellStyle name="Estilo 1 62" xfId="806" xr:uid="{00000000-0005-0000-0000-000026030000}"/>
    <cellStyle name="Estilo 1 62 2" xfId="807" xr:uid="{00000000-0005-0000-0000-000027030000}"/>
    <cellStyle name="Estilo 1 62 3" xfId="808" xr:uid="{00000000-0005-0000-0000-000028030000}"/>
    <cellStyle name="Estilo 1 63" xfId="809" xr:uid="{00000000-0005-0000-0000-000029030000}"/>
    <cellStyle name="Estilo 1 63 2" xfId="810" xr:uid="{00000000-0005-0000-0000-00002A030000}"/>
    <cellStyle name="Estilo 1 63 3" xfId="811" xr:uid="{00000000-0005-0000-0000-00002B030000}"/>
    <cellStyle name="Estilo 1 64" xfId="812" xr:uid="{00000000-0005-0000-0000-00002C030000}"/>
    <cellStyle name="Estilo 1 64 2" xfId="813" xr:uid="{00000000-0005-0000-0000-00002D030000}"/>
    <cellStyle name="Estilo 1 64 3" xfId="814" xr:uid="{00000000-0005-0000-0000-00002E030000}"/>
    <cellStyle name="Estilo 1 65" xfId="815" xr:uid="{00000000-0005-0000-0000-00002F030000}"/>
    <cellStyle name="Estilo 1 65 2" xfId="816" xr:uid="{00000000-0005-0000-0000-000030030000}"/>
    <cellStyle name="Estilo 1 65 3" xfId="817" xr:uid="{00000000-0005-0000-0000-000031030000}"/>
    <cellStyle name="Estilo 1 66" xfId="818" xr:uid="{00000000-0005-0000-0000-000032030000}"/>
    <cellStyle name="Estilo 1 66 2" xfId="819" xr:uid="{00000000-0005-0000-0000-000033030000}"/>
    <cellStyle name="Estilo 1 66 3" xfId="820" xr:uid="{00000000-0005-0000-0000-000034030000}"/>
    <cellStyle name="Estilo 1 67" xfId="821" xr:uid="{00000000-0005-0000-0000-000035030000}"/>
    <cellStyle name="Estilo 1 67 2" xfId="822" xr:uid="{00000000-0005-0000-0000-000036030000}"/>
    <cellStyle name="Estilo 1 67 3" xfId="823" xr:uid="{00000000-0005-0000-0000-000037030000}"/>
    <cellStyle name="Estilo 1 68" xfId="824" xr:uid="{00000000-0005-0000-0000-000038030000}"/>
    <cellStyle name="Estilo 1 68 2" xfId="825" xr:uid="{00000000-0005-0000-0000-000039030000}"/>
    <cellStyle name="Estilo 1 68 3" xfId="826" xr:uid="{00000000-0005-0000-0000-00003A030000}"/>
    <cellStyle name="Estilo 1 69" xfId="827" xr:uid="{00000000-0005-0000-0000-00003B030000}"/>
    <cellStyle name="Estilo 1 69 2" xfId="828" xr:uid="{00000000-0005-0000-0000-00003C030000}"/>
    <cellStyle name="Estilo 1 69 3" xfId="829" xr:uid="{00000000-0005-0000-0000-00003D030000}"/>
    <cellStyle name="Estilo 1 7" xfId="830" xr:uid="{00000000-0005-0000-0000-00003E030000}"/>
    <cellStyle name="Estilo 1 7 2" xfId="831" xr:uid="{00000000-0005-0000-0000-00003F030000}"/>
    <cellStyle name="Estilo 1 7 3" xfId="832" xr:uid="{00000000-0005-0000-0000-000040030000}"/>
    <cellStyle name="Estilo 1 7_Enlaces" xfId="833" xr:uid="{00000000-0005-0000-0000-000041030000}"/>
    <cellStyle name="Estilo 1 70" xfId="834" xr:uid="{00000000-0005-0000-0000-000042030000}"/>
    <cellStyle name="Estilo 1 70 2" xfId="835" xr:uid="{00000000-0005-0000-0000-000043030000}"/>
    <cellStyle name="Estilo 1 70 3" xfId="836" xr:uid="{00000000-0005-0000-0000-000044030000}"/>
    <cellStyle name="Estilo 1 71" xfId="837" xr:uid="{00000000-0005-0000-0000-000045030000}"/>
    <cellStyle name="Estilo 1 71 2" xfId="838" xr:uid="{00000000-0005-0000-0000-000046030000}"/>
    <cellStyle name="Estilo 1 71 3" xfId="839" xr:uid="{00000000-0005-0000-0000-000047030000}"/>
    <cellStyle name="Estilo 1 72" xfId="840" xr:uid="{00000000-0005-0000-0000-000048030000}"/>
    <cellStyle name="Estilo 1 72 2" xfId="841" xr:uid="{00000000-0005-0000-0000-000049030000}"/>
    <cellStyle name="Estilo 1 72 3" xfId="842" xr:uid="{00000000-0005-0000-0000-00004A030000}"/>
    <cellStyle name="Estilo 1 73" xfId="843" xr:uid="{00000000-0005-0000-0000-00004B030000}"/>
    <cellStyle name="Estilo 1 73 2" xfId="844" xr:uid="{00000000-0005-0000-0000-00004C030000}"/>
    <cellStyle name="Estilo 1 73 3" xfId="845" xr:uid="{00000000-0005-0000-0000-00004D030000}"/>
    <cellStyle name="Estilo 1 74" xfId="846" xr:uid="{00000000-0005-0000-0000-00004E030000}"/>
    <cellStyle name="Estilo 1 74 2" xfId="847" xr:uid="{00000000-0005-0000-0000-00004F030000}"/>
    <cellStyle name="Estilo 1 74 3" xfId="848" xr:uid="{00000000-0005-0000-0000-000050030000}"/>
    <cellStyle name="Estilo 1 75" xfId="849" xr:uid="{00000000-0005-0000-0000-000051030000}"/>
    <cellStyle name="Estilo 1 75 2" xfId="850" xr:uid="{00000000-0005-0000-0000-000052030000}"/>
    <cellStyle name="Estilo 1 75 3" xfId="851" xr:uid="{00000000-0005-0000-0000-000053030000}"/>
    <cellStyle name="Estilo 1 76" xfId="852" xr:uid="{00000000-0005-0000-0000-000054030000}"/>
    <cellStyle name="Estilo 1 76 2" xfId="853" xr:uid="{00000000-0005-0000-0000-000055030000}"/>
    <cellStyle name="Estilo 1 76 3" xfId="854" xr:uid="{00000000-0005-0000-0000-000056030000}"/>
    <cellStyle name="Estilo 1 77" xfId="855" xr:uid="{00000000-0005-0000-0000-000057030000}"/>
    <cellStyle name="Estilo 1 77 2" xfId="856" xr:uid="{00000000-0005-0000-0000-000058030000}"/>
    <cellStyle name="Estilo 1 77 3" xfId="857" xr:uid="{00000000-0005-0000-0000-000059030000}"/>
    <cellStyle name="Estilo 1 78" xfId="858" xr:uid="{00000000-0005-0000-0000-00005A030000}"/>
    <cellStyle name="Estilo 1 78 2" xfId="859" xr:uid="{00000000-0005-0000-0000-00005B030000}"/>
    <cellStyle name="Estilo 1 78 3" xfId="860" xr:uid="{00000000-0005-0000-0000-00005C030000}"/>
    <cellStyle name="Estilo 1 79" xfId="861" xr:uid="{00000000-0005-0000-0000-00005D030000}"/>
    <cellStyle name="Estilo 1 79 2" xfId="862" xr:uid="{00000000-0005-0000-0000-00005E030000}"/>
    <cellStyle name="Estilo 1 79 3" xfId="863" xr:uid="{00000000-0005-0000-0000-00005F030000}"/>
    <cellStyle name="Estilo 1 8" xfId="864" xr:uid="{00000000-0005-0000-0000-000060030000}"/>
    <cellStyle name="Estilo 1 8 2" xfId="865" xr:uid="{00000000-0005-0000-0000-000061030000}"/>
    <cellStyle name="Estilo 1 8 3" xfId="866" xr:uid="{00000000-0005-0000-0000-000062030000}"/>
    <cellStyle name="Estilo 1 8_Enlaces" xfId="867" xr:uid="{00000000-0005-0000-0000-000063030000}"/>
    <cellStyle name="Estilo 1 80" xfId="868" xr:uid="{00000000-0005-0000-0000-000064030000}"/>
    <cellStyle name="Estilo 1 80 2" xfId="869" xr:uid="{00000000-0005-0000-0000-000065030000}"/>
    <cellStyle name="Estilo 1 80 3" xfId="870" xr:uid="{00000000-0005-0000-0000-000066030000}"/>
    <cellStyle name="Estilo 1 81" xfId="871" xr:uid="{00000000-0005-0000-0000-000067030000}"/>
    <cellStyle name="Estilo 1 81 2" xfId="872" xr:uid="{00000000-0005-0000-0000-000068030000}"/>
    <cellStyle name="Estilo 1 81 3" xfId="873" xr:uid="{00000000-0005-0000-0000-000069030000}"/>
    <cellStyle name="Estilo 1 82" xfId="874" xr:uid="{00000000-0005-0000-0000-00006A030000}"/>
    <cellStyle name="Estilo 1 82 2" xfId="875" xr:uid="{00000000-0005-0000-0000-00006B030000}"/>
    <cellStyle name="Estilo 1 82 3" xfId="876" xr:uid="{00000000-0005-0000-0000-00006C030000}"/>
    <cellStyle name="Estilo 1 83" xfId="877" xr:uid="{00000000-0005-0000-0000-00006D030000}"/>
    <cellStyle name="Estilo 1 84" xfId="878" xr:uid="{00000000-0005-0000-0000-00006E030000}"/>
    <cellStyle name="Estilo 1 85" xfId="879" xr:uid="{00000000-0005-0000-0000-00006F030000}"/>
    <cellStyle name="Estilo 1 86" xfId="880" xr:uid="{00000000-0005-0000-0000-000070030000}"/>
    <cellStyle name="Estilo 1 87" xfId="881" xr:uid="{00000000-0005-0000-0000-000071030000}"/>
    <cellStyle name="Estilo 1 88" xfId="882" xr:uid="{00000000-0005-0000-0000-000072030000}"/>
    <cellStyle name="Estilo 1 89" xfId="883" xr:uid="{00000000-0005-0000-0000-000073030000}"/>
    <cellStyle name="Estilo 1 9" xfId="884" xr:uid="{00000000-0005-0000-0000-000074030000}"/>
    <cellStyle name="Estilo 1 9 2" xfId="885" xr:uid="{00000000-0005-0000-0000-000075030000}"/>
    <cellStyle name="Estilo 1 9 3" xfId="886" xr:uid="{00000000-0005-0000-0000-000076030000}"/>
    <cellStyle name="Estilo 1 9_Enlaces" xfId="887" xr:uid="{00000000-0005-0000-0000-000077030000}"/>
    <cellStyle name="Estilo 1 90" xfId="888" xr:uid="{00000000-0005-0000-0000-000078030000}"/>
    <cellStyle name="Estilo 1 90 2" xfId="889" xr:uid="{00000000-0005-0000-0000-000079030000}"/>
    <cellStyle name="Estilo 1 91" xfId="890" xr:uid="{00000000-0005-0000-0000-00007A030000}"/>
    <cellStyle name="Estilo 1 91 2" xfId="891" xr:uid="{00000000-0005-0000-0000-00007B030000}"/>
    <cellStyle name="Estilo 1 92" xfId="892" xr:uid="{00000000-0005-0000-0000-00007C030000}"/>
    <cellStyle name="Estilo 1 92 2" xfId="893" xr:uid="{00000000-0005-0000-0000-00007D030000}"/>
    <cellStyle name="Estilo 1 93" xfId="894" xr:uid="{00000000-0005-0000-0000-00007E030000}"/>
    <cellStyle name="Estilo 1 93 2" xfId="895" xr:uid="{00000000-0005-0000-0000-00007F030000}"/>
    <cellStyle name="Estilo 1 94" xfId="896" xr:uid="{00000000-0005-0000-0000-000080030000}"/>
    <cellStyle name="Estilo 1 94 2" xfId="897" xr:uid="{00000000-0005-0000-0000-000081030000}"/>
    <cellStyle name="Estilo 1 95" xfId="898" xr:uid="{00000000-0005-0000-0000-000082030000}"/>
    <cellStyle name="Estilo 1 95 2" xfId="899" xr:uid="{00000000-0005-0000-0000-000083030000}"/>
    <cellStyle name="Estilo 1 96" xfId="900" xr:uid="{00000000-0005-0000-0000-000084030000}"/>
    <cellStyle name="Estilo 1 96 2" xfId="901" xr:uid="{00000000-0005-0000-0000-000085030000}"/>
    <cellStyle name="Estilo 1 97" xfId="902" xr:uid="{00000000-0005-0000-0000-000086030000}"/>
    <cellStyle name="Estilo 1 97 2" xfId="903" xr:uid="{00000000-0005-0000-0000-000087030000}"/>
    <cellStyle name="Estilo 1 98" xfId="904" xr:uid="{00000000-0005-0000-0000-000088030000}"/>
    <cellStyle name="Estilo 1 98 2" xfId="905" xr:uid="{00000000-0005-0000-0000-000089030000}"/>
    <cellStyle name="Estilo 1 99" xfId="906" xr:uid="{00000000-0005-0000-0000-00008A030000}"/>
    <cellStyle name="Estilo 1 99 2" xfId="907" xr:uid="{00000000-0005-0000-0000-00008B030000}"/>
    <cellStyle name="Estilo 1_Enlaces" xfId="908" xr:uid="{00000000-0005-0000-0000-00008C030000}"/>
    <cellStyle name="Euro" xfId="909" xr:uid="{00000000-0005-0000-0000-00008D030000}"/>
    <cellStyle name="Euro 10" xfId="910" xr:uid="{00000000-0005-0000-0000-00008E030000}"/>
    <cellStyle name="Euro 11" xfId="911" xr:uid="{00000000-0005-0000-0000-00008F030000}"/>
    <cellStyle name="Euro 12" xfId="912" xr:uid="{00000000-0005-0000-0000-000090030000}"/>
    <cellStyle name="Euro 13" xfId="913" xr:uid="{00000000-0005-0000-0000-000091030000}"/>
    <cellStyle name="Euro 14" xfId="914" xr:uid="{00000000-0005-0000-0000-000092030000}"/>
    <cellStyle name="Euro 15" xfId="915" xr:uid="{00000000-0005-0000-0000-000093030000}"/>
    <cellStyle name="Euro 16" xfId="916" xr:uid="{00000000-0005-0000-0000-000094030000}"/>
    <cellStyle name="Euro 17" xfId="917" xr:uid="{00000000-0005-0000-0000-000095030000}"/>
    <cellStyle name="Euro 18" xfId="918" xr:uid="{00000000-0005-0000-0000-000096030000}"/>
    <cellStyle name="Euro 19" xfId="919" xr:uid="{00000000-0005-0000-0000-000097030000}"/>
    <cellStyle name="Euro 2" xfId="920" xr:uid="{00000000-0005-0000-0000-000098030000}"/>
    <cellStyle name="Euro 2 2" xfId="921" xr:uid="{00000000-0005-0000-0000-000099030000}"/>
    <cellStyle name="Euro 20" xfId="922" xr:uid="{00000000-0005-0000-0000-00009A030000}"/>
    <cellStyle name="Euro 21" xfId="923" xr:uid="{00000000-0005-0000-0000-00009B030000}"/>
    <cellStyle name="Euro 3" xfId="924" xr:uid="{00000000-0005-0000-0000-00009C030000}"/>
    <cellStyle name="Euro 4" xfId="925" xr:uid="{00000000-0005-0000-0000-00009D030000}"/>
    <cellStyle name="Euro 5" xfId="926" xr:uid="{00000000-0005-0000-0000-00009E030000}"/>
    <cellStyle name="Euro 6" xfId="927" xr:uid="{00000000-0005-0000-0000-00009F030000}"/>
    <cellStyle name="Euro 7" xfId="928" xr:uid="{00000000-0005-0000-0000-0000A0030000}"/>
    <cellStyle name="Euro 8" xfId="929" xr:uid="{00000000-0005-0000-0000-0000A1030000}"/>
    <cellStyle name="Euro 9" xfId="930" xr:uid="{00000000-0005-0000-0000-0000A2030000}"/>
    <cellStyle name="Excel Built-in Normal" xfId="4" xr:uid="{00000000-0005-0000-0000-000004000000}"/>
    <cellStyle name="Excel Built-in Normal 2" xfId="931" xr:uid="{00000000-0005-0000-0000-0000A3030000}"/>
    <cellStyle name="Excel Built-in Normal 2 2" xfId="932" xr:uid="{00000000-0005-0000-0000-0000A4030000}"/>
    <cellStyle name="Excel Built-in Normal 3" xfId="933" xr:uid="{00000000-0005-0000-0000-0000A5030000}"/>
    <cellStyle name="Explanatory Text" xfId="934" xr:uid="{00000000-0005-0000-0000-0000A6030000}"/>
    <cellStyle name="Explanatory Text 2" xfId="935" xr:uid="{00000000-0005-0000-0000-0000A7030000}"/>
    <cellStyle name="Explanatory Text 3" xfId="936" xr:uid="{00000000-0005-0000-0000-0000A8030000}"/>
    <cellStyle name="Explanatory Text 4" xfId="937" xr:uid="{00000000-0005-0000-0000-0000A9030000}"/>
    <cellStyle name="Explanatory Text 5" xfId="938" xr:uid="{00000000-0005-0000-0000-0000AA030000}"/>
    <cellStyle name="Good" xfId="939" xr:uid="{00000000-0005-0000-0000-0000AB030000}"/>
    <cellStyle name="Good 2" xfId="940" xr:uid="{00000000-0005-0000-0000-0000AC030000}"/>
    <cellStyle name="Good 3" xfId="941" xr:uid="{00000000-0005-0000-0000-0000AD030000}"/>
    <cellStyle name="Good 4" xfId="942" xr:uid="{00000000-0005-0000-0000-0000AE030000}"/>
    <cellStyle name="Good 5" xfId="943" xr:uid="{00000000-0005-0000-0000-0000AF030000}"/>
    <cellStyle name="Heading 1" xfId="944" xr:uid="{00000000-0005-0000-0000-0000B0030000}"/>
    <cellStyle name="Heading 1 2" xfId="945" xr:uid="{00000000-0005-0000-0000-0000B1030000}"/>
    <cellStyle name="Heading 1 3" xfId="946" xr:uid="{00000000-0005-0000-0000-0000B2030000}"/>
    <cellStyle name="Heading 1 4" xfId="947" xr:uid="{00000000-0005-0000-0000-0000B3030000}"/>
    <cellStyle name="Heading 1 5" xfId="948" xr:uid="{00000000-0005-0000-0000-0000B4030000}"/>
    <cellStyle name="Heading 2" xfId="949" xr:uid="{00000000-0005-0000-0000-0000B5030000}"/>
    <cellStyle name="Heading 2 2" xfId="950" xr:uid="{00000000-0005-0000-0000-0000B6030000}"/>
    <cellStyle name="Heading 2 3" xfId="951" xr:uid="{00000000-0005-0000-0000-0000B7030000}"/>
    <cellStyle name="Heading 2 4" xfId="952" xr:uid="{00000000-0005-0000-0000-0000B8030000}"/>
    <cellStyle name="Heading 2 5" xfId="953" xr:uid="{00000000-0005-0000-0000-0000B9030000}"/>
    <cellStyle name="Heading 3" xfId="954" xr:uid="{00000000-0005-0000-0000-0000BA030000}"/>
    <cellStyle name="Heading 3 2" xfId="955" xr:uid="{00000000-0005-0000-0000-0000BB030000}"/>
    <cellStyle name="Heading 3 3" xfId="956" xr:uid="{00000000-0005-0000-0000-0000BC030000}"/>
    <cellStyle name="Heading 3 4" xfId="957" xr:uid="{00000000-0005-0000-0000-0000BD030000}"/>
    <cellStyle name="Heading 3 5" xfId="958" xr:uid="{00000000-0005-0000-0000-0000BE030000}"/>
    <cellStyle name="Heading 4" xfId="959" xr:uid="{00000000-0005-0000-0000-0000BF030000}"/>
    <cellStyle name="Heading 4 2" xfId="960" xr:uid="{00000000-0005-0000-0000-0000C0030000}"/>
    <cellStyle name="Heading 4 3" xfId="961" xr:uid="{00000000-0005-0000-0000-0000C1030000}"/>
    <cellStyle name="Heading 4 4" xfId="962" xr:uid="{00000000-0005-0000-0000-0000C2030000}"/>
    <cellStyle name="Heading 4 5" xfId="963" xr:uid="{00000000-0005-0000-0000-0000C3030000}"/>
    <cellStyle name="Hipervínculo 2" xfId="964" xr:uid="{00000000-0005-0000-0000-0000C4030000}"/>
    <cellStyle name="Hipervínculo 2 2" xfId="965" xr:uid="{00000000-0005-0000-0000-0000C5030000}"/>
    <cellStyle name="Hipervínculo 3" xfId="966" xr:uid="{00000000-0005-0000-0000-0000C6030000}"/>
    <cellStyle name="Hipervínculo 3 2" xfId="967" xr:uid="{00000000-0005-0000-0000-0000C7030000}"/>
    <cellStyle name="Hipervínculo 4" xfId="968" xr:uid="{00000000-0005-0000-0000-0000C8030000}"/>
    <cellStyle name="Hipervínculo 5" xfId="969" xr:uid="{00000000-0005-0000-0000-0000C9030000}"/>
    <cellStyle name="Hipervínculo 6" xfId="970" xr:uid="{00000000-0005-0000-0000-0000CA030000}"/>
    <cellStyle name="Incorrecto 2" xfId="971" xr:uid="{00000000-0005-0000-0000-0000CB030000}"/>
    <cellStyle name="Incorrecto 2 2" xfId="972" xr:uid="{00000000-0005-0000-0000-0000CC030000}"/>
    <cellStyle name="Incorrecto 3" xfId="973" xr:uid="{00000000-0005-0000-0000-0000CD030000}"/>
    <cellStyle name="Incorrecto 4" xfId="974" xr:uid="{00000000-0005-0000-0000-0000CE030000}"/>
    <cellStyle name="Incorrecto 5" xfId="975" xr:uid="{00000000-0005-0000-0000-0000CF030000}"/>
    <cellStyle name="Incorrecto 6" xfId="976" xr:uid="{00000000-0005-0000-0000-0000D0030000}"/>
    <cellStyle name="Incorrecto 7" xfId="977" xr:uid="{00000000-0005-0000-0000-0000D1030000}"/>
    <cellStyle name="Incorrecto 8" xfId="978" xr:uid="{00000000-0005-0000-0000-0000D2030000}"/>
    <cellStyle name="Input" xfId="979" xr:uid="{00000000-0005-0000-0000-0000D3030000}"/>
    <cellStyle name="Input 2" xfId="980" xr:uid="{00000000-0005-0000-0000-0000D4030000}"/>
    <cellStyle name="Input 3" xfId="981" xr:uid="{00000000-0005-0000-0000-0000D5030000}"/>
    <cellStyle name="Input 4" xfId="982" xr:uid="{00000000-0005-0000-0000-0000D6030000}"/>
    <cellStyle name="Input 5" xfId="983" xr:uid="{00000000-0005-0000-0000-0000D7030000}"/>
    <cellStyle name="Linked Cell" xfId="984" xr:uid="{00000000-0005-0000-0000-0000D8030000}"/>
    <cellStyle name="Linked Cell 2" xfId="985" xr:uid="{00000000-0005-0000-0000-0000D9030000}"/>
    <cellStyle name="Linked Cell 3" xfId="986" xr:uid="{00000000-0005-0000-0000-0000DA030000}"/>
    <cellStyle name="Linked Cell 4" xfId="987" xr:uid="{00000000-0005-0000-0000-0000DB030000}"/>
    <cellStyle name="Linked Cell 5" xfId="988" xr:uid="{00000000-0005-0000-0000-0000DC030000}"/>
    <cellStyle name="Millares 10" xfId="989" xr:uid="{00000000-0005-0000-0000-0000DD030000}"/>
    <cellStyle name="Millares 10 10" xfId="990" xr:uid="{00000000-0005-0000-0000-0000DE030000}"/>
    <cellStyle name="Millares 10 11" xfId="991" xr:uid="{00000000-0005-0000-0000-0000DF030000}"/>
    <cellStyle name="Millares 10 12" xfId="992" xr:uid="{00000000-0005-0000-0000-0000E0030000}"/>
    <cellStyle name="Millares 10 13" xfId="993" xr:uid="{00000000-0005-0000-0000-0000E1030000}"/>
    <cellStyle name="Millares 10 14" xfId="994" xr:uid="{00000000-0005-0000-0000-0000E2030000}"/>
    <cellStyle name="Millares 10 15" xfId="995" xr:uid="{00000000-0005-0000-0000-0000E3030000}"/>
    <cellStyle name="Millares 10 16" xfId="996" xr:uid="{00000000-0005-0000-0000-0000E4030000}"/>
    <cellStyle name="Millares 10 17" xfId="997" xr:uid="{00000000-0005-0000-0000-0000E5030000}"/>
    <cellStyle name="Millares 10 18" xfId="998" xr:uid="{00000000-0005-0000-0000-0000E6030000}"/>
    <cellStyle name="Millares 10 19" xfId="999" xr:uid="{00000000-0005-0000-0000-0000E7030000}"/>
    <cellStyle name="Millares 10 2" xfId="1000" xr:uid="{00000000-0005-0000-0000-0000E8030000}"/>
    <cellStyle name="Millares 10 2 2" xfId="1001" xr:uid="{00000000-0005-0000-0000-0000E9030000}"/>
    <cellStyle name="Millares 10 2 3" xfId="1002" xr:uid="{00000000-0005-0000-0000-0000EA030000}"/>
    <cellStyle name="Millares 10 20" xfId="1003" xr:uid="{00000000-0005-0000-0000-0000EB030000}"/>
    <cellStyle name="Millares 10 21" xfId="1004" xr:uid="{00000000-0005-0000-0000-0000EC030000}"/>
    <cellStyle name="Millares 10 22" xfId="1005" xr:uid="{00000000-0005-0000-0000-0000ED030000}"/>
    <cellStyle name="Millares 10 23" xfId="1006" xr:uid="{00000000-0005-0000-0000-0000EE030000}"/>
    <cellStyle name="Millares 10 24" xfId="1007" xr:uid="{00000000-0005-0000-0000-0000EF030000}"/>
    <cellStyle name="Millares 10 25" xfId="1008" xr:uid="{00000000-0005-0000-0000-0000F0030000}"/>
    <cellStyle name="Millares 10 3" xfId="1009" xr:uid="{00000000-0005-0000-0000-0000F1030000}"/>
    <cellStyle name="Millares 10 3 2" xfId="1010" xr:uid="{00000000-0005-0000-0000-0000F2030000}"/>
    <cellStyle name="Millares 10 3 3" xfId="1011" xr:uid="{00000000-0005-0000-0000-0000F3030000}"/>
    <cellStyle name="Millares 10 4" xfId="1012" xr:uid="{00000000-0005-0000-0000-0000F4030000}"/>
    <cellStyle name="Millares 10 5" xfId="1013" xr:uid="{00000000-0005-0000-0000-0000F5030000}"/>
    <cellStyle name="Millares 10 6" xfId="1014" xr:uid="{00000000-0005-0000-0000-0000F6030000}"/>
    <cellStyle name="Millares 10 7" xfId="1015" xr:uid="{00000000-0005-0000-0000-0000F7030000}"/>
    <cellStyle name="Millares 10 8" xfId="1016" xr:uid="{00000000-0005-0000-0000-0000F8030000}"/>
    <cellStyle name="Millares 10 9" xfId="1017" xr:uid="{00000000-0005-0000-0000-0000F9030000}"/>
    <cellStyle name="Millares 11" xfId="1018" xr:uid="{00000000-0005-0000-0000-0000FA030000}"/>
    <cellStyle name="Millares 11 2" xfId="1019" xr:uid="{00000000-0005-0000-0000-0000FB030000}"/>
    <cellStyle name="Millares 12" xfId="1020" xr:uid="{00000000-0005-0000-0000-0000FC030000}"/>
    <cellStyle name="Millares 12 2" xfId="1021" xr:uid="{00000000-0005-0000-0000-0000FD030000}"/>
    <cellStyle name="Millares 13" xfId="1022" xr:uid="{00000000-0005-0000-0000-0000FE030000}"/>
    <cellStyle name="Millares 13 2" xfId="1023" xr:uid="{00000000-0005-0000-0000-0000FF030000}"/>
    <cellStyle name="Millares 14" xfId="1024" xr:uid="{00000000-0005-0000-0000-000000040000}"/>
    <cellStyle name="Millares 15" xfId="1025" xr:uid="{00000000-0005-0000-0000-000001040000}"/>
    <cellStyle name="Millares 15 2" xfId="1026" xr:uid="{00000000-0005-0000-0000-000002040000}"/>
    <cellStyle name="Millares 16" xfId="1027" xr:uid="{00000000-0005-0000-0000-000003040000}"/>
    <cellStyle name="Millares 16 2" xfId="1028" xr:uid="{00000000-0005-0000-0000-000004040000}"/>
    <cellStyle name="Millares 17" xfId="1029" xr:uid="{00000000-0005-0000-0000-000005040000}"/>
    <cellStyle name="Millares 17 2" xfId="1030" xr:uid="{00000000-0005-0000-0000-000006040000}"/>
    <cellStyle name="Millares 18" xfId="1031" xr:uid="{00000000-0005-0000-0000-000007040000}"/>
    <cellStyle name="Millares 19" xfId="1032" xr:uid="{00000000-0005-0000-0000-000008040000}"/>
    <cellStyle name="Millares 19 2" xfId="1033" xr:uid="{00000000-0005-0000-0000-000009040000}"/>
    <cellStyle name="Millares 19 3" xfId="1034" xr:uid="{00000000-0005-0000-0000-00000A040000}"/>
    <cellStyle name="Millares 2" xfId="3" xr:uid="{00000000-0005-0000-0000-000003000000}"/>
    <cellStyle name="Millares 2 10" xfId="1035" xr:uid="{00000000-0005-0000-0000-00000B040000}"/>
    <cellStyle name="Millares 2 10 2" xfId="1036" xr:uid="{00000000-0005-0000-0000-00000C040000}"/>
    <cellStyle name="Millares 2 10 3" xfId="1037" xr:uid="{00000000-0005-0000-0000-00000D040000}"/>
    <cellStyle name="Millares 2 11" xfId="1038" xr:uid="{00000000-0005-0000-0000-00000E040000}"/>
    <cellStyle name="Millares 2 12" xfId="1039" xr:uid="{00000000-0005-0000-0000-00000F040000}"/>
    <cellStyle name="Millares 2 13" xfId="1040" xr:uid="{00000000-0005-0000-0000-000010040000}"/>
    <cellStyle name="Millares 2 13 2" xfId="1041" xr:uid="{00000000-0005-0000-0000-000011040000}"/>
    <cellStyle name="Millares 2 13 2 2" xfId="1042" xr:uid="{00000000-0005-0000-0000-000012040000}"/>
    <cellStyle name="Millares 2 14" xfId="1043" xr:uid="{00000000-0005-0000-0000-000013040000}"/>
    <cellStyle name="Millares 2 14 2" xfId="1044" xr:uid="{00000000-0005-0000-0000-000014040000}"/>
    <cellStyle name="Millares 2 14 3" xfId="1045" xr:uid="{00000000-0005-0000-0000-000015040000}"/>
    <cellStyle name="Millares 2 15" xfId="1046" xr:uid="{00000000-0005-0000-0000-000016040000}"/>
    <cellStyle name="Millares 2 15 2" xfId="1047" xr:uid="{00000000-0005-0000-0000-000017040000}"/>
    <cellStyle name="Millares 2 15 3" xfId="1048" xr:uid="{00000000-0005-0000-0000-000018040000}"/>
    <cellStyle name="Millares 2 16" xfId="1049" xr:uid="{00000000-0005-0000-0000-000019040000}"/>
    <cellStyle name="Millares 2 16 2" xfId="1050" xr:uid="{00000000-0005-0000-0000-00001A040000}"/>
    <cellStyle name="Millares 2 17" xfId="1051" xr:uid="{00000000-0005-0000-0000-00001B040000}"/>
    <cellStyle name="Millares 2 17 2" xfId="1052" xr:uid="{00000000-0005-0000-0000-00001C040000}"/>
    <cellStyle name="Millares 2 18" xfId="1053" xr:uid="{00000000-0005-0000-0000-00001D040000}"/>
    <cellStyle name="Millares 2 19" xfId="1054" xr:uid="{00000000-0005-0000-0000-00001E040000}"/>
    <cellStyle name="Millares 2 2" xfId="1055" xr:uid="{00000000-0005-0000-0000-00001F040000}"/>
    <cellStyle name="Millares 2 2 10" xfId="1056" xr:uid="{00000000-0005-0000-0000-000020040000}"/>
    <cellStyle name="Millares 2 2 11" xfId="1057" xr:uid="{00000000-0005-0000-0000-000021040000}"/>
    <cellStyle name="Millares 2 2 12" xfId="1058" xr:uid="{00000000-0005-0000-0000-000022040000}"/>
    <cellStyle name="Millares 2 2 13" xfId="1059" xr:uid="{00000000-0005-0000-0000-000023040000}"/>
    <cellStyle name="Millares 2 2 14" xfId="1060" xr:uid="{00000000-0005-0000-0000-000024040000}"/>
    <cellStyle name="Millares 2 2 15" xfId="1061" xr:uid="{00000000-0005-0000-0000-000025040000}"/>
    <cellStyle name="Millares 2 2 16" xfId="1062" xr:uid="{00000000-0005-0000-0000-000026040000}"/>
    <cellStyle name="Millares 2 2 17" xfId="1063" xr:uid="{00000000-0005-0000-0000-000027040000}"/>
    <cellStyle name="Millares 2 2 18" xfId="1064" xr:uid="{00000000-0005-0000-0000-000028040000}"/>
    <cellStyle name="Millares 2 2 19" xfId="1065" xr:uid="{00000000-0005-0000-0000-000029040000}"/>
    <cellStyle name="Millares 2 2 2" xfId="1066" xr:uid="{00000000-0005-0000-0000-00002A040000}"/>
    <cellStyle name="Millares 2 2 2 10" xfId="1067" xr:uid="{00000000-0005-0000-0000-00002B040000}"/>
    <cellStyle name="Millares 2 2 2 11" xfId="1068" xr:uid="{00000000-0005-0000-0000-00002C040000}"/>
    <cellStyle name="Millares 2 2 2 12" xfId="1069" xr:uid="{00000000-0005-0000-0000-00002D040000}"/>
    <cellStyle name="Millares 2 2 2 13" xfId="1070" xr:uid="{00000000-0005-0000-0000-00002E040000}"/>
    <cellStyle name="Millares 2 2 2 14" xfId="1071" xr:uid="{00000000-0005-0000-0000-00002F040000}"/>
    <cellStyle name="Millares 2 2 2 15" xfId="1072" xr:uid="{00000000-0005-0000-0000-000030040000}"/>
    <cellStyle name="Millares 2 2 2 16" xfId="1073" xr:uid="{00000000-0005-0000-0000-000031040000}"/>
    <cellStyle name="Millares 2 2 2 17" xfId="1074" xr:uid="{00000000-0005-0000-0000-000032040000}"/>
    <cellStyle name="Millares 2 2 2 18" xfId="1075" xr:uid="{00000000-0005-0000-0000-000033040000}"/>
    <cellStyle name="Millares 2 2 2 19" xfId="1076" xr:uid="{00000000-0005-0000-0000-000034040000}"/>
    <cellStyle name="Millares 2 2 2 2" xfId="1077" xr:uid="{00000000-0005-0000-0000-000035040000}"/>
    <cellStyle name="Millares 2 2 2 2 10" xfId="1078" xr:uid="{00000000-0005-0000-0000-000036040000}"/>
    <cellStyle name="Millares 2 2 2 2 11" xfId="1079" xr:uid="{00000000-0005-0000-0000-000037040000}"/>
    <cellStyle name="Millares 2 2 2 2 12" xfId="1080" xr:uid="{00000000-0005-0000-0000-000038040000}"/>
    <cellStyle name="Millares 2 2 2 2 13" xfId="1081" xr:uid="{00000000-0005-0000-0000-000039040000}"/>
    <cellStyle name="Millares 2 2 2 2 14" xfId="1082" xr:uid="{00000000-0005-0000-0000-00003A040000}"/>
    <cellStyle name="Millares 2 2 2 2 15" xfId="1083" xr:uid="{00000000-0005-0000-0000-00003B040000}"/>
    <cellStyle name="Millares 2 2 2 2 16" xfId="1084" xr:uid="{00000000-0005-0000-0000-00003C040000}"/>
    <cellStyle name="Millares 2 2 2 2 17" xfId="1085" xr:uid="{00000000-0005-0000-0000-00003D040000}"/>
    <cellStyle name="Millares 2 2 2 2 18" xfId="1086" xr:uid="{00000000-0005-0000-0000-00003E040000}"/>
    <cellStyle name="Millares 2 2 2 2 19" xfId="1087" xr:uid="{00000000-0005-0000-0000-00003F040000}"/>
    <cellStyle name="Millares 2 2 2 2 2" xfId="1088" xr:uid="{00000000-0005-0000-0000-000040040000}"/>
    <cellStyle name="Millares 2 2 2 2 2 10" xfId="1089" xr:uid="{00000000-0005-0000-0000-000041040000}"/>
    <cellStyle name="Millares 2 2 2 2 2 11" xfId="1090" xr:uid="{00000000-0005-0000-0000-000042040000}"/>
    <cellStyle name="Millares 2 2 2 2 2 12" xfId="1091" xr:uid="{00000000-0005-0000-0000-000043040000}"/>
    <cellStyle name="Millares 2 2 2 2 2 13" xfId="1092" xr:uid="{00000000-0005-0000-0000-000044040000}"/>
    <cellStyle name="Millares 2 2 2 2 2 14" xfId="1093" xr:uid="{00000000-0005-0000-0000-000045040000}"/>
    <cellStyle name="Millares 2 2 2 2 2 15" xfId="1094" xr:uid="{00000000-0005-0000-0000-000046040000}"/>
    <cellStyle name="Millares 2 2 2 2 2 16" xfId="1095" xr:uid="{00000000-0005-0000-0000-000047040000}"/>
    <cellStyle name="Millares 2 2 2 2 2 17" xfId="1096" xr:uid="{00000000-0005-0000-0000-000048040000}"/>
    <cellStyle name="Millares 2 2 2 2 2 18" xfId="1097" xr:uid="{00000000-0005-0000-0000-000049040000}"/>
    <cellStyle name="Millares 2 2 2 2 2 19" xfId="1098" xr:uid="{00000000-0005-0000-0000-00004A040000}"/>
    <cellStyle name="Millares 2 2 2 2 2 2" xfId="1099" xr:uid="{00000000-0005-0000-0000-00004B040000}"/>
    <cellStyle name="Millares 2 2 2 2 2 2 10" xfId="1100" xr:uid="{00000000-0005-0000-0000-00004C040000}"/>
    <cellStyle name="Millares 2 2 2 2 2 2 11" xfId="1101" xr:uid="{00000000-0005-0000-0000-00004D040000}"/>
    <cellStyle name="Millares 2 2 2 2 2 2 12" xfId="1102" xr:uid="{00000000-0005-0000-0000-00004E040000}"/>
    <cellStyle name="Millares 2 2 2 2 2 2 13" xfId="1103" xr:uid="{00000000-0005-0000-0000-00004F040000}"/>
    <cellStyle name="Millares 2 2 2 2 2 2 14" xfId="1104" xr:uid="{00000000-0005-0000-0000-000050040000}"/>
    <cellStyle name="Millares 2 2 2 2 2 2 15" xfId="1105" xr:uid="{00000000-0005-0000-0000-000051040000}"/>
    <cellStyle name="Millares 2 2 2 2 2 2 16" xfId="1106" xr:uid="{00000000-0005-0000-0000-000052040000}"/>
    <cellStyle name="Millares 2 2 2 2 2 2 17" xfId="1107" xr:uid="{00000000-0005-0000-0000-000053040000}"/>
    <cellStyle name="Millares 2 2 2 2 2 2 18" xfId="1108" xr:uid="{00000000-0005-0000-0000-000054040000}"/>
    <cellStyle name="Millares 2 2 2 2 2 2 19" xfId="1109" xr:uid="{00000000-0005-0000-0000-000055040000}"/>
    <cellStyle name="Millares 2 2 2 2 2 2 2" xfId="1110" xr:uid="{00000000-0005-0000-0000-000056040000}"/>
    <cellStyle name="Millares 2 2 2 2 2 2 2 10" xfId="1111" xr:uid="{00000000-0005-0000-0000-000057040000}"/>
    <cellStyle name="Millares 2 2 2 2 2 2 2 11" xfId="1112" xr:uid="{00000000-0005-0000-0000-000058040000}"/>
    <cellStyle name="Millares 2 2 2 2 2 2 2 12" xfId="1113" xr:uid="{00000000-0005-0000-0000-000059040000}"/>
    <cellStyle name="Millares 2 2 2 2 2 2 2 13" xfId="1114" xr:uid="{00000000-0005-0000-0000-00005A040000}"/>
    <cellStyle name="Millares 2 2 2 2 2 2 2 14" xfId="1115" xr:uid="{00000000-0005-0000-0000-00005B040000}"/>
    <cellStyle name="Millares 2 2 2 2 2 2 2 15" xfId="1116" xr:uid="{00000000-0005-0000-0000-00005C040000}"/>
    <cellStyle name="Millares 2 2 2 2 2 2 2 16" xfId="1117" xr:uid="{00000000-0005-0000-0000-00005D040000}"/>
    <cellStyle name="Millares 2 2 2 2 2 2 2 17" xfId="1118" xr:uid="{00000000-0005-0000-0000-00005E040000}"/>
    <cellStyle name="Millares 2 2 2 2 2 2 2 18" xfId="1119" xr:uid="{00000000-0005-0000-0000-00005F040000}"/>
    <cellStyle name="Millares 2 2 2 2 2 2 2 19" xfId="1120" xr:uid="{00000000-0005-0000-0000-000060040000}"/>
    <cellStyle name="Millares 2 2 2 2 2 2 2 2" xfId="1121" xr:uid="{00000000-0005-0000-0000-000061040000}"/>
    <cellStyle name="Millares 2 2 2 2 2 2 2 2 10" xfId="1122" xr:uid="{00000000-0005-0000-0000-000062040000}"/>
    <cellStyle name="Millares 2 2 2 2 2 2 2 2 11" xfId="1123" xr:uid="{00000000-0005-0000-0000-000063040000}"/>
    <cellStyle name="Millares 2 2 2 2 2 2 2 2 12" xfId="1124" xr:uid="{00000000-0005-0000-0000-000064040000}"/>
    <cellStyle name="Millares 2 2 2 2 2 2 2 2 13" xfId="1125" xr:uid="{00000000-0005-0000-0000-000065040000}"/>
    <cellStyle name="Millares 2 2 2 2 2 2 2 2 14" xfId="1126" xr:uid="{00000000-0005-0000-0000-000066040000}"/>
    <cellStyle name="Millares 2 2 2 2 2 2 2 2 15" xfId="1127" xr:uid="{00000000-0005-0000-0000-000067040000}"/>
    <cellStyle name="Millares 2 2 2 2 2 2 2 2 2" xfId="1128" xr:uid="{00000000-0005-0000-0000-000068040000}"/>
    <cellStyle name="Millares 2 2 2 2 2 2 2 2 2 10" xfId="1129" xr:uid="{00000000-0005-0000-0000-000069040000}"/>
    <cellStyle name="Millares 2 2 2 2 2 2 2 2 2 11" xfId="1130" xr:uid="{00000000-0005-0000-0000-00006A040000}"/>
    <cellStyle name="Millares 2 2 2 2 2 2 2 2 2 12" xfId="1131" xr:uid="{00000000-0005-0000-0000-00006B040000}"/>
    <cellStyle name="Millares 2 2 2 2 2 2 2 2 2 13" xfId="1132" xr:uid="{00000000-0005-0000-0000-00006C040000}"/>
    <cellStyle name="Millares 2 2 2 2 2 2 2 2 2 14" xfId="1133" xr:uid="{00000000-0005-0000-0000-00006D040000}"/>
    <cellStyle name="Millares 2 2 2 2 2 2 2 2 2 15" xfId="1134" xr:uid="{00000000-0005-0000-0000-00006E040000}"/>
    <cellStyle name="Millares 2 2 2 2 2 2 2 2 2 2" xfId="1135" xr:uid="{00000000-0005-0000-0000-00006F040000}"/>
    <cellStyle name="Millares 2 2 2 2 2 2 2 2 2 2 10" xfId="1136" xr:uid="{00000000-0005-0000-0000-000070040000}"/>
    <cellStyle name="Millares 2 2 2 2 2 2 2 2 2 2 11" xfId="1137" xr:uid="{00000000-0005-0000-0000-000071040000}"/>
    <cellStyle name="Millares 2 2 2 2 2 2 2 2 2 2 12" xfId="1138" xr:uid="{00000000-0005-0000-0000-000072040000}"/>
    <cellStyle name="Millares 2 2 2 2 2 2 2 2 2 2 2" xfId="1139" xr:uid="{00000000-0005-0000-0000-000073040000}"/>
    <cellStyle name="Millares 2 2 2 2 2 2 2 2 2 2 2 10" xfId="1140" xr:uid="{00000000-0005-0000-0000-000074040000}"/>
    <cellStyle name="Millares 2 2 2 2 2 2 2 2 2 2 2 2" xfId="1141" xr:uid="{00000000-0005-0000-0000-000075040000}"/>
    <cellStyle name="Millares 2 2 2 2 2 2 2 2 2 2 2 3" xfId="1142" xr:uid="{00000000-0005-0000-0000-000076040000}"/>
    <cellStyle name="Millares 2 2 2 2 2 2 2 2 2 2 2 4" xfId="1143" xr:uid="{00000000-0005-0000-0000-000077040000}"/>
    <cellStyle name="Millares 2 2 2 2 2 2 2 2 2 2 2 5" xfId="1144" xr:uid="{00000000-0005-0000-0000-000078040000}"/>
    <cellStyle name="Millares 2 2 2 2 2 2 2 2 2 2 2 6" xfId="1145" xr:uid="{00000000-0005-0000-0000-000079040000}"/>
    <cellStyle name="Millares 2 2 2 2 2 2 2 2 2 2 2 7" xfId="1146" xr:uid="{00000000-0005-0000-0000-00007A040000}"/>
    <cellStyle name="Millares 2 2 2 2 2 2 2 2 2 2 2 8" xfId="1147" xr:uid="{00000000-0005-0000-0000-00007B040000}"/>
    <cellStyle name="Millares 2 2 2 2 2 2 2 2 2 2 2 9" xfId="1148" xr:uid="{00000000-0005-0000-0000-00007C040000}"/>
    <cellStyle name="Millares 2 2 2 2 2 2 2 2 2 2 3" xfId="1149" xr:uid="{00000000-0005-0000-0000-00007D040000}"/>
    <cellStyle name="Millares 2 2 2 2 2 2 2 2 2 2 4" xfId="1150" xr:uid="{00000000-0005-0000-0000-00007E040000}"/>
    <cellStyle name="Millares 2 2 2 2 2 2 2 2 2 2 5" xfId="1151" xr:uid="{00000000-0005-0000-0000-00007F040000}"/>
    <cellStyle name="Millares 2 2 2 2 2 2 2 2 2 2 6" xfId="1152" xr:uid="{00000000-0005-0000-0000-000080040000}"/>
    <cellStyle name="Millares 2 2 2 2 2 2 2 2 2 2 7" xfId="1153" xr:uid="{00000000-0005-0000-0000-000081040000}"/>
    <cellStyle name="Millares 2 2 2 2 2 2 2 2 2 2 8" xfId="1154" xr:uid="{00000000-0005-0000-0000-000082040000}"/>
    <cellStyle name="Millares 2 2 2 2 2 2 2 2 2 2 9" xfId="1155" xr:uid="{00000000-0005-0000-0000-000083040000}"/>
    <cellStyle name="Millares 2 2 2 2 2 2 2 2 2 3" xfId="1156" xr:uid="{00000000-0005-0000-0000-000084040000}"/>
    <cellStyle name="Millares 2 2 2 2 2 2 2 2 2 4" xfId="1157" xr:uid="{00000000-0005-0000-0000-000085040000}"/>
    <cellStyle name="Millares 2 2 2 2 2 2 2 2 2 5" xfId="1158" xr:uid="{00000000-0005-0000-0000-000086040000}"/>
    <cellStyle name="Millares 2 2 2 2 2 2 2 2 2 6" xfId="1159" xr:uid="{00000000-0005-0000-0000-000087040000}"/>
    <cellStyle name="Millares 2 2 2 2 2 2 2 2 2 6 10" xfId="1160" xr:uid="{00000000-0005-0000-0000-000088040000}"/>
    <cellStyle name="Millares 2 2 2 2 2 2 2 2 2 6 2" xfId="1161" xr:uid="{00000000-0005-0000-0000-000089040000}"/>
    <cellStyle name="Millares 2 2 2 2 2 2 2 2 2 6 3" xfId="1162" xr:uid="{00000000-0005-0000-0000-00008A040000}"/>
    <cellStyle name="Millares 2 2 2 2 2 2 2 2 2 6 4" xfId="1163" xr:uid="{00000000-0005-0000-0000-00008B040000}"/>
    <cellStyle name="Millares 2 2 2 2 2 2 2 2 2 6 5" xfId="1164" xr:uid="{00000000-0005-0000-0000-00008C040000}"/>
    <cellStyle name="Millares 2 2 2 2 2 2 2 2 2 6 6" xfId="1165" xr:uid="{00000000-0005-0000-0000-00008D040000}"/>
    <cellStyle name="Millares 2 2 2 2 2 2 2 2 2 6 7" xfId="1166" xr:uid="{00000000-0005-0000-0000-00008E040000}"/>
    <cellStyle name="Millares 2 2 2 2 2 2 2 2 2 6 8" xfId="1167" xr:uid="{00000000-0005-0000-0000-00008F040000}"/>
    <cellStyle name="Millares 2 2 2 2 2 2 2 2 2 6 9" xfId="1168" xr:uid="{00000000-0005-0000-0000-000090040000}"/>
    <cellStyle name="Millares 2 2 2 2 2 2 2 2 2 7" xfId="1169" xr:uid="{00000000-0005-0000-0000-000091040000}"/>
    <cellStyle name="Millares 2 2 2 2 2 2 2 2 2 8" xfId="1170" xr:uid="{00000000-0005-0000-0000-000092040000}"/>
    <cellStyle name="Millares 2 2 2 2 2 2 2 2 2 9" xfId="1171" xr:uid="{00000000-0005-0000-0000-000093040000}"/>
    <cellStyle name="Millares 2 2 2 2 2 2 2 2 3" xfId="1172" xr:uid="{00000000-0005-0000-0000-000094040000}"/>
    <cellStyle name="Millares 2 2 2 2 2 2 2 2 4" xfId="1173" xr:uid="{00000000-0005-0000-0000-000095040000}"/>
    <cellStyle name="Millares 2 2 2 2 2 2 2 2 5" xfId="1174" xr:uid="{00000000-0005-0000-0000-000096040000}"/>
    <cellStyle name="Millares 2 2 2 2 2 2 2 2 6" xfId="1175" xr:uid="{00000000-0005-0000-0000-000097040000}"/>
    <cellStyle name="Millares 2 2 2 2 2 2 2 2 6 10" xfId="1176" xr:uid="{00000000-0005-0000-0000-000098040000}"/>
    <cellStyle name="Millares 2 2 2 2 2 2 2 2 6 2" xfId="1177" xr:uid="{00000000-0005-0000-0000-000099040000}"/>
    <cellStyle name="Millares 2 2 2 2 2 2 2 2 6 3" xfId="1178" xr:uid="{00000000-0005-0000-0000-00009A040000}"/>
    <cellStyle name="Millares 2 2 2 2 2 2 2 2 6 4" xfId="1179" xr:uid="{00000000-0005-0000-0000-00009B040000}"/>
    <cellStyle name="Millares 2 2 2 2 2 2 2 2 6 5" xfId="1180" xr:uid="{00000000-0005-0000-0000-00009C040000}"/>
    <cellStyle name="Millares 2 2 2 2 2 2 2 2 6 6" xfId="1181" xr:uid="{00000000-0005-0000-0000-00009D040000}"/>
    <cellStyle name="Millares 2 2 2 2 2 2 2 2 6 7" xfId="1182" xr:uid="{00000000-0005-0000-0000-00009E040000}"/>
    <cellStyle name="Millares 2 2 2 2 2 2 2 2 6 8" xfId="1183" xr:uid="{00000000-0005-0000-0000-00009F040000}"/>
    <cellStyle name="Millares 2 2 2 2 2 2 2 2 6 9" xfId="1184" xr:uid="{00000000-0005-0000-0000-0000A0040000}"/>
    <cellStyle name="Millares 2 2 2 2 2 2 2 2 7" xfId="1185" xr:uid="{00000000-0005-0000-0000-0000A1040000}"/>
    <cellStyle name="Millares 2 2 2 2 2 2 2 2 8" xfId="1186" xr:uid="{00000000-0005-0000-0000-0000A2040000}"/>
    <cellStyle name="Millares 2 2 2 2 2 2 2 2 9" xfId="1187" xr:uid="{00000000-0005-0000-0000-0000A3040000}"/>
    <cellStyle name="Millares 2 2 2 2 2 2 2 20" xfId="1188" xr:uid="{00000000-0005-0000-0000-0000A4040000}"/>
    <cellStyle name="Millares 2 2 2 2 2 2 2 21" xfId="1189" xr:uid="{00000000-0005-0000-0000-0000A5040000}"/>
    <cellStyle name="Millares 2 2 2 2 2 2 2 22" xfId="1190" xr:uid="{00000000-0005-0000-0000-0000A6040000}"/>
    <cellStyle name="Millares 2 2 2 2 2 2 2 23" xfId="1191" xr:uid="{00000000-0005-0000-0000-0000A7040000}"/>
    <cellStyle name="Millares 2 2 2 2 2 2 2 24" xfId="1192" xr:uid="{00000000-0005-0000-0000-0000A8040000}"/>
    <cellStyle name="Millares 2 2 2 2 2 2 2 25" xfId="1193" xr:uid="{00000000-0005-0000-0000-0000A9040000}"/>
    <cellStyle name="Millares 2 2 2 2 2 2 2 25 10" xfId="1194" xr:uid="{00000000-0005-0000-0000-0000AA040000}"/>
    <cellStyle name="Millares 2 2 2 2 2 2 2 25 2" xfId="1195" xr:uid="{00000000-0005-0000-0000-0000AB040000}"/>
    <cellStyle name="Millares 2 2 2 2 2 2 2 25 3" xfId="1196" xr:uid="{00000000-0005-0000-0000-0000AC040000}"/>
    <cellStyle name="Millares 2 2 2 2 2 2 2 25 4" xfId="1197" xr:uid="{00000000-0005-0000-0000-0000AD040000}"/>
    <cellStyle name="Millares 2 2 2 2 2 2 2 25 5" xfId="1198" xr:uid="{00000000-0005-0000-0000-0000AE040000}"/>
    <cellStyle name="Millares 2 2 2 2 2 2 2 25 6" xfId="1199" xr:uid="{00000000-0005-0000-0000-0000AF040000}"/>
    <cellStyle name="Millares 2 2 2 2 2 2 2 25 7" xfId="1200" xr:uid="{00000000-0005-0000-0000-0000B0040000}"/>
    <cellStyle name="Millares 2 2 2 2 2 2 2 25 8" xfId="1201" xr:uid="{00000000-0005-0000-0000-0000B1040000}"/>
    <cellStyle name="Millares 2 2 2 2 2 2 2 25 9" xfId="1202" xr:uid="{00000000-0005-0000-0000-0000B2040000}"/>
    <cellStyle name="Millares 2 2 2 2 2 2 2 26" xfId="1203" xr:uid="{00000000-0005-0000-0000-0000B3040000}"/>
    <cellStyle name="Millares 2 2 2 2 2 2 2 27" xfId="1204" xr:uid="{00000000-0005-0000-0000-0000B4040000}"/>
    <cellStyle name="Millares 2 2 2 2 2 2 2 28" xfId="1205" xr:uid="{00000000-0005-0000-0000-0000B5040000}"/>
    <cellStyle name="Millares 2 2 2 2 2 2 2 29" xfId="1206" xr:uid="{00000000-0005-0000-0000-0000B6040000}"/>
    <cellStyle name="Millares 2 2 2 2 2 2 2 3" xfId="1207" xr:uid="{00000000-0005-0000-0000-0000B7040000}"/>
    <cellStyle name="Millares 2 2 2 2 2 2 2 30" xfId="1208" xr:uid="{00000000-0005-0000-0000-0000B8040000}"/>
    <cellStyle name="Millares 2 2 2 2 2 2 2 31" xfId="1209" xr:uid="{00000000-0005-0000-0000-0000B9040000}"/>
    <cellStyle name="Millares 2 2 2 2 2 2 2 32" xfId="1210" xr:uid="{00000000-0005-0000-0000-0000BA040000}"/>
    <cellStyle name="Millares 2 2 2 2 2 2 2 33" xfId="1211" xr:uid="{00000000-0005-0000-0000-0000BB040000}"/>
    <cellStyle name="Millares 2 2 2 2 2 2 2 34" xfId="1212" xr:uid="{00000000-0005-0000-0000-0000BC040000}"/>
    <cellStyle name="Millares 2 2 2 2 2 2 2 4" xfId="1213" xr:uid="{00000000-0005-0000-0000-0000BD040000}"/>
    <cellStyle name="Millares 2 2 2 2 2 2 2 5" xfId="1214" xr:uid="{00000000-0005-0000-0000-0000BE040000}"/>
    <cellStyle name="Millares 2 2 2 2 2 2 2 6" xfId="1215" xr:uid="{00000000-0005-0000-0000-0000BF040000}"/>
    <cellStyle name="Millares 2 2 2 2 2 2 2 7" xfId="1216" xr:uid="{00000000-0005-0000-0000-0000C0040000}"/>
    <cellStyle name="Millares 2 2 2 2 2 2 2 8" xfId="1217" xr:uid="{00000000-0005-0000-0000-0000C1040000}"/>
    <cellStyle name="Millares 2 2 2 2 2 2 2 9" xfId="1218" xr:uid="{00000000-0005-0000-0000-0000C2040000}"/>
    <cellStyle name="Millares 2 2 2 2 2 2 20" xfId="1219" xr:uid="{00000000-0005-0000-0000-0000C3040000}"/>
    <cellStyle name="Millares 2 2 2 2 2 2 21" xfId="1220" xr:uid="{00000000-0005-0000-0000-0000C4040000}"/>
    <cellStyle name="Millares 2 2 2 2 2 2 22" xfId="1221" xr:uid="{00000000-0005-0000-0000-0000C5040000}"/>
    <cellStyle name="Millares 2 2 2 2 2 2 23" xfId="1222" xr:uid="{00000000-0005-0000-0000-0000C6040000}"/>
    <cellStyle name="Millares 2 2 2 2 2 2 24" xfId="1223" xr:uid="{00000000-0005-0000-0000-0000C7040000}"/>
    <cellStyle name="Millares 2 2 2 2 2 2 25" xfId="1224" xr:uid="{00000000-0005-0000-0000-0000C8040000}"/>
    <cellStyle name="Millares 2 2 2 2 2 2 25 10" xfId="1225" xr:uid="{00000000-0005-0000-0000-0000C9040000}"/>
    <cellStyle name="Millares 2 2 2 2 2 2 25 2" xfId="1226" xr:uid="{00000000-0005-0000-0000-0000CA040000}"/>
    <cellStyle name="Millares 2 2 2 2 2 2 25 3" xfId="1227" xr:uid="{00000000-0005-0000-0000-0000CB040000}"/>
    <cellStyle name="Millares 2 2 2 2 2 2 25 4" xfId="1228" xr:uid="{00000000-0005-0000-0000-0000CC040000}"/>
    <cellStyle name="Millares 2 2 2 2 2 2 25 5" xfId="1229" xr:uid="{00000000-0005-0000-0000-0000CD040000}"/>
    <cellStyle name="Millares 2 2 2 2 2 2 25 6" xfId="1230" xr:uid="{00000000-0005-0000-0000-0000CE040000}"/>
    <cellStyle name="Millares 2 2 2 2 2 2 25 7" xfId="1231" xr:uid="{00000000-0005-0000-0000-0000CF040000}"/>
    <cellStyle name="Millares 2 2 2 2 2 2 25 8" xfId="1232" xr:uid="{00000000-0005-0000-0000-0000D0040000}"/>
    <cellStyle name="Millares 2 2 2 2 2 2 25 9" xfId="1233" xr:uid="{00000000-0005-0000-0000-0000D1040000}"/>
    <cellStyle name="Millares 2 2 2 2 2 2 26" xfId="1234" xr:uid="{00000000-0005-0000-0000-0000D2040000}"/>
    <cellStyle name="Millares 2 2 2 2 2 2 27" xfId="1235" xr:uid="{00000000-0005-0000-0000-0000D3040000}"/>
    <cellStyle name="Millares 2 2 2 2 2 2 28" xfId="1236" xr:uid="{00000000-0005-0000-0000-0000D4040000}"/>
    <cellStyle name="Millares 2 2 2 2 2 2 29" xfId="1237" xr:uid="{00000000-0005-0000-0000-0000D5040000}"/>
    <cellStyle name="Millares 2 2 2 2 2 2 3" xfId="1238" xr:uid="{00000000-0005-0000-0000-0000D6040000}"/>
    <cellStyle name="Millares 2 2 2 2 2 2 30" xfId="1239" xr:uid="{00000000-0005-0000-0000-0000D7040000}"/>
    <cellStyle name="Millares 2 2 2 2 2 2 31" xfId="1240" xr:uid="{00000000-0005-0000-0000-0000D8040000}"/>
    <cellStyle name="Millares 2 2 2 2 2 2 32" xfId="1241" xr:uid="{00000000-0005-0000-0000-0000D9040000}"/>
    <cellStyle name="Millares 2 2 2 2 2 2 33" xfId="1242" xr:uid="{00000000-0005-0000-0000-0000DA040000}"/>
    <cellStyle name="Millares 2 2 2 2 2 2 34" xfId="1243" xr:uid="{00000000-0005-0000-0000-0000DB040000}"/>
    <cellStyle name="Millares 2 2 2 2 2 2 35" xfId="1244" xr:uid="{00000000-0005-0000-0000-0000DC040000}"/>
    <cellStyle name="Millares 2 2 2 2 2 2 4" xfId="1245" xr:uid="{00000000-0005-0000-0000-0000DD040000}"/>
    <cellStyle name="Millares 2 2 2 2 2 2 5" xfId="1246" xr:uid="{00000000-0005-0000-0000-0000DE040000}"/>
    <cellStyle name="Millares 2 2 2 2 2 2 6" xfId="1247" xr:uid="{00000000-0005-0000-0000-0000DF040000}"/>
    <cellStyle name="Millares 2 2 2 2 2 2 7" xfId="1248" xr:uid="{00000000-0005-0000-0000-0000E0040000}"/>
    <cellStyle name="Millares 2 2 2 2 2 2 8" xfId="1249" xr:uid="{00000000-0005-0000-0000-0000E1040000}"/>
    <cellStyle name="Millares 2 2 2 2 2 2 9" xfId="1250" xr:uid="{00000000-0005-0000-0000-0000E2040000}"/>
    <cellStyle name="Millares 2 2 2 2 2 20" xfId="1251" xr:uid="{00000000-0005-0000-0000-0000E3040000}"/>
    <cellStyle name="Millares 2 2 2 2 2 21" xfId="1252" xr:uid="{00000000-0005-0000-0000-0000E4040000}"/>
    <cellStyle name="Millares 2 2 2 2 2 22" xfId="1253" xr:uid="{00000000-0005-0000-0000-0000E5040000}"/>
    <cellStyle name="Millares 2 2 2 2 2 23" xfId="1254" xr:uid="{00000000-0005-0000-0000-0000E6040000}"/>
    <cellStyle name="Millares 2 2 2 2 2 24" xfId="1255" xr:uid="{00000000-0005-0000-0000-0000E7040000}"/>
    <cellStyle name="Millares 2 2 2 2 2 25" xfId="1256" xr:uid="{00000000-0005-0000-0000-0000E8040000}"/>
    <cellStyle name="Millares 2 2 2 2 2 26" xfId="1257" xr:uid="{00000000-0005-0000-0000-0000E9040000}"/>
    <cellStyle name="Millares 2 2 2 2 2 27" xfId="1258" xr:uid="{00000000-0005-0000-0000-0000EA040000}"/>
    <cellStyle name="Millares 2 2 2 2 2 28" xfId="1259" xr:uid="{00000000-0005-0000-0000-0000EB040000}"/>
    <cellStyle name="Millares 2 2 2 2 2 29" xfId="1260" xr:uid="{00000000-0005-0000-0000-0000EC040000}"/>
    <cellStyle name="Millares 2 2 2 2 2 3" xfId="1261" xr:uid="{00000000-0005-0000-0000-0000ED040000}"/>
    <cellStyle name="Millares 2 2 2 2 2 30" xfId="1262" xr:uid="{00000000-0005-0000-0000-0000EE040000}"/>
    <cellStyle name="Millares 2 2 2 2 2 31" xfId="1263" xr:uid="{00000000-0005-0000-0000-0000EF040000}"/>
    <cellStyle name="Millares 2 2 2 2 2 32" xfId="1264" xr:uid="{00000000-0005-0000-0000-0000F0040000}"/>
    <cellStyle name="Millares 2 2 2 2 2 33" xfId="1265" xr:uid="{00000000-0005-0000-0000-0000F1040000}"/>
    <cellStyle name="Millares 2 2 2 2 2 34" xfId="1266" xr:uid="{00000000-0005-0000-0000-0000F2040000}"/>
    <cellStyle name="Millares 2 2 2 2 2 35" xfId="1267" xr:uid="{00000000-0005-0000-0000-0000F3040000}"/>
    <cellStyle name="Millares 2 2 2 2 2 36" xfId="1268" xr:uid="{00000000-0005-0000-0000-0000F4040000}"/>
    <cellStyle name="Millares 2 2 2 2 2 37" xfId="1269" xr:uid="{00000000-0005-0000-0000-0000F5040000}"/>
    <cellStyle name="Millares 2 2 2 2 2 38" xfId="1270" xr:uid="{00000000-0005-0000-0000-0000F6040000}"/>
    <cellStyle name="Millares 2 2 2 2 2 38 10" xfId="1271" xr:uid="{00000000-0005-0000-0000-0000F7040000}"/>
    <cellStyle name="Millares 2 2 2 2 2 38 2" xfId="1272" xr:uid="{00000000-0005-0000-0000-0000F8040000}"/>
    <cellStyle name="Millares 2 2 2 2 2 38 3" xfId="1273" xr:uid="{00000000-0005-0000-0000-0000F9040000}"/>
    <cellStyle name="Millares 2 2 2 2 2 38 4" xfId="1274" xr:uid="{00000000-0005-0000-0000-0000FA040000}"/>
    <cellStyle name="Millares 2 2 2 2 2 38 5" xfId="1275" xr:uid="{00000000-0005-0000-0000-0000FB040000}"/>
    <cellStyle name="Millares 2 2 2 2 2 38 6" xfId="1276" xr:uid="{00000000-0005-0000-0000-0000FC040000}"/>
    <cellStyle name="Millares 2 2 2 2 2 38 7" xfId="1277" xr:uid="{00000000-0005-0000-0000-0000FD040000}"/>
    <cellStyle name="Millares 2 2 2 2 2 38 8" xfId="1278" xr:uid="{00000000-0005-0000-0000-0000FE040000}"/>
    <cellStyle name="Millares 2 2 2 2 2 38 9" xfId="1279" xr:uid="{00000000-0005-0000-0000-0000FF040000}"/>
    <cellStyle name="Millares 2 2 2 2 2 39" xfId="1280" xr:uid="{00000000-0005-0000-0000-000000050000}"/>
    <cellStyle name="Millares 2 2 2 2 2 4" xfId="1281" xr:uid="{00000000-0005-0000-0000-000001050000}"/>
    <cellStyle name="Millares 2 2 2 2 2 40" xfId="1282" xr:uid="{00000000-0005-0000-0000-000002050000}"/>
    <cellStyle name="Millares 2 2 2 2 2 41" xfId="1283" xr:uid="{00000000-0005-0000-0000-000003050000}"/>
    <cellStyle name="Millares 2 2 2 2 2 42" xfId="1284" xr:uid="{00000000-0005-0000-0000-000004050000}"/>
    <cellStyle name="Millares 2 2 2 2 2 43" xfId="1285" xr:uid="{00000000-0005-0000-0000-000005050000}"/>
    <cellStyle name="Millares 2 2 2 2 2 44" xfId="1286" xr:uid="{00000000-0005-0000-0000-000006050000}"/>
    <cellStyle name="Millares 2 2 2 2 2 45" xfId="1287" xr:uid="{00000000-0005-0000-0000-000007050000}"/>
    <cellStyle name="Millares 2 2 2 2 2 46" xfId="1288" xr:uid="{00000000-0005-0000-0000-000008050000}"/>
    <cellStyle name="Millares 2 2 2 2 2 47" xfId="1289" xr:uid="{00000000-0005-0000-0000-000009050000}"/>
    <cellStyle name="Millares 2 2 2 2 2 48" xfId="1290" xr:uid="{00000000-0005-0000-0000-00000A050000}"/>
    <cellStyle name="Millares 2 2 2 2 2 5" xfId="1291" xr:uid="{00000000-0005-0000-0000-00000B050000}"/>
    <cellStyle name="Millares 2 2 2 2 2 6" xfId="1292" xr:uid="{00000000-0005-0000-0000-00000C050000}"/>
    <cellStyle name="Millares 2 2 2 2 2 7" xfId="1293" xr:uid="{00000000-0005-0000-0000-00000D050000}"/>
    <cellStyle name="Millares 2 2 2 2 2 8" xfId="1294" xr:uid="{00000000-0005-0000-0000-00000E050000}"/>
    <cellStyle name="Millares 2 2 2 2 2 9" xfId="1295" xr:uid="{00000000-0005-0000-0000-00000F050000}"/>
    <cellStyle name="Millares 2 2 2 2 20" xfId="1296" xr:uid="{00000000-0005-0000-0000-000010050000}"/>
    <cellStyle name="Millares 2 2 2 2 21" xfId="1297" xr:uid="{00000000-0005-0000-0000-000011050000}"/>
    <cellStyle name="Millares 2 2 2 2 22" xfId="1298" xr:uid="{00000000-0005-0000-0000-000012050000}"/>
    <cellStyle name="Millares 2 2 2 2 23" xfId="1299" xr:uid="{00000000-0005-0000-0000-000013050000}"/>
    <cellStyle name="Millares 2 2 2 2 24" xfId="1300" xr:uid="{00000000-0005-0000-0000-000014050000}"/>
    <cellStyle name="Millares 2 2 2 2 25" xfId="1301" xr:uid="{00000000-0005-0000-0000-000015050000}"/>
    <cellStyle name="Millares 2 2 2 2 26" xfId="1302" xr:uid="{00000000-0005-0000-0000-000016050000}"/>
    <cellStyle name="Millares 2 2 2 2 27" xfId="1303" xr:uid="{00000000-0005-0000-0000-000017050000}"/>
    <cellStyle name="Millares 2 2 2 2 28" xfId="1304" xr:uid="{00000000-0005-0000-0000-000018050000}"/>
    <cellStyle name="Millares 2 2 2 2 29" xfId="1305" xr:uid="{00000000-0005-0000-0000-000019050000}"/>
    <cellStyle name="Millares 2 2 2 2 3" xfId="1306" xr:uid="{00000000-0005-0000-0000-00001A050000}"/>
    <cellStyle name="Millares 2 2 2 2 30" xfId="1307" xr:uid="{00000000-0005-0000-0000-00001B050000}"/>
    <cellStyle name="Millares 2 2 2 2 31" xfId="1308" xr:uid="{00000000-0005-0000-0000-00001C050000}"/>
    <cellStyle name="Millares 2 2 2 2 32" xfId="1309" xr:uid="{00000000-0005-0000-0000-00001D050000}"/>
    <cellStyle name="Millares 2 2 2 2 33" xfId="1310" xr:uid="{00000000-0005-0000-0000-00001E050000}"/>
    <cellStyle name="Millares 2 2 2 2 34" xfId="1311" xr:uid="{00000000-0005-0000-0000-00001F050000}"/>
    <cellStyle name="Millares 2 2 2 2 35" xfId="1312" xr:uid="{00000000-0005-0000-0000-000020050000}"/>
    <cellStyle name="Millares 2 2 2 2 36" xfId="1313" xr:uid="{00000000-0005-0000-0000-000021050000}"/>
    <cellStyle name="Millares 2 2 2 2 37" xfId="1314" xr:uid="{00000000-0005-0000-0000-000022050000}"/>
    <cellStyle name="Millares 2 2 2 2 38" xfId="1315" xr:uid="{00000000-0005-0000-0000-000023050000}"/>
    <cellStyle name="Millares 2 2 2 2 39" xfId="1316" xr:uid="{00000000-0005-0000-0000-000024050000}"/>
    <cellStyle name="Millares 2 2 2 2 39 10" xfId="1317" xr:uid="{00000000-0005-0000-0000-000025050000}"/>
    <cellStyle name="Millares 2 2 2 2 39 2" xfId="1318" xr:uid="{00000000-0005-0000-0000-000026050000}"/>
    <cellStyle name="Millares 2 2 2 2 39 3" xfId="1319" xr:uid="{00000000-0005-0000-0000-000027050000}"/>
    <cellStyle name="Millares 2 2 2 2 39 4" xfId="1320" xr:uid="{00000000-0005-0000-0000-000028050000}"/>
    <cellStyle name="Millares 2 2 2 2 39 5" xfId="1321" xr:uid="{00000000-0005-0000-0000-000029050000}"/>
    <cellStyle name="Millares 2 2 2 2 39 6" xfId="1322" xr:uid="{00000000-0005-0000-0000-00002A050000}"/>
    <cellStyle name="Millares 2 2 2 2 39 7" xfId="1323" xr:uid="{00000000-0005-0000-0000-00002B050000}"/>
    <cellStyle name="Millares 2 2 2 2 39 8" xfId="1324" xr:uid="{00000000-0005-0000-0000-00002C050000}"/>
    <cellStyle name="Millares 2 2 2 2 39 9" xfId="1325" xr:uid="{00000000-0005-0000-0000-00002D050000}"/>
    <cellStyle name="Millares 2 2 2 2 4" xfId="1326" xr:uid="{00000000-0005-0000-0000-00002E050000}"/>
    <cellStyle name="Millares 2 2 2 2 4 10" xfId="1327" xr:uid="{00000000-0005-0000-0000-00002F050000}"/>
    <cellStyle name="Millares 2 2 2 2 4 11" xfId="1328" xr:uid="{00000000-0005-0000-0000-000030050000}"/>
    <cellStyle name="Millares 2 2 2 2 4 12" xfId="1329" xr:uid="{00000000-0005-0000-0000-000031050000}"/>
    <cellStyle name="Millares 2 2 2 2 4 13" xfId="1330" xr:uid="{00000000-0005-0000-0000-000032050000}"/>
    <cellStyle name="Millares 2 2 2 2 4 14" xfId="1331" xr:uid="{00000000-0005-0000-0000-000033050000}"/>
    <cellStyle name="Millares 2 2 2 2 4 15" xfId="1332" xr:uid="{00000000-0005-0000-0000-000034050000}"/>
    <cellStyle name="Millares 2 2 2 2 4 16" xfId="1333" xr:uid="{00000000-0005-0000-0000-000035050000}"/>
    <cellStyle name="Millares 2 2 2 2 4 17" xfId="1334" xr:uid="{00000000-0005-0000-0000-000036050000}"/>
    <cellStyle name="Millares 2 2 2 2 4 18" xfId="1335" xr:uid="{00000000-0005-0000-0000-000037050000}"/>
    <cellStyle name="Millares 2 2 2 2 4 19" xfId="1336" xr:uid="{00000000-0005-0000-0000-000038050000}"/>
    <cellStyle name="Millares 2 2 2 2 4 2" xfId="1337" xr:uid="{00000000-0005-0000-0000-000039050000}"/>
    <cellStyle name="Millares 2 2 2 2 4 2 10" xfId="1338" xr:uid="{00000000-0005-0000-0000-00003A050000}"/>
    <cellStyle name="Millares 2 2 2 2 4 2 11" xfId="1339" xr:uid="{00000000-0005-0000-0000-00003B050000}"/>
    <cellStyle name="Millares 2 2 2 2 4 2 12" xfId="1340" xr:uid="{00000000-0005-0000-0000-00003C050000}"/>
    <cellStyle name="Millares 2 2 2 2 4 2 13" xfId="1341" xr:uid="{00000000-0005-0000-0000-00003D050000}"/>
    <cellStyle name="Millares 2 2 2 2 4 2 14" xfId="1342" xr:uid="{00000000-0005-0000-0000-00003E050000}"/>
    <cellStyle name="Millares 2 2 2 2 4 2 15" xfId="1343" xr:uid="{00000000-0005-0000-0000-00003F050000}"/>
    <cellStyle name="Millares 2 2 2 2 4 2 16" xfId="1344" xr:uid="{00000000-0005-0000-0000-000040050000}"/>
    <cellStyle name="Millares 2 2 2 2 4 2 17" xfId="1345" xr:uid="{00000000-0005-0000-0000-000041050000}"/>
    <cellStyle name="Millares 2 2 2 2 4 2 18" xfId="1346" xr:uid="{00000000-0005-0000-0000-000042050000}"/>
    <cellStyle name="Millares 2 2 2 2 4 2 19" xfId="1347" xr:uid="{00000000-0005-0000-0000-000043050000}"/>
    <cellStyle name="Millares 2 2 2 2 4 2 2" xfId="1348" xr:uid="{00000000-0005-0000-0000-000044050000}"/>
    <cellStyle name="Millares 2 2 2 2 4 2 20" xfId="1349" xr:uid="{00000000-0005-0000-0000-000045050000}"/>
    <cellStyle name="Millares 2 2 2 2 4 2 3" xfId="1350" xr:uid="{00000000-0005-0000-0000-000046050000}"/>
    <cellStyle name="Millares 2 2 2 2 4 2 4" xfId="1351" xr:uid="{00000000-0005-0000-0000-000047050000}"/>
    <cellStyle name="Millares 2 2 2 2 4 2 5" xfId="1352" xr:uid="{00000000-0005-0000-0000-000048050000}"/>
    <cellStyle name="Millares 2 2 2 2 4 2 6" xfId="1353" xr:uid="{00000000-0005-0000-0000-000049050000}"/>
    <cellStyle name="Millares 2 2 2 2 4 2 7" xfId="1354" xr:uid="{00000000-0005-0000-0000-00004A050000}"/>
    <cellStyle name="Millares 2 2 2 2 4 2 8" xfId="1355" xr:uid="{00000000-0005-0000-0000-00004B050000}"/>
    <cellStyle name="Millares 2 2 2 2 4 2 9" xfId="1356" xr:uid="{00000000-0005-0000-0000-00004C050000}"/>
    <cellStyle name="Millares 2 2 2 2 4 20" xfId="1357" xr:uid="{00000000-0005-0000-0000-00004D050000}"/>
    <cellStyle name="Millares 2 2 2 2 4 3" xfId="1358" xr:uid="{00000000-0005-0000-0000-00004E050000}"/>
    <cellStyle name="Millares 2 2 2 2 4 4" xfId="1359" xr:uid="{00000000-0005-0000-0000-00004F050000}"/>
    <cellStyle name="Millares 2 2 2 2 4 5" xfId="1360" xr:uid="{00000000-0005-0000-0000-000050050000}"/>
    <cellStyle name="Millares 2 2 2 2 4 6" xfId="1361" xr:uid="{00000000-0005-0000-0000-000051050000}"/>
    <cellStyle name="Millares 2 2 2 2 4 7" xfId="1362" xr:uid="{00000000-0005-0000-0000-000052050000}"/>
    <cellStyle name="Millares 2 2 2 2 4 8" xfId="1363" xr:uid="{00000000-0005-0000-0000-000053050000}"/>
    <cellStyle name="Millares 2 2 2 2 4 9" xfId="1364" xr:uid="{00000000-0005-0000-0000-000054050000}"/>
    <cellStyle name="Millares 2 2 2 2 40" xfId="1365" xr:uid="{00000000-0005-0000-0000-000055050000}"/>
    <cellStyle name="Millares 2 2 2 2 41" xfId="1366" xr:uid="{00000000-0005-0000-0000-000056050000}"/>
    <cellStyle name="Millares 2 2 2 2 42" xfId="1367" xr:uid="{00000000-0005-0000-0000-000057050000}"/>
    <cellStyle name="Millares 2 2 2 2 43" xfId="1368" xr:uid="{00000000-0005-0000-0000-000058050000}"/>
    <cellStyle name="Millares 2 2 2 2 44" xfId="1369" xr:uid="{00000000-0005-0000-0000-000059050000}"/>
    <cellStyle name="Millares 2 2 2 2 45" xfId="1370" xr:uid="{00000000-0005-0000-0000-00005A050000}"/>
    <cellStyle name="Millares 2 2 2 2 46" xfId="1371" xr:uid="{00000000-0005-0000-0000-00005B050000}"/>
    <cellStyle name="Millares 2 2 2 2 47" xfId="1372" xr:uid="{00000000-0005-0000-0000-00005C050000}"/>
    <cellStyle name="Millares 2 2 2 2 48" xfId="1373" xr:uid="{00000000-0005-0000-0000-00005D050000}"/>
    <cellStyle name="Millares 2 2 2 2 5" xfId="1374" xr:uid="{00000000-0005-0000-0000-00005E050000}"/>
    <cellStyle name="Millares 2 2 2 2 6" xfId="1375" xr:uid="{00000000-0005-0000-0000-00005F050000}"/>
    <cellStyle name="Millares 2 2 2 2 7" xfId="1376" xr:uid="{00000000-0005-0000-0000-000060050000}"/>
    <cellStyle name="Millares 2 2 2 2 8" xfId="1377" xr:uid="{00000000-0005-0000-0000-000061050000}"/>
    <cellStyle name="Millares 2 2 2 2 9" xfId="1378" xr:uid="{00000000-0005-0000-0000-000062050000}"/>
    <cellStyle name="Millares 2 2 2 20" xfId="1379" xr:uid="{00000000-0005-0000-0000-000063050000}"/>
    <cellStyle name="Millares 2 2 2 21" xfId="1380" xr:uid="{00000000-0005-0000-0000-000064050000}"/>
    <cellStyle name="Millares 2 2 2 22" xfId="1381" xr:uid="{00000000-0005-0000-0000-000065050000}"/>
    <cellStyle name="Millares 2 2 2 23" xfId="1382" xr:uid="{00000000-0005-0000-0000-000066050000}"/>
    <cellStyle name="Millares 2 2 2 24" xfId="1383" xr:uid="{00000000-0005-0000-0000-000067050000}"/>
    <cellStyle name="Millares 2 2 2 25" xfId="1384" xr:uid="{00000000-0005-0000-0000-000068050000}"/>
    <cellStyle name="Millares 2 2 2 26" xfId="1385" xr:uid="{00000000-0005-0000-0000-000069050000}"/>
    <cellStyle name="Millares 2 2 2 27" xfId="1386" xr:uid="{00000000-0005-0000-0000-00006A050000}"/>
    <cellStyle name="Millares 2 2 2 28" xfId="1387" xr:uid="{00000000-0005-0000-0000-00006B050000}"/>
    <cellStyle name="Millares 2 2 2 29" xfId="1388" xr:uid="{00000000-0005-0000-0000-00006C050000}"/>
    <cellStyle name="Millares 2 2 2 3" xfId="1389" xr:uid="{00000000-0005-0000-0000-00006D050000}"/>
    <cellStyle name="Millares 2 2 2 3 10" xfId="1390" xr:uid="{00000000-0005-0000-0000-00006E050000}"/>
    <cellStyle name="Millares 2 2 2 3 11" xfId="1391" xr:uid="{00000000-0005-0000-0000-00006F050000}"/>
    <cellStyle name="Millares 2 2 2 3 12" xfId="1392" xr:uid="{00000000-0005-0000-0000-000070050000}"/>
    <cellStyle name="Millares 2 2 2 3 13" xfId="1393" xr:uid="{00000000-0005-0000-0000-000071050000}"/>
    <cellStyle name="Millares 2 2 2 3 14" xfId="1394" xr:uid="{00000000-0005-0000-0000-000072050000}"/>
    <cellStyle name="Millares 2 2 2 3 15" xfId="1395" xr:uid="{00000000-0005-0000-0000-000073050000}"/>
    <cellStyle name="Millares 2 2 2 3 16" xfId="1396" xr:uid="{00000000-0005-0000-0000-000074050000}"/>
    <cellStyle name="Millares 2 2 2 3 17" xfId="1397" xr:uid="{00000000-0005-0000-0000-000075050000}"/>
    <cellStyle name="Millares 2 2 2 3 18" xfId="1398" xr:uid="{00000000-0005-0000-0000-000076050000}"/>
    <cellStyle name="Millares 2 2 2 3 19" xfId="1399" xr:uid="{00000000-0005-0000-0000-000077050000}"/>
    <cellStyle name="Millares 2 2 2 3 2" xfId="1400" xr:uid="{00000000-0005-0000-0000-000078050000}"/>
    <cellStyle name="Millares 2 2 2 3 2 10" xfId="1401" xr:uid="{00000000-0005-0000-0000-000079050000}"/>
    <cellStyle name="Millares 2 2 2 3 2 11" xfId="1402" xr:uid="{00000000-0005-0000-0000-00007A050000}"/>
    <cellStyle name="Millares 2 2 2 3 2 12" xfId="1403" xr:uid="{00000000-0005-0000-0000-00007B050000}"/>
    <cellStyle name="Millares 2 2 2 3 2 13" xfId="1404" xr:uid="{00000000-0005-0000-0000-00007C050000}"/>
    <cellStyle name="Millares 2 2 2 3 2 14" xfId="1405" xr:uid="{00000000-0005-0000-0000-00007D050000}"/>
    <cellStyle name="Millares 2 2 2 3 2 15" xfId="1406" xr:uid="{00000000-0005-0000-0000-00007E050000}"/>
    <cellStyle name="Millares 2 2 2 3 2 16" xfId="1407" xr:uid="{00000000-0005-0000-0000-00007F050000}"/>
    <cellStyle name="Millares 2 2 2 3 2 17" xfId="1408" xr:uid="{00000000-0005-0000-0000-000080050000}"/>
    <cellStyle name="Millares 2 2 2 3 2 18" xfId="1409" xr:uid="{00000000-0005-0000-0000-000081050000}"/>
    <cellStyle name="Millares 2 2 2 3 2 19" xfId="1410" xr:uid="{00000000-0005-0000-0000-000082050000}"/>
    <cellStyle name="Millares 2 2 2 3 2 2" xfId="1411" xr:uid="{00000000-0005-0000-0000-000083050000}"/>
    <cellStyle name="Millares 2 2 2 3 2 2 10" xfId="1412" xr:uid="{00000000-0005-0000-0000-000084050000}"/>
    <cellStyle name="Millares 2 2 2 3 2 2 11" xfId="1413" xr:uid="{00000000-0005-0000-0000-000085050000}"/>
    <cellStyle name="Millares 2 2 2 3 2 2 12" xfId="1414" xr:uid="{00000000-0005-0000-0000-000086050000}"/>
    <cellStyle name="Millares 2 2 2 3 2 2 13" xfId="1415" xr:uid="{00000000-0005-0000-0000-000087050000}"/>
    <cellStyle name="Millares 2 2 2 3 2 2 14" xfId="1416" xr:uid="{00000000-0005-0000-0000-000088050000}"/>
    <cellStyle name="Millares 2 2 2 3 2 2 15" xfId="1417" xr:uid="{00000000-0005-0000-0000-000089050000}"/>
    <cellStyle name="Millares 2 2 2 3 2 2 16" xfId="1418" xr:uid="{00000000-0005-0000-0000-00008A050000}"/>
    <cellStyle name="Millares 2 2 2 3 2 2 17" xfId="1419" xr:uid="{00000000-0005-0000-0000-00008B050000}"/>
    <cellStyle name="Millares 2 2 2 3 2 2 18" xfId="1420" xr:uid="{00000000-0005-0000-0000-00008C050000}"/>
    <cellStyle name="Millares 2 2 2 3 2 2 19" xfId="1421" xr:uid="{00000000-0005-0000-0000-00008D050000}"/>
    <cellStyle name="Millares 2 2 2 3 2 2 2" xfId="1422" xr:uid="{00000000-0005-0000-0000-00008E050000}"/>
    <cellStyle name="Millares 2 2 2 3 2 2 20" xfId="1423" xr:uid="{00000000-0005-0000-0000-00008F050000}"/>
    <cellStyle name="Millares 2 2 2 3 2 2 3" xfId="1424" xr:uid="{00000000-0005-0000-0000-000090050000}"/>
    <cellStyle name="Millares 2 2 2 3 2 2 4" xfId="1425" xr:uid="{00000000-0005-0000-0000-000091050000}"/>
    <cellStyle name="Millares 2 2 2 3 2 2 5" xfId="1426" xr:uid="{00000000-0005-0000-0000-000092050000}"/>
    <cellStyle name="Millares 2 2 2 3 2 2 6" xfId="1427" xr:uid="{00000000-0005-0000-0000-000093050000}"/>
    <cellStyle name="Millares 2 2 2 3 2 2 7" xfId="1428" xr:uid="{00000000-0005-0000-0000-000094050000}"/>
    <cellStyle name="Millares 2 2 2 3 2 2 8" xfId="1429" xr:uid="{00000000-0005-0000-0000-000095050000}"/>
    <cellStyle name="Millares 2 2 2 3 2 2 9" xfId="1430" xr:uid="{00000000-0005-0000-0000-000096050000}"/>
    <cellStyle name="Millares 2 2 2 3 2 20" xfId="1431" xr:uid="{00000000-0005-0000-0000-000097050000}"/>
    <cellStyle name="Millares 2 2 2 3 2 3" xfId="1432" xr:uid="{00000000-0005-0000-0000-000098050000}"/>
    <cellStyle name="Millares 2 2 2 3 2 4" xfId="1433" xr:uid="{00000000-0005-0000-0000-000099050000}"/>
    <cellStyle name="Millares 2 2 2 3 2 5" xfId="1434" xr:uid="{00000000-0005-0000-0000-00009A050000}"/>
    <cellStyle name="Millares 2 2 2 3 2 6" xfId="1435" xr:uid="{00000000-0005-0000-0000-00009B050000}"/>
    <cellStyle name="Millares 2 2 2 3 2 7" xfId="1436" xr:uid="{00000000-0005-0000-0000-00009C050000}"/>
    <cellStyle name="Millares 2 2 2 3 2 8" xfId="1437" xr:uid="{00000000-0005-0000-0000-00009D050000}"/>
    <cellStyle name="Millares 2 2 2 3 2 9" xfId="1438" xr:uid="{00000000-0005-0000-0000-00009E050000}"/>
    <cellStyle name="Millares 2 2 2 3 20" xfId="1439" xr:uid="{00000000-0005-0000-0000-00009F050000}"/>
    <cellStyle name="Millares 2 2 2 3 21" xfId="1440" xr:uid="{00000000-0005-0000-0000-0000A0050000}"/>
    <cellStyle name="Millares 2 2 2 3 22" xfId="1441" xr:uid="{00000000-0005-0000-0000-0000A1050000}"/>
    <cellStyle name="Millares 2 2 2 3 23" xfId="1442" xr:uid="{00000000-0005-0000-0000-0000A2050000}"/>
    <cellStyle name="Millares 2 2 2 3 24" xfId="1443" xr:uid="{00000000-0005-0000-0000-0000A3050000}"/>
    <cellStyle name="Millares 2 2 2 3 25" xfId="1444" xr:uid="{00000000-0005-0000-0000-0000A4050000}"/>
    <cellStyle name="Millares 2 2 2 3 26" xfId="1445" xr:uid="{00000000-0005-0000-0000-0000A5050000}"/>
    <cellStyle name="Millares 2 2 2 3 27" xfId="1446" xr:uid="{00000000-0005-0000-0000-0000A6050000}"/>
    <cellStyle name="Millares 2 2 2 3 28" xfId="1447" xr:uid="{00000000-0005-0000-0000-0000A7050000}"/>
    <cellStyle name="Millares 2 2 2 3 29" xfId="1448" xr:uid="{00000000-0005-0000-0000-0000A8050000}"/>
    <cellStyle name="Millares 2 2 2 3 3" xfId="1449" xr:uid="{00000000-0005-0000-0000-0000A9050000}"/>
    <cellStyle name="Millares 2 2 2 3 30" xfId="1450" xr:uid="{00000000-0005-0000-0000-0000AA050000}"/>
    <cellStyle name="Millares 2 2 2 3 31" xfId="1451" xr:uid="{00000000-0005-0000-0000-0000AB050000}"/>
    <cellStyle name="Millares 2 2 2 3 32" xfId="1452" xr:uid="{00000000-0005-0000-0000-0000AC050000}"/>
    <cellStyle name="Millares 2 2 2 3 33" xfId="1453" xr:uid="{00000000-0005-0000-0000-0000AD050000}"/>
    <cellStyle name="Millares 2 2 2 3 4" xfId="1454" xr:uid="{00000000-0005-0000-0000-0000AE050000}"/>
    <cellStyle name="Millares 2 2 2 3 5" xfId="1455" xr:uid="{00000000-0005-0000-0000-0000AF050000}"/>
    <cellStyle name="Millares 2 2 2 3 6" xfId="1456" xr:uid="{00000000-0005-0000-0000-0000B0050000}"/>
    <cellStyle name="Millares 2 2 2 3 7" xfId="1457" xr:uid="{00000000-0005-0000-0000-0000B1050000}"/>
    <cellStyle name="Millares 2 2 2 3 8" xfId="1458" xr:uid="{00000000-0005-0000-0000-0000B2050000}"/>
    <cellStyle name="Millares 2 2 2 3 9" xfId="1459" xr:uid="{00000000-0005-0000-0000-0000B3050000}"/>
    <cellStyle name="Millares 2 2 2 30" xfId="1460" xr:uid="{00000000-0005-0000-0000-0000B4050000}"/>
    <cellStyle name="Millares 2 2 2 31" xfId="1461" xr:uid="{00000000-0005-0000-0000-0000B5050000}"/>
    <cellStyle name="Millares 2 2 2 32" xfId="1462" xr:uid="{00000000-0005-0000-0000-0000B6050000}"/>
    <cellStyle name="Millares 2 2 2 33" xfId="1463" xr:uid="{00000000-0005-0000-0000-0000B7050000}"/>
    <cellStyle name="Millares 2 2 2 34" xfId="1464" xr:uid="{00000000-0005-0000-0000-0000B8050000}"/>
    <cellStyle name="Millares 2 2 2 35" xfId="1465" xr:uid="{00000000-0005-0000-0000-0000B9050000}"/>
    <cellStyle name="Millares 2 2 2 36" xfId="1466" xr:uid="{00000000-0005-0000-0000-0000BA050000}"/>
    <cellStyle name="Millares 2 2 2 37" xfId="1467" xr:uid="{00000000-0005-0000-0000-0000BB050000}"/>
    <cellStyle name="Millares 2 2 2 38" xfId="1468" xr:uid="{00000000-0005-0000-0000-0000BC050000}"/>
    <cellStyle name="Millares 2 2 2 39" xfId="1469" xr:uid="{00000000-0005-0000-0000-0000BD050000}"/>
    <cellStyle name="Millares 2 2 2 39 10" xfId="1470" xr:uid="{00000000-0005-0000-0000-0000BE050000}"/>
    <cellStyle name="Millares 2 2 2 39 2" xfId="1471" xr:uid="{00000000-0005-0000-0000-0000BF050000}"/>
    <cellStyle name="Millares 2 2 2 39 3" xfId="1472" xr:uid="{00000000-0005-0000-0000-0000C0050000}"/>
    <cellStyle name="Millares 2 2 2 39 4" xfId="1473" xr:uid="{00000000-0005-0000-0000-0000C1050000}"/>
    <cellStyle name="Millares 2 2 2 39 5" xfId="1474" xr:uid="{00000000-0005-0000-0000-0000C2050000}"/>
    <cellStyle name="Millares 2 2 2 39 6" xfId="1475" xr:uid="{00000000-0005-0000-0000-0000C3050000}"/>
    <cellStyle name="Millares 2 2 2 39 7" xfId="1476" xr:uid="{00000000-0005-0000-0000-0000C4050000}"/>
    <cellStyle name="Millares 2 2 2 39 8" xfId="1477" xr:uid="{00000000-0005-0000-0000-0000C5050000}"/>
    <cellStyle name="Millares 2 2 2 39 9" xfId="1478" xr:uid="{00000000-0005-0000-0000-0000C6050000}"/>
    <cellStyle name="Millares 2 2 2 4" xfId="1479" xr:uid="{00000000-0005-0000-0000-0000C7050000}"/>
    <cellStyle name="Millares 2 2 2 4 10" xfId="1480" xr:uid="{00000000-0005-0000-0000-0000C8050000}"/>
    <cellStyle name="Millares 2 2 2 4 11" xfId="1481" xr:uid="{00000000-0005-0000-0000-0000C9050000}"/>
    <cellStyle name="Millares 2 2 2 4 12" xfId="1482" xr:uid="{00000000-0005-0000-0000-0000CA050000}"/>
    <cellStyle name="Millares 2 2 2 4 13" xfId="1483" xr:uid="{00000000-0005-0000-0000-0000CB050000}"/>
    <cellStyle name="Millares 2 2 2 4 14" xfId="1484" xr:uid="{00000000-0005-0000-0000-0000CC050000}"/>
    <cellStyle name="Millares 2 2 2 4 15" xfId="1485" xr:uid="{00000000-0005-0000-0000-0000CD050000}"/>
    <cellStyle name="Millares 2 2 2 4 16" xfId="1486" xr:uid="{00000000-0005-0000-0000-0000CE050000}"/>
    <cellStyle name="Millares 2 2 2 4 17" xfId="1487" xr:uid="{00000000-0005-0000-0000-0000CF050000}"/>
    <cellStyle name="Millares 2 2 2 4 18" xfId="1488" xr:uid="{00000000-0005-0000-0000-0000D0050000}"/>
    <cellStyle name="Millares 2 2 2 4 19" xfId="1489" xr:uid="{00000000-0005-0000-0000-0000D1050000}"/>
    <cellStyle name="Millares 2 2 2 4 2" xfId="1490" xr:uid="{00000000-0005-0000-0000-0000D2050000}"/>
    <cellStyle name="Millares 2 2 2 4 2 10" xfId="1491" xr:uid="{00000000-0005-0000-0000-0000D3050000}"/>
    <cellStyle name="Millares 2 2 2 4 2 11" xfId="1492" xr:uid="{00000000-0005-0000-0000-0000D4050000}"/>
    <cellStyle name="Millares 2 2 2 4 2 12" xfId="1493" xr:uid="{00000000-0005-0000-0000-0000D5050000}"/>
    <cellStyle name="Millares 2 2 2 4 2 13" xfId="1494" xr:uid="{00000000-0005-0000-0000-0000D6050000}"/>
    <cellStyle name="Millares 2 2 2 4 2 14" xfId="1495" xr:uid="{00000000-0005-0000-0000-0000D7050000}"/>
    <cellStyle name="Millares 2 2 2 4 2 15" xfId="1496" xr:uid="{00000000-0005-0000-0000-0000D8050000}"/>
    <cellStyle name="Millares 2 2 2 4 2 16" xfId="1497" xr:uid="{00000000-0005-0000-0000-0000D9050000}"/>
    <cellStyle name="Millares 2 2 2 4 2 17" xfId="1498" xr:uid="{00000000-0005-0000-0000-0000DA050000}"/>
    <cellStyle name="Millares 2 2 2 4 2 18" xfId="1499" xr:uid="{00000000-0005-0000-0000-0000DB050000}"/>
    <cellStyle name="Millares 2 2 2 4 2 19" xfId="1500" xr:uid="{00000000-0005-0000-0000-0000DC050000}"/>
    <cellStyle name="Millares 2 2 2 4 2 2" xfId="1501" xr:uid="{00000000-0005-0000-0000-0000DD050000}"/>
    <cellStyle name="Millares 2 2 2 4 2 20" xfId="1502" xr:uid="{00000000-0005-0000-0000-0000DE050000}"/>
    <cellStyle name="Millares 2 2 2 4 2 3" xfId="1503" xr:uid="{00000000-0005-0000-0000-0000DF050000}"/>
    <cellStyle name="Millares 2 2 2 4 2 4" xfId="1504" xr:uid="{00000000-0005-0000-0000-0000E0050000}"/>
    <cellStyle name="Millares 2 2 2 4 2 5" xfId="1505" xr:uid="{00000000-0005-0000-0000-0000E1050000}"/>
    <cellStyle name="Millares 2 2 2 4 2 6" xfId="1506" xr:uid="{00000000-0005-0000-0000-0000E2050000}"/>
    <cellStyle name="Millares 2 2 2 4 2 7" xfId="1507" xr:uid="{00000000-0005-0000-0000-0000E3050000}"/>
    <cellStyle name="Millares 2 2 2 4 2 8" xfId="1508" xr:uid="{00000000-0005-0000-0000-0000E4050000}"/>
    <cellStyle name="Millares 2 2 2 4 2 9" xfId="1509" xr:uid="{00000000-0005-0000-0000-0000E5050000}"/>
    <cellStyle name="Millares 2 2 2 4 20" xfId="1510" xr:uid="{00000000-0005-0000-0000-0000E6050000}"/>
    <cellStyle name="Millares 2 2 2 4 3" xfId="1511" xr:uid="{00000000-0005-0000-0000-0000E7050000}"/>
    <cellStyle name="Millares 2 2 2 4 4" xfId="1512" xr:uid="{00000000-0005-0000-0000-0000E8050000}"/>
    <cellStyle name="Millares 2 2 2 4 5" xfId="1513" xr:uid="{00000000-0005-0000-0000-0000E9050000}"/>
    <cellStyle name="Millares 2 2 2 4 6" xfId="1514" xr:uid="{00000000-0005-0000-0000-0000EA050000}"/>
    <cellStyle name="Millares 2 2 2 4 7" xfId="1515" xr:uid="{00000000-0005-0000-0000-0000EB050000}"/>
    <cellStyle name="Millares 2 2 2 4 8" xfId="1516" xr:uid="{00000000-0005-0000-0000-0000EC050000}"/>
    <cellStyle name="Millares 2 2 2 4 9" xfId="1517" xr:uid="{00000000-0005-0000-0000-0000ED050000}"/>
    <cellStyle name="Millares 2 2 2 40" xfId="1518" xr:uid="{00000000-0005-0000-0000-0000EE050000}"/>
    <cellStyle name="Millares 2 2 2 41" xfId="1519" xr:uid="{00000000-0005-0000-0000-0000EF050000}"/>
    <cellStyle name="Millares 2 2 2 42" xfId="1520" xr:uid="{00000000-0005-0000-0000-0000F0050000}"/>
    <cellStyle name="Millares 2 2 2 43" xfId="1521" xr:uid="{00000000-0005-0000-0000-0000F1050000}"/>
    <cellStyle name="Millares 2 2 2 44" xfId="1522" xr:uid="{00000000-0005-0000-0000-0000F2050000}"/>
    <cellStyle name="Millares 2 2 2 45" xfId="1523" xr:uid="{00000000-0005-0000-0000-0000F3050000}"/>
    <cellStyle name="Millares 2 2 2 46" xfId="1524" xr:uid="{00000000-0005-0000-0000-0000F4050000}"/>
    <cellStyle name="Millares 2 2 2 47" xfId="1525" xr:uid="{00000000-0005-0000-0000-0000F5050000}"/>
    <cellStyle name="Millares 2 2 2 48" xfId="1526" xr:uid="{00000000-0005-0000-0000-0000F6050000}"/>
    <cellStyle name="Millares 2 2 2 49" xfId="1527" xr:uid="{00000000-0005-0000-0000-0000F7050000}"/>
    <cellStyle name="Millares 2 2 2 5" xfId="1528" xr:uid="{00000000-0005-0000-0000-0000F8050000}"/>
    <cellStyle name="Millares 2 2 2 6" xfId="1529" xr:uid="{00000000-0005-0000-0000-0000F9050000}"/>
    <cellStyle name="Millares 2 2 2 7" xfId="1530" xr:uid="{00000000-0005-0000-0000-0000FA050000}"/>
    <cellStyle name="Millares 2 2 2 8" xfId="1531" xr:uid="{00000000-0005-0000-0000-0000FB050000}"/>
    <cellStyle name="Millares 2 2 2 9" xfId="1532" xr:uid="{00000000-0005-0000-0000-0000FC050000}"/>
    <cellStyle name="Millares 2 2 20" xfId="1533" xr:uid="{00000000-0005-0000-0000-0000FD050000}"/>
    <cellStyle name="Millares 2 2 21" xfId="1534" xr:uid="{00000000-0005-0000-0000-0000FE050000}"/>
    <cellStyle name="Millares 2 2 22" xfId="1535" xr:uid="{00000000-0005-0000-0000-0000FF050000}"/>
    <cellStyle name="Millares 2 2 23" xfId="1536" xr:uid="{00000000-0005-0000-0000-000000060000}"/>
    <cellStyle name="Millares 2 2 24" xfId="1537" xr:uid="{00000000-0005-0000-0000-000001060000}"/>
    <cellStyle name="Millares 2 2 25" xfId="1538" xr:uid="{00000000-0005-0000-0000-000002060000}"/>
    <cellStyle name="Millares 2 2 26" xfId="1539" xr:uid="{00000000-0005-0000-0000-000003060000}"/>
    <cellStyle name="Millares 2 2 27" xfId="1540" xr:uid="{00000000-0005-0000-0000-000004060000}"/>
    <cellStyle name="Millares 2 2 28" xfId="1541" xr:uid="{00000000-0005-0000-0000-000005060000}"/>
    <cellStyle name="Millares 2 2 29" xfId="1542" xr:uid="{00000000-0005-0000-0000-000006060000}"/>
    <cellStyle name="Millares 2 2 3" xfId="1543" xr:uid="{00000000-0005-0000-0000-000007060000}"/>
    <cellStyle name="Millares 2 2 3 10" xfId="1544" xr:uid="{00000000-0005-0000-0000-000008060000}"/>
    <cellStyle name="Millares 2 2 3 11" xfId="1545" xr:uid="{00000000-0005-0000-0000-000009060000}"/>
    <cellStyle name="Millares 2 2 3 12" xfId="1546" xr:uid="{00000000-0005-0000-0000-00000A060000}"/>
    <cellStyle name="Millares 2 2 3 13" xfId="1547" xr:uid="{00000000-0005-0000-0000-00000B060000}"/>
    <cellStyle name="Millares 2 2 3 14" xfId="1548" xr:uid="{00000000-0005-0000-0000-00000C060000}"/>
    <cellStyle name="Millares 2 2 3 15" xfId="1549" xr:uid="{00000000-0005-0000-0000-00000D060000}"/>
    <cellStyle name="Millares 2 2 3 16" xfId="1550" xr:uid="{00000000-0005-0000-0000-00000E060000}"/>
    <cellStyle name="Millares 2 2 3 17" xfId="1551" xr:uid="{00000000-0005-0000-0000-00000F060000}"/>
    <cellStyle name="Millares 2 2 3 18" xfId="1552" xr:uid="{00000000-0005-0000-0000-000010060000}"/>
    <cellStyle name="Millares 2 2 3 19" xfId="1553" xr:uid="{00000000-0005-0000-0000-000011060000}"/>
    <cellStyle name="Millares 2 2 3 2" xfId="1554" xr:uid="{00000000-0005-0000-0000-000012060000}"/>
    <cellStyle name="Millares 2 2 3 2 10" xfId="1555" xr:uid="{00000000-0005-0000-0000-000013060000}"/>
    <cellStyle name="Millares 2 2 3 2 11" xfId="1556" xr:uid="{00000000-0005-0000-0000-000014060000}"/>
    <cellStyle name="Millares 2 2 3 2 12" xfId="1557" xr:uid="{00000000-0005-0000-0000-000015060000}"/>
    <cellStyle name="Millares 2 2 3 2 13" xfId="1558" xr:uid="{00000000-0005-0000-0000-000016060000}"/>
    <cellStyle name="Millares 2 2 3 2 14" xfId="1559" xr:uid="{00000000-0005-0000-0000-000017060000}"/>
    <cellStyle name="Millares 2 2 3 2 15" xfId="1560" xr:uid="{00000000-0005-0000-0000-000018060000}"/>
    <cellStyle name="Millares 2 2 3 2 16" xfId="1561" xr:uid="{00000000-0005-0000-0000-000019060000}"/>
    <cellStyle name="Millares 2 2 3 2 17" xfId="1562" xr:uid="{00000000-0005-0000-0000-00001A060000}"/>
    <cellStyle name="Millares 2 2 3 2 18" xfId="1563" xr:uid="{00000000-0005-0000-0000-00001B060000}"/>
    <cellStyle name="Millares 2 2 3 2 19" xfId="1564" xr:uid="{00000000-0005-0000-0000-00001C060000}"/>
    <cellStyle name="Millares 2 2 3 2 2" xfId="1565" xr:uid="{00000000-0005-0000-0000-00001D060000}"/>
    <cellStyle name="Millares 2 2 3 2 2 10" xfId="1566" xr:uid="{00000000-0005-0000-0000-00001E060000}"/>
    <cellStyle name="Millares 2 2 3 2 2 11" xfId="1567" xr:uid="{00000000-0005-0000-0000-00001F060000}"/>
    <cellStyle name="Millares 2 2 3 2 2 12" xfId="1568" xr:uid="{00000000-0005-0000-0000-000020060000}"/>
    <cellStyle name="Millares 2 2 3 2 2 13" xfId="1569" xr:uid="{00000000-0005-0000-0000-000021060000}"/>
    <cellStyle name="Millares 2 2 3 2 2 14" xfId="1570" xr:uid="{00000000-0005-0000-0000-000022060000}"/>
    <cellStyle name="Millares 2 2 3 2 2 15" xfId="1571" xr:uid="{00000000-0005-0000-0000-000023060000}"/>
    <cellStyle name="Millares 2 2 3 2 2 16" xfId="1572" xr:uid="{00000000-0005-0000-0000-000024060000}"/>
    <cellStyle name="Millares 2 2 3 2 2 17" xfId="1573" xr:uid="{00000000-0005-0000-0000-000025060000}"/>
    <cellStyle name="Millares 2 2 3 2 2 18" xfId="1574" xr:uid="{00000000-0005-0000-0000-000026060000}"/>
    <cellStyle name="Millares 2 2 3 2 2 19" xfId="1575" xr:uid="{00000000-0005-0000-0000-000027060000}"/>
    <cellStyle name="Millares 2 2 3 2 2 2" xfId="1576" xr:uid="{00000000-0005-0000-0000-000028060000}"/>
    <cellStyle name="Millares 2 2 3 2 2 20" xfId="1577" xr:uid="{00000000-0005-0000-0000-000029060000}"/>
    <cellStyle name="Millares 2 2 3 2 2 3" xfId="1578" xr:uid="{00000000-0005-0000-0000-00002A060000}"/>
    <cellStyle name="Millares 2 2 3 2 2 4" xfId="1579" xr:uid="{00000000-0005-0000-0000-00002B060000}"/>
    <cellStyle name="Millares 2 2 3 2 2 5" xfId="1580" xr:uid="{00000000-0005-0000-0000-00002C060000}"/>
    <cellStyle name="Millares 2 2 3 2 2 6" xfId="1581" xr:uid="{00000000-0005-0000-0000-00002D060000}"/>
    <cellStyle name="Millares 2 2 3 2 2 7" xfId="1582" xr:uid="{00000000-0005-0000-0000-00002E060000}"/>
    <cellStyle name="Millares 2 2 3 2 2 8" xfId="1583" xr:uid="{00000000-0005-0000-0000-00002F060000}"/>
    <cellStyle name="Millares 2 2 3 2 2 9" xfId="1584" xr:uid="{00000000-0005-0000-0000-000030060000}"/>
    <cellStyle name="Millares 2 2 3 2 20" xfId="1585" xr:uid="{00000000-0005-0000-0000-000031060000}"/>
    <cellStyle name="Millares 2 2 3 2 3" xfId="1586" xr:uid="{00000000-0005-0000-0000-000032060000}"/>
    <cellStyle name="Millares 2 2 3 2 4" xfId="1587" xr:uid="{00000000-0005-0000-0000-000033060000}"/>
    <cellStyle name="Millares 2 2 3 2 5" xfId="1588" xr:uid="{00000000-0005-0000-0000-000034060000}"/>
    <cellStyle name="Millares 2 2 3 2 6" xfId="1589" xr:uid="{00000000-0005-0000-0000-000035060000}"/>
    <cellStyle name="Millares 2 2 3 2 7" xfId="1590" xr:uid="{00000000-0005-0000-0000-000036060000}"/>
    <cellStyle name="Millares 2 2 3 2 8" xfId="1591" xr:uid="{00000000-0005-0000-0000-000037060000}"/>
    <cellStyle name="Millares 2 2 3 2 9" xfId="1592" xr:uid="{00000000-0005-0000-0000-000038060000}"/>
    <cellStyle name="Millares 2 2 3 20" xfId="1593" xr:uid="{00000000-0005-0000-0000-000039060000}"/>
    <cellStyle name="Millares 2 2 3 21" xfId="1594" xr:uid="{00000000-0005-0000-0000-00003A060000}"/>
    <cellStyle name="Millares 2 2 3 22" xfId="1595" xr:uid="{00000000-0005-0000-0000-00003B060000}"/>
    <cellStyle name="Millares 2 2 3 23" xfId="1596" xr:uid="{00000000-0005-0000-0000-00003C060000}"/>
    <cellStyle name="Millares 2 2 3 24" xfId="1597" xr:uid="{00000000-0005-0000-0000-00003D060000}"/>
    <cellStyle name="Millares 2 2 3 25" xfId="1598" xr:uid="{00000000-0005-0000-0000-00003E060000}"/>
    <cellStyle name="Millares 2 2 3 26" xfId="1599" xr:uid="{00000000-0005-0000-0000-00003F060000}"/>
    <cellStyle name="Millares 2 2 3 27" xfId="1600" xr:uid="{00000000-0005-0000-0000-000040060000}"/>
    <cellStyle name="Millares 2 2 3 28" xfId="1601" xr:uid="{00000000-0005-0000-0000-000041060000}"/>
    <cellStyle name="Millares 2 2 3 29" xfId="1602" xr:uid="{00000000-0005-0000-0000-000042060000}"/>
    <cellStyle name="Millares 2 2 3 3" xfId="1603" xr:uid="{00000000-0005-0000-0000-000043060000}"/>
    <cellStyle name="Millares 2 2 3 30" xfId="1604" xr:uid="{00000000-0005-0000-0000-000044060000}"/>
    <cellStyle name="Millares 2 2 3 31" xfId="1605" xr:uid="{00000000-0005-0000-0000-000045060000}"/>
    <cellStyle name="Millares 2 2 3 32" xfId="1606" xr:uid="{00000000-0005-0000-0000-000046060000}"/>
    <cellStyle name="Millares 2 2 3 33" xfId="1607" xr:uid="{00000000-0005-0000-0000-000047060000}"/>
    <cellStyle name="Millares 2 2 3 34" xfId="1608" xr:uid="{00000000-0005-0000-0000-000048060000}"/>
    <cellStyle name="Millares 2 2 3 35" xfId="1609" xr:uid="{00000000-0005-0000-0000-000049060000}"/>
    <cellStyle name="Millares 2 2 3 4" xfId="1610" xr:uid="{00000000-0005-0000-0000-00004A060000}"/>
    <cellStyle name="Millares 2 2 3 5" xfId="1611" xr:uid="{00000000-0005-0000-0000-00004B060000}"/>
    <cellStyle name="Millares 2 2 3 6" xfId="1612" xr:uid="{00000000-0005-0000-0000-00004C060000}"/>
    <cellStyle name="Millares 2 2 3 7" xfId="1613" xr:uid="{00000000-0005-0000-0000-00004D060000}"/>
    <cellStyle name="Millares 2 2 3 8" xfId="1614" xr:uid="{00000000-0005-0000-0000-00004E060000}"/>
    <cellStyle name="Millares 2 2 3 9" xfId="1615" xr:uid="{00000000-0005-0000-0000-00004F060000}"/>
    <cellStyle name="Millares 2 2 30" xfId="1616" xr:uid="{00000000-0005-0000-0000-000050060000}"/>
    <cellStyle name="Millares 2 2 31" xfId="1617" xr:uid="{00000000-0005-0000-0000-000051060000}"/>
    <cellStyle name="Millares 2 2 32" xfId="1618" xr:uid="{00000000-0005-0000-0000-000052060000}"/>
    <cellStyle name="Millares 2 2 33" xfId="1619" xr:uid="{00000000-0005-0000-0000-000053060000}"/>
    <cellStyle name="Millares 2 2 34" xfId="1620" xr:uid="{00000000-0005-0000-0000-000054060000}"/>
    <cellStyle name="Millares 2 2 35" xfId="1621" xr:uid="{00000000-0005-0000-0000-000055060000}"/>
    <cellStyle name="Millares 2 2 36" xfId="1622" xr:uid="{00000000-0005-0000-0000-000056060000}"/>
    <cellStyle name="Millares 2 2 37" xfId="1623" xr:uid="{00000000-0005-0000-0000-000057060000}"/>
    <cellStyle name="Millares 2 2 38" xfId="1624" xr:uid="{00000000-0005-0000-0000-000058060000}"/>
    <cellStyle name="Millares 2 2 39" xfId="1625" xr:uid="{00000000-0005-0000-0000-000059060000}"/>
    <cellStyle name="Millares 2 2 39 10" xfId="1626" xr:uid="{00000000-0005-0000-0000-00005A060000}"/>
    <cellStyle name="Millares 2 2 39 2" xfId="1627" xr:uid="{00000000-0005-0000-0000-00005B060000}"/>
    <cellStyle name="Millares 2 2 39 3" xfId="1628" xr:uid="{00000000-0005-0000-0000-00005C060000}"/>
    <cellStyle name="Millares 2 2 39 4" xfId="1629" xr:uid="{00000000-0005-0000-0000-00005D060000}"/>
    <cellStyle name="Millares 2 2 39 5" xfId="1630" xr:uid="{00000000-0005-0000-0000-00005E060000}"/>
    <cellStyle name="Millares 2 2 39 6" xfId="1631" xr:uid="{00000000-0005-0000-0000-00005F060000}"/>
    <cellStyle name="Millares 2 2 39 7" xfId="1632" xr:uid="{00000000-0005-0000-0000-000060060000}"/>
    <cellStyle name="Millares 2 2 39 8" xfId="1633" xr:uid="{00000000-0005-0000-0000-000061060000}"/>
    <cellStyle name="Millares 2 2 39 9" xfId="1634" xr:uid="{00000000-0005-0000-0000-000062060000}"/>
    <cellStyle name="Millares 2 2 4" xfId="1635" xr:uid="{00000000-0005-0000-0000-000063060000}"/>
    <cellStyle name="Millares 2 2 4 10" xfId="1636" xr:uid="{00000000-0005-0000-0000-000064060000}"/>
    <cellStyle name="Millares 2 2 4 11" xfId="1637" xr:uid="{00000000-0005-0000-0000-000065060000}"/>
    <cellStyle name="Millares 2 2 4 12" xfId="1638" xr:uid="{00000000-0005-0000-0000-000066060000}"/>
    <cellStyle name="Millares 2 2 4 13" xfId="1639" xr:uid="{00000000-0005-0000-0000-000067060000}"/>
    <cellStyle name="Millares 2 2 4 14" xfId="1640" xr:uid="{00000000-0005-0000-0000-000068060000}"/>
    <cellStyle name="Millares 2 2 4 15" xfId="1641" xr:uid="{00000000-0005-0000-0000-000069060000}"/>
    <cellStyle name="Millares 2 2 4 16" xfId="1642" xr:uid="{00000000-0005-0000-0000-00006A060000}"/>
    <cellStyle name="Millares 2 2 4 17" xfId="1643" xr:uid="{00000000-0005-0000-0000-00006B060000}"/>
    <cellStyle name="Millares 2 2 4 18" xfId="1644" xr:uid="{00000000-0005-0000-0000-00006C060000}"/>
    <cellStyle name="Millares 2 2 4 19" xfId="1645" xr:uid="{00000000-0005-0000-0000-00006D060000}"/>
    <cellStyle name="Millares 2 2 4 2" xfId="1646" xr:uid="{00000000-0005-0000-0000-00006E060000}"/>
    <cellStyle name="Millares 2 2 4 2 10" xfId="1647" xr:uid="{00000000-0005-0000-0000-00006F060000}"/>
    <cellStyle name="Millares 2 2 4 2 11" xfId="1648" xr:uid="{00000000-0005-0000-0000-000070060000}"/>
    <cellStyle name="Millares 2 2 4 2 12" xfId="1649" xr:uid="{00000000-0005-0000-0000-000071060000}"/>
    <cellStyle name="Millares 2 2 4 2 13" xfId="1650" xr:uid="{00000000-0005-0000-0000-000072060000}"/>
    <cellStyle name="Millares 2 2 4 2 14" xfId="1651" xr:uid="{00000000-0005-0000-0000-000073060000}"/>
    <cellStyle name="Millares 2 2 4 2 15" xfId="1652" xr:uid="{00000000-0005-0000-0000-000074060000}"/>
    <cellStyle name="Millares 2 2 4 2 16" xfId="1653" xr:uid="{00000000-0005-0000-0000-000075060000}"/>
    <cellStyle name="Millares 2 2 4 2 17" xfId="1654" xr:uid="{00000000-0005-0000-0000-000076060000}"/>
    <cellStyle name="Millares 2 2 4 2 18" xfId="1655" xr:uid="{00000000-0005-0000-0000-000077060000}"/>
    <cellStyle name="Millares 2 2 4 2 19" xfId="1656" xr:uid="{00000000-0005-0000-0000-000078060000}"/>
    <cellStyle name="Millares 2 2 4 2 2" xfId="1657" xr:uid="{00000000-0005-0000-0000-000079060000}"/>
    <cellStyle name="Millares 2 2 4 2 20" xfId="1658" xr:uid="{00000000-0005-0000-0000-00007A060000}"/>
    <cellStyle name="Millares 2 2 4 2 3" xfId="1659" xr:uid="{00000000-0005-0000-0000-00007B060000}"/>
    <cellStyle name="Millares 2 2 4 2 4" xfId="1660" xr:uid="{00000000-0005-0000-0000-00007C060000}"/>
    <cellStyle name="Millares 2 2 4 2 5" xfId="1661" xr:uid="{00000000-0005-0000-0000-00007D060000}"/>
    <cellStyle name="Millares 2 2 4 2 6" xfId="1662" xr:uid="{00000000-0005-0000-0000-00007E060000}"/>
    <cellStyle name="Millares 2 2 4 2 7" xfId="1663" xr:uid="{00000000-0005-0000-0000-00007F060000}"/>
    <cellStyle name="Millares 2 2 4 2 8" xfId="1664" xr:uid="{00000000-0005-0000-0000-000080060000}"/>
    <cellStyle name="Millares 2 2 4 2 9" xfId="1665" xr:uid="{00000000-0005-0000-0000-000081060000}"/>
    <cellStyle name="Millares 2 2 4 20" xfId="1666" xr:uid="{00000000-0005-0000-0000-000082060000}"/>
    <cellStyle name="Millares 2 2 4 3" xfId="1667" xr:uid="{00000000-0005-0000-0000-000083060000}"/>
    <cellStyle name="Millares 2 2 4 4" xfId="1668" xr:uid="{00000000-0005-0000-0000-000084060000}"/>
    <cellStyle name="Millares 2 2 4 5" xfId="1669" xr:uid="{00000000-0005-0000-0000-000085060000}"/>
    <cellStyle name="Millares 2 2 4 6" xfId="1670" xr:uid="{00000000-0005-0000-0000-000086060000}"/>
    <cellStyle name="Millares 2 2 4 7" xfId="1671" xr:uid="{00000000-0005-0000-0000-000087060000}"/>
    <cellStyle name="Millares 2 2 4 8" xfId="1672" xr:uid="{00000000-0005-0000-0000-000088060000}"/>
    <cellStyle name="Millares 2 2 4 9" xfId="1673" xr:uid="{00000000-0005-0000-0000-000089060000}"/>
    <cellStyle name="Millares 2 2 40" xfId="1674" xr:uid="{00000000-0005-0000-0000-00008A060000}"/>
    <cellStyle name="Millares 2 2 41" xfId="1675" xr:uid="{00000000-0005-0000-0000-00008B060000}"/>
    <cellStyle name="Millares 2 2 42" xfId="1676" xr:uid="{00000000-0005-0000-0000-00008C060000}"/>
    <cellStyle name="Millares 2 2 43" xfId="1677" xr:uid="{00000000-0005-0000-0000-00008D060000}"/>
    <cellStyle name="Millares 2 2 44" xfId="1678" xr:uid="{00000000-0005-0000-0000-00008E060000}"/>
    <cellStyle name="Millares 2 2 45" xfId="1679" xr:uid="{00000000-0005-0000-0000-00008F060000}"/>
    <cellStyle name="Millares 2 2 46" xfId="1680" xr:uid="{00000000-0005-0000-0000-000090060000}"/>
    <cellStyle name="Millares 2 2 47" xfId="1681" xr:uid="{00000000-0005-0000-0000-000091060000}"/>
    <cellStyle name="Millares 2 2 48" xfId="1682" xr:uid="{00000000-0005-0000-0000-000092060000}"/>
    <cellStyle name="Millares 2 2 5" xfId="1683" xr:uid="{00000000-0005-0000-0000-000093060000}"/>
    <cellStyle name="Millares 2 2 6" xfId="1684" xr:uid="{00000000-0005-0000-0000-000094060000}"/>
    <cellStyle name="Millares 2 2 7" xfId="1685" xr:uid="{00000000-0005-0000-0000-000095060000}"/>
    <cellStyle name="Millares 2 2 8" xfId="1686" xr:uid="{00000000-0005-0000-0000-000096060000}"/>
    <cellStyle name="Millares 2 2 9" xfId="1687" xr:uid="{00000000-0005-0000-0000-000097060000}"/>
    <cellStyle name="Millares 2 20" xfId="1688" xr:uid="{00000000-0005-0000-0000-000098060000}"/>
    <cellStyle name="Millares 2 22" xfId="1689" xr:uid="{00000000-0005-0000-0000-000099060000}"/>
    <cellStyle name="Millares 2 24" xfId="1690" xr:uid="{00000000-0005-0000-0000-00009A060000}"/>
    <cellStyle name="Millares 2 26" xfId="1691" xr:uid="{00000000-0005-0000-0000-00009B060000}"/>
    <cellStyle name="Millares 2 28" xfId="1692" xr:uid="{00000000-0005-0000-0000-00009C060000}"/>
    <cellStyle name="Millares 2 3" xfId="1693" xr:uid="{00000000-0005-0000-0000-00009D060000}"/>
    <cellStyle name="Millares 2 3 2" xfId="1694" xr:uid="{00000000-0005-0000-0000-00009E060000}"/>
    <cellStyle name="Millares 2 3 3" xfId="1695" xr:uid="{00000000-0005-0000-0000-00009F060000}"/>
    <cellStyle name="Millares 2 3 4" xfId="1696" xr:uid="{00000000-0005-0000-0000-0000A0060000}"/>
    <cellStyle name="Millares 2 3 5" xfId="1697" xr:uid="{00000000-0005-0000-0000-0000A1060000}"/>
    <cellStyle name="Millares 2 3 6" xfId="1698" xr:uid="{00000000-0005-0000-0000-0000A2060000}"/>
    <cellStyle name="Millares 2 30" xfId="1699" xr:uid="{00000000-0005-0000-0000-0000A3060000}"/>
    <cellStyle name="Millares 2 32" xfId="1700" xr:uid="{00000000-0005-0000-0000-0000A4060000}"/>
    <cellStyle name="Millares 2 34" xfId="1701" xr:uid="{00000000-0005-0000-0000-0000A5060000}"/>
    <cellStyle name="Millares 2 36" xfId="1702" xr:uid="{00000000-0005-0000-0000-0000A6060000}"/>
    <cellStyle name="Millares 2 4" xfId="1703" xr:uid="{00000000-0005-0000-0000-0000A7060000}"/>
    <cellStyle name="Millares 2 4 2" xfId="1704" xr:uid="{00000000-0005-0000-0000-0000A8060000}"/>
    <cellStyle name="Millares 2 4 3" xfId="1705" xr:uid="{00000000-0005-0000-0000-0000A9060000}"/>
    <cellStyle name="Millares 2 4 4" xfId="1706" xr:uid="{00000000-0005-0000-0000-0000AA060000}"/>
    <cellStyle name="Millares 2 4 5" xfId="1707" xr:uid="{00000000-0005-0000-0000-0000AB060000}"/>
    <cellStyle name="Millares 2 4 6" xfId="1708" xr:uid="{00000000-0005-0000-0000-0000AC060000}"/>
    <cellStyle name="Millares 2 4 7" xfId="1709" xr:uid="{00000000-0005-0000-0000-0000AD060000}"/>
    <cellStyle name="Millares 2 4 8" xfId="1710" xr:uid="{00000000-0005-0000-0000-0000AE060000}"/>
    <cellStyle name="Millares 2 5" xfId="1711" xr:uid="{00000000-0005-0000-0000-0000AF060000}"/>
    <cellStyle name="Millares 2 6" xfId="1712" xr:uid="{00000000-0005-0000-0000-0000B0060000}"/>
    <cellStyle name="Millares 2 6 2" xfId="1713" xr:uid="{00000000-0005-0000-0000-0000B1060000}"/>
    <cellStyle name="Millares 2 7" xfId="1714" xr:uid="{00000000-0005-0000-0000-0000B2060000}"/>
    <cellStyle name="Millares 2 7 2" xfId="1715" xr:uid="{00000000-0005-0000-0000-0000B3060000}"/>
    <cellStyle name="Millares 2 7 3" xfId="1716" xr:uid="{00000000-0005-0000-0000-0000B4060000}"/>
    <cellStyle name="Millares 2 8" xfId="1717" xr:uid="{00000000-0005-0000-0000-0000B5060000}"/>
    <cellStyle name="Millares 2 8 2" xfId="1718" xr:uid="{00000000-0005-0000-0000-0000B6060000}"/>
    <cellStyle name="Millares 2 8 3" xfId="1719" xr:uid="{00000000-0005-0000-0000-0000B7060000}"/>
    <cellStyle name="Millares 2 9" xfId="1720" xr:uid="{00000000-0005-0000-0000-0000B8060000}"/>
    <cellStyle name="Millares 2 9 2" xfId="1721" xr:uid="{00000000-0005-0000-0000-0000B9060000}"/>
    <cellStyle name="Millares 2 9 3" xfId="1722" xr:uid="{00000000-0005-0000-0000-0000BA060000}"/>
    <cellStyle name="Millares 20" xfId="1723" xr:uid="{00000000-0005-0000-0000-0000BB060000}"/>
    <cellStyle name="Millares 20 2" xfId="1724" xr:uid="{00000000-0005-0000-0000-0000BC060000}"/>
    <cellStyle name="Millares 21" xfId="1725" xr:uid="{00000000-0005-0000-0000-0000BD060000}"/>
    <cellStyle name="Millares 21 2" xfId="1726" xr:uid="{00000000-0005-0000-0000-0000BE060000}"/>
    <cellStyle name="Millares 22" xfId="1727" xr:uid="{00000000-0005-0000-0000-0000BF060000}"/>
    <cellStyle name="Millares 28" xfId="1728" xr:uid="{00000000-0005-0000-0000-0000C0060000}"/>
    <cellStyle name="Millares 28 10" xfId="1729" xr:uid="{00000000-0005-0000-0000-0000C1060000}"/>
    <cellStyle name="Millares 28 11" xfId="1730" xr:uid="{00000000-0005-0000-0000-0000C2060000}"/>
    <cellStyle name="Millares 28 12" xfId="1731" xr:uid="{00000000-0005-0000-0000-0000C3060000}"/>
    <cellStyle name="Millares 28 13" xfId="1732" xr:uid="{00000000-0005-0000-0000-0000C4060000}"/>
    <cellStyle name="Millares 28 14" xfId="1733" xr:uid="{00000000-0005-0000-0000-0000C5060000}"/>
    <cellStyle name="Millares 28 15" xfId="1734" xr:uid="{00000000-0005-0000-0000-0000C6060000}"/>
    <cellStyle name="Millares 28 16" xfId="1735" xr:uid="{00000000-0005-0000-0000-0000C7060000}"/>
    <cellStyle name="Millares 28 17" xfId="1736" xr:uid="{00000000-0005-0000-0000-0000C8060000}"/>
    <cellStyle name="Millares 28 18" xfId="1737" xr:uid="{00000000-0005-0000-0000-0000C9060000}"/>
    <cellStyle name="Millares 28 19" xfId="1738" xr:uid="{00000000-0005-0000-0000-0000CA060000}"/>
    <cellStyle name="Millares 28 2" xfId="1739" xr:uid="{00000000-0005-0000-0000-0000CB060000}"/>
    <cellStyle name="Millares 28 2 2" xfId="1740" xr:uid="{00000000-0005-0000-0000-0000CC060000}"/>
    <cellStyle name="Millares 28 2 3" xfId="1741" xr:uid="{00000000-0005-0000-0000-0000CD060000}"/>
    <cellStyle name="Millares 28 20" xfId="1742" xr:uid="{00000000-0005-0000-0000-0000CE060000}"/>
    <cellStyle name="Millares 28 21" xfId="1743" xr:uid="{00000000-0005-0000-0000-0000CF060000}"/>
    <cellStyle name="Millares 28 22" xfId="1744" xr:uid="{00000000-0005-0000-0000-0000D0060000}"/>
    <cellStyle name="Millares 28 23" xfId="1745" xr:uid="{00000000-0005-0000-0000-0000D1060000}"/>
    <cellStyle name="Millares 28 24" xfId="1746" xr:uid="{00000000-0005-0000-0000-0000D2060000}"/>
    <cellStyle name="Millares 28 25" xfId="1747" xr:uid="{00000000-0005-0000-0000-0000D3060000}"/>
    <cellStyle name="Millares 28 3" xfId="1748" xr:uid="{00000000-0005-0000-0000-0000D4060000}"/>
    <cellStyle name="Millares 28 3 2" xfId="1749" xr:uid="{00000000-0005-0000-0000-0000D5060000}"/>
    <cellStyle name="Millares 28 3 3" xfId="1750" xr:uid="{00000000-0005-0000-0000-0000D6060000}"/>
    <cellStyle name="Millares 28 4" xfId="1751" xr:uid="{00000000-0005-0000-0000-0000D7060000}"/>
    <cellStyle name="Millares 28 5" xfId="1752" xr:uid="{00000000-0005-0000-0000-0000D8060000}"/>
    <cellStyle name="Millares 28 6" xfId="1753" xr:uid="{00000000-0005-0000-0000-0000D9060000}"/>
    <cellStyle name="Millares 28 7" xfId="1754" xr:uid="{00000000-0005-0000-0000-0000DA060000}"/>
    <cellStyle name="Millares 28 8" xfId="1755" xr:uid="{00000000-0005-0000-0000-0000DB060000}"/>
    <cellStyle name="Millares 28 9" xfId="1756" xr:uid="{00000000-0005-0000-0000-0000DC060000}"/>
    <cellStyle name="Millares 29" xfId="1757" xr:uid="{00000000-0005-0000-0000-0000DD060000}"/>
    <cellStyle name="Millares 29 10" xfId="1758" xr:uid="{00000000-0005-0000-0000-0000DE060000}"/>
    <cellStyle name="Millares 29 11" xfId="1759" xr:uid="{00000000-0005-0000-0000-0000DF060000}"/>
    <cellStyle name="Millares 29 12" xfId="1760" xr:uid="{00000000-0005-0000-0000-0000E0060000}"/>
    <cellStyle name="Millares 29 13" xfId="1761" xr:uid="{00000000-0005-0000-0000-0000E1060000}"/>
    <cellStyle name="Millares 29 14" xfId="1762" xr:uid="{00000000-0005-0000-0000-0000E2060000}"/>
    <cellStyle name="Millares 29 15" xfId="1763" xr:uid="{00000000-0005-0000-0000-0000E3060000}"/>
    <cellStyle name="Millares 29 16" xfId="1764" xr:uid="{00000000-0005-0000-0000-0000E4060000}"/>
    <cellStyle name="Millares 29 17" xfId="1765" xr:uid="{00000000-0005-0000-0000-0000E5060000}"/>
    <cellStyle name="Millares 29 18" xfId="1766" xr:uid="{00000000-0005-0000-0000-0000E6060000}"/>
    <cellStyle name="Millares 29 19" xfId="1767" xr:uid="{00000000-0005-0000-0000-0000E7060000}"/>
    <cellStyle name="Millares 29 2" xfId="1768" xr:uid="{00000000-0005-0000-0000-0000E8060000}"/>
    <cellStyle name="Millares 29 2 2" xfId="1769" xr:uid="{00000000-0005-0000-0000-0000E9060000}"/>
    <cellStyle name="Millares 29 2 3" xfId="1770" xr:uid="{00000000-0005-0000-0000-0000EA060000}"/>
    <cellStyle name="Millares 29 20" xfId="1771" xr:uid="{00000000-0005-0000-0000-0000EB060000}"/>
    <cellStyle name="Millares 29 21" xfId="1772" xr:uid="{00000000-0005-0000-0000-0000EC060000}"/>
    <cellStyle name="Millares 29 22" xfId="1773" xr:uid="{00000000-0005-0000-0000-0000ED060000}"/>
    <cellStyle name="Millares 29 23" xfId="1774" xr:uid="{00000000-0005-0000-0000-0000EE060000}"/>
    <cellStyle name="Millares 29 24" xfId="1775" xr:uid="{00000000-0005-0000-0000-0000EF060000}"/>
    <cellStyle name="Millares 29 25" xfId="1776" xr:uid="{00000000-0005-0000-0000-0000F0060000}"/>
    <cellStyle name="Millares 29 3" xfId="1777" xr:uid="{00000000-0005-0000-0000-0000F1060000}"/>
    <cellStyle name="Millares 29 3 2" xfId="1778" xr:uid="{00000000-0005-0000-0000-0000F2060000}"/>
    <cellStyle name="Millares 29 3 3" xfId="1779" xr:uid="{00000000-0005-0000-0000-0000F3060000}"/>
    <cellStyle name="Millares 29 4" xfId="1780" xr:uid="{00000000-0005-0000-0000-0000F4060000}"/>
    <cellStyle name="Millares 29 5" xfId="1781" xr:uid="{00000000-0005-0000-0000-0000F5060000}"/>
    <cellStyle name="Millares 29 6" xfId="1782" xr:uid="{00000000-0005-0000-0000-0000F6060000}"/>
    <cellStyle name="Millares 29 7" xfId="1783" xr:uid="{00000000-0005-0000-0000-0000F7060000}"/>
    <cellStyle name="Millares 29 8" xfId="1784" xr:uid="{00000000-0005-0000-0000-0000F8060000}"/>
    <cellStyle name="Millares 29 9" xfId="1785" xr:uid="{00000000-0005-0000-0000-0000F9060000}"/>
    <cellStyle name="Millares 3" xfId="1786" xr:uid="{00000000-0005-0000-0000-0000FA060000}"/>
    <cellStyle name="Millares 3 10" xfId="1787" xr:uid="{00000000-0005-0000-0000-0000FB060000}"/>
    <cellStyle name="Millares 3 10 10" xfId="1788" xr:uid="{00000000-0005-0000-0000-0000FC060000}"/>
    <cellStyle name="Millares 3 10 11" xfId="1789" xr:uid="{00000000-0005-0000-0000-0000FD060000}"/>
    <cellStyle name="Millares 3 10 12" xfId="1790" xr:uid="{00000000-0005-0000-0000-0000FE060000}"/>
    <cellStyle name="Millares 3 10 13" xfId="1791" xr:uid="{00000000-0005-0000-0000-0000FF060000}"/>
    <cellStyle name="Millares 3 10 14" xfId="1792" xr:uid="{00000000-0005-0000-0000-000000070000}"/>
    <cellStyle name="Millares 3 10 15" xfId="1793" xr:uid="{00000000-0005-0000-0000-000001070000}"/>
    <cellStyle name="Millares 3 10 16" xfId="1794" xr:uid="{00000000-0005-0000-0000-000002070000}"/>
    <cellStyle name="Millares 3 10 17" xfId="1795" xr:uid="{00000000-0005-0000-0000-000003070000}"/>
    <cellStyle name="Millares 3 10 18" xfId="1796" xr:uid="{00000000-0005-0000-0000-000004070000}"/>
    <cellStyle name="Millares 3 10 19" xfId="1797" xr:uid="{00000000-0005-0000-0000-000005070000}"/>
    <cellStyle name="Millares 3 10 2" xfId="1798" xr:uid="{00000000-0005-0000-0000-000006070000}"/>
    <cellStyle name="Millares 3 10 2 10" xfId="1799" xr:uid="{00000000-0005-0000-0000-000007070000}"/>
    <cellStyle name="Millares 3 10 2 11" xfId="1800" xr:uid="{00000000-0005-0000-0000-000008070000}"/>
    <cellStyle name="Millares 3 10 2 12" xfId="1801" xr:uid="{00000000-0005-0000-0000-000009070000}"/>
    <cellStyle name="Millares 3 10 2 13" xfId="1802" xr:uid="{00000000-0005-0000-0000-00000A070000}"/>
    <cellStyle name="Millares 3 10 2 14" xfId="1803" xr:uid="{00000000-0005-0000-0000-00000B070000}"/>
    <cellStyle name="Millares 3 10 2 15" xfId="1804" xr:uid="{00000000-0005-0000-0000-00000C070000}"/>
    <cellStyle name="Millares 3 10 2 16" xfId="1805" xr:uid="{00000000-0005-0000-0000-00000D070000}"/>
    <cellStyle name="Millares 3 10 2 17" xfId="1806" xr:uid="{00000000-0005-0000-0000-00000E070000}"/>
    <cellStyle name="Millares 3 10 2 2" xfId="1807" xr:uid="{00000000-0005-0000-0000-00000F070000}"/>
    <cellStyle name="Millares 3 10 2 3" xfId="1808" xr:uid="{00000000-0005-0000-0000-000010070000}"/>
    <cellStyle name="Millares 3 10 2 3 2" xfId="1809" xr:uid="{00000000-0005-0000-0000-000011070000}"/>
    <cellStyle name="Millares 3 10 2 4" xfId="1810" xr:uid="{00000000-0005-0000-0000-000012070000}"/>
    <cellStyle name="Millares 3 10 2 5" xfId="1811" xr:uid="{00000000-0005-0000-0000-000013070000}"/>
    <cellStyle name="Millares 3 10 2 6" xfId="1812" xr:uid="{00000000-0005-0000-0000-000014070000}"/>
    <cellStyle name="Millares 3 10 2 7" xfId="1813" xr:uid="{00000000-0005-0000-0000-000015070000}"/>
    <cellStyle name="Millares 3 10 2 8" xfId="1814" xr:uid="{00000000-0005-0000-0000-000016070000}"/>
    <cellStyle name="Millares 3 10 2 9" xfId="1815" xr:uid="{00000000-0005-0000-0000-000017070000}"/>
    <cellStyle name="Millares 3 10 3" xfId="1816" xr:uid="{00000000-0005-0000-0000-000018070000}"/>
    <cellStyle name="Millares 3 10 4" xfId="1817" xr:uid="{00000000-0005-0000-0000-000019070000}"/>
    <cellStyle name="Millares 3 10 5" xfId="1818" xr:uid="{00000000-0005-0000-0000-00001A070000}"/>
    <cellStyle name="Millares 3 10 6" xfId="1819" xr:uid="{00000000-0005-0000-0000-00001B070000}"/>
    <cellStyle name="Millares 3 10 7" xfId="1820" xr:uid="{00000000-0005-0000-0000-00001C070000}"/>
    <cellStyle name="Millares 3 10 8" xfId="1821" xr:uid="{00000000-0005-0000-0000-00001D070000}"/>
    <cellStyle name="Millares 3 10 9" xfId="1822" xr:uid="{00000000-0005-0000-0000-00001E070000}"/>
    <cellStyle name="Millares 3 11" xfId="1823" xr:uid="{00000000-0005-0000-0000-00001F070000}"/>
    <cellStyle name="Millares 3 11 10" xfId="1824" xr:uid="{00000000-0005-0000-0000-000020070000}"/>
    <cellStyle name="Millares 3 11 11" xfId="1825" xr:uid="{00000000-0005-0000-0000-000021070000}"/>
    <cellStyle name="Millares 3 11 12" xfId="1826" xr:uid="{00000000-0005-0000-0000-000022070000}"/>
    <cellStyle name="Millares 3 11 13" xfId="1827" xr:uid="{00000000-0005-0000-0000-000023070000}"/>
    <cellStyle name="Millares 3 11 14" xfId="1828" xr:uid="{00000000-0005-0000-0000-000024070000}"/>
    <cellStyle name="Millares 3 11 15" xfId="1829" xr:uid="{00000000-0005-0000-0000-000025070000}"/>
    <cellStyle name="Millares 3 11 16" xfId="1830" xr:uid="{00000000-0005-0000-0000-000026070000}"/>
    <cellStyle name="Millares 3 11 17" xfId="1831" xr:uid="{00000000-0005-0000-0000-000027070000}"/>
    <cellStyle name="Millares 3 11 18" xfId="1832" xr:uid="{00000000-0005-0000-0000-000028070000}"/>
    <cellStyle name="Millares 3 11 19" xfId="1833" xr:uid="{00000000-0005-0000-0000-000029070000}"/>
    <cellStyle name="Millares 3 11 2" xfId="1834" xr:uid="{00000000-0005-0000-0000-00002A070000}"/>
    <cellStyle name="Millares 3 11 2 10" xfId="1835" xr:uid="{00000000-0005-0000-0000-00002B070000}"/>
    <cellStyle name="Millares 3 11 2 11" xfId="1836" xr:uid="{00000000-0005-0000-0000-00002C070000}"/>
    <cellStyle name="Millares 3 11 2 12" xfId="1837" xr:uid="{00000000-0005-0000-0000-00002D070000}"/>
    <cellStyle name="Millares 3 11 2 13" xfId="1838" xr:uid="{00000000-0005-0000-0000-00002E070000}"/>
    <cellStyle name="Millares 3 11 2 14" xfId="1839" xr:uid="{00000000-0005-0000-0000-00002F070000}"/>
    <cellStyle name="Millares 3 11 2 15" xfId="1840" xr:uid="{00000000-0005-0000-0000-000030070000}"/>
    <cellStyle name="Millares 3 11 2 16" xfId="1841" xr:uid="{00000000-0005-0000-0000-000031070000}"/>
    <cellStyle name="Millares 3 11 2 17" xfId="1842" xr:uid="{00000000-0005-0000-0000-000032070000}"/>
    <cellStyle name="Millares 3 11 2 2" xfId="1843" xr:uid="{00000000-0005-0000-0000-000033070000}"/>
    <cellStyle name="Millares 3 11 2 3" xfId="1844" xr:uid="{00000000-0005-0000-0000-000034070000}"/>
    <cellStyle name="Millares 3 11 2 3 2" xfId="1845" xr:uid="{00000000-0005-0000-0000-000035070000}"/>
    <cellStyle name="Millares 3 11 2 4" xfId="1846" xr:uid="{00000000-0005-0000-0000-000036070000}"/>
    <cellStyle name="Millares 3 11 2 5" xfId="1847" xr:uid="{00000000-0005-0000-0000-000037070000}"/>
    <cellStyle name="Millares 3 11 2 6" xfId="1848" xr:uid="{00000000-0005-0000-0000-000038070000}"/>
    <cellStyle name="Millares 3 11 2 7" xfId="1849" xr:uid="{00000000-0005-0000-0000-000039070000}"/>
    <cellStyle name="Millares 3 11 2 8" xfId="1850" xr:uid="{00000000-0005-0000-0000-00003A070000}"/>
    <cellStyle name="Millares 3 11 2 9" xfId="1851" xr:uid="{00000000-0005-0000-0000-00003B070000}"/>
    <cellStyle name="Millares 3 11 3" xfId="1852" xr:uid="{00000000-0005-0000-0000-00003C070000}"/>
    <cellStyle name="Millares 3 11 4" xfId="1853" xr:uid="{00000000-0005-0000-0000-00003D070000}"/>
    <cellStyle name="Millares 3 11 5" xfId="1854" xr:uid="{00000000-0005-0000-0000-00003E070000}"/>
    <cellStyle name="Millares 3 11 6" xfId="1855" xr:uid="{00000000-0005-0000-0000-00003F070000}"/>
    <cellStyle name="Millares 3 11 7" xfId="1856" xr:uid="{00000000-0005-0000-0000-000040070000}"/>
    <cellStyle name="Millares 3 11 8" xfId="1857" xr:uid="{00000000-0005-0000-0000-000041070000}"/>
    <cellStyle name="Millares 3 11 9" xfId="1858" xr:uid="{00000000-0005-0000-0000-000042070000}"/>
    <cellStyle name="Millares 3 12" xfId="1859" xr:uid="{00000000-0005-0000-0000-000043070000}"/>
    <cellStyle name="Millares 3 12 10" xfId="1860" xr:uid="{00000000-0005-0000-0000-000044070000}"/>
    <cellStyle name="Millares 3 12 11" xfId="1861" xr:uid="{00000000-0005-0000-0000-000045070000}"/>
    <cellStyle name="Millares 3 12 12" xfId="1862" xr:uid="{00000000-0005-0000-0000-000046070000}"/>
    <cellStyle name="Millares 3 12 13" xfId="1863" xr:uid="{00000000-0005-0000-0000-000047070000}"/>
    <cellStyle name="Millares 3 12 14" xfId="1864" xr:uid="{00000000-0005-0000-0000-000048070000}"/>
    <cellStyle name="Millares 3 12 15" xfId="1865" xr:uid="{00000000-0005-0000-0000-000049070000}"/>
    <cellStyle name="Millares 3 12 16" xfId="1866" xr:uid="{00000000-0005-0000-0000-00004A070000}"/>
    <cellStyle name="Millares 3 12 17" xfId="1867" xr:uid="{00000000-0005-0000-0000-00004B070000}"/>
    <cellStyle name="Millares 3 12 2" xfId="1868" xr:uid="{00000000-0005-0000-0000-00004C070000}"/>
    <cellStyle name="Millares 3 12 3" xfId="1869" xr:uid="{00000000-0005-0000-0000-00004D070000}"/>
    <cellStyle name="Millares 3 12 3 2" xfId="1870" xr:uid="{00000000-0005-0000-0000-00004E070000}"/>
    <cellStyle name="Millares 3 12 4" xfId="1871" xr:uid="{00000000-0005-0000-0000-00004F070000}"/>
    <cellStyle name="Millares 3 12 5" xfId="1872" xr:uid="{00000000-0005-0000-0000-000050070000}"/>
    <cellStyle name="Millares 3 12 6" xfId="1873" xr:uid="{00000000-0005-0000-0000-000051070000}"/>
    <cellStyle name="Millares 3 12 7" xfId="1874" xr:uid="{00000000-0005-0000-0000-000052070000}"/>
    <cellStyle name="Millares 3 12 8" xfId="1875" xr:uid="{00000000-0005-0000-0000-000053070000}"/>
    <cellStyle name="Millares 3 12 9" xfId="1876" xr:uid="{00000000-0005-0000-0000-000054070000}"/>
    <cellStyle name="Millares 3 13" xfId="1877" xr:uid="{00000000-0005-0000-0000-000055070000}"/>
    <cellStyle name="Millares 3 13 10" xfId="1878" xr:uid="{00000000-0005-0000-0000-000056070000}"/>
    <cellStyle name="Millares 3 13 11" xfId="1879" xr:uid="{00000000-0005-0000-0000-000057070000}"/>
    <cellStyle name="Millares 3 13 12" xfId="1880" xr:uid="{00000000-0005-0000-0000-000058070000}"/>
    <cellStyle name="Millares 3 13 13" xfId="1881" xr:uid="{00000000-0005-0000-0000-000059070000}"/>
    <cellStyle name="Millares 3 13 14" xfId="1882" xr:uid="{00000000-0005-0000-0000-00005A070000}"/>
    <cellStyle name="Millares 3 13 15" xfId="1883" xr:uid="{00000000-0005-0000-0000-00005B070000}"/>
    <cellStyle name="Millares 3 13 16" xfId="1884" xr:uid="{00000000-0005-0000-0000-00005C070000}"/>
    <cellStyle name="Millares 3 13 17" xfId="1885" xr:uid="{00000000-0005-0000-0000-00005D070000}"/>
    <cellStyle name="Millares 3 13 2" xfId="1886" xr:uid="{00000000-0005-0000-0000-00005E070000}"/>
    <cellStyle name="Millares 3 13 3" xfId="1887" xr:uid="{00000000-0005-0000-0000-00005F070000}"/>
    <cellStyle name="Millares 3 13 3 2" xfId="1888" xr:uid="{00000000-0005-0000-0000-000060070000}"/>
    <cellStyle name="Millares 3 13 4" xfId="1889" xr:uid="{00000000-0005-0000-0000-000061070000}"/>
    <cellStyle name="Millares 3 13 5" xfId="1890" xr:uid="{00000000-0005-0000-0000-000062070000}"/>
    <cellStyle name="Millares 3 13 6" xfId="1891" xr:uid="{00000000-0005-0000-0000-000063070000}"/>
    <cellStyle name="Millares 3 13 7" xfId="1892" xr:uid="{00000000-0005-0000-0000-000064070000}"/>
    <cellStyle name="Millares 3 13 8" xfId="1893" xr:uid="{00000000-0005-0000-0000-000065070000}"/>
    <cellStyle name="Millares 3 13 9" xfId="1894" xr:uid="{00000000-0005-0000-0000-000066070000}"/>
    <cellStyle name="Millares 3 14" xfId="1895" xr:uid="{00000000-0005-0000-0000-000067070000}"/>
    <cellStyle name="Millares 3 14 10" xfId="1896" xr:uid="{00000000-0005-0000-0000-000068070000}"/>
    <cellStyle name="Millares 3 14 11" xfId="1897" xr:uid="{00000000-0005-0000-0000-000069070000}"/>
    <cellStyle name="Millares 3 14 12" xfId="1898" xr:uid="{00000000-0005-0000-0000-00006A070000}"/>
    <cellStyle name="Millares 3 14 13" xfId="1899" xr:uid="{00000000-0005-0000-0000-00006B070000}"/>
    <cellStyle name="Millares 3 14 14" xfId="1900" xr:uid="{00000000-0005-0000-0000-00006C070000}"/>
    <cellStyle name="Millares 3 14 15" xfId="1901" xr:uid="{00000000-0005-0000-0000-00006D070000}"/>
    <cellStyle name="Millares 3 14 16" xfId="1902" xr:uid="{00000000-0005-0000-0000-00006E070000}"/>
    <cellStyle name="Millares 3 14 17" xfId="1903" xr:uid="{00000000-0005-0000-0000-00006F070000}"/>
    <cellStyle name="Millares 3 14 2" xfId="1904" xr:uid="{00000000-0005-0000-0000-000070070000}"/>
    <cellStyle name="Millares 3 14 3" xfId="1905" xr:uid="{00000000-0005-0000-0000-000071070000}"/>
    <cellStyle name="Millares 3 14 3 2" xfId="1906" xr:uid="{00000000-0005-0000-0000-000072070000}"/>
    <cellStyle name="Millares 3 14 4" xfId="1907" xr:uid="{00000000-0005-0000-0000-000073070000}"/>
    <cellStyle name="Millares 3 14 5" xfId="1908" xr:uid="{00000000-0005-0000-0000-000074070000}"/>
    <cellStyle name="Millares 3 14 6" xfId="1909" xr:uid="{00000000-0005-0000-0000-000075070000}"/>
    <cellStyle name="Millares 3 14 7" xfId="1910" xr:uid="{00000000-0005-0000-0000-000076070000}"/>
    <cellStyle name="Millares 3 14 8" xfId="1911" xr:uid="{00000000-0005-0000-0000-000077070000}"/>
    <cellStyle name="Millares 3 14 9" xfId="1912" xr:uid="{00000000-0005-0000-0000-000078070000}"/>
    <cellStyle name="Millares 3 15" xfId="1913" xr:uid="{00000000-0005-0000-0000-000079070000}"/>
    <cellStyle name="Millares 3 16" xfId="1914" xr:uid="{00000000-0005-0000-0000-00007A070000}"/>
    <cellStyle name="Millares 3 17" xfId="1915" xr:uid="{00000000-0005-0000-0000-00007B070000}"/>
    <cellStyle name="Millares 3 18" xfId="1916" xr:uid="{00000000-0005-0000-0000-00007C070000}"/>
    <cellStyle name="Millares 3 19" xfId="1917" xr:uid="{00000000-0005-0000-0000-00007D070000}"/>
    <cellStyle name="Millares 3 2" xfId="1918" xr:uid="{00000000-0005-0000-0000-00007E070000}"/>
    <cellStyle name="Millares 3 2 10" xfId="1919" xr:uid="{00000000-0005-0000-0000-00007F070000}"/>
    <cellStyle name="Millares 3 2 11" xfId="1920" xr:uid="{00000000-0005-0000-0000-000080070000}"/>
    <cellStyle name="Millares 3 2 12" xfId="1921" xr:uid="{00000000-0005-0000-0000-000081070000}"/>
    <cellStyle name="Millares 3 2 13" xfId="1922" xr:uid="{00000000-0005-0000-0000-000082070000}"/>
    <cellStyle name="Millares 3 2 14" xfId="1923" xr:uid="{00000000-0005-0000-0000-000083070000}"/>
    <cellStyle name="Millares 3 2 15" xfId="1924" xr:uid="{00000000-0005-0000-0000-000084070000}"/>
    <cellStyle name="Millares 3 2 16" xfId="1925" xr:uid="{00000000-0005-0000-0000-000085070000}"/>
    <cellStyle name="Millares 3 2 17" xfId="1926" xr:uid="{00000000-0005-0000-0000-000086070000}"/>
    <cellStyle name="Millares 3 2 18" xfId="1927" xr:uid="{00000000-0005-0000-0000-000087070000}"/>
    <cellStyle name="Millares 3 2 19" xfId="1928" xr:uid="{00000000-0005-0000-0000-000088070000}"/>
    <cellStyle name="Millares 3 2 2" xfId="1929" xr:uid="{00000000-0005-0000-0000-000089070000}"/>
    <cellStyle name="Millares 3 2 2 10" xfId="1930" xr:uid="{00000000-0005-0000-0000-00008A070000}"/>
    <cellStyle name="Millares 3 2 2 11" xfId="1931" xr:uid="{00000000-0005-0000-0000-00008B070000}"/>
    <cellStyle name="Millares 3 2 2 12" xfId="1932" xr:uid="{00000000-0005-0000-0000-00008C070000}"/>
    <cellStyle name="Millares 3 2 2 13" xfId="1933" xr:uid="{00000000-0005-0000-0000-00008D070000}"/>
    <cellStyle name="Millares 3 2 2 14" xfId="1934" xr:uid="{00000000-0005-0000-0000-00008E070000}"/>
    <cellStyle name="Millares 3 2 2 15" xfId="1935" xr:uid="{00000000-0005-0000-0000-00008F070000}"/>
    <cellStyle name="Millares 3 2 2 16" xfId="1936" xr:uid="{00000000-0005-0000-0000-000090070000}"/>
    <cellStyle name="Millares 3 2 2 17" xfId="1937" xr:uid="{00000000-0005-0000-0000-000091070000}"/>
    <cellStyle name="Millares 3 2 2 18" xfId="1938" xr:uid="{00000000-0005-0000-0000-000092070000}"/>
    <cellStyle name="Millares 3 2 2 2" xfId="1939" xr:uid="{00000000-0005-0000-0000-000093070000}"/>
    <cellStyle name="Millares 3 2 2 2 2" xfId="1940" xr:uid="{00000000-0005-0000-0000-000094070000}"/>
    <cellStyle name="Millares 3 2 2 2 2 2" xfId="1941" xr:uid="{00000000-0005-0000-0000-000095070000}"/>
    <cellStyle name="Millares 3 2 2 2 2 2 2" xfId="1942" xr:uid="{00000000-0005-0000-0000-000096070000}"/>
    <cellStyle name="Millares 3 2 2 2 2 2 2 2" xfId="1943" xr:uid="{00000000-0005-0000-0000-000097070000}"/>
    <cellStyle name="Millares 3 2 2 2 2 2 2 3" xfId="1944" xr:uid="{00000000-0005-0000-0000-000098070000}"/>
    <cellStyle name="Millares 3 2 2 2 2 2 3" xfId="1945" xr:uid="{00000000-0005-0000-0000-000099070000}"/>
    <cellStyle name="Millares 3 2 2 2 2 3" xfId="1946" xr:uid="{00000000-0005-0000-0000-00009A070000}"/>
    <cellStyle name="Millares 3 2 2 2 2 4" xfId="1947" xr:uid="{00000000-0005-0000-0000-00009B070000}"/>
    <cellStyle name="Millares 3 2 2 2 2 5" xfId="1948" xr:uid="{00000000-0005-0000-0000-00009C070000}"/>
    <cellStyle name="Millares 3 2 2 2 3" xfId="1949" xr:uid="{00000000-0005-0000-0000-00009D070000}"/>
    <cellStyle name="Millares 3 2 2 2 4" xfId="1950" xr:uid="{00000000-0005-0000-0000-00009E070000}"/>
    <cellStyle name="Millares 3 2 2 2 5" xfId="1951" xr:uid="{00000000-0005-0000-0000-00009F070000}"/>
    <cellStyle name="Millares 3 2 2 3" xfId="1952" xr:uid="{00000000-0005-0000-0000-0000A0070000}"/>
    <cellStyle name="Millares 3 2 2 4" xfId="1953" xr:uid="{00000000-0005-0000-0000-0000A1070000}"/>
    <cellStyle name="Millares 3 2 2 5" xfId="1954" xr:uid="{00000000-0005-0000-0000-0000A2070000}"/>
    <cellStyle name="Millares 3 2 2 5 10" xfId="1955" xr:uid="{00000000-0005-0000-0000-0000A3070000}"/>
    <cellStyle name="Millares 3 2 2 5 11" xfId="1956" xr:uid="{00000000-0005-0000-0000-0000A4070000}"/>
    <cellStyle name="Millares 3 2 2 5 12" xfId="1957" xr:uid="{00000000-0005-0000-0000-0000A5070000}"/>
    <cellStyle name="Millares 3 2 2 5 13" xfId="1958" xr:uid="{00000000-0005-0000-0000-0000A6070000}"/>
    <cellStyle name="Millares 3 2 2 5 14" xfId="1959" xr:uid="{00000000-0005-0000-0000-0000A7070000}"/>
    <cellStyle name="Millares 3 2 2 5 15" xfId="1960" xr:uid="{00000000-0005-0000-0000-0000A8070000}"/>
    <cellStyle name="Millares 3 2 2 5 16" xfId="1961" xr:uid="{00000000-0005-0000-0000-0000A9070000}"/>
    <cellStyle name="Millares 3 2 2 5 17" xfId="1962" xr:uid="{00000000-0005-0000-0000-0000AA070000}"/>
    <cellStyle name="Millares 3 2 2 5 18" xfId="1963" xr:uid="{00000000-0005-0000-0000-0000AB070000}"/>
    <cellStyle name="Millares 3 2 2 5 2" xfId="1964" xr:uid="{00000000-0005-0000-0000-0000AC070000}"/>
    <cellStyle name="Millares 3 2 2 5 2 10" xfId="1965" xr:uid="{00000000-0005-0000-0000-0000AD070000}"/>
    <cellStyle name="Millares 3 2 2 5 2 11" xfId="1966" xr:uid="{00000000-0005-0000-0000-0000AE070000}"/>
    <cellStyle name="Millares 3 2 2 5 2 12" xfId="1967" xr:uid="{00000000-0005-0000-0000-0000AF070000}"/>
    <cellStyle name="Millares 3 2 2 5 2 13" xfId="1968" xr:uid="{00000000-0005-0000-0000-0000B0070000}"/>
    <cellStyle name="Millares 3 2 2 5 2 14" xfId="1969" xr:uid="{00000000-0005-0000-0000-0000B1070000}"/>
    <cellStyle name="Millares 3 2 2 5 2 15" xfId="1970" xr:uid="{00000000-0005-0000-0000-0000B2070000}"/>
    <cellStyle name="Millares 3 2 2 5 2 2" xfId="1971" xr:uid="{00000000-0005-0000-0000-0000B3070000}"/>
    <cellStyle name="Millares 3 2 2 5 2 2 2" xfId="1972" xr:uid="{00000000-0005-0000-0000-0000B4070000}"/>
    <cellStyle name="Millares 3 2 2 5 2 2 3" xfId="1973" xr:uid="{00000000-0005-0000-0000-0000B5070000}"/>
    <cellStyle name="Millares 3 2 2 5 2 2 4" xfId="1974" xr:uid="{00000000-0005-0000-0000-0000B6070000}"/>
    <cellStyle name="Millares 3 2 2 5 2 2 5" xfId="1975" xr:uid="{00000000-0005-0000-0000-0000B7070000}"/>
    <cellStyle name="Millares 3 2 2 5 2 2 6" xfId="1976" xr:uid="{00000000-0005-0000-0000-0000B8070000}"/>
    <cellStyle name="Millares 3 2 2 5 2 3" xfId="1977" xr:uid="{00000000-0005-0000-0000-0000B9070000}"/>
    <cellStyle name="Millares 3 2 2 5 2 4" xfId="1978" xr:uid="{00000000-0005-0000-0000-0000BA070000}"/>
    <cellStyle name="Millares 3 2 2 5 2 5" xfId="1979" xr:uid="{00000000-0005-0000-0000-0000BB070000}"/>
    <cellStyle name="Millares 3 2 2 5 2 6" xfId="1980" xr:uid="{00000000-0005-0000-0000-0000BC070000}"/>
    <cellStyle name="Millares 3 2 2 5 2 7" xfId="1981" xr:uid="{00000000-0005-0000-0000-0000BD070000}"/>
    <cellStyle name="Millares 3 2 2 5 2 8" xfId="1982" xr:uid="{00000000-0005-0000-0000-0000BE070000}"/>
    <cellStyle name="Millares 3 2 2 5 2 9" xfId="1983" xr:uid="{00000000-0005-0000-0000-0000BF070000}"/>
    <cellStyle name="Millares 3 2 2 5 3" xfId="1984" xr:uid="{00000000-0005-0000-0000-0000C0070000}"/>
    <cellStyle name="Millares 3 2 2 5 3 10" xfId="1985" xr:uid="{00000000-0005-0000-0000-0000C1070000}"/>
    <cellStyle name="Millares 3 2 2 5 3 2" xfId="1986" xr:uid="{00000000-0005-0000-0000-0000C2070000}"/>
    <cellStyle name="Millares 3 2 2 5 3 3" xfId="1987" xr:uid="{00000000-0005-0000-0000-0000C3070000}"/>
    <cellStyle name="Millares 3 2 2 5 3 4" xfId="1988" xr:uid="{00000000-0005-0000-0000-0000C4070000}"/>
    <cellStyle name="Millares 3 2 2 5 3 5" xfId="1989" xr:uid="{00000000-0005-0000-0000-0000C5070000}"/>
    <cellStyle name="Millares 3 2 2 5 3 6" xfId="1990" xr:uid="{00000000-0005-0000-0000-0000C6070000}"/>
    <cellStyle name="Millares 3 2 2 5 3 7" xfId="1991" xr:uid="{00000000-0005-0000-0000-0000C7070000}"/>
    <cellStyle name="Millares 3 2 2 5 3 8" xfId="1992" xr:uid="{00000000-0005-0000-0000-0000C8070000}"/>
    <cellStyle name="Millares 3 2 2 5 3 9" xfId="1993" xr:uid="{00000000-0005-0000-0000-0000C9070000}"/>
    <cellStyle name="Millares 3 2 2 5 4" xfId="1994" xr:uid="{00000000-0005-0000-0000-0000CA070000}"/>
    <cellStyle name="Millares 3 2 2 5 5" xfId="1995" xr:uid="{00000000-0005-0000-0000-0000CB070000}"/>
    <cellStyle name="Millares 3 2 2 5 6" xfId="1996" xr:uid="{00000000-0005-0000-0000-0000CC070000}"/>
    <cellStyle name="Millares 3 2 2 5 7" xfId="1997" xr:uid="{00000000-0005-0000-0000-0000CD070000}"/>
    <cellStyle name="Millares 3 2 2 5 8" xfId="1998" xr:uid="{00000000-0005-0000-0000-0000CE070000}"/>
    <cellStyle name="Millares 3 2 2 5 9" xfId="1999" xr:uid="{00000000-0005-0000-0000-0000CF070000}"/>
    <cellStyle name="Millares 3 2 2 6" xfId="2000" xr:uid="{00000000-0005-0000-0000-0000D0070000}"/>
    <cellStyle name="Millares 3 2 2 7" xfId="2001" xr:uid="{00000000-0005-0000-0000-0000D1070000}"/>
    <cellStyle name="Millares 3 2 2 8" xfId="2002" xr:uid="{00000000-0005-0000-0000-0000D2070000}"/>
    <cellStyle name="Millares 3 2 2 9" xfId="2003" xr:uid="{00000000-0005-0000-0000-0000D3070000}"/>
    <cellStyle name="Millares 3 2 20" xfId="2004" xr:uid="{00000000-0005-0000-0000-0000D4070000}"/>
    <cellStyle name="Millares 3 2 21" xfId="2005" xr:uid="{00000000-0005-0000-0000-0000D5070000}"/>
    <cellStyle name="Millares 3 2 22" xfId="2006" xr:uid="{00000000-0005-0000-0000-0000D6070000}"/>
    <cellStyle name="Millares 3 2 23" xfId="2007" xr:uid="{00000000-0005-0000-0000-0000D7070000}"/>
    <cellStyle name="Millares 3 2 24" xfId="2008" xr:uid="{00000000-0005-0000-0000-0000D8070000}"/>
    <cellStyle name="Millares 3 2 3" xfId="2009" xr:uid="{00000000-0005-0000-0000-0000D9070000}"/>
    <cellStyle name="Millares 3 2 4" xfId="2010" xr:uid="{00000000-0005-0000-0000-0000DA070000}"/>
    <cellStyle name="Millares 3 2 5" xfId="2011" xr:uid="{00000000-0005-0000-0000-0000DB070000}"/>
    <cellStyle name="Millares 3 2 6" xfId="2012" xr:uid="{00000000-0005-0000-0000-0000DC070000}"/>
    <cellStyle name="Millares 3 2 7" xfId="2013" xr:uid="{00000000-0005-0000-0000-0000DD070000}"/>
    <cellStyle name="Millares 3 2 8" xfId="2014" xr:uid="{00000000-0005-0000-0000-0000DE070000}"/>
    <cellStyle name="Millares 3 2 9" xfId="2015" xr:uid="{00000000-0005-0000-0000-0000DF070000}"/>
    <cellStyle name="Millares 3 20" xfId="2016" xr:uid="{00000000-0005-0000-0000-0000E0070000}"/>
    <cellStyle name="Millares 3 21" xfId="2017" xr:uid="{00000000-0005-0000-0000-0000E1070000}"/>
    <cellStyle name="Millares 3 22" xfId="2018" xr:uid="{00000000-0005-0000-0000-0000E2070000}"/>
    <cellStyle name="Millares 3 23" xfId="2019" xr:uid="{00000000-0005-0000-0000-0000E3070000}"/>
    <cellStyle name="Millares 3 24" xfId="2020" xr:uid="{00000000-0005-0000-0000-0000E4070000}"/>
    <cellStyle name="Millares 3 25" xfId="2021" xr:uid="{00000000-0005-0000-0000-0000E5070000}"/>
    <cellStyle name="Millares 3 26" xfId="2022" xr:uid="{00000000-0005-0000-0000-0000E6070000}"/>
    <cellStyle name="Millares 3 27" xfId="2023" xr:uid="{00000000-0005-0000-0000-0000E7070000}"/>
    <cellStyle name="Millares 3 28" xfId="2024" xr:uid="{00000000-0005-0000-0000-0000E8070000}"/>
    <cellStyle name="Millares 3 29" xfId="2025" xr:uid="{00000000-0005-0000-0000-0000E9070000}"/>
    <cellStyle name="Millares 3 3" xfId="2026" xr:uid="{00000000-0005-0000-0000-0000EA070000}"/>
    <cellStyle name="Millares 3 30" xfId="2027" xr:uid="{00000000-0005-0000-0000-0000EB070000}"/>
    <cellStyle name="Millares 3 4" xfId="2028" xr:uid="{00000000-0005-0000-0000-0000EC070000}"/>
    <cellStyle name="Millares 3 5" xfId="2029" xr:uid="{00000000-0005-0000-0000-0000ED070000}"/>
    <cellStyle name="Millares 3 6" xfId="2030" xr:uid="{00000000-0005-0000-0000-0000EE070000}"/>
    <cellStyle name="Millares 3 7" xfId="2031" xr:uid="{00000000-0005-0000-0000-0000EF070000}"/>
    <cellStyle name="Millares 3 8" xfId="2032" xr:uid="{00000000-0005-0000-0000-0000F0070000}"/>
    <cellStyle name="Millares 3 9" xfId="2033" xr:uid="{00000000-0005-0000-0000-0000F1070000}"/>
    <cellStyle name="Millares 30" xfId="2034" xr:uid="{00000000-0005-0000-0000-0000F2070000}"/>
    <cellStyle name="Millares 30 10" xfId="2035" xr:uid="{00000000-0005-0000-0000-0000F3070000}"/>
    <cellStyle name="Millares 30 11" xfId="2036" xr:uid="{00000000-0005-0000-0000-0000F4070000}"/>
    <cellStyle name="Millares 30 12" xfId="2037" xr:uid="{00000000-0005-0000-0000-0000F5070000}"/>
    <cellStyle name="Millares 30 13" xfId="2038" xr:uid="{00000000-0005-0000-0000-0000F6070000}"/>
    <cellStyle name="Millares 30 14" xfId="2039" xr:uid="{00000000-0005-0000-0000-0000F7070000}"/>
    <cellStyle name="Millares 30 15" xfId="2040" xr:uid="{00000000-0005-0000-0000-0000F8070000}"/>
    <cellStyle name="Millares 30 16" xfId="2041" xr:uid="{00000000-0005-0000-0000-0000F9070000}"/>
    <cellStyle name="Millares 30 17" xfId="2042" xr:uid="{00000000-0005-0000-0000-0000FA070000}"/>
    <cellStyle name="Millares 30 18" xfId="2043" xr:uid="{00000000-0005-0000-0000-0000FB070000}"/>
    <cellStyle name="Millares 30 19" xfId="2044" xr:uid="{00000000-0005-0000-0000-0000FC070000}"/>
    <cellStyle name="Millares 30 2" xfId="2045" xr:uid="{00000000-0005-0000-0000-0000FD070000}"/>
    <cellStyle name="Millares 30 2 2" xfId="2046" xr:uid="{00000000-0005-0000-0000-0000FE070000}"/>
    <cellStyle name="Millares 30 2 3" xfId="2047" xr:uid="{00000000-0005-0000-0000-0000FF070000}"/>
    <cellStyle name="Millares 30 20" xfId="2048" xr:uid="{00000000-0005-0000-0000-000000080000}"/>
    <cellStyle name="Millares 30 21" xfId="2049" xr:uid="{00000000-0005-0000-0000-000001080000}"/>
    <cellStyle name="Millares 30 22" xfId="2050" xr:uid="{00000000-0005-0000-0000-000002080000}"/>
    <cellStyle name="Millares 30 23" xfId="2051" xr:uid="{00000000-0005-0000-0000-000003080000}"/>
    <cellStyle name="Millares 30 24" xfId="2052" xr:uid="{00000000-0005-0000-0000-000004080000}"/>
    <cellStyle name="Millares 30 25" xfId="2053" xr:uid="{00000000-0005-0000-0000-000005080000}"/>
    <cellStyle name="Millares 30 3" xfId="2054" xr:uid="{00000000-0005-0000-0000-000006080000}"/>
    <cellStyle name="Millares 30 3 2" xfId="2055" xr:uid="{00000000-0005-0000-0000-000007080000}"/>
    <cellStyle name="Millares 30 3 3" xfId="2056" xr:uid="{00000000-0005-0000-0000-000008080000}"/>
    <cellStyle name="Millares 30 4" xfId="2057" xr:uid="{00000000-0005-0000-0000-000009080000}"/>
    <cellStyle name="Millares 30 5" xfId="2058" xr:uid="{00000000-0005-0000-0000-00000A080000}"/>
    <cellStyle name="Millares 30 6" xfId="2059" xr:uid="{00000000-0005-0000-0000-00000B080000}"/>
    <cellStyle name="Millares 30 7" xfId="2060" xr:uid="{00000000-0005-0000-0000-00000C080000}"/>
    <cellStyle name="Millares 30 8" xfId="2061" xr:uid="{00000000-0005-0000-0000-00000D080000}"/>
    <cellStyle name="Millares 30 9" xfId="2062" xr:uid="{00000000-0005-0000-0000-00000E080000}"/>
    <cellStyle name="Millares 4" xfId="2063" xr:uid="{00000000-0005-0000-0000-00000F080000}"/>
    <cellStyle name="Millares 4 2" xfId="2064" xr:uid="{00000000-0005-0000-0000-000010080000}"/>
    <cellStyle name="Millares 4 3" xfId="2065" xr:uid="{00000000-0005-0000-0000-000011080000}"/>
    <cellStyle name="Millares 5" xfId="2066" xr:uid="{00000000-0005-0000-0000-000012080000}"/>
    <cellStyle name="Millares 5 10" xfId="2067" xr:uid="{00000000-0005-0000-0000-000013080000}"/>
    <cellStyle name="Millares 5 11" xfId="2068" xr:uid="{00000000-0005-0000-0000-000014080000}"/>
    <cellStyle name="Millares 5 12" xfId="2069" xr:uid="{00000000-0005-0000-0000-000015080000}"/>
    <cellStyle name="Millares 5 13" xfId="2070" xr:uid="{00000000-0005-0000-0000-000016080000}"/>
    <cellStyle name="Millares 5 14" xfId="2071" xr:uid="{00000000-0005-0000-0000-000017080000}"/>
    <cellStyle name="Millares 5 15" xfId="2072" xr:uid="{00000000-0005-0000-0000-000018080000}"/>
    <cellStyle name="Millares 5 16" xfId="2073" xr:uid="{00000000-0005-0000-0000-000019080000}"/>
    <cellStyle name="Millares 5 17" xfId="2074" xr:uid="{00000000-0005-0000-0000-00001A080000}"/>
    <cellStyle name="Millares 5 18" xfId="2075" xr:uid="{00000000-0005-0000-0000-00001B080000}"/>
    <cellStyle name="Millares 5 19" xfId="2076" xr:uid="{00000000-0005-0000-0000-00001C080000}"/>
    <cellStyle name="Millares 5 2" xfId="2077" xr:uid="{00000000-0005-0000-0000-00001D080000}"/>
    <cellStyle name="Millares 5 2 2" xfId="2078" xr:uid="{00000000-0005-0000-0000-00001E080000}"/>
    <cellStyle name="Millares 5 20" xfId="2079" xr:uid="{00000000-0005-0000-0000-00001F080000}"/>
    <cellStyle name="Millares 5 21" xfId="2080" xr:uid="{00000000-0005-0000-0000-000020080000}"/>
    <cellStyle name="Millares 5 22" xfId="2081" xr:uid="{00000000-0005-0000-0000-000021080000}"/>
    <cellStyle name="Millares 5 23" xfId="2082" xr:uid="{00000000-0005-0000-0000-000022080000}"/>
    <cellStyle name="Millares 5 24" xfId="2083" xr:uid="{00000000-0005-0000-0000-000023080000}"/>
    <cellStyle name="Millares 5 25" xfId="2084" xr:uid="{00000000-0005-0000-0000-000024080000}"/>
    <cellStyle name="Millares 5 26" xfId="2085" xr:uid="{00000000-0005-0000-0000-000025080000}"/>
    <cellStyle name="Millares 5 3" xfId="2086" xr:uid="{00000000-0005-0000-0000-000026080000}"/>
    <cellStyle name="Millares 5 4" xfId="2087" xr:uid="{00000000-0005-0000-0000-000027080000}"/>
    <cellStyle name="Millares 5 5" xfId="2088" xr:uid="{00000000-0005-0000-0000-000028080000}"/>
    <cellStyle name="Millares 5 6" xfId="2089" xr:uid="{00000000-0005-0000-0000-000029080000}"/>
    <cellStyle name="Millares 5 7" xfId="2090" xr:uid="{00000000-0005-0000-0000-00002A080000}"/>
    <cellStyle name="Millares 5 8" xfId="2091" xr:uid="{00000000-0005-0000-0000-00002B080000}"/>
    <cellStyle name="Millares 5 9" xfId="2092" xr:uid="{00000000-0005-0000-0000-00002C080000}"/>
    <cellStyle name="Millares 6" xfId="2093" xr:uid="{00000000-0005-0000-0000-00002D080000}"/>
    <cellStyle name="Millares 6 2" xfId="2094" xr:uid="{00000000-0005-0000-0000-00002E080000}"/>
    <cellStyle name="Millares 7" xfId="2095" xr:uid="{00000000-0005-0000-0000-00002F080000}"/>
    <cellStyle name="Millares 7 10" xfId="2096" xr:uid="{00000000-0005-0000-0000-000030080000}"/>
    <cellStyle name="Millares 7 11" xfId="2097" xr:uid="{00000000-0005-0000-0000-000031080000}"/>
    <cellStyle name="Millares 7 12" xfId="2098" xr:uid="{00000000-0005-0000-0000-000032080000}"/>
    <cellStyle name="Millares 7 13" xfId="2099" xr:uid="{00000000-0005-0000-0000-000033080000}"/>
    <cellStyle name="Millares 7 14" xfId="2100" xr:uid="{00000000-0005-0000-0000-000034080000}"/>
    <cellStyle name="Millares 7 15" xfId="2101" xr:uid="{00000000-0005-0000-0000-000035080000}"/>
    <cellStyle name="Millares 7 16" xfId="2102" xr:uid="{00000000-0005-0000-0000-000036080000}"/>
    <cellStyle name="Millares 7 17" xfId="2103" xr:uid="{00000000-0005-0000-0000-000037080000}"/>
    <cellStyle name="Millares 7 18" xfId="2104" xr:uid="{00000000-0005-0000-0000-000038080000}"/>
    <cellStyle name="Millares 7 19" xfId="2105" xr:uid="{00000000-0005-0000-0000-000039080000}"/>
    <cellStyle name="Millares 7 2" xfId="2106" xr:uid="{00000000-0005-0000-0000-00003A080000}"/>
    <cellStyle name="Millares 7 20" xfId="2107" xr:uid="{00000000-0005-0000-0000-00003B080000}"/>
    <cellStyle name="Millares 7 21" xfId="2108" xr:uid="{00000000-0005-0000-0000-00003C080000}"/>
    <cellStyle name="Millares 7 22" xfId="2109" xr:uid="{00000000-0005-0000-0000-00003D080000}"/>
    <cellStyle name="Millares 7 23" xfId="2110" xr:uid="{00000000-0005-0000-0000-00003E080000}"/>
    <cellStyle name="Millares 7 24" xfId="2111" xr:uid="{00000000-0005-0000-0000-00003F080000}"/>
    <cellStyle name="Millares 7 3" xfId="2112" xr:uid="{00000000-0005-0000-0000-000040080000}"/>
    <cellStyle name="Millares 7 4" xfId="2113" xr:uid="{00000000-0005-0000-0000-000041080000}"/>
    <cellStyle name="Millares 7 5" xfId="2114" xr:uid="{00000000-0005-0000-0000-000042080000}"/>
    <cellStyle name="Millares 7 6" xfId="2115" xr:uid="{00000000-0005-0000-0000-000043080000}"/>
    <cellStyle name="Millares 7 7" xfId="2116" xr:uid="{00000000-0005-0000-0000-000044080000}"/>
    <cellStyle name="Millares 7 8" xfId="2117" xr:uid="{00000000-0005-0000-0000-000045080000}"/>
    <cellStyle name="Millares 7 9" xfId="2118" xr:uid="{00000000-0005-0000-0000-000046080000}"/>
    <cellStyle name="Millares 8" xfId="2119" xr:uid="{00000000-0005-0000-0000-000047080000}"/>
    <cellStyle name="Millares 8 10" xfId="2120" xr:uid="{00000000-0005-0000-0000-000048080000}"/>
    <cellStyle name="Millares 8 11" xfId="2121" xr:uid="{00000000-0005-0000-0000-000049080000}"/>
    <cellStyle name="Millares 8 12" xfId="2122" xr:uid="{00000000-0005-0000-0000-00004A080000}"/>
    <cellStyle name="Millares 8 13" xfId="2123" xr:uid="{00000000-0005-0000-0000-00004B080000}"/>
    <cellStyle name="Millares 8 14" xfId="2124" xr:uid="{00000000-0005-0000-0000-00004C080000}"/>
    <cellStyle name="Millares 8 15" xfId="2125" xr:uid="{00000000-0005-0000-0000-00004D080000}"/>
    <cellStyle name="Millares 8 16" xfId="2126" xr:uid="{00000000-0005-0000-0000-00004E080000}"/>
    <cellStyle name="Millares 8 17" xfId="2127" xr:uid="{00000000-0005-0000-0000-00004F080000}"/>
    <cellStyle name="Millares 8 18" xfId="2128" xr:uid="{00000000-0005-0000-0000-000050080000}"/>
    <cellStyle name="Millares 8 19" xfId="2129" xr:uid="{00000000-0005-0000-0000-000051080000}"/>
    <cellStyle name="Millares 8 2" xfId="2130" xr:uid="{00000000-0005-0000-0000-000052080000}"/>
    <cellStyle name="Millares 8 20" xfId="2131" xr:uid="{00000000-0005-0000-0000-000053080000}"/>
    <cellStyle name="Millares 8 21" xfId="2132" xr:uid="{00000000-0005-0000-0000-000054080000}"/>
    <cellStyle name="Millares 8 22" xfId="2133" xr:uid="{00000000-0005-0000-0000-000055080000}"/>
    <cellStyle name="Millares 8 23" xfId="2134" xr:uid="{00000000-0005-0000-0000-000056080000}"/>
    <cellStyle name="Millares 8 24" xfId="2135" xr:uid="{00000000-0005-0000-0000-000057080000}"/>
    <cellStyle name="Millares 8 3" xfId="2136" xr:uid="{00000000-0005-0000-0000-000058080000}"/>
    <cellStyle name="Millares 8 4" xfId="2137" xr:uid="{00000000-0005-0000-0000-000059080000}"/>
    <cellStyle name="Millares 8 5" xfId="2138" xr:uid="{00000000-0005-0000-0000-00005A080000}"/>
    <cellStyle name="Millares 8 6" xfId="2139" xr:uid="{00000000-0005-0000-0000-00005B080000}"/>
    <cellStyle name="Millares 8 7" xfId="2140" xr:uid="{00000000-0005-0000-0000-00005C080000}"/>
    <cellStyle name="Millares 8 8" xfId="2141" xr:uid="{00000000-0005-0000-0000-00005D080000}"/>
    <cellStyle name="Millares 8 9" xfId="2142" xr:uid="{00000000-0005-0000-0000-00005E080000}"/>
    <cellStyle name="Millares 9" xfId="2143" xr:uid="{00000000-0005-0000-0000-00005F080000}"/>
    <cellStyle name="Moneda 2" xfId="5" xr:uid="{00000000-0005-0000-0000-000005000000}"/>
    <cellStyle name="Moneda 2 10" xfId="2144" xr:uid="{00000000-0005-0000-0000-000060080000}"/>
    <cellStyle name="Moneda 2 2" xfId="2145" xr:uid="{00000000-0005-0000-0000-000061080000}"/>
    <cellStyle name="Moneda 2 2 2" xfId="2146" xr:uid="{00000000-0005-0000-0000-000062080000}"/>
    <cellStyle name="Moneda 2 2 3" xfId="2147" xr:uid="{00000000-0005-0000-0000-000063080000}"/>
    <cellStyle name="Moneda 2 3" xfId="2148" xr:uid="{00000000-0005-0000-0000-000064080000}"/>
    <cellStyle name="Moneda 2 3 2" xfId="2149" xr:uid="{00000000-0005-0000-0000-000065080000}"/>
    <cellStyle name="Moneda 2 4" xfId="2150" xr:uid="{00000000-0005-0000-0000-000066080000}"/>
    <cellStyle name="Moneda 2 4 2" xfId="2151" xr:uid="{00000000-0005-0000-0000-000067080000}"/>
    <cellStyle name="Moneda 2 5" xfId="2152" xr:uid="{00000000-0005-0000-0000-000068080000}"/>
    <cellStyle name="Moneda 2 5 2" xfId="2153" xr:uid="{00000000-0005-0000-0000-000069080000}"/>
    <cellStyle name="Moneda 2 6" xfId="2154" xr:uid="{00000000-0005-0000-0000-00006A080000}"/>
    <cellStyle name="Moneda 2 6 2" xfId="2155" xr:uid="{00000000-0005-0000-0000-00006B080000}"/>
    <cellStyle name="Moneda 2 7" xfId="2156" xr:uid="{00000000-0005-0000-0000-00006C080000}"/>
    <cellStyle name="Moneda 2 7 2" xfId="2157" xr:uid="{00000000-0005-0000-0000-00006D080000}"/>
    <cellStyle name="Moneda 2 8" xfId="2158" xr:uid="{00000000-0005-0000-0000-00006E080000}"/>
    <cellStyle name="Moneda 2 8 2" xfId="2159" xr:uid="{00000000-0005-0000-0000-00006F080000}"/>
    <cellStyle name="Moneda 2 9" xfId="2160" xr:uid="{00000000-0005-0000-0000-000070080000}"/>
    <cellStyle name="Moneda 26" xfId="2161" xr:uid="{00000000-0005-0000-0000-000071080000}"/>
    <cellStyle name="Moneda 26 2" xfId="2162" xr:uid="{00000000-0005-0000-0000-000072080000}"/>
    <cellStyle name="Moneda 26 2 2" xfId="2163" xr:uid="{00000000-0005-0000-0000-000073080000}"/>
    <cellStyle name="Moneda 26 2 3" xfId="2164" xr:uid="{00000000-0005-0000-0000-000074080000}"/>
    <cellStyle name="Moneda 26 3" xfId="2165" xr:uid="{00000000-0005-0000-0000-000075080000}"/>
    <cellStyle name="Moneda 26 3 2" xfId="2166" xr:uid="{00000000-0005-0000-0000-000076080000}"/>
    <cellStyle name="Moneda 26 3 3" xfId="2167" xr:uid="{00000000-0005-0000-0000-000077080000}"/>
    <cellStyle name="Moneda 26 4" xfId="2168" xr:uid="{00000000-0005-0000-0000-000078080000}"/>
    <cellStyle name="Moneda 3" xfId="25" xr:uid="{00000000-0005-0000-0000-000019000000}"/>
    <cellStyle name="Moneda 3 2" xfId="2169" xr:uid="{00000000-0005-0000-0000-000079080000}"/>
    <cellStyle name="Moneda 3 3" xfId="2170" xr:uid="{00000000-0005-0000-0000-00007A080000}"/>
    <cellStyle name="Moneda 3 4" xfId="2171" xr:uid="{00000000-0005-0000-0000-00007B080000}"/>
    <cellStyle name="Moneda 3 5" xfId="2172" xr:uid="{00000000-0005-0000-0000-00007C080000}"/>
    <cellStyle name="Moneda 3 6" xfId="2173" xr:uid="{00000000-0005-0000-0000-00007D080000}"/>
    <cellStyle name="Moneda 3 7" xfId="2174" xr:uid="{00000000-0005-0000-0000-00007E080000}"/>
    <cellStyle name="Moneda 3 8" xfId="2175" xr:uid="{00000000-0005-0000-0000-00007F080000}"/>
    <cellStyle name="Moneda 4" xfId="2176" xr:uid="{00000000-0005-0000-0000-000080080000}"/>
    <cellStyle name="Neutral 2" xfId="2177" xr:uid="{00000000-0005-0000-0000-000081080000}"/>
    <cellStyle name="Neutral 3" xfId="2178" xr:uid="{00000000-0005-0000-0000-000082080000}"/>
    <cellStyle name="Neutral 4" xfId="2179" xr:uid="{00000000-0005-0000-0000-000083080000}"/>
    <cellStyle name="Normal" xfId="0" builtinId="0"/>
    <cellStyle name="Normal 10" xfId="2180" xr:uid="{00000000-0005-0000-0000-000084080000}"/>
    <cellStyle name="Normal 10 10" xfId="2181" xr:uid="{00000000-0005-0000-0000-000085080000}"/>
    <cellStyle name="Normal 10 11" xfId="2182" xr:uid="{00000000-0005-0000-0000-000086080000}"/>
    <cellStyle name="Normal 10 12" xfId="2183" xr:uid="{00000000-0005-0000-0000-000087080000}"/>
    <cellStyle name="Normal 10 13" xfId="2184" xr:uid="{00000000-0005-0000-0000-000088080000}"/>
    <cellStyle name="Normal 10 14" xfId="2185" xr:uid="{00000000-0005-0000-0000-000089080000}"/>
    <cellStyle name="Normal 10 15" xfId="2186" xr:uid="{00000000-0005-0000-0000-00008A080000}"/>
    <cellStyle name="Normal 10 16" xfId="2187" xr:uid="{00000000-0005-0000-0000-00008B080000}"/>
    <cellStyle name="Normal 10 17" xfId="2188" xr:uid="{00000000-0005-0000-0000-00008C080000}"/>
    <cellStyle name="Normal 10 18" xfId="2189" xr:uid="{00000000-0005-0000-0000-00008D080000}"/>
    <cellStyle name="Normal 10 19" xfId="2190" xr:uid="{00000000-0005-0000-0000-00008E080000}"/>
    <cellStyle name="Normal 10 2" xfId="2191" xr:uid="{00000000-0005-0000-0000-00008F080000}"/>
    <cellStyle name="Normal 10 2 10" xfId="6" xr:uid="{00000000-0005-0000-0000-000006000000}"/>
    <cellStyle name="Normal 10 2 10 10" xfId="2192" xr:uid="{00000000-0005-0000-0000-000090080000}"/>
    <cellStyle name="Normal 10 2 10 10 10" xfId="2193" xr:uid="{00000000-0005-0000-0000-000091080000}"/>
    <cellStyle name="Normal 10 2 10 10 11" xfId="2194" xr:uid="{00000000-0005-0000-0000-000092080000}"/>
    <cellStyle name="Normal 10 2 10 10 12" xfId="2195" xr:uid="{00000000-0005-0000-0000-000093080000}"/>
    <cellStyle name="Normal 10 2 10 10 13" xfId="2196" xr:uid="{00000000-0005-0000-0000-000094080000}"/>
    <cellStyle name="Normal 10 2 10 10 14" xfId="2197" xr:uid="{00000000-0005-0000-0000-000095080000}"/>
    <cellStyle name="Normal 10 2 10 10 2" xfId="2198" xr:uid="{00000000-0005-0000-0000-000096080000}"/>
    <cellStyle name="Normal 10 2 10 10 2 10" xfId="2199" xr:uid="{00000000-0005-0000-0000-000097080000}"/>
    <cellStyle name="Normal 10 2 10 10 2 2" xfId="2200" xr:uid="{00000000-0005-0000-0000-000098080000}"/>
    <cellStyle name="Normal 10 2 10 10 2 3" xfId="2201" xr:uid="{00000000-0005-0000-0000-000099080000}"/>
    <cellStyle name="Normal 10 2 10 10 2 4" xfId="2202" xr:uid="{00000000-0005-0000-0000-00009A080000}"/>
    <cellStyle name="Normal 10 2 10 10 2 5" xfId="2203" xr:uid="{00000000-0005-0000-0000-00009B080000}"/>
    <cellStyle name="Normal 10 2 10 10 2 6" xfId="2204" xr:uid="{00000000-0005-0000-0000-00009C080000}"/>
    <cellStyle name="Normal 10 2 10 10 2 7" xfId="2205" xr:uid="{00000000-0005-0000-0000-00009D080000}"/>
    <cellStyle name="Normal 10 2 10 10 2 8" xfId="2206" xr:uid="{00000000-0005-0000-0000-00009E080000}"/>
    <cellStyle name="Normal 10 2 10 10 2 9" xfId="2207" xr:uid="{00000000-0005-0000-0000-00009F080000}"/>
    <cellStyle name="Normal 10 2 10 10 3" xfId="2208" xr:uid="{00000000-0005-0000-0000-0000A0080000}"/>
    <cellStyle name="Normal 10 2 10 10 3 10" xfId="2209" xr:uid="{00000000-0005-0000-0000-0000A1080000}"/>
    <cellStyle name="Normal 10 2 10 10 3 2" xfId="2210" xr:uid="{00000000-0005-0000-0000-0000A2080000}"/>
    <cellStyle name="Normal 10 2 10 10 3 3" xfId="2211" xr:uid="{00000000-0005-0000-0000-0000A3080000}"/>
    <cellStyle name="Normal 10 2 10 10 3 4" xfId="2212" xr:uid="{00000000-0005-0000-0000-0000A4080000}"/>
    <cellStyle name="Normal 10 2 10 10 3 5" xfId="2213" xr:uid="{00000000-0005-0000-0000-0000A5080000}"/>
    <cellStyle name="Normal 10 2 10 10 3 6" xfId="2214" xr:uid="{00000000-0005-0000-0000-0000A6080000}"/>
    <cellStyle name="Normal 10 2 10 10 3 7" xfId="2215" xr:uid="{00000000-0005-0000-0000-0000A7080000}"/>
    <cellStyle name="Normal 10 2 10 10 3 8" xfId="2216" xr:uid="{00000000-0005-0000-0000-0000A8080000}"/>
    <cellStyle name="Normal 10 2 10 10 3 9" xfId="2217" xr:uid="{00000000-0005-0000-0000-0000A9080000}"/>
    <cellStyle name="Normal 10 2 10 10 4" xfId="2218" xr:uid="{00000000-0005-0000-0000-0000AA080000}"/>
    <cellStyle name="Normal 10 2 10 10 4 10" xfId="2219" xr:uid="{00000000-0005-0000-0000-0000AB080000}"/>
    <cellStyle name="Normal 10 2 10 10 4 2" xfId="2220" xr:uid="{00000000-0005-0000-0000-0000AC080000}"/>
    <cellStyle name="Normal 10 2 10 10 4 3" xfId="2221" xr:uid="{00000000-0005-0000-0000-0000AD080000}"/>
    <cellStyle name="Normal 10 2 10 10 4 4" xfId="2222" xr:uid="{00000000-0005-0000-0000-0000AE080000}"/>
    <cellStyle name="Normal 10 2 10 10 4 5" xfId="2223" xr:uid="{00000000-0005-0000-0000-0000AF080000}"/>
    <cellStyle name="Normal 10 2 10 10 4 6" xfId="2224" xr:uid="{00000000-0005-0000-0000-0000B0080000}"/>
    <cellStyle name="Normal 10 2 10 10 4 7" xfId="2225" xr:uid="{00000000-0005-0000-0000-0000B1080000}"/>
    <cellStyle name="Normal 10 2 10 10 4 8" xfId="2226" xr:uid="{00000000-0005-0000-0000-0000B2080000}"/>
    <cellStyle name="Normal 10 2 10 10 4 9" xfId="2227" xr:uid="{00000000-0005-0000-0000-0000B3080000}"/>
    <cellStyle name="Normal 10 2 10 10 5" xfId="2228" xr:uid="{00000000-0005-0000-0000-0000B4080000}"/>
    <cellStyle name="Normal 10 2 10 10 5 10" xfId="2229" xr:uid="{00000000-0005-0000-0000-0000B5080000}"/>
    <cellStyle name="Normal 10 2 10 10 5 2" xfId="2230" xr:uid="{00000000-0005-0000-0000-0000B6080000}"/>
    <cellStyle name="Normal 10 2 10 10 5 3" xfId="2231" xr:uid="{00000000-0005-0000-0000-0000B7080000}"/>
    <cellStyle name="Normal 10 2 10 10 5 4" xfId="2232" xr:uid="{00000000-0005-0000-0000-0000B8080000}"/>
    <cellStyle name="Normal 10 2 10 10 5 5" xfId="2233" xr:uid="{00000000-0005-0000-0000-0000B9080000}"/>
    <cellStyle name="Normal 10 2 10 10 5 6" xfId="2234" xr:uid="{00000000-0005-0000-0000-0000BA080000}"/>
    <cellStyle name="Normal 10 2 10 10 5 7" xfId="2235" xr:uid="{00000000-0005-0000-0000-0000BB080000}"/>
    <cellStyle name="Normal 10 2 10 10 5 8" xfId="2236" xr:uid="{00000000-0005-0000-0000-0000BC080000}"/>
    <cellStyle name="Normal 10 2 10 10 5 9" xfId="2237" xr:uid="{00000000-0005-0000-0000-0000BD080000}"/>
    <cellStyle name="Normal 10 2 10 10 6" xfId="2238" xr:uid="{00000000-0005-0000-0000-0000BE080000}"/>
    <cellStyle name="Normal 10 2 10 10 7" xfId="2239" xr:uid="{00000000-0005-0000-0000-0000BF080000}"/>
    <cellStyle name="Normal 10 2 10 10 8" xfId="2240" xr:uid="{00000000-0005-0000-0000-0000C0080000}"/>
    <cellStyle name="Normal 10 2 10 10 9" xfId="2241" xr:uid="{00000000-0005-0000-0000-0000C1080000}"/>
    <cellStyle name="Normal 10 2 10 11" xfId="2242" xr:uid="{00000000-0005-0000-0000-0000C2080000}"/>
    <cellStyle name="Normal 10 2 10 11 10" xfId="2243" xr:uid="{00000000-0005-0000-0000-0000C3080000}"/>
    <cellStyle name="Normal 10 2 10 11 11" xfId="2244" xr:uid="{00000000-0005-0000-0000-0000C4080000}"/>
    <cellStyle name="Normal 10 2 10 11 12" xfId="2245" xr:uid="{00000000-0005-0000-0000-0000C5080000}"/>
    <cellStyle name="Normal 10 2 10 11 13" xfId="2246" xr:uid="{00000000-0005-0000-0000-0000C6080000}"/>
    <cellStyle name="Normal 10 2 10 11 14" xfId="2247" xr:uid="{00000000-0005-0000-0000-0000C7080000}"/>
    <cellStyle name="Normal 10 2 10 11 2" xfId="2248" xr:uid="{00000000-0005-0000-0000-0000C8080000}"/>
    <cellStyle name="Normal 10 2 10 11 2 10" xfId="2249" xr:uid="{00000000-0005-0000-0000-0000C9080000}"/>
    <cellStyle name="Normal 10 2 10 11 2 2" xfId="2250" xr:uid="{00000000-0005-0000-0000-0000CA080000}"/>
    <cellStyle name="Normal 10 2 10 11 2 3" xfId="2251" xr:uid="{00000000-0005-0000-0000-0000CB080000}"/>
    <cellStyle name="Normal 10 2 10 11 2 4" xfId="2252" xr:uid="{00000000-0005-0000-0000-0000CC080000}"/>
    <cellStyle name="Normal 10 2 10 11 2 5" xfId="2253" xr:uid="{00000000-0005-0000-0000-0000CD080000}"/>
    <cellStyle name="Normal 10 2 10 11 2 6" xfId="2254" xr:uid="{00000000-0005-0000-0000-0000CE080000}"/>
    <cellStyle name="Normal 10 2 10 11 2 7" xfId="2255" xr:uid="{00000000-0005-0000-0000-0000CF080000}"/>
    <cellStyle name="Normal 10 2 10 11 2 8" xfId="2256" xr:uid="{00000000-0005-0000-0000-0000D0080000}"/>
    <cellStyle name="Normal 10 2 10 11 2 9" xfId="2257" xr:uid="{00000000-0005-0000-0000-0000D1080000}"/>
    <cellStyle name="Normal 10 2 10 11 3" xfId="2258" xr:uid="{00000000-0005-0000-0000-0000D2080000}"/>
    <cellStyle name="Normal 10 2 10 11 3 10" xfId="2259" xr:uid="{00000000-0005-0000-0000-0000D3080000}"/>
    <cellStyle name="Normal 10 2 10 11 3 2" xfId="2260" xr:uid="{00000000-0005-0000-0000-0000D4080000}"/>
    <cellStyle name="Normal 10 2 10 11 3 3" xfId="2261" xr:uid="{00000000-0005-0000-0000-0000D5080000}"/>
    <cellStyle name="Normal 10 2 10 11 3 4" xfId="2262" xr:uid="{00000000-0005-0000-0000-0000D6080000}"/>
    <cellStyle name="Normal 10 2 10 11 3 5" xfId="2263" xr:uid="{00000000-0005-0000-0000-0000D7080000}"/>
    <cellStyle name="Normal 10 2 10 11 3 6" xfId="2264" xr:uid="{00000000-0005-0000-0000-0000D8080000}"/>
    <cellStyle name="Normal 10 2 10 11 3 7" xfId="2265" xr:uid="{00000000-0005-0000-0000-0000D9080000}"/>
    <cellStyle name="Normal 10 2 10 11 3 8" xfId="2266" xr:uid="{00000000-0005-0000-0000-0000DA080000}"/>
    <cellStyle name="Normal 10 2 10 11 3 9" xfId="2267" xr:uid="{00000000-0005-0000-0000-0000DB080000}"/>
    <cellStyle name="Normal 10 2 10 11 4" xfId="2268" xr:uid="{00000000-0005-0000-0000-0000DC080000}"/>
    <cellStyle name="Normal 10 2 10 11 4 10" xfId="2269" xr:uid="{00000000-0005-0000-0000-0000DD080000}"/>
    <cellStyle name="Normal 10 2 10 11 4 2" xfId="2270" xr:uid="{00000000-0005-0000-0000-0000DE080000}"/>
    <cellStyle name="Normal 10 2 10 11 4 3" xfId="2271" xr:uid="{00000000-0005-0000-0000-0000DF080000}"/>
    <cellStyle name="Normal 10 2 10 11 4 4" xfId="2272" xr:uid="{00000000-0005-0000-0000-0000E0080000}"/>
    <cellStyle name="Normal 10 2 10 11 4 5" xfId="2273" xr:uid="{00000000-0005-0000-0000-0000E1080000}"/>
    <cellStyle name="Normal 10 2 10 11 4 6" xfId="2274" xr:uid="{00000000-0005-0000-0000-0000E2080000}"/>
    <cellStyle name="Normal 10 2 10 11 4 7" xfId="2275" xr:uid="{00000000-0005-0000-0000-0000E3080000}"/>
    <cellStyle name="Normal 10 2 10 11 4 8" xfId="2276" xr:uid="{00000000-0005-0000-0000-0000E4080000}"/>
    <cellStyle name="Normal 10 2 10 11 4 9" xfId="2277" xr:uid="{00000000-0005-0000-0000-0000E5080000}"/>
    <cellStyle name="Normal 10 2 10 11 5" xfId="2278" xr:uid="{00000000-0005-0000-0000-0000E6080000}"/>
    <cellStyle name="Normal 10 2 10 11 5 10" xfId="2279" xr:uid="{00000000-0005-0000-0000-0000E7080000}"/>
    <cellStyle name="Normal 10 2 10 11 5 2" xfId="2280" xr:uid="{00000000-0005-0000-0000-0000E8080000}"/>
    <cellStyle name="Normal 10 2 10 11 5 3" xfId="2281" xr:uid="{00000000-0005-0000-0000-0000E9080000}"/>
    <cellStyle name="Normal 10 2 10 11 5 4" xfId="2282" xr:uid="{00000000-0005-0000-0000-0000EA080000}"/>
    <cellStyle name="Normal 10 2 10 11 5 5" xfId="2283" xr:uid="{00000000-0005-0000-0000-0000EB080000}"/>
    <cellStyle name="Normal 10 2 10 11 5 6" xfId="2284" xr:uid="{00000000-0005-0000-0000-0000EC080000}"/>
    <cellStyle name="Normal 10 2 10 11 5 7" xfId="2285" xr:uid="{00000000-0005-0000-0000-0000ED080000}"/>
    <cellStyle name="Normal 10 2 10 11 5 8" xfId="2286" xr:uid="{00000000-0005-0000-0000-0000EE080000}"/>
    <cellStyle name="Normal 10 2 10 11 5 9" xfId="2287" xr:uid="{00000000-0005-0000-0000-0000EF080000}"/>
    <cellStyle name="Normal 10 2 10 11 6" xfId="2288" xr:uid="{00000000-0005-0000-0000-0000F0080000}"/>
    <cellStyle name="Normal 10 2 10 11 7" xfId="2289" xr:uid="{00000000-0005-0000-0000-0000F1080000}"/>
    <cellStyle name="Normal 10 2 10 11 8" xfId="2290" xr:uid="{00000000-0005-0000-0000-0000F2080000}"/>
    <cellStyle name="Normal 10 2 10 11 9" xfId="2291" xr:uid="{00000000-0005-0000-0000-0000F3080000}"/>
    <cellStyle name="Normal 10 2 10 12" xfId="2292" xr:uid="{00000000-0005-0000-0000-0000F4080000}"/>
    <cellStyle name="Normal 10 2 10 12 10" xfId="2293" xr:uid="{00000000-0005-0000-0000-0000F5080000}"/>
    <cellStyle name="Normal 10 2 10 12 11" xfId="2294" xr:uid="{00000000-0005-0000-0000-0000F6080000}"/>
    <cellStyle name="Normal 10 2 10 12 12" xfId="2295" xr:uid="{00000000-0005-0000-0000-0000F7080000}"/>
    <cellStyle name="Normal 10 2 10 12 13" xfId="2296" xr:uid="{00000000-0005-0000-0000-0000F8080000}"/>
    <cellStyle name="Normal 10 2 10 12 14" xfId="2297" xr:uid="{00000000-0005-0000-0000-0000F9080000}"/>
    <cellStyle name="Normal 10 2 10 12 2" xfId="2298" xr:uid="{00000000-0005-0000-0000-0000FA080000}"/>
    <cellStyle name="Normal 10 2 10 12 2 10" xfId="2299" xr:uid="{00000000-0005-0000-0000-0000FB080000}"/>
    <cellStyle name="Normal 10 2 10 12 2 2" xfId="2300" xr:uid="{00000000-0005-0000-0000-0000FC080000}"/>
    <cellStyle name="Normal 10 2 10 12 2 3" xfId="2301" xr:uid="{00000000-0005-0000-0000-0000FD080000}"/>
    <cellStyle name="Normal 10 2 10 12 2 4" xfId="2302" xr:uid="{00000000-0005-0000-0000-0000FE080000}"/>
    <cellStyle name="Normal 10 2 10 12 2 5" xfId="2303" xr:uid="{00000000-0005-0000-0000-0000FF080000}"/>
    <cellStyle name="Normal 10 2 10 12 2 6" xfId="2304" xr:uid="{00000000-0005-0000-0000-000000090000}"/>
    <cellStyle name="Normal 10 2 10 12 2 7" xfId="2305" xr:uid="{00000000-0005-0000-0000-000001090000}"/>
    <cellStyle name="Normal 10 2 10 12 2 8" xfId="2306" xr:uid="{00000000-0005-0000-0000-000002090000}"/>
    <cellStyle name="Normal 10 2 10 12 2 9" xfId="2307" xr:uid="{00000000-0005-0000-0000-000003090000}"/>
    <cellStyle name="Normal 10 2 10 12 3" xfId="2308" xr:uid="{00000000-0005-0000-0000-000004090000}"/>
    <cellStyle name="Normal 10 2 10 12 3 10" xfId="2309" xr:uid="{00000000-0005-0000-0000-000005090000}"/>
    <cellStyle name="Normal 10 2 10 12 3 2" xfId="2310" xr:uid="{00000000-0005-0000-0000-000006090000}"/>
    <cellStyle name="Normal 10 2 10 12 3 3" xfId="2311" xr:uid="{00000000-0005-0000-0000-000007090000}"/>
    <cellStyle name="Normal 10 2 10 12 3 4" xfId="2312" xr:uid="{00000000-0005-0000-0000-000008090000}"/>
    <cellStyle name="Normal 10 2 10 12 3 5" xfId="2313" xr:uid="{00000000-0005-0000-0000-000009090000}"/>
    <cellStyle name="Normal 10 2 10 12 3 6" xfId="2314" xr:uid="{00000000-0005-0000-0000-00000A090000}"/>
    <cellStyle name="Normal 10 2 10 12 3 7" xfId="2315" xr:uid="{00000000-0005-0000-0000-00000B090000}"/>
    <cellStyle name="Normal 10 2 10 12 3 8" xfId="2316" xr:uid="{00000000-0005-0000-0000-00000C090000}"/>
    <cellStyle name="Normal 10 2 10 12 3 9" xfId="2317" xr:uid="{00000000-0005-0000-0000-00000D090000}"/>
    <cellStyle name="Normal 10 2 10 12 4" xfId="2318" xr:uid="{00000000-0005-0000-0000-00000E090000}"/>
    <cellStyle name="Normal 10 2 10 12 4 10" xfId="2319" xr:uid="{00000000-0005-0000-0000-00000F090000}"/>
    <cellStyle name="Normal 10 2 10 12 4 2" xfId="2320" xr:uid="{00000000-0005-0000-0000-000010090000}"/>
    <cellStyle name="Normal 10 2 10 12 4 3" xfId="2321" xr:uid="{00000000-0005-0000-0000-000011090000}"/>
    <cellStyle name="Normal 10 2 10 12 4 4" xfId="2322" xr:uid="{00000000-0005-0000-0000-000012090000}"/>
    <cellStyle name="Normal 10 2 10 12 4 5" xfId="2323" xr:uid="{00000000-0005-0000-0000-000013090000}"/>
    <cellStyle name="Normal 10 2 10 12 4 6" xfId="2324" xr:uid="{00000000-0005-0000-0000-000014090000}"/>
    <cellStyle name="Normal 10 2 10 12 4 7" xfId="2325" xr:uid="{00000000-0005-0000-0000-000015090000}"/>
    <cellStyle name="Normal 10 2 10 12 4 8" xfId="2326" xr:uid="{00000000-0005-0000-0000-000016090000}"/>
    <cellStyle name="Normal 10 2 10 12 4 9" xfId="2327" xr:uid="{00000000-0005-0000-0000-000017090000}"/>
    <cellStyle name="Normal 10 2 10 12 5" xfId="2328" xr:uid="{00000000-0005-0000-0000-000018090000}"/>
    <cellStyle name="Normal 10 2 10 12 5 10" xfId="2329" xr:uid="{00000000-0005-0000-0000-000019090000}"/>
    <cellStyle name="Normal 10 2 10 12 5 2" xfId="2330" xr:uid="{00000000-0005-0000-0000-00001A090000}"/>
    <cellStyle name="Normal 10 2 10 12 5 3" xfId="2331" xr:uid="{00000000-0005-0000-0000-00001B090000}"/>
    <cellStyle name="Normal 10 2 10 12 5 4" xfId="2332" xr:uid="{00000000-0005-0000-0000-00001C090000}"/>
    <cellStyle name="Normal 10 2 10 12 5 5" xfId="2333" xr:uid="{00000000-0005-0000-0000-00001D090000}"/>
    <cellStyle name="Normal 10 2 10 12 5 6" xfId="2334" xr:uid="{00000000-0005-0000-0000-00001E090000}"/>
    <cellStyle name="Normal 10 2 10 12 5 7" xfId="2335" xr:uid="{00000000-0005-0000-0000-00001F090000}"/>
    <cellStyle name="Normal 10 2 10 12 5 8" xfId="2336" xr:uid="{00000000-0005-0000-0000-000020090000}"/>
    <cellStyle name="Normal 10 2 10 12 5 9" xfId="2337" xr:uid="{00000000-0005-0000-0000-000021090000}"/>
    <cellStyle name="Normal 10 2 10 12 6" xfId="2338" xr:uid="{00000000-0005-0000-0000-000022090000}"/>
    <cellStyle name="Normal 10 2 10 12 7" xfId="2339" xr:uid="{00000000-0005-0000-0000-000023090000}"/>
    <cellStyle name="Normal 10 2 10 12 8" xfId="2340" xr:uid="{00000000-0005-0000-0000-000024090000}"/>
    <cellStyle name="Normal 10 2 10 12 9" xfId="2341" xr:uid="{00000000-0005-0000-0000-000025090000}"/>
    <cellStyle name="Normal 10 2 10 13" xfId="2342" xr:uid="{00000000-0005-0000-0000-000026090000}"/>
    <cellStyle name="Normal 10 2 10 13 10" xfId="2343" xr:uid="{00000000-0005-0000-0000-000027090000}"/>
    <cellStyle name="Normal 10 2 10 13 11" xfId="2344" xr:uid="{00000000-0005-0000-0000-000028090000}"/>
    <cellStyle name="Normal 10 2 10 13 12" xfId="2345" xr:uid="{00000000-0005-0000-0000-000029090000}"/>
    <cellStyle name="Normal 10 2 10 13 13" xfId="2346" xr:uid="{00000000-0005-0000-0000-00002A090000}"/>
    <cellStyle name="Normal 10 2 10 13 14" xfId="2347" xr:uid="{00000000-0005-0000-0000-00002B090000}"/>
    <cellStyle name="Normal 10 2 10 13 2" xfId="2348" xr:uid="{00000000-0005-0000-0000-00002C090000}"/>
    <cellStyle name="Normal 10 2 10 13 2 10" xfId="2349" xr:uid="{00000000-0005-0000-0000-00002D090000}"/>
    <cellStyle name="Normal 10 2 10 13 2 2" xfId="2350" xr:uid="{00000000-0005-0000-0000-00002E090000}"/>
    <cellStyle name="Normal 10 2 10 13 2 3" xfId="2351" xr:uid="{00000000-0005-0000-0000-00002F090000}"/>
    <cellStyle name="Normal 10 2 10 13 2 4" xfId="2352" xr:uid="{00000000-0005-0000-0000-000030090000}"/>
    <cellStyle name="Normal 10 2 10 13 2 5" xfId="2353" xr:uid="{00000000-0005-0000-0000-000031090000}"/>
    <cellStyle name="Normal 10 2 10 13 2 6" xfId="2354" xr:uid="{00000000-0005-0000-0000-000032090000}"/>
    <cellStyle name="Normal 10 2 10 13 2 7" xfId="2355" xr:uid="{00000000-0005-0000-0000-000033090000}"/>
    <cellStyle name="Normal 10 2 10 13 2 8" xfId="2356" xr:uid="{00000000-0005-0000-0000-000034090000}"/>
    <cellStyle name="Normal 10 2 10 13 2 9" xfId="2357" xr:uid="{00000000-0005-0000-0000-000035090000}"/>
    <cellStyle name="Normal 10 2 10 13 3" xfId="2358" xr:uid="{00000000-0005-0000-0000-000036090000}"/>
    <cellStyle name="Normal 10 2 10 13 3 10" xfId="2359" xr:uid="{00000000-0005-0000-0000-000037090000}"/>
    <cellStyle name="Normal 10 2 10 13 3 2" xfId="2360" xr:uid="{00000000-0005-0000-0000-000038090000}"/>
    <cellStyle name="Normal 10 2 10 13 3 3" xfId="2361" xr:uid="{00000000-0005-0000-0000-000039090000}"/>
    <cellStyle name="Normal 10 2 10 13 3 4" xfId="2362" xr:uid="{00000000-0005-0000-0000-00003A090000}"/>
    <cellStyle name="Normal 10 2 10 13 3 5" xfId="2363" xr:uid="{00000000-0005-0000-0000-00003B090000}"/>
    <cellStyle name="Normal 10 2 10 13 3 6" xfId="2364" xr:uid="{00000000-0005-0000-0000-00003C090000}"/>
    <cellStyle name="Normal 10 2 10 13 3 7" xfId="2365" xr:uid="{00000000-0005-0000-0000-00003D090000}"/>
    <cellStyle name="Normal 10 2 10 13 3 8" xfId="2366" xr:uid="{00000000-0005-0000-0000-00003E090000}"/>
    <cellStyle name="Normal 10 2 10 13 3 9" xfId="2367" xr:uid="{00000000-0005-0000-0000-00003F090000}"/>
    <cellStyle name="Normal 10 2 10 13 4" xfId="2368" xr:uid="{00000000-0005-0000-0000-000040090000}"/>
    <cellStyle name="Normal 10 2 10 13 4 10" xfId="2369" xr:uid="{00000000-0005-0000-0000-000041090000}"/>
    <cellStyle name="Normal 10 2 10 13 4 2" xfId="2370" xr:uid="{00000000-0005-0000-0000-000042090000}"/>
    <cellStyle name="Normal 10 2 10 13 4 3" xfId="2371" xr:uid="{00000000-0005-0000-0000-000043090000}"/>
    <cellStyle name="Normal 10 2 10 13 4 4" xfId="2372" xr:uid="{00000000-0005-0000-0000-000044090000}"/>
    <cellStyle name="Normal 10 2 10 13 4 5" xfId="2373" xr:uid="{00000000-0005-0000-0000-000045090000}"/>
    <cellStyle name="Normal 10 2 10 13 4 6" xfId="2374" xr:uid="{00000000-0005-0000-0000-000046090000}"/>
    <cellStyle name="Normal 10 2 10 13 4 7" xfId="2375" xr:uid="{00000000-0005-0000-0000-000047090000}"/>
    <cellStyle name="Normal 10 2 10 13 4 8" xfId="2376" xr:uid="{00000000-0005-0000-0000-000048090000}"/>
    <cellStyle name="Normal 10 2 10 13 4 9" xfId="2377" xr:uid="{00000000-0005-0000-0000-000049090000}"/>
    <cellStyle name="Normal 10 2 10 13 5" xfId="2378" xr:uid="{00000000-0005-0000-0000-00004A090000}"/>
    <cellStyle name="Normal 10 2 10 13 5 10" xfId="2379" xr:uid="{00000000-0005-0000-0000-00004B090000}"/>
    <cellStyle name="Normal 10 2 10 13 5 2" xfId="2380" xr:uid="{00000000-0005-0000-0000-00004C090000}"/>
    <cellStyle name="Normal 10 2 10 13 5 3" xfId="2381" xr:uid="{00000000-0005-0000-0000-00004D090000}"/>
    <cellStyle name="Normal 10 2 10 13 5 4" xfId="2382" xr:uid="{00000000-0005-0000-0000-00004E090000}"/>
    <cellStyle name="Normal 10 2 10 13 5 5" xfId="2383" xr:uid="{00000000-0005-0000-0000-00004F090000}"/>
    <cellStyle name="Normal 10 2 10 13 5 6" xfId="2384" xr:uid="{00000000-0005-0000-0000-000050090000}"/>
    <cellStyle name="Normal 10 2 10 13 5 7" xfId="2385" xr:uid="{00000000-0005-0000-0000-000051090000}"/>
    <cellStyle name="Normal 10 2 10 13 5 8" xfId="2386" xr:uid="{00000000-0005-0000-0000-000052090000}"/>
    <cellStyle name="Normal 10 2 10 13 5 9" xfId="2387" xr:uid="{00000000-0005-0000-0000-000053090000}"/>
    <cellStyle name="Normal 10 2 10 13 6" xfId="2388" xr:uid="{00000000-0005-0000-0000-000054090000}"/>
    <cellStyle name="Normal 10 2 10 13 7" xfId="2389" xr:uid="{00000000-0005-0000-0000-000055090000}"/>
    <cellStyle name="Normal 10 2 10 13 8" xfId="2390" xr:uid="{00000000-0005-0000-0000-000056090000}"/>
    <cellStyle name="Normal 10 2 10 13 9" xfId="2391" xr:uid="{00000000-0005-0000-0000-000057090000}"/>
    <cellStyle name="Normal 10 2 10 14" xfId="2392" xr:uid="{00000000-0005-0000-0000-000058090000}"/>
    <cellStyle name="Normal 10 2 10 14 10" xfId="2393" xr:uid="{00000000-0005-0000-0000-000059090000}"/>
    <cellStyle name="Normal 10 2 10 14 11" xfId="2394" xr:uid="{00000000-0005-0000-0000-00005A090000}"/>
    <cellStyle name="Normal 10 2 10 14 12" xfId="2395" xr:uid="{00000000-0005-0000-0000-00005B090000}"/>
    <cellStyle name="Normal 10 2 10 14 13" xfId="2396" xr:uid="{00000000-0005-0000-0000-00005C090000}"/>
    <cellStyle name="Normal 10 2 10 14 14" xfId="2397" xr:uid="{00000000-0005-0000-0000-00005D090000}"/>
    <cellStyle name="Normal 10 2 10 14 2" xfId="2398" xr:uid="{00000000-0005-0000-0000-00005E090000}"/>
    <cellStyle name="Normal 10 2 10 14 2 10" xfId="2399" xr:uid="{00000000-0005-0000-0000-00005F090000}"/>
    <cellStyle name="Normal 10 2 10 14 2 2" xfId="2400" xr:uid="{00000000-0005-0000-0000-000060090000}"/>
    <cellStyle name="Normal 10 2 10 14 2 3" xfId="2401" xr:uid="{00000000-0005-0000-0000-000061090000}"/>
    <cellStyle name="Normal 10 2 10 14 2 4" xfId="2402" xr:uid="{00000000-0005-0000-0000-000062090000}"/>
    <cellStyle name="Normal 10 2 10 14 2 5" xfId="2403" xr:uid="{00000000-0005-0000-0000-000063090000}"/>
    <cellStyle name="Normal 10 2 10 14 2 6" xfId="2404" xr:uid="{00000000-0005-0000-0000-000064090000}"/>
    <cellStyle name="Normal 10 2 10 14 2 7" xfId="2405" xr:uid="{00000000-0005-0000-0000-000065090000}"/>
    <cellStyle name="Normal 10 2 10 14 2 8" xfId="2406" xr:uid="{00000000-0005-0000-0000-000066090000}"/>
    <cellStyle name="Normal 10 2 10 14 2 9" xfId="2407" xr:uid="{00000000-0005-0000-0000-000067090000}"/>
    <cellStyle name="Normal 10 2 10 14 3" xfId="2408" xr:uid="{00000000-0005-0000-0000-000068090000}"/>
    <cellStyle name="Normal 10 2 10 14 3 10" xfId="2409" xr:uid="{00000000-0005-0000-0000-000069090000}"/>
    <cellStyle name="Normal 10 2 10 14 3 2" xfId="2410" xr:uid="{00000000-0005-0000-0000-00006A090000}"/>
    <cellStyle name="Normal 10 2 10 14 3 3" xfId="2411" xr:uid="{00000000-0005-0000-0000-00006B090000}"/>
    <cellStyle name="Normal 10 2 10 14 3 4" xfId="2412" xr:uid="{00000000-0005-0000-0000-00006C090000}"/>
    <cellStyle name="Normal 10 2 10 14 3 5" xfId="2413" xr:uid="{00000000-0005-0000-0000-00006D090000}"/>
    <cellStyle name="Normal 10 2 10 14 3 6" xfId="2414" xr:uid="{00000000-0005-0000-0000-00006E090000}"/>
    <cellStyle name="Normal 10 2 10 14 3 7" xfId="2415" xr:uid="{00000000-0005-0000-0000-00006F090000}"/>
    <cellStyle name="Normal 10 2 10 14 3 8" xfId="2416" xr:uid="{00000000-0005-0000-0000-000070090000}"/>
    <cellStyle name="Normal 10 2 10 14 3 9" xfId="2417" xr:uid="{00000000-0005-0000-0000-000071090000}"/>
    <cellStyle name="Normal 10 2 10 14 4" xfId="2418" xr:uid="{00000000-0005-0000-0000-000072090000}"/>
    <cellStyle name="Normal 10 2 10 14 4 10" xfId="2419" xr:uid="{00000000-0005-0000-0000-000073090000}"/>
    <cellStyle name="Normal 10 2 10 14 4 2" xfId="2420" xr:uid="{00000000-0005-0000-0000-000074090000}"/>
    <cellStyle name="Normal 10 2 10 14 4 3" xfId="2421" xr:uid="{00000000-0005-0000-0000-000075090000}"/>
    <cellStyle name="Normal 10 2 10 14 4 4" xfId="2422" xr:uid="{00000000-0005-0000-0000-000076090000}"/>
    <cellStyle name="Normal 10 2 10 14 4 5" xfId="2423" xr:uid="{00000000-0005-0000-0000-000077090000}"/>
    <cellStyle name="Normal 10 2 10 14 4 6" xfId="2424" xr:uid="{00000000-0005-0000-0000-000078090000}"/>
    <cellStyle name="Normal 10 2 10 14 4 7" xfId="2425" xr:uid="{00000000-0005-0000-0000-000079090000}"/>
    <cellStyle name="Normal 10 2 10 14 4 8" xfId="2426" xr:uid="{00000000-0005-0000-0000-00007A090000}"/>
    <cellStyle name="Normal 10 2 10 14 4 9" xfId="2427" xr:uid="{00000000-0005-0000-0000-00007B090000}"/>
    <cellStyle name="Normal 10 2 10 14 5" xfId="2428" xr:uid="{00000000-0005-0000-0000-00007C090000}"/>
    <cellStyle name="Normal 10 2 10 14 5 10" xfId="2429" xr:uid="{00000000-0005-0000-0000-00007D090000}"/>
    <cellStyle name="Normal 10 2 10 14 5 2" xfId="2430" xr:uid="{00000000-0005-0000-0000-00007E090000}"/>
    <cellStyle name="Normal 10 2 10 14 5 3" xfId="2431" xr:uid="{00000000-0005-0000-0000-00007F090000}"/>
    <cellStyle name="Normal 10 2 10 14 5 4" xfId="2432" xr:uid="{00000000-0005-0000-0000-000080090000}"/>
    <cellStyle name="Normal 10 2 10 14 5 5" xfId="2433" xr:uid="{00000000-0005-0000-0000-000081090000}"/>
    <cellStyle name="Normal 10 2 10 14 5 6" xfId="2434" xr:uid="{00000000-0005-0000-0000-000082090000}"/>
    <cellStyle name="Normal 10 2 10 14 5 7" xfId="2435" xr:uid="{00000000-0005-0000-0000-000083090000}"/>
    <cellStyle name="Normal 10 2 10 14 5 8" xfId="2436" xr:uid="{00000000-0005-0000-0000-000084090000}"/>
    <cellStyle name="Normal 10 2 10 14 5 9" xfId="2437" xr:uid="{00000000-0005-0000-0000-000085090000}"/>
    <cellStyle name="Normal 10 2 10 14 6" xfId="2438" xr:uid="{00000000-0005-0000-0000-000086090000}"/>
    <cellStyle name="Normal 10 2 10 14 7" xfId="2439" xr:uid="{00000000-0005-0000-0000-000087090000}"/>
    <cellStyle name="Normal 10 2 10 14 8" xfId="2440" xr:uid="{00000000-0005-0000-0000-000088090000}"/>
    <cellStyle name="Normal 10 2 10 14 9" xfId="2441" xr:uid="{00000000-0005-0000-0000-000089090000}"/>
    <cellStyle name="Normal 10 2 10 15" xfId="2442" xr:uid="{00000000-0005-0000-0000-00008A090000}"/>
    <cellStyle name="Normal 10 2 10 15 10" xfId="2443" xr:uid="{00000000-0005-0000-0000-00008B090000}"/>
    <cellStyle name="Normal 10 2 10 15 11" xfId="2444" xr:uid="{00000000-0005-0000-0000-00008C090000}"/>
    <cellStyle name="Normal 10 2 10 15 12" xfId="2445" xr:uid="{00000000-0005-0000-0000-00008D090000}"/>
    <cellStyle name="Normal 10 2 10 15 13" xfId="2446" xr:uid="{00000000-0005-0000-0000-00008E090000}"/>
    <cellStyle name="Normal 10 2 10 15 14" xfId="2447" xr:uid="{00000000-0005-0000-0000-00008F090000}"/>
    <cellStyle name="Normal 10 2 10 15 2" xfId="2448" xr:uid="{00000000-0005-0000-0000-000090090000}"/>
    <cellStyle name="Normal 10 2 10 15 2 10" xfId="2449" xr:uid="{00000000-0005-0000-0000-000091090000}"/>
    <cellStyle name="Normal 10 2 10 15 2 2" xfId="2450" xr:uid="{00000000-0005-0000-0000-000092090000}"/>
    <cellStyle name="Normal 10 2 10 15 2 3" xfId="2451" xr:uid="{00000000-0005-0000-0000-000093090000}"/>
    <cellStyle name="Normal 10 2 10 15 2 4" xfId="2452" xr:uid="{00000000-0005-0000-0000-000094090000}"/>
    <cellStyle name="Normal 10 2 10 15 2 5" xfId="2453" xr:uid="{00000000-0005-0000-0000-000095090000}"/>
    <cellStyle name="Normal 10 2 10 15 2 6" xfId="2454" xr:uid="{00000000-0005-0000-0000-000096090000}"/>
    <cellStyle name="Normal 10 2 10 15 2 7" xfId="2455" xr:uid="{00000000-0005-0000-0000-000097090000}"/>
    <cellStyle name="Normal 10 2 10 15 2 8" xfId="2456" xr:uid="{00000000-0005-0000-0000-000098090000}"/>
    <cellStyle name="Normal 10 2 10 15 2 9" xfId="2457" xr:uid="{00000000-0005-0000-0000-000099090000}"/>
    <cellStyle name="Normal 10 2 10 15 3" xfId="2458" xr:uid="{00000000-0005-0000-0000-00009A090000}"/>
    <cellStyle name="Normal 10 2 10 15 3 10" xfId="2459" xr:uid="{00000000-0005-0000-0000-00009B090000}"/>
    <cellStyle name="Normal 10 2 10 15 3 2" xfId="2460" xr:uid="{00000000-0005-0000-0000-00009C090000}"/>
    <cellStyle name="Normal 10 2 10 15 3 3" xfId="2461" xr:uid="{00000000-0005-0000-0000-00009D090000}"/>
    <cellStyle name="Normal 10 2 10 15 3 4" xfId="2462" xr:uid="{00000000-0005-0000-0000-00009E090000}"/>
    <cellStyle name="Normal 10 2 10 15 3 5" xfId="2463" xr:uid="{00000000-0005-0000-0000-00009F090000}"/>
    <cellStyle name="Normal 10 2 10 15 3 6" xfId="2464" xr:uid="{00000000-0005-0000-0000-0000A0090000}"/>
    <cellStyle name="Normal 10 2 10 15 3 7" xfId="2465" xr:uid="{00000000-0005-0000-0000-0000A1090000}"/>
    <cellStyle name="Normal 10 2 10 15 3 8" xfId="2466" xr:uid="{00000000-0005-0000-0000-0000A2090000}"/>
    <cellStyle name="Normal 10 2 10 15 3 9" xfId="2467" xr:uid="{00000000-0005-0000-0000-0000A3090000}"/>
    <cellStyle name="Normal 10 2 10 15 4" xfId="2468" xr:uid="{00000000-0005-0000-0000-0000A4090000}"/>
    <cellStyle name="Normal 10 2 10 15 4 10" xfId="2469" xr:uid="{00000000-0005-0000-0000-0000A5090000}"/>
    <cellStyle name="Normal 10 2 10 15 4 2" xfId="2470" xr:uid="{00000000-0005-0000-0000-0000A6090000}"/>
    <cellStyle name="Normal 10 2 10 15 4 3" xfId="2471" xr:uid="{00000000-0005-0000-0000-0000A7090000}"/>
    <cellStyle name="Normal 10 2 10 15 4 4" xfId="2472" xr:uid="{00000000-0005-0000-0000-0000A8090000}"/>
    <cellStyle name="Normal 10 2 10 15 4 5" xfId="2473" xr:uid="{00000000-0005-0000-0000-0000A9090000}"/>
    <cellStyle name="Normal 10 2 10 15 4 6" xfId="2474" xr:uid="{00000000-0005-0000-0000-0000AA090000}"/>
    <cellStyle name="Normal 10 2 10 15 4 7" xfId="2475" xr:uid="{00000000-0005-0000-0000-0000AB090000}"/>
    <cellStyle name="Normal 10 2 10 15 4 8" xfId="2476" xr:uid="{00000000-0005-0000-0000-0000AC090000}"/>
    <cellStyle name="Normal 10 2 10 15 4 9" xfId="2477" xr:uid="{00000000-0005-0000-0000-0000AD090000}"/>
    <cellStyle name="Normal 10 2 10 15 5" xfId="2478" xr:uid="{00000000-0005-0000-0000-0000AE090000}"/>
    <cellStyle name="Normal 10 2 10 15 5 10" xfId="2479" xr:uid="{00000000-0005-0000-0000-0000AF090000}"/>
    <cellStyle name="Normal 10 2 10 15 5 2" xfId="2480" xr:uid="{00000000-0005-0000-0000-0000B0090000}"/>
    <cellStyle name="Normal 10 2 10 15 5 3" xfId="2481" xr:uid="{00000000-0005-0000-0000-0000B1090000}"/>
    <cellStyle name="Normal 10 2 10 15 5 4" xfId="2482" xr:uid="{00000000-0005-0000-0000-0000B2090000}"/>
    <cellStyle name="Normal 10 2 10 15 5 5" xfId="2483" xr:uid="{00000000-0005-0000-0000-0000B3090000}"/>
    <cellStyle name="Normal 10 2 10 15 5 6" xfId="2484" xr:uid="{00000000-0005-0000-0000-0000B4090000}"/>
    <cellStyle name="Normal 10 2 10 15 5 7" xfId="2485" xr:uid="{00000000-0005-0000-0000-0000B5090000}"/>
    <cellStyle name="Normal 10 2 10 15 5 8" xfId="2486" xr:uid="{00000000-0005-0000-0000-0000B6090000}"/>
    <cellStyle name="Normal 10 2 10 15 5 9" xfId="2487" xr:uid="{00000000-0005-0000-0000-0000B7090000}"/>
    <cellStyle name="Normal 10 2 10 15 6" xfId="2488" xr:uid="{00000000-0005-0000-0000-0000B8090000}"/>
    <cellStyle name="Normal 10 2 10 15 7" xfId="2489" xr:uid="{00000000-0005-0000-0000-0000B9090000}"/>
    <cellStyle name="Normal 10 2 10 15 8" xfId="2490" xr:uid="{00000000-0005-0000-0000-0000BA090000}"/>
    <cellStyle name="Normal 10 2 10 15 9" xfId="2491" xr:uid="{00000000-0005-0000-0000-0000BB090000}"/>
    <cellStyle name="Normal 10 2 10 16" xfId="2492" xr:uid="{00000000-0005-0000-0000-0000BC090000}"/>
    <cellStyle name="Normal 10 2 10 16 10" xfId="2493" xr:uid="{00000000-0005-0000-0000-0000BD090000}"/>
    <cellStyle name="Normal 10 2 10 16 11" xfId="2494" xr:uid="{00000000-0005-0000-0000-0000BE090000}"/>
    <cellStyle name="Normal 10 2 10 16 12" xfId="2495" xr:uid="{00000000-0005-0000-0000-0000BF090000}"/>
    <cellStyle name="Normal 10 2 10 16 13" xfId="2496" xr:uid="{00000000-0005-0000-0000-0000C0090000}"/>
    <cellStyle name="Normal 10 2 10 16 14" xfId="2497" xr:uid="{00000000-0005-0000-0000-0000C1090000}"/>
    <cellStyle name="Normal 10 2 10 16 2" xfId="2498" xr:uid="{00000000-0005-0000-0000-0000C2090000}"/>
    <cellStyle name="Normal 10 2 10 16 2 10" xfId="2499" xr:uid="{00000000-0005-0000-0000-0000C3090000}"/>
    <cellStyle name="Normal 10 2 10 16 2 2" xfId="2500" xr:uid="{00000000-0005-0000-0000-0000C4090000}"/>
    <cellStyle name="Normal 10 2 10 16 2 3" xfId="2501" xr:uid="{00000000-0005-0000-0000-0000C5090000}"/>
    <cellStyle name="Normal 10 2 10 16 2 4" xfId="2502" xr:uid="{00000000-0005-0000-0000-0000C6090000}"/>
    <cellStyle name="Normal 10 2 10 16 2 5" xfId="2503" xr:uid="{00000000-0005-0000-0000-0000C7090000}"/>
    <cellStyle name="Normal 10 2 10 16 2 6" xfId="2504" xr:uid="{00000000-0005-0000-0000-0000C8090000}"/>
    <cellStyle name="Normal 10 2 10 16 2 7" xfId="2505" xr:uid="{00000000-0005-0000-0000-0000C9090000}"/>
    <cellStyle name="Normal 10 2 10 16 2 8" xfId="2506" xr:uid="{00000000-0005-0000-0000-0000CA090000}"/>
    <cellStyle name="Normal 10 2 10 16 2 9" xfId="2507" xr:uid="{00000000-0005-0000-0000-0000CB090000}"/>
    <cellStyle name="Normal 10 2 10 16 3" xfId="2508" xr:uid="{00000000-0005-0000-0000-0000CC090000}"/>
    <cellStyle name="Normal 10 2 10 16 3 10" xfId="2509" xr:uid="{00000000-0005-0000-0000-0000CD090000}"/>
    <cellStyle name="Normal 10 2 10 16 3 2" xfId="2510" xr:uid="{00000000-0005-0000-0000-0000CE090000}"/>
    <cellStyle name="Normal 10 2 10 16 3 3" xfId="2511" xr:uid="{00000000-0005-0000-0000-0000CF090000}"/>
    <cellStyle name="Normal 10 2 10 16 3 4" xfId="2512" xr:uid="{00000000-0005-0000-0000-0000D0090000}"/>
    <cellStyle name="Normal 10 2 10 16 3 5" xfId="2513" xr:uid="{00000000-0005-0000-0000-0000D1090000}"/>
    <cellStyle name="Normal 10 2 10 16 3 6" xfId="2514" xr:uid="{00000000-0005-0000-0000-0000D2090000}"/>
    <cellStyle name="Normal 10 2 10 16 3 7" xfId="2515" xr:uid="{00000000-0005-0000-0000-0000D3090000}"/>
    <cellStyle name="Normal 10 2 10 16 3 8" xfId="2516" xr:uid="{00000000-0005-0000-0000-0000D4090000}"/>
    <cellStyle name="Normal 10 2 10 16 3 9" xfId="2517" xr:uid="{00000000-0005-0000-0000-0000D5090000}"/>
    <cellStyle name="Normal 10 2 10 16 4" xfId="2518" xr:uid="{00000000-0005-0000-0000-0000D6090000}"/>
    <cellStyle name="Normal 10 2 10 16 4 10" xfId="2519" xr:uid="{00000000-0005-0000-0000-0000D7090000}"/>
    <cellStyle name="Normal 10 2 10 16 4 2" xfId="2520" xr:uid="{00000000-0005-0000-0000-0000D8090000}"/>
    <cellStyle name="Normal 10 2 10 16 4 3" xfId="2521" xr:uid="{00000000-0005-0000-0000-0000D9090000}"/>
    <cellStyle name="Normal 10 2 10 16 4 4" xfId="2522" xr:uid="{00000000-0005-0000-0000-0000DA090000}"/>
    <cellStyle name="Normal 10 2 10 16 4 5" xfId="2523" xr:uid="{00000000-0005-0000-0000-0000DB090000}"/>
    <cellStyle name="Normal 10 2 10 16 4 6" xfId="2524" xr:uid="{00000000-0005-0000-0000-0000DC090000}"/>
    <cellStyle name="Normal 10 2 10 16 4 7" xfId="2525" xr:uid="{00000000-0005-0000-0000-0000DD090000}"/>
    <cellStyle name="Normal 10 2 10 16 4 8" xfId="2526" xr:uid="{00000000-0005-0000-0000-0000DE090000}"/>
    <cellStyle name="Normal 10 2 10 16 4 9" xfId="2527" xr:uid="{00000000-0005-0000-0000-0000DF090000}"/>
    <cellStyle name="Normal 10 2 10 16 5" xfId="2528" xr:uid="{00000000-0005-0000-0000-0000E0090000}"/>
    <cellStyle name="Normal 10 2 10 16 5 10" xfId="2529" xr:uid="{00000000-0005-0000-0000-0000E1090000}"/>
    <cellStyle name="Normal 10 2 10 16 5 2" xfId="2530" xr:uid="{00000000-0005-0000-0000-0000E2090000}"/>
    <cellStyle name="Normal 10 2 10 16 5 3" xfId="2531" xr:uid="{00000000-0005-0000-0000-0000E3090000}"/>
    <cellStyle name="Normal 10 2 10 16 5 4" xfId="2532" xr:uid="{00000000-0005-0000-0000-0000E4090000}"/>
    <cellStyle name="Normal 10 2 10 16 5 5" xfId="2533" xr:uid="{00000000-0005-0000-0000-0000E5090000}"/>
    <cellStyle name="Normal 10 2 10 16 5 6" xfId="2534" xr:uid="{00000000-0005-0000-0000-0000E6090000}"/>
    <cellStyle name="Normal 10 2 10 16 5 7" xfId="2535" xr:uid="{00000000-0005-0000-0000-0000E7090000}"/>
    <cellStyle name="Normal 10 2 10 16 5 8" xfId="2536" xr:uid="{00000000-0005-0000-0000-0000E8090000}"/>
    <cellStyle name="Normal 10 2 10 16 5 9" xfId="2537" xr:uid="{00000000-0005-0000-0000-0000E9090000}"/>
    <cellStyle name="Normal 10 2 10 16 6" xfId="2538" xr:uid="{00000000-0005-0000-0000-0000EA090000}"/>
    <cellStyle name="Normal 10 2 10 16 7" xfId="2539" xr:uid="{00000000-0005-0000-0000-0000EB090000}"/>
    <cellStyle name="Normal 10 2 10 16 8" xfId="2540" xr:uid="{00000000-0005-0000-0000-0000EC090000}"/>
    <cellStyle name="Normal 10 2 10 16 9" xfId="2541" xr:uid="{00000000-0005-0000-0000-0000ED090000}"/>
    <cellStyle name="Normal 10 2 10 17" xfId="2542" xr:uid="{00000000-0005-0000-0000-0000EE090000}"/>
    <cellStyle name="Normal 10 2 10 17 10" xfId="2543" xr:uid="{00000000-0005-0000-0000-0000EF090000}"/>
    <cellStyle name="Normal 10 2 10 17 11" xfId="2544" xr:uid="{00000000-0005-0000-0000-0000F0090000}"/>
    <cellStyle name="Normal 10 2 10 17 12" xfId="2545" xr:uid="{00000000-0005-0000-0000-0000F1090000}"/>
    <cellStyle name="Normal 10 2 10 17 13" xfId="2546" xr:uid="{00000000-0005-0000-0000-0000F2090000}"/>
    <cellStyle name="Normal 10 2 10 17 14" xfId="2547" xr:uid="{00000000-0005-0000-0000-0000F3090000}"/>
    <cellStyle name="Normal 10 2 10 17 2" xfId="2548" xr:uid="{00000000-0005-0000-0000-0000F4090000}"/>
    <cellStyle name="Normal 10 2 10 17 2 10" xfId="2549" xr:uid="{00000000-0005-0000-0000-0000F5090000}"/>
    <cellStyle name="Normal 10 2 10 17 2 2" xfId="2550" xr:uid="{00000000-0005-0000-0000-0000F6090000}"/>
    <cellStyle name="Normal 10 2 10 17 2 3" xfId="2551" xr:uid="{00000000-0005-0000-0000-0000F7090000}"/>
    <cellStyle name="Normal 10 2 10 17 2 4" xfId="2552" xr:uid="{00000000-0005-0000-0000-0000F8090000}"/>
    <cellStyle name="Normal 10 2 10 17 2 5" xfId="2553" xr:uid="{00000000-0005-0000-0000-0000F9090000}"/>
    <cellStyle name="Normal 10 2 10 17 2 6" xfId="2554" xr:uid="{00000000-0005-0000-0000-0000FA090000}"/>
    <cellStyle name="Normal 10 2 10 17 2 7" xfId="2555" xr:uid="{00000000-0005-0000-0000-0000FB090000}"/>
    <cellStyle name="Normal 10 2 10 17 2 8" xfId="2556" xr:uid="{00000000-0005-0000-0000-0000FC090000}"/>
    <cellStyle name="Normal 10 2 10 17 2 9" xfId="2557" xr:uid="{00000000-0005-0000-0000-0000FD090000}"/>
    <cellStyle name="Normal 10 2 10 17 3" xfId="2558" xr:uid="{00000000-0005-0000-0000-0000FE090000}"/>
    <cellStyle name="Normal 10 2 10 17 3 10" xfId="2559" xr:uid="{00000000-0005-0000-0000-0000FF090000}"/>
    <cellStyle name="Normal 10 2 10 17 3 2" xfId="2560" xr:uid="{00000000-0005-0000-0000-0000000A0000}"/>
    <cellStyle name="Normal 10 2 10 17 3 3" xfId="2561" xr:uid="{00000000-0005-0000-0000-0000010A0000}"/>
    <cellStyle name="Normal 10 2 10 17 3 4" xfId="2562" xr:uid="{00000000-0005-0000-0000-0000020A0000}"/>
    <cellStyle name="Normal 10 2 10 17 3 5" xfId="2563" xr:uid="{00000000-0005-0000-0000-0000030A0000}"/>
    <cellStyle name="Normal 10 2 10 17 3 6" xfId="2564" xr:uid="{00000000-0005-0000-0000-0000040A0000}"/>
    <cellStyle name="Normal 10 2 10 17 3 7" xfId="2565" xr:uid="{00000000-0005-0000-0000-0000050A0000}"/>
    <cellStyle name="Normal 10 2 10 17 3 8" xfId="2566" xr:uid="{00000000-0005-0000-0000-0000060A0000}"/>
    <cellStyle name="Normal 10 2 10 17 3 9" xfId="2567" xr:uid="{00000000-0005-0000-0000-0000070A0000}"/>
    <cellStyle name="Normal 10 2 10 17 4" xfId="2568" xr:uid="{00000000-0005-0000-0000-0000080A0000}"/>
    <cellStyle name="Normal 10 2 10 17 4 10" xfId="2569" xr:uid="{00000000-0005-0000-0000-0000090A0000}"/>
    <cellStyle name="Normal 10 2 10 17 4 2" xfId="2570" xr:uid="{00000000-0005-0000-0000-00000A0A0000}"/>
    <cellStyle name="Normal 10 2 10 17 4 3" xfId="2571" xr:uid="{00000000-0005-0000-0000-00000B0A0000}"/>
    <cellStyle name="Normal 10 2 10 17 4 4" xfId="2572" xr:uid="{00000000-0005-0000-0000-00000C0A0000}"/>
    <cellStyle name="Normal 10 2 10 17 4 5" xfId="2573" xr:uid="{00000000-0005-0000-0000-00000D0A0000}"/>
    <cellStyle name="Normal 10 2 10 17 4 6" xfId="2574" xr:uid="{00000000-0005-0000-0000-00000E0A0000}"/>
    <cellStyle name="Normal 10 2 10 17 4 7" xfId="2575" xr:uid="{00000000-0005-0000-0000-00000F0A0000}"/>
    <cellStyle name="Normal 10 2 10 17 4 8" xfId="2576" xr:uid="{00000000-0005-0000-0000-0000100A0000}"/>
    <cellStyle name="Normal 10 2 10 17 4 9" xfId="2577" xr:uid="{00000000-0005-0000-0000-0000110A0000}"/>
    <cellStyle name="Normal 10 2 10 17 5" xfId="2578" xr:uid="{00000000-0005-0000-0000-0000120A0000}"/>
    <cellStyle name="Normal 10 2 10 17 5 10" xfId="2579" xr:uid="{00000000-0005-0000-0000-0000130A0000}"/>
    <cellStyle name="Normal 10 2 10 17 5 2" xfId="2580" xr:uid="{00000000-0005-0000-0000-0000140A0000}"/>
    <cellStyle name="Normal 10 2 10 17 5 3" xfId="2581" xr:uid="{00000000-0005-0000-0000-0000150A0000}"/>
    <cellStyle name="Normal 10 2 10 17 5 4" xfId="2582" xr:uid="{00000000-0005-0000-0000-0000160A0000}"/>
    <cellStyle name="Normal 10 2 10 17 5 5" xfId="2583" xr:uid="{00000000-0005-0000-0000-0000170A0000}"/>
    <cellStyle name="Normal 10 2 10 17 5 6" xfId="2584" xr:uid="{00000000-0005-0000-0000-0000180A0000}"/>
    <cellStyle name="Normal 10 2 10 17 5 7" xfId="2585" xr:uid="{00000000-0005-0000-0000-0000190A0000}"/>
    <cellStyle name="Normal 10 2 10 17 5 8" xfId="2586" xr:uid="{00000000-0005-0000-0000-00001A0A0000}"/>
    <cellStyle name="Normal 10 2 10 17 5 9" xfId="2587" xr:uid="{00000000-0005-0000-0000-00001B0A0000}"/>
    <cellStyle name="Normal 10 2 10 17 6" xfId="2588" xr:uid="{00000000-0005-0000-0000-00001C0A0000}"/>
    <cellStyle name="Normal 10 2 10 17 7" xfId="2589" xr:uid="{00000000-0005-0000-0000-00001D0A0000}"/>
    <cellStyle name="Normal 10 2 10 17 8" xfId="2590" xr:uid="{00000000-0005-0000-0000-00001E0A0000}"/>
    <cellStyle name="Normal 10 2 10 17 9" xfId="2591" xr:uid="{00000000-0005-0000-0000-00001F0A0000}"/>
    <cellStyle name="Normal 10 2 10 18" xfId="2592" xr:uid="{00000000-0005-0000-0000-0000200A0000}"/>
    <cellStyle name="Normal 10 2 10 18 10" xfId="2593" xr:uid="{00000000-0005-0000-0000-0000210A0000}"/>
    <cellStyle name="Normal 10 2 10 18 11" xfId="2594" xr:uid="{00000000-0005-0000-0000-0000220A0000}"/>
    <cellStyle name="Normal 10 2 10 18 12" xfId="2595" xr:uid="{00000000-0005-0000-0000-0000230A0000}"/>
    <cellStyle name="Normal 10 2 10 18 13" xfId="2596" xr:uid="{00000000-0005-0000-0000-0000240A0000}"/>
    <cellStyle name="Normal 10 2 10 18 14" xfId="2597" xr:uid="{00000000-0005-0000-0000-0000250A0000}"/>
    <cellStyle name="Normal 10 2 10 18 2" xfId="2598" xr:uid="{00000000-0005-0000-0000-0000260A0000}"/>
    <cellStyle name="Normal 10 2 10 18 2 10" xfId="2599" xr:uid="{00000000-0005-0000-0000-0000270A0000}"/>
    <cellStyle name="Normal 10 2 10 18 2 2" xfId="2600" xr:uid="{00000000-0005-0000-0000-0000280A0000}"/>
    <cellStyle name="Normal 10 2 10 18 2 3" xfId="2601" xr:uid="{00000000-0005-0000-0000-0000290A0000}"/>
    <cellStyle name="Normal 10 2 10 18 2 4" xfId="2602" xr:uid="{00000000-0005-0000-0000-00002A0A0000}"/>
    <cellStyle name="Normal 10 2 10 18 2 5" xfId="2603" xr:uid="{00000000-0005-0000-0000-00002B0A0000}"/>
    <cellStyle name="Normal 10 2 10 18 2 6" xfId="2604" xr:uid="{00000000-0005-0000-0000-00002C0A0000}"/>
    <cellStyle name="Normal 10 2 10 18 2 7" xfId="2605" xr:uid="{00000000-0005-0000-0000-00002D0A0000}"/>
    <cellStyle name="Normal 10 2 10 18 2 8" xfId="2606" xr:uid="{00000000-0005-0000-0000-00002E0A0000}"/>
    <cellStyle name="Normal 10 2 10 18 2 9" xfId="2607" xr:uid="{00000000-0005-0000-0000-00002F0A0000}"/>
    <cellStyle name="Normal 10 2 10 18 3" xfId="2608" xr:uid="{00000000-0005-0000-0000-0000300A0000}"/>
    <cellStyle name="Normal 10 2 10 18 3 10" xfId="2609" xr:uid="{00000000-0005-0000-0000-0000310A0000}"/>
    <cellStyle name="Normal 10 2 10 18 3 2" xfId="2610" xr:uid="{00000000-0005-0000-0000-0000320A0000}"/>
    <cellStyle name="Normal 10 2 10 18 3 3" xfId="2611" xr:uid="{00000000-0005-0000-0000-0000330A0000}"/>
    <cellStyle name="Normal 10 2 10 18 3 4" xfId="2612" xr:uid="{00000000-0005-0000-0000-0000340A0000}"/>
    <cellStyle name="Normal 10 2 10 18 3 5" xfId="2613" xr:uid="{00000000-0005-0000-0000-0000350A0000}"/>
    <cellStyle name="Normal 10 2 10 18 3 6" xfId="2614" xr:uid="{00000000-0005-0000-0000-0000360A0000}"/>
    <cellStyle name="Normal 10 2 10 18 3 7" xfId="2615" xr:uid="{00000000-0005-0000-0000-0000370A0000}"/>
    <cellStyle name="Normal 10 2 10 18 3 8" xfId="2616" xr:uid="{00000000-0005-0000-0000-0000380A0000}"/>
    <cellStyle name="Normal 10 2 10 18 3 9" xfId="2617" xr:uid="{00000000-0005-0000-0000-0000390A0000}"/>
    <cellStyle name="Normal 10 2 10 18 4" xfId="2618" xr:uid="{00000000-0005-0000-0000-00003A0A0000}"/>
    <cellStyle name="Normal 10 2 10 18 4 10" xfId="2619" xr:uid="{00000000-0005-0000-0000-00003B0A0000}"/>
    <cellStyle name="Normal 10 2 10 18 4 2" xfId="2620" xr:uid="{00000000-0005-0000-0000-00003C0A0000}"/>
    <cellStyle name="Normal 10 2 10 18 4 3" xfId="2621" xr:uid="{00000000-0005-0000-0000-00003D0A0000}"/>
    <cellStyle name="Normal 10 2 10 18 4 4" xfId="2622" xr:uid="{00000000-0005-0000-0000-00003E0A0000}"/>
    <cellStyle name="Normal 10 2 10 18 4 5" xfId="2623" xr:uid="{00000000-0005-0000-0000-00003F0A0000}"/>
    <cellStyle name="Normal 10 2 10 18 4 6" xfId="2624" xr:uid="{00000000-0005-0000-0000-0000400A0000}"/>
    <cellStyle name="Normal 10 2 10 18 4 7" xfId="2625" xr:uid="{00000000-0005-0000-0000-0000410A0000}"/>
    <cellStyle name="Normal 10 2 10 18 4 8" xfId="2626" xr:uid="{00000000-0005-0000-0000-0000420A0000}"/>
    <cellStyle name="Normal 10 2 10 18 4 9" xfId="2627" xr:uid="{00000000-0005-0000-0000-0000430A0000}"/>
    <cellStyle name="Normal 10 2 10 18 5" xfId="2628" xr:uid="{00000000-0005-0000-0000-0000440A0000}"/>
    <cellStyle name="Normal 10 2 10 18 5 10" xfId="2629" xr:uid="{00000000-0005-0000-0000-0000450A0000}"/>
    <cellStyle name="Normal 10 2 10 18 5 2" xfId="2630" xr:uid="{00000000-0005-0000-0000-0000460A0000}"/>
    <cellStyle name="Normal 10 2 10 18 5 3" xfId="2631" xr:uid="{00000000-0005-0000-0000-0000470A0000}"/>
    <cellStyle name="Normal 10 2 10 18 5 4" xfId="2632" xr:uid="{00000000-0005-0000-0000-0000480A0000}"/>
    <cellStyle name="Normal 10 2 10 18 5 5" xfId="2633" xr:uid="{00000000-0005-0000-0000-0000490A0000}"/>
    <cellStyle name="Normal 10 2 10 18 5 6" xfId="2634" xr:uid="{00000000-0005-0000-0000-00004A0A0000}"/>
    <cellStyle name="Normal 10 2 10 18 5 7" xfId="2635" xr:uid="{00000000-0005-0000-0000-00004B0A0000}"/>
    <cellStyle name="Normal 10 2 10 18 5 8" xfId="2636" xr:uid="{00000000-0005-0000-0000-00004C0A0000}"/>
    <cellStyle name="Normal 10 2 10 18 5 9" xfId="2637" xr:uid="{00000000-0005-0000-0000-00004D0A0000}"/>
    <cellStyle name="Normal 10 2 10 18 6" xfId="2638" xr:uid="{00000000-0005-0000-0000-00004E0A0000}"/>
    <cellStyle name="Normal 10 2 10 18 7" xfId="2639" xr:uid="{00000000-0005-0000-0000-00004F0A0000}"/>
    <cellStyle name="Normal 10 2 10 18 8" xfId="2640" xr:uid="{00000000-0005-0000-0000-0000500A0000}"/>
    <cellStyle name="Normal 10 2 10 18 9" xfId="2641" xr:uid="{00000000-0005-0000-0000-0000510A0000}"/>
    <cellStyle name="Normal 10 2 10 19" xfId="2642" xr:uid="{00000000-0005-0000-0000-0000520A0000}"/>
    <cellStyle name="Normal 10 2 10 19 10" xfId="2643" xr:uid="{00000000-0005-0000-0000-0000530A0000}"/>
    <cellStyle name="Normal 10 2 10 19 11" xfId="2644" xr:uid="{00000000-0005-0000-0000-0000540A0000}"/>
    <cellStyle name="Normal 10 2 10 19 12" xfId="2645" xr:uid="{00000000-0005-0000-0000-0000550A0000}"/>
    <cellStyle name="Normal 10 2 10 19 13" xfId="2646" xr:uid="{00000000-0005-0000-0000-0000560A0000}"/>
    <cellStyle name="Normal 10 2 10 19 14" xfId="2647" xr:uid="{00000000-0005-0000-0000-0000570A0000}"/>
    <cellStyle name="Normal 10 2 10 19 2" xfId="2648" xr:uid="{00000000-0005-0000-0000-0000580A0000}"/>
    <cellStyle name="Normal 10 2 10 19 2 10" xfId="2649" xr:uid="{00000000-0005-0000-0000-0000590A0000}"/>
    <cellStyle name="Normal 10 2 10 19 2 2" xfId="2650" xr:uid="{00000000-0005-0000-0000-00005A0A0000}"/>
    <cellStyle name="Normal 10 2 10 19 2 3" xfId="2651" xr:uid="{00000000-0005-0000-0000-00005B0A0000}"/>
    <cellStyle name="Normal 10 2 10 19 2 4" xfId="2652" xr:uid="{00000000-0005-0000-0000-00005C0A0000}"/>
    <cellStyle name="Normal 10 2 10 19 2 5" xfId="2653" xr:uid="{00000000-0005-0000-0000-00005D0A0000}"/>
    <cellStyle name="Normal 10 2 10 19 2 6" xfId="2654" xr:uid="{00000000-0005-0000-0000-00005E0A0000}"/>
    <cellStyle name="Normal 10 2 10 19 2 7" xfId="2655" xr:uid="{00000000-0005-0000-0000-00005F0A0000}"/>
    <cellStyle name="Normal 10 2 10 19 2 8" xfId="2656" xr:uid="{00000000-0005-0000-0000-0000600A0000}"/>
    <cellStyle name="Normal 10 2 10 19 2 9" xfId="2657" xr:uid="{00000000-0005-0000-0000-0000610A0000}"/>
    <cellStyle name="Normal 10 2 10 19 3" xfId="2658" xr:uid="{00000000-0005-0000-0000-0000620A0000}"/>
    <cellStyle name="Normal 10 2 10 19 3 10" xfId="2659" xr:uid="{00000000-0005-0000-0000-0000630A0000}"/>
    <cellStyle name="Normal 10 2 10 19 3 2" xfId="2660" xr:uid="{00000000-0005-0000-0000-0000640A0000}"/>
    <cellStyle name="Normal 10 2 10 19 3 3" xfId="2661" xr:uid="{00000000-0005-0000-0000-0000650A0000}"/>
    <cellStyle name="Normal 10 2 10 19 3 4" xfId="2662" xr:uid="{00000000-0005-0000-0000-0000660A0000}"/>
    <cellStyle name="Normal 10 2 10 19 3 5" xfId="2663" xr:uid="{00000000-0005-0000-0000-0000670A0000}"/>
    <cellStyle name="Normal 10 2 10 19 3 6" xfId="2664" xr:uid="{00000000-0005-0000-0000-0000680A0000}"/>
    <cellStyle name="Normal 10 2 10 19 3 7" xfId="2665" xr:uid="{00000000-0005-0000-0000-0000690A0000}"/>
    <cellStyle name="Normal 10 2 10 19 3 8" xfId="2666" xr:uid="{00000000-0005-0000-0000-00006A0A0000}"/>
    <cellStyle name="Normal 10 2 10 19 3 9" xfId="2667" xr:uid="{00000000-0005-0000-0000-00006B0A0000}"/>
    <cellStyle name="Normal 10 2 10 19 4" xfId="2668" xr:uid="{00000000-0005-0000-0000-00006C0A0000}"/>
    <cellStyle name="Normal 10 2 10 19 4 10" xfId="2669" xr:uid="{00000000-0005-0000-0000-00006D0A0000}"/>
    <cellStyle name="Normal 10 2 10 19 4 2" xfId="2670" xr:uid="{00000000-0005-0000-0000-00006E0A0000}"/>
    <cellStyle name="Normal 10 2 10 19 4 3" xfId="2671" xr:uid="{00000000-0005-0000-0000-00006F0A0000}"/>
    <cellStyle name="Normal 10 2 10 19 4 4" xfId="2672" xr:uid="{00000000-0005-0000-0000-0000700A0000}"/>
    <cellStyle name="Normal 10 2 10 19 4 5" xfId="2673" xr:uid="{00000000-0005-0000-0000-0000710A0000}"/>
    <cellStyle name="Normal 10 2 10 19 4 6" xfId="2674" xr:uid="{00000000-0005-0000-0000-0000720A0000}"/>
    <cellStyle name="Normal 10 2 10 19 4 7" xfId="2675" xr:uid="{00000000-0005-0000-0000-0000730A0000}"/>
    <cellStyle name="Normal 10 2 10 19 4 8" xfId="2676" xr:uid="{00000000-0005-0000-0000-0000740A0000}"/>
    <cellStyle name="Normal 10 2 10 19 4 9" xfId="2677" xr:uid="{00000000-0005-0000-0000-0000750A0000}"/>
    <cellStyle name="Normal 10 2 10 19 5" xfId="2678" xr:uid="{00000000-0005-0000-0000-0000760A0000}"/>
    <cellStyle name="Normal 10 2 10 19 5 10" xfId="2679" xr:uid="{00000000-0005-0000-0000-0000770A0000}"/>
    <cellStyle name="Normal 10 2 10 19 5 2" xfId="2680" xr:uid="{00000000-0005-0000-0000-0000780A0000}"/>
    <cellStyle name="Normal 10 2 10 19 5 3" xfId="2681" xr:uid="{00000000-0005-0000-0000-0000790A0000}"/>
    <cellStyle name="Normal 10 2 10 19 5 4" xfId="2682" xr:uid="{00000000-0005-0000-0000-00007A0A0000}"/>
    <cellStyle name="Normal 10 2 10 19 5 5" xfId="2683" xr:uid="{00000000-0005-0000-0000-00007B0A0000}"/>
    <cellStyle name="Normal 10 2 10 19 5 6" xfId="2684" xr:uid="{00000000-0005-0000-0000-00007C0A0000}"/>
    <cellStyle name="Normal 10 2 10 19 5 7" xfId="2685" xr:uid="{00000000-0005-0000-0000-00007D0A0000}"/>
    <cellStyle name="Normal 10 2 10 19 5 8" xfId="2686" xr:uid="{00000000-0005-0000-0000-00007E0A0000}"/>
    <cellStyle name="Normal 10 2 10 19 5 9" xfId="2687" xr:uid="{00000000-0005-0000-0000-00007F0A0000}"/>
    <cellStyle name="Normal 10 2 10 19 6" xfId="2688" xr:uid="{00000000-0005-0000-0000-0000800A0000}"/>
    <cellStyle name="Normal 10 2 10 19 7" xfId="2689" xr:uid="{00000000-0005-0000-0000-0000810A0000}"/>
    <cellStyle name="Normal 10 2 10 19 8" xfId="2690" xr:uid="{00000000-0005-0000-0000-0000820A0000}"/>
    <cellStyle name="Normal 10 2 10 19 9" xfId="2691" xr:uid="{00000000-0005-0000-0000-0000830A0000}"/>
    <cellStyle name="Normal 10 2 10 2" xfId="2692" xr:uid="{00000000-0005-0000-0000-0000840A0000}"/>
    <cellStyle name="Normal 10 2 10 2 10" xfId="2693" xr:uid="{00000000-0005-0000-0000-0000850A0000}"/>
    <cellStyle name="Normal 10 2 10 2 10 10" xfId="2694" xr:uid="{00000000-0005-0000-0000-0000860A0000}"/>
    <cellStyle name="Normal 10 2 10 2 10 11" xfId="2695" xr:uid="{00000000-0005-0000-0000-0000870A0000}"/>
    <cellStyle name="Normal 10 2 10 2 10 12" xfId="2696" xr:uid="{00000000-0005-0000-0000-0000880A0000}"/>
    <cellStyle name="Normal 10 2 10 2 10 13" xfId="2697" xr:uid="{00000000-0005-0000-0000-0000890A0000}"/>
    <cellStyle name="Normal 10 2 10 2 10 14" xfId="2698" xr:uid="{00000000-0005-0000-0000-00008A0A0000}"/>
    <cellStyle name="Normal 10 2 10 2 10 2" xfId="2699" xr:uid="{00000000-0005-0000-0000-00008B0A0000}"/>
    <cellStyle name="Normal 10 2 10 2 10 2 10" xfId="2700" xr:uid="{00000000-0005-0000-0000-00008C0A0000}"/>
    <cellStyle name="Normal 10 2 10 2 10 2 2" xfId="2701" xr:uid="{00000000-0005-0000-0000-00008D0A0000}"/>
    <cellStyle name="Normal 10 2 10 2 10 2 3" xfId="2702" xr:uid="{00000000-0005-0000-0000-00008E0A0000}"/>
    <cellStyle name="Normal 10 2 10 2 10 2 4" xfId="2703" xr:uid="{00000000-0005-0000-0000-00008F0A0000}"/>
    <cellStyle name="Normal 10 2 10 2 10 2 5" xfId="2704" xr:uid="{00000000-0005-0000-0000-0000900A0000}"/>
    <cellStyle name="Normal 10 2 10 2 10 2 6" xfId="2705" xr:uid="{00000000-0005-0000-0000-0000910A0000}"/>
    <cellStyle name="Normal 10 2 10 2 10 2 7" xfId="2706" xr:uid="{00000000-0005-0000-0000-0000920A0000}"/>
    <cellStyle name="Normal 10 2 10 2 10 2 8" xfId="2707" xr:uid="{00000000-0005-0000-0000-0000930A0000}"/>
    <cellStyle name="Normal 10 2 10 2 10 2 9" xfId="2708" xr:uid="{00000000-0005-0000-0000-0000940A0000}"/>
    <cellStyle name="Normal 10 2 10 2 10 3" xfId="2709" xr:uid="{00000000-0005-0000-0000-0000950A0000}"/>
    <cellStyle name="Normal 10 2 10 2 10 3 10" xfId="2710" xr:uid="{00000000-0005-0000-0000-0000960A0000}"/>
    <cellStyle name="Normal 10 2 10 2 10 3 2" xfId="2711" xr:uid="{00000000-0005-0000-0000-0000970A0000}"/>
    <cellStyle name="Normal 10 2 10 2 10 3 3" xfId="2712" xr:uid="{00000000-0005-0000-0000-0000980A0000}"/>
    <cellStyle name="Normal 10 2 10 2 10 3 4" xfId="2713" xr:uid="{00000000-0005-0000-0000-0000990A0000}"/>
    <cellStyle name="Normal 10 2 10 2 10 3 5" xfId="2714" xr:uid="{00000000-0005-0000-0000-00009A0A0000}"/>
    <cellStyle name="Normal 10 2 10 2 10 3 6" xfId="2715" xr:uid="{00000000-0005-0000-0000-00009B0A0000}"/>
    <cellStyle name="Normal 10 2 10 2 10 3 7" xfId="2716" xr:uid="{00000000-0005-0000-0000-00009C0A0000}"/>
    <cellStyle name="Normal 10 2 10 2 10 3 8" xfId="2717" xr:uid="{00000000-0005-0000-0000-00009D0A0000}"/>
    <cellStyle name="Normal 10 2 10 2 10 3 9" xfId="2718" xr:uid="{00000000-0005-0000-0000-00009E0A0000}"/>
    <cellStyle name="Normal 10 2 10 2 10 4" xfId="2719" xr:uid="{00000000-0005-0000-0000-00009F0A0000}"/>
    <cellStyle name="Normal 10 2 10 2 10 4 10" xfId="2720" xr:uid="{00000000-0005-0000-0000-0000A00A0000}"/>
    <cellStyle name="Normal 10 2 10 2 10 4 2" xfId="2721" xr:uid="{00000000-0005-0000-0000-0000A10A0000}"/>
    <cellStyle name="Normal 10 2 10 2 10 4 3" xfId="2722" xr:uid="{00000000-0005-0000-0000-0000A20A0000}"/>
    <cellStyle name="Normal 10 2 10 2 10 4 4" xfId="2723" xr:uid="{00000000-0005-0000-0000-0000A30A0000}"/>
    <cellStyle name="Normal 10 2 10 2 10 4 5" xfId="2724" xr:uid="{00000000-0005-0000-0000-0000A40A0000}"/>
    <cellStyle name="Normal 10 2 10 2 10 4 6" xfId="2725" xr:uid="{00000000-0005-0000-0000-0000A50A0000}"/>
    <cellStyle name="Normal 10 2 10 2 10 4 7" xfId="2726" xr:uid="{00000000-0005-0000-0000-0000A60A0000}"/>
    <cellStyle name="Normal 10 2 10 2 10 4 8" xfId="2727" xr:uid="{00000000-0005-0000-0000-0000A70A0000}"/>
    <cellStyle name="Normal 10 2 10 2 10 4 9" xfId="2728" xr:uid="{00000000-0005-0000-0000-0000A80A0000}"/>
    <cellStyle name="Normal 10 2 10 2 10 5" xfId="2729" xr:uid="{00000000-0005-0000-0000-0000A90A0000}"/>
    <cellStyle name="Normal 10 2 10 2 10 5 10" xfId="2730" xr:uid="{00000000-0005-0000-0000-0000AA0A0000}"/>
    <cellStyle name="Normal 10 2 10 2 10 5 2" xfId="2731" xr:uid="{00000000-0005-0000-0000-0000AB0A0000}"/>
    <cellStyle name="Normal 10 2 10 2 10 5 3" xfId="2732" xr:uid="{00000000-0005-0000-0000-0000AC0A0000}"/>
    <cellStyle name="Normal 10 2 10 2 10 5 4" xfId="2733" xr:uid="{00000000-0005-0000-0000-0000AD0A0000}"/>
    <cellStyle name="Normal 10 2 10 2 10 5 5" xfId="2734" xr:uid="{00000000-0005-0000-0000-0000AE0A0000}"/>
    <cellStyle name="Normal 10 2 10 2 10 5 6" xfId="2735" xr:uid="{00000000-0005-0000-0000-0000AF0A0000}"/>
    <cellStyle name="Normal 10 2 10 2 10 5 7" xfId="2736" xr:uid="{00000000-0005-0000-0000-0000B00A0000}"/>
    <cellStyle name="Normal 10 2 10 2 10 5 8" xfId="2737" xr:uid="{00000000-0005-0000-0000-0000B10A0000}"/>
    <cellStyle name="Normal 10 2 10 2 10 5 9" xfId="2738" xr:uid="{00000000-0005-0000-0000-0000B20A0000}"/>
    <cellStyle name="Normal 10 2 10 2 10 6" xfId="2739" xr:uid="{00000000-0005-0000-0000-0000B30A0000}"/>
    <cellStyle name="Normal 10 2 10 2 10 7" xfId="2740" xr:uid="{00000000-0005-0000-0000-0000B40A0000}"/>
    <cellStyle name="Normal 10 2 10 2 10 8" xfId="2741" xr:uid="{00000000-0005-0000-0000-0000B50A0000}"/>
    <cellStyle name="Normal 10 2 10 2 10 9" xfId="2742" xr:uid="{00000000-0005-0000-0000-0000B60A0000}"/>
    <cellStyle name="Normal 10 2 10 2 11" xfId="2743" xr:uid="{00000000-0005-0000-0000-0000B70A0000}"/>
    <cellStyle name="Normal 10 2 10 2 11 10" xfId="2744" xr:uid="{00000000-0005-0000-0000-0000B80A0000}"/>
    <cellStyle name="Normal 10 2 10 2 11 11" xfId="2745" xr:uid="{00000000-0005-0000-0000-0000B90A0000}"/>
    <cellStyle name="Normal 10 2 10 2 11 12" xfId="2746" xr:uid="{00000000-0005-0000-0000-0000BA0A0000}"/>
    <cellStyle name="Normal 10 2 10 2 11 13" xfId="2747" xr:uid="{00000000-0005-0000-0000-0000BB0A0000}"/>
    <cellStyle name="Normal 10 2 10 2 11 14" xfId="2748" xr:uid="{00000000-0005-0000-0000-0000BC0A0000}"/>
    <cellStyle name="Normal 10 2 10 2 11 2" xfId="2749" xr:uid="{00000000-0005-0000-0000-0000BD0A0000}"/>
    <cellStyle name="Normal 10 2 10 2 11 2 10" xfId="2750" xr:uid="{00000000-0005-0000-0000-0000BE0A0000}"/>
    <cellStyle name="Normal 10 2 10 2 11 2 2" xfId="2751" xr:uid="{00000000-0005-0000-0000-0000BF0A0000}"/>
    <cellStyle name="Normal 10 2 10 2 11 2 3" xfId="2752" xr:uid="{00000000-0005-0000-0000-0000C00A0000}"/>
    <cellStyle name="Normal 10 2 10 2 11 2 4" xfId="2753" xr:uid="{00000000-0005-0000-0000-0000C10A0000}"/>
    <cellStyle name="Normal 10 2 10 2 11 2 5" xfId="2754" xr:uid="{00000000-0005-0000-0000-0000C20A0000}"/>
    <cellStyle name="Normal 10 2 10 2 11 2 6" xfId="2755" xr:uid="{00000000-0005-0000-0000-0000C30A0000}"/>
    <cellStyle name="Normal 10 2 10 2 11 2 7" xfId="2756" xr:uid="{00000000-0005-0000-0000-0000C40A0000}"/>
    <cellStyle name="Normal 10 2 10 2 11 2 8" xfId="2757" xr:uid="{00000000-0005-0000-0000-0000C50A0000}"/>
    <cellStyle name="Normal 10 2 10 2 11 2 9" xfId="2758" xr:uid="{00000000-0005-0000-0000-0000C60A0000}"/>
    <cellStyle name="Normal 10 2 10 2 11 3" xfId="2759" xr:uid="{00000000-0005-0000-0000-0000C70A0000}"/>
    <cellStyle name="Normal 10 2 10 2 11 3 10" xfId="2760" xr:uid="{00000000-0005-0000-0000-0000C80A0000}"/>
    <cellStyle name="Normal 10 2 10 2 11 3 2" xfId="2761" xr:uid="{00000000-0005-0000-0000-0000C90A0000}"/>
    <cellStyle name="Normal 10 2 10 2 11 3 3" xfId="2762" xr:uid="{00000000-0005-0000-0000-0000CA0A0000}"/>
    <cellStyle name="Normal 10 2 10 2 11 3 4" xfId="2763" xr:uid="{00000000-0005-0000-0000-0000CB0A0000}"/>
    <cellStyle name="Normal 10 2 10 2 11 3 5" xfId="2764" xr:uid="{00000000-0005-0000-0000-0000CC0A0000}"/>
    <cellStyle name="Normal 10 2 10 2 11 3 6" xfId="2765" xr:uid="{00000000-0005-0000-0000-0000CD0A0000}"/>
    <cellStyle name="Normal 10 2 10 2 11 3 7" xfId="2766" xr:uid="{00000000-0005-0000-0000-0000CE0A0000}"/>
    <cellStyle name="Normal 10 2 10 2 11 3 8" xfId="2767" xr:uid="{00000000-0005-0000-0000-0000CF0A0000}"/>
    <cellStyle name="Normal 10 2 10 2 11 3 9" xfId="2768" xr:uid="{00000000-0005-0000-0000-0000D00A0000}"/>
    <cellStyle name="Normal 10 2 10 2 11 4" xfId="2769" xr:uid="{00000000-0005-0000-0000-0000D10A0000}"/>
    <cellStyle name="Normal 10 2 10 2 11 4 10" xfId="2770" xr:uid="{00000000-0005-0000-0000-0000D20A0000}"/>
    <cellStyle name="Normal 10 2 10 2 11 4 2" xfId="2771" xr:uid="{00000000-0005-0000-0000-0000D30A0000}"/>
    <cellStyle name="Normal 10 2 10 2 11 4 3" xfId="2772" xr:uid="{00000000-0005-0000-0000-0000D40A0000}"/>
    <cellStyle name="Normal 10 2 10 2 11 4 4" xfId="2773" xr:uid="{00000000-0005-0000-0000-0000D50A0000}"/>
    <cellStyle name="Normal 10 2 10 2 11 4 5" xfId="2774" xr:uid="{00000000-0005-0000-0000-0000D60A0000}"/>
    <cellStyle name="Normal 10 2 10 2 11 4 6" xfId="2775" xr:uid="{00000000-0005-0000-0000-0000D70A0000}"/>
    <cellStyle name="Normal 10 2 10 2 11 4 7" xfId="2776" xr:uid="{00000000-0005-0000-0000-0000D80A0000}"/>
    <cellStyle name="Normal 10 2 10 2 11 4 8" xfId="2777" xr:uid="{00000000-0005-0000-0000-0000D90A0000}"/>
    <cellStyle name="Normal 10 2 10 2 11 4 9" xfId="2778" xr:uid="{00000000-0005-0000-0000-0000DA0A0000}"/>
    <cellStyle name="Normal 10 2 10 2 11 5" xfId="2779" xr:uid="{00000000-0005-0000-0000-0000DB0A0000}"/>
    <cellStyle name="Normal 10 2 10 2 11 5 10" xfId="2780" xr:uid="{00000000-0005-0000-0000-0000DC0A0000}"/>
    <cellStyle name="Normal 10 2 10 2 11 5 2" xfId="2781" xr:uid="{00000000-0005-0000-0000-0000DD0A0000}"/>
    <cellStyle name="Normal 10 2 10 2 11 5 3" xfId="2782" xr:uid="{00000000-0005-0000-0000-0000DE0A0000}"/>
    <cellStyle name="Normal 10 2 10 2 11 5 4" xfId="2783" xr:uid="{00000000-0005-0000-0000-0000DF0A0000}"/>
    <cellStyle name="Normal 10 2 10 2 11 5 5" xfId="2784" xr:uid="{00000000-0005-0000-0000-0000E00A0000}"/>
    <cellStyle name="Normal 10 2 10 2 11 5 6" xfId="2785" xr:uid="{00000000-0005-0000-0000-0000E10A0000}"/>
    <cellStyle name="Normal 10 2 10 2 11 5 7" xfId="2786" xr:uid="{00000000-0005-0000-0000-0000E20A0000}"/>
    <cellStyle name="Normal 10 2 10 2 11 5 8" xfId="2787" xr:uid="{00000000-0005-0000-0000-0000E30A0000}"/>
    <cellStyle name="Normal 10 2 10 2 11 5 9" xfId="2788" xr:uid="{00000000-0005-0000-0000-0000E40A0000}"/>
    <cellStyle name="Normal 10 2 10 2 11 6" xfId="2789" xr:uid="{00000000-0005-0000-0000-0000E50A0000}"/>
    <cellStyle name="Normal 10 2 10 2 11 7" xfId="2790" xr:uid="{00000000-0005-0000-0000-0000E60A0000}"/>
    <cellStyle name="Normal 10 2 10 2 11 8" xfId="2791" xr:uid="{00000000-0005-0000-0000-0000E70A0000}"/>
    <cellStyle name="Normal 10 2 10 2 11 9" xfId="2792" xr:uid="{00000000-0005-0000-0000-0000E80A0000}"/>
    <cellStyle name="Normal 10 2 10 2 12" xfId="2793" xr:uid="{00000000-0005-0000-0000-0000E90A0000}"/>
    <cellStyle name="Normal 10 2 10 2 12 10" xfId="2794" xr:uid="{00000000-0005-0000-0000-0000EA0A0000}"/>
    <cellStyle name="Normal 10 2 10 2 12 11" xfId="2795" xr:uid="{00000000-0005-0000-0000-0000EB0A0000}"/>
    <cellStyle name="Normal 10 2 10 2 12 12" xfId="2796" xr:uid="{00000000-0005-0000-0000-0000EC0A0000}"/>
    <cellStyle name="Normal 10 2 10 2 12 13" xfId="2797" xr:uid="{00000000-0005-0000-0000-0000ED0A0000}"/>
    <cellStyle name="Normal 10 2 10 2 12 14" xfId="2798" xr:uid="{00000000-0005-0000-0000-0000EE0A0000}"/>
    <cellStyle name="Normal 10 2 10 2 12 2" xfId="2799" xr:uid="{00000000-0005-0000-0000-0000EF0A0000}"/>
    <cellStyle name="Normal 10 2 10 2 12 2 10" xfId="2800" xr:uid="{00000000-0005-0000-0000-0000F00A0000}"/>
    <cellStyle name="Normal 10 2 10 2 12 2 2" xfId="2801" xr:uid="{00000000-0005-0000-0000-0000F10A0000}"/>
    <cellStyle name="Normal 10 2 10 2 12 2 3" xfId="2802" xr:uid="{00000000-0005-0000-0000-0000F20A0000}"/>
    <cellStyle name="Normal 10 2 10 2 12 2 4" xfId="2803" xr:uid="{00000000-0005-0000-0000-0000F30A0000}"/>
    <cellStyle name="Normal 10 2 10 2 12 2 5" xfId="2804" xr:uid="{00000000-0005-0000-0000-0000F40A0000}"/>
    <cellStyle name="Normal 10 2 10 2 12 2 6" xfId="2805" xr:uid="{00000000-0005-0000-0000-0000F50A0000}"/>
    <cellStyle name="Normal 10 2 10 2 12 2 7" xfId="2806" xr:uid="{00000000-0005-0000-0000-0000F60A0000}"/>
    <cellStyle name="Normal 10 2 10 2 12 2 8" xfId="2807" xr:uid="{00000000-0005-0000-0000-0000F70A0000}"/>
    <cellStyle name="Normal 10 2 10 2 12 2 9" xfId="2808" xr:uid="{00000000-0005-0000-0000-0000F80A0000}"/>
    <cellStyle name="Normal 10 2 10 2 12 3" xfId="2809" xr:uid="{00000000-0005-0000-0000-0000F90A0000}"/>
    <cellStyle name="Normal 10 2 10 2 12 3 10" xfId="2810" xr:uid="{00000000-0005-0000-0000-0000FA0A0000}"/>
    <cellStyle name="Normal 10 2 10 2 12 3 2" xfId="2811" xr:uid="{00000000-0005-0000-0000-0000FB0A0000}"/>
    <cellStyle name="Normal 10 2 10 2 12 3 3" xfId="2812" xr:uid="{00000000-0005-0000-0000-0000FC0A0000}"/>
    <cellStyle name="Normal 10 2 10 2 12 3 4" xfId="2813" xr:uid="{00000000-0005-0000-0000-0000FD0A0000}"/>
    <cellStyle name="Normal 10 2 10 2 12 3 5" xfId="2814" xr:uid="{00000000-0005-0000-0000-0000FE0A0000}"/>
    <cellStyle name="Normal 10 2 10 2 12 3 6" xfId="2815" xr:uid="{00000000-0005-0000-0000-0000FF0A0000}"/>
    <cellStyle name="Normal 10 2 10 2 12 3 7" xfId="2816" xr:uid="{00000000-0005-0000-0000-0000000B0000}"/>
    <cellStyle name="Normal 10 2 10 2 12 3 8" xfId="2817" xr:uid="{00000000-0005-0000-0000-0000010B0000}"/>
    <cellStyle name="Normal 10 2 10 2 12 3 9" xfId="2818" xr:uid="{00000000-0005-0000-0000-0000020B0000}"/>
    <cellStyle name="Normal 10 2 10 2 12 4" xfId="2819" xr:uid="{00000000-0005-0000-0000-0000030B0000}"/>
    <cellStyle name="Normal 10 2 10 2 12 4 10" xfId="2820" xr:uid="{00000000-0005-0000-0000-0000040B0000}"/>
    <cellStyle name="Normal 10 2 10 2 12 4 2" xfId="2821" xr:uid="{00000000-0005-0000-0000-0000050B0000}"/>
    <cellStyle name="Normal 10 2 10 2 12 4 3" xfId="2822" xr:uid="{00000000-0005-0000-0000-0000060B0000}"/>
    <cellStyle name="Normal 10 2 10 2 12 4 4" xfId="2823" xr:uid="{00000000-0005-0000-0000-0000070B0000}"/>
    <cellStyle name="Normal 10 2 10 2 12 4 5" xfId="2824" xr:uid="{00000000-0005-0000-0000-0000080B0000}"/>
    <cellStyle name="Normal 10 2 10 2 12 4 6" xfId="2825" xr:uid="{00000000-0005-0000-0000-0000090B0000}"/>
    <cellStyle name="Normal 10 2 10 2 12 4 7" xfId="2826" xr:uid="{00000000-0005-0000-0000-00000A0B0000}"/>
    <cellStyle name="Normal 10 2 10 2 12 4 8" xfId="2827" xr:uid="{00000000-0005-0000-0000-00000B0B0000}"/>
    <cellStyle name="Normal 10 2 10 2 12 4 9" xfId="2828" xr:uid="{00000000-0005-0000-0000-00000C0B0000}"/>
    <cellStyle name="Normal 10 2 10 2 12 5" xfId="2829" xr:uid="{00000000-0005-0000-0000-00000D0B0000}"/>
    <cellStyle name="Normal 10 2 10 2 12 5 10" xfId="2830" xr:uid="{00000000-0005-0000-0000-00000E0B0000}"/>
    <cellStyle name="Normal 10 2 10 2 12 5 2" xfId="2831" xr:uid="{00000000-0005-0000-0000-00000F0B0000}"/>
    <cellStyle name="Normal 10 2 10 2 12 5 3" xfId="2832" xr:uid="{00000000-0005-0000-0000-0000100B0000}"/>
    <cellStyle name="Normal 10 2 10 2 12 5 4" xfId="2833" xr:uid="{00000000-0005-0000-0000-0000110B0000}"/>
    <cellStyle name="Normal 10 2 10 2 12 5 5" xfId="2834" xr:uid="{00000000-0005-0000-0000-0000120B0000}"/>
    <cellStyle name="Normal 10 2 10 2 12 5 6" xfId="2835" xr:uid="{00000000-0005-0000-0000-0000130B0000}"/>
    <cellStyle name="Normal 10 2 10 2 12 5 7" xfId="2836" xr:uid="{00000000-0005-0000-0000-0000140B0000}"/>
    <cellStyle name="Normal 10 2 10 2 12 5 8" xfId="2837" xr:uid="{00000000-0005-0000-0000-0000150B0000}"/>
    <cellStyle name="Normal 10 2 10 2 12 5 9" xfId="2838" xr:uid="{00000000-0005-0000-0000-0000160B0000}"/>
    <cellStyle name="Normal 10 2 10 2 12 6" xfId="2839" xr:uid="{00000000-0005-0000-0000-0000170B0000}"/>
    <cellStyle name="Normal 10 2 10 2 12 7" xfId="2840" xr:uid="{00000000-0005-0000-0000-0000180B0000}"/>
    <cellStyle name="Normal 10 2 10 2 12 8" xfId="2841" xr:uid="{00000000-0005-0000-0000-0000190B0000}"/>
    <cellStyle name="Normal 10 2 10 2 12 9" xfId="2842" xr:uid="{00000000-0005-0000-0000-00001A0B0000}"/>
    <cellStyle name="Normal 10 2 10 2 13" xfId="2843" xr:uid="{00000000-0005-0000-0000-00001B0B0000}"/>
    <cellStyle name="Normal 10 2 10 2 13 10" xfId="2844" xr:uid="{00000000-0005-0000-0000-00001C0B0000}"/>
    <cellStyle name="Normal 10 2 10 2 13 11" xfId="2845" xr:uid="{00000000-0005-0000-0000-00001D0B0000}"/>
    <cellStyle name="Normal 10 2 10 2 13 12" xfId="2846" xr:uid="{00000000-0005-0000-0000-00001E0B0000}"/>
    <cellStyle name="Normal 10 2 10 2 13 13" xfId="2847" xr:uid="{00000000-0005-0000-0000-00001F0B0000}"/>
    <cellStyle name="Normal 10 2 10 2 13 14" xfId="2848" xr:uid="{00000000-0005-0000-0000-0000200B0000}"/>
    <cellStyle name="Normal 10 2 10 2 13 2" xfId="2849" xr:uid="{00000000-0005-0000-0000-0000210B0000}"/>
    <cellStyle name="Normal 10 2 10 2 13 2 10" xfId="2850" xr:uid="{00000000-0005-0000-0000-0000220B0000}"/>
    <cellStyle name="Normal 10 2 10 2 13 2 2" xfId="2851" xr:uid="{00000000-0005-0000-0000-0000230B0000}"/>
    <cellStyle name="Normal 10 2 10 2 13 2 3" xfId="2852" xr:uid="{00000000-0005-0000-0000-0000240B0000}"/>
    <cellStyle name="Normal 10 2 10 2 13 2 4" xfId="2853" xr:uid="{00000000-0005-0000-0000-0000250B0000}"/>
    <cellStyle name="Normal 10 2 10 2 13 2 5" xfId="2854" xr:uid="{00000000-0005-0000-0000-0000260B0000}"/>
    <cellStyle name="Normal 10 2 10 2 13 2 6" xfId="2855" xr:uid="{00000000-0005-0000-0000-0000270B0000}"/>
    <cellStyle name="Normal 10 2 10 2 13 2 7" xfId="2856" xr:uid="{00000000-0005-0000-0000-0000280B0000}"/>
    <cellStyle name="Normal 10 2 10 2 13 2 8" xfId="2857" xr:uid="{00000000-0005-0000-0000-0000290B0000}"/>
    <cellStyle name="Normal 10 2 10 2 13 2 9" xfId="2858" xr:uid="{00000000-0005-0000-0000-00002A0B0000}"/>
    <cellStyle name="Normal 10 2 10 2 13 3" xfId="2859" xr:uid="{00000000-0005-0000-0000-00002B0B0000}"/>
    <cellStyle name="Normal 10 2 10 2 13 3 10" xfId="2860" xr:uid="{00000000-0005-0000-0000-00002C0B0000}"/>
    <cellStyle name="Normal 10 2 10 2 13 3 2" xfId="2861" xr:uid="{00000000-0005-0000-0000-00002D0B0000}"/>
    <cellStyle name="Normal 10 2 10 2 13 3 3" xfId="2862" xr:uid="{00000000-0005-0000-0000-00002E0B0000}"/>
    <cellStyle name="Normal 10 2 10 2 13 3 4" xfId="2863" xr:uid="{00000000-0005-0000-0000-00002F0B0000}"/>
    <cellStyle name="Normal 10 2 10 2 13 3 5" xfId="2864" xr:uid="{00000000-0005-0000-0000-0000300B0000}"/>
    <cellStyle name="Normal 10 2 10 2 13 3 6" xfId="2865" xr:uid="{00000000-0005-0000-0000-0000310B0000}"/>
    <cellStyle name="Normal 10 2 10 2 13 3 7" xfId="2866" xr:uid="{00000000-0005-0000-0000-0000320B0000}"/>
    <cellStyle name="Normal 10 2 10 2 13 3 8" xfId="2867" xr:uid="{00000000-0005-0000-0000-0000330B0000}"/>
    <cellStyle name="Normal 10 2 10 2 13 3 9" xfId="2868" xr:uid="{00000000-0005-0000-0000-0000340B0000}"/>
    <cellStyle name="Normal 10 2 10 2 13 4" xfId="2869" xr:uid="{00000000-0005-0000-0000-0000350B0000}"/>
    <cellStyle name="Normal 10 2 10 2 13 4 10" xfId="2870" xr:uid="{00000000-0005-0000-0000-0000360B0000}"/>
    <cellStyle name="Normal 10 2 10 2 13 4 2" xfId="2871" xr:uid="{00000000-0005-0000-0000-0000370B0000}"/>
    <cellStyle name="Normal 10 2 10 2 13 4 3" xfId="2872" xr:uid="{00000000-0005-0000-0000-0000380B0000}"/>
    <cellStyle name="Normal 10 2 10 2 13 4 4" xfId="2873" xr:uid="{00000000-0005-0000-0000-0000390B0000}"/>
    <cellStyle name="Normal 10 2 10 2 13 4 5" xfId="2874" xr:uid="{00000000-0005-0000-0000-00003A0B0000}"/>
    <cellStyle name="Normal 10 2 10 2 13 4 6" xfId="2875" xr:uid="{00000000-0005-0000-0000-00003B0B0000}"/>
    <cellStyle name="Normal 10 2 10 2 13 4 7" xfId="2876" xr:uid="{00000000-0005-0000-0000-00003C0B0000}"/>
    <cellStyle name="Normal 10 2 10 2 13 4 8" xfId="2877" xr:uid="{00000000-0005-0000-0000-00003D0B0000}"/>
    <cellStyle name="Normal 10 2 10 2 13 4 9" xfId="2878" xr:uid="{00000000-0005-0000-0000-00003E0B0000}"/>
    <cellStyle name="Normal 10 2 10 2 13 5" xfId="2879" xr:uid="{00000000-0005-0000-0000-00003F0B0000}"/>
    <cellStyle name="Normal 10 2 10 2 13 5 10" xfId="2880" xr:uid="{00000000-0005-0000-0000-0000400B0000}"/>
    <cellStyle name="Normal 10 2 10 2 13 5 2" xfId="2881" xr:uid="{00000000-0005-0000-0000-0000410B0000}"/>
    <cellStyle name="Normal 10 2 10 2 13 5 3" xfId="2882" xr:uid="{00000000-0005-0000-0000-0000420B0000}"/>
    <cellStyle name="Normal 10 2 10 2 13 5 4" xfId="2883" xr:uid="{00000000-0005-0000-0000-0000430B0000}"/>
    <cellStyle name="Normal 10 2 10 2 13 5 5" xfId="2884" xr:uid="{00000000-0005-0000-0000-0000440B0000}"/>
    <cellStyle name="Normal 10 2 10 2 13 5 6" xfId="2885" xr:uid="{00000000-0005-0000-0000-0000450B0000}"/>
    <cellStyle name="Normal 10 2 10 2 13 5 7" xfId="2886" xr:uid="{00000000-0005-0000-0000-0000460B0000}"/>
    <cellStyle name="Normal 10 2 10 2 13 5 8" xfId="2887" xr:uid="{00000000-0005-0000-0000-0000470B0000}"/>
    <cellStyle name="Normal 10 2 10 2 13 5 9" xfId="2888" xr:uid="{00000000-0005-0000-0000-0000480B0000}"/>
    <cellStyle name="Normal 10 2 10 2 13 6" xfId="2889" xr:uid="{00000000-0005-0000-0000-0000490B0000}"/>
    <cellStyle name="Normal 10 2 10 2 13 7" xfId="2890" xr:uid="{00000000-0005-0000-0000-00004A0B0000}"/>
    <cellStyle name="Normal 10 2 10 2 13 8" xfId="2891" xr:uid="{00000000-0005-0000-0000-00004B0B0000}"/>
    <cellStyle name="Normal 10 2 10 2 13 9" xfId="2892" xr:uid="{00000000-0005-0000-0000-00004C0B0000}"/>
    <cellStyle name="Normal 10 2 10 2 14" xfId="2893" xr:uid="{00000000-0005-0000-0000-00004D0B0000}"/>
    <cellStyle name="Normal 10 2 10 2 14 10" xfId="2894" xr:uid="{00000000-0005-0000-0000-00004E0B0000}"/>
    <cellStyle name="Normal 10 2 10 2 14 11" xfId="2895" xr:uid="{00000000-0005-0000-0000-00004F0B0000}"/>
    <cellStyle name="Normal 10 2 10 2 14 12" xfId="2896" xr:uid="{00000000-0005-0000-0000-0000500B0000}"/>
    <cellStyle name="Normal 10 2 10 2 14 13" xfId="2897" xr:uid="{00000000-0005-0000-0000-0000510B0000}"/>
    <cellStyle name="Normal 10 2 10 2 14 14" xfId="2898" xr:uid="{00000000-0005-0000-0000-0000520B0000}"/>
    <cellStyle name="Normal 10 2 10 2 14 2" xfId="2899" xr:uid="{00000000-0005-0000-0000-0000530B0000}"/>
    <cellStyle name="Normal 10 2 10 2 14 2 10" xfId="2900" xr:uid="{00000000-0005-0000-0000-0000540B0000}"/>
    <cellStyle name="Normal 10 2 10 2 14 2 2" xfId="2901" xr:uid="{00000000-0005-0000-0000-0000550B0000}"/>
    <cellStyle name="Normal 10 2 10 2 14 2 3" xfId="2902" xr:uid="{00000000-0005-0000-0000-0000560B0000}"/>
    <cellStyle name="Normal 10 2 10 2 14 2 4" xfId="2903" xr:uid="{00000000-0005-0000-0000-0000570B0000}"/>
    <cellStyle name="Normal 10 2 10 2 14 2 5" xfId="2904" xr:uid="{00000000-0005-0000-0000-0000580B0000}"/>
    <cellStyle name="Normal 10 2 10 2 14 2 6" xfId="2905" xr:uid="{00000000-0005-0000-0000-0000590B0000}"/>
    <cellStyle name="Normal 10 2 10 2 14 2 7" xfId="2906" xr:uid="{00000000-0005-0000-0000-00005A0B0000}"/>
    <cellStyle name="Normal 10 2 10 2 14 2 8" xfId="2907" xr:uid="{00000000-0005-0000-0000-00005B0B0000}"/>
    <cellStyle name="Normal 10 2 10 2 14 2 9" xfId="2908" xr:uid="{00000000-0005-0000-0000-00005C0B0000}"/>
    <cellStyle name="Normal 10 2 10 2 14 3" xfId="2909" xr:uid="{00000000-0005-0000-0000-00005D0B0000}"/>
    <cellStyle name="Normal 10 2 10 2 14 3 10" xfId="2910" xr:uid="{00000000-0005-0000-0000-00005E0B0000}"/>
    <cellStyle name="Normal 10 2 10 2 14 3 2" xfId="2911" xr:uid="{00000000-0005-0000-0000-00005F0B0000}"/>
    <cellStyle name="Normal 10 2 10 2 14 3 3" xfId="2912" xr:uid="{00000000-0005-0000-0000-0000600B0000}"/>
    <cellStyle name="Normal 10 2 10 2 14 3 4" xfId="2913" xr:uid="{00000000-0005-0000-0000-0000610B0000}"/>
    <cellStyle name="Normal 10 2 10 2 14 3 5" xfId="2914" xr:uid="{00000000-0005-0000-0000-0000620B0000}"/>
    <cellStyle name="Normal 10 2 10 2 14 3 6" xfId="2915" xr:uid="{00000000-0005-0000-0000-0000630B0000}"/>
    <cellStyle name="Normal 10 2 10 2 14 3 7" xfId="2916" xr:uid="{00000000-0005-0000-0000-0000640B0000}"/>
    <cellStyle name="Normal 10 2 10 2 14 3 8" xfId="2917" xr:uid="{00000000-0005-0000-0000-0000650B0000}"/>
    <cellStyle name="Normal 10 2 10 2 14 3 9" xfId="2918" xr:uid="{00000000-0005-0000-0000-0000660B0000}"/>
    <cellStyle name="Normal 10 2 10 2 14 4" xfId="2919" xr:uid="{00000000-0005-0000-0000-0000670B0000}"/>
    <cellStyle name="Normal 10 2 10 2 14 4 10" xfId="2920" xr:uid="{00000000-0005-0000-0000-0000680B0000}"/>
    <cellStyle name="Normal 10 2 10 2 14 4 2" xfId="2921" xr:uid="{00000000-0005-0000-0000-0000690B0000}"/>
    <cellStyle name="Normal 10 2 10 2 14 4 3" xfId="2922" xr:uid="{00000000-0005-0000-0000-00006A0B0000}"/>
    <cellStyle name="Normal 10 2 10 2 14 4 4" xfId="2923" xr:uid="{00000000-0005-0000-0000-00006B0B0000}"/>
    <cellStyle name="Normal 10 2 10 2 14 4 5" xfId="2924" xr:uid="{00000000-0005-0000-0000-00006C0B0000}"/>
    <cellStyle name="Normal 10 2 10 2 14 4 6" xfId="2925" xr:uid="{00000000-0005-0000-0000-00006D0B0000}"/>
    <cellStyle name="Normal 10 2 10 2 14 4 7" xfId="2926" xr:uid="{00000000-0005-0000-0000-00006E0B0000}"/>
    <cellStyle name="Normal 10 2 10 2 14 4 8" xfId="2927" xr:uid="{00000000-0005-0000-0000-00006F0B0000}"/>
    <cellStyle name="Normal 10 2 10 2 14 4 9" xfId="2928" xr:uid="{00000000-0005-0000-0000-0000700B0000}"/>
    <cellStyle name="Normal 10 2 10 2 14 5" xfId="2929" xr:uid="{00000000-0005-0000-0000-0000710B0000}"/>
    <cellStyle name="Normal 10 2 10 2 14 5 10" xfId="2930" xr:uid="{00000000-0005-0000-0000-0000720B0000}"/>
    <cellStyle name="Normal 10 2 10 2 14 5 2" xfId="2931" xr:uid="{00000000-0005-0000-0000-0000730B0000}"/>
    <cellStyle name="Normal 10 2 10 2 14 5 3" xfId="2932" xr:uid="{00000000-0005-0000-0000-0000740B0000}"/>
    <cellStyle name="Normal 10 2 10 2 14 5 4" xfId="2933" xr:uid="{00000000-0005-0000-0000-0000750B0000}"/>
    <cellStyle name="Normal 10 2 10 2 14 5 5" xfId="2934" xr:uid="{00000000-0005-0000-0000-0000760B0000}"/>
    <cellStyle name="Normal 10 2 10 2 14 5 6" xfId="2935" xr:uid="{00000000-0005-0000-0000-0000770B0000}"/>
    <cellStyle name="Normal 10 2 10 2 14 5 7" xfId="2936" xr:uid="{00000000-0005-0000-0000-0000780B0000}"/>
    <cellStyle name="Normal 10 2 10 2 14 5 8" xfId="2937" xr:uid="{00000000-0005-0000-0000-0000790B0000}"/>
    <cellStyle name="Normal 10 2 10 2 14 5 9" xfId="2938" xr:uid="{00000000-0005-0000-0000-00007A0B0000}"/>
    <cellStyle name="Normal 10 2 10 2 14 6" xfId="2939" xr:uid="{00000000-0005-0000-0000-00007B0B0000}"/>
    <cellStyle name="Normal 10 2 10 2 14 7" xfId="2940" xr:uid="{00000000-0005-0000-0000-00007C0B0000}"/>
    <cellStyle name="Normal 10 2 10 2 14 8" xfId="2941" xr:uid="{00000000-0005-0000-0000-00007D0B0000}"/>
    <cellStyle name="Normal 10 2 10 2 14 9" xfId="2942" xr:uid="{00000000-0005-0000-0000-00007E0B0000}"/>
    <cellStyle name="Normal 10 2 10 2 15" xfId="2943" xr:uid="{00000000-0005-0000-0000-00007F0B0000}"/>
    <cellStyle name="Normal 10 2 10 2 15 10" xfId="2944" xr:uid="{00000000-0005-0000-0000-0000800B0000}"/>
    <cellStyle name="Normal 10 2 10 2 15 11" xfId="2945" xr:uid="{00000000-0005-0000-0000-0000810B0000}"/>
    <cellStyle name="Normal 10 2 10 2 15 12" xfId="2946" xr:uid="{00000000-0005-0000-0000-0000820B0000}"/>
    <cellStyle name="Normal 10 2 10 2 15 13" xfId="2947" xr:uid="{00000000-0005-0000-0000-0000830B0000}"/>
    <cellStyle name="Normal 10 2 10 2 15 14" xfId="2948" xr:uid="{00000000-0005-0000-0000-0000840B0000}"/>
    <cellStyle name="Normal 10 2 10 2 15 2" xfId="2949" xr:uid="{00000000-0005-0000-0000-0000850B0000}"/>
    <cellStyle name="Normal 10 2 10 2 15 2 10" xfId="2950" xr:uid="{00000000-0005-0000-0000-0000860B0000}"/>
    <cellStyle name="Normal 10 2 10 2 15 2 2" xfId="2951" xr:uid="{00000000-0005-0000-0000-0000870B0000}"/>
    <cellStyle name="Normal 10 2 10 2 15 2 3" xfId="2952" xr:uid="{00000000-0005-0000-0000-0000880B0000}"/>
    <cellStyle name="Normal 10 2 10 2 15 2 4" xfId="2953" xr:uid="{00000000-0005-0000-0000-0000890B0000}"/>
    <cellStyle name="Normal 10 2 10 2 15 2 5" xfId="2954" xr:uid="{00000000-0005-0000-0000-00008A0B0000}"/>
    <cellStyle name="Normal 10 2 10 2 15 2 6" xfId="2955" xr:uid="{00000000-0005-0000-0000-00008B0B0000}"/>
    <cellStyle name="Normal 10 2 10 2 15 2 7" xfId="2956" xr:uid="{00000000-0005-0000-0000-00008C0B0000}"/>
    <cellStyle name="Normal 10 2 10 2 15 2 8" xfId="2957" xr:uid="{00000000-0005-0000-0000-00008D0B0000}"/>
    <cellStyle name="Normal 10 2 10 2 15 2 9" xfId="2958" xr:uid="{00000000-0005-0000-0000-00008E0B0000}"/>
    <cellStyle name="Normal 10 2 10 2 15 3" xfId="2959" xr:uid="{00000000-0005-0000-0000-00008F0B0000}"/>
    <cellStyle name="Normal 10 2 10 2 15 3 10" xfId="2960" xr:uid="{00000000-0005-0000-0000-0000900B0000}"/>
    <cellStyle name="Normal 10 2 10 2 15 3 2" xfId="2961" xr:uid="{00000000-0005-0000-0000-0000910B0000}"/>
    <cellStyle name="Normal 10 2 10 2 15 3 3" xfId="2962" xr:uid="{00000000-0005-0000-0000-0000920B0000}"/>
    <cellStyle name="Normal 10 2 10 2 15 3 4" xfId="2963" xr:uid="{00000000-0005-0000-0000-0000930B0000}"/>
    <cellStyle name="Normal 10 2 10 2 15 3 5" xfId="2964" xr:uid="{00000000-0005-0000-0000-0000940B0000}"/>
    <cellStyle name="Normal 10 2 10 2 15 3 6" xfId="2965" xr:uid="{00000000-0005-0000-0000-0000950B0000}"/>
    <cellStyle name="Normal 10 2 10 2 15 3 7" xfId="2966" xr:uid="{00000000-0005-0000-0000-0000960B0000}"/>
    <cellStyle name="Normal 10 2 10 2 15 3 8" xfId="2967" xr:uid="{00000000-0005-0000-0000-0000970B0000}"/>
    <cellStyle name="Normal 10 2 10 2 15 3 9" xfId="2968" xr:uid="{00000000-0005-0000-0000-0000980B0000}"/>
    <cellStyle name="Normal 10 2 10 2 15 4" xfId="2969" xr:uid="{00000000-0005-0000-0000-0000990B0000}"/>
    <cellStyle name="Normal 10 2 10 2 15 4 10" xfId="2970" xr:uid="{00000000-0005-0000-0000-00009A0B0000}"/>
    <cellStyle name="Normal 10 2 10 2 15 4 2" xfId="2971" xr:uid="{00000000-0005-0000-0000-00009B0B0000}"/>
    <cellStyle name="Normal 10 2 10 2 15 4 3" xfId="2972" xr:uid="{00000000-0005-0000-0000-00009C0B0000}"/>
    <cellStyle name="Normal 10 2 10 2 15 4 4" xfId="2973" xr:uid="{00000000-0005-0000-0000-00009D0B0000}"/>
    <cellStyle name="Normal 10 2 10 2 15 4 5" xfId="2974" xr:uid="{00000000-0005-0000-0000-00009E0B0000}"/>
    <cellStyle name="Normal 10 2 10 2 15 4 6" xfId="2975" xr:uid="{00000000-0005-0000-0000-00009F0B0000}"/>
    <cellStyle name="Normal 10 2 10 2 15 4 7" xfId="2976" xr:uid="{00000000-0005-0000-0000-0000A00B0000}"/>
    <cellStyle name="Normal 10 2 10 2 15 4 8" xfId="2977" xr:uid="{00000000-0005-0000-0000-0000A10B0000}"/>
    <cellStyle name="Normal 10 2 10 2 15 4 9" xfId="2978" xr:uid="{00000000-0005-0000-0000-0000A20B0000}"/>
    <cellStyle name="Normal 10 2 10 2 15 5" xfId="2979" xr:uid="{00000000-0005-0000-0000-0000A30B0000}"/>
    <cellStyle name="Normal 10 2 10 2 15 5 10" xfId="2980" xr:uid="{00000000-0005-0000-0000-0000A40B0000}"/>
    <cellStyle name="Normal 10 2 10 2 15 5 2" xfId="2981" xr:uid="{00000000-0005-0000-0000-0000A50B0000}"/>
    <cellStyle name="Normal 10 2 10 2 15 5 3" xfId="2982" xr:uid="{00000000-0005-0000-0000-0000A60B0000}"/>
    <cellStyle name="Normal 10 2 10 2 15 5 4" xfId="2983" xr:uid="{00000000-0005-0000-0000-0000A70B0000}"/>
    <cellStyle name="Normal 10 2 10 2 15 5 5" xfId="2984" xr:uid="{00000000-0005-0000-0000-0000A80B0000}"/>
    <cellStyle name="Normal 10 2 10 2 15 5 6" xfId="2985" xr:uid="{00000000-0005-0000-0000-0000A90B0000}"/>
    <cellStyle name="Normal 10 2 10 2 15 5 7" xfId="2986" xr:uid="{00000000-0005-0000-0000-0000AA0B0000}"/>
    <cellStyle name="Normal 10 2 10 2 15 5 8" xfId="2987" xr:uid="{00000000-0005-0000-0000-0000AB0B0000}"/>
    <cellStyle name="Normal 10 2 10 2 15 5 9" xfId="2988" xr:uid="{00000000-0005-0000-0000-0000AC0B0000}"/>
    <cellStyle name="Normal 10 2 10 2 15 6" xfId="2989" xr:uid="{00000000-0005-0000-0000-0000AD0B0000}"/>
    <cellStyle name="Normal 10 2 10 2 15 7" xfId="2990" xr:uid="{00000000-0005-0000-0000-0000AE0B0000}"/>
    <cellStyle name="Normal 10 2 10 2 15 8" xfId="2991" xr:uid="{00000000-0005-0000-0000-0000AF0B0000}"/>
    <cellStyle name="Normal 10 2 10 2 15 9" xfId="2992" xr:uid="{00000000-0005-0000-0000-0000B00B0000}"/>
    <cellStyle name="Normal 10 2 10 2 16" xfId="2993" xr:uid="{00000000-0005-0000-0000-0000B10B0000}"/>
    <cellStyle name="Normal 10 2 10 2 16 10" xfId="2994" xr:uid="{00000000-0005-0000-0000-0000B20B0000}"/>
    <cellStyle name="Normal 10 2 10 2 16 11" xfId="2995" xr:uid="{00000000-0005-0000-0000-0000B30B0000}"/>
    <cellStyle name="Normal 10 2 10 2 16 12" xfId="2996" xr:uid="{00000000-0005-0000-0000-0000B40B0000}"/>
    <cellStyle name="Normal 10 2 10 2 16 13" xfId="2997" xr:uid="{00000000-0005-0000-0000-0000B50B0000}"/>
    <cellStyle name="Normal 10 2 10 2 16 14" xfId="2998" xr:uid="{00000000-0005-0000-0000-0000B60B0000}"/>
    <cellStyle name="Normal 10 2 10 2 16 2" xfId="2999" xr:uid="{00000000-0005-0000-0000-0000B70B0000}"/>
    <cellStyle name="Normal 10 2 10 2 16 2 10" xfId="3000" xr:uid="{00000000-0005-0000-0000-0000B80B0000}"/>
    <cellStyle name="Normal 10 2 10 2 16 2 2" xfId="3001" xr:uid="{00000000-0005-0000-0000-0000B90B0000}"/>
    <cellStyle name="Normal 10 2 10 2 16 2 3" xfId="3002" xr:uid="{00000000-0005-0000-0000-0000BA0B0000}"/>
    <cellStyle name="Normal 10 2 10 2 16 2 4" xfId="3003" xr:uid="{00000000-0005-0000-0000-0000BB0B0000}"/>
    <cellStyle name="Normal 10 2 10 2 16 2 5" xfId="3004" xr:uid="{00000000-0005-0000-0000-0000BC0B0000}"/>
    <cellStyle name="Normal 10 2 10 2 16 2 6" xfId="3005" xr:uid="{00000000-0005-0000-0000-0000BD0B0000}"/>
    <cellStyle name="Normal 10 2 10 2 16 2 7" xfId="3006" xr:uid="{00000000-0005-0000-0000-0000BE0B0000}"/>
    <cellStyle name="Normal 10 2 10 2 16 2 8" xfId="3007" xr:uid="{00000000-0005-0000-0000-0000BF0B0000}"/>
    <cellStyle name="Normal 10 2 10 2 16 2 9" xfId="3008" xr:uid="{00000000-0005-0000-0000-0000C00B0000}"/>
    <cellStyle name="Normal 10 2 10 2 16 3" xfId="3009" xr:uid="{00000000-0005-0000-0000-0000C10B0000}"/>
    <cellStyle name="Normal 10 2 10 2 16 3 10" xfId="3010" xr:uid="{00000000-0005-0000-0000-0000C20B0000}"/>
    <cellStyle name="Normal 10 2 10 2 16 3 2" xfId="3011" xr:uid="{00000000-0005-0000-0000-0000C30B0000}"/>
    <cellStyle name="Normal 10 2 10 2 16 3 3" xfId="3012" xr:uid="{00000000-0005-0000-0000-0000C40B0000}"/>
    <cellStyle name="Normal 10 2 10 2 16 3 4" xfId="3013" xr:uid="{00000000-0005-0000-0000-0000C50B0000}"/>
    <cellStyle name="Normal 10 2 10 2 16 3 5" xfId="3014" xr:uid="{00000000-0005-0000-0000-0000C60B0000}"/>
    <cellStyle name="Normal 10 2 10 2 16 3 6" xfId="3015" xr:uid="{00000000-0005-0000-0000-0000C70B0000}"/>
    <cellStyle name="Normal 10 2 10 2 16 3 7" xfId="3016" xr:uid="{00000000-0005-0000-0000-0000C80B0000}"/>
    <cellStyle name="Normal 10 2 10 2 16 3 8" xfId="3017" xr:uid="{00000000-0005-0000-0000-0000C90B0000}"/>
    <cellStyle name="Normal 10 2 10 2 16 3 9" xfId="3018" xr:uid="{00000000-0005-0000-0000-0000CA0B0000}"/>
    <cellStyle name="Normal 10 2 10 2 16 4" xfId="3019" xr:uid="{00000000-0005-0000-0000-0000CB0B0000}"/>
    <cellStyle name="Normal 10 2 10 2 16 4 10" xfId="3020" xr:uid="{00000000-0005-0000-0000-0000CC0B0000}"/>
    <cellStyle name="Normal 10 2 10 2 16 4 2" xfId="3021" xr:uid="{00000000-0005-0000-0000-0000CD0B0000}"/>
    <cellStyle name="Normal 10 2 10 2 16 4 3" xfId="3022" xr:uid="{00000000-0005-0000-0000-0000CE0B0000}"/>
    <cellStyle name="Normal 10 2 10 2 16 4 4" xfId="3023" xr:uid="{00000000-0005-0000-0000-0000CF0B0000}"/>
    <cellStyle name="Normal 10 2 10 2 16 4 5" xfId="3024" xr:uid="{00000000-0005-0000-0000-0000D00B0000}"/>
    <cellStyle name="Normal 10 2 10 2 16 4 6" xfId="3025" xr:uid="{00000000-0005-0000-0000-0000D10B0000}"/>
    <cellStyle name="Normal 10 2 10 2 16 4 7" xfId="3026" xr:uid="{00000000-0005-0000-0000-0000D20B0000}"/>
    <cellStyle name="Normal 10 2 10 2 16 4 8" xfId="3027" xr:uid="{00000000-0005-0000-0000-0000D30B0000}"/>
    <cellStyle name="Normal 10 2 10 2 16 4 9" xfId="3028" xr:uid="{00000000-0005-0000-0000-0000D40B0000}"/>
    <cellStyle name="Normal 10 2 10 2 16 5" xfId="3029" xr:uid="{00000000-0005-0000-0000-0000D50B0000}"/>
    <cellStyle name="Normal 10 2 10 2 16 5 10" xfId="3030" xr:uid="{00000000-0005-0000-0000-0000D60B0000}"/>
    <cellStyle name="Normal 10 2 10 2 16 5 2" xfId="3031" xr:uid="{00000000-0005-0000-0000-0000D70B0000}"/>
    <cellStyle name="Normal 10 2 10 2 16 5 3" xfId="3032" xr:uid="{00000000-0005-0000-0000-0000D80B0000}"/>
    <cellStyle name="Normal 10 2 10 2 16 5 4" xfId="3033" xr:uid="{00000000-0005-0000-0000-0000D90B0000}"/>
    <cellStyle name="Normal 10 2 10 2 16 5 5" xfId="3034" xr:uid="{00000000-0005-0000-0000-0000DA0B0000}"/>
    <cellStyle name="Normal 10 2 10 2 16 5 6" xfId="3035" xr:uid="{00000000-0005-0000-0000-0000DB0B0000}"/>
    <cellStyle name="Normal 10 2 10 2 16 5 7" xfId="3036" xr:uid="{00000000-0005-0000-0000-0000DC0B0000}"/>
    <cellStyle name="Normal 10 2 10 2 16 5 8" xfId="3037" xr:uid="{00000000-0005-0000-0000-0000DD0B0000}"/>
    <cellStyle name="Normal 10 2 10 2 16 5 9" xfId="3038" xr:uid="{00000000-0005-0000-0000-0000DE0B0000}"/>
    <cellStyle name="Normal 10 2 10 2 16 6" xfId="3039" xr:uid="{00000000-0005-0000-0000-0000DF0B0000}"/>
    <cellStyle name="Normal 10 2 10 2 16 7" xfId="3040" xr:uid="{00000000-0005-0000-0000-0000E00B0000}"/>
    <cellStyle name="Normal 10 2 10 2 16 8" xfId="3041" xr:uid="{00000000-0005-0000-0000-0000E10B0000}"/>
    <cellStyle name="Normal 10 2 10 2 16 9" xfId="3042" xr:uid="{00000000-0005-0000-0000-0000E20B0000}"/>
    <cellStyle name="Normal 10 2 10 2 17" xfId="3043" xr:uid="{00000000-0005-0000-0000-0000E30B0000}"/>
    <cellStyle name="Normal 10 2 10 2 17 10" xfId="3044" xr:uid="{00000000-0005-0000-0000-0000E40B0000}"/>
    <cellStyle name="Normal 10 2 10 2 17 11" xfId="3045" xr:uid="{00000000-0005-0000-0000-0000E50B0000}"/>
    <cellStyle name="Normal 10 2 10 2 17 12" xfId="3046" xr:uid="{00000000-0005-0000-0000-0000E60B0000}"/>
    <cellStyle name="Normal 10 2 10 2 17 13" xfId="3047" xr:uid="{00000000-0005-0000-0000-0000E70B0000}"/>
    <cellStyle name="Normal 10 2 10 2 17 14" xfId="3048" xr:uid="{00000000-0005-0000-0000-0000E80B0000}"/>
    <cellStyle name="Normal 10 2 10 2 17 2" xfId="3049" xr:uid="{00000000-0005-0000-0000-0000E90B0000}"/>
    <cellStyle name="Normal 10 2 10 2 17 2 10" xfId="3050" xr:uid="{00000000-0005-0000-0000-0000EA0B0000}"/>
    <cellStyle name="Normal 10 2 10 2 17 2 2" xfId="3051" xr:uid="{00000000-0005-0000-0000-0000EB0B0000}"/>
    <cellStyle name="Normal 10 2 10 2 17 2 3" xfId="3052" xr:uid="{00000000-0005-0000-0000-0000EC0B0000}"/>
    <cellStyle name="Normal 10 2 10 2 17 2 4" xfId="3053" xr:uid="{00000000-0005-0000-0000-0000ED0B0000}"/>
    <cellStyle name="Normal 10 2 10 2 17 2 5" xfId="3054" xr:uid="{00000000-0005-0000-0000-0000EE0B0000}"/>
    <cellStyle name="Normal 10 2 10 2 17 2 6" xfId="3055" xr:uid="{00000000-0005-0000-0000-0000EF0B0000}"/>
    <cellStyle name="Normal 10 2 10 2 17 2 7" xfId="3056" xr:uid="{00000000-0005-0000-0000-0000F00B0000}"/>
    <cellStyle name="Normal 10 2 10 2 17 2 8" xfId="3057" xr:uid="{00000000-0005-0000-0000-0000F10B0000}"/>
    <cellStyle name="Normal 10 2 10 2 17 2 9" xfId="3058" xr:uid="{00000000-0005-0000-0000-0000F20B0000}"/>
    <cellStyle name="Normal 10 2 10 2 17 3" xfId="3059" xr:uid="{00000000-0005-0000-0000-0000F30B0000}"/>
    <cellStyle name="Normal 10 2 10 2 17 3 10" xfId="3060" xr:uid="{00000000-0005-0000-0000-0000F40B0000}"/>
    <cellStyle name="Normal 10 2 10 2 17 3 2" xfId="3061" xr:uid="{00000000-0005-0000-0000-0000F50B0000}"/>
    <cellStyle name="Normal 10 2 10 2 17 3 3" xfId="3062" xr:uid="{00000000-0005-0000-0000-0000F60B0000}"/>
    <cellStyle name="Normal 10 2 10 2 17 3 4" xfId="3063" xr:uid="{00000000-0005-0000-0000-0000F70B0000}"/>
    <cellStyle name="Normal 10 2 10 2 17 3 5" xfId="3064" xr:uid="{00000000-0005-0000-0000-0000F80B0000}"/>
    <cellStyle name="Normal 10 2 10 2 17 3 6" xfId="3065" xr:uid="{00000000-0005-0000-0000-0000F90B0000}"/>
    <cellStyle name="Normal 10 2 10 2 17 3 7" xfId="3066" xr:uid="{00000000-0005-0000-0000-0000FA0B0000}"/>
    <cellStyle name="Normal 10 2 10 2 17 3 8" xfId="3067" xr:uid="{00000000-0005-0000-0000-0000FB0B0000}"/>
    <cellStyle name="Normal 10 2 10 2 17 3 9" xfId="3068" xr:uid="{00000000-0005-0000-0000-0000FC0B0000}"/>
    <cellStyle name="Normal 10 2 10 2 17 4" xfId="3069" xr:uid="{00000000-0005-0000-0000-0000FD0B0000}"/>
    <cellStyle name="Normal 10 2 10 2 17 4 10" xfId="3070" xr:uid="{00000000-0005-0000-0000-0000FE0B0000}"/>
    <cellStyle name="Normal 10 2 10 2 17 4 2" xfId="3071" xr:uid="{00000000-0005-0000-0000-0000FF0B0000}"/>
    <cellStyle name="Normal 10 2 10 2 17 4 3" xfId="3072" xr:uid="{00000000-0005-0000-0000-0000000C0000}"/>
    <cellStyle name="Normal 10 2 10 2 17 4 4" xfId="3073" xr:uid="{00000000-0005-0000-0000-0000010C0000}"/>
    <cellStyle name="Normal 10 2 10 2 17 4 5" xfId="3074" xr:uid="{00000000-0005-0000-0000-0000020C0000}"/>
    <cellStyle name="Normal 10 2 10 2 17 4 6" xfId="3075" xr:uid="{00000000-0005-0000-0000-0000030C0000}"/>
    <cellStyle name="Normal 10 2 10 2 17 4 7" xfId="3076" xr:uid="{00000000-0005-0000-0000-0000040C0000}"/>
    <cellStyle name="Normal 10 2 10 2 17 4 8" xfId="3077" xr:uid="{00000000-0005-0000-0000-0000050C0000}"/>
    <cellStyle name="Normal 10 2 10 2 17 4 9" xfId="3078" xr:uid="{00000000-0005-0000-0000-0000060C0000}"/>
    <cellStyle name="Normal 10 2 10 2 17 5" xfId="3079" xr:uid="{00000000-0005-0000-0000-0000070C0000}"/>
    <cellStyle name="Normal 10 2 10 2 17 5 10" xfId="3080" xr:uid="{00000000-0005-0000-0000-0000080C0000}"/>
    <cellStyle name="Normal 10 2 10 2 17 5 2" xfId="3081" xr:uid="{00000000-0005-0000-0000-0000090C0000}"/>
    <cellStyle name="Normal 10 2 10 2 17 5 3" xfId="3082" xr:uid="{00000000-0005-0000-0000-00000A0C0000}"/>
    <cellStyle name="Normal 10 2 10 2 17 5 4" xfId="3083" xr:uid="{00000000-0005-0000-0000-00000B0C0000}"/>
    <cellStyle name="Normal 10 2 10 2 17 5 5" xfId="3084" xr:uid="{00000000-0005-0000-0000-00000C0C0000}"/>
    <cellStyle name="Normal 10 2 10 2 17 5 6" xfId="3085" xr:uid="{00000000-0005-0000-0000-00000D0C0000}"/>
    <cellStyle name="Normal 10 2 10 2 17 5 7" xfId="3086" xr:uid="{00000000-0005-0000-0000-00000E0C0000}"/>
    <cellStyle name="Normal 10 2 10 2 17 5 8" xfId="3087" xr:uid="{00000000-0005-0000-0000-00000F0C0000}"/>
    <cellStyle name="Normal 10 2 10 2 17 5 9" xfId="3088" xr:uid="{00000000-0005-0000-0000-0000100C0000}"/>
    <cellStyle name="Normal 10 2 10 2 17 6" xfId="3089" xr:uid="{00000000-0005-0000-0000-0000110C0000}"/>
    <cellStyle name="Normal 10 2 10 2 17 7" xfId="3090" xr:uid="{00000000-0005-0000-0000-0000120C0000}"/>
    <cellStyle name="Normal 10 2 10 2 17 8" xfId="3091" xr:uid="{00000000-0005-0000-0000-0000130C0000}"/>
    <cellStyle name="Normal 10 2 10 2 17 9" xfId="3092" xr:uid="{00000000-0005-0000-0000-0000140C0000}"/>
    <cellStyle name="Normal 10 2 10 2 18" xfId="3093" xr:uid="{00000000-0005-0000-0000-0000150C0000}"/>
    <cellStyle name="Normal 10 2 10 2 18 10" xfId="3094" xr:uid="{00000000-0005-0000-0000-0000160C0000}"/>
    <cellStyle name="Normal 10 2 10 2 18 11" xfId="3095" xr:uid="{00000000-0005-0000-0000-0000170C0000}"/>
    <cellStyle name="Normal 10 2 10 2 18 12" xfId="3096" xr:uid="{00000000-0005-0000-0000-0000180C0000}"/>
    <cellStyle name="Normal 10 2 10 2 18 13" xfId="3097" xr:uid="{00000000-0005-0000-0000-0000190C0000}"/>
    <cellStyle name="Normal 10 2 10 2 18 14" xfId="3098" xr:uid="{00000000-0005-0000-0000-00001A0C0000}"/>
    <cellStyle name="Normal 10 2 10 2 18 2" xfId="3099" xr:uid="{00000000-0005-0000-0000-00001B0C0000}"/>
    <cellStyle name="Normal 10 2 10 2 18 2 10" xfId="3100" xr:uid="{00000000-0005-0000-0000-00001C0C0000}"/>
    <cellStyle name="Normal 10 2 10 2 18 2 2" xfId="3101" xr:uid="{00000000-0005-0000-0000-00001D0C0000}"/>
    <cellStyle name="Normal 10 2 10 2 18 2 3" xfId="3102" xr:uid="{00000000-0005-0000-0000-00001E0C0000}"/>
    <cellStyle name="Normal 10 2 10 2 18 2 4" xfId="3103" xr:uid="{00000000-0005-0000-0000-00001F0C0000}"/>
    <cellStyle name="Normal 10 2 10 2 18 2 5" xfId="3104" xr:uid="{00000000-0005-0000-0000-0000200C0000}"/>
    <cellStyle name="Normal 10 2 10 2 18 2 6" xfId="3105" xr:uid="{00000000-0005-0000-0000-0000210C0000}"/>
    <cellStyle name="Normal 10 2 10 2 18 2 7" xfId="3106" xr:uid="{00000000-0005-0000-0000-0000220C0000}"/>
    <cellStyle name="Normal 10 2 10 2 18 2 8" xfId="3107" xr:uid="{00000000-0005-0000-0000-0000230C0000}"/>
    <cellStyle name="Normal 10 2 10 2 18 2 9" xfId="3108" xr:uid="{00000000-0005-0000-0000-0000240C0000}"/>
    <cellStyle name="Normal 10 2 10 2 18 3" xfId="3109" xr:uid="{00000000-0005-0000-0000-0000250C0000}"/>
    <cellStyle name="Normal 10 2 10 2 18 3 10" xfId="3110" xr:uid="{00000000-0005-0000-0000-0000260C0000}"/>
    <cellStyle name="Normal 10 2 10 2 18 3 2" xfId="3111" xr:uid="{00000000-0005-0000-0000-0000270C0000}"/>
    <cellStyle name="Normal 10 2 10 2 18 3 3" xfId="3112" xr:uid="{00000000-0005-0000-0000-0000280C0000}"/>
    <cellStyle name="Normal 10 2 10 2 18 3 4" xfId="3113" xr:uid="{00000000-0005-0000-0000-0000290C0000}"/>
    <cellStyle name="Normal 10 2 10 2 18 3 5" xfId="3114" xr:uid="{00000000-0005-0000-0000-00002A0C0000}"/>
    <cellStyle name="Normal 10 2 10 2 18 3 6" xfId="3115" xr:uid="{00000000-0005-0000-0000-00002B0C0000}"/>
    <cellStyle name="Normal 10 2 10 2 18 3 7" xfId="3116" xr:uid="{00000000-0005-0000-0000-00002C0C0000}"/>
    <cellStyle name="Normal 10 2 10 2 18 3 8" xfId="3117" xr:uid="{00000000-0005-0000-0000-00002D0C0000}"/>
    <cellStyle name="Normal 10 2 10 2 18 3 9" xfId="3118" xr:uid="{00000000-0005-0000-0000-00002E0C0000}"/>
    <cellStyle name="Normal 10 2 10 2 18 4" xfId="3119" xr:uid="{00000000-0005-0000-0000-00002F0C0000}"/>
    <cellStyle name="Normal 10 2 10 2 18 4 10" xfId="3120" xr:uid="{00000000-0005-0000-0000-0000300C0000}"/>
    <cellStyle name="Normal 10 2 10 2 18 4 2" xfId="3121" xr:uid="{00000000-0005-0000-0000-0000310C0000}"/>
    <cellStyle name="Normal 10 2 10 2 18 4 3" xfId="3122" xr:uid="{00000000-0005-0000-0000-0000320C0000}"/>
    <cellStyle name="Normal 10 2 10 2 18 4 4" xfId="3123" xr:uid="{00000000-0005-0000-0000-0000330C0000}"/>
    <cellStyle name="Normal 10 2 10 2 18 4 5" xfId="3124" xr:uid="{00000000-0005-0000-0000-0000340C0000}"/>
    <cellStyle name="Normal 10 2 10 2 18 4 6" xfId="3125" xr:uid="{00000000-0005-0000-0000-0000350C0000}"/>
    <cellStyle name="Normal 10 2 10 2 18 4 7" xfId="3126" xr:uid="{00000000-0005-0000-0000-0000360C0000}"/>
    <cellStyle name="Normal 10 2 10 2 18 4 8" xfId="3127" xr:uid="{00000000-0005-0000-0000-0000370C0000}"/>
    <cellStyle name="Normal 10 2 10 2 18 4 9" xfId="3128" xr:uid="{00000000-0005-0000-0000-0000380C0000}"/>
    <cellStyle name="Normal 10 2 10 2 18 5" xfId="3129" xr:uid="{00000000-0005-0000-0000-0000390C0000}"/>
    <cellStyle name="Normal 10 2 10 2 18 5 10" xfId="3130" xr:uid="{00000000-0005-0000-0000-00003A0C0000}"/>
    <cellStyle name="Normal 10 2 10 2 18 5 2" xfId="3131" xr:uid="{00000000-0005-0000-0000-00003B0C0000}"/>
    <cellStyle name="Normal 10 2 10 2 18 5 3" xfId="3132" xr:uid="{00000000-0005-0000-0000-00003C0C0000}"/>
    <cellStyle name="Normal 10 2 10 2 18 5 4" xfId="3133" xr:uid="{00000000-0005-0000-0000-00003D0C0000}"/>
    <cellStyle name="Normal 10 2 10 2 18 5 5" xfId="3134" xr:uid="{00000000-0005-0000-0000-00003E0C0000}"/>
    <cellStyle name="Normal 10 2 10 2 18 5 6" xfId="3135" xr:uid="{00000000-0005-0000-0000-00003F0C0000}"/>
    <cellStyle name="Normal 10 2 10 2 18 5 7" xfId="3136" xr:uid="{00000000-0005-0000-0000-0000400C0000}"/>
    <cellStyle name="Normal 10 2 10 2 18 5 8" xfId="3137" xr:uid="{00000000-0005-0000-0000-0000410C0000}"/>
    <cellStyle name="Normal 10 2 10 2 18 5 9" xfId="3138" xr:uid="{00000000-0005-0000-0000-0000420C0000}"/>
    <cellStyle name="Normal 10 2 10 2 18 6" xfId="3139" xr:uid="{00000000-0005-0000-0000-0000430C0000}"/>
    <cellStyle name="Normal 10 2 10 2 18 7" xfId="3140" xr:uid="{00000000-0005-0000-0000-0000440C0000}"/>
    <cellStyle name="Normal 10 2 10 2 18 8" xfId="3141" xr:uid="{00000000-0005-0000-0000-0000450C0000}"/>
    <cellStyle name="Normal 10 2 10 2 18 9" xfId="3142" xr:uid="{00000000-0005-0000-0000-0000460C0000}"/>
    <cellStyle name="Normal 10 2 10 2 19" xfId="3143" xr:uid="{00000000-0005-0000-0000-0000470C0000}"/>
    <cellStyle name="Normal 10 2 10 2 19 10" xfId="3144" xr:uid="{00000000-0005-0000-0000-0000480C0000}"/>
    <cellStyle name="Normal 10 2 10 2 19 11" xfId="3145" xr:uid="{00000000-0005-0000-0000-0000490C0000}"/>
    <cellStyle name="Normal 10 2 10 2 19 12" xfId="3146" xr:uid="{00000000-0005-0000-0000-00004A0C0000}"/>
    <cellStyle name="Normal 10 2 10 2 19 13" xfId="3147" xr:uid="{00000000-0005-0000-0000-00004B0C0000}"/>
    <cellStyle name="Normal 10 2 10 2 19 14" xfId="3148" xr:uid="{00000000-0005-0000-0000-00004C0C0000}"/>
    <cellStyle name="Normal 10 2 10 2 19 2" xfId="3149" xr:uid="{00000000-0005-0000-0000-00004D0C0000}"/>
    <cellStyle name="Normal 10 2 10 2 19 2 10" xfId="3150" xr:uid="{00000000-0005-0000-0000-00004E0C0000}"/>
    <cellStyle name="Normal 10 2 10 2 19 2 2" xfId="3151" xr:uid="{00000000-0005-0000-0000-00004F0C0000}"/>
    <cellStyle name="Normal 10 2 10 2 19 2 3" xfId="3152" xr:uid="{00000000-0005-0000-0000-0000500C0000}"/>
    <cellStyle name="Normal 10 2 10 2 19 2 4" xfId="3153" xr:uid="{00000000-0005-0000-0000-0000510C0000}"/>
    <cellStyle name="Normal 10 2 10 2 19 2 5" xfId="3154" xr:uid="{00000000-0005-0000-0000-0000520C0000}"/>
    <cellStyle name="Normal 10 2 10 2 19 2 6" xfId="3155" xr:uid="{00000000-0005-0000-0000-0000530C0000}"/>
    <cellStyle name="Normal 10 2 10 2 19 2 7" xfId="3156" xr:uid="{00000000-0005-0000-0000-0000540C0000}"/>
    <cellStyle name="Normal 10 2 10 2 19 2 8" xfId="3157" xr:uid="{00000000-0005-0000-0000-0000550C0000}"/>
    <cellStyle name="Normal 10 2 10 2 19 2 9" xfId="3158" xr:uid="{00000000-0005-0000-0000-0000560C0000}"/>
    <cellStyle name="Normal 10 2 10 2 19 3" xfId="3159" xr:uid="{00000000-0005-0000-0000-0000570C0000}"/>
    <cellStyle name="Normal 10 2 10 2 19 3 10" xfId="3160" xr:uid="{00000000-0005-0000-0000-0000580C0000}"/>
    <cellStyle name="Normal 10 2 10 2 19 3 2" xfId="3161" xr:uid="{00000000-0005-0000-0000-0000590C0000}"/>
    <cellStyle name="Normal 10 2 10 2 19 3 3" xfId="3162" xr:uid="{00000000-0005-0000-0000-00005A0C0000}"/>
    <cellStyle name="Normal 10 2 10 2 19 3 4" xfId="3163" xr:uid="{00000000-0005-0000-0000-00005B0C0000}"/>
    <cellStyle name="Normal 10 2 10 2 19 3 5" xfId="3164" xr:uid="{00000000-0005-0000-0000-00005C0C0000}"/>
    <cellStyle name="Normal 10 2 10 2 19 3 6" xfId="3165" xr:uid="{00000000-0005-0000-0000-00005D0C0000}"/>
    <cellStyle name="Normal 10 2 10 2 19 3 7" xfId="3166" xr:uid="{00000000-0005-0000-0000-00005E0C0000}"/>
    <cellStyle name="Normal 10 2 10 2 19 3 8" xfId="3167" xr:uid="{00000000-0005-0000-0000-00005F0C0000}"/>
    <cellStyle name="Normal 10 2 10 2 19 3 9" xfId="3168" xr:uid="{00000000-0005-0000-0000-0000600C0000}"/>
    <cellStyle name="Normal 10 2 10 2 19 4" xfId="3169" xr:uid="{00000000-0005-0000-0000-0000610C0000}"/>
    <cellStyle name="Normal 10 2 10 2 19 4 10" xfId="3170" xr:uid="{00000000-0005-0000-0000-0000620C0000}"/>
    <cellStyle name="Normal 10 2 10 2 19 4 2" xfId="3171" xr:uid="{00000000-0005-0000-0000-0000630C0000}"/>
    <cellStyle name="Normal 10 2 10 2 19 4 3" xfId="3172" xr:uid="{00000000-0005-0000-0000-0000640C0000}"/>
    <cellStyle name="Normal 10 2 10 2 19 4 4" xfId="3173" xr:uid="{00000000-0005-0000-0000-0000650C0000}"/>
    <cellStyle name="Normal 10 2 10 2 19 4 5" xfId="3174" xr:uid="{00000000-0005-0000-0000-0000660C0000}"/>
    <cellStyle name="Normal 10 2 10 2 19 4 6" xfId="3175" xr:uid="{00000000-0005-0000-0000-0000670C0000}"/>
    <cellStyle name="Normal 10 2 10 2 19 4 7" xfId="3176" xr:uid="{00000000-0005-0000-0000-0000680C0000}"/>
    <cellStyle name="Normal 10 2 10 2 19 4 8" xfId="3177" xr:uid="{00000000-0005-0000-0000-0000690C0000}"/>
    <cellStyle name="Normal 10 2 10 2 19 4 9" xfId="3178" xr:uid="{00000000-0005-0000-0000-00006A0C0000}"/>
    <cellStyle name="Normal 10 2 10 2 19 5" xfId="3179" xr:uid="{00000000-0005-0000-0000-00006B0C0000}"/>
    <cellStyle name="Normal 10 2 10 2 19 5 10" xfId="3180" xr:uid="{00000000-0005-0000-0000-00006C0C0000}"/>
    <cellStyle name="Normal 10 2 10 2 19 5 2" xfId="3181" xr:uid="{00000000-0005-0000-0000-00006D0C0000}"/>
    <cellStyle name="Normal 10 2 10 2 19 5 3" xfId="3182" xr:uid="{00000000-0005-0000-0000-00006E0C0000}"/>
    <cellStyle name="Normal 10 2 10 2 19 5 4" xfId="3183" xr:uid="{00000000-0005-0000-0000-00006F0C0000}"/>
    <cellStyle name="Normal 10 2 10 2 19 5 5" xfId="3184" xr:uid="{00000000-0005-0000-0000-0000700C0000}"/>
    <cellStyle name="Normal 10 2 10 2 19 5 6" xfId="3185" xr:uid="{00000000-0005-0000-0000-0000710C0000}"/>
    <cellStyle name="Normal 10 2 10 2 19 5 7" xfId="3186" xr:uid="{00000000-0005-0000-0000-0000720C0000}"/>
    <cellStyle name="Normal 10 2 10 2 19 5 8" xfId="3187" xr:uid="{00000000-0005-0000-0000-0000730C0000}"/>
    <cellStyle name="Normal 10 2 10 2 19 5 9" xfId="3188" xr:uid="{00000000-0005-0000-0000-0000740C0000}"/>
    <cellStyle name="Normal 10 2 10 2 19 6" xfId="3189" xr:uid="{00000000-0005-0000-0000-0000750C0000}"/>
    <cellStyle name="Normal 10 2 10 2 19 7" xfId="3190" xr:uid="{00000000-0005-0000-0000-0000760C0000}"/>
    <cellStyle name="Normal 10 2 10 2 19 8" xfId="3191" xr:uid="{00000000-0005-0000-0000-0000770C0000}"/>
    <cellStyle name="Normal 10 2 10 2 19 9" xfId="3192" xr:uid="{00000000-0005-0000-0000-0000780C0000}"/>
    <cellStyle name="Normal 10 2 10 2 2" xfId="3193" xr:uid="{00000000-0005-0000-0000-0000790C0000}"/>
    <cellStyle name="Normal 10 2 10 2 2 10" xfId="3194" xr:uid="{00000000-0005-0000-0000-00007A0C0000}"/>
    <cellStyle name="Normal 10 2 10 2 2 11" xfId="3195" xr:uid="{00000000-0005-0000-0000-00007B0C0000}"/>
    <cellStyle name="Normal 10 2 10 2 2 12" xfId="3196" xr:uid="{00000000-0005-0000-0000-00007C0C0000}"/>
    <cellStyle name="Normal 10 2 10 2 2 13" xfId="3197" xr:uid="{00000000-0005-0000-0000-00007D0C0000}"/>
    <cellStyle name="Normal 10 2 10 2 2 14" xfId="3198" xr:uid="{00000000-0005-0000-0000-00007E0C0000}"/>
    <cellStyle name="Normal 10 2 10 2 2 2" xfId="3199" xr:uid="{00000000-0005-0000-0000-00007F0C0000}"/>
    <cellStyle name="Normal 10 2 10 2 2 2 10" xfId="3200" xr:uid="{00000000-0005-0000-0000-0000800C0000}"/>
    <cellStyle name="Normal 10 2 10 2 2 2 2" xfId="3201" xr:uid="{00000000-0005-0000-0000-0000810C0000}"/>
    <cellStyle name="Normal 10 2 10 2 2 2 3" xfId="3202" xr:uid="{00000000-0005-0000-0000-0000820C0000}"/>
    <cellStyle name="Normal 10 2 10 2 2 2 4" xfId="3203" xr:uid="{00000000-0005-0000-0000-0000830C0000}"/>
    <cellStyle name="Normal 10 2 10 2 2 2 5" xfId="3204" xr:uid="{00000000-0005-0000-0000-0000840C0000}"/>
    <cellStyle name="Normal 10 2 10 2 2 2 6" xfId="3205" xr:uid="{00000000-0005-0000-0000-0000850C0000}"/>
    <cellStyle name="Normal 10 2 10 2 2 2 7" xfId="3206" xr:uid="{00000000-0005-0000-0000-0000860C0000}"/>
    <cellStyle name="Normal 10 2 10 2 2 2 8" xfId="3207" xr:uid="{00000000-0005-0000-0000-0000870C0000}"/>
    <cellStyle name="Normal 10 2 10 2 2 2 9" xfId="3208" xr:uid="{00000000-0005-0000-0000-0000880C0000}"/>
    <cellStyle name="Normal 10 2 10 2 2 3" xfId="3209" xr:uid="{00000000-0005-0000-0000-0000890C0000}"/>
    <cellStyle name="Normal 10 2 10 2 2 3 10" xfId="3210" xr:uid="{00000000-0005-0000-0000-00008A0C0000}"/>
    <cellStyle name="Normal 10 2 10 2 2 3 2" xfId="3211" xr:uid="{00000000-0005-0000-0000-00008B0C0000}"/>
    <cellStyle name="Normal 10 2 10 2 2 3 3" xfId="3212" xr:uid="{00000000-0005-0000-0000-00008C0C0000}"/>
    <cellStyle name="Normal 10 2 10 2 2 3 4" xfId="3213" xr:uid="{00000000-0005-0000-0000-00008D0C0000}"/>
    <cellStyle name="Normal 10 2 10 2 2 3 5" xfId="3214" xr:uid="{00000000-0005-0000-0000-00008E0C0000}"/>
    <cellStyle name="Normal 10 2 10 2 2 3 6" xfId="3215" xr:uid="{00000000-0005-0000-0000-00008F0C0000}"/>
    <cellStyle name="Normal 10 2 10 2 2 3 7" xfId="3216" xr:uid="{00000000-0005-0000-0000-0000900C0000}"/>
    <cellStyle name="Normal 10 2 10 2 2 3 8" xfId="3217" xr:uid="{00000000-0005-0000-0000-0000910C0000}"/>
    <cellStyle name="Normal 10 2 10 2 2 3 9" xfId="3218" xr:uid="{00000000-0005-0000-0000-0000920C0000}"/>
    <cellStyle name="Normal 10 2 10 2 2 4" xfId="3219" xr:uid="{00000000-0005-0000-0000-0000930C0000}"/>
    <cellStyle name="Normal 10 2 10 2 2 4 10" xfId="3220" xr:uid="{00000000-0005-0000-0000-0000940C0000}"/>
    <cellStyle name="Normal 10 2 10 2 2 4 2" xfId="3221" xr:uid="{00000000-0005-0000-0000-0000950C0000}"/>
    <cellStyle name="Normal 10 2 10 2 2 4 3" xfId="3222" xr:uid="{00000000-0005-0000-0000-0000960C0000}"/>
    <cellStyle name="Normal 10 2 10 2 2 4 4" xfId="3223" xr:uid="{00000000-0005-0000-0000-0000970C0000}"/>
    <cellStyle name="Normal 10 2 10 2 2 4 5" xfId="3224" xr:uid="{00000000-0005-0000-0000-0000980C0000}"/>
    <cellStyle name="Normal 10 2 10 2 2 4 6" xfId="3225" xr:uid="{00000000-0005-0000-0000-0000990C0000}"/>
    <cellStyle name="Normal 10 2 10 2 2 4 7" xfId="3226" xr:uid="{00000000-0005-0000-0000-00009A0C0000}"/>
    <cellStyle name="Normal 10 2 10 2 2 4 8" xfId="3227" xr:uid="{00000000-0005-0000-0000-00009B0C0000}"/>
    <cellStyle name="Normal 10 2 10 2 2 4 9" xfId="3228" xr:uid="{00000000-0005-0000-0000-00009C0C0000}"/>
    <cellStyle name="Normal 10 2 10 2 2 5" xfId="3229" xr:uid="{00000000-0005-0000-0000-00009D0C0000}"/>
    <cellStyle name="Normal 10 2 10 2 2 5 10" xfId="3230" xr:uid="{00000000-0005-0000-0000-00009E0C0000}"/>
    <cellStyle name="Normal 10 2 10 2 2 5 2" xfId="3231" xr:uid="{00000000-0005-0000-0000-00009F0C0000}"/>
    <cellStyle name="Normal 10 2 10 2 2 5 3" xfId="3232" xr:uid="{00000000-0005-0000-0000-0000A00C0000}"/>
    <cellStyle name="Normal 10 2 10 2 2 5 4" xfId="3233" xr:uid="{00000000-0005-0000-0000-0000A10C0000}"/>
    <cellStyle name="Normal 10 2 10 2 2 5 5" xfId="3234" xr:uid="{00000000-0005-0000-0000-0000A20C0000}"/>
    <cellStyle name="Normal 10 2 10 2 2 5 6" xfId="3235" xr:uid="{00000000-0005-0000-0000-0000A30C0000}"/>
    <cellStyle name="Normal 10 2 10 2 2 5 7" xfId="3236" xr:uid="{00000000-0005-0000-0000-0000A40C0000}"/>
    <cellStyle name="Normal 10 2 10 2 2 5 8" xfId="3237" xr:uid="{00000000-0005-0000-0000-0000A50C0000}"/>
    <cellStyle name="Normal 10 2 10 2 2 5 9" xfId="3238" xr:uid="{00000000-0005-0000-0000-0000A60C0000}"/>
    <cellStyle name="Normal 10 2 10 2 2 6" xfId="3239" xr:uid="{00000000-0005-0000-0000-0000A70C0000}"/>
    <cellStyle name="Normal 10 2 10 2 2 7" xfId="3240" xr:uid="{00000000-0005-0000-0000-0000A80C0000}"/>
    <cellStyle name="Normal 10 2 10 2 2 8" xfId="3241" xr:uid="{00000000-0005-0000-0000-0000A90C0000}"/>
    <cellStyle name="Normal 10 2 10 2 2 9" xfId="3242" xr:uid="{00000000-0005-0000-0000-0000AA0C0000}"/>
    <cellStyle name="Normal 10 2 10 2 20" xfId="3243" xr:uid="{00000000-0005-0000-0000-0000AB0C0000}"/>
    <cellStyle name="Normal 10 2 10 2 20 10" xfId="3244" xr:uid="{00000000-0005-0000-0000-0000AC0C0000}"/>
    <cellStyle name="Normal 10 2 10 2 20 11" xfId="3245" xr:uid="{00000000-0005-0000-0000-0000AD0C0000}"/>
    <cellStyle name="Normal 10 2 10 2 20 12" xfId="3246" xr:uid="{00000000-0005-0000-0000-0000AE0C0000}"/>
    <cellStyle name="Normal 10 2 10 2 20 13" xfId="3247" xr:uid="{00000000-0005-0000-0000-0000AF0C0000}"/>
    <cellStyle name="Normal 10 2 10 2 20 14" xfId="3248" xr:uid="{00000000-0005-0000-0000-0000B00C0000}"/>
    <cellStyle name="Normal 10 2 10 2 20 2" xfId="3249" xr:uid="{00000000-0005-0000-0000-0000B10C0000}"/>
    <cellStyle name="Normal 10 2 10 2 20 2 10" xfId="3250" xr:uid="{00000000-0005-0000-0000-0000B20C0000}"/>
    <cellStyle name="Normal 10 2 10 2 20 2 2" xfId="3251" xr:uid="{00000000-0005-0000-0000-0000B30C0000}"/>
    <cellStyle name="Normal 10 2 10 2 20 2 3" xfId="3252" xr:uid="{00000000-0005-0000-0000-0000B40C0000}"/>
    <cellStyle name="Normal 10 2 10 2 20 2 4" xfId="3253" xr:uid="{00000000-0005-0000-0000-0000B50C0000}"/>
    <cellStyle name="Normal 10 2 10 2 20 2 5" xfId="3254" xr:uid="{00000000-0005-0000-0000-0000B60C0000}"/>
    <cellStyle name="Normal 10 2 10 2 20 2 6" xfId="3255" xr:uid="{00000000-0005-0000-0000-0000B70C0000}"/>
    <cellStyle name="Normal 10 2 10 2 20 2 7" xfId="3256" xr:uid="{00000000-0005-0000-0000-0000B80C0000}"/>
    <cellStyle name="Normal 10 2 10 2 20 2 8" xfId="3257" xr:uid="{00000000-0005-0000-0000-0000B90C0000}"/>
    <cellStyle name="Normal 10 2 10 2 20 2 9" xfId="3258" xr:uid="{00000000-0005-0000-0000-0000BA0C0000}"/>
    <cellStyle name="Normal 10 2 10 2 20 3" xfId="3259" xr:uid="{00000000-0005-0000-0000-0000BB0C0000}"/>
    <cellStyle name="Normal 10 2 10 2 20 3 10" xfId="3260" xr:uid="{00000000-0005-0000-0000-0000BC0C0000}"/>
    <cellStyle name="Normal 10 2 10 2 20 3 2" xfId="3261" xr:uid="{00000000-0005-0000-0000-0000BD0C0000}"/>
    <cellStyle name="Normal 10 2 10 2 20 3 3" xfId="3262" xr:uid="{00000000-0005-0000-0000-0000BE0C0000}"/>
    <cellStyle name="Normal 10 2 10 2 20 3 4" xfId="3263" xr:uid="{00000000-0005-0000-0000-0000BF0C0000}"/>
    <cellStyle name="Normal 10 2 10 2 20 3 5" xfId="3264" xr:uid="{00000000-0005-0000-0000-0000C00C0000}"/>
    <cellStyle name="Normal 10 2 10 2 20 3 6" xfId="3265" xr:uid="{00000000-0005-0000-0000-0000C10C0000}"/>
    <cellStyle name="Normal 10 2 10 2 20 3 7" xfId="3266" xr:uid="{00000000-0005-0000-0000-0000C20C0000}"/>
    <cellStyle name="Normal 10 2 10 2 20 3 8" xfId="3267" xr:uid="{00000000-0005-0000-0000-0000C30C0000}"/>
    <cellStyle name="Normal 10 2 10 2 20 3 9" xfId="3268" xr:uid="{00000000-0005-0000-0000-0000C40C0000}"/>
    <cellStyle name="Normal 10 2 10 2 20 4" xfId="3269" xr:uid="{00000000-0005-0000-0000-0000C50C0000}"/>
    <cellStyle name="Normal 10 2 10 2 20 4 10" xfId="3270" xr:uid="{00000000-0005-0000-0000-0000C60C0000}"/>
    <cellStyle name="Normal 10 2 10 2 20 4 2" xfId="3271" xr:uid="{00000000-0005-0000-0000-0000C70C0000}"/>
    <cellStyle name="Normal 10 2 10 2 20 4 3" xfId="3272" xr:uid="{00000000-0005-0000-0000-0000C80C0000}"/>
    <cellStyle name="Normal 10 2 10 2 20 4 4" xfId="3273" xr:uid="{00000000-0005-0000-0000-0000C90C0000}"/>
    <cellStyle name="Normal 10 2 10 2 20 4 5" xfId="3274" xr:uid="{00000000-0005-0000-0000-0000CA0C0000}"/>
    <cellStyle name="Normal 10 2 10 2 20 4 6" xfId="3275" xr:uid="{00000000-0005-0000-0000-0000CB0C0000}"/>
    <cellStyle name="Normal 10 2 10 2 20 4 7" xfId="3276" xr:uid="{00000000-0005-0000-0000-0000CC0C0000}"/>
    <cellStyle name="Normal 10 2 10 2 20 4 8" xfId="3277" xr:uid="{00000000-0005-0000-0000-0000CD0C0000}"/>
    <cellStyle name="Normal 10 2 10 2 20 4 9" xfId="3278" xr:uid="{00000000-0005-0000-0000-0000CE0C0000}"/>
    <cellStyle name="Normal 10 2 10 2 20 5" xfId="3279" xr:uid="{00000000-0005-0000-0000-0000CF0C0000}"/>
    <cellStyle name="Normal 10 2 10 2 20 5 10" xfId="3280" xr:uid="{00000000-0005-0000-0000-0000D00C0000}"/>
    <cellStyle name="Normal 10 2 10 2 20 5 2" xfId="3281" xr:uid="{00000000-0005-0000-0000-0000D10C0000}"/>
    <cellStyle name="Normal 10 2 10 2 20 5 3" xfId="3282" xr:uid="{00000000-0005-0000-0000-0000D20C0000}"/>
    <cellStyle name="Normal 10 2 10 2 20 5 4" xfId="3283" xr:uid="{00000000-0005-0000-0000-0000D30C0000}"/>
    <cellStyle name="Normal 10 2 10 2 20 5 5" xfId="3284" xr:uid="{00000000-0005-0000-0000-0000D40C0000}"/>
    <cellStyle name="Normal 10 2 10 2 20 5 6" xfId="3285" xr:uid="{00000000-0005-0000-0000-0000D50C0000}"/>
    <cellStyle name="Normal 10 2 10 2 20 5 7" xfId="3286" xr:uid="{00000000-0005-0000-0000-0000D60C0000}"/>
    <cellStyle name="Normal 10 2 10 2 20 5 8" xfId="3287" xr:uid="{00000000-0005-0000-0000-0000D70C0000}"/>
    <cellStyle name="Normal 10 2 10 2 20 5 9" xfId="3288" xr:uid="{00000000-0005-0000-0000-0000D80C0000}"/>
    <cellStyle name="Normal 10 2 10 2 20 6" xfId="3289" xr:uid="{00000000-0005-0000-0000-0000D90C0000}"/>
    <cellStyle name="Normal 10 2 10 2 20 7" xfId="3290" xr:uid="{00000000-0005-0000-0000-0000DA0C0000}"/>
    <cellStyle name="Normal 10 2 10 2 20 8" xfId="3291" xr:uid="{00000000-0005-0000-0000-0000DB0C0000}"/>
    <cellStyle name="Normal 10 2 10 2 20 9" xfId="3292" xr:uid="{00000000-0005-0000-0000-0000DC0C0000}"/>
    <cellStyle name="Normal 10 2 10 2 21" xfId="3293" xr:uid="{00000000-0005-0000-0000-0000DD0C0000}"/>
    <cellStyle name="Normal 10 2 10 2 21 10" xfId="3294" xr:uid="{00000000-0005-0000-0000-0000DE0C0000}"/>
    <cellStyle name="Normal 10 2 10 2 21 11" xfId="3295" xr:uid="{00000000-0005-0000-0000-0000DF0C0000}"/>
    <cellStyle name="Normal 10 2 10 2 21 12" xfId="3296" xr:uid="{00000000-0005-0000-0000-0000E00C0000}"/>
    <cellStyle name="Normal 10 2 10 2 21 13" xfId="3297" xr:uid="{00000000-0005-0000-0000-0000E10C0000}"/>
    <cellStyle name="Normal 10 2 10 2 21 14" xfId="3298" xr:uid="{00000000-0005-0000-0000-0000E20C0000}"/>
    <cellStyle name="Normal 10 2 10 2 21 2" xfId="3299" xr:uid="{00000000-0005-0000-0000-0000E30C0000}"/>
    <cellStyle name="Normal 10 2 10 2 21 2 10" xfId="3300" xr:uid="{00000000-0005-0000-0000-0000E40C0000}"/>
    <cellStyle name="Normal 10 2 10 2 21 2 2" xfId="3301" xr:uid="{00000000-0005-0000-0000-0000E50C0000}"/>
    <cellStyle name="Normal 10 2 10 2 21 2 3" xfId="3302" xr:uid="{00000000-0005-0000-0000-0000E60C0000}"/>
    <cellStyle name="Normal 10 2 10 2 21 2 4" xfId="3303" xr:uid="{00000000-0005-0000-0000-0000E70C0000}"/>
    <cellStyle name="Normal 10 2 10 2 21 2 5" xfId="3304" xr:uid="{00000000-0005-0000-0000-0000E80C0000}"/>
    <cellStyle name="Normal 10 2 10 2 21 2 6" xfId="3305" xr:uid="{00000000-0005-0000-0000-0000E90C0000}"/>
    <cellStyle name="Normal 10 2 10 2 21 2 7" xfId="3306" xr:uid="{00000000-0005-0000-0000-0000EA0C0000}"/>
    <cellStyle name="Normal 10 2 10 2 21 2 8" xfId="3307" xr:uid="{00000000-0005-0000-0000-0000EB0C0000}"/>
    <cellStyle name="Normal 10 2 10 2 21 2 9" xfId="3308" xr:uid="{00000000-0005-0000-0000-0000EC0C0000}"/>
    <cellStyle name="Normal 10 2 10 2 21 3" xfId="3309" xr:uid="{00000000-0005-0000-0000-0000ED0C0000}"/>
    <cellStyle name="Normal 10 2 10 2 21 3 10" xfId="3310" xr:uid="{00000000-0005-0000-0000-0000EE0C0000}"/>
    <cellStyle name="Normal 10 2 10 2 21 3 2" xfId="3311" xr:uid="{00000000-0005-0000-0000-0000EF0C0000}"/>
    <cellStyle name="Normal 10 2 10 2 21 3 3" xfId="3312" xr:uid="{00000000-0005-0000-0000-0000F00C0000}"/>
    <cellStyle name="Normal 10 2 10 2 21 3 4" xfId="3313" xr:uid="{00000000-0005-0000-0000-0000F10C0000}"/>
    <cellStyle name="Normal 10 2 10 2 21 3 5" xfId="3314" xr:uid="{00000000-0005-0000-0000-0000F20C0000}"/>
    <cellStyle name="Normal 10 2 10 2 21 3 6" xfId="3315" xr:uid="{00000000-0005-0000-0000-0000F30C0000}"/>
    <cellStyle name="Normal 10 2 10 2 21 3 7" xfId="3316" xr:uid="{00000000-0005-0000-0000-0000F40C0000}"/>
    <cellStyle name="Normal 10 2 10 2 21 3 8" xfId="3317" xr:uid="{00000000-0005-0000-0000-0000F50C0000}"/>
    <cellStyle name="Normal 10 2 10 2 21 3 9" xfId="3318" xr:uid="{00000000-0005-0000-0000-0000F60C0000}"/>
    <cellStyle name="Normal 10 2 10 2 21 4" xfId="3319" xr:uid="{00000000-0005-0000-0000-0000F70C0000}"/>
    <cellStyle name="Normal 10 2 10 2 21 4 10" xfId="3320" xr:uid="{00000000-0005-0000-0000-0000F80C0000}"/>
    <cellStyle name="Normal 10 2 10 2 21 4 2" xfId="3321" xr:uid="{00000000-0005-0000-0000-0000F90C0000}"/>
    <cellStyle name="Normal 10 2 10 2 21 4 3" xfId="3322" xr:uid="{00000000-0005-0000-0000-0000FA0C0000}"/>
    <cellStyle name="Normal 10 2 10 2 21 4 4" xfId="3323" xr:uid="{00000000-0005-0000-0000-0000FB0C0000}"/>
    <cellStyle name="Normal 10 2 10 2 21 4 5" xfId="3324" xr:uid="{00000000-0005-0000-0000-0000FC0C0000}"/>
    <cellStyle name="Normal 10 2 10 2 21 4 6" xfId="3325" xr:uid="{00000000-0005-0000-0000-0000FD0C0000}"/>
    <cellStyle name="Normal 10 2 10 2 21 4 7" xfId="3326" xr:uid="{00000000-0005-0000-0000-0000FE0C0000}"/>
    <cellStyle name="Normal 10 2 10 2 21 4 8" xfId="3327" xr:uid="{00000000-0005-0000-0000-0000FF0C0000}"/>
    <cellStyle name="Normal 10 2 10 2 21 4 9" xfId="3328" xr:uid="{00000000-0005-0000-0000-0000000D0000}"/>
    <cellStyle name="Normal 10 2 10 2 21 5" xfId="3329" xr:uid="{00000000-0005-0000-0000-0000010D0000}"/>
    <cellStyle name="Normal 10 2 10 2 21 5 10" xfId="3330" xr:uid="{00000000-0005-0000-0000-0000020D0000}"/>
    <cellStyle name="Normal 10 2 10 2 21 5 2" xfId="3331" xr:uid="{00000000-0005-0000-0000-0000030D0000}"/>
    <cellStyle name="Normal 10 2 10 2 21 5 3" xfId="3332" xr:uid="{00000000-0005-0000-0000-0000040D0000}"/>
    <cellStyle name="Normal 10 2 10 2 21 5 4" xfId="3333" xr:uid="{00000000-0005-0000-0000-0000050D0000}"/>
    <cellStyle name="Normal 10 2 10 2 21 5 5" xfId="3334" xr:uid="{00000000-0005-0000-0000-0000060D0000}"/>
    <cellStyle name="Normal 10 2 10 2 21 5 6" xfId="3335" xr:uid="{00000000-0005-0000-0000-0000070D0000}"/>
    <cellStyle name="Normal 10 2 10 2 21 5 7" xfId="3336" xr:uid="{00000000-0005-0000-0000-0000080D0000}"/>
    <cellStyle name="Normal 10 2 10 2 21 5 8" xfId="3337" xr:uid="{00000000-0005-0000-0000-0000090D0000}"/>
    <cellStyle name="Normal 10 2 10 2 21 5 9" xfId="3338" xr:uid="{00000000-0005-0000-0000-00000A0D0000}"/>
    <cellStyle name="Normal 10 2 10 2 21 6" xfId="3339" xr:uid="{00000000-0005-0000-0000-00000B0D0000}"/>
    <cellStyle name="Normal 10 2 10 2 21 7" xfId="3340" xr:uid="{00000000-0005-0000-0000-00000C0D0000}"/>
    <cellStyle name="Normal 10 2 10 2 21 8" xfId="3341" xr:uid="{00000000-0005-0000-0000-00000D0D0000}"/>
    <cellStyle name="Normal 10 2 10 2 21 9" xfId="3342" xr:uid="{00000000-0005-0000-0000-00000E0D0000}"/>
    <cellStyle name="Normal 10 2 10 2 22" xfId="3343" xr:uid="{00000000-0005-0000-0000-00000F0D0000}"/>
    <cellStyle name="Normal 10 2 10 2 22 10" xfId="3344" xr:uid="{00000000-0005-0000-0000-0000100D0000}"/>
    <cellStyle name="Normal 10 2 10 2 22 11" xfId="3345" xr:uid="{00000000-0005-0000-0000-0000110D0000}"/>
    <cellStyle name="Normal 10 2 10 2 22 12" xfId="3346" xr:uid="{00000000-0005-0000-0000-0000120D0000}"/>
    <cellStyle name="Normal 10 2 10 2 22 13" xfId="3347" xr:uid="{00000000-0005-0000-0000-0000130D0000}"/>
    <cellStyle name="Normal 10 2 10 2 22 14" xfId="3348" xr:uid="{00000000-0005-0000-0000-0000140D0000}"/>
    <cellStyle name="Normal 10 2 10 2 22 2" xfId="3349" xr:uid="{00000000-0005-0000-0000-0000150D0000}"/>
    <cellStyle name="Normal 10 2 10 2 22 2 10" xfId="3350" xr:uid="{00000000-0005-0000-0000-0000160D0000}"/>
    <cellStyle name="Normal 10 2 10 2 22 2 2" xfId="3351" xr:uid="{00000000-0005-0000-0000-0000170D0000}"/>
    <cellStyle name="Normal 10 2 10 2 22 2 3" xfId="3352" xr:uid="{00000000-0005-0000-0000-0000180D0000}"/>
    <cellStyle name="Normal 10 2 10 2 22 2 4" xfId="3353" xr:uid="{00000000-0005-0000-0000-0000190D0000}"/>
    <cellStyle name="Normal 10 2 10 2 22 2 5" xfId="3354" xr:uid="{00000000-0005-0000-0000-00001A0D0000}"/>
    <cellStyle name="Normal 10 2 10 2 22 2 6" xfId="3355" xr:uid="{00000000-0005-0000-0000-00001B0D0000}"/>
    <cellStyle name="Normal 10 2 10 2 22 2 7" xfId="3356" xr:uid="{00000000-0005-0000-0000-00001C0D0000}"/>
    <cellStyle name="Normal 10 2 10 2 22 2 8" xfId="3357" xr:uid="{00000000-0005-0000-0000-00001D0D0000}"/>
    <cellStyle name="Normal 10 2 10 2 22 2 9" xfId="3358" xr:uid="{00000000-0005-0000-0000-00001E0D0000}"/>
    <cellStyle name="Normal 10 2 10 2 22 3" xfId="3359" xr:uid="{00000000-0005-0000-0000-00001F0D0000}"/>
    <cellStyle name="Normal 10 2 10 2 22 3 10" xfId="3360" xr:uid="{00000000-0005-0000-0000-0000200D0000}"/>
    <cellStyle name="Normal 10 2 10 2 22 3 2" xfId="3361" xr:uid="{00000000-0005-0000-0000-0000210D0000}"/>
    <cellStyle name="Normal 10 2 10 2 22 3 3" xfId="3362" xr:uid="{00000000-0005-0000-0000-0000220D0000}"/>
    <cellStyle name="Normal 10 2 10 2 22 3 4" xfId="3363" xr:uid="{00000000-0005-0000-0000-0000230D0000}"/>
    <cellStyle name="Normal 10 2 10 2 22 3 5" xfId="3364" xr:uid="{00000000-0005-0000-0000-0000240D0000}"/>
    <cellStyle name="Normal 10 2 10 2 22 3 6" xfId="3365" xr:uid="{00000000-0005-0000-0000-0000250D0000}"/>
    <cellStyle name="Normal 10 2 10 2 22 3 7" xfId="3366" xr:uid="{00000000-0005-0000-0000-0000260D0000}"/>
    <cellStyle name="Normal 10 2 10 2 22 3 8" xfId="3367" xr:uid="{00000000-0005-0000-0000-0000270D0000}"/>
    <cellStyle name="Normal 10 2 10 2 22 3 9" xfId="3368" xr:uid="{00000000-0005-0000-0000-0000280D0000}"/>
    <cellStyle name="Normal 10 2 10 2 22 4" xfId="3369" xr:uid="{00000000-0005-0000-0000-0000290D0000}"/>
    <cellStyle name="Normal 10 2 10 2 22 4 10" xfId="3370" xr:uid="{00000000-0005-0000-0000-00002A0D0000}"/>
    <cellStyle name="Normal 10 2 10 2 22 4 2" xfId="3371" xr:uid="{00000000-0005-0000-0000-00002B0D0000}"/>
    <cellStyle name="Normal 10 2 10 2 22 4 3" xfId="3372" xr:uid="{00000000-0005-0000-0000-00002C0D0000}"/>
    <cellStyle name="Normal 10 2 10 2 22 4 4" xfId="3373" xr:uid="{00000000-0005-0000-0000-00002D0D0000}"/>
    <cellStyle name="Normal 10 2 10 2 22 4 5" xfId="3374" xr:uid="{00000000-0005-0000-0000-00002E0D0000}"/>
    <cellStyle name="Normal 10 2 10 2 22 4 6" xfId="3375" xr:uid="{00000000-0005-0000-0000-00002F0D0000}"/>
    <cellStyle name="Normal 10 2 10 2 22 4 7" xfId="3376" xr:uid="{00000000-0005-0000-0000-0000300D0000}"/>
    <cellStyle name="Normal 10 2 10 2 22 4 8" xfId="3377" xr:uid="{00000000-0005-0000-0000-0000310D0000}"/>
    <cellStyle name="Normal 10 2 10 2 22 4 9" xfId="3378" xr:uid="{00000000-0005-0000-0000-0000320D0000}"/>
    <cellStyle name="Normal 10 2 10 2 22 5" xfId="3379" xr:uid="{00000000-0005-0000-0000-0000330D0000}"/>
    <cellStyle name="Normal 10 2 10 2 22 5 10" xfId="3380" xr:uid="{00000000-0005-0000-0000-0000340D0000}"/>
    <cellStyle name="Normal 10 2 10 2 22 5 2" xfId="3381" xr:uid="{00000000-0005-0000-0000-0000350D0000}"/>
    <cellStyle name="Normal 10 2 10 2 22 5 3" xfId="3382" xr:uid="{00000000-0005-0000-0000-0000360D0000}"/>
    <cellStyle name="Normal 10 2 10 2 22 5 4" xfId="3383" xr:uid="{00000000-0005-0000-0000-0000370D0000}"/>
    <cellStyle name="Normal 10 2 10 2 22 5 5" xfId="3384" xr:uid="{00000000-0005-0000-0000-0000380D0000}"/>
    <cellStyle name="Normal 10 2 10 2 22 5 6" xfId="3385" xr:uid="{00000000-0005-0000-0000-0000390D0000}"/>
    <cellStyle name="Normal 10 2 10 2 22 5 7" xfId="3386" xr:uid="{00000000-0005-0000-0000-00003A0D0000}"/>
    <cellStyle name="Normal 10 2 10 2 22 5 8" xfId="3387" xr:uid="{00000000-0005-0000-0000-00003B0D0000}"/>
    <cellStyle name="Normal 10 2 10 2 22 5 9" xfId="3388" xr:uid="{00000000-0005-0000-0000-00003C0D0000}"/>
    <cellStyle name="Normal 10 2 10 2 22 6" xfId="3389" xr:uid="{00000000-0005-0000-0000-00003D0D0000}"/>
    <cellStyle name="Normal 10 2 10 2 22 7" xfId="3390" xr:uid="{00000000-0005-0000-0000-00003E0D0000}"/>
    <cellStyle name="Normal 10 2 10 2 22 8" xfId="3391" xr:uid="{00000000-0005-0000-0000-00003F0D0000}"/>
    <cellStyle name="Normal 10 2 10 2 22 9" xfId="3392" xr:uid="{00000000-0005-0000-0000-0000400D0000}"/>
    <cellStyle name="Normal 10 2 10 2 23" xfId="3393" xr:uid="{00000000-0005-0000-0000-0000410D0000}"/>
    <cellStyle name="Normal 10 2 10 2 23 10" xfId="3394" xr:uid="{00000000-0005-0000-0000-0000420D0000}"/>
    <cellStyle name="Normal 10 2 10 2 23 11" xfId="3395" xr:uid="{00000000-0005-0000-0000-0000430D0000}"/>
    <cellStyle name="Normal 10 2 10 2 23 12" xfId="3396" xr:uid="{00000000-0005-0000-0000-0000440D0000}"/>
    <cellStyle name="Normal 10 2 10 2 23 13" xfId="3397" xr:uid="{00000000-0005-0000-0000-0000450D0000}"/>
    <cellStyle name="Normal 10 2 10 2 23 14" xfId="3398" xr:uid="{00000000-0005-0000-0000-0000460D0000}"/>
    <cellStyle name="Normal 10 2 10 2 23 2" xfId="3399" xr:uid="{00000000-0005-0000-0000-0000470D0000}"/>
    <cellStyle name="Normal 10 2 10 2 23 2 10" xfId="3400" xr:uid="{00000000-0005-0000-0000-0000480D0000}"/>
    <cellStyle name="Normal 10 2 10 2 23 2 2" xfId="3401" xr:uid="{00000000-0005-0000-0000-0000490D0000}"/>
    <cellStyle name="Normal 10 2 10 2 23 2 3" xfId="3402" xr:uid="{00000000-0005-0000-0000-00004A0D0000}"/>
    <cellStyle name="Normal 10 2 10 2 23 2 4" xfId="3403" xr:uid="{00000000-0005-0000-0000-00004B0D0000}"/>
    <cellStyle name="Normal 10 2 10 2 23 2 5" xfId="3404" xr:uid="{00000000-0005-0000-0000-00004C0D0000}"/>
    <cellStyle name="Normal 10 2 10 2 23 2 6" xfId="3405" xr:uid="{00000000-0005-0000-0000-00004D0D0000}"/>
    <cellStyle name="Normal 10 2 10 2 23 2 7" xfId="3406" xr:uid="{00000000-0005-0000-0000-00004E0D0000}"/>
    <cellStyle name="Normal 10 2 10 2 23 2 8" xfId="3407" xr:uid="{00000000-0005-0000-0000-00004F0D0000}"/>
    <cellStyle name="Normal 10 2 10 2 23 2 9" xfId="3408" xr:uid="{00000000-0005-0000-0000-0000500D0000}"/>
    <cellStyle name="Normal 10 2 10 2 23 3" xfId="3409" xr:uid="{00000000-0005-0000-0000-0000510D0000}"/>
    <cellStyle name="Normal 10 2 10 2 23 3 10" xfId="3410" xr:uid="{00000000-0005-0000-0000-0000520D0000}"/>
    <cellStyle name="Normal 10 2 10 2 23 3 2" xfId="3411" xr:uid="{00000000-0005-0000-0000-0000530D0000}"/>
    <cellStyle name="Normal 10 2 10 2 23 3 3" xfId="3412" xr:uid="{00000000-0005-0000-0000-0000540D0000}"/>
    <cellStyle name="Normal 10 2 10 2 23 3 4" xfId="3413" xr:uid="{00000000-0005-0000-0000-0000550D0000}"/>
    <cellStyle name="Normal 10 2 10 2 23 3 5" xfId="3414" xr:uid="{00000000-0005-0000-0000-0000560D0000}"/>
    <cellStyle name="Normal 10 2 10 2 23 3 6" xfId="3415" xr:uid="{00000000-0005-0000-0000-0000570D0000}"/>
    <cellStyle name="Normal 10 2 10 2 23 3 7" xfId="3416" xr:uid="{00000000-0005-0000-0000-0000580D0000}"/>
    <cellStyle name="Normal 10 2 10 2 23 3 8" xfId="3417" xr:uid="{00000000-0005-0000-0000-0000590D0000}"/>
    <cellStyle name="Normal 10 2 10 2 23 3 9" xfId="3418" xr:uid="{00000000-0005-0000-0000-00005A0D0000}"/>
    <cellStyle name="Normal 10 2 10 2 23 4" xfId="3419" xr:uid="{00000000-0005-0000-0000-00005B0D0000}"/>
    <cellStyle name="Normal 10 2 10 2 23 4 10" xfId="3420" xr:uid="{00000000-0005-0000-0000-00005C0D0000}"/>
    <cellStyle name="Normal 10 2 10 2 23 4 2" xfId="3421" xr:uid="{00000000-0005-0000-0000-00005D0D0000}"/>
    <cellStyle name="Normal 10 2 10 2 23 4 3" xfId="3422" xr:uid="{00000000-0005-0000-0000-00005E0D0000}"/>
    <cellStyle name="Normal 10 2 10 2 23 4 4" xfId="3423" xr:uid="{00000000-0005-0000-0000-00005F0D0000}"/>
    <cellStyle name="Normal 10 2 10 2 23 4 5" xfId="3424" xr:uid="{00000000-0005-0000-0000-0000600D0000}"/>
    <cellStyle name="Normal 10 2 10 2 23 4 6" xfId="3425" xr:uid="{00000000-0005-0000-0000-0000610D0000}"/>
    <cellStyle name="Normal 10 2 10 2 23 4 7" xfId="3426" xr:uid="{00000000-0005-0000-0000-0000620D0000}"/>
    <cellStyle name="Normal 10 2 10 2 23 4 8" xfId="3427" xr:uid="{00000000-0005-0000-0000-0000630D0000}"/>
    <cellStyle name="Normal 10 2 10 2 23 4 9" xfId="3428" xr:uid="{00000000-0005-0000-0000-0000640D0000}"/>
    <cellStyle name="Normal 10 2 10 2 23 5" xfId="3429" xr:uid="{00000000-0005-0000-0000-0000650D0000}"/>
    <cellStyle name="Normal 10 2 10 2 23 5 10" xfId="3430" xr:uid="{00000000-0005-0000-0000-0000660D0000}"/>
    <cellStyle name="Normal 10 2 10 2 23 5 2" xfId="3431" xr:uid="{00000000-0005-0000-0000-0000670D0000}"/>
    <cellStyle name="Normal 10 2 10 2 23 5 3" xfId="3432" xr:uid="{00000000-0005-0000-0000-0000680D0000}"/>
    <cellStyle name="Normal 10 2 10 2 23 5 4" xfId="3433" xr:uid="{00000000-0005-0000-0000-0000690D0000}"/>
    <cellStyle name="Normal 10 2 10 2 23 5 5" xfId="3434" xr:uid="{00000000-0005-0000-0000-00006A0D0000}"/>
    <cellStyle name="Normal 10 2 10 2 23 5 6" xfId="3435" xr:uid="{00000000-0005-0000-0000-00006B0D0000}"/>
    <cellStyle name="Normal 10 2 10 2 23 5 7" xfId="3436" xr:uid="{00000000-0005-0000-0000-00006C0D0000}"/>
    <cellStyle name="Normal 10 2 10 2 23 5 8" xfId="3437" xr:uid="{00000000-0005-0000-0000-00006D0D0000}"/>
    <cellStyle name="Normal 10 2 10 2 23 5 9" xfId="3438" xr:uid="{00000000-0005-0000-0000-00006E0D0000}"/>
    <cellStyle name="Normal 10 2 10 2 23 6" xfId="3439" xr:uid="{00000000-0005-0000-0000-00006F0D0000}"/>
    <cellStyle name="Normal 10 2 10 2 23 7" xfId="3440" xr:uid="{00000000-0005-0000-0000-0000700D0000}"/>
    <cellStyle name="Normal 10 2 10 2 23 8" xfId="3441" xr:uid="{00000000-0005-0000-0000-0000710D0000}"/>
    <cellStyle name="Normal 10 2 10 2 23 9" xfId="3442" xr:uid="{00000000-0005-0000-0000-0000720D0000}"/>
    <cellStyle name="Normal 10 2 10 2 24" xfId="3443" xr:uid="{00000000-0005-0000-0000-0000730D0000}"/>
    <cellStyle name="Normal 10 2 10 2 24 10" xfId="3444" xr:uid="{00000000-0005-0000-0000-0000740D0000}"/>
    <cellStyle name="Normal 10 2 10 2 24 11" xfId="3445" xr:uid="{00000000-0005-0000-0000-0000750D0000}"/>
    <cellStyle name="Normal 10 2 10 2 24 12" xfId="3446" xr:uid="{00000000-0005-0000-0000-0000760D0000}"/>
    <cellStyle name="Normal 10 2 10 2 24 13" xfId="3447" xr:uid="{00000000-0005-0000-0000-0000770D0000}"/>
    <cellStyle name="Normal 10 2 10 2 24 14" xfId="3448" xr:uid="{00000000-0005-0000-0000-0000780D0000}"/>
    <cellStyle name="Normal 10 2 10 2 24 2" xfId="3449" xr:uid="{00000000-0005-0000-0000-0000790D0000}"/>
    <cellStyle name="Normal 10 2 10 2 24 2 10" xfId="3450" xr:uid="{00000000-0005-0000-0000-00007A0D0000}"/>
    <cellStyle name="Normal 10 2 10 2 24 2 2" xfId="3451" xr:uid="{00000000-0005-0000-0000-00007B0D0000}"/>
    <cellStyle name="Normal 10 2 10 2 24 2 3" xfId="3452" xr:uid="{00000000-0005-0000-0000-00007C0D0000}"/>
    <cellStyle name="Normal 10 2 10 2 24 2 4" xfId="3453" xr:uid="{00000000-0005-0000-0000-00007D0D0000}"/>
    <cellStyle name="Normal 10 2 10 2 24 2 5" xfId="3454" xr:uid="{00000000-0005-0000-0000-00007E0D0000}"/>
    <cellStyle name="Normal 10 2 10 2 24 2 6" xfId="3455" xr:uid="{00000000-0005-0000-0000-00007F0D0000}"/>
    <cellStyle name="Normal 10 2 10 2 24 2 7" xfId="3456" xr:uid="{00000000-0005-0000-0000-0000800D0000}"/>
    <cellStyle name="Normal 10 2 10 2 24 2 8" xfId="3457" xr:uid="{00000000-0005-0000-0000-0000810D0000}"/>
    <cellStyle name="Normal 10 2 10 2 24 2 9" xfId="3458" xr:uid="{00000000-0005-0000-0000-0000820D0000}"/>
    <cellStyle name="Normal 10 2 10 2 24 3" xfId="3459" xr:uid="{00000000-0005-0000-0000-0000830D0000}"/>
    <cellStyle name="Normal 10 2 10 2 24 3 10" xfId="3460" xr:uid="{00000000-0005-0000-0000-0000840D0000}"/>
    <cellStyle name="Normal 10 2 10 2 24 3 2" xfId="3461" xr:uid="{00000000-0005-0000-0000-0000850D0000}"/>
    <cellStyle name="Normal 10 2 10 2 24 3 3" xfId="3462" xr:uid="{00000000-0005-0000-0000-0000860D0000}"/>
    <cellStyle name="Normal 10 2 10 2 24 3 4" xfId="3463" xr:uid="{00000000-0005-0000-0000-0000870D0000}"/>
    <cellStyle name="Normal 10 2 10 2 24 3 5" xfId="3464" xr:uid="{00000000-0005-0000-0000-0000880D0000}"/>
    <cellStyle name="Normal 10 2 10 2 24 3 6" xfId="3465" xr:uid="{00000000-0005-0000-0000-0000890D0000}"/>
    <cellStyle name="Normal 10 2 10 2 24 3 7" xfId="3466" xr:uid="{00000000-0005-0000-0000-00008A0D0000}"/>
    <cellStyle name="Normal 10 2 10 2 24 3 8" xfId="3467" xr:uid="{00000000-0005-0000-0000-00008B0D0000}"/>
    <cellStyle name="Normal 10 2 10 2 24 3 9" xfId="3468" xr:uid="{00000000-0005-0000-0000-00008C0D0000}"/>
    <cellStyle name="Normal 10 2 10 2 24 4" xfId="3469" xr:uid="{00000000-0005-0000-0000-00008D0D0000}"/>
    <cellStyle name="Normal 10 2 10 2 24 4 10" xfId="3470" xr:uid="{00000000-0005-0000-0000-00008E0D0000}"/>
    <cellStyle name="Normal 10 2 10 2 24 4 2" xfId="3471" xr:uid="{00000000-0005-0000-0000-00008F0D0000}"/>
    <cellStyle name="Normal 10 2 10 2 24 4 3" xfId="3472" xr:uid="{00000000-0005-0000-0000-0000900D0000}"/>
    <cellStyle name="Normal 10 2 10 2 24 4 4" xfId="3473" xr:uid="{00000000-0005-0000-0000-0000910D0000}"/>
    <cellStyle name="Normal 10 2 10 2 24 4 5" xfId="3474" xr:uid="{00000000-0005-0000-0000-0000920D0000}"/>
    <cellStyle name="Normal 10 2 10 2 24 4 6" xfId="3475" xr:uid="{00000000-0005-0000-0000-0000930D0000}"/>
    <cellStyle name="Normal 10 2 10 2 24 4 7" xfId="3476" xr:uid="{00000000-0005-0000-0000-0000940D0000}"/>
    <cellStyle name="Normal 10 2 10 2 24 4 8" xfId="3477" xr:uid="{00000000-0005-0000-0000-0000950D0000}"/>
    <cellStyle name="Normal 10 2 10 2 24 4 9" xfId="3478" xr:uid="{00000000-0005-0000-0000-0000960D0000}"/>
    <cellStyle name="Normal 10 2 10 2 24 5" xfId="3479" xr:uid="{00000000-0005-0000-0000-0000970D0000}"/>
    <cellStyle name="Normal 10 2 10 2 24 5 10" xfId="3480" xr:uid="{00000000-0005-0000-0000-0000980D0000}"/>
    <cellStyle name="Normal 10 2 10 2 24 5 2" xfId="3481" xr:uid="{00000000-0005-0000-0000-0000990D0000}"/>
    <cellStyle name="Normal 10 2 10 2 24 5 3" xfId="3482" xr:uid="{00000000-0005-0000-0000-00009A0D0000}"/>
    <cellStyle name="Normal 10 2 10 2 24 5 4" xfId="3483" xr:uid="{00000000-0005-0000-0000-00009B0D0000}"/>
    <cellStyle name="Normal 10 2 10 2 24 5 5" xfId="3484" xr:uid="{00000000-0005-0000-0000-00009C0D0000}"/>
    <cellStyle name="Normal 10 2 10 2 24 5 6" xfId="3485" xr:uid="{00000000-0005-0000-0000-00009D0D0000}"/>
    <cellStyle name="Normal 10 2 10 2 24 5 7" xfId="3486" xr:uid="{00000000-0005-0000-0000-00009E0D0000}"/>
    <cellStyle name="Normal 10 2 10 2 24 5 8" xfId="3487" xr:uid="{00000000-0005-0000-0000-00009F0D0000}"/>
    <cellStyle name="Normal 10 2 10 2 24 5 9" xfId="3488" xr:uid="{00000000-0005-0000-0000-0000A00D0000}"/>
    <cellStyle name="Normal 10 2 10 2 24 6" xfId="3489" xr:uid="{00000000-0005-0000-0000-0000A10D0000}"/>
    <cellStyle name="Normal 10 2 10 2 24 7" xfId="3490" xr:uid="{00000000-0005-0000-0000-0000A20D0000}"/>
    <cellStyle name="Normal 10 2 10 2 24 8" xfId="3491" xr:uid="{00000000-0005-0000-0000-0000A30D0000}"/>
    <cellStyle name="Normal 10 2 10 2 24 9" xfId="3492" xr:uid="{00000000-0005-0000-0000-0000A40D0000}"/>
    <cellStyle name="Normal 10 2 10 2 25" xfId="3493" xr:uid="{00000000-0005-0000-0000-0000A50D0000}"/>
    <cellStyle name="Normal 10 2 10 2 25 10" xfId="3494" xr:uid="{00000000-0005-0000-0000-0000A60D0000}"/>
    <cellStyle name="Normal 10 2 10 2 25 11" xfId="3495" xr:uid="{00000000-0005-0000-0000-0000A70D0000}"/>
    <cellStyle name="Normal 10 2 10 2 25 12" xfId="3496" xr:uid="{00000000-0005-0000-0000-0000A80D0000}"/>
    <cellStyle name="Normal 10 2 10 2 25 13" xfId="3497" xr:uid="{00000000-0005-0000-0000-0000A90D0000}"/>
    <cellStyle name="Normal 10 2 10 2 25 14" xfId="3498" xr:uid="{00000000-0005-0000-0000-0000AA0D0000}"/>
    <cellStyle name="Normal 10 2 10 2 25 2" xfId="3499" xr:uid="{00000000-0005-0000-0000-0000AB0D0000}"/>
    <cellStyle name="Normal 10 2 10 2 25 2 10" xfId="3500" xr:uid="{00000000-0005-0000-0000-0000AC0D0000}"/>
    <cellStyle name="Normal 10 2 10 2 25 2 2" xfId="3501" xr:uid="{00000000-0005-0000-0000-0000AD0D0000}"/>
    <cellStyle name="Normal 10 2 10 2 25 2 3" xfId="3502" xr:uid="{00000000-0005-0000-0000-0000AE0D0000}"/>
    <cellStyle name="Normal 10 2 10 2 25 2 4" xfId="3503" xr:uid="{00000000-0005-0000-0000-0000AF0D0000}"/>
    <cellStyle name="Normal 10 2 10 2 25 2 5" xfId="3504" xr:uid="{00000000-0005-0000-0000-0000B00D0000}"/>
    <cellStyle name="Normal 10 2 10 2 25 2 6" xfId="3505" xr:uid="{00000000-0005-0000-0000-0000B10D0000}"/>
    <cellStyle name="Normal 10 2 10 2 25 2 7" xfId="3506" xr:uid="{00000000-0005-0000-0000-0000B20D0000}"/>
    <cellStyle name="Normal 10 2 10 2 25 2 8" xfId="3507" xr:uid="{00000000-0005-0000-0000-0000B30D0000}"/>
    <cellStyle name="Normal 10 2 10 2 25 2 9" xfId="3508" xr:uid="{00000000-0005-0000-0000-0000B40D0000}"/>
    <cellStyle name="Normal 10 2 10 2 25 3" xfId="3509" xr:uid="{00000000-0005-0000-0000-0000B50D0000}"/>
    <cellStyle name="Normal 10 2 10 2 25 3 10" xfId="3510" xr:uid="{00000000-0005-0000-0000-0000B60D0000}"/>
    <cellStyle name="Normal 10 2 10 2 25 3 2" xfId="3511" xr:uid="{00000000-0005-0000-0000-0000B70D0000}"/>
    <cellStyle name="Normal 10 2 10 2 25 3 3" xfId="3512" xr:uid="{00000000-0005-0000-0000-0000B80D0000}"/>
    <cellStyle name="Normal 10 2 10 2 25 3 4" xfId="3513" xr:uid="{00000000-0005-0000-0000-0000B90D0000}"/>
    <cellStyle name="Normal 10 2 10 2 25 3 5" xfId="3514" xr:uid="{00000000-0005-0000-0000-0000BA0D0000}"/>
    <cellStyle name="Normal 10 2 10 2 25 3 6" xfId="3515" xr:uid="{00000000-0005-0000-0000-0000BB0D0000}"/>
    <cellStyle name="Normal 10 2 10 2 25 3 7" xfId="3516" xr:uid="{00000000-0005-0000-0000-0000BC0D0000}"/>
    <cellStyle name="Normal 10 2 10 2 25 3 8" xfId="3517" xr:uid="{00000000-0005-0000-0000-0000BD0D0000}"/>
    <cellStyle name="Normal 10 2 10 2 25 3 9" xfId="3518" xr:uid="{00000000-0005-0000-0000-0000BE0D0000}"/>
    <cellStyle name="Normal 10 2 10 2 25 4" xfId="3519" xr:uid="{00000000-0005-0000-0000-0000BF0D0000}"/>
    <cellStyle name="Normal 10 2 10 2 25 4 10" xfId="3520" xr:uid="{00000000-0005-0000-0000-0000C00D0000}"/>
    <cellStyle name="Normal 10 2 10 2 25 4 2" xfId="3521" xr:uid="{00000000-0005-0000-0000-0000C10D0000}"/>
    <cellStyle name="Normal 10 2 10 2 25 4 3" xfId="3522" xr:uid="{00000000-0005-0000-0000-0000C20D0000}"/>
    <cellStyle name="Normal 10 2 10 2 25 4 4" xfId="3523" xr:uid="{00000000-0005-0000-0000-0000C30D0000}"/>
    <cellStyle name="Normal 10 2 10 2 25 4 5" xfId="3524" xr:uid="{00000000-0005-0000-0000-0000C40D0000}"/>
    <cellStyle name="Normal 10 2 10 2 25 4 6" xfId="3525" xr:uid="{00000000-0005-0000-0000-0000C50D0000}"/>
    <cellStyle name="Normal 10 2 10 2 25 4 7" xfId="3526" xr:uid="{00000000-0005-0000-0000-0000C60D0000}"/>
    <cellStyle name="Normal 10 2 10 2 25 4 8" xfId="3527" xr:uid="{00000000-0005-0000-0000-0000C70D0000}"/>
    <cellStyle name="Normal 10 2 10 2 25 4 9" xfId="3528" xr:uid="{00000000-0005-0000-0000-0000C80D0000}"/>
    <cellStyle name="Normal 10 2 10 2 25 5" xfId="3529" xr:uid="{00000000-0005-0000-0000-0000C90D0000}"/>
    <cellStyle name="Normal 10 2 10 2 25 5 10" xfId="3530" xr:uid="{00000000-0005-0000-0000-0000CA0D0000}"/>
    <cellStyle name="Normal 10 2 10 2 25 5 2" xfId="3531" xr:uid="{00000000-0005-0000-0000-0000CB0D0000}"/>
    <cellStyle name="Normal 10 2 10 2 25 5 3" xfId="3532" xr:uid="{00000000-0005-0000-0000-0000CC0D0000}"/>
    <cellStyle name="Normal 10 2 10 2 25 5 4" xfId="3533" xr:uid="{00000000-0005-0000-0000-0000CD0D0000}"/>
    <cellStyle name="Normal 10 2 10 2 25 5 5" xfId="3534" xr:uid="{00000000-0005-0000-0000-0000CE0D0000}"/>
    <cellStyle name="Normal 10 2 10 2 25 5 6" xfId="3535" xr:uid="{00000000-0005-0000-0000-0000CF0D0000}"/>
    <cellStyle name="Normal 10 2 10 2 25 5 7" xfId="3536" xr:uid="{00000000-0005-0000-0000-0000D00D0000}"/>
    <cellStyle name="Normal 10 2 10 2 25 5 8" xfId="3537" xr:uid="{00000000-0005-0000-0000-0000D10D0000}"/>
    <cellStyle name="Normal 10 2 10 2 25 5 9" xfId="3538" xr:uid="{00000000-0005-0000-0000-0000D20D0000}"/>
    <cellStyle name="Normal 10 2 10 2 25 6" xfId="3539" xr:uid="{00000000-0005-0000-0000-0000D30D0000}"/>
    <cellStyle name="Normal 10 2 10 2 25 7" xfId="3540" xr:uid="{00000000-0005-0000-0000-0000D40D0000}"/>
    <cellStyle name="Normal 10 2 10 2 25 8" xfId="3541" xr:uid="{00000000-0005-0000-0000-0000D50D0000}"/>
    <cellStyle name="Normal 10 2 10 2 25 9" xfId="3542" xr:uid="{00000000-0005-0000-0000-0000D60D0000}"/>
    <cellStyle name="Normal 10 2 10 2 26" xfId="3543" xr:uid="{00000000-0005-0000-0000-0000D70D0000}"/>
    <cellStyle name="Normal 10 2 10 2 26 10" xfId="3544" xr:uid="{00000000-0005-0000-0000-0000D80D0000}"/>
    <cellStyle name="Normal 10 2 10 2 26 11" xfId="3545" xr:uid="{00000000-0005-0000-0000-0000D90D0000}"/>
    <cellStyle name="Normal 10 2 10 2 26 12" xfId="3546" xr:uid="{00000000-0005-0000-0000-0000DA0D0000}"/>
    <cellStyle name="Normal 10 2 10 2 26 13" xfId="3547" xr:uid="{00000000-0005-0000-0000-0000DB0D0000}"/>
    <cellStyle name="Normal 10 2 10 2 26 14" xfId="3548" xr:uid="{00000000-0005-0000-0000-0000DC0D0000}"/>
    <cellStyle name="Normal 10 2 10 2 26 2" xfId="3549" xr:uid="{00000000-0005-0000-0000-0000DD0D0000}"/>
    <cellStyle name="Normal 10 2 10 2 26 2 10" xfId="3550" xr:uid="{00000000-0005-0000-0000-0000DE0D0000}"/>
    <cellStyle name="Normal 10 2 10 2 26 2 2" xfId="3551" xr:uid="{00000000-0005-0000-0000-0000DF0D0000}"/>
    <cellStyle name="Normal 10 2 10 2 26 2 3" xfId="3552" xr:uid="{00000000-0005-0000-0000-0000E00D0000}"/>
    <cellStyle name="Normal 10 2 10 2 26 2 4" xfId="3553" xr:uid="{00000000-0005-0000-0000-0000E10D0000}"/>
    <cellStyle name="Normal 10 2 10 2 26 2 5" xfId="3554" xr:uid="{00000000-0005-0000-0000-0000E20D0000}"/>
    <cellStyle name="Normal 10 2 10 2 26 2 6" xfId="3555" xr:uid="{00000000-0005-0000-0000-0000E30D0000}"/>
    <cellStyle name="Normal 10 2 10 2 26 2 7" xfId="3556" xr:uid="{00000000-0005-0000-0000-0000E40D0000}"/>
    <cellStyle name="Normal 10 2 10 2 26 2 8" xfId="3557" xr:uid="{00000000-0005-0000-0000-0000E50D0000}"/>
    <cellStyle name="Normal 10 2 10 2 26 2 9" xfId="3558" xr:uid="{00000000-0005-0000-0000-0000E60D0000}"/>
    <cellStyle name="Normal 10 2 10 2 26 3" xfId="3559" xr:uid="{00000000-0005-0000-0000-0000E70D0000}"/>
    <cellStyle name="Normal 10 2 10 2 26 3 10" xfId="3560" xr:uid="{00000000-0005-0000-0000-0000E80D0000}"/>
    <cellStyle name="Normal 10 2 10 2 26 3 2" xfId="3561" xr:uid="{00000000-0005-0000-0000-0000E90D0000}"/>
    <cellStyle name="Normal 10 2 10 2 26 3 3" xfId="3562" xr:uid="{00000000-0005-0000-0000-0000EA0D0000}"/>
    <cellStyle name="Normal 10 2 10 2 26 3 4" xfId="3563" xr:uid="{00000000-0005-0000-0000-0000EB0D0000}"/>
    <cellStyle name="Normal 10 2 10 2 26 3 5" xfId="3564" xr:uid="{00000000-0005-0000-0000-0000EC0D0000}"/>
    <cellStyle name="Normal 10 2 10 2 26 3 6" xfId="3565" xr:uid="{00000000-0005-0000-0000-0000ED0D0000}"/>
    <cellStyle name="Normal 10 2 10 2 26 3 7" xfId="3566" xr:uid="{00000000-0005-0000-0000-0000EE0D0000}"/>
    <cellStyle name="Normal 10 2 10 2 26 3 8" xfId="3567" xr:uid="{00000000-0005-0000-0000-0000EF0D0000}"/>
    <cellStyle name="Normal 10 2 10 2 26 3 9" xfId="3568" xr:uid="{00000000-0005-0000-0000-0000F00D0000}"/>
    <cellStyle name="Normal 10 2 10 2 26 4" xfId="3569" xr:uid="{00000000-0005-0000-0000-0000F10D0000}"/>
    <cellStyle name="Normal 10 2 10 2 26 4 10" xfId="3570" xr:uid="{00000000-0005-0000-0000-0000F20D0000}"/>
    <cellStyle name="Normal 10 2 10 2 26 4 2" xfId="3571" xr:uid="{00000000-0005-0000-0000-0000F30D0000}"/>
    <cellStyle name="Normal 10 2 10 2 26 4 3" xfId="3572" xr:uid="{00000000-0005-0000-0000-0000F40D0000}"/>
    <cellStyle name="Normal 10 2 10 2 26 4 4" xfId="3573" xr:uid="{00000000-0005-0000-0000-0000F50D0000}"/>
    <cellStyle name="Normal 10 2 10 2 26 4 5" xfId="3574" xr:uid="{00000000-0005-0000-0000-0000F60D0000}"/>
    <cellStyle name="Normal 10 2 10 2 26 4 6" xfId="3575" xr:uid="{00000000-0005-0000-0000-0000F70D0000}"/>
    <cellStyle name="Normal 10 2 10 2 26 4 7" xfId="3576" xr:uid="{00000000-0005-0000-0000-0000F80D0000}"/>
    <cellStyle name="Normal 10 2 10 2 26 4 8" xfId="3577" xr:uid="{00000000-0005-0000-0000-0000F90D0000}"/>
    <cellStyle name="Normal 10 2 10 2 26 4 9" xfId="3578" xr:uid="{00000000-0005-0000-0000-0000FA0D0000}"/>
    <cellStyle name="Normal 10 2 10 2 26 5" xfId="3579" xr:uid="{00000000-0005-0000-0000-0000FB0D0000}"/>
    <cellStyle name="Normal 10 2 10 2 26 5 10" xfId="3580" xr:uid="{00000000-0005-0000-0000-0000FC0D0000}"/>
    <cellStyle name="Normal 10 2 10 2 26 5 2" xfId="3581" xr:uid="{00000000-0005-0000-0000-0000FD0D0000}"/>
    <cellStyle name="Normal 10 2 10 2 26 5 3" xfId="3582" xr:uid="{00000000-0005-0000-0000-0000FE0D0000}"/>
    <cellStyle name="Normal 10 2 10 2 26 5 4" xfId="3583" xr:uid="{00000000-0005-0000-0000-0000FF0D0000}"/>
    <cellStyle name="Normal 10 2 10 2 26 5 5" xfId="3584" xr:uid="{00000000-0005-0000-0000-0000000E0000}"/>
    <cellStyle name="Normal 10 2 10 2 26 5 6" xfId="3585" xr:uid="{00000000-0005-0000-0000-0000010E0000}"/>
    <cellStyle name="Normal 10 2 10 2 26 5 7" xfId="3586" xr:uid="{00000000-0005-0000-0000-0000020E0000}"/>
    <cellStyle name="Normal 10 2 10 2 26 5 8" xfId="3587" xr:uid="{00000000-0005-0000-0000-0000030E0000}"/>
    <cellStyle name="Normal 10 2 10 2 26 5 9" xfId="3588" xr:uid="{00000000-0005-0000-0000-0000040E0000}"/>
    <cellStyle name="Normal 10 2 10 2 26 6" xfId="3589" xr:uid="{00000000-0005-0000-0000-0000050E0000}"/>
    <cellStyle name="Normal 10 2 10 2 26 7" xfId="3590" xr:uid="{00000000-0005-0000-0000-0000060E0000}"/>
    <cellStyle name="Normal 10 2 10 2 26 8" xfId="3591" xr:uid="{00000000-0005-0000-0000-0000070E0000}"/>
    <cellStyle name="Normal 10 2 10 2 26 9" xfId="3592" xr:uid="{00000000-0005-0000-0000-0000080E0000}"/>
    <cellStyle name="Normal 10 2 10 2 27" xfId="3593" xr:uid="{00000000-0005-0000-0000-0000090E0000}"/>
    <cellStyle name="Normal 10 2 10 2 27 10" xfId="3594" xr:uid="{00000000-0005-0000-0000-00000A0E0000}"/>
    <cellStyle name="Normal 10 2 10 2 27 11" xfId="3595" xr:uid="{00000000-0005-0000-0000-00000B0E0000}"/>
    <cellStyle name="Normal 10 2 10 2 27 12" xfId="3596" xr:uid="{00000000-0005-0000-0000-00000C0E0000}"/>
    <cellStyle name="Normal 10 2 10 2 27 13" xfId="3597" xr:uid="{00000000-0005-0000-0000-00000D0E0000}"/>
    <cellStyle name="Normal 10 2 10 2 27 14" xfId="3598" xr:uid="{00000000-0005-0000-0000-00000E0E0000}"/>
    <cellStyle name="Normal 10 2 10 2 27 2" xfId="3599" xr:uid="{00000000-0005-0000-0000-00000F0E0000}"/>
    <cellStyle name="Normal 10 2 10 2 27 2 10" xfId="3600" xr:uid="{00000000-0005-0000-0000-0000100E0000}"/>
    <cellStyle name="Normal 10 2 10 2 27 2 2" xfId="3601" xr:uid="{00000000-0005-0000-0000-0000110E0000}"/>
    <cellStyle name="Normal 10 2 10 2 27 2 3" xfId="3602" xr:uid="{00000000-0005-0000-0000-0000120E0000}"/>
    <cellStyle name="Normal 10 2 10 2 27 2 4" xfId="3603" xr:uid="{00000000-0005-0000-0000-0000130E0000}"/>
    <cellStyle name="Normal 10 2 10 2 27 2 5" xfId="3604" xr:uid="{00000000-0005-0000-0000-0000140E0000}"/>
    <cellStyle name="Normal 10 2 10 2 27 2 6" xfId="3605" xr:uid="{00000000-0005-0000-0000-0000150E0000}"/>
    <cellStyle name="Normal 10 2 10 2 27 2 7" xfId="3606" xr:uid="{00000000-0005-0000-0000-0000160E0000}"/>
    <cellStyle name="Normal 10 2 10 2 27 2 8" xfId="3607" xr:uid="{00000000-0005-0000-0000-0000170E0000}"/>
    <cellStyle name="Normal 10 2 10 2 27 2 9" xfId="3608" xr:uid="{00000000-0005-0000-0000-0000180E0000}"/>
    <cellStyle name="Normal 10 2 10 2 27 3" xfId="3609" xr:uid="{00000000-0005-0000-0000-0000190E0000}"/>
    <cellStyle name="Normal 10 2 10 2 27 3 10" xfId="3610" xr:uid="{00000000-0005-0000-0000-00001A0E0000}"/>
    <cellStyle name="Normal 10 2 10 2 27 3 2" xfId="3611" xr:uid="{00000000-0005-0000-0000-00001B0E0000}"/>
    <cellStyle name="Normal 10 2 10 2 27 3 3" xfId="3612" xr:uid="{00000000-0005-0000-0000-00001C0E0000}"/>
    <cellStyle name="Normal 10 2 10 2 27 3 4" xfId="3613" xr:uid="{00000000-0005-0000-0000-00001D0E0000}"/>
    <cellStyle name="Normal 10 2 10 2 27 3 5" xfId="3614" xr:uid="{00000000-0005-0000-0000-00001E0E0000}"/>
    <cellStyle name="Normal 10 2 10 2 27 3 6" xfId="3615" xr:uid="{00000000-0005-0000-0000-00001F0E0000}"/>
    <cellStyle name="Normal 10 2 10 2 27 3 7" xfId="3616" xr:uid="{00000000-0005-0000-0000-0000200E0000}"/>
    <cellStyle name="Normal 10 2 10 2 27 3 8" xfId="3617" xr:uid="{00000000-0005-0000-0000-0000210E0000}"/>
    <cellStyle name="Normal 10 2 10 2 27 3 9" xfId="3618" xr:uid="{00000000-0005-0000-0000-0000220E0000}"/>
    <cellStyle name="Normal 10 2 10 2 27 4" xfId="3619" xr:uid="{00000000-0005-0000-0000-0000230E0000}"/>
    <cellStyle name="Normal 10 2 10 2 27 4 10" xfId="3620" xr:uid="{00000000-0005-0000-0000-0000240E0000}"/>
    <cellStyle name="Normal 10 2 10 2 27 4 2" xfId="3621" xr:uid="{00000000-0005-0000-0000-0000250E0000}"/>
    <cellStyle name="Normal 10 2 10 2 27 4 3" xfId="3622" xr:uid="{00000000-0005-0000-0000-0000260E0000}"/>
    <cellStyle name="Normal 10 2 10 2 27 4 4" xfId="3623" xr:uid="{00000000-0005-0000-0000-0000270E0000}"/>
    <cellStyle name="Normal 10 2 10 2 27 4 5" xfId="3624" xr:uid="{00000000-0005-0000-0000-0000280E0000}"/>
    <cellStyle name="Normal 10 2 10 2 27 4 6" xfId="3625" xr:uid="{00000000-0005-0000-0000-0000290E0000}"/>
    <cellStyle name="Normal 10 2 10 2 27 4 7" xfId="3626" xr:uid="{00000000-0005-0000-0000-00002A0E0000}"/>
    <cellStyle name="Normal 10 2 10 2 27 4 8" xfId="3627" xr:uid="{00000000-0005-0000-0000-00002B0E0000}"/>
    <cellStyle name="Normal 10 2 10 2 27 4 9" xfId="3628" xr:uid="{00000000-0005-0000-0000-00002C0E0000}"/>
    <cellStyle name="Normal 10 2 10 2 27 5" xfId="3629" xr:uid="{00000000-0005-0000-0000-00002D0E0000}"/>
    <cellStyle name="Normal 10 2 10 2 27 5 10" xfId="3630" xr:uid="{00000000-0005-0000-0000-00002E0E0000}"/>
    <cellStyle name="Normal 10 2 10 2 27 5 2" xfId="3631" xr:uid="{00000000-0005-0000-0000-00002F0E0000}"/>
    <cellStyle name="Normal 10 2 10 2 27 5 3" xfId="3632" xr:uid="{00000000-0005-0000-0000-0000300E0000}"/>
    <cellStyle name="Normal 10 2 10 2 27 5 4" xfId="3633" xr:uid="{00000000-0005-0000-0000-0000310E0000}"/>
    <cellStyle name="Normal 10 2 10 2 27 5 5" xfId="3634" xr:uid="{00000000-0005-0000-0000-0000320E0000}"/>
    <cellStyle name="Normal 10 2 10 2 27 5 6" xfId="3635" xr:uid="{00000000-0005-0000-0000-0000330E0000}"/>
    <cellStyle name="Normal 10 2 10 2 27 5 7" xfId="3636" xr:uid="{00000000-0005-0000-0000-0000340E0000}"/>
    <cellStyle name="Normal 10 2 10 2 27 5 8" xfId="3637" xr:uid="{00000000-0005-0000-0000-0000350E0000}"/>
    <cellStyle name="Normal 10 2 10 2 27 5 9" xfId="3638" xr:uid="{00000000-0005-0000-0000-0000360E0000}"/>
    <cellStyle name="Normal 10 2 10 2 27 6" xfId="3639" xr:uid="{00000000-0005-0000-0000-0000370E0000}"/>
    <cellStyle name="Normal 10 2 10 2 27 7" xfId="3640" xr:uid="{00000000-0005-0000-0000-0000380E0000}"/>
    <cellStyle name="Normal 10 2 10 2 27 8" xfId="3641" xr:uid="{00000000-0005-0000-0000-0000390E0000}"/>
    <cellStyle name="Normal 10 2 10 2 27 9" xfId="3642" xr:uid="{00000000-0005-0000-0000-00003A0E0000}"/>
    <cellStyle name="Normal 10 2 10 2 28" xfId="3643" xr:uid="{00000000-0005-0000-0000-00003B0E0000}"/>
    <cellStyle name="Normal 10 2 10 2 28 10" xfId="3644" xr:uid="{00000000-0005-0000-0000-00003C0E0000}"/>
    <cellStyle name="Normal 10 2 10 2 28 11" xfId="3645" xr:uid="{00000000-0005-0000-0000-00003D0E0000}"/>
    <cellStyle name="Normal 10 2 10 2 28 12" xfId="3646" xr:uid="{00000000-0005-0000-0000-00003E0E0000}"/>
    <cellStyle name="Normal 10 2 10 2 28 13" xfId="3647" xr:uid="{00000000-0005-0000-0000-00003F0E0000}"/>
    <cellStyle name="Normal 10 2 10 2 28 14" xfId="3648" xr:uid="{00000000-0005-0000-0000-0000400E0000}"/>
    <cellStyle name="Normal 10 2 10 2 28 2" xfId="3649" xr:uid="{00000000-0005-0000-0000-0000410E0000}"/>
    <cellStyle name="Normal 10 2 10 2 28 2 10" xfId="3650" xr:uid="{00000000-0005-0000-0000-0000420E0000}"/>
    <cellStyle name="Normal 10 2 10 2 28 2 2" xfId="3651" xr:uid="{00000000-0005-0000-0000-0000430E0000}"/>
    <cellStyle name="Normal 10 2 10 2 28 2 3" xfId="3652" xr:uid="{00000000-0005-0000-0000-0000440E0000}"/>
    <cellStyle name="Normal 10 2 10 2 28 2 4" xfId="3653" xr:uid="{00000000-0005-0000-0000-0000450E0000}"/>
    <cellStyle name="Normal 10 2 10 2 28 2 5" xfId="3654" xr:uid="{00000000-0005-0000-0000-0000460E0000}"/>
    <cellStyle name="Normal 10 2 10 2 28 2 6" xfId="3655" xr:uid="{00000000-0005-0000-0000-0000470E0000}"/>
    <cellStyle name="Normal 10 2 10 2 28 2 7" xfId="3656" xr:uid="{00000000-0005-0000-0000-0000480E0000}"/>
    <cellStyle name="Normal 10 2 10 2 28 2 8" xfId="3657" xr:uid="{00000000-0005-0000-0000-0000490E0000}"/>
    <cellStyle name="Normal 10 2 10 2 28 2 9" xfId="3658" xr:uid="{00000000-0005-0000-0000-00004A0E0000}"/>
    <cellStyle name="Normal 10 2 10 2 28 3" xfId="3659" xr:uid="{00000000-0005-0000-0000-00004B0E0000}"/>
    <cellStyle name="Normal 10 2 10 2 28 3 10" xfId="3660" xr:uid="{00000000-0005-0000-0000-00004C0E0000}"/>
    <cellStyle name="Normal 10 2 10 2 28 3 2" xfId="3661" xr:uid="{00000000-0005-0000-0000-00004D0E0000}"/>
    <cellStyle name="Normal 10 2 10 2 28 3 3" xfId="3662" xr:uid="{00000000-0005-0000-0000-00004E0E0000}"/>
    <cellStyle name="Normal 10 2 10 2 28 3 4" xfId="3663" xr:uid="{00000000-0005-0000-0000-00004F0E0000}"/>
    <cellStyle name="Normal 10 2 10 2 28 3 5" xfId="3664" xr:uid="{00000000-0005-0000-0000-0000500E0000}"/>
    <cellStyle name="Normal 10 2 10 2 28 3 6" xfId="3665" xr:uid="{00000000-0005-0000-0000-0000510E0000}"/>
    <cellStyle name="Normal 10 2 10 2 28 3 7" xfId="3666" xr:uid="{00000000-0005-0000-0000-0000520E0000}"/>
    <cellStyle name="Normal 10 2 10 2 28 3 8" xfId="3667" xr:uid="{00000000-0005-0000-0000-0000530E0000}"/>
    <cellStyle name="Normal 10 2 10 2 28 3 9" xfId="3668" xr:uid="{00000000-0005-0000-0000-0000540E0000}"/>
    <cellStyle name="Normal 10 2 10 2 28 4" xfId="3669" xr:uid="{00000000-0005-0000-0000-0000550E0000}"/>
    <cellStyle name="Normal 10 2 10 2 28 4 10" xfId="3670" xr:uid="{00000000-0005-0000-0000-0000560E0000}"/>
    <cellStyle name="Normal 10 2 10 2 28 4 2" xfId="3671" xr:uid="{00000000-0005-0000-0000-0000570E0000}"/>
    <cellStyle name="Normal 10 2 10 2 28 4 3" xfId="3672" xr:uid="{00000000-0005-0000-0000-0000580E0000}"/>
    <cellStyle name="Normal 10 2 10 2 28 4 4" xfId="3673" xr:uid="{00000000-0005-0000-0000-0000590E0000}"/>
    <cellStyle name="Normal 10 2 10 2 28 4 5" xfId="3674" xr:uid="{00000000-0005-0000-0000-00005A0E0000}"/>
    <cellStyle name="Normal 10 2 10 2 28 4 6" xfId="3675" xr:uid="{00000000-0005-0000-0000-00005B0E0000}"/>
    <cellStyle name="Normal 10 2 10 2 28 4 7" xfId="3676" xr:uid="{00000000-0005-0000-0000-00005C0E0000}"/>
    <cellStyle name="Normal 10 2 10 2 28 4 8" xfId="3677" xr:uid="{00000000-0005-0000-0000-00005D0E0000}"/>
    <cellStyle name="Normal 10 2 10 2 28 4 9" xfId="3678" xr:uid="{00000000-0005-0000-0000-00005E0E0000}"/>
    <cellStyle name="Normal 10 2 10 2 28 5" xfId="3679" xr:uid="{00000000-0005-0000-0000-00005F0E0000}"/>
    <cellStyle name="Normal 10 2 10 2 28 5 10" xfId="3680" xr:uid="{00000000-0005-0000-0000-0000600E0000}"/>
    <cellStyle name="Normal 10 2 10 2 28 5 2" xfId="3681" xr:uid="{00000000-0005-0000-0000-0000610E0000}"/>
    <cellStyle name="Normal 10 2 10 2 28 5 3" xfId="3682" xr:uid="{00000000-0005-0000-0000-0000620E0000}"/>
    <cellStyle name="Normal 10 2 10 2 28 5 4" xfId="3683" xr:uid="{00000000-0005-0000-0000-0000630E0000}"/>
    <cellStyle name="Normal 10 2 10 2 28 5 5" xfId="3684" xr:uid="{00000000-0005-0000-0000-0000640E0000}"/>
    <cellStyle name="Normal 10 2 10 2 28 5 6" xfId="3685" xr:uid="{00000000-0005-0000-0000-0000650E0000}"/>
    <cellStyle name="Normal 10 2 10 2 28 5 7" xfId="3686" xr:uid="{00000000-0005-0000-0000-0000660E0000}"/>
    <cellStyle name="Normal 10 2 10 2 28 5 8" xfId="3687" xr:uid="{00000000-0005-0000-0000-0000670E0000}"/>
    <cellStyle name="Normal 10 2 10 2 28 5 9" xfId="3688" xr:uid="{00000000-0005-0000-0000-0000680E0000}"/>
    <cellStyle name="Normal 10 2 10 2 28 6" xfId="3689" xr:uid="{00000000-0005-0000-0000-0000690E0000}"/>
    <cellStyle name="Normal 10 2 10 2 28 7" xfId="3690" xr:uid="{00000000-0005-0000-0000-00006A0E0000}"/>
    <cellStyle name="Normal 10 2 10 2 28 8" xfId="3691" xr:uid="{00000000-0005-0000-0000-00006B0E0000}"/>
    <cellStyle name="Normal 10 2 10 2 28 9" xfId="3692" xr:uid="{00000000-0005-0000-0000-00006C0E0000}"/>
    <cellStyle name="Normal 10 2 10 2 29" xfId="3693" xr:uid="{00000000-0005-0000-0000-00006D0E0000}"/>
    <cellStyle name="Normal 10 2 10 2 29 10" xfId="3694" xr:uid="{00000000-0005-0000-0000-00006E0E0000}"/>
    <cellStyle name="Normal 10 2 10 2 29 11" xfId="3695" xr:uid="{00000000-0005-0000-0000-00006F0E0000}"/>
    <cellStyle name="Normal 10 2 10 2 29 12" xfId="3696" xr:uid="{00000000-0005-0000-0000-0000700E0000}"/>
    <cellStyle name="Normal 10 2 10 2 29 13" xfId="3697" xr:uid="{00000000-0005-0000-0000-0000710E0000}"/>
    <cellStyle name="Normal 10 2 10 2 29 14" xfId="3698" xr:uid="{00000000-0005-0000-0000-0000720E0000}"/>
    <cellStyle name="Normal 10 2 10 2 29 2" xfId="3699" xr:uid="{00000000-0005-0000-0000-0000730E0000}"/>
    <cellStyle name="Normal 10 2 10 2 29 2 10" xfId="3700" xr:uid="{00000000-0005-0000-0000-0000740E0000}"/>
    <cellStyle name="Normal 10 2 10 2 29 2 2" xfId="3701" xr:uid="{00000000-0005-0000-0000-0000750E0000}"/>
    <cellStyle name="Normal 10 2 10 2 29 2 3" xfId="3702" xr:uid="{00000000-0005-0000-0000-0000760E0000}"/>
    <cellStyle name="Normal 10 2 10 2 29 2 4" xfId="3703" xr:uid="{00000000-0005-0000-0000-0000770E0000}"/>
    <cellStyle name="Normal 10 2 10 2 29 2 5" xfId="3704" xr:uid="{00000000-0005-0000-0000-0000780E0000}"/>
    <cellStyle name="Normal 10 2 10 2 29 2 6" xfId="3705" xr:uid="{00000000-0005-0000-0000-0000790E0000}"/>
    <cellStyle name="Normal 10 2 10 2 29 2 7" xfId="3706" xr:uid="{00000000-0005-0000-0000-00007A0E0000}"/>
    <cellStyle name="Normal 10 2 10 2 29 2 8" xfId="3707" xr:uid="{00000000-0005-0000-0000-00007B0E0000}"/>
    <cellStyle name="Normal 10 2 10 2 29 2 9" xfId="3708" xr:uid="{00000000-0005-0000-0000-00007C0E0000}"/>
    <cellStyle name="Normal 10 2 10 2 29 3" xfId="3709" xr:uid="{00000000-0005-0000-0000-00007D0E0000}"/>
    <cellStyle name="Normal 10 2 10 2 29 3 10" xfId="3710" xr:uid="{00000000-0005-0000-0000-00007E0E0000}"/>
    <cellStyle name="Normal 10 2 10 2 29 3 2" xfId="3711" xr:uid="{00000000-0005-0000-0000-00007F0E0000}"/>
    <cellStyle name="Normal 10 2 10 2 29 3 3" xfId="3712" xr:uid="{00000000-0005-0000-0000-0000800E0000}"/>
    <cellStyle name="Normal 10 2 10 2 29 3 4" xfId="3713" xr:uid="{00000000-0005-0000-0000-0000810E0000}"/>
    <cellStyle name="Normal 10 2 10 2 29 3 5" xfId="3714" xr:uid="{00000000-0005-0000-0000-0000820E0000}"/>
    <cellStyle name="Normal 10 2 10 2 29 3 6" xfId="3715" xr:uid="{00000000-0005-0000-0000-0000830E0000}"/>
    <cellStyle name="Normal 10 2 10 2 29 3 7" xfId="3716" xr:uid="{00000000-0005-0000-0000-0000840E0000}"/>
    <cellStyle name="Normal 10 2 10 2 29 3 8" xfId="3717" xr:uid="{00000000-0005-0000-0000-0000850E0000}"/>
    <cellStyle name="Normal 10 2 10 2 29 3 9" xfId="3718" xr:uid="{00000000-0005-0000-0000-0000860E0000}"/>
    <cellStyle name="Normal 10 2 10 2 29 4" xfId="3719" xr:uid="{00000000-0005-0000-0000-0000870E0000}"/>
    <cellStyle name="Normal 10 2 10 2 29 4 10" xfId="3720" xr:uid="{00000000-0005-0000-0000-0000880E0000}"/>
    <cellStyle name="Normal 10 2 10 2 29 4 2" xfId="3721" xr:uid="{00000000-0005-0000-0000-0000890E0000}"/>
    <cellStyle name="Normal 10 2 10 2 29 4 3" xfId="3722" xr:uid="{00000000-0005-0000-0000-00008A0E0000}"/>
    <cellStyle name="Normal 10 2 10 2 29 4 4" xfId="3723" xr:uid="{00000000-0005-0000-0000-00008B0E0000}"/>
    <cellStyle name="Normal 10 2 10 2 29 4 5" xfId="3724" xr:uid="{00000000-0005-0000-0000-00008C0E0000}"/>
    <cellStyle name="Normal 10 2 10 2 29 4 6" xfId="3725" xr:uid="{00000000-0005-0000-0000-00008D0E0000}"/>
    <cellStyle name="Normal 10 2 10 2 29 4 7" xfId="3726" xr:uid="{00000000-0005-0000-0000-00008E0E0000}"/>
    <cellStyle name="Normal 10 2 10 2 29 4 8" xfId="3727" xr:uid="{00000000-0005-0000-0000-00008F0E0000}"/>
    <cellStyle name="Normal 10 2 10 2 29 4 9" xfId="3728" xr:uid="{00000000-0005-0000-0000-0000900E0000}"/>
    <cellStyle name="Normal 10 2 10 2 29 5" xfId="3729" xr:uid="{00000000-0005-0000-0000-0000910E0000}"/>
    <cellStyle name="Normal 10 2 10 2 29 5 10" xfId="3730" xr:uid="{00000000-0005-0000-0000-0000920E0000}"/>
    <cellStyle name="Normal 10 2 10 2 29 5 2" xfId="3731" xr:uid="{00000000-0005-0000-0000-0000930E0000}"/>
    <cellStyle name="Normal 10 2 10 2 29 5 3" xfId="3732" xr:uid="{00000000-0005-0000-0000-0000940E0000}"/>
    <cellStyle name="Normal 10 2 10 2 29 5 4" xfId="3733" xr:uid="{00000000-0005-0000-0000-0000950E0000}"/>
    <cellStyle name="Normal 10 2 10 2 29 5 5" xfId="3734" xr:uid="{00000000-0005-0000-0000-0000960E0000}"/>
    <cellStyle name="Normal 10 2 10 2 29 5 6" xfId="3735" xr:uid="{00000000-0005-0000-0000-0000970E0000}"/>
    <cellStyle name="Normal 10 2 10 2 29 5 7" xfId="3736" xr:uid="{00000000-0005-0000-0000-0000980E0000}"/>
    <cellStyle name="Normal 10 2 10 2 29 5 8" xfId="3737" xr:uid="{00000000-0005-0000-0000-0000990E0000}"/>
    <cellStyle name="Normal 10 2 10 2 29 5 9" xfId="3738" xr:uid="{00000000-0005-0000-0000-00009A0E0000}"/>
    <cellStyle name="Normal 10 2 10 2 29 6" xfId="3739" xr:uid="{00000000-0005-0000-0000-00009B0E0000}"/>
    <cellStyle name="Normal 10 2 10 2 29 7" xfId="3740" xr:uid="{00000000-0005-0000-0000-00009C0E0000}"/>
    <cellStyle name="Normal 10 2 10 2 29 8" xfId="3741" xr:uid="{00000000-0005-0000-0000-00009D0E0000}"/>
    <cellStyle name="Normal 10 2 10 2 29 9" xfId="3742" xr:uid="{00000000-0005-0000-0000-00009E0E0000}"/>
    <cellStyle name="Normal 10 2 10 2 3" xfId="3743" xr:uid="{00000000-0005-0000-0000-00009F0E0000}"/>
    <cellStyle name="Normal 10 2 10 2 3 10" xfId="3744" xr:uid="{00000000-0005-0000-0000-0000A00E0000}"/>
    <cellStyle name="Normal 10 2 10 2 3 11" xfId="3745" xr:uid="{00000000-0005-0000-0000-0000A10E0000}"/>
    <cellStyle name="Normal 10 2 10 2 3 12" xfId="3746" xr:uid="{00000000-0005-0000-0000-0000A20E0000}"/>
    <cellStyle name="Normal 10 2 10 2 3 13" xfId="3747" xr:uid="{00000000-0005-0000-0000-0000A30E0000}"/>
    <cellStyle name="Normal 10 2 10 2 3 14" xfId="3748" xr:uid="{00000000-0005-0000-0000-0000A40E0000}"/>
    <cellStyle name="Normal 10 2 10 2 3 2" xfId="3749" xr:uid="{00000000-0005-0000-0000-0000A50E0000}"/>
    <cellStyle name="Normal 10 2 10 2 3 2 10" xfId="3750" xr:uid="{00000000-0005-0000-0000-0000A60E0000}"/>
    <cellStyle name="Normal 10 2 10 2 3 2 2" xfId="3751" xr:uid="{00000000-0005-0000-0000-0000A70E0000}"/>
    <cellStyle name="Normal 10 2 10 2 3 2 3" xfId="3752" xr:uid="{00000000-0005-0000-0000-0000A80E0000}"/>
    <cellStyle name="Normal 10 2 10 2 3 2 4" xfId="3753" xr:uid="{00000000-0005-0000-0000-0000A90E0000}"/>
    <cellStyle name="Normal 10 2 10 2 3 2 5" xfId="3754" xr:uid="{00000000-0005-0000-0000-0000AA0E0000}"/>
    <cellStyle name="Normal 10 2 10 2 3 2 6" xfId="3755" xr:uid="{00000000-0005-0000-0000-0000AB0E0000}"/>
    <cellStyle name="Normal 10 2 10 2 3 2 7" xfId="3756" xr:uid="{00000000-0005-0000-0000-0000AC0E0000}"/>
    <cellStyle name="Normal 10 2 10 2 3 2 8" xfId="3757" xr:uid="{00000000-0005-0000-0000-0000AD0E0000}"/>
    <cellStyle name="Normal 10 2 10 2 3 2 9" xfId="3758" xr:uid="{00000000-0005-0000-0000-0000AE0E0000}"/>
    <cellStyle name="Normal 10 2 10 2 3 3" xfId="3759" xr:uid="{00000000-0005-0000-0000-0000AF0E0000}"/>
    <cellStyle name="Normal 10 2 10 2 3 3 10" xfId="3760" xr:uid="{00000000-0005-0000-0000-0000B00E0000}"/>
    <cellStyle name="Normal 10 2 10 2 3 3 2" xfId="3761" xr:uid="{00000000-0005-0000-0000-0000B10E0000}"/>
    <cellStyle name="Normal 10 2 10 2 3 3 3" xfId="3762" xr:uid="{00000000-0005-0000-0000-0000B20E0000}"/>
    <cellStyle name="Normal 10 2 10 2 3 3 4" xfId="3763" xr:uid="{00000000-0005-0000-0000-0000B30E0000}"/>
    <cellStyle name="Normal 10 2 10 2 3 3 5" xfId="3764" xr:uid="{00000000-0005-0000-0000-0000B40E0000}"/>
    <cellStyle name="Normal 10 2 10 2 3 3 6" xfId="3765" xr:uid="{00000000-0005-0000-0000-0000B50E0000}"/>
    <cellStyle name="Normal 10 2 10 2 3 3 7" xfId="3766" xr:uid="{00000000-0005-0000-0000-0000B60E0000}"/>
    <cellStyle name="Normal 10 2 10 2 3 3 8" xfId="3767" xr:uid="{00000000-0005-0000-0000-0000B70E0000}"/>
    <cellStyle name="Normal 10 2 10 2 3 3 9" xfId="3768" xr:uid="{00000000-0005-0000-0000-0000B80E0000}"/>
    <cellStyle name="Normal 10 2 10 2 3 4" xfId="3769" xr:uid="{00000000-0005-0000-0000-0000B90E0000}"/>
    <cellStyle name="Normal 10 2 10 2 3 4 10" xfId="3770" xr:uid="{00000000-0005-0000-0000-0000BA0E0000}"/>
    <cellStyle name="Normal 10 2 10 2 3 4 2" xfId="3771" xr:uid="{00000000-0005-0000-0000-0000BB0E0000}"/>
    <cellStyle name="Normal 10 2 10 2 3 4 3" xfId="3772" xr:uid="{00000000-0005-0000-0000-0000BC0E0000}"/>
    <cellStyle name="Normal 10 2 10 2 3 4 4" xfId="3773" xr:uid="{00000000-0005-0000-0000-0000BD0E0000}"/>
    <cellStyle name="Normal 10 2 10 2 3 4 5" xfId="3774" xr:uid="{00000000-0005-0000-0000-0000BE0E0000}"/>
    <cellStyle name="Normal 10 2 10 2 3 4 6" xfId="3775" xr:uid="{00000000-0005-0000-0000-0000BF0E0000}"/>
    <cellStyle name="Normal 10 2 10 2 3 4 7" xfId="3776" xr:uid="{00000000-0005-0000-0000-0000C00E0000}"/>
    <cellStyle name="Normal 10 2 10 2 3 4 8" xfId="3777" xr:uid="{00000000-0005-0000-0000-0000C10E0000}"/>
    <cellStyle name="Normal 10 2 10 2 3 4 9" xfId="3778" xr:uid="{00000000-0005-0000-0000-0000C20E0000}"/>
    <cellStyle name="Normal 10 2 10 2 3 5" xfId="3779" xr:uid="{00000000-0005-0000-0000-0000C30E0000}"/>
    <cellStyle name="Normal 10 2 10 2 3 5 10" xfId="3780" xr:uid="{00000000-0005-0000-0000-0000C40E0000}"/>
    <cellStyle name="Normal 10 2 10 2 3 5 2" xfId="3781" xr:uid="{00000000-0005-0000-0000-0000C50E0000}"/>
    <cellStyle name="Normal 10 2 10 2 3 5 3" xfId="3782" xr:uid="{00000000-0005-0000-0000-0000C60E0000}"/>
    <cellStyle name="Normal 10 2 10 2 3 5 4" xfId="3783" xr:uid="{00000000-0005-0000-0000-0000C70E0000}"/>
    <cellStyle name="Normal 10 2 10 2 3 5 5" xfId="3784" xr:uid="{00000000-0005-0000-0000-0000C80E0000}"/>
    <cellStyle name="Normal 10 2 10 2 3 5 6" xfId="3785" xr:uid="{00000000-0005-0000-0000-0000C90E0000}"/>
    <cellStyle name="Normal 10 2 10 2 3 5 7" xfId="3786" xr:uid="{00000000-0005-0000-0000-0000CA0E0000}"/>
    <cellStyle name="Normal 10 2 10 2 3 5 8" xfId="3787" xr:uid="{00000000-0005-0000-0000-0000CB0E0000}"/>
    <cellStyle name="Normal 10 2 10 2 3 5 9" xfId="3788" xr:uid="{00000000-0005-0000-0000-0000CC0E0000}"/>
    <cellStyle name="Normal 10 2 10 2 3 6" xfId="3789" xr:uid="{00000000-0005-0000-0000-0000CD0E0000}"/>
    <cellStyle name="Normal 10 2 10 2 3 7" xfId="3790" xr:uid="{00000000-0005-0000-0000-0000CE0E0000}"/>
    <cellStyle name="Normal 10 2 10 2 3 8" xfId="3791" xr:uid="{00000000-0005-0000-0000-0000CF0E0000}"/>
    <cellStyle name="Normal 10 2 10 2 3 9" xfId="3792" xr:uid="{00000000-0005-0000-0000-0000D00E0000}"/>
    <cellStyle name="Normal 10 2 10 2 30" xfId="3793" xr:uid="{00000000-0005-0000-0000-0000D10E0000}"/>
    <cellStyle name="Normal 10 2 10 2 30 10" xfId="3794" xr:uid="{00000000-0005-0000-0000-0000D20E0000}"/>
    <cellStyle name="Normal 10 2 10 2 30 11" xfId="3795" xr:uid="{00000000-0005-0000-0000-0000D30E0000}"/>
    <cellStyle name="Normal 10 2 10 2 30 12" xfId="3796" xr:uid="{00000000-0005-0000-0000-0000D40E0000}"/>
    <cellStyle name="Normal 10 2 10 2 30 13" xfId="3797" xr:uid="{00000000-0005-0000-0000-0000D50E0000}"/>
    <cellStyle name="Normal 10 2 10 2 30 14" xfId="3798" xr:uid="{00000000-0005-0000-0000-0000D60E0000}"/>
    <cellStyle name="Normal 10 2 10 2 30 2" xfId="3799" xr:uid="{00000000-0005-0000-0000-0000D70E0000}"/>
    <cellStyle name="Normal 10 2 10 2 30 2 10" xfId="3800" xr:uid="{00000000-0005-0000-0000-0000D80E0000}"/>
    <cellStyle name="Normal 10 2 10 2 30 2 2" xfId="3801" xr:uid="{00000000-0005-0000-0000-0000D90E0000}"/>
    <cellStyle name="Normal 10 2 10 2 30 2 3" xfId="3802" xr:uid="{00000000-0005-0000-0000-0000DA0E0000}"/>
    <cellStyle name="Normal 10 2 10 2 30 2 4" xfId="3803" xr:uid="{00000000-0005-0000-0000-0000DB0E0000}"/>
    <cellStyle name="Normal 10 2 10 2 30 2 5" xfId="3804" xr:uid="{00000000-0005-0000-0000-0000DC0E0000}"/>
    <cellStyle name="Normal 10 2 10 2 30 2 6" xfId="3805" xr:uid="{00000000-0005-0000-0000-0000DD0E0000}"/>
    <cellStyle name="Normal 10 2 10 2 30 2 7" xfId="3806" xr:uid="{00000000-0005-0000-0000-0000DE0E0000}"/>
    <cellStyle name="Normal 10 2 10 2 30 2 8" xfId="3807" xr:uid="{00000000-0005-0000-0000-0000DF0E0000}"/>
    <cellStyle name="Normal 10 2 10 2 30 2 9" xfId="3808" xr:uid="{00000000-0005-0000-0000-0000E00E0000}"/>
    <cellStyle name="Normal 10 2 10 2 30 3" xfId="3809" xr:uid="{00000000-0005-0000-0000-0000E10E0000}"/>
    <cellStyle name="Normal 10 2 10 2 30 3 10" xfId="3810" xr:uid="{00000000-0005-0000-0000-0000E20E0000}"/>
    <cellStyle name="Normal 10 2 10 2 30 3 2" xfId="3811" xr:uid="{00000000-0005-0000-0000-0000E30E0000}"/>
    <cellStyle name="Normal 10 2 10 2 30 3 3" xfId="3812" xr:uid="{00000000-0005-0000-0000-0000E40E0000}"/>
    <cellStyle name="Normal 10 2 10 2 30 3 4" xfId="3813" xr:uid="{00000000-0005-0000-0000-0000E50E0000}"/>
    <cellStyle name="Normal 10 2 10 2 30 3 5" xfId="3814" xr:uid="{00000000-0005-0000-0000-0000E60E0000}"/>
    <cellStyle name="Normal 10 2 10 2 30 3 6" xfId="3815" xr:uid="{00000000-0005-0000-0000-0000E70E0000}"/>
    <cellStyle name="Normal 10 2 10 2 30 3 7" xfId="3816" xr:uid="{00000000-0005-0000-0000-0000E80E0000}"/>
    <cellStyle name="Normal 10 2 10 2 30 3 8" xfId="3817" xr:uid="{00000000-0005-0000-0000-0000E90E0000}"/>
    <cellStyle name="Normal 10 2 10 2 30 3 9" xfId="3818" xr:uid="{00000000-0005-0000-0000-0000EA0E0000}"/>
    <cellStyle name="Normal 10 2 10 2 30 4" xfId="3819" xr:uid="{00000000-0005-0000-0000-0000EB0E0000}"/>
    <cellStyle name="Normal 10 2 10 2 30 4 10" xfId="3820" xr:uid="{00000000-0005-0000-0000-0000EC0E0000}"/>
    <cellStyle name="Normal 10 2 10 2 30 4 2" xfId="3821" xr:uid="{00000000-0005-0000-0000-0000ED0E0000}"/>
    <cellStyle name="Normal 10 2 10 2 30 4 3" xfId="3822" xr:uid="{00000000-0005-0000-0000-0000EE0E0000}"/>
    <cellStyle name="Normal 10 2 10 2 30 4 4" xfId="3823" xr:uid="{00000000-0005-0000-0000-0000EF0E0000}"/>
    <cellStyle name="Normal 10 2 10 2 30 4 5" xfId="3824" xr:uid="{00000000-0005-0000-0000-0000F00E0000}"/>
    <cellStyle name="Normal 10 2 10 2 30 4 6" xfId="3825" xr:uid="{00000000-0005-0000-0000-0000F10E0000}"/>
    <cellStyle name="Normal 10 2 10 2 30 4 7" xfId="3826" xr:uid="{00000000-0005-0000-0000-0000F20E0000}"/>
    <cellStyle name="Normal 10 2 10 2 30 4 8" xfId="3827" xr:uid="{00000000-0005-0000-0000-0000F30E0000}"/>
    <cellStyle name="Normal 10 2 10 2 30 4 9" xfId="3828" xr:uid="{00000000-0005-0000-0000-0000F40E0000}"/>
    <cellStyle name="Normal 10 2 10 2 30 5" xfId="3829" xr:uid="{00000000-0005-0000-0000-0000F50E0000}"/>
    <cellStyle name="Normal 10 2 10 2 30 5 10" xfId="3830" xr:uid="{00000000-0005-0000-0000-0000F60E0000}"/>
    <cellStyle name="Normal 10 2 10 2 30 5 2" xfId="3831" xr:uid="{00000000-0005-0000-0000-0000F70E0000}"/>
    <cellStyle name="Normal 10 2 10 2 30 5 3" xfId="3832" xr:uid="{00000000-0005-0000-0000-0000F80E0000}"/>
    <cellStyle name="Normal 10 2 10 2 30 5 4" xfId="3833" xr:uid="{00000000-0005-0000-0000-0000F90E0000}"/>
    <cellStyle name="Normal 10 2 10 2 30 5 5" xfId="3834" xr:uid="{00000000-0005-0000-0000-0000FA0E0000}"/>
    <cellStyle name="Normal 10 2 10 2 30 5 6" xfId="3835" xr:uid="{00000000-0005-0000-0000-0000FB0E0000}"/>
    <cellStyle name="Normal 10 2 10 2 30 5 7" xfId="3836" xr:uid="{00000000-0005-0000-0000-0000FC0E0000}"/>
    <cellStyle name="Normal 10 2 10 2 30 5 8" xfId="3837" xr:uid="{00000000-0005-0000-0000-0000FD0E0000}"/>
    <cellStyle name="Normal 10 2 10 2 30 5 9" xfId="3838" xr:uid="{00000000-0005-0000-0000-0000FE0E0000}"/>
    <cellStyle name="Normal 10 2 10 2 30 6" xfId="3839" xr:uid="{00000000-0005-0000-0000-0000FF0E0000}"/>
    <cellStyle name="Normal 10 2 10 2 30 7" xfId="3840" xr:uid="{00000000-0005-0000-0000-0000000F0000}"/>
    <cellStyle name="Normal 10 2 10 2 30 8" xfId="3841" xr:uid="{00000000-0005-0000-0000-0000010F0000}"/>
    <cellStyle name="Normal 10 2 10 2 30 9" xfId="3842" xr:uid="{00000000-0005-0000-0000-0000020F0000}"/>
    <cellStyle name="Normal 10 2 10 2 31" xfId="3843" xr:uid="{00000000-0005-0000-0000-0000030F0000}"/>
    <cellStyle name="Normal 10 2 10 2 31 10" xfId="3844" xr:uid="{00000000-0005-0000-0000-0000040F0000}"/>
    <cellStyle name="Normal 10 2 10 2 31 11" xfId="3845" xr:uid="{00000000-0005-0000-0000-0000050F0000}"/>
    <cellStyle name="Normal 10 2 10 2 31 12" xfId="3846" xr:uid="{00000000-0005-0000-0000-0000060F0000}"/>
    <cellStyle name="Normal 10 2 10 2 31 13" xfId="3847" xr:uid="{00000000-0005-0000-0000-0000070F0000}"/>
    <cellStyle name="Normal 10 2 10 2 31 14" xfId="3848" xr:uid="{00000000-0005-0000-0000-0000080F0000}"/>
    <cellStyle name="Normal 10 2 10 2 31 2" xfId="3849" xr:uid="{00000000-0005-0000-0000-0000090F0000}"/>
    <cellStyle name="Normal 10 2 10 2 31 2 10" xfId="3850" xr:uid="{00000000-0005-0000-0000-00000A0F0000}"/>
    <cellStyle name="Normal 10 2 10 2 31 2 2" xfId="3851" xr:uid="{00000000-0005-0000-0000-00000B0F0000}"/>
    <cellStyle name="Normal 10 2 10 2 31 2 3" xfId="3852" xr:uid="{00000000-0005-0000-0000-00000C0F0000}"/>
    <cellStyle name="Normal 10 2 10 2 31 2 4" xfId="3853" xr:uid="{00000000-0005-0000-0000-00000D0F0000}"/>
    <cellStyle name="Normal 10 2 10 2 31 2 5" xfId="3854" xr:uid="{00000000-0005-0000-0000-00000E0F0000}"/>
    <cellStyle name="Normal 10 2 10 2 31 2 6" xfId="3855" xr:uid="{00000000-0005-0000-0000-00000F0F0000}"/>
    <cellStyle name="Normal 10 2 10 2 31 2 7" xfId="3856" xr:uid="{00000000-0005-0000-0000-0000100F0000}"/>
    <cellStyle name="Normal 10 2 10 2 31 2 8" xfId="3857" xr:uid="{00000000-0005-0000-0000-0000110F0000}"/>
    <cellStyle name="Normal 10 2 10 2 31 2 9" xfId="3858" xr:uid="{00000000-0005-0000-0000-0000120F0000}"/>
    <cellStyle name="Normal 10 2 10 2 31 3" xfId="3859" xr:uid="{00000000-0005-0000-0000-0000130F0000}"/>
    <cellStyle name="Normal 10 2 10 2 31 3 10" xfId="3860" xr:uid="{00000000-0005-0000-0000-0000140F0000}"/>
    <cellStyle name="Normal 10 2 10 2 31 3 2" xfId="3861" xr:uid="{00000000-0005-0000-0000-0000150F0000}"/>
    <cellStyle name="Normal 10 2 10 2 31 3 3" xfId="3862" xr:uid="{00000000-0005-0000-0000-0000160F0000}"/>
    <cellStyle name="Normal 10 2 10 2 31 3 4" xfId="3863" xr:uid="{00000000-0005-0000-0000-0000170F0000}"/>
    <cellStyle name="Normal 10 2 10 2 31 3 5" xfId="3864" xr:uid="{00000000-0005-0000-0000-0000180F0000}"/>
    <cellStyle name="Normal 10 2 10 2 31 3 6" xfId="3865" xr:uid="{00000000-0005-0000-0000-0000190F0000}"/>
    <cellStyle name="Normal 10 2 10 2 31 3 7" xfId="3866" xr:uid="{00000000-0005-0000-0000-00001A0F0000}"/>
    <cellStyle name="Normal 10 2 10 2 31 3 8" xfId="3867" xr:uid="{00000000-0005-0000-0000-00001B0F0000}"/>
    <cellStyle name="Normal 10 2 10 2 31 3 9" xfId="3868" xr:uid="{00000000-0005-0000-0000-00001C0F0000}"/>
    <cellStyle name="Normal 10 2 10 2 31 4" xfId="3869" xr:uid="{00000000-0005-0000-0000-00001D0F0000}"/>
    <cellStyle name="Normal 10 2 10 2 31 4 10" xfId="3870" xr:uid="{00000000-0005-0000-0000-00001E0F0000}"/>
    <cellStyle name="Normal 10 2 10 2 31 4 2" xfId="3871" xr:uid="{00000000-0005-0000-0000-00001F0F0000}"/>
    <cellStyle name="Normal 10 2 10 2 31 4 3" xfId="3872" xr:uid="{00000000-0005-0000-0000-0000200F0000}"/>
    <cellStyle name="Normal 10 2 10 2 31 4 4" xfId="3873" xr:uid="{00000000-0005-0000-0000-0000210F0000}"/>
    <cellStyle name="Normal 10 2 10 2 31 4 5" xfId="3874" xr:uid="{00000000-0005-0000-0000-0000220F0000}"/>
    <cellStyle name="Normal 10 2 10 2 31 4 6" xfId="3875" xr:uid="{00000000-0005-0000-0000-0000230F0000}"/>
    <cellStyle name="Normal 10 2 10 2 31 4 7" xfId="3876" xr:uid="{00000000-0005-0000-0000-0000240F0000}"/>
    <cellStyle name="Normal 10 2 10 2 31 4 8" xfId="3877" xr:uid="{00000000-0005-0000-0000-0000250F0000}"/>
    <cellStyle name="Normal 10 2 10 2 31 4 9" xfId="3878" xr:uid="{00000000-0005-0000-0000-0000260F0000}"/>
    <cellStyle name="Normal 10 2 10 2 31 5" xfId="3879" xr:uid="{00000000-0005-0000-0000-0000270F0000}"/>
    <cellStyle name="Normal 10 2 10 2 31 5 10" xfId="3880" xr:uid="{00000000-0005-0000-0000-0000280F0000}"/>
    <cellStyle name="Normal 10 2 10 2 31 5 2" xfId="3881" xr:uid="{00000000-0005-0000-0000-0000290F0000}"/>
    <cellStyle name="Normal 10 2 10 2 31 5 3" xfId="3882" xr:uid="{00000000-0005-0000-0000-00002A0F0000}"/>
    <cellStyle name="Normal 10 2 10 2 31 5 4" xfId="3883" xr:uid="{00000000-0005-0000-0000-00002B0F0000}"/>
    <cellStyle name="Normal 10 2 10 2 31 5 5" xfId="3884" xr:uid="{00000000-0005-0000-0000-00002C0F0000}"/>
    <cellStyle name="Normal 10 2 10 2 31 5 6" xfId="3885" xr:uid="{00000000-0005-0000-0000-00002D0F0000}"/>
    <cellStyle name="Normal 10 2 10 2 31 5 7" xfId="3886" xr:uid="{00000000-0005-0000-0000-00002E0F0000}"/>
    <cellStyle name="Normal 10 2 10 2 31 5 8" xfId="3887" xr:uid="{00000000-0005-0000-0000-00002F0F0000}"/>
    <cellStyle name="Normal 10 2 10 2 31 5 9" xfId="3888" xr:uid="{00000000-0005-0000-0000-0000300F0000}"/>
    <cellStyle name="Normal 10 2 10 2 31 6" xfId="3889" xr:uid="{00000000-0005-0000-0000-0000310F0000}"/>
    <cellStyle name="Normal 10 2 10 2 31 7" xfId="3890" xr:uid="{00000000-0005-0000-0000-0000320F0000}"/>
    <cellStyle name="Normal 10 2 10 2 31 8" xfId="3891" xr:uid="{00000000-0005-0000-0000-0000330F0000}"/>
    <cellStyle name="Normal 10 2 10 2 31 9" xfId="3892" xr:uid="{00000000-0005-0000-0000-0000340F0000}"/>
    <cellStyle name="Normal 10 2 10 2 32" xfId="3893" xr:uid="{00000000-0005-0000-0000-0000350F0000}"/>
    <cellStyle name="Normal 10 2 10 2 32 10" xfId="3894" xr:uid="{00000000-0005-0000-0000-0000360F0000}"/>
    <cellStyle name="Normal 10 2 10 2 32 11" xfId="3895" xr:uid="{00000000-0005-0000-0000-0000370F0000}"/>
    <cellStyle name="Normal 10 2 10 2 32 12" xfId="3896" xr:uid="{00000000-0005-0000-0000-0000380F0000}"/>
    <cellStyle name="Normal 10 2 10 2 32 13" xfId="3897" xr:uid="{00000000-0005-0000-0000-0000390F0000}"/>
    <cellStyle name="Normal 10 2 10 2 32 14" xfId="3898" xr:uid="{00000000-0005-0000-0000-00003A0F0000}"/>
    <cellStyle name="Normal 10 2 10 2 32 2" xfId="3899" xr:uid="{00000000-0005-0000-0000-00003B0F0000}"/>
    <cellStyle name="Normal 10 2 10 2 32 2 10" xfId="3900" xr:uid="{00000000-0005-0000-0000-00003C0F0000}"/>
    <cellStyle name="Normal 10 2 10 2 32 2 2" xfId="3901" xr:uid="{00000000-0005-0000-0000-00003D0F0000}"/>
    <cellStyle name="Normal 10 2 10 2 32 2 3" xfId="3902" xr:uid="{00000000-0005-0000-0000-00003E0F0000}"/>
    <cellStyle name="Normal 10 2 10 2 32 2 4" xfId="3903" xr:uid="{00000000-0005-0000-0000-00003F0F0000}"/>
    <cellStyle name="Normal 10 2 10 2 32 2 5" xfId="3904" xr:uid="{00000000-0005-0000-0000-0000400F0000}"/>
    <cellStyle name="Normal 10 2 10 2 32 2 6" xfId="3905" xr:uid="{00000000-0005-0000-0000-0000410F0000}"/>
    <cellStyle name="Normal 10 2 10 2 32 2 7" xfId="3906" xr:uid="{00000000-0005-0000-0000-0000420F0000}"/>
    <cellStyle name="Normal 10 2 10 2 32 2 8" xfId="3907" xr:uid="{00000000-0005-0000-0000-0000430F0000}"/>
    <cellStyle name="Normal 10 2 10 2 32 2 9" xfId="3908" xr:uid="{00000000-0005-0000-0000-0000440F0000}"/>
    <cellStyle name="Normal 10 2 10 2 32 3" xfId="3909" xr:uid="{00000000-0005-0000-0000-0000450F0000}"/>
    <cellStyle name="Normal 10 2 10 2 32 3 10" xfId="3910" xr:uid="{00000000-0005-0000-0000-0000460F0000}"/>
    <cellStyle name="Normal 10 2 10 2 32 3 2" xfId="3911" xr:uid="{00000000-0005-0000-0000-0000470F0000}"/>
    <cellStyle name="Normal 10 2 10 2 32 3 3" xfId="3912" xr:uid="{00000000-0005-0000-0000-0000480F0000}"/>
    <cellStyle name="Normal 10 2 10 2 32 3 4" xfId="3913" xr:uid="{00000000-0005-0000-0000-0000490F0000}"/>
    <cellStyle name="Normal 10 2 10 2 32 3 5" xfId="3914" xr:uid="{00000000-0005-0000-0000-00004A0F0000}"/>
    <cellStyle name="Normal 10 2 10 2 32 3 6" xfId="3915" xr:uid="{00000000-0005-0000-0000-00004B0F0000}"/>
    <cellStyle name="Normal 10 2 10 2 32 3 7" xfId="3916" xr:uid="{00000000-0005-0000-0000-00004C0F0000}"/>
    <cellStyle name="Normal 10 2 10 2 32 3 8" xfId="3917" xr:uid="{00000000-0005-0000-0000-00004D0F0000}"/>
    <cellStyle name="Normal 10 2 10 2 32 3 9" xfId="3918" xr:uid="{00000000-0005-0000-0000-00004E0F0000}"/>
    <cellStyle name="Normal 10 2 10 2 32 4" xfId="3919" xr:uid="{00000000-0005-0000-0000-00004F0F0000}"/>
    <cellStyle name="Normal 10 2 10 2 32 4 10" xfId="3920" xr:uid="{00000000-0005-0000-0000-0000500F0000}"/>
    <cellStyle name="Normal 10 2 10 2 32 4 2" xfId="3921" xr:uid="{00000000-0005-0000-0000-0000510F0000}"/>
    <cellStyle name="Normal 10 2 10 2 32 4 3" xfId="3922" xr:uid="{00000000-0005-0000-0000-0000520F0000}"/>
    <cellStyle name="Normal 10 2 10 2 32 4 4" xfId="3923" xr:uid="{00000000-0005-0000-0000-0000530F0000}"/>
    <cellStyle name="Normal 10 2 10 2 32 4 5" xfId="3924" xr:uid="{00000000-0005-0000-0000-0000540F0000}"/>
    <cellStyle name="Normal 10 2 10 2 32 4 6" xfId="3925" xr:uid="{00000000-0005-0000-0000-0000550F0000}"/>
    <cellStyle name="Normal 10 2 10 2 32 4 7" xfId="3926" xr:uid="{00000000-0005-0000-0000-0000560F0000}"/>
    <cellStyle name="Normal 10 2 10 2 32 4 8" xfId="3927" xr:uid="{00000000-0005-0000-0000-0000570F0000}"/>
    <cellStyle name="Normal 10 2 10 2 32 4 9" xfId="3928" xr:uid="{00000000-0005-0000-0000-0000580F0000}"/>
    <cellStyle name="Normal 10 2 10 2 32 5" xfId="3929" xr:uid="{00000000-0005-0000-0000-0000590F0000}"/>
    <cellStyle name="Normal 10 2 10 2 32 5 10" xfId="3930" xr:uid="{00000000-0005-0000-0000-00005A0F0000}"/>
    <cellStyle name="Normal 10 2 10 2 32 5 2" xfId="3931" xr:uid="{00000000-0005-0000-0000-00005B0F0000}"/>
    <cellStyle name="Normal 10 2 10 2 32 5 3" xfId="3932" xr:uid="{00000000-0005-0000-0000-00005C0F0000}"/>
    <cellStyle name="Normal 10 2 10 2 32 5 4" xfId="3933" xr:uid="{00000000-0005-0000-0000-00005D0F0000}"/>
    <cellStyle name="Normal 10 2 10 2 32 5 5" xfId="3934" xr:uid="{00000000-0005-0000-0000-00005E0F0000}"/>
    <cellStyle name="Normal 10 2 10 2 32 5 6" xfId="3935" xr:uid="{00000000-0005-0000-0000-00005F0F0000}"/>
    <cellStyle name="Normal 10 2 10 2 32 5 7" xfId="3936" xr:uid="{00000000-0005-0000-0000-0000600F0000}"/>
    <cellStyle name="Normal 10 2 10 2 32 5 8" xfId="3937" xr:uid="{00000000-0005-0000-0000-0000610F0000}"/>
    <cellStyle name="Normal 10 2 10 2 32 5 9" xfId="3938" xr:uid="{00000000-0005-0000-0000-0000620F0000}"/>
    <cellStyle name="Normal 10 2 10 2 32 6" xfId="3939" xr:uid="{00000000-0005-0000-0000-0000630F0000}"/>
    <cellStyle name="Normal 10 2 10 2 32 7" xfId="3940" xr:uid="{00000000-0005-0000-0000-0000640F0000}"/>
    <cellStyle name="Normal 10 2 10 2 32 8" xfId="3941" xr:uid="{00000000-0005-0000-0000-0000650F0000}"/>
    <cellStyle name="Normal 10 2 10 2 32 9" xfId="3942" xr:uid="{00000000-0005-0000-0000-0000660F0000}"/>
    <cellStyle name="Normal 10 2 10 2 33" xfId="3943" xr:uid="{00000000-0005-0000-0000-0000670F0000}"/>
    <cellStyle name="Normal 10 2 10 2 33 10" xfId="3944" xr:uid="{00000000-0005-0000-0000-0000680F0000}"/>
    <cellStyle name="Normal 10 2 10 2 33 11" xfId="3945" xr:uid="{00000000-0005-0000-0000-0000690F0000}"/>
    <cellStyle name="Normal 10 2 10 2 33 12" xfId="3946" xr:uid="{00000000-0005-0000-0000-00006A0F0000}"/>
    <cellStyle name="Normal 10 2 10 2 33 13" xfId="3947" xr:uid="{00000000-0005-0000-0000-00006B0F0000}"/>
    <cellStyle name="Normal 10 2 10 2 33 14" xfId="3948" xr:uid="{00000000-0005-0000-0000-00006C0F0000}"/>
    <cellStyle name="Normal 10 2 10 2 33 2" xfId="3949" xr:uid="{00000000-0005-0000-0000-00006D0F0000}"/>
    <cellStyle name="Normal 10 2 10 2 33 2 10" xfId="3950" xr:uid="{00000000-0005-0000-0000-00006E0F0000}"/>
    <cellStyle name="Normal 10 2 10 2 33 2 2" xfId="3951" xr:uid="{00000000-0005-0000-0000-00006F0F0000}"/>
    <cellStyle name="Normal 10 2 10 2 33 2 3" xfId="3952" xr:uid="{00000000-0005-0000-0000-0000700F0000}"/>
    <cellStyle name="Normal 10 2 10 2 33 2 4" xfId="3953" xr:uid="{00000000-0005-0000-0000-0000710F0000}"/>
    <cellStyle name="Normal 10 2 10 2 33 2 5" xfId="3954" xr:uid="{00000000-0005-0000-0000-0000720F0000}"/>
    <cellStyle name="Normal 10 2 10 2 33 2 6" xfId="3955" xr:uid="{00000000-0005-0000-0000-0000730F0000}"/>
    <cellStyle name="Normal 10 2 10 2 33 2 7" xfId="3956" xr:uid="{00000000-0005-0000-0000-0000740F0000}"/>
    <cellStyle name="Normal 10 2 10 2 33 2 8" xfId="3957" xr:uid="{00000000-0005-0000-0000-0000750F0000}"/>
    <cellStyle name="Normal 10 2 10 2 33 2 9" xfId="3958" xr:uid="{00000000-0005-0000-0000-0000760F0000}"/>
    <cellStyle name="Normal 10 2 10 2 33 3" xfId="3959" xr:uid="{00000000-0005-0000-0000-0000770F0000}"/>
    <cellStyle name="Normal 10 2 10 2 33 3 10" xfId="3960" xr:uid="{00000000-0005-0000-0000-0000780F0000}"/>
    <cellStyle name="Normal 10 2 10 2 33 3 2" xfId="3961" xr:uid="{00000000-0005-0000-0000-0000790F0000}"/>
    <cellStyle name="Normal 10 2 10 2 33 3 3" xfId="3962" xr:uid="{00000000-0005-0000-0000-00007A0F0000}"/>
    <cellStyle name="Normal 10 2 10 2 33 3 4" xfId="3963" xr:uid="{00000000-0005-0000-0000-00007B0F0000}"/>
    <cellStyle name="Normal 10 2 10 2 33 3 5" xfId="3964" xr:uid="{00000000-0005-0000-0000-00007C0F0000}"/>
    <cellStyle name="Normal 10 2 10 2 33 3 6" xfId="3965" xr:uid="{00000000-0005-0000-0000-00007D0F0000}"/>
    <cellStyle name="Normal 10 2 10 2 33 3 7" xfId="3966" xr:uid="{00000000-0005-0000-0000-00007E0F0000}"/>
    <cellStyle name="Normal 10 2 10 2 33 3 8" xfId="3967" xr:uid="{00000000-0005-0000-0000-00007F0F0000}"/>
    <cellStyle name="Normal 10 2 10 2 33 3 9" xfId="3968" xr:uid="{00000000-0005-0000-0000-0000800F0000}"/>
    <cellStyle name="Normal 10 2 10 2 33 4" xfId="3969" xr:uid="{00000000-0005-0000-0000-0000810F0000}"/>
    <cellStyle name="Normal 10 2 10 2 33 4 10" xfId="3970" xr:uid="{00000000-0005-0000-0000-0000820F0000}"/>
    <cellStyle name="Normal 10 2 10 2 33 4 2" xfId="3971" xr:uid="{00000000-0005-0000-0000-0000830F0000}"/>
    <cellStyle name="Normal 10 2 10 2 33 4 3" xfId="3972" xr:uid="{00000000-0005-0000-0000-0000840F0000}"/>
    <cellStyle name="Normal 10 2 10 2 33 4 4" xfId="3973" xr:uid="{00000000-0005-0000-0000-0000850F0000}"/>
    <cellStyle name="Normal 10 2 10 2 33 4 5" xfId="3974" xr:uid="{00000000-0005-0000-0000-0000860F0000}"/>
    <cellStyle name="Normal 10 2 10 2 33 4 6" xfId="3975" xr:uid="{00000000-0005-0000-0000-0000870F0000}"/>
    <cellStyle name="Normal 10 2 10 2 33 4 7" xfId="3976" xr:uid="{00000000-0005-0000-0000-0000880F0000}"/>
    <cellStyle name="Normal 10 2 10 2 33 4 8" xfId="3977" xr:uid="{00000000-0005-0000-0000-0000890F0000}"/>
    <cellStyle name="Normal 10 2 10 2 33 4 9" xfId="3978" xr:uid="{00000000-0005-0000-0000-00008A0F0000}"/>
    <cellStyle name="Normal 10 2 10 2 33 5" xfId="3979" xr:uid="{00000000-0005-0000-0000-00008B0F0000}"/>
    <cellStyle name="Normal 10 2 10 2 33 5 10" xfId="3980" xr:uid="{00000000-0005-0000-0000-00008C0F0000}"/>
    <cellStyle name="Normal 10 2 10 2 33 5 2" xfId="3981" xr:uid="{00000000-0005-0000-0000-00008D0F0000}"/>
    <cellStyle name="Normal 10 2 10 2 33 5 3" xfId="3982" xr:uid="{00000000-0005-0000-0000-00008E0F0000}"/>
    <cellStyle name="Normal 10 2 10 2 33 5 4" xfId="3983" xr:uid="{00000000-0005-0000-0000-00008F0F0000}"/>
    <cellStyle name="Normal 10 2 10 2 33 5 5" xfId="3984" xr:uid="{00000000-0005-0000-0000-0000900F0000}"/>
    <cellStyle name="Normal 10 2 10 2 33 5 6" xfId="3985" xr:uid="{00000000-0005-0000-0000-0000910F0000}"/>
    <cellStyle name="Normal 10 2 10 2 33 5 7" xfId="3986" xr:uid="{00000000-0005-0000-0000-0000920F0000}"/>
    <cellStyle name="Normal 10 2 10 2 33 5 8" xfId="3987" xr:uid="{00000000-0005-0000-0000-0000930F0000}"/>
    <cellStyle name="Normal 10 2 10 2 33 5 9" xfId="3988" xr:uid="{00000000-0005-0000-0000-0000940F0000}"/>
    <cellStyle name="Normal 10 2 10 2 33 6" xfId="3989" xr:uid="{00000000-0005-0000-0000-0000950F0000}"/>
    <cellStyle name="Normal 10 2 10 2 33 7" xfId="3990" xr:uid="{00000000-0005-0000-0000-0000960F0000}"/>
    <cellStyle name="Normal 10 2 10 2 33 8" xfId="3991" xr:uid="{00000000-0005-0000-0000-0000970F0000}"/>
    <cellStyle name="Normal 10 2 10 2 33 9" xfId="3992" xr:uid="{00000000-0005-0000-0000-0000980F0000}"/>
    <cellStyle name="Normal 10 2 10 2 34" xfId="3993" xr:uid="{00000000-0005-0000-0000-0000990F0000}"/>
    <cellStyle name="Normal 10 2 10 2 34 10" xfId="3994" xr:uid="{00000000-0005-0000-0000-00009A0F0000}"/>
    <cellStyle name="Normal 10 2 10 2 34 2" xfId="3995" xr:uid="{00000000-0005-0000-0000-00009B0F0000}"/>
    <cellStyle name="Normal 10 2 10 2 34 3" xfId="3996" xr:uid="{00000000-0005-0000-0000-00009C0F0000}"/>
    <cellStyle name="Normal 10 2 10 2 34 4" xfId="3997" xr:uid="{00000000-0005-0000-0000-00009D0F0000}"/>
    <cellStyle name="Normal 10 2 10 2 34 5" xfId="3998" xr:uid="{00000000-0005-0000-0000-00009E0F0000}"/>
    <cellStyle name="Normal 10 2 10 2 34 6" xfId="3999" xr:uid="{00000000-0005-0000-0000-00009F0F0000}"/>
    <cellStyle name="Normal 10 2 10 2 34 7" xfId="4000" xr:uid="{00000000-0005-0000-0000-0000A00F0000}"/>
    <cellStyle name="Normal 10 2 10 2 34 8" xfId="4001" xr:uid="{00000000-0005-0000-0000-0000A10F0000}"/>
    <cellStyle name="Normal 10 2 10 2 34 9" xfId="4002" xr:uid="{00000000-0005-0000-0000-0000A20F0000}"/>
    <cellStyle name="Normal 10 2 10 2 35" xfId="4003" xr:uid="{00000000-0005-0000-0000-0000A30F0000}"/>
    <cellStyle name="Normal 10 2 10 2 35 10" xfId="4004" xr:uid="{00000000-0005-0000-0000-0000A40F0000}"/>
    <cellStyle name="Normal 10 2 10 2 35 2" xfId="4005" xr:uid="{00000000-0005-0000-0000-0000A50F0000}"/>
    <cellStyle name="Normal 10 2 10 2 35 3" xfId="4006" xr:uid="{00000000-0005-0000-0000-0000A60F0000}"/>
    <cellStyle name="Normal 10 2 10 2 35 4" xfId="4007" xr:uid="{00000000-0005-0000-0000-0000A70F0000}"/>
    <cellStyle name="Normal 10 2 10 2 35 5" xfId="4008" xr:uid="{00000000-0005-0000-0000-0000A80F0000}"/>
    <cellStyle name="Normal 10 2 10 2 35 6" xfId="4009" xr:uid="{00000000-0005-0000-0000-0000A90F0000}"/>
    <cellStyle name="Normal 10 2 10 2 35 7" xfId="4010" xr:uid="{00000000-0005-0000-0000-0000AA0F0000}"/>
    <cellStyle name="Normal 10 2 10 2 35 8" xfId="4011" xr:uid="{00000000-0005-0000-0000-0000AB0F0000}"/>
    <cellStyle name="Normal 10 2 10 2 35 9" xfId="4012" xr:uid="{00000000-0005-0000-0000-0000AC0F0000}"/>
    <cellStyle name="Normal 10 2 10 2 36" xfId="4013" xr:uid="{00000000-0005-0000-0000-0000AD0F0000}"/>
    <cellStyle name="Normal 10 2 10 2 36 10" xfId="4014" xr:uid="{00000000-0005-0000-0000-0000AE0F0000}"/>
    <cellStyle name="Normal 10 2 10 2 36 2" xfId="4015" xr:uid="{00000000-0005-0000-0000-0000AF0F0000}"/>
    <cellStyle name="Normal 10 2 10 2 36 3" xfId="4016" xr:uid="{00000000-0005-0000-0000-0000B00F0000}"/>
    <cellStyle name="Normal 10 2 10 2 36 4" xfId="4017" xr:uid="{00000000-0005-0000-0000-0000B10F0000}"/>
    <cellStyle name="Normal 10 2 10 2 36 5" xfId="4018" xr:uid="{00000000-0005-0000-0000-0000B20F0000}"/>
    <cellStyle name="Normal 10 2 10 2 36 6" xfId="4019" xr:uid="{00000000-0005-0000-0000-0000B30F0000}"/>
    <cellStyle name="Normal 10 2 10 2 36 7" xfId="4020" xr:uid="{00000000-0005-0000-0000-0000B40F0000}"/>
    <cellStyle name="Normal 10 2 10 2 36 8" xfId="4021" xr:uid="{00000000-0005-0000-0000-0000B50F0000}"/>
    <cellStyle name="Normal 10 2 10 2 36 9" xfId="4022" xr:uid="{00000000-0005-0000-0000-0000B60F0000}"/>
    <cellStyle name="Normal 10 2 10 2 37" xfId="4023" xr:uid="{00000000-0005-0000-0000-0000B70F0000}"/>
    <cellStyle name="Normal 10 2 10 2 37 10" xfId="4024" xr:uid="{00000000-0005-0000-0000-0000B80F0000}"/>
    <cellStyle name="Normal 10 2 10 2 37 2" xfId="4025" xr:uid="{00000000-0005-0000-0000-0000B90F0000}"/>
    <cellStyle name="Normal 10 2 10 2 37 3" xfId="4026" xr:uid="{00000000-0005-0000-0000-0000BA0F0000}"/>
    <cellStyle name="Normal 10 2 10 2 37 4" xfId="4027" xr:uid="{00000000-0005-0000-0000-0000BB0F0000}"/>
    <cellStyle name="Normal 10 2 10 2 37 5" xfId="4028" xr:uid="{00000000-0005-0000-0000-0000BC0F0000}"/>
    <cellStyle name="Normal 10 2 10 2 37 6" xfId="4029" xr:uid="{00000000-0005-0000-0000-0000BD0F0000}"/>
    <cellStyle name="Normal 10 2 10 2 37 7" xfId="4030" xr:uid="{00000000-0005-0000-0000-0000BE0F0000}"/>
    <cellStyle name="Normal 10 2 10 2 37 8" xfId="4031" xr:uid="{00000000-0005-0000-0000-0000BF0F0000}"/>
    <cellStyle name="Normal 10 2 10 2 37 9" xfId="4032" xr:uid="{00000000-0005-0000-0000-0000C00F0000}"/>
    <cellStyle name="Normal 10 2 10 2 38" xfId="4033" xr:uid="{00000000-0005-0000-0000-0000C10F0000}"/>
    <cellStyle name="Normal 10 2 10 2 39" xfId="4034" xr:uid="{00000000-0005-0000-0000-0000C20F0000}"/>
    <cellStyle name="Normal 10 2 10 2 4" xfId="4035" xr:uid="{00000000-0005-0000-0000-0000C30F0000}"/>
    <cellStyle name="Normal 10 2 10 2 4 10" xfId="4036" xr:uid="{00000000-0005-0000-0000-0000C40F0000}"/>
    <cellStyle name="Normal 10 2 10 2 4 11" xfId="4037" xr:uid="{00000000-0005-0000-0000-0000C50F0000}"/>
    <cellStyle name="Normal 10 2 10 2 4 12" xfId="4038" xr:uid="{00000000-0005-0000-0000-0000C60F0000}"/>
    <cellStyle name="Normal 10 2 10 2 4 13" xfId="4039" xr:uid="{00000000-0005-0000-0000-0000C70F0000}"/>
    <cellStyle name="Normal 10 2 10 2 4 14" xfId="4040" xr:uid="{00000000-0005-0000-0000-0000C80F0000}"/>
    <cellStyle name="Normal 10 2 10 2 4 2" xfId="4041" xr:uid="{00000000-0005-0000-0000-0000C90F0000}"/>
    <cellStyle name="Normal 10 2 10 2 4 2 10" xfId="4042" xr:uid="{00000000-0005-0000-0000-0000CA0F0000}"/>
    <cellStyle name="Normal 10 2 10 2 4 2 2" xfId="4043" xr:uid="{00000000-0005-0000-0000-0000CB0F0000}"/>
    <cellStyle name="Normal 10 2 10 2 4 2 3" xfId="4044" xr:uid="{00000000-0005-0000-0000-0000CC0F0000}"/>
    <cellStyle name="Normal 10 2 10 2 4 2 4" xfId="4045" xr:uid="{00000000-0005-0000-0000-0000CD0F0000}"/>
    <cellStyle name="Normal 10 2 10 2 4 2 5" xfId="4046" xr:uid="{00000000-0005-0000-0000-0000CE0F0000}"/>
    <cellStyle name="Normal 10 2 10 2 4 2 6" xfId="4047" xr:uid="{00000000-0005-0000-0000-0000CF0F0000}"/>
    <cellStyle name="Normal 10 2 10 2 4 2 7" xfId="4048" xr:uid="{00000000-0005-0000-0000-0000D00F0000}"/>
    <cellStyle name="Normal 10 2 10 2 4 2 8" xfId="4049" xr:uid="{00000000-0005-0000-0000-0000D10F0000}"/>
    <cellStyle name="Normal 10 2 10 2 4 2 9" xfId="4050" xr:uid="{00000000-0005-0000-0000-0000D20F0000}"/>
    <cellStyle name="Normal 10 2 10 2 4 3" xfId="4051" xr:uid="{00000000-0005-0000-0000-0000D30F0000}"/>
    <cellStyle name="Normal 10 2 10 2 4 3 10" xfId="4052" xr:uid="{00000000-0005-0000-0000-0000D40F0000}"/>
    <cellStyle name="Normal 10 2 10 2 4 3 2" xfId="4053" xr:uid="{00000000-0005-0000-0000-0000D50F0000}"/>
    <cellStyle name="Normal 10 2 10 2 4 3 3" xfId="4054" xr:uid="{00000000-0005-0000-0000-0000D60F0000}"/>
    <cellStyle name="Normal 10 2 10 2 4 3 4" xfId="4055" xr:uid="{00000000-0005-0000-0000-0000D70F0000}"/>
    <cellStyle name="Normal 10 2 10 2 4 3 5" xfId="4056" xr:uid="{00000000-0005-0000-0000-0000D80F0000}"/>
    <cellStyle name="Normal 10 2 10 2 4 3 6" xfId="4057" xr:uid="{00000000-0005-0000-0000-0000D90F0000}"/>
    <cellStyle name="Normal 10 2 10 2 4 3 7" xfId="4058" xr:uid="{00000000-0005-0000-0000-0000DA0F0000}"/>
    <cellStyle name="Normal 10 2 10 2 4 3 8" xfId="4059" xr:uid="{00000000-0005-0000-0000-0000DB0F0000}"/>
    <cellStyle name="Normal 10 2 10 2 4 3 9" xfId="4060" xr:uid="{00000000-0005-0000-0000-0000DC0F0000}"/>
    <cellStyle name="Normal 10 2 10 2 4 4" xfId="4061" xr:uid="{00000000-0005-0000-0000-0000DD0F0000}"/>
    <cellStyle name="Normal 10 2 10 2 4 4 10" xfId="4062" xr:uid="{00000000-0005-0000-0000-0000DE0F0000}"/>
    <cellStyle name="Normal 10 2 10 2 4 4 2" xfId="4063" xr:uid="{00000000-0005-0000-0000-0000DF0F0000}"/>
    <cellStyle name="Normal 10 2 10 2 4 4 3" xfId="4064" xr:uid="{00000000-0005-0000-0000-0000E00F0000}"/>
    <cellStyle name="Normal 10 2 10 2 4 4 4" xfId="4065" xr:uid="{00000000-0005-0000-0000-0000E10F0000}"/>
    <cellStyle name="Normal 10 2 10 2 4 4 5" xfId="4066" xr:uid="{00000000-0005-0000-0000-0000E20F0000}"/>
    <cellStyle name="Normal 10 2 10 2 4 4 6" xfId="4067" xr:uid="{00000000-0005-0000-0000-0000E30F0000}"/>
    <cellStyle name="Normal 10 2 10 2 4 4 7" xfId="4068" xr:uid="{00000000-0005-0000-0000-0000E40F0000}"/>
    <cellStyle name="Normal 10 2 10 2 4 4 8" xfId="4069" xr:uid="{00000000-0005-0000-0000-0000E50F0000}"/>
    <cellStyle name="Normal 10 2 10 2 4 4 9" xfId="4070" xr:uid="{00000000-0005-0000-0000-0000E60F0000}"/>
    <cellStyle name="Normal 10 2 10 2 4 5" xfId="4071" xr:uid="{00000000-0005-0000-0000-0000E70F0000}"/>
    <cellStyle name="Normal 10 2 10 2 4 5 10" xfId="4072" xr:uid="{00000000-0005-0000-0000-0000E80F0000}"/>
    <cellStyle name="Normal 10 2 10 2 4 5 2" xfId="4073" xr:uid="{00000000-0005-0000-0000-0000E90F0000}"/>
    <cellStyle name="Normal 10 2 10 2 4 5 3" xfId="4074" xr:uid="{00000000-0005-0000-0000-0000EA0F0000}"/>
    <cellStyle name="Normal 10 2 10 2 4 5 4" xfId="4075" xr:uid="{00000000-0005-0000-0000-0000EB0F0000}"/>
    <cellStyle name="Normal 10 2 10 2 4 5 5" xfId="4076" xr:uid="{00000000-0005-0000-0000-0000EC0F0000}"/>
    <cellStyle name="Normal 10 2 10 2 4 5 6" xfId="4077" xr:uid="{00000000-0005-0000-0000-0000ED0F0000}"/>
    <cellStyle name="Normal 10 2 10 2 4 5 7" xfId="4078" xr:uid="{00000000-0005-0000-0000-0000EE0F0000}"/>
    <cellStyle name="Normal 10 2 10 2 4 5 8" xfId="4079" xr:uid="{00000000-0005-0000-0000-0000EF0F0000}"/>
    <cellStyle name="Normal 10 2 10 2 4 5 9" xfId="4080" xr:uid="{00000000-0005-0000-0000-0000F00F0000}"/>
    <cellStyle name="Normal 10 2 10 2 4 6" xfId="4081" xr:uid="{00000000-0005-0000-0000-0000F10F0000}"/>
    <cellStyle name="Normal 10 2 10 2 4 7" xfId="4082" xr:uid="{00000000-0005-0000-0000-0000F20F0000}"/>
    <cellStyle name="Normal 10 2 10 2 4 8" xfId="4083" xr:uid="{00000000-0005-0000-0000-0000F30F0000}"/>
    <cellStyle name="Normal 10 2 10 2 4 9" xfId="4084" xr:uid="{00000000-0005-0000-0000-0000F40F0000}"/>
    <cellStyle name="Normal 10 2 10 2 40" xfId="4085" xr:uid="{00000000-0005-0000-0000-0000F50F0000}"/>
    <cellStyle name="Normal 10 2 10 2 41" xfId="4086" xr:uid="{00000000-0005-0000-0000-0000F60F0000}"/>
    <cellStyle name="Normal 10 2 10 2 42" xfId="4087" xr:uid="{00000000-0005-0000-0000-0000F70F0000}"/>
    <cellStyle name="Normal 10 2 10 2 43" xfId="4088" xr:uid="{00000000-0005-0000-0000-0000F80F0000}"/>
    <cellStyle name="Normal 10 2 10 2 44" xfId="4089" xr:uid="{00000000-0005-0000-0000-0000F90F0000}"/>
    <cellStyle name="Normal 10 2 10 2 45" xfId="4090" xr:uid="{00000000-0005-0000-0000-0000FA0F0000}"/>
    <cellStyle name="Normal 10 2 10 2 46" xfId="4091" xr:uid="{00000000-0005-0000-0000-0000FB0F0000}"/>
    <cellStyle name="Normal 10 2 10 2 47" xfId="4092" xr:uid="{00000000-0005-0000-0000-0000FC0F0000}"/>
    <cellStyle name="Normal 10 2 10 2 48" xfId="4093" xr:uid="{00000000-0005-0000-0000-0000FD0F0000}"/>
    <cellStyle name="Normal 10 2 10 2 5" xfId="4094" xr:uid="{00000000-0005-0000-0000-0000FE0F0000}"/>
    <cellStyle name="Normal 10 2 10 2 5 10" xfId="4095" xr:uid="{00000000-0005-0000-0000-0000FF0F0000}"/>
    <cellStyle name="Normal 10 2 10 2 5 11" xfId="4096" xr:uid="{00000000-0005-0000-0000-000000100000}"/>
    <cellStyle name="Normal 10 2 10 2 5 12" xfId="4097" xr:uid="{00000000-0005-0000-0000-000001100000}"/>
    <cellStyle name="Normal 10 2 10 2 5 13" xfId="4098" xr:uid="{00000000-0005-0000-0000-000002100000}"/>
    <cellStyle name="Normal 10 2 10 2 5 14" xfId="4099" xr:uid="{00000000-0005-0000-0000-000003100000}"/>
    <cellStyle name="Normal 10 2 10 2 5 2" xfId="4100" xr:uid="{00000000-0005-0000-0000-000004100000}"/>
    <cellStyle name="Normal 10 2 10 2 5 2 10" xfId="4101" xr:uid="{00000000-0005-0000-0000-000005100000}"/>
    <cellStyle name="Normal 10 2 10 2 5 2 2" xfId="4102" xr:uid="{00000000-0005-0000-0000-000006100000}"/>
    <cellStyle name="Normal 10 2 10 2 5 2 3" xfId="4103" xr:uid="{00000000-0005-0000-0000-000007100000}"/>
    <cellStyle name="Normal 10 2 10 2 5 2 4" xfId="4104" xr:uid="{00000000-0005-0000-0000-000008100000}"/>
    <cellStyle name="Normal 10 2 10 2 5 2 5" xfId="4105" xr:uid="{00000000-0005-0000-0000-000009100000}"/>
    <cellStyle name="Normal 10 2 10 2 5 2 6" xfId="4106" xr:uid="{00000000-0005-0000-0000-00000A100000}"/>
    <cellStyle name="Normal 10 2 10 2 5 2 7" xfId="4107" xr:uid="{00000000-0005-0000-0000-00000B100000}"/>
    <cellStyle name="Normal 10 2 10 2 5 2 8" xfId="4108" xr:uid="{00000000-0005-0000-0000-00000C100000}"/>
    <cellStyle name="Normal 10 2 10 2 5 2 9" xfId="4109" xr:uid="{00000000-0005-0000-0000-00000D100000}"/>
    <cellStyle name="Normal 10 2 10 2 5 3" xfId="4110" xr:uid="{00000000-0005-0000-0000-00000E100000}"/>
    <cellStyle name="Normal 10 2 10 2 5 3 10" xfId="4111" xr:uid="{00000000-0005-0000-0000-00000F100000}"/>
    <cellStyle name="Normal 10 2 10 2 5 3 2" xfId="4112" xr:uid="{00000000-0005-0000-0000-000010100000}"/>
    <cellStyle name="Normal 10 2 10 2 5 3 3" xfId="4113" xr:uid="{00000000-0005-0000-0000-000011100000}"/>
    <cellStyle name="Normal 10 2 10 2 5 3 4" xfId="4114" xr:uid="{00000000-0005-0000-0000-000012100000}"/>
    <cellStyle name="Normal 10 2 10 2 5 3 5" xfId="4115" xr:uid="{00000000-0005-0000-0000-000013100000}"/>
    <cellStyle name="Normal 10 2 10 2 5 3 6" xfId="4116" xr:uid="{00000000-0005-0000-0000-000014100000}"/>
    <cellStyle name="Normal 10 2 10 2 5 3 7" xfId="4117" xr:uid="{00000000-0005-0000-0000-000015100000}"/>
    <cellStyle name="Normal 10 2 10 2 5 3 8" xfId="4118" xr:uid="{00000000-0005-0000-0000-000016100000}"/>
    <cellStyle name="Normal 10 2 10 2 5 3 9" xfId="4119" xr:uid="{00000000-0005-0000-0000-000017100000}"/>
    <cellStyle name="Normal 10 2 10 2 5 4" xfId="4120" xr:uid="{00000000-0005-0000-0000-000018100000}"/>
    <cellStyle name="Normal 10 2 10 2 5 4 10" xfId="4121" xr:uid="{00000000-0005-0000-0000-000019100000}"/>
    <cellStyle name="Normal 10 2 10 2 5 4 2" xfId="4122" xr:uid="{00000000-0005-0000-0000-00001A100000}"/>
    <cellStyle name="Normal 10 2 10 2 5 4 3" xfId="4123" xr:uid="{00000000-0005-0000-0000-00001B100000}"/>
    <cellStyle name="Normal 10 2 10 2 5 4 4" xfId="4124" xr:uid="{00000000-0005-0000-0000-00001C100000}"/>
    <cellStyle name="Normal 10 2 10 2 5 4 5" xfId="4125" xr:uid="{00000000-0005-0000-0000-00001D100000}"/>
    <cellStyle name="Normal 10 2 10 2 5 4 6" xfId="4126" xr:uid="{00000000-0005-0000-0000-00001E100000}"/>
    <cellStyle name="Normal 10 2 10 2 5 4 7" xfId="4127" xr:uid="{00000000-0005-0000-0000-00001F100000}"/>
    <cellStyle name="Normal 10 2 10 2 5 4 8" xfId="4128" xr:uid="{00000000-0005-0000-0000-000020100000}"/>
    <cellStyle name="Normal 10 2 10 2 5 4 9" xfId="4129" xr:uid="{00000000-0005-0000-0000-000021100000}"/>
    <cellStyle name="Normal 10 2 10 2 5 5" xfId="4130" xr:uid="{00000000-0005-0000-0000-000022100000}"/>
    <cellStyle name="Normal 10 2 10 2 5 5 10" xfId="4131" xr:uid="{00000000-0005-0000-0000-000023100000}"/>
    <cellStyle name="Normal 10 2 10 2 5 5 2" xfId="4132" xr:uid="{00000000-0005-0000-0000-000024100000}"/>
    <cellStyle name="Normal 10 2 10 2 5 5 3" xfId="4133" xr:uid="{00000000-0005-0000-0000-000025100000}"/>
    <cellStyle name="Normal 10 2 10 2 5 5 4" xfId="4134" xr:uid="{00000000-0005-0000-0000-000026100000}"/>
    <cellStyle name="Normal 10 2 10 2 5 5 5" xfId="4135" xr:uid="{00000000-0005-0000-0000-000027100000}"/>
    <cellStyle name="Normal 10 2 10 2 5 5 6" xfId="4136" xr:uid="{00000000-0005-0000-0000-000028100000}"/>
    <cellStyle name="Normal 10 2 10 2 5 5 7" xfId="4137" xr:uid="{00000000-0005-0000-0000-000029100000}"/>
    <cellStyle name="Normal 10 2 10 2 5 5 8" xfId="4138" xr:uid="{00000000-0005-0000-0000-00002A100000}"/>
    <cellStyle name="Normal 10 2 10 2 5 5 9" xfId="4139" xr:uid="{00000000-0005-0000-0000-00002B100000}"/>
    <cellStyle name="Normal 10 2 10 2 5 6" xfId="4140" xr:uid="{00000000-0005-0000-0000-00002C100000}"/>
    <cellStyle name="Normal 10 2 10 2 5 7" xfId="4141" xr:uid="{00000000-0005-0000-0000-00002D100000}"/>
    <cellStyle name="Normal 10 2 10 2 5 8" xfId="4142" xr:uid="{00000000-0005-0000-0000-00002E100000}"/>
    <cellStyle name="Normal 10 2 10 2 5 9" xfId="4143" xr:uid="{00000000-0005-0000-0000-00002F100000}"/>
    <cellStyle name="Normal 10 2 10 2 6" xfId="4144" xr:uid="{00000000-0005-0000-0000-000030100000}"/>
    <cellStyle name="Normal 10 2 10 2 6 10" xfId="4145" xr:uid="{00000000-0005-0000-0000-000031100000}"/>
    <cellStyle name="Normal 10 2 10 2 6 11" xfId="4146" xr:uid="{00000000-0005-0000-0000-000032100000}"/>
    <cellStyle name="Normal 10 2 10 2 6 12" xfId="4147" xr:uid="{00000000-0005-0000-0000-000033100000}"/>
    <cellStyle name="Normal 10 2 10 2 6 13" xfId="4148" xr:uid="{00000000-0005-0000-0000-000034100000}"/>
    <cellStyle name="Normal 10 2 10 2 6 14" xfId="4149" xr:uid="{00000000-0005-0000-0000-000035100000}"/>
    <cellStyle name="Normal 10 2 10 2 6 2" xfId="4150" xr:uid="{00000000-0005-0000-0000-000036100000}"/>
    <cellStyle name="Normal 10 2 10 2 6 2 10" xfId="4151" xr:uid="{00000000-0005-0000-0000-000037100000}"/>
    <cellStyle name="Normal 10 2 10 2 6 2 2" xfId="4152" xr:uid="{00000000-0005-0000-0000-000038100000}"/>
    <cellStyle name="Normal 10 2 10 2 6 2 3" xfId="4153" xr:uid="{00000000-0005-0000-0000-000039100000}"/>
    <cellStyle name="Normal 10 2 10 2 6 2 4" xfId="4154" xr:uid="{00000000-0005-0000-0000-00003A100000}"/>
    <cellStyle name="Normal 10 2 10 2 6 2 5" xfId="4155" xr:uid="{00000000-0005-0000-0000-00003B100000}"/>
    <cellStyle name="Normal 10 2 10 2 6 2 6" xfId="4156" xr:uid="{00000000-0005-0000-0000-00003C100000}"/>
    <cellStyle name="Normal 10 2 10 2 6 2 7" xfId="4157" xr:uid="{00000000-0005-0000-0000-00003D100000}"/>
    <cellStyle name="Normal 10 2 10 2 6 2 8" xfId="4158" xr:uid="{00000000-0005-0000-0000-00003E100000}"/>
    <cellStyle name="Normal 10 2 10 2 6 2 9" xfId="4159" xr:uid="{00000000-0005-0000-0000-00003F100000}"/>
    <cellStyle name="Normal 10 2 10 2 6 3" xfId="4160" xr:uid="{00000000-0005-0000-0000-000040100000}"/>
    <cellStyle name="Normal 10 2 10 2 6 3 10" xfId="4161" xr:uid="{00000000-0005-0000-0000-000041100000}"/>
    <cellStyle name="Normal 10 2 10 2 6 3 2" xfId="4162" xr:uid="{00000000-0005-0000-0000-000042100000}"/>
    <cellStyle name="Normal 10 2 10 2 6 3 3" xfId="4163" xr:uid="{00000000-0005-0000-0000-000043100000}"/>
    <cellStyle name="Normal 10 2 10 2 6 3 4" xfId="4164" xr:uid="{00000000-0005-0000-0000-000044100000}"/>
    <cellStyle name="Normal 10 2 10 2 6 3 5" xfId="4165" xr:uid="{00000000-0005-0000-0000-000045100000}"/>
    <cellStyle name="Normal 10 2 10 2 6 3 6" xfId="4166" xr:uid="{00000000-0005-0000-0000-000046100000}"/>
    <cellStyle name="Normal 10 2 10 2 6 3 7" xfId="4167" xr:uid="{00000000-0005-0000-0000-000047100000}"/>
    <cellStyle name="Normal 10 2 10 2 6 3 8" xfId="4168" xr:uid="{00000000-0005-0000-0000-000048100000}"/>
    <cellStyle name="Normal 10 2 10 2 6 3 9" xfId="4169" xr:uid="{00000000-0005-0000-0000-000049100000}"/>
    <cellStyle name="Normal 10 2 10 2 6 4" xfId="4170" xr:uid="{00000000-0005-0000-0000-00004A100000}"/>
    <cellStyle name="Normal 10 2 10 2 6 4 10" xfId="4171" xr:uid="{00000000-0005-0000-0000-00004B100000}"/>
    <cellStyle name="Normal 10 2 10 2 6 4 2" xfId="4172" xr:uid="{00000000-0005-0000-0000-00004C100000}"/>
    <cellStyle name="Normal 10 2 10 2 6 4 3" xfId="4173" xr:uid="{00000000-0005-0000-0000-00004D100000}"/>
    <cellStyle name="Normal 10 2 10 2 6 4 4" xfId="4174" xr:uid="{00000000-0005-0000-0000-00004E100000}"/>
    <cellStyle name="Normal 10 2 10 2 6 4 5" xfId="4175" xr:uid="{00000000-0005-0000-0000-00004F100000}"/>
    <cellStyle name="Normal 10 2 10 2 6 4 6" xfId="4176" xr:uid="{00000000-0005-0000-0000-000050100000}"/>
    <cellStyle name="Normal 10 2 10 2 6 4 7" xfId="4177" xr:uid="{00000000-0005-0000-0000-000051100000}"/>
    <cellStyle name="Normal 10 2 10 2 6 4 8" xfId="4178" xr:uid="{00000000-0005-0000-0000-000052100000}"/>
    <cellStyle name="Normal 10 2 10 2 6 4 9" xfId="4179" xr:uid="{00000000-0005-0000-0000-000053100000}"/>
    <cellStyle name="Normal 10 2 10 2 6 5" xfId="4180" xr:uid="{00000000-0005-0000-0000-000054100000}"/>
    <cellStyle name="Normal 10 2 10 2 6 5 10" xfId="4181" xr:uid="{00000000-0005-0000-0000-000055100000}"/>
    <cellStyle name="Normal 10 2 10 2 6 5 2" xfId="4182" xr:uid="{00000000-0005-0000-0000-000056100000}"/>
    <cellStyle name="Normal 10 2 10 2 6 5 3" xfId="4183" xr:uid="{00000000-0005-0000-0000-000057100000}"/>
    <cellStyle name="Normal 10 2 10 2 6 5 4" xfId="4184" xr:uid="{00000000-0005-0000-0000-000058100000}"/>
    <cellStyle name="Normal 10 2 10 2 6 5 5" xfId="4185" xr:uid="{00000000-0005-0000-0000-000059100000}"/>
    <cellStyle name="Normal 10 2 10 2 6 5 6" xfId="4186" xr:uid="{00000000-0005-0000-0000-00005A100000}"/>
    <cellStyle name="Normal 10 2 10 2 6 5 7" xfId="4187" xr:uid="{00000000-0005-0000-0000-00005B100000}"/>
    <cellStyle name="Normal 10 2 10 2 6 5 8" xfId="4188" xr:uid="{00000000-0005-0000-0000-00005C100000}"/>
    <cellStyle name="Normal 10 2 10 2 6 5 9" xfId="4189" xr:uid="{00000000-0005-0000-0000-00005D100000}"/>
    <cellStyle name="Normal 10 2 10 2 6 6" xfId="4190" xr:uid="{00000000-0005-0000-0000-00005E100000}"/>
    <cellStyle name="Normal 10 2 10 2 6 7" xfId="4191" xr:uid="{00000000-0005-0000-0000-00005F100000}"/>
    <cellStyle name="Normal 10 2 10 2 6 8" xfId="4192" xr:uid="{00000000-0005-0000-0000-000060100000}"/>
    <cellStyle name="Normal 10 2 10 2 6 9" xfId="4193" xr:uid="{00000000-0005-0000-0000-000061100000}"/>
    <cellStyle name="Normal 10 2 10 2 7" xfId="4194" xr:uid="{00000000-0005-0000-0000-000062100000}"/>
    <cellStyle name="Normal 10 2 10 2 7 10" xfId="4195" xr:uid="{00000000-0005-0000-0000-000063100000}"/>
    <cellStyle name="Normal 10 2 10 2 7 11" xfId="4196" xr:uid="{00000000-0005-0000-0000-000064100000}"/>
    <cellStyle name="Normal 10 2 10 2 7 12" xfId="4197" xr:uid="{00000000-0005-0000-0000-000065100000}"/>
    <cellStyle name="Normal 10 2 10 2 7 13" xfId="4198" xr:uid="{00000000-0005-0000-0000-000066100000}"/>
    <cellStyle name="Normal 10 2 10 2 7 14" xfId="4199" xr:uid="{00000000-0005-0000-0000-000067100000}"/>
    <cellStyle name="Normal 10 2 10 2 7 2" xfId="4200" xr:uid="{00000000-0005-0000-0000-000068100000}"/>
    <cellStyle name="Normal 10 2 10 2 7 2 10" xfId="4201" xr:uid="{00000000-0005-0000-0000-000069100000}"/>
    <cellStyle name="Normal 10 2 10 2 7 2 2" xfId="4202" xr:uid="{00000000-0005-0000-0000-00006A100000}"/>
    <cellStyle name="Normal 10 2 10 2 7 2 3" xfId="4203" xr:uid="{00000000-0005-0000-0000-00006B100000}"/>
    <cellStyle name="Normal 10 2 10 2 7 2 4" xfId="4204" xr:uid="{00000000-0005-0000-0000-00006C100000}"/>
    <cellStyle name="Normal 10 2 10 2 7 2 5" xfId="4205" xr:uid="{00000000-0005-0000-0000-00006D100000}"/>
    <cellStyle name="Normal 10 2 10 2 7 2 6" xfId="4206" xr:uid="{00000000-0005-0000-0000-00006E100000}"/>
    <cellStyle name="Normal 10 2 10 2 7 2 7" xfId="4207" xr:uid="{00000000-0005-0000-0000-00006F100000}"/>
    <cellStyle name="Normal 10 2 10 2 7 2 8" xfId="4208" xr:uid="{00000000-0005-0000-0000-000070100000}"/>
    <cellStyle name="Normal 10 2 10 2 7 2 9" xfId="4209" xr:uid="{00000000-0005-0000-0000-000071100000}"/>
    <cellStyle name="Normal 10 2 10 2 7 3" xfId="4210" xr:uid="{00000000-0005-0000-0000-000072100000}"/>
    <cellStyle name="Normal 10 2 10 2 7 3 10" xfId="4211" xr:uid="{00000000-0005-0000-0000-000073100000}"/>
    <cellStyle name="Normal 10 2 10 2 7 3 2" xfId="4212" xr:uid="{00000000-0005-0000-0000-000074100000}"/>
    <cellStyle name="Normal 10 2 10 2 7 3 3" xfId="4213" xr:uid="{00000000-0005-0000-0000-000075100000}"/>
    <cellStyle name="Normal 10 2 10 2 7 3 4" xfId="4214" xr:uid="{00000000-0005-0000-0000-000076100000}"/>
    <cellStyle name="Normal 10 2 10 2 7 3 5" xfId="4215" xr:uid="{00000000-0005-0000-0000-000077100000}"/>
    <cellStyle name="Normal 10 2 10 2 7 3 6" xfId="4216" xr:uid="{00000000-0005-0000-0000-000078100000}"/>
    <cellStyle name="Normal 10 2 10 2 7 3 7" xfId="4217" xr:uid="{00000000-0005-0000-0000-000079100000}"/>
    <cellStyle name="Normal 10 2 10 2 7 3 8" xfId="4218" xr:uid="{00000000-0005-0000-0000-00007A100000}"/>
    <cellStyle name="Normal 10 2 10 2 7 3 9" xfId="4219" xr:uid="{00000000-0005-0000-0000-00007B100000}"/>
    <cellStyle name="Normal 10 2 10 2 7 4" xfId="4220" xr:uid="{00000000-0005-0000-0000-00007C100000}"/>
    <cellStyle name="Normal 10 2 10 2 7 4 10" xfId="4221" xr:uid="{00000000-0005-0000-0000-00007D100000}"/>
    <cellStyle name="Normal 10 2 10 2 7 4 2" xfId="4222" xr:uid="{00000000-0005-0000-0000-00007E100000}"/>
    <cellStyle name="Normal 10 2 10 2 7 4 3" xfId="4223" xr:uid="{00000000-0005-0000-0000-00007F100000}"/>
    <cellStyle name="Normal 10 2 10 2 7 4 4" xfId="4224" xr:uid="{00000000-0005-0000-0000-000080100000}"/>
    <cellStyle name="Normal 10 2 10 2 7 4 5" xfId="4225" xr:uid="{00000000-0005-0000-0000-000081100000}"/>
    <cellStyle name="Normal 10 2 10 2 7 4 6" xfId="4226" xr:uid="{00000000-0005-0000-0000-000082100000}"/>
    <cellStyle name="Normal 10 2 10 2 7 4 7" xfId="4227" xr:uid="{00000000-0005-0000-0000-000083100000}"/>
    <cellStyle name="Normal 10 2 10 2 7 4 8" xfId="4228" xr:uid="{00000000-0005-0000-0000-000084100000}"/>
    <cellStyle name="Normal 10 2 10 2 7 4 9" xfId="4229" xr:uid="{00000000-0005-0000-0000-000085100000}"/>
    <cellStyle name="Normal 10 2 10 2 7 5" xfId="4230" xr:uid="{00000000-0005-0000-0000-000086100000}"/>
    <cellStyle name="Normal 10 2 10 2 7 5 10" xfId="4231" xr:uid="{00000000-0005-0000-0000-000087100000}"/>
    <cellStyle name="Normal 10 2 10 2 7 5 2" xfId="4232" xr:uid="{00000000-0005-0000-0000-000088100000}"/>
    <cellStyle name="Normal 10 2 10 2 7 5 3" xfId="4233" xr:uid="{00000000-0005-0000-0000-000089100000}"/>
    <cellStyle name="Normal 10 2 10 2 7 5 4" xfId="4234" xr:uid="{00000000-0005-0000-0000-00008A100000}"/>
    <cellStyle name="Normal 10 2 10 2 7 5 5" xfId="4235" xr:uid="{00000000-0005-0000-0000-00008B100000}"/>
    <cellStyle name="Normal 10 2 10 2 7 5 6" xfId="4236" xr:uid="{00000000-0005-0000-0000-00008C100000}"/>
    <cellStyle name="Normal 10 2 10 2 7 5 7" xfId="4237" xr:uid="{00000000-0005-0000-0000-00008D100000}"/>
    <cellStyle name="Normal 10 2 10 2 7 5 8" xfId="4238" xr:uid="{00000000-0005-0000-0000-00008E100000}"/>
    <cellStyle name="Normal 10 2 10 2 7 5 9" xfId="4239" xr:uid="{00000000-0005-0000-0000-00008F100000}"/>
    <cellStyle name="Normal 10 2 10 2 7 6" xfId="4240" xr:uid="{00000000-0005-0000-0000-000090100000}"/>
    <cellStyle name="Normal 10 2 10 2 7 7" xfId="4241" xr:uid="{00000000-0005-0000-0000-000091100000}"/>
    <cellStyle name="Normal 10 2 10 2 7 8" xfId="4242" xr:uid="{00000000-0005-0000-0000-000092100000}"/>
    <cellStyle name="Normal 10 2 10 2 7 9" xfId="4243" xr:uid="{00000000-0005-0000-0000-000093100000}"/>
    <cellStyle name="Normal 10 2 10 2 8" xfId="4244" xr:uid="{00000000-0005-0000-0000-000094100000}"/>
    <cellStyle name="Normal 10 2 10 2 8 10" xfId="4245" xr:uid="{00000000-0005-0000-0000-000095100000}"/>
    <cellStyle name="Normal 10 2 10 2 8 11" xfId="4246" xr:uid="{00000000-0005-0000-0000-000096100000}"/>
    <cellStyle name="Normal 10 2 10 2 8 12" xfId="4247" xr:uid="{00000000-0005-0000-0000-000097100000}"/>
    <cellStyle name="Normal 10 2 10 2 8 13" xfId="4248" xr:uid="{00000000-0005-0000-0000-000098100000}"/>
    <cellStyle name="Normal 10 2 10 2 8 14" xfId="4249" xr:uid="{00000000-0005-0000-0000-000099100000}"/>
    <cellStyle name="Normal 10 2 10 2 8 2" xfId="4250" xr:uid="{00000000-0005-0000-0000-00009A100000}"/>
    <cellStyle name="Normal 10 2 10 2 8 2 10" xfId="4251" xr:uid="{00000000-0005-0000-0000-00009B100000}"/>
    <cellStyle name="Normal 10 2 10 2 8 2 2" xfId="4252" xr:uid="{00000000-0005-0000-0000-00009C100000}"/>
    <cellStyle name="Normal 10 2 10 2 8 2 3" xfId="4253" xr:uid="{00000000-0005-0000-0000-00009D100000}"/>
    <cellStyle name="Normal 10 2 10 2 8 2 4" xfId="4254" xr:uid="{00000000-0005-0000-0000-00009E100000}"/>
    <cellStyle name="Normal 10 2 10 2 8 2 5" xfId="4255" xr:uid="{00000000-0005-0000-0000-00009F100000}"/>
    <cellStyle name="Normal 10 2 10 2 8 2 6" xfId="4256" xr:uid="{00000000-0005-0000-0000-0000A0100000}"/>
    <cellStyle name="Normal 10 2 10 2 8 2 7" xfId="4257" xr:uid="{00000000-0005-0000-0000-0000A1100000}"/>
    <cellStyle name="Normal 10 2 10 2 8 2 8" xfId="4258" xr:uid="{00000000-0005-0000-0000-0000A2100000}"/>
    <cellStyle name="Normal 10 2 10 2 8 2 9" xfId="4259" xr:uid="{00000000-0005-0000-0000-0000A3100000}"/>
    <cellStyle name="Normal 10 2 10 2 8 3" xfId="4260" xr:uid="{00000000-0005-0000-0000-0000A4100000}"/>
    <cellStyle name="Normal 10 2 10 2 8 3 10" xfId="4261" xr:uid="{00000000-0005-0000-0000-0000A5100000}"/>
    <cellStyle name="Normal 10 2 10 2 8 3 2" xfId="4262" xr:uid="{00000000-0005-0000-0000-0000A6100000}"/>
    <cellStyle name="Normal 10 2 10 2 8 3 3" xfId="4263" xr:uid="{00000000-0005-0000-0000-0000A7100000}"/>
    <cellStyle name="Normal 10 2 10 2 8 3 4" xfId="4264" xr:uid="{00000000-0005-0000-0000-0000A8100000}"/>
    <cellStyle name="Normal 10 2 10 2 8 3 5" xfId="4265" xr:uid="{00000000-0005-0000-0000-0000A9100000}"/>
    <cellStyle name="Normal 10 2 10 2 8 3 6" xfId="4266" xr:uid="{00000000-0005-0000-0000-0000AA100000}"/>
    <cellStyle name="Normal 10 2 10 2 8 3 7" xfId="4267" xr:uid="{00000000-0005-0000-0000-0000AB100000}"/>
    <cellStyle name="Normal 10 2 10 2 8 3 8" xfId="4268" xr:uid="{00000000-0005-0000-0000-0000AC100000}"/>
    <cellStyle name="Normal 10 2 10 2 8 3 9" xfId="4269" xr:uid="{00000000-0005-0000-0000-0000AD100000}"/>
    <cellStyle name="Normal 10 2 10 2 8 4" xfId="4270" xr:uid="{00000000-0005-0000-0000-0000AE100000}"/>
    <cellStyle name="Normal 10 2 10 2 8 4 10" xfId="4271" xr:uid="{00000000-0005-0000-0000-0000AF100000}"/>
    <cellStyle name="Normal 10 2 10 2 8 4 2" xfId="4272" xr:uid="{00000000-0005-0000-0000-0000B0100000}"/>
    <cellStyle name="Normal 10 2 10 2 8 4 3" xfId="4273" xr:uid="{00000000-0005-0000-0000-0000B1100000}"/>
    <cellStyle name="Normal 10 2 10 2 8 4 4" xfId="4274" xr:uid="{00000000-0005-0000-0000-0000B2100000}"/>
    <cellStyle name="Normal 10 2 10 2 8 4 5" xfId="4275" xr:uid="{00000000-0005-0000-0000-0000B3100000}"/>
    <cellStyle name="Normal 10 2 10 2 8 4 6" xfId="4276" xr:uid="{00000000-0005-0000-0000-0000B4100000}"/>
    <cellStyle name="Normal 10 2 10 2 8 4 7" xfId="4277" xr:uid="{00000000-0005-0000-0000-0000B5100000}"/>
    <cellStyle name="Normal 10 2 10 2 8 4 8" xfId="4278" xr:uid="{00000000-0005-0000-0000-0000B6100000}"/>
    <cellStyle name="Normal 10 2 10 2 8 4 9" xfId="4279" xr:uid="{00000000-0005-0000-0000-0000B7100000}"/>
    <cellStyle name="Normal 10 2 10 2 8 5" xfId="4280" xr:uid="{00000000-0005-0000-0000-0000B8100000}"/>
    <cellStyle name="Normal 10 2 10 2 8 5 10" xfId="4281" xr:uid="{00000000-0005-0000-0000-0000B9100000}"/>
    <cellStyle name="Normal 10 2 10 2 8 5 2" xfId="4282" xr:uid="{00000000-0005-0000-0000-0000BA100000}"/>
    <cellStyle name="Normal 10 2 10 2 8 5 3" xfId="4283" xr:uid="{00000000-0005-0000-0000-0000BB100000}"/>
    <cellStyle name="Normal 10 2 10 2 8 5 4" xfId="4284" xr:uid="{00000000-0005-0000-0000-0000BC100000}"/>
    <cellStyle name="Normal 10 2 10 2 8 5 5" xfId="4285" xr:uid="{00000000-0005-0000-0000-0000BD100000}"/>
    <cellStyle name="Normal 10 2 10 2 8 5 6" xfId="4286" xr:uid="{00000000-0005-0000-0000-0000BE100000}"/>
    <cellStyle name="Normal 10 2 10 2 8 5 7" xfId="4287" xr:uid="{00000000-0005-0000-0000-0000BF100000}"/>
    <cellStyle name="Normal 10 2 10 2 8 5 8" xfId="4288" xr:uid="{00000000-0005-0000-0000-0000C0100000}"/>
    <cellStyle name="Normal 10 2 10 2 8 5 9" xfId="4289" xr:uid="{00000000-0005-0000-0000-0000C1100000}"/>
    <cellStyle name="Normal 10 2 10 2 8 6" xfId="4290" xr:uid="{00000000-0005-0000-0000-0000C2100000}"/>
    <cellStyle name="Normal 10 2 10 2 8 7" xfId="4291" xr:uid="{00000000-0005-0000-0000-0000C3100000}"/>
    <cellStyle name="Normal 10 2 10 2 8 8" xfId="4292" xr:uid="{00000000-0005-0000-0000-0000C4100000}"/>
    <cellStyle name="Normal 10 2 10 2 8 9" xfId="4293" xr:uid="{00000000-0005-0000-0000-0000C5100000}"/>
    <cellStyle name="Normal 10 2 10 2 9" xfId="4294" xr:uid="{00000000-0005-0000-0000-0000C6100000}"/>
    <cellStyle name="Normal 10 2 10 2 9 10" xfId="4295" xr:uid="{00000000-0005-0000-0000-0000C7100000}"/>
    <cellStyle name="Normal 10 2 10 2 9 11" xfId="4296" xr:uid="{00000000-0005-0000-0000-0000C8100000}"/>
    <cellStyle name="Normal 10 2 10 2 9 12" xfId="4297" xr:uid="{00000000-0005-0000-0000-0000C9100000}"/>
    <cellStyle name="Normal 10 2 10 2 9 13" xfId="4298" xr:uid="{00000000-0005-0000-0000-0000CA100000}"/>
    <cellStyle name="Normal 10 2 10 2 9 14" xfId="4299" xr:uid="{00000000-0005-0000-0000-0000CB100000}"/>
    <cellStyle name="Normal 10 2 10 2 9 2" xfId="4300" xr:uid="{00000000-0005-0000-0000-0000CC100000}"/>
    <cellStyle name="Normal 10 2 10 2 9 2 10" xfId="4301" xr:uid="{00000000-0005-0000-0000-0000CD100000}"/>
    <cellStyle name="Normal 10 2 10 2 9 2 2" xfId="4302" xr:uid="{00000000-0005-0000-0000-0000CE100000}"/>
    <cellStyle name="Normal 10 2 10 2 9 2 3" xfId="4303" xr:uid="{00000000-0005-0000-0000-0000CF100000}"/>
    <cellStyle name="Normal 10 2 10 2 9 2 4" xfId="4304" xr:uid="{00000000-0005-0000-0000-0000D0100000}"/>
    <cellStyle name="Normal 10 2 10 2 9 2 5" xfId="4305" xr:uid="{00000000-0005-0000-0000-0000D1100000}"/>
    <cellStyle name="Normal 10 2 10 2 9 2 6" xfId="4306" xr:uid="{00000000-0005-0000-0000-0000D2100000}"/>
    <cellStyle name="Normal 10 2 10 2 9 2 7" xfId="4307" xr:uid="{00000000-0005-0000-0000-0000D3100000}"/>
    <cellStyle name="Normal 10 2 10 2 9 2 8" xfId="4308" xr:uid="{00000000-0005-0000-0000-0000D4100000}"/>
    <cellStyle name="Normal 10 2 10 2 9 2 9" xfId="4309" xr:uid="{00000000-0005-0000-0000-0000D5100000}"/>
    <cellStyle name="Normal 10 2 10 2 9 3" xfId="4310" xr:uid="{00000000-0005-0000-0000-0000D6100000}"/>
    <cellStyle name="Normal 10 2 10 2 9 3 10" xfId="4311" xr:uid="{00000000-0005-0000-0000-0000D7100000}"/>
    <cellStyle name="Normal 10 2 10 2 9 3 2" xfId="4312" xr:uid="{00000000-0005-0000-0000-0000D8100000}"/>
    <cellStyle name="Normal 10 2 10 2 9 3 3" xfId="4313" xr:uid="{00000000-0005-0000-0000-0000D9100000}"/>
    <cellStyle name="Normal 10 2 10 2 9 3 4" xfId="4314" xr:uid="{00000000-0005-0000-0000-0000DA100000}"/>
    <cellStyle name="Normal 10 2 10 2 9 3 5" xfId="4315" xr:uid="{00000000-0005-0000-0000-0000DB100000}"/>
    <cellStyle name="Normal 10 2 10 2 9 3 6" xfId="4316" xr:uid="{00000000-0005-0000-0000-0000DC100000}"/>
    <cellStyle name="Normal 10 2 10 2 9 3 7" xfId="4317" xr:uid="{00000000-0005-0000-0000-0000DD100000}"/>
    <cellStyle name="Normal 10 2 10 2 9 3 8" xfId="4318" xr:uid="{00000000-0005-0000-0000-0000DE100000}"/>
    <cellStyle name="Normal 10 2 10 2 9 3 9" xfId="4319" xr:uid="{00000000-0005-0000-0000-0000DF100000}"/>
    <cellStyle name="Normal 10 2 10 2 9 4" xfId="4320" xr:uid="{00000000-0005-0000-0000-0000E0100000}"/>
    <cellStyle name="Normal 10 2 10 2 9 4 10" xfId="4321" xr:uid="{00000000-0005-0000-0000-0000E1100000}"/>
    <cellStyle name="Normal 10 2 10 2 9 4 2" xfId="4322" xr:uid="{00000000-0005-0000-0000-0000E2100000}"/>
    <cellStyle name="Normal 10 2 10 2 9 4 3" xfId="4323" xr:uid="{00000000-0005-0000-0000-0000E3100000}"/>
    <cellStyle name="Normal 10 2 10 2 9 4 4" xfId="4324" xr:uid="{00000000-0005-0000-0000-0000E4100000}"/>
    <cellStyle name="Normal 10 2 10 2 9 4 5" xfId="4325" xr:uid="{00000000-0005-0000-0000-0000E5100000}"/>
    <cellStyle name="Normal 10 2 10 2 9 4 6" xfId="4326" xr:uid="{00000000-0005-0000-0000-0000E6100000}"/>
    <cellStyle name="Normal 10 2 10 2 9 4 7" xfId="4327" xr:uid="{00000000-0005-0000-0000-0000E7100000}"/>
    <cellStyle name="Normal 10 2 10 2 9 4 8" xfId="4328" xr:uid="{00000000-0005-0000-0000-0000E8100000}"/>
    <cellStyle name="Normal 10 2 10 2 9 4 9" xfId="4329" xr:uid="{00000000-0005-0000-0000-0000E9100000}"/>
    <cellStyle name="Normal 10 2 10 2 9 5" xfId="4330" xr:uid="{00000000-0005-0000-0000-0000EA100000}"/>
    <cellStyle name="Normal 10 2 10 2 9 5 10" xfId="4331" xr:uid="{00000000-0005-0000-0000-0000EB100000}"/>
    <cellStyle name="Normal 10 2 10 2 9 5 2" xfId="4332" xr:uid="{00000000-0005-0000-0000-0000EC100000}"/>
    <cellStyle name="Normal 10 2 10 2 9 5 3" xfId="4333" xr:uid="{00000000-0005-0000-0000-0000ED100000}"/>
    <cellStyle name="Normal 10 2 10 2 9 5 4" xfId="4334" xr:uid="{00000000-0005-0000-0000-0000EE100000}"/>
    <cellStyle name="Normal 10 2 10 2 9 5 5" xfId="4335" xr:uid="{00000000-0005-0000-0000-0000EF100000}"/>
    <cellStyle name="Normal 10 2 10 2 9 5 6" xfId="4336" xr:uid="{00000000-0005-0000-0000-0000F0100000}"/>
    <cellStyle name="Normal 10 2 10 2 9 5 7" xfId="4337" xr:uid="{00000000-0005-0000-0000-0000F1100000}"/>
    <cellStyle name="Normal 10 2 10 2 9 5 8" xfId="4338" xr:uid="{00000000-0005-0000-0000-0000F2100000}"/>
    <cellStyle name="Normal 10 2 10 2 9 5 9" xfId="4339" xr:uid="{00000000-0005-0000-0000-0000F3100000}"/>
    <cellStyle name="Normal 10 2 10 2 9 6" xfId="4340" xr:uid="{00000000-0005-0000-0000-0000F4100000}"/>
    <cellStyle name="Normal 10 2 10 2 9 7" xfId="4341" xr:uid="{00000000-0005-0000-0000-0000F5100000}"/>
    <cellStyle name="Normal 10 2 10 2 9 8" xfId="4342" xr:uid="{00000000-0005-0000-0000-0000F6100000}"/>
    <cellStyle name="Normal 10 2 10 2 9 9" xfId="4343" xr:uid="{00000000-0005-0000-0000-0000F7100000}"/>
    <cellStyle name="Normal 10 2 10 20" xfId="4344" xr:uid="{00000000-0005-0000-0000-0000F8100000}"/>
    <cellStyle name="Normal 10 2 10 20 10" xfId="4345" xr:uid="{00000000-0005-0000-0000-0000F9100000}"/>
    <cellStyle name="Normal 10 2 10 20 11" xfId="4346" xr:uid="{00000000-0005-0000-0000-0000FA100000}"/>
    <cellStyle name="Normal 10 2 10 20 12" xfId="4347" xr:uid="{00000000-0005-0000-0000-0000FB100000}"/>
    <cellStyle name="Normal 10 2 10 20 13" xfId="4348" xr:uid="{00000000-0005-0000-0000-0000FC100000}"/>
    <cellStyle name="Normal 10 2 10 20 14" xfId="4349" xr:uid="{00000000-0005-0000-0000-0000FD100000}"/>
    <cellStyle name="Normal 10 2 10 20 2" xfId="4350" xr:uid="{00000000-0005-0000-0000-0000FE100000}"/>
    <cellStyle name="Normal 10 2 10 20 2 10" xfId="4351" xr:uid="{00000000-0005-0000-0000-0000FF100000}"/>
    <cellStyle name="Normal 10 2 10 20 2 2" xfId="4352" xr:uid="{00000000-0005-0000-0000-000000110000}"/>
    <cellStyle name="Normal 10 2 10 20 2 3" xfId="4353" xr:uid="{00000000-0005-0000-0000-000001110000}"/>
    <cellStyle name="Normal 10 2 10 20 2 4" xfId="4354" xr:uid="{00000000-0005-0000-0000-000002110000}"/>
    <cellStyle name="Normal 10 2 10 20 2 5" xfId="4355" xr:uid="{00000000-0005-0000-0000-000003110000}"/>
    <cellStyle name="Normal 10 2 10 20 2 6" xfId="4356" xr:uid="{00000000-0005-0000-0000-000004110000}"/>
    <cellStyle name="Normal 10 2 10 20 2 7" xfId="4357" xr:uid="{00000000-0005-0000-0000-000005110000}"/>
    <cellStyle name="Normal 10 2 10 20 2 8" xfId="4358" xr:uid="{00000000-0005-0000-0000-000006110000}"/>
    <cellStyle name="Normal 10 2 10 20 2 9" xfId="4359" xr:uid="{00000000-0005-0000-0000-000007110000}"/>
    <cellStyle name="Normal 10 2 10 20 3" xfId="4360" xr:uid="{00000000-0005-0000-0000-000008110000}"/>
    <cellStyle name="Normal 10 2 10 20 3 10" xfId="4361" xr:uid="{00000000-0005-0000-0000-000009110000}"/>
    <cellStyle name="Normal 10 2 10 20 3 2" xfId="4362" xr:uid="{00000000-0005-0000-0000-00000A110000}"/>
    <cellStyle name="Normal 10 2 10 20 3 3" xfId="4363" xr:uid="{00000000-0005-0000-0000-00000B110000}"/>
    <cellStyle name="Normal 10 2 10 20 3 4" xfId="4364" xr:uid="{00000000-0005-0000-0000-00000C110000}"/>
    <cellStyle name="Normal 10 2 10 20 3 5" xfId="4365" xr:uid="{00000000-0005-0000-0000-00000D110000}"/>
    <cellStyle name="Normal 10 2 10 20 3 6" xfId="4366" xr:uid="{00000000-0005-0000-0000-00000E110000}"/>
    <cellStyle name="Normal 10 2 10 20 3 7" xfId="4367" xr:uid="{00000000-0005-0000-0000-00000F110000}"/>
    <cellStyle name="Normal 10 2 10 20 3 8" xfId="4368" xr:uid="{00000000-0005-0000-0000-000010110000}"/>
    <cellStyle name="Normal 10 2 10 20 3 9" xfId="4369" xr:uid="{00000000-0005-0000-0000-000011110000}"/>
    <cellStyle name="Normal 10 2 10 20 4" xfId="4370" xr:uid="{00000000-0005-0000-0000-000012110000}"/>
    <cellStyle name="Normal 10 2 10 20 4 10" xfId="4371" xr:uid="{00000000-0005-0000-0000-000013110000}"/>
    <cellStyle name="Normal 10 2 10 20 4 2" xfId="4372" xr:uid="{00000000-0005-0000-0000-000014110000}"/>
    <cellStyle name="Normal 10 2 10 20 4 3" xfId="4373" xr:uid="{00000000-0005-0000-0000-000015110000}"/>
    <cellStyle name="Normal 10 2 10 20 4 4" xfId="4374" xr:uid="{00000000-0005-0000-0000-000016110000}"/>
    <cellStyle name="Normal 10 2 10 20 4 5" xfId="4375" xr:uid="{00000000-0005-0000-0000-000017110000}"/>
    <cellStyle name="Normal 10 2 10 20 4 6" xfId="4376" xr:uid="{00000000-0005-0000-0000-000018110000}"/>
    <cellStyle name="Normal 10 2 10 20 4 7" xfId="4377" xr:uid="{00000000-0005-0000-0000-000019110000}"/>
    <cellStyle name="Normal 10 2 10 20 4 8" xfId="4378" xr:uid="{00000000-0005-0000-0000-00001A110000}"/>
    <cellStyle name="Normal 10 2 10 20 4 9" xfId="4379" xr:uid="{00000000-0005-0000-0000-00001B110000}"/>
    <cellStyle name="Normal 10 2 10 20 5" xfId="4380" xr:uid="{00000000-0005-0000-0000-00001C110000}"/>
    <cellStyle name="Normal 10 2 10 20 5 10" xfId="4381" xr:uid="{00000000-0005-0000-0000-00001D110000}"/>
    <cellStyle name="Normal 10 2 10 20 5 2" xfId="4382" xr:uid="{00000000-0005-0000-0000-00001E110000}"/>
    <cellStyle name="Normal 10 2 10 20 5 3" xfId="4383" xr:uid="{00000000-0005-0000-0000-00001F110000}"/>
    <cellStyle name="Normal 10 2 10 20 5 4" xfId="4384" xr:uid="{00000000-0005-0000-0000-000020110000}"/>
    <cellStyle name="Normal 10 2 10 20 5 5" xfId="4385" xr:uid="{00000000-0005-0000-0000-000021110000}"/>
    <cellStyle name="Normal 10 2 10 20 5 6" xfId="4386" xr:uid="{00000000-0005-0000-0000-000022110000}"/>
    <cellStyle name="Normal 10 2 10 20 5 7" xfId="4387" xr:uid="{00000000-0005-0000-0000-000023110000}"/>
    <cellStyle name="Normal 10 2 10 20 5 8" xfId="4388" xr:uid="{00000000-0005-0000-0000-000024110000}"/>
    <cellStyle name="Normal 10 2 10 20 5 9" xfId="4389" xr:uid="{00000000-0005-0000-0000-000025110000}"/>
    <cellStyle name="Normal 10 2 10 20 6" xfId="4390" xr:uid="{00000000-0005-0000-0000-000026110000}"/>
    <cellStyle name="Normal 10 2 10 20 7" xfId="4391" xr:uid="{00000000-0005-0000-0000-000027110000}"/>
    <cellStyle name="Normal 10 2 10 20 8" xfId="4392" xr:uid="{00000000-0005-0000-0000-000028110000}"/>
    <cellStyle name="Normal 10 2 10 20 9" xfId="4393" xr:uid="{00000000-0005-0000-0000-000029110000}"/>
    <cellStyle name="Normal 10 2 10 21" xfId="4394" xr:uid="{00000000-0005-0000-0000-00002A110000}"/>
    <cellStyle name="Normal 10 2 10 21 10" xfId="4395" xr:uid="{00000000-0005-0000-0000-00002B110000}"/>
    <cellStyle name="Normal 10 2 10 21 11" xfId="4396" xr:uid="{00000000-0005-0000-0000-00002C110000}"/>
    <cellStyle name="Normal 10 2 10 21 12" xfId="4397" xr:uid="{00000000-0005-0000-0000-00002D110000}"/>
    <cellStyle name="Normal 10 2 10 21 13" xfId="4398" xr:uid="{00000000-0005-0000-0000-00002E110000}"/>
    <cellStyle name="Normal 10 2 10 21 14" xfId="4399" xr:uid="{00000000-0005-0000-0000-00002F110000}"/>
    <cellStyle name="Normal 10 2 10 21 2" xfId="4400" xr:uid="{00000000-0005-0000-0000-000030110000}"/>
    <cellStyle name="Normal 10 2 10 21 2 10" xfId="4401" xr:uid="{00000000-0005-0000-0000-000031110000}"/>
    <cellStyle name="Normal 10 2 10 21 2 2" xfId="4402" xr:uid="{00000000-0005-0000-0000-000032110000}"/>
    <cellStyle name="Normal 10 2 10 21 2 3" xfId="4403" xr:uid="{00000000-0005-0000-0000-000033110000}"/>
    <cellStyle name="Normal 10 2 10 21 2 4" xfId="4404" xr:uid="{00000000-0005-0000-0000-000034110000}"/>
    <cellStyle name="Normal 10 2 10 21 2 5" xfId="4405" xr:uid="{00000000-0005-0000-0000-000035110000}"/>
    <cellStyle name="Normal 10 2 10 21 2 6" xfId="4406" xr:uid="{00000000-0005-0000-0000-000036110000}"/>
    <cellStyle name="Normal 10 2 10 21 2 7" xfId="4407" xr:uid="{00000000-0005-0000-0000-000037110000}"/>
    <cellStyle name="Normal 10 2 10 21 2 8" xfId="4408" xr:uid="{00000000-0005-0000-0000-000038110000}"/>
    <cellStyle name="Normal 10 2 10 21 2 9" xfId="4409" xr:uid="{00000000-0005-0000-0000-000039110000}"/>
    <cellStyle name="Normal 10 2 10 21 3" xfId="4410" xr:uid="{00000000-0005-0000-0000-00003A110000}"/>
    <cellStyle name="Normal 10 2 10 21 3 10" xfId="4411" xr:uid="{00000000-0005-0000-0000-00003B110000}"/>
    <cellStyle name="Normal 10 2 10 21 3 2" xfId="4412" xr:uid="{00000000-0005-0000-0000-00003C110000}"/>
    <cellStyle name="Normal 10 2 10 21 3 3" xfId="4413" xr:uid="{00000000-0005-0000-0000-00003D110000}"/>
    <cellStyle name="Normal 10 2 10 21 3 4" xfId="4414" xr:uid="{00000000-0005-0000-0000-00003E110000}"/>
    <cellStyle name="Normal 10 2 10 21 3 5" xfId="4415" xr:uid="{00000000-0005-0000-0000-00003F110000}"/>
    <cellStyle name="Normal 10 2 10 21 3 6" xfId="4416" xr:uid="{00000000-0005-0000-0000-000040110000}"/>
    <cellStyle name="Normal 10 2 10 21 3 7" xfId="4417" xr:uid="{00000000-0005-0000-0000-000041110000}"/>
    <cellStyle name="Normal 10 2 10 21 3 8" xfId="4418" xr:uid="{00000000-0005-0000-0000-000042110000}"/>
    <cellStyle name="Normal 10 2 10 21 3 9" xfId="4419" xr:uid="{00000000-0005-0000-0000-000043110000}"/>
    <cellStyle name="Normal 10 2 10 21 4" xfId="4420" xr:uid="{00000000-0005-0000-0000-000044110000}"/>
    <cellStyle name="Normal 10 2 10 21 4 10" xfId="4421" xr:uid="{00000000-0005-0000-0000-000045110000}"/>
    <cellStyle name="Normal 10 2 10 21 4 2" xfId="4422" xr:uid="{00000000-0005-0000-0000-000046110000}"/>
    <cellStyle name="Normal 10 2 10 21 4 3" xfId="4423" xr:uid="{00000000-0005-0000-0000-000047110000}"/>
    <cellStyle name="Normal 10 2 10 21 4 4" xfId="4424" xr:uid="{00000000-0005-0000-0000-000048110000}"/>
    <cellStyle name="Normal 10 2 10 21 4 5" xfId="4425" xr:uid="{00000000-0005-0000-0000-000049110000}"/>
    <cellStyle name="Normal 10 2 10 21 4 6" xfId="4426" xr:uid="{00000000-0005-0000-0000-00004A110000}"/>
    <cellStyle name="Normal 10 2 10 21 4 7" xfId="4427" xr:uid="{00000000-0005-0000-0000-00004B110000}"/>
    <cellStyle name="Normal 10 2 10 21 4 8" xfId="4428" xr:uid="{00000000-0005-0000-0000-00004C110000}"/>
    <cellStyle name="Normal 10 2 10 21 4 9" xfId="4429" xr:uid="{00000000-0005-0000-0000-00004D110000}"/>
    <cellStyle name="Normal 10 2 10 21 5" xfId="4430" xr:uid="{00000000-0005-0000-0000-00004E110000}"/>
    <cellStyle name="Normal 10 2 10 21 5 10" xfId="4431" xr:uid="{00000000-0005-0000-0000-00004F110000}"/>
    <cellStyle name="Normal 10 2 10 21 5 2" xfId="4432" xr:uid="{00000000-0005-0000-0000-000050110000}"/>
    <cellStyle name="Normal 10 2 10 21 5 3" xfId="4433" xr:uid="{00000000-0005-0000-0000-000051110000}"/>
    <cellStyle name="Normal 10 2 10 21 5 4" xfId="4434" xr:uid="{00000000-0005-0000-0000-000052110000}"/>
    <cellStyle name="Normal 10 2 10 21 5 5" xfId="4435" xr:uid="{00000000-0005-0000-0000-000053110000}"/>
    <cellStyle name="Normal 10 2 10 21 5 6" xfId="4436" xr:uid="{00000000-0005-0000-0000-000054110000}"/>
    <cellStyle name="Normal 10 2 10 21 5 7" xfId="4437" xr:uid="{00000000-0005-0000-0000-000055110000}"/>
    <cellStyle name="Normal 10 2 10 21 5 8" xfId="4438" xr:uid="{00000000-0005-0000-0000-000056110000}"/>
    <cellStyle name="Normal 10 2 10 21 5 9" xfId="4439" xr:uid="{00000000-0005-0000-0000-000057110000}"/>
    <cellStyle name="Normal 10 2 10 21 6" xfId="4440" xr:uid="{00000000-0005-0000-0000-000058110000}"/>
    <cellStyle name="Normal 10 2 10 21 7" xfId="4441" xr:uid="{00000000-0005-0000-0000-000059110000}"/>
    <cellStyle name="Normal 10 2 10 21 8" xfId="4442" xr:uid="{00000000-0005-0000-0000-00005A110000}"/>
    <cellStyle name="Normal 10 2 10 21 9" xfId="4443" xr:uid="{00000000-0005-0000-0000-00005B110000}"/>
    <cellStyle name="Normal 10 2 10 22" xfId="4444" xr:uid="{00000000-0005-0000-0000-00005C110000}"/>
    <cellStyle name="Normal 10 2 10 22 10" xfId="4445" xr:uid="{00000000-0005-0000-0000-00005D110000}"/>
    <cellStyle name="Normal 10 2 10 22 11" xfId="4446" xr:uid="{00000000-0005-0000-0000-00005E110000}"/>
    <cellStyle name="Normal 10 2 10 22 12" xfId="4447" xr:uid="{00000000-0005-0000-0000-00005F110000}"/>
    <cellStyle name="Normal 10 2 10 22 13" xfId="4448" xr:uid="{00000000-0005-0000-0000-000060110000}"/>
    <cellStyle name="Normal 10 2 10 22 14" xfId="4449" xr:uid="{00000000-0005-0000-0000-000061110000}"/>
    <cellStyle name="Normal 10 2 10 22 2" xfId="4450" xr:uid="{00000000-0005-0000-0000-000062110000}"/>
    <cellStyle name="Normal 10 2 10 22 2 10" xfId="4451" xr:uid="{00000000-0005-0000-0000-000063110000}"/>
    <cellStyle name="Normal 10 2 10 22 2 2" xfId="4452" xr:uid="{00000000-0005-0000-0000-000064110000}"/>
    <cellStyle name="Normal 10 2 10 22 2 3" xfId="4453" xr:uid="{00000000-0005-0000-0000-000065110000}"/>
    <cellStyle name="Normal 10 2 10 22 2 4" xfId="4454" xr:uid="{00000000-0005-0000-0000-000066110000}"/>
    <cellStyle name="Normal 10 2 10 22 2 5" xfId="4455" xr:uid="{00000000-0005-0000-0000-000067110000}"/>
    <cellStyle name="Normal 10 2 10 22 2 6" xfId="4456" xr:uid="{00000000-0005-0000-0000-000068110000}"/>
    <cellStyle name="Normal 10 2 10 22 2 7" xfId="4457" xr:uid="{00000000-0005-0000-0000-000069110000}"/>
    <cellStyle name="Normal 10 2 10 22 2 8" xfId="4458" xr:uid="{00000000-0005-0000-0000-00006A110000}"/>
    <cellStyle name="Normal 10 2 10 22 2 9" xfId="4459" xr:uid="{00000000-0005-0000-0000-00006B110000}"/>
    <cellStyle name="Normal 10 2 10 22 3" xfId="4460" xr:uid="{00000000-0005-0000-0000-00006C110000}"/>
    <cellStyle name="Normal 10 2 10 22 3 10" xfId="4461" xr:uid="{00000000-0005-0000-0000-00006D110000}"/>
    <cellStyle name="Normal 10 2 10 22 3 2" xfId="4462" xr:uid="{00000000-0005-0000-0000-00006E110000}"/>
    <cellStyle name="Normal 10 2 10 22 3 3" xfId="4463" xr:uid="{00000000-0005-0000-0000-00006F110000}"/>
    <cellStyle name="Normal 10 2 10 22 3 4" xfId="4464" xr:uid="{00000000-0005-0000-0000-000070110000}"/>
    <cellStyle name="Normal 10 2 10 22 3 5" xfId="4465" xr:uid="{00000000-0005-0000-0000-000071110000}"/>
    <cellStyle name="Normal 10 2 10 22 3 6" xfId="4466" xr:uid="{00000000-0005-0000-0000-000072110000}"/>
    <cellStyle name="Normal 10 2 10 22 3 7" xfId="4467" xr:uid="{00000000-0005-0000-0000-000073110000}"/>
    <cellStyle name="Normal 10 2 10 22 3 8" xfId="4468" xr:uid="{00000000-0005-0000-0000-000074110000}"/>
    <cellStyle name="Normal 10 2 10 22 3 9" xfId="4469" xr:uid="{00000000-0005-0000-0000-000075110000}"/>
    <cellStyle name="Normal 10 2 10 22 4" xfId="4470" xr:uid="{00000000-0005-0000-0000-000076110000}"/>
    <cellStyle name="Normal 10 2 10 22 4 10" xfId="4471" xr:uid="{00000000-0005-0000-0000-000077110000}"/>
    <cellStyle name="Normal 10 2 10 22 4 2" xfId="4472" xr:uid="{00000000-0005-0000-0000-000078110000}"/>
    <cellStyle name="Normal 10 2 10 22 4 3" xfId="4473" xr:uid="{00000000-0005-0000-0000-000079110000}"/>
    <cellStyle name="Normal 10 2 10 22 4 4" xfId="4474" xr:uid="{00000000-0005-0000-0000-00007A110000}"/>
    <cellStyle name="Normal 10 2 10 22 4 5" xfId="4475" xr:uid="{00000000-0005-0000-0000-00007B110000}"/>
    <cellStyle name="Normal 10 2 10 22 4 6" xfId="4476" xr:uid="{00000000-0005-0000-0000-00007C110000}"/>
    <cellStyle name="Normal 10 2 10 22 4 7" xfId="4477" xr:uid="{00000000-0005-0000-0000-00007D110000}"/>
    <cellStyle name="Normal 10 2 10 22 4 8" xfId="4478" xr:uid="{00000000-0005-0000-0000-00007E110000}"/>
    <cellStyle name="Normal 10 2 10 22 4 9" xfId="4479" xr:uid="{00000000-0005-0000-0000-00007F110000}"/>
    <cellStyle name="Normal 10 2 10 22 5" xfId="4480" xr:uid="{00000000-0005-0000-0000-000080110000}"/>
    <cellStyle name="Normal 10 2 10 22 5 10" xfId="4481" xr:uid="{00000000-0005-0000-0000-000081110000}"/>
    <cellStyle name="Normal 10 2 10 22 5 2" xfId="4482" xr:uid="{00000000-0005-0000-0000-000082110000}"/>
    <cellStyle name="Normal 10 2 10 22 5 3" xfId="4483" xr:uid="{00000000-0005-0000-0000-000083110000}"/>
    <cellStyle name="Normal 10 2 10 22 5 4" xfId="4484" xr:uid="{00000000-0005-0000-0000-000084110000}"/>
    <cellStyle name="Normal 10 2 10 22 5 5" xfId="4485" xr:uid="{00000000-0005-0000-0000-000085110000}"/>
    <cellStyle name="Normal 10 2 10 22 5 6" xfId="4486" xr:uid="{00000000-0005-0000-0000-000086110000}"/>
    <cellStyle name="Normal 10 2 10 22 5 7" xfId="4487" xr:uid="{00000000-0005-0000-0000-000087110000}"/>
    <cellStyle name="Normal 10 2 10 22 5 8" xfId="4488" xr:uid="{00000000-0005-0000-0000-000088110000}"/>
    <cellStyle name="Normal 10 2 10 22 5 9" xfId="4489" xr:uid="{00000000-0005-0000-0000-000089110000}"/>
    <cellStyle name="Normal 10 2 10 22 6" xfId="4490" xr:uid="{00000000-0005-0000-0000-00008A110000}"/>
    <cellStyle name="Normal 10 2 10 22 7" xfId="4491" xr:uid="{00000000-0005-0000-0000-00008B110000}"/>
    <cellStyle name="Normal 10 2 10 22 8" xfId="4492" xr:uid="{00000000-0005-0000-0000-00008C110000}"/>
    <cellStyle name="Normal 10 2 10 22 9" xfId="4493" xr:uid="{00000000-0005-0000-0000-00008D110000}"/>
    <cellStyle name="Normal 10 2 10 23" xfId="4494" xr:uid="{00000000-0005-0000-0000-00008E110000}"/>
    <cellStyle name="Normal 10 2 10 23 10" xfId="4495" xr:uid="{00000000-0005-0000-0000-00008F110000}"/>
    <cellStyle name="Normal 10 2 10 23 11" xfId="4496" xr:uid="{00000000-0005-0000-0000-000090110000}"/>
    <cellStyle name="Normal 10 2 10 23 12" xfId="4497" xr:uid="{00000000-0005-0000-0000-000091110000}"/>
    <cellStyle name="Normal 10 2 10 23 13" xfId="4498" xr:uid="{00000000-0005-0000-0000-000092110000}"/>
    <cellStyle name="Normal 10 2 10 23 14" xfId="4499" xr:uid="{00000000-0005-0000-0000-000093110000}"/>
    <cellStyle name="Normal 10 2 10 23 2" xfId="4500" xr:uid="{00000000-0005-0000-0000-000094110000}"/>
    <cellStyle name="Normal 10 2 10 23 2 10" xfId="4501" xr:uid="{00000000-0005-0000-0000-000095110000}"/>
    <cellStyle name="Normal 10 2 10 23 2 2" xfId="4502" xr:uid="{00000000-0005-0000-0000-000096110000}"/>
    <cellStyle name="Normal 10 2 10 23 2 3" xfId="4503" xr:uid="{00000000-0005-0000-0000-000097110000}"/>
    <cellStyle name="Normal 10 2 10 23 2 4" xfId="4504" xr:uid="{00000000-0005-0000-0000-000098110000}"/>
    <cellStyle name="Normal 10 2 10 23 2 5" xfId="4505" xr:uid="{00000000-0005-0000-0000-000099110000}"/>
    <cellStyle name="Normal 10 2 10 23 2 6" xfId="4506" xr:uid="{00000000-0005-0000-0000-00009A110000}"/>
    <cellStyle name="Normal 10 2 10 23 2 7" xfId="4507" xr:uid="{00000000-0005-0000-0000-00009B110000}"/>
    <cellStyle name="Normal 10 2 10 23 2 8" xfId="4508" xr:uid="{00000000-0005-0000-0000-00009C110000}"/>
    <cellStyle name="Normal 10 2 10 23 2 9" xfId="4509" xr:uid="{00000000-0005-0000-0000-00009D110000}"/>
    <cellStyle name="Normal 10 2 10 23 3" xfId="4510" xr:uid="{00000000-0005-0000-0000-00009E110000}"/>
    <cellStyle name="Normal 10 2 10 23 3 10" xfId="4511" xr:uid="{00000000-0005-0000-0000-00009F110000}"/>
    <cellStyle name="Normal 10 2 10 23 3 2" xfId="4512" xr:uid="{00000000-0005-0000-0000-0000A0110000}"/>
    <cellStyle name="Normal 10 2 10 23 3 3" xfId="4513" xr:uid="{00000000-0005-0000-0000-0000A1110000}"/>
    <cellStyle name="Normal 10 2 10 23 3 4" xfId="4514" xr:uid="{00000000-0005-0000-0000-0000A2110000}"/>
    <cellStyle name="Normal 10 2 10 23 3 5" xfId="4515" xr:uid="{00000000-0005-0000-0000-0000A3110000}"/>
    <cellStyle name="Normal 10 2 10 23 3 6" xfId="4516" xr:uid="{00000000-0005-0000-0000-0000A4110000}"/>
    <cellStyle name="Normal 10 2 10 23 3 7" xfId="4517" xr:uid="{00000000-0005-0000-0000-0000A5110000}"/>
    <cellStyle name="Normal 10 2 10 23 3 8" xfId="4518" xr:uid="{00000000-0005-0000-0000-0000A6110000}"/>
    <cellStyle name="Normal 10 2 10 23 3 9" xfId="4519" xr:uid="{00000000-0005-0000-0000-0000A7110000}"/>
    <cellStyle name="Normal 10 2 10 23 4" xfId="4520" xr:uid="{00000000-0005-0000-0000-0000A8110000}"/>
    <cellStyle name="Normal 10 2 10 23 4 10" xfId="4521" xr:uid="{00000000-0005-0000-0000-0000A9110000}"/>
    <cellStyle name="Normal 10 2 10 23 4 2" xfId="4522" xr:uid="{00000000-0005-0000-0000-0000AA110000}"/>
    <cellStyle name="Normal 10 2 10 23 4 3" xfId="4523" xr:uid="{00000000-0005-0000-0000-0000AB110000}"/>
    <cellStyle name="Normal 10 2 10 23 4 4" xfId="4524" xr:uid="{00000000-0005-0000-0000-0000AC110000}"/>
    <cellStyle name="Normal 10 2 10 23 4 5" xfId="4525" xr:uid="{00000000-0005-0000-0000-0000AD110000}"/>
    <cellStyle name="Normal 10 2 10 23 4 6" xfId="4526" xr:uid="{00000000-0005-0000-0000-0000AE110000}"/>
    <cellStyle name="Normal 10 2 10 23 4 7" xfId="4527" xr:uid="{00000000-0005-0000-0000-0000AF110000}"/>
    <cellStyle name="Normal 10 2 10 23 4 8" xfId="4528" xr:uid="{00000000-0005-0000-0000-0000B0110000}"/>
    <cellStyle name="Normal 10 2 10 23 4 9" xfId="4529" xr:uid="{00000000-0005-0000-0000-0000B1110000}"/>
    <cellStyle name="Normal 10 2 10 23 5" xfId="4530" xr:uid="{00000000-0005-0000-0000-0000B2110000}"/>
    <cellStyle name="Normal 10 2 10 23 5 10" xfId="4531" xr:uid="{00000000-0005-0000-0000-0000B3110000}"/>
    <cellStyle name="Normal 10 2 10 23 5 2" xfId="4532" xr:uid="{00000000-0005-0000-0000-0000B4110000}"/>
    <cellStyle name="Normal 10 2 10 23 5 3" xfId="4533" xr:uid="{00000000-0005-0000-0000-0000B5110000}"/>
    <cellStyle name="Normal 10 2 10 23 5 4" xfId="4534" xr:uid="{00000000-0005-0000-0000-0000B6110000}"/>
    <cellStyle name="Normal 10 2 10 23 5 5" xfId="4535" xr:uid="{00000000-0005-0000-0000-0000B7110000}"/>
    <cellStyle name="Normal 10 2 10 23 5 6" xfId="4536" xr:uid="{00000000-0005-0000-0000-0000B8110000}"/>
    <cellStyle name="Normal 10 2 10 23 5 7" xfId="4537" xr:uid="{00000000-0005-0000-0000-0000B9110000}"/>
    <cellStyle name="Normal 10 2 10 23 5 8" xfId="4538" xr:uid="{00000000-0005-0000-0000-0000BA110000}"/>
    <cellStyle name="Normal 10 2 10 23 5 9" xfId="4539" xr:uid="{00000000-0005-0000-0000-0000BB110000}"/>
    <cellStyle name="Normal 10 2 10 23 6" xfId="4540" xr:uid="{00000000-0005-0000-0000-0000BC110000}"/>
    <cellStyle name="Normal 10 2 10 23 7" xfId="4541" xr:uid="{00000000-0005-0000-0000-0000BD110000}"/>
    <cellStyle name="Normal 10 2 10 23 8" xfId="4542" xr:uid="{00000000-0005-0000-0000-0000BE110000}"/>
    <cellStyle name="Normal 10 2 10 23 9" xfId="4543" xr:uid="{00000000-0005-0000-0000-0000BF110000}"/>
    <cellStyle name="Normal 10 2 10 24" xfId="4544" xr:uid="{00000000-0005-0000-0000-0000C0110000}"/>
    <cellStyle name="Normal 10 2 10 24 10" xfId="4545" xr:uid="{00000000-0005-0000-0000-0000C1110000}"/>
    <cellStyle name="Normal 10 2 10 24 11" xfId="4546" xr:uid="{00000000-0005-0000-0000-0000C2110000}"/>
    <cellStyle name="Normal 10 2 10 24 12" xfId="4547" xr:uid="{00000000-0005-0000-0000-0000C3110000}"/>
    <cellStyle name="Normal 10 2 10 24 13" xfId="4548" xr:uid="{00000000-0005-0000-0000-0000C4110000}"/>
    <cellStyle name="Normal 10 2 10 24 14" xfId="4549" xr:uid="{00000000-0005-0000-0000-0000C5110000}"/>
    <cellStyle name="Normal 10 2 10 24 2" xfId="4550" xr:uid="{00000000-0005-0000-0000-0000C6110000}"/>
    <cellStyle name="Normal 10 2 10 24 2 10" xfId="4551" xr:uid="{00000000-0005-0000-0000-0000C7110000}"/>
    <cellStyle name="Normal 10 2 10 24 2 2" xfId="4552" xr:uid="{00000000-0005-0000-0000-0000C8110000}"/>
    <cellStyle name="Normal 10 2 10 24 2 3" xfId="4553" xr:uid="{00000000-0005-0000-0000-0000C9110000}"/>
    <cellStyle name="Normal 10 2 10 24 2 4" xfId="4554" xr:uid="{00000000-0005-0000-0000-0000CA110000}"/>
    <cellStyle name="Normal 10 2 10 24 2 5" xfId="4555" xr:uid="{00000000-0005-0000-0000-0000CB110000}"/>
    <cellStyle name="Normal 10 2 10 24 2 6" xfId="4556" xr:uid="{00000000-0005-0000-0000-0000CC110000}"/>
    <cellStyle name="Normal 10 2 10 24 2 7" xfId="4557" xr:uid="{00000000-0005-0000-0000-0000CD110000}"/>
    <cellStyle name="Normal 10 2 10 24 2 8" xfId="4558" xr:uid="{00000000-0005-0000-0000-0000CE110000}"/>
    <cellStyle name="Normal 10 2 10 24 2 9" xfId="4559" xr:uid="{00000000-0005-0000-0000-0000CF110000}"/>
    <cellStyle name="Normal 10 2 10 24 3" xfId="4560" xr:uid="{00000000-0005-0000-0000-0000D0110000}"/>
    <cellStyle name="Normal 10 2 10 24 3 10" xfId="4561" xr:uid="{00000000-0005-0000-0000-0000D1110000}"/>
    <cellStyle name="Normal 10 2 10 24 3 2" xfId="4562" xr:uid="{00000000-0005-0000-0000-0000D2110000}"/>
    <cellStyle name="Normal 10 2 10 24 3 3" xfId="4563" xr:uid="{00000000-0005-0000-0000-0000D3110000}"/>
    <cellStyle name="Normal 10 2 10 24 3 4" xfId="4564" xr:uid="{00000000-0005-0000-0000-0000D4110000}"/>
    <cellStyle name="Normal 10 2 10 24 3 5" xfId="4565" xr:uid="{00000000-0005-0000-0000-0000D5110000}"/>
    <cellStyle name="Normal 10 2 10 24 3 6" xfId="4566" xr:uid="{00000000-0005-0000-0000-0000D6110000}"/>
    <cellStyle name="Normal 10 2 10 24 3 7" xfId="4567" xr:uid="{00000000-0005-0000-0000-0000D7110000}"/>
    <cellStyle name="Normal 10 2 10 24 3 8" xfId="4568" xr:uid="{00000000-0005-0000-0000-0000D8110000}"/>
    <cellStyle name="Normal 10 2 10 24 3 9" xfId="4569" xr:uid="{00000000-0005-0000-0000-0000D9110000}"/>
    <cellStyle name="Normal 10 2 10 24 4" xfId="4570" xr:uid="{00000000-0005-0000-0000-0000DA110000}"/>
    <cellStyle name="Normal 10 2 10 24 4 10" xfId="4571" xr:uid="{00000000-0005-0000-0000-0000DB110000}"/>
    <cellStyle name="Normal 10 2 10 24 4 2" xfId="4572" xr:uid="{00000000-0005-0000-0000-0000DC110000}"/>
    <cellStyle name="Normal 10 2 10 24 4 3" xfId="4573" xr:uid="{00000000-0005-0000-0000-0000DD110000}"/>
    <cellStyle name="Normal 10 2 10 24 4 4" xfId="4574" xr:uid="{00000000-0005-0000-0000-0000DE110000}"/>
    <cellStyle name="Normal 10 2 10 24 4 5" xfId="4575" xr:uid="{00000000-0005-0000-0000-0000DF110000}"/>
    <cellStyle name="Normal 10 2 10 24 4 6" xfId="4576" xr:uid="{00000000-0005-0000-0000-0000E0110000}"/>
    <cellStyle name="Normal 10 2 10 24 4 7" xfId="4577" xr:uid="{00000000-0005-0000-0000-0000E1110000}"/>
    <cellStyle name="Normal 10 2 10 24 4 8" xfId="4578" xr:uid="{00000000-0005-0000-0000-0000E2110000}"/>
    <cellStyle name="Normal 10 2 10 24 4 9" xfId="4579" xr:uid="{00000000-0005-0000-0000-0000E3110000}"/>
    <cellStyle name="Normal 10 2 10 24 5" xfId="4580" xr:uid="{00000000-0005-0000-0000-0000E4110000}"/>
    <cellStyle name="Normal 10 2 10 24 5 10" xfId="4581" xr:uid="{00000000-0005-0000-0000-0000E5110000}"/>
    <cellStyle name="Normal 10 2 10 24 5 2" xfId="4582" xr:uid="{00000000-0005-0000-0000-0000E6110000}"/>
    <cellStyle name="Normal 10 2 10 24 5 3" xfId="4583" xr:uid="{00000000-0005-0000-0000-0000E7110000}"/>
    <cellStyle name="Normal 10 2 10 24 5 4" xfId="4584" xr:uid="{00000000-0005-0000-0000-0000E8110000}"/>
    <cellStyle name="Normal 10 2 10 24 5 5" xfId="4585" xr:uid="{00000000-0005-0000-0000-0000E9110000}"/>
    <cellStyle name="Normal 10 2 10 24 5 6" xfId="4586" xr:uid="{00000000-0005-0000-0000-0000EA110000}"/>
    <cellStyle name="Normal 10 2 10 24 5 7" xfId="4587" xr:uid="{00000000-0005-0000-0000-0000EB110000}"/>
    <cellStyle name="Normal 10 2 10 24 5 8" xfId="4588" xr:uid="{00000000-0005-0000-0000-0000EC110000}"/>
    <cellStyle name="Normal 10 2 10 24 5 9" xfId="4589" xr:uid="{00000000-0005-0000-0000-0000ED110000}"/>
    <cellStyle name="Normal 10 2 10 24 6" xfId="4590" xr:uid="{00000000-0005-0000-0000-0000EE110000}"/>
    <cellStyle name="Normal 10 2 10 24 7" xfId="4591" xr:uid="{00000000-0005-0000-0000-0000EF110000}"/>
    <cellStyle name="Normal 10 2 10 24 8" xfId="4592" xr:uid="{00000000-0005-0000-0000-0000F0110000}"/>
    <cellStyle name="Normal 10 2 10 24 9" xfId="4593" xr:uid="{00000000-0005-0000-0000-0000F1110000}"/>
    <cellStyle name="Normal 10 2 10 25" xfId="4594" xr:uid="{00000000-0005-0000-0000-0000F2110000}"/>
    <cellStyle name="Normal 10 2 10 25 10" xfId="4595" xr:uid="{00000000-0005-0000-0000-0000F3110000}"/>
    <cellStyle name="Normal 10 2 10 25 11" xfId="4596" xr:uid="{00000000-0005-0000-0000-0000F4110000}"/>
    <cellStyle name="Normal 10 2 10 25 12" xfId="4597" xr:uid="{00000000-0005-0000-0000-0000F5110000}"/>
    <cellStyle name="Normal 10 2 10 25 13" xfId="4598" xr:uid="{00000000-0005-0000-0000-0000F6110000}"/>
    <cellStyle name="Normal 10 2 10 25 14" xfId="4599" xr:uid="{00000000-0005-0000-0000-0000F7110000}"/>
    <cellStyle name="Normal 10 2 10 25 2" xfId="4600" xr:uid="{00000000-0005-0000-0000-0000F8110000}"/>
    <cellStyle name="Normal 10 2 10 25 2 10" xfId="4601" xr:uid="{00000000-0005-0000-0000-0000F9110000}"/>
    <cellStyle name="Normal 10 2 10 25 2 2" xfId="4602" xr:uid="{00000000-0005-0000-0000-0000FA110000}"/>
    <cellStyle name="Normal 10 2 10 25 2 3" xfId="4603" xr:uid="{00000000-0005-0000-0000-0000FB110000}"/>
    <cellStyle name="Normal 10 2 10 25 2 4" xfId="4604" xr:uid="{00000000-0005-0000-0000-0000FC110000}"/>
    <cellStyle name="Normal 10 2 10 25 2 5" xfId="4605" xr:uid="{00000000-0005-0000-0000-0000FD110000}"/>
    <cellStyle name="Normal 10 2 10 25 2 6" xfId="4606" xr:uid="{00000000-0005-0000-0000-0000FE110000}"/>
    <cellStyle name="Normal 10 2 10 25 2 7" xfId="4607" xr:uid="{00000000-0005-0000-0000-0000FF110000}"/>
    <cellStyle name="Normal 10 2 10 25 2 8" xfId="4608" xr:uid="{00000000-0005-0000-0000-000000120000}"/>
    <cellStyle name="Normal 10 2 10 25 2 9" xfId="4609" xr:uid="{00000000-0005-0000-0000-000001120000}"/>
    <cellStyle name="Normal 10 2 10 25 3" xfId="4610" xr:uid="{00000000-0005-0000-0000-000002120000}"/>
    <cellStyle name="Normal 10 2 10 25 3 10" xfId="4611" xr:uid="{00000000-0005-0000-0000-000003120000}"/>
    <cellStyle name="Normal 10 2 10 25 3 2" xfId="4612" xr:uid="{00000000-0005-0000-0000-000004120000}"/>
    <cellStyle name="Normal 10 2 10 25 3 3" xfId="4613" xr:uid="{00000000-0005-0000-0000-000005120000}"/>
    <cellStyle name="Normal 10 2 10 25 3 4" xfId="4614" xr:uid="{00000000-0005-0000-0000-000006120000}"/>
    <cellStyle name="Normal 10 2 10 25 3 5" xfId="4615" xr:uid="{00000000-0005-0000-0000-000007120000}"/>
    <cellStyle name="Normal 10 2 10 25 3 6" xfId="4616" xr:uid="{00000000-0005-0000-0000-000008120000}"/>
    <cellStyle name="Normal 10 2 10 25 3 7" xfId="4617" xr:uid="{00000000-0005-0000-0000-000009120000}"/>
    <cellStyle name="Normal 10 2 10 25 3 8" xfId="4618" xr:uid="{00000000-0005-0000-0000-00000A120000}"/>
    <cellStyle name="Normal 10 2 10 25 3 9" xfId="4619" xr:uid="{00000000-0005-0000-0000-00000B120000}"/>
    <cellStyle name="Normal 10 2 10 25 4" xfId="4620" xr:uid="{00000000-0005-0000-0000-00000C120000}"/>
    <cellStyle name="Normal 10 2 10 25 4 10" xfId="4621" xr:uid="{00000000-0005-0000-0000-00000D120000}"/>
    <cellStyle name="Normal 10 2 10 25 4 2" xfId="4622" xr:uid="{00000000-0005-0000-0000-00000E120000}"/>
    <cellStyle name="Normal 10 2 10 25 4 3" xfId="4623" xr:uid="{00000000-0005-0000-0000-00000F120000}"/>
    <cellStyle name="Normal 10 2 10 25 4 4" xfId="4624" xr:uid="{00000000-0005-0000-0000-000010120000}"/>
    <cellStyle name="Normal 10 2 10 25 4 5" xfId="4625" xr:uid="{00000000-0005-0000-0000-000011120000}"/>
    <cellStyle name="Normal 10 2 10 25 4 6" xfId="4626" xr:uid="{00000000-0005-0000-0000-000012120000}"/>
    <cellStyle name="Normal 10 2 10 25 4 7" xfId="4627" xr:uid="{00000000-0005-0000-0000-000013120000}"/>
    <cellStyle name="Normal 10 2 10 25 4 8" xfId="4628" xr:uid="{00000000-0005-0000-0000-000014120000}"/>
    <cellStyle name="Normal 10 2 10 25 4 9" xfId="4629" xr:uid="{00000000-0005-0000-0000-000015120000}"/>
    <cellStyle name="Normal 10 2 10 25 5" xfId="4630" xr:uid="{00000000-0005-0000-0000-000016120000}"/>
    <cellStyle name="Normal 10 2 10 25 5 10" xfId="4631" xr:uid="{00000000-0005-0000-0000-000017120000}"/>
    <cellStyle name="Normal 10 2 10 25 5 2" xfId="4632" xr:uid="{00000000-0005-0000-0000-000018120000}"/>
    <cellStyle name="Normal 10 2 10 25 5 3" xfId="4633" xr:uid="{00000000-0005-0000-0000-000019120000}"/>
    <cellStyle name="Normal 10 2 10 25 5 4" xfId="4634" xr:uid="{00000000-0005-0000-0000-00001A120000}"/>
    <cellStyle name="Normal 10 2 10 25 5 5" xfId="4635" xr:uid="{00000000-0005-0000-0000-00001B120000}"/>
    <cellStyle name="Normal 10 2 10 25 5 6" xfId="4636" xr:uid="{00000000-0005-0000-0000-00001C120000}"/>
    <cellStyle name="Normal 10 2 10 25 5 7" xfId="4637" xr:uid="{00000000-0005-0000-0000-00001D120000}"/>
    <cellStyle name="Normal 10 2 10 25 5 8" xfId="4638" xr:uid="{00000000-0005-0000-0000-00001E120000}"/>
    <cellStyle name="Normal 10 2 10 25 5 9" xfId="4639" xr:uid="{00000000-0005-0000-0000-00001F120000}"/>
    <cellStyle name="Normal 10 2 10 25 6" xfId="4640" xr:uid="{00000000-0005-0000-0000-000020120000}"/>
    <cellStyle name="Normal 10 2 10 25 7" xfId="4641" xr:uid="{00000000-0005-0000-0000-000021120000}"/>
    <cellStyle name="Normal 10 2 10 25 8" xfId="4642" xr:uid="{00000000-0005-0000-0000-000022120000}"/>
    <cellStyle name="Normal 10 2 10 25 9" xfId="4643" xr:uid="{00000000-0005-0000-0000-000023120000}"/>
    <cellStyle name="Normal 10 2 10 26" xfId="4644" xr:uid="{00000000-0005-0000-0000-000024120000}"/>
    <cellStyle name="Normal 10 2 10 26 10" xfId="4645" xr:uid="{00000000-0005-0000-0000-000025120000}"/>
    <cellStyle name="Normal 10 2 10 26 11" xfId="4646" xr:uid="{00000000-0005-0000-0000-000026120000}"/>
    <cellStyle name="Normal 10 2 10 26 12" xfId="4647" xr:uid="{00000000-0005-0000-0000-000027120000}"/>
    <cellStyle name="Normal 10 2 10 26 13" xfId="4648" xr:uid="{00000000-0005-0000-0000-000028120000}"/>
    <cellStyle name="Normal 10 2 10 26 14" xfId="4649" xr:uid="{00000000-0005-0000-0000-000029120000}"/>
    <cellStyle name="Normal 10 2 10 26 2" xfId="4650" xr:uid="{00000000-0005-0000-0000-00002A120000}"/>
    <cellStyle name="Normal 10 2 10 26 2 10" xfId="4651" xr:uid="{00000000-0005-0000-0000-00002B120000}"/>
    <cellStyle name="Normal 10 2 10 26 2 2" xfId="4652" xr:uid="{00000000-0005-0000-0000-00002C120000}"/>
    <cellStyle name="Normal 10 2 10 26 2 3" xfId="4653" xr:uid="{00000000-0005-0000-0000-00002D120000}"/>
    <cellStyle name="Normal 10 2 10 26 2 4" xfId="4654" xr:uid="{00000000-0005-0000-0000-00002E120000}"/>
    <cellStyle name="Normal 10 2 10 26 2 5" xfId="4655" xr:uid="{00000000-0005-0000-0000-00002F120000}"/>
    <cellStyle name="Normal 10 2 10 26 2 6" xfId="4656" xr:uid="{00000000-0005-0000-0000-000030120000}"/>
    <cellStyle name="Normal 10 2 10 26 2 7" xfId="4657" xr:uid="{00000000-0005-0000-0000-000031120000}"/>
    <cellStyle name="Normal 10 2 10 26 2 8" xfId="4658" xr:uid="{00000000-0005-0000-0000-000032120000}"/>
    <cellStyle name="Normal 10 2 10 26 2 9" xfId="4659" xr:uid="{00000000-0005-0000-0000-000033120000}"/>
    <cellStyle name="Normal 10 2 10 26 3" xfId="4660" xr:uid="{00000000-0005-0000-0000-000034120000}"/>
    <cellStyle name="Normal 10 2 10 26 3 10" xfId="4661" xr:uid="{00000000-0005-0000-0000-000035120000}"/>
    <cellStyle name="Normal 10 2 10 26 3 2" xfId="4662" xr:uid="{00000000-0005-0000-0000-000036120000}"/>
    <cellStyle name="Normal 10 2 10 26 3 3" xfId="4663" xr:uid="{00000000-0005-0000-0000-000037120000}"/>
    <cellStyle name="Normal 10 2 10 26 3 4" xfId="4664" xr:uid="{00000000-0005-0000-0000-000038120000}"/>
    <cellStyle name="Normal 10 2 10 26 3 5" xfId="4665" xr:uid="{00000000-0005-0000-0000-000039120000}"/>
    <cellStyle name="Normal 10 2 10 26 3 6" xfId="4666" xr:uid="{00000000-0005-0000-0000-00003A120000}"/>
    <cellStyle name="Normal 10 2 10 26 3 7" xfId="4667" xr:uid="{00000000-0005-0000-0000-00003B120000}"/>
    <cellStyle name="Normal 10 2 10 26 3 8" xfId="4668" xr:uid="{00000000-0005-0000-0000-00003C120000}"/>
    <cellStyle name="Normal 10 2 10 26 3 9" xfId="4669" xr:uid="{00000000-0005-0000-0000-00003D120000}"/>
    <cellStyle name="Normal 10 2 10 26 4" xfId="4670" xr:uid="{00000000-0005-0000-0000-00003E120000}"/>
    <cellStyle name="Normal 10 2 10 26 4 10" xfId="4671" xr:uid="{00000000-0005-0000-0000-00003F120000}"/>
    <cellStyle name="Normal 10 2 10 26 4 2" xfId="4672" xr:uid="{00000000-0005-0000-0000-000040120000}"/>
    <cellStyle name="Normal 10 2 10 26 4 3" xfId="4673" xr:uid="{00000000-0005-0000-0000-000041120000}"/>
    <cellStyle name="Normal 10 2 10 26 4 4" xfId="4674" xr:uid="{00000000-0005-0000-0000-000042120000}"/>
    <cellStyle name="Normal 10 2 10 26 4 5" xfId="4675" xr:uid="{00000000-0005-0000-0000-000043120000}"/>
    <cellStyle name="Normal 10 2 10 26 4 6" xfId="4676" xr:uid="{00000000-0005-0000-0000-000044120000}"/>
    <cellStyle name="Normal 10 2 10 26 4 7" xfId="4677" xr:uid="{00000000-0005-0000-0000-000045120000}"/>
    <cellStyle name="Normal 10 2 10 26 4 8" xfId="4678" xr:uid="{00000000-0005-0000-0000-000046120000}"/>
    <cellStyle name="Normal 10 2 10 26 4 9" xfId="4679" xr:uid="{00000000-0005-0000-0000-000047120000}"/>
    <cellStyle name="Normal 10 2 10 26 5" xfId="4680" xr:uid="{00000000-0005-0000-0000-000048120000}"/>
    <cellStyle name="Normal 10 2 10 26 5 10" xfId="4681" xr:uid="{00000000-0005-0000-0000-000049120000}"/>
    <cellStyle name="Normal 10 2 10 26 5 2" xfId="4682" xr:uid="{00000000-0005-0000-0000-00004A120000}"/>
    <cellStyle name="Normal 10 2 10 26 5 3" xfId="4683" xr:uid="{00000000-0005-0000-0000-00004B120000}"/>
    <cellStyle name="Normal 10 2 10 26 5 4" xfId="4684" xr:uid="{00000000-0005-0000-0000-00004C120000}"/>
    <cellStyle name="Normal 10 2 10 26 5 5" xfId="4685" xr:uid="{00000000-0005-0000-0000-00004D120000}"/>
    <cellStyle name="Normal 10 2 10 26 5 6" xfId="4686" xr:uid="{00000000-0005-0000-0000-00004E120000}"/>
    <cellStyle name="Normal 10 2 10 26 5 7" xfId="4687" xr:uid="{00000000-0005-0000-0000-00004F120000}"/>
    <cellStyle name="Normal 10 2 10 26 5 8" xfId="4688" xr:uid="{00000000-0005-0000-0000-000050120000}"/>
    <cellStyle name="Normal 10 2 10 26 5 9" xfId="4689" xr:uid="{00000000-0005-0000-0000-000051120000}"/>
    <cellStyle name="Normal 10 2 10 26 6" xfId="4690" xr:uid="{00000000-0005-0000-0000-000052120000}"/>
    <cellStyle name="Normal 10 2 10 26 7" xfId="4691" xr:uid="{00000000-0005-0000-0000-000053120000}"/>
    <cellStyle name="Normal 10 2 10 26 8" xfId="4692" xr:uid="{00000000-0005-0000-0000-000054120000}"/>
    <cellStyle name="Normal 10 2 10 26 9" xfId="4693" xr:uid="{00000000-0005-0000-0000-000055120000}"/>
    <cellStyle name="Normal 10 2 10 27" xfId="4694" xr:uid="{00000000-0005-0000-0000-000056120000}"/>
    <cellStyle name="Normal 10 2 10 27 10" xfId="4695" xr:uid="{00000000-0005-0000-0000-000057120000}"/>
    <cellStyle name="Normal 10 2 10 27 11" xfId="4696" xr:uid="{00000000-0005-0000-0000-000058120000}"/>
    <cellStyle name="Normal 10 2 10 27 12" xfId="4697" xr:uid="{00000000-0005-0000-0000-000059120000}"/>
    <cellStyle name="Normal 10 2 10 27 13" xfId="4698" xr:uid="{00000000-0005-0000-0000-00005A120000}"/>
    <cellStyle name="Normal 10 2 10 27 14" xfId="4699" xr:uid="{00000000-0005-0000-0000-00005B120000}"/>
    <cellStyle name="Normal 10 2 10 27 2" xfId="4700" xr:uid="{00000000-0005-0000-0000-00005C120000}"/>
    <cellStyle name="Normal 10 2 10 27 2 10" xfId="4701" xr:uid="{00000000-0005-0000-0000-00005D120000}"/>
    <cellStyle name="Normal 10 2 10 27 2 2" xfId="4702" xr:uid="{00000000-0005-0000-0000-00005E120000}"/>
    <cellStyle name="Normal 10 2 10 27 2 3" xfId="4703" xr:uid="{00000000-0005-0000-0000-00005F120000}"/>
    <cellStyle name="Normal 10 2 10 27 2 4" xfId="4704" xr:uid="{00000000-0005-0000-0000-000060120000}"/>
    <cellStyle name="Normal 10 2 10 27 2 5" xfId="4705" xr:uid="{00000000-0005-0000-0000-000061120000}"/>
    <cellStyle name="Normal 10 2 10 27 2 6" xfId="4706" xr:uid="{00000000-0005-0000-0000-000062120000}"/>
    <cellStyle name="Normal 10 2 10 27 2 7" xfId="4707" xr:uid="{00000000-0005-0000-0000-000063120000}"/>
    <cellStyle name="Normal 10 2 10 27 2 8" xfId="4708" xr:uid="{00000000-0005-0000-0000-000064120000}"/>
    <cellStyle name="Normal 10 2 10 27 2 9" xfId="4709" xr:uid="{00000000-0005-0000-0000-000065120000}"/>
    <cellStyle name="Normal 10 2 10 27 3" xfId="4710" xr:uid="{00000000-0005-0000-0000-000066120000}"/>
    <cellStyle name="Normal 10 2 10 27 3 10" xfId="4711" xr:uid="{00000000-0005-0000-0000-000067120000}"/>
    <cellStyle name="Normal 10 2 10 27 3 2" xfId="4712" xr:uid="{00000000-0005-0000-0000-000068120000}"/>
    <cellStyle name="Normal 10 2 10 27 3 3" xfId="4713" xr:uid="{00000000-0005-0000-0000-000069120000}"/>
    <cellStyle name="Normal 10 2 10 27 3 4" xfId="4714" xr:uid="{00000000-0005-0000-0000-00006A120000}"/>
    <cellStyle name="Normal 10 2 10 27 3 5" xfId="4715" xr:uid="{00000000-0005-0000-0000-00006B120000}"/>
    <cellStyle name="Normal 10 2 10 27 3 6" xfId="4716" xr:uid="{00000000-0005-0000-0000-00006C120000}"/>
    <cellStyle name="Normal 10 2 10 27 3 7" xfId="4717" xr:uid="{00000000-0005-0000-0000-00006D120000}"/>
    <cellStyle name="Normal 10 2 10 27 3 8" xfId="4718" xr:uid="{00000000-0005-0000-0000-00006E120000}"/>
    <cellStyle name="Normal 10 2 10 27 3 9" xfId="4719" xr:uid="{00000000-0005-0000-0000-00006F120000}"/>
    <cellStyle name="Normal 10 2 10 27 4" xfId="4720" xr:uid="{00000000-0005-0000-0000-000070120000}"/>
    <cellStyle name="Normal 10 2 10 27 4 10" xfId="4721" xr:uid="{00000000-0005-0000-0000-000071120000}"/>
    <cellStyle name="Normal 10 2 10 27 4 2" xfId="4722" xr:uid="{00000000-0005-0000-0000-000072120000}"/>
    <cellStyle name="Normal 10 2 10 27 4 3" xfId="4723" xr:uid="{00000000-0005-0000-0000-000073120000}"/>
    <cellStyle name="Normal 10 2 10 27 4 4" xfId="4724" xr:uid="{00000000-0005-0000-0000-000074120000}"/>
    <cellStyle name="Normal 10 2 10 27 4 5" xfId="4725" xr:uid="{00000000-0005-0000-0000-000075120000}"/>
    <cellStyle name="Normal 10 2 10 27 4 6" xfId="4726" xr:uid="{00000000-0005-0000-0000-000076120000}"/>
    <cellStyle name="Normal 10 2 10 27 4 7" xfId="4727" xr:uid="{00000000-0005-0000-0000-000077120000}"/>
    <cellStyle name="Normal 10 2 10 27 4 8" xfId="4728" xr:uid="{00000000-0005-0000-0000-000078120000}"/>
    <cellStyle name="Normal 10 2 10 27 4 9" xfId="4729" xr:uid="{00000000-0005-0000-0000-000079120000}"/>
    <cellStyle name="Normal 10 2 10 27 5" xfId="4730" xr:uid="{00000000-0005-0000-0000-00007A120000}"/>
    <cellStyle name="Normal 10 2 10 27 5 10" xfId="4731" xr:uid="{00000000-0005-0000-0000-00007B120000}"/>
    <cellStyle name="Normal 10 2 10 27 5 2" xfId="4732" xr:uid="{00000000-0005-0000-0000-00007C120000}"/>
    <cellStyle name="Normal 10 2 10 27 5 3" xfId="4733" xr:uid="{00000000-0005-0000-0000-00007D120000}"/>
    <cellStyle name="Normal 10 2 10 27 5 4" xfId="4734" xr:uid="{00000000-0005-0000-0000-00007E120000}"/>
    <cellStyle name="Normal 10 2 10 27 5 5" xfId="4735" xr:uid="{00000000-0005-0000-0000-00007F120000}"/>
    <cellStyle name="Normal 10 2 10 27 5 6" xfId="4736" xr:uid="{00000000-0005-0000-0000-000080120000}"/>
    <cellStyle name="Normal 10 2 10 27 5 7" xfId="4737" xr:uid="{00000000-0005-0000-0000-000081120000}"/>
    <cellStyle name="Normal 10 2 10 27 5 8" xfId="4738" xr:uid="{00000000-0005-0000-0000-000082120000}"/>
    <cellStyle name="Normal 10 2 10 27 5 9" xfId="4739" xr:uid="{00000000-0005-0000-0000-000083120000}"/>
    <cellStyle name="Normal 10 2 10 27 6" xfId="4740" xr:uid="{00000000-0005-0000-0000-000084120000}"/>
    <cellStyle name="Normal 10 2 10 27 7" xfId="4741" xr:uid="{00000000-0005-0000-0000-000085120000}"/>
    <cellStyle name="Normal 10 2 10 27 8" xfId="4742" xr:uid="{00000000-0005-0000-0000-000086120000}"/>
    <cellStyle name="Normal 10 2 10 27 9" xfId="4743" xr:uid="{00000000-0005-0000-0000-000087120000}"/>
    <cellStyle name="Normal 10 2 10 28" xfId="4744" xr:uid="{00000000-0005-0000-0000-000088120000}"/>
    <cellStyle name="Normal 10 2 10 28 10" xfId="4745" xr:uid="{00000000-0005-0000-0000-000089120000}"/>
    <cellStyle name="Normal 10 2 10 28 11" xfId="4746" xr:uid="{00000000-0005-0000-0000-00008A120000}"/>
    <cellStyle name="Normal 10 2 10 28 12" xfId="4747" xr:uid="{00000000-0005-0000-0000-00008B120000}"/>
    <cellStyle name="Normal 10 2 10 28 13" xfId="4748" xr:uid="{00000000-0005-0000-0000-00008C120000}"/>
    <cellStyle name="Normal 10 2 10 28 14" xfId="4749" xr:uid="{00000000-0005-0000-0000-00008D120000}"/>
    <cellStyle name="Normal 10 2 10 28 2" xfId="4750" xr:uid="{00000000-0005-0000-0000-00008E120000}"/>
    <cellStyle name="Normal 10 2 10 28 2 10" xfId="4751" xr:uid="{00000000-0005-0000-0000-00008F120000}"/>
    <cellStyle name="Normal 10 2 10 28 2 2" xfId="4752" xr:uid="{00000000-0005-0000-0000-000090120000}"/>
    <cellStyle name="Normal 10 2 10 28 2 3" xfId="4753" xr:uid="{00000000-0005-0000-0000-000091120000}"/>
    <cellStyle name="Normal 10 2 10 28 2 4" xfId="4754" xr:uid="{00000000-0005-0000-0000-000092120000}"/>
    <cellStyle name="Normal 10 2 10 28 2 5" xfId="4755" xr:uid="{00000000-0005-0000-0000-000093120000}"/>
    <cellStyle name="Normal 10 2 10 28 2 6" xfId="4756" xr:uid="{00000000-0005-0000-0000-000094120000}"/>
    <cellStyle name="Normal 10 2 10 28 2 7" xfId="4757" xr:uid="{00000000-0005-0000-0000-000095120000}"/>
    <cellStyle name="Normal 10 2 10 28 2 8" xfId="4758" xr:uid="{00000000-0005-0000-0000-000096120000}"/>
    <cellStyle name="Normal 10 2 10 28 2 9" xfId="4759" xr:uid="{00000000-0005-0000-0000-000097120000}"/>
    <cellStyle name="Normal 10 2 10 28 3" xfId="4760" xr:uid="{00000000-0005-0000-0000-000098120000}"/>
    <cellStyle name="Normal 10 2 10 28 3 10" xfId="4761" xr:uid="{00000000-0005-0000-0000-000099120000}"/>
    <cellStyle name="Normal 10 2 10 28 3 2" xfId="4762" xr:uid="{00000000-0005-0000-0000-00009A120000}"/>
    <cellStyle name="Normal 10 2 10 28 3 3" xfId="4763" xr:uid="{00000000-0005-0000-0000-00009B120000}"/>
    <cellStyle name="Normal 10 2 10 28 3 4" xfId="4764" xr:uid="{00000000-0005-0000-0000-00009C120000}"/>
    <cellStyle name="Normal 10 2 10 28 3 5" xfId="4765" xr:uid="{00000000-0005-0000-0000-00009D120000}"/>
    <cellStyle name="Normal 10 2 10 28 3 6" xfId="4766" xr:uid="{00000000-0005-0000-0000-00009E120000}"/>
    <cellStyle name="Normal 10 2 10 28 3 7" xfId="4767" xr:uid="{00000000-0005-0000-0000-00009F120000}"/>
    <cellStyle name="Normal 10 2 10 28 3 8" xfId="4768" xr:uid="{00000000-0005-0000-0000-0000A0120000}"/>
    <cellStyle name="Normal 10 2 10 28 3 9" xfId="4769" xr:uid="{00000000-0005-0000-0000-0000A1120000}"/>
    <cellStyle name="Normal 10 2 10 28 4" xfId="4770" xr:uid="{00000000-0005-0000-0000-0000A2120000}"/>
    <cellStyle name="Normal 10 2 10 28 4 10" xfId="4771" xr:uid="{00000000-0005-0000-0000-0000A3120000}"/>
    <cellStyle name="Normal 10 2 10 28 4 2" xfId="4772" xr:uid="{00000000-0005-0000-0000-0000A4120000}"/>
    <cellStyle name="Normal 10 2 10 28 4 3" xfId="4773" xr:uid="{00000000-0005-0000-0000-0000A5120000}"/>
    <cellStyle name="Normal 10 2 10 28 4 4" xfId="4774" xr:uid="{00000000-0005-0000-0000-0000A6120000}"/>
    <cellStyle name="Normal 10 2 10 28 4 5" xfId="4775" xr:uid="{00000000-0005-0000-0000-0000A7120000}"/>
    <cellStyle name="Normal 10 2 10 28 4 6" xfId="4776" xr:uid="{00000000-0005-0000-0000-0000A8120000}"/>
    <cellStyle name="Normal 10 2 10 28 4 7" xfId="4777" xr:uid="{00000000-0005-0000-0000-0000A9120000}"/>
    <cellStyle name="Normal 10 2 10 28 4 8" xfId="4778" xr:uid="{00000000-0005-0000-0000-0000AA120000}"/>
    <cellStyle name="Normal 10 2 10 28 4 9" xfId="4779" xr:uid="{00000000-0005-0000-0000-0000AB120000}"/>
    <cellStyle name="Normal 10 2 10 28 5" xfId="4780" xr:uid="{00000000-0005-0000-0000-0000AC120000}"/>
    <cellStyle name="Normal 10 2 10 28 5 10" xfId="4781" xr:uid="{00000000-0005-0000-0000-0000AD120000}"/>
    <cellStyle name="Normal 10 2 10 28 5 2" xfId="4782" xr:uid="{00000000-0005-0000-0000-0000AE120000}"/>
    <cellStyle name="Normal 10 2 10 28 5 3" xfId="4783" xr:uid="{00000000-0005-0000-0000-0000AF120000}"/>
    <cellStyle name="Normal 10 2 10 28 5 4" xfId="4784" xr:uid="{00000000-0005-0000-0000-0000B0120000}"/>
    <cellStyle name="Normal 10 2 10 28 5 5" xfId="4785" xr:uid="{00000000-0005-0000-0000-0000B1120000}"/>
    <cellStyle name="Normal 10 2 10 28 5 6" xfId="4786" xr:uid="{00000000-0005-0000-0000-0000B2120000}"/>
    <cellStyle name="Normal 10 2 10 28 5 7" xfId="4787" xr:uid="{00000000-0005-0000-0000-0000B3120000}"/>
    <cellStyle name="Normal 10 2 10 28 5 8" xfId="4788" xr:uid="{00000000-0005-0000-0000-0000B4120000}"/>
    <cellStyle name="Normal 10 2 10 28 5 9" xfId="4789" xr:uid="{00000000-0005-0000-0000-0000B5120000}"/>
    <cellStyle name="Normal 10 2 10 28 6" xfId="4790" xr:uid="{00000000-0005-0000-0000-0000B6120000}"/>
    <cellStyle name="Normal 10 2 10 28 7" xfId="4791" xr:uid="{00000000-0005-0000-0000-0000B7120000}"/>
    <cellStyle name="Normal 10 2 10 28 8" xfId="4792" xr:uid="{00000000-0005-0000-0000-0000B8120000}"/>
    <cellStyle name="Normal 10 2 10 28 9" xfId="4793" xr:uid="{00000000-0005-0000-0000-0000B9120000}"/>
    <cellStyle name="Normal 10 2 10 29" xfId="4794" xr:uid="{00000000-0005-0000-0000-0000BA120000}"/>
    <cellStyle name="Normal 10 2 10 29 10" xfId="4795" xr:uid="{00000000-0005-0000-0000-0000BB120000}"/>
    <cellStyle name="Normal 10 2 10 29 11" xfId="4796" xr:uid="{00000000-0005-0000-0000-0000BC120000}"/>
    <cellStyle name="Normal 10 2 10 29 12" xfId="4797" xr:uid="{00000000-0005-0000-0000-0000BD120000}"/>
    <cellStyle name="Normal 10 2 10 29 13" xfId="4798" xr:uid="{00000000-0005-0000-0000-0000BE120000}"/>
    <cellStyle name="Normal 10 2 10 29 14" xfId="4799" xr:uid="{00000000-0005-0000-0000-0000BF120000}"/>
    <cellStyle name="Normal 10 2 10 29 2" xfId="4800" xr:uid="{00000000-0005-0000-0000-0000C0120000}"/>
    <cellStyle name="Normal 10 2 10 29 2 10" xfId="4801" xr:uid="{00000000-0005-0000-0000-0000C1120000}"/>
    <cellStyle name="Normal 10 2 10 29 2 2" xfId="4802" xr:uid="{00000000-0005-0000-0000-0000C2120000}"/>
    <cellStyle name="Normal 10 2 10 29 2 3" xfId="4803" xr:uid="{00000000-0005-0000-0000-0000C3120000}"/>
    <cellStyle name="Normal 10 2 10 29 2 4" xfId="4804" xr:uid="{00000000-0005-0000-0000-0000C4120000}"/>
    <cellStyle name="Normal 10 2 10 29 2 5" xfId="4805" xr:uid="{00000000-0005-0000-0000-0000C5120000}"/>
    <cellStyle name="Normal 10 2 10 29 2 6" xfId="4806" xr:uid="{00000000-0005-0000-0000-0000C6120000}"/>
    <cellStyle name="Normal 10 2 10 29 2 7" xfId="4807" xr:uid="{00000000-0005-0000-0000-0000C7120000}"/>
    <cellStyle name="Normal 10 2 10 29 2 8" xfId="4808" xr:uid="{00000000-0005-0000-0000-0000C8120000}"/>
    <cellStyle name="Normal 10 2 10 29 2 9" xfId="4809" xr:uid="{00000000-0005-0000-0000-0000C9120000}"/>
    <cellStyle name="Normal 10 2 10 29 3" xfId="4810" xr:uid="{00000000-0005-0000-0000-0000CA120000}"/>
    <cellStyle name="Normal 10 2 10 29 3 10" xfId="4811" xr:uid="{00000000-0005-0000-0000-0000CB120000}"/>
    <cellStyle name="Normal 10 2 10 29 3 2" xfId="4812" xr:uid="{00000000-0005-0000-0000-0000CC120000}"/>
    <cellStyle name="Normal 10 2 10 29 3 3" xfId="4813" xr:uid="{00000000-0005-0000-0000-0000CD120000}"/>
    <cellStyle name="Normal 10 2 10 29 3 4" xfId="4814" xr:uid="{00000000-0005-0000-0000-0000CE120000}"/>
    <cellStyle name="Normal 10 2 10 29 3 5" xfId="4815" xr:uid="{00000000-0005-0000-0000-0000CF120000}"/>
    <cellStyle name="Normal 10 2 10 29 3 6" xfId="4816" xr:uid="{00000000-0005-0000-0000-0000D0120000}"/>
    <cellStyle name="Normal 10 2 10 29 3 7" xfId="4817" xr:uid="{00000000-0005-0000-0000-0000D1120000}"/>
    <cellStyle name="Normal 10 2 10 29 3 8" xfId="4818" xr:uid="{00000000-0005-0000-0000-0000D2120000}"/>
    <cellStyle name="Normal 10 2 10 29 3 9" xfId="4819" xr:uid="{00000000-0005-0000-0000-0000D3120000}"/>
    <cellStyle name="Normal 10 2 10 29 4" xfId="4820" xr:uid="{00000000-0005-0000-0000-0000D4120000}"/>
    <cellStyle name="Normal 10 2 10 29 4 10" xfId="4821" xr:uid="{00000000-0005-0000-0000-0000D5120000}"/>
    <cellStyle name="Normal 10 2 10 29 4 2" xfId="4822" xr:uid="{00000000-0005-0000-0000-0000D6120000}"/>
    <cellStyle name="Normal 10 2 10 29 4 3" xfId="4823" xr:uid="{00000000-0005-0000-0000-0000D7120000}"/>
    <cellStyle name="Normal 10 2 10 29 4 4" xfId="4824" xr:uid="{00000000-0005-0000-0000-0000D8120000}"/>
    <cellStyle name="Normal 10 2 10 29 4 5" xfId="4825" xr:uid="{00000000-0005-0000-0000-0000D9120000}"/>
    <cellStyle name="Normal 10 2 10 29 4 6" xfId="4826" xr:uid="{00000000-0005-0000-0000-0000DA120000}"/>
    <cellStyle name="Normal 10 2 10 29 4 7" xfId="4827" xr:uid="{00000000-0005-0000-0000-0000DB120000}"/>
    <cellStyle name="Normal 10 2 10 29 4 8" xfId="4828" xr:uid="{00000000-0005-0000-0000-0000DC120000}"/>
    <cellStyle name="Normal 10 2 10 29 4 9" xfId="4829" xr:uid="{00000000-0005-0000-0000-0000DD120000}"/>
    <cellStyle name="Normal 10 2 10 29 5" xfId="4830" xr:uid="{00000000-0005-0000-0000-0000DE120000}"/>
    <cellStyle name="Normal 10 2 10 29 5 10" xfId="4831" xr:uid="{00000000-0005-0000-0000-0000DF120000}"/>
    <cellStyle name="Normal 10 2 10 29 5 2" xfId="4832" xr:uid="{00000000-0005-0000-0000-0000E0120000}"/>
    <cellStyle name="Normal 10 2 10 29 5 3" xfId="4833" xr:uid="{00000000-0005-0000-0000-0000E1120000}"/>
    <cellStyle name="Normal 10 2 10 29 5 4" xfId="4834" xr:uid="{00000000-0005-0000-0000-0000E2120000}"/>
    <cellStyle name="Normal 10 2 10 29 5 5" xfId="4835" xr:uid="{00000000-0005-0000-0000-0000E3120000}"/>
    <cellStyle name="Normal 10 2 10 29 5 6" xfId="4836" xr:uid="{00000000-0005-0000-0000-0000E4120000}"/>
    <cellStyle name="Normal 10 2 10 29 5 7" xfId="4837" xr:uid="{00000000-0005-0000-0000-0000E5120000}"/>
    <cellStyle name="Normal 10 2 10 29 5 8" xfId="4838" xr:uid="{00000000-0005-0000-0000-0000E6120000}"/>
    <cellStyle name="Normal 10 2 10 29 5 9" xfId="4839" xr:uid="{00000000-0005-0000-0000-0000E7120000}"/>
    <cellStyle name="Normal 10 2 10 29 6" xfId="4840" xr:uid="{00000000-0005-0000-0000-0000E8120000}"/>
    <cellStyle name="Normal 10 2 10 29 7" xfId="4841" xr:uid="{00000000-0005-0000-0000-0000E9120000}"/>
    <cellStyle name="Normal 10 2 10 29 8" xfId="4842" xr:uid="{00000000-0005-0000-0000-0000EA120000}"/>
    <cellStyle name="Normal 10 2 10 29 9" xfId="4843" xr:uid="{00000000-0005-0000-0000-0000EB120000}"/>
    <cellStyle name="Normal 10 2 10 3" xfId="4844" xr:uid="{00000000-0005-0000-0000-0000EC120000}"/>
    <cellStyle name="Normal 10 2 10 3 10" xfId="4845" xr:uid="{00000000-0005-0000-0000-0000ED120000}"/>
    <cellStyle name="Normal 10 2 10 3 11" xfId="4846" xr:uid="{00000000-0005-0000-0000-0000EE120000}"/>
    <cellStyle name="Normal 10 2 10 3 12" xfId="4847" xr:uid="{00000000-0005-0000-0000-0000EF120000}"/>
    <cellStyle name="Normal 10 2 10 3 13" xfId="4848" xr:uid="{00000000-0005-0000-0000-0000F0120000}"/>
    <cellStyle name="Normal 10 2 10 3 14" xfId="4849" xr:uid="{00000000-0005-0000-0000-0000F1120000}"/>
    <cellStyle name="Normal 10 2 10 3 15" xfId="4850" xr:uid="{00000000-0005-0000-0000-0000F2120000}"/>
    <cellStyle name="Normal 10 2 10 3 2" xfId="4851" xr:uid="{00000000-0005-0000-0000-0000F3120000}"/>
    <cellStyle name="Normal 10 2 10 3 2 10" xfId="4852" xr:uid="{00000000-0005-0000-0000-0000F4120000}"/>
    <cellStyle name="Normal 10 2 10 3 2 2" xfId="4853" xr:uid="{00000000-0005-0000-0000-0000F5120000}"/>
    <cellStyle name="Normal 10 2 10 3 2 3" xfId="4854" xr:uid="{00000000-0005-0000-0000-0000F6120000}"/>
    <cellStyle name="Normal 10 2 10 3 2 4" xfId="4855" xr:uid="{00000000-0005-0000-0000-0000F7120000}"/>
    <cellStyle name="Normal 10 2 10 3 2 5" xfId="4856" xr:uid="{00000000-0005-0000-0000-0000F8120000}"/>
    <cellStyle name="Normal 10 2 10 3 2 6" xfId="4857" xr:uid="{00000000-0005-0000-0000-0000F9120000}"/>
    <cellStyle name="Normal 10 2 10 3 2 7" xfId="4858" xr:uid="{00000000-0005-0000-0000-0000FA120000}"/>
    <cellStyle name="Normal 10 2 10 3 2 8" xfId="4859" xr:uid="{00000000-0005-0000-0000-0000FB120000}"/>
    <cellStyle name="Normal 10 2 10 3 2 9" xfId="4860" xr:uid="{00000000-0005-0000-0000-0000FC120000}"/>
    <cellStyle name="Normal 10 2 10 3 3" xfId="4861" xr:uid="{00000000-0005-0000-0000-0000FD120000}"/>
    <cellStyle name="Normal 10 2 10 3 3 10" xfId="4862" xr:uid="{00000000-0005-0000-0000-0000FE120000}"/>
    <cellStyle name="Normal 10 2 10 3 3 2" xfId="4863" xr:uid="{00000000-0005-0000-0000-0000FF120000}"/>
    <cellStyle name="Normal 10 2 10 3 3 3" xfId="4864" xr:uid="{00000000-0005-0000-0000-000000130000}"/>
    <cellStyle name="Normal 10 2 10 3 3 4" xfId="4865" xr:uid="{00000000-0005-0000-0000-000001130000}"/>
    <cellStyle name="Normal 10 2 10 3 3 5" xfId="4866" xr:uid="{00000000-0005-0000-0000-000002130000}"/>
    <cellStyle name="Normal 10 2 10 3 3 6" xfId="4867" xr:uid="{00000000-0005-0000-0000-000003130000}"/>
    <cellStyle name="Normal 10 2 10 3 3 7" xfId="4868" xr:uid="{00000000-0005-0000-0000-000004130000}"/>
    <cellStyle name="Normal 10 2 10 3 3 8" xfId="4869" xr:uid="{00000000-0005-0000-0000-000005130000}"/>
    <cellStyle name="Normal 10 2 10 3 3 9" xfId="4870" xr:uid="{00000000-0005-0000-0000-000006130000}"/>
    <cellStyle name="Normal 10 2 10 3 4" xfId="4871" xr:uid="{00000000-0005-0000-0000-000007130000}"/>
    <cellStyle name="Normal 10 2 10 3 4 10" xfId="4872" xr:uid="{00000000-0005-0000-0000-000008130000}"/>
    <cellStyle name="Normal 10 2 10 3 4 2" xfId="4873" xr:uid="{00000000-0005-0000-0000-000009130000}"/>
    <cellStyle name="Normal 10 2 10 3 4 3" xfId="4874" xr:uid="{00000000-0005-0000-0000-00000A130000}"/>
    <cellStyle name="Normal 10 2 10 3 4 4" xfId="4875" xr:uid="{00000000-0005-0000-0000-00000B130000}"/>
    <cellStyle name="Normal 10 2 10 3 4 5" xfId="4876" xr:uid="{00000000-0005-0000-0000-00000C130000}"/>
    <cellStyle name="Normal 10 2 10 3 4 6" xfId="4877" xr:uid="{00000000-0005-0000-0000-00000D130000}"/>
    <cellStyle name="Normal 10 2 10 3 4 7" xfId="4878" xr:uid="{00000000-0005-0000-0000-00000E130000}"/>
    <cellStyle name="Normal 10 2 10 3 4 8" xfId="4879" xr:uid="{00000000-0005-0000-0000-00000F130000}"/>
    <cellStyle name="Normal 10 2 10 3 4 9" xfId="4880" xr:uid="{00000000-0005-0000-0000-000010130000}"/>
    <cellStyle name="Normal 10 2 10 3 5" xfId="4881" xr:uid="{00000000-0005-0000-0000-000011130000}"/>
    <cellStyle name="Normal 10 2 10 3 5 10" xfId="4882" xr:uid="{00000000-0005-0000-0000-000012130000}"/>
    <cellStyle name="Normal 10 2 10 3 5 2" xfId="4883" xr:uid="{00000000-0005-0000-0000-000013130000}"/>
    <cellStyle name="Normal 10 2 10 3 5 3" xfId="4884" xr:uid="{00000000-0005-0000-0000-000014130000}"/>
    <cellStyle name="Normal 10 2 10 3 5 4" xfId="4885" xr:uid="{00000000-0005-0000-0000-000015130000}"/>
    <cellStyle name="Normal 10 2 10 3 5 5" xfId="4886" xr:uid="{00000000-0005-0000-0000-000016130000}"/>
    <cellStyle name="Normal 10 2 10 3 5 6" xfId="4887" xr:uid="{00000000-0005-0000-0000-000017130000}"/>
    <cellStyle name="Normal 10 2 10 3 5 7" xfId="4888" xr:uid="{00000000-0005-0000-0000-000018130000}"/>
    <cellStyle name="Normal 10 2 10 3 5 8" xfId="4889" xr:uid="{00000000-0005-0000-0000-000019130000}"/>
    <cellStyle name="Normal 10 2 10 3 5 9" xfId="4890" xr:uid="{00000000-0005-0000-0000-00001A130000}"/>
    <cellStyle name="Normal 10 2 10 3 6" xfId="4891" xr:uid="{00000000-0005-0000-0000-00001B130000}"/>
    <cellStyle name="Normal 10 2 10 3 7" xfId="4892" xr:uid="{00000000-0005-0000-0000-00001C130000}"/>
    <cellStyle name="Normal 10 2 10 3 8" xfId="4893" xr:uid="{00000000-0005-0000-0000-00001D130000}"/>
    <cellStyle name="Normal 10 2 10 3 9" xfId="4894" xr:uid="{00000000-0005-0000-0000-00001E130000}"/>
    <cellStyle name="Normal 10 2 10 30" xfId="4895" xr:uid="{00000000-0005-0000-0000-00001F130000}"/>
    <cellStyle name="Normal 10 2 10 30 10" xfId="4896" xr:uid="{00000000-0005-0000-0000-000020130000}"/>
    <cellStyle name="Normal 10 2 10 30 11" xfId="4897" xr:uid="{00000000-0005-0000-0000-000021130000}"/>
    <cellStyle name="Normal 10 2 10 30 12" xfId="4898" xr:uid="{00000000-0005-0000-0000-000022130000}"/>
    <cellStyle name="Normal 10 2 10 30 13" xfId="4899" xr:uid="{00000000-0005-0000-0000-000023130000}"/>
    <cellStyle name="Normal 10 2 10 30 14" xfId="4900" xr:uid="{00000000-0005-0000-0000-000024130000}"/>
    <cellStyle name="Normal 10 2 10 30 2" xfId="4901" xr:uid="{00000000-0005-0000-0000-000025130000}"/>
    <cellStyle name="Normal 10 2 10 30 2 10" xfId="4902" xr:uid="{00000000-0005-0000-0000-000026130000}"/>
    <cellStyle name="Normal 10 2 10 30 2 2" xfId="4903" xr:uid="{00000000-0005-0000-0000-000027130000}"/>
    <cellStyle name="Normal 10 2 10 30 2 3" xfId="4904" xr:uid="{00000000-0005-0000-0000-000028130000}"/>
    <cellStyle name="Normal 10 2 10 30 2 4" xfId="4905" xr:uid="{00000000-0005-0000-0000-000029130000}"/>
    <cellStyle name="Normal 10 2 10 30 2 5" xfId="4906" xr:uid="{00000000-0005-0000-0000-00002A130000}"/>
    <cellStyle name="Normal 10 2 10 30 2 6" xfId="4907" xr:uid="{00000000-0005-0000-0000-00002B130000}"/>
    <cellStyle name="Normal 10 2 10 30 2 7" xfId="4908" xr:uid="{00000000-0005-0000-0000-00002C130000}"/>
    <cellStyle name="Normal 10 2 10 30 2 8" xfId="4909" xr:uid="{00000000-0005-0000-0000-00002D130000}"/>
    <cellStyle name="Normal 10 2 10 30 2 9" xfId="4910" xr:uid="{00000000-0005-0000-0000-00002E130000}"/>
    <cellStyle name="Normal 10 2 10 30 3" xfId="4911" xr:uid="{00000000-0005-0000-0000-00002F130000}"/>
    <cellStyle name="Normal 10 2 10 30 3 10" xfId="4912" xr:uid="{00000000-0005-0000-0000-000030130000}"/>
    <cellStyle name="Normal 10 2 10 30 3 2" xfId="4913" xr:uid="{00000000-0005-0000-0000-000031130000}"/>
    <cellStyle name="Normal 10 2 10 30 3 3" xfId="4914" xr:uid="{00000000-0005-0000-0000-000032130000}"/>
    <cellStyle name="Normal 10 2 10 30 3 4" xfId="4915" xr:uid="{00000000-0005-0000-0000-000033130000}"/>
    <cellStyle name="Normal 10 2 10 30 3 5" xfId="4916" xr:uid="{00000000-0005-0000-0000-000034130000}"/>
    <cellStyle name="Normal 10 2 10 30 3 6" xfId="4917" xr:uid="{00000000-0005-0000-0000-000035130000}"/>
    <cellStyle name="Normal 10 2 10 30 3 7" xfId="4918" xr:uid="{00000000-0005-0000-0000-000036130000}"/>
    <cellStyle name="Normal 10 2 10 30 3 8" xfId="4919" xr:uid="{00000000-0005-0000-0000-000037130000}"/>
    <cellStyle name="Normal 10 2 10 30 3 9" xfId="4920" xr:uid="{00000000-0005-0000-0000-000038130000}"/>
    <cellStyle name="Normal 10 2 10 30 4" xfId="4921" xr:uid="{00000000-0005-0000-0000-000039130000}"/>
    <cellStyle name="Normal 10 2 10 30 4 10" xfId="4922" xr:uid="{00000000-0005-0000-0000-00003A130000}"/>
    <cellStyle name="Normal 10 2 10 30 4 2" xfId="4923" xr:uid="{00000000-0005-0000-0000-00003B130000}"/>
    <cellStyle name="Normal 10 2 10 30 4 3" xfId="4924" xr:uid="{00000000-0005-0000-0000-00003C130000}"/>
    <cellStyle name="Normal 10 2 10 30 4 4" xfId="4925" xr:uid="{00000000-0005-0000-0000-00003D130000}"/>
    <cellStyle name="Normal 10 2 10 30 4 5" xfId="4926" xr:uid="{00000000-0005-0000-0000-00003E130000}"/>
    <cellStyle name="Normal 10 2 10 30 4 6" xfId="4927" xr:uid="{00000000-0005-0000-0000-00003F130000}"/>
    <cellStyle name="Normal 10 2 10 30 4 7" xfId="4928" xr:uid="{00000000-0005-0000-0000-000040130000}"/>
    <cellStyle name="Normal 10 2 10 30 4 8" xfId="4929" xr:uid="{00000000-0005-0000-0000-000041130000}"/>
    <cellStyle name="Normal 10 2 10 30 4 9" xfId="4930" xr:uid="{00000000-0005-0000-0000-000042130000}"/>
    <cellStyle name="Normal 10 2 10 30 5" xfId="4931" xr:uid="{00000000-0005-0000-0000-000043130000}"/>
    <cellStyle name="Normal 10 2 10 30 5 10" xfId="4932" xr:uid="{00000000-0005-0000-0000-000044130000}"/>
    <cellStyle name="Normal 10 2 10 30 5 2" xfId="4933" xr:uid="{00000000-0005-0000-0000-000045130000}"/>
    <cellStyle name="Normal 10 2 10 30 5 3" xfId="4934" xr:uid="{00000000-0005-0000-0000-000046130000}"/>
    <cellStyle name="Normal 10 2 10 30 5 4" xfId="4935" xr:uid="{00000000-0005-0000-0000-000047130000}"/>
    <cellStyle name="Normal 10 2 10 30 5 5" xfId="4936" xr:uid="{00000000-0005-0000-0000-000048130000}"/>
    <cellStyle name="Normal 10 2 10 30 5 6" xfId="4937" xr:uid="{00000000-0005-0000-0000-000049130000}"/>
    <cellStyle name="Normal 10 2 10 30 5 7" xfId="4938" xr:uid="{00000000-0005-0000-0000-00004A130000}"/>
    <cellStyle name="Normal 10 2 10 30 5 8" xfId="4939" xr:uid="{00000000-0005-0000-0000-00004B130000}"/>
    <cellStyle name="Normal 10 2 10 30 5 9" xfId="4940" xr:uid="{00000000-0005-0000-0000-00004C130000}"/>
    <cellStyle name="Normal 10 2 10 30 6" xfId="4941" xr:uid="{00000000-0005-0000-0000-00004D130000}"/>
    <cellStyle name="Normal 10 2 10 30 7" xfId="4942" xr:uid="{00000000-0005-0000-0000-00004E130000}"/>
    <cellStyle name="Normal 10 2 10 30 8" xfId="4943" xr:uid="{00000000-0005-0000-0000-00004F130000}"/>
    <cellStyle name="Normal 10 2 10 30 9" xfId="4944" xr:uid="{00000000-0005-0000-0000-000050130000}"/>
    <cellStyle name="Normal 10 2 10 31" xfId="4945" xr:uid="{00000000-0005-0000-0000-000051130000}"/>
    <cellStyle name="Normal 10 2 10 31 10" xfId="4946" xr:uid="{00000000-0005-0000-0000-000052130000}"/>
    <cellStyle name="Normal 10 2 10 31 11" xfId="4947" xr:uid="{00000000-0005-0000-0000-000053130000}"/>
    <cellStyle name="Normal 10 2 10 31 12" xfId="4948" xr:uid="{00000000-0005-0000-0000-000054130000}"/>
    <cellStyle name="Normal 10 2 10 31 13" xfId="4949" xr:uid="{00000000-0005-0000-0000-000055130000}"/>
    <cellStyle name="Normal 10 2 10 31 14" xfId="4950" xr:uid="{00000000-0005-0000-0000-000056130000}"/>
    <cellStyle name="Normal 10 2 10 31 2" xfId="4951" xr:uid="{00000000-0005-0000-0000-000057130000}"/>
    <cellStyle name="Normal 10 2 10 31 2 10" xfId="4952" xr:uid="{00000000-0005-0000-0000-000058130000}"/>
    <cellStyle name="Normal 10 2 10 31 2 2" xfId="4953" xr:uid="{00000000-0005-0000-0000-000059130000}"/>
    <cellStyle name="Normal 10 2 10 31 2 3" xfId="4954" xr:uid="{00000000-0005-0000-0000-00005A130000}"/>
    <cellStyle name="Normal 10 2 10 31 2 4" xfId="4955" xr:uid="{00000000-0005-0000-0000-00005B130000}"/>
    <cellStyle name="Normal 10 2 10 31 2 5" xfId="4956" xr:uid="{00000000-0005-0000-0000-00005C130000}"/>
    <cellStyle name="Normal 10 2 10 31 2 6" xfId="4957" xr:uid="{00000000-0005-0000-0000-00005D130000}"/>
    <cellStyle name="Normal 10 2 10 31 2 7" xfId="4958" xr:uid="{00000000-0005-0000-0000-00005E130000}"/>
    <cellStyle name="Normal 10 2 10 31 2 8" xfId="4959" xr:uid="{00000000-0005-0000-0000-00005F130000}"/>
    <cellStyle name="Normal 10 2 10 31 2 9" xfId="4960" xr:uid="{00000000-0005-0000-0000-000060130000}"/>
    <cellStyle name="Normal 10 2 10 31 3" xfId="4961" xr:uid="{00000000-0005-0000-0000-000061130000}"/>
    <cellStyle name="Normal 10 2 10 31 3 10" xfId="4962" xr:uid="{00000000-0005-0000-0000-000062130000}"/>
    <cellStyle name="Normal 10 2 10 31 3 2" xfId="4963" xr:uid="{00000000-0005-0000-0000-000063130000}"/>
    <cellStyle name="Normal 10 2 10 31 3 3" xfId="4964" xr:uid="{00000000-0005-0000-0000-000064130000}"/>
    <cellStyle name="Normal 10 2 10 31 3 4" xfId="4965" xr:uid="{00000000-0005-0000-0000-000065130000}"/>
    <cellStyle name="Normal 10 2 10 31 3 5" xfId="4966" xr:uid="{00000000-0005-0000-0000-000066130000}"/>
    <cellStyle name="Normal 10 2 10 31 3 6" xfId="4967" xr:uid="{00000000-0005-0000-0000-000067130000}"/>
    <cellStyle name="Normal 10 2 10 31 3 7" xfId="4968" xr:uid="{00000000-0005-0000-0000-000068130000}"/>
    <cellStyle name="Normal 10 2 10 31 3 8" xfId="4969" xr:uid="{00000000-0005-0000-0000-000069130000}"/>
    <cellStyle name="Normal 10 2 10 31 3 9" xfId="4970" xr:uid="{00000000-0005-0000-0000-00006A130000}"/>
    <cellStyle name="Normal 10 2 10 31 4" xfId="4971" xr:uid="{00000000-0005-0000-0000-00006B130000}"/>
    <cellStyle name="Normal 10 2 10 31 4 10" xfId="4972" xr:uid="{00000000-0005-0000-0000-00006C130000}"/>
    <cellStyle name="Normal 10 2 10 31 4 2" xfId="4973" xr:uid="{00000000-0005-0000-0000-00006D130000}"/>
    <cellStyle name="Normal 10 2 10 31 4 3" xfId="4974" xr:uid="{00000000-0005-0000-0000-00006E130000}"/>
    <cellStyle name="Normal 10 2 10 31 4 4" xfId="4975" xr:uid="{00000000-0005-0000-0000-00006F130000}"/>
    <cellStyle name="Normal 10 2 10 31 4 5" xfId="4976" xr:uid="{00000000-0005-0000-0000-000070130000}"/>
    <cellStyle name="Normal 10 2 10 31 4 6" xfId="4977" xr:uid="{00000000-0005-0000-0000-000071130000}"/>
    <cellStyle name="Normal 10 2 10 31 4 7" xfId="4978" xr:uid="{00000000-0005-0000-0000-000072130000}"/>
    <cellStyle name="Normal 10 2 10 31 4 8" xfId="4979" xr:uid="{00000000-0005-0000-0000-000073130000}"/>
    <cellStyle name="Normal 10 2 10 31 4 9" xfId="4980" xr:uid="{00000000-0005-0000-0000-000074130000}"/>
    <cellStyle name="Normal 10 2 10 31 5" xfId="4981" xr:uid="{00000000-0005-0000-0000-000075130000}"/>
    <cellStyle name="Normal 10 2 10 31 5 10" xfId="4982" xr:uid="{00000000-0005-0000-0000-000076130000}"/>
    <cellStyle name="Normal 10 2 10 31 5 2" xfId="4983" xr:uid="{00000000-0005-0000-0000-000077130000}"/>
    <cellStyle name="Normal 10 2 10 31 5 3" xfId="4984" xr:uid="{00000000-0005-0000-0000-000078130000}"/>
    <cellStyle name="Normal 10 2 10 31 5 4" xfId="4985" xr:uid="{00000000-0005-0000-0000-000079130000}"/>
    <cellStyle name="Normal 10 2 10 31 5 5" xfId="4986" xr:uid="{00000000-0005-0000-0000-00007A130000}"/>
    <cellStyle name="Normal 10 2 10 31 5 6" xfId="4987" xr:uid="{00000000-0005-0000-0000-00007B130000}"/>
    <cellStyle name="Normal 10 2 10 31 5 7" xfId="4988" xr:uid="{00000000-0005-0000-0000-00007C130000}"/>
    <cellStyle name="Normal 10 2 10 31 5 8" xfId="4989" xr:uid="{00000000-0005-0000-0000-00007D130000}"/>
    <cellStyle name="Normal 10 2 10 31 5 9" xfId="4990" xr:uid="{00000000-0005-0000-0000-00007E130000}"/>
    <cellStyle name="Normal 10 2 10 31 6" xfId="4991" xr:uid="{00000000-0005-0000-0000-00007F130000}"/>
    <cellStyle name="Normal 10 2 10 31 7" xfId="4992" xr:uid="{00000000-0005-0000-0000-000080130000}"/>
    <cellStyle name="Normal 10 2 10 31 8" xfId="4993" xr:uid="{00000000-0005-0000-0000-000081130000}"/>
    <cellStyle name="Normal 10 2 10 31 9" xfId="4994" xr:uid="{00000000-0005-0000-0000-000082130000}"/>
    <cellStyle name="Normal 10 2 10 32" xfId="4995" xr:uid="{00000000-0005-0000-0000-000083130000}"/>
    <cellStyle name="Normal 10 2 10 32 10" xfId="4996" xr:uid="{00000000-0005-0000-0000-000084130000}"/>
    <cellStyle name="Normal 10 2 10 32 11" xfId="4997" xr:uid="{00000000-0005-0000-0000-000085130000}"/>
    <cellStyle name="Normal 10 2 10 32 12" xfId="4998" xr:uid="{00000000-0005-0000-0000-000086130000}"/>
    <cellStyle name="Normal 10 2 10 32 13" xfId="4999" xr:uid="{00000000-0005-0000-0000-000087130000}"/>
    <cellStyle name="Normal 10 2 10 32 14" xfId="5000" xr:uid="{00000000-0005-0000-0000-000088130000}"/>
    <cellStyle name="Normal 10 2 10 32 2" xfId="5001" xr:uid="{00000000-0005-0000-0000-000089130000}"/>
    <cellStyle name="Normal 10 2 10 32 2 10" xfId="5002" xr:uid="{00000000-0005-0000-0000-00008A130000}"/>
    <cellStyle name="Normal 10 2 10 32 2 2" xfId="5003" xr:uid="{00000000-0005-0000-0000-00008B130000}"/>
    <cellStyle name="Normal 10 2 10 32 2 3" xfId="5004" xr:uid="{00000000-0005-0000-0000-00008C130000}"/>
    <cellStyle name="Normal 10 2 10 32 2 4" xfId="5005" xr:uid="{00000000-0005-0000-0000-00008D130000}"/>
    <cellStyle name="Normal 10 2 10 32 2 5" xfId="5006" xr:uid="{00000000-0005-0000-0000-00008E130000}"/>
    <cellStyle name="Normal 10 2 10 32 2 6" xfId="5007" xr:uid="{00000000-0005-0000-0000-00008F130000}"/>
    <cellStyle name="Normal 10 2 10 32 2 7" xfId="5008" xr:uid="{00000000-0005-0000-0000-000090130000}"/>
    <cellStyle name="Normal 10 2 10 32 2 8" xfId="5009" xr:uid="{00000000-0005-0000-0000-000091130000}"/>
    <cellStyle name="Normal 10 2 10 32 2 9" xfId="5010" xr:uid="{00000000-0005-0000-0000-000092130000}"/>
    <cellStyle name="Normal 10 2 10 32 3" xfId="5011" xr:uid="{00000000-0005-0000-0000-000093130000}"/>
    <cellStyle name="Normal 10 2 10 32 3 10" xfId="5012" xr:uid="{00000000-0005-0000-0000-000094130000}"/>
    <cellStyle name="Normal 10 2 10 32 3 2" xfId="5013" xr:uid="{00000000-0005-0000-0000-000095130000}"/>
    <cellStyle name="Normal 10 2 10 32 3 3" xfId="5014" xr:uid="{00000000-0005-0000-0000-000096130000}"/>
    <cellStyle name="Normal 10 2 10 32 3 4" xfId="5015" xr:uid="{00000000-0005-0000-0000-000097130000}"/>
    <cellStyle name="Normal 10 2 10 32 3 5" xfId="5016" xr:uid="{00000000-0005-0000-0000-000098130000}"/>
    <cellStyle name="Normal 10 2 10 32 3 6" xfId="5017" xr:uid="{00000000-0005-0000-0000-000099130000}"/>
    <cellStyle name="Normal 10 2 10 32 3 7" xfId="5018" xr:uid="{00000000-0005-0000-0000-00009A130000}"/>
    <cellStyle name="Normal 10 2 10 32 3 8" xfId="5019" xr:uid="{00000000-0005-0000-0000-00009B130000}"/>
    <cellStyle name="Normal 10 2 10 32 3 9" xfId="5020" xr:uid="{00000000-0005-0000-0000-00009C130000}"/>
    <cellStyle name="Normal 10 2 10 32 4" xfId="5021" xr:uid="{00000000-0005-0000-0000-00009D130000}"/>
    <cellStyle name="Normal 10 2 10 32 4 10" xfId="5022" xr:uid="{00000000-0005-0000-0000-00009E130000}"/>
    <cellStyle name="Normal 10 2 10 32 4 2" xfId="5023" xr:uid="{00000000-0005-0000-0000-00009F130000}"/>
    <cellStyle name="Normal 10 2 10 32 4 3" xfId="5024" xr:uid="{00000000-0005-0000-0000-0000A0130000}"/>
    <cellStyle name="Normal 10 2 10 32 4 4" xfId="5025" xr:uid="{00000000-0005-0000-0000-0000A1130000}"/>
    <cellStyle name="Normal 10 2 10 32 4 5" xfId="5026" xr:uid="{00000000-0005-0000-0000-0000A2130000}"/>
    <cellStyle name="Normal 10 2 10 32 4 6" xfId="5027" xr:uid="{00000000-0005-0000-0000-0000A3130000}"/>
    <cellStyle name="Normal 10 2 10 32 4 7" xfId="5028" xr:uid="{00000000-0005-0000-0000-0000A4130000}"/>
    <cellStyle name="Normal 10 2 10 32 4 8" xfId="5029" xr:uid="{00000000-0005-0000-0000-0000A5130000}"/>
    <cellStyle name="Normal 10 2 10 32 4 9" xfId="5030" xr:uid="{00000000-0005-0000-0000-0000A6130000}"/>
    <cellStyle name="Normal 10 2 10 32 5" xfId="5031" xr:uid="{00000000-0005-0000-0000-0000A7130000}"/>
    <cellStyle name="Normal 10 2 10 32 5 10" xfId="5032" xr:uid="{00000000-0005-0000-0000-0000A8130000}"/>
    <cellStyle name="Normal 10 2 10 32 5 2" xfId="5033" xr:uid="{00000000-0005-0000-0000-0000A9130000}"/>
    <cellStyle name="Normal 10 2 10 32 5 3" xfId="5034" xr:uid="{00000000-0005-0000-0000-0000AA130000}"/>
    <cellStyle name="Normal 10 2 10 32 5 4" xfId="5035" xr:uid="{00000000-0005-0000-0000-0000AB130000}"/>
    <cellStyle name="Normal 10 2 10 32 5 5" xfId="5036" xr:uid="{00000000-0005-0000-0000-0000AC130000}"/>
    <cellStyle name="Normal 10 2 10 32 5 6" xfId="5037" xr:uid="{00000000-0005-0000-0000-0000AD130000}"/>
    <cellStyle name="Normal 10 2 10 32 5 7" xfId="5038" xr:uid="{00000000-0005-0000-0000-0000AE130000}"/>
    <cellStyle name="Normal 10 2 10 32 5 8" xfId="5039" xr:uid="{00000000-0005-0000-0000-0000AF130000}"/>
    <cellStyle name="Normal 10 2 10 32 5 9" xfId="5040" xr:uid="{00000000-0005-0000-0000-0000B0130000}"/>
    <cellStyle name="Normal 10 2 10 32 6" xfId="5041" xr:uid="{00000000-0005-0000-0000-0000B1130000}"/>
    <cellStyle name="Normal 10 2 10 32 7" xfId="5042" xr:uid="{00000000-0005-0000-0000-0000B2130000}"/>
    <cellStyle name="Normal 10 2 10 32 8" xfId="5043" xr:uid="{00000000-0005-0000-0000-0000B3130000}"/>
    <cellStyle name="Normal 10 2 10 32 9" xfId="5044" xr:uid="{00000000-0005-0000-0000-0000B4130000}"/>
    <cellStyle name="Normal 10 2 10 33" xfId="5045" xr:uid="{00000000-0005-0000-0000-0000B5130000}"/>
    <cellStyle name="Normal 10 2 10 33 10" xfId="5046" xr:uid="{00000000-0005-0000-0000-0000B6130000}"/>
    <cellStyle name="Normal 10 2 10 33 11" xfId="5047" xr:uid="{00000000-0005-0000-0000-0000B7130000}"/>
    <cellStyle name="Normal 10 2 10 33 12" xfId="5048" xr:uid="{00000000-0005-0000-0000-0000B8130000}"/>
    <cellStyle name="Normal 10 2 10 33 13" xfId="5049" xr:uid="{00000000-0005-0000-0000-0000B9130000}"/>
    <cellStyle name="Normal 10 2 10 33 14" xfId="5050" xr:uid="{00000000-0005-0000-0000-0000BA130000}"/>
    <cellStyle name="Normal 10 2 10 33 2" xfId="5051" xr:uid="{00000000-0005-0000-0000-0000BB130000}"/>
    <cellStyle name="Normal 10 2 10 33 2 10" xfId="5052" xr:uid="{00000000-0005-0000-0000-0000BC130000}"/>
    <cellStyle name="Normal 10 2 10 33 2 2" xfId="5053" xr:uid="{00000000-0005-0000-0000-0000BD130000}"/>
    <cellStyle name="Normal 10 2 10 33 2 3" xfId="5054" xr:uid="{00000000-0005-0000-0000-0000BE130000}"/>
    <cellStyle name="Normal 10 2 10 33 2 4" xfId="5055" xr:uid="{00000000-0005-0000-0000-0000BF130000}"/>
    <cellStyle name="Normal 10 2 10 33 2 5" xfId="5056" xr:uid="{00000000-0005-0000-0000-0000C0130000}"/>
    <cellStyle name="Normal 10 2 10 33 2 6" xfId="5057" xr:uid="{00000000-0005-0000-0000-0000C1130000}"/>
    <cellStyle name="Normal 10 2 10 33 2 7" xfId="5058" xr:uid="{00000000-0005-0000-0000-0000C2130000}"/>
    <cellStyle name="Normal 10 2 10 33 2 8" xfId="5059" xr:uid="{00000000-0005-0000-0000-0000C3130000}"/>
    <cellStyle name="Normal 10 2 10 33 2 9" xfId="5060" xr:uid="{00000000-0005-0000-0000-0000C4130000}"/>
    <cellStyle name="Normal 10 2 10 33 3" xfId="5061" xr:uid="{00000000-0005-0000-0000-0000C5130000}"/>
    <cellStyle name="Normal 10 2 10 33 3 10" xfId="5062" xr:uid="{00000000-0005-0000-0000-0000C6130000}"/>
    <cellStyle name="Normal 10 2 10 33 3 2" xfId="5063" xr:uid="{00000000-0005-0000-0000-0000C7130000}"/>
    <cellStyle name="Normal 10 2 10 33 3 3" xfId="5064" xr:uid="{00000000-0005-0000-0000-0000C8130000}"/>
    <cellStyle name="Normal 10 2 10 33 3 4" xfId="5065" xr:uid="{00000000-0005-0000-0000-0000C9130000}"/>
    <cellStyle name="Normal 10 2 10 33 3 5" xfId="5066" xr:uid="{00000000-0005-0000-0000-0000CA130000}"/>
    <cellStyle name="Normal 10 2 10 33 3 6" xfId="5067" xr:uid="{00000000-0005-0000-0000-0000CB130000}"/>
    <cellStyle name="Normal 10 2 10 33 3 7" xfId="5068" xr:uid="{00000000-0005-0000-0000-0000CC130000}"/>
    <cellStyle name="Normal 10 2 10 33 3 8" xfId="5069" xr:uid="{00000000-0005-0000-0000-0000CD130000}"/>
    <cellStyle name="Normal 10 2 10 33 3 9" xfId="5070" xr:uid="{00000000-0005-0000-0000-0000CE130000}"/>
    <cellStyle name="Normal 10 2 10 33 4" xfId="5071" xr:uid="{00000000-0005-0000-0000-0000CF130000}"/>
    <cellStyle name="Normal 10 2 10 33 4 10" xfId="5072" xr:uid="{00000000-0005-0000-0000-0000D0130000}"/>
    <cellStyle name="Normal 10 2 10 33 4 2" xfId="5073" xr:uid="{00000000-0005-0000-0000-0000D1130000}"/>
    <cellStyle name="Normal 10 2 10 33 4 3" xfId="5074" xr:uid="{00000000-0005-0000-0000-0000D2130000}"/>
    <cellStyle name="Normal 10 2 10 33 4 4" xfId="5075" xr:uid="{00000000-0005-0000-0000-0000D3130000}"/>
    <cellStyle name="Normal 10 2 10 33 4 5" xfId="5076" xr:uid="{00000000-0005-0000-0000-0000D4130000}"/>
    <cellStyle name="Normal 10 2 10 33 4 6" xfId="5077" xr:uid="{00000000-0005-0000-0000-0000D5130000}"/>
    <cellStyle name="Normal 10 2 10 33 4 7" xfId="5078" xr:uid="{00000000-0005-0000-0000-0000D6130000}"/>
    <cellStyle name="Normal 10 2 10 33 4 8" xfId="5079" xr:uid="{00000000-0005-0000-0000-0000D7130000}"/>
    <cellStyle name="Normal 10 2 10 33 4 9" xfId="5080" xr:uid="{00000000-0005-0000-0000-0000D8130000}"/>
    <cellStyle name="Normal 10 2 10 33 5" xfId="5081" xr:uid="{00000000-0005-0000-0000-0000D9130000}"/>
    <cellStyle name="Normal 10 2 10 33 5 10" xfId="5082" xr:uid="{00000000-0005-0000-0000-0000DA130000}"/>
    <cellStyle name="Normal 10 2 10 33 5 2" xfId="5083" xr:uid="{00000000-0005-0000-0000-0000DB130000}"/>
    <cellStyle name="Normal 10 2 10 33 5 3" xfId="5084" xr:uid="{00000000-0005-0000-0000-0000DC130000}"/>
    <cellStyle name="Normal 10 2 10 33 5 4" xfId="5085" xr:uid="{00000000-0005-0000-0000-0000DD130000}"/>
    <cellStyle name="Normal 10 2 10 33 5 5" xfId="5086" xr:uid="{00000000-0005-0000-0000-0000DE130000}"/>
    <cellStyle name="Normal 10 2 10 33 5 6" xfId="5087" xr:uid="{00000000-0005-0000-0000-0000DF130000}"/>
    <cellStyle name="Normal 10 2 10 33 5 7" xfId="5088" xr:uid="{00000000-0005-0000-0000-0000E0130000}"/>
    <cellStyle name="Normal 10 2 10 33 5 8" xfId="5089" xr:uid="{00000000-0005-0000-0000-0000E1130000}"/>
    <cellStyle name="Normal 10 2 10 33 5 9" xfId="5090" xr:uid="{00000000-0005-0000-0000-0000E2130000}"/>
    <cellStyle name="Normal 10 2 10 33 6" xfId="5091" xr:uid="{00000000-0005-0000-0000-0000E3130000}"/>
    <cellStyle name="Normal 10 2 10 33 7" xfId="5092" xr:uid="{00000000-0005-0000-0000-0000E4130000}"/>
    <cellStyle name="Normal 10 2 10 33 8" xfId="5093" xr:uid="{00000000-0005-0000-0000-0000E5130000}"/>
    <cellStyle name="Normal 10 2 10 33 9" xfId="5094" xr:uid="{00000000-0005-0000-0000-0000E6130000}"/>
    <cellStyle name="Normal 10 2 10 34" xfId="5095" xr:uid="{00000000-0005-0000-0000-0000E7130000}"/>
    <cellStyle name="Normal 10 2 10 34 10" xfId="5096" xr:uid="{00000000-0005-0000-0000-0000E8130000}"/>
    <cellStyle name="Normal 10 2 10 34 11" xfId="5097" xr:uid="{00000000-0005-0000-0000-0000E9130000}"/>
    <cellStyle name="Normal 10 2 10 34 12" xfId="5098" xr:uid="{00000000-0005-0000-0000-0000EA130000}"/>
    <cellStyle name="Normal 10 2 10 34 13" xfId="5099" xr:uid="{00000000-0005-0000-0000-0000EB130000}"/>
    <cellStyle name="Normal 10 2 10 34 14" xfId="5100" xr:uid="{00000000-0005-0000-0000-0000EC130000}"/>
    <cellStyle name="Normal 10 2 10 34 2" xfId="5101" xr:uid="{00000000-0005-0000-0000-0000ED130000}"/>
    <cellStyle name="Normal 10 2 10 34 2 10" xfId="5102" xr:uid="{00000000-0005-0000-0000-0000EE130000}"/>
    <cellStyle name="Normal 10 2 10 34 2 2" xfId="5103" xr:uid="{00000000-0005-0000-0000-0000EF130000}"/>
    <cellStyle name="Normal 10 2 10 34 2 3" xfId="5104" xr:uid="{00000000-0005-0000-0000-0000F0130000}"/>
    <cellStyle name="Normal 10 2 10 34 2 4" xfId="5105" xr:uid="{00000000-0005-0000-0000-0000F1130000}"/>
    <cellStyle name="Normal 10 2 10 34 2 5" xfId="5106" xr:uid="{00000000-0005-0000-0000-0000F2130000}"/>
    <cellStyle name="Normal 10 2 10 34 2 6" xfId="5107" xr:uid="{00000000-0005-0000-0000-0000F3130000}"/>
    <cellStyle name="Normal 10 2 10 34 2 7" xfId="5108" xr:uid="{00000000-0005-0000-0000-0000F4130000}"/>
    <cellStyle name="Normal 10 2 10 34 2 8" xfId="5109" xr:uid="{00000000-0005-0000-0000-0000F5130000}"/>
    <cellStyle name="Normal 10 2 10 34 2 9" xfId="5110" xr:uid="{00000000-0005-0000-0000-0000F6130000}"/>
    <cellStyle name="Normal 10 2 10 34 3" xfId="5111" xr:uid="{00000000-0005-0000-0000-0000F7130000}"/>
    <cellStyle name="Normal 10 2 10 34 3 10" xfId="5112" xr:uid="{00000000-0005-0000-0000-0000F8130000}"/>
    <cellStyle name="Normal 10 2 10 34 3 2" xfId="5113" xr:uid="{00000000-0005-0000-0000-0000F9130000}"/>
    <cellStyle name="Normal 10 2 10 34 3 3" xfId="5114" xr:uid="{00000000-0005-0000-0000-0000FA130000}"/>
    <cellStyle name="Normal 10 2 10 34 3 4" xfId="5115" xr:uid="{00000000-0005-0000-0000-0000FB130000}"/>
    <cellStyle name="Normal 10 2 10 34 3 5" xfId="5116" xr:uid="{00000000-0005-0000-0000-0000FC130000}"/>
    <cellStyle name="Normal 10 2 10 34 3 6" xfId="5117" xr:uid="{00000000-0005-0000-0000-0000FD130000}"/>
    <cellStyle name="Normal 10 2 10 34 3 7" xfId="5118" xr:uid="{00000000-0005-0000-0000-0000FE130000}"/>
    <cellStyle name="Normal 10 2 10 34 3 8" xfId="5119" xr:uid="{00000000-0005-0000-0000-0000FF130000}"/>
    <cellStyle name="Normal 10 2 10 34 3 9" xfId="5120" xr:uid="{00000000-0005-0000-0000-000000140000}"/>
    <cellStyle name="Normal 10 2 10 34 4" xfId="5121" xr:uid="{00000000-0005-0000-0000-000001140000}"/>
    <cellStyle name="Normal 10 2 10 34 4 10" xfId="5122" xr:uid="{00000000-0005-0000-0000-000002140000}"/>
    <cellStyle name="Normal 10 2 10 34 4 2" xfId="5123" xr:uid="{00000000-0005-0000-0000-000003140000}"/>
    <cellStyle name="Normal 10 2 10 34 4 3" xfId="5124" xr:uid="{00000000-0005-0000-0000-000004140000}"/>
    <cellStyle name="Normal 10 2 10 34 4 4" xfId="5125" xr:uid="{00000000-0005-0000-0000-000005140000}"/>
    <cellStyle name="Normal 10 2 10 34 4 5" xfId="5126" xr:uid="{00000000-0005-0000-0000-000006140000}"/>
    <cellStyle name="Normal 10 2 10 34 4 6" xfId="5127" xr:uid="{00000000-0005-0000-0000-000007140000}"/>
    <cellStyle name="Normal 10 2 10 34 4 7" xfId="5128" xr:uid="{00000000-0005-0000-0000-000008140000}"/>
    <cellStyle name="Normal 10 2 10 34 4 8" xfId="5129" xr:uid="{00000000-0005-0000-0000-000009140000}"/>
    <cellStyle name="Normal 10 2 10 34 4 9" xfId="5130" xr:uid="{00000000-0005-0000-0000-00000A140000}"/>
    <cellStyle name="Normal 10 2 10 34 5" xfId="5131" xr:uid="{00000000-0005-0000-0000-00000B140000}"/>
    <cellStyle name="Normal 10 2 10 34 5 10" xfId="5132" xr:uid="{00000000-0005-0000-0000-00000C140000}"/>
    <cellStyle name="Normal 10 2 10 34 5 2" xfId="5133" xr:uid="{00000000-0005-0000-0000-00000D140000}"/>
    <cellStyle name="Normal 10 2 10 34 5 3" xfId="5134" xr:uid="{00000000-0005-0000-0000-00000E140000}"/>
    <cellStyle name="Normal 10 2 10 34 5 4" xfId="5135" xr:uid="{00000000-0005-0000-0000-00000F140000}"/>
    <cellStyle name="Normal 10 2 10 34 5 5" xfId="5136" xr:uid="{00000000-0005-0000-0000-000010140000}"/>
    <cellStyle name="Normal 10 2 10 34 5 6" xfId="5137" xr:uid="{00000000-0005-0000-0000-000011140000}"/>
    <cellStyle name="Normal 10 2 10 34 5 7" xfId="5138" xr:uid="{00000000-0005-0000-0000-000012140000}"/>
    <cellStyle name="Normal 10 2 10 34 5 8" xfId="5139" xr:uid="{00000000-0005-0000-0000-000013140000}"/>
    <cellStyle name="Normal 10 2 10 34 5 9" xfId="5140" xr:uid="{00000000-0005-0000-0000-000014140000}"/>
    <cellStyle name="Normal 10 2 10 34 6" xfId="5141" xr:uid="{00000000-0005-0000-0000-000015140000}"/>
    <cellStyle name="Normal 10 2 10 34 7" xfId="5142" xr:uid="{00000000-0005-0000-0000-000016140000}"/>
    <cellStyle name="Normal 10 2 10 34 8" xfId="5143" xr:uid="{00000000-0005-0000-0000-000017140000}"/>
    <cellStyle name="Normal 10 2 10 34 9" xfId="5144" xr:uid="{00000000-0005-0000-0000-000018140000}"/>
    <cellStyle name="Normal 10 2 10 35" xfId="5145" xr:uid="{00000000-0005-0000-0000-000019140000}"/>
    <cellStyle name="Normal 10 2 10 35 10" xfId="5146" xr:uid="{00000000-0005-0000-0000-00001A140000}"/>
    <cellStyle name="Normal 10 2 10 35 2" xfId="5147" xr:uid="{00000000-0005-0000-0000-00001B140000}"/>
    <cellStyle name="Normal 10 2 10 35 3" xfId="5148" xr:uid="{00000000-0005-0000-0000-00001C140000}"/>
    <cellStyle name="Normal 10 2 10 35 4" xfId="5149" xr:uid="{00000000-0005-0000-0000-00001D140000}"/>
    <cellStyle name="Normal 10 2 10 35 5" xfId="5150" xr:uid="{00000000-0005-0000-0000-00001E140000}"/>
    <cellStyle name="Normal 10 2 10 35 6" xfId="5151" xr:uid="{00000000-0005-0000-0000-00001F140000}"/>
    <cellStyle name="Normal 10 2 10 35 7" xfId="5152" xr:uid="{00000000-0005-0000-0000-000020140000}"/>
    <cellStyle name="Normal 10 2 10 35 8" xfId="5153" xr:uid="{00000000-0005-0000-0000-000021140000}"/>
    <cellStyle name="Normal 10 2 10 35 9" xfId="5154" xr:uid="{00000000-0005-0000-0000-000022140000}"/>
    <cellStyle name="Normal 10 2 10 36" xfId="5155" xr:uid="{00000000-0005-0000-0000-000023140000}"/>
    <cellStyle name="Normal 10 2 10 36 10" xfId="5156" xr:uid="{00000000-0005-0000-0000-000024140000}"/>
    <cellStyle name="Normal 10 2 10 36 2" xfId="5157" xr:uid="{00000000-0005-0000-0000-000025140000}"/>
    <cellStyle name="Normal 10 2 10 36 3" xfId="5158" xr:uid="{00000000-0005-0000-0000-000026140000}"/>
    <cellStyle name="Normal 10 2 10 36 4" xfId="5159" xr:uid="{00000000-0005-0000-0000-000027140000}"/>
    <cellStyle name="Normal 10 2 10 36 5" xfId="5160" xr:uid="{00000000-0005-0000-0000-000028140000}"/>
    <cellStyle name="Normal 10 2 10 36 6" xfId="5161" xr:uid="{00000000-0005-0000-0000-000029140000}"/>
    <cellStyle name="Normal 10 2 10 36 7" xfId="5162" xr:uid="{00000000-0005-0000-0000-00002A140000}"/>
    <cellStyle name="Normal 10 2 10 36 8" xfId="5163" xr:uid="{00000000-0005-0000-0000-00002B140000}"/>
    <cellStyle name="Normal 10 2 10 36 9" xfId="5164" xr:uid="{00000000-0005-0000-0000-00002C140000}"/>
    <cellStyle name="Normal 10 2 10 37" xfId="5165" xr:uid="{00000000-0005-0000-0000-00002D140000}"/>
    <cellStyle name="Normal 10 2 10 37 10" xfId="5166" xr:uid="{00000000-0005-0000-0000-00002E140000}"/>
    <cellStyle name="Normal 10 2 10 37 2" xfId="5167" xr:uid="{00000000-0005-0000-0000-00002F140000}"/>
    <cellStyle name="Normal 10 2 10 37 3" xfId="5168" xr:uid="{00000000-0005-0000-0000-000030140000}"/>
    <cellStyle name="Normal 10 2 10 37 4" xfId="5169" xr:uid="{00000000-0005-0000-0000-000031140000}"/>
    <cellStyle name="Normal 10 2 10 37 5" xfId="5170" xr:uid="{00000000-0005-0000-0000-000032140000}"/>
    <cellStyle name="Normal 10 2 10 37 6" xfId="5171" xr:uid="{00000000-0005-0000-0000-000033140000}"/>
    <cellStyle name="Normal 10 2 10 37 7" xfId="5172" xr:uid="{00000000-0005-0000-0000-000034140000}"/>
    <cellStyle name="Normal 10 2 10 37 8" xfId="5173" xr:uid="{00000000-0005-0000-0000-000035140000}"/>
    <cellStyle name="Normal 10 2 10 37 9" xfId="5174" xr:uid="{00000000-0005-0000-0000-000036140000}"/>
    <cellStyle name="Normal 10 2 10 38" xfId="5175" xr:uid="{00000000-0005-0000-0000-000037140000}"/>
    <cellStyle name="Normal 10 2 10 38 10" xfId="5176" xr:uid="{00000000-0005-0000-0000-000038140000}"/>
    <cellStyle name="Normal 10 2 10 38 2" xfId="5177" xr:uid="{00000000-0005-0000-0000-000039140000}"/>
    <cellStyle name="Normal 10 2 10 38 3" xfId="5178" xr:uid="{00000000-0005-0000-0000-00003A140000}"/>
    <cellStyle name="Normal 10 2 10 38 4" xfId="5179" xr:uid="{00000000-0005-0000-0000-00003B140000}"/>
    <cellStyle name="Normal 10 2 10 38 5" xfId="5180" xr:uid="{00000000-0005-0000-0000-00003C140000}"/>
    <cellStyle name="Normal 10 2 10 38 6" xfId="5181" xr:uid="{00000000-0005-0000-0000-00003D140000}"/>
    <cellStyle name="Normal 10 2 10 38 7" xfId="5182" xr:uid="{00000000-0005-0000-0000-00003E140000}"/>
    <cellStyle name="Normal 10 2 10 38 8" xfId="5183" xr:uid="{00000000-0005-0000-0000-00003F140000}"/>
    <cellStyle name="Normal 10 2 10 38 9" xfId="5184" xr:uid="{00000000-0005-0000-0000-000040140000}"/>
    <cellStyle name="Normal 10 2 10 39" xfId="5185" xr:uid="{00000000-0005-0000-0000-000041140000}"/>
    <cellStyle name="Normal 10 2 10 4" xfId="5186" xr:uid="{00000000-0005-0000-0000-000042140000}"/>
    <cellStyle name="Normal 10 2 10 4 10" xfId="5187" xr:uid="{00000000-0005-0000-0000-000043140000}"/>
    <cellStyle name="Normal 10 2 10 4 11" xfId="5188" xr:uid="{00000000-0005-0000-0000-000044140000}"/>
    <cellStyle name="Normal 10 2 10 4 12" xfId="5189" xr:uid="{00000000-0005-0000-0000-000045140000}"/>
    <cellStyle name="Normal 10 2 10 4 13" xfId="5190" xr:uid="{00000000-0005-0000-0000-000046140000}"/>
    <cellStyle name="Normal 10 2 10 4 14" xfId="5191" xr:uid="{00000000-0005-0000-0000-000047140000}"/>
    <cellStyle name="Normal 10 2 10 4 2" xfId="5192" xr:uid="{00000000-0005-0000-0000-000048140000}"/>
    <cellStyle name="Normal 10 2 10 4 2 10" xfId="5193" xr:uid="{00000000-0005-0000-0000-000049140000}"/>
    <cellStyle name="Normal 10 2 10 4 2 2" xfId="5194" xr:uid="{00000000-0005-0000-0000-00004A140000}"/>
    <cellStyle name="Normal 10 2 10 4 2 3" xfId="5195" xr:uid="{00000000-0005-0000-0000-00004B140000}"/>
    <cellStyle name="Normal 10 2 10 4 2 4" xfId="5196" xr:uid="{00000000-0005-0000-0000-00004C140000}"/>
    <cellStyle name="Normal 10 2 10 4 2 5" xfId="5197" xr:uid="{00000000-0005-0000-0000-00004D140000}"/>
    <cellStyle name="Normal 10 2 10 4 2 6" xfId="5198" xr:uid="{00000000-0005-0000-0000-00004E140000}"/>
    <cellStyle name="Normal 10 2 10 4 2 7" xfId="5199" xr:uid="{00000000-0005-0000-0000-00004F140000}"/>
    <cellStyle name="Normal 10 2 10 4 2 8" xfId="5200" xr:uid="{00000000-0005-0000-0000-000050140000}"/>
    <cellStyle name="Normal 10 2 10 4 2 9" xfId="5201" xr:uid="{00000000-0005-0000-0000-000051140000}"/>
    <cellStyle name="Normal 10 2 10 4 3" xfId="5202" xr:uid="{00000000-0005-0000-0000-000052140000}"/>
    <cellStyle name="Normal 10 2 10 4 3 10" xfId="5203" xr:uid="{00000000-0005-0000-0000-000053140000}"/>
    <cellStyle name="Normal 10 2 10 4 3 2" xfId="5204" xr:uid="{00000000-0005-0000-0000-000054140000}"/>
    <cellStyle name="Normal 10 2 10 4 3 3" xfId="5205" xr:uid="{00000000-0005-0000-0000-000055140000}"/>
    <cellStyle name="Normal 10 2 10 4 3 4" xfId="5206" xr:uid="{00000000-0005-0000-0000-000056140000}"/>
    <cellStyle name="Normal 10 2 10 4 3 5" xfId="5207" xr:uid="{00000000-0005-0000-0000-000057140000}"/>
    <cellStyle name="Normal 10 2 10 4 3 6" xfId="5208" xr:uid="{00000000-0005-0000-0000-000058140000}"/>
    <cellStyle name="Normal 10 2 10 4 3 7" xfId="5209" xr:uid="{00000000-0005-0000-0000-000059140000}"/>
    <cellStyle name="Normal 10 2 10 4 3 8" xfId="5210" xr:uid="{00000000-0005-0000-0000-00005A140000}"/>
    <cellStyle name="Normal 10 2 10 4 3 9" xfId="5211" xr:uid="{00000000-0005-0000-0000-00005B140000}"/>
    <cellStyle name="Normal 10 2 10 4 4" xfId="5212" xr:uid="{00000000-0005-0000-0000-00005C140000}"/>
    <cellStyle name="Normal 10 2 10 4 4 10" xfId="5213" xr:uid="{00000000-0005-0000-0000-00005D140000}"/>
    <cellStyle name="Normal 10 2 10 4 4 2" xfId="5214" xr:uid="{00000000-0005-0000-0000-00005E140000}"/>
    <cellStyle name="Normal 10 2 10 4 4 3" xfId="5215" xr:uid="{00000000-0005-0000-0000-00005F140000}"/>
    <cellStyle name="Normal 10 2 10 4 4 4" xfId="5216" xr:uid="{00000000-0005-0000-0000-000060140000}"/>
    <cellStyle name="Normal 10 2 10 4 4 5" xfId="5217" xr:uid="{00000000-0005-0000-0000-000061140000}"/>
    <cellStyle name="Normal 10 2 10 4 4 6" xfId="5218" xr:uid="{00000000-0005-0000-0000-000062140000}"/>
    <cellStyle name="Normal 10 2 10 4 4 7" xfId="5219" xr:uid="{00000000-0005-0000-0000-000063140000}"/>
    <cellStyle name="Normal 10 2 10 4 4 8" xfId="5220" xr:uid="{00000000-0005-0000-0000-000064140000}"/>
    <cellStyle name="Normal 10 2 10 4 4 9" xfId="5221" xr:uid="{00000000-0005-0000-0000-000065140000}"/>
    <cellStyle name="Normal 10 2 10 4 5" xfId="5222" xr:uid="{00000000-0005-0000-0000-000066140000}"/>
    <cellStyle name="Normal 10 2 10 4 5 10" xfId="5223" xr:uid="{00000000-0005-0000-0000-000067140000}"/>
    <cellStyle name="Normal 10 2 10 4 5 2" xfId="5224" xr:uid="{00000000-0005-0000-0000-000068140000}"/>
    <cellStyle name="Normal 10 2 10 4 5 3" xfId="5225" xr:uid="{00000000-0005-0000-0000-000069140000}"/>
    <cellStyle name="Normal 10 2 10 4 5 4" xfId="5226" xr:uid="{00000000-0005-0000-0000-00006A140000}"/>
    <cellStyle name="Normal 10 2 10 4 5 5" xfId="5227" xr:uid="{00000000-0005-0000-0000-00006B140000}"/>
    <cellStyle name="Normal 10 2 10 4 5 6" xfId="5228" xr:uid="{00000000-0005-0000-0000-00006C140000}"/>
    <cellStyle name="Normal 10 2 10 4 5 7" xfId="5229" xr:uid="{00000000-0005-0000-0000-00006D140000}"/>
    <cellStyle name="Normal 10 2 10 4 5 8" xfId="5230" xr:uid="{00000000-0005-0000-0000-00006E140000}"/>
    <cellStyle name="Normal 10 2 10 4 5 9" xfId="5231" xr:uid="{00000000-0005-0000-0000-00006F140000}"/>
    <cellStyle name="Normal 10 2 10 4 6" xfId="5232" xr:uid="{00000000-0005-0000-0000-000070140000}"/>
    <cellStyle name="Normal 10 2 10 4 7" xfId="5233" xr:uid="{00000000-0005-0000-0000-000071140000}"/>
    <cellStyle name="Normal 10 2 10 4 8" xfId="5234" xr:uid="{00000000-0005-0000-0000-000072140000}"/>
    <cellStyle name="Normal 10 2 10 4 9" xfId="5235" xr:uid="{00000000-0005-0000-0000-000073140000}"/>
    <cellStyle name="Normal 10 2 10 40" xfId="5236" xr:uid="{00000000-0005-0000-0000-000074140000}"/>
    <cellStyle name="Normal 10 2 10 41" xfId="5237" xr:uid="{00000000-0005-0000-0000-000075140000}"/>
    <cellStyle name="Normal 10 2 10 42" xfId="5238" xr:uid="{00000000-0005-0000-0000-000076140000}"/>
    <cellStyle name="Normal 10 2 10 43" xfId="5239" xr:uid="{00000000-0005-0000-0000-000077140000}"/>
    <cellStyle name="Normal 10 2 10 44" xfId="5240" xr:uid="{00000000-0005-0000-0000-000078140000}"/>
    <cellStyle name="Normal 10 2 10 45" xfId="5241" xr:uid="{00000000-0005-0000-0000-000079140000}"/>
    <cellStyle name="Normal 10 2 10 46" xfId="5242" xr:uid="{00000000-0005-0000-0000-00007A140000}"/>
    <cellStyle name="Normal 10 2 10 47" xfId="5243" xr:uid="{00000000-0005-0000-0000-00007B140000}"/>
    <cellStyle name="Normal 10 2 10 48" xfId="5244" xr:uid="{00000000-0005-0000-0000-00007C140000}"/>
    <cellStyle name="Normal 10 2 10 49" xfId="5245" xr:uid="{00000000-0005-0000-0000-00007D140000}"/>
    <cellStyle name="Normal 10 2 10 5" xfId="5246" xr:uid="{00000000-0005-0000-0000-00007E140000}"/>
    <cellStyle name="Normal 10 2 10 5 10" xfId="5247" xr:uid="{00000000-0005-0000-0000-00007F140000}"/>
    <cellStyle name="Normal 10 2 10 5 11" xfId="5248" xr:uid="{00000000-0005-0000-0000-000080140000}"/>
    <cellStyle name="Normal 10 2 10 5 12" xfId="5249" xr:uid="{00000000-0005-0000-0000-000081140000}"/>
    <cellStyle name="Normal 10 2 10 5 13" xfId="5250" xr:uid="{00000000-0005-0000-0000-000082140000}"/>
    <cellStyle name="Normal 10 2 10 5 14" xfId="5251" xr:uid="{00000000-0005-0000-0000-000083140000}"/>
    <cellStyle name="Normal 10 2 10 5 2" xfId="5252" xr:uid="{00000000-0005-0000-0000-000084140000}"/>
    <cellStyle name="Normal 10 2 10 5 2 10" xfId="5253" xr:uid="{00000000-0005-0000-0000-000085140000}"/>
    <cellStyle name="Normal 10 2 10 5 2 2" xfId="5254" xr:uid="{00000000-0005-0000-0000-000086140000}"/>
    <cellStyle name="Normal 10 2 10 5 2 3" xfId="5255" xr:uid="{00000000-0005-0000-0000-000087140000}"/>
    <cellStyle name="Normal 10 2 10 5 2 4" xfId="5256" xr:uid="{00000000-0005-0000-0000-000088140000}"/>
    <cellStyle name="Normal 10 2 10 5 2 5" xfId="5257" xr:uid="{00000000-0005-0000-0000-000089140000}"/>
    <cellStyle name="Normal 10 2 10 5 2 6" xfId="5258" xr:uid="{00000000-0005-0000-0000-00008A140000}"/>
    <cellStyle name="Normal 10 2 10 5 2 7" xfId="5259" xr:uid="{00000000-0005-0000-0000-00008B140000}"/>
    <cellStyle name="Normal 10 2 10 5 2 8" xfId="5260" xr:uid="{00000000-0005-0000-0000-00008C140000}"/>
    <cellStyle name="Normal 10 2 10 5 2 9" xfId="5261" xr:uid="{00000000-0005-0000-0000-00008D140000}"/>
    <cellStyle name="Normal 10 2 10 5 3" xfId="5262" xr:uid="{00000000-0005-0000-0000-00008E140000}"/>
    <cellStyle name="Normal 10 2 10 5 3 10" xfId="5263" xr:uid="{00000000-0005-0000-0000-00008F140000}"/>
    <cellStyle name="Normal 10 2 10 5 3 2" xfId="5264" xr:uid="{00000000-0005-0000-0000-000090140000}"/>
    <cellStyle name="Normal 10 2 10 5 3 3" xfId="5265" xr:uid="{00000000-0005-0000-0000-000091140000}"/>
    <cellStyle name="Normal 10 2 10 5 3 4" xfId="5266" xr:uid="{00000000-0005-0000-0000-000092140000}"/>
    <cellStyle name="Normal 10 2 10 5 3 5" xfId="5267" xr:uid="{00000000-0005-0000-0000-000093140000}"/>
    <cellStyle name="Normal 10 2 10 5 3 6" xfId="5268" xr:uid="{00000000-0005-0000-0000-000094140000}"/>
    <cellStyle name="Normal 10 2 10 5 3 7" xfId="5269" xr:uid="{00000000-0005-0000-0000-000095140000}"/>
    <cellStyle name="Normal 10 2 10 5 3 8" xfId="5270" xr:uid="{00000000-0005-0000-0000-000096140000}"/>
    <cellStyle name="Normal 10 2 10 5 3 9" xfId="5271" xr:uid="{00000000-0005-0000-0000-000097140000}"/>
    <cellStyle name="Normal 10 2 10 5 4" xfId="5272" xr:uid="{00000000-0005-0000-0000-000098140000}"/>
    <cellStyle name="Normal 10 2 10 5 4 10" xfId="5273" xr:uid="{00000000-0005-0000-0000-000099140000}"/>
    <cellStyle name="Normal 10 2 10 5 4 2" xfId="5274" xr:uid="{00000000-0005-0000-0000-00009A140000}"/>
    <cellStyle name="Normal 10 2 10 5 4 3" xfId="5275" xr:uid="{00000000-0005-0000-0000-00009B140000}"/>
    <cellStyle name="Normal 10 2 10 5 4 4" xfId="5276" xr:uid="{00000000-0005-0000-0000-00009C140000}"/>
    <cellStyle name="Normal 10 2 10 5 4 5" xfId="5277" xr:uid="{00000000-0005-0000-0000-00009D140000}"/>
    <cellStyle name="Normal 10 2 10 5 4 6" xfId="5278" xr:uid="{00000000-0005-0000-0000-00009E140000}"/>
    <cellStyle name="Normal 10 2 10 5 4 7" xfId="5279" xr:uid="{00000000-0005-0000-0000-00009F140000}"/>
    <cellStyle name="Normal 10 2 10 5 4 8" xfId="5280" xr:uid="{00000000-0005-0000-0000-0000A0140000}"/>
    <cellStyle name="Normal 10 2 10 5 4 9" xfId="5281" xr:uid="{00000000-0005-0000-0000-0000A1140000}"/>
    <cellStyle name="Normal 10 2 10 5 5" xfId="5282" xr:uid="{00000000-0005-0000-0000-0000A2140000}"/>
    <cellStyle name="Normal 10 2 10 5 5 10" xfId="5283" xr:uid="{00000000-0005-0000-0000-0000A3140000}"/>
    <cellStyle name="Normal 10 2 10 5 5 2" xfId="5284" xr:uid="{00000000-0005-0000-0000-0000A4140000}"/>
    <cellStyle name="Normal 10 2 10 5 5 3" xfId="5285" xr:uid="{00000000-0005-0000-0000-0000A5140000}"/>
    <cellStyle name="Normal 10 2 10 5 5 4" xfId="5286" xr:uid="{00000000-0005-0000-0000-0000A6140000}"/>
    <cellStyle name="Normal 10 2 10 5 5 5" xfId="5287" xr:uid="{00000000-0005-0000-0000-0000A7140000}"/>
    <cellStyle name="Normal 10 2 10 5 5 6" xfId="5288" xr:uid="{00000000-0005-0000-0000-0000A8140000}"/>
    <cellStyle name="Normal 10 2 10 5 5 7" xfId="5289" xr:uid="{00000000-0005-0000-0000-0000A9140000}"/>
    <cellStyle name="Normal 10 2 10 5 5 8" xfId="5290" xr:uid="{00000000-0005-0000-0000-0000AA140000}"/>
    <cellStyle name="Normal 10 2 10 5 5 9" xfId="5291" xr:uid="{00000000-0005-0000-0000-0000AB140000}"/>
    <cellStyle name="Normal 10 2 10 5 6" xfId="5292" xr:uid="{00000000-0005-0000-0000-0000AC140000}"/>
    <cellStyle name="Normal 10 2 10 5 7" xfId="5293" xr:uid="{00000000-0005-0000-0000-0000AD140000}"/>
    <cellStyle name="Normal 10 2 10 5 8" xfId="5294" xr:uid="{00000000-0005-0000-0000-0000AE140000}"/>
    <cellStyle name="Normal 10 2 10 5 9" xfId="5295" xr:uid="{00000000-0005-0000-0000-0000AF140000}"/>
    <cellStyle name="Normal 10 2 10 50" xfId="7" xr:uid="{00000000-0005-0000-0000-000007000000}"/>
    <cellStyle name="Normal 10 2 10 6" xfId="5296" xr:uid="{00000000-0005-0000-0000-0000B0140000}"/>
    <cellStyle name="Normal 10 2 10 6 10" xfId="5297" xr:uid="{00000000-0005-0000-0000-0000B1140000}"/>
    <cellStyle name="Normal 10 2 10 6 11" xfId="5298" xr:uid="{00000000-0005-0000-0000-0000B2140000}"/>
    <cellStyle name="Normal 10 2 10 6 12" xfId="5299" xr:uid="{00000000-0005-0000-0000-0000B3140000}"/>
    <cellStyle name="Normal 10 2 10 6 13" xfId="5300" xr:uid="{00000000-0005-0000-0000-0000B4140000}"/>
    <cellStyle name="Normal 10 2 10 6 14" xfId="5301" xr:uid="{00000000-0005-0000-0000-0000B5140000}"/>
    <cellStyle name="Normal 10 2 10 6 2" xfId="5302" xr:uid="{00000000-0005-0000-0000-0000B6140000}"/>
    <cellStyle name="Normal 10 2 10 6 2 10" xfId="5303" xr:uid="{00000000-0005-0000-0000-0000B7140000}"/>
    <cellStyle name="Normal 10 2 10 6 2 2" xfId="5304" xr:uid="{00000000-0005-0000-0000-0000B8140000}"/>
    <cellStyle name="Normal 10 2 10 6 2 3" xfId="5305" xr:uid="{00000000-0005-0000-0000-0000B9140000}"/>
    <cellStyle name="Normal 10 2 10 6 2 4" xfId="5306" xr:uid="{00000000-0005-0000-0000-0000BA140000}"/>
    <cellStyle name="Normal 10 2 10 6 2 5" xfId="5307" xr:uid="{00000000-0005-0000-0000-0000BB140000}"/>
    <cellStyle name="Normal 10 2 10 6 2 6" xfId="5308" xr:uid="{00000000-0005-0000-0000-0000BC140000}"/>
    <cellStyle name="Normal 10 2 10 6 2 7" xfId="5309" xr:uid="{00000000-0005-0000-0000-0000BD140000}"/>
    <cellStyle name="Normal 10 2 10 6 2 8" xfId="5310" xr:uid="{00000000-0005-0000-0000-0000BE140000}"/>
    <cellStyle name="Normal 10 2 10 6 2 9" xfId="5311" xr:uid="{00000000-0005-0000-0000-0000BF140000}"/>
    <cellStyle name="Normal 10 2 10 6 3" xfId="5312" xr:uid="{00000000-0005-0000-0000-0000C0140000}"/>
    <cellStyle name="Normal 10 2 10 6 3 10" xfId="5313" xr:uid="{00000000-0005-0000-0000-0000C1140000}"/>
    <cellStyle name="Normal 10 2 10 6 3 2" xfId="5314" xr:uid="{00000000-0005-0000-0000-0000C2140000}"/>
    <cellStyle name="Normal 10 2 10 6 3 3" xfId="5315" xr:uid="{00000000-0005-0000-0000-0000C3140000}"/>
    <cellStyle name="Normal 10 2 10 6 3 4" xfId="5316" xr:uid="{00000000-0005-0000-0000-0000C4140000}"/>
    <cellStyle name="Normal 10 2 10 6 3 5" xfId="5317" xr:uid="{00000000-0005-0000-0000-0000C5140000}"/>
    <cellStyle name="Normal 10 2 10 6 3 6" xfId="5318" xr:uid="{00000000-0005-0000-0000-0000C6140000}"/>
    <cellStyle name="Normal 10 2 10 6 3 7" xfId="5319" xr:uid="{00000000-0005-0000-0000-0000C7140000}"/>
    <cellStyle name="Normal 10 2 10 6 3 8" xfId="5320" xr:uid="{00000000-0005-0000-0000-0000C8140000}"/>
    <cellStyle name="Normal 10 2 10 6 3 9" xfId="5321" xr:uid="{00000000-0005-0000-0000-0000C9140000}"/>
    <cellStyle name="Normal 10 2 10 6 4" xfId="5322" xr:uid="{00000000-0005-0000-0000-0000CA140000}"/>
    <cellStyle name="Normal 10 2 10 6 4 10" xfId="5323" xr:uid="{00000000-0005-0000-0000-0000CB140000}"/>
    <cellStyle name="Normal 10 2 10 6 4 2" xfId="5324" xr:uid="{00000000-0005-0000-0000-0000CC140000}"/>
    <cellStyle name="Normal 10 2 10 6 4 3" xfId="5325" xr:uid="{00000000-0005-0000-0000-0000CD140000}"/>
    <cellStyle name="Normal 10 2 10 6 4 4" xfId="5326" xr:uid="{00000000-0005-0000-0000-0000CE140000}"/>
    <cellStyle name="Normal 10 2 10 6 4 5" xfId="5327" xr:uid="{00000000-0005-0000-0000-0000CF140000}"/>
    <cellStyle name="Normal 10 2 10 6 4 6" xfId="5328" xr:uid="{00000000-0005-0000-0000-0000D0140000}"/>
    <cellStyle name="Normal 10 2 10 6 4 7" xfId="5329" xr:uid="{00000000-0005-0000-0000-0000D1140000}"/>
    <cellStyle name="Normal 10 2 10 6 4 8" xfId="5330" xr:uid="{00000000-0005-0000-0000-0000D2140000}"/>
    <cellStyle name="Normal 10 2 10 6 4 9" xfId="5331" xr:uid="{00000000-0005-0000-0000-0000D3140000}"/>
    <cellStyle name="Normal 10 2 10 6 5" xfId="5332" xr:uid="{00000000-0005-0000-0000-0000D4140000}"/>
    <cellStyle name="Normal 10 2 10 6 5 10" xfId="5333" xr:uid="{00000000-0005-0000-0000-0000D5140000}"/>
    <cellStyle name="Normal 10 2 10 6 5 2" xfId="5334" xr:uid="{00000000-0005-0000-0000-0000D6140000}"/>
    <cellStyle name="Normal 10 2 10 6 5 3" xfId="5335" xr:uid="{00000000-0005-0000-0000-0000D7140000}"/>
    <cellStyle name="Normal 10 2 10 6 5 4" xfId="5336" xr:uid="{00000000-0005-0000-0000-0000D8140000}"/>
    <cellStyle name="Normal 10 2 10 6 5 5" xfId="5337" xr:uid="{00000000-0005-0000-0000-0000D9140000}"/>
    <cellStyle name="Normal 10 2 10 6 5 6" xfId="5338" xr:uid="{00000000-0005-0000-0000-0000DA140000}"/>
    <cellStyle name="Normal 10 2 10 6 5 7" xfId="5339" xr:uid="{00000000-0005-0000-0000-0000DB140000}"/>
    <cellStyle name="Normal 10 2 10 6 5 8" xfId="5340" xr:uid="{00000000-0005-0000-0000-0000DC140000}"/>
    <cellStyle name="Normal 10 2 10 6 5 9" xfId="5341" xr:uid="{00000000-0005-0000-0000-0000DD140000}"/>
    <cellStyle name="Normal 10 2 10 6 6" xfId="5342" xr:uid="{00000000-0005-0000-0000-0000DE140000}"/>
    <cellStyle name="Normal 10 2 10 6 7" xfId="5343" xr:uid="{00000000-0005-0000-0000-0000DF140000}"/>
    <cellStyle name="Normal 10 2 10 6 8" xfId="5344" xr:uid="{00000000-0005-0000-0000-0000E0140000}"/>
    <cellStyle name="Normal 10 2 10 6 9" xfId="5345" xr:uid="{00000000-0005-0000-0000-0000E1140000}"/>
    <cellStyle name="Normal 10 2 10 7" xfId="5346" xr:uid="{00000000-0005-0000-0000-0000E2140000}"/>
    <cellStyle name="Normal 10 2 10 7 10" xfId="5347" xr:uid="{00000000-0005-0000-0000-0000E3140000}"/>
    <cellStyle name="Normal 10 2 10 7 11" xfId="5348" xr:uid="{00000000-0005-0000-0000-0000E4140000}"/>
    <cellStyle name="Normal 10 2 10 7 12" xfId="5349" xr:uid="{00000000-0005-0000-0000-0000E5140000}"/>
    <cellStyle name="Normal 10 2 10 7 13" xfId="5350" xr:uid="{00000000-0005-0000-0000-0000E6140000}"/>
    <cellStyle name="Normal 10 2 10 7 14" xfId="5351" xr:uid="{00000000-0005-0000-0000-0000E7140000}"/>
    <cellStyle name="Normal 10 2 10 7 2" xfId="5352" xr:uid="{00000000-0005-0000-0000-0000E8140000}"/>
    <cellStyle name="Normal 10 2 10 7 2 10" xfId="5353" xr:uid="{00000000-0005-0000-0000-0000E9140000}"/>
    <cellStyle name="Normal 10 2 10 7 2 2" xfId="5354" xr:uid="{00000000-0005-0000-0000-0000EA140000}"/>
    <cellStyle name="Normal 10 2 10 7 2 3" xfId="5355" xr:uid="{00000000-0005-0000-0000-0000EB140000}"/>
    <cellStyle name="Normal 10 2 10 7 2 4" xfId="5356" xr:uid="{00000000-0005-0000-0000-0000EC140000}"/>
    <cellStyle name="Normal 10 2 10 7 2 5" xfId="5357" xr:uid="{00000000-0005-0000-0000-0000ED140000}"/>
    <cellStyle name="Normal 10 2 10 7 2 6" xfId="5358" xr:uid="{00000000-0005-0000-0000-0000EE140000}"/>
    <cellStyle name="Normal 10 2 10 7 2 7" xfId="5359" xr:uid="{00000000-0005-0000-0000-0000EF140000}"/>
    <cellStyle name="Normal 10 2 10 7 2 8" xfId="5360" xr:uid="{00000000-0005-0000-0000-0000F0140000}"/>
    <cellStyle name="Normal 10 2 10 7 2 9" xfId="5361" xr:uid="{00000000-0005-0000-0000-0000F1140000}"/>
    <cellStyle name="Normal 10 2 10 7 3" xfId="5362" xr:uid="{00000000-0005-0000-0000-0000F2140000}"/>
    <cellStyle name="Normal 10 2 10 7 3 10" xfId="5363" xr:uid="{00000000-0005-0000-0000-0000F3140000}"/>
    <cellStyle name="Normal 10 2 10 7 3 2" xfId="5364" xr:uid="{00000000-0005-0000-0000-0000F4140000}"/>
    <cellStyle name="Normal 10 2 10 7 3 3" xfId="5365" xr:uid="{00000000-0005-0000-0000-0000F5140000}"/>
    <cellStyle name="Normal 10 2 10 7 3 4" xfId="5366" xr:uid="{00000000-0005-0000-0000-0000F6140000}"/>
    <cellStyle name="Normal 10 2 10 7 3 5" xfId="5367" xr:uid="{00000000-0005-0000-0000-0000F7140000}"/>
    <cellStyle name="Normal 10 2 10 7 3 6" xfId="5368" xr:uid="{00000000-0005-0000-0000-0000F8140000}"/>
    <cellStyle name="Normal 10 2 10 7 3 7" xfId="5369" xr:uid="{00000000-0005-0000-0000-0000F9140000}"/>
    <cellStyle name="Normal 10 2 10 7 3 8" xfId="5370" xr:uid="{00000000-0005-0000-0000-0000FA140000}"/>
    <cellStyle name="Normal 10 2 10 7 3 9" xfId="5371" xr:uid="{00000000-0005-0000-0000-0000FB140000}"/>
    <cellStyle name="Normal 10 2 10 7 4" xfId="5372" xr:uid="{00000000-0005-0000-0000-0000FC140000}"/>
    <cellStyle name="Normal 10 2 10 7 4 10" xfId="5373" xr:uid="{00000000-0005-0000-0000-0000FD140000}"/>
    <cellStyle name="Normal 10 2 10 7 4 2" xfId="5374" xr:uid="{00000000-0005-0000-0000-0000FE140000}"/>
    <cellStyle name="Normal 10 2 10 7 4 3" xfId="5375" xr:uid="{00000000-0005-0000-0000-0000FF140000}"/>
    <cellStyle name="Normal 10 2 10 7 4 4" xfId="5376" xr:uid="{00000000-0005-0000-0000-000000150000}"/>
    <cellStyle name="Normal 10 2 10 7 4 5" xfId="5377" xr:uid="{00000000-0005-0000-0000-000001150000}"/>
    <cellStyle name="Normal 10 2 10 7 4 6" xfId="5378" xr:uid="{00000000-0005-0000-0000-000002150000}"/>
    <cellStyle name="Normal 10 2 10 7 4 7" xfId="5379" xr:uid="{00000000-0005-0000-0000-000003150000}"/>
    <cellStyle name="Normal 10 2 10 7 4 8" xfId="5380" xr:uid="{00000000-0005-0000-0000-000004150000}"/>
    <cellStyle name="Normal 10 2 10 7 4 9" xfId="5381" xr:uid="{00000000-0005-0000-0000-000005150000}"/>
    <cellStyle name="Normal 10 2 10 7 5" xfId="5382" xr:uid="{00000000-0005-0000-0000-000006150000}"/>
    <cellStyle name="Normal 10 2 10 7 5 10" xfId="5383" xr:uid="{00000000-0005-0000-0000-000007150000}"/>
    <cellStyle name="Normal 10 2 10 7 5 2" xfId="5384" xr:uid="{00000000-0005-0000-0000-000008150000}"/>
    <cellStyle name="Normal 10 2 10 7 5 3" xfId="5385" xr:uid="{00000000-0005-0000-0000-000009150000}"/>
    <cellStyle name="Normal 10 2 10 7 5 4" xfId="5386" xr:uid="{00000000-0005-0000-0000-00000A150000}"/>
    <cellStyle name="Normal 10 2 10 7 5 5" xfId="5387" xr:uid="{00000000-0005-0000-0000-00000B150000}"/>
    <cellStyle name="Normal 10 2 10 7 5 6" xfId="5388" xr:uid="{00000000-0005-0000-0000-00000C150000}"/>
    <cellStyle name="Normal 10 2 10 7 5 7" xfId="5389" xr:uid="{00000000-0005-0000-0000-00000D150000}"/>
    <cellStyle name="Normal 10 2 10 7 5 8" xfId="5390" xr:uid="{00000000-0005-0000-0000-00000E150000}"/>
    <cellStyle name="Normal 10 2 10 7 5 9" xfId="5391" xr:uid="{00000000-0005-0000-0000-00000F150000}"/>
    <cellStyle name="Normal 10 2 10 7 6" xfId="5392" xr:uid="{00000000-0005-0000-0000-000010150000}"/>
    <cellStyle name="Normal 10 2 10 7 7" xfId="5393" xr:uid="{00000000-0005-0000-0000-000011150000}"/>
    <cellStyle name="Normal 10 2 10 7 8" xfId="5394" xr:uid="{00000000-0005-0000-0000-000012150000}"/>
    <cellStyle name="Normal 10 2 10 7 9" xfId="5395" xr:uid="{00000000-0005-0000-0000-000013150000}"/>
    <cellStyle name="Normal 10 2 10 8" xfId="5396" xr:uid="{00000000-0005-0000-0000-000014150000}"/>
    <cellStyle name="Normal 10 2 10 8 10" xfId="5397" xr:uid="{00000000-0005-0000-0000-000015150000}"/>
    <cellStyle name="Normal 10 2 10 8 11" xfId="5398" xr:uid="{00000000-0005-0000-0000-000016150000}"/>
    <cellStyle name="Normal 10 2 10 8 12" xfId="5399" xr:uid="{00000000-0005-0000-0000-000017150000}"/>
    <cellStyle name="Normal 10 2 10 8 13" xfId="5400" xr:uid="{00000000-0005-0000-0000-000018150000}"/>
    <cellStyle name="Normal 10 2 10 8 14" xfId="5401" xr:uid="{00000000-0005-0000-0000-000019150000}"/>
    <cellStyle name="Normal 10 2 10 8 2" xfId="5402" xr:uid="{00000000-0005-0000-0000-00001A150000}"/>
    <cellStyle name="Normal 10 2 10 8 2 10" xfId="5403" xr:uid="{00000000-0005-0000-0000-00001B150000}"/>
    <cellStyle name="Normal 10 2 10 8 2 2" xfId="5404" xr:uid="{00000000-0005-0000-0000-00001C150000}"/>
    <cellStyle name="Normal 10 2 10 8 2 3" xfId="5405" xr:uid="{00000000-0005-0000-0000-00001D150000}"/>
    <cellStyle name="Normal 10 2 10 8 2 4" xfId="5406" xr:uid="{00000000-0005-0000-0000-00001E150000}"/>
    <cellStyle name="Normal 10 2 10 8 2 5" xfId="5407" xr:uid="{00000000-0005-0000-0000-00001F150000}"/>
    <cellStyle name="Normal 10 2 10 8 2 6" xfId="5408" xr:uid="{00000000-0005-0000-0000-000020150000}"/>
    <cellStyle name="Normal 10 2 10 8 2 7" xfId="5409" xr:uid="{00000000-0005-0000-0000-000021150000}"/>
    <cellStyle name="Normal 10 2 10 8 2 8" xfId="5410" xr:uid="{00000000-0005-0000-0000-000022150000}"/>
    <cellStyle name="Normal 10 2 10 8 2 9" xfId="5411" xr:uid="{00000000-0005-0000-0000-000023150000}"/>
    <cellStyle name="Normal 10 2 10 8 3" xfId="5412" xr:uid="{00000000-0005-0000-0000-000024150000}"/>
    <cellStyle name="Normal 10 2 10 8 3 10" xfId="5413" xr:uid="{00000000-0005-0000-0000-000025150000}"/>
    <cellStyle name="Normal 10 2 10 8 3 2" xfId="5414" xr:uid="{00000000-0005-0000-0000-000026150000}"/>
    <cellStyle name="Normal 10 2 10 8 3 3" xfId="5415" xr:uid="{00000000-0005-0000-0000-000027150000}"/>
    <cellStyle name="Normal 10 2 10 8 3 4" xfId="5416" xr:uid="{00000000-0005-0000-0000-000028150000}"/>
    <cellStyle name="Normal 10 2 10 8 3 5" xfId="5417" xr:uid="{00000000-0005-0000-0000-000029150000}"/>
    <cellStyle name="Normal 10 2 10 8 3 6" xfId="5418" xr:uid="{00000000-0005-0000-0000-00002A150000}"/>
    <cellStyle name="Normal 10 2 10 8 3 7" xfId="5419" xr:uid="{00000000-0005-0000-0000-00002B150000}"/>
    <cellStyle name="Normal 10 2 10 8 3 8" xfId="5420" xr:uid="{00000000-0005-0000-0000-00002C150000}"/>
    <cellStyle name="Normal 10 2 10 8 3 9" xfId="5421" xr:uid="{00000000-0005-0000-0000-00002D150000}"/>
    <cellStyle name="Normal 10 2 10 8 4" xfId="5422" xr:uid="{00000000-0005-0000-0000-00002E150000}"/>
    <cellStyle name="Normal 10 2 10 8 4 10" xfId="5423" xr:uid="{00000000-0005-0000-0000-00002F150000}"/>
    <cellStyle name="Normal 10 2 10 8 4 2" xfId="5424" xr:uid="{00000000-0005-0000-0000-000030150000}"/>
    <cellStyle name="Normal 10 2 10 8 4 3" xfId="5425" xr:uid="{00000000-0005-0000-0000-000031150000}"/>
    <cellStyle name="Normal 10 2 10 8 4 4" xfId="5426" xr:uid="{00000000-0005-0000-0000-000032150000}"/>
    <cellStyle name="Normal 10 2 10 8 4 5" xfId="5427" xr:uid="{00000000-0005-0000-0000-000033150000}"/>
    <cellStyle name="Normal 10 2 10 8 4 6" xfId="5428" xr:uid="{00000000-0005-0000-0000-000034150000}"/>
    <cellStyle name="Normal 10 2 10 8 4 7" xfId="5429" xr:uid="{00000000-0005-0000-0000-000035150000}"/>
    <cellStyle name="Normal 10 2 10 8 4 8" xfId="5430" xr:uid="{00000000-0005-0000-0000-000036150000}"/>
    <cellStyle name="Normal 10 2 10 8 4 9" xfId="5431" xr:uid="{00000000-0005-0000-0000-000037150000}"/>
    <cellStyle name="Normal 10 2 10 8 5" xfId="5432" xr:uid="{00000000-0005-0000-0000-000038150000}"/>
    <cellStyle name="Normal 10 2 10 8 5 10" xfId="5433" xr:uid="{00000000-0005-0000-0000-000039150000}"/>
    <cellStyle name="Normal 10 2 10 8 5 2" xfId="5434" xr:uid="{00000000-0005-0000-0000-00003A150000}"/>
    <cellStyle name="Normal 10 2 10 8 5 3" xfId="5435" xr:uid="{00000000-0005-0000-0000-00003B150000}"/>
    <cellStyle name="Normal 10 2 10 8 5 4" xfId="5436" xr:uid="{00000000-0005-0000-0000-00003C150000}"/>
    <cellStyle name="Normal 10 2 10 8 5 5" xfId="5437" xr:uid="{00000000-0005-0000-0000-00003D150000}"/>
    <cellStyle name="Normal 10 2 10 8 5 6" xfId="5438" xr:uid="{00000000-0005-0000-0000-00003E150000}"/>
    <cellStyle name="Normal 10 2 10 8 5 7" xfId="5439" xr:uid="{00000000-0005-0000-0000-00003F150000}"/>
    <cellStyle name="Normal 10 2 10 8 5 8" xfId="5440" xr:uid="{00000000-0005-0000-0000-000040150000}"/>
    <cellStyle name="Normal 10 2 10 8 5 9" xfId="5441" xr:uid="{00000000-0005-0000-0000-000041150000}"/>
    <cellStyle name="Normal 10 2 10 8 6" xfId="5442" xr:uid="{00000000-0005-0000-0000-000042150000}"/>
    <cellStyle name="Normal 10 2 10 8 7" xfId="5443" xr:uid="{00000000-0005-0000-0000-000043150000}"/>
    <cellStyle name="Normal 10 2 10 8 8" xfId="5444" xr:uid="{00000000-0005-0000-0000-000044150000}"/>
    <cellStyle name="Normal 10 2 10 8 9" xfId="5445" xr:uid="{00000000-0005-0000-0000-000045150000}"/>
    <cellStyle name="Normal 10 2 10 9" xfId="5446" xr:uid="{00000000-0005-0000-0000-000046150000}"/>
    <cellStyle name="Normal 10 2 10 9 10" xfId="5447" xr:uid="{00000000-0005-0000-0000-000047150000}"/>
    <cellStyle name="Normal 10 2 10 9 11" xfId="5448" xr:uid="{00000000-0005-0000-0000-000048150000}"/>
    <cellStyle name="Normal 10 2 10 9 12" xfId="5449" xr:uid="{00000000-0005-0000-0000-000049150000}"/>
    <cellStyle name="Normal 10 2 10 9 13" xfId="5450" xr:uid="{00000000-0005-0000-0000-00004A150000}"/>
    <cellStyle name="Normal 10 2 10 9 14" xfId="5451" xr:uid="{00000000-0005-0000-0000-00004B150000}"/>
    <cellStyle name="Normal 10 2 10 9 2" xfId="5452" xr:uid="{00000000-0005-0000-0000-00004C150000}"/>
    <cellStyle name="Normal 10 2 10 9 2 10" xfId="5453" xr:uid="{00000000-0005-0000-0000-00004D150000}"/>
    <cellStyle name="Normal 10 2 10 9 2 2" xfId="5454" xr:uid="{00000000-0005-0000-0000-00004E150000}"/>
    <cellStyle name="Normal 10 2 10 9 2 3" xfId="5455" xr:uid="{00000000-0005-0000-0000-00004F150000}"/>
    <cellStyle name="Normal 10 2 10 9 2 4" xfId="5456" xr:uid="{00000000-0005-0000-0000-000050150000}"/>
    <cellStyle name="Normal 10 2 10 9 2 5" xfId="5457" xr:uid="{00000000-0005-0000-0000-000051150000}"/>
    <cellStyle name="Normal 10 2 10 9 2 6" xfId="5458" xr:uid="{00000000-0005-0000-0000-000052150000}"/>
    <cellStyle name="Normal 10 2 10 9 2 7" xfId="5459" xr:uid="{00000000-0005-0000-0000-000053150000}"/>
    <cellStyle name="Normal 10 2 10 9 2 8" xfId="5460" xr:uid="{00000000-0005-0000-0000-000054150000}"/>
    <cellStyle name="Normal 10 2 10 9 2 9" xfId="5461" xr:uid="{00000000-0005-0000-0000-000055150000}"/>
    <cellStyle name="Normal 10 2 10 9 3" xfId="5462" xr:uid="{00000000-0005-0000-0000-000056150000}"/>
    <cellStyle name="Normal 10 2 10 9 3 10" xfId="5463" xr:uid="{00000000-0005-0000-0000-000057150000}"/>
    <cellStyle name="Normal 10 2 10 9 3 2" xfId="5464" xr:uid="{00000000-0005-0000-0000-000058150000}"/>
    <cellStyle name="Normal 10 2 10 9 3 3" xfId="5465" xr:uid="{00000000-0005-0000-0000-000059150000}"/>
    <cellStyle name="Normal 10 2 10 9 3 4" xfId="5466" xr:uid="{00000000-0005-0000-0000-00005A150000}"/>
    <cellStyle name="Normal 10 2 10 9 3 5" xfId="5467" xr:uid="{00000000-0005-0000-0000-00005B150000}"/>
    <cellStyle name="Normal 10 2 10 9 3 6" xfId="5468" xr:uid="{00000000-0005-0000-0000-00005C150000}"/>
    <cellStyle name="Normal 10 2 10 9 3 7" xfId="5469" xr:uid="{00000000-0005-0000-0000-00005D150000}"/>
    <cellStyle name="Normal 10 2 10 9 3 8" xfId="5470" xr:uid="{00000000-0005-0000-0000-00005E150000}"/>
    <cellStyle name="Normal 10 2 10 9 3 9" xfId="5471" xr:uid="{00000000-0005-0000-0000-00005F150000}"/>
    <cellStyle name="Normal 10 2 10 9 4" xfId="5472" xr:uid="{00000000-0005-0000-0000-000060150000}"/>
    <cellStyle name="Normal 10 2 10 9 4 10" xfId="5473" xr:uid="{00000000-0005-0000-0000-000061150000}"/>
    <cellStyle name="Normal 10 2 10 9 4 2" xfId="5474" xr:uid="{00000000-0005-0000-0000-000062150000}"/>
    <cellStyle name="Normal 10 2 10 9 4 3" xfId="5475" xr:uid="{00000000-0005-0000-0000-000063150000}"/>
    <cellStyle name="Normal 10 2 10 9 4 4" xfId="5476" xr:uid="{00000000-0005-0000-0000-000064150000}"/>
    <cellStyle name="Normal 10 2 10 9 4 5" xfId="5477" xr:uid="{00000000-0005-0000-0000-000065150000}"/>
    <cellStyle name="Normal 10 2 10 9 4 6" xfId="5478" xr:uid="{00000000-0005-0000-0000-000066150000}"/>
    <cellStyle name="Normal 10 2 10 9 4 7" xfId="5479" xr:uid="{00000000-0005-0000-0000-000067150000}"/>
    <cellStyle name="Normal 10 2 10 9 4 8" xfId="5480" xr:uid="{00000000-0005-0000-0000-000068150000}"/>
    <cellStyle name="Normal 10 2 10 9 4 9" xfId="5481" xr:uid="{00000000-0005-0000-0000-000069150000}"/>
    <cellStyle name="Normal 10 2 10 9 5" xfId="5482" xr:uid="{00000000-0005-0000-0000-00006A150000}"/>
    <cellStyle name="Normal 10 2 10 9 5 10" xfId="5483" xr:uid="{00000000-0005-0000-0000-00006B150000}"/>
    <cellStyle name="Normal 10 2 10 9 5 2" xfId="5484" xr:uid="{00000000-0005-0000-0000-00006C150000}"/>
    <cellStyle name="Normal 10 2 10 9 5 3" xfId="5485" xr:uid="{00000000-0005-0000-0000-00006D150000}"/>
    <cellStyle name="Normal 10 2 10 9 5 4" xfId="5486" xr:uid="{00000000-0005-0000-0000-00006E150000}"/>
    <cellStyle name="Normal 10 2 10 9 5 5" xfId="5487" xr:uid="{00000000-0005-0000-0000-00006F150000}"/>
    <cellStyle name="Normal 10 2 10 9 5 6" xfId="5488" xr:uid="{00000000-0005-0000-0000-000070150000}"/>
    <cellStyle name="Normal 10 2 10 9 5 7" xfId="5489" xr:uid="{00000000-0005-0000-0000-000071150000}"/>
    <cellStyle name="Normal 10 2 10 9 5 8" xfId="5490" xr:uid="{00000000-0005-0000-0000-000072150000}"/>
    <cellStyle name="Normal 10 2 10 9 5 9" xfId="5491" xr:uid="{00000000-0005-0000-0000-000073150000}"/>
    <cellStyle name="Normal 10 2 10 9 6" xfId="5492" xr:uid="{00000000-0005-0000-0000-000074150000}"/>
    <cellStyle name="Normal 10 2 10 9 7" xfId="5493" xr:uid="{00000000-0005-0000-0000-000075150000}"/>
    <cellStyle name="Normal 10 2 10 9 8" xfId="5494" xr:uid="{00000000-0005-0000-0000-000076150000}"/>
    <cellStyle name="Normal 10 2 10 9 9" xfId="5495" xr:uid="{00000000-0005-0000-0000-000077150000}"/>
    <cellStyle name="Normal 10 2 11" xfId="5496" xr:uid="{00000000-0005-0000-0000-000078150000}"/>
    <cellStyle name="Normal 10 2 12" xfId="5497" xr:uid="{00000000-0005-0000-0000-000079150000}"/>
    <cellStyle name="Normal 10 2 13" xfId="5498" xr:uid="{00000000-0005-0000-0000-00007A150000}"/>
    <cellStyle name="Normal 10 2 14" xfId="5499" xr:uid="{00000000-0005-0000-0000-00007B150000}"/>
    <cellStyle name="Normal 10 2 15" xfId="5500" xr:uid="{00000000-0005-0000-0000-00007C150000}"/>
    <cellStyle name="Normal 10 2 16" xfId="5501" xr:uid="{00000000-0005-0000-0000-00007D150000}"/>
    <cellStyle name="Normal 10 2 17" xfId="5502" xr:uid="{00000000-0005-0000-0000-00007E150000}"/>
    <cellStyle name="Normal 10 2 18" xfId="5503" xr:uid="{00000000-0005-0000-0000-00007F150000}"/>
    <cellStyle name="Normal 10 2 19" xfId="5504" xr:uid="{00000000-0005-0000-0000-000080150000}"/>
    <cellStyle name="Normal 10 2 2" xfId="5505" xr:uid="{00000000-0005-0000-0000-000081150000}"/>
    <cellStyle name="Normal 10 2 2 2" xfId="5506" xr:uid="{00000000-0005-0000-0000-000082150000}"/>
    <cellStyle name="Normal 10 2 2 2 2" xfId="5507" xr:uid="{00000000-0005-0000-0000-000083150000}"/>
    <cellStyle name="Normal 10 2 20" xfId="5508" xr:uid="{00000000-0005-0000-0000-000084150000}"/>
    <cellStyle name="Normal 10 2 21" xfId="5509" xr:uid="{00000000-0005-0000-0000-000085150000}"/>
    <cellStyle name="Normal 10 2 22" xfId="5510" xr:uid="{00000000-0005-0000-0000-000086150000}"/>
    <cellStyle name="Normal 10 2 23" xfId="5511" xr:uid="{00000000-0005-0000-0000-000087150000}"/>
    <cellStyle name="Normal 10 2 24" xfId="5512" xr:uid="{00000000-0005-0000-0000-000088150000}"/>
    <cellStyle name="Normal 10 2 25" xfId="5513" xr:uid="{00000000-0005-0000-0000-000089150000}"/>
    <cellStyle name="Normal 10 2 26" xfId="5514" xr:uid="{00000000-0005-0000-0000-00008A150000}"/>
    <cellStyle name="Normal 10 2 27" xfId="5515" xr:uid="{00000000-0005-0000-0000-00008B150000}"/>
    <cellStyle name="Normal 10 2 28" xfId="5516" xr:uid="{00000000-0005-0000-0000-00008C150000}"/>
    <cellStyle name="Normal 10 2 29" xfId="5517" xr:uid="{00000000-0005-0000-0000-00008D150000}"/>
    <cellStyle name="Normal 10 2 3" xfId="5518" xr:uid="{00000000-0005-0000-0000-00008E150000}"/>
    <cellStyle name="Normal 10 2 30" xfId="5519" xr:uid="{00000000-0005-0000-0000-00008F150000}"/>
    <cellStyle name="Normal 10 2 31" xfId="5520" xr:uid="{00000000-0005-0000-0000-000090150000}"/>
    <cellStyle name="Normal 10 2 32" xfId="5521" xr:uid="{00000000-0005-0000-0000-000091150000}"/>
    <cellStyle name="Normal 10 2 33" xfId="5522" xr:uid="{00000000-0005-0000-0000-000092150000}"/>
    <cellStyle name="Normal 10 2 34" xfId="5523" xr:uid="{00000000-0005-0000-0000-000093150000}"/>
    <cellStyle name="Normal 10 2 35" xfId="5524" xr:uid="{00000000-0005-0000-0000-000094150000}"/>
    <cellStyle name="Normal 10 2 36" xfId="5525" xr:uid="{00000000-0005-0000-0000-000095150000}"/>
    <cellStyle name="Normal 10 2 37" xfId="5526" xr:uid="{00000000-0005-0000-0000-000096150000}"/>
    <cellStyle name="Normal 10 2 38" xfId="5527" xr:uid="{00000000-0005-0000-0000-000097150000}"/>
    <cellStyle name="Normal 10 2 39" xfId="5528" xr:uid="{00000000-0005-0000-0000-000098150000}"/>
    <cellStyle name="Normal 10 2 4" xfId="5529" xr:uid="{00000000-0005-0000-0000-000099150000}"/>
    <cellStyle name="Normal 10 2 40" xfId="5530" xr:uid="{00000000-0005-0000-0000-00009A150000}"/>
    <cellStyle name="Normal 10 2 41" xfId="5531" xr:uid="{00000000-0005-0000-0000-00009B150000}"/>
    <cellStyle name="Normal 10 2 42" xfId="5532" xr:uid="{00000000-0005-0000-0000-00009C150000}"/>
    <cellStyle name="Normal 10 2 43" xfId="5533" xr:uid="{00000000-0005-0000-0000-00009D150000}"/>
    <cellStyle name="Normal 10 2 44" xfId="5534" xr:uid="{00000000-0005-0000-0000-00009E150000}"/>
    <cellStyle name="Normal 10 2 45" xfId="5535" xr:uid="{00000000-0005-0000-0000-00009F150000}"/>
    <cellStyle name="Normal 10 2 46" xfId="5536" xr:uid="{00000000-0005-0000-0000-0000A0150000}"/>
    <cellStyle name="Normal 10 2 47" xfId="5537" xr:uid="{00000000-0005-0000-0000-0000A1150000}"/>
    <cellStyle name="Normal 10 2 48" xfId="5538" xr:uid="{00000000-0005-0000-0000-0000A2150000}"/>
    <cellStyle name="Normal 10 2 49" xfId="5539" xr:uid="{00000000-0005-0000-0000-0000A3150000}"/>
    <cellStyle name="Normal 10 2 5" xfId="5540" xr:uid="{00000000-0005-0000-0000-0000A4150000}"/>
    <cellStyle name="Normal 10 2 50" xfId="5541" xr:uid="{00000000-0005-0000-0000-0000A5150000}"/>
    <cellStyle name="Normal 10 2 51" xfId="5542" xr:uid="{00000000-0005-0000-0000-0000A6150000}"/>
    <cellStyle name="Normal 10 2 52" xfId="5543" xr:uid="{00000000-0005-0000-0000-0000A7150000}"/>
    <cellStyle name="Normal 10 2 53" xfId="5544" xr:uid="{00000000-0005-0000-0000-0000A8150000}"/>
    <cellStyle name="Normal 10 2 54" xfId="5545" xr:uid="{00000000-0005-0000-0000-0000A9150000}"/>
    <cellStyle name="Normal 10 2 55" xfId="5546" xr:uid="{00000000-0005-0000-0000-0000AA150000}"/>
    <cellStyle name="Normal 10 2 56" xfId="5547" xr:uid="{00000000-0005-0000-0000-0000AB150000}"/>
    <cellStyle name="Normal 10 2 57" xfId="5548" xr:uid="{00000000-0005-0000-0000-0000AC150000}"/>
    <cellStyle name="Normal 10 2 58" xfId="5549" xr:uid="{00000000-0005-0000-0000-0000AD150000}"/>
    <cellStyle name="Normal 10 2 59" xfId="5550" xr:uid="{00000000-0005-0000-0000-0000AE150000}"/>
    <cellStyle name="Normal 10 2 6" xfId="5551" xr:uid="{00000000-0005-0000-0000-0000AF150000}"/>
    <cellStyle name="Normal 10 2 60" xfId="5552" xr:uid="{00000000-0005-0000-0000-0000B0150000}"/>
    <cellStyle name="Normal 10 2 61" xfId="5553" xr:uid="{00000000-0005-0000-0000-0000B1150000}"/>
    <cellStyle name="Normal 10 2 62" xfId="5554" xr:uid="{00000000-0005-0000-0000-0000B2150000}"/>
    <cellStyle name="Normal 10 2 63" xfId="5555" xr:uid="{00000000-0005-0000-0000-0000B3150000}"/>
    <cellStyle name="Normal 10 2 64" xfId="5556" xr:uid="{00000000-0005-0000-0000-0000B4150000}"/>
    <cellStyle name="Normal 10 2 65" xfId="5557" xr:uid="{00000000-0005-0000-0000-0000B5150000}"/>
    <cellStyle name="Normal 10 2 66" xfId="5558" xr:uid="{00000000-0005-0000-0000-0000B6150000}"/>
    <cellStyle name="Normal 10 2 67" xfId="5559" xr:uid="{00000000-0005-0000-0000-0000B7150000}"/>
    <cellStyle name="Normal 10 2 68" xfId="5560" xr:uid="{00000000-0005-0000-0000-0000B8150000}"/>
    <cellStyle name="Normal 10 2 69" xfId="5561" xr:uid="{00000000-0005-0000-0000-0000B9150000}"/>
    <cellStyle name="Normal 10 2 7" xfId="5562" xr:uid="{00000000-0005-0000-0000-0000BA150000}"/>
    <cellStyle name="Normal 10 2 70" xfId="5563" xr:uid="{00000000-0005-0000-0000-0000BB150000}"/>
    <cellStyle name="Normal 10 2 71" xfId="5564" xr:uid="{00000000-0005-0000-0000-0000BC150000}"/>
    <cellStyle name="Normal 10 2 72" xfId="5565" xr:uid="{00000000-0005-0000-0000-0000BD150000}"/>
    <cellStyle name="Normal 10 2 73" xfId="5566" xr:uid="{00000000-0005-0000-0000-0000BE150000}"/>
    <cellStyle name="Normal 10 2 74" xfId="5567" xr:uid="{00000000-0005-0000-0000-0000BF150000}"/>
    <cellStyle name="Normal 10 2 75" xfId="5568" xr:uid="{00000000-0005-0000-0000-0000C0150000}"/>
    <cellStyle name="Normal 10 2 76" xfId="5569" xr:uid="{00000000-0005-0000-0000-0000C1150000}"/>
    <cellStyle name="Normal 10 2 77" xfId="5570" xr:uid="{00000000-0005-0000-0000-0000C2150000}"/>
    <cellStyle name="Normal 10 2 78" xfId="5571" xr:uid="{00000000-0005-0000-0000-0000C3150000}"/>
    <cellStyle name="Normal 10 2 79" xfId="5572" xr:uid="{00000000-0005-0000-0000-0000C4150000}"/>
    <cellStyle name="Normal 10 2 8" xfId="5573" xr:uid="{00000000-0005-0000-0000-0000C5150000}"/>
    <cellStyle name="Normal 10 2 9" xfId="5574" xr:uid="{00000000-0005-0000-0000-0000C6150000}"/>
    <cellStyle name="Normal 10 2_Enlaces" xfId="5575" xr:uid="{00000000-0005-0000-0000-0000C7150000}"/>
    <cellStyle name="Normal 10 20" xfId="5576" xr:uid="{00000000-0005-0000-0000-0000C8150000}"/>
    <cellStyle name="Normal 10 21" xfId="5577" xr:uid="{00000000-0005-0000-0000-0000C9150000}"/>
    <cellStyle name="Normal 10 22" xfId="5578" xr:uid="{00000000-0005-0000-0000-0000CA150000}"/>
    <cellStyle name="Normal 10 23" xfId="5579" xr:uid="{00000000-0005-0000-0000-0000CB150000}"/>
    <cellStyle name="Normal 10 24" xfId="5580" xr:uid="{00000000-0005-0000-0000-0000CC150000}"/>
    <cellStyle name="Normal 10 25" xfId="5581" xr:uid="{00000000-0005-0000-0000-0000CD150000}"/>
    <cellStyle name="Normal 10 26" xfId="5582" xr:uid="{00000000-0005-0000-0000-0000CE150000}"/>
    <cellStyle name="Normal 10 27" xfId="5583" xr:uid="{00000000-0005-0000-0000-0000CF150000}"/>
    <cellStyle name="Normal 10 28" xfId="5584" xr:uid="{00000000-0005-0000-0000-0000D0150000}"/>
    <cellStyle name="Normal 10 29" xfId="5585" xr:uid="{00000000-0005-0000-0000-0000D1150000}"/>
    <cellStyle name="Normal 10 3" xfId="5586" xr:uid="{00000000-0005-0000-0000-0000D2150000}"/>
    <cellStyle name="Normal 10 3 2" xfId="5587" xr:uid="{00000000-0005-0000-0000-0000D3150000}"/>
    <cellStyle name="Normal 10 3 3" xfId="5588" xr:uid="{00000000-0005-0000-0000-0000D4150000}"/>
    <cellStyle name="Normal 10 3 4" xfId="5589" xr:uid="{00000000-0005-0000-0000-0000D5150000}"/>
    <cellStyle name="Normal 10 3 4 2" xfId="5590" xr:uid="{00000000-0005-0000-0000-0000D6150000}"/>
    <cellStyle name="Normal 10 3 4 2 2" xfId="5591" xr:uid="{00000000-0005-0000-0000-0000D7150000}"/>
    <cellStyle name="Normal 10 3 4 3" xfId="5592" xr:uid="{00000000-0005-0000-0000-0000D8150000}"/>
    <cellStyle name="Normal 10 3 5" xfId="5593" xr:uid="{00000000-0005-0000-0000-0000D9150000}"/>
    <cellStyle name="Normal 10 3 6" xfId="5594" xr:uid="{00000000-0005-0000-0000-0000DA150000}"/>
    <cellStyle name="Normal 10 3 7" xfId="5595" xr:uid="{00000000-0005-0000-0000-0000DB150000}"/>
    <cellStyle name="Normal 10 3 7 2" xfId="5596" xr:uid="{00000000-0005-0000-0000-0000DC150000}"/>
    <cellStyle name="Normal 10 3 8" xfId="5597" xr:uid="{00000000-0005-0000-0000-0000DD150000}"/>
    <cellStyle name="Normal 10 3 9" xfId="5598" xr:uid="{00000000-0005-0000-0000-0000DE150000}"/>
    <cellStyle name="Normal 10 3_Implem" xfId="5599" xr:uid="{00000000-0005-0000-0000-0000DF150000}"/>
    <cellStyle name="Normal 10 30" xfId="5600" xr:uid="{00000000-0005-0000-0000-0000E0150000}"/>
    <cellStyle name="Normal 10 31" xfId="5601" xr:uid="{00000000-0005-0000-0000-0000E1150000}"/>
    <cellStyle name="Normal 10 4" xfId="5602" xr:uid="{00000000-0005-0000-0000-0000E2150000}"/>
    <cellStyle name="Normal 10 5" xfId="5603" xr:uid="{00000000-0005-0000-0000-0000E3150000}"/>
    <cellStyle name="Normal 10 6" xfId="5604" xr:uid="{00000000-0005-0000-0000-0000E4150000}"/>
    <cellStyle name="Normal 10 7" xfId="5605" xr:uid="{00000000-0005-0000-0000-0000E5150000}"/>
    <cellStyle name="Normal 10 8" xfId="5606" xr:uid="{00000000-0005-0000-0000-0000E6150000}"/>
    <cellStyle name="Normal 10 9" xfId="5607" xr:uid="{00000000-0005-0000-0000-0000E7150000}"/>
    <cellStyle name="Normal 100" xfId="5608" xr:uid="{00000000-0005-0000-0000-0000E8150000}"/>
    <cellStyle name="Normal 100 2" xfId="5609" xr:uid="{00000000-0005-0000-0000-0000E9150000}"/>
    <cellStyle name="Normal 100 3" xfId="5610" xr:uid="{00000000-0005-0000-0000-0000EA150000}"/>
    <cellStyle name="Normal 101" xfId="5611" xr:uid="{00000000-0005-0000-0000-0000EB150000}"/>
    <cellStyle name="Normal 101 2" xfId="5612" xr:uid="{00000000-0005-0000-0000-0000EC150000}"/>
    <cellStyle name="Normal 101 3" xfId="5613" xr:uid="{00000000-0005-0000-0000-0000ED150000}"/>
    <cellStyle name="Normal 102" xfId="5614" xr:uid="{00000000-0005-0000-0000-0000EE150000}"/>
    <cellStyle name="Normal 102 2" xfId="5615" xr:uid="{00000000-0005-0000-0000-0000EF150000}"/>
    <cellStyle name="Normal 102 3" xfId="5616" xr:uid="{00000000-0005-0000-0000-0000F0150000}"/>
    <cellStyle name="Normal 103" xfId="5617" xr:uid="{00000000-0005-0000-0000-0000F1150000}"/>
    <cellStyle name="Normal 103 2" xfId="5618" xr:uid="{00000000-0005-0000-0000-0000F2150000}"/>
    <cellStyle name="Normal 104" xfId="5619" xr:uid="{00000000-0005-0000-0000-0000F3150000}"/>
    <cellStyle name="Normal 104 2" xfId="5620" xr:uid="{00000000-0005-0000-0000-0000F4150000}"/>
    <cellStyle name="Normal 105" xfId="5621" xr:uid="{00000000-0005-0000-0000-0000F5150000}"/>
    <cellStyle name="Normal 105 2" xfId="5622" xr:uid="{00000000-0005-0000-0000-0000F6150000}"/>
    <cellStyle name="Normal 106" xfId="5623" xr:uid="{00000000-0005-0000-0000-0000F7150000}"/>
    <cellStyle name="Normal 106 2" xfId="5624" xr:uid="{00000000-0005-0000-0000-0000F8150000}"/>
    <cellStyle name="Normal 107" xfId="5625" xr:uid="{00000000-0005-0000-0000-0000F9150000}"/>
    <cellStyle name="Normal 107 2" xfId="5626" xr:uid="{00000000-0005-0000-0000-0000FA150000}"/>
    <cellStyle name="Normal 108" xfId="5627" xr:uid="{00000000-0005-0000-0000-0000FB150000}"/>
    <cellStyle name="Normal 108 2" xfId="5628" xr:uid="{00000000-0005-0000-0000-0000FC150000}"/>
    <cellStyle name="Normal 109" xfId="5629" xr:uid="{00000000-0005-0000-0000-0000FD150000}"/>
    <cellStyle name="Normal 109 2" xfId="5630" xr:uid="{00000000-0005-0000-0000-0000FE150000}"/>
    <cellStyle name="Normal 11" xfId="5631" xr:uid="{00000000-0005-0000-0000-0000FF150000}"/>
    <cellStyle name="Normal 11 10" xfId="5632" xr:uid="{00000000-0005-0000-0000-000000160000}"/>
    <cellStyle name="Normal 11 11" xfId="5633" xr:uid="{00000000-0005-0000-0000-000001160000}"/>
    <cellStyle name="Normal 11 12" xfId="5634" xr:uid="{00000000-0005-0000-0000-000002160000}"/>
    <cellStyle name="Normal 11 13" xfId="5635" xr:uid="{00000000-0005-0000-0000-000003160000}"/>
    <cellStyle name="Normal 11 14" xfId="5636" xr:uid="{00000000-0005-0000-0000-000004160000}"/>
    <cellStyle name="Normal 11 15" xfId="5637" xr:uid="{00000000-0005-0000-0000-000005160000}"/>
    <cellStyle name="Normal 11 16" xfId="5638" xr:uid="{00000000-0005-0000-0000-000006160000}"/>
    <cellStyle name="Normal 11 17" xfId="5639" xr:uid="{00000000-0005-0000-0000-000007160000}"/>
    <cellStyle name="Normal 11 18" xfId="5640" xr:uid="{00000000-0005-0000-0000-000008160000}"/>
    <cellStyle name="Normal 11 19" xfId="5641" xr:uid="{00000000-0005-0000-0000-000009160000}"/>
    <cellStyle name="Normal 11 2" xfId="5642" xr:uid="{00000000-0005-0000-0000-00000A160000}"/>
    <cellStyle name="Normal 11 2 2" xfId="5643" xr:uid="{00000000-0005-0000-0000-00000B160000}"/>
    <cellStyle name="Normal 11 2 3" xfId="5644" xr:uid="{00000000-0005-0000-0000-00000C160000}"/>
    <cellStyle name="Normal 11 20" xfId="5645" xr:uid="{00000000-0005-0000-0000-00000D160000}"/>
    <cellStyle name="Normal 11 21" xfId="5646" xr:uid="{00000000-0005-0000-0000-00000E160000}"/>
    <cellStyle name="Normal 11 22" xfId="5647" xr:uid="{00000000-0005-0000-0000-00000F160000}"/>
    <cellStyle name="Normal 11 23" xfId="5648" xr:uid="{00000000-0005-0000-0000-000010160000}"/>
    <cellStyle name="Normal 11 24" xfId="5649" xr:uid="{00000000-0005-0000-0000-000011160000}"/>
    <cellStyle name="Normal 11 25" xfId="5650" xr:uid="{00000000-0005-0000-0000-000012160000}"/>
    <cellStyle name="Normal 11 3" xfId="5651" xr:uid="{00000000-0005-0000-0000-000013160000}"/>
    <cellStyle name="Normal 11 3 2" xfId="5652" xr:uid="{00000000-0005-0000-0000-000014160000}"/>
    <cellStyle name="Normal 11 3 3" xfId="5653" xr:uid="{00000000-0005-0000-0000-000015160000}"/>
    <cellStyle name="Normal 11 4" xfId="5654" xr:uid="{00000000-0005-0000-0000-000016160000}"/>
    <cellStyle name="Normal 11 5" xfId="5655" xr:uid="{00000000-0005-0000-0000-000017160000}"/>
    <cellStyle name="Normal 11 6" xfId="5656" xr:uid="{00000000-0005-0000-0000-000018160000}"/>
    <cellStyle name="Normal 11 7" xfId="5657" xr:uid="{00000000-0005-0000-0000-000019160000}"/>
    <cellStyle name="Normal 11 8" xfId="5658" xr:uid="{00000000-0005-0000-0000-00001A160000}"/>
    <cellStyle name="Normal 11 9" xfId="5659" xr:uid="{00000000-0005-0000-0000-00001B160000}"/>
    <cellStyle name="Normal 110" xfId="5660" xr:uid="{00000000-0005-0000-0000-00001C160000}"/>
    <cellStyle name="Normal 110 2" xfId="5661" xr:uid="{00000000-0005-0000-0000-00001D160000}"/>
    <cellStyle name="Normal 111" xfId="5662" xr:uid="{00000000-0005-0000-0000-00001E160000}"/>
    <cellStyle name="Normal 111 2" xfId="5663" xr:uid="{00000000-0005-0000-0000-00001F160000}"/>
    <cellStyle name="Normal 112" xfId="5664" xr:uid="{00000000-0005-0000-0000-000020160000}"/>
    <cellStyle name="Normal 112 2" xfId="5665" xr:uid="{00000000-0005-0000-0000-000021160000}"/>
    <cellStyle name="Normal 113" xfId="5666" xr:uid="{00000000-0005-0000-0000-000022160000}"/>
    <cellStyle name="Normal 113 2" xfId="5667" xr:uid="{00000000-0005-0000-0000-000023160000}"/>
    <cellStyle name="Normal 114" xfId="5668" xr:uid="{00000000-0005-0000-0000-000024160000}"/>
    <cellStyle name="Normal 114 2" xfId="5669" xr:uid="{00000000-0005-0000-0000-000025160000}"/>
    <cellStyle name="Normal 115" xfId="5670" xr:uid="{00000000-0005-0000-0000-000026160000}"/>
    <cellStyle name="Normal 115 2" xfId="5671" xr:uid="{00000000-0005-0000-0000-000027160000}"/>
    <cellStyle name="Normal 116" xfId="5672" xr:uid="{00000000-0005-0000-0000-000028160000}"/>
    <cellStyle name="Normal 116 2" xfId="5673" xr:uid="{00000000-0005-0000-0000-000029160000}"/>
    <cellStyle name="Normal 117" xfId="5674" xr:uid="{00000000-0005-0000-0000-00002A160000}"/>
    <cellStyle name="Normal 117 2" xfId="5675" xr:uid="{00000000-0005-0000-0000-00002B160000}"/>
    <cellStyle name="Normal 118" xfId="5676" xr:uid="{00000000-0005-0000-0000-00002C160000}"/>
    <cellStyle name="Normal 118 2" xfId="5677" xr:uid="{00000000-0005-0000-0000-00002D160000}"/>
    <cellStyle name="Normal 119" xfId="5678" xr:uid="{00000000-0005-0000-0000-00002E160000}"/>
    <cellStyle name="Normal 119 2" xfId="5679" xr:uid="{00000000-0005-0000-0000-00002F160000}"/>
    <cellStyle name="Normal 12" xfId="5680" xr:uid="{00000000-0005-0000-0000-000030160000}"/>
    <cellStyle name="Normal 12 10" xfId="5681" xr:uid="{00000000-0005-0000-0000-000031160000}"/>
    <cellStyle name="Normal 12 11" xfId="5682" xr:uid="{00000000-0005-0000-0000-000032160000}"/>
    <cellStyle name="Normal 12 12" xfId="5683" xr:uid="{00000000-0005-0000-0000-000033160000}"/>
    <cellStyle name="Normal 12 13" xfId="5684" xr:uid="{00000000-0005-0000-0000-000034160000}"/>
    <cellStyle name="Normal 12 14" xfId="5685" xr:uid="{00000000-0005-0000-0000-000035160000}"/>
    <cellStyle name="Normal 12 15" xfId="5686" xr:uid="{00000000-0005-0000-0000-000036160000}"/>
    <cellStyle name="Normal 12 16" xfId="5687" xr:uid="{00000000-0005-0000-0000-000037160000}"/>
    <cellStyle name="Normal 12 17" xfId="5688" xr:uid="{00000000-0005-0000-0000-000038160000}"/>
    <cellStyle name="Normal 12 18" xfId="5689" xr:uid="{00000000-0005-0000-0000-000039160000}"/>
    <cellStyle name="Normal 12 19" xfId="5690" xr:uid="{00000000-0005-0000-0000-00003A160000}"/>
    <cellStyle name="Normal 12 2" xfId="5691" xr:uid="{00000000-0005-0000-0000-00003B160000}"/>
    <cellStyle name="Normal 12 2 2" xfId="5692" xr:uid="{00000000-0005-0000-0000-00003C160000}"/>
    <cellStyle name="Normal 12 2 3" xfId="5693" xr:uid="{00000000-0005-0000-0000-00003D160000}"/>
    <cellStyle name="Normal 12 20" xfId="5694" xr:uid="{00000000-0005-0000-0000-00003E160000}"/>
    <cellStyle name="Normal 12 21" xfId="5695" xr:uid="{00000000-0005-0000-0000-00003F160000}"/>
    <cellStyle name="Normal 12 22" xfId="5696" xr:uid="{00000000-0005-0000-0000-000040160000}"/>
    <cellStyle name="Normal 12 23" xfId="5697" xr:uid="{00000000-0005-0000-0000-000041160000}"/>
    <cellStyle name="Normal 12 24" xfId="5698" xr:uid="{00000000-0005-0000-0000-000042160000}"/>
    <cellStyle name="Normal 12 25" xfId="5699" xr:uid="{00000000-0005-0000-0000-000043160000}"/>
    <cellStyle name="Normal 12 3" xfId="5700" xr:uid="{00000000-0005-0000-0000-000044160000}"/>
    <cellStyle name="Normal 12 3 2" xfId="5701" xr:uid="{00000000-0005-0000-0000-000045160000}"/>
    <cellStyle name="Normal 12 3 3" xfId="5702" xr:uid="{00000000-0005-0000-0000-000046160000}"/>
    <cellStyle name="Normal 12 4" xfId="5703" xr:uid="{00000000-0005-0000-0000-000047160000}"/>
    <cellStyle name="Normal 12 5" xfId="5704" xr:uid="{00000000-0005-0000-0000-000048160000}"/>
    <cellStyle name="Normal 12 6" xfId="5705" xr:uid="{00000000-0005-0000-0000-000049160000}"/>
    <cellStyle name="Normal 12 7" xfId="5706" xr:uid="{00000000-0005-0000-0000-00004A160000}"/>
    <cellStyle name="Normal 12 8" xfId="5707" xr:uid="{00000000-0005-0000-0000-00004B160000}"/>
    <cellStyle name="Normal 12 9" xfId="5708" xr:uid="{00000000-0005-0000-0000-00004C160000}"/>
    <cellStyle name="Normal 120" xfId="5709" xr:uid="{00000000-0005-0000-0000-00004D160000}"/>
    <cellStyle name="Normal 120 2" xfId="5710" xr:uid="{00000000-0005-0000-0000-00004E160000}"/>
    <cellStyle name="Normal 121" xfId="5711" xr:uid="{00000000-0005-0000-0000-00004F160000}"/>
    <cellStyle name="Normal 121 2" xfId="5712" xr:uid="{00000000-0005-0000-0000-000050160000}"/>
    <cellStyle name="Normal 122" xfId="5713" xr:uid="{00000000-0005-0000-0000-000051160000}"/>
    <cellStyle name="Normal 122 2" xfId="5714" xr:uid="{00000000-0005-0000-0000-000052160000}"/>
    <cellStyle name="Normal 123" xfId="5715" xr:uid="{00000000-0005-0000-0000-000053160000}"/>
    <cellStyle name="Normal 123 2" xfId="5716" xr:uid="{00000000-0005-0000-0000-000054160000}"/>
    <cellStyle name="Normal 124" xfId="5717" xr:uid="{00000000-0005-0000-0000-000055160000}"/>
    <cellStyle name="Normal 124 2" xfId="5718" xr:uid="{00000000-0005-0000-0000-000056160000}"/>
    <cellStyle name="Normal 125" xfId="5719" xr:uid="{00000000-0005-0000-0000-000057160000}"/>
    <cellStyle name="Normal 125 2" xfId="5720" xr:uid="{00000000-0005-0000-0000-000058160000}"/>
    <cellStyle name="Normal 126" xfId="5721" xr:uid="{00000000-0005-0000-0000-000059160000}"/>
    <cellStyle name="Normal 126 2" xfId="5722" xr:uid="{00000000-0005-0000-0000-00005A160000}"/>
    <cellStyle name="Normal 127" xfId="5723" xr:uid="{00000000-0005-0000-0000-00005B160000}"/>
    <cellStyle name="Normal 127 2" xfId="5724" xr:uid="{00000000-0005-0000-0000-00005C160000}"/>
    <cellStyle name="Normal 128" xfId="5725" xr:uid="{00000000-0005-0000-0000-00005D160000}"/>
    <cellStyle name="Normal 128 2" xfId="5726" xr:uid="{00000000-0005-0000-0000-00005E160000}"/>
    <cellStyle name="Normal 129" xfId="5727" xr:uid="{00000000-0005-0000-0000-00005F160000}"/>
    <cellStyle name="Normal 129 2" xfId="5728" xr:uid="{00000000-0005-0000-0000-000060160000}"/>
    <cellStyle name="Normal 13" xfId="5729" xr:uid="{00000000-0005-0000-0000-000061160000}"/>
    <cellStyle name="Normal 13 10" xfId="5730" xr:uid="{00000000-0005-0000-0000-000062160000}"/>
    <cellStyle name="Normal 13 11" xfId="5731" xr:uid="{00000000-0005-0000-0000-000063160000}"/>
    <cellStyle name="Normal 13 12" xfId="5732" xr:uid="{00000000-0005-0000-0000-000064160000}"/>
    <cellStyle name="Normal 13 13" xfId="5733" xr:uid="{00000000-0005-0000-0000-000065160000}"/>
    <cellStyle name="Normal 13 14" xfId="5734" xr:uid="{00000000-0005-0000-0000-000066160000}"/>
    <cellStyle name="Normal 13 15" xfId="5735" xr:uid="{00000000-0005-0000-0000-000067160000}"/>
    <cellStyle name="Normal 13 16" xfId="5736" xr:uid="{00000000-0005-0000-0000-000068160000}"/>
    <cellStyle name="Normal 13 17" xfId="5737" xr:uid="{00000000-0005-0000-0000-000069160000}"/>
    <cellStyle name="Normal 13 18" xfId="5738" xr:uid="{00000000-0005-0000-0000-00006A160000}"/>
    <cellStyle name="Normal 13 19" xfId="5739" xr:uid="{00000000-0005-0000-0000-00006B160000}"/>
    <cellStyle name="Normal 13 2" xfId="5740" xr:uid="{00000000-0005-0000-0000-00006C160000}"/>
    <cellStyle name="Normal 13 2 2" xfId="5741" xr:uid="{00000000-0005-0000-0000-00006D160000}"/>
    <cellStyle name="Normal 13 2 3" xfId="5742" xr:uid="{00000000-0005-0000-0000-00006E160000}"/>
    <cellStyle name="Normal 13 20" xfId="5743" xr:uid="{00000000-0005-0000-0000-00006F160000}"/>
    <cellStyle name="Normal 13 21" xfId="5744" xr:uid="{00000000-0005-0000-0000-000070160000}"/>
    <cellStyle name="Normal 13 22" xfId="5745" xr:uid="{00000000-0005-0000-0000-000071160000}"/>
    <cellStyle name="Normal 13 23" xfId="5746" xr:uid="{00000000-0005-0000-0000-000072160000}"/>
    <cellStyle name="Normal 13 24" xfId="5747" xr:uid="{00000000-0005-0000-0000-000073160000}"/>
    <cellStyle name="Normal 13 25" xfId="5748" xr:uid="{00000000-0005-0000-0000-000074160000}"/>
    <cellStyle name="Normal 13 26" xfId="5749" xr:uid="{00000000-0005-0000-0000-000075160000}"/>
    <cellStyle name="Normal 13 3" xfId="5750" xr:uid="{00000000-0005-0000-0000-000076160000}"/>
    <cellStyle name="Normal 13 3 2" xfId="5751" xr:uid="{00000000-0005-0000-0000-000077160000}"/>
    <cellStyle name="Normal 13 3 3" xfId="5752" xr:uid="{00000000-0005-0000-0000-000078160000}"/>
    <cellStyle name="Normal 13 4" xfId="5753" xr:uid="{00000000-0005-0000-0000-000079160000}"/>
    <cellStyle name="Normal 13 5" xfId="5754" xr:uid="{00000000-0005-0000-0000-00007A160000}"/>
    <cellStyle name="Normal 13 6" xfId="5755" xr:uid="{00000000-0005-0000-0000-00007B160000}"/>
    <cellStyle name="Normal 13 7" xfId="5756" xr:uid="{00000000-0005-0000-0000-00007C160000}"/>
    <cellStyle name="Normal 13 8" xfId="5757" xr:uid="{00000000-0005-0000-0000-00007D160000}"/>
    <cellStyle name="Normal 13 9" xfId="5758" xr:uid="{00000000-0005-0000-0000-00007E160000}"/>
    <cellStyle name="Normal 130" xfId="5759" xr:uid="{00000000-0005-0000-0000-00007F160000}"/>
    <cellStyle name="Normal 130 2" xfId="5760" xr:uid="{00000000-0005-0000-0000-000080160000}"/>
    <cellStyle name="Normal 131" xfId="5761" xr:uid="{00000000-0005-0000-0000-000081160000}"/>
    <cellStyle name="Normal 131 2" xfId="5762" xr:uid="{00000000-0005-0000-0000-000082160000}"/>
    <cellStyle name="Normal 132" xfId="5763" xr:uid="{00000000-0005-0000-0000-000083160000}"/>
    <cellStyle name="Normal 132 2" xfId="5764" xr:uid="{00000000-0005-0000-0000-000084160000}"/>
    <cellStyle name="Normal 133" xfId="5765" xr:uid="{00000000-0005-0000-0000-000085160000}"/>
    <cellStyle name="Normal 133 2" xfId="5766" xr:uid="{00000000-0005-0000-0000-000086160000}"/>
    <cellStyle name="Normal 134" xfId="5767" xr:uid="{00000000-0005-0000-0000-000087160000}"/>
    <cellStyle name="Normal 134 2" xfId="5768" xr:uid="{00000000-0005-0000-0000-000088160000}"/>
    <cellStyle name="Normal 135" xfId="5769" xr:uid="{00000000-0005-0000-0000-000089160000}"/>
    <cellStyle name="Normal 135 2" xfId="5770" xr:uid="{00000000-0005-0000-0000-00008A160000}"/>
    <cellStyle name="Normal 136" xfId="5771" xr:uid="{00000000-0005-0000-0000-00008B160000}"/>
    <cellStyle name="Normal 136 2" xfId="5772" xr:uid="{00000000-0005-0000-0000-00008C160000}"/>
    <cellStyle name="Normal 137" xfId="5773" xr:uid="{00000000-0005-0000-0000-00008D160000}"/>
    <cellStyle name="Normal 137 2" xfId="5774" xr:uid="{00000000-0005-0000-0000-00008E160000}"/>
    <cellStyle name="Normal 138" xfId="5775" xr:uid="{00000000-0005-0000-0000-00008F160000}"/>
    <cellStyle name="Normal 138 2" xfId="5776" xr:uid="{00000000-0005-0000-0000-000090160000}"/>
    <cellStyle name="Normal 139" xfId="5777" xr:uid="{00000000-0005-0000-0000-000091160000}"/>
    <cellStyle name="Normal 139 2" xfId="5778" xr:uid="{00000000-0005-0000-0000-000092160000}"/>
    <cellStyle name="Normal 14" xfId="5779" xr:uid="{00000000-0005-0000-0000-000093160000}"/>
    <cellStyle name="Normal 14 2" xfId="5780" xr:uid="{00000000-0005-0000-0000-000094160000}"/>
    <cellStyle name="Normal 14 3" xfId="5781" xr:uid="{00000000-0005-0000-0000-000095160000}"/>
    <cellStyle name="Normal 14 3 2" xfId="5782" xr:uid="{00000000-0005-0000-0000-000096160000}"/>
    <cellStyle name="Normal 14 4" xfId="5783" xr:uid="{00000000-0005-0000-0000-000097160000}"/>
    <cellStyle name="Normal 14 5" xfId="5784" xr:uid="{00000000-0005-0000-0000-000098160000}"/>
    <cellStyle name="Normal 140" xfId="5785" xr:uid="{00000000-0005-0000-0000-000099160000}"/>
    <cellStyle name="Normal 140 2" xfId="5786" xr:uid="{00000000-0005-0000-0000-00009A160000}"/>
    <cellStyle name="Normal 141" xfId="5787" xr:uid="{00000000-0005-0000-0000-00009B160000}"/>
    <cellStyle name="Normal 141 2" xfId="5788" xr:uid="{00000000-0005-0000-0000-00009C160000}"/>
    <cellStyle name="Normal 142" xfId="5789" xr:uid="{00000000-0005-0000-0000-00009D160000}"/>
    <cellStyle name="Normal 142 2" xfId="5790" xr:uid="{00000000-0005-0000-0000-00009E160000}"/>
    <cellStyle name="Normal 143" xfId="5791" xr:uid="{00000000-0005-0000-0000-00009F160000}"/>
    <cellStyle name="Normal 143 2" xfId="5792" xr:uid="{00000000-0005-0000-0000-0000A0160000}"/>
    <cellStyle name="Normal 144" xfId="5793" xr:uid="{00000000-0005-0000-0000-0000A1160000}"/>
    <cellStyle name="Normal 144 2" xfId="5794" xr:uid="{00000000-0005-0000-0000-0000A2160000}"/>
    <cellStyle name="Normal 145" xfId="5795" xr:uid="{00000000-0005-0000-0000-0000A3160000}"/>
    <cellStyle name="Normal 145 2" xfId="5796" xr:uid="{00000000-0005-0000-0000-0000A4160000}"/>
    <cellStyle name="Normal 146" xfId="5797" xr:uid="{00000000-0005-0000-0000-0000A5160000}"/>
    <cellStyle name="Normal 146 2" xfId="5798" xr:uid="{00000000-0005-0000-0000-0000A6160000}"/>
    <cellStyle name="Normal 147" xfId="5799" xr:uid="{00000000-0005-0000-0000-0000A7160000}"/>
    <cellStyle name="Normal 147 2" xfId="5800" xr:uid="{00000000-0005-0000-0000-0000A8160000}"/>
    <cellStyle name="Normal 148" xfId="5801" xr:uid="{00000000-0005-0000-0000-0000A9160000}"/>
    <cellStyle name="Normal 148 2" xfId="5802" xr:uid="{00000000-0005-0000-0000-0000AA160000}"/>
    <cellStyle name="Normal 149" xfId="5803" xr:uid="{00000000-0005-0000-0000-0000AB160000}"/>
    <cellStyle name="Normal 149 2" xfId="5804" xr:uid="{00000000-0005-0000-0000-0000AC160000}"/>
    <cellStyle name="Normal 15" xfId="8" xr:uid="{00000000-0005-0000-0000-000008000000}"/>
    <cellStyle name="Normal 15 10" xfId="5805" xr:uid="{00000000-0005-0000-0000-0000AD160000}"/>
    <cellStyle name="Normal 15 11" xfId="5806" xr:uid="{00000000-0005-0000-0000-0000AE160000}"/>
    <cellStyle name="Normal 15 12" xfId="5807" xr:uid="{00000000-0005-0000-0000-0000AF160000}"/>
    <cellStyle name="Normal 15 13" xfId="5808" xr:uid="{00000000-0005-0000-0000-0000B0160000}"/>
    <cellStyle name="Normal 15 14" xfId="5809" xr:uid="{00000000-0005-0000-0000-0000B1160000}"/>
    <cellStyle name="Normal 15 15" xfId="5810" xr:uid="{00000000-0005-0000-0000-0000B2160000}"/>
    <cellStyle name="Normal 15 16" xfId="5811" xr:uid="{00000000-0005-0000-0000-0000B3160000}"/>
    <cellStyle name="Normal 15 17" xfId="5812" xr:uid="{00000000-0005-0000-0000-0000B4160000}"/>
    <cellStyle name="Normal 15 18" xfId="5813" xr:uid="{00000000-0005-0000-0000-0000B5160000}"/>
    <cellStyle name="Normal 15 19" xfId="5814" xr:uid="{00000000-0005-0000-0000-0000B6160000}"/>
    <cellStyle name="Normal 15 2" xfId="5815" xr:uid="{00000000-0005-0000-0000-0000B7160000}"/>
    <cellStyle name="Normal 15 2 2" xfId="5816" xr:uid="{00000000-0005-0000-0000-0000B8160000}"/>
    <cellStyle name="Normal 15 2 3" xfId="5817" xr:uid="{00000000-0005-0000-0000-0000B9160000}"/>
    <cellStyle name="Normal 15 20" xfId="5818" xr:uid="{00000000-0005-0000-0000-0000BA160000}"/>
    <cellStyle name="Normal 15 21" xfId="5819" xr:uid="{00000000-0005-0000-0000-0000BB160000}"/>
    <cellStyle name="Normal 15 22" xfId="5820" xr:uid="{00000000-0005-0000-0000-0000BC160000}"/>
    <cellStyle name="Normal 15 23" xfId="5821" xr:uid="{00000000-0005-0000-0000-0000BD160000}"/>
    <cellStyle name="Normal 15 24" xfId="5822" xr:uid="{00000000-0005-0000-0000-0000BE160000}"/>
    <cellStyle name="Normal 15 25" xfId="5823" xr:uid="{00000000-0005-0000-0000-0000BF160000}"/>
    <cellStyle name="Normal 15 3" xfId="5824" xr:uid="{00000000-0005-0000-0000-0000C0160000}"/>
    <cellStyle name="Normal 15 3 2" xfId="5825" xr:uid="{00000000-0005-0000-0000-0000C1160000}"/>
    <cellStyle name="Normal 15 3 3" xfId="5826" xr:uid="{00000000-0005-0000-0000-0000C2160000}"/>
    <cellStyle name="Normal 15 4" xfId="5827" xr:uid="{00000000-0005-0000-0000-0000C3160000}"/>
    <cellStyle name="Normal 15 5" xfId="5828" xr:uid="{00000000-0005-0000-0000-0000C4160000}"/>
    <cellStyle name="Normal 15 6" xfId="5829" xr:uid="{00000000-0005-0000-0000-0000C5160000}"/>
    <cellStyle name="Normal 15 7" xfId="5830" xr:uid="{00000000-0005-0000-0000-0000C6160000}"/>
    <cellStyle name="Normal 15 8" xfId="5831" xr:uid="{00000000-0005-0000-0000-0000C7160000}"/>
    <cellStyle name="Normal 15 9" xfId="5832" xr:uid="{00000000-0005-0000-0000-0000C8160000}"/>
    <cellStyle name="Normal 150" xfId="5833" xr:uid="{00000000-0005-0000-0000-0000C9160000}"/>
    <cellStyle name="Normal 150 2" xfId="5834" xr:uid="{00000000-0005-0000-0000-0000CA160000}"/>
    <cellStyle name="Normal 151" xfId="5835" xr:uid="{00000000-0005-0000-0000-0000CB160000}"/>
    <cellStyle name="Normal 151 2" xfId="5836" xr:uid="{00000000-0005-0000-0000-0000CC160000}"/>
    <cellStyle name="Normal 152" xfId="5837" xr:uid="{00000000-0005-0000-0000-0000CD160000}"/>
    <cellStyle name="Normal 152 2" xfId="5838" xr:uid="{00000000-0005-0000-0000-0000CE160000}"/>
    <cellStyle name="Normal 153" xfId="5839" xr:uid="{00000000-0005-0000-0000-0000CF160000}"/>
    <cellStyle name="Normal 153 2" xfId="5840" xr:uid="{00000000-0005-0000-0000-0000D0160000}"/>
    <cellStyle name="Normal 154" xfId="5841" xr:uid="{00000000-0005-0000-0000-0000D1160000}"/>
    <cellStyle name="Normal 154 2" xfId="5842" xr:uid="{00000000-0005-0000-0000-0000D2160000}"/>
    <cellStyle name="Normal 155" xfId="5843" xr:uid="{00000000-0005-0000-0000-0000D3160000}"/>
    <cellStyle name="Normal 155 2" xfId="5844" xr:uid="{00000000-0005-0000-0000-0000D4160000}"/>
    <cellStyle name="Normal 156" xfId="5845" xr:uid="{00000000-0005-0000-0000-0000D5160000}"/>
    <cellStyle name="Normal 156 2" xfId="5846" xr:uid="{00000000-0005-0000-0000-0000D6160000}"/>
    <cellStyle name="Normal 157" xfId="5847" xr:uid="{00000000-0005-0000-0000-0000D7160000}"/>
    <cellStyle name="Normal 157 2" xfId="5848" xr:uid="{00000000-0005-0000-0000-0000D8160000}"/>
    <cellStyle name="Normal 158" xfId="5849" xr:uid="{00000000-0005-0000-0000-0000D9160000}"/>
    <cellStyle name="Normal 158 2" xfId="5850" xr:uid="{00000000-0005-0000-0000-0000DA160000}"/>
    <cellStyle name="Normal 159" xfId="5851" xr:uid="{00000000-0005-0000-0000-0000DB160000}"/>
    <cellStyle name="Normal 159 2" xfId="5852" xr:uid="{00000000-0005-0000-0000-0000DC160000}"/>
    <cellStyle name="Normal 16" xfId="5853" xr:uid="{00000000-0005-0000-0000-0000DD160000}"/>
    <cellStyle name="Normal 16 10" xfId="5854" xr:uid="{00000000-0005-0000-0000-0000DE160000}"/>
    <cellStyle name="Normal 16 11" xfId="5855" xr:uid="{00000000-0005-0000-0000-0000DF160000}"/>
    <cellStyle name="Normal 16 12" xfId="5856" xr:uid="{00000000-0005-0000-0000-0000E0160000}"/>
    <cellStyle name="Normal 16 13" xfId="5857" xr:uid="{00000000-0005-0000-0000-0000E1160000}"/>
    <cellStyle name="Normal 16 14" xfId="5858" xr:uid="{00000000-0005-0000-0000-0000E2160000}"/>
    <cellStyle name="Normal 16 15" xfId="5859" xr:uid="{00000000-0005-0000-0000-0000E3160000}"/>
    <cellStyle name="Normal 16 16" xfId="5860" xr:uid="{00000000-0005-0000-0000-0000E4160000}"/>
    <cellStyle name="Normal 16 17" xfId="5861" xr:uid="{00000000-0005-0000-0000-0000E5160000}"/>
    <cellStyle name="Normal 16 18" xfId="5862" xr:uid="{00000000-0005-0000-0000-0000E6160000}"/>
    <cellStyle name="Normal 16 19" xfId="5863" xr:uid="{00000000-0005-0000-0000-0000E7160000}"/>
    <cellStyle name="Normal 16 2" xfId="5864" xr:uid="{00000000-0005-0000-0000-0000E8160000}"/>
    <cellStyle name="Normal 16 2 2" xfId="5865" xr:uid="{00000000-0005-0000-0000-0000E9160000}"/>
    <cellStyle name="Normal 16 2 3" xfId="5866" xr:uid="{00000000-0005-0000-0000-0000EA160000}"/>
    <cellStyle name="Normal 16 20" xfId="5867" xr:uid="{00000000-0005-0000-0000-0000EB160000}"/>
    <cellStyle name="Normal 16 21" xfId="5868" xr:uid="{00000000-0005-0000-0000-0000EC160000}"/>
    <cellStyle name="Normal 16 22" xfId="5869" xr:uid="{00000000-0005-0000-0000-0000ED160000}"/>
    <cellStyle name="Normal 16 23" xfId="5870" xr:uid="{00000000-0005-0000-0000-0000EE160000}"/>
    <cellStyle name="Normal 16 24" xfId="5871" xr:uid="{00000000-0005-0000-0000-0000EF160000}"/>
    <cellStyle name="Normal 16 25" xfId="5872" xr:uid="{00000000-0005-0000-0000-0000F0160000}"/>
    <cellStyle name="Normal 16 26" xfId="5873" xr:uid="{00000000-0005-0000-0000-0000F1160000}"/>
    <cellStyle name="Normal 16 3" xfId="5874" xr:uid="{00000000-0005-0000-0000-0000F2160000}"/>
    <cellStyle name="Normal 16 3 2" xfId="5875" xr:uid="{00000000-0005-0000-0000-0000F3160000}"/>
    <cellStyle name="Normal 16 3 3" xfId="5876" xr:uid="{00000000-0005-0000-0000-0000F4160000}"/>
    <cellStyle name="Normal 16 4" xfId="5877" xr:uid="{00000000-0005-0000-0000-0000F5160000}"/>
    <cellStyle name="Normal 16 5" xfId="5878" xr:uid="{00000000-0005-0000-0000-0000F6160000}"/>
    <cellStyle name="Normal 16 6" xfId="5879" xr:uid="{00000000-0005-0000-0000-0000F7160000}"/>
    <cellStyle name="Normal 16 7" xfId="5880" xr:uid="{00000000-0005-0000-0000-0000F8160000}"/>
    <cellStyle name="Normal 16 8" xfId="5881" xr:uid="{00000000-0005-0000-0000-0000F9160000}"/>
    <cellStyle name="Normal 16 9" xfId="5882" xr:uid="{00000000-0005-0000-0000-0000FA160000}"/>
    <cellStyle name="Normal 160" xfId="5883" xr:uid="{00000000-0005-0000-0000-0000FB160000}"/>
    <cellStyle name="Normal 160 2" xfId="5884" xr:uid="{00000000-0005-0000-0000-0000FC160000}"/>
    <cellStyle name="Normal 161" xfId="5885" xr:uid="{00000000-0005-0000-0000-0000FD160000}"/>
    <cellStyle name="Normal 161 2" xfId="5886" xr:uid="{00000000-0005-0000-0000-0000FE160000}"/>
    <cellStyle name="Normal 162" xfId="5887" xr:uid="{00000000-0005-0000-0000-0000FF160000}"/>
    <cellStyle name="Normal 162 2" xfId="5888" xr:uid="{00000000-0005-0000-0000-000000170000}"/>
    <cellStyle name="Normal 163" xfId="5889" xr:uid="{00000000-0005-0000-0000-000001170000}"/>
    <cellStyle name="Normal 163 2" xfId="5890" xr:uid="{00000000-0005-0000-0000-000002170000}"/>
    <cellStyle name="Normal 164" xfId="5891" xr:uid="{00000000-0005-0000-0000-000003170000}"/>
    <cellStyle name="Normal 164 2" xfId="5892" xr:uid="{00000000-0005-0000-0000-000004170000}"/>
    <cellStyle name="Normal 165" xfId="5893" xr:uid="{00000000-0005-0000-0000-000005170000}"/>
    <cellStyle name="Normal 165 2" xfId="5894" xr:uid="{00000000-0005-0000-0000-000006170000}"/>
    <cellStyle name="Normal 166" xfId="5895" xr:uid="{00000000-0005-0000-0000-000007170000}"/>
    <cellStyle name="Normal 166 2" xfId="5896" xr:uid="{00000000-0005-0000-0000-000008170000}"/>
    <cellStyle name="Normal 167" xfId="5897" xr:uid="{00000000-0005-0000-0000-000009170000}"/>
    <cellStyle name="Normal 167 2" xfId="5898" xr:uid="{00000000-0005-0000-0000-00000A170000}"/>
    <cellStyle name="Normal 168" xfId="5899" xr:uid="{00000000-0005-0000-0000-00000B170000}"/>
    <cellStyle name="Normal 168 2" xfId="5900" xr:uid="{00000000-0005-0000-0000-00000C170000}"/>
    <cellStyle name="Normal 169" xfId="5901" xr:uid="{00000000-0005-0000-0000-00000D170000}"/>
    <cellStyle name="Normal 169 2" xfId="5902" xr:uid="{00000000-0005-0000-0000-00000E170000}"/>
    <cellStyle name="Normal 17" xfId="9" xr:uid="{00000000-0005-0000-0000-000009000000}"/>
    <cellStyle name="Normal 17 10" xfId="5903" xr:uid="{00000000-0005-0000-0000-00000F170000}"/>
    <cellStyle name="Normal 17 11" xfId="5904" xr:uid="{00000000-0005-0000-0000-000010170000}"/>
    <cellStyle name="Normal 17 12" xfId="5905" xr:uid="{00000000-0005-0000-0000-000011170000}"/>
    <cellStyle name="Normal 17 13" xfId="5906" xr:uid="{00000000-0005-0000-0000-000012170000}"/>
    <cellStyle name="Normal 17 14" xfId="5907" xr:uid="{00000000-0005-0000-0000-000013170000}"/>
    <cellStyle name="Normal 17 15" xfId="5908" xr:uid="{00000000-0005-0000-0000-000014170000}"/>
    <cellStyle name="Normal 17 16" xfId="5909" xr:uid="{00000000-0005-0000-0000-000015170000}"/>
    <cellStyle name="Normal 17 17" xfId="5910" xr:uid="{00000000-0005-0000-0000-000016170000}"/>
    <cellStyle name="Normal 17 18" xfId="5911" xr:uid="{00000000-0005-0000-0000-000017170000}"/>
    <cellStyle name="Normal 17 19" xfId="5912" xr:uid="{00000000-0005-0000-0000-000018170000}"/>
    <cellStyle name="Normal 17 2" xfId="5913" xr:uid="{00000000-0005-0000-0000-000019170000}"/>
    <cellStyle name="Normal 17 2 2" xfId="5914" xr:uid="{00000000-0005-0000-0000-00001A170000}"/>
    <cellStyle name="Normal 17 2 3" xfId="5915" xr:uid="{00000000-0005-0000-0000-00001B170000}"/>
    <cellStyle name="Normal 17 20" xfId="5916" xr:uid="{00000000-0005-0000-0000-00001C170000}"/>
    <cellStyle name="Normal 17 21" xfId="5917" xr:uid="{00000000-0005-0000-0000-00001D170000}"/>
    <cellStyle name="Normal 17 22" xfId="5918" xr:uid="{00000000-0005-0000-0000-00001E170000}"/>
    <cellStyle name="Normal 17 23" xfId="5919" xr:uid="{00000000-0005-0000-0000-00001F170000}"/>
    <cellStyle name="Normal 17 24" xfId="5920" xr:uid="{00000000-0005-0000-0000-000020170000}"/>
    <cellStyle name="Normal 17 25" xfId="5921" xr:uid="{00000000-0005-0000-0000-000021170000}"/>
    <cellStyle name="Normal 17 26" xfId="5922" xr:uid="{00000000-0005-0000-0000-000022170000}"/>
    <cellStyle name="Normal 17 27" xfId="5923" xr:uid="{00000000-0005-0000-0000-000023170000}"/>
    <cellStyle name="Normal 17 28" xfId="5924" xr:uid="{00000000-0005-0000-0000-000024170000}"/>
    <cellStyle name="Normal 17 29" xfId="5925" xr:uid="{00000000-0005-0000-0000-000025170000}"/>
    <cellStyle name="Normal 17 3" xfId="5926" xr:uid="{00000000-0005-0000-0000-000026170000}"/>
    <cellStyle name="Normal 17 3 2" xfId="5927" xr:uid="{00000000-0005-0000-0000-000027170000}"/>
    <cellStyle name="Normal 17 3 3" xfId="5928" xr:uid="{00000000-0005-0000-0000-000028170000}"/>
    <cellStyle name="Normal 17 3 4" xfId="5929" xr:uid="{00000000-0005-0000-0000-000029170000}"/>
    <cellStyle name="Normal 17 3 5" xfId="5930" xr:uid="{00000000-0005-0000-0000-00002A170000}"/>
    <cellStyle name="Normal 17 4" xfId="5931" xr:uid="{00000000-0005-0000-0000-00002B170000}"/>
    <cellStyle name="Normal 17 5" xfId="5932" xr:uid="{00000000-0005-0000-0000-00002C170000}"/>
    <cellStyle name="Normal 17 6" xfId="5933" xr:uid="{00000000-0005-0000-0000-00002D170000}"/>
    <cellStyle name="Normal 17 7" xfId="5934" xr:uid="{00000000-0005-0000-0000-00002E170000}"/>
    <cellStyle name="Normal 17 8" xfId="5935" xr:uid="{00000000-0005-0000-0000-00002F170000}"/>
    <cellStyle name="Normal 17 9" xfId="5936" xr:uid="{00000000-0005-0000-0000-000030170000}"/>
    <cellStyle name="Normal 170" xfId="5937" xr:uid="{00000000-0005-0000-0000-000031170000}"/>
    <cellStyle name="Normal 171" xfId="5938" xr:uid="{00000000-0005-0000-0000-000032170000}"/>
    <cellStyle name="Normal 172" xfId="39122" xr:uid="{00000000-0005-0000-0000-0000D2980000}"/>
    <cellStyle name="Normal 177" xfId="39123" xr:uid="{00000000-0005-0000-0000-0000D3980000}"/>
    <cellStyle name="Normal 18" xfId="5939" xr:uid="{00000000-0005-0000-0000-000033170000}"/>
    <cellStyle name="Normal 18 10" xfId="5940" xr:uid="{00000000-0005-0000-0000-000034170000}"/>
    <cellStyle name="Normal 18 11" xfId="5941" xr:uid="{00000000-0005-0000-0000-000035170000}"/>
    <cellStyle name="Normal 18 12" xfId="5942" xr:uid="{00000000-0005-0000-0000-000036170000}"/>
    <cellStyle name="Normal 18 13" xfId="5943" xr:uid="{00000000-0005-0000-0000-000037170000}"/>
    <cellStyle name="Normal 18 14" xfId="5944" xr:uid="{00000000-0005-0000-0000-000038170000}"/>
    <cellStyle name="Normal 18 15" xfId="5945" xr:uid="{00000000-0005-0000-0000-000039170000}"/>
    <cellStyle name="Normal 18 16" xfId="5946" xr:uid="{00000000-0005-0000-0000-00003A170000}"/>
    <cellStyle name="Normal 18 17" xfId="5947" xr:uid="{00000000-0005-0000-0000-00003B170000}"/>
    <cellStyle name="Normal 18 18" xfId="5948" xr:uid="{00000000-0005-0000-0000-00003C170000}"/>
    <cellStyle name="Normal 18 19" xfId="5949" xr:uid="{00000000-0005-0000-0000-00003D170000}"/>
    <cellStyle name="Normal 18 2" xfId="5950" xr:uid="{00000000-0005-0000-0000-00003E170000}"/>
    <cellStyle name="Normal 18 2 2" xfId="5951" xr:uid="{00000000-0005-0000-0000-00003F170000}"/>
    <cellStyle name="Normal 18 2 3" xfId="5952" xr:uid="{00000000-0005-0000-0000-000040170000}"/>
    <cellStyle name="Normal 18 20" xfId="5953" xr:uid="{00000000-0005-0000-0000-000041170000}"/>
    <cellStyle name="Normal 18 21" xfId="5954" xr:uid="{00000000-0005-0000-0000-000042170000}"/>
    <cellStyle name="Normal 18 22" xfId="5955" xr:uid="{00000000-0005-0000-0000-000043170000}"/>
    <cellStyle name="Normal 18 23" xfId="5956" xr:uid="{00000000-0005-0000-0000-000044170000}"/>
    <cellStyle name="Normal 18 24" xfId="5957" xr:uid="{00000000-0005-0000-0000-000045170000}"/>
    <cellStyle name="Normal 18 25" xfId="5958" xr:uid="{00000000-0005-0000-0000-000046170000}"/>
    <cellStyle name="Normal 18 3" xfId="5959" xr:uid="{00000000-0005-0000-0000-000047170000}"/>
    <cellStyle name="Normal 18 3 2" xfId="5960" xr:uid="{00000000-0005-0000-0000-000048170000}"/>
    <cellStyle name="Normal 18 3 3" xfId="5961" xr:uid="{00000000-0005-0000-0000-000049170000}"/>
    <cellStyle name="Normal 18 3 4" xfId="5962" xr:uid="{00000000-0005-0000-0000-00004A170000}"/>
    <cellStyle name="Normal 18 3 5" xfId="5963" xr:uid="{00000000-0005-0000-0000-00004B170000}"/>
    <cellStyle name="Normal 18 4" xfId="5964" xr:uid="{00000000-0005-0000-0000-00004C170000}"/>
    <cellStyle name="Normal 18 5" xfId="5965" xr:uid="{00000000-0005-0000-0000-00004D170000}"/>
    <cellStyle name="Normal 18 6" xfId="5966" xr:uid="{00000000-0005-0000-0000-00004E170000}"/>
    <cellStyle name="Normal 18 7" xfId="5967" xr:uid="{00000000-0005-0000-0000-00004F170000}"/>
    <cellStyle name="Normal 18 8" xfId="5968" xr:uid="{00000000-0005-0000-0000-000050170000}"/>
    <cellStyle name="Normal 18 9" xfId="5969" xr:uid="{00000000-0005-0000-0000-000051170000}"/>
    <cellStyle name="Normal 19" xfId="5970" xr:uid="{00000000-0005-0000-0000-000052170000}"/>
    <cellStyle name="Normal 19 10" xfId="5971" xr:uid="{00000000-0005-0000-0000-000053170000}"/>
    <cellStyle name="Normal 19 11" xfId="5972" xr:uid="{00000000-0005-0000-0000-000054170000}"/>
    <cellStyle name="Normal 19 12" xfId="5973" xr:uid="{00000000-0005-0000-0000-000055170000}"/>
    <cellStyle name="Normal 19 13" xfId="5974" xr:uid="{00000000-0005-0000-0000-000056170000}"/>
    <cellStyle name="Normal 19 14" xfId="5975" xr:uid="{00000000-0005-0000-0000-000057170000}"/>
    <cellStyle name="Normal 19 15" xfId="5976" xr:uid="{00000000-0005-0000-0000-000058170000}"/>
    <cellStyle name="Normal 19 16" xfId="5977" xr:uid="{00000000-0005-0000-0000-000059170000}"/>
    <cellStyle name="Normal 19 17" xfId="5978" xr:uid="{00000000-0005-0000-0000-00005A170000}"/>
    <cellStyle name="Normal 19 18" xfId="5979" xr:uid="{00000000-0005-0000-0000-00005B170000}"/>
    <cellStyle name="Normal 19 19" xfId="5980" xr:uid="{00000000-0005-0000-0000-00005C170000}"/>
    <cellStyle name="Normal 19 2" xfId="5981" xr:uid="{00000000-0005-0000-0000-00005D170000}"/>
    <cellStyle name="Normal 19 2 2" xfId="5982" xr:uid="{00000000-0005-0000-0000-00005E170000}"/>
    <cellStyle name="Normal 19 2 3" xfId="5983" xr:uid="{00000000-0005-0000-0000-00005F170000}"/>
    <cellStyle name="Normal 19 20" xfId="5984" xr:uid="{00000000-0005-0000-0000-000060170000}"/>
    <cellStyle name="Normal 19 21" xfId="5985" xr:uid="{00000000-0005-0000-0000-000061170000}"/>
    <cellStyle name="Normal 19 22" xfId="5986" xr:uid="{00000000-0005-0000-0000-000062170000}"/>
    <cellStyle name="Normal 19 23" xfId="5987" xr:uid="{00000000-0005-0000-0000-000063170000}"/>
    <cellStyle name="Normal 19 24" xfId="5988" xr:uid="{00000000-0005-0000-0000-000064170000}"/>
    <cellStyle name="Normal 19 25" xfId="5989" xr:uid="{00000000-0005-0000-0000-000065170000}"/>
    <cellStyle name="Normal 19 3" xfId="5990" xr:uid="{00000000-0005-0000-0000-000066170000}"/>
    <cellStyle name="Normal 19 3 2" xfId="5991" xr:uid="{00000000-0005-0000-0000-000067170000}"/>
    <cellStyle name="Normal 19 3 3" xfId="5992" xr:uid="{00000000-0005-0000-0000-000068170000}"/>
    <cellStyle name="Normal 19 3 4" xfId="5993" xr:uid="{00000000-0005-0000-0000-000069170000}"/>
    <cellStyle name="Normal 19 3 5" xfId="5994" xr:uid="{00000000-0005-0000-0000-00006A170000}"/>
    <cellStyle name="Normal 19 4" xfId="5995" xr:uid="{00000000-0005-0000-0000-00006B170000}"/>
    <cellStyle name="Normal 19 5" xfId="5996" xr:uid="{00000000-0005-0000-0000-00006C170000}"/>
    <cellStyle name="Normal 19 6" xfId="5997" xr:uid="{00000000-0005-0000-0000-00006D170000}"/>
    <cellStyle name="Normal 19 7" xfId="5998" xr:uid="{00000000-0005-0000-0000-00006E170000}"/>
    <cellStyle name="Normal 19 8" xfId="5999" xr:uid="{00000000-0005-0000-0000-00006F170000}"/>
    <cellStyle name="Normal 19 9" xfId="6000" xr:uid="{00000000-0005-0000-0000-000070170000}"/>
    <cellStyle name="Normal 2" xfId="10" xr:uid="{00000000-0005-0000-0000-00000A000000}"/>
    <cellStyle name="Normal 2 10" xfId="11" xr:uid="{00000000-0005-0000-0000-00000B000000}"/>
    <cellStyle name="Normal 2 10 10" xfId="6001" xr:uid="{00000000-0005-0000-0000-000071170000}"/>
    <cellStyle name="Normal 2 10 2" xfId="6002" xr:uid="{00000000-0005-0000-0000-000072170000}"/>
    <cellStyle name="Normal 2 10 3" xfId="6003" xr:uid="{00000000-0005-0000-0000-000073170000}"/>
    <cellStyle name="Normal 2 10 4" xfId="6004" xr:uid="{00000000-0005-0000-0000-000074170000}"/>
    <cellStyle name="Normal 2 10_Enlaces" xfId="6005" xr:uid="{00000000-0005-0000-0000-000075170000}"/>
    <cellStyle name="Normal 2 100" xfId="6006" xr:uid="{00000000-0005-0000-0000-000076170000}"/>
    <cellStyle name="Normal 2 100 2" xfId="6007" xr:uid="{00000000-0005-0000-0000-000077170000}"/>
    <cellStyle name="Normal 2 101" xfId="6008" xr:uid="{00000000-0005-0000-0000-000078170000}"/>
    <cellStyle name="Normal 2 101 2" xfId="6009" xr:uid="{00000000-0005-0000-0000-000079170000}"/>
    <cellStyle name="Normal 2 102" xfId="6010" xr:uid="{00000000-0005-0000-0000-00007A170000}"/>
    <cellStyle name="Normal 2 102 2" xfId="6011" xr:uid="{00000000-0005-0000-0000-00007B170000}"/>
    <cellStyle name="Normal 2 103" xfId="6012" xr:uid="{00000000-0005-0000-0000-00007C170000}"/>
    <cellStyle name="Normal 2 103 2" xfId="6013" xr:uid="{00000000-0005-0000-0000-00007D170000}"/>
    <cellStyle name="Normal 2 104" xfId="6014" xr:uid="{00000000-0005-0000-0000-00007E170000}"/>
    <cellStyle name="Normal 2 104 2" xfId="6015" xr:uid="{00000000-0005-0000-0000-00007F170000}"/>
    <cellStyle name="Normal 2 105" xfId="6016" xr:uid="{00000000-0005-0000-0000-000080170000}"/>
    <cellStyle name="Normal 2 106" xfId="6017" xr:uid="{00000000-0005-0000-0000-000081170000}"/>
    <cellStyle name="Normal 2 107" xfId="6018" xr:uid="{00000000-0005-0000-0000-000082170000}"/>
    <cellStyle name="Normal 2 108" xfId="6019" xr:uid="{00000000-0005-0000-0000-000083170000}"/>
    <cellStyle name="Normal 2 109" xfId="6020" xr:uid="{00000000-0005-0000-0000-000084170000}"/>
    <cellStyle name="Normal 2 11" xfId="6021" xr:uid="{00000000-0005-0000-0000-000085170000}"/>
    <cellStyle name="Normal 2 11 2" xfId="6022" xr:uid="{00000000-0005-0000-0000-000086170000}"/>
    <cellStyle name="Normal 2 11 3" xfId="6023" xr:uid="{00000000-0005-0000-0000-000087170000}"/>
    <cellStyle name="Normal 2 11 4" xfId="6024" xr:uid="{00000000-0005-0000-0000-000088170000}"/>
    <cellStyle name="Normal 2 11 5" xfId="6025" xr:uid="{00000000-0005-0000-0000-000089170000}"/>
    <cellStyle name="Normal 2 110" xfId="6026" xr:uid="{00000000-0005-0000-0000-00008A170000}"/>
    <cellStyle name="Normal 2 111" xfId="6027" xr:uid="{00000000-0005-0000-0000-00008B170000}"/>
    <cellStyle name="Normal 2 112" xfId="6028" xr:uid="{00000000-0005-0000-0000-00008C170000}"/>
    <cellStyle name="Normal 2 113" xfId="6029" xr:uid="{00000000-0005-0000-0000-00008D170000}"/>
    <cellStyle name="Normal 2 114" xfId="6030" xr:uid="{00000000-0005-0000-0000-00008E170000}"/>
    <cellStyle name="Normal 2 115" xfId="6031" xr:uid="{00000000-0005-0000-0000-00008F170000}"/>
    <cellStyle name="Normal 2 116" xfId="6032" xr:uid="{00000000-0005-0000-0000-000090170000}"/>
    <cellStyle name="Normal 2 117" xfId="6033" xr:uid="{00000000-0005-0000-0000-000091170000}"/>
    <cellStyle name="Normal 2 118" xfId="6034" xr:uid="{00000000-0005-0000-0000-000092170000}"/>
    <cellStyle name="Normal 2 119" xfId="6035" xr:uid="{00000000-0005-0000-0000-000093170000}"/>
    <cellStyle name="Normal 2 12" xfId="6036" xr:uid="{00000000-0005-0000-0000-000094170000}"/>
    <cellStyle name="Normal 2 12 2" xfId="6037" xr:uid="{00000000-0005-0000-0000-000095170000}"/>
    <cellStyle name="Normal 2 12 3" xfId="6038" xr:uid="{00000000-0005-0000-0000-000096170000}"/>
    <cellStyle name="Normal 2 12 4" xfId="6039" xr:uid="{00000000-0005-0000-0000-000097170000}"/>
    <cellStyle name="Normal 2 12 5" xfId="6040" xr:uid="{00000000-0005-0000-0000-000098170000}"/>
    <cellStyle name="Normal 2 12 6" xfId="6041" xr:uid="{00000000-0005-0000-0000-000099170000}"/>
    <cellStyle name="Normal 2 120" xfId="6042" xr:uid="{00000000-0005-0000-0000-00009A170000}"/>
    <cellStyle name="Normal 2 121" xfId="6043" xr:uid="{00000000-0005-0000-0000-00009B170000}"/>
    <cellStyle name="Normal 2 122" xfId="6044" xr:uid="{00000000-0005-0000-0000-00009C170000}"/>
    <cellStyle name="Normal 2 123" xfId="6045" xr:uid="{00000000-0005-0000-0000-00009D170000}"/>
    <cellStyle name="Normal 2 124" xfId="6046" xr:uid="{00000000-0005-0000-0000-00009E170000}"/>
    <cellStyle name="Normal 2 125" xfId="6047" xr:uid="{00000000-0005-0000-0000-00009F170000}"/>
    <cellStyle name="Normal 2 126" xfId="6048" xr:uid="{00000000-0005-0000-0000-0000A0170000}"/>
    <cellStyle name="Normal 2 127" xfId="6049" xr:uid="{00000000-0005-0000-0000-0000A1170000}"/>
    <cellStyle name="Normal 2 128" xfId="6050" xr:uid="{00000000-0005-0000-0000-0000A2170000}"/>
    <cellStyle name="Normal 2 129" xfId="6051" xr:uid="{00000000-0005-0000-0000-0000A3170000}"/>
    <cellStyle name="Normal 2 13" xfId="6052" xr:uid="{00000000-0005-0000-0000-0000A4170000}"/>
    <cellStyle name="Normal 2 13 2" xfId="6053" xr:uid="{00000000-0005-0000-0000-0000A5170000}"/>
    <cellStyle name="Normal 2 13 3" xfId="6054" xr:uid="{00000000-0005-0000-0000-0000A6170000}"/>
    <cellStyle name="Normal 2 13 4" xfId="6055" xr:uid="{00000000-0005-0000-0000-0000A7170000}"/>
    <cellStyle name="Normal 2 13 5" xfId="6056" xr:uid="{00000000-0005-0000-0000-0000A8170000}"/>
    <cellStyle name="Normal 2 13 6" xfId="6057" xr:uid="{00000000-0005-0000-0000-0000A9170000}"/>
    <cellStyle name="Normal 2 130" xfId="6058" xr:uid="{00000000-0005-0000-0000-0000AA170000}"/>
    <cellStyle name="Normal 2 131" xfId="6059" xr:uid="{00000000-0005-0000-0000-0000AB170000}"/>
    <cellStyle name="Normal 2 132" xfId="6060" xr:uid="{00000000-0005-0000-0000-0000AC170000}"/>
    <cellStyle name="Normal 2 133" xfId="6061" xr:uid="{00000000-0005-0000-0000-0000AD170000}"/>
    <cellStyle name="Normal 2 134" xfId="6062" xr:uid="{00000000-0005-0000-0000-0000AE170000}"/>
    <cellStyle name="Normal 2 135" xfId="6063" xr:uid="{00000000-0005-0000-0000-0000AF170000}"/>
    <cellStyle name="Normal 2 136" xfId="6064" xr:uid="{00000000-0005-0000-0000-0000B0170000}"/>
    <cellStyle name="Normal 2 137" xfId="6065" xr:uid="{00000000-0005-0000-0000-0000B1170000}"/>
    <cellStyle name="Normal 2 138" xfId="6066" xr:uid="{00000000-0005-0000-0000-0000B2170000}"/>
    <cellStyle name="Normal 2 139" xfId="6067" xr:uid="{00000000-0005-0000-0000-0000B3170000}"/>
    <cellStyle name="Normal 2 14" xfId="6068" xr:uid="{00000000-0005-0000-0000-0000B4170000}"/>
    <cellStyle name="Normal 2 14 2" xfId="6069" xr:uid="{00000000-0005-0000-0000-0000B5170000}"/>
    <cellStyle name="Normal 2 14 3" xfId="6070" xr:uid="{00000000-0005-0000-0000-0000B6170000}"/>
    <cellStyle name="Normal 2 14 4" xfId="6071" xr:uid="{00000000-0005-0000-0000-0000B7170000}"/>
    <cellStyle name="Normal 2 14 5" xfId="6072" xr:uid="{00000000-0005-0000-0000-0000B8170000}"/>
    <cellStyle name="Normal 2 140" xfId="6073" xr:uid="{00000000-0005-0000-0000-0000B9170000}"/>
    <cellStyle name="Normal 2 141" xfId="6074" xr:uid="{00000000-0005-0000-0000-0000BA170000}"/>
    <cellStyle name="Normal 2 142" xfId="6075" xr:uid="{00000000-0005-0000-0000-0000BB170000}"/>
    <cellStyle name="Normal 2 143" xfId="6076" xr:uid="{00000000-0005-0000-0000-0000BC170000}"/>
    <cellStyle name="Normal 2 144" xfId="6077" xr:uid="{00000000-0005-0000-0000-0000BD170000}"/>
    <cellStyle name="Normal 2 145" xfId="6078" xr:uid="{00000000-0005-0000-0000-0000BE170000}"/>
    <cellStyle name="Normal 2 146" xfId="6079" xr:uid="{00000000-0005-0000-0000-0000BF170000}"/>
    <cellStyle name="Normal 2 147" xfId="6080" xr:uid="{00000000-0005-0000-0000-0000C0170000}"/>
    <cellStyle name="Normal 2 148" xfId="6081" xr:uid="{00000000-0005-0000-0000-0000C1170000}"/>
    <cellStyle name="Normal 2 149" xfId="6082" xr:uid="{00000000-0005-0000-0000-0000C2170000}"/>
    <cellStyle name="Normal 2 15" xfId="6083" xr:uid="{00000000-0005-0000-0000-0000C3170000}"/>
    <cellStyle name="Normal 2 15 2" xfId="6084" xr:uid="{00000000-0005-0000-0000-0000C4170000}"/>
    <cellStyle name="Normal 2 15 3" xfId="6085" xr:uid="{00000000-0005-0000-0000-0000C5170000}"/>
    <cellStyle name="Normal 2 15 4" xfId="6086" xr:uid="{00000000-0005-0000-0000-0000C6170000}"/>
    <cellStyle name="Normal 2 15 5" xfId="6087" xr:uid="{00000000-0005-0000-0000-0000C7170000}"/>
    <cellStyle name="Normal 2 15 6" xfId="6088" xr:uid="{00000000-0005-0000-0000-0000C8170000}"/>
    <cellStyle name="Normal 2 150" xfId="6089" xr:uid="{00000000-0005-0000-0000-0000C9170000}"/>
    <cellStyle name="Normal 2 151" xfId="6090" xr:uid="{00000000-0005-0000-0000-0000CA170000}"/>
    <cellStyle name="Normal 2 152" xfId="6091" xr:uid="{00000000-0005-0000-0000-0000CB170000}"/>
    <cellStyle name="Normal 2 153" xfId="6092" xr:uid="{00000000-0005-0000-0000-0000CC170000}"/>
    <cellStyle name="Normal 2 154" xfId="6093" xr:uid="{00000000-0005-0000-0000-0000CD170000}"/>
    <cellStyle name="Normal 2 155" xfId="6094" xr:uid="{00000000-0005-0000-0000-0000CE170000}"/>
    <cellStyle name="Normal 2 156" xfId="6095" xr:uid="{00000000-0005-0000-0000-0000CF170000}"/>
    <cellStyle name="Normal 2 157" xfId="6096" xr:uid="{00000000-0005-0000-0000-0000D0170000}"/>
    <cellStyle name="Normal 2 158" xfId="6097" xr:uid="{00000000-0005-0000-0000-0000D1170000}"/>
    <cellStyle name="Normal 2 159" xfId="6098" xr:uid="{00000000-0005-0000-0000-0000D2170000}"/>
    <cellStyle name="Normal 2 16" xfId="6099" xr:uid="{00000000-0005-0000-0000-0000D3170000}"/>
    <cellStyle name="Normal 2 16 2" xfId="6100" xr:uid="{00000000-0005-0000-0000-0000D4170000}"/>
    <cellStyle name="Normal 2 16 3" xfId="6101" xr:uid="{00000000-0005-0000-0000-0000D5170000}"/>
    <cellStyle name="Normal 2 16 4" xfId="6102" xr:uid="{00000000-0005-0000-0000-0000D6170000}"/>
    <cellStyle name="Normal 2 16 5" xfId="6103" xr:uid="{00000000-0005-0000-0000-0000D7170000}"/>
    <cellStyle name="Normal 2 160" xfId="6104" xr:uid="{00000000-0005-0000-0000-0000D8170000}"/>
    <cellStyle name="Normal 2 161" xfId="6105" xr:uid="{00000000-0005-0000-0000-0000D9170000}"/>
    <cellStyle name="Normal 2 162" xfId="6106" xr:uid="{00000000-0005-0000-0000-0000DA170000}"/>
    <cellStyle name="Normal 2 163" xfId="6107" xr:uid="{00000000-0005-0000-0000-0000DB170000}"/>
    <cellStyle name="Normal 2 164" xfId="6108" xr:uid="{00000000-0005-0000-0000-0000DC170000}"/>
    <cellStyle name="Normal 2 165" xfId="6109" xr:uid="{00000000-0005-0000-0000-0000DD170000}"/>
    <cellStyle name="Normal 2 166" xfId="6110" xr:uid="{00000000-0005-0000-0000-0000DE170000}"/>
    <cellStyle name="Normal 2 167" xfId="6111" xr:uid="{00000000-0005-0000-0000-0000DF170000}"/>
    <cellStyle name="Normal 2 168" xfId="6112" xr:uid="{00000000-0005-0000-0000-0000E0170000}"/>
    <cellStyle name="Normal 2 169" xfId="6113" xr:uid="{00000000-0005-0000-0000-0000E1170000}"/>
    <cellStyle name="Normal 2 17" xfId="6114" xr:uid="{00000000-0005-0000-0000-0000E2170000}"/>
    <cellStyle name="Normal 2 17 2" xfId="6115" xr:uid="{00000000-0005-0000-0000-0000E3170000}"/>
    <cellStyle name="Normal 2 17 3" xfId="6116" xr:uid="{00000000-0005-0000-0000-0000E4170000}"/>
    <cellStyle name="Normal 2 17 4" xfId="6117" xr:uid="{00000000-0005-0000-0000-0000E5170000}"/>
    <cellStyle name="Normal 2 17 5" xfId="6118" xr:uid="{00000000-0005-0000-0000-0000E6170000}"/>
    <cellStyle name="Normal 2 170" xfId="6119" xr:uid="{00000000-0005-0000-0000-0000E7170000}"/>
    <cellStyle name="Normal 2 171" xfId="6120" xr:uid="{00000000-0005-0000-0000-0000E8170000}"/>
    <cellStyle name="Normal 2 172" xfId="6121" xr:uid="{00000000-0005-0000-0000-0000E9170000}"/>
    <cellStyle name="Normal 2 173" xfId="6122" xr:uid="{00000000-0005-0000-0000-0000EA170000}"/>
    <cellStyle name="Normal 2 174" xfId="6123" xr:uid="{00000000-0005-0000-0000-0000EB170000}"/>
    <cellStyle name="Normal 2 175" xfId="6124" xr:uid="{00000000-0005-0000-0000-0000EC170000}"/>
    <cellStyle name="Normal 2 176" xfId="6125" xr:uid="{00000000-0005-0000-0000-0000ED170000}"/>
    <cellStyle name="Normal 2 177" xfId="6126" xr:uid="{00000000-0005-0000-0000-0000EE170000}"/>
    <cellStyle name="Normal 2 178" xfId="6127" xr:uid="{00000000-0005-0000-0000-0000EF170000}"/>
    <cellStyle name="Normal 2 179" xfId="6128" xr:uid="{00000000-0005-0000-0000-0000F0170000}"/>
    <cellStyle name="Normal 2 18" xfId="6129" xr:uid="{00000000-0005-0000-0000-0000F1170000}"/>
    <cellStyle name="Normal 2 18 2" xfId="6130" xr:uid="{00000000-0005-0000-0000-0000F2170000}"/>
    <cellStyle name="Normal 2 18 3" xfId="6131" xr:uid="{00000000-0005-0000-0000-0000F3170000}"/>
    <cellStyle name="Normal 2 18 4" xfId="6132" xr:uid="{00000000-0005-0000-0000-0000F4170000}"/>
    <cellStyle name="Normal 2 18 5" xfId="6133" xr:uid="{00000000-0005-0000-0000-0000F5170000}"/>
    <cellStyle name="Normal 2 19" xfId="6134" xr:uid="{00000000-0005-0000-0000-0000F6170000}"/>
    <cellStyle name="Normal 2 19 2" xfId="6135" xr:uid="{00000000-0005-0000-0000-0000F7170000}"/>
    <cellStyle name="Normal 2 19 3" xfId="6136" xr:uid="{00000000-0005-0000-0000-0000F8170000}"/>
    <cellStyle name="Normal 2 19 4" xfId="6137" xr:uid="{00000000-0005-0000-0000-0000F9170000}"/>
    <cellStyle name="Normal 2 19 5" xfId="6138" xr:uid="{00000000-0005-0000-0000-0000FA170000}"/>
    <cellStyle name="Normal 2 2" xfId="12" xr:uid="{00000000-0005-0000-0000-00000C000000}"/>
    <cellStyle name="Normal 2 2 10" xfId="6139" xr:uid="{00000000-0005-0000-0000-0000FB170000}"/>
    <cellStyle name="Normal 2 2 10 10" xfId="6140" xr:uid="{00000000-0005-0000-0000-0000FC170000}"/>
    <cellStyle name="Normal 2 2 10 10 10" xfId="6141" xr:uid="{00000000-0005-0000-0000-0000FD170000}"/>
    <cellStyle name="Normal 2 2 10 10 11" xfId="6142" xr:uid="{00000000-0005-0000-0000-0000FE170000}"/>
    <cellStyle name="Normal 2 2 10 10 12" xfId="6143" xr:uid="{00000000-0005-0000-0000-0000FF170000}"/>
    <cellStyle name="Normal 2 2 10 10 13" xfId="6144" xr:uid="{00000000-0005-0000-0000-000000180000}"/>
    <cellStyle name="Normal 2 2 10 10 14" xfId="6145" xr:uid="{00000000-0005-0000-0000-000001180000}"/>
    <cellStyle name="Normal 2 2 10 10 2" xfId="6146" xr:uid="{00000000-0005-0000-0000-000002180000}"/>
    <cellStyle name="Normal 2 2 10 10 2 10" xfId="6147" xr:uid="{00000000-0005-0000-0000-000003180000}"/>
    <cellStyle name="Normal 2 2 10 10 2 2" xfId="6148" xr:uid="{00000000-0005-0000-0000-000004180000}"/>
    <cellStyle name="Normal 2 2 10 10 2 3" xfId="6149" xr:uid="{00000000-0005-0000-0000-000005180000}"/>
    <cellStyle name="Normal 2 2 10 10 2 4" xfId="6150" xr:uid="{00000000-0005-0000-0000-000006180000}"/>
    <cellStyle name="Normal 2 2 10 10 2 5" xfId="6151" xr:uid="{00000000-0005-0000-0000-000007180000}"/>
    <cellStyle name="Normal 2 2 10 10 2 6" xfId="6152" xr:uid="{00000000-0005-0000-0000-000008180000}"/>
    <cellStyle name="Normal 2 2 10 10 2 7" xfId="6153" xr:uid="{00000000-0005-0000-0000-000009180000}"/>
    <cellStyle name="Normal 2 2 10 10 2 8" xfId="6154" xr:uid="{00000000-0005-0000-0000-00000A180000}"/>
    <cellStyle name="Normal 2 2 10 10 2 9" xfId="6155" xr:uid="{00000000-0005-0000-0000-00000B180000}"/>
    <cellStyle name="Normal 2 2 10 10 3" xfId="6156" xr:uid="{00000000-0005-0000-0000-00000C180000}"/>
    <cellStyle name="Normal 2 2 10 10 3 10" xfId="6157" xr:uid="{00000000-0005-0000-0000-00000D180000}"/>
    <cellStyle name="Normal 2 2 10 10 3 2" xfId="6158" xr:uid="{00000000-0005-0000-0000-00000E180000}"/>
    <cellStyle name="Normal 2 2 10 10 3 3" xfId="6159" xr:uid="{00000000-0005-0000-0000-00000F180000}"/>
    <cellStyle name="Normal 2 2 10 10 3 4" xfId="6160" xr:uid="{00000000-0005-0000-0000-000010180000}"/>
    <cellStyle name="Normal 2 2 10 10 3 5" xfId="6161" xr:uid="{00000000-0005-0000-0000-000011180000}"/>
    <cellStyle name="Normal 2 2 10 10 3 6" xfId="6162" xr:uid="{00000000-0005-0000-0000-000012180000}"/>
    <cellStyle name="Normal 2 2 10 10 3 7" xfId="6163" xr:uid="{00000000-0005-0000-0000-000013180000}"/>
    <cellStyle name="Normal 2 2 10 10 3 8" xfId="6164" xr:uid="{00000000-0005-0000-0000-000014180000}"/>
    <cellStyle name="Normal 2 2 10 10 3 9" xfId="6165" xr:uid="{00000000-0005-0000-0000-000015180000}"/>
    <cellStyle name="Normal 2 2 10 10 4" xfId="6166" xr:uid="{00000000-0005-0000-0000-000016180000}"/>
    <cellStyle name="Normal 2 2 10 10 4 10" xfId="6167" xr:uid="{00000000-0005-0000-0000-000017180000}"/>
    <cellStyle name="Normal 2 2 10 10 4 2" xfId="6168" xr:uid="{00000000-0005-0000-0000-000018180000}"/>
    <cellStyle name="Normal 2 2 10 10 4 3" xfId="6169" xr:uid="{00000000-0005-0000-0000-000019180000}"/>
    <cellStyle name="Normal 2 2 10 10 4 4" xfId="6170" xr:uid="{00000000-0005-0000-0000-00001A180000}"/>
    <cellStyle name="Normal 2 2 10 10 4 5" xfId="6171" xr:uid="{00000000-0005-0000-0000-00001B180000}"/>
    <cellStyle name="Normal 2 2 10 10 4 6" xfId="6172" xr:uid="{00000000-0005-0000-0000-00001C180000}"/>
    <cellStyle name="Normal 2 2 10 10 4 7" xfId="6173" xr:uid="{00000000-0005-0000-0000-00001D180000}"/>
    <cellStyle name="Normal 2 2 10 10 4 8" xfId="6174" xr:uid="{00000000-0005-0000-0000-00001E180000}"/>
    <cellStyle name="Normal 2 2 10 10 4 9" xfId="6175" xr:uid="{00000000-0005-0000-0000-00001F180000}"/>
    <cellStyle name="Normal 2 2 10 10 5" xfId="6176" xr:uid="{00000000-0005-0000-0000-000020180000}"/>
    <cellStyle name="Normal 2 2 10 10 5 10" xfId="6177" xr:uid="{00000000-0005-0000-0000-000021180000}"/>
    <cellStyle name="Normal 2 2 10 10 5 2" xfId="6178" xr:uid="{00000000-0005-0000-0000-000022180000}"/>
    <cellStyle name="Normal 2 2 10 10 5 3" xfId="6179" xr:uid="{00000000-0005-0000-0000-000023180000}"/>
    <cellStyle name="Normal 2 2 10 10 5 4" xfId="6180" xr:uid="{00000000-0005-0000-0000-000024180000}"/>
    <cellStyle name="Normal 2 2 10 10 5 5" xfId="6181" xr:uid="{00000000-0005-0000-0000-000025180000}"/>
    <cellStyle name="Normal 2 2 10 10 5 6" xfId="6182" xr:uid="{00000000-0005-0000-0000-000026180000}"/>
    <cellStyle name="Normal 2 2 10 10 5 7" xfId="6183" xr:uid="{00000000-0005-0000-0000-000027180000}"/>
    <cellStyle name="Normal 2 2 10 10 5 8" xfId="6184" xr:uid="{00000000-0005-0000-0000-000028180000}"/>
    <cellStyle name="Normal 2 2 10 10 5 9" xfId="6185" xr:uid="{00000000-0005-0000-0000-000029180000}"/>
    <cellStyle name="Normal 2 2 10 10 6" xfId="6186" xr:uid="{00000000-0005-0000-0000-00002A180000}"/>
    <cellStyle name="Normal 2 2 10 10 7" xfId="6187" xr:uid="{00000000-0005-0000-0000-00002B180000}"/>
    <cellStyle name="Normal 2 2 10 10 8" xfId="6188" xr:uid="{00000000-0005-0000-0000-00002C180000}"/>
    <cellStyle name="Normal 2 2 10 10 9" xfId="6189" xr:uid="{00000000-0005-0000-0000-00002D180000}"/>
    <cellStyle name="Normal 2 2 10 11" xfId="6190" xr:uid="{00000000-0005-0000-0000-00002E180000}"/>
    <cellStyle name="Normal 2 2 10 11 10" xfId="6191" xr:uid="{00000000-0005-0000-0000-00002F180000}"/>
    <cellStyle name="Normal 2 2 10 11 11" xfId="6192" xr:uid="{00000000-0005-0000-0000-000030180000}"/>
    <cellStyle name="Normal 2 2 10 11 12" xfId="6193" xr:uid="{00000000-0005-0000-0000-000031180000}"/>
    <cellStyle name="Normal 2 2 10 11 13" xfId="6194" xr:uid="{00000000-0005-0000-0000-000032180000}"/>
    <cellStyle name="Normal 2 2 10 11 14" xfId="6195" xr:uid="{00000000-0005-0000-0000-000033180000}"/>
    <cellStyle name="Normal 2 2 10 11 2" xfId="6196" xr:uid="{00000000-0005-0000-0000-000034180000}"/>
    <cellStyle name="Normal 2 2 10 11 2 10" xfId="6197" xr:uid="{00000000-0005-0000-0000-000035180000}"/>
    <cellStyle name="Normal 2 2 10 11 2 2" xfId="6198" xr:uid="{00000000-0005-0000-0000-000036180000}"/>
    <cellStyle name="Normal 2 2 10 11 2 3" xfId="6199" xr:uid="{00000000-0005-0000-0000-000037180000}"/>
    <cellStyle name="Normal 2 2 10 11 2 4" xfId="6200" xr:uid="{00000000-0005-0000-0000-000038180000}"/>
    <cellStyle name="Normal 2 2 10 11 2 5" xfId="6201" xr:uid="{00000000-0005-0000-0000-000039180000}"/>
    <cellStyle name="Normal 2 2 10 11 2 6" xfId="6202" xr:uid="{00000000-0005-0000-0000-00003A180000}"/>
    <cellStyle name="Normal 2 2 10 11 2 7" xfId="6203" xr:uid="{00000000-0005-0000-0000-00003B180000}"/>
    <cellStyle name="Normal 2 2 10 11 2 8" xfId="6204" xr:uid="{00000000-0005-0000-0000-00003C180000}"/>
    <cellStyle name="Normal 2 2 10 11 2 9" xfId="6205" xr:uid="{00000000-0005-0000-0000-00003D180000}"/>
    <cellStyle name="Normal 2 2 10 11 3" xfId="6206" xr:uid="{00000000-0005-0000-0000-00003E180000}"/>
    <cellStyle name="Normal 2 2 10 11 3 10" xfId="6207" xr:uid="{00000000-0005-0000-0000-00003F180000}"/>
    <cellStyle name="Normal 2 2 10 11 3 2" xfId="6208" xr:uid="{00000000-0005-0000-0000-000040180000}"/>
    <cellStyle name="Normal 2 2 10 11 3 3" xfId="6209" xr:uid="{00000000-0005-0000-0000-000041180000}"/>
    <cellStyle name="Normal 2 2 10 11 3 4" xfId="6210" xr:uid="{00000000-0005-0000-0000-000042180000}"/>
    <cellStyle name="Normal 2 2 10 11 3 5" xfId="6211" xr:uid="{00000000-0005-0000-0000-000043180000}"/>
    <cellStyle name="Normal 2 2 10 11 3 6" xfId="6212" xr:uid="{00000000-0005-0000-0000-000044180000}"/>
    <cellStyle name="Normal 2 2 10 11 3 7" xfId="6213" xr:uid="{00000000-0005-0000-0000-000045180000}"/>
    <cellStyle name="Normal 2 2 10 11 3 8" xfId="6214" xr:uid="{00000000-0005-0000-0000-000046180000}"/>
    <cellStyle name="Normal 2 2 10 11 3 9" xfId="6215" xr:uid="{00000000-0005-0000-0000-000047180000}"/>
    <cellStyle name="Normal 2 2 10 11 4" xfId="6216" xr:uid="{00000000-0005-0000-0000-000048180000}"/>
    <cellStyle name="Normal 2 2 10 11 4 10" xfId="6217" xr:uid="{00000000-0005-0000-0000-000049180000}"/>
    <cellStyle name="Normal 2 2 10 11 4 2" xfId="6218" xr:uid="{00000000-0005-0000-0000-00004A180000}"/>
    <cellStyle name="Normal 2 2 10 11 4 3" xfId="6219" xr:uid="{00000000-0005-0000-0000-00004B180000}"/>
    <cellStyle name="Normal 2 2 10 11 4 4" xfId="6220" xr:uid="{00000000-0005-0000-0000-00004C180000}"/>
    <cellStyle name="Normal 2 2 10 11 4 5" xfId="6221" xr:uid="{00000000-0005-0000-0000-00004D180000}"/>
    <cellStyle name="Normal 2 2 10 11 4 6" xfId="6222" xr:uid="{00000000-0005-0000-0000-00004E180000}"/>
    <cellStyle name="Normal 2 2 10 11 4 7" xfId="6223" xr:uid="{00000000-0005-0000-0000-00004F180000}"/>
    <cellStyle name="Normal 2 2 10 11 4 8" xfId="6224" xr:uid="{00000000-0005-0000-0000-000050180000}"/>
    <cellStyle name="Normal 2 2 10 11 4 9" xfId="6225" xr:uid="{00000000-0005-0000-0000-000051180000}"/>
    <cellStyle name="Normal 2 2 10 11 5" xfId="6226" xr:uid="{00000000-0005-0000-0000-000052180000}"/>
    <cellStyle name="Normal 2 2 10 11 5 10" xfId="6227" xr:uid="{00000000-0005-0000-0000-000053180000}"/>
    <cellStyle name="Normal 2 2 10 11 5 2" xfId="6228" xr:uid="{00000000-0005-0000-0000-000054180000}"/>
    <cellStyle name="Normal 2 2 10 11 5 3" xfId="6229" xr:uid="{00000000-0005-0000-0000-000055180000}"/>
    <cellStyle name="Normal 2 2 10 11 5 4" xfId="6230" xr:uid="{00000000-0005-0000-0000-000056180000}"/>
    <cellStyle name="Normal 2 2 10 11 5 5" xfId="6231" xr:uid="{00000000-0005-0000-0000-000057180000}"/>
    <cellStyle name="Normal 2 2 10 11 5 6" xfId="6232" xr:uid="{00000000-0005-0000-0000-000058180000}"/>
    <cellStyle name="Normal 2 2 10 11 5 7" xfId="6233" xr:uid="{00000000-0005-0000-0000-000059180000}"/>
    <cellStyle name="Normal 2 2 10 11 5 8" xfId="6234" xr:uid="{00000000-0005-0000-0000-00005A180000}"/>
    <cellStyle name="Normal 2 2 10 11 5 9" xfId="6235" xr:uid="{00000000-0005-0000-0000-00005B180000}"/>
    <cellStyle name="Normal 2 2 10 11 6" xfId="6236" xr:uid="{00000000-0005-0000-0000-00005C180000}"/>
    <cellStyle name="Normal 2 2 10 11 7" xfId="6237" xr:uid="{00000000-0005-0000-0000-00005D180000}"/>
    <cellStyle name="Normal 2 2 10 11 8" xfId="6238" xr:uid="{00000000-0005-0000-0000-00005E180000}"/>
    <cellStyle name="Normal 2 2 10 11 9" xfId="6239" xr:uid="{00000000-0005-0000-0000-00005F180000}"/>
    <cellStyle name="Normal 2 2 10 12" xfId="6240" xr:uid="{00000000-0005-0000-0000-000060180000}"/>
    <cellStyle name="Normal 2 2 10 12 10" xfId="6241" xr:uid="{00000000-0005-0000-0000-000061180000}"/>
    <cellStyle name="Normal 2 2 10 12 11" xfId="6242" xr:uid="{00000000-0005-0000-0000-000062180000}"/>
    <cellStyle name="Normal 2 2 10 12 12" xfId="6243" xr:uid="{00000000-0005-0000-0000-000063180000}"/>
    <cellStyle name="Normal 2 2 10 12 13" xfId="6244" xr:uid="{00000000-0005-0000-0000-000064180000}"/>
    <cellStyle name="Normal 2 2 10 12 14" xfId="6245" xr:uid="{00000000-0005-0000-0000-000065180000}"/>
    <cellStyle name="Normal 2 2 10 12 2" xfId="6246" xr:uid="{00000000-0005-0000-0000-000066180000}"/>
    <cellStyle name="Normal 2 2 10 12 2 10" xfId="6247" xr:uid="{00000000-0005-0000-0000-000067180000}"/>
    <cellStyle name="Normal 2 2 10 12 2 2" xfId="6248" xr:uid="{00000000-0005-0000-0000-000068180000}"/>
    <cellStyle name="Normal 2 2 10 12 2 3" xfId="6249" xr:uid="{00000000-0005-0000-0000-000069180000}"/>
    <cellStyle name="Normal 2 2 10 12 2 4" xfId="6250" xr:uid="{00000000-0005-0000-0000-00006A180000}"/>
    <cellStyle name="Normal 2 2 10 12 2 5" xfId="6251" xr:uid="{00000000-0005-0000-0000-00006B180000}"/>
    <cellStyle name="Normal 2 2 10 12 2 6" xfId="6252" xr:uid="{00000000-0005-0000-0000-00006C180000}"/>
    <cellStyle name="Normal 2 2 10 12 2 7" xfId="6253" xr:uid="{00000000-0005-0000-0000-00006D180000}"/>
    <cellStyle name="Normal 2 2 10 12 2 8" xfId="6254" xr:uid="{00000000-0005-0000-0000-00006E180000}"/>
    <cellStyle name="Normal 2 2 10 12 2 9" xfId="6255" xr:uid="{00000000-0005-0000-0000-00006F180000}"/>
    <cellStyle name="Normal 2 2 10 12 3" xfId="6256" xr:uid="{00000000-0005-0000-0000-000070180000}"/>
    <cellStyle name="Normal 2 2 10 12 3 10" xfId="6257" xr:uid="{00000000-0005-0000-0000-000071180000}"/>
    <cellStyle name="Normal 2 2 10 12 3 2" xfId="6258" xr:uid="{00000000-0005-0000-0000-000072180000}"/>
    <cellStyle name="Normal 2 2 10 12 3 3" xfId="6259" xr:uid="{00000000-0005-0000-0000-000073180000}"/>
    <cellStyle name="Normal 2 2 10 12 3 4" xfId="6260" xr:uid="{00000000-0005-0000-0000-000074180000}"/>
    <cellStyle name="Normal 2 2 10 12 3 5" xfId="6261" xr:uid="{00000000-0005-0000-0000-000075180000}"/>
    <cellStyle name="Normal 2 2 10 12 3 6" xfId="6262" xr:uid="{00000000-0005-0000-0000-000076180000}"/>
    <cellStyle name="Normal 2 2 10 12 3 7" xfId="6263" xr:uid="{00000000-0005-0000-0000-000077180000}"/>
    <cellStyle name="Normal 2 2 10 12 3 8" xfId="6264" xr:uid="{00000000-0005-0000-0000-000078180000}"/>
    <cellStyle name="Normal 2 2 10 12 3 9" xfId="6265" xr:uid="{00000000-0005-0000-0000-000079180000}"/>
    <cellStyle name="Normal 2 2 10 12 4" xfId="6266" xr:uid="{00000000-0005-0000-0000-00007A180000}"/>
    <cellStyle name="Normal 2 2 10 12 4 10" xfId="6267" xr:uid="{00000000-0005-0000-0000-00007B180000}"/>
    <cellStyle name="Normal 2 2 10 12 4 2" xfId="6268" xr:uid="{00000000-0005-0000-0000-00007C180000}"/>
    <cellStyle name="Normal 2 2 10 12 4 3" xfId="6269" xr:uid="{00000000-0005-0000-0000-00007D180000}"/>
    <cellStyle name="Normal 2 2 10 12 4 4" xfId="6270" xr:uid="{00000000-0005-0000-0000-00007E180000}"/>
    <cellStyle name="Normal 2 2 10 12 4 5" xfId="6271" xr:uid="{00000000-0005-0000-0000-00007F180000}"/>
    <cellStyle name="Normal 2 2 10 12 4 6" xfId="6272" xr:uid="{00000000-0005-0000-0000-000080180000}"/>
    <cellStyle name="Normal 2 2 10 12 4 7" xfId="6273" xr:uid="{00000000-0005-0000-0000-000081180000}"/>
    <cellStyle name="Normal 2 2 10 12 4 8" xfId="6274" xr:uid="{00000000-0005-0000-0000-000082180000}"/>
    <cellStyle name="Normal 2 2 10 12 4 9" xfId="6275" xr:uid="{00000000-0005-0000-0000-000083180000}"/>
    <cellStyle name="Normal 2 2 10 12 5" xfId="6276" xr:uid="{00000000-0005-0000-0000-000084180000}"/>
    <cellStyle name="Normal 2 2 10 12 5 10" xfId="6277" xr:uid="{00000000-0005-0000-0000-000085180000}"/>
    <cellStyle name="Normal 2 2 10 12 5 2" xfId="6278" xr:uid="{00000000-0005-0000-0000-000086180000}"/>
    <cellStyle name="Normal 2 2 10 12 5 3" xfId="6279" xr:uid="{00000000-0005-0000-0000-000087180000}"/>
    <cellStyle name="Normal 2 2 10 12 5 4" xfId="6280" xr:uid="{00000000-0005-0000-0000-000088180000}"/>
    <cellStyle name="Normal 2 2 10 12 5 5" xfId="6281" xr:uid="{00000000-0005-0000-0000-000089180000}"/>
    <cellStyle name="Normal 2 2 10 12 5 6" xfId="6282" xr:uid="{00000000-0005-0000-0000-00008A180000}"/>
    <cellStyle name="Normal 2 2 10 12 5 7" xfId="6283" xr:uid="{00000000-0005-0000-0000-00008B180000}"/>
    <cellStyle name="Normal 2 2 10 12 5 8" xfId="6284" xr:uid="{00000000-0005-0000-0000-00008C180000}"/>
    <cellStyle name="Normal 2 2 10 12 5 9" xfId="6285" xr:uid="{00000000-0005-0000-0000-00008D180000}"/>
    <cellStyle name="Normal 2 2 10 12 6" xfId="6286" xr:uid="{00000000-0005-0000-0000-00008E180000}"/>
    <cellStyle name="Normal 2 2 10 12 7" xfId="6287" xr:uid="{00000000-0005-0000-0000-00008F180000}"/>
    <cellStyle name="Normal 2 2 10 12 8" xfId="6288" xr:uid="{00000000-0005-0000-0000-000090180000}"/>
    <cellStyle name="Normal 2 2 10 12 9" xfId="6289" xr:uid="{00000000-0005-0000-0000-000091180000}"/>
    <cellStyle name="Normal 2 2 10 13" xfId="6290" xr:uid="{00000000-0005-0000-0000-000092180000}"/>
    <cellStyle name="Normal 2 2 10 13 10" xfId="6291" xr:uid="{00000000-0005-0000-0000-000093180000}"/>
    <cellStyle name="Normal 2 2 10 13 11" xfId="6292" xr:uid="{00000000-0005-0000-0000-000094180000}"/>
    <cellStyle name="Normal 2 2 10 13 12" xfId="6293" xr:uid="{00000000-0005-0000-0000-000095180000}"/>
    <cellStyle name="Normal 2 2 10 13 13" xfId="6294" xr:uid="{00000000-0005-0000-0000-000096180000}"/>
    <cellStyle name="Normal 2 2 10 13 14" xfId="6295" xr:uid="{00000000-0005-0000-0000-000097180000}"/>
    <cellStyle name="Normal 2 2 10 13 2" xfId="6296" xr:uid="{00000000-0005-0000-0000-000098180000}"/>
    <cellStyle name="Normal 2 2 10 13 2 10" xfId="6297" xr:uid="{00000000-0005-0000-0000-000099180000}"/>
    <cellStyle name="Normal 2 2 10 13 2 2" xfId="6298" xr:uid="{00000000-0005-0000-0000-00009A180000}"/>
    <cellStyle name="Normal 2 2 10 13 2 3" xfId="6299" xr:uid="{00000000-0005-0000-0000-00009B180000}"/>
    <cellStyle name="Normal 2 2 10 13 2 4" xfId="6300" xr:uid="{00000000-0005-0000-0000-00009C180000}"/>
    <cellStyle name="Normal 2 2 10 13 2 5" xfId="6301" xr:uid="{00000000-0005-0000-0000-00009D180000}"/>
    <cellStyle name="Normal 2 2 10 13 2 6" xfId="6302" xr:uid="{00000000-0005-0000-0000-00009E180000}"/>
    <cellStyle name="Normal 2 2 10 13 2 7" xfId="6303" xr:uid="{00000000-0005-0000-0000-00009F180000}"/>
    <cellStyle name="Normal 2 2 10 13 2 8" xfId="6304" xr:uid="{00000000-0005-0000-0000-0000A0180000}"/>
    <cellStyle name="Normal 2 2 10 13 2 9" xfId="6305" xr:uid="{00000000-0005-0000-0000-0000A1180000}"/>
    <cellStyle name="Normal 2 2 10 13 3" xfId="6306" xr:uid="{00000000-0005-0000-0000-0000A2180000}"/>
    <cellStyle name="Normal 2 2 10 13 3 10" xfId="6307" xr:uid="{00000000-0005-0000-0000-0000A3180000}"/>
    <cellStyle name="Normal 2 2 10 13 3 2" xfId="6308" xr:uid="{00000000-0005-0000-0000-0000A4180000}"/>
    <cellStyle name="Normal 2 2 10 13 3 3" xfId="6309" xr:uid="{00000000-0005-0000-0000-0000A5180000}"/>
    <cellStyle name="Normal 2 2 10 13 3 4" xfId="6310" xr:uid="{00000000-0005-0000-0000-0000A6180000}"/>
    <cellStyle name="Normal 2 2 10 13 3 5" xfId="6311" xr:uid="{00000000-0005-0000-0000-0000A7180000}"/>
    <cellStyle name="Normal 2 2 10 13 3 6" xfId="6312" xr:uid="{00000000-0005-0000-0000-0000A8180000}"/>
    <cellStyle name="Normal 2 2 10 13 3 7" xfId="6313" xr:uid="{00000000-0005-0000-0000-0000A9180000}"/>
    <cellStyle name="Normal 2 2 10 13 3 8" xfId="6314" xr:uid="{00000000-0005-0000-0000-0000AA180000}"/>
    <cellStyle name="Normal 2 2 10 13 3 9" xfId="6315" xr:uid="{00000000-0005-0000-0000-0000AB180000}"/>
    <cellStyle name="Normal 2 2 10 13 4" xfId="6316" xr:uid="{00000000-0005-0000-0000-0000AC180000}"/>
    <cellStyle name="Normal 2 2 10 13 4 10" xfId="6317" xr:uid="{00000000-0005-0000-0000-0000AD180000}"/>
    <cellStyle name="Normal 2 2 10 13 4 2" xfId="6318" xr:uid="{00000000-0005-0000-0000-0000AE180000}"/>
    <cellStyle name="Normal 2 2 10 13 4 3" xfId="6319" xr:uid="{00000000-0005-0000-0000-0000AF180000}"/>
    <cellStyle name="Normal 2 2 10 13 4 4" xfId="6320" xr:uid="{00000000-0005-0000-0000-0000B0180000}"/>
    <cellStyle name="Normal 2 2 10 13 4 5" xfId="6321" xr:uid="{00000000-0005-0000-0000-0000B1180000}"/>
    <cellStyle name="Normal 2 2 10 13 4 6" xfId="6322" xr:uid="{00000000-0005-0000-0000-0000B2180000}"/>
    <cellStyle name="Normal 2 2 10 13 4 7" xfId="6323" xr:uid="{00000000-0005-0000-0000-0000B3180000}"/>
    <cellStyle name="Normal 2 2 10 13 4 8" xfId="6324" xr:uid="{00000000-0005-0000-0000-0000B4180000}"/>
    <cellStyle name="Normal 2 2 10 13 4 9" xfId="6325" xr:uid="{00000000-0005-0000-0000-0000B5180000}"/>
    <cellStyle name="Normal 2 2 10 13 5" xfId="6326" xr:uid="{00000000-0005-0000-0000-0000B6180000}"/>
    <cellStyle name="Normal 2 2 10 13 5 10" xfId="6327" xr:uid="{00000000-0005-0000-0000-0000B7180000}"/>
    <cellStyle name="Normal 2 2 10 13 5 2" xfId="6328" xr:uid="{00000000-0005-0000-0000-0000B8180000}"/>
    <cellStyle name="Normal 2 2 10 13 5 3" xfId="6329" xr:uid="{00000000-0005-0000-0000-0000B9180000}"/>
    <cellStyle name="Normal 2 2 10 13 5 4" xfId="6330" xr:uid="{00000000-0005-0000-0000-0000BA180000}"/>
    <cellStyle name="Normal 2 2 10 13 5 5" xfId="6331" xr:uid="{00000000-0005-0000-0000-0000BB180000}"/>
    <cellStyle name="Normal 2 2 10 13 5 6" xfId="6332" xr:uid="{00000000-0005-0000-0000-0000BC180000}"/>
    <cellStyle name="Normal 2 2 10 13 5 7" xfId="6333" xr:uid="{00000000-0005-0000-0000-0000BD180000}"/>
    <cellStyle name="Normal 2 2 10 13 5 8" xfId="6334" xr:uid="{00000000-0005-0000-0000-0000BE180000}"/>
    <cellStyle name="Normal 2 2 10 13 5 9" xfId="6335" xr:uid="{00000000-0005-0000-0000-0000BF180000}"/>
    <cellStyle name="Normal 2 2 10 13 6" xfId="6336" xr:uid="{00000000-0005-0000-0000-0000C0180000}"/>
    <cellStyle name="Normal 2 2 10 13 7" xfId="6337" xr:uid="{00000000-0005-0000-0000-0000C1180000}"/>
    <cellStyle name="Normal 2 2 10 13 8" xfId="6338" xr:uid="{00000000-0005-0000-0000-0000C2180000}"/>
    <cellStyle name="Normal 2 2 10 13 9" xfId="6339" xr:uid="{00000000-0005-0000-0000-0000C3180000}"/>
    <cellStyle name="Normal 2 2 10 14" xfId="6340" xr:uid="{00000000-0005-0000-0000-0000C4180000}"/>
    <cellStyle name="Normal 2 2 10 14 10" xfId="6341" xr:uid="{00000000-0005-0000-0000-0000C5180000}"/>
    <cellStyle name="Normal 2 2 10 14 11" xfId="6342" xr:uid="{00000000-0005-0000-0000-0000C6180000}"/>
    <cellStyle name="Normal 2 2 10 14 12" xfId="6343" xr:uid="{00000000-0005-0000-0000-0000C7180000}"/>
    <cellStyle name="Normal 2 2 10 14 13" xfId="6344" xr:uid="{00000000-0005-0000-0000-0000C8180000}"/>
    <cellStyle name="Normal 2 2 10 14 14" xfId="6345" xr:uid="{00000000-0005-0000-0000-0000C9180000}"/>
    <cellStyle name="Normal 2 2 10 14 2" xfId="6346" xr:uid="{00000000-0005-0000-0000-0000CA180000}"/>
    <cellStyle name="Normal 2 2 10 14 2 10" xfId="6347" xr:uid="{00000000-0005-0000-0000-0000CB180000}"/>
    <cellStyle name="Normal 2 2 10 14 2 2" xfId="6348" xr:uid="{00000000-0005-0000-0000-0000CC180000}"/>
    <cellStyle name="Normal 2 2 10 14 2 3" xfId="6349" xr:uid="{00000000-0005-0000-0000-0000CD180000}"/>
    <cellStyle name="Normal 2 2 10 14 2 4" xfId="6350" xr:uid="{00000000-0005-0000-0000-0000CE180000}"/>
    <cellStyle name="Normal 2 2 10 14 2 5" xfId="6351" xr:uid="{00000000-0005-0000-0000-0000CF180000}"/>
    <cellStyle name="Normal 2 2 10 14 2 6" xfId="6352" xr:uid="{00000000-0005-0000-0000-0000D0180000}"/>
    <cellStyle name="Normal 2 2 10 14 2 7" xfId="6353" xr:uid="{00000000-0005-0000-0000-0000D1180000}"/>
    <cellStyle name="Normal 2 2 10 14 2 8" xfId="6354" xr:uid="{00000000-0005-0000-0000-0000D2180000}"/>
    <cellStyle name="Normal 2 2 10 14 2 9" xfId="6355" xr:uid="{00000000-0005-0000-0000-0000D3180000}"/>
    <cellStyle name="Normal 2 2 10 14 3" xfId="6356" xr:uid="{00000000-0005-0000-0000-0000D4180000}"/>
    <cellStyle name="Normal 2 2 10 14 3 10" xfId="6357" xr:uid="{00000000-0005-0000-0000-0000D5180000}"/>
    <cellStyle name="Normal 2 2 10 14 3 2" xfId="6358" xr:uid="{00000000-0005-0000-0000-0000D6180000}"/>
    <cellStyle name="Normal 2 2 10 14 3 3" xfId="6359" xr:uid="{00000000-0005-0000-0000-0000D7180000}"/>
    <cellStyle name="Normal 2 2 10 14 3 4" xfId="6360" xr:uid="{00000000-0005-0000-0000-0000D8180000}"/>
    <cellStyle name="Normal 2 2 10 14 3 5" xfId="6361" xr:uid="{00000000-0005-0000-0000-0000D9180000}"/>
    <cellStyle name="Normal 2 2 10 14 3 6" xfId="6362" xr:uid="{00000000-0005-0000-0000-0000DA180000}"/>
    <cellStyle name="Normal 2 2 10 14 3 7" xfId="6363" xr:uid="{00000000-0005-0000-0000-0000DB180000}"/>
    <cellStyle name="Normal 2 2 10 14 3 8" xfId="6364" xr:uid="{00000000-0005-0000-0000-0000DC180000}"/>
    <cellStyle name="Normal 2 2 10 14 3 9" xfId="6365" xr:uid="{00000000-0005-0000-0000-0000DD180000}"/>
    <cellStyle name="Normal 2 2 10 14 4" xfId="6366" xr:uid="{00000000-0005-0000-0000-0000DE180000}"/>
    <cellStyle name="Normal 2 2 10 14 4 10" xfId="6367" xr:uid="{00000000-0005-0000-0000-0000DF180000}"/>
    <cellStyle name="Normal 2 2 10 14 4 2" xfId="6368" xr:uid="{00000000-0005-0000-0000-0000E0180000}"/>
    <cellStyle name="Normal 2 2 10 14 4 3" xfId="6369" xr:uid="{00000000-0005-0000-0000-0000E1180000}"/>
    <cellStyle name="Normal 2 2 10 14 4 4" xfId="6370" xr:uid="{00000000-0005-0000-0000-0000E2180000}"/>
    <cellStyle name="Normal 2 2 10 14 4 5" xfId="6371" xr:uid="{00000000-0005-0000-0000-0000E3180000}"/>
    <cellStyle name="Normal 2 2 10 14 4 6" xfId="6372" xr:uid="{00000000-0005-0000-0000-0000E4180000}"/>
    <cellStyle name="Normal 2 2 10 14 4 7" xfId="6373" xr:uid="{00000000-0005-0000-0000-0000E5180000}"/>
    <cellStyle name="Normal 2 2 10 14 4 8" xfId="6374" xr:uid="{00000000-0005-0000-0000-0000E6180000}"/>
    <cellStyle name="Normal 2 2 10 14 4 9" xfId="6375" xr:uid="{00000000-0005-0000-0000-0000E7180000}"/>
    <cellStyle name="Normal 2 2 10 14 5" xfId="6376" xr:uid="{00000000-0005-0000-0000-0000E8180000}"/>
    <cellStyle name="Normal 2 2 10 14 5 10" xfId="6377" xr:uid="{00000000-0005-0000-0000-0000E9180000}"/>
    <cellStyle name="Normal 2 2 10 14 5 2" xfId="6378" xr:uid="{00000000-0005-0000-0000-0000EA180000}"/>
    <cellStyle name="Normal 2 2 10 14 5 3" xfId="6379" xr:uid="{00000000-0005-0000-0000-0000EB180000}"/>
    <cellStyle name="Normal 2 2 10 14 5 4" xfId="6380" xr:uid="{00000000-0005-0000-0000-0000EC180000}"/>
    <cellStyle name="Normal 2 2 10 14 5 5" xfId="6381" xr:uid="{00000000-0005-0000-0000-0000ED180000}"/>
    <cellStyle name="Normal 2 2 10 14 5 6" xfId="6382" xr:uid="{00000000-0005-0000-0000-0000EE180000}"/>
    <cellStyle name="Normal 2 2 10 14 5 7" xfId="6383" xr:uid="{00000000-0005-0000-0000-0000EF180000}"/>
    <cellStyle name="Normal 2 2 10 14 5 8" xfId="6384" xr:uid="{00000000-0005-0000-0000-0000F0180000}"/>
    <cellStyle name="Normal 2 2 10 14 5 9" xfId="6385" xr:uid="{00000000-0005-0000-0000-0000F1180000}"/>
    <cellStyle name="Normal 2 2 10 14 6" xfId="6386" xr:uid="{00000000-0005-0000-0000-0000F2180000}"/>
    <cellStyle name="Normal 2 2 10 14 7" xfId="6387" xr:uid="{00000000-0005-0000-0000-0000F3180000}"/>
    <cellStyle name="Normal 2 2 10 14 8" xfId="6388" xr:uid="{00000000-0005-0000-0000-0000F4180000}"/>
    <cellStyle name="Normal 2 2 10 14 9" xfId="6389" xr:uid="{00000000-0005-0000-0000-0000F5180000}"/>
    <cellStyle name="Normal 2 2 10 15" xfId="6390" xr:uid="{00000000-0005-0000-0000-0000F6180000}"/>
    <cellStyle name="Normal 2 2 10 15 10" xfId="6391" xr:uid="{00000000-0005-0000-0000-0000F7180000}"/>
    <cellStyle name="Normal 2 2 10 15 11" xfId="6392" xr:uid="{00000000-0005-0000-0000-0000F8180000}"/>
    <cellStyle name="Normal 2 2 10 15 12" xfId="6393" xr:uid="{00000000-0005-0000-0000-0000F9180000}"/>
    <cellStyle name="Normal 2 2 10 15 13" xfId="6394" xr:uid="{00000000-0005-0000-0000-0000FA180000}"/>
    <cellStyle name="Normal 2 2 10 15 14" xfId="6395" xr:uid="{00000000-0005-0000-0000-0000FB180000}"/>
    <cellStyle name="Normal 2 2 10 15 2" xfId="6396" xr:uid="{00000000-0005-0000-0000-0000FC180000}"/>
    <cellStyle name="Normal 2 2 10 15 2 10" xfId="6397" xr:uid="{00000000-0005-0000-0000-0000FD180000}"/>
    <cellStyle name="Normal 2 2 10 15 2 2" xfId="6398" xr:uid="{00000000-0005-0000-0000-0000FE180000}"/>
    <cellStyle name="Normal 2 2 10 15 2 3" xfId="6399" xr:uid="{00000000-0005-0000-0000-0000FF180000}"/>
    <cellStyle name="Normal 2 2 10 15 2 4" xfId="6400" xr:uid="{00000000-0005-0000-0000-000000190000}"/>
    <cellStyle name="Normal 2 2 10 15 2 5" xfId="6401" xr:uid="{00000000-0005-0000-0000-000001190000}"/>
    <cellStyle name="Normal 2 2 10 15 2 6" xfId="6402" xr:uid="{00000000-0005-0000-0000-000002190000}"/>
    <cellStyle name="Normal 2 2 10 15 2 7" xfId="6403" xr:uid="{00000000-0005-0000-0000-000003190000}"/>
    <cellStyle name="Normal 2 2 10 15 2 8" xfId="6404" xr:uid="{00000000-0005-0000-0000-000004190000}"/>
    <cellStyle name="Normal 2 2 10 15 2 9" xfId="6405" xr:uid="{00000000-0005-0000-0000-000005190000}"/>
    <cellStyle name="Normal 2 2 10 15 3" xfId="6406" xr:uid="{00000000-0005-0000-0000-000006190000}"/>
    <cellStyle name="Normal 2 2 10 15 3 10" xfId="6407" xr:uid="{00000000-0005-0000-0000-000007190000}"/>
    <cellStyle name="Normal 2 2 10 15 3 2" xfId="6408" xr:uid="{00000000-0005-0000-0000-000008190000}"/>
    <cellStyle name="Normal 2 2 10 15 3 3" xfId="6409" xr:uid="{00000000-0005-0000-0000-000009190000}"/>
    <cellStyle name="Normal 2 2 10 15 3 4" xfId="6410" xr:uid="{00000000-0005-0000-0000-00000A190000}"/>
    <cellStyle name="Normal 2 2 10 15 3 5" xfId="6411" xr:uid="{00000000-0005-0000-0000-00000B190000}"/>
    <cellStyle name="Normal 2 2 10 15 3 6" xfId="6412" xr:uid="{00000000-0005-0000-0000-00000C190000}"/>
    <cellStyle name="Normal 2 2 10 15 3 7" xfId="6413" xr:uid="{00000000-0005-0000-0000-00000D190000}"/>
    <cellStyle name="Normal 2 2 10 15 3 8" xfId="6414" xr:uid="{00000000-0005-0000-0000-00000E190000}"/>
    <cellStyle name="Normal 2 2 10 15 3 9" xfId="6415" xr:uid="{00000000-0005-0000-0000-00000F190000}"/>
    <cellStyle name="Normal 2 2 10 15 4" xfId="6416" xr:uid="{00000000-0005-0000-0000-000010190000}"/>
    <cellStyle name="Normal 2 2 10 15 4 10" xfId="6417" xr:uid="{00000000-0005-0000-0000-000011190000}"/>
    <cellStyle name="Normal 2 2 10 15 4 2" xfId="6418" xr:uid="{00000000-0005-0000-0000-000012190000}"/>
    <cellStyle name="Normal 2 2 10 15 4 3" xfId="6419" xr:uid="{00000000-0005-0000-0000-000013190000}"/>
    <cellStyle name="Normal 2 2 10 15 4 4" xfId="6420" xr:uid="{00000000-0005-0000-0000-000014190000}"/>
    <cellStyle name="Normal 2 2 10 15 4 5" xfId="6421" xr:uid="{00000000-0005-0000-0000-000015190000}"/>
    <cellStyle name="Normal 2 2 10 15 4 6" xfId="6422" xr:uid="{00000000-0005-0000-0000-000016190000}"/>
    <cellStyle name="Normal 2 2 10 15 4 7" xfId="6423" xr:uid="{00000000-0005-0000-0000-000017190000}"/>
    <cellStyle name="Normal 2 2 10 15 4 8" xfId="6424" xr:uid="{00000000-0005-0000-0000-000018190000}"/>
    <cellStyle name="Normal 2 2 10 15 4 9" xfId="6425" xr:uid="{00000000-0005-0000-0000-000019190000}"/>
    <cellStyle name="Normal 2 2 10 15 5" xfId="6426" xr:uid="{00000000-0005-0000-0000-00001A190000}"/>
    <cellStyle name="Normal 2 2 10 15 5 10" xfId="6427" xr:uid="{00000000-0005-0000-0000-00001B190000}"/>
    <cellStyle name="Normal 2 2 10 15 5 2" xfId="6428" xr:uid="{00000000-0005-0000-0000-00001C190000}"/>
    <cellStyle name="Normal 2 2 10 15 5 3" xfId="6429" xr:uid="{00000000-0005-0000-0000-00001D190000}"/>
    <cellStyle name="Normal 2 2 10 15 5 4" xfId="6430" xr:uid="{00000000-0005-0000-0000-00001E190000}"/>
    <cellStyle name="Normal 2 2 10 15 5 5" xfId="6431" xr:uid="{00000000-0005-0000-0000-00001F190000}"/>
    <cellStyle name="Normal 2 2 10 15 5 6" xfId="6432" xr:uid="{00000000-0005-0000-0000-000020190000}"/>
    <cellStyle name="Normal 2 2 10 15 5 7" xfId="6433" xr:uid="{00000000-0005-0000-0000-000021190000}"/>
    <cellStyle name="Normal 2 2 10 15 5 8" xfId="6434" xr:uid="{00000000-0005-0000-0000-000022190000}"/>
    <cellStyle name="Normal 2 2 10 15 5 9" xfId="6435" xr:uid="{00000000-0005-0000-0000-000023190000}"/>
    <cellStyle name="Normal 2 2 10 15 6" xfId="6436" xr:uid="{00000000-0005-0000-0000-000024190000}"/>
    <cellStyle name="Normal 2 2 10 15 7" xfId="6437" xr:uid="{00000000-0005-0000-0000-000025190000}"/>
    <cellStyle name="Normal 2 2 10 15 8" xfId="6438" xr:uid="{00000000-0005-0000-0000-000026190000}"/>
    <cellStyle name="Normal 2 2 10 15 9" xfId="6439" xr:uid="{00000000-0005-0000-0000-000027190000}"/>
    <cellStyle name="Normal 2 2 10 16" xfId="6440" xr:uid="{00000000-0005-0000-0000-000028190000}"/>
    <cellStyle name="Normal 2 2 10 16 10" xfId="6441" xr:uid="{00000000-0005-0000-0000-000029190000}"/>
    <cellStyle name="Normal 2 2 10 16 11" xfId="6442" xr:uid="{00000000-0005-0000-0000-00002A190000}"/>
    <cellStyle name="Normal 2 2 10 16 12" xfId="6443" xr:uid="{00000000-0005-0000-0000-00002B190000}"/>
    <cellStyle name="Normal 2 2 10 16 13" xfId="6444" xr:uid="{00000000-0005-0000-0000-00002C190000}"/>
    <cellStyle name="Normal 2 2 10 16 14" xfId="6445" xr:uid="{00000000-0005-0000-0000-00002D190000}"/>
    <cellStyle name="Normal 2 2 10 16 2" xfId="6446" xr:uid="{00000000-0005-0000-0000-00002E190000}"/>
    <cellStyle name="Normal 2 2 10 16 2 10" xfId="6447" xr:uid="{00000000-0005-0000-0000-00002F190000}"/>
    <cellStyle name="Normal 2 2 10 16 2 2" xfId="6448" xr:uid="{00000000-0005-0000-0000-000030190000}"/>
    <cellStyle name="Normal 2 2 10 16 2 3" xfId="6449" xr:uid="{00000000-0005-0000-0000-000031190000}"/>
    <cellStyle name="Normal 2 2 10 16 2 4" xfId="6450" xr:uid="{00000000-0005-0000-0000-000032190000}"/>
    <cellStyle name="Normal 2 2 10 16 2 5" xfId="6451" xr:uid="{00000000-0005-0000-0000-000033190000}"/>
    <cellStyle name="Normal 2 2 10 16 2 6" xfId="6452" xr:uid="{00000000-0005-0000-0000-000034190000}"/>
    <cellStyle name="Normal 2 2 10 16 2 7" xfId="6453" xr:uid="{00000000-0005-0000-0000-000035190000}"/>
    <cellStyle name="Normal 2 2 10 16 2 8" xfId="6454" xr:uid="{00000000-0005-0000-0000-000036190000}"/>
    <cellStyle name="Normal 2 2 10 16 2 9" xfId="6455" xr:uid="{00000000-0005-0000-0000-000037190000}"/>
    <cellStyle name="Normal 2 2 10 16 3" xfId="6456" xr:uid="{00000000-0005-0000-0000-000038190000}"/>
    <cellStyle name="Normal 2 2 10 16 3 10" xfId="6457" xr:uid="{00000000-0005-0000-0000-000039190000}"/>
    <cellStyle name="Normal 2 2 10 16 3 2" xfId="6458" xr:uid="{00000000-0005-0000-0000-00003A190000}"/>
    <cellStyle name="Normal 2 2 10 16 3 3" xfId="6459" xr:uid="{00000000-0005-0000-0000-00003B190000}"/>
    <cellStyle name="Normal 2 2 10 16 3 4" xfId="6460" xr:uid="{00000000-0005-0000-0000-00003C190000}"/>
    <cellStyle name="Normal 2 2 10 16 3 5" xfId="6461" xr:uid="{00000000-0005-0000-0000-00003D190000}"/>
    <cellStyle name="Normal 2 2 10 16 3 6" xfId="6462" xr:uid="{00000000-0005-0000-0000-00003E190000}"/>
    <cellStyle name="Normal 2 2 10 16 3 7" xfId="6463" xr:uid="{00000000-0005-0000-0000-00003F190000}"/>
    <cellStyle name="Normal 2 2 10 16 3 8" xfId="6464" xr:uid="{00000000-0005-0000-0000-000040190000}"/>
    <cellStyle name="Normal 2 2 10 16 3 9" xfId="6465" xr:uid="{00000000-0005-0000-0000-000041190000}"/>
    <cellStyle name="Normal 2 2 10 16 4" xfId="6466" xr:uid="{00000000-0005-0000-0000-000042190000}"/>
    <cellStyle name="Normal 2 2 10 16 4 10" xfId="6467" xr:uid="{00000000-0005-0000-0000-000043190000}"/>
    <cellStyle name="Normal 2 2 10 16 4 2" xfId="6468" xr:uid="{00000000-0005-0000-0000-000044190000}"/>
    <cellStyle name="Normal 2 2 10 16 4 3" xfId="6469" xr:uid="{00000000-0005-0000-0000-000045190000}"/>
    <cellStyle name="Normal 2 2 10 16 4 4" xfId="6470" xr:uid="{00000000-0005-0000-0000-000046190000}"/>
    <cellStyle name="Normal 2 2 10 16 4 5" xfId="6471" xr:uid="{00000000-0005-0000-0000-000047190000}"/>
    <cellStyle name="Normal 2 2 10 16 4 6" xfId="6472" xr:uid="{00000000-0005-0000-0000-000048190000}"/>
    <cellStyle name="Normal 2 2 10 16 4 7" xfId="6473" xr:uid="{00000000-0005-0000-0000-000049190000}"/>
    <cellStyle name="Normal 2 2 10 16 4 8" xfId="6474" xr:uid="{00000000-0005-0000-0000-00004A190000}"/>
    <cellStyle name="Normal 2 2 10 16 4 9" xfId="6475" xr:uid="{00000000-0005-0000-0000-00004B190000}"/>
    <cellStyle name="Normal 2 2 10 16 5" xfId="6476" xr:uid="{00000000-0005-0000-0000-00004C190000}"/>
    <cellStyle name="Normal 2 2 10 16 5 10" xfId="6477" xr:uid="{00000000-0005-0000-0000-00004D190000}"/>
    <cellStyle name="Normal 2 2 10 16 5 2" xfId="6478" xr:uid="{00000000-0005-0000-0000-00004E190000}"/>
    <cellStyle name="Normal 2 2 10 16 5 3" xfId="6479" xr:uid="{00000000-0005-0000-0000-00004F190000}"/>
    <cellStyle name="Normal 2 2 10 16 5 4" xfId="6480" xr:uid="{00000000-0005-0000-0000-000050190000}"/>
    <cellStyle name="Normal 2 2 10 16 5 5" xfId="6481" xr:uid="{00000000-0005-0000-0000-000051190000}"/>
    <cellStyle name="Normal 2 2 10 16 5 6" xfId="6482" xr:uid="{00000000-0005-0000-0000-000052190000}"/>
    <cellStyle name="Normal 2 2 10 16 5 7" xfId="6483" xr:uid="{00000000-0005-0000-0000-000053190000}"/>
    <cellStyle name="Normal 2 2 10 16 5 8" xfId="6484" xr:uid="{00000000-0005-0000-0000-000054190000}"/>
    <cellStyle name="Normal 2 2 10 16 5 9" xfId="6485" xr:uid="{00000000-0005-0000-0000-000055190000}"/>
    <cellStyle name="Normal 2 2 10 16 6" xfId="6486" xr:uid="{00000000-0005-0000-0000-000056190000}"/>
    <cellStyle name="Normal 2 2 10 16 7" xfId="6487" xr:uid="{00000000-0005-0000-0000-000057190000}"/>
    <cellStyle name="Normal 2 2 10 16 8" xfId="6488" xr:uid="{00000000-0005-0000-0000-000058190000}"/>
    <cellStyle name="Normal 2 2 10 16 9" xfId="6489" xr:uid="{00000000-0005-0000-0000-000059190000}"/>
    <cellStyle name="Normal 2 2 10 17" xfId="6490" xr:uid="{00000000-0005-0000-0000-00005A190000}"/>
    <cellStyle name="Normal 2 2 10 17 10" xfId="6491" xr:uid="{00000000-0005-0000-0000-00005B190000}"/>
    <cellStyle name="Normal 2 2 10 17 11" xfId="6492" xr:uid="{00000000-0005-0000-0000-00005C190000}"/>
    <cellStyle name="Normal 2 2 10 17 12" xfId="6493" xr:uid="{00000000-0005-0000-0000-00005D190000}"/>
    <cellStyle name="Normal 2 2 10 17 13" xfId="6494" xr:uid="{00000000-0005-0000-0000-00005E190000}"/>
    <cellStyle name="Normal 2 2 10 17 14" xfId="6495" xr:uid="{00000000-0005-0000-0000-00005F190000}"/>
    <cellStyle name="Normal 2 2 10 17 2" xfId="6496" xr:uid="{00000000-0005-0000-0000-000060190000}"/>
    <cellStyle name="Normal 2 2 10 17 2 10" xfId="6497" xr:uid="{00000000-0005-0000-0000-000061190000}"/>
    <cellStyle name="Normal 2 2 10 17 2 2" xfId="6498" xr:uid="{00000000-0005-0000-0000-000062190000}"/>
    <cellStyle name="Normal 2 2 10 17 2 3" xfId="6499" xr:uid="{00000000-0005-0000-0000-000063190000}"/>
    <cellStyle name="Normal 2 2 10 17 2 4" xfId="6500" xr:uid="{00000000-0005-0000-0000-000064190000}"/>
    <cellStyle name="Normal 2 2 10 17 2 5" xfId="6501" xr:uid="{00000000-0005-0000-0000-000065190000}"/>
    <cellStyle name="Normal 2 2 10 17 2 6" xfId="6502" xr:uid="{00000000-0005-0000-0000-000066190000}"/>
    <cellStyle name="Normal 2 2 10 17 2 7" xfId="6503" xr:uid="{00000000-0005-0000-0000-000067190000}"/>
    <cellStyle name="Normal 2 2 10 17 2 8" xfId="6504" xr:uid="{00000000-0005-0000-0000-000068190000}"/>
    <cellStyle name="Normal 2 2 10 17 2 9" xfId="6505" xr:uid="{00000000-0005-0000-0000-000069190000}"/>
    <cellStyle name="Normal 2 2 10 17 3" xfId="6506" xr:uid="{00000000-0005-0000-0000-00006A190000}"/>
    <cellStyle name="Normal 2 2 10 17 3 10" xfId="6507" xr:uid="{00000000-0005-0000-0000-00006B190000}"/>
    <cellStyle name="Normal 2 2 10 17 3 2" xfId="6508" xr:uid="{00000000-0005-0000-0000-00006C190000}"/>
    <cellStyle name="Normal 2 2 10 17 3 3" xfId="6509" xr:uid="{00000000-0005-0000-0000-00006D190000}"/>
    <cellStyle name="Normal 2 2 10 17 3 4" xfId="6510" xr:uid="{00000000-0005-0000-0000-00006E190000}"/>
    <cellStyle name="Normal 2 2 10 17 3 5" xfId="6511" xr:uid="{00000000-0005-0000-0000-00006F190000}"/>
    <cellStyle name="Normal 2 2 10 17 3 6" xfId="6512" xr:uid="{00000000-0005-0000-0000-000070190000}"/>
    <cellStyle name="Normal 2 2 10 17 3 7" xfId="6513" xr:uid="{00000000-0005-0000-0000-000071190000}"/>
    <cellStyle name="Normal 2 2 10 17 3 8" xfId="6514" xr:uid="{00000000-0005-0000-0000-000072190000}"/>
    <cellStyle name="Normal 2 2 10 17 3 9" xfId="6515" xr:uid="{00000000-0005-0000-0000-000073190000}"/>
    <cellStyle name="Normal 2 2 10 17 4" xfId="6516" xr:uid="{00000000-0005-0000-0000-000074190000}"/>
    <cellStyle name="Normal 2 2 10 17 4 10" xfId="6517" xr:uid="{00000000-0005-0000-0000-000075190000}"/>
    <cellStyle name="Normal 2 2 10 17 4 2" xfId="6518" xr:uid="{00000000-0005-0000-0000-000076190000}"/>
    <cellStyle name="Normal 2 2 10 17 4 3" xfId="6519" xr:uid="{00000000-0005-0000-0000-000077190000}"/>
    <cellStyle name="Normal 2 2 10 17 4 4" xfId="6520" xr:uid="{00000000-0005-0000-0000-000078190000}"/>
    <cellStyle name="Normal 2 2 10 17 4 5" xfId="6521" xr:uid="{00000000-0005-0000-0000-000079190000}"/>
    <cellStyle name="Normal 2 2 10 17 4 6" xfId="6522" xr:uid="{00000000-0005-0000-0000-00007A190000}"/>
    <cellStyle name="Normal 2 2 10 17 4 7" xfId="6523" xr:uid="{00000000-0005-0000-0000-00007B190000}"/>
    <cellStyle name="Normal 2 2 10 17 4 8" xfId="6524" xr:uid="{00000000-0005-0000-0000-00007C190000}"/>
    <cellStyle name="Normal 2 2 10 17 4 9" xfId="6525" xr:uid="{00000000-0005-0000-0000-00007D190000}"/>
    <cellStyle name="Normal 2 2 10 17 5" xfId="6526" xr:uid="{00000000-0005-0000-0000-00007E190000}"/>
    <cellStyle name="Normal 2 2 10 17 5 10" xfId="6527" xr:uid="{00000000-0005-0000-0000-00007F190000}"/>
    <cellStyle name="Normal 2 2 10 17 5 2" xfId="6528" xr:uid="{00000000-0005-0000-0000-000080190000}"/>
    <cellStyle name="Normal 2 2 10 17 5 3" xfId="6529" xr:uid="{00000000-0005-0000-0000-000081190000}"/>
    <cellStyle name="Normal 2 2 10 17 5 4" xfId="6530" xr:uid="{00000000-0005-0000-0000-000082190000}"/>
    <cellStyle name="Normal 2 2 10 17 5 5" xfId="6531" xr:uid="{00000000-0005-0000-0000-000083190000}"/>
    <cellStyle name="Normal 2 2 10 17 5 6" xfId="6532" xr:uid="{00000000-0005-0000-0000-000084190000}"/>
    <cellStyle name="Normal 2 2 10 17 5 7" xfId="6533" xr:uid="{00000000-0005-0000-0000-000085190000}"/>
    <cellStyle name="Normal 2 2 10 17 5 8" xfId="6534" xr:uid="{00000000-0005-0000-0000-000086190000}"/>
    <cellStyle name="Normal 2 2 10 17 5 9" xfId="6535" xr:uid="{00000000-0005-0000-0000-000087190000}"/>
    <cellStyle name="Normal 2 2 10 17 6" xfId="6536" xr:uid="{00000000-0005-0000-0000-000088190000}"/>
    <cellStyle name="Normal 2 2 10 17 7" xfId="6537" xr:uid="{00000000-0005-0000-0000-000089190000}"/>
    <cellStyle name="Normal 2 2 10 17 8" xfId="6538" xr:uid="{00000000-0005-0000-0000-00008A190000}"/>
    <cellStyle name="Normal 2 2 10 17 9" xfId="6539" xr:uid="{00000000-0005-0000-0000-00008B190000}"/>
    <cellStyle name="Normal 2 2 10 18" xfId="6540" xr:uid="{00000000-0005-0000-0000-00008C190000}"/>
    <cellStyle name="Normal 2 2 10 18 10" xfId="6541" xr:uid="{00000000-0005-0000-0000-00008D190000}"/>
    <cellStyle name="Normal 2 2 10 18 11" xfId="6542" xr:uid="{00000000-0005-0000-0000-00008E190000}"/>
    <cellStyle name="Normal 2 2 10 18 12" xfId="6543" xr:uid="{00000000-0005-0000-0000-00008F190000}"/>
    <cellStyle name="Normal 2 2 10 18 13" xfId="6544" xr:uid="{00000000-0005-0000-0000-000090190000}"/>
    <cellStyle name="Normal 2 2 10 18 14" xfId="6545" xr:uid="{00000000-0005-0000-0000-000091190000}"/>
    <cellStyle name="Normal 2 2 10 18 2" xfId="6546" xr:uid="{00000000-0005-0000-0000-000092190000}"/>
    <cellStyle name="Normal 2 2 10 18 2 10" xfId="6547" xr:uid="{00000000-0005-0000-0000-000093190000}"/>
    <cellStyle name="Normal 2 2 10 18 2 2" xfId="6548" xr:uid="{00000000-0005-0000-0000-000094190000}"/>
    <cellStyle name="Normal 2 2 10 18 2 3" xfId="6549" xr:uid="{00000000-0005-0000-0000-000095190000}"/>
    <cellStyle name="Normal 2 2 10 18 2 4" xfId="6550" xr:uid="{00000000-0005-0000-0000-000096190000}"/>
    <cellStyle name="Normal 2 2 10 18 2 5" xfId="6551" xr:uid="{00000000-0005-0000-0000-000097190000}"/>
    <cellStyle name="Normal 2 2 10 18 2 6" xfId="6552" xr:uid="{00000000-0005-0000-0000-000098190000}"/>
    <cellStyle name="Normal 2 2 10 18 2 7" xfId="6553" xr:uid="{00000000-0005-0000-0000-000099190000}"/>
    <cellStyle name="Normal 2 2 10 18 2 8" xfId="6554" xr:uid="{00000000-0005-0000-0000-00009A190000}"/>
    <cellStyle name="Normal 2 2 10 18 2 9" xfId="6555" xr:uid="{00000000-0005-0000-0000-00009B190000}"/>
    <cellStyle name="Normal 2 2 10 18 3" xfId="6556" xr:uid="{00000000-0005-0000-0000-00009C190000}"/>
    <cellStyle name="Normal 2 2 10 18 3 10" xfId="6557" xr:uid="{00000000-0005-0000-0000-00009D190000}"/>
    <cellStyle name="Normal 2 2 10 18 3 2" xfId="6558" xr:uid="{00000000-0005-0000-0000-00009E190000}"/>
    <cellStyle name="Normal 2 2 10 18 3 3" xfId="6559" xr:uid="{00000000-0005-0000-0000-00009F190000}"/>
    <cellStyle name="Normal 2 2 10 18 3 4" xfId="6560" xr:uid="{00000000-0005-0000-0000-0000A0190000}"/>
    <cellStyle name="Normal 2 2 10 18 3 5" xfId="6561" xr:uid="{00000000-0005-0000-0000-0000A1190000}"/>
    <cellStyle name="Normal 2 2 10 18 3 6" xfId="6562" xr:uid="{00000000-0005-0000-0000-0000A2190000}"/>
    <cellStyle name="Normal 2 2 10 18 3 7" xfId="6563" xr:uid="{00000000-0005-0000-0000-0000A3190000}"/>
    <cellStyle name="Normal 2 2 10 18 3 8" xfId="6564" xr:uid="{00000000-0005-0000-0000-0000A4190000}"/>
    <cellStyle name="Normal 2 2 10 18 3 9" xfId="6565" xr:uid="{00000000-0005-0000-0000-0000A5190000}"/>
    <cellStyle name="Normal 2 2 10 18 4" xfId="6566" xr:uid="{00000000-0005-0000-0000-0000A6190000}"/>
    <cellStyle name="Normal 2 2 10 18 4 10" xfId="6567" xr:uid="{00000000-0005-0000-0000-0000A7190000}"/>
    <cellStyle name="Normal 2 2 10 18 4 2" xfId="6568" xr:uid="{00000000-0005-0000-0000-0000A8190000}"/>
    <cellStyle name="Normal 2 2 10 18 4 3" xfId="6569" xr:uid="{00000000-0005-0000-0000-0000A9190000}"/>
    <cellStyle name="Normal 2 2 10 18 4 4" xfId="6570" xr:uid="{00000000-0005-0000-0000-0000AA190000}"/>
    <cellStyle name="Normal 2 2 10 18 4 5" xfId="6571" xr:uid="{00000000-0005-0000-0000-0000AB190000}"/>
    <cellStyle name="Normal 2 2 10 18 4 6" xfId="6572" xr:uid="{00000000-0005-0000-0000-0000AC190000}"/>
    <cellStyle name="Normal 2 2 10 18 4 7" xfId="6573" xr:uid="{00000000-0005-0000-0000-0000AD190000}"/>
    <cellStyle name="Normal 2 2 10 18 4 8" xfId="6574" xr:uid="{00000000-0005-0000-0000-0000AE190000}"/>
    <cellStyle name="Normal 2 2 10 18 4 9" xfId="6575" xr:uid="{00000000-0005-0000-0000-0000AF190000}"/>
    <cellStyle name="Normal 2 2 10 18 5" xfId="6576" xr:uid="{00000000-0005-0000-0000-0000B0190000}"/>
    <cellStyle name="Normal 2 2 10 18 5 10" xfId="6577" xr:uid="{00000000-0005-0000-0000-0000B1190000}"/>
    <cellStyle name="Normal 2 2 10 18 5 2" xfId="6578" xr:uid="{00000000-0005-0000-0000-0000B2190000}"/>
    <cellStyle name="Normal 2 2 10 18 5 3" xfId="6579" xr:uid="{00000000-0005-0000-0000-0000B3190000}"/>
    <cellStyle name="Normal 2 2 10 18 5 4" xfId="6580" xr:uid="{00000000-0005-0000-0000-0000B4190000}"/>
    <cellStyle name="Normal 2 2 10 18 5 5" xfId="6581" xr:uid="{00000000-0005-0000-0000-0000B5190000}"/>
    <cellStyle name="Normal 2 2 10 18 5 6" xfId="6582" xr:uid="{00000000-0005-0000-0000-0000B6190000}"/>
    <cellStyle name="Normal 2 2 10 18 5 7" xfId="6583" xr:uid="{00000000-0005-0000-0000-0000B7190000}"/>
    <cellStyle name="Normal 2 2 10 18 5 8" xfId="6584" xr:uid="{00000000-0005-0000-0000-0000B8190000}"/>
    <cellStyle name="Normal 2 2 10 18 5 9" xfId="6585" xr:uid="{00000000-0005-0000-0000-0000B9190000}"/>
    <cellStyle name="Normal 2 2 10 18 6" xfId="6586" xr:uid="{00000000-0005-0000-0000-0000BA190000}"/>
    <cellStyle name="Normal 2 2 10 18 7" xfId="6587" xr:uid="{00000000-0005-0000-0000-0000BB190000}"/>
    <cellStyle name="Normal 2 2 10 18 8" xfId="6588" xr:uid="{00000000-0005-0000-0000-0000BC190000}"/>
    <cellStyle name="Normal 2 2 10 18 9" xfId="6589" xr:uid="{00000000-0005-0000-0000-0000BD190000}"/>
    <cellStyle name="Normal 2 2 10 19" xfId="6590" xr:uid="{00000000-0005-0000-0000-0000BE190000}"/>
    <cellStyle name="Normal 2 2 10 19 10" xfId="6591" xr:uid="{00000000-0005-0000-0000-0000BF190000}"/>
    <cellStyle name="Normal 2 2 10 19 11" xfId="6592" xr:uid="{00000000-0005-0000-0000-0000C0190000}"/>
    <cellStyle name="Normal 2 2 10 19 12" xfId="6593" xr:uid="{00000000-0005-0000-0000-0000C1190000}"/>
    <cellStyle name="Normal 2 2 10 19 13" xfId="6594" xr:uid="{00000000-0005-0000-0000-0000C2190000}"/>
    <cellStyle name="Normal 2 2 10 19 14" xfId="6595" xr:uid="{00000000-0005-0000-0000-0000C3190000}"/>
    <cellStyle name="Normal 2 2 10 19 2" xfId="6596" xr:uid="{00000000-0005-0000-0000-0000C4190000}"/>
    <cellStyle name="Normal 2 2 10 19 2 10" xfId="6597" xr:uid="{00000000-0005-0000-0000-0000C5190000}"/>
    <cellStyle name="Normal 2 2 10 19 2 2" xfId="6598" xr:uid="{00000000-0005-0000-0000-0000C6190000}"/>
    <cellStyle name="Normal 2 2 10 19 2 3" xfId="6599" xr:uid="{00000000-0005-0000-0000-0000C7190000}"/>
    <cellStyle name="Normal 2 2 10 19 2 4" xfId="6600" xr:uid="{00000000-0005-0000-0000-0000C8190000}"/>
    <cellStyle name="Normal 2 2 10 19 2 5" xfId="6601" xr:uid="{00000000-0005-0000-0000-0000C9190000}"/>
    <cellStyle name="Normal 2 2 10 19 2 6" xfId="6602" xr:uid="{00000000-0005-0000-0000-0000CA190000}"/>
    <cellStyle name="Normal 2 2 10 19 2 7" xfId="6603" xr:uid="{00000000-0005-0000-0000-0000CB190000}"/>
    <cellStyle name="Normal 2 2 10 19 2 8" xfId="6604" xr:uid="{00000000-0005-0000-0000-0000CC190000}"/>
    <cellStyle name="Normal 2 2 10 19 2 9" xfId="6605" xr:uid="{00000000-0005-0000-0000-0000CD190000}"/>
    <cellStyle name="Normal 2 2 10 19 3" xfId="6606" xr:uid="{00000000-0005-0000-0000-0000CE190000}"/>
    <cellStyle name="Normal 2 2 10 19 3 10" xfId="6607" xr:uid="{00000000-0005-0000-0000-0000CF190000}"/>
    <cellStyle name="Normal 2 2 10 19 3 2" xfId="6608" xr:uid="{00000000-0005-0000-0000-0000D0190000}"/>
    <cellStyle name="Normal 2 2 10 19 3 3" xfId="6609" xr:uid="{00000000-0005-0000-0000-0000D1190000}"/>
    <cellStyle name="Normal 2 2 10 19 3 4" xfId="6610" xr:uid="{00000000-0005-0000-0000-0000D2190000}"/>
    <cellStyle name="Normal 2 2 10 19 3 5" xfId="6611" xr:uid="{00000000-0005-0000-0000-0000D3190000}"/>
    <cellStyle name="Normal 2 2 10 19 3 6" xfId="6612" xr:uid="{00000000-0005-0000-0000-0000D4190000}"/>
    <cellStyle name="Normal 2 2 10 19 3 7" xfId="6613" xr:uid="{00000000-0005-0000-0000-0000D5190000}"/>
    <cellStyle name="Normal 2 2 10 19 3 8" xfId="6614" xr:uid="{00000000-0005-0000-0000-0000D6190000}"/>
    <cellStyle name="Normal 2 2 10 19 3 9" xfId="6615" xr:uid="{00000000-0005-0000-0000-0000D7190000}"/>
    <cellStyle name="Normal 2 2 10 19 4" xfId="6616" xr:uid="{00000000-0005-0000-0000-0000D8190000}"/>
    <cellStyle name="Normal 2 2 10 19 4 10" xfId="6617" xr:uid="{00000000-0005-0000-0000-0000D9190000}"/>
    <cellStyle name="Normal 2 2 10 19 4 2" xfId="6618" xr:uid="{00000000-0005-0000-0000-0000DA190000}"/>
    <cellStyle name="Normal 2 2 10 19 4 3" xfId="6619" xr:uid="{00000000-0005-0000-0000-0000DB190000}"/>
    <cellStyle name="Normal 2 2 10 19 4 4" xfId="6620" xr:uid="{00000000-0005-0000-0000-0000DC190000}"/>
    <cellStyle name="Normal 2 2 10 19 4 5" xfId="6621" xr:uid="{00000000-0005-0000-0000-0000DD190000}"/>
    <cellStyle name="Normal 2 2 10 19 4 6" xfId="6622" xr:uid="{00000000-0005-0000-0000-0000DE190000}"/>
    <cellStyle name="Normal 2 2 10 19 4 7" xfId="6623" xr:uid="{00000000-0005-0000-0000-0000DF190000}"/>
    <cellStyle name="Normal 2 2 10 19 4 8" xfId="6624" xr:uid="{00000000-0005-0000-0000-0000E0190000}"/>
    <cellStyle name="Normal 2 2 10 19 4 9" xfId="6625" xr:uid="{00000000-0005-0000-0000-0000E1190000}"/>
    <cellStyle name="Normal 2 2 10 19 5" xfId="6626" xr:uid="{00000000-0005-0000-0000-0000E2190000}"/>
    <cellStyle name="Normal 2 2 10 19 5 10" xfId="6627" xr:uid="{00000000-0005-0000-0000-0000E3190000}"/>
    <cellStyle name="Normal 2 2 10 19 5 2" xfId="6628" xr:uid="{00000000-0005-0000-0000-0000E4190000}"/>
    <cellStyle name="Normal 2 2 10 19 5 3" xfId="6629" xr:uid="{00000000-0005-0000-0000-0000E5190000}"/>
    <cellStyle name="Normal 2 2 10 19 5 4" xfId="6630" xr:uid="{00000000-0005-0000-0000-0000E6190000}"/>
    <cellStyle name="Normal 2 2 10 19 5 5" xfId="6631" xr:uid="{00000000-0005-0000-0000-0000E7190000}"/>
    <cellStyle name="Normal 2 2 10 19 5 6" xfId="6632" xr:uid="{00000000-0005-0000-0000-0000E8190000}"/>
    <cellStyle name="Normal 2 2 10 19 5 7" xfId="6633" xr:uid="{00000000-0005-0000-0000-0000E9190000}"/>
    <cellStyle name="Normal 2 2 10 19 5 8" xfId="6634" xr:uid="{00000000-0005-0000-0000-0000EA190000}"/>
    <cellStyle name="Normal 2 2 10 19 5 9" xfId="6635" xr:uid="{00000000-0005-0000-0000-0000EB190000}"/>
    <cellStyle name="Normal 2 2 10 19 6" xfId="6636" xr:uid="{00000000-0005-0000-0000-0000EC190000}"/>
    <cellStyle name="Normal 2 2 10 19 7" xfId="6637" xr:uid="{00000000-0005-0000-0000-0000ED190000}"/>
    <cellStyle name="Normal 2 2 10 19 8" xfId="6638" xr:uid="{00000000-0005-0000-0000-0000EE190000}"/>
    <cellStyle name="Normal 2 2 10 19 9" xfId="6639" xr:uid="{00000000-0005-0000-0000-0000EF190000}"/>
    <cellStyle name="Normal 2 2 10 2" xfId="6640" xr:uid="{00000000-0005-0000-0000-0000F0190000}"/>
    <cellStyle name="Normal 2 2 10 2 10" xfId="6641" xr:uid="{00000000-0005-0000-0000-0000F1190000}"/>
    <cellStyle name="Normal 2 2 10 2 10 10" xfId="6642" xr:uid="{00000000-0005-0000-0000-0000F2190000}"/>
    <cellStyle name="Normal 2 2 10 2 10 11" xfId="6643" xr:uid="{00000000-0005-0000-0000-0000F3190000}"/>
    <cellStyle name="Normal 2 2 10 2 10 12" xfId="6644" xr:uid="{00000000-0005-0000-0000-0000F4190000}"/>
    <cellStyle name="Normal 2 2 10 2 10 13" xfId="6645" xr:uid="{00000000-0005-0000-0000-0000F5190000}"/>
    <cellStyle name="Normal 2 2 10 2 10 14" xfId="6646" xr:uid="{00000000-0005-0000-0000-0000F6190000}"/>
    <cellStyle name="Normal 2 2 10 2 10 2" xfId="6647" xr:uid="{00000000-0005-0000-0000-0000F7190000}"/>
    <cellStyle name="Normal 2 2 10 2 10 2 10" xfId="6648" xr:uid="{00000000-0005-0000-0000-0000F8190000}"/>
    <cellStyle name="Normal 2 2 10 2 10 2 2" xfId="6649" xr:uid="{00000000-0005-0000-0000-0000F9190000}"/>
    <cellStyle name="Normal 2 2 10 2 10 2 3" xfId="6650" xr:uid="{00000000-0005-0000-0000-0000FA190000}"/>
    <cellStyle name="Normal 2 2 10 2 10 2 4" xfId="6651" xr:uid="{00000000-0005-0000-0000-0000FB190000}"/>
    <cellStyle name="Normal 2 2 10 2 10 2 5" xfId="6652" xr:uid="{00000000-0005-0000-0000-0000FC190000}"/>
    <cellStyle name="Normal 2 2 10 2 10 2 6" xfId="6653" xr:uid="{00000000-0005-0000-0000-0000FD190000}"/>
    <cellStyle name="Normal 2 2 10 2 10 2 7" xfId="6654" xr:uid="{00000000-0005-0000-0000-0000FE190000}"/>
    <cellStyle name="Normal 2 2 10 2 10 2 8" xfId="6655" xr:uid="{00000000-0005-0000-0000-0000FF190000}"/>
    <cellStyle name="Normal 2 2 10 2 10 2 9" xfId="6656" xr:uid="{00000000-0005-0000-0000-0000001A0000}"/>
    <cellStyle name="Normal 2 2 10 2 10 3" xfId="6657" xr:uid="{00000000-0005-0000-0000-0000011A0000}"/>
    <cellStyle name="Normal 2 2 10 2 10 3 10" xfId="6658" xr:uid="{00000000-0005-0000-0000-0000021A0000}"/>
    <cellStyle name="Normal 2 2 10 2 10 3 2" xfId="6659" xr:uid="{00000000-0005-0000-0000-0000031A0000}"/>
    <cellStyle name="Normal 2 2 10 2 10 3 3" xfId="6660" xr:uid="{00000000-0005-0000-0000-0000041A0000}"/>
    <cellStyle name="Normal 2 2 10 2 10 3 4" xfId="6661" xr:uid="{00000000-0005-0000-0000-0000051A0000}"/>
    <cellStyle name="Normal 2 2 10 2 10 3 5" xfId="6662" xr:uid="{00000000-0005-0000-0000-0000061A0000}"/>
    <cellStyle name="Normal 2 2 10 2 10 3 6" xfId="6663" xr:uid="{00000000-0005-0000-0000-0000071A0000}"/>
    <cellStyle name="Normal 2 2 10 2 10 3 7" xfId="6664" xr:uid="{00000000-0005-0000-0000-0000081A0000}"/>
    <cellStyle name="Normal 2 2 10 2 10 3 8" xfId="6665" xr:uid="{00000000-0005-0000-0000-0000091A0000}"/>
    <cellStyle name="Normal 2 2 10 2 10 3 9" xfId="6666" xr:uid="{00000000-0005-0000-0000-00000A1A0000}"/>
    <cellStyle name="Normal 2 2 10 2 10 4" xfId="6667" xr:uid="{00000000-0005-0000-0000-00000B1A0000}"/>
    <cellStyle name="Normal 2 2 10 2 10 4 10" xfId="6668" xr:uid="{00000000-0005-0000-0000-00000C1A0000}"/>
    <cellStyle name="Normal 2 2 10 2 10 4 2" xfId="6669" xr:uid="{00000000-0005-0000-0000-00000D1A0000}"/>
    <cellStyle name="Normal 2 2 10 2 10 4 3" xfId="6670" xr:uid="{00000000-0005-0000-0000-00000E1A0000}"/>
    <cellStyle name="Normal 2 2 10 2 10 4 4" xfId="6671" xr:uid="{00000000-0005-0000-0000-00000F1A0000}"/>
    <cellStyle name="Normal 2 2 10 2 10 4 5" xfId="6672" xr:uid="{00000000-0005-0000-0000-0000101A0000}"/>
    <cellStyle name="Normal 2 2 10 2 10 4 6" xfId="6673" xr:uid="{00000000-0005-0000-0000-0000111A0000}"/>
    <cellStyle name="Normal 2 2 10 2 10 4 7" xfId="6674" xr:uid="{00000000-0005-0000-0000-0000121A0000}"/>
    <cellStyle name="Normal 2 2 10 2 10 4 8" xfId="6675" xr:uid="{00000000-0005-0000-0000-0000131A0000}"/>
    <cellStyle name="Normal 2 2 10 2 10 4 9" xfId="6676" xr:uid="{00000000-0005-0000-0000-0000141A0000}"/>
    <cellStyle name="Normal 2 2 10 2 10 5" xfId="6677" xr:uid="{00000000-0005-0000-0000-0000151A0000}"/>
    <cellStyle name="Normal 2 2 10 2 10 5 10" xfId="6678" xr:uid="{00000000-0005-0000-0000-0000161A0000}"/>
    <cellStyle name="Normal 2 2 10 2 10 5 2" xfId="6679" xr:uid="{00000000-0005-0000-0000-0000171A0000}"/>
    <cellStyle name="Normal 2 2 10 2 10 5 3" xfId="6680" xr:uid="{00000000-0005-0000-0000-0000181A0000}"/>
    <cellStyle name="Normal 2 2 10 2 10 5 4" xfId="6681" xr:uid="{00000000-0005-0000-0000-0000191A0000}"/>
    <cellStyle name="Normal 2 2 10 2 10 5 5" xfId="6682" xr:uid="{00000000-0005-0000-0000-00001A1A0000}"/>
    <cellStyle name="Normal 2 2 10 2 10 5 6" xfId="6683" xr:uid="{00000000-0005-0000-0000-00001B1A0000}"/>
    <cellStyle name="Normal 2 2 10 2 10 5 7" xfId="6684" xr:uid="{00000000-0005-0000-0000-00001C1A0000}"/>
    <cellStyle name="Normal 2 2 10 2 10 5 8" xfId="6685" xr:uid="{00000000-0005-0000-0000-00001D1A0000}"/>
    <cellStyle name="Normal 2 2 10 2 10 5 9" xfId="6686" xr:uid="{00000000-0005-0000-0000-00001E1A0000}"/>
    <cellStyle name="Normal 2 2 10 2 10 6" xfId="6687" xr:uid="{00000000-0005-0000-0000-00001F1A0000}"/>
    <cellStyle name="Normal 2 2 10 2 10 7" xfId="6688" xr:uid="{00000000-0005-0000-0000-0000201A0000}"/>
    <cellStyle name="Normal 2 2 10 2 10 8" xfId="6689" xr:uid="{00000000-0005-0000-0000-0000211A0000}"/>
    <cellStyle name="Normal 2 2 10 2 10 9" xfId="6690" xr:uid="{00000000-0005-0000-0000-0000221A0000}"/>
    <cellStyle name="Normal 2 2 10 2 11" xfId="6691" xr:uid="{00000000-0005-0000-0000-0000231A0000}"/>
    <cellStyle name="Normal 2 2 10 2 11 10" xfId="6692" xr:uid="{00000000-0005-0000-0000-0000241A0000}"/>
    <cellStyle name="Normal 2 2 10 2 11 11" xfId="6693" xr:uid="{00000000-0005-0000-0000-0000251A0000}"/>
    <cellStyle name="Normal 2 2 10 2 11 12" xfId="6694" xr:uid="{00000000-0005-0000-0000-0000261A0000}"/>
    <cellStyle name="Normal 2 2 10 2 11 13" xfId="6695" xr:uid="{00000000-0005-0000-0000-0000271A0000}"/>
    <cellStyle name="Normal 2 2 10 2 11 14" xfId="6696" xr:uid="{00000000-0005-0000-0000-0000281A0000}"/>
    <cellStyle name="Normal 2 2 10 2 11 2" xfId="6697" xr:uid="{00000000-0005-0000-0000-0000291A0000}"/>
    <cellStyle name="Normal 2 2 10 2 11 2 10" xfId="6698" xr:uid="{00000000-0005-0000-0000-00002A1A0000}"/>
    <cellStyle name="Normal 2 2 10 2 11 2 2" xfId="6699" xr:uid="{00000000-0005-0000-0000-00002B1A0000}"/>
    <cellStyle name="Normal 2 2 10 2 11 2 3" xfId="6700" xr:uid="{00000000-0005-0000-0000-00002C1A0000}"/>
    <cellStyle name="Normal 2 2 10 2 11 2 4" xfId="6701" xr:uid="{00000000-0005-0000-0000-00002D1A0000}"/>
    <cellStyle name="Normal 2 2 10 2 11 2 5" xfId="6702" xr:uid="{00000000-0005-0000-0000-00002E1A0000}"/>
    <cellStyle name="Normal 2 2 10 2 11 2 6" xfId="6703" xr:uid="{00000000-0005-0000-0000-00002F1A0000}"/>
    <cellStyle name="Normal 2 2 10 2 11 2 7" xfId="6704" xr:uid="{00000000-0005-0000-0000-0000301A0000}"/>
    <cellStyle name="Normal 2 2 10 2 11 2 8" xfId="6705" xr:uid="{00000000-0005-0000-0000-0000311A0000}"/>
    <cellStyle name="Normal 2 2 10 2 11 2 9" xfId="6706" xr:uid="{00000000-0005-0000-0000-0000321A0000}"/>
    <cellStyle name="Normal 2 2 10 2 11 3" xfId="6707" xr:uid="{00000000-0005-0000-0000-0000331A0000}"/>
    <cellStyle name="Normal 2 2 10 2 11 3 10" xfId="6708" xr:uid="{00000000-0005-0000-0000-0000341A0000}"/>
    <cellStyle name="Normal 2 2 10 2 11 3 2" xfId="6709" xr:uid="{00000000-0005-0000-0000-0000351A0000}"/>
    <cellStyle name="Normal 2 2 10 2 11 3 3" xfId="6710" xr:uid="{00000000-0005-0000-0000-0000361A0000}"/>
    <cellStyle name="Normal 2 2 10 2 11 3 4" xfId="6711" xr:uid="{00000000-0005-0000-0000-0000371A0000}"/>
    <cellStyle name="Normal 2 2 10 2 11 3 5" xfId="6712" xr:uid="{00000000-0005-0000-0000-0000381A0000}"/>
    <cellStyle name="Normal 2 2 10 2 11 3 6" xfId="6713" xr:uid="{00000000-0005-0000-0000-0000391A0000}"/>
    <cellStyle name="Normal 2 2 10 2 11 3 7" xfId="6714" xr:uid="{00000000-0005-0000-0000-00003A1A0000}"/>
    <cellStyle name="Normal 2 2 10 2 11 3 8" xfId="6715" xr:uid="{00000000-0005-0000-0000-00003B1A0000}"/>
    <cellStyle name="Normal 2 2 10 2 11 3 9" xfId="6716" xr:uid="{00000000-0005-0000-0000-00003C1A0000}"/>
    <cellStyle name="Normal 2 2 10 2 11 4" xfId="6717" xr:uid="{00000000-0005-0000-0000-00003D1A0000}"/>
    <cellStyle name="Normal 2 2 10 2 11 4 10" xfId="6718" xr:uid="{00000000-0005-0000-0000-00003E1A0000}"/>
    <cellStyle name="Normal 2 2 10 2 11 4 2" xfId="6719" xr:uid="{00000000-0005-0000-0000-00003F1A0000}"/>
    <cellStyle name="Normal 2 2 10 2 11 4 3" xfId="6720" xr:uid="{00000000-0005-0000-0000-0000401A0000}"/>
    <cellStyle name="Normal 2 2 10 2 11 4 4" xfId="6721" xr:uid="{00000000-0005-0000-0000-0000411A0000}"/>
    <cellStyle name="Normal 2 2 10 2 11 4 5" xfId="6722" xr:uid="{00000000-0005-0000-0000-0000421A0000}"/>
    <cellStyle name="Normal 2 2 10 2 11 4 6" xfId="6723" xr:uid="{00000000-0005-0000-0000-0000431A0000}"/>
    <cellStyle name="Normal 2 2 10 2 11 4 7" xfId="6724" xr:uid="{00000000-0005-0000-0000-0000441A0000}"/>
    <cellStyle name="Normal 2 2 10 2 11 4 8" xfId="6725" xr:uid="{00000000-0005-0000-0000-0000451A0000}"/>
    <cellStyle name="Normal 2 2 10 2 11 4 9" xfId="6726" xr:uid="{00000000-0005-0000-0000-0000461A0000}"/>
    <cellStyle name="Normal 2 2 10 2 11 5" xfId="6727" xr:uid="{00000000-0005-0000-0000-0000471A0000}"/>
    <cellStyle name="Normal 2 2 10 2 11 5 10" xfId="6728" xr:uid="{00000000-0005-0000-0000-0000481A0000}"/>
    <cellStyle name="Normal 2 2 10 2 11 5 2" xfId="6729" xr:uid="{00000000-0005-0000-0000-0000491A0000}"/>
    <cellStyle name="Normal 2 2 10 2 11 5 3" xfId="6730" xr:uid="{00000000-0005-0000-0000-00004A1A0000}"/>
    <cellStyle name="Normal 2 2 10 2 11 5 4" xfId="6731" xr:uid="{00000000-0005-0000-0000-00004B1A0000}"/>
    <cellStyle name="Normal 2 2 10 2 11 5 5" xfId="6732" xr:uid="{00000000-0005-0000-0000-00004C1A0000}"/>
    <cellStyle name="Normal 2 2 10 2 11 5 6" xfId="6733" xr:uid="{00000000-0005-0000-0000-00004D1A0000}"/>
    <cellStyle name="Normal 2 2 10 2 11 5 7" xfId="6734" xr:uid="{00000000-0005-0000-0000-00004E1A0000}"/>
    <cellStyle name="Normal 2 2 10 2 11 5 8" xfId="6735" xr:uid="{00000000-0005-0000-0000-00004F1A0000}"/>
    <cellStyle name="Normal 2 2 10 2 11 5 9" xfId="6736" xr:uid="{00000000-0005-0000-0000-0000501A0000}"/>
    <cellStyle name="Normal 2 2 10 2 11 6" xfId="6737" xr:uid="{00000000-0005-0000-0000-0000511A0000}"/>
    <cellStyle name="Normal 2 2 10 2 11 7" xfId="6738" xr:uid="{00000000-0005-0000-0000-0000521A0000}"/>
    <cellStyle name="Normal 2 2 10 2 11 8" xfId="6739" xr:uid="{00000000-0005-0000-0000-0000531A0000}"/>
    <cellStyle name="Normal 2 2 10 2 11 9" xfId="6740" xr:uid="{00000000-0005-0000-0000-0000541A0000}"/>
    <cellStyle name="Normal 2 2 10 2 12" xfId="6741" xr:uid="{00000000-0005-0000-0000-0000551A0000}"/>
    <cellStyle name="Normal 2 2 10 2 12 10" xfId="6742" xr:uid="{00000000-0005-0000-0000-0000561A0000}"/>
    <cellStyle name="Normal 2 2 10 2 12 11" xfId="6743" xr:uid="{00000000-0005-0000-0000-0000571A0000}"/>
    <cellStyle name="Normal 2 2 10 2 12 12" xfId="6744" xr:uid="{00000000-0005-0000-0000-0000581A0000}"/>
    <cellStyle name="Normal 2 2 10 2 12 13" xfId="6745" xr:uid="{00000000-0005-0000-0000-0000591A0000}"/>
    <cellStyle name="Normal 2 2 10 2 12 14" xfId="6746" xr:uid="{00000000-0005-0000-0000-00005A1A0000}"/>
    <cellStyle name="Normal 2 2 10 2 12 2" xfId="6747" xr:uid="{00000000-0005-0000-0000-00005B1A0000}"/>
    <cellStyle name="Normal 2 2 10 2 12 2 10" xfId="6748" xr:uid="{00000000-0005-0000-0000-00005C1A0000}"/>
    <cellStyle name="Normal 2 2 10 2 12 2 2" xfId="6749" xr:uid="{00000000-0005-0000-0000-00005D1A0000}"/>
    <cellStyle name="Normal 2 2 10 2 12 2 3" xfId="6750" xr:uid="{00000000-0005-0000-0000-00005E1A0000}"/>
    <cellStyle name="Normal 2 2 10 2 12 2 4" xfId="6751" xr:uid="{00000000-0005-0000-0000-00005F1A0000}"/>
    <cellStyle name="Normal 2 2 10 2 12 2 5" xfId="6752" xr:uid="{00000000-0005-0000-0000-0000601A0000}"/>
    <cellStyle name="Normal 2 2 10 2 12 2 6" xfId="6753" xr:uid="{00000000-0005-0000-0000-0000611A0000}"/>
    <cellStyle name="Normal 2 2 10 2 12 2 7" xfId="6754" xr:uid="{00000000-0005-0000-0000-0000621A0000}"/>
    <cellStyle name="Normal 2 2 10 2 12 2 8" xfId="6755" xr:uid="{00000000-0005-0000-0000-0000631A0000}"/>
    <cellStyle name="Normal 2 2 10 2 12 2 9" xfId="6756" xr:uid="{00000000-0005-0000-0000-0000641A0000}"/>
    <cellStyle name="Normal 2 2 10 2 12 3" xfId="6757" xr:uid="{00000000-0005-0000-0000-0000651A0000}"/>
    <cellStyle name="Normal 2 2 10 2 12 3 10" xfId="6758" xr:uid="{00000000-0005-0000-0000-0000661A0000}"/>
    <cellStyle name="Normal 2 2 10 2 12 3 2" xfId="6759" xr:uid="{00000000-0005-0000-0000-0000671A0000}"/>
    <cellStyle name="Normal 2 2 10 2 12 3 3" xfId="6760" xr:uid="{00000000-0005-0000-0000-0000681A0000}"/>
    <cellStyle name="Normal 2 2 10 2 12 3 4" xfId="6761" xr:uid="{00000000-0005-0000-0000-0000691A0000}"/>
    <cellStyle name="Normal 2 2 10 2 12 3 5" xfId="6762" xr:uid="{00000000-0005-0000-0000-00006A1A0000}"/>
    <cellStyle name="Normal 2 2 10 2 12 3 6" xfId="6763" xr:uid="{00000000-0005-0000-0000-00006B1A0000}"/>
    <cellStyle name="Normal 2 2 10 2 12 3 7" xfId="6764" xr:uid="{00000000-0005-0000-0000-00006C1A0000}"/>
    <cellStyle name="Normal 2 2 10 2 12 3 8" xfId="6765" xr:uid="{00000000-0005-0000-0000-00006D1A0000}"/>
    <cellStyle name="Normal 2 2 10 2 12 3 9" xfId="6766" xr:uid="{00000000-0005-0000-0000-00006E1A0000}"/>
    <cellStyle name="Normal 2 2 10 2 12 4" xfId="6767" xr:uid="{00000000-0005-0000-0000-00006F1A0000}"/>
    <cellStyle name="Normal 2 2 10 2 12 4 10" xfId="6768" xr:uid="{00000000-0005-0000-0000-0000701A0000}"/>
    <cellStyle name="Normal 2 2 10 2 12 4 2" xfId="6769" xr:uid="{00000000-0005-0000-0000-0000711A0000}"/>
    <cellStyle name="Normal 2 2 10 2 12 4 3" xfId="6770" xr:uid="{00000000-0005-0000-0000-0000721A0000}"/>
    <cellStyle name="Normal 2 2 10 2 12 4 4" xfId="6771" xr:uid="{00000000-0005-0000-0000-0000731A0000}"/>
    <cellStyle name="Normal 2 2 10 2 12 4 5" xfId="6772" xr:uid="{00000000-0005-0000-0000-0000741A0000}"/>
    <cellStyle name="Normal 2 2 10 2 12 4 6" xfId="6773" xr:uid="{00000000-0005-0000-0000-0000751A0000}"/>
    <cellStyle name="Normal 2 2 10 2 12 4 7" xfId="6774" xr:uid="{00000000-0005-0000-0000-0000761A0000}"/>
    <cellStyle name="Normal 2 2 10 2 12 4 8" xfId="6775" xr:uid="{00000000-0005-0000-0000-0000771A0000}"/>
    <cellStyle name="Normal 2 2 10 2 12 4 9" xfId="6776" xr:uid="{00000000-0005-0000-0000-0000781A0000}"/>
    <cellStyle name="Normal 2 2 10 2 12 5" xfId="6777" xr:uid="{00000000-0005-0000-0000-0000791A0000}"/>
    <cellStyle name="Normal 2 2 10 2 12 5 10" xfId="6778" xr:uid="{00000000-0005-0000-0000-00007A1A0000}"/>
    <cellStyle name="Normal 2 2 10 2 12 5 2" xfId="6779" xr:uid="{00000000-0005-0000-0000-00007B1A0000}"/>
    <cellStyle name="Normal 2 2 10 2 12 5 3" xfId="6780" xr:uid="{00000000-0005-0000-0000-00007C1A0000}"/>
    <cellStyle name="Normal 2 2 10 2 12 5 4" xfId="6781" xr:uid="{00000000-0005-0000-0000-00007D1A0000}"/>
    <cellStyle name="Normal 2 2 10 2 12 5 5" xfId="6782" xr:uid="{00000000-0005-0000-0000-00007E1A0000}"/>
    <cellStyle name="Normal 2 2 10 2 12 5 6" xfId="6783" xr:uid="{00000000-0005-0000-0000-00007F1A0000}"/>
    <cellStyle name="Normal 2 2 10 2 12 5 7" xfId="6784" xr:uid="{00000000-0005-0000-0000-0000801A0000}"/>
    <cellStyle name="Normal 2 2 10 2 12 5 8" xfId="6785" xr:uid="{00000000-0005-0000-0000-0000811A0000}"/>
    <cellStyle name="Normal 2 2 10 2 12 5 9" xfId="6786" xr:uid="{00000000-0005-0000-0000-0000821A0000}"/>
    <cellStyle name="Normal 2 2 10 2 12 6" xfId="6787" xr:uid="{00000000-0005-0000-0000-0000831A0000}"/>
    <cellStyle name="Normal 2 2 10 2 12 7" xfId="6788" xr:uid="{00000000-0005-0000-0000-0000841A0000}"/>
    <cellStyle name="Normal 2 2 10 2 12 8" xfId="6789" xr:uid="{00000000-0005-0000-0000-0000851A0000}"/>
    <cellStyle name="Normal 2 2 10 2 12 9" xfId="6790" xr:uid="{00000000-0005-0000-0000-0000861A0000}"/>
    <cellStyle name="Normal 2 2 10 2 13" xfId="6791" xr:uid="{00000000-0005-0000-0000-0000871A0000}"/>
    <cellStyle name="Normal 2 2 10 2 13 10" xfId="6792" xr:uid="{00000000-0005-0000-0000-0000881A0000}"/>
    <cellStyle name="Normal 2 2 10 2 13 11" xfId="6793" xr:uid="{00000000-0005-0000-0000-0000891A0000}"/>
    <cellStyle name="Normal 2 2 10 2 13 12" xfId="6794" xr:uid="{00000000-0005-0000-0000-00008A1A0000}"/>
    <cellStyle name="Normal 2 2 10 2 13 13" xfId="6795" xr:uid="{00000000-0005-0000-0000-00008B1A0000}"/>
    <cellStyle name="Normal 2 2 10 2 13 14" xfId="6796" xr:uid="{00000000-0005-0000-0000-00008C1A0000}"/>
    <cellStyle name="Normal 2 2 10 2 13 2" xfId="6797" xr:uid="{00000000-0005-0000-0000-00008D1A0000}"/>
    <cellStyle name="Normal 2 2 10 2 13 2 10" xfId="6798" xr:uid="{00000000-0005-0000-0000-00008E1A0000}"/>
    <cellStyle name="Normal 2 2 10 2 13 2 2" xfId="6799" xr:uid="{00000000-0005-0000-0000-00008F1A0000}"/>
    <cellStyle name="Normal 2 2 10 2 13 2 3" xfId="6800" xr:uid="{00000000-0005-0000-0000-0000901A0000}"/>
    <cellStyle name="Normal 2 2 10 2 13 2 4" xfId="6801" xr:uid="{00000000-0005-0000-0000-0000911A0000}"/>
    <cellStyle name="Normal 2 2 10 2 13 2 5" xfId="6802" xr:uid="{00000000-0005-0000-0000-0000921A0000}"/>
    <cellStyle name="Normal 2 2 10 2 13 2 6" xfId="6803" xr:uid="{00000000-0005-0000-0000-0000931A0000}"/>
    <cellStyle name="Normal 2 2 10 2 13 2 7" xfId="6804" xr:uid="{00000000-0005-0000-0000-0000941A0000}"/>
    <cellStyle name="Normal 2 2 10 2 13 2 8" xfId="6805" xr:uid="{00000000-0005-0000-0000-0000951A0000}"/>
    <cellStyle name="Normal 2 2 10 2 13 2 9" xfId="6806" xr:uid="{00000000-0005-0000-0000-0000961A0000}"/>
    <cellStyle name="Normal 2 2 10 2 13 3" xfId="6807" xr:uid="{00000000-0005-0000-0000-0000971A0000}"/>
    <cellStyle name="Normal 2 2 10 2 13 3 10" xfId="6808" xr:uid="{00000000-0005-0000-0000-0000981A0000}"/>
    <cellStyle name="Normal 2 2 10 2 13 3 2" xfId="6809" xr:uid="{00000000-0005-0000-0000-0000991A0000}"/>
    <cellStyle name="Normal 2 2 10 2 13 3 3" xfId="6810" xr:uid="{00000000-0005-0000-0000-00009A1A0000}"/>
    <cellStyle name="Normal 2 2 10 2 13 3 4" xfId="6811" xr:uid="{00000000-0005-0000-0000-00009B1A0000}"/>
    <cellStyle name="Normal 2 2 10 2 13 3 5" xfId="6812" xr:uid="{00000000-0005-0000-0000-00009C1A0000}"/>
    <cellStyle name="Normal 2 2 10 2 13 3 6" xfId="6813" xr:uid="{00000000-0005-0000-0000-00009D1A0000}"/>
    <cellStyle name="Normal 2 2 10 2 13 3 7" xfId="6814" xr:uid="{00000000-0005-0000-0000-00009E1A0000}"/>
    <cellStyle name="Normal 2 2 10 2 13 3 8" xfId="6815" xr:uid="{00000000-0005-0000-0000-00009F1A0000}"/>
    <cellStyle name="Normal 2 2 10 2 13 3 9" xfId="6816" xr:uid="{00000000-0005-0000-0000-0000A01A0000}"/>
    <cellStyle name="Normal 2 2 10 2 13 4" xfId="6817" xr:uid="{00000000-0005-0000-0000-0000A11A0000}"/>
    <cellStyle name="Normal 2 2 10 2 13 4 10" xfId="6818" xr:uid="{00000000-0005-0000-0000-0000A21A0000}"/>
    <cellStyle name="Normal 2 2 10 2 13 4 2" xfId="6819" xr:uid="{00000000-0005-0000-0000-0000A31A0000}"/>
    <cellStyle name="Normal 2 2 10 2 13 4 3" xfId="6820" xr:uid="{00000000-0005-0000-0000-0000A41A0000}"/>
    <cellStyle name="Normal 2 2 10 2 13 4 4" xfId="6821" xr:uid="{00000000-0005-0000-0000-0000A51A0000}"/>
    <cellStyle name="Normal 2 2 10 2 13 4 5" xfId="6822" xr:uid="{00000000-0005-0000-0000-0000A61A0000}"/>
    <cellStyle name="Normal 2 2 10 2 13 4 6" xfId="6823" xr:uid="{00000000-0005-0000-0000-0000A71A0000}"/>
    <cellStyle name="Normal 2 2 10 2 13 4 7" xfId="6824" xr:uid="{00000000-0005-0000-0000-0000A81A0000}"/>
    <cellStyle name="Normal 2 2 10 2 13 4 8" xfId="6825" xr:uid="{00000000-0005-0000-0000-0000A91A0000}"/>
    <cellStyle name="Normal 2 2 10 2 13 4 9" xfId="6826" xr:uid="{00000000-0005-0000-0000-0000AA1A0000}"/>
    <cellStyle name="Normal 2 2 10 2 13 5" xfId="6827" xr:uid="{00000000-0005-0000-0000-0000AB1A0000}"/>
    <cellStyle name="Normal 2 2 10 2 13 5 10" xfId="6828" xr:uid="{00000000-0005-0000-0000-0000AC1A0000}"/>
    <cellStyle name="Normal 2 2 10 2 13 5 2" xfId="6829" xr:uid="{00000000-0005-0000-0000-0000AD1A0000}"/>
    <cellStyle name="Normal 2 2 10 2 13 5 3" xfId="6830" xr:uid="{00000000-0005-0000-0000-0000AE1A0000}"/>
    <cellStyle name="Normal 2 2 10 2 13 5 4" xfId="6831" xr:uid="{00000000-0005-0000-0000-0000AF1A0000}"/>
    <cellStyle name="Normal 2 2 10 2 13 5 5" xfId="6832" xr:uid="{00000000-0005-0000-0000-0000B01A0000}"/>
    <cellStyle name="Normal 2 2 10 2 13 5 6" xfId="6833" xr:uid="{00000000-0005-0000-0000-0000B11A0000}"/>
    <cellStyle name="Normal 2 2 10 2 13 5 7" xfId="6834" xr:uid="{00000000-0005-0000-0000-0000B21A0000}"/>
    <cellStyle name="Normal 2 2 10 2 13 5 8" xfId="6835" xr:uid="{00000000-0005-0000-0000-0000B31A0000}"/>
    <cellStyle name="Normal 2 2 10 2 13 5 9" xfId="6836" xr:uid="{00000000-0005-0000-0000-0000B41A0000}"/>
    <cellStyle name="Normal 2 2 10 2 13 6" xfId="6837" xr:uid="{00000000-0005-0000-0000-0000B51A0000}"/>
    <cellStyle name="Normal 2 2 10 2 13 7" xfId="6838" xr:uid="{00000000-0005-0000-0000-0000B61A0000}"/>
    <cellStyle name="Normal 2 2 10 2 13 8" xfId="6839" xr:uid="{00000000-0005-0000-0000-0000B71A0000}"/>
    <cellStyle name="Normal 2 2 10 2 13 9" xfId="6840" xr:uid="{00000000-0005-0000-0000-0000B81A0000}"/>
    <cellStyle name="Normal 2 2 10 2 14" xfId="6841" xr:uid="{00000000-0005-0000-0000-0000B91A0000}"/>
    <cellStyle name="Normal 2 2 10 2 14 10" xfId="6842" xr:uid="{00000000-0005-0000-0000-0000BA1A0000}"/>
    <cellStyle name="Normal 2 2 10 2 14 11" xfId="6843" xr:uid="{00000000-0005-0000-0000-0000BB1A0000}"/>
    <cellStyle name="Normal 2 2 10 2 14 12" xfId="6844" xr:uid="{00000000-0005-0000-0000-0000BC1A0000}"/>
    <cellStyle name="Normal 2 2 10 2 14 13" xfId="6845" xr:uid="{00000000-0005-0000-0000-0000BD1A0000}"/>
    <cellStyle name="Normal 2 2 10 2 14 14" xfId="6846" xr:uid="{00000000-0005-0000-0000-0000BE1A0000}"/>
    <cellStyle name="Normal 2 2 10 2 14 2" xfId="6847" xr:uid="{00000000-0005-0000-0000-0000BF1A0000}"/>
    <cellStyle name="Normal 2 2 10 2 14 2 10" xfId="6848" xr:uid="{00000000-0005-0000-0000-0000C01A0000}"/>
    <cellStyle name="Normal 2 2 10 2 14 2 2" xfId="6849" xr:uid="{00000000-0005-0000-0000-0000C11A0000}"/>
    <cellStyle name="Normal 2 2 10 2 14 2 3" xfId="6850" xr:uid="{00000000-0005-0000-0000-0000C21A0000}"/>
    <cellStyle name="Normal 2 2 10 2 14 2 4" xfId="6851" xr:uid="{00000000-0005-0000-0000-0000C31A0000}"/>
    <cellStyle name="Normal 2 2 10 2 14 2 5" xfId="6852" xr:uid="{00000000-0005-0000-0000-0000C41A0000}"/>
    <cellStyle name="Normal 2 2 10 2 14 2 6" xfId="6853" xr:uid="{00000000-0005-0000-0000-0000C51A0000}"/>
    <cellStyle name="Normal 2 2 10 2 14 2 7" xfId="6854" xr:uid="{00000000-0005-0000-0000-0000C61A0000}"/>
    <cellStyle name="Normal 2 2 10 2 14 2 8" xfId="6855" xr:uid="{00000000-0005-0000-0000-0000C71A0000}"/>
    <cellStyle name="Normal 2 2 10 2 14 2 9" xfId="6856" xr:uid="{00000000-0005-0000-0000-0000C81A0000}"/>
    <cellStyle name="Normal 2 2 10 2 14 3" xfId="6857" xr:uid="{00000000-0005-0000-0000-0000C91A0000}"/>
    <cellStyle name="Normal 2 2 10 2 14 3 10" xfId="6858" xr:uid="{00000000-0005-0000-0000-0000CA1A0000}"/>
    <cellStyle name="Normal 2 2 10 2 14 3 2" xfId="6859" xr:uid="{00000000-0005-0000-0000-0000CB1A0000}"/>
    <cellStyle name="Normal 2 2 10 2 14 3 3" xfId="6860" xr:uid="{00000000-0005-0000-0000-0000CC1A0000}"/>
    <cellStyle name="Normal 2 2 10 2 14 3 4" xfId="6861" xr:uid="{00000000-0005-0000-0000-0000CD1A0000}"/>
    <cellStyle name="Normal 2 2 10 2 14 3 5" xfId="6862" xr:uid="{00000000-0005-0000-0000-0000CE1A0000}"/>
    <cellStyle name="Normal 2 2 10 2 14 3 6" xfId="6863" xr:uid="{00000000-0005-0000-0000-0000CF1A0000}"/>
    <cellStyle name="Normal 2 2 10 2 14 3 7" xfId="6864" xr:uid="{00000000-0005-0000-0000-0000D01A0000}"/>
    <cellStyle name="Normal 2 2 10 2 14 3 8" xfId="6865" xr:uid="{00000000-0005-0000-0000-0000D11A0000}"/>
    <cellStyle name="Normal 2 2 10 2 14 3 9" xfId="6866" xr:uid="{00000000-0005-0000-0000-0000D21A0000}"/>
    <cellStyle name="Normal 2 2 10 2 14 4" xfId="6867" xr:uid="{00000000-0005-0000-0000-0000D31A0000}"/>
    <cellStyle name="Normal 2 2 10 2 14 4 10" xfId="6868" xr:uid="{00000000-0005-0000-0000-0000D41A0000}"/>
    <cellStyle name="Normal 2 2 10 2 14 4 2" xfId="6869" xr:uid="{00000000-0005-0000-0000-0000D51A0000}"/>
    <cellStyle name="Normal 2 2 10 2 14 4 3" xfId="6870" xr:uid="{00000000-0005-0000-0000-0000D61A0000}"/>
    <cellStyle name="Normal 2 2 10 2 14 4 4" xfId="6871" xr:uid="{00000000-0005-0000-0000-0000D71A0000}"/>
    <cellStyle name="Normal 2 2 10 2 14 4 5" xfId="6872" xr:uid="{00000000-0005-0000-0000-0000D81A0000}"/>
    <cellStyle name="Normal 2 2 10 2 14 4 6" xfId="6873" xr:uid="{00000000-0005-0000-0000-0000D91A0000}"/>
    <cellStyle name="Normal 2 2 10 2 14 4 7" xfId="6874" xr:uid="{00000000-0005-0000-0000-0000DA1A0000}"/>
    <cellStyle name="Normal 2 2 10 2 14 4 8" xfId="6875" xr:uid="{00000000-0005-0000-0000-0000DB1A0000}"/>
    <cellStyle name="Normal 2 2 10 2 14 4 9" xfId="6876" xr:uid="{00000000-0005-0000-0000-0000DC1A0000}"/>
    <cellStyle name="Normal 2 2 10 2 14 5" xfId="6877" xr:uid="{00000000-0005-0000-0000-0000DD1A0000}"/>
    <cellStyle name="Normal 2 2 10 2 14 5 10" xfId="6878" xr:uid="{00000000-0005-0000-0000-0000DE1A0000}"/>
    <cellStyle name="Normal 2 2 10 2 14 5 2" xfId="6879" xr:uid="{00000000-0005-0000-0000-0000DF1A0000}"/>
    <cellStyle name="Normal 2 2 10 2 14 5 3" xfId="6880" xr:uid="{00000000-0005-0000-0000-0000E01A0000}"/>
    <cellStyle name="Normal 2 2 10 2 14 5 4" xfId="6881" xr:uid="{00000000-0005-0000-0000-0000E11A0000}"/>
    <cellStyle name="Normal 2 2 10 2 14 5 5" xfId="6882" xr:uid="{00000000-0005-0000-0000-0000E21A0000}"/>
    <cellStyle name="Normal 2 2 10 2 14 5 6" xfId="6883" xr:uid="{00000000-0005-0000-0000-0000E31A0000}"/>
    <cellStyle name="Normal 2 2 10 2 14 5 7" xfId="6884" xr:uid="{00000000-0005-0000-0000-0000E41A0000}"/>
    <cellStyle name="Normal 2 2 10 2 14 5 8" xfId="6885" xr:uid="{00000000-0005-0000-0000-0000E51A0000}"/>
    <cellStyle name="Normal 2 2 10 2 14 5 9" xfId="6886" xr:uid="{00000000-0005-0000-0000-0000E61A0000}"/>
    <cellStyle name="Normal 2 2 10 2 14 6" xfId="6887" xr:uid="{00000000-0005-0000-0000-0000E71A0000}"/>
    <cellStyle name="Normal 2 2 10 2 14 7" xfId="6888" xr:uid="{00000000-0005-0000-0000-0000E81A0000}"/>
    <cellStyle name="Normal 2 2 10 2 14 8" xfId="6889" xr:uid="{00000000-0005-0000-0000-0000E91A0000}"/>
    <cellStyle name="Normal 2 2 10 2 14 9" xfId="6890" xr:uid="{00000000-0005-0000-0000-0000EA1A0000}"/>
    <cellStyle name="Normal 2 2 10 2 15" xfId="6891" xr:uid="{00000000-0005-0000-0000-0000EB1A0000}"/>
    <cellStyle name="Normal 2 2 10 2 15 10" xfId="6892" xr:uid="{00000000-0005-0000-0000-0000EC1A0000}"/>
    <cellStyle name="Normal 2 2 10 2 15 11" xfId="6893" xr:uid="{00000000-0005-0000-0000-0000ED1A0000}"/>
    <cellStyle name="Normal 2 2 10 2 15 12" xfId="6894" xr:uid="{00000000-0005-0000-0000-0000EE1A0000}"/>
    <cellStyle name="Normal 2 2 10 2 15 13" xfId="6895" xr:uid="{00000000-0005-0000-0000-0000EF1A0000}"/>
    <cellStyle name="Normal 2 2 10 2 15 14" xfId="6896" xr:uid="{00000000-0005-0000-0000-0000F01A0000}"/>
    <cellStyle name="Normal 2 2 10 2 15 2" xfId="6897" xr:uid="{00000000-0005-0000-0000-0000F11A0000}"/>
    <cellStyle name="Normal 2 2 10 2 15 2 10" xfId="6898" xr:uid="{00000000-0005-0000-0000-0000F21A0000}"/>
    <cellStyle name="Normal 2 2 10 2 15 2 2" xfId="6899" xr:uid="{00000000-0005-0000-0000-0000F31A0000}"/>
    <cellStyle name="Normal 2 2 10 2 15 2 3" xfId="6900" xr:uid="{00000000-0005-0000-0000-0000F41A0000}"/>
    <cellStyle name="Normal 2 2 10 2 15 2 4" xfId="6901" xr:uid="{00000000-0005-0000-0000-0000F51A0000}"/>
    <cellStyle name="Normal 2 2 10 2 15 2 5" xfId="6902" xr:uid="{00000000-0005-0000-0000-0000F61A0000}"/>
    <cellStyle name="Normal 2 2 10 2 15 2 6" xfId="6903" xr:uid="{00000000-0005-0000-0000-0000F71A0000}"/>
    <cellStyle name="Normal 2 2 10 2 15 2 7" xfId="6904" xr:uid="{00000000-0005-0000-0000-0000F81A0000}"/>
    <cellStyle name="Normal 2 2 10 2 15 2 8" xfId="6905" xr:uid="{00000000-0005-0000-0000-0000F91A0000}"/>
    <cellStyle name="Normal 2 2 10 2 15 2 9" xfId="6906" xr:uid="{00000000-0005-0000-0000-0000FA1A0000}"/>
    <cellStyle name="Normal 2 2 10 2 15 3" xfId="6907" xr:uid="{00000000-0005-0000-0000-0000FB1A0000}"/>
    <cellStyle name="Normal 2 2 10 2 15 3 10" xfId="6908" xr:uid="{00000000-0005-0000-0000-0000FC1A0000}"/>
    <cellStyle name="Normal 2 2 10 2 15 3 2" xfId="6909" xr:uid="{00000000-0005-0000-0000-0000FD1A0000}"/>
    <cellStyle name="Normal 2 2 10 2 15 3 3" xfId="6910" xr:uid="{00000000-0005-0000-0000-0000FE1A0000}"/>
    <cellStyle name="Normal 2 2 10 2 15 3 4" xfId="6911" xr:uid="{00000000-0005-0000-0000-0000FF1A0000}"/>
    <cellStyle name="Normal 2 2 10 2 15 3 5" xfId="6912" xr:uid="{00000000-0005-0000-0000-0000001B0000}"/>
    <cellStyle name="Normal 2 2 10 2 15 3 6" xfId="6913" xr:uid="{00000000-0005-0000-0000-0000011B0000}"/>
    <cellStyle name="Normal 2 2 10 2 15 3 7" xfId="6914" xr:uid="{00000000-0005-0000-0000-0000021B0000}"/>
    <cellStyle name="Normal 2 2 10 2 15 3 8" xfId="6915" xr:uid="{00000000-0005-0000-0000-0000031B0000}"/>
    <cellStyle name="Normal 2 2 10 2 15 3 9" xfId="6916" xr:uid="{00000000-0005-0000-0000-0000041B0000}"/>
    <cellStyle name="Normal 2 2 10 2 15 4" xfId="6917" xr:uid="{00000000-0005-0000-0000-0000051B0000}"/>
    <cellStyle name="Normal 2 2 10 2 15 4 10" xfId="6918" xr:uid="{00000000-0005-0000-0000-0000061B0000}"/>
    <cellStyle name="Normal 2 2 10 2 15 4 2" xfId="6919" xr:uid="{00000000-0005-0000-0000-0000071B0000}"/>
    <cellStyle name="Normal 2 2 10 2 15 4 3" xfId="6920" xr:uid="{00000000-0005-0000-0000-0000081B0000}"/>
    <cellStyle name="Normal 2 2 10 2 15 4 4" xfId="6921" xr:uid="{00000000-0005-0000-0000-0000091B0000}"/>
    <cellStyle name="Normal 2 2 10 2 15 4 5" xfId="6922" xr:uid="{00000000-0005-0000-0000-00000A1B0000}"/>
    <cellStyle name="Normal 2 2 10 2 15 4 6" xfId="6923" xr:uid="{00000000-0005-0000-0000-00000B1B0000}"/>
    <cellStyle name="Normal 2 2 10 2 15 4 7" xfId="6924" xr:uid="{00000000-0005-0000-0000-00000C1B0000}"/>
    <cellStyle name="Normal 2 2 10 2 15 4 8" xfId="6925" xr:uid="{00000000-0005-0000-0000-00000D1B0000}"/>
    <cellStyle name="Normal 2 2 10 2 15 4 9" xfId="6926" xr:uid="{00000000-0005-0000-0000-00000E1B0000}"/>
    <cellStyle name="Normal 2 2 10 2 15 5" xfId="6927" xr:uid="{00000000-0005-0000-0000-00000F1B0000}"/>
    <cellStyle name="Normal 2 2 10 2 15 5 10" xfId="6928" xr:uid="{00000000-0005-0000-0000-0000101B0000}"/>
    <cellStyle name="Normal 2 2 10 2 15 5 2" xfId="6929" xr:uid="{00000000-0005-0000-0000-0000111B0000}"/>
    <cellStyle name="Normal 2 2 10 2 15 5 3" xfId="6930" xr:uid="{00000000-0005-0000-0000-0000121B0000}"/>
    <cellStyle name="Normal 2 2 10 2 15 5 4" xfId="6931" xr:uid="{00000000-0005-0000-0000-0000131B0000}"/>
    <cellStyle name="Normal 2 2 10 2 15 5 5" xfId="6932" xr:uid="{00000000-0005-0000-0000-0000141B0000}"/>
    <cellStyle name="Normal 2 2 10 2 15 5 6" xfId="6933" xr:uid="{00000000-0005-0000-0000-0000151B0000}"/>
    <cellStyle name="Normal 2 2 10 2 15 5 7" xfId="6934" xr:uid="{00000000-0005-0000-0000-0000161B0000}"/>
    <cellStyle name="Normal 2 2 10 2 15 5 8" xfId="6935" xr:uid="{00000000-0005-0000-0000-0000171B0000}"/>
    <cellStyle name="Normal 2 2 10 2 15 5 9" xfId="6936" xr:uid="{00000000-0005-0000-0000-0000181B0000}"/>
    <cellStyle name="Normal 2 2 10 2 15 6" xfId="6937" xr:uid="{00000000-0005-0000-0000-0000191B0000}"/>
    <cellStyle name="Normal 2 2 10 2 15 7" xfId="6938" xr:uid="{00000000-0005-0000-0000-00001A1B0000}"/>
    <cellStyle name="Normal 2 2 10 2 15 8" xfId="6939" xr:uid="{00000000-0005-0000-0000-00001B1B0000}"/>
    <cellStyle name="Normal 2 2 10 2 15 9" xfId="6940" xr:uid="{00000000-0005-0000-0000-00001C1B0000}"/>
    <cellStyle name="Normal 2 2 10 2 16" xfId="6941" xr:uid="{00000000-0005-0000-0000-00001D1B0000}"/>
    <cellStyle name="Normal 2 2 10 2 16 10" xfId="6942" xr:uid="{00000000-0005-0000-0000-00001E1B0000}"/>
    <cellStyle name="Normal 2 2 10 2 16 11" xfId="6943" xr:uid="{00000000-0005-0000-0000-00001F1B0000}"/>
    <cellStyle name="Normal 2 2 10 2 16 12" xfId="6944" xr:uid="{00000000-0005-0000-0000-0000201B0000}"/>
    <cellStyle name="Normal 2 2 10 2 16 13" xfId="6945" xr:uid="{00000000-0005-0000-0000-0000211B0000}"/>
    <cellStyle name="Normal 2 2 10 2 16 14" xfId="6946" xr:uid="{00000000-0005-0000-0000-0000221B0000}"/>
    <cellStyle name="Normal 2 2 10 2 16 2" xfId="6947" xr:uid="{00000000-0005-0000-0000-0000231B0000}"/>
    <cellStyle name="Normal 2 2 10 2 16 2 10" xfId="6948" xr:uid="{00000000-0005-0000-0000-0000241B0000}"/>
    <cellStyle name="Normal 2 2 10 2 16 2 2" xfId="6949" xr:uid="{00000000-0005-0000-0000-0000251B0000}"/>
    <cellStyle name="Normal 2 2 10 2 16 2 3" xfId="6950" xr:uid="{00000000-0005-0000-0000-0000261B0000}"/>
    <cellStyle name="Normal 2 2 10 2 16 2 4" xfId="6951" xr:uid="{00000000-0005-0000-0000-0000271B0000}"/>
    <cellStyle name="Normal 2 2 10 2 16 2 5" xfId="6952" xr:uid="{00000000-0005-0000-0000-0000281B0000}"/>
    <cellStyle name="Normal 2 2 10 2 16 2 6" xfId="6953" xr:uid="{00000000-0005-0000-0000-0000291B0000}"/>
    <cellStyle name="Normal 2 2 10 2 16 2 7" xfId="6954" xr:uid="{00000000-0005-0000-0000-00002A1B0000}"/>
    <cellStyle name="Normal 2 2 10 2 16 2 8" xfId="6955" xr:uid="{00000000-0005-0000-0000-00002B1B0000}"/>
    <cellStyle name="Normal 2 2 10 2 16 2 9" xfId="6956" xr:uid="{00000000-0005-0000-0000-00002C1B0000}"/>
    <cellStyle name="Normal 2 2 10 2 16 3" xfId="6957" xr:uid="{00000000-0005-0000-0000-00002D1B0000}"/>
    <cellStyle name="Normal 2 2 10 2 16 3 10" xfId="6958" xr:uid="{00000000-0005-0000-0000-00002E1B0000}"/>
    <cellStyle name="Normal 2 2 10 2 16 3 2" xfId="6959" xr:uid="{00000000-0005-0000-0000-00002F1B0000}"/>
    <cellStyle name="Normal 2 2 10 2 16 3 3" xfId="6960" xr:uid="{00000000-0005-0000-0000-0000301B0000}"/>
    <cellStyle name="Normal 2 2 10 2 16 3 4" xfId="6961" xr:uid="{00000000-0005-0000-0000-0000311B0000}"/>
    <cellStyle name="Normal 2 2 10 2 16 3 5" xfId="6962" xr:uid="{00000000-0005-0000-0000-0000321B0000}"/>
    <cellStyle name="Normal 2 2 10 2 16 3 6" xfId="6963" xr:uid="{00000000-0005-0000-0000-0000331B0000}"/>
    <cellStyle name="Normal 2 2 10 2 16 3 7" xfId="6964" xr:uid="{00000000-0005-0000-0000-0000341B0000}"/>
    <cellStyle name="Normal 2 2 10 2 16 3 8" xfId="6965" xr:uid="{00000000-0005-0000-0000-0000351B0000}"/>
    <cellStyle name="Normal 2 2 10 2 16 3 9" xfId="6966" xr:uid="{00000000-0005-0000-0000-0000361B0000}"/>
    <cellStyle name="Normal 2 2 10 2 16 4" xfId="6967" xr:uid="{00000000-0005-0000-0000-0000371B0000}"/>
    <cellStyle name="Normal 2 2 10 2 16 4 10" xfId="6968" xr:uid="{00000000-0005-0000-0000-0000381B0000}"/>
    <cellStyle name="Normal 2 2 10 2 16 4 2" xfId="6969" xr:uid="{00000000-0005-0000-0000-0000391B0000}"/>
    <cellStyle name="Normal 2 2 10 2 16 4 3" xfId="6970" xr:uid="{00000000-0005-0000-0000-00003A1B0000}"/>
    <cellStyle name="Normal 2 2 10 2 16 4 4" xfId="6971" xr:uid="{00000000-0005-0000-0000-00003B1B0000}"/>
    <cellStyle name="Normal 2 2 10 2 16 4 5" xfId="6972" xr:uid="{00000000-0005-0000-0000-00003C1B0000}"/>
    <cellStyle name="Normal 2 2 10 2 16 4 6" xfId="6973" xr:uid="{00000000-0005-0000-0000-00003D1B0000}"/>
    <cellStyle name="Normal 2 2 10 2 16 4 7" xfId="6974" xr:uid="{00000000-0005-0000-0000-00003E1B0000}"/>
    <cellStyle name="Normal 2 2 10 2 16 4 8" xfId="6975" xr:uid="{00000000-0005-0000-0000-00003F1B0000}"/>
    <cellStyle name="Normal 2 2 10 2 16 4 9" xfId="6976" xr:uid="{00000000-0005-0000-0000-0000401B0000}"/>
    <cellStyle name="Normal 2 2 10 2 16 5" xfId="6977" xr:uid="{00000000-0005-0000-0000-0000411B0000}"/>
    <cellStyle name="Normal 2 2 10 2 16 5 10" xfId="6978" xr:uid="{00000000-0005-0000-0000-0000421B0000}"/>
    <cellStyle name="Normal 2 2 10 2 16 5 2" xfId="6979" xr:uid="{00000000-0005-0000-0000-0000431B0000}"/>
    <cellStyle name="Normal 2 2 10 2 16 5 3" xfId="6980" xr:uid="{00000000-0005-0000-0000-0000441B0000}"/>
    <cellStyle name="Normal 2 2 10 2 16 5 4" xfId="6981" xr:uid="{00000000-0005-0000-0000-0000451B0000}"/>
    <cellStyle name="Normal 2 2 10 2 16 5 5" xfId="6982" xr:uid="{00000000-0005-0000-0000-0000461B0000}"/>
    <cellStyle name="Normal 2 2 10 2 16 5 6" xfId="6983" xr:uid="{00000000-0005-0000-0000-0000471B0000}"/>
    <cellStyle name="Normal 2 2 10 2 16 5 7" xfId="6984" xr:uid="{00000000-0005-0000-0000-0000481B0000}"/>
    <cellStyle name="Normal 2 2 10 2 16 5 8" xfId="6985" xr:uid="{00000000-0005-0000-0000-0000491B0000}"/>
    <cellStyle name="Normal 2 2 10 2 16 5 9" xfId="6986" xr:uid="{00000000-0005-0000-0000-00004A1B0000}"/>
    <cellStyle name="Normal 2 2 10 2 16 6" xfId="6987" xr:uid="{00000000-0005-0000-0000-00004B1B0000}"/>
    <cellStyle name="Normal 2 2 10 2 16 7" xfId="6988" xr:uid="{00000000-0005-0000-0000-00004C1B0000}"/>
    <cellStyle name="Normal 2 2 10 2 16 8" xfId="6989" xr:uid="{00000000-0005-0000-0000-00004D1B0000}"/>
    <cellStyle name="Normal 2 2 10 2 16 9" xfId="6990" xr:uid="{00000000-0005-0000-0000-00004E1B0000}"/>
    <cellStyle name="Normal 2 2 10 2 17" xfId="6991" xr:uid="{00000000-0005-0000-0000-00004F1B0000}"/>
    <cellStyle name="Normal 2 2 10 2 17 10" xfId="6992" xr:uid="{00000000-0005-0000-0000-0000501B0000}"/>
    <cellStyle name="Normal 2 2 10 2 17 11" xfId="6993" xr:uid="{00000000-0005-0000-0000-0000511B0000}"/>
    <cellStyle name="Normal 2 2 10 2 17 12" xfId="6994" xr:uid="{00000000-0005-0000-0000-0000521B0000}"/>
    <cellStyle name="Normal 2 2 10 2 17 13" xfId="6995" xr:uid="{00000000-0005-0000-0000-0000531B0000}"/>
    <cellStyle name="Normal 2 2 10 2 17 14" xfId="6996" xr:uid="{00000000-0005-0000-0000-0000541B0000}"/>
    <cellStyle name="Normal 2 2 10 2 17 2" xfId="6997" xr:uid="{00000000-0005-0000-0000-0000551B0000}"/>
    <cellStyle name="Normal 2 2 10 2 17 2 10" xfId="6998" xr:uid="{00000000-0005-0000-0000-0000561B0000}"/>
    <cellStyle name="Normal 2 2 10 2 17 2 2" xfId="6999" xr:uid="{00000000-0005-0000-0000-0000571B0000}"/>
    <cellStyle name="Normal 2 2 10 2 17 2 3" xfId="7000" xr:uid="{00000000-0005-0000-0000-0000581B0000}"/>
    <cellStyle name="Normal 2 2 10 2 17 2 4" xfId="7001" xr:uid="{00000000-0005-0000-0000-0000591B0000}"/>
    <cellStyle name="Normal 2 2 10 2 17 2 5" xfId="7002" xr:uid="{00000000-0005-0000-0000-00005A1B0000}"/>
    <cellStyle name="Normal 2 2 10 2 17 2 6" xfId="7003" xr:uid="{00000000-0005-0000-0000-00005B1B0000}"/>
    <cellStyle name="Normal 2 2 10 2 17 2 7" xfId="7004" xr:uid="{00000000-0005-0000-0000-00005C1B0000}"/>
    <cellStyle name="Normal 2 2 10 2 17 2 8" xfId="7005" xr:uid="{00000000-0005-0000-0000-00005D1B0000}"/>
    <cellStyle name="Normal 2 2 10 2 17 2 9" xfId="7006" xr:uid="{00000000-0005-0000-0000-00005E1B0000}"/>
    <cellStyle name="Normal 2 2 10 2 17 3" xfId="7007" xr:uid="{00000000-0005-0000-0000-00005F1B0000}"/>
    <cellStyle name="Normal 2 2 10 2 17 3 10" xfId="7008" xr:uid="{00000000-0005-0000-0000-0000601B0000}"/>
    <cellStyle name="Normal 2 2 10 2 17 3 2" xfId="7009" xr:uid="{00000000-0005-0000-0000-0000611B0000}"/>
    <cellStyle name="Normal 2 2 10 2 17 3 3" xfId="7010" xr:uid="{00000000-0005-0000-0000-0000621B0000}"/>
    <cellStyle name="Normal 2 2 10 2 17 3 4" xfId="7011" xr:uid="{00000000-0005-0000-0000-0000631B0000}"/>
    <cellStyle name="Normal 2 2 10 2 17 3 5" xfId="7012" xr:uid="{00000000-0005-0000-0000-0000641B0000}"/>
    <cellStyle name="Normal 2 2 10 2 17 3 6" xfId="7013" xr:uid="{00000000-0005-0000-0000-0000651B0000}"/>
    <cellStyle name="Normal 2 2 10 2 17 3 7" xfId="7014" xr:uid="{00000000-0005-0000-0000-0000661B0000}"/>
    <cellStyle name="Normal 2 2 10 2 17 3 8" xfId="7015" xr:uid="{00000000-0005-0000-0000-0000671B0000}"/>
    <cellStyle name="Normal 2 2 10 2 17 3 9" xfId="7016" xr:uid="{00000000-0005-0000-0000-0000681B0000}"/>
    <cellStyle name="Normal 2 2 10 2 17 4" xfId="7017" xr:uid="{00000000-0005-0000-0000-0000691B0000}"/>
    <cellStyle name="Normal 2 2 10 2 17 4 10" xfId="7018" xr:uid="{00000000-0005-0000-0000-00006A1B0000}"/>
    <cellStyle name="Normal 2 2 10 2 17 4 2" xfId="7019" xr:uid="{00000000-0005-0000-0000-00006B1B0000}"/>
    <cellStyle name="Normal 2 2 10 2 17 4 3" xfId="7020" xr:uid="{00000000-0005-0000-0000-00006C1B0000}"/>
    <cellStyle name="Normal 2 2 10 2 17 4 4" xfId="7021" xr:uid="{00000000-0005-0000-0000-00006D1B0000}"/>
    <cellStyle name="Normal 2 2 10 2 17 4 5" xfId="7022" xr:uid="{00000000-0005-0000-0000-00006E1B0000}"/>
    <cellStyle name="Normal 2 2 10 2 17 4 6" xfId="7023" xr:uid="{00000000-0005-0000-0000-00006F1B0000}"/>
    <cellStyle name="Normal 2 2 10 2 17 4 7" xfId="7024" xr:uid="{00000000-0005-0000-0000-0000701B0000}"/>
    <cellStyle name="Normal 2 2 10 2 17 4 8" xfId="7025" xr:uid="{00000000-0005-0000-0000-0000711B0000}"/>
    <cellStyle name="Normal 2 2 10 2 17 4 9" xfId="7026" xr:uid="{00000000-0005-0000-0000-0000721B0000}"/>
    <cellStyle name="Normal 2 2 10 2 17 5" xfId="7027" xr:uid="{00000000-0005-0000-0000-0000731B0000}"/>
    <cellStyle name="Normal 2 2 10 2 17 5 10" xfId="7028" xr:uid="{00000000-0005-0000-0000-0000741B0000}"/>
    <cellStyle name="Normal 2 2 10 2 17 5 2" xfId="7029" xr:uid="{00000000-0005-0000-0000-0000751B0000}"/>
    <cellStyle name="Normal 2 2 10 2 17 5 3" xfId="7030" xr:uid="{00000000-0005-0000-0000-0000761B0000}"/>
    <cellStyle name="Normal 2 2 10 2 17 5 4" xfId="7031" xr:uid="{00000000-0005-0000-0000-0000771B0000}"/>
    <cellStyle name="Normal 2 2 10 2 17 5 5" xfId="7032" xr:uid="{00000000-0005-0000-0000-0000781B0000}"/>
    <cellStyle name="Normal 2 2 10 2 17 5 6" xfId="7033" xr:uid="{00000000-0005-0000-0000-0000791B0000}"/>
    <cellStyle name="Normal 2 2 10 2 17 5 7" xfId="7034" xr:uid="{00000000-0005-0000-0000-00007A1B0000}"/>
    <cellStyle name="Normal 2 2 10 2 17 5 8" xfId="7035" xr:uid="{00000000-0005-0000-0000-00007B1B0000}"/>
    <cellStyle name="Normal 2 2 10 2 17 5 9" xfId="7036" xr:uid="{00000000-0005-0000-0000-00007C1B0000}"/>
    <cellStyle name="Normal 2 2 10 2 17 6" xfId="7037" xr:uid="{00000000-0005-0000-0000-00007D1B0000}"/>
    <cellStyle name="Normal 2 2 10 2 17 7" xfId="7038" xr:uid="{00000000-0005-0000-0000-00007E1B0000}"/>
    <cellStyle name="Normal 2 2 10 2 17 8" xfId="7039" xr:uid="{00000000-0005-0000-0000-00007F1B0000}"/>
    <cellStyle name="Normal 2 2 10 2 17 9" xfId="7040" xr:uid="{00000000-0005-0000-0000-0000801B0000}"/>
    <cellStyle name="Normal 2 2 10 2 18" xfId="7041" xr:uid="{00000000-0005-0000-0000-0000811B0000}"/>
    <cellStyle name="Normal 2 2 10 2 18 10" xfId="7042" xr:uid="{00000000-0005-0000-0000-0000821B0000}"/>
    <cellStyle name="Normal 2 2 10 2 18 11" xfId="7043" xr:uid="{00000000-0005-0000-0000-0000831B0000}"/>
    <cellStyle name="Normal 2 2 10 2 18 12" xfId="7044" xr:uid="{00000000-0005-0000-0000-0000841B0000}"/>
    <cellStyle name="Normal 2 2 10 2 18 13" xfId="7045" xr:uid="{00000000-0005-0000-0000-0000851B0000}"/>
    <cellStyle name="Normal 2 2 10 2 18 14" xfId="7046" xr:uid="{00000000-0005-0000-0000-0000861B0000}"/>
    <cellStyle name="Normal 2 2 10 2 18 2" xfId="7047" xr:uid="{00000000-0005-0000-0000-0000871B0000}"/>
    <cellStyle name="Normal 2 2 10 2 18 2 10" xfId="7048" xr:uid="{00000000-0005-0000-0000-0000881B0000}"/>
    <cellStyle name="Normal 2 2 10 2 18 2 2" xfId="7049" xr:uid="{00000000-0005-0000-0000-0000891B0000}"/>
    <cellStyle name="Normal 2 2 10 2 18 2 3" xfId="7050" xr:uid="{00000000-0005-0000-0000-00008A1B0000}"/>
    <cellStyle name="Normal 2 2 10 2 18 2 4" xfId="7051" xr:uid="{00000000-0005-0000-0000-00008B1B0000}"/>
    <cellStyle name="Normal 2 2 10 2 18 2 5" xfId="7052" xr:uid="{00000000-0005-0000-0000-00008C1B0000}"/>
    <cellStyle name="Normal 2 2 10 2 18 2 6" xfId="7053" xr:uid="{00000000-0005-0000-0000-00008D1B0000}"/>
    <cellStyle name="Normal 2 2 10 2 18 2 7" xfId="7054" xr:uid="{00000000-0005-0000-0000-00008E1B0000}"/>
    <cellStyle name="Normal 2 2 10 2 18 2 8" xfId="7055" xr:uid="{00000000-0005-0000-0000-00008F1B0000}"/>
    <cellStyle name="Normal 2 2 10 2 18 2 9" xfId="7056" xr:uid="{00000000-0005-0000-0000-0000901B0000}"/>
    <cellStyle name="Normal 2 2 10 2 18 3" xfId="7057" xr:uid="{00000000-0005-0000-0000-0000911B0000}"/>
    <cellStyle name="Normal 2 2 10 2 18 3 10" xfId="7058" xr:uid="{00000000-0005-0000-0000-0000921B0000}"/>
    <cellStyle name="Normal 2 2 10 2 18 3 2" xfId="7059" xr:uid="{00000000-0005-0000-0000-0000931B0000}"/>
    <cellStyle name="Normal 2 2 10 2 18 3 3" xfId="7060" xr:uid="{00000000-0005-0000-0000-0000941B0000}"/>
    <cellStyle name="Normal 2 2 10 2 18 3 4" xfId="7061" xr:uid="{00000000-0005-0000-0000-0000951B0000}"/>
    <cellStyle name="Normal 2 2 10 2 18 3 5" xfId="7062" xr:uid="{00000000-0005-0000-0000-0000961B0000}"/>
    <cellStyle name="Normal 2 2 10 2 18 3 6" xfId="7063" xr:uid="{00000000-0005-0000-0000-0000971B0000}"/>
    <cellStyle name="Normal 2 2 10 2 18 3 7" xfId="7064" xr:uid="{00000000-0005-0000-0000-0000981B0000}"/>
    <cellStyle name="Normal 2 2 10 2 18 3 8" xfId="7065" xr:uid="{00000000-0005-0000-0000-0000991B0000}"/>
    <cellStyle name="Normal 2 2 10 2 18 3 9" xfId="7066" xr:uid="{00000000-0005-0000-0000-00009A1B0000}"/>
    <cellStyle name="Normal 2 2 10 2 18 4" xfId="7067" xr:uid="{00000000-0005-0000-0000-00009B1B0000}"/>
    <cellStyle name="Normal 2 2 10 2 18 4 10" xfId="7068" xr:uid="{00000000-0005-0000-0000-00009C1B0000}"/>
    <cellStyle name="Normal 2 2 10 2 18 4 2" xfId="7069" xr:uid="{00000000-0005-0000-0000-00009D1B0000}"/>
    <cellStyle name="Normal 2 2 10 2 18 4 3" xfId="7070" xr:uid="{00000000-0005-0000-0000-00009E1B0000}"/>
    <cellStyle name="Normal 2 2 10 2 18 4 4" xfId="7071" xr:uid="{00000000-0005-0000-0000-00009F1B0000}"/>
    <cellStyle name="Normal 2 2 10 2 18 4 5" xfId="7072" xr:uid="{00000000-0005-0000-0000-0000A01B0000}"/>
    <cellStyle name="Normal 2 2 10 2 18 4 6" xfId="7073" xr:uid="{00000000-0005-0000-0000-0000A11B0000}"/>
    <cellStyle name="Normal 2 2 10 2 18 4 7" xfId="7074" xr:uid="{00000000-0005-0000-0000-0000A21B0000}"/>
    <cellStyle name="Normal 2 2 10 2 18 4 8" xfId="7075" xr:uid="{00000000-0005-0000-0000-0000A31B0000}"/>
    <cellStyle name="Normal 2 2 10 2 18 4 9" xfId="7076" xr:uid="{00000000-0005-0000-0000-0000A41B0000}"/>
    <cellStyle name="Normal 2 2 10 2 18 5" xfId="7077" xr:uid="{00000000-0005-0000-0000-0000A51B0000}"/>
    <cellStyle name="Normal 2 2 10 2 18 5 10" xfId="7078" xr:uid="{00000000-0005-0000-0000-0000A61B0000}"/>
    <cellStyle name="Normal 2 2 10 2 18 5 2" xfId="7079" xr:uid="{00000000-0005-0000-0000-0000A71B0000}"/>
    <cellStyle name="Normal 2 2 10 2 18 5 3" xfId="7080" xr:uid="{00000000-0005-0000-0000-0000A81B0000}"/>
    <cellStyle name="Normal 2 2 10 2 18 5 4" xfId="7081" xr:uid="{00000000-0005-0000-0000-0000A91B0000}"/>
    <cellStyle name="Normal 2 2 10 2 18 5 5" xfId="7082" xr:uid="{00000000-0005-0000-0000-0000AA1B0000}"/>
    <cellStyle name="Normal 2 2 10 2 18 5 6" xfId="7083" xr:uid="{00000000-0005-0000-0000-0000AB1B0000}"/>
    <cellStyle name="Normal 2 2 10 2 18 5 7" xfId="7084" xr:uid="{00000000-0005-0000-0000-0000AC1B0000}"/>
    <cellStyle name="Normal 2 2 10 2 18 5 8" xfId="7085" xr:uid="{00000000-0005-0000-0000-0000AD1B0000}"/>
    <cellStyle name="Normal 2 2 10 2 18 5 9" xfId="7086" xr:uid="{00000000-0005-0000-0000-0000AE1B0000}"/>
    <cellStyle name="Normal 2 2 10 2 18 6" xfId="7087" xr:uid="{00000000-0005-0000-0000-0000AF1B0000}"/>
    <cellStyle name="Normal 2 2 10 2 18 7" xfId="7088" xr:uid="{00000000-0005-0000-0000-0000B01B0000}"/>
    <cellStyle name="Normal 2 2 10 2 18 8" xfId="7089" xr:uid="{00000000-0005-0000-0000-0000B11B0000}"/>
    <cellStyle name="Normal 2 2 10 2 18 9" xfId="7090" xr:uid="{00000000-0005-0000-0000-0000B21B0000}"/>
    <cellStyle name="Normal 2 2 10 2 19" xfId="7091" xr:uid="{00000000-0005-0000-0000-0000B31B0000}"/>
    <cellStyle name="Normal 2 2 10 2 19 10" xfId="7092" xr:uid="{00000000-0005-0000-0000-0000B41B0000}"/>
    <cellStyle name="Normal 2 2 10 2 19 11" xfId="7093" xr:uid="{00000000-0005-0000-0000-0000B51B0000}"/>
    <cellStyle name="Normal 2 2 10 2 19 12" xfId="7094" xr:uid="{00000000-0005-0000-0000-0000B61B0000}"/>
    <cellStyle name="Normal 2 2 10 2 19 13" xfId="7095" xr:uid="{00000000-0005-0000-0000-0000B71B0000}"/>
    <cellStyle name="Normal 2 2 10 2 19 14" xfId="7096" xr:uid="{00000000-0005-0000-0000-0000B81B0000}"/>
    <cellStyle name="Normal 2 2 10 2 19 2" xfId="7097" xr:uid="{00000000-0005-0000-0000-0000B91B0000}"/>
    <cellStyle name="Normal 2 2 10 2 19 2 10" xfId="7098" xr:uid="{00000000-0005-0000-0000-0000BA1B0000}"/>
    <cellStyle name="Normal 2 2 10 2 19 2 2" xfId="7099" xr:uid="{00000000-0005-0000-0000-0000BB1B0000}"/>
    <cellStyle name="Normal 2 2 10 2 19 2 3" xfId="7100" xr:uid="{00000000-0005-0000-0000-0000BC1B0000}"/>
    <cellStyle name="Normal 2 2 10 2 19 2 4" xfId="7101" xr:uid="{00000000-0005-0000-0000-0000BD1B0000}"/>
    <cellStyle name="Normal 2 2 10 2 19 2 5" xfId="7102" xr:uid="{00000000-0005-0000-0000-0000BE1B0000}"/>
    <cellStyle name="Normal 2 2 10 2 19 2 6" xfId="7103" xr:uid="{00000000-0005-0000-0000-0000BF1B0000}"/>
    <cellStyle name="Normal 2 2 10 2 19 2 7" xfId="7104" xr:uid="{00000000-0005-0000-0000-0000C01B0000}"/>
    <cellStyle name="Normal 2 2 10 2 19 2 8" xfId="7105" xr:uid="{00000000-0005-0000-0000-0000C11B0000}"/>
    <cellStyle name="Normal 2 2 10 2 19 2 9" xfId="7106" xr:uid="{00000000-0005-0000-0000-0000C21B0000}"/>
    <cellStyle name="Normal 2 2 10 2 19 3" xfId="7107" xr:uid="{00000000-0005-0000-0000-0000C31B0000}"/>
    <cellStyle name="Normal 2 2 10 2 19 3 10" xfId="7108" xr:uid="{00000000-0005-0000-0000-0000C41B0000}"/>
    <cellStyle name="Normal 2 2 10 2 19 3 2" xfId="7109" xr:uid="{00000000-0005-0000-0000-0000C51B0000}"/>
    <cellStyle name="Normal 2 2 10 2 19 3 3" xfId="7110" xr:uid="{00000000-0005-0000-0000-0000C61B0000}"/>
    <cellStyle name="Normal 2 2 10 2 19 3 4" xfId="7111" xr:uid="{00000000-0005-0000-0000-0000C71B0000}"/>
    <cellStyle name="Normal 2 2 10 2 19 3 5" xfId="7112" xr:uid="{00000000-0005-0000-0000-0000C81B0000}"/>
    <cellStyle name="Normal 2 2 10 2 19 3 6" xfId="7113" xr:uid="{00000000-0005-0000-0000-0000C91B0000}"/>
    <cellStyle name="Normal 2 2 10 2 19 3 7" xfId="7114" xr:uid="{00000000-0005-0000-0000-0000CA1B0000}"/>
    <cellStyle name="Normal 2 2 10 2 19 3 8" xfId="7115" xr:uid="{00000000-0005-0000-0000-0000CB1B0000}"/>
    <cellStyle name="Normal 2 2 10 2 19 3 9" xfId="7116" xr:uid="{00000000-0005-0000-0000-0000CC1B0000}"/>
    <cellStyle name="Normal 2 2 10 2 19 4" xfId="7117" xr:uid="{00000000-0005-0000-0000-0000CD1B0000}"/>
    <cellStyle name="Normal 2 2 10 2 19 4 10" xfId="7118" xr:uid="{00000000-0005-0000-0000-0000CE1B0000}"/>
    <cellStyle name="Normal 2 2 10 2 19 4 2" xfId="7119" xr:uid="{00000000-0005-0000-0000-0000CF1B0000}"/>
    <cellStyle name="Normal 2 2 10 2 19 4 3" xfId="7120" xr:uid="{00000000-0005-0000-0000-0000D01B0000}"/>
    <cellStyle name="Normal 2 2 10 2 19 4 4" xfId="7121" xr:uid="{00000000-0005-0000-0000-0000D11B0000}"/>
    <cellStyle name="Normal 2 2 10 2 19 4 5" xfId="7122" xr:uid="{00000000-0005-0000-0000-0000D21B0000}"/>
    <cellStyle name="Normal 2 2 10 2 19 4 6" xfId="7123" xr:uid="{00000000-0005-0000-0000-0000D31B0000}"/>
    <cellStyle name="Normal 2 2 10 2 19 4 7" xfId="7124" xr:uid="{00000000-0005-0000-0000-0000D41B0000}"/>
    <cellStyle name="Normal 2 2 10 2 19 4 8" xfId="7125" xr:uid="{00000000-0005-0000-0000-0000D51B0000}"/>
    <cellStyle name="Normal 2 2 10 2 19 4 9" xfId="7126" xr:uid="{00000000-0005-0000-0000-0000D61B0000}"/>
    <cellStyle name="Normal 2 2 10 2 19 5" xfId="7127" xr:uid="{00000000-0005-0000-0000-0000D71B0000}"/>
    <cellStyle name="Normal 2 2 10 2 19 5 10" xfId="7128" xr:uid="{00000000-0005-0000-0000-0000D81B0000}"/>
    <cellStyle name="Normal 2 2 10 2 19 5 2" xfId="7129" xr:uid="{00000000-0005-0000-0000-0000D91B0000}"/>
    <cellStyle name="Normal 2 2 10 2 19 5 3" xfId="7130" xr:uid="{00000000-0005-0000-0000-0000DA1B0000}"/>
    <cellStyle name="Normal 2 2 10 2 19 5 4" xfId="7131" xr:uid="{00000000-0005-0000-0000-0000DB1B0000}"/>
    <cellStyle name="Normal 2 2 10 2 19 5 5" xfId="7132" xr:uid="{00000000-0005-0000-0000-0000DC1B0000}"/>
    <cellStyle name="Normal 2 2 10 2 19 5 6" xfId="7133" xr:uid="{00000000-0005-0000-0000-0000DD1B0000}"/>
    <cellStyle name="Normal 2 2 10 2 19 5 7" xfId="7134" xr:uid="{00000000-0005-0000-0000-0000DE1B0000}"/>
    <cellStyle name="Normal 2 2 10 2 19 5 8" xfId="7135" xr:uid="{00000000-0005-0000-0000-0000DF1B0000}"/>
    <cellStyle name="Normal 2 2 10 2 19 5 9" xfId="7136" xr:uid="{00000000-0005-0000-0000-0000E01B0000}"/>
    <cellStyle name="Normal 2 2 10 2 19 6" xfId="7137" xr:uid="{00000000-0005-0000-0000-0000E11B0000}"/>
    <cellStyle name="Normal 2 2 10 2 19 7" xfId="7138" xr:uid="{00000000-0005-0000-0000-0000E21B0000}"/>
    <cellStyle name="Normal 2 2 10 2 19 8" xfId="7139" xr:uid="{00000000-0005-0000-0000-0000E31B0000}"/>
    <cellStyle name="Normal 2 2 10 2 19 9" xfId="7140" xr:uid="{00000000-0005-0000-0000-0000E41B0000}"/>
    <cellStyle name="Normal 2 2 10 2 2" xfId="7141" xr:uid="{00000000-0005-0000-0000-0000E51B0000}"/>
    <cellStyle name="Normal 2 2 10 2 2 10" xfId="7142" xr:uid="{00000000-0005-0000-0000-0000E61B0000}"/>
    <cellStyle name="Normal 2 2 10 2 2 11" xfId="7143" xr:uid="{00000000-0005-0000-0000-0000E71B0000}"/>
    <cellStyle name="Normal 2 2 10 2 2 12" xfId="7144" xr:uid="{00000000-0005-0000-0000-0000E81B0000}"/>
    <cellStyle name="Normal 2 2 10 2 2 13" xfId="7145" xr:uid="{00000000-0005-0000-0000-0000E91B0000}"/>
    <cellStyle name="Normal 2 2 10 2 2 14" xfId="7146" xr:uid="{00000000-0005-0000-0000-0000EA1B0000}"/>
    <cellStyle name="Normal 2 2 10 2 2 2" xfId="7147" xr:uid="{00000000-0005-0000-0000-0000EB1B0000}"/>
    <cellStyle name="Normal 2 2 10 2 2 2 10" xfId="7148" xr:uid="{00000000-0005-0000-0000-0000EC1B0000}"/>
    <cellStyle name="Normal 2 2 10 2 2 2 2" xfId="7149" xr:uid="{00000000-0005-0000-0000-0000ED1B0000}"/>
    <cellStyle name="Normal 2 2 10 2 2 2 3" xfId="7150" xr:uid="{00000000-0005-0000-0000-0000EE1B0000}"/>
    <cellStyle name="Normal 2 2 10 2 2 2 4" xfId="7151" xr:uid="{00000000-0005-0000-0000-0000EF1B0000}"/>
    <cellStyle name="Normal 2 2 10 2 2 2 5" xfId="7152" xr:uid="{00000000-0005-0000-0000-0000F01B0000}"/>
    <cellStyle name="Normal 2 2 10 2 2 2 6" xfId="7153" xr:uid="{00000000-0005-0000-0000-0000F11B0000}"/>
    <cellStyle name="Normal 2 2 10 2 2 2 7" xfId="7154" xr:uid="{00000000-0005-0000-0000-0000F21B0000}"/>
    <cellStyle name="Normal 2 2 10 2 2 2 8" xfId="7155" xr:uid="{00000000-0005-0000-0000-0000F31B0000}"/>
    <cellStyle name="Normal 2 2 10 2 2 2 9" xfId="7156" xr:uid="{00000000-0005-0000-0000-0000F41B0000}"/>
    <cellStyle name="Normal 2 2 10 2 2 3" xfId="7157" xr:uid="{00000000-0005-0000-0000-0000F51B0000}"/>
    <cellStyle name="Normal 2 2 10 2 2 3 10" xfId="7158" xr:uid="{00000000-0005-0000-0000-0000F61B0000}"/>
    <cellStyle name="Normal 2 2 10 2 2 3 2" xfId="7159" xr:uid="{00000000-0005-0000-0000-0000F71B0000}"/>
    <cellStyle name="Normal 2 2 10 2 2 3 3" xfId="7160" xr:uid="{00000000-0005-0000-0000-0000F81B0000}"/>
    <cellStyle name="Normal 2 2 10 2 2 3 4" xfId="7161" xr:uid="{00000000-0005-0000-0000-0000F91B0000}"/>
    <cellStyle name="Normal 2 2 10 2 2 3 5" xfId="7162" xr:uid="{00000000-0005-0000-0000-0000FA1B0000}"/>
    <cellStyle name="Normal 2 2 10 2 2 3 6" xfId="7163" xr:uid="{00000000-0005-0000-0000-0000FB1B0000}"/>
    <cellStyle name="Normal 2 2 10 2 2 3 7" xfId="7164" xr:uid="{00000000-0005-0000-0000-0000FC1B0000}"/>
    <cellStyle name="Normal 2 2 10 2 2 3 8" xfId="7165" xr:uid="{00000000-0005-0000-0000-0000FD1B0000}"/>
    <cellStyle name="Normal 2 2 10 2 2 3 9" xfId="7166" xr:uid="{00000000-0005-0000-0000-0000FE1B0000}"/>
    <cellStyle name="Normal 2 2 10 2 2 4" xfId="7167" xr:uid="{00000000-0005-0000-0000-0000FF1B0000}"/>
    <cellStyle name="Normal 2 2 10 2 2 4 10" xfId="7168" xr:uid="{00000000-0005-0000-0000-0000001C0000}"/>
    <cellStyle name="Normal 2 2 10 2 2 4 2" xfId="7169" xr:uid="{00000000-0005-0000-0000-0000011C0000}"/>
    <cellStyle name="Normal 2 2 10 2 2 4 3" xfId="7170" xr:uid="{00000000-0005-0000-0000-0000021C0000}"/>
    <cellStyle name="Normal 2 2 10 2 2 4 4" xfId="7171" xr:uid="{00000000-0005-0000-0000-0000031C0000}"/>
    <cellStyle name="Normal 2 2 10 2 2 4 5" xfId="7172" xr:uid="{00000000-0005-0000-0000-0000041C0000}"/>
    <cellStyle name="Normal 2 2 10 2 2 4 6" xfId="7173" xr:uid="{00000000-0005-0000-0000-0000051C0000}"/>
    <cellStyle name="Normal 2 2 10 2 2 4 7" xfId="7174" xr:uid="{00000000-0005-0000-0000-0000061C0000}"/>
    <cellStyle name="Normal 2 2 10 2 2 4 8" xfId="7175" xr:uid="{00000000-0005-0000-0000-0000071C0000}"/>
    <cellStyle name="Normal 2 2 10 2 2 4 9" xfId="7176" xr:uid="{00000000-0005-0000-0000-0000081C0000}"/>
    <cellStyle name="Normal 2 2 10 2 2 5" xfId="7177" xr:uid="{00000000-0005-0000-0000-0000091C0000}"/>
    <cellStyle name="Normal 2 2 10 2 2 5 10" xfId="7178" xr:uid="{00000000-0005-0000-0000-00000A1C0000}"/>
    <cellStyle name="Normal 2 2 10 2 2 5 2" xfId="7179" xr:uid="{00000000-0005-0000-0000-00000B1C0000}"/>
    <cellStyle name="Normal 2 2 10 2 2 5 3" xfId="7180" xr:uid="{00000000-0005-0000-0000-00000C1C0000}"/>
    <cellStyle name="Normal 2 2 10 2 2 5 4" xfId="7181" xr:uid="{00000000-0005-0000-0000-00000D1C0000}"/>
    <cellStyle name="Normal 2 2 10 2 2 5 5" xfId="7182" xr:uid="{00000000-0005-0000-0000-00000E1C0000}"/>
    <cellStyle name="Normal 2 2 10 2 2 5 6" xfId="7183" xr:uid="{00000000-0005-0000-0000-00000F1C0000}"/>
    <cellStyle name="Normal 2 2 10 2 2 5 7" xfId="7184" xr:uid="{00000000-0005-0000-0000-0000101C0000}"/>
    <cellStyle name="Normal 2 2 10 2 2 5 8" xfId="7185" xr:uid="{00000000-0005-0000-0000-0000111C0000}"/>
    <cellStyle name="Normal 2 2 10 2 2 5 9" xfId="7186" xr:uid="{00000000-0005-0000-0000-0000121C0000}"/>
    <cellStyle name="Normal 2 2 10 2 2 6" xfId="7187" xr:uid="{00000000-0005-0000-0000-0000131C0000}"/>
    <cellStyle name="Normal 2 2 10 2 2 7" xfId="7188" xr:uid="{00000000-0005-0000-0000-0000141C0000}"/>
    <cellStyle name="Normal 2 2 10 2 2 8" xfId="7189" xr:uid="{00000000-0005-0000-0000-0000151C0000}"/>
    <cellStyle name="Normal 2 2 10 2 2 9" xfId="7190" xr:uid="{00000000-0005-0000-0000-0000161C0000}"/>
    <cellStyle name="Normal 2 2 10 2 20" xfId="7191" xr:uid="{00000000-0005-0000-0000-0000171C0000}"/>
    <cellStyle name="Normal 2 2 10 2 20 10" xfId="7192" xr:uid="{00000000-0005-0000-0000-0000181C0000}"/>
    <cellStyle name="Normal 2 2 10 2 20 11" xfId="7193" xr:uid="{00000000-0005-0000-0000-0000191C0000}"/>
    <cellStyle name="Normal 2 2 10 2 20 12" xfId="7194" xr:uid="{00000000-0005-0000-0000-00001A1C0000}"/>
    <cellStyle name="Normal 2 2 10 2 20 13" xfId="7195" xr:uid="{00000000-0005-0000-0000-00001B1C0000}"/>
    <cellStyle name="Normal 2 2 10 2 20 14" xfId="7196" xr:uid="{00000000-0005-0000-0000-00001C1C0000}"/>
    <cellStyle name="Normal 2 2 10 2 20 2" xfId="7197" xr:uid="{00000000-0005-0000-0000-00001D1C0000}"/>
    <cellStyle name="Normal 2 2 10 2 20 2 10" xfId="7198" xr:uid="{00000000-0005-0000-0000-00001E1C0000}"/>
    <cellStyle name="Normal 2 2 10 2 20 2 2" xfId="7199" xr:uid="{00000000-0005-0000-0000-00001F1C0000}"/>
    <cellStyle name="Normal 2 2 10 2 20 2 3" xfId="7200" xr:uid="{00000000-0005-0000-0000-0000201C0000}"/>
    <cellStyle name="Normal 2 2 10 2 20 2 4" xfId="7201" xr:uid="{00000000-0005-0000-0000-0000211C0000}"/>
    <cellStyle name="Normal 2 2 10 2 20 2 5" xfId="7202" xr:uid="{00000000-0005-0000-0000-0000221C0000}"/>
    <cellStyle name="Normal 2 2 10 2 20 2 6" xfId="7203" xr:uid="{00000000-0005-0000-0000-0000231C0000}"/>
    <cellStyle name="Normal 2 2 10 2 20 2 7" xfId="7204" xr:uid="{00000000-0005-0000-0000-0000241C0000}"/>
    <cellStyle name="Normal 2 2 10 2 20 2 8" xfId="7205" xr:uid="{00000000-0005-0000-0000-0000251C0000}"/>
    <cellStyle name="Normal 2 2 10 2 20 2 9" xfId="7206" xr:uid="{00000000-0005-0000-0000-0000261C0000}"/>
    <cellStyle name="Normal 2 2 10 2 20 3" xfId="7207" xr:uid="{00000000-0005-0000-0000-0000271C0000}"/>
    <cellStyle name="Normal 2 2 10 2 20 3 10" xfId="7208" xr:uid="{00000000-0005-0000-0000-0000281C0000}"/>
    <cellStyle name="Normal 2 2 10 2 20 3 2" xfId="7209" xr:uid="{00000000-0005-0000-0000-0000291C0000}"/>
    <cellStyle name="Normal 2 2 10 2 20 3 3" xfId="7210" xr:uid="{00000000-0005-0000-0000-00002A1C0000}"/>
    <cellStyle name="Normal 2 2 10 2 20 3 4" xfId="7211" xr:uid="{00000000-0005-0000-0000-00002B1C0000}"/>
    <cellStyle name="Normal 2 2 10 2 20 3 5" xfId="7212" xr:uid="{00000000-0005-0000-0000-00002C1C0000}"/>
    <cellStyle name="Normal 2 2 10 2 20 3 6" xfId="7213" xr:uid="{00000000-0005-0000-0000-00002D1C0000}"/>
    <cellStyle name="Normal 2 2 10 2 20 3 7" xfId="7214" xr:uid="{00000000-0005-0000-0000-00002E1C0000}"/>
    <cellStyle name="Normal 2 2 10 2 20 3 8" xfId="7215" xr:uid="{00000000-0005-0000-0000-00002F1C0000}"/>
    <cellStyle name="Normal 2 2 10 2 20 3 9" xfId="7216" xr:uid="{00000000-0005-0000-0000-0000301C0000}"/>
    <cellStyle name="Normal 2 2 10 2 20 4" xfId="7217" xr:uid="{00000000-0005-0000-0000-0000311C0000}"/>
    <cellStyle name="Normal 2 2 10 2 20 4 10" xfId="7218" xr:uid="{00000000-0005-0000-0000-0000321C0000}"/>
    <cellStyle name="Normal 2 2 10 2 20 4 2" xfId="7219" xr:uid="{00000000-0005-0000-0000-0000331C0000}"/>
    <cellStyle name="Normal 2 2 10 2 20 4 3" xfId="7220" xr:uid="{00000000-0005-0000-0000-0000341C0000}"/>
    <cellStyle name="Normal 2 2 10 2 20 4 4" xfId="7221" xr:uid="{00000000-0005-0000-0000-0000351C0000}"/>
    <cellStyle name="Normal 2 2 10 2 20 4 5" xfId="7222" xr:uid="{00000000-0005-0000-0000-0000361C0000}"/>
    <cellStyle name="Normal 2 2 10 2 20 4 6" xfId="7223" xr:uid="{00000000-0005-0000-0000-0000371C0000}"/>
    <cellStyle name="Normal 2 2 10 2 20 4 7" xfId="7224" xr:uid="{00000000-0005-0000-0000-0000381C0000}"/>
    <cellStyle name="Normal 2 2 10 2 20 4 8" xfId="7225" xr:uid="{00000000-0005-0000-0000-0000391C0000}"/>
    <cellStyle name="Normal 2 2 10 2 20 4 9" xfId="7226" xr:uid="{00000000-0005-0000-0000-00003A1C0000}"/>
    <cellStyle name="Normal 2 2 10 2 20 5" xfId="7227" xr:uid="{00000000-0005-0000-0000-00003B1C0000}"/>
    <cellStyle name="Normal 2 2 10 2 20 5 10" xfId="7228" xr:uid="{00000000-0005-0000-0000-00003C1C0000}"/>
    <cellStyle name="Normal 2 2 10 2 20 5 2" xfId="7229" xr:uid="{00000000-0005-0000-0000-00003D1C0000}"/>
    <cellStyle name="Normal 2 2 10 2 20 5 3" xfId="7230" xr:uid="{00000000-0005-0000-0000-00003E1C0000}"/>
    <cellStyle name="Normal 2 2 10 2 20 5 4" xfId="7231" xr:uid="{00000000-0005-0000-0000-00003F1C0000}"/>
    <cellStyle name="Normal 2 2 10 2 20 5 5" xfId="7232" xr:uid="{00000000-0005-0000-0000-0000401C0000}"/>
    <cellStyle name="Normal 2 2 10 2 20 5 6" xfId="7233" xr:uid="{00000000-0005-0000-0000-0000411C0000}"/>
    <cellStyle name="Normal 2 2 10 2 20 5 7" xfId="7234" xr:uid="{00000000-0005-0000-0000-0000421C0000}"/>
    <cellStyle name="Normal 2 2 10 2 20 5 8" xfId="7235" xr:uid="{00000000-0005-0000-0000-0000431C0000}"/>
    <cellStyle name="Normal 2 2 10 2 20 5 9" xfId="7236" xr:uid="{00000000-0005-0000-0000-0000441C0000}"/>
    <cellStyle name="Normal 2 2 10 2 20 6" xfId="7237" xr:uid="{00000000-0005-0000-0000-0000451C0000}"/>
    <cellStyle name="Normal 2 2 10 2 20 7" xfId="7238" xr:uid="{00000000-0005-0000-0000-0000461C0000}"/>
    <cellStyle name="Normal 2 2 10 2 20 8" xfId="7239" xr:uid="{00000000-0005-0000-0000-0000471C0000}"/>
    <cellStyle name="Normal 2 2 10 2 20 9" xfId="7240" xr:uid="{00000000-0005-0000-0000-0000481C0000}"/>
    <cellStyle name="Normal 2 2 10 2 21" xfId="7241" xr:uid="{00000000-0005-0000-0000-0000491C0000}"/>
    <cellStyle name="Normal 2 2 10 2 21 10" xfId="7242" xr:uid="{00000000-0005-0000-0000-00004A1C0000}"/>
    <cellStyle name="Normal 2 2 10 2 21 11" xfId="7243" xr:uid="{00000000-0005-0000-0000-00004B1C0000}"/>
    <cellStyle name="Normal 2 2 10 2 21 12" xfId="7244" xr:uid="{00000000-0005-0000-0000-00004C1C0000}"/>
    <cellStyle name="Normal 2 2 10 2 21 13" xfId="7245" xr:uid="{00000000-0005-0000-0000-00004D1C0000}"/>
    <cellStyle name="Normal 2 2 10 2 21 14" xfId="7246" xr:uid="{00000000-0005-0000-0000-00004E1C0000}"/>
    <cellStyle name="Normal 2 2 10 2 21 2" xfId="7247" xr:uid="{00000000-0005-0000-0000-00004F1C0000}"/>
    <cellStyle name="Normal 2 2 10 2 21 2 10" xfId="7248" xr:uid="{00000000-0005-0000-0000-0000501C0000}"/>
    <cellStyle name="Normal 2 2 10 2 21 2 2" xfId="7249" xr:uid="{00000000-0005-0000-0000-0000511C0000}"/>
    <cellStyle name="Normal 2 2 10 2 21 2 3" xfId="7250" xr:uid="{00000000-0005-0000-0000-0000521C0000}"/>
    <cellStyle name="Normal 2 2 10 2 21 2 4" xfId="7251" xr:uid="{00000000-0005-0000-0000-0000531C0000}"/>
    <cellStyle name="Normal 2 2 10 2 21 2 5" xfId="7252" xr:uid="{00000000-0005-0000-0000-0000541C0000}"/>
    <cellStyle name="Normal 2 2 10 2 21 2 6" xfId="7253" xr:uid="{00000000-0005-0000-0000-0000551C0000}"/>
    <cellStyle name="Normal 2 2 10 2 21 2 7" xfId="7254" xr:uid="{00000000-0005-0000-0000-0000561C0000}"/>
    <cellStyle name="Normal 2 2 10 2 21 2 8" xfId="7255" xr:uid="{00000000-0005-0000-0000-0000571C0000}"/>
    <cellStyle name="Normal 2 2 10 2 21 2 9" xfId="7256" xr:uid="{00000000-0005-0000-0000-0000581C0000}"/>
    <cellStyle name="Normal 2 2 10 2 21 3" xfId="7257" xr:uid="{00000000-0005-0000-0000-0000591C0000}"/>
    <cellStyle name="Normal 2 2 10 2 21 3 10" xfId="7258" xr:uid="{00000000-0005-0000-0000-00005A1C0000}"/>
    <cellStyle name="Normal 2 2 10 2 21 3 2" xfId="7259" xr:uid="{00000000-0005-0000-0000-00005B1C0000}"/>
    <cellStyle name="Normal 2 2 10 2 21 3 3" xfId="7260" xr:uid="{00000000-0005-0000-0000-00005C1C0000}"/>
    <cellStyle name="Normal 2 2 10 2 21 3 4" xfId="7261" xr:uid="{00000000-0005-0000-0000-00005D1C0000}"/>
    <cellStyle name="Normal 2 2 10 2 21 3 5" xfId="7262" xr:uid="{00000000-0005-0000-0000-00005E1C0000}"/>
    <cellStyle name="Normal 2 2 10 2 21 3 6" xfId="7263" xr:uid="{00000000-0005-0000-0000-00005F1C0000}"/>
    <cellStyle name="Normal 2 2 10 2 21 3 7" xfId="7264" xr:uid="{00000000-0005-0000-0000-0000601C0000}"/>
    <cellStyle name="Normal 2 2 10 2 21 3 8" xfId="7265" xr:uid="{00000000-0005-0000-0000-0000611C0000}"/>
    <cellStyle name="Normal 2 2 10 2 21 3 9" xfId="7266" xr:uid="{00000000-0005-0000-0000-0000621C0000}"/>
    <cellStyle name="Normal 2 2 10 2 21 4" xfId="7267" xr:uid="{00000000-0005-0000-0000-0000631C0000}"/>
    <cellStyle name="Normal 2 2 10 2 21 4 10" xfId="7268" xr:uid="{00000000-0005-0000-0000-0000641C0000}"/>
    <cellStyle name="Normal 2 2 10 2 21 4 2" xfId="7269" xr:uid="{00000000-0005-0000-0000-0000651C0000}"/>
    <cellStyle name="Normal 2 2 10 2 21 4 3" xfId="7270" xr:uid="{00000000-0005-0000-0000-0000661C0000}"/>
    <cellStyle name="Normal 2 2 10 2 21 4 4" xfId="7271" xr:uid="{00000000-0005-0000-0000-0000671C0000}"/>
    <cellStyle name="Normal 2 2 10 2 21 4 5" xfId="7272" xr:uid="{00000000-0005-0000-0000-0000681C0000}"/>
    <cellStyle name="Normal 2 2 10 2 21 4 6" xfId="7273" xr:uid="{00000000-0005-0000-0000-0000691C0000}"/>
    <cellStyle name="Normal 2 2 10 2 21 4 7" xfId="7274" xr:uid="{00000000-0005-0000-0000-00006A1C0000}"/>
    <cellStyle name="Normal 2 2 10 2 21 4 8" xfId="7275" xr:uid="{00000000-0005-0000-0000-00006B1C0000}"/>
    <cellStyle name="Normal 2 2 10 2 21 4 9" xfId="7276" xr:uid="{00000000-0005-0000-0000-00006C1C0000}"/>
    <cellStyle name="Normal 2 2 10 2 21 5" xfId="7277" xr:uid="{00000000-0005-0000-0000-00006D1C0000}"/>
    <cellStyle name="Normal 2 2 10 2 21 5 10" xfId="7278" xr:uid="{00000000-0005-0000-0000-00006E1C0000}"/>
    <cellStyle name="Normal 2 2 10 2 21 5 2" xfId="7279" xr:uid="{00000000-0005-0000-0000-00006F1C0000}"/>
    <cellStyle name="Normal 2 2 10 2 21 5 3" xfId="7280" xr:uid="{00000000-0005-0000-0000-0000701C0000}"/>
    <cellStyle name="Normal 2 2 10 2 21 5 4" xfId="7281" xr:uid="{00000000-0005-0000-0000-0000711C0000}"/>
    <cellStyle name="Normal 2 2 10 2 21 5 5" xfId="7282" xr:uid="{00000000-0005-0000-0000-0000721C0000}"/>
    <cellStyle name="Normal 2 2 10 2 21 5 6" xfId="7283" xr:uid="{00000000-0005-0000-0000-0000731C0000}"/>
    <cellStyle name="Normal 2 2 10 2 21 5 7" xfId="7284" xr:uid="{00000000-0005-0000-0000-0000741C0000}"/>
    <cellStyle name="Normal 2 2 10 2 21 5 8" xfId="7285" xr:uid="{00000000-0005-0000-0000-0000751C0000}"/>
    <cellStyle name="Normal 2 2 10 2 21 5 9" xfId="7286" xr:uid="{00000000-0005-0000-0000-0000761C0000}"/>
    <cellStyle name="Normal 2 2 10 2 21 6" xfId="7287" xr:uid="{00000000-0005-0000-0000-0000771C0000}"/>
    <cellStyle name="Normal 2 2 10 2 21 7" xfId="7288" xr:uid="{00000000-0005-0000-0000-0000781C0000}"/>
    <cellStyle name="Normal 2 2 10 2 21 8" xfId="7289" xr:uid="{00000000-0005-0000-0000-0000791C0000}"/>
    <cellStyle name="Normal 2 2 10 2 21 9" xfId="7290" xr:uid="{00000000-0005-0000-0000-00007A1C0000}"/>
    <cellStyle name="Normal 2 2 10 2 22" xfId="7291" xr:uid="{00000000-0005-0000-0000-00007B1C0000}"/>
    <cellStyle name="Normal 2 2 10 2 22 10" xfId="7292" xr:uid="{00000000-0005-0000-0000-00007C1C0000}"/>
    <cellStyle name="Normal 2 2 10 2 22 11" xfId="7293" xr:uid="{00000000-0005-0000-0000-00007D1C0000}"/>
    <cellStyle name="Normal 2 2 10 2 22 12" xfId="7294" xr:uid="{00000000-0005-0000-0000-00007E1C0000}"/>
    <cellStyle name="Normal 2 2 10 2 22 13" xfId="7295" xr:uid="{00000000-0005-0000-0000-00007F1C0000}"/>
    <cellStyle name="Normal 2 2 10 2 22 14" xfId="7296" xr:uid="{00000000-0005-0000-0000-0000801C0000}"/>
    <cellStyle name="Normal 2 2 10 2 22 2" xfId="7297" xr:uid="{00000000-0005-0000-0000-0000811C0000}"/>
    <cellStyle name="Normal 2 2 10 2 22 2 10" xfId="7298" xr:uid="{00000000-0005-0000-0000-0000821C0000}"/>
    <cellStyle name="Normal 2 2 10 2 22 2 2" xfId="7299" xr:uid="{00000000-0005-0000-0000-0000831C0000}"/>
    <cellStyle name="Normal 2 2 10 2 22 2 3" xfId="7300" xr:uid="{00000000-0005-0000-0000-0000841C0000}"/>
    <cellStyle name="Normal 2 2 10 2 22 2 4" xfId="7301" xr:uid="{00000000-0005-0000-0000-0000851C0000}"/>
    <cellStyle name="Normal 2 2 10 2 22 2 5" xfId="7302" xr:uid="{00000000-0005-0000-0000-0000861C0000}"/>
    <cellStyle name="Normal 2 2 10 2 22 2 6" xfId="7303" xr:uid="{00000000-0005-0000-0000-0000871C0000}"/>
    <cellStyle name="Normal 2 2 10 2 22 2 7" xfId="7304" xr:uid="{00000000-0005-0000-0000-0000881C0000}"/>
    <cellStyle name="Normal 2 2 10 2 22 2 8" xfId="7305" xr:uid="{00000000-0005-0000-0000-0000891C0000}"/>
    <cellStyle name="Normal 2 2 10 2 22 2 9" xfId="7306" xr:uid="{00000000-0005-0000-0000-00008A1C0000}"/>
    <cellStyle name="Normal 2 2 10 2 22 3" xfId="7307" xr:uid="{00000000-0005-0000-0000-00008B1C0000}"/>
    <cellStyle name="Normal 2 2 10 2 22 3 10" xfId="7308" xr:uid="{00000000-0005-0000-0000-00008C1C0000}"/>
    <cellStyle name="Normal 2 2 10 2 22 3 2" xfId="7309" xr:uid="{00000000-0005-0000-0000-00008D1C0000}"/>
    <cellStyle name="Normal 2 2 10 2 22 3 3" xfId="7310" xr:uid="{00000000-0005-0000-0000-00008E1C0000}"/>
    <cellStyle name="Normal 2 2 10 2 22 3 4" xfId="7311" xr:uid="{00000000-0005-0000-0000-00008F1C0000}"/>
    <cellStyle name="Normal 2 2 10 2 22 3 5" xfId="7312" xr:uid="{00000000-0005-0000-0000-0000901C0000}"/>
    <cellStyle name="Normal 2 2 10 2 22 3 6" xfId="7313" xr:uid="{00000000-0005-0000-0000-0000911C0000}"/>
    <cellStyle name="Normal 2 2 10 2 22 3 7" xfId="7314" xr:uid="{00000000-0005-0000-0000-0000921C0000}"/>
    <cellStyle name="Normal 2 2 10 2 22 3 8" xfId="7315" xr:uid="{00000000-0005-0000-0000-0000931C0000}"/>
    <cellStyle name="Normal 2 2 10 2 22 3 9" xfId="7316" xr:uid="{00000000-0005-0000-0000-0000941C0000}"/>
    <cellStyle name="Normal 2 2 10 2 22 4" xfId="7317" xr:uid="{00000000-0005-0000-0000-0000951C0000}"/>
    <cellStyle name="Normal 2 2 10 2 22 4 10" xfId="7318" xr:uid="{00000000-0005-0000-0000-0000961C0000}"/>
    <cellStyle name="Normal 2 2 10 2 22 4 2" xfId="7319" xr:uid="{00000000-0005-0000-0000-0000971C0000}"/>
    <cellStyle name="Normal 2 2 10 2 22 4 3" xfId="7320" xr:uid="{00000000-0005-0000-0000-0000981C0000}"/>
    <cellStyle name="Normal 2 2 10 2 22 4 4" xfId="7321" xr:uid="{00000000-0005-0000-0000-0000991C0000}"/>
    <cellStyle name="Normal 2 2 10 2 22 4 5" xfId="7322" xr:uid="{00000000-0005-0000-0000-00009A1C0000}"/>
    <cellStyle name="Normal 2 2 10 2 22 4 6" xfId="7323" xr:uid="{00000000-0005-0000-0000-00009B1C0000}"/>
    <cellStyle name="Normal 2 2 10 2 22 4 7" xfId="7324" xr:uid="{00000000-0005-0000-0000-00009C1C0000}"/>
    <cellStyle name="Normal 2 2 10 2 22 4 8" xfId="7325" xr:uid="{00000000-0005-0000-0000-00009D1C0000}"/>
    <cellStyle name="Normal 2 2 10 2 22 4 9" xfId="7326" xr:uid="{00000000-0005-0000-0000-00009E1C0000}"/>
    <cellStyle name="Normal 2 2 10 2 22 5" xfId="7327" xr:uid="{00000000-0005-0000-0000-00009F1C0000}"/>
    <cellStyle name="Normal 2 2 10 2 22 5 10" xfId="7328" xr:uid="{00000000-0005-0000-0000-0000A01C0000}"/>
    <cellStyle name="Normal 2 2 10 2 22 5 2" xfId="7329" xr:uid="{00000000-0005-0000-0000-0000A11C0000}"/>
    <cellStyle name="Normal 2 2 10 2 22 5 3" xfId="7330" xr:uid="{00000000-0005-0000-0000-0000A21C0000}"/>
    <cellStyle name="Normal 2 2 10 2 22 5 4" xfId="7331" xr:uid="{00000000-0005-0000-0000-0000A31C0000}"/>
    <cellStyle name="Normal 2 2 10 2 22 5 5" xfId="7332" xr:uid="{00000000-0005-0000-0000-0000A41C0000}"/>
    <cellStyle name="Normal 2 2 10 2 22 5 6" xfId="7333" xr:uid="{00000000-0005-0000-0000-0000A51C0000}"/>
    <cellStyle name="Normal 2 2 10 2 22 5 7" xfId="7334" xr:uid="{00000000-0005-0000-0000-0000A61C0000}"/>
    <cellStyle name="Normal 2 2 10 2 22 5 8" xfId="7335" xr:uid="{00000000-0005-0000-0000-0000A71C0000}"/>
    <cellStyle name="Normal 2 2 10 2 22 5 9" xfId="7336" xr:uid="{00000000-0005-0000-0000-0000A81C0000}"/>
    <cellStyle name="Normal 2 2 10 2 22 6" xfId="7337" xr:uid="{00000000-0005-0000-0000-0000A91C0000}"/>
    <cellStyle name="Normal 2 2 10 2 22 7" xfId="7338" xr:uid="{00000000-0005-0000-0000-0000AA1C0000}"/>
    <cellStyle name="Normal 2 2 10 2 22 8" xfId="7339" xr:uid="{00000000-0005-0000-0000-0000AB1C0000}"/>
    <cellStyle name="Normal 2 2 10 2 22 9" xfId="7340" xr:uid="{00000000-0005-0000-0000-0000AC1C0000}"/>
    <cellStyle name="Normal 2 2 10 2 23" xfId="7341" xr:uid="{00000000-0005-0000-0000-0000AD1C0000}"/>
    <cellStyle name="Normal 2 2 10 2 23 10" xfId="7342" xr:uid="{00000000-0005-0000-0000-0000AE1C0000}"/>
    <cellStyle name="Normal 2 2 10 2 23 11" xfId="7343" xr:uid="{00000000-0005-0000-0000-0000AF1C0000}"/>
    <cellStyle name="Normal 2 2 10 2 23 12" xfId="7344" xr:uid="{00000000-0005-0000-0000-0000B01C0000}"/>
    <cellStyle name="Normal 2 2 10 2 23 13" xfId="7345" xr:uid="{00000000-0005-0000-0000-0000B11C0000}"/>
    <cellStyle name="Normal 2 2 10 2 23 14" xfId="7346" xr:uid="{00000000-0005-0000-0000-0000B21C0000}"/>
    <cellStyle name="Normal 2 2 10 2 23 2" xfId="7347" xr:uid="{00000000-0005-0000-0000-0000B31C0000}"/>
    <cellStyle name="Normal 2 2 10 2 23 2 10" xfId="7348" xr:uid="{00000000-0005-0000-0000-0000B41C0000}"/>
    <cellStyle name="Normal 2 2 10 2 23 2 2" xfId="7349" xr:uid="{00000000-0005-0000-0000-0000B51C0000}"/>
    <cellStyle name="Normal 2 2 10 2 23 2 3" xfId="7350" xr:uid="{00000000-0005-0000-0000-0000B61C0000}"/>
    <cellStyle name="Normal 2 2 10 2 23 2 4" xfId="7351" xr:uid="{00000000-0005-0000-0000-0000B71C0000}"/>
    <cellStyle name="Normal 2 2 10 2 23 2 5" xfId="7352" xr:uid="{00000000-0005-0000-0000-0000B81C0000}"/>
    <cellStyle name="Normal 2 2 10 2 23 2 6" xfId="7353" xr:uid="{00000000-0005-0000-0000-0000B91C0000}"/>
    <cellStyle name="Normal 2 2 10 2 23 2 7" xfId="7354" xr:uid="{00000000-0005-0000-0000-0000BA1C0000}"/>
    <cellStyle name="Normal 2 2 10 2 23 2 8" xfId="7355" xr:uid="{00000000-0005-0000-0000-0000BB1C0000}"/>
    <cellStyle name="Normal 2 2 10 2 23 2 9" xfId="7356" xr:uid="{00000000-0005-0000-0000-0000BC1C0000}"/>
    <cellStyle name="Normal 2 2 10 2 23 3" xfId="7357" xr:uid="{00000000-0005-0000-0000-0000BD1C0000}"/>
    <cellStyle name="Normal 2 2 10 2 23 3 10" xfId="7358" xr:uid="{00000000-0005-0000-0000-0000BE1C0000}"/>
    <cellStyle name="Normal 2 2 10 2 23 3 2" xfId="7359" xr:uid="{00000000-0005-0000-0000-0000BF1C0000}"/>
    <cellStyle name="Normal 2 2 10 2 23 3 3" xfId="7360" xr:uid="{00000000-0005-0000-0000-0000C01C0000}"/>
    <cellStyle name="Normal 2 2 10 2 23 3 4" xfId="7361" xr:uid="{00000000-0005-0000-0000-0000C11C0000}"/>
    <cellStyle name="Normal 2 2 10 2 23 3 5" xfId="7362" xr:uid="{00000000-0005-0000-0000-0000C21C0000}"/>
    <cellStyle name="Normal 2 2 10 2 23 3 6" xfId="7363" xr:uid="{00000000-0005-0000-0000-0000C31C0000}"/>
    <cellStyle name="Normal 2 2 10 2 23 3 7" xfId="7364" xr:uid="{00000000-0005-0000-0000-0000C41C0000}"/>
    <cellStyle name="Normal 2 2 10 2 23 3 8" xfId="7365" xr:uid="{00000000-0005-0000-0000-0000C51C0000}"/>
    <cellStyle name="Normal 2 2 10 2 23 3 9" xfId="7366" xr:uid="{00000000-0005-0000-0000-0000C61C0000}"/>
    <cellStyle name="Normal 2 2 10 2 23 4" xfId="7367" xr:uid="{00000000-0005-0000-0000-0000C71C0000}"/>
    <cellStyle name="Normal 2 2 10 2 23 4 10" xfId="7368" xr:uid="{00000000-0005-0000-0000-0000C81C0000}"/>
    <cellStyle name="Normal 2 2 10 2 23 4 2" xfId="7369" xr:uid="{00000000-0005-0000-0000-0000C91C0000}"/>
    <cellStyle name="Normal 2 2 10 2 23 4 3" xfId="7370" xr:uid="{00000000-0005-0000-0000-0000CA1C0000}"/>
    <cellStyle name="Normal 2 2 10 2 23 4 4" xfId="7371" xr:uid="{00000000-0005-0000-0000-0000CB1C0000}"/>
    <cellStyle name="Normal 2 2 10 2 23 4 5" xfId="7372" xr:uid="{00000000-0005-0000-0000-0000CC1C0000}"/>
    <cellStyle name="Normal 2 2 10 2 23 4 6" xfId="7373" xr:uid="{00000000-0005-0000-0000-0000CD1C0000}"/>
    <cellStyle name="Normal 2 2 10 2 23 4 7" xfId="7374" xr:uid="{00000000-0005-0000-0000-0000CE1C0000}"/>
    <cellStyle name="Normal 2 2 10 2 23 4 8" xfId="7375" xr:uid="{00000000-0005-0000-0000-0000CF1C0000}"/>
    <cellStyle name="Normal 2 2 10 2 23 4 9" xfId="7376" xr:uid="{00000000-0005-0000-0000-0000D01C0000}"/>
    <cellStyle name="Normal 2 2 10 2 23 5" xfId="7377" xr:uid="{00000000-0005-0000-0000-0000D11C0000}"/>
    <cellStyle name="Normal 2 2 10 2 23 5 10" xfId="7378" xr:uid="{00000000-0005-0000-0000-0000D21C0000}"/>
    <cellStyle name="Normal 2 2 10 2 23 5 2" xfId="7379" xr:uid="{00000000-0005-0000-0000-0000D31C0000}"/>
    <cellStyle name="Normal 2 2 10 2 23 5 3" xfId="7380" xr:uid="{00000000-0005-0000-0000-0000D41C0000}"/>
    <cellStyle name="Normal 2 2 10 2 23 5 4" xfId="7381" xr:uid="{00000000-0005-0000-0000-0000D51C0000}"/>
    <cellStyle name="Normal 2 2 10 2 23 5 5" xfId="7382" xr:uid="{00000000-0005-0000-0000-0000D61C0000}"/>
    <cellStyle name="Normal 2 2 10 2 23 5 6" xfId="7383" xr:uid="{00000000-0005-0000-0000-0000D71C0000}"/>
    <cellStyle name="Normal 2 2 10 2 23 5 7" xfId="7384" xr:uid="{00000000-0005-0000-0000-0000D81C0000}"/>
    <cellStyle name="Normal 2 2 10 2 23 5 8" xfId="7385" xr:uid="{00000000-0005-0000-0000-0000D91C0000}"/>
    <cellStyle name="Normal 2 2 10 2 23 5 9" xfId="7386" xr:uid="{00000000-0005-0000-0000-0000DA1C0000}"/>
    <cellStyle name="Normal 2 2 10 2 23 6" xfId="7387" xr:uid="{00000000-0005-0000-0000-0000DB1C0000}"/>
    <cellStyle name="Normal 2 2 10 2 23 7" xfId="7388" xr:uid="{00000000-0005-0000-0000-0000DC1C0000}"/>
    <cellStyle name="Normal 2 2 10 2 23 8" xfId="7389" xr:uid="{00000000-0005-0000-0000-0000DD1C0000}"/>
    <cellStyle name="Normal 2 2 10 2 23 9" xfId="7390" xr:uid="{00000000-0005-0000-0000-0000DE1C0000}"/>
    <cellStyle name="Normal 2 2 10 2 24" xfId="7391" xr:uid="{00000000-0005-0000-0000-0000DF1C0000}"/>
    <cellStyle name="Normal 2 2 10 2 24 10" xfId="7392" xr:uid="{00000000-0005-0000-0000-0000E01C0000}"/>
    <cellStyle name="Normal 2 2 10 2 24 11" xfId="7393" xr:uid="{00000000-0005-0000-0000-0000E11C0000}"/>
    <cellStyle name="Normal 2 2 10 2 24 12" xfId="7394" xr:uid="{00000000-0005-0000-0000-0000E21C0000}"/>
    <cellStyle name="Normal 2 2 10 2 24 13" xfId="7395" xr:uid="{00000000-0005-0000-0000-0000E31C0000}"/>
    <cellStyle name="Normal 2 2 10 2 24 14" xfId="7396" xr:uid="{00000000-0005-0000-0000-0000E41C0000}"/>
    <cellStyle name="Normal 2 2 10 2 24 2" xfId="7397" xr:uid="{00000000-0005-0000-0000-0000E51C0000}"/>
    <cellStyle name="Normal 2 2 10 2 24 2 10" xfId="7398" xr:uid="{00000000-0005-0000-0000-0000E61C0000}"/>
    <cellStyle name="Normal 2 2 10 2 24 2 2" xfId="7399" xr:uid="{00000000-0005-0000-0000-0000E71C0000}"/>
    <cellStyle name="Normal 2 2 10 2 24 2 3" xfId="7400" xr:uid="{00000000-0005-0000-0000-0000E81C0000}"/>
    <cellStyle name="Normal 2 2 10 2 24 2 4" xfId="7401" xr:uid="{00000000-0005-0000-0000-0000E91C0000}"/>
    <cellStyle name="Normal 2 2 10 2 24 2 5" xfId="7402" xr:uid="{00000000-0005-0000-0000-0000EA1C0000}"/>
    <cellStyle name="Normal 2 2 10 2 24 2 6" xfId="7403" xr:uid="{00000000-0005-0000-0000-0000EB1C0000}"/>
    <cellStyle name="Normal 2 2 10 2 24 2 7" xfId="7404" xr:uid="{00000000-0005-0000-0000-0000EC1C0000}"/>
    <cellStyle name="Normal 2 2 10 2 24 2 8" xfId="7405" xr:uid="{00000000-0005-0000-0000-0000ED1C0000}"/>
    <cellStyle name="Normal 2 2 10 2 24 2 9" xfId="7406" xr:uid="{00000000-0005-0000-0000-0000EE1C0000}"/>
    <cellStyle name="Normal 2 2 10 2 24 3" xfId="7407" xr:uid="{00000000-0005-0000-0000-0000EF1C0000}"/>
    <cellStyle name="Normal 2 2 10 2 24 3 10" xfId="7408" xr:uid="{00000000-0005-0000-0000-0000F01C0000}"/>
    <cellStyle name="Normal 2 2 10 2 24 3 2" xfId="7409" xr:uid="{00000000-0005-0000-0000-0000F11C0000}"/>
    <cellStyle name="Normal 2 2 10 2 24 3 3" xfId="7410" xr:uid="{00000000-0005-0000-0000-0000F21C0000}"/>
    <cellStyle name="Normal 2 2 10 2 24 3 4" xfId="7411" xr:uid="{00000000-0005-0000-0000-0000F31C0000}"/>
    <cellStyle name="Normal 2 2 10 2 24 3 5" xfId="7412" xr:uid="{00000000-0005-0000-0000-0000F41C0000}"/>
    <cellStyle name="Normal 2 2 10 2 24 3 6" xfId="7413" xr:uid="{00000000-0005-0000-0000-0000F51C0000}"/>
    <cellStyle name="Normal 2 2 10 2 24 3 7" xfId="7414" xr:uid="{00000000-0005-0000-0000-0000F61C0000}"/>
    <cellStyle name="Normal 2 2 10 2 24 3 8" xfId="7415" xr:uid="{00000000-0005-0000-0000-0000F71C0000}"/>
    <cellStyle name="Normal 2 2 10 2 24 3 9" xfId="7416" xr:uid="{00000000-0005-0000-0000-0000F81C0000}"/>
    <cellStyle name="Normal 2 2 10 2 24 4" xfId="7417" xr:uid="{00000000-0005-0000-0000-0000F91C0000}"/>
    <cellStyle name="Normal 2 2 10 2 24 4 10" xfId="7418" xr:uid="{00000000-0005-0000-0000-0000FA1C0000}"/>
    <cellStyle name="Normal 2 2 10 2 24 4 2" xfId="7419" xr:uid="{00000000-0005-0000-0000-0000FB1C0000}"/>
    <cellStyle name="Normal 2 2 10 2 24 4 3" xfId="7420" xr:uid="{00000000-0005-0000-0000-0000FC1C0000}"/>
    <cellStyle name="Normal 2 2 10 2 24 4 4" xfId="7421" xr:uid="{00000000-0005-0000-0000-0000FD1C0000}"/>
    <cellStyle name="Normal 2 2 10 2 24 4 5" xfId="7422" xr:uid="{00000000-0005-0000-0000-0000FE1C0000}"/>
    <cellStyle name="Normal 2 2 10 2 24 4 6" xfId="7423" xr:uid="{00000000-0005-0000-0000-0000FF1C0000}"/>
    <cellStyle name="Normal 2 2 10 2 24 4 7" xfId="7424" xr:uid="{00000000-0005-0000-0000-0000001D0000}"/>
    <cellStyle name="Normal 2 2 10 2 24 4 8" xfId="7425" xr:uid="{00000000-0005-0000-0000-0000011D0000}"/>
    <cellStyle name="Normal 2 2 10 2 24 4 9" xfId="7426" xr:uid="{00000000-0005-0000-0000-0000021D0000}"/>
    <cellStyle name="Normal 2 2 10 2 24 5" xfId="7427" xr:uid="{00000000-0005-0000-0000-0000031D0000}"/>
    <cellStyle name="Normal 2 2 10 2 24 5 10" xfId="7428" xr:uid="{00000000-0005-0000-0000-0000041D0000}"/>
    <cellStyle name="Normal 2 2 10 2 24 5 2" xfId="7429" xr:uid="{00000000-0005-0000-0000-0000051D0000}"/>
    <cellStyle name="Normal 2 2 10 2 24 5 3" xfId="7430" xr:uid="{00000000-0005-0000-0000-0000061D0000}"/>
    <cellStyle name="Normal 2 2 10 2 24 5 4" xfId="7431" xr:uid="{00000000-0005-0000-0000-0000071D0000}"/>
    <cellStyle name="Normal 2 2 10 2 24 5 5" xfId="7432" xr:uid="{00000000-0005-0000-0000-0000081D0000}"/>
    <cellStyle name="Normal 2 2 10 2 24 5 6" xfId="7433" xr:uid="{00000000-0005-0000-0000-0000091D0000}"/>
    <cellStyle name="Normal 2 2 10 2 24 5 7" xfId="7434" xr:uid="{00000000-0005-0000-0000-00000A1D0000}"/>
    <cellStyle name="Normal 2 2 10 2 24 5 8" xfId="7435" xr:uid="{00000000-0005-0000-0000-00000B1D0000}"/>
    <cellStyle name="Normal 2 2 10 2 24 5 9" xfId="7436" xr:uid="{00000000-0005-0000-0000-00000C1D0000}"/>
    <cellStyle name="Normal 2 2 10 2 24 6" xfId="7437" xr:uid="{00000000-0005-0000-0000-00000D1D0000}"/>
    <cellStyle name="Normal 2 2 10 2 24 7" xfId="7438" xr:uid="{00000000-0005-0000-0000-00000E1D0000}"/>
    <cellStyle name="Normal 2 2 10 2 24 8" xfId="7439" xr:uid="{00000000-0005-0000-0000-00000F1D0000}"/>
    <cellStyle name="Normal 2 2 10 2 24 9" xfId="7440" xr:uid="{00000000-0005-0000-0000-0000101D0000}"/>
    <cellStyle name="Normal 2 2 10 2 25" xfId="7441" xr:uid="{00000000-0005-0000-0000-0000111D0000}"/>
    <cellStyle name="Normal 2 2 10 2 25 10" xfId="7442" xr:uid="{00000000-0005-0000-0000-0000121D0000}"/>
    <cellStyle name="Normal 2 2 10 2 25 11" xfId="7443" xr:uid="{00000000-0005-0000-0000-0000131D0000}"/>
    <cellStyle name="Normal 2 2 10 2 25 12" xfId="7444" xr:uid="{00000000-0005-0000-0000-0000141D0000}"/>
    <cellStyle name="Normal 2 2 10 2 25 13" xfId="7445" xr:uid="{00000000-0005-0000-0000-0000151D0000}"/>
    <cellStyle name="Normal 2 2 10 2 25 14" xfId="7446" xr:uid="{00000000-0005-0000-0000-0000161D0000}"/>
    <cellStyle name="Normal 2 2 10 2 25 2" xfId="7447" xr:uid="{00000000-0005-0000-0000-0000171D0000}"/>
    <cellStyle name="Normal 2 2 10 2 25 2 10" xfId="7448" xr:uid="{00000000-0005-0000-0000-0000181D0000}"/>
    <cellStyle name="Normal 2 2 10 2 25 2 2" xfId="7449" xr:uid="{00000000-0005-0000-0000-0000191D0000}"/>
    <cellStyle name="Normal 2 2 10 2 25 2 3" xfId="7450" xr:uid="{00000000-0005-0000-0000-00001A1D0000}"/>
    <cellStyle name="Normal 2 2 10 2 25 2 4" xfId="7451" xr:uid="{00000000-0005-0000-0000-00001B1D0000}"/>
    <cellStyle name="Normal 2 2 10 2 25 2 5" xfId="7452" xr:uid="{00000000-0005-0000-0000-00001C1D0000}"/>
    <cellStyle name="Normal 2 2 10 2 25 2 6" xfId="7453" xr:uid="{00000000-0005-0000-0000-00001D1D0000}"/>
    <cellStyle name="Normal 2 2 10 2 25 2 7" xfId="7454" xr:uid="{00000000-0005-0000-0000-00001E1D0000}"/>
    <cellStyle name="Normal 2 2 10 2 25 2 8" xfId="7455" xr:uid="{00000000-0005-0000-0000-00001F1D0000}"/>
    <cellStyle name="Normal 2 2 10 2 25 2 9" xfId="7456" xr:uid="{00000000-0005-0000-0000-0000201D0000}"/>
    <cellStyle name="Normal 2 2 10 2 25 3" xfId="7457" xr:uid="{00000000-0005-0000-0000-0000211D0000}"/>
    <cellStyle name="Normal 2 2 10 2 25 3 10" xfId="7458" xr:uid="{00000000-0005-0000-0000-0000221D0000}"/>
    <cellStyle name="Normal 2 2 10 2 25 3 2" xfId="7459" xr:uid="{00000000-0005-0000-0000-0000231D0000}"/>
    <cellStyle name="Normal 2 2 10 2 25 3 3" xfId="7460" xr:uid="{00000000-0005-0000-0000-0000241D0000}"/>
    <cellStyle name="Normal 2 2 10 2 25 3 4" xfId="7461" xr:uid="{00000000-0005-0000-0000-0000251D0000}"/>
    <cellStyle name="Normal 2 2 10 2 25 3 5" xfId="7462" xr:uid="{00000000-0005-0000-0000-0000261D0000}"/>
    <cellStyle name="Normal 2 2 10 2 25 3 6" xfId="7463" xr:uid="{00000000-0005-0000-0000-0000271D0000}"/>
    <cellStyle name="Normal 2 2 10 2 25 3 7" xfId="7464" xr:uid="{00000000-0005-0000-0000-0000281D0000}"/>
    <cellStyle name="Normal 2 2 10 2 25 3 8" xfId="7465" xr:uid="{00000000-0005-0000-0000-0000291D0000}"/>
    <cellStyle name="Normal 2 2 10 2 25 3 9" xfId="7466" xr:uid="{00000000-0005-0000-0000-00002A1D0000}"/>
    <cellStyle name="Normal 2 2 10 2 25 4" xfId="7467" xr:uid="{00000000-0005-0000-0000-00002B1D0000}"/>
    <cellStyle name="Normal 2 2 10 2 25 4 10" xfId="7468" xr:uid="{00000000-0005-0000-0000-00002C1D0000}"/>
    <cellStyle name="Normal 2 2 10 2 25 4 2" xfId="7469" xr:uid="{00000000-0005-0000-0000-00002D1D0000}"/>
    <cellStyle name="Normal 2 2 10 2 25 4 3" xfId="7470" xr:uid="{00000000-0005-0000-0000-00002E1D0000}"/>
    <cellStyle name="Normal 2 2 10 2 25 4 4" xfId="7471" xr:uid="{00000000-0005-0000-0000-00002F1D0000}"/>
    <cellStyle name="Normal 2 2 10 2 25 4 5" xfId="7472" xr:uid="{00000000-0005-0000-0000-0000301D0000}"/>
    <cellStyle name="Normal 2 2 10 2 25 4 6" xfId="7473" xr:uid="{00000000-0005-0000-0000-0000311D0000}"/>
    <cellStyle name="Normal 2 2 10 2 25 4 7" xfId="7474" xr:uid="{00000000-0005-0000-0000-0000321D0000}"/>
    <cellStyle name="Normal 2 2 10 2 25 4 8" xfId="7475" xr:uid="{00000000-0005-0000-0000-0000331D0000}"/>
    <cellStyle name="Normal 2 2 10 2 25 4 9" xfId="7476" xr:uid="{00000000-0005-0000-0000-0000341D0000}"/>
    <cellStyle name="Normal 2 2 10 2 25 5" xfId="7477" xr:uid="{00000000-0005-0000-0000-0000351D0000}"/>
    <cellStyle name="Normal 2 2 10 2 25 5 10" xfId="7478" xr:uid="{00000000-0005-0000-0000-0000361D0000}"/>
    <cellStyle name="Normal 2 2 10 2 25 5 2" xfId="7479" xr:uid="{00000000-0005-0000-0000-0000371D0000}"/>
    <cellStyle name="Normal 2 2 10 2 25 5 3" xfId="7480" xr:uid="{00000000-0005-0000-0000-0000381D0000}"/>
    <cellStyle name="Normal 2 2 10 2 25 5 4" xfId="7481" xr:uid="{00000000-0005-0000-0000-0000391D0000}"/>
    <cellStyle name="Normal 2 2 10 2 25 5 5" xfId="7482" xr:uid="{00000000-0005-0000-0000-00003A1D0000}"/>
    <cellStyle name="Normal 2 2 10 2 25 5 6" xfId="7483" xr:uid="{00000000-0005-0000-0000-00003B1D0000}"/>
    <cellStyle name="Normal 2 2 10 2 25 5 7" xfId="7484" xr:uid="{00000000-0005-0000-0000-00003C1D0000}"/>
    <cellStyle name="Normal 2 2 10 2 25 5 8" xfId="7485" xr:uid="{00000000-0005-0000-0000-00003D1D0000}"/>
    <cellStyle name="Normal 2 2 10 2 25 5 9" xfId="7486" xr:uid="{00000000-0005-0000-0000-00003E1D0000}"/>
    <cellStyle name="Normal 2 2 10 2 25 6" xfId="7487" xr:uid="{00000000-0005-0000-0000-00003F1D0000}"/>
    <cellStyle name="Normal 2 2 10 2 25 7" xfId="7488" xr:uid="{00000000-0005-0000-0000-0000401D0000}"/>
    <cellStyle name="Normal 2 2 10 2 25 8" xfId="7489" xr:uid="{00000000-0005-0000-0000-0000411D0000}"/>
    <cellStyle name="Normal 2 2 10 2 25 9" xfId="7490" xr:uid="{00000000-0005-0000-0000-0000421D0000}"/>
    <cellStyle name="Normal 2 2 10 2 26" xfId="7491" xr:uid="{00000000-0005-0000-0000-0000431D0000}"/>
    <cellStyle name="Normal 2 2 10 2 26 10" xfId="7492" xr:uid="{00000000-0005-0000-0000-0000441D0000}"/>
    <cellStyle name="Normal 2 2 10 2 26 11" xfId="7493" xr:uid="{00000000-0005-0000-0000-0000451D0000}"/>
    <cellStyle name="Normal 2 2 10 2 26 12" xfId="7494" xr:uid="{00000000-0005-0000-0000-0000461D0000}"/>
    <cellStyle name="Normal 2 2 10 2 26 13" xfId="7495" xr:uid="{00000000-0005-0000-0000-0000471D0000}"/>
    <cellStyle name="Normal 2 2 10 2 26 14" xfId="7496" xr:uid="{00000000-0005-0000-0000-0000481D0000}"/>
    <cellStyle name="Normal 2 2 10 2 26 2" xfId="7497" xr:uid="{00000000-0005-0000-0000-0000491D0000}"/>
    <cellStyle name="Normal 2 2 10 2 26 2 10" xfId="7498" xr:uid="{00000000-0005-0000-0000-00004A1D0000}"/>
    <cellStyle name="Normal 2 2 10 2 26 2 2" xfId="7499" xr:uid="{00000000-0005-0000-0000-00004B1D0000}"/>
    <cellStyle name="Normal 2 2 10 2 26 2 3" xfId="7500" xr:uid="{00000000-0005-0000-0000-00004C1D0000}"/>
    <cellStyle name="Normal 2 2 10 2 26 2 4" xfId="7501" xr:uid="{00000000-0005-0000-0000-00004D1D0000}"/>
    <cellStyle name="Normal 2 2 10 2 26 2 5" xfId="7502" xr:uid="{00000000-0005-0000-0000-00004E1D0000}"/>
    <cellStyle name="Normal 2 2 10 2 26 2 6" xfId="7503" xr:uid="{00000000-0005-0000-0000-00004F1D0000}"/>
    <cellStyle name="Normal 2 2 10 2 26 2 7" xfId="7504" xr:uid="{00000000-0005-0000-0000-0000501D0000}"/>
    <cellStyle name="Normal 2 2 10 2 26 2 8" xfId="7505" xr:uid="{00000000-0005-0000-0000-0000511D0000}"/>
    <cellStyle name="Normal 2 2 10 2 26 2 9" xfId="7506" xr:uid="{00000000-0005-0000-0000-0000521D0000}"/>
    <cellStyle name="Normal 2 2 10 2 26 3" xfId="7507" xr:uid="{00000000-0005-0000-0000-0000531D0000}"/>
    <cellStyle name="Normal 2 2 10 2 26 3 10" xfId="7508" xr:uid="{00000000-0005-0000-0000-0000541D0000}"/>
    <cellStyle name="Normal 2 2 10 2 26 3 2" xfId="7509" xr:uid="{00000000-0005-0000-0000-0000551D0000}"/>
    <cellStyle name="Normal 2 2 10 2 26 3 3" xfId="7510" xr:uid="{00000000-0005-0000-0000-0000561D0000}"/>
    <cellStyle name="Normal 2 2 10 2 26 3 4" xfId="7511" xr:uid="{00000000-0005-0000-0000-0000571D0000}"/>
    <cellStyle name="Normal 2 2 10 2 26 3 5" xfId="7512" xr:uid="{00000000-0005-0000-0000-0000581D0000}"/>
    <cellStyle name="Normal 2 2 10 2 26 3 6" xfId="7513" xr:uid="{00000000-0005-0000-0000-0000591D0000}"/>
    <cellStyle name="Normal 2 2 10 2 26 3 7" xfId="7514" xr:uid="{00000000-0005-0000-0000-00005A1D0000}"/>
    <cellStyle name="Normal 2 2 10 2 26 3 8" xfId="7515" xr:uid="{00000000-0005-0000-0000-00005B1D0000}"/>
    <cellStyle name="Normal 2 2 10 2 26 3 9" xfId="7516" xr:uid="{00000000-0005-0000-0000-00005C1D0000}"/>
    <cellStyle name="Normal 2 2 10 2 26 4" xfId="7517" xr:uid="{00000000-0005-0000-0000-00005D1D0000}"/>
    <cellStyle name="Normal 2 2 10 2 26 4 10" xfId="7518" xr:uid="{00000000-0005-0000-0000-00005E1D0000}"/>
    <cellStyle name="Normal 2 2 10 2 26 4 2" xfId="7519" xr:uid="{00000000-0005-0000-0000-00005F1D0000}"/>
    <cellStyle name="Normal 2 2 10 2 26 4 3" xfId="7520" xr:uid="{00000000-0005-0000-0000-0000601D0000}"/>
    <cellStyle name="Normal 2 2 10 2 26 4 4" xfId="7521" xr:uid="{00000000-0005-0000-0000-0000611D0000}"/>
    <cellStyle name="Normal 2 2 10 2 26 4 5" xfId="7522" xr:uid="{00000000-0005-0000-0000-0000621D0000}"/>
    <cellStyle name="Normal 2 2 10 2 26 4 6" xfId="7523" xr:uid="{00000000-0005-0000-0000-0000631D0000}"/>
    <cellStyle name="Normal 2 2 10 2 26 4 7" xfId="7524" xr:uid="{00000000-0005-0000-0000-0000641D0000}"/>
    <cellStyle name="Normal 2 2 10 2 26 4 8" xfId="7525" xr:uid="{00000000-0005-0000-0000-0000651D0000}"/>
    <cellStyle name="Normal 2 2 10 2 26 4 9" xfId="7526" xr:uid="{00000000-0005-0000-0000-0000661D0000}"/>
    <cellStyle name="Normal 2 2 10 2 26 5" xfId="7527" xr:uid="{00000000-0005-0000-0000-0000671D0000}"/>
    <cellStyle name="Normal 2 2 10 2 26 5 10" xfId="7528" xr:uid="{00000000-0005-0000-0000-0000681D0000}"/>
    <cellStyle name="Normal 2 2 10 2 26 5 2" xfId="7529" xr:uid="{00000000-0005-0000-0000-0000691D0000}"/>
    <cellStyle name="Normal 2 2 10 2 26 5 3" xfId="7530" xr:uid="{00000000-0005-0000-0000-00006A1D0000}"/>
    <cellStyle name="Normal 2 2 10 2 26 5 4" xfId="7531" xr:uid="{00000000-0005-0000-0000-00006B1D0000}"/>
    <cellStyle name="Normal 2 2 10 2 26 5 5" xfId="7532" xr:uid="{00000000-0005-0000-0000-00006C1D0000}"/>
    <cellStyle name="Normal 2 2 10 2 26 5 6" xfId="7533" xr:uid="{00000000-0005-0000-0000-00006D1D0000}"/>
    <cellStyle name="Normal 2 2 10 2 26 5 7" xfId="7534" xr:uid="{00000000-0005-0000-0000-00006E1D0000}"/>
    <cellStyle name="Normal 2 2 10 2 26 5 8" xfId="7535" xr:uid="{00000000-0005-0000-0000-00006F1D0000}"/>
    <cellStyle name="Normal 2 2 10 2 26 5 9" xfId="7536" xr:uid="{00000000-0005-0000-0000-0000701D0000}"/>
    <cellStyle name="Normal 2 2 10 2 26 6" xfId="7537" xr:uid="{00000000-0005-0000-0000-0000711D0000}"/>
    <cellStyle name="Normal 2 2 10 2 26 7" xfId="7538" xr:uid="{00000000-0005-0000-0000-0000721D0000}"/>
    <cellStyle name="Normal 2 2 10 2 26 8" xfId="7539" xr:uid="{00000000-0005-0000-0000-0000731D0000}"/>
    <cellStyle name="Normal 2 2 10 2 26 9" xfId="7540" xr:uid="{00000000-0005-0000-0000-0000741D0000}"/>
    <cellStyle name="Normal 2 2 10 2 27" xfId="7541" xr:uid="{00000000-0005-0000-0000-0000751D0000}"/>
    <cellStyle name="Normal 2 2 10 2 27 10" xfId="7542" xr:uid="{00000000-0005-0000-0000-0000761D0000}"/>
    <cellStyle name="Normal 2 2 10 2 27 11" xfId="7543" xr:uid="{00000000-0005-0000-0000-0000771D0000}"/>
    <cellStyle name="Normal 2 2 10 2 27 12" xfId="7544" xr:uid="{00000000-0005-0000-0000-0000781D0000}"/>
    <cellStyle name="Normal 2 2 10 2 27 13" xfId="7545" xr:uid="{00000000-0005-0000-0000-0000791D0000}"/>
    <cellStyle name="Normal 2 2 10 2 27 14" xfId="7546" xr:uid="{00000000-0005-0000-0000-00007A1D0000}"/>
    <cellStyle name="Normal 2 2 10 2 27 2" xfId="7547" xr:uid="{00000000-0005-0000-0000-00007B1D0000}"/>
    <cellStyle name="Normal 2 2 10 2 27 2 10" xfId="7548" xr:uid="{00000000-0005-0000-0000-00007C1D0000}"/>
    <cellStyle name="Normal 2 2 10 2 27 2 2" xfId="7549" xr:uid="{00000000-0005-0000-0000-00007D1D0000}"/>
    <cellStyle name="Normal 2 2 10 2 27 2 3" xfId="7550" xr:uid="{00000000-0005-0000-0000-00007E1D0000}"/>
    <cellStyle name="Normal 2 2 10 2 27 2 4" xfId="7551" xr:uid="{00000000-0005-0000-0000-00007F1D0000}"/>
    <cellStyle name="Normal 2 2 10 2 27 2 5" xfId="7552" xr:uid="{00000000-0005-0000-0000-0000801D0000}"/>
    <cellStyle name="Normal 2 2 10 2 27 2 6" xfId="7553" xr:uid="{00000000-0005-0000-0000-0000811D0000}"/>
    <cellStyle name="Normal 2 2 10 2 27 2 7" xfId="7554" xr:uid="{00000000-0005-0000-0000-0000821D0000}"/>
    <cellStyle name="Normal 2 2 10 2 27 2 8" xfId="7555" xr:uid="{00000000-0005-0000-0000-0000831D0000}"/>
    <cellStyle name="Normal 2 2 10 2 27 2 9" xfId="7556" xr:uid="{00000000-0005-0000-0000-0000841D0000}"/>
    <cellStyle name="Normal 2 2 10 2 27 3" xfId="7557" xr:uid="{00000000-0005-0000-0000-0000851D0000}"/>
    <cellStyle name="Normal 2 2 10 2 27 3 10" xfId="7558" xr:uid="{00000000-0005-0000-0000-0000861D0000}"/>
    <cellStyle name="Normal 2 2 10 2 27 3 2" xfId="7559" xr:uid="{00000000-0005-0000-0000-0000871D0000}"/>
    <cellStyle name="Normal 2 2 10 2 27 3 3" xfId="7560" xr:uid="{00000000-0005-0000-0000-0000881D0000}"/>
    <cellStyle name="Normal 2 2 10 2 27 3 4" xfId="7561" xr:uid="{00000000-0005-0000-0000-0000891D0000}"/>
    <cellStyle name="Normal 2 2 10 2 27 3 5" xfId="7562" xr:uid="{00000000-0005-0000-0000-00008A1D0000}"/>
    <cellStyle name="Normal 2 2 10 2 27 3 6" xfId="7563" xr:uid="{00000000-0005-0000-0000-00008B1D0000}"/>
    <cellStyle name="Normal 2 2 10 2 27 3 7" xfId="7564" xr:uid="{00000000-0005-0000-0000-00008C1D0000}"/>
    <cellStyle name="Normal 2 2 10 2 27 3 8" xfId="7565" xr:uid="{00000000-0005-0000-0000-00008D1D0000}"/>
    <cellStyle name="Normal 2 2 10 2 27 3 9" xfId="7566" xr:uid="{00000000-0005-0000-0000-00008E1D0000}"/>
    <cellStyle name="Normal 2 2 10 2 27 4" xfId="7567" xr:uid="{00000000-0005-0000-0000-00008F1D0000}"/>
    <cellStyle name="Normal 2 2 10 2 27 4 10" xfId="7568" xr:uid="{00000000-0005-0000-0000-0000901D0000}"/>
    <cellStyle name="Normal 2 2 10 2 27 4 2" xfId="7569" xr:uid="{00000000-0005-0000-0000-0000911D0000}"/>
    <cellStyle name="Normal 2 2 10 2 27 4 3" xfId="7570" xr:uid="{00000000-0005-0000-0000-0000921D0000}"/>
    <cellStyle name="Normal 2 2 10 2 27 4 4" xfId="7571" xr:uid="{00000000-0005-0000-0000-0000931D0000}"/>
    <cellStyle name="Normal 2 2 10 2 27 4 5" xfId="7572" xr:uid="{00000000-0005-0000-0000-0000941D0000}"/>
    <cellStyle name="Normal 2 2 10 2 27 4 6" xfId="7573" xr:uid="{00000000-0005-0000-0000-0000951D0000}"/>
    <cellStyle name="Normal 2 2 10 2 27 4 7" xfId="7574" xr:uid="{00000000-0005-0000-0000-0000961D0000}"/>
    <cellStyle name="Normal 2 2 10 2 27 4 8" xfId="7575" xr:uid="{00000000-0005-0000-0000-0000971D0000}"/>
    <cellStyle name="Normal 2 2 10 2 27 4 9" xfId="7576" xr:uid="{00000000-0005-0000-0000-0000981D0000}"/>
    <cellStyle name="Normal 2 2 10 2 27 5" xfId="7577" xr:uid="{00000000-0005-0000-0000-0000991D0000}"/>
    <cellStyle name="Normal 2 2 10 2 27 5 10" xfId="7578" xr:uid="{00000000-0005-0000-0000-00009A1D0000}"/>
    <cellStyle name="Normal 2 2 10 2 27 5 2" xfId="7579" xr:uid="{00000000-0005-0000-0000-00009B1D0000}"/>
    <cellStyle name="Normal 2 2 10 2 27 5 3" xfId="7580" xr:uid="{00000000-0005-0000-0000-00009C1D0000}"/>
    <cellStyle name="Normal 2 2 10 2 27 5 4" xfId="7581" xr:uid="{00000000-0005-0000-0000-00009D1D0000}"/>
    <cellStyle name="Normal 2 2 10 2 27 5 5" xfId="7582" xr:uid="{00000000-0005-0000-0000-00009E1D0000}"/>
    <cellStyle name="Normal 2 2 10 2 27 5 6" xfId="7583" xr:uid="{00000000-0005-0000-0000-00009F1D0000}"/>
    <cellStyle name="Normal 2 2 10 2 27 5 7" xfId="7584" xr:uid="{00000000-0005-0000-0000-0000A01D0000}"/>
    <cellStyle name="Normal 2 2 10 2 27 5 8" xfId="7585" xr:uid="{00000000-0005-0000-0000-0000A11D0000}"/>
    <cellStyle name="Normal 2 2 10 2 27 5 9" xfId="7586" xr:uid="{00000000-0005-0000-0000-0000A21D0000}"/>
    <cellStyle name="Normal 2 2 10 2 27 6" xfId="7587" xr:uid="{00000000-0005-0000-0000-0000A31D0000}"/>
    <cellStyle name="Normal 2 2 10 2 27 7" xfId="7588" xr:uid="{00000000-0005-0000-0000-0000A41D0000}"/>
    <cellStyle name="Normal 2 2 10 2 27 8" xfId="7589" xr:uid="{00000000-0005-0000-0000-0000A51D0000}"/>
    <cellStyle name="Normal 2 2 10 2 27 9" xfId="7590" xr:uid="{00000000-0005-0000-0000-0000A61D0000}"/>
    <cellStyle name="Normal 2 2 10 2 28" xfId="7591" xr:uid="{00000000-0005-0000-0000-0000A71D0000}"/>
    <cellStyle name="Normal 2 2 10 2 28 10" xfId="7592" xr:uid="{00000000-0005-0000-0000-0000A81D0000}"/>
    <cellStyle name="Normal 2 2 10 2 28 11" xfId="7593" xr:uid="{00000000-0005-0000-0000-0000A91D0000}"/>
    <cellStyle name="Normal 2 2 10 2 28 12" xfId="7594" xr:uid="{00000000-0005-0000-0000-0000AA1D0000}"/>
    <cellStyle name="Normal 2 2 10 2 28 13" xfId="7595" xr:uid="{00000000-0005-0000-0000-0000AB1D0000}"/>
    <cellStyle name="Normal 2 2 10 2 28 14" xfId="7596" xr:uid="{00000000-0005-0000-0000-0000AC1D0000}"/>
    <cellStyle name="Normal 2 2 10 2 28 2" xfId="7597" xr:uid="{00000000-0005-0000-0000-0000AD1D0000}"/>
    <cellStyle name="Normal 2 2 10 2 28 2 10" xfId="7598" xr:uid="{00000000-0005-0000-0000-0000AE1D0000}"/>
    <cellStyle name="Normal 2 2 10 2 28 2 2" xfId="7599" xr:uid="{00000000-0005-0000-0000-0000AF1D0000}"/>
    <cellStyle name="Normal 2 2 10 2 28 2 3" xfId="7600" xr:uid="{00000000-0005-0000-0000-0000B01D0000}"/>
    <cellStyle name="Normal 2 2 10 2 28 2 4" xfId="7601" xr:uid="{00000000-0005-0000-0000-0000B11D0000}"/>
    <cellStyle name="Normal 2 2 10 2 28 2 5" xfId="7602" xr:uid="{00000000-0005-0000-0000-0000B21D0000}"/>
    <cellStyle name="Normal 2 2 10 2 28 2 6" xfId="7603" xr:uid="{00000000-0005-0000-0000-0000B31D0000}"/>
    <cellStyle name="Normal 2 2 10 2 28 2 7" xfId="7604" xr:uid="{00000000-0005-0000-0000-0000B41D0000}"/>
    <cellStyle name="Normal 2 2 10 2 28 2 8" xfId="7605" xr:uid="{00000000-0005-0000-0000-0000B51D0000}"/>
    <cellStyle name="Normal 2 2 10 2 28 2 9" xfId="7606" xr:uid="{00000000-0005-0000-0000-0000B61D0000}"/>
    <cellStyle name="Normal 2 2 10 2 28 3" xfId="7607" xr:uid="{00000000-0005-0000-0000-0000B71D0000}"/>
    <cellStyle name="Normal 2 2 10 2 28 3 10" xfId="7608" xr:uid="{00000000-0005-0000-0000-0000B81D0000}"/>
    <cellStyle name="Normal 2 2 10 2 28 3 2" xfId="7609" xr:uid="{00000000-0005-0000-0000-0000B91D0000}"/>
    <cellStyle name="Normal 2 2 10 2 28 3 3" xfId="7610" xr:uid="{00000000-0005-0000-0000-0000BA1D0000}"/>
    <cellStyle name="Normal 2 2 10 2 28 3 4" xfId="7611" xr:uid="{00000000-0005-0000-0000-0000BB1D0000}"/>
    <cellStyle name="Normal 2 2 10 2 28 3 5" xfId="7612" xr:uid="{00000000-0005-0000-0000-0000BC1D0000}"/>
    <cellStyle name="Normal 2 2 10 2 28 3 6" xfId="7613" xr:uid="{00000000-0005-0000-0000-0000BD1D0000}"/>
    <cellStyle name="Normal 2 2 10 2 28 3 7" xfId="7614" xr:uid="{00000000-0005-0000-0000-0000BE1D0000}"/>
    <cellStyle name="Normal 2 2 10 2 28 3 8" xfId="7615" xr:uid="{00000000-0005-0000-0000-0000BF1D0000}"/>
    <cellStyle name="Normal 2 2 10 2 28 3 9" xfId="7616" xr:uid="{00000000-0005-0000-0000-0000C01D0000}"/>
    <cellStyle name="Normal 2 2 10 2 28 4" xfId="7617" xr:uid="{00000000-0005-0000-0000-0000C11D0000}"/>
    <cellStyle name="Normal 2 2 10 2 28 4 10" xfId="7618" xr:uid="{00000000-0005-0000-0000-0000C21D0000}"/>
    <cellStyle name="Normal 2 2 10 2 28 4 2" xfId="7619" xr:uid="{00000000-0005-0000-0000-0000C31D0000}"/>
    <cellStyle name="Normal 2 2 10 2 28 4 3" xfId="7620" xr:uid="{00000000-0005-0000-0000-0000C41D0000}"/>
    <cellStyle name="Normal 2 2 10 2 28 4 4" xfId="7621" xr:uid="{00000000-0005-0000-0000-0000C51D0000}"/>
    <cellStyle name="Normal 2 2 10 2 28 4 5" xfId="7622" xr:uid="{00000000-0005-0000-0000-0000C61D0000}"/>
    <cellStyle name="Normal 2 2 10 2 28 4 6" xfId="7623" xr:uid="{00000000-0005-0000-0000-0000C71D0000}"/>
    <cellStyle name="Normal 2 2 10 2 28 4 7" xfId="7624" xr:uid="{00000000-0005-0000-0000-0000C81D0000}"/>
    <cellStyle name="Normal 2 2 10 2 28 4 8" xfId="7625" xr:uid="{00000000-0005-0000-0000-0000C91D0000}"/>
    <cellStyle name="Normal 2 2 10 2 28 4 9" xfId="7626" xr:uid="{00000000-0005-0000-0000-0000CA1D0000}"/>
    <cellStyle name="Normal 2 2 10 2 28 5" xfId="7627" xr:uid="{00000000-0005-0000-0000-0000CB1D0000}"/>
    <cellStyle name="Normal 2 2 10 2 28 5 10" xfId="7628" xr:uid="{00000000-0005-0000-0000-0000CC1D0000}"/>
    <cellStyle name="Normal 2 2 10 2 28 5 2" xfId="7629" xr:uid="{00000000-0005-0000-0000-0000CD1D0000}"/>
    <cellStyle name="Normal 2 2 10 2 28 5 3" xfId="7630" xr:uid="{00000000-0005-0000-0000-0000CE1D0000}"/>
    <cellStyle name="Normal 2 2 10 2 28 5 4" xfId="7631" xr:uid="{00000000-0005-0000-0000-0000CF1D0000}"/>
    <cellStyle name="Normal 2 2 10 2 28 5 5" xfId="7632" xr:uid="{00000000-0005-0000-0000-0000D01D0000}"/>
    <cellStyle name="Normal 2 2 10 2 28 5 6" xfId="7633" xr:uid="{00000000-0005-0000-0000-0000D11D0000}"/>
    <cellStyle name="Normal 2 2 10 2 28 5 7" xfId="7634" xr:uid="{00000000-0005-0000-0000-0000D21D0000}"/>
    <cellStyle name="Normal 2 2 10 2 28 5 8" xfId="7635" xr:uid="{00000000-0005-0000-0000-0000D31D0000}"/>
    <cellStyle name="Normal 2 2 10 2 28 5 9" xfId="7636" xr:uid="{00000000-0005-0000-0000-0000D41D0000}"/>
    <cellStyle name="Normal 2 2 10 2 28 6" xfId="7637" xr:uid="{00000000-0005-0000-0000-0000D51D0000}"/>
    <cellStyle name="Normal 2 2 10 2 28 7" xfId="7638" xr:uid="{00000000-0005-0000-0000-0000D61D0000}"/>
    <cellStyle name="Normal 2 2 10 2 28 8" xfId="7639" xr:uid="{00000000-0005-0000-0000-0000D71D0000}"/>
    <cellStyle name="Normal 2 2 10 2 28 9" xfId="7640" xr:uid="{00000000-0005-0000-0000-0000D81D0000}"/>
    <cellStyle name="Normal 2 2 10 2 29" xfId="7641" xr:uid="{00000000-0005-0000-0000-0000D91D0000}"/>
    <cellStyle name="Normal 2 2 10 2 29 10" xfId="7642" xr:uid="{00000000-0005-0000-0000-0000DA1D0000}"/>
    <cellStyle name="Normal 2 2 10 2 29 11" xfId="7643" xr:uid="{00000000-0005-0000-0000-0000DB1D0000}"/>
    <cellStyle name="Normal 2 2 10 2 29 12" xfId="7644" xr:uid="{00000000-0005-0000-0000-0000DC1D0000}"/>
    <cellStyle name="Normal 2 2 10 2 29 13" xfId="7645" xr:uid="{00000000-0005-0000-0000-0000DD1D0000}"/>
    <cellStyle name="Normal 2 2 10 2 29 14" xfId="7646" xr:uid="{00000000-0005-0000-0000-0000DE1D0000}"/>
    <cellStyle name="Normal 2 2 10 2 29 2" xfId="7647" xr:uid="{00000000-0005-0000-0000-0000DF1D0000}"/>
    <cellStyle name="Normal 2 2 10 2 29 2 10" xfId="7648" xr:uid="{00000000-0005-0000-0000-0000E01D0000}"/>
    <cellStyle name="Normal 2 2 10 2 29 2 2" xfId="7649" xr:uid="{00000000-0005-0000-0000-0000E11D0000}"/>
    <cellStyle name="Normal 2 2 10 2 29 2 3" xfId="7650" xr:uid="{00000000-0005-0000-0000-0000E21D0000}"/>
    <cellStyle name="Normal 2 2 10 2 29 2 4" xfId="7651" xr:uid="{00000000-0005-0000-0000-0000E31D0000}"/>
    <cellStyle name="Normal 2 2 10 2 29 2 5" xfId="7652" xr:uid="{00000000-0005-0000-0000-0000E41D0000}"/>
    <cellStyle name="Normal 2 2 10 2 29 2 6" xfId="7653" xr:uid="{00000000-0005-0000-0000-0000E51D0000}"/>
    <cellStyle name="Normal 2 2 10 2 29 2 7" xfId="7654" xr:uid="{00000000-0005-0000-0000-0000E61D0000}"/>
    <cellStyle name="Normal 2 2 10 2 29 2 8" xfId="7655" xr:uid="{00000000-0005-0000-0000-0000E71D0000}"/>
    <cellStyle name="Normal 2 2 10 2 29 2 9" xfId="7656" xr:uid="{00000000-0005-0000-0000-0000E81D0000}"/>
    <cellStyle name="Normal 2 2 10 2 29 3" xfId="7657" xr:uid="{00000000-0005-0000-0000-0000E91D0000}"/>
    <cellStyle name="Normal 2 2 10 2 29 3 10" xfId="7658" xr:uid="{00000000-0005-0000-0000-0000EA1D0000}"/>
    <cellStyle name="Normal 2 2 10 2 29 3 2" xfId="7659" xr:uid="{00000000-0005-0000-0000-0000EB1D0000}"/>
    <cellStyle name="Normal 2 2 10 2 29 3 3" xfId="7660" xr:uid="{00000000-0005-0000-0000-0000EC1D0000}"/>
    <cellStyle name="Normal 2 2 10 2 29 3 4" xfId="7661" xr:uid="{00000000-0005-0000-0000-0000ED1D0000}"/>
    <cellStyle name="Normal 2 2 10 2 29 3 5" xfId="7662" xr:uid="{00000000-0005-0000-0000-0000EE1D0000}"/>
    <cellStyle name="Normal 2 2 10 2 29 3 6" xfId="7663" xr:uid="{00000000-0005-0000-0000-0000EF1D0000}"/>
    <cellStyle name="Normal 2 2 10 2 29 3 7" xfId="7664" xr:uid="{00000000-0005-0000-0000-0000F01D0000}"/>
    <cellStyle name="Normal 2 2 10 2 29 3 8" xfId="7665" xr:uid="{00000000-0005-0000-0000-0000F11D0000}"/>
    <cellStyle name="Normal 2 2 10 2 29 3 9" xfId="7666" xr:uid="{00000000-0005-0000-0000-0000F21D0000}"/>
    <cellStyle name="Normal 2 2 10 2 29 4" xfId="7667" xr:uid="{00000000-0005-0000-0000-0000F31D0000}"/>
    <cellStyle name="Normal 2 2 10 2 29 4 10" xfId="7668" xr:uid="{00000000-0005-0000-0000-0000F41D0000}"/>
    <cellStyle name="Normal 2 2 10 2 29 4 2" xfId="7669" xr:uid="{00000000-0005-0000-0000-0000F51D0000}"/>
    <cellStyle name="Normal 2 2 10 2 29 4 3" xfId="7670" xr:uid="{00000000-0005-0000-0000-0000F61D0000}"/>
    <cellStyle name="Normal 2 2 10 2 29 4 4" xfId="7671" xr:uid="{00000000-0005-0000-0000-0000F71D0000}"/>
    <cellStyle name="Normal 2 2 10 2 29 4 5" xfId="7672" xr:uid="{00000000-0005-0000-0000-0000F81D0000}"/>
    <cellStyle name="Normal 2 2 10 2 29 4 6" xfId="7673" xr:uid="{00000000-0005-0000-0000-0000F91D0000}"/>
    <cellStyle name="Normal 2 2 10 2 29 4 7" xfId="7674" xr:uid="{00000000-0005-0000-0000-0000FA1D0000}"/>
    <cellStyle name="Normal 2 2 10 2 29 4 8" xfId="7675" xr:uid="{00000000-0005-0000-0000-0000FB1D0000}"/>
    <cellStyle name="Normal 2 2 10 2 29 4 9" xfId="7676" xr:uid="{00000000-0005-0000-0000-0000FC1D0000}"/>
    <cellStyle name="Normal 2 2 10 2 29 5" xfId="7677" xr:uid="{00000000-0005-0000-0000-0000FD1D0000}"/>
    <cellStyle name="Normal 2 2 10 2 29 5 10" xfId="7678" xr:uid="{00000000-0005-0000-0000-0000FE1D0000}"/>
    <cellStyle name="Normal 2 2 10 2 29 5 2" xfId="7679" xr:uid="{00000000-0005-0000-0000-0000FF1D0000}"/>
    <cellStyle name="Normal 2 2 10 2 29 5 3" xfId="7680" xr:uid="{00000000-0005-0000-0000-0000001E0000}"/>
    <cellStyle name="Normal 2 2 10 2 29 5 4" xfId="7681" xr:uid="{00000000-0005-0000-0000-0000011E0000}"/>
    <cellStyle name="Normal 2 2 10 2 29 5 5" xfId="7682" xr:uid="{00000000-0005-0000-0000-0000021E0000}"/>
    <cellStyle name="Normal 2 2 10 2 29 5 6" xfId="7683" xr:uid="{00000000-0005-0000-0000-0000031E0000}"/>
    <cellStyle name="Normal 2 2 10 2 29 5 7" xfId="7684" xr:uid="{00000000-0005-0000-0000-0000041E0000}"/>
    <cellStyle name="Normal 2 2 10 2 29 5 8" xfId="7685" xr:uid="{00000000-0005-0000-0000-0000051E0000}"/>
    <cellStyle name="Normal 2 2 10 2 29 5 9" xfId="7686" xr:uid="{00000000-0005-0000-0000-0000061E0000}"/>
    <cellStyle name="Normal 2 2 10 2 29 6" xfId="7687" xr:uid="{00000000-0005-0000-0000-0000071E0000}"/>
    <cellStyle name="Normal 2 2 10 2 29 7" xfId="7688" xr:uid="{00000000-0005-0000-0000-0000081E0000}"/>
    <cellStyle name="Normal 2 2 10 2 29 8" xfId="7689" xr:uid="{00000000-0005-0000-0000-0000091E0000}"/>
    <cellStyle name="Normal 2 2 10 2 29 9" xfId="7690" xr:uid="{00000000-0005-0000-0000-00000A1E0000}"/>
    <cellStyle name="Normal 2 2 10 2 3" xfId="7691" xr:uid="{00000000-0005-0000-0000-00000B1E0000}"/>
    <cellStyle name="Normal 2 2 10 2 3 10" xfId="7692" xr:uid="{00000000-0005-0000-0000-00000C1E0000}"/>
    <cellStyle name="Normal 2 2 10 2 3 11" xfId="7693" xr:uid="{00000000-0005-0000-0000-00000D1E0000}"/>
    <cellStyle name="Normal 2 2 10 2 3 12" xfId="7694" xr:uid="{00000000-0005-0000-0000-00000E1E0000}"/>
    <cellStyle name="Normal 2 2 10 2 3 13" xfId="7695" xr:uid="{00000000-0005-0000-0000-00000F1E0000}"/>
    <cellStyle name="Normal 2 2 10 2 3 14" xfId="7696" xr:uid="{00000000-0005-0000-0000-0000101E0000}"/>
    <cellStyle name="Normal 2 2 10 2 3 2" xfId="7697" xr:uid="{00000000-0005-0000-0000-0000111E0000}"/>
    <cellStyle name="Normal 2 2 10 2 3 2 10" xfId="7698" xr:uid="{00000000-0005-0000-0000-0000121E0000}"/>
    <cellStyle name="Normal 2 2 10 2 3 2 2" xfId="7699" xr:uid="{00000000-0005-0000-0000-0000131E0000}"/>
    <cellStyle name="Normal 2 2 10 2 3 2 3" xfId="7700" xr:uid="{00000000-0005-0000-0000-0000141E0000}"/>
    <cellStyle name="Normal 2 2 10 2 3 2 4" xfId="7701" xr:uid="{00000000-0005-0000-0000-0000151E0000}"/>
    <cellStyle name="Normal 2 2 10 2 3 2 5" xfId="7702" xr:uid="{00000000-0005-0000-0000-0000161E0000}"/>
    <cellStyle name="Normal 2 2 10 2 3 2 6" xfId="7703" xr:uid="{00000000-0005-0000-0000-0000171E0000}"/>
    <cellStyle name="Normal 2 2 10 2 3 2 7" xfId="7704" xr:uid="{00000000-0005-0000-0000-0000181E0000}"/>
    <cellStyle name="Normal 2 2 10 2 3 2 8" xfId="7705" xr:uid="{00000000-0005-0000-0000-0000191E0000}"/>
    <cellStyle name="Normal 2 2 10 2 3 2 9" xfId="7706" xr:uid="{00000000-0005-0000-0000-00001A1E0000}"/>
    <cellStyle name="Normal 2 2 10 2 3 3" xfId="7707" xr:uid="{00000000-0005-0000-0000-00001B1E0000}"/>
    <cellStyle name="Normal 2 2 10 2 3 3 10" xfId="7708" xr:uid="{00000000-0005-0000-0000-00001C1E0000}"/>
    <cellStyle name="Normal 2 2 10 2 3 3 2" xfId="7709" xr:uid="{00000000-0005-0000-0000-00001D1E0000}"/>
    <cellStyle name="Normal 2 2 10 2 3 3 3" xfId="7710" xr:uid="{00000000-0005-0000-0000-00001E1E0000}"/>
    <cellStyle name="Normal 2 2 10 2 3 3 4" xfId="7711" xr:uid="{00000000-0005-0000-0000-00001F1E0000}"/>
    <cellStyle name="Normal 2 2 10 2 3 3 5" xfId="7712" xr:uid="{00000000-0005-0000-0000-0000201E0000}"/>
    <cellStyle name="Normal 2 2 10 2 3 3 6" xfId="7713" xr:uid="{00000000-0005-0000-0000-0000211E0000}"/>
    <cellStyle name="Normal 2 2 10 2 3 3 7" xfId="7714" xr:uid="{00000000-0005-0000-0000-0000221E0000}"/>
    <cellStyle name="Normal 2 2 10 2 3 3 8" xfId="7715" xr:uid="{00000000-0005-0000-0000-0000231E0000}"/>
    <cellStyle name="Normal 2 2 10 2 3 3 9" xfId="7716" xr:uid="{00000000-0005-0000-0000-0000241E0000}"/>
    <cellStyle name="Normal 2 2 10 2 3 4" xfId="7717" xr:uid="{00000000-0005-0000-0000-0000251E0000}"/>
    <cellStyle name="Normal 2 2 10 2 3 4 10" xfId="7718" xr:uid="{00000000-0005-0000-0000-0000261E0000}"/>
    <cellStyle name="Normal 2 2 10 2 3 4 2" xfId="7719" xr:uid="{00000000-0005-0000-0000-0000271E0000}"/>
    <cellStyle name="Normal 2 2 10 2 3 4 3" xfId="7720" xr:uid="{00000000-0005-0000-0000-0000281E0000}"/>
    <cellStyle name="Normal 2 2 10 2 3 4 4" xfId="7721" xr:uid="{00000000-0005-0000-0000-0000291E0000}"/>
    <cellStyle name="Normal 2 2 10 2 3 4 5" xfId="7722" xr:uid="{00000000-0005-0000-0000-00002A1E0000}"/>
    <cellStyle name="Normal 2 2 10 2 3 4 6" xfId="7723" xr:uid="{00000000-0005-0000-0000-00002B1E0000}"/>
    <cellStyle name="Normal 2 2 10 2 3 4 7" xfId="7724" xr:uid="{00000000-0005-0000-0000-00002C1E0000}"/>
    <cellStyle name="Normal 2 2 10 2 3 4 8" xfId="7725" xr:uid="{00000000-0005-0000-0000-00002D1E0000}"/>
    <cellStyle name="Normal 2 2 10 2 3 4 9" xfId="7726" xr:uid="{00000000-0005-0000-0000-00002E1E0000}"/>
    <cellStyle name="Normal 2 2 10 2 3 5" xfId="7727" xr:uid="{00000000-0005-0000-0000-00002F1E0000}"/>
    <cellStyle name="Normal 2 2 10 2 3 5 10" xfId="7728" xr:uid="{00000000-0005-0000-0000-0000301E0000}"/>
    <cellStyle name="Normal 2 2 10 2 3 5 2" xfId="7729" xr:uid="{00000000-0005-0000-0000-0000311E0000}"/>
    <cellStyle name="Normal 2 2 10 2 3 5 3" xfId="7730" xr:uid="{00000000-0005-0000-0000-0000321E0000}"/>
    <cellStyle name="Normal 2 2 10 2 3 5 4" xfId="7731" xr:uid="{00000000-0005-0000-0000-0000331E0000}"/>
    <cellStyle name="Normal 2 2 10 2 3 5 5" xfId="7732" xr:uid="{00000000-0005-0000-0000-0000341E0000}"/>
    <cellStyle name="Normal 2 2 10 2 3 5 6" xfId="7733" xr:uid="{00000000-0005-0000-0000-0000351E0000}"/>
    <cellStyle name="Normal 2 2 10 2 3 5 7" xfId="7734" xr:uid="{00000000-0005-0000-0000-0000361E0000}"/>
    <cellStyle name="Normal 2 2 10 2 3 5 8" xfId="7735" xr:uid="{00000000-0005-0000-0000-0000371E0000}"/>
    <cellStyle name="Normal 2 2 10 2 3 5 9" xfId="7736" xr:uid="{00000000-0005-0000-0000-0000381E0000}"/>
    <cellStyle name="Normal 2 2 10 2 3 6" xfId="7737" xr:uid="{00000000-0005-0000-0000-0000391E0000}"/>
    <cellStyle name="Normal 2 2 10 2 3 7" xfId="7738" xr:uid="{00000000-0005-0000-0000-00003A1E0000}"/>
    <cellStyle name="Normal 2 2 10 2 3 8" xfId="7739" xr:uid="{00000000-0005-0000-0000-00003B1E0000}"/>
    <cellStyle name="Normal 2 2 10 2 3 9" xfId="7740" xr:uid="{00000000-0005-0000-0000-00003C1E0000}"/>
    <cellStyle name="Normal 2 2 10 2 30" xfId="7741" xr:uid="{00000000-0005-0000-0000-00003D1E0000}"/>
    <cellStyle name="Normal 2 2 10 2 30 10" xfId="7742" xr:uid="{00000000-0005-0000-0000-00003E1E0000}"/>
    <cellStyle name="Normal 2 2 10 2 30 11" xfId="7743" xr:uid="{00000000-0005-0000-0000-00003F1E0000}"/>
    <cellStyle name="Normal 2 2 10 2 30 12" xfId="7744" xr:uid="{00000000-0005-0000-0000-0000401E0000}"/>
    <cellStyle name="Normal 2 2 10 2 30 13" xfId="7745" xr:uid="{00000000-0005-0000-0000-0000411E0000}"/>
    <cellStyle name="Normal 2 2 10 2 30 14" xfId="7746" xr:uid="{00000000-0005-0000-0000-0000421E0000}"/>
    <cellStyle name="Normal 2 2 10 2 30 2" xfId="7747" xr:uid="{00000000-0005-0000-0000-0000431E0000}"/>
    <cellStyle name="Normal 2 2 10 2 30 2 10" xfId="7748" xr:uid="{00000000-0005-0000-0000-0000441E0000}"/>
    <cellStyle name="Normal 2 2 10 2 30 2 2" xfId="7749" xr:uid="{00000000-0005-0000-0000-0000451E0000}"/>
    <cellStyle name="Normal 2 2 10 2 30 2 3" xfId="7750" xr:uid="{00000000-0005-0000-0000-0000461E0000}"/>
    <cellStyle name="Normal 2 2 10 2 30 2 4" xfId="7751" xr:uid="{00000000-0005-0000-0000-0000471E0000}"/>
    <cellStyle name="Normal 2 2 10 2 30 2 5" xfId="7752" xr:uid="{00000000-0005-0000-0000-0000481E0000}"/>
    <cellStyle name="Normal 2 2 10 2 30 2 6" xfId="7753" xr:uid="{00000000-0005-0000-0000-0000491E0000}"/>
    <cellStyle name="Normal 2 2 10 2 30 2 7" xfId="7754" xr:uid="{00000000-0005-0000-0000-00004A1E0000}"/>
    <cellStyle name="Normal 2 2 10 2 30 2 8" xfId="7755" xr:uid="{00000000-0005-0000-0000-00004B1E0000}"/>
    <cellStyle name="Normal 2 2 10 2 30 2 9" xfId="7756" xr:uid="{00000000-0005-0000-0000-00004C1E0000}"/>
    <cellStyle name="Normal 2 2 10 2 30 3" xfId="7757" xr:uid="{00000000-0005-0000-0000-00004D1E0000}"/>
    <cellStyle name="Normal 2 2 10 2 30 3 10" xfId="7758" xr:uid="{00000000-0005-0000-0000-00004E1E0000}"/>
    <cellStyle name="Normal 2 2 10 2 30 3 2" xfId="7759" xr:uid="{00000000-0005-0000-0000-00004F1E0000}"/>
    <cellStyle name="Normal 2 2 10 2 30 3 3" xfId="7760" xr:uid="{00000000-0005-0000-0000-0000501E0000}"/>
    <cellStyle name="Normal 2 2 10 2 30 3 4" xfId="7761" xr:uid="{00000000-0005-0000-0000-0000511E0000}"/>
    <cellStyle name="Normal 2 2 10 2 30 3 5" xfId="7762" xr:uid="{00000000-0005-0000-0000-0000521E0000}"/>
    <cellStyle name="Normal 2 2 10 2 30 3 6" xfId="7763" xr:uid="{00000000-0005-0000-0000-0000531E0000}"/>
    <cellStyle name="Normal 2 2 10 2 30 3 7" xfId="7764" xr:uid="{00000000-0005-0000-0000-0000541E0000}"/>
    <cellStyle name="Normal 2 2 10 2 30 3 8" xfId="7765" xr:uid="{00000000-0005-0000-0000-0000551E0000}"/>
    <cellStyle name="Normal 2 2 10 2 30 3 9" xfId="7766" xr:uid="{00000000-0005-0000-0000-0000561E0000}"/>
    <cellStyle name="Normal 2 2 10 2 30 4" xfId="7767" xr:uid="{00000000-0005-0000-0000-0000571E0000}"/>
    <cellStyle name="Normal 2 2 10 2 30 4 10" xfId="7768" xr:uid="{00000000-0005-0000-0000-0000581E0000}"/>
    <cellStyle name="Normal 2 2 10 2 30 4 2" xfId="7769" xr:uid="{00000000-0005-0000-0000-0000591E0000}"/>
    <cellStyle name="Normal 2 2 10 2 30 4 3" xfId="7770" xr:uid="{00000000-0005-0000-0000-00005A1E0000}"/>
    <cellStyle name="Normal 2 2 10 2 30 4 4" xfId="7771" xr:uid="{00000000-0005-0000-0000-00005B1E0000}"/>
    <cellStyle name="Normal 2 2 10 2 30 4 5" xfId="7772" xr:uid="{00000000-0005-0000-0000-00005C1E0000}"/>
    <cellStyle name="Normal 2 2 10 2 30 4 6" xfId="7773" xr:uid="{00000000-0005-0000-0000-00005D1E0000}"/>
    <cellStyle name="Normal 2 2 10 2 30 4 7" xfId="7774" xr:uid="{00000000-0005-0000-0000-00005E1E0000}"/>
    <cellStyle name="Normal 2 2 10 2 30 4 8" xfId="7775" xr:uid="{00000000-0005-0000-0000-00005F1E0000}"/>
    <cellStyle name="Normal 2 2 10 2 30 4 9" xfId="7776" xr:uid="{00000000-0005-0000-0000-0000601E0000}"/>
    <cellStyle name="Normal 2 2 10 2 30 5" xfId="7777" xr:uid="{00000000-0005-0000-0000-0000611E0000}"/>
    <cellStyle name="Normal 2 2 10 2 30 5 10" xfId="7778" xr:uid="{00000000-0005-0000-0000-0000621E0000}"/>
    <cellStyle name="Normal 2 2 10 2 30 5 2" xfId="7779" xr:uid="{00000000-0005-0000-0000-0000631E0000}"/>
    <cellStyle name="Normal 2 2 10 2 30 5 3" xfId="7780" xr:uid="{00000000-0005-0000-0000-0000641E0000}"/>
    <cellStyle name="Normal 2 2 10 2 30 5 4" xfId="7781" xr:uid="{00000000-0005-0000-0000-0000651E0000}"/>
    <cellStyle name="Normal 2 2 10 2 30 5 5" xfId="7782" xr:uid="{00000000-0005-0000-0000-0000661E0000}"/>
    <cellStyle name="Normal 2 2 10 2 30 5 6" xfId="7783" xr:uid="{00000000-0005-0000-0000-0000671E0000}"/>
    <cellStyle name="Normal 2 2 10 2 30 5 7" xfId="7784" xr:uid="{00000000-0005-0000-0000-0000681E0000}"/>
    <cellStyle name="Normal 2 2 10 2 30 5 8" xfId="7785" xr:uid="{00000000-0005-0000-0000-0000691E0000}"/>
    <cellStyle name="Normal 2 2 10 2 30 5 9" xfId="7786" xr:uid="{00000000-0005-0000-0000-00006A1E0000}"/>
    <cellStyle name="Normal 2 2 10 2 30 6" xfId="7787" xr:uid="{00000000-0005-0000-0000-00006B1E0000}"/>
    <cellStyle name="Normal 2 2 10 2 30 7" xfId="7788" xr:uid="{00000000-0005-0000-0000-00006C1E0000}"/>
    <cellStyle name="Normal 2 2 10 2 30 8" xfId="7789" xr:uid="{00000000-0005-0000-0000-00006D1E0000}"/>
    <cellStyle name="Normal 2 2 10 2 30 9" xfId="7790" xr:uid="{00000000-0005-0000-0000-00006E1E0000}"/>
    <cellStyle name="Normal 2 2 10 2 31" xfId="7791" xr:uid="{00000000-0005-0000-0000-00006F1E0000}"/>
    <cellStyle name="Normal 2 2 10 2 31 10" xfId="7792" xr:uid="{00000000-0005-0000-0000-0000701E0000}"/>
    <cellStyle name="Normal 2 2 10 2 31 11" xfId="7793" xr:uid="{00000000-0005-0000-0000-0000711E0000}"/>
    <cellStyle name="Normal 2 2 10 2 31 12" xfId="7794" xr:uid="{00000000-0005-0000-0000-0000721E0000}"/>
    <cellStyle name="Normal 2 2 10 2 31 13" xfId="7795" xr:uid="{00000000-0005-0000-0000-0000731E0000}"/>
    <cellStyle name="Normal 2 2 10 2 31 14" xfId="7796" xr:uid="{00000000-0005-0000-0000-0000741E0000}"/>
    <cellStyle name="Normal 2 2 10 2 31 2" xfId="7797" xr:uid="{00000000-0005-0000-0000-0000751E0000}"/>
    <cellStyle name="Normal 2 2 10 2 31 2 10" xfId="7798" xr:uid="{00000000-0005-0000-0000-0000761E0000}"/>
    <cellStyle name="Normal 2 2 10 2 31 2 2" xfId="7799" xr:uid="{00000000-0005-0000-0000-0000771E0000}"/>
    <cellStyle name="Normal 2 2 10 2 31 2 3" xfId="7800" xr:uid="{00000000-0005-0000-0000-0000781E0000}"/>
    <cellStyle name="Normal 2 2 10 2 31 2 4" xfId="7801" xr:uid="{00000000-0005-0000-0000-0000791E0000}"/>
    <cellStyle name="Normal 2 2 10 2 31 2 5" xfId="7802" xr:uid="{00000000-0005-0000-0000-00007A1E0000}"/>
    <cellStyle name="Normal 2 2 10 2 31 2 6" xfId="7803" xr:uid="{00000000-0005-0000-0000-00007B1E0000}"/>
    <cellStyle name="Normal 2 2 10 2 31 2 7" xfId="7804" xr:uid="{00000000-0005-0000-0000-00007C1E0000}"/>
    <cellStyle name="Normal 2 2 10 2 31 2 8" xfId="7805" xr:uid="{00000000-0005-0000-0000-00007D1E0000}"/>
    <cellStyle name="Normal 2 2 10 2 31 2 9" xfId="7806" xr:uid="{00000000-0005-0000-0000-00007E1E0000}"/>
    <cellStyle name="Normal 2 2 10 2 31 3" xfId="7807" xr:uid="{00000000-0005-0000-0000-00007F1E0000}"/>
    <cellStyle name="Normal 2 2 10 2 31 3 10" xfId="7808" xr:uid="{00000000-0005-0000-0000-0000801E0000}"/>
    <cellStyle name="Normal 2 2 10 2 31 3 2" xfId="7809" xr:uid="{00000000-0005-0000-0000-0000811E0000}"/>
    <cellStyle name="Normal 2 2 10 2 31 3 3" xfId="7810" xr:uid="{00000000-0005-0000-0000-0000821E0000}"/>
    <cellStyle name="Normal 2 2 10 2 31 3 4" xfId="7811" xr:uid="{00000000-0005-0000-0000-0000831E0000}"/>
    <cellStyle name="Normal 2 2 10 2 31 3 5" xfId="7812" xr:uid="{00000000-0005-0000-0000-0000841E0000}"/>
    <cellStyle name="Normal 2 2 10 2 31 3 6" xfId="7813" xr:uid="{00000000-0005-0000-0000-0000851E0000}"/>
    <cellStyle name="Normal 2 2 10 2 31 3 7" xfId="7814" xr:uid="{00000000-0005-0000-0000-0000861E0000}"/>
    <cellStyle name="Normal 2 2 10 2 31 3 8" xfId="7815" xr:uid="{00000000-0005-0000-0000-0000871E0000}"/>
    <cellStyle name="Normal 2 2 10 2 31 3 9" xfId="7816" xr:uid="{00000000-0005-0000-0000-0000881E0000}"/>
    <cellStyle name="Normal 2 2 10 2 31 4" xfId="7817" xr:uid="{00000000-0005-0000-0000-0000891E0000}"/>
    <cellStyle name="Normal 2 2 10 2 31 4 10" xfId="7818" xr:uid="{00000000-0005-0000-0000-00008A1E0000}"/>
    <cellStyle name="Normal 2 2 10 2 31 4 2" xfId="7819" xr:uid="{00000000-0005-0000-0000-00008B1E0000}"/>
    <cellStyle name="Normal 2 2 10 2 31 4 3" xfId="7820" xr:uid="{00000000-0005-0000-0000-00008C1E0000}"/>
    <cellStyle name="Normal 2 2 10 2 31 4 4" xfId="7821" xr:uid="{00000000-0005-0000-0000-00008D1E0000}"/>
    <cellStyle name="Normal 2 2 10 2 31 4 5" xfId="7822" xr:uid="{00000000-0005-0000-0000-00008E1E0000}"/>
    <cellStyle name="Normal 2 2 10 2 31 4 6" xfId="7823" xr:uid="{00000000-0005-0000-0000-00008F1E0000}"/>
    <cellStyle name="Normal 2 2 10 2 31 4 7" xfId="7824" xr:uid="{00000000-0005-0000-0000-0000901E0000}"/>
    <cellStyle name="Normal 2 2 10 2 31 4 8" xfId="7825" xr:uid="{00000000-0005-0000-0000-0000911E0000}"/>
    <cellStyle name="Normal 2 2 10 2 31 4 9" xfId="7826" xr:uid="{00000000-0005-0000-0000-0000921E0000}"/>
    <cellStyle name="Normal 2 2 10 2 31 5" xfId="7827" xr:uid="{00000000-0005-0000-0000-0000931E0000}"/>
    <cellStyle name="Normal 2 2 10 2 31 5 10" xfId="7828" xr:uid="{00000000-0005-0000-0000-0000941E0000}"/>
    <cellStyle name="Normal 2 2 10 2 31 5 2" xfId="7829" xr:uid="{00000000-0005-0000-0000-0000951E0000}"/>
    <cellStyle name="Normal 2 2 10 2 31 5 3" xfId="7830" xr:uid="{00000000-0005-0000-0000-0000961E0000}"/>
    <cellStyle name="Normal 2 2 10 2 31 5 4" xfId="7831" xr:uid="{00000000-0005-0000-0000-0000971E0000}"/>
    <cellStyle name="Normal 2 2 10 2 31 5 5" xfId="7832" xr:uid="{00000000-0005-0000-0000-0000981E0000}"/>
    <cellStyle name="Normal 2 2 10 2 31 5 6" xfId="7833" xr:uid="{00000000-0005-0000-0000-0000991E0000}"/>
    <cellStyle name="Normal 2 2 10 2 31 5 7" xfId="7834" xr:uid="{00000000-0005-0000-0000-00009A1E0000}"/>
    <cellStyle name="Normal 2 2 10 2 31 5 8" xfId="7835" xr:uid="{00000000-0005-0000-0000-00009B1E0000}"/>
    <cellStyle name="Normal 2 2 10 2 31 5 9" xfId="7836" xr:uid="{00000000-0005-0000-0000-00009C1E0000}"/>
    <cellStyle name="Normal 2 2 10 2 31 6" xfId="7837" xr:uid="{00000000-0005-0000-0000-00009D1E0000}"/>
    <cellStyle name="Normal 2 2 10 2 31 7" xfId="7838" xr:uid="{00000000-0005-0000-0000-00009E1E0000}"/>
    <cellStyle name="Normal 2 2 10 2 31 8" xfId="7839" xr:uid="{00000000-0005-0000-0000-00009F1E0000}"/>
    <cellStyle name="Normal 2 2 10 2 31 9" xfId="7840" xr:uid="{00000000-0005-0000-0000-0000A01E0000}"/>
    <cellStyle name="Normal 2 2 10 2 32" xfId="7841" xr:uid="{00000000-0005-0000-0000-0000A11E0000}"/>
    <cellStyle name="Normal 2 2 10 2 32 10" xfId="7842" xr:uid="{00000000-0005-0000-0000-0000A21E0000}"/>
    <cellStyle name="Normal 2 2 10 2 32 11" xfId="7843" xr:uid="{00000000-0005-0000-0000-0000A31E0000}"/>
    <cellStyle name="Normal 2 2 10 2 32 12" xfId="7844" xr:uid="{00000000-0005-0000-0000-0000A41E0000}"/>
    <cellStyle name="Normal 2 2 10 2 32 13" xfId="7845" xr:uid="{00000000-0005-0000-0000-0000A51E0000}"/>
    <cellStyle name="Normal 2 2 10 2 32 14" xfId="7846" xr:uid="{00000000-0005-0000-0000-0000A61E0000}"/>
    <cellStyle name="Normal 2 2 10 2 32 2" xfId="7847" xr:uid="{00000000-0005-0000-0000-0000A71E0000}"/>
    <cellStyle name="Normal 2 2 10 2 32 2 10" xfId="7848" xr:uid="{00000000-0005-0000-0000-0000A81E0000}"/>
    <cellStyle name="Normal 2 2 10 2 32 2 2" xfId="7849" xr:uid="{00000000-0005-0000-0000-0000A91E0000}"/>
    <cellStyle name="Normal 2 2 10 2 32 2 3" xfId="7850" xr:uid="{00000000-0005-0000-0000-0000AA1E0000}"/>
    <cellStyle name="Normal 2 2 10 2 32 2 4" xfId="7851" xr:uid="{00000000-0005-0000-0000-0000AB1E0000}"/>
    <cellStyle name="Normal 2 2 10 2 32 2 5" xfId="7852" xr:uid="{00000000-0005-0000-0000-0000AC1E0000}"/>
    <cellStyle name="Normal 2 2 10 2 32 2 6" xfId="7853" xr:uid="{00000000-0005-0000-0000-0000AD1E0000}"/>
    <cellStyle name="Normal 2 2 10 2 32 2 7" xfId="7854" xr:uid="{00000000-0005-0000-0000-0000AE1E0000}"/>
    <cellStyle name="Normal 2 2 10 2 32 2 8" xfId="7855" xr:uid="{00000000-0005-0000-0000-0000AF1E0000}"/>
    <cellStyle name="Normal 2 2 10 2 32 2 9" xfId="7856" xr:uid="{00000000-0005-0000-0000-0000B01E0000}"/>
    <cellStyle name="Normal 2 2 10 2 32 3" xfId="7857" xr:uid="{00000000-0005-0000-0000-0000B11E0000}"/>
    <cellStyle name="Normal 2 2 10 2 32 3 10" xfId="7858" xr:uid="{00000000-0005-0000-0000-0000B21E0000}"/>
    <cellStyle name="Normal 2 2 10 2 32 3 2" xfId="7859" xr:uid="{00000000-0005-0000-0000-0000B31E0000}"/>
    <cellStyle name="Normal 2 2 10 2 32 3 3" xfId="7860" xr:uid="{00000000-0005-0000-0000-0000B41E0000}"/>
    <cellStyle name="Normal 2 2 10 2 32 3 4" xfId="7861" xr:uid="{00000000-0005-0000-0000-0000B51E0000}"/>
    <cellStyle name="Normal 2 2 10 2 32 3 5" xfId="7862" xr:uid="{00000000-0005-0000-0000-0000B61E0000}"/>
    <cellStyle name="Normal 2 2 10 2 32 3 6" xfId="7863" xr:uid="{00000000-0005-0000-0000-0000B71E0000}"/>
    <cellStyle name="Normal 2 2 10 2 32 3 7" xfId="7864" xr:uid="{00000000-0005-0000-0000-0000B81E0000}"/>
    <cellStyle name="Normal 2 2 10 2 32 3 8" xfId="7865" xr:uid="{00000000-0005-0000-0000-0000B91E0000}"/>
    <cellStyle name="Normal 2 2 10 2 32 3 9" xfId="7866" xr:uid="{00000000-0005-0000-0000-0000BA1E0000}"/>
    <cellStyle name="Normal 2 2 10 2 32 4" xfId="7867" xr:uid="{00000000-0005-0000-0000-0000BB1E0000}"/>
    <cellStyle name="Normal 2 2 10 2 32 4 10" xfId="7868" xr:uid="{00000000-0005-0000-0000-0000BC1E0000}"/>
    <cellStyle name="Normal 2 2 10 2 32 4 2" xfId="7869" xr:uid="{00000000-0005-0000-0000-0000BD1E0000}"/>
    <cellStyle name="Normal 2 2 10 2 32 4 3" xfId="7870" xr:uid="{00000000-0005-0000-0000-0000BE1E0000}"/>
    <cellStyle name="Normal 2 2 10 2 32 4 4" xfId="7871" xr:uid="{00000000-0005-0000-0000-0000BF1E0000}"/>
    <cellStyle name="Normal 2 2 10 2 32 4 5" xfId="7872" xr:uid="{00000000-0005-0000-0000-0000C01E0000}"/>
    <cellStyle name="Normal 2 2 10 2 32 4 6" xfId="7873" xr:uid="{00000000-0005-0000-0000-0000C11E0000}"/>
    <cellStyle name="Normal 2 2 10 2 32 4 7" xfId="7874" xr:uid="{00000000-0005-0000-0000-0000C21E0000}"/>
    <cellStyle name="Normal 2 2 10 2 32 4 8" xfId="7875" xr:uid="{00000000-0005-0000-0000-0000C31E0000}"/>
    <cellStyle name="Normal 2 2 10 2 32 4 9" xfId="7876" xr:uid="{00000000-0005-0000-0000-0000C41E0000}"/>
    <cellStyle name="Normal 2 2 10 2 32 5" xfId="7877" xr:uid="{00000000-0005-0000-0000-0000C51E0000}"/>
    <cellStyle name="Normal 2 2 10 2 32 5 10" xfId="7878" xr:uid="{00000000-0005-0000-0000-0000C61E0000}"/>
    <cellStyle name="Normal 2 2 10 2 32 5 2" xfId="7879" xr:uid="{00000000-0005-0000-0000-0000C71E0000}"/>
    <cellStyle name="Normal 2 2 10 2 32 5 3" xfId="7880" xr:uid="{00000000-0005-0000-0000-0000C81E0000}"/>
    <cellStyle name="Normal 2 2 10 2 32 5 4" xfId="7881" xr:uid="{00000000-0005-0000-0000-0000C91E0000}"/>
    <cellStyle name="Normal 2 2 10 2 32 5 5" xfId="7882" xr:uid="{00000000-0005-0000-0000-0000CA1E0000}"/>
    <cellStyle name="Normal 2 2 10 2 32 5 6" xfId="7883" xr:uid="{00000000-0005-0000-0000-0000CB1E0000}"/>
    <cellStyle name="Normal 2 2 10 2 32 5 7" xfId="7884" xr:uid="{00000000-0005-0000-0000-0000CC1E0000}"/>
    <cellStyle name="Normal 2 2 10 2 32 5 8" xfId="7885" xr:uid="{00000000-0005-0000-0000-0000CD1E0000}"/>
    <cellStyle name="Normal 2 2 10 2 32 5 9" xfId="7886" xr:uid="{00000000-0005-0000-0000-0000CE1E0000}"/>
    <cellStyle name="Normal 2 2 10 2 32 6" xfId="7887" xr:uid="{00000000-0005-0000-0000-0000CF1E0000}"/>
    <cellStyle name="Normal 2 2 10 2 32 7" xfId="7888" xr:uid="{00000000-0005-0000-0000-0000D01E0000}"/>
    <cellStyle name="Normal 2 2 10 2 32 8" xfId="7889" xr:uid="{00000000-0005-0000-0000-0000D11E0000}"/>
    <cellStyle name="Normal 2 2 10 2 32 9" xfId="7890" xr:uid="{00000000-0005-0000-0000-0000D21E0000}"/>
    <cellStyle name="Normal 2 2 10 2 33" xfId="7891" xr:uid="{00000000-0005-0000-0000-0000D31E0000}"/>
    <cellStyle name="Normal 2 2 10 2 33 10" xfId="7892" xr:uid="{00000000-0005-0000-0000-0000D41E0000}"/>
    <cellStyle name="Normal 2 2 10 2 33 11" xfId="7893" xr:uid="{00000000-0005-0000-0000-0000D51E0000}"/>
    <cellStyle name="Normal 2 2 10 2 33 12" xfId="7894" xr:uid="{00000000-0005-0000-0000-0000D61E0000}"/>
    <cellStyle name="Normal 2 2 10 2 33 13" xfId="7895" xr:uid="{00000000-0005-0000-0000-0000D71E0000}"/>
    <cellStyle name="Normal 2 2 10 2 33 14" xfId="7896" xr:uid="{00000000-0005-0000-0000-0000D81E0000}"/>
    <cellStyle name="Normal 2 2 10 2 33 2" xfId="7897" xr:uid="{00000000-0005-0000-0000-0000D91E0000}"/>
    <cellStyle name="Normal 2 2 10 2 33 2 10" xfId="7898" xr:uid="{00000000-0005-0000-0000-0000DA1E0000}"/>
    <cellStyle name="Normal 2 2 10 2 33 2 2" xfId="7899" xr:uid="{00000000-0005-0000-0000-0000DB1E0000}"/>
    <cellStyle name="Normal 2 2 10 2 33 2 3" xfId="7900" xr:uid="{00000000-0005-0000-0000-0000DC1E0000}"/>
    <cellStyle name="Normal 2 2 10 2 33 2 4" xfId="7901" xr:uid="{00000000-0005-0000-0000-0000DD1E0000}"/>
    <cellStyle name="Normal 2 2 10 2 33 2 5" xfId="7902" xr:uid="{00000000-0005-0000-0000-0000DE1E0000}"/>
    <cellStyle name="Normal 2 2 10 2 33 2 6" xfId="7903" xr:uid="{00000000-0005-0000-0000-0000DF1E0000}"/>
    <cellStyle name="Normal 2 2 10 2 33 2 7" xfId="7904" xr:uid="{00000000-0005-0000-0000-0000E01E0000}"/>
    <cellStyle name="Normal 2 2 10 2 33 2 8" xfId="7905" xr:uid="{00000000-0005-0000-0000-0000E11E0000}"/>
    <cellStyle name="Normal 2 2 10 2 33 2 9" xfId="7906" xr:uid="{00000000-0005-0000-0000-0000E21E0000}"/>
    <cellStyle name="Normal 2 2 10 2 33 3" xfId="7907" xr:uid="{00000000-0005-0000-0000-0000E31E0000}"/>
    <cellStyle name="Normal 2 2 10 2 33 3 10" xfId="7908" xr:uid="{00000000-0005-0000-0000-0000E41E0000}"/>
    <cellStyle name="Normal 2 2 10 2 33 3 2" xfId="7909" xr:uid="{00000000-0005-0000-0000-0000E51E0000}"/>
    <cellStyle name="Normal 2 2 10 2 33 3 3" xfId="7910" xr:uid="{00000000-0005-0000-0000-0000E61E0000}"/>
    <cellStyle name="Normal 2 2 10 2 33 3 4" xfId="7911" xr:uid="{00000000-0005-0000-0000-0000E71E0000}"/>
    <cellStyle name="Normal 2 2 10 2 33 3 5" xfId="7912" xr:uid="{00000000-0005-0000-0000-0000E81E0000}"/>
    <cellStyle name="Normal 2 2 10 2 33 3 6" xfId="7913" xr:uid="{00000000-0005-0000-0000-0000E91E0000}"/>
    <cellStyle name="Normal 2 2 10 2 33 3 7" xfId="7914" xr:uid="{00000000-0005-0000-0000-0000EA1E0000}"/>
    <cellStyle name="Normal 2 2 10 2 33 3 8" xfId="7915" xr:uid="{00000000-0005-0000-0000-0000EB1E0000}"/>
    <cellStyle name="Normal 2 2 10 2 33 3 9" xfId="7916" xr:uid="{00000000-0005-0000-0000-0000EC1E0000}"/>
    <cellStyle name="Normal 2 2 10 2 33 4" xfId="7917" xr:uid="{00000000-0005-0000-0000-0000ED1E0000}"/>
    <cellStyle name="Normal 2 2 10 2 33 4 10" xfId="7918" xr:uid="{00000000-0005-0000-0000-0000EE1E0000}"/>
    <cellStyle name="Normal 2 2 10 2 33 4 2" xfId="7919" xr:uid="{00000000-0005-0000-0000-0000EF1E0000}"/>
    <cellStyle name="Normal 2 2 10 2 33 4 3" xfId="7920" xr:uid="{00000000-0005-0000-0000-0000F01E0000}"/>
    <cellStyle name="Normal 2 2 10 2 33 4 4" xfId="7921" xr:uid="{00000000-0005-0000-0000-0000F11E0000}"/>
    <cellStyle name="Normal 2 2 10 2 33 4 5" xfId="7922" xr:uid="{00000000-0005-0000-0000-0000F21E0000}"/>
    <cellStyle name="Normal 2 2 10 2 33 4 6" xfId="7923" xr:uid="{00000000-0005-0000-0000-0000F31E0000}"/>
    <cellStyle name="Normal 2 2 10 2 33 4 7" xfId="7924" xr:uid="{00000000-0005-0000-0000-0000F41E0000}"/>
    <cellStyle name="Normal 2 2 10 2 33 4 8" xfId="7925" xr:uid="{00000000-0005-0000-0000-0000F51E0000}"/>
    <cellStyle name="Normal 2 2 10 2 33 4 9" xfId="7926" xr:uid="{00000000-0005-0000-0000-0000F61E0000}"/>
    <cellStyle name="Normal 2 2 10 2 33 5" xfId="7927" xr:uid="{00000000-0005-0000-0000-0000F71E0000}"/>
    <cellStyle name="Normal 2 2 10 2 33 5 10" xfId="7928" xr:uid="{00000000-0005-0000-0000-0000F81E0000}"/>
    <cellStyle name="Normal 2 2 10 2 33 5 2" xfId="7929" xr:uid="{00000000-0005-0000-0000-0000F91E0000}"/>
    <cellStyle name="Normal 2 2 10 2 33 5 3" xfId="7930" xr:uid="{00000000-0005-0000-0000-0000FA1E0000}"/>
    <cellStyle name="Normal 2 2 10 2 33 5 4" xfId="7931" xr:uid="{00000000-0005-0000-0000-0000FB1E0000}"/>
    <cellStyle name="Normal 2 2 10 2 33 5 5" xfId="7932" xr:uid="{00000000-0005-0000-0000-0000FC1E0000}"/>
    <cellStyle name="Normal 2 2 10 2 33 5 6" xfId="7933" xr:uid="{00000000-0005-0000-0000-0000FD1E0000}"/>
    <cellStyle name="Normal 2 2 10 2 33 5 7" xfId="7934" xr:uid="{00000000-0005-0000-0000-0000FE1E0000}"/>
    <cellStyle name="Normal 2 2 10 2 33 5 8" xfId="7935" xr:uid="{00000000-0005-0000-0000-0000FF1E0000}"/>
    <cellStyle name="Normal 2 2 10 2 33 5 9" xfId="7936" xr:uid="{00000000-0005-0000-0000-0000001F0000}"/>
    <cellStyle name="Normal 2 2 10 2 33 6" xfId="7937" xr:uid="{00000000-0005-0000-0000-0000011F0000}"/>
    <cellStyle name="Normal 2 2 10 2 33 7" xfId="7938" xr:uid="{00000000-0005-0000-0000-0000021F0000}"/>
    <cellStyle name="Normal 2 2 10 2 33 8" xfId="7939" xr:uid="{00000000-0005-0000-0000-0000031F0000}"/>
    <cellStyle name="Normal 2 2 10 2 33 9" xfId="7940" xr:uid="{00000000-0005-0000-0000-0000041F0000}"/>
    <cellStyle name="Normal 2 2 10 2 34" xfId="7941" xr:uid="{00000000-0005-0000-0000-0000051F0000}"/>
    <cellStyle name="Normal 2 2 10 2 34 10" xfId="7942" xr:uid="{00000000-0005-0000-0000-0000061F0000}"/>
    <cellStyle name="Normal 2 2 10 2 34 2" xfId="7943" xr:uid="{00000000-0005-0000-0000-0000071F0000}"/>
    <cellStyle name="Normal 2 2 10 2 34 3" xfId="7944" xr:uid="{00000000-0005-0000-0000-0000081F0000}"/>
    <cellStyle name="Normal 2 2 10 2 34 4" xfId="7945" xr:uid="{00000000-0005-0000-0000-0000091F0000}"/>
    <cellStyle name="Normal 2 2 10 2 34 5" xfId="7946" xr:uid="{00000000-0005-0000-0000-00000A1F0000}"/>
    <cellStyle name="Normal 2 2 10 2 34 6" xfId="7947" xr:uid="{00000000-0005-0000-0000-00000B1F0000}"/>
    <cellStyle name="Normal 2 2 10 2 34 7" xfId="7948" xr:uid="{00000000-0005-0000-0000-00000C1F0000}"/>
    <cellStyle name="Normal 2 2 10 2 34 8" xfId="7949" xr:uid="{00000000-0005-0000-0000-00000D1F0000}"/>
    <cellStyle name="Normal 2 2 10 2 34 9" xfId="7950" xr:uid="{00000000-0005-0000-0000-00000E1F0000}"/>
    <cellStyle name="Normal 2 2 10 2 35" xfId="7951" xr:uid="{00000000-0005-0000-0000-00000F1F0000}"/>
    <cellStyle name="Normal 2 2 10 2 35 10" xfId="7952" xr:uid="{00000000-0005-0000-0000-0000101F0000}"/>
    <cellStyle name="Normal 2 2 10 2 35 2" xfId="7953" xr:uid="{00000000-0005-0000-0000-0000111F0000}"/>
    <cellStyle name="Normal 2 2 10 2 35 3" xfId="7954" xr:uid="{00000000-0005-0000-0000-0000121F0000}"/>
    <cellStyle name="Normal 2 2 10 2 35 4" xfId="7955" xr:uid="{00000000-0005-0000-0000-0000131F0000}"/>
    <cellStyle name="Normal 2 2 10 2 35 5" xfId="7956" xr:uid="{00000000-0005-0000-0000-0000141F0000}"/>
    <cellStyle name="Normal 2 2 10 2 35 6" xfId="7957" xr:uid="{00000000-0005-0000-0000-0000151F0000}"/>
    <cellStyle name="Normal 2 2 10 2 35 7" xfId="7958" xr:uid="{00000000-0005-0000-0000-0000161F0000}"/>
    <cellStyle name="Normal 2 2 10 2 35 8" xfId="7959" xr:uid="{00000000-0005-0000-0000-0000171F0000}"/>
    <cellStyle name="Normal 2 2 10 2 35 9" xfId="7960" xr:uid="{00000000-0005-0000-0000-0000181F0000}"/>
    <cellStyle name="Normal 2 2 10 2 36" xfId="7961" xr:uid="{00000000-0005-0000-0000-0000191F0000}"/>
    <cellStyle name="Normal 2 2 10 2 36 10" xfId="7962" xr:uid="{00000000-0005-0000-0000-00001A1F0000}"/>
    <cellStyle name="Normal 2 2 10 2 36 2" xfId="7963" xr:uid="{00000000-0005-0000-0000-00001B1F0000}"/>
    <cellStyle name="Normal 2 2 10 2 36 3" xfId="7964" xr:uid="{00000000-0005-0000-0000-00001C1F0000}"/>
    <cellStyle name="Normal 2 2 10 2 36 4" xfId="7965" xr:uid="{00000000-0005-0000-0000-00001D1F0000}"/>
    <cellStyle name="Normal 2 2 10 2 36 5" xfId="7966" xr:uid="{00000000-0005-0000-0000-00001E1F0000}"/>
    <cellStyle name="Normal 2 2 10 2 36 6" xfId="7967" xr:uid="{00000000-0005-0000-0000-00001F1F0000}"/>
    <cellStyle name="Normal 2 2 10 2 36 7" xfId="7968" xr:uid="{00000000-0005-0000-0000-0000201F0000}"/>
    <cellStyle name="Normal 2 2 10 2 36 8" xfId="7969" xr:uid="{00000000-0005-0000-0000-0000211F0000}"/>
    <cellStyle name="Normal 2 2 10 2 36 9" xfId="7970" xr:uid="{00000000-0005-0000-0000-0000221F0000}"/>
    <cellStyle name="Normal 2 2 10 2 37" xfId="7971" xr:uid="{00000000-0005-0000-0000-0000231F0000}"/>
    <cellStyle name="Normal 2 2 10 2 37 10" xfId="7972" xr:uid="{00000000-0005-0000-0000-0000241F0000}"/>
    <cellStyle name="Normal 2 2 10 2 37 2" xfId="7973" xr:uid="{00000000-0005-0000-0000-0000251F0000}"/>
    <cellStyle name="Normal 2 2 10 2 37 3" xfId="7974" xr:uid="{00000000-0005-0000-0000-0000261F0000}"/>
    <cellStyle name="Normal 2 2 10 2 37 4" xfId="7975" xr:uid="{00000000-0005-0000-0000-0000271F0000}"/>
    <cellStyle name="Normal 2 2 10 2 37 5" xfId="7976" xr:uid="{00000000-0005-0000-0000-0000281F0000}"/>
    <cellStyle name="Normal 2 2 10 2 37 6" xfId="7977" xr:uid="{00000000-0005-0000-0000-0000291F0000}"/>
    <cellStyle name="Normal 2 2 10 2 37 7" xfId="7978" xr:uid="{00000000-0005-0000-0000-00002A1F0000}"/>
    <cellStyle name="Normal 2 2 10 2 37 8" xfId="7979" xr:uid="{00000000-0005-0000-0000-00002B1F0000}"/>
    <cellStyle name="Normal 2 2 10 2 37 9" xfId="7980" xr:uid="{00000000-0005-0000-0000-00002C1F0000}"/>
    <cellStyle name="Normal 2 2 10 2 38" xfId="7981" xr:uid="{00000000-0005-0000-0000-00002D1F0000}"/>
    <cellStyle name="Normal 2 2 10 2 39" xfId="7982" xr:uid="{00000000-0005-0000-0000-00002E1F0000}"/>
    <cellStyle name="Normal 2 2 10 2 4" xfId="7983" xr:uid="{00000000-0005-0000-0000-00002F1F0000}"/>
    <cellStyle name="Normal 2 2 10 2 4 10" xfId="7984" xr:uid="{00000000-0005-0000-0000-0000301F0000}"/>
    <cellStyle name="Normal 2 2 10 2 4 11" xfId="7985" xr:uid="{00000000-0005-0000-0000-0000311F0000}"/>
    <cellStyle name="Normal 2 2 10 2 4 12" xfId="7986" xr:uid="{00000000-0005-0000-0000-0000321F0000}"/>
    <cellStyle name="Normal 2 2 10 2 4 13" xfId="7987" xr:uid="{00000000-0005-0000-0000-0000331F0000}"/>
    <cellStyle name="Normal 2 2 10 2 4 14" xfId="7988" xr:uid="{00000000-0005-0000-0000-0000341F0000}"/>
    <cellStyle name="Normal 2 2 10 2 4 2" xfId="7989" xr:uid="{00000000-0005-0000-0000-0000351F0000}"/>
    <cellStyle name="Normal 2 2 10 2 4 2 10" xfId="7990" xr:uid="{00000000-0005-0000-0000-0000361F0000}"/>
    <cellStyle name="Normal 2 2 10 2 4 2 2" xfId="7991" xr:uid="{00000000-0005-0000-0000-0000371F0000}"/>
    <cellStyle name="Normal 2 2 10 2 4 2 3" xfId="7992" xr:uid="{00000000-0005-0000-0000-0000381F0000}"/>
    <cellStyle name="Normal 2 2 10 2 4 2 4" xfId="7993" xr:uid="{00000000-0005-0000-0000-0000391F0000}"/>
    <cellStyle name="Normal 2 2 10 2 4 2 5" xfId="7994" xr:uid="{00000000-0005-0000-0000-00003A1F0000}"/>
    <cellStyle name="Normal 2 2 10 2 4 2 6" xfId="7995" xr:uid="{00000000-0005-0000-0000-00003B1F0000}"/>
    <cellStyle name="Normal 2 2 10 2 4 2 7" xfId="7996" xr:uid="{00000000-0005-0000-0000-00003C1F0000}"/>
    <cellStyle name="Normal 2 2 10 2 4 2 8" xfId="7997" xr:uid="{00000000-0005-0000-0000-00003D1F0000}"/>
    <cellStyle name="Normal 2 2 10 2 4 2 9" xfId="7998" xr:uid="{00000000-0005-0000-0000-00003E1F0000}"/>
    <cellStyle name="Normal 2 2 10 2 4 3" xfId="7999" xr:uid="{00000000-0005-0000-0000-00003F1F0000}"/>
    <cellStyle name="Normal 2 2 10 2 4 3 10" xfId="8000" xr:uid="{00000000-0005-0000-0000-0000401F0000}"/>
    <cellStyle name="Normal 2 2 10 2 4 3 2" xfId="8001" xr:uid="{00000000-0005-0000-0000-0000411F0000}"/>
    <cellStyle name="Normal 2 2 10 2 4 3 3" xfId="8002" xr:uid="{00000000-0005-0000-0000-0000421F0000}"/>
    <cellStyle name="Normal 2 2 10 2 4 3 4" xfId="8003" xr:uid="{00000000-0005-0000-0000-0000431F0000}"/>
    <cellStyle name="Normal 2 2 10 2 4 3 5" xfId="8004" xr:uid="{00000000-0005-0000-0000-0000441F0000}"/>
    <cellStyle name="Normal 2 2 10 2 4 3 6" xfId="8005" xr:uid="{00000000-0005-0000-0000-0000451F0000}"/>
    <cellStyle name="Normal 2 2 10 2 4 3 7" xfId="8006" xr:uid="{00000000-0005-0000-0000-0000461F0000}"/>
    <cellStyle name="Normal 2 2 10 2 4 3 8" xfId="8007" xr:uid="{00000000-0005-0000-0000-0000471F0000}"/>
    <cellStyle name="Normal 2 2 10 2 4 3 9" xfId="8008" xr:uid="{00000000-0005-0000-0000-0000481F0000}"/>
    <cellStyle name="Normal 2 2 10 2 4 4" xfId="8009" xr:uid="{00000000-0005-0000-0000-0000491F0000}"/>
    <cellStyle name="Normal 2 2 10 2 4 4 10" xfId="8010" xr:uid="{00000000-0005-0000-0000-00004A1F0000}"/>
    <cellStyle name="Normal 2 2 10 2 4 4 2" xfId="8011" xr:uid="{00000000-0005-0000-0000-00004B1F0000}"/>
    <cellStyle name="Normal 2 2 10 2 4 4 3" xfId="8012" xr:uid="{00000000-0005-0000-0000-00004C1F0000}"/>
    <cellStyle name="Normal 2 2 10 2 4 4 4" xfId="8013" xr:uid="{00000000-0005-0000-0000-00004D1F0000}"/>
    <cellStyle name="Normal 2 2 10 2 4 4 5" xfId="8014" xr:uid="{00000000-0005-0000-0000-00004E1F0000}"/>
    <cellStyle name="Normal 2 2 10 2 4 4 6" xfId="8015" xr:uid="{00000000-0005-0000-0000-00004F1F0000}"/>
    <cellStyle name="Normal 2 2 10 2 4 4 7" xfId="8016" xr:uid="{00000000-0005-0000-0000-0000501F0000}"/>
    <cellStyle name="Normal 2 2 10 2 4 4 8" xfId="8017" xr:uid="{00000000-0005-0000-0000-0000511F0000}"/>
    <cellStyle name="Normal 2 2 10 2 4 4 9" xfId="8018" xr:uid="{00000000-0005-0000-0000-0000521F0000}"/>
    <cellStyle name="Normal 2 2 10 2 4 5" xfId="8019" xr:uid="{00000000-0005-0000-0000-0000531F0000}"/>
    <cellStyle name="Normal 2 2 10 2 4 5 10" xfId="8020" xr:uid="{00000000-0005-0000-0000-0000541F0000}"/>
    <cellStyle name="Normal 2 2 10 2 4 5 2" xfId="8021" xr:uid="{00000000-0005-0000-0000-0000551F0000}"/>
    <cellStyle name="Normal 2 2 10 2 4 5 3" xfId="8022" xr:uid="{00000000-0005-0000-0000-0000561F0000}"/>
    <cellStyle name="Normal 2 2 10 2 4 5 4" xfId="8023" xr:uid="{00000000-0005-0000-0000-0000571F0000}"/>
    <cellStyle name="Normal 2 2 10 2 4 5 5" xfId="8024" xr:uid="{00000000-0005-0000-0000-0000581F0000}"/>
    <cellStyle name="Normal 2 2 10 2 4 5 6" xfId="8025" xr:uid="{00000000-0005-0000-0000-0000591F0000}"/>
    <cellStyle name="Normal 2 2 10 2 4 5 7" xfId="8026" xr:uid="{00000000-0005-0000-0000-00005A1F0000}"/>
    <cellStyle name="Normal 2 2 10 2 4 5 8" xfId="8027" xr:uid="{00000000-0005-0000-0000-00005B1F0000}"/>
    <cellStyle name="Normal 2 2 10 2 4 5 9" xfId="8028" xr:uid="{00000000-0005-0000-0000-00005C1F0000}"/>
    <cellStyle name="Normal 2 2 10 2 4 6" xfId="8029" xr:uid="{00000000-0005-0000-0000-00005D1F0000}"/>
    <cellStyle name="Normal 2 2 10 2 4 7" xfId="8030" xr:uid="{00000000-0005-0000-0000-00005E1F0000}"/>
    <cellStyle name="Normal 2 2 10 2 4 8" xfId="8031" xr:uid="{00000000-0005-0000-0000-00005F1F0000}"/>
    <cellStyle name="Normal 2 2 10 2 4 9" xfId="8032" xr:uid="{00000000-0005-0000-0000-0000601F0000}"/>
    <cellStyle name="Normal 2 2 10 2 40" xfId="8033" xr:uid="{00000000-0005-0000-0000-0000611F0000}"/>
    <cellStyle name="Normal 2 2 10 2 41" xfId="8034" xr:uid="{00000000-0005-0000-0000-0000621F0000}"/>
    <cellStyle name="Normal 2 2 10 2 42" xfId="8035" xr:uid="{00000000-0005-0000-0000-0000631F0000}"/>
    <cellStyle name="Normal 2 2 10 2 43" xfId="8036" xr:uid="{00000000-0005-0000-0000-0000641F0000}"/>
    <cellStyle name="Normal 2 2 10 2 44" xfId="8037" xr:uid="{00000000-0005-0000-0000-0000651F0000}"/>
    <cellStyle name="Normal 2 2 10 2 45" xfId="8038" xr:uid="{00000000-0005-0000-0000-0000661F0000}"/>
    <cellStyle name="Normal 2 2 10 2 46" xfId="8039" xr:uid="{00000000-0005-0000-0000-0000671F0000}"/>
    <cellStyle name="Normal 2 2 10 2 5" xfId="8040" xr:uid="{00000000-0005-0000-0000-0000681F0000}"/>
    <cellStyle name="Normal 2 2 10 2 5 10" xfId="8041" xr:uid="{00000000-0005-0000-0000-0000691F0000}"/>
    <cellStyle name="Normal 2 2 10 2 5 11" xfId="8042" xr:uid="{00000000-0005-0000-0000-00006A1F0000}"/>
    <cellStyle name="Normal 2 2 10 2 5 12" xfId="8043" xr:uid="{00000000-0005-0000-0000-00006B1F0000}"/>
    <cellStyle name="Normal 2 2 10 2 5 13" xfId="8044" xr:uid="{00000000-0005-0000-0000-00006C1F0000}"/>
    <cellStyle name="Normal 2 2 10 2 5 14" xfId="8045" xr:uid="{00000000-0005-0000-0000-00006D1F0000}"/>
    <cellStyle name="Normal 2 2 10 2 5 2" xfId="8046" xr:uid="{00000000-0005-0000-0000-00006E1F0000}"/>
    <cellStyle name="Normal 2 2 10 2 5 2 10" xfId="8047" xr:uid="{00000000-0005-0000-0000-00006F1F0000}"/>
    <cellStyle name="Normal 2 2 10 2 5 2 2" xfId="8048" xr:uid="{00000000-0005-0000-0000-0000701F0000}"/>
    <cellStyle name="Normal 2 2 10 2 5 2 3" xfId="8049" xr:uid="{00000000-0005-0000-0000-0000711F0000}"/>
    <cellStyle name="Normal 2 2 10 2 5 2 4" xfId="8050" xr:uid="{00000000-0005-0000-0000-0000721F0000}"/>
    <cellStyle name="Normal 2 2 10 2 5 2 5" xfId="8051" xr:uid="{00000000-0005-0000-0000-0000731F0000}"/>
    <cellStyle name="Normal 2 2 10 2 5 2 6" xfId="8052" xr:uid="{00000000-0005-0000-0000-0000741F0000}"/>
    <cellStyle name="Normal 2 2 10 2 5 2 7" xfId="8053" xr:uid="{00000000-0005-0000-0000-0000751F0000}"/>
    <cellStyle name="Normal 2 2 10 2 5 2 8" xfId="8054" xr:uid="{00000000-0005-0000-0000-0000761F0000}"/>
    <cellStyle name="Normal 2 2 10 2 5 2 9" xfId="8055" xr:uid="{00000000-0005-0000-0000-0000771F0000}"/>
    <cellStyle name="Normal 2 2 10 2 5 3" xfId="8056" xr:uid="{00000000-0005-0000-0000-0000781F0000}"/>
    <cellStyle name="Normal 2 2 10 2 5 3 10" xfId="8057" xr:uid="{00000000-0005-0000-0000-0000791F0000}"/>
    <cellStyle name="Normal 2 2 10 2 5 3 2" xfId="8058" xr:uid="{00000000-0005-0000-0000-00007A1F0000}"/>
    <cellStyle name="Normal 2 2 10 2 5 3 3" xfId="8059" xr:uid="{00000000-0005-0000-0000-00007B1F0000}"/>
    <cellStyle name="Normal 2 2 10 2 5 3 4" xfId="8060" xr:uid="{00000000-0005-0000-0000-00007C1F0000}"/>
    <cellStyle name="Normal 2 2 10 2 5 3 5" xfId="8061" xr:uid="{00000000-0005-0000-0000-00007D1F0000}"/>
    <cellStyle name="Normal 2 2 10 2 5 3 6" xfId="8062" xr:uid="{00000000-0005-0000-0000-00007E1F0000}"/>
    <cellStyle name="Normal 2 2 10 2 5 3 7" xfId="8063" xr:uid="{00000000-0005-0000-0000-00007F1F0000}"/>
    <cellStyle name="Normal 2 2 10 2 5 3 8" xfId="8064" xr:uid="{00000000-0005-0000-0000-0000801F0000}"/>
    <cellStyle name="Normal 2 2 10 2 5 3 9" xfId="8065" xr:uid="{00000000-0005-0000-0000-0000811F0000}"/>
    <cellStyle name="Normal 2 2 10 2 5 4" xfId="8066" xr:uid="{00000000-0005-0000-0000-0000821F0000}"/>
    <cellStyle name="Normal 2 2 10 2 5 4 10" xfId="8067" xr:uid="{00000000-0005-0000-0000-0000831F0000}"/>
    <cellStyle name="Normal 2 2 10 2 5 4 2" xfId="8068" xr:uid="{00000000-0005-0000-0000-0000841F0000}"/>
    <cellStyle name="Normal 2 2 10 2 5 4 3" xfId="8069" xr:uid="{00000000-0005-0000-0000-0000851F0000}"/>
    <cellStyle name="Normal 2 2 10 2 5 4 4" xfId="8070" xr:uid="{00000000-0005-0000-0000-0000861F0000}"/>
    <cellStyle name="Normal 2 2 10 2 5 4 5" xfId="8071" xr:uid="{00000000-0005-0000-0000-0000871F0000}"/>
    <cellStyle name="Normal 2 2 10 2 5 4 6" xfId="8072" xr:uid="{00000000-0005-0000-0000-0000881F0000}"/>
    <cellStyle name="Normal 2 2 10 2 5 4 7" xfId="8073" xr:uid="{00000000-0005-0000-0000-0000891F0000}"/>
    <cellStyle name="Normal 2 2 10 2 5 4 8" xfId="8074" xr:uid="{00000000-0005-0000-0000-00008A1F0000}"/>
    <cellStyle name="Normal 2 2 10 2 5 4 9" xfId="8075" xr:uid="{00000000-0005-0000-0000-00008B1F0000}"/>
    <cellStyle name="Normal 2 2 10 2 5 5" xfId="8076" xr:uid="{00000000-0005-0000-0000-00008C1F0000}"/>
    <cellStyle name="Normal 2 2 10 2 5 5 10" xfId="8077" xr:uid="{00000000-0005-0000-0000-00008D1F0000}"/>
    <cellStyle name="Normal 2 2 10 2 5 5 2" xfId="8078" xr:uid="{00000000-0005-0000-0000-00008E1F0000}"/>
    <cellStyle name="Normal 2 2 10 2 5 5 3" xfId="8079" xr:uid="{00000000-0005-0000-0000-00008F1F0000}"/>
    <cellStyle name="Normal 2 2 10 2 5 5 4" xfId="8080" xr:uid="{00000000-0005-0000-0000-0000901F0000}"/>
    <cellStyle name="Normal 2 2 10 2 5 5 5" xfId="8081" xr:uid="{00000000-0005-0000-0000-0000911F0000}"/>
    <cellStyle name="Normal 2 2 10 2 5 5 6" xfId="8082" xr:uid="{00000000-0005-0000-0000-0000921F0000}"/>
    <cellStyle name="Normal 2 2 10 2 5 5 7" xfId="8083" xr:uid="{00000000-0005-0000-0000-0000931F0000}"/>
    <cellStyle name="Normal 2 2 10 2 5 5 8" xfId="8084" xr:uid="{00000000-0005-0000-0000-0000941F0000}"/>
    <cellStyle name="Normal 2 2 10 2 5 5 9" xfId="8085" xr:uid="{00000000-0005-0000-0000-0000951F0000}"/>
    <cellStyle name="Normal 2 2 10 2 5 6" xfId="8086" xr:uid="{00000000-0005-0000-0000-0000961F0000}"/>
    <cellStyle name="Normal 2 2 10 2 5 7" xfId="8087" xr:uid="{00000000-0005-0000-0000-0000971F0000}"/>
    <cellStyle name="Normal 2 2 10 2 5 8" xfId="8088" xr:uid="{00000000-0005-0000-0000-0000981F0000}"/>
    <cellStyle name="Normal 2 2 10 2 5 9" xfId="8089" xr:uid="{00000000-0005-0000-0000-0000991F0000}"/>
    <cellStyle name="Normal 2 2 10 2 6" xfId="8090" xr:uid="{00000000-0005-0000-0000-00009A1F0000}"/>
    <cellStyle name="Normal 2 2 10 2 6 10" xfId="8091" xr:uid="{00000000-0005-0000-0000-00009B1F0000}"/>
    <cellStyle name="Normal 2 2 10 2 6 11" xfId="8092" xr:uid="{00000000-0005-0000-0000-00009C1F0000}"/>
    <cellStyle name="Normal 2 2 10 2 6 12" xfId="8093" xr:uid="{00000000-0005-0000-0000-00009D1F0000}"/>
    <cellStyle name="Normal 2 2 10 2 6 13" xfId="8094" xr:uid="{00000000-0005-0000-0000-00009E1F0000}"/>
    <cellStyle name="Normal 2 2 10 2 6 14" xfId="8095" xr:uid="{00000000-0005-0000-0000-00009F1F0000}"/>
    <cellStyle name="Normal 2 2 10 2 6 2" xfId="8096" xr:uid="{00000000-0005-0000-0000-0000A01F0000}"/>
    <cellStyle name="Normal 2 2 10 2 6 2 10" xfId="8097" xr:uid="{00000000-0005-0000-0000-0000A11F0000}"/>
    <cellStyle name="Normal 2 2 10 2 6 2 2" xfId="8098" xr:uid="{00000000-0005-0000-0000-0000A21F0000}"/>
    <cellStyle name="Normal 2 2 10 2 6 2 3" xfId="8099" xr:uid="{00000000-0005-0000-0000-0000A31F0000}"/>
    <cellStyle name="Normal 2 2 10 2 6 2 4" xfId="8100" xr:uid="{00000000-0005-0000-0000-0000A41F0000}"/>
    <cellStyle name="Normal 2 2 10 2 6 2 5" xfId="8101" xr:uid="{00000000-0005-0000-0000-0000A51F0000}"/>
    <cellStyle name="Normal 2 2 10 2 6 2 6" xfId="8102" xr:uid="{00000000-0005-0000-0000-0000A61F0000}"/>
    <cellStyle name="Normal 2 2 10 2 6 2 7" xfId="8103" xr:uid="{00000000-0005-0000-0000-0000A71F0000}"/>
    <cellStyle name="Normal 2 2 10 2 6 2 8" xfId="8104" xr:uid="{00000000-0005-0000-0000-0000A81F0000}"/>
    <cellStyle name="Normal 2 2 10 2 6 2 9" xfId="8105" xr:uid="{00000000-0005-0000-0000-0000A91F0000}"/>
    <cellStyle name="Normal 2 2 10 2 6 3" xfId="8106" xr:uid="{00000000-0005-0000-0000-0000AA1F0000}"/>
    <cellStyle name="Normal 2 2 10 2 6 3 10" xfId="8107" xr:uid="{00000000-0005-0000-0000-0000AB1F0000}"/>
    <cellStyle name="Normal 2 2 10 2 6 3 2" xfId="8108" xr:uid="{00000000-0005-0000-0000-0000AC1F0000}"/>
    <cellStyle name="Normal 2 2 10 2 6 3 3" xfId="8109" xr:uid="{00000000-0005-0000-0000-0000AD1F0000}"/>
    <cellStyle name="Normal 2 2 10 2 6 3 4" xfId="8110" xr:uid="{00000000-0005-0000-0000-0000AE1F0000}"/>
    <cellStyle name="Normal 2 2 10 2 6 3 5" xfId="8111" xr:uid="{00000000-0005-0000-0000-0000AF1F0000}"/>
    <cellStyle name="Normal 2 2 10 2 6 3 6" xfId="8112" xr:uid="{00000000-0005-0000-0000-0000B01F0000}"/>
    <cellStyle name="Normal 2 2 10 2 6 3 7" xfId="8113" xr:uid="{00000000-0005-0000-0000-0000B11F0000}"/>
    <cellStyle name="Normal 2 2 10 2 6 3 8" xfId="8114" xr:uid="{00000000-0005-0000-0000-0000B21F0000}"/>
    <cellStyle name="Normal 2 2 10 2 6 3 9" xfId="8115" xr:uid="{00000000-0005-0000-0000-0000B31F0000}"/>
    <cellStyle name="Normal 2 2 10 2 6 4" xfId="8116" xr:uid="{00000000-0005-0000-0000-0000B41F0000}"/>
    <cellStyle name="Normal 2 2 10 2 6 4 10" xfId="8117" xr:uid="{00000000-0005-0000-0000-0000B51F0000}"/>
    <cellStyle name="Normal 2 2 10 2 6 4 2" xfId="8118" xr:uid="{00000000-0005-0000-0000-0000B61F0000}"/>
    <cellStyle name="Normal 2 2 10 2 6 4 3" xfId="8119" xr:uid="{00000000-0005-0000-0000-0000B71F0000}"/>
    <cellStyle name="Normal 2 2 10 2 6 4 4" xfId="8120" xr:uid="{00000000-0005-0000-0000-0000B81F0000}"/>
    <cellStyle name="Normal 2 2 10 2 6 4 5" xfId="8121" xr:uid="{00000000-0005-0000-0000-0000B91F0000}"/>
    <cellStyle name="Normal 2 2 10 2 6 4 6" xfId="8122" xr:uid="{00000000-0005-0000-0000-0000BA1F0000}"/>
    <cellStyle name="Normal 2 2 10 2 6 4 7" xfId="8123" xr:uid="{00000000-0005-0000-0000-0000BB1F0000}"/>
    <cellStyle name="Normal 2 2 10 2 6 4 8" xfId="8124" xr:uid="{00000000-0005-0000-0000-0000BC1F0000}"/>
    <cellStyle name="Normal 2 2 10 2 6 4 9" xfId="8125" xr:uid="{00000000-0005-0000-0000-0000BD1F0000}"/>
    <cellStyle name="Normal 2 2 10 2 6 5" xfId="8126" xr:uid="{00000000-0005-0000-0000-0000BE1F0000}"/>
    <cellStyle name="Normal 2 2 10 2 6 5 10" xfId="8127" xr:uid="{00000000-0005-0000-0000-0000BF1F0000}"/>
    <cellStyle name="Normal 2 2 10 2 6 5 2" xfId="8128" xr:uid="{00000000-0005-0000-0000-0000C01F0000}"/>
    <cellStyle name="Normal 2 2 10 2 6 5 3" xfId="8129" xr:uid="{00000000-0005-0000-0000-0000C11F0000}"/>
    <cellStyle name="Normal 2 2 10 2 6 5 4" xfId="8130" xr:uid="{00000000-0005-0000-0000-0000C21F0000}"/>
    <cellStyle name="Normal 2 2 10 2 6 5 5" xfId="8131" xr:uid="{00000000-0005-0000-0000-0000C31F0000}"/>
    <cellStyle name="Normal 2 2 10 2 6 5 6" xfId="8132" xr:uid="{00000000-0005-0000-0000-0000C41F0000}"/>
    <cellStyle name="Normal 2 2 10 2 6 5 7" xfId="8133" xr:uid="{00000000-0005-0000-0000-0000C51F0000}"/>
    <cellStyle name="Normal 2 2 10 2 6 5 8" xfId="8134" xr:uid="{00000000-0005-0000-0000-0000C61F0000}"/>
    <cellStyle name="Normal 2 2 10 2 6 5 9" xfId="8135" xr:uid="{00000000-0005-0000-0000-0000C71F0000}"/>
    <cellStyle name="Normal 2 2 10 2 6 6" xfId="8136" xr:uid="{00000000-0005-0000-0000-0000C81F0000}"/>
    <cellStyle name="Normal 2 2 10 2 6 7" xfId="8137" xr:uid="{00000000-0005-0000-0000-0000C91F0000}"/>
    <cellStyle name="Normal 2 2 10 2 6 8" xfId="8138" xr:uid="{00000000-0005-0000-0000-0000CA1F0000}"/>
    <cellStyle name="Normal 2 2 10 2 6 9" xfId="8139" xr:uid="{00000000-0005-0000-0000-0000CB1F0000}"/>
    <cellStyle name="Normal 2 2 10 2 7" xfId="8140" xr:uid="{00000000-0005-0000-0000-0000CC1F0000}"/>
    <cellStyle name="Normal 2 2 10 2 7 10" xfId="8141" xr:uid="{00000000-0005-0000-0000-0000CD1F0000}"/>
    <cellStyle name="Normal 2 2 10 2 7 11" xfId="8142" xr:uid="{00000000-0005-0000-0000-0000CE1F0000}"/>
    <cellStyle name="Normal 2 2 10 2 7 12" xfId="8143" xr:uid="{00000000-0005-0000-0000-0000CF1F0000}"/>
    <cellStyle name="Normal 2 2 10 2 7 13" xfId="8144" xr:uid="{00000000-0005-0000-0000-0000D01F0000}"/>
    <cellStyle name="Normal 2 2 10 2 7 14" xfId="8145" xr:uid="{00000000-0005-0000-0000-0000D11F0000}"/>
    <cellStyle name="Normal 2 2 10 2 7 2" xfId="8146" xr:uid="{00000000-0005-0000-0000-0000D21F0000}"/>
    <cellStyle name="Normal 2 2 10 2 7 2 10" xfId="8147" xr:uid="{00000000-0005-0000-0000-0000D31F0000}"/>
    <cellStyle name="Normal 2 2 10 2 7 2 2" xfId="8148" xr:uid="{00000000-0005-0000-0000-0000D41F0000}"/>
    <cellStyle name="Normal 2 2 10 2 7 2 3" xfId="8149" xr:uid="{00000000-0005-0000-0000-0000D51F0000}"/>
    <cellStyle name="Normal 2 2 10 2 7 2 4" xfId="8150" xr:uid="{00000000-0005-0000-0000-0000D61F0000}"/>
    <cellStyle name="Normal 2 2 10 2 7 2 5" xfId="8151" xr:uid="{00000000-0005-0000-0000-0000D71F0000}"/>
    <cellStyle name="Normal 2 2 10 2 7 2 6" xfId="8152" xr:uid="{00000000-0005-0000-0000-0000D81F0000}"/>
    <cellStyle name="Normal 2 2 10 2 7 2 7" xfId="8153" xr:uid="{00000000-0005-0000-0000-0000D91F0000}"/>
    <cellStyle name="Normal 2 2 10 2 7 2 8" xfId="8154" xr:uid="{00000000-0005-0000-0000-0000DA1F0000}"/>
    <cellStyle name="Normal 2 2 10 2 7 2 9" xfId="8155" xr:uid="{00000000-0005-0000-0000-0000DB1F0000}"/>
    <cellStyle name="Normal 2 2 10 2 7 3" xfId="8156" xr:uid="{00000000-0005-0000-0000-0000DC1F0000}"/>
    <cellStyle name="Normal 2 2 10 2 7 3 10" xfId="8157" xr:uid="{00000000-0005-0000-0000-0000DD1F0000}"/>
    <cellStyle name="Normal 2 2 10 2 7 3 2" xfId="8158" xr:uid="{00000000-0005-0000-0000-0000DE1F0000}"/>
    <cellStyle name="Normal 2 2 10 2 7 3 3" xfId="8159" xr:uid="{00000000-0005-0000-0000-0000DF1F0000}"/>
    <cellStyle name="Normal 2 2 10 2 7 3 4" xfId="8160" xr:uid="{00000000-0005-0000-0000-0000E01F0000}"/>
    <cellStyle name="Normal 2 2 10 2 7 3 5" xfId="8161" xr:uid="{00000000-0005-0000-0000-0000E11F0000}"/>
    <cellStyle name="Normal 2 2 10 2 7 3 6" xfId="8162" xr:uid="{00000000-0005-0000-0000-0000E21F0000}"/>
    <cellStyle name="Normal 2 2 10 2 7 3 7" xfId="8163" xr:uid="{00000000-0005-0000-0000-0000E31F0000}"/>
    <cellStyle name="Normal 2 2 10 2 7 3 8" xfId="8164" xr:uid="{00000000-0005-0000-0000-0000E41F0000}"/>
    <cellStyle name="Normal 2 2 10 2 7 3 9" xfId="8165" xr:uid="{00000000-0005-0000-0000-0000E51F0000}"/>
    <cellStyle name="Normal 2 2 10 2 7 4" xfId="8166" xr:uid="{00000000-0005-0000-0000-0000E61F0000}"/>
    <cellStyle name="Normal 2 2 10 2 7 4 10" xfId="8167" xr:uid="{00000000-0005-0000-0000-0000E71F0000}"/>
    <cellStyle name="Normal 2 2 10 2 7 4 2" xfId="8168" xr:uid="{00000000-0005-0000-0000-0000E81F0000}"/>
    <cellStyle name="Normal 2 2 10 2 7 4 3" xfId="8169" xr:uid="{00000000-0005-0000-0000-0000E91F0000}"/>
    <cellStyle name="Normal 2 2 10 2 7 4 4" xfId="8170" xr:uid="{00000000-0005-0000-0000-0000EA1F0000}"/>
    <cellStyle name="Normal 2 2 10 2 7 4 5" xfId="8171" xr:uid="{00000000-0005-0000-0000-0000EB1F0000}"/>
    <cellStyle name="Normal 2 2 10 2 7 4 6" xfId="8172" xr:uid="{00000000-0005-0000-0000-0000EC1F0000}"/>
    <cellStyle name="Normal 2 2 10 2 7 4 7" xfId="8173" xr:uid="{00000000-0005-0000-0000-0000ED1F0000}"/>
    <cellStyle name="Normal 2 2 10 2 7 4 8" xfId="8174" xr:uid="{00000000-0005-0000-0000-0000EE1F0000}"/>
    <cellStyle name="Normal 2 2 10 2 7 4 9" xfId="8175" xr:uid="{00000000-0005-0000-0000-0000EF1F0000}"/>
    <cellStyle name="Normal 2 2 10 2 7 5" xfId="8176" xr:uid="{00000000-0005-0000-0000-0000F01F0000}"/>
    <cellStyle name="Normal 2 2 10 2 7 5 10" xfId="8177" xr:uid="{00000000-0005-0000-0000-0000F11F0000}"/>
    <cellStyle name="Normal 2 2 10 2 7 5 2" xfId="8178" xr:uid="{00000000-0005-0000-0000-0000F21F0000}"/>
    <cellStyle name="Normal 2 2 10 2 7 5 3" xfId="8179" xr:uid="{00000000-0005-0000-0000-0000F31F0000}"/>
    <cellStyle name="Normal 2 2 10 2 7 5 4" xfId="8180" xr:uid="{00000000-0005-0000-0000-0000F41F0000}"/>
    <cellStyle name="Normal 2 2 10 2 7 5 5" xfId="8181" xr:uid="{00000000-0005-0000-0000-0000F51F0000}"/>
    <cellStyle name="Normal 2 2 10 2 7 5 6" xfId="8182" xr:uid="{00000000-0005-0000-0000-0000F61F0000}"/>
    <cellStyle name="Normal 2 2 10 2 7 5 7" xfId="8183" xr:uid="{00000000-0005-0000-0000-0000F71F0000}"/>
    <cellStyle name="Normal 2 2 10 2 7 5 8" xfId="8184" xr:uid="{00000000-0005-0000-0000-0000F81F0000}"/>
    <cellStyle name="Normal 2 2 10 2 7 5 9" xfId="8185" xr:uid="{00000000-0005-0000-0000-0000F91F0000}"/>
    <cellStyle name="Normal 2 2 10 2 7 6" xfId="8186" xr:uid="{00000000-0005-0000-0000-0000FA1F0000}"/>
    <cellStyle name="Normal 2 2 10 2 7 7" xfId="8187" xr:uid="{00000000-0005-0000-0000-0000FB1F0000}"/>
    <cellStyle name="Normal 2 2 10 2 7 8" xfId="8188" xr:uid="{00000000-0005-0000-0000-0000FC1F0000}"/>
    <cellStyle name="Normal 2 2 10 2 7 9" xfId="8189" xr:uid="{00000000-0005-0000-0000-0000FD1F0000}"/>
    <cellStyle name="Normal 2 2 10 2 8" xfId="8190" xr:uid="{00000000-0005-0000-0000-0000FE1F0000}"/>
    <cellStyle name="Normal 2 2 10 2 8 10" xfId="8191" xr:uid="{00000000-0005-0000-0000-0000FF1F0000}"/>
    <cellStyle name="Normal 2 2 10 2 8 11" xfId="8192" xr:uid="{00000000-0005-0000-0000-000000200000}"/>
    <cellStyle name="Normal 2 2 10 2 8 12" xfId="8193" xr:uid="{00000000-0005-0000-0000-000001200000}"/>
    <cellStyle name="Normal 2 2 10 2 8 13" xfId="8194" xr:uid="{00000000-0005-0000-0000-000002200000}"/>
    <cellStyle name="Normal 2 2 10 2 8 14" xfId="8195" xr:uid="{00000000-0005-0000-0000-000003200000}"/>
    <cellStyle name="Normal 2 2 10 2 8 2" xfId="8196" xr:uid="{00000000-0005-0000-0000-000004200000}"/>
    <cellStyle name="Normal 2 2 10 2 8 2 10" xfId="8197" xr:uid="{00000000-0005-0000-0000-000005200000}"/>
    <cellStyle name="Normal 2 2 10 2 8 2 2" xfId="8198" xr:uid="{00000000-0005-0000-0000-000006200000}"/>
    <cellStyle name="Normal 2 2 10 2 8 2 3" xfId="8199" xr:uid="{00000000-0005-0000-0000-000007200000}"/>
    <cellStyle name="Normal 2 2 10 2 8 2 4" xfId="8200" xr:uid="{00000000-0005-0000-0000-000008200000}"/>
    <cellStyle name="Normal 2 2 10 2 8 2 5" xfId="8201" xr:uid="{00000000-0005-0000-0000-000009200000}"/>
    <cellStyle name="Normal 2 2 10 2 8 2 6" xfId="8202" xr:uid="{00000000-0005-0000-0000-00000A200000}"/>
    <cellStyle name="Normal 2 2 10 2 8 2 7" xfId="8203" xr:uid="{00000000-0005-0000-0000-00000B200000}"/>
    <cellStyle name="Normal 2 2 10 2 8 2 8" xfId="8204" xr:uid="{00000000-0005-0000-0000-00000C200000}"/>
    <cellStyle name="Normal 2 2 10 2 8 2 9" xfId="8205" xr:uid="{00000000-0005-0000-0000-00000D200000}"/>
    <cellStyle name="Normal 2 2 10 2 8 3" xfId="8206" xr:uid="{00000000-0005-0000-0000-00000E200000}"/>
    <cellStyle name="Normal 2 2 10 2 8 3 10" xfId="8207" xr:uid="{00000000-0005-0000-0000-00000F200000}"/>
    <cellStyle name="Normal 2 2 10 2 8 3 2" xfId="8208" xr:uid="{00000000-0005-0000-0000-000010200000}"/>
    <cellStyle name="Normal 2 2 10 2 8 3 3" xfId="8209" xr:uid="{00000000-0005-0000-0000-000011200000}"/>
    <cellStyle name="Normal 2 2 10 2 8 3 4" xfId="8210" xr:uid="{00000000-0005-0000-0000-000012200000}"/>
    <cellStyle name="Normal 2 2 10 2 8 3 5" xfId="8211" xr:uid="{00000000-0005-0000-0000-000013200000}"/>
    <cellStyle name="Normal 2 2 10 2 8 3 6" xfId="8212" xr:uid="{00000000-0005-0000-0000-000014200000}"/>
    <cellStyle name="Normal 2 2 10 2 8 3 7" xfId="8213" xr:uid="{00000000-0005-0000-0000-000015200000}"/>
    <cellStyle name="Normal 2 2 10 2 8 3 8" xfId="8214" xr:uid="{00000000-0005-0000-0000-000016200000}"/>
    <cellStyle name="Normal 2 2 10 2 8 3 9" xfId="8215" xr:uid="{00000000-0005-0000-0000-000017200000}"/>
    <cellStyle name="Normal 2 2 10 2 8 4" xfId="8216" xr:uid="{00000000-0005-0000-0000-000018200000}"/>
    <cellStyle name="Normal 2 2 10 2 8 4 10" xfId="8217" xr:uid="{00000000-0005-0000-0000-000019200000}"/>
    <cellStyle name="Normal 2 2 10 2 8 4 2" xfId="8218" xr:uid="{00000000-0005-0000-0000-00001A200000}"/>
    <cellStyle name="Normal 2 2 10 2 8 4 3" xfId="8219" xr:uid="{00000000-0005-0000-0000-00001B200000}"/>
    <cellStyle name="Normal 2 2 10 2 8 4 4" xfId="8220" xr:uid="{00000000-0005-0000-0000-00001C200000}"/>
    <cellStyle name="Normal 2 2 10 2 8 4 5" xfId="8221" xr:uid="{00000000-0005-0000-0000-00001D200000}"/>
    <cellStyle name="Normal 2 2 10 2 8 4 6" xfId="8222" xr:uid="{00000000-0005-0000-0000-00001E200000}"/>
    <cellStyle name="Normal 2 2 10 2 8 4 7" xfId="8223" xr:uid="{00000000-0005-0000-0000-00001F200000}"/>
    <cellStyle name="Normal 2 2 10 2 8 4 8" xfId="8224" xr:uid="{00000000-0005-0000-0000-000020200000}"/>
    <cellStyle name="Normal 2 2 10 2 8 4 9" xfId="8225" xr:uid="{00000000-0005-0000-0000-000021200000}"/>
    <cellStyle name="Normal 2 2 10 2 8 5" xfId="8226" xr:uid="{00000000-0005-0000-0000-000022200000}"/>
    <cellStyle name="Normal 2 2 10 2 8 5 10" xfId="8227" xr:uid="{00000000-0005-0000-0000-000023200000}"/>
    <cellStyle name="Normal 2 2 10 2 8 5 2" xfId="8228" xr:uid="{00000000-0005-0000-0000-000024200000}"/>
    <cellStyle name="Normal 2 2 10 2 8 5 3" xfId="8229" xr:uid="{00000000-0005-0000-0000-000025200000}"/>
    <cellStyle name="Normal 2 2 10 2 8 5 4" xfId="8230" xr:uid="{00000000-0005-0000-0000-000026200000}"/>
    <cellStyle name="Normal 2 2 10 2 8 5 5" xfId="8231" xr:uid="{00000000-0005-0000-0000-000027200000}"/>
    <cellStyle name="Normal 2 2 10 2 8 5 6" xfId="8232" xr:uid="{00000000-0005-0000-0000-000028200000}"/>
    <cellStyle name="Normal 2 2 10 2 8 5 7" xfId="8233" xr:uid="{00000000-0005-0000-0000-000029200000}"/>
    <cellStyle name="Normal 2 2 10 2 8 5 8" xfId="8234" xr:uid="{00000000-0005-0000-0000-00002A200000}"/>
    <cellStyle name="Normal 2 2 10 2 8 5 9" xfId="8235" xr:uid="{00000000-0005-0000-0000-00002B200000}"/>
    <cellStyle name="Normal 2 2 10 2 8 6" xfId="8236" xr:uid="{00000000-0005-0000-0000-00002C200000}"/>
    <cellStyle name="Normal 2 2 10 2 8 7" xfId="8237" xr:uid="{00000000-0005-0000-0000-00002D200000}"/>
    <cellStyle name="Normal 2 2 10 2 8 8" xfId="8238" xr:uid="{00000000-0005-0000-0000-00002E200000}"/>
    <cellStyle name="Normal 2 2 10 2 8 9" xfId="8239" xr:uid="{00000000-0005-0000-0000-00002F200000}"/>
    <cellStyle name="Normal 2 2 10 2 9" xfId="8240" xr:uid="{00000000-0005-0000-0000-000030200000}"/>
    <cellStyle name="Normal 2 2 10 2 9 10" xfId="8241" xr:uid="{00000000-0005-0000-0000-000031200000}"/>
    <cellStyle name="Normal 2 2 10 2 9 11" xfId="8242" xr:uid="{00000000-0005-0000-0000-000032200000}"/>
    <cellStyle name="Normal 2 2 10 2 9 12" xfId="8243" xr:uid="{00000000-0005-0000-0000-000033200000}"/>
    <cellStyle name="Normal 2 2 10 2 9 13" xfId="8244" xr:uid="{00000000-0005-0000-0000-000034200000}"/>
    <cellStyle name="Normal 2 2 10 2 9 14" xfId="8245" xr:uid="{00000000-0005-0000-0000-000035200000}"/>
    <cellStyle name="Normal 2 2 10 2 9 2" xfId="8246" xr:uid="{00000000-0005-0000-0000-000036200000}"/>
    <cellStyle name="Normal 2 2 10 2 9 2 10" xfId="8247" xr:uid="{00000000-0005-0000-0000-000037200000}"/>
    <cellStyle name="Normal 2 2 10 2 9 2 2" xfId="8248" xr:uid="{00000000-0005-0000-0000-000038200000}"/>
    <cellStyle name="Normal 2 2 10 2 9 2 3" xfId="8249" xr:uid="{00000000-0005-0000-0000-000039200000}"/>
    <cellStyle name="Normal 2 2 10 2 9 2 4" xfId="8250" xr:uid="{00000000-0005-0000-0000-00003A200000}"/>
    <cellStyle name="Normal 2 2 10 2 9 2 5" xfId="8251" xr:uid="{00000000-0005-0000-0000-00003B200000}"/>
    <cellStyle name="Normal 2 2 10 2 9 2 6" xfId="8252" xr:uid="{00000000-0005-0000-0000-00003C200000}"/>
    <cellStyle name="Normal 2 2 10 2 9 2 7" xfId="8253" xr:uid="{00000000-0005-0000-0000-00003D200000}"/>
    <cellStyle name="Normal 2 2 10 2 9 2 8" xfId="8254" xr:uid="{00000000-0005-0000-0000-00003E200000}"/>
    <cellStyle name="Normal 2 2 10 2 9 2 9" xfId="8255" xr:uid="{00000000-0005-0000-0000-00003F200000}"/>
    <cellStyle name="Normal 2 2 10 2 9 3" xfId="8256" xr:uid="{00000000-0005-0000-0000-000040200000}"/>
    <cellStyle name="Normal 2 2 10 2 9 3 10" xfId="8257" xr:uid="{00000000-0005-0000-0000-000041200000}"/>
    <cellStyle name="Normal 2 2 10 2 9 3 2" xfId="8258" xr:uid="{00000000-0005-0000-0000-000042200000}"/>
    <cellStyle name="Normal 2 2 10 2 9 3 3" xfId="8259" xr:uid="{00000000-0005-0000-0000-000043200000}"/>
    <cellStyle name="Normal 2 2 10 2 9 3 4" xfId="8260" xr:uid="{00000000-0005-0000-0000-000044200000}"/>
    <cellStyle name="Normal 2 2 10 2 9 3 5" xfId="8261" xr:uid="{00000000-0005-0000-0000-000045200000}"/>
    <cellStyle name="Normal 2 2 10 2 9 3 6" xfId="8262" xr:uid="{00000000-0005-0000-0000-000046200000}"/>
    <cellStyle name="Normal 2 2 10 2 9 3 7" xfId="8263" xr:uid="{00000000-0005-0000-0000-000047200000}"/>
    <cellStyle name="Normal 2 2 10 2 9 3 8" xfId="8264" xr:uid="{00000000-0005-0000-0000-000048200000}"/>
    <cellStyle name="Normal 2 2 10 2 9 3 9" xfId="8265" xr:uid="{00000000-0005-0000-0000-000049200000}"/>
    <cellStyle name="Normal 2 2 10 2 9 4" xfId="8266" xr:uid="{00000000-0005-0000-0000-00004A200000}"/>
    <cellStyle name="Normal 2 2 10 2 9 4 10" xfId="8267" xr:uid="{00000000-0005-0000-0000-00004B200000}"/>
    <cellStyle name="Normal 2 2 10 2 9 4 2" xfId="8268" xr:uid="{00000000-0005-0000-0000-00004C200000}"/>
    <cellStyle name="Normal 2 2 10 2 9 4 3" xfId="8269" xr:uid="{00000000-0005-0000-0000-00004D200000}"/>
    <cellStyle name="Normal 2 2 10 2 9 4 4" xfId="8270" xr:uid="{00000000-0005-0000-0000-00004E200000}"/>
    <cellStyle name="Normal 2 2 10 2 9 4 5" xfId="8271" xr:uid="{00000000-0005-0000-0000-00004F200000}"/>
    <cellStyle name="Normal 2 2 10 2 9 4 6" xfId="8272" xr:uid="{00000000-0005-0000-0000-000050200000}"/>
    <cellStyle name="Normal 2 2 10 2 9 4 7" xfId="8273" xr:uid="{00000000-0005-0000-0000-000051200000}"/>
    <cellStyle name="Normal 2 2 10 2 9 4 8" xfId="8274" xr:uid="{00000000-0005-0000-0000-000052200000}"/>
    <cellStyle name="Normal 2 2 10 2 9 4 9" xfId="8275" xr:uid="{00000000-0005-0000-0000-000053200000}"/>
    <cellStyle name="Normal 2 2 10 2 9 5" xfId="8276" xr:uid="{00000000-0005-0000-0000-000054200000}"/>
    <cellStyle name="Normal 2 2 10 2 9 5 10" xfId="8277" xr:uid="{00000000-0005-0000-0000-000055200000}"/>
    <cellStyle name="Normal 2 2 10 2 9 5 2" xfId="8278" xr:uid="{00000000-0005-0000-0000-000056200000}"/>
    <cellStyle name="Normal 2 2 10 2 9 5 3" xfId="8279" xr:uid="{00000000-0005-0000-0000-000057200000}"/>
    <cellStyle name="Normal 2 2 10 2 9 5 4" xfId="8280" xr:uid="{00000000-0005-0000-0000-000058200000}"/>
    <cellStyle name="Normal 2 2 10 2 9 5 5" xfId="8281" xr:uid="{00000000-0005-0000-0000-000059200000}"/>
    <cellStyle name="Normal 2 2 10 2 9 5 6" xfId="8282" xr:uid="{00000000-0005-0000-0000-00005A200000}"/>
    <cellStyle name="Normal 2 2 10 2 9 5 7" xfId="8283" xr:uid="{00000000-0005-0000-0000-00005B200000}"/>
    <cellStyle name="Normal 2 2 10 2 9 5 8" xfId="8284" xr:uid="{00000000-0005-0000-0000-00005C200000}"/>
    <cellStyle name="Normal 2 2 10 2 9 5 9" xfId="8285" xr:uid="{00000000-0005-0000-0000-00005D200000}"/>
    <cellStyle name="Normal 2 2 10 2 9 6" xfId="8286" xr:uid="{00000000-0005-0000-0000-00005E200000}"/>
    <cellStyle name="Normal 2 2 10 2 9 7" xfId="8287" xr:uid="{00000000-0005-0000-0000-00005F200000}"/>
    <cellStyle name="Normal 2 2 10 2 9 8" xfId="8288" xr:uid="{00000000-0005-0000-0000-000060200000}"/>
    <cellStyle name="Normal 2 2 10 2 9 9" xfId="8289" xr:uid="{00000000-0005-0000-0000-000061200000}"/>
    <cellStyle name="Normal 2 2 10 20" xfId="8290" xr:uid="{00000000-0005-0000-0000-000062200000}"/>
    <cellStyle name="Normal 2 2 10 20 10" xfId="8291" xr:uid="{00000000-0005-0000-0000-000063200000}"/>
    <cellStyle name="Normal 2 2 10 20 11" xfId="8292" xr:uid="{00000000-0005-0000-0000-000064200000}"/>
    <cellStyle name="Normal 2 2 10 20 12" xfId="8293" xr:uid="{00000000-0005-0000-0000-000065200000}"/>
    <cellStyle name="Normal 2 2 10 20 13" xfId="8294" xr:uid="{00000000-0005-0000-0000-000066200000}"/>
    <cellStyle name="Normal 2 2 10 20 14" xfId="8295" xr:uid="{00000000-0005-0000-0000-000067200000}"/>
    <cellStyle name="Normal 2 2 10 20 2" xfId="8296" xr:uid="{00000000-0005-0000-0000-000068200000}"/>
    <cellStyle name="Normal 2 2 10 20 2 10" xfId="8297" xr:uid="{00000000-0005-0000-0000-000069200000}"/>
    <cellStyle name="Normal 2 2 10 20 2 2" xfId="8298" xr:uid="{00000000-0005-0000-0000-00006A200000}"/>
    <cellStyle name="Normal 2 2 10 20 2 3" xfId="8299" xr:uid="{00000000-0005-0000-0000-00006B200000}"/>
    <cellStyle name="Normal 2 2 10 20 2 4" xfId="8300" xr:uid="{00000000-0005-0000-0000-00006C200000}"/>
    <cellStyle name="Normal 2 2 10 20 2 5" xfId="8301" xr:uid="{00000000-0005-0000-0000-00006D200000}"/>
    <cellStyle name="Normal 2 2 10 20 2 6" xfId="8302" xr:uid="{00000000-0005-0000-0000-00006E200000}"/>
    <cellStyle name="Normal 2 2 10 20 2 7" xfId="8303" xr:uid="{00000000-0005-0000-0000-00006F200000}"/>
    <cellStyle name="Normal 2 2 10 20 2 8" xfId="8304" xr:uid="{00000000-0005-0000-0000-000070200000}"/>
    <cellStyle name="Normal 2 2 10 20 2 9" xfId="8305" xr:uid="{00000000-0005-0000-0000-000071200000}"/>
    <cellStyle name="Normal 2 2 10 20 3" xfId="8306" xr:uid="{00000000-0005-0000-0000-000072200000}"/>
    <cellStyle name="Normal 2 2 10 20 3 10" xfId="8307" xr:uid="{00000000-0005-0000-0000-000073200000}"/>
    <cellStyle name="Normal 2 2 10 20 3 2" xfId="8308" xr:uid="{00000000-0005-0000-0000-000074200000}"/>
    <cellStyle name="Normal 2 2 10 20 3 3" xfId="8309" xr:uid="{00000000-0005-0000-0000-000075200000}"/>
    <cellStyle name="Normal 2 2 10 20 3 4" xfId="8310" xr:uid="{00000000-0005-0000-0000-000076200000}"/>
    <cellStyle name="Normal 2 2 10 20 3 5" xfId="8311" xr:uid="{00000000-0005-0000-0000-000077200000}"/>
    <cellStyle name="Normal 2 2 10 20 3 6" xfId="8312" xr:uid="{00000000-0005-0000-0000-000078200000}"/>
    <cellStyle name="Normal 2 2 10 20 3 7" xfId="8313" xr:uid="{00000000-0005-0000-0000-000079200000}"/>
    <cellStyle name="Normal 2 2 10 20 3 8" xfId="8314" xr:uid="{00000000-0005-0000-0000-00007A200000}"/>
    <cellStyle name="Normal 2 2 10 20 3 9" xfId="8315" xr:uid="{00000000-0005-0000-0000-00007B200000}"/>
    <cellStyle name="Normal 2 2 10 20 4" xfId="8316" xr:uid="{00000000-0005-0000-0000-00007C200000}"/>
    <cellStyle name="Normal 2 2 10 20 4 10" xfId="8317" xr:uid="{00000000-0005-0000-0000-00007D200000}"/>
    <cellStyle name="Normal 2 2 10 20 4 2" xfId="8318" xr:uid="{00000000-0005-0000-0000-00007E200000}"/>
    <cellStyle name="Normal 2 2 10 20 4 3" xfId="8319" xr:uid="{00000000-0005-0000-0000-00007F200000}"/>
    <cellStyle name="Normal 2 2 10 20 4 4" xfId="8320" xr:uid="{00000000-0005-0000-0000-000080200000}"/>
    <cellStyle name="Normal 2 2 10 20 4 5" xfId="8321" xr:uid="{00000000-0005-0000-0000-000081200000}"/>
    <cellStyle name="Normal 2 2 10 20 4 6" xfId="8322" xr:uid="{00000000-0005-0000-0000-000082200000}"/>
    <cellStyle name="Normal 2 2 10 20 4 7" xfId="8323" xr:uid="{00000000-0005-0000-0000-000083200000}"/>
    <cellStyle name="Normal 2 2 10 20 4 8" xfId="8324" xr:uid="{00000000-0005-0000-0000-000084200000}"/>
    <cellStyle name="Normal 2 2 10 20 4 9" xfId="8325" xr:uid="{00000000-0005-0000-0000-000085200000}"/>
    <cellStyle name="Normal 2 2 10 20 5" xfId="8326" xr:uid="{00000000-0005-0000-0000-000086200000}"/>
    <cellStyle name="Normal 2 2 10 20 5 10" xfId="8327" xr:uid="{00000000-0005-0000-0000-000087200000}"/>
    <cellStyle name="Normal 2 2 10 20 5 2" xfId="8328" xr:uid="{00000000-0005-0000-0000-000088200000}"/>
    <cellStyle name="Normal 2 2 10 20 5 3" xfId="8329" xr:uid="{00000000-0005-0000-0000-000089200000}"/>
    <cellStyle name="Normal 2 2 10 20 5 4" xfId="8330" xr:uid="{00000000-0005-0000-0000-00008A200000}"/>
    <cellStyle name="Normal 2 2 10 20 5 5" xfId="8331" xr:uid="{00000000-0005-0000-0000-00008B200000}"/>
    <cellStyle name="Normal 2 2 10 20 5 6" xfId="8332" xr:uid="{00000000-0005-0000-0000-00008C200000}"/>
    <cellStyle name="Normal 2 2 10 20 5 7" xfId="8333" xr:uid="{00000000-0005-0000-0000-00008D200000}"/>
    <cellStyle name="Normal 2 2 10 20 5 8" xfId="8334" xr:uid="{00000000-0005-0000-0000-00008E200000}"/>
    <cellStyle name="Normal 2 2 10 20 5 9" xfId="8335" xr:uid="{00000000-0005-0000-0000-00008F200000}"/>
    <cellStyle name="Normal 2 2 10 20 6" xfId="8336" xr:uid="{00000000-0005-0000-0000-000090200000}"/>
    <cellStyle name="Normal 2 2 10 20 7" xfId="8337" xr:uid="{00000000-0005-0000-0000-000091200000}"/>
    <cellStyle name="Normal 2 2 10 20 8" xfId="8338" xr:uid="{00000000-0005-0000-0000-000092200000}"/>
    <cellStyle name="Normal 2 2 10 20 9" xfId="8339" xr:uid="{00000000-0005-0000-0000-000093200000}"/>
    <cellStyle name="Normal 2 2 10 21" xfId="8340" xr:uid="{00000000-0005-0000-0000-000094200000}"/>
    <cellStyle name="Normal 2 2 10 21 10" xfId="8341" xr:uid="{00000000-0005-0000-0000-000095200000}"/>
    <cellStyle name="Normal 2 2 10 21 11" xfId="8342" xr:uid="{00000000-0005-0000-0000-000096200000}"/>
    <cellStyle name="Normal 2 2 10 21 12" xfId="8343" xr:uid="{00000000-0005-0000-0000-000097200000}"/>
    <cellStyle name="Normal 2 2 10 21 13" xfId="8344" xr:uid="{00000000-0005-0000-0000-000098200000}"/>
    <cellStyle name="Normal 2 2 10 21 14" xfId="8345" xr:uid="{00000000-0005-0000-0000-000099200000}"/>
    <cellStyle name="Normal 2 2 10 21 2" xfId="8346" xr:uid="{00000000-0005-0000-0000-00009A200000}"/>
    <cellStyle name="Normal 2 2 10 21 2 10" xfId="8347" xr:uid="{00000000-0005-0000-0000-00009B200000}"/>
    <cellStyle name="Normal 2 2 10 21 2 2" xfId="8348" xr:uid="{00000000-0005-0000-0000-00009C200000}"/>
    <cellStyle name="Normal 2 2 10 21 2 3" xfId="8349" xr:uid="{00000000-0005-0000-0000-00009D200000}"/>
    <cellStyle name="Normal 2 2 10 21 2 4" xfId="8350" xr:uid="{00000000-0005-0000-0000-00009E200000}"/>
    <cellStyle name="Normal 2 2 10 21 2 5" xfId="8351" xr:uid="{00000000-0005-0000-0000-00009F200000}"/>
    <cellStyle name="Normal 2 2 10 21 2 6" xfId="8352" xr:uid="{00000000-0005-0000-0000-0000A0200000}"/>
    <cellStyle name="Normal 2 2 10 21 2 7" xfId="8353" xr:uid="{00000000-0005-0000-0000-0000A1200000}"/>
    <cellStyle name="Normal 2 2 10 21 2 8" xfId="8354" xr:uid="{00000000-0005-0000-0000-0000A2200000}"/>
    <cellStyle name="Normal 2 2 10 21 2 9" xfId="8355" xr:uid="{00000000-0005-0000-0000-0000A3200000}"/>
    <cellStyle name="Normal 2 2 10 21 3" xfId="8356" xr:uid="{00000000-0005-0000-0000-0000A4200000}"/>
    <cellStyle name="Normal 2 2 10 21 3 10" xfId="8357" xr:uid="{00000000-0005-0000-0000-0000A5200000}"/>
    <cellStyle name="Normal 2 2 10 21 3 2" xfId="8358" xr:uid="{00000000-0005-0000-0000-0000A6200000}"/>
    <cellStyle name="Normal 2 2 10 21 3 3" xfId="8359" xr:uid="{00000000-0005-0000-0000-0000A7200000}"/>
    <cellStyle name="Normal 2 2 10 21 3 4" xfId="8360" xr:uid="{00000000-0005-0000-0000-0000A8200000}"/>
    <cellStyle name="Normal 2 2 10 21 3 5" xfId="8361" xr:uid="{00000000-0005-0000-0000-0000A9200000}"/>
    <cellStyle name="Normal 2 2 10 21 3 6" xfId="8362" xr:uid="{00000000-0005-0000-0000-0000AA200000}"/>
    <cellStyle name="Normal 2 2 10 21 3 7" xfId="8363" xr:uid="{00000000-0005-0000-0000-0000AB200000}"/>
    <cellStyle name="Normal 2 2 10 21 3 8" xfId="8364" xr:uid="{00000000-0005-0000-0000-0000AC200000}"/>
    <cellStyle name="Normal 2 2 10 21 3 9" xfId="8365" xr:uid="{00000000-0005-0000-0000-0000AD200000}"/>
    <cellStyle name="Normal 2 2 10 21 4" xfId="8366" xr:uid="{00000000-0005-0000-0000-0000AE200000}"/>
    <cellStyle name="Normal 2 2 10 21 4 10" xfId="8367" xr:uid="{00000000-0005-0000-0000-0000AF200000}"/>
    <cellStyle name="Normal 2 2 10 21 4 2" xfId="8368" xr:uid="{00000000-0005-0000-0000-0000B0200000}"/>
    <cellStyle name="Normal 2 2 10 21 4 3" xfId="8369" xr:uid="{00000000-0005-0000-0000-0000B1200000}"/>
    <cellStyle name="Normal 2 2 10 21 4 4" xfId="8370" xr:uid="{00000000-0005-0000-0000-0000B2200000}"/>
    <cellStyle name="Normal 2 2 10 21 4 5" xfId="8371" xr:uid="{00000000-0005-0000-0000-0000B3200000}"/>
    <cellStyle name="Normal 2 2 10 21 4 6" xfId="8372" xr:uid="{00000000-0005-0000-0000-0000B4200000}"/>
    <cellStyle name="Normal 2 2 10 21 4 7" xfId="8373" xr:uid="{00000000-0005-0000-0000-0000B5200000}"/>
    <cellStyle name="Normal 2 2 10 21 4 8" xfId="8374" xr:uid="{00000000-0005-0000-0000-0000B6200000}"/>
    <cellStyle name="Normal 2 2 10 21 4 9" xfId="8375" xr:uid="{00000000-0005-0000-0000-0000B7200000}"/>
    <cellStyle name="Normal 2 2 10 21 5" xfId="8376" xr:uid="{00000000-0005-0000-0000-0000B8200000}"/>
    <cellStyle name="Normal 2 2 10 21 5 10" xfId="8377" xr:uid="{00000000-0005-0000-0000-0000B9200000}"/>
    <cellStyle name="Normal 2 2 10 21 5 2" xfId="8378" xr:uid="{00000000-0005-0000-0000-0000BA200000}"/>
    <cellStyle name="Normal 2 2 10 21 5 3" xfId="8379" xr:uid="{00000000-0005-0000-0000-0000BB200000}"/>
    <cellStyle name="Normal 2 2 10 21 5 4" xfId="8380" xr:uid="{00000000-0005-0000-0000-0000BC200000}"/>
    <cellStyle name="Normal 2 2 10 21 5 5" xfId="8381" xr:uid="{00000000-0005-0000-0000-0000BD200000}"/>
    <cellStyle name="Normal 2 2 10 21 5 6" xfId="8382" xr:uid="{00000000-0005-0000-0000-0000BE200000}"/>
    <cellStyle name="Normal 2 2 10 21 5 7" xfId="8383" xr:uid="{00000000-0005-0000-0000-0000BF200000}"/>
    <cellStyle name="Normal 2 2 10 21 5 8" xfId="8384" xr:uid="{00000000-0005-0000-0000-0000C0200000}"/>
    <cellStyle name="Normal 2 2 10 21 5 9" xfId="8385" xr:uid="{00000000-0005-0000-0000-0000C1200000}"/>
    <cellStyle name="Normal 2 2 10 21 6" xfId="8386" xr:uid="{00000000-0005-0000-0000-0000C2200000}"/>
    <cellStyle name="Normal 2 2 10 21 7" xfId="8387" xr:uid="{00000000-0005-0000-0000-0000C3200000}"/>
    <cellStyle name="Normal 2 2 10 21 8" xfId="8388" xr:uid="{00000000-0005-0000-0000-0000C4200000}"/>
    <cellStyle name="Normal 2 2 10 21 9" xfId="8389" xr:uid="{00000000-0005-0000-0000-0000C5200000}"/>
    <cellStyle name="Normal 2 2 10 22" xfId="8390" xr:uid="{00000000-0005-0000-0000-0000C6200000}"/>
    <cellStyle name="Normal 2 2 10 22 10" xfId="8391" xr:uid="{00000000-0005-0000-0000-0000C7200000}"/>
    <cellStyle name="Normal 2 2 10 22 11" xfId="8392" xr:uid="{00000000-0005-0000-0000-0000C8200000}"/>
    <cellStyle name="Normal 2 2 10 22 12" xfId="8393" xr:uid="{00000000-0005-0000-0000-0000C9200000}"/>
    <cellStyle name="Normal 2 2 10 22 13" xfId="8394" xr:uid="{00000000-0005-0000-0000-0000CA200000}"/>
    <cellStyle name="Normal 2 2 10 22 14" xfId="8395" xr:uid="{00000000-0005-0000-0000-0000CB200000}"/>
    <cellStyle name="Normal 2 2 10 22 2" xfId="8396" xr:uid="{00000000-0005-0000-0000-0000CC200000}"/>
    <cellStyle name="Normal 2 2 10 22 2 10" xfId="8397" xr:uid="{00000000-0005-0000-0000-0000CD200000}"/>
    <cellStyle name="Normal 2 2 10 22 2 2" xfId="8398" xr:uid="{00000000-0005-0000-0000-0000CE200000}"/>
    <cellStyle name="Normal 2 2 10 22 2 3" xfId="8399" xr:uid="{00000000-0005-0000-0000-0000CF200000}"/>
    <cellStyle name="Normal 2 2 10 22 2 4" xfId="8400" xr:uid="{00000000-0005-0000-0000-0000D0200000}"/>
    <cellStyle name="Normal 2 2 10 22 2 5" xfId="8401" xr:uid="{00000000-0005-0000-0000-0000D1200000}"/>
    <cellStyle name="Normal 2 2 10 22 2 6" xfId="8402" xr:uid="{00000000-0005-0000-0000-0000D2200000}"/>
    <cellStyle name="Normal 2 2 10 22 2 7" xfId="8403" xr:uid="{00000000-0005-0000-0000-0000D3200000}"/>
    <cellStyle name="Normal 2 2 10 22 2 8" xfId="8404" xr:uid="{00000000-0005-0000-0000-0000D4200000}"/>
    <cellStyle name="Normal 2 2 10 22 2 9" xfId="8405" xr:uid="{00000000-0005-0000-0000-0000D5200000}"/>
    <cellStyle name="Normal 2 2 10 22 3" xfId="8406" xr:uid="{00000000-0005-0000-0000-0000D6200000}"/>
    <cellStyle name="Normal 2 2 10 22 3 10" xfId="8407" xr:uid="{00000000-0005-0000-0000-0000D7200000}"/>
    <cellStyle name="Normal 2 2 10 22 3 2" xfId="8408" xr:uid="{00000000-0005-0000-0000-0000D8200000}"/>
    <cellStyle name="Normal 2 2 10 22 3 3" xfId="8409" xr:uid="{00000000-0005-0000-0000-0000D9200000}"/>
    <cellStyle name="Normal 2 2 10 22 3 4" xfId="8410" xr:uid="{00000000-0005-0000-0000-0000DA200000}"/>
    <cellStyle name="Normal 2 2 10 22 3 5" xfId="8411" xr:uid="{00000000-0005-0000-0000-0000DB200000}"/>
    <cellStyle name="Normal 2 2 10 22 3 6" xfId="8412" xr:uid="{00000000-0005-0000-0000-0000DC200000}"/>
    <cellStyle name="Normal 2 2 10 22 3 7" xfId="8413" xr:uid="{00000000-0005-0000-0000-0000DD200000}"/>
    <cellStyle name="Normal 2 2 10 22 3 8" xfId="8414" xr:uid="{00000000-0005-0000-0000-0000DE200000}"/>
    <cellStyle name="Normal 2 2 10 22 3 9" xfId="8415" xr:uid="{00000000-0005-0000-0000-0000DF200000}"/>
    <cellStyle name="Normal 2 2 10 22 4" xfId="8416" xr:uid="{00000000-0005-0000-0000-0000E0200000}"/>
    <cellStyle name="Normal 2 2 10 22 4 10" xfId="8417" xr:uid="{00000000-0005-0000-0000-0000E1200000}"/>
    <cellStyle name="Normal 2 2 10 22 4 2" xfId="8418" xr:uid="{00000000-0005-0000-0000-0000E2200000}"/>
    <cellStyle name="Normal 2 2 10 22 4 3" xfId="8419" xr:uid="{00000000-0005-0000-0000-0000E3200000}"/>
    <cellStyle name="Normal 2 2 10 22 4 4" xfId="8420" xr:uid="{00000000-0005-0000-0000-0000E4200000}"/>
    <cellStyle name="Normal 2 2 10 22 4 5" xfId="8421" xr:uid="{00000000-0005-0000-0000-0000E5200000}"/>
    <cellStyle name="Normal 2 2 10 22 4 6" xfId="8422" xr:uid="{00000000-0005-0000-0000-0000E6200000}"/>
    <cellStyle name="Normal 2 2 10 22 4 7" xfId="8423" xr:uid="{00000000-0005-0000-0000-0000E7200000}"/>
    <cellStyle name="Normal 2 2 10 22 4 8" xfId="8424" xr:uid="{00000000-0005-0000-0000-0000E8200000}"/>
    <cellStyle name="Normal 2 2 10 22 4 9" xfId="8425" xr:uid="{00000000-0005-0000-0000-0000E9200000}"/>
    <cellStyle name="Normal 2 2 10 22 5" xfId="8426" xr:uid="{00000000-0005-0000-0000-0000EA200000}"/>
    <cellStyle name="Normal 2 2 10 22 5 10" xfId="8427" xr:uid="{00000000-0005-0000-0000-0000EB200000}"/>
    <cellStyle name="Normal 2 2 10 22 5 2" xfId="8428" xr:uid="{00000000-0005-0000-0000-0000EC200000}"/>
    <cellStyle name="Normal 2 2 10 22 5 3" xfId="8429" xr:uid="{00000000-0005-0000-0000-0000ED200000}"/>
    <cellStyle name="Normal 2 2 10 22 5 4" xfId="8430" xr:uid="{00000000-0005-0000-0000-0000EE200000}"/>
    <cellStyle name="Normal 2 2 10 22 5 5" xfId="8431" xr:uid="{00000000-0005-0000-0000-0000EF200000}"/>
    <cellStyle name="Normal 2 2 10 22 5 6" xfId="8432" xr:uid="{00000000-0005-0000-0000-0000F0200000}"/>
    <cellStyle name="Normal 2 2 10 22 5 7" xfId="8433" xr:uid="{00000000-0005-0000-0000-0000F1200000}"/>
    <cellStyle name="Normal 2 2 10 22 5 8" xfId="8434" xr:uid="{00000000-0005-0000-0000-0000F2200000}"/>
    <cellStyle name="Normal 2 2 10 22 5 9" xfId="8435" xr:uid="{00000000-0005-0000-0000-0000F3200000}"/>
    <cellStyle name="Normal 2 2 10 22 6" xfId="8436" xr:uid="{00000000-0005-0000-0000-0000F4200000}"/>
    <cellStyle name="Normal 2 2 10 22 7" xfId="8437" xr:uid="{00000000-0005-0000-0000-0000F5200000}"/>
    <cellStyle name="Normal 2 2 10 22 8" xfId="8438" xr:uid="{00000000-0005-0000-0000-0000F6200000}"/>
    <cellStyle name="Normal 2 2 10 22 9" xfId="8439" xr:uid="{00000000-0005-0000-0000-0000F7200000}"/>
    <cellStyle name="Normal 2 2 10 23" xfId="8440" xr:uid="{00000000-0005-0000-0000-0000F8200000}"/>
    <cellStyle name="Normal 2 2 10 23 10" xfId="8441" xr:uid="{00000000-0005-0000-0000-0000F9200000}"/>
    <cellStyle name="Normal 2 2 10 23 11" xfId="8442" xr:uid="{00000000-0005-0000-0000-0000FA200000}"/>
    <cellStyle name="Normal 2 2 10 23 12" xfId="8443" xr:uid="{00000000-0005-0000-0000-0000FB200000}"/>
    <cellStyle name="Normal 2 2 10 23 13" xfId="8444" xr:uid="{00000000-0005-0000-0000-0000FC200000}"/>
    <cellStyle name="Normal 2 2 10 23 14" xfId="8445" xr:uid="{00000000-0005-0000-0000-0000FD200000}"/>
    <cellStyle name="Normal 2 2 10 23 2" xfId="8446" xr:uid="{00000000-0005-0000-0000-0000FE200000}"/>
    <cellStyle name="Normal 2 2 10 23 2 10" xfId="8447" xr:uid="{00000000-0005-0000-0000-0000FF200000}"/>
    <cellStyle name="Normal 2 2 10 23 2 2" xfId="8448" xr:uid="{00000000-0005-0000-0000-000000210000}"/>
    <cellStyle name="Normal 2 2 10 23 2 3" xfId="8449" xr:uid="{00000000-0005-0000-0000-000001210000}"/>
    <cellStyle name="Normal 2 2 10 23 2 4" xfId="8450" xr:uid="{00000000-0005-0000-0000-000002210000}"/>
    <cellStyle name="Normal 2 2 10 23 2 5" xfId="8451" xr:uid="{00000000-0005-0000-0000-000003210000}"/>
    <cellStyle name="Normal 2 2 10 23 2 6" xfId="8452" xr:uid="{00000000-0005-0000-0000-000004210000}"/>
    <cellStyle name="Normal 2 2 10 23 2 7" xfId="8453" xr:uid="{00000000-0005-0000-0000-000005210000}"/>
    <cellStyle name="Normal 2 2 10 23 2 8" xfId="8454" xr:uid="{00000000-0005-0000-0000-000006210000}"/>
    <cellStyle name="Normal 2 2 10 23 2 9" xfId="8455" xr:uid="{00000000-0005-0000-0000-000007210000}"/>
    <cellStyle name="Normal 2 2 10 23 3" xfId="8456" xr:uid="{00000000-0005-0000-0000-000008210000}"/>
    <cellStyle name="Normal 2 2 10 23 3 10" xfId="8457" xr:uid="{00000000-0005-0000-0000-000009210000}"/>
    <cellStyle name="Normal 2 2 10 23 3 2" xfId="8458" xr:uid="{00000000-0005-0000-0000-00000A210000}"/>
    <cellStyle name="Normal 2 2 10 23 3 3" xfId="8459" xr:uid="{00000000-0005-0000-0000-00000B210000}"/>
    <cellStyle name="Normal 2 2 10 23 3 4" xfId="8460" xr:uid="{00000000-0005-0000-0000-00000C210000}"/>
    <cellStyle name="Normal 2 2 10 23 3 5" xfId="8461" xr:uid="{00000000-0005-0000-0000-00000D210000}"/>
    <cellStyle name="Normal 2 2 10 23 3 6" xfId="8462" xr:uid="{00000000-0005-0000-0000-00000E210000}"/>
    <cellStyle name="Normal 2 2 10 23 3 7" xfId="8463" xr:uid="{00000000-0005-0000-0000-00000F210000}"/>
    <cellStyle name="Normal 2 2 10 23 3 8" xfId="8464" xr:uid="{00000000-0005-0000-0000-000010210000}"/>
    <cellStyle name="Normal 2 2 10 23 3 9" xfId="8465" xr:uid="{00000000-0005-0000-0000-000011210000}"/>
    <cellStyle name="Normal 2 2 10 23 4" xfId="8466" xr:uid="{00000000-0005-0000-0000-000012210000}"/>
    <cellStyle name="Normal 2 2 10 23 4 10" xfId="8467" xr:uid="{00000000-0005-0000-0000-000013210000}"/>
    <cellStyle name="Normal 2 2 10 23 4 2" xfId="8468" xr:uid="{00000000-0005-0000-0000-000014210000}"/>
    <cellStyle name="Normal 2 2 10 23 4 3" xfId="8469" xr:uid="{00000000-0005-0000-0000-000015210000}"/>
    <cellStyle name="Normal 2 2 10 23 4 4" xfId="8470" xr:uid="{00000000-0005-0000-0000-000016210000}"/>
    <cellStyle name="Normal 2 2 10 23 4 5" xfId="8471" xr:uid="{00000000-0005-0000-0000-000017210000}"/>
    <cellStyle name="Normal 2 2 10 23 4 6" xfId="8472" xr:uid="{00000000-0005-0000-0000-000018210000}"/>
    <cellStyle name="Normal 2 2 10 23 4 7" xfId="8473" xr:uid="{00000000-0005-0000-0000-000019210000}"/>
    <cellStyle name="Normal 2 2 10 23 4 8" xfId="8474" xr:uid="{00000000-0005-0000-0000-00001A210000}"/>
    <cellStyle name="Normal 2 2 10 23 4 9" xfId="8475" xr:uid="{00000000-0005-0000-0000-00001B210000}"/>
    <cellStyle name="Normal 2 2 10 23 5" xfId="8476" xr:uid="{00000000-0005-0000-0000-00001C210000}"/>
    <cellStyle name="Normal 2 2 10 23 5 10" xfId="8477" xr:uid="{00000000-0005-0000-0000-00001D210000}"/>
    <cellStyle name="Normal 2 2 10 23 5 2" xfId="8478" xr:uid="{00000000-0005-0000-0000-00001E210000}"/>
    <cellStyle name="Normal 2 2 10 23 5 3" xfId="8479" xr:uid="{00000000-0005-0000-0000-00001F210000}"/>
    <cellStyle name="Normal 2 2 10 23 5 4" xfId="8480" xr:uid="{00000000-0005-0000-0000-000020210000}"/>
    <cellStyle name="Normal 2 2 10 23 5 5" xfId="8481" xr:uid="{00000000-0005-0000-0000-000021210000}"/>
    <cellStyle name="Normal 2 2 10 23 5 6" xfId="8482" xr:uid="{00000000-0005-0000-0000-000022210000}"/>
    <cellStyle name="Normal 2 2 10 23 5 7" xfId="8483" xr:uid="{00000000-0005-0000-0000-000023210000}"/>
    <cellStyle name="Normal 2 2 10 23 5 8" xfId="8484" xr:uid="{00000000-0005-0000-0000-000024210000}"/>
    <cellStyle name="Normal 2 2 10 23 5 9" xfId="8485" xr:uid="{00000000-0005-0000-0000-000025210000}"/>
    <cellStyle name="Normal 2 2 10 23 6" xfId="8486" xr:uid="{00000000-0005-0000-0000-000026210000}"/>
    <cellStyle name="Normal 2 2 10 23 7" xfId="8487" xr:uid="{00000000-0005-0000-0000-000027210000}"/>
    <cellStyle name="Normal 2 2 10 23 8" xfId="8488" xr:uid="{00000000-0005-0000-0000-000028210000}"/>
    <cellStyle name="Normal 2 2 10 23 9" xfId="8489" xr:uid="{00000000-0005-0000-0000-000029210000}"/>
    <cellStyle name="Normal 2 2 10 24" xfId="8490" xr:uid="{00000000-0005-0000-0000-00002A210000}"/>
    <cellStyle name="Normal 2 2 10 24 10" xfId="8491" xr:uid="{00000000-0005-0000-0000-00002B210000}"/>
    <cellStyle name="Normal 2 2 10 24 11" xfId="8492" xr:uid="{00000000-0005-0000-0000-00002C210000}"/>
    <cellStyle name="Normal 2 2 10 24 12" xfId="8493" xr:uid="{00000000-0005-0000-0000-00002D210000}"/>
    <cellStyle name="Normal 2 2 10 24 13" xfId="8494" xr:uid="{00000000-0005-0000-0000-00002E210000}"/>
    <cellStyle name="Normal 2 2 10 24 14" xfId="8495" xr:uid="{00000000-0005-0000-0000-00002F210000}"/>
    <cellStyle name="Normal 2 2 10 24 2" xfId="8496" xr:uid="{00000000-0005-0000-0000-000030210000}"/>
    <cellStyle name="Normal 2 2 10 24 2 10" xfId="8497" xr:uid="{00000000-0005-0000-0000-000031210000}"/>
    <cellStyle name="Normal 2 2 10 24 2 2" xfId="8498" xr:uid="{00000000-0005-0000-0000-000032210000}"/>
    <cellStyle name="Normal 2 2 10 24 2 3" xfId="8499" xr:uid="{00000000-0005-0000-0000-000033210000}"/>
    <cellStyle name="Normal 2 2 10 24 2 4" xfId="8500" xr:uid="{00000000-0005-0000-0000-000034210000}"/>
    <cellStyle name="Normal 2 2 10 24 2 5" xfId="8501" xr:uid="{00000000-0005-0000-0000-000035210000}"/>
    <cellStyle name="Normal 2 2 10 24 2 6" xfId="8502" xr:uid="{00000000-0005-0000-0000-000036210000}"/>
    <cellStyle name="Normal 2 2 10 24 2 7" xfId="8503" xr:uid="{00000000-0005-0000-0000-000037210000}"/>
    <cellStyle name="Normal 2 2 10 24 2 8" xfId="8504" xr:uid="{00000000-0005-0000-0000-000038210000}"/>
    <cellStyle name="Normal 2 2 10 24 2 9" xfId="8505" xr:uid="{00000000-0005-0000-0000-000039210000}"/>
    <cellStyle name="Normal 2 2 10 24 3" xfId="8506" xr:uid="{00000000-0005-0000-0000-00003A210000}"/>
    <cellStyle name="Normal 2 2 10 24 3 10" xfId="8507" xr:uid="{00000000-0005-0000-0000-00003B210000}"/>
    <cellStyle name="Normal 2 2 10 24 3 2" xfId="8508" xr:uid="{00000000-0005-0000-0000-00003C210000}"/>
    <cellStyle name="Normal 2 2 10 24 3 3" xfId="8509" xr:uid="{00000000-0005-0000-0000-00003D210000}"/>
    <cellStyle name="Normal 2 2 10 24 3 4" xfId="8510" xr:uid="{00000000-0005-0000-0000-00003E210000}"/>
    <cellStyle name="Normal 2 2 10 24 3 5" xfId="8511" xr:uid="{00000000-0005-0000-0000-00003F210000}"/>
    <cellStyle name="Normal 2 2 10 24 3 6" xfId="8512" xr:uid="{00000000-0005-0000-0000-000040210000}"/>
    <cellStyle name="Normal 2 2 10 24 3 7" xfId="8513" xr:uid="{00000000-0005-0000-0000-000041210000}"/>
    <cellStyle name="Normal 2 2 10 24 3 8" xfId="8514" xr:uid="{00000000-0005-0000-0000-000042210000}"/>
    <cellStyle name="Normal 2 2 10 24 3 9" xfId="8515" xr:uid="{00000000-0005-0000-0000-000043210000}"/>
    <cellStyle name="Normal 2 2 10 24 4" xfId="8516" xr:uid="{00000000-0005-0000-0000-000044210000}"/>
    <cellStyle name="Normal 2 2 10 24 4 10" xfId="8517" xr:uid="{00000000-0005-0000-0000-000045210000}"/>
    <cellStyle name="Normal 2 2 10 24 4 2" xfId="8518" xr:uid="{00000000-0005-0000-0000-000046210000}"/>
    <cellStyle name="Normal 2 2 10 24 4 3" xfId="8519" xr:uid="{00000000-0005-0000-0000-000047210000}"/>
    <cellStyle name="Normal 2 2 10 24 4 4" xfId="8520" xr:uid="{00000000-0005-0000-0000-000048210000}"/>
    <cellStyle name="Normal 2 2 10 24 4 5" xfId="8521" xr:uid="{00000000-0005-0000-0000-000049210000}"/>
    <cellStyle name="Normal 2 2 10 24 4 6" xfId="8522" xr:uid="{00000000-0005-0000-0000-00004A210000}"/>
    <cellStyle name="Normal 2 2 10 24 4 7" xfId="8523" xr:uid="{00000000-0005-0000-0000-00004B210000}"/>
    <cellStyle name="Normal 2 2 10 24 4 8" xfId="8524" xr:uid="{00000000-0005-0000-0000-00004C210000}"/>
    <cellStyle name="Normal 2 2 10 24 4 9" xfId="8525" xr:uid="{00000000-0005-0000-0000-00004D210000}"/>
    <cellStyle name="Normal 2 2 10 24 5" xfId="8526" xr:uid="{00000000-0005-0000-0000-00004E210000}"/>
    <cellStyle name="Normal 2 2 10 24 5 10" xfId="8527" xr:uid="{00000000-0005-0000-0000-00004F210000}"/>
    <cellStyle name="Normal 2 2 10 24 5 2" xfId="8528" xr:uid="{00000000-0005-0000-0000-000050210000}"/>
    <cellStyle name="Normal 2 2 10 24 5 3" xfId="8529" xr:uid="{00000000-0005-0000-0000-000051210000}"/>
    <cellStyle name="Normal 2 2 10 24 5 4" xfId="8530" xr:uid="{00000000-0005-0000-0000-000052210000}"/>
    <cellStyle name="Normal 2 2 10 24 5 5" xfId="8531" xr:uid="{00000000-0005-0000-0000-000053210000}"/>
    <cellStyle name="Normal 2 2 10 24 5 6" xfId="8532" xr:uid="{00000000-0005-0000-0000-000054210000}"/>
    <cellStyle name="Normal 2 2 10 24 5 7" xfId="8533" xr:uid="{00000000-0005-0000-0000-000055210000}"/>
    <cellStyle name="Normal 2 2 10 24 5 8" xfId="8534" xr:uid="{00000000-0005-0000-0000-000056210000}"/>
    <cellStyle name="Normal 2 2 10 24 5 9" xfId="8535" xr:uid="{00000000-0005-0000-0000-000057210000}"/>
    <cellStyle name="Normal 2 2 10 24 6" xfId="8536" xr:uid="{00000000-0005-0000-0000-000058210000}"/>
    <cellStyle name="Normal 2 2 10 24 7" xfId="8537" xr:uid="{00000000-0005-0000-0000-000059210000}"/>
    <cellStyle name="Normal 2 2 10 24 8" xfId="8538" xr:uid="{00000000-0005-0000-0000-00005A210000}"/>
    <cellStyle name="Normal 2 2 10 24 9" xfId="8539" xr:uid="{00000000-0005-0000-0000-00005B210000}"/>
    <cellStyle name="Normal 2 2 10 25" xfId="8540" xr:uid="{00000000-0005-0000-0000-00005C210000}"/>
    <cellStyle name="Normal 2 2 10 25 10" xfId="8541" xr:uid="{00000000-0005-0000-0000-00005D210000}"/>
    <cellStyle name="Normal 2 2 10 25 11" xfId="8542" xr:uid="{00000000-0005-0000-0000-00005E210000}"/>
    <cellStyle name="Normal 2 2 10 25 12" xfId="8543" xr:uid="{00000000-0005-0000-0000-00005F210000}"/>
    <cellStyle name="Normal 2 2 10 25 13" xfId="8544" xr:uid="{00000000-0005-0000-0000-000060210000}"/>
    <cellStyle name="Normal 2 2 10 25 14" xfId="8545" xr:uid="{00000000-0005-0000-0000-000061210000}"/>
    <cellStyle name="Normal 2 2 10 25 2" xfId="8546" xr:uid="{00000000-0005-0000-0000-000062210000}"/>
    <cellStyle name="Normal 2 2 10 25 2 10" xfId="8547" xr:uid="{00000000-0005-0000-0000-000063210000}"/>
    <cellStyle name="Normal 2 2 10 25 2 2" xfId="8548" xr:uid="{00000000-0005-0000-0000-000064210000}"/>
    <cellStyle name="Normal 2 2 10 25 2 3" xfId="8549" xr:uid="{00000000-0005-0000-0000-000065210000}"/>
    <cellStyle name="Normal 2 2 10 25 2 4" xfId="8550" xr:uid="{00000000-0005-0000-0000-000066210000}"/>
    <cellStyle name="Normal 2 2 10 25 2 5" xfId="8551" xr:uid="{00000000-0005-0000-0000-000067210000}"/>
    <cellStyle name="Normal 2 2 10 25 2 6" xfId="8552" xr:uid="{00000000-0005-0000-0000-000068210000}"/>
    <cellStyle name="Normal 2 2 10 25 2 7" xfId="8553" xr:uid="{00000000-0005-0000-0000-000069210000}"/>
    <cellStyle name="Normal 2 2 10 25 2 8" xfId="8554" xr:uid="{00000000-0005-0000-0000-00006A210000}"/>
    <cellStyle name="Normal 2 2 10 25 2 9" xfId="8555" xr:uid="{00000000-0005-0000-0000-00006B210000}"/>
    <cellStyle name="Normal 2 2 10 25 3" xfId="8556" xr:uid="{00000000-0005-0000-0000-00006C210000}"/>
    <cellStyle name="Normal 2 2 10 25 3 10" xfId="8557" xr:uid="{00000000-0005-0000-0000-00006D210000}"/>
    <cellStyle name="Normal 2 2 10 25 3 2" xfId="8558" xr:uid="{00000000-0005-0000-0000-00006E210000}"/>
    <cellStyle name="Normal 2 2 10 25 3 3" xfId="8559" xr:uid="{00000000-0005-0000-0000-00006F210000}"/>
    <cellStyle name="Normal 2 2 10 25 3 4" xfId="8560" xr:uid="{00000000-0005-0000-0000-000070210000}"/>
    <cellStyle name="Normal 2 2 10 25 3 5" xfId="8561" xr:uid="{00000000-0005-0000-0000-000071210000}"/>
    <cellStyle name="Normal 2 2 10 25 3 6" xfId="8562" xr:uid="{00000000-0005-0000-0000-000072210000}"/>
    <cellStyle name="Normal 2 2 10 25 3 7" xfId="8563" xr:uid="{00000000-0005-0000-0000-000073210000}"/>
    <cellStyle name="Normal 2 2 10 25 3 8" xfId="8564" xr:uid="{00000000-0005-0000-0000-000074210000}"/>
    <cellStyle name="Normal 2 2 10 25 3 9" xfId="8565" xr:uid="{00000000-0005-0000-0000-000075210000}"/>
    <cellStyle name="Normal 2 2 10 25 4" xfId="8566" xr:uid="{00000000-0005-0000-0000-000076210000}"/>
    <cellStyle name="Normal 2 2 10 25 4 10" xfId="8567" xr:uid="{00000000-0005-0000-0000-000077210000}"/>
    <cellStyle name="Normal 2 2 10 25 4 2" xfId="8568" xr:uid="{00000000-0005-0000-0000-000078210000}"/>
    <cellStyle name="Normal 2 2 10 25 4 3" xfId="8569" xr:uid="{00000000-0005-0000-0000-000079210000}"/>
    <cellStyle name="Normal 2 2 10 25 4 4" xfId="8570" xr:uid="{00000000-0005-0000-0000-00007A210000}"/>
    <cellStyle name="Normal 2 2 10 25 4 5" xfId="8571" xr:uid="{00000000-0005-0000-0000-00007B210000}"/>
    <cellStyle name="Normal 2 2 10 25 4 6" xfId="8572" xr:uid="{00000000-0005-0000-0000-00007C210000}"/>
    <cellStyle name="Normal 2 2 10 25 4 7" xfId="8573" xr:uid="{00000000-0005-0000-0000-00007D210000}"/>
    <cellStyle name="Normal 2 2 10 25 4 8" xfId="8574" xr:uid="{00000000-0005-0000-0000-00007E210000}"/>
    <cellStyle name="Normal 2 2 10 25 4 9" xfId="8575" xr:uid="{00000000-0005-0000-0000-00007F210000}"/>
    <cellStyle name="Normal 2 2 10 25 5" xfId="8576" xr:uid="{00000000-0005-0000-0000-000080210000}"/>
    <cellStyle name="Normal 2 2 10 25 5 10" xfId="8577" xr:uid="{00000000-0005-0000-0000-000081210000}"/>
    <cellStyle name="Normal 2 2 10 25 5 2" xfId="8578" xr:uid="{00000000-0005-0000-0000-000082210000}"/>
    <cellStyle name="Normal 2 2 10 25 5 3" xfId="8579" xr:uid="{00000000-0005-0000-0000-000083210000}"/>
    <cellStyle name="Normal 2 2 10 25 5 4" xfId="8580" xr:uid="{00000000-0005-0000-0000-000084210000}"/>
    <cellStyle name="Normal 2 2 10 25 5 5" xfId="8581" xr:uid="{00000000-0005-0000-0000-000085210000}"/>
    <cellStyle name="Normal 2 2 10 25 5 6" xfId="8582" xr:uid="{00000000-0005-0000-0000-000086210000}"/>
    <cellStyle name="Normal 2 2 10 25 5 7" xfId="8583" xr:uid="{00000000-0005-0000-0000-000087210000}"/>
    <cellStyle name="Normal 2 2 10 25 5 8" xfId="8584" xr:uid="{00000000-0005-0000-0000-000088210000}"/>
    <cellStyle name="Normal 2 2 10 25 5 9" xfId="8585" xr:uid="{00000000-0005-0000-0000-000089210000}"/>
    <cellStyle name="Normal 2 2 10 25 6" xfId="8586" xr:uid="{00000000-0005-0000-0000-00008A210000}"/>
    <cellStyle name="Normal 2 2 10 25 7" xfId="8587" xr:uid="{00000000-0005-0000-0000-00008B210000}"/>
    <cellStyle name="Normal 2 2 10 25 8" xfId="8588" xr:uid="{00000000-0005-0000-0000-00008C210000}"/>
    <cellStyle name="Normal 2 2 10 25 9" xfId="8589" xr:uid="{00000000-0005-0000-0000-00008D210000}"/>
    <cellStyle name="Normal 2 2 10 26" xfId="8590" xr:uid="{00000000-0005-0000-0000-00008E210000}"/>
    <cellStyle name="Normal 2 2 10 26 10" xfId="8591" xr:uid="{00000000-0005-0000-0000-00008F210000}"/>
    <cellStyle name="Normal 2 2 10 26 11" xfId="8592" xr:uid="{00000000-0005-0000-0000-000090210000}"/>
    <cellStyle name="Normal 2 2 10 26 12" xfId="8593" xr:uid="{00000000-0005-0000-0000-000091210000}"/>
    <cellStyle name="Normal 2 2 10 26 13" xfId="8594" xr:uid="{00000000-0005-0000-0000-000092210000}"/>
    <cellStyle name="Normal 2 2 10 26 14" xfId="8595" xr:uid="{00000000-0005-0000-0000-000093210000}"/>
    <cellStyle name="Normal 2 2 10 26 2" xfId="8596" xr:uid="{00000000-0005-0000-0000-000094210000}"/>
    <cellStyle name="Normal 2 2 10 26 2 10" xfId="8597" xr:uid="{00000000-0005-0000-0000-000095210000}"/>
    <cellStyle name="Normal 2 2 10 26 2 2" xfId="8598" xr:uid="{00000000-0005-0000-0000-000096210000}"/>
    <cellStyle name="Normal 2 2 10 26 2 3" xfId="8599" xr:uid="{00000000-0005-0000-0000-000097210000}"/>
    <cellStyle name="Normal 2 2 10 26 2 4" xfId="8600" xr:uid="{00000000-0005-0000-0000-000098210000}"/>
    <cellStyle name="Normal 2 2 10 26 2 5" xfId="8601" xr:uid="{00000000-0005-0000-0000-000099210000}"/>
    <cellStyle name="Normal 2 2 10 26 2 6" xfId="8602" xr:uid="{00000000-0005-0000-0000-00009A210000}"/>
    <cellStyle name="Normal 2 2 10 26 2 7" xfId="8603" xr:uid="{00000000-0005-0000-0000-00009B210000}"/>
    <cellStyle name="Normal 2 2 10 26 2 8" xfId="8604" xr:uid="{00000000-0005-0000-0000-00009C210000}"/>
    <cellStyle name="Normal 2 2 10 26 2 9" xfId="8605" xr:uid="{00000000-0005-0000-0000-00009D210000}"/>
    <cellStyle name="Normal 2 2 10 26 3" xfId="8606" xr:uid="{00000000-0005-0000-0000-00009E210000}"/>
    <cellStyle name="Normal 2 2 10 26 3 10" xfId="8607" xr:uid="{00000000-0005-0000-0000-00009F210000}"/>
    <cellStyle name="Normal 2 2 10 26 3 2" xfId="8608" xr:uid="{00000000-0005-0000-0000-0000A0210000}"/>
    <cellStyle name="Normal 2 2 10 26 3 3" xfId="8609" xr:uid="{00000000-0005-0000-0000-0000A1210000}"/>
    <cellStyle name="Normal 2 2 10 26 3 4" xfId="8610" xr:uid="{00000000-0005-0000-0000-0000A2210000}"/>
    <cellStyle name="Normal 2 2 10 26 3 5" xfId="8611" xr:uid="{00000000-0005-0000-0000-0000A3210000}"/>
    <cellStyle name="Normal 2 2 10 26 3 6" xfId="8612" xr:uid="{00000000-0005-0000-0000-0000A4210000}"/>
    <cellStyle name="Normal 2 2 10 26 3 7" xfId="8613" xr:uid="{00000000-0005-0000-0000-0000A5210000}"/>
    <cellStyle name="Normal 2 2 10 26 3 8" xfId="8614" xr:uid="{00000000-0005-0000-0000-0000A6210000}"/>
    <cellStyle name="Normal 2 2 10 26 3 9" xfId="8615" xr:uid="{00000000-0005-0000-0000-0000A7210000}"/>
    <cellStyle name="Normal 2 2 10 26 4" xfId="8616" xr:uid="{00000000-0005-0000-0000-0000A8210000}"/>
    <cellStyle name="Normal 2 2 10 26 4 10" xfId="8617" xr:uid="{00000000-0005-0000-0000-0000A9210000}"/>
    <cellStyle name="Normal 2 2 10 26 4 2" xfId="8618" xr:uid="{00000000-0005-0000-0000-0000AA210000}"/>
    <cellStyle name="Normal 2 2 10 26 4 3" xfId="8619" xr:uid="{00000000-0005-0000-0000-0000AB210000}"/>
    <cellStyle name="Normal 2 2 10 26 4 4" xfId="8620" xr:uid="{00000000-0005-0000-0000-0000AC210000}"/>
    <cellStyle name="Normal 2 2 10 26 4 5" xfId="8621" xr:uid="{00000000-0005-0000-0000-0000AD210000}"/>
    <cellStyle name="Normal 2 2 10 26 4 6" xfId="8622" xr:uid="{00000000-0005-0000-0000-0000AE210000}"/>
    <cellStyle name="Normal 2 2 10 26 4 7" xfId="8623" xr:uid="{00000000-0005-0000-0000-0000AF210000}"/>
    <cellStyle name="Normal 2 2 10 26 4 8" xfId="8624" xr:uid="{00000000-0005-0000-0000-0000B0210000}"/>
    <cellStyle name="Normal 2 2 10 26 4 9" xfId="8625" xr:uid="{00000000-0005-0000-0000-0000B1210000}"/>
    <cellStyle name="Normal 2 2 10 26 5" xfId="8626" xr:uid="{00000000-0005-0000-0000-0000B2210000}"/>
    <cellStyle name="Normal 2 2 10 26 5 10" xfId="8627" xr:uid="{00000000-0005-0000-0000-0000B3210000}"/>
    <cellStyle name="Normal 2 2 10 26 5 2" xfId="8628" xr:uid="{00000000-0005-0000-0000-0000B4210000}"/>
    <cellStyle name="Normal 2 2 10 26 5 3" xfId="8629" xr:uid="{00000000-0005-0000-0000-0000B5210000}"/>
    <cellStyle name="Normal 2 2 10 26 5 4" xfId="8630" xr:uid="{00000000-0005-0000-0000-0000B6210000}"/>
    <cellStyle name="Normal 2 2 10 26 5 5" xfId="8631" xr:uid="{00000000-0005-0000-0000-0000B7210000}"/>
    <cellStyle name="Normal 2 2 10 26 5 6" xfId="8632" xr:uid="{00000000-0005-0000-0000-0000B8210000}"/>
    <cellStyle name="Normal 2 2 10 26 5 7" xfId="8633" xr:uid="{00000000-0005-0000-0000-0000B9210000}"/>
    <cellStyle name="Normal 2 2 10 26 5 8" xfId="8634" xr:uid="{00000000-0005-0000-0000-0000BA210000}"/>
    <cellStyle name="Normal 2 2 10 26 5 9" xfId="8635" xr:uid="{00000000-0005-0000-0000-0000BB210000}"/>
    <cellStyle name="Normal 2 2 10 26 6" xfId="8636" xr:uid="{00000000-0005-0000-0000-0000BC210000}"/>
    <cellStyle name="Normal 2 2 10 26 7" xfId="8637" xr:uid="{00000000-0005-0000-0000-0000BD210000}"/>
    <cellStyle name="Normal 2 2 10 26 8" xfId="8638" xr:uid="{00000000-0005-0000-0000-0000BE210000}"/>
    <cellStyle name="Normal 2 2 10 26 9" xfId="8639" xr:uid="{00000000-0005-0000-0000-0000BF210000}"/>
    <cellStyle name="Normal 2 2 10 27" xfId="8640" xr:uid="{00000000-0005-0000-0000-0000C0210000}"/>
    <cellStyle name="Normal 2 2 10 27 10" xfId="8641" xr:uid="{00000000-0005-0000-0000-0000C1210000}"/>
    <cellStyle name="Normal 2 2 10 27 11" xfId="8642" xr:uid="{00000000-0005-0000-0000-0000C2210000}"/>
    <cellStyle name="Normal 2 2 10 27 12" xfId="8643" xr:uid="{00000000-0005-0000-0000-0000C3210000}"/>
    <cellStyle name="Normal 2 2 10 27 13" xfId="8644" xr:uid="{00000000-0005-0000-0000-0000C4210000}"/>
    <cellStyle name="Normal 2 2 10 27 14" xfId="8645" xr:uid="{00000000-0005-0000-0000-0000C5210000}"/>
    <cellStyle name="Normal 2 2 10 27 2" xfId="8646" xr:uid="{00000000-0005-0000-0000-0000C6210000}"/>
    <cellStyle name="Normal 2 2 10 27 2 10" xfId="8647" xr:uid="{00000000-0005-0000-0000-0000C7210000}"/>
    <cellStyle name="Normal 2 2 10 27 2 2" xfId="8648" xr:uid="{00000000-0005-0000-0000-0000C8210000}"/>
    <cellStyle name="Normal 2 2 10 27 2 3" xfId="8649" xr:uid="{00000000-0005-0000-0000-0000C9210000}"/>
    <cellStyle name="Normal 2 2 10 27 2 4" xfId="8650" xr:uid="{00000000-0005-0000-0000-0000CA210000}"/>
    <cellStyle name="Normal 2 2 10 27 2 5" xfId="8651" xr:uid="{00000000-0005-0000-0000-0000CB210000}"/>
    <cellStyle name="Normal 2 2 10 27 2 6" xfId="8652" xr:uid="{00000000-0005-0000-0000-0000CC210000}"/>
    <cellStyle name="Normal 2 2 10 27 2 7" xfId="8653" xr:uid="{00000000-0005-0000-0000-0000CD210000}"/>
    <cellStyle name="Normal 2 2 10 27 2 8" xfId="8654" xr:uid="{00000000-0005-0000-0000-0000CE210000}"/>
    <cellStyle name="Normal 2 2 10 27 2 9" xfId="8655" xr:uid="{00000000-0005-0000-0000-0000CF210000}"/>
    <cellStyle name="Normal 2 2 10 27 3" xfId="8656" xr:uid="{00000000-0005-0000-0000-0000D0210000}"/>
    <cellStyle name="Normal 2 2 10 27 3 10" xfId="8657" xr:uid="{00000000-0005-0000-0000-0000D1210000}"/>
    <cellStyle name="Normal 2 2 10 27 3 2" xfId="8658" xr:uid="{00000000-0005-0000-0000-0000D2210000}"/>
    <cellStyle name="Normal 2 2 10 27 3 3" xfId="8659" xr:uid="{00000000-0005-0000-0000-0000D3210000}"/>
    <cellStyle name="Normal 2 2 10 27 3 4" xfId="8660" xr:uid="{00000000-0005-0000-0000-0000D4210000}"/>
    <cellStyle name="Normal 2 2 10 27 3 5" xfId="8661" xr:uid="{00000000-0005-0000-0000-0000D5210000}"/>
    <cellStyle name="Normal 2 2 10 27 3 6" xfId="8662" xr:uid="{00000000-0005-0000-0000-0000D6210000}"/>
    <cellStyle name="Normal 2 2 10 27 3 7" xfId="8663" xr:uid="{00000000-0005-0000-0000-0000D7210000}"/>
    <cellStyle name="Normal 2 2 10 27 3 8" xfId="8664" xr:uid="{00000000-0005-0000-0000-0000D8210000}"/>
    <cellStyle name="Normal 2 2 10 27 3 9" xfId="8665" xr:uid="{00000000-0005-0000-0000-0000D9210000}"/>
    <cellStyle name="Normal 2 2 10 27 4" xfId="8666" xr:uid="{00000000-0005-0000-0000-0000DA210000}"/>
    <cellStyle name="Normal 2 2 10 27 4 10" xfId="8667" xr:uid="{00000000-0005-0000-0000-0000DB210000}"/>
    <cellStyle name="Normal 2 2 10 27 4 2" xfId="8668" xr:uid="{00000000-0005-0000-0000-0000DC210000}"/>
    <cellStyle name="Normal 2 2 10 27 4 3" xfId="8669" xr:uid="{00000000-0005-0000-0000-0000DD210000}"/>
    <cellStyle name="Normal 2 2 10 27 4 4" xfId="8670" xr:uid="{00000000-0005-0000-0000-0000DE210000}"/>
    <cellStyle name="Normal 2 2 10 27 4 5" xfId="8671" xr:uid="{00000000-0005-0000-0000-0000DF210000}"/>
    <cellStyle name="Normal 2 2 10 27 4 6" xfId="8672" xr:uid="{00000000-0005-0000-0000-0000E0210000}"/>
    <cellStyle name="Normal 2 2 10 27 4 7" xfId="8673" xr:uid="{00000000-0005-0000-0000-0000E1210000}"/>
    <cellStyle name="Normal 2 2 10 27 4 8" xfId="8674" xr:uid="{00000000-0005-0000-0000-0000E2210000}"/>
    <cellStyle name="Normal 2 2 10 27 4 9" xfId="8675" xr:uid="{00000000-0005-0000-0000-0000E3210000}"/>
    <cellStyle name="Normal 2 2 10 27 5" xfId="8676" xr:uid="{00000000-0005-0000-0000-0000E4210000}"/>
    <cellStyle name="Normal 2 2 10 27 5 10" xfId="8677" xr:uid="{00000000-0005-0000-0000-0000E5210000}"/>
    <cellStyle name="Normal 2 2 10 27 5 2" xfId="8678" xr:uid="{00000000-0005-0000-0000-0000E6210000}"/>
    <cellStyle name="Normal 2 2 10 27 5 3" xfId="8679" xr:uid="{00000000-0005-0000-0000-0000E7210000}"/>
    <cellStyle name="Normal 2 2 10 27 5 4" xfId="8680" xr:uid="{00000000-0005-0000-0000-0000E8210000}"/>
    <cellStyle name="Normal 2 2 10 27 5 5" xfId="8681" xr:uid="{00000000-0005-0000-0000-0000E9210000}"/>
    <cellStyle name="Normal 2 2 10 27 5 6" xfId="8682" xr:uid="{00000000-0005-0000-0000-0000EA210000}"/>
    <cellStyle name="Normal 2 2 10 27 5 7" xfId="8683" xr:uid="{00000000-0005-0000-0000-0000EB210000}"/>
    <cellStyle name="Normal 2 2 10 27 5 8" xfId="8684" xr:uid="{00000000-0005-0000-0000-0000EC210000}"/>
    <cellStyle name="Normal 2 2 10 27 5 9" xfId="8685" xr:uid="{00000000-0005-0000-0000-0000ED210000}"/>
    <cellStyle name="Normal 2 2 10 27 6" xfId="8686" xr:uid="{00000000-0005-0000-0000-0000EE210000}"/>
    <cellStyle name="Normal 2 2 10 27 7" xfId="8687" xr:uid="{00000000-0005-0000-0000-0000EF210000}"/>
    <cellStyle name="Normal 2 2 10 27 8" xfId="8688" xr:uid="{00000000-0005-0000-0000-0000F0210000}"/>
    <cellStyle name="Normal 2 2 10 27 9" xfId="8689" xr:uid="{00000000-0005-0000-0000-0000F1210000}"/>
    <cellStyle name="Normal 2 2 10 28" xfId="8690" xr:uid="{00000000-0005-0000-0000-0000F2210000}"/>
    <cellStyle name="Normal 2 2 10 28 10" xfId="8691" xr:uid="{00000000-0005-0000-0000-0000F3210000}"/>
    <cellStyle name="Normal 2 2 10 28 11" xfId="8692" xr:uid="{00000000-0005-0000-0000-0000F4210000}"/>
    <cellStyle name="Normal 2 2 10 28 12" xfId="8693" xr:uid="{00000000-0005-0000-0000-0000F5210000}"/>
    <cellStyle name="Normal 2 2 10 28 13" xfId="8694" xr:uid="{00000000-0005-0000-0000-0000F6210000}"/>
    <cellStyle name="Normal 2 2 10 28 14" xfId="8695" xr:uid="{00000000-0005-0000-0000-0000F7210000}"/>
    <cellStyle name="Normal 2 2 10 28 2" xfId="8696" xr:uid="{00000000-0005-0000-0000-0000F8210000}"/>
    <cellStyle name="Normal 2 2 10 28 2 10" xfId="8697" xr:uid="{00000000-0005-0000-0000-0000F9210000}"/>
    <cellStyle name="Normal 2 2 10 28 2 2" xfId="8698" xr:uid="{00000000-0005-0000-0000-0000FA210000}"/>
    <cellStyle name="Normal 2 2 10 28 2 3" xfId="8699" xr:uid="{00000000-0005-0000-0000-0000FB210000}"/>
    <cellStyle name="Normal 2 2 10 28 2 4" xfId="8700" xr:uid="{00000000-0005-0000-0000-0000FC210000}"/>
    <cellStyle name="Normal 2 2 10 28 2 5" xfId="8701" xr:uid="{00000000-0005-0000-0000-0000FD210000}"/>
    <cellStyle name="Normal 2 2 10 28 2 6" xfId="8702" xr:uid="{00000000-0005-0000-0000-0000FE210000}"/>
    <cellStyle name="Normal 2 2 10 28 2 7" xfId="8703" xr:uid="{00000000-0005-0000-0000-0000FF210000}"/>
    <cellStyle name="Normal 2 2 10 28 2 8" xfId="8704" xr:uid="{00000000-0005-0000-0000-000000220000}"/>
    <cellStyle name="Normal 2 2 10 28 2 9" xfId="8705" xr:uid="{00000000-0005-0000-0000-000001220000}"/>
    <cellStyle name="Normal 2 2 10 28 3" xfId="8706" xr:uid="{00000000-0005-0000-0000-000002220000}"/>
    <cellStyle name="Normal 2 2 10 28 3 10" xfId="8707" xr:uid="{00000000-0005-0000-0000-000003220000}"/>
    <cellStyle name="Normal 2 2 10 28 3 2" xfId="8708" xr:uid="{00000000-0005-0000-0000-000004220000}"/>
    <cellStyle name="Normal 2 2 10 28 3 3" xfId="8709" xr:uid="{00000000-0005-0000-0000-000005220000}"/>
    <cellStyle name="Normal 2 2 10 28 3 4" xfId="8710" xr:uid="{00000000-0005-0000-0000-000006220000}"/>
    <cellStyle name="Normal 2 2 10 28 3 5" xfId="8711" xr:uid="{00000000-0005-0000-0000-000007220000}"/>
    <cellStyle name="Normal 2 2 10 28 3 6" xfId="8712" xr:uid="{00000000-0005-0000-0000-000008220000}"/>
    <cellStyle name="Normal 2 2 10 28 3 7" xfId="8713" xr:uid="{00000000-0005-0000-0000-000009220000}"/>
    <cellStyle name="Normal 2 2 10 28 3 8" xfId="8714" xr:uid="{00000000-0005-0000-0000-00000A220000}"/>
    <cellStyle name="Normal 2 2 10 28 3 9" xfId="8715" xr:uid="{00000000-0005-0000-0000-00000B220000}"/>
    <cellStyle name="Normal 2 2 10 28 4" xfId="8716" xr:uid="{00000000-0005-0000-0000-00000C220000}"/>
    <cellStyle name="Normal 2 2 10 28 4 10" xfId="8717" xr:uid="{00000000-0005-0000-0000-00000D220000}"/>
    <cellStyle name="Normal 2 2 10 28 4 2" xfId="8718" xr:uid="{00000000-0005-0000-0000-00000E220000}"/>
    <cellStyle name="Normal 2 2 10 28 4 3" xfId="8719" xr:uid="{00000000-0005-0000-0000-00000F220000}"/>
    <cellStyle name="Normal 2 2 10 28 4 4" xfId="8720" xr:uid="{00000000-0005-0000-0000-000010220000}"/>
    <cellStyle name="Normal 2 2 10 28 4 5" xfId="8721" xr:uid="{00000000-0005-0000-0000-000011220000}"/>
    <cellStyle name="Normal 2 2 10 28 4 6" xfId="8722" xr:uid="{00000000-0005-0000-0000-000012220000}"/>
    <cellStyle name="Normal 2 2 10 28 4 7" xfId="8723" xr:uid="{00000000-0005-0000-0000-000013220000}"/>
    <cellStyle name="Normal 2 2 10 28 4 8" xfId="8724" xr:uid="{00000000-0005-0000-0000-000014220000}"/>
    <cellStyle name="Normal 2 2 10 28 4 9" xfId="8725" xr:uid="{00000000-0005-0000-0000-000015220000}"/>
    <cellStyle name="Normal 2 2 10 28 5" xfId="8726" xr:uid="{00000000-0005-0000-0000-000016220000}"/>
    <cellStyle name="Normal 2 2 10 28 5 10" xfId="8727" xr:uid="{00000000-0005-0000-0000-000017220000}"/>
    <cellStyle name="Normal 2 2 10 28 5 2" xfId="8728" xr:uid="{00000000-0005-0000-0000-000018220000}"/>
    <cellStyle name="Normal 2 2 10 28 5 3" xfId="8729" xr:uid="{00000000-0005-0000-0000-000019220000}"/>
    <cellStyle name="Normal 2 2 10 28 5 4" xfId="8730" xr:uid="{00000000-0005-0000-0000-00001A220000}"/>
    <cellStyle name="Normal 2 2 10 28 5 5" xfId="8731" xr:uid="{00000000-0005-0000-0000-00001B220000}"/>
    <cellStyle name="Normal 2 2 10 28 5 6" xfId="8732" xr:uid="{00000000-0005-0000-0000-00001C220000}"/>
    <cellStyle name="Normal 2 2 10 28 5 7" xfId="8733" xr:uid="{00000000-0005-0000-0000-00001D220000}"/>
    <cellStyle name="Normal 2 2 10 28 5 8" xfId="8734" xr:uid="{00000000-0005-0000-0000-00001E220000}"/>
    <cellStyle name="Normal 2 2 10 28 5 9" xfId="8735" xr:uid="{00000000-0005-0000-0000-00001F220000}"/>
    <cellStyle name="Normal 2 2 10 28 6" xfId="8736" xr:uid="{00000000-0005-0000-0000-000020220000}"/>
    <cellStyle name="Normal 2 2 10 28 7" xfId="8737" xr:uid="{00000000-0005-0000-0000-000021220000}"/>
    <cellStyle name="Normal 2 2 10 28 8" xfId="8738" xr:uid="{00000000-0005-0000-0000-000022220000}"/>
    <cellStyle name="Normal 2 2 10 28 9" xfId="8739" xr:uid="{00000000-0005-0000-0000-000023220000}"/>
    <cellStyle name="Normal 2 2 10 29" xfId="8740" xr:uid="{00000000-0005-0000-0000-000024220000}"/>
    <cellStyle name="Normal 2 2 10 29 10" xfId="8741" xr:uid="{00000000-0005-0000-0000-000025220000}"/>
    <cellStyle name="Normal 2 2 10 29 11" xfId="8742" xr:uid="{00000000-0005-0000-0000-000026220000}"/>
    <cellStyle name="Normal 2 2 10 29 12" xfId="8743" xr:uid="{00000000-0005-0000-0000-000027220000}"/>
    <cellStyle name="Normal 2 2 10 29 13" xfId="8744" xr:uid="{00000000-0005-0000-0000-000028220000}"/>
    <cellStyle name="Normal 2 2 10 29 14" xfId="8745" xr:uid="{00000000-0005-0000-0000-000029220000}"/>
    <cellStyle name="Normal 2 2 10 29 2" xfId="8746" xr:uid="{00000000-0005-0000-0000-00002A220000}"/>
    <cellStyle name="Normal 2 2 10 29 2 10" xfId="8747" xr:uid="{00000000-0005-0000-0000-00002B220000}"/>
    <cellStyle name="Normal 2 2 10 29 2 2" xfId="8748" xr:uid="{00000000-0005-0000-0000-00002C220000}"/>
    <cellStyle name="Normal 2 2 10 29 2 3" xfId="8749" xr:uid="{00000000-0005-0000-0000-00002D220000}"/>
    <cellStyle name="Normal 2 2 10 29 2 4" xfId="8750" xr:uid="{00000000-0005-0000-0000-00002E220000}"/>
    <cellStyle name="Normal 2 2 10 29 2 5" xfId="8751" xr:uid="{00000000-0005-0000-0000-00002F220000}"/>
    <cellStyle name="Normal 2 2 10 29 2 6" xfId="8752" xr:uid="{00000000-0005-0000-0000-000030220000}"/>
    <cellStyle name="Normal 2 2 10 29 2 7" xfId="8753" xr:uid="{00000000-0005-0000-0000-000031220000}"/>
    <cellStyle name="Normal 2 2 10 29 2 8" xfId="8754" xr:uid="{00000000-0005-0000-0000-000032220000}"/>
    <cellStyle name="Normal 2 2 10 29 2 9" xfId="8755" xr:uid="{00000000-0005-0000-0000-000033220000}"/>
    <cellStyle name="Normal 2 2 10 29 3" xfId="8756" xr:uid="{00000000-0005-0000-0000-000034220000}"/>
    <cellStyle name="Normal 2 2 10 29 3 10" xfId="8757" xr:uid="{00000000-0005-0000-0000-000035220000}"/>
    <cellStyle name="Normal 2 2 10 29 3 2" xfId="8758" xr:uid="{00000000-0005-0000-0000-000036220000}"/>
    <cellStyle name="Normal 2 2 10 29 3 3" xfId="8759" xr:uid="{00000000-0005-0000-0000-000037220000}"/>
    <cellStyle name="Normal 2 2 10 29 3 4" xfId="8760" xr:uid="{00000000-0005-0000-0000-000038220000}"/>
    <cellStyle name="Normal 2 2 10 29 3 5" xfId="8761" xr:uid="{00000000-0005-0000-0000-000039220000}"/>
    <cellStyle name="Normal 2 2 10 29 3 6" xfId="8762" xr:uid="{00000000-0005-0000-0000-00003A220000}"/>
    <cellStyle name="Normal 2 2 10 29 3 7" xfId="8763" xr:uid="{00000000-0005-0000-0000-00003B220000}"/>
    <cellStyle name="Normal 2 2 10 29 3 8" xfId="8764" xr:uid="{00000000-0005-0000-0000-00003C220000}"/>
    <cellStyle name="Normal 2 2 10 29 3 9" xfId="8765" xr:uid="{00000000-0005-0000-0000-00003D220000}"/>
    <cellStyle name="Normal 2 2 10 29 4" xfId="8766" xr:uid="{00000000-0005-0000-0000-00003E220000}"/>
    <cellStyle name="Normal 2 2 10 29 4 10" xfId="8767" xr:uid="{00000000-0005-0000-0000-00003F220000}"/>
    <cellStyle name="Normal 2 2 10 29 4 2" xfId="8768" xr:uid="{00000000-0005-0000-0000-000040220000}"/>
    <cellStyle name="Normal 2 2 10 29 4 3" xfId="8769" xr:uid="{00000000-0005-0000-0000-000041220000}"/>
    <cellStyle name="Normal 2 2 10 29 4 4" xfId="8770" xr:uid="{00000000-0005-0000-0000-000042220000}"/>
    <cellStyle name="Normal 2 2 10 29 4 5" xfId="8771" xr:uid="{00000000-0005-0000-0000-000043220000}"/>
    <cellStyle name="Normal 2 2 10 29 4 6" xfId="8772" xr:uid="{00000000-0005-0000-0000-000044220000}"/>
    <cellStyle name="Normal 2 2 10 29 4 7" xfId="8773" xr:uid="{00000000-0005-0000-0000-000045220000}"/>
    <cellStyle name="Normal 2 2 10 29 4 8" xfId="8774" xr:uid="{00000000-0005-0000-0000-000046220000}"/>
    <cellStyle name="Normal 2 2 10 29 4 9" xfId="8775" xr:uid="{00000000-0005-0000-0000-000047220000}"/>
    <cellStyle name="Normal 2 2 10 29 5" xfId="8776" xr:uid="{00000000-0005-0000-0000-000048220000}"/>
    <cellStyle name="Normal 2 2 10 29 5 10" xfId="8777" xr:uid="{00000000-0005-0000-0000-000049220000}"/>
    <cellStyle name="Normal 2 2 10 29 5 2" xfId="8778" xr:uid="{00000000-0005-0000-0000-00004A220000}"/>
    <cellStyle name="Normal 2 2 10 29 5 3" xfId="8779" xr:uid="{00000000-0005-0000-0000-00004B220000}"/>
    <cellStyle name="Normal 2 2 10 29 5 4" xfId="8780" xr:uid="{00000000-0005-0000-0000-00004C220000}"/>
    <cellStyle name="Normal 2 2 10 29 5 5" xfId="8781" xr:uid="{00000000-0005-0000-0000-00004D220000}"/>
    <cellStyle name="Normal 2 2 10 29 5 6" xfId="8782" xr:uid="{00000000-0005-0000-0000-00004E220000}"/>
    <cellStyle name="Normal 2 2 10 29 5 7" xfId="8783" xr:uid="{00000000-0005-0000-0000-00004F220000}"/>
    <cellStyle name="Normal 2 2 10 29 5 8" xfId="8784" xr:uid="{00000000-0005-0000-0000-000050220000}"/>
    <cellStyle name="Normal 2 2 10 29 5 9" xfId="8785" xr:uid="{00000000-0005-0000-0000-000051220000}"/>
    <cellStyle name="Normal 2 2 10 29 6" xfId="8786" xr:uid="{00000000-0005-0000-0000-000052220000}"/>
    <cellStyle name="Normal 2 2 10 29 7" xfId="8787" xr:uid="{00000000-0005-0000-0000-000053220000}"/>
    <cellStyle name="Normal 2 2 10 29 8" xfId="8788" xr:uid="{00000000-0005-0000-0000-000054220000}"/>
    <cellStyle name="Normal 2 2 10 29 9" xfId="8789" xr:uid="{00000000-0005-0000-0000-000055220000}"/>
    <cellStyle name="Normal 2 2 10 3" xfId="8790" xr:uid="{00000000-0005-0000-0000-000056220000}"/>
    <cellStyle name="Normal 2 2 10 3 10" xfId="8791" xr:uid="{00000000-0005-0000-0000-000057220000}"/>
    <cellStyle name="Normal 2 2 10 3 11" xfId="8792" xr:uid="{00000000-0005-0000-0000-000058220000}"/>
    <cellStyle name="Normal 2 2 10 3 12" xfId="8793" xr:uid="{00000000-0005-0000-0000-000059220000}"/>
    <cellStyle name="Normal 2 2 10 3 13" xfId="8794" xr:uid="{00000000-0005-0000-0000-00005A220000}"/>
    <cellStyle name="Normal 2 2 10 3 14" xfId="8795" xr:uid="{00000000-0005-0000-0000-00005B220000}"/>
    <cellStyle name="Normal 2 2 10 3 2" xfId="8796" xr:uid="{00000000-0005-0000-0000-00005C220000}"/>
    <cellStyle name="Normal 2 2 10 3 2 10" xfId="8797" xr:uid="{00000000-0005-0000-0000-00005D220000}"/>
    <cellStyle name="Normal 2 2 10 3 2 2" xfId="8798" xr:uid="{00000000-0005-0000-0000-00005E220000}"/>
    <cellStyle name="Normal 2 2 10 3 2 3" xfId="8799" xr:uid="{00000000-0005-0000-0000-00005F220000}"/>
    <cellStyle name="Normal 2 2 10 3 2 4" xfId="8800" xr:uid="{00000000-0005-0000-0000-000060220000}"/>
    <cellStyle name="Normal 2 2 10 3 2 5" xfId="8801" xr:uid="{00000000-0005-0000-0000-000061220000}"/>
    <cellStyle name="Normal 2 2 10 3 2 6" xfId="8802" xr:uid="{00000000-0005-0000-0000-000062220000}"/>
    <cellStyle name="Normal 2 2 10 3 2 7" xfId="8803" xr:uid="{00000000-0005-0000-0000-000063220000}"/>
    <cellStyle name="Normal 2 2 10 3 2 8" xfId="8804" xr:uid="{00000000-0005-0000-0000-000064220000}"/>
    <cellStyle name="Normal 2 2 10 3 2 9" xfId="8805" xr:uid="{00000000-0005-0000-0000-000065220000}"/>
    <cellStyle name="Normal 2 2 10 3 3" xfId="8806" xr:uid="{00000000-0005-0000-0000-000066220000}"/>
    <cellStyle name="Normal 2 2 10 3 3 10" xfId="8807" xr:uid="{00000000-0005-0000-0000-000067220000}"/>
    <cellStyle name="Normal 2 2 10 3 3 2" xfId="8808" xr:uid="{00000000-0005-0000-0000-000068220000}"/>
    <cellStyle name="Normal 2 2 10 3 3 3" xfId="8809" xr:uid="{00000000-0005-0000-0000-000069220000}"/>
    <cellStyle name="Normal 2 2 10 3 3 4" xfId="8810" xr:uid="{00000000-0005-0000-0000-00006A220000}"/>
    <cellStyle name="Normal 2 2 10 3 3 5" xfId="8811" xr:uid="{00000000-0005-0000-0000-00006B220000}"/>
    <cellStyle name="Normal 2 2 10 3 3 6" xfId="8812" xr:uid="{00000000-0005-0000-0000-00006C220000}"/>
    <cellStyle name="Normal 2 2 10 3 3 7" xfId="8813" xr:uid="{00000000-0005-0000-0000-00006D220000}"/>
    <cellStyle name="Normal 2 2 10 3 3 8" xfId="8814" xr:uid="{00000000-0005-0000-0000-00006E220000}"/>
    <cellStyle name="Normal 2 2 10 3 3 9" xfId="8815" xr:uid="{00000000-0005-0000-0000-00006F220000}"/>
    <cellStyle name="Normal 2 2 10 3 4" xfId="8816" xr:uid="{00000000-0005-0000-0000-000070220000}"/>
    <cellStyle name="Normal 2 2 10 3 4 10" xfId="8817" xr:uid="{00000000-0005-0000-0000-000071220000}"/>
    <cellStyle name="Normal 2 2 10 3 4 2" xfId="8818" xr:uid="{00000000-0005-0000-0000-000072220000}"/>
    <cellStyle name="Normal 2 2 10 3 4 3" xfId="8819" xr:uid="{00000000-0005-0000-0000-000073220000}"/>
    <cellStyle name="Normal 2 2 10 3 4 4" xfId="8820" xr:uid="{00000000-0005-0000-0000-000074220000}"/>
    <cellStyle name="Normal 2 2 10 3 4 5" xfId="8821" xr:uid="{00000000-0005-0000-0000-000075220000}"/>
    <cellStyle name="Normal 2 2 10 3 4 6" xfId="8822" xr:uid="{00000000-0005-0000-0000-000076220000}"/>
    <cellStyle name="Normal 2 2 10 3 4 7" xfId="8823" xr:uid="{00000000-0005-0000-0000-000077220000}"/>
    <cellStyle name="Normal 2 2 10 3 4 8" xfId="8824" xr:uid="{00000000-0005-0000-0000-000078220000}"/>
    <cellStyle name="Normal 2 2 10 3 4 9" xfId="8825" xr:uid="{00000000-0005-0000-0000-000079220000}"/>
    <cellStyle name="Normal 2 2 10 3 5" xfId="8826" xr:uid="{00000000-0005-0000-0000-00007A220000}"/>
    <cellStyle name="Normal 2 2 10 3 5 10" xfId="8827" xr:uid="{00000000-0005-0000-0000-00007B220000}"/>
    <cellStyle name="Normal 2 2 10 3 5 2" xfId="8828" xr:uid="{00000000-0005-0000-0000-00007C220000}"/>
    <cellStyle name="Normal 2 2 10 3 5 3" xfId="8829" xr:uid="{00000000-0005-0000-0000-00007D220000}"/>
    <cellStyle name="Normal 2 2 10 3 5 4" xfId="8830" xr:uid="{00000000-0005-0000-0000-00007E220000}"/>
    <cellStyle name="Normal 2 2 10 3 5 5" xfId="8831" xr:uid="{00000000-0005-0000-0000-00007F220000}"/>
    <cellStyle name="Normal 2 2 10 3 5 6" xfId="8832" xr:uid="{00000000-0005-0000-0000-000080220000}"/>
    <cellStyle name="Normal 2 2 10 3 5 7" xfId="8833" xr:uid="{00000000-0005-0000-0000-000081220000}"/>
    <cellStyle name="Normal 2 2 10 3 5 8" xfId="8834" xr:uid="{00000000-0005-0000-0000-000082220000}"/>
    <cellStyle name="Normal 2 2 10 3 5 9" xfId="8835" xr:uid="{00000000-0005-0000-0000-000083220000}"/>
    <cellStyle name="Normal 2 2 10 3 6" xfId="8836" xr:uid="{00000000-0005-0000-0000-000084220000}"/>
    <cellStyle name="Normal 2 2 10 3 7" xfId="8837" xr:uid="{00000000-0005-0000-0000-000085220000}"/>
    <cellStyle name="Normal 2 2 10 3 8" xfId="8838" xr:uid="{00000000-0005-0000-0000-000086220000}"/>
    <cellStyle name="Normal 2 2 10 3 9" xfId="8839" xr:uid="{00000000-0005-0000-0000-000087220000}"/>
    <cellStyle name="Normal 2 2 10 30" xfId="8840" xr:uid="{00000000-0005-0000-0000-000088220000}"/>
    <cellStyle name="Normal 2 2 10 30 10" xfId="8841" xr:uid="{00000000-0005-0000-0000-000089220000}"/>
    <cellStyle name="Normal 2 2 10 30 11" xfId="8842" xr:uid="{00000000-0005-0000-0000-00008A220000}"/>
    <cellStyle name="Normal 2 2 10 30 12" xfId="8843" xr:uid="{00000000-0005-0000-0000-00008B220000}"/>
    <cellStyle name="Normal 2 2 10 30 13" xfId="8844" xr:uid="{00000000-0005-0000-0000-00008C220000}"/>
    <cellStyle name="Normal 2 2 10 30 14" xfId="8845" xr:uid="{00000000-0005-0000-0000-00008D220000}"/>
    <cellStyle name="Normal 2 2 10 30 2" xfId="8846" xr:uid="{00000000-0005-0000-0000-00008E220000}"/>
    <cellStyle name="Normal 2 2 10 30 2 10" xfId="8847" xr:uid="{00000000-0005-0000-0000-00008F220000}"/>
    <cellStyle name="Normal 2 2 10 30 2 2" xfId="8848" xr:uid="{00000000-0005-0000-0000-000090220000}"/>
    <cellStyle name="Normal 2 2 10 30 2 3" xfId="8849" xr:uid="{00000000-0005-0000-0000-000091220000}"/>
    <cellStyle name="Normal 2 2 10 30 2 4" xfId="8850" xr:uid="{00000000-0005-0000-0000-000092220000}"/>
    <cellStyle name="Normal 2 2 10 30 2 5" xfId="8851" xr:uid="{00000000-0005-0000-0000-000093220000}"/>
    <cellStyle name="Normal 2 2 10 30 2 6" xfId="8852" xr:uid="{00000000-0005-0000-0000-000094220000}"/>
    <cellStyle name="Normal 2 2 10 30 2 7" xfId="8853" xr:uid="{00000000-0005-0000-0000-000095220000}"/>
    <cellStyle name="Normal 2 2 10 30 2 8" xfId="8854" xr:uid="{00000000-0005-0000-0000-000096220000}"/>
    <cellStyle name="Normal 2 2 10 30 2 9" xfId="8855" xr:uid="{00000000-0005-0000-0000-000097220000}"/>
    <cellStyle name="Normal 2 2 10 30 3" xfId="8856" xr:uid="{00000000-0005-0000-0000-000098220000}"/>
    <cellStyle name="Normal 2 2 10 30 3 10" xfId="8857" xr:uid="{00000000-0005-0000-0000-000099220000}"/>
    <cellStyle name="Normal 2 2 10 30 3 2" xfId="8858" xr:uid="{00000000-0005-0000-0000-00009A220000}"/>
    <cellStyle name="Normal 2 2 10 30 3 3" xfId="8859" xr:uid="{00000000-0005-0000-0000-00009B220000}"/>
    <cellStyle name="Normal 2 2 10 30 3 4" xfId="8860" xr:uid="{00000000-0005-0000-0000-00009C220000}"/>
    <cellStyle name="Normal 2 2 10 30 3 5" xfId="8861" xr:uid="{00000000-0005-0000-0000-00009D220000}"/>
    <cellStyle name="Normal 2 2 10 30 3 6" xfId="8862" xr:uid="{00000000-0005-0000-0000-00009E220000}"/>
    <cellStyle name="Normal 2 2 10 30 3 7" xfId="8863" xr:uid="{00000000-0005-0000-0000-00009F220000}"/>
    <cellStyle name="Normal 2 2 10 30 3 8" xfId="8864" xr:uid="{00000000-0005-0000-0000-0000A0220000}"/>
    <cellStyle name="Normal 2 2 10 30 3 9" xfId="8865" xr:uid="{00000000-0005-0000-0000-0000A1220000}"/>
    <cellStyle name="Normal 2 2 10 30 4" xfId="8866" xr:uid="{00000000-0005-0000-0000-0000A2220000}"/>
    <cellStyle name="Normal 2 2 10 30 4 10" xfId="8867" xr:uid="{00000000-0005-0000-0000-0000A3220000}"/>
    <cellStyle name="Normal 2 2 10 30 4 2" xfId="8868" xr:uid="{00000000-0005-0000-0000-0000A4220000}"/>
    <cellStyle name="Normal 2 2 10 30 4 3" xfId="8869" xr:uid="{00000000-0005-0000-0000-0000A5220000}"/>
    <cellStyle name="Normal 2 2 10 30 4 4" xfId="8870" xr:uid="{00000000-0005-0000-0000-0000A6220000}"/>
    <cellStyle name="Normal 2 2 10 30 4 5" xfId="8871" xr:uid="{00000000-0005-0000-0000-0000A7220000}"/>
    <cellStyle name="Normal 2 2 10 30 4 6" xfId="8872" xr:uid="{00000000-0005-0000-0000-0000A8220000}"/>
    <cellStyle name="Normal 2 2 10 30 4 7" xfId="8873" xr:uid="{00000000-0005-0000-0000-0000A9220000}"/>
    <cellStyle name="Normal 2 2 10 30 4 8" xfId="8874" xr:uid="{00000000-0005-0000-0000-0000AA220000}"/>
    <cellStyle name="Normal 2 2 10 30 4 9" xfId="8875" xr:uid="{00000000-0005-0000-0000-0000AB220000}"/>
    <cellStyle name="Normal 2 2 10 30 5" xfId="8876" xr:uid="{00000000-0005-0000-0000-0000AC220000}"/>
    <cellStyle name="Normal 2 2 10 30 5 10" xfId="8877" xr:uid="{00000000-0005-0000-0000-0000AD220000}"/>
    <cellStyle name="Normal 2 2 10 30 5 2" xfId="8878" xr:uid="{00000000-0005-0000-0000-0000AE220000}"/>
    <cellStyle name="Normal 2 2 10 30 5 3" xfId="8879" xr:uid="{00000000-0005-0000-0000-0000AF220000}"/>
    <cellStyle name="Normal 2 2 10 30 5 4" xfId="8880" xr:uid="{00000000-0005-0000-0000-0000B0220000}"/>
    <cellStyle name="Normal 2 2 10 30 5 5" xfId="8881" xr:uid="{00000000-0005-0000-0000-0000B1220000}"/>
    <cellStyle name="Normal 2 2 10 30 5 6" xfId="8882" xr:uid="{00000000-0005-0000-0000-0000B2220000}"/>
    <cellStyle name="Normal 2 2 10 30 5 7" xfId="8883" xr:uid="{00000000-0005-0000-0000-0000B3220000}"/>
    <cellStyle name="Normal 2 2 10 30 5 8" xfId="8884" xr:uid="{00000000-0005-0000-0000-0000B4220000}"/>
    <cellStyle name="Normal 2 2 10 30 5 9" xfId="8885" xr:uid="{00000000-0005-0000-0000-0000B5220000}"/>
    <cellStyle name="Normal 2 2 10 30 6" xfId="8886" xr:uid="{00000000-0005-0000-0000-0000B6220000}"/>
    <cellStyle name="Normal 2 2 10 30 7" xfId="8887" xr:uid="{00000000-0005-0000-0000-0000B7220000}"/>
    <cellStyle name="Normal 2 2 10 30 8" xfId="8888" xr:uid="{00000000-0005-0000-0000-0000B8220000}"/>
    <cellStyle name="Normal 2 2 10 30 9" xfId="8889" xr:uid="{00000000-0005-0000-0000-0000B9220000}"/>
    <cellStyle name="Normal 2 2 10 31" xfId="8890" xr:uid="{00000000-0005-0000-0000-0000BA220000}"/>
    <cellStyle name="Normal 2 2 10 31 10" xfId="8891" xr:uid="{00000000-0005-0000-0000-0000BB220000}"/>
    <cellStyle name="Normal 2 2 10 31 11" xfId="8892" xr:uid="{00000000-0005-0000-0000-0000BC220000}"/>
    <cellStyle name="Normal 2 2 10 31 12" xfId="8893" xr:uid="{00000000-0005-0000-0000-0000BD220000}"/>
    <cellStyle name="Normal 2 2 10 31 13" xfId="8894" xr:uid="{00000000-0005-0000-0000-0000BE220000}"/>
    <cellStyle name="Normal 2 2 10 31 14" xfId="8895" xr:uid="{00000000-0005-0000-0000-0000BF220000}"/>
    <cellStyle name="Normal 2 2 10 31 2" xfId="8896" xr:uid="{00000000-0005-0000-0000-0000C0220000}"/>
    <cellStyle name="Normal 2 2 10 31 2 10" xfId="8897" xr:uid="{00000000-0005-0000-0000-0000C1220000}"/>
    <cellStyle name="Normal 2 2 10 31 2 2" xfId="8898" xr:uid="{00000000-0005-0000-0000-0000C2220000}"/>
    <cellStyle name="Normal 2 2 10 31 2 3" xfId="8899" xr:uid="{00000000-0005-0000-0000-0000C3220000}"/>
    <cellStyle name="Normal 2 2 10 31 2 4" xfId="8900" xr:uid="{00000000-0005-0000-0000-0000C4220000}"/>
    <cellStyle name="Normal 2 2 10 31 2 5" xfId="8901" xr:uid="{00000000-0005-0000-0000-0000C5220000}"/>
    <cellStyle name="Normal 2 2 10 31 2 6" xfId="8902" xr:uid="{00000000-0005-0000-0000-0000C6220000}"/>
    <cellStyle name="Normal 2 2 10 31 2 7" xfId="8903" xr:uid="{00000000-0005-0000-0000-0000C7220000}"/>
    <cellStyle name="Normal 2 2 10 31 2 8" xfId="8904" xr:uid="{00000000-0005-0000-0000-0000C8220000}"/>
    <cellStyle name="Normal 2 2 10 31 2 9" xfId="8905" xr:uid="{00000000-0005-0000-0000-0000C9220000}"/>
    <cellStyle name="Normal 2 2 10 31 3" xfId="8906" xr:uid="{00000000-0005-0000-0000-0000CA220000}"/>
    <cellStyle name="Normal 2 2 10 31 3 10" xfId="8907" xr:uid="{00000000-0005-0000-0000-0000CB220000}"/>
    <cellStyle name="Normal 2 2 10 31 3 2" xfId="8908" xr:uid="{00000000-0005-0000-0000-0000CC220000}"/>
    <cellStyle name="Normal 2 2 10 31 3 3" xfId="8909" xr:uid="{00000000-0005-0000-0000-0000CD220000}"/>
    <cellStyle name="Normal 2 2 10 31 3 4" xfId="8910" xr:uid="{00000000-0005-0000-0000-0000CE220000}"/>
    <cellStyle name="Normal 2 2 10 31 3 5" xfId="8911" xr:uid="{00000000-0005-0000-0000-0000CF220000}"/>
    <cellStyle name="Normal 2 2 10 31 3 6" xfId="8912" xr:uid="{00000000-0005-0000-0000-0000D0220000}"/>
    <cellStyle name="Normal 2 2 10 31 3 7" xfId="8913" xr:uid="{00000000-0005-0000-0000-0000D1220000}"/>
    <cellStyle name="Normal 2 2 10 31 3 8" xfId="8914" xr:uid="{00000000-0005-0000-0000-0000D2220000}"/>
    <cellStyle name="Normal 2 2 10 31 3 9" xfId="8915" xr:uid="{00000000-0005-0000-0000-0000D3220000}"/>
    <cellStyle name="Normal 2 2 10 31 4" xfId="8916" xr:uid="{00000000-0005-0000-0000-0000D4220000}"/>
    <cellStyle name="Normal 2 2 10 31 4 10" xfId="8917" xr:uid="{00000000-0005-0000-0000-0000D5220000}"/>
    <cellStyle name="Normal 2 2 10 31 4 2" xfId="8918" xr:uid="{00000000-0005-0000-0000-0000D6220000}"/>
    <cellStyle name="Normal 2 2 10 31 4 3" xfId="8919" xr:uid="{00000000-0005-0000-0000-0000D7220000}"/>
    <cellStyle name="Normal 2 2 10 31 4 4" xfId="8920" xr:uid="{00000000-0005-0000-0000-0000D8220000}"/>
    <cellStyle name="Normal 2 2 10 31 4 5" xfId="8921" xr:uid="{00000000-0005-0000-0000-0000D9220000}"/>
    <cellStyle name="Normal 2 2 10 31 4 6" xfId="8922" xr:uid="{00000000-0005-0000-0000-0000DA220000}"/>
    <cellStyle name="Normal 2 2 10 31 4 7" xfId="8923" xr:uid="{00000000-0005-0000-0000-0000DB220000}"/>
    <cellStyle name="Normal 2 2 10 31 4 8" xfId="8924" xr:uid="{00000000-0005-0000-0000-0000DC220000}"/>
    <cellStyle name="Normal 2 2 10 31 4 9" xfId="8925" xr:uid="{00000000-0005-0000-0000-0000DD220000}"/>
    <cellStyle name="Normal 2 2 10 31 5" xfId="8926" xr:uid="{00000000-0005-0000-0000-0000DE220000}"/>
    <cellStyle name="Normal 2 2 10 31 5 10" xfId="8927" xr:uid="{00000000-0005-0000-0000-0000DF220000}"/>
    <cellStyle name="Normal 2 2 10 31 5 2" xfId="8928" xr:uid="{00000000-0005-0000-0000-0000E0220000}"/>
    <cellStyle name="Normal 2 2 10 31 5 3" xfId="8929" xr:uid="{00000000-0005-0000-0000-0000E1220000}"/>
    <cellStyle name="Normal 2 2 10 31 5 4" xfId="8930" xr:uid="{00000000-0005-0000-0000-0000E2220000}"/>
    <cellStyle name="Normal 2 2 10 31 5 5" xfId="8931" xr:uid="{00000000-0005-0000-0000-0000E3220000}"/>
    <cellStyle name="Normal 2 2 10 31 5 6" xfId="8932" xr:uid="{00000000-0005-0000-0000-0000E4220000}"/>
    <cellStyle name="Normal 2 2 10 31 5 7" xfId="8933" xr:uid="{00000000-0005-0000-0000-0000E5220000}"/>
    <cellStyle name="Normal 2 2 10 31 5 8" xfId="8934" xr:uid="{00000000-0005-0000-0000-0000E6220000}"/>
    <cellStyle name="Normal 2 2 10 31 5 9" xfId="8935" xr:uid="{00000000-0005-0000-0000-0000E7220000}"/>
    <cellStyle name="Normal 2 2 10 31 6" xfId="8936" xr:uid="{00000000-0005-0000-0000-0000E8220000}"/>
    <cellStyle name="Normal 2 2 10 31 7" xfId="8937" xr:uid="{00000000-0005-0000-0000-0000E9220000}"/>
    <cellStyle name="Normal 2 2 10 31 8" xfId="8938" xr:uid="{00000000-0005-0000-0000-0000EA220000}"/>
    <cellStyle name="Normal 2 2 10 31 9" xfId="8939" xr:uid="{00000000-0005-0000-0000-0000EB220000}"/>
    <cellStyle name="Normal 2 2 10 32" xfId="8940" xr:uid="{00000000-0005-0000-0000-0000EC220000}"/>
    <cellStyle name="Normal 2 2 10 32 10" xfId="8941" xr:uid="{00000000-0005-0000-0000-0000ED220000}"/>
    <cellStyle name="Normal 2 2 10 32 11" xfId="8942" xr:uid="{00000000-0005-0000-0000-0000EE220000}"/>
    <cellStyle name="Normal 2 2 10 32 12" xfId="8943" xr:uid="{00000000-0005-0000-0000-0000EF220000}"/>
    <cellStyle name="Normal 2 2 10 32 13" xfId="8944" xr:uid="{00000000-0005-0000-0000-0000F0220000}"/>
    <cellStyle name="Normal 2 2 10 32 14" xfId="8945" xr:uid="{00000000-0005-0000-0000-0000F1220000}"/>
    <cellStyle name="Normal 2 2 10 32 2" xfId="8946" xr:uid="{00000000-0005-0000-0000-0000F2220000}"/>
    <cellStyle name="Normal 2 2 10 32 2 10" xfId="8947" xr:uid="{00000000-0005-0000-0000-0000F3220000}"/>
    <cellStyle name="Normal 2 2 10 32 2 2" xfId="8948" xr:uid="{00000000-0005-0000-0000-0000F4220000}"/>
    <cellStyle name="Normal 2 2 10 32 2 3" xfId="8949" xr:uid="{00000000-0005-0000-0000-0000F5220000}"/>
    <cellStyle name="Normal 2 2 10 32 2 4" xfId="8950" xr:uid="{00000000-0005-0000-0000-0000F6220000}"/>
    <cellStyle name="Normal 2 2 10 32 2 5" xfId="8951" xr:uid="{00000000-0005-0000-0000-0000F7220000}"/>
    <cellStyle name="Normal 2 2 10 32 2 6" xfId="8952" xr:uid="{00000000-0005-0000-0000-0000F8220000}"/>
    <cellStyle name="Normal 2 2 10 32 2 7" xfId="8953" xr:uid="{00000000-0005-0000-0000-0000F9220000}"/>
    <cellStyle name="Normal 2 2 10 32 2 8" xfId="8954" xr:uid="{00000000-0005-0000-0000-0000FA220000}"/>
    <cellStyle name="Normal 2 2 10 32 2 9" xfId="8955" xr:uid="{00000000-0005-0000-0000-0000FB220000}"/>
    <cellStyle name="Normal 2 2 10 32 3" xfId="8956" xr:uid="{00000000-0005-0000-0000-0000FC220000}"/>
    <cellStyle name="Normal 2 2 10 32 3 10" xfId="8957" xr:uid="{00000000-0005-0000-0000-0000FD220000}"/>
    <cellStyle name="Normal 2 2 10 32 3 2" xfId="8958" xr:uid="{00000000-0005-0000-0000-0000FE220000}"/>
    <cellStyle name="Normal 2 2 10 32 3 3" xfId="8959" xr:uid="{00000000-0005-0000-0000-0000FF220000}"/>
    <cellStyle name="Normal 2 2 10 32 3 4" xfId="8960" xr:uid="{00000000-0005-0000-0000-000000230000}"/>
    <cellStyle name="Normal 2 2 10 32 3 5" xfId="8961" xr:uid="{00000000-0005-0000-0000-000001230000}"/>
    <cellStyle name="Normal 2 2 10 32 3 6" xfId="8962" xr:uid="{00000000-0005-0000-0000-000002230000}"/>
    <cellStyle name="Normal 2 2 10 32 3 7" xfId="8963" xr:uid="{00000000-0005-0000-0000-000003230000}"/>
    <cellStyle name="Normal 2 2 10 32 3 8" xfId="8964" xr:uid="{00000000-0005-0000-0000-000004230000}"/>
    <cellStyle name="Normal 2 2 10 32 3 9" xfId="8965" xr:uid="{00000000-0005-0000-0000-000005230000}"/>
    <cellStyle name="Normal 2 2 10 32 4" xfId="8966" xr:uid="{00000000-0005-0000-0000-000006230000}"/>
    <cellStyle name="Normal 2 2 10 32 4 10" xfId="8967" xr:uid="{00000000-0005-0000-0000-000007230000}"/>
    <cellStyle name="Normal 2 2 10 32 4 2" xfId="8968" xr:uid="{00000000-0005-0000-0000-000008230000}"/>
    <cellStyle name="Normal 2 2 10 32 4 3" xfId="8969" xr:uid="{00000000-0005-0000-0000-000009230000}"/>
    <cellStyle name="Normal 2 2 10 32 4 4" xfId="8970" xr:uid="{00000000-0005-0000-0000-00000A230000}"/>
    <cellStyle name="Normal 2 2 10 32 4 5" xfId="8971" xr:uid="{00000000-0005-0000-0000-00000B230000}"/>
    <cellStyle name="Normal 2 2 10 32 4 6" xfId="8972" xr:uid="{00000000-0005-0000-0000-00000C230000}"/>
    <cellStyle name="Normal 2 2 10 32 4 7" xfId="8973" xr:uid="{00000000-0005-0000-0000-00000D230000}"/>
    <cellStyle name="Normal 2 2 10 32 4 8" xfId="8974" xr:uid="{00000000-0005-0000-0000-00000E230000}"/>
    <cellStyle name="Normal 2 2 10 32 4 9" xfId="8975" xr:uid="{00000000-0005-0000-0000-00000F230000}"/>
    <cellStyle name="Normal 2 2 10 32 5" xfId="8976" xr:uid="{00000000-0005-0000-0000-000010230000}"/>
    <cellStyle name="Normal 2 2 10 32 5 10" xfId="8977" xr:uid="{00000000-0005-0000-0000-000011230000}"/>
    <cellStyle name="Normal 2 2 10 32 5 2" xfId="8978" xr:uid="{00000000-0005-0000-0000-000012230000}"/>
    <cellStyle name="Normal 2 2 10 32 5 3" xfId="8979" xr:uid="{00000000-0005-0000-0000-000013230000}"/>
    <cellStyle name="Normal 2 2 10 32 5 4" xfId="8980" xr:uid="{00000000-0005-0000-0000-000014230000}"/>
    <cellStyle name="Normal 2 2 10 32 5 5" xfId="8981" xr:uid="{00000000-0005-0000-0000-000015230000}"/>
    <cellStyle name="Normal 2 2 10 32 5 6" xfId="8982" xr:uid="{00000000-0005-0000-0000-000016230000}"/>
    <cellStyle name="Normal 2 2 10 32 5 7" xfId="8983" xr:uid="{00000000-0005-0000-0000-000017230000}"/>
    <cellStyle name="Normal 2 2 10 32 5 8" xfId="8984" xr:uid="{00000000-0005-0000-0000-000018230000}"/>
    <cellStyle name="Normal 2 2 10 32 5 9" xfId="8985" xr:uid="{00000000-0005-0000-0000-000019230000}"/>
    <cellStyle name="Normal 2 2 10 32 6" xfId="8986" xr:uid="{00000000-0005-0000-0000-00001A230000}"/>
    <cellStyle name="Normal 2 2 10 32 7" xfId="8987" xr:uid="{00000000-0005-0000-0000-00001B230000}"/>
    <cellStyle name="Normal 2 2 10 32 8" xfId="8988" xr:uid="{00000000-0005-0000-0000-00001C230000}"/>
    <cellStyle name="Normal 2 2 10 32 9" xfId="8989" xr:uid="{00000000-0005-0000-0000-00001D230000}"/>
    <cellStyle name="Normal 2 2 10 33" xfId="8990" xr:uid="{00000000-0005-0000-0000-00001E230000}"/>
    <cellStyle name="Normal 2 2 10 33 10" xfId="8991" xr:uid="{00000000-0005-0000-0000-00001F230000}"/>
    <cellStyle name="Normal 2 2 10 33 11" xfId="8992" xr:uid="{00000000-0005-0000-0000-000020230000}"/>
    <cellStyle name="Normal 2 2 10 33 12" xfId="8993" xr:uid="{00000000-0005-0000-0000-000021230000}"/>
    <cellStyle name="Normal 2 2 10 33 13" xfId="8994" xr:uid="{00000000-0005-0000-0000-000022230000}"/>
    <cellStyle name="Normal 2 2 10 33 14" xfId="8995" xr:uid="{00000000-0005-0000-0000-000023230000}"/>
    <cellStyle name="Normal 2 2 10 33 2" xfId="8996" xr:uid="{00000000-0005-0000-0000-000024230000}"/>
    <cellStyle name="Normal 2 2 10 33 2 10" xfId="8997" xr:uid="{00000000-0005-0000-0000-000025230000}"/>
    <cellStyle name="Normal 2 2 10 33 2 2" xfId="8998" xr:uid="{00000000-0005-0000-0000-000026230000}"/>
    <cellStyle name="Normal 2 2 10 33 2 3" xfId="8999" xr:uid="{00000000-0005-0000-0000-000027230000}"/>
    <cellStyle name="Normal 2 2 10 33 2 4" xfId="9000" xr:uid="{00000000-0005-0000-0000-000028230000}"/>
    <cellStyle name="Normal 2 2 10 33 2 5" xfId="9001" xr:uid="{00000000-0005-0000-0000-000029230000}"/>
    <cellStyle name="Normal 2 2 10 33 2 6" xfId="9002" xr:uid="{00000000-0005-0000-0000-00002A230000}"/>
    <cellStyle name="Normal 2 2 10 33 2 7" xfId="9003" xr:uid="{00000000-0005-0000-0000-00002B230000}"/>
    <cellStyle name="Normal 2 2 10 33 2 8" xfId="9004" xr:uid="{00000000-0005-0000-0000-00002C230000}"/>
    <cellStyle name="Normal 2 2 10 33 2 9" xfId="9005" xr:uid="{00000000-0005-0000-0000-00002D230000}"/>
    <cellStyle name="Normal 2 2 10 33 3" xfId="9006" xr:uid="{00000000-0005-0000-0000-00002E230000}"/>
    <cellStyle name="Normal 2 2 10 33 3 10" xfId="9007" xr:uid="{00000000-0005-0000-0000-00002F230000}"/>
    <cellStyle name="Normal 2 2 10 33 3 2" xfId="9008" xr:uid="{00000000-0005-0000-0000-000030230000}"/>
    <cellStyle name="Normal 2 2 10 33 3 3" xfId="9009" xr:uid="{00000000-0005-0000-0000-000031230000}"/>
    <cellStyle name="Normal 2 2 10 33 3 4" xfId="9010" xr:uid="{00000000-0005-0000-0000-000032230000}"/>
    <cellStyle name="Normal 2 2 10 33 3 5" xfId="9011" xr:uid="{00000000-0005-0000-0000-000033230000}"/>
    <cellStyle name="Normal 2 2 10 33 3 6" xfId="9012" xr:uid="{00000000-0005-0000-0000-000034230000}"/>
    <cellStyle name="Normal 2 2 10 33 3 7" xfId="9013" xr:uid="{00000000-0005-0000-0000-000035230000}"/>
    <cellStyle name="Normal 2 2 10 33 3 8" xfId="9014" xr:uid="{00000000-0005-0000-0000-000036230000}"/>
    <cellStyle name="Normal 2 2 10 33 3 9" xfId="9015" xr:uid="{00000000-0005-0000-0000-000037230000}"/>
    <cellStyle name="Normal 2 2 10 33 4" xfId="9016" xr:uid="{00000000-0005-0000-0000-000038230000}"/>
    <cellStyle name="Normal 2 2 10 33 4 10" xfId="9017" xr:uid="{00000000-0005-0000-0000-000039230000}"/>
    <cellStyle name="Normal 2 2 10 33 4 2" xfId="9018" xr:uid="{00000000-0005-0000-0000-00003A230000}"/>
    <cellStyle name="Normal 2 2 10 33 4 3" xfId="9019" xr:uid="{00000000-0005-0000-0000-00003B230000}"/>
    <cellStyle name="Normal 2 2 10 33 4 4" xfId="9020" xr:uid="{00000000-0005-0000-0000-00003C230000}"/>
    <cellStyle name="Normal 2 2 10 33 4 5" xfId="9021" xr:uid="{00000000-0005-0000-0000-00003D230000}"/>
    <cellStyle name="Normal 2 2 10 33 4 6" xfId="9022" xr:uid="{00000000-0005-0000-0000-00003E230000}"/>
    <cellStyle name="Normal 2 2 10 33 4 7" xfId="9023" xr:uid="{00000000-0005-0000-0000-00003F230000}"/>
    <cellStyle name="Normal 2 2 10 33 4 8" xfId="9024" xr:uid="{00000000-0005-0000-0000-000040230000}"/>
    <cellStyle name="Normal 2 2 10 33 4 9" xfId="9025" xr:uid="{00000000-0005-0000-0000-000041230000}"/>
    <cellStyle name="Normal 2 2 10 33 5" xfId="9026" xr:uid="{00000000-0005-0000-0000-000042230000}"/>
    <cellStyle name="Normal 2 2 10 33 5 10" xfId="9027" xr:uid="{00000000-0005-0000-0000-000043230000}"/>
    <cellStyle name="Normal 2 2 10 33 5 2" xfId="9028" xr:uid="{00000000-0005-0000-0000-000044230000}"/>
    <cellStyle name="Normal 2 2 10 33 5 3" xfId="9029" xr:uid="{00000000-0005-0000-0000-000045230000}"/>
    <cellStyle name="Normal 2 2 10 33 5 4" xfId="9030" xr:uid="{00000000-0005-0000-0000-000046230000}"/>
    <cellStyle name="Normal 2 2 10 33 5 5" xfId="9031" xr:uid="{00000000-0005-0000-0000-000047230000}"/>
    <cellStyle name="Normal 2 2 10 33 5 6" xfId="9032" xr:uid="{00000000-0005-0000-0000-000048230000}"/>
    <cellStyle name="Normal 2 2 10 33 5 7" xfId="9033" xr:uid="{00000000-0005-0000-0000-000049230000}"/>
    <cellStyle name="Normal 2 2 10 33 5 8" xfId="9034" xr:uid="{00000000-0005-0000-0000-00004A230000}"/>
    <cellStyle name="Normal 2 2 10 33 5 9" xfId="9035" xr:uid="{00000000-0005-0000-0000-00004B230000}"/>
    <cellStyle name="Normal 2 2 10 33 6" xfId="9036" xr:uid="{00000000-0005-0000-0000-00004C230000}"/>
    <cellStyle name="Normal 2 2 10 33 7" xfId="9037" xr:uid="{00000000-0005-0000-0000-00004D230000}"/>
    <cellStyle name="Normal 2 2 10 33 8" xfId="9038" xr:uid="{00000000-0005-0000-0000-00004E230000}"/>
    <cellStyle name="Normal 2 2 10 33 9" xfId="9039" xr:uid="{00000000-0005-0000-0000-00004F230000}"/>
    <cellStyle name="Normal 2 2 10 34" xfId="9040" xr:uid="{00000000-0005-0000-0000-000050230000}"/>
    <cellStyle name="Normal 2 2 10 34 10" xfId="9041" xr:uid="{00000000-0005-0000-0000-000051230000}"/>
    <cellStyle name="Normal 2 2 10 34 11" xfId="9042" xr:uid="{00000000-0005-0000-0000-000052230000}"/>
    <cellStyle name="Normal 2 2 10 34 12" xfId="9043" xr:uid="{00000000-0005-0000-0000-000053230000}"/>
    <cellStyle name="Normal 2 2 10 34 13" xfId="9044" xr:uid="{00000000-0005-0000-0000-000054230000}"/>
    <cellStyle name="Normal 2 2 10 34 14" xfId="9045" xr:uid="{00000000-0005-0000-0000-000055230000}"/>
    <cellStyle name="Normal 2 2 10 34 2" xfId="9046" xr:uid="{00000000-0005-0000-0000-000056230000}"/>
    <cellStyle name="Normal 2 2 10 34 2 10" xfId="9047" xr:uid="{00000000-0005-0000-0000-000057230000}"/>
    <cellStyle name="Normal 2 2 10 34 2 2" xfId="9048" xr:uid="{00000000-0005-0000-0000-000058230000}"/>
    <cellStyle name="Normal 2 2 10 34 2 3" xfId="9049" xr:uid="{00000000-0005-0000-0000-000059230000}"/>
    <cellStyle name="Normal 2 2 10 34 2 4" xfId="9050" xr:uid="{00000000-0005-0000-0000-00005A230000}"/>
    <cellStyle name="Normal 2 2 10 34 2 5" xfId="9051" xr:uid="{00000000-0005-0000-0000-00005B230000}"/>
    <cellStyle name="Normal 2 2 10 34 2 6" xfId="9052" xr:uid="{00000000-0005-0000-0000-00005C230000}"/>
    <cellStyle name="Normal 2 2 10 34 2 7" xfId="9053" xr:uid="{00000000-0005-0000-0000-00005D230000}"/>
    <cellStyle name="Normal 2 2 10 34 2 8" xfId="9054" xr:uid="{00000000-0005-0000-0000-00005E230000}"/>
    <cellStyle name="Normal 2 2 10 34 2 9" xfId="9055" xr:uid="{00000000-0005-0000-0000-00005F230000}"/>
    <cellStyle name="Normal 2 2 10 34 3" xfId="9056" xr:uid="{00000000-0005-0000-0000-000060230000}"/>
    <cellStyle name="Normal 2 2 10 34 3 10" xfId="9057" xr:uid="{00000000-0005-0000-0000-000061230000}"/>
    <cellStyle name="Normal 2 2 10 34 3 2" xfId="9058" xr:uid="{00000000-0005-0000-0000-000062230000}"/>
    <cellStyle name="Normal 2 2 10 34 3 3" xfId="9059" xr:uid="{00000000-0005-0000-0000-000063230000}"/>
    <cellStyle name="Normal 2 2 10 34 3 4" xfId="9060" xr:uid="{00000000-0005-0000-0000-000064230000}"/>
    <cellStyle name="Normal 2 2 10 34 3 5" xfId="9061" xr:uid="{00000000-0005-0000-0000-000065230000}"/>
    <cellStyle name="Normal 2 2 10 34 3 6" xfId="9062" xr:uid="{00000000-0005-0000-0000-000066230000}"/>
    <cellStyle name="Normal 2 2 10 34 3 7" xfId="9063" xr:uid="{00000000-0005-0000-0000-000067230000}"/>
    <cellStyle name="Normal 2 2 10 34 3 8" xfId="9064" xr:uid="{00000000-0005-0000-0000-000068230000}"/>
    <cellStyle name="Normal 2 2 10 34 3 9" xfId="9065" xr:uid="{00000000-0005-0000-0000-000069230000}"/>
    <cellStyle name="Normal 2 2 10 34 4" xfId="9066" xr:uid="{00000000-0005-0000-0000-00006A230000}"/>
    <cellStyle name="Normal 2 2 10 34 4 10" xfId="9067" xr:uid="{00000000-0005-0000-0000-00006B230000}"/>
    <cellStyle name="Normal 2 2 10 34 4 2" xfId="9068" xr:uid="{00000000-0005-0000-0000-00006C230000}"/>
    <cellStyle name="Normal 2 2 10 34 4 3" xfId="9069" xr:uid="{00000000-0005-0000-0000-00006D230000}"/>
    <cellStyle name="Normal 2 2 10 34 4 4" xfId="9070" xr:uid="{00000000-0005-0000-0000-00006E230000}"/>
    <cellStyle name="Normal 2 2 10 34 4 5" xfId="9071" xr:uid="{00000000-0005-0000-0000-00006F230000}"/>
    <cellStyle name="Normal 2 2 10 34 4 6" xfId="9072" xr:uid="{00000000-0005-0000-0000-000070230000}"/>
    <cellStyle name="Normal 2 2 10 34 4 7" xfId="9073" xr:uid="{00000000-0005-0000-0000-000071230000}"/>
    <cellStyle name="Normal 2 2 10 34 4 8" xfId="9074" xr:uid="{00000000-0005-0000-0000-000072230000}"/>
    <cellStyle name="Normal 2 2 10 34 4 9" xfId="9075" xr:uid="{00000000-0005-0000-0000-000073230000}"/>
    <cellStyle name="Normal 2 2 10 34 5" xfId="9076" xr:uid="{00000000-0005-0000-0000-000074230000}"/>
    <cellStyle name="Normal 2 2 10 34 5 10" xfId="9077" xr:uid="{00000000-0005-0000-0000-000075230000}"/>
    <cellStyle name="Normal 2 2 10 34 5 2" xfId="9078" xr:uid="{00000000-0005-0000-0000-000076230000}"/>
    <cellStyle name="Normal 2 2 10 34 5 3" xfId="9079" xr:uid="{00000000-0005-0000-0000-000077230000}"/>
    <cellStyle name="Normal 2 2 10 34 5 4" xfId="9080" xr:uid="{00000000-0005-0000-0000-000078230000}"/>
    <cellStyle name="Normal 2 2 10 34 5 5" xfId="9081" xr:uid="{00000000-0005-0000-0000-000079230000}"/>
    <cellStyle name="Normal 2 2 10 34 5 6" xfId="9082" xr:uid="{00000000-0005-0000-0000-00007A230000}"/>
    <cellStyle name="Normal 2 2 10 34 5 7" xfId="9083" xr:uid="{00000000-0005-0000-0000-00007B230000}"/>
    <cellStyle name="Normal 2 2 10 34 5 8" xfId="9084" xr:uid="{00000000-0005-0000-0000-00007C230000}"/>
    <cellStyle name="Normal 2 2 10 34 5 9" xfId="9085" xr:uid="{00000000-0005-0000-0000-00007D230000}"/>
    <cellStyle name="Normal 2 2 10 34 6" xfId="9086" xr:uid="{00000000-0005-0000-0000-00007E230000}"/>
    <cellStyle name="Normal 2 2 10 34 7" xfId="9087" xr:uid="{00000000-0005-0000-0000-00007F230000}"/>
    <cellStyle name="Normal 2 2 10 34 8" xfId="9088" xr:uid="{00000000-0005-0000-0000-000080230000}"/>
    <cellStyle name="Normal 2 2 10 34 9" xfId="9089" xr:uid="{00000000-0005-0000-0000-000081230000}"/>
    <cellStyle name="Normal 2 2 10 35" xfId="9090" xr:uid="{00000000-0005-0000-0000-000082230000}"/>
    <cellStyle name="Normal 2 2 10 35 10" xfId="9091" xr:uid="{00000000-0005-0000-0000-000083230000}"/>
    <cellStyle name="Normal 2 2 10 35 2" xfId="9092" xr:uid="{00000000-0005-0000-0000-000084230000}"/>
    <cellStyle name="Normal 2 2 10 35 3" xfId="9093" xr:uid="{00000000-0005-0000-0000-000085230000}"/>
    <cellStyle name="Normal 2 2 10 35 4" xfId="9094" xr:uid="{00000000-0005-0000-0000-000086230000}"/>
    <cellStyle name="Normal 2 2 10 35 5" xfId="9095" xr:uid="{00000000-0005-0000-0000-000087230000}"/>
    <cellStyle name="Normal 2 2 10 35 6" xfId="9096" xr:uid="{00000000-0005-0000-0000-000088230000}"/>
    <cellStyle name="Normal 2 2 10 35 7" xfId="9097" xr:uid="{00000000-0005-0000-0000-000089230000}"/>
    <cellStyle name="Normal 2 2 10 35 8" xfId="9098" xr:uid="{00000000-0005-0000-0000-00008A230000}"/>
    <cellStyle name="Normal 2 2 10 35 9" xfId="9099" xr:uid="{00000000-0005-0000-0000-00008B230000}"/>
    <cellStyle name="Normal 2 2 10 36" xfId="9100" xr:uid="{00000000-0005-0000-0000-00008C230000}"/>
    <cellStyle name="Normal 2 2 10 36 10" xfId="9101" xr:uid="{00000000-0005-0000-0000-00008D230000}"/>
    <cellStyle name="Normal 2 2 10 36 2" xfId="9102" xr:uid="{00000000-0005-0000-0000-00008E230000}"/>
    <cellStyle name="Normal 2 2 10 36 3" xfId="9103" xr:uid="{00000000-0005-0000-0000-00008F230000}"/>
    <cellStyle name="Normal 2 2 10 36 4" xfId="9104" xr:uid="{00000000-0005-0000-0000-000090230000}"/>
    <cellStyle name="Normal 2 2 10 36 5" xfId="9105" xr:uid="{00000000-0005-0000-0000-000091230000}"/>
    <cellStyle name="Normal 2 2 10 36 6" xfId="9106" xr:uid="{00000000-0005-0000-0000-000092230000}"/>
    <cellStyle name="Normal 2 2 10 36 7" xfId="9107" xr:uid="{00000000-0005-0000-0000-000093230000}"/>
    <cellStyle name="Normal 2 2 10 36 8" xfId="9108" xr:uid="{00000000-0005-0000-0000-000094230000}"/>
    <cellStyle name="Normal 2 2 10 36 9" xfId="9109" xr:uid="{00000000-0005-0000-0000-000095230000}"/>
    <cellStyle name="Normal 2 2 10 37" xfId="9110" xr:uid="{00000000-0005-0000-0000-000096230000}"/>
    <cellStyle name="Normal 2 2 10 37 10" xfId="9111" xr:uid="{00000000-0005-0000-0000-000097230000}"/>
    <cellStyle name="Normal 2 2 10 37 2" xfId="9112" xr:uid="{00000000-0005-0000-0000-000098230000}"/>
    <cellStyle name="Normal 2 2 10 37 3" xfId="9113" xr:uid="{00000000-0005-0000-0000-000099230000}"/>
    <cellStyle name="Normal 2 2 10 37 4" xfId="9114" xr:uid="{00000000-0005-0000-0000-00009A230000}"/>
    <cellStyle name="Normal 2 2 10 37 5" xfId="9115" xr:uid="{00000000-0005-0000-0000-00009B230000}"/>
    <cellStyle name="Normal 2 2 10 37 6" xfId="9116" xr:uid="{00000000-0005-0000-0000-00009C230000}"/>
    <cellStyle name="Normal 2 2 10 37 7" xfId="9117" xr:uid="{00000000-0005-0000-0000-00009D230000}"/>
    <cellStyle name="Normal 2 2 10 37 8" xfId="9118" xr:uid="{00000000-0005-0000-0000-00009E230000}"/>
    <cellStyle name="Normal 2 2 10 37 9" xfId="9119" xr:uid="{00000000-0005-0000-0000-00009F230000}"/>
    <cellStyle name="Normal 2 2 10 38" xfId="9120" xr:uid="{00000000-0005-0000-0000-0000A0230000}"/>
    <cellStyle name="Normal 2 2 10 38 10" xfId="9121" xr:uid="{00000000-0005-0000-0000-0000A1230000}"/>
    <cellStyle name="Normal 2 2 10 38 2" xfId="9122" xr:uid="{00000000-0005-0000-0000-0000A2230000}"/>
    <cellStyle name="Normal 2 2 10 38 3" xfId="9123" xr:uid="{00000000-0005-0000-0000-0000A3230000}"/>
    <cellStyle name="Normal 2 2 10 38 4" xfId="9124" xr:uid="{00000000-0005-0000-0000-0000A4230000}"/>
    <cellStyle name="Normal 2 2 10 38 5" xfId="9125" xr:uid="{00000000-0005-0000-0000-0000A5230000}"/>
    <cellStyle name="Normal 2 2 10 38 6" xfId="9126" xr:uid="{00000000-0005-0000-0000-0000A6230000}"/>
    <cellStyle name="Normal 2 2 10 38 7" xfId="9127" xr:uid="{00000000-0005-0000-0000-0000A7230000}"/>
    <cellStyle name="Normal 2 2 10 38 8" xfId="9128" xr:uid="{00000000-0005-0000-0000-0000A8230000}"/>
    <cellStyle name="Normal 2 2 10 38 9" xfId="9129" xr:uid="{00000000-0005-0000-0000-0000A9230000}"/>
    <cellStyle name="Normal 2 2 10 39" xfId="9130" xr:uid="{00000000-0005-0000-0000-0000AA230000}"/>
    <cellStyle name="Normal 2 2 10 4" xfId="9131" xr:uid="{00000000-0005-0000-0000-0000AB230000}"/>
    <cellStyle name="Normal 2 2 10 4 10" xfId="9132" xr:uid="{00000000-0005-0000-0000-0000AC230000}"/>
    <cellStyle name="Normal 2 2 10 4 11" xfId="9133" xr:uid="{00000000-0005-0000-0000-0000AD230000}"/>
    <cellStyle name="Normal 2 2 10 4 12" xfId="9134" xr:uid="{00000000-0005-0000-0000-0000AE230000}"/>
    <cellStyle name="Normal 2 2 10 4 13" xfId="9135" xr:uid="{00000000-0005-0000-0000-0000AF230000}"/>
    <cellStyle name="Normal 2 2 10 4 14" xfId="9136" xr:uid="{00000000-0005-0000-0000-0000B0230000}"/>
    <cellStyle name="Normal 2 2 10 4 2" xfId="9137" xr:uid="{00000000-0005-0000-0000-0000B1230000}"/>
    <cellStyle name="Normal 2 2 10 4 2 10" xfId="9138" xr:uid="{00000000-0005-0000-0000-0000B2230000}"/>
    <cellStyle name="Normal 2 2 10 4 2 2" xfId="9139" xr:uid="{00000000-0005-0000-0000-0000B3230000}"/>
    <cellStyle name="Normal 2 2 10 4 2 3" xfId="9140" xr:uid="{00000000-0005-0000-0000-0000B4230000}"/>
    <cellStyle name="Normal 2 2 10 4 2 4" xfId="9141" xr:uid="{00000000-0005-0000-0000-0000B5230000}"/>
    <cellStyle name="Normal 2 2 10 4 2 5" xfId="9142" xr:uid="{00000000-0005-0000-0000-0000B6230000}"/>
    <cellStyle name="Normal 2 2 10 4 2 6" xfId="9143" xr:uid="{00000000-0005-0000-0000-0000B7230000}"/>
    <cellStyle name="Normal 2 2 10 4 2 7" xfId="9144" xr:uid="{00000000-0005-0000-0000-0000B8230000}"/>
    <cellStyle name="Normal 2 2 10 4 2 8" xfId="9145" xr:uid="{00000000-0005-0000-0000-0000B9230000}"/>
    <cellStyle name="Normal 2 2 10 4 2 9" xfId="9146" xr:uid="{00000000-0005-0000-0000-0000BA230000}"/>
    <cellStyle name="Normal 2 2 10 4 3" xfId="9147" xr:uid="{00000000-0005-0000-0000-0000BB230000}"/>
    <cellStyle name="Normal 2 2 10 4 3 10" xfId="9148" xr:uid="{00000000-0005-0000-0000-0000BC230000}"/>
    <cellStyle name="Normal 2 2 10 4 3 2" xfId="9149" xr:uid="{00000000-0005-0000-0000-0000BD230000}"/>
    <cellStyle name="Normal 2 2 10 4 3 3" xfId="9150" xr:uid="{00000000-0005-0000-0000-0000BE230000}"/>
    <cellStyle name="Normal 2 2 10 4 3 4" xfId="9151" xr:uid="{00000000-0005-0000-0000-0000BF230000}"/>
    <cellStyle name="Normal 2 2 10 4 3 5" xfId="9152" xr:uid="{00000000-0005-0000-0000-0000C0230000}"/>
    <cellStyle name="Normal 2 2 10 4 3 6" xfId="9153" xr:uid="{00000000-0005-0000-0000-0000C1230000}"/>
    <cellStyle name="Normal 2 2 10 4 3 7" xfId="9154" xr:uid="{00000000-0005-0000-0000-0000C2230000}"/>
    <cellStyle name="Normal 2 2 10 4 3 8" xfId="9155" xr:uid="{00000000-0005-0000-0000-0000C3230000}"/>
    <cellStyle name="Normal 2 2 10 4 3 9" xfId="9156" xr:uid="{00000000-0005-0000-0000-0000C4230000}"/>
    <cellStyle name="Normal 2 2 10 4 4" xfId="9157" xr:uid="{00000000-0005-0000-0000-0000C5230000}"/>
    <cellStyle name="Normal 2 2 10 4 4 10" xfId="9158" xr:uid="{00000000-0005-0000-0000-0000C6230000}"/>
    <cellStyle name="Normal 2 2 10 4 4 2" xfId="9159" xr:uid="{00000000-0005-0000-0000-0000C7230000}"/>
    <cellStyle name="Normal 2 2 10 4 4 3" xfId="9160" xr:uid="{00000000-0005-0000-0000-0000C8230000}"/>
    <cellStyle name="Normal 2 2 10 4 4 4" xfId="9161" xr:uid="{00000000-0005-0000-0000-0000C9230000}"/>
    <cellStyle name="Normal 2 2 10 4 4 5" xfId="9162" xr:uid="{00000000-0005-0000-0000-0000CA230000}"/>
    <cellStyle name="Normal 2 2 10 4 4 6" xfId="9163" xr:uid="{00000000-0005-0000-0000-0000CB230000}"/>
    <cellStyle name="Normal 2 2 10 4 4 7" xfId="9164" xr:uid="{00000000-0005-0000-0000-0000CC230000}"/>
    <cellStyle name="Normal 2 2 10 4 4 8" xfId="9165" xr:uid="{00000000-0005-0000-0000-0000CD230000}"/>
    <cellStyle name="Normal 2 2 10 4 4 9" xfId="9166" xr:uid="{00000000-0005-0000-0000-0000CE230000}"/>
    <cellStyle name="Normal 2 2 10 4 5" xfId="9167" xr:uid="{00000000-0005-0000-0000-0000CF230000}"/>
    <cellStyle name="Normal 2 2 10 4 5 10" xfId="9168" xr:uid="{00000000-0005-0000-0000-0000D0230000}"/>
    <cellStyle name="Normal 2 2 10 4 5 2" xfId="9169" xr:uid="{00000000-0005-0000-0000-0000D1230000}"/>
    <cellStyle name="Normal 2 2 10 4 5 3" xfId="9170" xr:uid="{00000000-0005-0000-0000-0000D2230000}"/>
    <cellStyle name="Normal 2 2 10 4 5 4" xfId="9171" xr:uid="{00000000-0005-0000-0000-0000D3230000}"/>
    <cellStyle name="Normal 2 2 10 4 5 5" xfId="9172" xr:uid="{00000000-0005-0000-0000-0000D4230000}"/>
    <cellStyle name="Normal 2 2 10 4 5 6" xfId="9173" xr:uid="{00000000-0005-0000-0000-0000D5230000}"/>
    <cellStyle name="Normal 2 2 10 4 5 7" xfId="9174" xr:uid="{00000000-0005-0000-0000-0000D6230000}"/>
    <cellStyle name="Normal 2 2 10 4 5 8" xfId="9175" xr:uid="{00000000-0005-0000-0000-0000D7230000}"/>
    <cellStyle name="Normal 2 2 10 4 5 9" xfId="9176" xr:uid="{00000000-0005-0000-0000-0000D8230000}"/>
    <cellStyle name="Normal 2 2 10 4 6" xfId="9177" xr:uid="{00000000-0005-0000-0000-0000D9230000}"/>
    <cellStyle name="Normal 2 2 10 4 7" xfId="9178" xr:uid="{00000000-0005-0000-0000-0000DA230000}"/>
    <cellStyle name="Normal 2 2 10 4 8" xfId="9179" xr:uid="{00000000-0005-0000-0000-0000DB230000}"/>
    <cellStyle name="Normal 2 2 10 4 9" xfId="9180" xr:uid="{00000000-0005-0000-0000-0000DC230000}"/>
    <cellStyle name="Normal 2 2 10 40" xfId="9181" xr:uid="{00000000-0005-0000-0000-0000DD230000}"/>
    <cellStyle name="Normal 2 2 10 41" xfId="9182" xr:uid="{00000000-0005-0000-0000-0000DE230000}"/>
    <cellStyle name="Normal 2 2 10 42" xfId="9183" xr:uid="{00000000-0005-0000-0000-0000DF230000}"/>
    <cellStyle name="Normal 2 2 10 43" xfId="9184" xr:uid="{00000000-0005-0000-0000-0000E0230000}"/>
    <cellStyle name="Normal 2 2 10 44" xfId="9185" xr:uid="{00000000-0005-0000-0000-0000E1230000}"/>
    <cellStyle name="Normal 2 2 10 45" xfId="9186" xr:uid="{00000000-0005-0000-0000-0000E2230000}"/>
    <cellStyle name="Normal 2 2 10 46" xfId="9187" xr:uid="{00000000-0005-0000-0000-0000E3230000}"/>
    <cellStyle name="Normal 2 2 10 47" xfId="9188" xr:uid="{00000000-0005-0000-0000-0000E4230000}"/>
    <cellStyle name="Normal 2 2 10 5" xfId="9189" xr:uid="{00000000-0005-0000-0000-0000E5230000}"/>
    <cellStyle name="Normal 2 2 10 5 10" xfId="9190" xr:uid="{00000000-0005-0000-0000-0000E6230000}"/>
    <cellStyle name="Normal 2 2 10 5 11" xfId="9191" xr:uid="{00000000-0005-0000-0000-0000E7230000}"/>
    <cellStyle name="Normal 2 2 10 5 12" xfId="9192" xr:uid="{00000000-0005-0000-0000-0000E8230000}"/>
    <cellStyle name="Normal 2 2 10 5 13" xfId="9193" xr:uid="{00000000-0005-0000-0000-0000E9230000}"/>
    <cellStyle name="Normal 2 2 10 5 14" xfId="9194" xr:uid="{00000000-0005-0000-0000-0000EA230000}"/>
    <cellStyle name="Normal 2 2 10 5 2" xfId="9195" xr:uid="{00000000-0005-0000-0000-0000EB230000}"/>
    <cellStyle name="Normal 2 2 10 5 2 10" xfId="9196" xr:uid="{00000000-0005-0000-0000-0000EC230000}"/>
    <cellStyle name="Normal 2 2 10 5 2 2" xfId="9197" xr:uid="{00000000-0005-0000-0000-0000ED230000}"/>
    <cellStyle name="Normal 2 2 10 5 2 3" xfId="9198" xr:uid="{00000000-0005-0000-0000-0000EE230000}"/>
    <cellStyle name="Normal 2 2 10 5 2 4" xfId="9199" xr:uid="{00000000-0005-0000-0000-0000EF230000}"/>
    <cellStyle name="Normal 2 2 10 5 2 5" xfId="9200" xr:uid="{00000000-0005-0000-0000-0000F0230000}"/>
    <cellStyle name="Normal 2 2 10 5 2 6" xfId="9201" xr:uid="{00000000-0005-0000-0000-0000F1230000}"/>
    <cellStyle name="Normal 2 2 10 5 2 7" xfId="9202" xr:uid="{00000000-0005-0000-0000-0000F2230000}"/>
    <cellStyle name="Normal 2 2 10 5 2 8" xfId="9203" xr:uid="{00000000-0005-0000-0000-0000F3230000}"/>
    <cellStyle name="Normal 2 2 10 5 2 9" xfId="9204" xr:uid="{00000000-0005-0000-0000-0000F4230000}"/>
    <cellStyle name="Normal 2 2 10 5 3" xfId="9205" xr:uid="{00000000-0005-0000-0000-0000F5230000}"/>
    <cellStyle name="Normal 2 2 10 5 3 10" xfId="9206" xr:uid="{00000000-0005-0000-0000-0000F6230000}"/>
    <cellStyle name="Normal 2 2 10 5 3 2" xfId="9207" xr:uid="{00000000-0005-0000-0000-0000F7230000}"/>
    <cellStyle name="Normal 2 2 10 5 3 3" xfId="9208" xr:uid="{00000000-0005-0000-0000-0000F8230000}"/>
    <cellStyle name="Normal 2 2 10 5 3 4" xfId="9209" xr:uid="{00000000-0005-0000-0000-0000F9230000}"/>
    <cellStyle name="Normal 2 2 10 5 3 5" xfId="9210" xr:uid="{00000000-0005-0000-0000-0000FA230000}"/>
    <cellStyle name="Normal 2 2 10 5 3 6" xfId="9211" xr:uid="{00000000-0005-0000-0000-0000FB230000}"/>
    <cellStyle name="Normal 2 2 10 5 3 7" xfId="9212" xr:uid="{00000000-0005-0000-0000-0000FC230000}"/>
    <cellStyle name="Normal 2 2 10 5 3 8" xfId="9213" xr:uid="{00000000-0005-0000-0000-0000FD230000}"/>
    <cellStyle name="Normal 2 2 10 5 3 9" xfId="9214" xr:uid="{00000000-0005-0000-0000-0000FE230000}"/>
    <cellStyle name="Normal 2 2 10 5 4" xfId="9215" xr:uid="{00000000-0005-0000-0000-0000FF230000}"/>
    <cellStyle name="Normal 2 2 10 5 4 10" xfId="9216" xr:uid="{00000000-0005-0000-0000-000000240000}"/>
    <cellStyle name="Normal 2 2 10 5 4 2" xfId="9217" xr:uid="{00000000-0005-0000-0000-000001240000}"/>
    <cellStyle name="Normal 2 2 10 5 4 3" xfId="9218" xr:uid="{00000000-0005-0000-0000-000002240000}"/>
    <cellStyle name="Normal 2 2 10 5 4 4" xfId="9219" xr:uid="{00000000-0005-0000-0000-000003240000}"/>
    <cellStyle name="Normal 2 2 10 5 4 5" xfId="9220" xr:uid="{00000000-0005-0000-0000-000004240000}"/>
    <cellStyle name="Normal 2 2 10 5 4 6" xfId="9221" xr:uid="{00000000-0005-0000-0000-000005240000}"/>
    <cellStyle name="Normal 2 2 10 5 4 7" xfId="9222" xr:uid="{00000000-0005-0000-0000-000006240000}"/>
    <cellStyle name="Normal 2 2 10 5 4 8" xfId="9223" xr:uid="{00000000-0005-0000-0000-000007240000}"/>
    <cellStyle name="Normal 2 2 10 5 4 9" xfId="9224" xr:uid="{00000000-0005-0000-0000-000008240000}"/>
    <cellStyle name="Normal 2 2 10 5 5" xfId="9225" xr:uid="{00000000-0005-0000-0000-000009240000}"/>
    <cellStyle name="Normal 2 2 10 5 5 10" xfId="9226" xr:uid="{00000000-0005-0000-0000-00000A240000}"/>
    <cellStyle name="Normal 2 2 10 5 5 2" xfId="9227" xr:uid="{00000000-0005-0000-0000-00000B240000}"/>
    <cellStyle name="Normal 2 2 10 5 5 3" xfId="9228" xr:uid="{00000000-0005-0000-0000-00000C240000}"/>
    <cellStyle name="Normal 2 2 10 5 5 4" xfId="9229" xr:uid="{00000000-0005-0000-0000-00000D240000}"/>
    <cellStyle name="Normal 2 2 10 5 5 5" xfId="9230" xr:uid="{00000000-0005-0000-0000-00000E240000}"/>
    <cellStyle name="Normal 2 2 10 5 5 6" xfId="9231" xr:uid="{00000000-0005-0000-0000-00000F240000}"/>
    <cellStyle name="Normal 2 2 10 5 5 7" xfId="9232" xr:uid="{00000000-0005-0000-0000-000010240000}"/>
    <cellStyle name="Normal 2 2 10 5 5 8" xfId="9233" xr:uid="{00000000-0005-0000-0000-000011240000}"/>
    <cellStyle name="Normal 2 2 10 5 5 9" xfId="9234" xr:uid="{00000000-0005-0000-0000-000012240000}"/>
    <cellStyle name="Normal 2 2 10 5 6" xfId="9235" xr:uid="{00000000-0005-0000-0000-000013240000}"/>
    <cellStyle name="Normal 2 2 10 5 7" xfId="9236" xr:uid="{00000000-0005-0000-0000-000014240000}"/>
    <cellStyle name="Normal 2 2 10 5 8" xfId="9237" xr:uid="{00000000-0005-0000-0000-000015240000}"/>
    <cellStyle name="Normal 2 2 10 5 9" xfId="9238" xr:uid="{00000000-0005-0000-0000-000016240000}"/>
    <cellStyle name="Normal 2 2 10 6" xfId="9239" xr:uid="{00000000-0005-0000-0000-000017240000}"/>
    <cellStyle name="Normal 2 2 10 6 10" xfId="9240" xr:uid="{00000000-0005-0000-0000-000018240000}"/>
    <cellStyle name="Normal 2 2 10 6 11" xfId="9241" xr:uid="{00000000-0005-0000-0000-000019240000}"/>
    <cellStyle name="Normal 2 2 10 6 12" xfId="9242" xr:uid="{00000000-0005-0000-0000-00001A240000}"/>
    <cellStyle name="Normal 2 2 10 6 13" xfId="9243" xr:uid="{00000000-0005-0000-0000-00001B240000}"/>
    <cellStyle name="Normal 2 2 10 6 14" xfId="9244" xr:uid="{00000000-0005-0000-0000-00001C240000}"/>
    <cellStyle name="Normal 2 2 10 6 2" xfId="9245" xr:uid="{00000000-0005-0000-0000-00001D240000}"/>
    <cellStyle name="Normal 2 2 10 6 2 10" xfId="9246" xr:uid="{00000000-0005-0000-0000-00001E240000}"/>
    <cellStyle name="Normal 2 2 10 6 2 2" xfId="9247" xr:uid="{00000000-0005-0000-0000-00001F240000}"/>
    <cellStyle name="Normal 2 2 10 6 2 3" xfId="9248" xr:uid="{00000000-0005-0000-0000-000020240000}"/>
    <cellStyle name="Normal 2 2 10 6 2 4" xfId="9249" xr:uid="{00000000-0005-0000-0000-000021240000}"/>
    <cellStyle name="Normal 2 2 10 6 2 5" xfId="9250" xr:uid="{00000000-0005-0000-0000-000022240000}"/>
    <cellStyle name="Normal 2 2 10 6 2 6" xfId="9251" xr:uid="{00000000-0005-0000-0000-000023240000}"/>
    <cellStyle name="Normal 2 2 10 6 2 7" xfId="9252" xr:uid="{00000000-0005-0000-0000-000024240000}"/>
    <cellStyle name="Normal 2 2 10 6 2 8" xfId="9253" xr:uid="{00000000-0005-0000-0000-000025240000}"/>
    <cellStyle name="Normal 2 2 10 6 2 9" xfId="9254" xr:uid="{00000000-0005-0000-0000-000026240000}"/>
    <cellStyle name="Normal 2 2 10 6 3" xfId="9255" xr:uid="{00000000-0005-0000-0000-000027240000}"/>
    <cellStyle name="Normal 2 2 10 6 3 10" xfId="9256" xr:uid="{00000000-0005-0000-0000-000028240000}"/>
    <cellStyle name="Normal 2 2 10 6 3 2" xfId="9257" xr:uid="{00000000-0005-0000-0000-000029240000}"/>
    <cellStyle name="Normal 2 2 10 6 3 3" xfId="9258" xr:uid="{00000000-0005-0000-0000-00002A240000}"/>
    <cellStyle name="Normal 2 2 10 6 3 4" xfId="9259" xr:uid="{00000000-0005-0000-0000-00002B240000}"/>
    <cellStyle name="Normal 2 2 10 6 3 5" xfId="9260" xr:uid="{00000000-0005-0000-0000-00002C240000}"/>
    <cellStyle name="Normal 2 2 10 6 3 6" xfId="9261" xr:uid="{00000000-0005-0000-0000-00002D240000}"/>
    <cellStyle name="Normal 2 2 10 6 3 7" xfId="9262" xr:uid="{00000000-0005-0000-0000-00002E240000}"/>
    <cellStyle name="Normal 2 2 10 6 3 8" xfId="9263" xr:uid="{00000000-0005-0000-0000-00002F240000}"/>
    <cellStyle name="Normal 2 2 10 6 3 9" xfId="9264" xr:uid="{00000000-0005-0000-0000-000030240000}"/>
    <cellStyle name="Normal 2 2 10 6 4" xfId="9265" xr:uid="{00000000-0005-0000-0000-000031240000}"/>
    <cellStyle name="Normal 2 2 10 6 4 10" xfId="9266" xr:uid="{00000000-0005-0000-0000-000032240000}"/>
    <cellStyle name="Normal 2 2 10 6 4 2" xfId="9267" xr:uid="{00000000-0005-0000-0000-000033240000}"/>
    <cellStyle name="Normal 2 2 10 6 4 3" xfId="9268" xr:uid="{00000000-0005-0000-0000-000034240000}"/>
    <cellStyle name="Normal 2 2 10 6 4 4" xfId="9269" xr:uid="{00000000-0005-0000-0000-000035240000}"/>
    <cellStyle name="Normal 2 2 10 6 4 5" xfId="9270" xr:uid="{00000000-0005-0000-0000-000036240000}"/>
    <cellStyle name="Normal 2 2 10 6 4 6" xfId="9271" xr:uid="{00000000-0005-0000-0000-000037240000}"/>
    <cellStyle name="Normal 2 2 10 6 4 7" xfId="9272" xr:uid="{00000000-0005-0000-0000-000038240000}"/>
    <cellStyle name="Normal 2 2 10 6 4 8" xfId="9273" xr:uid="{00000000-0005-0000-0000-000039240000}"/>
    <cellStyle name="Normal 2 2 10 6 4 9" xfId="9274" xr:uid="{00000000-0005-0000-0000-00003A240000}"/>
    <cellStyle name="Normal 2 2 10 6 5" xfId="9275" xr:uid="{00000000-0005-0000-0000-00003B240000}"/>
    <cellStyle name="Normal 2 2 10 6 5 10" xfId="9276" xr:uid="{00000000-0005-0000-0000-00003C240000}"/>
    <cellStyle name="Normal 2 2 10 6 5 2" xfId="9277" xr:uid="{00000000-0005-0000-0000-00003D240000}"/>
    <cellStyle name="Normal 2 2 10 6 5 3" xfId="9278" xr:uid="{00000000-0005-0000-0000-00003E240000}"/>
    <cellStyle name="Normal 2 2 10 6 5 4" xfId="9279" xr:uid="{00000000-0005-0000-0000-00003F240000}"/>
    <cellStyle name="Normal 2 2 10 6 5 5" xfId="9280" xr:uid="{00000000-0005-0000-0000-000040240000}"/>
    <cellStyle name="Normal 2 2 10 6 5 6" xfId="9281" xr:uid="{00000000-0005-0000-0000-000041240000}"/>
    <cellStyle name="Normal 2 2 10 6 5 7" xfId="9282" xr:uid="{00000000-0005-0000-0000-000042240000}"/>
    <cellStyle name="Normal 2 2 10 6 5 8" xfId="9283" xr:uid="{00000000-0005-0000-0000-000043240000}"/>
    <cellStyle name="Normal 2 2 10 6 5 9" xfId="9284" xr:uid="{00000000-0005-0000-0000-000044240000}"/>
    <cellStyle name="Normal 2 2 10 6 6" xfId="9285" xr:uid="{00000000-0005-0000-0000-000045240000}"/>
    <cellStyle name="Normal 2 2 10 6 7" xfId="9286" xr:uid="{00000000-0005-0000-0000-000046240000}"/>
    <cellStyle name="Normal 2 2 10 6 8" xfId="9287" xr:uid="{00000000-0005-0000-0000-000047240000}"/>
    <cellStyle name="Normal 2 2 10 6 9" xfId="9288" xr:uid="{00000000-0005-0000-0000-000048240000}"/>
    <cellStyle name="Normal 2 2 10 7" xfId="9289" xr:uid="{00000000-0005-0000-0000-000049240000}"/>
    <cellStyle name="Normal 2 2 10 7 10" xfId="9290" xr:uid="{00000000-0005-0000-0000-00004A240000}"/>
    <cellStyle name="Normal 2 2 10 7 11" xfId="9291" xr:uid="{00000000-0005-0000-0000-00004B240000}"/>
    <cellStyle name="Normal 2 2 10 7 12" xfId="9292" xr:uid="{00000000-0005-0000-0000-00004C240000}"/>
    <cellStyle name="Normal 2 2 10 7 13" xfId="9293" xr:uid="{00000000-0005-0000-0000-00004D240000}"/>
    <cellStyle name="Normal 2 2 10 7 14" xfId="9294" xr:uid="{00000000-0005-0000-0000-00004E240000}"/>
    <cellStyle name="Normal 2 2 10 7 2" xfId="9295" xr:uid="{00000000-0005-0000-0000-00004F240000}"/>
    <cellStyle name="Normal 2 2 10 7 2 10" xfId="9296" xr:uid="{00000000-0005-0000-0000-000050240000}"/>
    <cellStyle name="Normal 2 2 10 7 2 2" xfId="9297" xr:uid="{00000000-0005-0000-0000-000051240000}"/>
    <cellStyle name="Normal 2 2 10 7 2 3" xfId="9298" xr:uid="{00000000-0005-0000-0000-000052240000}"/>
    <cellStyle name="Normal 2 2 10 7 2 4" xfId="9299" xr:uid="{00000000-0005-0000-0000-000053240000}"/>
    <cellStyle name="Normal 2 2 10 7 2 5" xfId="9300" xr:uid="{00000000-0005-0000-0000-000054240000}"/>
    <cellStyle name="Normal 2 2 10 7 2 6" xfId="9301" xr:uid="{00000000-0005-0000-0000-000055240000}"/>
    <cellStyle name="Normal 2 2 10 7 2 7" xfId="9302" xr:uid="{00000000-0005-0000-0000-000056240000}"/>
    <cellStyle name="Normal 2 2 10 7 2 8" xfId="9303" xr:uid="{00000000-0005-0000-0000-000057240000}"/>
    <cellStyle name="Normal 2 2 10 7 2 9" xfId="9304" xr:uid="{00000000-0005-0000-0000-000058240000}"/>
    <cellStyle name="Normal 2 2 10 7 3" xfId="9305" xr:uid="{00000000-0005-0000-0000-000059240000}"/>
    <cellStyle name="Normal 2 2 10 7 3 10" xfId="9306" xr:uid="{00000000-0005-0000-0000-00005A240000}"/>
    <cellStyle name="Normal 2 2 10 7 3 2" xfId="9307" xr:uid="{00000000-0005-0000-0000-00005B240000}"/>
    <cellStyle name="Normal 2 2 10 7 3 3" xfId="9308" xr:uid="{00000000-0005-0000-0000-00005C240000}"/>
    <cellStyle name="Normal 2 2 10 7 3 4" xfId="9309" xr:uid="{00000000-0005-0000-0000-00005D240000}"/>
    <cellStyle name="Normal 2 2 10 7 3 5" xfId="9310" xr:uid="{00000000-0005-0000-0000-00005E240000}"/>
    <cellStyle name="Normal 2 2 10 7 3 6" xfId="9311" xr:uid="{00000000-0005-0000-0000-00005F240000}"/>
    <cellStyle name="Normal 2 2 10 7 3 7" xfId="9312" xr:uid="{00000000-0005-0000-0000-000060240000}"/>
    <cellStyle name="Normal 2 2 10 7 3 8" xfId="9313" xr:uid="{00000000-0005-0000-0000-000061240000}"/>
    <cellStyle name="Normal 2 2 10 7 3 9" xfId="9314" xr:uid="{00000000-0005-0000-0000-000062240000}"/>
    <cellStyle name="Normal 2 2 10 7 4" xfId="9315" xr:uid="{00000000-0005-0000-0000-000063240000}"/>
    <cellStyle name="Normal 2 2 10 7 4 10" xfId="9316" xr:uid="{00000000-0005-0000-0000-000064240000}"/>
    <cellStyle name="Normal 2 2 10 7 4 2" xfId="9317" xr:uid="{00000000-0005-0000-0000-000065240000}"/>
    <cellStyle name="Normal 2 2 10 7 4 3" xfId="9318" xr:uid="{00000000-0005-0000-0000-000066240000}"/>
    <cellStyle name="Normal 2 2 10 7 4 4" xfId="9319" xr:uid="{00000000-0005-0000-0000-000067240000}"/>
    <cellStyle name="Normal 2 2 10 7 4 5" xfId="9320" xr:uid="{00000000-0005-0000-0000-000068240000}"/>
    <cellStyle name="Normal 2 2 10 7 4 6" xfId="9321" xr:uid="{00000000-0005-0000-0000-000069240000}"/>
    <cellStyle name="Normal 2 2 10 7 4 7" xfId="9322" xr:uid="{00000000-0005-0000-0000-00006A240000}"/>
    <cellStyle name="Normal 2 2 10 7 4 8" xfId="9323" xr:uid="{00000000-0005-0000-0000-00006B240000}"/>
    <cellStyle name="Normal 2 2 10 7 4 9" xfId="9324" xr:uid="{00000000-0005-0000-0000-00006C240000}"/>
    <cellStyle name="Normal 2 2 10 7 5" xfId="9325" xr:uid="{00000000-0005-0000-0000-00006D240000}"/>
    <cellStyle name="Normal 2 2 10 7 5 10" xfId="9326" xr:uid="{00000000-0005-0000-0000-00006E240000}"/>
    <cellStyle name="Normal 2 2 10 7 5 2" xfId="9327" xr:uid="{00000000-0005-0000-0000-00006F240000}"/>
    <cellStyle name="Normal 2 2 10 7 5 3" xfId="9328" xr:uid="{00000000-0005-0000-0000-000070240000}"/>
    <cellStyle name="Normal 2 2 10 7 5 4" xfId="9329" xr:uid="{00000000-0005-0000-0000-000071240000}"/>
    <cellStyle name="Normal 2 2 10 7 5 5" xfId="9330" xr:uid="{00000000-0005-0000-0000-000072240000}"/>
    <cellStyle name="Normal 2 2 10 7 5 6" xfId="9331" xr:uid="{00000000-0005-0000-0000-000073240000}"/>
    <cellStyle name="Normal 2 2 10 7 5 7" xfId="9332" xr:uid="{00000000-0005-0000-0000-000074240000}"/>
    <cellStyle name="Normal 2 2 10 7 5 8" xfId="9333" xr:uid="{00000000-0005-0000-0000-000075240000}"/>
    <cellStyle name="Normal 2 2 10 7 5 9" xfId="9334" xr:uid="{00000000-0005-0000-0000-000076240000}"/>
    <cellStyle name="Normal 2 2 10 7 6" xfId="9335" xr:uid="{00000000-0005-0000-0000-000077240000}"/>
    <cellStyle name="Normal 2 2 10 7 7" xfId="9336" xr:uid="{00000000-0005-0000-0000-000078240000}"/>
    <cellStyle name="Normal 2 2 10 7 8" xfId="9337" xr:uid="{00000000-0005-0000-0000-000079240000}"/>
    <cellStyle name="Normal 2 2 10 7 9" xfId="9338" xr:uid="{00000000-0005-0000-0000-00007A240000}"/>
    <cellStyle name="Normal 2 2 10 8" xfId="9339" xr:uid="{00000000-0005-0000-0000-00007B240000}"/>
    <cellStyle name="Normal 2 2 10 8 10" xfId="9340" xr:uid="{00000000-0005-0000-0000-00007C240000}"/>
    <cellStyle name="Normal 2 2 10 8 11" xfId="9341" xr:uid="{00000000-0005-0000-0000-00007D240000}"/>
    <cellStyle name="Normal 2 2 10 8 12" xfId="9342" xr:uid="{00000000-0005-0000-0000-00007E240000}"/>
    <cellStyle name="Normal 2 2 10 8 13" xfId="9343" xr:uid="{00000000-0005-0000-0000-00007F240000}"/>
    <cellStyle name="Normal 2 2 10 8 14" xfId="9344" xr:uid="{00000000-0005-0000-0000-000080240000}"/>
    <cellStyle name="Normal 2 2 10 8 2" xfId="9345" xr:uid="{00000000-0005-0000-0000-000081240000}"/>
    <cellStyle name="Normal 2 2 10 8 2 10" xfId="9346" xr:uid="{00000000-0005-0000-0000-000082240000}"/>
    <cellStyle name="Normal 2 2 10 8 2 2" xfId="9347" xr:uid="{00000000-0005-0000-0000-000083240000}"/>
    <cellStyle name="Normal 2 2 10 8 2 3" xfId="9348" xr:uid="{00000000-0005-0000-0000-000084240000}"/>
    <cellStyle name="Normal 2 2 10 8 2 4" xfId="9349" xr:uid="{00000000-0005-0000-0000-000085240000}"/>
    <cellStyle name="Normal 2 2 10 8 2 5" xfId="9350" xr:uid="{00000000-0005-0000-0000-000086240000}"/>
    <cellStyle name="Normal 2 2 10 8 2 6" xfId="9351" xr:uid="{00000000-0005-0000-0000-000087240000}"/>
    <cellStyle name="Normal 2 2 10 8 2 7" xfId="9352" xr:uid="{00000000-0005-0000-0000-000088240000}"/>
    <cellStyle name="Normal 2 2 10 8 2 8" xfId="9353" xr:uid="{00000000-0005-0000-0000-000089240000}"/>
    <cellStyle name="Normal 2 2 10 8 2 9" xfId="9354" xr:uid="{00000000-0005-0000-0000-00008A240000}"/>
    <cellStyle name="Normal 2 2 10 8 3" xfId="9355" xr:uid="{00000000-0005-0000-0000-00008B240000}"/>
    <cellStyle name="Normal 2 2 10 8 3 10" xfId="9356" xr:uid="{00000000-0005-0000-0000-00008C240000}"/>
    <cellStyle name="Normal 2 2 10 8 3 2" xfId="9357" xr:uid="{00000000-0005-0000-0000-00008D240000}"/>
    <cellStyle name="Normal 2 2 10 8 3 3" xfId="9358" xr:uid="{00000000-0005-0000-0000-00008E240000}"/>
    <cellStyle name="Normal 2 2 10 8 3 4" xfId="9359" xr:uid="{00000000-0005-0000-0000-00008F240000}"/>
    <cellStyle name="Normal 2 2 10 8 3 5" xfId="9360" xr:uid="{00000000-0005-0000-0000-000090240000}"/>
    <cellStyle name="Normal 2 2 10 8 3 6" xfId="9361" xr:uid="{00000000-0005-0000-0000-000091240000}"/>
    <cellStyle name="Normal 2 2 10 8 3 7" xfId="9362" xr:uid="{00000000-0005-0000-0000-000092240000}"/>
    <cellStyle name="Normal 2 2 10 8 3 8" xfId="9363" xr:uid="{00000000-0005-0000-0000-000093240000}"/>
    <cellStyle name="Normal 2 2 10 8 3 9" xfId="9364" xr:uid="{00000000-0005-0000-0000-000094240000}"/>
    <cellStyle name="Normal 2 2 10 8 4" xfId="9365" xr:uid="{00000000-0005-0000-0000-000095240000}"/>
    <cellStyle name="Normal 2 2 10 8 4 10" xfId="9366" xr:uid="{00000000-0005-0000-0000-000096240000}"/>
    <cellStyle name="Normal 2 2 10 8 4 2" xfId="9367" xr:uid="{00000000-0005-0000-0000-000097240000}"/>
    <cellStyle name="Normal 2 2 10 8 4 3" xfId="9368" xr:uid="{00000000-0005-0000-0000-000098240000}"/>
    <cellStyle name="Normal 2 2 10 8 4 4" xfId="9369" xr:uid="{00000000-0005-0000-0000-000099240000}"/>
    <cellStyle name="Normal 2 2 10 8 4 5" xfId="9370" xr:uid="{00000000-0005-0000-0000-00009A240000}"/>
    <cellStyle name="Normal 2 2 10 8 4 6" xfId="9371" xr:uid="{00000000-0005-0000-0000-00009B240000}"/>
    <cellStyle name="Normal 2 2 10 8 4 7" xfId="9372" xr:uid="{00000000-0005-0000-0000-00009C240000}"/>
    <cellStyle name="Normal 2 2 10 8 4 8" xfId="9373" xr:uid="{00000000-0005-0000-0000-00009D240000}"/>
    <cellStyle name="Normal 2 2 10 8 4 9" xfId="9374" xr:uid="{00000000-0005-0000-0000-00009E240000}"/>
    <cellStyle name="Normal 2 2 10 8 5" xfId="9375" xr:uid="{00000000-0005-0000-0000-00009F240000}"/>
    <cellStyle name="Normal 2 2 10 8 5 10" xfId="9376" xr:uid="{00000000-0005-0000-0000-0000A0240000}"/>
    <cellStyle name="Normal 2 2 10 8 5 2" xfId="9377" xr:uid="{00000000-0005-0000-0000-0000A1240000}"/>
    <cellStyle name="Normal 2 2 10 8 5 3" xfId="9378" xr:uid="{00000000-0005-0000-0000-0000A2240000}"/>
    <cellStyle name="Normal 2 2 10 8 5 4" xfId="9379" xr:uid="{00000000-0005-0000-0000-0000A3240000}"/>
    <cellStyle name="Normal 2 2 10 8 5 5" xfId="9380" xr:uid="{00000000-0005-0000-0000-0000A4240000}"/>
    <cellStyle name="Normal 2 2 10 8 5 6" xfId="9381" xr:uid="{00000000-0005-0000-0000-0000A5240000}"/>
    <cellStyle name="Normal 2 2 10 8 5 7" xfId="9382" xr:uid="{00000000-0005-0000-0000-0000A6240000}"/>
    <cellStyle name="Normal 2 2 10 8 5 8" xfId="9383" xr:uid="{00000000-0005-0000-0000-0000A7240000}"/>
    <cellStyle name="Normal 2 2 10 8 5 9" xfId="9384" xr:uid="{00000000-0005-0000-0000-0000A8240000}"/>
    <cellStyle name="Normal 2 2 10 8 6" xfId="9385" xr:uid="{00000000-0005-0000-0000-0000A9240000}"/>
    <cellStyle name="Normal 2 2 10 8 7" xfId="9386" xr:uid="{00000000-0005-0000-0000-0000AA240000}"/>
    <cellStyle name="Normal 2 2 10 8 8" xfId="9387" xr:uid="{00000000-0005-0000-0000-0000AB240000}"/>
    <cellStyle name="Normal 2 2 10 8 9" xfId="9388" xr:uid="{00000000-0005-0000-0000-0000AC240000}"/>
    <cellStyle name="Normal 2 2 10 9" xfId="9389" xr:uid="{00000000-0005-0000-0000-0000AD240000}"/>
    <cellStyle name="Normal 2 2 10 9 10" xfId="9390" xr:uid="{00000000-0005-0000-0000-0000AE240000}"/>
    <cellStyle name="Normal 2 2 10 9 11" xfId="9391" xr:uid="{00000000-0005-0000-0000-0000AF240000}"/>
    <cellStyle name="Normal 2 2 10 9 12" xfId="9392" xr:uid="{00000000-0005-0000-0000-0000B0240000}"/>
    <cellStyle name="Normal 2 2 10 9 13" xfId="9393" xr:uid="{00000000-0005-0000-0000-0000B1240000}"/>
    <cellStyle name="Normal 2 2 10 9 14" xfId="9394" xr:uid="{00000000-0005-0000-0000-0000B2240000}"/>
    <cellStyle name="Normal 2 2 10 9 2" xfId="9395" xr:uid="{00000000-0005-0000-0000-0000B3240000}"/>
    <cellStyle name="Normal 2 2 10 9 2 10" xfId="9396" xr:uid="{00000000-0005-0000-0000-0000B4240000}"/>
    <cellStyle name="Normal 2 2 10 9 2 2" xfId="9397" xr:uid="{00000000-0005-0000-0000-0000B5240000}"/>
    <cellStyle name="Normal 2 2 10 9 2 3" xfId="9398" xr:uid="{00000000-0005-0000-0000-0000B6240000}"/>
    <cellStyle name="Normal 2 2 10 9 2 4" xfId="9399" xr:uid="{00000000-0005-0000-0000-0000B7240000}"/>
    <cellStyle name="Normal 2 2 10 9 2 5" xfId="9400" xr:uid="{00000000-0005-0000-0000-0000B8240000}"/>
    <cellStyle name="Normal 2 2 10 9 2 6" xfId="9401" xr:uid="{00000000-0005-0000-0000-0000B9240000}"/>
    <cellStyle name="Normal 2 2 10 9 2 7" xfId="9402" xr:uid="{00000000-0005-0000-0000-0000BA240000}"/>
    <cellStyle name="Normal 2 2 10 9 2 8" xfId="9403" xr:uid="{00000000-0005-0000-0000-0000BB240000}"/>
    <cellStyle name="Normal 2 2 10 9 2 9" xfId="9404" xr:uid="{00000000-0005-0000-0000-0000BC240000}"/>
    <cellStyle name="Normal 2 2 10 9 3" xfId="9405" xr:uid="{00000000-0005-0000-0000-0000BD240000}"/>
    <cellStyle name="Normal 2 2 10 9 3 10" xfId="9406" xr:uid="{00000000-0005-0000-0000-0000BE240000}"/>
    <cellStyle name="Normal 2 2 10 9 3 2" xfId="9407" xr:uid="{00000000-0005-0000-0000-0000BF240000}"/>
    <cellStyle name="Normal 2 2 10 9 3 3" xfId="9408" xr:uid="{00000000-0005-0000-0000-0000C0240000}"/>
    <cellStyle name="Normal 2 2 10 9 3 4" xfId="9409" xr:uid="{00000000-0005-0000-0000-0000C1240000}"/>
    <cellStyle name="Normal 2 2 10 9 3 5" xfId="9410" xr:uid="{00000000-0005-0000-0000-0000C2240000}"/>
    <cellStyle name="Normal 2 2 10 9 3 6" xfId="9411" xr:uid="{00000000-0005-0000-0000-0000C3240000}"/>
    <cellStyle name="Normal 2 2 10 9 3 7" xfId="9412" xr:uid="{00000000-0005-0000-0000-0000C4240000}"/>
    <cellStyle name="Normal 2 2 10 9 3 8" xfId="9413" xr:uid="{00000000-0005-0000-0000-0000C5240000}"/>
    <cellStyle name="Normal 2 2 10 9 3 9" xfId="9414" xr:uid="{00000000-0005-0000-0000-0000C6240000}"/>
    <cellStyle name="Normal 2 2 10 9 4" xfId="9415" xr:uid="{00000000-0005-0000-0000-0000C7240000}"/>
    <cellStyle name="Normal 2 2 10 9 4 10" xfId="9416" xr:uid="{00000000-0005-0000-0000-0000C8240000}"/>
    <cellStyle name="Normal 2 2 10 9 4 2" xfId="9417" xr:uid="{00000000-0005-0000-0000-0000C9240000}"/>
    <cellStyle name="Normal 2 2 10 9 4 3" xfId="9418" xr:uid="{00000000-0005-0000-0000-0000CA240000}"/>
    <cellStyle name="Normal 2 2 10 9 4 4" xfId="9419" xr:uid="{00000000-0005-0000-0000-0000CB240000}"/>
    <cellStyle name="Normal 2 2 10 9 4 5" xfId="9420" xr:uid="{00000000-0005-0000-0000-0000CC240000}"/>
    <cellStyle name="Normal 2 2 10 9 4 6" xfId="9421" xr:uid="{00000000-0005-0000-0000-0000CD240000}"/>
    <cellStyle name="Normal 2 2 10 9 4 7" xfId="9422" xr:uid="{00000000-0005-0000-0000-0000CE240000}"/>
    <cellStyle name="Normal 2 2 10 9 4 8" xfId="9423" xr:uid="{00000000-0005-0000-0000-0000CF240000}"/>
    <cellStyle name="Normal 2 2 10 9 4 9" xfId="9424" xr:uid="{00000000-0005-0000-0000-0000D0240000}"/>
    <cellStyle name="Normal 2 2 10 9 5" xfId="9425" xr:uid="{00000000-0005-0000-0000-0000D1240000}"/>
    <cellStyle name="Normal 2 2 10 9 5 10" xfId="9426" xr:uid="{00000000-0005-0000-0000-0000D2240000}"/>
    <cellStyle name="Normal 2 2 10 9 5 2" xfId="9427" xr:uid="{00000000-0005-0000-0000-0000D3240000}"/>
    <cellStyle name="Normal 2 2 10 9 5 3" xfId="9428" xr:uid="{00000000-0005-0000-0000-0000D4240000}"/>
    <cellStyle name="Normal 2 2 10 9 5 4" xfId="9429" xr:uid="{00000000-0005-0000-0000-0000D5240000}"/>
    <cellStyle name="Normal 2 2 10 9 5 5" xfId="9430" xr:uid="{00000000-0005-0000-0000-0000D6240000}"/>
    <cellStyle name="Normal 2 2 10 9 5 6" xfId="9431" xr:uid="{00000000-0005-0000-0000-0000D7240000}"/>
    <cellStyle name="Normal 2 2 10 9 5 7" xfId="9432" xr:uid="{00000000-0005-0000-0000-0000D8240000}"/>
    <cellStyle name="Normal 2 2 10 9 5 8" xfId="9433" xr:uid="{00000000-0005-0000-0000-0000D9240000}"/>
    <cellStyle name="Normal 2 2 10 9 5 9" xfId="9434" xr:uid="{00000000-0005-0000-0000-0000DA240000}"/>
    <cellStyle name="Normal 2 2 10 9 6" xfId="9435" xr:uid="{00000000-0005-0000-0000-0000DB240000}"/>
    <cellStyle name="Normal 2 2 10 9 7" xfId="9436" xr:uid="{00000000-0005-0000-0000-0000DC240000}"/>
    <cellStyle name="Normal 2 2 10 9 8" xfId="9437" xr:uid="{00000000-0005-0000-0000-0000DD240000}"/>
    <cellStyle name="Normal 2 2 10 9 9" xfId="9438" xr:uid="{00000000-0005-0000-0000-0000DE240000}"/>
    <cellStyle name="Normal 2 2 11" xfId="9439" xr:uid="{00000000-0005-0000-0000-0000DF240000}"/>
    <cellStyle name="Normal 2 2 12" xfId="9440" xr:uid="{00000000-0005-0000-0000-0000E0240000}"/>
    <cellStyle name="Normal 2 2 13" xfId="9441" xr:uid="{00000000-0005-0000-0000-0000E1240000}"/>
    <cellStyle name="Normal 2 2 14" xfId="9442" xr:uid="{00000000-0005-0000-0000-0000E2240000}"/>
    <cellStyle name="Normal 2 2 15" xfId="9443" xr:uid="{00000000-0005-0000-0000-0000E3240000}"/>
    <cellStyle name="Normal 2 2 16" xfId="9444" xr:uid="{00000000-0005-0000-0000-0000E4240000}"/>
    <cellStyle name="Normal 2 2 17" xfId="9445" xr:uid="{00000000-0005-0000-0000-0000E5240000}"/>
    <cellStyle name="Normal 2 2 18" xfId="9446" xr:uid="{00000000-0005-0000-0000-0000E6240000}"/>
    <cellStyle name="Normal 2 2 19" xfId="9447" xr:uid="{00000000-0005-0000-0000-0000E7240000}"/>
    <cellStyle name="Normal 2 2 2" xfId="13" xr:uid="{00000000-0005-0000-0000-00000D000000}"/>
    <cellStyle name="Normal 2 2 2 10" xfId="9448" xr:uid="{00000000-0005-0000-0000-0000E8240000}"/>
    <cellStyle name="Normal 2 2 2 10 10" xfId="9449" xr:uid="{00000000-0005-0000-0000-0000E9240000}"/>
    <cellStyle name="Normal 2 2 2 10 11" xfId="9450" xr:uid="{00000000-0005-0000-0000-0000EA240000}"/>
    <cellStyle name="Normal 2 2 2 10 12" xfId="9451" xr:uid="{00000000-0005-0000-0000-0000EB240000}"/>
    <cellStyle name="Normal 2 2 2 10 13" xfId="9452" xr:uid="{00000000-0005-0000-0000-0000EC240000}"/>
    <cellStyle name="Normal 2 2 2 10 14" xfId="9453" xr:uid="{00000000-0005-0000-0000-0000ED240000}"/>
    <cellStyle name="Normal 2 2 2 10 2" xfId="9454" xr:uid="{00000000-0005-0000-0000-0000EE240000}"/>
    <cellStyle name="Normal 2 2 2 10 2 10" xfId="9455" xr:uid="{00000000-0005-0000-0000-0000EF240000}"/>
    <cellStyle name="Normal 2 2 2 10 2 2" xfId="9456" xr:uid="{00000000-0005-0000-0000-0000F0240000}"/>
    <cellStyle name="Normal 2 2 2 10 2 3" xfId="9457" xr:uid="{00000000-0005-0000-0000-0000F1240000}"/>
    <cellStyle name="Normal 2 2 2 10 2 4" xfId="9458" xr:uid="{00000000-0005-0000-0000-0000F2240000}"/>
    <cellStyle name="Normal 2 2 2 10 2 5" xfId="9459" xr:uid="{00000000-0005-0000-0000-0000F3240000}"/>
    <cellStyle name="Normal 2 2 2 10 2 6" xfId="9460" xr:uid="{00000000-0005-0000-0000-0000F4240000}"/>
    <cellStyle name="Normal 2 2 2 10 2 7" xfId="9461" xr:uid="{00000000-0005-0000-0000-0000F5240000}"/>
    <cellStyle name="Normal 2 2 2 10 2 8" xfId="9462" xr:uid="{00000000-0005-0000-0000-0000F6240000}"/>
    <cellStyle name="Normal 2 2 2 10 2 9" xfId="9463" xr:uid="{00000000-0005-0000-0000-0000F7240000}"/>
    <cellStyle name="Normal 2 2 2 10 3" xfId="9464" xr:uid="{00000000-0005-0000-0000-0000F8240000}"/>
    <cellStyle name="Normal 2 2 2 10 3 10" xfId="9465" xr:uid="{00000000-0005-0000-0000-0000F9240000}"/>
    <cellStyle name="Normal 2 2 2 10 3 2" xfId="9466" xr:uid="{00000000-0005-0000-0000-0000FA240000}"/>
    <cellStyle name="Normal 2 2 2 10 3 3" xfId="9467" xr:uid="{00000000-0005-0000-0000-0000FB240000}"/>
    <cellStyle name="Normal 2 2 2 10 3 4" xfId="9468" xr:uid="{00000000-0005-0000-0000-0000FC240000}"/>
    <cellStyle name="Normal 2 2 2 10 3 5" xfId="9469" xr:uid="{00000000-0005-0000-0000-0000FD240000}"/>
    <cellStyle name="Normal 2 2 2 10 3 6" xfId="9470" xr:uid="{00000000-0005-0000-0000-0000FE240000}"/>
    <cellStyle name="Normal 2 2 2 10 3 7" xfId="9471" xr:uid="{00000000-0005-0000-0000-0000FF240000}"/>
    <cellStyle name="Normal 2 2 2 10 3 8" xfId="9472" xr:uid="{00000000-0005-0000-0000-000000250000}"/>
    <cellStyle name="Normal 2 2 2 10 3 9" xfId="9473" xr:uid="{00000000-0005-0000-0000-000001250000}"/>
    <cellStyle name="Normal 2 2 2 10 4" xfId="9474" xr:uid="{00000000-0005-0000-0000-000002250000}"/>
    <cellStyle name="Normal 2 2 2 10 4 10" xfId="9475" xr:uid="{00000000-0005-0000-0000-000003250000}"/>
    <cellStyle name="Normal 2 2 2 10 4 2" xfId="9476" xr:uid="{00000000-0005-0000-0000-000004250000}"/>
    <cellStyle name="Normal 2 2 2 10 4 3" xfId="9477" xr:uid="{00000000-0005-0000-0000-000005250000}"/>
    <cellStyle name="Normal 2 2 2 10 4 4" xfId="9478" xr:uid="{00000000-0005-0000-0000-000006250000}"/>
    <cellStyle name="Normal 2 2 2 10 4 5" xfId="9479" xr:uid="{00000000-0005-0000-0000-000007250000}"/>
    <cellStyle name="Normal 2 2 2 10 4 6" xfId="9480" xr:uid="{00000000-0005-0000-0000-000008250000}"/>
    <cellStyle name="Normal 2 2 2 10 4 7" xfId="9481" xr:uid="{00000000-0005-0000-0000-000009250000}"/>
    <cellStyle name="Normal 2 2 2 10 4 8" xfId="9482" xr:uid="{00000000-0005-0000-0000-00000A250000}"/>
    <cellStyle name="Normal 2 2 2 10 4 9" xfId="9483" xr:uid="{00000000-0005-0000-0000-00000B250000}"/>
    <cellStyle name="Normal 2 2 2 10 5" xfId="9484" xr:uid="{00000000-0005-0000-0000-00000C250000}"/>
    <cellStyle name="Normal 2 2 2 10 5 10" xfId="9485" xr:uid="{00000000-0005-0000-0000-00000D250000}"/>
    <cellStyle name="Normal 2 2 2 10 5 2" xfId="9486" xr:uid="{00000000-0005-0000-0000-00000E250000}"/>
    <cellStyle name="Normal 2 2 2 10 5 3" xfId="9487" xr:uid="{00000000-0005-0000-0000-00000F250000}"/>
    <cellStyle name="Normal 2 2 2 10 5 4" xfId="9488" xr:uid="{00000000-0005-0000-0000-000010250000}"/>
    <cellStyle name="Normal 2 2 2 10 5 5" xfId="9489" xr:uid="{00000000-0005-0000-0000-000011250000}"/>
    <cellStyle name="Normal 2 2 2 10 5 6" xfId="9490" xr:uid="{00000000-0005-0000-0000-000012250000}"/>
    <cellStyle name="Normal 2 2 2 10 5 7" xfId="9491" xr:uid="{00000000-0005-0000-0000-000013250000}"/>
    <cellStyle name="Normal 2 2 2 10 5 8" xfId="9492" xr:uid="{00000000-0005-0000-0000-000014250000}"/>
    <cellStyle name="Normal 2 2 2 10 5 9" xfId="9493" xr:uid="{00000000-0005-0000-0000-000015250000}"/>
    <cellStyle name="Normal 2 2 2 10 6" xfId="9494" xr:uid="{00000000-0005-0000-0000-000016250000}"/>
    <cellStyle name="Normal 2 2 2 10 7" xfId="9495" xr:uid="{00000000-0005-0000-0000-000017250000}"/>
    <cellStyle name="Normal 2 2 2 10 8" xfId="9496" xr:uid="{00000000-0005-0000-0000-000018250000}"/>
    <cellStyle name="Normal 2 2 2 10 9" xfId="9497" xr:uid="{00000000-0005-0000-0000-000019250000}"/>
    <cellStyle name="Normal 2 2 2 11" xfId="9498" xr:uid="{00000000-0005-0000-0000-00001A250000}"/>
    <cellStyle name="Normal 2 2 2 11 10" xfId="9499" xr:uid="{00000000-0005-0000-0000-00001B250000}"/>
    <cellStyle name="Normal 2 2 2 11 11" xfId="9500" xr:uid="{00000000-0005-0000-0000-00001C250000}"/>
    <cellStyle name="Normal 2 2 2 11 12" xfId="9501" xr:uid="{00000000-0005-0000-0000-00001D250000}"/>
    <cellStyle name="Normal 2 2 2 11 13" xfId="9502" xr:uid="{00000000-0005-0000-0000-00001E250000}"/>
    <cellStyle name="Normal 2 2 2 11 14" xfId="9503" xr:uid="{00000000-0005-0000-0000-00001F250000}"/>
    <cellStyle name="Normal 2 2 2 11 2" xfId="9504" xr:uid="{00000000-0005-0000-0000-000020250000}"/>
    <cellStyle name="Normal 2 2 2 11 2 10" xfId="9505" xr:uid="{00000000-0005-0000-0000-000021250000}"/>
    <cellStyle name="Normal 2 2 2 11 2 2" xfId="9506" xr:uid="{00000000-0005-0000-0000-000022250000}"/>
    <cellStyle name="Normal 2 2 2 11 2 3" xfId="9507" xr:uid="{00000000-0005-0000-0000-000023250000}"/>
    <cellStyle name="Normal 2 2 2 11 2 4" xfId="9508" xr:uid="{00000000-0005-0000-0000-000024250000}"/>
    <cellStyle name="Normal 2 2 2 11 2 5" xfId="9509" xr:uid="{00000000-0005-0000-0000-000025250000}"/>
    <cellStyle name="Normal 2 2 2 11 2 6" xfId="9510" xr:uid="{00000000-0005-0000-0000-000026250000}"/>
    <cellStyle name="Normal 2 2 2 11 2 7" xfId="9511" xr:uid="{00000000-0005-0000-0000-000027250000}"/>
    <cellStyle name="Normal 2 2 2 11 2 8" xfId="9512" xr:uid="{00000000-0005-0000-0000-000028250000}"/>
    <cellStyle name="Normal 2 2 2 11 2 9" xfId="9513" xr:uid="{00000000-0005-0000-0000-000029250000}"/>
    <cellStyle name="Normal 2 2 2 11 3" xfId="9514" xr:uid="{00000000-0005-0000-0000-00002A250000}"/>
    <cellStyle name="Normal 2 2 2 11 3 10" xfId="9515" xr:uid="{00000000-0005-0000-0000-00002B250000}"/>
    <cellStyle name="Normal 2 2 2 11 3 2" xfId="9516" xr:uid="{00000000-0005-0000-0000-00002C250000}"/>
    <cellStyle name="Normal 2 2 2 11 3 3" xfId="9517" xr:uid="{00000000-0005-0000-0000-00002D250000}"/>
    <cellStyle name="Normal 2 2 2 11 3 4" xfId="9518" xr:uid="{00000000-0005-0000-0000-00002E250000}"/>
    <cellStyle name="Normal 2 2 2 11 3 5" xfId="9519" xr:uid="{00000000-0005-0000-0000-00002F250000}"/>
    <cellStyle name="Normal 2 2 2 11 3 6" xfId="9520" xr:uid="{00000000-0005-0000-0000-000030250000}"/>
    <cellStyle name="Normal 2 2 2 11 3 7" xfId="9521" xr:uid="{00000000-0005-0000-0000-000031250000}"/>
    <cellStyle name="Normal 2 2 2 11 3 8" xfId="9522" xr:uid="{00000000-0005-0000-0000-000032250000}"/>
    <cellStyle name="Normal 2 2 2 11 3 9" xfId="9523" xr:uid="{00000000-0005-0000-0000-000033250000}"/>
    <cellStyle name="Normal 2 2 2 11 4" xfId="9524" xr:uid="{00000000-0005-0000-0000-000034250000}"/>
    <cellStyle name="Normal 2 2 2 11 4 10" xfId="9525" xr:uid="{00000000-0005-0000-0000-000035250000}"/>
    <cellStyle name="Normal 2 2 2 11 4 2" xfId="9526" xr:uid="{00000000-0005-0000-0000-000036250000}"/>
    <cellStyle name="Normal 2 2 2 11 4 3" xfId="9527" xr:uid="{00000000-0005-0000-0000-000037250000}"/>
    <cellStyle name="Normal 2 2 2 11 4 4" xfId="9528" xr:uid="{00000000-0005-0000-0000-000038250000}"/>
    <cellStyle name="Normal 2 2 2 11 4 5" xfId="9529" xr:uid="{00000000-0005-0000-0000-000039250000}"/>
    <cellStyle name="Normal 2 2 2 11 4 6" xfId="9530" xr:uid="{00000000-0005-0000-0000-00003A250000}"/>
    <cellStyle name="Normal 2 2 2 11 4 7" xfId="9531" xr:uid="{00000000-0005-0000-0000-00003B250000}"/>
    <cellStyle name="Normal 2 2 2 11 4 8" xfId="9532" xr:uid="{00000000-0005-0000-0000-00003C250000}"/>
    <cellStyle name="Normal 2 2 2 11 4 9" xfId="9533" xr:uid="{00000000-0005-0000-0000-00003D250000}"/>
    <cellStyle name="Normal 2 2 2 11 5" xfId="9534" xr:uid="{00000000-0005-0000-0000-00003E250000}"/>
    <cellStyle name="Normal 2 2 2 11 5 10" xfId="9535" xr:uid="{00000000-0005-0000-0000-00003F250000}"/>
    <cellStyle name="Normal 2 2 2 11 5 2" xfId="9536" xr:uid="{00000000-0005-0000-0000-000040250000}"/>
    <cellStyle name="Normal 2 2 2 11 5 3" xfId="9537" xr:uid="{00000000-0005-0000-0000-000041250000}"/>
    <cellStyle name="Normal 2 2 2 11 5 4" xfId="9538" xr:uid="{00000000-0005-0000-0000-000042250000}"/>
    <cellStyle name="Normal 2 2 2 11 5 5" xfId="9539" xr:uid="{00000000-0005-0000-0000-000043250000}"/>
    <cellStyle name="Normal 2 2 2 11 5 6" xfId="9540" xr:uid="{00000000-0005-0000-0000-000044250000}"/>
    <cellStyle name="Normal 2 2 2 11 5 7" xfId="9541" xr:uid="{00000000-0005-0000-0000-000045250000}"/>
    <cellStyle name="Normal 2 2 2 11 5 8" xfId="9542" xr:uid="{00000000-0005-0000-0000-000046250000}"/>
    <cellStyle name="Normal 2 2 2 11 5 9" xfId="9543" xr:uid="{00000000-0005-0000-0000-000047250000}"/>
    <cellStyle name="Normal 2 2 2 11 6" xfId="9544" xr:uid="{00000000-0005-0000-0000-000048250000}"/>
    <cellStyle name="Normal 2 2 2 11 7" xfId="9545" xr:uid="{00000000-0005-0000-0000-000049250000}"/>
    <cellStyle name="Normal 2 2 2 11 8" xfId="9546" xr:uid="{00000000-0005-0000-0000-00004A250000}"/>
    <cellStyle name="Normal 2 2 2 11 9" xfId="9547" xr:uid="{00000000-0005-0000-0000-00004B250000}"/>
    <cellStyle name="Normal 2 2 2 12" xfId="9548" xr:uid="{00000000-0005-0000-0000-00004C250000}"/>
    <cellStyle name="Normal 2 2 2 12 10" xfId="9549" xr:uid="{00000000-0005-0000-0000-00004D250000}"/>
    <cellStyle name="Normal 2 2 2 12 11" xfId="9550" xr:uid="{00000000-0005-0000-0000-00004E250000}"/>
    <cellStyle name="Normal 2 2 2 12 12" xfId="9551" xr:uid="{00000000-0005-0000-0000-00004F250000}"/>
    <cellStyle name="Normal 2 2 2 12 13" xfId="9552" xr:uid="{00000000-0005-0000-0000-000050250000}"/>
    <cellStyle name="Normal 2 2 2 12 14" xfId="9553" xr:uid="{00000000-0005-0000-0000-000051250000}"/>
    <cellStyle name="Normal 2 2 2 12 2" xfId="9554" xr:uid="{00000000-0005-0000-0000-000052250000}"/>
    <cellStyle name="Normal 2 2 2 12 2 10" xfId="9555" xr:uid="{00000000-0005-0000-0000-000053250000}"/>
    <cellStyle name="Normal 2 2 2 12 2 2" xfId="9556" xr:uid="{00000000-0005-0000-0000-000054250000}"/>
    <cellStyle name="Normal 2 2 2 12 2 3" xfId="9557" xr:uid="{00000000-0005-0000-0000-000055250000}"/>
    <cellStyle name="Normal 2 2 2 12 2 4" xfId="9558" xr:uid="{00000000-0005-0000-0000-000056250000}"/>
    <cellStyle name="Normal 2 2 2 12 2 5" xfId="9559" xr:uid="{00000000-0005-0000-0000-000057250000}"/>
    <cellStyle name="Normal 2 2 2 12 2 6" xfId="9560" xr:uid="{00000000-0005-0000-0000-000058250000}"/>
    <cellStyle name="Normal 2 2 2 12 2 7" xfId="9561" xr:uid="{00000000-0005-0000-0000-000059250000}"/>
    <cellStyle name="Normal 2 2 2 12 2 8" xfId="9562" xr:uid="{00000000-0005-0000-0000-00005A250000}"/>
    <cellStyle name="Normal 2 2 2 12 2 9" xfId="9563" xr:uid="{00000000-0005-0000-0000-00005B250000}"/>
    <cellStyle name="Normal 2 2 2 12 3" xfId="9564" xr:uid="{00000000-0005-0000-0000-00005C250000}"/>
    <cellStyle name="Normal 2 2 2 12 3 10" xfId="9565" xr:uid="{00000000-0005-0000-0000-00005D250000}"/>
    <cellStyle name="Normal 2 2 2 12 3 2" xfId="9566" xr:uid="{00000000-0005-0000-0000-00005E250000}"/>
    <cellStyle name="Normal 2 2 2 12 3 3" xfId="9567" xr:uid="{00000000-0005-0000-0000-00005F250000}"/>
    <cellStyle name="Normal 2 2 2 12 3 4" xfId="9568" xr:uid="{00000000-0005-0000-0000-000060250000}"/>
    <cellStyle name="Normal 2 2 2 12 3 5" xfId="9569" xr:uid="{00000000-0005-0000-0000-000061250000}"/>
    <cellStyle name="Normal 2 2 2 12 3 6" xfId="9570" xr:uid="{00000000-0005-0000-0000-000062250000}"/>
    <cellStyle name="Normal 2 2 2 12 3 7" xfId="9571" xr:uid="{00000000-0005-0000-0000-000063250000}"/>
    <cellStyle name="Normal 2 2 2 12 3 8" xfId="9572" xr:uid="{00000000-0005-0000-0000-000064250000}"/>
    <cellStyle name="Normal 2 2 2 12 3 9" xfId="9573" xr:uid="{00000000-0005-0000-0000-000065250000}"/>
    <cellStyle name="Normal 2 2 2 12 4" xfId="9574" xr:uid="{00000000-0005-0000-0000-000066250000}"/>
    <cellStyle name="Normal 2 2 2 12 4 10" xfId="9575" xr:uid="{00000000-0005-0000-0000-000067250000}"/>
    <cellStyle name="Normal 2 2 2 12 4 2" xfId="9576" xr:uid="{00000000-0005-0000-0000-000068250000}"/>
    <cellStyle name="Normal 2 2 2 12 4 3" xfId="9577" xr:uid="{00000000-0005-0000-0000-000069250000}"/>
    <cellStyle name="Normal 2 2 2 12 4 4" xfId="9578" xr:uid="{00000000-0005-0000-0000-00006A250000}"/>
    <cellStyle name="Normal 2 2 2 12 4 5" xfId="9579" xr:uid="{00000000-0005-0000-0000-00006B250000}"/>
    <cellStyle name="Normal 2 2 2 12 4 6" xfId="9580" xr:uid="{00000000-0005-0000-0000-00006C250000}"/>
    <cellStyle name="Normal 2 2 2 12 4 7" xfId="9581" xr:uid="{00000000-0005-0000-0000-00006D250000}"/>
    <cellStyle name="Normal 2 2 2 12 4 8" xfId="9582" xr:uid="{00000000-0005-0000-0000-00006E250000}"/>
    <cellStyle name="Normal 2 2 2 12 4 9" xfId="9583" xr:uid="{00000000-0005-0000-0000-00006F250000}"/>
    <cellStyle name="Normal 2 2 2 12 5" xfId="9584" xr:uid="{00000000-0005-0000-0000-000070250000}"/>
    <cellStyle name="Normal 2 2 2 12 5 10" xfId="9585" xr:uid="{00000000-0005-0000-0000-000071250000}"/>
    <cellStyle name="Normal 2 2 2 12 5 2" xfId="9586" xr:uid="{00000000-0005-0000-0000-000072250000}"/>
    <cellStyle name="Normal 2 2 2 12 5 3" xfId="9587" xr:uid="{00000000-0005-0000-0000-000073250000}"/>
    <cellStyle name="Normal 2 2 2 12 5 4" xfId="9588" xr:uid="{00000000-0005-0000-0000-000074250000}"/>
    <cellStyle name="Normal 2 2 2 12 5 5" xfId="9589" xr:uid="{00000000-0005-0000-0000-000075250000}"/>
    <cellStyle name="Normal 2 2 2 12 5 6" xfId="9590" xr:uid="{00000000-0005-0000-0000-000076250000}"/>
    <cellStyle name="Normal 2 2 2 12 5 7" xfId="9591" xr:uid="{00000000-0005-0000-0000-000077250000}"/>
    <cellStyle name="Normal 2 2 2 12 5 8" xfId="9592" xr:uid="{00000000-0005-0000-0000-000078250000}"/>
    <cellStyle name="Normal 2 2 2 12 5 9" xfId="9593" xr:uid="{00000000-0005-0000-0000-000079250000}"/>
    <cellStyle name="Normal 2 2 2 12 6" xfId="9594" xr:uid="{00000000-0005-0000-0000-00007A250000}"/>
    <cellStyle name="Normal 2 2 2 12 7" xfId="9595" xr:uid="{00000000-0005-0000-0000-00007B250000}"/>
    <cellStyle name="Normal 2 2 2 12 8" xfId="9596" xr:uid="{00000000-0005-0000-0000-00007C250000}"/>
    <cellStyle name="Normal 2 2 2 12 9" xfId="9597" xr:uid="{00000000-0005-0000-0000-00007D250000}"/>
    <cellStyle name="Normal 2 2 2 13" xfId="9598" xr:uid="{00000000-0005-0000-0000-00007E250000}"/>
    <cellStyle name="Normal 2 2 2 13 10" xfId="9599" xr:uid="{00000000-0005-0000-0000-00007F250000}"/>
    <cellStyle name="Normal 2 2 2 13 11" xfId="9600" xr:uid="{00000000-0005-0000-0000-000080250000}"/>
    <cellStyle name="Normal 2 2 2 13 12" xfId="9601" xr:uid="{00000000-0005-0000-0000-000081250000}"/>
    <cellStyle name="Normal 2 2 2 13 13" xfId="9602" xr:uid="{00000000-0005-0000-0000-000082250000}"/>
    <cellStyle name="Normal 2 2 2 13 14" xfId="9603" xr:uid="{00000000-0005-0000-0000-000083250000}"/>
    <cellStyle name="Normal 2 2 2 13 2" xfId="9604" xr:uid="{00000000-0005-0000-0000-000084250000}"/>
    <cellStyle name="Normal 2 2 2 13 2 10" xfId="9605" xr:uid="{00000000-0005-0000-0000-000085250000}"/>
    <cellStyle name="Normal 2 2 2 13 2 2" xfId="9606" xr:uid="{00000000-0005-0000-0000-000086250000}"/>
    <cellStyle name="Normal 2 2 2 13 2 3" xfId="9607" xr:uid="{00000000-0005-0000-0000-000087250000}"/>
    <cellStyle name="Normal 2 2 2 13 2 4" xfId="9608" xr:uid="{00000000-0005-0000-0000-000088250000}"/>
    <cellStyle name="Normal 2 2 2 13 2 5" xfId="9609" xr:uid="{00000000-0005-0000-0000-000089250000}"/>
    <cellStyle name="Normal 2 2 2 13 2 6" xfId="9610" xr:uid="{00000000-0005-0000-0000-00008A250000}"/>
    <cellStyle name="Normal 2 2 2 13 2 7" xfId="9611" xr:uid="{00000000-0005-0000-0000-00008B250000}"/>
    <cellStyle name="Normal 2 2 2 13 2 8" xfId="9612" xr:uid="{00000000-0005-0000-0000-00008C250000}"/>
    <cellStyle name="Normal 2 2 2 13 2 9" xfId="9613" xr:uid="{00000000-0005-0000-0000-00008D250000}"/>
    <cellStyle name="Normal 2 2 2 13 3" xfId="9614" xr:uid="{00000000-0005-0000-0000-00008E250000}"/>
    <cellStyle name="Normal 2 2 2 13 3 10" xfId="9615" xr:uid="{00000000-0005-0000-0000-00008F250000}"/>
    <cellStyle name="Normal 2 2 2 13 3 2" xfId="9616" xr:uid="{00000000-0005-0000-0000-000090250000}"/>
    <cellStyle name="Normal 2 2 2 13 3 3" xfId="9617" xr:uid="{00000000-0005-0000-0000-000091250000}"/>
    <cellStyle name="Normal 2 2 2 13 3 4" xfId="9618" xr:uid="{00000000-0005-0000-0000-000092250000}"/>
    <cellStyle name="Normal 2 2 2 13 3 5" xfId="9619" xr:uid="{00000000-0005-0000-0000-000093250000}"/>
    <cellStyle name="Normal 2 2 2 13 3 6" xfId="9620" xr:uid="{00000000-0005-0000-0000-000094250000}"/>
    <cellStyle name="Normal 2 2 2 13 3 7" xfId="9621" xr:uid="{00000000-0005-0000-0000-000095250000}"/>
    <cellStyle name="Normal 2 2 2 13 3 8" xfId="9622" xr:uid="{00000000-0005-0000-0000-000096250000}"/>
    <cellStyle name="Normal 2 2 2 13 3 9" xfId="9623" xr:uid="{00000000-0005-0000-0000-000097250000}"/>
    <cellStyle name="Normal 2 2 2 13 4" xfId="9624" xr:uid="{00000000-0005-0000-0000-000098250000}"/>
    <cellStyle name="Normal 2 2 2 13 4 10" xfId="9625" xr:uid="{00000000-0005-0000-0000-000099250000}"/>
    <cellStyle name="Normal 2 2 2 13 4 2" xfId="9626" xr:uid="{00000000-0005-0000-0000-00009A250000}"/>
    <cellStyle name="Normal 2 2 2 13 4 3" xfId="9627" xr:uid="{00000000-0005-0000-0000-00009B250000}"/>
    <cellStyle name="Normal 2 2 2 13 4 4" xfId="9628" xr:uid="{00000000-0005-0000-0000-00009C250000}"/>
    <cellStyle name="Normal 2 2 2 13 4 5" xfId="9629" xr:uid="{00000000-0005-0000-0000-00009D250000}"/>
    <cellStyle name="Normal 2 2 2 13 4 6" xfId="9630" xr:uid="{00000000-0005-0000-0000-00009E250000}"/>
    <cellStyle name="Normal 2 2 2 13 4 7" xfId="9631" xr:uid="{00000000-0005-0000-0000-00009F250000}"/>
    <cellStyle name="Normal 2 2 2 13 4 8" xfId="9632" xr:uid="{00000000-0005-0000-0000-0000A0250000}"/>
    <cellStyle name="Normal 2 2 2 13 4 9" xfId="9633" xr:uid="{00000000-0005-0000-0000-0000A1250000}"/>
    <cellStyle name="Normal 2 2 2 13 5" xfId="9634" xr:uid="{00000000-0005-0000-0000-0000A2250000}"/>
    <cellStyle name="Normal 2 2 2 13 5 10" xfId="9635" xr:uid="{00000000-0005-0000-0000-0000A3250000}"/>
    <cellStyle name="Normal 2 2 2 13 5 2" xfId="9636" xr:uid="{00000000-0005-0000-0000-0000A4250000}"/>
    <cellStyle name="Normal 2 2 2 13 5 3" xfId="9637" xr:uid="{00000000-0005-0000-0000-0000A5250000}"/>
    <cellStyle name="Normal 2 2 2 13 5 4" xfId="9638" xr:uid="{00000000-0005-0000-0000-0000A6250000}"/>
    <cellStyle name="Normal 2 2 2 13 5 5" xfId="9639" xr:uid="{00000000-0005-0000-0000-0000A7250000}"/>
    <cellStyle name="Normal 2 2 2 13 5 6" xfId="9640" xr:uid="{00000000-0005-0000-0000-0000A8250000}"/>
    <cellStyle name="Normal 2 2 2 13 5 7" xfId="9641" xr:uid="{00000000-0005-0000-0000-0000A9250000}"/>
    <cellStyle name="Normal 2 2 2 13 5 8" xfId="9642" xr:uid="{00000000-0005-0000-0000-0000AA250000}"/>
    <cellStyle name="Normal 2 2 2 13 5 9" xfId="9643" xr:uid="{00000000-0005-0000-0000-0000AB250000}"/>
    <cellStyle name="Normal 2 2 2 13 6" xfId="9644" xr:uid="{00000000-0005-0000-0000-0000AC250000}"/>
    <cellStyle name="Normal 2 2 2 13 7" xfId="9645" xr:uid="{00000000-0005-0000-0000-0000AD250000}"/>
    <cellStyle name="Normal 2 2 2 13 8" xfId="9646" xr:uid="{00000000-0005-0000-0000-0000AE250000}"/>
    <cellStyle name="Normal 2 2 2 13 9" xfId="9647" xr:uid="{00000000-0005-0000-0000-0000AF250000}"/>
    <cellStyle name="Normal 2 2 2 14" xfId="9648" xr:uid="{00000000-0005-0000-0000-0000B0250000}"/>
    <cellStyle name="Normal 2 2 2 14 10" xfId="9649" xr:uid="{00000000-0005-0000-0000-0000B1250000}"/>
    <cellStyle name="Normal 2 2 2 14 11" xfId="9650" xr:uid="{00000000-0005-0000-0000-0000B2250000}"/>
    <cellStyle name="Normal 2 2 2 14 12" xfId="9651" xr:uid="{00000000-0005-0000-0000-0000B3250000}"/>
    <cellStyle name="Normal 2 2 2 14 13" xfId="9652" xr:uid="{00000000-0005-0000-0000-0000B4250000}"/>
    <cellStyle name="Normal 2 2 2 14 14" xfId="9653" xr:uid="{00000000-0005-0000-0000-0000B5250000}"/>
    <cellStyle name="Normal 2 2 2 14 2" xfId="9654" xr:uid="{00000000-0005-0000-0000-0000B6250000}"/>
    <cellStyle name="Normal 2 2 2 14 2 10" xfId="9655" xr:uid="{00000000-0005-0000-0000-0000B7250000}"/>
    <cellStyle name="Normal 2 2 2 14 2 2" xfId="9656" xr:uid="{00000000-0005-0000-0000-0000B8250000}"/>
    <cellStyle name="Normal 2 2 2 14 2 3" xfId="9657" xr:uid="{00000000-0005-0000-0000-0000B9250000}"/>
    <cellStyle name="Normal 2 2 2 14 2 4" xfId="9658" xr:uid="{00000000-0005-0000-0000-0000BA250000}"/>
    <cellStyle name="Normal 2 2 2 14 2 5" xfId="9659" xr:uid="{00000000-0005-0000-0000-0000BB250000}"/>
    <cellStyle name="Normal 2 2 2 14 2 6" xfId="9660" xr:uid="{00000000-0005-0000-0000-0000BC250000}"/>
    <cellStyle name="Normal 2 2 2 14 2 7" xfId="9661" xr:uid="{00000000-0005-0000-0000-0000BD250000}"/>
    <cellStyle name="Normal 2 2 2 14 2 8" xfId="9662" xr:uid="{00000000-0005-0000-0000-0000BE250000}"/>
    <cellStyle name="Normal 2 2 2 14 2 9" xfId="9663" xr:uid="{00000000-0005-0000-0000-0000BF250000}"/>
    <cellStyle name="Normal 2 2 2 14 3" xfId="9664" xr:uid="{00000000-0005-0000-0000-0000C0250000}"/>
    <cellStyle name="Normal 2 2 2 14 3 10" xfId="9665" xr:uid="{00000000-0005-0000-0000-0000C1250000}"/>
    <cellStyle name="Normal 2 2 2 14 3 2" xfId="9666" xr:uid="{00000000-0005-0000-0000-0000C2250000}"/>
    <cellStyle name="Normal 2 2 2 14 3 3" xfId="9667" xr:uid="{00000000-0005-0000-0000-0000C3250000}"/>
    <cellStyle name="Normal 2 2 2 14 3 4" xfId="9668" xr:uid="{00000000-0005-0000-0000-0000C4250000}"/>
    <cellStyle name="Normal 2 2 2 14 3 5" xfId="9669" xr:uid="{00000000-0005-0000-0000-0000C5250000}"/>
    <cellStyle name="Normal 2 2 2 14 3 6" xfId="9670" xr:uid="{00000000-0005-0000-0000-0000C6250000}"/>
    <cellStyle name="Normal 2 2 2 14 3 7" xfId="9671" xr:uid="{00000000-0005-0000-0000-0000C7250000}"/>
    <cellStyle name="Normal 2 2 2 14 3 8" xfId="9672" xr:uid="{00000000-0005-0000-0000-0000C8250000}"/>
    <cellStyle name="Normal 2 2 2 14 3 9" xfId="9673" xr:uid="{00000000-0005-0000-0000-0000C9250000}"/>
    <cellStyle name="Normal 2 2 2 14 4" xfId="9674" xr:uid="{00000000-0005-0000-0000-0000CA250000}"/>
    <cellStyle name="Normal 2 2 2 14 4 10" xfId="9675" xr:uid="{00000000-0005-0000-0000-0000CB250000}"/>
    <cellStyle name="Normal 2 2 2 14 4 2" xfId="9676" xr:uid="{00000000-0005-0000-0000-0000CC250000}"/>
    <cellStyle name="Normal 2 2 2 14 4 3" xfId="9677" xr:uid="{00000000-0005-0000-0000-0000CD250000}"/>
    <cellStyle name="Normal 2 2 2 14 4 4" xfId="9678" xr:uid="{00000000-0005-0000-0000-0000CE250000}"/>
    <cellStyle name="Normal 2 2 2 14 4 5" xfId="9679" xr:uid="{00000000-0005-0000-0000-0000CF250000}"/>
    <cellStyle name="Normal 2 2 2 14 4 6" xfId="9680" xr:uid="{00000000-0005-0000-0000-0000D0250000}"/>
    <cellStyle name="Normal 2 2 2 14 4 7" xfId="9681" xr:uid="{00000000-0005-0000-0000-0000D1250000}"/>
    <cellStyle name="Normal 2 2 2 14 4 8" xfId="9682" xr:uid="{00000000-0005-0000-0000-0000D2250000}"/>
    <cellStyle name="Normal 2 2 2 14 4 9" xfId="9683" xr:uid="{00000000-0005-0000-0000-0000D3250000}"/>
    <cellStyle name="Normal 2 2 2 14 5" xfId="9684" xr:uid="{00000000-0005-0000-0000-0000D4250000}"/>
    <cellStyle name="Normal 2 2 2 14 5 10" xfId="9685" xr:uid="{00000000-0005-0000-0000-0000D5250000}"/>
    <cellStyle name="Normal 2 2 2 14 5 2" xfId="9686" xr:uid="{00000000-0005-0000-0000-0000D6250000}"/>
    <cellStyle name="Normal 2 2 2 14 5 3" xfId="9687" xr:uid="{00000000-0005-0000-0000-0000D7250000}"/>
    <cellStyle name="Normal 2 2 2 14 5 4" xfId="9688" xr:uid="{00000000-0005-0000-0000-0000D8250000}"/>
    <cellStyle name="Normal 2 2 2 14 5 5" xfId="9689" xr:uid="{00000000-0005-0000-0000-0000D9250000}"/>
    <cellStyle name="Normal 2 2 2 14 5 6" xfId="9690" xr:uid="{00000000-0005-0000-0000-0000DA250000}"/>
    <cellStyle name="Normal 2 2 2 14 5 7" xfId="9691" xr:uid="{00000000-0005-0000-0000-0000DB250000}"/>
    <cellStyle name="Normal 2 2 2 14 5 8" xfId="9692" xr:uid="{00000000-0005-0000-0000-0000DC250000}"/>
    <cellStyle name="Normal 2 2 2 14 5 9" xfId="9693" xr:uid="{00000000-0005-0000-0000-0000DD250000}"/>
    <cellStyle name="Normal 2 2 2 14 6" xfId="9694" xr:uid="{00000000-0005-0000-0000-0000DE250000}"/>
    <cellStyle name="Normal 2 2 2 14 7" xfId="9695" xr:uid="{00000000-0005-0000-0000-0000DF250000}"/>
    <cellStyle name="Normal 2 2 2 14 8" xfId="9696" xr:uid="{00000000-0005-0000-0000-0000E0250000}"/>
    <cellStyle name="Normal 2 2 2 14 9" xfId="9697" xr:uid="{00000000-0005-0000-0000-0000E1250000}"/>
    <cellStyle name="Normal 2 2 2 15" xfId="9698" xr:uid="{00000000-0005-0000-0000-0000E2250000}"/>
    <cellStyle name="Normal 2 2 2 15 10" xfId="9699" xr:uid="{00000000-0005-0000-0000-0000E3250000}"/>
    <cellStyle name="Normal 2 2 2 15 11" xfId="9700" xr:uid="{00000000-0005-0000-0000-0000E4250000}"/>
    <cellStyle name="Normal 2 2 2 15 12" xfId="9701" xr:uid="{00000000-0005-0000-0000-0000E5250000}"/>
    <cellStyle name="Normal 2 2 2 15 13" xfId="9702" xr:uid="{00000000-0005-0000-0000-0000E6250000}"/>
    <cellStyle name="Normal 2 2 2 15 14" xfId="9703" xr:uid="{00000000-0005-0000-0000-0000E7250000}"/>
    <cellStyle name="Normal 2 2 2 15 2" xfId="9704" xr:uid="{00000000-0005-0000-0000-0000E8250000}"/>
    <cellStyle name="Normal 2 2 2 15 2 10" xfId="9705" xr:uid="{00000000-0005-0000-0000-0000E9250000}"/>
    <cellStyle name="Normal 2 2 2 15 2 2" xfId="9706" xr:uid="{00000000-0005-0000-0000-0000EA250000}"/>
    <cellStyle name="Normal 2 2 2 15 2 3" xfId="9707" xr:uid="{00000000-0005-0000-0000-0000EB250000}"/>
    <cellStyle name="Normal 2 2 2 15 2 4" xfId="9708" xr:uid="{00000000-0005-0000-0000-0000EC250000}"/>
    <cellStyle name="Normal 2 2 2 15 2 5" xfId="9709" xr:uid="{00000000-0005-0000-0000-0000ED250000}"/>
    <cellStyle name="Normal 2 2 2 15 2 6" xfId="9710" xr:uid="{00000000-0005-0000-0000-0000EE250000}"/>
    <cellStyle name="Normal 2 2 2 15 2 7" xfId="9711" xr:uid="{00000000-0005-0000-0000-0000EF250000}"/>
    <cellStyle name="Normal 2 2 2 15 2 8" xfId="9712" xr:uid="{00000000-0005-0000-0000-0000F0250000}"/>
    <cellStyle name="Normal 2 2 2 15 2 9" xfId="9713" xr:uid="{00000000-0005-0000-0000-0000F1250000}"/>
    <cellStyle name="Normal 2 2 2 15 3" xfId="9714" xr:uid="{00000000-0005-0000-0000-0000F2250000}"/>
    <cellStyle name="Normal 2 2 2 15 3 10" xfId="9715" xr:uid="{00000000-0005-0000-0000-0000F3250000}"/>
    <cellStyle name="Normal 2 2 2 15 3 2" xfId="9716" xr:uid="{00000000-0005-0000-0000-0000F4250000}"/>
    <cellStyle name="Normal 2 2 2 15 3 3" xfId="9717" xr:uid="{00000000-0005-0000-0000-0000F5250000}"/>
    <cellStyle name="Normal 2 2 2 15 3 4" xfId="9718" xr:uid="{00000000-0005-0000-0000-0000F6250000}"/>
    <cellStyle name="Normal 2 2 2 15 3 5" xfId="9719" xr:uid="{00000000-0005-0000-0000-0000F7250000}"/>
    <cellStyle name="Normal 2 2 2 15 3 6" xfId="9720" xr:uid="{00000000-0005-0000-0000-0000F8250000}"/>
    <cellStyle name="Normal 2 2 2 15 3 7" xfId="9721" xr:uid="{00000000-0005-0000-0000-0000F9250000}"/>
    <cellStyle name="Normal 2 2 2 15 3 8" xfId="9722" xr:uid="{00000000-0005-0000-0000-0000FA250000}"/>
    <cellStyle name="Normal 2 2 2 15 3 9" xfId="9723" xr:uid="{00000000-0005-0000-0000-0000FB250000}"/>
    <cellStyle name="Normal 2 2 2 15 4" xfId="9724" xr:uid="{00000000-0005-0000-0000-0000FC250000}"/>
    <cellStyle name="Normal 2 2 2 15 4 10" xfId="9725" xr:uid="{00000000-0005-0000-0000-0000FD250000}"/>
    <cellStyle name="Normal 2 2 2 15 4 2" xfId="9726" xr:uid="{00000000-0005-0000-0000-0000FE250000}"/>
    <cellStyle name="Normal 2 2 2 15 4 3" xfId="9727" xr:uid="{00000000-0005-0000-0000-0000FF250000}"/>
    <cellStyle name="Normal 2 2 2 15 4 4" xfId="9728" xr:uid="{00000000-0005-0000-0000-000000260000}"/>
    <cellStyle name="Normal 2 2 2 15 4 5" xfId="9729" xr:uid="{00000000-0005-0000-0000-000001260000}"/>
    <cellStyle name="Normal 2 2 2 15 4 6" xfId="9730" xr:uid="{00000000-0005-0000-0000-000002260000}"/>
    <cellStyle name="Normal 2 2 2 15 4 7" xfId="9731" xr:uid="{00000000-0005-0000-0000-000003260000}"/>
    <cellStyle name="Normal 2 2 2 15 4 8" xfId="9732" xr:uid="{00000000-0005-0000-0000-000004260000}"/>
    <cellStyle name="Normal 2 2 2 15 4 9" xfId="9733" xr:uid="{00000000-0005-0000-0000-000005260000}"/>
    <cellStyle name="Normal 2 2 2 15 5" xfId="9734" xr:uid="{00000000-0005-0000-0000-000006260000}"/>
    <cellStyle name="Normal 2 2 2 15 5 10" xfId="9735" xr:uid="{00000000-0005-0000-0000-000007260000}"/>
    <cellStyle name="Normal 2 2 2 15 5 2" xfId="9736" xr:uid="{00000000-0005-0000-0000-000008260000}"/>
    <cellStyle name="Normal 2 2 2 15 5 3" xfId="9737" xr:uid="{00000000-0005-0000-0000-000009260000}"/>
    <cellStyle name="Normal 2 2 2 15 5 4" xfId="9738" xr:uid="{00000000-0005-0000-0000-00000A260000}"/>
    <cellStyle name="Normal 2 2 2 15 5 5" xfId="9739" xr:uid="{00000000-0005-0000-0000-00000B260000}"/>
    <cellStyle name="Normal 2 2 2 15 5 6" xfId="9740" xr:uid="{00000000-0005-0000-0000-00000C260000}"/>
    <cellStyle name="Normal 2 2 2 15 5 7" xfId="9741" xr:uid="{00000000-0005-0000-0000-00000D260000}"/>
    <cellStyle name="Normal 2 2 2 15 5 8" xfId="9742" xr:uid="{00000000-0005-0000-0000-00000E260000}"/>
    <cellStyle name="Normal 2 2 2 15 5 9" xfId="9743" xr:uid="{00000000-0005-0000-0000-00000F260000}"/>
    <cellStyle name="Normal 2 2 2 15 6" xfId="9744" xr:uid="{00000000-0005-0000-0000-000010260000}"/>
    <cellStyle name="Normal 2 2 2 15 7" xfId="9745" xr:uid="{00000000-0005-0000-0000-000011260000}"/>
    <cellStyle name="Normal 2 2 2 15 8" xfId="9746" xr:uid="{00000000-0005-0000-0000-000012260000}"/>
    <cellStyle name="Normal 2 2 2 15 9" xfId="9747" xr:uid="{00000000-0005-0000-0000-000013260000}"/>
    <cellStyle name="Normal 2 2 2 16" xfId="9748" xr:uid="{00000000-0005-0000-0000-000014260000}"/>
    <cellStyle name="Normal 2 2 2 16 10" xfId="9749" xr:uid="{00000000-0005-0000-0000-000015260000}"/>
    <cellStyle name="Normal 2 2 2 16 11" xfId="9750" xr:uid="{00000000-0005-0000-0000-000016260000}"/>
    <cellStyle name="Normal 2 2 2 16 12" xfId="9751" xr:uid="{00000000-0005-0000-0000-000017260000}"/>
    <cellStyle name="Normal 2 2 2 16 13" xfId="9752" xr:uid="{00000000-0005-0000-0000-000018260000}"/>
    <cellStyle name="Normal 2 2 2 16 14" xfId="9753" xr:uid="{00000000-0005-0000-0000-000019260000}"/>
    <cellStyle name="Normal 2 2 2 16 2" xfId="9754" xr:uid="{00000000-0005-0000-0000-00001A260000}"/>
    <cellStyle name="Normal 2 2 2 16 2 10" xfId="9755" xr:uid="{00000000-0005-0000-0000-00001B260000}"/>
    <cellStyle name="Normal 2 2 2 16 2 2" xfId="9756" xr:uid="{00000000-0005-0000-0000-00001C260000}"/>
    <cellStyle name="Normal 2 2 2 16 2 3" xfId="9757" xr:uid="{00000000-0005-0000-0000-00001D260000}"/>
    <cellStyle name="Normal 2 2 2 16 2 4" xfId="9758" xr:uid="{00000000-0005-0000-0000-00001E260000}"/>
    <cellStyle name="Normal 2 2 2 16 2 5" xfId="9759" xr:uid="{00000000-0005-0000-0000-00001F260000}"/>
    <cellStyle name="Normal 2 2 2 16 2 6" xfId="9760" xr:uid="{00000000-0005-0000-0000-000020260000}"/>
    <cellStyle name="Normal 2 2 2 16 2 7" xfId="9761" xr:uid="{00000000-0005-0000-0000-000021260000}"/>
    <cellStyle name="Normal 2 2 2 16 2 8" xfId="9762" xr:uid="{00000000-0005-0000-0000-000022260000}"/>
    <cellStyle name="Normal 2 2 2 16 2 9" xfId="9763" xr:uid="{00000000-0005-0000-0000-000023260000}"/>
    <cellStyle name="Normal 2 2 2 16 3" xfId="9764" xr:uid="{00000000-0005-0000-0000-000024260000}"/>
    <cellStyle name="Normal 2 2 2 16 3 10" xfId="9765" xr:uid="{00000000-0005-0000-0000-000025260000}"/>
    <cellStyle name="Normal 2 2 2 16 3 2" xfId="9766" xr:uid="{00000000-0005-0000-0000-000026260000}"/>
    <cellStyle name="Normal 2 2 2 16 3 3" xfId="9767" xr:uid="{00000000-0005-0000-0000-000027260000}"/>
    <cellStyle name="Normal 2 2 2 16 3 4" xfId="9768" xr:uid="{00000000-0005-0000-0000-000028260000}"/>
    <cellStyle name="Normal 2 2 2 16 3 5" xfId="9769" xr:uid="{00000000-0005-0000-0000-000029260000}"/>
    <cellStyle name="Normal 2 2 2 16 3 6" xfId="9770" xr:uid="{00000000-0005-0000-0000-00002A260000}"/>
    <cellStyle name="Normal 2 2 2 16 3 7" xfId="9771" xr:uid="{00000000-0005-0000-0000-00002B260000}"/>
    <cellStyle name="Normal 2 2 2 16 3 8" xfId="9772" xr:uid="{00000000-0005-0000-0000-00002C260000}"/>
    <cellStyle name="Normal 2 2 2 16 3 9" xfId="9773" xr:uid="{00000000-0005-0000-0000-00002D260000}"/>
    <cellStyle name="Normal 2 2 2 16 4" xfId="9774" xr:uid="{00000000-0005-0000-0000-00002E260000}"/>
    <cellStyle name="Normal 2 2 2 16 4 10" xfId="9775" xr:uid="{00000000-0005-0000-0000-00002F260000}"/>
    <cellStyle name="Normal 2 2 2 16 4 2" xfId="9776" xr:uid="{00000000-0005-0000-0000-000030260000}"/>
    <cellStyle name="Normal 2 2 2 16 4 3" xfId="9777" xr:uid="{00000000-0005-0000-0000-000031260000}"/>
    <cellStyle name="Normal 2 2 2 16 4 4" xfId="9778" xr:uid="{00000000-0005-0000-0000-000032260000}"/>
    <cellStyle name="Normal 2 2 2 16 4 5" xfId="9779" xr:uid="{00000000-0005-0000-0000-000033260000}"/>
    <cellStyle name="Normal 2 2 2 16 4 6" xfId="9780" xr:uid="{00000000-0005-0000-0000-000034260000}"/>
    <cellStyle name="Normal 2 2 2 16 4 7" xfId="9781" xr:uid="{00000000-0005-0000-0000-000035260000}"/>
    <cellStyle name="Normal 2 2 2 16 4 8" xfId="9782" xr:uid="{00000000-0005-0000-0000-000036260000}"/>
    <cellStyle name="Normal 2 2 2 16 4 9" xfId="9783" xr:uid="{00000000-0005-0000-0000-000037260000}"/>
    <cellStyle name="Normal 2 2 2 16 5" xfId="9784" xr:uid="{00000000-0005-0000-0000-000038260000}"/>
    <cellStyle name="Normal 2 2 2 16 5 10" xfId="9785" xr:uid="{00000000-0005-0000-0000-000039260000}"/>
    <cellStyle name="Normal 2 2 2 16 5 2" xfId="9786" xr:uid="{00000000-0005-0000-0000-00003A260000}"/>
    <cellStyle name="Normal 2 2 2 16 5 3" xfId="9787" xr:uid="{00000000-0005-0000-0000-00003B260000}"/>
    <cellStyle name="Normal 2 2 2 16 5 4" xfId="9788" xr:uid="{00000000-0005-0000-0000-00003C260000}"/>
    <cellStyle name="Normal 2 2 2 16 5 5" xfId="9789" xr:uid="{00000000-0005-0000-0000-00003D260000}"/>
    <cellStyle name="Normal 2 2 2 16 5 6" xfId="9790" xr:uid="{00000000-0005-0000-0000-00003E260000}"/>
    <cellStyle name="Normal 2 2 2 16 5 7" xfId="9791" xr:uid="{00000000-0005-0000-0000-00003F260000}"/>
    <cellStyle name="Normal 2 2 2 16 5 8" xfId="9792" xr:uid="{00000000-0005-0000-0000-000040260000}"/>
    <cellStyle name="Normal 2 2 2 16 5 9" xfId="9793" xr:uid="{00000000-0005-0000-0000-000041260000}"/>
    <cellStyle name="Normal 2 2 2 16 6" xfId="9794" xr:uid="{00000000-0005-0000-0000-000042260000}"/>
    <cellStyle name="Normal 2 2 2 16 7" xfId="9795" xr:uid="{00000000-0005-0000-0000-000043260000}"/>
    <cellStyle name="Normal 2 2 2 16 8" xfId="9796" xr:uid="{00000000-0005-0000-0000-000044260000}"/>
    <cellStyle name="Normal 2 2 2 16 9" xfId="9797" xr:uid="{00000000-0005-0000-0000-000045260000}"/>
    <cellStyle name="Normal 2 2 2 17" xfId="9798" xr:uid="{00000000-0005-0000-0000-000046260000}"/>
    <cellStyle name="Normal 2 2 2 17 10" xfId="9799" xr:uid="{00000000-0005-0000-0000-000047260000}"/>
    <cellStyle name="Normal 2 2 2 17 11" xfId="9800" xr:uid="{00000000-0005-0000-0000-000048260000}"/>
    <cellStyle name="Normal 2 2 2 17 12" xfId="9801" xr:uid="{00000000-0005-0000-0000-000049260000}"/>
    <cellStyle name="Normal 2 2 2 17 13" xfId="9802" xr:uid="{00000000-0005-0000-0000-00004A260000}"/>
    <cellStyle name="Normal 2 2 2 17 14" xfId="9803" xr:uid="{00000000-0005-0000-0000-00004B260000}"/>
    <cellStyle name="Normal 2 2 2 17 2" xfId="9804" xr:uid="{00000000-0005-0000-0000-00004C260000}"/>
    <cellStyle name="Normal 2 2 2 17 2 10" xfId="9805" xr:uid="{00000000-0005-0000-0000-00004D260000}"/>
    <cellStyle name="Normal 2 2 2 17 2 2" xfId="9806" xr:uid="{00000000-0005-0000-0000-00004E260000}"/>
    <cellStyle name="Normal 2 2 2 17 2 3" xfId="9807" xr:uid="{00000000-0005-0000-0000-00004F260000}"/>
    <cellStyle name="Normal 2 2 2 17 2 4" xfId="9808" xr:uid="{00000000-0005-0000-0000-000050260000}"/>
    <cellStyle name="Normal 2 2 2 17 2 5" xfId="9809" xr:uid="{00000000-0005-0000-0000-000051260000}"/>
    <cellStyle name="Normal 2 2 2 17 2 6" xfId="9810" xr:uid="{00000000-0005-0000-0000-000052260000}"/>
    <cellStyle name="Normal 2 2 2 17 2 7" xfId="9811" xr:uid="{00000000-0005-0000-0000-000053260000}"/>
    <cellStyle name="Normal 2 2 2 17 2 8" xfId="9812" xr:uid="{00000000-0005-0000-0000-000054260000}"/>
    <cellStyle name="Normal 2 2 2 17 2 9" xfId="9813" xr:uid="{00000000-0005-0000-0000-000055260000}"/>
    <cellStyle name="Normal 2 2 2 17 3" xfId="9814" xr:uid="{00000000-0005-0000-0000-000056260000}"/>
    <cellStyle name="Normal 2 2 2 17 3 10" xfId="9815" xr:uid="{00000000-0005-0000-0000-000057260000}"/>
    <cellStyle name="Normal 2 2 2 17 3 2" xfId="9816" xr:uid="{00000000-0005-0000-0000-000058260000}"/>
    <cellStyle name="Normal 2 2 2 17 3 3" xfId="9817" xr:uid="{00000000-0005-0000-0000-000059260000}"/>
    <cellStyle name="Normal 2 2 2 17 3 4" xfId="9818" xr:uid="{00000000-0005-0000-0000-00005A260000}"/>
    <cellStyle name="Normal 2 2 2 17 3 5" xfId="9819" xr:uid="{00000000-0005-0000-0000-00005B260000}"/>
    <cellStyle name="Normal 2 2 2 17 3 6" xfId="9820" xr:uid="{00000000-0005-0000-0000-00005C260000}"/>
    <cellStyle name="Normal 2 2 2 17 3 7" xfId="9821" xr:uid="{00000000-0005-0000-0000-00005D260000}"/>
    <cellStyle name="Normal 2 2 2 17 3 8" xfId="9822" xr:uid="{00000000-0005-0000-0000-00005E260000}"/>
    <cellStyle name="Normal 2 2 2 17 3 9" xfId="9823" xr:uid="{00000000-0005-0000-0000-00005F260000}"/>
    <cellStyle name="Normal 2 2 2 17 4" xfId="9824" xr:uid="{00000000-0005-0000-0000-000060260000}"/>
    <cellStyle name="Normal 2 2 2 17 4 10" xfId="9825" xr:uid="{00000000-0005-0000-0000-000061260000}"/>
    <cellStyle name="Normal 2 2 2 17 4 2" xfId="9826" xr:uid="{00000000-0005-0000-0000-000062260000}"/>
    <cellStyle name="Normal 2 2 2 17 4 3" xfId="9827" xr:uid="{00000000-0005-0000-0000-000063260000}"/>
    <cellStyle name="Normal 2 2 2 17 4 4" xfId="9828" xr:uid="{00000000-0005-0000-0000-000064260000}"/>
    <cellStyle name="Normal 2 2 2 17 4 5" xfId="9829" xr:uid="{00000000-0005-0000-0000-000065260000}"/>
    <cellStyle name="Normal 2 2 2 17 4 6" xfId="9830" xr:uid="{00000000-0005-0000-0000-000066260000}"/>
    <cellStyle name="Normal 2 2 2 17 4 7" xfId="9831" xr:uid="{00000000-0005-0000-0000-000067260000}"/>
    <cellStyle name="Normal 2 2 2 17 4 8" xfId="9832" xr:uid="{00000000-0005-0000-0000-000068260000}"/>
    <cellStyle name="Normal 2 2 2 17 4 9" xfId="9833" xr:uid="{00000000-0005-0000-0000-000069260000}"/>
    <cellStyle name="Normal 2 2 2 17 5" xfId="9834" xr:uid="{00000000-0005-0000-0000-00006A260000}"/>
    <cellStyle name="Normal 2 2 2 17 5 10" xfId="9835" xr:uid="{00000000-0005-0000-0000-00006B260000}"/>
    <cellStyle name="Normal 2 2 2 17 5 2" xfId="9836" xr:uid="{00000000-0005-0000-0000-00006C260000}"/>
    <cellStyle name="Normal 2 2 2 17 5 3" xfId="9837" xr:uid="{00000000-0005-0000-0000-00006D260000}"/>
    <cellStyle name="Normal 2 2 2 17 5 4" xfId="9838" xr:uid="{00000000-0005-0000-0000-00006E260000}"/>
    <cellStyle name="Normal 2 2 2 17 5 5" xfId="9839" xr:uid="{00000000-0005-0000-0000-00006F260000}"/>
    <cellStyle name="Normal 2 2 2 17 5 6" xfId="9840" xr:uid="{00000000-0005-0000-0000-000070260000}"/>
    <cellStyle name="Normal 2 2 2 17 5 7" xfId="9841" xr:uid="{00000000-0005-0000-0000-000071260000}"/>
    <cellStyle name="Normal 2 2 2 17 5 8" xfId="9842" xr:uid="{00000000-0005-0000-0000-000072260000}"/>
    <cellStyle name="Normal 2 2 2 17 5 9" xfId="9843" xr:uid="{00000000-0005-0000-0000-000073260000}"/>
    <cellStyle name="Normal 2 2 2 17 6" xfId="9844" xr:uid="{00000000-0005-0000-0000-000074260000}"/>
    <cellStyle name="Normal 2 2 2 17 7" xfId="9845" xr:uid="{00000000-0005-0000-0000-000075260000}"/>
    <cellStyle name="Normal 2 2 2 17 8" xfId="9846" xr:uid="{00000000-0005-0000-0000-000076260000}"/>
    <cellStyle name="Normal 2 2 2 17 9" xfId="9847" xr:uid="{00000000-0005-0000-0000-000077260000}"/>
    <cellStyle name="Normal 2 2 2 18" xfId="9848" xr:uid="{00000000-0005-0000-0000-000078260000}"/>
    <cellStyle name="Normal 2 2 2 18 10" xfId="9849" xr:uid="{00000000-0005-0000-0000-000079260000}"/>
    <cellStyle name="Normal 2 2 2 18 11" xfId="9850" xr:uid="{00000000-0005-0000-0000-00007A260000}"/>
    <cellStyle name="Normal 2 2 2 18 12" xfId="9851" xr:uid="{00000000-0005-0000-0000-00007B260000}"/>
    <cellStyle name="Normal 2 2 2 18 13" xfId="9852" xr:uid="{00000000-0005-0000-0000-00007C260000}"/>
    <cellStyle name="Normal 2 2 2 18 14" xfId="9853" xr:uid="{00000000-0005-0000-0000-00007D260000}"/>
    <cellStyle name="Normal 2 2 2 18 2" xfId="9854" xr:uid="{00000000-0005-0000-0000-00007E260000}"/>
    <cellStyle name="Normal 2 2 2 18 2 10" xfId="9855" xr:uid="{00000000-0005-0000-0000-00007F260000}"/>
    <cellStyle name="Normal 2 2 2 18 2 2" xfId="9856" xr:uid="{00000000-0005-0000-0000-000080260000}"/>
    <cellStyle name="Normal 2 2 2 18 2 3" xfId="9857" xr:uid="{00000000-0005-0000-0000-000081260000}"/>
    <cellStyle name="Normal 2 2 2 18 2 4" xfId="9858" xr:uid="{00000000-0005-0000-0000-000082260000}"/>
    <cellStyle name="Normal 2 2 2 18 2 5" xfId="9859" xr:uid="{00000000-0005-0000-0000-000083260000}"/>
    <cellStyle name="Normal 2 2 2 18 2 6" xfId="9860" xr:uid="{00000000-0005-0000-0000-000084260000}"/>
    <cellStyle name="Normal 2 2 2 18 2 7" xfId="9861" xr:uid="{00000000-0005-0000-0000-000085260000}"/>
    <cellStyle name="Normal 2 2 2 18 2 8" xfId="9862" xr:uid="{00000000-0005-0000-0000-000086260000}"/>
    <cellStyle name="Normal 2 2 2 18 2 9" xfId="9863" xr:uid="{00000000-0005-0000-0000-000087260000}"/>
    <cellStyle name="Normal 2 2 2 18 3" xfId="9864" xr:uid="{00000000-0005-0000-0000-000088260000}"/>
    <cellStyle name="Normal 2 2 2 18 3 10" xfId="9865" xr:uid="{00000000-0005-0000-0000-000089260000}"/>
    <cellStyle name="Normal 2 2 2 18 3 2" xfId="9866" xr:uid="{00000000-0005-0000-0000-00008A260000}"/>
    <cellStyle name="Normal 2 2 2 18 3 3" xfId="9867" xr:uid="{00000000-0005-0000-0000-00008B260000}"/>
    <cellStyle name="Normal 2 2 2 18 3 4" xfId="9868" xr:uid="{00000000-0005-0000-0000-00008C260000}"/>
    <cellStyle name="Normal 2 2 2 18 3 5" xfId="9869" xr:uid="{00000000-0005-0000-0000-00008D260000}"/>
    <cellStyle name="Normal 2 2 2 18 3 6" xfId="9870" xr:uid="{00000000-0005-0000-0000-00008E260000}"/>
    <cellStyle name="Normal 2 2 2 18 3 7" xfId="9871" xr:uid="{00000000-0005-0000-0000-00008F260000}"/>
    <cellStyle name="Normal 2 2 2 18 3 8" xfId="9872" xr:uid="{00000000-0005-0000-0000-000090260000}"/>
    <cellStyle name="Normal 2 2 2 18 3 9" xfId="9873" xr:uid="{00000000-0005-0000-0000-000091260000}"/>
    <cellStyle name="Normal 2 2 2 18 4" xfId="9874" xr:uid="{00000000-0005-0000-0000-000092260000}"/>
    <cellStyle name="Normal 2 2 2 18 4 10" xfId="9875" xr:uid="{00000000-0005-0000-0000-000093260000}"/>
    <cellStyle name="Normal 2 2 2 18 4 2" xfId="9876" xr:uid="{00000000-0005-0000-0000-000094260000}"/>
    <cellStyle name="Normal 2 2 2 18 4 3" xfId="9877" xr:uid="{00000000-0005-0000-0000-000095260000}"/>
    <cellStyle name="Normal 2 2 2 18 4 4" xfId="9878" xr:uid="{00000000-0005-0000-0000-000096260000}"/>
    <cellStyle name="Normal 2 2 2 18 4 5" xfId="9879" xr:uid="{00000000-0005-0000-0000-000097260000}"/>
    <cellStyle name="Normal 2 2 2 18 4 6" xfId="9880" xr:uid="{00000000-0005-0000-0000-000098260000}"/>
    <cellStyle name="Normal 2 2 2 18 4 7" xfId="9881" xr:uid="{00000000-0005-0000-0000-000099260000}"/>
    <cellStyle name="Normal 2 2 2 18 4 8" xfId="9882" xr:uid="{00000000-0005-0000-0000-00009A260000}"/>
    <cellStyle name="Normal 2 2 2 18 4 9" xfId="9883" xr:uid="{00000000-0005-0000-0000-00009B260000}"/>
    <cellStyle name="Normal 2 2 2 18 5" xfId="9884" xr:uid="{00000000-0005-0000-0000-00009C260000}"/>
    <cellStyle name="Normal 2 2 2 18 5 10" xfId="9885" xr:uid="{00000000-0005-0000-0000-00009D260000}"/>
    <cellStyle name="Normal 2 2 2 18 5 2" xfId="9886" xr:uid="{00000000-0005-0000-0000-00009E260000}"/>
    <cellStyle name="Normal 2 2 2 18 5 3" xfId="9887" xr:uid="{00000000-0005-0000-0000-00009F260000}"/>
    <cellStyle name="Normal 2 2 2 18 5 4" xfId="9888" xr:uid="{00000000-0005-0000-0000-0000A0260000}"/>
    <cellStyle name="Normal 2 2 2 18 5 5" xfId="9889" xr:uid="{00000000-0005-0000-0000-0000A1260000}"/>
    <cellStyle name="Normal 2 2 2 18 5 6" xfId="9890" xr:uid="{00000000-0005-0000-0000-0000A2260000}"/>
    <cellStyle name="Normal 2 2 2 18 5 7" xfId="9891" xr:uid="{00000000-0005-0000-0000-0000A3260000}"/>
    <cellStyle name="Normal 2 2 2 18 5 8" xfId="9892" xr:uid="{00000000-0005-0000-0000-0000A4260000}"/>
    <cellStyle name="Normal 2 2 2 18 5 9" xfId="9893" xr:uid="{00000000-0005-0000-0000-0000A5260000}"/>
    <cellStyle name="Normal 2 2 2 18 6" xfId="9894" xr:uid="{00000000-0005-0000-0000-0000A6260000}"/>
    <cellStyle name="Normal 2 2 2 18 7" xfId="9895" xr:uid="{00000000-0005-0000-0000-0000A7260000}"/>
    <cellStyle name="Normal 2 2 2 18 8" xfId="9896" xr:uid="{00000000-0005-0000-0000-0000A8260000}"/>
    <cellStyle name="Normal 2 2 2 18 9" xfId="9897" xr:uid="{00000000-0005-0000-0000-0000A9260000}"/>
    <cellStyle name="Normal 2 2 2 19" xfId="9898" xr:uid="{00000000-0005-0000-0000-0000AA260000}"/>
    <cellStyle name="Normal 2 2 2 19 10" xfId="9899" xr:uid="{00000000-0005-0000-0000-0000AB260000}"/>
    <cellStyle name="Normal 2 2 2 19 11" xfId="9900" xr:uid="{00000000-0005-0000-0000-0000AC260000}"/>
    <cellStyle name="Normal 2 2 2 19 12" xfId="9901" xr:uid="{00000000-0005-0000-0000-0000AD260000}"/>
    <cellStyle name="Normal 2 2 2 19 13" xfId="9902" xr:uid="{00000000-0005-0000-0000-0000AE260000}"/>
    <cellStyle name="Normal 2 2 2 19 14" xfId="9903" xr:uid="{00000000-0005-0000-0000-0000AF260000}"/>
    <cellStyle name="Normal 2 2 2 19 2" xfId="9904" xr:uid="{00000000-0005-0000-0000-0000B0260000}"/>
    <cellStyle name="Normal 2 2 2 19 2 10" xfId="9905" xr:uid="{00000000-0005-0000-0000-0000B1260000}"/>
    <cellStyle name="Normal 2 2 2 19 2 2" xfId="9906" xr:uid="{00000000-0005-0000-0000-0000B2260000}"/>
    <cellStyle name="Normal 2 2 2 19 2 3" xfId="9907" xr:uid="{00000000-0005-0000-0000-0000B3260000}"/>
    <cellStyle name="Normal 2 2 2 19 2 4" xfId="9908" xr:uid="{00000000-0005-0000-0000-0000B4260000}"/>
    <cellStyle name="Normal 2 2 2 19 2 5" xfId="9909" xr:uid="{00000000-0005-0000-0000-0000B5260000}"/>
    <cellStyle name="Normal 2 2 2 19 2 6" xfId="9910" xr:uid="{00000000-0005-0000-0000-0000B6260000}"/>
    <cellStyle name="Normal 2 2 2 19 2 7" xfId="9911" xr:uid="{00000000-0005-0000-0000-0000B7260000}"/>
    <cellStyle name="Normal 2 2 2 19 2 8" xfId="9912" xr:uid="{00000000-0005-0000-0000-0000B8260000}"/>
    <cellStyle name="Normal 2 2 2 19 2 9" xfId="9913" xr:uid="{00000000-0005-0000-0000-0000B9260000}"/>
    <cellStyle name="Normal 2 2 2 19 3" xfId="9914" xr:uid="{00000000-0005-0000-0000-0000BA260000}"/>
    <cellStyle name="Normal 2 2 2 19 3 10" xfId="9915" xr:uid="{00000000-0005-0000-0000-0000BB260000}"/>
    <cellStyle name="Normal 2 2 2 19 3 2" xfId="9916" xr:uid="{00000000-0005-0000-0000-0000BC260000}"/>
    <cellStyle name="Normal 2 2 2 19 3 3" xfId="9917" xr:uid="{00000000-0005-0000-0000-0000BD260000}"/>
    <cellStyle name="Normal 2 2 2 19 3 4" xfId="9918" xr:uid="{00000000-0005-0000-0000-0000BE260000}"/>
    <cellStyle name="Normal 2 2 2 19 3 5" xfId="9919" xr:uid="{00000000-0005-0000-0000-0000BF260000}"/>
    <cellStyle name="Normal 2 2 2 19 3 6" xfId="9920" xr:uid="{00000000-0005-0000-0000-0000C0260000}"/>
    <cellStyle name="Normal 2 2 2 19 3 7" xfId="9921" xr:uid="{00000000-0005-0000-0000-0000C1260000}"/>
    <cellStyle name="Normal 2 2 2 19 3 8" xfId="9922" xr:uid="{00000000-0005-0000-0000-0000C2260000}"/>
    <cellStyle name="Normal 2 2 2 19 3 9" xfId="9923" xr:uid="{00000000-0005-0000-0000-0000C3260000}"/>
    <cellStyle name="Normal 2 2 2 19 4" xfId="9924" xr:uid="{00000000-0005-0000-0000-0000C4260000}"/>
    <cellStyle name="Normal 2 2 2 19 4 10" xfId="9925" xr:uid="{00000000-0005-0000-0000-0000C5260000}"/>
    <cellStyle name="Normal 2 2 2 19 4 2" xfId="9926" xr:uid="{00000000-0005-0000-0000-0000C6260000}"/>
    <cellStyle name="Normal 2 2 2 19 4 3" xfId="9927" xr:uid="{00000000-0005-0000-0000-0000C7260000}"/>
    <cellStyle name="Normal 2 2 2 19 4 4" xfId="9928" xr:uid="{00000000-0005-0000-0000-0000C8260000}"/>
    <cellStyle name="Normal 2 2 2 19 4 5" xfId="9929" xr:uid="{00000000-0005-0000-0000-0000C9260000}"/>
    <cellStyle name="Normal 2 2 2 19 4 6" xfId="9930" xr:uid="{00000000-0005-0000-0000-0000CA260000}"/>
    <cellStyle name="Normal 2 2 2 19 4 7" xfId="9931" xr:uid="{00000000-0005-0000-0000-0000CB260000}"/>
    <cellStyle name="Normal 2 2 2 19 4 8" xfId="9932" xr:uid="{00000000-0005-0000-0000-0000CC260000}"/>
    <cellStyle name="Normal 2 2 2 19 4 9" xfId="9933" xr:uid="{00000000-0005-0000-0000-0000CD260000}"/>
    <cellStyle name="Normal 2 2 2 19 5" xfId="9934" xr:uid="{00000000-0005-0000-0000-0000CE260000}"/>
    <cellStyle name="Normal 2 2 2 19 5 10" xfId="9935" xr:uid="{00000000-0005-0000-0000-0000CF260000}"/>
    <cellStyle name="Normal 2 2 2 19 5 2" xfId="9936" xr:uid="{00000000-0005-0000-0000-0000D0260000}"/>
    <cellStyle name="Normal 2 2 2 19 5 3" xfId="9937" xr:uid="{00000000-0005-0000-0000-0000D1260000}"/>
    <cellStyle name="Normal 2 2 2 19 5 4" xfId="9938" xr:uid="{00000000-0005-0000-0000-0000D2260000}"/>
    <cellStyle name="Normal 2 2 2 19 5 5" xfId="9939" xr:uid="{00000000-0005-0000-0000-0000D3260000}"/>
    <cellStyle name="Normal 2 2 2 19 5 6" xfId="9940" xr:uid="{00000000-0005-0000-0000-0000D4260000}"/>
    <cellStyle name="Normal 2 2 2 19 5 7" xfId="9941" xr:uid="{00000000-0005-0000-0000-0000D5260000}"/>
    <cellStyle name="Normal 2 2 2 19 5 8" xfId="9942" xr:uid="{00000000-0005-0000-0000-0000D6260000}"/>
    <cellStyle name="Normal 2 2 2 19 5 9" xfId="9943" xr:uid="{00000000-0005-0000-0000-0000D7260000}"/>
    <cellStyle name="Normal 2 2 2 19 6" xfId="9944" xr:uid="{00000000-0005-0000-0000-0000D8260000}"/>
    <cellStyle name="Normal 2 2 2 19 7" xfId="9945" xr:uid="{00000000-0005-0000-0000-0000D9260000}"/>
    <cellStyle name="Normal 2 2 2 19 8" xfId="9946" xr:uid="{00000000-0005-0000-0000-0000DA260000}"/>
    <cellStyle name="Normal 2 2 2 19 9" xfId="9947" xr:uid="{00000000-0005-0000-0000-0000DB260000}"/>
    <cellStyle name="Normal 2 2 2 2" xfId="14" xr:uid="{00000000-0005-0000-0000-00000E000000}"/>
    <cellStyle name="Normal 2 2 2 2 10" xfId="9948" xr:uid="{00000000-0005-0000-0000-0000DC260000}"/>
    <cellStyle name="Normal 2 2 2 2 11" xfId="9949" xr:uid="{00000000-0005-0000-0000-0000DD260000}"/>
    <cellStyle name="Normal 2 2 2 2 12" xfId="9950" xr:uid="{00000000-0005-0000-0000-0000DE260000}"/>
    <cellStyle name="Normal 2 2 2 2 13" xfId="9951" xr:uid="{00000000-0005-0000-0000-0000DF260000}"/>
    <cellStyle name="Normal 2 2 2 2 14" xfId="9952" xr:uid="{00000000-0005-0000-0000-0000E0260000}"/>
    <cellStyle name="Normal 2 2 2 2 15" xfId="9953" xr:uid="{00000000-0005-0000-0000-0000E1260000}"/>
    <cellStyle name="Normal 2 2 2 2 16" xfId="9954" xr:uid="{00000000-0005-0000-0000-0000E2260000}"/>
    <cellStyle name="Normal 2 2 2 2 17" xfId="9955" xr:uid="{00000000-0005-0000-0000-0000E3260000}"/>
    <cellStyle name="Normal 2 2 2 2 18" xfId="9956" xr:uid="{00000000-0005-0000-0000-0000E4260000}"/>
    <cellStyle name="Normal 2 2 2 2 19" xfId="9957" xr:uid="{00000000-0005-0000-0000-0000E5260000}"/>
    <cellStyle name="Normal 2 2 2 2 2" xfId="15" xr:uid="{00000000-0005-0000-0000-00000F000000}"/>
    <cellStyle name="Normal 2 2 2 2 2 10" xfId="9958" xr:uid="{00000000-0005-0000-0000-0000E6260000}"/>
    <cellStyle name="Normal 2 2 2 2 2 10 10" xfId="9959" xr:uid="{00000000-0005-0000-0000-0000E7260000}"/>
    <cellStyle name="Normal 2 2 2 2 2 10 11" xfId="9960" xr:uid="{00000000-0005-0000-0000-0000E8260000}"/>
    <cellStyle name="Normal 2 2 2 2 2 10 12" xfId="9961" xr:uid="{00000000-0005-0000-0000-0000E9260000}"/>
    <cellStyle name="Normal 2 2 2 2 2 10 13" xfId="9962" xr:uid="{00000000-0005-0000-0000-0000EA260000}"/>
    <cellStyle name="Normal 2 2 2 2 2 10 14" xfId="9963" xr:uid="{00000000-0005-0000-0000-0000EB260000}"/>
    <cellStyle name="Normal 2 2 2 2 2 10 2" xfId="9964" xr:uid="{00000000-0005-0000-0000-0000EC260000}"/>
    <cellStyle name="Normal 2 2 2 2 2 10 2 10" xfId="9965" xr:uid="{00000000-0005-0000-0000-0000ED260000}"/>
    <cellStyle name="Normal 2 2 2 2 2 10 2 2" xfId="9966" xr:uid="{00000000-0005-0000-0000-0000EE260000}"/>
    <cellStyle name="Normal 2 2 2 2 2 10 2 3" xfId="9967" xr:uid="{00000000-0005-0000-0000-0000EF260000}"/>
    <cellStyle name="Normal 2 2 2 2 2 10 2 4" xfId="9968" xr:uid="{00000000-0005-0000-0000-0000F0260000}"/>
    <cellStyle name="Normal 2 2 2 2 2 10 2 5" xfId="9969" xr:uid="{00000000-0005-0000-0000-0000F1260000}"/>
    <cellStyle name="Normal 2 2 2 2 2 10 2 6" xfId="9970" xr:uid="{00000000-0005-0000-0000-0000F2260000}"/>
    <cellStyle name="Normal 2 2 2 2 2 10 2 7" xfId="9971" xr:uid="{00000000-0005-0000-0000-0000F3260000}"/>
    <cellStyle name="Normal 2 2 2 2 2 10 2 8" xfId="9972" xr:uid="{00000000-0005-0000-0000-0000F4260000}"/>
    <cellStyle name="Normal 2 2 2 2 2 10 2 9" xfId="9973" xr:uid="{00000000-0005-0000-0000-0000F5260000}"/>
    <cellStyle name="Normal 2 2 2 2 2 10 3" xfId="9974" xr:uid="{00000000-0005-0000-0000-0000F6260000}"/>
    <cellStyle name="Normal 2 2 2 2 2 10 3 10" xfId="9975" xr:uid="{00000000-0005-0000-0000-0000F7260000}"/>
    <cellStyle name="Normal 2 2 2 2 2 10 3 2" xfId="9976" xr:uid="{00000000-0005-0000-0000-0000F8260000}"/>
    <cellStyle name="Normal 2 2 2 2 2 10 3 3" xfId="9977" xr:uid="{00000000-0005-0000-0000-0000F9260000}"/>
    <cellStyle name="Normal 2 2 2 2 2 10 3 4" xfId="9978" xr:uid="{00000000-0005-0000-0000-0000FA260000}"/>
    <cellStyle name="Normal 2 2 2 2 2 10 3 5" xfId="9979" xr:uid="{00000000-0005-0000-0000-0000FB260000}"/>
    <cellStyle name="Normal 2 2 2 2 2 10 3 6" xfId="9980" xr:uid="{00000000-0005-0000-0000-0000FC260000}"/>
    <cellStyle name="Normal 2 2 2 2 2 10 3 7" xfId="9981" xr:uid="{00000000-0005-0000-0000-0000FD260000}"/>
    <cellStyle name="Normal 2 2 2 2 2 10 3 8" xfId="9982" xr:uid="{00000000-0005-0000-0000-0000FE260000}"/>
    <cellStyle name="Normal 2 2 2 2 2 10 3 9" xfId="9983" xr:uid="{00000000-0005-0000-0000-0000FF260000}"/>
    <cellStyle name="Normal 2 2 2 2 2 10 4" xfId="9984" xr:uid="{00000000-0005-0000-0000-000000270000}"/>
    <cellStyle name="Normal 2 2 2 2 2 10 4 10" xfId="9985" xr:uid="{00000000-0005-0000-0000-000001270000}"/>
    <cellStyle name="Normal 2 2 2 2 2 10 4 2" xfId="9986" xr:uid="{00000000-0005-0000-0000-000002270000}"/>
    <cellStyle name="Normal 2 2 2 2 2 10 4 3" xfId="9987" xr:uid="{00000000-0005-0000-0000-000003270000}"/>
    <cellStyle name="Normal 2 2 2 2 2 10 4 4" xfId="9988" xr:uid="{00000000-0005-0000-0000-000004270000}"/>
    <cellStyle name="Normal 2 2 2 2 2 10 4 5" xfId="9989" xr:uid="{00000000-0005-0000-0000-000005270000}"/>
    <cellStyle name="Normal 2 2 2 2 2 10 4 6" xfId="9990" xr:uid="{00000000-0005-0000-0000-000006270000}"/>
    <cellStyle name="Normal 2 2 2 2 2 10 4 7" xfId="9991" xr:uid="{00000000-0005-0000-0000-000007270000}"/>
    <cellStyle name="Normal 2 2 2 2 2 10 4 8" xfId="9992" xr:uid="{00000000-0005-0000-0000-000008270000}"/>
    <cellStyle name="Normal 2 2 2 2 2 10 4 9" xfId="9993" xr:uid="{00000000-0005-0000-0000-000009270000}"/>
    <cellStyle name="Normal 2 2 2 2 2 10 5" xfId="9994" xr:uid="{00000000-0005-0000-0000-00000A270000}"/>
    <cellStyle name="Normal 2 2 2 2 2 10 5 10" xfId="9995" xr:uid="{00000000-0005-0000-0000-00000B270000}"/>
    <cellStyle name="Normal 2 2 2 2 2 10 5 2" xfId="9996" xr:uid="{00000000-0005-0000-0000-00000C270000}"/>
    <cellStyle name="Normal 2 2 2 2 2 10 5 3" xfId="9997" xr:uid="{00000000-0005-0000-0000-00000D270000}"/>
    <cellStyle name="Normal 2 2 2 2 2 10 5 4" xfId="9998" xr:uid="{00000000-0005-0000-0000-00000E270000}"/>
    <cellStyle name="Normal 2 2 2 2 2 10 5 5" xfId="9999" xr:uid="{00000000-0005-0000-0000-00000F270000}"/>
    <cellStyle name="Normal 2 2 2 2 2 10 5 6" xfId="10000" xr:uid="{00000000-0005-0000-0000-000010270000}"/>
    <cellStyle name="Normal 2 2 2 2 2 10 5 7" xfId="10001" xr:uid="{00000000-0005-0000-0000-000011270000}"/>
    <cellStyle name="Normal 2 2 2 2 2 10 5 8" xfId="10002" xr:uid="{00000000-0005-0000-0000-000012270000}"/>
    <cellStyle name="Normal 2 2 2 2 2 10 5 9" xfId="10003" xr:uid="{00000000-0005-0000-0000-000013270000}"/>
    <cellStyle name="Normal 2 2 2 2 2 10 6" xfId="10004" xr:uid="{00000000-0005-0000-0000-000014270000}"/>
    <cellStyle name="Normal 2 2 2 2 2 10 7" xfId="10005" xr:uid="{00000000-0005-0000-0000-000015270000}"/>
    <cellStyle name="Normal 2 2 2 2 2 10 8" xfId="10006" xr:uid="{00000000-0005-0000-0000-000016270000}"/>
    <cellStyle name="Normal 2 2 2 2 2 10 9" xfId="10007" xr:uid="{00000000-0005-0000-0000-000017270000}"/>
    <cellStyle name="Normal 2 2 2 2 2 11" xfId="10008" xr:uid="{00000000-0005-0000-0000-000018270000}"/>
    <cellStyle name="Normal 2 2 2 2 2 11 10" xfId="10009" xr:uid="{00000000-0005-0000-0000-000019270000}"/>
    <cellStyle name="Normal 2 2 2 2 2 11 11" xfId="10010" xr:uid="{00000000-0005-0000-0000-00001A270000}"/>
    <cellStyle name="Normal 2 2 2 2 2 11 12" xfId="10011" xr:uid="{00000000-0005-0000-0000-00001B270000}"/>
    <cellStyle name="Normal 2 2 2 2 2 11 13" xfId="10012" xr:uid="{00000000-0005-0000-0000-00001C270000}"/>
    <cellStyle name="Normal 2 2 2 2 2 11 14" xfId="10013" xr:uid="{00000000-0005-0000-0000-00001D270000}"/>
    <cellStyle name="Normal 2 2 2 2 2 11 2" xfId="10014" xr:uid="{00000000-0005-0000-0000-00001E270000}"/>
    <cellStyle name="Normal 2 2 2 2 2 11 2 10" xfId="10015" xr:uid="{00000000-0005-0000-0000-00001F270000}"/>
    <cellStyle name="Normal 2 2 2 2 2 11 2 2" xfId="10016" xr:uid="{00000000-0005-0000-0000-000020270000}"/>
    <cellStyle name="Normal 2 2 2 2 2 11 2 3" xfId="10017" xr:uid="{00000000-0005-0000-0000-000021270000}"/>
    <cellStyle name="Normal 2 2 2 2 2 11 2 4" xfId="10018" xr:uid="{00000000-0005-0000-0000-000022270000}"/>
    <cellStyle name="Normal 2 2 2 2 2 11 2 5" xfId="10019" xr:uid="{00000000-0005-0000-0000-000023270000}"/>
    <cellStyle name="Normal 2 2 2 2 2 11 2 6" xfId="10020" xr:uid="{00000000-0005-0000-0000-000024270000}"/>
    <cellStyle name="Normal 2 2 2 2 2 11 2 7" xfId="10021" xr:uid="{00000000-0005-0000-0000-000025270000}"/>
    <cellStyle name="Normal 2 2 2 2 2 11 2 8" xfId="10022" xr:uid="{00000000-0005-0000-0000-000026270000}"/>
    <cellStyle name="Normal 2 2 2 2 2 11 2 9" xfId="10023" xr:uid="{00000000-0005-0000-0000-000027270000}"/>
    <cellStyle name="Normal 2 2 2 2 2 11 3" xfId="10024" xr:uid="{00000000-0005-0000-0000-000028270000}"/>
    <cellStyle name="Normal 2 2 2 2 2 11 3 10" xfId="10025" xr:uid="{00000000-0005-0000-0000-000029270000}"/>
    <cellStyle name="Normal 2 2 2 2 2 11 3 2" xfId="10026" xr:uid="{00000000-0005-0000-0000-00002A270000}"/>
    <cellStyle name="Normal 2 2 2 2 2 11 3 3" xfId="10027" xr:uid="{00000000-0005-0000-0000-00002B270000}"/>
    <cellStyle name="Normal 2 2 2 2 2 11 3 4" xfId="10028" xr:uid="{00000000-0005-0000-0000-00002C270000}"/>
    <cellStyle name="Normal 2 2 2 2 2 11 3 5" xfId="10029" xr:uid="{00000000-0005-0000-0000-00002D270000}"/>
    <cellStyle name="Normal 2 2 2 2 2 11 3 6" xfId="10030" xr:uid="{00000000-0005-0000-0000-00002E270000}"/>
    <cellStyle name="Normal 2 2 2 2 2 11 3 7" xfId="10031" xr:uid="{00000000-0005-0000-0000-00002F270000}"/>
    <cellStyle name="Normal 2 2 2 2 2 11 3 8" xfId="10032" xr:uid="{00000000-0005-0000-0000-000030270000}"/>
    <cellStyle name="Normal 2 2 2 2 2 11 3 9" xfId="10033" xr:uid="{00000000-0005-0000-0000-000031270000}"/>
    <cellStyle name="Normal 2 2 2 2 2 11 4" xfId="10034" xr:uid="{00000000-0005-0000-0000-000032270000}"/>
    <cellStyle name="Normal 2 2 2 2 2 11 4 10" xfId="10035" xr:uid="{00000000-0005-0000-0000-000033270000}"/>
    <cellStyle name="Normal 2 2 2 2 2 11 4 2" xfId="10036" xr:uid="{00000000-0005-0000-0000-000034270000}"/>
    <cellStyle name="Normal 2 2 2 2 2 11 4 3" xfId="10037" xr:uid="{00000000-0005-0000-0000-000035270000}"/>
    <cellStyle name="Normal 2 2 2 2 2 11 4 4" xfId="10038" xr:uid="{00000000-0005-0000-0000-000036270000}"/>
    <cellStyle name="Normal 2 2 2 2 2 11 4 5" xfId="10039" xr:uid="{00000000-0005-0000-0000-000037270000}"/>
    <cellStyle name="Normal 2 2 2 2 2 11 4 6" xfId="10040" xr:uid="{00000000-0005-0000-0000-000038270000}"/>
    <cellStyle name="Normal 2 2 2 2 2 11 4 7" xfId="10041" xr:uid="{00000000-0005-0000-0000-000039270000}"/>
    <cellStyle name="Normal 2 2 2 2 2 11 4 8" xfId="10042" xr:uid="{00000000-0005-0000-0000-00003A270000}"/>
    <cellStyle name="Normal 2 2 2 2 2 11 4 9" xfId="10043" xr:uid="{00000000-0005-0000-0000-00003B270000}"/>
    <cellStyle name="Normal 2 2 2 2 2 11 5" xfId="10044" xr:uid="{00000000-0005-0000-0000-00003C270000}"/>
    <cellStyle name="Normal 2 2 2 2 2 11 5 10" xfId="10045" xr:uid="{00000000-0005-0000-0000-00003D270000}"/>
    <cellStyle name="Normal 2 2 2 2 2 11 5 2" xfId="10046" xr:uid="{00000000-0005-0000-0000-00003E270000}"/>
    <cellStyle name="Normal 2 2 2 2 2 11 5 3" xfId="10047" xr:uid="{00000000-0005-0000-0000-00003F270000}"/>
    <cellStyle name="Normal 2 2 2 2 2 11 5 4" xfId="10048" xr:uid="{00000000-0005-0000-0000-000040270000}"/>
    <cellStyle name="Normal 2 2 2 2 2 11 5 5" xfId="10049" xr:uid="{00000000-0005-0000-0000-000041270000}"/>
    <cellStyle name="Normal 2 2 2 2 2 11 5 6" xfId="10050" xr:uid="{00000000-0005-0000-0000-000042270000}"/>
    <cellStyle name="Normal 2 2 2 2 2 11 5 7" xfId="10051" xr:uid="{00000000-0005-0000-0000-000043270000}"/>
    <cellStyle name="Normal 2 2 2 2 2 11 5 8" xfId="10052" xr:uid="{00000000-0005-0000-0000-000044270000}"/>
    <cellStyle name="Normal 2 2 2 2 2 11 5 9" xfId="10053" xr:uid="{00000000-0005-0000-0000-000045270000}"/>
    <cellStyle name="Normal 2 2 2 2 2 11 6" xfId="10054" xr:uid="{00000000-0005-0000-0000-000046270000}"/>
    <cellStyle name="Normal 2 2 2 2 2 11 7" xfId="10055" xr:uid="{00000000-0005-0000-0000-000047270000}"/>
    <cellStyle name="Normal 2 2 2 2 2 11 8" xfId="10056" xr:uid="{00000000-0005-0000-0000-000048270000}"/>
    <cellStyle name="Normal 2 2 2 2 2 11 9" xfId="10057" xr:uid="{00000000-0005-0000-0000-000049270000}"/>
    <cellStyle name="Normal 2 2 2 2 2 12" xfId="10058" xr:uid="{00000000-0005-0000-0000-00004A270000}"/>
    <cellStyle name="Normal 2 2 2 2 2 12 10" xfId="10059" xr:uid="{00000000-0005-0000-0000-00004B270000}"/>
    <cellStyle name="Normal 2 2 2 2 2 12 11" xfId="10060" xr:uid="{00000000-0005-0000-0000-00004C270000}"/>
    <cellStyle name="Normal 2 2 2 2 2 12 12" xfId="10061" xr:uid="{00000000-0005-0000-0000-00004D270000}"/>
    <cellStyle name="Normal 2 2 2 2 2 12 13" xfId="10062" xr:uid="{00000000-0005-0000-0000-00004E270000}"/>
    <cellStyle name="Normal 2 2 2 2 2 12 14" xfId="10063" xr:uid="{00000000-0005-0000-0000-00004F270000}"/>
    <cellStyle name="Normal 2 2 2 2 2 12 2" xfId="10064" xr:uid="{00000000-0005-0000-0000-000050270000}"/>
    <cellStyle name="Normal 2 2 2 2 2 12 2 10" xfId="10065" xr:uid="{00000000-0005-0000-0000-000051270000}"/>
    <cellStyle name="Normal 2 2 2 2 2 12 2 2" xfId="10066" xr:uid="{00000000-0005-0000-0000-000052270000}"/>
    <cellStyle name="Normal 2 2 2 2 2 12 2 3" xfId="10067" xr:uid="{00000000-0005-0000-0000-000053270000}"/>
    <cellStyle name="Normal 2 2 2 2 2 12 2 4" xfId="10068" xr:uid="{00000000-0005-0000-0000-000054270000}"/>
    <cellStyle name="Normal 2 2 2 2 2 12 2 5" xfId="10069" xr:uid="{00000000-0005-0000-0000-000055270000}"/>
    <cellStyle name="Normal 2 2 2 2 2 12 2 6" xfId="10070" xr:uid="{00000000-0005-0000-0000-000056270000}"/>
    <cellStyle name="Normal 2 2 2 2 2 12 2 7" xfId="10071" xr:uid="{00000000-0005-0000-0000-000057270000}"/>
    <cellStyle name="Normal 2 2 2 2 2 12 2 8" xfId="10072" xr:uid="{00000000-0005-0000-0000-000058270000}"/>
    <cellStyle name="Normal 2 2 2 2 2 12 2 9" xfId="10073" xr:uid="{00000000-0005-0000-0000-000059270000}"/>
    <cellStyle name="Normal 2 2 2 2 2 12 3" xfId="10074" xr:uid="{00000000-0005-0000-0000-00005A270000}"/>
    <cellStyle name="Normal 2 2 2 2 2 12 3 10" xfId="10075" xr:uid="{00000000-0005-0000-0000-00005B270000}"/>
    <cellStyle name="Normal 2 2 2 2 2 12 3 2" xfId="10076" xr:uid="{00000000-0005-0000-0000-00005C270000}"/>
    <cellStyle name="Normal 2 2 2 2 2 12 3 3" xfId="10077" xr:uid="{00000000-0005-0000-0000-00005D270000}"/>
    <cellStyle name="Normal 2 2 2 2 2 12 3 4" xfId="10078" xr:uid="{00000000-0005-0000-0000-00005E270000}"/>
    <cellStyle name="Normal 2 2 2 2 2 12 3 5" xfId="10079" xr:uid="{00000000-0005-0000-0000-00005F270000}"/>
    <cellStyle name="Normal 2 2 2 2 2 12 3 6" xfId="10080" xr:uid="{00000000-0005-0000-0000-000060270000}"/>
    <cellStyle name="Normal 2 2 2 2 2 12 3 7" xfId="10081" xr:uid="{00000000-0005-0000-0000-000061270000}"/>
    <cellStyle name="Normal 2 2 2 2 2 12 3 8" xfId="10082" xr:uid="{00000000-0005-0000-0000-000062270000}"/>
    <cellStyle name="Normal 2 2 2 2 2 12 3 9" xfId="10083" xr:uid="{00000000-0005-0000-0000-000063270000}"/>
    <cellStyle name="Normal 2 2 2 2 2 12 4" xfId="10084" xr:uid="{00000000-0005-0000-0000-000064270000}"/>
    <cellStyle name="Normal 2 2 2 2 2 12 4 10" xfId="10085" xr:uid="{00000000-0005-0000-0000-000065270000}"/>
    <cellStyle name="Normal 2 2 2 2 2 12 4 2" xfId="10086" xr:uid="{00000000-0005-0000-0000-000066270000}"/>
    <cellStyle name="Normal 2 2 2 2 2 12 4 3" xfId="10087" xr:uid="{00000000-0005-0000-0000-000067270000}"/>
    <cellStyle name="Normal 2 2 2 2 2 12 4 4" xfId="10088" xr:uid="{00000000-0005-0000-0000-000068270000}"/>
    <cellStyle name="Normal 2 2 2 2 2 12 4 5" xfId="10089" xr:uid="{00000000-0005-0000-0000-000069270000}"/>
    <cellStyle name="Normal 2 2 2 2 2 12 4 6" xfId="10090" xr:uid="{00000000-0005-0000-0000-00006A270000}"/>
    <cellStyle name="Normal 2 2 2 2 2 12 4 7" xfId="10091" xr:uid="{00000000-0005-0000-0000-00006B270000}"/>
    <cellStyle name="Normal 2 2 2 2 2 12 4 8" xfId="10092" xr:uid="{00000000-0005-0000-0000-00006C270000}"/>
    <cellStyle name="Normal 2 2 2 2 2 12 4 9" xfId="10093" xr:uid="{00000000-0005-0000-0000-00006D270000}"/>
    <cellStyle name="Normal 2 2 2 2 2 12 5" xfId="10094" xr:uid="{00000000-0005-0000-0000-00006E270000}"/>
    <cellStyle name="Normal 2 2 2 2 2 12 5 10" xfId="10095" xr:uid="{00000000-0005-0000-0000-00006F270000}"/>
    <cellStyle name="Normal 2 2 2 2 2 12 5 2" xfId="10096" xr:uid="{00000000-0005-0000-0000-000070270000}"/>
    <cellStyle name="Normal 2 2 2 2 2 12 5 3" xfId="10097" xr:uid="{00000000-0005-0000-0000-000071270000}"/>
    <cellStyle name="Normal 2 2 2 2 2 12 5 4" xfId="10098" xr:uid="{00000000-0005-0000-0000-000072270000}"/>
    <cellStyle name="Normal 2 2 2 2 2 12 5 5" xfId="10099" xr:uid="{00000000-0005-0000-0000-000073270000}"/>
    <cellStyle name="Normal 2 2 2 2 2 12 5 6" xfId="10100" xr:uid="{00000000-0005-0000-0000-000074270000}"/>
    <cellStyle name="Normal 2 2 2 2 2 12 5 7" xfId="10101" xr:uid="{00000000-0005-0000-0000-000075270000}"/>
    <cellStyle name="Normal 2 2 2 2 2 12 5 8" xfId="10102" xr:uid="{00000000-0005-0000-0000-000076270000}"/>
    <cellStyle name="Normal 2 2 2 2 2 12 5 9" xfId="10103" xr:uid="{00000000-0005-0000-0000-000077270000}"/>
    <cellStyle name="Normal 2 2 2 2 2 12 6" xfId="10104" xr:uid="{00000000-0005-0000-0000-000078270000}"/>
    <cellStyle name="Normal 2 2 2 2 2 12 7" xfId="10105" xr:uid="{00000000-0005-0000-0000-000079270000}"/>
    <cellStyle name="Normal 2 2 2 2 2 12 8" xfId="10106" xr:uid="{00000000-0005-0000-0000-00007A270000}"/>
    <cellStyle name="Normal 2 2 2 2 2 12 9" xfId="10107" xr:uid="{00000000-0005-0000-0000-00007B270000}"/>
    <cellStyle name="Normal 2 2 2 2 2 13" xfId="10108" xr:uid="{00000000-0005-0000-0000-00007C270000}"/>
    <cellStyle name="Normal 2 2 2 2 2 13 10" xfId="10109" xr:uid="{00000000-0005-0000-0000-00007D270000}"/>
    <cellStyle name="Normal 2 2 2 2 2 13 11" xfId="10110" xr:uid="{00000000-0005-0000-0000-00007E270000}"/>
    <cellStyle name="Normal 2 2 2 2 2 13 12" xfId="10111" xr:uid="{00000000-0005-0000-0000-00007F270000}"/>
    <cellStyle name="Normal 2 2 2 2 2 13 13" xfId="10112" xr:uid="{00000000-0005-0000-0000-000080270000}"/>
    <cellStyle name="Normal 2 2 2 2 2 13 14" xfId="10113" xr:uid="{00000000-0005-0000-0000-000081270000}"/>
    <cellStyle name="Normal 2 2 2 2 2 13 2" xfId="10114" xr:uid="{00000000-0005-0000-0000-000082270000}"/>
    <cellStyle name="Normal 2 2 2 2 2 13 2 10" xfId="10115" xr:uid="{00000000-0005-0000-0000-000083270000}"/>
    <cellStyle name="Normal 2 2 2 2 2 13 2 2" xfId="10116" xr:uid="{00000000-0005-0000-0000-000084270000}"/>
    <cellStyle name="Normal 2 2 2 2 2 13 2 3" xfId="10117" xr:uid="{00000000-0005-0000-0000-000085270000}"/>
    <cellStyle name="Normal 2 2 2 2 2 13 2 4" xfId="10118" xr:uid="{00000000-0005-0000-0000-000086270000}"/>
    <cellStyle name="Normal 2 2 2 2 2 13 2 5" xfId="10119" xr:uid="{00000000-0005-0000-0000-000087270000}"/>
    <cellStyle name="Normal 2 2 2 2 2 13 2 6" xfId="10120" xr:uid="{00000000-0005-0000-0000-000088270000}"/>
    <cellStyle name="Normal 2 2 2 2 2 13 2 7" xfId="10121" xr:uid="{00000000-0005-0000-0000-000089270000}"/>
    <cellStyle name="Normal 2 2 2 2 2 13 2 8" xfId="10122" xr:uid="{00000000-0005-0000-0000-00008A270000}"/>
    <cellStyle name="Normal 2 2 2 2 2 13 2 9" xfId="10123" xr:uid="{00000000-0005-0000-0000-00008B270000}"/>
    <cellStyle name="Normal 2 2 2 2 2 13 3" xfId="10124" xr:uid="{00000000-0005-0000-0000-00008C270000}"/>
    <cellStyle name="Normal 2 2 2 2 2 13 3 10" xfId="10125" xr:uid="{00000000-0005-0000-0000-00008D270000}"/>
    <cellStyle name="Normal 2 2 2 2 2 13 3 2" xfId="10126" xr:uid="{00000000-0005-0000-0000-00008E270000}"/>
    <cellStyle name="Normal 2 2 2 2 2 13 3 3" xfId="10127" xr:uid="{00000000-0005-0000-0000-00008F270000}"/>
    <cellStyle name="Normal 2 2 2 2 2 13 3 4" xfId="10128" xr:uid="{00000000-0005-0000-0000-000090270000}"/>
    <cellStyle name="Normal 2 2 2 2 2 13 3 5" xfId="10129" xr:uid="{00000000-0005-0000-0000-000091270000}"/>
    <cellStyle name="Normal 2 2 2 2 2 13 3 6" xfId="10130" xr:uid="{00000000-0005-0000-0000-000092270000}"/>
    <cellStyle name="Normal 2 2 2 2 2 13 3 7" xfId="10131" xr:uid="{00000000-0005-0000-0000-000093270000}"/>
    <cellStyle name="Normal 2 2 2 2 2 13 3 8" xfId="10132" xr:uid="{00000000-0005-0000-0000-000094270000}"/>
    <cellStyle name="Normal 2 2 2 2 2 13 3 9" xfId="10133" xr:uid="{00000000-0005-0000-0000-000095270000}"/>
    <cellStyle name="Normal 2 2 2 2 2 13 4" xfId="10134" xr:uid="{00000000-0005-0000-0000-000096270000}"/>
    <cellStyle name="Normal 2 2 2 2 2 13 4 10" xfId="10135" xr:uid="{00000000-0005-0000-0000-000097270000}"/>
    <cellStyle name="Normal 2 2 2 2 2 13 4 2" xfId="10136" xr:uid="{00000000-0005-0000-0000-000098270000}"/>
    <cellStyle name="Normal 2 2 2 2 2 13 4 3" xfId="10137" xr:uid="{00000000-0005-0000-0000-000099270000}"/>
    <cellStyle name="Normal 2 2 2 2 2 13 4 4" xfId="10138" xr:uid="{00000000-0005-0000-0000-00009A270000}"/>
    <cellStyle name="Normal 2 2 2 2 2 13 4 5" xfId="10139" xr:uid="{00000000-0005-0000-0000-00009B270000}"/>
    <cellStyle name="Normal 2 2 2 2 2 13 4 6" xfId="10140" xr:uid="{00000000-0005-0000-0000-00009C270000}"/>
    <cellStyle name="Normal 2 2 2 2 2 13 4 7" xfId="10141" xr:uid="{00000000-0005-0000-0000-00009D270000}"/>
    <cellStyle name="Normal 2 2 2 2 2 13 4 8" xfId="10142" xr:uid="{00000000-0005-0000-0000-00009E270000}"/>
    <cellStyle name="Normal 2 2 2 2 2 13 4 9" xfId="10143" xr:uid="{00000000-0005-0000-0000-00009F270000}"/>
    <cellStyle name="Normal 2 2 2 2 2 13 5" xfId="10144" xr:uid="{00000000-0005-0000-0000-0000A0270000}"/>
    <cellStyle name="Normal 2 2 2 2 2 13 5 10" xfId="10145" xr:uid="{00000000-0005-0000-0000-0000A1270000}"/>
    <cellStyle name="Normal 2 2 2 2 2 13 5 2" xfId="10146" xr:uid="{00000000-0005-0000-0000-0000A2270000}"/>
    <cellStyle name="Normal 2 2 2 2 2 13 5 3" xfId="10147" xr:uid="{00000000-0005-0000-0000-0000A3270000}"/>
    <cellStyle name="Normal 2 2 2 2 2 13 5 4" xfId="10148" xr:uid="{00000000-0005-0000-0000-0000A4270000}"/>
    <cellStyle name="Normal 2 2 2 2 2 13 5 5" xfId="10149" xr:uid="{00000000-0005-0000-0000-0000A5270000}"/>
    <cellStyle name="Normal 2 2 2 2 2 13 5 6" xfId="10150" xr:uid="{00000000-0005-0000-0000-0000A6270000}"/>
    <cellStyle name="Normal 2 2 2 2 2 13 5 7" xfId="10151" xr:uid="{00000000-0005-0000-0000-0000A7270000}"/>
    <cellStyle name="Normal 2 2 2 2 2 13 5 8" xfId="10152" xr:uid="{00000000-0005-0000-0000-0000A8270000}"/>
    <cellStyle name="Normal 2 2 2 2 2 13 5 9" xfId="10153" xr:uid="{00000000-0005-0000-0000-0000A9270000}"/>
    <cellStyle name="Normal 2 2 2 2 2 13 6" xfId="10154" xr:uid="{00000000-0005-0000-0000-0000AA270000}"/>
    <cellStyle name="Normal 2 2 2 2 2 13 7" xfId="10155" xr:uid="{00000000-0005-0000-0000-0000AB270000}"/>
    <cellStyle name="Normal 2 2 2 2 2 13 8" xfId="10156" xr:uid="{00000000-0005-0000-0000-0000AC270000}"/>
    <cellStyle name="Normal 2 2 2 2 2 13 9" xfId="10157" xr:uid="{00000000-0005-0000-0000-0000AD270000}"/>
    <cellStyle name="Normal 2 2 2 2 2 14" xfId="10158" xr:uid="{00000000-0005-0000-0000-0000AE270000}"/>
    <cellStyle name="Normal 2 2 2 2 2 14 10" xfId="10159" xr:uid="{00000000-0005-0000-0000-0000AF270000}"/>
    <cellStyle name="Normal 2 2 2 2 2 14 11" xfId="10160" xr:uid="{00000000-0005-0000-0000-0000B0270000}"/>
    <cellStyle name="Normal 2 2 2 2 2 14 12" xfId="10161" xr:uid="{00000000-0005-0000-0000-0000B1270000}"/>
    <cellStyle name="Normal 2 2 2 2 2 14 13" xfId="10162" xr:uid="{00000000-0005-0000-0000-0000B2270000}"/>
    <cellStyle name="Normal 2 2 2 2 2 14 14" xfId="10163" xr:uid="{00000000-0005-0000-0000-0000B3270000}"/>
    <cellStyle name="Normal 2 2 2 2 2 14 2" xfId="10164" xr:uid="{00000000-0005-0000-0000-0000B4270000}"/>
    <cellStyle name="Normal 2 2 2 2 2 14 2 10" xfId="10165" xr:uid="{00000000-0005-0000-0000-0000B5270000}"/>
    <cellStyle name="Normal 2 2 2 2 2 14 2 2" xfId="10166" xr:uid="{00000000-0005-0000-0000-0000B6270000}"/>
    <cellStyle name="Normal 2 2 2 2 2 14 2 3" xfId="10167" xr:uid="{00000000-0005-0000-0000-0000B7270000}"/>
    <cellStyle name="Normal 2 2 2 2 2 14 2 4" xfId="10168" xr:uid="{00000000-0005-0000-0000-0000B8270000}"/>
    <cellStyle name="Normal 2 2 2 2 2 14 2 5" xfId="10169" xr:uid="{00000000-0005-0000-0000-0000B9270000}"/>
    <cellStyle name="Normal 2 2 2 2 2 14 2 6" xfId="10170" xr:uid="{00000000-0005-0000-0000-0000BA270000}"/>
    <cellStyle name="Normal 2 2 2 2 2 14 2 7" xfId="10171" xr:uid="{00000000-0005-0000-0000-0000BB270000}"/>
    <cellStyle name="Normal 2 2 2 2 2 14 2 8" xfId="10172" xr:uid="{00000000-0005-0000-0000-0000BC270000}"/>
    <cellStyle name="Normal 2 2 2 2 2 14 2 9" xfId="10173" xr:uid="{00000000-0005-0000-0000-0000BD270000}"/>
    <cellStyle name="Normal 2 2 2 2 2 14 3" xfId="10174" xr:uid="{00000000-0005-0000-0000-0000BE270000}"/>
    <cellStyle name="Normal 2 2 2 2 2 14 3 10" xfId="10175" xr:uid="{00000000-0005-0000-0000-0000BF270000}"/>
    <cellStyle name="Normal 2 2 2 2 2 14 3 2" xfId="10176" xr:uid="{00000000-0005-0000-0000-0000C0270000}"/>
    <cellStyle name="Normal 2 2 2 2 2 14 3 3" xfId="10177" xr:uid="{00000000-0005-0000-0000-0000C1270000}"/>
    <cellStyle name="Normal 2 2 2 2 2 14 3 4" xfId="10178" xr:uid="{00000000-0005-0000-0000-0000C2270000}"/>
    <cellStyle name="Normal 2 2 2 2 2 14 3 5" xfId="10179" xr:uid="{00000000-0005-0000-0000-0000C3270000}"/>
    <cellStyle name="Normal 2 2 2 2 2 14 3 6" xfId="10180" xr:uid="{00000000-0005-0000-0000-0000C4270000}"/>
    <cellStyle name="Normal 2 2 2 2 2 14 3 7" xfId="10181" xr:uid="{00000000-0005-0000-0000-0000C5270000}"/>
    <cellStyle name="Normal 2 2 2 2 2 14 3 8" xfId="10182" xr:uid="{00000000-0005-0000-0000-0000C6270000}"/>
    <cellStyle name="Normal 2 2 2 2 2 14 3 9" xfId="10183" xr:uid="{00000000-0005-0000-0000-0000C7270000}"/>
    <cellStyle name="Normal 2 2 2 2 2 14 4" xfId="10184" xr:uid="{00000000-0005-0000-0000-0000C8270000}"/>
    <cellStyle name="Normal 2 2 2 2 2 14 4 10" xfId="10185" xr:uid="{00000000-0005-0000-0000-0000C9270000}"/>
    <cellStyle name="Normal 2 2 2 2 2 14 4 2" xfId="10186" xr:uid="{00000000-0005-0000-0000-0000CA270000}"/>
    <cellStyle name="Normal 2 2 2 2 2 14 4 3" xfId="10187" xr:uid="{00000000-0005-0000-0000-0000CB270000}"/>
    <cellStyle name="Normal 2 2 2 2 2 14 4 4" xfId="10188" xr:uid="{00000000-0005-0000-0000-0000CC270000}"/>
    <cellStyle name="Normal 2 2 2 2 2 14 4 5" xfId="10189" xr:uid="{00000000-0005-0000-0000-0000CD270000}"/>
    <cellStyle name="Normal 2 2 2 2 2 14 4 6" xfId="10190" xr:uid="{00000000-0005-0000-0000-0000CE270000}"/>
    <cellStyle name="Normal 2 2 2 2 2 14 4 7" xfId="10191" xr:uid="{00000000-0005-0000-0000-0000CF270000}"/>
    <cellStyle name="Normal 2 2 2 2 2 14 4 8" xfId="10192" xr:uid="{00000000-0005-0000-0000-0000D0270000}"/>
    <cellStyle name="Normal 2 2 2 2 2 14 4 9" xfId="10193" xr:uid="{00000000-0005-0000-0000-0000D1270000}"/>
    <cellStyle name="Normal 2 2 2 2 2 14 5" xfId="10194" xr:uid="{00000000-0005-0000-0000-0000D2270000}"/>
    <cellStyle name="Normal 2 2 2 2 2 14 5 10" xfId="10195" xr:uid="{00000000-0005-0000-0000-0000D3270000}"/>
    <cellStyle name="Normal 2 2 2 2 2 14 5 2" xfId="10196" xr:uid="{00000000-0005-0000-0000-0000D4270000}"/>
    <cellStyle name="Normal 2 2 2 2 2 14 5 3" xfId="10197" xr:uid="{00000000-0005-0000-0000-0000D5270000}"/>
    <cellStyle name="Normal 2 2 2 2 2 14 5 4" xfId="10198" xr:uid="{00000000-0005-0000-0000-0000D6270000}"/>
    <cellStyle name="Normal 2 2 2 2 2 14 5 5" xfId="10199" xr:uid="{00000000-0005-0000-0000-0000D7270000}"/>
    <cellStyle name="Normal 2 2 2 2 2 14 5 6" xfId="10200" xr:uid="{00000000-0005-0000-0000-0000D8270000}"/>
    <cellStyle name="Normal 2 2 2 2 2 14 5 7" xfId="10201" xr:uid="{00000000-0005-0000-0000-0000D9270000}"/>
    <cellStyle name="Normal 2 2 2 2 2 14 5 8" xfId="10202" xr:uid="{00000000-0005-0000-0000-0000DA270000}"/>
    <cellStyle name="Normal 2 2 2 2 2 14 5 9" xfId="10203" xr:uid="{00000000-0005-0000-0000-0000DB270000}"/>
    <cellStyle name="Normal 2 2 2 2 2 14 6" xfId="10204" xr:uid="{00000000-0005-0000-0000-0000DC270000}"/>
    <cellStyle name="Normal 2 2 2 2 2 14 7" xfId="10205" xr:uid="{00000000-0005-0000-0000-0000DD270000}"/>
    <cellStyle name="Normal 2 2 2 2 2 14 8" xfId="10206" xr:uid="{00000000-0005-0000-0000-0000DE270000}"/>
    <cellStyle name="Normal 2 2 2 2 2 14 9" xfId="10207" xr:uid="{00000000-0005-0000-0000-0000DF270000}"/>
    <cellStyle name="Normal 2 2 2 2 2 15" xfId="10208" xr:uid="{00000000-0005-0000-0000-0000E0270000}"/>
    <cellStyle name="Normal 2 2 2 2 2 15 10" xfId="10209" xr:uid="{00000000-0005-0000-0000-0000E1270000}"/>
    <cellStyle name="Normal 2 2 2 2 2 15 11" xfId="10210" xr:uid="{00000000-0005-0000-0000-0000E2270000}"/>
    <cellStyle name="Normal 2 2 2 2 2 15 12" xfId="10211" xr:uid="{00000000-0005-0000-0000-0000E3270000}"/>
    <cellStyle name="Normal 2 2 2 2 2 15 13" xfId="10212" xr:uid="{00000000-0005-0000-0000-0000E4270000}"/>
    <cellStyle name="Normal 2 2 2 2 2 15 14" xfId="10213" xr:uid="{00000000-0005-0000-0000-0000E5270000}"/>
    <cellStyle name="Normal 2 2 2 2 2 15 2" xfId="10214" xr:uid="{00000000-0005-0000-0000-0000E6270000}"/>
    <cellStyle name="Normal 2 2 2 2 2 15 2 10" xfId="10215" xr:uid="{00000000-0005-0000-0000-0000E7270000}"/>
    <cellStyle name="Normal 2 2 2 2 2 15 2 2" xfId="10216" xr:uid="{00000000-0005-0000-0000-0000E8270000}"/>
    <cellStyle name="Normal 2 2 2 2 2 15 2 3" xfId="10217" xr:uid="{00000000-0005-0000-0000-0000E9270000}"/>
    <cellStyle name="Normal 2 2 2 2 2 15 2 4" xfId="10218" xr:uid="{00000000-0005-0000-0000-0000EA270000}"/>
    <cellStyle name="Normal 2 2 2 2 2 15 2 5" xfId="10219" xr:uid="{00000000-0005-0000-0000-0000EB270000}"/>
    <cellStyle name="Normal 2 2 2 2 2 15 2 6" xfId="10220" xr:uid="{00000000-0005-0000-0000-0000EC270000}"/>
    <cellStyle name="Normal 2 2 2 2 2 15 2 7" xfId="10221" xr:uid="{00000000-0005-0000-0000-0000ED270000}"/>
    <cellStyle name="Normal 2 2 2 2 2 15 2 8" xfId="10222" xr:uid="{00000000-0005-0000-0000-0000EE270000}"/>
    <cellStyle name="Normal 2 2 2 2 2 15 2 9" xfId="10223" xr:uid="{00000000-0005-0000-0000-0000EF270000}"/>
    <cellStyle name="Normal 2 2 2 2 2 15 3" xfId="10224" xr:uid="{00000000-0005-0000-0000-0000F0270000}"/>
    <cellStyle name="Normal 2 2 2 2 2 15 3 10" xfId="10225" xr:uid="{00000000-0005-0000-0000-0000F1270000}"/>
    <cellStyle name="Normal 2 2 2 2 2 15 3 2" xfId="10226" xr:uid="{00000000-0005-0000-0000-0000F2270000}"/>
    <cellStyle name="Normal 2 2 2 2 2 15 3 3" xfId="10227" xr:uid="{00000000-0005-0000-0000-0000F3270000}"/>
    <cellStyle name="Normal 2 2 2 2 2 15 3 4" xfId="10228" xr:uid="{00000000-0005-0000-0000-0000F4270000}"/>
    <cellStyle name="Normal 2 2 2 2 2 15 3 5" xfId="10229" xr:uid="{00000000-0005-0000-0000-0000F5270000}"/>
    <cellStyle name="Normal 2 2 2 2 2 15 3 6" xfId="10230" xr:uid="{00000000-0005-0000-0000-0000F6270000}"/>
    <cellStyle name="Normal 2 2 2 2 2 15 3 7" xfId="10231" xr:uid="{00000000-0005-0000-0000-0000F7270000}"/>
    <cellStyle name="Normal 2 2 2 2 2 15 3 8" xfId="10232" xr:uid="{00000000-0005-0000-0000-0000F8270000}"/>
    <cellStyle name="Normal 2 2 2 2 2 15 3 9" xfId="10233" xr:uid="{00000000-0005-0000-0000-0000F9270000}"/>
    <cellStyle name="Normal 2 2 2 2 2 15 4" xfId="10234" xr:uid="{00000000-0005-0000-0000-0000FA270000}"/>
    <cellStyle name="Normal 2 2 2 2 2 15 4 10" xfId="10235" xr:uid="{00000000-0005-0000-0000-0000FB270000}"/>
    <cellStyle name="Normal 2 2 2 2 2 15 4 2" xfId="10236" xr:uid="{00000000-0005-0000-0000-0000FC270000}"/>
    <cellStyle name="Normal 2 2 2 2 2 15 4 3" xfId="10237" xr:uid="{00000000-0005-0000-0000-0000FD270000}"/>
    <cellStyle name="Normal 2 2 2 2 2 15 4 4" xfId="10238" xr:uid="{00000000-0005-0000-0000-0000FE270000}"/>
    <cellStyle name="Normal 2 2 2 2 2 15 4 5" xfId="10239" xr:uid="{00000000-0005-0000-0000-0000FF270000}"/>
    <cellStyle name="Normal 2 2 2 2 2 15 4 6" xfId="10240" xr:uid="{00000000-0005-0000-0000-000000280000}"/>
    <cellStyle name="Normal 2 2 2 2 2 15 4 7" xfId="10241" xr:uid="{00000000-0005-0000-0000-000001280000}"/>
    <cellStyle name="Normal 2 2 2 2 2 15 4 8" xfId="10242" xr:uid="{00000000-0005-0000-0000-000002280000}"/>
    <cellStyle name="Normal 2 2 2 2 2 15 4 9" xfId="10243" xr:uid="{00000000-0005-0000-0000-000003280000}"/>
    <cellStyle name="Normal 2 2 2 2 2 15 5" xfId="10244" xr:uid="{00000000-0005-0000-0000-000004280000}"/>
    <cellStyle name="Normal 2 2 2 2 2 15 5 10" xfId="10245" xr:uid="{00000000-0005-0000-0000-000005280000}"/>
    <cellStyle name="Normal 2 2 2 2 2 15 5 2" xfId="10246" xr:uid="{00000000-0005-0000-0000-000006280000}"/>
    <cellStyle name="Normal 2 2 2 2 2 15 5 3" xfId="10247" xr:uid="{00000000-0005-0000-0000-000007280000}"/>
    <cellStyle name="Normal 2 2 2 2 2 15 5 4" xfId="10248" xr:uid="{00000000-0005-0000-0000-000008280000}"/>
    <cellStyle name="Normal 2 2 2 2 2 15 5 5" xfId="10249" xr:uid="{00000000-0005-0000-0000-000009280000}"/>
    <cellStyle name="Normal 2 2 2 2 2 15 5 6" xfId="10250" xr:uid="{00000000-0005-0000-0000-00000A280000}"/>
    <cellStyle name="Normal 2 2 2 2 2 15 5 7" xfId="10251" xr:uid="{00000000-0005-0000-0000-00000B280000}"/>
    <cellStyle name="Normal 2 2 2 2 2 15 5 8" xfId="10252" xr:uid="{00000000-0005-0000-0000-00000C280000}"/>
    <cellStyle name="Normal 2 2 2 2 2 15 5 9" xfId="10253" xr:uid="{00000000-0005-0000-0000-00000D280000}"/>
    <cellStyle name="Normal 2 2 2 2 2 15 6" xfId="10254" xr:uid="{00000000-0005-0000-0000-00000E280000}"/>
    <cellStyle name="Normal 2 2 2 2 2 15 7" xfId="10255" xr:uid="{00000000-0005-0000-0000-00000F280000}"/>
    <cellStyle name="Normal 2 2 2 2 2 15 8" xfId="10256" xr:uid="{00000000-0005-0000-0000-000010280000}"/>
    <cellStyle name="Normal 2 2 2 2 2 15 9" xfId="10257" xr:uid="{00000000-0005-0000-0000-000011280000}"/>
    <cellStyle name="Normal 2 2 2 2 2 16" xfId="10258" xr:uid="{00000000-0005-0000-0000-000012280000}"/>
    <cellStyle name="Normal 2 2 2 2 2 16 10" xfId="10259" xr:uid="{00000000-0005-0000-0000-000013280000}"/>
    <cellStyle name="Normal 2 2 2 2 2 16 11" xfId="10260" xr:uid="{00000000-0005-0000-0000-000014280000}"/>
    <cellStyle name="Normal 2 2 2 2 2 16 12" xfId="10261" xr:uid="{00000000-0005-0000-0000-000015280000}"/>
    <cellStyle name="Normal 2 2 2 2 2 16 13" xfId="10262" xr:uid="{00000000-0005-0000-0000-000016280000}"/>
    <cellStyle name="Normal 2 2 2 2 2 16 14" xfId="10263" xr:uid="{00000000-0005-0000-0000-000017280000}"/>
    <cellStyle name="Normal 2 2 2 2 2 16 2" xfId="10264" xr:uid="{00000000-0005-0000-0000-000018280000}"/>
    <cellStyle name="Normal 2 2 2 2 2 16 2 10" xfId="10265" xr:uid="{00000000-0005-0000-0000-000019280000}"/>
    <cellStyle name="Normal 2 2 2 2 2 16 2 2" xfId="10266" xr:uid="{00000000-0005-0000-0000-00001A280000}"/>
    <cellStyle name="Normal 2 2 2 2 2 16 2 3" xfId="10267" xr:uid="{00000000-0005-0000-0000-00001B280000}"/>
    <cellStyle name="Normal 2 2 2 2 2 16 2 4" xfId="10268" xr:uid="{00000000-0005-0000-0000-00001C280000}"/>
    <cellStyle name="Normal 2 2 2 2 2 16 2 5" xfId="10269" xr:uid="{00000000-0005-0000-0000-00001D280000}"/>
    <cellStyle name="Normal 2 2 2 2 2 16 2 6" xfId="10270" xr:uid="{00000000-0005-0000-0000-00001E280000}"/>
    <cellStyle name="Normal 2 2 2 2 2 16 2 7" xfId="10271" xr:uid="{00000000-0005-0000-0000-00001F280000}"/>
    <cellStyle name="Normal 2 2 2 2 2 16 2 8" xfId="10272" xr:uid="{00000000-0005-0000-0000-000020280000}"/>
    <cellStyle name="Normal 2 2 2 2 2 16 2 9" xfId="10273" xr:uid="{00000000-0005-0000-0000-000021280000}"/>
    <cellStyle name="Normal 2 2 2 2 2 16 3" xfId="10274" xr:uid="{00000000-0005-0000-0000-000022280000}"/>
    <cellStyle name="Normal 2 2 2 2 2 16 3 10" xfId="10275" xr:uid="{00000000-0005-0000-0000-000023280000}"/>
    <cellStyle name="Normal 2 2 2 2 2 16 3 2" xfId="10276" xr:uid="{00000000-0005-0000-0000-000024280000}"/>
    <cellStyle name="Normal 2 2 2 2 2 16 3 3" xfId="10277" xr:uid="{00000000-0005-0000-0000-000025280000}"/>
    <cellStyle name="Normal 2 2 2 2 2 16 3 4" xfId="10278" xr:uid="{00000000-0005-0000-0000-000026280000}"/>
    <cellStyle name="Normal 2 2 2 2 2 16 3 5" xfId="10279" xr:uid="{00000000-0005-0000-0000-000027280000}"/>
    <cellStyle name="Normal 2 2 2 2 2 16 3 6" xfId="10280" xr:uid="{00000000-0005-0000-0000-000028280000}"/>
    <cellStyle name="Normal 2 2 2 2 2 16 3 7" xfId="10281" xr:uid="{00000000-0005-0000-0000-000029280000}"/>
    <cellStyle name="Normal 2 2 2 2 2 16 3 8" xfId="10282" xr:uid="{00000000-0005-0000-0000-00002A280000}"/>
    <cellStyle name="Normal 2 2 2 2 2 16 3 9" xfId="10283" xr:uid="{00000000-0005-0000-0000-00002B280000}"/>
    <cellStyle name="Normal 2 2 2 2 2 16 4" xfId="10284" xr:uid="{00000000-0005-0000-0000-00002C280000}"/>
    <cellStyle name="Normal 2 2 2 2 2 16 4 10" xfId="10285" xr:uid="{00000000-0005-0000-0000-00002D280000}"/>
    <cellStyle name="Normal 2 2 2 2 2 16 4 2" xfId="10286" xr:uid="{00000000-0005-0000-0000-00002E280000}"/>
    <cellStyle name="Normal 2 2 2 2 2 16 4 3" xfId="10287" xr:uid="{00000000-0005-0000-0000-00002F280000}"/>
    <cellStyle name="Normal 2 2 2 2 2 16 4 4" xfId="10288" xr:uid="{00000000-0005-0000-0000-000030280000}"/>
    <cellStyle name="Normal 2 2 2 2 2 16 4 5" xfId="10289" xr:uid="{00000000-0005-0000-0000-000031280000}"/>
    <cellStyle name="Normal 2 2 2 2 2 16 4 6" xfId="10290" xr:uid="{00000000-0005-0000-0000-000032280000}"/>
    <cellStyle name="Normal 2 2 2 2 2 16 4 7" xfId="10291" xr:uid="{00000000-0005-0000-0000-000033280000}"/>
    <cellStyle name="Normal 2 2 2 2 2 16 4 8" xfId="10292" xr:uid="{00000000-0005-0000-0000-000034280000}"/>
    <cellStyle name="Normal 2 2 2 2 2 16 4 9" xfId="10293" xr:uid="{00000000-0005-0000-0000-000035280000}"/>
    <cellStyle name="Normal 2 2 2 2 2 16 5" xfId="10294" xr:uid="{00000000-0005-0000-0000-000036280000}"/>
    <cellStyle name="Normal 2 2 2 2 2 16 5 10" xfId="10295" xr:uid="{00000000-0005-0000-0000-000037280000}"/>
    <cellStyle name="Normal 2 2 2 2 2 16 5 2" xfId="10296" xr:uid="{00000000-0005-0000-0000-000038280000}"/>
    <cellStyle name="Normal 2 2 2 2 2 16 5 3" xfId="10297" xr:uid="{00000000-0005-0000-0000-000039280000}"/>
    <cellStyle name="Normal 2 2 2 2 2 16 5 4" xfId="10298" xr:uid="{00000000-0005-0000-0000-00003A280000}"/>
    <cellStyle name="Normal 2 2 2 2 2 16 5 5" xfId="10299" xr:uid="{00000000-0005-0000-0000-00003B280000}"/>
    <cellStyle name="Normal 2 2 2 2 2 16 5 6" xfId="10300" xr:uid="{00000000-0005-0000-0000-00003C280000}"/>
    <cellStyle name="Normal 2 2 2 2 2 16 5 7" xfId="10301" xr:uid="{00000000-0005-0000-0000-00003D280000}"/>
    <cellStyle name="Normal 2 2 2 2 2 16 5 8" xfId="10302" xr:uid="{00000000-0005-0000-0000-00003E280000}"/>
    <cellStyle name="Normal 2 2 2 2 2 16 5 9" xfId="10303" xr:uid="{00000000-0005-0000-0000-00003F280000}"/>
    <cellStyle name="Normal 2 2 2 2 2 16 6" xfId="10304" xr:uid="{00000000-0005-0000-0000-000040280000}"/>
    <cellStyle name="Normal 2 2 2 2 2 16 7" xfId="10305" xr:uid="{00000000-0005-0000-0000-000041280000}"/>
    <cellStyle name="Normal 2 2 2 2 2 16 8" xfId="10306" xr:uid="{00000000-0005-0000-0000-000042280000}"/>
    <cellStyle name="Normal 2 2 2 2 2 16 9" xfId="10307" xr:uid="{00000000-0005-0000-0000-000043280000}"/>
    <cellStyle name="Normal 2 2 2 2 2 17" xfId="10308" xr:uid="{00000000-0005-0000-0000-000044280000}"/>
    <cellStyle name="Normal 2 2 2 2 2 17 10" xfId="10309" xr:uid="{00000000-0005-0000-0000-000045280000}"/>
    <cellStyle name="Normal 2 2 2 2 2 17 11" xfId="10310" xr:uid="{00000000-0005-0000-0000-000046280000}"/>
    <cellStyle name="Normal 2 2 2 2 2 17 12" xfId="10311" xr:uid="{00000000-0005-0000-0000-000047280000}"/>
    <cellStyle name="Normal 2 2 2 2 2 17 13" xfId="10312" xr:uid="{00000000-0005-0000-0000-000048280000}"/>
    <cellStyle name="Normal 2 2 2 2 2 17 14" xfId="10313" xr:uid="{00000000-0005-0000-0000-000049280000}"/>
    <cellStyle name="Normal 2 2 2 2 2 17 2" xfId="10314" xr:uid="{00000000-0005-0000-0000-00004A280000}"/>
    <cellStyle name="Normal 2 2 2 2 2 17 2 10" xfId="10315" xr:uid="{00000000-0005-0000-0000-00004B280000}"/>
    <cellStyle name="Normal 2 2 2 2 2 17 2 2" xfId="10316" xr:uid="{00000000-0005-0000-0000-00004C280000}"/>
    <cellStyle name="Normal 2 2 2 2 2 17 2 3" xfId="10317" xr:uid="{00000000-0005-0000-0000-00004D280000}"/>
    <cellStyle name="Normal 2 2 2 2 2 17 2 4" xfId="10318" xr:uid="{00000000-0005-0000-0000-00004E280000}"/>
    <cellStyle name="Normal 2 2 2 2 2 17 2 5" xfId="10319" xr:uid="{00000000-0005-0000-0000-00004F280000}"/>
    <cellStyle name="Normal 2 2 2 2 2 17 2 6" xfId="10320" xr:uid="{00000000-0005-0000-0000-000050280000}"/>
    <cellStyle name="Normal 2 2 2 2 2 17 2 7" xfId="10321" xr:uid="{00000000-0005-0000-0000-000051280000}"/>
    <cellStyle name="Normal 2 2 2 2 2 17 2 8" xfId="10322" xr:uid="{00000000-0005-0000-0000-000052280000}"/>
    <cellStyle name="Normal 2 2 2 2 2 17 2 9" xfId="10323" xr:uid="{00000000-0005-0000-0000-000053280000}"/>
    <cellStyle name="Normal 2 2 2 2 2 17 3" xfId="10324" xr:uid="{00000000-0005-0000-0000-000054280000}"/>
    <cellStyle name="Normal 2 2 2 2 2 17 3 10" xfId="10325" xr:uid="{00000000-0005-0000-0000-000055280000}"/>
    <cellStyle name="Normal 2 2 2 2 2 17 3 2" xfId="10326" xr:uid="{00000000-0005-0000-0000-000056280000}"/>
    <cellStyle name="Normal 2 2 2 2 2 17 3 3" xfId="10327" xr:uid="{00000000-0005-0000-0000-000057280000}"/>
    <cellStyle name="Normal 2 2 2 2 2 17 3 4" xfId="10328" xr:uid="{00000000-0005-0000-0000-000058280000}"/>
    <cellStyle name="Normal 2 2 2 2 2 17 3 5" xfId="10329" xr:uid="{00000000-0005-0000-0000-000059280000}"/>
    <cellStyle name="Normal 2 2 2 2 2 17 3 6" xfId="10330" xr:uid="{00000000-0005-0000-0000-00005A280000}"/>
    <cellStyle name="Normal 2 2 2 2 2 17 3 7" xfId="10331" xr:uid="{00000000-0005-0000-0000-00005B280000}"/>
    <cellStyle name="Normal 2 2 2 2 2 17 3 8" xfId="10332" xr:uid="{00000000-0005-0000-0000-00005C280000}"/>
    <cellStyle name="Normal 2 2 2 2 2 17 3 9" xfId="10333" xr:uid="{00000000-0005-0000-0000-00005D280000}"/>
    <cellStyle name="Normal 2 2 2 2 2 17 4" xfId="10334" xr:uid="{00000000-0005-0000-0000-00005E280000}"/>
    <cellStyle name="Normal 2 2 2 2 2 17 4 10" xfId="10335" xr:uid="{00000000-0005-0000-0000-00005F280000}"/>
    <cellStyle name="Normal 2 2 2 2 2 17 4 2" xfId="10336" xr:uid="{00000000-0005-0000-0000-000060280000}"/>
    <cellStyle name="Normal 2 2 2 2 2 17 4 3" xfId="10337" xr:uid="{00000000-0005-0000-0000-000061280000}"/>
    <cellStyle name="Normal 2 2 2 2 2 17 4 4" xfId="10338" xr:uid="{00000000-0005-0000-0000-000062280000}"/>
    <cellStyle name="Normal 2 2 2 2 2 17 4 5" xfId="10339" xr:uid="{00000000-0005-0000-0000-000063280000}"/>
    <cellStyle name="Normal 2 2 2 2 2 17 4 6" xfId="10340" xr:uid="{00000000-0005-0000-0000-000064280000}"/>
    <cellStyle name="Normal 2 2 2 2 2 17 4 7" xfId="10341" xr:uid="{00000000-0005-0000-0000-000065280000}"/>
    <cellStyle name="Normal 2 2 2 2 2 17 4 8" xfId="10342" xr:uid="{00000000-0005-0000-0000-000066280000}"/>
    <cellStyle name="Normal 2 2 2 2 2 17 4 9" xfId="10343" xr:uid="{00000000-0005-0000-0000-000067280000}"/>
    <cellStyle name="Normal 2 2 2 2 2 17 5" xfId="10344" xr:uid="{00000000-0005-0000-0000-000068280000}"/>
    <cellStyle name="Normal 2 2 2 2 2 17 5 10" xfId="10345" xr:uid="{00000000-0005-0000-0000-000069280000}"/>
    <cellStyle name="Normal 2 2 2 2 2 17 5 2" xfId="10346" xr:uid="{00000000-0005-0000-0000-00006A280000}"/>
    <cellStyle name="Normal 2 2 2 2 2 17 5 3" xfId="10347" xr:uid="{00000000-0005-0000-0000-00006B280000}"/>
    <cellStyle name="Normal 2 2 2 2 2 17 5 4" xfId="10348" xr:uid="{00000000-0005-0000-0000-00006C280000}"/>
    <cellStyle name="Normal 2 2 2 2 2 17 5 5" xfId="10349" xr:uid="{00000000-0005-0000-0000-00006D280000}"/>
    <cellStyle name="Normal 2 2 2 2 2 17 5 6" xfId="10350" xr:uid="{00000000-0005-0000-0000-00006E280000}"/>
    <cellStyle name="Normal 2 2 2 2 2 17 5 7" xfId="10351" xr:uid="{00000000-0005-0000-0000-00006F280000}"/>
    <cellStyle name="Normal 2 2 2 2 2 17 5 8" xfId="10352" xr:uid="{00000000-0005-0000-0000-000070280000}"/>
    <cellStyle name="Normal 2 2 2 2 2 17 5 9" xfId="10353" xr:uid="{00000000-0005-0000-0000-000071280000}"/>
    <cellStyle name="Normal 2 2 2 2 2 17 6" xfId="10354" xr:uid="{00000000-0005-0000-0000-000072280000}"/>
    <cellStyle name="Normal 2 2 2 2 2 17 7" xfId="10355" xr:uid="{00000000-0005-0000-0000-000073280000}"/>
    <cellStyle name="Normal 2 2 2 2 2 17 8" xfId="10356" xr:uid="{00000000-0005-0000-0000-000074280000}"/>
    <cellStyle name="Normal 2 2 2 2 2 17 9" xfId="10357" xr:uid="{00000000-0005-0000-0000-000075280000}"/>
    <cellStyle name="Normal 2 2 2 2 2 18" xfId="10358" xr:uid="{00000000-0005-0000-0000-000076280000}"/>
    <cellStyle name="Normal 2 2 2 2 2 18 10" xfId="10359" xr:uid="{00000000-0005-0000-0000-000077280000}"/>
    <cellStyle name="Normal 2 2 2 2 2 18 11" xfId="10360" xr:uid="{00000000-0005-0000-0000-000078280000}"/>
    <cellStyle name="Normal 2 2 2 2 2 18 12" xfId="10361" xr:uid="{00000000-0005-0000-0000-000079280000}"/>
    <cellStyle name="Normal 2 2 2 2 2 18 13" xfId="10362" xr:uid="{00000000-0005-0000-0000-00007A280000}"/>
    <cellStyle name="Normal 2 2 2 2 2 18 14" xfId="10363" xr:uid="{00000000-0005-0000-0000-00007B280000}"/>
    <cellStyle name="Normal 2 2 2 2 2 18 2" xfId="10364" xr:uid="{00000000-0005-0000-0000-00007C280000}"/>
    <cellStyle name="Normal 2 2 2 2 2 18 2 10" xfId="10365" xr:uid="{00000000-0005-0000-0000-00007D280000}"/>
    <cellStyle name="Normal 2 2 2 2 2 18 2 2" xfId="10366" xr:uid="{00000000-0005-0000-0000-00007E280000}"/>
    <cellStyle name="Normal 2 2 2 2 2 18 2 3" xfId="10367" xr:uid="{00000000-0005-0000-0000-00007F280000}"/>
    <cellStyle name="Normal 2 2 2 2 2 18 2 4" xfId="10368" xr:uid="{00000000-0005-0000-0000-000080280000}"/>
    <cellStyle name="Normal 2 2 2 2 2 18 2 5" xfId="10369" xr:uid="{00000000-0005-0000-0000-000081280000}"/>
    <cellStyle name="Normal 2 2 2 2 2 18 2 6" xfId="10370" xr:uid="{00000000-0005-0000-0000-000082280000}"/>
    <cellStyle name="Normal 2 2 2 2 2 18 2 7" xfId="10371" xr:uid="{00000000-0005-0000-0000-000083280000}"/>
    <cellStyle name="Normal 2 2 2 2 2 18 2 8" xfId="10372" xr:uid="{00000000-0005-0000-0000-000084280000}"/>
    <cellStyle name="Normal 2 2 2 2 2 18 2 9" xfId="10373" xr:uid="{00000000-0005-0000-0000-000085280000}"/>
    <cellStyle name="Normal 2 2 2 2 2 18 3" xfId="10374" xr:uid="{00000000-0005-0000-0000-000086280000}"/>
    <cellStyle name="Normal 2 2 2 2 2 18 3 10" xfId="10375" xr:uid="{00000000-0005-0000-0000-000087280000}"/>
    <cellStyle name="Normal 2 2 2 2 2 18 3 2" xfId="10376" xr:uid="{00000000-0005-0000-0000-000088280000}"/>
    <cellStyle name="Normal 2 2 2 2 2 18 3 3" xfId="10377" xr:uid="{00000000-0005-0000-0000-000089280000}"/>
    <cellStyle name="Normal 2 2 2 2 2 18 3 4" xfId="10378" xr:uid="{00000000-0005-0000-0000-00008A280000}"/>
    <cellStyle name="Normal 2 2 2 2 2 18 3 5" xfId="10379" xr:uid="{00000000-0005-0000-0000-00008B280000}"/>
    <cellStyle name="Normal 2 2 2 2 2 18 3 6" xfId="10380" xr:uid="{00000000-0005-0000-0000-00008C280000}"/>
    <cellStyle name="Normal 2 2 2 2 2 18 3 7" xfId="10381" xr:uid="{00000000-0005-0000-0000-00008D280000}"/>
    <cellStyle name="Normal 2 2 2 2 2 18 3 8" xfId="10382" xr:uid="{00000000-0005-0000-0000-00008E280000}"/>
    <cellStyle name="Normal 2 2 2 2 2 18 3 9" xfId="10383" xr:uid="{00000000-0005-0000-0000-00008F280000}"/>
    <cellStyle name="Normal 2 2 2 2 2 18 4" xfId="10384" xr:uid="{00000000-0005-0000-0000-000090280000}"/>
    <cellStyle name="Normal 2 2 2 2 2 18 4 10" xfId="10385" xr:uid="{00000000-0005-0000-0000-000091280000}"/>
    <cellStyle name="Normal 2 2 2 2 2 18 4 2" xfId="10386" xr:uid="{00000000-0005-0000-0000-000092280000}"/>
    <cellStyle name="Normal 2 2 2 2 2 18 4 3" xfId="10387" xr:uid="{00000000-0005-0000-0000-000093280000}"/>
    <cellStyle name="Normal 2 2 2 2 2 18 4 4" xfId="10388" xr:uid="{00000000-0005-0000-0000-000094280000}"/>
    <cellStyle name="Normal 2 2 2 2 2 18 4 5" xfId="10389" xr:uid="{00000000-0005-0000-0000-000095280000}"/>
    <cellStyle name="Normal 2 2 2 2 2 18 4 6" xfId="10390" xr:uid="{00000000-0005-0000-0000-000096280000}"/>
    <cellStyle name="Normal 2 2 2 2 2 18 4 7" xfId="10391" xr:uid="{00000000-0005-0000-0000-000097280000}"/>
    <cellStyle name="Normal 2 2 2 2 2 18 4 8" xfId="10392" xr:uid="{00000000-0005-0000-0000-000098280000}"/>
    <cellStyle name="Normal 2 2 2 2 2 18 4 9" xfId="10393" xr:uid="{00000000-0005-0000-0000-000099280000}"/>
    <cellStyle name="Normal 2 2 2 2 2 18 5" xfId="10394" xr:uid="{00000000-0005-0000-0000-00009A280000}"/>
    <cellStyle name="Normal 2 2 2 2 2 18 5 10" xfId="10395" xr:uid="{00000000-0005-0000-0000-00009B280000}"/>
    <cellStyle name="Normal 2 2 2 2 2 18 5 2" xfId="10396" xr:uid="{00000000-0005-0000-0000-00009C280000}"/>
    <cellStyle name="Normal 2 2 2 2 2 18 5 3" xfId="10397" xr:uid="{00000000-0005-0000-0000-00009D280000}"/>
    <cellStyle name="Normal 2 2 2 2 2 18 5 4" xfId="10398" xr:uid="{00000000-0005-0000-0000-00009E280000}"/>
    <cellStyle name="Normal 2 2 2 2 2 18 5 5" xfId="10399" xr:uid="{00000000-0005-0000-0000-00009F280000}"/>
    <cellStyle name="Normal 2 2 2 2 2 18 5 6" xfId="10400" xr:uid="{00000000-0005-0000-0000-0000A0280000}"/>
    <cellStyle name="Normal 2 2 2 2 2 18 5 7" xfId="10401" xr:uid="{00000000-0005-0000-0000-0000A1280000}"/>
    <cellStyle name="Normal 2 2 2 2 2 18 5 8" xfId="10402" xr:uid="{00000000-0005-0000-0000-0000A2280000}"/>
    <cellStyle name="Normal 2 2 2 2 2 18 5 9" xfId="10403" xr:uid="{00000000-0005-0000-0000-0000A3280000}"/>
    <cellStyle name="Normal 2 2 2 2 2 18 6" xfId="10404" xr:uid="{00000000-0005-0000-0000-0000A4280000}"/>
    <cellStyle name="Normal 2 2 2 2 2 18 7" xfId="10405" xr:uid="{00000000-0005-0000-0000-0000A5280000}"/>
    <cellStyle name="Normal 2 2 2 2 2 18 8" xfId="10406" xr:uid="{00000000-0005-0000-0000-0000A6280000}"/>
    <cellStyle name="Normal 2 2 2 2 2 18 9" xfId="10407" xr:uid="{00000000-0005-0000-0000-0000A7280000}"/>
    <cellStyle name="Normal 2 2 2 2 2 19" xfId="10408" xr:uid="{00000000-0005-0000-0000-0000A8280000}"/>
    <cellStyle name="Normal 2 2 2 2 2 19 10" xfId="10409" xr:uid="{00000000-0005-0000-0000-0000A9280000}"/>
    <cellStyle name="Normal 2 2 2 2 2 19 11" xfId="10410" xr:uid="{00000000-0005-0000-0000-0000AA280000}"/>
    <cellStyle name="Normal 2 2 2 2 2 19 12" xfId="10411" xr:uid="{00000000-0005-0000-0000-0000AB280000}"/>
    <cellStyle name="Normal 2 2 2 2 2 19 13" xfId="10412" xr:uid="{00000000-0005-0000-0000-0000AC280000}"/>
    <cellStyle name="Normal 2 2 2 2 2 19 14" xfId="10413" xr:uid="{00000000-0005-0000-0000-0000AD280000}"/>
    <cellStyle name="Normal 2 2 2 2 2 19 2" xfId="10414" xr:uid="{00000000-0005-0000-0000-0000AE280000}"/>
    <cellStyle name="Normal 2 2 2 2 2 19 2 10" xfId="10415" xr:uid="{00000000-0005-0000-0000-0000AF280000}"/>
    <cellStyle name="Normal 2 2 2 2 2 19 2 2" xfId="10416" xr:uid="{00000000-0005-0000-0000-0000B0280000}"/>
    <cellStyle name="Normal 2 2 2 2 2 19 2 3" xfId="10417" xr:uid="{00000000-0005-0000-0000-0000B1280000}"/>
    <cellStyle name="Normal 2 2 2 2 2 19 2 4" xfId="10418" xr:uid="{00000000-0005-0000-0000-0000B2280000}"/>
    <cellStyle name="Normal 2 2 2 2 2 19 2 5" xfId="10419" xr:uid="{00000000-0005-0000-0000-0000B3280000}"/>
    <cellStyle name="Normal 2 2 2 2 2 19 2 6" xfId="10420" xr:uid="{00000000-0005-0000-0000-0000B4280000}"/>
    <cellStyle name="Normal 2 2 2 2 2 19 2 7" xfId="10421" xr:uid="{00000000-0005-0000-0000-0000B5280000}"/>
    <cellStyle name="Normal 2 2 2 2 2 19 2 8" xfId="10422" xr:uid="{00000000-0005-0000-0000-0000B6280000}"/>
    <cellStyle name="Normal 2 2 2 2 2 19 2 9" xfId="10423" xr:uid="{00000000-0005-0000-0000-0000B7280000}"/>
    <cellStyle name="Normal 2 2 2 2 2 19 3" xfId="10424" xr:uid="{00000000-0005-0000-0000-0000B8280000}"/>
    <cellStyle name="Normal 2 2 2 2 2 19 3 10" xfId="10425" xr:uid="{00000000-0005-0000-0000-0000B9280000}"/>
    <cellStyle name="Normal 2 2 2 2 2 19 3 2" xfId="10426" xr:uid="{00000000-0005-0000-0000-0000BA280000}"/>
    <cellStyle name="Normal 2 2 2 2 2 19 3 3" xfId="10427" xr:uid="{00000000-0005-0000-0000-0000BB280000}"/>
    <cellStyle name="Normal 2 2 2 2 2 19 3 4" xfId="10428" xr:uid="{00000000-0005-0000-0000-0000BC280000}"/>
    <cellStyle name="Normal 2 2 2 2 2 19 3 5" xfId="10429" xr:uid="{00000000-0005-0000-0000-0000BD280000}"/>
    <cellStyle name="Normal 2 2 2 2 2 19 3 6" xfId="10430" xr:uid="{00000000-0005-0000-0000-0000BE280000}"/>
    <cellStyle name="Normal 2 2 2 2 2 19 3 7" xfId="10431" xr:uid="{00000000-0005-0000-0000-0000BF280000}"/>
    <cellStyle name="Normal 2 2 2 2 2 19 3 8" xfId="10432" xr:uid="{00000000-0005-0000-0000-0000C0280000}"/>
    <cellStyle name="Normal 2 2 2 2 2 19 3 9" xfId="10433" xr:uid="{00000000-0005-0000-0000-0000C1280000}"/>
    <cellStyle name="Normal 2 2 2 2 2 19 4" xfId="10434" xr:uid="{00000000-0005-0000-0000-0000C2280000}"/>
    <cellStyle name="Normal 2 2 2 2 2 19 4 10" xfId="10435" xr:uid="{00000000-0005-0000-0000-0000C3280000}"/>
    <cellStyle name="Normal 2 2 2 2 2 19 4 2" xfId="10436" xr:uid="{00000000-0005-0000-0000-0000C4280000}"/>
    <cellStyle name="Normal 2 2 2 2 2 19 4 3" xfId="10437" xr:uid="{00000000-0005-0000-0000-0000C5280000}"/>
    <cellStyle name="Normal 2 2 2 2 2 19 4 4" xfId="10438" xr:uid="{00000000-0005-0000-0000-0000C6280000}"/>
    <cellStyle name="Normal 2 2 2 2 2 19 4 5" xfId="10439" xr:uid="{00000000-0005-0000-0000-0000C7280000}"/>
    <cellStyle name="Normal 2 2 2 2 2 19 4 6" xfId="10440" xr:uid="{00000000-0005-0000-0000-0000C8280000}"/>
    <cellStyle name="Normal 2 2 2 2 2 19 4 7" xfId="10441" xr:uid="{00000000-0005-0000-0000-0000C9280000}"/>
    <cellStyle name="Normal 2 2 2 2 2 19 4 8" xfId="10442" xr:uid="{00000000-0005-0000-0000-0000CA280000}"/>
    <cellStyle name="Normal 2 2 2 2 2 19 4 9" xfId="10443" xr:uid="{00000000-0005-0000-0000-0000CB280000}"/>
    <cellStyle name="Normal 2 2 2 2 2 19 5" xfId="10444" xr:uid="{00000000-0005-0000-0000-0000CC280000}"/>
    <cellStyle name="Normal 2 2 2 2 2 19 5 10" xfId="10445" xr:uid="{00000000-0005-0000-0000-0000CD280000}"/>
    <cellStyle name="Normal 2 2 2 2 2 19 5 2" xfId="10446" xr:uid="{00000000-0005-0000-0000-0000CE280000}"/>
    <cellStyle name="Normal 2 2 2 2 2 19 5 3" xfId="10447" xr:uid="{00000000-0005-0000-0000-0000CF280000}"/>
    <cellStyle name="Normal 2 2 2 2 2 19 5 4" xfId="10448" xr:uid="{00000000-0005-0000-0000-0000D0280000}"/>
    <cellStyle name="Normal 2 2 2 2 2 19 5 5" xfId="10449" xr:uid="{00000000-0005-0000-0000-0000D1280000}"/>
    <cellStyle name="Normal 2 2 2 2 2 19 5 6" xfId="10450" xr:uid="{00000000-0005-0000-0000-0000D2280000}"/>
    <cellStyle name="Normal 2 2 2 2 2 19 5 7" xfId="10451" xr:uid="{00000000-0005-0000-0000-0000D3280000}"/>
    <cellStyle name="Normal 2 2 2 2 2 19 5 8" xfId="10452" xr:uid="{00000000-0005-0000-0000-0000D4280000}"/>
    <cellStyle name="Normal 2 2 2 2 2 19 5 9" xfId="10453" xr:uid="{00000000-0005-0000-0000-0000D5280000}"/>
    <cellStyle name="Normal 2 2 2 2 2 19 6" xfId="10454" xr:uid="{00000000-0005-0000-0000-0000D6280000}"/>
    <cellStyle name="Normal 2 2 2 2 2 19 7" xfId="10455" xr:uid="{00000000-0005-0000-0000-0000D7280000}"/>
    <cellStyle name="Normal 2 2 2 2 2 19 8" xfId="10456" xr:uid="{00000000-0005-0000-0000-0000D8280000}"/>
    <cellStyle name="Normal 2 2 2 2 2 19 9" xfId="10457" xr:uid="{00000000-0005-0000-0000-0000D9280000}"/>
    <cellStyle name="Normal 2 2 2 2 2 2" xfId="10458" xr:uid="{00000000-0005-0000-0000-0000DA280000}"/>
    <cellStyle name="Normal 2 2 2 2 2 2 10" xfId="10459" xr:uid="{00000000-0005-0000-0000-0000DB280000}"/>
    <cellStyle name="Normal 2 2 2 2 2 2 10 10" xfId="10460" xr:uid="{00000000-0005-0000-0000-0000DC280000}"/>
    <cellStyle name="Normal 2 2 2 2 2 2 10 11" xfId="10461" xr:uid="{00000000-0005-0000-0000-0000DD280000}"/>
    <cellStyle name="Normal 2 2 2 2 2 2 10 12" xfId="10462" xr:uid="{00000000-0005-0000-0000-0000DE280000}"/>
    <cellStyle name="Normal 2 2 2 2 2 2 10 13" xfId="10463" xr:uid="{00000000-0005-0000-0000-0000DF280000}"/>
    <cellStyle name="Normal 2 2 2 2 2 2 10 14" xfId="10464" xr:uid="{00000000-0005-0000-0000-0000E0280000}"/>
    <cellStyle name="Normal 2 2 2 2 2 2 10 2" xfId="10465" xr:uid="{00000000-0005-0000-0000-0000E1280000}"/>
    <cellStyle name="Normal 2 2 2 2 2 2 10 2 10" xfId="10466" xr:uid="{00000000-0005-0000-0000-0000E2280000}"/>
    <cellStyle name="Normal 2 2 2 2 2 2 10 2 2" xfId="10467" xr:uid="{00000000-0005-0000-0000-0000E3280000}"/>
    <cellStyle name="Normal 2 2 2 2 2 2 10 2 3" xfId="10468" xr:uid="{00000000-0005-0000-0000-0000E4280000}"/>
    <cellStyle name="Normal 2 2 2 2 2 2 10 2 4" xfId="10469" xr:uid="{00000000-0005-0000-0000-0000E5280000}"/>
    <cellStyle name="Normal 2 2 2 2 2 2 10 2 5" xfId="10470" xr:uid="{00000000-0005-0000-0000-0000E6280000}"/>
    <cellStyle name="Normal 2 2 2 2 2 2 10 2 6" xfId="10471" xr:uid="{00000000-0005-0000-0000-0000E7280000}"/>
    <cellStyle name="Normal 2 2 2 2 2 2 10 2 7" xfId="10472" xr:uid="{00000000-0005-0000-0000-0000E8280000}"/>
    <cellStyle name="Normal 2 2 2 2 2 2 10 2 8" xfId="10473" xr:uid="{00000000-0005-0000-0000-0000E9280000}"/>
    <cellStyle name="Normal 2 2 2 2 2 2 10 2 9" xfId="10474" xr:uid="{00000000-0005-0000-0000-0000EA280000}"/>
    <cellStyle name="Normal 2 2 2 2 2 2 10 3" xfId="10475" xr:uid="{00000000-0005-0000-0000-0000EB280000}"/>
    <cellStyle name="Normal 2 2 2 2 2 2 10 3 10" xfId="10476" xr:uid="{00000000-0005-0000-0000-0000EC280000}"/>
    <cellStyle name="Normal 2 2 2 2 2 2 10 3 2" xfId="10477" xr:uid="{00000000-0005-0000-0000-0000ED280000}"/>
    <cellStyle name="Normal 2 2 2 2 2 2 10 3 3" xfId="10478" xr:uid="{00000000-0005-0000-0000-0000EE280000}"/>
    <cellStyle name="Normal 2 2 2 2 2 2 10 3 4" xfId="10479" xr:uid="{00000000-0005-0000-0000-0000EF280000}"/>
    <cellStyle name="Normal 2 2 2 2 2 2 10 3 5" xfId="10480" xr:uid="{00000000-0005-0000-0000-0000F0280000}"/>
    <cellStyle name="Normal 2 2 2 2 2 2 10 3 6" xfId="10481" xr:uid="{00000000-0005-0000-0000-0000F1280000}"/>
    <cellStyle name="Normal 2 2 2 2 2 2 10 3 7" xfId="10482" xr:uid="{00000000-0005-0000-0000-0000F2280000}"/>
    <cellStyle name="Normal 2 2 2 2 2 2 10 3 8" xfId="10483" xr:uid="{00000000-0005-0000-0000-0000F3280000}"/>
    <cellStyle name="Normal 2 2 2 2 2 2 10 3 9" xfId="10484" xr:uid="{00000000-0005-0000-0000-0000F4280000}"/>
    <cellStyle name="Normal 2 2 2 2 2 2 10 4" xfId="10485" xr:uid="{00000000-0005-0000-0000-0000F5280000}"/>
    <cellStyle name="Normal 2 2 2 2 2 2 10 4 10" xfId="10486" xr:uid="{00000000-0005-0000-0000-0000F6280000}"/>
    <cellStyle name="Normal 2 2 2 2 2 2 10 4 2" xfId="10487" xr:uid="{00000000-0005-0000-0000-0000F7280000}"/>
    <cellStyle name="Normal 2 2 2 2 2 2 10 4 3" xfId="10488" xr:uid="{00000000-0005-0000-0000-0000F8280000}"/>
    <cellStyle name="Normal 2 2 2 2 2 2 10 4 4" xfId="10489" xr:uid="{00000000-0005-0000-0000-0000F9280000}"/>
    <cellStyle name="Normal 2 2 2 2 2 2 10 4 5" xfId="10490" xr:uid="{00000000-0005-0000-0000-0000FA280000}"/>
    <cellStyle name="Normal 2 2 2 2 2 2 10 4 6" xfId="10491" xr:uid="{00000000-0005-0000-0000-0000FB280000}"/>
    <cellStyle name="Normal 2 2 2 2 2 2 10 4 7" xfId="10492" xr:uid="{00000000-0005-0000-0000-0000FC280000}"/>
    <cellStyle name="Normal 2 2 2 2 2 2 10 4 8" xfId="10493" xr:uid="{00000000-0005-0000-0000-0000FD280000}"/>
    <cellStyle name="Normal 2 2 2 2 2 2 10 4 9" xfId="10494" xr:uid="{00000000-0005-0000-0000-0000FE280000}"/>
    <cellStyle name="Normal 2 2 2 2 2 2 10 5" xfId="10495" xr:uid="{00000000-0005-0000-0000-0000FF280000}"/>
    <cellStyle name="Normal 2 2 2 2 2 2 10 5 10" xfId="10496" xr:uid="{00000000-0005-0000-0000-000000290000}"/>
    <cellStyle name="Normal 2 2 2 2 2 2 10 5 2" xfId="10497" xr:uid="{00000000-0005-0000-0000-000001290000}"/>
    <cellStyle name="Normal 2 2 2 2 2 2 10 5 3" xfId="10498" xr:uid="{00000000-0005-0000-0000-000002290000}"/>
    <cellStyle name="Normal 2 2 2 2 2 2 10 5 4" xfId="10499" xr:uid="{00000000-0005-0000-0000-000003290000}"/>
    <cellStyle name="Normal 2 2 2 2 2 2 10 5 5" xfId="10500" xr:uid="{00000000-0005-0000-0000-000004290000}"/>
    <cellStyle name="Normal 2 2 2 2 2 2 10 5 6" xfId="10501" xr:uid="{00000000-0005-0000-0000-000005290000}"/>
    <cellStyle name="Normal 2 2 2 2 2 2 10 5 7" xfId="10502" xr:uid="{00000000-0005-0000-0000-000006290000}"/>
    <cellStyle name="Normal 2 2 2 2 2 2 10 5 8" xfId="10503" xr:uid="{00000000-0005-0000-0000-000007290000}"/>
    <cellStyle name="Normal 2 2 2 2 2 2 10 5 9" xfId="10504" xr:uid="{00000000-0005-0000-0000-000008290000}"/>
    <cellStyle name="Normal 2 2 2 2 2 2 10 6" xfId="10505" xr:uid="{00000000-0005-0000-0000-000009290000}"/>
    <cellStyle name="Normal 2 2 2 2 2 2 10 7" xfId="10506" xr:uid="{00000000-0005-0000-0000-00000A290000}"/>
    <cellStyle name="Normal 2 2 2 2 2 2 10 8" xfId="10507" xr:uid="{00000000-0005-0000-0000-00000B290000}"/>
    <cellStyle name="Normal 2 2 2 2 2 2 10 9" xfId="10508" xr:uid="{00000000-0005-0000-0000-00000C290000}"/>
    <cellStyle name="Normal 2 2 2 2 2 2 11" xfId="10509" xr:uid="{00000000-0005-0000-0000-00000D290000}"/>
    <cellStyle name="Normal 2 2 2 2 2 2 11 10" xfId="10510" xr:uid="{00000000-0005-0000-0000-00000E290000}"/>
    <cellStyle name="Normal 2 2 2 2 2 2 11 11" xfId="10511" xr:uid="{00000000-0005-0000-0000-00000F290000}"/>
    <cellStyle name="Normal 2 2 2 2 2 2 11 12" xfId="10512" xr:uid="{00000000-0005-0000-0000-000010290000}"/>
    <cellStyle name="Normal 2 2 2 2 2 2 11 13" xfId="10513" xr:uid="{00000000-0005-0000-0000-000011290000}"/>
    <cellStyle name="Normal 2 2 2 2 2 2 11 14" xfId="10514" xr:uid="{00000000-0005-0000-0000-000012290000}"/>
    <cellStyle name="Normal 2 2 2 2 2 2 11 2" xfId="10515" xr:uid="{00000000-0005-0000-0000-000013290000}"/>
    <cellStyle name="Normal 2 2 2 2 2 2 11 2 10" xfId="10516" xr:uid="{00000000-0005-0000-0000-000014290000}"/>
    <cellStyle name="Normal 2 2 2 2 2 2 11 2 2" xfId="10517" xr:uid="{00000000-0005-0000-0000-000015290000}"/>
    <cellStyle name="Normal 2 2 2 2 2 2 11 2 3" xfId="10518" xr:uid="{00000000-0005-0000-0000-000016290000}"/>
    <cellStyle name="Normal 2 2 2 2 2 2 11 2 4" xfId="10519" xr:uid="{00000000-0005-0000-0000-000017290000}"/>
    <cellStyle name="Normal 2 2 2 2 2 2 11 2 5" xfId="10520" xr:uid="{00000000-0005-0000-0000-000018290000}"/>
    <cellStyle name="Normal 2 2 2 2 2 2 11 2 6" xfId="10521" xr:uid="{00000000-0005-0000-0000-000019290000}"/>
    <cellStyle name="Normal 2 2 2 2 2 2 11 2 7" xfId="10522" xr:uid="{00000000-0005-0000-0000-00001A290000}"/>
    <cellStyle name="Normal 2 2 2 2 2 2 11 2 8" xfId="10523" xr:uid="{00000000-0005-0000-0000-00001B290000}"/>
    <cellStyle name="Normal 2 2 2 2 2 2 11 2 9" xfId="10524" xr:uid="{00000000-0005-0000-0000-00001C290000}"/>
    <cellStyle name="Normal 2 2 2 2 2 2 11 3" xfId="10525" xr:uid="{00000000-0005-0000-0000-00001D290000}"/>
    <cellStyle name="Normal 2 2 2 2 2 2 11 3 10" xfId="10526" xr:uid="{00000000-0005-0000-0000-00001E290000}"/>
    <cellStyle name="Normal 2 2 2 2 2 2 11 3 2" xfId="10527" xr:uid="{00000000-0005-0000-0000-00001F290000}"/>
    <cellStyle name="Normal 2 2 2 2 2 2 11 3 3" xfId="10528" xr:uid="{00000000-0005-0000-0000-000020290000}"/>
    <cellStyle name="Normal 2 2 2 2 2 2 11 3 4" xfId="10529" xr:uid="{00000000-0005-0000-0000-000021290000}"/>
    <cellStyle name="Normal 2 2 2 2 2 2 11 3 5" xfId="10530" xr:uid="{00000000-0005-0000-0000-000022290000}"/>
    <cellStyle name="Normal 2 2 2 2 2 2 11 3 6" xfId="10531" xr:uid="{00000000-0005-0000-0000-000023290000}"/>
    <cellStyle name="Normal 2 2 2 2 2 2 11 3 7" xfId="10532" xr:uid="{00000000-0005-0000-0000-000024290000}"/>
    <cellStyle name="Normal 2 2 2 2 2 2 11 3 8" xfId="10533" xr:uid="{00000000-0005-0000-0000-000025290000}"/>
    <cellStyle name="Normal 2 2 2 2 2 2 11 3 9" xfId="10534" xr:uid="{00000000-0005-0000-0000-000026290000}"/>
    <cellStyle name="Normal 2 2 2 2 2 2 11 4" xfId="10535" xr:uid="{00000000-0005-0000-0000-000027290000}"/>
    <cellStyle name="Normal 2 2 2 2 2 2 11 4 10" xfId="10536" xr:uid="{00000000-0005-0000-0000-000028290000}"/>
    <cellStyle name="Normal 2 2 2 2 2 2 11 4 2" xfId="10537" xr:uid="{00000000-0005-0000-0000-000029290000}"/>
    <cellStyle name="Normal 2 2 2 2 2 2 11 4 3" xfId="10538" xr:uid="{00000000-0005-0000-0000-00002A290000}"/>
    <cellStyle name="Normal 2 2 2 2 2 2 11 4 4" xfId="10539" xr:uid="{00000000-0005-0000-0000-00002B290000}"/>
    <cellStyle name="Normal 2 2 2 2 2 2 11 4 5" xfId="10540" xr:uid="{00000000-0005-0000-0000-00002C290000}"/>
    <cellStyle name="Normal 2 2 2 2 2 2 11 4 6" xfId="10541" xr:uid="{00000000-0005-0000-0000-00002D290000}"/>
    <cellStyle name="Normal 2 2 2 2 2 2 11 4 7" xfId="10542" xr:uid="{00000000-0005-0000-0000-00002E290000}"/>
    <cellStyle name="Normal 2 2 2 2 2 2 11 4 8" xfId="10543" xr:uid="{00000000-0005-0000-0000-00002F290000}"/>
    <cellStyle name="Normal 2 2 2 2 2 2 11 4 9" xfId="10544" xr:uid="{00000000-0005-0000-0000-000030290000}"/>
    <cellStyle name="Normal 2 2 2 2 2 2 11 5" xfId="10545" xr:uid="{00000000-0005-0000-0000-000031290000}"/>
    <cellStyle name="Normal 2 2 2 2 2 2 11 5 10" xfId="10546" xr:uid="{00000000-0005-0000-0000-000032290000}"/>
    <cellStyle name="Normal 2 2 2 2 2 2 11 5 2" xfId="10547" xr:uid="{00000000-0005-0000-0000-000033290000}"/>
    <cellStyle name="Normal 2 2 2 2 2 2 11 5 3" xfId="10548" xr:uid="{00000000-0005-0000-0000-000034290000}"/>
    <cellStyle name="Normal 2 2 2 2 2 2 11 5 4" xfId="10549" xr:uid="{00000000-0005-0000-0000-000035290000}"/>
    <cellStyle name="Normal 2 2 2 2 2 2 11 5 5" xfId="10550" xr:uid="{00000000-0005-0000-0000-000036290000}"/>
    <cellStyle name="Normal 2 2 2 2 2 2 11 5 6" xfId="10551" xr:uid="{00000000-0005-0000-0000-000037290000}"/>
    <cellStyle name="Normal 2 2 2 2 2 2 11 5 7" xfId="10552" xr:uid="{00000000-0005-0000-0000-000038290000}"/>
    <cellStyle name="Normal 2 2 2 2 2 2 11 5 8" xfId="10553" xr:uid="{00000000-0005-0000-0000-000039290000}"/>
    <cellStyle name="Normal 2 2 2 2 2 2 11 5 9" xfId="10554" xr:uid="{00000000-0005-0000-0000-00003A290000}"/>
    <cellStyle name="Normal 2 2 2 2 2 2 11 6" xfId="10555" xr:uid="{00000000-0005-0000-0000-00003B290000}"/>
    <cellStyle name="Normal 2 2 2 2 2 2 11 7" xfId="10556" xr:uid="{00000000-0005-0000-0000-00003C290000}"/>
    <cellStyle name="Normal 2 2 2 2 2 2 11 8" xfId="10557" xr:uid="{00000000-0005-0000-0000-00003D290000}"/>
    <cellStyle name="Normal 2 2 2 2 2 2 11 9" xfId="10558" xr:uid="{00000000-0005-0000-0000-00003E290000}"/>
    <cellStyle name="Normal 2 2 2 2 2 2 12" xfId="10559" xr:uid="{00000000-0005-0000-0000-00003F290000}"/>
    <cellStyle name="Normal 2 2 2 2 2 2 12 10" xfId="10560" xr:uid="{00000000-0005-0000-0000-000040290000}"/>
    <cellStyle name="Normal 2 2 2 2 2 2 12 11" xfId="10561" xr:uid="{00000000-0005-0000-0000-000041290000}"/>
    <cellStyle name="Normal 2 2 2 2 2 2 12 12" xfId="10562" xr:uid="{00000000-0005-0000-0000-000042290000}"/>
    <cellStyle name="Normal 2 2 2 2 2 2 12 13" xfId="10563" xr:uid="{00000000-0005-0000-0000-000043290000}"/>
    <cellStyle name="Normal 2 2 2 2 2 2 12 14" xfId="10564" xr:uid="{00000000-0005-0000-0000-000044290000}"/>
    <cellStyle name="Normal 2 2 2 2 2 2 12 2" xfId="10565" xr:uid="{00000000-0005-0000-0000-000045290000}"/>
    <cellStyle name="Normal 2 2 2 2 2 2 12 2 10" xfId="10566" xr:uid="{00000000-0005-0000-0000-000046290000}"/>
    <cellStyle name="Normal 2 2 2 2 2 2 12 2 2" xfId="10567" xr:uid="{00000000-0005-0000-0000-000047290000}"/>
    <cellStyle name="Normal 2 2 2 2 2 2 12 2 3" xfId="10568" xr:uid="{00000000-0005-0000-0000-000048290000}"/>
    <cellStyle name="Normal 2 2 2 2 2 2 12 2 4" xfId="10569" xr:uid="{00000000-0005-0000-0000-000049290000}"/>
    <cellStyle name="Normal 2 2 2 2 2 2 12 2 5" xfId="10570" xr:uid="{00000000-0005-0000-0000-00004A290000}"/>
    <cellStyle name="Normal 2 2 2 2 2 2 12 2 6" xfId="10571" xr:uid="{00000000-0005-0000-0000-00004B290000}"/>
    <cellStyle name="Normal 2 2 2 2 2 2 12 2 7" xfId="10572" xr:uid="{00000000-0005-0000-0000-00004C290000}"/>
    <cellStyle name="Normal 2 2 2 2 2 2 12 2 8" xfId="10573" xr:uid="{00000000-0005-0000-0000-00004D290000}"/>
    <cellStyle name="Normal 2 2 2 2 2 2 12 2 9" xfId="10574" xr:uid="{00000000-0005-0000-0000-00004E290000}"/>
    <cellStyle name="Normal 2 2 2 2 2 2 12 3" xfId="10575" xr:uid="{00000000-0005-0000-0000-00004F290000}"/>
    <cellStyle name="Normal 2 2 2 2 2 2 12 3 10" xfId="10576" xr:uid="{00000000-0005-0000-0000-000050290000}"/>
    <cellStyle name="Normal 2 2 2 2 2 2 12 3 2" xfId="10577" xr:uid="{00000000-0005-0000-0000-000051290000}"/>
    <cellStyle name="Normal 2 2 2 2 2 2 12 3 3" xfId="10578" xr:uid="{00000000-0005-0000-0000-000052290000}"/>
    <cellStyle name="Normal 2 2 2 2 2 2 12 3 4" xfId="10579" xr:uid="{00000000-0005-0000-0000-000053290000}"/>
    <cellStyle name="Normal 2 2 2 2 2 2 12 3 5" xfId="10580" xr:uid="{00000000-0005-0000-0000-000054290000}"/>
    <cellStyle name="Normal 2 2 2 2 2 2 12 3 6" xfId="10581" xr:uid="{00000000-0005-0000-0000-000055290000}"/>
    <cellStyle name="Normal 2 2 2 2 2 2 12 3 7" xfId="10582" xr:uid="{00000000-0005-0000-0000-000056290000}"/>
    <cellStyle name="Normal 2 2 2 2 2 2 12 3 8" xfId="10583" xr:uid="{00000000-0005-0000-0000-000057290000}"/>
    <cellStyle name="Normal 2 2 2 2 2 2 12 3 9" xfId="10584" xr:uid="{00000000-0005-0000-0000-000058290000}"/>
    <cellStyle name="Normal 2 2 2 2 2 2 12 4" xfId="10585" xr:uid="{00000000-0005-0000-0000-000059290000}"/>
    <cellStyle name="Normal 2 2 2 2 2 2 12 4 10" xfId="10586" xr:uid="{00000000-0005-0000-0000-00005A290000}"/>
    <cellStyle name="Normal 2 2 2 2 2 2 12 4 2" xfId="10587" xr:uid="{00000000-0005-0000-0000-00005B290000}"/>
    <cellStyle name="Normal 2 2 2 2 2 2 12 4 3" xfId="10588" xr:uid="{00000000-0005-0000-0000-00005C290000}"/>
    <cellStyle name="Normal 2 2 2 2 2 2 12 4 4" xfId="10589" xr:uid="{00000000-0005-0000-0000-00005D290000}"/>
    <cellStyle name="Normal 2 2 2 2 2 2 12 4 5" xfId="10590" xr:uid="{00000000-0005-0000-0000-00005E290000}"/>
    <cellStyle name="Normal 2 2 2 2 2 2 12 4 6" xfId="10591" xr:uid="{00000000-0005-0000-0000-00005F290000}"/>
    <cellStyle name="Normal 2 2 2 2 2 2 12 4 7" xfId="10592" xr:uid="{00000000-0005-0000-0000-000060290000}"/>
    <cellStyle name="Normal 2 2 2 2 2 2 12 4 8" xfId="10593" xr:uid="{00000000-0005-0000-0000-000061290000}"/>
    <cellStyle name="Normal 2 2 2 2 2 2 12 4 9" xfId="10594" xr:uid="{00000000-0005-0000-0000-000062290000}"/>
    <cellStyle name="Normal 2 2 2 2 2 2 12 5" xfId="10595" xr:uid="{00000000-0005-0000-0000-000063290000}"/>
    <cellStyle name="Normal 2 2 2 2 2 2 12 5 10" xfId="10596" xr:uid="{00000000-0005-0000-0000-000064290000}"/>
    <cellStyle name="Normal 2 2 2 2 2 2 12 5 2" xfId="10597" xr:uid="{00000000-0005-0000-0000-000065290000}"/>
    <cellStyle name="Normal 2 2 2 2 2 2 12 5 3" xfId="10598" xr:uid="{00000000-0005-0000-0000-000066290000}"/>
    <cellStyle name="Normal 2 2 2 2 2 2 12 5 4" xfId="10599" xr:uid="{00000000-0005-0000-0000-000067290000}"/>
    <cellStyle name="Normal 2 2 2 2 2 2 12 5 5" xfId="10600" xr:uid="{00000000-0005-0000-0000-000068290000}"/>
    <cellStyle name="Normal 2 2 2 2 2 2 12 5 6" xfId="10601" xr:uid="{00000000-0005-0000-0000-000069290000}"/>
    <cellStyle name="Normal 2 2 2 2 2 2 12 5 7" xfId="10602" xr:uid="{00000000-0005-0000-0000-00006A290000}"/>
    <cellStyle name="Normal 2 2 2 2 2 2 12 5 8" xfId="10603" xr:uid="{00000000-0005-0000-0000-00006B290000}"/>
    <cellStyle name="Normal 2 2 2 2 2 2 12 5 9" xfId="10604" xr:uid="{00000000-0005-0000-0000-00006C290000}"/>
    <cellStyle name="Normal 2 2 2 2 2 2 12 6" xfId="10605" xr:uid="{00000000-0005-0000-0000-00006D290000}"/>
    <cellStyle name="Normal 2 2 2 2 2 2 12 7" xfId="10606" xr:uid="{00000000-0005-0000-0000-00006E290000}"/>
    <cellStyle name="Normal 2 2 2 2 2 2 12 8" xfId="10607" xr:uid="{00000000-0005-0000-0000-00006F290000}"/>
    <cellStyle name="Normal 2 2 2 2 2 2 12 9" xfId="10608" xr:uid="{00000000-0005-0000-0000-000070290000}"/>
    <cellStyle name="Normal 2 2 2 2 2 2 13" xfId="10609" xr:uid="{00000000-0005-0000-0000-000071290000}"/>
    <cellStyle name="Normal 2 2 2 2 2 2 13 10" xfId="10610" xr:uid="{00000000-0005-0000-0000-000072290000}"/>
    <cellStyle name="Normal 2 2 2 2 2 2 13 11" xfId="10611" xr:uid="{00000000-0005-0000-0000-000073290000}"/>
    <cellStyle name="Normal 2 2 2 2 2 2 13 12" xfId="10612" xr:uid="{00000000-0005-0000-0000-000074290000}"/>
    <cellStyle name="Normal 2 2 2 2 2 2 13 13" xfId="10613" xr:uid="{00000000-0005-0000-0000-000075290000}"/>
    <cellStyle name="Normal 2 2 2 2 2 2 13 14" xfId="10614" xr:uid="{00000000-0005-0000-0000-000076290000}"/>
    <cellStyle name="Normal 2 2 2 2 2 2 13 2" xfId="10615" xr:uid="{00000000-0005-0000-0000-000077290000}"/>
    <cellStyle name="Normal 2 2 2 2 2 2 13 2 10" xfId="10616" xr:uid="{00000000-0005-0000-0000-000078290000}"/>
    <cellStyle name="Normal 2 2 2 2 2 2 13 2 2" xfId="10617" xr:uid="{00000000-0005-0000-0000-000079290000}"/>
    <cellStyle name="Normal 2 2 2 2 2 2 13 2 3" xfId="10618" xr:uid="{00000000-0005-0000-0000-00007A290000}"/>
    <cellStyle name="Normal 2 2 2 2 2 2 13 2 4" xfId="10619" xr:uid="{00000000-0005-0000-0000-00007B290000}"/>
    <cellStyle name="Normal 2 2 2 2 2 2 13 2 5" xfId="10620" xr:uid="{00000000-0005-0000-0000-00007C290000}"/>
    <cellStyle name="Normal 2 2 2 2 2 2 13 2 6" xfId="10621" xr:uid="{00000000-0005-0000-0000-00007D290000}"/>
    <cellStyle name="Normal 2 2 2 2 2 2 13 2 7" xfId="10622" xr:uid="{00000000-0005-0000-0000-00007E290000}"/>
    <cellStyle name="Normal 2 2 2 2 2 2 13 2 8" xfId="10623" xr:uid="{00000000-0005-0000-0000-00007F290000}"/>
    <cellStyle name="Normal 2 2 2 2 2 2 13 2 9" xfId="10624" xr:uid="{00000000-0005-0000-0000-000080290000}"/>
    <cellStyle name="Normal 2 2 2 2 2 2 13 3" xfId="10625" xr:uid="{00000000-0005-0000-0000-000081290000}"/>
    <cellStyle name="Normal 2 2 2 2 2 2 13 3 10" xfId="10626" xr:uid="{00000000-0005-0000-0000-000082290000}"/>
    <cellStyle name="Normal 2 2 2 2 2 2 13 3 2" xfId="10627" xr:uid="{00000000-0005-0000-0000-000083290000}"/>
    <cellStyle name="Normal 2 2 2 2 2 2 13 3 3" xfId="10628" xr:uid="{00000000-0005-0000-0000-000084290000}"/>
    <cellStyle name="Normal 2 2 2 2 2 2 13 3 4" xfId="10629" xr:uid="{00000000-0005-0000-0000-000085290000}"/>
    <cellStyle name="Normal 2 2 2 2 2 2 13 3 5" xfId="10630" xr:uid="{00000000-0005-0000-0000-000086290000}"/>
    <cellStyle name="Normal 2 2 2 2 2 2 13 3 6" xfId="10631" xr:uid="{00000000-0005-0000-0000-000087290000}"/>
    <cellStyle name="Normal 2 2 2 2 2 2 13 3 7" xfId="10632" xr:uid="{00000000-0005-0000-0000-000088290000}"/>
    <cellStyle name="Normal 2 2 2 2 2 2 13 3 8" xfId="10633" xr:uid="{00000000-0005-0000-0000-000089290000}"/>
    <cellStyle name="Normal 2 2 2 2 2 2 13 3 9" xfId="10634" xr:uid="{00000000-0005-0000-0000-00008A290000}"/>
    <cellStyle name="Normal 2 2 2 2 2 2 13 4" xfId="10635" xr:uid="{00000000-0005-0000-0000-00008B290000}"/>
    <cellStyle name="Normal 2 2 2 2 2 2 13 4 10" xfId="10636" xr:uid="{00000000-0005-0000-0000-00008C290000}"/>
    <cellStyle name="Normal 2 2 2 2 2 2 13 4 2" xfId="10637" xr:uid="{00000000-0005-0000-0000-00008D290000}"/>
    <cellStyle name="Normal 2 2 2 2 2 2 13 4 3" xfId="10638" xr:uid="{00000000-0005-0000-0000-00008E290000}"/>
    <cellStyle name="Normal 2 2 2 2 2 2 13 4 4" xfId="10639" xr:uid="{00000000-0005-0000-0000-00008F290000}"/>
    <cellStyle name="Normal 2 2 2 2 2 2 13 4 5" xfId="10640" xr:uid="{00000000-0005-0000-0000-000090290000}"/>
    <cellStyle name="Normal 2 2 2 2 2 2 13 4 6" xfId="10641" xr:uid="{00000000-0005-0000-0000-000091290000}"/>
    <cellStyle name="Normal 2 2 2 2 2 2 13 4 7" xfId="10642" xr:uid="{00000000-0005-0000-0000-000092290000}"/>
    <cellStyle name="Normal 2 2 2 2 2 2 13 4 8" xfId="10643" xr:uid="{00000000-0005-0000-0000-000093290000}"/>
    <cellStyle name="Normal 2 2 2 2 2 2 13 4 9" xfId="10644" xr:uid="{00000000-0005-0000-0000-000094290000}"/>
    <cellStyle name="Normal 2 2 2 2 2 2 13 5" xfId="10645" xr:uid="{00000000-0005-0000-0000-000095290000}"/>
    <cellStyle name="Normal 2 2 2 2 2 2 13 5 10" xfId="10646" xr:uid="{00000000-0005-0000-0000-000096290000}"/>
    <cellStyle name="Normal 2 2 2 2 2 2 13 5 2" xfId="10647" xr:uid="{00000000-0005-0000-0000-000097290000}"/>
    <cellStyle name="Normal 2 2 2 2 2 2 13 5 3" xfId="10648" xr:uid="{00000000-0005-0000-0000-000098290000}"/>
    <cellStyle name="Normal 2 2 2 2 2 2 13 5 4" xfId="10649" xr:uid="{00000000-0005-0000-0000-000099290000}"/>
    <cellStyle name="Normal 2 2 2 2 2 2 13 5 5" xfId="10650" xr:uid="{00000000-0005-0000-0000-00009A290000}"/>
    <cellStyle name="Normal 2 2 2 2 2 2 13 5 6" xfId="10651" xr:uid="{00000000-0005-0000-0000-00009B290000}"/>
    <cellStyle name="Normal 2 2 2 2 2 2 13 5 7" xfId="10652" xr:uid="{00000000-0005-0000-0000-00009C290000}"/>
    <cellStyle name="Normal 2 2 2 2 2 2 13 5 8" xfId="10653" xr:uid="{00000000-0005-0000-0000-00009D290000}"/>
    <cellStyle name="Normal 2 2 2 2 2 2 13 5 9" xfId="10654" xr:uid="{00000000-0005-0000-0000-00009E290000}"/>
    <cellStyle name="Normal 2 2 2 2 2 2 13 6" xfId="10655" xr:uid="{00000000-0005-0000-0000-00009F290000}"/>
    <cellStyle name="Normal 2 2 2 2 2 2 13 7" xfId="10656" xr:uid="{00000000-0005-0000-0000-0000A0290000}"/>
    <cellStyle name="Normal 2 2 2 2 2 2 13 8" xfId="10657" xr:uid="{00000000-0005-0000-0000-0000A1290000}"/>
    <cellStyle name="Normal 2 2 2 2 2 2 13 9" xfId="10658" xr:uid="{00000000-0005-0000-0000-0000A2290000}"/>
    <cellStyle name="Normal 2 2 2 2 2 2 14" xfId="10659" xr:uid="{00000000-0005-0000-0000-0000A3290000}"/>
    <cellStyle name="Normal 2 2 2 2 2 2 14 10" xfId="10660" xr:uid="{00000000-0005-0000-0000-0000A4290000}"/>
    <cellStyle name="Normal 2 2 2 2 2 2 14 11" xfId="10661" xr:uid="{00000000-0005-0000-0000-0000A5290000}"/>
    <cellStyle name="Normal 2 2 2 2 2 2 14 12" xfId="10662" xr:uid="{00000000-0005-0000-0000-0000A6290000}"/>
    <cellStyle name="Normal 2 2 2 2 2 2 14 13" xfId="10663" xr:uid="{00000000-0005-0000-0000-0000A7290000}"/>
    <cellStyle name="Normal 2 2 2 2 2 2 14 14" xfId="10664" xr:uid="{00000000-0005-0000-0000-0000A8290000}"/>
    <cellStyle name="Normal 2 2 2 2 2 2 14 2" xfId="10665" xr:uid="{00000000-0005-0000-0000-0000A9290000}"/>
    <cellStyle name="Normal 2 2 2 2 2 2 14 2 10" xfId="10666" xr:uid="{00000000-0005-0000-0000-0000AA290000}"/>
    <cellStyle name="Normal 2 2 2 2 2 2 14 2 2" xfId="10667" xr:uid="{00000000-0005-0000-0000-0000AB290000}"/>
    <cellStyle name="Normal 2 2 2 2 2 2 14 2 3" xfId="10668" xr:uid="{00000000-0005-0000-0000-0000AC290000}"/>
    <cellStyle name="Normal 2 2 2 2 2 2 14 2 4" xfId="10669" xr:uid="{00000000-0005-0000-0000-0000AD290000}"/>
    <cellStyle name="Normal 2 2 2 2 2 2 14 2 5" xfId="10670" xr:uid="{00000000-0005-0000-0000-0000AE290000}"/>
    <cellStyle name="Normal 2 2 2 2 2 2 14 2 6" xfId="10671" xr:uid="{00000000-0005-0000-0000-0000AF290000}"/>
    <cellStyle name="Normal 2 2 2 2 2 2 14 2 7" xfId="10672" xr:uid="{00000000-0005-0000-0000-0000B0290000}"/>
    <cellStyle name="Normal 2 2 2 2 2 2 14 2 8" xfId="10673" xr:uid="{00000000-0005-0000-0000-0000B1290000}"/>
    <cellStyle name="Normal 2 2 2 2 2 2 14 2 9" xfId="10674" xr:uid="{00000000-0005-0000-0000-0000B2290000}"/>
    <cellStyle name="Normal 2 2 2 2 2 2 14 3" xfId="10675" xr:uid="{00000000-0005-0000-0000-0000B3290000}"/>
    <cellStyle name="Normal 2 2 2 2 2 2 14 3 10" xfId="10676" xr:uid="{00000000-0005-0000-0000-0000B4290000}"/>
    <cellStyle name="Normal 2 2 2 2 2 2 14 3 2" xfId="10677" xr:uid="{00000000-0005-0000-0000-0000B5290000}"/>
    <cellStyle name="Normal 2 2 2 2 2 2 14 3 3" xfId="10678" xr:uid="{00000000-0005-0000-0000-0000B6290000}"/>
    <cellStyle name="Normal 2 2 2 2 2 2 14 3 4" xfId="10679" xr:uid="{00000000-0005-0000-0000-0000B7290000}"/>
    <cellStyle name="Normal 2 2 2 2 2 2 14 3 5" xfId="10680" xr:uid="{00000000-0005-0000-0000-0000B8290000}"/>
    <cellStyle name="Normal 2 2 2 2 2 2 14 3 6" xfId="10681" xr:uid="{00000000-0005-0000-0000-0000B9290000}"/>
    <cellStyle name="Normal 2 2 2 2 2 2 14 3 7" xfId="10682" xr:uid="{00000000-0005-0000-0000-0000BA290000}"/>
    <cellStyle name="Normal 2 2 2 2 2 2 14 3 8" xfId="10683" xr:uid="{00000000-0005-0000-0000-0000BB290000}"/>
    <cellStyle name="Normal 2 2 2 2 2 2 14 3 9" xfId="10684" xr:uid="{00000000-0005-0000-0000-0000BC290000}"/>
    <cellStyle name="Normal 2 2 2 2 2 2 14 4" xfId="10685" xr:uid="{00000000-0005-0000-0000-0000BD290000}"/>
    <cellStyle name="Normal 2 2 2 2 2 2 14 4 10" xfId="10686" xr:uid="{00000000-0005-0000-0000-0000BE290000}"/>
    <cellStyle name="Normal 2 2 2 2 2 2 14 4 2" xfId="10687" xr:uid="{00000000-0005-0000-0000-0000BF290000}"/>
    <cellStyle name="Normal 2 2 2 2 2 2 14 4 3" xfId="10688" xr:uid="{00000000-0005-0000-0000-0000C0290000}"/>
    <cellStyle name="Normal 2 2 2 2 2 2 14 4 4" xfId="10689" xr:uid="{00000000-0005-0000-0000-0000C1290000}"/>
    <cellStyle name="Normal 2 2 2 2 2 2 14 4 5" xfId="10690" xr:uid="{00000000-0005-0000-0000-0000C2290000}"/>
    <cellStyle name="Normal 2 2 2 2 2 2 14 4 6" xfId="10691" xr:uid="{00000000-0005-0000-0000-0000C3290000}"/>
    <cellStyle name="Normal 2 2 2 2 2 2 14 4 7" xfId="10692" xr:uid="{00000000-0005-0000-0000-0000C4290000}"/>
    <cellStyle name="Normal 2 2 2 2 2 2 14 4 8" xfId="10693" xr:uid="{00000000-0005-0000-0000-0000C5290000}"/>
    <cellStyle name="Normal 2 2 2 2 2 2 14 4 9" xfId="10694" xr:uid="{00000000-0005-0000-0000-0000C6290000}"/>
    <cellStyle name="Normal 2 2 2 2 2 2 14 5" xfId="10695" xr:uid="{00000000-0005-0000-0000-0000C7290000}"/>
    <cellStyle name="Normal 2 2 2 2 2 2 14 5 10" xfId="10696" xr:uid="{00000000-0005-0000-0000-0000C8290000}"/>
    <cellStyle name="Normal 2 2 2 2 2 2 14 5 2" xfId="10697" xr:uid="{00000000-0005-0000-0000-0000C9290000}"/>
    <cellStyle name="Normal 2 2 2 2 2 2 14 5 3" xfId="10698" xr:uid="{00000000-0005-0000-0000-0000CA290000}"/>
    <cellStyle name="Normal 2 2 2 2 2 2 14 5 4" xfId="10699" xr:uid="{00000000-0005-0000-0000-0000CB290000}"/>
    <cellStyle name="Normal 2 2 2 2 2 2 14 5 5" xfId="10700" xr:uid="{00000000-0005-0000-0000-0000CC290000}"/>
    <cellStyle name="Normal 2 2 2 2 2 2 14 5 6" xfId="10701" xr:uid="{00000000-0005-0000-0000-0000CD290000}"/>
    <cellStyle name="Normal 2 2 2 2 2 2 14 5 7" xfId="10702" xr:uid="{00000000-0005-0000-0000-0000CE290000}"/>
    <cellStyle name="Normal 2 2 2 2 2 2 14 5 8" xfId="10703" xr:uid="{00000000-0005-0000-0000-0000CF290000}"/>
    <cellStyle name="Normal 2 2 2 2 2 2 14 5 9" xfId="10704" xr:uid="{00000000-0005-0000-0000-0000D0290000}"/>
    <cellStyle name="Normal 2 2 2 2 2 2 14 6" xfId="10705" xr:uid="{00000000-0005-0000-0000-0000D1290000}"/>
    <cellStyle name="Normal 2 2 2 2 2 2 14 7" xfId="10706" xr:uid="{00000000-0005-0000-0000-0000D2290000}"/>
    <cellStyle name="Normal 2 2 2 2 2 2 14 8" xfId="10707" xr:uid="{00000000-0005-0000-0000-0000D3290000}"/>
    <cellStyle name="Normal 2 2 2 2 2 2 14 9" xfId="10708" xr:uid="{00000000-0005-0000-0000-0000D4290000}"/>
    <cellStyle name="Normal 2 2 2 2 2 2 15" xfId="10709" xr:uid="{00000000-0005-0000-0000-0000D5290000}"/>
    <cellStyle name="Normal 2 2 2 2 2 2 15 10" xfId="10710" xr:uid="{00000000-0005-0000-0000-0000D6290000}"/>
    <cellStyle name="Normal 2 2 2 2 2 2 15 11" xfId="10711" xr:uid="{00000000-0005-0000-0000-0000D7290000}"/>
    <cellStyle name="Normal 2 2 2 2 2 2 15 12" xfId="10712" xr:uid="{00000000-0005-0000-0000-0000D8290000}"/>
    <cellStyle name="Normal 2 2 2 2 2 2 15 13" xfId="10713" xr:uid="{00000000-0005-0000-0000-0000D9290000}"/>
    <cellStyle name="Normal 2 2 2 2 2 2 15 14" xfId="10714" xr:uid="{00000000-0005-0000-0000-0000DA290000}"/>
    <cellStyle name="Normal 2 2 2 2 2 2 15 2" xfId="10715" xr:uid="{00000000-0005-0000-0000-0000DB290000}"/>
    <cellStyle name="Normal 2 2 2 2 2 2 15 2 10" xfId="10716" xr:uid="{00000000-0005-0000-0000-0000DC290000}"/>
    <cellStyle name="Normal 2 2 2 2 2 2 15 2 2" xfId="10717" xr:uid="{00000000-0005-0000-0000-0000DD290000}"/>
    <cellStyle name="Normal 2 2 2 2 2 2 15 2 3" xfId="10718" xr:uid="{00000000-0005-0000-0000-0000DE290000}"/>
    <cellStyle name="Normal 2 2 2 2 2 2 15 2 4" xfId="10719" xr:uid="{00000000-0005-0000-0000-0000DF290000}"/>
    <cellStyle name="Normal 2 2 2 2 2 2 15 2 5" xfId="10720" xr:uid="{00000000-0005-0000-0000-0000E0290000}"/>
    <cellStyle name="Normal 2 2 2 2 2 2 15 2 6" xfId="10721" xr:uid="{00000000-0005-0000-0000-0000E1290000}"/>
    <cellStyle name="Normal 2 2 2 2 2 2 15 2 7" xfId="10722" xr:uid="{00000000-0005-0000-0000-0000E2290000}"/>
    <cellStyle name="Normal 2 2 2 2 2 2 15 2 8" xfId="10723" xr:uid="{00000000-0005-0000-0000-0000E3290000}"/>
    <cellStyle name="Normal 2 2 2 2 2 2 15 2 9" xfId="10724" xr:uid="{00000000-0005-0000-0000-0000E4290000}"/>
    <cellStyle name="Normal 2 2 2 2 2 2 15 3" xfId="10725" xr:uid="{00000000-0005-0000-0000-0000E5290000}"/>
    <cellStyle name="Normal 2 2 2 2 2 2 15 3 10" xfId="10726" xr:uid="{00000000-0005-0000-0000-0000E6290000}"/>
    <cellStyle name="Normal 2 2 2 2 2 2 15 3 2" xfId="10727" xr:uid="{00000000-0005-0000-0000-0000E7290000}"/>
    <cellStyle name="Normal 2 2 2 2 2 2 15 3 3" xfId="10728" xr:uid="{00000000-0005-0000-0000-0000E8290000}"/>
    <cellStyle name="Normal 2 2 2 2 2 2 15 3 4" xfId="10729" xr:uid="{00000000-0005-0000-0000-0000E9290000}"/>
    <cellStyle name="Normal 2 2 2 2 2 2 15 3 5" xfId="10730" xr:uid="{00000000-0005-0000-0000-0000EA290000}"/>
    <cellStyle name="Normal 2 2 2 2 2 2 15 3 6" xfId="10731" xr:uid="{00000000-0005-0000-0000-0000EB290000}"/>
    <cellStyle name="Normal 2 2 2 2 2 2 15 3 7" xfId="10732" xr:uid="{00000000-0005-0000-0000-0000EC290000}"/>
    <cellStyle name="Normal 2 2 2 2 2 2 15 3 8" xfId="10733" xr:uid="{00000000-0005-0000-0000-0000ED290000}"/>
    <cellStyle name="Normal 2 2 2 2 2 2 15 3 9" xfId="10734" xr:uid="{00000000-0005-0000-0000-0000EE290000}"/>
    <cellStyle name="Normal 2 2 2 2 2 2 15 4" xfId="10735" xr:uid="{00000000-0005-0000-0000-0000EF290000}"/>
    <cellStyle name="Normal 2 2 2 2 2 2 15 4 10" xfId="10736" xr:uid="{00000000-0005-0000-0000-0000F0290000}"/>
    <cellStyle name="Normal 2 2 2 2 2 2 15 4 2" xfId="10737" xr:uid="{00000000-0005-0000-0000-0000F1290000}"/>
    <cellStyle name="Normal 2 2 2 2 2 2 15 4 3" xfId="10738" xr:uid="{00000000-0005-0000-0000-0000F2290000}"/>
    <cellStyle name="Normal 2 2 2 2 2 2 15 4 4" xfId="10739" xr:uid="{00000000-0005-0000-0000-0000F3290000}"/>
    <cellStyle name="Normal 2 2 2 2 2 2 15 4 5" xfId="10740" xr:uid="{00000000-0005-0000-0000-0000F4290000}"/>
    <cellStyle name="Normal 2 2 2 2 2 2 15 4 6" xfId="10741" xr:uid="{00000000-0005-0000-0000-0000F5290000}"/>
    <cellStyle name="Normal 2 2 2 2 2 2 15 4 7" xfId="10742" xr:uid="{00000000-0005-0000-0000-0000F6290000}"/>
    <cellStyle name="Normal 2 2 2 2 2 2 15 4 8" xfId="10743" xr:uid="{00000000-0005-0000-0000-0000F7290000}"/>
    <cellStyle name="Normal 2 2 2 2 2 2 15 4 9" xfId="10744" xr:uid="{00000000-0005-0000-0000-0000F8290000}"/>
    <cellStyle name="Normal 2 2 2 2 2 2 15 5" xfId="10745" xr:uid="{00000000-0005-0000-0000-0000F9290000}"/>
    <cellStyle name="Normal 2 2 2 2 2 2 15 5 10" xfId="10746" xr:uid="{00000000-0005-0000-0000-0000FA290000}"/>
    <cellStyle name="Normal 2 2 2 2 2 2 15 5 2" xfId="10747" xr:uid="{00000000-0005-0000-0000-0000FB290000}"/>
    <cellStyle name="Normal 2 2 2 2 2 2 15 5 3" xfId="10748" xr:uid="{00000000-0005-0000-0000-0000FC290000}"/>
    <cellStyle name="Normal 2 2 2 2 2 2 15 5 4" xfId="10749" xr:uid="{00000000-0005-0000-0000-0000FD290000}"/>
    <cellStyle name="Normal 2 2 2 2 2 2 15 5 5" xfId="10750" xr:uid="{00000000-0005-0000-0000-0000FE290000}"/>
    <cellStyle name="Normal 2 2 2 2 2 2 15 5 6" xfId="10751" xr:uid="{00000000-0005-0000-0000-0000FF290000}"/>
    <cellStyle name="Normal 2 2 2 2 2 2 15 5 7" xfId="10752" xr:uid="{00000000-0005-0000-0000-0000002A0000}"/>
    <cellStyle name="Normal 2 2 2 2 2 2 15 5 8" xfId="10753" xr:uid="{00000000-0005-0000-0000-0000012A0000}"/>
    <cellStyle name="Normal 2 2 2 2 2 2 15 5 9" xfId="10754" xr:uid="{00000000-0005-0000-0000-0000022A0000}"/>
    <cellStyle name="Normal 2 2 2 2 2 2 15 6" xfId="10755" xr:uid="{00000000-0005-0000-0000-0000032A0000}"/>
    <cellStyle name="Normal 2 2 2 2 2 2 15 7" xfId="10756" xr:uid="{00000000-0005-0000-0000-0000042A0000}"/>
    <cellStyle name="Normal 2 2 2 2 2 2 15 8" xfId="10757" xr:uid="{00000000-0005-0000-0000-0000052A0000}"/>
    <cellStyle name="Normal 2 2 2 2 2 2 15 9" xfId="10758" xr:uid="{00000000-0005-0000-0000-0000062A0000}"/>
    <cellStyle name="Normal 2 2 2 2 2 2 16" xfId="10759" xr:uid="{00000000-0005-0000-0000-0000072A0000}"/>
    <cellStyle name="Normal 2 2 2 2 2 2 16 10" xfId="10760" xr:uid="{00000000-0005-0000-0000-0000082A0000}"/>
    <cellStyle name="Normal 2 2 2 2 2 2 16 11" xfId="10761" xr:uid="{00000000-0005-0000-0000-0000092A0000}"/>
    <cellStyle name="Normal 2 2 2 2 2 2 16 12" xfId="10762" xr:uid="{00000000-0005-0000-0000-00000A2A0000}"/>
    <cellStyle name="Normal 2 2 2 2 2 2 16 13" xfId="10763" xr:uid="{00000000-0005-0000-0000-00000B2A0000}"/>
    <cellStyle name="Normal 2 2 2 2 2 2 16 14" xfId="10764" xr:uid="{00000000-0005-0000-0000-00000C2A0000}"/>
    <cellStyle name="Normal 2 2 2 2 2 2 16 2" xfId="10765" xr:uid="{00000000-0005-0000-0000-00000D2A0000}"/>
    <cellStyle name="Normal 2 2 2 2 2 2 16 2 10" xfId="10766" xr:uid="{00000000-0005-0000-0000-00000E2A0000}"/>
    <cellStyle name="Normal 2 2 2 2 2 2 16 2 2" xfId="10767" xr:uid="{00000000-0005-0000-0000-00000F2A0000}"/>
    <cellStyle name="Normal 2 2 2 2 2 2 16 2 3" xfId="10768" xr:uid="{00000000-0005-0000-0000-0000102A0000}"/>
    <cellStyle name="Normal 2 2 2 2 2 2 16 2 4" xfId="10769" xr:uid="{00000000-0005-0000-0000-0000112A0000}"/>
    <cellStyle name="Normal 2 2 2 2 2 2 16 2 5" xfId="10770" xr:uid="{00000000-0005-0000-0000-0000122A0000}"/>
    <cellStyle name="Normal 2 2 2 2 2 2 16 2 6" xfId="10771" xr:uid="{00000000-0005-0000-0000-0000132A0000}"/>
    <cellStyle name="Normal 2 2 2 2 2 2 16 2 7" xfId="10772" xr:uid="{00000000-0005-0000-0000-0000142A0000}"/>
    <cellStyle name="Normal 2 2 2 2 2 2 16 2 8" xfId="10773" xr:uid="{00000000-0005-0000-0000-0000152A0000}"/>
    <cellStyle name="Normal 2 2 2 2 2 2 16 2 9" xfId="10774" xr:uid="{00000000-0005-0000-0000-0000162A0000}"/>
    <cellStyle name="Normal 2 2 2 2 2 2 16 3" xfId="10775" xr:uid="{00000000-0005-0000-0000-0000172A0000}"/>
    <cellStyle name="Normal 2 2 2 2 2 2 16 3 10" xfId="10776" xr:uid="{00000000-0005-0000-0000-0000182A0000}"/>
    <cellStyle name="Normal 2 2 2 2 2 2 16 3 2" xfId="10777" xr:uid="{00000000-0005-0000-0000-0000192A0000}"/>
    <cellStyle name="Normal 2 2 2 2 2 2 16 3 3" xfId="10778" xr:uid="{00000000-0005-0000-0000-00001A2A0000}"/>
    <cellStyle name="Normal 2 2 2 2 2 2 16 3 4" xfId="10779" xr:uid="{00000000-0005-0000-0000-00001B2A0000}"/>
    <cellStyle name="Normal 2 2 2 2 2 2 16 3 5" xfId="10780" xr:uid="{00000000-0005-0000-0000-00001C2A0000}"/>
    <cellStyle name="Normal 2 2 2 2 2 2 16 3 6" xfId="10781" xr:uid="{00000000-0005-0000-0000-00001D2A0000}"/>
    <cellStyle name="Normal 2 2 2 2 2 2 16 3 7" xfId="10782" xr:uid="{00000000-0005-0000-0000-00001E2A0000}"/>
    <cellStyle name="Normal 2 2 2 2 2 2 16 3 8" xfId="10783" xr:uid="{00000000-0005-0000-0000-00001F2A0000}"/>
    <cellStyle name="Normal 2 2 2 2 2 2 16 3 9" xfId="10784" xr:uid="{00000000-0005-0000-0000-0000202A0000}"/>
    <cellStyle name="Normal 2 2 2 2 2 2 16 4" xfId="10785" xr:uid="{00000000-0005-0000-0000-0000212A0000}"/>
    <cellStyle name="Normal 2 2 2 2 2 2 16 4 10" xfId="10786" xr:uid="{00000000-0005-0000-0000-0000222A0000}"/>
    <cellStyle name="Normal 2 2 2 2 2 2 16 4 2" xfId="10787" xr:uid="{00000000-0005-0000-0000-0000232A0000}"/>
    <cellStyle name="Normal 2 2 2 2 2 2 16 4 3" xfId="10788" xr:uid="{00000000-0005-0000-0000-0000242A0000}"/>
    <cellStyle name="Normal 2 2 2 2 2 2 16 4 4" xfId="10789" xr:uid="{00000000-0005-0000-0000-0000252A0000}"/>
    <cellStyle name="Normal 2 2 2 2 2 2 16 4 5" xfId="10790" xr:uid="{00000000-0005-0000-0000-0000262A0000}"/>
    <cellStyle name="Normal 2 2 2 2 2 2 16 4 6" xfId="10791" xr:uid="{00000000-0005-0000-0000-0000272A0000}"/>
    <cellStyle name="Normal 2 2 2 2 2 2 16 4 7" xfId="10792" xr:uid="{00000000-0005-0000-0000-0000282A0000}"/>
    <cellStyle name="Normal 2 2 2 2 2 2 16 4 8" xfId="10793" xr:uid="{00000000-0005-0000-0000-0000292A0000}"/>
    <cellStyle name="Normal 2 2 2 2 2 2 16 4 9" xfId="10794" xr:uid="{00000000-0005-0000-0000-00002A2A0000}"/>
    <cellStyle name="Normal 2 2 2 2 2 2 16 5" xfId="10795" xr:uid="{00000000-0005-0000-0000-00002B2A0000}"/>
    <cellStyle name="Normal 2 2 2 2 2 2 16 5 10" xfId="10796" xr:uid="{00000000-0005-0000-0000-00002C2A0000}"/>
    <cellStyle name="Normal 2 2 2 2 2 2 16 5 2" xfId="10797" xr:uid="{00000000-0005-0000-0000-00002D2A0000}"/>
    <cellStyle name="Normal 2 2 2 2 2 2 16 5 3" xfId="10798" xr:uid="{00000000-0005-0000-0000-00002E2A0000}"/>
    <cellStyle name="Normal 2 2 2 2 2 2 16 5 4" xfId="10799" xr:uid="{00000000-0005-0000-0000-00002F2A0000}"/>
    <cellStyle name="Normal 2 2 2 2 2 2 16 5 5" xfId="10800" xr:uid="{00000000-0005-0000-0000-0000302A0000}"/>
    <cellStyle name="Normal 2 2 2 2 2 2 16 5 6" xfId="10801" xr:uid="{00000000-0005-0000-0000-0000312A0000}"/>
    <cellStyle name="Normal 2 2 2 2 2 2 16 5 7" xfId="10802" xr:uid="{00000000-0005-0000-0000-0000322A0000}"/>
    <cellStyle name="Normal 2 2 2 2 2 2 16 5 8" xfId="10803" xr:uid="{00000000-0005-0000-0000-0000332A0000}"/>
    <cellStyle name="Normal 2 2 2 2 2 2 16 5 9" xfId="10804" xr:uid="{00000000-0005-0000-0000-0000342A0000}"/>
    <cellStyle name="Normal 2 2 2 2 2 2 16 6" xfId="10805" xr:uid="{00000000-0005-0000-0000-0000352A0000}"/>
    <cellStyle name="Normal 2 2 2 2 2 2 16 7" xfId="10806" xr:uid="{00000000-0005-0000-0000-0000362A0000}"/>
    <cellStyle name="Normal 2 2 2 2 2 2 16 8" xfId="10807" xr:uid="{00000000-0005-0000-0000-0000372A0000}"/>
    <cellStyle name="Normal 2 2 2 2 2 2 16 9" xfId="10808" xr:uid="{00000000-0005-0000-0000-0000382A0000}"/>
    <cellStyle name="Normal 2 2 2 2 2 2 17" xfId="10809" xr:uid="{00000000-0005-0000-0000-0000392A0000}"/>
    <cellStyle name="Normal 2 2 2 2 2 2 17 10" xfId="10810" xr:uid="{00000000-0005-0000-0000-00003A2A0000}"/>
    <cellStyle name="Normal 2 2 2 2 2 2 17 11" xfId="10811" xr:uid="{00000000-0005-0000-0000-00003B2A0000}"/>
    <cellStyle name="Normal 2 2 2 2 2 2 17 12" xfId="10812" xr:uid="{00000000-0005-0000-0000-00003C2A0000}"/>
    <cellStyle name="Normal 2 2 2 2 2 2 17 13" xfId="10813" xr:uid="{00000000-0005-0000-0000-00003D2A0000}"/>
    <cellStyle name="Normal 2 2 2 2 2 2 17 14" xfId="10814" xr:uid="{00000000-0005-0000-0000-00003E2A0000}"/>
    <cellStyle name="Normal 2 2 2 2 2 2 17 2" xfId="10815" xr:uid="{00000000-0005-0000-0000-00003F2A0000}"/>
    <cellStyle name="Normal 2 2 2 2 2 2 17 2 10" xfId="10816" xr:uid="{00000000-0005-0000-0000-0000402A0000}"/>
    <cellStyle name="Normal 2 2 2 2 2 2 17 2 2" xfId="10817" xr:uid="{00000000-0005-0000-0000-0000412A0000}"/>
    <cellStyle name="Normal 2 2 2 2 2 2 17 2 3" xfId="10818" xr:uid="{00000000-0005-0000-0000-0000422A0000}"/>
    <cellStyle name="Normal 2 2 2 2 2 2 17 2 4" xfId="10819" xr:uid="{00000000-0005-0000-0000-0000432A0000}"/>
    <cellStyle name="Normal 2 2 2 2 2 2 17 2 5" xfId="10820" xr:uid="{00000000-0005-0000-0000-0000442A0000}"/>
    <cellStyle name="Normal 2 2 2 2 2 2 17 2 6" xfId="10821" xr:uid="{00000000-0005-0000-0000-0000452A0000}"/>
    <cellStyle name="Normal 2 2 2 2 2 2 17 2 7" xfId="10822" xr:uid="{00000000-0005-0000-0000-0000462A0000}"/>
    <cellStyle name="Normal 2 2 2 2 2 2 17 2 8" xfId="10823" xr:uid="{00000000-0005-0000-0000-0000472A0000}"/>
    <cellStyle name="Normal 2 2 2 2 2 2 17 2 9" xfId="10824" xr:uid="{00000000-0005-0000-0000-0000482A0000}"/>
    <cellStyle name="Normal 2 2 2 2 2 2 17 3" xfId="10825" xr:uid="{00000000-0005-0000-0000-0000492A0000}"/>
    <cellStyle name="Normal 2 2 2 2 2 2 17 3 10" xfId="10826" xr:uid="{00000000-0005-0000-0000-00004A2A0000}"/>
    <cellStyle name="Normal 2 2 2 2 2 2 17 3 2" xfId="10827" xr:uid="{00000000-0005-0000-0000-00004B2A0000}"/>
    <cellStyle name="Normal 2 2 2 2 2 2 17 3 3" xfId="10828" xr:uid="{00000000-0005-0000-0000-00004C2A0000}"/>
    <cellStyle name="Normal 2 2 2 2 2 2 17 3 4" xfId="10829" xr:uid="{00000000-0005-0000-0000-00004D2A0000}"/>
    <cellStyle name="Normal 2 2 2 2 2 2 17 3 5" xfId="10830" xr:uid="{00000000-0005-0000-0000-00004E2A0000}"/>
    <cellStyle name="Normal 2 2 2 2 2 2 17 3 6" xfId="10831" xr:uid="{00000000-0005-0000-0000-00004F2A0000}"/>
    <cellStyle name="Normal 2 2 2 2 2 2 17 3 7" xfId="10832" xr:uid="{00000000-0005-0000-0000-0000502A0000}"/>
    <cellStyle name="Normal 2 2 2 2 2 2 17 3 8" xfId="10833" xr:uid="{00000000-0005-0000-0000-0000512A0000}"/>
    <cellStyle name="Normal 2 2 2 2 2 2 17 3 9" xfId="10834" xr:uid="{00000000-0005-0000-0000-0000522A0000}"/>
    <cellStyle name="Normal 2 2 2 2 2 2 17 4" xfId="10835" xr:uid="{00000000-0005-0000-0000-0000532A0000}"/>
    <cellStyle name="Normal 2 2 2 2 2 2 17 4 10" xfId="10836" xr:uid="{00000000-0005-0000-0000-0000542A0000}"/>
    <cellStyle name="Normal 2 2 2 2 2 2 17 4 2" xfId="10837" xr:uid="{00000000-0005-0000-0000-0000552A0000}"/>
    <cellStyle name="Normal 2 2 2 2 2 2 17 4 3" xfId="10838" xr:uid="{00000000-0005-0000-0000-0000562A0000}"/>
    <cellStyle name="Normal 2 2 2 2 2 2 17 4 4" xfId="10839" xr:uid="{00000000-0005-0000-0000-0000572A0000}"/>
    <cellStyle name="Normal 2 2 2 2 2 2 17 4 5" xfId="10840" xr:uid="{00000000-0005-0000-0000-0000582A0000}"/>
    <cellStyle name="Normal 2 2 2 2 2 2 17 4 6" xfId="10841" xr:uid="{00000000-0005-0000-0000-0000592A0000}"/>
    <cellStyle name="Normal 2 2 2 2 2 2 17 4 7" xfId="10842" xr:uid="{00000000-0005-0000-0000-00005A2A0000}"/>
    <cellStyle name="Normal 2 2 2 2 2 2 17 4 8" xfId="10843" xr:uid="{00000000-0005-0000-0000-00005B2A0000}"/>
    <cellStyle name="Normal 2 2 2 2 2 2 17 4 9" xfId="10844" xr:uid="{00000000-0005-0000-0000-00005C2A0000}"/>
    <cellStyle name="Normal 2 2 2 2 2 2 17 5" xfId="10845" xr:uid="{00000000-0005-0000-0000-00005D2A0000}"/>
    <cellStyle name="Normal 2 2 2 2 2 2 17 5 10" xfId="10846" xr:uid="{00000000-0005-0000-0000-00005E2A0000}"/>
    <cellStyle name="Normal 2 2 2 2 2 2 17 5 2" xfId="10847" xr:uid="{00000000-0005-0000-0000-00005F2A0000}"/>
    <cellStyle name="Normal 2 2 2 2 2 2 17 5 3" xfId="10848" xr:uid="{00000000-0005-0000-0000-0000602A0000}"/>
    <cellStyle name="Normal 2 2 2 2 2 2 17 5 4" xfId="10849" xr:uid="{00000000-0005-0000-0000-0000612A0000}"/>
    <cellStyle name="Normal 2 2 2 2 2 2 17 5 5" xfId="10850" xr:uid="{00000000-0005-0000-0000-0000622A0000}"/>
    <cellStyle name="Normal 2 2 2 2 2 2 17 5 6" xfId="10851" xr:uid="{00000000-0005-0000-0000-0000632A0000}"/>
    <cellStyle name="Normal 2 2 2 2 2 2 17 5 7" xfId="10852" xr:uid="{00000000-0005-0000-0000-0000642A0000}"/>
    <cellStyle name="Normal 2 2 2 2 2 2 17 5 8" xfId="10853" xr:uid="{00000000-0005-0000-0000-0000652A0000}"/>
    <cellStyle name="Normal 2 2 2 2 2 2 17 5 9" xfId="10854" xr:uid="{00000000-0005-0000-0000-0000662A0000}"/>
    <cellStyle name="Normal 2 2 2 2 2 2 17 6" xfId="10855" xr:uid="{00000000-0005-0000-0000-0000672A0000}"/>
    <cellStyle name="Normal 2 2 2 2 2 2 17 7" xfId="10856" xr:uid="{00000000-0005-0000-0000-0000682A0000}"/>
    <cellStyle name="Normal 2 2 2 2 2 2 17 8" xfId="10857" xr:uid="{00000000-0005-0000-0000-0000692A0000}"/>
    <cellStyle name="Normal 2 2 2 2 2 2 17 9" xfId="10858" xr:uid="{00000000-0005-0000-0000-00006A2A0000}"/>
    <cellStyle name="Normal 2 2 2 2 2 2 18" xfId="10859" xr:uid="{00000000-0005-0000-0000-00006B2A0000}"/>
    <cellStyle name="Normal 2 2 2 2 2 2 18 10" xfId="10860" xr:uid="{00000000-0005-0000-0000-00006C2A0000}"/>
    <cellStyle name="Normal 2 2 2 2 2 2 18 11" xfId="10861" xr:uid="{00000000-0005-0000-0000-00006D2A0000}"/>
    <cellStyle name="Normal 2 2 2 2 2 2 18 12" xfId="10862" xr:uid="{00000000-0005-0000-0000-00006E2A0000}"/>
    <cellStyle name="Normal 2 2 2 2 2 2 18 13" xfId="10863" xr:uid="{00000000-0005-0000-0000-00006F2A0000}"/>
    <cellStyle name="Normal 2 2 2 2 2 2 18 14" xfId="10864" xr:uid="{00000000-0005-0000-0000-0000702A0000}"/>
    <cellStyle name="Normal 2 2 2 2 2 2 18 2" xfId="10865" xr:uid="{00000000-0005-0000-0000-0000712A0000}"/>
    <cellStyle name="Normal 2 2 2 2 2 2 18 2 10" xfId="10866" xr:uid="{00000000-0005-0000-0000-0000722A0000}"/>
    <cellStyle name="Normal 2 2 2 2 2 2 18 2 2" xfId="10867" xr:uid="{00000000-0005-0000-0000-0000732A0000}"/>
    <cellStyle name="Normal 2 2 2 2 2 2 18 2 3" xfId="10868" xr:uid="{00000000-0005-0000-0000-0000742A0000}"/>
    <cellStyle name="Normal 2 2 2 2 2 2 18 2 4" xfId="10869" xr:uid="{00000000-0005-0000-0000-0000752A0000}"/>
    <cellStyle name="Normal 2 2 2 2 2 2 18 2 5" xfId="10870" xr:uid="{00000000-0005-0000-0000-0000762A0000}"/>
    <cellStyle name="Normal 2 2 2 2 2 2 18 2 6" xfId="10871" xr:uid="{00000000-0005-0000-0000-0000772A0000}"/>
    <cellStyle name="Normal 2 2 2 2 2 2 18 2 7" xfId="10872" xr:uid="{00000000-0005-0000-0000-0000782A0000}"/>
    <cellStyle name="Normal 2 2 2 2 2 2 18 2 8" xfId="10873" xr:uid="{00000000-0005-0000-0000-0000792A0000}"/>
    <cellStyle name="Normal 2 2 2 2 2 2 18 2 9" xfId="10874" xr:uid="{00000000-0005-0000-0000-00007A2A0000}"/>
    <cellStyle name="Normal 2 2 2 2 2 2 18 3" xfId="10875" xr:uid="{00000000-0005-0000-0000-00007B2A0000}"/>
    <cellStyle name="Normal 2 2 2 2 2 2 18 3 10" xfId="10876" xr:uid="{00000000-0005-0000-0000-00007C2A0000}"/>
    <cellStyle name="Normal 2 2 2 2 2 2 18 3 2" xfId="10877" xr:uid="{00000000-0005-0000-0000-00007D2A0000}"/>
    <cellStyle name="Normal 2 2 2 2 2 2 18 3 3" xfId="10878" xr:uid="{00000000-0005-0000-0000-00007E2A0000}"/>
    <cellStyle name="Normal 2 2 2 2 2 2 18 3 4" xfId="10879" xr:uid="{00000000-0005-0000-0000-00007F2A0000}"/>
    <cellStyle name="Normal 2 2 2 2 2 2 18 3 5" xfId="10880" xr:uid="{00000000-0005-0000-0000-0000802A0000}"/>
    <cellStyle name="Normal 2 2 2 2 2 2 18 3 6" xfId="10881" xr:uid="{00000000-0005-0000-0000-0000812A0000}"/>
    <cellStyle name="Normal 2 2 2 2 2 2 18 3 7" xfId="10882" xr:uid="{00000000-0005-0000-0000-0000822A0000}"/>
    <cellStyle name="Normal 2 2 2 2 2 2 18 3 8" xfId="10883" xr:uid="{00000000-0005-0000-0000-0000832A0000}"/>
    <cellStyle name="Normal 2 2 2 2 2 2 18 3 9" xfId="10884" xr:uid="{00000000-0005-0000-0000-0000842A0000}"/>
    <cellStyle name="Normal 2 2 2 2 2 2 18 4" xfId="10885" xr:uid="{00000000-0005-0000-0000-0000852A0000}"/>
    <cellStyle name="Normal 2 2 2 2 2 2 18 4 10" xfId="10886" xr:uid="{00000000-0005-0000-0000-0000862A0000}"/>
    <cellStyle name="Normal 2 2 2 2 2 2 18 4 2" xfId="10887" xr:uid="{00000000-0005-0000-0000-0000872A0000}"/>
    <cellStyle name="Normal 2 2 2 2 2 2 18 4 3" xfId="10888" xr:uid="{00000000-0005-0000-0000-0000882A0000}"/>
    <cellStyle name="Normal 2 2 2 2 2 2 18 4 4" xfId="10889" xr:uid="{00000000-0005-0000-0000-0000892A0000}"/>
    <cellStyle name="Normal 2 2 2 2 2 2 18 4 5" xfId="10890" xr:uid="{00000000-0005-0000-0000-00008A2A0000}"/>
    <cellStyle name="Normal 2 2 2 2 2 2 18 4 6" xfId="10891" xr:uid="{00000000-0005-0000-0000-00008B2A0000}"/>
    <cellStyle name="Normal 2 2 2 2 2 2 18 4 7" xfId="10892" xr:uid="{00000000-0005-0000-0000-00008C2A0000}"/>
    <cellStyle name="Normal 2 2 2 2 2 2 18 4 8" xfId="10893" xr:uid="{00000000-0005-0000-0000-00008D2A0000}"/>
    <cellStyle name="Normal 2 2 2 2 2 2 18 4 9" xfId="10894" xr:uid="{00000000-0005-0000-0000-00008E2A0000}"/>
    <cellStyle name="Normal 2 2 2 2 2 2 18 5" xfId="10895" xr:uid="{00000000-0005-0000-0000-00008F2A0000}"/>
    <cellStyle name="Normal 2 2 2 2 2 2 18 5 10" xfId="10896" xr:uid="{00000000-0005-0000-0000-0000902A0000}"/>
    <cellStyle name="Normal 2 2 2 2 2 2 18 5 2" xfId="10897" xr:uid="{00000000-0005-0000-0000-0000912A0000}"/>
    <cellStyle name="Normal 2 2 2 2 2 2 18 5 3" xfId="10898" xr:uid="{00000000-0005-0000-0000-0000922A0000}"/>
    <cellStyle name="Normal 2 2 2 2 2 2 18 5 4" xfId="10899" xr:uid="{00000000-0005-0000-0000-0000932A0000}"/>
    <cellStyle name="Normal 2 2 2 2 2 2 18 5 5" xfId="10900" xr:uid="{00000000-0005-0000-0000-0000942A0000}"/>
    <cellStyle name="Normal 2 2 2 2 2 2 18 5 6" xfId="10901" xr:uid="{00000000-0005-0000-0000-0000952A0000}"/>
    <cellStyle name="Normal 2 2 2 2 2 2 18 5 7" xfId="10902" xr:uid="{00000000-0005-0000-0000-0000962A0000}"/>
    <cellStyle name="Normal 2 2 2 2 2 2 18 5 8" xfId="10903" xr:uid="{00000000-0005-0000-0000-0000972A0000}"/>
    <cellStyle name="Normal 2 2 2 2 2 2 18 5 9" xfId="10904" xr:uid="{00000000-0005-0000-0000-0000982A0000}"/>
    <cellStyle name="Normal 2 2 2 2 2 2 18 6" xfId="10905" xr:uid="{00000000-0005-0000-0000-0000992A0000}"/>
    <cellStyle name="Normal 2 2 2 2 2 2 18 7" xfId="10906" xr:uid="{00000000-0005-0000-0000-00009A2A0000}"/>
    <cellStyle name="Normal 2 2 2 2 2 2 18 8" xfId="10907" xr:uid="{00000000-0005-0000-0000-00009B2A0000}"/>
    <cellStyle name="Normal 2 2 2 2 2 2 18 9" xfId="10908" xr:uid="{00000000-0005-0000-0000-00009C2A0000}"/>
    <cellStyle name="Normal 2 2 2 2 2 2 19" xfId="10909" xr:uid="{00000000-0005-0000-0000-00009D2A0000}"/>
    <cellStyle name="Normal 2 2 2 2 2 2 19 10" xfId="10910" xr:uid="{00000000-0005-0000-0000-00009E2A0000}"/>
    <cellStyle name="Normal 2 2 2 2 2 2 19 11" xfId="10911" xr:uid="{00000000-0005-0000-0000-00009F2A0000}"/>
    <cellStyle name="Normal 2 2 2 2 2 2 19 12" xfId="10912" xr:uid="{00000000-0005-0000-0000-0000A02A0000}"/>
    <cellStyle name="Normal 2 2 2 2 2 2 19 13" xfId="10913" xr:uid="{00000000-0005-0000-0000-0000A12A0000}"/>
    <cellStyle name="Normal 2 2 2 2 2 2 19 14" xfId="10914" xr:uid="{00000000-0005-0000-0000-0000A22A0000}"/>
    <cellStyle name="Normal 2 2 2 2 2 2 19 2" xfId="10915" xr:uid="{00000000-0005-0000-0000-0000A32A0000}"/>
    <cellStyle name="Normal 2 2 2 2 2 2 19 2 10" xfId="10916" xr:uid="{00000000-0005-0000-0000-0000A42A0000}"/>
    <cellStyle name="Normal 2 2 2 2 2 2 19 2 2" xfId="10917" xr:uid="{00000000-0005-0000-0000-0000A52A0000}"/>
    <cellStyle name="Normal 2 2 2 2 2 2 19 2 3" xfId="10918" xr:uid="{00000000-0005-0000-0000-0000A62A0000}"/>
    <cellStyle name="Normal 2 2 2 2 2 2 19 2 4" xfId="10919" xr:uid="{00000000-0005-0000-0000-0000A72A0000}"/>
    <cellStyle name="Normal 2 2 2 2 2 2 19 2 5" xfId="10920" xr:uid="{00000000-0005-0000-0000-0000A82A0000}"/>
    <cellStyle name="Normal 2 2 2 2 2 2 19 2 6" xfId="10921" xr:uid="{00000000-0005-0000-0000-0000A92A0000}"/>
    <cellStyle name="Normal 2 2 2 2 2 2 19 2 7" xfId="10922" xr:uid="{00000000-0005-0000-0000-0000AA2A0000}"/>
    <cellStyle name="Normal 2 2 2 2 2 2 19 2 8" xfId="10923" xr:uid="{00000000-0005-0000-0000-0000AB2A0000}"/>
    <cellStyle name="Normal 2 2 2 2 2 2 19 2 9" xfId="10924" xr:uid="{00000000-0005-0000-0000-0000AC2A0000}"/>
    <cellStyle name="Normal 2 2 2 2 2 2 19 3" xfId="10925" xr:uid="{00000000-0005-0000-0000-0000AD2A0000}"/>
    <cellStyle name="Normal 2 2 2 2 2 2 19 3 10" xfId="10926" xr:uid="{00000000-0005-0000-0000-0000AE2A0000}"/>
    <cellStyle name="Normal 2 2 2 2 2 2 19 3 2" xfId="10927" xr:uid="{00000000-0005-0000-0000-0000AF2A0000}"/>
    <cellStyle name="Normal 2 2 2 2 2 2 19 3 3" xfId="10928" xr:uid="{00000000-0005-0000-0000-0000B02A0000}"/>
    <cellStyle name="Normal 2 2 2 2 2 2 19 3 4" xfId="10929" xr:uid="{00000000-0005-0000-0000-0000B12A0000}"/>
    <cellStyle name="Normal 2 2 2 2 2 2 19 3 5" xfId="10930" xr:uid="{00000000-0005-0000-0000-0000B22A0000}"/>
    <cellStyle name="Normal 2 2 2 2 2 2 19 3 6" xfId="10931" xr:uid="{00000000-0005-0000-0000-0000B32A0000}"/>
    <cellStyle name="Normal 2 2 2 2 2 2 19 3 7" xfId="10932" xr:uid="{00000000-0005-0000-0000-0000B42A0000}"/>
    <cellStyle name="Normal 2 2 2 2 2 2 19 3 8" xfId="10933" xr:uid="{00000000-0005-0000-0000-0000B52A0000}"/>
    <cellStyle name="Normal 2 2 2 2 2 2 19 3 9" xfId="10934" xr:uid="{00000000-0005-0000-0000-0000B62A0000}"/>
    <cellStyle name="Normal 2 2 2 2 2 2 19 4" xfId="10935" xr:uid="{00000000-0005-0000-0000-0000B72A0000}"/>
    <cellStyle name="Normal 2 2 2 2 2 2 19 4 10" xfId="10936" xr:uid="{00000000-0005-0000-0000-0000B82A0000}"/>
    <cellStyle name="Normal 2 2 2 2 2 2 19 4 2" xfId="10937" xr:uid="{00000000-0005-0000-0000-0000B92A0000}"/>
    <cellStyle name="Normal 2 2 2 2 2 2 19 4 3" xfId="10938" xr:uid="{00000000-0005-0000-0000-0000BA2A0000}"/>
    <cellStyle name="Normal 2 2 2 2 2 2 19 4 4" xfId="10939" xr:uid="{00000000-0005-0000-0000-0000BB2A0000}"/>
    <cellStyle name="Normal 2 2 2 2 2 2 19 4 5" xfId="10940" xr:uid="{00000000-0005-0000-0000-0000BC2A0000}"/>
    <cellStyle name="Normal 2 2 2 2 2 2 19 4 6" xfId="10941" xr:uid="{00000000-0005-0000-0000-0000BD2A0000}"/>
    <cellStyle name="Normal 2 2 2 2 2 2 19 4 7" xfId="10942" xr:uid="{00000000-0005-0000-0000-0000BE2A0000}"/>
    <cellStyle name="Normal 2 2 2 2 2 2 19 4 8" xfId="10943" xr:uid="{00000000-0005-0000-0000-0000BF2A0000}"/>
    <cellStyle name="Normal 2 2 2 2 2 2 19 4 9" xfId="10944" xr:uid="{00000000-0005-0000-0000-0000C02A0000}"/>
    <cellStyle name="Normal 2 2 2 2 2 2 19 5" xfId="10945" xr:uid="{00000000-0005-0000-0000-0000C12A0000}"/>
    <cellStyle name="Normal 2 2 2 2 2 2 19 5 10" xfId="10946" xr:uid="{00000000-0005-0000-0000-0000C22A0000}"/>
    <cellStyle name="Normal 2 2 2 2 2 2 19 5 2" xfId="10947" xr:uid="{00000000-0005-0000-0000-0000C32A0000}"/>
    <cellStyle name="Normal 2 2 2 2 2 2 19 5 3" xfId="10948" xr:uid="{00000000-0005-0000-0000-0000C42A0000}"/>
    <cellStyle name="Normal 2 2 2 2 2 2 19 5 4" xfId="10949" xr:uid="{00000000-0005-0000-0000-0000C52A0000}"/>
    <cellStyle name="Normal 2 2 2 2 2 2 19 5 5" xfId="10950" xr:uid="{00000000-0005-0000-0000-0000C62A0000}"/>
    <cellStyle name="Normal 2 2 2 2 2 2 19 5 6" xfId="10951" xr:uid="{00000000-0005-0000-0000-0000C72A0000}"/>
    <cellStyle name="Normal 2 2 2 2 2 2 19 5 7" xfId="10952" xr:uid="{00000000-0005-0000-0000-0000C82A0000}"/>
    <cellStyle name="Normal 2 2 2 2 2 2 19 5 8" xfId="10953" xr:uid="{00000000-0005-0000-0000-0000C92A0000}"/>
    <cellStyle name="Normal 2 2 2 2 2 2 19 5 9" xfId="10954" xr:uid="{00000000-0005-0000-0000-0000CA2A0000}"/>
    <cellStyle name="Normal 2 2 2 2 2 2 19 6" xfId="10955" xr:uid="{00000000-0005-0000-0000-0000CB2A0000}"/>
    <cellStyle name="Normal 2 2 2 2 2 2 19 7" xfId="10956" xr:uid="{00000000-0005-0000-0000-0000CC2A0000}"/>
    <cellStyle name="Normal 2 2 2 2 2 2 19 8" xfId="10957" xr:uid="{00000000-0005-0000-0000-0000CD2A0000}"/>
    <cellStyle name="Normal 2 2 2 2 2 2 19 9" xfId="10958" xr:uid="{00000000-0005-0000-0000-0000CE2A0000}"/>
    <cellStyle name="Normal 2 2 2 2 2 2 2" xfId="10959" xr:uid="{00000000-0005-0000-0000-0000CF2A0000}"/>
    <cellStyle name="Normal 2 2 2 2 2 2 2 10" xfId="10960" xr:uid="{00000000-0005-0000-0000-0000D02A0000}"/>
    <cellStyle name="Normal 2 2 2 2 2 2 2 11" xfId="10961" xr:uid="{00000000-0005-0000-0000-0000D12A0000}"/>
    <cellStyle name="Normal 2 2 2 2 2 2 2 12" xfId="10962" xr:uid="{00000000-0005-0000-0000-0000D22A0000}"/>
    <cellStyle name="Normal 2 2 2 2 2 2 2 13" xfId="10963" xr:uid="{00000000-0005-0000-0000-0000D32A0000}"/>
    <cellStyle name="Normal 2 2 2 2 2 2 2 14" xfId="10964" xr:uid="{00000000-0005-0000-0000-0000D42A0000}"/>
    <cellStyle name="Normal 2 2 2 2 2 2 2 15" xfId="10965" xr:uid="{00000000-0005-0000-0000-0000D52A0000}"/>
    <cellStyle name="Normal 2 2 2 2 2 2 2 16" xfId="10966" xr:uid="{00000000-0005-0000-0000-0000D62A0000}"/>
    <cellStyle name="Normal 2 2 2 2 2 2 2 2" xfId="10967" xr:uid="{00000000-0005-0000-0000-0000D72A0000}"/>
    <cellStyle name="Normal 2 2 2 2 2 2 2 2 10" xfId="10968" xr:uid="{00000000-0005-0000-0000-0000D82A0000}"/>
    <cellStyle name="Normal 2 2 2 2 2 2 2 2 11" xfId="10969" xr:uid="{00000000-0005-0000-0000-0000D92A0000}"/>
    <cellStyle name="Normal 2 2 2 2 2 2 2 2 12" xfId="10970" xr:uid="{00000000-0005-0000-0000-0000DA2A0000}"/>
    <cellStyle name="Normal 2 2 2 2 2 2 2 2 2" xfId="10971" xr:uid="{00000000-0005-0000-0000-0000DB2A0000}"/>
    <cellStyle name="Normal 2 2 2 2 2 2 2 2 3" xfId="10972" xr:uid="{00000000-0005-0000-0000-0000DC2A0000}"/>
    <cellStyle name="Normal 2 2 2 2 2 2 2 2 4" xfId="10973" xr:uid="{00000000-0005-0000-0000-0000DD2A0000}"/>
    <cellStyle name="Normal 2 2 2 2 2 2 2 2 5" xfId="10974" xr:uid="{00000000-0005-0000-0000-0000DE2A0000}"/>
    <cellStyle name="Normal 2 2 2 2 2 2 2 2 6" xfId="10975" xr:uid="{00000000-0005-0000-0000-0000DF2A0000}"/>
    <cellStyle name="Normal 2 2 2 2 2 2 2 2 7" xfId="10976" xr:uid="{00000000-0005-0000-0000-0000E02A0000}"/>
    <cellStyle name="Normal 2 2 2 2 2 2 2 2 8" xfId="10977" xr:uid="{00000000-0005-0000-0000-0000E12A0000}"/>
    <cellStyle name="Normal 2 2 2 2 2 2 2 2 9" xfId="10978" xr:uid="{00000000-0005-0000-0000-0000E22A0000}"/>
    <cellStyle name="Normal 2 2 2 2 2 2 2 3" xfId="10979" xr:uid="{00000000-0005-0000-0000-0000E32A0000}"/>
    <cellStyle name="Normal 2 2 2 2 2 2 2 3 10" xfId="10980" xr:uid="{00000000-0005-0000-0000-0000E42A0000}"/>
    <cellStyle name="Normal 2 2 2 2 2 2 2 3 2" xfId="10981" xr:uid="{00000000-0005-0000-0000-0000E52A0000}"/>
    <cellStyle name="Normal 2 2 2 2 2 2 2 3 3" xfId="10982" xr:uid="{00000000-0005-0000-0000-0000E62A0000}"/>
    <cellStyle name="Normal 2 2 2 2 2 2 2 3 4" xfId="10983" xr:uid="{00000000-0005-0000-0000-0000E72A0000}"/>
    <cellStyle name="Normal 2 2 2 2 2 2 2 3 5" xfId="10984" xr:uid="{00000000-0005-0000-0000-0000E82A0000}"/>
    <cellStyle name="Normal 2 2 2 2 2 2 2 3 6" xfId="10985" xr:uid="{00000000-0005-0000-0000-0000E92A0000}"/>
    <cellStyle name="Normal 2 2 2 2 2 2 2 3 7" xfId="10986" xr:uid="{00000000-0005-0000-0000-0000EA2A0000}"/>
    <cellStyle name="Normal 2 2 2 2 2 2 2 3 8" xfId="10987" xr:uid="{00000000-0005-0000-0000-0000EB2A0000}"/>
    <cellStyle name="Normal 2 2 2 2 2 2 2 3 9" xfId="10988" xr:uid="{00000000-0005-0000-0000-0000EC2A0000}"/>
    <cellStyle name="Normal 2 2 2 2 2 2 2 4" xfId="10989" xr:uid="{00000000-0005-0000-0000-0000ED2A0000}"/>
    <cellStyle name="Normal 2 2 2 2 2 2 2 4 10" xfId="10990" xr:uid="{00000000-0005-0000-0000-0000EE2A0000}"/>
    <cellStyle name="Normal 2 2 2 2 2 2 2 4 2" xfId="10991" xr:uid="{00000000-0005-0000-0000-0000EF2A0000}"/>
    <cellStyle name="Normal 2 2 2 2 2 2 2 4 3" xfId="10992" xr:uid="{00000000-0005-0000-0000-0000F02A0000}"/>
    <cellStyle name="Normal 2 2 2 2 2 2 2 4 4" xfId="10993" xr:uid="{00000000-0005-0000-0000-0000F12A0000}"/>
    <cellStyle name="Normal 2 2 2 2 2 2 2 4 5" xfId="10994" xr:uid="{00000000-0005-0000-0000-0000F22A0000}"/>
    <cellStyle name="Normal 2 2 2 2 2 2 2 4 6" xfId="10995" xr:uid="{00000000-0005-0000-0000-0000F32A0000}"/>
    <cellStyle name="Normal 2 2 2 2 2 2 2 4 7" xfId="10996" xr:uid="{00000000-0005-0000-0000-0000F42A0000}"/>
    <cellStyle name="Normal 2 2 2 2 2 2 2 4 8" xfId="10997" xr:uid="{00000000-0005-0000-0000-0000F52A0000}"/>
    <cellStyle name="Normal 2 2 2 2 2 2 2 4 9" xfId="10998" xr:uid="{00000000-0005-0000-0000-0000F62A0000}"/>
    <cellStyle name="Normal 2 2 2 2 2 2 2 5" xfId="10999" xr:uid="{00000000-0005-0000-0000-0000F72A0000}"/>
    <cellStyle name="Normal 2 2 2 2 2 2 2 5 10" xfId="11000" xr:uid="{00000000-0005-0000-0000-0000F82A0000}"/>
    <cellStyle name="Normal 2 2 2 2 2 2 2 5 2" xfId="11001" xr:uid="{00000000-0005-0000-0000-0000F92A0000}"/>
    <cellStyle name="Normal 2 2 2 2 2 2 2 5 3" xfId="11002" xr:uid="{00000000-0005-0000-0000-0000FA2A0000}"/>
    <cellStyle name="Normal 2 2 2 2 2 2 2 5 4" xfId="11003" xr:uid="{00000000-0005-0000-0000-0000FB2A0000}"/>
    <cellStyle name="Normal 2 2 2 2 2 2 2 5 5" xfId="11004" xr:uid="{00000000-0005-0000-0000-0000FC2A0000}"/>
    <cellStyle name="Normal 2 2 2 2 2 2 2 5 6" xfId="11005" xr:uid="{00000000-0005-0000-0000-0000FD2A0000}"/>
    <cellStyle name="Normal 2 2 2 2 2 2 2 5 7" xfId="11006" xr:uid="{00000000-0005-0000-0000-0000FE2A0000}"/>
    <cellStyle name="Normal 2 2 2 2 2 2 2 5 8" xfId="11007" xr:uid="{00000000-0005-0000-0000-0000FF2A0000}"/>
    <cellStyle name="Normal 2 2 2 2 2 2 2 5 9" xfId="11008" xr:uid="{00000000-0005-0000-0000-0000002B0000}"/>
    <cellStyle name="Normal 2 2 2 2 2 2 2 6" xfId="11009" xr:uid="{00000000-0005-0000-0000-0000012B0000}"/>
    <cellStyle name="Normal 2 2 2 2 2 2 2 7" xfId="11010" xr:uid="{00000000-0005-0000-0000-0000022B0000}"/>
    <cellStyle name="Normal 2 2 2 2 2 2 2 8" xfId="11011" xr:uid="{00000000-0005-0000-0000-0000032B0000}"/>
    <cellStyle name="Normal 2 2 2 2 2 2 2 9" xfId="11012" xr:uid="{00000000-0005-0000-0000-0000042B0000}"/>
    <cellStyle name="Normal 2 2 2 2 2 2 20" xfId="11013" xr:uid="{00000000-0005-0000-0000-0000052B0000}"/>
    <cellStyle name="Normal 2 2 2 2 2 2 20 10" xfId="11014" xr:uid="{00000000-0005-0000-0000-0000062B0000}"/>
    <cellStyle name="Normal 2 2 2 2 2 2 20 11" xfId="11015" xr:uid="{00000000-0005-0000-0000-0000072B0000}"/>
    <cellStyle name="Normal 2 2 2 2 2 2 20 12" xfId="11016" xr:uid="{00000000-0005-0000-0000-0000082B0000}"/>
    <cellStyle name="Normal 2 2 2 2 2 2 20 13" xfId="11017" xr:uid="{00000000-0005-0000-0000-0000092B0000}"/>
    <cellStyle name="Normal 2 2 2 2 2 2 20 14" xfId="11018" xr:uid="{00000000-0005-0000-0000-00000A2B0000}"/>
    <cellStyle name="Normal 2 2 2 2 2 2 20 2" xfId="11019" xr:uid="{00000000-0005-0000-0000-00000B2B0000}"/>
    <cellStyle name="Normal 2 2 2 2 2 2 20 2 10" xfId="11020" xr:uid="{00000000-0005-0000-0000-00000C2B0000}"/>
    <cellStyle name="Normal 2 2 2 2 2 2 20 2 2" xfId="11021" xr:uid="{00000000-0005-0000-0000-00000D2B0000}"/>
    <cellStyle name="Normal 2 2 2 2 2 2 20 2 3" xfId="11022" xr:uid="{00000000-0005-0000-0000-00000E2B0000}"/>
    <cellStyle name="Normal 2 2 2 2 2 2 20 2 4" xfId="11023" xr:uid="{00000000-0005-0000-0000-00000F2B0000}"/>
    <cellStyle name="Normal 2 2 2 2 2 2 20 2 5" xfId="11024" xr:uid="{00000000-0005-0000-0000-0000102B0000}"/>
    <cellStyle name="Normal 2 2 2 2 2 2 20 2 6" xfId="11025" xr:uid="{00000000-0005-0000-0000-0000112B0000}"/>
    <cellStyle name="Normal 2 2 2 2 2 2 20 2 7" xfId="11026" xr:uid="{00000000-0005-0000-0000-0000122B0000}"/>
    <cellStyle name="Normal 2 2 2 2 2 2 20 2 8" xfId="11027" xr:uid="{00000000-0005-0000-0000-0000132B0000}"/>
    <cellStyle name="Normal 2 2 2 2 2 2 20 2 9" xfId="11028" xr:uid="{00000000-0005-0000-0000-0000142B0000}"/>
    <cellStyle name="Normal 2 2 2 2 2 2 20 3" xfId="11029" xr:uid="{00000000-0005-0000-0000-0000152B0000}"/>
    <cellStyle name="Normal 2 2 2 2 2 2 20 3 10" xfId="11030" xr:uid="{00000000-0005-0000-0000-0000162B0000}"/>
    <cellStyle name="Normal 2 2 2 2 2 2 20 3 2" xfId="11031" xr:uid="{00000000-0005-0000-0000-0000172B0000}"/>
    <cellStyle name="Normal 2 2 2 2 2 2 20 3 3" xfId="11032" xr:uid="{00000000-0005-0000-0000-0000182B0000}"/>
    <cellStyle name="Normal 2 2 2 2 2 2 20 3 4" xfId="11033" xr:uid="{00000000-0005-0000-0000-0000192B0000}"/>
    <cellStyle name="Normal 2 2 2 2 2 2 20 3 5" xfId="11034" xr:uid="{00000000-0005-0000-0000-00001A2B0000}"/>
    <cellStyle name="Normal 2 2 2 2 2 2 20 3 6" xfId="11035" xr:uid="{00000000-0005-0000-0000-00001B2B0000}"/>
    <cellStyle name="Normal 2 2 2 2 2 2 20 3 7" xfId="11036" xr:uid="{00000000-0005-0000-0000-00001C2B0000}"/>
    <cellStyle name="Normal 2 2 2 2 2 2 20 3 8" xfId="11037" xr:uid="{00000000-0005-0000-0000-00001D2B0000}"/>
    <cellStyle name="Normal 2 2 2 2 2 2 20 3 9" xfId="11038" xr:uid="{00000000-0005-0000-0000-00001E2B0000}"/>
    <cellStyle name="Normal 2 2 2 2 2 2 20 4" xfId="11039" xr:uid="{00000000-0005-0000-0000-00001F2B0000}"/>
    <cellStyle name="Normal 2 2 2 2 2 2 20 4 10" xfId="11040" xr:uid="{00000000-0005-0000-0000-0000202B0000}"/>
    <cellStyle name="Normal 2 2 2 2 2 2 20 4 2" xfId="11041" xr:uid="{00000000-0005-0000-0000-0000212B0000}"/>
    <cellStyle name="Normal 2 2 2 2 2 2 20 4 3" xfId="11042" xr:uid="{00000000-0005-0000-0000-0000222B0000}"/>
    <cellStyle name="Normal 2 2 2 2 2 2 20 4 4" xfId="11043" xr:uid="{00000000-0005-0000-0000-0000232B0000}"/>
    <cellStyle name="Normal 2 2 2 2 2 2 20 4 5" xfId="11044" xr:uid="{00000000-0005-0000-0000-0000242B0000}"/>
    <cellStyle name="Normal 2 2 2 2 2 2 20 4 6" xfId="11045" xr:uid="{00000000-0005-0000-0000-0000252B0000}"/>
    <cellStyle name="Normal 2 2 2 2 2 2 20 4 7" xfId="11046" xr:uid="{00000000-0005-0000-0000-0000262B0000}"/>
    <cellStyle name="Normal 2 2 2 2 2 2 20 4 8" xfId="11047" xr:uid="{00000000-0005-0000-0000-0000272B0000}"/>
    <cellStyle name="Normal 2 2 2 2 2 2 20 4 9" xfId="11048" xr:uid="{00000000-0005-0000-0000-0000282B0000}"/>
    <cellStyle name="Normal 2 2 2 2 2 2 20 5" xfId="11049" xr:uid="{00000000-0005-0000-0000-0000292B0000}"/>
    <cellStyle name="Normal 2 2 2 2 2 2 20 5 10" xfId="11050" xr:uid="{00000000-0005-0000-0000-00002A2B0000}"/>
    <cellStyle name="Normal 2 2 2 2 2 2 20 5 2" xfId="11051" xr:uid="{00000000-0005-0000-0000-00002B2B0000}"/>
    <cellStyle name="Normal 2 2 2 2 2 2 20 5 3" xfId="11052" xr:uid="{00000000-0005-0000-0000-00002C2B0000}"/>
    <cellStyle name="Normal 2 2 2 2 2 2 20 5 4" xfId="11053" xr:uid="{00000000-0005-0000-0000-00002D2B0000}"/>
    <cellStyle name="Normal 2 2 2 2 2 2 20 5 5" xfId="11054" xr:uid="{00000000-0005-0000-0000-00002E2B0000}"/>
    <cellStyle name="Normal 2 2 2 2 2 2 20 5 6" xfId="11055" xr:uid="{00000000-0005-0000-0000-00002F2B0000}"/>
    <cellStyle name="Normal 2 2 2 2 2 2 20 5 7" xfId="11056" xr:uid="{00000000-0005-0000-0000-0000302B0000}"/>
    <cellStyle name="Normal 2 2 2 2 2 2 20 5 8" xfId="11057" xr:uid="{00000000-0005-0000-0000-0000312B0000}"/>
    <cellStyle name="Normal 2 2 2 2 2 2 20 5 9" xfId="11058" xr:uid="{00000000-0005-0000-0000-0000322B0000}"/>
    <cellStyle name="Normal 2 2 2 2 2 2 20 6" xfId="11059" xr:uid="{00000000-0005-0000-0000-0000332B0000}"/>
    <cellStyle name="Normal 2 2 2 2 2 2 20 7" xfId="11060" xr:uid="{00000000-0005-0000-0000-0000342B0000}"/>
    <cellStyle name="Normal 2 2 2 2 2 2 20 8" xfId="11061" xr:uid="{00000000-0005-0000-0000-0000352B0000}"/>
    <cellStyle name="Normal 2 2 2 2 2 2 20 9" xfId="11062" xr:uid="{00000000-0005-0000-0000-0000362B0000}"/>
    <cellStyle name="Normal 2 2 2 2 2 2 21" xfId="11063" xr:uid="{00000000-0005-0000-0000-0000372B0000}"/>
    <cellStyle name="Normal 2 2 2 2 2 2 21 10" xfId="11064" xr:uid="{00000000-0005-0000-0000-0000382B0000}"/>
    <cellStyle name="Normal 2 2 2 2 2 2 21 11" xfId="11065" xr:uid="{00000000-0005-0000-0000-0000392B0000}"/>
    <cellStyle name="Normal 2 2 2 2 2 2 21 12" xfId="11066" xr:uid="{00000000-0005-0000-0000-00003A2B0000}"/>
    <cellStyle name="Normal 2 2 2 2 2 2 21 13" xfId="11067" xr:uid="{00000000-0005-0000-0000-00003B2B0000}"/>
    <cellStyle name="Normal 2 2 2 2 2 2 21 14" xfId="11068" xr:uid="{00000000-0005-0000-0000-00003C2B0000}"/>
    <cellStyle name="Normal 2 2 2 2 2 2 21 2" xfId="11069" xr:uid="{00000000-0005-0000-0000-00003D2B0000}"/>
    <cellStyle name="Normal 2 2 2 2 2 2 21 2 10" xfId="11070" xr:uid="{00000000-0005-0000-0000-00003E2B0000}"/>
    <cellStyle name="Normal 2 2 2 2 2 2 21 2 2" xfId="11071" xr:uid="{00000000-0005-0000-0000-00003F2B0000}"/>
    <cellStyle name="Normal 2 2 2 2 2 2 21 2 3" xfId="11072" xr:uid="{00000000-0005-0000-0000-0000402B0000}"/>
    <cellStyle name="Normal 2 2 2 2 2 2 21 2 4" xfId="11073" xr:uid="{00000000-0005-0000-0000-0000412B0000}"/>
    <cellStyle name="Normal 2 2 2 2 2 2 21 2 5" xfId="11074" xr:uid="{00000000-0005-0000-0000-0000422B0000}"/>
    <cellStyle name="Normal 2 2 2 2 2 2 21 2 6" xfId="11075" xr:uid="{00000000-0005-0000-0000-0000432B0000}"/>
    <cellStyle name="Normal 2 2 2 2 2 2 21 2 7" xfId="11076" xr:uid="{00000000-0005-0000-0000-0000442B0000}"/>
    <cellStyle name="Normal 2 2 2 2 2 2 21 2 8" xfId="11077" xr:uid="{00000000-0005-0000-0000-0000452B0000}"/>
    <cellStyle name="Normal 2 2 2 2 2 2 21 2 9" xfId="11078" xr:uid="{00000000-0005-0000-0000-0000462B0000}"/>
    <cellStyle name="Normal 2 2 2 2 2 2 21 3" xfId="11079" xr:uid="{00000000-0005-0000-0000-0000472B0000}"/>
    <cellStyle name="Normal 2 2 2 2 2 2 21 3 10" xfId="11080" xr:uid="{00000000-0005-0000-0000-0000482B0000}"/>
    <cellStyle name="Normal 2 2 2 2 2 2 21 3 2" xfId="11081" xr:uid="{00000000-0005-0000-0000-0000492B0000}"/>
    <cellStyle name="Normal 2 2 2 2 2 2 21 3 3" xfId="11082" xr:uid="{00000000-0005-0000-0000-00004A2B0000}"/>
    <cellStyle name="Normal 2 2 2 2 2 2 21 3 4" xfId="11083" xr:uid="{00000000-0005-0000-0000-00004B2B0000}"/>
    <cellStyle name="Normal 2 2 2 2 2 2 21 3 5" xfId="11084" xr:uid="{00000000-0005-0000-0000-00004C2B0000}"/>
    <cellStyle name="Normal 2 2 2 2 2 2 21 3 6" xfId="11085" xr:uid="{00000000-0005-0000-0000-00004D2B0000}"/>
    <cellStyle name="Normal 2 2 2 2 2 2 21 3 7" xfId="11086" xr:uid="{00000000-0005-0000-0000-00004E2B0000}"/>
    <cellStyle name="Normal 2 2 2 2 2 2 21 3 8" xfId="11087" xr:uid="{00000000-0005-0000-0000-00004F2B0000}"/>
    <cellStyle name="Normal 2 2 2 2 2 2 21 3 9" xfId="11088" xr:uid="{00000000-0005-0000-0000-0000502B0000}"/>
    <cellStyle name="Normal 2 2 2 2 2 2 21 4" xfId="11089" xr:uid="{00000000-0005-0000-0000-0000512B0000}"/>
    <cellStyle name="Normal 2 2 2 2 2 2 21 4 10" xfId="11090" xr:uid="{00000000-0005-0000-0000-0000522B0000}"/>
    <cellStyle name="Normal 2 2 2 2 2 2 21 4 2" xfId="11091" xr:uid="{00000000-0005-0000-0000-0000532B0000}"/>
    <cellStyle name="Normal 2 2 2 2 2 2 21 4 3" xfId="11092" xr:uid="{00000000-0005-0000-0000-0000542B0000}"/>
    <cellStyle name="Normal 2 2 2 2 2 2 21 4 4" xfId="11093" xr:uid="{00000000-0005-0000-0000-0000552B0000}"/>
    <cellStyle name="Normal 2 2 2 2 2 2 21 4 5" xfId="11094" xr:uid="{00000000-0005-0000-0000-0000562B0000}"/>
    <cellStyle name="Normal 2 2 2 2 2 2 21 4 6" xfId="11095" xr:uid="{00000000-0005-0000-0000-0000572B0000}"/>
    <cellStyle name="Normal 2 2 2 2 2 2 21 4 7" xfId="11096" xr:uid="{00000000-0005-0000-0000-0000582B0000}"/>
    <cellStyle name="Normal 2 2 2 2 2 2 21 4 8" xfId="11097" xr:uid="{00000000-0005-0000-0000-0000592B0000}"/>
    <cellStyle name="Normal 2 2 2 2 2 2 21 4 9" xfId="11098" xr:uid="{00000000-0005-0000-0000-00005A2B0000}"/>
    <cellStyle name="Normal 2 2 2 2 2 2 21 5" xfId="11099" xr:uid="{00000000-0005-0000-0000-00005B2B0000}"/>
    <cellStyle name="Normal 2 2 2 2 2 2 21 5 10" xfId="11100" xr:uid="{00000000-0005-0000-0000-00005C2B0000}"/>
    <cellStyle name="Normal 2 2 2 2 2 2 21 5 2" xfId="11101" xr:uid="{00000000-0005-0000-0000-00005D2B0000}"/>
    <cellStyle name="Normal 2 2 2 2 2 2 21 5 3" xfId="11102" xr:uid="{00000000-0005-0000-0000-00005E2B0000}"/>
    <cellStyle name="Normal 2 2 2 2 2 2 21 5 4" xfId="11103" xr:uid="{00000000-0005-0000-0000-00005F2B0000}"/>
    <cellStyle name="Normal 2 2 2 2 2 2 21 5 5" xfId="11104" xr:uid="{00000000-0005-0000-0000-0000602B0000}"/>
    <cellStyle name="Normal 2 2 2 2 2 2 21 5 6" xfId="11105" xr:uid="{00000000-0005-0000-0000-0000612B0000}"/>
    <cellStyle name="Normal 2 2 2 2 2 2 21 5 7" xfId="11106" xr:uid="{00000000-0005-0000-0000-0000622B0000}"/>
    <cellStyle name="Normal 2 2 2 2 2 2 21 5 8" xfId="11107" xr:uid="{00000000-0005-0000-0000-0000632B0000}"/>
    <cellStyle name="Normal 2 2 2 2 2 2 21 5 9" xfId="11108" xr:uid="{00000000-0005-0000-0000-0000642B0000}"/>
    <cellStyle name="Normal 2 2 2 2 2 2 21 6" xfId="11109" xr:uid="{00000000-0005-0000-0000-0000652B0000}"/>
    <cellStyle name="Normal 2 2 2 2 2 2 21 7" xfId="11110" xr:uid="{00000000-0005-0000-0000-0000662B0000}"/>
    <cellStyle name="Normal 2 2 2 2 2 2 21 8" xfId="11111" xr:uid="{00000000-0005-0000-0000-0000672B0000}"/>
    <cellStyle name="Normal 2 2 2 2 2 2 21 9" xfId="11112" xr:uid="{00000000-0005-0000-0000-0000682B0000}"/>
    <cellStyle name="Normal 2 2 2 2 2 2 22" xfId="11113" xr:uid="{00000000-0005-0000-0000-0000692B0000}"/>
    <cellStyle name="Normal 2 2 2 2 2 2 22 10" xfId="11114" xr:uid="{00000000-0005-0000-0000-00006A2B0000}"/>
    <cellStyle name="Normal 2 2 2 2 2 2 22 11" xfId="11115" xr:uid="{00000000-0005-0000-0000-00006B2B0000}"/>
    <cellStyle name="Normal 2 2 2 2 2 2 22 12" xfId="11116" xr:uid="{00000000-0005-0000-0000-00006C2B0000}"/>
    <cellStyle name="Normal 2 2 2 2 2 2 22 13" xfId="11117" xr:uid="{00000000-0005-0000-0000-00006D2B0000}"/>
    <cellStyle name="Normal 2 2 2 2 2 2 22 14" xfId="11118" xr:uid="{00000000-0005-0000-0000-00006E2B0000}"/>
    <cellStyle name="Normal 2 2 2 2 2 2 22 2" xfId="11119" xr:uid="{00000000-0005-0000-0000-00006F2B0000}"/>
    <cellStyle name="Normal 2 2 2 2 2 2 22 2 10" xfId="11120" xr:uid="{00000000-0005-0000-0000-0000702B0000}"/>
    <cellStyle name="Normal 2 2 2 2 2 2 22 2 2" xfId="11121" xr:uid="{00000000-0005-0000-0000-0000712B0000}"/>
    <cellStyle name="Normal 2 2 2 2 2 2 22 2 3" xfId="11122" xr:uid="{00000000-0005-0000-0000-0000722B0000}"/>
    <cellStyle name="Normal 2 2 2 2 2 2 22 2 4" xfId="11123" xr:uid="{00000000-0005-0000-0000-0000732B0000}"/>
    <cellStyle name="Normal 2 2 2 2 2 2 22 2 5" xfId="11124" xr:uid="{00000000-0005-0000-0000-0000742B0000}"/>
    <cellStyle name="Normal 2 2 2 2 2 2 22 2 6" xfId="11125" xr:uid="{00000000-0005-0000-0000-0000752B0000}"/>
    <cellStyle name="Normal 2 2 2 2 2 2 22 2 7" xfId="11126" xr:uid="{00000000-0005-0000-0000-0000762B0000}"/>
    <cellStyle name="Normal 2 2 2 2 2 2 22 2 8" xfId="11127" xr:uid="{00000000-0005-0000-0000-0000772B0000}"/>
    <cellStyle name="Normal 2 2 2 2 2 2 22 2 9" xfId="11128" xr:uid="{00000000-0005-0000-0000-0000782B0000}"/>
    <cellStyle name="Normal 2 2 2 2 2 2 22 3" xfId="11129" xr:uid="{00000000-0005-0000-0000-0000792B0000}"/>
    <cellStyle name="Normal 2 2 2 2 2 2 22 3 10" xfId="11130" xr:uid="{00000000-0005-0000-0000-00007A2B0000}"/>
    <cellStyle name="Normal 2 2 2 2 2 2 22 3 2" xfId="11131" xr:uid="{00000000-0005-0000-0000-00007B2B0000}"/>
    <cellStyle name="Normal 2 2 2 2 2 2 22 3 3" xfId="11132" xr:uid="{00000000-0005-0000-0000-00007C2B0000}"/>
    <cellStyle name="Normal 2 2 2 2 2 2 22 3 4" xfId="11133" xr:uid="{00000000-0005-0000-0000-00007D2B0000}"/>
    <cellStyle name="Normal 2 2 2 2 2 2 22 3 5" xfId="11134" xr:uid="{00000000-0005-0000-0000-00007E2B0000}"/>
    <cellStyle name="Normal 2 2 2 2 2 2 22 3 6" xfId="11135" xr:uid="{00000000-0005-0000-0000-00007F2B0000}"/>
    <cellStyle name="Normal 2 2 2 2 2 2 22 3 7" xfId="11136" xr:uid="{00000000-0005-0000-0000-0000802B0000}"/>
    <cellStyle name="Normal 2 2 2 2 2 2 22 3 8" xfId="11137" xr:uid="{00000000-0005-0000-0000-0000812B0000}"/>
    <cellStyle name="Normal 2 2 2 2 2 2 22 3 9" xfId="11138" xr:uid="{00000000-0005-0000-0000-0000822B0000}"/>
    <cellStyle name="Normal 2 2 2 2 2 2 22 4" xfId="11139" xr:uid="{00000000-0005-0000-0000-0000832B0000}"/>
    <cellStyle name="Normal 2 2 2 2 2 2 22 4 10" xfId="11140" xr:uid="{00000000-0005-0000-0000-0000842B0000}"/>
    <cellStyle name="Normal 2 2 2 2 2 2 22 4 2" xfId="11141" xr:uid="{00000000-0005-0000-0000-0000852B0000}"/>
    <cellStyle name="Normal 2 2 2 2 2 2 22 4 3" xfId="11142" xr:uid="{00000000-0005-0000-0000-0000862B0000}"/>
    <cellStyle name="Normal 2 2 2 2 2 2 22 4 4" xfId="11143" xr:uid="{00000000-0005-0000-0000-0000872B0000}"/>
    <cellStyle name="Normal 2 2 2 2 2 2 22 4 5" xfId="11144" xr:uid="{00000000-0005-0000-0000-0000882B0000}"/>
    <cellStyle name="Normal 2 2 2 2 2 2 22 4 6" xfId="11145" xr:uid="{00000000-0005-0000-0000-0000892B0000}"/>
    <cellStyle name="Normal 2 2 2 2 2 2 22 4 7" xfId="11146" xr:uid="{00000000-0005-0000-0000-00008A2B0000}"/>
    <cellStyle name="Normal 2 2 2 2 2 2 22 4 8" xfId="11147" xr:uid="{00000000-0005-0000-0000-00008B2B0000}"/>
    <cellStyle name="Normal 2 2 2 2 2 2 22 4 9" xfId="11148" xr:uid="{00000000-0005-0000-0000-00008C2B0000}"/>
    <cellStyle name="Normal 2 2 2 2 2 2 22 5" xfId="11149" xr:uid="{00000000-0005-0000-0000-00008D2B0000}"/>
    <cellStyle name="Normal 2 2 2 2 2 2 22 5 10" xfId="11150" xr:uid="{00000000-0005-0000-0000-00008E2B0000}"/>
    <cellStyle name="Normal 2 2 2 2 2 2 22 5 2" xfId="11151" xr:uid="{00000000-0005-0000-0000-00008F2B0000}"/>
    <cellStyle name="Normal 2 2 2 2 2 2 22 5 3" xfId="11152" xr:uid="{00000000-0005-0000-0000-0000902B0000}"/>
    <cellStyle name="Normal 2 2 2 2 2 2 22 5 4" xfId="11153" xr:uid="{00000000-0005-0000-0000-0000912B0000}"/>
    <cellStyle name="Normal 2 2 2 2 2 2 22 5 5" xfId="11154" xr:uid="{00000000-0005-0000-0000-0000922B0000}"/>
    <cellStyle name="Normal 2 2 2 2 2 2 22 5 6" xfId="11155" xr:uid="{00000000-0005-0000-0000-0000932B0000}"/>
    <cellStyle name="Normal 2 2 2 2 2 2 22 5 7" xfId="11156" xr:uid="{00000000-0005-0000-0000-0000942B0000}"/>
    <cellStyle name="Normal 2 2 2 2 2 2 22 5 8" xfId="11157" xr:uid="{00000000-0005-0000-0000-0000952B0000}"/>
    <cellStyle name="Normal 2 2 2 2 2 2 22 5 9" xfId="11158" xr:uid="{00000000-0005-0000-0000-0000962B0000}"/>
    <cellStyle name="Normal 2 2 2 2 2 2 22 6" xfId="11159" xr:uid="{00000000-0005-0000-0000-0000972B0000}"/>
    <cellStyle name="Normal 2 2 2 2 2 2 22 7" xfId="11160" xr:uid="{00000000-0005-0000-0000-0000982B0000}"/>
    <cellStyle name="Normal 2 2 2 2 2 2 22 8" xfId="11161" xr:uid="{00000000-0005-0000-0000-0000992B0000}"/>
    <cellStyle name="Normal 2 2 2 2 2 2 22 9" xfId="11162" xr:uid="{00000000-0005-0000-0000-00009A2B0000}"/>
    <cellStyle name="Normal 2 2 2 2 2 2 23" xfId="11163" xr:uid="{00000000-0005-0000-0000-00009B2B0000}"/>
    <cellStyle name="Normal 2 2 2 2 2 2 23 10" xfId="11164" xr:uid="{00000000-0005-0000-0000-00009C2B0000}"/>
    <cellStyle name="Normal 2 2 2 2 2 2 23 11" xfId="11165" xr:uid="{00000000-0005-0000-0000-00009D2B0000}"/>
    <cellStyle name="Normal 2 2 2 2 2 2 23 12" xfId="11166" xr:uid="{00000000-0005-0000-0000-00009E2B0000}"/>
    <cellStyle name="Normal 2 2 2 2 2 2 23 13" xfId="11167" xr:uid="{00000000-0005-0000-0000-00009F2B0000}"/>
    <cellStyle name="Normal 2 2 2 2 2 2 23 14" xfId="11168" xr:uid="{00000000-0005-0000-0000-0000A02B0000}"/>
    <cellStyle name="Normal 2 2 2 2 2 2 23 2" xfId="11169" xr:uid="{00000000-0005-0000-0000-0000A12B0000}"/>
    <cellStyle name="Normal 2 2 2 2 2 2 23 2 10" xfId="11170" xr:uid="{00000000-0005-0000-0000-0000A22B0000}"/>
    <cellStyle name="Normal 2 2 2 2 2 2 23 2 2" xfId="11171" xr:uid="{00000000-0005-0000-0000-0000A32B0000}"/>
    <cellStyle name="Normal 2 2 2 2 2 2 23 2 3" xfId="11172" xr:uid="{00000000-0005-0000-0000-0000A42B0000}"/>
    <cellStyle name="Normal 2 2 2 2 2 2 23 2 4" xfId="11173" xr:uid="{00000000-0005-0000-0000-0000A52B0000}"/>
    <cellStyle name="Normal 2 2 2 2 2 2 23 2 5" xfId="11174" xr:uid="{00000000-0005-0000-0000-0000A62B0000}"/>
    <cellStyle name="Normal 2 2 2 2 2 2 23 2 6" xfId="11175" xr:uid="{00000000-0005-0000-0000-0000A72B0000}"/>
    <cellStyle name="Normal 2 2 2 2 2 2 23 2 7" xfId="11176" xr:uid="{00000000-0005-0000-0000-0000A82B0000}"/>
    <cellStyle name="Normal 2 2 2 2 2 2 23 2 8" xfId="11177" xr:uid="{00000000-0005-0000-0000-0000A92B0000}"/>
    <cellStyle name="Normal 2 2 2 2 2 2 23 2 9" xfId="11178" xr:uid="{00000000-0005-0000-0000-0000AA2B0000}"/>
    <cellStyle name="Normal 2 2 2 2 2 2 23 3" xfId="11179" xr:uid="{00000000-0005-0000-0000-0000AB2B0000}"/>
    <cellStyle name="Normal 2 2 2 2 2 2 23 3 10" xfId="11180" xr:uid="{00000000-0005-0000-0000-0000AC2B0000}"/>
    <cellStyle name="Normal 2 2 2 2 2 2 23 3 2" xfId="11181" xr:uid="{00000000-0005-0000-0000-0000AD2B0000}"/>
    <cellStyle name="Normal 2 2 2 2 2 2 23 3 3" xfId="11182" xr:uid="{00000000-0005-0000-0000-0000AE2B0000}"/>
    <cellStyle name="Normal 2 2 2 2 2 2 23 3 4" xfId="11183" xr:uid="{00000000-0005-0000-0000-0000AF2B0000}"/>
    <cellStyle name="Normal 2 2 2 2 2 2 23 3 5" xfId="11184" xr:uid="{00000000-0005-0000-0000-0000B02B0000}"/>
    <cellStyle name="Normal 2 2 2 2 2 2 23 3 6" xfId="11185" xr:uid="{00000000-0005-0000-0000-0000B12B0000}"/>
    <cellStyle name="Normal 2 2 2 2 2 2 23 3 7" xfId="11186" xr:uid="{00000000-0005-0000-0000-0000B22B0000}"/>
    <cellStyle name="Normal 2 2 2 2 2 2 23 3 8" xfId="11187" xr:uid="{00000000-0005-0000-0000-0000B32B0000}"/>
    <cellStyle name="Normal 2 2 2 2 2 2 23 3 9" xfId="11188" xr:uid="{00000000-0005-0000-0000-0000B42B0000}"/>
    <cellStyle name="Normal 2 2 2 2 2 2 23 4" xfId="11189" xr:uid="{00000000-0005-0000-0000-0000B52B0000}"/>
    <cellStyle name="Normal 2 2 2 2 2 2 23 4 10" xfId="11190" xr:uid="{00000000-0005-0000-0000-0000B62B0000}"/>
    <cellStyle name="Normal 2 2 2 2 2 2 23 4 2" xfId="11191" xr:uid="{00000000-0005-0000-0000-0000B72B0000}"/>
    <cellStyle name="Normal 2 2 2 2 2 2 23 4 3" xfId="11192" xr:uid="{00000000-0005-0000-0000-0000B82B0000}"/>
    <cellStyle name="Normal 2 2 2 2 2 2 23 4 4" xfId="11193" xr:uid="{00000000-0005-0000-0000-0000B92B0000}"/>
    <cellStyle name="Normal 2 2 2 2 2 2 23 4 5" xfId="11194" xr:uid="{00000000-0005-0000-0000-0000BA2B0000}"/>
    <cellStyle name="Normal 2 2 2 2 2 2 23 4 6" xfId="11195" xr:uid="{00000000-0005-0000-0000-0000BB2B0000}"/>
    <cellStyle name="Normal 2 2 2 2 2 2 23 4 7" xfId="11196" xr:uid="{00000000-0005-0000-0000-0000BC2B0000}"/>
    <cellStyle name="Normal 2 2 2 2 2 2 23 4 8" xfId="11197" xr:uid="{00000000-0005-0000-0000-0000BD2B0000}"/>
    <cellStyle name="Normal 2 2 2 2 2 2 23 4 9" xfId="11198" xr:uid="{00000000-0005-0000-0000-0000BE2B0000}"/>
    <cellStyle name="Normal 2 2 2 2 2 2 23 5" xfId="11199" xr:uid="{00000000-0005-0000-0000-0000BF2B0000}"/>
    <cellStyle name="Normal 2 2 2 2 2 2 23 5 10" xfId="11200" xr:uid="{00000000-0005-0000-0000-0000C02B0000}"/>
    <cellStyle name="Normal 2 2 2 2 2 2 23 5 2" xfId="11201" xr:uid="{00000000-0005-0000-0000-0000C12B0000}"/>
    <cellStyle name="Normal 2 2 2 2 2 2 23 5 3" xfId="11202" xr:uid="{00000000-0005-0000-0000-0000C22B0000}"/>
    <cellStyle name="Normal 2 2 2 2 2 2 23 5 4" xfId="11203" xr:uid="{00000000-0005-0000-0000-0000C32B0000}"/>
    <cellStyle name="Normal 2 2 2 2 2 2 23 5 5" xfId="11204" xr:uid="{00000000-0005-0000-0000-0000C42B0000}"/>
    <cellStyle name="Normal 2 2 2 2 2 2 23 5 6" xfId="11205" xr:uid="{00000000-0005-0000-0000-0000C52B0000}"/>
    <cellStyle name="Normal 2 2 2 2 2 2 23 5 7" xfId="11206" xr:uid="{00000000-0005-0000-0000-0000C62B0000}"/>
    <cellStyle name="Normal 2 2 2 2 2 2 23 5 8" xfId="11207" xr:uid="{00000000-0005-0000-0000-0000C72B0000}"/>
    <cellStyle name="Normal 2 2 2 2 2 2 23 5 9" xfId="11208" xr:uid="{00000000-0005-0000-0000-0000C82B0000}"/>
    <cellStyle name="Normal 2 2 2 2 2 2 23 6" xfId="11209" xr:uid="{00000000-0005-0000-0000-0000C92B0000}"/>
    <cellStyle name="Normal 2 2 2 2 2 2 23 7" xfId="11210" xr:uid="{00000000-0005-0000-0000-0000CA2B0000}"/>
    <cellStyle name="Normal 2 2 2 2 2 2 23 8" xfId="11211" xr:uid="{00000000-0005-0000-0000-0000CB2B0000}"/>
    <cellStyle name="Normal 2 2 2 2 2 2 23 9" xfId="11212" xr:uid="{00000000-0005-0000-0000-0000CC2B0000}"/>
    <cellStyle name="Normal 2 2 2 2 2 2 24" xfId="11213" xr:uid="{00000000-0005-0000-0000-0000CD2B0000}"/>
    <cellStyle name="Normal 2 2 2 2 2 2 24 10" xfId="11214" xr:uid="{00000000-0005-0000-0000-0000CE2B0000}"/>
    <cellStyle name="Normal 2 2 2 2 2 2 24 11" xfId="11215" xr:uid="{00000000-0005-0000-0000-0000CF2B0000}"/>
    <cellStyle name="Normal 2 2 2 2 2 2 24 12" xfId="11216" xr:uid="{00000000-0005-0000-0000-0000D02B0000}"/>
    <cellStyle name="Normal 2 2 2 2 2 2 24 13" xfId="11217" xr:uid="{00000000-0005-0000-0000-0000D12B0000}"/>
    <cellStyle name="Normal 2 2 2 2 2 2 24 14" xfId="11218" xr:uid="{00000000-0005-0000-0000-0000D22B0000}"/>
    <cellStyle name="Normal 2 2 2 2 2 2 24 2" xfId="11219" xr:uid="{00000000-0005-0000-0000-0000D32B0000}"/>
    <cellStyle name="Normal 2 2 2 2 2 2 24 2 10" xfId="11220" xr:uid="{00000000-0005-0000-0000-0000D42B0000}"/>
    <cellStyle name="Normal 2 2 2 2 2 2 24 2 2" xfId="11221" xr:uid="{00000000-0005-0000-0000-0000D52B0000}"/>
    <cellStyle name="Normal 2 2 2 2 2 2 24 2 3" xfId="11222" xr:uid="{00000000-0005-0000-0000-0000D62B0000}"/>
    <cellStyle name="Normal 2 2 2 2 2 2 24 2 4" xfId="11223" xr:uid="{00000000-0005-0000-0000-0000D72B0000}"/>
    <cellStyle name="Normal 2 2 2 2 2 2 24 2 5" xfId="11224" xr:uid="{00000000-0005-0000-0000-0000D82B0000}"/>
    <cellStyle name="Normal 2 2 2 2 2 2 24 2 6" xfId="11225" xr:uid="{00000000-0005-0000-0000-0000D92B0000}"/>
    <cellStyle name="Normal 2 2 2 2 2 2 24 2 7" xfId="11226" xr:uid="{00000000-0005-0000-0000-0000DA2B0000}"/>
    <cellStyle name="Normal 2 2 2 2 2 2 24 2 8" xfId="11227" xr:uid="{00000000-0005-0000-0000-0000DB2B0000}"/>
    <cellStyle name="Normal 2 2 2 2 2 2 24 2 9" xfId="11228" xr:uid="{00000000-0005-0000-0000-0000DC2B0000}"/>
    <cellStyle name="Normal 2 2 2 2 2 2 24 3" xfId="11229" xr:uid="{00000000-0005-0000-0000-0000DD2B0000}"/>
    <cellStyle name="Normal 2 2 2 2 2 2 24 3 10" xfId="11230" xr:uid="{00000000-0005-0000-0000-0000DE2B0000}"/>
    <cellStyle name="Normal 2 2 2 2 2 2 24 3 2" xfId="11231" xr:uid="{00000000-0005-0000-0000-0000DF2B0000}"/>
    <cellStyle name="Normal 2 2 2 2 2 2 24 3 3" xfId="11232" xr:uid="{00000000-0005-0000-0000-0000E02B0000}"/>
    <cellStyle name="Normal 2 2 2 2 2 2 24 3 4" xfId="11233" xr:uid="{00000000-0005-0000-0000-0000E12B0000}"/>
    <cellStyle name="Normal 2 2 2 2 2 2 24 3 5" xfId="11234" xr:uid="{00000000-0005-0000-0000-0000E22B0000}"/>
    <cellStyle name="Normal 2 2 2 2 2 2 24 3 6" xfId="11235" xr:uid="{00000000-0005-0000-0000-0000E32B0000}"/>
    <cellStyle name="Normal 2 2 2 2 2 2 24 3 7" xfId="11236" xr:uid="{00000000-0005-0000-0000-0000E42B0000}"/>
    <cellStyle name="Normal 2 2 2 2 2 2 24 3 8" xfId="11237" xr:uid="{00000000-0005-0000-0000-0000E52B0000}"/>
    <cellStyle name="Normal 2 2 2 2 2 2 24 3 9" xfId="11238" xr:uid="{00000000-0005-0000-0000-0000E62B0000}"/>
    <cellStyle name="Normal 2 2 2 2 2 2 24 4" xfId="11239" xr:uid="{00000000-0005-0000-0000-0000E72B0000}"/>
    <cellStyle name="Normal 2 2 2 2 2 2 24 4 10" xfId="11240" xr:uid="{00000000-0005-0000-0000-0000E82B0000}"/>
    <cellStyle name="Normal 2 2 2 2 2 2 24 4 2" xfId="11241" xr:uid="{00000000-0005-0000-0000-0000E92B0000}"/>
    <cellStyle name="Normal 2 2 2 2 2 2 24 4 3" xfId="11242" xr:uid="{00000000-0005-0000-0000-0000EA2B0000}"/>
    <cellStyle name="Normal 2 2 2 2 2 2 24 4 4" xfId="11243" xr:uid="{00000000-0005-0000-0000-0000EB2B0000}"/>
    <cellStyle name="Normal 2 2 2 2 2 2 24 4 5" xfId="11244" xr:uid="{00000000-0005-0000-0000-0000EC2B0000}"/>
    <cellStyle name="Normal 2 2 2 2 2 2 24 4 6" xfId="11245" xr:uid="{00000000-0005-0000-0000-0000ED2B0000}"/>
    <cellStyle name="Normal 2 2 2 2 2 2 24 4 7" xfId="11246" xr:uid="{00000000-0005-0000-0000-0000EE2B0000}"/>
    <cellStyle name="Normal 2 2 2 2 2 2 24 4 8" xfId="11247" xr:uid="{00000000-0005-0000-0000-0000EF2B0000}"/>
    <cellStyle name="Normal 2 2 2 2 2 2 24 4 9" xfId="11248" xr:uid="{00000000-0005-0000-0000-0000F02B0000}"/>
    <cellStyle name="Normal 2 2 2 2 2 2 24 5" xfId="11249" xr:uid="{00000000-0005-0000-0000-0000F12B0000}"/>
    <cellStyle name="Normal 2 2 2 2 2 2 24 5 10" xfId="11250" xr:uid="{00000000-0005-0000-0000-0000F22B0000}"/>
    <cellStyle name="Normal 2 2 2 2 2 2 24 5 2" xfId="11251" xr:uid="{00000000-0005-0000-0000-0000F32B0000}"/>
    <cellStyle name="Normal 2 2 2 2 2 2 24 5 3" xfId="11252" xr:uid="{00000000-0005-0000-0000-0000F42B0000}"/>
    <cellStyle name="Normal 2 2 2 2 2 2 24 5 4" xfId="11253" xr:uid="{00000000-0005-0000-0000-0000F52B0000}"/>
    <cellStyle name="Normal 2 2 2 2 2 2 24 5 5" xfId="11254" xr:uid="{00000000-0005-0000-0000-0000F62B0000}"/>
    <cellStyle name="Normal 2 2 2 2 2 2 24 5 6" xfId="11255" xr:uid="{00000000-0005-0000-0000-0000F72B0000}"/>
    <cellStyle name="Normal 2 2 2 2 2 2 24 5 7" xfId="11256" xr:uid="{00000000-0005-0000-0000-0000F82B0000}"/>
    <cellStyle name="Normal 2 2 2 2 2 2 24 5 8" xfId="11257" xr:uid="{00000000-0005-0000-0000-0000F92B0000}"/>
    <cellStyle name="Normal 2 2 2 2 2 2 24 5 9" xfId="11258" xr:uid="{00000000-0005-0000-0000-0000FA2B0000}"/>
    <cellStyle name="Normal 2 2 2 2 2 2 24 6" xfId="11259" xr:uid="{00000000-0005-0000-0000-0000FB2B0000}"/>
    <cellStyle name="Normal 2 2 2 2 2 2 24 7" xfId="11260" xr:uid="{00000000-0005-0000-0000-0000FC2B0000}"/>
    <cellStyle name="Normal 2 2 2 2 2 2 24 8" xfId="11261" xr:uid="{00000000-0005-0000-0000-0000FD2B0000}"/>
    <cellStyle name="Normal 2 2 2 2 2 2 24 9" xfId="11262" xr:uid="{00000000-0005-0000-0000-0000FE2B0000}"/>
    <cellStyle name="Normal 2 2 2 2 2 2 25" xfId="11263" xr:uid="{00000000-0005-0000-0000-0000FF2B0000}"/>
    <cellStyle name="Normal 2 2 2 2 2 2 25 10" xfId="11264" xr:uid="{00000000-0005-0000-0000-0000002C0000}"/>
    <cellStyle name="Normal 2 2 2 2 2 2 25 11" xfId="11265" xr:uid="{00000000-0005-0000-0000-0000012C0000}"/>
    <cellStyle name="Normal 2 2 2 2 2 2 25 12" xfId="11266" xr:uid="{00000000-0005-0000-0000-0000022C0000}"/>
    <cellStyle name="Normal 2 2 2 2 2 2 25 13" xfId="11267" xr:uid="{00000000-0005-0000-0000-0000032C0000}"/>
    <cellStyle name="Normal 2 2 2 2 2 2 25 14" xfId="11268" xr:uid="{00000000-0005-0000-0000-0000042C0000}"/>
    <cellStyle name="Normal 2 2 2 2 2 2 25 2" xfId="11269" xr:uid="{00000000-0005-0000-0000-0000052C0000}"/>
    <cellStyle name="Normal 2 2 2 2 2 2 25 2 10" xfId="11270" xr:uid="{00000000-0005-0000-0000-0000062C0000}"/>
    <cellStyle name="Normal 2 2 2 2 2 2 25 2 2" xfId="11271" xr:uid="{00000000-0005-0000-0000-0000072C0000}"/>
    <cellStyle name="Normal 2 2 2 2 2 2 25 2 3" xfId="11272" xr:uid="{00000000-0005-0000-0000-0000082C0000}"/>
    <cellStyle name="Normal 2 2 2 2 2 2 25 2 4" xfId="11273" xr:uid="{00000000-0005-0000-0000-0000092C0000}"/>
    <cellStyle name="Normal 2 2 2 2 2 2 25 2 5" xfId="11274" xr:uid="{00000000-0005-0000-0000-00000A2C0000}"/>
    <cellStyle name="Normal 2 2 2 2 2 2 25 2 6" xfId="11275" xr:uid="{00000000-0005-0000-0000-00000B2C0000}"/>
    <cellStyle name="Normal 2 2 2 2 2 2 25 2 7" xfId="11276" xr:uid="{00000000-0005-0000-0000-00000C2C0000}"/>
    <cellStyle name="Normal 2 2 2 2 2 2 25 2 8" xfId="11277" xr:uid="{00000000-0005-0000-0000-00000D2C0000}"/>
    <cellStyle name="Normal 2 2 2 2 2 2 25 2 9" xfId="11278" xr:uid="{00000000-0005-0000-0000-00000E2C0000}"/>
    <cellStyle name="Normal 2 2 2 2 2 2 25 3" xfId="11279" xr:uid="{00000000-0005-0000-0000-00000F2C0000}"/>
    <cellStyle name="Normal 2 2 2 2 2 2 25 3 10" xfId="11280" xr:uid="{00000000-0005-0000-0000-0000102C0000}"/>
    <cellStyle name="Normal 2 2 2 2 2 2 25 3 2" xfId="11281" xr:uid="{00000000-0005-0000-0000-0000112C0000}"/>
    <cellStyle name="Normal 2 2 2 2 2 2 25 3 3" xfId="11282" xr:uid="{00000000-0005-0000-0000-0000122C0000}"/>
    <cellStyle name="Normal 2 2 2 2 2 2 25 3 4" xfId="11283" xr:uid="{00000000-0005-0000-0000-0000132C0000}"/>
    <cellStyle name="Normal 2 2 2 2 2 2 25 3 5" xfId="11284" xr:uid="{00000000-0005-0000-0000-0000142C0000}"/>
    <cellStyle name="Normal 2 2 2 2 2 2 25 3 6" xfId="11285" xr:uid="{00000000-0005-0000-0000-0000152C0000}"/>
    <cellStyle name="Normal 2 2 2 2 2 2 25 3 7" xfId="11286" xr:uid="{00000000-0005-0000-0000-0000162C0000}"/>
    <cellStyle name="Normal 2 2 2 2 2 2 25 3 8" xfId="11287" xr:uid="{00000000-0005-0000-0000-0000172C0000}"/>
    <cellStyle name="Normal 2 2 2 2 2 2 25 3 9" xfId="11288" xr:uid="{00000000-0005-0000-0000-0000182C0000}"/>
    <cellStyle name="Normal 2 2 2 2 2 2 25 4" xfId="11289" xr:uid="{00000000-0005-0000-0000-0000192C0000}"/>
    <cellStyle name="Normal 2 2 2 2 2 2 25 4 10" xfId="11290" xr:uid="{00000000-0005-0000-0000-00001A2C0000}"/>
    <cellStyle name="Normal 2 2 2 2 2 2 25 4 2" xfId="11291" xr:uid="{00000000-0005-0000-0000-00001B2C0000}"/>
    <cellStyle name="Normal 2 2 2 2 2 2 25 4 3" xfId="11292" xr:uid="{00000000-0005-0000-0000-00001C2C0000}"/>
    <cellStyle name="Normal 2 2 2 2 2 2 25 4 4" xfId="11293" xr:uid="{00000000-0005-0000-0000-00001D2C0000}"/>
    <cellStyle name="Normal 2 2 2 2 2 2 25 4 5" xfId="11294" xr:uid="{00000000-0005-0000-0000-00001E2C0000}"/>
    <cellStyle name="Normal 2 2 2 2 2 2 25 4 6" xfId="11295" xr:uid="{00000000-0005-0000-0000-00001F2C0000}"/>
    <cellStyle name="Normal 2 2 2 2 2 2 25 4 7" xfId="11296" xr:uid="{00000000-0005-0000-0000-0000202C0000}"/>
    <cellStyle name="Normal 2 2 2 2 2 2 25 4 8" xfId="11297" xr:uid="{00000000-0005-0000-0000-0000212C0000}"/>
    <cellStyle name="Normal 2 2 2 2 2 2 25 4 9" xfId="11298" xr:uid="{00000000-0005-0000-0000-0000222C0000}"/>
    <cellStyle name="Normal 2 2 2 2 2 2 25 5" xfId="11299" xr:uid="{00000000-0005-0000-0000-0000232C0000}"/>
    <cellStyle name="Normal 2 2 2 2 2 2 25 5 10" xfId="11300" xr:uid="{00000000-0005-0000-0000-0000242C0000}"/>
    <cellStyle name="Normal 2 2 2 2 2 2 25 5 2" xfId="11301" xr:uid="{00000000-0005-0000-0000-0000252C0000}"/>
    <cellStyle name="Normal 2 2 2 2 2 2 25 5 3" xfId="11302" xr:uid="{00000000-0005-0000-0000-0000262C0000}"/>
    <cellStyle name="Normal 2 2 2 2 2 2 25 5 4" xfId="11303" xr:uid="{00000000-0005-0000-0000-0000272C0000}"/>
    <cellStyle name="Normal 2 2 2 2 2 2 25 5 5" xfId="11304" xr:uid="{00000000-0005-0000-0000-0000282C0000}"/>
    <cellStyle name="Normal 2 2 2 2 2 2 25 5 6" xfId="11305" xr:uid="{00000000-0005-0000-0000-0000292C0000}"/>
    <cellStyle name="Normal 2 2 2 2 2 2 25 5 7" xfId="11306" xr:uid="{00000000-0005-0000-0000-00002A2C0000}"/>
    <cellStyle name="Normal 2 2 2 2 2 2 25 5 8" xfId="11307" xr:uid="{00000000-0005-0000-0000-00002B2C0000}"/>
    <cellStyle name="Normal 2 2 2 2 2 2 25 5 9" xfId="11308" xr:uid="{00000000-0005-0000-0000-00002C2C0000}"/>
    <cellStyle name="Normal 2 2 2 2 2 2 25 6" xfId="11309" xr:uid="{00000000-0005-0000-0000-00002D2C0000}"/>
    <cellStyle name="Normal 2 2 2 2 2 2 25 7" xfId="11310" xr:uid="{00000000-0005-0000-0000-00002E2C0000}"/>
    <cellStyle name="Normal 2 2 2 2 2 2 25 8" xfId="11311" xr:uid="{00000000-0005-0000-0000-00002F2C0000}"/>
    <cellStyle name="Normal 2 2 2 2 2 2 25 9" xfId="11312" xr:uid="{00000000-0005-0000-0000-0000302C0000}"/>
    <cellStyle name="Normal 2 2 2 2 2 2 26" xfId="11313" xr:uid="{00000000-0005-0000-0000-0000312C0000}"/>
    <cellStyle name="Normal 2 2 2 2 2 2 26 10" xfId="11314" xr:uid="{00000000-0005-0000-0000-0000322C0000}"/>
    <cellStyle name="Normal 2 2 2 2 2 2 26 11" xfId="11315" xr:uid="{00000000-0005-0000-0000-0000332C0000}"/>
    <cellStyle name="Normal 2 2 2 2 2 2 26 12" xfId="11316" xr:uid="{00000000-0005-0000-0000-0000342C0000}"/>
    <cellStyle name="Normal 2 2 2 2 2 2 26 13" xfId="11317" xr:uid="{00000000-0005-0000-0000-0000352C0000}"/>
    <cellStyle name="Normal 2 2 2 2 2 2 26 14" xfId="11318" xr:uid="{00000000-0005-0000-0000-0000362C0000}"/>
    <cellStyle name="Normal 2 2 2 2 2 2 26 2" xfId="11319" xr:uid="{00000000-0005-0000-0000-0000372C0000}"/>
    <cellStyle name="Normal 2 2 2 2 2 2 26 2 10" xfId="11320" xr:uid="{00000000-0005-0000-0000-0000382C0000}"/>
    <cellStyle name="Normal 2 2 2 2 2 2 26 2 2" xfId="11321" xr:uid="{00000000-0005-0000-0000-0000392C0000}"/>
    <cellStyle name="Normal 2 2 2 2 2 2 26 2 3" xfId="11322" xr:uid="{00000000-0005-0000-0000-00003A2C0000}"/>
    <cellStyle name="Normal 2 2 2 2 2 2 26 2 4" xfId="11323" xr:uid="{00000000-0005-0000-0000-00003B2C0000}"/>
    <cellStyle name="Normal 2 2 2 2 2 2 26 2 5" xfId="11324" xr:uid="{00000000-0005-0000-0000-00003C2C0000}"/>
    <cellStyle name="Normal 2 2 2 2 2 2 26 2 6" xfId="11325" xr:uid="{00000000-0005-0000-0000-00003D2C0000}"/>
    <cellStyle name="Normal 2 2 2 2 2 2 26 2 7" xfId="11326" xr:uid="{00000000-0005-0000-0000-00003E2C0000}"/>
    <cellStyle name="Normal 2 2 2 2 2 2 26 2 8" xfId="11327" xr:uid="{00000000-0005-0000-0000-00003F2C0000}"/>
    <cellStyle name="Normal 2 2 2 2 2 2 26 2 9" xfId="11328" xr:uid="{00000000-0005-0000-0000-0000402C0000}"/>
    <cellStyle name="Normal 2 2 2 2 2 2 26 3" xfId="11329" xr:uid="{00000000-0005-0000-0000-0000412C0000}"/>
    <cellStyle name="Normal 2 2 2 2 2 2 26 3 10" xfId="11330" xr:uid="{00000000-0005-0000-0000-0000422C0000}"/>
    <cellStyle name="Normal 2 2 2 2 2 2 26 3 2" xfId="11331" xr:uid="{00000000-0005-0000-0000-0000432C0000}"/>
    <cellStyle name="Normal 2 2 2 2 2 2 26 3 3" xfId="11332" xr:uid="{00000000-0005-0000-0000-0000442C0000}"/>
    <cellStyle name="Normal 2 2 2 2 2 2 26 3 4" xfId="11333" xr:uid="{00000000-0005-0000-0000-0000452C0000}"/>
    <cellStyle name="Normal 2 2 2 2 2 2 26 3 5" xfId="11334" xr:uid="{00000000-0005-0000-0000-0000462C0000}"/>
    <cellStyle name="Normal 2 2 2 2 2 2 26 3 6" xfId="11335" xr:uid="{00000000-0005-0000-0000-0000472C0000}"/>
    <cellStyle name="Normal 2 2 2 2 2 2 26 3 7" xfId="11336" xr:uid="{00000000-0005-0000-0000-0000482C0000}"/>
    <cellStyle name="Normal 2 2 2 2 2 2 26 3 8" xfId="11337" xr:uid="{00000000-0005-0000-0000-0000492C0000}"/>
    <cellStyle name="Normal 2 2 2 2 2 2 26 3 9" xfId="11338" xr:uid="{00000000-0005-0000-0000-00004A2C0000}"/>
    <cellStyle name="Normal 2 2 2 2 2 2 26 4" xfId="11339" xr:uid="{00000000-0005-0000-0000-00004B2C0000}"/>
    <cellStyle name="Normal 2 2 2 2 2 2 26 4 10" xfId="11340" xr:uid="{00000000-0005-0000-0000-00004C2C0000}"/>
    <cellStyle name="Normal 2 2 2 2 2 2 26 4 2" xfId="11341" xr:uid="{00000000-0005-0000-0000-00004D2C0000}"/>
    <cellStyle name="Normal 2 2 2 2 2 2 26 4 3" xfId="11342" xr:uid="{00000000-0005-0000-0000-00004E2C0000}"/>
    <cellStyle name="Normal 2 2 2 2 2 2 26 4 4" xfId="11343" xr:uid="{00000000-0005-0000-0000-00004F2C0000}"/>
    <cellStyle name="Normal 2 2 2 2 2 2 26 4 5" xfId="11344" xr:uid="{00000000-0005-0000-0000-0000502C0000}"/>
    <cellStyle name="Normal 2 2 2 2 2 2 26 4 6" xfId="11345" xr:uid="{00000000-0005-0000-0000-0000512C0000}"/>
    <cellStyle name="Normal 2 2 2 2 2 2 26 4 7" xfId="11346" xr:uid="{00000000-0005-0000-0000-0000522C0000}"/>
    <cellStyle name="Normal 2 2 2 2 2 2 26 4 8" xfId="11347" xr:uid="{00000000-0005-0000-0000-0000532C0000}"/>
    <cellStyle name="Normal 2 2 2 2 2 2 26 4 9" xfId="11348" xr:uid="{00000000-0005-0000-0000-0000542C0000}"/>
    <cellStyle name="Normal 2 2 2 2 2 2 26 5" xfId="11349" xr:uid="{00000000-0005-0000-0000-0000552C0000}"/>
    <cellStyle name="Normal 2 2 2 2 2 2 26 5 10" xfId="11350" xr:uid="{00000000-0005-0000-0000-0000562C0000}"/>
    <cellStyle name="Normal 2 2 2 2 2 2 26 5 2" xfId="11351" xr:uid="{00000000-0005-0000-0000-0000572C0000}"/>
    <cellStyle name="Normal 2 2 2 2 2 2 26 5 3" xfId="11352" xr:uid="{00000000-0005-0000-0000-0000582C0000}"/>
    <cellStyle name="Normal 2 2 2 2 2 2 26 5 4" xfId="11353" xr:uid="{00000000-0005-0000-0000-0000592C0000}"/>
    <cellStyle name="Normal 2 2 2 2 2 2 26 5 5" xfId="11354" xr:uid="{00000000-0005-0000-0000-00005A2C0000}"/>
    <cellStyle name="Normal 2 2 2 2 2 2 26 5 6" xfId="11355" xr:uid="{00000000-0005-0000-0000-00005B2C0000}"/>
    <cellStyle name="Normal 2 2 2 2 2 2 26 5 7" xfId="11356" xr:uid="{00000000-0005-0000-0000-00005C2C0000}"/>
    <cellStyle name="Normal 2 2 2 2 2 2 26 5 8" xfId="11357" xr:uid="{00000000-0005-0000-0000-00005D2C0000}"/>
    <cellStyle name="Normal 2 2 2 2 2 2 26 5 9" xfId="11358" xr:uid="{00000000-0005-0000-0000-00005E2C0000}"/>
    <cellStyle name="Normal 2 2 2 2 2 2 26 6" xfId="11359" xr:uid="{00000000-0005-0000-0000-00005F2C0000}"/>
    <cellStyle name="Normal 2 2 2 2 2 2 26 7" xfId="11360" xr:uid="{00000000-0005-0000-0000-0000602C0000}"/>
    <cellStyle name="Normal 2 2 2 2 2 2 26 8" xfId="11361" xr:uid="{00000000-0005-0000-0000-0000612C0000}"/>
    <cellStyle name="Normal 2 2 2 2 2 2 26 9" xfId="11362" xr:uid="{00000000-0005-0000-0000-0000622C0000}"/>
    <cellStyle name="Normal 2 2 2 2 2 2 27" xfId="11363" xr:uid="{00000000-0005-0000-0000-0000632C0000}"/>
    <cellStyle name="Normal 2 2 2 2 2 2 27 10" xfId="11364" xr:uid="{00000000-0005-0000-0000-0000642C0000}"/>
    <cellStyle name="Normal 2 2 2 2 2 2 27 11" xfId="11365" xr:uid="{00000000-0005-0000-0000-0000652C0000}"/>
    <cellStyle name="Normal 2 2 2 2 2 2 27 12" xfId="11366" xr:uid="{00000000-0005-0000-0000-0000662C0000}"/>
    <cellStyle name="Normal 2 2 2 2 2 2 27 13" xfId="11367" xr:uid="{00000000-0005-0000-0000-0000672C0000}"/>
    <cellStyle name="Normal 2 2 2 2 2 2 27 14" xfId="11368" xr:uid="{00000000-0005-0000-0000-0000682C0000}"/>
    <cellStyle name="Normal 2 2 2 2 2 2 27 2" xfId="11369" xr:uid="{00000000-0005-0000-0000-0000692C0000}"/>
    <cellStyle name="Normal 2 2 2 2 2 2 27 2 10" xfId="11370" xr:uid="{00000000-0005-0000-0000-00006A2C0000}"/>
    <cellStyle name="Normal 2 2 2 2 2 2 27 2 2" xfId="11371" xr:uid="{00000000-0005-0000-0000-00006B2C0000}"/>
    <cellStyle name="Normal 2 2 2 2 2 2 27 2 3" xfId="11372" xr:uid="{00000000-0005-0000-0000-00006C2C0000}"/>
    <cellStyle name="Normal 2 2 2 2 2 2 27 2 4" xfId="11373" xr:uid="{00000000-0005-0000-0000-00006D2C0000}"/>
    <cellStyle name="Normal 2 2 2 2 2 2 27 2 5" xfId="11374" xr:uid="{00000000-0005-0000-0000-00006E2C0000}"/>
    <cellStyle name="Normal 2 2 2 2 2 2 27 2 6" xfId="11375" xr:uid="{00000000-0005-0000-0000-00006F2C0000}"/>
    <cellStyle name="Normal 2 2 2 2 2 2 27 2 7" xfId="11376" xr:uid="{00000000-0005-0000-0000-0000702C0000}"/>
    <cellStyle name="Normal 2 2 2 2 2 2 27 2 8" xfId="11377" xr:uid="{00000000-0005-0000-0000-0000712C0000}"/>
    <cellStyle name="Normal 2 2 2 2 2 2 27 2 9" xfId="11378" xr:uid="{00000000-0005-0000-0000-0000722C0000}"/>
    <cellStyle name="Normal 2 2 2 2 2 2 27 3" xfId="11379" xr:uid="{00000000-0005-0000-0000-0000732C0000}"/>
    <cellStyle name="Normal 2 2 2 2 2 2 27 3 10" xfId="11380" xr:uid="{00000000-0005-0000-0000-0000742C0000}"/>
    <cellStyle name="Normal 2 2 2 2 2 2 27 3 2" xfId="11381" xr:uid="{00000000-0005-0000-0000-0000752C0000}"/>
    <cellStyle name="Normal 2 2 2 2 2 2 27 3 3" xfId="11382" xr:uid="{00000000-0005-0000-0000-0000762C0000}"/>
    <cellStyle name="Normal 2 2 2 2 2 2 27 3 4" xfId="11383" xr:uid="{00000000-0005-0000-0000-0000772C0000}"/>
    <cellStyle name="Normal 2 2 2 2 2 2 27 3 5" xfId="11384" xr:uid="{00000000-0005-0000-0000-0000782C0000}"/>
    <cellStyle name="Normal 2 2 2 2 2 2 27 3 6" xfId="11385" xr:uid="{00000000-0005-0000-0000-0000792C0000}"/>
    <cellStyle name="Normal 2 2 2 2 2 2 27 3 7" xfId="11386" xr:uid="{00000000-0005-0000-0000-00007A2C0000}"/>
    <cellStyle name="Normal 2 2 2 2 2 2 27 3 8" xfId="11387" xr:uid="{00000000-0005-0000-0000-00007B2C0000}"/>
    <cellStyle name="Normal 2 2 2 2 2 2 27 3 9" xfId="11388" xr:uid="{00000000-0005-0000-0000-00007C2C0000}"/>
    <cellStyle name="Normal 2 2 2 2 2 2 27 4" xfId="11389" xr:uid="{00000000-0005-0000-0000-00007D2C0000}"/>
    <cellStyle name="Normal 2 2 2 2 2 2 27 4 10" xfId="11390" xr:uid="{00000000-0005-0000-0000-00007E2C0000}"/>
    <cellStyle name="Normal 2 2 2 2 2 2 27 4 2" xfId="11391" xr:uid="{00000000-0005-0000-0000-00007F2C0000}"/>
    <cellStyle name="Normal 2 2 2 2 2 2 27 4 3" xfId="11392" xr:uid="{00000000-0005-0000-0000-0000802C0000}"/>
    <cellStyle name="Normal 2 2 2 2 2 2 27 4 4" xfId="11393" xr:uid="{00000000-0005-0000-0000-0000812C0000}"/>
    <cellStyle name="Normal 2 2 2 2 2 2 27 4 5" xfId="11394" xr:uid="{00000000-0005-0000-0000-0000822C0000}"/>
    <cellStyle name="Normal 2 2 2 2 2 2 27 4 6" xfId="11395" xr:uid="{00000000-0005-0000-0000-0000832C0000}"/>
    <cellStyle name="Normal 2 2 2 2 2 2 27 4 7" xfId="11396" xr:uid="{00000000-0005-0000-0000-0000842C0000}"/>
    <cellStyle name="Normal 2 2 2 2 2 2 27 4 8" xfId="11397" xr:uid="{00000000-0005-0000-0000-0000852C0000}"/>
    <cellStyle name="Normal 2 2 2 2 2 2 27 4 9" xfId="11398" xr:uid="{00000000-0005-0000-0000-0000862C0000}"/>
    <cellStyle name="Normal 2 2 2 2 2 2 27 5" xfId="11399" xr:uid="{00000000-0005-0000-0000-0000872C0000}"/>
    <cellStyle name="Normal 2 2 2 2 2 2 27 5 10" xfId="11400" xr:uid="{00000000-0005-0000-0000-0000882C0000}"/>
    <cellStyle name="Normal 2 2 2 2 2 2 27 5 2" xfId="11401" xr:uid="{00000000-0005-0000-0000-0000892C0000}"/>
    <cellStyle name="Normal 2 2 2 2 2 2 27 5 3" xfId="11402" xr:uid="{00000000-0005-0000-0000-00008A2C0000}"/>
    <cellStyle name="Normal 2 2 2 2 2 2 27 5 4" xfId="11403" xr:uid="{00000000-0005-0000-0000-00008B2C0000}"/>
    <cellStyle name="Normal 2 2 2 2 2 2 27 5 5" xfId="11404" xr:uid="{00000000-0005-0000-0000-00008C2C0000}"/>
    <cellStyle name="Normal 2 2 2 2 2 2 27 5 6" xfId="11405" xr:uid="{00000000-0005-0000-0000-00008D2C0000}"/>
    <cellStyle name="Normal 2 2 2 2 2 2 27 5 7" xfId="11406" xr:uid="{00000000-0005-0000-0000-00008E2C0000}"/>
    <cellStyle name="Normal 2 2 2 2 2 2 27 5 8" xfId="11407" xr:uid="{00000000-0005-0000-0000-00008F2C0000}"/>
    <cellStyle name="Normal 2 2 2 2 2 2 27 5 9" xfId="11408" xr:uid="{00000000-0005-0000-0000-0000902C0000}"/>
    <cellStyle name="Normal 2 2 2 2 2 2 27 6" xfId="11409" xr:uid="{00000000-0005-0000-0000-0000912C0000}"/>
    <cellStyle name="Normal 2 2 2 2 2 2 27 7" xfId="11410" xr:uid="{00000000-0005-0000-0000-0000922C0000}"/>
    <cellStyle name="Normal 2 2 2 2 2 2 27 8" xfId="11411" xr:uid="{00000000-0005-0000-0000-0000932C0000}"/>
    <cellStyle name="Normal 2 2 2 2 2 2 27 9" xfId="11412" xr:uid="{00000000-0005-0000-0000-0000942C0000}"/>
    <cellStyle name="Normal 2 2 2 2 2 2 28" xfId="11413" xr:uid="{00000000-0005-0000-0000-0000952C0000}"/>
    <cellStyle name="Normal 2 2 2 2 2 2 28 10" xfId="11414" xr:uid="{00000000-0005-0000-0000-0000962C0000}"/>
    <cellStyle name="Normal 2 2 2 2 2 2 28 11" xfId="11415" xr:uid="{00000000-0005-0000-0000-0000972C0000}"/>
    <cellStyle name="Normal 2 2 2 2 2 2 28 12" xfId="11416" xr:uid="{00000000-0005-0000-0000-0000982C0000}"/>
    <cellStyle name="Normal 2 2 2 2 2 2 28 13" xfId="11417" xr:uid="{00000000-0005-0000-0000-0000992C0000}"/>
    <cellStyle name="Normal 2 2 2 2 2 2 28 14" xfId="11418" xr:uid="{00000000-0005-0000-0000-00009A2C0000}"/>
    <cellStyle name="Normal 2 2 2 2 2 2 28 2" xfId="11419" xr:uid="{00000000-0005-0000-0000-00009B2C0000}"/>
    <cellStyle name="Normal 2 2 2 2 2 2 28 2 10" xfId="11420" xr:uid="{00000000-0005-0000-0000-00009C2C0000}"/>
    <cellStyle name="Normal 2 2 2 2 2 2 28 2 2" xfId="11421" xr:uid="{00000000-0005-0000-0000-00009D2C0000}"/>
    <cellStyle name="Normal 2 2 2 2 2 2 28 2 3" xfId="11422" xr:uid="{00000000-0005-0000-0000-00009E2C0000}"/>
    <cellStyle name="Normal 2 2 2 2 2 2 28 2 4" xfId="11423" xr:uid="{00000000-0005-0000-0000-00009F2C0000}"/>
    <cellStyle name="Normal 2 2 2 2 2 2 28 2 5" xfId="11424" xr:uid="{00000000-0005-0000-0000-0000A02C0000}"/>
    <cellStyle name="Normal 2 2 2 2 2 2 28 2 6" xfId="11425" xr:uid="{00000000-0005-0000-0000-0000A12C0000}"/>
    <cellStyle name="Normal 2 2 2 2 2 2 28 2 7" xfId="11426" xr:uid="{00000000-0005-0000-0000-0000A22C0000}"/>
    <cellStyle name="Normal 2 2 2 2 2 2 28 2 8" xfId="11427" xr:uid="{00000000-0005-0000-0000-0000A32C0000}"/>
    <cellStyle name="Normal 2 2 2 2 2 2 28 2 9" xfId="11428" xr:uid="{00000000-0005-0000-0000-0000A42C0000}"/>
    <cellStyle name="Normal 2 2 2 2 2 2 28 3" xfId="11429" xr:uid="{00000000-0005-0000-0000-0000A52C0000}"/>
    <cellStyle name="Normal 2 2 2 2 2 2 28 3 10" xfId="11430" xr:uid="{00000000-0005-0000-0000-0000A62C0000}"/>
    <cellStyle name="Normal 2 2 2 2 2 2 28 3 2" xfId="11431" xr:uid="{00000000-0005-0000-0000-0000A72C0000}"/>
    <cellStyle name="Normal 2 2 2 2 2 2 28 3 3" xfId="11432" xr:uid="{00000000-0005-0000-0000-0000A82C0000}"/>
    <cellStyle name="Normal 2 2 2 2 2 2 28 3 4" xfId="11433" xr:uid="{00000000-0005-0000-0000-0000A92C0000}"/>
    <cellStyle name="Normal 2 2 2 2 2 2 28 3 5" xfId="11434" xr:uid="{00000000-0005-0000-0000-0000AA2C0000}"/>
    <cellStyle name="Normal 2 2 2 2 2 2 28 3 6" xfId="11435" xr:uid="{00000000-0005-0000-0000-0000AB2C0000}"/>
    <cellStyle name="Normal 2 2 2 2 2 2 28 3 7" xfId="11436" xr:uid="{00000000-0005-0000-0000-0000AC2C0000}"/>
    <cellStyle name="Normal 2 2 2 2 2 2 28 3 8" xfId="11437" xr:uid="{00000000-0005-0000-0000-0000AD2C0000}"/>
    <cellStyle name="Normal 2 2 2 2 2 2 28 3 9" xfId="11438" xr:uid="{00000000-0005-0000-0000-0000AE2C0000}"/>
    <cellStyle name="Normal 2 2 2 2 2 2 28 4" xfId="11439" xr:uid="{00000000-0005-0000-0000-0000AF2C0000}"/>
    <cellStyle name="Normal 2 2 2 2 2 2 28 4 10" xfId="11440" xr:uid="{00000000-0005-0000-0000-0000B02C0000}"/>
    <cellStyle name="Normal 2 2 2 2 2 2 28 4 2" xfId="11441" xr:uid="{00000000-0005-0000-0000-0000B12C0000}"/>
    <cellStyle name="Normal 2 2 2 2 2 2 28 4 3" xfId="11442" xr:uid="{00000000-0005-0000-0000-0000B22C0000}"/>
    <cellStyle name="Normal 2 2 2 2 2 2 28 4 4" xfId="11443" xr:uid="{00000000-0005-0000-0000-0000B32C0000}"/>
    <cellStyle name="Normal 2 2 2 2 2 2 28 4 5" xfId="11444" xr:uid="{00000000-0005-0000-0000-0000B42C0000}"/>
    <cellStyle name="Normal 2 2 2 2 2 2 28 4 6" xfId="11445" xr:uid="{00000000-0005-0000-0000-0000B52C0000}"/>
    <cellStyle name="Normal 2 2 2 2 2 2 28 4 7" xfId="11446" xr:uid="{00000000-0005-0000-0000-0000B62C0000}"/>
    <cellStyle name="Normal 2 2 2 2 2 2 28 4 8" xfId="11447" xr:uid="{00000000-0005-0000-0000-0000B72C0000}"/>
    <cellStyle name="Normal 2 2 2 2 2 2 28 4 9" xfId="11448" xr:uid="{00000000-0005-0000-0000-0000B82C0000}"/>
    <cellStyle name="Normal 2 2 2 2 2 2 28 5" xfId="11449" xr:uid="{00000000-0005-0000-0000-0000B92C0000}"/>
    <cellStyle name="Normal 2 2 2 2 2 2 28 5 10" xfId="11450" xr:uid="{00000000-0005-0000-0000-0000BA2C0000}"/>
    <cellStyle name="Normal 2 2 2 2 2 2 28 5 2" xfId="11451" xr:uid="{00000000-0005-0000-0000-0000BB2C0000}"/>
    <cellStyle name="Normal 2 2 2 2 2 2 28 5 3" xfId="11452" xr:uid="{00000000-0005-0000-0000-0000BC2C0000}"/>
    <cellStyle name="Normal 2 2 2 2 2 2 28 5 4" xfId="11453" xr:uid="{00000000-0005-0000-0000-0000BD2C0000}"/>
    <cellStyle name="Normal 2 2 2 2 2 2 28 5 5" xfId="11454" xr:uid="{00000000-0005-0000-0000-0000BE2C0000}"/>
    <cellStyle name="Normal 2 2 2 2 2 2 28 5 6" xfId="11455" xr:uid="{00000000-0005-0000-0000-0000BF2C0000}"/>
    <cellStyle name="Normal 2 2 2 2 2 2 28 5 7" xfId="11456" xr:uid="{00000000-0005-0000-0000-0000C02C0000}"/>
    <cellStyle name="Normal 2 2 2 2 2 2 28 5 8" xfId="11457" xr:uid="{00000000-0005-0000-0000-0000C12C0000}"/>
    <cellStyle name="Normal 2 2 2 2 2 2 28 5 9" xfId="11458" xr:uid="{00000000-0005-0000-0000-0000C22C0000}"/>
    <cellStyle name="Normal 2 2 2 2 2 2 28 6" xfId="11459" xr:uid="{00000000-0005-0000-0000-0000C32C0000}"/>
    <cellStyle name="Normal 2 2 2 2 2 2 28 7" xfId="11460" xr:uid="{00000000-0005-0000-0000-0000C42C0000}"/>
    <cellStyle name="Normal 2 2 2 2 2 2 28 8" xfId="11461" xr:uid="{00000000-0005-0000-0000-0000C52C0000}"/>
    <cellStyle name="Normal 2 2 2 2 2 2 28 9" xfId="11462" xr:uid="{00000000-0005-0000-0000-0000C62C0000}"/>
    <cellStyle name="Normal 2 2 2 2 2 2 29" xfId="11463" xr:uid="{00000000-0005-0000-0000-0000C72C0000}"/>
    <cellStyle name="Normal 2 2 2 2 2 2 29 10" xfId="11464" xr:uid="{00000000-0005-0000-0000-0000C82C0000}"/>
    <cellStyle name="Normal 2 2 2 2 2 2 29 11" xfId="11465" xr:uid="{00000000-0005-0000-0000-0000C92C0000}"/>
    <cellStyle name="Normal 2 2 2 2 2 2 29 12" xfId="11466" xr:uid="{00000000-0005-0000-0000-0000CA2C0000}"/>
    <cellStyle name="Normal 2 2 2 2 2 2 29 13" xfId="11467" xr:uid="{00000000-0005-0000-0000-0000CB2C0000}"/>
    <cellStyle name="Normal 2 2 2 2 2 2 29 14" xfId="11468" xr:uid="{00000000-0005-0000-0000-0000CC2C0000}"/>
    <cellStyle name="Normal 2 2 2 2 2 2 29 2" xfId="11469" xr:uid="{00000000-0005-0000-0000-0000CD2C0000}"/>
    <cellStyle name="Normal 2 2 2 2 2 2 29 2 10" xfId="11470" xr:uid="{00000000-0005-0000-0000-0000CE2C0000}"/>
    <cellStyle name="Normal 2 2 2 2 2 2 29 2 2" xfId="11471" xr:uid="{00000000-0005-0000-0000-0000CF2C0000}"/>
    <cellStyle name="Normal 2 2 2 2 2 2 29 2 3" xfId="11472" xr:uid="{00000000-0005-0000-0000-0000D02C0000}"/>
    <cellStyle name="Normal 2 2 2 2 2 2 29 2 4" xfId="11473" xr:uid="{00000000-0005-0000-0000-0000D12C0000}"/>
    <cellStyle name="Normal 2 2 2 2 2 2 29 2 5" xfId="11474" xr:uid="{00000000-0005-0000-0000-0000D22C0000}"/>
    <cellStyle name="Normal 2 2 2 2 2 2 29 2 6" xfId="11475" xr:uid="{00000000-0005-0000-0000-0000D32C0000}"/>
    <cellStyle name="Normal 2 2 2 2 2 2 29 2 7" xfId="11476" xr:uid="{00000000-0005-0000-0000-0000D42C0000}"/>
    <cellStyle name="Normal 2 2 2 2 2 2 29 2 8" xfId="11477" xr:uid="{00000000-0005-0000-0000-0000D52C0000}"/>
    <cellStyle name="Normal 2 2 2 2 2 2 29 2 9" xfId="11478" xr:uid="{00000000-0005-0000-0000-0000D62C0000}"/>
    <cellStyle name="Normal 2 2 2 2 2 2 29 3" xfId="11479" xr:uid="{00000000-0005-0000-0000-0000D72C0000}"/>
    <cellStyle name="Normal 2 2 2 2 2 2 29 3 10" xfId="11480" xr:uid="{00000000-0005-0000-0000-0000D82C0000}"/>
    <cellStyle name="Normal 2 2 2 2 2 2 29 3 2" xfId="11481" xr:uid="{00000000-0005-0000-0000-0000D92C0000}"/>
    <cellStyle name="Normal 2 2 2 2 2 2 29 3 3" xfId="11482" xr:uid="{00000000-0005-0000-0000-0000DA2C0000}"/>
    <cellStyle name="Normal 2 2 2 2 2 2 29 3 4" xfId="11483" xr:uid="{00000000-0005-0000-0000-0000DB2C0000}"/>
    <cellStyle name="Normal 2 2 2 2 2 2 29 3 5" xfId="11484" xr:uid="{00000000-0005-0000-0000-0000DC2C0000}"/>
    <cellStyle name="Normal 2 2 2 2 2 2 29 3 6" xfId="11485" xr:uid="{00000000-0005-0000-0000-0000DD2C0000}"/>
    <cellStyle name="Normal 2 2 2 2 2 2 29 3 7" xfId="11486" xr:uid="{00000000-0005-0000-0000-0000DE2C0000}"/>
    <cellStyle name="Normal 2 2 2 2 2 2 29 3 8" xfId="11487" xr:uid="{00000000-0005-0000-0000-0000DF2C0000}"/>
    <cellStyle name="Normal 2 2 2 2 2 2 29 3 9" xfId="11488" xr:uid="{00000000-0005-0000-0000-0000E02C0000}"/>
    <cellStyle name="Normal 2 2 2 2 2 2 29 4" xfId="11489" xr:uid="{00000000-0005-0000-0000-0000E12C0000}"/>
    <cellStyle name="Normal 2 2 2 2 2 2 29 4 10" xfId="11490" xr:uid="{00000000-0005-0000-0000-0000E22C0000}"/>
    <cellStyle name="Normal 2 2 2 2 2 2 29 4 2" xfId="11491" xr:uid="{00000000-0005-0000-0000-0000E32C0000}"/>
    <cellStyle name="Normal 2 2 2 2 2 2 29 4 3" xfId="11492" xr:uid="{00000000-0005-0000-0000-0000E42C0000}"/>
    <cellStyle name="Normal 2 2 2 2 2 2 29 4 4" xfId="11493" xr:uid="{00000000-0005-0000-0000-0000E52C0000}"/>
    <cellStyle name="Normal 2 2 2 2 2 2 29 4 5" xfId="11494" xr:uid="{00000000-0005-0000-0000-0000E62C0000}"/>
    <cellStyle name="Normal 2 2 2 2 2 2 29 4 6" xfId="11495" xr:uid="{00000000-0005-0000-0000-0000E72C0000}"/>
    <cellStyle name="Normal 2 2 2 2 2 2 29 4 7" xfId="11496" xr:uid="{00000000-0005-0000-0000-0000E82C0000}"/>
    <cellStyle name="Normal 2 2 2 2 2 2 29 4 8" xfId="11497" xr:uid="{00000000-0005-0000-0000-0000E92C0000}"/>
    <cellStyle name="Normal 2 2 2 2 2 2 29 4 9" xfId="11498" xr:uid="{00000000-0005-0000-0000-0000EA2C0000}"/>
    <cellStyle name="Normal 2 2 2 2 2 2 29 5" xfId="11499" xr:uid="{00000000-0005-0000-0000-0000EB2C0000}"/>
    <cellStyle name="Normal 2 2 2 2 2 2 29 5 10" xfId="11500" xr:uid="{00000000-0005-0000-0000-0000EC2C0000}"/>
    <cellStyle name="Normal 2 2 2 2 2 2 29 5 2" xfId="11501" xr:uid="{00000000-0005-0000-0000-0000ED2C0000}"/>
    <cellStyle name="Normal 2 2 2 2 2 2 29 5 3" xfId="11502" xr:uid="{00000000-0005-0000-0000-0000EE2C0000}"/>
    <cellStyle name="Normal 2 2 2 2 2 2 29 5 4" xfId="11503" xr:uid="{00000000-0005-0000-0000-0000EF2C0000}"/>
    <cellStyle name="Normal 2 2 2 2 2 2 29 5 5" xfId="11504" xr:uid="{00000000-0005-0000-0000-0000F02C0000}"/>
    <cellStyle name="Normal 2 2 2 2 2 2 29 5 6" xfId="11505" xr:uid="{00000000-0005-0000-0000-0000F12C0000}"/>
    <cellStyle name="Normal 2 2 2 2 2 2 29 5 7" xfId="11506" xr:uid="{00000000-0005-0000-0000-0000F22C0000}"/>
    <cellStyle name="Normal 2 2 2 2 2 2 29 5 8" xfId="11507" xr:uid="{00000000-0005-0000-0000-0000F32C0000}"/>
    <cellStyle name="Normal 2 2 2 2 2 2 29 5 9" xfId="11508" xr:uid="{00000000-0005-0000-0000-0000F42C0000}"/>
    <cellStyle name="Normal 2 2 2 2 2 2 29 6" xfId="11509" xr:uid="{00000000-0005-0000-0000-0000F52C0000}"/>
    <cellStyle name="Normal 2 2 2 2 2 2 29 7" xfId="11510" xr:uid="{00000000-0005-0000-0000-0000F62C0000}"/>
    <cellStyle name="Normal 2 2 2 2 2 2 29 8" xfId="11511" xr:uid="{00000000-0005-0000-0000-0000F72C0000}"/>
    <cellStyle name="Normal 2 2 2 2 2 2 29 9" xfId="11512" xr:uid="{00000000-0005-0000-0000-0000F82C0000}"/>
    <cellStyle name="Normal 2 2 2 2 2 2 3" xfId="11513" xr:uid="{00000000-0005-0000-0000-0000F92C0000}"/>
    <cellStyle name="Normal 2 2 2 2 2 2 3 10" xfId="11514" xr:uid="{00000000-0005-0000-0000-0000FA2C0000}"/>
    <cellStyle name="Normal 2 2 2 2 2 2 3 11" xfId="11515" xr:uid="{00000000-0005-0000-0000-0000FB2C0000}"/>
    <cellStyle name="Normal 2 2 2 2 2 2 3 12" xfId="11516" xr:uid="{00000000-0005-0000-0000-0000FC2C0000}"/>
    <cellStyle name="Normal 2 2 2 2 2 2 3 13" xfId="11517" xr:uid="{00000000-0005-0000-0000-0000FD2C0000}"/>
    <cellStyle name="Normal 2 2 2 2 2 2 3 14" xfId="11518" xr:uid="{00000000-0005-0000-0000-0000FE2C0000}"/>
    <cellStyle name="Normal 2 2 2 2 2 2 3 15" xfId="11519" xr:uid="{00000000-0005-0000-0000-0000FF2C0000}"/>
    <cellStyle name="Normal 2 2 2 2 2 2 3 16" xfId="11520" xr:uid="{00000000-0005-0000-0000-0000002D0000}"/>
    <cellStyle name="Normal 2 2 2 2 2 2 3 2" xfId="11521" xr:uid="{00000000-0005-0000-0000-0000012D0000}"/>
    <cellStyle name="Normal 2 2 2 2 2 2 3 2 10" xfId="11522" xr:uid="{00000000-0005-0000-0000-0000022D0000}"/>
    <cellStyle name="Normal 2 2 2 2 2 2 3 2 2" xfId="11523" xr:uid="{00000000-0005-0000-0000-0000032D0000}"/>
    <cellStyle name="Normal 2 2 2 2 2 2 3 2 3" xfId="11524" xr:uid="{00000000-0005-0000-0000-0000042D0000}"/>
    <cellStyle name="Normal 2 2 2 2 2 2 3 2 4" xfId="11525" xr:uid="{00000000-0005-0000-0000-0000052D0000}"/>
    <cellStyle name="Normal 2 2 2 2 2 2 3 2 5" xfId="11526" xr:uid="{00000000-0005-0000-0000-0000062D0000}"/>
    <cellStyle name="Normal 2 2 2 2 2 2 3 2 6" xfId="11527" xr:uid="{00000000-0005-0000-0000-0000072D0000}"/>
    <cellStyle name="Normal 2 2 2 2 2 2 3 2 7" xfId="11528" xr:uid="{00000000-0005-0000-0000-0000082D0000}"/>
    <cellStyle name="Normal 2 2 2 2 2 2 3 2 8" xfId="11529" xr:uid="{00000000-0005-0000-0000-0000092D0000}"/>
    <cellStyle name="Normal 2 2 2 2 2 2 3 2 9" xfId="11530" xr:uid="{00000000-0005-0000-0000-00000A2D0000}"/>
    <cellStyle name="Normal 2 2 2 2 2 2 3 3" xfId="11531" xr:uid="{00000000-0005-0000-0000-00000B2D0000}"/>
    <cellStyle name="Normal 2 2 2 2 2 2 3 3 10" xfId="11532" xr:uid="{00000000-0005-0000-0000-00000C2D0000}"/>
    <cellStyle name="Normal 2 2 2 2 2 2 3 3 2" xfId="11533" xr:uid="{00000000-0005-0000-0000-00000D2D0000}"/>
    <cellStyle name="Normal 2 2 2 2 2 2 3 3 3" xfId="11534" xr:uid="{00000000-0005-0000-0000-00000E2D0000}"/>
    <cellStyle name="Normal 2 2 2 2 2 2 3 3 4" xfId="11535" xr:uid="{00000000-0005-0000-0000-00000F2D0000}"/>
    <cellStyle name="Normal 2 2 2 2 2 2 3 3 5" xfId="11536" xr:uid="{00000000-0005-0000-0000-0000102D0000}"/>
    <cellStyle name="Normal 2 2 2 2 2 2 3 3 6" xfId="11537" xr:uid="{00000000-0005-0000-0000-0000112D0000}"/>
    <cellStyle name="Normal 2 2 2 2 2 2 3 3 7" xfId="11538" xr:uid="{00000000-0005-0000-0000-0000122D0000}"/>
    <cellStyle name="Normal 2 2 2 2 2 2 3 3 8" xfId="11539" xr:uid="{00000000-0005-0000-0000-0000132D0000}"/>
    <cellStyle name="Normal 2 2 2 2 2 2 3 3 9" xfId="11540" xr:uid="{00000000-0005-0000-0000-0000142D0000}"/>
    <cellStyle name="Normal 2 2 2 2 2 2 3 4" xfId="11541" xr:uid="{00000000-0005-0000-0000-0000152D0000}"/>
    <cellStyle name="Normal 2 2 2 2 2 2 3 4 10" xfId="11542" xr:uid="{00000000-0005-0000-0000-0000162D0000}"/>
    <cellStyle name="Normal 2 2 2 2 2 2 3 4 2" xfId="11543" xr:uid="{00000000-0005-0000-0000-0000172D0000}"/>
    <cellStyle name="Normal 2 2 2 2 2 2 3 4 3" xfId="11544" xr:uid="{00000000-0005-0000-0000-0000182D0000}"/>
    <cellStyle name="Normal 2 2 2 2 2 2 3 4 4" xfId="11545" xr:uid="{00000000-0005-0000-0000-0000192D0000}"/>
    <cellStyle name="Normal 2 2 2 2 2 2 3 4 5" xfId="11546" xr:uid="{00000000-0005-0000-0000-00001A2D0000}"/>
    <cellStyle name="Normal 2 2 2 2 2 2 3 4 6" xfId="11547" xr:uid="{00000000-0005-0000-0000-00001B2D0000}"/>
    <cellStyle name="Normal 2 2 2 2 2 2 3 4 7" xfId="11548" xr:uid="{00000000-0005-0000-0000-00001C2D0000}"/>
    <cellStyle name="Normal 2 2 2 2 2 2 3 4 8" xfId="11549" xr:uid="{00000000-0005-0000-0000-00001D2D0000}"/>
    <cellStyle name="Normal 2 2 2 2 2 2 3 4 9" xfId="11550" xr:uid="{00000000-0005-0000-0000-00001E2D0000}"/>
    <cellStyle name="Normal 2 2 2 2 2 2 3 5" xfId="11551" xr:uid="{00000000-0005-0000-0000-00001F2D0000}"/>
    <cellStyle name="Normal 2 2 2 2 2 2 3 5 10" xfId="11552" xr:uid="{00000000-0005-0000-0000-0000202D0000}"/>
    <cellStyle name="Normal 2 2 2 2 2 2 3 5 2" xfId="11553" xr:uid="{00000000-0005-0000-0000-0000212D0000}"/>
    <cellStyle name="Normal 2 2 2 2 2 2 3 5 3" xfId="11554" xr:uid="{00000000-0005-0000-0000-0000222D0000}"/>
    <cellStyle name="Normal 2 2 2 2 2 2 3 5 4" xfId="11555" xr:uid="{00000000-0005-0000-0000-0000232D0000}"/>
    <cellStyle name="Normal 2 2 2 2 2 2 3 5 5" xfId="11556" xr:uid="{00000000-0005-0000-0000-0000242D0000}"/>
    <cellStyle name="Normal 2 2 2 2 2 2 3 5 6" xfId="11557" xr:uid="{00000000-0005-0000-0000-0000252D0000}"/>
    <cellStyle name="Normal 2 2 2 2 2 2 3 5 7" xfId="11558" xr:uid="{00000000-0005-0000-0000-0000262D0000}"/>
    <cellStyle name="Normal 2 2 2 2 2 2 3 5 8" xfId="11559" xr:uid="{00000000-0005-0000-0000-0000272D0000}"/>
    <cellStyle name="Normal 2 2 2 2 2 2 3 5 9" xfId="11560" xr:uid="{00000000-0005-0000-0000-0000282D0000}"/>
    <cellStyle name="Normal 2 2 2 2 2 2 3 6" xfId="11561" xr:uid="{00000000-0005-0000-0000-0000292D0000}"/>
    <cellStyle name="Normal 2 2 2 2 2 2 3 7" xfId="11562" xr:uid="{00000000-0005-0000-0000-00002A2D0000}"/>
    <cellStyle name="Normal 2 2 2 2 2 2 3 8" xfId="11563" xr:uid="{00000000-0005-0000-0000-00002B2D0000}"/>
    <cellStyle name="Normal 2 2 2 2 2 2 3 9" xfId="11564" xr:uid="{00000000-0005-0000-0000-00002C2D0000}"/>
    <cellStyle name="Normal 2 2 2 2 2 2 30" xfId="11565" xr:uid="{00000000-0005-0000-0000-00002D2D0000}"/>
    <cellStyle name="Normal 2 2 2 2 2 2 30 10" xfId="11566" xr:uid="{00000000-0005-0000-0000-00002E2D0000}"/>
    <cellStyle name="Normal 2 2 2 2 2 2 30 11" xfId="11567" xr:uid="{00000000-0005-0000-0000-00002F2D0000}"/>
    <cellStyle name="Normal 2 2 2 2 2 2 30 12" xfId="11568" xr:uid="{00000000-0005-0000-0000-0000302D0000}"/>
    <cellStyle name="Normal 2 2 2 2 2 2 30 13" xfId="11569" xr:uid="{00000000-0005-0000-0000-0000312D0000}"/>
    <cellStyle name="Normal 2 2 2 2 2 2 30 14" xfId="11570" xr:uid="{00000000-0005-0000-0000-0000322D0000}"/>
    <cellStyle name="Normal 2 2 2 2 2 2 30 2" xfId="11571" xr:uid="{00000000-0005-0000-0000-0000332D0000}"/>
    <cellStyle name="Normal 2 2 2 2 2 2 30 2 10" xfId="11572" xr:uid="{00000000-0005-0000-0000-0000342D0000}"/>
    <cellStyle name="Normal 2 2 2 2 2 2 30 2 2" xfId="11573" xr:uid="{00000000-0005-0000-0000-0000352D0000}"/>
    <cellStyle name="Normal 2 2 2 2 2 2 30 2 3" xfId="11574" xr:uid="{00000000-0005-0000-0000-0000362D0000}"/>
    <cellStyle name="Normal 2 2 2 2 2 2 30 2 4" xfId="11575" xr:uid="{00000000-0005-0000-0000-0000372D0000}"/>
    <cellStyle name="Normal 2 2 2 2 2 2 30 2 5" xfId="11576" xr:uid="{00000000-0005-0000-0000-0000382D0000}"/>
    <cellStyle name="Normal 2 2 2 2 2 2 30 2 6" xfId="11577" xr:uid="{00000000-0005-0000-0000-0000392D0000}"/>
    <cellStyle name="Normal 2 2 2 2 2 2 30 2 7" xfId="11578" xr:uid="{00000000-0005-0000-0000-00003A2D0000}"/>
    <cellStyle name="Normal 2 2 2 2 2 2 30 2 8" xfId="11579" xr:uid="{00000000-0005-0000-0000-00003B2D0000}"/>
    <cellStyle name="Normal 2 2 2 2 2 2 30 2 9" xfId="11580" xr:uid="{00000000-0005-0000-0000-00003C2D0000}"/>
    <cellStyle name="Normal 2 2 2 2 2 2 30 3" xfId="11581" xr:uid="{00000000-0005-0000-0000-00003D2D0000}"/>
    <cellStyle name="Normal 2 2 2 2 2 2 30 3 10" xfId="11582" xr:uid="{00000000-0005-0000-0000-00003E2D0000}"/>
    <cellStyle name="Normal 2 2 2 2 2 2 30 3 2" xfId="11583" xr:uid="{00000000-0005-0000-0000-00003F2D0000}"/>
    <cellStyle name="Normal 2 2 2 2 2 2 30 3 3" xfId="11584" xr:uid="{00000000-0005-0000-0000-0000402D0000}"/>
    <cellStyle name="Normal 2 2 2 2 2 2 30 3 4" xfId="11585" xr:uid="{00000000-0005-0000-0000-0000412D0000}"/>
    <cellStyle name="Normal 2 2 2 2 2 2 30 3 5" xfId="11586" xr:uid="{00000000-0005-0000-0000-0000422D0000}"/>
    <cellStyle name="Normal 2 2 2 2 2 2 30 3 6" xfId="11587" xr:uid="{00000000-0005-0000-0000-0000432D0000}"/>
    <cellStyle name="Normal 2 2 2 2 2 2 30 3 7" xfId="11588" xr:uid="{00000000-0005-0000-0000-0000442D0000}"/>
    <cellStyle name="Normal 2 2 2 2 2 2 30 3 8" xfId="11589" xr:uid="{00000000-0005-0000-0000-0000452D0000}"/>
    <cellStyle name="Normal 2 2 2 2 2 2 30 3 9" xfId="11590" xr:uid="{00000000-0005-0000-0000-0000462D0000}"/>
    <cellStyle name="Normal 2 2 2 2 2 2 30 4" xfId="11591" xr:uid="{00000000-0005-0000-0000-0000472D0000}"/>
    <cellStyle name="Normal 2 2 2 2 2 2 30 4 10" xfId="11592" xr:uid="{00000000-0005-0000-0000-0000482D0000}"/>
    <cellStyle name="Normal 2 2 2 2 2 2 30 4 2" xfId="11593" xr:uid="{00000000-0005-0000-0000-0000492D0000}"/>
    <cellStyle name="Normal 2 2 2 2 2 2 30 4 3" xfId="11594" xr:uid="{00000000-0005-0000-0000-00004A2D0000}"/>
    <cellStyle name="Normal 2 2 2 2 2 2 30 4 4" xfId="11595" xr:uid="{00000000-0005-0000-0000-00004B2D0000}"/>
    <cellStyle name="Normal 2 2 2 2 2 2 30 4 5" xfId="11596" xr:uid="{00000000-0005-0000-0000-00004C2D0000}"/>
    <cellStyle name="Normal 2 2 2 2 2 2 30 4 6" xfId="11597" xr:uid="{00000000-0005-0000-0000-00004D2D0000}"/>
    <cellStyle name="Normal 2 2 2 2 2 2 30 4 7" xfId="11598" xr:uid="{00000000-0005-0000-0000-00004E2D0000}"/>
    <cellStyle name="Normal 2 2 2 2 2 2 30 4 8" xfId="11599" xr:uid="{00000000-0005-0000-0000-00004F2D0000}"/>
    <cellStyle name="Normal 2 2 2 2 2 2 30 4 9" xfId="11600" xr:uid="{00000000-0005-0000-0000-0000502D0000}"/>
    <cellStyle name="Normal 2 2 2 2 2 2 30 5" xfId="11601" xr:uid="{00000000-0005-0000-0000-0000512D0000}"/>
    <cellStyle name="Normal 2 2 2 2 2 2 30 5 10" xfId="11602" xr:uid="{00000000-0005-0000-0000-0000522D0000}"/>
    <cellStyle name="Normal 2 2 2 2 2 2 30 5 2" xfId="11603" xr:uid="{00000000-0005-0000-0000-0000532D0000}"/>
    <cellStyle name="Normal 2 2 2 2 2 2 30 5 3" xfId="11604" xr:uid="{00000000-0005-0000-0000-0000542D0000}"/>
    <cellStyle name="Normal 2 2 2 2 2 2 30 5 4" xfId="11605" xr:uid="{00000000-0005-0000-0000-0000552D0000}"/>
    <cellStyle name="Normal 2 2 2 2 2 2 30 5 5" xfId="11606" xr:uid="{00000000-0005-0000-0000-0000562D0000}"/>
    <cellStyle name="Normal 2 2 2 2 2 2 30 5 6" xfId="11607" xr:uid="{00000000-0005-0000-0000-0000572D0000}"/>
    <cellStyle name="Normal 2 2 2 2 2 2 30 5 7" xfId="11608" xr:uid="{00000000-0005-0000-0000-0000582D0000}"/>
    <cellStyle name="Normal 2 2 2 2 2 2 30 5 8" xfId="11609" xr:uid="{00000000-0005-0000-0000-0000592D0000}"/>
    <cellStyle name="Normal 2 2 2 2 2 2 30 5 9" xfId="11610" xr:uid="{00000000-0005-0000-0000-00005A2D0000}"/>
    <cellStyle name="Normal 2 2 2 2 2 2 30 6" xfId="11611" xr:uid="{00000000-0005-0000-0000-00005B2D0000}"/>
    <cellStyle name="Normal 2 2 2 2 2 2 30 7" xfId="11612" xr:uid="{00000000-0005-0000-0000-00005C2D0000}"/>
    <cellStyle name="Normal 2 2 2 2 2 2 30 8" xfId="11613" xr:uid="{00000000-0005-0000-0000-00005D2D0000}"/>
    <cellStyle name="Normal 2 2 2 2 2 2 30 9" xfId="11614" xr:uid="{00000000-0005-0000-0000-00005E2D0000}"/>
    <cellStyle name="Normal 2 2 2 2 2 2 31" xfId="11615" xr:uid="{00000000-0005-0000-0000-00005F2D0000}"/>
    <cellStyle name="Normal 2 2 2 2 2 2 31 10" xfId="11616" xr:uid="{00000000-0005-0000-0000-0000602D0000}"/>
    <cellStyle name="Normal 2 2 2 2 2 2 31 11" xfId="11617" xr:uid="{00000000-0005-0000-0000-0000612D0000}"/>
    <cellStyle name="Normal 2 2 2 2 2 2 31 12" xfId="11618" xr:uid="{00000000-0005-0000-0000-0000622D0000}"/>
    <cellStyle name="Normal 2 2 2 2 2 2 31 13" xfId="11619" xr:uid="{00000000-0005-0000-0000-0000632D0000}"/>
    <cellStyle name="Normal 2 2 2 2 2 2 31 14" xfId="11620" xr:uid="{00000000-0005-0000-0000-0000642D0000}"/>
    <cellStyle name="Normal 2 2 2 2 2 2 31 2" xfId="11621" xr:uid="{00000000-0005-0000-0000-0000652D0000}"/>
    <cellStyle name="Normal 2 2 2 2 2 2 31 2 10" xfId="11622" xr:uid="{00000000-0005-0000-0000-0000662D0000}"/>
    <cellStyle name="Normal 2 2 2 2 2 2 31 2 2" xfId="11623" xr:uid="{00000000-0005-0000-0000-0000672D0000}"/>
    <cellStyle name="Normal 2 2 2 2 2 2 31 2 3" xfId="11624" xr:uid="{00000000-0005-0000-0000-0000682D0000}"/>
    <cellStyle name="Normal 2 2 2 2 2 2 31 2 4" xfId="11625" xr:uid="{00000000-0005-0000-0000-0000692D0000}"/>
    <cellStyle name="Normal 2 2 2 2 2 2 31 2 5" xfId="11626" xr:uid="{00000000-0005-0000-0000-00006A2D0000}"/>
    <cellStyle name="Normal 2 2 2 2 2 2 31 2 6" xfId="11627" xr:uid="{00000000-0005-0000-0000-00006B2D0000}"/>
    <cellStyle name="Normal 2 2 2 2 2 2 31 2 7" xfId="11628" xr:uid="{00000000-0005-0000-0000-00006C2D0000}"/>
    <cellStyle name="Normal 2 2 2 2 2 2 31 2 8" xfId="11629" xr:uid="{00000000-0005-0000-0000-00006D2D0000}"/>
    <cellStyle name="Normal 2 2 2 2 2 2 31 2 9" xfId="11630" xr:uid="{00000000-0005-0000-0000-00006E2D0000}"/>
    <cellStyle name="Normal 2 2 2 2 2 2 31 3" xfId="11631" xr:uid="{00000000-0005-0000-0000-00006F2D0000}"/>
    <cellStyle name="Normal 2 2 2 2 2 2 31 3 10" xfId="11632" xr:uid="{00000000-0005-0000-0000-0000702D0000}"/>
    <cellStyle name="Normal 2 2 2 2 2 2 31 3 2" xfId="11633" xr:uid="{00000000-0005-0000-0000-0000712D0000}"/>
    <cellStyle name="Normal 2 2 2 2 2 2 31 3 3" xfId="11634" xr:uid="{00000000-0005-0000-0000-0000722D0000}"/>
    <cellStyle name="Normal 2 2 2 2 2 2 31 3 4" xfId="11635" xr:uid="{00000000-0005-0000-0000-0000732D0000}"/>
    <cellStyle name="Normal 2 2 2 2 2 2 31 3 5" xfId="11636" xr:uid="{00000000-0005-0000-0000-0000742D0000}"/>
    <cellStyle name="Normal 2 2 2 2 2 2 31 3 6" xfId="11637" xr:uid="{00000000-0005-0000-0000-0000752D0000}"/>
    <cellStyle name="Normal 2 2 2 2 2 2 31 3 7" xfId="11638" xr:uid="{00000000-0005-0000-0000-0000762D0000}"/>
    <cellStyle name="Normal 2 2 2 2 2 2 31 3 8" xfId="11639" xr:uid="{00000000-0005-0000-0000-0000772D0000}"/>
    <cellStyle name="Normal 2 2 2 2 2 2 31 3 9" xfId="11640" xr:uid="{00000000-0005-0000-0000-0000782D0000}"/>
    <cellStyle name="Normal 2 2 2 2 2 2 31 4" xfId="11641" xr:uid="{00000000-0005-0000-0000-0000792D0000}"/>
    <cellStyle name="Normal 2 2 2 2 2 2 31 4 10" xfId="11642" xr:uid="{00000000-0005-0000-0000-00007A2D0000}"/>
    <cellStyle name="Normal 2 2 2 2 2 2 31 4 2" xfId="11643" xr:uid="{00000000-0005-0000-0000-00007B2D0000}"/>
    <cellStyle name="Normal 2 2 2 2 2 2 31 4 3" xfId="11644" xr:uid="{00000000-0005-0000-0000-00007C2D0000}"/>
    <cellStyle name="Normal 2 2 2 2 2 2 31 4 4" xfId="11645" xr:uid="{00000000-0005-0000-0000-00007D2D0000}"/>
    <cellStyle name="Normal 2 2 2 2 2 2 31 4 5" xfId="11646" xr:uid="{00000000-0005-0000-0000-00007E2D0000}"/>
    <cellStyle name="Normal 2 2 2 2 2 2 31 4 6" xfId="11647" xr:uid="{00000000-0005-0000-0000-00007F2D0000}"/>
    <cellStyle name="Normal 2 2 2 2 2 2 31 4 7" xfId="11648" xr:uid="{00000000-0005-0000-0000-0000802D0000}"/>
    <cellStyle name="Normal 2 2 2 2 2 2 31 4 8" xfId="11649" xr:uid="{00000000-0005-0000-0000-0000812D0000}"/>
    <cellStyle name="Normal 2 2 2 2 2 2 31 4 9" xfId="11650" xr:uid="{00000000-0005-0000-0000-0000822D0000}"/>
    <cellStyle name="Normal 2 2 2 2 2 2 31 5" xfId="11651" xr:uid="{00000000-0005-0000-0000-0000832D0000}"/>
    <cellStyle name="Normal 2 2 2 2 2 2 31 5 10" xfId="11652" xr:uid="{00000000-0005-0000-0000-0000842D0000}"/>
    <cellStyle name="Normal 2 2 2 2 2 2 31 5 2" xfId="11653" xr:uid="{00000000-0005-0000-0000-0000852D0000}"/>
    <cellStyle name="Normal 2 2 2 2 2 2 31 5 3" xfId="11654" xr:uid="{00000000-0005-0000-0000-0000862D0000}"/>
    <cellStyle name="Normal 2 2 2 2 2 2 31 5 4" xfId="11655" xr:uid="{00000000-0005-0000-0000-0000872D0000}"/>
    <cellStyle name="Normal 2 2 2 2 2 2 31 5 5" xfId="11656" xr:uid="{00000000-0005-0000-0000-0000882D0000}"/>
    <cellStyle name="Normal 2 2 2 2 2 2 31 5 6" xfId="11657" xr:uid="{00000000-0005-0000-0000-0000892D0000}"/>
    <cellStyle name="Normal 2 2 2 2 2 2 31 5 7" xfId="11658" xr:uid="{00000000-0005-0000-0000-00008A2D0000}"/>
    <cellStyle name="Normal 2 2 2 2 2 2 31 5 8" xfId="11659" xr:uid="{00000000-0005-0000-0000-00008B2D0000}"/>
    <cellStyle name="Normal 2 2 2 2 2 2 31 5 9" xfId="11660" xr:uid="{00000000-0005-0000-0000-00008C2D0000}"/>
    <cellStyle name="Normal 2 2 2 2 2 2 31 6" xfId="11661" xr:uid="{00000000-0005-0000-0000-00008D2D0000}"/>
    <cellStyle name="Normal 2 2 2 2 2 2 31 7" xfId="11662" xr:uid="{00000000-0005-0000-0000-00008E2D0000}"/>
    <cellStyle name="Normal 2 2 2 2 2 2 31 8" xfId="11663" xr:uid="{00000000-0005-0000-0000-00008F2D0000}"/>
    <cellStyle name="Normal 2 2 2 2 2 2 31 9" xfId="11664" xr:uid="{00000000-0005-0000-0000-0000902D0000}"/>
    <cellStyle name="Normal 2 2 2 2 2 2 32" xfId="11665" xr:uid="{00000000-0005-0000-0000-0000912D0000}"/>
    <cellStyle name="Normal 2 2 2 2 2 2 32 10" xfId="11666" xr:uid="{00000000-0005-0000-0000-0000922D0000}"/>
    <cellStyle name="Normal 2 2 2 2 2 2 32 11" xfId="11667" xr:uid="{00000000-0005-0000-0000-0000932D0000}"/>
    <cellStyle name="Normal 2 2 2 2 2 2 32 12" xfId="11668" xr:uid="{00000000-0005-0000-0000-0000942D0000}"/>
    <cellStyle name="Normal 2 2 2 2 2 2 32 13" xfId="11669" xr:uid="{00000000-0005-0000-0000-0000952D0000}"/>
    <cellStyle name="Normal 2 2 2 2 2 2 32 14" xfId="11670" xr:uid="{00000000-0005-0000-0000-0000962D0000}"/>
    <cellStyle name="Normal 2 2 2 2 2 2 32 2" xfId="11671" xr:uid="{00000000-0005-0000-0000-0000972D0000}"/>
    <cellStyle name="Normal 2 2 2 2 2 2 32 2 10" xfId="11672" xr:uid="{00000000-0005-0000-0000-0000982D0000}"/>
    <cellStyle name="Normal 2 2 2 2 2 2 32 2 2" xfId="11673" xr:uid="{00000000-0005-0000-0000-0000992D0000}"/>
    <cellStyle name="Normal 2 2 2 2 2 2 32 2 3" xfId="11674" xr:uid="{00000000-0005-0000-0000-00009A2D0000}"/>
    <cellStyle name="Normal 2 2 2 2 2 2 32 2 4" xfId="11675" xr:uid="{00000000-0005-0000-0000-00009B2D0000}"/>
    <cellStyle name="Normal 2 2 2 2 2 2 32 2 5" xfId="11676" xr:uid="{00000000-0005-0000-0000-00009C2D0000}"/>
    <cellStyle name="Normal 2 2 2 2 2 2 32 2 6" xfId="11677" xr:uid="{00000000-0005-0000-0000-00009D2D0000}"/>
    <cellStyle name="Normal 2 2 2 2 2 2 32 2 7" xfId="11678" xr:uid="{00000000-0005-0000-0000-00009E2D0000}"/>
    <cellStyle name="Normal 2 2 2 2 2 2 32 2 8" xfId="11679" xr:uid="{00000000-0005-0000-0000-00009F2D0000}"/>
    <cellStyle name="Normal 2 2 2 2 2 2 32 2 9" xfId="11680" xr:uid="{00000000-0005-0000-0000-0000A02D0000}"/>
    <cellStyle name="Normal 2 2 2 2 2 2 32 3" xfId="11681" xr:uid="{00000000-0005-0000-0000-0000A12D0000}"/>
    <cellStyle name="Normal 2 2 2 2 2 2 32 3 10" xfId="11682" xr:uid="{00000000-0005-0000-0000-0000A22D0000}"/>
    <cellStyle name="Normal 2 2 2 2 2 2 32 3 2" xfId="11683" xr:uid="{00000000-0005-0000-0000-0000A32D0000}"/>
    <cellStyle name="Normal 2 2 2 2 2 2 32 3 3" xfId="11684" xr:uid="{00000000-0005-0000-0000-0000A42D0000}"/>
    <cellStyle name="Normal 2 2 2 2 2 2 32 3 4" xfId="11685" xr:uid="{00000000-0005-0000-0000-0000A52D0000}"/>
    <cellStyle name="Normal 2 2 2 2 2 2 32 3 5" xfId="11686" xr:uid="{00000000-0005-0000-0000-0000A62D0000}"/>
    <cellStyle name="Normal 2 2 2 2 2 2 32 3 6" xfId="11687" xr:uid="{00000000-0005-0000-0000-0000A72D0000}"/>
    <cellStyle name="Normal 2 2 2 2 2 2 32 3 7" xfId="11688" xr:uid="{00000000-0005-0000-0000-0000A82D0000}"/>
    <cellStyle name="Normal 2 2 2 2 2 2 32 3 8" xfId="11689" xr:uid="{00000000-0005-0000-0000-0000A92D0000}"/>
    <cellStyle name="Normal 2 2 2 2 2 2 32 3 9" xfId="11690" xr:uid="{00000000-0005-0000-0000-0000AA2D0000}"/>
    <cellStyle name="Normal 2 2 2 2 2 2 32 4" xfId="11691" xr:uid="{00000000-0005-0000-0000-0000AB2D0000}"/>
    <cellStyle name="Normal 2 2 2 2 2 2 32 4 10" xfId="11692" xr:uid="{00000000-0005-0000-0000-0000AC2D0000}"/>
    <cellStyle name="Normal 2 2 2 2 2 2 32 4 2" xfId="11693" xr:uid="{00000000-0005-0000-0000-0000AD2D0000}"/>
    <cellStyle name="Normal 2 2 2 2 2 2 32 4 3" xfId="11694" xr:uid="{00000000-0005-0000-0000-0000AE2D0000}"/>
    <cellStyle name="Normal 2 2 2 2 2 2 32 4 4" xfId="11695" xr:uid="{00000000-0005-0000-0000-0000AF2D0000}"/>
    <cellStyle name="Normal 2 2 2 2 2 2 32 4 5" xfId="11696" xr:uid="{00000000-0005-0000-0000-0000B02D0000}"/>
    <cellStyle name="Normal 2 2 2 2 2 2 32 4 6" xfId="11697" xr:uid="{00000000-0005-0000-0000-0000B12D0000}"/>
    <cellStyle name="Normal 2 2 2 2 2 2 32 4 7" xfId="11698" xr:uid="{00000000-0005-0000-0000-0000B22D0000}"/>
    <cellStyle name="Normal 2 2 2 2 2 2 32 4 8" xfId="11699" xr:uid="{00000000-0005-0000-0000-0000B32D0000}"/>
    <cellStyle name="Normal 2 2 2 2 2 2 32 4 9" xfId="11700" xr:uid="{00000000-0005-0000-0000-0000B42D0000}"/>
    <cellStyle name="Normal 2 2 2 2 2 2 32 5" xfId="11701" xr:uid="{00000000-0005-0000-0000-0000B52D0000}"/>
    <cellStyle name="Normal 2 2 2 2 2 2 32 5 10" xfId="11702" xr:uid="{00000000-0005-0000-0000-0000B62D0000}"/>
    <cellStyle name="Normal 2 2 2 2 2 2 32 5 2" xfId="11703" xr:uid="{00000000-0005-0000-0000-0000B72D0000}"/>
    <cellStyle name="Normal 2 2 2 2 2 2 32 5 3" xfId="11704" xr:uid="{00000000-0005-0000-0000-0000B82D0000}"/>
    <cellStyle name="Normal 2 2 2 2 2 2 32 5 4" xfId="11705" xr:uid="{00000000-0005-0000-0000-0000B92D0000}"/>
    <cellStyle name="Normal 2 2 2 2 2 2 32 5 5" xfId="11706" xr:uid="{00000000-0005-0000-0000-0000BA2D0000}"/>
    <cellStyle name="Normal 2 2 2 2 2 2 32 5 6" xfId="11707" xr:uid="{00000000-0005-0000-0000-0000BB2D0000}"/>
    <cellStyle name="Normal 2 2 2 2 2 2 32 5 7" xfId="11708" xr:uid="{00000000-0005-0000-0000-0000BC2D0000}"/>
    <cellStyle name="Normal 2 2 2 2 2 2 32 5 8" xfId="11709" xr:uid="{00000000-0005-0000-0000-0000BD2D0000}"/>
    <cellStyle name="Normal 2 2 2 2 2 2 32 5 9" xfId="11710" xr:uid="{00000000-0005-0000-0000-0000BE2D0000}"/>
    <cellStyle name="Normal 2 2 2 2 2 2 32 6" xfId="11711" xr:uid="{00000000-0005-0000-0000-0000BF2D0000}"/>
    <cellStyle name="Normal 2 2 2 2 2 2 32 7" xfId="11712" xr:uid="{00000000-0005-0000-0000-0000C02D0000}"/>
    <cellStyle name="Normal 2 2 2 2 2 2 32 8" xfId="11713" xr:uid="{00000000-0005-0000-0000-0000C12D0000}"/>
    <cellStyle name="Normal 2 2 2 2 2 2 32 9" xfId="11714" xr:uid="{00000000-0005-0000-0000-0000C22D0000}"/>
    <cellStyle name="Normal 2 2 2 2 2 2 33" xfId="11715" xr:uid="{00000000-0005-0000-0000-0000C32D0000}"/>
    <cellStyle name="Normal 2 2 2 2 2 2 33 10" xfId="11716" xr:uid="{00000000-0005-0000-0000-0000C42D0000}"/>
    <cellStyle name="Normal 2 2 2 2 2 2 33 11" xfId="11717" xr:uid="{00000000-0005-0000-0000-0000C52D0000}"/>
    <cellStyle name="Normal 2 2 2 2 2 2 33 12" xfId="11718" xr:uid="{00000000-0005-0000-0000-0000C62D0000}"/>
    <cellStyle name="Normal 2 2 2 2 2 2 33 13" xfId="11719" xr:uid="{00000000-0005-0000-0000-0000C72D0000}"/>
    <cellStyle name="Normal 2 2 2 2 2 2 33 14" xfId="11720" xr:uid="{00000000-0005-0000-0000-0000C82D0000}"/>
    <cellStyle name="Normal 2 2 2 2 2 2 33 2" xfId="11721" xr:uid="{00000000-0005-0000-0000-0000C92D0000}"/>
    <cellStyle name="Normal 2 2 2 2 2 2 33 2 10" xfId="11722" xr:uid="{00000000-0005-0000-0000-0000CA2D0000}"/>
    <cellStyle name="Normal 2 2 2 2 2 2 33 2 2" xfId="11723" xr:uid="{00000000-0005-0000-0000-0000CB2D0000}"/>
    <cellStyle name="Normal 2 2 2 2 2 2 33 2 3" xfId="11724" xr:uid="{00000000-0005-0000-0000-0000CC2D0000}"/>
    <cellStyle name="Normal 2 2 2 2 2 2 33 2 4" xfId="11725" xr:uid="{00000000-0005-0000-0000-0000CD2D0000}"/>
    <cellStyle name="Normal 2 2 2 2 2 2 33 2 5" xfId="11726" xr:uid="{00000000-0005-0000-0000-0000CE2D0000}"/>
    <cellStyle name="Normal 2 2 2 2 2 2 33 2 6" xfId="11727" xr:uid="{00000000-0005-0000-0000-0000CF2D0000}"/>
    <cellStyle name="Normal 2 2 2 2 2 2 33 2 7" xfId="11728" xr:uid="{00000000-0005-0000-0000-0000D02D0000}"/>
    <cellStyle name="Normal 2 2 2 2 2 2 33 2 8" xfId="11729" xr:uid="{00000000-0005-0000-0000-0000D12D0000}"/>
    <cellStyle name="Normal 2 2 2 2 2 2 33 2 9" xfId="11730" xr:uid="{00000000-0005-0000-0000-0000D22D0000}"/>
    <cellStyle name="Normal 2 2 2 2 2 2 33 3" xfId="11731" xr:uid="{00000000-0005-0000-0000-0000D32D0000}"/>
    <cellStyle name="Normal 2 2 2 2 2 2 33 3 10" xfId="11732" xr:uid="{00000000-0005-0000-0000-0000D42D0000}"/>
    <cellStyle name="Normal 2 2 2 2 2 2 33 3 2" xfId="11733" xr:uid="{00000000-0005-0000-0000-0000D52D0000}"/>
    <cellStyle name="Normal 2 2 2 2 2 2 33 3 3" xfId="11734" xr:uid="{00000000-0005-0000-0000-0000D62D0000}"/>
    <cellStyle name="Normal 2 2 2 2 2 2 33 3 4" xfId="11735" xr:uid="{00000000-0005-0000-0000-0000D72D0000}"/>
    <cellStyle name="Normal 2 2 2 2 2 2 33 3 5" xfId="11736" xr:uid="{00000000-0005-0000-0000-0000D82D0000}"/>
    <cellStyle name="Normal 2 2 2 2 2 2 33 3 6" xfId="11737" xr:uid="{00000000-0005-0000-0000-0000D92D0000}"/>
    <cellStyle name="Normal 2 2 2 2 2 2 33 3 7" xfId="11738" xr:uid="{00000000-0005-0000-0000-0000DA2D0000}"/>
    <cellStyle name="Normal 2 2 2 2 2 2 33 3 8" xfId="11739" xr:uid="{00000000-0005-0000-0000-0000DB2D0000}"/>
    <cellStyle name="Normal 2 2 2 2 2 2 33 3 9" xfId="11740" xr:uid="{00000000-0005-0000-0000-0000DC2D0000}"/>
    <cellStyle name="Normal 2 2 2 2 2 2 33 4" xfId="11741" xr:uid="{00000000-0005-0000-0000-0000DD2D0000}"/>
    <cellStyle name="Normal 2 2 2 2 2 2 33 4 10" xfId="11742" xr:uid="{00000000-0005-0000-0000-0000DE2D0000}"/>
    <cellStyle name="Normal 2 2 2 2 2 2 33 4 2" xfId="11743" xr:uid="{00000000-0005-0000-0000-0000DF2D0000}"/>
    <cellStyle name="Normal 2 2 2 2 2 2 33 4 3" xfId="11744" xr:uid="{00000000-0005-0000-0000-0000E02D0000}"/>
    <cellStyle name="Normal 2 2 2 2 2 2 33 4 4" xfId="11745" xr:uid="{00000000-0005-0000-0000-0000E12D0000}"/>
    <cellStyle name="Normal 2 2 2 2 2 2 33 4 5" xfId="11746" xr:uid="{00000000-0005-0000-0000-0000E22D0000}"/>
    <cellStyle name="Normal 2 2 2 2 2 2 33 4 6" xfId="11747" xr:uid="{00000000-0005-0000-0000-0000E32D0000}"/>
    <cellStyle name="Normal 2 2 2 2 2 2 33 4 7" xfId="11748" xr:uid="{00000000-0005-0000-0000-0000E42D0000}"/>
    <cellStyle name="Normal 2 2 2 2 2 2 33 4 8" xfId="11749" xr:uid="{00000000-0005-0000-0000-0000E52D0000}"/>
    <cellStyle name="Normal 2 2 2 2 2 2 33 4 9" xfId="11750" xr:uid="{00000000-0005-0000-0000-0000E62D0000}"/>
    <cellStyle name="Normal 2 2 2 2 2 2 33 5" xfId="11751" xr:uid="{00000000-0005-0000-0000-0000E72D0000}"/>
    <cellStyle name="Normal 2 2 2 2 2 2 33 5 10" xfId="11752" xr:uid="{00000000-0005-0000-0000-0000E82D0000}"/>
    <cellStyle name="Normal 2 2 2 2 2 2 33 5 2" xfId="11753" xr:uid="{00000000-0005-0000-0000-0000E92D0000}"/>
    <cellStyle name="Normal 2 2 2 2 2 2 33 5 3" xfId="11754" xr:uid="{00000000-0005-0000-0000-0000EA2D0000}"/>
    <cellStyle name="Normal 2 2 2 2 2 2 33 5 4" xfId="11755" xr:uid="{00000000-0005-0000-0000-0000EB2D0000}"/>
    <cellStyle name="Normal 2 2 2 2 2 2 33 5 5" xfId="11756" xr:uid="{00000000-0005-0000-0000-0000EC2D0000}"/>
    <cellStyle name="Normal 2 2 2 2 2 2 33 5 6" xfId="11757" xr:uid="{00000000-0005-0000-0000-0000ED2D0000}"/>
    <cellStyle name="Normal 2 2 2 2 2 2 33 5 7" xfId="11758" xr:uid="{00000000-0005-0000-0000-0000EE2D0000}"/>
    <cellStyle name="Normal 2 2 2 2 2 2 33 5 8" xfId="11759" xr:uid="{00000000-0005-0000-0000-0000EF2D0000}"/>
    <cellStyle name="Normal 2 2 2 2 2 2 33 5 9" xfId="11760" xr:uid="{00000000-0005-0000-0000-0000F02D0000}"/>
    <cellStyle name="Normal 2 2 2 2 2 2 33 6" xfId="11761" xr:uid="{00000000-0005-0000-0000-0000F12D0000}"/>
    <cellStyle name="Normal 2 2 2 2 2 2 33 7" xfId="11762" xr:uid="{00000000-0005-0000-0000-0000F22D0000}"/>
    <cellStyle name="Normal 2 2 2 2 2 2 33 8" xfId="11763" xr:uid="{00000000-0005-0000-0000-0000F32D0000}"/>
    <cellStyle name="Normal 2 2 2 2 2 2 33 9" xfId="11764" xr:uid="{00000000-0005-0000-0000-0000F42D0000}"/>
    <cellStyle name="Normal 2 2 2 2 2 2 34" xfId="11765" xr:uid="{00000000-0005-0000-0000-0000F52D0000}"/>
    <cellStyle name="Normal 2 2 2 2 2 2 34 10" xfId="11766" xr:uid="{00000000-0005-0000-0000-0000F62D0000}"/>
    <cellStyle name="Normal 2 2 2 2 2 2 34 2" xfId="11767" xr:uid="{00000000-0005-0000-0000-0000F72D0000}"/>
    <cellStyle name="Normal 2 2 2 2 2 2 34 3" xfId="11768" xr:uid="{00000000-0005-0000-0000-0000F82D0000}"/>
    <cellStyle name="Normal 2 2 2 2 2 2 34 4" xfId="11769" xr:uid="{00000000-0005-0000-0000-0000F92D0000}"/>
    <cellStyle name="Normal 2 2 2 2 2 2 34 5" xfId="11770" xr:uid="{00000000-0005-0000-0000-0000FA2D0000}"/>
    <cellStyle name="Normal 2 2 2 2 2 2 34 6" xfId="11771" xr:uid="{00000000-0005-0000-0000-0000FB2D0000}"/>
    <cellStyle name="Normal 2 2 2 2 2 2 34 7" xfId="11772" xr:uid="{00000000-0005-0000-0000-0000FC2D0000}"/>
    <cellStyle name="Normal 2 2 2 2 2 2 34 8" xfId="11773" xr:uid="{00000000-0005-0000-0000-0000FD2D0000}"/>
    <cellStyle name="Normal 2 2 2 2 2 2 34 9" xfId="11774" xr:uid="{00000000-0005-0000-0000-0000FE2D0000}"/>
    <cellStyle name="Normal 2 2 2 2 2 2 35" xfId="11775" xr:uid="{00000000-0005-0000-0000-0000FF2D0000}"/>
    <cellStyle name="Normal 2 2 2 2 2 2 35 10" xfId="11776" xr:uid="{00000000-0005-0000-0000-0000002E0000}"/>
    <cellStyle name="Normal 2 2 2 2 2 2 35 2" xfId="11777" xr:uid="{00000000-0005-0000-0000-0000012E0000}"/>
    <cellStyle name="Normal 2 2 2 2 2 2 35 3" xfId="11778" xr:uid="{00000000-0005-0000-0000-0000022E0000}"/>
    <cellStyle name="Normal 2 2 2 2 2 2 35 4" xfId="11779" xr:uid="{00000000-0005-0000-0000-0000032E0000}"/>
    <cellStyle name="Normal 2 2 2 2 2 2 35 5" xfId="11780" xr:uid="{00000000-0005-0000-0000-0000042E0000}"/>
    <cellStyle name="Normal 2 2 2 2 2 2 35 6" xfId="11781" xr:uid="{00000000-0005-0000-0000-0000052E0000}"/>
    <cellStyle name="Normal 2 2 2 2 2 2 35 7" xfId="11782" xr:uid="{00000000-0005-0000-0000-0000062E0000}"/>
    <cellStyle name="Normal 2 2 2 2 2 2 35 8" xfId="11783" xr:uid="{00000000-0005-0000-0000-0000072E0000}"/>
    <cellStyle name="Normal 2 2 2 2 2 2 35 9" xfId="11784" xr:uid="{00000000-0005-0000-0000-0000082E0000}"/>
    <cellStyle name="Normal 2 2 2 2 2 2 36" xfId="11785" xr:uid="{00000000-0005-0000-0000-0000092E0000}"/>
    <cellStyle name="Normal 2 2 2 2 2 2 36 10" xfId="11786" xr:uid="{00000000-0005-0000-0000-00000A2E0000}"/>
    <cellStyle name="Normal 2 2 2 2 2 2 36 2" xfId="11787" xr:uid="{00000000-0005-0000-0000-00000B2E0000}"/>
    <cellStyle name="Normal 2 2 2 2 2 2 36 3" xfId="11788" xr:uid="{00000000-0005-0000-0000-00000C2E0000}"/>
    <cellStyle name="Normal 2 2 2 2 2 2 36 4" xfId="11789" xr:uid="{00000000-0005-0000-0000-00000D2E0000}"/>
    <cellStyle name="Normal 2 2 2 2 2 2 36 5" xfId="11790" xr:uid="{00000000-0005-0000-0000-00000E2E0000}"/>
    <cellStyle name="Normal 2 2 2 2 2 2 36 6" xfId="11791" xr:uid="{00000000-0005-0000-0000-00000F2E0000}"/>
    <cellStyle name="Normal 2 2 2 2 2 2 36 7" xfId="11792" xr:uid="{00000000-0005-0000-0000-0000102E0000}"/>
    <cellStyle name="Normal 2 2 2 2 2 2 36 8" xfId="11793" xr:uid="{00000000-0005-0000-0000-0000112E0000}"/>
    <cellStyle name="Normal 2 2 2 2 2 2 36 9" xfId="11794" xr:uid="{00000000-0005-0000-0000-0000122E0000}"/>
    <cellStyle name="Normal 2 2 2 2 2 2 37" xfId="11795" xr:uid="{00000000-0005-0000-0000-0000132E0000}"/>
    <cellStyle name="Normal 2 2 2 2 2 2 37 10" xfId="11796" xr:uid="{00000000-0005-0000-0000-0000142E0000}"/>
    <cellStyle name="Normal 2 2 2 2 2 2 37 2" xfId="11797" xr:uid="{00000000-0005-0000-0000-0000152E0000}"/>
    <cellStyle name="Normal 2 2 2 2 2 2 37 3" xfId="11798" xr:uid="{00000000-0005-0000-0000-0000162E0000}"/>
    <cellStyle name="Normal 2 2 2 2 2 2 37 4" xfId="11799" xr:uid="{00000000-0005-0000-0000-0000172E0000}"/>
    <cellStyle name="Normal 2 2 2 2 2 2 37 5" xfId="11800" xr:uid="{00000000-0005-0000-0000-0000182E0000}"/>
    <cellStyle name="Normal 2 2 2 2 2 2 37 6" xfId="11801" xr:uid="{00000000-0005-0000-0000-0000192E0000}"/>
    <cellStyle name="Normal 2 2 2 2 2 2 37 7" xfId="11802" xr:uid="{00000000-0005-0000-0000-00001A2E0000}"/>
    <cellStyle name="Normal 2 2 2 2 2 2 37 8" xfId="11803" xr:uid="{00000000-0005-0000-0000-00001B2E0000}"/>
    <cellStyle name="Normal 2 2 2 2 2 2 37 9" xfId="11804" xr:uid="{00000000-0005-0000-0000-00001C2E0000}"/>
    <cellStyle name="Normal 2 2 2 2 2 2 38" xfId="11805" xr:uid="{00000000-0005-0000-0000-00001D2E0000}"/>
    <cellStyle name="Normal 2 2 2 2 2 2 39" xfId="11806" xr:uid="{00000000-0005-0000-0000-00001E2E0000}"/>
    <cellStyle name="Normal 2 2 2 2 2 2 4" xfId="11807" xr:uid="{00000000-0005-0000-0000-00001F2E0000}"/>
    <cellStyle name="Normal 2 2 2 2 2 2 4 10" xfId="11808" xr:uid="{00000000-0005-0000-0000-0000202E0000}"/>
    <cellStyle name="Normal 2 2 2 2 2 2 4 11" xfId="11809" xr:uid="{00000000-0005-0000-0000-0000212E0000}"/>
    <cellStyle name="Normal 2 2 2 2 2 2 4 12" xfId="11810" xr:uid="{00000000-0005-0000-0000-0000222E0000}"/>
    <cellStyle name="Normal 2 2 2 2 2 2 4 13" xfId="11811" xr:uid="{00000000-0005-0000-0000-0000232E0000}"/>
    <cellStyle name="Normal 2 2 2 2 2 2 4 14" xfId="11812" xr:uid="{00000000-0005-0000-0000-0000242E0000}"/>
    <cellStyle name="Normal 2 2 2 2 2 2 4 2" xfId="11813" xr:uid="{00000000-0005-0000-0000-0000252E0000}"/>
    <cellStyle name="Normal 2 2 2 2 2 2 4 2 10" xfId="11814" xr:uid="{00000000-0005-0000-0000-0000262E0000}"/>
    <cellStyle name="Normal 2 2 2 2 2 2 4 2 2" xfId="11815" xr:uid="{00000000-0005-0000-0000-0000272E0000}"/>
    <cellStyle name="Normal 2 2 2 2 2 2 4 2 3" xfId="11816" xr:uid="{00000000-0005-0000-0000-0000282E0000}"/>
    <cellStyle name="Normal 2 2 2 2 2 2 4 2 4" xfId="11817" xr:uid="{00000000-0005-0000-0000-0000292E0000}"/>
    <cellStyle name="Normal 2 2 2 2 2 2 4 2 5" xfId="11818" xr:uid="{00000000-0005-0000-0000-00002A2E0000}"/>
    <cellStyle name="Normal 2 2 2 2 2 2 4 2 6" xfId="11819" xr:uid="{00000000-0005-0000-0000-00002B2E0000}"/>
    <cellStyle name="Normal 2 2 2 2 2 2 4 2 7" xfId="11820" xr:uid="{00000000-0005-0000-0000-00002C2E0000}"/>
    <cellStyle name="Normal 2 2 2 2 2 2 4 2 8" xfId="11821" xr:uid="{00000000-0005-0000-0000-00002D2E0000}"/>
    <cellStyle name="Normal 2 2 2 2 2 2 4 2 9" xfId="11822" xr:uid="{00000000-0005-0000-0000-00002E2E0000}"/>
    <cellStyle name="Normal 2 2 2 2 2 2 4 3" xfId="11823" xr:uid="{00000000-0005-0000-0000-00002F2E0000}"/>
    <cellStyle name="Normal 2 2 2 2 2 2 4 3 10" xfId="11824" xr:uid="{00000000-0005-0000-0000-0000302E0000}"/>
    <cellStyle name="Normal 2 2 2 2 2 2 4 3 2" xfId="11825" xr:uid="{00000000-0005-0000-0000-0000312E0000}"/>
    <cellStyle name="Normal 2 2 2 2 2 2 4 3 3" xfId="11826" xr:uid="{00000000-0005-0000-0000-0000322E0000}"/>
    <cellStyle name="Normal 2 2 2 2 2 2 4 3 4" xfId="11827" xr:uid="{00000000-0005-0000-0000-0000332E0000}"/>
    <cellStyle name="Normal 2 2 2 2 2 2 4 3 5" xfId="11828" xr:uid="{00000000-0005-0000-0000-0000342E0000}"/>
    <cellStyle name="Normal 2 2 2 2 2 2 4 3 6" xfId="11829" xr:uid="{00000000-0005-0000-0000-0000352E0000}"/>
    <cellStyle name="Normal 2 2 2 2 2 2 4 3 7" xfId="11830" xr:uid="{00000000-0005-0000-0000-0000362E0000}"/>
    <cellStyle name="Normal 2 2 2 2 2 2 4 3 8" xfId="11831" xr:uid="{00000000-0005-0000-0000-0000372E0000}"/>
    <cellStyle name="Normal 2 2 2 2 2 2 4 3 9" xfId="11832" xr:uid="{00000000-0005-0000-0000-0000382E0000}"/>
    <cellStyle name="Normal 2 2 2 2 2 2 4 4" xfId="11833" xr:uid="{00000000-0005-0000-0000-0000392E0000}"/>
    <cellStyle name="Normal 2 2 2 2 2 2 4 4 10" xfId="11834" xr:uid="{00000000-0005-0000-0000-00003A2E0000}"/>
    <cellStyle name="Normal 2 2 2 2 2 2 4 4 2" xfId="11835" xr:uid="{00000000-0005-0000-0000-00003B2E0000}"/>
    <cellStyle name="Normal 2 2 2 2 2 2 4 4 3" xfId="11836" xr:uid="{00000000-0005-0000-0000-00003C2E0000}"/>
    <cellStyle name="Normal 2 2 2 2 2 2 4 4 4" xfId="11837" xr:uid="{00000000-0005-0000-0000-00003D2E0000}"/>
    <cellStyle name="Normal 2 2 2 2 2 2 4 4 5" xfId="11838" xr:uid="{00000000-0005-0000-0000-00003E2E0000}"/>
    <cellStyle name="Normal 2 2 2 2 2 2 4 4 6" xfId="11839" xr:uid="{00000000-0005-0000-0000-00003F2E0000}"/>
    <cellStyle name="Normal 2 2 2 2 2 2 4 4 7" xfId="11840" xr:uid="{00000000-0005-0000-0000-0000402E0000}"/>
    <cellStyle name="Normal 2 2 2 2 2 2 4 4 8" xfId="11841" xr:uid="{00000000-0005-0000-0000-0000412E0000}"/>
    <cellStyle name="Normal 2 2 2 2 2 2 4 4 9" xfId="11842" xr:uid="{00000000-0005-0000-0000-0000422E0000}"/>
    <cellStyle name="Normal 2 2 2 2 2 2 4 5" xfId="11843" xr:uid="{00000000-0005-0000-0000-0000432E0000}"/>
    <cellStyle name="Normal 2 2 2 2 2 2 4 5 10" xfId="11844" xr:uid="{00000000-0005-0000-0000-0000442E0000}"/>
    <cellStyle name="Normal 2 2 2 2 2 2 4 5 2" xfId="11845" xr:uid="{00000000-0005-0000-0000-0000452E0000}"/>
    <cellStyle name="Normal 2 2 2 2 2 2 4 5 3" xfId="11846" xr:uid="{00000000-0005-0000-0000-0000462E0000}"/>
    <cellStyle name="Normal 2 2 2 2 2 2 4 5 4" xfId="11847" xr:uid="{00000000-0005-0000-0000-0000472E0000}"/>
    <cellStyle name="Normal 2 2 2 2 2 2 4 5 5" xfId="11848" xr:uid="{00000000-0005-0000-0000-0000482E0000}"/>
    <cellStyle name="Normal 2 2 2 2 2 2 4 5 6" xfId="11849" xr:uid="{00000000-0005-0000-0000-0000492E0000}"/>
    <cellStyle name="Normal 2 2 2 2 2 2 4 5 7" xfId="11850" xr:uid="{00000000-0005-0000-0000-00004A2E0000}"/>
    <cellStyle name="Normal 2 2 2 2 2 2 4 5 8" xfId="11851" xr:uid="{00000000-0005-0000-0000-00004B2E0000}"/>
    <cellStyle name="Normal 2 2 2 2 2 2 4 5 9" xfId="11852" xr:uid="{00000000-0005-0000-0000-00004C2E0000}"/>
    <cellStyle name="Normal 2 2 2 2 2 2 4 6" xfId="11853" xr:uid="{00000000-0005-0000-0000-00004D2E0000}"/>
    <cellStyle name="Normal 2 2 2 2 2 2 4 7" xfId="11854" xr:uid="{00000000-0005-0000-0000-00004E2E0000}"/>
    <cellStyle name="Normal 2 2 2 2 2 2 4 8" xfId="11855" xr:uid="{00000000-0005-0000-0000-00004F2E0000}"/>
    <cellStyle name="Normal 2 2 2 2 2 2 4 9" xfId="11856" xr:uid="{00000000-0005-0000-0000-0000502E0000}"/>
    <cellStyle name="Normal 2 2 2 2 2 2 40" xfId="11857" xr:uid="{00000000-0005-0000-0000-0000512E0000}"/>
    <cellStyle name="Normal 2 2 2 2 2 2 41" xfId="11858" xr:uid="{00000000-0005-0000-0000-0000522E0000}"/>
    <cellStyle name="Normal 2 2 2 2 2 2 42" xfId="11859" xr:uid="{00000000-0005-0000-0000-0000532E0000}"/>
    <cellStyle name="Normal 2 2 2 2 2 2 43" xfId="11860" xr:uid="{00000000-0005-0000-0000-0000542E0000}"/>
    <cellStyle name="Normal 2 2 2 2 2 2 44" xfId="11861" xr:uid="{00000000-0005-0000-0000-0000552E0000}"/>
    <cellStyle name="Normal 2 2 2 2 2 2 45" xfId="11862" xr:uid="{00000000-0005-0000-0000-0000562E0000}"/>
    <cellStyle name="Normal 2 2 2 2 2 2 46" xfId="11863" xr:uid="{00000000-0005-0000-0000-0000572E0000}"/>
    <cellStyle name="Normal 2 2 2 2 2 2 47" xfId="11864" xr:uid="{00000000-0005-0000-0000-0000582E0000}"/>
    <cellStyle name="Normal 2 2 2 2 2 2 48" xfId="11865" xr:uid="{00000000-0005-0000-0000-0000592E0000}"/>
    <cellStyle name="Normal 2 2 2 2 2 2 5" xfId="11866" xr:uid="{00000000-0005-0000-0000-00005A2E0000}"/>
    <cellStyle name="Normal 2 2 2 2 2 2 5 10" xfId="11867" xr:uid="{00000000-0005-0000-0000-00005B2E0000}"/>
    <cellStyle name="Normal 2 2 2 2 2 2 5 11" xfId="11868" xr:uid="{00000000-0005-0000-0000-00005C2E0000}"/>
    <cellStyle name="Normal 2 2 2 2 2 2 5 12" xfId="11869" xr:uid="{00000000-0005-0000-0000-00005D2E0000}"/>
    <cellStyle name="Normal 2 2 2 2 2 2 5 13" xfId="11870" xr:uid="{00000000-0005-0000-0000-00005E2E0000}"/>
    <cellStyle name="Normal 2 2 2 2 2 2 5 14" xfId="11871" xr:uid="{00000000-0005-0000-0000-00005F2E0000}"/>
    <cellStyle name="Normal 2 2 2 2 2 2 5 2" xfId="11872" xr:uid="{00000000-0005-0000-0000-0000602E0000}"/>
    <cellStyle name="Normal 2 2 2 2 2 2 5 2 10" xfId="11873" xr:uid="{00000000-0005-0000-0000-0000612E0000}"/>
    <cellStyle name="Normal 2 2 2 2 2 2 5 2 2" xfId="11874" xr:uid="{00000000-0005-0000-0000-0000622E0000}"/>
    <cellStyle name="Normal 2 2 2 2 2 2 5 2 3" xfId="11875" xr:uid="{00000000-0005-0000-0000-0000632E0000}"/>
    <cellStyle name="Normal 2 2 2 2 2 2 5 2 4" xfId="11876" xr:uid="{00000000-0005-0000-0000-0000642E0000}"/>
    <cellStyle name="Normal 2 2 2 2 2 2 5 2 5" xfId="11877" xr:uid="{00000000-0005-0000-0000-0000652E0000}"/>
    <cellStyle name="Normal 2 2 2 2 2 2 5 2 6" xfId="11878" xr:uid="{00000000-0005-0000-0000-0000662E0000}"/>
    <cellStyle name="Normal 2 2 2 2 2 2 5 2 7" xfId="11879" xr:uid="{00000000-0005-0000-0000-0000672E0000}"/>
    <cellStyle name="Normal 2 2 2 2 2 2 5 2 8" xfId="11880" xr:uid="{00000000-0005-0000-0000-0000682E0000}"/>
    <cellStyle name="Normal 2 2 2 2 2 2 5 2 9" xfId="11881" xr:uid="{00000000-0005-0000-0000-0000692E0000}"/>
    <cellStyle name="Normal 2 2 2 2 2 2 5 3" xfId="11882" xr:uid="{00000000-0005-0000-0000-00006A2E0000}"/>
    <cellStyle name="Normal 2 2 2 2 2 2 5 3 10" xfId="11883" xr:uid="{00000000-0005-0000-0000-00006B2E0000}"/>
    <cellStyle name="Normal 2 2 2 2 2 2 5 3 2" xfId="11884" xr:uid="{00000000-0005-0000-0000-00006C2E0000}"/>
    <cellStyle name="Normal 2 2 2 2 2 2 5 3 3" xfId="11885" xr:uid="{00000000-0005-0000-0000-00006D2E0000}"/>
    <cellStyle name="Normal 2 2 2 2 2 2 5 3 4" xfId="11886" xr:uid="{00000000-0005-0000-0000-00006E2E0000}"/>
    <cellStyle name="Normal 2 2 2 2 2 2 5 3 5" xfId="11887" xr:uid="{00000000-0005-0000-0000-00006F2E0000}"/>
    <cellStyle name="Normal 2 2 2 2 2 2 5 3 6" xfId="11888" xr:uid="{00000000-0005-0000-0000-0000702E0000}"/>
    <cellStyle name="Normal 2 2 2 2 2 2 5 3 7" xfId="11889" xr:uid="{00000000-0005-0000-0000-0000712E0000}"/>
    <cellStyle name="Normal 2 2 2 2 2 2 5 3 8" xfId="11890" xr:uid="{00000000-0005-0000-0000-0000722E0000}"/>
    <cellStyle name="Normal 2 2 2 2 2 2 5 3 9" xfId="11891" xr:uid="{00000000-0005-0000-0000-0000732E0000}"/>
    <cellStyle name="Normal 2 2 2 2 2 2 5 4" xfId="11892" xr:uid="{00000000-0005-0000-0000-0000742E0000}"/>
    <cellStyle name="Normal 2 2 2 2 2 2 5 4 10" xfId="11893" xr:uid="{00000000-0005-0000-0000-0000752E0000}"/>
    <cellStyle name="Normal 2 2 2 2 2 2 5 4 2" xfId="11894" xr:uid="{00000000-0005-0000-0000-0000762E0000}"/>
    <cellStyle name="Normal 2 2 2 2 2 2 5 4 3" xfId="11895" xr:uid="{00000000-0005-0000-0000-0000772E0000}"/>
    <cellStyle name="Normal 2 2 2 2 2 2 5 4 4" xfId="11896" xr:uid="{00000000-0005-0000-0000-0000782E0000}"/>
    <cellStyle name="Normal 2 2 2 2 2 2 5 4 5" xfId="11897" xr:uid="{00000000-0005-0000-0000-0000792E0000}"/>
    <cellStyle name="Normal 2 2 2 2 2 2 5 4 6" xfId="11898" xr:uid="{00000000-0005-0000-0000-00007A2E0000}"/>
    <cellStyle name="Normal 2 2 2 2 2 2 5 4 7" xfId="11899" xr:uid="{00000000-0005-0000-0000-00007B2E0000}"/>
    <cellStyle name="Normal 2 2 2 2 2 2 5 4 8" xfId="11900" xr:uid="{00000000-0005-0000-0000-00007C2E0000}"/>
    <cellStyle name="Normal 2 2 2 2 2 2 5 4 9" xfId="11901" xr:uid="{00000000-0005-0000-0000-00007D2E0000}"/>
    <cellStyle name="Normal 2 2 2 2 2 2 5 5" xfId="11902" xr:uid="{00000000-0005-0000-0000-00007E2E0000}"/>
    <cellStyle name="Normal 2 2 2 2 2 2 5 5 10" xfId="11903" xr:uid="{00000000-0005-0000-0000-00007F2E0000}"/>
    <cellStyle name="Normal 2 2 2 2 2 2 5 5 2" xfId="11904" xr:uid="{00000000-0005-0000-0000-0000802E0000}"/>
    <cellStyle name="Normal 2 2 2 2 2 2 5 5 3" xfId="11905" xr:uid="{00000000-0005-0000-0000-0000812E0000}"/>
    <cellStyle name="Normal 2 2 2 2 2 2 5 5 4" xfId="11906" xr:uid="{00000000-0005-0000-0000-0000822E0000}"/>
    <cellStyle name="Normal 2 2 2 2 2 2 5 5 5" xfId="11907" xr:uid="{00000000-0005-0000-0000-0000832E0000}"/>
    <cellStyle name="Normal 2 2 2 2 2 2 5 5 6" xfId="11908" xr:uid="{00000000-0005-0000-0000-0000842E0000}"/>
    <cellStyle name="Normal 2 2 2 2 2 2 5 5 7" xfId="11909" xr:uid="{00000000-0005-0000-0000-0000852E0000}"/>
    <cellStyle name="Normal 2 2 2 2 2 2 5 5 8" xfId="11910" xr:uid="{00000000-0005-0000-0000-0000862E0000}"/>
    <cellStyle name="Normal 2 2 2 2 2 2 5 5 9" xfId="11911" xr:uid="{00000000-0005-0000-0000-0000872E0000}"/>
    <cellStyle name="Normal 2 2 2 2 2 2 5 6" xfId="11912" xr:uid="{00000000-0005-0000-0000-0000882E0000}"/>
    <cellStyle name="Normal 2 2 2 2 2 2 5 7" xfId="11913" xr:uid="{00000000-0005-0000-0000-0000892E0000}"/>
    <cellStyle name="Normal 2 2 2 2 2 2 5 8" xfId="11914" xr:uid="{00000000-0005-0000-0000-00008A2E0000}"/>
    <cellStyle name="Normal 2 2 2 2 2 2 5 9" xfId="11915" xr:uid="{00000000-0005-0000-0000-00008B2E0000}"/>
    <cellStyle name="Normal 2 2 2 2 2 2 6" xfId="11916" xr:uid="{00000000-0005-0000-0000-00008C2E0000}"/>
    <cellStyle name="Normal 2 2 2 2 2 2 6 10" xfId="11917" xr:uid="{00000000-0005-0000-0000-00008D2E0000}"/>
    <cellStyle name="Normal 2 2 2 2 2 2 6 11" xfId="11918" xr:uid="{00000000-0005-0000-0000-00008E2E0000}"/>
    <cellStyle name="Normal 2 2 2 2 2 2 6 12" xfId="11919" xr:uid="{00000000-0005-0000-0000-00008F2E0000}"/>
    <cellStyle name="Normal 2 2 2 2 2 2 6 13" xfId="11920" xr:uid="{00000000-0005-0000-0000-0000902E0000}"/>
    <cellStyle name="Normal 2 2 2 2 2 2 6 14" xfId="11921" xr:uid="{00000000-0005-0000-0000-0000912E0000}"/>
    <cellStyle name="Normal 2 2 2 2 2 2 6 2" xfId="11922" xr:uid="{00000000-0005-0000-0000-0000922E0000}"/>
    <cellStyle name="Normal 2 2 2 2 2 2 6 2 10" xfId="11923" xr:uid="{00000000-0005-0000-0000-0000932E0000}"/>
    <cellStyle name="Normal 2 2 2 2 2 2 6 2 2" xfId="11924" xr:uid="{00000000-0005-0000-0000-0000942E0000}"/>
    <cellStyle name="Normal 2 2 2 2 2 2 6 2 3" xfId="11925" xr:uid="{00000000-0005-0000-0000-0000952E0000}"/>
    <cellStyle name="Normal 2 2 2 2 2 2 6 2 4" xfId="11926" xr:uid="{00000000-0005-0000-0000-0000962E0000}"/>
    <cellStyle name="Normal 2 2 2 2 2 2 6 2 5" xfId="11927" xr:uid="{00000000-0005-0000-0000-0000972E0000}"/>
    <cellStyle name="Normal 2 2 2 2 2 2 6 2 6" xfId="11928" xr:uid="{00000000-0005-0000-0000-0000982E0000}"/>
    <cellStyle name="Normal 2 2 2 2 2 2 6 2 7" xfId="11929" xr:uid="{00000000-0005-0000-0000-0000992E0000}"/>
    <cellStyle name="Normal 2 2 2 2 2 2 6 2 8" xfId="11930" xr:uid="{00000000-0005-0000-0000-00009A2E0000}"/>
    <cellStyle name="Normal 2 2 2 2 2 2 6 2 9" xfId="11931" xr:uid="{00000000-0005-0000-0000-00009B2E0000}"/>
    <cellStyle name="Normal 2 2 2 2 2 2 6 3" xfId="11932" xr:uid="{00000000-0005-0000-0000-00009C2E0000}"/>
    <cellStyle name="Normal 2 2 2 2 2 2 6 3 10" xfId="11933" xr:uid="{00000000-0005-0000-0000-00009D2E0000}"/>
    <cellStyle name="Normal 2 2 2 2 2 2 6 3 2" xfId="11934" xr:uid="{00000000-0005-0000-0000-00009E2E0000}"/>
    <cellStyle name="Normal 2 2 2 2 2 2 6 3 3" xfId="11935" xr:uid="{00000000-0005-0000-0000-00009F2E0000}"/>
    <cellStyle name="Normal 2 2 2 2 2 2 6 3 4" xfId="11936" xr:uid="{00000000-0005-0000-0000-0000A02E0000}"/>
    <cellStyle name="Normal 2 2 2 2 2 2 6 3 5" xfId="11937" xr:uid="{00000000-0005-0000-0000-0000A12E0000}"/>
    <cellStyle name="Normal 2 2 2 2 2 2 6 3 6" xfId="11938" xr:uid="{00000000-0005-0000-0000-0000A22E0000}"/>
    <cellStyle name="Normal 2 2 2 2 2 2 6 3 7" xfId="11939" xr:uid="{00000000-0005-0000-0000-0000A32E0000}"/>
    <cellStyle name="Normal 2 2 2 2 2 2 6 3 8" xfId="11940" xr:uid="{00000000-0005-0000-0000-0000A42E0000}"/>
    <cellStyle name="Normal 2 2 2 2 2 2 6 3 9" xfId="11941" xr:uid="{00000000-0005-0000-0000-0000A52E0000}"/>
    <cellStyle name="Normal 2 2 2 2 2 2 6 4" xfId="11942" xr:uid="{00000000-0005-0000-0000-0000A62E0000}"/>
    <cellStyle name="Normal 2 2 2 2 2 2 6 4 10" xfId="11943" xr:uid="{00000000-0005-0000-0000-0000A72E0000}"/>
    <cellStyle name="Normal 2 2 2 2 2 2 6 4 2" xfId="11944" xr:uid="{00000000-0005-0000-0000-0000A82E0000}"/>
    <cellStyle name="Normal 2 2 2 2 2 2 6 4 3" xfId="11945" xr:uid="{00000000-0005-0000-0000-0000A92E0000}"/>
    <cellStyle name="Normal 2 2 2 2 2 2 6 4 4" xfId="11946" xr:uid="{00000000-0005-0000-0000-0000AA2E0000}"/>
    <cellStyle name="Normal 2 2 2 2 2 2 6 4 5" xfId="11947" xr:uid="{00000000-0005-0000-0000-0000AB2E0000}"/>
    <cellStyle name="Normal 2 2 2 2 2 2 6 4 6" xfId="11948" xr:uid="{00000000-0005-0000-0000-0000AC2E0000}"/>
    <cellStyle name="Normal 2 2 2 2 2 2 6 4 7" xfId="11949" xr:uid="{00000000-0005-0000-0000-0000AD2E0000}"/>
    <cellStyle name="Normal 2 2 2 2 2 2 6 4 8" xfId="11950" xr:uid="{00000000-0005-0000-0000-0000AE2E0000}"/>
    <cellStyle name="Normal 2 2 2 2 2 2 6 4 9" xfId="11951" xr:uid="{00000000-0005-0000-0000-0000AF2E0000}"/>
    <cellStyle name="Normal 2 2 2 2 2 2 6 5" xfId="11952" xr:uid="{00000000-0005-0000-0000-0000B02E0000}"/>
    <cellStyle name="Normal 2 2 2 2 2 2 6 5 10" xfId="11953" xr:uid="{00000000-0005-0000-0000-0000B12E0000}"/>
    <cellStyle name="Normal 2 2 2 2 2 2 6 5 2" xfId="11954" xr:uid="{00000000-0005-0000-0000-0000B22E0000}"/>
    <cellStyle name="Normal 2 2 2 2 2 2 6 5 3" xfId="11955" xr:uid="{00000000-0005-0000-0000-0000B32E0000}"/>
    <cellStyle name="Normal 2 2 2 2 2 2 6 5 4" xfId="11956" xr:uid="{00000000-0005-0000-0000-0000B42E0000}"/>
    <cellStyle name="Normal 2 2 2 2 2 2 6 5 5" xfId="11957" xr:uid="{00000000-0005-0000-0000-0000B52E0000}"/>
    <cellStyle name="Normal 2 2 2 2 2 2 6 5 6" xfId="11958" xr:uid="{00000000-0005-0000-0000-0000B62E0000}"/>
    <cellStyle name="Normal 2 2 2 2 2 2 6 5 7" xfId="11959" xr:uid="{00000000-0005-0000-0000-0000B72E0000}"/>
    <cellStyle name="Normal 2 2 2 2 2 2 6 5 8" xfId="11960" xr:uid="{00000000-0005-0000-0000-0000B82E0000}"/>
    <cellStyle name="Normal 2 2 2 2 2 2 6 5 9" xfId="11961" xr:uid="{00000000-0005-0000-0000-0000B92E0000}"/>
    <cellStyle name="Normal 2 2 2 2 2 2 6 6" xfId="11962" xr:uid="{00000000-0005-0000-0000-0000BA2E0000}"/>
    <cellStyle name="Normal 2 2 2 2 2 2 6 7" xfId="11963" xr:uid="{00000000-0005-0000-0000-0000BB2E0000}"/>
    <cellStyle name="Normal 2 2 2 2 2 2 6 8" xfId="11964" xr:uid="{00000000-0005-0000-0000-0000BC2E0000}"/>
    <cellStyle name="Normal 2 2 2 2 2 2 6 9" xfId="11965" xr:uid="{00000000-0005-0000-0000-0000BD2E0000}"/>
    <cellStyle name="Normal 2 2 2 2 2 2 7" xfId="11966" xr:uid="{00000000-0005-0000-0000-0000BE2E0000}"/>
    <cellStyle name="Normal 2 2 2 2 2 2 7 10" xfId="11967" xr:uid="{00000000-0005-0000-0000-0000BF2E0000}"/>
    <cellStyle name="Normal 2 2 2 2 2 2 7 11" xfId="11968" xr:uid="{00000000-0005-0000-0000-0000C02E0000}"/>
    <cellStyle name="Normal 2 2 2 2 2 2 7 12" xfId="11969" xr:uid="{00000000-0005-0000-0000-0000C12E0000}"/>
    <cellStyle name="Normal 2 2 2 2 2 2 7 13" xfId="11970" xr:uid="{00000000-0005-0000-0000-0000C22E0000}"/>
    <cellStyle name="Normal 2 2 2 2 2 2 7 14" xfId="11971" xr:uid="{00000000-0005-0000-0000-0000C32E0000}"/>
    <cellStyle name="Normal 2 2 2 2 2 2 7 2" xfId="11972" xr:uid="{00000000-0005-0000-0000-0000C42E0000}"/>
    <cellStyle name="Normal 2 2 2 2 2 2 7 2 10" xfId="11973" xr:uid="{00000000-0005-0000-0000-0000C52E0000}"/>
    <cellStyle name="Normal 2 2 2 2 2 2 7 2 2" xfId="11974" xr:uid="{00000000-0005-0000-0000-0000C62E0000}"/>
    <cellStyle name="Normal 2 2 2 2 2 2 7 2 3" xfId="11975" xr:uid="{00000000-0005-0000-0000-0000C72E0000}"/>
    <cellStyle name="Normal 2 2 2 2 2 2 7 2 4" xfId="11976" xr:uid="{00000000-0005-0000-0000-0000C82E0000}"/>
    <cellStyle name="Normal 2 2 2 2 2 2 7 2 5" xfId="11977" xr:uid="{00000000-0005-0000-0000-0000C92E0000}"/>
    <cellStyle name="Normal 2 2 2 2 2 2 7 2 6" xfId="11978" xr:uid="{00000000-0005-0000-0000-0000CA2E0000}"/>
    <cellStyle name="Normal 2 2 2 2 2 2 7 2 7" xfId="11979" xr:uid="{00000000-0005-0000-0000-0000CB2E0000}"/>
    <cellStyle name="Normal 2 2 2 2 2 2 7 2 8" xfId="11980" xr:uid="{00000000-0005-0000-0000-0000CC2E0000}"/>
    <cellStyle name="Normal 2 2 2 2 2 2 7 2 9" xfId="11981" xr:uid="{00000000-0005-0000-0000-0000CD2E0000}"/>
    <cellStyle name="Normal 2 2 2 2 2 2 7 3" xfId="11982" xr:uid="{00000000-0005-0000-0000-0000CE2E0000}"/>
    <cellStyle name="Normal 2 2 2 2 2 2 7 3 10" xfId="11983" xr:uid="{00000000-0005-0000-0000-0000CF2E0000}"/>
    <cellStyle name="Normal 2 2 2 2 2 2 7 3 2" xfId="11984" xr:uid="{00000000-0005-0000-0000-0000D02E0000}"/>
    <cellStyle name="Normal 2 2 2 2 2 2 7 3 3" xfId="11985" xr:uid="{00000000-0005-0000-0000-0000D12E0000}"/>
    <cellStyle name="Normal 2 2 2 2 2 2 7 3 4" xfId="11986" xr:uid="{00000000-0005-0000-0000-0000D22E0000}"/>
    <cellStyle name="Normal 2 2 2 2 2 2 7 3 5" xfId="11987" xr:uid="{00000000-0005-0000-0000-0000D32E0000}"/>
    <cellStyle name="Normal 2 2 2 2 2 2 7 3 6" xfId="11988" xr:uid="{00000000-0005-0000-0000-0000D42E0000}"/>
    <cellStyle name="Normal 2 2 2 2 2 2 7 3 7" xfId="11989" xr:uid="{00000000-0005-0000-0000-0000D52E0000}"/>
    <cellStyle name="Normal 2 2 2 2 2 2 7 3 8" xfId="11990" xr:uid="{00000000-0005-0000-0000-0000D62E0000}"/>
    <cellStyle name="Normal 2 2 2 2 2 2 7 3 9" xfId="11991" xr:uid="{00000000-0005-0000-0000-0000D72E0000}"/>
    <cellStyle name="Normal 2 2 2 2 2 2 7 4" xfId="11992" xr:uid="{00000000-0005-0000-0000-0000D82E0000}"/>
    <cellStyle name="Normal 2 2 2 2 2 2 7 4 10" xfId="11993" xr:uid="{00000000-0005-0000-0000-0000D92E0000}"/>
    <cellStyle name="Normal 2 2 2 2 2 2 7 4 2" xfId="11994" xr:uid="{00000000-0005-0000-0000-0000DA2E0000}"/>
    <cellStyle name="Normal 2 2 2 2 2 2 7 4 3" xfId="11995" xr:uid="{00000000-0005-0000-0000-0000DB2E0000}"/>
    <cellStyle name="Normal 2 2 2 2 2 2 7 4 4" xfId="11996" xr:uid="{00000000-0005-0000-0000-0000DC2E0000}"/>
    <cellStyle name="Normal 2 2 2 2 2 2 7 4 5" xfId="11997" xr:uid="{00000000-0005-0000-0000-0000DD2E0000}"/>
    <cellStyle name="Normal 2 2 2 2 2 2 7 4 6" xfId="11998" xr:uid="{00000000-0005-0000-0000-0000DE2E0000}"/>
    <cellStyle name="Normal 2 2 2 2 2 2 7 4 7" xfId="11999" xr:uid="{00000000-0005-0000-0000-0000DF2E0000}"/>
    <cellStyle name="Normal 2 2 2 2 2 2 7 4 8" xfId="12000" xr:uid="{00000000-0005-0000-0000-0000E02E0000}"/>
    <cellStyle name="Normal 2 2 2 2 2 2 7 4 9" xfId="12001" xr:uid="{00000000-0005-0000-0000-0000E12E0000}"/>
    <cellStyle name="Normal 2 2 2 2 2 2 7 5" xfId="12002" xr:uid="{00000000-0005-0000-0000-0000E22E0000}"/>
    <cellStyle name="Normal 2 2 2 2 2 2 7 5 10" xfId="12003" xr:uid="{00000000-0005-0000-0000-0000E32E0000}"/>
    <cellStyle name="Normal 2 2 2 2 2 2 7 5 2" xfId="12004" xr:uid="{00000000-0005-0000-0000-0000E42E0000}"/>
    <cellStyle name="Normal 2 2 2 2 2 2 7 5 3" xfId="12005" xr:uid="{00000000-0005-0000-0000-0000E52E0000}"/>
    <cellStyle name="Normal 2 2 2 2 2 2 7 5 4" xfId="12006" xr:uid="{00000000-0005-0000-0000-0000E62E0000}"/>
    <cellStyle name="Normal 2 2 2 2 2 2 7 5 5" xfId="12007" xr:uid="{00000000-0005-0000-0000-0000E72E0000}"/>
    <cellStyle name="Normal 2 2 2 2 2 2 7 5 6" xfId="12008" xr:uid="{00000000-0005-0000-0000-0000E82E0000}"/>
    <cellStyle name="Normal 2 2 2 2 2 2 7 5 7" xfId="12009" xr:uid="{00000000-0005-0000-0000-0000E92E0000}"/>
    <cellStyle name="Normal 2 2 2 2 2 2 7 5 8" xfId="12010" xr:uid="{00000000-0005-0000-0000-0000EA2E0000}"/>
    <cellStyle name="Normal 2 2 2 2 2 2 7 5 9" xfId="12011" xr:uid="{00000000-0005-0000-0000-0000EB2E0000}"/>
    <cellStyle name="Normal 2 2 2 2 2 2 7 6" xfId="12012" xr:uid="{00000000-0005-0000-0000-0000EC2E0000}"/>
    <cellStyle name="Normal 2 2 2 2 2 2 7 7" xfId="12013" xr:uid="{00000000-0005-0000-0000-0000ED2E0000}"/>
    <cellStyle name="Normal 2 2 2 2 2 2 7 8" xfId="12014" xr:uid="{00000000-0005-0000-0000-0000EE2E0000}"/>
    <cellStyle name="Normal 2 2 2 2 2 2 7 9" xfId="12015" xr:uid="{00000000-0005-0000-0000-0000EF2E0000}"/>
    <cellStyle name="Normal 2 2 2 2 2 2 8" xfId="12016" xr:uid="{00000000-0005-0000-0000-0000F02E0000}"/>
    <cellStyle name="Normal 2 2 2 2 2 2 8 10" xfId="12017" xr:uid="{00000000-0005-0000-0000-0000F12E0000}"/>
    <cellStyle name="Normal 2 2 2 2 2 2 8 11" xfId="12018" xr:uid="{00000000-0005-0000-0000-0000F22E0000}"/>
    <cellStyle name="Normal 2 2 2 2 2 2 8 12" xfId="12019" xr:uid="{00000000-0005-0000-0000-0000F32E0000}"/>
    <cellStyle name="Normal 2 2 2 2 2 2 8 13" xfId="12020" xr:uid="{00000000-0005-0000-0000-0000F42E0000}"/>
    <cellStyle name="Normal 2 2 2 2 2 2 8 14" xfId="12021" xr:uid="{00000000-0005-0000-0000-0000F52E0000}"/>
    <cellStyle name="Normal 2 2 2 2 2 2 8 2" xfId="12022" xr:uid="{00000000-0005-0000-0000-0000F62E0000}"/>
    <cellStyle name="Normal 2 2 2 2 2 2 8 2 10" xfId="12023" xr:uid="{00000000-0005-0000-0000-0000F72E0000}"/>
    <cellStyle name="Normal 2 2 2 2 2 2 8 2 2" xfId="12024" xr:uid="{00000000-0005-0000-0000-0000F82E0000}"/>
    <cellStyle name="Normal 2 2 2 2 2 2 8 2 3" xfId="12025" xr:uid="{00000000-0005-0000-0000-0000F92E0000}"/>
    <cellStyle name="Normal 2 2 2 2 2 2 8 2 4" xfId="12026" xr:uid="{00000000-0005-0000-0000-0000FA2E0000}"/>
    <cellStyle name="Normal 2 2 2 2 2 2 8 2 5" xfId="12027" xr:uid="{00000000-0005-0000-0000-0000FB2E0000}"/>
    <cellStyle name="Normal 2 2 2 2 2 2 8 2 6" xfId="12028" xr:uid="{00000000-0005-0000-0000-0000FC2E0000}"/>
    <cellStyle name="Normal 2 2 2 2 2 2 8 2 7" xfId="12029" xr:uid="{00000000-0005-0000-0000-0000FD2E0000}"/>
    <cellStyle name="Normal 2 2 2 2 2 2 8 2 8" xfId="12030" xr:uid="{00000000-0005-0000-0000-0000FE2E0000}"/>
    <cellStyle name="Normal 2 2 2 2 2 2 8 2 9" xfId="12031" xr:uid="{00000000-0005-0000-0000-0000FF2E0000}"/>
    <cellStyle name="Normal 2 2 2 2 2 2 8 3" xfId="12032" xr:uid="{00000000-0005-0000-0000-0000002F0000}"/>
    <cellStyle name="Normal 2 2 2 2 2 2 8 3 10" xfId="12033" xr:uid="{00000000-0005-0000-0000-0000012F0000}"/>
    <cellStyle name="Normal 2 2 2 2 2 2 8 3 2" xfId="12034" xr:uid="{00000000-0005-0000-0000-0000022F0000}"/>
    <cellStyle name="Normal 2 2 2 2 2 2 8 3 3" xfId="12035" xr:uid="{00000000-0005-0000-0000-0000032F0000}"/>
    <cellStyle name="Normal 2 2 2 2 2 2 8 3 4" xfId="12036" xr:uid="{00000000-0005-0000-0000-0000042F0000}"/>
    <cellStyle name="Normal 2 2 2 2 2 2 8 3 5" xfId="12037" xr:uid="{00000000-0005-0000-0000-0000052F0000}"/>
    <cellStyle name="Normal 2 2 2 2 2 2 8 3 6" xfId="12038" xr:uid="{00000000-0005-0000-0000-0000062F0000}"/>
    <cellStyle name="Normal 2 2 2 2 2 2 8 3 7" xfId="12039" xr:uid="{00000000-0005-0000-0000-0000072F0000}"/>
    <cellStyle name="Normal 2 2 2 2 2 2 8 3 8" xfId="12040" xr:uid="{00000000-0005-0000-0000-0000082F0000}"/>
    <cellStyle name="Normal 2 2 2 2 2 2 8 3 9" xfId="12041" xr:uid="{00000000-0005-0000-0000-0000092F0000}"/>
    <cellStyle name="Normal 2 2 2 2 2 2 8 4" xfId="12042" xr:uid="{00000000-0005-0000-0000-00000A2F0000}"/>
    <cellStyle name="Normal 2 2 2 2 2 2 8 4 10" xfId="12043" xr:uid="{00000000-0005-0000-0000-00000B2F0000}"/>
    <cellStyle name="Normal 2 2 2 2 2 2 8 4 2" xfId="12044" xr:uid="{00000000-0005-0000-0000-00000C2F0000}"/>
    <cellStyle name="Normal 2 2 2 2 2 2 8 4 3" xfId="12045" xr:uid="{00000000-0005-0000-0000-00000D2F0000}"/>
    <cellStyle name="Normal 2 2 2 2 2 2 8 4 4" xfId="12046" xr:uid="{00000000-0005-0000-0000-00000E2F0000}"/>
    <cellStyle name="Normal 2 2 2 2 2 2 8 4 5" xfId="12047" xr:uid="{00000000-0005-0000-0000-00000F2F0000}"/>
    <cellStyle name="Normal 2 2 2 2 2 2 8 4 6" xfId="12048" xr:uid="{00000000-0005-0000-0000-0000102F0000}"/>
    <cellStyle name="Normal 2 2 2 2 2 2 8 4 7" xfId="12049" xr:uid="{00000000-0005-0000-0000-0000112F0000}"/>
    <cellStyle name="Normal 2 2 2 2 2 2 8 4 8" xfId="12050" xr:uid="{00000000-0005-0000-0000-0000122F0000}"/>
    <cellStyle name="Normal 2 2 2 2 2 2 8 4 9" xfId="12051" xr:uid="{00000000-0005-0000-0000-0000132F0000}"/>
    <cellStyle name="Normal 2 2 2 2 2 2 8 5" xfId="12052" xr:uid="{00000000-0005-0000-0000-0000142F0000}"/>
    <cellStyle name="Normal 2 2 2 2 2 2 8 5 10" xfId="12053" xr:uid="{00000000-0005-0000-0000-0000152F0000}"/>
    <cellStyle name="Normal 2 2 2 2 2 2 8 5 2" xfId="12054" xr:uid="{00000000-0005-0000-0000-0000162F0000}"/>
    <cellStyle name="Normal 2 2 2 2 2 2 8 5 3" xfId="12055" xr:uid="{00000000-0005-0000-0000-0000172F0000}"/>
    <cellStyle name="Normal 2 2 2 2 2 2 8 5 4" xfId="12056" xr:uid="{00000000-0005-0000-0000-0000182F0000}"/>
    <cellStyle name="Normal 2 2 2 2 2 2 8 5 5" xfId="12057" xr:uid="{00000000-0005-0000-0000-0000192F0000}"/>
    <cellStyle name="Normal 2 2 2 2 2 2 8 5 6" xfId="12058" xr:uid="{00000000-0005-0000-0000-00001A2F0000}"/>
    <cellStyle name="Normal 2 2 2 2 2 2 8 5 7" xfId="12059" xr:uid="{00000000-0005-0000-0000-00001B2F0000}"/>
    <cellStyle name="Normal 2 2 2 2 2 2 8 5 8" xfId="12060" xr:uid="{00000000-0005-0000-0000-00001C2F0000}"/>
    <cellStyle name="Normal 2 2 2 2 2 2 8 5 9" xfId="12061" xr:uid="{00000000-0005-0000-0000-00001D2F0000}"/>
    <cellStyle name="Normal 2 2 2 2 2 2 8 6" xfId="12062" xr:uid="{00000000-0005-0000-0000-00001E2F0000}"/>
    <cellStyle name="Normal 2 2 2 2 2 2 8 7" xfId="12063" xr:uid="{00000000-0005-0000-0000-00001F2F0000}"/>
    <cellStyle name="Normal 2 2 2 2 2 2 8 8" xfId="12064" xr:uid="{00000000-0005-0000-0000-0000202F0000}"/>
    <cellStyle name="Normal 2 2 2 2 2 2 8 9" xfId="12065" xr:uid="{00000000-0005-0000-0000-0000212F0000}"/>
    <cellStyle name="Normal 2 2 2 2 2 2 9" xfId="12066" xr:uid="{00000000-0005-0000-0000-0000222F0000}"/>
    <cellStyle name="Normal 2 2 2 2 2 2 9 10" xfId="12067" xr:uid="{00000000-0005-0000-0000-0000232F0000}"/>
    <cellStyle name="Normal 2 2 2 2 2 2 9 11" xfId="12068" xr:uid="{00000000-0005-0000-0000-0000242F0000}"/>
    <cellStyle name="Normal 2 2 2 2 2 2 9 12" xfId="12069" xr:uid="{00000000-0005-0000-0000-0000252F0000}"/>
    <cellStyle name="Normal 2 2 2 2 2 2 9 13" xfId="12070" xr:uid="{00000000-0005-0000-0000-0000262F0000}"/>
    <cellStyle name="Normal 2 2 2 2 2 2 9 14" xfId="12071" xr:uid="{00000000-0005-0000-0000-0000272F0000}"/>
    <cellStyle name="Normal 2 2 2 2 2 2 9 2" xfId="12072" xr:uid="{00000000-0005-0000-0000-0000282F0000}"/>
    <cellStyle name="Normal 2 2 2 2 2 2 9 2 10" xfId="12073" xr:uid="{00000000-0005-0000-0000-0000292F0000}"/>
    <cellStyle name="Normal 2 2 2 2 2 2 9 2 2" xfId="12074" xr:uid="{00000000-0005-0000-0000-00002A2F0000}"/>
    <cellStyle name="Normal 2 2 2 2 2 2 9 2 3" xfId="12075" xr:uid="{00000000-0005-0000-0000-00002B2F0000}"/>
    <cellStyle name="Normal 2 2 2 2 2 2 9 2 4" xfId="12076" xr:uid="{00000000-0005-0000-0000-00002C2F0000}"/>
    <cellStyle name="Normal 2 2 2 2 2 2 9 2 5" xfId="12077" xr:uid="{00000000-0005-0000-0000-00002D2F0000}"/>
    <cellStyle name="Normal 2 2 2 2 2 2 9 2 6" xfId="12078" xr:uid="{00000000-0005-0000-0000-00002E2F0000}"/>
    <cellStyle name="Normal 2 2 2 2 2 2 9 2 7" xfId="12079" xr:uid="{00000000-0005-0000-0000-00002F2F0000}"/>
    <cellStyle name="Normal 2 2 2 2 2 2 9 2 8" xfId="12080" xr:uid="{00000000-0005-0000-0000-0000302F0000}"/>
    <cellStyle name="Normal 2 2 2 2 2 2 9 2 9" xfId="12081" xr:uid="{00000000-0005-0000-0000-0000312F0000}"/>
    <cellStyle name="Normal 2 2 2 2 2 2 9 3" xfId="12082" xr:uid="{00000000-0005-0000-0000-0000322F0000}"/>
    <cellStyle name="Normal 2 2 2 2 2 2 9 3 10" xfId="12083" xr:uid="{00000000-0005-0000-0000-0000332F0000}"/>
    <cellStyle name="Normal 2 2 2 2 2 2 9 3 2" xfId="12084" xr:uid="{00000000-0005-0000-0000-0000342F0000}"/>
    <cellStyle name="Normal 2 2 2 2 2 2 9 3 3" xfId="12085" xr:uid="{00000000-0005-0000-0000-0000352F0000}"/>
    <cellStyle name="Normal 2 2 2 2 2 2 9 3 4" xfId="12086" xr:uid="{00000000-0005-0000-0000-0000362F0000}"/>
    <cellStyle name="Normal 2 2 2 2 2 2 9 3 5" xfId="12087" xr:uid="{00000000-0005-0000-0000-0000372F0000}"/>
    <cellStyle name="Normal 2 2 2 2 2 2 9 3 6" xfId="12088" xr:uid="{00000000-0005-0000-0000-0000382F0000}"/>
    <cellStyle name="Normal 2 2 2 2 2 2 9 3 7" xfId="12089" xr:uid="{00000000-0005-0000-0000-0000392F0000}"/>
    <cellStyle name="Normal 2 2 2 2 2 2 9 3 8" xfId="12090" xr:uid="{00000000-0005-0000-0000-00003A2F0000}"/>
    <cellStyle name="Normal 2 2 2 2 2 2 9 3 9" xfId="12091" xr:uid="{00000000-0005-0000-0000-00003B2F0000}"/>
    <cellStyle name="Normal 2 2 2 2 2 2 9 4" xfId="12092" xr:uid="{00000000-0005-0000-0000-00003C2F0000}"/>
    <cellStyle name="Normal 2 2 2 2 2 2 9 4 10" xfId="12093" xr:uid="{00000000-0005-0000-0000-00003D2F0000}"/>
    <cellStyle name="Normal 2 2 2 2 2 2 9 4 2" xfId="12094" xr:uid="{00000000-0005-0000-0000-00003E2F0000}"/>
    <cellStyle name="Normal 2 2 2 2 2 2 9 4 3" xfId="12095" xr:uid="{00000000-0005-0000-0000-00003F2F0000}"/>
    <cellStyle name="Normal 2 2 2 2 2 2 9 4 4" xfId="12096" xr:uid="{00000000-0005-0000-0000-0000402F0000}"/>
    <cellStyle name="Normal 2 2 2 2 2 2 9 4 5" xfId="12097" xr:uid="{00000000-0005-0000-0000-0000412F0000}"/>
    <cellStyle name="Normal 2 2 2 2 2 2 9 4 6" xfId="12098" xr:uid="{00000000-0005-0000-0000-0000422F0000}"/>
    <cellStyle name="Normal 2 2 2 2 2 2 9 4 7" xfId="12099" xr:uid="{00000000-0005-0000-0000-0000432F0000}"/>
    <cellStyle name="Normal 2 2 2 2 2 2 9 4 8" xfId="12100" xr:uid="{00000000-0005-0000-0000-0000442F0000}"/>
    <cellStyle name="Normal 2 2 2 2 2 2 9 4 9" xfId="12101" xr:uid="{00000000-0005-0000-0000-0000452F0000}"/>
    <cellStyle name="Normal 2 2 2 2 2 2 9 5" xfId="12102" xr:uid="{00000000-0005-0000-0000-0000462F0000}"/>
    <cellStyle name="Normal 2 2 2 2 2 2 9 5 10" xfId="12103" xr:uid="{00000000-0005-0000-0000-0000472F0000}"/>
    <cellStyle name="Normal 2 2 2 2 2 2 9 5 2" xfId="12104" xr:uid="{00000000-0005-0000-0000-0000482F0000}"/>
    <cellStyle name="Normal 2 2 2 2 2 2 9 5 3" xfId="12105" xr:uid="{00000000-0005-0000-0000-0000492F0000}"/>
    <cellStyle name="Normal 2 2 2 2 2 2 9 5 4" xfId="12106" xr:uid="{00000000-0005-0000-0000-00004A2F0000}"/>
    <cellStyle name="Normal 2 2 2 2 2 2 9 5 5" xfId="12107" xr:uid="{00000000-0005-0000-0000-00004B2F0000}"/>
    <cellStyle name="Normal 2 2 2 2 2 2 9 5 6" xfId="12108" xr:uid="{00000000-0005-0000-0000-00004C2F0000}"/>
    <cellStyle name="Normal 2 2 2 2 2 2 9 5 7" xfId="12109" xr:uid="{00000000-0005-0000-0000-00004D2F0000}"/>
    <cellStyle name="Normal 2 2 2 2 2 2 9 5 8" xfId="12110" xr:uid="{00000000-0005-0000-0000-00004E2F0000}"/>
    <cellStyle name="Normal 2 2 2 2 2 2 9 5 9" xfId="12111" xr:uid="{00000000-0005-0000-0000-00004F2F0000}"/>
    <cellStyle name="Normal 2 2 2 2 2 2 9 6" xfId="12112" xr:uid="{00000000-0005-0000-0000-0000502F0000}"/>
    <cellStyle name="Normal 2 2 2 2 2 2 9 7" xfId="12113" xr:uid="{00000000-0005-0000-0000-0000512F0000}"/>
    <cellStyle name="Normal 2 2 2 2 2 2 9 8" xfId="12114" xr:uid="{00000000-0005-0000-0000-0000522F0000}"/>
    <cellStyle name="Normal 2 2 2 2 2 2 9 9" xfId="12115" xr:uid="{00000000-0005-0000-0000-0000532F0000}"/>
    <cellStyle name="Normal 2 2 2 2 2 20" xfId="12116" xr:uid="{00000000-0005-0000-0000-0000542F0000}"/>
    <cellStyle name="Normal 2 2 2 2 2 20 10" xfId="12117" xr:uid="{00000000-0005-0000-0000-0000552F0000}"/>
    <cellStyle name="Normal 2 2 2 2 2 20 11" xfId="12118" xr:uid="{00000000-0005-0000-0000-0000562F0000}"/>
    <cellStyle name="Normal 2 2 2 2 2 20 12" xfId="12119" xr:uid="{00000000-0005-0000-0000-0000572F0000}"/>
    <cellStyle name="Normal 2 2 2 2 2 20 13" xfId="12120" xr:uid="{00000000-0005-0000-0000-0000582F0000}"/>
    <cellStyle name="Normal 2 2 2 2 2 20 14" xfId="12121" xr:uid="{00000000-0005-0000-0000-0000592F0000}"/>
    <cellStyle name="Normal 2 2 2 2 2 20 2" xfId="12122" xr:uid="{00000000-0005-0000-0000-00005A2F0000}"/>
    <cellStyle name="Normal 2 2 2 2 2 20 2 10" xfId="12123" xr:uid="{00000000-0005-0000-0000-00005B2F0000}"/>
    <cellStyle name="Normal 2 2 2 2 2 20 2 2" xfId="12124" xr:uid="{00000000-0005-0000-0000-00005C2F0000}"/>
    <cellStyle name="Normal 2 2 2 2 2 20 2 3" xfId="12125" xr:uid="{00000000-0005-0000-0000-00005D2F0000}"/>
    <cellStyle name="Normal 2 2 2 2 2 20 2 4" xfId="12126" xr:uid="{00000000-0005-0000-0000-00005E2F0000}"/>
    <cellStyle name="Normal 2 2 2 2 2 20 2 5" xfId="12127" xr:uid="{00000000-0005-0000-0000-00005F2F0000}"/>
    <cellStyle name="Normal 2 2 2 2 2 20 2 6" xfId="12128" xr:uid="{00000000-0005-0000-0000-0000602F0000}"/>
    <cellStyle name="Normal 2 2 2 2 2 20 2 7" xfId="12129" xr:uid="{00000000-0005-0000-0000-0000612F0000}"/>
    <cellStyle name="Normal 2 2 2 2 2 20 2 8" xfId="12130" xr:uid="{00000000-0005-0000-0000-0000622F0000}"/>
    <cellStyle name="Normal 2 2 2 2 2 20 2 9" xfId="12131" xr:uid="{00000000-0005-0000-0000-0000632F0000}"/>
    <cellStyle name="Normal 2 2 2 2 2 20 3" xfId="12132" xr:uid="{00000000-0005-0000-0000-0000642F0000}"/>
    <cellStyle name="Normal 2 2 2 2 2 20 3 10" xfId="12133" xr:uid="{00000000-0005-0000-0000-0000652F0000}"/>
    <cellStyle name="Normal 2 2 2 2 2 20 3 2" xfId="12134" xr:uid="{00000000-0005-0000-0000-0000662F0000}"/>
    <cellStyle name="Normal 2 2 2 2 2 20 3 3" xfId="12135" xr:uid="{00000000-0005-0000-0000-0000672F0000}"/>
    <cellStyle name="Normal 2 2 2 2 2 20 3 4" xfId="12136" xr:uid="{00000000-0005-0000-0000-0000682F0000}"/>
    <cellStyle name="Normal 2 2 2 2 2 20 3 5" xfId="12137" xr:uid="{00000000-0005-0000-0000-0000692F0000}"/>
    <cellStyle name="Normal 2 2 2 2 2 20 3 6" xfId="12138" xr:uid="{00000000-0005-0000-0000-00006A2F0000}"/>
    <cellStyle name="Normal 2 2 2 2 2 20 3 7" xfId="12139" xr:uid="{00000000-0005-0000-0000-00006B2F0000}"/>
    <cellStyle name="Normal 2 2 2 2 2 20 3 8" xfId="12140" xr:uid="{00000000-0005-0000-0000-00006C2F0000}"/>
    <cellStyle name="Normal 2 2 2 2 2 20 3 9" xfId="12141" xr:uid="{00000000-0005-0000-0000-00006D2F0000}"/>
    <cellStyle name="Normal 2 2 2 2 2 20 4" xfId="12142" xr:uid="{00000000-0005-0000-0000-00006E2F0000}"/>
    <cellStyle name="Normal 2 2 2 2 2 20 4 10" xfId="12143" xr:uid="{00000000-0005-0000-0000-00006F2F0000}"/>
    <cellStyle name="Normal 2 2 2 2 2 20 4 2" xfId="12144" xr:uid="{00000000-0005-0000-0000-0000702F0000}"/>
    <cellStyle name="Normal 2 2 2 2 2 20 4 3" xfId="12145" xr:uid="{00000000-0005-0000-0000-0000712F0000}"/>
    <cellStyle name="Normal 2 2 2 2 2 20 4 4" xfId="12146" xr:uid="{00000000-0005-0000-0000-0000722F0000}"/>
    <cellStyle name="Normal 2 2 2 2 2 20 4 5" xfId="12147" xr:uid="{00000000-0005-0000-0000-0000732F0000}"/>
    <cellStyle name="Normal 2 2 2 2 2 20 4 6" xfId="12148" xr:uid="{00000000-0005-0000-0000-0000742F0000}"/>
    <cellStyle name="Normal 2 2 2 2 2 20 4 7" xfId="12149" xr:uid="{00000000-0005-0000-0000-0000752F0000}"/>
    <cellStyle name="Normal 2 2 2 2 2 20 4 8" xfId="12150" xr:uid="{00000000-0005-0000-0000-0000762F0000}"/>
    <cellStyle name="Normal 2 2 2 2 2 20 4 9" xfId="12151" xr:uid="{00000000-0005-0000-0000-0000772F0000}"/>
    <cellStyle name="Normal 2 2 2 2 2 20 5" xfId="12152" xr:uid="{00000000-0005-0000-0000-0000782F0000}"/>
    <cellStyle name="Normal 2 2 2 2 2 20 5 10" xfId="12153" xr:uid="{00000000-0005-0000-0000-0000792F0000}"/>
    <cellStyle name="Normal 2 2 2 2 2 20 5 2" xfId="12154" xr:uid="{00000000-0005-0000-0000-00007A2F0000}"/>
    <cellStyle name="Normal 2 2 2 2 2 20 5 3" xfId="12155" xr:uid="{00000000-0005-0000-0000-00007B2F0000}"/>
    <cellStyle name="Normal 2 2 2 2 2 20 5 4" xfId="12156" xr:uid="{00000000-0005-0000-0000-00007C2F0000}"/>
    <cellStyle name="Normal 2 2 2 2 2 20 5 5" xfId="12157" xr:uid="{00000000-0005-0000-0000-00007D2F0000}"/>
    <cellStyle name="Normal 2 2 2 2 2 20 5 6" xfId="12158" xr:uid="{00000000-0005-0000-0000-00007E2F0000}"/>
    <cellStyle name="Normal 2 2 2 2 2 20 5 7" xfId="12159" xr:uid="{00000000-0005-0000-0000-00007F2F0000}"/>
    <cellStyle name="Normal 2 2 2 2 2 20 5 8" xfId="12160" xr:uid="{00000000-0005-0000-0000-0000802F0000}"/>
    <cellStyle name="Normal 2 2 2 2 2 20 5 9" xfId="12161" xr:uid="{00000000-0005-0000-0000-0000812F0000}"/>
    <cellStyle name="Normal 2 2 2 2 2 20 6" xfId="12162" xr:uid="{00000000-0005-0000-0000-0000822F0000}"/>
    <cellStyle name="Normal 2 2 2 2 2 20 7" xfId="12163" xr:uid="{00000000-0005-0000-0000-0000832F0000}"/>
    <cellStyle name="Normal 2 2 2 2 2 20 8" xfId="12164" xr:uid="{00000000-0005-0000-0000-0000842F0000}"/>
    <cellStyle name="Normal 2 2 2 2 2 20 9" xfId="12165" xr:uid="{00000000-0005-0000-0000-0000852F0000}"/>
    <cellStyle name="Normal 2 2 2 2 2 21" xfId="12166" xr:uid="{00000000-0005-0000-0000-0000862F0000}"/>
    <cellStyle name="Normal 2 2 2 2 2 21 10" xfId="12167" xr:uid="{00000000-0005-0000-0000-0000872F0000}"/>
    <cellStyle name="Normal 2 2 2 2 2 21 11" xfId="12168" xr:uid="{00000000-0005-0000-0000-0000882F0000}"/>
    <cellStyle name="Normal 2 2 2 2 2 21 12" xfId="12169" xr:uid="{00000000-0005-0000-0000-0000892F0000}"/>
    <cellStyle name="Normal 2 2 2 2 2 21 13" xfId="12170" xr:uid="{00000000-0005-0000-0000-00008A2F0000}"/>
    <cellStyle name="Normal 2 2 2 2 2 21 14" xfId="12171" xr:uid="{00000000-0005-0000-0000-00008B2F0000}"/>
    <cellStyle name="Normal 2 2 2 2 2 21 2" xfId="12172" xr:uid="{00000000-0005-0000-0000-00008C2F0000}"/>
    <cellStyle name="Normal 2 2 2 2 2 21 2 10" xfId="12173" xr:uid="{00000000-0005-0000-0000-00008D2F0000}"/>
    <cellStyle name="Normal 2 2 2 2 2 21 2 2" xfId="12174" xr:uid="{00000000-0005-0000-0000-00008E2F0000}"/>
    <cellStyle name="Normal 2 2 2 2 2 21 2 3" xfId="12175" xr:uid="{00000000-0005-0000-0000-00008F2F0000}"/>
    <cellStyle name="Normal 2 2 2 2 2 21 2 4" xfId="12176" xr:uid="{00000000-0005-0000-0000-0000902F0000}"/>
    <cellStyle name="Normal 2 2 2 2 2 21 2 5" xfId="12177" xr:uid="{00000000-0005-0000-0000-0000912F0000}"/>
    <cellStyle name="Normal 2 2 2 2 2 21 2 6" xfId="12178" xr:uid="{00000000-0005-0000-0000-0000922F0000}"/>
    <cellStyle name="Normal 2 2 2 2 2 21 2 7" xfId="12179" xr:uid="{00000000-0005-0000-0000-0000932F0000}"/>
    <cellStyle name="Normal 2 2 2 2 2 21 2 8" xfId="12180" xr:uid="{00000000-0005-0000-0000-0000942F0000}"/>
    <cellStyle name="Normal 2 2 2 2 2 21 2 9" xfId="12181" xr:uid="{00000000-0005-0000-0000-0000952F0000}"/>
    <cellStyle name="Normal 2 2 2 2 2 21 3" xfId="12182" xr:uid="{00000000-0005-0000-0000-0000962F0000}"/>
    <cellStyle name="Normal 2 2 2 2 2 21 3 10" xfId="12183" xr:uid="{00000000-0005-0000-0000-0000972F0000}"/>
    <cellStyle name="Normal 2 2 2 2 2 21 3 2" xfId="12184" xr:uid="{00000000-0005-0000-0000-0000982F0000}"/>
    <cellStyle name="Normal 2 2 2 2 2 21 3 3" xfId="12185" xr:uid="{00000000-0005-0000-0000-0000992F0000}"/>
    <cellStyle name="Normal 2 2 2 2 2 21 3 4" xfId="12186" xr:uid="{00000000-0005-0000-0000-00009A2F0000}"/>
    <cellStyle name="Normal 2 2 2 2 2 21 3 5" xfId="12187" xr:uid="{00000000-0005-0000-0000-00009B2F0000}"/>
    <cellStyle name="Normal 2 2 2 2 2 21 3 6" xfId="12188" xr:uid="{00000000-0005-0000-0000-00009C2F0000}"/>
    <cellStyle name="Normal 2 2 2 2 2 21 3 7" xfId="12189" xr:uid="{00000000-0005-0000-0000-00009D2F0000}"/>
    <cellStyle name="Normal 2 2 2 2 2 21 3 8" xfId="12190" xr:uid="{00000000-0005-0000-0000-00009E2F0000}"/>
    <cellStyle name="Normal 2 2 2 2 2 21 3 9" xfId="12191" xr:uid="{00000000-0005-0000-0000-00009F2F0000}"/>
    <cellStyle name="Normal 2 2 2 2 2 21 4" xfId="12192" xr:uid="{00000000-0005-0000-0000-0000A02F0000}"/>
    <cellStyle name="Normal 2 2 2 2 2 21 4 10" xfId="12193" xr:uid="{00000000-0005-0000-0000-0000A12F0000}"/>
    <cellStyle name="Normal 2 2 2 2 2 21 4 2" xfId="12194" xr:uid="{00000000-0005-0000-0000-0000A22F0000}"/>
    <cellStyle name="Normal 2 2 2 2 2 21 4 3" xfId="12195" xr:uid="{00000000-0005-0000-0000-0000A32F0000}"/>
    <cellStyle name="Normal 2 2 2 2 2 21 4 4" xfId="12196" xr:uid="{00000000-0005-0000-0000-0000A42F0000}"/>
    <cellStyle name="Normal 2 2 2 2 2 21 4 5" xfId="12197" xr:uid="{00000000-0005-0000-0000-0000A52F0000}"/>
    <cellStyle name="Normal 2 2 2 2 2 21 4 6" xfId="12198" xr:uid="{00000000-0005-0000-0000-0000A62F0000}"/>
    <cellStyle name="Normal 2 2 2 2 2 21 4 7" xfId="12199" xr:uid="{00000000-0005-0000-0000-0000A72F0000}"/>
    <cellStyle name="Normal 2 2 2 2 2 21 4 8" xfId="12200" xr:uid="{00000000-0005-0000-0000-0000A82F0000}"/>
    <cellStyle name="Normal 2 2 2 2 2 21 4 9" xfId="12201" xr:uid="{00000000-0005-0000-0000-0000A92F0000}"/>
    <cellStyle name="Normal 2 2 2 2 2 21 5" xfId="12202" xr:uid="{00000000-0005-0000-0000-0000AA2F0000}"/>
    <cellStyle name="Normal 2 2 2 2 2 21 5 10" xfId="12203" xr:uid="{00000000-0005-0000-0000-0000AB2F0000}"/>
    <cellStyle name="Normal 2 2 2 2 2 21 5 2" xfId="12204" xr:uid="{00000000-0005-0000-0000-0000AC2F0000}"/>
    <cellStyle name="Normal 2 2 2 2 2 21 5 3" xfId="12205" xr:uid="{00000000-0005-0000-0000-0000AD2F0000}"/>
    <cellStyle name="Normal 2 2 2 2 2 21 5 4" xfId="12206" xr:uid="{00000000-0005-0000-0000-0000AE2F0000}"/>
    <cellStyle name="Normal 2 2 2 2 2 21 5 5" xfId="12207" xr:uid="{00000000-0005-0000-0000-0000AF2F0000}"/>
    <cellStyle name="Normal 2 2 2 2 2 21 5 6" xfId="12208" xr:uid="{00000000-0005-0000-0000-0000B02F0000}"/>
    <cellStyle name="Normal 2 2 2 2 2 21 5 7" xfId="12209" xr:uid="{00000000-0005-0000-0000-0000B12F0000}"/>
    <cellStyle name="Normal 2 2 2 2 2 21 5 8" xfId="12210" xr:uid="{00000000-0005-0000-0000-0000B22F0000}"/>
    <cellStyle name="Normal 2 2 2 2 2 21 5 9" xfId="12211" xr:uid="{00000000-0005-0000-0000-0000B32F0000}"/>
    <cellStyle name="Normal 2 2 2 2 2 21 6" xfId="12212" xr:uid="{00000000-0005-0000-0000-0000B42F0000}"/>
    <cellStyle name="Normal 2 2 2 2 2 21 7" xfId="12213" xr:uid="{00000000-0005-0000-0000-0000B52F0000}"/>
    <cellStyle name="Normal 2 2 2 2 2 21 8" xfId="12214" xr:uid="{00000000-0005-0000-0000-0000B62F0000}"/>
    <cellStyle name="Normal 2 2 2 2 2 21 9" xfId="12215" xr:uid="{00000000-0005-0000-0000-0000B72F0000}"/>
    <cellStyle name="Normal 2 2 2 2 2 22" xfId="12216" xr:uid="{00000000-0005-0000-0000-0000B82F0000}"/>
    <cellStyle name="Normal 2 2 2 2 2 22 10" xfId="12217" xr:uid="{00000000-0005-0000-0000-0000B92F0000}"/>
    <cellStyle name="Normal 2 2 2 2 2 22 11" xfId="12218" xr:uid="{00000000-0005-0000-0000-0000BA2F0000}"/>
    <cellStyle name="Normal 2 2 2 2 2 22 12" xfId="12219" xr:uid="{00000000-0005-0000-0000-0000BB2F0000}"/>
    <cellStyle name="Normal 2 2 2 2 2 22 13" xfId="12220" xr:uid="{00000000-0005-0000-0000-0000BC2F0000}"/>
    <cellStyle name="Normal 2 2 2 2 2 22 14" xfId="12221" xr:uid="{00000000-0005-0000-0000-0000BD2F0000}"/>
    <cellStyle name="Normal 2 2 2 2 2 22 2" xfId="12222" xr:uid="{00000000-0005-0000-0000-0000BE2F0000}"/>
    <cellStyle name="Normal 2 2 2 2 2 22 2 10" xfId="12223" xr:uid="{00000000-0005-0000-0000-0000BF2F0000}"/>
    <cellStyle name="Normal 2 2 2 2 2 22 2 2" xfId="12224" xr:uid="{00000000-0005-0000-0000-0000C02F0000}"/>
    <cellStyle name="Normal 2 2 2 2 2 22 2 3" xfId="12225" xr:uid="{00000000-0005-0000-0000-0000C12F0000}"/>
    <cellStyle name="Normal 2 2 2 2 2 22 2 4" xfId="12226" xr:uid="{00000000-0005-0000-0000-0000C22F0000}"/>
    <cellStyle name="Normal 2 2 2 2 2 22 2 5" xfId="12227" xr:uid="{00000000-0005-0000-0000-0000C32F0000}"/>
    <cellStyle name="Normal 2 2 2 2 2 22 2 6" xfId="12228" xr:uid="{00000000-0005-0000-0000-0000C42F0000}"/>
    <cellStyle name="Normal 2 2 2 2 2 22 2 7" xfId="12229" xr:uid="{00000000-0005-0000-0000-0000C52F0000}"/>
    <cellStyle name="Normal 2 2 2 2 2 22 2 8" xfId="12230" xr:uid="{00000000-0005-0000-0000-0000C62F0000}"/>
    <cellStyle name="Normal 2 2 2 2 2 22 2 9" xfId="12231" xr:uid="{00000000-0005-0000-0000-0000C72F0000}"/>
    <cellStyle name="Normal 2 2 2 2 2 22 3" xfId="12232" xr:uid="{00000000-0005-0000-0000-0000C82F0000}"/>
    <cellStyle name="Normal 2 2 2 2 2 22 3 10" xfId="12233" xr:uid="{00000000-0005-0000-0000-0000C92F0000}"/>
    <cellStyle name="Normal 2 2 2 2 2 22 3 2" xfId="12234" xr:uid="{00000000-0005-0000-0000-0000CA2F0000}"/>
    <cellStyle name="Normal 2 2 2 2 2 22 3 3" xfId="12235" xr:uid="{00000000-0005-0000-0000-0000CB2F0000}"/>
    <cellStyle name="Normal 2 2 2 2 2 22 3 4" xfId="12236" xr:uid="{00000000-0005-0000-0000-0000CC2F0000}"/>
    <cellStyle name="Normal 2 2 2 2 2 22 3 5" xfId="12237" xr:uid="{00000000-0005-0000-0000-0000CD2F0000}"/>
    <cellStyle name="Normal 2 2 2 2 2 22 3 6" xfId="12238" xr:uid="{00000000-0005-0000-0000-0000CE2F0000}"/>
    <cellStyle name="Normal 2 2 2 2 2 22 3 7" xfId="12239" xr:uid="{00000000-0005-0000-0000-0000CF2F0000}"/>
    <cellStyle name="Normal 2 2 2 2 2 22 3 8" xfId="12240" xr:uid="{00000000-0005-0000-0000-0000D02F0000}"/>
    <cellStyle name="Normal 2 2 2 2 2 22 3 9" xfId="12241" xr:uid="{00000000-0005-0000-0000-0000D12F0000}"/>
    <cellStyle name="Normal 2 2 2 2 2 22 4" xfId="12242" xr:uid="{00000000-0005-0000-0000-0000D22F0000}"/>
    <cellStyle name="Normal 2 2 2 2 2 22 4 10" xfId="12243" xr:uid="{00000000-0005-0000-0000-0000D32F0000}"/>
    <cellStyle name="Normal 2 2 2 2 2 22 4 2" xfId="12244" xr:uid="{00000000-0005-0000-0000-0000D42F0000}"/>
    <cellStyle name="Normal 2 2 2 2 2 22 4 3" xfId="12245" xr:uid="{00000000-0005-0000-0000-0000D52F0000}"/>
    <cellStyle name="Normal 2 2 2 2 2 22 4 4" xfId="12246" xr:uid="{00000000-0005-0000-0000-0000D62F0000}"/>
    <cellStyle name="Normal 2 2 2 2 2 22 4 5" xfId="12247" xr:uid="{00000000-0005-0000-0000-0000D72F0000}"/>
    <cellStyle name="Normal 2 2 2 2 2 22 4 6" xfId="12248" xr:uid="{00000000-0005-0000-0000-0000D82F0000}"/>
    <cellStyle name="Normal 2 2 2 2 2 22 4 7" xfId="12249" xr:uid="{00000000-0005-0000-0000-0000D92F0000}"/>
    <cellStyle name="Normal 2 2 2 2 2 22 4 8" xfId="12250" xr:uid="{00000000-0005-0000-0000-0000DA2F0000}"/>
    <cellStyle name="Normal 2 2 2 2 2 22 4 9" xfId="12251" xr:uid="{00000000-0005-0000-0000-0000DB2F0000}"/>
    <cellStyle name="Normal 2 2 2 2 2 22 5" xfId="12252" xr:uid="{00000000-0005-0000-0000-0000DC2F0000}"/>
    <cellStyle name="Normal 2 2 2 2 2 22 5 10" xfId="12253" xr:uid="{00000000-0005-0000-0000-0000DD2F0000}"/>
    <cellStyle name="Normal 2 2 2 2 2 22 5 2" xfId="12254" xr:uid="{00000000-0005-0000-0000-0000DE2F0000}"/>
    <cellStyle name="Normal 2 2 2 2 2 22 5 3" xfId="12255" xr:uid="{00000000-0005-0000-0000-0000DF2F0000}"/>
    <cellStyle name="Normal 2 2 2 2 2 22 5 4" xfId="12256" xr:uid="{00000000-0005-0000-0000-0000E02F0000}"/>
    <cellStyle name="Normal 2 2 2 2 2 22 5 5" xfId="12257" xr:uid="{00000000-0005-0000-0000-0000E12F0000}"/>
    <cellStyle name="Normal 2 2 2 2 2 22 5 6" xfId="12258" xr:uid="{00000000-0005-0000-0000-0000E22F0000}"/>
    <cellStyle name="Normal 2 2 2 2 2 22 5 7" xfId="12259" xr:uid="{00000000-0005-0000-0000-0000E32F0000}"/>
    <cellStyle name="Normal 2 2 2 2 2 22 5 8" xfId="12260" xr:uid="{00000000-0005-0000-0000-0000E42F0000}"/>
    <cellStyle name="Normal 2 2 2 2 2 22 5 9" xfId="12261" xr:uid="{00000000-0005-0000-0000-0000E52F0000}"/>
    <cellStyle name="Normal 2 2 2 2 2 22 6" xfId="12262" xr:uid="{00000000-0005-0000-0000-0000E62F0000}"/>
    <cellStyle name="Normal 2 2 2 2 2 22 7" xfId="12263" xr:uid="{00000000-0005-0000-0000-0000E72F0000}"/>
    <cellStyle name="Normal 2 2 2 2 2 22 8" xfId="12264" xr:uid="{00000000-0005-0000-0000-0000E82F0000}"/>
    <cellStyle name="Normal 2 2 2 2 2 22 9" xfId="12265" xr:uid="{00000000-0005-0000-0000-0000E92F0000}"/>
    <cellStyle name="Normal 2 2 2 2 2 23" xfId="12266" xr:uid="{00000000-0005-0000-0000-0000EA2F0000}"/>
    <cellStyle name="Normal 2 2 2 2 2 23 10" xfId="12267" xr:uid="{00000000-0005-0000-0000-0000EB2F0000}"/>
    <cellStyle name="Normal 2 2 2 2 2 23 11" xfId="12268" xr:uid="{00000000-0005-0000-0000-0000EC2F0000}"/>
    <cellStyle name="Normal 2 2 2 2 2 23 12" xfId="12269" xr:uid="{00000000-0005-0000-0000-0000ED2F0000}"/>
    <cellStyle name="Normal 2 2 2 2 2 23 13" xfId="12270" xr:uid="{00000000-0005-0000-0000-0000EE2F0000}"/>
    <cellStyle name="Normal 2 2 2 2 2 23 14" xfId="12271" xr:uid="{00000000-0005-0000-0000-0000EF2F0000}"/>
    <cellStyle name="Normal 2 2 2 2 2 23 2" xfId="12272" xr:uid="{00000000-0005-0000-0000-0000F02F0000}"/>
    <cellStyle name="Normal 2 2 2 2 2 23 2 10" xfId="12273" xr:uid="{00000000-0005-0000-0000-0000F12F0000}"/>
    <cellStyle name="Normal 2 2 2 2 2 23 2 2" xfId="12274" xr:uid="{00000000-0005-0000-0000-0000F22F0000}"/>
    <cellStyle name="Normal 2 2 2 2 2 23 2 3" xfId="12275" xr:uid="{00000000-0005-0000-0000-0000F32F0000}"/>
    <cellStyle name="Normal 2 2 2 2 2 23 2 4" xfId="12276" xr:uid="{00000000-0005-0000-0000-0000F42F0000}"/>
    <cellStyle name="Normal 2 2 2 2 2 23 2 5" xfId="12277" xr:uid="{00000000-0005-0000-0000-0000F52F0000}"/>
    <cellStyle name="Normal 2 2 2 2 2 23 2 6" xfId="12278" xr:uid="{00000000-0005-0000-0000-0000F62F0000}"/>
    <cellStyle name="Normal 2 2 2 2 2 23 2 7" xfId="12279" xr:uid="{00000000-0005-0000-0000-0000F72F0000}"/>
    <cellStyle name="Normal 2 2 2 2 2 23 2 8" xfId="12280" xr:uid="{00000000-0005-0000-0000-0000F82F0000}"/>
    <cellStyle name="Normal 2 2 2 2 2 23 2 9" xfId="12281" xr:uid="{00000000-0005-0000-0000-0000F92F0000}"/>
    <cellStyle name="Normal 2 2 2 2 2 23 3" xfId="12282" xr:uid="{00000000-0005-0000-0000-0000FA2F0000}"/>
    <cellStyle name="Normal 2 2 2 2 2 23 3 10" xfId="12283" xr:uid="{00000000-0005-0000-0000-0000FB2F0000}"/>
    <cellStyle name="Normal 2 2 2 2 2 23 3 2" xfId="12284" xr:uid="{00000000-0005-0000-0000-0000FC2F0000}"/>
    <cellStyle name="Normal 2 2 2 2 2 23 3 3" xfId="12285" xr:uid="{00000000-0005-0000-0000-0000FD2F0000}"/>
    <cellStyle name="Normal 2 2 2 2 2 23 3 4" xfId="12286" xr:uid="{00000000-0005-0000-0000-0000FE2F0000}"/>
    <cellStyle name="Normal 2 2 2 2 2 23 3 5" xfId="12287" xr:uid="{00000000-0005-0000-0000-0000FF2F0000}"/>
    <cellStyle name="Normal 2 2 2 2 2 23 3 6" xfId="12288" xr:uid="{00000000-0005-0000-0000-000000300000}"/>
    <cellStyle name="Normal 2 2 2 2 2 23 3 7" xfId="12289" xr:uid="{00000000-0005-0000-0000-000001300000}"/>
    <cellStyle name="Normal 2 2 2 2 2 23 3 8" xfId="12290" xr:uid="{00000000-0005-0000-0000-000002300000}"/>
    <cellStyle name="Normal 2 2 2 2 2 23 3 9" xfId="12291" xr:uid="{00000000-0005-0000-0000-000003300000}"/>
    <cellStyle name="Normal 2 2 2 2 2 23 4" xfId="12292" xr:uid="{00000000-0005-0000-0000-000004300000}"/>
    <cellStyle name="Normal 2 2 2 2 2 23 4 10" xfId="12293" xr:uid="{00000000-0005-0000-0000-000005300000}"/>
    <cellStyle name="Normal 2 2 2 2 2 23 4 2" xfId="12294" xr:uid="{00000000-0005-0000-0000-000006300000}"/>
    <cellStyle name="Normal 2 2 2 2 2 23 4 3" xfId="12295" xr:uid="{00000000-0005-0000-0000-000007300000}"/>
    <cellStyle name="Normal 2 2 2 2 2 23 4 4" xfId="12296" xr:uid="{00000000-0005-0000-0000-000008300000}"/>
    <cellStyle name="Normal 2 2 2 2 2 23 4 5" xfId="12297" xr:uid="{00000000-0005-0000-0000-000009300000}"/>
    <cellStyle name="Normal 2 2 2 2 2 23 4 6" xfId="12298" xr:uid="{00000000-0005-0000-0000-00000A300000}"/>
    <cellStyle name="Normal 2 2 2 2 2 23 4 7" xfId="12299" xr:uid="{00000000-0005-0000-0000-00000B300000}"/>
    <cellStyle name="Normal 2 2 2 2 2 23 4 8" xfId="12300" xr:uid="{00000000-0005-0000-0000-00000C300000}"/>
    <cellStyle name="Normal 2 2 2 2 2 23 4 9" xfId="12301" xr:uid="{00000000-0005-0000-0000-00000D300000}"/>
    <cellStyle name="Normal 2 2 2 2 2 23 5" xfId="12302" xr:uid="{00000000-0005-0000-0000-00000E300000}"/>
    <cellStyle name="Normal 2 2 2 2 2 23 5 10" xfId="12303" xr:uid="{00000000-0005-0000-0000-00000F300000}"/>
    <cellStyle name="Normal 2 2 2 2 2 23 5 2" xfId="12304" xr:uid="{00000000-0005-0000-0000-000010300000}"/>
    <cellStyle name="Normal 2 2 2 2 2 23 5 3" xfId="12305" xr:uid="{00000000-0005-0000-0000-000011300000}"/>
    <cellStyle name="Normal 2 2 2 2 2 23 5 4" xfId="12306" xr:uid="{00000000-0005-0000-0000-000012300000}"/>
    <cellStyle name="Normal 2 2 2 2 2 23 5 5" xfId="12307" xr:uid="{00000000-0005-0000-0000-000013300000}"/>
    <cellStyle name="Normal 2 2 2 2 2 23 5 6" xfId="12308" xr:uid="{00000000-0005-0000-0000-000014300000}"/>
    <cellStyle name="Normal 2 2 2 2 2 23 5 7" xfId="12309" xr:uid="{00000000-0005-0000-0000-000015300000}"/>
    <cellStyle name="Normal 2 2 2 2 2 23 5 8" xfId="12310" xr:uid="{00000000-0005-0000-0000-000016300000}"/>
    <cellStyle name="Normal 2 2 2 2 2 23 5 9" xfId="12311" xr:uid="{00000000-0005-0000-0000-000017300000}"/>
    <cellStyle name="Normal 2 2 2 2 2 23 6" xfId="12312" xr:uid="{00000000-0005-0000-0000-000018300000}"/>
    <cellStyle name="Normal 2 2 2 2 2 23 7" xfId="12313" xr:uid="{00000000-0005-0000-0000-000019300000}"/>
    <cellStyle name="Normal 2 2 2 2 2 23 8" xfId="12314" xr:uid="{00000000-0005-0000-0000-00001A300000}"/>
    <cellStyle name="Normal 2 2 2 2 2 23 9" xfId="12315" xr:uid="{00000000-0005-0000-0000-00001B300000}"/>
    <cellStyle name="Normal 2 2 2 2 2 24" xfId="12316" xr:uid="{00000000-0005-0000-0000-00001C300000}"/>
    <cellStyle name="Normal 2 2 2 2 2 24 10" xfId="12317" xr:uid="{00000000-0005-0000-0000-00001D300000}"/>
    <cellStyle name="Normal 2 2 2 2 2 24 11" xfId="12318" xr:uid="{00000000-0005-0000-0000-00001E300000}"/>
    <cellStyle name="Normal 2 2 2 2 2 24 12" xfId="12319" xr:uid="{00000000-0005-0000-0000-00001F300000}"/>
    <cellStyle name="Normal 2 2 2 2 2 24 13" xfId="12320" xr:uid="{00000000-0005-0000-0000-000020300000}"/>
    <cellStyle name="Normal 2 2 2 2 2 24 14" xfId="12321" xr:uid="{00000000-0005-0000-0000-000021300000}"/>
    <cellStyle name="Normal 2 2 2 2 2 24 2" xfId="12322" xr:uid="{00000000-0005-0000-0000-000022300000}"/>
    <cellStyle name="Normal 2 2 2 2 2 24 2 10" xfId="12323" xr:uid="{00000000-0005-0000-0000-000023300000}"/>
    <cellStyle name="Normal 2 2 2 2 2 24 2 2" xfId="12324" xr:uid="{00000000-0005-0000-0000-000024300000}"/>
    <cellStyle name="Normal 2 2 2 2 2 24 2 3" xfId="12325" xr:uid="{00000000-0005-0000-0000-000025300000}"/>
    <cellStyle name="Normal 2 2 2 2 2 24 2 4" xfId="12326" xr:uid="{00000000-0005-0000-0000-000026300000}"/>
    <cellStyle name="Normal 2 2 2 2 2 24 2 5" xfId="12327" xr:uid="{00000000-0005-0000-0000-000027300000}"/>
    <cellStyle name="Normal 2 2 2 2 2 24 2 6" xfId="12328" xr:uid="{00000000-0005-0000-0000-000028300000}"/>
    <cellStyle name="Normal 2 2 2 2 2 24 2 7" xfId="12329" xr:uid="{00000000-0005-0000-0000-000029300000}"/>
    <cellStyle name="Normal 2 2 2 2 2 24 2 8" xfId="12330" xr:uid="{00000000-0005-0000-0000-00002A300000}"/>
    <cellStyle name="Normal 2 2 2 2 2 24 2 9" xfId="12331" xr:uid="{00000000-0005-0000-0000-00002B300000}"/>
    <cellStyle name="Normal 2 2 2 2 2 24 3" xfId="12332" xr:uid="{00000000-0005-0000-0000-00002C300000}"/>
    <cellStyle name="Normal 2 2 2 2 2 24 3 10" xfId="12333" xr:uid="{00000000-0005-0000-0000-00002D300000}"/>
    <cellStyle name="Normal 2 2 2 2 2 24 3 2" xfId="12334" xr:uid="{00000000-0005-0000-0000-00002E300000}"/>
    <cellStyle name="Normal 2 2 2 2 2 24 3 3" xfId="12335" xr:uid="{00000000-0005-0000-0000-00002F300000}"/>
    <cellStyle name="Normal 2 2 2 2 2 24 3 4" xfId="12336" xr:uid="{00000000-0005-0000-0000-000030300000}"/>
    <cellStyle name="Normal 2 2 2 2 2 24 3 5" xfId="12337" xr:uid="{00000000-0005-0000-0000-000031300000}"/>
    <cellStyle name="Normal 2 2 2 2 2 24 3 6" xfId="12338" xr:uid="{00000000-0005-0000-0000-000032300000}"/>
    <cellStyle name="Normal 2 2 2 2 2 24 3 7" xfId="12339" xr:uid="{00000000-0005-0000-0000-000033300000}"/>
    <cellStyle name="Normal 2 2 2 2 2 24 3 8" xfId="12340" xr:uid="{00000000-0005-0000-0000-000034300000}"/>
    <cellStyle name="Normal 2 2 2 2 2 24 3 9" xfId="12341" xr:uid="{00000000-0005-0000-0000-000035300000}"/>
    <cellStyle name="Normal 2 2 2 2 2 24 4" xfId="12342" xr:uid="{00000000-0005-0000-0000-000036300000}"/>
    <cellStyle name="Normal 2 2 2 2 2 24 4 10" xfId="12343" xr:uid="{00000000-0005-0000-0000-000037300000}"/>
    <cellStyle name="Normal 2 2 2 2 2 24 4 2" xfId="12344" xr:uid="{00000000-0005-0000-0000-000038300000}"/>
    <cellStyle name="Normal 2 2 2 2 2 24 4 3" xfId="12345" xr:uid="{00000000-0005-0000-0000-000039300000}"/>
    <cellStyle name="Normal 2 2 2 2 2 24 4 4" xfId="12346" xr:uid="{00000000-0005-0000-0000-00003A300000}"/>
    <cellStyle name="Normal 2 2 2 2 2 24 4 5" xfId="12347" xr:uid="{00000000-0005-0000-0000-00003B300000}"/>
    <cellStyle name="Normal 2 2 2 2 2 24 4 6" xfId="12348" xr:uid="{00000000-0005-0000-0000-00003C300000}"/>
    <cellStyle name="Normal 2 2 2 2 2 24 4 7" xfId="12349" xr:uid="{00000000-0005-0000-0000-00003D300000}"/>
    <cellStyle name="Normal 2 2 2 2 2 24 4 8" xfId="12350" xr:uid="{00000000-0005-0000-0000-00003E300000}"/>
    <cellStyle name="Normal 2 2 2 2 2 24 4 9" xfId="12351" xr:uid="{00000000-0005-0000-0000-00003F300000}"/>
    <cellStyle name="Normal 2 2 2 2 2 24 5" xfId="12352" xr:uid="{00000000-0005-0000-0000-000040300000}"/>
    <cellStyle name="Normal 2 2 2 2 2 24 5 10" xfId="12353" xr:uid="{00000000-0005-0000-0000-000041300000}"/>
    <cellStyle name="Normal 2 2 2 2 2 24 5 2" xfId="12354" xr:uid="{00000000-0005-0000-0000-000042300000}"/>
    <cellStyle name="Normal 2 2 2 2 2 24 5 3" xfId="12355" xr:uid="{00000000-0005-0000-0000-000043300000}"/>
    <cellStyle name="Normal 2 2 2 2 2 24 5 4" xfId="12356" xr:uid="{00000000-0005-0000-0000-000044300000}"/>
    <cellStyle name="Normal 2 2 2 2 2 24 5 5" xfId="12357" xr:uid="{00000000-0005-0000-0000-000045300000}"/>
    <cellStyle name="Normal 2 2 2 2 2 24 5 6" xfId="12358" xr:uid="{00000000-0005-0000-0000-000046300000}"/>
    <cellStyle name="Normal 2 2 2 2 2 24 5 7" xfId="12359" xr:uid="{00000000-0005-0000-0000-000047300000}"/>
    <cellStyle name="Normal 2 2 2 2 2 24 5 8" xfId="12360" xr:uid="{00000000-0005-0000-0000-000048300000}"/>
    <cellStyle name="Normal 2 2 2 2 2 24 5 9" xfId="12361" xr:uid="{00000000-0005-0000-0000-000049300000}"/>
    <cellStyle name="Normal 2 2 2 2 2 24 6" xfId="12362" xr:uid="{00000000-0005-0000-0000-00004A300000}"/>
    <cellStyle name="Normal 2 2 2 2 2 24 7" xfId="12363" xr:uid="{00000000-0005-0000-0000-00004B300000}"/>
    <cellStyle name="Normal 2 2 2 2 2 24 8" xfId="12364" xr:uid="{00000000-0005-0000-0000-00004C300000}"/>
    <cellStyle name="Normal 2 2 2 2 2 24 9" xfId="12365" xr:uid="{00000000-0005-0000-0000-00004D300000}"/>
    <cellStyle name="Normal 2 2 2 2 2 25" xfId="12366" xr:uid="{00000000-0005-0000-0000-00004E300000}"/>
    <cellStyle name="Normal 2 2 2 2 2 25 10" xfId="12367" xr:uid="{00000000-0005-0000-0000-00004F300000}"/>
    <cellStyle name="Normal 2 2 2 2 2 25 11" xfId="12368" xr:uid="{00000000-0005-0000-0000-000050300000}"/>
    <cellStyle name="Normal 2 2 2 2 2 25 12" xfId="12369" xr:uid="{00000000-0005-0000-0000-000051300000}"/>
    <cellStyle name="Normal 2 2 2 2 2 25 13" xfId="12370" xr:uid="{00000000-0005-0000-0000-000052300000}"/>
    <cellStyle name="Normal 2 2 2 2 2 25 14" xfId="12371" xr:uid="{00000000-0005-0000-0000-000053300000}"/>
    <cellStyle name="Normal 2 2 2 2 2 25 2" xfId="12372" xr:uid="{00000000-0005-0000-0000-000054300000}"/>
    <cellStyle name="Normal 2 2 2 2 2 25 2 10" xfId="12373" xr:uid="{00000000-0005-0000-0000-000055300000}"/>
    <cellStyle name="Normal 2 2 2 2 2 25 2 2" xfId="12374" xr:uid="{00000000-0005-0000-0000-000056300000}"/>
    <cellStyle name="Normal 2 2 2 2 2 25 2 3" xfId="12375" xr:uid="{00000000-0005-0000-0000-000057300000}"/>
    <cellStyle name="Normal 2 2 2 2 2 25 2 4" xfId="12376" xr:uid="{00000000-0005-0000-0000-000058300000}"/>
    <cellStyle name="Normal 2 2 2 2 2 25 2 5" xfId="12377" xr:uid="{00000000-0005-0000-0000-000059300000}"/>
    <cellStyle name="Normal 2 2 2 2 2 25 2 6" xfId="12378" xr:uid="{00000000-0005-0000-0000-00005A300000}"/>
    <cellStyle name="Normal 2 2 2 2 2 25 2 7" xfId="12379" xr:uid="{00000000-0005-0000-0000-00005B300000}"/>
    <cellStyle name="Normal 2 2 2 2 2 25 2 8" xfId="12380" xr:uid="{00000000-0005-0000-0000-00005C300000}"/>
    <cellStyle name="Normal 2 2 2 2 2 25 2 9" xfId="12381" xr:uid="{00000000-0005-0000-0000-00005D300000}"/>
    <cellStyle name="Normal 2 2 2 2 2 25 3" xfId="12382" xr:uid="{00000000-0005-0000-0000-00005E300000}"/>
    <cellStyle name="Normal 2 2 2 2 2 25 3 10" xfId="12383" xr:uid="{00000000-0005-0000-0000-00005F300000}"/>
    <cellStyle name="Normal 2 2 2 2 2 25 3 2" xfId="12384" xr:uid="{00000000-0005-0000-0000-000060300000}"/>
    <cellStyle name="Normal 2 2 2 2 2 25 3 3" xfId="12385" xr:uid="{00000000-0005-0000-0000-000061300000}"/>
    <cellStyle name="Normal 2 2 2 2 2 25 3 4" xfId="12386" xr:uid="{00000000-0005-0000-0000-000062300000}"/>
    <cellStyle name="Normal 2 2 2 2 2 25 3 5" xfId="12387" xr:uid="{00000000-0005-0000-0000-000063300000}"/>
    <cellStyle name="Normal 2 2 2 2 2 25 3 6" xfId="12388" xr:uid="{00000000-0005-0000-0000-000064300000}"/>
    <cellStyle name="Normal 2 2 2 2 2 25 3 7" xfId="12389" xr:uid="{00000000-0005-0000-0000-000065300000}"/>
    <cellStyle name="Normal 2 2 2 2 2 25 3 8" xfId="12390" xr:uid="{00000000-0005-0000-0000-000066300000}"/>
    <cellStyle name="Normal 2 2 2 2 2 25 3 9" xfId="12391" xr:uid="{00000000-0005-0000-0000-000067300000}"/>
    <cellStyle name="Normal 2 2 2 2 2 25 4" xfId="12392" xr:uid="{00000000-0005-0000-0000-000068300000}"/>
    <cellStyle name="Normal 2 2 2 2 2 25 4 10" xfId="12393" xr:uid="{00000000-0005-0000-0000-000069300000}"/>
    <cellStyle name="Normal 2 2 2 2 2 25 4 2" xfId="12394" xr:uid="{00000000-0005-0000-0000-00006A300000}"/>
    <cellStyle name="Normal 2 2 2 2 2 25 4 3" xfId="12395" xr:uid="{00000000-0005-0000-0000-00006B300000}"/>
    <cellStyle name="Normal 2 2 2 2 2 25 4 4" xfId="12396" xr:uid="{00000000-0005-0000-0000-00006C300000}"/>
    <cellStyle name="Normal 2 2 2 2 2 25 4 5" xfId="12397" xr:uid="{00000000-0005-0000-0000-00006D300000}"/>
    <cellStyle name="Normal 2 2 2 2 2 25 4 6" xfId="12398" xr:uid="{00000000-0005-0000-0000-00006E300000}"/>
    <cellStyle name="Normal 2 2 2 2 2 25 4 7" xfId="12399" xr:uid="{00000000-0005-0000-0000-00006F300000}"/>
    <cellStyle name="Normal 2 2 2 2 2 25 4 8" xfId="12400" xr:uid="{00000000-0005-0000-0000-000070300000}"/>
    <cellStyle name="Normal 2 2 2 2 2 25 4 9" xfId="12401" xr:uid="{00000000-0005-0000-0000-000071300000}"/>
    <cellStyle name="Normal 2 2 2 2 2 25 5" xfId="12402" xr:uid="{00000000-0005-0000-0000-000072300000}"/>
    <cellStyle name="Normal 2 2 2 2 2 25 5 10" xfId="12403" xr:uid="{00000000-0005-0000-0000-000073300000}"/>
    <cellStyle name="Normal 2 2 2 2 2 25 5 2" xfId="12404" xr:uid="{00000000-0005-0000-0000-000074300000}"/>
    <cellStyle name="Normal 2 2 2 2 2 25 5 3" xfId="12405" xr:uid="{00000000-0005-0000-0000-000075300000}"/>
    <cellStyle name="Normal 2 2 2 2 2 25 5 4" xfId="12406" xr:uid="{00000000-0005-0000-0000-000076300000}"/>
    <cellStyle name="Normal 2 2 2 2 2 25 5 5" xfId="12407" xr:uid="{00000000-0005-0000-0000-000077300000}"/>
    <cellStyle name="Normal 2 2 2 2 2 25 5 6" xfId="12408" xr:uid="{00000000-0005-0000-0000-000078300000}"/>
    <cellStyle name="Normal 2 2 2 2 2 25 5 7" xfId="12409" xr:uid="{00000000-0005-0000-0000-000079300000}"/>
    <cellStyle name="Normal 2 2 2 2 2 25 5 8" xfId="12410" xr:uid="{00000000-0005-0000-0000-00007A300000}"/>
    <cellStyle name="Normal 2 2 2 2 2 25 5 9" xfId="12411" xr:uid="{00000000-0005-0000-0000-00007B300000}"/>
    <cellStyle name="Normal 2 2 2 2 2 25 6" xfId="12412" xr:uid="{00000000-0005-0000-0000-00007C300000}"/>
    <cellStyle name="Normal 2 2 2 2 2 25 7" xfId="12413" xr:uid="{00000000-0005-0000-0000-00007D300000}"/>
    <cellStyle name="Normal 2 2 2 2 2 25 8" xfId="12414" xr:uid="{00000000-0005-0000-0000-00007E300000}"/>
    <cellStyle name="Normal 2 2 2 2 2 25 9" xfId="12415" xr:uid="{00000000-0005-0000-0000-00007F300000}"/>
    <cellStyle name="Normal 2 2 2 2 2 26" xfId="12416" xr:uid="{00000000-0005-0000-0000-000080300000}"/>
    <cellStyle name="Normal 2 2 2 2 2 26 10" xfId="12417" xr:uid="{00000000-0005-0000-0000-000081300000}"/>
    <cellStyle name="Normal 2 2 2 2 2 26 11" xfId="12418" xr:uid="{00000000-0005-0000-0000-000082300000}"/>
    <cellStyle name="Normal 2 2 2 2 2 26 12" xfId="12419" xr:uid="{00000000-0005-0000-0000-000083300000}"/>
    <cellStyle name="Normal 2 2 2 2 2 26 13" xfId="12420" xr:uid="{00000000-0005-0000-0000-000084300000}"/>
    <cellStyle name="Normal 2 2 2 2 2 26 14" xfId="12421" xr:uid="{00000000-0005-0000-0000-000085300000}"/>
    <cellStyle name="Normal 2 2 2 2 2 26 2" xfId="12422" xr:uid="{00000000-0005-0000-0000-000086300000}"/>
    <cellStyle name="Normal 2 2 2 2 2 26 2 10" xfId="12423" xr:uid="{00000000-0005-0000-0000-000087300000}"/>
    <cellStyle name="Normal 2 2 2 2 2 26 2 2" xfId="12424" xr:uid="{00000000-0005-0000-0000-000088300000}"/>
    <cellStyle name="Normal 2 2 2 2 2 26 2 3" xfId="12425" xr:uid="{00000000-0005-0000-0000-000089300000}"/>
    <cellStyle name="Normal 2 2 2 2 2 26 2 4" xfId="12426" xr:uid="{00000000-0005-0000-0000-00008A300000}"/>
    <cellStyle name="Normal 2 2 2 2 2 26 2 5" xfId="12427" xr:uid="{00000000-0005-0000-0000-00008B300000}"/>
    <cellStyle name="Normal 2 2 2 2 2 26 2 6" xfId="12428" xr:uid="{00000000-0005-0000-0000-00008C300000}"/>
    <cellStyle name="Normal 2 2 2 2 2 26 2 7" xfId="12429" xr:uid="{00000000-0005-0000-0000-00008D300000}"/>
    <cellStyle name="Normal 2 2 2 2 2 26 2 8" xfId="12430" xr:uid="{00000000-0005-0000-0000-00008E300000}"/>
    <cellStyle name="Normal 2 2 2 2 2 26 2 9" xfId="12431" xr:uid="{00000000-0005-0000-0000-00008F300000}"/>
    <cellStyle name="Normal 2 2 2 2 2 26 3" xfId="12432" xr:uid="{00000000-0005-0000-0000-000090300000}"/>
    <cellStyle name="Normal 2 2 2 2 2 26 3 10" xfId="12433" xr:uid="{00000000-0005-0000-0000-000091300000}"/>
    <cellStyle name="Normal 2 2 2 2 2 26 3 2" xfId="12434" xr:uid="{00000000-0005-0000-0000-000092300000}"/>
    <cellStyle name="Normal 2 2 2 2 2 26 3 3" xfId="12435" xr:uid="{00000000-0005-0000-0000-000093300000}"/>
    <cellStyle name="Normal 2 2 2 2 2 26 3 4" xfId="12436" xr:uid="{00000000-0005-0000-0000-000094300000}"/>
    <cellStyle name="Normal 2 2 2 2 2 26 3 5" xfId="12437" xr:uid="{00000000-0005-0000-0000-000095300000}"/>
    <cellStyle name="Normal 2 2 2 2 2 26 3 6" xfId="12438" xr:uid="{00000000-0005-0000-0000-000096300000}"/>
    <cellStyle name="Normal 2 2 2 2 2 26 3 7" xfId="12439" xr:uid="{00000000-0005-0000-0000-000097300000}"/>
    <cellStyle name="Normal 2 2 2 2 2 26 3 8" xfId="12440" xr:uid="{00000000-0005-0000-0000-000098300000}"/>
    <cellStyle name="Normal 2 2 2 2 2 26 3 9" xfId="12441" xr:uid="{00000000-0005-0000-0000-000099300000}"/>
    <cellStyle name="Normal 2 2 2 2 2 26 4" xfId="12442" xr:uid="{00000000-0005-0000-0000-00009A300000}"/>
    <cellStyle name="Normal 2 2 2 2 2 26 4 10" xfId="12443" xr:uid="{00000000-0005-0000-0000-00009B300000}"/>
    <cellStyle name="Normal 2 2 2 2 2 26 4 2" xfId="12444" xr:uid="{00000000-0005-0000-0000-00009C300000}"/>
    <cellStyle name="Normal 2 2 2 2 2 26 4 3" xfId="12445" xr:uid="{00000000-0005-0000-0000-00009D300000}"/>
    <cellStyle name="Normal 2 2 2 2 2 26 4 4" xfId="12446" xr:uid="{00000000-0005-0000-0000-00009E300000}"/>
    <cellStyle name="Normal 2 2 2 2 2 26 4 5" xfId="12447" xr:uid="{00000000-0005-0000-0000-00009F300000}"/>
    <cellStyle name="Normal 2 2 2 2 2 26 4 6" xfId="12448" xr:uid="{00000000-0005-0000-0000-0000A0300000}"/>
    <cellStyle name="Normal 2 2 2 2 2 26 4 7" xfId="12449" xr:uid="{00000000-0005-0000-0000-0000A1300000}"/>
    <cellStyle name="Normal 2 2 2 2 2 26 4 8" xfId="12450" xr:uid="{00000000-0005-0000-0000-0000A2300000}"/>
    <cellStyle name="Normal 2 2 2 2 2 26 4 9" xfId="12451" xr:uid="{00000000-0005-0000-0000-0000A3300000}"/>
    <cellStyle name="Normal 2 2 2 2 2 26 5" xfId="12452" xr:uid="{00000000-0005-0000-0000-0000A4300000}"/>
    <cellStyle name="Normal 2 2 2 2 2 26 5 10" xfId="12453" xr:uid="{00000000-0005-0000-0000-0000A5300000}"/>
    <cellStyle name="Normal 2 2 2 2 2 26 5 2" xfId="12454" xr:uid="{00000000-0005-0000-0000-0000A6300000}"/>
    <cellStyle name="Normal 2 2 2 2 2 26 5 3" xfId="12455" xr:uid="{00000000-0005-0000-0000-0000A7300000}"/>
    <cellStyle name="Normal 2 2 2 2 2 26 5 4" xfId="12456" xr:uid="{00000000-0005-0000-0000-0000A8300000}"/>
    <cellStyle name="Normal 2 2 2 2 2 26 5 5" xfId="12457" xr:uid="{00000000-0005-0000-0000-0000A9300000}"/>
    <cellStyle name="Normal 2 2 2 2 2 26 5 6" xfId="12458" xr:uid="{00000000-0005-0000-0000-0000AA300000}"/>
    <cellStyle name="Normal 2 2 2 2 2 26 5 7" xfId="12459" xr:uid="{00000000-0005-0000-0000-0000AB300000}"/>
    <cellStyle name="Normal 2 2 2 2 2 26 5 8" xfId="12460" xr:uid="{00000000-0005-0000-0000-0000AC300000}"/>
    <cellStyle name="Normal 2 2 2 2 2 26 5 9" xfId="12461" xr:uid="{00000000-0005-0000-0000-0000AD300000}"/>
    <cellStyle name="Normal 2 2 2 2 2 26 6" xfId="12462" xr:uid="{00000000-0005-0000-0000-0000AE300000}"/>
    <cellStyle name="Normal 2 2 2 2 2 26 7" xfId="12463" xr:uid="{00000000-0005-0000-0000-0000AF300000}"/>
    <cellStyle name="Normal 2 2 2 2 2 26 8" xfId="12464" xr:uid="{00000000-0005-0000-0000-0000B0300000}"/>
    <cellStyle name="Normal 2 2 2 2 2 26 9" xfId="12465" xr:uid="{00000000-0005-0000-0000-0000B1300000}"/>
    <cellStyle name="Normal 2 2 2 2 2 27" xfId="12466" xr:uid="{00000000-0005-0000-0000-0000B2300000}"/>
    <cellStyle name="Normal 2 2 2 2 2 27 10" xfId="12467" xr:uid="{00000000-0005-0000-0000-0000B3300000}"/>
    <cellStyle name="Normal 2 2 2 2 2 27 11" xfId="12468" xr:uid="{00000000-0005-0000-0000-0000B4300000}"/>
    <cellStyle name="Normal 2 2 2 2 2 27 12" xfId="12469" xr:uid="{00000000-0005-0000-0000-0000B5300000}"/>
    <cellStyle name="Normal 2 2 2 2 2 27 13" xfId="12470" xr:uid="{00000000-0005-0000-0000-0000B6300000}"/>
    <cellStyle name="Normal 2 2 2 2 2 27 14" xfId="12471" xr:uid="{00000000-0005-0000-0000-0000B7300000}"/>
    <cellStyle name="Normal 2 2 2 2 2 27 2" xfId="12472" xr:uid="{00000000-0005-0000-0000-0000B8300000}"/>
    <cellStyle name="Normal 2 2 2 2 2 27 2 10" xfId="12473" xr:uid="{00000000-0005-0000-0000-0000B9300000}"/>
    <cellStyle name="Normal 2 2 2 2 2 27 2 2" xfId="12474" xr:uid="{00000000-0005-0000-0000-0000BA300000}"/>
    <cellStyle name="Normal 2 2 2 2 2 27 2 3" xfId="12475" xr:uid="{00000000-0005-0000-0000-0000BB300000}"/>
    <cellStyle name="Normal 2 2 2 2 2 27 2 4" xfId="12476" xr:uid="{00000000-0005-0000-0000-0000BC300000}"/>
    <cellStyle name="Normal 2 2 2 2 2 27 2 5" xfId="12477" xr:uid="{00000000-0005-0000-0000-0000BD300000}"/>
    <cellStyle name="Normal 2 2 2 2 2 27 2 6" xfId="12478" xr:uid="{00000000-0005-0000-0000-0000BE300000}"/>
    <cellStyle name="Normal 2 2 2 2 2 27 2 7" xfId="12479" xr:uid="{00000000-0005-0000-0000-0000BF300000}"/>
    <cellStyle name="Normal 2 2 2 2 2 27 2 8" xfId="12480" xr:uid="{00000000-0005-0000-0000-0000C0300000}"/>
    <cellStyle name="Normal 2 2 2 2 2 27 2 9" xfId="12481" xr:uid="{00000000-0005-0000-0000-0000C1300000}"/>
    <cellStyle name="Normal 2 2 2 2 2 27 3" xfId="12482" xr:uid="{00000000-0005-0000-0000-0000C2300000}"/>
    <cellStyle name="Normal 2 2 2 2 2 27 3 10" xfId="12483" xr:uid="{00000000-0005-0000-0000-0000C3300000}"/>
    <cellStyle name="Normal 2 2 2 2 2 27 3 2" xfId="12484" xr:uid="{00000000-0005-0000-0000-0000C4300000}"/>
    <cellStyle name="Normal 2 2 2 2 2 27 3 3" xfId="12485" xr:uid="{00000000-0005-0000-0000-0000C5300000}"/>
    <cellStyle name="Normal 2 2 2 2 2 27 3 4" xfId="12486" xr:uid="{00000000-0005-0000-0000-0000C6300000}"/>
    <cellStyle name="Normal 2 2 2 2 2 27 3 5" xfId="12487" xr:uid="{00000000-0005-0000-0000-0000C7300000}"/>
    <cellStyle name="Normal 2 2 2 2 2 27 3 6" xfId="12488" xr:uid="{00000000-0005-0000-0000-0000C8300000}"/>
    <cellStyle name="Normal 2 2 2 2 2 27 3 7" xfId="12489" xr:uid="{00000000-0005-0000-0000-0000C9300000}"/>
    <cellStyle name="Normal 2 2 2 2 2 27 3 8" xfId="12490" xr:uid="{00000000-0005-0000-0000-0000CA300000}"/>
    <cellStyle name="Normal 2 2 2 2 2 27 3 9" xfId="12491" xr:uid="{00000000-0005-0000-0000-0000CB300000}"/>
    <cellStyle name="Normal 2 2 2 2 2 27 4" xfId="12492" xr:uid="{00000000-0005-0000-0000-0000CC300000}"/>
    <cellStyle name="Normal 2 2 2 2 2 27 4 10" xfId="12493" xr:uid="{00000000-0005-0000-0000-0000CD300000}"/>
    <cellStyle name="Normal 2 2 2 2 2 27 4 2" xfId="12494" xr:uid="{00000000-0005-0000-0000-0000CE300000}"/>
    <cellStyle name="Normal 2 2 2 2 2 27 4 3" xfId="12495" xr:uid="{00000000-0005-0000-0000-0000CF300000}"/>
    <cellStyle name="Normal 2 2 2 2 2 27 4 4" xfId="12496" xr:uid="{00000000-0005-0000-0000-0000D0300000}"/>
    <cellStyle name="Normal 2 2 2 2 2 27 4 5" xfId="12497" xr:uid="{00000000-0005-0000-0000-0000D1300000}"/>
    <cellStyle name="Normal 2 2 2 2 2 27 4 6" xfId="12498" xr:uid="{00000000-0005-0000-0000-0000D2300000}"/>
    <cellStyle name="Normal 2 2 2 2 2 27 4 7" xfId="12499" xr:uid="{00000000-0005-0000-0000-0000D3300000}"/>
    <cellStyle name="Normal 2 2 2 2 2 27 4 8" xfId="12500" xr:uid="{00000000-0005-0000-0000-0000D4300000}"/>
    <cellStyle name="Normal 2 2 2 2 2 27 4 9" xfId="12501" xr:uid="{00000000-0005-0000-0000-0000D5300000}"/>
    <cellStyle name="Normal 2 2 2 2 2 27 5" xfId="12502" xr:uid="{00000000-0005-0000-0000-0000D6300000}"/>
    <cellStyle name="Normal 2 2 2 2 2 27 5 10" xfId="12503" xr:uid="{00000000-0005-0000-0000-0000D7300000}"/>
    <cellStyle name="Normal 2 2 2 2 2 27 5 2" xfId="12504" xr:uid="{00000000-0005-0000-0000-0000D8300000}"/>
    <cellStyle name="Normal 2 2 2 2 2 27 5 3" xfId="12505" xr:uid="{00000000-0005-0000-0000-0000D9300000}"/>
    <cellStyle name="Normal 2 2 2 2 2 27 5 4" xfId="12506" xr:uid="{00000000-0005-0000-0000-0000DA300000}"/>
    <cellStyle name="Normal 2 2 2 2 2 27 5 5" xfId="12507" xr:uid="{00000000-0005-0000-0000-0000DB300000}"/>
    <cellStyle name="Normal 2 2 2 2 2 27 5 6" xfId="12508" xr:uid="{00000000-0005-0000-0000-0000DC300000}"/>
    <cellStyle name="Normal 2 2 2 2 2 27 5 7" xfId="12509" xr:uid="{00000000-0005-0000-0000-0000DD300000}"/>
    <cellStyle name="Normal 2 2 2 2 2 27 5 8" xfId="12510" xr:uid="{00000000-0005-0000-0000-0000DE300000}"/>
    <cellStyle name="Normal 2 2 2 2 2 27 5 9" xfId="12511" xr:uid="{00000000-0005-0000-0000-0000DF300000}"/>
    <cellStyle name="Normal 2 2 2 2 2 27 6" xfId="12512" xr:uid="{00000000-0005-0000-0000-0000E0300000}"/>
    <cellStyle name="Normal 2 2 2 2 2 27 7" xfId="12513" xr:uid="{00000000-0005-0000-0000-0000E1300000}"/>
    <cellStyle name="Normal 2 2 2 2 2 27 8" xfId="12514" xr:uid="{00000000-0005-0000-0000-0000E2300000}"/>
    <cellStyle name="Normal 2 2 2 2 2 27 9" xfId="12515" xr:uid="{00000000-0005-0000-0000-0000E3300000}"/>
    <cellStyle name="Normal 2 2 2 2 2 28" xfId="12516" xr:uid="{00000000-0005-0000-0000-0000E4300000}"/>
    <cellStyle name="Normal 2 2 2 2 2 28 10" xfId="12517" xr:uid="{00000000-0005-0000-0000-0000E5300000}"/>
    <cellStyle name="Normal 2 2 2 2 2 28 11" xfId="12518" xr:uid="{00000000-0005-0000-0000-0000E6300000}"/>
    <cellStyle name="Normal 2 2 2 2 2 28 12" xfId="12519" xr:uid="{00000000-0005-0000-0000-0000E7300000}"/>
    <cellStyle name="Normal 2 2 2 2 2 28 13" xfId="12520" xr:uid="{00000000-0005-0000-0000-0000E8300000}"/>
    <cellStyle name="Normal 2 2 2 2 2 28 14" xfId="12521" xr:uid="{00000000-0005-0000-0000-0000E9300000}"/>
    <cellStyle name="Normal 2 2 2 2 2 28 2" xfId="12522" xr:uid="{00000000-0005-0000-0000-0000EA300000}"/>
    <cellStyle name="Normal 2 2 2 2 2 28 2 10" xfId="12523" xr:uid="{00000000-0005-0000-0000-0000EB300000}"/>
    <cellStyle name="Normal 2 2 2 2 2 28 2 2" xfId="12524" xr:uid="{00000000-0005-0000-0000-0000EC300000}"/>
    <cellStyle name="Normal 2 2 2 2 2 28 2 3" xfId="12525" xr:uid="{00000000-0005-0000-0000-0000ED300000}"/>
    <cellStyle name="Normal 2 2 2 2 2 28 2 4" xfId="12526" xr:uid="{00000000-0005-0000-0000-0000EE300000}"/>
    <cellStyle name="Normal 2 2 2 2 2 28 2 5" xfId="12527" xr:uid="{00000000-0005-0000-0000-0000EF300000}"/>
    <cellStyle name="Normal 2 2 2 2 2 28 2 6" xfId="12528" xr:uid="{00000000-0005-0000-0000-0000F0300000}"/>
    <cellStyle name="Normal 2 2 2 2 2 28 2 7" xfId="12529" xr:uid="{00000000-0005-0000-0000-0000F1300000}"/>
    <cellStyle name="Normal 2 2 2 2 2 28 2 8" xfId="12530" xr:uid="{00000000-0005-0000-0000-0000F2300000}"/>
    <cellStyle name="Normal 2 2 2 2 2 28 2 9" xfId="12531" xr:uid="{00000000-0005-0000-0000-0000F3300000}"/>
    <cellStyle name="Normal 2 2 2 2 2 28 3" xfId="12532" xr:uid="{00000000-0005-0000-0000-0000F4300000}"/>
    <cellStyle name="Normal 2 2 2 2 2 28 3 10" xfId="12533" xr:uid="{00000000-0005-0000-0000-0000F5300000}"/>
    <cellStyle name="Normal 2 2 2 2 2 28 3 2" xfId="12534" xr:uid="{00000000-0005-0000-0000-0000F6300000}"/>
    <cellStyle name="Normal 2 2 2 2 2 28 3 3" xfId="12535" xr:uid="{00000000-0005-0000-0000-0000F7300000}"/>
    <cellStyle name="Normal 2 2 2 2 2 28 3 4" xfId="12536" xr:uid="{00000000-0005-0000-0000-0000F8300000}"/>
    <cellStyle name="Normal 2 2 2 2 2 28 3 5" xfId="12537" xr:uid="{00000000-0005-0000-0000-0000F9300000}"/>
    <cellStyle name="Normal 2 2 2 2 2 28 3 6" xfId="12538" xr:uid="{00000000-0005-0000-0000-0000FA300000}"/>
    <cellStyle name="Normal 2 2 2 2 2 28 3 7" xfId="12539" xr:uid="{00000000-0005-0000-0000-0000FB300000}"/>
    <cellStyle name="Normal 2 2 2 2 2 28 3 8" xfId="12540" xr:uid="{00000000-0005-0000-0000-0000FC300000}"/>
    <cellStyle name="Normal 2 2 2 2 2 28 3 9" xfId="12541" xr:uid="{00000000-0005-0000-0000-0000FD300000}"/>
    <cellStyle name="Normal 2 2 2 2 2 28 4" xfId="12542" xr:uid="{00000000-0005-0000-0000-0000FE300000}"/>
    <cellStyle name="Normal 2 2 2 2 2 28 4 10" xfId="12543" xr:uid="{00000000-0005-0000-0000-0000FF300000}"/>
    <cellStyle name="Normal 2 2 2 2 2 28 4 2" xfId="12544" xr:uid="{00000000-0005-0000-0000-000000310000}"/>
    <cellStyle name="Normal 2 2 2 2 2 28 4 3" xfId="12545" xr:uid="{00000000-0005-0000-0000-000001310000}"/>
    <cellStyle name="Normal 2 2 2 2 2 28 4 4" xfId="12546" xr:uid="{00000000-0005-0000-0000-000002310000}"/>
    <cellStyle name="Normal 2 2 2 2 2 28 4 5" xfId="12547" xr:uid="{00000000-0005-0000-0000-000003310000}"/>
    <cellStyle name="Normal 2 2 2 2 2 28 4 6" xfId="12548" xr:uid="{00000000-0005-0000-0000-000004310000}"/>
    <cellStyle name="Normal 2 2 2 2 2 28 4 7" xfId="12549" xr:uid="{00000000-0005-0000-0000-000005310000}"/>
    <cellStyle name="Normal 2 2 2 2 2 28 4 8" xfId="12550" xr:uid="{00000000-0005-0000-0000-000006310000}"/>
    <cellStyle name="Normal 2 2 2 2 2 28 4 9" xfId="12551" xr:uid="{00000000-0005-0000-0000-000007310000}"/>
    <cellStyle name="Normal 2 2 2 2 2 28 5" xfId="12552" xr:uid="{00000000-0005-0000-0000-000008310000}"/>
    <cellStyle name="Normal 2 2 2 2 2 28 5 10" xfId="12553" xr:uid="{00000000-0005-0000-0000-000009310000}"/>
    <cellStyle name="Normal 2 2 2 2 2 28 5 2" xfId="12554" xr:uid="{00000000-0005-0000-0000-00000A310000}"/>
    <cellStyle name="Normal 2 2 2 2 2 28 5 3" xfId="12555" xr:uid="{00000000-0005-0000-0000-00000B310000}"/>
    <cellStyle name="Normal 2 2 2 2 2 28 5 4" xfId="12556" xr:uid="{00000000-0005-0000-0000-00000C310000}"/>
    <cellStyle name="Normal 2 2 2 2 2 28 5 5" xfId="12557" xr:uid="{00000000-0005-0000-0000-00000D310000}"/>
    <cellStyle name="Normal 2 2 2 2 2 28 5 6" xfId="12558" xr:uid="{00000000-0005-0000-0000-00000E310000}"/>
    <cellStyle name="Normal 2 2 2 2 2 28 5 7" xfId="12559" xr:uid="{00000000-0005-0000-0000-00000F310000}"/>
    <cellStyle name="Normal 2 2 2 2 2 28 5 8" xfId="12560" xr:uid="{00000000-0005-0000-0000-000010310000}"/>
    <cellStyle name="Normal 2 2 2 2 2 28 5 9" xfId="12561" xr:uid="{00000000-0005-0000-0000-000011310000}"/>
    <cellStyle name="Normal 2 2 2 2 2 28 6" xfId="12562" xr:uid="{00000000-0005-0000-0000-000012310000}"/>
    <cellStyle name="Normal 2 2 2 2 2 28 7" xfId="12563" xr:uid="{00000000-0005-0000-0000-000013310000}"/>
    <cellStyle name="Normal 2 2 2 2 2 28 8" xfId="12564" xr:uid="{00000000-0005-0000-0000-000014310000}"/>
    <cellStyle name="Normal 2 2 2 2 2 28 9" xfId="12565" xr:uid="{00000000-0005-0000-0000-000015310000}"/>
    <cellStyle name="Normal 2 2 2 2 2 29" xfId="12566" xr:uid="{00000000-0005-0000-0000-000016310000}"/>
    <cellStyle name="Normal 2 2 2 2 2 29 10" xfId="12567" xr:uid="{00000000-0005-0000-0000-000017310000}"/>
    <cellStyle name="Normal 2 2 2 2 2 29 11" xfId="12568" xr:uid="{00000000-0005-0000-0000-000018310000}"/>
    <cellStyle name="Normal 2 2 2 2 2 29 12" xfId="12569" xr:uid="{00000000-0005-0000-0000-000019310000}"/>
    <cellStyle name="Normal 2 2 2 2 2 29 13" xfId="12570" xr:uid="{00000000-0005-0000-0000-00001A310000}"/>
    <cellStyle name="Normal 2 2 2 2 2 29 14" xfId="12571" xr:uid="{00000000-0005-0000-0000-00001B310000}"/>
    <cellStyle name="Normal 2 2 2 2 2 29 2" xfId="12572" xr:uid="{00000000-0005-0000-0000-00001C310000}"/>
    <cellStyle name="Normal 2 2 2 2 2 29 2 10" xfId="12573" xr:uid="{00000000-0005-0000-0000-00001D310000}"/>
    <cellStyle name="Normal 2 2 2 2 2 29 2 2" xfId="12574" xr:uid="{00000000-0005-0000-0000-00001E310000}"/>
    <cellStyle name="Normal 2 2 2 2 2 29 2 3" xfId="12575" xr:uid="{00000000-0005-0000-0000-00001F310000}"/>
    <cellStyle name="Normal 2 2 2 2 2 29 2 4" xfId="12576" xr:uid="{00000000-0005-0000-0000-000020310000}"/>
    <cellStyle name="Normal 2 2 2 2 2 29 2 5" xfId="12577" xr:uid="{00000000-0005-0000-0000-000021310000}"/>
    <cellStyle name="Normal 2 2 2 2 2 29 2 6" xfId="12578" xr:uid="{00000000-0005-0000-0000-000022310000}"/>
    <cellStyle name="Normal 2 2 2 2 2 29 2 7" xfId="12579" xr:uid="{00000000-0005-0000-0000-000023310000}"/>
    <cellStyle name="Normal 2 2 2 2 2 29 2 8" xfId="12580" xr:uid="{00000000-0005-0000-0000-000024310000}"/>
    <cellStyle name="Normal 2 2 2 2 2 29 2 9" xfId="12581" xr:uid="{00000000-0005-0000-0000-000025310000}"/>
    <cellStyle name="Normal 2 2 2 2 2 29 3" xfId="12582" xr:uid="{00000000-0005-0000-0000-000026310000}"/>
    <cellStyle name="Normal 2 2 2 2 2 29 3 10" xfId="12583" xr:uid="{00000000-0005-0000-0000-000027310000}"/>
    <cellStyle name="Normal 2 2 2 2 2 29 3 2" xfId="12584" xr:uid="{00000000-0005-0000-0000-000028310000}"/>
    <cellStyle name="Normal 2 2 2 2 2 29 3 3" xfId="12585" xr:uid="{00000000-0005-0000-0000-000029310000}"/>
    <cellStyle name="Normal 2 2 2 2 2 29 3 4" xfId="12586" xr:uid="{00000000-0005-0000-0000-00002A310000}"/>
    <cellStyle name="Normal 2 2 2 2 2 29 3 5" xfId="12587" xr:uid="{00000000-0005-0000-0000-00002B310000}"/>
    <cellStyle name="Normal 2 2 2 2 2 29 3 6" xfId="12588" xr:uid="{00000000-0005-0000-0000-00002C310000}"/>
    <cellStyle name="Normal 2 2 2 2 2 29 3 7" xfId="12589" xr:uid="{00000000-0005-0000-0000-00002D310000}"/>
    <cellStyle name="Normal 2 2 2 2 2 29 3 8" xfId="12590" xr:uid="{00000000-0005-0000-0000-00002E310000}"/>
    <cellStyle name="Normal 2 2 2 2 2 29 3 9" xfId="12591" xr:uid="{00000000-0005-0000-0000-00002F310000}"/>
    <cellStyle name="Normal 2 2 2 2 2 29 4" xfId="12592" xr:uid="{00000000-0005-0000-0000-000030310000}"/>
    <cellStyle name="Normal 2 2 2 2 2 29 4 10" xfId="12593" xr:uid="{00000000-0005-0000-0000-000031310000}"/>
    <cellStyle name="Normal 2 2 2 2 2 29 4 2" xfId="12594" xr:uid="{00000000-0005-0000-0000-000032310000}"/>
    <cellStyle name="Normal 2 2 2 2 2 29 4 3" xfId="12595" xr:uid="{00000000-0005-0000-0000-000033310000}"/>
    <cellStyle name="Normal 2 2 2 2 2 29 4 4" xfId="12596" xr:uid="{00000000-0005-0000-0000-000034310000}"/>
    <cellStyle name="Normal 2 2 2 2 2 29 4 5" xfId="12597" xr:uid="{00000000-0005-0000-0000-000035310000}"/>
    <cellStyle name="Normal 2 2 2 2 2 29 4 6" xfId="12598" xr:uid="{00000000-0005-0000-0000-000036310000}"/>
    <cellStyle name="Normal 2 2 2 2 2 29 4 7" xfId="12599" xr:uid="{00000000-0005-0000-0000-000037310000}"/>
    <cellStyle name="Normal 2 2 2 2 2 29 4 8" xfId="12600" xr:uid="{00000000-0005-0000-0000-000038310000}"/>
    <cellStyle name="Normal 2 2 2 2 2 29 4 9" xfId="12601" xr:uid="{00000000-0005-0000-0000-000039310000}"/>
    <cellStyle name="Normal 2 2 2 2 2 29 5" xfId="12602" xr:uid="{00000000-0005-0000-0000-00003A310000}"/>
    <cellStyle name="Normal 2 2 2 2 2 29 5 10" xfId="12603" xr:uid="{00000000-0005-0000-0000-00003B310000}"/>
    <cellStyle name="Normal 2 2 2 2 2 29 5 2" xfId="12604" xr:uid="{00000000-0005-0000-0000-00003C310000}"/>
    <cellStyle name="Normal 2 2 2 2 2 29 5 3" xfId="12605" xr:uid="{00000000-0005-0000-0000-00003D310000}"/>
    <cellStyle name="Normal 2 2 2 2 2 29 5 4" xfId="12606" xr:uid="{00000000-0005-0000-0000-00003E310000}"/>
    <cellStyle name="Normal 2 2 2 2 2 29 5 5" xfId="12607" xr:uid="{00000000-0005-0000-0000-00003F310000}"/>
    <cellStyle name="Normal 2 2 2 2 2 29 5 6" xfId="12608" xr:uid="{00000000-0005-0000-0000-000040310000}"/>
    <cellStyle name="Normal 2 2 2 2 2 29 5 7" xfId="12609" xr:uid="{00000000-0005-0000-0000-000041310000}"/>
    <cellStyle name="Normal 2 2 2 2 2 29 5 8" xfId="12610" xr:uid="{00000000-0005-0000-0000-000042310000}"/>
    <cellStyle name="Normal 2 2 2 2 2 29 5 9" xfId="12611" xr:uid="{00000000-0005-0000-0000-000043310000}"/>
    <cellStyle name="Normal 2 2 2 2 2 29 6" xfId="12612" xr:uid="{00000000-0005-0000-0000-000044310000}"/>
    <cellStyle name="Normal 2 2 2 2 2 29 7" xfId="12613" xr:uid="{00000000-0005-0000-0000-000045310000}"/>
    <cellStyle name="Normal 2 2 2 2 2 29 8" xfId="12614" xr:uid="{00000000-0005-0000-0000-000046310000}"/>
    <cellStyle name="Normal 2 2 2 2 2 29 9" xfId="12615" xr:uid="{00000000-0005-0000-0000-000047310000}"/>
    <cellStyle name="Normal 2 2 2 2 2 3" xfId="12616" xr:uid="{00000000-0005-0000-0000-000048310000}"/>
    <cellStyle name="Normal 2 2 2 2 2 3 10" xfId="12617" xr:uid="{00000000-0005-0000-0000-000049310000}"/>
    <cellStyle name="Normal 2 2 2 2 2 3 11" xfId="12618" xr:uid="{00000000-0005-0000-0000-00004A310000}"/>
    <cellStyle name="Normal 2 2 2 2 2 3 12" xfId="12619" xr:uid="{00000000-0005-0000-0000-00004B310000}"/>
    <cellStyle name="Normal 2 2 2 2 2 3 13" xfId="12620" xr:uid="{00000000-0005-0000-0000-00004C310000}"/>
    <cellStyle name="Normal 2 2 2 2 2 3 14" xfId="12621" xr:uid="{00000000-0005-0000-0000-00004D310000}"/>
    <cellStyle name="Normal 2 2 2 2 2 3 15" xfId="12622" xr:uid="{00000000-0005-0000-0000-00004E310000}"/>
    <cellStyle name="Normal 2 2 2 2 2 3 16" xfId="12623" xr:uid="{00000000-0005-0000-0000-00004F310000}"/>
    <cellStyle name="Normal 2 2 2 2 2 3 2" xfId="12624" xr:uid="{00000000-0005-0000-0000-000050310000}"/>
    <cellStyle name="Normal 2 2 2 2 2 3 2 10" xfId="12625" xr:uid="{00000000-0005-0000-0000-000051310000}"/>
    <cellStyle name="Normal 2 2 2 2 2 3 2 11" xfId="12626" xr:uid="{00000000-0005-0000-0000-000052310000}"/>
    <cellStyle name="Normal 2 2 2 2 2 3 2 12" xfId="12627" xr:uid="{00000000-0005-0000-0000-000053310000}"/>
    <cellStyle name="Normal 2 2 2 2 2 3 2 2" xfId="12628" xr:uid="{00000000-0005-0000-0000-000054310000}"/>
    <cellStyle name="Normal 2 2 2 2 2 3 2 3" xfId="12629" xr:uid="{00000000-0005-0000-0000-000055310000}"/>
    <cellStyle name="Normal 2 2 2 2 2 3 2 4" xfId="12630" xr:uid="{00000000-0005-0000-0000-000056310000}"/>
    <cellStyle name="Normal 2 2 2 2 2 3 2 5" xfId="12631" xr:uid="{00000000-0005-0000-0000-000057310000}"/>
    <cellStyle name="Normal 2 2 2 2 2 3 2 6" xfId="12632" xr:uid="{00000000-0005-0000-0000-000058310000}"/>
    <cellStyle name="Normal 2 2 2 2 2 3 2 7" xfId="12633" xr:uid="{00000000-0005-0000-0000-000059310000}"/>
    <cellStyle name="Normal 2 2 2 2 2 3 2 8" xfId="12634" xr:uid="{00000000-0005-0000-0000-00005A310000}"/>
    <cellStyle name="Normal 2 2 2 2 2 3 2 9" xfId="12635" xr:uid="{00000000-0005-0000-0000-00005B310000}"/>
    <cellStyle name="Normal 2 2 2 2 2 3 3" xfId="12636" xr:uid="{00000000-0005-0000-0000-00005C310000}"/>
    <cellStyle name="Normal 2 2 2 2 2 3 3 10" xfId="12637" xr:uid="{00000000-0005-0000-0000-00005D310000}"/>
    <cellStyle name="Normal 2 2 2 2 2 3 3 2" xfId="12638" xr:uid="{00000000-0005-0000-0000-00005E310000}"/>
    <cellStyle name="Normal 2 2 2 2 2 3 3 3" xfId="12639" xr:uid="{00000000-0005-0000-0000-00005F310000}"/>
    <cellStyle name="Normal 2 2 2 2 2 3 3 4" xfId="12640" xr:uid="{00000000-0005-0000-0000-000060310000}"/>
    <cellStyle name="Normal 2 2 2 2 2 3 3 5" xfId="12641" xr:uid="{00000000-0005-0000-0000-000061310000}"/>
    <cellStyle name="Normal 2 2 2 2 2 3 3 6" xfId="12642" xr:uid="{00000000-0005-0000-0000-000062310000}"/>
    <cellStyle name="Normal 2 2 2 2 2 3 3 7" xfId="12643" xr:uid="{00000000-0005-0000-0000-000063310000}"/>
    <cellStyle name="Normal 2 2 2 2 2 3 3 8" xfId="12644" xr:uid="{00000000-0005-0000-0000-000064310000}"/>
    <cellStyle name="Normal 2 2 2 2 2 3 3 9" xfId="12645" xr:uid="{00000000-0005-0000-0000-000065310000}"/>
    <cellStyle name="Normal 2 2 2 2 2 3 4" xfId="12646" xr:uid="{00000000-0005-0000-0000-000066310000}"/>
    <cellStyle name="Normal 2 2 2 2 2 3 4 10" xfId="12647" xr:uid="{00000000-0005-0000-0000-000067310000}"/>
    <cellStyle name="Normal 2 2 2 2 2 3 4 2" xfId="12648" xr:uid="{00000000-0005-0000-0000-000068310000}"/>
    <cellStyle name="Normal 2 2 2 2 2 3 4 3" xfId="12649" xr:uid="{00000000-0005-0000-0000-000069310000}"/>
    <cellStyle name="Normal 2 2 2 2 2 3 4 4" xfId="12650" xr:uid="{00000000-0005-0000-0000-00006A310000}"/>
    <cellStyle name="Normal 2 2 2 2 2 3 4 5" xfId="12651" xr:uid="{00000000-0005-0000-0000-00006B310000}"/>
    <cellStyle name="Normal 2 2 2 2 2 3 4 6" xfId="12652" xr:uid="{00000000-0005-0000-0000-00006C310000}"/>
    <cellStyle name="Normal 2 2 2 2 2 3 4 7" xfId="12653" xr:uid="{00000000-0005-0000-0000-00006D310000}"/>
    <cellStyle name="Normal 2 2 2 2 2 3 4 8" xfId="12654" xr:uid="{00000000-0005-0000-0000-00006E310000}"/>
    <cellStyle name="Normal 2 2 2 2 2 3 4 9" xfId="12655" xr:uid="{00000000-0005-0000-0000-00006F310000}"/>
    <cellStyle name="Normal 2 2 2 2 2 3 5" xfId="12656" xr:uid="{00000000-0005-0000-0000-000070310000}"/>
    <cellStyle name="Normal 2 2 2 2 2 3 5 10" xfId="12657" xr:uid="{00000000-0005-0000-0000-000071310000}"/>
    <cellStyle name="Normal 2 2 2 2 2 3 5 2" xfId="12658" xr:uid="{00000000-0005-0000-0000-000072310000}"/>
    <cellStyle name="Normal 2 2 2 2 2 3 5 3" xfId="12659" xr:uid="{00000000-0005-0000-0000-000073310000}"/>
    <cellStyle name="Normal 2 2 2 2 2 3 5 4" xfId="12660" xr:uid="{00000000-0005-0000-0000-000074310000}"/>
    <cellStyle name="Normal 2 2 2 2 2 3 5 5" xfId="12661" xr:uid="{00000000-0005-0000-0000-000075310000}"/>
    <cellStyle name="Normal 2 2 2 2 2 3 5 6" xfId="12662" xr:uid="{00000000-0005-0000-0000-000076310000}"/>
    <cellStyle name="Normal 2 2 2 2 2 3 5 7" xfId="12663" xr:uid="{00000000-0005-0000-0000-000077310000}"/>
    <cellStyle name="Normal 2 2 2 2 2 3 5 8" xfId="12664" xr:uid="{00000000-0005-0000-0000-000078310000}"/>
    <cellStyle name="Normal 2 2 2 2 2 3 5 9" xfId="12665" xr:uid="{00000000-0005-0000-0000-000079310000}"/>
    <cellStyle name="Normal 2 2 2 2 2 3 6" xfId="12666" xr:uid="{00000000-0005-0000-0000-00007A310000}"/>
    <cellStyle name="Normal 2 2 2 2 2 3 7" xfId="12667" xr:uid="{00000000-0005-0000-0000-00007B310000}"/>
    <cellStyle name="Normal 2 2 2 2 2 3 8" xfId="12668" xr:uid="{00000000-0005-0000-0000-00007C310000}"/>
    <cellStyle name="Normal 2 2 2 2 2 3 9" xfId="12669" xr:uid="{00000000-0005-0000-0000-00007D310000}"/>
    <cellStyle name="Normal 2 2 2 2 2 30" xfId="12670" xr:uid="{00000000-0005-0000-0000-00007E310000}"/>
    <cellStyle name="Normal 2 2 2 2 2 30 10" xfId="12671" xr:uid="{00000000-0005-0000-0000-00007F310000}"/>
    <cellStyle name="Normal 2 2 2 2 2 30 11" xfId="12672" xr:uid="{00000000-0005-0000-0000-000080310000}"/>
    <cellStyle name="Normal 2 2 2 2 2 30 12" xfId="12673" xr:uid="{00000000-0005-0000-0000-000081310000}"/>
    <cellStyle name="Normal 2 2 2 2 2 30 13" xfId="12674" xr:uid="{00000000-0005-0000-0000-000082310000}"/>
    <cellStyle name="Normal 2 2 2 2 2 30 14" xfId="12675" xr:uid="{00000000-0005-0000-0000-000083310000}"/>
    <cellStyle name="Normal 2 2 2 2 2 30 2" xfId="12676" xr:uid="{00000000-0005-0000-0000-000084310000}"/>
    <cellStyle name="Normal 2 2 2 2 2 30 2 10" xfId="12677" xr:uid="{00000000-0005-0000-0000-000085310000}"/>
    <cellStyle name="Normal 2 2 2 2 2 30 2 2" xfId="12678" xr:uid="{00000000-0005-0000-0000-000086310000}"/>
    <cellStyle name="Normal 2 2 2 2 2 30 2 3" xfId="12679" xr:uid="{00000000-0005-0000-0000-000087310000}"/>
    <cellStyle name="Normal 2 2 2 2 2 30 2 4" xfId="12680" xr:uid="{00000000-0005-0000-0000-000088310000}"/>
    <cellStyle name="Normal 2 2 2 2 2 30 2 5" xfId="12681" xr:uid="{00000000-0005-0000-0000-000089310000}"/>
    <cellStyle name="Normal 2 2 2 2 2 30 2 6" xfId="12682" xr:uid="{00000000-0005-0000-0000-00008A310000}"/>
    <cellStyle name="Normal 2 2 2 2 2 30 2 7" xfId="12683" xr:uid="{00000000-0005-0000-0000-00008B310000}"/>
    <cellStyle name="Normal 2 2 2 2 2 30 2 8" xfId="12684" xr:uid="{00000000-0005-0000-0000-00008C310000}"/>
    <cellStyle name="Normal 2 2 2 2 2 30 2 9" xfId="12685" xr:uid="{00000000-0005-0000-0000-00008D310000}"/>
    <cellStyle name="Normal 2 2 2 2 2 30 3" xfId="12686" xr:uid="{00000000-0005-0000-0000-00008E310000}"/>
    <cellStyle name="Normal 2 2 2 2 2 30 3 10" xfId="12687" xr:uid="{00000000-0005-0000-0000-00008F310000}"/>
    <cellStyle name="Normal 2 2 2 2 2 30 3 2" xfId="12688" xr:uid="{00000000-0005-0000-0000-000090310000}"/>
    <cellStyle name="Normal 2 2 2 2 2 30 3 3" xfId="12689" xr:uid="{00000000-0005-0000-0000-000091310000}"/>
    <cellStyle name="Normal 2 2 2 2 2 30 3 4" xfId="12690" xr:uid="{00000000-0005-0000-0000-000092310000}"/>
    <cellStyle name="Normal 2 2 2 2 2 30 3 5" xfId="12691" xr:uid="{00000000-0005-0000-0000-000093310000}"/>
    <cellStyle name="Normal 2 2 2 2 2 30 3 6" xfId="12692" xr:uid="{00000000-0005-0000-0000-000094310000}"/>
    <cellStyle name="Normal 2 2 2 2 2 30 3 7" xfId="12693" xr:uid="{00000000-0005-0000-0000-000095310000}"/>
    <cellStyle name="Normal 2 2 2 2 2 30 3 8" xfId="12694" xr:uid="{00000000-0005-0000-0000-000096310000}"/>
    <cellStyle name="Normal 2 2 2 2 2 30 3 9" xfId="12695" xr:uid="{00000000-0005-0000-0000-000097310000}"/>
    <cellStyle name="Normal 2 2 2 2 2 30 4" xfId="12696" xr:uid="{00000000-0005-0000-0000-000098310000}"/>
    <cellStyle name="Normal 2 2 2 2 2 30 4 10" xfId="12697" xr:uid="{00000000-0005-0000-0000-000099310000}"/>
    <cellStyle name="Normal 2 2 2 2 2 30 4 2" xfId="12698" xr:uid="{00000000-0005-0000-0000-00009A310000}"/>
    <cellStyle name="Normal 2 2 2 2 2 30 4 3" xfId="12699" xr:uid="{00000000-0005-0000-0000-00009B310000}"/>
    <cellStyle name="Normal 2 2 2 2 2 30 4 4" xfId="12700" xr:uid="{00000000-0005-0000-0000-00009C310000}"/>
    <cellStyle name="Normal 2 2 2 2 2 30 4 5" xfId="12701" xr:uid="{00000000-0005-0000-0000-00009D310000}"/>
    <cellStyle name="Normal 2 2 2 2 2 30 4 6" xfId="12702" xr:uid="{00000000-0005-0000-0000-00009E310000}"/>
    <cellStyle name="Normal 2 2 2 2 2 30 4 7" xfId="12703" xr:uid="{00000000-0005-0000-0000-00009F310000}"/>
    <cellStyle name="Normal 2 2 2 2 2 30 4 8" xfId="12704" xr:uid="{00000000-0005-0000-0000-0000A0310000}"/>
    <cellStyle name="Normal 2 2 2 2 2 30 4 9" xfId="12705" xr:uid="{00000000-0005-0000-0000-0000A1310000}"/>
    <cellStyle name="Normal 2 2 2 2 2 30 5" xfId="12706" xr:uid="{00000000-0005-0000-0000-0000A2310000}"/>
    <cellStyle name="Normal 2 2 2 2 2 30 5 10" xfId="12707" xr:uid="{00000000-0005-0000-0000-0000A3310000}"/>
    <cellStyle name="Normal 2 2 2 2 2 30 5 2" xfId="12708" xr:uid="{00000000-0005-0000-0000-0000A4310000}"/>
    <cellStyle name="Normal 2 2 2 2 2 30 5 3" xfId="12709" xr:uid="{00000000-0005-0000-0000-0000A5310000}"/>
    <cellStyle name="Normal 2 2 2 2 2 30 5 4" xfId="12710" xr:uid="{00000000-0005-0000-0000-0000A6310000}"/>
    <cellStyle name="Normal 2 2 2 2 2 30 5 5" xfId="12711" xr:uid="{00000000-0005-0000-0000-0000A7310000}"/>
    <cellStyle name="Normal 2 2 2 2 2 30 5 6" xfId="12712" xr:uid="{00000000-0005-0000-0000-0000A8310000}"/>
    <cellStyle name="Normal 2 2 2 2 2 30 5 7" xfId="12713" xr:uid="{00000000-0005-0000-0000-0000A9310000}"/>
    <cellStyle name="Normal 2 2 2 2 2 30 5 8" xfId="12714" xr:uid="{00000000-0005-0000-0000-0000AA310000}"/>
    <cellStyle name="Normal 2 2 2 2 2 30 5 9" xfId="12715" xr:uid="{00000000-0005-0000-0000-0000AB310000}"/>
    <cellStyle name="Normal 2 2 2 2 2 30 6" xfId="12716" xr:uid="{00000000-0005-0000-0000-0000AC310000}"/>
    <cellStyle name="Normal 2 2 2 2 2 30 7" xfId="12717" xr:uid="{00000000-0005-0000-0000-0000AD310000}"/>
    <cellStyle name="Normal 2 2 2 2 2 30 8" xfId="12718" xr:uid="{00000000-0005-0000-0000-0000AE310000}"/>
    <cellStyle name="Normal 2 2 2 2 2 30 9" xfId="12719" xr:uid="{00000000-0005-0000-0000-0000AF310000}"/>
    <cellStyle name="Normal 2 2 2 2 2 31" xfId="12720" xr:uid="{00000000-0005-0000-0000-0000B0310000}"/>
    <cellStyle name="Normal 2 2 2 2 2 31 10" xfId="12721" xr:uid="{00000000-0005-0000-0000-0000B1310000}"/>
    <cellStyle name="Normal 2 2 2 2 2 31 11" xfId="12722" xr:uid="{00000000-0005-0000-0000-0000B2310000}"/>
    <cellStyle name="Normal 2 2 2 2 2 31 12" xfId="12723" xr:uid="{00000000-0005-0000-0000-0000B3310000}"/>
    <cellStyle name="Normal 2 2 2 2 2 31 13" xfId="12724" xr:uid="{00000000-0005-0000-0000-0000B4310000}"/>
    <cellStyle name="Normal 2 2 2 2 2 31 14" xfId="12725" xr:uid="{00000000-0005-0000-0000-0000B5310000}"/>
    <cellStyle name="Normal 2 2 2 2 2 31 2" xfId="12726" xr:uid="{00000000-0005-0000-0000-0000B6310000}"/>
    <cellStyle name="Normal 2 2 2 2 2 31 2 10" xfId="12727" xr:uid="{00000000-0005-0000-0000-0000B7310000}"/>
    <cellStyle name="Normal 2 2 2 2 2 31 2 2" xfId="12728" xr:uid="{00000000-0005-0000-0000-0000B8310000}"/>
    <cellStyle name="Normal 2 2 2 2 2 31 2 3" xfId="12729" xr:uid="{00000000-0005-0000-0000-0000B9310000}"/>
    <cellStyle name="Normal 2 2 2 2 2 31 2 4" xfId="12730" xr:uid="{00000000-0005-0000-0000-0000BA310000}"/>
    <cellStyle name="Normal 2 2 2 2 2 31 2 5" xfId="12731" xr:uid="{00000000-0005-0000-0000-0000BB310000}"/>
    <cellStyle name="Normal 2 2 2 2 2 31 2 6" xfId="12732" xr:uid="{00000000-0005-0000-0000-0000BC310000}"/>
    <cellStyle name="Normal 2 2 2 2 2 31 2 7" xfId="12733" xr:uid="{00000000-0005-0000-0000-0000BD310000}"/>
    <cellStyle name="Normal 2 2 2 2 2 31 2 8" xfId="12734" xr:uid="{00000000-0005-0000-0000-0000BE310000}"/>
    <cellStyle name="Normal 2 2 2 2 2 31 2 9" xfId="12735" xr:uid="{00000000-0005-0000-0000-0000BF310000}"/>
    <cellStyle name="Normal 2 2 2 2 2 31 3" xfId="12736" xr:uid="{00000000-0005-0000-0000-0000C0310000}"/>
    <cellStyle name="Normal 2 2 2 2 2 31 3 10" xfId="12737" xr:uid="{00000000-0005-0000-0000-0000C1310000}"/>
    <cellStyle name="Normal 2 2 2 2 2 31 3 2" xfId="12738" xr:uid="{00000000-0005-0000-0000-0000C2310000}"/>
    <cellStyle name="Normal 2 2 2 2 2 31 3 3" xfId="12739" xr:uid="{00000000-0005-0000-0000-0000C3310000}"/>
    <cellStyle name="Normal 2 2 2 2 2 31 3 4" xfId="12740" xr:uid="{00000000-0005-0000-0000-0000C4310000}"/>
    <cellStyle name="Normal 2 2 2 2 2 31 3 5" xfId="12741" xr:uid="{00000000-0005-0000-0000-0000C5310000}"/>
    <cellStyle name="Normal 2 2 2 2 2 31 3 6" xfId="12742" xr:uid="{00000000-0005-0000-0000-0000C6310000}"/>
    <cellStyle name="Normal 2 2 2 2 2 31 3 7" xfId="12743" xr:uid="{00000000-0005-0000-0000-0000C7310000}"/>
    <cellStyle name="Normal 2 2 2 2 2 31 3 8" xfId="12744" xr:uid="{00000000-0005-0000-0000-0000C8310000}"/>
    <cellStyle name="Normal 2 2 2 2 2 31 3 9" xfId="12745" xr:uid="{00000000-0005-0000-0000-0000C9310000}"/>
    <cellStyle name="Normal 2 2 2 2 2 31 4" xfId="12746" xr:uid="{00000000-0005-0000-0000-0000CA310000}"/>
    <cellStyle name="Normal 2 2 2 2 2 31 4 10" xfId="12747" xr:uid="{00000000-0005-0000-0000-0000CB310000}"/>
    <cellStyle name="Normal 2 2 2 2 2 31 4 2" xfId="12748" xr:uid="{00000000-0005-0000-0000-0000CC310000}"/>
    <cellStyle name="Normal 2 2 2 2 2 31 4 3" xfId="12749" xr:uid="{00000000-0005-0000-0000-0000CD310000}"/>
    <cellStyle name="Normal 2 2 2 2 2 31 4 4" xfId="12750" xr:uid="{00000000-0005-0000-0000-0000CE310000}"/>
    <cellStyle name="Normal 2 2 2 2 2 31 4 5" xfId="12751" xr:uid="{00000000-0005-0000-0000-0000CF310000}"/>
    <cellStyle name="Normal 2 2 2 2 2 31 4 6" xfId="12752" xr:uid="{00000000-0005-0000-0000-0000D0310000}"/>
    <cellStyle name="Normal 2 2 2 2 2 31 4 7" xfId="12753" xr:uid="{00000000-0005-0000-0000-0000D1310000}"/>
    <cellStyle name="Normal 2 2 2 2 2 31 4 8" xfId="12754" xr:uid="{00000000-0005-0000-0000-0000D2310000}"/>
    <cellStyle name="Normal 2 2 2 2 2 31 4 9" xfId="12755" xr:uid="{00000000-0005-0000-0000-0000D3310000}"/>
    <cellStyle name="Normal 2 2 2 2 2 31 5" xfId="12756" xr:uid="{00000000-0005-0000-0000-0000D4310000}"/>
    <cellStyle name="Normal 2 2 2 2 2 31 5 10" xfId="12757" xr:uid="{00000000-0005-0000-0000-0000D5310000}"/>
    <cellStyle name="Normal 2 2 2 2 2 31 5 2" xfId="12758" xr:uid="{00000000-0005-0000-0000-0000D6310000}"/>
    <cellStyle name="Normal 2 2 2 2 2 31 5 3" xfId="12759" xr:uid="{00000000-0005-0000-0000-0000D7310000}"/>
    <cellStyle name="Normal 2 2 2 2 2 31 5 4" xfId="12760" xr:uid="{00000000-0005-0000-0000-0000D8310000}"/>
    <cellStyle name="Normal 2 2 2 2 2 31 5 5" xfId="12761" xr:uid="{00000000-0005-0000-0000-0000D9310000}"/>
    <cellStyle name="Normal 2 2 2 2 2 31 5 6" xfId="12762" xr:uid="{00000000-0005-0000-0000-0000DA310000}"/>
    <cellStyle name="Normal 2 2 2 2 2 31 5 7" xfId="12763" xr:uid="{00000000-0005-0000-0000-0000DB310000}"/>
    <cellStyle name="Normal 2 2 2 2 2 31 5 8" xfId="12764" xr:uid="{00000000-0005-0000-0000-0000DC310000}"/>
    <cellStyle name="Normal 2 2 2 2 2 31 5 9" xfId="12765" xr:uid="{00000000-0005-0000-0000-0000DD310000}"/>
    <cellStyle name="Normal 2 2 2 2 2 31 6" xfId="12766" xr:uid="{00000000-0005-0000-0000-0000DE310000}"/>
    <cellStyle name="Normal 2 2 2 2 2 31 7" xfId="12767" xr:uid="{00000000-0005-0000-0000-0000DF310000}"/>
    <cellStyle name="Normal 2 2 2 2 2 31 8" xfId="12768" xr:uid="{00000000-0005-0000-0000-0000E0310000}"/>
    <cellStyle name="Normal 2 2 2 2 2 31 9" xfId="12769" xr:uid="{00000000-0005-0000-0000-0000E1310000}"/>
    <cellStyle name="Normal 2 2 2 2 2 32" xfId="12770" xr:uid="{00000000-0005-0000-0000-0000E2310000}"/>
    <cellStyle name="Normal 2 2 2 2 2 32 10" xfId="12771" xr:uid="{00000000-0005-0000-0000-0000E3310000}"/>
    <cellStyle name="Normal 2 2 2 2 2 32 11" xfId="12772" xr:uid="{00000000-0005-0000-0000-0000E4310000}"/>
    <cellStyle name="Normal 2 2 2 2 2 32 12" xfId="12773" xr:uid="{00000000-0005-0000-0000-0000E5310000}"/>
    <cellStyle name="Normal 2 2 2 2 2 32 13" xfId="12774" xr:uid="{00000000-0005-0000-0000-0000E6310000}"/>
    <cellStyle name="Normal 2 2 2 2 2 32 14" xfId="12775" xr:uid="{00000000-0005-0000-0000-0000E7310000}"/>
    <cellStyle name="Normal 2 2 2 2 2 32 2" xfId="12776" xr:uid="{00000000-0005-0000-0000-0000E8310000}"/>
    <cellStyle name="Normal 2 2 2 2 2 32 2 10" xfId="12777" xr:uid="{00000000-0005-0000-0000-0000E9310000}"/>
    <cellStyle name="Normal 2 2 2 2 2 32 2 2" xfId="12778" xr:uid="{00000000-0005-0000-0000-0000EA310000}"/>
    <cellStyle name="Normal 2 2 2 2 2 32 2 3" xfId="12779" xr:uid="{00000000-0005-0000-0000-0000EB310000}"/>
    <cellStyle name="Normal 2 2 2 2 2 32 2 4" xfId="12780" xr:uid="{00000000-0005-0000-0000-0000EC310000}"/>
    <cellStyle name="Normal 2 2 2 2 2 32 2 5" xfId="12781" xr:uid="{00000000-0005-0000-0000-0000ED310000}"/>
    <cellStyle name="Normal 2 2 2 2 2 32 2 6" xfId="12782" xr:uid="{00000000-0005-0000-0000-0000EE310000}"/>
    <cellStyle name="Normal 2 2 2 2 2 32 2 7" xfId="12783" xr:uid="{00000000-0005-0000-0000-0000EF310000}"/>
    <cellStyle name="Normal 2 2 2 2 2 32 2 8" xfId="12784" xr:uid="{00000000-0005-0000-0000-0000F0310000}"/>
    <cellStyle name="Normal 2 2 2 2 2 32 2 9" xfId="12785" xr:uid="{00000000-0005-0000-0000-0000F1310000}"/>
    <cellStyle name="Normal 2 2 2 2 2 32 3" xfId="12786" xr:uid="{00000000-0005-0000-0000-0000F2310000}"/>
    <cellStyle name="Normal 2 2 2 2 2 32 3 10" xfId="12787" xr:uid="{00000000-0005-0000-0000-0000F3310000}"/>
    <cellStyle name="Normal 2 2 2 2 2 32 3 2" xfId="12788" xr:uid="{00000000-0005-0000-0000-0000F4310000}"/>
    <cellStyle name="Normal 2 2 2 2 2 32 3 3" xfId="12789" xr:uid="{00000000-0005-0000-0000-0000F5310000}"/>
    <cellStyle name="Normal 2 2 2 2 2 32 3 4" xfId="12790" xr:uid="{00000000-0005-0000-0000-0000F6310000}"/>
    <cellStyle name="Normal 2 2 2 2 2 32 3 5" xfId="12791" xr:uid="{00000000-0005-0000-0000-0000F7310000}"/>
    <cellStyle name="Normal 2 2 2 2 2 32 3 6" xfId="12792" xr:uid="{00000000-0005-0000-0000-0000F8310000}"/>
    <cellStyle name="Normal 2 2 2 2 2 32 3 7" xfId="12793" xr:uid="{00000000-0005-0000-0000-0000F9310000}"/>
    <cellStyle name="Normal 2 2 2 2 2 32 3 8" xfId="12794" xr:uid="{00000000-0005-0000-0000-0000FA310000}"/>
    <cellStyle name="Normal 2 2 2 2 2 32 3 9" xfId="12795" xr:uid="{00000000-0005-0000-0000-0000FB310000}"/>
    <cellStyle name="Normal 2 2 2 2 2 32 4" xfId="12796" xr:uid="{00000000-0005-0000-0000-0000FC310000}"/>
    <cellStyle name="Normal 2 2 2 2 2 32 4 10" xfId="12797" xr:uid="{00000000-0005-0000-0000-0000FD310000}"/>
    <cellStyle name="Normal 2 2 2 2 2 32 4 2" xfId="12798" xr:uid="{00000000-0005-0000-0000-0000FE310000}"/>
    <cellStyle name="Normal 2 2 2 2 2 32 4 3" xfId="12799" xr:uid="{00000000-0005-0000-0000-0000FF310000}"/>
    <cellStyle name="Normal 2 2 2 2 2 32 4 4" xfId="12800" xr:uid="{00000000-0005-0000-0000-000000320000}"/>
    <cellStyle name="Normal 2 2 2 2 2 32 4 5" xfId="12801" xr:uid="{00000000-0005-0000-0000-000001320000}"/>
    <cellStyle name="Normal 2 2 2 2 2 32 4 6" xfId="12802" xr:uid="{00000000-0005-0000-0000-000002320000}"/>
    <cellStyle name="Normal 2 2 2 2 2 32 4 7" xfId="12803" xr:uid="{00000000-0005-0000-0000-000003320000}"/>
    <cellStyle name="Normal 2 2 2 2 2 32 4 8" xfId="12804" xr:uid="{00000000-0005-0000-0000-000004320000}"/>
    <cellStyle name="Normal 2 2 2 2 2 32 4 9" xfId="12805" xr:uid="{00000000-0005-0000-0000-000005320000}"/>
    <cellStyle name="Normal 2 2 2 2 2 32 5" xfId="12806" xr:uid="{00000000-0005-0000-0000-000006320000}"/>
    <cellStyle name="Normal 2 2 2 2 2 32 5 10" xfId="12807" xr:uid="{00000000-0005-0000-0000-000007320000}"/>
    <cellStyle name="Normal 2 2 2 2 2 32 5 2" xfId="12808" xr:uid="{00000000-0005-0000-0000-000008320000}"/>
    <cellStyle name="Normal 2 2 2 2 2 32 5 3" xfId="12809" xr:uid="{00000000-0005-0000-0000-000009320000}"/>
    <cellStyle name="Normal 2 2 2 2 2 32 5 4" xfId="12810" xr:uid="{00000000-0005-0000-0000-00000A320000}"/>
    <cellStyle name="Normal 2 2 2 2 2 32 5 5" xfId="12811" xr:uid="{00000000-0005-0000-0000-00000B320000}"/>
    <cellStyle name="Normal 2 2 2 2 2 32 5 6" xfId="12812" xr:uid="{00000000-0005-0000-0000-00000C320000}"/>
    <cellStyle name="Normal 2 2 2 2 2 32 5 7" xfId="12813" xr:uid="{00000000-0005-0000-0000-00000D320000}"/>
    <cellStyle name="Normal 2 2 2 2 2 32 5 8" xfId="12814" xr:uid="{00000000-0005-0000-0000-00000E320000}"/>
    <cellStyle name="Normal 2 2 2 2 2 32 5 9" xfId="12815" xr:uid="{00000000-0005-0000-0000-00000F320000}"/>
    <cellStyle name="Normal 2 2 2 2 2 32 6" xfId="12816" xr:uid="{00000000-0005-0000-0000-000010320000}"/>
    <cellStyle name="Normal 2 2 2 2 2 32 7" xfId="12817" xr:uid="{00000000-0005-0000-0000-000011320000}"/>
    <cellStyle name="Normal 2 2 2 2 2 32 8" xfId="12818" xr:uid="{00000000-0005-0000-0000-000012320000}"/>
    <cellStyle name="Normal 2 2 2 2 2 32 9" xfId="12819" xr:uid="{00000000-0005-0000-0000-000013320000}"/>
    <cellStyle name="Normal 2 2 2 2 2 33" xfId="12820" xr:uid="{00000000-0005-0000-0000-000014320000}"/>
    <cellStyle name="Normal 2 2 2 2 2 33 10" xfId="12821" xr:uid="{00000000-0005-0000-0000-000015320000}"/>
    <cellStyle name="Normal 2 2 2 2 2 33 11" xfId="12822" xr:uid="{00000000-0005-0000-0000-000016320000}"/>
    <cellStyle name="Normal 2 2 2 2 2 33 12" xfId="12823" xr:uid="{00000000-0005-0000-0000-000017320000}"/>
    <cellStyle name="Normal 2 2 2 2 2 33 13" xfId="12824" xr:uid="{00000000-0005-0000-0000-000018320000}"/>
    <cellStyle name="Normal 2 2 2 2 2 33 14" xfId="12825" xr:uid="{00000000-0005-0000-0000-000019320000}"/>
    <cellStyle name="Normal 2 2 2 2 2 33 2" xfId="12826" xr:uid="{00000000-0005-0000-0000-00001A320000}"/>
    <cellStyle name="Normal 2 2 2 2 2 33 2 10" xfId="12827" xr:uid="{00000000-0005-0000-0000-00001B320000}"/>
    <cellStyle name="Normal 2 2 2 2 2 33 2 2" xfId="12828" xr:uid="{00000000-0005-0000-0000-00001C320000}"/>
    <cellStyle name="Normal 2 2 2 2 2 33 2 3" xfId="12829" xr:uid="{00000000-0005-0000-0000-00001D320000}"/>
    <cellStyle name="Normal 2 2 2 2 2 33 2 4" xfId="12830" xr:uid="{00000000-0005-0000-0000-00001E320000}"/>
    <cellStyle name="Normal 2 2 2 2 2 33 2 5" xfId="12831" xr:uid="{00000000-0005-0000-0000-00001F320000}"/>
    <cellStyle name="Normal 2 2 2 2 2 33 2 6" xfId="12832" xr:uid="{00000000-0005-0000-0000-000020320000}"/>
    <cellStyle name="Normal 2 2 2 2 2 33 2 7" xfId="12833" xr:uid="{00000000-0005-0000-0000-000021320000}"/>
    <cellStyle name="Normal 2 2 2 2 2 33 2 8" xfId="12834" xr:uid="{00000000-0005-0000-0000-000022320000}"/>
    <cellStyle name="Normal 2 2 2 2 2 33 2 9" xfId="12835" xr:uid="{00000000-0005-0000-0000-000023320000}"/>
    <cellStyle name="Normal 2 2 2 2 2 33 3" xfId="12836" xr:uid="{00000000-0005-0000-0000-000024320000}"/>
    <cellStyle name="Normal 2 2 2 2 2 33 3 10" xfId="12837" xr:uid="{00000000-0005-0000-0000-000025320000}"/>
    <cellStyle name="Normal 2 2 2 2 2 33 3 2" xfId="12838" xr:uid="{00000000-0005-0000-0000-000026320000}"/>
    <cellStyle name="Normal 2 2 2 2 2 33 3 3" xfId="12839" xr:uid="{00000000-0005-0000-0000-000027320000}"/>
    <cellStyle name="Normal 2 2 2 2 2 33 3 4" xfId="12840" xr:uid="{00000000-0005-0000-0000-000028320000}"/>
    <cellStyle name="Normal 2 2 2 2 2 33 3 5" xfId="12841" xr:uid="{00000000-0005-0000-0000-000029320000}"/>
    <cellStyle name="Normal 2 2 2 2 2 33 3 6" xfId="12842" xr:uid="{00000000-0005-0000-0000-00002A320000}"/>
    <cellStyle name="Normal 2 2 2 2 2 33 3 7" xfId="12843" xr:uid="{00000000-0005-0000-0000-00002B320000}"/>
    <cellStyle name="Normal 2 2 2 2 2 33 3 8" xfId="12844" xr:uid="{00000000-0005-0000-0000-00002C320000}"/>
    <cellStyle name="Normal 2 2 2 2 2 33 3 9" xfId="12845" xr:uid="{00000000-0005-0000-0000-00002D320000}"/>
    <cellStyle name="Normal 2 2 2 2 2 33 4" xfId="12846" xr:uid="{00000000-0005-0000-0000-00002E320000}"/>
    <cellStyle name="Normal 2 2 2 2 2 33 4 10" xfId="12847" xr:uid="{00000000-0005-0000-0000-00002F320000}"/>
    <cellStyle name="Normal 2 2 2 2 2 33 4 2" xfId="12848" xr:uid="{00000000-0005-0000-0000-000030320000}"/>
    <cellStyle name="Normal 2 2 2 2 2 33 4 3" xfId="12849" xr:uid="{00000000-0005-0000-0000-000031320000}"/>
    <cellStyle name="Normal 2 2 2 2 2 33 4 4" xfId="12850" xr:uid="{00000000-0005-0000-0000-000032320000}"/>
    <cellStyle name="Normal 2 2 2 2 2 33 4 5" xfId="12851" xr:uid="{00000000-0005-0000-0000-000033320000}"/>
    <cellStyle name="Normal 2 2 2 2 2 33 4 6" xfId="12852" xr:uid="{00000000-0005-0000-0000-000034320000}"/>
    <cellStyle name="Normal 2 2 2 2 2 33 4 7" xfId="12853" xr:uid="{00000000-0005-0000-0000-000035320000}"/>
    <cellStyle name="Normal 2 2 2 2 2 33 4 8" xfId="12854" xr:uid="{00000000-0005-0000-0000-000036320000}"/>
    <cellStyle name="Normal 2 2 2 2 2 33 4 9" xfId="12855" xr:uid="{00000000-0005-0000-0000-000037320000}"/>
    <cellStyle name="Normal 2 2 2 2 2 33 5" xfId="12856" xr:uid="{00000000-0005-0000-0000-000038320000}"/>
    <cellStyle name="Normal 2 2 2 2 2 33 5 10" xfId="12857" xr:uid="{00000000-0005-0000-0000-000039320000}"/>
    <cellStyle name="Normal 2 2 2 2 2 33 5 2" xfId="12858" xr:uid="{00000000-0005-0000-0000-00003A320000}"/>
    <cellStyle name="Normal 2 2 2 2 2 33 5 3" xfId="12859" xr:uid="{00000000-0005-0000-0000-00003B320000}"/>
    <cellStyle name="Normal 2 2 2 2 2 33 5 4" xfId="12860" xr:uid="{00000000-0005-0000-0000-00003C320000}"/>
    <cellStyle name="Normal 2 2 2 2 2 33 5 5" xfId="12861" xr:uid="{00000000-0005-0000-0000-00003D320000}"/>
    <cellStyle name="Normal 2 2 2 2 2 33 5 6" xfId="12862" xr:uid="{00000000-0005-0000-0000-00003E320000}"/>
    <cellStyle name="Normal 2 2 2 2 2 33 5 7" xfId="12863" xr:uid="{00000000-0005-0000-0000-00003F320000}"/>
    <cellStyle name="Normal 2 2 2 2 2 33 5 8" xfId="12864" xr:uid="{00000000-0005-0000-0000-000040320000}"/>
    <cellStyle name="Normal 2 2 2 2 2 33 5 9" xfId="12865" xr:uid="{00000000-0005-0000-0000-000041320000}"/>
    <cellStyle name="Normal 2 2 2 2 2 33 6" xfId="12866" xr:uid="{00000000-0005-0000-0000-000042320000}"/>
    <cellStyle name="Normal 2 2 2 2 2 33 7" xfId="12867" xr:uid="{00000000-0005-0000-0000-000043320000}"/>
    <cellStyle name="Normal 2 2 2 2 2 33 8" xfId="12868" xr:uid="{00000000-0005-0000-0000-000044320000}"/>
    <cellStyle name="Normal 2 2 2 2 2 33 9" xfId="12869" xr:uid="{00000000-0005-0000-0000-000045320000}"/>
    <cellStyle name="Normal 2 2 2 2 2 34" xfId="12870" xr:uid="{00000000-0005-0000-0000-000046320000}"/>
    <cellStyle name="Normal 2 2 2 2 2 34 10" xfId="12871" xr:uid="{00000000-0005-0000-0000-000047320000}"/>
    <cellStyle name="Normal 2 2 2 2 2 34 11" xfId="12872" xr:uid="{00000000-0005-0000-0000-000048320000}"/>
    <cellStyle name="Normal 2 2 2 2 2 34 12" xfId="12873" xr:uid="{00000000-0005-0000-0000-000049320000}"/>
    <cellStyle name="Normal 2 2 2 2 2 34 13" xfId="12874" xr:uid="{00000000-0005-0000-0000-00004A320000}"/>
    <cellStyle name="Normal 2 2 2 2 2 34 14" xfId="12875" xr:uid="{00000000-0005-0000-0000-00004B320000}"/>
    <cellStyle name="Normal 2 2 2 2 2 34 2" xfId="12876" xr:uid="{00000000-0005-0000-0000-00004C320000}"/>
    <cellStyle name="Normal 2 2 2 2 2 34 2 10" xfId="12877" xr:uid="{00000000-0005-0000-0000-00004D320000}"/>
    <cellStyle name="Normal 2 2 2 2 2 34 2 2" xfId="12878" xr:uid="{00000000-0005-0000-0000-00004E320000}"/>
    <cellStyle name="Normal 2 2 2 2 2 34 2 3" xfId="12879" xr:uid="{00000000-0005-0000-0000-00004F320000}"/>
    <cellStyle name="Normal 2 2 2 2 2 34 2 4" xfId="12880" xr:uid="{00000000-0005-0000-0000-000050320000}"/>
    <cellStyle name="Normal 2 2 2 2 2 34 2 5" xfId="12881" xr:uid="{00000000-0005-0000-0000-000051320000}"/>
    <cellStyle name="Normal 2 2 2 2 2 34 2 6" xfId="12882" xr:uid="{00000000-0005-0000-0000-000052320000}"/>
    <cellStyle name="Normal 2 2 2 2 2 34 2 7" xfId="12883" xr:uid="{00000000-0005-0000-0000-000053320000}"/>
    <cellStyle name="Normal 2 2 2 2 2 34 2 8" xfId="12884" xr:uid="{00000000-0005-0000-0000-000054320000}"/>
    <cellStyle name="Normal 2 2 2 2 2 34 2 9" xfId="12885" xr:uid="{00000000-0005-0000-0000-000055320000}"/>
    <cellStyle name="Normal 2 2 2 2 2 34 3" xfId="12886" xr:uid="{00000000-0005-0000-0000-000056320000}"/>
    <cellStyle name="Normal 2 2 2 2 2 34 3 10" xfId="12887" xr:uid="{00000000-0005-0000-0000-000057320000}"/>
    <cellStyle name="Normal 2 2 2 2 2 34 3 2" xfId="12888" xr:uid="{00000000-0005-0000-0000-000058320000}"/>
    <cellStyle name="Normal 2 2 2 2 2 34 3 3" xfId="12889" xr:uid="{00000000-0005-0000-0000-000059320000}"/>
    <cellStyle name="Normal 2 2 2 2 2 34 3 4" xfId="12890" xr:uid="{00000000-0005-0000-0000-00005A320000}"/>
    <cellStyle name="Normal 2 2 2 2 2 34 3 5" xfId="12891" xr:uid="{00000000-0005-0000-0000-00005B320000}"/>
    <cellStyle name="Normal 2 2 2 2 2 34 3 6" xfId="12892" xr:uid="{00000000-0005-0000-0000-00005C320000}"/>
    <cellStyle name="Normal 2 2 2 2 2 34 3 7" xfId="12893" xr:uid="{00000000-0005-0000-0000-00005D320000}"/>
    <cellStyle name="Normal 2 2 2 2 2 34 3 8" xfId="12894" xr:uid="{00000000-0005-0000-0000-00005E320000}"/>
    <cellStyle name="Normal 2 2 2 2 2 34 3 9" xfId="12895" xr:uid="{00000000-0005-0000-0000-00005F320000}"/>
    <cellStyle name="Normal 2 2 2 2 2 34 4" xfId="12896" xr:uid="{00000000-0005-0000-0000-000060320000}"/>
    <cellStyle name="Normal 2 2 2 2 2 34 4 10" xfId="12897" xr:uid="{00000000-0005-0000-0000-000061320000}"/>
    <cellStyle name="Normal 2 2 2 2 2 34 4 2" xfId="12898" xr:uid="{00000000-0005-0000-0000-000062320000}"/>
    <cellStyle name="Normal 2 2 2 2 2 34 4 3" xfId="12899" xr:uid="{00000000-0005-0000-0000-000063320000}"/>
    <cellStyle name="Normal 2 2 2 2 2 34 4 4" xfId="12900" xr:uid="{00000000-0005-0000-0000-000064320000}"/>
    <cellStyle name="Normal 2 2 2 2 2 34 4 5" xfId="12901" xr:uid="{00000000-0005-0000-0000-000065320000}"/>
    <cellStyle name="Normal 2 2 2 2 2 34 4 6" xfId="12902" xr:uid="{00000000-0005-0000-0000-000066320000}"/>
    <cellStyle name="Normal 2 2 2 2 2 34 4 7" xfId="12903" xr:uid="{00000000-0005-0000-0000-000067320000}"/>
    <cellStyle name="Normal 2 2 2 2 2 34 4 8" xfId="12904" xr:uid="{00000000-0005-0000-0000-000068320000}"/>
    <cellStyle name="Normal 2 2 2 2 2 34 4 9" xfId="12905" xr:uid="{00000000-0005-0000-0000-000069320000}"/>
    <cellStyle name="Normal 2 2 2 2 2 34 5" xfId="12906" xr:uid="{00000000-0005-0000-0000-00006A320000}"/>
    <cellStyle name="Normal 2 2 2 2 2 34 5 10" xfId="12907" xr:uid="{00000000-0005-0000-0000-00006B320000}"/>
    <cellStyle name="Normal 2 2 2 2 2 34 5 2" xfId="12908" xr:uid="{00000000-0005-0000-0000-00006C320000}"/>
    <cellStyle name="Normal 2 2 2 2 2 34 5 3" xfId="12909" xr:uid="{00000000-0005-0000-0000-00006D320000}"/>
    <cellStyle name="Normal 2 2 2 2 2 34 5 4" xfId="12910" xr:uid="{00000000-0005-0000-0000-00006E320000}"/>
    <cellStyle name="Normal 2 2 2 2 2 34 5 5" xfId="12911" xr:uid="{00000000-0005-0000-0000-00006F320000}"/>
    <cellStyle name="Normal 2 2 2 2 2 34 5 6" xfId="12912" xr:uid="{00000000-0005-0000-0000-000070320000}"/>
    <cellStyle name="Normal 2 2 2 2 2 34 5 7" xfId="12913" xr:uid="{00000000-0005-0000-0000-000071320000}"/>
    <cellStyle name="Normal 2 2 2 2 2 34 5 8" xfId="12914" xr:uid="{00000000-0005-0000-0000-000072320000}"/>
    <cellStyle name="Normal 2 2 2 2 2 34 5 9" xfId="12915" xr:uid="{00000000-0005-0000-0000-000073320000}"/>
    <cellStyle name="Normal 2 2 2 2 2 34 6" xfId="12916" xr:uid="{00000000-0005-0000-0000-000074320000}"/>
    <cellStyle name="Normal 2 2 2 2 2 34 7" xfId="12917" xr:uid="{00000000-0005-0000-0000-000075320000}"/>
    <cellStyle name="Normal 2 2 2 2 2 34 8" xfId="12918" xr:uid="{00000000-0005-0000-0000-000076320000}"/>
    <cellStyle name="Normal 2 2 2 2 2 34 9" xfId="12919" xr:uid="{00000000-0005-0000-0000-000077320000}"/>
    <cellStyle name="Normal 2 2 2 2 2 35" xfId="12920" xr:uid="{00000000-0005-0000-0000-000078320000}"/>
    <cellStyle name="Normal 2 2 2 2 2 35 10" xfId="12921" xr:uid="{00000000-0005-0000-0000-000079320000}"/>
    <cellStyle name="Normal 2 2 2 2 2 35 2" xfId="12922" xr:uid="{00000000-0005-0000-0000-00007A320000}"/>
    <cellStyle name="Normal 2 2 2 2 2 35 3" xfId="12923" xr:uid="{00000000-0005-0000-0000-00007B320000}"/>
    <cellStyle name="Normal 2 2 2 2 2 35 4" xfId="12924" xr:uid="{00000000-0005-0000-0000-00007C320000}"/>
    <cellStyle name="Normal 2 2 2 2 2 35 5" xfId="12925" xr:uid="{00000000-0005-0000-0000-00007D320000}"/>
    <cellStyle name="Normal 2 2 2 2 2 35 6" xfId="12926" xr:uid="{00000000-0005-0000-0000-00007E320000}"/>
    <cellStyle name="Normal 2 2 2 2 2 35 7" xfId="12927" xr:uid="{00000000-0005-0000-0000-00007F320000}"/>
    <cellStyle name="Normal 2 2 2 2 2 35 8" xfId="12928" xr:uid="{00000000-0005-0000-0000-000080320000}"/>
    <cellStyle name="Normal 2 2 2 2 2 35 9" xfId="12929" xr:uid="{00000000-0005-0000-0000-000081320000}"/>
    <cellStyle name="Normal 2 2 2 2 2 36" xfId="12930" xr:uid="{00000000-0005-0000-0000-000082320000}"/>
    <cellStyle name="Normal 2 2 2 2 2 36 10" xfId="12931" xr:uid="{00000000-0005-0000-0000-000083320000}"/>
    <cellStyle name="Normal 2 2 2 2 2 36 2" xfId="12932" xr:uid="{00000000-0005-0000-0000-000084320000}"/>
    <cellStyle name="Normal 2 2 2 2 2 36 3" xfId="12933" xr:uid="{00000000-0005-0000-0000-000085320000}"/>
    <cellStyle name="Normal 2 2 2 2 2 36 4" xfId="12934" xr:uid="{00000000-0005-0000-0000-000086320000}"/>
    <cellStyle name="Normal 2 2 2 2 2 36 5" xfId="12935" xr:uid="{00000000-0005-0000-0000-000087320000}"/>
    <cellStyle name="Normal 2 2 2 2 2 36 6" xfId="12936" xr:uid="{00000000-0005-0000-0000-000088320000}"/>
    <cellStyle name="Normal 2 2 2 2 2 36 7" xfId="12937" xr:uid="{00000000-0005-0000-0000-000089320000}"/>
    <cellStyle name="Normal 2 2 2 2 2 36 8" xfId="12938" xr:uid="{00000000-0005-0000-0000-00008A320000}"/>
    <cellStyle name="Normal 2 2 2 2 2 36 9" xfId="12939" xr:uid="{00000000-0005-0000-0000-00008B320000}"/>
    <cellStyle name="Normal 2 2 2 2 2 37" xfId="12940" xr:uid="{00000000-0005-0000-0000-00008C320000}"/>
    <cellStyle name="Normal 2 2 2 2 2 37 10" xfId="12941" xr:uid="{00000000-0005-0000-0000-00008D320000}"/>
    <cellStyle name="Normal 2 2 2 2 2 37 2" xfId="12942" xr:uid="{00000000-0005-0000-0000-00008E320000}"/>
    <cellStyle name="Normal 2 2 2 2 2 37 3" xfId="12943" xr:uid="{00000000-0005-0000-0000-00008F320000}"/>
    <cellStyle name="Normal 2 2 2 2 2 37 4" xfId="12944" xr:uid="{00000000-0005-0000-0000-000090320000}"/>
    <cellStyle name="Normal 2 2 2 2 2 37 5" xfId="12945" xr:uid="{00000000-0005-0000-0000-000091320000}"/>
    <cellStyle name="Normal 2 2 2 2 2 37 6" xfId="12946" xr:uid="{00000000-0005-0000-0000-000092320000}"/>
    <cellStyle name="Normal 2 2 2 2 2 37 7" xfId="12947" xr:uid="{00000000-0005-0000-0000-000093320000}"/>
    <cellStyle name="Normal 2 2 2 2 2 37 8" xfId="12948" xr:uid="{00000000-0005-0000-0000-000094320000}"/>
    <cellStyle name="Normal 2 2 2 2 2 37 9" xfId="12949" xr:uid="{00000000-0005-0000-0000-000095320000}"/>
    <cellStyle name="Normal 2 2 2 2 2 38" xfId="12950" xr:uid="{00000000-0005-0000-0000-000096320000}"/>
    <cellStyle name="Normal 2 2 2 2 2 38 10" xfId="12951" xr:uid="{00000000-0005-0000-0000-000097320000}"/>
    <cellStyle name="Normal 2 2 2 2 2 38 2" xfId="12952" xr:uid="{00000000-0005-0000-0000-000098320000}"/>
    <cellStyle name="Normal 2 2 2 2 2 38 3" xfId="12953" xr:uid="{00000000-0005-0000-0000-000099320000}"/>
    <cellStyle name="Normal 2 2 2 2 2 38 4" xfId="12954" xr:uid="{00000000-0005-0000-0000-00009A320000}"/>
    <cellStyle name="Normal 2 2 2 2 2 38 5" xfId="12955" xr:uid="{00000000-0005-0000-0000-00009B320000}"/>
    <cellStyle name="Normal 2 2 2 2 2 38 6" xfId="12956" xr:uid="{00000000-0005-0000-0000-00009C320000}"/>
    <cellStyle name="Normal 2 2 2 2 2 38 7" xfId="12957" xr:uid="{00000000-0005-0000-0000-00009D320000}"/>
    <cellStyle name="Normal 2 2 2 2 2 38 8" xfId="12958" xr:uid="{00000000-0005-0000-0000-00009E320000}"/>
    <cellStyle name="Normal 2 2 2 2 2 38 9" xfId="12959" xr:uid="{00000000-0005-0000-0000-00009F320000}"/>
    <cellStyle name="Normal 2 2 2 2 2 39" xfId="12960" xr:uid="{00000000-0005-0000-0000-0000A0320000}"/>
    <cellStyle name="Normal 2 2 2 2 2 4" xfId="12961" xr:uid="{00000000-0005-0000-0000-0000A1320000}"/>
    <cellStyle name="Normal 2 2 2 2 2 4 10" xfId="12962" xr:uid="{00000000-0005-0000-0000-0000A2320000}"/>
    <cellStyle name="Normal 2 2 2 2 2 4 11" xfId="12963" xr:uid="{00000000-0005-0000-0000-0000A3320000}"/>
    <cellStyle name="Normal 2 2 2 2 2 4 12" xfId="12964" xr:uid="{00000000-0005-0000-0000-0000A4320000}"/>
    <cellStyle name="Normal 2 2 2 2 2 4 13" xfId="12965" xr:uid="{00000000-0005-0000-0000-0000A5320000}"/>
    <cellStyle name="Normal 2 2 2 2 2 4 14" xfId="12966" xr:uid="{00000000-0005-0000-0000-0000A6320000}"/>
    <cellStyle name="Normal 2 2 2 2 2 4 15" xfId="12967" xr:uid="{00000000-0005-0000-0000-0000A7320000}"/>
    <cellStyle name="Normal 2 2 2 2 2 4 16" xfId="12968" xr:uid="{00000000-0005-0000-0000-0000A8320000}"/>
    <cellStyle name="Normal 2 2 2 2 2 4 2" xfId="12969" xr:uid="{00000000-0005-0000-0000-0000A9320000}"/>
    <cellStyle name="Normal 2 2 2 2 2 4 2 10" xfId="12970" xr:uid="{00000000-0005-0000-0000-0000AA320000}"/>
    <cellStyle name="Normal 2 2 2 2 2 4 2 2" xfId="12971" xr:uid="{00000000-0005-0000-0000-0000AB320000}"/>
    <cellStyle name="Normal 2 2 2 2 2 4 2 3" xfId="12972" xr:uid="{00000000-0005-0000-0000-0000AC320000}"/>
    <cellStyle name="Normal 2 2 2 2 2 4 2 4" xfId="12973" xr:uid="{00000000-0005-0000-0000-0000AD320000}"/>
    <cellStyle name="Normal 2 2 2 2 2 4 2 5" xfId="12974" xr:uid="{00000000-0005-0000-0000-0000AE320000}"/>
    <cellStyle name="Normal 2 2 2 2 2 4 2 6" xfId="12975" xr:uid="{00000000-0005-0000-0000-0000AF320000}"/>
    <cellStyle name="Normal 2 2 2 2 2 4 2 7" xfId="12976" xr:uid="{00000000-0005-0000-0000-0000B0320000}"/>
    <cellStyle name="Normal 2 2 2 2 2 4 2 8" xfId="12977" xr:uid="{00000000-0005-0000-0000-0000B1320000}"/>
    <cellStyle name="Normal 2 2 2 2 2 4 2 9" xfId="12978" xr:uid="{00000000-0005-0000-0000-0000B2320000}"/>
    <cellStyle name="Normal 2 2 2 2 2 4 3" xfId="12979" xr:uid="{00000000-0005-0000-0000-0000B3320000}"/>
    <cellStyle name="Normal 2 2 2 2 2 4 3 10" xfId="12980" xr:uid="{00000000-0005-0000-0000-0000B4320000}"/>
    <cellStyle name="Normal 2 2 2 2 2 4 3 2" xfId="12981" xr:uid="{00000000-0005-0000-0000-0000B5320000}"/>
    <cellStyle name="Normal 2 2 2 2 2 4 3 3" xfId="12982" xr:uid="{00000000-0005-0000-0000-0000B6320000}"/>
    <cellStyle name="Normal 2 2 2 2 2 4 3 4" xfId="12983" xr:uid="{00000000-0005-0000-0000-0000B7320000}"/>
    <cellStyle name="Normal 2 2 2 2 2 4 3 5" xfId="12984" xr:uid="{00000000-0005-0000-0000-0000B8320000}"/>
    <cellStyle name="Normal 2 2 2 2 2 4 3 6" xfId="12985" xr:uid="{00000000-0005-0000-0000-0000B9320000}"/>
    <cellStyle name="Normal 2 2 2 2 2 4 3 7" xfId="12986" xr:uid="{00000000-0005-0000-0000-0000BA320000}"/>
    <cellStyle name="Normal 2 2 2 2 2 4 3 8" xfId="12987" xr:uid="{00000000-0005-0000-0000-0000BB320000}"/>
    <cellStyle name="Normal 2 2 2 2 2 4 3 9" xfId="12988" xr:uid="{00000000-0005-0000-0000-0000BC320000}"/>
    <cellStyle name="Normal 2 2 2 2 2 4 4" xfId="12989" xr:uid="{00000000-0005-0000-0000-0000BD320000}"/>
    <cellStyle name="Normal 2 2 2 2 2 4 4 10" xfId="12990" xr:uid="{00000000-0005-0000-0000-0000BE320000}"/>
    <cellStyle name="Normal 2 2 2 2 2 4 4 2" xfId="12991" xr:uid="{00000000-0005-0000-0000-0000BF320000}"/>
    <cellStyle name="Normal 2 2 2 2 2 4 4 3" xfId="12992" xr:uid="{00000000-0005-0000-0000-0000C0320000}"/>
    <cellStyle name="Normal 2 2 2 2 2 4 4 4" xfId="12993" xr:uid="{00000000-0005-0000-0000-0000C1320000}"/>
    <cellStyle name="Normal 2 2 2 2 2 4 4 5" xfId="12994" xr:uid="{00000000-0005-0000-0000-0000C2320000}"/>
    <cellStyle name="Normal 2 2 2 2 2 4 4 6" xfId="12995" xr:uid="{00000000-0005-0000-0000-0000C3320000}"/>
    <cellStyle name="Normal 2 2 2 2 2 4 4 7" xfId="12996" xr:uid="{00000000-0005-0000-0000-0000C4320000}"/>
    <cellStyle name="Normal 2 2 2 2 2 4 4 8" xfId="12997" xr:uid="{00000000-0005-0000-0000-0000C5320000}"/>
    <cellStyle name="Normal 2 2 2 2 2 4 4 9" xfId="12998" xr:uid="{00000000-0005-0000-0000-0000C6320000}"/>
    <cellStyle name="Normal 2 2 2 2 2 4 5" xfId="12999" xr:uid="{00000000-0005-0000-0000-0000C7320000}"/>
    <cellStyle name="Normal 2 2 2 2 2 4 5 10" xfId="13000" xr:uid="{00000000-0005-0000-0000-0000C8320000}"/>
    <cellStyle name="Normal 2 2 2 2 2 4 5 2" xfId="13001" xr:uid="{00000000-0005-0000-0000-0000C9320000}"/>
    <cellStyle name="Normal 2 2 2 2 2 4 5 3" xfId="13002" xr:uid="{00000000-0005-0000-0000-0000CA320000}"/>
    <cellStyle name="Normal 2 2 2 2 2 4 5 4" xfId="13003" xr:uid="{00000000-0005-0000-0000-0000CB320000}"/>
    <cellStyle name="Normal 2 2 2 2 2 4 5 5" xfId="13004" xr:uid="{00000000-0005-0000-0000-0000CC320000}"/>
    <cellStyle name="Normal 2 2 2 2 2 4 5 6" xfId="13005" xr:uid="{00000000-0005-0000-0000-0000CD320000}"/>
    <cellStyle name="Normal 2 2 2 2 2 4 5 7" xfId="13006" xr:uid="{00000000-0005-0000-0000-0000CE320000}"/>
    <cellStyle name="Normal 2 2 2 2 2 4 5 8" xfId="13007" xr:uid="{00000000-0005-0000-0000-0000CF320000}"/>
    <cellStyle name="Normal 2 2 2 2 2 4 5 9" xfId="13008" xr:uid="{00000000-0005-0000-0000-0000D0320000}"/>
    <cellStyle name="Normal 2 2 2 2 2 4 6" xfId="13009" xr:uid="{00000000-0005-0000-0000-0000D1320000}"/>
    <cellStyle name="Normal 2 2 2 2 2 4 7" xfId="13010" xr:uid="{00000000-0005-0000-0000-0000D2320000}"/>
    <cellStyle name="Normal 2 2 2 2 2 4 8" xfId="13011" xr:uid="{00000000-0005-0000-0000-0000D3320000}"/>
    <cellStyle name="Normal 2 2 2 2 2 4 9" xfId="13012" xr:uid="{00000000-0005-0000-0000-0000D4320000}"/>
    <cellStyle name="Normal 2 2 2 2 2 40" xfId="13013" xr:uid="{00000000-0005-0000-0000-0000D5320000}"/>
    <cellStyle name="Normal 2 2 2 2 2 41" xfId="13014" xr:uid="{00000000-0005-0000-0000-0000D6320000}"/>
    <cellStyle name="Normal 2 2 2 2 2 42" xfId="13015" xr:uid="{00000000-0005-0000-0000-0000D7320000}"/>
    <cellStyle name="Normal 2 2 2 2 2 43" xfId="13016" xr:uid="{00000000-0005-0000-0000-0000D8320000}"/>
    <cellStyle name="Normal 2 2 2 2 2 44" xfId="13017" xr:uid="{00000000-0005-0000-0000-0000D9320000}"/>
    <cellStyle name="Normal 2 2 2 2 2 45" xfId="13018" xr:uid="{00000000-0005-0000-0000-0000DA320000}"/>
    <cellStyle name="Normal 2 2 2 2 2 46" xfId="13019" xr:uid="{00000000-0005-0000-0000-0000DB320000}"/>
    <cellStyle name="Normal 2 2 2 2 2 47" xfId="13020" xr:uid="{00000000-0005-0000-0000-0000DC320000}"/>
    <cellStyle name="Normal 2 2 2 2 2 48" xfId="13021" xr:uid="{00000000-0005-0000-0000-0000DD320000}"/>
    <cellStyle name="Normal 2 2 2 2 2 49" xfId="13022" xr:uid="{00000000-0005-0000-0000-0000DE320000}"/>
    <cellStyle name="Normal 2 2 2 2 2 5" xfId="13023" xr:uid="{00000000-0005-0000-0000-0000DF320000}"/>
    <cellStyle name="Normal 2 2 2 2 2 5 10" xfId="13024" xr:uid="{00000000-0005-0000-0000-0000E0320000}"/>
    <cellStyle name="Normal 2 2 2 2 2 5 11" xfId="13025" xr:uid="{00000000-0005-0000-0000-0000E1320000}"/>
    <cellStyle name="Normal 2 2 2 2 2 5 12" xfId="13026" xr:uid="{00000000-0005-0000-0000-0000E2320000}"/>
    <cellStyle name="Normal 2 2 2 2 2 5 13" xfId="13027" xr:uid="{00000000-0005-0000-0000-0000E3320000}"/>
    <cellStyle name="Normal 2 2 2 2 2 5 14" xfId="13028" xr:uid="{00000000-0005-0000-0000-0000E4320000}"/>
    <cellStyle name="Normal 2 2 2 2 2 5 2" xfId="13029" xr:uid="{00000000-0005-0000-0000-0000E5320000}"/>
    <cellStyle name="Normal 2 2 2 2 2 5 2 10" xfId="13030" xr:uid="{00000000-0005-0000-0000-0000E6320000}"/>
    <cellStyle name="Normal 2 2 2 2 2 5 2 2" xfId="13031" xr:uid="{00000000-0005-0000-0000-0000E7320000}"/>
    <cellStyle name="Normal 2 2 2 2 2 5 2 3" xfId="13032" xr:uid="{00000000-0005-0000-0000-0000E8320000}"/>
    <cellStyle name="Normal 2 2 2 2 2 5 2 4" xfId="13033" xr:uid="{00000000-0005-0000-0000-0000E9320000}"/>
    <cellStyle name="Normal 2 2 2 2 2 5 2 5" xfId="13034" xr:uid="{00000000-0005-0000-0000-0000EA320000}"/>
    <cellStyle name="Normal 2 2 2 2 2 5 2 6" xfId="13035" xr:uid="{00000000-0005-0000-0000-0000EB320000}"/>
    <cellStyle name="Normal 2 2 2 2 2 5 2 7" xfId="13036" xr:uid="{00000000-0005-0000-0000-0000EC320000}"/>
    <cellStyle name="Normal 2 2 2 2 2 5 2 8" xfId="13037" xr:uid="{00000000-0005-0000-0000-0000ED320000}"/>
    <cellStyle name="Normal 2 2 2 2 2 5 2 9" xfId="13038" xr:uid="{00000000-0005-0000-0000-0000EE320000}"/>
    <cellStyle name="Normal 2 2 2 2 2 5 3" xfId="13039" xr:uid="{00000000-0005-0000-0000-0000EF320000}"/>
    <cellStyle name="Normal 2 2 2 2 2 5 3 10" xfId="13040" xr:uid="{00000000-0005-0000-0000-0000F0320000}"/>
    <cellStyle name="Normal 2 2 2 2 2 5 3 2" xfId="13041" xr:uid="{00000000-0005-0000-0000-0000F1320000}"/>
    <cellStyle name="Normal 2 2 2 2 2 5 3 3" xfId="13042" xr:uid="{00000000-0005-0000-0000-0000F2320000}"/>
    <cellStyle name="Normal 2 2 2 2 2 5 3 4" xfId="13043" xr:uid="{00000000-0005-0000-0000-0000F3320000}"/>
    <cellStyle name="Normal 2 2 2 2 2 5 3 5" xfId="13044" xr:uid="{00000000-0005-0000-0000-0000F4320000}"/>
    <cellStyle name="Normal 2 2 2 2 2 5 3 6" xfId="13045" xr:uid="{00000000-0005-0000-0000-0000F5320000}"/>
    <cellStyle name="Normal 2 2 2 2 2 5 3 7" xfId="13046" xr:uid="{00000000-0005-0000-0000-0000F6320000}"/>
    <cellStyle name="Normal 2 2 2 2 2 5 3 8" xfId="13047" xr:uid="{00000000-0005-0000-0000-0000F7320000}"/>
    <cellStyle name="Normal 2 2 2 2 2 5 3 9" xfId="13048" xr:uid="{00000000-0005-0000-0000-0000F8320000}"/>
    <cellStyle name="Normal 2 2 2 2 2 5 4" xfId="13049" xr:uid="{00000000-0005-0000-0000-0000F9320000}"/>
    <cellStyle name="Normal 2 2 2 2 2 5 4 10" xfId="13050" xr:uid="{00000000-0005-0000-0000-0000FA320000}"/>
    <cellStyle name="Normal 2 2 2 2 2 5 4 2" xfId="13051" xr:uid="{00000000-0005-0000-0000-0000FB320000}"/>
    <cellStyle name="Normal 2 2 2 2 2 5 4 3" xfId="13052" xr:uid="{00000000-0005-0000-0000-0000FC320000}"/>
    <cellStyle name="Normal 2 2 2 2 2 5 4 4" xfId="13053" xr:uid="{00000000-0005-0000-0000-0000FD320000}"/>
    <cellStyle name="Normal 2 2 2 2 2 5 4 5" xfId="13054" xr:uid="{00000000-0005-0000-0000-0000FE320000}"/>
    <cellStyle name="Normal 2 2 2 2 2 5 4 6" xfId="13055" xr:uid="{00000000-0005-0000-0000-0000FF320000}"/>
    <cellStyle name="Normal 2 2 2 2 2 5 4 7" xfId="13056" xr:uid="{00000000-0005-0000-0000-000000330000}"/>
    <cellStyle name="Normal 2 2 2 2 2 5 4 8" xfId="13057" xr:uid="{00000000-0005-0000-0000-000001330000}"/>
    <cellStyle name="Normal 2 2 2 2 2 5 4 9" xfId="13058" xr:uid="{00000000-0005-0000-0000-000002330000}"/>
    <cellStyle name="Normal 2 2 2 2 2 5 5" xfId="13059" xr:uid="{00000000-0005-0000-0000-000003330000}"/>
    <cellStyle name="Normal 2 2 2 2 2 5 5 10" xfId="13060" xr:uid="{00000000-0005-0000-0000-000004330000}"/>
    <cellStyle name="Normal 2 2 2 2 2 5 5 2" xfId="13061" xr:uid="{00000000-0005-0000-0000-000005330000}"/>
    <cellStyle name="Normal 2 2 2 2 2 5 5 3" xfId="13062" xr:uid="{00000000-0005-0000-0000-000006330000}"/>
    <cellStyle name="Normal 2 2 2 2 2 5 5 4" xfId="13063" xr:uid="{00000000-0005-0000-0000-000007330000}"/>
    <cellStyle name="Normal 2 2 2 2 2 5 5 5" xfId="13064" xr:uid="{00000000-0005-0000-0000-000008330000}"/>
    <cellStyle name="Normal 2 2 2 2 2 5 5 6" xfId="13065" xr:uid="{00000000-0005-0000-0000-000009330000}"/>
    <cellStyle name="Normal 2 2 2 2 2 5 5 7" xfId="13066" xr:uid="{00000000-0005-0000-0000-00000A330000}"/>
    <cellStyle name="Normal 2 2 2 2 2 5 5 8" xfId="13067" xr:uid="{00000000-0005-0000-0000-00000B330000}"/>
    <cellStyle name="Normal 2 2 2 2 2 5 5 9" xfId="13068" xr:uid="{00000000-0005-0000-0000-00000C330000}"/>
    <cellStyle name="Normal 2 2 2 2 2 5 6" xfId="13069" xr:uid="{00000000-0005-0000-0000-00000D330000}"/>
    <cellStyle name="Normal 2 2 2 2 2 5 7" xfId="13070" xr:uid="{00000000-0005-0000-0000-00000E330000}"/>
    <cellStyle name="Normal 2 2 2 2 2 5 8" xfId="13071" xr:uid="{00000000-0005-0000-0000-00000F330000}"/>
    <cellStyle name="Normal 2 2 2 2 2 5 9" xfId="13072" xr:uid="{00000000-0005-0000-0000-000010330000}"/>
    <cellStyle name="Normal 2 2 2 2 2 6" xfId="13073" xr:uid="{00000000-0005-0000-0000-000011330000}"/>
    <cellStyle name="Normal 2 2 2 2 2 6 10" xfId="13074" xr:uid="{00000000-0005-0000-0000-000012330000}"/>
    <cellStyle name="Normal 2 2 2 2 2 6 11" xfId="13075" xr:uid="{00000000-0005-0000-0000-000013330000}"/>
    <cellStyle name="Normal 2 2 2 2 2 6 12" xfId="13076" xr:uid="{00000000-0005-0000-0000-000014330000}"/>
    <cellStyle name="Normal 2 2 2 2 2 6 13" xfId="13077" xr:uid="{00000000-0005-0000-0000-000015330000}"/>
    <cellStyle name="Normal 2 2 2 2 2 6 14" xfId="13078" xr:uid="{00000000-0005-0000-0000-000016330000}"/>
    <cellStyle name="Normal 2 2 2 2 2 6 2" xfId="13079" xr:uid="{00000000-0005-0000-0000-000017330000}"/>
    <cellStyle name="Normal 2 2 2 2 2 6 2 10" xfId="13080" xr:uid="{00000000-0005-0000-0000-000018330000}"/>
    <cellStyle name="Normal 2 2 2 2 2 6 2 2" xfId="13081" xr:uid="{00000000-0005-0000-0000-000019330000}"/>
    <cellStyle name="Normal 2 2 2 2 2 6 2 3" xfId="13082" xr:uid="{00000000-0005-0000-0000-00001A330000}"/>
    <cellStyle name="Normal 2 2 2 2 2 6 2 4" xfId="13083" xr:uid="{00000000-0005-0000-0000-00001B330000}"/>
    <cellStyle name="Normal 2 2 2 2 2 6 2 5" xfId="13084" xr:uid="{00000000-0005-0000-0000-00001C330000}"/>
    <cellStyle name="Normal 2 2 2 2 2 6 2 6" xfId="13085" xr:uid="{00000000-0005-0000-0000-00001D330000}"/>
    <cellStyle name="Normal 2 2 2 2 2 6 2 7" xfId="13086" xr:uid="{00000000-0005-0000-0000-00001E330000}"/>
    <cellStyle name="Normal 2 2 2 2 2 6 2 8" xfId="13087" xr:uid="{00000000-0005-0000-0000-00001F330000}"/>
    <cellStyle name="Normal 2 2 2 2 2 6 2 9" xfId="13088" xr:uid="{00000000-0005-0000-0000-000020330000}"/>
    <cellStyle name="Normal 2 2 2 2 2 6 3" xfId="13089" xr:uid="{00000000-0005-0000-0000-000021330000}"/>
    <cellStyle name="Normal 2 2 2 2 2 6 3 10" xfId="13090" xr:uid="{00000000-0005-0000-0000-000022330000}"/>
    <cellStyle name="Normal 2 2 2 2 2 6 3 2" xfId="13091" xr:uid="{00000000-0005-0000-0000-000023330000}"/>
    <cellStyle name="Normal 2 2 2 2 2 6 3 3" xfId="13092" xr:uid="{00000000-0005-0000-0000-000024330000}"/>
    <cellStyle name="Normal 2 2 2 2 2 6 3 4" xfId="13093" xr:uid="{00000000-0005-0000-0000-000025330000}"/>
    <cellStyle name="Normal 2 2 2 2 2 6 3 5" xfId="13094" xr:uid="{00000000-0005-0000-0000-000026330000}"/>
    <cellStyle name="Normal 2 2 2 2 2 6 3 6" xfId="13095" xr:uid="{00000000-0005-0000-0000-000027330000}"/>
    <cellStyle name="Normal 2 2 2 2 2 6 3 7" xfId="13096" xr:uid="{00000000-0005-0000-0000-000028330000}"/>
    <cellStyle name="Normal 2 2 2 2 2 6 3 8" xfId="13097" xr:uid="{00000000-0005-0000-0000-000029330000}"/>
    <cellStyle name="Normal 2 2 2 2 2 6 3 9" xfId="13098" xr:uid="{00000000-0005-0000-0000-00002A330000}"/>
    <cellStyle name="Normal 2 2 2 2 2 6 4" xfId="13099" xr:uid="{00000000-0005-0000-0000-00002B330000}"/>
    <cellStyle name="Normal 2 2 2 2 2 6 4 10" xfId="13100" xr:uid="{00000000-0005-0000-0000-00002C330000}"/>
    <cellStyle name="Normal 2 2 2 2 2 6 4 2" xfId="13101" xr:uid="{00000000-0005-0000-0000-00002D330000}"/>
    <cellStyle name="Normal 2 2 2 2 2 6 4 3" xfId="13102" xr:uid="{00000000-0005-0000-0000-00002E330000}"/>
    <cellStyle name="Normal 2 2 2 2 2 6 4 4" xfId="13103" xr:uid="{00000000-0005-0000-0000-00002F330000}"/>
    <cellStyle name="Normal 2 2 2 2 2 6 4 5" xfId="13104" xr:uid="{00000000-0005-0000-0000-000030330000}"/>
    <cellStyle name="Normal 2 2 2 2 2 6 4 6" xfId="13105" xr:uid="{00000000-0005-0000-0000-000031330000}"/>
    <cellStyle name="Normal 2 2 2 2 2 6 4 7" xfId="13106" xr:uid="{00000000-0005-0000-0000-000032330000}"/>
    <cellStyle name="Normal 2 2 2 2 2 6 4 8" xfId="13107" xr:uid="{00000000-0005-0000-0000-000033330000}"/>
    <cellStyle name="Normal 2 2 2 2 2 6 4 9" xfId="13108" xr:uid="{00000000-0005-0000-0000-000034330000}"/>
    <cellStyle name="Normal 2 2 2 2 2 6 5" xfId="13109" xr:uid="{00000000-0005-0000-0000-000035330000}"/>
    <cellStyle name="Normal 2 2 2 2 2 6 5 10" xfId="13110" xr:uid="{00000000-0005-0000-0000-000036330000}"/>
    <cellStyle name="Normal 2 2 2 2 2 6 5 2" xfId="13111" xr:uid="{00000000-0005-0000-0000-000037330000}"/>
    <cellStyle name="Normal 2 2 2 2 2 6 5 3" xfId="13112" xr:uid="{00000000-0005-0000-0000-000038330000}"/>
    <cellStyle name="Normal 2 2 2 2 2 6 5 4" xfId="13113" xr:uid="{00000000-0005-0000-0000-000039330000}"/>
    <cellStyle name="Normal 2 2 2 2 2 6 5 5" xfId="13114" xr:uid="{00000000-0005-0000-0000-00003A330000}"/>
    <cellStyle name="Normal 2 2 2 2 2 6 5 6" xfId="13115" xr:uid="{00000000-0005-0000-0000-00003B330000}"/>
    <cellStyle name="Normal 2 2 2 2 2 6 5 7" xfId="13116" xr:uid="{00000000-0005-0000-0000-00003C330000}"/>
    <cellStyle name="Normal 2 2 2 2 2 6 5 8" xfId="13117" xr:uid="{00000000-0005-0000-0000-00003D330000}"/>
    <cellStyle name="Normal 2 2 2 2 2 6 5 9" xfId="13118" xr:uid="{00000000-0005-0000-0000-00003E330000}"/>
    <cellStyle name="Normal 2 2 2 2 2 6 6" xfId="13119" xr:uid="{00000000-0005-0000-0000-00003F330000}"/>
    <cellStyle name="Normal 2 2 2 2 2 6 7" xfId="13120" xr:uid="{00000000-0005-0000-0000-000040330000}"/>
    <cellStyle name="Normal 2 2 2 2 2 6 8" xfId="13121" xr:uid="{00000000-0005-0000-0000-000041330000}"/>
    <cellStyle name="Normal 2 2 2 2 2 6 9" xfId="13122" xr:uid="{00000000-0005-0000-0000-000042330000}"/>
    <cellStyle name="Normal 2 2 2 2 2 7" xfId="13123" xr:uid="{00000000-0005-0000-0000-000043330000}"/>
    <cellStyle name="Normal 2 2 2 2 2 7 10" xfId="13124" xr:uid="{00000000-0005-0000-0000-000044330000}"/>
    <cellStyle name="Normal 2 2 2 2 2 7 11" xfId="13125" xr:uid="{00000000-0005-0000-0000-000045330000}"/>
    <cellStyle name="Normal 2 2 2 2 2 7 12" xfId="13126" xr:uid="{00000000-0005-0000-0000-000046330000}"/>
    <cellStyle name="Normal 2 2 2 2 2 7 13" xfId="13127" xr:uid="{00000000-0005-0000-0000-000047330000}"/>
    <cellStyle name="Normal 2 2 2 2 2 7 14" xfId="13128" xr:uid="{00000000-0005-0000-0000-000048330000}"/>
    <cellStyle name="Normal 2 2 2 2 2 7 2" xfId="13129" xr:uid="{00000000-0005-0000-0000-000049330000}"/>
    <cellStyle name="Normal 2 2 2 2 2 7 2 10" xfId="13130" xr:uid="{00000000-0005-0000-0000-00004A330000}"/>
    <cellStyle name="Normal 2 2 2 2 2 7 2 2" xfId="13131" xr:uid="{00000000-0005-0000-0000-00004B330000}"/>
    <cellStyle name="Normal 2 2 2 2 2 7 2 3" xfId="13132" xr:uid="{00000000-0005-0000-0000-00004C330000}"/>
    <cellStyle name="Normal 2 2 2 2 2 7 2 4" xfId="13133" xr:uid="{00000000-0005-0000-0000-00004D330000}"/>
    <cellStyle name="Normal 2 2 2 2 2 7 2 5" xfId="13134" xr:uid="{00000000-0005-0000-0000-00004E330000}"/>
    <cellStyle name="Normal 2 2 2 2 2 7 2 6" xfId="13135" xr:uid="{00000000-0005-0000-0000-00004F330000}"/>
    <cellStyle name="Normal 2 2 2 2 2 7 2 7" xfId="13136" xr:uid="{00000000-0005-0000-0000-000050330000}"/>
    <cellStyle name="Normal 2 2 2 2 2 7 2 8" xfId="13137" xr:uid="{00000000-0005-0000-0000-000051330000}"/>
    <cellStyle name="Normal 2 2 2 2 2 7 2 9" xfId="13138" xr:uid="{00000000-0005-0000-0000-000052330000}"/>
    <cellStyle name="Normal 2 2 2 2 2 7 3" xfId="13139" xr:uid="{00000000-0005-0000-0000-000053330000}"/>
    <cellStyle name="Normal 2 2 2 2 2 7 3 10" xfId="13140" xr:uid="{00000000-0005-0000-0000-000054330000}"/>
    <cellStyle name="Normal 2 2 2 2 2 7 3 2" xfId="13141" xr:uid="{00000000-0005-0000-0000-000055330000}"/>
    <cellStyle name="Normal 2 2 2 2 2 7 3 3" xfId="13142" xr:uid="{00000000-0005-0000-0000-000056330000}"/>
    <cellStyle name="Normal 2 2 2 2 2 7 3 4" xfId="13143" xr:uid="{00000000-0005-0000-0000-000057330000}"/>
    <cellStyle name="Normal 2 2 2 2 2 7 3 5" xfId="13144" xr:uid="{00000000-0005-0000-0000-000058330000}"/>
    <cellStyle name="Normal 2 2 2 2 2 7 3 6" xfId="13145" xr:uid="{00000000-0005-0000-0000-000059330000}"/>
    <cellStyle name="Normal 2 2 2 2 2 7 3 7" xfId="13146" xr:uid="{00000000-0005-0000-0000-00005A330000}"/>
    <cellStyle name="Normal 2 2 2 2 2 7 3 8" xfId="13147" xr:uid="{00000000-0005-0000-0000-00005B330000}"/>
    <cellStyle name="Normal 2 2 2 2 2 7 3 9" xfId="13148" xr:uid="{00000000-0005-0000-0000-00005C330000}"/>
    <cellStyle name="Normal 2 2 2 2 2 7 4" xfId="13149" xr:uid="{00000000-0005-0000-0000-00005D330000}"/>
    <cellStyle name="Normal 2 2 2 2 2 7 4 10" xfId="13150" xr:uid="{00000000-0005-0000-0000-00005E330000}"/>
    <cellStyle name="Normal 2 2 2 2 2 7 4 2" xfId="13151" xr:uid="{00000000-0005-0000-0000-00005F330000}"/>
    <cellStyle name="Normal 2 2 2 2 2 7 4 3" xfId="13152" xr:uid="{00000000-0005-0000-0000-000060330000}"/>
    <cellStyle name="Normal 2 2 2 2 2 7 4 4" xfId="13153" xr:uid="{00000000-0005-0000-0000-000061330000}"/>
    <cellStyle name="Normal 2 2 2 2 2 7 4 5" xfId="13154" xr:uid="{00000000-0005-0000-0000-000062330000}"/>
    <cellStyle name="Normal 2 2 2 2 2 7 4 6" xfId="13155" xr:uid="{00000000-0005-0000-0000-000063330000}"/>
    <cellStyle name="Normal 2 2 2 2 2 7 4 7" xfId="13156" xr:uid="{00000000-0005-0000-0000-000064330000}"/>
    <cellStyle name="Normal 2 2 2 2 2 7 4 8" xfId="13157" xr:uid="{00000000-0005-0000-0000-000065330000}"/>
    <cellStyle name="Normal 2 2 2 2 2 7 4 9" xfId="13158" xr:uid="{00000000-0005-0000-0000-000066330000}"/>
    <cellStyle name="Normal 2 2 2 2 2 7 5" xfId="13159" xr:uid="{00000000-0005-0000-0000-000067330000}"/>
    <cellStyle name="Normal 2 2 2 2 2 7 5 10" xfId="13160" xr:uid="{00000000-0005-0000-0000-000068330000}"/>
    <cellStyle name="Normal 2 2 2 2 2 7 5 2" xfId="13161" xr:uid="{00000000-0005-0000-0000-000069330000}"/>
    <cellStyle name="Normal 2 2 2 2 2 7 5 3" xfId="13162" xr:uid="{00000000-0005-0000-0000-00006A330000}"/>
    <cellStyle name="Normal 2 2 2 2 2 7 5 4" xfId="13163" xr:uid="{00000000-0005-0000-0000-00006B330000}"/>
    <cellStyle name="Normal 2 2 2 2 2 7 5 5" xfId="13164" xr:uid="{00000000-0005-0000-0000-00006C330000}"/>
    <cellStyle name="Normal 2 2 2 2 2 7 5 6" xfId="13165" xr:uid="{00000000-0005-0000-0000-00006D330000}"/>
    <cellStyle name="Normal 2 2 2 2 2 7 5 7" xfId="13166" xr:uid="{00000000-0005-0000-0000-00006E330000}"/>
    <cellStyle name="Normal 2 2 2 2 2 7 5 8" xfId="13167" xr:uid="{00000000-0005-0000-0000-00006F330000}"/>
    <cellStyle name="Normal 2 2 2 2 2 7 5 9" xfId="13168" xr:uid="{00000000-0005-0000-0000-000070330000}"/>
    <cellStyle name="Normal 2 2 2 2 2 7 6" xfId="13169" xr:uid="{00000000-0005-0000-0000-000071330000}"/>
    <cellStyle name="Normal 2 2 2 2 2 7 7" xfId="13170" xr:uid="{00000000-0005-0000-0000-000072330000}"/>
    <cellStyle name="Normal 2 2 2 2 2 7 8" xfId="13171" xr:uid="{00000000-0005-0000-0000-000073330000}"/>
    <cellStyle name="Normal 2 2 2 2 2 7 9" xfId="13172" xr:uid="{00000000-0005-0000-0000-000074330000}"/>
    <cellStyle name="Normal 2 2 2 2 2 8" xfId="13173" xr:uid="{00000000-0005-0000-0000-000075330000}"/>
    <cellStyle name="Normal 2 2 2 2 2 8 10" xfId="13174" xr:uid="{00000000-0005-0000-0000-000076330000}"/>
    <cellStyle name="Normal 2 2 2 2 2 8 11" xfId="13175" xr:uid="{00000000-0005-0000-0000-000077330000}"/>
    <cellStyle name="Normal 2 2 2 2 2 8 12" xfId="13176" xr:uid="{00000000-0005-0000-0000-000078330000}"/>
    <cellStyle name="Normal 2 2 2 2 2 8 13" xfId="13177" xr:uid="{00000000-0005-0000-0000-000079330000}"/>
    <cellStyle name="Normal 2 2 2 2 2 8 14" xfId="13178" xr:uid="{00000000-0005-0000-0000-00007A330000}"/>
    <cellStyle name="Normal 2 2 2 2 2 8 2" xfId="13179" xr:uid="{00000000-0005-0000-0000-00007B330000}"/>
    <cellStyle name="Normal 2 2 2 2 2 8 2 10" xfId="13180" xr:uid="{00000000-0005-0000-0000-00007C330000}"/>
    <cellStyle name="Normal 2 2 2 2 2 8 2 2" xfId="13181" xr:uid="{00000000-0005-0000-0000-00007D330000}"/>
    <cellStyle name="Normal 2 2 2 2 2 8 2 3" xfId="13182" xr:uid="{00000000-0005-0000-0000-00007E330000}"/>
    <cellStyle name="Normal 2 2 2 2 2 8 2 4" xfId="13183" xr:uid="{00000000-0005-0000-0000-00007F330000}"/>
    <cellStyle name="Normal 2 2 2 2 2 8 2 5" xfId="13184" xr:uid="{00000000-0005-0000-0000-000080330000}"/>
    <cellStyle name="Normal 2 2 2 2 2 8 2 6" xfId="13185" xr:uid="{00000000-0005-0000-0000-000081330000}"/>
    <cellStyle name="Normal 2 2 2 2 2 8 2 7" xfId="13186" xr:uid="{00000000-0005-0000-0000-000082330000}"/>
    <cellStyle name="Normal 2 2 2 2 2 8 2 8" xfId="13187" xr:uid="{00000000-0005-0000-0000-000083330000}"/>
    <cellStyle name="Normal 2 2 2 2 2 8 2 9" xfId="13188" xr:uid="{00000000-0005-0000-0000-000084330000}"/>
    <cellStyle name="Normal 2 2 2 2 2 8 3" xfId="13189" xr:uid="{00000000-0005-0000-0000-000085330000}"/>
    <cellStyle name="Normal 2 2 2 2 2 8 3 10" xfId="13190" xr:uid="{00000000-0005-0000-0000-000086330000}"/>
    <cellStyle name="Normal 2 2 2 2 2 8 3 2" xfId="13191" xr:uid="{00000000-0005-0000-0000-000087330000}"/>
    <cellStyle name="Normal 2 2 2 2 2 8 3 3" xfId="13192" xr:uid="{00000000-0005-0000-0000-000088330000}"/>
    <cellStyle name="Normal 2 2 2 2 2 8 3 4" xfId="13193" xr:uid="{00000000-0005-0000-0000-000089330000}"/>
    <cellStyle name="Normal 2 2 2 2 2 8 3 5" xfId="13194" xr:uid="{00000000-0005-0000-0000-00008A330000}"/>
    <cellStyle name="Normal 2 2 2 2 2 8 3 6" xfId="13195" xr:uid="{00000000-0005-0000-0000-00008B330000}"/>
    <cellStyle name="Normal 2 2 2 2 2 8 3 7" xfId="13196" xr:uid="{00000000-0005-0000-0000-00008C330000}"/>
    <cellStyle name="Normal 2 2 2 2 2 8 3 8" xfId="13197" xr:uid="{00000000-0005-0000-0000-00008D330000}"/>
    <cellStyle name="Normal 2 2 2 2 2 8 3 9" xfId="13198" xr:uid="{00000000-0005-0000-0000-00008E330000}"/>
    <cellStyle name="Normal 2 2 2 2 2 8 4" xfId="13199" xr:uid="{00000000-0005-0000-0000-00008F330000}"/>
    <cellStyle name="Normal 2 2 2 2 2 8 4 10" xfId="13200" xr:uid="{00000000-0005-0000-0000-000090330000}"/>
    <cellStyle name="Normal 2 2 2 2 2 8 4 2" xfId="13201" xr:uid="{00000000-0005-0000-0000-000091330000}"/>
    <cellStyle name="Normal 2 2 2 2 2 8 4 3" xfId="13202" xr:uid="{00000000-0005-0000-0000-000092330000}"/>
    <cellStyle name="Normal 2 2 2 2 2 8 4 4" xfId="13203" xr:uid="{00000000-0005-0000-0000-000093330000}"/>
    <cellStyle name="Normal 2 2 2 2 2 8 4 5" xfId="13204" xr:uid="{00000000-0005-0000-0000-000094330000}"/>
    <cellStyle name="Normal 2 2 2 2 2 8 4 6" xfId="13205" xr:uid="{00000000-0005-0000-0000-000095330000}"/>
    <cellStyle name="Normal 2 2 2 2 2 8 4 7" xfId="13206" xr:uid="{00000000-0005-0000-0000-000096330000}"/>
    <cellStyle name="Normal 2 2 2 2 2 8 4 8" xfId="13207" xr:uid="{00000000-0005-0000-0000-000097330000}"/>
    <cellStyle name="Normal 2 2 2 2 2 8 4 9" xfId="13208" xr:uid="{00000000-0005-0000-0000-000098330000}"/>
    <cellStyle name="Normal 2 2 2 2 2 8 5" xfId="13209" xr:uid="{00000000-0005-0000-0000-000099330000}"/>
    <cellStyle name="Normal 2 2 2 2 2 8 5 10" xfId="13210" xr:uid="{00000000-0005-0000-0000-00009A330000}"/>
    <cellStyle name="Normal 2 2 2 2 2 8 5 2" xfId="13211" xr:uid="{00000000-0005-0000-0000-00009B330000}"/>
    <cellStyle name="Normal 2 2 2 2 2 8 5 3" xfId="13212" xr:uid="{00000000-0005-0000-0000-00009C330000}"/>
    <cellStyle name="Normal 2 2 2 2 2 8 5 4" xfId="13213" xr:uid="{00000000-0005-0000-0000-00009D330000}"/>
    <cellStyle name="Normal 2 2 2 2 2 8 5 5" xfId="13214" xr:uid="{00000000-0005-0000-0000-00009E330000}"/>
    <cellStyle name="Normal 2 2 2 2 2 8 5 6" xfId="13215" xr:uid="{00000000-0005-0000-0000-00009F330000}"/>
    <cellStyle name="Normal 2 2 2 2 2 8 5 7" xfId="13216" xr:uid="{00000000-0005-0000-0000-0000A0330000}"/>
    <cellStyle name="Normal 2 2 2 2 2 8 5 8" xfId="13217" xr:uid="{00000000-0005-0000-0000-0000A1330000}"/>
    <cellStyle name="Normal 2 2 2 2 2 8 5 9" xfId="13218" xr:uid="{00000000-0005-0000-0000-0000A2330000}"/>
    <cellStyle name="Normal 2 2 2 2 2 8 6" xfId="13219" xr:uid="{00000000-0005-0000-0000-0000A3330000}"/>
    <cellStyle name="Normal 2 2 2 2 2 8 7" xfId="13220" xr:uid="{00000000-0005-0000-0000-0000A4330000}"/>
    <cellStyle name="Normal 2 2 2 2 2 8 8" xfId="13221" xr:uid="{00000000-0005-0000-0000-0000A5330000}"/>
    <cellStyle name="Normal 2 2 2 2 2 8 9" xfId="13222" xr:uid="{00000000-0005-0000-0000-0000A6330000}"/>
    <cellStyle name="Normal 2 2 2 2 2 9" xfId="13223" xr:uid="{00000000-0005-0000-0000-0000A7330000}"/>
    <cellStyle name="Normal 2 2 2 2 2 9 10" xfId="13224" xr:uid="{00000000-0005-0000-0000-0000A8330000}"/>
    <cellStyle name="Normal 2 2 2 2 2 9 11" xfId="13225" xr:uid="{00000000-0005-0000-0000-0000A9330000}"/>
    <cellStyle name="Normal 2 2 2 2 2 9 12" xfId="13226" xr:uid="{00000000-0005-0000-0000-0000AA330000}"/>
    <cellStyle name="Normal 2 2 2 2 2 9 13" xfId="13227" xr:uid="{00000000-0005-0000-0000-0000AB330000}"/>
    <cellStyle name="Normal 2 2 2 2 2 9 14" xfId="13228" xr:uid="{00000000-0005-0000-0000-0000AC330000}"/>
    <cellStyle name="Normal 2 2 2 2 2 9 2" xfId="13229" xr:uid="{00000000-0005-0000-0000-0000AD330000}"/>
    <cellStyle name="Normal 2 2 2 2 2 9 2 10" xfId="13230" xr:uid="{00000000-0005-0000-0000-0000AE330000}"/>
    <cellStyle name="Normal 2 2 2 2 2 9 2 2" xfId="13231" xr:uid="{00000000-0005-0000-0000-0000AF330000}"/>
    <cellStyle name="Normal 2 2 2 2 2 9 2 3" xfId="13232" xr:uid="{00000000-0005-0000-0000-0000B0330000}"/>
    <cellStyle name="Normal 2 2 2 2 2 9 2 4" xfId="13233" xr:uid="{00000000-0005-0000-0000-0000B1330000}"/>
    <cellStyle name="Normal 2 2 2 2 2 9 2 5" xfId="13234" xr:uid="{00000000-0005-0000-0000-0000B2330000}"/>
    <cellStyle name="Normal 2 2 2 2 2 9 2 6" xfId="13235" xr:uid="{00000000-0005-0000-0000-0000B3330000}"/>
    <cellStyle name="Normal 2 2 2 2 2 9 2 7" xfId="13236" xr:uid="{00000000-0005-0000-0000-0000B4330000}"/>
    <cellStyle name="Normal 2 2 2 2 2 9 2 8" xfId="13237" xr:uid="{00000000-0005-0000-0000-0000B5330000}"/>
    <cellStyle name="Normal 2 2 2 2 2 9 2 9" xfId="13238" xr:uid="{00000000-0005-0000-0000-0000B6330000}"/>
    <cellStyle name="Normal 2 2 2 2 2 9 3" xfId="13239" xr:uid="{00000000-0005-0000-0000-0000B7330000}"/>
    <cellStyle name="Normal 2 2 2 2 2 9 3 10" xfId="13240" xr:uid="{00000000-0005-0000-0000-0000B8330000}"/>
    <cellStyle name="Normal 2 2 2 2 2 9 3 2" xfId="13241" xr:uid="{00000000-0005-0000-0000-0000B9330000}"/>
    <cellStyle name="Normal 2 2 2 2 2 9 3 3" xfId="13242" xr:uid="{00000000-0005-0000-0000-0000BA330000}"/>
    <cellStyle name="Normal 2 2 2 2 2 9 3 4" xfId="13243" xr:uid="{00000000-0005-0000-0000-0000BB330000}"/>
    <cellStyle name="Normal 2 2 2 2 2 9 3 5" xfId="13244" xr:uid="{00000000-0005-0000-0000-0000BC330000}"/>
    <cellStyle name="Normal 2 2 2 2 2 9 3 6" xfId="13245" xr:uid="{00000000-0005-0000-0000-0000BD330000}"/>
    <cellStyle name="Normal 2 2 2 2 2 9 3 7" xfId="13246" xr:uid="{00000000-0005-0000-0000-0000BE330000}"/>
    <cellStyle name="Normal 2 2 2 2 2 9 3 8" xfId="13247" xr:uid="{00000000-0005-0000-0000-0000BF330000}"/>
    <cellStyle name="Normal 2 2 2 2 2 9 3 9" xfId="13248" xr:uid="{00000000-0005-0000-0000-0000C0330000}"/>
    <cellStyle name="Normal 2 2 2 2 2 9 4" xfId="13249" xr:uid="{00000000-0005-0000-0000-0000C1330000}"/>
    <cellStyle name="Normal 2 2 2 2 2 9 4 10" xfId="13250" xr:uid="{00000000-0005-0000-0000-0000C2330000}"/>
    <cellStyle name="Normal 2 2 2 2 2 9 4 2" xfId="13251" xr:uid="{00000000-0005-0000-0000-0000C3330000}"/>
    <cellStyle name="Normal 2 2 2 2 2 9 4 3" xfId="13252" xr:uid="{00000000-0005-0000-0000-0000C4330000}"/>
    <cellStyle name="Normal 2 2 2 2 2 9 4 4" xfId="13253" xr:uid="{00000000-0005-0000-0000-0000C5330000}"/>
    <cellStyle name="Normal 2 2 2 2 2 9 4 5" xfId="13254" xr:uid="{00000000-0005-0000-0000-0000C6330000}"/>
    <cellStyle name="Normal 2 2 2 2 2 9 4 6" xfId="13255" xr:uid="{00000000-0005-0000-0000-0000C7330000}"/>
    <cellStyle name="Normal 2 2 2 2 2 9 4 7" xfId="13256" xr:uid="{00000000-0005-0000-0000-0000C8330000}"/>
    <cellStyle name="Normal 2 2 2 2 2 9 4 8" xfId="13257" xr:uid="{00000000-0005-0000-0000-0000C9330000}"/>
    <cellStyle name="Normal 2 2 2 2 2 9 4 9" xfId="13258" xr:uid="{00000000-0005-0000-0000-0000CA330000}"/>
    <cellStyle name="Normal 2 2 2 2 2 9 5" xfId="13259" xr:uid="{00000000-0005-0000-0000-0000CB330000}"/>
    <cellStyle name="Normal 2 2 2 2 2 9 5 10" xfId="13260" xr:uid="{00000000-0005-0000-0000-0000CC330000}"/>
    <cellStyle name="Normal 2 2 2 2 2 9 5 2" xfId="13261" xr:uid="{00000000-0005-0000-0000-0000CD330000}"/>
    <cellStyle name="Normal 2 2 2 2 2 9 5 3" xfId="13262" xr:uid="{00000000-0005-0000-0000-0000CE330000}"/>
    <cellStyle name="Normal 2 2 2 2 2 9 5 4" xfId="13263" xr:uid="{00000000-0005-0000-0000-0000CF330000}"/>
    <cellStyle name="Normal 2 2 2 2 2 9 5 5" xfId="13264" xr:uid="{00000000-0005-0000-0000-0000D0330000}"/>
    <cellStyle name="Normal 2 2 2 2 2 9 5 6" xfId="13265" xr:uid="{00000000-0005-0000-0000-0000D1330000}"/>
    <cellStyle name="Normal 2 2 2 2 2 9 5 7" xfId="13266" xr:uid="{00000000-0005-0000-0000-0000D2330000}"/>
    <cellStyle name="Normal 2 2 2 2 2 9 5 8" xfId="13267" xr:uid="{00000000-0005-0000-0000-0000D3330000}"/>
    <cellStyle name="Normal 2 2 2 2 2 9 5 9" xfId="13268" xr:uid="{00000000-0005-0000-0000-0000D4330000}"/>
    <cellStyle name="Normal 2 2 2 2 2 9 6" xfId="13269" xr:uid="{00000000-0005-0000-0000-0000D5330000}"/>
    <cellStyle name="Normal 2 2 2 2 2 9 7" xfId="13270" xr:uid="{00000000-0005-0000-0000-0000D6330000}"/>
    <cellStyle name="Normal 2 2 2 2 2 9 8" xfId="13271" xr:uid="{00000000-0005-0000-0000-0000D7330000}"/>
    <cellStyle name="Normal 2 2 2 2 2 9 9" xfId="13272" xr:uid="{00000000-0005-0000-0000-0000D8330000}"/>
    <cellStyle name="Normal 2 2 2 2 20" xfId="13273" xr:uid="{00000000-0005-0000-0000-0000D9330000}"/>
    <cellStyle name="Normal 2 2 2 2 21" xfId="13274" xr:uid="{00000000-0005-0000-0000-0000DA330000}"/>
    <cellStyle name="Normal 2 2 2 2 22" xfId="13275" xr:uid="{00000000-0005-0000-0000-0000DB330000}"/>
    <cellStyle name="Normal 2 2 2 2 23" xfId="13276" xr:uid="{00000000-0005-0000-0000-0000DC330000}"/>
    <cellStyle name="Normal 2 2 2 2 24" xfId="13277" xr:uid="{00000000-0005-0000-0000-0000DD330000}"/>
    <cellStyle name="Normal 2 2 2 2 25" xfId="13278" xr:uid="{00000000-0005-0000-0000-0000DE330000}"/>
    <cellStyle name="Normal 2 2 2 2 26" xfId="13279" xr:uid="{00000000-0005-0000-0000-0000DF330000}"/>
    <cellStyle name="Normal 2 2 2 2 27" xfId="13280" xr:uid="{00000000-0005-0000-0000-0000E0330000}"/>
    <cellStyle name="Normal 2 2 2 2 28" xfId="13281" xr:uid="{00000000-0005-0000-0000-0000E1330000}"/>
    <cellStyle name="Normal 2 2 2 2 29" xfId="13282" xr:uid="{00000000-0005-0000-0000-0000E2330000}"/>
    <cellStyle name="Normal 2 2 2 2 3" xfId="13283" xr:uid="{00000000-0005-0000-0000-0000E3330000}"/>
    <cellStyle name="Normal 2 2 2 2 3 2" xfId="13284" xr:uid="{00000000-0005-0000-0000-0000E4330000}"/>
    <cellStyle name="Normal 2 2 2 2 3 2 2" xfId="13285" xr:uid="{00000000-0005-0000-0000-0000E5330000}"/>
    <cellStyle name="Normal 2 2 2 2 3 3" xfId="13286" xr:uid="{00000000-0005-0000-0000-0000E6330000}"/>
    <cellStyle name="Normal 2 2 2 2 3 4" xfId="13287" xr:uid="{00000000-0005-0000-0000-0000E7330000}"/>
    <cellStyle name="Normal 2 2 2 2 3 5" xfId="13288" xr:uid="{00000000-0005-0000-0000-0000E8330000}"/>
    <cellStyle name="Normal 2 2 2 2 30" xfId="13289" xr:uid="{00000000-0005-0000-0000-0000E9330000}"/>
    <cellStyle name="Normal 2 2 2 2 31" xfId="13290" xr:uid="{00000000-0005-0000-0000-0000EA330000}"/>
    <cellStyle name="Normal 2 2 2 2 32" xfId="13291" xr:uid="{00000000-0005-0000-0000-0000EB330000}"/>
    <cellStyle name="Normal 2 2 2 2 33" xfId="13292" xr:uid="{00000000-0005-0000-0000-0000EC330000}"/>
    <cellStyle name="Normal 2 2 2 2 34" xfId="13293" xr:uid="{00000000-0005-0000-0000-0000ED330000}"/>
    <cellStyle name="Normal 2 2 2 2 35" xfId="13294" xr:uid="{00000000-0005-0000-0000-0000EE330000}"/>
    <cellStyle name="Normal 2 2 2 2 36" xfId="13295" xr:uid="{00000000-0005-0000-0000-0000EF330000}"/>
    <cellStyle name="Normal 2 2 2 2 37" xfId="13296" xr:uid="{00000000-0005-0000-0000-0000F0330000}"/>
    <cellStyle name="Normal 2 2 2 2 38" xfId="13297" xr:uid="{00000000-0005-0000-0000-0000F1330000}"/>
    <cellStyle name="Normal 2 2 2 2 39" xfId="13298" xr:uid="{00000000-0005-0000-0000-0000F2330000}"/>
    <cellStyle name="Normal 2 2 2 2 4" xfId="13299" xr:uid="{00000000-0005-0000-0000-0000F3330000}"/>
    <cellStyle name="Normal 2 2 2 2 4 10" xfId="13300" xr:uid="{00000000-0005-0000-0000-0000F4330000}"/>
    <cellStyle name="Normal 2 2 2 2 4 10 10" xfId="13301" xr:uid="{00000000-0005-0000-0000-0000F5330000}"/>
    <cellStyle name="Normal 2 2 2 2 4 10 11" xfId="13302" xr:uid="{00000000-0005-0000-0000-0000F6330000}"/>
    <cellStyle name="Normal 2 2 2 2 4 10 12" xfId="13303" xr:uid="{00000000-0005-0000-0000-0000F7330000}"/>
    <cellStyle name="Normal 2 2 2 2 4 10 13" xfId="13304" xr:uid="{00000000-0005-0000-0000-0000F8330000}"/>
    <cellStyle name="Normal 2 2 2 2 4 10 14" xfId="13305" xr:uid="{00000000-0005-0000-0000-0000F9330000}"/>
    <cellStyle name="Normal 2 2 2 2 4 10 2" xfId="13306" xr:uid="{00000000-0005-0000-0000-0000FA330000}"/>
    <cellStyle name="Normal 2 2 2 2 4 10 2 10" xfId="13307" xr:uid="{00000000-0005-0000-0000-0000FB330000}"/>
    <cellStyle name="Normal 2 2 2 2 4 10 2 2" xfId="13308" xr:uid="{00000000-0005-0000-0000-0000FC330000}"/>
    <cellStyle name="Normal 2 2 2 2 4 10 2 3" xfId="13309" xr:uid="{00000000-0005-0000-0000-0000FD330000}"/>
    <cellStyle name="Normal 2 2 2 2 4 10 2 4" xfId="13310" xr:uid="{00000000-0005-0000-0000-0000FE330000}"/>
    <cellStyle name="Normal 2 2 2 2 4 10 2 5" xfId="13311" xr:uid="{00000000-0005-0000-0000-0000FF330000}"/>
    <cellStyle name="Normal 2 2 2 2 4 10 2 6" xfId="13312" xr:uid="{00000000-0005-0000-0000-000000340000}"/>
    <cellStyle name="Normal 2 2 2 2 4 10 2 7" xfId="13313" xr:uid="{00000000-0005-0000-0000-000001340000}"/>
    <cellStyle name="Normal 2 2 2 2 4 10 2 8" xfId="13314" xr:uid="{00000000-0005-0000-0000-000002340000}"/>
    <cellStyle name="Normal 2 2 2 2 4 10 2 9" xfId="13315" xr:uid="{00000000-0005-0000-0000-000003340000}"/>
    <cellStyle name="Normal 2 2 2 2 4 10 3" xfId="13316" xr:uid="{00000000-0005-0000-0000-000004340000}"/>
    <cellStyle name="Normal 2 2 2 2 4 10 3 10" xfId="13317" xr:uid="{00000000-0005-0000-0000-000005340000}"/>
    <cellStyle name="Normal 2 2 2 2 4 10 3 2" xfId="13318" xr:uid="{00000000-0005-0000-0000-000006340000}"/>
    <cellStyle name="Normal 2 2 2 2 4 10 3 3" xfId="13319" xr:uid="{00000000-0005-0000-0000-000007340000}"/>
    <cellStyle name="Normal 2 2 2 2 4 10 3 4" xfId="13320" xr:uid="{00000000-0005-0000-0000-000008340000}"/>
    <cellStyle name="Normal 2 2 2 2 4 10 3 5" xfId="13321" xr:uid="{00000000-0005-0000-0000-000009340000}"/>
    <cellStyle name="Normal 2 2 2 2 4 10 3 6" xfId="13322" xr:uid="{00000000-0005-0000-0000-00000A340000}"/>
    <cellStyle name="Normal 2 2 2 2 4 10 3 7" xfId="13323" xr:uid="{00000000-0005-0000-0000-00000B340000}"/>
    <cellStyle name="Normal 2 2 2 2 4 10 3 8" xfId="13324" xr:uid="{00000000-0005-0000-0000-00000C340000}"/>
    <cellStyle name="Normal 2 2 2 2 4 10 3 9" xfId="13325" xr:uid="{00000000-0005-0000-0000-00000D340000}"/>
    <cellStyle name="Normal 2 2 2 2 4 10 4" xfId="13326" xr:uid="{00000000-0005-0000-0000-00000E340000}"/>
    <cellStyle name="Normal 2 2 2 2 4 10 4 10" xfId="13327" xr:uid="{00000000-0005-0000-0000-00000F340000}"/>
    <cellStyle name="Normal 2 2 2 2 4 10 4 2" xfId="13328" xr:uid="{00000000-0005-0000-0000-000010340000}"/>
    <cellStyle name="Normal 2 2 2 2 4 10 4 3" xfId="13329" xr:uid="{00000000-0005-0000-0000-000011340000}"/>
    <cellStyle name="Normal 2 2 2 2 4 10 4 4" xfId="13330" xr:uid="{00000000-0005-0000-0000-000012340000}"/>
    <cellStyle name="Normal 2 2 2 2 4 10 4 5" xfId="13331" xr:uid="{00000000-0005-0000-0000-000013340000}"/>
    <cellStyle name="Normal 2 2 2 2 4 10 4 6" xfId="13332" xr:uid="{00000000-0005-0000-0000-000014340000}"/>
    <cellStyle name="Normal 2 2 2 2 4 10 4 7" xfId="13333" xr:uid="{00000000-0005-0000-0000-000015340000}"/>
    <cellStyle name="Normal 2 2 2 2 4 10 4 8" xfId="13334" xr:uid="{00000000-0005-0000-0000-000016340000}"/>
    <cellStyle name="Normal 2 2 2 2 4 10 4 9" xfId="13335" xr:uid="{00000000-0005-0000-0000-000017340000}"/>
    <cellStyle name="Normal 2 2 2 2 4 10 5" xfId="13336" xr:uid="{00000000-0005-0000-0000-000018340000}"/>
    <cellStyle name="Normal 2 2 2 2 4 10 5 10" xfId="13337" xr:uid="{00000000-0005-0000-0000-000019340000}"/>
    <cellStyle name="Normal 2 2 2 2 4 10 5 2" xfId="13338" xr:uid="{00000000-0005-0000-0000-00001A340000}"/>
    <cellStyle name="Normal 2 2 2 2 4 10 5 3" xfId="13339" xr:uid="{00000000-0005-0000-0000-00001B340000}"/>
    <cellStyle name="Normal 2 2 2 2 4 10 5 4" xfId="13340" xr:uid="{00000000-0005-0000-0000-00001C340000}"/>
    <cellStyle name="Normal 2 2 2 2 4 10 5 5" xfId="13341" xr:uid="{00000000-0005-0000-0000-00001D340000}"/>
    <cellStyle name="Normal 2 2 2 2 4 10 5 6" xfId="13342" xr:uid="{00000000-0005-0000-0000-00001E340000}"/>
    <cellStyle name="Normal 2 2 2 2 4 10 5 7" xfId="13343" xr:uid="{00000000-0005-0000-0000-00001F340000}"/>
    <cellStyle name="Normal 2 2 2 2 4 10 5 8" xfId="13344" xr:uid="{00000000-0005-0000-0000-000020340000}"/>
    <cellStyle name="Normal 2 2 2 2 4 10 5 9" xfId="13345" xr:uid="{00000000-0005-0000-0000-000021340000}"/>
    <cellStyle name="Normal 2 2 2 2 4 10 6" xfId="13346" xr:uid="{00000000-0005-0000-0000-000022340000}"/>
    <cellStyle name="Normal 2 2 2 2 4 10 7" xfId="13347" xr:uid="{00000000-0005-0000-0000-000023340000}"/>
    <cellStyle name="Normal 2 2 2 2 4 10 8" xfId="13348" xr:uid="{00000000-0005-0000-0000-000024340000}"/>
    <cellStyle name="Normal 2 2 2 2 4 10 9" xfId="13349" xr:uid="{00000000-0005-0000-0000-000025340000}"/>
    <cellStyle name="Normal 2 2 2 2 4 11" xfId="13350" xr:uid="{00000000-0005-0000-0000-000026340000}"/>
    <cellStyle name="Normal 2 2 2 2 4 11 10" xfId="13351" xr:uid="{00000000-0005-0000-0000-000027340000}"/>
    <cellStyle name="Normal 2 2 2 2 4 11 11" xfId="13352" xr:uid="{00000000-0005-0000-0000-000028340000}"/>
    <cellStyle name="Normal 2 2 2 2 4 11 12" xfId="13353" xr:uid="{00000000-0005-0000-0000-000029340000}"/>
    <cellStyle name="Normal 2 2 2 2 4 11 13" xfId="13354" xr:uid="{00000000-0005-0000-0000-00002A340000}"/>
    <cellStyle name="Normal 2 2 2 2 4 11 14" xfId="13355" xr:uid="{00000000-0005-0000-0000-00002B340000}"/>
    <cellStyle name="Normal 2 2 2 2 4 11 2" xfId="13356" xr:uid="{00000000-0005-0000-0000-00002C340000}"/>
    <cellStyle name="Normal 2 2 2 2 4 11 2 10" xfId="13357" xr:uid="{00000000-0005-0000-0000-00002D340000}"/>
    <cellStyle name="Normal 2 2 2 2 4 11 2 2" xfId="13358" xr:uid="{00000000-0005-0000-0000-00002E340000}"/>
    <cellStyle name="Normal 2 2 2 2 4 11 2 3" xfId="13359" xr:uid="{00000000-0005-0000-0000-00002F340000}"/>
    <cellStyle name="Normal 2 2 2 2 4 11 2 4" xfId="13360" xr:uid="{00000000-0005-0000-0000-000030340000}"/>
    <cellStyle name="Normal 2 2 2 2 4 11 2 5" xfId="13361" xr:uid="{00000000-0005-0000-0000-000031340000}"/>
    <cellStyle name="Normal 2 2 2 2 4 11 2 6" xfId="13362" xr:uid="{00000000-0005-0000-0000-000032340000}"/>
    <cellStyle name="Normal 2 2 2 2 4 11 2 7" xfId="13363" xr:uid="{00000000-0005-0000-0000-000033340000}"/>
    <cellStyle name="Normal 2 2 2 2 4 11 2 8" xfId="13364" xr:uid="{00000000-0005-0000-0000-000034340000}"/>
    <cellStyle name="Normal 2 2 2 2 4 11 2 9" xfId="13365" xr:uid="{00000000-0005-0000-0000-000035340000}"/>
    <cellStyle name="Normal 2 2 2 2 4 11 3" xfId="13366" xr:uid="{00000000-0005-0000-0000-000036340000}"/>
    <cellStyle name="Normal 2 2 2 2 4 11 3 10" xfId="13367" xr:uid="{00000000-0005-0000-0000-000037340000}"/>
    <cellStyle name="Normal 2 2 2 2 4 11 3 2" xfId="13368" xr:uid="{00000000-0005-0000-0000-000038340000}"/>
    <cellStyle name="Normal 2 2 2 2 4 11 3 3" xfId="13369" xr:uid="{00000000-0005-0000-0000-000039340000}"/>
    <cellStyle name="Normal 2 2 2 2 4 11 3 4" xfId="13370" xr:uid="{00000000-0005-0000-0000-00003A340000}"/>
    <cellStyle name="Normal 2 2 2 2 4 11 3 5" xfId="13371" xr:uid="{00000000-0005-0000-0000-00003B340000}"/>
    <cellStyle name="Normal 2 2 2 2 4 11 3 6" xfId="13372" xr:uid="{00000000-0005-0000-0000-00003C340000}"/>
    <cellStyle name="Normal 2 2 2 2 4 11 3 7" xfId="13373" xr:uid="{00000000-0005-0000-0000-00003D340000}"/>
    <cellStyle name="Normal 2 2 2 2 4 11 3 8" xfId="13374" xr:uid="{00000000-0005-0000-0000-00003E340000}"/>
    <cellStyle name="Normal 2 2 2 2 4 11 3 9" xfId="13375" xr:uid="{00000000-0005-0000-0000-00003F340000}"/>
    <cellStyle name="Normal 2 2 2 2 4 11 4" xfId="13376" xr:uid="{00000000-0005-0000-0000-000040340000}"/>
    <cellStyle name="Normal 2 2 2 2 4 11 4 10" xfId="13377" xr:uid="{00000000-0005-0000-0000-000041340000}"/>
    <cellStyle name="Normal 2 2 2 2 4 11 4 2" xfId="13378" xr:uid="{00000000-0005-0000-0000-000042340000}"/>
    <cellStyle name="Normal 2 2 2 2 4 11 4 3" xfId="13379" xr:uid="{00000000-0005-0000-0000-000043340000}"/>
    <cellStyle name="Normal 2 2 2 2 4 11 4 4" xfId="13380" xr:uid="{00000000-0005-0000-0000-000044340000}"/>
    <cellStyle name="Normal 2 2 2 2 4 11 4 5" xfId="13381" xr:uid="{00000000-0005-0000-0000-000045340000}"/>
    <cellStyle name="Normal 2 2 2 2 4 11 4 6" xfId="13382" xr:uid="{00000000-0005-0000-0000-000046340000}"/>
    <cellStyle name="Normal 2 2 2 2 4 11 4 7" xfId="13383" xr:uid="{00000000-0005-0000-0000-000047340000}"/>
    <cellStyle name="Normal 2 2 2 2 4 11 4 8" xfId="13384" xr:uid="{00000000-0005-0000-0000-000048340000}"/>
    <cellStyle name="Normal 2 2 2 2 4 11 4 9" xfId="13385" xr:uid="{00000000-0005-0000-0000-000049340000}"/>
    <cellStyle name="Normal 2 2 2 2 4 11 5" xfId="13386" xr:uid="{00000000-0005-0000-0000-00004A340000}"/>
    <cellStyle name="Normal 2 2 2 2 4 11 5 10" xfId="13387" xr:uid="{00000000-0005-0000-0000-00004B340000}"/>
    <cellStyle name="Normal 2 2 2 2 4 11 5 2" xfId="13388" xr:uid="{00000000-0005-0000-0000-00004C340000}"/>
    <cellStyle name="Normal 2 2 2 2 4 11 5 3" xfId="13389" xr:uid="{00000000-0005-0000-0000-00004D340000}"/>
    <cellStyle name="Normal 2 2 2 2 4 11 5 4" xfId="13390" xr:uid="{00000000-0005-0000-0000-00004E340000}"/>
    <cellStyle name="Normal 2 2 2 2 4 11 5 5" xfId="13391" xr:uid="{00000000-0005-0000-0000-00004F340000}"/>
    <cellStyle name="Normal 2 2 2 2 4 11 5 6" xfId="13392" xr:uid="{00000000-0005-0000-0000-000050340000}"/>
    <cellStyle name="Normal 2 2 2 2 4 11 5 7" xfId="13393" xr:uid="{00000000-0005-0000-0000-000051340000}"/>
    <cellStyle name="Normal 2 2 2 2 4 11 5 8" xfId="13394" xr:uid="{00000000-0005-0000-0000-000052340000}"/>
    <cellStyle name="Normal 2 2 2 2 4 11 5 9" xfId="13395" xr:uid="{00000000-0005-0000-0000-000053340000}"/>
    <cellStyle name="Normal 2 2 2 2 4 11 6" xfId="13396" xr:uid="{00000000-0005-0000-0000-000054340000}"/>
    <cellStyle name="Normal 2 2 2 2 4 11 7" xfId="13397" xr:uid="{00000000-0005-0000-0000-000055340000}"/>
    <cellStyle name="Normal 2 2 2 2 4 11 8" xfId="13398" xr:uid="{00000000-0005-0000-0000-000056340000}"/>
    <cellStyle name="Normal 2 2 2 2 4 11 9" xfId="13399" xr:uid="{00000000-0005-0000-0000-000057340000}"/>
    <cellStyle name="Normal 2 2 2 2 4 12" xfId="13400" xr:uid="{00000000-0005-0000-0000-000058340000}"/>
    <cellStyle name="Normal 2 2 2 2 4 12 10" xfId="13401" xr:uid="{00000000-0005-0000-0000-000059340000}"/>
    <cellStyle name="Normal 2 2 2 2 4 12 11" xfId="13402" xr:uid="{00000000-0005-0000-0000-00005A340000}"/>
    <cellStyle name="Normal 2 2 2 2 4 12 12" xfId="13403" xr:uid="{00000000-0005-0000-0000-00005B340000}"/>
    <cellStyle name="Normal 2 2 2 2 4 12 13" xfId="13404" xr:uid="{00000000-0005-0000-0000-00005C340000}"/>
    <cellStyle name="Normal 2 2 2 2 4 12 14" xfId="13405" xr:uid="{00000000-0005-0000-0000-00005D340000}"/>
    <cellStyle name="Normal 2 2 2 2 4 12 2" xfId="13406" xr:uid="{00000000-0005-0000-0000-00005E340000}"/>
    <cellStyle name="Normal 2 2 2 2 4 12 2 10" xfId="13407" xr:uid="{00000000-0005-0000-0000-00005F340000}"/>
    <cellStyle name="Normal 2 2 2 2 4 12 2 2" xfId="13408" xr:uid="{00000000-0005-0000-0000-000060340000}"/>
    <cellStyle name="Normal 2 2 2 2 4 12 2 3" xfId="13409" xr:uid="{00000000-0005-0000-0000-000061340000}"/>
    <cellStyle name="Normal 2 2 2 2 4 12 2 4" xfId="13410" xr:uid="{00000000-0005-0000-0000-000062340000}"/>
    <cellStyle name="Normal 2 2 2 2 4 12 2 5" xfId="13411" xr:uid="{00000000-0005-0000-0000-000063340000}"/>
    <cellStyle name="Normal 2 2 2 2 4 12 2 6" xfId="13412" xr:uid="{00000000-0005-0000-0000-000064340000}"/>
    <cellStyle name="Normal 2 2 2 2 4 12 2 7" xfId="13413" xr:uid="{00000000-0005-0000-0000-000065340000}"/>
    <cellStyle name="Normal 2 2 2 2 4 12 2 8" xfId="13414" xr:uid="{00000000-0005-0000-0000-000066340000}"/>
    <cellStyle name="Normal 2 2 2 2 4 12 2 9" xfId="13415" xr:uid="{00000000-0005-0000-0000-000067340000}"/>
    <cellStyle name="Normal 2 2 2 2 4 12 3" xfId="13416" xr:uid="{00000000-0005-0000-0000-000068340000}"/>
    <cellStyle name="Normal 2 2 2 2 4 12 3 10" xfId="13417" xr:uid="{00000000-0005-0000-0000-000069340000}"/>
    <cellStyle name="Normal 2 2 2 2 4 12 3 2" xfId="13418" xr:uid="{00000000-0005-0000-0000-00006A340000}"/>
    <cellStyle name="Normal 2 2 2 2 4 12 3 3" xfId="13419" xr:uid="{00000000-0005-0000-0000-00006B340000}"/>
    <cellStyle name="Normal 2 2 2 2 4 12 3 4" xfId="13420" xr:uid="{00000000-0005-0000-0000-00006C340000}"/>
    <cellStyle name="Normal 2 2 2 2 4 12 3 5" xfId="13421" xr:uid="{00000000-0005-0000-0000-00006D340000}"/>
    <cellStyle name="Normal 2 2 2 2 4 12 3 6" xfId="13422" xr:uid="{00000000-0005-0000-0000-00006E340000}"/>
    <cellStyle name="Normal 2 2 2 2 4 12 3 7" xfId="13423" xr:uid="{00000000-0005-0000-0000-00006F340000}"/>
    <cellStyle name="Normal 2 2 2 2 4 12 3 8" xfId="13424" xr:uid="{00000000-0005-0000-0000-000070340000}"/>
    <cellStyle name="Normal 2 2 2 2 4 12 3 9" xfId="13425" xr:uid="{00000000-0005-0000-0000-000071340000}"/>
    <cellStyle name="Normal 2 2 2 2 4 12 4" xfId="13426" xr:uid="{00000000-0005-0000-0000-000072340000}"/>
    <cellStyle name="Normal 2 2 2 2 4 12 4 10" xfId="13427" xr:uid="{00000000-0005-0000-0000-000073340000}"/>
    <cellStyle name="Normal 2 2 2 2 4 12 4 2" xfId="13428" xr:uid="{00000000-0005-0000-0000-000074340000}"/>
    <cellStyle name="Normal 2 2 2 2 4 12 4 3" xfId="13429" xr:uid="{00000000-0005-0000-0000-000075340000}"/>
    <cellStyle name="Normal 2 2 2 2 4 12 4 4" xfId="13430" xr:uid="{00000000-0005-0000-0000-000076340000}"/>
    <cellStyle name="Normal 2 2 2 2 4 12 4 5" xfId="13431" xr:uid="{00000000-0005-0000-0000-000077340000}"/>
    <cellStyle name="Normal 2 2 2 2 4 12 4 6" xfId="13432" xr:uid="{00000000-0005-0000-0000-000078340000}"/>
    <cellStyle name="Normal 2 2 2 2 4 12 4 7" xfId="13433" xr:uid="{00000000-0005-0000-0000-000079340000}"/>
    <cellStyle name="Normal 2 2 2 2 4 12 4 8" xfId="13434" xr:uid="{00000000-0005-0000-0000-00007A340000}"/>
    <cellStyle name="Normal 2 2 2 2 4 12 4 9" xfId="13435" xr:uid="{00000000-0005-0000-0000-00007B340000}"/>
    <cellStyle name="Normal 2 2 2 2 4 12 5" xfId="13436" xr:uid="{00000000-0005-0000-0000-00007C340000}"/>
    <cellStyle name="Normal 2 2 2 2 4 12 5 10" xfId="13437" xr:uid="{00000000-0005-0000-0000-00007D340000}"/>
    <cellStyle name="Normal 2 2 2 2 4 12 5 2" xfId="13438" xr:uid="{00000000-0005-0000-0000-00007E340000}"/>
    <cellStyle name="Normal 2 2 2 2 4 12 5 3" xfId="13439" xr:uid="{00000000-0005-0000-0000-00007F340000}"/>
    <cellStyle name="Normal 2 2 2 2 4 12 5 4" xfId="13440" xr:uid="{00000000-0005-0000-0000-000080340000}"/>
    <cellStyle name="Normal 2 2 2 2 4 12 5 5" xfId="13441" xr:uid="{00000000-0005-0000-0000-000081340000}"/>
    <cellStyle name="Normal 2 2 2 2 4 12 5 6" xfId="13442" xr:uid="{00000000-0005-0000-0000-000082340000}"/>
    <cellStyle name="Normal 2 2 2 2 4 12 5 7" xfId="13443" xr:uid="{00000000-0005-0000-0000-000083340000}"/>
    <cellStyle name="Normal 2 2 2 2 4 12 5 8" xfId="13444" xr:uid="{00000000-0005-0000-0000-000084340000}"/>
    <cellStyle name="Normal 2 2 2 2 4 12 5 9" xfId="13445" xr:uid="{00000000-0005-0000-0000-000085340000}"/>
    <cellStyle name="Normal 2 2 2 2 4 12 6" xfId="13446" xr:uid="{00000000-0005-0000-0000-000086340000}"/>
    <cellStyle name="Normal 2 2 2 2 4 12 7" xfId="13447" xr:uid="{00000000-0005-0000-0000-000087340000}"/>
    <cellStyle name="Normal 2 2 2 2 4 12 8" xfId="13448" xr:uid="{00000000-0005-0000-0000-000088340000}"/>
    <cellStyle name="Normal 2 2 2 2 4 12 9" xfId="13449" xr:uid="{00000000-0005-0000-0000-000089340000}"/>
    <cellStyle name="Normal 2 2 2 2 4 13" xfId="13450" xr:uid="{00000000-0005-0000-0000-00008A340000}"/>
    <cellStyle name="Normal 2 2 2 2 4 13 10" xfId="13451" xr:uid="{00000000-0005-0000-0000-00008B340000}"/>
    <cellStyle name="Normal 2 2 2 2 4 13 11" xfId="13452" xr:uid="{00000000-0005-0000-0000-00008C340000}"/>
    <cellStyle name="Normal 2 2 2 2 4 13 12" xfId="13453" xr:uid="{00000000-0005-0000-0000-00008D340000}"/>
    <cellStyle name="Normal 2 2 2 2 4 13 13" xfId="13454" xr:uid="{00000000-0005-0000-0000-00008E340000}"/>
    <cellStyle name="Normal 2 2 2 2 4 13 14" xfId="13455" xr:uid="{00000000-0005-0000-0000-00008F340000}"/>
    <cellStyle name="Normal 2 2 2 2 4 13 2" xfId="13456" xr:uid="{00000000-0005-0000-0000-000090340000}"/>
    <cellStyle name="Normal 2 2 2 2 4 13 2 10" xfId="13457" xr:uid="{00000000-0005-0000-0000-000091340000}"/>
    <cellStyle name="Normal 2 2 2 2 4 13 2 2" xfId="13458" xr:uid="{00000000-0005-0000-0000-000092340000}"/>
    <cellStyle name="Normal 2 2 2 2 4 13 2 3" xfId="13459" xr:uid="{00000000-0005-0000-0000-000093340000}"/>
    <cellStyle name="Normal 2 2 2 2 4 13 2 4" xfId="13460" xr:uid="{00000000-0005-0000-0000-000094340000}"/>
    <cellStyle name="Normal 2 2 2 2 4 13 2 5" xfId="13461" xr:uid="{00000000-0005-0000-0000-000095340000}"/>
    <cellStyle name="Normal 2 2 2 2 4 13 2 6" xfId="13462" xr:uid="{00000000-0005-0000-0000-000096340000}"/>
    <cellStyle name="Normal 2 2 2 2 4 13 2 7" xfId="13463" xr:uid="{00000000-0005-0000-0000-000097340000}"/>
    <cellStyle name="Normal 2 2 2 2 4 13 2 8" xfId="13464" xr:uid="{00000000-0005-0000-0000-000098340000}"/>
    <cellStyle name="Normal 2 2 2 2 4 13 2 9" xfId="13465" xr:uid="{00000000-0005-0000-0000-000099340000}"/>
    <cellStyle name="Normal 2 2 2 2 4 13 3" xfId="13466" xr:uid="{00000000-0005-0000-0000-00009A340000}"/>
    <cellStyle name="Normal 2 2 2 2 4 13 3 10" xfId="13467" xr:uid="{00000000-0005-0000-0000-00009B340000}"/>
    <cellStyle name="Normal 2 2 2 2 4 13 3 2" xfId="13468" xr:uid="{00000000-0005-0000-0000-00009C340000}"/>
    <cellStyle name="Normal 2 2 2 2 4 13 3 3" xfId="13469" xr:uid="{00000000-0005-0000-0000-00009D340000}"/>
    <cellStyle name="Normal 2 2 2 2 4 13 3 4" xfId="13470" xr:uid="{00000000-0005-0000-0000-00009E340000}"/>
    <cellStyle name="Normal 2 2 2 2 4 13 3 5" xfId="13471" xr:uid="{00000000-0005-0000-0000-00009F340000}"/>
    <cellStyle name="Normal 2 2 2 2 4 13 3 6" xfId="13472" xr:uid="{00000000-0005-0000-0000-0000A0340000}"/>
    <cellStyle name="Normal 2 2 2 2 4 13 3 7" xfId="13473" xr:uid="{00000000-0005-0000-0000-0000A1340000}"/>
    <cellStyle name="Normal 2 2 2 2 4 13 3 8" xfId="13474" xr:uid="{00000000-0005-0000-0000-0000A2340000}"/>
    <cellStyle name="Normal 2 2 2 2 4 13 3 9" xfId="13475" xr:uid="{00000000-0005-0000-0000-0000A3340000}"/>
    <cellStyle name="Normal 2 2 2 2 4 13 4" xfId="13476" xr:uid="{00000000-0005-0000-0000-0000A4340000}"/>
    <cellStyle name="Normal 2 2 2 2 4 13 4 10" xfId="13477" xr:uid="{00000000-0005-0000-0000-0000A5340000}"/>
    <cellStyle name="Normal 2 2 2 2 4 13 4 2" xfId="13478" xr:uid="{00000000-0005-0000-0000-0000A6340000}"/>
    <cellStyle name="Normal 2 2 2 2 4 13 4 3" xfId="13479" xr:uid="{00000000-0005-0000-0000-0000A7340000}"/>
    <cellStyle name="Normal 2 2 2 2 4 13 4 4" xfId="13480" xr:uid="{00000000-0005-0000-0000-0000A8340000}"/>
    <cellStyle name="Normal 2 2 2 2 4 13 4 5" xfId="13481" xr:uid="{00000000-0005-0000-0000-0000A9340000}"/>
    <cellStyle name="Normal 2 2 2 2 4 13 4 6" xfId="13482" xr:uid="{00000000-0005-0000-0000-0000AA340000}"/>
    <cellStyle name="Normal 2 2 2 2 4 13 4 7" xfId="13483" xr:uid="{00000000-0005-0000-0000-0000AB340000}"/>
    <cellStyle name="Normal 2 2 2 2 4 13 4 8" xfId="13484" xr:uid="{00000000-0005-0000-0000-0000AC340000}"/>
    <cellStyle name="Normal 2 2 2 2 4 13 4 9" xfId="13485" xr:uid="{00000000-0005-0000-0000-0000AD340000}"/>
    <cellStyle name="Normal 2 2 2 2 4 13 5" xfId="13486" xr:uid="{00000000-0005-0000-0000-0000AE340000}"/>
    <cellStyle name="Normal 2 2 2 2 4 13 5 10" xfId="13487" xr:uid="{00000000-0005-0000-0000-0000AF340000}"/>
    <cellStyle name="Normal 2 2 2 2 4 13 5 2" xfId="13488" xr:uid="{00000000-0005-0000-0000-0000B0340000}"/>
    <cellStyle name="Normal 2 2 2 2 4 13 5 3" xfId="13489" xr:uid="{00000000-0005-0000-0000-0000B1340000}"/>
    <cellStyle name="Normal 2 2 2 2 4 13 5 4" xfId="13490" xr:uid="{00000000-0005-0000-0000-0000B2340000}"/>
    <cellStyle name="Normal 2 2 2 2 4 13 5 5" xfId="13491" xr:uid="{00000000-0005-0000-0000-0000B3340000}"/>
    <cellStyle name="Normal 2 2 2 2 4 13 5 6" xfId="13492" xr:uid="{00000000-0005-0000-0000-0000B4340000}"/>
    <cellStyle name="Normal 2 2 2 2 4 13 5 7" xfId="13493" xr:uid="{00000000-0005-0000-0000-0000B5340000}"/>
    <cellStyle name="Normal 2 2 2 2 4 13 5 8" xfId="13494" xr:uid="{00000000-0005-0000-0000-0000B6340000}"/>
    <cellStyle name="Normal 2 2 2 2 4 13 5 9" xfId="13495" xr:uid="{00000000-0005-0000-0000-0000B7340000}"/>
    <cellStyle name="Normal 2 2 2 2 4 13 6" xfId="13496" xr:uid="{00000000-0005-0000-0000-0000B8340000}"/>
    <cellStyle name="Normal 2 2 2 2 4 13 7" xfId="13497" xr:uid="{00000000-0005-0000-0000-0000B9340000}"/>
    <cellStyle name="Normal 2 2 2 2 4 13 8" xfId="13498" xr:uid="{00000000-0005-0000-0000-0000BA340000}"/>
    <cellStyle name="Normal 2 2 2 2 4 13 9" xfId="13499" xr:uid="{00000000-0005-0000-0000-0000BB340000}"/>
    <cellStyle name="Normal 2 2 2 2 4 14" xfId="13500" xr:uid="{00000000-0005-0000-0000-0000BC340000}"/>
    <cellStyle name="Normal 2 2 2 2 4 14 10" xfId="13501" xr:uid="{00000000-0005-0000-0000-0000BD340000}"/>
    <cellStyle name="Normal 2 2 2 2 4 14 11" xfId="13502" xr:uid="{00000000-0005-0000-0000-0000BE340000}"/>
    <cellStyle name="Normal 2 2 2 2 4 14 12" xfId="13503" xr:uid="{00000000-0005-0000-0000-0000BF340000}"/>
    <cellStyle name="Normal 2 2 2 2 4 14 13" xfId="13504" xr:uid="{00000000-0005-0000-0000-0000C0340000}"/>
    <cellStyle name="Normal 2 2 2 2 4 14 14" xfId="13505" xr:uid="{00000000-0005-0000-0000-0000C1340000}"/>
    <cellStyle name="Normal 2 2 2 2 4 14 2" xfId="13506" xr:uid="{00000000-0005-0000-0000-0000C2340000}"/>
    <cellStyle name="Normal 2 2 2 2 4 14 2 10" xfId="13507" xr:uid="{00000000-0005-0000-0000-0000C3340000}"/>
    <cellStyle name="Normal 2 2 2 2 4 14 2 2" xfId="13508" xr:uid="{00000000-0005-0000-0000-0000C4340000}"/>
    <cellStyle name="Normal 2 2 2 2 4 14 2 3" xfId="13509" xr:uid="{00000000-0005-0000-0000-0000C5340000}"/>
    <cellStyle name="Normal 2 2 2 2 4 14 2 4" xfId="13510" xr:uid="{00000000-0005-0000-0000-0000C6340000}"/>
    <cellStyle name="Normal 2 2 2 2 4 14 2 5" xfId="13511" xr:uid="{00000000-0005-0000-0000-0000C7340000}"/>
    <cellStyle name="Normal 2 2 2 2 4 14 2 6" xfId="13512" xr:uid="{00000000-0005-0000-0000-0000C8340000}"/>
    <cellStyle name="Normal 2 2 2 2 4 14 2 7" xfId="13513" xr:uid="{00000000-0005-0000-0000-0000C9340000}"/>
    <cellStyle name="Normal 2 2 2 2 4 14 2 8" xfId="13514" xr:uid="{00000000-0005-0000-0000-0000CA340000}"/>
    <cellStyle name="Normal 2 2 2 2 4 14 2 9" xfId="13515" xr:uid="{00000000-0005-0000-0000-0000CB340000}"/>
    <cellStyle name="Normal 2 2 2 2 4 14 3" xfId="13516" xr:uid="{00000000-0005-0000-0000-0000CC340000}"/>
    <cellStyle name="Normal 2 2 2 2 4 14 3 10" xfId="13517" xr:uid="{00000000-0005-0000-0000-0000CD340000}"/>
    <cellStyle name="Normal 2 2 2 2 4 14 3 2" xfId="13518" xr:uid="{00000000-0005-0000-0000-0000CE340000}"/>
    <cellStyle name="Normal 2 2 2 2 4 14 3 3" xfId="13519" xr:uid="{00000000-0005-0000-0000-0000CF340000}"/>
    <cellStyle name="Normal 2 2 2 2 4 14 3 4" xfId="13520" xr:uid="{00000000-0005-0000-0000-0000D0340000}"/>
    <cellStyle name="Normal 2 2 2 2 4 14 3 5" xfId="13521" xr:uid="{00000000-0005-0000-0000-0000D1340000}"/>
    <cellStyle name="Normal 2 2 2 2 4 14 3 6" xfId="13522" xr:uid="{00000000-0005-0000-0000-0000D2340000}"/>
    <cellStyle name="Normal 2 2 2 2 4 14 3 7" xfId="13523" xr:uid="{00000000-0005-0000-0000-0000D3340000}"/>
    <cellStyle name="Normal 2 2 2 2 4 14 3 8" xfId="13524" xr:uid="{00000000-0005-0000-0000-0000D4340000}"/>
    <cellStyle name="Normal 2 2 2 2 4 14 3 9" xfId="13525" xr:uid="{00000000-0005-0000-0000-0000D5340000}"/>
    <cellStyle name="Normal 2 2 2 2 4 14 4" xfId="13526" xr:uid="{00000000-0005-0000-0000-0000D6340000}"/>
    <cellStyle name="Normal 2 2 2 2 4 14 4 10" xfId="13527" xr:uid="{00000000-0005-0000-0000-0000D7340000}"/>
    <cellStyle name="Normal 2 2 2 2 4 14 4 2" xfId="13528" xr:uid="{00000000-0005-0000-0000-0000D8340000}"/>
    <cellStyle name="Normal 2 2 2 2 4 14 4 3" xfId="13529" xr:uid="{00000000-0005-0000-0000-0000D9340000}"/>
    <cellStyle name="Normal 2 2 2 2 4 14 4 4" xfId="13530" xr:uid="{00000000-0005-0000-0000-0000DA340000}"/>
    <cellStyle name="Normal 2 2 2 2 4 14 4 5" xfId="13531" xr:uid="{00000000-0005-0000-0000-0000DB340000}"/>
    <cellStyle name="Normal 2 2 2 2 4 14 4 6" xfId="13532" xr:uid="{00000000-0005-0000-0000-0000DC340000}"/>
    <cellStyle name="Normal 2 2 2 2 4 14 4 7" xfId="13533" xr:uid="{00000000-0005-0000-0000-0000DD340000}"/>
    <cellStyle name="Normal 2 2 2 2 4 14 4 8" xfId="13534" xr:uid="{00000000-0005-0000-0000-0000DE340000}"/>
    <cellStyle name="Normal 2 2 2 2 4 14 4 9" xfId="13535" xr:uid="{00000000-0005-0000-0000-0000DF340000}"/>
    <cellStyle name="Normal 2 2 2 2 4 14 5" xfId="13536" xr:uid="{00000000-0005-0000-0000-0000E0340000}"/>
    <cellStyle name="Normal 2 2 2 2 4 14 5 10" xfId="13537" xr:uid="{00000000-0005-0000-0000-0000E1340000}"/>
    <cellStyle name="Normal 2 2 2 2 4 14 5 2" xfId="13538" xr:uid="{00000000-0005-0000-0000-0000E2340000}"/>
    <cellStyle name="Normal 2 2 2 2 4 14 5 3" xfId="13539" xr:uid="{00000000-0005-0000-0000-0000E3340000}"/>
    <cellStyle name="Normal 2 2 2 2 4 14 5 4" xfId="13540" xr:uid="{00000000-0005-0000-0000-0000E4340000}"/>
    <cellStyle name="Normal 2 2 2 2 4 14 5 5" xfId="13541" xr:uid="{00000000-0005-0000-0000-0000E5340000}"/>
    <cellStyle name="Normal 2 2 2 2 4 14 5 6" xfId="13542" xr:uid="{00000000-0005-0000-0000-0000E6340000}"/>
    <cellStyle name="Normal 2 2 2 2 4 14 5 7" xfId="13543" xr:uid="{00000000-0005-0000-0000-0000E7340000}"/>
    <cellStyle name="Normal 2 2 2 2 4 14 5 8" xfId="13544" xr:uid="{00000000-0005-0000-0000-0000E8340000}"/>
    <cellStyle name="Normal 2 2 2 2 4 14 5 9" xfId="13545" xr:uid="{00000000-0005-0000-0000-0000E9340000}"/>
    <cellStyle name="Normal 2 2 2 2 4 14 6" xfId="13546" xr:uid="{00000000-0005-0000-0000-0000EA340000}"/>
    <cellStyle name="Normal 2 2 2 2 4 14 7" xfId="13547" xr:uid="{00000000-0005-0000-0000-0000EB340000}"/>
    <cellStyle name="Normal 2 2 2 2 4 14 8" xfId="13548" xr:uid="{00000000-0005-0000-0000-0000EC340000}"/>
    <cellStyle name="Normal 2 2 2 2 4 14 9" xfId="13549" xr:uid="{00000000-0005-0000-0000-0000ED340000}"/>
    <cellStyle name="Normal 2 2 2 2 4 15" xfId="13550" xr:uid="{00000000-0005-0000-0000-0000EE340000}"/>
    <cellStyle name="Normal 2 2 2 2 4 15 10" xfId="13551" xr:uid="{00000000-0005-0000-0000-0000EF340000}"/>
    <cellStyle name="Normal 2 2 2 2 4 15 11" xfId="13552" xr:uid="{00000000-0005-0000-0000-0000F0340000}"/>
    <cellStyle name="Normal 2 2 2 2 4 15 12" xfId="13553" xr:uid="{00000000-0005-0000-0000-0000F1340000}"/>
    <cellStyle name="Normal 2 2 2 2 4 15 13" xfId="13554" xr:uid="{00000000-0005-0000-0000-0000F2340000}"/>
    <cellStyle name="Normal 2 2 2 2 4 15 14" xfId="13555" xr:uid="{00000000-0005-0000-0000-0000F3340000}"/>
    <cellStyle name="Normal 2 2 2 2 4 15 2" xfId="13556" xr:uid="{00000000-0005-0000-0000-0000F4340000}"/>
    <cellStyle name="Normal 2 2 2 2 4 15 2 10" xfId="13557" xr:uid="{00000000-0005-0000-0000-0000F5340000}"/>
    <cellStyle name="Normal 2 2 2 2 4 15 2 2" xfId="13558" xr:uid="{00000000-0005-0000-0000-0000F6340000}"/>
    <cellStyle name="Normal 2 2 2 2 4 15 2 3" xfId="13559" xr:uid="{00000000-0005-0000-0000-0000F7340000}"/>
    <cellStyle name="Normal 2 2 2 2 4 15 2 4" xfId="13560" xr:uid="{00000000-0005-0000-0000-0000F8340000}"/>
    <cellStyle name="Normal 2 2 2 2 4 15 2 5" xfId="13561" xr:uid="{00000000-0005-0000-0000-0000F9340000}"/>
    <cellStyle name="Normal 2 2 2 2 4 15 2 6" xfId="13562" xr:uid="{00000000-0005-0000-0000-0000FA340000}"/>
    <cellStyle name="Normal 2 2 2 2 4 15 2 7" xfId="13563" xr:uid="{00000000-0005-0000-0000-0000FB340000}"/>
    <cellStyle name="Normal 2 2 2 2 4 15 2 8" xfId="13564" xr:uid="{00000000-0005-0000-0000-0000FC340000}"/>
    <cellStyle name="Normal 2 2 2 2 4 15 2 9" xfId="13565" xr:uid="{00000000-0005-0000-0000-0000FD340000}"/>
    <cellStyle name="Normal 2 2 2 2 4 15 3" xfId="13566" xr:uid="{00000000-0005-0000-0000-0000FE340000}"/>
    <cellStyle name="Normal 2 2 2 2 4 15 3 10" xfId="13567" xr:uid="{00000000-0005-0000-0000-0000FF340000}"/>
    <cellStyle name="Normal 2 2 2 2 4 15 3 2" xfId="13568" xr:uid="{00000000-0005-0000-0000-000000350000}"/>
    <cellStyle name="Normal 2 2 2 2 4 15 3 3" xfId="13569" xr:uid="{00000000-0005-0000-0000-000001350000}"/>
    <cellStyle name="Normal 2 2 2 2 4 15 3 4" xfId="13570" xr:uid="{00000000-0005-0000-0000-000002350000}"/>
    <cellStyle name="Normal 2 2 2 2 4 15 3 5" xfId="13571" xr:uid="{00000000-0005-0000-0000-000003350000}"/>
    <cellStyle name="Normal 2 2 2 2 4 15 3 6" xfId="13572" xr:uid="{00000000-0005-0000-0000-000004350000}"/>
    <cellStyle name="Normal 2 2 2 2 4 15 3 7" xfId="13573" xr:uid="{00000000-0005-0000-0000-000005350000}"/>
    <cellStyle name="Normal 2 2 2 2 4 15 3 8" xfId="13574" xr:uid="{00000000-0005-0000-0000-000006350000}"/>
    <cellStyle name="Normal 2 2 2 2 4 15 3 9" xfId="13575" xr:uid="{00000000-0005-0000-0000-000007350000}"/>
    <cellStyle name="Normal 2 2 2 2 4 15 4" xfId="13576" xr:uid="{00000000-0005-0000-0000-000008350000}"/>
    <cellStyle name="Normal 2 2 2 2 4 15 4 10" xfId="13577" xr:uid="{00000000-0005-0000-0000-000009350000}"/>
    <cellStyle name="Normal 2 2 2 2 4 15 4 2" xfId="13578" xr:uid="{00000000-0005-0000-0000-00000A350000}"/>
    <cellStyle name="Normal 2 2 2 2 4 15 4 3" xfId="13579" xr:uid="{00000000-0005-0000-0000-00000B350000}"/>
    <cellStyle name="Normal 2 2 2 2 4 15 4 4" xfId="13580" xr:uid="{00000000-0005-0000-0000-00000C350000}"/>
    <cellStyle name="Normal 2 2 2 2 4 15 4 5" xfId="13581" xr:uid="{00000000-0005-0000-0000-00000D350000}"/>
    <cellStyle name="Normal 2 2 2 2 4 15 4 6" xfId="13582" xr:uid="{00000000-0005-0000-0000-00000E350000}"/>
    <cellStyle name="Normal 2 2 2 2 4 15 4 7" xfId="13583" xr:uid="{00000000-0005-0000-0000-00000F350000}"/>
    <cellStyle name="Normal 2 2 2 2 4 15 4 8" xfId="13584" xr:uid="{00000000-0005-0000-0000-000010350000}"/>
    <cellStyle name="Normal 2 2 2 2 4 15 4 9" xfId="13585" xr:uid="{00000000-0005-0000-0000-000011350000}"/>
    <cellStyle name="Normal 2 2 2 2 4 15 5" xfId="13586" xr:uid="{00000000-0005-0000-0000-000012350000}"/>
    <cellStyle name="Normal 2 2 2 2 4 15 5 10" xfId="13587" xr:uid="{00000000-0005-0000-0000-000013350000}"/>
    <cellStyle name="Normal 2 2 2 2 4 15 5 2" xfId="13588" xr:uid="{00000000-0005-0000-0000-000014350000}"/>
    <cellStyle name="Normal 2 2 2 2 4 15 5 3" xfId="13589" xr:uid="{00000000-0005-0000-0000-000015350000}"/>
    <cellStyle name="Normal 2 2 2 2 4 15 5 4" xfId="13590" xr:uid="{00000000-0005-0000-0000-000016350000}"/>
    <cellStyle name="Normal 2 2 2 2 4 15 5 5" xfId="13591" xr:uid="{00000000-0005-0000-0000-000017350000}"/>
    <cellStyle name="Normal 2 2 2 2 4 15 5 6" xfId="13592" xr:uid="{00000000-0005-0000-0000-000018350000}"/>
    <cellStyle name="Normal 2 2 2 2 4 15 5 7" xfId="13593" xr:uid="{00000000-0005-0000-0000-000019350000}"/>
    <cellStyle name="Normal 2 2 2 2 4 15 5 8" xfId="13594" xr:uid="{00000000-0005-0000-0000-00001A350000}"/>
    <cellStyle name="Normal 2 2 2 2 4 15 5 9" xfId="13595" xr:uid="{00000000-0005-0000-0000-00001B350000}"/>
    <cellStyle name="Normal 2 2 2 2 4 15 6" xfId="13596" xr:uid="{00000000-0005-0000-0000-00001C350000}"/>
    <cellStyle name="Normal 2 2 2 2 4 15 7" xfId="13597" xr:uid="{00000000-0005-0000-0000-00001D350000}"/>
    <cellStyle name="Normal 2 2 2 2 4 15 8" xfId="13598" xr:uid="{00000000-0005-0000-0000-00001E350000}"/>
    <cellStyle name="Normal 2 2 2 2 4 15 9" xfId="13599" xr:uid="{00000000-0005-0000-0000-00001F350000}"/>
    <cellStyle name="Normal 2 2 2 2 4 16" xfId="13600" xr:uid="{00000000-0005-0000-0000-000020350000}"/>
    <cellStyle name="Normal 2 2 2 2 4 16 10" xfId="13601" xr:uid="{00000000-0005-0000-0000-000021350000}"/>
    <cellStyle name="Normal 2 2 2 2 4 16 11" xfId="13602" xr:uid="{00000000-0005-0000-0000-000022350000}"/>
    <cellStyle name="Normal 2 2 2 2 4 16 12" xfId="13603" xr:uid="{00000000-0005-0000-0000-000023350000}"/>
    <cellStyle name="Normal 2 2 2 2 4 16 13" xfId="13604" xr:uid="{00000000-0005-0000-0000-000024350000}"/>
    <cellStyle name="Normal 2 2 2 2 4 16 14" xfId="13605" xr:uid="{00000000-0005-0000-0000-000025350000}"/>
    <cellStyle name="Normal 2 2 2 2 4 16 2" xfId="13606" xr:uid="{00000000-0005-0000-0000-000026350000}"/>
    <cellStyle name="Normal 2 2 2 2 4 16 2 10" xfId="13607" xr:uid="{00000000-0005-0000-0000-000027350000}"/>
    <cellStyle name="Normal 2 2 2 2 4 16 2 2" xfId="13608" xr:uid="{00000000-0005-0000-0000-000028350000}"/>
    <cellStyle name="Normal 2 2 2 2 4 16 2 3" xfId="13609" xr:uid="{00000000-0005-0000-0000-000029350000}"/>
    <cellStyle name="Normal 2 2 2 2 4 16 2 4" xfId="13610" xr:uid="{00000000-0005-0000-0000-00002A350000}"/>
    <cellStyle name="Normal 2 2 2 2 4 16 2 5" xfId="13611" xr:uid="{00000000-0005-0000-0000-00002B350000}"/>
    <cellStyle name="Normal 2 2 2 2 4 16 2 6" xfId="13612" xr:uid="{00000000-0005-0000-0000-00002C350000}"/>
    <cellStyle name="Normal 2 2 2 2 4 16 2 7" xfId="13613" xr:uid="{00000000-0005-0000-0000-00002D350000}"/>
    <cellStyle name="Normal 2 2 2 2 4 16 2 8" xfId="13614" xr:uid="{00000000-0005-0000-0000-00002E350000}"/>
    <cellStyle name="Normal 2 2 2 2 4 16 2 9" xfId="13615" xr:uid="{00000000-0005-0000-0000-00002F350000}"/>
    <cellStyle name="Normal 2 2 2 2 4 16 3" xfId="13616" xr:uid="{00000000-0005-0000-0000-000030350000}"/>
    <cellStyle name="Normal 2 2 2 2 4 16 3 10" xfId="13617" xr:uid="{00000000-0005-0000-0000-000031350000}"/>
    <cellStyle name="Normal 2 2 2 2 4 16 3 2" xfId="13618" xr:uid="{00000000-0005-0000-0000-000032350000}"/>
    <cellStyle name="Normal 2 2 2 2 4 16 3 3" xfId="13619" xr:uid="{00000000-0005-0000-0000-000033350000}"/>
    <cellStyle name="Normal 2 2 2 2 4 16 3 4" xfId="13620" xr:uid="{00000000-0005-0000-0000-000034350000}"/>
    <cellStyle name="Normal 2 2 2 2 4 16 3 5" xfId="13621" xr:uid="{00000000-0005-0000-0000-000035350000}"/>
    <cellStyle name="Normal 2 2 2 2 4 16 3 6" xfId="13622" xr:uid="{00000000-0005-0000-0000-000036350000}"/>
    <cellStyle name="Normal 2 2 2 2 4 16 3 7" xfId="13623" xr:uid="{00000000-0005-0000-0000-000037350000}"/>
    <cellStyle name="Normal 2 2 2 2 4 16 3 8" xfId="13624" xr:uid="{00000000-0005-0000-0000-000038350000}"/>
    <cellStyle name="Normal 2 2 2 2 4 16 3 9" xfId="13625" xr:uid="{00000000-0005-0000-0000-000039350000}"/>
    <cellStyle name="Normal 2 2 2 2 4 16 4" xfId="13626" xr:uid="{00000000-0005-0000-0000-00003A350000}"/>
    <cellStyle name="Normal 2 2 2 2 4 16 4 10" xfId="13627" xr:uid="{00000000-0005-0000-0000-00003B350000}"/>
    <cellStyle name="Normal 2 2 2 2 4 16 4 2" xfId="13628" xr:uid="{00000000-0005-0000-0000-00003C350000}"/>
    <cellStyle name="Normal 2 2 2 2 4 16 4 3" xfId="13629" xr:uid="{00000000-0005-0000-0000-00003D350000}"/>
    <cellStyle name="Normal 2 2 2 2 4 16 4 4" xfId="13630" xr:uid="{00000000-0005-0000-0000-00003E350000}"/>
    <cellStyle name="Normal 2 2 2 2 4 16 4 5" xfId="13631" xr:uid="{00000000-0005-0000-0000-00003F350000}"/>
    <cellStyle name="Normal 2 2 2 2 4 16 4 6" xfId="13632" xr:uid="{00000000-0005-0000-0000-000040350000}"/>
    <cellStyle name="Normal 2 2 2 2 4 16 4 7" xfId="13633" xr:uid="{00000000-0005-0000-0000-000041350000}"/>
    <cellStyle name="Normal 2 2 2 2 4 16 4 8" xfId="13634" xr:uid="{00000000-0005-0000-0000-000042350000}"/>
    <cellStyle name="Normal 2 2 2 2 4 16 4 9" xfId="13635" xr:uid="{00000000-0005-0000-0000-000043350000}"/>
    <cellStyle name="Normal 2 2 2 2 4 16 5" xfId="13636" xr:uid="{00000000-0005-0000-0000-000044350000}"/>
    <cellStyle name="Normal 2 2 2 2 4 16 5 10" xfId="13637" xr:uid="{00000000-0005-0000-0000-000045350000}"/>
    <cellStyle name="Normal 2 2 2 2 4 16 5 2" xfId="13638" xr:uid="{00000000-0005-0000-0000-000046350000}"/>
    <cellStyle name="Normal 2 2 2 2 4 16 5 3" xfId="13639" xr:uid="{00000000-0005-0000-0000-000047350000}"/>
    <cellStyle name="Normal 2 2 2 2 4 16 5 4" xfId="13640" xr:uid="{00000000-0005-0000-0000-000048350000}"/>
    <cellStyle name="Normal 2 2 2 2 4 16 5 5" xfId="13641" xr:uid="{00000000-0005-0000-0000-000049350000}"/>
    <cellStyle name="Normal 2 2 2 2 4 16 5 6" xfId="13642" xr:uid="{00000000-0005-0000-0000-00004A350000}"/>
    <cellStyle name="Normal 2 2 2 2 4 16 5 7" xfId="13643" xr:uid="{00000000-0005-0000-0000-00004B350000}"/>
    <cellStyle name="Normal 2 2 2 2 4 16 5 8" xfId="13644" xr:uid="{00000000-0005-0000-0000-00004C350000}"/>
    <cellStyle name="Normal 2 2 2 2 4 16 5 9" xfId="13645" xr:uid="{00000000-0005-0000-0000-00004D350000}"/>
    <cellStyle name="Normal 2 2 2 2 4 16 6" xfId="13646" xr:uid="{00000000-0005-0000-0000-00004E350000}"/>
    <cellStyle name="Normal 2 2 2 2 4 16 7" xfId="13647" xr:uid="{00000000-0005-0000-0000-00004F350000}"/>
    <cellStyle name="Normal 2 2 2 2 4 16 8" xfId="13648" xr:uid="{00000000-0005-0000-0000-000050350000}"/>
    <cellStyle name="Normal 2 2 2 2 4 16 9" xfId="13649" xr:uid="{00000000-0005-0000-0000-000051350000}"/>
    <cellStyle name="Normal 2 2 2 2 4 17" xfId="13650" xr:uid="{00000000-0005-0000-0000-000052350000}"/>
    <cellStyle name="Normal 2 2 2 2 4 17 10" xfId="13651" xr:uid="{00000000-0005-0000-0000-000053350000}"/>
    <cellStyle name="Normal 2 2 2 2 4 17 11" xfId="13652" xr:uid="{00000000-0005-0000-0000-000054350000}"/>
    <cellStyle name="Normal 2 2 2 2 4 17 12" xfId="13653" xr:uid="{00000000-0005-0000-0000-000055350000}"/>
    <cellStyle name="Normal 2 2 2 2 4 17 13" xfId="13654" xr:uid="{00000000-0005-0000-0000-000056350000}"/>
    <cellStyle name="Normal 2 2 2 2 4 17 14" xfId="13655" xr:uid="{00000000-0005-0000-0000-000057350000}"/>
    <cellStyle name="Normal 2 2 2 2 4 17 2" xfId="13656" xr:uid="{00000000-0005-0000-0000-000058350000}"/>
    <cellStyle name="Normal 2 2 2 2 4 17 2 10" xfId="13657" xr:uid="{00000000-0005-0000-0000-000059350000}"/>
    <cellStyle name="Normal 2 2 2 2 4 17 2 2" xfId="13658" xr:uid="{00000000-0005-0000-0000-00005A350000}"/>
    <cellStyle name="Normal 2 2 2 2 4 17 2 3" xfId="13659" xr:uid="{00000000-0005-0000-0000-00005B350000}"/>
    <cellStyle name="Normal 2 2 2 2 4 17 2 4" xfId="13660" xr:uid="{00000000-0005-0000-0000-00005C350000}"/>
    <cellStyle name="Normal 2 2 2 2 4 17 2 5" xfId="13661" xr:uid="{00000000-0005-0000-0000-00005D350000}"/>
    <cellStyle name="Normal 2 2 2 2 4 17 2 6" xfId="13662" xr:uid="{00000000-0005-0000-0000-00005E350000}"/>
    <cellStyle name="Normal 2 2 2 2 4 17 2 7" xfId="13663" xr:uid="{00000000-0005-0000-0000-00005F350000}"/>
    <cellStyle name="Normal 2 2 2 2 4 17 2 8" xfId="13664" xr:uid="{00000000-0005-0000-0000-000060350000}"/>
    <cellStyle name="Normal 2 2 2 2 4 17 2 9" xfId="13665" xr:uid="{00000000-0005-0000-0000-000061350000}"/>
    <cellStyle name="Normal 2 2 2 2 4 17 3" xfId="13666" xr:uid="{00000000-0005-0000-0000-000062350000}"/>
    <cellStyle name="Normal 2 2 2 2 4 17 3 10" xfId="13667" xr:uid="{00000000-0005-0000-0000-000063350000}"/>
    <cellStyle name="Normal 2 2 2 2 4 17 3 2" xfId="13668" xr:uid="{00000000-0005-0000-0000-000064350000}"/>
    <cellStyle name="Normal 2 2 2 2 4 17 3 3" xfId="13669" xr:uid="{00000000-0005-0000-0000-000065350000}"/>
    <cellStyle name="Normal 2 2 2 2 4 17 3 4" xfId="13670" xr:uid="{00000000-0005-0000-0000-000066350000}"/>
    <cellStyle name="Normal 2 2 2 2 4 17 3 5" xfId="13671" xr:uid="{00000000-0005-0000-0000-000067350000}"/>
    <cellStyle name="Normal 2 2 2 2 4 17 3 6" xfId="13672" xr:uid="{00000000-0005-0000-0000-000068350000}"/>
    <cellStyle name="Normal 2 2 2 2 4 17 3 7" xfId="13673" xr:uid="{00000000-0005-0000-0000-000069350000}"/>
    <cellStyle name="Normal 2 2 2 2 4 17 3 8" xfId="13674" xr:uid="{00000000-0005-0000-0000-00006A350000}"/>
    <cellStyle name="Normal 2 2 2 2 4 17 3 9" xfId="13675" xr:uid="{00000000-0005-0000-0000-00006B350000}"/>
    <cellStyle name="Normal 2 2 2 2 4 17 4" xfId="13676" xr:uid="{00000000-0005-0000-0000-00006C350000}"/>
    <cellStyle name="Normal 2 2 2 2 4 17 4 10" xfId="13677" xr:uid="{00000000-0005-0000-0000-00006D350000}"/>
    <cellStyle name="Normal 2 2 2 2 4 17 4 2" xfId="13678" xr:uid="{00000000-0005-0000-0000-00006E350000}"/>
    <cellStyle name="Normal 2 2 2 2 4 17 4 3" xfId="13679" xr:uid="{00000000-0005-0000-0000-00006F350000}"/>
    <cellStyle name="Normal 2 2 2 2 4 17 4 4" xfId="13680" xr:uid="{00000000-0005-0000-0000-000070350000}"/>
    <cellStyle name="Normal 2 2 2 2 4 17 4 5" xfId="13681" xr:uid="{00000000-0005-0000-0000-000071350000}"/>
    <cellStyle name="Normal 2 2 2 2 4 17 4 6" xfId="13682" xr:uid="{00000000-0005-0000-0000-000072350000}"/>
    <cellStyle name="Normal 2 2 2 2 4 17 4 7" xfId="13683" xr:uid="{00000000-0005-0000-0000-000073350000}"/>
    <cellStyle name="Normal 2 2 2 2 4 17 4 8" xfId="13684" xr:uid="{00000000-0005-0000-0000-000074350000}"/>
    <cellStyle name="Normal 2 2 2 2 4 17 4 9" xfId="13685" xr:uid="{00000000-0005-0000-0000-000075350000}"/>
    <cellStyle name="Normal 2 2 2 2 4 17 5" xfId="13686" xr:uid="{00000000-0005-0000-0000-000076350000}"/>
    <cellStyle name="Normal 2 2 2 2 4 17 5 10" xfId="13687" xr:uid="{00000000-0005-0000-0000-000077350000}"/>
    <cellStyle name="Normal 2 2 2 2 4 17 5 2" xfId="13688" xr:uid="{00000000-0005-0000-0000-000078350000}"/>
    <cellStyle name="Normal 2 2 2 2 4 17 5 3" xfId="13689" xr:uid="{00000000-0005-0000-0000-000079350000}"/>
    <cellStyle name="Normal 2 2 2 2 4 17 5 4" xfId="13690" xr:uid="{00000000-0005-0000-0000-00007A350000}"/>
    <cellStyle name="Normal 2 2 2 2 4 17 5 5" xfId="13691" xr:uid="{00000000-0005-0000-0000-00007B350000}"/>
    <cellStyle name="Normal 2 2 2 2 4 17 5 6" xfId="13692" xr:uid="{00000000-0005-0000-0000-00007C350000}"/>
    <cellStyle name="Normal 2 2 2 2 4 17 5 7" xfId="13693" xr:uid="{00000000-0005-0000-0000-00007D350000}"/>
    <cellStyle name="Normal 2 2 2 2 4 17 5 8" xfId="13694" xr:uid="{00000000-0005-0000-0000-00007E350000}"/>
    <cellStyle name="Normal 2 2 2 2 4 17 5 9" xfId="13695" xr:uid="{00000000-0005-0000-0000-00007F350000}"/>
    <cellStyle name="Normal 2 2 2 2 4 17 6" xfId="13696" xr:uid="{00000000-0005-0000-0000-000080350000}"/>
    <cellStyle name="Normal 2 2 2 2 4 17 7" xfId="13697" xr:uid="{00000000-0005-0000-0000-000081350000}"/>
    <cellStyle name="Normal 2 2 2 2 4 17 8" xfId="13698" xr:uid="{00000000-0005-0000-0000-000082350000}"/>
    <cellStyle name="Normal 2 2 2 2 4 17 9" xfId="13699" xr:uid="{00000000-0005-0000-0000-000083350000}"/>
    <cellStyle name="Normal 2 2 2 2 4 18" xfId="13700" xr:uid="{00000000-0005-0000-0000-000084350000}"/>
    <cellStyle name="Normal 2 2 2 2 4 18 10" xfId="13701" xr:uid="{00000000-0005-0000-0000-000085350000}"/>
    <cellStyle name="Normal 2 2 2 2 4 18 11" xfId="13702" xr:uid="{00000000-0005-0000-0000-000086350000}"/>
    <cellStyle name="Normal 2 2 2 2 4 18 12" xfId="13703" xr:uid="{00000000-0005-0000-0000-000087350000}"/>
    <cellStyle name="Normal 2 2 2 2 4 18 13" xfId="13704" xr:uid="{00000000-0005-0000-0000-000088350000}"/>
    <cellStyle name="Normal 2 2 2 2 4 18 14" xfId="13705" xr:uid="{00000000-0005-0000-0000-000089350000}"/>
    <cellStyle name="Normal 2 2 2 2 4 18 2" xfId="13706" xr:uid="{00000000-0005-0000-0000-00008A350000}"/>
    <cellStyle name="Normal 2 2 2 2 4 18 2 10" xfId="13707" xr:uid="{00000000-0005-0000-0000-00008B350000}"/>
    <cellStyle name="Normal 2 2 2 2 4 18 2 2" xfId="13708" xr:uid="{00000000-0005-0000-0000-00008C350000}"/>
    <cellStyle name="Normal 2 2 2 2 4 18 2 3" xfId="13709" xr:uid="{00000000-0005-0000-0000-00008D350000}"/>
    <cellStyle name="Normal 2 2 2 2 4 18 2 4" xfId="13710" xr:uid="{00000000-0005-0000-0000-00008E350000}"/>
    <cellStyle name="Normal 2 2 2 2 4 18 2 5" xfId="13711" xr:uid="{00000000-0005-0000-0000-00008F350000}"/>
    <cellStyle name="Normal 2 2 2 2 4 18 2 6" xfId="13712" xr:uid="{00000000-0005-0000-0000-000090350000}"/>
    <cellStyle name="Normal 2 2 2 2 4 18 2 7" xfId="13713" xr:uid="{00000000-0005-0000-0000-000091350000}"/>
    <cellStyle name="Normal 2 2 2 2 4 18 2 8" xfId="13714" xr:uid="{00000000-0005-0000-0000-000092350000}"/>
    <cellStyle name="Normal 2 2 2 2 4 18 2 9" xfId="13715" xr:uid="{00000000-0005-0000-0000-000093350000}"/>
    <cellStyle name="Normal 2 2 2 2 4 18 3" xfId="13716" xr:uid="{00000000-0005-0000-0000-000094350000}"/>
    <cellStyle name="Normal 2 2 2 2 4 18 3 10" xfId="13717" xr:uid="{00000000-0005-0000-0000-000095350000}"/>
    <cellStyle name="Normal 2 2 2 2 4 18 3 2" xfId="13718" xr:uid="{00000000-0005-0000-0000-000096350000}"/>
    <cellStyle name="Normal 2 2 2 2 4 18 3 3" xfId="13719" xr:uid="{00000000-0005-0000-0000-000097350000}"/>
    <cellStyle name="Normal 2 2 2 2 4 18 3 4" xfId="13720" xr:uid="{00000000-0005-0000-0000-000098350000}"/>
    <cellStyle name="Normal 2 2 2 2 4 18 3 5" xfId="13721" xr:uid="{00000000-0005-0000-0000-000099350000}"/>
    <cellStyle name="Normal 2 2 2 2 4 18 3 6" xfId="13722" xr:uid="{00000000-0005-0000-0000-00009A350000}"/>
    <cellStyle name="Normal 2 2 2 2 4 18 3 7" xfId="13723" xr:uid="{00000000-0005-0000-0000-00009B350000}"/>
    <cellStyle name="Normal 2 2 2 2 4 18 3 8" xfId="13724" xr:uid="{00000000-0005-0000-0000-00009C350000}"/>
    <cellStyle name="Normal 2 2 2 2 4 18 3 9" xfId="13725" xr:uid="{00000000-0005-0000-0000-00009D350000}"/>
    <cellStyle name="Normal 2 2 2 2 4 18 4" xfId="13726" xr:uid="{00000000-0005-0000-0000-00009E350000}"/>
    <cellStyle name="Normal 2 2 2 2 4 18 4 10" xfId="13727" xr:uid="{00000000-0005-0000-0000-00009F350000}"/>
    <cellStyle name="Normal 2 2 2 2 4 18 4 2" xfId="13728" xr:uid="{00000000-0005-0000-0000-0000A0350000}"/>
    <cellStyle name="Normal 2 2 2 2 4 18 4 3" xfId="13729" xr:uid="{00000000-0005-0000-0000-0000A1350000}"/>
    <cellStyle name="Normal 2 2 2 2 4 18 4 4" xfId="13730" xr:uid="{00000000-0005-0000-0000-0000A2350000}"/>
    <cellStyle name="Normal 2 2 2 2 4 18 4 5" xfId="13731" xr:uid="{00000000-0005-0000-0000-0000A3350000}"/>
    <cellStyle name="Normal 2 2 2 2 4 18 4 6" xfId="13732" xr:uid="{00000000-0005-0000-0000-0000A4350000}"/>
    <cellStyle name="Normal 2 2 2 2 4 18 4 7" xfId="13733" xr:uid="{00000000-0005-0000-0000-0000A5350000}"/>
    <cellStyle name="Normal 2 2 2 2 4 18 4 8" xfId="13734" xr:uid="{00000000-0005-0000-0000-0000A6350000}"/>
    <cellStyle name="Normal 2 2 2 2 4 18 4 9" xfId="13735" xr:uid="{00000000-0005-0000-0000-0000A7350000}"/>
    <cellStyle name="Normal 2 2 2 2 4 18 5" xfId="13736" xr:uid="{00000000-0005-0000-0000-0000A8350000}"/>
    <cellStyle name="Normal 2 2 2 2 4 18 5 10" xfId="13737" xr:uid="{00000000-0005-0000-0000-0000A9350000}"/>
    <cellStyle name="Normal 2 2 2 2 4 18 5 2" xfId="13738" xr:uid="{00000000-0005-0000-0000-0000AA350000}"/>
    <cellStyle name="Normal 2 2 2 2 4 18 5 3" xfId="13739" xr:uid="{00000000-0005-0000-0000-0000AB350000}"/>
    <cellStyle name="Normal 2 2 2 2 4 18 5 4" xfId="13740" xr:uid="{00000000-0005-0000-0000-0000AC350000}"/>
    <cellStyle name="Normal 2 2 2 2 4 18 5 5" xfId="13741" xr:uid="{00000000-0005-0000-0000-0000AD350000}"/>
    <cellStyle name="Normal 2 2 2 2 4 18 5 6" xfId="13742" xr:uid="{00000000-0005-0000-0000-0000AE350000}"/>
    <cellStyle name="Normal 2 2 2 2 4 18 5 7" xfId="13743" xr:uid="{00000000-0005-0000-0000-0000AF350000}"/>
    <cellStyle name="Normal 2 2 2 2 4 18 5 8" xfId="13744" xr:uid="{00000000-0005-0000-0000-0000B0350000}"/>
    <cellStyle name="Normal 2 2 2 2 4 18 5 9" xfId="13745" xr:uid="{00000000-0005-0000-0000-0000B1350000}"/>
    <cellStyle name="Normal 2 2 2 2 4 18 6" xfId="13746" xr:uid="{00000000-0005-0000-0000-0000B2350000}"/>
    <cellStyle name="Normal 2 2 2 2 4 18 7" xfId="13747" xr:uid="{00000000-0005-0000-0000-0000B3350000}"/>
    <cellStyle name="Normal 2 2 2 2 4 18 8" xfId="13748" xr:uid="{00000000-0005-0000-0000-0000B4350000}"/>
    <cellStyle name="Normal 2 2 2 2 4 18 9" xfId="13749" xr:uid="{00000000-0005-0000-0000-0000B5350000}"/>
    <cellStyle name="Normal 2 2 2 2 4 19" xfId="13750" xr:uid="{00000000-0005-0000-0000-0000B6350000}"/>
    <cellStyle name="Normal 2 2 2 2 4 19 10" xfId="13751" xr:uid="{00000000-0005-0000-0000-0000B7350000}"/>
    <cellStyle name="Normal 2 2 2 2 4 19 11" xfId="13752" xr:uid="{00000000-0005-0000-0000-0000B8350000}"/>
    <cellStyle name="Normal 2 2 2 2 4 19 12" xfId="13753" xr:uid="{00000000-0005-0000-0000-0000B9350000}"/>
    <cellStyle name="Normal 2 2 2 2 4 19 13" xfId="13754" xr:uid="{00000000-0005-0000-0000-0000BA350000}"/>
    <cellStyle name="Normal 2 2 2 2 4 19 14" xfId="13755" xr:uid="{00000000-0005-0000-0000-0000BB350000}"/>
    <cellStyle name="Normal 2 2 2 2 4 19 2" xfId="13756" xr:uid="{00000000-0005-0000-0000-0000BC350000}"/>
    <cellStyle name="Normal 2 2 2 2 4 19 2 10" xfId="13757" xr:uid="{00000000-0005-0000-0000-0000BD350000}"/>
    <cellStyle name="Normal 2 2 2 2 4 19 2 2" xfId="13758" xr:uid="{00000000-0005-0000-0000-0000BE350000}"/>
    <cellStyle name="Normal 2 2 2 2 4 19 2 3" xfId="13759" xr:uid="{00000000-0005-0000-0000-0000BF350000}"/>
    <cellStyle name="Normal 2 2 2 2 4 19 2 4" xfId="13760" xr:uid="{00000000-0005-0000-0000-0000C0350000}"/>
    <cellStyle name="Normal 2 2 2 2 4 19 2 5" xfId="13761" xr:uid="{00000000-0005-0000-0000-0000C1350000}"/>
    <cellStyle name="Normal 2 2 2 2 4 19 2 6" xfId="13762" xr:uid="{00000000-0005-0000-0000-0000C2350000}"/>
    <cellStyle name="Normal 2 2 2 2 4 19 2 7" xfId="13763" xr:uid="{00000000-0005-0000-0000-0000C3350000}"/>
    <cellStyle name="Normal 2 2 2 2 4 19 2 8" xfId="13764" xr:uid="{00000000-0005-0000-0000-0000C4350000}"/>
    <cellStyle name="Normal 2 2 2 2 4 19 2 9" xfId="13765" xr:uid="{00000000-0005-0000-0000-0000C5350000}"/>
    <cellStyle name="Normal 2 2 2 2 4 19 3" xfId="13766" xr:uid="{00000000-0005-0000-0000-0000C6350000}"/>
    <cellStyle name="Normal 2 2 2 2 4 19 3 10" xfId="13767" xr:uid="{00000000-0005-0000-0000-0000C7350000}"/>
    <cellStyle name="Normal 2 2 2 2 4 19 3 2" xfId="13768" xr:uid="{00000000-0005-0000-0000-0000C8350000}"/>
    <cellStyle name="Normal 2 2 2 2 4 19 3 3" xfId="13769" xr:uid="{00000000-0005-0000-0000-0000C9350000}"/>
    <cellStyle name="Normal 2 2 2 2 4 19 3 4" xfId="13770" xr:uid="{00000000-0005-0000-0000-0000CA350000}"/>
    <cellStyle name="Normal 2 2 2 2 4 19 3 5" xfId="13771" xr:uid="{00000000-0005-0000-0000-0000CB350000}"/>
    <cellStyle name="Normal 2 2 2 2 4 19 3 6" xfId="13772" xr:uid="{00000000-0005-0000-0000-0000CC350000}"/>
    <cellStyle name="Normal 2 2 2 2 4 19 3 7" xfId="13773" xr:uid="{00000000-0005-0000-0000-0000CD350000}"/>
    <cellStyle name="Normal 2 2 2 2 4 19 3 8" xfId="13774" xr:uid="{00000000-0005-0000-0000-0000CE350000}"/>
    <cellStyle name="Normal 2 2 2 2 4 19 3 9" xfId="13775" xr:uid="{00000000-0005-0000-0000-0000CF350000}"/>
    <cellStyle name="Normal 2 2 2 2 4 19 4" xfId="13776" xr:uid="{00000000-0005-0000-0000-0000D0350000}"/>
    <cellStyle name="Normal 2 2 2 2 4 19 4 10" xfId="13777" xr:uid="{00000000-0005-0000-0000-0000D1350000}"/>
    <cellStyle name="Normal 2 2 2 2 4 19 4 2" xfId="13778" xr:uid="{00000000-0005-0000-0000-0000D2350000}"/>
    <cellStyle name="Normal 2 2 2 2 4 19 4 3" xfId="13779" xr:uid="{00000000-0005-0000-0000-0000D3350000}"/>
    <cellStyle name="Normal 2 2 2 2 4 19 4 4" xfId="13780" xr:uid="{00000000-0005-0000-0000-0000D4350000}"/>
    <cellStyle name="Normal 2 2 2 2 4 19 4 5" xfId="13781" xr:uid="{00000000-0005-0000-0000-0000D5350000}"/>
    <cellStyle name="Normal 2 2 2 2 4 19 4 6" xfId="13782" xr:uid="{00000000-0005-0000-0000-0000D6350000}"/>
    <cellStyle name="Normal 2 2 2 2 4 19 4 7" xfId="13783" xr:uid="{00000000-0005-0000-0000-0000D7350000}"/>
    <cellStyle name="Normal 2 2 2 2 4 19 4 8" xfId="13784" xr:uid="{00000000-0005-0000-0000-0000D8350000}"/>
    <cellStyle name="Normal 2 2 2 2 4 19 4 9" xfId="13785" xr:uid="{00000000-0005-0000-0000-0000D9350000}"/>
    <cellStyle name="Normal 2 2 2 2 4 19 5" xfId="13786" xr:uid="{00000000-0005-0000-0000-0000DA350000}"/>
    <cellStyle name="Normal 2 2 2 2 4 19 5 10" xfId="13787" xr:uid="{00000000-0005-0000-0000-0000DB350000}"/>
    <cellStyle name="Normal 2 2 2 2 4 19 5 2" xfId="13788" xr:uid="{00000000-0005-0000-0000-0000DC350000}"/>
    <cellStyle name="Normal 2 2 2 2 4 19 5 3" xfId="13789" xr:uid="{00000000-0005-0000-0000-0000DD350000}"/>
    <cellStyle name="Normal 2 2 2 2 4 19 5 4" xfId="13790" xr:uid="{00000000-0005-0000-0000-0000DE350000}"/>
    <cellStyle name="Normal 2 2 2 2 4 19 5 5" xfId="13791" xr:uid="{00000000-0005-0000-0000-0000DF350000}"/>
    <cellStyle name="Normal 2 2 2 2 4 19 5 6" xfId="13792" xr:uid="{00000000-0005-0000-0000-0000E0350000}"/>
    <cellStyle name="Normal 2 2 2 2 4 19 5 7" xfId="13793" xr:uid="{00000000-0005-0000-0000-0000E1350000}"/>
    <cellStyle name="Normal 2 2 2 2 4 19 5 8" xfId="13794" xr:uid="{00000000-0005-0000-0000-0000E2350000}"/>
    <cellStyle name="Normal 2 2 2 2 4 19 5 9" xfId="13795" xr:uid="{00000000-0005-0000-0000-0000E3350000}"/>
    <cellStyle name="Normal 2 2 2 2 4 19 6" xfId="13796" xr:uid="{00000000-0005-0000-0000-0000E4350000}"/>
    <cellStyle name="Normal 2 2 2 2 4 19 7" xfId="13797" xr:uid="{00000000-0005-0000-0000-0000E5350000}"/>
    <cellStyle name="Normal 2 2 2 2 4 19 8" xfId="13798" xr:uid="{00000000-0005-0000-0000-0000E6350000}"/>
    <cellStyle name="Normal 2 2 2 2 4 19 9" xfId="13799" xr:uid="{00000000-0005-0000-0000-0000E7350000}"/>
    <cellStyle name="Normal 2 2 2 2 4 2" xfId="13800" xr:uid="{00000000-0005-0000-0000-0000E8350000}"/>
    <cellStyle name="Normal 2 2 2 2 4 2 10" xfId="13801" xr:uid="{00000000-0005-0000-0000-0000E9350000}"/>
    <cellStyle name="Normal 2 2 2 2 4 2 11" xfId="13802" xr:uid="{00000000-0005-0000-0000-0000EA350000}"/>
    <cellStyle name="Normal 2 2 2 2 4 2 12" xfId="13803" xr:uid="{00000000-0005-0000-0000-0000EB350000}"/>
    <cellStyle name="Normal 2 2 2 2 4 2 13" xfId="13804" xr:uid="{00000000-0005-0000-0000-0000EC350000}"/>
    <cellStyle name="Normal 2 2 2 2 4 2 14" xfId="13805" xr:uid="{00000000-0005-0000-0000-0000ED350000}"/>
    <cellStyle name="Normal 2 2 2 2 4 2 15" xfId="13806" xr:uid="{00000000-0005-0000-0000-0000EE350000}"/>
    <cellStyle name="Normal 2 2 2 2 4 2 16" xfId="13807" xr:uid="{00000000-0005-0000-0000-0000EF350000}"/>
    <cellStyle name="Normal 2 2 2 2 4 2 17" xfId="13808" xr:uid="{00000000-0005-0000-0000-0000F0350000}"/>
    <cellStyle name="Normal 2 2 2 2 4 2 18" xfId="13809" xr:uid="{00000000-0005-0000-0000-0000F1350000}"/>
    <cellStyle name="Normal 2 2 2 2 4 2 19" xfId="13810" xr:uid="{00000000-0005-0000-0000-0000F2350000}"/>
    <cellStyle name="Normal 2 2 2 2 4 2 2" xfId="13811" xr:uid="{00000000-0005-0000-0000-0000F3350000}"/>
    <cellStyle name="Normal 2 2 2 2 4 2 2 10" xfId="13812" xr:uid="{00000000-0005-0000-0000-0000F4350000}"/>
    <cellStyle name="Normal 2 2 2 2 4 2 2 10 10" xfId="13813" xr:uid="{00000000-0005-0000-0000-0000F5350000}"/>
    <cellStyle name="Normal 2 2 2 2 4 2 2 10 11" xfId="13814" xr:uid="{00000000-0005-0000-0000-0000F6350000}"/>
    <cellStyle name="Normal 2 2 2 2 4 2 2 10 12" xfId="13815" xr:uid="{00000000-0005-0000-0000-0000F7350000}"/>
    <cellStyle name="Normal 2 2 2 2 4 2 2 10 13" xfId="13816" xr:uid="{00000000-0005-0000-0000-0000F8350000}"/>
    <cellStyle name="Normal 2 2 2 2 4 2 2 10 14" xfId="13817" xr:uid="{00000000-0005-0000-0000-0000F9350000}"/>
    <cellStyle name="Normal 2 2 2 2 4 2 2 10 2" xfId="13818" xr:uid="{00000000-0005-0000-0000-0000FA350000}"/>
    <cellStyle name="Normal 2 2 2 2 4 2 2 10 2 10" xfId="13819" xr:uid="{00000000-0005-0000-0000-0000FB350000}"/>
    <cellStyle name="Normal 2 2 2 2 4 2 2 10 2 2" xfId="13820" xr:uid="{00000000-0005-0000-0000-0000FC350000}"/>
    <cellStyle name="Normal 2 2 2 2 4 2 2 10 2 3" xfId="13821" xr:uid="{00000000-0005-0000-0000-0000FD350000}"/>
    <cellStyle name="Normal 2 2 2 2 4 2 2 10 2 4" xfId="13822" xr:uid="{00000000-0005-0000-0000-0000FE350000}"/>
    <cellStyle name="Normal 2 2 2 2 4 2 2 10 2 5" xfId="13823" xr:uid="{00000000-0005-0000-0000-0000FF350000}"/>
    <cellStyle name="Normal 2 2 2 2 4 2 2 10 2 6" xfId="13824" xr:uid="{00000000-0005-0000-0000-000000360000}"/>
    <cellStyle name="Normal 2 2 2 2 4 2 2 10 2 7" xfId="13825" xr:uid="{00000000-0005-0000-0000-000001360000}"/>
    <cellStyle name="Normal 2 2 2 2 4 2 2 10 2 8" xfId="13826" xr:uid="{00000000-0005-0000-0000-000002360000}"/>
    <cellStyle name="Normal 2 2 2 2 4 2 2 10 2 9" xfId="13827" xr:uid="{00000000-0005-0000-0000-000003360000}"/>
    <cellStyle name="Normal 2 2 2 2 4 2 2 10 3" xfId="13828" xr:uid="{00000000-0005-0000-0000-000004360000}"/>
    <cellStyle name="Normal 2 2 2 2 4 2 2 10 3 10" xfId="13829" xr:uid="{00000000-0005-0000-0000-000005360000}"/>
    <cellStyle name="Normal 2 2 2 2 4 2 2 10 3 2" xfId="13830" xr:uid="{00000000-0005-0000-0000-000006360000}"/>
    <cellStyle name="Normal 2 2 2 2 4 2 2 10 3 3" xfId="13831" xr:uid="{00000000-0005-0000-0000-000007360000}"/>
    <cellStyle name="Normal 2 2 2 2 4 2 2 10 3 4" xfId="13832" xr:uid="{00000000-0005-0000-0000-000008360000}"/>
    <cellStyle name="Normal 2 2 2 2 4 2 2 10 3 5" xfId="13833" xr:uid="{00000000-0005-0000-0000-000009360000}"/>
    <cellStyle name="Normal 2 2 2 2 4 2 2 10 3 6" xfId="13834" xr:uid="{00000000-0005-0000-0000-00000A360000}"/>
    <cellStyle name="Normal 2 2 2 2 4 2 2 10 3 7" xfId="13835" xr:uid="{00000000-0005-0000-0000-00000B360000}"/>
    <cellStyle name="Normal 2 2 2 2 4 2 2 10 3 8" xfId="13836" xr:uid="{00000000-0005-0000-0000-00000C360000}"/>
    <cellStyle name="Normal 2 2 2 2 4 2 2 10 3 9" xfId="13837" xr:uid="{00000000-0005-0000-0000-00000D360000}"/>
    <cellStyle name="Normal 2 2 2 2 4 2 2 10 4" xfId="13838" xr:uid="{00000000-0005-0000-0000-00000E360000}"/>
    <cellStyle name="Normal 2 2 2 2 4 2 2 10 4 10" xfId="13839" xr:uid="{00000000-0005-0000-0000-00000F360000}"/>
    <cellStyle name="Normal 2 2 2 2 4 2 2 10 4 2" xfId="13840" xr:uid="{00000000-0005-0000-0000-000010360000}"/>
    <cellStyle name="Normal 2 2 2 2 4 2 2 10 4 3" xfId="13841" xr:uid="{00000000-0005-0000-0000-000011360000}"/>
    <cellStyle name="Normal 2 2 2 2 4 2 2 10 4 4" xfId="13842" xr:uid="{00000000-0005-0000-0000-000012360000}"/>
    <cellStyle name="Normal 2 2 2 2 4 2 2 10 4 5" xfId="13843" xr:uid="{00000000-0005-0000-0000-000013360000}"/>
    <cellStyle name="Normal 2 2 2 2 4 2 2 10 4 6" xfId="13844" xr:uid="{00000000-0005-0000-0000-000014360000}"/>
    <cellStyle name="Normal 2 2 2 2 4 2 2 10 4 7" xfId="13845" xr:uid="{00000000-0005-0000-0000-000015360000}"/>
    <cellStyle name="Normal 2 2 2 2 4 2 2 10 4 8" xfId="13846" xr:uid="{00000000-0005-0000-0000-000016360000}"/>
    <cellStyle name="Normal 2 2 2 2 4 2 2 10 4 9" xfId="13847" xr:uid="{00000000-0005-0000-0000-000017360000}"/>
    <cellStyle name="Normal 2 2 2 2 4 2 2 10 5" xfId="13848" xr:uid="{00000000-0005-0000-0000-000018360000}"/>
    <cellStyle name="Normal 2 2 2 2 4 2 2 10 5 10" xfId="13849" xr:uid="{00000000-0005-0000-0000-000019360000}"/>
    <cellStyle name="Normal 2 2 2 2 4 2 2 10 5 2" xfId="13850" xr:uid="{00000000-0005-0000-0000-00001A360000}"/>
    <cellStyle name="Normal 2 2 2 2 4 2 2 10 5 3" xfId="13851" xr:uid="{00000000-0005-0000-0000-00001B360000}"/>
    <cellStyle name="Normal 2 2 2 2 4 2 2 10 5 4" xfId="13852" xr:uid="{00000000-0005-0000-0000-00001C360000}"/>
    <cellStyle name="Normal 2 2 2 2 4 2 2 10 5 5" xfId="13853" xr:uid="{00000000-0005-0000-0000-00001D360000}"/>
    <cellStyle name="Normal 2 2 2 2 4 2 2 10 5 6" xfId="13854" xr:uid="{00000000-0005-0000-0000-00001E360000}"/>
    <cellStyle name="Normal 2 2 2 2 4 2 2 10 5 7" xfId="13855" xr:uid="{00000000-0005-0000-0000-00001F360000}"/>
    <cellStyle name="Normal 2 2 2 2 4 2 2 10 5 8" xfId="13856" xr:uid="{00000000-0005-0000-0000-000020360000}"/>
    <cellStyle name="Normal 2 2 2 2 4 2 2 10 5 9" xfId="13857" xr:uid="{00000000-0005-0000-0000-000021360000}"/>
    <cellStyle name="Normal 2 2 2 2 4 2 2 10 6" xfId="13858" xr:uid="{00000000-0005-0000-0000-000022360000}"/>
    <cellStyle name="Normal 2 2 2 2 4 2 2 10 7" xfId="13859" xr:uid="{00000000-0005-0000-0000-000023360000}"/>
    <cellStyle name="Normal 2 2 2 2 4 2 2 10 8" xfId="13860" xr:uid="{00000000-0005-0000-0000-000024360000}"/>
    <cellStyle name="Normal 2 2 2 2 4 2 2 10 9" xfId="13861" xr:uid="{00000000-0005-0000-0000-000025360000}"/>
    <cellStyle name="Normal 2 2 2 2 4 2 2 11" xfId="13862" xr:uid="{00000000-0005-0000-0000-000026360000}"/>
    <cellStyle name="Normal 2 2 2 2 4 2 2 11 10" xfId="13863" xr:uid="{00000000-0005-0000-0000-000027360000}"/>
    <cellStyle name="Normal 2 2 2 2 4 2 2 11 11" xfId="13864" xr:uid="{00000000-0005-0000-0000-000028360000}"/>
    <cellStyle name="Normal 2 2 2 2 4 2 2 11 12" xfId="13865" xr:uid="{00000000-0005-0000-0000-000029360000}"/>
    <cellStyle name="Normal 2 2 2 2 4 2 2 11 13" xfId="13866" xr:uid="{00000000-0005-0000-0000-00002A360000}"/>
    <cellStyle name="Normal 2 2 2 2 4 2 2 11 14" xfId="13867" xr:uid="{00000000-0005-0000-0000-00002B360000}"/>
    <cellStyle name="Normal 2 2 2 2 4 2 2 11 2" xfId="13868" xr:uid="{00000000-0005-0000-0000-00002C360000}"/>
    <cellStyle name="Normal 2 2 2 2 4 2 2 11 2 10" xfId="13869" xr:uid="{00000000-0005-0000-0000-00002D360000}"/>
    <cellStyle name="Normal 2 2 2 2 4 2 2 11 2 2" xfId="13870" xr:uid="{00000000-0005-0000-0000-00002E360000}"/>
    <cellStyle name="Normal 2 2 2 2 4 2 2 11 2 3" xfId="13871" xr:uid="{00000000-0005-0000-0000-00002F360000}"/>
    <cellStyle name="Normal 2 2 2 2 4 2 2 11 2 4" xfId="13872" xr:uid="{00000000-0005-0000-0000-000030360000}"/>
    <cellStyle name="Normal 2 2 2 2 4 2 2 11 2 5" xfId="13873" xr:uid="{00000000-0005-0000-0000-000031360000}"/>
    <cellStyle name="Normal 2 2 2 2 4 2 2 11 2 6" xfId="13874" xr:uid="{00000000-0005-0000-0000-000032360000}"/>
    <cellStyle name="Normal 2 2 2 2 4 2 2 11 2 7" xfId="13875" xr:uid="{00000000-0005-0000-0000-000033360000}"/>
    <cellStyle name="Normal 2 2 2 2 4 2 2 11 2 8" xfId="13876" xr:uid="{00000000-0005-0000-0000-000034360000}"/>
    <cellStyle name="Normal 2 2 2 2 4 2 2 11 2 9" xfId="13877" xr:uid="{00000000-0005-0000-0000-000035360000}"/>
    <cellStyle name="Normal 2 2 2 2 4 2 2 11 3" xfId="13878" xr:uid="{00000000-0005-0000-0000-000036360000}"/>
    <cellStyle name="Normal 2 2 2 2 4 2 2 11 3 10" xfId="13879" xr:uid="{00000000-0005-0000-0000-000037360000}"/>
    <cellStyle name="Normal 2 2 2 2 4 2 2 11 3 2" xfId="13880" xr:uid="{00000000-0005-0000-0000-000038360000}"/>
    <cellStyle name="Normal 2 2 2 2 4 2 2 11 3 3" xfId="13881" xr:uid="{00000000-0005-0000-0000-000039360000}"/>
    <cellStyle name="Normal 2 2 2 2 4 2 2 11 3 4" xfId="13882" xr:uid="{00000000-0005-0000-0000-00003A360000}"/>
    <cellStyle name="Normal 2 2 2 2 4 2 2 11 3 5" xfId="13883" xr:uid="{00000000-0005-0000-0000-00003B360000}"/>
    <cellStyle name="Normal 2 2 2 2 4 2 2 11 3 6" xfId="13884" xr:uid="{00000000-0005-0000-0000-00003C360000}"/>
    <cellStyle name="Normal 2 2 2 2 4 2 2 11 3 7" xfId="13885" xr:uid="{00000000-0005-0000-0000-00003D360000}"/>
    <cellStyle name="Normal 2 2 2 2 4 2 2 11 3 8" xfId="13886" xr:uid="{00000000-0005-0000-0000-00003E360000}"/>
    <cellStyle name="Normal 2 2 2 2 4 2 2 11 3 9" xfId="13887" xr:uid="{00000000-0005-0000-0000-00003F360000}"/>
    <cellStyle name="Normal 2 2 2 2 4 2 2 11 4" xfId="13888" xr:uid="{00000000-0005-0000-0000-000040360000}"/>
    <cellStyle name="Normal 2 2 2 2 4 2 2 11 4 10" xfId="13889" xr:uid="{00000000-0005-0000-0000-000041360000}"/>
    <cellStyle name="Normal 2 2 2 2 4 2 2 11 4 2" xfId="13890" xr:uid="{00000000-0005-0000-0000-000042360000}"/>
    <cellStyle name="Normal 2 2 2 2 4 2 2 11 4 3" xfId="13891" xr:uid="{00000000-0005-0000-0000-000043360000}"/>
    <cellStyle name="Normal 2 2 2 2 4 2 2 11 4 4" xfId="13892" xr:uid="{00000000-0005-0000-0000-000044360000}"/>
    <cellStyle name="Normal 2 2 2 2 4 2 2 11 4 5" xfId="13893" xr:uid="{00000000-0005-0000-0000-000045360000}"/>
    <cellStyle name="Normal 2 2 2 2 4 2 2 11 4 6" xfId="13894" xr:uid="{00000000-0005-0000-0000-000046360000}"/>
    <cellStyle name="Normal 2 2 2 2 4 2 2 11 4 7" xfId="13895" xr:uid="{00000000-0005-0000-0000-000047360000}"/>
    <cellStyle name="Normal 2 2 2 2 4 2 2 11 4 8" xfId="13896" xr:uid="{00000000-0005-0000-0000-000048360000}"/>
    <cellStyle name="Normal 2 2 2 2 4 2 2 11 4 9" xfId="13897" xr:uid="{00000000-0005-0000-0000-000049360000}"/>
    <cellStyle name="Normal 2 2 2 2 4 2 2 11 5" xfId="13898" xr:uid="{00000000-0005-0000-0000-00004A360000}"/>
    <cellStyle name="Normal 2 2 2 2 4 2 2 11 5 10" xfId="13899" xr:uid="{00000000-0005-0000-0000-00004B360000}"/>
    <cellStyle name="Normal 2 2 2 2 4 2 2 11 5 2" xfId="13900" xr:uid="{00000000-0005-0000-0000-00004C360000}"/>
    <cellStyle name="Normal 2 2 2 2 4 2 2 11 5 3" xfId="13901" xr:uid="{00000000-0005-0000-0000-00004D360000}"/>
    <cellStyle name="Normal 2 2 2 2 4 2 2 11 5 4" xfId="13902" xr:uid="{00000000-0005-0000-0000-00004E360000}"/>
    <cellStyle name="Normal 2 2 2 2 4 2 2 11 5 5" xfId="13903" xr:uid="{00000000-0005-0000-0000-00004F360000}"/>
    <cellStyle name="Normal 2 2 2 2 4 2 2 11 5 6" xfId="13904" xr:uid="{00000000-0005-0000-0000-000050360000}"/>
    <cellStyle name="Normal 2 2 2 2 4 2 2 11 5 7" xfId="13905" xr:uid="{00000000-0005-0000-0000-000051360000}"/>
    <cellStyle name="Normal 2 2 2 2 4 2 2 11 5 8" xfId="13906" xr:uid="{00000000-0005-0000-0000-000052360000}"/>
    <cellStyle name="Normal 2 2 2 2 4 2 2 11 5 9" xfId="13907" xr:uid="{00000000-0005-0000-0000-000053360000}"/>
    <cellStyle name="Normal 2 2 2 2 4 2 2 11 6" xfId="13908" xr:uid="{00000000-0005-0000-0000-000054360000}"/>
    <cellStyle name="Normal 2 2 2 2 4 2 2 11 7" xfId="13909" xr:uid="{00000000-0005-0000-0000-000055360000}"/>
    <cellStyle name="Normal 2 2 2 2 4 2 2 11 8" xfId="13910" xr:uid="{00000000-0005-0000-0000-000056360000}"/>
    <cellStyle name="Normal 2 2 2 2 4 2 2 11 9" xfId="13911" xr:uid="{00000000-0005-0000-0000-000057360000}"/>
    <cellStyle name="Normal 2 2 2 2 4 2 2 12" xfId="13912" xr:uid="{00000000-0005-0000-0000-000058360000}"/>
    <cellStyle name="Normal 2 2 2 2 4 2 2 12 10" xfId="13913" xr:uid="{00000000-0005-0000-0000-000059360000}"/>
    <cellStyle name="Normal 2 2 2 2 4 2 2 12 11" xfId="13914" xr:uid="{00000000-0005-0000-0000-00005A360000}"/>
    <cellStyle name="Normal 2 2 2 2 4 2 2 12 12" xfId="13915" xr:uid="{00000000-0005-0000-0000-00005B360000}"/>
    <cellStyle name="Normal 2 2 2 2 4 2 2 12 13" xfId="13916" xr:uid="{00000000-0005-0000-0000-00005C360000}"/>
    <cellStyle name="Normal 2 2 2 2 4 2 2 12 14" xfId="13917" xr:uid="{00000000-0005-0000-0000-00005D360000}"/>
    <cellStyle name="Normal 2 2 2 2 4 2 2 12 2" xfId="13918" xr:uid="{00000000-0005-0000-0000-00005E360000}"/>
    <cellStyle name="Normal 2 2 2 2 4 2 2 12 2 10" xfId="13919" xr:uid="{00000000-0005-0000-0000-00005F360000}"/>
    <cellStyle name="Normal 2 2 2 2 4 2 2 12 2 2" xfId="13920" xr:uid="{00000000-0005-0000-0000-000060360000}"/>
    <cellStyle name="Normal 2 2 2 2 4 2 2 12 2 3" xfId="13921" xr:uid="{00000000-0005-0000-0000-000061360000}"/>
    <cellStyle name="Normal 2 2 2 2 4 2 2 12 2 4" xfId="13922" xr:uid="{00000000-0005-0000-0000-000062360000}"/>
    <cellStyle name="Normal 2 2 2 2 4 2 2 12 2 5" xfId="13923" xr:uid="{00000000-0005-0000-0000-000063360000}"/>
    <cellStyle name="Normal 2 2 2 2 4 2 2 12 2 6" xfId="13924" xr:uid="{00000000-0005-0000-0000-000064360000}"/>
    <cellStyle name="Normal 2 2 2 2 4 2 2 12 2 7" xfId="13925" xr:uid="{00000000-0005-0000-0000-000065360000}"/>
    <cellStyle name="Normal 2 2 2 2 4 2 2 12 2 8" xfId="13926" xr:uid="{00000000-0005-0000-0000-000066360000}"/>
    <cellStyle name="Normal 2 2 2 2 4 2 2 12 2 9" xfId="13927" xr:uid="{00000000-0005-0000-0000-000067360000}"/>
    <cellStyle name="Normal 2 2 2 2 4 2 2 12 3" xfId="13928" xr:uid="{00000000-0005-0000-0000-000068360000}"/>
    <cellStyle name="Normal 2 2 2 2 4 2 2 12 3 10" xfId="13929" xr:uid="{00000000-0005-0000-0000-000069360000}"/>
    <cellStyle name="Normal 2 2 2 2 4 2 2 12 3 2" xfId="13930" xr:uid="{00000000-0005-0000-0000-00006A360000}"/>
    <cellStyle name="Normal 2 2 2 2 4 2 2 12 3 3" xfId="13931" xr:uid="{00000000-0005-0000-0000-00006B360000}"/>
    <cellStyle name="Normal 2 2 2 2 4 2 2 12 3 4" xfId="13932" xr:uid="{00000000-0005-0000-0000-00006C360000}"/>
    <cellStyle name="Normal 2 2 2 2 4 2 2 12 3 5" xfId="13933" xr:uid="{00000000-0005-0000-0000-00006D360000}"/>
    <cellStyle name="Normal 2 2 2 2 4 2 2 12 3 6" xfId="13934" xr:uid="{00000000-0005-0000-0000-00006E360000}"/>
    <cellStyle name="Normal 2 2 2 2 4 2 2 12 3 7" xfId="13935" xr:uid="{00000000-0005-0000-0000-00006F360000}"/>
    <cellStyle name="Normal 2 2 2 2 4 2 2 12 3 8" xfId="13936" xr:uid="{00000000-0005-0000-0000-000070360000}"/>
    <cellStyle name="Normal 2 2 2 2 4 2 2 12 3 9" xfId="13937" xr:uid="{00000000-0005-0000-0000-000071360000}"/>
    <cellStyle name="Normal 2 2 2 2 4 2 2 12 4" xfId="13938" xr:uid="{00000000-0005-0000-0000-000072360000}"/>
    <cellStyle name="Normal 2 2 2 2 4 2 2 12 4 10" xfId="13939" xr:uid="{00000000-0005-0000-0000-000073360000}"/>
    <cellStyle name="Normal 2 2 2 2 4 2 2 12 4 2" xfId="13940" xr:uid="{00000000-0005-0000-0000-000074360000}"/>
    <cellStyle name="Normal 2 2 2 2 4 2 2 12 4 3" xfId="13941" xr:uid="{00000000-0005-0000-0000-000075360000}"/>
    <cellStyle name="Normal 2 2 2 2 4 2 2 12 4 4" xfId="13942" xr:uid="{00000000-0005-0000-0000-000076360000}"/>
    <cellStyle name="Normal 2 2 2 2 4 2 2 12 4 5" xfId="13943" xr:uid="{00000000-0005-0000-0000-000077360000}"/>
    <cellStyle name="Normal 2 2 2 2 4 2 2 12 4 6" xfId="13944" xr:uid="{00000000-0005-0000-0000-000078360000}"/>
    <cellStyle name="Normal 2 2 2 2 4 2 2 12 4 7" xfId="13945" xr:uid="{00000000-0005-0000-0000-000079360000}"/>
    <cellStyle name="Normal 2 2 2 2 4 2 2 12 4 8" xfId="13946" xr:uid="{00000000-0005-0000-0000-00007A360000}"/>
    <cellStyle name="Normal 2 2 2 2 4 2 2 12 4 9" xfId="13947" xr:uid="{00000000-0005-0000-0000-00007B360000}"/>
    <cellStyle name="Normal 2 2 2 2 4 2 2 12 5" xfId="13948" xr:uid="{00000000-0005-0000-0000-00007C360000}"/>
    <cellStyle name="Normal 2 2 2 2 4 2 2 12 5 10" xfId="13949" xr:uid="{00000000-0005-0000-0000-00007D360000}"/>
    <cellStyle name="Normal 2 2 2 2 4 2 2 12 5 2" xfId="13950" xr:uid="{00000000-0005-0000-0000-00007E360000}"/>
    <cellStyle name="Normal 2 2 2 2 4 2 2 12 5 3" xfId="13951" xr:uid="{00000000-0005-0000-0000-00007F360000}"/>
    <cellStyle name="Normal 2 2 2 2 4 2 2 12 5 4" xfId="13952" xr:uid="{00000000-0005-0000-0000-000080360000}"/>
    <cellStyle name="Normal 2 2 2 2 4 2 2 12 5 5" xfId="13953" xr:uid="{00000000-0005-0000-0000-000081360000}"/>
    <cellStyle name="Normal 2 2 2 2 4 2 2 12 5 6" xfId="13954" xr:uid="{00000000-0005-0000-0000-000082360000}"/>
    <cellStyle name="Normal 2 2 2 2 4 2 2 12 5 7" xfId="13955" xr:uid="{00000000-0005-0000-0000-000083360000}"/>
    <cellStyle name="Normal 2 2 2 2 4 2 2 12 5 8" xfId="13956" xr:uid="{00000000-0005-0000-0000-000084360000}"/>
    <cellStyle name="Normal 2 2 2 2 4 2 2 12 5 9" xfId="13957" xr:uid="{00000000-0005-0000-0000-000085360000}"/>
    <cellStyle name="Normal 2 2 2 2 4 2 2 12 6" xfId="13958" xr:uid="{00000000-0005-0000-0000-000086360000}"/>
    <cellStyle name="Normal 2 2 2 2 4 2 2 12 7" xfId="13959" xr:uid="{00000000-0005-0000-0000-000087360000}"/>
    <cellStyle name="Normal 2 2 2 2 4 2 2 12 8" xfId="13960" xr:uid="{00000000-0005-0000-0000-000088360000}"/>
    <cellStyle name="Normal 2 2 2 2 4 2 2 12 9" xfId="13961" xr:uid="{00000000-0005-0000-0000-000089360000}"/>
    <cellStyle name="Normal 2 2 2 2 4 2 2 13" xfId="13962" xr:uid="{00000000-0005-0000-0000-00008A360000}"/>
    <cellStyle name="Normal 2 2 2 2 4 2 2 13 10" xfId="13963" xr:uid="{00000000-0005-0000-0000-00008B360000}"/>
    <cellStyle name="Normal 2 2 2 2 4 2 2 13 11" xfId="13964" xr:uid="{00000000-0005-0000-0000-00008C360000}"/>
    <cellStyle name="Normal 2 2 2 2 4 2 2 13 12" xfId="13965" xr:uid="{00000000-0005-0000-0000-00008D360000}"/>
    <cellStyle name="Normal 2 2 2 2 4 2 2 13 13" xfId="13966" xr:uid="{00000000-0005-0000-0000-00008E360000}"/>
    <cellStyle name="Normal 2 2 2 2 4 2 2 13 14" xfId="13967" xr:uid="{00000000-0005-0000-0000-00008F360000}"/>
    <cellStyle name="Normal 2 2 2 2 4 2 2 13 2" xfId="13968" xr:uid="{00000000-0005-0000-0000-000090360000}"/>
    <cellStyle name="Normal 2 2 2 2 4 2 2 13 2 10" xfId="13969" xr:uid="{00000000-0005-0000-0000-000091360000}"/>
    <cellStyle name="Normal 2 2 2 2 4 2 2 13 2 2" xfId="13970" xr:uid="{00000000-0005-0000-0000-000092360000}"/>
    <cellStyle name="Normal 2 2 2 2 4 2 2 13 2 3" xfId="13971" xr:uid="{00000000-0005-0000-0000-000093360000}"/>
    <cellStyle name="Normal 2 2 2 2 4 2 2 13 2 4" xfId="13972" xr:uid="{00000000-0005-0000-0000-000094360000}"/>
    <cellStyle name="Normal 2 2 2 2 4 2 2 13 2 5" xfId="13973" xr:uid="{00000000-0005-0000-0000-000095360000}"/>
    <cellStyle name="Normal 2 2 2 2 4 2 2 13 2 6" xfId="13974" xr:uid="{00000000-0005-0000-0000-000096360000}"/>
    <cellStyle name="Normal 2 2 2 2 4 2 2 13 2 7" xfId="13975" xr:uid="{00000000-0005-0000-0000-000097360000}"/>
    <cellStyle name="Normal 2 2 2 2 4 2 2 13 2 8" xfId="13976" xr:uid="{00000000-0005-0000-0000-000098360000}"/>
    <cellStyle name="Normal 2 2 2 2 4 2 2 13 2 9" xfId="13977" xr:uid="{00000000-0005-0000-0000-000099360000}"/>
    <cellStyle name="Normal 2 2 2 2 4 2 2 13 3" xfId="13978" xr:uid="{00000000-0005-0000-0000-00009A360000}"/>
    <cellStyle name="Normal 2 2 2 2 4 2 2 13 3 10" xfId="13979" xr:uid="{00000000-0005-0000-0000-00009B360000}"/>
    <cellStyle name="Normal 2 2 2 2 4 2 2 13 3 2" xfId="13980" xr:uid="{00000000-0005-0000-0000-00009C360000}"/>
    <cellStyle name="Normal 2 2 2 2 4 2 2 13 3 3" xfId="13981" xr:uid="{00000000-0005-0000-0000-00009D360000}"/>
    <cellStyle name="Normal 2 2 2 2 4 2 2 13 3 4" xfId="13982" xr:uid="{00000000-0005-0000-0000-00009E360000}"/>
    <cellStyle name="Normal 2 2 2 2 4 2 2 13 3 5" xfId="13983" xr:uid="{00000000-0005-0000-0000-00009F360000}"/>
    <cellStyle name="Normal 2 2 2 2 4 2 2 13 3 6" xfId="13984" xr:uid="{00000000-0005-0000-0000-0000A0360000}"/>
    <cellStyle name="Normal 2 2 2 2 4 2 2 13 3 7" xfId="13985" xr:uid="{00000000-0005-0000-0000-0000A1360000}"/>
    <cellStyle name="Normal 2 2 2 2 4 2 2 13 3 8" xfId="13986" xr:uid="{00000000-0005-0000-0000-0000A2360000}"/>
    <cellStyle name="Normal 2 2 2 2 4 2 2 13 3 9" xfId="13987" xr:uid="{00000000-0005-0000-0000-0000A3360000}"/>
    <cellStyle name="Normal 2 2 2 2 4 2 2 13 4" xfId="13988" xr:uid="{00000000-0005-0000-0000-0000A4360000}"/>
    <cellStyle name="Normal 2 2 2 2 4 2 2 13 4 10" xfId="13989" xr:uid="{00000000-0005-0000-0000-0000A5360000}"/>
    <cellStyle name="Normal 2 2 2 2 4 2 2 13 4 2" xfId="13990" xr:uid="{00000000-0005-0000-0000-0000A6360000}"/>
    <cellStyle name="Normal 2 2 2 2 4 2 2 13 4 3" xfId="13991" xr:uid="{00000000-0005-0000-0000-0000A7360000}"/>
    <cellStyle name="Normal 2 2 2 2 4 2 2 13 4 4" xfId="13992" xr:uid="{00000000-0005-0000-0000-0000A8360000}"/>
    <cellStyle name="Normal 2 2 2 2 4 2 2 13 4 5" xfId="13993" xr:uid="{00000000-0005-0000-0000-0000A9360000}"/>
    <cellStyle name="Normal 2 2 2 2 4 2 2 13 4 6" xfId="13994" xr:uid="{00000000-0005-0000-0000-0000AA360000}"/>
    <cellStyle name="Normal 2 2 2 2 4 2 2 13 4 7" xfId="13995" xr:uid="{00000000-0005-0000-0000-0000AB360000}"/>
    <cellStyle name="Normal 2 2 2 2 4 2 2 13 4 8" xfId="13996" xr:uid="{00000000-0005-0000-0000-0000AC360000}"/>
    <cellStyle name="Normal 2 2 2 2 4 2 2 13 4 9" xfId="13997" xr:uid="{00000000-0005-0000-0000-0000AD360000}"/>
    <cellStyle name="Normal 2 2 2 2 4 2 2 13 5" xfId="13998" xr:uid="{00000000-0005-0000-0000-0000AE360000}"/>
    <cellStyle name="Normal 2 2 2 2 4 2 2 13 5 10" xfId="13999" xr:uid="{00000000-0005-0000-0000-0000AF360000}"/>
    <cellStyle name="Normal 2 2 2 2 4 2 2 13 5 2" xfId="14000" xr:uid="{00000000-0005-0000-0000-0000B0360000}"/>
    <cellStyle name="Normal 2 2 2 2 4 2 2 13 5 3" xfId="14001" xr:uid="{00000000-0005-0000-0000-0000B1360000}"/>
    <cellStyle name="Normal 2 2 2 2 4 2 2 13 5 4" xfId="14002" xr:uid="{00000000-0005-0000-0000-0000B2360000}"/>
    <cellStyle name="Normal 2 2 2 2 4 2 2 13 5 5" xfId="14003" xr:uid="{00000000-0005-0000-0000-0000B3360000}"/>
    <cellStyle name="Normal 2 2 2 2 4 2 2 13 5 6" xfId="14004" xr:uid="{00000000-0005-0000-0000-0000B4360000}"/>
    <cellStyle name="Normal 2 2 2 2 4 2 2 13 5 7" xfId="14005" xr:uid="{00000000-0005-0000-0000-0000B5360000}"/>
    <cellStyle name="Normal 2 2 2 2 4 2 2 13 5 8" xfId="14006" xr:uid="{00000000-0005-0000-0000-0000B6360000}"/>
    <cellStyle name="Normal 2 2 2 2 4 2 2 13 5 9" xfId="14007" xr:uid="{00000000-0005-0000-0000-0000B7360000}"/>
    <cellStyle name="Normal 2 2 2 2 4 2 2 13 6" xfId="14008" xr:uid="{00000000-0005-0000-0000-0000B8360000}"/>
    <cellStyle name="Normal 2 2 2 2 4 2 2 13 7" xfId="14009" xr:uid="{00000000-0005-0000-0000-0000B9360000}"/>
    <cellStyle name="Normal 2 2 2 2 4 2 2 13 8" xfId="14010" xr:uid="{00000000-0005-0000-0000-0000BA360000}"/>
    <cellStyle name="Normal 2 2 2 2 4 2 2 13 9" xfId="14011" xr:uid="{00000000-0005-0000-0000-0000BB360000}"/>
    <cellStyle name="Normal 2 2 2 2 4 2 2 14" xfId="14012" xr:uid="{00000000-0005-0000-0000-0000BC360000}"/>
    <cellStyle name="Normal 2 2 2 2 4 2 2 14 10" xfId="14013" xr:uid="{00000000-0005-0000-0000-0000BD360000}"/>
    <cellStyle name="Normal 2 2 2 2 4 2 2 14 11" xfId="14014" xr:uid="{00000000-0005-0000-0000-0000BE360000}"/>
    <cellStyle name="Normal 2 2 2 2 4 2 2 14 12" xfId="14015" xr:uid="{00000000-0005-0000-0000-0000BF360000}"/>
    <cellStyle name="Normal 2 2 2 2 4 2 2 14 13" xfId="14016" xr:uid="{00000000-0005-0000-0000-0000C0360000}"/>
    <cellStyle name="Normal 2 2 2 2 4 2 2 14 14" xfId="14017" xr:uid="{00000000-0005-0000-0000-0000C1360000}"/>
    <cellStyle name="Normal 2 2 2 2 4 2 2 14 2" xfId="14018" xr:uid="{00000000-0005-0000-0000-0000C2360000}"/>
    <cellStyle name="Normal 2 2 2 2 4 2 2 14 2 10" xfId="14019" xr:uid="{00000000-0005-0000-0000-0000C3360000}"/>
    <cellStyle name="Normal 2 2 2 2 4 2 2 14 2 2" xfId="14020" xr:uid="{00000000-0005-0000-0000-0000C4360000}"/>
    <cellStyle name="Normal 2 2 2 2 4 2 2 14 2 3" xfId="14021" xr:uid="{00000000-0005-0000-0000-0000C5360000}"/>
    <cellStyle name="Normal 2 2 2 2 4 2 2 14 2 4" xfId="14022" xr:uid="{00000000-0005-0000-0000-0000C6360000}"/>
    <cellStyle name="Normal 2 2 2 2 4 2 2 14 2 5" xfId="14023" xr:uid="{00000000-0005-0000-0000-0000C7360000}"/>
    <cellStyle name="Normal 2 2 2 2 4 2 2 14 2 6" xfId="14024" xr:uid="{00000000-0005-0000-0000-0000C8360000}"/>
    <cellStyle name="Normal 2 2 2 2 4 2 2 14 2 7" xfId="14025" xr:uid="{00000000-0005-0000-0000-0000C9360000}"/>
    <cellStyle name="Normal 2 2 2 2 4 2 2 14 2 8" xfId="14026" xr:uid="{00000000-0005-0000-0000-0000CA360000}"/>
    <cellStyle name="Normal 2 2 2 2 4 2 2 14 2 9" xfId="14027" xr:uid="{00000000-0005-0000-0000-0000CB360000}"/>
    <cellStyle name="Normal 2 2 2 2 4 2 2 14 3" xfId="14028" xr:uid="{00000000-0005-0000-0000-0000CC360000}"/>
    <cellStyle name="Normal 2 2 2 2 4 2 2 14 3 10" xfId="14029" xr:uid="{00000000-0005-0000-0000-0000CD360000}"/>
    <cellStyle name="Normal 2 2 2 2 4 2 2 14 3 2" xfId="14030" xr:uid="{00000000-0005-0000-0000-0000CE360000}"/>
    <cellStyle name="Normal 2 2 2 2 4 2 2 14 3 3" xfId="14031" xr:uid="{00000000-0005-0000-0000-0000CF360000}"/>
    <cellStyle name="Normal 2 2 2 2 4 2 2 14 3 4" xfId="14032" xr:uid="{00000000-0005-0000-0000-0000D0360000}"/>
    <cellStyle name="Normal 2 2 2 2 4 2 2 14 3 5" xfId="14033" xr:uid="{00000000-0005-0000-0000-0000D1360000}"/>
    <cellStyle name="Normal 2 2 2 2 4 2 2 14 3 6" xfId="14034" xr:uid="{00000000-0005-0000-0000-0000D2360000}"/>
    <cellStyle name="Normal 2 2 2 2 4 2 2 14 3 7" xfId="14035" xr:uid="{00000000-0005-0000-0000-0000D3360000}"/>
    <cellStyle name="Normal 2 2 2 2 4 2 2 14 3 8" xfId="14036" xr:uid="{00000000-0005-0000-0000-0000D4360000}"/>
    <cellStyle name="Normal 2 2 2 2 4 2 2 14 3 9" xfId="14037" xr:uid="{00000000-0005-0000-0000-0000D5360000}"/>
    <cellStyle name="Normal 2 2 2 2 4 2 2 14 4" xfId="14038" xr:uid="{00000000-0005-0000-0000-0000D6360000}"/>
    <cellStyle name="Normal 2 2 2 2 4 2 2 14 4 10" xfId="14039" xr:uid="{00000000-0005-0000-0000-0000D7360000}"/>
    <cellStyle name="Normal 2 2 2 2 4 2 2 14 4 2" xfId="14040" xr:uid="{00000000-0005-0000-0000-0000D8360000}"/>
    <cellStyle name="Normal 2 2 2 2 4 2 2 14 4 3" xfId="14041" xr:uid="{00000000-0005-0000-0000-0000D9360000}"/>
    <cellStyle name="Normal 2 2 2 2 4 2 2 14 4 4" xfId="14042" xr:uid="{00000000-0005-0000-0000-0000DA360000}"/>
    <cellStyle name="Normal 2 2 2 2 4 2 2 14 4 5" xfId="14043" xr:uid="{00000000-0005-0000-0000-0000DB360000}"/>
    <cellStyle name="Normal 2 2 2 2 4 2 2 14 4 6" xfId="14044" xr:uid="{00000000-0005-0000-0000-0000DC360000}"/>
    <cellStyle name="Normal 2 2 2 2 4 2 2 14 4 7" xfId="14045" xr:uid="{00000000-0005-0000-0000-0000DD360000}"/>
    <cellStyle name="Normal 2 2 2 2 4 2 2 14 4 8" xfId="14046" xr:uid="{00000000-0005-0000-0000-0000DE360000}"/>
    <cellStyle name="Normal 2 2 2 2 4 2 2 14 4 9" xfId="14047" xr:uid="{00000000-0005-0000-0000-0000DF360000}"/>
    <cellStyle name="Normal 2 2 2 2 4 2 2 14 5" xfId="14048" xr:uid="{00000000-0005-0000-0000-0000E0360000}"/>
    <cellStyle name="Normal 2 2 2 2 4 2 2 14 5 10" xfId="14049" xr:uid="{00000000-0005-0000-0000-0000E1360000}"/>
    <cellStyle name="Normal 2 2 2 2 4 2 2 14 5 2" xfId="14050" xr:uid="{00000000-0005-0000-0000-0000E2360000}"/>
    <cellStyle name="Normal 2 2 2 2 4 2 2 14 5 3" xfId="14051" xr:uid="{00000000-0005-0000-0000-0000E3360000}"/>
    <cellStyle name="Normal 2 2 2 2 4 2 2 14 5 4" xfId="14052" xr:uid="{00000000-0005-0000-0000-0000E4360000}"/>
    <cellStyle name="Normal 2 2 2 2 4 2 2 14 5 5" xfId="14053" xr:uid="{00000000-0005-0000-0000-0000E5360000}"/>
    <cellStyle name="Normal 2 2 2 2 4 2 2 14 5 6" xfId="14054" xr:uid="{00000000-0005-0000-0000-0000E6360000}"/>
    <cellStyle name="Normal 2 2 2 2 4 2 2 14 5 7" xfId="14055" xr:uid="{00000000-0005-0000-0000-0000E7360000}"/>
    <cellStyle name="Normal 2 2 2 2 4 2 2 14 5 8" xfId="14056" xr:uid="{00000000-0005-0000-0000-0000E8360000}"/>
    <cellStyle name="Normal 2 2 2 2 4 2 2 14 5 9" xfId="14057" xr:uid="{00000000-0005-0000-0000-0000E9360000}"/>
    <cellStyle name="Normal 2 2 2 2 4 2 2 14 6" xfId="14058" xr:uid="{00000000-0005-0000-0000-0000EA360000}"/>
    <cellStyle name="Normal 2 2 2 2 4 2 2 14 7" xfId="14059" xr:uid="{00000000-0005-0000-0000-0000EB360000}"/>
    <cellStyle name="Normal 2 2 2 2 4 2 2 14 8" xfId="14060" xr:uid="{00000000-0005-0000-0000-0000EC360000}"/>
    <cellStyle name="Normal 2 2 2 2 4 2 2 14 9" xfId="14061" xr:uid="{00000000-0005-0000-0000-0000ED360000}"/>
    <cellStyle name="Normal 2 2 2 2 4 2 2 15" xfId="14062" xr:uid="{00000000-0005-0000-0000-0000EE360000}"/>
    <cellStyle name="Normal 2 2 2 2 4 2 2 15 10" xfId="14063" xr:uid="{00000000-0005-0000-0000-0000EF360000}"/>
    <cellStyle name="Normal 2 2 2 2 4 2 2 15 11" xfId="14064" xr:uid="{00000000-0005-0000-0000-0000F0360000}"/>
    <cellStyle name="Normal 2 2 2 2 4 2 2 15 12" xfId="14065" xr:uid="{00000000-0005-0000-0000-0000F1360000}"/>
    <cellStyle name="Normal 2 2 2 2 4 2 2 15 13" xfId="14066" xr:uid="{00000000-0005-0000-0000-0000F2360000}"/>
    <cellStyle name="Normal 2 2 2 2 4 2 2 15 14" xfId="14067" xr:uid="{00000000-0005-0000-0000-0000F3360000}"/>
    <cellStyle name="Normal 2 2 2 2 4 2 2 15 2" xfId="14068" xr:uid="{00000000-0005-0000-0000-0000F4360000}"/>
    <cellStyle name="Normal 2 2 2 2 4 2 2 15 2 10" xfId="14069" xr:uid="{00000000-0005-0000-0000-0000F5360000}"/>
    <cellStyle name="Normal 2 2 2 2 4 2 2 15 2 2" xfId="14070" xr:uid="{00000000-0005-0000-0000-0000F6360000}"/>
    <cellStyle name="Normal 2 2 2 2 4 2 2 15 2 3" xfId="14071" xr:uid="{00000000-0005-0000-0000-0000F7360000}"/>
    <cellStyle name="Normal 2 2 2 2 4 2 2 15 2 4" xfId="14072" xr:uid="{00000000-0005-0000-0000-0000F8360000}"/>
    <cellStyle name="Normal 2 2 2 2 4 2 2 15 2 5" xfId="14073" xr:uid="{00000000-0005-0000-0000-0000F9360000}"/>
    <cellStyle name="Normal 2 2 2 2 4 2 2 15 2 6" xfId="14074" xr:uid="{00000000-0005-0000-0000-0000FA360000}"/>
    <cellStyle name="Normal 2 2 2 2 4 2 2 15 2 7" xfId="14075" xr:uid="{00000000-0005-0000-0000-0000FB360000}"/>
    <cellStyle name="Normal 2 2 2 2 4 2 2 15 2 8" xfId="14076" xr:uid="{00000000-0005-0000-0000-0000FC360000}"/>
    <cellStyle name="Normal 2 2 2 2 4 2 2 15 2 9" xfId="14077" xr:uid="{00000000-0005-0000-0000-0000FD360000}"/>
    <cellStyle name="Normal 2 2 2 2 4 2 2 15 3" xfId="14078" xr:uid="{00000000-0005-0000-0000-0000FE360000}"/>
    <cellStyle name="Normal 2 2 2 2 4 2 2 15 3 10" xfId="14079" xr:uid="{00000000-0005-0000-0000-0000FF360000}"/>
    <cellStyle name="Normal 2 2 2 2 4 2 2 15 3 2" xfId="14080" xr:uid="{00000000-0005-0000-0000-000000370000}"/>
    <cellStyle name="Normal 2 2 2 2 4 2 2 15 3 3" xfId="14081" xr:uid="{00000000-0005-0000-0000-000001370000}"/>
    <cellStyle name="Normal 2 2 2 2 4 2 2 15 3 4" xfId="14082" xr:uid="{00000000-0005-0000-0000-000002370000}"/>
    <cellStyle name="Normal 2 2 2 2 4 2 2 15 3 5" xfId="14083" xr:uid="{00000000-0005-0000-0000-000003370000}"/>
    <cellStyle name="Normal 2 2 2 2 4 2 2 15 3 6" xfId="14084" xr:uid="{00000000-0005-0000-0000-000004370000}"/>
    <cellStyle name="Normal 2 2 2 2 4 2 2 15 3 7" xfId="14085" xr:uid="{00000000-0005-0000-0000-000005370000}"/>
    <cellStyle name="Normal 2 2 2 2 4 2 2 15 3 8" xfId="14086" xr:uid="{00000000-0005-0000-0000-000006370000}"/>
    <cellStyle name="Normal 2 2 2 2 4 2 2 15 3 9" xfId="14087" xr:uid="{00000000-0005-0000-0000-000007370000}"/>
    <cellStyle name="Normal 2 2 2 2 4 2 2 15 4" xfId="14088" xr:uid="{00000000-0005-0000-0000-000008370000}"/>
    <cellStyle name="Normal 2 2 2 2 4 2 2 15 4 10" xfId="14089" xr:uid="{00000000-0005-0000-0000-000009370000}"/>
    <cellStyle name="Normal 2 2 2 2 4 2 2 15 4 2" xfId="14090" xr:uid="{00000000-0005-0000-0000-00000A370000}"/>
    <cellStyle name="Normal 2 2 2 2 4 2 2 15 4 3" xfId="14091" xr:uid="{00000000-0005-0000-0000-00000B370000}"/>
    <cellStyle name="Normal 2 2 2 2 4 2 2 15 4 4" xfId="14092" xr:uid="{00000000-0005-0000-0000-00000C370000}"/>
    <cellStyle name="Normal 2 2 2 2 4 2 2 15 4 5" xfId="14093" xr:uid="{00000000-0005-0000-0000-00000D370000}"/>
    <cellStyle name="Normal 2 2 2 2 4 2 2 15 4 6" xfId="14094" xr:uid="{00000000-0005-0000-0000-00000E370000}"/>
    <cellStyle name="Normal 2 2 2 2 4 2 2 15 4 7" xfId="14095" xr:uid="{00000000-0005-0000-0000-00000F370000}"/>
    <cellStyle name="Normal 2 2 2 2 4 2 2 15 4 8" xfId="14096" xr:uid="{00000000-0005-0000-0000-000010370000}"/>
    <cellStyle name="Normal 2 2 2 2 4 2 2 15 4 9" xfId="14097" xr:uid="{00000000-0005-0000-0000-000011370000}"/>
    <cellStyle name="Normal 2 2 2 2 4 2 2 15 5" xfId="14098" xr:uid="{00000000-0005-0000-0000-000012370000}"/>
    <cellStyle name="Normal 2 2 2 2 4 2 2 15 5 10" xfId="14099" xr:uid="{00000000-0005-0000-0000-000013370000}"/>
    <cellStyle name="Normal 2 2 2 2 4 2 2 15 5 2" xfId="14100" xr:uid="{00000000-0005-0000-0000-000014370000}"/>
    <cellStyle name="Normal 2 2 2 2 4 2 2 15 5 3" xfId="14101" xr:uid="{00000000-0005-0000-0000-000015370000}"/>
    <cellStyle name="Normal 2 2 2 2 4 2 2 15 5 4" xfId="14102" xr:uid="{00000000-0005-0000-0000-000016370000}"/>
    <cellStyle name="Normal 2 2 2 2 4 2 2 15 5 5" xfId="14103" xr:uid="{00000000-0005-0000-0000-000017370000}"/>
    <cellStyle name="Normal 2 2 2 2 4 2 2 15 5 6" xfId="14104" xr:uid="{00000000-0005-0000-0000-000018370000}"/>
    <cellStyle name="Normal 2 2 2 2 4 2 2 15 5 7" xfId="14105" xr:uid="{00000000-0005-0000-0000-000019370000}"/>
    <cellStyle name="Normal 2 2 2 2 4 2 2 15 5 8" xfId="14106" xr:uid="{00000000-0005-0000-0000-00001A370000}"/>
    <cellStyle name="Normal 2 2 2 2 4 2 2 15 5 9" xfId="14107" xr:uid="{00000000-0005-0000-0000-00001B370000}"/>
    <cellStyle name="Normal 2 2 2 2 4 2 2 15 6" xfId="14108" xr:uid="{00000000-0005-0000-0000-00001C370000}"/>
    <cellStyle name="Normal 2 2 2 2 4 2 2 15 7" xfId="14109" xr:uid="{00000000-0005-0000-0000-00001D370000}"/>
    <cellStyle name="Normal 2 2 2 2 4 2 2 15 8" xfId="14110" xr:uid="{00000000-0005-0000-0000-00001E370000}"/>
    <cellStyle name="Normal 2 2 2 2 4 2 2 15 9" xfId="14111" xr:uid="{00000000-0005-0000-0000-00001F370000}"/>
    <cellStyle name="Normal 2 2 2 2 4 2 2 16" xfId="14112" xr:uid="{00000000-0005-0000-0000-000020370000}"/>
    <cellStyle name="Normal 2 2 2 2 4 2 2 16 10" xfId="14113" xr:uid="{00000000-0005-0000-0000-000021370000}"/>
    <cellStyle name="Normal 2 2 2 2 4 2 2 16 11" xfId="14114" xr:uid="{00000000-0005-0000-0000-000022370000}"/>
    <cellStyle name="Normal 2 2 2 2 4 2 2 16 12" xfId="14115" xr:uid="{00000000-0005-0000-0000-000023370000}"/>
    <cellStyle name="Normal 2 2 2 2 4 2 2 16 13" xfId="14116" xr:uid="{00000000-0005-0000-0000-000024370000}"/>
    <cellStyle name="Normal 2 2 2 2 4 2 2 16 14" xfId="14117" xr:uid="{00000000-0005-0000-0000-000025370000}"/>
    <cellStyle name="Normal 2 2 2 2 4 2 2 16 2" xfId="14118" xr:uid="{00000000-0005-0000-0000-000026370000}"/>
    <cellStyle name="Normal 2 2 2 2 4 2 2 16 2 10" xfId="14119" xr:uid="{00000000-0005-0000-0000-000027370000}"/>
    <cellStyle name="Normal 2 2 2 2 4 2 2 16 2 2" xfId="14120" xr:uid="{00000000-0005-0000-0000-000028370000}"/>
    <cellStyle name="Normal 2 2 2 2 4 2 2 16 2 3" xfId="14121" xr:uid="{00000000-0005-0000-0000-000029370000}"/>
    <cellStyle name="Normal 2 2 2 2 4 2 2 16 2 4" xfId="14122" xr:uid="{00000000-0005-0000-0000-00002A370000}"/>
    <cellStyle name="Normal 2 2 2 2 4 2 2 16 2 5" xfId="14123" xr:uid="{00000000-0005-0000-0000-00002B370000}"/>
    <cellStyle name="Normal 2 2 2 2 4 2 2 16 2 6" xfId="14124" xr:uid="{00000000-0005-0000-0000-00002C370000}"/>
    <cellStyle name="Normal 2 2 2 2 4 2 2 16 2 7" xfId="14125" xr:uid="{00000000-0005-0000-0000-00002D370000}"/>
    <cellStyle name="Normal 2 2 2 2 4 2 2 16 2 8" xfId="14126" xr:uid="{00000000-0005-0000-0000-00002E370000}"/>
    <cellStyle name="Normal 2 2 2 2 4 2 2 16 2 9" xfId="14127" xr:uid="{00000000-0005-0000-0000-00002F370000}"/>
    <cellStyle name="Normal 2 2 2 2 4 2 2 16 3" xfId="14128" xr:uid="{00000000-0005-0000-0000-000030370000}"/>
    <cellStyle name="Normal 2 2 2 2 4 2 2 16 3 10" xfId="14129" xr:uid="{00000000-0005-0000-0000-000031370000}"/>
    <cellStyle name="Normal 2 2 2 2 4 2 2 16 3 2" xfId="14130" xr:uid="{00000000-0005-0000-0000-000032370000}"/>
    <cellStyle name="Normal 2 2 2 2 4 2 2 16 3 3" xfId="14131" xr:uid="{00000000-0005-0000-0000-000033370000}"/>
    <cellStyle name="Normal 2 2 2 2 4 2 2 16 3 4" xfId="14132" xr:uid="{00000000-0005-0000-0000-000034370000}"/>
    <cellStyle name="Normal 2 2 2 2 4 2 2 16 3 5" xfId="14133" xr:uid="{00000000-0005-0000-0000-000035370000}"/>
    <cellStyle name="Normal 2 2 2 2 4 2 2 16 3 6" xfId="14134" xr:uid="{00000000-0005-0000-0000-000036370000}"/>
    <cellStyle name="Normal 2 2 2 2 4 2 2 16 3 7" xfId="14135" xr:uid="{00000000-0005-0000-0000-000037370000}"/>
    <cellStyle name="Normal 2 2 2 2 4 2 2 16 3 8" xfId="14136" xr:uid="{00000000-0005-0000-0000-000038370000}"/>
    <cellStyle name="Normal 2 2 2 2 4 2 2 16 3 9" xfId="14137" xr:uid="{00000000-0005-0000-0000-000039370000}"/>
    <cellStyle name="Normal 2 2 2 2 4 2 2 16 4" xfId="14138" xr:uid="{00000000-0005-0000-0000-00003A370000}"/>
    <cellStyle name="Normal 2 2 2 2 4 2 2 16 4 10" xfId="14139" xr:uid="{00000000-0005-0000-0000-00003B370000}"/>
    <cellStyle name="Normal 2 2 2 2 4 2 2 16 4 2" xfId="14140" xr:uid="{00000000-0005-0000-0000-00003C370000}"/>
    <cellStyle name="Normal 2 2 2 2 4 2 2 16 4 3" xfId="14141" xr:uid="{00000000-0005-0000-0000-00003D370000}"/>
    <cellStyle name="Normal 2 2 2 2 4 2 2 16 4 4" xfId="14142" xr:uid="{00000000-0005-0000-0000-00003E370000}"/>
    <cellStyle name="Normal 2 2 2 2 4 2 2 16 4 5" xfId="14143" xr:uid="{00000000-0005-0000-0000-00003F370000}"/>
    <cellStyle name="Normal 2 2 2 2 4 2 2 16 4 6" xfId="14144" xr:uid="{00000000-0005-0000-0000-000040370000}"/>
    <cellStyle name="Normal 2 2 2 2 4 2 2 16 4 7" xfId="14145" xr:uid="{00000000-0005-0000-0000-000041370000}"/>
    <cellStyle name="Normal 2 2 2 2 4 2 2 16 4 8" xfId="14146" xr:uid="{00000000-0005-0000-0000-000042370000}"/>
    <cellStyle name="Normal 2 2 2 2 4 2 2 16 4 9" xfId="14147" xr:uid="{00000000-0005-0000-0000-000043370000}"/>
    <cellStyle name="Normal 2 2 2 2 4 2 2 16 5" xfId="14148" xr:uid="{00000000-0005-0000-0000-000044370000}"/>
    <cellStyle name="Normal 2 2 2 2 4 2 2 16 5 10" xfId="14149" xr:uid="{00000000-0005-0000-0000-000045370000}"/>
    <cellStyle name="Normal 2 2 2 2 4 2 2 16 5 2" xfId="14150" xr:uid="{00000000-0005-0000-0000-000046370000}"/>
    <cellStyle name="Normal 2 2 2 2 4 2 2 16 5 3" xfId="14151" xr:uid="{00000000-0005-0000-0000-000047370000}"/>
    <cellStyle name="Normal 2 2 2 2 4 2 2 16 5 4" xfId="14152" xr:uid="{00000000-0005-0000-0000-000048370000}"/>
    <cellStyle name="Normal 2 2 2 2 4 2 2 16 5 5" xfId="14153" xr:uid="{00000000-0005-0000-0000-000049370000}"/>
    <cellStyle name="Normal 2 2 2 2 4 2 2 16 5 6" xfId="14154" xr:uid="{00000000-0005-0000-0000-00004A370000}"/>
    <cellStyle name="Normal 2 2 2 2 4 2 2 16 5 7" xfId="14155" xr:uid="{00000000-0005-0000-0000-00004B370000}"/>
    <cellStyle name="Normal 2 2 2 2 4 2 2 16 5 8" xfId="14156" xr:uid="{00000000-0005-0000-0000-00004C370000}"/>
    <cellStyle name="Normal 2 2 2 2 4 2 2 16 5 9" xfId="14157" xr:uid="{00000000-0005-0000-0000-00004D370000}"/>
    <cellStyle name="Normal 2 2 2 2 4 2 2 16 6" xfId="14158" xr:uid="{00000000-0005-0000-0000-00004E370000}"/>
    <cellStyle name="Normal 2 2 2 2 4 2 2 16 7" xfId="14159" xr:uid="{00000000-0005-0000-0000-00004F370000}"/>
    <cellStyle name="Normal 2 2 2 2 4 2 2 16 8" xfId="14160" xr:uid="{00000000-0005-0000-0000-000050370000}"/>
    <cellStyle name="Normal 2 2 2 2 4 2 2 16 9" xfId="14161" xr:uid="{00000000-0005-0000-0000-000051370000}"/>
    <cellStyle name="Normal 2 2 2 2 4 2 2 17" xfId="14162" xr:uid="{00000000-0005-0000-0000-000052370000}"/>
    <cellStyle name="Normal 2 2 2 2 4 2 2 17 10" xfId="14163" xr:uid="{00000000-0005-0000-0000-000053370000}"/>
    <cellStyle name="Normal 2 2 2 2 4 2 2 17 11" xfId="14164" xr:uid="{00000000-0005-0000-0000-000054370000}"/>
    <cellStyle name="Normal 2 2 2 2 4 2 2 17 12" xfId="14165" xr:uid="{00000000-0005-0000-0000-000055370000}"/>
    <cellStyle name="Normal 2 2 2 2 4 2 2 17 13" xfId="14166" xr:uid="{00000000-0005-0000-0000-000056370000}"/>
    <cellStyle name="Normal 2 2 2 2 4 2 2 17 14" xfId="14167" xr:uid="{00000000-0005-0000-0000-000057370000}"/>
    <cellStyle name="Normal 2 2 2 2 4 2 2 17 2" xfId="14168" xr:uid="{00000000-0005-0000-0000-000058370000}"/>
    <cellStyle name="Normal 2 2 2 2 4 2 2 17 2 10" xfId="14169" xr:uid="{00000000-0005-0000-0000-000059370000}"/>
    <cellStyle name="Normal 2 2 2 2 4 2 2 17 2 2" xfId="14170" xr:uid="{00000000-0005-0000-0000-00005A370000}"/>
    <cellStyle name="Normal 2 2 2 2 4 2 2 17 2 3" xfId="14171" xr:uid="{00000000-0005-0000-0000-00005B370000}"/>
    <cellStyle name="Normal 2 2 2 2 4 2 2 17 2 4" xfId="14172" xr:uid="{00000000-0005-0000-0000-00005C370000}"/>
    <cellStyle name="Normal 2 2 2 2 4 2 2 17 2 5" xfId="14173" xr:uid="{00000000-0005-0000-0000-00005D370000}"/>
    <cellStyle name="Normal 2 2 2 2 4 2 2 17 2 6" xfId="14174" xr:uid="{00000000-0005-0000-0000-00005E370000}"/>
    <cellStyle name="Normal 2 2 2 2 4 2 2 17 2 7" xfId="14175" xr:uid="{00000000-0005-0000-0000-00005F370000}"/>
    <cellStyle name="Normal 2 2 2 2 4 2 2 17 2 8" xfId="14176" xr:uid="{00000000-0005-0000-0000-000060370000}"/>
    <cellStyle name="Normal 2 2 2 2 4 2 2 17 2 9" xfId="14177" xr:uid="{00000000-0005-0000-0000-000061370000}"/>
    <cellStyle name="Normal 2 2 2 2 4 2 2 17 3" xfId="14178" xr:uid="{00000000-0005-0000-0000-000062370000}"/>
    <cellStyle name="Normal 2 2 2 2 4 2 2 17 3 10" xfId="14179" xr:uid="{00000000-0005-0000-0000-000063370000}"/>
    <cellStyle name="Normal 2 2 2 2 4 2 2 17 3 2" xfId="14180" xr:uid="{00000000-0005-0000-0000-000064370000}"/>
    <cellStyle name="Normal 2 2 2 2 4 2 2 17 3 3" xfId="14181" xr:uid="{00000000-0005-0000-0000-000065370000}"/>
    <cellStyle name="Normal 2 2 2 2 4 2 2 17 3 4" xfId="14182" xr:uid="{00000000-0005-0000-0000-000066370000}"/>
    <cellStyle name="Normal 2 2 2 2 4 2 2 17 3 5" xfId="14183" xr:uid="{00000000-0005-0000-0000-000067370000}"/>
    <cellStyle name="Normal 2 2 2 2 4 2 2 17 3 6" xfId="14184" xr:uid="{00000000-0005-0000-0000-000068370000}"/>
    <cellStyle name="Normal 2 2 2 2 4 2 2 17 3 7" xfId="14185" xr:uid="{00000000-0005-0000-0000-000069370000}"/>
    <cellStyle name="Normal 2 2 2 2 4 2 2 17 3 8" xfId="14186" xr:uid="{00000000-0005-0000-0000-00006A370000}"/>
    <cellStyle name="Normal 2 2 2 2 4 2 2 17 3 9" xfId="14187" xr:uid="{00000000-0005-0000-0000-00006B370000}"/>
    <cellStyle name="Normal 2 2 2 2 4 2 2 17 4" xfId="14188" xr:uid="{00000000-0005-0000-0000-00006C370000}"/>
    <cellStyle name="Normal 2 2 2 2 4 2 2 17 4 10" xfId="14189" xr:uid="{00000000-0005-0000-0000-00006D370000}"/>
    <cellStyle name="Normal 2 2 2 2 4 2 2 17 4 2" xfId="14190" xr:uid="{00000000-0005-0000-0000-00006E370000}"/>
    <cellStyle name="Normal 2 2 2 2 4 2 2 17 4 3" xfId="14191" xr:uid="{00000000-0005-0000-0000-00006F370000}"/>
    <cellStyle name="Normal 2 2 2 2 4 2 2 17 4 4" xfId="14192" xr:uid="{00000000-0005-0000-0000-000070370000}"/>
    <cellStyle name="Normal 2 2 2 2 4 2 2 17 4 5" xfId="14193" xr:uid="{00000000-0005-0000-0000-000071370000}"/>
    <cellStyle name="Normal 2 2 2 2 4 2 2 17 4 6" xfId="14194" xr:uid="{00000000-0005-0000-0000-000072370000}"/>
    <cellStyle name="Normal 2 2 2 2 4 2 2 17 4 7" xfId="14195" xr:uid="{00000000-0005-0000-0000-000073370000}"/>
    <cellStyle name="Normal 2 2 2 2 4 2 2 17 4 8" xfId="14196" xr:uid="{00000000-0005-0000-0000-000074370000}"/>
    <cellStyle name="Normal 2 2 2 2 4 2 2 17 4 9" xfId="14197" xr:uid="{00000000-0005-0000-0000-000075370000}"/>
    <cellStyle name="Normal 2 2 2 2 4 2 2 17 5" xfId="14198" xr:uid="{00000000-0005-0000-0000-000076370000}"/>
    <cellStyle name="Normal 2 2 2 2 4 2 2 17 5 10" xfId="14199" xr:uid="{00000000-0005-0000-0000-000077370000}"/>
    <cellStyle name="Normal 2 2 2 2 4 2 2 17 5 2" xfId="14200" xr:uid="{00000000-0005-0000-0000-000078370000}"/>
    <cellStyle name="Normal 2 2 2 2 4 2 2 17 5 3" xfId="14201" xr:uid="{00000000-0005-0000-0000-000079370000}"/>
    <cellStyle name="Normal 2 2 2 2 4 2 2 17 5 4" xfId="14202" xr:uid="{00000000-0005-0000-0000-00007A370000}"/>
    <cellStyle name="Normal 2 2 2 2 4 2 2 17 5 5" xfId="14203" xr:uid="{00000000-0005-0000-0000-00007B370000}"/>
    <cellStyle name="Normal 2 2 2 2 4 2 2 17 5 6" xfId="14204" xr:uid="{00000000-0005-0000-0000-00007C370000}"/>
    <cellStyle name="Normal 2 2 2 2 4 2 2 17 5 7" xfId="14205" xr:uid="{00000000-0005-0000-0000-00007D370000}"/>
    <cellStyle name="Normal 2 2 2 2 4 2 2 17 5 8" xfId="14206" xr:uid="{00000000-0005-0000-0000-00007E370000}"/>
    <cellStyle name="Normal 2 2 2 2 4 2 2 17 5 9" xfId="14207" xr:uid="{00000000-0005-0000-0000-00007F370000}"/>
    <cellStyle name="Normal 2 2 2 2 4 2 2 17 6" xfId="14208" xr:uid="{00000000-0005-0000-0000-000080370000}"/>
    <cellStyle name="Normal 2 2 2 2 4 2 2 17 7" xfId="14209" xr:uid="{00000000-0005-0000-0000-000081370000}"/>
    <cellStyle name="Normal 2 2 2 2 4 2 2 17 8" xfId="14210" xr:uid="{00000000-0005-0000-0000-000082370000}"/>
    <cellStyle name="Normal 2 2 2 2 4 2 2 17 9" xfId="14211" xr:uid="{00000000-0005-0000-0000-000083370000}"/>
    <cellStyle name="Normal 2 2 2 2 4 2 2 18" xfId="14212" xr:uid="{00000000-0005-0000-0000-000084370000}"/>
    <cellStyle name="Normal 2 2 2 2 4 2 2 18 10" xfId="14213" xr:uid="{00000000-0005-0000-0000-000085370000}"/>
    <cellStyle name="Normal 2 2 2 2 4 2 2 18 11" xfId="14214" xr:uid="{00000000-0005-0000-0000-000086370000}"/>
    <cellStyle name="Normal 2 2 2 2 4 2 2 18 12" xfId="14215" xr:uid="{00000000-0005-0000-0000-000087370000}"/>
    <cellStyle name="Normal 2 2 2 2 4 2 2 18 13" xfId="14216" xr:uid="{00000000-0005-0000-0000-000088370000}"/>
    <cellStyle name="Normal 2 2 2 2 4 2 2 18 14" xfId="14217" xr:uid="{00000000-0005-0000-0000-000089370000}"/>
    <cellStyle name="Normal 2 2 2 2 4 2 2 18 2" xfId="14218" xr:uid="{00000000-0005-0000-0000-00008A370000}"/>
    <cellStyle name="Normal 2 2 2 2 4 2 2 18 2 10" xfId="14219" xr:uid="{00000000-0005-0000-0000-00008B370000}"/>
    <cellStyle name="Normal 2 2 2 2 4 2 2 18 2 2" xfId="14220" xr:uid="{00000000-0005-0000-0000-00008C370000}"/>
    <cellStyle name="Normal 2 2 2 2 4 2 2 18 2 3" xfId="14221" xr:uid="{00000000-0005-0000-0000-00008D370000}"/>
    <cellStyle name="Normal 2 2 2 2 4 2 2 18 2 4" xfId="14222" xr:uid="{00000000-0005-0000-0000-00008E370000}"/>
    <cellStyle name="Normal 2 2 2 2 4 2 2 18 2 5" xfId="14223" xr:uid="{00000000-0005-0000-0000-00008F370000}"/>
    <cellStyle name="Normal 2 2 2 2 4 2 2 18 2 6" xfId="14224" xr:uid="{00000000-0005-0000-0000-000090370000}"/>
    <cellStyle name="Normal 2 2 2 2 4 2 2 18 2 7" xfId="14225" xr:uid="{00000000-0005-0000-0000-000091370000}"/>
    <cellStyle name="Normal 2 2 2 2 4 2 2 18 2 8" xfId="14226" xr:uid="{00000000-0005-0000-0000-000092370000}"/>
    <cellStyle name="Normal 2 2 2 2 4 2 2 18 2 9" xfId="14227" xr:uid="{00000000-0005-0000-0000-000093370000}"/>
    <cellStyle name="Normal 2 2 2 2 4 2 2 18 3" xfId="14228" xr:uid="{00000000-0005-0000-0000-000094370000}"/>
    <cellStyle name="Normal 2 2 2 2 4 2 2 18 3 10" xfId="14229" xr:uid="{00000000-0005-0000-0000-000095370000}"/>
    <cellStyle name="Normal 2 2 2 2 4 2 2 18 3 2" xfId="14230" xr:uid="{00000000-0005-0000-0000-000096370000}"/>
    <cellStyle name="Normal 2 2 2 2 4 2 2 18 3 3" xfId="14231" xr:uid="{00000000-0005-0000-0000-000097370000}"/>
    <cellStyle name="Normal 2 2 2 2 4 2 2 18 3 4" xfId="14232" xr:uid="{00000000-0005-0000-0000-000098370000}"/>
    <cellStyle name="Normal 2 2 2 2 4 2 2 18 3 5" xfId="14233" xr:uid="{00000000-0005-0000-0000-000099370000}"/>
    <cellStyle name="Normal 2 2 2 2 4 2 2 18 3 6" xfId="14234" xr:uid="{00000000-0005-0000-0000-00009A370000}"/>
    <cellStyle name="Normal 2 2 2 2 4 2 2 18 3 7" xfId="14235" xr:uid="{00000000-0005-0000-0000-00009B370000}"/>
    <cellStyle name="Normal 2 2 2 2 4 2 2 18 3 8" xfId="14236" xr:uid="{00000000-0005-0000-0000-00009C370000}"/>
    <cellStyle name="Normal 2 2 2 2 4 2 2 18 3 9" xfId="14237" xr:uid="{00000000-0005-0000-0000-00009D370000}"/>
    <cellStyle name="Normal 2 2 2 2 4 2 2 18 4" xfId="14238" xr:uid="{00000000-0005-0000-0000-00009E370000}"/>
    <cellStyle name="Normal 2 2 2 2 4 2 2 18 4 10" xfId="14239" xr:uid="{00000000-0005-0000-0000-00009F370000}"/>
    <cellStyle name="Normal 2 2 2 2 4 2 2 18 4 2" xfId="14240" xr:uid="{00000000-0005-0000-0000-0000A0370000}"/>
    <cellStyle name="Normal 2 2 2 2 4 2 2 18 4 3" xfId="14241" xr:uid="{00000000-0005-0000-0000-0000A1370000}"/>
    <cellStyle name="Normal 2 2 2 2 4 2 2 18 4 4" xfId="14242" xr:uid="{00000000-0005-0000-0000-0000A2370000}"/>
    <cellStyle name="Normal 2 2 2 2 4 2 2 18 4 5" xfId="14243" xr:uid="{00000000-0005-0000-0000-0000A3370000}"/>
    <cellStyle name="Normal 2 2 2 2 4 2 2 18 4 6" xfId="14244" xr:uid="{00000000-0005-0000-0000-0000A4370000}"/>
    <cellStyle name="Normal 2 2 2 2 4 2 2 18 4 7" xfId="14245" xr:uid="{00000000-0005-0000-0000-0000A5370000}"/>
    <cellStyle name="Normal 2 2 2 2 4 2 2 18 4 8" xfId="14246" xr:uid="{00000000-0005-0000-0000-0000A6370000}"/>
    <cellStyle name="Normal 2 2 2 2 4 2 2 18 4 9" xfId="14247" xr:uid="{00000000-0005-0000-0000-0000A7370000}"/>
    <cellStyle name="Normal 2 2 2 2 4 2 2 18 5" xfId="14248" xr:uid="{00000000-0005-0000-0000-0000A8370000}"/>
    <cellStyle name="Normal 2 2 2 2 4 2 2 18 5 10" xfId="14249" xr:uid="{00000000-0005-0000-0000-0000A9370000}"/>
    <cellStyle name="Normal 2 2 2 2 4 2 2 18 5 2" xfId="14250" xr:uid="{00000000-0005-0000-0000-0000AA370000}"/>
    <cellStyle name="Normal 2 2 2 2 4 2 2 18 5 3" xfId="14251" xr:uid="{00000000-0005-0000-0000-0000AB370000}"/>
    <cellStyle name="Normal 2 2 2 2 4 2 2 18 5 4" xfId="14252" xr:uid="{00000000-0005-0000-0000-0000AC370000}"/>
    <cellStyle name="Normal 2 2 2 2 4 2 2 18 5 5" xfId="14253" xr:uid="{00000000-0005-0000-0000-0000AD370000}"/>
    <cellStyle name="Normal 2 2 2 2 4 2 2 18 5 6" xfId="14254" xr:uid="{00000000-0005-0000-0000-0000AE370000}"/>
    <cellStyle name="Normal 2 2 2 2 4 2 2 18 5 7" xfId="14255" xr:uid="{00000000-0005-0000-0000-0000AF370000}"/>
    <cellStyle name="Normal 2 2 2 2 4 2 2 18 5 8" xfId="14256" xr:uid="{00000000-0005-0000-0000-0000B0370000}"/>
    <cellStyle name="Normal 2 2 2 2 4 2 2 18 5 9" xfId="14257" xr:uid="{00000000-0005-0000-0000-0000B1370000}"/>
    <cellStyle name="Normal 2 2 2 2 4 2 2 18 6" xfId="14258" xr:uid="{00000000-0005-0000-0000-0000B2370000}"/>
    <cellStyle name="Normal 2 2 2 2 4 2 2 18 7" xfId="14259" xr:uid="{00000000-0005-0000-0000-0000B3370000}"/>
    <cellStyle name="Normal 2 2 2 2 4 2 2 18 8" xfId="14260" xr:uid="{00000000-0005-0000-0000-0000B4370000}"/>
    <cellStyle name="Normal 2 2 2 2 4 2 2 18 9" xfId="14261" xr:uid="{00000000-0005-0000-0000-0000B5370000}"/>
    <cellStyle name="Normal 2 2 2 2 4 2 2 19" xfId="14262" xr:uid="{00000000-0005-0000-0000-0000B6370000}"/>
    <cellStyle name="Normal 2 2 2 2 4 2 2 19 10" xfId="14263" xr:uid="{00000000-0005-0000-0000-0000B7370000}"/>
    <cellStyle name="Normal 2 2 2 2 4 2 2 19 11" xfId="14264" xr:uid="{00000000-0005-0000-0000-0000B8370000}"/>
    <cellStyle name="Normal 2 2 2 2 4 2 2 19 12" xfId="14265" xr:uid="{00000000-0005-0000-0000-0000B9370000}"/>
    <cellStyle name="Normal 2 2 2 2 4 2 2 19 13" xfId="14266" xr:uid="{00000000-0005-0000-0000-0000BA370000}"/>
    <cellStyle name="Normal 2 2 2 2 4 2 2 19 14" xfId="14267" xr:uid="{00000000-0005-0000-0000-0000BB370000}"/>
    <cellStyle name="Normal 2 2 2 2 4 2 2 19 2" xfId="14268" xr:uid="{00000000-0005-0000-0000-0000BC370000}"/>
    <cellStyle name="Normal 2 2 2 2 4 2 2 19 2 10" xfId="14269" xr:uid="{00000000-0005-0000-0000-0000BD370000}"/>
    <cellStyle name="Normal 2 2 2 2 4 2 2 19 2 2" xfId="14270" xr:uid="{00000000-0005-0000-0000-0000BE370000}"/>
    <cellStyle name="Normal 2 2 2 2 4 2 2 19 2 3" xfId="14271" xr:uid="{00000000-0005-0000-0000-0000BF370000}"/>
    <cellStyle name="Normal 2 2 2 2 4 2 2 19 2 4" xfId="14272" xr:uid="{00000000-0005-0000-0000-0000C0370000}"/>
    <cellStyle name="Normal 2 2 2 2 4 2 2 19 2 5" xfId="14273" xr:uid="{00000000-0005-0000-0000-0000C1370000}"/>
    <cellStyle name="Normal 2 2 2 2 4 2 2 19 2 6" xfId="14274" xr:uid="{00000000-0005-0000-0000-0000C2370000}"/>
    <cellStyle name="Normal 2 2 2 2 4 2 2 19 2 7" xfId="14275" xr:uid="{00000000-0005-0000-0000-0000C3370000}"/>
    <cellStyle name="Normal 2 2 2 2 4 2 2 19 2 8" xfId="14276" xr:uid="{00000000-0005-0000-0000-0000C4370000}"/>
    <cellStyle name="Normal 2 2 2 2 4 2 2 19 2 9" xfId="14277" xr:uid="{00000000-0005-0000-0000-0000C5370000}"/>
    <cellStyle name="Normal 2 2 2 2 4 2 2 19 3" xfId="14278" xr:uid="{00000000-0005-0000-0000-0000C6370000}"/>
    <cellStyle name="Normal 2 2 2 2 4 2 2 19 3 10" xfId="14279" xr:uid="{00000000-0005-0000-0000-0000C7370000}"/>
    <cellStyle name="Normal 2 2 2 2 4 2 2 19 3 2" xfId="14280" xr:uid="{00000000-0005-0000-0000-0000C8370000}"/>
    <cellStyle name="Normal 2 2 2 2 4 2 2 19 3 3" xfId="14281" xr:uid="{00000000-0005-0000-0000-0000C9370000}"/>
    <cellStyle name="Normal 2 2 2 2 4 2 2 19 3 4" xfId="14282" xr:uid="{00000000-0005-0000-0000-0000CA370000}"/>
    <cellStyle name="Normal 2 2 2 2 4 2 2 19 3 5" xfId="14283" xr:uid="{00000000-0005-0000-0000-0000CB370000}"/>
    <cellStyle name="Normal 2 2 2 2 4 2 2 19 3 6" xfId="14284" xr:uid="{00000000-0005-0000-0000-0000CC370000}"/>
    <cellStyle name="Normal 2 2 2 2 4 2 2 19 3 7" xfId="14285" xr:uid="{00000000-0005-0000-0000-0000CD370000}"/>
    <cellStyle name="Normal 2 2 2 2 4 2 2 19 3 8" xfId="14286" xr:uid="{00000000-0005-0000-0000-0000CE370000}"/>
    <cellStyle name="Normal 2 2 2 2 4 2 2 19 3 9" xfId="14287" xr:uid="{00000000-0005-0000-0000-0000CF370000}"/>
    <cellStyle name="Normal 2 2 2 2 4 2 2 19 4" xfId="14288" xr:uid="{00000000-0005-0000-0000-0000D0370000}"/>
    <cellStyle name="Normal 2 2 2 2 4 2 2 19 4 10" xfId="14289" xr:uid="{00000000-0005-0000-0000-0000D1370000}"/>
    <cellStyle name="Normal 2 2 2 2 4 2 2 19 4 2" xfId="14290" xr:uid="{00000000-0005-0000-0000-0000D2370000}"/>
    <cellStyle name="Normal 2 2 2 2 4 2 2 19 4 3" xfId="14291" xr:uid="{00000000-0005-0000-0000-0000D3370000}"/>
    <cellStyle name="Normal 2 2 2 2 4 2 2 19 4 4" xfId="14292" xr:uid="{00000000-0005-0000-0000-0000D4370000}"/>
    <cellStyle name="Normal 2 2 2 2 4 2 2 19 4 5" xfId="14293" xr:uid="{00000000-0005-0000-0000-0000D5370000}"/>
    <cellStyle name="Normal 2 2 2 2 4 2 2 19 4 6" xfId="14294" xr:uid="{00000000-0005-0000-0000-0000D6370000}"/>
    <cellStyle name="Normal 2 2 2 2 4 2 2 19 4 7" xfId="14295" xr:uid="{00000000-0005-0000-0000-0000D7370000}"/>
    <cellStyle name="Normal 2 2 2 2 4 2 2 19 4 8" xfId="14296" xr:uid="{00000000-0005-0000-0000-0000D8370000}"/>
    <cellStyle name="Normal 2 2 2 2 4 2 2 19 4 9" xfId="14297" xr:uid="{00000000-0005-0000-0000-0000D9370000}"/>
    <cellStyle name="Normal 2 2 2 2 4 2 2 19 5" xfId="14298" xr:uid="{00000000-0005-0000-0000-0000DA370000}"/>
    <cellStyle name="Normal 2 2 2 2 4 2 2 19 5 10" xfId="14299" xr:uid="{00000000-0005-0000-0000-0000DB370000}"/>
    <cellStyle name="Normal 2 2 2 2 4 2 2 19 5 2" xfId="14300" xr:uid="{00000000-0005-0000-0000-0000DC370000}"/>
    <cellStyle name="Normal 2 2 2 2 4 2 2 19 5 3" xfId="14301" xr:uid="{00000000-0005-0000-0000-0000DD370000}"/>
    <cellStyle name="Normal 2 2 2 2 4 2 2 19 5 4" xfId="14302" xr:uid="{00000000-0005-0000-0000-0000DE370000}"/>
    <cellStyle name="Normal 2 2 2 2 4 2 2 19 5 5" xfId="14303" xr:uid="{00000000-0005-0000-0000-0000DF370000}"/>
    <cellStyle name="Normal 2 2 2 2 4 2 2 19 5 6" xfId="14304" xr:uid="{00000000-0005-0000-0000-0000E0370000}"/>
    <cellStyle name="Normal 2 2 2 2 4 2 2 19 5 7" xfId="14305" xr:uid="{00000000-0005-0000-0000-0000E1370000}"/>
    <cellStyle name="Normal 2 2 2 2 4 2 2 19 5 8" xfId="14306" xr:uid="{00000000-0005-0000-0000-0000E2370000}"/>
    <cellStyle name="Normal 2 2 2 2 4 2 2 19 5 9" xfId="14307" xr:uid="{00000000-0005-0000-0000-0000E3370000}"/>
    <cellStyle name="Normal 2 2 2 2 4 2 2 19 6" xfId="14308" xr:uid="{00000000-0005-0000-0000-0000E4370000}"/>
    <cellStyle name="Normal 2 2 2 2 4 2 2 19 7" xfId="14309" xr:uid="{00000000-0005-0000-0000-0000E5370000}"/>
    <cellStyle name="Normal 2 2 2 2 4 2 2 19 8" xfId="14310" xr:uid="{00000000-0005-0000-0000-0000E6370000}"/>
    <cellStyle name="Normal 2 2 2 2 4 2 2 19 9" xfId="14311" xr:uid="{00000000-0005-0000-0000-0000E7370000}"/>
    <cellStyle name="Normal 2 2 2 2 4 2 2 2" xfId="14312" xr:uid="{00000000-0005-0000-0000-0000E8370000}"/>
    <cellStyle name="Normal 2 2 2 2 4 2 2 2 10" xfId="14313" xr:uid="{00000000-0005-0000-0000-0000E9370000}"/>
    <cellStyle name="Normal 2 2 2 2 4 2 2 2 11" xfId="14314" xr:uid="{00000000-0005-0000-0000-0000EA370000}"/>
    <cellStyle name="Normal 2 2 2 2 4 2 2 2 12" xfId="14315" xr:uid="{00000000-0005-0000-0000-0000EB370000}"/>
    <cellStyle name="Normal 2 2 2 2 4 2 2 2 13" xfId="14316" xr:uid="{00000000-0005-0000-0000-0000EC370000}"/>
    <cellStyle name="Normal 2 2 2 2 4 2 2 2 14" xfId="14317" xr:uid="{00000000-0005-0000-0000-0000ED370000}"/>
    <cellStyle name="Normal 2 2 2 2 4 2 2 2 2" xfId="14318" xr:uid="{00000000-0005-0000-0000-0000EE370000}"/>
    <cellStyle name="Normal 2 2 2 2 4 2 2 2 2 10" xfId="14319" xr:uid="{00000000-0005-0000-0000-0000EF370000}"/>
    <cellStyle name="Normal 2 2 2 2 4 2 2 2 2 2" xfId="14320" xr:uid="{00000000-0005-0000-0000-0000F0370000}"/>
    <cellStyle name="Normal 2 2 2 2 4 2 2 2 2 3" xfId="14321" xr:uid="{00000000-0005-0000-0000-0000F1370000}"/>
    <cellStyle name="Normal 2 2 2 2 4 2 2 2 2 4" xfId="14322" xr:uid="{00000000-0005-0000-0000-0000F2370000}"/>
    <cellStyle name="Normal 2 2 2 2 4 2 2 2 2 5" xfId="14323" xr:uid="{00000000-0005-0000-0000-0000F3370000}"/>
    <cellStyle name="Normal 2 2 2 2 4 2 2 2 2 6" xfId="14324" xr:uid="{00000000-0005-0000-0000-0000F4370000}"/>
    <cellStyle name="Normal 2 2 2 2 4 2 2 2 2 7" xfId="14325" xr:uid="{00000000-0005-0000-0000-0000F5370000}"/>
    <cellStyle name="Normal 2 2 2 2 4 2 2 2 2 8" xfId="14326" xr:uid="{00000000-0005-0000-0000-0000F6370000}"/>
    <cellStyle name="Normal 2 2 2 2 4 2 2 2 2 9" xfId="14327" xr:uid="{00000000-0005-0000-0000-0000F7370000}"/>
    <cellStyle name="Normal 2 2 2 2 4 2 2 2 3" xfId="14328" xr:uid="{00000000-0005-0000-0000-0000F8370000}"/>
    <cellStyle name="Normal 2 2 2 2 4 2 2 2 3 10" xfId="14329" xr:uid="{00000000-0005-0000-0000-0000F9370000}"/>
    <cellStyle name="Normal 2 2 2 2 4 2 2 2 3 2" xfId="14330" xr:uid="{00000000-0005-0000-0000-0000FA370000}"/>
    <cellStyle name="Normal 2 2 2 2 4 2 2 2 3 3" xfId="14331" xr:uid="{00000000-0005-0000-0000-0000FB370000}"/>
    <cellStyle name="Normal 2 2 2 2 4 2 2 2 3 4" xfId="14332" xr:uid="{00000000-0005-0000-0000-0000FC370000}"/>
    <cellStyle name="Normal 2 2 2 2 4 2 2 2 3 5" xfId="14333" xr:uid="{00000000-0005-0000-0000-0000FD370000}"/>
    <cellStyle name="Normal 2 2 2 2 4 2 2 2 3 6" xfId="14334" xr:uid="{00000000-0005-0000-0000-0000FE370000}"/>
    <cellStyle name="Normal 2 2 2 2 4 2 2 2 3 7" xfId="14335" xr:uid="{00000000-0005-0000-0000-0000FF370000}"/>
    <cellStyle name="Normal 2 2 2 2 4 2 2 2 3 8" xfId="14336" xr:uid="{00000000-0005-0000-0000-000000380000}"/>
    <cellStyle name="Normal 2 2 2 2 4 2 2 2 3 9" xfId="14337" xr:uid="{00000000-0005-0000-0000-000001380000}"/>
    <cellStyle name="Normal 2 2 2 2 4 2 2 2 4" xfId="14338" xr:uid="{00000000-0005-0000-0000-000002380000}"/>
    <cellStyle name="Normal 2 2 2 2 4 2 2 2 4 10" xfId="14339" xr:uid="{00000000-0005-0000-0000-000003380000}"/>
    <cellStyle name="Normal 2 2 2 2 4 2 2 2 4 2" xfId="14340" xr:uid="{00000000-0005-0000-0000-000004380000}"/>
    <cellStyle name="Normal 2 2 2 2 4 2 2 2 4 3" xfId="14341" xr:uid="{00000000-0005-0000-0000-000005380000}"/>
    <cellStyle name="Normal 2 2 2 2 4 2 2 2 4 4" xfId="14342" xr:uid="{00000000-0005-0000-0000-000006380000}"/>
    <cellStyle name="Normal 2 2 2 2 4 2 2 2 4 5" xfId="14343" xr:uid="{00000000-0005-0000-0000-000007380000}"/>
    <cellStyle name="Normal 2 2 2 2 4 2 2 2 4 6" xfId="14344" xr:uid="{00000000-0005-0000-0000-000008380000}"/>
    <cellStyle name="Normal 2 2 2 2 4 2 2 2 4 7" xfId="14345" xr:uid="{00000000-0005-0000-0000-000009380000}"/>
    <cellStyle name="Normal 2 2 2 2 4 2 2 2 4 8" xfId="14346" xr:uid="{00000000-0005-0000-0000-00000A380000}"/>
    <cellStyle name="Normal 2 2 2 2 4 2 2 2 4 9" xfId="14347" xr:uid="{00000000-0005-0000-0000-00000B380000}"/>
    <cellStyle name="Normal 2 2 2 2 4 2 2 2 5" xfId="14348" xr:uid="{00000000-0005-0000-0000-00000C380000}"/>
    <cellStyle name="Normal 2 2 2 2 4 2 2 2 5 10" xfId="14349" xr:uid="{00000000-0005-0000-0000-00000D380000}"/>
    <cellStyle name="Normal 2 2 2 2 4 2 2 2 5 2" xfId="14350" xr:uid="{00000000-0005-0000-0000-00000E380000}"/>
    <cellStyle name="Normal 2 2 2 2 4 2 2 2 5 3" xfId="14351" xr:uid="{00000000-0005-0000-0000-00000F380000}"/>
    <cellStyle name="Normal 2 2 2 2 4 2 2 2 5 4" xfId="14352" xr:uid="{00000000-0005-0000-0000-000010380000}"/>
    <cellStyle name="Normal 2 2 2 2 4 2 2 2 5 5" xfId="14353" xr:uid="{00000000-0005-0000-0000-000011380000}"/>
    <cellStyle name="Normal 2 2 2 2 4 2 2 2 5 6" xfId="14354" xr:uid="{00000000-0005-0000-0000-000012380000}"/>
    <cellStyle name="Normal 2 2 2 2 4 2 2 2 5 7" xfId="14355" xr:uid="{00000000-0005-0000-0000-000013380000}"/>
    <cellStyle name="Normal 2 2 2 2 4 2 2 2 5 8" xfId="14356" xr:uid="{00000000-0005-0000-0000-000014380000}"/>
    <cellStyle name="Normal 2 2 2 2 4 2 2 2 5 9" xfId="14357" xr:uid="{00000000-0005-0000-0000-000015380000}"/>
    <cellStyle name="Normal 2 2 2 2 4 2 2 2 6" xfId="14358" xr:uid="{00000000-0005-0000-0000-000016380000}"/>
    <cellStyle name="Normal 2 2 2 2 4 2 2 2 7" xfId="14359" xr:uid="{00000000-0005-0000-0000-000017380000}"/>
    <cellStyle name="Normal 2 2 2 2 4 2 2 2 8" xfId="14360" xr:uid="{00000000-0005-0000-0000-000018380000}"/>
    <cellStyle name="Normal 2 2 2 2 4 2 2 2 9" xfId="14361" xr:uid="{00000000-0005-0000-0000-000019380000}"/>
    <cellStyle name="Normal 2 2 2 2 4 2 2 20" xfId="14362" xr:uid="{00000000-0005-0000-0000-00001A380000}"/>
    <cellStyle name="Normal 2 2 2 2 4 2 2 20 10" xfId="14363" xr:uid="{00000000-0005-0000-0000-00001B380000}"/>
    <cellStyle name="Normal 2 2 2 2 4 2 2 20 11" xfId="14364" xr:uid="{00000000-0005-0000-0000-00001C380000}"/>
    <cellStyle name="Normal 2 2 2 2 4 2 2 20 12" xfId="14365" xr:uid="{00000000-0005-0000-0000-00001D380000}"/>
    <cellStyle name="Normal 2 2 2 2 4 2 2 20 13" xfId="14366" xr:uid="{00000000-0005-0000-0000-00001E380000}"/>
    <cellStyle name="Normal 2 2 2 2 4 2 2 20 14" xfId="14367" xr:uid="{00000000-0005-0000-0000-00001F380000}"/>
    <cellStyle name="Normal 2 2 2 2 4 2 2 20 2" xfId="14368" xr:uid="{00000000-0005-0000-0000-000020380000}"/>
    <cellStyle name="Normal 2 2 2 2 4 2 2 20 2 10" xfId="14369" xr:uid="{00000000-0005-0000-0000-000021380000}"/>
    <cellStyle name="Normal 2 2 2 2 4 2 2 20 2 2" xfId="14370" xr:uid="{00000000-0005-0000-0000-000022380000}"/>
    <cellStyle name="Normal 2 2 2 2 4 2 2 20 2 3" xfId="14371" xr:uid="{00000000-0005-0000-0000-000023380000}"/>
    <cellStyle name="Normal 2 2 2 2 4 2 2 20 2 4" xfId="14372" xr:uid="{00000000-0005-0000-0000-000024380000}"/>
    <cellStyle name="Normal 2 2 2 2 4 2 2 20 2 5" xfId="14373" xr:uid="{00000000-0005-0000-0000-000025380000}"/>
    <cellStyle name="Normal 2 2 2 2 4 2 2 20 2 6" xfId="14374" xr:uid="{00000000-0005-0000-0000-000026380000}"/>
    <cellStyle name="Normal 2 2 2 2 4 2 2 20 2 7" xfId="14375" xr:uid="{00000000-0005-0000-0000-000027380000}"/>
    <cellStyle name="Normal 2 2 2 2 4 2 2 20 2 8" xfId="14376" xr:uid="{00000000-0005-0000-0000-000028380000}"/>
    <cellStyle name="Normal 2 2 2 2 4 2 2 20 2 9" xfId="14377" xr:uid="{00000000-0005-0000-0000-000029380000}"/>
    <cellStyle name="Normal 2 2 2 2 4 2 2 20 3" xfId="14378" xr:uid="{00000000-0005-0000-0000-00002A380000}"/>
    <cellStyle name="Normal 2 2 2 2 4 2 2 20 3 10" xfId="14379" xr:uid="{00000000-0005-0000-0000-00002B380000}"/>
    <cellStyle name="Normal 2 2 2 2 4 2 2 20 3 2" xfId="14380" xr:uid="{00000000-0005-0000-0000-00002C380000}"/>
    <cellStyle name="Normal 2 2 2 2 4 2 2 20 3 3" xfId="14381" xr:uid="{00000000-0005-0000-0000-00002D380000}"/>
    <cellStyle name="Normal 2 2 2 2 4 2 2 20 3 4" xfId="14382" xr:uid="{00000000-0005-0000-0000-00002E380000}"/>
    <cellStyle name="Normal 2 2 2 2 4 2 2 20 3 5" xfId="14383" xr:uid="{00000000-0005-0000-0000-00002F380000}"/>
    <cellStyle name="Normal 2 2 2 2 4 2 2 20 3 6" xfId="14384" xr:uid="{00000000-0005-0000-0000-000030380000}"/>
    <cellStyle name="Normal 2 2 2 2 4 2 2 20 3 7" xfId="14385" xr:uid="{00000000-0005-0000-0000-000031380000}"/>
    <cellStyle name="Normal 2 2 2 2 4 2 2 20 3 8" xfId="14386" xr:uid="{00000000-0005-0000-0000-000032380000}"/>
    <cellStyle name="Normal 2 2 2 2 4 2 2 20 3 9" xfId="14387" xr:uid="{00000000-0005-0000-0000-000033380000}"/>
    <cellStyle name="Normal 2 2 2 2 4 2 2 20 4" xfId="14388" xr:uid="{00000000-0005-0000-0000-000034380000}"/>
    <cellStyle name="Normal 2 2 2 2 4 2 2 20 4 10" xfId="14389" xr:uid="{00000000-0005-0000-0000-000035380000}"/>
    <cellStyle name="Normal 2 2 2 2 4 2 2 20 4 2" xfId="14390" xr:uid="{00000000-0005-0000-0000-000036380000}"/>
    <cellStyle name="Normal 2 2 2 2 4 2 2 20 4 3" xfId="14391" xr:uid="{00000000-0005-0000-0000-000037380000}"/>
    <cellStyle name="Normal 2 2 2 2 4 2 2 20 4 4" xfId="14392" xr:uid="{00000000-0005-0000-0000-000038380000}"/>
    <cellStyle name="Normal 2 2 2 2 4 2 2 20 4 5" xfId="14393" xr:uid="{00000000-0005-0000-0000-000039380000}"/>
    <cellStyle name="Normal 2 2 2 2 4 2 2 20 4 6" xfId="14394" xr:uid="{00000000-0005-0000-0000-00003A380000}"/>
    <cellStyle name="Normal 2 2 2 2 4 2 2 20 4 7" xfId="14395" xr:uid="{00000000-0005-0000-0000-00003B380000}"/>
    <cellStyle name="Normal 2 2 2 2 4 2 2 20 4 8" xfId="14396" xr:uid="{00000000-0005-0000-0000-00003C380000}"/>
    <cellStyle name="Normal 2 2 2 2 4 2 2 20 4 9" xfId="14397" xr:uid="{00000000-0005-0000-0000-00003D380000}"/>
    <cellStyle name="Normal 2 2 2 2 4 2 2 20 5" xfId="14398" xr:uid="{00000000-0005-0000-0000-00003E380000}"/>
    <cellStyle name="Normal 2 2 2 2 4 2 2 20 5 10" xfId="14399" xr:uid="{00000000-0005-0000-0000-00003F380000}"/>
    <cellStyle name="Normal 2 2 2 2 4 2 2 20 5 2" xfId="14400" xr:uid="{00000000-0005-0000-0000-000040380000}"/>
    <cellStyle name="Normal 2 2 2 2 4 2 2 20 5 3" xfId="14401" xr:uid="{00000000-0005-0000-0000-000041380000}"/>
    <cellStyle name="Normal 2 2 2 2 4 2 2 20 5 4" xfId="14402" xr:uid="{00000000-0005-0000-0000-000042380000}"/>
    <cellStyle name="Normal 2 2 2 2 4 2 2 20 5 5" xfId="14403" xr:uid="{00000000-0005-0000-0000-000043380000}"/>
    <cellStyle name="Normal 2 2 2 2 4 2 2 20 5 6" xfId="14404" xr:uid="{00000000-0005-0000-0000-000044380000}"/>
    <cellStyle name="Normal 2 2 2 2 4 2 2 20 5 7" xfId="14405" xr:uid="{00000000-0005-0000-0000-000045380000}"/>
    <cellStyle name="Normal 2 2 2 2 4 2 2 20 5 8" xfId="14406" xr:uid="{00000000-0005-0000-0000-000046380000}"/>
    <cellStyle name="Normal 2 2 2 2 4 2 2 20 5 9" xfId="14407" xr:uid="{00000000-0005-0000-0000-000047380000}"/>
    <cellStyle name="Normal 2 2 2 2 4 2 2 20 6" xfId="14408" xr:uid="{00000000-0005-0000-0000-000048380000}"/>
    <cellStyle name="Normal 2 2 2 2 4 2 2 20 7" xfId="14409" xr:uid="{00000000-0005-0000-0000-000049380000}"/>
    <cellStyle name="Normal 2 2 2 2 4 2 2 20 8" xfId="14410" xr:uid="{00000000-0005-0000-0000-00004A380000}"/>
    <cellStyle name="Normal 2 2 2 2 4 2 2 20 9" xfId="14411" xr:uid="{00000000-0005-0000-0000-00004B380000}"/>
    <cellStyle name="Normal 2 2 2 2 4 2 2 3" xfId="14412" xr:uid="{00000000-0005-0000-0000-00004C380000}"/>
    <cellStyle name="Normal 2 2 2 2 4 2 2 3 10" xfId="14413" xr:uid="{00000000-0005-0000-0000-00004D380000}"/>
    <cellStyle name="Normal 2 2 2 2 4 2 2 3 11" xfId="14414" xr:uid="{00000000-0005-0000-0000-00004E380000}"/>
    <cellStyle name="Normal 2 2 2 2 4 2 2 3 12" xfId="14415" xr:uid="{00000000-0005-0000-0000-00004F380000}"/>
    <cellStyle name="Normal 2 2 2 2 4 2 2 3 13" xfId="14416" xr:uid="{00000000-0005-0000-0000-000050380000}"/>
    <cellStyle name="Normal 2 2 2 2 4 2 2 3 14" xfId="14417" xr:uid="{00000000-0005-0000-0000-000051380000}"/>
    <cellStyle name="Normal 2 2 2 2 4 2 2 3 2" xfId="14418" xr:uid="{00000000-0005-0000-0000-000052380000}"/>
    <cellStyle name="Normal 2 2 2 2 4 2 2 3 2 10" xfId="14419" xr:uid="{00000000-0005-0000-0000-000053380000}"/>
    <cellStyle name="Normal 2 2 2 2 4 2 2 3 2 2" xfId="14420" xr:uid="{00000000-0005-0000-0000-000054380000}"/>
    <cellStyle name="Normal 2 2 2 2 4 2 2 3 2 3" xfId="14421" xr:uid="{00000000-0005-0000-0000-000055380000}"/>
    <cellStyle name="Normal 2 2 2 2 4 2 2 3 2 4" xfId="14422" xr:uid="{00000000-0005-0000-0000-000056380000}"/>
    <cellStyle name="Normal 2 2 2 2 4 2 2 3 2 5" xfId="14423" xr:uid="{00000000-0005-0000-0000-000057380000}"/>
    <cellStyle name="Normal 2 2 2 2 4 2 2 3 2 6" xfId="14424" xr:uid="{00000000-0005-0000-0000-000058380000}"/>
    <cellStyle name="Normal 2 2 2 2 4 2 2 3 2 7" xfId="14425" xr:uid="{00000000-0005-0000-0000-000059380000}"/>
    <cellStyle name="Normal 2 2 2 2 4 2 2 3 2 8" xfId="14426" xr:uid="{00000000-0005-0000-0000-00005A380000}"/>
    <cellStyle name="Normal 2 2 2 2 4 2 2 3 2 9" xfId="14427" xr:uid="{00000000-0005-0000-0000-00005B380000}"/>
    <cellStyle name="Normal 2 2 2 2 4 2 2 3 3" xfId="14428" xr:uid="{00000000-0005-0000-0000-00005C380000}"/>
    <cellStyle name="Normal 2 2 2 2 4 2 2 3 3 10" xfId="14429" xr:uid="{00000000-0005-0000-0000-00005D380000}"/>
    <cellStyle name="Normal 2 2 2 2 4 2 2 3 3 2" xfId="14430" xr:uid="{00000000-0005-0000-0000-00005E380000}"/>
    <cellStyle name="Normal 2 2 2 2 4 2 2 3 3 3" xfId="14431" xr:uid="{00000000-0005-0000-0000-00005F380000}"/>
    <cellStyle name="Normal 2 2 2 2 4 2 2 3 3 4" xfId="14432" xr:uid="{00000000-0005-0000-0000-000060380000}"/>
    <cellStyle name="Normal 2 2 2 2 4 2 2 3 3 5" xfId="14433" xr:uid="{00000000-0005-0000-0000-000061380000}"/>
    <cellStyle name="Normal 2 2 2 2 4 2 2 3 3 6" xfId="14434" xr:uid="{00000000-0005-0000-0000-000062380000}"/>
    <cellStyle name="Normal 2 2 2 2 4 2 2 3 3 7" xfId="14435" xr:uid="{00000000-0005-0000-0000-000063380000}"/>
    <cellStyle name="Normal 2 2 2 2 4 2 2 3 3 8" xfId="14436" xr:uid="{00000000-0005-0000-0000-000064380000}"/>
    <cellStyle name="Normal 2 2 2 2 4 2 2 3 3 9" xfId="14437" xr:uid="{00000000-0005-0000-0000-000065380000}"/>
    <cellStyle name="Normal 2 2 2 2 4 2 2 3 4" xfId="14438" xr:uid="{00000000-0005-0000-0000-000066380000}"/>
    <cellStyle name="Normal 2 2 2 2 4 2 2 3 4 10" xfId="14439" xr:uid="{00000000-0005-0000-0000-000067380000}"/>
    <cellStyle name="Normal 2 2 2 2 4 2 2 3 4 2" xfId="14440" xr:uid="{00000000-0005-0000-0000-000068380000}"/>
    <cellStyle name="Normal 2 2 2 2 4 2 2 3 4 3" xfId="14441" xr:uid="{00000000-0005-0000-0000-000069380000}"/>
    <cellStyle name="Normal 2 2 2 2 4 2 2 3 4 4" xfId="14442" xr:uid="{00000000-0005-0000-0000-00006A380000}"/>
    <cellStyle name="Normal 2 2 2 2 4 2 2 3 4 5" xfId="14443" xr:uid="{00000000-0005-0000-0000-00006B380000}"/>
    <cellStyle name="Normal 2 2 2 2 4 2 2 3 4 6" xfId="14444" xr:uid="{00000000-0005-0000-0000-00006C380000}"/>
    <cellStyle name="Normal 2 2 2 2 4 2 2 3 4 7" xfId="14445" xr:uid="{00000000-0005-0000-0000-00006D380000}"/>
    <cellStyle name="Normal 2 2 2 2 4 2 2 3 4 8" xfId="14446" xr:uid="{00000000-0005-0000-0000-00006E380000}"/>
    <cellStyle name="Normal 2 2 2 2 4 2 2 3 4 9" xfId="14447" xr:uid="{00000000-0005-0000-0000-00006F380000}"/>
    <cellStyle name="Normal 2 2 2 2 4 2 2 3 5" xfId="14448" xr:uid="{00000000-0005-0000-0000-000070380000}"/>
    <cellStyle name="Normal 2 2 2 2 4 2 2 3 5 10" xfId="14449" xr:uid="{00000000-0005-0000-0000-000071380000}"/>
    <cellStyle name="Normal 2 2 2 2 4 2 2 3 5 2" xfId="14450" xr:uid="{00000000-0005-0000-0000-000072380000}"/>
    <cellStyle name="Normal 2 2 2 2 4 2 2 3 5 3" xfId="14451" xr:uid="{00000000-0005-0000-0000-000073380000}"/>
    <cellStyle name="Normal 2 2 2 2 4 2 2 3 5 4" xfId="14452" xr:uid="{00000000-0005-0000-0000-000074380000}"/>
    <cellStyle name="Normal 2 2 2 2 4 2 2 3 5 5" xfId="14453" xr:uid="{00000000-0005-0000-0000-000075380000}"/>
    <cellStyle name="Normal 2 2 2 2 4 2 2 3 5 6" xfId="14454" xr:uid="{00000000-0005-0000-0000-000076380000}"/>
    <cellStyle name="Normal 2 2 2 2 4 2 2 3 5 7" xfId="14455" xr:uid="{00000000-0005-0000-0000-000077380000}"/>
    <cellStyle name="Normal 2 2 2 2 4 2 2 3 5 8" xfId="14456" xr:uid="{00000000-0005-0000-0000-000078380000}"/>
    <cellStyle name="Normal 2 2 2 2 4 2 2 3 5 9" xfId="14457" xr:uid="{00000000-0005-0000-0000-000079380000}"/>
    <cellStyle name="Normal 2 2 2 2 4 2 2 3 6" xfId="14458" xr:uid="{00000000-0005-0000-0000-00007A380000}"/>
    <cellStyle name="Normal 2 2 2 2 4 2 2 3 7" xfId="14459" xr:uid="{00000000-0005-0000-0000-00007B380000}"/>
    <cellStyle name="Normal 2 2 2 2 4 2 2 3 8" xfId="14460" xr:uid="{00000000-0005-0000-0000-00007C380000}"/>
    <cellStyle name="Normal 2 2 2 2 4 2 2 3 9" xfId="14461" xr:uid="{00000000-0005-0000-0000-00007D380000}"/>
    <cellStyle name="Normal 2 2 2 2 4 2 2 4" xfId="14462" xr:uid="{00000000-0005-0000-0000-00007E380000}"/>
    <cellStyle name="Normal 2 2 2 2 4 2 2 4 10" xfId="14463" xr:uid="{00000000-0005-0000-0000-00007F380000}"/>
    <cellStyle name="Normal 2 2 2 2 4 2 2 4 11" xfId="14464" xr:uid="{00000000-0005-0000-0000-000080380000}"/>
    <cellStyle name="Normal 2 2 2 2 4 2 2 4 12" xfId="14465" xr:uid="{00000000-0005-0000-0000-000081380000}"/>
    <cellStyle name="Normal 2 2 2 2 4 2 2 4 13" xfId="14466" xr:uid="{00000000-0005-0000-0000-000082380000}"/>
    <cellStyle name="Normal 2 2 2 2 4 2 2 4 14" xfId="14467" xr:uid="{00000000-0005-0000-0000-000083380000}"/>
    <cellStyle name="Normal 2 2 2 2 4 2 2 4 2" xfId="14468" xr:uid="{00000000-0005-0000-0000-000084380000}"/>
    <cellStyle name="Normal 2 2 2 2 4 2 2 4 2 10" xfId="14469" xr:uid="{00000000-0005-0000-0000-000085380000}"/>
    <cellStyle name="Normal 2 2 2 2 4 2 2 4 2 2" xfId="14470" xr:uid="{00000000-0005-0000-0000-000086380000}"/>
    <cellStyle name="Normal 2 2 2 2 4 2 2 4 2 3" xfId="14471" xr:uid="{00000000-0005-0000-0000-000087380000}"/>
    <cellStyle name="Normal 2 2 2 2 4 2 2 4 2 4" xfId="14472" xr:uid="{00000000-0005-0000-0000-000088380000}"/>
    <cellStyle name="Normal 2 2 2 2 4 2 2 4 2 5" xfId="14473" xr:uid="{00000000-0005-0000-0000-000089380000}"/>
    <cellStyle name="Normal 2 2 2 2 4 2 2 4 2 6" xfId="14474" xr:uid="{00000000-0005-0000-0000-00008A380000}"/>
    <cellStyle name="Normal 2 2 2 2 4 2 2 4 2 7" xfId="14475" xr:uid="{00000000-0005-0000-0000-00008B380000}"/>
    <cellStyle name="Normal 2 2 2 2 4 2 2 4 2 8" xfId="14476" xr:uid="{00000000-0005-0000-0000-00008C380000}"/>
    <cellStyle name="Normal 2 2 2 2 4 2 2 4 2 9" xfId="14477" xr:uid="{00000000-0005-0000-0000-00008D380000}"/>
    <cellStyle name="Normal 2 2 2 2 4 2 2 4 3" xfId="14478" xr:uid="{00000000-0005-0000-0000-00008E380000}"/>
    <cellStyle name="Normal 2 2 2 2 4 2 2 4 3 10" xfId="14479" xr:uid="{00000000-0005-0000-0000-00008F380000}"/>
    <cellStyle name="Normal 2 2 2 2 4 2 2 4 3 2" xfId="14480" xr:uid="{00000000-0005-0000-0000-000090380000}"/>
    <cellStyle name="Normal 2 2 2 2 4 2 2 4 3 3" xfId="14481" xr:uid="{00000000-0005-0000-0000-000091380000}"/>
    <cellStyle name="Normal 2 2 2 2 4 2 2 4 3 4" xfId="14482" xr:uid="{00000000-0005-0000-0000-000092380000}"/>
    <cellStyle name="Normal 2 2 2 2 4 2 2 4 3 5" xfId="14483" xr:uid="{00000000-0005-0000-0000-000093380000}"/>
    <cellStyle name="Normal 2 2 2 2 4 2 2 4 3 6" xfId="14484" xr:uid="{00000000-0005-0000-0000-000094380000}"/>
    <cellStyle name="Normal 2 2 2 2 4 2 2 4 3 7" xfId="14485" xr:uid="{00000000-0005-0000-0000-000095380000}"/>
    <cellStyle name="Normal 2 2 2 2 4 2 2 4 3 8" xfId="14486" xr:uid="{00000000-0005-0000-0000-000096380000}"/>
    <cellStyle name="Normal 2 2 2 2 4 2 2 4 3 9" xfId="14487" xr:uid="{00000000-0005-0000-0000-000097380000}"/>
    <cellStyle name="Normal 2 2 2 2 4 2 2 4 4" xfId="14488" xr:uid="{00000000-0005-0000-0000-000098380000}"/>
    <cellStyle name="Normal 2 2 2 2 4 2 2 4 4 10" xfId="14489" xr:uid="{00000000-0005-0000-0000-000099380000}"/>
    <cellStyle name="Normal 2 2 2 2 4 2 2 4 4 2" xfId="14490" xr:uid="{00000000-0005-0000-0000-00009A380000}"/>
    <cellStyle name="Normal 2 2 2 2 4 2 2 4 4 3" xfId="14491" xr:uid="{00000000-0005-0000-0000-00009B380000}"/>
    <cellStyle name="Normal 2 2 2 2 4 2 2 4 4 4" xfId="14492" xr:uid="{00000000-0005-0000-0000-00009C380000}"/>
    <cellStyle name="Normal 2 2 2 2 4 2 2 4 4 5" xfId="14493" xr:uid="{00000000-0005-0000-0000-00009D380000}"/>
    <cellStyle name="Normal 2 2 2 2 4 2 2 4 4 6" xfId="14494" xr:uid="{00000000-0005-0000-0000-00009E380000}"/>
    <cellStyle name="Normal 2 2 2 2 4 2 2 4 4 7" xfId="14495" xr:uid="{00000000-0005-0000-0000-00009F380000}"/>
    <cellStyle name="Normal 2 2 2 2 4 2 2 4 4 8" xfId="14496" xr:uid="{00000000-0005-0000-0000-0000A0380000}"/>
    <cellStyle name="Normal 2 2 2 2 4 2 2 4 4 9" xfId="14497" xr:uid="{00000000-0005-0000-0000-0000A1380000}"/>
    <cellStyle name="Normal 2 2 2 2 4 2 2 4 5" xfId="14498" xr:uid="{00000000-0005-0000-0000-0000A2380000}"/>
    <cellStyle name="Normal 2 2 2 2 4 2 2 4 5 10" xfId="14499" xr:uid="{00000000-0005-0000-0000-0000A3380000}"/>
    <cellStyle name="Normal 2 2 2 2 4 2 2 4 5 2" xfId="14500" xr:uid="{00000000-0005-0000-0000-0000A4380000}"/>
    <cellStyle name="Normal 2 2 2 2 4 2 2 4 5 3" xfId="14501" xr:uid="{00000000-0005-0000-0000-0000A5380000}"/>
    <cellStyle name="Normal 2 2 2 2 4 2 2 4 5 4" xfId="14502" xr:uid="{00000000-0005-0000-0000-0000A6380000}"/>
    <cellStyle name="Normal 2 2 2 2 4 2 2 4 5 5" xfId="14503" xr:uid="{00000000-0005-0000-0000-0000A7380000}"/>
    <cellStyle name="Normal 2 2 2 2 4 2 2 4 5 6" xfId="14504" xr:uid="{00000000-0005-0000-0000-0000A8380000}"/>
    <cellStyle name="Normal 2 2 2 2 4 2 2 4 5 7" xfId="14505" xr:uid="{00000000-0005-0000-0000-0000A9380000}"/>
    <cellStyle name="Normal 2 2 2 2 4 2 2 4 5 8" xfId="14506" xr:uid="{00000000-0005-0000-0000-0000AA380000}"/>
    <cellStyle name="Normal 2 2 2 2 4 2 2 4 5 9" xfId="14507" xr:uid="{00000000-0005-0000-0000-0000AB380000}"/>
    <cellStyle name="Normal 2 2 2 2 4 2 2 4 6" xfId="14508" xr:uid="{00000000-0005-0000-0000-0000AC380000}"/>
    <cellStyle name="Normal 2 2 2 2 4 2 2 4 7" xfId="14509" xr:uid="{00000000-0005-0000-0000-0000AD380000}"/>
    <cellStyle name="Normal 2 2 2 2 4 2 2 4 8" xfId="14510" xr:uid="{00000000-0005-0000-0000-0000AE380000}"/>
    <cellStyle name="Normal 2 2 2 2 4 2 2 4 9" xfId="14511" xr:uid="{00000000-0005-0000-0000-0000AF380000}"/>
    <cellStyle name="Normal 2 2 2 2 4 2 2 5" xfId="14512" xr:uid="{00000000-0005-0000-0000-0000B0380000}"/>
    <cellStyle name="Normal 2 2 2 2 4 2 2 5 10" xfId="14513" xr:uid="{00000000-0005-0000-0000-0000B1380000}"/>
    <cellStyle name="Normal 2 2 2 2 4 2 2 5 11" xfId="14514" xr:uid="{00000000-0005-0000-0000-0000B2380000}"/>
    <cellStyle name="Normal 2 2 2 2 4 2 2 5 12" xfId="14515" xr:uid="{00000000-0005-0000-0000-0000B3380000}"/>
    <cellStyle name="Normal 2 2 2 2 4 2 2 5 13" xfId="14516" xr:uid="{00000000-0005-0000-0000-0000B4380000}"/>
    <cellStyle name="Normal 2 2 2 2 4 2 2 5 14" xfId="14517" xr:uid="{00000000-0005-0000-0000-0000B5380000}"/>
    <cellStyle name="Normal 2 2 2 2 4 2 2 5 2" xfId="14518" xr:uid="{00000000-0005-0000-0000-0000B6380000}"/>
    <cellStyle name="Normal 2 2 2 2 4 2 2 5 2 10" xfId="14519" xr:uid="{00000000-0005-0000-0000-0000B7380000}"/>
    <cellStyle name="Normal 2 2 2 2 4 2 2 5 2 2" xfId="14520" xr:uid="{00000000-0005-0000-0000-0000B8380000}"/>
    <cellStyle name="Normal 2 2 2 2 4 2 2 5 2 3" xfId="14521" xr:uid="{00000000-0005-0000-0000-0000B9380000}"/>
    <cellStyle name="Normal 2 2 2 2 4 2 2 5 2 4" xfId="14522" xr:uid="{00000000-0005-0000-0000-0000BA380000}"/>
    <cellStyle name="Normal 2 2 2 2 4 2 2 5 2 5" xfId="14523" xr:uid="{00000000-0005-0000-0000-0000BB380000}"/>
    <cellStyle name="Normal 2 2 2 2 4 2 2 5 2 6" xfId="14524" xr:uid="{00000000-0005-0000-0000-0000BC380000}"/>
    <cellStyle name="Normal 2 2 2 2 4 2 2 5 2 7" xfId="14525" xr:uid="{00000000-0005-0000-0000-0000BD380000}"/>
    <cellStyle name="Normal 2 2 2 2 4 2 2 5 2 8" xfId="14526" xr:uid="{00000000-0005-0000-0000-0000BE380000}"/>
    <cellStyle name="Normal 2 2 2 2 4 2 2 5 2 9" xfId="14527" xr:uid="{00000000-0005-0000-0000-0000BF380000}"/>
    <cellStyle name="Normal 2 2 2 2 4 2 2 5 3" xfId="14528" xr:uid="{00000000-0005-0000-0000-0000C0380000}"/>
    <cellStyle name="Normal 2 2 2 2 4 2 2 5 3 10" xfId="14529" xr:uid="{00000000-0005-0000-0000-0000C1380000}"/>
    <cellStyle name="Normal 2 2 2 2 4 2 2 5 3 2" xfId="14530" xr:uid="{00000000-0005-0000-0000-0000C2380000}"/>
    <cellStyle name="Normal 2 2 2 2 4 2 2 5 3 3" xfId="14531" xr:uid="{00000000-0005-0000-0000-0000C3380000}"/>
    <cellStyle name="Normal 2 2 2 2 4 2 2 5 3 4" xfId="14532" xr:uid="{00000000-0005-0000-0000-0000C4380000}"/>
    <cellStyle name="Normal 2 2 2 2 4 2 2 5 3 5" xfId="14533" xr:uid="{00000000-0005-0000-0000-0000C5380000}"/>
    <cellStyle name="Normal 2 2 2 2 4 2 2 5 3 6" xfId="14534" xr:uid="{00000000-0005-0000-0000-0000C6380000}"/>
    <cellStyle name="Normal 2 2 2 2 4 2 2 5 3 7" xfId="14535" xr:uid="{00000000-0005-0000-0000-0000C7380000}"/>
    <cellStyle name="Normal 2 2 2 2 4 2 2 5 3 8" xfId="14536" xr:uid="{00000000-0005-0000-0000-0000C8380000}"/>
    <cellStyle name="Normal 2 2 2 2 4 2 2 5 3 9" xfId="14537" xr:uid="{00000000-0005-0000-0000-0000C9380000}"/>
    <cellStyle name="Normal 2 2 2 2 4 2 2 5 4" xfId="14538" xr:uid="{00000000-0005-0000-0000-0000CA380000}"/>
    <cellStyle name="Normal 2 2 2 2 4 2 2 5 4 10" xfId="14539" xr:uid="{00000000-0005-0000-0000-0000CB380000}"/>
    <cellStyle name="Normal 2 2 2 2 4 2 2 5 4 2" xfId="14540" xr:uid="{00000000-0005-0000-0000-0000CC380000}"/>
    <cellStyle name="Normal 2 2 2 2 4 2 2 5 4 3" xfId="14541" xr:uid="{00000000-0005-0000-0000-0000CD380000}"/>
    <cellStyle name="Normal 2 2 2 2 4 2 2 5 4 4" xfId="14542" xr:uid="{00000000-0005-0000-0000-0000CE380000}"/>
    <cellStyle name="Normal 2 2 2 2 4 2 2 5 4 5" xfId="14543" xr:uid="{00000000-0005-0000-0000-0000CF380000}"/>
    <cellStyle name="Normal 2 2 2 2 4 2 2 5 4 6" xfId="14544" xr:uid="{00000000-0005-0000-0000-0000D0380000}"/>
    <cellStyle name="Normal 2 2 2 2 4 2 2 5 4 7" xfId="14545" xr:uid="{00000000-0005-0000-0000-0000D1380000}"/>
    <cellStyle name="Normal 2 2 2 2 4 2 2 5 4 8" xfId="14546" xr:uid="{00000000-0005-0000-0000-0000D2380000}"/>
    <cellStyle name="Normal 2 2 2 2 4 2 2 5 4 9" xfId="14547" xr:uid="{00000000-0005-0000-0000-0000D3380000}"/>
    <cellStyle name="Normal 2 2 2 2 4 2 2 5 5" xfId="14548" xr:uid="{00000000-0005-0000-0000-0000D4380000}"/>
    <cellStyle name="Normal 2 2 2 2 4 2 2 5 5 10" xfId="14549" xr:uid="{00000000-0005-0000-0000-0000D5380000}"/>
    <cellStyle name="Normal 2 2 2 2 4 2 2 5 5 2" xfId="14550" xr:uid="{00000000-0005-0000-0000-0000D6380000}"/>
    <cellStyle name="Normal 2 2 2 2 4 2 2 5 5 3" xfId="14551" xr:uid="{00000000-0005-0000-0000-0000D7380000}"/>
    <cellStyle name="Normal 2 2 2 2 4 2 2 5 5 4" xfId="14552" xr:uid="{00000000-0005-0000-0000-0000D8380000}"/>
    <cellStyle name="Normal 2 2 2 2 4 2 2 5 5 5" xfId="14553" xr:uid="{00000000-0005-0000-0000-0000D9380000}"/>
    <cellStyle name="Normal 2 2 2 2 4 2 2 5 5 6" xfId="14554" xr:uid="{00000000-0005-0000-0000-0000DA380000}"/>
    <cellStyle name="Normal 2 2 2 2 4 2 2 5 5 7" xfId="14555" xr:uid="{00000000-0005-0000-0000-0000DB380000}"/>
    <cellStyle name="Normal 2 2 2 2 4 2 2 5 5 8" xfId="14556" xr:uid="{00000000-0005-0000-0000-0000DC380000}"/>
    <cellStyle name="Normal 2 2 2 2 4 2 2 5 5 9" xfId="14557" xr:uid="{00000000-0005-0000-0000-0000DD380000}"/>
    <cellStyle name="Normal 2 2 2 2 4 2 2 5 6" xfId="14558" xr:uid="{00000000-0005-0000-0000-0000DE380000}"/>
    <cellStyle name="Normal 2 2 2 2 4 2 2 5 7" xfId="14559" xr:uid="{00000000-0005-0000-0000-0000DF380000}"/>
    <cellStyle name="Normal 2 2 2 2 4 2 2 5 8" xfId="14560" xr:uid="{00000000-0005-0000-0000-0000E0380000}"/>
    <cellStyle name="Normal 2 2 2 2 4 2 2 5 9" xfId="14561" xr:uid="{00000000-0005-0000-0000-0000E1380000}"/>
    <cellStyle name="Normal 2 2 2 2 4 2 2 6" xfId="14562" xr:uid="{00000000-0005-0000-0000-0000E2380000}"/>
    <cellStyle name="Normal 2 2 2 2 4 2 2 6 10" xfId="14563" xr:uid="{00000000-0005-0000-0000-0000E3380000}"/>
    <cellStyle name="Normal 2 2 2 2 4 2 2 6 11" xfId="14564" xr:uid="{00000000-0005-0000-0000-0000E4380000}"/>
    <cellStyle name="Normal 2 2 2 2 4 2 2 6 12" xfId="14565" xr:uid="{00000000-0005-0000-0000-0000E5380000}"/>
    <cellStyle name="Normal 2 2 2 2 4 2 2 6 13" xfId="14566" xr:uid="{00000000-0005-0000-0000-0000E6380000}"/>
    <cellStyle name="Normal 2 2 2 2 4 2 2 6 14" xfId="14567" xr:uid="{00000000-0005-0000-0000-0000E7380000}"/>
    <cellStyle name="Normal 2 2 2 2 4 2 2 6 2" xfId="14568" xr:uid="{00000000-0005-0000-0000-0000E8380000}"/>
    <cellStyle name="Normal 2 2 2 2 4 2 2 6 2 10" xfId="14569" xr:uid="{00000000-0005-0000-0000-0000E9380000}"/>
    <cellStyle name="Normal 2 2 2 2 4 2 2 6 2 2" xfId="14570" xr:uid="{00000000-0005-0000-0000-0000EA380000}"/>
    <cellStyle name="Normal 2 2 2 2 4 2 2 6 2 3" xfId="14571" xr:uid="{00000000-0005-0000-0000-0000EB380000}"/>
    <cellStyle name="Normal 2 2 2 2 4 2 2 6 2 4" xfId="14572" xr:uid="{00000000-0005-0000-0000-0000EC380000}"/>
    <cellStyle name="Normal 2 2 2 2 4 2 2 6 2 5" xfId="14573" xr:uid="{00000000-0005-0000-0000-0000ED380000}"/>
    <cellStyle name="Normal 2 2 2 2 4 2 2 6 2 6" xfId="14574" xr:uid="{00000000-0005-0000-0000-0000EE380000}"/>
    <cellStyle name="Normal 2 2 2 2 4 2 2 6 2 7" xfId="14575" xr:uid="{00000000-0005-0000-0000-0000EF380000}"/>
    <cellStyle name="Normal 2 2 2 2 4 2 2 6 2 8" xfId="14576" xr:uid="{00000000-0005-0000-0000-0000F0380000}"/>
    <cellStyle name="Normal 2 2 2 2 4 2 2 6 2 9" xfId="14577" xr:uid="{00000000-0005-0000-0000-0000F1380000}"/>
    <cellStyle name="Normal 2 2 2 2 4 2 2 6 3" xfId="14578" xr:uid="{00000000-0005-0000-0000-0000F2380000}"/>
    <cellStyle name="Normal 2 2 2 2 4 2 2 6 3 10" xfId="14579" xr:uid="{00000000-0005-0000-0000-0000F3380000}"/>
    <cellStyle name="Normal 2 2 2 2 4 2 2 6 3 2" xfId="14580" xr:uid="{00000000-0005-0000-0000-0000F4380000}"/>
    <cellStyle name="Normal 2 2 2 2 4 2 2 6 3 3" xfId="14581" xr:uid="{00000000-0005-0000-0000-0000F5380000}"/>
    <cellStyle name="Normal 2 2 2 2 4 2 2 6 3 4" xfId="14582" xr:uid="{00000000-0005-0000-0000-0000F6380000}"/>
    <cellStyle name="Normal 2 2 2 2 4 2 2 6 3 5" xfId="14583" xr:uid="{00000000-0005-0000-0000-0000F7380000}"/>
    <cellStyle name="Normal 2 2 2 2 4 2 2 6 3 6" xfId="14584" xr:uid="{00000000-0005-0000-0000-0000F8380000}"/>
    <cellStyle name="Normal 2 2 2 2 4 2 2 6 3 7" xfId="14585" xr:uid="{00000000-0005-0000-0000-0000F9380000}"/>
    <cellStyle name="Normal 2 2 2 2 4 2 2 6 3 8" xfId="14586" xr:uid="{00000000-0005-0000-0000-0000FA380000}"/>
    <cellStyle name="Normal 2 2 2 2 4 2 2 6 3 9" xfId="14587" xr:uid="{00000000-0005-0000-0000-0000FB380000}"/>
    <cellStyle name="Normal 2 2 2 2 4 2 2 6 4" xfId="14588" xr:uid="{00000000-0005-0000-0000-0000FC380000}"/>
    <cellStyle name="Normal 2 2 2 2 4 2 2 6 4 10" xfId="14589" xr:uid="{00000000-0005-0000-0000-0000FD380000}"/>
    <cellStyle name="Normal 2 2 2 2 4 2 2 6 4 2" xfId="14590" xr:uid="{00000000-0005-0000-0000-0000FE380000}"/>
    <cellStyle name="Normal 2 2 2 2 4 2 2 6 4 3" xfId="14591" xr:uid="{00000000-0005-0000-0000-0000FF380000}"/>
    <cellStyle name="Normal 2 2 2 2 4 2 2 6 4 4" xfId="14592" xr:uid="{00000000-0005-0000-0000-000000390000}"/>
    <cellStyle name="Normal 2 2 2 2 4 2 2 6 4 5" xfId="14593" xr:uid="{00000000-0005-0000-0000-000001390000}"/>
    <cellStyle name="Normal 2 2 2 2 4 2 2 6 4 6" xfId="14594" xr:uid="{00000000-0005-0000-0000-000002390000}"/>
    <cellStyle name="Normal 2 2 2 2 4 2 2 6 4 7" xfId="14595" xr:uid="{00000000-0005-0000-0000-000003390000}"/>
    <cellStyle name="Normal 2 2 2 2 4 2 2 6 4 8" xfId="14596" xr:uid="{00000000-0005-0000-0000-000004390000}"/>
    <cellStyle name="Normal 2 2 2 2 4 2 2 6 4 9" xfId="14597" xr:uid="{00000000-0005-0000-0000-000005390000}"/>
    <cellStyle name="Normal 2 2 2 2 4 2 2 6 5" xfId="14598" xr:uid="{00000000-0005-0000-0000-000006390000}"/>
    <cellStyle name="Normal 2 2 2 2 4 2 2 6 5 10" xfId="14599" xr:uid="{00000000-0005-0000-0000-000007390000}"/>
    <cellStyle name="Normal 2 2 2 2 4 2 2 6 5 2" xfId="14600" xr:uid="{00000000-0005-0000-0000-000008390000}"/>
    <cellStyle name="Normal 2 2 2 2 4 2 2 6 5 3" xfId="14601" xr:uid="{00000000-0005-0000-0000-000009390000}"/>
    <cellStyle name="Normal 2 2 2 2 4 2 2 6 5 4" xfId="14602" xr:uid="{00000000-0005-0000-0000-00000A390000}"/>
    <cellStyle name="Normal 2 2 2 2 4 2 2 6 5 5" xfId="14603" xr:uid="{00000000-0005-0000-0000-00000B390000}"/>
    <cellStyle name="Normal 2 2 2 2 4 2 2 6 5 6" xfId="14604" xr:uid="{00000000-0005-0000-0000-00000C390000}"/>
    <cellStyle name="Normal 2 2 2 2 4 2 2 6 5 7" xfId="14605" xr:uid="{00000000-0005-0000-0000-00000D390000}"/>
    <cellStyle name="Normal 2 2 2 2 4 2 2 6 5 8" xfId="14606" xr:uid="{00000000-0005-0000-0000-00000E390000}"/>
    <cellStyle name="Normal 2 2 2 2 4 2 2 6 5 9" xfId="14607" xr:uid="{00000000-0005-0000-0000-00000F390000}"/>
    <cellStyle name="Normal 2 2 2 2 4 2 2 6 6" xfId="14608" xr:uid="{00000000-0005-0000-0000-000010390000}"/>
    <cellStyle name="Normal 2 2 2 2 4 2 2 6 7" xfId="14609" xr:uid="{00000000-0005-0000-0000-000011390000}"/>
    <cellStyle name="Normal 2 2 2 2 4 2 2 6 8" xfId="14610" xr:uid="{00000000-0005-0000-0000-000012390000}"/>
    <cellStyle name="Normal 2 2 2 2 4 2 2 6 9" xfId="14611" xr:uid="{00000000-0005-0000-0000-000013390000}"/>
    <cellStyle name="Normal 2 2 2 2 4 2 2 7" xfId="14612" xr:uid="{00000000-0005-0000-0000-000014390000}"/>
    <cellStyle name="Normal 2 2 2 2 4 2 2 7 10" xfId="14613" xr:uid="{00000000-0005-0000-0000-000015390000}"/>
    <cellStyle name="Normal 2 2 2 2 4 2 2 7 11" xfId="14614" xr:uid="{00000000-0005-0000-0000-000016390000}"/>
    <cellStyle name="Normal 2 2 2 2 4 2 2 7 12" xfId="14615" xr:uid="{00000000-0005-0000-0000-000017390000}"/>
    <cellStyle name="Normal 2 2 2 2 4 2 2 7 13" xfId="14616" xr:uid="{00000000-0005-0000-0000-000018390000}"/>
    <cellStyle name="Normal 2 2 2 2 4 2 2 7 14" xfId="14617" xr:uid="{00000000-0005-0000-0000-000019390000}"/>
    <cellStyle name="Normal 2 2 2 2 4 2 2 7 2" xfId="14618" xr:uid="{00000000-0005-0000-0000-00001A390000}"/>
    <cellStyle name="Normal 2 2 2 2 4 2 2 7 2 10" xfId="14619" xr:uid="{00000000-0005-0000-0000-00001B390000}"/>
    <cellStyle name="Normal 2 2 2 2 4 2 2 7 2 2" xfId="14620" xr:uid="{00000000-0005-0000-0000-00001C390000}"/>
    <cellStyle name="Normal 2 2 2 2 4 2 2 7 2 3" xfId="14621" xr:uid="{00000000-0005-0000-0000-00001D390000}"/>
    <cellStyle name="Normal 2 2 2 2 4 2 2 7 2 4" xfId="14622" xr:uid="{00000000-0005-0000-0000-00001E390000}"/>
    <cellStyle name="Normal 2 2 2 2 4 2 2 7 2 5" xfId="14623" xr:uid="{00000000-0005-0000-0000-00001F390000}"/>
    <cellStyle name="Normal 2 2 2 2 4 2 2 7 2 6" xfId="14624" xr:uid="{00000000-0005-0000-0000-000020390000}"/>
    <cellStyle name="Normal 2 2 2 2 4 2 2 7 2 7" xfId="14625" xr:uid="{00000000-0005-0000-0000-000021390000}"/>
    <cellStyle name="Normal 2 2 2 2 4 2 2 7 2 8" xfId="14626" xr:uid="{00000000-0005-0000-0000-000022390000}"/>
    <cellStyle name="Normal 2 2 2 2 4 2 2 7 2 9" xfId="14627" xr:uid="{00000000-0005-0000-0000-000023390000}"/>
    <cellStyle name="Normal 2 2 2 2 4 2 2 7 3" xfId="14628" xr:uid="{00000000-0005-0000-0000-000024390000}"/>
    <cellStyle name="Normal 2 2 2 2 4 2 2 7 3 10" xfId="14629" xr:uid="{00000000-0005-0000-0000-000025390000}"/>
    <cellStyle name="Normal 2 2 2 2 4 2 2 7 3 2" xfId="14630" xr:uid="{00000000-0005-0000-0000-000026390000}"/>
    <cellStyle name="Normal 2 2 2 2 4 2 2 7 3 3" xfId="14631" xr:uid="{00000000-0005-0000-0000-000027390000}"/>
    <cellStyle name="Normal 2 2 2 2 4 2 2 7 3 4" xfId="14632" xr:uid="{00000000-0005-0000-0000-000028390000}"/>
    <cellStyle name="Normal 2 2 2 2 4 2 2 7 3 5" xfId="14633" xr:uid="{00000000-0005-0000-0000-000029390000}"/>
    <cellStyle name="Normal 2 2 2 2 4 2 2 7 3 6" xfId="14634" xr:uid="{00000000-0005-0000-0000-00002A390000}"/>
    <cellStyle name="Normal 2 2 2 2 4 2 2 7 3 7" xfId="14635" xr:uid="{00000000-0005-0000-0000-00002B390000}"/>
    <cellStyle name="Normal 2 2 2 2 4 2 2 7 3 8" xfId="14636" xr:uid="{00000000-0005-0000-0000-00002C390000}"/>
    <cellStyle name="Normal 2 2 2 2 4 2 2 7 3 9" xfId="14637" xr:uid="{00000000-0005-0000-0000-00002D390000}"/>
    <cellStyle name="Normal 2 2 2 2 4 2 2 7 4" xfId="14638" xr:uid="{00000000-0005-0000-0000-00002E390000}"/>
    <cellStyle name="Normal 2 2 2 2 4 2 2 7 4 10" xfId="14639" xr:uid="{00000000-0005-0000-0000-00002F390000}"/>
    <cellStyle name="Normal 2 2 2 2 4 2 2 7 4 2" xfId="14640" xr:uid="{00000000-0005-0000-0000-000030390000}"/>
    <cellStyle name="Normal 2 2 2 2 4 2 2 7 4 3" xfId="14641" xr:uid="{00000000-0005-0000-0000-000031390000}"/>
    <cellStyle name="Normal 2 2 2 2 4 2 2 7 4 4" xfId="14642" xr:uid="{00000000-0005-0000-0000-000032390000}"/>
    <cellStyle name="Normal 2 2 2 2 4 2 2 7 4 5" xfId="14643" xr:uid="{00000000-0005-0000-0000-000033390000}"/>
    <cellStyle name="Normal 2 2 2 2 4 2 2 7 4 6" xfId="14644" xr:uid="{00000000-0005-0000-0000-000034390000}"/>
    <cellStyle name="Normal 2 2 2 2 4 2 2 7 4 7" xfId="14645" xr:uid="{00000000-0005-0000-0000-000035390000}"/>
    <cellStyle name="Normal 2 2 2 2 4 2 2 7 4 8" xfId="14646" xr:uid="{00000000-0005-0000-0000-000036390000}"/>
    <cellStyle name="Normal 2 2 2 2 4 2 2 7 4 9" xfId="14647" xr:uid="{00000000-0005-0000-0000-000037390000}"/>
    <cellStyle name="Normal 2 2 2 2 4 2 2 7 5" xfId="14648" xr:uid="{00000000-0005-0000-0000-000038390000}"/>
    <cellStyle name="Normal 2 2 2 2 4 2 2 7 5 10" xfId="14649" xr:uid="{00000000-0005-0000-0000-000039390000}"/>
    <cellStyle name="Normal 2 2 2 2 4 2 2 7 5 2" xfId="14650" xr:uid="{00000000-0005-0000-0000-00003A390000}"/>
    <cellStyle name="Normal 2 2 2 2 4 2 2 7 5 3" xfId="14651" xr:uid="{00000000-0005-0000-0000-00003B390000}"/>
    <cellStyle name="Normal 2 2 2 2 4 2 2 7 5 4" xfId="14652" xr:uid="{00000000-0005-0000-0000-00003C390000}"/>
    <cellStyle name="Normal 2 2 2 2 4 2 2 7 5 5" xfId="14653" xr:uid="{00000000-0005-0000-0000-00003D390000}"/>
    <cellStyle name="Normal 2 2 2 2 4 2 2 7 5 6" xfId="14654" xr:uid="{00000000-0005-0000-0000-00003E390000}"/>
    <cellStyle name="Normal 2 2 2 2 4 2 2 7 5 7" xfId="14655" xr:uid="{00000000-0005-0000-0000-00003F390000}"/>
    <cellStyle name="Normal 2 2 2 2 4 2 2 7 5 8" xfId="14656" xr:uid="{00000000-0005-0000-0000-000040390000}"/>
    <cellStyle name="Normal 2 2 2 2 4 2 2 7 5 9" xfId="14657" xr:uid="{00000000-0005-0000-0000-000041390000}"/>
    <cellStyle name="Normal 2 2 2 2 4 2 2 7 6" xfId="14658" xr:uid="{00000000-0005-0000-0000-000042390000}"/>
    <cellStyle name="Normal 2 2 2 2 4 2 2 7 7" xfId="14659" xr:uid="{00000000-0005-0000-0000-000043390000}"/>
    <cellStyle name="Normal 2 2 2 2 4 2 2 7 8" xfId="14660" xr:uid="{00000000-0005-0000-0000-000044390000}"/>
    <cellStyle name="Normal 2 2 2 2 4 2 2 7 9" xfId="14661" xr:uid="{00000000-0005-0000-0000-000045390000}"/>
    <cellStyle name="Normal 2 2 2 2 4 2 2 8" xfId="14662" xr:uid="{00000000-0005-0000-0000-000046390000}"/>
    <cellStyle name="Normal 2 2 2 2 4 2 2 8 10" xfId="14663" xr:uid="{00000000-0005-0000-0000-000047390000}"/>
    <cellStyle name="Normal 2 2 2 2 4 2 2 8 11" xfId="14664" xr:uid="{00000000-0005-0000-0000-000048390000}"/>
    <cellStyle name="Normal 2 2 2 2 4 2 2 8 12" xfId="14665" xr:uid="{00000000-0005-0000-0000-000049390000}"/>
    <cellStyle name="Normal 2 2 2 2 4 2 2 8 13" xfId="14666" xr:uid="{00000000-0005-0000-0000-00004A390000}"/>
    <cellStyle name="Normal 2 2 2 2 4 2 2 8 14" xfId="14667" xr:uid="{00000000-0005-0000-0000-00004B390000}"/>
    <cellStyle name="Normal 2 2 2 2 4 2 2 8 2" xfId="14668" xr:uid="{00000000-0005-0000-0000-00004C390000}"/>
    <cellStyle name="Normal 2 2 2 2 4 2 2 8 2 10" xfId="14669" xr:uid="{00000000-0005-0000-0000-00004D390000}"/>
    <cellStyle name="Normal 2 2 2 2 4 2 2 8 2 2" xfId="14670" xr:uid="{00000000-0005-0000-0000-00004E390000}"/>
    <cellStyle name="Normal 2 2 2 2 4 2 2 8 2 3" xfId="14671" xr:uid="{00000000-0005-0000-0000-00004F390000}"/>
    <cellStyle name="Normal 2 2 2 2 4 2 2 8 2 4" xfId="14672" xr:uid="{00000000-0005-0000-0000-000050390000}"/>
    <cellStyle name="Normal 2 2 2 2 4 2 2 8 2 5" xfId="14673" xr:uid="{00000000-0005-0000-0000-000051390000}"/>
    <cellStyle name="Normal 2 2 2 2 4 2 2 8 2 6" xfId="14674" xr:uid="{00000000-0005-0000-0000-000052390000}"/>
    <cellStyle name="Normal 2 2 2 2 4 2 2 8 2 7" xfId="14675" xr:uid="{00000000-0005-0000-0000-000053390000}"/>
    <cellStyle name="Normal 2 2 2 2 4 2 2 8 2 8" xfId="14676" xr:uid="{00000000-0005-0000-0000-000054390000}"/>
    <cellStyle name="Normal 2 2 2 2 4 2 2 8 2 9" xfId="14677" xr:uid="{00000000-0005-0000-0000-000055390000}"/>
    <cellStyle name="Normal 2 2 2 2 4 2 2 8 3" xfId="14678" xr:uid="{00000000-0005-0000-0000-000056390000}"/>
    <cellStyle name="Normal 2 2 2 2 4 2 2 8 3 10" xfId="14679" xr:uid="{00000000-0005-0000-0000-000057390000}"/>
    <cellStyle name="Normal 2 2 2 2 4 2 2 8 3 2" xfId="14680" xr:uid="{00000000-0005-0000-0000-000058390000}"/>
    <cellStyle name="Normal 2 2 2 2 4 2 2 8 3 3" xfId="14681" xr:uid="{00000000-0005-0000-0000-000059390000}"/>
    <cellStyle name="Normal 2 2 2 2 4 2 2 8 3 4" xfId="14682" xr:uid="{00000000-0005-0000-0000-00005A390000}"/>
    <cellStyle name="Normal 2 2 2 2 4 2 2 8 3 5" xfId="14683" xr:uid="{00000000-0005-0000-0000-00005B390000}"/>
    <cellStyle name="Normal 2 2 2 2 4 2 2 8 3 6" xfId="14684" xr:uid="{00000000-0005-0000-0000-00005C390000}"/>
    <cellStyle name="Normal 2 2 2 2 4 2 2 8 3 7" xfId="14685" xr:uid="{00000000-0005-0000-0000-00005D390000}"/>
    <cellStyle name="Normal 2 2 2 2 4 2 2 8 3 8" xfId="14686" xr:uid="{00000000-0005-0000-0000-00005E390000}"/>
    <cellStyle name="Normal 2 2 2 2 4 2 2 8 3 9" xfId="14687" xr:uid="{00000000-0005-0000-0000-00005F390000}"/>
    <cellStyle name="Normal 2 2 2 2 4 2 2 8 4" xfId="14688" xr:uid="{00000000-0005-0000-0000-000060390000}"/>
    <cellStyle name="Normal 2 2 2 2 4 2 2 8 4 10" xfId="14689" xr:uid="{00000000-0005-0000-0000-000061390000}"/>
    <cellStyle name="Normal 2 2 2 2 4 2 2 8 4 2" xfId="14690" xr:uid="{00000000-0005-0000-0000-000062390000}"/>
    <cellStyle name="Normal 2 2 2 2 4 2 2 8 4 3" xfId="14691" xr:uid="{00000000-0005-0000-0000-000063390000}"/>
    <cellStyle name="Normal 2 2 2 2 4 2 2 8 4 4" xfId="14692" xr:uid="{00000000-0005-0000-0000-000064390000}"/>
    <cellStyle name="Normal 2 2 2 2 4 2 2 8 4 5" xfId="14693" xr:uid="{00000000-0005-0000-0000-000065390000}"/>
    <cellStyle name="Normal 2 2 2 2 4 2 2 8 4 6" xfId="14694" xr:uid="{00000000-0005-0000-0000-000066390000}"/>
    <cellStyle name="Normal 2 2 2 2 4 2 2 8 4 7" xfId="14695" xr:uid="{00000000-0005-0000-0000-000067390000}"/>
    <cellStyle name="Normal 2 2 2 2 4 2 2 8 4 8" xfId="14696" xr:uid="{00000000-0005-0000-0000-000068390000}"/>
    <cellStyle name="Normal 2 2 2 2 4 2 2 8 4 9" xfId="14697" xr:uid="{00000000-0005-0000-0000-000069390000}"/>
    <cellStyle name="Normal 2 2 2 2 4 2 2 8 5" xfId="14698" xr:uid="{00000000-0005-0000-0000-00006A390000}"/>
    <cellStyle name="Normal 2 2 2 2 4 2 2 8 5 10" xfId="14699" xr:uid="{00000000-0005-0000-0000-00006B390000}"/>
    <cellStyle name="Normal 2 2 2 2 4 2 2 8 5 2" xfId="14700" xr:uid="{00000000-0005-0000-0000-00006C390000}"/>
    <cellStyle name="Normal 2 2 2 2 4 2 2 8 5 3" xfId="14701" xr:uid="{00000000-0005-0000-0000-00006D390000}"/>
    <cellStyle name="Normal 2 2 2 2 4 2 2 8 5 4" xfId="14702" xr:uid="{00000000-0005-0000-0000-00006E390000}"/>
    <cellStyle name="Normal 2 2 2 2 4 2 2 8 5 5" xfId="14703" xr:uid="{00000000-0005-0000-0000-00006F390000}"/>
    <cellStyle name="Normal 2 2 2 2 4 2 2 8 5 6" xfId="14704" xr:uid="{00000000-0005-0000-0000-000070390000}"/>
    <cellStyle name="Normal 2 2 2 2 4 2 2 8 5 7" xfId="14705" xr:uid="{00000000-0005-0000-0000-000071390000}"/>
    <cellStyle name="Normal 2 2 2 2 4 2 2 8 5 8" xfId="14706" xr:uid="{00000000-0005-0000-0000-000072390000}"/>
    <cellStyle name="Normal 2 2 2 2 4 2 2 8 5 9" xfId="14707" xr:uid="{00000000-0005-0000-0000-000073390000}"/>
    <cellStyle name="Normal 2 2 2 2 4 2 2 8 6" xfId="14708" xr:uid="{00000000-0005-0000-0000-000074390000}"/>
    <cellStyle name="Normal 2 2 2 2 4 2 2 8 7" xfId="14709" xr:uid="{00000000-0005-0000-0000-000075390000}"/>
    <cellStyle name="Normal 2 2 2 2 4 2 2 8 8" xfId="14710" xr:uid="{00000000-0005-0000-0000-000076390000}"/>
    <cellStyle name="Normal 2 2 2 2 4 2 2 8 9" xfId="14711" xr:uid="{00000000-0005-0000-0000-000077390000}"/>
    <cellStyle name="Normal 2 2 2 2 4 2 2 9" xfId="14712" xr:uid="{00000000-0005-0000-0000-000078390000}"/>
    <cellStyle name="Normal 2 2 2 2 4 2 2 9 10" xfId="14713" xr:uid="{00000000-0005-0000-0000-000079390000}"/>
    <cellStyle name="Normal 2 2 2 2 4 2 2 9 11" xfId="14714" xr:uid="{00000000-0005-0000-0000-00007A390000}"/>
    <cellStyle name="Normal 2 2 2 2 4 2 2 9 12" xfId="14715" xr:uid="{00000000-0005-0000-0000-00007B390000}"/>
    <cellStyle name="Normal 2 2 2 2 4 2 2 9 13" xfId="14716" xr:uid="{00000000-0005-0000-0000-00007C390000}"/>
    <cellStyle name="Normal 2 2 2 2 4 2 2 9 14" xfId="14717" xr:uid="{00000000-0005-0000-0000-00007D390000}"/>
    <cellStyle name="Normal 2 2 2 2 4 2 2 9 2" xfId="14718" xr:uid="{00000000-0005-0000-0000-00007E390000}"/>
    <cellStyle name="Normal 2 2 2 2 4 2 2 9 2 10" xfId="14719" xr:uid="{00000000-0005-0000-0000-00007F390000}"/>
    <cellStyle name="Normal 2 2 2 2 4 2 2 9 2 2" xfId="14720" xr:uid="{00000000-0005-0000-0000-000080390000}"/>
    <cellStyle name="Normal 2 2 2 2 4 2 2 9 2 3" xfId="14721" xr:uid="{00000000-0005-0000-0000-000081390000}"/>
    <cellStyle name="Normal 2 2 2 2 4 2 2 9 2 4" xfId="14722" xr:uid="{00000000-0005-0000-0000-000082390000}"/>
    <cellStyle name="Normal 2 2 2 2 4 2 2 9 2 5" xfId="14723" xr:uid="{00000000-0005-0000-0000-000083390000}"/>
    <cellStyle name="Normal 2 2 2 2 4 2 2 9 2 6" xfId="14724" xr:uid="{00000000-0005-0000-0000-000084390000}"/>
    <cellStyle name="Normal 2 2 2 2 4 2 2 9 2 7" xfId="14725" xr:uid="{00000000-0005-0000-0000-000085390000}"/>
    <cellStyle name="Normal 2 2 2 2 4 2 2 9 2 8" xfId="14726" xr:uid="{00000000-0005-0000-0000-000086390000}"/>
    <cellStyle name="Normal 2 2 2 2 4 2 2 9 2 9" xfId="14727" xr:uid="{00000000-0005-0000-0000-000087390000}"/>
    <cellStyle name="Normal 2 2 2 2 4 2 2 9 3" xfId="14728" xr:uid="{00000000-0005-0000-0000-000088390000}"/>
    <cellStyle name="Normal 2 2 2 2 4 2 2 9 3 10" xfId="14729" xr:uid="{00000000-0005-0000-0000-000089390000}"/>
    <cellStyle name="Normal 2 2 2 2 4 2 2 9 3 2" xfId="14730" xr:uid="{00000000-0005-0000-0000-00008A390000}"/>
    <cellStyle name="Normal 2 2 2 2 4 2 2 9 3 3" xfId="14731" xr:uid="{00000000-0005-0000-0000-00008B390000}"/>
    <cellStyle name="Normal 2 2 2 2 4 2 2 9 3 4" xfId="14732" xr:uid="{00000000-0005-0000-0000-00008C390000}"/>
    <cellStyle name="Normal 2 2 2 2 4 2 2 9 3 5" xfId="14733" xr:uid="{00000000-0005-0000-0000-00008D390000}"/>
    <cellStyle name="Normal 2 2 2 2 4 2 2 9 3 6" xfId="14734" xr:uid="{00000000-0005-0000-0000-00008E390000}"/>
    <cellStyle name="Normal 2 2 2 2 4 2 2 9 3 7" xfId="14735" xr:uid="{00000000-0005-0000-0000-00008F390000}"/>
    <cellStyle name="Normal 2 2 2 2 4 2 2 9 3 8" xfId="14736" xr:uid="{00000000-0005-0000-0000-000090390000}"/>
    <cellStyle name="Normal 2 2 2 2 4 2 2 9 3 9" xfId="14737" xr:uid="{00000000-0005-0000-0000-000091390000}"/>
    <cellStyle name="Normal 2 2 2 2 4 2 2 9 4" xfId="14738" xr:uid="{00000000-0005-0000-0000-000092390000}"/>
    <cellStyle name="Normal 2 2 2 2 4 2 2 9 4 10" xfId="14739" xr:uid="{00000000-0005-0000-0000-000093390000}"/>
    <cellStyle name="Normal 2 2 2 2 4 2 2 9 4 2" xfId="14740" xr:uid="{00000000-0005-0000-0000-000094390000}"/>
    <cellStyle name="Normal 2 2 2 2 4 2 2 9 4 3" xfId="14741" xr:uid="{00000000-0005-0000-0000-000095390000}"/>
    <cellStyle name="Normal 2 2 2 2 4 2 2 9 4 4" xfId="14742" xr:uid="{00000000-0005-0000-0000-000096390000}"/>
    <cellStyle name="Normal 2 2 2 2 4 2 2 9 4 5" xfId="14743" xr:uid="{00000000-0005-0000-0000-000097390000}"/>
    <cellStyle name="Normal 2 2 2 2 4 2 2 9 4 6" xfId="14744" xr:uid="{00000000-0005-0000-0000-000098390000}"/>
    <cellStyle name="Normal 2 2 2 2 4 2 2 9 4 7" xfId="14745" xr:uid="{00000000-0005-0000-0000-000099390000}"/>
    <cellStyle name="Normal 2 2 2 2 4 2 2 9 4 8" xfId="14746" xr:uid="{00000000-0005-0000-0000-00009A390000}"/>
    <cellStyle name="Normal 2 2 2 2 4 2 2 9 4 9" xfId="14747" xr:uid="{00000000-0005-0000-0000-00009B390000}"/>
    <cellStyle name="Normal 2 2 2 2 4 2 2 9 5" xfId="14748" xr:uid="{00000000-0005-0000-0000-00009C390000}"/>
    <cellStyle name="Normal 2 2 2 2 4 2 2 9 5 10" xfId="14749" xr:uid="{00000000-0005-0000-0000-00009D390000}"/>
    <cellStyle name="Normal 2 2 2 2 4 2 2 9 5 2" xfId="14750" xr:uid="{00000000-0005-0000-0000-00009E390000}"/>
    <cellStyle name="Normal 2 2 2 2 4 2 2 9 5 3" xfId="14751" xr:uid="{00000000-0005-0000-0000-00009F390000}"/>
    <cellStyle name="Normal 2 2 2 2 4 2 2 9 5 4" xfId="14752" xr:uid="{00000000-0005-0000-0000-0000A0390000}"/>
    <cellStyle name="Normal 2 2 2 2 4 2 2 9 5 5" xfId="14753" xr:uid="{00000000-0005-0000-0000-0000A1390000}"/>
    <cellStyle name="Normal 2 2 2 2 4 2 2 9 5 6" xfId="14754" xr:uid="{00000000-0005-0000-0000-0000A2390000}"/>
    <cellStyle name="Normal 2 2 2 2 4 2 2 9 5 7" xfId="14755" xr:uid="{00000000-0005-0000-0000-0000A3390000}"/>
    <cellStyle name="Normal 2 2 2 2 4 2 2 9 5 8" xfId="14756" xr:uid="{00000000-0005-0000-0000-0000A4390000}"/>
    <cellStyle name="Normal 2 2 2 2 4 2 2 9 5 9" xfId="14757" xr:uid="{00000000-0005-0000-0000-0000A5390000}"/>
    <cellStyle name="Normal 2 2 2 2 4 2 2 9 6" xfId="14758" xr:uid="{00000000-0005-0000-0000-0000A6390000}"/>
    <cellStyle name="Normal 2 2 2 2 4 2 2 9 7" xfId="14759" xr:uid="{00000000-0005-0000-0000-0000A7390000}"/>
    <cellStyle name="Normal 2 2 2 2 4 2 2 9 8" xfId="14760" xr:uid="{00000000-0005-0000-0000-0000A8390000}"/>
    <cellStyle name="Normal 2 2 2 2 4 2 2 9 9" xfId="14761" xr:uid="{00000000-0005-0000-0000-0000A9390000}"/>
    <cellStyle name="Normal 2 2 2 2 4 2 20" xfId="14762" xr:uid="{00000000-0005-0000-0000-0000AA390000}"/>
    <cellStyle name="Normal 2 2 2 2 4 2 21" xfId="14763" xr:uid="{00000000-0005-0000-0000-0000AB390000}"/>
    <cellStyle name="Normal 2 2 2 2 4 2 21 10" xfId="14764" xr:uid="{00000000-0005-0000-0000-0000AC390000}"/>
    <cellStyle name="Normal 2 2 2 2 4 2 21 2" xfId="14765" xr:uid="{00000000-0005-0000-0000-0000AD390000}"/>
    <cellStyle name="Normal 2 2 2 2 4 2 21 3" xfId="14766" xr:uid="{00000000-0005-0000-0000-0000AE390000}"/>
    <cellStyle name="Normal 2 2 2 2 4 2 21 4" xfId="14767" xr:uid="{00000000-0005-0000-0000-0000AF390000}"/>
    <cellStyle name="Normal 2 2 2 2 4 2 21 5" xfId="14768" xr:uid="{00000000-0005-0000-0000-0000B0390000}"/>
    <cellStyle name="Normal 2 2 2 2 4 2 21 6" xfId="14769" xr:uid="{00000000-0005-0000-0000-0000B1390000}"/>
    <cellStyle name="Normal 2 2 2 2 4 2 21 7" xfId="14770" xr:uid="{00000000-0005-0000-0000-0000B2390000}"/>
    <cellStyle name="Normal 2 2 2 2 4 2 21 8" xfId="14771" xr:uid="{00000000-0005-0000-0000-0000B3390000}"/>
    <cellStyle name="Normal 2 2 2 2 4 2 21 9" xfId="14772" xr:uid="{00000000-0005-0000-0000-0000B4390000}"/>
    <cellStyle name="Normal 2 2 2 2 4 2 22" xfId="14773" xr:uid="{00000000-0005-0000-0000-0000B5390000}"/>
    <cellStyle name="Normal 2 2 2 2 4 2 22 10" xfId="14774" xr:uid="{00000000-0005-0000-0000-0000B6390000}"/>
    <cellStyle name="Normal 2 2 2 2 4 2 22 2" xfId="14775" xr:uid="{00000000-0005-0000-0000-0000B7390000}"/>
    <cellStyle name="Normal 2 2 2 2 4 2 22 3" xfId="14776" xr:uid="{00000000-0005-0000-0000-0000B8390000}"/>
    <cellStyle name="Normal 2 2 2 2 4 2 22 4" xfId="14777" xr:uid="{00000000-0005-0000-0000-0000B9390000}"/>
    <cellStyle name="Normal 2 2 2 2 4 2 22 5" xfId="14778" xr:uid="{00000000-0005-0000-0000-0000BA390000}"/>
    <cellStyle name="Normal 2 2 2 2 4 2 22 6" xfId="14779" xr:uid="{00000000-0005-0000-0000-0000BB390000}"/>
    <cellStyle name="Normal 2 2 2 2 4 2 22 7" xfId="14780" xr:uid="{00000000-0005-0000-0000-0000BC390000}"/>
    <cellStyle name="Normal 2 2 2 2 4 2 22 8" xfId="14781" xr:uid="{00000000-0005-0000-0000-0000BD390000}"/>
    <cellStyle name="Normal 2 2 2 2 4 2 22 9" xfId="14782" xr:uid="{00000000-0005-0000-0000-0000BE390000}"/>
    <cellStyle name="Normal 2 2 2 2 4 2 23" xfId="14783" xr:uid="{00000000-0005-0000-0000-0000BF390000}"/>
    <cellStyle name="Normal 2 2 2 2 4 2 23 10" xfId="14784" xr:uid="{00000000-0005-0000-0000-0000C0390000}"/>
    <cellStyle name="Normal 2 2 2 2 4 2 23 2" xfId="14785" xr:uid="{00000000-0005-0000-0000-0000C1390000}"/>
    <cellStyle name="Normal 2 2 2 2 4 2 23 3" xfId="14786" xr:uid="{00000000-0005-0000-0000-0000C2390000}"/>
    <cellStyle name="Normal 2 2 2 2 4 2 23 4" xfId="14787" xr:uid="{00000000-0005-0000-0000-0000C3390000}"/>
    <cellStyle name="Normal 2 2 2 2 4 2 23 5" xfId="14788" xr:uid="{00000000-0005-0000-0000-0000C4390000}"/>
    <cellStyle name="Normal 2 2 2 2 4 2 23 6" xfId="14789" xr:uid="{00000000-0005-0000-0000-0000C5390000}"/>
    <cellStyle name="Normal 2 2 2 2 4 2 23 7" xfId="14790" xr:uid="{00000000-0005-0000-0000-0000C6390000}"/>
    <cellStyle name="Normal 2 2 2 2 4 2 23 8" xfId="14791" xr:uid="{00000000-0005-0000-0000-0000C7390000}"/>
    <cellStyle name="Normal 2 2 2 2 4 2 23 9" xfId="14792" xr:uid="{00000000-0005-0000-0000-0000C8390000}"/>
    <cellStyle name="Normal 2 2 2 2 4 2 24" xfId="14793" xr:uid="{00000000-0005-0000-0000-0000C9390000}"/>
    <cellStyle name="Normal 2 2 2 2 4 2 24 10" xfId="14794" xr:uid="{00000000-0005-0000-0000-0000CA390000}"/>
    <cellStyle name="Normal 2 2 2 2 4 2 24 2" xfId="14795" xr:uid="{00000000-0005-0000-0000-0000CB390000}"/>
    <cellStyle name="Normal 2 2 2 2 4 2 24 3" xfId="14796" xr:uid="{00000000-0005-0000-0000-0000CC390000}"/>
    <cellStyle name="Normal 2 2 2 2 4 2 24 4" xfId="14797" xr:uid="{00000000-0005-0000-0000-0000CD390000}"/>
    <cellStyle name="Normal 2 2 2 2 4 2 24 5" xfId="14798" xr:uid="{00000000-0005-0000-0000-0000CE390000}"/>
    <cellStyle name="Normal 2 2 2 2 4 2 24 6" xfId="14799" xr:uid="{00000000-0005-0000-0000-0000CF390000}"/>
    <cellStyle name="Normal 2 2 2 2 4 2 24 7" xfId="14800" xr:uid="{00000000-0005-0000-0000-0000D0390000}"/>
    <cellStyle name="Normal 2 2 2 2 4 2 24 8" xfId="14801" xr:uid="{00000000-0005-0000-0000-0000D1390000}"/>
    <cellStyle name="Normal 2 2 2 2 4 2 24 9" xfId="14802" xr:uid="{00000000-0005-0000-0000-0000D2390000}"/>
    <cellStyle name="Normal 2 2 2 2 4 2 25" xfId="14803" xr:uid="{00000000-0005-0000-0000-0000D3390000}"/>
    <cellStyle name="Normal 2 2 2 2 4 2 26" xfId="14804" xr:uid="{00000000-0005-0000-0000-0000D4390000}"/>
    <cellStyle name="Normal 2 2 2 2 4 2 27" xfId="14805" xr:uid="{00000000-0005-0000-0000-0000D5390000}"/>
    <cellStyle name="Normal 2 2 2 2 4 2 28" xfId="14806" xr:uid="{00000000-0005-0000-0000-0000D6390000}"/>
    <cellStyle name="Normal 2 2 2 2 4 2 29" xfId="14807" xr:uid="{00000000-0005-0000-0000-0000D7390000}"/>
    <cellStyle name="Normal 2 2 2 2 4 2 3" xfId="14808" xr:uid="{00000000-0005-0000-0000-0000D8390000}"/>
    <cellStyle name="Normal 2 2 2 2 4 2 30" xfId="14809" xr:uid="{00000000-0005-0000-0000-0000D9390000}"/>
    <cellStyle name="Normal 2 2 2 2 4 2 31" xfId="14810" xr:uid="{00000000-0005-0000-0000-0000DA390000}"/>
    <cellStyle name="Normal 2 2 2 2 4 2 32" xfId="14811" xr:uid="{00000000-0005-0000-0000-0000DB390000}"/>
    <cellStyle name="Normal 2 2 2 2 4 2 33" xfId="14812" xr:uid="{00000000-0005-0000-0000-0000DC390000}"/>
    <cellStyle name="Normal 2 2 2 2 4 2 34" xfId="14813" xr:uid="{00000000-0005-0000-0000-0000DD390000}"/>
    <cellStyle name="Normal 2 2 2 2 4 2 35" xfId="14814" xr:uid="{00000000-0005-0000-0000-0000DE390000}"/>
    <cellStyle name="Normal 2 2 2 2 4 2 4" xfId="14815" xr:uid="{00000000-0005-0000-0000-0000DF390000}"/>
    <cellStyle name="Normal 2 2 2 2 4 2 5" xfId="14816" xr:uid="{00000000-0005-0000-0000-0000E0390000}"/>
    <cellStyle name="Normal 2 2 2 2 4 2 6" xfId="14817" xr:uid="{00000000-0005-0000-0000-0000E1390000}"/>
    <cellStyle name="Normal 2 2 2 2 4 2 7" xfId="14818" xr:uid="{00000000-0005-0000-0000-0000E2390000}"/>
    <cellStyle name="Normal 2 2 2 2 4 2 8" xfId="14819" xr:uid="{00000000-0005-0000-0000-0000E3390000}"/>
    <cellStyle name="Normal 2 2 2 2 4 2 9" xfId="14820" xr:uid="{00000000-0005-0000-0000-0000E4390000}"/>
    <cellStyle name="Normal 2 2 2 2 4 20" xfId="14821" xr:uid="{00000000-0005-0000-0000-0000E5390000}"/>
    <cellStyle name="Normal 2 2 2 2 4 20 10" xfId="14822" xr:uid="{00000000-0005-0000-0000-0000E6390000}"/>
    <cellStyle name="Normal 2 2 2 2 4 20 11" xfId="14823" xr:uid="{00000000-0005-0000-0000-0000E7390000}"/>
    <cellStyle name="Normal 2 2 2 2 4 20 12" xfId="14824" xr:uid="{00000000-0005-0000-0000-0000E8390000}"/>
    <cellStyle name="Normal 2 2 2 2 4 20 13" xfId="14825" xr:uid="{00000000-0005-0000-0000-0000E9390000}"/>
    <cellStyle name="Normal 2 2 2 2 4 20 14" xfId="14826" xr:uid="{00000000-0005-0000-0000-0000EA390000}"/>
    <cellStyle name="Normal 2 2 2 2 4 20 2" xfId="14827" xr:uid="{00000000-0005-0000-0000-0000EB390000}"/>
    <cellStyle name="Normal 2 2 2 2 4 20 2 10" xfId="14828" xr:uid="{00000000-0005-0000-0000-0000EC390000}"/>
    <cellStyle name="Normal 2 2 2 2 4 20 2 2" xfId="14829" xr:uid="{00000000-0005-0000-0000-0000ED390000}"/>
    <cellStyle name="Normal 2 2 2 2 4 20 2 3" xfId="14830" xr:uid="{00000000-0005-0000-0000-0000EE390000}"/>
    <cellStyle name="Normal 2 2 2 2 4 20 2 4" xfId="14831" xr:uid="{00000000-0005-0000-0000-0000EF390000}"/>
    <cellStyle name="Normal 2 2 2 2 4 20 2 5" xfId="14832" xr:uid="{00000000-0005-0000-0000-0000F0390000}"/>
    <cellStyle name="Normal 2 2 2 2 4 20 2 6" xfId="14833" xr:uid="{00000000-0005-0000-0000-0000F1390000}"/>
    <cellStyle name="Normal 2 2 2 2 4 20 2 7" xfId="14834" xr:uid="{00000000-0005-0000-0000-0000F2390000}"/>
    <cellStyle name="Normal 2 2 2 2 4 20 2 8" xfId="14835" xr:uid="{00000000-0005-0000-0000-0000F3390000}"/>
    <cellStyle name="Normal 2 2 2 2 4 20 2 9" xfId="14836" xr:uid="{00000000-0005-0000-0000-0000F4390000}"/>
    <cellStyle name="Normal 2 2 2 2 4 20 3" xfId="14837" xr:uid="{00000000-0005-0000-0000-0000F5390000}"/>
    <cellStyle name="Normal 2 2 2 2 4 20 3 10" xfId="14838" xr:uid="{00000000-0005-0000-0000-0000F6390000}"/>
    <cellStyle name="Normal 2 2 2 2 4 20 3 2" xfId="14839" xr:uid="{00000000-0005-0000-0000-0000F7390000}"/>
    <cellStyle name="Normal 2 2 2 2 4 20 3 3" xfId="14840" xr:uid="{00000000-0005-0000-0000-0000F8390000}"/>
    <cellStyle name="Normal 2 2 2 2 4 20 3 4" xfId="14841" xr:uid="{00000000-0005-0000-0000-0000F9390000}"/>
    <cellStyle name="Normal 2 2 2 2 4 20 3 5" xfId="14842" xr:uid="{00000000-0005-0000-0000-0000FA390000}"/>
    <cellStyle name="Normal 2 2 2 2 4 20 3 6" xfId="14843" xr:uid="{00000000-0005-0000-0000-0000FB390000}"/>
    <cellStyle name="Normal 2 2 2 2 4 20 3 7" xfId="14844" xr:uid="{00000000-0005-0000-0000-0000FC390000}"/>
    <cellStyle name="Normal 2 2 2 2 4 20 3 8" xfId="14845" xr:uid="{00000000-0005-0000-0000-0000FD390000}"/>
    <cellStyle name="Normal 2 2 2 2 4 20 3 9" xfId="14846" xr:uid="{00000000-0005-0000-0000-0000FE390000}"/>
    <cellStyle name="Normal 2 2 2 2 4 20 4" xfId="14847" xr:uid="{00000000-0005-0000-0000-0000FF390000}"/>
    <cellStyle name="Normal 2 2 2 2 4 20 4 10" xfId="14848" xr:uid="{00000000-0005-0000-0000-0000003A0000}"/>
    <cellStyle name="Normal 2 2 2 2 4 20 4 2" xfId="14849" xr:uid="{00000000-0005-0000-0000-0000013A0000}"/>
    <cellStyle name="Normal 2 2 2 2 4 20 4 3" xfId="14850" xr:uid="{00000000-0005-0000-0000-0000023A0000}"/>
    <cellStyle name="Normal 2 2 2 2 4 20 4 4" xfId="14851" xr:uid="{00000000-0005-0000-0000-0000033A0000}"/>
    <cellStyle name="Normal 2 2 2 2 4 20 4 5" xfId="14852" xr:uid="{00000000-0005-0000-0000-0000043A0000}"/>
    <cellStyle name="Normal 2 2 2 2 4 20 4 6" xfId="14853" xr:uid="{00000000-0005-0000-0000-0000053A0000}"/>
    <cellStyle name="Normal 2 2 2 2 4 20 4 7" xfId="14854" xr:uid="{00000000-0005-0000-0000-0000063A0000}"/>
    <cellStyle name="Normal 2 2 2 2 4 20 4 8" xfId="14855" xr:uid="{00000000-0005-0000-0000-0000073A0000}"/>
    <cellStyle name="Normal 2 2 2 2 4 20 4 9" xfId="14856" xr:uid="{00000000-0005-0000-0000-0000083A0000}"/>
    <cellStyle name="Normal 2 2 2 2 4 20 5" xfId="14857" xr:uid="{00000000-0005-0000-0000-0000093A0000}"/>
    <cellStyle name="Normal 2 2 2 2 4 20 5 10" xfId="14858" xr:uid="{00000000-0005-0000-0000-00000A3A0000}"/>
    <cellStyle name="Normal 2 2 2 2 4 20 5 2" xfId="14859" xr:uid="{00000000-0005-0000-0000-00000B3A0000}"/>
    <cellStyle name="Normal 2 2 2 2 4 20 5 3" xfId="14860" xr:uid="{00000000-0005-0000-0000-00000C3A0000}"/>
    <cellStyle name="Normal 2 2 2 2 4 20 5 4" xfId="14861" xr:uid="{00000000-0005-0000-0000-00000D3A0000}"/>
    <cellStyle name="Normal 2 2 2 2 4 20 5 5" xfId="14862" xr:uid="{00000000-0005-0000-0000-00000E3A0000}"/>
    <cellStyle name="Normal 2 2 2 2 4 20 5 6" xfId="14863" xr:uid="{00000000-0005-0000-0000-00000F3A0000}"/>
    <cellStyle name="Normal 2 2 2 2 4 20 5 7" xfId="14864" xr:uid="{00000000-0005-0000-0000-0000103A0000}"/>
    <cellStyle name="Normal 2 2 2 2 4 20 5 8" xfId="14865" xr:uid="{00000000-0005-0000-0000-0000113A0000}"/>
    <cellStyle name="Normal 2 2 2 2 4 20 5 9" xfId="14866" xr:uid="{00000000-0005-0000-0000-0000123A0000}"/>
    <cellStyle name="Normal 2 2 2 2 4 20 6" xfId="14867" xr:uid="{00000000-0005-0000-0000-0000133A0000}"/>
    <cellStyle name="Normal 2 2 2 2 4 20 7" xfId="14868" xr:uid="{00000000-0005-0000-0000-0000143A0000}"/>
    <cellStyle name="Normal 2 2 2 2 4 20 8" xfId="14869" xr:uid="{00000000-0005-0000-0000-0000153A0000}"/>
    <cellStyle name="Normal 2 2 2 2 4 20 9" xfId="14870" xr:uid="{00000000-0005-0000-0000-0000163A0000}"/>
    <cellStyle name="Normal 2 2 2 2 4 21" xfId="14871" xr:uid="{00000000-0005-0000-0000-0000173A0000}"/>
    <cellStyle name="Normal 2 2 2 2 4 21 10" xfId="14872" xr:uid="{00000000-0005-0000-0000-0000183A0000}"/>
    <cellStyle name="Normal 2 2 2 2 4 21 11" xfId="14873" xr:uid="{00000000-0005-0000-0000-0000193A0000}"/>
    <cellStyle name="Normal 2 2 2 2 4 21 12" xfId="14874" xr:uid="{00000000-0005-0000-0000-00001A3A0000}"/>
    <cellStyle name="Normal 2 2 2 2 4 21 13" xfId="14875" xr:uid="{00000000-0005-0000-0000-00001B3A0000}"/>
    <cellStyle name="Normal 2 2 2 2 4 21 14" xfId="14876" xr:uid="{00000000-0005-0000-0000-00001C3A0000}"/>
    <cellStyle name="Normal 2 2 2 2 4 21 2" xfId="14877" xr:uid="{00000000-0005-0000-0000-00001D3A0000}"/>
    <cellStyle name="Normal 2 2 2 2 4 21 2 10" xfId="14878" xr:uid="{00000000-0005-0000-0000-00001E3A0000}"/>
    <cellStyle name="Normal 2 2 2 2 4 21 2 2" xfId="14879" xr:uid="{00000000-0005-0000-0000-00001F3A0000}"/>
    <cellStyle name="Normal 2 2 2 2 4 21 2 3" xfId="14880" xr:uid="{00000000-0005-0000-0000-0000203A0000}"/>
    <cellStyle name="Normal 2 2 2 2 4 21 2 4" xfId="14881" xr:uid="{00000000-0005-0000-0000-0000213A0000}"/>
    <cellStyle name="Normal 2 2 2 2 4 21 2 5" xfId="14882" xr:uid="{00000000-0005-0000-0000-0000223A0000}"/>
    <cellStyle name="Normal 2 2 2 2 4 21 2 6" xfId="14883" xr:uid="{00000000-0005-0000-0000-0000233A0000}"/>
    <cellStyle name="Normal 2 2 2 2 4 21 2 7" xfId="14884" xr:uid="{00000000-0005-0000-0000-0000243A0000}"/>
    <cellStyle name="Normal 2 2 2 2 4 21 2 8" xfId="14885" xr:uid="{00000000-0005-0000-0000-0000253A0000}"/>
    <cellStyle name="Normal 2 2 2 2 4 21 2 9" xfId="14886" xr:uid="{00000000-0005-0000-0000-0000263A0000}"/>
    <cellStyle name="Normal 2 2 2 2 4 21 3" xfId="14887" xr:uid="{00000000-0005-0000-0000-0000273A0000}"/>
    <cellStyle name="Normal 2 2 2 2 4 21 3 10" xfId="14888" xr:uid="{00000000-0005-0000-0000-0000283A0000}"/>
    <cellStyle name="Normal 2 2 2 2 4 21 3 2" xfId="14889" xr:uid="{00000000-0005-0000-0000-0000293A0000}"/>
    <cellStyle name="Normal 2 2 2 2 4 21 3 3" xfId="14890" xr:uid="{00000000-0005-0000-0000-00002A3A0000}"/>
    <cellStyle name="Normal 2 2 2 2 4 21 3 4" xfId="14891" xr:uid="{00000000-0005-0000-0000-00002B3A0000}"/>
    <cellStyle name="Normal 2 2 2 2 4 21 3 5" xfId="14892" xr:uid="{00000000-0005-0000-0000-00002C3A0000}"/>
    <cellStyle name="Normal 2 2 2 2 4 21 3 6" xfId="14893" xr:uid="{00000000-0005-0000-0000-00002D3A0000}"/>
    <cellStyle name="Normal 2 2 2 2 4 21 3 7" xfId="14894" xr:uid="{00000000-0005-0000-0000-00002E3A0000}"/>
    <cellStyle name="Normal 2 2 2 2 4 21 3 8" xfId="14895" xr:uid="{00000000-0005-0000-0000-00002F3A0000}"/>
    <cellStyle name="Normal 2 2 2 2 4 21 3 9" xfId="14896" xr:uid="{00000000-0005-0000-0000-0000303A0000}"/>
    <cellStyle name="Normal 2 2 2 2 4 21 4" xfId="14897" xr:uid="{00000000-0005-0000-0000-0000313A0000}"/>
    <cellStyle name="Normal 2 2 2 2 4 21 4 10" xfId="14898" xr:uid="{00000000-0005-0000-0000-0000323A0000}"/>
    <cellStyle name="Normal 2 2 2 2 4 21 4 2" xfId="14899" xr:uid="{00000000-0005-0000-0000-0000333A0000}"/>
    <cellStyle name="Normal 2 2 2 2 4 21 4 3" xfId="14900" xr:uid="{00000000-0005-0000-0000-0000343A0000}"/>
    <cellStyle name="Normal 2 2 2 2 4 21 4 4" xfId="14901" xr:uid="{00000000-0005-0000-0000-0000353A0000}"/>
    <cellStyle name="Normal 2 2 2 2 4 21 4 5" xfId="14902" xr:uid="{00000000-0005-0000-0000-0000363A0000}"/>
    <cellStyle name="Normal 2 2 2 2 4 21 4 6" xfId="14903" xr:uid="{00000000-0005-0000-0000-0000373A0000}"/>
    <cellStyle name="Normal 2 2 2 2 4 21 4 7" xfId="14904" xr:uid="{00000000-0005-0000-0000-0000383A0000}"/>
    <cellStyle name="Normal 2 2 2 2 4 21 4 8" xfId="14905" xr:uid="{00000000-0005-0000-0000-0000393A0000}"/>
    <cellStyle name="Normal 2 2 2 2 4 21 4 9" xfId="14906" xr:uid="{00000000-0005-0000-0000-00003A3A0000}"/>
    <cellStyle name="Normal 2 2 2 2 4 21 5" xfId="14907" xr:uid="{00000000-0005-0000-0000-00003B3A0000}"/>
    <cellStyle name="Normal 2 2 2 2 4 21 5 10" xfId="14908" xr:uid="{00000000-0005-0000-0000-00003C3A0000}"/>
    <cellStyle name="Normal 2 2 2 2 4 21 5 2" xfId="14909" xr:uid="{00000000-0005-0000-0000-00003D3A0000}"/>
    <cellStyle name="Normal 2 2 2 2 4 21 5 3" xfId="14910" xr:uid="{00000000-0005-0000-0000-00003E3A0000}"/>
    <cellStyle name="Normal 2 2 2 2 4 21 5 4" xfId="14911" xr:uid="{00000000-0005-0000-0000-00003F3A0000}"/>
    <cellStyle name="Normal 2 2 2 2 4 21 5 5" xfId="14912" xr:uid="{00000000-0005-0000-0000-0000403A0000}"/>
    <cellStyle name="Normal 2 2 2 2 4 21 5 6" xfId="14913" xr:uid="{00000000-0005-0000-0000-0000413A0000}"/>
    <cellStyle name="Normal 2 2 2 2 4 21 5 7" xfId="14914" xr:uid="{00000000-0005-0000-0000-0000423A0000}"/>
    <cellStyle name="Normal 2 2 2 2 4 21 5 8" xfId="14915" xr:uid="{00000000-0005-0000-0000-0000433A0000}"/>
    <cellStyle name="Normal 2 2 2 2 4 21 5 9" xfId="14916" xr:uid="{00000000-0005-0000-0000-0000443A0000}"/>
    <cellStyle name="Normal 2 2 2 2 4 21 6" xfId="14917" xr:uid="{00000000-0005-0000-0000-0000453A0000}"/>
    <cellStyle name="Normal 2 2 2 2 4 21 7" xfId="14918" xr:uid="{00000000-0005-0000-0000-0000463A0000}"/>
    <cellStyle name="Normal 2 2 2 2 4 21 8" xfId="14919" xr:uid="{00000000-0005-0000-0000-0000473A0000}"/>
    <cellStyle name="Normal 2 2 2 2 4 21 9" xfId="14920" xr:uid="{00000000-0005-0000-0000-0000483A0000}"/>
    <cellStyle name="Normal 2 2 2 2 4 22" xfId="14921" xr:uid="{00000000-0005-0000-0000-0000493A0000}"/>
    <cellStyle name="Normal 2 2 2 2 4 22 10" xfId="14922" xr:uid="{00000000-0005-0000-0000-00004A3A0000}"/>
    <cellStyle name="Normal 2 2 2 2 4 22 11" xfId="14923" xr:uid="{00000000-0005-0000-0000-00004B3A0000}"/>
    <cellStyle name="Normal 2 2 2 2 4 22 12" xfId="14924" xr:uid="{00000000-0005-0000-0000-00004C3A0000}"/>
    <cellStyle name="Normal 2 2 2 2 4 22 13" xfId="14925" xr:uid="{00000000-0005-0000-0000-00004D3A0000}"/>
    <cellStyle name="Normal 2 2 2 2 4 22 14" xfId="14926" xr:uid="{00000000-0005-0000-0000-00004E3A0000}"/>
    <cellStyle name="Normal 2 2 2 2 4 22 2" xfId="14927" xr:uid="{00000000-0005-0000-0000-00004F3A0000}"/>
    <cellStyle name="Normal 2 2 2 2 4 22 2 10" xfId="14928" xr:uid="{00000000-0005-0000-0000-0000503A0000}"/>
    <cellStyle name="Normal 2 2 2 2 4 22 2 2" xfId="14929" xr:uid="{00000000-0005-0000-0000-0000513A0000}"/>
    <cellStyle name="Normal 2 2 2 2 4 22 2 3" xfId="14930" xr:uid="{00000000-0005-0000-0000-0000523A0000}"/>
    <cellStyle name="Normal 2 2 2 2 4 22 2 4" xfId="14931" xr:uid="{00000000-0005-0000-0000-0000533A0000}"/>
    <cellStyle name="Normal 2 2 2 2 4 22 2 5" xfId="14932" xr:uid="{00000000-0005-0000-0000-0000543A0000}"/>
    <cellStyle name="Normal 2 2 2 2 4 22 2 6" xfId="14933" xr:uid="{00000000-0005-0000-0000-0000553A0000}"/>
    <cellStyle name="Normal 2 2 2 2 4 22 2 7" xfId="14934" xr:uid="{00000000-0005-0000-0000-0000563A0000}"/>
    <cellStyle name="Normal 2 2 2 2 4 22 2 8" xfId="14935" xr:uid="{00000000-0005-0000-0000-0000573A0000}"/>
    <cellStyle name="Normal 2 2 2 2 4 22 2 9" xfId="14936" xr:uid="{00000000-0005-0000-0000-0000583A0000}"/>
    <cellStyle name="Normal 2 2 2 2 4 22 3" xfId="14937" xr:uid="{00000000-0005-0000-0000-0000593A0000}"/>
    <cellStyle name="Normal 2 2 2 2 4 22 3 10" xfId="14938" xr:uid="{00000000-0005-0000-0000-00005A3A0000}"/>
    <cellStyle name="Normal 2 2 2 2 4 22 3 2" xfId="14939" xr:uid="{00000000-0005-0000-0000-00005B3A0000}"/>
    <cellStyle name="Normal 2 2 2 2 4 22 3 3" xfId="14940" xr:uid="{00000000-0005-0000-0000-00005C3A0000}"/>
    <cellStyle name="Normal 2 2 2 2 4 22 3 4" xfId="14941" xr:uid="{00000000-0005-0000-0000-00005D3A0000}"/>
    <cellStyle name="Normal 2 2 2 2 4 22 3 5" xfId="14942" xr:uid="{00000000-0005-0000-0000-00005E3A0000}"/>
    <cellStyle name="Normal 2 2 2 2 4 22 3 6" xfId="14943" xr:uid="{00000000-0005-0000-0000-00005F3A0000}"/>
    <cellStyle name="Normal 2 2 2 2 4 22 3 7" xfId="14944" xr:uid="{00000000-0005-0000-0000-0000603A0000}"/>
    <cellStyle name="Normal 2 2 2 2 4 22 3 8" xfId="14945" xr:uid="{00000000-0005-0000-0000-0000613A0000}"/>
    <cellStyle name="Normal 2 2 2 2 4 22 3 9" xfId="14946" xr:uid="{00000000-0005-0000-0000-0000623A0000}"/>
    <cellStyle name="Normal 2 2 2 2 4 22 4" xfId="14947" xr:uid="{00000000-0005-0000-0000-0000633A0000}"/>
    <cellStyle name="Normal 2 2 2 2 4 22 4 10" xfId="14948" xr:uid="{00000000-0005-0000-0000-0000643A0000}"/>
    <cellStyle name="Normal 2 2 2 2 4 22 4 2" xfId="14949" xr:uid="{00000000-0005-0000-0000-0000653A0000}"/>
    <cellStyle name="Normal 2 2 2 2 4 22 4 3" xfId="14950" xr:uid="{00000000-0005-0000-0000-0000663A0000}"/>
    <cellStyle name="Normal 2 2 2 2 4 22 4 4" xfId="14951" xr:uid="{00000000-0005-0000-0000-0000673A0000}"/>
    <cellStyle name="Normal 2 2 2 2 4 22 4 5" xfId="14952" xr:uid="{00000000-0005-0000-0000-0000683A0000}"/>
    <cellStyle name="Normal 2 2 2 2 4 22 4 6" xfId="14953" xr:uid="{00000000-0005-0000-0000-0000693A0000}"/>
    <cellStyle name="Normal 2 2 2 2 4 22 4 7" xfId="14954" xr:uid="{00000000-0005-0000-0000-00006A3A0000}"/>
    <cellStyle name="Normal 2 2 2 2 4 22 4 8" xfId="14955" xr:uid="{00000000-0005-0000-0000-00006B3A0000}"/>
    <cellStyle name="Normal 2 2 2 2 4 22 4 9" xfId="14956" xr:uid="{00000000-0005-0000-0000-00006C3A0000}"/>
    <cellStyle name="Normal 2 2 2 2 4 22 5" xfId="14957" xr:uid="{00000000-0005-0000-0000-00006D3A0000}"/>
    <cellStyle name="Normal 2 2 2 2 4 22 5 10" xfId="14958" xr:uid="{00000000-0005-0000-0000-00006E3A0000}"/>
    <cellStyle name="Normal 2 2 2 2 4 22 5 2" xfId="14959" xr:uid="{00000000-0005-0000-0000-00006F3A0000}"/>
    <cellStyle name="Normal 2 2 2 2 4 22 5 3" xfId="14960" xr:uid="{00000000-0005-0000-0000-0000703A0000}"/>
    <cellStyle name="Normal 2 2 2 2 4 22 5 4" xfId="14961" xr:uid="{00000000-0005-0000-0000-0000713A0000}"/>
    <cellStyle name="Normal 2 2 2 2 4 22 5 5" xfId="14962" xr:uid="{00000000-0005-0000-0000-0000723A0000}"/>
    <cellStyle name="Normal 2 2 2 2 4 22 5 6" xfId="14963" xr:uid="{00000000-0005-0000-0000-0000733A0000}"/>
    <cellStyle name="Normal 2 2 2 2 4 22 5 7" xfId="14964" xr:uid="{00000000-0005-0000-0000-0000743A0000}"/>
    <cellStyle name="Normal 2 2 2 2 4 22 5 8" xfId="14965" xr:uid="{00000000-0005-0000-0000-0000753A0000}"/>
    <cellStyle name="Normal 2 2 2 2 4 22 5 9" xfId="14966" xr:uid="{00000000-0005-0000-0000-0000763A0000}"/>
    <cellStyle name="Normal 2 2 2 2 4 22 6" xfId="14967" xr:uid="{00000000-0005-0000-0000-0000773A0000}"/>
    <cellStyle name="Normal 2 2 2 2 4 22 7" xfId="14968" xr:uid="{00000000-0005-0000-0000-0000783A0000}"/>
    <cellStyle name="Normal 2 2 2 2 4 22 8" xfId="14969" xr:uid="{00000000-0005-0000-0000-0000793A0000}"/>
    <cellStyle name="Normal 2 2 2 2 4 22 9" xfId="14970" xr:uid="{00000000-0005-0000-0000-00007A3A0000}"/>
    <cellStyle name="Normal 2 2 2 2 4 23" xfId="14971" xr:uid="{00000000-0005-0000-0000-00007B3A0000}"/>
    <cellStyle name="Normal 2 2 2 2 4 23 10" xfId="14972" xr:uid="{00000000-0005-0000-0000-00007C3A0000}"/>
    <cellStyle name="Normal 2 2 2 2 4 23 11" xfId="14973" xr:uid="{00000000-0005-0000-0000-00007D3A0000}"/>
    <cellStyle name="Normal 2 2 2 2 4 23 12" xfId="14974" xr:uid="{00000000-0005-0000-0000-00007E3A0000}"/>
    <cellStyle name="Normal 2 2 2 2 4 23 13" xfId="14975" xr:uid="{00000000-0005-0000-0000-00007F3A0000}"/>
    <cellStyle name="Normal 2 2 2 2 4 23 14" xfId="14976" xr:uid="{00000000-0005-0000-0000-0000803A0000}"/>
    <cellStyle name="Normal 2 2 2 2 4 23 2" xfId="14977" xr:uid="{00000000-0005-0000-0000-0000813A0000}"/>
    <cellStyle name="Normal 2 2 2 2 4 23 2 10" xfId="14978" xr:uid="{00000000-0005-0000-0000-0000823A0000}"/>
    <cellStyle name="Normal 2 2 2 2 4 23 2 2" xfId="14979" xr:uid="{00000000-0005-0000-0000-0000833A0000}"/>
    <cellStyle name="Normal 2 2 2 2 4 23 2 3" xfId="14980" xr:uid="{00000000-0005-0000-0000-0000843A0000}"/>
    <cellStyle name="Normal 2 2 2 2 4 23 2 4" xfId="14981" xr:uid="{00000000-0005-0000-0000-0000853A0000}"/>
    <cellStyle name="Normal 2 2 2 2 4 23 2 5" xfId="14982" xr:uid="{00000000-0005-0000-0000-0000863A0000}"/>
    <cellStyle name="Normal 2 2 2 2 4 23 2 6" xfId="14983" xr:uid="{00000000-0005-0000-0000-0000873A0000}"/>
    <cellStyle name="Normal 2 2 2 2 4 23 2 7" xfId="14984" xr:uid="{00000000-0005-0000-0000-0000883A0000}"/>
    <cellStyle name="Normal 2 2 2 2 4 23 2 8" xfId="14985" xr:uid="{00000000-0005-0000-0000-0000893A0000}"/>
    <cellStyle name="Normal 2 2 2 2 4 23 2 9" xfId="14986" xr:uid="{00000000-0005-0000-0000-00008A3A0000}"/>
    <cellStyle name="Normal 2 2 2 2 4 23 3" xfId="14987" xr:uid="{00000000-0005-0000-0000-00008B3A0000}"/>
    <cellStyle name="Normal 2 2 2 2 4 23 3 10" xfId="14988" xr:uid="{00000000-0005-0000-0000-00008C3A0000}"/>
    <cellStyle name="Normal 2 2 2 2 4 23 3 2" xfId="14989" xr:uid="{00000000-0005-0000-0000-00008D3A0000}"/>
    <cellStyle name="Normal 2 2 2 2 4 23 3 3" xfId="14990" xr:uid="{00000000-0005-0000-0000-00008E3A0000}"/>
    <cellStyle name="Normal 2 2 2 2 4 23 3 4" xfId="14991" xr:uid="{00000000-0005-0000-0000-00008F3A0000}"/>
    <cellStyle name="Normal 2 2 2 2 4 23 3 5" xfId="14992" xr:uid="{00000000-0005-0000-0000-0000903A0000}"/>
    <cellStyle name="Normal 2 2 2 2 4 23 3 6" xfId="14993" xr:uid="{00000000-0005-0000-0000-0000913A0000}"/>
    <cellStyle name="Normal 2 2 2 2 4 23 3 7" xfId="14994" xr:uid="{00000000-0005-0000-0000-0000923A0000}"/>
    <cellStyle name="Normal 2 2 2 2 4 23 3 8" xfId="14995" xr:uid="{00000000-0005-0000-0000-0000933A0000}"/>
    <cellStyle name="Normal 2 2 2 2 4 23 3 9" xfId="14996" xr:uid="{00000000-0005-0000-0000-0000943A0000}"/>
    <cellStyle name="Normal 2 2 2 2 4 23 4" xfId="14997" xr:uid="{00000000-0005-0000-0000-0000953A0000}"/>
    <cellStyle name="Normal 2 2 2 2 4 23 4 10" xfId="14998" xr:uid="{00000000-0005-0000-0000-0000963A0000}"/>
    <cellStyle name="Normal 2 2 2 2 4 23 4 2" xfId="14999" xr:uid="{00000000-0005-0000-0000-0000973A0000}"/>
    <cellStyle name="Normal 2 2 2 2 4 23 4 3" xfId="15000" xr:uid="{00000000-0005-0000-0000-0000983A0000}"/>
    <cellStyle name="Normal 2 2 2 2 4 23 4 4" xfId="15001" xr:uid="{00000000-0005-0000-0000-0000993A0000}"/>
    <cellStyle name="Normal 2 2 2 2 4 23 4 5" xfId="15002" xr:uid="{00000000-0005-0000-0000-00009A3A0000}"/>
    <cellStyle name="Normal 2 2 2 2 4 23 4 6" xfId="15003" xr:uid="{00000000-0005-0000-0000-00009B3A0000}"/>
    <cellStyle name="Normal 2 2 2 2 4 23 4 7" xfId="15004" xr:uid="{00000000-0005-0000-0000-00009C3A0000}"/>
    <cellStyle name="Normal 2 2 2 2 4 23 4 8" xfId="15005" xr:uid="{00000000-0005-0000-0000-00009D3A0000}"/>
    <cellStyle name="Normal 2 2 2 2 4 23 4 9" xfId="15006" xr:uid="{00000000-0005-0000-0000-00009E3A0000}"/>
    <cellStyle name="Normal 2 2 2 2 4 23 5" xfId="15007" xr:uid="{00000000-0005-0000-0000-00009F3A0000}"/>
    <cellStyle name="Normal 2 2 2 2 4 23 5 10" xfId="15008" xr:uid="{00000000-0005-0000-0000-0000A03A0000}"/>
    <cellStyle name="Normal 2 2 2 2 4 23 5 2" xfId="15009" xr:uid="{00000000-0005-0000-0000-0000A13A0000}"/>
    <cellStyle name="Normal 2 2 2 2 4 23 5 3" xfId="15010" xr:uid="{00000000-0005-0000-0000-0000A23A0000}"/>
    <cellStyle name="Normal 2 2 2 2 4 23 5 4" xfId="15011" xr:uid="{00000000-0005-0000-0000-0000A33A0000}"/>
    <cellStyle name="Normal 2 2 2 2 4 23 5 5" xfId="15012" xr:uid="{00000000-0005-0000-0000-0000A43A0000}"/>
    <cellStyle name="Normal 2 2 2 2 4 23 5 6" xfId="15013" xr:uid="{00000000-0005-0000-0000-0000A53A0000}"/>
    <cellStyle name="Normal 2 2 2 2 4 23 5 7" xfId="15014" xr:uid="{00000000-0005-0000-0000-0000A63A0000}"/>
    <cellStyle name="Normal 2 2 2 2 4 23 5 8" xfId="15015" xr:uid="{00000000-0005-0000-0000-0000A73A0000}"/>
    <cellStyle name="Normal 2 2 2 2 4 23 5 9" xfId="15016" xr:uid="{00000000-0005-0000-0000-0000A83A0000}"/>
    <cellStyle name="Normal 2 2 2 2 4 23 6" xfId="15017" xr:uid="{00000000-0005-0000-0000-0000A93A0000}"/>
    <cellStyle name="Normal 2 2 2 2 4 23 7" xfId="15018" xr:uid="{00000000-0005-0000-0000-0000AA3A0000}"/>
    <cellStyle name="Normal 2 2 2 2 4 23 8" xfId="15019" xr:uid="{00000000-0005-0000-0000-0000AB3A0000}"/>
    <cellStyle name="Normal 2 2 2 2 4 23 9" xfId="15020" xr:uid="{00000000-0005-0000-0000-0000AC3A0000}"/>
    <cellStyle name="Normal 2 2 2 2 4 24" xfId="15021" xr:uid="{00000000-0005-0000-0000-0000AD3A0000}"/>
    <cellStyle name="Normal 2 2 2 2 4 24 10" xfId="15022" xr:uid="{00000000-0005-0000-0000-0000AE3A0000}"/>
    <cellStyle name="Normal 2 2 2 2 4 24 11" xfId="15023" xr:uid="{00000000-0005-0000-0000-0000AF3A0000}"/>
    <cellStyle name="Normal 2 2 2 2 4 24 12" xfId="15024" xr:uid="{00000000-0005-0000-0000-0000B03A0000}"/>
    <cellStyle name="Normal 2 2 2 2 4 24 13" xfId="15025" xr:uid="{00000000-0005-0000-0000-0000B13A0000}"/>
    <cellStyle name="Normal 2 2 2 2 4 24 14" xfId="15026" xr:uid="{00000000-0005-0000-0000-0000B23A0000}"/>
    <cellStyle name="Normal 2 2 2 2 4 24 2" xfId="15027" xr:uid="{00000000-0005-0000-0000-0000B33A0000}"/>
    <cellStyle name="Normal 2 2 2 2 4 24 2 10" xfId="15028" xr:uid="{00000000-0005-0000-0000-0000B43A0000}"/>
    <cellStyle name="Normal 2 2 2 2 4 24 2 2" xfId="15029" xr:uid="{00000000-0005-0000-0000-0000B53A0000}"/>
    <cellStyle name="Normal 2 2 2 2 4 24 2 3" xfId="15030" xr:uid="{00000000-0005-0000-0000-0000B63A0000}"/>
    <cellStyle name="Normal 2 2 2 2 4 24 2 4" xfId="15031" xr:uid="{00000000-0005-0000-0000-0000B73A0000}"/>
    <cellStyle name="Normal 2 2 2 2 4 24 2 5" xfId="15032" xr:uid="{00000000-0005-0000-0000-0000B83A0000}"/>
    <cellStyle name="Normal 2 2 2 2 4 24 2 6" xfId="15033" xr:uid="{00000000-0005-0000-0000-0000B93A0000}"/>
    <cellStyle name="Normal 2 2 2 2 4 24 2 7" xfId="15034" xr:uid="{00000000-0005-0000-0000-0000BA3A0000}"/>
    <cellStyle name="Normal 2 2 2 2 4 24 2 8" xfId="15035" xr:uid="{00000000-0005-0000-0000-0000BB3A0000}"/>
    <cellStyle name="Normal 2 2 2 2 4 24 2 9" xfId="15036" xr:uid="{00000000-0005-0000-0000-0000BC3A0000}"/>
    <cellStyle name="Normal 2 2 2 2 4 24 3" xfId="15037" xr:uid="{00000000-0005-0000-0000-0000BD3A0000}"/>
    <cellStyle name="Normal 2 2 2 2 4 24 3 10" xfId="15038" xr:uid="{00000000-0005-0000-0000-0000BE3A0000}"/>
    <cellStyle name="Normal 2 2 2 2 4 24 3 2" xfId="15039" xr:uid="{00000000-0005-0000-0000-0000BF3A0000}"/>
    <cellStyle name="Normal 2 2 2 2 4 24 3 3" xfId="15040" xr:uid="{00000000-0005-0000-0000-0000C03A0000}"/>
    <cellStyle name="Normal 2 2 2 2 4 24 3 4" xfId="15041" xr:uid="{00000000-0005-0000-0000-0000C13A0000}"/>
    <cellStyle name="Normal 2 2 2 2 4 24 3 5" xfId="15042" xr:uid="{00000000-0005-0000-0000-0000C23A0000}"/>
    <cellStyle name="Normal 2 2 2 2 4 24 3 6" xfId="15043" xr:uid="{00000000-0005-0000-0000-0000C33A0000}"/>
    <cellStyle name="Normal 2 2 2 2 4 24 3 7" xfId="15044" xr:uid="{00000000-0005-0000-0000-0000C43A0000}"/>
    <cellStyle name="Normal 2 2 2 2 4 24 3 8" xfId="15045" xr:uid="{00000000-0005-0000-0000-0000C53A0000}"/>
    <cellStyle name="Normal 2 2 2 2 4 24 3 9" xfId="15046" xr:uid="{00000000-0005-0000-0000-0000C63A0000}"/>
    <cellStyle name="Normal 2 2 2 2 4 24 4" xfId="15047" xr:uid="{00000000-0005-0000-0000-0000C73A0000}"/>
    <cellStyle name="Normal 2 2 2 2 4 24 4 10" xfId="15048" xr:uid="{00000000-0005-0000-0000-0000C83A0000}"/>
    <cellStyle name="Normal 2 2 2 2 4 24 4 2" xfId="15049" xr:uid="{00000000-0005-0000-0000-0000C93A0000}"/>
    <cellStyle name="Normal 2 2 2 2 4 24 4 3" xfId="15050" xr:uid="{00000000-0005-0000-0000-0000CA3A0000}"/>
    <cellStyle name="Normal 2 2 2 2 4 24 4 4" xfId="15051" xr:uid="{00000000-0005-0000-0000-0000CB3A0000}"/>
    <cellStyle name="Normal 2 2 2 2 4 24 4 5" xfId="15052" xr:uid="{00000000-0005-0000-0000-0000CC3A0000}"/>
    <cellStyle name="Normal 2 2 2 2 4 24 4 6" xfId="15053" xr:uid="{00000000-0005-0000-0000-0000CD3A0000}"/>
    <cellStyle name="Normal 2 2 2 2 4 24 4 7" xfId="15054" xr:uid="{00000000-0005-0000-0000-0000CE3A0000}"/>
    <cellStyle name="Normal 2 2 2 2 4 24 4 8" xfId="15055" xr:uid="{00000000-0005-0000-0000-0000CF3A0000}"/>
    <cellStyle name="Normal 2 2 2 2 4 24 4 9" xfId="15056" xr:uid="{00000000-0005-0000-0000-0000D03A0000}"/>
    <cellStyle name="Normal 2 2 2 2 4 24 5" xfId="15057" xr:uid="{00000000-0005-0000-0000-0000D13A0000}"/>
    <cellStyle name="Normal 2 2 2 2 4 24 5 10" xfId="15058" xr:uid="{00000000-0005-0000-0000-0000D23A0000}"/>
    <cellStyle name="Normal 2 2 2 2 4 24 5 2" xfId="15059" xr:uid="{00000000-0005-0000-0000-0000D33A0000}"/>
    <cellStyle name="Normal 2 2 2 2 4 24 5 3" xfId="15060" xr:uid="{00000000-0005-0000-0000-0000D43A0000}"/>
    <cellStyle name="Normal 2 2 2 2 4 24 5 4" xfId="15061" xr:uid="{00000000-0005-0000-0000-0000D53A0000}"/>
    <cellStyle name="Normal 2 2 2 2 4 24 5 5" xfId="15062" xr:uid="{00000000-0005-0000-0000-0000D63A0000}"/>
    <cellStyle name="Normal 2 2 2 2 4 24 5 6" xfId="15063" xr:uid="{00000000-0005-0000-0000-0000D73A0000}"/>
    <cellStyle name="Normal 2 2 2 2 4 24 5 7" xfId="15064" xr:uid="{00000000-0005-0000-0000-0000D83A0000}"/>
    <cellStyle name="Normal 2 2 2 2 4 24 5 8" xfId="15065" xr:uid="{00000000-0005-0000-0000-0000D93A0000}"/>
    <cellStyle name="Normal 2 2 2 2 4 24 5 9" xfId="15066" xr:uid="{00000000-0005-0000-0000-0000DA3A0000}"/>
    <cellStyle name="Normal 2 2 2 2 4 24 6" xfId="15067" xr:uid="{00000000-0005-0000-0000-0000DB3A0000}"/>
    <cellStyle name="Normal 2 2 2 2 4 24 7" xfId="15068" xr:uid="{00000000-0005-0000-0000-0000DC3A0000}"/>
    <cellStyle name="Normal 2 2 2 2 4 24 8" xfId="15069" xr:uid="{00000000-0005-0000-0000-0000DD3A0000}"/>
    <cellStyle name="Normal 2 2 2 2 4 24 9" xfId="15070" xr:uid="{00000000-0005-0000-0000-0000DE3A0000}"/>
    <cellStyle name="Normal 2 2 2 2 4 25" xfId="15071" xr:uid="{00000000-0005-0000-0000-0000DF3A0000}"/>
    <cellStyle name="Normal 2 2 2 2 4 25 10" xfId="15072" xr:uid="{00000000-0005-0000-0000-0000E03A0000}"/>
    <cellStyle name="Normal 2 2 2 2 4 25 11" xfId="15073" xr:uid="{00000000-0005-0000-0000-0000E13A0000}"/>
    <cellStyle name="Normal 2 2 2 2 4 25 12" xfId="15074" xr:uid="{00000000-0005-0000-0000-0000E23A0000}"/>
    <cellStyle name="Normal 2 2 2 2 4 25 13" xfId="15075" xr:uid="{00000000-0005-0000-0000-0000E33A0000}"/>
    <cellStyle name="Normal 2 2 2 2 4 25 14" xfId="15076" xr:uid="{00000000-0005-0000-0000-0000E43A0000}"/>
    <cellStyle name="Normal 2 2 2 2 4 25 2" xfId="15077" xr:uid="{00000000-0005-0000-0000-0000E53A0000}"/>
    <cellStyle name="Normal 2 2 2 2 4 25 2 10" xfId="15078" xr:uid="{00000000-0005-0000-0000-0000E63A0000}"/>
    <cellStyle name="Normal 2 2 2 2 4 25 2 2" xfId="15079" xr:uid="{00000000-0005-0000-0000-0000E73A0000}"/>
    <cellStyle name="Normal 2 2 2 2 4 25 2 3" xfId="15080" xr:uid="{00000000-0005-0000-0000-0000E83A0000}"/>
    <cellStyle name="Normal 2 2 2 2 4 25 2 4" xfId="15081" xr:uid="{00000000-0005-0000-0000-0000E93A0000}"/>
    <cellStyle name="Normal 2 2 2 2 4 25 2 5" xfId="15082" xr:uid="{00000000-0005-0000-0000-0000EA3A0000}"/>
    <cellStyle name="Normal 2 2 2 2 4 25 2 6" xfId="15083" xr:uid="{00000000-0005-0000-0000-0000EB3A0000}"/>
    <cellStyle name="Normal 2 2 2 2 4 25 2 7" xfId="15084" xr:uid="{00000000-0005-0000-0000-0000EC3A0000}"/>
    <cellStyle name="Normal 2 2 2 2 4 25 2 8" xfId="15085" xr:uid="{00000000-0005-0000-0000-0000ED3A0000}"/>
    <cellStyle name="Normal 2 2 2 2 4 25 2 9" xfId="15086" xr:uid="{00000000-0005-0000-0000-0000EE3A0000}"/>
    <cellStyle name="Normal 2 2 2 2 4 25 3" xfId="15087" xr:uid="{00000000-0005-0000-0000-0000EF3A0000}"/>
    <cellStyle name="Normal 2 2 2 2 4 25 3 10" xfId="15088" xr:uid="{00000000-0005-0000-0000-0000F03A0000}"/>
    <cellStyle name="Normal 2 2 2 2 4 25 3 2" xfId="15089" xr:uid="{00000000-0005-0000-0000-0000F13A0000}"/>
    <cellStyle name="Normal 2 2 2 2 4 25 3 3" xfId="15090" xr:uid="{00000000-0005-0000-0000-0000F23A0000}"/>
    <cellStyle name="Normal 2 2 2 2 4 25 3 4" xfId="15091" xr:uid="{00000000-0005-0000-0000-0000F33A0000}"/>
    <cellStyle name="Normal 2 2 2 2 4 25 3 5" xfId="15092" xr:uid="{00000000-0005-0000-0000-0000F43A0000}"/>
    <cellStyle name="Normal 2 2 2 2 4 25 3 6" xfId="15093" xr:uid="{00000000-0005-0000-0000-0000F53A0000}"/>
    <cellStyle name="Normal 2 2 2 2 4 25 3 7" xfId="15094" xr:uid="{00000000-0005-0000-0000-0000F63A0000}"/>
    <cellStyle name="Normal 2 2 2 2 4 25 3 8" xfId="15095" xr:uid="{00000000-0005-0000-0000-0000F73A0000}"/>
    <cellStyle name="Normal 2 2 2 2 4 25 3 9" xfId="15096" xr:uid="{00000000-0005-0000-0000-0000F83A0000}"/>
    <cellStyle name="Normal 2 2 2 2 4 25 4" xfId="15097" xr:uid="{00000000-0005-0000-0000-0000F93A0000}"/>
    <cellStyle name="Normal 2 2 2 2 4 25 4 10" xfId="15098" xr:uid="{00000000-0005-0000-0000-0000FA3A0000}"/>
    <cellStyle name="Normal 2 2 2 2 4 25 4 2" xfId="15099" xr:uid="{00000000-0005-0000-0000-0000FB3A0000}"/>
    <cellStyle name="Normal 2 2 2 2 4 25 4 3" xfId="15100" xr:uid="{00000000-0005-0000-0000-0000FC3A0000}"/>
    <cellStyle name="Normal 2 2 2 2 4 25 4 4" xfId="15101" xr:uid="{00000000-0005-0000-0000-0000FD3A0000}"/>
    <cellStyle name="Normal 2 2 2 2 4 25 4 5" xfId="15102" xr:uid="{00000000-0005-0000-0000-0000FE3A0000}"/>
    <cellStyle name="Normal 2 2 2 2 4 25 4 6" xfId="15103" xr:uid="{00000000-0005-0000-0000-0000FF3A0000}"/>
    <cellStyle name="Normal 2 2 2 2 4 25 4 7" xfId="15104" xr:uid="{00000000-0005-0000-0000-0000003B0000}"/>
    <cellStyle name="Normal 2 2 2 2 4 25 4 8" xfId="15105" xr:uid="{00000000-0005-0000-0000-0000013B0000}"/>
    <cellStyle name="Normal 2 2 2 2 4 25 4 9" xfId="15106" xr:uid="{00000000-0005-0000-0000-0000023B0000}"/>
    <cellStyle name="Normal 2 2 2 2 4 25 5" xfId="15107" xr:uid="{00000000-0005-0000-0000-0000033B0000}"/>
    <cellStyle name="Normal 2 2 2 2 4 25 5 10" xfId="15108" xr:uid="{00000000-0005-0000-0000-0000043B0000}"/>
    <cellStyle name="Normal 2 2 2 2 4 25 5 2" xfId="15109" xr:uid="{00000000-0005-0000-0000-0000053B0000}"/>
    <cellStyle name="Normal 2 2 2 2 4 25 5 3" xfId="15110" xr:uid="{00000000-0005-0000-0000-0000063B0000}"/>
    <cellStyle name="Normal 2 2 2 2 4 25 5 4" xfId="15111" xr:uid="{00000000-0005-0000-0000-0000073B0000}"/>
    <cellStyle name="Normal 2 2 2 2 4 25 5 5" xfId="15112" xr:uid="{00000000-0005-0000-0000-0000083B0000}"/>
    <cellStyle name="Normal 2 2 2 2 4 25 5 6" xfId="15113" xr:uid="{00000000-0005-0000-0000-0000093B0000}"/>
    <cellStyle name="Normal 2 2 2 2 4 25 5 7" xfId="15114" xr:uid="{00000000-0005-0000-0000-00000A3B0000}"/>
    <cellStyle name="Normal 2 2 2 2 4 25 5 8" xfId="15115" xr:uid="{00000000-0005-0000-0000-00000B3B0000}"/>
    <cellStyle name="Normal 2 2 2 2 4 25 5 9" xfId="15116" xr:uid="{00000000-0005-0000-0000-00000C3B0000}"/>
    <cellStyle name="Normal 2 2 2 2 4 25 6" xfId="15117" xr:uid="{00000000-0005-0000-0000-00000D3B0000}"/>
    <cellStyle name="Normal 2 2 2 2 4 25 7" xfId="15118" xr:uid="{00000000-0005-0000-0000-00000E3B0000}"/>
    <cellStyle name="Normal 2 2 2 2 4 25 8" xfId="15119" xr:uid="{00000000-0005-0000-0000-00000F3B0000}"/>
    <cellStyle name="Normal 2 2 2 2 4 25 9" xfId="15120" xr:uid="{00000000-0005-0000-0000-0000103B0000}"/>
    <cellStyle name="Normal 2 2 2 2 4 26" xfId="15121" xr:uid="{00000000-0005-0000-0000-0000113B0000}"/>
    <cellStyle name="Normal 2 2 2 2 4 26 10" xfId="15122" xr:uid="{00000000-0005-0000-0000-0000123B0000}"/>
    <cellStyle name="Normal 2 2 2 2 4 26 11" xfId="15123" xr:uid="{00000000-0005-0000-0000-0000133B0000}"/>
    <cellStyle name="Normal 2 2 2 2 4 26 12" xfId="15124" xr:uid="{00000000-0005-0000-0000-0000143B0000}"/>
    <cellStyle name="Normal 2 2 2 2 4 26 13" xfId="15125" xr:uid="{00000000-0005-0000-0000-0000153B0000}"/>
    <cellStyle name="Normal 2 2 2 2 4 26 14" xfId="15126" xr:uid="{00000000-0005-0000-0000-0000163B0000}"/>
    <cellStyle name="Normal 2 2 2 2 4 26 2" xfId="15127" xr:uid="{00000000-0005-0000-0000-0000173B0000}"/>
    <cellStyle name="Normal 2 2 2 2 4 26 2 10" xfId="15128" xr:uid="{00000000-0005-0000-0000-0000183B0000}"/>
    <cellStyle name="Normal 2 2 2 2 4 26 2 2" xfId="15129" xr:uid="{00000000-0005-0000-0000-0000193B0000}"/>
    <cellStyle name="Normal 2 2 2 2 4 26 2 3" xfId="15130" xr:uid="{00000000-0005-0000-0000-00001A3B0000}"/>
    <cellStyle name="Normal 2 2 2 2 4 26 2 4" xfId="15131" xr:uid="{00000000-0005-0000-0000-00001B3B0000}"/>
    <cellStyle name="Normal 2 2 2 2 4 26 2 5" xfId="15132" xr:uid="{00000000-0005-0000-0000-00001C3B0000}"/>
    <cellStyle name="Normal 2 2 2 2 4 26 2 6" xfId="15133" xr:uid="{00000000-0005-0000-0000-00001D3B0000}"/>
    <cellStyle name="Normal 2 2 2 2 4 26 2 7" xfId="15134" xr:uid="{00000000-0005-0000-0000-00001E3B0000}"/>
    <cellStyle name="Normal 2 2 2 2 4 26 2 8" xfId="15135" xr:uid="{00000000-0005-0000-0000-00001F3B0000}"/>
    <cellStyle name="Normal 2 2 2 2 4 26 2 9" xfId="15136" xr:uid="{00000000-0005-0000-0000-0000203B0000}"/>
    <cellStyle name="Normal 2 2 2 2 4 26 3" xfId="15137" xr:uid="{00000000-0005-0000-0000-0000213B0000}"/>
    <cellStyle name="Normal 2 2 2 2 4 26 3 10" xfId="15138" xr:uid="{00000000-0005-0000-0000-0000223B0000}"/>
    <cellStyle name="Normal 2 2 2 2 4 26 3 2" xfId="15139" xr:uid="{00000000-0005-0000-0000-0000233B0000}"/>
    <cellStyle name="Normal 2 2 2 2 4 26 3 3" xfId="15140" xr:uid="{00000000-0005-0000-0000-0000243B0000}"/>
    <cellStyle name="Normal 2 2 2 2 4 26 3 4" xfId="15141" xr:uid="{00000000-0005-0000-0000-0000253B0000}"/>
    <cellStyle name="Normal 2 2 2 2 4 26 3 5" xfId="15142" xr:uid="{00000000-0005-0000-0000-0000263B0000}"/>
    <cellStyle name="Normal 2 2 2 2 4 26 3 6" xfId="15143" xr:uid="{00000000-0005-0000-0000-0000273B0000}"/>
    <cellStyle name="Normal 2 2 2 2 4 26 3 7" xfId="15144" xr:uid="{00000000-0005-0000-0000-0000283B0000}"/>
    <cellStyle name="Normal 2 2 2 2 4 26 3 8" xfId="15145" xr:uid="{00000000-0005-0000-0000-0000293B0000}"/>
    <cellStyle name="Normal 2 2 2 2 4 26 3 9" xfId="15146" xr:uid="{00000000-0005-0000-0000-00002A3B0000}"/>
    <cellStyle name="Normal 2 2 2 2 4 26 4" xfId="15147" xr:uid="{00000000-0005-0000-0000-00002B3B0000}"/>
    <cellStyle name="Normal 2 2 2 2 4 26 4 10" xfId="15148" xr:uid="{00000000-0005-0000-0000-00002C3B0000}"/>
    <cellStyle name="Normal 2 2 2 2 4 26 4 2" xfId="15149" xr:uid="{00000000-0005-0000-0000-00002D3B0000}"/>
    <cellStyle name="Normal 2 2 2 2 4 26 4 3" xfId="15150" xr:uid="{00000000-0005-0000-0000-00002E3B0000}"/>
    <cellStyle name="Normal 2 2 2 2 4 26 4 4" xfId="15151" xr:uid="{00000000-0005-0000-0000-00002F3B0000}"/>
    <cellStyle name="Normal 2 2 2 2 4 26 4 5" xfId="15152" xr:uid="{00000000-0005-0000-0000-0000303B0000}"/>
    <cellStyle name="Normal 2 2 2 2 4 26 4 6" xfId="15153" xr:uid="{00000000-0005-0000-0000-0000313B0000}"/>
    <cellStyle name="Normal 2 2 2 2 4 26 4 7" xfId="15154" xr:uid="{00000000-0005-0000-0000-0000323B0000}"/>
    <cellStyle name="Normal 2 2 2 2 4 26 4 8" xfId="15155" xr:uid="{00000000-0005-0000-0000-0000333B0000}"/>
    <cellStyle name="Normal 2 2 2 2 4 26 4 9" xfId="15156" xr:uid="{00000000-0005-0000-0000-0000343B0000}"/>
    <cellStyle name="Normal 2 2 2 2 4 26 5" xfId="15157" xr:uid="{00000000-0005-0000-0000-0000353B0000}"/>
    <cellStyle name="Normal 2 2 2 2 4 26 5 10" xfId="15158" xr:uid="{00000000-0005-0000-0000-0000363B0000}"/>
    <cellStyle name="Normal 2 2 2 2 4 26 5 2" xfId="15159" xr:uid="{00000000-0005-0000-0000-0000373B0000}"/>
    <cellStyle name="Normal 2 2 2 2 4 26 5 3" xfId="15160" xr:uid="{00000000-0005-0000-0000-0000383B0000}"/>
    <cellStyle name="Normal 2 2 2 2 4 26 5 4" xfId="15161" xr:uid="{00000000-0005-0000-0000-0000393B0000}"/>
    <cellStyle name="Normal 2 2 2 2 4 26 5 5" xfId="15162" xr:uid="{00000000-0005-0000-0000-00003A3B0000}"/>
    <cellStyle name="Normal 2 2 2 2 4 26 5 6" xfId="15163" xr:uid="{00000000-0005-0000-0000-00003B3B0000}"/>
    <cellStyle name="Normal 2 2 2 2 4 26 5 7" xfId="15164" xr:uid="{00000000-0005-0000-0000-00003C3B0000}"/>
    <cellStyle name="Normal 2 2 2 2 4 26 5 8" xfId="15165" xr:uid="{00000000-0005-0000-0000-00003D3B0000}"/>
    <cellStyle name="Normal 2 2 2 2 4 26 5 9" xfId="15166" xr:uid="{00000000-0005-0000-0000-00003E3B0000}"/>
    <cellStyle name="Normal 2 2 2 2 4 26 6" xfId="15167" xr:uid="{00000000-0005-0000-0000-00003F3B0000}"/>
    <cellStyle name="Normal 2 2 2 2 4 26 7" xfId="15168" xr:uid="{00000000-0005-0000-0000-0000403B0000}"/>
    <cellStyle name="Normal 2 2 2 2 4 26 8" xfId="15169" xr:uid="{00000000-0005-0000-0000-0000413B0000}"/>
    <cellStyle name="Normal 2 2 2 2 4 26 9" xfId="15170" xr:uid="{00000000-0005-0000-0000-0000423B0000}"/>
    <cellStyle name="Normal 2 2 2 2 4 27" xfId="15171" xr:uid="{00000000-0005-0000-0000-0000433B0000}"/>
    <cellStyle name="Normal 2 2 2 2 4 27 10" xfId="15172" xr:uid="{00000000-0005-0000-0000-0000443B0000}"/>
    <cellStyle name="Normal 2 2 2 2 4 27 11" xfId="15173" xr:uid="{00000000-0005-0000-0000-0000453B0000}"/>
    <cellStyle name="Normal 2 2 2 2 4 27 12" xfId="15174" xr:uid="{00000000-0005-0000-0000-0000463B0000}"/>
    <cellStyle name="Normal 2 2 2 2 4 27 13" xfId="15175" xr:uid="{00000000-0005-0000-0000-0000473B0000}"/>
    <cellStyle name="Normal 2 2 2 2 4 27 14" xfId="15176" xr:uid="{00000000-0005-0000-0000-0000483B0000}"/>
    <cellStyle name="Normal 2 2 2 2 4 27 2" xfId="15177" xr:uid="{00000000-0005-0000-0000-0000493B0000}"/>
    <cellStyle name="Normal 2 2 2 2 4 27 2 10" xfId="15178" xr:uid="{00000000-0005-0000-0000-00004A3B0000}"/>
    <cellStyle name="Normal 2 2 2 2 4 27 2 2" xfId="15179" xr:uid="{00000000-0005-0000-0000-00004B3B0000}"/>
    <cellStyle name="Normal 2 2 2 2 4 27 2 3" xfId="15180" xr:uid="{00000000-0005-0000-0000-00004C3B0000}"/>
    <cellStyle name="Normal 2 2 2 2 4 27 2 4" xfId="15181" xr:uid="{00000000-0005-0000-0000-00004D3B0000}"/>
    <cellStyle name="Normal 2 2 2 2 4 27 2 5" xfId="15182" xr:uid="{00000000-0005-0000-0000-00004E3B0000}"/>
    <cellStyle name="Normal 2 2 2 2 4 27 2 6" xfId="15183" xr:uid="{00000000-0005-0000-0000-00004F3B0000}"/>
    <cellStyle name="Normal 2 2 2 2 4 27 2 7" xfId="15184" xr:uid="{00000000-0005-0000-0000-0000503B0000}"/>
    <cellStyle name="Normal 2 2 2 2 4 27 2 8" xfId="15185" xr:uid="{00000000-0005-0000-0000-0000513B0000}"/>
    <cellStyle name="Normal 2 2 2 2 4 27 2 9" xfId="15186" xr:uid="{00000000-0005-0000-0000-0000523B0000}"/>
    <cellStyle name="Normal 2 2 2 2 4 27 3" xfId="15187" xr:uid="{00000000-0005-0000-0000-0000533B0000}"/>
    <cellStyle name="Normal 2 2 2 2 4 27 3 10" xfId="15188" xr:uid="{00000000-0005-0000-0000-0000543B0000}"/>
    <cellStyle name="Normal 2 2 2 2 4 27 3 2" xfId="15189" xr:uid="{00000000-0005-0000-0000-0000553B0000}"/>
    <cellStyle name="Normal 2 2 2 2 4 27 3 3" xfId="15190" xr:uid="{00000000-0005-0000-0000-0000563B0000}"/>
    <cellStyle name="Normal 2 2 2 2 4 27 3 4" xfId="15191" xr:uid="{00000000-0005-0000-0000-0000573B0000}"/>
    <cellStyle name="Normal 2 2 2 2 4 27 3 5" xfId="15192" xr:uid="{00000000-0005-0000-0000-0000583B0000}"/>
    <cellStyle name="Normal 2 2 2 2 4 27 3 6" xfId="15193" xr:uid="{00000000-0005-0000-0000-0000593B0000}"/>
    <cellStyle name="Normal 2 2 2 2 4 27 3 7" xfId="15194" xr:uid="{00000000-0005-0000-0000-00005A3B0000}"/>
    <cellStyle name="Normal 2 2 2 2 4 27 3 8" xfId="15195" xr:uid="{00000000-0005-0000-0000-00005B3B0000}"/>
    <cellStyle name="Normal 2 2 2 2 4 27 3 9" xfId="15196" xr:uid="{00000000-0005-0000-0000-00005C3B0000}"/>
    <cellStyle name="Normal 2 2 2 2 4 27 4" xfId="15197" xr:uid="{00000000-0005-0000-0000-00005D3B0000}"/>
    <cellStyle name="Normal 2 2 2 2 4 27 4 10" xfId="15198" xr:uid="{00000000-0005-0000-0000-00005E3B0000}"/>
    <cellStyle name="Normal 2 2 2 2 4 27 4 2" xfId="15199" xr:uid="{00000000-0005-0000-0000-00005F3B0000}"/>
    <cellStyle name="Normal 2 2 2 2 4 27 4 3" xfId="15200" xr:uid="{00000000-0005-0000-0000-0000603B0000}"/>
    <cellStyle name="Normal 2 2 2 2 4 27 4 4" xfId="15201" xr:uid="{00000000-0005-0000-0000-0000613B0000}"/>
    <cellStyle name="Normal 2 2 2 2 4 27 4 5" xfId="15202" xr:uid="{00000000-0005-0000-0000-0000623B0000}"/>
    <cellStyle name="Normal 2 2 2 2 4 27 4 6" xfId="15203" xr:uid="{00000000-0005-0000-0000-0000633B0000}"/>
    <cellStyle name="Normal 2 2 2 2 4 27 4 7" xfId="15204" xr:uid="{00000000-0005-0000-0000-0000643B0000}"/>
    <cellStyle name="Normal 2 2 2 2 4 27 4 8" xfId="15205" xr:uid="{00000000-0005-0000-0000-0000653B0000}"/>
    <cellStyle name="Normal 2 2 2 2 4 27 4 9" xfId="15206" xr:uid="{00000000-0005-0000-0000-0000663B0000}"/>
    <cellStyle name="Normal 2 2 2 2 4 27 5" xfId="15207" xr:uid="{00000000-0005-0000-0000-0000673B0000}"/>
    <cellStyle name="Normal 2 2 2 2 4 27 5 10" xfId="15208" xr:uid="{00000000-0005-0000-0000-0000683B0000}"/>
    <cellStyle name="Normal 2 2 2 2 4 27 5 2" xfId="15209" xr:uid="{00000000-0005-0000-0000-0000693B0000}"/>
    <cellStyle name="Normal 2 2 2 2 4 27 5 3" xfId="15210" xr:uid="{00000000-0005-0000-0000-00006A3B0000}"/>
    <cellStyle name="Normal 2 2 2 2 4 27 5 4" xfId="15211" xr:uid="{00000000-0005-0000-0000-00006B3B0000}"/>
    <cellStyle name="Normal 2 2 2 2 4 27 5 5" xfId="15212" xr:uid="{00000000-0005-0000-0000-00006C3B0000}"/>
    <cellStyle name="Normal 2 2 2 2 4 27 5 6" xfId="15213" xr:uid="{00000000-0005-0000-0000-00006D3B0000}"/>
    <cellStyle name="Normal 2 2 2 2 4 27 5 7" xfId="15214" xr:uid="{00000000-0005-0000-0000-00006E3B0000}"/>
    <cellStyle name="Normal 2 2 2 2 4 27 5 8" xfId="15215" xr:uid="{00000000-0005-0000-0000-00006F3B0000}"/>
    <cellStyle name="Normal 2 2 2 2 4 27 5 9" xfId="15216" xr:uid="{00000000-0005-0000-0000-0000703B0000}"/>
    <cellStyle name="Normal 2 2 2 2 4 27 6" xfId="15217" xr:uid="{00000000-0005-0000-0000-0000713B0000}"/>
    <cellStyle name="Normal 2 2 2 2 4 27 7" xfId="15218" xr:uid="{00000000-0005-0000-0000-0000723B0000}"/>
    <cellStyle name="Normal 2 2 2 2 4 27 8" xfId="15219" xr:uid="{00000000-0005-0000-0000-0000733B0000}"/>
    <cellStyle name="Normal 2 2 2 2 4 27 9" xfId="15220" xr:uid="{00000000-0005-0000-0000-0000743B0000}"/>
    <cellStyle name="Normal 2 2 2 2 4 28" xfId="15221" xr:uid="{00000000-0005-0000-0000-0000753B0000}"/>
    <cellStyle name="Normal 2 2 2 2 4 28 10" xfId="15222" xr:uid="{00000000-0005-0000-0000-0000763B0000}"/>
    <cellStyle name="Normal 2 2 2 2 4 28 11" xfId="15223" xr:uid="{00000000-0005-0000-0000-0000773B0000}"/>
    <cellStyle name="Normal 2 2 2 2 4 28 12" xfId="15224" xr:uid="{00000000-0005-0000-0000-0000783B0000}"/>
    <cellStyle name="Normal 2 2 2 2 4 28 13" xfId="15225" xr:uid="{00000000-0005-0000-0000-0000793B0000}"/>
    <cellStyle name="Normal 2 2 2 2 4 28 14" xfId="15226" xr:uid="{00000000-0005-0000-0000-00007A3B0000}"/>
    <cellStyle name="Normal 2 2 2 2 4 28 2" xfId="15227" xr:uid="{00000000-0005-0000-0000-00007B3B0000}"/>
    <cellStyle name="Normal 2 2 2 2 4 28 2 10" xfId="15228" xr:uid="{00000000-0005-0000-0000-00007C3B0000}"/>
    <cellStyle name="Normal 2 2 2 2 4 28 2 2" xfId="15229" xr:uid="{00000000-0005-0000-0000-00007D3B0000}"/>
    <cellStyle name="Normal 2 2 2 2 4 28 2 3" xfId="15230" xr:uid="{00000000-0005-0000-0000-00007E3B0000}"/>
    <cellStyle name="Normal 2 2 2 2 4 28 2 4" xfId="15231" xr:uid="{00000000-0005-0000-0000-00007F3B0000}"/>
    <cellStyle name="Normal 2 2 2 2 4 28 2 5" xfId="15232" xr:uid="{00000000-0005-0000-0000-0000803B0000}"/>
    <cellStyle name="Normal 2 2 2 2 4 28 2 6" xfId="15233" xr:uid="{00000000-0005-0000-0000-0000813B0000}"/>
    <cellStyle name="Normal 2 2 2 2 4 28 2 7" xfId="15234" xr:uid="{00000000-0005-0000-0000-0000823B0000}"/>
    <cellStyle name="Normal 2 2 2 2 4 28 2 8" xfId="15235" xr:uid="{00000000-0005-0000-0000-0000833B0000}"/>
    <cellStyle name="Normal 2 2 2 2 4 28 2 9" xfId="15236" xr:uid="{00000000-0005-0000-0000-0000843B0000}"/>
    <cellStyle name="Normal 2 2 2 2 4 28 3" xfId="15237" xr:uid="{00000000-0005-0000-0000-0000853B0000}"/>
    <cellStyle name="Normal 2 2 2 2 4 28 3 10" xfId="15238" xr:uid="{00000000-0005-0000-0000-0000863B0000}"/>
    <cellStyle name="Normal 2 2 2 2 4 28 3 2" xfId="15239" xr:uid="{00000000-0005-0000-0000-0000873B0000}"/>
    <cellStyle name="Normal 2 2 2 2 4 28 3 3" xfId="15240" xr:uid="{00000000-0005-0000-0000-0000883B0000}"/>
    <cellStyle name="Normal 2 2 2 2 4 28 3 4" xfId="15241" xr:uid="{00000000-0005-0000-0000-0000893B0000}"/>
    <cellStyle name="Normal 2 2 2 2 4 28 3 5" xfId="15242" xr:uid="{00000000-0005-0000-0000-00008A3B0000}"/>
    <cellStyle name="Normal 2 2 2 2 4 28 3 6" xfId="15243" xr:uid="{00000000-0005-0000-0000-00008B3B0000}"/>
    <cellStyle name="Normal 2 2 2 2 4 28 3 7" xfId="15244" xr:uid="{00000000-0005-0000-0000-00008C3B0000}"/>
    <cellStyle name="Normal 2 2 2 2 4 28 3 8" xfId="15245" xr:uid="{00000000-0005-0000-0000-00008D3B0000}"/>
    <cellStyle name="Normal 2 2 2 2 4 28 3 9" xfId="15246" xr:uid="{00000000-0005-0000-0000-00008E3B0000}"/>
    <cellStyle name="Normal 2 2 2 2 4 28 4" xfId="15247" xr:uid="{00000000-0005-0000-0000-00008F3B0000}"/>
    <cellStyle name="Normal 2 2 2 2 4 28 4 10" xfId="15248" xr:uid="{00000000-0005-0000-0000-0000903B0000}"/>
    <cellStyle name="Normal 2 2 2 2 4 28 4 2" xfId="15249" xr:uid="{00000000-0005-0000-0000-0000913B0000}"/>
    <cellStyle name="Normal 2 2 2 2 4 28 4 3" xfId="15250" xr:uid="{00000000-0005-0000-0000-0000923B0000}"/>
    <cellStyle name="Normal 2 2 2 2 4 28 4 4" xfId="15251" xr:uid="{00000000-0005-0000-0000-0000933B0000}"/>
    <cellStyle name="Normal 2 2 2 2 4 28 4 5" xfId="15252" xr:uid="{00000000-0005-0000-0000-0000943B0000}"/>
    <cellStyle name="Normal 2 2 2 2 4 28 4 6" xfId="15253" xr:uid="{00000000-0005-0000-0000-0000953B0000}"/>
    <cellStyle name="Normal 2 2 2 2 4 28 4 7" xfId="15254" xr:uid="{00000000-0005-0000-0000-0000963B0000}"/>
    <cellStyle name="Normal 2 2 2 2 4 28 4 8" xfId="15255" xr:uid="{00000000-0005-0000-0000-0000973B0000}"/>
    <cellStyle name="Normal 2 2 2 2 4 28 4 9" xfId="15256" xr:uid="{00000000-0005-0000-0000-0000983B0000}"/>
    <cellStyle name="Normal 2 2 2 2 4 28 5" xfId="15257" xr:uid="{00000000-0005-0000-0000-0000993B0000}"/>
    <cellStyle name="Normal 2 2 2 2 4 28 5 10" xfId="15258" xr:uid="{00000000-0005-0000-0000-00009A3B0000}"/>
    <cellStyle name="Normal 2 2 2 2 4 28 5 2" xfId="15259" xr:uid="{00000000-0005-0000-0000-00009B3B0000}"/>
    <cellStyle name="Normal 2 2 2 2 4 28 5 3" xfId="15260" xr:uid="{00000000-0005-0000-0000-00009C3B0000}"/>
    <cellStyle name="Normal 2 2 2 2 4 28 5 4" xfId="15261" xr:uid="{00000000-0005-0000-0000-00009D3B0000}"/>
    <cellStyle name="Normal 2 2 2 2 4 28 5 5" xfId="15262" xr:uid="{00000000-0005-0000-0000-00009E3B0000}"/>
    <cellStyle name="Normal 2 2 2 2 4 28 5 6" xfId="15263" xr:uid="{00000000-0005-0000-0000-00009F3B0000}"/>
    <cellStyle name="Normal 2 2 2 2 4 28 5 7" xfId="15264" xr:uid="{00000000-0005-0000-0000-0000A03B0000}"/>
    <cellStyle name="Normal 2 2 2 2 4 28 5 8" xfId="15265" xr:uid="{00000000-0005-0000-0000-0000A13B0000}"/>
    <cellStyle name="Normal 2 2 2 2 4 28 5 9" xfId="15266" xr:uid="{00000000-0005-0000-0000-0000A23B0000}"/>
    <cellStyle name="Normal 2 2 2 2 4 28 6" xfId="15267" xr:uid="{00000000-0005-0000-0000-0000A33B0000}"/>
    <cellStyle name="Normal 2 2 2 2 4 28 7" xfId="15268" xr:uid="{00000000-0005-0000-0000-0000A43B0000}"/>
    <cellStyle name="Normal 2 2 2 2 4 28 8" xfId="15269" xr:uid="{00000000-0005-0000-0000-0000A53B0000}"/>
    <cellStyle name="Normal 2 2 2 2 4 28 9" xfId="15270" xr:uid="{00000000-0005-0000-0000-0000A63B0000}"/>
    <cellStyle name="Normal 2 2 2 2 4 29" xfId="15271" xr:uid="{00000000-0005-0000-0000-0000A73B0000}"/>
    <cellStyle name="Normal 2 2 2 2 4 29 10" xfId="15272" xr:uid="{00000000-0005-0000-0000-0000A83B0000}"/>
    <cellStyle name="Normal 2 2 2 2 4 29 11" xfId="15273" xr:uid="{00000000-0005-0000-0000-0000A93B0000}"/>
    <cellStyle name="Normal 2 2 2 2 4 29 12" xfId="15274" xr:uid="{00000000-0005-0000-0000-0000AA3B0000}"/>
    <cellStyle name="Normal 2 2 2 2 4 29 13" xfId="15275" xr:uid="{00000000-0005-0000-0000-0000AB3B0000}"/>
    <cellStyle name="Normal 2 2 2 2 4 29 14" xfId="15276" xr:uid="{00000000-0005-0000-0000-0000AC3B0000}"/>
    <cellStyle name="Normal 2 2 2 2 4 29 2" xfId="15277" xr:uid="{00000000-0005-0000-0000-0000AD3B0000}"/>
    <cellStyle name="Normal 2 2 2 2 4 29 2 10" xfId="15278" xr:uid="{00000000-0005-0000-0000-0000AE3B0000}"/>
    <cellStyle name="Normal 2 2 2 2 4 29 2 2" xfId="15279" xr:uid="{00000000-0005-0000-0000-0000AF3B0000}"/>
    <cellStyle name="Normal 2 2 2 2 4 29 2 3" xfId="15280" xr:uid="{00000000-0005-0000-0000-0000B03B0000}"/>
    <cellStyle name="Normal 2 2 2 2 4 29 2 4" xfId="15281" xr:uid="{00000000-0005-0000-0000-0000B13B0000}"/>
    <cellStyle name="Normal 2 2 2 2 4 29 2 5" xfId="15282" xr:uid="{00000000-0005-0000-0000-0000B23B0000}"/>
    <cellStyle name="Normal 2 2 2 2 4 29 2 6" xfId="15283" xr:uid="{00000000-0005-0000-0000-0000B33B0000}"/>
    <cellStyle name="Normal 2 2 2 2 4 29 2 7" xfId="15284" xr:uid="{00000000-0005-0000-0000-0000B43B0000}"/>
    <cellStyle name="Normal 2 2 2 2 4 29 2 8" xfId="15285" xr:uid="{00000000-0005-0000-0000-0000B53B0000}"/>
    <cellStyle name="Normal 2 2 2 2 4 29 2 9" xfId="15286" xr:uid="{00000000-0005-0000-0000-0000B63B0000}"/>
    <cellStyle name="Normal 2 2 2 2 4 29 3" xfId="15287" xr:uid="{00000000-0005-0000-0000-0000B73B0000}"/>
    <cellStyle name="Normal 2 2 2 2 4 29 3 10" xfId="15288" xr:uid="{00000000-0005-0000-0000-0000B83B0000}"/>
    <cellStyle name="Normal 2 2 2 2 4 29 3 2" xfId="15289" xr:uid="{00000000-0005-0000-0000-0000B93B0000}"/>
    <cellStyle name="Normal 2 2 2 2 4 29 3 3" xfId="15290" xr:uid="{00000000-0005-0000-0000-0000BA3B0000}"/>
    <cellStyle name="Normal 2 2 2 2 4 29 3 4" xfId="15291" xr:uid="{00000000-0005-0000-0000-0000BB3B0000}"/>
    <cellStyle name="Normal 2 2 2 2 4 29 3 5" xfId="15292" xr:uid="{00000000-0005-0000-0000-0000BC3B0000}"/>
    <cellStyle name="Normal 2 2 2 2 4 29 3 6" xfId="15293" xr:uid="{00000000-0005-0000-0000-0000BD3B0000}"/>
    <cellStyle name="Normal 2 2 2 2 4 29 3 7" xfId="15294" xr:uid="{00000000-0005-0000-0000-0000BE3B0000}"/>
    <cellStyle name="Normal 2 2 2 2 4 29 3 8" xfId="15295" xr:uid="{00000000-0005-0000-0000-0000BF3B0000}"/>
    <cellStyle name="Normal 2 2 2 2 4 29 3 9" xfId="15296" xr:uid="{00000000-0005-0000-0000-0000C03B0000}"/>
    <cellStyle name="Normal 2 2 2 2 4 29 4" xfId="15297" xr:uid="{00000000-0005-0000-0000-0000C13B0000}"/>
    <cellStyle name="Normal 2 2 2 2 4 29 4 10" xfId="15298" xr:uid="{00000000-0005-0000-0000-0000C23B0000}"/>
    <cellStyle name="Normal 2 2 2 2 4 29 4 2" xfId="15299" xr:uid="{00000000-0005-0000-0000-0000C33B0000}"/>
    <cellStyle name="Normal 2 2 2 2 4 29 4 3" xfId="15300" xr:uid="{00000000-0005-0000-0000-0000C43B0000}"/>
    <cellStyle name="Normal 2 2 2 2 4 29 4 4" xfId="15301" xr:uid="{00000000-0005-0000-0000-0000C53B0000}"/>
    <cellStyle name="Normal 2 2 2 2 4 29 4 5" xfId="15302" xr:uid="{00000000-0005-0000-0000-0000C63B0000}"/>
    <cellStyle name="Normal 2 2 2 2 4 29 4 6" xfId="15303" xr:uid="{00000000-0005-0000-0000-0000C73B0000}"/>
    <cellStyle name="Normal 2 2 2 2 4 29 4 7" xfId="15304" xr:uid="{00000000-0005-0000-0000-0000C83B0000}"/>
    <cellStyle name="Normal 2 2 2 2 4 29 4 8" xfId="15305" xr:uid="{00000000-0005-0000-0000-0000C93B0000}"/>
    <cellStyle name="Normal 2 2 2 2 4 29 4 9" xfId="15306" xr:uid="{00000000-0005-0000-0000-0000CA3B0000}"/>
    <cellStyle name="Normal 2 2 2 2 4 29 5" xfId="15307" xr:uid="{00000000-0005-0000-0000-0000CB3B0000}"/>
    <cellStyle name="Normal 2 2 2 2 4 29 5 10" xfId="15308" xr:uid="{00000000-0005-0000-0000-0000CC3B0000}"/>
    <cellStyle name="Normal 2 2 2 2 4 29 5 2" xfId="15309" xr:uid="{00000000-0005-0000-0000-0000CD3B0000}"/>
    <cellStyle name="Normal 2 2 2 2 4 29 5 3" xfId="15310" xr:uid="{00000000-0005-0000-0000-0000CE3B0000}"/>
    <cellStyle name="Normal 2 2 2 2 4 29 5 4" xfId="15311" xr:uid="{00000000-0005-0000-0000-0000CF3B0000}"/>
    <cellStyle name="Normal 2 2 2 2 4 29 5 5" xfId="15312" xr:uid="{00000000-0005-0000-0000-0000D03B0000}"/>
    <cellStyle name="Normal 2 2 2 2 4 29 5 6" xfId="15313" xr:uid="{00000000-0005-0000-0000-0000D13B0000}"/>
    <cellStyle name="Normal 2 2 2 2 4 29 5 7" xfId="15314" xr:uid="{00000000-0005-0000-0000-0000D23B0000}"/>
    <cellStyle name="Normal 2 2 2 2 4 29 5 8" xfId="15315" xr:uid="{00000000-0005-0000-0000-0000D33B0000}"/>
    <cellStyle name="Normal 2 2 2 2 4 29 5 9" xfId="15316" xr:uid="{00000000-0005-0000-0000-0000D43B0000}"/>
    <cellStyle name="Normal 2 2 2 2 4 29 6" xfId="15317" xr:uid="{00000000-0005-0000-0000-0000D53B0000}"/>
    <cellStyle name="Normal 2 2 2 2 4 29 7" xfId="15318" xr:uid="{00000000-0005-0000-0000-0000D63B0000}"/>
    <cellStyle name="Normal 2 2 2 2 4 29 8" xfId="15319" xr:uid="{00000000-0005-0000-0000-0000D73B0000}"/>
    <cellStyle name="Normal 2 2 2 2 4 29 9" xfId="15320" xr:uid="{00000000-0005-0000-0000-0000D83B0000}"/>
    <cellStyle name="Normal 2 2 2 2 4 3" xfId="15321" xr:uid="{00000000-0005-0000-0000-0000D93B0000}"/>
    <cellStyle name="Normal 2 2 2 2 4 3 10" xfId="15322" xr:uid="{00000000-0005-0000-0000-0000DA3B0000}"/>
    <cellStyle name="Normal 2 2 2 2 4 3 11" xfId="15323" xr:uid="{00000000-0005-0000-0000-0000DB3B0000}"/>
    <cellStyle name="Normal 2 2 2 2 4 3 12" xfId="15324" xr:uid="{00000000-0005-0000-0000-0000DC3B0000}"/>
    <cellStyle name="Normal 2 2 2 2 4 3 13" xfId="15325" xr:uid="{00000000-0005-0000-0000-0000DD3B0000}"/>
    <cellStyle name="Normal 2 2 2 2 4 3 14" xfId="15326" xr:uid="{00000000-0005-0000-0000-0000DE3B0000}"/>
    <cellStyle name="Normal 2 2 2 2 4 3 2" xfId="15327" xr:uid="{00000000-0005-0000-0000-0000DF3B0000}"/>
    <cellStyle name="Normal 2 2 2 2 4 3 2 10" xfId="15328" xr:uid="{00000000-0005-0000-0000-0000E03B0000}"/>
    <cellStyle name="Normal 2 2 2 2 4 3 2 2" xfId="15329" xr:uid="{00000000-0005-0000-0000-0000E13B0000}"/>
    <cellStyle name="Normal 2 2 2 2 4 3 2 3" xfId="15330" xr:uid="{00000000-0005-0000-0000-0000E23B0000}"/>
    <cellStyle name="Normal 2 2 2 2 4 3 2 4" xfId="15331" xr:uid="{00000000-0005-0000-0000-0000E33B0000}"/>
    <cellStyle name="Normal 2 2 2 2 4 3 2 5" xfId="15332" xr:uid="{00000000-0005-0000-0000-0000E43B0000}"/>
    <cellStyle name="Normal 2 2 2 2 4 3 2 6" xfId="15333" xr:uid="{00000000-0005-0000-0000-0000E53B0000}"/>
    <cellStyle name="Normal 2 2 2 2 4 3 2 7" xfId="15334" xr:uid="{00000000-0005-0000-0000-0000E63B0000}"/>
    <cellStyle name="Normal 2 2 2 2 4 3 2 8" xfId="15335" xr:uid="{00000000-0005-0000-0000-0000E73B0000}"/>
    <cellStyle name="Normal 2 2 2 2 4 3 2 9" xfId="15336" xr:uid="{00000000-0005-0000-0000-0000E83B0000}"/>
    <cellStyle name="Normal 2 2 2 2 4 3 3" xfId="15337" xr:uid="{00000000-0005-0000-0000-0000E93B0000}"/>
    <cellStyle name="Normal 2 2 2 2 4 3 3 10" xfId="15338" xr:uid="{00000000-0005-0000-0000-0000EA3B0000}"/>
    <cellStyle name="Normal 2 2 2 2 4 3 3 2" xfId="15339" xr:uid="{00000000-0005-0000-0000-0000EB3B0000}"/>
    <cellStyle name="Normal 2 2 2 2 4 3 3 3" xfId="15340" xr:uid="{00000000-0005-0000-0000-0000EC3B0000}"/>
    <cellStyle name="Normal 2 2 2 2 4 3 3 4" xfId="15341" xr:uid="{00000000-0005-0000-0000-0000ED3B0000}"/>
    <cellStyle name="Normal 2 2 2 2 4 3 3 5" xfId="15342" xr:uid="{00000000-0005-0000-0000-0000EE3B0000}"/>
    <cellStyle name="Normal 2 2 2 2 4 3 3 6" xfId="15343" xr:uid="{00000000-0005-0000-0000-0000EF3B0000}"/>
    <cellStyle name="Normal 2 2 2 2 4 3 3 7" xfId="15344" xr:uid="{00000000-0005-0000-0000-0000F03B0000}"/>
    <cellStyle name="Normal 2 2 2 2 4 3 3 8" xfId="15345" xr:uid="{00000000-0005-0000-0000-0000F13B0000}"/>
    <cellStyle name="Normal 2 2 2 2 4 3 3 9" xfId="15346" xr:uid="{00000000-0005-0000-0000-0000F23B0000}"/>
    <cellStyle name="Normal 2 2 2 2 4 3 4" xfId="15347" xr:uid="{00000000-0005-0000-0000-0000F33B0000}"/>
    <cellStyle name="Normal 2 2 2 2 4 3 4 10" xfId="15348" xr:uid="{00000000-0005-0000-0000-0000F43B0000}"/>
    <cellStyle name="Normal 2 2 2 2 4 3 4 2" xfId="15349" xr:uid="{00000000-0005-0000-0000-0000F53B0000}"/>
    <cellStyle name="Normal 2 2 2 2 4 3 4 3" xfId="15350" xr:uid="{00000000-0005-0000-0000-0000F63B0000}"/>
    <cellStyle name="Normal 2 2 2 2 4 3 4 4" xfId="15351" xr:uid="{00000000-0005-0000-0000-0000F73B0000}"/>
    <cellStyle name="Normal 2 2 2 2 4 3 4 5" xfId="15352" xr:uid="{00000000-0005-0000-0000-0000F83B0000}"/>
    <cellStyle name="Normal 2 2 2 2 4 3 4 6" xfId="15353" xr:uid="{00000000-0005-0000-0000-0000F93B0000}"/>
    <cellStyle name="Normal 2 2 2 2 4 3 4 7" xfId="15354" xr:uid="{00000000-0005-0000-0000-0000FA3B0000}"/>
    <cellStyle name="Normal 2 2 2 2 4 3 4 8" xfId="15355" xr:uid="{00000000-0005-0000-0000-0000FB3B0000}"/>
    <cellStyle name="Normal 2 2 2 2 4 3 4 9" xfId="15356" xr:uid="{00000000-0005-0000-0000-0000FC3B0000}"/>
    <cellStyle name="Normal 2 2 2 2 4 3 5" xfId="15357" xr:uid="{00000000-0005-0000-0000-0000FD3B0000}"/>
    <cellStyle name="Normal 2 2 2 2 4 3 5 10" xfId="15358" xr:uid="{00000000-0005-0000-0000-0000FE3B0000}"/>
    <cellStyle name="Normal 2 2 2 2 4 3 5 2" xfId="15359" xr:uid="{00000000-0005-0000-0000-0000FF3B0000}"/>
    <cellStyle name="Normal 2 2 2 2 4 3 5 3" xfId="15360" xr:uid="{00000000-0005-0000-0000-0000003C0000}"/>
    <cellStyle name="Normal 2 2 2 2 4 3 5 4" xfId="15361" xr:uid="{00000000-0005-0000-0000-0000013C0000}"/>
    <cellStyle name="Normal 2 2 2 2 4 3 5 5" xfId="15362" xr:uid="{00000000-0005-0000-0000-0000023C0000}"/>
    <cellStyle name="Normal 2 2 2 2 4 3 5 6" xfId="15363" xr:uid="{00000000-0005-0000-0000-0000033C0000}"/>
    <cellStyle name="Normal 2 2 2 2 4 3 5 7" xfId="15364" xr:uid="{00000000-0005-0000-0000-0000043C0000}"/>
    <cellStyle name="Normal 2 2 2 2 4 3 5 8" xfId="15365" xr:uid="{00000000-0005-0000-0000-0000053C0000}"/>
    <cellStyle name="Normal 2 2 2 2 4 3 5 9" xfId="15366" xr:uid="{00000000-0005-0000-0000-0000063C0000}"/>
    <cellStyle name="Normal 2 2 2 2 4 3 6" xfId="15367" xr:uid="{00000000-0005-0000-0000-0000073C0000}"/>
    <cellStyle name="Normal 2 2 2 2 4 3 7" xfId="15368" xr:uid="{00000000-0005-0000-0000-0000083C0000}"/>
    <cellStyle name="Normal 2 2 2 2 4 3 8" xfId="15369" xr:uid="{00000000-0005-0000-0000-0000093C0000}"/>
    <cellStyle name="Normal 2 2 2 2 4 3 9" xfId="15370" xr:uid="{00000000-0005-0000-0000-00000A3C0000}"/>
    <cellStyle name="Normal 2 2 2 2 4 30" xfId="15371" xr:uid="{00000000-0005-0000-0000-00000B3C0000}"/>
    <cellStyle name="Normal 2 2 2 2 4 30 10" xfId="15372" xr:uid="{00000000-0005-0000-0000-00000C3C0000}"/>
    <cellStyle name="Normal 2 2 2 2 4 30 11" xfId="15373" xr:uid="{00000000-0005-0000-0000-00000D3C0000}"/>
    <cellStyle name="Normal 2 2 2 2 4 30 12" xfId="15374" xr:uid="{00000000-0005-0000-0000-00000E3C0000}"/>
    <cellStyle name="Normal 2 2 2 2 4 30 13" xfId="15375" xr:uid="{00000000-0005-0000-0000-00000F3C0000}"/>
    <cellStyle name="Normal 2 2 2 2 4 30 14" xfId="15376" xr:uid="{00000000-0005-0000-0000-0000103C0000}"/>
    <cellStyle name="Normal 2 2 2 2 4 30 2" xfId="15377" xr:uid="{00000000-0005-0000-0000-0000113C0000}"/>
    <cellStyle name="Normal 2 2 2 2 4 30 2 10" xfId="15378" xr:uid="{00000000-0005-0000-0000-0000123C0000}"/>
    <cellStyle name="Normal 2 2 2 2 4 30 2 2" xfId="15379" xr:uid="{00000000-0005-0000-0000-0000133C0000}"/>
    <cellStyle name="Normal 2 2 2 2 4 30 2 3" xfId="15380" xr:uid="{00000000-0005-0000-0000-0000143C0000}"/>
    <cellStyle name="Normal 2 2 2 2 4 30 2 4" xfId="15381" xr:uid="{00000000-0005-0000-0000-0000153C0000}"/>
    <cellStyle name="Normal 2 2 2 2 4 30 2 5" xfId="15382" xr:uid="{00000000-0005-0000-0000-0000163C0000}"/>
    <cellStyle name="Normal 2 2 2 2 4 30 2 6" xfId="15383" xr:uid="{00000000-0005-0000-0000-0000173C0000}"/>
    <cellStyle name="Normal 2 2 2 2 4 30 2 7" xfId="15384" xr:uid="{00000000-0005-0000-0000-0000183C0000}"/>
    <cellStyle name="Normal 2 2 2 2 4 30 2 8" xfId="15385" xr:uid="{00000000-0005-0000-0000-0000193C0000}"/>
    <cellStyle name="Normal 2 2 2 2 4 30 2 9" xfId="15386" xr:uid="{00000000-0005-0000-0000-00001A3C0000}"/>
    <cellStyle name="Normal 2 2 2 2 4 30 3" xfId="15387" xr:uid="{00000000-0005-0000-0000-00001B3C0000}"/>
    <cellStyle name="Normal 2 2 2 2 4 30 3 10" xfId="15388" xr:uid="{00000000-0005-0000-0000-00001C3C0000}"/>
    <cellStyle name="Normal 2 2 2 2 4 30 3 2" xfId="15389" xr:uid="{00000000-0005-0000-0000-00001D3C0000}"/>
    <cellStyle name="Normal 2 2 2 2 4 30 3 3" xfId="15390" xr:uid="{00000000-0005-0000-0000-00001E3C0000}"/>
    <cellStyle name="Normal 2 2 2 2 4 30 3 4" xfId="15391" xr:uid="{00000000-0005-0000-0000-00001F3C0000}"/>
    <cellStyle name="Normal 2 2 2 2 4 30 3 5" xfId="15392" xr:uid="{00000000-0005-0000-0000-0000203C0000}"/>
    <cellStyle name="Normal 2 2 2 2 4 30 3 6" xfId="15393" xr:uid="{00000000-0005-0000-0000-0000213C0000}"/>
    <cellStyle name="Normal 2 2 2 2 4 30 3 7" xfId="15394" xr:uid="{00000000-0005-0000-0000-0000223C0000}"/>
    <cellStyle name="Normal 2 2 2 2 4 30 3 8" xfId="15395" xr:uid="{00000000-0005-0000-0000-0000233C0000}"/>
    <cellStyle name="Normal 2 2 2 2 4 30 3 9" xfId="15396" xr:uid="{00000000-0005-0000-0000-0000243C0000}"/>
    <cellStyle name="Normal 2 2 2 2 4 30 4" xfId="15397" xr:uid="{00000000-0005-0000-0000-0000253C0000}"/>
    <cellStyle name="Normal 2 2 2 2 4 30 4 10" xfId="15398" xr:uid="{00000000-0005-0000-0000-0000263C0000}"/>
    <cellStyle name="Normal 2 2 2 2 4 30 4 2" xfId="15399" xr:uid="{00000000-0005-0000-0000-0000273C0000}"/>
    <cellStyle name="Normal 2 2 2 2 4 30 4 3" xfId="15400" xr:uid="{00000000-0005-0000-0000-0000283C0000}"/>
    <cellStyle name="Normal 2 2 2 2 4 30 4 4" xfId="15401" xr:uid="{00000000-0005-0000-0000-0000293C0000}"/>
    <cellStyle name="Normal 2 2 2 2 4 30 4 5" xfId="15402" xr:uid="{00000000-0005-0000-0000-00002A3C0000}"/>
    <cellStyle name="Normal 2 2 2 2 4 30 4 6" xfId="15403" xr:uid="{00000000-0005-0000-0000-00002B3C0000}"/>
    <cellStyle name="Normal 2 2 2 2 4 30 4 7" xfId="15404" xr:uid="{00000000-0005-0000-0000-00002C3C0000}"/>
    <cellStyle name="Normal 2 2 2 2 4 30 4 8" xfId="15405" xr:uid="{00000000-0005-0000-0000-00002D3C0000}"/>
    <cellStyle name="Normal 2 2 2 2 4 30 4 9" xfId="15406" xr:uid="{00000000-0005-0000-0000-00002E3C0000}"/>
    <cellStyle name="Normal 2 2 2 2 4 30 5" xfId="15407" xr:uid="{00000000-0005-0000-0000-00002F3C0000}"/>
    <cellStyle name="Normal 2 2 2 2 4 30 5 10" xfId="15408" xr:uid="{00000000-0005-0000-0000-0000303C0000}"/>
    <cellStyle name="Normal 2 2 2 2 4 30 5 2" xfId="15409" xr:uid="{00000000-0005-0000-0000-0000313C0000}"/>
    <cellStyle name="Normal 2 2 2 2 4 30 5 3" xfId="15410" xr:uid="{00000000-0005-0000-0000-0000323C0000}"/>
    <cellStyle name="Normal 2 2 2 2 4 30 5 4" xfId="15411" xr:uid="{00000000-0005-0000-0000-0000333C0000}"/>
    <cellStyle name="Normal 2 2 2 2 4 30 5 5" xfId="15412" xr:uid="{00000000-0005-0000-0000-0000343C0000}"/>
    <cellStyle name="Normal 2 2 2 2 4 30 5 6" xfId="15413" xr:uid="{00000000-0005-0000-0000-0000353C0000}"/>
    <cellStyle name="Normal 2 2 2 2 4 30 5 7" xfId="15414" xr:uid="{00000000-0005-0000-0000-0000363C0000}"/>
    <cellStyle name="Normal 2 2 2 2 4 30 5 8" xfId="15415" xr:uid="{00000000-0005-0000-0000-0000373C0000}"/>
    <cellStyle name="Normal 2 2 2 2 4 30 5 9" xfId="15416" xr:uid="{00000000-0005-0000-0000-0000383C0000}"/>
    <cellStyle name="Normal 2 2 2 2 4 30 6" xfId="15417" xr:uid="{00000000-0005-0000-0000-0000393C0000}"/>
    <cellStyle name="Normal 2 2 2 2 4 30 7" xfId="15418" xr:uid="{00000000-0005-0000-0000-00003A3C0000}"/>
    <cellStyle name="Normal 2 2 2 2 4 30 8" xfId="15419" xr:uid="{00000000-0005-0000-0000-00003B3C0000}"/>
    <cellStyle name="Normal 2 2 2 2 4 30 9" xfId="15420" xr:uid="{00000000-0005-0000-0000-00003C3C0000}"/>
    <cellStyle name="Normal 2 2 2 2 4 31" xfId="15421" xr:uid="{00000000-0005-0000-0000-00003D3C0000}"/>
    <cellStyle name="Normal 2 2 2 2 4 31 10" xfId="15422" xr:uid="{00000000-0005-0000-0000-00003E3C0000}"/>
    <cellStyle name="Normal 2 2 2 2 4 31 11" xfId="15423" xr:uid="{00000000-0005-0000-0000-00003F3C0000}"/>
    <cellStyle name="Normal 2 2 2 2 4 31 12" xfId="15424" xr:uid="{00000000-0005-0000-0000-0000403C0000}"/>
    <cellStyle name="Normal 2 2 2 2 4 31 13" xfId="15425" xr:uid="{00000000-0005-0000-0000-0000413C0000}"/>
    <cellStyle name="Normal 2 2 2 2 4 31 14" xfId="15426" xr:uid="{00000000-0005-0000-0000-0000423C0000}"/>
    <cellStyle name="Normal 2 2 2 2 4 31 2" xfId="15427" xr:uid="{00000000-0005-0000-0000-0000433C0000}"/>
    <cellStyle name="Normal 2 2 2 2 4 31 2 10" xfId="15428" xr:uid="{00000000-0005-0000-0000-0000443C0000}"/>
    <cellStyle name="Normal 2 2 2 2 4 31 2 2" xfId="15429" xr:uid="{00000000-0005-0000-0000-0000453C0000}"/>
    <cellStyle name="Normal 2 2 2 2 4 31 2 3" xfId="15430" xr:uid="{00000000-0005-0000-0000-0000463C0000}"/>
    <cellStyle name="Normal 2 2 2 2 4 31 2 4" xfId="15431" xr:uid="{00000000-0005-0000-0000-0000473C0000}"/>
    <cellStyle name="Normal 2 2 2 2 4 31 2 5" xfId="15432" xr:uid="{00000000-0005-0000-0000-0000483C0000}"/>
    <cellStyle name="Normal 2 2 2 2 4 31 2 6" xfId="15433" xr:uid="{00000000-0005-0000-0000-0000493C0000}"/>
    <cellStyle name="Normal 2 2 2 2 4 31 2 7" xfId="15434" xr:uid="{00000000-0005-0000-0000-00004A3C0000}"/>
    <cellStyle name="Normal 2 2 2 2 4 31 2 8" xfId="15435" xr:uid="{00000000-0005-0000-0000-00004B3C0000}"/>
    <cellStyle name="Normal 2 2 2 2 4 31 2 9" xfId="15436" xr:uid="{00000000-0005-0000-0000-00004C3C0000}"/>
    <cellStyle name="Normal 2 2 2 2 4 31 3" xfId="15437" xr:uid="{00000000-0005-0000-0000-00004D3C0000}"/>
    <cellStyle name="Normal 2 2 2 2 4 31 3 10" xfId="15438" xr:uid="{00000000-0005-0000-0000-00004E3C0000}"/>
    <cellStyle name="Normal 2 2 2 2 4 31 3 2" xfId="15439" xr:uid="{00000000-0005-0000-0000-00004F3C0000}"/>
    <cellStyle name="Normal 2 2 2 2 4 31 3 3" xfId="15440" xr:uid="{00000000-0005-0000-0000-0000503C0000}"/>
    <cellStyle name="Normal 2 2 2 2 4 31 3 4" xfId="15441" xr:uid="{00000000-0005-0000-0000-0000513C0000}"/>
    <cellStyle name="Normal 2 2 2 2 4 31 3 5" xfId="15442" xr:uid="{00000000-0005-0000-0000-0000523C0000}"/>
    <cellStyle name="Normal 2 2 2 2 4 31 3 6" xfId="15443" xr:uid="{00000000-0005-0000-0000-0000533C0000}"/>
    <cellStyle name="Normal 2 2 2 2 4 31 3 7" xfId="15444" xr:uid="{00000000-0005-0000-0000-0000543C0000}"/>
    <cellStyle name="Normal 2 2 2 2 4 31 3 8" xfId="15445" xr:uid="{00000000-0005-0000-0000-0000553C0000}"/>
    <cellStyle name="Normal 2 2 2 2 4 31 3 9" xfId="15446" xr:uid="{00000000-0005-0000-0000-0000563C0000}"/>
    <cellStyle name="Normal 2 2 2 2 4 31 4" xfId="15447" xr:uid="{00000000-0005-0000-0000-0000573C0000}"/>
    <cellStyle name="Normal 2 2 2 2 4 31 4 10" xfId="15448" xr:uid="{00000000-0005-0000-0000-0000583C0000}"/>
    <cellStyle name="Normal 2 2 2 2 4 31 4 2" xfId="15449" xr:uid="{00000000-0005-0000-0000-0000593C0000}"/>
    <cellStyle name="Normal 2 2 2 2 4 31 4 3" xfId="15450" xr:uid="{00000000-0005-0000-0000-00005A3C0000}"/>
    <cellStyle name="Normal 2 2 2 2 4 31 4 4" xfId="15451" xr:uid="{00000000-0005-0000-0000-00005B3C0000}"/>
    <cellStyle name="Normal 2 2 2 2 4 31 4 5" xfId="15452" xr:uid="{00000000-0005-0000-0000-00005C3C0000}"/>
    <cellStyle name="Normal 2 2 2 2 4 31 4 6" xfId="15453" xr:uid="{00000000-0005-0000-0000-00005D3C0000}"/>
    <cellStyle name="Normal 2 2 2 2 4 31 4 7" xfId="15454" xr:uid="{00000000-0005-0000-0000-00005E3C0000}"/>
    <cellStyle name="Normal 2 2 2 2 4 31 4 8" xfId="15455" xr:uid="{00000000-0005-0000-0000-00005F3C0000}"/>
    <cellStyle name="Normal 2 2 2 2 4 31 4 9" xfId="15456" xr:uid="{00000000-0005-0000-0000-0000603C0000}"/>
    <cellStyle name="Normal 2 2 2 2 4 31 5" xfId="15457" xr:uid="{00000000-0005-0000-0000-0000613C0000}"/>
    <cellStyle name="Normal 2 2 2 2 4 31 5 10" xfId="15458" xr:uid="{00000000-0005-0000-0000-0000623C0000}"/>
    <cellStyle name="Normal 2 2 2 2 4 31 5 2" xfId="15459" xr:uid="{00000000-0005-0000-0000-0000633C0000}"/>
    <cellStyle name="Normal 2 2 2 2 4 31 5 3" xfId="15460" xr:uid="{00000000-0005-0000-0000-0000643C0000}"/>
    <cellStyle name="Normal 2 2 2 2 4 31 5 4" xfId="15461" xr:uid="{00000000-0005-0000-0000-0000653C0000}"/>
    <cellStyle name="Normal 2 2 2 2 4 31 5 5" xfId="15462" xr:uid="{00000000-0005-0000-0000-0000663C0000}"/>
    <cellStyle name="Normal 2 2 2 2 4 31 5 6" xfId="15463" xr:uid="{00000000-0005-0000-0000-0000673C0000}"/>
    <cellStyle name="Normal 2 2 2 2 4 31 5 7" xfId="15464" xr:uid="{00000000-0005-0000-0000-0000683C0000}"/>
    <cellStyle name="Normal 2 2 2 2 4 31 5 8" xfId="15465" xr:uid="{00000000-0005-0000-0000-0000693C0000}"/>
    <cellStyle name="Normal 2 2 2 2 4 31 5 9" xfId="15466" xr:uid="{00000000-0005-0000-0000-00006A3C0000}"/>
    <cellStyle name="Normal 2 2 2 2 4 31 6" xfId="15467" xr:uid="{00000000-0005-0000-0000-00006B3C0000}"/>
    <cellStyle name="Normal 2 2 2 2 4 31 7" xfId="15468" xr:uid="{00000000-0005-0000-0000-00006C3C0000}"/>
    <cellStyle name="Normal 2 2 2 2 4 31 8" xfId="15469" xr:uid="{00000000-0005-0000-0000-00006D3C0000}"/>
    <cellStyle name="Normal 2 2 2 2 4 31 9" xfId="15470" xr:uid="{00000000-0005-0000-0000-00006E3C0000}"/>
    <cellStyle name="Normal 2 2 2 2 4 32" xfId="15471" xr:uid="{00000000-0005-0000-0000-00006F3C0000}"/>
    <cellStyle name="Normal 2 2 2 2 4 32 10" xfId="15472" xr:uid="{00000000-0005-0000-0000-0000703C0000}"/>
    <cellStyle name="Normal 2 2 2 2 4 32 11" xfId="15473" xr:uid="{00000000-0005-0000-0000-0000713C0000}"/>
    <cellStyle name="Normal 2 2 2 2 4 32 12" xfId="15474" xr:uid="{00000000-0005-0000-0000-0000723C0000}"/>
    <cellStyle name="Normal 2 2 2 2 4 32 13" xfId="15475" xr:uid="{00000000-0005-0000-0000-0000733C0000}"/>
    <cellStyle name="Normal 2 2 2 2 4 32 14" xfId="15476" xr:uid="{00000000-0005-0000-0000-0000743C0000}"/>
    <cellStyle name="Normal 2 2 2 2 4 32 2" xfId="15477" xr:uid="{00000000-0005-0000-0000-0000753C0000}"/>
    <cellStyle name="Normal 2 2 2 2 4 32 2 10" xfId="15478" xr:uid="{00000000-0005-0000-0000-0000763C0000}"/>
    <cellStyle name="Normal 2 2 2 2 4 32 2 2" xfId="15479" xr:uid="{00000000-0005-0000-0000-0000773C0000}"/>
    <cellStyle name="Normal 2 2 2 2 4 32 2 3" xfId="15480" xr:uid="{00000000-0005-0000-0000-0000783C0000}"/>
    <cellStyle name="Normal 2 2 2 2 4 32 2 4" xfId="15481" xr:uid="{00000000-0005-0000-0000-0000793C0000}"/>
    <cellStyle name="Normal 2 2 2 2 4 32 2 5" xfId="15482" xr:uid="{00000000-0005-0000-0000-00007A3C0000}"/>
    <cellStyle name="Normal 2 2 2 2 4 32 2 6" xfId="15483" xr:uid="{00000000-0005-0000-0000-00007B3C0000}"/>
    <cellStyle name="Normal 2 2 2 2 4 32 2 7" xfId="15484" xr:uid="{00000000-0005-0000-0000-00007C3C0000}"/>
    <cellStyle name="Normal 2 2 2 2 4 32 2 8" xfId="15485" xr:uid="{00000000-0005-0000-0000-00007D3C0000}"/>
    <cellStyle name="Normal 2 2 2 2 4 32 2 9" xfId="15486" xr:uid="{00000000-0005-0000-0000-00007E3C0000}"/>
    <cellStyle name="Normal 2 2 2 2 4 32 3" xfId="15487" xr:uid="{00000000-0005-0000-0000-00007F3C0000}"/>
    <cellStyle name="Normal 2 2 2 2 4 32 3 10" xfId="15488" xr:uid="{00000000-0005-0000-0000-0000803C0000}"/>
    <cellStyle name="Normal 2 2 2 2 4 32 3 2" xfId="15489" xr:uid="{00000000-0005-0000-0000-0000813C0000}"/>
    <cellStyle name="Normal 2 2 2 2 4 32 3 3" xfId="15490" xr:uid="{00000000-0005-0000-0000-0000823C0000}"/>
    <cellStyle name="Normal 2 2 2 2 4 32 3 4" xfId="15491" xr:uid="{00000000-0005-0000-0000-0000833C0000}"/>
    <cellStyle name="Normal 2 2 2 2 4 32 3 5" xfId="15492" xr:uid="{00000000-0005-0000-0000-0000843C0000}"/>
    <cellStyle name="Normal 2 2 2 2 4 32 3 6" xfId="15493" xr:uid="{00000000-0005-0000-0000-0000853C0000}"/>
    <cellStyle name="Normal 2 2 2 2 4 32 3 7" xfId="15494" xr:uid="{00000000-0005-0000-0000-0000863C0000}"/>
    <cellStyle name="Normal 2 2 2 2 4 32 3 8" xfId="15495" xr:uid="{00000000-0005-0000-0000-0000873C0000}"/>
    <cellStyle name="Normal 2 2 2 2 4 32 3 9" xfId="15496" xr:uid="{00000000-0005-0000-0000-0000883C0000}"/>
    <cellStyle name="Normal 2 2 2 2 4 32 4" xfId="15497" xr:uid="{00000000-0005-0000-0000-0000893C0000}"/>
    <cellStyle name="Normal 2 2 2 2 4 32 4 10" xfId="15498" xr:uid="{00000000-0005-0000-0000-00008A3C0000}"/>
    <cellStyle name="Normal 2 2 2 2 4 32 4 2" xfId="15499" xr:uid="{00000000-0005-0000-0000-00008B3C0000}"/>
    <cellStyle name="Normal 2 2 2 2 4 32 4 3" xfId="15500" xr:uid="{00000000-0005-0000-0000-00008C3C0000}"/>
    <cellStyle name="Normal 2 2 2 2 4 32 4 4" xfId="15501" xr:uid="{00000000-0005-0000-0000-00008D3C0000}"/>
    <cellStyle name="Normal 2 2 2 2 4 32 4 5" xfId="15502" xr:uid="{00000000-0005-0000-0000-00008E3C0000}"/>
    <cellStyle name="Normal 2 2 2 2 4 32 4 6" xfId="15503" xr:uid="{00000000-0005-0000-0000-00008F3C0000}"/>
    <cellStyle name="Normal 2 2 2 2 4 32 4 7" xfId="15504" xr:uid="{00000000-0005-0000-0000-0000903C0000}"/>
    <cellStyle name="Normal 2 2 2 2 4 32 4 8" xfId="15505" xr:uid="{00000000-0005-0000-0000-0000913C0000}"/>
    <cellStyle name="Normal 2 2 2 2 4 32 4 9" xfId="15506" xr:uid="{00000000-0005-0000-0000-0000923C0000}"/>
    <cellStyle name="Normal 2 2 2 2 4 32 5" xfId="15507" xr:uid="{00000000-0005-0000-0000-0000933C0000}"/>
    <cellStyle name="Normal 2 2 2 2 4 32 5 10" xfId="15508" xr:uid="{00000000-0005-0000-0000-0000943C0000}"/>
    <cellStyle name="Normal 2 2 2 2 4 32 5 2" xfId="15509" xr:uid="{00000000-0005-0000-0000-0000953C0000}"/>
    <cellStyle name="Normal 2 2 2 2 4 32 5 3" xfId="15510" xr:uid="{00000000-0005-0000-0000-0000963C0000}"/>
    <cellStyle name="Normal 2 2 2 2 4 32 5 4" xfId="15511" xr:uid="{00000000-0005-0000-0000-0000973C0000}"/>
    <cellStyle name="Normal 2 2 2 2 4 32 5 5" xfId="15512" xr:uid="{00000000-0005-0000-0000-0000983C0000}"/>
    <cellStyle name="Normal 2 2 2 2 4 32 5 6" xfId="15513" xr:uid="{00000000-0005-0000-0000-0000993C0000}"/>
    <cellStyle name="Normal 2 2 2 2 4 32 5 7" xfId="15514" xr:uid="{00000000-0005-0000-0000-00009A3C0000}"/>
    <cellStyle name="Normal 2 2 2 2 4 32 5 8" xfId="15515" xr:uid="{00000000-0005-0000-0000-00009B3C0000}"/>
    <cellStyle name="Normal 2 2 2 2 4 32 5 9" xfId="15516" xr:uid="{00000000-0005-0000-0000-00009C3C0000}"/>
    <cellStyle name="Normal 2 2 2 2 4 32 6" xfId="15517" xr:uid="{00000000-0005-0000-0000-00009D3C0000}"/>
    <cellStyle name="Normal 2 2 2 2 4 32 7" xfId="15518" xr:uid="{00000000-0005-0000-0000-00009E3C0000}"/>
    <cellStyle name="Normal 2 2 2 2 4 32 8" xfId="15519" xr:uid="{00000000-0005-0000-0000-00009F3C0000}"/>
    <cellStyle name="Normal 2 2 2 2 4 32 9" xfId="15520" xr:uid="{00000000-0005-0000-0000-0000A03C0000}"/>
    <cellStyle name="Normal 2 2 2 2 4 33" xfId="15521" xr:uid="{00000000-0005-0000-0000-0000A13C0000}"/>
    <cellStyle name="Normal 2 2 2 2 4 33 10" xfId="15522" xr:uid="{00000000-0005-0000-0000-0000A23C0000}"/>
    <cellStyle name="Normal 2 2 2 2 4 33 11" xfId="15523" xr:uid="{00000000-0005-0000-0000-0000A33C0000}"/>
    <cellStyle name="Normal 2 2 2 2 4 33 12" xfId="15524" xr:uid="{00000000-0005-0000-0000-0000A43C0000}"/>
    <cellStyle name="Normal 2 2 2 2 4 33 13" xfId="15525" xr:uid="{00000000-0005-0000-0000-0000A53C0000}"/>
    <cellStyle name="Normal 2 2 2 2 4 33 14" xfId="15526" xr:uid="{00000000-0005-0000-0000-0000A63C0000}"/>
    <cellStyle name="Normal 2 2 2 2 4 33 2" xfId="15527" xr:uid="{00000000-0005-0000-0000-0000A73C0000}"/>
    <cellStyle name="Normal 2 2 2 2 4 33 2 10" xfId="15528" xr:uid="{00000000-0005-0000-0000-0000A83C0000}"/>
    <cellStyle name="Normal 2 2 2 2 4 33 2 2" xfId="15529" xr:uid="{00000000-0005-0000-0000-0000A93C0000}"/>
    <cellStyle name="Normal 2 2 2 2 4 33 2 3" xfId="15530" xr:uid="{00000000-0005-0000-0000-0000AA3C0000}"/>
    <cellStyle name="Normal 2 2 2 2 4 33 2 4" xfId="15531" xr:uid="{00000000-0005-0000-0000-0000AB3C0000}"/>
    <cellStyle name="Normal 2 2 2 2 4 33 2 5" xfId="15532" xr:uid="{00000000-0005-0000-0000-0000AC3C0000}"/>
    <cellStyle name="Normal 2 2 2 2 4 33 2 6" xfId="15533" xr:uid="{00000000-0005-0000-0000-0000AD3C0000}"/>
    <cellStyle name="Normal 2 2 2 2 4 33 2 7" xfId="15534" xr:uid="{00000000-0005-0000-0000-0000AE3C0000}"/>
    <cellStyle name="Normal 2 2 2 2 4 33 2 8" xfId="15535" xr:uid="{00000000-0005-0000-0000-0000AF3C0000}"/>
    <cellStyle name="Normal 2 2 2 2 4 33 2 9" xfId="15536" xr:uid="{00000000-0005-0000-0000-0000B03C0000}"/>
    <cellStyle name="Normal 2 2 2 2 4 33 3" xfId="15537" xr:uid="{00000000-0005-0000-0000-0000B13C0000}"/>
    <cellStyle name="Normal 2 2 2 2 4 33 3 10" xfId="15538" xr:uid="{00000000-0005-0000-0000-0000B23C0000}"/>
    <cellStyle name="Normal 2 2 2 2 4 33 3 2" xfId="15539" xr:uid="{00000000-0005-0000-0000-0000B33C0000}"/>
    <cellStyle name="Normal 2 2 2 2 4 33 3 3" xfId="15540" xr:uid="{00000000-0005-0000-0000-0000B43C0000}"/>
    <cellStyle name="Normal 2 2 2 2 4 33 3 4" xfId="15541" xr:uid="{00000000-0005-0000-0000-0000B53C0000}"/>
    <cellStyle name="Normal 2 2 2 2 4 33 3 5" xfId="15542" xr:uid="{00000000-0005-0000-0000-0000B63C0000}"/>
    <cellStyle name="Normal 2 2 2 2 4 33 3 6" xfId="15543" xr:uid="{00000000-0005-0000-0000-0000B73C0000}"/>
    <cellStyle name="Normal 2 2 2 2 4 33 3 7" xfId="15544" xr:uid="{00000000-0005-0000-0000-0000B83C0000}"/>
    <cellStyle name="Normal 2 2 2 2 4 33 3 8" xfId="15545" xr:uid="{00000000-0005-0000-0000-0000B93C0000}"/>
    <cellStyle name="Normal 2 2 2 2 4 33 3 9" xfId="15546" xr:uid="{00000000-0005-0000-0000-0000BA3C0000}"/>
    <cellStyle name="Normal 2 2 2 2 4 33 4" xfId="15547" xr:uid="{00000000-0005-0000-0000-0000BB3C0000}"/>
    <cellStyle name="Normal 2 2 2 2 4 33 4 10" xfId="15548" xr:uid="{00000000-0005-0000-0000-0000BC3C0000}"/>
    <cellStyle name="Normal 2 2 2 2 4 33 4 2" xfId="15549" xr:uid="{00000000-0005-0000-0000-0000BD3C0000}"/>
    <cellStyle name="Normal 2 2 2 2 4 33 4 3" xfId="15550" xr:uid="{00000000-0005-0000-0000-0000BE3C0000}"/>
    <cellStyle name="Normal 2 2 2 2 4 33 4 4" xfId="15551" xr:uid="{00000000-0005-0000-0000-0000BF3C0000}"/>
    <cellStyle name="Normal 2 2 2 2 4 33 4 5" xfId="15552" xr:uid="{00000000-0005-0000-0000-0000C03C0000}"/>
    <cellStyle name="Normal 2 2 2 2 4 33 4 6" xfId="15553" xr:uid="{00000000-0005-0000-0000-0000C13C0000}"/>
    <cellStyle name="Normal 2 2 2 2 4 33 4 7" xfId="15554" xr:uid="{00000000-0005-0000-0000-0000C23C0000}"/>
    <cellStyle name="Normal 2 2 2 2 4 33 4 8" xfId="15555" xr:uid="{00000000-0005-0000-0000-0000C33C0000}"/>
    <cellStyle name="Normal 2 2 2 2 4 33 4 9" xfId="15556" xr:uid="{00000000-0005-0000-0000-0000C43C0000}"/>
    <cellStyle name="Normal 2 2 2 2 4 33 5" xfId="15557" xr:uid="{00000000-0005-0000-0000-0000C53C0000}"/>
    <cellStyle name="Normal 2 2 2 2 4 33 5 10" xfId="15558" xr:uid="{00000000-0005-0000-0000-0000C63C0000}"/>
    <cellStyle name="Normal 2 2 2 2 4 33 5 2" xfId="15559" xr:uid="{00000000-0005-0000-0000-0000C73C0000}"/>
    <cellStyle name="Normal 2 2 2 2 4 33 5 3" xfId="15560" xr:uid="{00000000-0005-0000-0000-0000C83C0000}"/>
    <cellStyle name="Normal 2 2 2 2 4 33 5 4" xfId="15561" xr:uid="{00000000-0005-0000-0000-0000C93C0000}"/>
    <cellStyle name="Normal 2 2 2 2 4 33 5 5" xfId="15562" xr:uid="{00000000-0005-0000-0000-0000CA3C0000}"/>
    <cellStyle name="Normal 2 2 2 2 4 33 5 6" xfId="15563" xr:uid="{00000000-0005-0000-0000-0000CB3C0000}"/>
    <cellStyle name="Normal 2 2 2 2 4 33 5 7" xfId="15564" xr:uid="{00000000-0005-0000-0000-0000CC3C0000}"/>
    <cellStyle name="Normal 2 2 2 2 4 33 5 8" xfId="15565" xr:uid="{00000000-0005-0000-0000-0000CD3C0000}"/>
    <cellStyle name="Normal 2 2 2 2 4 33 5 9" xfId="15566" xr:uid="{00000000-0005-0000-0000-0000CE3C0000}"/>
    <cellStyle name="Normal 2 2 2 2 4 33 6" xfId="15567" xr:uid="{00000000-0005-0000-0000-0000CF3C0000}"/>
    <cellStyle name="Normal 2 2 2 2 4 33 7" xfId="15568" xr:uid="{00000000-0005-0000-0000-0000D03C0000}"/>
    <cellStyle name="Normal 2 2 2 2 4 33 8" xfId="15569" xr:uid="{00000000-0005-0000-0000-0000D13C0000}"/>
    <cellStyle name="Normal 2 2 2 2 4 33 9" xfId="15570" xr:uid="{00000000-0005-0000-0000-0000D23C0000}"/>
    <cellStyle name="Normal 2 2 2 2 4 34" xfId="15571" xr:uid="{00000000-0005-0000-0000-0000D33C0000}"/>
    <cellStyle name="Normal 2 2 2 2 4 35" xfId="15572" xr:uid="{00000000-0005-0000-0000-0000D43C0000}"/>
    <cellStyle name="Normal 2 2 2 2 4 4" xfId="15573" xr:uid="{00000000-0005-0000-0000-0000D53C0000}"/>
    <cellStyle name="Normal 2 2 2 2 4 4 10" xfId="15574" xr:uid="{00000000-0005-0000-0000-0000D63C0000}"/>
    <cellStyle name="Normal 2 2 2 2 4 4 11" xfId="15575" xr:uid="{00000000-0005-0000-0000-0000D73C0000}"/>
    <cellStyle name="Normal 2 2 2 2 4 4 12" xfId="15576" xr:uid="{00000000-0005-0000-0000-0000D83C0000}"/>
    <cellStyle name="Normal 2 2 2 2 4 4 13" xfId="15577" xr:uid="{00000000-0005-0000-0000-0000D93C0000}"/>
    <cellStyle name="Normal 2 2 2 2 4 4 14" xfId="15578" xr:uid="{00000000-0005-0000-0000-0000DA3C0000}"/>
    <cellStyle name="Normal 2 2 2 2 4 4 2" xfId="15579" xr:uid="{00000000-0005-0000-0000-0000DB3C0000}"/>
    <cellStyle name="Normal 2 2 2 2 4 4 2 10" xfId="15580" xr:uid="{00000000-0005-0000-0000-0000DC3C0000}"/>
    <cellStyle name="Normal 2 2 2 2 4 4 2 2" xfId="15581" xr:uid="{00000000-0005-0000-0000-0000DD3C0000}"/>
    <cellStyle name="Normal 2 2 2 2 4 4 2 3" xfId="15582" xr:uid="{00000000-0005-0000-0000-0000DE3C0000}"/>
    <cellStyle name="Normal 2 2 2 2 4 4 2 4" xfId="15583" xr:uid="{00000000-0005-0000-0000-0000DF3C0000}"/>
    <cellStyle name="Normal 2 2 2 2 4 4 2 5" xfId="15584" xr:uid="{00000000-0005-0000-0000-0000E03C0000}"/>
    <cellStyle name="Normal 2 2 2 2 4 4 2 6" xfId="15585" xr:uid="{00000000-0005-0000-0000-0000E13C0000}"/>
    <cellStyle name="Normal 2 2 2 2 4 4 2 7" xfId="15586" xr:uid="{00000000-0005-0000-0000-0000E23C0000}"/>
    <cellStyle name="Normal 2 2 2 2 4 4 2 8" xfId="15587" xr:uid="{00000000-0005-0000-0000-0000E33C0000}"/>
    <cellStyle name="Normal 2 2 2 2 4 4 2 9" xfId="15588" xr:uid="{00000000-0005-0000-0000-0000E43C0000}"/>
    <cellStyle name="Normal 2 2 2 2 4 4 3" xfId="15589" xr:uid="{00000000-0005-0000-0000-0000E53C0000}"/>
    <cellStyle name="Normal 2 2 2 2 4 4 3 10" xfId="15590" xr:uid="{00000000-0005-0000-0000-0000E63C0000}"/>
    <cellStyle name="Normal 2 2 2 2 4 4 3 2" xfId="15591" xr:uid="{00000000-0005-0000-0000-0000E73C0000}"/>
    <cellStyle name="Normal 2 2 2 2 4 4 3 3" xfId="15592" xr:uid="{00000000-0005-0000-0000-0000E83C0000}"/>
    <cellStyle name="Normal 2 2 2 2 4 4 3 4" xfId="15593" xr:uid="{00000000-0005-0000-0000-0000E93C0000}"/>
    <cellStyle name="Normal 2 2 2 2 4 4 3 5" xfId="15594" xr:uid="{00000000-0005-0000-0000-0000EA3C0000}"/>
    <cellStyle name="Normal 2 2 2 2 4 4 3 6" xfId="15595" xr:uid="{00000000-0005-0000-0000-0000EB3C0000}"/>
    <cellStyle name="Normal 2 2 2 2 4 4 3 7" xfId="15596" xr:uid="{00000000-0005-0000-0000-0000EC3C0000}"/>
    <cellStyle name="Normal 2 2 2 2 4 4 3 8" xfId="15597" xr:uid="{00000000-0005-0000-0000-0000ED3C0000}"/>
    <cellStyle name="Normal 2 2 2 2 4 4 3 9" xfId="15598" xr:uid="{00000000-0005-0000-0000-0000EE3C0000}"/>
    <cellStyle name="Normal 2 2 2 2 4 4 4" xfId="15599" xr:uid="{00000000-0005-0000-0000-0000EF3C0000}"/>
    <cellStyle name="Normal 2 2 2 2 4 4 4 10" xfId="15600" xr:uid="{00000000-0005-0000-0000-0000F03C0000}"/>
    <cellStyle name="Normal 2 2 2 2 4 4 4 2" xfId="15601" xr:uid="{00000000-0005-0000-0000-0000F13C0000}"/>
    <cellStyle name="Normal 2 2 2 2 4 4 4 3" xfId="15602" xr:uid="{00000000-0005-0000-0000-0000F23C0000}"/>
    <cellStyle name="Normal 2 2 2 2 4 4 4 4" xfId="15603" xr:uid="{00000000-0005-0000-0000-0000F33C0000}"/>
    <cellStyle name="Normal 2 2 2 2 4 4 4 5" xfId="15604" xr:uid="{00000000-0005-0000-0000-0000F43C0000}"/>
    <cellStyle name="Normal 2 2 2 2 4 4 4 6" xfId="15605" xr:uid="{00000000-0005-0000-0000-0000F53C0000}"/>
    <cellStyle name="Normal 2 2 2 2 4 4 4 7" xfId="15606" xr:uid="{00000000-0005-0000-0000-0000F63C0000}"/>
    <cellStyle name="Normal 2 2 2 2 4 4 4 8" xfId="15607" xr:uid="{00000000-0005-0000-0000-0000F73C0000}"/>
    <cellStyle name="Normal 2 2 2 2 4 4 4 9" xfId="15608" xr:uid="{00000000-0005-0000-0000-0000F83C0000}"/>
    <cellStyle name="Normal 2 2 2 2 4 4 5" xfId="15609" xr:uid="{00000000-0005-0000-0000-0000F93C0000}"/>
    <cellStyle name="Normal 2 2 2 2 4 4 5 10" xfId="15610" xr:uid="{00000000-0005-0000-0000-0000FA3C0000}"/>
    <cellStyle name="Normal 2 2 2 2 4 4 5 2" xfId="15611" xr:uid="{00000000-0005-0000-0000-0000FB3C0000}"/>
    <cellStyle name="Normal 2 2 2 2 4 4 5 3" xfId="15612" xr:uid="{00000000-0005-0000-0000-0000FC3C0000}"/>
    <cellStyle name="Normal 2 2 2 2 4 4 5 4" xfId="15613" xr:uid="{00000000-0005-0000-0000-0000FD3C0000}"/>
    <cellStyle name="Normal 2 2 2 2 4 4 5 5" xfId="15614" xr:uid="{00000000-0005-0000-0000-0000FE3C0000}"/>
    <cellStyle name="Normal 2 2 2 2 4 4 5 6" xfId="15615" xr:uid="{00000000-0005-0000-0000-0000FF3C0000}"/>
    <cellStyle name="Normal 2 2 2 2 4 4 5 7" xfId="15616" xr:uid="{00000000-0005-0000-0000-0000003D0000}"/>
    <cellStyle name="Normal 2 2 2 2 4 4 5 8" xfId="15617" xr:uid="{00000000-0005-0000-0000-0000013D0000}"/>
    <cellStyle name="Normal 2 2 2 2 4 4 5 9" xfId="15618" xr:uid="{00000000-0005-0000-0000-0000023D0000}"/>
    <cellStyle name="Normal 2 2 2 2 4 4 6" xfId="15619" xr:uid="{00000000-0005-0000-0000-0000033D0000}"/>
    <cellStyle name="Normal 2 2 2 2 4 4 7" xfId="15620" xr:uid="{00000000-0005-0000-0000-0000043D0000}"/>
    <cellStyle name="Normal 2 2 2 2 4 4 8" xfId="15621" xr:uid="{00000000-0005-0000-0000-0000053D0000}"/>
    <cellStyle name="Normal 2 2 2 2 4 4 9" xfId="15622" xr:uid="{00000000-0005-0000-0000-0000063D0000}"/>
    <cellStyle name="Normal 2 2 2 2 4 5" xfId="15623" xr:uid="{00000000-0005-0000-0000-0000073D0000}"/>
    <cellStyle name="Normal 2 2 2 2 4 5 10" xfId="15624" xr:uid="{00000000-0005-0000-0000-0000083D0000}"/>
    <cellStyle name="Normal 2 2 2 2 4 5 11" xfId="15625" xr:uid="{00000000-0005-0000-0000-0000093D0000}"/>
    <cellStyle name="Normal 2 2 2 2 4 5 12" xfId="15626" xr:uid="{00000000-0005-0000-0000-00000A3D0000}"/>
    <cellStyle name="Normal 2 2 2 2 4 5 13" xfId="15627" xr:uid="{00000000-0005-0000-0000-00000B3D0000}"/>
    <cellStyle name="Normal 2 2 2 2 4 5 14" xfId="15628" xr:uid="{00000000-0005-0000-0000-00000C3D0000}"/>
    <cellStyle name="Normal 2 2 2 2 4 5 2" xfId="15629" xr:uid="{00000000-0005-0000-0000-00000D3D0000}"/>
    <cellStyle name="Normal 2 2 2 2 4 5 2 10" xfId="15630" xr:uid="{00000000-0005-0000-0000-00000E3D0000}"/>
    <cellStyle name="Normal 2 2 2 2 4 5 2 2" xfId="15631" xr:uid="{00000000-0005-0000-0000-00000F3D0000}"/>
    <cellStyle name="Normal 2 2 2 2 4 5 2 3" xfId="15632" xr:uid="{00000000-0005-0000-0000-0000103D0000}"/>
    <cellStyle name="Normal 2 2 2 2 4 5 2 4" xfId="15633" xr:uid="{00000000-0005-0000-0000-0000113D0000}"/>
    <cellStyle name="Normal 2 2 2 2 4 5 2 5" xfId="15634" xr:uid="{00000000-0005-0000-0000-0000123D0000}"/>
    <cellStyle name="Normal 2 2 2 2 4 5 2 6" xfId="15635" xr:uid="{00000000-0005-0000-0000-0000133D0000}"/>
    <cellStyle name="Normal 2 2 2 2 4 5 2 7" xfId="15636" xr:uid="{00000000-0005-0000-0000-0000143D0000}"/>
    <cellStyle name="Normal 2 2 2 2 4 5 2 8" xfId="15637" xr:uid="{00000000-0005-0000-0000-0000153D0000}"/>
    <cellStyle name="Normal 2 2 2 2 4 5 2 9" xfId="15638" xr:uid="{00000000-0005-0000-0000-0000163D0000}"/>
    <cellStyle name="Normal 2 2 2 2 4 5 3" xfId="15639" xr:uid="{00000000-0005-0000-0000-0000173D0000}"/>
    <cellStyle name="Normal 2 2 2 2 4 5 3 10" xfId="15640" xr:uid="{00000000-0005-0000-0000-0000183D0000}"/>
    <cellStyle name="Normal 2 2 2 2 4 5 3 2" xfId="15641" xr:uid="{00000000-0005-0000-0000-0000193D0000}"/>
    <cellStyle name="Normal 2 2 2 2 4 5 3 3" xfId="15642" xr:uid="{00000000-0005-0000-0000-00001A3D0000}"/>
    <cellStyle name="Normal 2 2 2 2 4 5 3 4" xfId="15643" xr:uid="{00000000-0005-0000-0000-00001B3D0000}"/>
    <cellStyle name="Normal 2 2 2 2 4 5 3 5" xfId="15644" xr:uid="{00000000-0005-0000-0000-00001C3D0000}"/>
    <cellStyle name="Normal 2 2 2 2 4 5 3 6" xfId="15645" xr:uid="{00000000-0005-0000-0000-00001D3D0000}"/>
    <cellStyle name="Normal 2 2 2 2 4 5 3 7" xfId="15646" xr:uid="{00000000-0005-0000-0000-00001E3D0000}"/>
    <cellStyle name="Normal 2 2 2 2 4 5 3 8" xfId="15647" xr:uid="{00000000-0005-0000-0000-00001F3D0000}"/>
    <cellStyle name="Normal 2 2 2 2 4 5 3 9" xfId="15648" xr:uid="{00000000-0005-0000-0000-0000203D0000}"/>
    <cellStyle name="Normal 2 2 2 2 4 5 4" xfId="15649" xr:uid="{00000000-0005-0000-0000-0000213D0000}"/>
    <cellStyle name="Normal 2 2 2 2 4 5 4 10" xfId="15650" xr:uid="{00000000-0005-0000-0000-0000223D0000}"/>
    <cellStyle name="Normal 2 2 2 2 4 5 4 2" xfId="15651" xr:uid="{00000000-0005-0000-0000-0000233D0000}"/>
    <cellStyle name="Normal 2 2 2 2 4 5 4 3" xfId="15652" xr:uid="{00000000-0005-0000-0000-0000243D0000}"/>
    <cellStyle name="Normal 2 2 2 2 4 5 4 4" xfId="15653" xr:uid="{00000000-0005-0000-0000-0000253D0000}"/>
    <cellStyle name="Normal 2 2 2 2 4 5 4 5" xfId="15654" xr:uid="{00000000-0005-0000-0000-0000263D0000}"/>
    <cellStyle name="Normal 2 2 2 2 4 5 4 6" xfId="15655" xr:uid="{00000000-0005-0000-0000-0000273D0000}"/>
    <cellStyle name="Normal 2 2 2 2 4 5 4 7" xfId="15656" xr:uid="{00000000-0005-0000-0000-0000283D0000}"/>
    <cellStyle name="Normal 2 2 2 2 4 5 4 8" xfId="15657" xr:uid="{00000000-0005-0000-0000-0000293D0000}"/>
    <cellStyle name="Normal 2 2 2 2 4 5 4 9" xfId="15658" xr:uid="{00000000-0005-0000-0000-00002A3D0000}"/>
    <cellStyle name="Normal 2 2 2 2 4 5 5" xfId="15659" xr:uid="{00000000-0005-0000-0000-00002B3D0000}"/>
    <cellStyle name="Normal 2 2 2 2 4 5 5 10" xfId="15660" xr:uid="{00000000-0005-0000-0000-00002C3D0000}"/>
    <cellStyle name="Normal 2 2 2 2 4 5 5 2" xfId="15661" xr:uid="{00000000-0005-0000-0000-00002D3D0000}"/>
    <cellStyle name="Normal 2 2 2 2 4 5 5 3" xfId="15662" xr:uid="{00000000-0005-0000-0000-00002E3D0000}"/>
    <cellStyle name="Normal 2 2 2 2 4 5 5 4" xfId="15663" xr:uid="{00000000-0005-0000-0000-00002F3D0000}"/>
    <cellStyle name="Normal 2 2 2 2 4 5 5 5" xfId="15664" xr:uid="{00000000-0005-0000-0000-0000303D0000}"/>
    <cellStyle name="Normal 2 2 2 2 4 5 5 6" xfId="15665" xr:uid="{00000000-0005-0000-0000-0000313D0000}"/>
    <cellStyle name="Normal 2 2 2 2 4 5 5 7" xfId="15666" xr:uid="{00000000-0005-0000-0000-0000323D0000}"/>
    <cellStyle name="Normal 2 2 2 2 4 5 5 8" xfId="15667" xr:uid="{00000000-0005-0000-0000-0000333D0000}"/>
    <cellStyle name="Normal 2 2 2 2 4 5 5 9" xfId="15668" xr:uid="{00000000-0005-0000-0000-0000343D0000}"/>
    <cellStyle name="Normal 2 2 2 2 4 5 6" xfId="15669" xr:uid="{00000000-0005-0000-0000-0000353D0000}"/>
    <cellStyle name="Normal 2 2 2 2 4 5 7" xfId="15670" xr:uid="{00000000-0005-0000-0000-0000363D0000}"/>
    <cellStyle name="Normal 2 2 2 2 4 5 8" xfId="15671" xr:uid="{00000000-0005-0000-0000-0000373D0000}"/>
    <cellStyle name="Normal 2 2 2 2 4 5 9" xfId="15672" xr:uid="{00000000-0005-0000-0000-0000383D0000}"/>
    <cellStyle name="Normal 2 2 2 2 4 6" xfId="15673" xr:uid="{00000000-0005-0000-0000-0000393D0000}"/>
    <cellStyle name="Normal 2 2 2 2 4 6 10" xfId="15674" xr:uid="{00000000-0005-0000-0000-00003A3D0000}"/>
    <cellStyle name="Normal 2 2 2 2 4 6 11" xfId="15675" xr:uid="{00000000-0005-0000-0000-00003B3D0000}"/>
    <cellStyle name="Normal 2 2 2 2 4 6 12" xfId="15676" xr:uid="{00000000-0005-0000-0000-00003C3D0000}"/>
    <cellStyle name="Normal 2 2 2 2 4 6 13" xfId="15677" xr:uid="{00000000-0005-0000-0000-00003D3D0000}"/>
    <cellStyle name="Normal 2 2 2 2 4 6 14" xfId="15678" xr:uid="{00000000-0005-0000-0000-00003E3D0000}"/>
    <cellStyle name="Normal 2 2 2 2 4 6 2" xfId="15679" xr:uid="{00000000-0005-0000-0000-00003F3D0000}"/>
    <cellStyle name="Normal 2 2 2 2 4 6 2 10" xfId="15680" xr:uid="{00000000-0005-0000-0000-0000403D0000}"/>
    <cellStyle name="Normal 2 2 2 2 4 6 2 2" xfId="15681" xr:uid="{00000000-0005-0000-0000-0000413D0000}"/>
    <cellStyle name="Normal 2 2 2 2 4 6 2 3" xfId="15682" xr:uid="{00000000-0005-0000-0000-0000423D0000}"/>
    <cellStyle name="Normal 2 2 2 2 4 6 2 4" xfId="15683" xr:uid="{00000000-0005-0000-0000-0000433D0000}"/>
    <cellStyle name="Normal 2 2 2 2 4 6 2 5" xfId="15684" xr:uid="{00000000-0005-0000-0000-0000443D0000}"/>
    <cellStyle name="Normal 2 2 2 2 4 6 2 6" xfId="15685" xr:uid="{00000000-0005-0000-0000-0000453D0000}"/>
    <cellStyle name="Normal 2 2 2 2 4 6 2 7" xfId="15686" xr:uid="{00000000-0005-0000-0000-0000463D0000}"/>
    <cellStyle name="Normal 2 2 2 2 4 6 2 8" xfId="15687" xr:uid="{00000000-0005-0000-0000-0000473D0000}"/>
    <cellStyle name="Normal 2 2 2 2 4 6 2 9" xfId="15688" xr:uid="{00000000-0005-0000-0000-0000483D0000}"/>
    <cellStyle name="Normal 2 2 2 2 4 6 3" xfId="15689" xr:uid="{00000000-0005-0000-0000-0000493D0000}"/>
    <cellStyle name="Normal 2 2 2 2 4 6 3 10" xfId="15690" xr:uid="{00000000-0005-0000-0000-00004A3D0000}"/>
    <cellStyle name="Normal 2 2 2 2 4 6 3 2" xfId="15691" xr:uid="{00000000-0005-0000-0000-00004B3D0000}"/>
    <cellStyle name="Normal 2 2 2 2 4 6 3 3" xfId="15692" xr:uid="{00000000-0005-0000-0000-00004C3D0000}"/>
    <cellStyle name="Normal 2 2 2 2 4 6 3 4" xfId="15693" xr:uid="{00000000-0005-0000-0000-00004D3D0000}"/>
    <cellStyle name="Normal 2 2 2 2 4 6 3 5" xfId="15694" xr:uid="{00000000-0005-0000-0000-00004E3D0000}"/>
    <cellStyle name="Normal 2 2 2 2 4 6 3 6" xfId="15695" xr:uid="{00000000-0005-0000-0000-00004F3D0000}"/>
    <cellStyle name="Normal 2 2 2 2 4 6 3 7" xfId="15696" xr:uid="{00000000-0005-0000-0000-0000503D0000}"/>
    <cellStyle name="Normal 2 2 2 2 4 6 3 8" xfId="15697" xr:uid="{00000000-0005-0000-0000-0000513D0000}"/>
    <cellStyle name="Normal 2 2 2 2 4 6 3 9" xfId="15698" xr:uid="{00000000-0005-0000-0000-0000523D0000}"/>
    <cellStyle name="Normal 2 2 2 2 4 6 4" xfId="15699" xr:uid="{00000000-0005-0000-0000-0000533D0000}"/>
    <cellStyle name="Normal 2 2 2 2 4 6 4 10" xfId="15700" xr:uid="{00000000-0005-0000-0000-0000543D0000}"/>
    <cellStyle name="Normal 2 2 2 2 4 6 4 2" xfId="15701" xr:uid="{00000000-0005-0000-0000-0000553D0000}"/>
    <cellStyle name="Normal 2 2 2 2 4 6 4 3" xfId="15702" xr:uid="{00000000-0005-0000-0000-0000563D0000}"/>
    <cellStyle name="Normal 2 2 2 2 4 6 4 4" xfId="15703" xr:uid="{00000000-0005-0000-0000-0000573D0000}"/>
    <cellStyle name="Normal 2 2 2 2 4 6 4 5" xfId="15704" xr:uid="{00000000-0005-0000-0000-0000583D0000}"/>
    <cellStyle name="Normal 2 2 2 2 4 6 4 6" xfId="15705" xr:uid="{00000000-0005-0000-0000-0000593D0000}"/>
    <cellStyle name="Normal 2 2 2 2 4 6 4 7" xfId="15706" xr:uid="{00000000-0005-0000-0000-00005A3D0000}"/>
    <cellStyle name="Normal 2 2 2 2 4 6 4 8" xfId="15707" xr:uid="{00000000-0005-0000-0000-00005B3D0000}"/>
    <cellStyle name="Normal 2 2 2 2 4 6 4 9" xfId="15708" xr:uid="{00000000-0005-0000-0000-00005C3D0000}"/>
    <cellStyle name="Normal 2 2 2 2 4 6 5" xfId="15709" xr:uid="{00000000-0005-0000-0000-00005D3D0000}"/>
    <cellStyle name="Normal 2 2 2 2 4 6 5 10" xfId="15710" xr:uid="{00000000-0005-0000-0000-00005E3D0000}"/>
    <cellStyle name="Normal 2 2 2 2 4 6 5 2" xfId="15711" xr:uid="{00000000-0005-0000-0000-00005F3D0000}"/>
    <cellStyle name="Normal 2 2 2 2 4 6 5 3" xfId="15712" xr:uid="{00000000-0005-0000-0000-0000603D0000}"/>
    <cellStyle name="Normal 2 2 2 2 4 6 5 4" xfId="15713" xr:uid="{00000000-0005-0000-0000-0000613D0000}"/>
    <cellStyle name="Normal 2 2 2 2 4 6 5 5" xfId="15714" xr:uid="{00000000-0005-0000-0000-0000623D0000}"/>
    <cellStyle name="Normal 2 2 2 2 4 6 5 6" xfId="15715" xr:uid="{00000000-0005-0000-0000-0000633D0000}"/>
    <cellStyle name="Normal 2 2 2 2 4 6 5 7" xfId="15716" xr:uid="{00000000-0005-0000-0000-0000643D0000}"/>
    <cellStyle name="Normal 2 2 2 2 4 6 5 8" xfId="15717" xr:uid="{00000000-0005-0000-0000-0000653D0000}"/>
    <cellStyle name="Normal 2 2 2 2 4 6 5 9" xfId="15718" xr:uid="{00000000-0005-0000-0000-0000663D0000}"/>
    <cellStyle name="Normal 2 2 2 2 4 6 6" xfId="15719" xr:uid="{00000000-0005-0000-0000-0000673D0000}"/>
    <cellStyle name="Normal 2 2 2 2 4 6 7" xfId="15720" xr:uid="{00000000-0005-0000-0000-0000683D0000}"/>
    <cellStyle name="Normal 2 2 2 2 4 6 8" xfId="15721" xr:uid="{00000000-0005-0000-0000-0000693D0000}"/>
    <cellStyle name="Normal 2 2 2 2 4 6 9" xfId="15722" xr:uid="{00000000-0005-0000-0000-00006A3D0000}"/>
    <cellStyle name="Normal 2 2 2 2 4 7" xfId="15723" xr:uid="{00000000-0005-0000-0000-00006B3D0000}"/>
    <cellStyle name="Normal 2 2 2 2 4 7 10" xfId="15724" xr:uid="{00000000-0005-0000-0000-00006C3D0000}"/>
    <cellStyle name="Normal 2 2 2 2 4 7 11" xfId="15725" xr:uid="{00000000-0005-0000-0000-00006D3D0000}"/>
    <cellStyle name="Normal 2 2 2 2 4 7 12" xfId="15726" xr:uid="{00000000-0005-0000-0000-00006E3D0000}"/>
    <cellStyle name="Normal 2 2 2 2 4 7 13" xfId="15727" xr:uid="{00000000-0005-0000-0000-00006F3D0000}"/>
    <cellStyle name="Normal 2 2 2 2 4 7 14" xfId="15728" xr:uid="{00000000-0005-0000-0000-0000703D0000}"/>
    <cellStyle name="Normal 2 2 2 2 4 7 2" xfId="15729" xr:uid="{00000000-0005-0000-0000-0000713D0000}"/>
    <cellStyle name="Normal 2 2 2 2 4 7 2 10" xfId="15730" xr:uid="{00000000-0005-0000-0000-0000723D0000}"/>
    <cellStyle name="Normal 2 2 2 2 4 7 2 2" xfId="15731" xr:uid="{00000000-0005-0000-0000-0000733D0000}"/>
    <cellStyle name="Normal 2 2 2 2 4 7 2 3" xfId="15732" xr:uid="{00000000-0005-0000-0000-0000743D0000}"/>
    <cellStyle name="Normal 2 2 2 2 4 7 2 4" xfId="15733" xr:uid="{00000000-0005-0000-0000-0000753D0000}"/>
    <cellStyle name="Normal 2 2 2 2 4 7 2 5" xfId="15734" xr:uid="{00000000-0005-0000-0000-0000763D0000}"/>
    <cellStyle name="Normal 2 2 2 2 4 7 2 6" xfId="15735" xr:uid="{00000000-0005-0000-0000-0000773D0000}"/>
    <cellStyle name="Normal 2 2 2 2 4 7 2 7" xfId="15736" xr:uid="{00000000-0005-0000-0000-0000783D0000}"/>
    <cellStyle name="Normal 2 2 2 2 4 7 2 8" xfId="15737" xr:uid="{00000000-0005-0000-0000-0000793D0000}"/>
    <cellStyle name="Normal 2 2 2 2 4 7 2 9" xfId="15738" xr:uid="{00000000-0005-0000-0000-00007A3D0000}"/>
    <cellStyle name="Normal 2 2 2 2 4 7 3" xfId="15739" xr:uid="{00000000-0005-0000-0000-00007B3D0000}"/>
    <cellStyle name="Normal 2 2 2 2 4 7 3 10" xfId="15740" xr:uid="{00000000-0005-0000-0000-00007C3D0000}"/>
    <cellStyle name="Normal 2 2 2 2 4 7 3 2" xfId="15741" xr:uid="{00000000-0005-0000-0000-00007D3D0000}"/>
    <cellStyle name="Normal 2 2 2 2 4 7 3 3" xfId="15742" xr:uid="{00000000-0005-0000-0000-00007E3D0000}"/>
    <cellStyle name="Normal 2 2 2 2 4 7 3 4" xfId="15743" xr:uid="{00000000-0005-0000-0000-00007F3D0000}"/>
    <cellStyle name="Normal 2 2 2 2 4 7 3 5" xfId="15744" xr:uid="{00000000-0005-0000-0000-0000803D0000}"/>
    <cellStyle name="Normal 2 2 2 2 4 7 3 6" xfId="15745" xr:uid="{00000000-0005-0000-0000-0000813D0000}"/>
    <cellStyle name="Normal 2 2 2 2 4 7 3 7" xfId="15746" xr:uid="{00000000-0005-0000-0000-0000823D0000}"/>
    <cellStyle name="Normal 2 2 2 2 4 7 3 8" xfId="15747" xr:uid="{00000000-0005-0000-0000-0000833D0000}"/>
    <cellStyle name="Normal 2 2 2 2 4 7 3 9" xfId="15748" xr:uid="{00000000-0005-0000-0000-0000843D0000}"/>
    <cellStyle name="Normal 2 2 2 2 4 7 4" xfId="15749" xr:uid="{00000000-0005-0000-0000-0000853D0000}"/>
    <cellStyle name="Normal 2 2 2 2 4 7 4 10" xfId="15750" xr:uid="{00000000-0005-0000-0000-0000863D0000}"/>
    <cellStyle name="Normal 2 2 2 2 4 7 4 2" xfId="15751" xr:uid="{00000000-0005-0000-0000-0000873D0000}"/>
    <cellStyle name="Normal 2 2 2 2 4 7 4 3" xfId="15752" xr:uid="{00000000-0005-0000-0000-0000883D0000}"/>
    <cellStyle name="Normal 2 2 2 2 4 7 4 4" xfId="15753" xr:uid="{00000000-0005-0000-0000-0000893D0000}"/>
    <cellStyle name="Normal 2 2 2 2 4 7 4 5" xfId="15754" xr:uid="{00000000-0005-0000-0000-00008A3D0000}"/>
    <cellStyle name="Normal 2 2 2 2 4 7 4 6" xfId="15755" xr:uid="{00000000-0005-0000-0000-00008B3D0000}"/>
    <cellStyle name="Normal 2 2 2 2 4 7 4 7" xfId="15756" xr:uid="{00000000-0005-0000-0000-00008C3D0000}"/>
    <cellStyle name="Normal 2 2 2 2 4 7 4 8" xfId="15757" xr:uid="{00000000-0005-0000-0000-00008D3D0000}"/>
    <cellStyle name="Normal 2 2 2 2 4 7 4 9" xfId="15758" xr:uid="{00000000-0005-0000-0000-00008E3D0000}"/>
    <cellStyle name="Normal 2 2 2 2 4 7 5" xfId="15759" xr:uid="{00000000-0005-0000-0000-00008F3D0000}"/>
    <cellStyle name="Normal 2 2 2 2 4 7 5 10" xfId="15760" xr:uid="{00000000-0005-0000-0000-0000903D0000}"/>
    <cellStyle name="Normal 2 2 2 2 4 7 5 2" xfId="15761" xr:uid="{00000000-0005-0000-0000-0000913D0000}"/>
    <cellStyle name="Normal 2 2 2 2 4 7 5 3" xfId="15762" xr:uid="{00000000-0005-0000-0000-0000923D0000}"/>
    <cellStyle name="Normal 2 2 2 2 4 7 5 4" xfId="15763" xr:uid="{00000000-0005-0000-0000-0000933D0000}"/>
    <cellStyle name="Normal 2 2 2 2 4 7 5 5" xfId="15764" xr:uid="{00000000-0005-0000-0000-0000943D0000}"/>
    <cellStyle name="Normal 2 2 2 2 4 7 5 6" xfId="15765" xr:uid="{00000000-0005-0000-0000-0000953D0000}"/>
    <cellStyle name="Normal 2 2 2 2 4 7 5 7" xfId="15766" xr:uid="{00000000-0005-0000-0000-0000963D0000}"/>
    <cellStyle name="Normal 2 2 2 2 4 7 5 8" xfId="15767" xr:uid="{00000000-0005-0000-0000-0000973D0000}"/>
    <cellStyle name="Normal 2 2 2 2 4 7 5 9" xfId="15768" xr:uid="{00000000-0005-0000-0000-0000983D0000}"/>
    <cellStyle name="Normal 2 2 2 2 4 7 6" xfId="15769" xr:uid="{00000000-0005-0000-0000-0000993D0000}"/>
    <cellStyle name="Normal 2 2 2 2 4 7 7" xfId="15770" xr:uid="{00000000-0005-0000-0000-00009A3D0000}"/>
    <cellStyle name="Normal 2 2 2 2 4 7 8" xfId="15771" xr:uid="{00000000-0005-0000-0000-00009B3D0000}"/>
    <cellStyle name="Normal 2 2 2 2 4 7 9" xfId="15772" xr:uid="{00000000-0005-0000-0000-00009C3D0000}"/>
    <cellStyle name="Normal 2 2 2 2 4 8" xfId="15773" xr:uid="{00000000-0005-0000-0000-00009D3D0000}"/>
    <cellStyle name="Normal 2 2 2 2 4 8 10" xfId="15774" xr:uid="{00000000-0005-0000-0000-00009E3D0000}"/>
    <cellStyle name="Normal 2 2 2 2 4 8 11" xfId="15775" xr:uid="{00000000-0005-0000-0000-00009F3D0000}"/>
    <cellStyle name="Normal 2 2 2 2 4 8 12" xfId="15776" xr:uid="{00000000-0005-0000-0000-0000A03D0000}"/>
    <cellStyle name="Normal 2 2 2 2 4 8 13" xfId="15777" xr:uid="{00000000-0005-0000-0000-0000A13D0000}"/>
    <cellStyle name="Normal 2 2 2 2 4 8 14" xfId="15778" xr:uid="{00000000-0005-0000-0000-0000A23D0000}"/>
    <cellStyle name="Normal 2 2 2 2 4 8 2" xfId="15779" xr:uid="{00000000-0005-0000-0000-0000A33D0000}"/>
    <cellStyle name="Normal 2 2 2 2 4 8 2 10" xfId="15780" xr:uid="{00000000-0005-0000-0000-0000A43D0000}"/>
    <cellStyle name="Normal 2 2 2 2 4 8 2 2" xfId="15781" xr:uid="{00000000-0005-0000-0000-0000A53D0000}"/>
    <cellStyle name="Normal 2 2 2 2 4 8 2 3" xfId="15782" xr:uid="{00000000-0005-0000-0000-0000A63D0000}"/>
    <cellStyle name="Normal 2 2 2 2 4 8 2 4" xfId="15783" xr:uid="{00000000-0005-0000-0000-0000A73D0000}"/>
    <cellStyle name="Normal 2 2 2 2 4 8 2 5" xfId="15784" xr:uid="{00000000-0005-0000-0000-0000A83D0000}"/>
    <cellStyle name="Normal 2 2 2 2 4 8 2 6" xfId="15785" xr:uid="{00000000-0005-0000-0000-0000A93D0000}"/>
    <cellStyle name="Normal 2 2 2 2 4 8 2 7" xfId="15786" xr:uid="{00000000-0005-0000-0000-0000AA3D0000}"/>
    <cellStyle name="Normal 2 2 2 2 4 8 2 8" xfId="15787" xr:uid="{00000000-0005-0000-0000-0000AB3D0000}"/>
    <cellStyle name="Normal 2 2 2 2 4 8 2 9" xfId="15788" xr:uid="{00000000-0005-0000-0000-0000AC3D0000}"/>
    <cellStyle name="Normal 2 2 2 2 4 8 3" xfId="15789" xr:uid="{00000000-0005-0000-0000-0000AD3D0000}"/>
    <cellStyle name="Normal 2 2 2 2 4 8 3 10" xfId="15790" xr:uid="{00000000-0005-0000-0000-0000AE3D0000}"/>
    <cellStyle name="Normal 2 2 2 2 4 8 3 2" xfId="15791" xr:uid="{00000000-0005-0000-0000-0000AF3D0000}"/>
    <cellStyle name="Normal 2 2 2 2 4 8 3 3" xfId="15792" xr:uid="{00000000-0005-0000-0000-0000B03D0000}"/>
    <cellStyle name="Normal 2 2 2 2 4 8 3 4" xfId="15793" xr:uid="{00000000-0005-0000-0000-0000B13D0000}"/>
    <cellStyle name="Normal 2 2 2 2 4 8 3 5" xfId="15794" xr:uid="{00000000-0005-0000-0000-0000B23D0000}"/>
    <cellStyle name="Normal 2 2 2 2 4 8 3 6" xfId="15795" xr:uid="{00000000-0005-0000-0000-0000B33D0000}"/>
    <cellStyle name="Normal 2 2 2 2 4 8 3 7" xfId="15796" xr:uid="{00000000-0005-0000-0000-0000B43D0000}"/>
    <cellStyle name="Normal 2 2 2 2 4 8 3 8" xfId="15797" xr:uid="{00000000-0005-0000-0000-0000B53D0000}"/>
    <cellStyle name="Normal 2 2 2 2 4 8 3 9" xfId="15798" xr:uid="{00000000-0005-0000-0000-0000B63D0000}"/>
    <cellStyle name="Normal 2 2 2 2 4 8 4" xfId="15799" xr:uid="{00000000-0005-0000-0000-0000B73D0000}"/>
    <cellStyle name="Normal 2 2 2 2 4 8 4 10" xfId="15800" xr:uid="{00000000-0005-0000-0000-0000B83D0000}"/>
    <cellStyle name="Normal 2 2 2 2 4 8 4 2" xfId="15801" xr:uid="{00000000-0005-0000-0000-0000B93D0000}"/>
    <cellStyle name="Normal 2 2 2 2 4 8 4 3" xfId="15802" xr:uid="{00000000-0005-0000-0000-0000BA3D0000}"/>
    <cellStyle name="Normal 2 2 2 2 4 8 4 4" xfId="15803" xr:uid="{00000000-0005-0000-0000-0000BB3D0000}"/>
    <cellStyle name="Normal 2 2 2 2 4 8 4 5" xfId="15804" xr:uid="{00000000-0005-0000-0000-0000BC3D0000}"/>
    <cellStyle name="Normal 2 2 2 2 4 8 4 6" xfId="15805" xr:uid="{00000000-0005-0000-0000-0000BD3D0000}"/>
    <cellStyle name="Normal 2 2 2 2 4 8 4 7" xfId="15806" xr:uid="{00000000-0005-0000-0000-0000BE3D0000}"/>
    <cellStyle name="Normal 2 2 2 2 4 8 4 8" xfId="15807" xr:uid="{00000000-0005-0000-0000-0000BF3D0000}"/>
    <cellStyle name="Normal 2 2 2 2 4 8 4 9" xfId="15808" xr:uid="{00000000-0005-0000-0000-0000C03D0000}"/>
    <cellStyle name="Normal 2 2 2 2 4 8 5" xfId="15809" xr:uid="{00000000-0005-0000-0000-0000C13D0000}"/>
    <cellStyle name="Normal 2 2 2 2 4 8 5 10" xfId="15810" xr:uid="{00000000-0005-0000-0000-0000C23D0000}"/>
    <cellStyle name="Normal 2 2 2 2 4 8 5 2" xfId="15811" xr:uid="{00000000-0005-0000-0000-0000C33D0000}"/>
    <cellStyle name="Normal 2 2 2 2 4 8 5 3" xfId="15812" xr:uid="{00000000-0005-0000-0000-0000C43D0000}"/>
    <cellStyle name="Normal 2 2 2 2 4 8 5 4" xfId="15813" xr:uid="{00000000-0005-0000-0000-0000C53D0000}"/>
    <cellStyle name="Normal 2 2 2 2 4 8 5 5" xfId="15814" xr:uid="{00000000-0005-0000-0000-0000C63D0000}"/>
    <cellStyle name="Normal 2 2 2 2 4 8 5 6" xfId="15815" xr:uid="{00000000-0005-0000-0000-0000C73D0000}"/>
    <cellStyle name="Normal 2 2 2 2 4 8 5 7" xfId="15816" xr:uid="{00000000-0005-0000-0000-0000C83D0000}"/>
    <cellStyle name="Normal 2 2 2 2 4 8 5 8" xfId="15817" xr:uid="{00000000-0005-0000-0000-0000C93D0000}"/>
    <cellStyle name="Normal 2 2 2 2 4 8 5 9" xfId="15818" xr:uid="{00000000-0005-0000-0000-0000CA3D0000}"/>
    <cellStyle name="Normal 2 2 2 2 4 8 6" xfId="15819" xr:uid="{00000000-0005-0000-0000-0000CB3D0000}"/>
    <cellStyle name="Normal 2 2 2 2 4 8 7" xfId="15820" xr:uid="{00000000-0005-0000-0000-0000CC3D0000}"/>
    <cellStyle name="Normal 2 2 2 2 4 8 8" xfId="15821" xr:uid="{00000000-0005-0000-0000-0000CD3D0000}"/>
    <cellStyle name="Normal 2 2 2 2 4 8 9" xfId="15822" xr:uid="{00000000-0005-0000-0000-0000CE3D0000}"/>
    <cellStyle name="Normal 2 2 2 2 4 9" xfId="15823" xr:uid="{00000000-0005-0000-0000-0000CF3D0000}"/>
    <cellStyle name="Normal 2 2 2 2 4 9 10" xfId="15824" xr:uid="{00000000-0005-0000-0000-0000D03D0000}"/>
    <cellStyle name="Normal 2 2 2 2 4 9 11" xfId="15825" xr:uid="{00000000-0005-0000-0000-0000D13D0000}"/>
    <cellStyle name="Normal 2 2 2 2 4 9 12" xfId="15826" xr:uid="{00000000-0005-0000-0000-0000D23D0000}"/>
    <cellStyle name="Normal 2 2 2 2 4 9 13" xfId="15827" xr:uid="{00000000-0005-0000-0000-0000D33D0000}"/>
    <cellStyle name="Normal 2 2 2 2 4 9 14" xfId="15828" xr:uid="{00000000-0005-0000-0000-0000D43D0000}"/>
    <cellStyle name="Normal 2 2 2 2 4 9 2" xfId="15829" xr:uid="{00000000-0005-0000-0000-0000D53D0000}"/>
    <cellStyle name="Normal 2 2 2 2 4 9 2 10" xfId="15830" xr:uid="{00000000-0005-0000-0000-0000D63D0000}"/>
    <cellStyle name="Normal 2 2 2 2 4 9 2 2" xfId="15831" xr:uid="{00000000-0005-0000-0000-0000D73D0000}"/>
    <cellStyle name="Normal 2 2 2 2 4 9 2 3" xfId="15832" xr:uid="{00000000-0005-0000-0000-0000D83D0000}"/>
    <cellStyle name="Normal 2 2 2 2 4 9 2 4" xfId="15833" xr:uid="{00000000-0005-0000-0000-0000D93D0000}"/>
    <cellStyle name="Normal 2 2 2 2 4 9 2 5" xfId="15834" xr:uid="{00000000-0005-0000-0000-0000DA3D0000}"/>
    <cellStyle name="Normal 2 2 2 2 4 9 2 6" xfId="15835" xr:uid="{00000000-0005-0000-0000-0000DB3D0000}"/>
    <cellStyle name="Normal 2 2 2 2 4 9 2 7" xfId="15836" xr:uid="{00000000-0005-0000-0000-0000DC3D0000}"/>
    <cellStyle name="Normal 2 2 2 2 4 9 2 8" xfId="15837" xr:uid="{00000000-0005-0000-0000-0000DD3D0000}"/>
    <cellStyle name="Normal 2 2 2 2 4 9 2 9" xfId="15838" xr:uid="{00000000-0005-0000-0000-0000DE3D0000}"/>
    <cellStyle name="Normal 2 2 2 2 4 9 3" xfId="15839" xr:uid="{00000000-0005-0000-0000-0000DF3D0000}"/>
    <cellStyle name="Normal 2 2 2 2 4 9 3 10" xfId="15840" xr:uid="{00000000-0005-0000-0000-0000E03D0000}"/>
    <cellStyle name="Normal 2 2 2 2 4 9 3 2" xfId="15841" xr:uid="{00000000-0005-0000-0000-0000E13D0000}"/>
    <cellStyle name="Normal 2 2 2 2 4 9 3 3" xfId="15842" xr:uid="{00000000-0005-0000-0000-0000E23D0000}"/>
    <cellStyle name="Normal 2 2 2 2 4 9 3 4" xfId="15843" xr:uid="{00000000-0005-0000-0000-0000E33D0000}"/>
    <cellStyle name="Normal 2 2 2 2 4 9 3 5" xfId="15844" xr:uid="{00000000-0005-0000-0000-0000E43D0000}"/>
    <cellStyle name="Normal 2 2 2 2 4 9 3 6" xfId="15845" xr:uid="{00000000-0005-0000-0000-0000E53D0000}"/>
    <cellStyle name="Normal 2 2 2 2 4 9 3 7" xfId="15846" xr:uid="{00000000-0005-0000-0000-0000E63D0000}"/>
    <cellStyle name="Normal 2 2 2 2 4 9 3 8" xfId="15847" xr:uid="{00000000-0005-0000-0000-0000E73D0000}"/>
    <cellStyle name="Normal 2 2 2 2 4 9 3 9" xfId="15848" xr:uid="{00000000-0005-0000-0000-0000E83D0000}"/>
    <cellStyle name="Normal 2 2 2 2 4 9 4" xfId="15849" xr:uid="{00000000-0005-0000-0000-0000E93D0000}"/>
    <cellStyle name="Normal 2 2 2 2 4 9 4 10" xfId="15850" xr:uid="{00000000-0005-0000-0000-0000EA3D0000}"/>
    <cellStyle name="Normal 2 2 2 2 4 9 4 2" xfId="15851" xr:uid="{00000000-0005-0000-0000-0000EB3D0000}"/>
    <cellStyle name="Normal 2 2 2 2 4 9 4 3" xfId="15852" xr:uid="{00000000-0005-0000-0000-0000EC3D0000}"/>
    <cellStyle name="Normal 2 2 2 2 4 9 4 4" xfId="15853" xr:uid="{00000000-0005-0000-0000-0000ED3D0000}"/>
    <cellStyle name="Normal 2 2 2 2 4 9 4 5" xfId="15854" xr:uid="{00000000-0005-0000-0000-0000EE3D0000}"/>
    <cellStyle name="Normal 2 2 2 2 4 9 4 6" xfId="15855" xr:uid="{00000000-0005-0000-0000-0000EF3D0000}"/>
    <cellStyle name="Normal 2 2 2 2 4 9 4 7" xfId="15856" xr:uid="{00000000-0005-0000-0000-0000F03D0000}"/>
    <cellStyle name="Normal 2 2 2 2 4 9 4 8" xfId="15857" xr:uid="{00000000-0005-0000-0000-0000F13D0000}"/>
    <cellStyle name="Normal 2 2 2 2 4 9 4 9" xfId="15858" xr:uid="{00000000-0005-0000-0000-0000F23D0000}"/>
    <cellStyle name="Normal 2 2 2 2 4 9 5" xfId="15859" xr:uid="{00000000-0005-0000-0000-0000F33D0000}"/>
    <cellStyle name="Normal 2 2 2 2 4 9 5 10" xfId="15860" xr:uid="{00000000-0005-0000-0000-0000F43D0000}"/>
    <cellStyle name="Normal 2 2 2 2 4 9 5 2" xfId="15861" xr:uid="{00000000-0005-0000-0000-0000F53D0000}"/>
    <cellStyle name="Normal 2 2 2 2 4 9 5 3" xfId="15862" xr:uid="{00000000-0005-0000-0000-0000F63D0000}"/>
    <cellStyle name="Normal 2 2 2 2 4 9 5 4" xfId="15863" xr:uid="{00000000-0005-0000-0000-0000F73D0000}"/>
    <cellStyle name="Normal 2 2 2 2 4 9 5 5" xfId="15864" xr:uid="{00000000-0005-0000-0000-0000F83D0000}"/>
    <cellStyle name="Normal 2 2 2 2 4 9 5 6" xfId="15865" xr:uid="{00000000-0005-0000-0000-0000F93D0000}"/>
    <cellStyle name="Normal 2 2 2 2 4 9 5 7" xfId="15866" xr:uid="{00000000-0005-0000-0000-0000FA3D0000}"/>
    <cellStyle name="Normal 2 2 2 2 4 9 5 8" xfId="15867" xr:uid="{00000000-0005-0000-0000-0000FB3D0000}"/>
    <cellStyle name="Normal 2 2 2 2 4 9 5 9" xfId="15868" xr:uid="{00000000-0005-0000-0000-0000FC3D0000}"/>
    <cellStyle name="Normal 2 2 2 2 4 9 6" xfId="15869" xr:uid="{00000000-0005-0000-0000-0000FD3D0000}"/>
    <cellStyle name="Normal 2 2 2 2 4 9 7" xfId="15870" xr:uid="{00000000-0005-0000-0000-0000FE3D0000}"/>
    <cellStyle name="Normal 2 2 2 2 4 9 8" xfId="15871" xr:uid="{00000000-0005-0000-0000-0000FF3D0000}"/>
    <cellStyle name="Normal 2 2 2 2 4 9 9" xfId="15872" xr:uid="{00000000-0005-0000-0000-0000003E0000}"/>
    <cellStyle name="Normal 2 2 2 2 40" xfId="15873" xr:uid="{00000000-0005-0000-0000-0000013E0000}"/>
    <cellStyle name="Normal 2 2 2 2 40 10" xfId="15874" xr:uid="{00000000-0005-0000-0000-0000023E0000}"/>
    <cellStyle name="Normal 2 2 2 2 40 2" xfId="15875" xr:uid="{00000000-0005-0000-0000-0000033E0000}"/>
    <cellStyle name="Normal 2 2 2 2 40 3" xfId="15876" xr:uid="{00000000-0005-0000-0000-0000043E0000}"/>
    <cellStyle name="Normal 2 2 2 2 40 4" xfId="15877" xr:uid="{00000000-0005-0000-0000-0000053E0000}"/>
    <cellStyle name="Normal 2 2 2 2 40 5" xfId="15878" xr:uid="{00000000-0005-0000-0000-0000063E0000}"/>
    <cellStyle name="Normal 2 2 2 2 40 6" xfId="15879" xr:uid="{00000000-0005-0000-0000-0000073E0000}"/>
    <cellStyle name="Normal 2 2 2 2 40 7" xfId="15880" xr:uid="{00000000-0005-0000-0000-0000083E0000}"/>
    <cellStyle name="Normal 2 2 2 2 40 8" xfId="15881" xr:uid="{00000000-0005-0000-0000-0000093E0000}"/>
    <cellStyle name="Normal 2 2 2 2 40 9" xfId="15882" xr:uid="{00000000-0005-0000-0000-00000A3E0000}"/>
    <cellStyle name="Normal 2 2 2 2 41" xfId="15883" xr:uid="{00000000-0005-0000-0000-00000B3E0000}"/>
    <cellStyle name="Normal 2 2 2 2 42" xfId="15884" xr:uid="{00000000-0005-0000-0000-00000C3E0000}"/>
    <cellStyle name="Normal 2 2 2 2 43" xfId="15885" xr:uid="{00000000-0005-0000-0000-00000D3E0000}"/>
    <cellStyle name="Normal 2 2 2 2 44" xfId="15886" xr:uid="{00000000-0005-0000-0000-00000E3E0000}"/>
    <cellStyle name="Normal 2 2 2 2 45" xfId="15887" xr:uid="{00000000-0005-0000-0000-00000F3E0000}"/>
    <cellStyle name="Normal 2 2 2 2 46" xfId="15888" xr:uid="{00000000-0005-0000-0000-0000103E0000}"/>
    <cellStyle name="Normal 2 2 2 2 47" xfId="15889" xr:uid="{00000000-0005-0000-0000-0000113E0000}"/>
    <cellStyle name="Normal 2 2 2 2 48" xfId="15890" xr:uid="{00000000-0005-0000-0000-0000123E0000}"/>
    <cellStyle name="Normal 2 2 2 2 49" xfId="15891" xr:uid="{00000000-0005-0000-0000-0000133E0000}"/>
    <cellStyle name="Normal 2 2 2 2 5" xfId="15892" xr:uid="{00000000-0005-0000-0000-0000143E0000}"/>
    <cellStyle name="Normal 2 2 2 2 5 10" xfId="15893" xr:uid="{00000000-0005-0000-0000-0000153E0000}"/>
    <cellStyle name="Normal 2 2 2 2 5 10 10" xfId="15894" xr:uid="{00000000-0005-0000-0000-0000163E0000}"/>
    <cellStyle name="Normal 2 2 2 2 5 10 11" xfId="15895" xr:uid="{00000000-0005-0000-0000-0000173E0000}"/>
    <cellStyle name="Normal 2 2 2 2 5 10 12" xfId="15896" xr:uid="{00000000-0005-0000-0000-0000183E0000}"/>
    <cellStyle name="Normal 2 2 2 2 5 10 13" xfId="15897" xr:uid="{00000000-0005-0000-0000-0000193E0000}"/>
    <cellStyle name="Normal 2 2 2 2 5 10 14" xfId="15898" xr:uid="{00000000-0005-0000-0000-00001A3E0000}"/>
    <cellStyle name="Normal 2 2 2 2 5 10 2" xfId="15899" xr:uid="{00000000-0005-0000-0000-00001B3E0000}"/>
    <cellStyle name="Normal 2 2 2 2 5 10 2 10" xfId="15900" xr:uid="{00000000-0005-0000-0000-00001C3E0000}"/>
    <cellStyle name="Normal 2 2 2 2 5 10 2 2" xfId="15901" xr:uid="{00000000-0005-0000-0000-00001D3E0000}"/>
    <cellStyle name="Normal 2 2 2 2 5 10 2 3" xfId="15902" xr:uid="{00000000-0005-0000-0000-00001E3E0000}"/>
    <cellStyle name="Normal 2 2 2 2 5 10 2 4" xfId="15903" xr:uid="{00000000-0005-0000-0000-00001F3E0000}"/>
    <cellStyle name="Normal 2 2 2 2 5 10 2 5" xfId="15904" xr:uid="{00000000-0005-0000-0000-0000203E0000}"/>
    <cellStyle name="Normal 2 2 2 2 5 10 2 6" xfId="15905" xr:uid="{00000000-0005-0000-0000-0000213E0000}"/>
    <cellStyle name="Normal 2 2 2 2 5 10 2 7" xfId="15906" xr:uid="{00000000-0005-0000-0000-0000223E0000}"/>
    <cellStyle name="Normal 2 2 2 2 5 10 2 8" xfId="15907" xr:uid="{00000000-0005-0000-0000-0000233E0000}"/>
    <cellStyle name="Normal 2 2 2 2 5 10 2 9" xfId="15908" xr:uid="{00000000-0005-0000-0000-0000243E0000}"/>
    <cellStyle name="Normal 2 2 2 2 5 10 3" xfId="15909" xr:uid="{00000000-0005-0000-0000-0000253E0000}"/>
    <cellStyle name="Normal 2 2 2 2 5 10 3 10" xfId="15910" xr:uid="{00000000-0005-0000-0000-0000263E0000}"/>
    <cellStyle name="Normal 2 2 2 2 5 10 3 2" xfId="15911" xr:uid="{00000000-0005-0000-0000-0000273E0000}"/>
    <cellStyle name="Normal 2 2 2 2 5 10 3 3" xfId="15912" xr:uid="{00000000-0005-0000-0000-0000283E0000}"/>
    <cellStyle name="Normal 2 2 2 2 5 10 3 4" xfId="15913" xr:uid="{00000000-0005-0000-0000-0000293E0000}"/>
    <cellStyle name="Normal 2 2 2 2 5 10 3 5" xfId="15914" xr:uid="{00000000-0005-0000-0000-00002A3E0000}"/>
    <cellStyle name="Normal 2 2 2 2 5 10 3 6" xfId="15915" xr:uid="{00000000-0005-0000-0000-00002B3E0000}"/>
    <cellStyle name="Normal 2 2 2 2 5 10 3 7" xfId="15916" xr:uid="{00000000-0005-0000-0000-00002C3E0000}"/>
    <cellStyle name="Normal 2 2 2 2 5 10 3 8" xfId="15917" xr:uid="{00000000-0005-0000-0000-00002D3E0000}"/>
    <cellStyle name="Normal 2 2 2 2 5 10 3 9" xfId="15918" xr:uid="{00000000-0005-0000-0000-00002E3E0000}"/>
    <cellStyle name="Normal 2 2 2 2 5 10 4" xfId="15919" xr:uid="{00000000-0005-0000-0000-00002F3E0000}"/>
    <cellStyle name="Normal 2 2 2 2 5 10 4 10" xfId="15920" xr:uid="{00000000-0005-0000-0000-0000303E0000}"/>
    <cellStyle name="Normal 2 2 2 2 5 10 4 2" xfId="15921" xr:uid="{00000000-0005-0000-0000-0000313E0000}"/>
    <cellStyle name="Normal 2 2 2 2 5 10 4 3" xfId="15922" xr:uid="{00000000-0005-0000-0000-0000323E0000}"/>
    <cellStyle name="Normal 2 2 2 2 5 10 4 4" xfId="15923" xr:uid="{00000000-0005-0000-0000-0000333E0000}"/>
    <cellStyle name="Normal 2 2 2 2 5 10 4 5" xfId="15924" xr:uid="{00000000-0005-0000-0000-0000343E0000}"/>
    <cellStyle name="Normal 2 2 2 2 5 10 4 6" xfId="15925" xr:uid="{00000000-0005-0000-0000-0000353E0000}"/>
    <cellStyle name="Normal 2 2 2 2 5 10 4 7" xfId="15926" xr:uid="{00000000-0005-0000-0000-0000363E0000}"/>
    <cellStyle name="Normal 2 2 2 2 5 10 4 8" xfId="15927" xr:uid="{00000000-0005-0000-0000-0000373E0000}"/>
    <cellStyle name="Normal 2 2 2 2 5 10 4 9" xfId="15928" xr:uid="{00000000-0005-0000-0000-0000383E0000}"/>
    <cellStyle name="Normal 2 2 2 2 5 10 5" xfId="15929" xr:uid="{00000000-0005-0000-0000-0000393E0000}"/>
    <cellStyle name="Normal 2 2 2 2 5 10 5 10" xfId="15930" xr:uid="{00000000-0005-0000-0000-00003A3E0000}"/>
    <cellStyle name="Normal 2 2 2 2 5 10 5 2" xfId="15931" xr:uid="{00000000-0005-0000-0000-00003B3E0000}"/>
    <cellStyle name="Normal 2 2 2 2 5 10 5 3" xfId="15932" xr:uid="{00000000-0005-0000-0000-00003C3E0000}"/>
    <cellStyle name="Normal 2 2 2 2 5 10 5 4" xfId="15933" xr:uid="{00000000-0005-0000-0000-00003D3E0000}"/>
    <cellStyle name="Normal 2 2 2 2 5 10 5 5" xfId="15934" xr:uid="{00000000-0005-0000-0000-00003E3E0000}"/>
    <cellStyle name="Normal 2 2 2 2 5 10 5 6" xfId="15935" xr:uid="{00000000-0005-0000-0000-00003F3E0000}"/>
    <cellStyle name="Normal 2 2 2 2 5 10 5 7" xfId="15936" xr:uid="{00000000-0005-0000-0000-0000403E0000}"/>
    <cellStyle name="Normal 2 2 2 2 5 10 5 8" xfId="15937" xr:uid="{00000000-0005-0000-0000-0000413E0000}"/>
    <cellStyle name="Normal 2 2 2 2 5 10 5 9" xfId="15938" xr:uid="{00000000-0005-0000-0000-0000423E0000}"/>
    <cellStyle name="Normal 2 2 2 2 5 10 6" xfId="15939" xr:uid="{00000000-0005-0000-0000-0000433E0000}"/>
    <cellStyle name="Normal 2 2 2 2 5 10 7" xfId="15940" xr:uid="{00000000-0005-0000-0000-0000443E0000}"/>
    <cellStyle name="Normal 2 2 2 2 5 10 8" xfId="15941" xr:uid="{00000000-0005-0000-0000-0000453E0000}"/>
    <cellStyle name="Normal 2 2 2 2 5 10 9" xfId="15942" xr:uid="{00000000-0005-0000-0000-0000463E0000}"/>
    <cellStyle name="Normal 2 2 2 2 5 11" xfId="15943" xr:uid="{00000000-0005-0000-0000-0000473E0000}"/>
    <cellStyle name="Normal 2 2 2 2 5 11 10" xfId="15944" xr:uid="{00000000-0005-0000-0000-0000483E0000}"/>
    <cellStyle name="Normal 2 2 2 2 5 11 11" xfId="15945" xr:uid="{00000000-0005-0000-0000-0000493E0000}"/>
    <cellStyle name="Normal 2 2 2 2 5 11 12" xfId="15946" xr:uid="{00000000-0005-0000-0000-00004A3E0000}"/>
    <cellStyle name="Normal 2 2 2 2 5 11 13" xfId="15947" xr:uid="{00000000-0005-0000-0000-00004B3E0000}"/>
    <cellStyle name="Normal 2 2 2 2 5 11 14" xfId="15948" xr:uid="{00000000-0005-0000-0000-00004C3E0000}"/>
    <cellStyle name="Normal 2 2 2 2 5 11 2" xfId="15949" xr:uid="{00000000-0005-0000-0000-00004D3E0000}"/>
    <cellStyle name="Normal 2 2 2 2 5 11 2 10" xfId="15950" xr:uid="{00000000-0005-0000-0000-00004E3E0000}"/>
    <cellStyle name="Normal 2 2 2 2 5 11 2 2" xfId="15951" xr:uid="{00000000-0005-0000-0000-00004F3E0000}"/>
    <cellStyle name="Normal 2 2 2 2 5 11 2 3" xfId="15952" xr:uid="{00000000-0005-0000-0000-0000503E0000}"/>
    <cellStyle name="Normal 2 2 2 2 5 11 2 4" xfId="15953" xr:uid="{00000000-0005-0000-0000-0000513E0000}"/>
    <cellStyle name="Normal 2 2 2 2 5 11 2 5" xfId="15954" xr:uid="{00000000-0005-0000-0000-0000523E0000}"/>
    <cellStyle name="Normal 2 2 2 2 5 11 2 6" xfId="15955" xr:uid="{00000000-0005-0000-0000-0000533E0000}"/>
    <cellStyle name="Normal 2 2 2 2 5 11 2 7" xfId="15956" xr:uid="{00000000-0005-0000-0000-0000543E0000}"/>
    <cellStyle name="Normal 2 2 2 2 5 11 2 8" xfId="15957" xr:uid="{00000000-0005-0000-0000-0000553E0000}"/>
    <cellStyle name="Normal 2 2 2 2 5 11 2 9" xfId="15958" xr:uid="{00000000-0005-0000-0000-0000563E0000}"/>
    <cellStyle name="Normal 2 2 2 2 5 11 3" xfId="15959" xr:uid="{00000000-0005-0000-0000-0000573E0000}"/>
    <cellStyle name="Normal 2 2 2 2 5 11 3 10" xfId="15960" xr:uid="{00000000-0005-0000-0000-0000583E0000}"/>
    <cellStyle name="Normal 2 2 2 2 5 11 3 2" xfId="15961" xr:uid="{00000000-0005-0000-0000-0000593E0000}"/>
    <cellStyle name="Normal 2 2 2 2 5 11 3 3" xfId="15962" xr:uid="{00000000-0005-0000-0000-00005A3E0000}"/>
    <cellStyle name="Normal 2 2 2 2 5 11 3 4" xfId="15963" xr:uid="{00000000-0005-0000-0000-00005B3E0000}"/>
    <cellStyle name="Normal 2 2 2 2 5 11 3 5" xfId="15964" xr:uid="{00000000-0005-0000-0000-00005C3E0000}"/>
    <cellStyle name="Normal 2 2 2 2 5 11 3 6" xfId="15965" xr:uid="{00000000-0005-0000-0000-00005D3E0000}"/>
    <cellStyle name="Normal 2 2 2 2 5 11 3 7" xfId="15966" xr:uid="{00000000-0005-0000-0000-00005E3E0000}"/>
    <cellStyle name="Normal 2 2 2 2 5 11 3 8" xfId="15967" xr:uid="{00000000-0005-0000-0000-00005F3E0000}"/>
    <cellStyle name="Normal 2 2 2 2 5 11 3 9" xfId="15968" xr:uid="{00000000-0005-0000-0000-0000603E0000}"/>
    <cellStyle name="Normal 2 2 2 2 5 11 4" xfId="15969" xr:uid="{00000000-0005-0000-0000-0000613E0000}"/>
    <cellStyle name="Normal 2 2 2 2 5 11 4 10" xfId="15970" xr:uid="{00000000-0005-0000-0000-0000623E0000}"/>
    <cellStyle name="Normal 2 2 2 2 5 11 4 2" xfId="15971" xr:uid="{00000000-0005-0000-0000-0000633E0000}"/>
    <cellStyle name="Normal 2 2 2 2 5 11 4 3" xfId="15972" xr:uid="{00000000-0005-0000-0000-0000643E0000}"/>
    <cellStyle name="Normal 2 2 2 2 5 11 4 4" xfId="15973" xr:uid="{00000000-0005-0000-0000-0000653E0000}"/>
    <cellStyle name="Normal 2 2 2 2 5 11 4 5" xfId="15974" xr:uid="{00000000-0005-0000-0000-0000663E0000}"/>
    <cellStyle name="Normal 2 2 2 2 5 11 4 6" xfId="15975" xr:uid="{00000000-0005-0000-0000-0000673E0000}"/>
    <cellStyle name="Normal 2 2 2 2 5 11 4 7" xfId="15976" xr:uid="{00000000-0005-0000-0000-0000683E0000}"/>
    <cellStyle name="Normal 2 2 2 2 5 11 4 8" xfId="15977" xr:uid="{00000000-0005-0000-0000-0000693E0000}"/>
    <cellStyle name="Normal 2 2 2 2 5 11 4 9" xfId="15978" xr:uid="{00000000-0005-0000-0000-00006A3E0000}"/>
    <cellStyle name="Normal 2 2 2 2 5 11 5" xfId="15979" xr:uid="{00000000-0005-0000-0000-00006B3E0000}"/>
    <cellStyle name="Normal 2 2 2 2 5 11 5 10" xfId="15980" xr:uid="{00000000-0005-0000-0000-00006C3E0000}"/>
    <cellStyle name="Normal 2 2 2 2 5 11 5 2" xfId="15981" xr:uid="{00000000-0005-0000-0000-00006D3E0000}"/>
    <cellStyle name="Normal 2 2 2 2 5 11 5 3" xfId="15982" xr:uid="{00000000-0005-0000-0000-00006E3E0000}"/>
    <cellStyle name="Normal 2 2 2 2 5 11 5 4" xfId="15983" xr:uid="{00000000-0005-0000-0000-00006F3E0000}"/>
    <cellStyle name="Normal 2 2 2 2 5 11 5 5" xfId="15984" xr:uid="{00000000-0005-0000-0000-0000703E0000}"/>
    <cellStyle name="Normal 2 2 2 2 5 11 5 6" xfId="15985" xr:uid="{00000000-0005-0000-0000-0000713E0000}"/>
    <cellStyle name="Normal 2 2 2 2 5 11 5 7" xfId="15986" xr:uid="{00000000-0005-0000-0000-0000723E0000}"/>
    <cellStyle name="Normal 2 2 2 2 5 11 5 8" xfId="15987" xr:uid="{00000000-0005-0000-0000-0000733E0000}"/>
    <cellStyle name="Normal 2 2 2 2 5 11 5 9" xfId="15988" xr:uid="{00000000-0005-0000-0000-0000743E0000}"/>
    <cellStyle name="Normal 2 2 2 2 5 11 6" xfId="15989" xr:uid="{00000000-0005-0000-0000-0000753E0000}"/>
    <cellStyle name="Normal 2 2 2 2 5 11 7" xfId="15990" xr:uid="{00000000-0005-0000-0000-0000763E0000}"/>
    <cellStyle name="Normal 2 2 2 2 5 11 8" xfId="15991" xr:uid="{00000000-0005-0000-0000-0000773E0000}"/>
    <cellStyle name="Normal 2 2 2 2 5 11 9" xfId="15992" xr:uid="{00000000-0005-0000-0000-0000783E0000}"/>
    <cellStyle name="Normal 2 2 2 2 5 12" xfId="15993" xr:uid="{00000000-0005-0000-0000-0000793E0000}"/>
    <cellStyle name="Normal 2 2 2 2 5 12 10" xfId="15994" xr:uid="{00000000-0005-0000-0000-00007A3E0000}"/>
    <cellStyle name="Normal 2 2 2 2 5 12 11" xfId="15995" xr:uid="{00000000-0005-0000-0000-00007B3E0000}"/>
    <cellStyle name="Normal 2 2 2 2 5 12 12" xfId="15996" xr:uid="{00000000-0005-0000-0000-00007C3E0000}"/>
    <cellStyle name="Normal 2 2 2 2 5 12 13" xfId="15997" xr:uid="{00000000-0005-0000-0000-00007D3E0000}"/>
    <cellStyle name="Normal 2 2 2 2 5 12 14" xfId="15998" xr:uid="{00000000-0005-0000-0000-00007E3E0000}"/>
    <cellStyle name="Normal 2 2 2 2 5 12 2" xfId="15999" xr:uid="{00000000-0005-0000-0000-00007F3E0000}"/>
    <cellStyle name="Normal 2 2 2 2 5 12 2 10" xfId="16000" xr:uid="{00000000-0005-0000-0000-0000803E0000}"/>
    <cellStyle name="Normal 2 2 2 2 5 12 2 2" xfId="16001" xr:uid="{00000000-0005-0000-0000-0000813E0000}"/>
    <cellStyle name="Normal 2 2 2 2 5 12 2 3" xfId="16002" xr:uid="{00000000-0005-0000-0000-0000823E0000}"/>
    <cellStyle name="Normal 2 2 2 2 5 12 2 4" xfId="16003" xr:uid="{00000000-0005-0000-0000-0000833E0000}"/>
    <cellStyle name="Normal 2 2 2 2 5 12 2 5" xfId="16004" xr:uid="{00000000-0005-0000-0000-0000843E0000}"/>
    <cellStyle name="Normal 2 2 2 2 5 12 2 6" xfId="16005" xr:uid="{00000000-0005-0000-0000-0000853E0000}"/>
    <cellStyle name="Normal 2 2 2 2 5 12 2 7" xfId="16006" xr:uid="{00000000-0005-0000-0000-0000863E0000}"/>
    <cellStyle name="Normal 2 2 2 2 5 12 2 8" xfId="16007" xr:uid="{00000000-0005-0000-0000-0000873E0000}"/>
    <cellStyle name="Normal 2 2 2 2 5 12 2 9" xfId="16008" xr:uid="{00000000-0005-0000-0000-0000883E0000}"/>
    <cellStyle name="Normal 2 2 2 2 5 12 3" xfId="16009" xr:uid="{00000000-0005-0000-0000-0000893E0000}"/>
    <cellStyle name="Normal 2 2 2 2 5 12 3 10" xfId="16010" xr:uid="{00000000-0005-0000-0000-00008A3E0000}"/>
    <cellStyle name="Normal 2 2 2 2 5 12 3 2" xfId="16011" xr:uid="{00000000-0005-0000-0000-00008B3E0000}"/>
    <cellStyle name="Normal 2 2 2 2 5 12 3 3" xfId="16012" xr:uid="{00000000-0005-0000-0000-00008C3E0000}"/>
    <cellStyle name="Normal 2 2 2 2 5 12 3 4" xfId="16013" xr:uid="{00000000-0005-0000-0000-00008D3E0000}"/>
    <cellStyle name="Normal 2 2 2 2 5 12 3 5" xfId="16014" xr:uid="{00000000-0005-0000-0000-00008E3E0000}"/>
    <cellStyle name="Normal 2 2 2 2 5 12 3 6" xfId="16015" xr:uid="{00000000-0005-0000-0000-00008F3E0000}"/>
    <cellStyle name="Normal 2 2 2 2 5 12 3 7" xfId="16016" xr:uid="{00000000-0005-0000-0000-0000903E0000}"/>
    <cellStyle name="Normal 2 2 2 2 5 12 3 8" xfId="16017" xr:uid="{00000000-0005-0000-0000-0000913E0000}"/>
    <cellStyle name="Normal 2 2 2 2 5 12 3 9" xfId="16018" xr:uid="{00000000-0005-0000-0000-0000923E0000}"/>
    <cellStyle name="Normal 2 2 2 2 5 12 4" xfId="16019" xr:uid="{00000000-0005-0000-0000-0000933E0000}"/>
    <cellStyle name="Normal 2 2 2 2 5 12 4 10" xfId="16020" xr:uid="{00000000-0005-0000-0000-0000943E0000}"/>
    <cellStyle name="Normal 2 2 2 2 5 12 4 2" xfId="16021" xr:uid="{00000000-0005-0000-0000-0000953E0000}"/>
    <cellStyle name="Normal 2 2 2 2 5 12 4 3" xfId="16022" xr:uid="{00000000-0005-0000-0000-0000963E0000}"/>
    <cellStyle name="Normal 2 2 2 2 5 12 4 4" xfId="16023" xr:uid="{00000000-0005-0000-0000-0000973E0000}"/>
    <cellStyle name="Normal 2 2 2 2 5 12 4 5" xfId="16024" xr:uid="{00000000-0005-0000-0000-0000983E0000}"/>
    <cellStyle name="Normal 2 2 2 2 5 12 4 6" xfId="16025" xr:uid="{00000000-0005-0000-0000-0000993E0000}"/>
    <cellStyle name="Normal 2 2 2 2 5 12 4 7" xfId="16026" xr:uid="{00000000-0005-0000-0000-00009A3E0000}"/>
    <cellStyle name="Normal 2 2 2 2 5 12 4 8" xfId="16027" xr:uid="{00000000-0005-0000-0000-00009B3E0000}"/>
    <cellStyle name="Normal 2 2 2 2 5 12 4 9" xfId="16028" xr:uid="{00000000-0005-0000-0000-00009C3E0000}"/>
    <cellStyle name="Normal 2 2 2 2 5 12 5" xfId="16029" xr:uid="{00000000-0005-0000-0000-00009D3E0000}"/>
    <cellStyle name="Normal 2 2 2 2 5 12 5 10" xfId="16030" xr:uid="{00000000-0005-0000-0000-00009E3E0000}"/>
    <cellStyle name="Normal 2 2 2 2 5 12 5 2" xfId="16031" xr:uid="{00000000-0005-0000-0000-00009F3E0000}"/>
    <cellStyle name="Normal 2 2 2 2 5 12 5 3" xfId="16032" xr:uid="{00000000-0005-0000-0000-0000A03E0000}"/>
    <cellStyle name="Normal 2 2 2 2 5 12 5 4" xfId="16033" xr:uid="{00000000-0005-0000-0000-0000A13E0000}"/>
    <cellStyle name="Normal 2 2 2 2 5 12 5 5" xfId="16034" xr:uid="{00000000-0005-0000-0000-0000A23E0000}"/>
    <cellStyle name="Normal 2 2 2 2 5 12 5 6" xfId="16035" xr:uid="{00000000-0005-0000-0000-0000A33E0000}"/>
    <cellStyle name="Normal 2 2 2 2 5 12 5 7" xfId="16036" xr:uid="{00000000-0005-0000-0000-0000A43E0000}"/>
    <cellStyle name="Normal 2 2 2 2 5 12 5 8" xfId="16037" xr:uid="{00000000-0005-0000-0000-0000A53E0000}"/>
    <cellStyle name="Normal 2 2 2 2 5 12 5 9" xfId="16038" xr:uid="{00000000-0005-0000-0000-0000A63E0000}"/>
    <cellStyle name="Normal 2 2 2 2 5 12 6" xfId="16039" xr:uid="{00000000-0005-0000-0000-0000A73E0000}"/>
    <cellStyle name="Normal 2 2 2 2 5 12 7" xfId="16040" xr:uid="{00000000-0005-0000-0000-0000A83E0000}"/>
    <cellStyle name="Normal 2 2 2 2 5 12 8" xfId="16041" xr:uid="{00000000-0005-0000-0000-0000A93E0000}"/>
    <cellStyle name="Normal 2 2 2 2 5 12 9" xfId="16042" xr:uid="{00000000-0005-0000-0000-0000AA3E0000}"/>
    <cellStyle name="Normal 2 2 2 2 5 13" xfId="16043" xr:uid="{00000000-0005-0000-0000-0000AB3E0000}"/>
    <cellStyle name="Normal 2 2 2 2 5 13 10" xfId="16044" xr:uid="{00000000-0005-0000-0000-0000AC3E0000}"/>
    <cellStyle name="Normal 2 2 2 2 5 13 11" xfId="16045" xr:uid="{00000000-0005-0000-0000-0000AD3E0000}"/>
    <cellStyle name="Normal 2 2 2 2 5 13 12" xfId="16046" xr:uid="{00000000-0005-0000-0000-0000AE3E0000}"/>
    <cellStyle name="Normal 2 2 2 2 5 13 13" xfId="16047" xr:uid="{00000000-0005-0000-0000-0000AF3E0000}"/>
    <cellStyle name="Normal 2 2 2 2 5 13 14" xfId="16048" xr:uid="{00000000-0005-0000-0000-0000B03E0000}"/>
    <cellStyle name="Normal 2 2 2 2 5 13 2" xfId="16049" xr:uid="{00000000-0005-0000-0000-0000B13E0000}"/>
    <cellStyle name="Normal 2 2 2 2 5 13 2 10" xfId="16050" xr:uid="{00000000-0005-0000-0000-0000B23E0000}"/>
    <cellStyle name="Normal 2 2 2 2 5 13 2 2" xfId="16051" xr:uid="{00000000-0005-0000-0000-0000B33E0000}"/>
    <cellStyle name="Normal 2 2 2 2 5 13 2 3" xfId="16052" xr:uid="{00000000-0005-0000-0000-0000B43E0000}"/>
    <cellStyle name="Normal 2 2 2 2 5 13 2 4" xfId="16053" xr:uid="{00000000-0005-0000-0000-0000B53E0000}"/>
    <cellStyle name="Normal 2 2 2 2 5 13 2 5" xfId="16054" xr:uid="{00000000-0005-0000-0000-0000B63E0000}"/>
    <cellStyle name="Normal 2 2 2 2 5 13 2 6" xfId="16055" xr:uid="{00000000-0005-0000-0000-0000B73E0000}"/>
    <cellStyle name="Normal 2 2 2 2 5 13 2 7" xfId="16056" xr:uid="{00000000-0005-0000-0000-0000B83E0000}"/>
    <cellStyle name="Normal 2 2 2 2 5 13 2 8" xfId="16057" xr:uid="{00000000-0005-0000-0000-0000B93E0000}"/>
    <cellStyle name="Normal 2 2 2 2 5 13 2 9" xfId="16058" xr:uid="{00000000-0005-0000-0000-0000BA3E0000}"/>
    <cellStyle name="Normal 2 2 2 2 5 13 3" xfId="16059" xr:uid="{00000000-0005-0000-0000-0000BB3E0000}"/>
    <cellStyle name="Normal 2 2 2 2 5 13 3 10" xfId="16060" xr:uid="{00000000-0005-0000-0000-0000BC3E0000}"/>
    <cellStyle name="Normal 2 2 2 2 5 13 3 2" xfId="16061" xr:uid="{00000000-0005-0000-0000-0000BD3E0000}"/>
    <cellStyle name="Normal 2 2 2 2 5 13 3 3" xfId="16062" xr:uid="{00000000-0005-0000-0000-0000BE3E0000}"/>
    <cellStyle name="Normal 2 2 2 2 5 13 3 4" xfId="16063" xr:uid="{00000000-0005-0000-0000-0000BF3E0000}"/>
    <cellStyle name="Normal 2 2 2 2 5 13 3 5" xfId="16064" xr:uid="{00000000-0005-0000-0000-0000C03E0000}"/>
    <cellStyle name="Normal 2 2 2 2 5 13 3 6" xfId="16065" xr:uid="{00000000-0005-0000-0000-0000C13E0000}"/>
    <cellStyle name="Normal 2 2 2 2 5 13 3 7" xfId="16066" xr:uid="{00000000-0005-0000-0000-0000C23E0000}"/>
    <cellStyle name="Normal 2 2 2 2 5 13 3 8" xfId="16067" xr:uid="{00000000-0005-0000-0000-0000C33E0000}"/>
    <cellStyle name="Normal 2 2 2 2 5 13 3 9" xfId="16068" xr:uid="{00000000-0005-0000-0000-0000C43E0000}"/>
    <cellStyle name="Normal 2 2 2 2 5 13 4" xfId="16069" xr:uid="{00000000-0005-0000-0000-0000C53E0000}"/>
    <cellStyle name="Normal 2 2 2 2 5 13 4 10" xfId="16070" xr:uid="{00000000-0005-0000-0000-0000C63E0000}"/>
    <cellStyle name="Normal 2 2 2 2 5 13 4 2" xfId="16071" xr:uid="{00000000-0005-0000-0000-0000C73E0000}"/>
    <cellStyle name="Normal 2 2 2 2 5 13 4 3" xfId="16072" xr:uid="{00000000-0005-0000-0000-0000C83E0000}"/>
    <cellStyle name="Normal 2 2 2 2 5 13 4 4" xfId="16073" xr:uid="{00000000-0005-0000-0000-0000C93E0000}"/>
    <cellStyle name="Normal 2 2 2 2 5 13 4 5" xfId="16074" xr:uid="{00000000-0005-0000-0000-0000CA3E0000}"/>
    <cellStyle name="Normal 2 2 2 2 5 13 4 6" xfId="16075" xr:uid="{00000000-0005-0000-0000-0000CB3E0000}"/>
    <cellStyle name="Normal 2 2 2 2 5 13 4 7" xfId="16076" xr:uid="{00000000-0005-0000-0000-0000CC3E0000}"/>
    <cellStyle name="Normal 2 2 2 2 5 13 4 8" xfId="16077" xr:uid="{00000000-0005-0000-0000-0000CD3E0000}"/>
    <cellStyle name="Normal 2 2 2 2 5 13 4 9" xfId="16078" xr:uid="{00000000-0005-0000-0000-0000CE3E0000}"/>
    <cellStyle name="Normal 2 2 2 2 5 13 5" xfId="16079" xr:uid="{00000000-0005-0000-0000-0000CF3E0000}"/>
    <cellStyle name="Normal 2 2 2 2 5 13 5 10" xfId="16080" xr:uid="{00000000-0005-0000-0000-0000D03E0000}"/>
    <cellStyle name="Normal 2 2 2 2 5 13 5 2" xfId="16081" xr:uid="{00000000-0005-0000-0000-0000D13E0000}"/>
    <cellStyle name="Normal 2 2 2 2 5 13 5 3" xfId="16082" xr:uid="{00000000-0005-0000-0000-0000D23E0000}"/>
    <cellStyle name="Normal 2 2 2 2 5 13 5 4" xfId="16083" xr:uid="{00000000-0005-0000-0000-0000D33E0000}"/>
    <cellStyle name="Normal 2 2 2 2 5 13 5 5" xfId="16084" xr:uid="{00000000-0005-0000-0000-0000D43E0000}"/>
    <cellStyle name="Normal 2 2 2 2 5 13 5 6" xfId="16085" xr:uid="{00000000-0005-0000-0000-0000D53E0000}"/>
    <cellStyle name="Normal 2 2 2 2 5 13 5 7" xfId="16086" xr:uid="{00000000-0005-0000-0000-0000D63E0000}"/>
    <cellStyle name="Normal 2 2 2 2 5 13 5 8" xfId="16087" xr:uid="{00000000-0005-0000-0000-0000D73E0000}"/>
    <cellStyle name="Normal 2 2 2 2 5 13 5 9" xfId="16088" xr:uid="{00000000-0005-0000-0000-0000D83E0000}"/>
    <cellStyle name="Normal 2 2 2 2 5 13 6" xfId="16089" xr:uid="{00000000-0005-0000-0000-0000D93E0000}"/>
    <cellStyle name="Normal 2 2 2 2 5 13 7" xfId="16090" xr:uid="{00000000-0005-0000-0000-0000DA3E0000}"/>
    <cellStyle name="Normal 2 2 2 2 5 13 8" xfId="16091" xr:uid="{00000000-0005-0000-0000-0000DB3E0000}"/>
    <cellStyle name="Normal 2 2 2 2 5 13 9" xfId="16092" xr:uid="{00000000-0005-0000-0000-0000DC3E0000}"/>
    <cellStyle name="Normal 2 2 2 2 5 14" xfId="16093" xr:uid="{00000000-0005-0000-0000-0000DD3E0000}"/>
    <cellStyle name="Normal 2 2 2 2 5 14 10" xfId="16094" xr:uid="{00000000-0005-0000-0000-0000DE3E0000}"/>
    <cellStyle name="Normal 2 2 2 2 5 14 11" xfId="16095" xr:uid="{00000000-0005-0000-0000-0000DF3E0000}"/>
    <cellStyle name="Normal 2 2 2 2 5 14 12" xfId="16096" xr:uid="{00000000-0005-0000-0000-0000E03E0000}"/>
    <cellStyle name="Normal 2 2 2 2 5 14 13" xfId="16097" xr:uid="{00000000-0005-0000-0000-0000E13E0000}"/>
    <cellStyle name="Normal 2 2 2 2 5 14 14" xfId="16098" xr:uid="{00000000-0005-0000-0000-0000E23E0000}"/>
    <cellStyle name="Normal 2 2 2 2 5 14 2" xfId="16099" xr:uid="{00000000-0005-0000-0000-0000E33E0000}"/>
    <cellStyle name="Normal 2 2 2 2 5 14 2 10" xfId="16100" xr:uid="{00000000-0005-0000-0000-0000E43E0000}"/>
    <cellStyle name="Normal 2 2 2 2 5 14 2 2" xfId="16101" xr:uid="{00000000-0005-0000-0000-0000E53E0000}"/>
    <cellStyle name="Normal 2 2 2 2 5 14 2 3" xfId="16102" xr:uid="{00000000-0005-0000-0000-0000E63E0000}"/>
    <cellStyle name="Normal 2 2 2 2 5 14 2 4" xfId="16103" xr:uid="{00000000-0005-0000-0000-0000E73E0000}"/>
    <cellStyle name="Normal 2 2 2 2 5 14 2 5" xfId="16104" xr:uid="{00000000-0005-0000-0000-0000E83E0000}"/>
    <cellStyle name="Normal 2 2 2 2 5 14 2 6" xfId="16105" xr:uid="{00000000-0005-0000-0000-0000E93E0000}"/>
    <cellStyle name="Normal 2 2 2 2 5 14 2 7" xfId="16106" xr:uid="{00000000-0005-0000-0000-0000EA3E0000}"/>
    <cellStyle name="Normal 2 2 2 2 5 14 2 8" xfId="16107" xr:uid="{00000000-0005-0000-0000-0000EB3E0000}"/>
    <cellStyle name="Normal 2 2 2 2 5 14 2 9" xfId="16108" xr:uid="{00000000-0005-0000-0000-0000EC3E0000}"/>
    <cellStyle name="Normal 2 2 2 2 5 14 3" xfId="16109" xr:uid="{00000000-0005-0000-0000-0000ED3E0000}"/>
    <cellStyle name="Normal 2 2 2 2 5 14 3 10" xfId="16110" xr:uid="{00000000-0005-0000-0000-0000EE3E0000}"/>
    <cellStyle name="Normal 2 2 2 2 5 14 3 2" xfId="16111" xr:uid="{00000000-0005-0000-0000-0000EF3E0000}"/>
    <cellStyle name="Normal 2 2 2 2 5 14 3 3" xfId="16112" xr:uid="{00000000-0005-0000-0000-0000F03E0000}"/>
    <cellStyle name="Normal 2 2 2 2 5 14 3 4" xfId="16113" xr:uid="{00000000-0005-0000-0000-0000F13E0000}"/>
    <cellStyle name="Normal 2 2 2 2 5 14 3 5" xfId="16114" xr:uid="{00000000-0005-0000-0000-0000F23E0000}"/>
    <cellStyle name="Normal 2 2 2 2 5 14 3 6" xfId="16115" xr:uid="{00000000-0005-0000-0000-0000F33E0000}"/>
    <cellStyle name="Normal 2 2 2 2 5 14 3 7" xfId="16116" xr:uid="{00000000-0005-0000-0000-0000F43E0000}"/>
    <cellStyle name="Normal 2 2 2 2 5 14 3 8" xfId="16117" xr:uid="{00000000-0005-0000-0000-0000F53E0000}"/>
    <cellStyle name="Normal 2 2 2 2 5 14 3 9" xfId="16118" xr:uid="{00000000-0005-0000-0000-0000F63E0000}"/>
    <cellStyle name="Normal 2 2 2 2 5 14 4" xfId="16119" xr:uid="{00000000-0005-0000-0000-0000F73E0000}"/>
    <cellStyle name="Normal 2 2 2 2 5 14 4 10" xfId="16120" xr:uid="{00000000-0005-0000-0000-0000F83E0000}"/>
    <cellStyle name="Normal 2 2 2 2 5 14 4 2" xfId="16121" xr:uid="{00000000-0005-0000-0000-0000F93E0000}"/>
    <cellStyle name="Normal 2 2 2 2 5 14 4 3" xfId="16122" xr:uid="{00000000-0005-0000-0000-0000FA3E0000}"/>
    <cellStyle name="Normal 2 2 2 2 5 14 4 4" xfId="16123" xr:uid="{00000000-0005-0000-0000-0000FB3E0000}"/>
    <cellStyle name="Normal 2 2 2 2 5 14 4 5" xfId="16124" xr:uid="{00000000-0005-0000-0000-0000FC3E0000}"/>
    <cellStyle name="Normal 2 2 2 2 5 14 4 6" xfId="16125" xr:uid="{00000000-0005-0000-0000-0000FD3E0000}"/>
    <cellStyle name="Normal 2 2 2 2 5 14 4 7" xfId="16126" xr:uid="{00000000-0005-0000-0000-0000FE3E0000}"/>
    <cellStyle name="Normal 2 2 2 2 5 14 4 8" xfId="16127" xr:uid="{00000000-0005-0000-0000-0000FF3E0000}"/>
    <cellStyle name="Normal 2 2 2 2 5 14 4 9" xfId="16128" xr:uid="{00000000-0005-0000-0000-0000003F0000}"/>
    <cellStyle name="Normal 2 2 2 2 5 14 5" xfId="16129" xr:uid="{00000000-0005-0000-0000-0000013F0000}"/>
    <cellStyle name="Normal 2 2 2 2 5 14 5 10" xfId="16130" xr:uid="{00000000-0005-0000-0000-0000023F0000}"/>
    <cellStyle name="Normal 2 2 2 2 5 14 5 2" xfId="16131" xr:uid="{00000000-0005-0000-0000-0000033F0000}"/>
    <cellStyle name="Normal 2 2 2 2 5 14 5 3" xfId="16132" xr:uid="{00000000-0005-0000-0000-0000043F0000}"/>
    <cellStyle name="Normal 2 2 2 2 5 14 5 4" xfId="16133" xr:uid="{00000000-0005-0000-0000-0000053F0000}"/>
    <cellStyle name="Normal 2 2 2 2 5 14 5 5" xfId="16134" xr:uid="{00000000-0005-0000-0000-0000063F0000}"/>
    <cellStyle name="Normal 2 2 2 2 5 14 5 6" xfId="16135" xr:uid="{00000000-0005-0000-0000-0000073F0000}"/>
    <cellStyle name="Normal 2 2 2 2 5 14 5 7" xfId="16136" xr:uid="{00000000-0005-0000-0000-0000083F0000}"/>
    <cellStyle name="Normal 2 2 2 2 5 14 5 8" xfId="16137" xr:uid="{00000000-0005-0000-0000-0000093F0000}"/>
    <cellStyle name="Normal 2 2 2 2 5 14 5 9" xfId="16138" xr:uid="{00000000-0005-0000-0000-00000A3F0000}"/>
    <cellStyle name="Normal 2 2 2 2 5 14 6" xfId="16139" xr:uid="{00000000-0005-0000-0000-00000B3F0000}"/>
    <cellStyle name="Normal 2 2 2 2 5 14 7" xfId="16140" xr:uid="{00000000-0005-0000-0000-00000C3F0000}"/>
    <cellStyle name="Normal 2 2 2 2 5 14 8" xfId="16141" xr:uid="{00000000-0005-0000-0000-00000D3F0000}"/>
    <cellStyle name="Normal 2 2 2 2 5 14 9" xfId="16142" xr:uid="{00000000-0005-0000-0000-00000E3F0000}"/>
    <cellStyle name="Normal 2 2 2 2 5 15" xfId="16143" xr:uid="{00000000-0005-0000-0000-00000F3F0000}"/>
    <cellStyle name="Normal 2 2 2 2 5 15 10" xfId="16144" xr:uid="{00000000-0005-0000-0000-0000103F0000}"/>
    <cellStyle name="Normal 2 2 2 2 5 15 11" xfId="16145" xr:uid="{00000000-0005-0000-0000-0000113F0000}"/>
    <cellStyle name="Normal 2 2 2 2 5 15 12" xfId="16146" xr:uid="{00000000-0005-0000-0000-0000123F0000}"/>
    <cellStyle name="Normal 2 2 2 2 5 15 13" xfId="16147" xr:uid="{00000000-0005-0000-0000-0000133F0000}"/>
    <cellStyle name="Normal 2 2 2 2 5 15 14" xfId="16148" xr:uid="{00000000-0005-0000-0000-0000143F0000}"/>
    <cellStyle name="Normal 2 2 2 2 5 15 2" xfId="16149" xr:uid="{00000000-0005-0000-0000-0000153F0000}"/>
    <cellStyle name="Normal 2 2 2 2 5 15 2 10" xfId="16150" xr:uid="{00000000-0005-0000-0000-0000163F0000}"/>
    <cellStyle name="Normal 2 2 2 2 5 15 2 2" xfId="16151" xr:uid="{00000000-0005-0000-0000-0000173F0000}"/>
    <cellStyle name="Normal 2 2 2 2 5 15 2 3" xfId="16152" xr:uid="{00000000-0005-0000-0000-0000183F0000}"/>
    <cellStyle name="Normal 2 2 2 2 5 15 2 4" xfId="16153" xr:uid="{00000000-0005-0000-0000-0000193F0000}"/>
    <cellStyle name="Normal 2 2 2 2 5 15 2 5" xfId="16154" xr:uid="{00000000-0005-0000-0000-00001A3F0000}"/>
    <cellStyle name="Normal 2 2 2 2 5 15 2 6" xfId="16155" xr:uid="{00000000-0005-0000-0000-00001B3F0000}"/>
    <cellStyle name="Normal 2 2 2 2 5 15 2 7" xfId="16156" xr:uid="{00000000-0005-0000-0000-00001C3F0000}"/>
    <cellStyle name="Normal 2 2 2 2 5 15 2 8" xfId="16157" xr:uid="{00000000-0005-0000-0000-00001D3F0000}"/>
    <cellStyle name="Normal 2 2 2 2 5 15 2 9" xfId="16158" xr:uid="{00000000-0005-0000-0000-00001E3F0000}"/>
    <cellStyle name="Normal 2 2 2 2 5 15 3" xfId="16159" xr:uid="{00000000-0005-0000-0000-00001F3F0000}"/>
    <cellStyle name="Normal 2 2 2 2 5 15 3 10" xfId="16160" xr:uid="{00000000-0005-0000-0000-0000203F0000}"/>
    <cellStyle name="Normal 2 2 2 2 5 15 3 2" xfId="16161" xr:uid="{00000000-0005-0000-0000-0000213F0000}"/>
    <cellStyle name="Normal 2 2 2 2 5 15 3 3" xfId="16162" xr:uid="{00000000-0005-0000-0000-0000223F0000}"/>
    <cellStyle name="Normal 2 2 2 2 5 15 3 4" xfId="16163" xr:uid="{00000000-0005-0000-0000-0000233F0000}"/>
    <cellStyle name="Normal 2 2 2 2 5 15 3 5" xfId="16164" xr:uid="{00000000-0005-0000-0000-0000243F0000}"/>
    <cellStyle name="Normal 2 2 2 2 5 15 3 6" xfId="16165" xr:uid="{00000000-0005-0000-0000-0000253F0000}"/>
    <cellStyle name="Normal 2 2 2 2 5 15 3 7" xfId="16166" xr:uid="{00000000-0005-0000-0000-0000263F0000}"/>
    <cellStyle name="Normal 2 2 2 2 5 15 3 8" xfId="16167" xr:uid="{00000000-0005-0000-0000-0000273F0000}"/>
    <cellStyle name="Normal 2 2 2 2 5 15 3 9" xfId="16168" xr:uid="{00000000-0005-0000-0000-0000283F0000}"/>
    <cellStyle name="Normal 2 2 2 2 5 15 4" xfId="16169" xr:uid="{00000000-0005-0000-0000-0000293F0000}"/>
    <cellStyle name="Normal 2 2 2 2 5 15 4 10" xfId="16170" xr:uid="{00000000-0005-0000-0000-00002A3F0000}"/>
    <cellStyle name="Normal 2 2 2 2 5 15 4 2" xfId="16171" xr:uid="{00000000-0005-0000-0000-00002B3F0000}"/>
    <cellStyle name="Normal 2 2 2 2 5 15 4 3" xfId="16172" xr:uid="{00000000-0005-0000-0000-00002C3F0000}"/>
    <cellStyle name="Normal 2 2 2 2 5 15 4 4" xfId="16173" xr:uid="{00000000-0005-0000-0000-00002D3F0000}"/>
    <cellStyle name="Normal 2 2 2 2 5 15 4 5" xfId="16174" xr:uid="{00000000-0005-0000-0000-00002E3F0000}"/>
    <cellStyle name="Normal 2 2 2 2 5 15 4 6" xfId="16175" xr:uid="{00000000-0005-0000-0000-00002F3F0000}"/>
    <cellStyle name="Normal 2 2 2 2 5 15 4 7" xfId="16176" xr:uid="{00000000-0005-0000-0000-0000303F0000}"/>
    <cellStyle name="Normal 2 2 2 2 5 15 4 8" xfId="16177" xr:uid="{00000000-0005-0000-0000-0000313F0000}"/>
    <cellStyle name="Normal 2 2 2 2 5 15 4 9" xfId="16178" xr:uid="{00000000-0005-0000-0000-0000323F0000}"/>
    <cellStyle name="Normal 2 2 2 2 5 15 5" xfId="16179" xr:uid="{00000000-0005-0000-0000-0000333F0000}"/>
    <cellStyle name="Normal 2 2 2 2 5 15 5 10" xfId="16180" xr:uid="{00000000-0005-0000-0000-0000343F0000}"/>
    <cellStyle name="Normal 2 2 2 2 5 15 5 2" xfId="16181" xr:uid="{00000000-0005-0000-0000-0000353F0000}"/>
    <cellStyle name="Normal 2 2 2 2 5 15 5 3" xfId="16182" xr:uid="{00000000-0005-0000-0000-0000363F0000}"/>
    <cellStyle name="Normal 2 2 2 2 5 15 5 4" xfId="16183" xr:uid="{00000000-0005-0000-0000-0000373F0000}"/>
    <cellStyle name="Normal 2 2 2 2 5 15 5 5" xfId="16184" xr:uid="{00000000-0005-0000-0000-0000383F0000}"/>
    <cellStyle name="Normal 2 2 2 2 5 15 5 6" xfId="16185" xr:uid="{00000000-0005-0000-0000-0000393F0000}"/>
    <cellStyle name="Normal 2 2 2 2 5 15 5 7" xfId="16186" xr:uid="{00000000-0005-0000-0000-00003A3F0000}"/>
    <cellStyle name="Normal 2 2 2 2 5 15 5 8" xfId="16187" xr:uid="{00000000-0005-0000-0000-00003B3F0000}"/>
    <cellStyle name="Normal 2 2 2 2 5 15 5 9" xfId="16188" xr:uid="{00000000-0005-0000-0000-00003C3F0000}"/>
    <cellStyle name="Normal 2 2 2 2 5 15 6" xfId="16189" xr:uid="{00000000-0005-0000-0000-00003D3F0000}"/>
    <cellStyle name="Normal 2 2 2 2 5 15 7" xfId="16190" xr:uid="{00000000-0005-0000-0000-00003E3F0000}"/>
    <cellStyle name="Normal 2 2 2 2 5 15 8" xfId="16191" xr:uid="{00000000-0005-0000-0000-00003F3F0000}"/>
    <cellStyle name="Normal 2 2 2 2 5 15 9" xfId="16192" xr:uid="{00000000-0005-0000-0000-0000403F0000}"/>
    <cellStyle name="Normal 2 2 2 2 5 16" xfId="16193" xr:uid="{00000000-0005-0000-0000-0000413F0000}"/>
    <cellStyle name="Normal 2 2 2 2 5 16 10" xfId="16194" xr:uid="{00000000-0005-0000-0000-0000423F0000}"/>
    <cellStyle name="Normal 2 2 2 2 5 16 11" xfId="16195" xr:uid="{00000000-0005-0000-0000-0000433F0000}"/>
    <cellStyle name="Normal 2 2 2 2 5 16 12" xfId="16196" xr:uid="{00000000-0005-0000-0000-0000443F0000}"/>
    <cellStyle name="Normal 2 2 2 2 5 16 13" xfId="16197" xr:uid="{00000000-0005-0000-0000-0000453F0000}"/>
    <cellStyle name="Normal 2 2 2 2 5 16 14" xfId="16198" xr:uid="{00000000-0005-0000-0000-0000463F0000}"/>
    <cellStyle name="Normal 2 2 2 2 5 16 2" xfId="16199" xr:uid="{00000000-0005-0000-0000-0000473F0000}"/>
    <cellStyle name="Normal 2 2 2 2 5 16 2 10" xfId="16200" xr:uid="{00000000-0005-0000-0000-0000483F0000}"/>
    <cellStyle name="Normal 2 2 2 2 5 16 2 2" xfId="16201" xr:uid="{00000000-0005-0000-0000-0000493F0000}"/>
    <cellStyle name="Normal 2 2 2 2 5 16 2 3" xfId="16202" xr:uid="{00000000-0005-0000-0000-00004A3F0000}"/>
    <cellStyle name="Normal 2 2 2 2 5 16 2 4" xfId="16203" xr:uid="{00000000-0005-0000-0000-00004B3F0000}"/>
    <cellStyle name="Normal 2 2 2 2 5 16 2 5" xfId="16204" xr:uid="{00000000-0005-0000-0000-00004C3F0000}"/>
    <cellStyle name="Normal 2 2 2 2 5 16 2 6" xfId="16205" xr:uid="{00000000-0005-0000-0000-00004D3F0000}"/>
    <cellStyle name="Normal 2 2 2 2 5 16 2 7" xfId="16206" xr:uid="{00000000-0005-0000-0000-00004E3F0000}"/>
    <cellStyle name="Normal 2 2 2 2 5 16 2 8" xfId="16207" xr:uid="{00000000-0005-0000-0000-00004F3F0000}"/>
    <cellStyle name="Normal 2 2 2 2 5 16 2 9" xfId="16208" xr:uid="{00000000-0005-0000-0000-0000503F0000}"/>
    <cellStyle name="Normal 2 2 2 2 5 16 3" xfId="16209" xr:uid="{00000000-0005-0000-0000-0000513F0000}"/>
    <cellStyle name="Normal 2 2 2 2 5 16 3 10" xfId="16210" xr:uid="{00000000-0005-0000-0000-0000523F0000}"/>
    <cellStyle name="Normal 2 2 2 2 5 16 3 2" xfId="16211" xr:uid="{00000000-0005-0000-0000-0000533F0000}"/>
    <cellStyle name="Normal 2 2 2 2 5 16 3 3" xfId="16212" xr:uid="{00000000-0005-0000-0000-0000543F0000}"/>
    <cellStyle name="Normal 2 2 2 2 5 16 3 4" xfId="16213" xr:uid="{00000000-0005-0000-0000-0000553F0000}"/>
    <cellStyle name="Normal 2 2 2 2 5 16 3 5" xfId="16214" xr:uid="{00000000-0005-0000-0000-0000563F0000}"/>
    <cellStyle name="Normal 2 2 2 2 5 16 3 6" xfId="16215" xr:uid="{00000000-0005-0000-0000-0000573F0000}"/>
    <cellStyle name="Normal 2 2 2 2 5 16 3 7" xfId="16216" xr:uid="{00000000-0005-0000-0000-0000583F0000}"/>
    <cellStyle name="Normal 2 2 2 2 5 16 3 8" xfId="16217" xr:uid="{00000000-0005-0000-0000-0000593F0000}"/>
    <cellStyle name="Normal 2 2 2 2 5 16 3 9" xfId="16218" xr:uid="{00000000-0005-0000-0000-00005A3F0000}"/>
    <cellStyle name="Normal 2 2 2 2 5 16 4" xfId="16219" xr:uid="{00000000-0005-0000-0000-00005B3F0000}"/>
    <cellStyle name="Normal 2 2 2 2 5 16 4 10" xfId="16220" xr:uid="{00000000-0005-0000-0000-00005C3F0000}"/>
    <cellStyle name="Normal 2 2 2 2 5 16 4 2" xfId="16221" xr:uid="{00000000-0005-0000-0000-00005D3F0000}"/>
    <cellStyle name="Normal 2 2 2 2 5 16 4 3" xfId="16222" xr:uid="{00000000-0005-0000-0000-00005E3F0000}"/>
    <cellStyle name="Normal 2 2 2 2 5 16 4 4" xfId="16223" xr:uid="{00000000-0005-0000-0000-00005F3F0000}"/>
    <cellStyle name="Normal 2 2 2 2 5 16 4 5" xfId="16224" xr:uid="{00000000-0005-0000-0000-0000603F0000}"/>
    <cellStyle name="Normal 2 2 2 2 5 16 4 6" xfId="16225" xr:uid="{00000000-0005-0000-0000-0000613F0000}"/>
    <cellStyle name="Normal 2 2 2 2 5 16 4 7" xfId="16226" xr:uid="{00000000-0005-0000-0000-0000623F0000}"/>
    <cellStyle name="Normal 2 2 2 2 5 16 4 8" xfId="16227" xr:uid="{00000000-0005-0000-0000-0000633F0000}"/>
    <cellStyle name="Normal 2 2 2 2 5 16 4 9" xfId="16228" xr:uid="{00000000-0005-0000-0000-0000643F0000}"/>
    <cellStyle name="Normal 2 2 2 2 5 16 5" xfId="16229" xr:uid="{00000000-0005-0000-0000-0000653F0000}"/>
    <cellStyle name="Normal 2 2 2 2 5 16 5 10" xfId="16230" xr:uid="{00000000-0005-0000-0000-0000663F0000}"/>
    <cellStyle name="Normal 2 2 2 2 5 16 5 2" xfId="16231" xr:uid="{00000000-0005-0000-0000-0000673F0000}"/>
    <cellStyle name="Normal 2 2 2 2 5 16 5 3" xfId="16232" xr:uid="{00000000-0005-0000-0000-0000683F0000}"/>
    <cellStyle name="Normal 2 2 2 2 5 16 5 4" xfId="16233" xr:uid="{00000000-0005-0000-0000-0000693F0000}"/>
    <cellStyle name="Normal 2 2 2 2 5 16 5 5" xfId="16234" xr:uid="{00000000-0005-0000-0000-00006A3F0000}"/>
    <cellStyle name="Normal 2 2 2 2 5 16 5 6" xfId="16235" xr:uid="{00000000-0005-0000-0000-00006B3F0000}"/>
    <cellStyle name="Normal 2 2 2 2 5 16 5 7" xfId="16236" xr:uid="{00000000-0005-0000-0000-00006C3F0000}"/>
    <cellStyle name="Normal 2 2 2 2 5 16 5 8" xfId="16237" xr:uid="{00000000-0005-0000-0000-00006D3F0000}"/>
    <cellStyle name="Normal 2 2 2 2 5 16 5 9" xfId="16238" xr:uid="{00000000-0005-0000-0000-00006E3F0000}"/>
    <cellStyle name="Normal 2 2 2 2 5 16 6" xfId="16239" xr:uid="{00000000-0005-0000-0000-00006F3F0000}"/>
    <cellStyle name="Normal 2 2 2 2 5 16 7" xfId="16240" xr:uid="{00000000-0005-0000-0000-0000703F0000}"/>
    <cellStyle name="Normal 2 2 2 2 5 16 8" xfId="16241" xr:uid="{00000000-0005-0000-0000-0000713F0000}"/>
    <cellStyle name="Normal 2 2 2 2 5 16 9" xfId="16242" xr:uid="{00000000-0005-0000-0000-0000723F0000}"/>
    <cellStyle name="Normal 2 2 2 2 5 17" xfId="16243" xr:uid="{00000000-0005-0000-0000-0000733F0000}"/>
    <cellStyle name="Normal 2 2 2 2 5 17 10" xfId="16244" xr:uid="{00000000-0005-0000-0000-0000743F0000}"/>
    <cellStyle name="Normal 2 2 2 2 5 17 11" xfId="16245" xr:uid="{00000000-0005-0000-0000-0000753F0000}"/>
    <cellStyle name="Normal 2 2 2 2 5 17 12" xfId="16246" xr:uid="{00000000-0005-0000-0000-0000763F0000}"/>
    <cellStyle name="Normal 2 2 2 2 5 17 13" xfId="16247" xr:uid="{00000000-0005-0000-0000-0000773F0000}"/>
    <cellStyle name="Normal 2 2 2 2 5 17 14" xfId="16248" xr:uid="{00000000-0005-0000-0000-0000783F0000}"/>
    <cellStyle name="Normal 2 2 2 2 5 17 2" xfId="16249" xr:uid="{00000000-0005-0000-0000-0000793F0000}"/>
    <cellStyle name="Normal 2 2 2 2 5 17 2 10" xfId="16250" xr:uid="{00000000-0005-0000-0000-00007A3F0000}"/>
    <cellStyle name="Normal 2 2 2 2 5 17 2 2" xfId="16251" xr:uid="{00000000-0005-0000-0000-00007B3F0000}"/>
    <cellStyle name="Normal 2 2 2 2 5 17 2 3" xfId="16252" xr:uid="{00000000-0005-0000-0000-00007C3F0000}"/>
    <cellStyle name="Normal 2 2 2 2 5 17 2 4" xfId="16253" xr:uid="{00000000-0005-0000-0000-00007D3F0000}"/>
    <cellStyle name="Normal 2 2 2 2 5 17 2 5" xfId="16254" xr:uid="{00000000-0005-0000-0000-00007E3F0000}"/>
    <cellStyle name="Normal 2 2 2 2 5 17 2 6" xfId="16255" xr:uid="{00000000-0005-0000-0000-00007F3F0000}"/>
    <cellStyle name="Normal 2 2 2 2 5 17 2 7" xfId="16256" xr:uid="{00000000-0005-0000-0000-0000803F0000}"/>
    <cellStyle name="Normal 2 2 2 2 5 17 2 8" xfId="16257" xr:uid="{00000000-0005-0000-0000-0000813F0000}"/>
    <cellStyle name="Normal 2 2 2 2 5 17 2 9" xfId="16258" xr:uid="{00000000-0005-0000-0000-0000823F0000}"/>
    <cellStyle name="Normal 2 2 2 2 5 17 3" xfId="16259" xr:uid="{00000000-0005-0000-0000-0000833F0000}"/>
    <cellStyle name="Normal 2 2 2 2 5 17 3 10" xfId="16260" xr:uid="{00000000-0005-0000-0000-0000843F0000}"/>
    <cellStyle name="Normal 2 2 2 2 5 17 3 2" xfId="16261" xr:uid="{00000000-0005-0000-0000-0000853F0000}"/>
    <cellStyle name="Normal 2 2 2 2 5 17 3 3" xfId="16262" xr:uid="{00000000-0005-0000-0000-0000863F0000}"/>
    <cellStyle name="Normal 2 2 2 2 5 17 3 4" xfId="16263" xr:uid="{00000000-0005-0000-0000-0000873F0000}"/>
    <cellStyle name="Normal 2 2 2 2 5 17 3 5" xfId="16264" xr:uid="{00000000-0005-0000-0000-0000883F0000}"/>
    <cellStyle name="Normal 2 2 2 2 5 17 3 6" xfId="16265" xr:uid="{00000000-0005-0000-0000-0000893F0000}"/>
    <cellStyle name="Normal 2 2 2 2 5 17 3 7" xfId="16266" xr:uid="{00000000-0005-0000-0000-00008A3F0000}"/>
    <cellStyle name="Normal 2 2 2 2 5 17 3 8" xfId="16267" xr:uid="{00000000-0005-0000-0000-00008B3F0000}"/>
    <cellStyle name="Normal 2 2 2 2 5 17 3 9" xfId="16268" xr:uid="{00000000-0005-0000-0000-00008C3F0000}"/>
    <cellStyle name="Normal 2 2 2 2 5 17 4" xfId="16269" xr:uid="{00000000-0005-0000-0000-00008D3F0000}"/>
    <cellStyle name="Normal 2 2 2 2 5 17 4 10" xfId="16270" xr:uid="{00000000-0005-0000-0000-00008E3F0000}"/>
    <cellStyle name="Normal 2 2 2 2 5 17 4 2" xfId="16271" xr:uid="{00000000-0005-0000-0000-00008F3F0000}"/>
    <cellStyle name="Normal 2 2 2 2 5 17 4 3" xfId="16272" xr:uid="{00000000-0005-0000-0000-0000903F0000}"/>
    <cellStyle name="Normal 2 2 2 2 5 17 4 4" xfId="16273" xr:uid="{00000000-0005-0000-0000-0000913F0000}"/>
    <cellStyle name="Normal 2 2 2 2 5 17 4 5" xfId="16274" xr:uid="{00000000-0005-0000-0000-0000923F0000}"/>
    <cellStyle name="Normal 2 2 2 2 5 17 4 6" xfId="16275" xr:uid="{00000000-0005-0000-0000-0000933F0000}"/>
    <cellStyle name="Normal 2 2 2 2 5 17 4 7" xfId="16276" xr:uid="{00000000-0005-0000-0000-0000943F0000}"/>
    <cellStyle name="Normal 2 2 2 2 5 17 4 8" xfId="16277" xr:uid="{00000000-0005-0000-0000-0000953F0000}"/>
    <cellStyle name="Normal 2 2 2 2 5 17 4 9" xfId="16278" xr:uid="{00000000-0005-0000-0000-0000963F0000}"/>
    <cellStyle name="Normal 2 2 2 2 5 17 5" xfId="16279" xr:uid="{00000000-0005-0000-0000-0000973F0000}"/>
    <cellStyle name="Normal 2 2 2 2 5 17 5 10" xfId="16280" xr:uid="{00000000-0005-0000-0000-0000983F0000}"/>
    <cellStyle name="Normal 2 2 2 2 5 17 5 2" xfId="16281" xr:uid="{00000000-0005-0000-0000-0000993F0000}"/>
    <cellStyle name="Normal 2 2 2 2 5 17 5 3" xfId="16282" xr:uid="{00000000-0005-0000-0000-00009A3F0000}"/>
    <cellStyle name="Normal 2 2 2 2 5 17 5 4" xfId="16283" xr:uid="{00000000-0005-0000-0000-00009B3F0000}"/>
    <cellStyle name="Normal 2 2 2 2 5 17 5 5" xfId="16284" xr:uid="{00000000-0005-0000-0000-00009C3F0000}"/>
    <cellStyle name="Normal 2 2 2 2 5 17 5 6" xfId="16285" xr:uid="{00000000-0005-0000-0000-00009D3F0000}"/>
    <cellStyle name="Normal 2 2 2 2 5 17 5 7" xfId="16286" xr:uid="{00000000-0005-0000-0000-00009E3F0000}"/>
    <cellStyle name="Normal 2 2 2 2 5 17 5 8" xfId="16287" xr:uid="{00000000-0005-0000-0000-00009F3F0000}"/>
    <cellStyle name="Normal 2 2 2 2 5 17 5 9" xfId="16288" xr:uid="{00000000-0005-0000-0000-0000A03F0000}"/>
    <cellStyle name="Normal 2 2 2 2 5 17 6" xfId="16289" xr:uid="{00000000-0005-0000-0000-0000A13F0000}"/>
    <cellStyle name="Normal 2 2 2 2 5 17 7" xfId="16290" xr:uid="{00000000-0005-0000-0000-0000A23F0000}"/>
    <cellStyle name="Normal 2 2 2 2 5 17 8" xfId="16291" xr:uid="{00000000-0005-0000-0000-0000A33F0000}"/>
    <cellStyle name="Normal 2 2 2 2 5 17 9" xfId="16292" xr:uid="{00000000-0005-0000-0000-0000A43F0000}"/>
    <cellStyle name="Normal 2 2 2 2 5 18" xfId="16293" xr:uid="{00000000-0005-0000-0000-0000A53F0000}"/>
    <cellStyle name="Normal 2 2 2 2 5 18 10" xfId="16294" xr:uid="{00000000-0005-0000-0000-0000A63F0000}"/>
    <cellStyle name="Normal 2 2 2 2 5 18 11" xfId="16295" xr:uid="{00000000-0005-0000-0000-0000A73F0000}"/>
    <cellStyle name="Normal 2 2 2 2 5 18 12" xfId="16296" xr:uid="{00000000-0005-0000-0000-0000A83F0000}"/>
    <cellStyle name="Normal 2 2 2 2 5 18 13" xfId="16297" xr:uid="{00000000-0005-0000-0000-0000A93F0000}"/>
    <cellStyle name="Normal 2 2 2 2 5 18 14" xfId="16298" xr:uid="{00000000-0005-0000-0000-0000AA3F0000}"/>
    <cellStyle name="Normal 2 2 2 2 5 18 2" xfId="16299" xr:uid="{00000000-0005-0000-0000-0000AB3F0000}"/>
    <cellStyle name="Normal 2 2 2 2 5 18 2 10" xfId="16300" xr:uid="{00000000-0005-0000-0000-0000AC3F0000}"/>
    <cellStyle name="Normal 2 2 2 2 5 18 2 2" xfId="16301" xr:uid="{00000000-0005-0000-0000-0000AD3F0000}"/>
    <cellStyle name="Normal 2 2 2 2 5 18 2 3" xfId="16302" xr:uid="{00000000-0005-0000-0000-0000AE3F0000}"/>
    <cellStyle name="Normal 2 2 2 2 5 18 2 4" xfId="16303" xr:uid="{00000000-0005-0000-0000-0000AF3F0000}"/>
    <cellStyle name="Normal 2 2 2 2 5 18 2 5" xfId="16304" xr:uid="{00000000-0005-0000-0000-0000B03F0000}"/>
    <cellStyle name="Normal 2 2 2 2 5 18 2 6" xfId="16305" xr:uid="{00000000-0005-0000-0000-0000B13F0000}"/>
    <cellStyle name="Normal 2 2 2 2 5 18 2 7" xfId="16306" xr:uid="{00000000-0005-0000-0000-0000B23F0000}"/>
    <cellStyle name="Normal 2 2 2 2 5 18 2 8" xfId="16307" xr:uid="{00000000-0005-0000-0000-0000B33F0000}"/>
    <cellStyle name="Normal 2 2 2 2 5 18 2 9" xfId="16308" xr:uid="{00000000-0005-0000-0000-0000B43F0000}"/>
    <cellStyle name="Normal 2 2 2 2 5 18 3" xfId="16309" xr:uid="{00000000-0005-0000-0000-0000B53F0000}"/>
    <cellStyle name="Normal 2 2 2 2 5 18 3 10" xfId="16310" xr:uid="{00000000-0005-0000-0000-0000B63F0000}"/>
    <cellStyle name="Normal 2 2 2 2 5 18 3 2" xfId="16311" xr:uid="{00000000-0005-0000-0000-0000B73F0000}"/>
    <cellStyle name="Normal 2 2 2 2 5 18 3 3" xfId="16312" xr:uid="{00000000-0005-0000-0000-0000B83F0000}"/>
    <cellStyle name="Normal 2 2 2 2 5 18 3 4" xfId="16313" xr:uid="{00000000-0005-0000-0000-0000B93F0000}"/>
    <cellStyle name="Normal 2 2 2 2 5 18 3 5" xfId="16314" xr:uid="{00000000-0005-0000-0000-0000BA3F0000}"/>
    <cellStyle name="Normal 2 2 2 2 5 18 3 6" xfId="16315" xr:uid="{00000000-0005-0000-0000-0000BB3F0000}"/>
    <cellStyle name="Normal 2 2 2 2 5 18 3 7" xfId="16316" xr:uid="{00000000-0005-0000-0000-0000BC3F0000}"/>
    <cellStyle name="Normal 2 2 2 2 5 18 3 8" xfId="16317" xr:uid="{00000000-0005-0000-0000-0000BD3F0000}"/>
    <cellStyle name="Normal 2 2 2 2 5 18 3 9" xfId="16318" xr:uid="{00000000-0005-0000-0000-0000BE3F0000}"/>
    <cellStyle name="Normal 2 2 2 2 5 18 4" xfId="16319" xr:uid="{00000000-0005-0000-0000-0000BF3F0000}"/>
    <cellStyle name="Normal 2 2 2 2 5 18 4 10" xfId="16320" xr:uid="{00000000-0005-0000-0000-0000C03F0000}"/>
    <cellStyle name="Normal 2 2 2 2 5 18 4 2" xfId="16321" xr:uid="{00000000-0005-0000-0000-0000C13F0000}"/>
    <cellStyle name="Normal 2 2 2 2 5 18 4 3" xfId="16322" xr:uid="{00000000-0005-0000-0000-0000C23F0000}"/>
    <cellStyle name="Normal 2 2 2 2 5 18 4 4" xfId="16323" xr:uid="{00000000-0005-0000-0000-0000C33F0000}"/>
    <cellStyle name="Normal 2 2 2 2 5 18 4 5" xfId="16324" xr:uid="{00000000-0005-0000-0000-0000C43F0000}"/>
    <cellStyle name="Normal 2 2 2 2 5 18 4 6" xfId="16325" xr:uid="{00000000-0005-0000-0000-0000C53F0000}"/>
    <cellStyle name="Normal 2 2 2 2 5 18 4 7" xfId="16326" xr:uid="{00000000-0005-0000-0000-0000C63F0000}"/>
    <cellStyle name="Normal 2 2 2 2 5 18 4 8" xfId="16327" xr:uid="{00000000-0005-0000-0000-0000C73F0000}"/>
    <cellStyle name="Normal 2 2 2 2 5 18 4 9" xfId="16328" xr:uid="{00000000-0005-0000-0000-0000C83F0000}"/>
    <cellStyle name="Normal 2 2 2 2 5 18 5" xfId="16329" xr:uid="{00000000-0005-0000-0000-0000C93F0000}"/>
    <cellStyle name="Normal 2 2 2 2 5 18 5 10" xfId="16330" xr:uid="{00000000-0005-0000-0000-0000CA3F0000}"/>
    <cellStyle name="Normal 2 2 2 2 5 18 5 2" xfId="16331" xr:uid="{00000000-0005-0000-0000-0000CB3F0000}"/>
    <cellStyle name="Normal 2 2 2 2 5 18 5 3" xfId="16332" xr:uid="{00000000-0005-0000-0000-0000CC3F0000}"/>
    <cellStyle name="Normal 2 2 2 2 5 18 5 4" xfId="16333" xr:uid="{00000000-0005-0000-0000-0000CD3F0000}"/>
    <cellStyle name="Normal 2 2 2 2 5 18 5 5" xfId="16334" xr:uid="{00000000-0005-0000-0000-0000CE3F0000}"/>
    <cellStyle name="Normal 2 2 2 2 5 18 5 6" xfId="16335" xr:uid="{00000000-0005-0000-0000-0000CF3F0000}"/>
    <cellStyle name="Normal 2 2 2 2 5 18 5 7" xfId="16336" xr:uid="{00000000-0005-0000-0000-0000D03F0000}"/>
    <cellStyle name="Normal 2 2 2 2 5 18 5 8" xfId="16337" xr:uid="{00000000-0005-0000-0000-0000D13F0000}"/>
    <cellStyle name="Normal 2 2 2 2 5 18 5 9" xfId="16338" xr:uid="{00000000-0005-0000-0000-0000D23F0000}"/>
    <cellStyle name="Normal 2 2 2 2 5 18 6" xfId="16339" xr:uid="{00000000-0005-0000-0000-0000D33F0000}"/>
    <cellStyle name="Normal 2 2 2 2 5 18 7" xfId="16340" xr:uid="{00000000-0005-0000-0000-0000D43F0000}"/>
    <cellStyle name="Normal 2 2 2 2 5 18 8" xfId="16341" xr:uid="{00000000-0005-0000-0000-0000D53F0000}"/>
    <cellStyle name="Normal 2 2 2 2 5 18 9" xfId="16342" xr:uid="{00000000-0005-0000-0000-0000D63F0000}"/>
    <cellStyle name="Normal 2 2 2 2 5 19" xfId="16343" xr:uid="{00000000-0005-0000-0000-0000D73F0000}"/>
    <cellStyle name="Normal 2 2 2 2 5 19 10" xfId="16344" xr:uid="{00000000-0005-0000-0000-0000D83F0000}"/>
    <cellStyle name="Normal 2 2 2 2 5 19 11" xfId="16345" xr:uid="{00000000-0005-0000-0000-0000D93F0000}"/>
    <cellStyle name="Normal 2 2 2 2 5 19 12" xfId="16346" xr:uid="{00000000-0005-0000-0000-0000DA3F0000}"/>
    <cellStyle name="Normal 2 2 2 2 5 19 13" xfId="16347" xr:uid="{00000000-0005-0000-0000-0000DB3F0000}"/>
    <cellStyle name="Normal 2 2 2 2 5 19 14" xfId="16348" xr:uid="{00000000-0005-0000-0000-0000DC3F0000}"/>
    <cellStyle name="Normal 2 2 2 2 5 19 2" xfId="16349" xr:uid="{00000000-0005-0000-0000-0000DD3F0000}"/>
    <cellStyle name="Normal 2 2 2 2 5 19 2 10" xfId="16350" xr:uid="{00000000-0005-0000-0000-0000DE3F0000}"/>
    <cellStyle name="Normal 2 2 2 2 5 19 2 2" xfId="16351" xr:uid="{00000000-0005-0000-0000-0000DF3F0000}"/>
    <cellStyle name="Normal 2 2 2 2 5 19 2 3" xfId="16352" xr:uid="{00000000-0005-0000-0000-0000E03F0000}"/>
    <cellStyle name="Normal 2 2 2 2 5 19 2 4" xfId="16353" xr:uid="{00000000-0005-0000-0000-0000E13F0000}"/>
    <cellStyle name="Normal 2 2 2 2 5 19 2 5" xfId="16354" xr:uid="{00000000-0005-0000-0000-0000E23F0000}"/>
    <cellStyle name="Normal 2 2 2 2 5 19 2 6" xfId="16355" xr:uid="{00000000-0005-0000-0000-0000E33F0000}"/>
    <cellStyle name="Normal 2 2 2 2 5 19 2 7" xfId="16356" xr:uid="{00000000-0005-0000-0000-0000E43F0000}"/>
    <cellStyle name="Normal 2 2 2 2 5 19 2 8" xfId="16357" xr:uid="{00000000-0005-0000-0000-0000E53F0000}"/>
    <cellStyle name="Normal 2 2 2 2 5 19 2 9" xfId="16358" xr:uid="{00000000-0005-0000-0000-0000E63F0000}"/>
    <cellStyle name="Normal 2 2 2 2 5 19 3" xfId="16359" xr:uid="{00000000-0005-0000-0000-0000E73F0000}"/>
    <cellStyle name="Normal 2 2 2 2 5 19 3 10" xfId="16360" xr:uid="{00000000-0005-0000-0000-0000E83F0000}"/>
    <cellStyle name="Normal 2 2 2 2 5 19 3 2" xfId="16361" xr:uid="{00000000-0005-0000-0000-0000E93F0000}"/>
    <cellStyle name="Normal 2 2 2 2 5 19 3 3" xfId="16362" xr:uid="{00000000-0005-0000-0000-0000EA3F0000}"/>
    <cellStyle name="Normal 2 2 2 2 5 19 3 4" xfId="16363" xr:uid="{00000000-0005-0000-0000-0000EB3F0000}"/>
    <cellStyle name="Normal 2 2 2 2 5 19 3 5" xfId="16364" xr:uid="{00000000-0005-0000-0000-0000EC3F0000}"/>
    <cellStyle name="Normal 2 2 2 2 5 19 3 6" xfId="16365" xr:uid="{00000000-0005-0000-0000-0000ED3F0000}"/>
    <cellStyle name="Normal 2 2 2 2 5 19 3 7" xfId="16366" xr:uid="{00000000-0005-0000-0000-0000EE3F0000}"/>
    <cellStyle name="Normal 2 2 2 2 5 19 3 8" xfId="16367" xr:uid="{00000000-0005-0000-0000-0000EF3F0000}"/>
    <cellStyle name="Normal 2 2 2 2 5 19 3 9" xfId="16368" xr:uid="{00000000-0005-0000-0000-0000F03F0000}"/>
    <cellStyle name="Normal 2 2 2 2 5 19 4" xfId="16369" xr:uid="{00000000-0005-0000-0000-0000F13F0000}"/>
    <cellStyle name="Normal 2 2 2 2 5 19 4 10" xfId="16370" xr:uid="{00000000-0005-0000-0000-0000F23F0000}"/>
    <cellStyle name="Normal 2 2 2 2 5 19 4 2" xfId="16371" xr:uid="{00000000-0005-0000-0000-0000F33F0000}"/>
    <cellStyle name="Normal 2 2 2 2 5 19 4 3" xfId="16372" xr:uid="{00000000-0005-0000-0000-0000F43F0000}"/>
    <cellStyle name="Normal 2 2 2 2 5 19 4 4" xfId="16373" xr:uid="{00000000-0005-0000-0000-0000F53F0000}"/>
    <cellStyle name="Normal 2 2 2 2 5 19 4 5" xfId="16374" xr:uid="{00000000-0005-0000-0000-0000F63F0000}"/>
    <cellStyle name="Normal 2 2 2 2 5 19 4 6" xfId="16375" xr:uid="{00000000-0005-0000-0000-0000F73F0000}"/>
    <cellStyle name="Normal 2 2 2 2 5 19 4 7" xfId="16376" xr:uid="{00000000-0005-0000-0000-0000F83F0000}"/>
    <cellStyle name="Normal 2 2 2 2 5 19 4 8" xfId="16377" xr:uid="{00000000-0005-0000-0000-0000F93F0000}"/>
    <cellStyle name="Normal 2 2 2 2 5 19 4 9" xfId="16378" xr:uid="{00000000-0005-0000-0000-0000FA3F0000}"/>
    <cellStyle name="Normal 2 2 2 2 5 19 5" xfId="16379" xr:uid="{00000000-0005-0000-0000-0000FB3F0000}"/>
    <cellStyle name="Normal 2 2 2 2 5 19 5 10" xfId="16380" xr:uid="{00000000-0005-0000-0000-0000FC3F0000}"/>
    <cellStyle name="Normal 2 2 2 2 5 19 5 2" xfId="16381" xr:uid="{00000000-0005-0000-0000-0000FD3F0000}"/>
    <cellStyle name="Normal 2 2 2 2 5 19 5 3" xfId="16382" xr:uid="{00000000-0005-0000-0000-0000FE3F0000}"/>
    <cellStyle name="Normal 2 2 2 2 5 19 5 4" xfId="16383" xr:uid="{00000000-0005-0000-0000-0000FF3F0000}"/>
    <cellStyle name="Normal 2 2 2 2 5 19 5 5" xfId="16384" xr:uid="{00000000-0005-0000-0000-000000400000}"/>
    <cellStyle name="Normal 2 2 2 2 5 19 5 6" xfId="16385" xr:uid="{00000000-0005-0000-0000-000001400000}"/>
    <cellStyle name="Normal 2 2 2 2 5 19 5 7" xfId="16386" xr:uid="{00000000-0005-0000-0000-000002400000}"/>
    <cellStyle name="Normal 2 2 2 2 5 19 5 8" xfId="16387" xr:uid="{00000000-0005-0000-0000-000003400000}"/>
    <cellStyle name="Normal 2 2 2 2 5 19 5 9" xfId="16388" xr:uid="{00000000-0005-0000-0000-000004400000}"/>
    <cellStyle name="Normal 2 2 2 2 5 19 6" xfId="16389" xr:uid="{00000000-0005-0000-0000-000005400000}"/>
    <cellStyle name="Normal 2 2 2 2 5 19 7" xfId="16390" xr:uid="{00000000-0005-0000-0000-000006400000}"/>
    <cellStyle name="Normal 2 2 2 2 5 19 8" xfId="16391" xr:uid="{00000000-0005-0000-0000-000007400000}"/>
    <cellStyle name="Normal 2 2 2 2 5 19 9" xfId="16392" xr:uid="{00000000-0005-0000-0000-000008400000}"/>
    <cellStyle name="Normal 2 2 2 2 5 2" xfId="16393" xr:uid="{00000000-0005-0000-0000-000009400000}"/>
    <cellStyle name="Normal 2 2 2 2 5 2 10" xfId="16394" xr:uid="{00000000-0005-0000-0000-00000A400000}"/>
    <cellStyle name="Normal 2 2 2 2 5 2 11" xfId="16395" xr:uid="{00000000-0005-0000-0000-00000B400000}"/>
    <cellStyle name="Normal 2 2 2 2 5 2 12" xfId="16396" xr:uid="{00000000-0005-0000-0000-00000C400000}"/>
    <cellStyle name="Normal 2 2 2 2 5 2 13" xfId="16397" xr:uid="{00000000-0005-0000-0000-00000D400000}"/>
    <cellStyle name="Normal 2 2 2 2 5 2 14" xfId="16398" xr:uid="{00000000-0005-0000-0000-00000E400000}"/>
    <cellStyle name="Normal 2 2 2 2 5 2 15" xfId="16399" xr:uid="{00000000-0005-0000-0000-00000F400000}"/>
    <cellStyle name="Normal 2 2 2 2 5 2 16" xfId="16400" xr:uid="{00000000-0005-0000-0000-000010400000}"/>
    <cellStyle name="Normal 2 2 2 2 5 2 17" xfId="16401" xr:uid="{00000000-0005-0000-0000-000011400000}"/>
    <cellStyle name="Normal 2 2 2 2 5 2 18" xfId="16402" xr:uid="{00000000-0005-0000-0000-000012400000}"/>
    <cellStyle name="Normal 2 2 2 2 5 2 19" xfId="16403" xr:uid="{00000000-0005-0000-0000-000013400000}"/>
    <cellStyle name="Normal 2 2 2 2 5 2 2" xfId="16404" xr:uid="{00000000-0005-0000-0000-000014400000}"/>
    <cellStyle name="Normal 2 2 2 2 5 2 20" xfId="16405" xr:uid="{00000000-0005-0000-0000-000015400000}"/>
    <cellStyle name="Normal 2 2 2 2 5 2 21" xfId="16406" xr:uid="{00000000-0005-0000-0000-000016400000}"/>
    <cellStyle name="Normal 2 2 2 2 5 2 21 10" xfId="16407" xr:uid="{00000000-0005-0000-0000-000017400000}"/>
    <cellStyle name="Normal 2 2 2 2 5 2 21 2" xfId="16408" xr:uid="{00000000-0005-0000-0000-000018400000}"/>
    <cellStyle name="Normal 2 2 2 2 5 2 21 3" xfId="16409" xr:uid="{00000000-0005-0000-0000-000019400000}"/>
    <cellStyle name="Normal 2 2 2 2 5 2 21 4" xfId="16410" xr:uid="{00000000-0005-0000-0000-00001A400000}"/>
    <cellStyle name="Normal 2 2 2 2 5 2 21 5" xfId="16411" xr:uid="{00000000-0005-0000-0000-00001B400000}"/>
    <cellStyle name="Normal 2 2 2 2 5 2 21 6" xfId="16412" xr:uid="{00000000-0005-0000-0000-00001C400000}"/>
    <cellStyle name="Normal 2 2 2 2 5 2 21 7" xfId="16413" xr:uid="{00000000-0005-0000-0000-00001D400000}"/>
    <cellStyle name="Normal 2 2 2 2 5 2 21 8" xfId="16414" xr:uid="{00000000-0005-0000-0000-00001E400000}"/>
    <cellStyle name="Normal 2 2 2 2 5 2 21 9" xfId="16415" xr:uid="{00000000-0005-0000-0000-00001F400000}"/>
    <cellStyle name="Normal 2 2 2 2 5 2 22" xfId="16416" xr:uid="{00000000-0005-0000-0000-000020400000}"/>
    <cellStyle name="Normal 2 2 2 2 5 2 22 10" xfId="16417" xr:uid="{00000000-0005-0000-0000-000021400000}"/>
    <cellStyle name="Normal 2 2 2 2 5 2 22 2" xfId="16418" xr:uid="{00000000-0005-0000-0000-000022400000}"/>
    <cellStyle name="Normal 2 2 2 2 5 2 22 3" xfId="16419" xr:uid="{00000000-0005-0000-0000-000023400000}"/>
    <cellStyle name="Normal 2 2 2 2 5 2 22 4" xfId="16420" xr:uid="{00000000-0005-0000-0000-000024400000}"/>
    <cellStyle name="Normal 2 2 2 2 5 2 22 5" xfId="16421" xr:uid="{00000000-0005-0000-0000-000025400000}"/>
    <cellStyle name="Normal 2 2 2 2 5 2 22 6" xfId="16422" xr:uid="{00000000-0005-0000-0000-000026400000}"/>
    <cellStyle name="Normal 2 2 2 2 5 2 22 7" xfId="16423" xr:uid="{00000000-0005-0000-0000-000027400000}"/>
    <cellStyle name="Normal 2 2 2 2 5 2 22 8" xfId="16424" xr:uid="{00000000-0005-0000-0000-000028400000}"/>
    <cellStyle name="Normal 2 2 2 2 5 2 22 9" xfId="16425" xr:uid="{00000000-0005-0000-0000-000029400000}"/>
    <cellStyle name="Normal 2 2 2 2 5 2 23" xfId="16426" xr:uid="{00000000-0005-0000-0000-00002A400000}"/>
    <cellStyle name="Normal 2 2 2 2 5 2 23 10" xfId="16427" xr:uid="{00000000-0005-0000-0000-00002B400000}"/>
    <cellStyle name="Normal 2 2 2 2 5 2 23 2" xfId="16428" xr:uid="{00000000-0005-0000-0000-00002C400000}"/>
    <cellStyle name="Normal 2 2 2 2 5 2 23 3" xfId="16429" xr:uid="{00000000-0005-0000-0000-00002D400000}"/>
    <cellStyle name="Normal 2 2 2 2 5 2 23 4" xfId="16430" xr:uid="{00000000-0005-0000-0000-00002E400000}"/>
    <cellStyle name="Normal 2 2 2 2 5 2 23 5" xfId="16431" xr:uid="{00000000-0005-0000-0000-00002F400000}"/>
    <cellStyle name="Normal 2 2 2 2 5 2 23 6" xfId="16432" xr:uid="{00000000-0005-0000-0000-000030400000}"/>
    <cellStyle name="Normal 2 2 2 2 5 2 23 7" xfId="16433" xr:uid="{00000000-0005-0000-0000-000031400000}"/>
    <cellStyle name="Normal 2 2 2 2 5 2 23 8" xfId="16434" xr:uid="{00000000-0005-0000-0000-000032400000}"/>
    <cellStyle name="Normal 2 2 2 2 5 2 23 9" xfId="16435" xr:uid="{00000000-0005-0000-0000-000033400000}"/>
    <cellStyle name="Normal 2 2 2 2 5 2 24" xfId="16436" xr:uid="{00000000-0005-0000-0000-000034400000}"/>
    <cellStyle name="Normal 2 2 2 2 5 2 24 10" xfId="16437" xr:uid="{00000000-0005-0000-0000-000035400000}"/>
    <cellStyle name="Normal 2 2 2 2 5 2 24 2" xfId="16438" xr:uid="{00000000-0005-0000-0000-000036400000}"/>
    <cellStyle name="Normal 2 2 2 2 5 2 24 3" xfId="16439" xr:uid="{00000000-0005-0000-0000-000037400000}"/>
    <cellStyle name="Normal 2 2 2 2 5 2 24 4" xfId="16440" xr:uid="{00000000-0005-0000-0000-000038400000}"/>
    <cellStyle name="Normal 2 2 2 2 5 2 24 5" xfId="16441" xr:uid="{00000000-0005-0000-0000-000039400000}"/>
    <cellStyle name="Normal 2 2 2 2 5 2 24 6" xfId="16442" xr:uid="{00000000-0005-0000-0000-00003A400000}"/>
    <cellStyle name="Normal 2 2 2 2 5 2 24 7" xfId="16443" xr:uid="{00000000-0005-0000-0000-00003B400000}"/>
    <cellStyle name="Normal 2 2 2 2 5 2 24 8" xfId="16444" xr:uid="{00000000-0005-0000-0000-00003C400000}"/>
    <cellStyle name="Normal 2 2 2 2 5 2 24 9" xfId="16445" xr:uid="{00000000-0005-0000-0000-00003D400000}"/>
    <cellStyle name="Normal 2 2 2 2 5 2 25" xfId="16446" xr:uid="{00000000-0005-0000-0000-00003E400000}"/>
    <cellStyle name="Normal 2 2 2 2 5 2 26" xfId="16447" xr:uid="{00000000-0005-0000-0000-00003F400000}"/>
    <cellStyle name="Normal 2 2 2 2 5 2 27" xfId="16448" xr:uid="{00000000-0005-0000-0000-000040400000}"/>
    <cellStyle name="Normal 2 2 2 2 5 2 28" xfId="16449" xr:uid="{00000000-0005-0000-0000-000041400000}"/>
    <cellStyle name="Normal 2 2 2 2 5 2 29" xfId="16450" xr:uid="{00000000-0005-0000-0000-000042400000}"/>
    <cellStyle name="Normal 2 2 2 2 5 2 3" xfId="16451" xr:uid="{00000000-0005-0000-0000-000043400000}"/>
    <cellStyle name="Normal 2 2 2 2 5 2 30" xfId="16452" xr:uid="{00000000-0005-0000-0000-000044400000}"/>
    <cellStyle name="Normal 2 2 2 2 5 2 31" xfId="16453" xr:uid="{00000000-0005-0000-0000-000045400000}"/>
    <cellStyle name="Normal 2 2 2 2 5 2 32" xfId="16454" xr:uid="{00000000-0005-0000-0000-000046400000}"/>
    <cellStyle name="Normal 2 2 2 2 5 2 33" xfId="16455" xr:uid="{00000000-0005-0000-0000-000047400000}"/>
    <cellStyle name="Normal 2 2 2 2 5 2 4" xfId="16456" xr:uid="{00000000-0005-0000-0000-000048400000}"/>
    <cellStyle name="Normal 2 2 2 2 5 2 5" xfId="16457" xr:uid="{00000000-0005-0000-0000-000049400000}"/>
    <cellStyle name="Normal 2 2 2 2 5 2 6" xfId="16458" xr:uid="{00000000-0005-0000-0000-00004A400000}"/>
    <cellStyle name="Normal 2 2 2 2 5 2 7" xfId="16459" xr:uid="{00000000-0005-0000-0000-00004B400000}"/>
    <cellStyle name="Normal 2 2 2 2 5 2 8" xfId="16460" xr:uid="{00000000-0005-0000-0000-00004C400000}"/>
    <cellStyle name="Normal 2 2 2 2 5 2 9" xfId="16461" xr:uid="{00000000-0005-0000-0000-00004D400000}"/>
    <cellStyle name="Normal 2 2 2 2 5 20" xfId="16462" xr:uid="{00000000-0005-0000-0000-00004E400000}"/>
    <cellStyle name="Normal 2 2 2 2 5 20 10" xfId="16463" xr:uid="{00000000-0005-0000-0000-00004F400000}"/>
    <cellStyle name="Normal 2 2 2 2 5 20 11" xfId="16464" xr:uid="{00000000-0005-0000-0000-000050400000}"/>
    <cellStyle name="Normal 2 2 2 2 5 20 12" xfId="16465" xr:uid="{00000000-0005-0000-0000-000051400000}"/>
    <cellStyle name="Normal 2 2 2 2 5 20 13" xfId="16466" xr:uid="{00000000-0005-0000-0000-000052400000}"/>
    <cellStyle name="Normal 2 2 2 2 5 20 14" xfId="16467" xr:uid="{00000000-0005-0000-0000-000053400000}"/>
    <cellStyle name="Normal 2 2 2 2 5 20 2" xfId="16468" xr:uid="{00000000-0005-0000-0000-000054400000}"/>
    <cellStyle name="Normal 2 2 2 2 5 20 2 10" xfId="16469" xr:uid="{00000000-0005-0000-0000-000055400000}"/>
    <cellStyle name="Normal 2 2 2 2 5 20 2 2" xfId="16470" xr:uid="{00000000-0005-0000-0000-000056400000}"/>
    <cellStyle name="Normal 2 2 2 2 5 20 2 3" xfId="16471" xr:uid="{00000000-0005-0000-0000-000057400000}"/>
    <cellStyle name="Normal 2 2 2 2 5 20 2 4" xfId="16472" xr:uid="{00000000-0005-0000-0000-000058400000}"/>
    <cellStyle name="Normal 2 2 2 2 5 20 2 5" xfId="16473" xr:uid="{00000000-0005-0000-0000-000059400000}"/>
    <cellStyle name="Normal 2 2 2 2 5 20 2 6" xfId="16474" xr:uid="{00000000-0005-0000-0000-00005A400000}"/>
    <cellStyle name="Normal 2 2 2 2 5 20 2 7" xfId="16475" xr:uid="{00000000-0005-0000-0000-00005B400000}"/>
    <cellStyle name="Normal 2 2 2 2 5 20 2 8" xfId="16476" xr:uid="{00000000-0005-0000-0000-00005C400000}"/>
    <cellStyle name="Normal 2 2 2 2 5 20 2 9" xfId="16477" xr:uid="{00000000-0005-0000-0000-00005D400000}"/>
    <cellStyle name="Normal 2 2 2 2 5 20 3" xfId="16478" xr:uid="{00000000-0005-0000-0000-00005E400000}"/>
    <cellStyle name="Normal 2 2 2 2 5 20 3 10" xfId="16479" xr:uid="{00000000-0005-0000-0000-00005F400000}"/>
    <cellStyle name="Normal 2 2 2 2 5 20 3 2" xfId="16480" xr:uid="{00000000-0005-0000-0000-000060400000}"/>
    <cellStyle name="Normal 2 2 2 2 5 20 3 3" xfId="16481" xr:uid="{00000000-0005-0000-0000-000061400000}"/>
    <cellStyle name="Normal 2 2 2 2 5 20 3 4" xfId="16482" xr:uid="{00000000-0005-0000-0000-000062400000}"/>
    <cellStyle name="Normal 2 2 2 2 5 20 3 5" xfId="16483" xr:uid="{00000000-0005-0000-0000-000063400000}"/>
    <cellStyle name="Normal 2 2 2 2 5 20 3 6" xfId="16484" xr:uid="{00000000-0005-0000-0000-000064400000}"/>
    <cellStyle name="Normal 2 2 2 2 5 20 3 7" xfId="16485" xr:uid="{00000000-0005-0000-0000-000065400000}"/>
    <cellStyle name="Normal 2 2 2 2 5 20 3 8" xfId="16486" xr:uid="{00000000-0005-0000-0000-000066400000}"/>
    <cellStyle name="Normal 2 2 2 2 5 20 3 9" xfId="16487" xr:uid="{00000000-0005-0000-0000-000067400000}"/>
    <cellStyle name="Normal 2 2 2 2 5 20 4" xfId="16488" xr:uid="{00000000-0005-0000-0000-000068400000}"/>
    <cellStyle name="Normal 2 2 2 2 5 20 4 10" xfId="16489" xr:uid="{00000000-0005-0000-0000-000069400000}"/>
    <cellStyle name="Normal 2 2 2 2 5 20 4 2" xfId="16490" xr:uid="{00000000-0005-0000-0000-00006A400000}"/>
    <cellStyle name="Normal 2 2 2 2 5 20 4 3" xfId="16491" xr:uid="{00000000-0005-0000-0000-00006B400000}"/>
    <cellStyle name="Normal 2 2 2 2 5 20 4 4" xfId="16492" xr:uid="{00000000-0005-0000-0000-00006C400000}"/>
    <cellStyle name="Normal 2 2 2 2 5 20 4 5" xfId="16493" xr:uid="{00000000-0005-0000-0000-00006D400000}"/>
    <cellStyle name="Normal 2 2 2 2 5 20 4 6" xfId="16494" xr:uid="{00000000-0005-0000-0000-00006E400000}"/>
    <cellStyle name="Normal 2 2 2 2 5 20 4 7" xfId="16495" xr:uid="{00000000-0005-0000-0000-00006F400000}"/>
    <cellStyle name="Normal 2 2 2 2 5 20 4 8" xfId="16496" xr:uid="{00000000-0005-0000-0000-000070400000}"/>
    <cellStyle name="Normal 2 2 2 2 5 20 4 9" xfId="16497" xr:uid="{00000000-0005-0000-0000-000071400000}"/>
    <cellStyle name="Normal 2 2 2 2 5 20 5" xfId="16498" xr:uid="{00000000-0005-0000-0000-000072400000}"/>
    <cellStyle name="Normal 2 2 2 2 5 20 5 10" xfId="16499" xr:uid="{00000000-0005-0000-0000-000073400000}"/>
    <cellStyle name="Normal 2 2 2 2 5 20 5 2" xfId="16500" xr:uid="{00000000-0005-0000-0000-000074400000}"/>
    <cellStyle name="Normal 2 2 2 2 5 20 5 3" xfId="16501" xr:uid="{00000000-0005-0000-0000-000075400000}"/>
    <cellStyle name="Normal 2 2 2 2 5 20 5 4" xfId="16502" xr:uid="{00000000-0005-0000-0000-000076400000}"/>
    <cellStyle name="Normal 2 2 2 2 5 20 5 5" xfId="16503" xr:uid="{00000000-0005-0000-0000-000077400000}"/>
    <cellStyle name="Normal 2 2 2 2 5 20 5 6" xfId="16504" xr:uid="{00000000-0005-0000-0000-000078400000}"/>
    <cellStyle name="Normal 2 2 2 2 5 20 5 7" xfId="16505" xr:uid="{00000000-0005-0000-0000-000079400000}"/>
    <cellStyle name="Normal 2 2 2 2 5 20 5 8" xfId="16506" xr:uid="{00000000-0005-0000-0000-00007A400000}"/>
    <cellStyle name="Normal 2 2 2 2 5 20 5 9" xfId="16507" xr:uid="{00000000-0005-0000-0000-00007B400000}"/>
    <cellStyle name="Normal 2 2 2 2 5 20 6" xfId="16508" xr:uid="{00000000-0005-0000-0000-00007C400000}"/>
    <cellStyle name="Normal 2 2 2 2 5 20 7" xfId="16509" xr:uid="{00000000-0005-0000-0000-00007D400000}"/>
    <cellStyle name="Normal 2 2 2 2 5 20 8" xfId="16510" xr:uid="{00000000-0005-0000-0000-00007E400000}"/>
    <cellStyle name="Normal 2 2 2 2 5 20 9" xfId="16511" xr:uid="{00000000-0005-0000-0000-00007F400000}"/>
    <cellStyle name="Normal 2 2 2 2 5 21" xfId="16512" xr:uid="{00000000-0005-0000-0000-000080400000}"/>
    <cellStyle name="Normal 2 2 2 2 5 22" xfId="16513" xr:uid="{00000000-0005-0000-0000-000081400000}"/>
    <cellStyle name="Normal 2 2 2 2 5 3" xfId="16514" xr:uid="{00000000-0005-0000-0000-000082400000}"/>
    <cellStyle name="Normal 2 2 2 2 5 3 10" xfId="16515" xr:uid="{00000000-0005-0000-0000-000083400000}"/>
    <cellStyle name="Normal 2 2 2 2 5 3 11" xfId="16516" xr:uid="{00000000-0005-0000-0000-000084400000}"/>
    <cellStyle name="Normal 2 2 2 2 5 3 12" xfId="16517" xr:uid="{00000000-0005-0000-0000-000085400000}"/>
    <cellStyle name="Normal 2 2 2 2 5 3 13" xfId="16518" xr:uid="{00000000-0005-0000-0000-000086400000}"/>
    <cellStyle name="Normal 2 2 2 2 5 3 14" xfId="16519" xr:uid="{00000000-0005-0000-0000-000087400000}"/>
    <cellStyle name="Normal 2 2 2 2 5 3 2" xfId="16520" xr:uid="{00000000-0005-0000-0000-000088400000}"/>
    <cellStyle name="Normal 2 2 2 2 5 3 2 10" xfId="16521" xr:uid="{00000000-0005-0000-0000-000089400000}"/>
    <cellStyle name="Normal 2 2 2 2 5 3 2 2" xfId="16522" xr:uid="{00000000-0005-0000-0000-00008A400000}"/>
    <cellStyle name="Normal 2 2 2 2 5 3 2 3" xfId="16523" xr:uid="{00000000-0005-0000-0000-00008B400000}"/>
    <cellStyle name="Normal 2 2 2 2 5 3 2 4" xfId="16524" xr:uid="{00000000-0005-0000-0000-00008C400000}"/>
    <cellStyle name="Normal 2 2 2 2 5 3 2 5" xfId="16525" xr:uid="{00000000-0005-0000-0000-00008D400000}"/>
    <cellStyle name="Normal 2 2 2 2 5 3 2 6" xfId="16526" xr:uid="{00000000-0005-0000-0000-00008E400000}"/>
    <cellStyle name="Normal 2 2 2 2 5 3 2 7" xfId="16527" xr:uid="{00000000-0005-0000-0000-00008F400000}"/>
    <cellStyle name="Normal 2 2 2 2 5 3 2 8" xfId="16528" xr:uid="{00000000-0005-0000-0000-000090400000}"/>
    <cellStyle name="Normal 2 2 2 2 5 3 2 9" xfId="16529" xr:uid="{00000000-0005-0000-0000-000091400000}"/>
    <cellStyle name="Normal 2 2 2 2 5 3 3" xfId="16530" xr:uid="{00000000-0005-0000-0000-000092400000}"/>
    <cellStyle name="Normal 2 2 2 2 5 3 3 10" xfId="16531" xr:uid="{00000000-0005-0000-0000-000093400000}"/>
    <cellStyle name="Normal 2 2 2 2 5 3 3 2" xfId="16532" xr:uid="{00000000-0005-0000-0000-000094400000}"/>
    <cellStyle name="Normal 2 2 2 2 5 3 3 3" xfId="16533" xr:uid="{00000000-0005-0000-0000-000095400000}"/>
    <cellStyle name="Normal 2 2 2 2 5 3 3 4" xfId="16534" xr:uid="{00000000-0005-0000-0000-000096400000}"/>
    <cellStyle name="Normal 2 2 2 2 5 3 3 5" xfId="16535" xr:uid="{00000000-0005-0000-0000-000097400000}"/>
    <cellStyle name="Normal 2 2 2 2 5 3 3 6" xfId="16536" xr:uid="{00000000-0005-0000-0000-000098400000}"/>
    <cellStyle name="Normal 2 2 2 2 5 3 3 7" xfId="16537" xr:uid="{00000000-0005-0000-0000-000099400000}"/>
    <cellStyle name="Normal 2 2 2 2 5 3 3 8" xfId="16538" xr:uid="{00000000-0005-0000-0000-00009A400000}"/>
    <cellStyle name="Normal 2 2 2 2 5 3 3 9" xfId="16539" xr:uid="{00000000-0005-0000-0000-00009B400000}"/>
    <cellStyle name="Normal 2 2 2 2 5 3 4" xfId="16540" xr:uid="{00000000-0005-0000-0000-00009C400000}"/>
    <cellStyle name="Normal 2 2 2 2 5 3 4 10" xfId="16541" xr:uid="{00000000-0005-0000-0000-00009D400000}"/>
    <cellStyle name="Normal 2 2 2 2 5 3 4 2" xfId="16542" xr:uid="{00000000-0005-0000-0000-00009E400000}"/>
    <cellStyle name="Normal 2 2 2 2 5 3 4 3" xfId="16543" xr:uid="{00000000-0005-0000-0000-00009F400000}"/>
    <cellStyle name="Normal 2 2 2 2 5 3 4 4" xfId="16544" xr:uid="{00000000-0005-0000-0000-0000A0400000}"/>
    <cellStyle name="Normal 2 2 2 2 5 3 4 5" xfId="16545" xr:uid="{00000000-0005-0000-0000-0000A1400000}"/>
    <cellStyle name="Normal 2 2 2 2 5 3 4 6" xfId="16546" xr:uid="{00000000-0005-0000-0000-0000A2400000}"/>
    <cellStyle name="Normal 2 2 2 2 5 3 4 7" xfId="16547" xr:uid="{00000000-0005-0000-0000-0000A3400000}"/>
    <cellStyle name="Normal 2 2 2 2 5 3 4 8" xfId="16548" xr:uid="{00000000-0005-0000-0000-0000A4400000}"/>
    <cellStyle name="Normal 2 2 2 2 5 3 4 9" xfId="16549" xr:uid="{00000000-0005-0000-0000-0000A5400000}"/>
    <cellStyle name="Normal 2 2 2 2 5 3 5" xfId="16550" xr:uid="{00000000-0005-0000-0000-0000A6400000}"/>
    <cellStyle name="Normal 2 2 2 2 5 3 5 10" xfId="16551" xr:uid="{00000000-0005-0000-0000-0000A7400000}"/>
    <cellStyle name="Normal 2 2 2 2 5 3 5 2" xfId="16552" xr:uid="{00000000-0005-0000-0000-0000A8400000}"/>
    <cellStyle name="Normal 2 2 2 2 5 3 5 3" xfId="16553" xr:uid="{00000000-0005-0000-0000-0000A9400000}"/>
    <cellStyle name="Normal 2 2 2 2 5 3 5 4" xfId="16554" xr:uid="{00000000-0005-0000-0000-0000AA400000}"/>
    <cellStyle name="Normal 2 2 2 2 5 3 5 5" xfId="16555" xr:uid="{00000000-0005-0000-0000-0000AB400000}"/>
    <cellStyle name="Normal 2 2 2 2 5 3 5 6" xfId="16556" xr:uid="{00000000-0005-0000-0000-0000AC400000}"/>
    <cellStyle name="Normal 2 2 2 2 5 3 5 7" xfId="16557" xr:uid="{00000000-0005-0000-0000-0000AD400000}"/>
    <cellStyle name="Normal 2 2 2 2 5 3 5 8" xfId="16558" xr:uid="{00000000-0005-0000-0000-0000AE400000}"/>
    <cellStyle name="Normal 2 2 2 2 5 3 5 9" xfId="16559" xr:uid="{00000000-0005-0000-0000-0000AF400000}"/>
    <cellStyle name="Normal 2 2 2 2 5 3 6" xfId="16560" xr:uid="{00000000-0005-0000-0000-0000B0400000}"/>
    <cellStyle name="Normal 2 2 2 2 5 3 7" xfId="16561" xr:uid="{00000000-0005-0000-0000-0000B1400000}"/>
    <cellStyle name="Normal 2 2 2 2 5 3 8" xfId="16562" xr:uid="{00000000-0005-0000-0000-0000B2400000}"/>
    <cellStyle name="Normal 2 2 2 2 5 3 9" xfId="16563" xr:uid="{00000000-0005-0000-0000-0000B3400000}"/>
    <cellStyle name="Normal 2 2 2 2 5 4" xfId="16564" xr:uid="{00000000-0005-0000-0000-0000B4400000}"/>
    <cellStyle name="Normal 2 2 2 2 5 4 10" xfId="16565" xr:uid="{00000000-0005-0000-0000-0000B5400000}"/>
    <cellStyle name="Normal 2 2 2 2 5 4 11" xfId="16566" xr:uid="{00000000-0005-0000-0000-0000B6400000}"/>
    <cellStyle name="Normal 2 2 2 2 5 4 12" xfId="16567" xr:uid="{00000000-0005-0000-0000-0000B7400000}"/>
    <cellStyle name="Normal 2 2 2 2 5 4 13" xfId="16568" xr:uid="{00000000-0005-0000-0000-0000B8400000}"/>
    <cellStyle name="Normal 2 2 2 2 5 4 14" xfId="16569" xr:uid="{00000000-0005-0000-0000-0000B9400000}"/>
    <cellStyle name="Normal 2 2 2 2 5 4 2" xfId="16570" xr:uid="{00000000-0005-0000-0000-0000BA400000}"/>
    <cellStyle name="Normal 2 2 2 2 5 4 2 10" xfId="16571" xr:uid="{00000000-0005-0000-0000-0000BB400000}"/>
    <cellStyle name="Normal 2 2 2 2 5 4 2 2" xfId="16572" xr:uid="{00000000-0005-0000-0000-0000BC400000}"/>
    <cellStyle name="Normal 2 2 2 2 5 4 2 3" xfId="16573" xr:uid="{00000000-0005-0000-0000-0000BD400000}"/>
    <cellStyle name="Normal 2 2 2 2 5 4 2 4" xfId="16574" xr:uid="{00000000-0005-0000-0000-0000BE400000}"/>
    <cellStyle name="Normal 2 2 2 2 5 4 2 5" xfId="16575" xr:uid="{00000000-0005-0000-0000-0000BF400000}"/>
    <cellStyle name="Normal 2 2 2 2 5 4 2 6" xfId="16576" xr:uid="{00000000-0005-0000-0000-0000C0400000}"/>
    <cellStyle name="Normal 2 2 2 2 5 4 2 7" xfId="16577" xr:uid="{00000000-0005-0000-0000-0000C1400000}"/>
    <cellStyle name="Normal 2 2 2 2 5 4 2 8" xfId="16578" xr:uid="{00000000-0005-0000-0000-0000C2400000}"/>
    <cellStyle name="Normal 2 2 2 2 5 4 2 9" xfId="16579" xr:uid="{00000000-0005-0000-0000-0000C3400000}"/>
    <cellStyle name="Normal 2 2 2 2 5 4 3" xfId="16580" xr:uid="{00000000-0005-0000-0000-0000C4400000}"/>
    <cellStyle name="Normal 2 2 2 2 5 4 3 10" xfId="16581" xr:uid="{00000000-0005-0000-0000-0000C5400000}"/>
    <cellStyle name="Normal 2 2 2 2 5 4 3 2" xfId="16582" xr:uid="{00000000-0005-0000-0000-0000C6400000}"/>
    <cellStyle name="Normal 2 2 2 2 5 4 3 3" xfId="16583" xr:uid="{00000000-0005-0000-0000-0000C7400000}"/>
    <cellStyle name="Normal 2 2 2 2 5 4 3 4" xfId="16584" xr:uid="{00000000-0005-0000-0000-0000C8400000}"/>
    <cellStyle name="Normal 2 2 2 2 5 4 3 5" xfId="16585" xr:uid="{00000000-0005-0000-0000-0000C9400000}"/>
    <cellStyle name="Normal 2 2 2 2 5 4 3 6" xfId="16586" xr:uid="{00000000-0005-0000-0000-0000CA400000}"/>
    <cellStyle name="Normal 2 2 2 2 5 4 3 7" xfId="16587" xr:uid="{00000000-0005-0000-0000-0000CB400000}"/>
    <cellStyle name="Normal 2 2 2 2 5 4 3 8" xfId="16588" xr:uid="{00000000-0005-0000-0000-0000CC400000}"/>
    <cellStyle name="Normal 2 2 2 2 5 4 3 9" xfId="16589" xr:uid="{00000000-0005-0000-0000-0000CD400000}"/>
    <cellStyle name="Normal 2 2 2 2 5 4 4" xfId="16590" xr:uid="{00000000-0005-0000-0000-0000CE400000}"/>
    <cellStyle name="Normal 2 2 2 2 5 4 4 10" xfId="16591" xr:uid="{00000000-0005-0000-0000-0000CF400000}"/>
    <cellStyle name="Normal 2 2 2 2 5 4 4 2" xfId="16592" xr:uid="{00000000-0005-0000-0000-0000D0400000}"/>
    <cellStyle name="Normal 2 2 2 2 5 4 4 3" xfId="16593" xr:uid="{00000000-0005-0000-0000-0000D1400000}"/>
    <cellStyle name="Normal 2 2 2 2 5 4 4 4" xfId="16594" xr:uid="{00000000-0005-0000-0000-0000D2400000}"/>
    <cellStyle name="Normal 2 2 2 2 5 4 4 5" xfId="16595" xr:uid="{00000000-0005-0000-0000-0000D3400000}"/>
    <cellStyle name="Normal 2 2 2 2 5 4 4 6" xfId="16596" xr:uid="{00000000-0005-0000-0000-0000D4400000}"/>
    <cellStyle name="Normal 2 2 2 2 5 4 4 7" xfId="16597" xr:uid="{00000000-0005-0000-0000-0000D5400000}"/>
    <cellStyle name="Normal 2 2 2 2 5 4 4 8" xfId="16598" xr:uid="{00000000-0005-0000-0000-0000D6400000}"/>
    <cellStyle name="Normal 2 2 2 2 5 4 4 9" xfId="16599" xr:uid="{00000000-0005-0000-0000-0000D7400000}"/>
    <cellStyle name="Normal 2 2 2 2 5 4 5" xfId="16600" xr:uid="{00000000-0005-0000-0000-0000D8400000}"/>
    <cellStyle name="Normal 2 2 2 2 5 4 5 10" xfId="16601" xr:uid="{00000000-0005-0000-0000-0000D9400000}"/>
    <cellStyle name="Normal 2 2 2 2 5 4 5 2" xfId="16602" xr:uid="{00000000-0005-0000-0000-0000DA400000}"/>
    <cellStyle name="Normal 2 2 2 2 5 4 5 3" xfId="16603" xr:uid="{00000000-0005-0000-0000-0000DB400000}"/>
    <cellStyle name="Normal 2 2 2 2 5 4 5 4" xfId="16604" xr:uid="{00000000-0005-0000-0000-0000DC400000}"/>
    <cellStyle name="Normal 2 2 2 2 5 4 5 5" xfId="16605" xr:uid="{00000000-0005-0000-0000-0000DD400000}"/>
    <cellStyle name="Normal 2 2 2 2 5 4 5 6" xfId="16606" xr:uid="{00000000-0005-0000-0000-0000DE400000}"/>
    <cellStyle name="Normal 2 2 2 2 5 4 5 7" xfId="16607" xr:uid="{00000000-0005-0000-0000-0000DF400000}"/>
    <cellStyle name="Normal 2 2 2 2 5 4 5 8" xfId="16608" xr:uid="{00000000-0005-0000-0000-0000E0400000}"/>
    <cellStyle name="Normal 2 2 2 2 5 4 5 9" xfId="16609" xr:uid="{00000000-0005-0000-0000-0000E1400000}"/>
    <cellStyle name="Normal 2 2 2 2 5 4 6" xfId="16610" xr:uid="{00000000-0005-0000-0000-0000E2400000}"/>
    <cellStyle name="Normal 2 2 2 2 5 4 7" xfId="16611" xr:uid="{00000000-0005-0000-0000-0000E3400000}"/>
    <cellStyle name="Normal 2 2 2 2 5 4 8" xfId="16612" xr:uid="{00000000-0005-0000-0000-0000E4400000}"/>
    <cellStyle name="Normal 2 2 2 2 5 4 9" xfId="16613" xr:uid="{00000000-0005-0000-0000-0000E5400000}"/>
    <cellStyle name="Normal 2 2 2 2 5 5" xfId="16614" xr:uid="{00000000-0005-0000-0000-0000E6400000}"/>
    <cellStyle name="Normal 2 2 2 2 5 5 10" xfId="16615" xr:uid="{00000000-0005-0000-0000-0000E7400000}"/>
    <cellStyle name="Normal 2 2 2 2 5 5 11" xfId="16616" xr:uid="{00000000-0005-0000-0000-0000E8400000}"/>
    <cellStyle name="Normal 2 2 2 2 5 5 12" xfId="16617" xr:uid="{00000000-0005-0000-0000-0000E9400000}"/>
    <cellStyle name="Normal 2 2 2 2 5 5 13" xfId="16618" xr:uid="{00000000-0005-0000-0000-0000EA400000}"/>
    <cellStyle name="Normal 2 2 2 2 5 5 14" xfId="16619" xr:uid="{00000000-0005-0000-0000-0000EB400000}"/>
    <cellStyle name="Normal 2 2 2 2 5 5 2" xfId="16620" xr:uid="{00000000-0005-0000-0000-0000EC400000}"/>
    <cellStyle name="Normal 2 2 2 2 5 5 2 10" xfId="16621" xr:uid="{00000000-0005-0000-0000-0000ED400000}"/>
    <cellStyle name="Normal 2 2 2 2 5 5 2 2" xfId="16622" xr:uid="{00000000-0005-0000-0000-0000EE400000}"/>
    <cellStyle name="Normal 2 2 2 2 5 5 2 3" xfId="16623" xr:uid="{00000000-0005-0000-0000-0000EF400000}"/>
    <cellStyle name="Normal 2 2 2 2 5 5 2 4" xfId="16624" xr:uid="{00000000-0005-0000-0000-0000F0400000}"/>
    <cellStyle name="Normal 2 2 2 2 5 5 2 5" xfId="16625" xr:uid="{00000000-0005-0000-0000-0000F1400000}"/>
    <cellStyle name="Normal 2 2 2 2 5 5 2 6" xfId="16626" xr:uid="{00000000-0005-0000-0000-0000F2400000}"/>
    <cellStyle name="Normal 2 2 2 2 5 5 2 7" xfId="16627" xr:uid="{00000000-0005-0000-0000-0000F3400000}"/>
    <cellStyle name="Normal 2 2 2 2 5 5 2 8" xfId="16628" xr:uid="{00000000-0005-0000-0000-0000F4400000}"/>
    <cellStyle name="Normal 2 2 2 2 5 5 2 9" xfId="16629" xr:uid="{00000000-0005-0000-0000-0000F5400000}"/>
    <cellStyle name="Normal 2 2 2 2 5 5 3" xfId="16630" xr:uid="{00000000-0005-0000-0000-0000F6400000}"/>
    <cellStyle name="Normal 2 2 2 2 5 5 3 10" xfId="16631" xr:uid="{00000000-0005-0000-0000-0000F7400000}"/>
    <cellStyle name="Normal 2 2 2 2 5 5 3 2" xfId="16632" xr:uid="{00000000-0005-0000-0000-0000F8400000}"/>
    <cellStyle name="Normal 2 2 2 2 5 5 3 3" xfId="16633" xr:uid="{00000000-0005-0000-0000-0000F9400000}"/>
    <cellStyle name="Normal 2 2 2 2 5 5 3 4" xfId="16634" xr:uid="{00000000-0005-0000-0000-0000FA400000}"/>
    <cellStyle name="Normal 2 2 2 2 5 5 3 5" xfId="16635" xr:uid="{00000000-0005-0000-0000-0000FB400000}"/>
    <cellStyle name="Normal 2 2 2 2 5 5 3 6" xfId="16636" xr:uid="{00000000-0005-0000-0000-0000FC400000}"/>
    <cellStyle name="Normal 2 2 2 2 5 5 3 7" xfId="16637" xr:uid="{00000000-0005-0000-0000-0000FD400000}"/>
    <cellStyle name="Normal 2 2 2 2 5 5 3 8" xfId="16638" xr:uid="{00000000-0005-0000-0000-0000FE400000}"/>
    <cellStyle name="Normal 2 2 2 2 5 5 3 9" xfId="16639" xr:uid="{00000000-0005-0000-0000-0000FF400000}"/>
    <cellStyle name="Normal 2 2 2 2 5 5 4" xfId="16640" xr:uid="{00000000-0005-0000-0000-000000410000}"/>
    <cellStyle name="Normal 2 2 2 2 5 5 4 10" xfId="16641" xr:uid="{00000000-0005-0000-0000-000001410000}"/>
    <cellStyle name="Normal 2 2 2 2 5 5 4 2" xfId="16642" xr:uid="{00000000-0005-0000-0000-000002410000}"/>
    <cellStyle name="Normal 2 2 2 2 5 5 4 3" xfId="16643" xr:uid="{00000000-0005-0000-0000-000003410000}"/>
    <cellStyle name="Normal 2 2 2 2 5 5 4 4" xfId="16644" xr:uid="{00000000-0005-0000-0000-000004410000}"/>
    <cellStyle name="Normal 2 2 2 2 5 5 4 5" xfId="16645" xr:uid="{00000000-0005-0000-0000-000005410000}"/>
    <cellStyle name="Normal 2 2 2 2 5 5 4 6" xfId="16646" xr:uid="{00000000-0005-0000-0000-000006410000}"/>
    <cellStyle name="Normal 2 2 2 2 5 5 4 7" xfId="16647" xr:uid="{00000000-0005-0000-0000-000007410000}"/>
    <cellStyle name="Normal 2 2 2 2 5 5 4 8" xfId="16648" xr:uid="{00000000-0005-0000-0000-000008410000}"/>
    <cellStyle name="Normal 2 2 2 2 5 5 4 9" xfId="16649" xr:uid="{00000000-0005-0000-0000-000009410000}"/>
    <cellStyle name="Normal 2 2 2 2 5 5 5" xfId="16650" xr:uid="{00000000-0005-0000-0000-00000A410000}"/>
    <cellStyle name="Normal 2 2 2 2 5 5 5 10" xfId="16651" xr:uid="{00000000-0005-0000-0000-00000B410000}"/>
    <cellStyle name="Normal 2 2 2 2 5 5 5 2" xfId="16652" xr:uid="{00000000-0005-0000-0000-00000C410000}"/>
    <cellStyle name="Normal 2 2 2 2 5 5 5 3" xfId="16653" xr:uid="{00000000-0005-0000-0000-00000D410000}"/>
    <cellStyle name="Normal 2 2 2 2 5 5 5 4" xfId="16654" xr:uid="{00000000-0005-0000-0000-00000E410000}"/>
    <cellStyle name="Normal 2 2 2 2 5 5 5 5" xfId="16655" xr:uid="{00000000-0005-0000-0000-00000F410000}"/>
    <cellStyle name="Normal 2 2 2 2 5 5 5 6" xfId="16656" xr:uid="{00000000-0005-0000-0000-000010410000}"/>
    <cellStyle name="Normal 2 2 2 2 5 5 5 7" xfId="16657" xr:uid="{00000000-0005-0000-0000-000011410000}"/>
    <cellStyle name="Normal 2 2 2 2 5 5 5 8" xfId="16658" xr:uid="{00000000-0005-0000-0000-000012410000}"/>
    <cellStyle name="Normal 2 2 2 2 5 5 5 9" xfId="16659" xr:uid="{00000000-0005-0000-0000-000013410000}"/>
    <cellStyle name="Normal 2 2 2 2 5 5 6" xfId="16660" xr:uid="{00000000-0005-0000-0000-000014410000}"/>
    <cellStyle name="Normal 2 2 2 2 5 5 7" xfId="16661" xr:uid="{00000000-0005-0000-0000-000015410000}"/>
    <cellStyle name="Normal 2 2 2 2 5 5 8" xfId="16662" xr:uid="{00000000-0005-0000-0000-000016410000}"/>
    <cellStyle name="Normal 2 2 2 2 5 5 9" xfId="16663" xr:uid="{00000000-0005-0000-0000-000017410000}"/>
    <cellStyle name="Normal 2 2 2 2 5 6" xfId="16664" xr:uid="{00000000-0005-0000-0000-000018410000}"/>
    <cellStyle name="Normal 2 2 2 2 5 6 10" xfId="16665" xr:uid="{00000000-0005-0000-0000-000019410000}"/>
    <cellStyle name="Normal 2 2 2 2 5 6 11" xfId="16666" xr:uid="{00000000-0005-0000-0000-00001A410000}"/>
    <cellStyle name="Normal 2 2 2 2 5 6 12" xfId="16667" xr:uid="{00000000-0005-0000-0000-00001B410000}"/>
    <cellStyle name="Normal 2 2 2 2 5 6 13" xfId="16668" xr:uid="{00000000-0005-0000-0000-00001C410000}"/>
    <cellStyle name="Normal 2 2 2 2 5 6 14" xfId="16669" xr:uid="{00000000-0005-0000-0000-00001D410000}"/>
    <cellStyle name="Normal 2 2 2 2 5 6 2" xfId="16670" xr:uid="{00000000-0005-0000-0000-00001E410000}"/>
    <cellStyle name="Normal 2 2 2 2 5 6 2 10" xfId="16671" xr:uid="{00000000-0005-0000-0000-00001F410000}"/>
    <cellStyle name="Normal 2 2 2 2 5 6 2 2" xfId="16672" xr:uid="{00000000-0005-0000-0000-000020410000}"/>
    <cellStyle name="Normal 2 2 2 2 5 6 2 3" xfId="16673" xr:uid="{00000000-0005-0000-0000-000021410000}"/>
    <cellStyle name="Normal 2 2 2 2 5 6 2 4" xfId="16674" xr:uid="{00000000-0005-0000-0000-000022410000}"/>
    <cellStyle name="Normal 2 2 2 2 5 6 2 5" xfId="16675" xr:uid="{00000000-0005-0000-0000-000023410000}"/>
    <cellStyle name="Normal 2 2 2 2 5 6 2 6" xfId="16676" xr:uid="{00000000-0005-0000-0000-000024410000}"/>
    <cellStyle name="Normal 2 2 2 2 5 6 2 7" xfId="16677" xr:uid="{00000000-0005-0000-0000-000025410000}"/>
    <cellStyle name="Normal 2 2 2 2 5 6 2 8" xfId="16678" xr:uid="{00000000-0005-0000-0000-000026410000}"/>
    <cellStyle name="Normal 2 2 2 2 5 6 2 9" xfId="16679" xr:uid="{00000000-0005-0000-0000-000027410000}"/>
    <cellStyle name="Normal 2 2 2 2 5 6 3" xfId="16680" xr:uid="{00000000-0005-0000-0000-000028410000}"/>
    <cellStyle name="Normal 2 2 2 2 5 6 3 10" xfId="16681" xr:uid="{00000000-0005-0000-0000-000029410000}"/>
    <cellStyle name="Normal 2 2 2 2 5 6 3 2" xfId="16682" xr:uid="{00000000-0005-0000-0000-00002A410000}"/>
    <cellStyle name="Normal 2 2 2 2 5 6 3 3" xfId="16683" xr:uid="{00000000-0005-0000-0000-00002B410000}"/>
    <cellStyle name="Normal 2 2 2 2 5 6 3 4" xfId="16684" xr:uid="{00000000-0005-0000-0000-00002C410000}"/>
    <cellStyle name="Normal 2 2 2 2 5 6 3 5" xfId="16685" xr:uid="{00000000-0005-0000-0000-00002D410000}"/>
    <cellStyle name="Normal 2 2 2 2 5 6 3 6" xfId="16686" xr:uid="{00000000-0005-0000-0000-00002E410000}"/>
    <cellStyle name="Normal 2 2 2 2 5 6 3 7" xfId="16687" xr:uid="{00000000-0005-0000-0000-00002F410000}"/>
    <cellStyle name="Normal 2 2 2 2 5 6 3 8" xfId="16688" xr:uid="{00000000-0005-0000-0000-000030410000}"/>
    <cellStyle name="Normal 2 2 2 2 5 6 3 9" xfId="16689" xr:uid="{00000000-0005-0000-0000-000031410000}"/>
    <cellStyle name="Normal 2 2 2 2 5 6 4" xfId="16690" xr:uid="{00000000-0005-0000-0000-000032410000}"/>
    <cellStyle name="Normal 2 2 2 2 5 6 4 10" xfId="16691" xr:uid="{00000000-0005-0000-0000-000033410000}"/>
    <cellStyle name="Normal 2 2 2 2 5 6 4 2" xfId="16692" xr:uid="{00000000-0005-0000-0000-000034410000}"/>
    <cellStyle name="Normal 2 2 2 2 5 6 4 3" xfId="16693" xr:uid="{00000000-0005-0000-0000-000035410000}"/>
    <cellStyle name="Normal 2 2 2 2 5 6 4 4" xfId="16694" xr:uid="{00000000-0005-0000-0000-000036410000}"/>
    <cellStyle name="Normal 2 2 2 2 5 6 4 5" xfId="16695" xr:uid="{00000000-0005-0000-0000-000037410000}"/>
    <cellStyle name="Normal 2 2 2 2 5 6 4 6" xfId="16696" xr:uid="{00000000-0005-0000-0000-000038410000}"/>
    <cellStyle name="Normal 2 2 2 2 5 6 4 7" xfId="16697" xr:uid="{00000000-0005-0000-0000-000039410000}"/>
    <cellStyle name="Normal 2 2 2 2 5 6 4 8" xfId="16698" xr:uid="{00000000-0005-0000-0000-00003A410000}"/>
    <cellStyle name="Normal 2 2 2 2 5 6 4 9" xfId="16699" xr:uid="{00000000-0005-0000-0000-00003B410000}"/>
    <cellStyle name="Normal 2 2 2 2 5 6 5" xfId="16700" xr:uid="{00000000-0005-0000-0000-00003C410000}"/>
    <cellStyle name="Normal 2 2 2 2 5 6 5 10" xfId="16701" xr:uid="{00000000-0005-0000-0000-00003D410000}"/>
    <cellStyle name="Normal 2 2 2 2 5 6 5 2" xfId="16702" xr:uid="{00000000-0005-0000-0000-00003E410000}"/>
    <cellStyle name="Normal 2 2 2 2 5 6 5 3" xfId="16703" xr:uid="{00000000-0005-0000-0000-00003F410000}"/>
    <cellStyle name="Normal 2 2 2 2 5 6 5 4" xfId="16704" xr:uid="{00000000-0005-0000-0000-000040410000}"/>
    <cellStyle name="Normal 2 2 2 2 5 6 5 5" xfId="16705" xr:uid="{00000000-0005-0000-0000-000041410000}"/>
    <cellStyle name="Normal 2 2 2 2 5 6 5 6" xfId="16706" xr:uid="{00000000-0005-0000-0000-000042410000}"/>
    <cellStyle name="Normal 2 2 2 2 5 6 5 7" xfId="16707" xr:uid="{00000000-0005-0000-0000-000043410000}"/>
    <cellStyle name="Normal 2 2 2 2 5 6 5 8" xfId="16708" xr:uid="{00000000-0005-0000-0000-000044410000}"/>
    <cellStyle name="Normal 2 2 2 2 5 6 5 9" xfId="16709" xr:uid="{00000000-0005-0000-0000-000045410000}"/>
    <cellStyle name="Normal 2 2 2 2 5 6 6" xfId="16710" xr:uid="{00000000-0005-0000-0000-000046410000}"/>
    <cellStyle name="Normal 2 2 2 2 5 6 7" xfId="16711" xr:uid="{00000000-0005-0000-0000-000047410000}"/>
    <cellStyle name="Normal 2 2 2 2 5 6 8" xfId="16712" xr:uid="{00000000-0005-0000-0000-000048410000}"/>
    <cellStyle name="Normal 2 2 2 2 5 6 9" xfId="16713" xr:uid="{00000000-0005-0000-0000-000049410000}"/>
    <cellStyle name="Normal 2 2 2 2 5 7" xfId="16714" xr:uid="{00000000-0005-0000-0000-00004A410000}"/>
    <cellStyle name="Normal 2 2 2 2 5 7 10" xfId="16715" xr:uid="{00000000-0005-0000-0000-00004B410000}"/>
    <cellStyle name="Normal 2 2 2 2 5 7 11" xfId="16716" xr:uid="{00000000-0005-0000-0000-00004C410000}"/>
    <cellStyle name="Normal 2 2 2 2 5 7 12" xfId="16717" xr:uid="{00000000-0005-0000-0000-00004D410000}"/>
    <cellStyle name="Normal 2 2 2 2 5 7 13" xfId="16718" xr:uid="{00000000-0005-0000-0000-00004E410000}"/>
    <cellStyle name="Normal 2 2 2 2 5 7 14" xfId="16719" xr:uid="{00000000-0005-0000-0000-00004F410000}"/>
    <cellStyle name="Normal 2 2 2 2 5 7 2" xfId="16720" xr:uid="{00000000-0005-0000-0000-000050410000}"/>
    <cellStyle name="Normal 2 2 2 2 5 7 2 10" xfId="16721" xr:uid="{00000000-0005-0000-0000-000051410000}"/>
    <cellStyle name="Normal 2 2 2 2 5 7 2 2" xfId="16722" xr:uid="{00000000-0005-0000-0000-000052410000}"/>
    <cellStyle name="Normal 2 2 2 2 5 7 2 3" xfId="16723" xr:uid="{00000000-0005-0000-0000-000053410000}"/>
    <cellStyle name="Normal 2 2 2 2 5 7 2 4" xfId="16724" xr:uid="{00000000-0005-0000-0000-000054410000}"/>
    <cellStyle name="Normal 2 2 2 2 5 7 2 5" xfId="16725" xr:uid="{00000000-0005-0000-0000-000055410000}"/>
    <cellStyle name="Normal 2 2 2 2 5 7 2 6" xfId="16726" xr:uid="{00000000-0005-0000-0000-000056410000}"/>
    <cellStyle name="Normal 2 2 2 2 5 7 2 7" xfId="16727" xr:uid="{00000000-0005-0000-0000-000057410000}"/>
    <cellStyle name="Normal 2 2 2 2 5 7 2 8" xfId="16728" xr:uid="{00000000-0005-0000-0000-000058410000}"/>
    <cellStyle name="Normal 2 2 2 2 5 7 2 9" xfId="16729" xr:uid="{00000000-0005-0000-0000-000059410000}"/>
    <cellStyle name="Normal 2 2 2 2 5 7 3" xfId="16730" xr:uid="{00000000-0005-0000-0000-00005A410000}"/>
    <cellStyle name="Normal 2 2 2 2 5 7 3 10" xfId="16731" xr:uid="{00000000-0005-0000-0000-00005B410000}"/>
    <cellStyle name="Normal 2 2 2 2 5 7 3 2" xfId="16732" xr:uid="{00000000-0005-0000-0000-00005C410000}"/>
    <cellStyle name="Normal 2 2 2 2 5 7 3 3" xfId="16733" xr:uid="{00000000-0005-0000-0000-00005D410000}"/>
    <cellStyle name="Normal 2 2 2 2 5 7 3 4" xfId="16734" xr:uid="{00000000-0005-0000-0000-00005E410000}"/>
    <cellStyle name="Normal 2 2 2 2 5 7 3 5" xfId="16735" xr:uid="{00000000-0005-0000-0000-00005F410000}"/>
    <cellStyle name="Normal 2 2 2 2 5 7 3 6" xfId="16736" xr:uid="{00000000-0005-0000-0000-000060410000}"/>
    <cellStyle name="Normal 2 2 2 2 5 7 3 7" xfId="16737" xr:uid="{00000000-0005-0000-0000-000061410000}"/>
    <cellStyle name="Normal 2 2 2 2 5 7 3 8" xfId="16738" xr:uid="{00000000-0005-0000-0000-000062410000}"/>
    <cellStyle name="Normal 2 2 2 2 5 7 3 9" xfId="16739" xr:uid="{00000000-0005-0000-0000-000063410000}"/>
    <cellStyle name="Normal 2 2 2 2 5 7 4" xfId="16740" xr:uid="{00000000-0005-0000-0000-000064410000}"/>
    <cellStyle name="Normal 2 2 2 2 5 7 4 10" xfId="16741" xr:uid="{00000000-0005-0000-0000-000065410000}"/>
    <cellStyle name="Normal 2 2 2 2 5 7 4 2" xfId="16742" xr:uid="{00000000-0005-0000-0000-000066410000}"/>
    <cellStyle name="Normal 2 2 2 2 5 7 4 3" xfId="16743" xr:uid="{00000000-0005-0000-0000-000067410000}"/>
    <cellStyle name="Normal 2 2 2 2 5 7 4 4" xfId="16744" xr:uid="{00000000-0005-0000-0000-000068410000}"/>
    <cellStyle name="Normal 2 2 2 2 5 7 4 5" xfId="16745" xr:uid="{00000000-0005-0000-0000-000069410000}"/>
    <cellStyle name="Normal 2 2 2 2 5 7 4 6" xfId="16746" xr:uid="{00000000-0005-0000-0000-00006A410000}"/>
    <cellStyle name="Normal 2 2 2 2 5 7 4 7" xfId="16747" xr:uid="{00000000-0005-0000-0000-00006B410000}"/>
    <cellStyle name="Normal 2 2 2 2 5 7 4 8" xfId="16748" xr:uid="{00000000-0005-0000-0000-00006C410000}"/>
    <cellStyle name="Normal 2 2 2 2 5 7 4 9" xfId="16749" xr:uid="{00000000-0005-0000-0000-00006D410000}"/>
    <cellStyle name="Normal 2 2 2 2 5 7 5" xfId="16750" xr:uid="{00000000-0005-0000-0000-00006E410000}"/>
    <cellStyle name="Normal 2 2 2 2 5 7 5 10" xfId="16751" xr:uid="{00000000-0005-0000-0000-00006F410000}"/>
    <cellStyle name="Normal 2 2 2 2 5 7 5 2" xfId="16752" xr:uid="{00000000-0005-0000-0000-000070410000}"/>
    <cellStyle name="Normal 2 2 2 2 5 7 5 3" xfId="16753" xr:uid="{00000000-0005-0000-0000-000071410000}"/>
    <cellStyle name="Normal 2 2 2 2 5 7 5 4" xfId="16754" xr:uid="{00000000-0005-0000-0000-000072410000}"/>
    <cellStyle name="Normal 2 2 2 2 5 7 5 5" xfId="16755" xr:uid="{00000000-0005-0000-0000-000073410000}"/>
    <cellStyle name="Normal 2 2 2 2 5 7 5 6" xfId="16756" xr:uid="{00000000-0005-0000-0000-000074410000}"/>
    <cellStyle name="Normal 2 2 2 2 5 7 5 7" xfId="16757" xr:uid="{00000000-0005-0000-0000-000075410000}"/>
    <cellStyle name="Normal 2 2 2 2 5 7 5 8" xfId="16758" xr:uid="{00000000-0005-0000-0000-000076410000}"/>
    <cellStyle name="Normal 2 2 2 2 5 7 5 9" xfId="16759" xr:uid="{00000000-0005-0000-0000-000077410000}"/>
    <cellStyle name="Normal 2 2 2 2 5 7 6" xfId="16760" xr:uid="{00000000-0005-0000-0000-000078410000}"/>
    <cellStyle name="Normal 2 2 2 2 5 7 7" xfId="16761" xr:uid="{00000000-0005-0000-0000-000079410000}"/>
    <cellStyle name="Normal 2 2 2 2 5 7 8" xfId="16762" xr:uid="{00000000-0005-0000-0000-00007A410000}"/>
    <cellStyle name="Normal 2 2 2 2 5 7 9" xfId="16763" xr:uid="{00000000-0005-0000-0000-00007B410000}"/>
    <cellStyle name="Normal 2 2 2 2 5 8" xfId="16764" xr:uid="{00000000-0005-0000-0000-00007C410000}"/>
    <cellStyle name="Normal 2 2 2 2 5 8 10" xfId="16765" xr:uid="{00000000-0005-0000-0000-00007D410000}"/>
    <cellStyle name="Normal 2 2 2 2 5 8 11" xfId="16766" xr:uid="{00000000-0005-0000-0000-00007E410000}"/>
    <cellStyle name="Normal 2 2 2 2 5 8 12" xfId="16767" xr:uid="{00000000-0005-0000-0000-00007F410000}"/>
    <cellStyle name="Normal 2 2 2 2 5 8 13" xfId="16768" xr:uid="{00000000-0005-0000-0000-000080410000}"/>
    <cellStyle name="Normal 2 2 2 2 5 8 14" xfId="16769" xr:uid="{00000000-0005-0000-0000-000081410000}"/>
    <cellStyle name="Normal 2 2 2 2 5 8 2" xfId="16770" xr:uid="{00000000-0005-0000-0000-000082410000}"/>
    <cellStyle name="Normal 2 2 2 2 5 8 2 10" xfId="16771" xr:uid="{00000000-0005-0000-0000-000083410000}"/>
    <cellStyle name="Normal 2 2 2 2 5 8 2 2" xfId="16772" xr:uid="{00000000-0005-0000-0000-000084410000}"/>
    <cellStyle name="Normal 2 2 2 2 5 8 2 3" xfId="16773" xr:uid="{00000000-0005-0000-0000-000085410000}"/>
    <cellStyle name="Normal 2 2 2 2 5 8 2 4" xfId="16774" xr:uid="{00000000-0005-0000-0000-000086410000}"/>
    <cellStyle name="Normal 2 2 2 2 5 8 2 5" xfId="16775" xr:uid="{00000000-0005-0000-0000-000087410000}"/>
    <cellStyle name="Normal 2 2 2 2 5 8 2 6" xfId="16776" xr:uid="{00000000-0005-0000-0000-000088410000}"/>
    <cellStyle name="Normal 2 2 2 2 5 8 2 7" xfId="16777" xr:uid="{00000000-0005-0000-0000-000089410000}"/>
    <cellStyle name="Normal 2 2 2 2 5 8 2 8" xfId="16778" xr:uid="{00000000-0005-0000-0000-00008A410000}"/>
    <cellStyle name="Normal 2 2 2 2 5 8 2 9" xfId="16779" xr:uid="{00000000-0005-0000-0000-00008B410000}"/>
    <cellStyle name="Normal 2 2 2 2 5 8 3" xfId="16780" xr:uid="{00000000-0005-0000-0000-00008C410000}"/>
    <cellStyle name="Normal 2 2 2 2 5 8 3 10" xfId="16781" xr:uid="{00000000-0005-0000-0000-00008D410000}"/>
    <cellStyle name="Normal 2 2 2 2 5 8 3 2" xfId="16782" xr:uid="{00000000-0005-0000-0000-00008E410000}"/>
    <cellStyle name="Normal 2 2 2 2 5 8 3 3" xfId="16783" xr:uid="{00000000-0005-0000-0000-00008F410000}"/>
    <cellStyle name="Normal 2 2 2 2 5 8 3 4" xfId="16784" xr:uid="{00000000-0005-0000-0000-000090410000}"/>
    <cellStyle name="Normal 2 2 2 2 5 8 3 5" xfId="16785" xr:uid="{00000000-0005-0000-0000-000091410000}"/>
    <cellStyle name="Normal 2 2 2 2 5 8 3 6" xfId="16786" xr:uid="{00000000-0005-0000-0000-000092410000}"/>
    <cellStyle name="Normal 2 2 2 2 5 8 3 7" xfId="16787" xr:uid="{00000000-0005-0000-0000-000093410000}"/>
    <cellStyle name="Normal 2 2 2 2 5 8 3 8" xfId="16788" xr:uid="{00000000-0005-0000-0000-000094410000}"/>
    <cellStyle name="Normal 2 2 2 2 5 8 3 9" xfId="16789" xr:uid="{00000000-0005-0000-0000-000095410000}"/>
    <cellStyle name="Normal 2 2 2 2 5 8 4" xfId="16790" xr:uid="{00000000-0005-0000-0000-000096410000}"/>
    <cellStyle name="Normal 2 2 2 2 5 8 4 10" xfId="16791" xr:uid="{00000000-0005-0000-0000-000097410000}"/>
    <cellStyle name="Normal 2 2 2 2 5 8 4 2" xfId="16792" xr:uid="{00000000-0005-0000-0000-000098410000}"/>
    <cellStyle name="Normal 2 2 2 2 5 8 4 3" xfId="16793" xr:uid="{00000000-0005-0000-0000-000099410000}"/>
    <cellStyle name="Normal 2 2 2 2 5 8 4 4" xfId="16794" xr:uid="{00000000-0005-0000-0000-00009A410000}"/>
    <cellStyle name="Normal 2 2 2 2 5 8 4 5" xfId="16795" xr:uid="{00000000-0005-0000-0000-00009B410000}"/>
    <cellStyle name="Normal 2 2 2 2 5 8 4 6" xfId="16796" xr:uid="{00000000-0005-0000-0000-00009C410000}"/>
    <cellStyle name="Normal 2 2 2 2 5 8 4 7" xfId="16797" xr:uid="{00000000-0005-0000-0000-00009D410000}"/>
    <cellStyle name="Normal 2 2 2 2 5 8 4 8" xfId="16798" xr:uid="{00000000-0005-0000-0000-00009E410000}"/>
    <cellStyle name="Normal 2 2 2 2 5 8 4 9" xfId="16799" xr:uid="{00000000-0005-0000-0000-00009F410000}"/>
    <cellStyle name="Normal 2 2 2 2 5 8 5" xfId="16800" xr:uid="{00000000-0005-0000-0000-0000A0410000}"/>
    <cellStyle name="Normal 2 2 2 2 5 8 5 10" xfId="16801" xr:uid="{00000000-0005-0000-0000-0000A1410000}"/>
    <cellStyle name="Normal 2 2 2 2 5 8 5 2" xfId="16802" xr:uid="{00000000-0005-0000-0000-0000A2410000}"/>
    <cellStyle name="Normal 2 2 2 2 5 8 5 3" xfId="16803" xr:uid="{00000000-0005-0000-0000-0000A3410000}"/>
    <cellStyle name="Normal 2 2 2 2 5 8 5 4" xfId="16804" xr:uid="{00000000-0005-0000-0000-0000A4410000}"/>
    <cellStyle name="Normal 2 2 2 2 5 8 5 5" xfId="16805" xr:uid="{00000000-0005-0000-0000-0000A5410000}"/>
    <cellStyle name="Normal 2 2 2 2 5 8 5 6" xfId="16806" xr:uid="{00000000-0005-0000-0000-0000A6410000}"/>
    <cellStyle name="Normal 2 2 2 2 5 8 5 7" xfId="16807" xr:uid="{00000000-0005-0000-0000-0000A7410000}"/>
    <cellStyle name="Normal 2 2 2 2 5 8 5 8" xfId="16808" xr:uid="{00000000-0005-0000-0000-0000A8410000}"/>
    <cellStyle name="Normal 2 2 2 2 5 8 5 9" xfId="16809" xr:uid="{00000000-0005-0000-0000-0000A9410000}"/>
    <cellStyle name="Normal 2 2 2 2 5 8 6" xfId="16810" xr:uid="{00000000-0005-0000-0000-0000AA410000}"/>
    <cellStyle name="Normal 2 2 2 2 5 8 7" xfId="16811" xr:uid="{00000000-0005-0000-0000-0000AB410000}"/>
    <cellStyle name="Normal 2 2 2 2 5 8 8" xfId="16812" xr:uid="{00000000-0005-0000-0000-0000AC410000}"/>
    <cellStyle name="Normal 2 2 2 2 5 8 9" xfId="16813" xr:uid="{00000000-0005-0000-0000-0000AD410000}"/>
    <cellStyle name="Normal 2 2 2 2 5 9" xfId="16814" xr:uid="{00000000-0005-0000-0000-0000AE410000}"/>
    <cellStyle name="Normal 2 2 2 2 5 9 10" xfId="16815" xr:uid="{00000000-0005-0000-0000-0000AF410000}"/>
    <cellStyle name="Normal 2 2 2 2 5 9 11" xfId="16816" xr:uid="{00000000-0005-0000-0000-0000B0410000}"/>
    <cellStyle name="Normal 2 2 2 2 5 9 12" xfId="16817" xr:uid="{00000000-0005-0000-0000-0000B1410000}"/>
    <cellStyle name="Normal 2 2 2 2 5 9 13" xfId="16818" xr:uid="{00000000-0005-0000-0000-0000B2410000}"/>
    <cellStyle name="Normal 2 2 2 2 5 9 14" xfId="16819" xr:uid="{00000000-0005-0000-0000-0000B3410000}"/>
    <cellStyle name="Normal 2 2 2 2 5 9 2" xfId="16820" xr:uid="{00000000-0005-0000-0000-0000B4410000}"/>
    <cellStyle name="Normal 2 2 2 2 5 9 2 10" xfId="16821" xr:uid="{00000000-0005-0000-0000-0000B5410000}"/>
    <cellStyle name="Normal 2 2 2 2 5 9 2 2" xfId="16822" xr:uid="{00000000-0005-0000-0000-0000B6410000}"/>
    <cellStyle name="Normal 2 2 2 2 5 9 2 3" xfId="16823" xr:uid="{00000000-0005-0000-0000-0000B7410000}"/>
    <cellStyle name="Normal 2 2 2 2 5 9 2 4" xfId="16824" xr:uid="{00000000-0005-0000-0000-0000B8410000}"/>
    <cellStyle name="Normal 2 2 2 2 5 9 2 5" xfId="16825" xr:uid="{00000000-0005-0000-0000-0000B9410000}"/>
    <cellStyle name="Normal 2 2 2 2 5 9 2 6" xfId="16826" xr:uid="{00000000-0005-0000-0000-0000BA410000}"/>
    <cellStyle name="Normal 2 2 2 2 5 9 2 7" xfId="16827" xr:uid="{00000000-0005-0000-0000-0000BB410000}"/>
    <cellStyle name="Normal 2 2 2 2 5 9 2 8" xfId="16828" xr:uid="{00000000-0005-0000-0000-0000BC410000}"/>
    <cellStyle name="Normal 2 2 2 2 5 9 2 9" xfId="16829" xr:uid="{00000000-0005-0000-0000-0000BD410000}"/>
    <cellStyle name="Normal 2 2 2 2 5 9 3" xfId="16830" xr:uid="{00000000-0005-0000-0000-0000BE410000}"/>
    <cellStyle name="Normal 2 2 2 2 5 9 3 10" xfId="16831" xr:uid="{00000000-0005-0000-0000-0000BF410000}"/>
    <cellStyle name="Normal 2 2 2 2 5 9 3 2" xfId="16832" xr:uid="{00000000-0005-0000-0000-0000C0410000}"/>
    <cellStyle name="Normal 2 2 2 2 5 9 3 3" xfId="16833" xr:uid="{00000000-0005-0000-0000-0000C1410000}"/>
    <cellStyle name="Normal 2 2 2 2 5 9 3 4" xfId="16834" xr:uid="{00000000-0005-0000-0000-0000C2410000}"/>
    <cellStyle name="Normal 2 2 2 2 5 9 3 5" xfId="16835" xr:uid="{00000000-0005-0000-0000-0000C3410000}"/>
    <cellStyle name="Normal 2 2 2 2 5 9 3 6" xfId="16836" xr:uid="{00000000-0005-0000-0000-0000C4410000}"/>
    <cellStyle name="Normal 2 2 2 2 5 9 3 7" xfId="16837" xr:uid="{00000000-0005-0000-0000-0000C5410000}"/>
    <cellStyle name="Normal 2 2 2 2 5 9 3 8" xfId="16838" xr:uid="{00000000-0005-0000-0000-0000C6410000}"/>
    <cellStyle name="Normal 2 2 2 2 5 9 3 9" xfId="16839" xr:uid="{00000000-0005-0000-0000-0000C7410000}"/>
    <cellStyle name="Normal 2 2 2 2 5 9 4" xfId="16840" xr:uid="{00000000-0005-0000-0000-0000C8410000}"/>
    <cellStyle name="Normal 2 2 2 2 5 9 4 10" xfId="16841" xr:uid="{00000000-0005-0000-0000-0000C9410000}"/>
    <cellStyle name="Normal 2 2 2 2 5 9 4 2" xfId="16842" xr:uid="{00000000-0005-0000-0000-0000CA410000}"/>
    <cellStyle name="Normal 2 2 2 2 5 9 4 3" xfId="16843" xr:uid="{00000000-0005-0000-0000-0000CB410000}"/>
    <cellStyle name="Normal 2 2 2 2 5 9 4 4" xfId="16844" xr:uid="{00000000-0005-0000-0000-0000CC410000}"/>
    <cellStyle name="Normal 2 2 2 2 5 9 4 5" xfId="16845" xr:uid="{00000000-0005-0000-0000-0000CD410000}"/>
    <cellStyle name="Normal 2 2 2 2 5 9 4 6" xfId="16846" xr:uid="{00000000-0005-0000-0000-0000CE410000}"/>
    <cellStyle name="Normal 2 2 2 2 5 9 4 7" xfId="16847" xr:uid="{00000000-0005-0000-0000-0000CF410000}"/>
    <cellStyle name="Normal 2 2 2 2 5 9 4 8" xfId="16848" xr:uid="{00000000-0005-0000-0000-0000D0410000}"/>
    <cellStyle name="Normal 2 2 2 2 5 9 4 9" xfId="16849" xr:uid="{00000000-0005-0000-0000-0000D1410000}"/>
    <cellStyle name="Normal 2 2 2 2 5 9 5" xfId="16850" xr:uid="{00000000-0005-0000-0000-0000D2410000}"/>
    <cellStyle name="Normal 2 2 2 2 5 9 5 10" xfId="16851" xr:uid="{00000000-0005-0000-0000-0000D3410000}"/>
    <cellStyle name="Normal 2 2 2 2 5 9 5 2" xfId="16852" xr:uid="{00000000-0005-0000-0000-0000D4410000}"/>
    <cellStyle name="Normal 2 2 2 2 5 9 5 3" xfId="16853" xr:uid="{00000000-0005-0000-0000-0000D5410000}"/>
    <cellStyle name="Normal 2 2 2 2 5 9 5 4" xfId="16854" xr:uid="{00000000-0005-0000-0000-0000D6410000}"/>
    <cellStyle name="Normal 2 2 2 2 5 9 5 5" xfId="16855" xr:uid="{00000000-0005-0000-0000-0000D7410000}"/>
    <cellStyle name="Normal 2 2 2 2 5 9 5 6" xfId="16856" xr:uid="{00000000-0005-0000-0000-0000D8410000}"/>
    <cellStyle name="Normal 2 2 2 2 5 9 5 7" xfId="16857" xr:uid="{00000000-0005-0000-0000-0000D9410000}"/>
    <cellStyle name="Normal 2 2 2 2 5 9 5 8" xfId="16858" xr:uid="{00000000-0005-0000-0000-0000DA410000}"/>
    <cellStyle name="Normal 2 2 2 2 5 9 5 9" xfId="16859" xr:uid="{00000000-0005-0000-0000-0000DB410000}"/>
    <cellStyle name="Normal 2 2 2 2 5 9 6" xfId="16860" xr:uid="{00000000-0005-0000-0000-0000DC410000}"/>
    <cellStyle name="Normal 2 2 2 2 5 9 7" xfId="16861" xr:uid="{00000000-0005-0000-0000-0000DD410000}"/>
    <cellStyle name="Normal 2 2 2 2 5 9 8" xfId="16862" xr:uid="{00000000-0005-0000-0000-0000DE410000}"/>
    <cellStyle name="Normal 2 2 2 2 5 9 9" xfId="16863" xr:uid="{00000000-0005-0000-0000-0000DF410000}"/>
    <cellStyle name="Normal 2 2 2 2 50" xfId="16864" xr:uid="{00000000-0005-0000-0000-0000E0410000}"/>
    <cellStyle name="Normal 2 2 2 2 51" xfId="16865" xr:uid="{00000000-0005-0000-0000-0000E1410000}"/>
    <cellStyle name="Normal 2 2 2 2 6" xfId="16866" xr:uid="{00000000-0005-0000-0000-0000E2410000}"/>
    <cellStyle name="Normal 2 2 2 2 6 2" xfId="16867" xr:uid="{00000000-0005-0000-0000-0000E3410000}"/>
    <cellStyle name="Normal 2 2 2 2 7" xfId="16868" xr:uid="{00000000-0005-0000-0000-0000E4410000}"/>
    <cellStyle name="Normal 2 2 2 2 8" xfId="16869" xr:uid="{00000000-0005-0000-0000-0000E5410000}"/>
    <cellStyle name="Normal 2 2 2 2 9" xfId="16870" xr:uid="{00000000-0005-0000-0000-0000E6410000}"/>
    <cellStyle name="Normal 2 2 2 20" xfId="16871" xr:uid="{00000000-0005-0000-0000-0000E7410000}"/>
    <cellStyle name="Normal 2 2 2 20 10" xfId="16872" xr:uid="{00000000-0005-0000-0000-0000E8410000}"/>
    <cellStyle name="Normal 2 2 2 20 11" xfId="16873" xr:uid="{00000000-0005-0000-0000-0000E9410000}"/>
    <cellStyle name="Normal 2 2 2 20 12" xfId="16874" xr:uid="{00000000-0005-0000-0000-0000EA410000}"/>
    <cellStyle name="Normal 2 2 2 20 13" xfId="16875" xr:uid="{00000000-0005-0000-0000-0000EB410000}"/>
    <cellStyle name="Normal 2 2 2 20 14" xfId="16876" xr:uid="{00000000-0005-0000-0000-0000EC410000}"/>
    <cellStyle name="Normal 2 2 2 20 2" xfId="16877" xr:uid="{00000000-0005-0000-0000-0000ED410000}"/>
    <cellStyle name="Normal 2 2 2 20 2 10" xfId="16878" xr:uid="{00000000-0005-0000-0000-0000EE410000}"/>
    <cellStyle name="Normal 2 2 2 20 2 2" xfId="16879" xr:uid="{00000000-0005-0000-0000-0000EF410000}"/>
    <cellStyle name="Normal 2 2 2 20 2 3" xfId="16880" xr:uid="{00000000-0005-0000-0000-0000F0410000}"/>
    <cellStyle name="Normal 2 2 2 20 2 4" xfId="16881" xr:uid="{00000000-0005-0000-0000-0000F1410000}"/>
    <cellStyle name="Normal 2 2 2 20 2 5" xfId="16882" xr:uid="{00000000-0005-0000-0000-0000F2410000}"/>
    <cellStyle name="Normal 2 2 2 20 2 6" xfId="16883" xr:uid="{00000000-0005-0000-0000-0000F3410000}"/>
    <cellStyle name="Normal 2 2 2 20 2 7" xfId="16884" xr:uid="{00000000-0005-0000-0000-0000F4410000}"/>
    <cellStyle name="Normal 2 2 2 20 2 8" xfId="16885" xr:uid="{00000000-0005-0000-0000-0000F5410000}"/>
    <cellStyle name="Normal 2 2 2 20 2 9" xfId="16886" xr:uid="{00000000-0005-0000-0000-0000F6410000}"/>
    <cellStyle name="Normal 2 2 2 20 3" xfId="16887" xr:uid="{00000000-0005-0000-0000-0000F7410000}"/>
    <cellStyle name="Normal 2 2 2 20 3 10" xfId="16888" xr:uid="{00000000-0005-0000-0000-0000F8410000}"/>
    <cellStyle name="Normal 2 2 2 20 3 2" xfId="16889" xr:uid="{00000000-0005-0000-0000-0000F9410000}"/>
    <cellStyle name="Normal 2 2 2 20 3 3" xfId="16890" xr:uid="{00000000-0005-0000-0000-0000FA410000}"/>
    <cellStyle name="Normal 2 2 2 20 3 4" xfId="16891" xr:uid="{00000000-0005-0000-0000-0000FB410000}"/>
    <cellStyle name="Normal 2 2 2 20 3 5" xfId="16892" xr:uid="{00000000-0005-0000-0000-0000FC410000}"/>
    <cellStyle name="Normal 2 2 2 20 3 6" xfId="16893" xr:uid="{00000000-0005-0000-0000-0000FD410000}"/>
    <cellStyle name="Normal 2 2 2 20 3 7" xfId="16894" xr:uid="{00000000-0005-0000-0000-0000FE410000}"/>
    <cellStyle name="Normal 2 2 2 20 3 8" xfId="16895" xr:uid="{00000000-0005-0000-0000-0000FF410000}"/>
    <cellStyle name="Normal 2 2 2 20 3 9" xfId="16896" xr:uid="{00000000-0005-0000-0000-000000420000}"/>
    <cellStyle name="Normal 2 2 2 20 4" xfId="16897" xr:uid="{00000000-0005-0000-0000-000001420000}"/>
    <cellStyle name="Normal 2 2 2 20 4 10" xfId="16898" xr:uid="{00000000-0005-0000-0000-000002420000}"/>
    <cellStyle name="Normal 2 2 2 20 4 2" xfId="16899" xr:uid="{00000000-0005-0000-0000-000003420000}"/>
    <cellStyle name="Normal 2 2 2 20 4 3" xfId="16900" xr:uid="{00000000-0005-0000-0000-000004420000}"/>
    <cellStyle name="Normal 2 2 2 20 4 4" xfId="16901" xr:uid="{00000000-0005-0000-0000-000005420000}"/>
    <cellStyle name="Normal 2 2 2 20 4 5" xfId="16902" xr:uid="{00000000-0005-0000-0000-000006420000}"/>
    <cellStyle name="Normal 2 2 2 20 4 6" xfId="16903" xr:uid="{00000000-0005-0000-0000-000007420000}"/>
    <cellStyle name="Normal 2 2 2 20 4 7" xfId="16904" xr:uid="{00000000-0005-0000-0000-000008420000}"/>
    <cellStyle name="Normal 2 2 2 20 4 8" xfId="16905" xr:uid="{00000000-0005-0000-0000-000009420000}"/>
    <cellStyle name="Normal 2 2 2 20 4 9" xfId="16906" xr:uid="{00000000-0005-0000-0000-00000A420000}"/>
    <cellStyle name="Normal 2 2 2 20 5" xfId="16907" xr:uid="{00000000-0005-0000-0000-00000B420000}"/>
    <cellStyle name="Normal 2 2 2 20 5 10" xfId="16908" xr:uid="{00000000-0005-0000-0000-00000C420000}"/>
    <cellStyle name="Normal 2 2 2 20 5 2" xfId="16909" xr:uid="{00000000-0005-0000-0000-00000D420000}"/>
    <cellStyle name="Normal 2 2 2 20 5 3" xfId="16910" xr:uid="{00000000-0005-0000-0000-00000E420000}"/>
    <cellStyle name="Normal 2 2 2 20 5 4" xfId="16911" xr:uid="{00000000-0005-0000-0000-00000F420000}"/>
    <cellStyle name="Normal 2 2 2 20 5 5" xfId="16912" xr:uid="{00000000-0005-0000-0000-000010420000}"/>
    <cellStyle name="Normal 2 2 2 20 5 6" xfId="16913" xr:uid="{00000000-0005-0000-0000-000011420000}"/>
    <cellStyle name="Normal 2 2 2 20 5 7" xfId="16914" xr:uid="{00000000-0005-0000-0000-000012420000}"/>
    <cellStyle name="Normal 2 2 2 20 5 8" xfId="16915" xr:uid="{00000000-0005-0000-0000-000013420000}"/>
    <cellStyle name="Normal 2 2 2 20 5 9" xfId="16916" xr:uid="{00000000-0005-0000-0000-000014420000}"/>
    <cellStyle name="Normal 2 2 2 20 6" xfId="16917" xr:uid="{00000000-0005-0000-0000-000015420000}"/>
    <cellStyle name="Normal 2 2 2 20 7" xfId="16918" xr:uid="{00000000-0005-0000-0000-000016420000}"/>
    <cellStyle name="Normal 2 2 2 20 8" xfId="16919" xr:uid="{00000000-0005-0000-0000-000017420000}"/>
    <cellStyle name="Normal 2 2 2 20 9" xfId="16920" xr:uid="{00000000-0005-0000-0000-000018420000}"/>
    <cellStyle name="Normal 2 2 2 21" xfId="16921" xr:uid="{00000000-0005-0000-0000-000019420000}"/>
    <cellStyle name="Normal 2 2 2 21 10" xfId="16922" xr:uid="{00000000-0005-0000-0000-00001A420000}"/>
    <cellStyle name="Normal 2 2 2 21 11" xfId="16923" xr:uid="{00000000-0005-0000-0000-00001B420000}"/>
    <cellStyle name="Normal 2 2 2 21 12" xfId="16924" xr:uid="{00000000-0005-0000-0000-00001C420000}"/>
    <cellStyle name="Normal 2 2 2 21 13" xfId="16925" xr:uid="{00000000-0005-0000-0000-00001D420000}"/>
    <cellStyle name="Normal 2 2 2 21 14" xfId="16926" xr:uid="{00000000-0005-0000-0000-00001E420000}"/>
    <cellStyle name="Normal 2 2 2 21 2" xfId="16927" xr:uid="{00000000-0005-0000-0000-00001F420000}"/>
    <cellStyle name="Normal 2 2 2 21 2 10" xfId="16928" xr:uid="{00000000-0005-0000-0000-000020420000}"/>
    <cellStyle name="Normal 2 2 2 21 2 2" xfId="16929" xr:uid="{00000000-0005-0000-0000-000021420000}"/>
    <cellStyle name="Normal 2 2 2 21 2 3" xfId="16930" xr:uid="{00000000-0005-0000-0000-000022420000}"/>
    <cellStyle name="Normal 2 2 2 21 2 4" xfId="16931" xr:uid="{00000000-0005-0000-0000-000023420000}"/>
    <cellStyle name="Normal 2 2 2 21 2 5" xfId="16932" xr:uid="{00000000-0005-0000-0000-000024420000}"/>
    <cellStyle name="Normal 2 2 2 21 2 6" xfId="16933" xr:uid="{00000000-0005-0000-0000-000025420000}"/>
    <cellStyle name="Normal 2 2 2 21 2 7" xfId="16934" xr:uid="{00000000-0005-0000-0000-000026420000}"/>
    <cellStyle name="Normal 2 2 2 21 2 8" xfId="16935" xr:uid="{00000000-0005-0000-0000-000027420000}"/>
    <cellStyle name="Normal 2 2 2 21 2 9" xfId="16936" xr:uid="{00000000-0005-0000-0000-000028420000}"/>
    <cellStyle name="Normal 2 2 2 21 3" xfId="16937" xr:uid="{00000000-0005-0000-0000-000029420000}"/>
    <cellStyle name="Normal 2 2 2 21 3 10" xfId="16938" xr:uid="{00000000-0005-0000-0000-00002A420000}"/>
    <cellStyle name="Normal 2 2 2 21 3 2" xfId="16939" xr:uid="{00000000-0005-0000-0000-00002B420000}"/>
    <cellStyle name="Normal 2 2 2 21 3 3" xfId="16940" xr:uid="{00000000-0005-0000-0000-00002C420000}"/>
    <cellStyle name="Normal 2 2 2 21 3 4" xfId="16941" xr:uid="{00000000-0005-0000-0000-00002D420000}"/>
    <cellStyle name="Normal 2 2 2 21 3 5" xfId="16942" xr:uid="{00000000-0005-0000-0000-00002E420000}"/>
    <cellStyle name="Normal 2 2 2 21 3 6" xfId="16943" xr:uid="{00000000-0005-0000-0000-00002F420000}"/>
    <cellStyle name="Normal 2 2 2 21 3 7" xfId="16944" xr:uid="{00000000-0005-0000-0000-000030420000}"/>
    <cellStyle name="Normal 2 2 2 21 3 8" xfId="16945" xr:uid="{00000000-0005-0000-0000-000031420000}"/>
    <cellStyle name="Normal 2 2 2 21 3 9" xfId="16946" xr:uid="{00000000-0005-0000-0000-000032420000}"/>
    <cellStyle name="Normal 2 2 2 21 4" xfId="16947" xr:uid="{00000000-0005-0000-0000-000033420000}"/>
    <cellStyle name="Normal 2 2 2 21 4 10" xfId="16948" xr:uid="{00000000-0005-0000-0000-000034420000}"/>
    <cellStyle name="Normal 2 2 2 21 4 2" xfId="16949" xr:uid="{00000000-0005-0000-0000-000035420000}"/>
    <cellStyle name="Normal 2 2 2 21 4 3" xfId="16950" xr:uid="{00000000-0005-0000-0000-000036420000}"/>
    <cellStyle name="Normal 2 2 2 21 4 4" xfId="16951" xr:uid="{00000000-0005-0000-0000-000037420000}"/>
    <cellStyle name="Normal 2 2 2 21 4 5" xfId="16952" xr:uid="{00000000-0005-0000-0000-000038420000}"/>
    <cellStyle name="Normal 2 2 2 21 4 6" xfId="16953" xr:uid="{00000000-0005-0000-0000-000039420000}"/>
    <cellStyle name="Normal 2 2 2 21 4 7" xfId="16954" xr:uid="{00000000-0005-0000-0000-00003A420000}"/>
    <cellStyle name="Normal 2 2 2 21 4 8" xfId="16955" xr:uid="{00000000-0005-0000-0000-00003B420000}"/>
    <cellStyle name="Normal 2 2 2 21 4 9" xfId="16956" xr:uid="{00000000-0005-0000-0000-00003C420000}"/>
    <cellStyle name="Normal 2 2 2 21 5" xfId="16957" xr:uid="{00000000-0005-0000-0000-00003D420000}"/>
    <cellStyle name="Normal 2 2 2 21 5 10" xfId="16958" xr:uid="{00000000-0005-0000-0000-00003E420000}"/>
    <cellStyle name="Normal 2 2 2 21 5 2" xfId="16959" xr:uid="{00000000-0005-0000-0000-00003F420000}"/>
    <cellStyle name="Normal 2 2 2 21 5 3" xfId="16960" xr:uid="{00000000-0005-0000-0000-000040420000}"/>
    <cellStyle name="Normal 2 2 2 21 5 4" xfId="16961" xr:uid="{00000000-0005-0000-0000-000041420000}"/>
    <cellStyle name="Normal 2 2 2 21 5 5" xfId="16962" xr:uid="{00000000-0005-0000-0000-000042420000}"/>
    <cellStyle name="Normal 2 2 2 21 5 6" xfId="16963" xr:uid="{00000000-0005-0000-0000-000043420000}"/>
    <cellStyle name="Normal 2 2 2 21 5 7" xfId="16964" xr:uid="{00000000-0005-0000-0000-000044420000}"/>
    <cellStyle name="Normal 2 2 2 21 5 8" xfId="16965" xr:uid="{00000000-0005-0000-0000-000045420000}"/>
    <cellStyle name="Normal 2 2 2 21 5 9" xfId="16966" xr:uid="{00000000-0005-0000-0000-000046420000}"/>
    <cellStyle name="Normal 2 2 2 21 6" xfId="16967" xr:uid="{00000000-0005-0000-0000-000047420000}"/>
    <cellStyle name="Normal 2 2 2 21 7" xfId="16968" xr:uid="{00000000-0005-0000-0000-000048420000}"/>
    <cellStyle name="Normal 2 2 2 21 8" xfId="16969" xr:uid="{00000000-0005-0000-0000-000049420000}"/>
    <cellStyle name="Normal 2 2 2 21 9" xfId="16970" xr:uid="{00000000-0005-0000-0000-00004A420000}"/>
    <cellStyle name="Normal 2 2 2 22" xfId="16971" xr:uid="{00000000-0005-0000-0000-00004B420000}"/>
    <cellStyle name="Normal 2 2 2 22 10" xfId="16972" xr:uid="{00000000-0005-0000-0000-00004C420000}"/>
    <cellStyle name="Normal 2 2 2 22 11" xfId="16973" xr:uid="{00000000-0005-0000-0000-00004D420000}"/>
    <cellStyle name="Normal 2 2 2 22 12" xfId="16974" xr:uid="{00000000-0005-0000-0000-00004E420000}"/>
    <cellStyle name="Normal 2 2 2 22 13" xfId="16975" xr:uid="{00000000-0005-0000-0000-00004F420000}"/>
    <cellStyle name="Normal 2 2 2 22 14" xfId="16976" xr:uid="{00000000-0005-0000-0000-000050420000}"/>
    <cellStyle name="Normal 2 2 2 22 2" xfId="16977" xr:uid="{00000000-0005-0000-0000-000051420000}"/>
    <cellStyle name="Normal 2 2 2 22 2 10" xfId="16978" xr:uid="{00000000-0005-0000-0000-000052420000}"/>
    <cellStyle name="Normal 2 2 2 22 2 2" xfId="16979" xr:uid="{00000000-0005-0000-0000-000053420000}"/>
    <cellStyle name="Normal 2 2 2 22 2 3" xfId="16980" xr:uid="{00000000-0005-0000-0000-000054420000}"/>
    <cellStyle name="Normal 2 2 2 22 2 4" xfId="16981" xr:uid="{00000000-0005-0000-0000-000055420000}"/>
    <cellStyle name="Normal 2 2 2 22 2 5" xfId="16982" xr:uid="{00000000-0005-0000-0000-000056420000}"/>
    <cellStyle name="Normal 2 2 2 22 2 6" xfId="16983" xr:uid="{00000000-0005-0000-0000-000057420000}"/>
    <cellStyle name="Normal 2 2 2 22 2 7" xfId="16984" xr:uid="{00000000-0005-0000-0000-000058420000}"/>
    <cellStyle name="Normal 2 2 2 22 2 8" xfId="16985" xr:uid="{00000000-0005-0000-0000-000059420000}"/>
    <cellStyle name="Normal 2 2 2 22 2 9" xfId="16986" xr:uid="{00000000-0005-0000-0000-00005A420000}"/>
    <cellStyle name="Normal 2 2 2 22 3" xfId="16987" xr:uid="{00000000-0005-0000-0000-00005B420000}"/>
    <cellStyle name="Normal 2 2 2 22 3 10" xfId="16988" xr:uid="{00000000-0005-0000-0000-00005C420000}"/>
    <cellStyle name="Normal 2 2 2 22 3 2" xfId="16989" xr:uid="{00000000-0005-0000-0000-00005D420000}"/>
    <cellStyle name="Normal 2 2 2 22 3 3" xfId="16990" xr:uid="{00000000-0005-0000-0000-00005E420000}"/>
    <cellStyle name="Normal 2 2 2 22 3 4" xfId="16991" xr:uid="{00000000-0005-0000-0000-00005F420000}"/>
    <cellStyle name="Normal 2 2 2 22 3 5" xfId="16992" xr:uid="{00000000-0005-0000-0000-000060420000}"/>
    <cellStyle name="Normal 2 2 2 22 3 6" xfId="16993" xr:uid="{00000000-0005-0000-0000-000061420000}"/>
    <cellStyle name="Normal 2 2 2 22 3 7" xfId="16994" xr:uid="{00000000-0005-0000-0000-000062420000}"/>
    <cellStyle name="Normal 2 2 2 22 3 8" xfId="16995" xr:uid="{00000000-0005-0000-0000-000063420000}"/>
    <cellStyle name="Normal 2 2 2 22 3 9" xfId="16996" xr:uid="{00000000-0005-0000-0000-000064420000}"/>
    <cellStyle name="Normal 2 2 2 22 4" xfId="16997" xr:uid="{00000000-0005-0000-0000-000065420000}"/>
    <cellStyle name="Normal 2 2 2 22 4 10" xfId="16998" xr:uid="{00000000-0005-0000-0000-000066420000}"/>
    <cellStyle name="Normal 2 2 2 22 4 2" xfId="16999" xr:uid="{00000000-0005-0000-0000-000067420000}"/>
    <cellStyle name="Normal 2 2 2 22 4 3" xfId="17000" xr:uid="{00000000-0005-0000-0000-000068420000}"/>
    <cellStyle name="Normal 2 2 2 22 4 4" xfId="17001" xr:uid="{00000000-0005-0000-0000-000069420000}"/>
    <cellStyle name="Normal 2 2 2 22 4 5" xfId="17002" xr:uid="{00000000-0005-0000-0000-00006A420000}"/>
    <cellStyle name="Normal 2 2 2 22 4 6" xfId="17003" xr:uid="{00000000-0005-0000-0000-00006B420000}"/>
    <cellStyle name="Normal 2 2 2 22 4 7" xfId="17004" xr:uid="{00000000-0005-0000-0000-00006C420000}"/>
    <cellStyle name="Normal 2 2 2 22 4 8" xfId="17005" xr:uid="{00000000-0005-0000-0000-00006D420000}"/>
    <cellStyle name="Normal 2 2 2 22 4 9" xfId="17006" xr:uid="{00000000-0005-0000-0000-00006E420000}"/>
    <cellStyle name="Normal 2 2 2 22 5" xfId="17007" xr:uid="{00000000-0005-0000-0000-00006F420000}"/>
    <cellStyle name="Normal 2 2 2 22 5 10" xfId="17008" xr:uid="{00000000-0005-0000-0000-000070420000}"/>
    <cellStyle name="Normal 2 2 2 22 5 2" xfId="17009" xr:uid="{00000000-0005-0000-0000-000071420000}"/>
    <cellStyle name="Normal 2 2 2 22 5 3" xfId="17010" xr:uid="{00000000-0005-0000-0000-000072420000}"/>
    <cellStyle name="Normal 2 2 2 22 5 4" xfId="17011" xr:uid="{00000000-0005-0000-0000-000073420000}"/>
    <cellStyle name="Normal 2 2 2 22 5 5" xfId="17012" xr:uid="{00000000-0005-0000-0000-000074420000}"/>
    <cellStyle name="Normal 2 2 2 22 5 6" xfId="17013" xr:uid="{00000000-0005-0000-0000-000075420000}"/>
    <cellStyle name="Normal 2 2 2 22 5 7" xfId="17014" xr:uid="{00000000-0005-0000-0000-000076420000}"/>
    <cellStyle name="Normal 2 2 2 22 5 8" xfId="17015" xr:uid="{00000000-0005-0000-0000-000077420000}"/>
    <cellStyle name="Normal 2 2 2 22 5 9" xfId="17016" xr:uid="{00000000-0005-0000-0000-000078420000}"/>
    <cellStyle name="Normal 2 2 2 22 6" xfId="17017" xr:uid="{00000000-0005-0000-0000-000079420000}"/>
    <cellStyle name="Normal 2 2 2 22 7" xfId="17018" xr:uid="{00000000-0005-0000-0000-00007A420000}"/>
    <cellStyle name="Normal 2 2 2 22 8" xfId="17019" xr:uid="{00000000-0005-0000-0000-00007B420000}"/>
    <cellStyle name="Normal 2 2 2 22 9" xfId="17020" xr:uid="{00000000-0005-0000-0000-00007C420000}"/>
    <cellStyle name="Normal 2 2 2 23" xfId="17021" xr:uid="{00000000-0005-0000-0000-00007D420000}"/>
    <cellStyle name="Normal 2 2 2 23 10" xfId="17022" xr:uid="{00000000-0005-0000-0000-00007E420000}"/>
    <cellStyle name="Normal 2 2 2 23 11" xfId="17023" xr:uid="{00000000-0005-0000-0000-00007F420000}"/>
    <cellStyle name="Normal 2 2 2 23 12" xfId="17024" xr:uid="{00000000-0005-0000-0000-000080420000}"/>
    <cellStyle name="Normal 2 2 2 23 13" xfId="17025" xr:uid="{00000000-0005-0000-0000-000081420000}"/>
    <cellStyle name="Normal 2 2 2 23 14" xfId="17026" xr:uid="{00000000-0005-0000-0000-000082420000}"/>
    <cellStyle name="Normal 2 2 2 23 2" xfId="17027" xr:uid="{00000000-0005-0000-0000-000083420000}"/>
    <cellStyle name="Normal 2 2 2 23 2 10" xfId="17028" xr:uid="{00000000-0005-0000-0000-000084420000}"/>
    <cellStyle name="Normal 2 2 2 23 2 2" xfId="17029" xr:uid="{00000000-0005-0000-0000-000085420000}"/>
    <cellStyle name="Normal 2 2 2 23 2 3" xfId="17030" xr:uid="{00000000-0005-0000-0000-000086420000}"/>
    <cellStyle name="Normal 2 2 2 23 2 4" xfId="17031" xr:uid="{00000000-0005-0000-0000-000087420000}"/>
    <cellStyle name="Normal 2 2 2 23 2 5" xfId="17032" xr:uid="{00000000-0005-0000-0000-000088420000}"/>
    <cellStyle name="Normal 2 2 2 23 2 6" xfId="17033" xr:uid="{00000000-0005-0000-0000-000089420000}"/>
    <cellStyle name="Normal 2 2 2 23 2 7" xfId="17034" xr:uid="{00000000-0005-0000-0000-00008A420000}"/>
    <cellStyle name="Normal 2 2 2 23 2 8" xfId="17035" xr:uid="{00000000-0005-0000-0000-00008B420000}"/>
    <cellStyle name="Normal 2 2 2 23 2 9" xfId="17036" xr:uid="{00000000-0005-0000-0000-00008C420000}"/>
    <cellStyle name="Normal 2 2 2 23 3" xfId="17037" xr:uid="{00000000-0005-0000-0000-00008D420000}"/>
    <cellStyle name="Normal 2 2 2 23 3 10" xfId="17038" xr:uid="{00000000-0005-0000-0000-00008E420000}"/>
    <cellStyle name="Normal 2 2 2 23 3 2" xfId="17039" xr:uid="{00000000-0005-0000-0000-00008F420000}"/>
    <cellStyle name="Normal 2 2 2 23 3 3" xfId="17040" xr:uid="{00000000-0005-0000-0000-000090420000}"/>
    <cellStyle name="Normal 2 2 2 23 3 4" xfId="17041" xr:uid="{00000000-0005-0000-0000-000091420000}"/>
    <cellStyle name="Normal 2 2 2 23 3 5" xfId="17042" xr:uid="{00000000-0005-0000-0000-000092420000}"/>
    <cellStyle name="Normal 2 2 2 23 3 6" xfId="17043" xr:uid="{00000000-0005-0000-0000-000093420000}"/>
    <cellStyle name="Normal 2 2 2 23 3 7" xfId="17044" xr:uid="{00000000-0005-0000-0000-000094420000}"/>
    <cellStyle name="Normal 2 2 2 23 3 8" xfId="17045" xr:uid="{00000000-0005-0000-0000-000095420000}"/>
    <cellStyle name="Normal 2 2 2 23 3 9" xfId="17046" xr:uid="{00000000-0005-0000-0000-000096420000}"/>
    <cellStyle name="Normal 2 2 2 23 4" xfId="17047" xr:uid="{00000000-0005-0000-0000-000097420000}"/>
    <cellStyle name="Normal 2 2 2 23 4 10" xfId="17048" xr:uid="{00000000-0005-0000-0000-000098420000}"/>
    <cellStyle name="Normal 2 2 2 23 4 2" xfId="17049" xr:uid="{00000000-0005-0000-0000-000099420000}"/>
    <cellStyle name="Normal 2 2 2 23 4 3" xfId="17050" xr:uid="{00000000-0005-0000-0000-00009A420000}"/>
    <cellStyle name="Normal 2 2 2 23 4 4" xfId="17051" xr:uid="{00000000-0005-0000-0000-00009B420000}"/>
    <cellStyle name="Normal 2 2 2 23 4 5" xfId="17052" xr:uid="{00000000-0005-0000-0000-00009C420000}"/>
    <cellStyle name="Normal 2 2 2 23 4 6" xfId="17053" xr:uid="{00000000-0005-0000-0000-00009D420000}"/>
    <cellStyle name="Normal 2 2 2 23 4 7" xfId="17054" xr:uid="{00000000-0005-0000-0000-00009E420000}"/>
    <cellStyle name="Normal 2 2 2 23 4 8" xfId="17055" xr:uid="{00000000-0005-0000-0000-00009F420000}"/>
    <cellStyle name="Normal 2 2 2 23 4 9" xfId="17056" xr:uid="{00000000-0005-0000-0000-0000A0420000}"/>
    <cellStyle name="Normal 2 2 2 23 5" xfId="17057" xr:uid="{00000000-0005-0000-0000-0000A1420000}"/>
    <cellStyle name="Normal 2 2 2 23 5 10" xfId="17058" xr:uid="{00000000-0005-0000-0000-0000A2420000}"/>
    <cellStyle name="Normal 2 2 2 23 5 2" xfId="17059" xr:uid="{00000000-0005-0000-0000-0000A3420000}"/>
    <cellStyle name="Normal 2 2 2 23 5 3" xfId="17060" xr:uid="{00000000-0005-0000-0000-0000A4420000}"/>
    <cellStyle name="Normal 2 2 2 23 5 4" xfId="17061" xr:uid="{00000000-0005-0000-0000-0000A5420000}"/>
    <cellStyle name="Normal 2 2 2 23 5 5" xfId="17062" xr:uid="{00000000-0005-0000-0000-0000A6420000}"/>
    <cellStyle name="Normal 2 2 2 23 5 6" xfId="17063" xr:uid="{00000000-0005-0000-0000-0000A7420000}"/>
    <cellStyle name="Normal 2 2 2 23 5 7" xfId="17064" xr:uid="{00000000-0005-0000-0000-0000A8420000}"/>
    <cellStyle name="Normal 2 2 2 23 5 8" xfId="17065" xr:uid="{00000000-0005-0000-0000-0000A9420000}"/>
    <cellStyle name="Normal 2 2 2 23 5 9" xfId="17066" xr:uid="{00000000-0005-0000-0000-0000AA420000}"/>
    <cellStyle name="Normal 2 2 2 23 6" xfId="17067" xr:uid="{00000000-0005-0000-0000-0000AB420000}"/>
    <cellStyle name="Normal 2 2 2 23 7" xfId="17068" xr:uid="{00000000-0005-0000-0000-0000AC420000}"/>
    <cellStyle name="Normal 2 2 2 23 8" xfId="17069" xr:uid="{00000000-0005-0000-0000-0000AD420000}"/>
    <cellStyle name="Normal 2 2 2 23 9" xfId="17070" xr:uid="{00000000-0005-0000-0000-0000AE420000}"/>
    <cellStyle name="Normal 2 2 2 24" xfId="17071" xr:uid="{00000000-0005-0000-0000-0000AF420000}"/>
    <cellStyle name="Normal 2 2 2 24 10" xfId="17072" xr:uid="{00000000-0005-0000-0000-0000B0420000}"/>
    <cellStyle name="Normal 2 2 2 24 11" xfId="17073" xr:uid="{00000000-0005-0000-0000-0000B1420000}"/>
    <cellStyle name="Normal 2 2 2 24 12" xfId="17074" xr:uid="{00000000-0005-0000-0000-0000B2420000}"/>
    <cellStyle name="Normal 2 2 2 24 13" xfId="17075" xr:uid="{00000000-0005-0000-0000-0000B3420000}"/>
    <cellStyle name="Normal 2 2 2 24 14" xfId="17076" xr:uid="{00000000-0005-0000-0000-0000B4420000}"/>
    <cellStyle name="Normal 2 2 2 24 2" xfId="17077" xr:uid="{00000000-0005-0000-0000-0000B5420000}"/>
    <cellStyle name="Normal 2 2 2 24 2 10" xfId="17078" xr:uid="{00000000-0005-0000-0000-0000B6420000}"/>
    <cellStyle name="Normal 2 2 2 24 2 2" xfId="17079" xr:uid="{00000000-0005-0000-0000-0000B7420000}"/>
    <cellStyle name="Normal 2 2 2 24 2 3" xfId="17080" xr:uid="{00000000-0005-0000-0000-0000B8420000}"/>
    <cellStyle name="Normal 2 2 2 24 2 4" xfId="17081" xr:uid="{00000000-0005-0000-0000-0000B9420000}"/>
    <cellStyle name="Normal 2 2 2 24 2 5" xfId="17082" xr:uid="{00000000-0005-0000-0000-0000BA420000}"/>
    <cellStyle name="Normal 2 2 2 24 2 6" xfId="17083" xr:uid="{00000000-0005-0000-0000-0000BB420000}"/>
    <cellStyle name="Normal 2 2 2 24 2 7" xfId="17084" xr:uid="{00000000-0005-0000-0000-0000BC420000}"/>
    <cellStyle name="Normal 2 2 2 24 2 8" xfId="17085" xr:uid="{00000000-0005-0000-0000-0000BD420000}"/>
    <cellStyle name="Normal 2 2 2 24 2 9" xfId="17086" xr:uid="{00000000-0005-0000-0000-0000BE420000}"/>
    <cellStyle name="Normal 2 2 2 24 3" xfId="17087" xr:uid="{00000000-0005-0000-0000-0000BF420000}"/>
    <cellStyle name="Normal 2 2 2 24 3 10" xfId="17088" xr:uid="{00000000-0005-0000-0000-0000C0420000}"/>
    <cellStyle name="Normal 2 2 2 24 3 2" xfId="17089" xr:uid="{00000000-0005-0000-0000-0000C1420000}"/>
    <cellStyle name="Normal 2 2 2 24 3 3" xfId="17090" xr:uid="{00000000-0005-0000-0000-0000C2420000}"/>
    <cellStyle name="Normal 2 2 2 24 3 4" xfId="17091" xr:uid="{00000000-0005-0000-0000-0000C3420000}"/>
    <cellStyle name="Normal 2 2 2 24 3 5" xfId="17092" xr:uid="{00000000-0005-0000-0000-0000C4420000}"/>
    <cellStyle name="Normal 2 2 2 24 3 6" xfId="17093" xr:uid="{00000000-0005-0000-0000-0000C5420000}"/>
    <cellStyle name="Normal 2 2 2 24 3 7" xfId="17094" xr:uid="{00000000-0005-0000-0000-0000C6420000}"/>
    <cellStyle name="Normal 2 2 2 24 3 8" xfId="17095" xr:uid="{00000000-0005-0000-0000-0000C7420000}"/>
    <cellStyle name="Normal 2 2 2 24 3 9" xfId="17096" xr:uid="{00000000-0005-0000-0000-0000C8420000}"/>
    <cellStyle name="Normal 2 2 2 24 4" xfId="17097" xr:uid="{00000000-0005-0000-0000-0000C9420000}"/>
    <cellStyle name="Normal 2 2 2 24 4 10" xfId="17098" xr:uid="{00000000-0005-0000-0000-0000CA420000}"/>
    <cellStyle name="Normal 2 2 2 24 4 2" xfId="17099" xr:uid="{00000000-0005-0000-0000-0000CB420000}"/>
    <cellStyle name="Normal 2 2 2 24 4 3" xfId="17100" xr:uid="{00000000-0005-0000-0000-0000CC420000}"/>
    <cellStyle name="Normal 2 2 2 24 4 4" xfId="17101" xr:uid="{00000000-0005-0000-0000-0000CD420000}"/>
    <cellStyle name="Normal 2 2 2 24 4 5" xfId="17102" xr:uid="{00000000-0005-0000-0000-0000CE420000}"/>
    <cellStyle name="Normal 2 2 2 24 4 6" xfId="17103" xr:uid="{00000000-0005-0000-0000-0000CF420000}"/>
    <cellStyle name="Normal 2 2 2 24 4 7" xfId="17104" xr:uid="{00000000-0005-0000-0000-0000D0420000}"/>
    <cellStyle name="Normal 2 2 2 24 4 8" xfId="17105" xr:uid="{00000000-0005-0000-0000-0000D1420000}"/>
    <cellStyle name="Normal 2 2 2 24 4 9" xfId="17106" xr:uid="{00000000-0005-0000-0000-0000D2420000}"/>
    <cellStyle name="Normal 2 2 2 24 5" xfId="17107" xr:uid="{00000000-0005-0000-0000-0000D3420000}"/>
    <cellStyle name="Normal 2 2 2 24 5 10" xfId="17108" xr:uid="{00000000-0005-0000-0000-0000D4420000}"/>
    <cellStyle name="Normal 2 2 2 24 5 2" xfId="17109" xr:uid="{00000000-0005-0000-0000-0000D5420000}"/>
    <cellStyle name="Normal 2 2 2 24 5 3" xfId="17110" xr:uid="{00000000-0005-0000-0000-0000D6420000}"/>
    <cellStyle name="Normal 2 2 2 24 5 4" xfId="17111" xr:uid="{00000000-0005-0000-0000-0000D7420000}"/>
    <cellStyle name="Normal 2 2 2 24 5 5" xfId="17112" xr:uid="{00000000-0005-0000-0000-0000D8420000}"/>
    <cellStyle name="Normal 2 2 2 24 5 6" xfId="17113" xr:uid="{00000000-0005-0000-0000-0000D9420000}"/>
    <cellStyle name="Normal 2 2 2 24 5 7" xfId="17114" xr:uid="{00000000-0005-0000-0000-0000DA420000}"/>
    <cellStyle name="Normal 2 2 2 24 5 8" xfId="17115" xr:uid="{00000000-0005-0000-0000-0000DB420000}"/>
    <cellStyle name="Normal 2 2 2 24 5 9" xfId="17116" xr:uid="{00000000-0005-0000-0000-0000DC420000}"/>
    <cellStyle name="Normal 2 2 2 24 6" xfId="17117" xr:uid="{00000000-0005-0000-0000-0000DD420000}"/>
    <cellStyle name="Normal 2 2 2 24 7" xfId="17118" xr:uid="{00000000-0005-0000-0000-0000DE420000}"/>
    <cellStyle name="Normal 2 2 2 24 8" xfId="17119" xr:uid="{00000000-0005-0000-0000-0000DF420000}"/>
    <cellStyle name="Normal 2 2 2 24 9" xfId="17120" xr:uid="{00000000-0005-0000-0000-0000E0420000}"/>
    <cellStyle name="Normal 2 2 2 25" xfId="17121" xr:uid="{00000000-0005-0000-0000-0000E1420000}"/>
    <cellStyle name="Normal 2 2 2 25 10" xfId="17122" xr:uid="{00000000-0005-0000-0000-0000E2420000}"/>
    <cellStyle name="Normal 2 2 2 25 11" xfId="17123" xr:uid="{00000000-0005-0000-0000-0000E3420000}"/>
    <cellStyle name="Normal 2 2 2 25 12" xfId="17124" xr:uid="{00000000-0005-0000-0000-0000E4420000}"/>
    <cellStyle name="Normal 2 2 2 25 13" xfId="17125" xr:uid="{00000000-0005-0000-0000-0000E5420000}"/>
    <cellStyle name="Normal 2 2 2 25 14" xfId="17126" xr:uid="{00000000-0005-0000-0000-0000E6420000}"/>
    <cellStyle name="Normal 2 2 2 25 2" xfId="17127" xr:uid="{00000000-0005-0000-0000-0000E7420000}"/>
    <cellStyle name="Normal 2 2 2 25 2 10" xfId="17128" xr:uid="{00000000-0005-0000-0000-0000E8420000}"/>
    <cellStyle name="Normal 2 2 2 25 2 2" xfId="17129" xr:uid="{00000000-0005-0000-0000-0000E9420000}"/>
    <cellStyle name="Normal 2 2 2 25 2 3" xfId="17130" xr:uid="{00000000-0005-0000-0000-0000EA420000}"/>
    <cellStyle name="Normal 2 2 2 25 2 4" xfId="17131" xr:uid="{00000000-0005-0000-0000-0000EB420000}"/>
    <cellStyle name="Normal 2 2 2 25 2 5" xfId="17132" xr:uid="{00000000-0005-0000-0000-0000EC420000}"/>
    <cellStyle name="Normal 2 2 2 25 2 6" xfId="17133" xr:uid="{00000000-0005-0000-0000-0000ED420000}"/>
    <cellStyle name="Normal 2 2 2 25 2 7" xfId="17134" xr:uid="{00000000-0005-0000-0000-0000EE420000}"/>
    <cellStyle name="Normal 2 2 2 25 2 8" xfId="17135" xr:uid="{00000000-0005-0000-0000-0000EF420000}"/>
    <cellStyle name="Normal 2 2 2 25 2 9" xfId="17136" xr:uid="{00000000-0005-0000-0000-0000F0420000}"/>
    <cellStyle name="Normal 2 2 2 25 3" xfId="17137" xr:uid="{00000000-0005-0000-0000-0000F1420000}"/>
    <cellStyle name="Normal 2 2 2 25 3 10" xfId="17138" xr:uid="{00000000-0005-0000-0000-0000F2420000}"/>
    <cellStyle name="Normal 2 2 2 25 3 2" xfId="17139" xr:uid="{00000000-0005-0000-0000-0000F3420000}"/>
    <cellStyle name="Normal 2 2 2 25 3 3" xfId="17140" xr:uid="{00000000-0005-0000-0000-0000F4420000}"/>
    <cellStyle name="Normal 2 2 2 25 3 4" xfId="17141" xr:uid="{00000000-0005-0000-0000-0000F5420000}"/>
    <cellStyle name="Normal 2 2 2 25 3 5" xfId="17142" xr:uid="{00000000-0005-0000-0000-0000F6420000}"/>
    <cellStyle name="Normal 2 2 2 25 3 6" xfId="17143" xr:uid="{00000000-0005-0000-0000-0000F7420000}"/>
    <cellStyle name="Normal 2 2 2 25 3 7" xfId="17144" xr:uid="{00000000-0005-0000-0000-0000F8420000}"/>
    <cellStyle name="Normal 2 2 2 25 3 8" xfId="17145" xr:uid="{00000000-0005-0000-0000-0000F9420000}"/>
    <cellStyle name="Normal 2 2 2 25 3 9" xfId="17146" xr:uid="{00000000-0005-0000-0000-0000FA420000}"/>
    <cellStyle name="Normal 2 2 2 25 4" xfId="17147" xr:uid="{00000000-0005-0000-0000-0000FB420000}"/>
    <cellStyle name="Normal 2 2 2 25 4 10" xfId="17148" xr:uid="{00000000-0005-0000-0000-0000FC420000}"/>
    <cellStyle name="Normal 2 2 2 25 4 2" xfId="17149" xr:uid="{00000000-0005-0000-0000-0000FD420000}"/>
    <cellStyle name="Normal 2 2 2 25 4 3" xfId="17150" xr:uid="{00000000-0005-0000-0000-0000FE420000}"/>
    <cellStyle name="Normal 2 2 2 25 4 4" xfId="17151" xr:uid="{00000000-0005-0000-0000-0000FF420000}"/>
    <cellStyle name="Normal 2 2 2 25 4 5" xfId="17152" xr:uid="{00000000-0005-0000-0000-000000430000}"/>
    <cellStyle name="Normal 2 2 2 25 4 6" xfId="17153" xr:uid="{00000000-0005-0000-0000-000001430000}"/>
    <cellStyle name="Normal 2 2 2 25 4 7" xfId="17154" xr:uid="{00000000-0005-0000-0000-000002430000}"/>
    <cellStyle name="Normal 2 2 2 25 4 8" xfId="17155" xr:uid="{00000000-0005-0000-0000-000003430000}"/>
    <cellStyle name="Normal 2 2 2 25 4 9" xfId="17156" xr:uid="{00000000-0005-0000-0000-000004430000}"/>
    <cellStyle name="Normal 2 2 2 25 5" xfId="17157" xr:uid="{00000000-0005-0000-0000-000005430000}"/>
    <cellStyle name="Normal 2 2 2 25 5 10" xfId="17158" xr:uid="{00000000-0005-0000-0000-000006430000}"/>
    <cellStyle name="Normal 2 2 2 25 5 2" xfId="17159" xr:uid="{00000000-0005-0000-0000-000007430000}"/>
    <cellStyle name="Normal 2 2 2 25 5 3" xfId="17160" xr:uid="{00000000-0005-0000-0000-000008430000}"/>
    <cellStyle name="Normal 2 2 2 25 5 4" xfId="17161" xr:uid="{00000000-0005-0000-0000-000009430000}"/>
    <cellStyle name="Normal 2 2 2 25 5 5" xfId="17162" xr:uid="{00000000-0005-0000-0000-00000A430000}"/>
    <cellStyle name="Normal 2 2 2 25 5 6" xfId="17163" xr:uid="{00000000-0005-0000-0000-00000B430000}"/>
    <cellStyle name="Normal 2 2 2 25 5 7" xfId="17164" xr:uid="{00000000-0005-0000-0000-00000C430000}"/>
    <cellStyle name="Normal 2 2 2 25 5 8" xfId="17165" xr:uid="{00000000-0005-0000-0000-00000D430000}"/>
    <cellStyle name="Normal 2 2 2 25 5 9" xfId="17166" xr:uid="{00000000-0005-0000-0000-00000E430000}"/>
    <cellStyle name="Normal 2 2 2 25 6" xfId="17167" xr:uid="{00000000-0005-0000-0000-00000F430000}"/>
    <cellStyle name="Normal 2 2 2 25 7" xfId="17168" xr:uid="{00000000-0005-0000-0000-000010430000}"/>
    <cellStyle name="Normal 2 2 2 25 8" xfId="17169" xr:uid="{00000000-0005-0000-0000-000011430000}"/>
    <cellStyle name="Normal 2 2 2 25 9" xfId="17170" xr:uid="{00000000-0005-0000-0000-000012430000}"/>
    <cellStyle name="Normal 2 2 2 26" xfId="17171" xr:uid="{00000000-0005-0000-0000-000013430000}"/>
    <cellStyle name="Normal 2 2 2 26 10" xfId="17172" xr:uid="{00000000-0005-0000-0000-000014430000}"/>
    <cellStyle name="Normal 2 2 2 26 11" xfId="17173" xr:uid="{00000000-0005-0000-0000-000015430000}"/>
    <cellStyle name="Normal 2 2 2 26 12" xfId="17174" xr:uid="{00000000-0005-0000-0000-000016430000}"/>
    <cellStyle name="Normal 2 2 2 26 13" xfId="17175" xr:uid="{00000000-0005-0000-0000-000017430000}"/>
    <cellStyle name="Normal 2 2 2 26 14" xfId="17176" xr:uid="{00000000-0005-0000-0000-000018430000}"/>
    <cellStyle name="Normal 2 2 2 26 2" xfId="17177" xr:uid="{00000000-0005-0000-0000-000019430000}"/>
    <cellStyle name="Normal 2 2 2 26 2 10" xfId="17178" xr:uid="{00000000-0005-0000-0000-00001A430000}"/>
    <cellStyle name="Normal 2 2 2 26 2 2" xfId="17179" xr:uid="{00000000-0005-0000-0000-00001B430000}"/>
    <cellStyle name="Normal 2 2 2 26 2 3" xfId="17180" xr:uid="{00000000-0005-0000-0000-00001C430000}"/>
    <cellStyle name="Normal 2 2 2 26 2 4" xfId="17181" xr:uid="{00000000-0005-0000-0000-00001D430000}"/>
    <cellStyle name="Normal 2 2 2 26 2 5" xfId="17182" xr:uid="{00000000-0005-0000-0000-00001E430000}"/>
    <cellStyle name="Normal 2 2 2 26 2 6" xfId="17183" xr:uid="{00000000-0005-0000-0000-00001F430000}"/>
    <cellStyle name="Normal 2 2 2 26 2 7" xfId="17184" xr:uid="{00000000-0005-0000-0000-000020430000}"/>
    <cellStyle name="Normal 2 2 2 26 2 8" xfId="17185" xr:uid="{00000000-0005-0000-0000-000021430000}"/>
    <cellStyle name="Normal 2 2 2 26 2 9" xfId="17186" xr:uid="{00000000-0005-0000-0000-000022430000}"/>
    <cellStyle name="Normal 2 2 2 26 3" xfId="17187" xr:uid="{00000000-0005-0000-0000-000023430000}"/>
    <cellStyle name="Normal 2 2 2 26 3 10" xfId="17188" xr:uid="{00000000-0005-0000-0000-000024430000}"/>
    <cellStyle name="Normal 2 2 2 26 3 2" xfId="17189" xr:uid="{00000000-0005-0000-0000-000025430000}"/>
    <cellStyle name="Normal 2 2 2 26 3 3" xfId="17190" xr:uid="{00000000-0005-0000-0000-000026430000}"/>
    <cellStyle name="Normal 2 2 2 26 3 4" xfId="17191" xr:uid="{00000000-0005-0000-0000-000027430000}"/>
    <cellStyle name="Normal 2 2 2 26 3 5" xfId="17192" xr:uid="{00000000-0005-0000-0000-000028430000}"/>
    <cellStyle name="Normal 2 2 2 26 3 6" xfId="17193" xr:uid="{00000000-0005-0000-0000-000029430000}"/>
    <cellStyle name="Normal 2 2 2 26 3 7" xfId="17194" xr:uid="{00000000-0005-0000-0000-00002A430000}"/>
    <cellStyle name="Normal 2 2 2 26 3 8" xfId="17195" xr:uid="{00000000-0005-0000-0000-00002B430000}"/>
    <cellStyle name="Normal 2 2 2 26 3 9" xfId="17196" xr:uid="{00000000-0005-0000-0000-00002C430000}"/>
    <cellStyle name="Normal 2 2 2 26 4" xfId="17197" xr:uid="{00000000-0005-0000-0000-00002D430000}"/>
    <cellStyle name="Normal 2 2 2 26 4 10" xfId="17198" xr:uid="{00000000-0005-0000-0000-00002E430000}"/>
    <cellStyle name="Normal 2 2 2 26 4 2" xfId="17199" xr:uid="{00000000-0005-0000-0000-00002F430000}"/>
    <cellStyle name="Normal 2 2 2 26 4 3" xfId="17200" xr:uid="{00000000-0005-0000-0000-000030430000}"/>
    <cellStyle name="Normal 2 2 2 26 4 4" xfId="17201" xr:uid="{00000000-0005-0000-0000-000031430000}"/>
    <cellStyle name="Normal 2 2 2 26 4 5" xfId="17202" xr:uid="{00000000-0005-0000-0000-000032430000}"/>
    <cellStyle name="Normal 2 2 2 26 4 6" xfId="17203" xr:uid="{00000000-0005-0000-0000-000033430000}"/>
    <cellStyle name="Normal 2 2 2 26 4 7" xfId="17204" xr:uid="{00000000-0005-0000-0000-000034430000}"/>
    <cellStyle name="Normal 2 2 2 26 4 8" xfId="17205" xr:uid="{00000000-0005-0000-0000-000035430000}"/>
    <cellStyle name="Normal 2 2 2 26 4 9" xfId="17206" xr:uid="{00000000-0005-0000-0000-000036430000}"/>
    <cellStyle name="Normal 2 2 2 26 5" xfId="17207" xr:uid="{00000000-0005-0000-0000-000037430000}"/>
    <cellStyle name="Normal 2 2 2 26 5 10" xfId="17208" xr:uid="{00000000-0005-0000-0000-000038430000}"/>
    <cellStyle name="Normal 2 2 2 26 5 2" xfId="17209" xr:uid="{00000000-0005-0000-0000-000039430000}"/>
    <cellStyle name="Normal 2 2 2 26 5 3" xfId="17210" xr:uid="{00000000-0005-0000-0000-00003A430000}"/>
    <cellStyle name="Normal 2 2 2 26 5 4" xfId="17211" xr:uid="{00000000-0005-0000-0000-00003B430000}"/>
    <cellStyle name="Normal 2 2 2 26 5 5" xfId="17212" xr:uid="{00000000-0005-0000-0000-00003C430000}"/>
    <cellStyle name="Normal 2 2 2 26 5 6" xfId="17213" xr:uid="{00000000-0005-0000-0000-00003D430000}"/>
    <cellStyle name="Normal 2 2 2 26 5 7" xfId="17214" xr:uid="{00000000-0005-0000-0000-00003E430000}"/>
    <cellStyle name="Normal 2 2 2 26 5 8" xfId="17215" xr:uid="{00000000-0005-0000-0000-00003F430000}"/>
    <cellStyle name="Normal 2 2 2 26 5 9" xfId="17216" xr:uid="{00000000-0005-0000-0000-000040430000}"/>
    <cellStyle name="Normal 2 2 2 26 6" xfId="17217" xr:uid="{00000000-0005-0000-0000-000041430000}"/>
    <cellStyle name="Normal 2 2 2 26 7" xfId="17218" xr:uid="{00000000-0005-0000-0000-000042430000}"/>
    <cellStyle name="Normal 2 2 2 26 8" xfId="17219" xr:uid="{00000000-0005-0000-0000-000043430000}"/>
    <cellStyle name="Normal 2 2 2 26 9" xfId="17220" xr:uid="{00000000-0005-0000-0000-000044430000}"/>
    <cellStyle name="Normal 2 2 2 27" xfId="17221" xr:uid="{00000000-0005-0000-0000-000045430000}"/>
    <cellStyle name="Normal 2 2 2 27 10" xfId="17222" xr:uid="{00000000-0005-0000-0000-000046430000}"/>
    <cellStyle name="Normal 2 2 2 27 11" xfId="17223" xr:uid="{00000000-0005-0000-0000-000047430000}"/>
    <cellStyle name="Normal 2 2 2 27 12" xfId="17224" xr:uid="{00000000-0005-0000-0000-000048430000}"/>
    <cellStyle name="Normal 2 2 2 27 13" xfId="17225" xr:uid="{00000000-0005-0000-0000-000049430000}"/>
    <cellStyle name="Normal 2 2 2 27 14" xfId="17226" xr:uid="{00000000-0005-0000-0000-00004A430000}"/>
    <cellStyle name="Normal 2 2 2 27 2" xfId="17227" xr:uid="{00000000-0005-0000-0000-00004B430000}"/>
    <cellStyle name="Normal 2 2 2 27 2 10" xfId="17228" xr:uid="{00000000-0005-0000-0000-00004C430000}"/>
    <cellStyle name="Normal 2 2 2 27 2 2" xfId="17229" xr:uid="{00000000-0005-0000-0000-00004D430000}"/>
    <cellStyle name="Normal 2 2 2 27 2 3" xfId="17230" xr:uid="{00000000-0005-0000-0000-00004E430000}"/>
    <cellStyle name="Normal 2 2 2 27 2 4" xfId="17231" xr:uid="{00000000-0005-0000-0000-00004F430000}"/>
    <cellStyle name="Normal 2 2 2 27 2 5" xfId="17232" xr:uid="{00000000-0005-0000-0000-000050430000}"/>
    <cellStyle name="Normal 2 2 2 27 2 6" xfId="17233" xr:uid="{00000000-0005-0000-0000-000051430000}"/>
    <cellStyle name="Normal 2 2 2 27 2 7" xfId="17234" xr:uid="{00000000-0005-0000-0000-000052430000}"/>
    <cellStyle name="Normal 2 2 2 27 2 8" xfId="17235" xr:uid="{00000000-0005-0000-0000-000053430000}"/>
    <cellStyle name="Normal 2 2 2 27 2 9" xfId="17236" xr:uid="{00000000-0005-0000-0000-000054430000}"/>
    <cellStyle name="Normal 2 2 2 27 3" xfId="17237" xr:uid="{00000000-0005-0000-0000-000055430000}"/>
    <cellStyle name="Normal 2 2 2 27 3 10" xfId="17238" xr:uid="{00000000-0005-0000-0000-000056430000}"/>
    <cellStyle name="Normal 2 2 2 27 3 2" xfId="17239" xr:uid="{00000000-0005-0000-0000-000057430000}"/>
    <cellStyle name="Normal 2 2 2 27 3 3" xfId="17240" xr:uid="{00000000-0005-0000-0000-000058430000}"/>
    <cellStyle name="Normal 2 2 2 27 3 4" xfId="17241" xr:uid="{00000000-0005-0000-0000-000059430000}"/>
    <cellStyle name="Normal 2 2 2 27 3 5" xfId="17242" xr:uid="{00000000-0005-0000-0000-00005A430000}"/>
    <cellStyle name="Normal 2 2 2 27 3 6" xfId="17243" xr:uid="{00000000-0005-0000-0000-00005B430000}"/>
    <cellStyle name="Normal 2 2 2 27 3 7" xfId="17244" xr:uid="{00000000-0005-0000-0000-00005C430000}"/>
    <cellStyle name="Normal 2 2 2 27 3 8" xfId="17245" xr:uid="{00000000-0005-0000-0000-00005D430000}"/>
    <cellStyle name="Normal 2 2 2 27 3 9" xfId="17246" xr:uid="{00000000-0005-0000-0000-00005E430000}"/>
    <cellStyle name="Normal 2 2 2 27 4" xfId="17247" xr:uid="{00000000-0005-0000-0000-00005F430000}"/>
    <cellStyle name="Normal 2 2 2 27 4 10" xfId="17248" xr:uid="{00000000-0005-0000-0000-000060430000}"/>
    <cellStyle name="Normal 2 2 2 27 4 2" xfId="17249" xr:uid="{00000000-0005-0000-0000-000061430000}"/>
    <cellStyle name="Normal 2 2 2 27 4 3" xfId="17250" xr:uid="{00000000-0005-0000-0000-000062430000}"/>
    <cellStyle name="Normal 2 2 2 27 4 4" xfId="17251" xr:uid="{00000000-0005-0000-0000-000063430000}"/>
    <cellStyle name="Normal 2 2 2 27 4 5" xfId="17252" xr:uid="{00000000-0005-0000-0000-000064430000}"/>
    <cellStyle name="Normal 2 2 2 27 4 6" xfId="17253" xr:uid="{00000000-0005-0000-0000-000065430000}"/>
    <cellStyle name="Normal 2 2 2 27 4 7" xfId="17254" xr:uid="{00000000-0005-0000-0000-000066430000}"/>
    <cellStyle name="Normal 2 2 2 27 4 8" xfId="17255" xr:uid="{00000000-0005-0000-0000-000067430000}"/>
    <cellStyle name="Normal 2 2 2 27 4 9" xfId="17256" xr:uid="{00000000-0005-0000-0000-000068430000}"/>
    <cellStyle name="Normal 2 2 2 27 5" xfId="17257" xr:uid="{00000000-0005-0000-0000-000069430000}"/>
    <cellStyle name="Normal 2 2 2 27 5 10" xfId="17258" xr:uid="{00000000-0005-0000-0000-00006A430000}"/>
    <cellStyle name="Normal 2 2 2 27 5 2" xfId="17259" xr:uid="{00000000-0005-0000-0000-00006B430000}"/>
    <cellStyle name="Normal 2 2 2 27 5 3" xfId="17260" xr:uid="{00000000-0005-0000-0000-00006C430000}"/>
    <cellStyle name="Normal 2 2 2 27 5 4" xfId="17261" xr:uid="{00000000-0005-0000-0000-00006D430000}"/>
    <cellStyle name="Normal 2 2 2 27 5 5" xfId="17262" xr:uid="{00000000-0005-0000-0000-00006E430000}"/>
    <cellStyle name="Normal 2 2 2 27 5 6" xfId="17263" xr:uid="{00000000-0005-0000-0000-00006F430000}"/>
    <cellStyle name="Normal 2 2 2 27 5 7" xfId="17264" xr:uid="{00000000-0005-0000-0000-000070430000}"/>
    <cellStyle name="Normal 2 2 2 27 5 8" xfId="17265" xr:uid="{00000000-0005-0000-0000-000071430000}"/>
    <cellStyle name="Normal 2 2 2 27 5 9" xfId="17266" xr:uid="{00000000-0005-0000-0000-000072430000}"/>
    <cellStyle name="Normal 2 2 2 27 6" xfId="17267" xr:uid="{00000000-0005-0000-0000-000073430000}"/>
    <cellStyle name="Normal 2 2 2 27 7" xfId="17268" xr:uid="{00000000-0005-0000-0000-000074430000}"/>
    <cellStyle name="Normal 2 2 2 27 8" xfId="17269" xr:uid="{00000000-0005-0000-0000-000075430000}"/>
    <cellStyle name="Normal 2 2 2 27 9" xfId="17270" xr:uid="{00000000-0005-0000-0000-000076430000}"/>
    <cellStyle name="Normal 2 2 2 28" xfId="17271" xr:uid="{00000000-0005-0000-0000-000077430000}"/>
    <cellStyle name="Normal 2 2 2 28 10" xfId="17272" xr:uid="{00000000-0005-0000-0000-000078430000}"/>
    <cellStyle name="Normal 2 2 2 28 11" xfId="17273" xr:uid="{00000000-0005-0000-0000-000079430000}"/>
    <cellStyle name="Normal 2 2 2 28 12" xfId="17274" xr:uid="{00000000-0005-0000-0000-00007A430000}"/>
    <cellStyle name="Normal 2 2 2 28 13" xfId="17275" xr:uid="{00000000-0005-0000-0000-00007B430000}"/>
    <cellStyle name="Normal 2 2 2 28 14" xfId="17276" xr:uid="{00000000-0005-0000-0000-00007C430000}"/>
    <cellStyle name="Normal 2 2 2 28 2" xfId="17277" xr:uid="{00000000-0005-0000-0000-00007D430000}"/>
    <cellStyle name="Normal 2 2 2 28 2 10" xfId="17278" xr:uid="{00000000-0005-0000-0000-00007E430000}"/>
    <cellStyle name="Normal 2 2 2 28 2 2" xfId="17279" xr:uid="{00000000-0005-0000-0000-00007F430000}"/>
    <cellStyle name="Normal 2 2 2 28 2 3" xfId="17280" xr:uid="{00000000-0005-0000-0000-000080430000}"/>
    <cellStyle name="Normal 2 2 2 28 2 4" xfId="17281" xr:uid="{00000000-0005-0000-0000-000081430000}"/>
    <cellStyle name="Normal 2 2 2 28 2 5" xfId="17282" xr:uid="{00000000-0005-0000-0000-000082430000}"/>
    <cellStyle name="Normal 2 2 2 28 2 6" xfId="17283" xr:uid="{00000000-0005-0000-0000-000083430000}"/>
    <cellStyle name="Normal 2 2 2 28 2 7" xfId="17284" xr:uid="{00000000-0005-0000-0000-000084430000}"/>
    <cellStyle name="Normal 2 2 2 28 2 8" xfId="17285" xr:uid="{00000000-0005-0000-0000-000085430000}"/>
    <cellStyle name="Normal 2 2 2 28 2 9" xfId="17286" xr:uid="{00000000-0005-0000-0000-000086430000}"/>
    <cellStyle name="Normal 2 2 2 28 3" xfId="17287" xr:uid="{00000000-0005-0000-0000-000087430000}"/>
    <cellStyle name="Normal 2 2 2 28 3 10" xfId="17288" xr:uid="{00000000-0005-0000-0000-000088430000}"/>
    <cellStyle name="Normal 2 2 2 28 3 2" xfId="17289" xr:uid="{00000000-0005-0000-0000-000089430000}"/>
    <cellStyle name="Normal 2 2 2 28 3 3" xfId="17290" xr:uid="{00000000-0005-0000-0000-00008A430000}"/>
    <cellStyle name="Normal 2 2 2 28 3 4" xfId="17291" xr:uid="{00000000-0005-0000-0000-00008B430000}"/>
    <cellStyle name="Normal 2 2 2 28 3 5" xfId="17292" xr:uid="{00000000-0005-0000-0000-00008C430000}"/>
    <cellStyle name="Normal 2 2 2 28 3 6" xfId="17293" xr:uid="{00000000-0005-0000-0000-00008D430000}"/>
    <cellStyle name="Normal 2 2 2 28 3 7" xfId="17294" xr:uid="{00000000-0005-0000-0000-00008E430000}"/>
    <cellStyle name="Normal 2 2 2 28 3 8" xfId="17295" xr:uid="{00000000-0005-0000-0000-00008F430000}"/>
    <cellStyle name="Normal 2 2 2 28 3 9" xfId="17296" xr:uid="{00000000-0005-0000-0000-000090430000}"/>
    <cellStyle name="Normal 2 2 2 28 4" xfId="17297" xr:uid="{00000000-0005-0000-0000-000091430000}"/>
    <cellStyle name="Normal 2 2 2 28 4 10" xfId="17298" xr:uid="{00000000-0005-0000-0000-000092430000}"/>
    <cellStyle name="Normal 2 2 2 28 4 2" xfId="17299" xr:uid="{00000000-0005-0000-0000-000093430000}"/>
    <cellStyle name="Normal 2 2 2 28 4 3" xfId="17300" xr:uid="{00000000-0005-0000-0000-000094430000}"/>
    <cellStyle name="Normal 2 2 2 28 4 4" xfId="17301" xr:uid="{00000000-0005-0000-0000-000095430000}"/>
    <cellStyle name="Normal 2 2 2 28 4 5" xfId="17302" xr:uid="{00000000-0005-0000-0000-000096430000}"/>
    <cellStyle name="Normal 2 2 2 28 4 6" xfId="17303" xr:uid="{00000000-0005-0000-0000-000097430000}"/>
    <cellStyle name="Normal 2 2 2 28 4 7" xfId="17304" xr:uid="{00000000-0005-0000-0000-000098430000}"/>
    <cellStyle name="Normal 2 2 2 28 4 8" xfId="17305" xr:uid="{00000000-0005-0000-0000-000099430000}"/>
    <cellStyle name="Normal 2 2 2 28 4 9" xfId="17306" xr:uid="{00000000-0005-0000-0000-00009A430000}"/>
    <cellStyle name="Normal 2 2 2 28 5" xfId="17307" xr:uid="{00000000-0005-0000-0000-00009B430000}"/>
    <cellStyle name="Normal 2 2 2 28 5 10" xfId="17308" xr:uid="{00000000-0005-0000-0000-00009C430000}"/>
    <cellStyle name="Normal 2 2 2 28 5 2" xfId="17309" xr:uid="{00000000-0005-0000-0000-00009D430000}"/>
    <cellStyle name="Normal 2 2 2 28 5 3" xfId="17310" xr:uid="{00000000-0005-0000-0000-00009E430000}"/>
    <cellStyle name="Normal 2 2 2 28 5 4" xfId="17311" xr:uid="{00000000-0005-0000-0000-00009F430000}"/>
    <cellStyle name="Normal 2 2 2 28 5 5" xfId="17312" xr:uid="{00000000-0005-0000-0000-0000A0430000}"/>
    <cellStyle name="Normal 2 2 2 28 5 6" xfId="17313" xr:uid="{00000000-0005-0000-0000-0000A1430000}"/>
    <cellStyle name="Normal 2 2 2 28 5 7" xfId="17314" xr:uid="{00000000-0005-0000-0000-0000A2430000}"/>
    <cellStyle name="Normal 2 2 2 28 5 8" xfId="17315" xr:uid="{00000000-0005-0000-0000-0000A3430000}"/>
    <cellStyle name="Normal 2 2 2 28 5 9" xfId="17316" xr:uid="{00000000-0005-0000-0000-0000A4430000}"/>
    <cellStyle name="Normal 2 2 2 28 6" xfId="17317" xr:uid="{00000000-0005-0000-0000-0000A5430000}"/>
    <cellStyle name="Normal 2 2 2 28 7" xfId="17318" xr:uid="{00000000-0005-0000-0000-0000A6430000}"/>
    <cellStyle name="Normal 2 2 2 28 8" xfId="17319" xr:uid="{00000000-0005-0000-0000-0000A7430000}"/>
    <cellStyle name="Normal 2 2 2 28 9" xfId="17320" xr:uid="{00000000-0005-0000-0000-0000A8430000}"/>
    <cellStyle name="Normal 2 2 2 29" xfId="17321" xr:uid="{00000000-0005-0000-0000-0000A9430000}"/>
    <cellStyle name="Normal 2 2 2 29 10" xfId="17322" xr:uid="{00000000-0005-0000-0000-0000AA430000}"/>
    <cellStyle name="Normal 2 2 2 29 11" xfId="17323" xr:uid="{00000000-0005-0000-0000-0000AB430000}"/>
    <cellStyle name="Normal 2 2 2 29 12" xfId="17324" xr:uid="{00000000-0005-0000-0000-0000AC430000}"/>
    <cellStyle name="Normal 2 2 2 29 13" xfId="17325" xr:uid="{00000000-0005-0000-0000-0000AD430000}"/>
    <cellStyle name="Normal 2 2 2 29 14" xfId="17326" xr:uid="{00000000-0005-0000-0000-0000AE430000}"/>
    <cellStyle name="Normal 2 2 2 29 2" xfId="17327" xr:uid="{00000000-0005-0000-0000-0000AF430000}"/>
    <cellStyle name="Normal 2 2 2 29 2 10" xfId="17328" xr:uid="{00000000-0005-0000-0000-0000B0430000}"/>
    <cellStyle name="Normal 2 2 2 29 2 2" xfId="17329" xr:uid="{00000000-0005-0000-0000-0000B1430000}"/>
    <cellStyle name="Normal 2 2 2 29 2 3" xfId="17330" xr:uid="{00000000-0005-0000-0000-0000B2430000}"/>
    <cellStyle name="Normal 2 2 2 29 2 4" xfId="17331" xr:uid="{00000000-0005-0000-0000-0000B3430000}"/>
    <cellStyle name="Normal 2 2 2 29 2 5" xfId="17332" xr:uid="{00000000-0005-0000-0000-0000B4430000}"/>
    <cellStyle name="Normal 2 2 2 29 2 6" xfId="17333" xr:uid="{00000000-0005-0000-0000-0000B5430000}"/>
    <cellStyle name="Normal 2 2 2 29 2 7" xfId="17334" xr:uid="{00000000-0005-0000-0000-0000B6430000}"/>
    <cellStyle name="Normal 2 2 2 29 2 8" xfId="17335" xr:uid="{00000000-0005-0000-0000-0000B7430000}"/>
    <cellStyle name="Normal 2 2 2 29 2 9" xfId="17336" xr:uid="{00000000-0005-0000-0000-0000B8430000}"/>
    <cellStyle name="Normal 2 2 2 29 3" xfId="17337" xr:uid="{00000000-0005-0000-0000-0000B9430000}"/>
    <cellStyle name="Normal 2 2 2 29 3 10" xfId="17338" xr:uid="{00000000-0005-0000-0000-0000BA430000}"/>
    <cellStyle name="Normal 2 2 2 29 3 2" xfId="17339" xr:uid="{00000000-0005-0000-0000-0000BB430000}"/>
    <cellStyle name="Normal 2 2 2 29 3 3" xfId="17340" xr:uid="{00000000-0005-0000-0000-0000BC430000}"/>
    <cellStyle name="Normal 2 2 2 29 3 4" xfId="17341" xr:uid="{00000000-0005-0000-0000-0000BD430000}"/>
    <cellStyle name="Normal 2 2 2 29 3 5" xfId="17342" xr:uid="{00000000-0005-0000-0000-0000BE430000}"/>
    <cellStyle name="Normal 2 2 2 29 3 6" xfId="17343" xr:uid="{00000000-0005-0000-0000-0000BF430000}"/>
    <cellStyle name="Normal 2 2 2 29 3 7" xfId="17344" xr:uid="{00000000-0005-0000-0000-0000C0430000}"/>
    <cellStyle name="Normal 2 2 2 29 3 8" xfId="17345" xr:uid="{00000000-0005-0000-0000-0000C1430000}"/>
    <cellStyle name="Normal 2 2 2 29 3 9" xfId="17346" xr:uid="{00000000-0005-0000-0000-0000C2430000}"/>
    <cellStyle name="Normal 2 2 2 29 4" xfId="17347" xr:uid="{00000000-0005-0000-0000-0000C3430000}"/>
    <cellStyle name="Normal 2 2 2 29 4 10" xfId="17348" xr:uid="{00000000-0005-0000-0000-0000C4430000}"/>
    <cellStyle name="Normal 2 2 2 29 4 2" xfId="17349" xr:uid="{00000000-0005-0000-0000-0000C5430000}"/>
    <cellStyle name="Normal 2 2 2 29 4 3" xfId="17350" xr:uid="{00000000-0005-0000-0000-0000C6430000}"/>
    <cellStyle name="Normal 2 2 2 29 4 4" xfId="17351" xr:uid="{00000000-0005-0000-0000-0000C7430000}"/>
    <cellStyle name="Normal 2 2 2 29 4 5" xfId="17352" xr:uid="{00000000-0005-0000-0000-0000C8430000}"/>
    <cellStyle name="Normal 2 2 2 29 4 6" xfId="17353" xr:uid="{00000000-0005-0000-0000-0000C9430000}"/>
    <cellStyle name="Normal 2 2 2 29 4 7" xfId="17354" xr:uid="{00000000-0005-0000-0000-0000CA430000}"/>
    <cellStyle name="Normal 2 2 2 29 4 8" xfId="17355" xr:uid="{00000000-0005-0000-0000-0000CB430000}"/>
    <cellStyle name="Normal 2 2 2 29 4 9" xfId="17356" xr:uid="{00000000-0005-0000-0000-0000CC430000}"/>
    <cellStyle name="Normal 2 2 2 29 5" xfId="17357" xr:uid="{00000000-0005-0000-0000-0000CD430000}"/>
    <cellStyle name="Normal 2 2 2 29 5 10" xfId="17358" xr:uid="{00000000-0005-0000-0000-0000CE430000}"/>
    <cellStyle name="Normal 2 2 2 29 5 2" xfId="17359" xr:uid="{00000000-0005-0000-0000-0000CF430000}"/>
    <cellStyle name="Normal 2 2 2 29 5 3" xfId="17360" xr:uid="{00000000-0005-0000-0000-0000D0430000}"/>
    <cellStyle name="Normal 2 2 2 29 5 4" xfId="17361" xr:uid="{00000000-0005-0000-0000-0000D1430000}"/>
    <cellStyle name="Normal 2 2 2 29 5 5" xfId="17362" xr:uid="{00000000-0005-0000-0000-0000D2430000}"/>
    <cellStyle name="Normal 2 2 2 29 5 6" xfId="17363" xr:uid="{00000000-0005-0000-0000-0000D3430000}"/>
    <cellStyle name="Normal 2 2 2 29 5 7" xfId="17364" xr:uid="{00000000-0005-0000-0000-0000D4430000}"/>
    <cellStyle name="Normal 2 2 2 29 5 8" xfId="17365" xr:uid="{00000000-0005-0000-0000-0000D5430000}"/>
    <cellStyle name="Normal 2 2 2 29 5 9" xfId="17366" xr:uid="{00000000-0005-0000-0000-0000D6430000}"/>
    <cellStyle name="Normal 2 2 2 29 6" xfId="17367" xr:uid="{00000000-0005-0000-0000-0000D7430000}"/>
    <cellStyle name="Normal 2 2 2 29 7" xfId="17368" xr:uid="{00000000-0005-0000-0000-0000D8430000}"/>
    <cellStyle name="Normal 2 2 2 29 8" xfId="17369" xr:uid="{00000000-0005-0000-0000-0000D9430000}"/>
    <cellStyle name="Normal 2 2 2 29 9" xfId="17370" xr:uid="{00000000-0005-0000-0000-0000DA430000}"/>
    <cellStyle name="Normal 2 2 2 3" xfId="16" xr:uid="{00000000-0005-0000-0000-000010000000}"/>
    <cellStyle name="Normal 2 2 2 3 10" xfId="17371" xr:uid="{00000000-0005-0000-0000-0000DB430000}"/>
    <cellStyle name="Normal 2 2 2 3 10 10" xfId="17372" xr:uid="{00000000-0005-0000-0000-0000DC430000}"/>
    <cellStyle name="Normal 2 2 2 3 10 11" xfId="17373" xr:uid="{00000000-0005-0000-0000-0000DD430000}"/>
    <cellStyle name="Normal 2 2 2 3 10 12" xfId="17374" xr:uid="{00000000-0005-0000-0000-0000DE430000}"/>
    <cellStyle name="Normal 2 2 2 3 10 13" xfId="17375" xr:uid="{00000000-0005-0000-0000-0000DF430000}"/>
    <cellStyle name="Normal 2 2 2 3 10 14" xfId="17376" xr:uid="{00000000-0005-0000-0000-0000E0430000}"/>
    <cellStyle name="Normal 2 2 2 3 10 2" xfId="17377" xr:uid="{00000000-0005-0000-0000-0000E1430000}"/>
    <cellStyle name="Normal 2 2 2 3 10 2 10" xfId="17378" xr:uid="{00000000-0005-0000-0000-0000E2430000}"/>
    <cellStyle name="Normal 2 2 2 3 10 2 2" xfId="17379" xr:uid="{00000000-0005-0000-0000-0000E3430000}"/>
    <cellStyle name="Normal 2 2 2 3 10 2 3" xfId="17380" xr:uid="{00000000-0005-0000-0000-0000E4430000}"/>
    <cellStyle name="Normal 2 2 2 3 10 2 4" xfId="17381" xr:uid="{00000000-0005-0000-0000-0000E5430000}"/>
    <cellStyle name="Normal 2 2 2 3 10 2 5" xfId="17382" xr:uid="{00000000-0005-0000-0000-0000E6430000}"/>
    <cellStyle name="Normal 2 2 2 3 10 2 6" xfId="17383" xr:uid="{00000000-0005-0000-0000-0000E7430000}"/>
    <cellStyle name="Normal 2 2 2 3 10 2 7" xfId="17384" xr:uid="{00000000-0005-0000-0000-0000E8430000}"/>
    <cellStyle name="Normal 2 2 2 3 10 2 8" xfId="17385" xr:uid="{00000000-0005-0000-0000-0000E9430000}"/>
    <cellStyle name="Normal 2 2 2 3 10 2 9" xfId="17386" xr:uid="{00000000-0005-0000-0000-0000EA430000}"/>
    <cellStyle name="Normal 2 2 2 3 10 3" xfId="17387" xr:uid="{00000000-0005-0000-0000-0000EB430000}"/>
    <cellStyle name="Normal 2 2 2 3 10 3 10" xfId="17388" xr:uid="{00000000-0005-0000-0000-0000EC430000}"/>
    <cellStyle name="Normal 2 2 2 3 10 3 2" xfId="17389" xr:uid="{00000000-0005-0000-0000-0000ED430000}"/>
    <cellStyle name="Normal 2 2 2 3 10 3 3" xfId="17390" xr:uid="{00000000-0005-0000-0000-0000EE430000}"/>
    <cellStyle name="Normal 2 2 2 3 10 3 4" xfId="17391" xr:uid="{00000000-0005-0000-0000-0000EF430000}"/>
    <cellStyle name="Normal 2 2 2 3 10 3 5" xfId="17392" xr:uid="{00000000-0005-0000-0000-0000F0430000}"/>
    <cellStyle name="Normal 2 2 2 3 10 3 6" xfId="17393" xr:uid="{00000000-0005-0000-0000-0000F1430000}"/>
    <cellStyle name="Normal 2 2 2 3 10 3 7" xfId="17394" xr:uid="{00000000-0005-0000-0000-0000F2430000}"/>
    <cellStyle name="Normal 2 2 2 3 10 3 8" xfId="17395" xr:uid="{00000000-0005-0000-0000-0000F3430000}"/>
    <cellStyle name="Normal 2 2 2 3 10 3 9" xfId="17396" xr:uid="{00000000-0005-0000-0000-0000F4430000}"/>
    <cellStyle name="Normal 2 2 2 3 10 4" xfId="17397" xr:uid="{00000000-0005-0000-0000-0000F5430000}"/>
    <cellStyle name="Normal 2 2 2 3 10 4 10" xfId="17398" xr:uid="{00000000-0005-0000-0000-0000F6430000}"/>
    <cellStyle name="Normal 2 2 2 3 10 4 2" xfId="17399" xr:uid="{00000000-0005-0000-0000-0000F7430000}"/>
    <cellStyle name="Normal 2 2 2 3 10 4 3" xfId="17400" xr:uid="{00000000-0005-0000-0000-0000F8430000}"/>
    <cellStyle name="Normal 2 2 2 3 10 4 4" xfId="17401" xr:uid="{00000000-0005-0000-0000-0000F9430000}"/>
    <cellStyle name="Normal 2 2 2 3 10 4 5" xfId="17402" xr:uid="{00000000-0005-0000-0000-0000FA430000}"/>
    <cellStyle name="Normal 2 2 2 3 10 4 6" xfId="17403" xr:uid="{00000000-0005-0000-0000-0000FB430000}"/>
    <cellStyle name="Normal 2 2 2 3 10 4 7" xfId="17404" xr:uid="{00000000-0005-0000-0000-0000FC430000}"/>
    <cellStyle name="Normal 2 2 2 3 10 4 8" xfId="17405" xr:uid="{00000000-0005-0000-0000-0000FD430000}"/>
    <cellStyle name="Normal 2 2 2 3 10 4 9" xfId="17406" xr:uid="{00000000-0005-0000-0000-0000FE430000}"/>
    <cellStyle name="Normal 2 2 2 3 10 5" xfId="17407" xr:uid="{00000000-0005-0000-0000-0000FF430000}"/>
    <cellStyle name="Normal 2 2 2 3 10 5 10" xfId="17408" xr:uid="{00000000-0005-0000-0000-000000440000}"/>
    <cellStyle name="Normal 2 2 2 3 10 5 2" xfId="17409" xr:uid="{00000000-0005-0000-0000-000001440000}"/>
    <cellStyle name="Normal 2 2 2 3 10 5 3" xfId="17410" xr:uid="{00000000-0005-0000-0000-000002440000}"/>
    <cellStyle name="Normal 2 2 2 3 10 5 4" xfId="17411" xr:uid="{00000000-0005-0000-0000-000003440000}"/>
    <cellStyle name="Normal 2 2 2 3 10 5 5" xfId="17412" xr:uid="{00000000-0005-0000-0000-000004440000}"/>
    <cellStyle name="Normal 2 2 2 3 10 5 6" xfId="17413" xr:uid="{00000000-0005-0000-0000-000005440000}"/>
    <cellStyle name="Normal 2 2 2 3 10 5 7" xfId="17414" xr:uid="{00000000-0005-0000-0000-000006440000}"/>
    <cellStyle name="Normal 2 2 2 3 10 5 8" xfId="17415" xr:uid="{00000000-0005-0000-0000-000007440000}"/>
    <cellStyle name="Normal 2 2 2 3 10 5 9" xfId="17416" xr:uid="{00000000-0005-0000-0000-000008440000}"/>
    <cellStyle name="Normal 2 2 2 3 10 6" xfId="17417" xr:uid="{00000000-0005-0000-0000-000009440000}"/>
    <cellStyle name="Normal 2 2 2 3 10 7" xfId="17418" xr:uid="{00000000-0005-0000-0000-00000A440000}"/>
    <cellStyle name="Normal 2 2 2 3 10 8" xfId="17419" xr:uid="{00000000-0005-0000-0000-00000B440000}"/>
    <cellStyle name="Normal 2 2 2 3 10 9" xfId="17420" xr:uid="{00000000-0005-0000-0000-00000C440000}"/>
    <cellStyle name="Normal 2 2 2 3 11" xfId="17421" xr:uid="{00000000-0005-0000-0000-00000D440000}"/>
    <cellStyle name="Normal 2 2 2 3 11 10" xfId="17422" xr:uid="{00000000-0005-0000-0000-00000E440000}"/>
    <cellStyle name="Normal 2 2 2 3 11 11" xfId="17423" xr:uid="{00000000-0005-0000-0000-00000F440000}"/>
    <cellStyle name="Normal 2 2 2 3 11 12" xfId="17424" xr:uid="{00000000-0005-0000-0000-000010440000}"/>
    <cellStyle name="Normal 2 2 2 3 11 13" xfId="17425" xr:uid="{00000000-0005-0000-0000-000011440000}"/>
    <cellStyle name="Normal 2 2 2 3 11 14" xfId="17426" xr:uid="{00000000-0005-0000-0000-000012440000}"/>
    <cellStyle name="Normal 2 2 2 3 11 2" xfId="17427" xr:uid="{00000000-0005-0000-0000-000013440000}"/>
    <cellStyle name="Normal 2 2 2 3 11 2 10" xfId="17428" xr:uid="{00000000-0005-0000-0000-000014440000}"/>
    <cellStyle name="Normal 2 2 2 3 11 2 2" xfId="17429" xr:uid="{00000000-0005-0000-0000-000015440000}"/>
    <cellStyle name="Normal 2 2 2 3 11 2 3" xfId="17430" xr:uid="{00000000-0005-0000-0000-000016440000}"/>
    <cellStyle name="Normal 2 2 2 3 11 2 4" xfId="17431" xr:uid="{00000000-0005-0000-0000-000017440000}"/>
    <cellStyle name="Normal 2 2 2 3 11 2 5" xfId="17432" xr:uid="{00000000-0005-0000-0000-000018440000}"/>
    <cellStyle name="Normal 2 2 2 3 11 2 6" xfId="17433" xr:uid="{00000000-0005-0000-0000-000019440000}"/>
    <cellStyle name="Normal 2 2 2 3 11 2 7" xfId="17434" xr:uid="{00000000-0005-0000-0000-00001A440000}"/>
    <cellStyle name="Normal 2 2 2 3 11 2 8" xfId="17435" xr:uid="{00000000-0005-0000-0000-00001B440000}"/>
    <cellStyle name="Normal 2 2 2 3 11 2 9" xfId="17436" xr:uid="{00000000-0005-0000-0000-00001C440000}"/>
    <cellStyle name="Normal 2 2 2 3 11 3" xfId="17437" xr:uid="{00000000-0005-0000-0000-00001D440000}"/>
    <cellStyle name="Normal 2 2 2 3 11 3 10" xfId="17438" xr:uid="{00000000-0005-0000-0000-00001E440000}"/>
    <cellStyle name="Normal 2 2 2 3 11 3 2" xfId="17439" xr:uid="{00000000-0005-0000-0000-00001F440000}"/>
    <cellStyle name="Normal 2 2 2 3 11 3 3" xfId="17440" xr:uid="{00000000-0005-0000-0000-000020440000}"/>
    <cellStyle name="Normal 2 2 2 3 11 3 4" xfId="17441" xr:uid="{00000000-0005-0000-0000-000021440000}"/>
    <cellStyle name="Normal 2 2 2 3 11 3 5" xfId="17442" xr:uid="{00000000-0005-0000-0000-000022440000}"/>
    <cellStyle name="Normal 2 2 2 3 11 3 6" xfId="17443" xr:uid="{00000000-0005-0000-0000-000023440000}"/>
    <cellStyle name="Normal 2 2 2 3 11 3 7" xfId="17444" xr:uid="{00000000-0005-0000-0000-000024440000}"/>
    <cellStyle name="Normal 2 2 2 3 11 3 8" xfId="17445" xr:uid="{00000000-0005-0000-0000-000025440000}"/>
    <cellStyle name="Normal 2 2 2 3 11 3 9" xfId="17446" xr:uid="{00000000-0005-0000-0000-000026440000}"/>
    <cellStyle name="Normal 2 2 2 3 11 4" xfId="17447" xr:uid="{00000000-0005-0000-0000-000027440000}"/>
    <cellStyle name="Normal 2 2 2 3 11 4 10" xfId="17448" xr:uid="{00000000-0005-0000-0000-000028440000}"/>
    <cellStyle name="Normal 2 2 2 3 11 4 2" xfId="17449" xr:uid="{00000000-0005-0000-0000-000029440000}"/>
    <cellStyle name="Normal 2 2 2 3 11 4 3" xfId="17450" xr:uid="{00000000-0005-0000-0000-00002A440000}"/>
    <cellStyle name="Normal 2 2 2 3 11 4 4" xfId="17451" xr:uid="{00000000-0005-0000-0000-00002B440000}"/>
    <cellStyle name="Normal 2 2 2 3 11 4 5" xfId="17452" xr:uid="{00000000-0005-0000-0000-00002C440000}"/>
    <cellStyle name="Normal 2 2 2 3 11 4 6" xfId="17453" xr:uid="{00000000-0005-0000-0000-00002D440000}"/>
    <cellStyle name="Normal 2 2 2 3 11 4 7" xfId="17454" xr:uid="{00000000-0005-0000-0000-00002E440000}"/>
    <cellStyle name="Normal 2 2 2 3 11 4 8" xfId="17455" xr:uid="{00000000-0005-0000-0000-00002F440000}"/>
    <cellStyle name="Normal 2 2 2 3 11 4 9" xfId="17456" xr:uid="{00000000-0005-0000-0000-000030440000}"/>
    <cellStyle name="Normal 2 2 2 3 11 5" xfId="17457" xr:uid="{00000000-0005-0000-0000-000031440000}"/>
    <cellStyle name="Normal 2 2 2 3 11 5 10" xfId="17458" xr:uid="{00000000-0005-0000-0000-000032440000}"/>
    <cellStyle name="Normal 2 2 2 3 11 5 2" xfId="17459" xr:uid="{00000000-0005-0000-0000-000033440000}"/>
    <cellStyle name="Normal 2 2 2 3 11 5 3" xfId="17460" xr:uid="{00000000-0005-0000-0000-000034440000}"/>
    <cellStyle name="Normal 2 2 2 3 11 5 4" xfId="17461" xr:uid="{00000000-0005-0000-0000-000035440000}"/>
    <cellStyle name="Normal 2 2 2 3 11 5 5" xfId="17462" xr:uid="{00000000-0005-0000-0000-000036440000}"/>
    <cellStyle name="Normal 2 2 2 3 11 5 6" xfId="17463" xr:uid="{00000000-0005-0000-0000-000037440000}"/>
    <cellStyle name="Normal 2 2 2 3 11 5 7" xfId="17464" xr:uid="{00000000-0005-0000-0000-000038440000}"/>
    <cellStyle name="Normal 2 2 2 3 11 5 8" xfId="17465" xr:uid="{00000000-0005-0000-0000-000039440000}"/>
    <cellStyle name="Normal 2 2 2 3 11 5 9" xfId="17466" xr:uid="{00000000-0005-0000-0000-00003A440000}"/>
    <cellStyle name="Normal 2 2 2 3 11 6" xfId="17467" xr:uid="{00000000-0005-0000-0000-00003B440000}"/>
    <cellStyle name="Normal 2 2 2 3 11 7" xfId="17468" xr:uid="{00000000-0005-0000-0000-00003C440000}"/>
    <cellStyle name="Normal 2 2 2 3 11 8" xfId="17469" xr:uid="{00000000-0005-0000-0000-00003D440000}"/>
    <cellStyle name="Normal 2 2 2 3 11 9" xfId="17470" xr:uid="{00000000-0005-0000-0000-00003E440000}"/>
    <cellStyle name="Normal 2 2 2 3 12" xfId="17471" xr:uid="{00000000-0005-0000-0000-00003F440000}"/>
    <cellStyle name="Normal 2 2 2 3 12 10" xfId="17472" xr:uid="{00000000-0005-0000-0000-000040440000}"/>
    <cellStyle name="Normal 2 2 2 3 12 11" xfId="17473" xr:uid="{00000000-0005-0000-0000-000041440000}"/>
    <cellStyle name="Normal 2 2 2 3 12 12" xfId="17474" xr:uid="{00000000-0005-0000-0000-000042440000}"/>
    <cellStyle name="Normal 2 2 2 3 12 13" xfId="17475" xr:uid="{00000000-0005-0000-0000-000043440000}"/>
    <cellStyle name="Normal 2 2 2 3 12 14" xfId="17476" xr:uid="{00000000-0005-0000-0000-000044440000}"/>
    <cellStyle name="Normal 2 2 2 3 12 2" xfId="17477" xr:uid="{00000000-0005-0000-0000-000045440000}"/>
    <cellStyle name="Normal 2 2 2 3 12 2 10" xfId="17478" xr:uid="{00000000-0005-0000-0000-000046440000}"/>
    <cellStyle name="Normal 2 2 2 3 12 2 2" xfId="17479" xr:uid="{00000000-0005-0000-0000-000047440000}"/>
    <cellStyle name="Normal 2 2 2 3 12 2 3" xfId="17480" xr:uid="{00000000-0005-0000-0000-000048440000}"/>
    <cellStyle name="Normal 2 2 2 3 12 2 4" xfId="17481" xr:uid="{00000000-0005-0000-0000-000049440000}"/>
    <cellStyle name="Normal 2 2 2 3 12 2 5" xfId="17482" xr:uid="{00000000-0005-0000-0000-00004A440000}"/>
    <cellStyle name="Normal 2 2 2 3 12 2 6" xfId="17483" xr:uid="{00000000-0005-0000-0000-00004B440000}"/>
    <cellStyle name="Normal 2 2 2 3 12 2 7" xfId="17484" xr:uid="{00000000-0005-0000-0000-00004C440000}"/>
    <cellStyle name="Normal 2 2 2 3 12 2 8" xfId="17485" xr:uid="{00000000-0005-0000-0000-00004D440000}"/>
    <cellStyle name="Normal 2 2 2 3 12 2 9" xfId="17486" xr:uid="{00000000-0005-0000-0000-00004E440000}"/>
    <cellStyle name="Normal 2 2 2 3 12 3" xfId="17487" xr:uid="{00000000-0005-0000-0000-00004F440000}"/>
    <cellStyle name="Normal 2 2 2 3 12 3 10" xfId="17488" xr:uid="{00000000-0005-0000-0000-000050440000}"/>
    <cellStyle name="Normal 2 2 2 3 12 3 2" xfId="17489" xr:uid="{00000000-0005-0000-0000-000051440000}"/>
    <cellStyle name="Normal 2 2 2 3 12 3 3" xfId="17490" xr:uid="{00000000-0005-0000-0000-000052440000}"/>
    <cellStyle name="Normal 2 2 2 3 12 3 4" xfId="17491" xr:uid="{00000000-0005-0000-0000-000053440000}"/>
    <cellStyle name="Normal 2 2 2 3 12 3 5" xfId="17492" xr:uid="{00000000-0005-0000-0000-000054440000}"/>
    <cellStyle name="Normal 2 2 2 3 12 3 6" xfId="17493" xr:uid="{00000000-0005-0000-0000-000055440000}"/>
    <cellStyle name="Normal 2 2 2 3 12 3 7" xfId="17494" xr:uid="{00000000-0005-0000-0000-000056440000}"/>
    <cellStyle name="Normal 2 2 2 3 12 3 8" xfId="17495" xr:uid="{00000000-0005-0000-0000-000057440000}"/>
    <cellStyle name="Normal 2 2 2 3 12 3 9" xfId="17496" xr:uid="{00000000-0005-0000-0000-000058440000}"/>
    <cellStyle name="Normal 2 2 2 3 12 4" xfId="17497" xr:uid="{00000000-0005-0000-0000-000059440000}"/>
    <cellStyle name="Normal 2 2 2 3 12 4 10" xfId="17498" xr:uid="{00000000-0005-0000-0000-00005A440000}"/>
    <cellStyle name="Normal 2 2 2 3 12 4 2" xfId="17499" xr:uid="{00000000-0005-0000-0000-00005B440000}"/>
    <cellStyle name="Normal 2 2 2 3 12 4 3" xfId="17500" xr:uid="{00000000-0005-0000-0000-00005C440000}"/>
    <cellStyle name="Normal 2 2 2 3 12 4 4" xfId="17501" xr:uid="{00000000-0005-0000-0000-00005D440000}"/>
    <cellStyle name="Normal 2 2 2 3 12 4 5" xfId="17502" xr:uid="{00000000-0005-0000-0000-00005E440000}"/>
    <cellStyle name="Normal 2 2 2 3 12 4 6" xfId="17503" xr:uid="{00000000-0005-0000-0000-00005F440000}"/>
    <cellStyle name="Normal 2 2 2 3 12 4 7" xfId="17504" xr:uid="{00000000-0005-0000-0000-000060440000}"/>
    <cellStyle name="Normal 2 2 2 3 12 4 8" xfId="17505" xr:uid="{00000000-0005-0000-0000-000061440000}"/>
    <cellStyle name="Normal 2 2 2 3 12 4 9" xfId="17506" xr:uid="{00000000-0005-0000-0000-000062440000}"/>
    <cellStyle name="Normal 2 2 2 3 12 5" xfId="17507" xr:uid="{00000000-0005-0000-0000-000063440000}"/>
    <cellStyle name="Normal 2 2 2 3 12 5 10" xfId="17508" xr:uid="{00000000-0005-0000-0000-000064440000}"/>
    <cellStyle name="Normal 2 2 2 3 12 5 2" xfId="17509" xr:uid="{00000000-0005-0000-0000-000065440000}"/>
    <cellStyle name="Normal 2 2 2 3 12 5 3" xfId="17510" xr:uid="{00000000-0005-0000-0000-000066440000}"/>
    <cellStyle name="Normal 2 2 2 3 12 5 4" xfId="17511" xr:uid="{00000000-0005-0000-0000-000067440000}"/>
    <cellStyle name="Normal 2 2 2 3 12 5 5" xfId="17512" xr:uid="{00000000-0005-0000-0000-000068440000}"/>
    <cellStyle name="Normal 2 2 2 3 12 5 6" xfId="17513" xr:uid="{00000000-0005-0000-0000-000069440000}"/>
    <cellStyle name="Normal 2 2 2 3 12 5 7" xfId="17514" xr:uid="{00000000-0005-0000-0000-00006A440000}"/>
    <cellStyle name="Normal 2 2 2 3 12 5 8" xfId="17515" xr:uid="{00000000-0005-0000-0000-00006B440000}"/>
    <cellStyle name="Normal 2 2 2 3 12 5 9" xfId="17516" xr:uid="{00000000-0005-0000-0000-00006C440000}"/>
    <cellStyle name="Normal 2 2 2 3 12 6" xfId="17517" xr:uid="{00000000-0005-0000-0000-00006D440000}"/>
    <cellStyle name="Normal 2 2 2 3 12 7" xfId="17518" xr:uid="{00000000-0005-0000-0000-00006E440000}"/>
    <cellStyle name="Normal 2 2 2 3 12 8" xfId="17519" xr:uid="{00000000-0005-0000-0000-00006F440000}"/>
    <cellStyle name="Normal 2 2 2 3 12 9" xfId="17520" xr:uid="{00000000-0005-0000-0000-000070440000}"/>
    <cellStyle name="Normal 2 2 2 3 13" xfId="17521" xr:uid="{00000000-0005-0000-0000-000071440000}"/>
    <cellStyle name="Normal 2 2 2 3 13 10" xfId="17522" xr:uid="{00000000-0005-0000-0000-000072440000}"/>
    <cellStyle name="Normal 2 2 2 3 13 11" xfId="17523" xr:uid="{00000000-0005-0000-0000-000073440000}"/>
    <cellStyle name="Normal 2 2 2 3 13 12" xfId="17524" xr:uid="{00000000-0005-0000-0000-000074440000}"/>
    <cellStyle name="Normal 2 2 2 3 13 13" xfId="17525" xr:uid="{00000000-0005-0000-0000-000075440000}"/>
    <cellStyle name="Normal 2 2 2 3 13 14" xfId="17526" xr:uid="{00000000-0005-0000-0000-000076440000}"/>
    <cellStyle name="Normal 2 2 2 3 13 2" xfId="17527" xr:uid="{00000000-0005-0000-0000-000077440000}"/>
    <cellStyle name="Normal 2 2 2 3 13 2 10" xfId="17528" xr:uid="{00000000-0005-0000-0000-000078440000}"/>
    <cellStyle name="Normal 2 2 2 3 13 2 2" xfId="17529" xr:uid="{00000000-0005-0000-0000-000079440000}"/>
    <cellStyle name="Normal 2 2 2 3 13 2 3" xfId="17530" xr:uid="{00000000-0005-0000-0000-00007A440000}"/>
    <cellStyle name="Normal 2 2 2 3 13 2 4" xfId="17531" xr:uid="{00000000-0005-0000-0000-00007B440000}"/>
    <cellStyle name="Normal 2 2 2 3 13 2 5" xfId="17532" xr:uid="{00000000-0005-0000-0000-00007C440000}"/>
    <cellStyle name="Normal 2 2 2 3 13 2 6" xfId="17533" xr:uid="{00000000-0005-0000-0000-00007D440000}"/>
    <cellStyle name="Normal 2 2 2 3 13 2 7" xfId="17534" xr:uid="{00000000-0005-0000-0000-00007E440000}"/>
    <cellStyle name="Normal 2 2 2 3 13 2 8" xfId="17535" xr:uid="{00000000-0005-0000-0000-00007F440000}"/>
    <cellStyle name="Normal 2 2 2 3 13 2 9" xfId="17536" xr:uid="{00000000-0005-0000-0000-000080440000}"/>
    <cellStyle name="Normal 2 2 2 3 13 3" xfId="17537" xr:uid="{00000000-0005-0000-0000-000081440000}"/>
    <cellStyle name="Normal 2 2 2 3 13 3 10" xfId="17538" xr:uid="{00000000-0005-0000-0000-000082440000}"/>
    <cellStyle name="Normal 2 2 2 3 13 3 2" xfId="17539" xr:uid="{00000000-0005-0000-0000-000083440000}"/>
    <cellStyle name="Normal 2 2 2 3 13 3 3" xfId="17540" xr:uid="{00000000-0005-0000-0000-000084440000}"/>
    <cellStyle name="Normal 2 2 2 3 13 3 4" xfId="17541" xr:uid="{00000000-0005-0000-0000-000085440000}"/>
    <cellStyle name="Normal 2 2 2 3 13 3 5" xfId="17542" xr:uid="{00000000-0005-0000-0000-000086440000}"/>
    <cellStyle name="Normal 2 2 2 3 13 3 6" xfId="17543" xr:uid="{00000000-0005-0000-0000-000087440000}"/>
    <cellStyle name="Normal 2 2 2 3 13 3 7" xfId="17544" xr:uid="{00000000-0005-0000-0000-000088440000}"/>
    <cellStyle name="Normal 2 2 2 3 13 3 8" xfId="17545" xr:uid="{00000000-0005-0000-0000-000089440000}"/>
    <cellStyle name="Normal 2 2 2 3 13 3 9" xfId="17546" xr:uid="{00000000-0005-0000-0000-00008A440000}"/>
    <cellStyle name="Normal 2 2 2 3 13 4" xfId="17547" xr:uid="{00000000-0005-0000-0000-00008B440000}"/>
    <cellStyle name="Normal 2 2 2 3 13 4 10" xfId="17548" xr:uid="{00000000-0005-0000-0000-00008C440000}"/>
    <cellStyle name="Normal 2 2 2 3 13 4 2" xfId="17549" xr:uid="{00000000-0005-0000-0000-00008D440000}"/>
    <cellStyle name="Normal 2 2 2 3 13 4 3" xfId="17550" xr:uid="{00000000-0005-0000-0000-00008E440000}"/>
    <cellStyle name="Normal 2 2 2 3 13 4 4" xfId="17551" xr:uid="{00000000-0005-0000-0000-00008F440000}"/>
    <cellStyle name="Normal 2 2 2 3 13 4 5" xfId="17552" xr:uid="{00000000-0005-0000-0000-000090440000}"/>
    <cellStyle name="Normal 2 2 2 3 13 4 6" xfId="17553" xr:uid="{00000000-0005-0000-0000-000091440000}"/>
    <cellStyle name="Normal 2 2 2 3 13 4 7" xfId="17554" xr:uid="{00000000-0005-0000-0000-000092440000}"/>
    <cellStyle name="Normal 2 2 2 3 13 4 8" xfId="17555" xr:uid="{00000000-0005-0000-0000-000093440000}"/>
    <cellStyle name="Normal 2 2 2 3 13 4 9" xfId="17556" xr:uid="{00000000-0005-0000-0000-000094440000}"/>
    <cellStyle name="Normal 2 2 2 3 13 5" xfId="17557" xr:uid="{00000000-0005-0000-0000-000095440000}"/>
    <cellStyle name="Normal 2 2 2 3 13 5 10" xfId="17558" xr:uid="{00000000-0005-0000-0000-000096440000}"/>
    <cellStyle name="Normal 2 2 2 3 13 5 2" xfId="17559" xr:uid="{00000000-0005-0000-0000-000097440000}"/>
    <cellStyle name="Normal 2 2 2 3 13 5 3" xfId="17560" xr:uid="{00000000-0005-0000-0000-000098440000}"/>
    <cellStyle name="Normal 2 2 2 3 13 5 4" xfId="17561" xr:uid="{00000000-0005-0000-0000-000099440000}"/>
    <cellStyle name="Normal 2 2 2 3 13 5 5" xfId="17562" xr:uid="{00000000-0005-0000-0000-00009A440000}"/>
    <cellStyle name="Normal 2 2 2 3 13 5 6" xfId="17563" xr:uid="{00000000-0005-0000-0000-00009B440000}"/>
    <cellStyle name="Normal 2 2 2 3 13 5 7" xfId="17564" xr:uid="{00000000-0005-0000-0000-00009C440000}"/>
    <cellStyle name="Normal 2 2 2 3 13 5 8" xfId="17565" xr:uid="{00000000-0005-0000-0000-00009D440000}"/>
    <cellStyle name="Normal 2 2 2 3 13 5 9" xfId="17566" xr:uid="{00000000-0005-0000-0000-00009E440000}"/>
    <cellStyle name="Normal 2 2 2 3 13 6" xfId="17567" xr:uid="{00000000-0005-0000-0000-00009F440000}"/>
    <cellStyle name="Normal 2 2 2 3 13 7" xfId="17568" xr:uid="{00000000-0005-0000-0000-0000A0440000}"/>
    <cellStyle name="Normal 2 2 2 3 13 8" xfId="17569" xr:uid="{00000000-0005-0000-0000-0000A1440000}"/>
    <cellStyle name="Normal 2 2 2 3 13 9" xfId="17570" xr:uid="{00000000-0005-0000-0000-0000A2440000}"/>
    <cellStyle name="Normal 2 2 2 3 14" xfId="17571" xr:uid="{00000000-0005-0000-0000-0000A3440000}"/>
    <cellStyle name="Normal 2 2 2 3 14 10" xfId="17572" xr:uid="{00000000-0005-0000-0000-0000A4440000}"/>
    <cellStyle name="Normal 2 2 2 3 14 11" xfId="17573" xr:uid="{00000000-0005-0000-0000-0000A5440000}"/>
    <cellStyle name="Normal 2 2 2 3 14 12" xfId="17574" xr:uid="{00000000-0005-0000-0000-0000A6440000}"/>
    <cellStyle name="Normal 2 2 2 3 14 13" xfId="17575" xr:uid="{00000000-0005-0000-0000-0000A7440000}"/>
    <cellStyle name="Normal 2 2 2 3 14 14" xfId="17576" xr:uid="{00000000-0005-0000-0000-0000A8440000}"/>
    <cellStyle name="Normal 2 2 2 3 14 2" xfId="17577" xr:uid="{00000000-0005-0000-0000-0000A9440000}"/>
    <cellStyle name="Normal 2 2 2 3 14 2 10" xfId="17578" xr:uid="{00000000-0005-0000-0000-0000AA440000}"/>
    <cellStyle name="Normal 2 2 2 3 14 2 2" xfId="17579" xr:uid="{00000000-0005-0000-0000-0000AB440000}"/>
    <cellStyle name="Normal 2 2 2 3 14 2 3" xfId="17580" xr:uid="{00000000-0005-0000-0000-0000AC440000}"/>
    <cellStyle name="Normal 2 2 2 3 14 2 4" xfId="17581" xr:uid="{00000000-0005-0000-0000-0000AD440000}"/>
    <cellStyle name="Normal 2 2 2 3 14 2 5" xfId="17582" xr:uid="{00000000-0005-0000-0000-0000AE440000}"/>
    <cellStyle name="Normal 2 2 2 3 14 2 6" xfId="17583" xr:uid="{00000000-0005-0000-0000-0000AF440000}"/>
    <cellStyle name="Normal 2 2 2 3 14 2 7" xfId="17584" xr:uid="{00000000-0005-0000-0000-0000B0440000}"/>
    <cellStyle name="Normal 2 2 2 3 14 2 8" xfId="17585" xr:uid="{00000000-0005-0000-0000-0000B1440000}"/>
    <cellStyle name="Normal 2 2 2 3 14 2 9" xfId="17586" xr:uid="{00000000-0005-0000-0000-0000B2440000}"/>
    <cellStyle name="Normal 2 2 2 3 14 3" xfId="17587" xr:uid="{00000000-0005-0000-0000-0000B3440000}"/>
    <cellStyle name="Normal 2 2 2 3 14 3 10" xfId="17588" xr:uid="{00000000-0005-0000-0000-0000B4440000}"/>
    <cellStyle name="Normal 2 2 2 3 14 3 2" xfId="17589" xr:uid="{00000000-0005-0000-0000-0000B5440000}"/>
    <cellStyle name="Normal 2 2 2 3 14 3 3" xfId="17590" xr:uid="{00000000-0005-0000-0000-0000B6440000}"/>
    <cellStyle name="Normal 2 2 2 3 14 3 4" xfId="17591" xr:uid="{00000000-0005-0000-0000-0000B7440000}"/>
    <cellStyle name="Normal 2 2 2 3 14 3 5" xfId="17592" xr:uid="{00000000-0005-0000-0000-0000B8440000}"/>
    <cellStyle name="Normal 2 2 2 3 14 3 6" xfId="17593" xr:uid="{00000000-0005-0000-0000-0000B9440000}"/>
    <cellStyle name="Normal 2 2 2 3 14 3 7" xfId="17594" xr:uid="{00000000-0005-0000-0000-0000BA440000}"/>
    <cellStyle name="Normal 2 2 2 3 14 3 8" xfId="17595" xr:uid="{00000000-0005-0000-0000-0000BB440000}"/>
    <cellStyle name="Normal 2 2 2 3 14 3 9" xfId="17596" xr:uid="{00000000-0005-0000-0000-0000BC440000}"/>
    <cellStyle name="Normal 2 2 2 3 14 4" xfId="17597" xr:uid="{00000000-0005-0000-0000-0000BD440000}"/>
    <cellStyle name="Normal 2 2 2 3 14 4 10" xfId="17598" xr:uid="{00000000-0005-0000-0000-0000BE440000}"/>
    <cellStyle name="Normal 2 2 2 3 14 4 2" xfId="17599" xr:uid="{00000000-0005-0000-0000-0000BF440000}"/>
    <cellStyle name="Normal 2 2 2 3 14 4 3" xfId="17600" xr:uid="{00000000-0005-0000-0000-0000C0440000}"/>
    <cellStyle name="Normal 2 2 2 3 14 4 4" xfId="17601" xr:uid="{00000000-0005-0000-0000-0000C1440000}"/>
    <cellStyle name="Normal 2 2 2 3 14 4 5" xfId="17602" xr:uid="{00000000-0005-0000-0000-0000C2440000}"/>
    <cellStyle name="Normal 2 2 2 3 14 4 6" xfId="17603" xr:uid="{00000000-0005-0000-0000-0000C3440000}"/>
    <cellStyle name="Normal 2 2 2 3 14 4 7" xfId="17604" xr:uid="{00000000-0005-0000-0000-0000C4440000}"/>
    <cellStyle name="Normal 2 2 2 3 14 4 8" xfId="17605" xr:uid="{00000000-0005-0000-0000-0000C5440000}"/>
    <cellStyle name="Normal 2 2 2 3 14 4 9" xfId="17606" xr:uid="{00000000-0005-0000-0000-0000C6440000}"/>
    <cellStyle name="Normal 2 2 2 3 14 5" xfId="17607" xr:uid="{00000000-0005-0000-0000-0000C7440000}"/>
    <cellStyle name="Normal 2 2 2 3 14 5 10" xfId="17608" xr:uid="{00000000-0005-0000-0000-0000C8440000}"/>
    <cellStyle name="Normal 2 2 2 3 14 5 2" xfId="17609" xr:uid="{00000000-0005-0000-0000-0000C9440000}"/>
    <cellStyle name="Normal 2 2 2 3 14 5 3" xfId="17610" xr:uid="{00000000-0005-0000-0000-0000CA440000}"/>
    <cellStyle name="Normal 2 2 2 3 14 5 4" xfId="17611" xr:uid="{00000000-0005-0000-0000-0000CB440000}"/>
    <cellStyle name="Normal 2 2 2 3 14 5 5" xfId="17612" xr:uid="{00000000-0005-0000-0000-0000CC440000}"/>
    <cellStyle name="Normal 2 2 2 3 14 5 6" xfId="17613" xr:uid="{00000000-0005-0000-0000-0000CD440000}"/>
    <cellStyle name="Normal 2 2 2 3 14 5 7" xfId="17614" xr:uid="{00000000-0005-0000-0000-0000CE440000}"/>
    <cellStyle name="Normal 2 2 2 3 14 5 8" xfId="17615" xr:uid="{00000000-0005-0000-0000-0000CF440000}"/>
    <cellStyle name="Normal 2 2 2 3 14 5 9" xfId="17616" xr:uid="{00000000-0005-0000-0000-0000D0440000}"/>
    <cellStyle name="Normal 2 2 2 3 14 6" xfId="17617" xr:uid="{00000000-0005-0000-0000-0000D1440000}"/>
    <cellStyle name="Normal 2 2 2 3 14 7" xfId="17618" xr:uid="{00000000-0005-0000-0000-0000D2440000}"/>
    <cellStyle name="Normal 2 2 2 3 14 8" xfId="17619" xr:uid="{00000000-0005-0000-0000-0000D3440000}"/>
    <cellStyle name="Normal 2 2 2 3 14 9" xfId="17620" xr:uid="{00000000-0005-0000-0000-0000D4440000}"/>
    <cellStyle name="Normal 2 2 2 3 15" xfId="17621" xr:uid="{00000000-0005-0000-0000-0000D5440000}"/>
    <cellStyle name="Normal 2 2 2 3 15 10" xfId="17622" xr:uid="{00000000-0005-0000-0000-0000D6440000}"/>
    <cellStyle name="Normal 2 2 2 3 15 11" xfId="17623" xr:uid="{00000000-0005-0000-0000-0000D7440000}"/>
    <cellStyle name="Normal 2 2 2 3 15 12" xfId="17624" xr:uid="{00000000-0005-0000-0000-0000D8440000}"/>
    <cellStyle name="Normal 2 2 2 3 15 13" xfId="17625" xr:uid="{00000000-0005-0000-0000-0000D9440000}"/>
    <cellStyle name="Normal 2 2 2 3 15 14" xfId="17626" xr:uid="{00000000-0005-0000-0000-0000DA440000}"/>
    <cellStyle name="Normal 2 2 2 3 15 2" xfId="17627" xr:uid="{00000000-0005-0000-0000-0000DB440000}"/>
    <cellStyle name="Normal 2 2 2 3 15 2 10" xfId="17628" xr:uid="{00000000-0005-0000-0000-0000DC440000}"/>
    <cellStyle name="Normal 2 2 2 3 15 2 2" xfId="17629" xr:uid="{00000000-0005-0000-0000-0000DD440000}"/>
    <cellStyle name="Normal 2 2 2 3 15 2 3" xfId="17630" xr:uid="{00000000-0005-0000-0000-0000DE440000}"/>
    <cellStyle name="Normal 2 2 2 3 15 2 4" xfId="17631" xr:uid="{00000000-0005-0000-0000-0000DF440000}"/>
    <cellStyle name="Normal 2 2 2 3 15 2 5" xfId="17632" xr:uid="{00000000-0005-0000-0000-0000E0440000}"/>
    <cellStyle name="Normal 2 2 2 3 15 2 6" xfId="17633" xr:uid="{00000000-0005-0000-0000-0000E1440000}"/>
    <cellStyle name="Normal 2 2 2 3 15 2 7" xfId="17634" xr:uid="{00000000-0005-0000-0000-0000E2440000}"/>
    <cellStyle name="Normal 2 2 2 3 15 2 8" xfId="17635" xr:uid="{00000000-0005-0000-0000-0000E3440000}"/>
    <cellStyle name="Normal 2 2 2 3 15 2 9" xfId="17636" xr:uid="{00000000-0005-0000-0000-0000E4440000}"/>
    <cellStyle name="Normal 2 2 2 3 15 3" xfId="17637" xr:uid="{00000000-0005-0000-0000-0000E5440000}"/>
    <cellStyle name="Normal 2 2 2 3 15 3 10" xfId="17638" xr:uid="{00000000-0005-0000-0000-0000E6440000}"/>
    <cellStyle name="Normal 2 2 2 3 15 3 2" xfId="17639" xr:uid="{00000000-0005-0000-0000-0000E7440000}"/>
    <cellStyle name="Normal 2 2 2 3 15 3 3" xfId="17640" xr:uid="{00000000-0005-0000-0000-0000E8440000}"/>
    <cellStyle name="Normal 2 2 2 3 15 3 4" xfId="17641" xr:uid="{00000000-0005-0000-0000-0000E9440000}"/>
    <cellStyle name="Normal 2 2 2 3 15 3 5" xfId="17642" xr:uid="{00000000-0005-0000-0000-0000EA440000}"/>
    <cellStyle name="Normal 2 2 2 3 15 3 6" xfId="17643" xr:uid="{00000000-0005-0000-0000-0000EB440000}"/>
    <cellStyle name="Normal 2 2 2 3 15 3 7" xfId="17644" xr:uid="{00000000-0005-0000-0000-0000EC440000}"/>
    <cellStyle name="Normal 2 2 2 3 15 3 8" xfId="17645" xr:uid="{00000000-0005-0000-0000-0000ED440000}"/>
    <cellStyle name="Normal 2 2 2 3 15 3 9" xfId="17646" xr:uid="{00000000-0005-0000-0000-0000EE440000}"/>
    <cellStyle name="Normal 2 2 2 3 15 4" xfId="17647" xr:uid="{00000000-0005-0000-0000-0000EF440000}"/>
    <cellStyle name="Normal 2 2 2 3 15 4 10" xfId="17648" xr:uid="{00000000-0005-0000-0000-0000F0440000}"/>
    <cellStyle name="Normal 2 2 2 3 15 4 2" xfId="17649" xr:uid="{00000000-0005-0000-0000-0000F1440000}"/>
    <cellStyle name="Normal 2 2 2 3 15 4 3" xfId="17650" xr:uid="{00000000-0005-0000-0000-0000F2440000}"/>
    <cellStyle name="Normal 2 2 2 3 15 4 4" xfId="17651" xr:uid="{00000000-0005-0000-0000-0000F3440000}"/>
    <cellStyle name="Normal 2 2 2 3 15 4 5" xfId="17652" xr:uid="{00000000-0005-0000-0000-0000F4440000}"/>
    <cellStyle name="Normal 2 2 2 3 15 4 6" xfId="17653" xr:uid="{00000000-0005-0000-0000-0000F5440000}"/>
    <cellStyle name="Normal 2 2 2 3 15 4 7" xfId="17654" xr:uid="{00000000-0005-0000-0000-0000F6440000}"/>
    <cellStyle name="Normal 2 2 2 3 15 4 8" xfId="17655" xr:uid="{00000000-0005-0000-0000-0000F7440000}"/>
    <cellStyle name="Normal 2 2 2 3 15 4 9" xfId="17656" xr:uid="{00000000-0005-0000-0000-0000F8440000}"/>
    <cellStyle name="Normal 2 2 2 3 15 5" xfId="17657" xr:uid="{00000000-0005-0000-0000-0000F9440000}"/>
    <cellStyle name="Normal 2 2 2 3 15 5 10" xfId="17658" xr:uid="{00000000-0005-0000-0000-0000FA440000}"/>
    <cellStyle name="Normal 2 2 2 3 15 5 2" xfId="17659" xr:uid="{00000000-0005-0000-0000-0000FB440000}"/>
    <cellStyle name="Normal 2 2 2 3 15 5 3" xfId="17660" xr:uid="{00000000-0005-0000-0000-0000FC440000}"/>
    <cellStyle name="Normal 2 2 2 3 15 5 4" xfId="17661" xr:uid="{00000000-0005-0000-0000-0000FD440000}"/>
    <cellStyle name="Normal 2 2 2 3 15 5 5" xfId="17662" xr:uid="{00000000-0005-0000-0000-0000FE440000}"/>
    <cellStyle name="Normal 2 2 2 3 15 5 6" xfId="17663" xr:uid="{00000000-0005-0000-0000-0000FF440000}"/>
    <cellStyle name="Normal 2 2 2 3 15 5 7" xfId="17664" xr:uid="{00000000-0005-0000-0000-000000450000}"/>
    <cellStyle name="Normal 2 2 2 3 15 5 8" xfId="17665" xr:uid="{00000000-0005-0000-0000-000001450000}"/>
    <cellStyle name="Normal 2 2 2 3 15 5 9" xfId="17666" xr:uid="{00000000-0005-0000-0000-000002450000}"/>
    <cellStyle name="Normal 2 2 2 3 15 6" xfId="17667" xr:uid="{00000000-0005-0000-0000-000003450000}"/>
    <cellStyle name="Normal 2 2 2 3 15 7" xfId="17668" xr:uid="{00000000-0005-0000-0000-000004450000}"/>
    <cellStyle name="Normal 2 2 2 3 15 8" xfId="17669" xr:uid="{00000000-0005-0000-0000-000005450000}"/>
    <cellStyle name="Normal 2 2 2 3 15 9" xfId="17670" xr:uid="{00000000-0005-0000-0000-000006450000}"/>
    <cellStyle name="Normal 2 2 2 3 16" xfId="17671" xr:uid="{00000000-0005-0000-0000-000007450000}"/>
    <cellStyle name="Normal 2 2 2 3 16 10" xfId="17672" xr:uid="{00000000-0005-0000-0000-000008450000}"/>
    <cellStyle name="Normal 2 2 2 3 16 11" xfId="17673" xr:uid="{00000000-0005-0000-0000-000009450000}"/>
    <cellStyle name="Normal 2 2 2 3 16 12" xfId="17674" xr:uid="{00000000-0005-0000-0000-00000A450000}"/>
    <cellStyle name="Normal 2 2 2 3 16 13" xfId="17675" xr:uid="{00000000-0005-0000-0000-00000B450000}"/>
    <cellStyle name="Normal 2 2 2 3 16 14" xfId="17676" xr:uid="{00000000-0005-0000-0000-00000C450000}"/>
    <cellStyle name="Normal 2 2 2 3 16 2" xfId="17677" xr:uid="{00000000-0005-0000-0000-00000D450000}"/>
    <cellStyle name="Normal 2 2 2 3 16 2 10" xfId="17678" xr:uid="{00000000-0005-0000-0000-00000E450000}"/>
    <cellStyle name="Normal 2 2 2 3 16 2 2" xfId="17679" xr:uid="{00000000-0005-0000-0000-00000F450000}"/>
    <cellStyle name="Normal 2 2 2 3 16 2 3" xfId="17680" xr:uid="{00000000-0005-0000-0000-000010450000}"/>
    <cellStyle name="Normal 2 2 2 3 16 2 4" xfId="17681" xr:uid="{00000000-0005-0000-0000-000011450000}"/>
    <cellStyle name="Normal 2 2 2 3 16 2 5" xfId="17682" xr:uid="{00000000-0005-0000-0000-000012450000}"/>
    <cellStyle name="Normal 2 2 2 3 16 2 6" xfId="17683" xr:uid="{00000000-0005-0000-0000-000013450000}"/>
    <cellStyle name="Normal 2 2 2 3 16 2 7" xfId="17684" xr:uid="{00000000-0005-0000-0000-000014450000}"/>
    <cellStyle name="Normal 2 2 2 3 16 2 8" xfId="17685" xr:uid="{00000000-0005-0000-0000-000015450000}"/>
    <cellStyle name="Normal 2 2 2 3 16 2 9" xfId="17686" xr:uid="{00000000-0005-0000-0000-000016450000}"/>
    <cellStyle name="Normal 2 2 2 3 16 3" xfId="17687" xr:uid="{00000000-0005-0000-0000-000017450000}"/>
    <cellStyle name="Normal 2 2 2 3 16 3 10" xfId="17688" xr:uid="{00000000-0005-0000-0000-000018450000}"/>
    <cellStyle name="Normal 2 2 2 3 16 3 2" xfId="17689" xr:uid="{00000000-0005-0000-0000-000019450000}"/>
    <cellStyle name="Normal 2 2 2 3 16 3 3" xfId="17690" xr:uid="{00000000-0005-0000-0000-00001A450000}"/>
    <cellStyle name="Normal 2 2 2 3 16 3 4" xfId="17691" xr:uid="{00000000-0005-0000-0000-00001B450000}"/>
    <cellStyle name="Normal 2 2 2 3 16 3 5" xfId="17692" xr:uid="{00000000-0005-0000-0000-00001C450000}"/>
    <cellStyle name="Normal 2 2 2 3 16 3 6" xfId="17693" xr:uid="{00000000-0005-0000-0000-00001D450000}"/>
    <cellStyle name="Normal 2 2 2 3 16 3 7" xfId="17694" xr:uid="{00000000-0005-0000-0000-00001E450000}"/>
    <cellStyle name="Normal 2 2 2 3 16 3 8" xfId="17695" xr:uid="{00000000-0005-0000-0000-00001F450000}"/>
    <cellStyle name="Normal 2 2 2 3 16 3 9" xfId="17696" xr:uid="{00000000-0005-0000-0000-000020450000}"/>
    <cellStyle name="Normal 2 2 2 3 16 4" xfId="17697" xr:uid="{00000000-0005-0000-0000-000021450000}"/>
    <cellStyle name="Normal 2 2 2 3 16 4 10" xfId="17698" xr:uid="{00000000-0005-0000-0000-000022450000}"/>
    <cellStyle name="Normal 2 2 2 3 16 4 2" xfId="17699" xr:uid="{00000000-0005-0000-0000-000023450000}"/>
    <cellStyle name="Normal 2 2 2 3 16 4 3" xfId="17700" xr:uid="{00000000-0005-0000-0000-000024450000}"/>
    <cellStyle name="Normal 2 2 2 3 16 4 4" xfId="17701" xr:uid="{00000000-0005-0000-0000-000025450000}"/>
    <cellStyle name="Normal 2 2 2 3 16 4 5" xfId="17702" xr:uid="{00000000-0005-0000-0000-000026450000}"/>
    <cellStyle name="Normal 2 2 2 3 16 4 6" xfId="17703" xr:uid="{00000000-0005-0000-0000-000027450000}"/>
    <cellStyle name="Normal 2 2 2 3 16 4 7" xfId="17704" xr:uid="{00000000-0005-0000-0000-000028450000}"/>
    <cellStyle name="Normal 2 2 2 3 16 4 8" xfId="17705" xr:uid="{00000000-0005-0000-0000-000029450000}"/>
    <cellStyle name="Normal 2 2 2 3 16 4 9" xfId="17706" xr:uid="{00000000-0005-0000-0000-00002A450000}"/>
    <cellStyle name="Normal 2 2 2 3 16 5" xfId="17707" xr:uid="{00000000-0005-0000-0000-00002B450000}"/>
    <cellStyle name="Normal 2 2 2 3 16 5 10" xfId="17708" xr:uid="{00000000-0005-0000-0000-00002C450000}"/>
    <cellStyle name="Normal 2 2 2 3 16 5 2" xfId="17709" xr:uid="{00000000-0005-0000-0000-00002D450000}"/>
    <cellStyle name="Normal 2 2 2 3 16 5 3" xfId="17710" xr:uid="{00000000-0005-0000-0000-00002E450000}"/>
    <cellStyle name="Normal 2 2 2 3 16 5 4" xfId="17711" xr:uid="{00000000-0005-0000-0000-00002F450000}"/>
    <cellStyle name="Normal 2 2 2 3 16 5 5" xfId="17712" xr:uid="{00000000-0005-0000-0000-000030450000}"/>
    <cellStyle name="Normal 2 2 2 3 16 5 6" xfId="17713" xr:uid="{00000000-0005-0000-0000-000031450000}"/>
    <cellStyle name="Normal 2 2 2 3 16 5 7" xfId="17714" xr:uid="{00000000-0005-0000-0000-000032450000}"/>
    <cellStyle name="Normal 2 2 2 3 16 5 8" xfId="17715" xr:uid="{00000000-0005-0000-0000-000033450000}"/>
    <cellStyle name="Normal 2 2 2 3 16 5 9" xfId="17716" xr:uid="{00000000-0005-0000-0000-000034450000}"/>
    <cellStyle name="Normal 2 2 2 3 16 6" xfId="17717" xr:uid="{00000000-0005-0000-0000-000035450000}"/>
    <cellStyle name="Normal 2 2 2 3 16 7" xfId="17718" xr:uid="{00000000-0005-0000-0000-000036450000}"/>
    <cellStyle name="Normal 2 2 2 3 16 8" xfId="17719" xr:uid="{00000000-0005-0000-0000-000037450000}"/>
    <cellStyle name="Normal 2 2 2 3 16 9" xfId="17720" xr:uid="{00000000-0005-0000-0000-000038450000}"/>
    <cellStyle name="Normal 2 2 2 3 17" xfId="17721" xr:uid="{00000000-0005-0000-0000-000039450000}"/>
    <cellStyle name="Normal 2 2 2 3 17 10" xfId="17722" xr:uid="{00000000-0005-0000-0000-00003A450000}"/>
    <cellStyle name="Normal 2 2 2 3 17 11" xfId="17723" xr:uid="{00000000-0005-0000-0000-00003B450000}"/>
    <cellStyle name="Normal 2 2 2 3 17 12" xfId="17724" xr:uid="{00000000-0005-0000-0000-00003C450000}"/>
    <cellStyle name="Normal 2 2 2 3 17 13" xfId="17725" xr:uid="{00000000-0005-0000-0000-00003D450000}"/>
    <cellStyle name="Normal 2 2 2 3 17 14" xfId="17726" xr:uid="{00000000-0005-0000-0000-00003E450000}"/>
    <cellStyle name="Normal 2 2 2 3 17 2" xfId="17727" xr:uid="{00000000-0005-0000-0000-00003F450000}"/>
    <cellStyle name="Normal 2 2 2 3 17 2 10" xfId="17728" xr:uid="{00000000-0005-0000-0000-000040450000}"/>
    <cellStyle name="Normal 2 2 2 3 17 2 2" xfId="17729" xr:uid="{00000000-0005-0000-0000-000041450000}"/>
    <cellStyle name="Normal 2 2 2 3 17 2 3" xfId="17730" xr:uid="{00000000-0005-0000-0000-000042450000}"/>
    <cellStyle name="Normal 2 2 2 3 17 2 4" xfId="17731" xr:uid="{00000000-0005-0000-0000-000043450000}"/>
    <cellStyle name="Normal 2 2 2 3 17 2 5" xfId="17732" xr:uid="{00000000-0005-0000-0000-000044450000}"/>
    <cellStyle name="Normal 2 2 2 3 17 2 6" xfId="17733" xr:uid="{00000000-0005-0000-0000-000045450000}"/>
    <cellStyle name="Normal 2 2 2 3 17 2 7" xfId="17734" xr:uid="{00000000-0005-0000-0000-000046450000}"/>
    <cellStyle name="Normal 2 2 2 3 17 2 8" xfId="17735" xr:uid="{00000000-0005-0000-0000-000047450000}"/>
    <cellStyle name="Normal 2 2 2 3 17 2 9" xfId="17736" xr:uid="{00000000-0005-0000-0000-000048450000}"/>
    <cellStyle name="Normal 2 2 2 3 17 3" xfId="17737" xr:uid="{00000000-0005-0000-0000-000049450000}"/>
    <cellStyle name="Normal 2 2 2 3 17 3 10" xfId="17738" xr:uid="{00000000-0005-0000-0000-00004A450000}"/>
    <cellStyle name="Normal 2 2 2 3 17 3 2" xfId="17739" xr:uid="{00000000-0005-0000-0000-00004B450000}"/>
    <cellStyle name="Normal 2 2 2 3 17 3 3" xfId="17740" xr:uid="{00000000-0005-0000-0000-00004C450000}"/>
    <cellStyle name="Normal 2 2 2 3 17 3 4" xfId="17741" xr:uid="{00000000-0005-0000-0000-00004D450000}"/>
    <cellStyle name="Normal 2 2 2 3 17 3 5" xfId="17742" xr:uid="{00000000-0005-0000-0000-00004E450000}"/>
    <cellStyle name="Normal 2 2 2 3 17 3 6" xfId="17743" xr:uid="{00000000-0005-0000-0000-00004F450000}"/>
    <cellStyle name="Normal 2 2 2 3 17 3 7" xfId="17744" xr:uid="{00000000-0005-0000-0000-000050450000}"/>
    <cellStyle name="Normal 2 2 2 3 17 3 8" xfId="17745" xr:uid="{00000000-0005-0000-0000-000051450000}"/>
    <cellStyle name="Normal 2 2 2 3 17 3 9" xfId="17746" xr:uid="{00000000-0005-0000-0000-000052450000}"/>
    <cellStyle name="Normal 2 2 2 3 17 4" xfId="17747" xr:uid="{00000000-0005-0000-0000-000053450000}"/>
    <cellStyle name="Normal 2 2 2 3 17 4 10" xfId="17748" xr:uid="{00000000-0005-0000-0000-000054450000}"/>
    <cellStyle name="Normal 2 2 2 3 17 4 2" xfId="17749" xr:uid="{00000000-0005-0000-0000-000055450000}"/>
    <cellStyle name="Normal 2 2 2 3 17 4 3" xfId="17750" xr:uid="{00000000-0005-0000-0000-000056450000}"/>
    <cellStyle name="Normal 2 2 2 3 17 4 4" xfId="17751" xr:uid="{00000000-0005-0000-0000-000057450000}"/>
    <cellStyle name="Normal 2 2 2 3 17 4 5" xfId="17752" xr:uid="{00000000-0005-0000-0000-000058450000}"/>
    <cellStyle name="Normal 2 2 2 3 17 4 6" xfId="17753" xr:uid="{00000000-0005-0000-0000-000059450000}"/>
    <cellStyle name="Normal 2 2 2 3 17 4 7" xfId="17754" xr:uid="{00000000-0005-0000-0000-00005A450000}"/>
    <cellStyle name="Normal 2 2 2 3 17 4 8" xfId="17755" xr:uid="{00000000-0005-0000-0000-00005B450000}"/>
    <cellStyle name="Normal 2 2 2 3 17 4 9" xfId="17756" xr:uid="{00000000-0005-0000-0000-00005C450000}"/>
    <cellStyle name="Normal 2 2 2 3 17 5" xfId="17757" xr:uid="{00000000-0005-0000-0000-00005D450000}"/>
    <cellStyle name="Normal 2 2 2 3 17 5 10" xfId="17758" xr:uid="{00000000-0005-0000-0000-00005E450000}"/>
    <cellStyle name="Normal 2 2 2 3 17 5 2" xfId="17759" xr:uid="{00000000-0005-0000-0000-00005F450000}"/>
    <cellStyle name="Normal 2 2 2 3 17 5 3" xfId="17760" xr:uid="{00000000-0005-0000-0000-000060450000}"/>
    <cellStyle name="Normal 2 2 2 3 17 5 4" xfId="17761" xr:uid="{00000000-0005-0000-0000-000061450000}"/>
    <cellStyle name="Normal 2 2 2 3 17 5 5" xfId="17762" xr:uid="{00000000-0005-0000-0000-000062450000}"/>
    <cellStyle name="Normal 2 2 2 3 17 5 6" xfId="17763" xr:uid="{00000000-0005-0000-0000-000063450000}"/>
    <cellStyle name="Normal 2 2 2 3 17 5 7" xfId="17764" xr:uid="{00000000-0005-0000-0000-000064450000}"/>
    <cellStyle name="Normal 2 2 2 3 17 5 8" xfId="17765" xr:uid="{00000000-0005-0000-0000-000065450000}"/>
    <cellStyle name="Normal 2 2 2 3 17 5 9" xfId="17766" xr:uid="{00000000-0005-0000-0000-000066450000}"/>
    <cellStyle name="Normal 2 2 2 3 17 6" xfId="17767" xr:uid="{00000000-0005-0000-0000-000067450000}"/>
    <cellStyle name="Normal 2 2 2 3 17 7" xfId="17768" xr:uid="{00000000-0005-0000-0000-000068450000}"/>
    <cellStyle name="Normal 2 2 2 3 17 8" xfId="17769" xr:uid="{00000000-0005-0000-0000-000069450000}"/>
    <cellStyle name="Normal 2 2 2 3 17 9" xfId="17770" xr:uid="{00000000-0005-0000-0000-00006A450000}"/>
    <cellStyle name="Normal 2 2 2 3 18" xfId="17771" xr:uid="{00000000-0005-0000-0000-00006B450000}"/>
    <cellStyle name="Normal 2 2 2 3 18 10" xfId="17772" xr:uid="{00000000-0005-0000-0000-00006C450000}"/>
    <cellStyle name="Normal 2 2 2 3 18 11" xfId="17773" xr:uid="{00000000-0005-0000-0000-00006D450000}"/>
    <cellStyle name="Normal 2 2 2 3 18 12" xfId="17774" xr:uid="{00000000-0005-0000-0000-00006E450000}"/>
    <cellStyle name="Normal 2 2 2 3 18 13" xfId="17775" xr:uid="{00000000-0005-0000-0000-00006F450000}"/>
    <cellStyle name="Normal 2 2 2 3 18 14" xfId="17776" xr:uid="{00000000-0005-0000-0000-000070450000}"/>
    <cellStyle name="Normal 2 2 2 3 18 2" xfId="17777" xr:uid="{00000000-0005-0000-0000-000071450000}"/>
    <cellStyle name="Normal 2 2 2 3 18 2 10" xfId="17778" xr:uid="{00000000-0005-0000-0000-000072450000}"/>
    <cellStyle name="Normal 2 2 2 3 18 2 2" xfId="17779" xr:uid="{00000000-0005-0000-0000-000073450000}"/>
    <cellStyle name="Normal 2 2 2 3 18 2 3" xfId="17780" xr:uid="{00000000-0005-0000-0000-000074450000}"/>
    <cellStyle name="Normal 2 2 2 3 18 2 4" xfId="17781" xr:uid="{00000000-0005-0000-0000-000075450000}"/>
    <cellStyle name="Normal 2 2 2 3 18 2 5" xfId="17782" xr:uid="{00000000-0005-0000-0000-000076450000}"/>
    <cellStyle name="Normal 2 2 2 3 18 2 6" xfId="17783" xr:uid="{00000000-0005-0000-0000-000077450000}"/>
    <cellStyle name="Normal 2 2 2 3 18 2 7" xfId="17784" xr:uid="{00000000-0005-0000-0000-000078450000}"/>
    <cellStyle name="Normal 2 2 2 3 18 2 8" xfId="17785" xr:uid="{00000000-0005-0000-0000-000079450000}"/>
    <cellStyle name="Normal 2 2 2 3 18 2 9" xfId="17786" xr:uid="{00000000-0005-0000-0000-00007A450000}"/>
    <cellStyle name="Normal 2 2 2 3 18 3" xfId="17787" xr:uid="{00000000-0005-0000-0000-00007B450000}"/>
    <cellStyle name="Normal 2 2 2 3 18 3 10" xfId="17788" xr:uid="{00000000-0005-0000-0000-00007C450000}"/>
    <cellStyle name="Normal 2 2 2 3 18 3 2" xfId="17789" xr:uid="{00000000-0005-0000-0000-00007D450000}"/>
    <cellStyle name="Normal 2 2 2 3 18 3 3" xfId="17790" xr:uid="{00000000-0005-0000-0000-00007E450000}"/>
    <cellStyle name="Normal 2 2 2 3 18 3 4" xfId="17791" xr:uid="{00000000-0005-0000-0000-00007F450000}"/>
    <cellStyle name="Normal 2 2 2 3 18 3 5" xfId="17792" xr:uid="{00000000-0005-0000-0000-000080450000}"/>
    <cellStyle name="Normal 2 2 2 3 18 3 6" xfId="17793" xr:uid="{00000000-0005-0000-0000-000081450000}"/>
    <cellStyle name="Normal 2 2 2 3 18 3 7" xfId="17794" xr:uid="{00000000-0005-0000-0000-000082450000}"/>
    <cellStyle name="Normal 2 2 2 3 18 3 8" xfId="17795" xr:uid="{00000000-0005-0000-0000-000083450000}"/>
    <cellStyle name="Normal 2 2 2 3 18 3 9" xfId="17796" xr:uid="{00000000-0005-0000-0000-000084450000}"/>
    <cellStyle name="Normal 2 2 2 3 18 4" xfId="17797" xr:uid="{00000000-0005-0000-0000-000085450000}"/>
    <cellStyle name="Normal 2 2 2 3 18 4 10" xfId="17798" xr:uid="{00000000-0005-0000-0000-000086450000}"/>
    <cellStyle name="Normal 2 2 2 3 18 4 2" xfId="17799" xr:uid="{00000000-0005-0000-0000-000087450000}"/>
    <cellStyle name="Normal 2 2 2 3 18 4 3" xfId="17800" xr:uid="{00000000-0005-0000-0000-000088450000}"/>
    <cellStyle name="Normal 2 2 2 3 18 4 4" xfId="17801" xr:uid="{00000000-0005-0000-0000-000089450000}"/>
    <cellStyle name="Normal 2 2 2 3 18 4 5" xfId="17802" xr:uid="{00000000-0005-0000-0000-00008A450000}"/>
    <cellStyle name="Normal 2 2 2 3 18 4 6" xfId="17803" xr:uid="{00000000-0005-0000-0000-00008B450000}"/>
    <cellStyle name="Normal 2 2 2 3 18 4 7" xfId="17804" xr:uid="{00000000-0005-0000-0000-00008C450000}"/>
    <cellStyle name="Normal 2 2 2 3 18 4 8" xfId="17805" xr:uid="{00000000-0005-0000-0000-00008D450000}"/>
    <cellStyle name="Normal 2 2 2 3 18 4 9" xfId="17806" xr:uid="{00000000-0005-0000-0000-00008E450000}"/>
    <cellStyle name="Normal 2 2 2 3 18 5" xfId="17807" xr:uid="{00000000-0005-0000-0000-00008F450000}"/>
    <cellStyle name="Normal 2 2 2 3 18 5 10" xfId="17808" xr:uid="{00000000-0005-0000-0000-000090450000}"/>
    <cellStyle name="Normal 2 2 2 3 18 5 2" xfId="17809" xr:uid="{00000000-0005-0000-0000-000091450000}"/>
    <cellStyle name="Normal 2 2 2 3 18 5 3" xfId="17810" xr:uid="{00000000-0005-0000-0000-000092450000}"/>
    <cellStyle name="Normal 2 2 2 3 18 5 4" xfId="17811" xr:uid="{00000000-0005-0000-0000-000093450000}"/>
    <cellStyle name="Normal 2 2 2 3 18 5 5" xfId="17812" xr:uid="{00000000-0005-0000-0000-000094450000}"/>
    <cellStyle name="Normal 2 2 2 3 18 5 6" xfId="17813" xr:uid="{00000000-0005-0000-0000-000095450000}"/>
    <cellStyle name="Normal 2 2 2 3 18 5 7" xfId="17814" xr:uid="{00000000-0005-0000-0000-000096450000}"/>
    <cellStyle name="Normal 2 2 2 3 18 5 8" xfId="17815" xr:uid="{00000000-0005-0000-0000-000097450000}"/>
    <cellStyle name="Normal 2 2 2 3 18 5 9" xfId="17816" xr:uid="{00000000-0005-0000-0000-000098450000}"/>
    <cellStyle name="Normal 2 2 2 3 18 6" xfId="17817" xr:uid="{00000000-0005-0000-0000-000099450000}"/>
    <cellStyle name="Normal 2 2 2 3 18 7" xfId="17818" xr:uid="{00000000-0005-0000-0000-00009A450000}"/>
    <cellStyle name="Normal 2 2 2 3 18 8" xfId="17819" xr:uid="{00000000-0005-0000-0000-00009B450000}"/>
    <cellStyle name="Normal 2 2 2 3 18 9" xfId="17820" xr:uid="{00000000-0005-0000-0000-00009C450000}"/>
    <cellStyle name="Normal 2 2 2 3 19" xfId="17821" xr:uid="{00000000-0005-0000-0000-00009D450000}"/>
    <cellStyle name="Normal 2 2 2 3 19 10" xfId="17822" xr:uid="{00000000-0005-0000-0000-00009E450000}"/>
    <cellStyle name="Normal 2 2 2 3 19 11" xfId="17823" xr:uid="{00000000-0005-0000-0000-00009F450000}"/>
    <cellStyle name="Normal 2 2 2 3 19 12" xfId="17824" xr:uid="{00000000-0005-0000-0000-0000A0450000}"/>
    <cellStyle name="Normal 2 2 2 3 19 13" xfId="17825" xr:uid="{00000000-0005-0000-0000-0000A1450000}"/>
    <cellStyle name="Normal 2 2 2 3 19 14" xfId="17826" xr:uid="{00000000-0005-0000-0000-0000A2450000}"/>
    <cellStyle name="Normal 2 2 2 3 19 2" xfId="17827" xr:uid="{00000000-0005-0000-0000-0000A3450000}"/>
    <cellStyle name="Normal 2 2 2 3 19 2 10" xfId="17828" xr:uid="{00000000-0005-0000-0000-0000A4450000}"/>
    <cellStyle name="Normal 2 2 2 3 19 2 2" xfId="17829" xr:uid="{00000000-0005-0000-0000-0000A5450000}"/>
    <cellStyle name="Normal 2 2 2 3 19 2 3" xfId="17830" xr:uid="{00000000-0005-0000-0000-0000A6450000}"/>
    <cellStyle name="Normal 2 2 2 3 19 2 4" xfId="17831" xr:uid="{00000000-0005-0000-0000-0000A7450000}"/>
    <cellStyle name="Normal 2 2 2 3 19 2 5" xfId="17832" xr:uid="{00000000-0005-0000-0000-0000A8450000}"/>
    <cellStyle name="Normal 2 2 2 3 19 2 6" xfId="17833" xr:uid="{00000000-0005-0000-0000-0000A9450000}"/>
    <cellStyle name="Normal 2 2 2 3 19 2 7" xfId="17834" xr:uid="{00000000-0005-0000-0000-0000AA450000}"/>
    <cellStyle name="Normal 2 2 2 3 19 2 8" xfId="17835" xr:uid="{00000000-0005-0000-0000-0000AB450000}"/>
    <cellStyle name="Normal 2 2 2 3 19 2 9" xfId="17836" xr:uid="{00000000-0005-0000-0000-0000AC450000}"/>
    <cellStyle name="Normal 2 2 2 3 19 3" xfId="17837" xr:uid="{00000000-0005-0000-0000-0000AD450000}"/>
    <cellStyle name="Normal 2 2 2 3 19 3 10" xfId="17838" xr:uid="{00000000-0005-0000-0000-0000AE450000}"/>
    <cellStyle name="Normal 2 2 2 3 19 3 2" xfId="17839" xr:uid="{00000000-0005-0000-0000-0000AF450000}"/>
    <cellStyle name="Normal 2 2 2 3 19 3 3" xfId="17840" xr:uid="{00000000-0005-0000-0000-0000B0450000}"/>
    <cellStyle name="Normal 2 2 2 3 19 3 4" xfId="17841" xr:uid="{00000000-0005-0000-0000-0000B1450000}"/>
    <cellStyle name="Normal 2 2 2 3 19 3 5" xfId="17842" xr:uid="{00000000-0005-0000-0000-0000B2450000}"/>
    <cellStyle name="Normal 2 2 2 3 19 3 6" xfId="17843" xr:uid="{00000000-0005-0000-0000-0000B3450000}"/>
    <cellStyle name="Normal 2 2 2 3 19 3 7" xfId="17844" xr:uid="{00000000-0005-0000-0000-0000B4450000}"/>
    <cellStyle name="Normal 2 2 2 3 19 3 8" xfId="17845" xr:uid="{00000000-0005-0000-0000-0000B5450000}"/>
    <cellStyle name="Normal 2 2 2 3 19 3 9" xfId="17846" xr:uid="{00000000-0005-0000-0000-0000B6450000}"/>
    <cellStyle name="Normal 2 2 2 3 19 4" xfId="17847" xr:uid="{00000000-0005-0000-0000-0000B7450000}"/>
    <cellStyle name="Normal 2 2 2 3 19 4 10" xfId="17848" xr:uid="{00000000-0005-0000-0000-0000B8450000}"/>
    <cellStyle name="Normal 2 2 2 3 19 4 2" xfId="17849" xr:uid="{00000000-0005-0000-0000-0000B9450000}"/>
    <cellStyle name="Normal 2 2 2 3 19 4 3" xfId="17850" xr:uid="{00000000-0005-0000-0000-0000BA450000}"/>
    <cellStyle name="Normal 2 2 2 3 19 4 4" xfId="17851" xr:uid="{00000000-0005-0000-0000-0000BB450000}"/>
    <cellStyle name="Normal 2 2 2 3 19 4 5" xfId="17852" xr:uid="{00000000-0005-0000-0000-0000BC450000}"/>
    <cellStyle name="Normal 2 2 2 3 19 4 6" xfId="17853" xr:uid="{00000000-0005-0000-0000-0000BD450000}"/>
    <cellStyle name="Normal 2 2 2 3 19 4 7" xfId="17854" xr:uid="{00000000-0005-0000-0000-0000BE450000}"/>
    <cellStyle name="Normal 2 2 2 3 19 4 8" xfId="17855" xr:uid="{00000000-0005-0000-0000-0000BF450000}"/>
    <cellStyle name="Normal 2 2 2 3 19 4 9" xfId="17856" xr:uid="{00000000-0005-0000-0000-0000C0450000}"/>
    <cellStyle name="Normal 2 2 2 3 19 5" xfId="17857" xr:uid="{00000000-0005-0000-0000-0000C1450000}"/>
    <cellStyle name="Normal 2 2 2 3 19 5 10" xfId="17858" xr:uid="{00000000-0005-0000-0000-0000C2450000}"/>
    <cellStyle name="Normal 2 2 2 3 19 5 2" xfId="17859" xr:uid="{00000000-0005-0000-0000-0000C3450000}"/>
    <cellStyle name="Normal 2 2 2 3 19 5 3" xfId="17860" xr:uid="{00000000-0005-0000-0000-0000C4450000}"/>
    <cellStyle name="Normal 2 2 2 3 19 5 4" xfId="17861" xr:uid="{00000000-0005-0000-0000-0000C5450000}"/>
    <cellStyle name="Normal 2 2 2 3 19 5 5" xfId="17862" xr:uid="{00000000-0005-0000-0000-0000C6450000}"/>
    <cellStyle name="Normal 2 2 2 3 19 5 6" xfId="17863" xr:uid="{00000000-0005-0000-0000-0000C7450000}"/>
    <cellStyle name="Normal 2 2 2 3 19 5 7" xfId="17864" xr:uid="{00000000-0005-0000-0000-0000C8450000}"/>
    <cellStyle name="Normal 2 2 2 3 19 5 8" xfId="17865" xr:uid="{00000000-0005-0000-0000-0000C9450000}"/>
    <cellStyle name="Normal 2 2 2 3 19 5 9" xfId="17866" xr:uid="{00000000-0005-0000-0000-0000CA450000}"/>
    <cellStyle name="Normal 2 2 2 3 19 6" xfId="17867" xr:uid="{00000000-0005-0000-0000-0000CB450000}"/>
    <cellStyle name="Normal 2 2 2 3 19 7" xfId="17868" xr:uid="{00000000-0005-0000-0000-0000CC450000}"/>
    <cellStyle name="Normal 2 2 2 3 19 8" xfId="17869" xr:uid="{00000000-0005-0000-0000-0000CD450000}"/>
    <cellStyle name="Normal 2 2 2 3 19 9" xfId="17870" xr:uid="{00000000-0005-0000-0000-0000CE450000}"/>
    <cellStyle name="Normal 2 2 2 3 2" xfId="17871" xr:uid="{00000000-0005-0000-0000-0000CF450000}"/>
    <cellStyle name="Normal 2 2 2 3 2 10" xfId="17872" xr:uid="{00000000-0005-0000-0000-0000D0450000}"/>
    <cellStyle name="Normal 2 2 2 3 2 11" xfId="17873" xr:uid="{00000000-0005-0000-0000-0000D1450000}"/>
    <cellStyle name="Normal 2 2 2 3 2 12" xfId="17874" xr:uid="{00000000-0005-0000-0000-0000D2450000}"/>
    <cellStyle name="Normal 2 2 2 3 2 13" xfId="17875" xr:uid="{00000000-0005-0000-0000-0000D3450000}"/>
    <cellStyle name="Normal 2 2 2 3 2 14" xfId="17876" xr:uid="{00000000-0005-0000-0000-0000D4450000}"/>
    <cellStyle name="Normal 2 2 2 3 2 15" xfId="17877" xr:uid="{00000000-0005-0000-0000-0000D5450000}"/>
    <cellStyle name="Normal 2 2 2 3 2 16" xfId="17878" xr:uid="{00000000-0005-0000-0000-0000D6450000}"/>
    <cellStyle name="Normal 2 2 2 3 2 17" xfId="17879" xr:uid="{00000000-0005-0000-0000-0000D7450000}"/>
    <cellStyle name="Normal 2 2 2 3 2 2" xfId="17880" xr:uid="{00000000-0005-0000-0000-0000D8450000}"/>
    <cellStyle name="Normal 2 2 2 3 2 2 10" xfId="17881" xr:uid="{00000000-0005-0000-0000-0000D9450000}"/>
    <cellStyle name="Normal 2 2 2 3 2 2 11" xfId="17882" xr:uid="{00000000-0005-0000-0000-0000DA450000}"/>
    <cellStyle name="Normal 2 2 2 3 2 2 12" xfId="17883" xr:uid="{00000000-0005-0000-0000-0000DB450000}"/>
    <cellStyle name="Normal 2 2 2 3 2 2 2" xfId="17884" xr:uid="{00000000-0005-0000-0000-0000DC450000}"/>
    <cellStyle name="Normal 2 2 2 3 2 2 2 2" xfId="17885" xr:uid="{00000000-0005-0000-0000-0000DD450000}"/>
    <cellStyle name="Normal 2 2 2 3 2 2 2 3" xfId="17886" xr:uid="{00000000-0005-0000-0000-0000DE450000}"/>
    <cellStyle name="Normal 2 2 2 3 2 2 3" xfId="17887" xr:uid="{00000000-0005-0000-0000-0000DF450000}"/>
    <cellStyle name="Normal 2 2 2 3 2 2 4" xfId="17888" xr:uid="{00000000-0005-0000-0000-0000E0450000}"/>
    <cellStyle name="Normal 2 2 2 3 2 2 5" xfId="17889" xr:uid="{00000000-0005-0000-0000-0000E1450000}"/>
    <cellStyle name="Normal 2 2 2 3 2 2 6" xfId="17890" xr:uid="{00000000-0005-0000-0000-0000E2450000}"/>
    <cellStyle name="Normal 2 2 2 3 2 2 7" xfId="17891" xr:uid="{00000000-0005-0000-0000-0000E3450000}"/>
    <cellStyle name="Normal 2 2 2 3 2 2 8" xfId="17892" xr:uid="{00000000-0005-0000-0000-0000E4450000}"/>
    <cellStyle name="Normal 2 2 2 3 2 2 9" xfId="17893" xr:uid="{00000000-0005-0000-0000-0000E5450000}"/>
    <cellStyle name="Normal 2 2 2 3 2 3" xfId="17894" xr:uid="{00000000-0005-0000-0000-0000E6450000}"/>
    <cellStyle name="Normal 2 2 2 3 2 3 10" xfId="17895" xr:uid="{00000000-0005-0000-0000-0000E7450000}"/>
    <cellStyle name="Normal 2 2 2 3 2 3 11" xfId="17896" xr:uid="{00000000-0005-0000-0000-0000E8450000}"/>
    <cellStyle name="Normal 2 2 2 3 2 3 12" xfId="17897" xr:uid="{00000000-0005-0000-0000-0000E9450000}"/>
    <cellStyle name="Normal 2 2 2 3 2 3 2" xfId="17898" xr:uid="{00000000-0005-0000-0000-0000EA450000}"/>
    <cellStyle name="Normal 2 2 2 3 2 3 3" xfId="17899" xr:uid="{00000000-0005-0000-0000-0000EB450000}"/>
    <cellStyle name="Normal 2 2 2 3 2 3 4" xfId="17900" xr:uid="{00000000-0005-0000-0000-0000EC450000}"/>
    <cellStyle name="Normal 2 2 2 3 2 3 5" xfId="17901" xr:uid="{00000000-0005-0000-0000-0000ED450000}"/>
    <cellStyle name="Normal 2 2 2 3 2 3 6" xfId="17902" xr:uid="{00000000-0005-0000-0000-0000EE450000}"/>
    <cellStyle name="Normal 2 2 2 3 2 3 7" xfId="17903" xr:uid="{00000000-0005-0000-0000-0000EF450000}"/>
    <cellStyle name="Normal 2 2 2 3 2 3 8" xfId="17904" xr:uid="{00000000-0005-0000-0000-0000F0450000}"/>
    <cellStyle name="Normal 2 2 2 3 2 3 9" xfId="17905" xr:uid="{00000000-0005-0000-0000-0000F1450000}"/>
    <cellStyle name="Normal 2 2 2 3 2 4" xfId="17906" xr:uid="{00000000-0005-0000-0000-0000F2450000}"/>
    <cellStyle name="Normal 2 2 2 3 2 4 10" xfId="17907" xr:uid="{00000000-0005-0000-0000-0000F3450000}"/>
    <cellStyle name="Normal 2 2 2 3 2 4 2" xfId="17908" xr:uid="{00000000-0005-0000-0000-0000F4450000}"/>
    <cellStyle name="Normal 2 2 2 3 2 4 3" xfId="17909" xr:uid="{00000000-0005-0000-0000-0000F5450000}"/>
    <cellStyle name="Normal 2 2 2 3 2 4 4" xfId="17910" xr:uid="{00000000-0005-0000-0000-0000F6450000}"/>
    <cellStyle name="Normal 2 2 2 3 2 4 5" xfId="17911" xr:uid="{00000000-0005-0000-0000-0000F7450000}"/>
    <cellStyle name="Normal 2 2 2 3 2 4 6" xfId="17912" xr:uid="{00000000-0005-0000-0000-0000F8450000}"/>
    <cellStyle name="Normal 2 2 2 3 2 4 7" xfId="17913" xr:uid="{00000000-0005-0000-0000-0000F9450000}"/>
    <cellStyle name="Normal 2 2 2 3 2 4 8" xfId="17914" xr:uid="{00000000-0005-0000-0000-0000FA450000}"/>
    <cellStyle name="Normal 2 2 2 3 2 4 9" xfId="17915" xr:uid="{00000000-0005-0000-0000-0000FB450000}"/>
    <cellStyle name="Normal 2 2 2 3 2 5" xfId="17916" xr:uid="{00000000-0005-0000-0000-0000FC450000}"/>
    <cellStyle name="Normal 2 2 2 3 2 5 10" xfId="17917" xr:uid="{00000000-0005-0000-0000-0000FD450000}"/>
    <cellStyle name="Normal 2 2 2 3 2 5 2" xfId="17918" xr:uid="{00000000-0005-0000-0000-0000FE450000}"/>
    <cellStyle name="Normal 2 2 2 3 2 5 3" xfId="17919" xr:uid="{00000000-0005-0000-0000-0000FF450000}"/>
    <cellStyle name="Normal 2 2 2 3 2 5 4" xfId="17920" xr:uid="{00000000-0005-0000-0000-000000460000}"/>
    <cellStyle name="Normal 2 2 2 3 2 5 5" xfId="17921" xr:uid="{00000000-0005-0000-0000-000001460000}"/>
    <cellStyle name="Normal 2 2 2 3 2 5 6" xfId="17922" xr:uid="{00000000-0005-0000-0000-000002460000}"/>
    <cellStyle name="Normal 2 2 2 3 2 5 7" xfId="17923" xr:uid="{00000000-0005-0000-0000-000003460000}"/>
    <cellStyle name="Normal 2 2 2 3 2 5 8" xfId="17924" xr:uid="{00000000-0005-0000-0000-000004460000}"/>
    <cellStyle name="Normal 2 2 2 3 2 5 9" xfId="17925" xr:uid="{00000000-0005-0000-0000-000005460000}"/>
    <cellStyle name="Normal 2 2 2 3 2 6" xfId="17926" xr:uid="{00000000-0005-0000-0000-000006460000}"/>
    <cellStyle name="Normal 2 2 2 3 2 7" xfId="17927" xr:uid="{00000000-0005-0000-0000-000007460000}"/>
    <cellStyle name="Normal 2 2 2 3 2 8" xfId="17928" xr:uid="{00000000-0005-0000-0000-000008460000}"/>
    <cellStyle name="Normal 2 2 2 3 2 9" xfId="17929" xr:uid="{00000000-0005-0000-0000-000009460000}"/>
    <cellStyle name="Normal 2 2 2 3 20" xfId="17930" xr:uid="{00000000-0005-0000-0000-00000A460000}"/>
    <cellStyle name="Normal 2 2 2 3 20 10" xfId="17931" xr:uid="{00000000-0005-0000-0000-00000B460000}"/>
    <cellStyle name="Normal 2 2 2 3 20 11" xfId="17932" xr:uid="{00000000-0005-0000-0000-00000C460000}"/>
    <cellStyle name="Normal 2 2 2 3 20 12" xfId="17933" xr:uid="{00000000-0005-0000-0000-00000D460000}"/>
    <cellStyle name="Normal 2 2 2 3 20 13" xfId="17934" xr:uid="{00000000-0005-0000-0000-00000E460000}"/>
    <cellStyle name="Normal 2 2 2 3 20 14" xfId="17935" xr:uid="{00000000-0005-0000-0000-00000F460000}"/>
    <cellStyle name="Normal 2 2 2 3 20 2" xfId="17936" xr:uid="{00000000-0005-0000-0000-000010460000}"/>
    <cellStyle name="Normal 2 2 2 3 20 2 10" xfId="17937" xr:uid="{00000000-0005-0000-0000-000011460000}"/>
    <cellStyle name="Normal 2 2 2 3 20 2 2" xfId="17938" xr:uid="{00000000-0005-0000-0000-000012460000}"/>
    <cellStyle name="Normal 2 2 2 3 20 2 3" xfId="17939" xr:uid="{00000000-0005-0000-0000-000013460000}"/>
    <cellStyle name="Normal 2 2 2 3 20 2 4" xfId="17940" xr:uid="{00000000-0005-0000-0000-000014460000}"/>
    <cellStyle name="Normal 2 2 2 3 20 2 5" xfId="17941" xr:uid="{00000000-0005-0000-0000-000015460000}"/>
    <cellStyle name="Normal 2 2 2 3 20 2 6" xfId="17942" xr:uid="{00000000-0005-0000-0000-000016460000}"/>
    <cellStyle name="Normal 2 2 2 3 20 2 7" xfId="17943" xr:uid="{00000000-0005-0000-0000-000017460000}"/>
    <cellStyle name="Normal 2 2 2 3 20 2 8" xfId="17944" xr:uid="{00000000-0005-0000-0000-000018460000}"/>
    <cellStyle name="Normal 2 2 2 3 20 2 9" xfId="17945" xr:uid="{00000000-0005-0000-0000-000019460000}"/>
    <cellStyle name="Normal 2 2 2 3 20 3" xfId="17946" xr:uid="{00000000-0005-0000-0000-00001A460000}"/>
    <cellStyle name="Normal 2 2 2 3 20 3 10" xfId="17947" xr:uid="{00000000-0005-0000-0000-00001B460000}"/>
    <cellStyle name="Normal 2 2 2 3 20 3 2" xfId="17948" xr:uid="{00000000-0005-0000-0000-00001C460000}"/>
    <cellStyle name="Normal 2 2 2 3 20 3 3" xfId="17949" xr:uid="{00000000-0005-0000-0000-00001D460000}"/>
    <cellStyle name="Normal 2 2 2 3 20 3 4" xfId="17950" xr:uid="{00000000-0005-0000-0000-00001E460000}"/>
    <cellStyle name="Normal 2 2 2 3 20 3 5" xfId="17951" xr:uid="{00000000-0005-0000-0000-00001F460000}"/>
    <cellStyle name="Normal 2 2 2 3 20 3 6" xfId="17952" xr:uid="{00000000-0005-0000-0000-000020460000}"/>
    <cellStyle name="Normal 2 2 2 3 20 3 7" xfId="17953" xr:uid="{00000000-0005-0000-0000-000021460000}"/>
    <cellStyle name="Normal 2 2 2 3 20 3 8" xfId="17954" xr:uid="{00000000-0005-0000-0000-000022460000}"/>
    <cellStyle name="Normal 2 2 2 3 20 3 9" xfId="17955" xr:uid="{00000000-0005-0000-0000-000023460000}"/>
    <cellStyle name="Normal 2 2 2 3 20 4" xfId="17956" xr:uid="{00000000-0005-0000-0000-000024460000}"/>
    <cellStyle name="Normal 2 2 2 3 20 4 10" xfId="17957" xr:uid="{00000000-0005-0000-0000-000025460000}"/>
    <cellStyle name="Normal 2 2 2 3 20 4 2" xfId="17958" xr:uid="{00000000-0005-0000-0000-000026460000}"/>
    <cellStyle name="Normal 2 2 2 3 20 4 3" xfId="17959" xr:uid="{00000000-0005-0000-0000-000027460000}"/>
    <cellStyle name="Normal 2 2 2 3 20 4 4" xfId="17960" xr:uid="{00000000-0005-0000-0000-000028460000}"/>
    <cellStyle name="Normal 2 2 2 3 20 4 5" xfId="17961" xr:uid="{00000000-0005-0000-0000-000029460000}"/>
    <cellStyle name="Normal 2 2 2 3 20 4 6" xfId="17962" xr:uid="{00000000-0005-0000-0000-00002A460000}"/>
    <cellStyle name="Normal 2 2 2 3 20 4 7" xfId="17963" xr:uid="{00000000-0005-0000-0000-00002B460000}"/>
    <cellStyle name="Normal 2 2 2 3 20 4 8" xfId="17964" xr:uid="{00000000-0005-0000-0000-00002C460000}"/>
    <cellStyle name="Normal 2 2 2 3 20 4 9" xfId="17965" xr:uid="{00000000-0005-0000-0000-00002D460000}"/>
    <cellStyle name="Normal 2 2 2 3 20 5" xfId="17966" xr:uid="{00000000-0005-0000-0000-00002E460000}"/>
    <cellStyle name="Normal 2 2 2 3 20 5 10" xfId="17967" xr:uid="{00000000-0005-0000-0000-00002F460000}"/>
    <cellStyle name="Normal 2 2 2 3 20 5 2" xfId="17968" xr:uid="{00000000-0005-0000-0000-000030460000}"/>
    <cellStyle name="Normal 2 2 2 3 20 5 3" xfId="17969" xr:uid="{00000000-0005-0000-0000-000031460000}"/>
    <cellStyle name="Normal 2 2 2 3 20 5 4" xfId="17970" xr:uid="{00000000-0005-0000-0000-000032460000}"/>
    <cellStyle name="Normal 2 2 2 3 20 5 5" xfId="17971" xr:uid="{00000000-0005-0000-0000-000033460000}"/>
    <cellStyle name="Normal 2 2 2 3 20 5 6" xfId="17972" xr:uid="{00000000-0005-0000-0000-000034460000}"/>
    <cellStyle name="Normal 2 2 2 3 20 5 7" xfId="17973" xr:uid="{00000000-0005-0000-0000-000035460000}"/>
    <cellStyle name="Normal 2 2 2 3 20 5 8" xfId="17974" xr:uid="{00000000-0005-0000-0000-000036460000}"/>
    <cellStyle name="Normal 2 2 2 3 20 5 9" xfId="17975" xr:uid="{00000000-0005-0000-0000-000037460000}"/>
    <cellStyle name="Normal 2 2 2 3 20 6" xfId="17976" xr:uid="{00000000-0005-0000-0000-000038460000}"/>
    <cellStyle name="Normal 2 2 2 3 20 7" xfId="17977" xr:uid="{00000000-0005-0000-0000-000039460000}"/>
    <cellStyle name="Normal 2 2 2 3 20 8" xfId="17978" xr:uid="{00000000-0005-0000-0000-00003A460000}"/>
    <cellStyle name="Normal 2 2 2 3 20 9" xfId="17979" xr:uid="{00000000-0005-0000-0000-00003B460000}"/>
    <cellStyle name="Normal 2 2 2 3 21" xfId="17980" xr:uid="{00000000-0005-0000-0000-00003C460000}"/>
    <cellStyle name="Normal 2 2 2 3 21 10" xfId="17981" xr:uid="{00000000-0005-0000-0000-00003D460000}"/>
    <cellStyle name="Normal 2 2 2 3 21 11" xfId="17982" xr:uid="{00000000-0005-0000-0000-00003E460000}"/>
    <cellStyle name="Normal 2 2 2 3 21 12" xfId="17983" xr:uid="{00000000-0005-0000-0000-00003F460000}"/>
    <cellStyle name="Normal 2 2 2 3 21 13" xfId="17984" xr:uid="{00000000-0005-0000-0000-000040460000}"/>
    <cellStyle name="Normal 2 2 2 3 21 14" xfId="17985" xr:uid="{00000000-0005-0000-0000-000041460000}"/>
    <cellStyle name="Normal 2 2 2 3 21 2" xfId="17986" xr:uid="{00000000-0005-0000-0000-000042460000}"/>
    <cellStyle name="Normal 2 2 2 3 21 2 10" xfId="17987" xr:uid="{00000000-0005-0000-0000-000043460000}"/>
    <cellStyle name="Normal 2 2 2 3 21 2 2" xfId="17988" xr:uid="{00000000-0005-0000-0000-000044460000}"/>
    <cellStyle name="Normal 2 2 2 3 21 2 3" xfId="17989" xr:uid="{00000000-0005-0000-0000-000045460000}"/>
    <cellStyle name="Normal 2 2 2 3 21 2 4" xfId="17990" xr:uid="{00000000-0005-0000-0000-000046460000}"/>
    <cellStyle name="Normal 2 2 2 3 21 2 5" xfId="17991" xr:uid="{00000000-0005-0000-0000-000047460000}"/>
    <cellStyle name="Normal 2 2 2 3 21 2 6" xfId="17992" xr:uid="{00000000-0005-0000-0000-000048460000}"/>
    <cellStyle name="Normal 2 2 2 3 21 2 7" xfId="17993" xr:uid="{00000000-0005-0000-0000-000049460000}"/>
    <cellStyle name="Normal 2 2 2 3 21 2 8" xfId="17994" xr:uid="{00000000-0005-0000-0000-00004A460000}"/>
    <cellStyle name="Normal 2 2 2 3 21 2 9" xfId="17995" xr:uid="{00000000-0005-0000-0000-00004B460000}"/>
    <cellStyle name="Normal 2 2 2 3 21 3" xfId="17996" xr:uid="{00000000-0005-0000-0000-00004C460000}"/>
    <cellStyle name="Normal 2 2 2 3 21 3 10" xfId="17997" xr:uid="{00000000-0005-0000-0000-00004D460000}"/>
    <cellStyle name="Normal 2 2 2 3 21 3 2" xfId="17998" xr:uid="{00000000-0005-0000-0000-00004E460000}"/>
    <cellStyle name="Normal 2 2 2 3 21 3 3" xfId="17999" xr:uid="{00000000-0005-0000-0000-00004F460000}"/>
    <cellStyle name="Normal 2 2 2 3 21 3 4" xfId="18000" xr:uid="{00000000-0005-0000-0000-000050460000}"/>
    <cellStyle name="Normal 2 2 2 3 21 3 5" xfId="18001" xr:uid="{00000000-0005-0000-0000-000051460000}"/>
    <cellStyle name="Normal 2 2 2 3 21 3 6" xfId="18002" xr:uid="{00000000-0005-0000-0000-000052460000}"/>
    <cellStyle name="Normal 2 2 2 3 21 3 7" xfId="18003" xr:uid="{00000000-0005-0000-0000-000053460000}"/>
    <cellStyle name="Normal 2 2 2 3 21 3 8" xfId="18004" xr:uid="{00000000-0005-0000-0000-000054460000}"/>
    <cellStyle name="Normal 2 2 2 3 21 3 9" xfId="18005" xr:uid="{00000000-0005-0000-0000-000055460000}"/>
    <cellStyle name="Normal 2 2 2 3 21 4" xfId="18006" xr:uid="{00000000-0005-0000-0000-000056460000}"/>
    <cellStyle name="Normal 2 2 2 3 21 4 10" xfId="18007" xr:uid="{00000000-0005-0000-0000-000057460000}"/>
    <cellStyle name="Normal 2 2 2 3 21 4 2" xfId="18008" xr:uid="{00000000-0005-0000-0000-000058460000}"/>
    <cellStyle name="Normal 2 2 2 3 21 4 3" xfId="18009" xr:uid="{00000000-0005-0000-0000-000059460000}"/>
    <cellStyle name="Normal 2 2 2 3 21 4 4" xfId="18010" xr:uid="{00000000-0005-0000-0000-00005A460000}"/>
    <cellStyle name="Normal 2 2 2 3 21 4 5" xfId="18011" xr:uid="{00000000-0005-0000-0000-00005B460000}"/>
    <cellStyle name="Normal 2 2 2 3 21 4 6" xfId="18012" xr:uid="{00000000-0005-0000-0000-00005C460000}"/>
    <cellStyle name="Normal 2 2 2 3 21 4 7" xfId="18013" xr:uid="{00000000-0005-0000-0000-00005D460000}"/>
    <cellStyle name="Normal 2 2 2 3 21 4 8" xfId="18014" xr:uid="{00000000-0005-0000-0000-00005E460000}"/>
    <cellStyle name="Normal 2 2 2 3 21 4 9" xfId="18015" xr:uid="{00000000-0005-0000-0000-00005F460000}"/>
    <cellStyle name="Normal 2 2 2 3 21 5" xfId="18016" xr:uid="{00000000-0005-0000-0000-000060460000}"/>
    <cellStyle name="Normal 2 2 2 3 21 5 10" xfId="18017" xr:uid="{00000000-0005-0000-0000-000061460000}"/>
    <cellStyle name="Normal 2 2 2 3 21 5 2" xfId="18018" xr:uid="{00000000-0005-0000-0000-000062460000}"/>
    <cellStyle name="Normal 2 2 2 3 21 5 3" xfId="18019" xr:uid="{00000000-0005-0000-0000-000063460000}"/>
    <cellStyle name="Normal 2 2 2 3 21 5 4" xfId="18020" xr:uid="{00000000-0005-0000-0000-000064460000}"/>
    <cellStyle name="Normal 2 2 2 3 21 5 5" xfId="18021" xr:uid="{00000000-0005-0000-0000-000065460000}"/>
    <cellStyle name="Normal 2 2 2 3 21 5 6" xfId="18022" xr:uid="{00000000-0005-0000-0000-000066460000}"/>
    <cellStyle name="Normal 2 2 2 3 21 5 7" xfId="18023" xr:uid="{00000000-0005-0000-0000-000067460000}"/>
    <cellStyle name="Normal 2 2 2 3 21 5 8" xfId="18024" xr:uid="{00000000-0005-0000-0000-000068460000}"/>
    <cellStyle name="Normal 2 2 2 3 21 5 9" xfId="18025" xr:uid="{00000000-0005-0000-0000-000069460000}"/>
    <cellStyle name="Normal 2 2 2 3 21 6" xfId="18026" xr:uid="{00000000-0005-0000-0000-00006A460000}"/>
    <cellStyle name="Normal 2 2 2 3 21 7" xfId="18027" xr:uid="{00000000-0005-0000-0000-00006B460000}"/>
    <cellStyle name="Normal 2 2 2 3 21 8" xfId="18028" xr:uid="{00000000-0005-0000-0000-00006C460000}"/>
    <cellStyle name="Normal 2 2 2 3 21 9" xfId="18029" xr:uid="{00000000-0005-0000-0000-00006D460000}"/>
    <cellStyle name="Normal 2 2 2 3 22" xfId="18030" xr:uid="{00000000-0005-0000-0000-00006E460000}"/>
    <cellStyle name="Normal 2 2 2 3 22 10" xfId="18031" xr:uid="{00000000-0005-0000-0000-00006F460000}"/>
    <cellStyle name="Normal 2 2 2 3 22 11" xfId="18032" xr:uid="{00000000-0005-0000-0000-000070460000}"/>
    <cellStyle name="Normal 2 2 2 3 22 12" xfId="18033" xr:uid="{00000000-0005-0000-0000-000071460000}"/>
    <cellStyle name="Normal 2 2 2 3 22 13" xfId="18034" xr:uid="{00000000-0005-0000-0000-000072460000}"/>
    <cellStyle name="Normal 2 2 2 3 22 14" xfId="18035" xr:uid="{00000000-0005-0000-0000-000073460000}"/>
    <cellStyle name="Normal 2 2 2 3 22 2" xfId="18036" xr:uid="{00000000-0005-0000-0000-000074460000}"/>
    <cellStyle name="Normal 2 2 2 3 22 2 10" xfId="18037" xr:uid="{00000000-0005-0000-0000-000075460000}"/>
    <cellStyle name="Normal 2 2 2 3 22 2 2" xfId="18038" xr:uid="{00000000-0005-0000-0000-000076460000}"/>
    <cellStyle name="Normal 2 2 2 3 22 2 3" xfId="18039" xr:uid="{00000000-0005-0000-0000-000077460000}"/>
    <cellStyle name="Normal 2 2 2 3 22 2 4" xfId="18040" xr:uid="{00000000-0005-0000-0000-000078460000}"/>
    <cellStyle name="Normal 2 2 2 3 22 2 5" xfId="18041" xr:uid="{00000000-0005-0000-0000-000079460000}"/>
    <cellStyle name="Normal 2 2 2 3 22 2 6" xfId="18042" xr:uid="{00000000-0005-0000-0000-00007A460000}"/>
    <cellStyle name="Normal 2 2 2 3 22 2 7" xfId="18043" xr:uid="{00000000-0005-0000-0000-00007B460000}"/>
    <cellStyle name="Normal 2 2 2 3 22 2 8" xfId="18044" xr:uid="{00000000-0005-0000-0000-00007C460000}"/>
    <cellStyle name="Normal 2 2 2 3 22 2 9" xfId="18045" xr:uid="{00000000-0005-0000-0000-00007D460000}"/>
    <cellStyle name="Normal 2 2 2 3 22 3" xfId="18046" xr:uid="{00000000-0005-0000-0000-00007E460000}"/>
    <cellStyle name="Normal 2 2 2 3 22 3 10" xfId="18047" xr:uid="{00000000-0005-0000-0000-00007F460000}"/>
    <cellStyle name="Normal 2 2 2 3 22 3 2" xfId="18048" xr:uid="{00000000-0005-0000-0000-000080460000}"/>
    <cellStyle name="Normal 2 2 2 3 22 3 3" xfId="18049" xr:uid="{00000000-0005-0000-0000-000081460000}"/>
    <cellStyle name="Normal 2 2 2 3 22 3 4" xfId="18050" xr:uid="{00000000-0005-0000-0000-000082460000}"/>
    <cellStyle name="Normal 2 2 2 3 22 3 5" xfId="18051" xr:uid="{00000000-0005-0000-0000-000083460000}"/>
    <cellStyle name="Normal 2 2 2 3 22 3 6" xfId="18052" xr:uid="{00000000-0005-0000-0000-000084460000}"/>
    <cellStyle name="Normal 2 2 2 3 22 3 7" xfId="18053" xr:uid="{00000000-0005-0000-0000-000085460000}"/>
    <cellStyle name="Normal 2 2 2 3 22 3 8" xfId="18054" xr:uid="{00000000-0005-0000-0000-000086460000}"/>
    <cellStyle name="Normal 2 2 2 3 22 3 9" xfId="18055" xr:uid="{00000000-0005-0000-0000-000087460000}"/>
    <cellStyle name="Normal 2 2 2 3 22 4" xfId="18056" xr:uid="{00000000-0005-0000-0000-000088460000}"/>
    <cellStyle name="Normal 2 2 2 3 22 4 10" xfId="18057" xr:uid="{00000000-0005-0000-0000-000089460000}"/>
    <cellStyle name="Normal 2 2 2 3 22 4 2" xfId="18058" xr:uid="{00000000-0005-0000-0000-00008A460000}"/>
    <cellStyle name="Normal 2 2 2 3 22 4 3" xfId="18059" xr:uid="{00000000-0005-0000-0000-00008B460000}"/>
    <cellStyle name="Normal 2 2 2 3 22 4 4" xfId="18060" xr:uid="{00000000-0005-0000-0000-00008C460000}"/>
    <cellStyle name="Normal 2 2 2 3 22 4 5" xfId="18061" xr:uid="{00000000-0005-0000-0000-00008D460000}"/>
    <cellStyle name="Normal 2 2 2 3 22 4 6" xfId="18062" xr:uid="{00000000-0005-0000-0000-00008E460000}"/>
    <cellStyle name="Normal 2 2 2 3 22 4 7" xfId="18063" xr:uid="{00000000-0005-0000-0000-00008F460000}"/>
    <cellStyle name="Normal 2 2 2 3 22 4 8" xfId="18064" xr:uid="{00000000-0005-0000-0000-000090460000}"/>
    <cellStyle name="Normal 2 2 2 3 22 4 9" xfId="18065" xr:uid="{00000000-0005-0000-0000-000091460000}"/>
    <cellStyle name="Normal 2 2 2 3 22 5" xfId="18066" xr:uid="{00000000-0005-0000-0000-000092460000}"/>
    <cellStyle name="Normal 2 2 2 3 22 5 10" xfId="18067" xr:uid="{00000000-0005-0000-0000-000093460000}"/>
    <cellStyle name="Normal 2 2 2 3 22 5 2" xfId="18068" xr:uid="{00000000-0005-0000-0000-000094460000}"/>
    <cellStyle name="Normal 2 2 2 3 22 5 3" xfId="18069" xr:uid="{00000000-0005-0000-0000-000095460000}"/>
    <cellStyle name="Normal 2 2 2 3 22 5 4" xfId="18070" xr:uid="{00000000-0005-0000-0000-000096460000}"/>
    <cellStyle name="Normal 2 2 2 3 22 5 5" xfId="18071" xr:uid="{00000000-0005-0000-0000-000097460000}"/>
    <cellStyle name="Normal 2 2 2 3 22 5 6" xfId="18072" xr:uid="{00000000-0005-0000-0000-000098460000}"/>
    <cellStyle name="Normal 2 2 2 3 22 5 7" xfId="18073" xr:uid="{00000000-0005-0000-0000-000099460000}"/>
    <cellStyle name="Normal 2 2 2 3 22 5 8" xfId="18074" xr:uid="{00000000-0005-0000-0000-00009A460000}"/>
    <cellStyle name="Normal 2 2 2 3 22 5 9" xfId="18075" xr:uid="{00000000-0005-0000-0000-00009B460000}"/>
    <cellStyle name="Normal 2 2 2 3 22 6" xfId="18076" xr:uid="{00000000-0005-0000-0000-00009C460000}"/>
    <cellStyle name="Normal 2 2 2 3 22 7" xfId="18077" xr:uid="{00000000-0005-0000-0000-00009D460000}"/>
    <cellStyle name="Normal 2 2 2 3 22 8" xfId="18078" xr:uid="{00000000-0005-0000-0000-00009E460000}"/>
    <cellStyle name="Normal 2 2 2 3 22 9" xfId="18079" xr:uid="{00000000-0005-0000-0000-00009F460000}"/>
    <cellStyle name="Normal 2 2 2 3 23" xfId="18080" xr:uid="{00000000-0005-0000-0000-0000A0460000}"/>
    <cellStyle name="Normal 2 2 2 3 23 10" xfId="18081" xr:uid="{00000000-0005-0000-0000-0000A1460000}"/>
    <cellStyle name="Normal 2 2 2 3 23 11" xfId="18082" xr:uid="{00000000-0005-0000-0000-0000A2460000}"/>
    <cellStyle name="Normal 2 2 2 3 23 12" xfId="18083" xr:uid="{00000000-0005-0000-0000-0000A3460000}"/>
    <cellStyle name="Normal 2 2 2 3 23 13" xfId="18084" xr:uid="{00000000-0005-0000-0000-0000A4460000}"/>
    <cellStyle name="Normal 2 2 2 3 23 14" xfId="18085" xr:uid="{00000000-0005-0000-0000-0000A5460000}"/>
    <cellStyle name="Normal 2 2 2 3 23 2" xfId="18086" xr:uid="{00000000-0005-0000-0000-0000A6460000}"/>
    <cellStyle name="Normal 2 2 2 3 23 2 10" xfId="18087" xr:uid="{00000000-0005-0000-0000-0000A7460000}"/>
    <cellStyle name="Normal 2 2 2 3 23 2 2" xfId="18088" xr:uid="{00000000-0005-0000-0000-0000A8460000}"/>
    <cellStyle name="Normal 2 2 2 3 23 2 3" xfId="18089" xr:uid="{00000000-0005-0000-0000-0000A9460000}"/>
    <cellStyle name="Normal 2 2 2 3 23 2 4" xfId="18090" xr:uid="{00000000-0005-0000-0000-0000AA460000}"/>
    <cellStyle name="Normal 2 2 2 3 23 2 5" xfId="18091" xr:uid="{00000000-0005-0000-0000-0000AB460000}"/>
    <cellStyle name="Normal 2 2 2 3 23 2 6" xfId="18092" xr:uid="{00000000-0005-0000-0000-0000AC460000}"/>
    <cellStyle name="Normal 2 2 2 3 23 2 7" xfId="18093" xr:uid="{00000000-0005-0000-0000-0000AD460000}"/>
    <cellStyle name="Normal 2 2 2 3 23 2 8" xfId="18094" xr:uid="{00000000-0005-0000-0000-0000AE460000}"/>
    <cellStyle name="Normal 2 2 2 3 23 2 9" xfId="18095" xr:uid="{00000000-0005-0000-0000-0000AF460000}"/>
    <cellStyle name="Normal 2 2 2 3 23 3" xfId="18096" xr:uid="{00000000-0005-0000-0000-0000B0460000}"/>
    <cellStyle name="Normal 2 2 2 3 23 3 10" xfId="18097" xr:uid="{00000000-0005-0000-0000-0000B1460000}"/>
    <cellStyle name="Normal 2 2 2 3 23 3 2" xfId="18098" xr:uid="{00000000-0005-0000-0000-0000B2460000}"/>
    <cellStyle name="Normal 2 2 2 3 23 3 3" xfId="18099" xr:uid="{00000000-0005-0000-0000-0000B3460000}"/>
    <cellStyle name="Normal 2 2 2 3 23 3 4" xfId="18100" xr:uid="{00000000-0005-0000-0000-0000B4460000}"/>
    <cellStyle name="Normal 2 2 2 3 23 3 5" xfId="18101" xr:uid="{00000000-0005-0000-0000-0000B5460000}"/>
    <cellStyle name="Normal 2 2 2 3 23 3 6" xfId="18102" xr:uid="{00000000-0005-0000-0000-0000B6460000}"/>
    <cellStyle name="Normal 2 2 2 3 23 3 7" xfId="18103" xr:uid="{00000000-0005-0000-0000-0000B7460000}"/>
    <cellStyle name="Normal 2 2 2 3 23 3 8" xfId="18104" xr:uid="{00000000-0005-0000-0000-0000B8460000}"/>
    <cellStyle name="Normal 2 2 2 3 23 3 9" xfId="18105" xr:uid="{00000000-0005-0000-0000-0000B9460000}"/>
    <cellStyle name="Normal 2 2 2 3 23 4" xfId="18106" xr:uid="{00000000-0005-0000-0000-0000BA460000}"/>
    <cellStyle name="Normal 2 2 2 3 23 4 10" xfId="18107" xr:uid="{00000000-0005-0000-0000-0000BB460000}"/>
    <cellStyle name="Normal 2 2 2 3 23 4 2" xfId="18108" xr:uid="{00000000-0005-0000-0000-0000BC460000}"/>
    <cellStyle name="Normal 2 2 2 3 23 4 3" xfId="18109" xr:uid="{00000000-0005-0000-0000-0000BD460000}"/>
    <cellStyle name="Normal 2 2 2 3 23 4 4" xfId="18110" xr:uid="{00000000-0005-0000-0000-0000BE460000}"/>
    <cellStyle name="Normal 2 2 2 3 23 4 5" xfId="18111" xr:uid="{00000000-0005-0000-0000-0000BF460000}"/>
    <cellStyle name="Normal 2 2 2 3 23 4 6" xfId="18112" xr:uid="{00000000-0005-0000-0000-0000C0460000}"/>
    <cellStyle name="Normal 2 2 2 3 23 4 7" xfId="18113" xr:uid="{00000000-0005-0000-0000-0000C1460000}"/>
    <cellStyle name="Normal 2 2 2 3 23 4 8" xfId="18114" xr:uid="{00000000-0005-0000-0000-0000C2460000}"/>
    <cellStyle name="Normal 2 2 2 3 23 4 9" xfId="18115" xr:uid="{00000000-0005-0000-0000-0000C3460000}"/>
    <cellStyle name="Normal 2 2 2 3 23 5" xfId="18116" xr:uid="{00000000-0005-0000-0000-0000C4460000}"/>
    <cellStyle name="Normal 2 2 2 3 23 5 10" xfId="18117" xr:uid="{00000000-0005-0000-0000-0000C5460000}"/>
    <cellStyle name="Normal 2 2 2 3 23 5 2" xfId="18118" xr:uid="{00000000-0005-0000-0000-0000C6460000}"/>
    <cellStyle name="Normal 2 2 2 3 23 5 3" xfId="18119" xr:uid="{00000000-0005-0000-0000-0000C7460000}"/>
    <cellStyle name="Normal 2 2 2 3 23 5 4" xfId="18120" xr:uid="{00000000-0005-0000-0000-0000C8460000}"/>
    <cellStyle name="Normal 2 2 2 3 23 5 5" xfId="18121" xr:uid="{00000000-0005-0000-0000-0000C9460000}"/>
    <cellStyle name="Normal 2 2 2 3 23 5 6" xfId="18122" xr:uid="{00000000-0005-0000-0000-0000CA460000}"/>
    <cellStyle name="Normal 2 2 2 3 23 5 7" xfId="18123" xr:uid="{00000000-0005-0000-0000-0000CB460000}"/>
    <cellStyle name="Normal 2 2 2 3 23 5 8" xfId="18124" xr:uid="{00000000-0005-0000-0000-0000CC460000}"/>
    <cellStyle name="Normal 2 2 2 3 23 5 9" xfId="18125" xr:uid="{00000000-0005-0000-0000-0000CD460000}"/>
    <cellStyle name="Normal 2 2 2 3 23 6" xfId="18126" xr:uid="{00000000-0005-0000-0000-0000CE460000}"/>
    <cellStyle name="Normal 2 2 2 3 23 7" xfId="18127" xr:uid="{00000000-0005-0000-0000-0000CF460000}"/>
    <cellStyle name="Normal 2 2 2 3 23 8" xfId="18128" xr:uid="{00000000-0005-0000-0000-0000D0460000}"/>
    <cellStyle name="Normal 2 2 2 3 23 9" xfId="18129" xr:uid="{00000000-0005-0000-0000-0000D1460000}"/>
    <cellStyle name="Normal 2 2 2 3 24" xfId="18130" xr:uid="{00000000-0005-0000-0000-0000D2460000}"/>
    <cellStyle name="Normal 2 2 2 3 24 10" xfId="18131" xr:uid="{00000000-0005-0000-0000-0000D3460000}"/>
    <cellStyle name="Normal 2 2 2 3 24 11" xfId="18132" xr:uid="{00000000-0005-0000-0000-0000D4460000}"/>
    <cellStyle name="Normal 2 2 2 3 24 12" xfId="18133" xr:uid="{00000000-0005-0000-0000-0000D5460000}"/>
    <cellStyle name="Normal 2 2 2 3 24 13" xfId="18134" xr:uid="{00000000-0005-0000-0000-0000D6460000}"/>
    <cellStyle name="Normal 2 2 2 3 24 14" xfId="18135" xr:uid="{00000000-0005-0000-0000-0000D7460000}"/>
    <cellStyle name="Normal 2 2 2 3 24 2" xfId="18136" xr:uid="{00000000-0005-0000-0000-0000D8460000}"/>
    <cellStyle name="Normal 2 2 2 3 24 2 10" xfId="18137" xr:uid="{00000000-0005-0000-0000-0000D9460000}"/>
    <cellStyle name="Normal 2 2 2 3 24 2 2" xfId="18138" xr:uid="{00000000-0005-0000-0000-0000DA460000}"/>
    <cellStyle name="Normal 2 2 2 3 24 2 3" xfId="18139" xr:uid="{00000000-0005-0000-0000-0000DB460000}"/>
    <cellStyle name="Normal 2 2 2 3 24 2 4" xfId="18140" xr:uid="{00000000-0005-0000-0000-0000DC460000}"/>
    <cellStyle name="Normal 2 2 2 3 24 2 5" xfId="18141" xr:uid="{00000000-0005-0000-0000-0000DD460000}"/>
    <cellStyle name="Normal 2 2 2 3 24 2 6" xfId="18142" xr:uid="{00000000-0005-0000-0000-0000DE460000}"/>
    <cellStyle name="Normal 2 2 2 3 24 2 7" xfId="18143" xr:uid="{00000000-0005-0000-0000-0000DF460000}"/>
    <cellStyle name="Normal 2 2 2 3 24 2 8" xfId="18144" xr:uid="{00000000-0005-0000-0000-0000E0460000}"/>
    <cellStyle name="Normal 2 2 2 3 24 2 9" xfId="18145" xr:uid="{00000000-0005-0000-0000-0000E1460000}"/>
    <cellStyle name="Normal 2 2 2 3 24 3" xfId="18146" xr:uid="{00000000-0005-0000-0000-0000E2460000}"/>
    <cellStyle name="Normal 2 2 2 3 24 3 10" xfId="18147" xr:uid="{00000000-0005-0000-0000-0000E3460000}"/>
    <cellStyle name="Normal 2 2 2 3 24 3 2" xfId="18148" xr:uid="{00000000-0005-0000-0000-0000E4460000}"/>
    <cellStyle name="Normal 2 2 2 3 24 3 3" xfId="18149" xr:uid="{00000000-0005-0000-0000-0000E5460000}"/>
    <cellStyle name="Normal 2 2 2 3 24 3 4" xfId="18150" xr:uid="{00000000-0005-0000-0000-0000E6460000}"/>
    <cellStyle name="Normal 2 2 2 3 24 3 5" xfId="18151" xr:uid="{00000000-0005-0000-0000-0000E7460000}"/>
    <cellStyle name="Normal 2 2 2 3 24 3 6" xfId="18152" xr:uid="{00000000-0005-0000-0000-0000E8460000}"/>
    <cellStyle name="Normal 2 2 2 3 24 3 7" xfId="18153" xr:uid="{00000000-0005-0000-0000-0000E9460000}"/>
    <cellStyle name="Normal 2 2 2 3 24 3 8" xfId="18154" xr:uid="{00000000-0005-0000-0000-0000EA460000}"/>
    <cellStyle name="Normal 2 2 2 3 24 3 9" xfId="18155" xr:uid="{00000000-0005-0000-0000-0000EB460000}"/>
    <cellStyle name="Normal 2 2 2 3 24 4" xfId="18156" xr:uid="{00000000-0005-0000-0000-0000EC460000}"/>
    <cellStyle name="Normal 2 2 2 3 24 4 10" xfId="18157" xr:uid="{00000000-0005-0000-0000-0000ED460000}"/>
    <cellStyle name="Normal 2 2 2 3 24 4 2" xfId="18158" xr:uid="{00000000-0005-0000-0000-0000EE460000}"/>
    <cellStyle name="Normal 2 2 2 3 24 4 3" xfId="18159" xr:uid="{00000000-0005-0000-0000-0000EF460000}"/>
    <cellStyle name="Normal 2 2 2 3 24 4 4" xfId="18160" xr:uid="{00000000-0005-0000-0000-0000F0460000}"/>
    <cellStyle name="Normal 2 2 2 3 24 4 5" xfId="18161" xr:uid="{00000000-0005-0000-0000-0000F1460000}"/>
    <cellStyle name="Normal 2 2 2 3 24 4 6" xfId="18162" xr:uid="{00000000-0005-0000-0000-0000F2460000}"/>
    <cellStyle name="Normal 2 2 2 3 24 4 7" xfId="18163" xr:uid="{00000000-0005-0000-0000-0000F3460000}"/>
    <cellStyle name="Normal 2 2 2 3 24 4 8" xfId="18164" xr:uid="{00000000-0005-0000-0000-0000F4460000}"/>
    <cellStyle name="Normal 2 2 2 3 24 4 9" xfId="18165" xr:uid="{00000000-0005-0000-0000-0000F5460000}"/>
    <cellStyle name="Normal 2 2 2 3 24 5" xfId="18166" xr:uid="{00000000-0005-0000-0000-0000F6460000}"/>
    <cellStyle name="Normal 2 2 2 3 24 5 10" xfId="18167" xr:uid="{00000000-0005-0000-0000-0000F7460000}"/>
    <cellStyle name="Normal 2 2 2 3 24 5 2" xfId="18168" xr:uid="{00000000-0005-0000-0000-0000F8460000}"/>
    <cellStyle name="Normal 2 2 2 3 24 5 3" xfId="18169" xr:uid="{00000000-0005-0000-0000-0000F9460000}"/>
    <cellStyle name="Normal 2 2 2 3 24 5 4" xfId="18170" xr:uid="{00000000-0005-0000-0000-0000FA460000}"/>
    <cellStyle name="Normal 2 2 2 3 24 5 5" xfId="18171" xr:uid="{00000000-0005-0000-0000-0000FB460000}"/>
    <cellStyle name="Normal 2 2 2 3 24 5 6" xfId="18172" xr:uid="{00000000-0005-0000-0000-0000FC460000}"/>
    <cellStyle name="Normal 2 2 2 3 24 5 7" xfId="18173" xr:uid="{00000000-0005-0000-0000-0000FD460000}"/>
    <cellStyle name="Normal 2 2 2 3 24 5 8" xfId="18174" xr:uid="{00000000-0005-0000-0000-0000FE460000}"/>
    <cellStyle name="Normal 2 2 2 3 24 5 9" xfId="18175" xr:uid="{00000000-0005-0000-0000-0000FF460000}"/>
    <cellStyle name="Normal 2 2 2 3 24 6" xfId="18176" xr:uid="{00000000-0005-0000-0000-000000470000}"/>
    <cellStyle name="Normal 2 2 2 3 24 7" xfId="18177" xr:uid="{00000000-0005-0000-0000-000001470000}"/>
    <cellStyle name="Normal 2 2 2 3 24 8" xfId="18178" xr:uid="{00000000-0005-0000-0000-000002470000}"/>
    <cellStyle name="Normal 2 2 2 3 24 9" xfId="18179" xr:uid="{00000000-0005-0000-0000-000003470000}"/>
    <cellStyle name="Normal 2 2 2 3 25" xfId="18180" xr:uid="{00000000-0005-0000-0000-000004470000}"/>
    <cellStyle name="Normal 2 2 2 3 25 10" xfId="18181" xr:uid="{00000000-0005-0000-0000-000005470000}"/>
    <cellStyle name="Normal 2 2 2 3 25 11" xfId="18182" xr:uid="{00000000-0005-0000-0000-000006470000}"/>
    <cellStyle name="Normal 2 2 2 3 25 12" xfId="18183" xr:uid="{00000000-0005-0000-0000-000007470000}"/>
    <cellStyle name="Normal 2 2 2 3 25 13" xfId="18184" xr:uid="{00000000-0005-0000-0000-000008470000}"/>
    <cellStyle name="Normal 2 2 2 3 25 14" xfId="18185" xr:uid="{00000000-0005-0000-0000-000009470000}"/>
    <cellStyle name="Normal 2 2 2 3 25 2" xfId="18186" xr:uid="{00000000-0005-0000-0000-00000A470000}"/>
    <cellStyle name="Normal 2 2 2 3 25 2 10" xfId="18187" xr:uid="{00000000-0005-0000-0000-00000B470000}"/>
    <cellStyle name="Normal 2 2 2 3 25 2 2" xfId="18188" xr:uid="{00000000-0005-0000-0000-00000C470000}"/>
    <cellStyle name="Normal 2 2 2 3 25 2 3" xfId="18189" xr:uid="{00000000-0005-0000-0000-00000D470000}"/>
    <cellStyle name="Normal 2 2 2 3 25 2 4" xfId="18190" xr:uid="{00000000-0005-0000-0000-00000E470000}"/>
    <cellStyle name="Normal 2 2 2 3 25 2 5" xfId="18191" xr:uid="{00000000-0005-0000-0000-00000F470000}"/>
    <cellStyle name="Normal 2 2 2 3 25 2 6" xfId="18192" xr:uid="{00000000-0005-0000-0000-000010470000}"/>
    <cellStyle name="Normal 2 2 2 3 25 2 7" xfId="18193" xr:uid="{00000000-0005-0000-0000-000011470000}"/>
    <cellStyle name="Normal 2 2 2 3 25 2 8" xfId="18194" xr:uid="{00000000-0005-0000-0000-000012470000}"/>
    <cellStyle name="Normal 2 2 2 3 25 2 9" xfId="18195" xr:uid="{00000000-0005-0000-0000-000013470000}"/>
    <cellStyle name="Normal 2 2 2 3 25 3" xfId="18196" xr:uid="{00000000-0005-0000-0000-000014470000}"/>
    <cellStyle name="Normal 2 2 2 3 25 3 10" xfId="18197" xr:uid="{00000000-0005-0000-0000-000015470000}"/>
    <cellStyle name="Normal 2 2 2 3 25 3 2" xfId="18198" xr:uid="{00000000-0005-0000-0000-000016470000}"/>
    <cellStyle name="Normal 2 2 2 3 25 3 3" xfId="18199" xr:uid="{00000000-0005-0000-0000-000017470000}"/>
    <cellStyle name="Normal 2 2 2 3 25 3 4" xfId="18200" xr:uid="{00000000-0005-0000-0000-000018470000}"/>
    <cellStyle name="Normal 2 2 2 3 25 3 5" xfId="18201" xr:uid="{00000000-0005-0000-0000-000019470000}"/>
    <cellStyle name="Normal 2 2 2 3 25 3 6" xfId="18202" xr:uid="{00000000-0005-0000-0000-00001A470000}"/>
    <cellStyle name="Normal 2 2 2 3 25 3 7" xfId="18203" xr:uid="{00000000-0005-0000-0000-00001B470000}"/>
    <cellStyle name="Normal 2 2 2 3 25 3 8" xfId="18204" xr:uid="{00000000-0005-0000-0000-00001C470000}"/>
    <cellStyle name="Normal 2 2 2 3 25 3 9" xfId="18205" xr:uid="{00000000-0005-0000-0000-00001D470000}"/>
    <cellStyle name="Normal 2 2 2 3 25 4" xfId="18206" xr:uid="{00000000-0005-0000-0000-00001E470000}"/>
    <cellStyle name="Normal 2 2 2 3 25 4 10" xfId="18207" xr:uid="{00000000-0005-0000-0000-00001F470000}"/>
    <cellStyle name="Normal 2 2 2 3 25 4 2" xfId="18208" xr:uid="{00000000-0005-0000-0000-000020470000}"/>
    <cellStyle name="Normal 2 2 2 3 25 4 3" xfId="18209" xr:uid="{00000000-0005-0000-0000-000021470000}"/>
    <cellStyle name="Normal 2 2 2 3 25 4 4" xfId="18210" xr:uid="{00000000-0005-0000-0000-000022470000}"/>
    <cellStyle name="Normal 2 2 2 3 25 4 5" xfId="18211" xr:uid="{00000000-0005-0000-0000-000023470000}"/>
    <cellStyle name="Normal 2 2 2 3 25 4 6" xfId="18212" xr:uid="{00000000-0005-0000-0000-000024470000}"/>
    <cellStyle name="Normal 2 2 2 3 25 4 7" xfId="18213" xr:uid="{00000000-0005-0000-0000-000025470000}"/>
    <cellStyle name="Normal 2 2 2 3 25 4 8" xfId="18214" xr:uid="{00000000-0005-0000-0000-000026470000}"/>
    <cellStyle name="Normal 2 2 2 3 25 4 9" xfId="18215" xr:uid="{00000000-0005-0000-0000-000027470000}"/>
    <cellStyle name="Normal 2 2 2 3 25 5" xfId="18216" xr:uid="{00000000-0005-0000-0000-000028470000}"/>
    <cellStyle name="Normal 2 2 2 3 25 5 10" xfId="18217" xr:uid="{00000000-0005-0000-0000-000029470000}"/>
    <cellStyle name="Normal 2 2 2 3 25 5 2" xfId="18218" xr:uid="{00000000-0005-0000-0000-00002A470000}"/>
    <cellStyle name="Normal 2 2 2 3 25 5 3" xfId="18219" xr:uid="{00000000-0005-0000-0000-00002B470000}"/>
    <cellStyle name="Normal 2 2 2 3 25 5 4" xfId="18220" xr:uid="{00000000-0005-0000-0000-00002C470000}"/>
    <cellStyle name="Normal 2 2 2 3 25 5 5" xfId="18221" xr:uid="{00000000-0005-0000-0000-00002D470000}"/>
    <cellStyle name="Normal 2 2 2 3 25 5 6" xfId="18222" xr:uid="{00000000-0005-0000-0000-00002E470000}"/>
    <cellStyle name="Normal 2 2 2 3 25 5 7" xfId="18223" xr:uid="{00000000-0005-0000-0000-00002F470000}"/>
    <cellStyle name="Normal 2 2 2 3 25 5 8" xfId="18224" xr:uid="{00000000-0005-0000-0000-000030470000}"/>
    <cellStyle name="Normal 2 2 2 3 25 5 9" xfId="18225" xr:uid="{00000000-0005-0000-0000-000031470000}"/>
    <cellStyle name="Normal 2 2 2 3 25 6" xfId="18226" xr:uid="{00000000-0005-0000-0000-000032470000}"/>
    <cellStyle name="Normal 2 2 2 3 25 7" xfId="18227" xr:uid="{00000000-0005-0000-0000-000033470000}"/>
    <cellStyle name="Normal 2 2 2 3 25 8" xfId="18228" xr:uid="{00000000-0005-0000-0000-000034470000}"/>
    <cellStyle name="Normal 2 2 2 3 25 9" xfId="18229" xr:uid="{00000000-0005-0000-0000-000035470000}"/>
    <cellStyle name="Normal 2 2 2 3 26" xfId="18230" xr:uid="{00000000-0005-0000-0000-000036470000}"/>
    <cellStyle name="Normal 2 2 2 3 26 10" xfId="18231" xr:uid="{00000000-0005-0000-0000-000037470000}"/>
    <cellStyle name="Normal 2 2 2 3 26 11" xfId="18232" xr:uid="{00000000-0005-0000-0000-000038470000}"/>
    <cellStyle name="Normal 2 2 2 3 26 12" xfId="18233" xr:uid="{00000000-0005-0000-0000-000039470000}"/>
    <cellStyle name="Normal 2 2 2 3 26 13" xfId="18234" xr:uid="{00000000-0005-0000-0000-00003A470000}"/>
    <cellStyle name="Normal 2 2 2 3 26 14" xfId="18235" xr:uid="{00000000-0005-0000-0000-00003B470000}"/>
    <cellStyle name="Normal 2 2 2 3 26 2" xfId="18236" xr:uid="{00000000-0005-0000-0000-00003C470000}"/>
    <cellStyle name="Normal 2 2 2 3 26 2 10" xfId="18237" xr:uid="{00000000-0005-0000-0000-00003D470000}"/>
    <cellStyle name="Normal 2 2 2 3 26 2 2" xfId="18238" xr:uid="{00000000-0005-0000-0000-00003E470000}"/>
    <cellStyle name="Normal 2 2 2 3 26 2 3" xfId="18239" xr:uid="{00000000-0005-0000-0000-00003F470000}"/>
    <cellStyle name="Normal 2 2 2 3 26 2 4" xfId="18240" xr:uid="{00000000-0005-0000-0000-000040470000}"/>
    <cellStyle name="Normal 2 2 2 3 26 2 5" xfId="18241" xr:uid="{00000000-0005-0000-0000-000041470000}"/>
    <cellStyle name="Normal 2 2 2 3 26 2 6" xfId="18242" xr:uid="{00000000-0005-0000-0000-000042470000}"/>
    <cellStyle name="Normal 2 2 2 3 26 2 7" xfId="18243" xr:uid="{00000000-0005-0000-0000-000043470000}"/>
    <cellStyle name="Normal 2 2 2 3 26 2 8" xfId="18244" xr:uid="{00000000-0005-0000-0000-000044470000}"/>
    <cellStyle name="Normal 2 2 2 3 26 2 9" xfId="18245" xr:uid="{00000000-0005-0000-0000-000045470000}"/>
    <cellStyle name="Normal 2 2 2 3 26 3" xfId="18246" xr:uid="{00000000-0005-0000-0000-000046470000}"/>
    <cellStyle name="Normal 2 2 2 3 26 3 10" xfId="18247" xr:uid="{00000000-0005-0000-0000-000047470000}"/>
    <cellStyle name="Normal 2 2 2 3 26 3 2" xfId="18248" xr:uid="{00000000-0005-0000-0000-000048470000}"/>
    <cellStyle name="Normal 2 2 2 3 26 3 3" xfId="18249" xr:uid="{00000000-0005-0000-0000-000049470000}"/>
    <cellStyle name="Normal 2 2 2 3 26 3 4" xfId="18250" xr:uid="{00000000-0005-0000-0000-00004A470000}"/>
    <cellStyle name="Normal 2 2 2 3 26 3 5" xfId="18251" xr:uid="{00000000-0005-0000-0000-00004B470000}"/>
    <cellStyle name="Normal 2 2 2 3 26 3 6" xfId="18252" xr:uid="{00000000-0005-0000-0000-00004C470000}"/>
    <cellStyle name="Normal 2 2 2 3 26 3 7" xfId="18253" xr:uid="{00000000-0005-0000-0000-00004D470000}"/>
    <cellStyle name="Normal 2 2 2 3 26 3 8" xfId="18254" xr:uid="{00000000-0005-0000-0000-00004E470000}"/>
    <cellStyle name="Normal 2 2 2 3 26 3 9" xfId="18255" xr:uid="{00000000-0005-0000-0000-00004F470000}"/>
    <cellStyle name="Normal 2 2 2 3 26 4" xfId="18256" xr:uid="{00000000-0005-0000-0000-000050470000}"/>
    <cellStyle name="Normal 2 2 2 3 26 4 10" xfId="18257" xr:uid="{00000000-0005-0000-0000-000051470000}"/>
    <cellStyle name="Normal 2 2 2 3 26 4 2" xfId="18258" xr:uid="{00000000-0005-0000-0000-000052470000}"/>
    <cellStyle name="Normal 2 2 2 3 26 4 3" xfId="18259" xr:uid="{00000000-0005-0000-0000-000053470000}"/>
    <cellStyle name="Normal 2 2 2 3 26 4 4" xfId="18260" xr:uid="{00000000-0005-0000-0000-000054470000}"/>
    <cellStyle name="Normal 2 2 2 3 26 4 5" xfId="18261" xr:uid="{00000000-0005-0000-0000-000055470000}"/>
    <cellStyle name="Normal 2 2 2 3 26 4 6" xfId="18262" xr:uid="{00000000-0005-0000-0000-000056470000}"/>
    <cellStyle name="Normal 2 2 2 3 26 4 7" xfId="18263" xr:uid="{00000000-0005-0000-0000-000057470000}"/>
    <cellStyle name="Normal 2 2 2 3 26 4 8" xfId="18264" xr:uid="{00000000-0005-0000-0000-000058470000}"/>
    <cellStyle name="Normal 2 2 2 3 26 4 9" xfId="18265" xr:uid="{00000000-0005-0000-0000-000059470000}"/>
    <cellStyle name="Normal 2 2 2 3 26 5" xfId="18266" xr:uid="{00000000-0005-0000-0000-00005A470000}"/>
    <cellStyle name="Normal 2 2 2 3 26 5 10" xfId="18267" xr:uid="{00000000-0005-0000-0000-00005B470000}"/>
    <cellStyle name="Normal 2 2 2 3 26 5 2" xfId="18268" xr:uid="{00000000-0005-0000-0000-00005C470000}"/>
    <cellStyle name="Normal 2 2 2 3 26 5 3" xfId="18269" xr:uid="{00000000-0005-0000-0000-00005D470000}"/>
    <cellStyle name="Normal 2 2 2 3 26 5 4" xfId="18270" xr:uid="{00000000-0005-0000-0000-00005E470000}"/>
    <cellStyle name="Normal 2 2 2 3 26 5 5" xfId="18271" xr:uid="{00000000-0005-0000-0000-00005F470000}"/>
    <cellStyle name="Normal 2 2 2 3 26 5 6" xfId="18272" xr:uid="{00000000-0005-0000-0000-000060470000}"/>
    <cellStyle name="Normal 2 2 2 3 26 5 7" xfId="18273" xr:uid="{00000000-0005-0000-0000-000061470000}"/>
    <cellStyle name="Normal 2 2 2 3 26 5 8" xfId="18274" xr:uid="{00000000-0005-0000-0000-000062470000}"/>
    <cellStyle name="Normal 2 2 2 3 26 5 9" xfId="18275" xr:uid="{00000000-0005-0000-0000-000063470000}"/>
    <cellStyle name="Normal 2 2 2 3 26 6" xfId="18276" xr:uid="{00000000-0005-0000-0000-000064470000}"/>
    <cellStyle name="Normal 2 2 2 3 26 7" xfId="18277" xr:uid="{00000000-0005-0000-0000-000065470000}"/>
    <cellStyle name="Normal 2 2 2 3 26 8" xfId="18278" xr:uid="{00000000-0005-0000-0000-000066470000}"/>
    <cellStyle name="Normal 2 2 2 3 26 9" xfId="18279" xr:uid="{00000000-0005-0000-0000-000067470000}"/>
    <cellStyle name="Normal 2 2 2 3 27" xfId="18280" xr:uid="{00000000-0005-0000-0000-000068470000}"/>
    <cellStyle name="Normal 2 2 2 3 27 10" xfId="18281" xr:uid="{00000000-0005-0000-0000-000069470000}"/>
    <cellStyle name="Normal 2 2 2 3 27 11" xfId="18282" xr:uid="{00000000-0005-0000-0000-00006A470000}"/>
    <cellStyle name="Normal 2 2 2 3 27 12" xfId="18283" xr:uid="{00000000-0005-0000-0000-00006B470000}"/>
    <cellStyle name="Normal 2 2 2 3 27 13" xfId="18284" xr:uid="{00000000-0005-0000-0000-00006C470000}"/>
    <cellStyle name="Normal 2 2 2 3 27 14" xfId="18285" xr:uid="{00000000-0005-0000-0000-00006D470000}"/>
    <cellStyle name="Normal 2 2 2 3 27 2" xfId="18286" xr:uid="{00000000-0005-0000-0000-00006E470000}"/>
    <cellStyle name="Normal 2 2 2 3 27 2 10" xfId="18287" xr:uid="{00000000-0005-0000-0000-00006F470000}"/>
    <cellStyle name="Normal 2 2 2 3 27 2 2" xfId="18288" xr:uid="{00000000-0005-0000-0000-000070470000}"/>
    <cellStyle name="Normal 2 2 2 3 27 2 3" xfId="18289" xr:uid="{00000000-0005-0000-0000-000071470000}"/>
    <cellStyle name="Normal 2 2 2 3 27 2 4" xfId="18290" xr:uid="{00000000-0005-0000-0000-000072470000}"/>
    <cellStyle name="Normal 2 2 2 3 27 2 5" xfId="18291" xr:uid="{00000000-0005-0000-0000-000073470000}"/>
    <cellStyle name="Normal 2 2 2 3 27 2 6" xfId="18292" xr:uid="{00000000-0005-0000-0000-000074470000}"/>
    <cellStyle name="Normal 2 2 2 3 27 2 7" xfId="18293" xr:uid="{00000000-0005-0000-0000-000075470000}"/>
    <cellStyle name="Normal 2 2 2 3 27 2 8" xfId="18294" xr:uid="{00000000-0005-0000-0000-000076470000}"/>
    <cellStyle name="Normal 2 2 2 3 27 2 9" xfId="18295" xr:uid="{00000000-0005-0000-0000-000077470000}"/>
    <cellStyle name="Normal 2 2 2 3 27 3" xfId="18296" xr:uid="{00000000-0005-0000-0000-000078470000}"/>
    <cellStyle name="Normal 2 2 2 3 27 3 10" xfId="18297" xr:uid="{00000000-0005-0000-0000-000079470000}"/>
    <cellStyle name="Normal 2 2 2 3 27 3 2" xfId="18298" xr:uid="{00000000-0005-0000-0000-00007A470000}"/>
    <cellStyle name="Normal 2 2 2 3 27 3 3" xfId="18299" xr:uid="{00000000-0005-0000-0000-00007B470000}"/>
    <cellStyle name="Normal 2 2 2 3 27 3 4" xfId="18300" xr:uid="{00000000-0005-0000-0000-00007C470000}"/>
    <cellStyle name="Normal 2 2 2 3 27 3 5" xfId="18301" xr:uid="{00000000-0005-0000-0000-00007D470000}"/>
    <cellStyle name="Normal 2 2 2 3 27 3 6" xfId="18302" xr:uid="{00000000-0005-0000-0000-00007E470000}"/>
    <cellStyle name="Normal 2 2 2 3 27 3 7" xfId="18303" xr:uid="{00000000-0005-0000-0000-00007F470000}"/>
    <cellStyle name="Normal 2 2 2 3 27 3 8" xfId="18304" xr:uid="{00000000-0005-0000-0000-000080470000}"/>
    <cellStyle name="Normal 2 2 2 3 27 3 9" xfId="18305" xr:uid="{00000000-0005-0000-0000-000081470000}"/>
    <cellStyle name="Normal 2 2 2 3 27 4" xfId="18306" xr:uid="{00000000-0005-0000-0000-000082470000}"/>
    <cellStyle name="Normal 2 2 2 3 27 4 10" xfId="18307" xr:uid="{00000000-0005-0000-0000-000083470000}"/>
    <cellStyle name="Normal 2 2 2 3 27 4 2" xfId="18308" xr:uid="{00000000-0005-0000-0000-000084470000}"/>
    <cellStyle name="Normal 2 2 2 3 27 4 3" xfId="18309" xr:uid="{00000000-0005-0000-0000-000085470000}"/>
    <cellStyle name="Normal 2 2 2 3 27 4 4" xfId="18310" xr:uid="{00000000-0005-0000-0000-000086470000}"/>
    <cellStyle name="Normal 2 2 2 3 27 4 5" xfId="18311" xr:uid="{00000000-0005-0000-0000-000087470000}"/>
    <cellStyle name="Normal 2 2 2 3 27 4 6" xfId="18312" xr:uid="{00000000-0005-0000-0000-000088470000}"/>
    <cellStyle name="Normal 2 2 2 3 27 4 7" xfId="18313" xr:uid="{00000000-0005-0000-0000-000089470000}"/>
    <cellStyle name="Normal 2 2 2 3 27 4 8" xfId="18314" xr:uid="{00000000-0005-0000-0000-00008A470000}"/>
    <cellStyle name="Normal 2 2 2 3 27 4 9" xfId="18315" xr:uid="{00000000-0005-0000-0000-00008B470000}"/>
    <cellStyle name="Normal 2 2 2 3 27 5" xfId="18316" xr:uid="{00000000-0005-0000-0000-00008C470000}"/>
    <cellStyle name="Normal 2 2 2 3 27 5 10" xfId="18317" xr:uid="{00000000-0005-0000-0000-00008D470000}"/>
    <cellStyle name="Normal 2 2 2 3 27 5 2" xfId="18318" xr:uid="{00000000-0005-0000-0000-00008E470000}"/>
    <cellStyle name="Normal 2 2 2 3 27 5 3" xfId="18319" xr:uid="{00000000-0005-0000-0000-00008F470000}"/>
    <cellStyle name="Normal 2 2 2 3 27 5 4" xfId="18320" xr:uid="{00000000-0005-0000-0000-000090470000}"/>
    <cellStyle name="Normal 2 2 2 3 27 5 5" xfId="18321" xr:uid="{00000000-0005-0000-0000-000091470000}"/>
    <cellStyle name="Normal 2 2 2 3 27 5 6" xfId="18322" xr:uid="{00000000-0005-0000-0000-000092470000}"/>
    <cellStyle name="Normal 2 2 2 3 27 5 7" xfId="18323" xr:uid="{00000000-0005-0000-0000-000093470000}"/>
    <cellStyle name="Normal 2 2 2 3 27 5 8" xfId="18324" xr:uid="{00000000-0005-0000-0000-000094470000}"/>
    <cellStyle name="Normal 2 2 2 3 27 5 9" xfId="18325" xr:uid="{00000000-0005-0000-0000-000095470000}"/>
    <cellStyle name="Normal 2 2 2 3 27 6" xfId="18326" xr:uid="{00000000-0005-0000-0000-000096470000}"/>
    <cellStyle name="Normal 2 2 2 3 27 7" xfId="18327" xr:uid="{00000000-0005-0000-0000-000097470000}"/>
    <cellStyle name="Normal 2 2 2 3 27 8" xfId="18328" xr:uid="{00000000-0005-0000-0000-000098470000}"/>
    <cellStyle name="Normal 2 2 2 3 27 9" xfId="18329" xr:uid="{00000000-0005-0000-0000-000099470000}"/>
    <cellStyle name="Normal 2 2 2 3 28" xfId="18330" xr:uid="{00000000-0005-0000-0000-00009A470000}"/>
    <cellStyle name="Normal 2 2 2 3 28 10" xfId="18331" xr:uid="{00000000-0005-0000-0000-00009B470000}"/>
    <cellStyle name="Normal 2 2 2 3 28 11" xfId="18332" xr:uid="{00000000-0005-0000-0000-00009C470000}"/>
    <cellStyle name="Normal 2 2 2 3 28 12" xfId="18333" xr:uid="{00000000-0005-0000-0000-00009D470000}"/>
    <cellStyle name="Normal 2 2 2 3 28 13" xfId="18334" xr:uid="{00000000-0005-0000-0000-00009E470000}"/>
    <cellStyle name="Normal 2 2 2 3 28 14" xfId="18335" xr:uid="{00000000-0005-0000-0000-00009F470000}"/>
    <cellStyle name="Normal 2 2 2 3 28 2" xfId="18336" xr:uid="{00000000-0005-0000-0000-0000A0470000}"/>
    <cellStyle name="Normal 2 2 2 3 28 2 10" xfId="18337" xr:uid="{00000000-0005-0000-0000-0000A1470000}"/>
    <cellStyle name="Normal 2 2 2 3 28 2 2" xfId="18338" xr:uid="{00000000-0005-0000-0000-0000A2470000}"/>
    <cellStyle name="Normal 2 2 2 3 28 2 3" xfId="18339" xr:uid="{00000000-0005-0000-0000-0000A3470000}"/>
    <cellStyle name="Normal 2 2 2 3 28 2 4" xfId="18340" xr:uid="{00000000-0005-0000-0000-0000A4470000}"/>
    <cellStyle name="Normal 2 2 2 3 28 2 5" xfId="18341" xr:uid="{00000000-0005-0000-0000-0000A5470000}"/>
    <cellStyle name="Normal 2 2 2 3 28 2 6" xfId="18342" xr:uid="{00000000-0005-0000-0000-0000A6470000}"/>
    <cellStyle name="Normal 2 2 2 3 28 2 7" xfId="18343" xr:uid="{00000000-0005-0000-0000-0000A7470000}"/>
    <cellStyle name="Normal 2 2 2 3 28 2 8" xfId="18344" xr:uid="{00000000-0005-0000-0000-0000A8470000}"/>
    <cellStyle name="Normal 2 2 2 3 28 2 9" xfId="18345" xr:uid="{00000000-0005-0000-0000-0000A9470000}"/>
    <cellStyle name="Normal 2 2 2 3 28 3" xfId="18346" xr:uid="{00000000-0005-0000-0000-0000AA470000}"/>
    <cellStyle name="Normal 2 2 2 3 28 3 10" xfId="18347" xr:uid="{00000000-0005-0000-0000-0000AB470000}"/>
    <cellStyle name="Normal 2 2 2 3 28 3 2" xfId="18348" xr:uid="{00000000-0005-0000-0000-0000AC470000}"/>
    <cellStyle name="Normal 2 2 2 3 28 3 3" xfId="18349" xr:uid="{00000000-0005-0000-0000-0000AD470000}"/>
    <cellStyle name="Normal 2 2 2 3 28 3 4" xfId="18350" xr:uid="{00000000-0005-0000-0000-0000AE470000}"/>
    <cellStyle name="Normal 2 2 2 3 28 3 5" xfId="18351" xr:uid="{00000000-0005-0000-0000-0000AF470000}"/>
    <cellStyle name="Normal 2 2 2 3 28 3 6" xfId="18352" xr:uid="{00000000-0005-0000-0000-0000B0470000}"/>
    <cellStyle name="Normal 2 2 2 3 28 3 7" xfId="18353" xr:uid="{00000000-0005-0000-0000-0000B1470000}"/>
    <cellStyle name="Normal 2 2 2 3 28 3 8" xfId="18354" xr:uid="{00000000-0005-0000-0000-0000B2470000}"/>
    <cellStyle name="Normal 2 2 2 3 28 3 9" xfId="18355" xr:uid="{00000000-0005-0000-0000-0000B3470000}"/>
    <cellStyle name="Normal 2 2 2 3 28 4" xfId="18356" xr:uid="{00000000-0005-0000-0000-0000B4470000}"/>
    <cellStyle name="Normal 2 2 2 3 28 4 10" xfId="18357" xr:uid="{00000000-0005-0000-0000-0000B5470000}"/>
    <cellStyle name="Normal 2 2 2 3 28 4 2" xfId="18358" xr:uid="{00000000-0005-0000-0000-0000B6470000}"/>
    <cellStyle name="Normal 2 2 2 3 28 4 3" xfId="18359" xr:uid="{00000000-0005-0000-0000-0000B7470000}"/>
    <cellStyle name="Normal 2 2 2 3 28 4 4" xfId="18360" xr:uid="{00000000-0005-0000-0000-0000B8470000}"/>
    <cellStyle name="Normal 2 2 2 3 28 4 5" xfId="18361" xr:uid="{00000000-0005-0000-0000-0000B9470000}"/>
    <cellStyle name="Normal 2 2 2 3 28 4 6" xfId="18362" xr:uid="{00000000-0005-0000-0000-0000BA470000}"/>
    <cellStyle name="Normal 2 2 2 3 28 4 7" xfId="18363" xr:uid="{00000000-0005-0000-0000-0000BB470000}"/>
    <cellStyle name="Normal 2 2 2 3 28 4 8" xfId="18364" xr:uid="{00000000-0005-0000-0000-0000BC470000}"/>
    <cellStyle name="Normal 2 2 2 3 28 4 9" xfId="18365" xr:uid="{00000000-0005-0000-0000-0000BD470000}"/>
    <cellStyle name="Normal 2 2 2 3 28 5" xfId="18366" xr:uid="{00000000-0005-0000-0000-0000BE470000}"/>
    <cellStyle name="Normal 2 2 2 3 28 5 10" xfId="18367" xr:uid="{00000000-0005-0000-0000-0000BF470000}"/>
    <cellStyle name="Normal 2 2 2 3 28 5 2" xfId="18368" xr:uid="{00000000-0005-0000-0000-0000C0470000}"/>
    <cellStyle name="Normal 2 2 2 3 28 5 3" xfId="18369" xr:uid="{00000000-0005-0000-0000-0000C1470000}"/>
    <cellStyle name="Normal 2 2 2 3 28 5 4" xfId="18370" xr:uid="{00000000-0005-0000-0000-0000C2470000}"/>
    <cellStyle name="Normal 2 2 2 3 28 5 5" xfId="18371" xr:uid="{00000000-0005-0000-0000-0000C3470000}"/>
    <cellStyle name="Normal 2 2 2 3 28 5 6" xfId="18372" xr:uid="{00000000-0005-0000-0000-0000C4470000}"/>
    <cellStyle name="Normal 2 2 2 3 28 5 7" xfId="18373" xr:uid="{00000000-0005-0000-0000-0000C5470000}"/>
    <cellStyle name="Normal 2 2 2 3 28 5 8" xfId="18374" xr:uid="{00000000-0005-0000-0000-0000C6470000}"/>
    <cellStyle name="Normal 2 2 2 3 28 5 9" xfId="18375" xr:uid="{00000000-0005-0000-0000-0000C7470000}"/>
    <cellStyle name="Normal 2 2 2 3 28 6" xfId="18376" xr:uid="{00000000-0005-0000-0000-0000C8470000}"/>
    <cellStyle name="Normal 2 2 2 3 28 7" xfId="18377" xr:uid="{00000000-0005-0000-0000-0000C9470000}"/>
    <cellStyle name="Normal 2 2 2 3 28 8" xfId="18378" xr:uid="{00000000-0005-0000-0000-0000CA470000}"/>
    <cellStyle name="Normal 2 2 2 3 28 9" xfId="18379" xr:uid="{00000000-0005-0000-0000-0000CB470000}"/>
    <cellStyle name="Normal 2 2 2 3 29" xfId="18380" xr:uid="{00000000-0005-0000-0000-0000CC470000}"/>
    <cellStyle name="Normal 2 2 2 3 29 10" xfId="18381" xr:uid="{00000000-0005-0000-0000-0000CD470000}"/>
    <cellStyle name="Normal 2 2 2 3 29 11" xfId="18382" xr:uid="{00000000-0005-0000-0000-0000CE470000}"/>
    <cellStyle name="Normal 2 2 2 3 29 12" xfId="18383" xr:uid="{00000000-0005-0000-0000-0000CF470000}"/>
    <cellStyle name="Normal 2 2 2 3 29 13" xfId="18384" xr:uid="{00000000-0005-0000-0000-0000D0470000}"/>
    <cellStyle name="Normal 2 2 2 3 29 14" xfId="18385" xr:uid="{00000000-0005-0000-0000-0000D1470000}"/>
    <cellStyle name="Normal 2 2 2 3 29 2" xfId="18386" xr:uid="{00000000-0005-0000-0000-0000D2470000}"/>
    <cellStyle name="Normal 2 2 2 3 29 2 10" xfId="18387" xr:uid="{00000000-0005-0000-0000-0000D3470000}"/>
    <cellStyle name="Normal 2 2 2 3 29 2 2" xfId="18388" xr:uid="{00000000-0005-0000-0000-0000D4470000}"/>
    <cellStyle name="Normal 2 2 2 3 29 2 3" xfId="18389" xr:uid="{00000000-0005-0000-0000-0000D5470000}"/>
    <cellStyle name="Normal 2 2 2 3 29 2 4" xfId="18390" xr:uid="{00000000-0005-0000-0000-0000D6470000}"/>
    <cellStyle name="Normal 2 2 2 3 29 2 5" xfId="18391" xr:uid="{00000000-0005-0000-0000-0000D7470000}"/>
    <cellStyle name="Normal 2 2 2 3 29 2 6" xfId="18392" xr:uid="{00000000-0005-0000-0000-0000D8470000}"/>
    <cellStyle name="Normal 2 2 2 3 29 2 7" xfId="18393" xr:uid="{00000000-0005-0000-0000-0000D9470000}"/>
    <cellStyle name="Normal 2 2 2 3 29 2 8" xfId="18394" xr:uid="{00000000-0005-0000-0000-0000DA470000}"/>
    <cellStyle name="Normal 2 2 2 3 29 2 9" xfId="18395" xr:uid="{00000000-0005-0000-0000-0000DB470000}"/>
    <cellStyle name="Normal 2 2 2 3 29 3" xfId="18396" xr:uid="{00000000-0005-0000-0000-0000DC470000}"/>
    <cellStyle name="Normal 2 2 2 3 29 3 10" xfId="18397" xr:uid="{00000000-0005-0000-0000-0000DD470000}"/>
    <cellStyle name="Normal 2 2 2 3 29 3 2" xfId="18398" xr:uid="{00000000-0005-0000-0000-0000DE470000}"/>
    <cellStyle name="Normal 2 2 2 3 29 3 3" xfId="18399" xr:uid="{00000000-0005-0000-0000-0000DF470000}"/>
    <cellStyle name="Normal 2 2 2 3 29 3 4" xfId="18400" xr:uid="{00000000-0005-0000-0000-0000E0470000}"/>
    <cellStyle name="Normal 2 2 2 3 29 3 5" xfId="18401" xr:uid="{00000000-0005-0000-0000-0000E1470000}"/>
    <cellStyle name="Normal 2 2 2 3 29 3 6" xfId="18402" xr:uid="{00000000-0005-0000-0000-0000E2470000}"/>
    <cellStyle name="Normal 2 2 2 3 29 3 7" xfId="18403" xr:uid="{00000000-0005-0000-0000-0000E3470000}"/>
    <cellStyle name="Normal 2 2 2 3 29 3 8" xfId="18404" xr:uid="{00000000-0005-0000-0000-0000E4470000}"/>
    <cellStyle name="Normal 2 2 2 3 29 3 9" xfId="18405" xr:uid="{00000000-0005-0000-0000-0000E5470000}"/>
    <cellStyle name="Normal 2 2 2 3 29 4" xfId="18406" xr:uid="{00000000-0005-0000-0000-0000E6470000}"/>
    <cellStyle name="Normal 2 2 2 3 29 4 10" xfId="18407" xr:uid="{00000000-0005-0000-0000-0000E7470000}"/>
    <cellStyle name="Normal 2 2 2 3 29 4 2" xfId="18408" xr:uid="{00000000-0005-0000-0000-0000E8470000}"/>
    <cellStyle name="Normal 2 2 2 3 29 4 3" xfId="18409" xr:uid="{00000000-0005-0000-0000-0000E9470000}"/>
    <cellStyle name="Normal 2 2 2 3 29 4 4" xfId="18410" xr:uid="{00000000-0005-0000-0000-0000EA470000}"/>
    <cellStyle name="Normal 2 2 2 3 29 4 5" xfId="18411" xr:uid="{00000000-0005-0000-0000-0000EB470000}"/>
    <cellStyle name="Normal 2 2 2 3 29 4 6" xfId="18412" xr:uid="{00000000-0005-0000-0000-0000EC470000}"/>
    <cellStyle name="Normal 2 2 2 3 29 4 7" xfId="18413" xr:uid="{00000000-0005-0000-0000-0000ED470000}"/>
    <cellStyle name="Normal 2 2 2 3 29 4 8" xfId="18414" xr:uid="{00000000-0005-0000-0000-0000EE470000}"/>
    <cellStyle name="Normal 2 2 2 3 29 4 9" xfId="18415" xr:uid="{00000000-0005-0000-0000-0000EF470000}"/>
    <cellStyle name="Normal 2 2 2 3 29 5" xfId="18416" xr:uid="{00000000-0005-0000-0000-0000F0470000}"/>
    <cellStyle name="Normal 2 2 2 3 29 5 10" xfId="18417" xr:uid="{00000000-0005-0000-0000-0000F1470000}"/>
    <cellStyle name="Normal 2 2 2 3 29 5 2" xfId="18418" xr:uid="{00000000-0005-0000-0000-0000F2470000}"/>
    <cellStyle name="Normal 2 2 2 3 29 5 3" xfId="18419" xr:uid="{00000000-0005-0000-0000-0000F3470000}"/>
    <cellStyle name="Normal 2 2 2 3 29 5 4" xfId="18420" xr:uid="{00000000-0005-0000-0000-0000F4470000}"/>
    <cellStyle name="Normal 2 2 2 3 29 5 5" xfId="18421" xr:uid="{00000000-0005-0000-0000-0000F5470000}"/>
    <cellStyle name="Normal 2 2 2 3 29 5 6" xfId="18422" xr:uid="{00000000-0005-0000-0000-0000F6470000}"/>
    <cellStyle name="Normal 2 2 2 3 29 5 7" xfId="18423" xr:uid="{00000000-0005-0000-0000-0000F7470000}"/>
    <cellStyle name="Normal 2 2 2 3 29 5 8" xfId="18424" xr:uid="{00000000-0005-0000-0000-0000F8470000}"/>
    <cellStyle name="Normal 2 2 2 3 29 5 9" xfId="18425" xr:uid="{00000000-0005-0000-0000-0000F9470000}"/>
    <cellStyle name="Normal 2 2 2 3 29 6" xfId="18426" xr:uid="{00000000-0005-0000-0000-0000FA470000}"/>
    <cellStyle name="Normal 2 2 2 3 29 7" xfId="18427" xr:uid="{00000000-0005-0000-0000-0000FB470000}"/>
    <cellStyle name="Normal 2 2 2 3 29 8" xfId="18428" xr:uid="{00000000-0005-0000-0000-0000FC470000}"/>
    <cellStyle name="Normal 2 2 2 3 29 9" xfId="18429" xr:uid="{00000000-0005-0000-0000-0000FD470000}"/>
    <cellStyle name="Normal 2 2 2 3 3" xfId="18430" xr:uid="{00000000-0005-0000-0000-0000FE470000}"/>
    <cellStyle name="Normal 2 2 2 3 3 10" xfId="18431" xr:uid="{00000000-0005-0000-0000-0000FF470000}"/>
    <cellStyle name="Normal 2 2 2 3 3 11" xfId="18432" xr:uid="{00000000-0005-0000-0000-000000480000}"/>
    <cellStyle name="Normal 2 2 2 3 3 12" xfId="18433" xr:uid="{00000000-0005-0000-0000-000001480000}"/>
    <cellStyle name="Normal 2 2 2 3 3 13" xfId="18434" xr:uid="{00000000-0005-0000-0000-000002480000}"/>
    <cellStyle name="Normal 2 2 2 3 3 14" xfId="18435" xr:uid="{00000000-0005-0000-0000-000003480000}"/>
    <cellStyle name="Normal 2 2 2 3 3 15" xfId="18436" xr:uid="{00000000-0005-0000-0000-000004480000}"/>
    <cellStyle name="Normal 2 2 2 3 3 16" xfId="18437" xr:uid="{00000000-0005-0000-0000-000005480000}"/>
    <cellStyle name="Normal 2 2 2 3 3 2" xfId="18438" xr:uid="{00000000-0005-0000-0000-000006480000}"/>
    <cellStyle name="Normal 2 2 2 3 3 2 10" xfId="18439" xr:uid="{00000000-0005-0000-0000-000007480000}"/>
    <cellStyle name="Normal 2 2 2 3 3 2 11" xfId="18440" xr:uid="{00000000-0005-0000-0000-000008480000}"/>
    <cellStyle name="Normal 2 2 2 3 3 2 12" xfId="18441" xr:uid="{00000000-0005-0000-0000-000009480000}"/>
    <cellStyle name="Normal 2 2 2 3 3 2 2" xfId="18442" xr:uid="{00000000-0005-0000-0000-00000A480000}"/>
    <cellStyle name="Normal 2 2 2 3 3 2 3" xfId="18443" xr:uid="{00000000-0005-0000-0000-00000B480000}"/>
    <cellStyle name="Normal 2 2 2 3 3 2 4" xfId="18444" xr:uid="{00000000-0005-0000-0000-00000C480000}"/>
    <cellStyle name="Normal 2 2 2 3 3 2 5" xfId="18445" xr:uid="{00000000-0005-0000-0000-00000D480000}"/>
    <cellStyle name="Normal 2 2 2 3 3 2 6" xfId="18446" xr:uid="{00000000-0005-0000-0000-00000E480000}"/>
    <cellStyle name="Normal 2 2 2 3 3 2 7" xfId="18447" xr:uid="{00000000-0005-0000-0000-00000F480000}"/>
    <cellStyle name="Normal 2 2 2 3 3 2 8" xfId="18448" xr:uid="{00000000-0005-0000-0000-000010480000}"/>
    <cellStyle name="Normal 2 2 2 3 3 2 9" xfId="18449" xr:uid="{00000000-0005-0000-0000-000011480000}"/>
    <cellStyle name="Normal 2 2 2 3 3 3" xfId="18450" xr:uid="{00000000-0005-0000-0000-000012480000}"/>
    <cellStyle name="Normal 2 2 2 3 3 3 10" xfId="18451" xr:uid="{00000000-0005-0000-0000-000013480000}"/>
    <cellStyle name="Normal 2 2 2 3 3 3 2" xfId="18452" xr:uid="{00000000-0005-0000-0000-000014480000}"/>
    <cellStyle name="Normal 2 2 2 3 3 3 3" xfId="18453" xr:uid="{00000000-0005-0000-0000-000015480000}"/>
    <cellStyle name="Normal 2 2 2 3 3 3 4" xfId="18454" xr:uid="{00000000-0005-0000-0000-000016480000}"/>
    <cellStyle name="Normal 2 2 2 3 3 3 5" xfId="18455" xr:uid="{00000000-0005-0000-0000-000017480000}"/>
    <cellStyle name="Normal 2 2 2 3 3 3 6" xfId="18456" xr:uid="{00000000-0005-0000-0000-000018480000}"/>
    <cellStyle name="Normal 2 2 2 3 3 3 7" xfId="18457" xr:uid="{00000000-0005-0000-0000-000019480000}"/>
    <cellStyle name="Normal 2 2 2 3 3 3 8" xfId="18458" xr:uid="{00000000-0005-0000-0000-00001A480000}"/>
    <cellStyle name="Normal 2 2 2 3 3 3 9" xfId="18459" xr:uid="{00000000-0005-0000-0000-00001B480000}"/>
    <cellStyle name="Normal 2 2 2 3 3 4" xfId="18460" xr:uid="{00000000-0005-0000-0000-00001C480000}"/>
    <cellStyle name="Normal 2 2 2 3 3 4 10" xfId="18461" xr:uid="{00000000-0005-0000-0000-00001D480000}"/>
    <cellStyle name="Normal 2 2 2 3 3 4 2" xfId="18462" xr:uid="{00000000-0005-0000-0000-00001E480000}"/>
    <cellStyle name="Normal 2 2 2 3 3 4 3" xfId="18463" xr:uid="{00000000-0005-0000-0000-00001F480000}"/>
    <cellStyle name="Normal 2 2 2 3 3 4 4" xfId="18464" xr:uid="{00000000-0005-0000-0000-000020480000}"/>
    <cellStyle name="Normal 2 2 2 3 3 4 5" xfId="18465" xr:uid="{00000000-0005-0000-0000-000021480000}"/>
    <cellStyle name="Normal 2 2 2 3 3 4 6" xfId="18466" xr:uid="{00000000-0005-0000-0000-000022480000}"/>
    <cellStyle name="Normal 2 2 2 3 3 4 7" xfId="18467" xr:uid="{00000000-0005-0000-0000-000023480000}"/>
    <cellStyle name="Normal 2 2 2 3 3 4 8" xfId="18468" xr:uid="{00000000-0005-0000-0000-000024480000}"/>
    <cellStyle name="Normal 2 2 2 3 3 4 9" xfId="18469" xr:uid="{00000000-0005-0000-0000-000025480000}"/>
    <cellStyle name="Normal 2 2 2 3 3 5" xfId="18470" xr:uid="{00000000-0005-0000-0000-000026480000}"/>
    <cellStyle name="Normal 2 2 2 3 3 5 10" xfId="18471" xr:uid="{00000000-0005-0000-0000-000027480000}"/>
    <cellStyle name="Normal 2 2 2 3 3 5 2" xfId="18472" xr:uid="{00000000-0005-0000-0000-000028480000}"/>
    <cellStyle name="Normal 2 2 2 3 3 5 3" xfId="18473" xr:uid="{00000000-0005-0000-0000-000029480000}"/>
    <cellStyle name="Normal 2 2 2 3 3 5 4" xfId="18474" xr:uid="{00000000-0005-0000-0000-00002A480000}"/>
    <cellStyle name="Normal 2 2 2 3 3 5 5" xfId="18475" xr:uid="{00000000-0005-0000-0000-00002B480000}"/>
    <cellStyle name="Normal 2 2 2 3 3 5 6" xfId="18476" xr:uid="{00000000-0005-0000-0000-00002C480000}"/>
    <cellStyle name="Normal 2 2 2 3 3 5 7" xfId="18477" xr:uid="{00000000-0005-0000-0000-00002D480000}"/>
    <cellStyle name="Normal 2 2 2 3 3 5 8" xfId="18478" xr:uid="{00000000-0005-0000-0000-00002E480000}"/>
    <cellStyle name="Normal 2 2 2 3 3 5 9" xfId="18479" xr:uid="{00000000-0005-0000-0000-00002F480000}"/>
    <cellStyle name="Normal 2 2 2 3 3 6" xfId="18480" xr:uid="{00000000-0005-0000-0000-000030480000}"/>
    <cellStyle name="Normal 2 2 2 3 3 7" xfId="18481" xr:uid="{00000000-0005-0000-0000-000031480000}"/>
    <cellStyle name="Normal 2 2 2 3 3 8" xfId="18482" xr:uid="{00000000-0005-0000-0000-000032480000}"/>
    <cellStyle name="Normal 2 2 2 3 3 9" xfId="18483" xr:uid="{00000000-0005-0000-0000-000033480000}"/>
    <cellStyle name="Normal 2 2 2 3 30" xfId="18484" xr:uid="{00000000-0005-0000-0000-000034480000}"/>
    <cellStyle name="Normal 2 2 2 3 30 10" xfId="18485" xr:uid="{00000000-0005-0000-0000-000035480000}"/>
    <cellStyle name="Normal 2 2 2 3 30 11" xfId="18486" xr:uid="{00000000-0005-0000-0000-000036480000}"/>
    <cellStyle name="Normal 2 2 2 3 30 12" xfId="18487" xr:uid="{00000000-0005-0000-0000-000037480000}"/>
    <cellStyle name="Normal 2 2 2 3 30 13" xfId="18488" xr:uid="{00000000-0005-0000-0000-000038480000}"/>
    <cellStyle name="Normal 2 2 2 3 30 14" xfId="18489" xr:uid="{00000000-0005-0000-0000-000039480000}"/>
    <cellStyle name="Normal 2 2 2 3 30 2" xfId="18490" xr:uid="{00000000-0005-0000-0000-00003A480000}"/>
    <cellStyle name="Normal 2 2 2 3 30 2 10" xfId="18491" xr:uid="{00000000-0005-0000-0000-00003B480000}"/>
    <cellStyle name="Normal 2 2 2 3 30 2 2" xfId="18492" xr:uid="{00000000-0005-0000-0000-00003C480000}"/>
    <cellStyle name="Normal 2 2 2 3 30 2 3" xfId="18493" xr:uid="{00000000-0005-0000-0000-00003D480000}"/>
    <cellStyle name="Normal 2 2 2 3 30 2 4" xfId="18494" xr:uid="{00000000-0005-0000-0000-00003E480000}"/>
    <cellStyle name="Normal 2 2 2 3 30 2 5" xfId="18495" xr:uid="{00000000-0005-0000-0000-00003F480000}"/>
    <cellStyle name="Normal 2 2 2 3 30 2 6" xfId="18496" xr:uid="{00000000-0005-0000-0000-000040480000}"/>
    <cellStyle name="Normal 2 2 2 3 30 2 7" xfId="18497" xr:uid="{00000000-0005-0000-0000-000041480000}"/>
    <cellStyle name="Normal 2 2 2 3 30 2 8" xfId="18498" xr:uid="{00000000-0005-0000-0000-000042480000}"/>
    <cellStyle name="Normal 2 2 2 3 30 2 9" xfId="18499" xr:uid="{00000000-0005-0000-0000-000043480000}"/>
    <cellStyle name="Normal 2 2 2 3 30 3" xfId="18500" xr:uid="{00000000-0005-0000-0000-000044480000}"/>
    <cellStyle name="Normal 2 2 2 3 30 3 10" xfId="18501" xr:uid="{00000000-0005-0000-0000-000045480000}"/>
    <cellStyle name="Normal 2 2 2 3 30 3 2" xfId="18502" xr:uid="{00000000-0005-0000-0000-000046480000}"/>
    <cellStyle name="Normal 2 2 2 3 30 3 3" xfId="18503" xr:uid="{00000000-0005-0000-0000-000047480000}"/>
    <cellStyle name="Normal 2 2 2 3 30 3 4" xfId="18504" xr:uid="{00000000-0005-0000-0000-000048480000}"/>
    <cellStyle name="Normal 2 2 2 3 30 3 5" xfId="18505" xr:uid="{00000000-0005-0000-0000-000049480000}"/>
    <cellStyle name="Normal 2 2 2 3 30 3 6" xfId="18506" xr:uid="{00000000-0005-0000-0000-00004A480000}"/>
    <cellStyle name="Normal 2 2 2 3 30 3 7" xfId="18507" xr:uid="{00000000-0005-0000-0000-00004B480000}"/>
    <cellStyle name="Normal 2 2 2 3 30 3 8" xfId="18508" xr:uid="{00000000-0005-0000-0000-00004C480000}"/>
    <cellStyle name="Normal 2 2 2 3 30 3 9" xfId="18509" xr:uid="{00000000-0005-0000-0000-00004D480000}"/>
    <cellStyle name="Normal 2 2 2 3 30 4" xfId="18510" xr:uid="{00000000-0005-0000-0000-00004E480000}"/>
    <cellStyle name="Normal 2 2 2 3 30 4 10" xfId="18511" xr:uid="{00000000-0005-0000-0000-00004F480000}"/>
    <cellStyle name="Normal 2 2 2 3 30 4 2" xfId="18512" xr:uid="{00000000-0005-0000-0000-000050480000}"/>
    <cellStyle name="Normal 2 2 2 3 30 4 3" xfId="18513" xr:uid="{00000000-0005-0000-0000-000051480000}"/>
    <cellStyle name="Normal 2 2 2 3 30 4 4" xfId="18514" xr:uid="{00000000-0005-0000-0000-000052480000}"/>
    <cellStyle name="Normal 2 2 2 3 30 4 5" xfId="18515" xr:uid="{00000000-0005-0000-0000-000053480000}"/>
    <cellStyle name="Normal 2 2 2 3 30 4 6" xfId="18516" xr:uid="{00000000-0005-0000-0000-000054480000}"/>
    <cellStyle name="Normal 2 2 2 3 30 4 7" xfId="18517" xr:uid="{00000000-0005-0000-0000-000055480000}"/>
    <cellStyle name="Normal 2 2 2 3 30 4 8" xfId="18518" xr:uid="{00000000-0005-0000-0000-000056480000}"/>
    <cellStyle name="Normal 2 2 2 3 30 4 9" xfId="18519" xr:uid="{00000000-0005-0000-0000-000057480000}"/>
    <cellStyle name="Normal 2 2 2 3 30 5" xfId="18520" xr:uid="{00000000-0005-0000-0000-000058480000}"/>
    <cellStyle name="Normal 2 2 2 3 30 5 10" xfId="18521" xr:uid="{00000000-0005-0000-0000-000059480000}"/>
    <cellStyle name="Normal 2 2 2 3 30 5 2" xfId="18522" xr:uid="{00000000-0005-0000-0000-00005A480000}"/>
    <cellStyle name="Normal 2 2 2 3 30 5 3" xfId="18523" xr:uid="{00000000-0005-0000-0000-00005B480000}"/>
    <cellStyle name="Normal 2 2 2 3 30 5 4" xfId="18524" xr:uid="{00000000-0005-0000-0000-00005C480000}"/>
    <cellStyle name="Normal 2 2 2 3 30 5 5" xfId="18525" xr:uid="{00000000-0005-0000-0000-00005D480000}"/>
    <cellStyle name="Normal 2 2 2 3 30 5 6" xfId="18526" xr:uid="{00000000-0005-0000-0000-00005E480000}"/>
    <cellStyle name="Normal 2 2 2 3 30 5 7" xfId="18527" xr:uid="{00000000-0005-0000-0000-00005F480000}"/>
    <cellStyle name="Normal 2 2 2 3 30 5 8" xfId="18528" xr:uid="{00000000-0005-0000-0000-000060480000}"/>
    <cellStyle name="Normal 2 2 2 3 30 5 9" xfId="18529" xr:uid="{00000000-0005-0000-0000-000061480000}"/>
    <cellStyle name="Normal 2 2 2 3 30 6" xfId="18530" xr:uid="{00000000-0005-0000-0000-000062480000}"/>
    <cellStyle name="Normal 2 2 2 3 30 7" xfId="18531" xr:uid="{00000000-0005-0000-0000-000063480000}"/>
    <cellStyle name="Normal 2 2 2 3 30 8" xfId="18532" xr:uid="{00000000-0005-0000-0000-000064480000}"/>
    <cellStyle name="Normal 2 2 2 3 30 9" xfId="18533" xr:uid="{00000000-0005-0000-0000-000065480000}"/>
    <cellStyle name="Normal 2 2 2 3 31" xfId="18534" xr:uid="{00000000-0005-0000-0000-000066480000}"/>
    <cellStyle name="Normal 2 2 2 3 31 10" xfId="18535" xr:uid="{00000000-0005-0000-0000-000067480000}"/>
    <cellStyle name="Normal 2 2 2 3 31 11" xfId="18536" xr:uid="{00000000-0005-0000-0000-000068480000}"/>
    <cellStyle name="Normal 2 2 2 3 31 12" xfId="18537" xr:uid="{00000000-0005-0000-0000-000069480000}"/>
    <cellStyle name="Normal 2 2 2 3 31 13" xfId="18538" xr:uid="{00000000-0005-0000-0000-00006A480000}"/>
    <cellStyle name="Normal 2 2 2 3 31 14" xfId="18539" xr:uid="{00000000-0005-0000-0000-00006B480000}"/>
    <cellStyle name="Normal 2 2 2 3 31 2" xfId="18540" xr:uid="{00000000-0005-0000-0000-00006C480000}"/>
    <cellStyle name="Normal 2 2 2 3 31 2 10" xfId="18541" xr:uid="{00000000-0005-0000-0000-00006D480000}"/>
    <cellStyle name="Normal 2 2 2 3 31 2 2" xfId="18542" xr:uid="{00000000-0005-0000-0000-00006E480000}"/>
    <cellStyle name="Normal 2 2 2 3 31 2 3" xfId="18543" xr:uid="{00000000-0005-0000-0000-00006F480000}"/>
    <cellStyle name="Normal 2 2 2 3 31 2 4" xfId="18544" xr:uid="{00000000-0005-0000-0000-000070480000}"/>
    <cellStyle name="Normal 2 2 2 3 31 2 5" xfId="18545" xr:uid="{00000000-0005-0000-0000-000071480000}"/>
    <cellStyle name="Normal 2 2 2 3 31 2 6" xfId="18546" xr:uid="{00000000-0005-0000-0000-000072480000}"/>
    <cellStyle name="Normal 2 2 2 3 31 2 7" xfId="18547" xr:uid="{00000000-0005-0000-0000-000073480000}"/>
    <cellStyle name="Normal 2 2 2 3 31 2 8" xfId="18548" xr:uid="{00000000-0005-0000-0000-000074480000}"/>
    <cellStyle name="Normal 2 2 2 3 31 2 9" xfId="18549" xr:uid="{00000000-0005-0000-0000-000075480000}"/>
    <cellStyle name="Normal 2 2 2 3 31 3" xfId="18550" xr:uid="{00000000-0005-0000-0000-000076480000}"/>
    <cellStyle name="Normal 2 2 2 3 31 3 10" xfId="18551" xr:uid="{00000000-0005-0000-0000-000077480000}"/>
    <cellStyle name="Normal 2 2 2 3 31 3 2" xfId="18552" xr:uid="{00000000-0005-0000-0000-000078480000}"/>
    <cellStyle name="Normal 2 2 2 3 31 3 3" xfId="18553" xr:uid="{00000000-0005-0000-0000-000079480000}"/>
    <cellStyle name="Normal 2 2 2 3 31 3 4" xfId="18554" xr:uid="{00000000-0005-0000-0000-00007A480000}"/>
    <cellStyle name="Normal 2 2 2 3 31 3 5" xfId="18555" xr:uid="{00000000-0005-0000-0000-00007B480000}"/>
    <cellStyle name="Normal 2 2 2 3 31 3 6" xfId="18556" xr:uid="{00000000-0005-0000-0000-00007C480000}"/>
    <cellStyle name="Normal 2 2 2 3 31 3 7" xfId="18557" xr:uid="{00000000-0005-0000-0000-00007D480000}"/>
    <cellStyle name="Normal 2 2 2 3 31 3 8" xfId="18558" xr:uid="{00000000-0005-0000-0000-00007E480000}"/>
    <cellStyle name="Normal 2 2 2 3 31 3 9" xfId="18559" xr:uid="{00000000-0005-0000-0000-00007F480000}"/>
    <cellStyle name="Normal 2 2 2 3 31 4" xfId="18560" xr:uid="{00000000-0005-0000-0000-000080480000}"/>
    <cellStyle name="Normal 2 2 2 3 31 4 10" xfId="18561" xr:uid="{00000000-0005-0000-0000-000081480000}"/>
    <cellStyle name="Normal 2 2 2 3 31 4 2" xfId="18562" xr:uid="{00000000-0005-0000-0000-000082480000}"/>
    <cellStyle name="Normal 2 2 2 3 31 4 3" xfId="18563" xr:uid="{00000000-0005-0000-0000-000083480000}"/>
    <cellStyle name="Normal 2 2 2 3 31 4 4" xfId="18564" xr:uid="{00000000-0005-0000-0000-000084480000}"/>
    <cellStyle name="Normal 2 2 2 3 31 4 5" xfId="18565" xr:uid="{00000000-0005-0000-0000-000085480000}"/>
    <cellStyle name="Normal 2 2 2 3 31 4 6" xfId="18566" xr:uid="{00000000-0005-0000-0000-000086480000}"/>
    <cellStyle name="Normal 2 2 2 3 31 4 7" xfId="18567" xr:uid="{00000000-0005-0000-0000-000087480000}"/>
    <cellStyle name="Normal 2 2 2 3 31 4 8" xfId="18568" xr:uid="{00000000-0005-0000-0000-000088480000}"/>
    <cellStyle name="Normal 2 2 2 3 31 4 9" xfId="18569" xr:uid="{00000000-0005-0000-0000-000089480000}"/>
    <cellStyle name="Normal 2 2 2 3 31 5" xfId="18570" xr:uid="{00000000-0005-0000-0000-00008A480000}"/>
    <cellStyle name="Normal 2 2 2 3 31 5 10" xfId="18571" xr:uid="{00000000-0005-0000-0000-00008B480000}"/>
    <cellStyle name="Normal 2 2 2 3 31 5 2" xfId="18572" xr:uid="{00000000-0005-0000-0000-00008C480000}"/>
    <cellStyle name="Normal 2 2 2 3 31 5 3" xfId="18573" xr:uid="{00000000-0005-0000-0000-00008D480000}"/>
    <cellStyle name="Normal 2 2 2 3 31 5 4" xfId="18574" xr:uid="{00000000-0005-0000-0000-00008E480000}"/>
    <cellStyle name="Normal 2 2 2 3 31 5 5" xfId="18575" xr:uid="{00000000-0005-0000-0000-00008F480000}"/>
    <cellStyle name="Normal 2 2 2 3 31 5 6" xfId="18576" xr:uid="{00000000-0005-0000-0000-000090480000}"/>
    <cellStyle name="Normal 2 2 2 3 31 5 7" xfId="18577" xr:uid="{00000000-0005-0000-0000-000091480000}"/>
    <cellStyle name="Normal 2 2 2 3 31 5 8" xfId="18578" xr:uid="{00000000-0005-0000-0000-000092480000}"/>
    <cellStyle name="Normal 2 2 2 3 31 5 9" xfId="18579" xr:uid="{00000000-0005-0000-0000-000093480000}"/>
    <cellStyle name="Normal 2 2 2 3 31 6" xfId="18580" xr:uid="{00000000-0005-0000-0000-000094480000}"/>
    <cellStyle name="Normal 2 2 2 3 31 7" xfId="18581" xr:uid="{00000000-0005-0000-0000-000095480000}"/>
    <cellStyle name="Normal 2 2 2 3 31 8" xfId="18582" xr:uid="{00000000-0005-0000-0000-000096480000}"/>
    <cellStyle name="Normal 2 2 2 3 31 9" xfId="18583" xr:uid="{00000000-0005-0000-0000-000097480000}"/>
    <cellStyle name="Normal 2 2 2 3 32" xfId="18584" xr:uid="{00000000-0005-0000-0000-000098480000}"/>
    <cellStyle name="Normal 2 2 2 3 32 10" xfId="18585" xr:uid="{00000000-0005-0000-0000-000099480000}"/>
    <cellStyle name="Normal 2 2 2 3 32 11" xfId="18586" xr:uid="{00000000-0005-0000-0000-00009A480000}"/>
    <cellStyle name="Normal 2 2 2 3 32 12" xfId="18587" xr:uid="{00000000-0005-0000-0000-00009B480000}"/>
    <cellStyle name="Normal 2 2 2 3 32 13" xfId="18588" xr:uid="{00000000-0005-0000-0000-00009C480000}"/>
    <cellStyle name="Normal 2 2 2 3 32 14" xfId="18589" xr:uid="{00000000-0005-0000-0000-00009D480000}"/>
    <cellStyle name="Normal 2 2 2 3 32 2" xfId="18590" xr:uid="{00000000-0005-0000-0000-00009E480000}"/>
    <cellStyle name="Normal 2 2 2 3 32 2 10" xfId="18591" xr:uid="{00000000-0005-0000-0000-00009F480000}"/>
    <cellStyle name="Normal 2 2 2 3 32 2 2" xfId="18592" xr:uid="{00000000-0005-0000-0000-0000A0480000}"/>
    <cellStyle name="Normal 2 2 2 3 32 2 3" xfId="18593" xr:uid="{00000000-0005-0000-0000-0000A1480000}"/>
    <cellStyle name="Normal 2 2 2 3 32 2 4" xfId="18594" xr:uid="{00000000-0005-0000-0000-0000A2480000}"/>
    <cellStyle name="Normal 2 2 2 3 32 2 5" xfId="18595" xr:uid="{00000000-0005-0000-0000-0000A3480000}"/>
    <cellStyle name="Normal 2 2 2 3 32 2 6" xfId="18596" xr:uid="{00000000-0005-0000-0000-0000A4480000}"/>
    <cellStyle name="Normal 2 2 2 3 32 2 7" xfId="18597" xr:uid="{00000000-0005-0000-0000-0000A5480000}"/>
    <cellStyle name="Normal 2 2 2 3 32 2 8" xfId="18598" xr:uid="{00000000-0005-0000-0000-0000A6480000}"/>
    <cellStyle name="Normal 2 2 2 3 32 2 9" xfId="18599" xr:uid="{00000000-0005-0000-0000-0000A7480000}"/>
    <cellStyle name="Normal 2 2 2 3 32 3" xfId="18600" xr:uid="{00000000-0005-0000-0000-0000A8480000}"/>
    <cellStyle name="Normal 2 2 2 3 32 3 10" xfId="18601" xr:uid="{00000000-0005-0000-0000-0000A9480000}"/>
    <cellStyle name="Normal 2 2 2 3 32 3 2" xfId="18602" xr:uid="{00000000-0005-0000-0000-0000AA480000}"/>
    <cellStyle name="Normal 2 2 2 3 32 3 3" xfId="18603" xr:uid="{00000000-0005-0000-0000-0000AB480000}"/>
    <cellStyle name="Normal 2 2 2 3 32 3 4" xfId="18604" xr:uid="{00000000-0005-0000-0000-0000AC480000}"/>
    <cellStyle name="Normal 2 2 2 3 32 3 5" xfId="18605" xr:uid="{00000000-0005-0000-0000-0000AD480000}"/>
    <cellStyle name="Normal 2 2 2 3 32 3 6" xfId="18606" xr:uid="{00000000-0005-0000-0000-0000AE480000}"/>
    <cellStyle name="Normal 2 2 2 3 32 3 7" xfId="18607" xr:uid="{00000000-0005-0000-0000-0000AF480000}"/>
    <cellStyle name="Normal 2 2 2 3 32 3 8" xfId="18608" xr:uid="{00000000-0005-0000-0000-0000B0480000}"/>
    <cellStyle name="Normal 2 2 2 3 32 3 9" xfId="18609" xr:uid="{00000000-0005-0000-0000-0000B1480000}"/>
    <cellStyle name="Normal 2 2 2 3 32 4" xfId="18610" xr:uid="{00000000-0005-0000-0000-0000B2480000}"/>
    <cellStyle name="Normal 2 2 2 3 32 4 10" xfId="18611" xr:uid="{00000000-0005-0000-0000-0000B3480000}"/>
    <cellStyle name="Normal 2 2 2 3 32 4 2" xfId="18612" xr:uid="{00000000-0005-0000-0000-0000B4480000}"/>
    <cellStyle name="Normal 2 2 2 3 32 4 3" xfId="18613" xr:uid="{00000000-0005-0000-0000-0000B5480000}"/>
    <cellStyle name="Normal 2 2 2 3 32 4 4" xfId="18614" xr:uid="{00000000-0005-0000-0000-0000B6480000}"/>
    <cellStyle name="Normal 2 2 2 3 32 4 5" xfId="18615" xr:uid="{00000000-0005-0000-0000-0000B7480000}"/>
    <cellStyle name="Normal 2 2 2 3 32 4 6" xfId="18616" xr:uid="{00000000-0005-0000-0000-0000B8480000}"/>
    <cellStyle name="Normal 2 2 2 3 32 4 7" xfId="18617" xr:uid="{00000000-0005-0000-0000-0000B9480000}"/>
    <cellStyle name="Normal 2 2 2 3 32 4 8" xfId="18618" xr:uid="{00000000-0005-0000-0000-0000BA480000}"/>
    <cellStyle name="Normal 2 2 2 3 32 4 9" xfId="18619" xr:uid="{00000000-0005-0000-0000-0000BB480000}"/>
    <cellStyle name="Normal 2 2 2 3 32 5" xfId="18620" xr:uid="{00000000-0005-0000-0000-0000BC480000}"/>
    <cellStyle name="Normal 2 2 2 3 32 5 10" xfId="18621" xr:uid="{00000000-0005-0000-0000-0000BD480000}"/>
    <cellStyle name="Normal 2 2 2 3 32 5 2" xfId="18622" xr:uid="{00000000-0005-0000-0000-0000BE480000}"/>
    <cellStyle name="Normal 2 2 2 3 32 5 3" xfId="18623" xr:uid="{00000000-0005-0000-0000-0000BF480000}"/>
    <cellStyle name="Normal 2 2 2 3 32 5 4" xfId="18624" xr:uid="{00000000-0005-0000-0000-0000C0480000}"/>
    <cellStyle name="Normal 2 2 2 3 32 5 5" xfId="18625" xr:uid="{00000000-0005-0000-0000-0000C1480000}"/>
    <cellStyle name="Normal 2 2 2 3 32 5 6" xfId="18626" xr:uid="{00000000-0005-0000-0000-0000C2480000}"/>
    <cellStyle name="Normal 2 2 2 3 32 5 7" xfId="18627" xr:uid="{00000000-0005-0000-0000-0000C3480000}"/>
    <cellStyle name="Normal 2 2 2 3 32 5 8" xfId="18628" xr:uid="{00000000-0005-0000-0000-0000C4480000}"/>
    <cellStyle name="Normal 2 2 2 3 32 5 9" xfId="18629" xr:uid="{00000000-0005-0000-0000-0000C5480000}"/>
    <cellStyle name="Normal 2 2 2 3 32 6" xfId="18630" xr:uid="{00000000-0005-0000-0000-0000C6480000}"/>
    <cellStyle name="Normal 2 2 2 3 32 7" xfId="18631" xr:uid="{00000000-0005-0000-0000-0000C7480000}"/>
    <cellStyle name="Normal 2 2 2 3 32 8" xfId="18632" xr:uid="{00000000-0005-0000-0000-0000C8480000}"/>
    <cellStyle name="Normal 2 2 2 3 32 9" xfId="18633" xr:uid="{00000000-0005-0000-0000-0000C9480000}"/>
    <cellStyle name="Normal 2 2 2 3 33" xfId="18634" xr:uid="{00000000-0005-0000-0000-0000CA480000}"/>
    <cellStyle name="Normal 2 2 2 3 33 10" xfId="18635" xr:uid="{00000000-0005-0000-0000-0000CB480000}"/>
    <cellStyle name="Normal 2 2 2 3 33 11" xfId="18636" xr:uid="{00000000-0005-0000-0000-0000CC480000}"/>
    <cellStyle name="Normal 2 2 2 3 33 12" xfId="18637" xr:uid="{00000000-0005-0000-0000-0000CD480000}"/>
    <cellStyle name="Normal 2 2 2 3 33 13" xfId="18638" xr:uid="{00000000-0005-0000-0000-0000CE480000}"/>
    <cellStyle name="Normal 2 2 2 3 33 14" xfId="18639" xr:uid="{00000000-0005-0000-0000-0000CF480000}"/>
    <cellStyle name="Normal 2 2 2 3 33 2" xfId="18640" xr:uid="{00000000-0005-0000-0000-0000D0480000}"/>
    <cellStyle name="Normal 2 2 2 3 33 2 10" xfId="18641" xr:uid="{00000000-0005-0000-0000-0000D1480000}"/>
    <cellStyle name="Normal 2 2 2 3 33 2 2" xfId="18642" xr:uid="{00000000-0005-0000-0000-0000D2480000}"/>
    <cellStyle name="Normal 2 2 2 3 33 2 3" xfId="18643" xr:uid="{00000000-0005-0000-0000-0000D3480000}"/>
    <cellStyle name="Normal 2 2 2 3 33 2 4" xfId="18644" xr:uid="{00000000-0005-0000-0000-0000D4480000}"/>
    <cellStyle name="Normal 2 2 2 3 33 2 5" xfId="18645" xr:uid="{00000000-0005-0000-0000-0000D5480000}"/>
    <cellStyle name="Normal 2 2 2 3 33 2 6" xfId="18646" xr:uid="{00000000-0005-0000-0000-0000D6480000}"/>
    <cellStyle name="Normal 2 2 2 3 33 2 7" xfId="18647" xr:uid="{00000000-0005-0000-0000-0000D7480000}"/>
    <cellStyle name="Normal 2 2 2 3 33 2 8" xfId="18648" xr:uid="{00000000-0005-0000-0000-0000D8480000}"/>
    <cellStyle name="Normal 2 2 2 3 33 2 9" xfId="18649" xr:uid="{00000000-0005-0000-0000-0000D9480000}"/>
    <cellStyle name="Normal 2 2 2 3 33 3" xfId="18650" xr:uid="{00000000-0005-0000-0000-0000DA480000}"/>
    <cellStyle name="Normal 2 2 2 3 33 3 10" xfId="18651" xr:uid="{00000000-0005-0000-0000-0000DB480000}"/>
    <cellStyle name="Normal 2 2 2 3 33 3 2" xfId="18652" xr:uid="{00000000-0005-0000-0000-0000DC480000}"/>
    <cellStyle name="Normal 2 2 2 3 33 3 3" xfId="18653" xr:uid="{00000000-0005-0000-0000-0000DD480000}"/>
    <cellStyle name="Normal 2 2 2 3 33 3 4" xfId="18654" xr:uid="{00000000-0005-0000-0000-0000DE480000}"/>
    <cellStyle name="Normal 2 2 2 3 33 3 5" xfId="18655" xr:uid="{00000000-0005-0000-0000-0000DF480000}"/>
    <cellStyle name="Normal 2 2 2 3 33 3 6" xfId="18656" xr:uid="{00000000-0005-0000-0000-0000E0480000}"/>
    <cellStyle name="Normal 2 2 2 3 33 3 7" xfId="18657" xr:uid="{00000000-0005-0000-0000-0000E1480000}"/>
    <cellStyle name="Normal 2 2 2 3 33 3 8" xfId="18658" xr:uid="{00000000-0005-0000-0000-0000E2480000}"/>
    <cellStyle name="Normal 2 2 2 3 33 3 9" xfId="18659" xr:uid="{00000000-0005-0000-0000-0000E3480000}"/>
    <cellStyle name="Normal 2 2 2 3 33 4" xfId="18660" xr:uid="{00000000-0005-0000-0000-0000E4480000}"/>
    <cellStyle name="Normal 2 2 2 3 33 4 10" xfId="18661" xr:uid="{00000000-0005-0000-0000-0000E5480000}"/>
    <cellStyle name="Normal 2 2 2 3 33 4 2" xfId="18662" xr:uid="{00000000-0005-0000-0000-0000E6480000}"/>
    <cellStyle name="Normal 2 2 2 3 33 4 3" xfId="18663" xr:uid="{00000000-0005-0000-0000-0000E7480000}"/>
    <cellStyle name="Normal 2 2 2 3 33 4 4" xfId="18664" xr:uid="{00000000-0005-0000-0000-0000E8480000}"/>
    <cellStyle name="Normal 2 2 2 3 33 4 5" xfId="18665" xr:uid="{00000000-0005-0000-0000-0000E9480000}"/>
    <cellStyle name="Normal 2 2 2 3 33 4 6" xfId="18666" xr:uid="{00000000-0005-0000-0000-0000EA480000}"/>
    <cellStyle name="Normal 2 2 2 3 33 4 7" xfId="18667" xr:uid="{00000000-0005-0000-0000-0000EB480000}"/>
    <cellStyle name="Normal 2 2 2 3 33 4 8" xfId="18668" xr:uid="{00000000-0005-0000-0000-0000EC480000}"/>
    <cellStyle name="Normal 2 2 2 3 33 4 9" xfId="18669" xr:uid="{00000000-0005-0000-0000-0000ED480000}"/>
    <cellStyle name="Normal 2 2 2 3 33 5" xfId="18670" xr:uid="{00000000-0005-0000-0000-0000EE480000}"/>
    <cellStyle name="Normal 2 2 2 3 33 5 10" xfId="18671" xr:uid="{00000000-0005-0000-0000-0000EF480000}"/>
    <cellStyle name="Normal 2 2 2 3 33 5 2" xfId="18672" xr:uid="{00000000-0005-0000-0000-0000F0480000}"/>
    <cellStyle name="Normal 2 2 2 3 33 5 3" xfId="18673" xr:uid="{00000000-0005-0000-0000-0000F1480000}"/>
    <cellStyle name="Normal 2 2 2 3 33 5 4" xfId="18674" xr:uid="{00000000-0005-0000-0000-0000F2480000}"/>
    <cellStyle name="Normal 2 2 2 3 33 5 5" xfId="18675" xr:uid="{00000000-0005-0000-0000-0000F3480000}"/>
    <cellStyle name="Normal 2 2 2 3 33 5 6" xfId="18676" xr:uid="{00000000-0005-0000-0000-0000F4480000}"/>
    <cellStyle name="Normal 2 2 2 3 33 5 7" xfId="18677" xr:uid="{00000000-0005-0000-0000-0000F5480000}"/>
    <cellStyle name="Normal 2 2 2 3 33 5 8" xfId="18678" xr:uid="{00000000-0005-0000-0000-0000F6480000}"/>
    <cellStyle name="Normal 2 2 2 3 33 5 9" xfId="18679" xr:uid="{00000000-0005-0000-0000-0000F7480000}"/>
    <cellStyle name="Normal 2 2 2 3 33 6" xfId="18680" xr:uid="{00000000-0005-0000-0000-0000F8480000}"/>
    <cellStyle name="Normal 2 2 2 3 33 7" xfId="18681" xr:uid="{00000000-0005-0000-0000-0000F9480000}"/>
    <cellStyle name="Normal 2 2 2 3 33 8" xfId="18682" xr:uid="{00000000-0005-0000-0000-0000FA480000}"/>
    <cellStyle name="Normal 2 2 2 3 33 9" xfId="18683" xr:uid="{00000000-0005-0000-0000-0000FB480000}"/>
    <cellStyle name="Normal 2 2 2 3 34" xfId="18684" xr:uid="{00000000-0005-0000-0000-0000FC480000}"/>
    <cellStyle name="Normal 2 2 2 3 34 10" xfId="18685" xr:uid="{00000000-0005-0000-0000-0000FD480000}"/>
    <cellStyle name="Normal 2 2 2 3 34 2" xfId="18686" xr:uid="{00000000-0005-0000-0000-0000FE480000}"/>
    <cellStyle name="Normal 2 2 2 3 34 3" xfId="18687" xr:uid="{00000000-0005-0000-0000-0000FF480000}"/>
    <cellStyle name="Normal 2 2 2 3 34 4" xfId="18688" xr:uid="{00000000-0005-0000-0000-000000490000}"/>
    <cellStyle name="Normal 2 2 2 3 34 5" xfId="18689" xr:uid="{00000000-0005-0000-0000-000001490000}"/>
    <cellStyle name="Normal 2 2 2 3 34 6" xfId="18690" xr:uid="{00000000-0005-0000-0000-000002490000}"/>
    <cellStyle name="Normal 2 2 2 3 34 7" xfId="18691" xr:uid="{00000000-0005-0000-0000-000003490000}"/>
    <cellStyle name="Normal 2 2 2 3 34 8" xfId="18692" xr:uid="{00000000-0005-0000-0000-000004490000}"/>
    <cellStyle name="Normal 2 2 2 3 34 9" xfId="18693" xr:uid="{00000000-0005-0000-0000-000005490000}"/>
    <cellStyle name="Normal 2 2 2 3 35" xfId="18694" xr:uid="{00000000-0005-0000-0000-000006490000}"/>
    <cellStyle name="Normal 2 2 2 3 35 10" xfId="18695" xr:uid="{00000000-0005-0000-0000-000007490000}"/>
    <cellStyle name="Normal 2 2 2 3 35 2" xfId="18696" xr:uid="{00000000-0005-0000-0000-000008490000}"/>
    <cellStyle name="Normal 2 2 2 3 35 3" xfId="18697" xr:uid="{00000000-0005-0000-0000-000009490000}"/>
    <cellStyle name="Normal 2 2 2 3 35 4" xfId="18698" xr:uid="{00000000-0005-0000-0000-00000A490000}"/>
    <cellStyle name="Normal 2 2 2 3 35 5" xfId="18699" xr:uid="{00000000-0005-0000-0000-00000B490000}"/>
    <cellStyle name="Normal 2 2 2 3 35 6" xfId="18700" xr:uid="{00000000-0005-0000-0000-00000C490000}"/>
    <cellStyle name="Normal 2 2 2 3 35 7" xfId="18701" xr:uid="{00000000-0005-0000-0000-00000D490000}"/>
    <cellStyle name="Normal 2 2 2 3 35 8" xfId="18702" xr:uid="{00000000-0005-0000-0000-00000E490000}"/>
    <cellStyle name="Normal 2 2 2 3 35 9" xfId="18703" xr:uid="{00000000-0005-0000-0000-00000F490000}"/>
    <cellStyle name="Normal 2 2 2 3 36" xfId="18704" xr:uid="{00000000-0005-0000-0000-000010490000}"/>
    <cellStyle name="Normal 2 2 2 3 36 10" xfId="18705" xr:uid="{00000000-0005-0000-0000-000011490000}"/>
    <cellStyle name="Normal 2 2 2 3 36 2" xfId="18706" xr:uid="{00000000-0005-0000-0000-000012490000}"/>
    <cellStyle name="Normal 2 2 2 3 36 3" xfId="18707" xr:uid="{00000000-0005-0000-0000-000013490000}"/>
    <cellStyle name="Normal 2 2 2 3 36 4" xfId="18708" xr:uid="{00000000-0005-0000-0000-000014490000}"/>
    <cellStyle name="Normal 2 2 2 3 36 5" xfId="18709" xr:uid="{00000000-0005-0000-0000-000015490000}"/>
    <cellStyle name="Normal 2 2 2 3 36 6" xfId="18710" xr:uid="{00000000-0005-0000-0000-000016490000}"/>
    <cellStyle name="Normal 2 2 2 3 36 7" xfId="18711" xr:uid="{00000000-0005-0000-0000-000017490000}"/>
    <cellStyle name="Normal 2 2 2 3 36 8" xfId="18712" xr:uid="{00000000-0005-0000-0000-000018490000}"/>
    <cellStyle name="Normal 2 2 2 3 36 9" xfId="18713" xr:uid="{00000000-0005-0000-0000-000019490000}"/>
    <cellStyle name="Normal 2 2 2 3 37" xfId="18714" xr:uid="{00000000-0005-0000-0000-00001A490000}"/>
    <cellStyle name="Normal 2 2 2 3 37 10" xfId="18715" xr:uid="{00000000-0005-0000-0000-00001B490000}"/>
    <cellStyle name="Normal 2 2 2 3 37 2" xfId="18716" xr:uid="{00000000-0005-0000-0000-00001C490000}"/>
    <cellStyle name="Normal 2 2 2 3 37 3" xfId="18717" xr:uid="{00000000-0005-0000-0000-00001D490000}"/>
    <cellStyle name="Normal 2 2 2 3 37 4" xfId="18718" xr:uid="{00000000-0005-0000-0000-00001E490000}"/>
    <cellStyle name="Normal 2 2 2 3 37 5" xfId="18719" xr:uid="{00000000-0005-0000-0000-00001F490000}"/>
    <cellStyle name="Normal 2 2 2 3 37 6" xfId="18720" xr:uid="{00000000-0005-0000-0000-000020490000}"/>
    <cellStyle name="Normal 2 2 2 3 37 7" xfId="18721" xr:uid="{00000000-0005-0000-0000-000021490000}"/>
    <cellStyle name="Normal 2 2 2 3 37 8" xfId="18722" xr:uid="{00000000-0005-0000-0000-000022490000}"/>
    <cellStyle name="Normal 2 2 2 3 37 9" xfId="18723" xr:uid="{00000000-0005-0000-0000-000023490000}"/>
    <cellStyle name="Normal 2 2 2 3 38" xfId="18724" xr:uid="{00000000-0005-0000-0000-000024490000}"/>
    <cellStyle name="Normal 2 2 2 3 39" xfId="18725" xr:uid="{00000000-0005-0000-0000-000025490000}"/>
    <cellStyle name="Normal 2 2 2 3 4" xfId="18726" xr:uid="{00000000-0005-0000-0000-000026490000}"/>
    <cellStyle name="Normal 2 2 2 3 4 10" xfId="18727" xr:uid="{00000000-0005-0000-0000-000027490000}"/>
    <cellStyle name="Normal 2 2 2 3 4 11" xfId="18728" xr:uid="{00000000-0005-0000-0000-000028490000}"/>
    <cellStyle name="Normal 2 2 2 3 4 12" xfId="18729" xr:uid="{00000000-0005-0000-0000-000029490000}"/>
    <cellStyle name="Normal 2 2 2 3 4 13" xfId="18730" xr:uid="{00000000-0005-0000-0000-00002A490000}"/>
    <cellStyle name="Normal 2 2 2 3 4 14" xfId="18731" xr:uid="{00000000-0005-0000-0000-00002B490000}"/>
    <cellStyle name="Normal 2 2 2 3 4 15" xfId="18732" xr:uid="{00000000-0005-0000-0000-00002C490000}"/>
    <cellStyle name="Normal 2 2 2 3 4 16" xfId="18733" xr:uid="{00000000-0005-0000-0000-00002D490000}"/>
    <cellStyle name="Normal 2 2 2 3 4 2" xfId="18734" xr:uid="{00000000-0005-0000-0000-00002E490000}"/>
    <cellStyle name="Normal 2 2 2 3 4 2 10" xfId="18735" xr:uid="{00000000-0005-0000-0000-00002F490000}"/>
    <cellStyle name="Normal 2 2 2 3 4 2 2" xfId="18736" xr:uid="{00000000-0005-0000-0000-000030490000}"/>
    <cellStyle name="Normal 2 2 2 3 4 2 3" xfId="18737" xr:uid="{00000000-0005-0000-0000-000031490000}"/>
    <cellStyle name="Normal 2 2 2 3 4 2 4" xfId="18738" xr:uid="{00000000-0005-0000-0000-000032490000}"/>
    <cellStyle name="Normal 2 2 2 3 4 2 5" xfId="18739" xr:uid="{00000000-0005-0000-0000-000033490000}"/>
    <cellStyle name="Normal 2 2 2 3 4 2 6" xfId="18740" xr:uid="{00000000-0005-0000-0000-000034490000}"/>
    <cellStyle name="Normal 2 2 2 3 4 2 7" xfId="18741" xr:uid="{00000000-0005-0000-0000-000035490000}"/>
    <cellStyle name="Normal 2 2 2 3 4 2 8" xfId="18742" xr:uid="{00000000-0005-0000-0000-000036490000}"/>
    <cellStyle name="Normal 2 2 2 3 4 2 9" xfId="18743" xr:uid="{00000000-0005-0000-0000-000037490000}"/>
    <cellStyle name="Normal 2 2 2 3 4 3" xfId="18744" xr:uid="{00000000-0005-0000-0000-000038490000}"/>
    <cellStyle name="Normal 2 2 2 3 4 3 10" xfId="18745" xr:uid="{00000000-0005-0000-0000-000039490000}"/>
    <cellStyle name="Normal 2 2 2 3 4 3 2" xfId="18746" xr:uid="{00000000-0005-0000-0000-00003A490000}"/>
    <cellStyle name="Normal 2 2 2 3 4 3 3" xfId="18747" xr:uid="{00000000-0005-0000-0000-00003B490000}"/>
    <cellStyle name="Normal 2 2 2 3 4 3 4" xfId="18748" xr:uid="{00000000-0005-0000-0000-00003C490000}"/>
    <cellStyle name="Normal 2 2 2 3 4 3 5" xfId="18749" xr:uid="{00000000-0005-0000-0000-00003D490000}"/>
    <cellStyle name="Normal 2 2 2 3 4 3 6" xfId="18750" xr:uid="{00000000-0005-0000-0000-00003E490000}"/>
    <cellStyle name="Normal 2 2 2 3 4 3 7" xfId="18751" xr:uid="{00000000-0005-0000-0000-00003F490000}"/>
    <cellStyle name="Normal 2 2 2 3 4 3 8" xfId="18752" xr:uid="{00000000-0005-0000-0000-000040490000}"/>
    <cellStyle name="Normal 2 2 2 3 4 3 9" xfId="18753" xr:uid="{00000000-0005-0000-0000-000041490000}"/>
    <cellStyle name="Normal 2 2 2 3 4 4" xfId="18754" xr:uid="{00000000-0005-0000-0000-000042490000}"/>
    <cellStyle name="Normal 2 2 2 3 4 4 10" xfId="18755" xr:uid="{00000000-0005-0000-0000-000043490000}"/>
    <cellStyle name="Normal 2 2 2 3 4 4 2" xfId="18756" xr:uid="{00000000-0005-0000-0000-000044490000}"/>
    <cellStyle name="Normal 2 2 2 3 4 4 3" xfId="18757" xr:uid="{00000000-0005-0000-0000-000045490000}"/>
    <cellStyle name="Normal 2 2 2 3 4 4 4" xfId="18758" xr:uid="{00000000-0005-0000-0000-000046490000}"/>
    <cellStyle name="Normal 2 2 2 3 4 4 5" xfId="18759" xr:uid="{00000000-0005-0000-0000-000047490000}"/>
    <cellStyle name="Normal 2 2 2 3 4 4 6" xfId="18760" xr:uid="{00000000-0005-0000-0000-000048490000}"/>
    <cellStyle name="Normal 2 2 2 3 4 4 7" xfId="18761" xr:uid="{00000000-0005-0000-0000-000049490000}"/>
    <cellStyle name="Normal 2 2 2 3 4 4 8" xfId="18762" xr:uid="{00000000-0005-0000-0000-00004A490000}"/>
    <cellStyle name="Normal 2 2 2 3 4 4 9" xfId="18763" xr:uid="{00000000-0005-0000-0000-00004B490000}"/>
    <cellStyle name="Normal 2 2 2 3 4 5" xfId="18764" xr:uid="{00000000-0005-0000-0000-00004C490000}"/>
    <cellStyle name="Normal 2 2 2 3 4 5 10" xfId="18765" xr:uid="{00000000-0005-0000-0000-00004D490000}"/>
    <cellStyle name="Normal 2 2 2 3 4 5 2" xfId="18766" xr:uid="{00000000-0005-0000-0000-00004E490000}"/>
    <cellStyle name="Normal 2 2 2 3 4 5 3" xfId="18767" xr:uid="{00000000-0005-0000-0000-00004F490000}"/>
    <cellStyle name="Normal 2 2 2 3 4 5 4" xfId="18768" xr:uid="{00000000-0005-0000-0000-000050490000}"/>
    <cellStyle name="Normal 2 2 2 3 4 5 5" xfId="18769" xr:uid="{00000000-0005-0000-0000-000051490000}"/>
    <cellStyle name="Normal 2 2 2 3 4 5 6" xfId="18770" xr:uid="{00000000-0005-0000-0000-000052490000}"/>
    <cellStyle name="Normal 2 2 2 3 4 5 7" xfId="18771" xr:uid="{00000000-0005-0000-0000-000053490000}"/>
    <cellStyle name="Normal 2 2 2 3 4 5 8" xfId="18772" xr:uid="{00000000-0005-0000-0000-000054490000}"/>
    <cellStyle name="Normal 2 2 2 3 4 5 9" xfId="18773" xr:uid="{00000000-0005-0000-0000-000055490000}"/>
    <cellStyle name="Normal 2 2 2 3 4 6" xfId="18774" xr:uid="{00000000-0005-0000-0000-000056490000}"/>
    <cellStyle name="Normal 2 2 2 3 4 7" xfId="18775" xr:uid="{00000000-0005-0000-0000-000057490000}"/>
    <cellStyle name="Normal 2 2 2 3 4 8" xfId="18776" xr:uid="{00000000-0005-0000-0000-000058490000}"/>
    <cellStyle name="Normal 2 2 2 3 4 9" xfId="18777" xr:uid="{00000000-0005-0000-0000-000059490000}"/>
    <cellStyle name="Normal 2 2 2 3 40" xfId="18778" xr:uid="{00000000-0005-0000-0000-00005A490000}"/>
    <cellStyle name="Normal 2 2 2 3 41" xfId="18779" xr:uid="{00000000-0005-0000-0000-00005B490000}"/>
    <cellStyle name="Normal 2 2 2 3 42" xfId="18780" xr:uid="{00000000-0005-0000-0000-00005C490000}"/>
    <cellStyle name="Normal 2 2 2 3 43" xfId="18781" xr:uid="{00000000-0005-0000-0000-00005D490000}"/>
    <cellStyle name="Normal 2 2 2 3 44" xfId="18782" xr:uid="{00000000-0005-0000-0000-00005E490000}"/>
    <cellStyle name="Normal 2 2 2 3 45" xfId="18783" xr:uid="{00000000-0005-0000-0000-00005F490000}"/>
    <cellStyle name="Normal 2 2 2 3 46" xfId="18784" xr:uid="{00000000-0005-0000-0000-000060490000}"/>
    <cellStyle name="Normal 2 2 2 3 47" xfId="18785" xr:uid="{00000000-0005-0000-0000-000061490000}"/>
    <cellStyle name="Normal 2 2 2 3 48" xfId="18786" xr:uid="{00000000-0005-0000-0000-000062490000}"/>
    <cellStyle name="Normal 2 2 2 3 49" xfId="18787" xr:uid="{00000000-0005-0000-0000-000063490000}"/>
    <cellStyle name="Normal 2 2 2 3 5" xfId="18788" xr:uid="{00000000-0005-0000-0000-000064490000}"/>
    <cellStyle name="Normal 2 2 2 3 5 10" xfId="18789" xr:uid="{00000000-0005-0000-0000-000065490000}"/>
    <cellStyle name="Normal 2 2 2 3 5 11" xfId="18790" xr:uid="{00000000-0005-0000-0000-000066490000}"/>
    <cellStyle name="Normal 2 2 2 3 5 12" xfId="18791" xr:uid="{00000000-0005-0000-0000-000067490000}"/>
    <cellStyle name="Normal 2 2 2 3 5 13" xfId="18792" xr:uid="{00000000-0005-0000-0000-000068490000}"/>
    <cellStyle name="Normal 2 2 2 3 5 14" xfId="18793" xr:uid="{00000000-0005-0000-0000-000069490000}"/>
    <cellStyle name="Normal 2 2 2 3 5 15" xfId="18794" xr:uid="{00000000-0005-0000-0000-00006A490000}"/>
    <cellStyle name="Normal 2 2 2 3 5 2" xfId="18795" xr:uid="{00000000-0005-0000-0000-00006B490000}"/>
    <cellStyle name="Normal 2 2 2 3 5 2 10" xfId="18796" xr:uid="{00000000-0005-0000-0000-00006C490000}"/>
    <cellStyle name="Normal 2 2 2 3 5 2 2" xfId="18797" xr:uid="{00000000-0005-0000-0000-00006D490000}"/>
    <cellStyle name="Normal 2 2 2 3 5 2 3" xfId="18798" xr:uid="{00000000-0005-0000-0000-00006E490000}"/>
    <cellStyle name="Normal 2 2 2 3 5 2 4" xfId="18799" xr:uid="{00000000-0005-0000-0000-00006F490000}"/>
    <cellStyle name="Normal 2 2 2 3 5 2 5" xfId="18800" xr:uid="{00000000-0005-0000-0000-000070490000}"/>
    <cellStyle name="Normal 2 2 2 3 5 2 6" xfId="18801" xr:uid="{00000000-0005-0000-0000-000071490000}"/>
    <cellStyle name="Normal 2 2 2 3 5 2 7" xfId="18802" xr:uid="{00000000-0005-0000-0000-000072490000}"/>
    <cellStyle name="Normal 2 2 2 3 5 2 8" xfId="18803" xr:uid="{00000000-0005-0000-0000-000073490000}"/>
    <cellStyle name="Normal 2 2 2 3 5 2 9" xfId="18804" xr:uid="{00000000-0005-0000-0000-000074490000}"/>
    <cellStyle name="Normal 2 2 2 3 5 3" xfId="18805" xr:uid="{00000000-0005-0000-0000-000075490000}"/>
    <cellStyle name="Normal 2 2 2 3 5 3 10" xfId="18806" xr:uid="{00000000-0005-0000-0000-000076490000}"/>
    <cellStyle name="Normal 2 2 2 3 5 3 2" xfId="18807" xr:uid="{00000000-0005-0000-0000-000077490000}"/>
    <cellStyle name="Normal 2 2 2 3 5 3 3" xfId="18808" xr:uid="{00000000-0005-0000-0000-000078490000}"/>
    <cellStyle name="Normal 2 2 2 3 5 3 4" xfId="18809" xr:uid="{00000000-0005-0000-0000-000079490000}"/>
    <cellStyle name="Normal 2 2 2 3 5 3 5" xfId="18810" xr:uid="{00000000-0005-0000-0000-00007A490000}"/>
    <cellStyle name="Normal 2 2 2 3 5 3 6" xfId="18811" xr:uid="{00000000-0005-0000-0000-00007B490000}"/>
    <cellStyle name="Normal 2 2 2 3 5 3 7" xfId="18812" xr:uid="{00000000-0005-0000-0000-00007C490000}"/>
    <cellStyle name="Normal 2 2 2 3 5 3 8" xfId="18813" xr:uid="{00000000-0005-0000-0000-00007D490000}"/>
    <cellStyle name="Normal 2 2 2 3 5 3 9" xfId="18814" xr:uid="{00000000-0005-0000-0000-00007E490000}"/>
    <cellStyle name="Normal 2 2 2 3 5 4" xfId="18815" xr:uid="{00000000-0005-0000-0000-00007F490000}"/>
    <cellStyle name="Normal 2 2 2 3 5 4 10" xfId="18816" xr:uid="{00000000-0005-0000-0000-000080490000}"/>
    <cellStyle name="Normal 2 2 2 3 5 4 2" xfId="18817" xr:uid="{00000000-0005-0000-0000-000081490000}"/>
    <cellStyle name="Normal 2 2 2 3 5 4 3" xfId="18818" xr:uid="{00000000-0005-0000-0000-000082490000}"/>
    <cellStyle name="Normal 2 2 2 3 5 4 4" xfId="18819" xr:uid="{00000000-0005-0000-0000-000083490000}"/>
    <cellStyle name="Normal 2 2 2 3 5 4 5" xfId="18820" xr:uid="{00000000-0005-0000-0000-000084490000}"/>
    <cellStyle name="Normal 2 2 2 3 5 4 6" xfId="18821" xr:uid="{00000000-0005-0000-0000-000085490000}"/>
    <cellStyle name="Normal 2 2 2 3 5 4 7" xfId="18822" xr:uid="{00000000-0005-0000-0000-000086490000}"/>
    <cellStyle name="Normal 2 2 2 3 5 4 8" xfId="18823" xr:uid="{00000000-0005-0000-0000-000087490000}"/>
    <cellStyle name="Normal 2 2 2 3 5 4 9" xfId="18824" xr:uid="{00000000-0005-0000-0000-000088490000}"/>
    <cellStyle name="Normal 2 2 2 3 5 5" xfId="18825" xr:uid="{00000000-0005-0000-0000-000089490000}"/>
    <cellStyle name="Normal 2 2 2 3 5 5 10" xfId="18826" xr:uid="{00000000-0005-0000-0000-00008A490000}"/>
    <cellStyle name="Normal 2 2 2 3 5 5 2" xfId="18827" xr:uid="{00000000-0005-0000-0000-00008B490000}"/>
    <cellStyle name="Normal 2 2 2 3 5 5 3" xfId="18828" xr:uid="{00000000-0005-0000-0000-00008C490000}"/>
    <cellStyle name="Normal 2 2 2 3 5 5 4" xfId="18829" xr:uid="{00000000-0005-0000-0000-00008D490000}"/>
    <cellStyle name="Normal 2 2 2 3 5 5 5" xfId="18830" xr:uid="{00000000-0005-0000-0000-00008E490000}"/>
    <cellStyle name="Normal 2 2 2 3 5 5 6" xfId="18831" xr:uid="{00000000-0005-0000-0000-00008F490000}"/>
    <cellStyle name="Normal 2 2 2 3 5 5 7" xfId="18832" xr:uid="{00000000-0005-0000-0000-000090490000}"/>
    <cellStyle name="Normal 2 2 2 3 5 5 8" xfId="18833" xr:uid="{00000000-0005-0000-0000-000091490000}"/>
    <cellStyle name="Normal 2 2 2 3 5 5 9" xfId="18834" xr:uid="{00000000-0005-0000-0000-000092490000}"/>
    <cellStyle name="Normal 2 2 2 3 5 6" xfId="18835" xr:uid="{00000000-0005-0000-0000-000093490000}"/>
    <cellStyle name="Normal 2 2 2 3 5 7" xfId="18836" xr:uid="{00000000-0005-0000-0000-000094490000}"/>
    <cellStyle name="Normal 2 2 2 3 5 8" xfId="18837" xr:uid="{00000000-0005-0000-0000-000095490000}"/>
    <cellStyle name="Normal 2 2 2 3 5 9" xfId="18838" xr:uid="{00000000-0005-0000-0000-000096490000}"/>
    <cellStyle name="Normal 2 2 2 3 6" xfId="18839" xr:uid="{00000000-0005-0000-0000-000097490000}"/>
    <cellStyle name="Normal 2 2 2 3 6 10" xfId="18840" xr:uid="{00000000-0005-0000-0000-000098490000}"/>
    <cellStyle name="Normal 2 2 2 3 6 11" xfId="18841" xr:uid="{00000000-0005-0000-0000-000099490000}"/>
    <cellStyle name="Normal 2 2 2 3 6 12" xfId="18842" xr:uid="{00000000-0005-0000-0000-00009A490000}"/>
    <cellStyle name="Normal 2 2 2 3 6 13" xfId="18843" xr:uid="{00000000-0005-0000-0000-00009B490000}"/>
    <cellStyle name="Normal 2 2 2 3 6 14" xfId="18844" xr:uid="{00000000-0005-0000-0000-00009C490000}"/>
    <cellStyle name="Normal 2 2 2 3 6 15" xfId="18845" xr:uid="{00000000-0005-0000-0000-00009D490000}"/>
    <cellStyle name="Normal 2 2 2 3 6 2" xfId="18846" xr:uid="{00000000-0005-0000-0000-00009E490000}"/>
    <cellStyle name="Normal 2 2 2 3 6 2 10" xfId="18847" xr:uid="{00000000-0005-0000-0000-00009F490000}"/>
    <cellStyle name="Normal 2 2 2 3 6 2 2" xfId="18848" xr:uid="{00000000-0005-0000-0000-0000A0490000}"/>
    <cellStyle name="Normal 2 2 2 3 6 2 3" xfId="18849" xr:uid="{00000000-0005-0000-0000-0000A1490000}"/>
    <cellStyle name="Normal 2 2 2 3 6 2 4" xfId="18850" xr:uid="{00000000-0005-0000-0000-0000A2490000}"/>
    <cellStyle name="Normal 2 2 2 3 6 2 5" xfId="18851" xr:uid="{00000000-0005-0000-0000-0000A3490000}"/>
    <cellStyle name="Normal 2 2 2 3 6 2 6" xfId="18852" xr:uid="{00000000-0005-0000-0000-0000A4490000}"/>
    <cellStyle name="Normal 2 2 2 3 6 2 7" xfId="18853" xr:uid="{00000000-0005-0000-0000-0000A5490000}"/>
    <cellStyle name="Normal 2 2 2 3 6 2 8" xfId="18854" xr:uid="{00000000-0005-0000-0000-0000A6490000}"/>
    <cellStyle name="Normal 2 2 2 3 6 2 9" xfId="18855" xr:uid="{00000000-0005-0000-0000-0000A7490000}"/>
    <cellStyle name="Normal 2 2 2 3 6 3" xfId="18856" xr:uid="{00000000-0005-0000-0000-0000A8490000}"/>
    <cellStyle name="Normal 2 2 2 3 6 3 10" xfId="18857" xr:uid="{00000000-0005-0000-0000-0000A9490000}"/>
    <cellStyle name="Normal 2 2 2 3 6 3 2" xfId="18858" xr:uid="{00000000-0005-0000-0000-0000AA490000}"/>
    <cellStyle name="Normal 2 2 2 3 6 3 3" xfId="18859" xr:uid="{00000000-0005-0000-0000-0000AB490000}"/>
    <cellStyle name="Normal 2 2 2 3 6 3 4" xfId="18860" xr:uid="{00000000-0005-0000-0000-0000AC490000}"/>
    <cellStyle name="Normal 2 2 2 3 6 3 5" xfId="18861" xr:uid="{00000000-0005-0000-0000-0000AD490000}"/>
    <cellStyle name="Normal 2 2 2 3 6 3 6" xfId="18862" xr:uid="{00000000-0005-0000-0000-0000AE490000}"/>
    <cellStyle name="Normal 2 2 2 3 6 3 7" xfId="18863" xr:uid="{00000000-0005-0000-0000-0000AF490000}"/>
    <cellStyle name="Normal 2 2 2 3 6 3 8" xfId="18864" xr:uid="{00000000-0005-0000-0000-0000B0490000}"/>
    <cellStyle name="Normal 2 2 2 3 6 3 9" xfId="18865" xr:uid="{00000000-0005-0000-0000-0000B1490000}"/>
    <cellStyle name="Normal 2 2 2 3 6 4" xfId="18866" xr:uid="{00000000-0005-0000-0000-0000B2490000}"/>
    <cellStyle name="Normal 2 2 2 3 6 4 10" xfId="18867" xr:uid="{00000000-0005-0000-0000-0000B3490000}"/>
    <cellStyle name="Normal 2 2 2 3 6 4 2" xfId="18868" xr:uid="{00000000-0005-0000-0000-0000B4490000}"/>
    <cellStyle name="Normal 2 2 2 3 6 4 3" xfId="18869" xr:uid="{00000000-0005-0000-0000-0000B5490000}"/>
    <cellStyle name="Normal 2 2 2 3 6 4 4" xfId="18870" xr:uid="{00000000-0005-0000-0000-0000B6490000}"/>
    <cellStyle name="Normal 2 2 2 3 6 4 5" xfId="18871" xr:uid="{00000000-0005-0000-0000-0000B7490000}"/>
    <cellStyle name="Normal 2 2 2 3 6 4 6" xfId="18872" xr:uid="{00000000-0005-0000-0000-0000B8490000}"/>
    <cellStyle name="Normal 2 2 2 3 6 4 7" xfId="18873" xr:uid="{00000000-0005-0000-0000-0000B9490000}"/>
    <cellStyle name="Normal 2 2 2 3 6 4 8" xfId="18874" xr:uid="{00000000-0005-0000-0000-0000BA490000}"/>
    <cellStyle name="Normal 2 2 2 3 6 4 9" xfId="18875" xr:uid="{00000000-0005-0000-0000-0000BB490000}"/>
    <cellStyle name="Normal 2 2 2 3 6 5" xfId="18876" xr:uid="{00000000-0005-0000-0000-0000BC490000}"/>
    <cellStyle name="Normal 2 2 2 3 6 5 10" xfId="18877" xr:uid="{00000000-0005-0000-0000-0000BD490000}"/>
    <cellStyle name="Normal 2 2 2 3 6 5 2" xfId="18878" xr:uid="{00000000-0005-0000-0000-0000BE490000}"/>
    <cellStyle name="Normal 2 2 2 3 6 5 3" xfId="18879" xr:uid="{00000000-0005-0000-0000-0000BF490000}"/>
    <cellStyle name="Normal 2 2 2 3 6 5 4" xfId="18880" xr:uid="{00000000-0005-0000-0000-0000C0490000}"/>
    <cellStyle name="Normal 2 2 2 3 6 5 5" xfId="18881" xr:uid="{00000000-0005-0000-0000-0000C1490000}"/>
    <cellStyle name="Normal 2 2 2 3 6 5 6" xfId="18882" xr:uid="{00000000-0005-0000-0000-0000C2490000}"/>
    <cellStyle name="Normal 2 2 2 3 6 5 7" xfId="18883" xr:uid="{00000000-0005-0000-0000-0000C3490000}"/>
    <cellStyle name="Normal 2 2 2 3 6 5 8" xfId="18884" xr:uid="{00000000-0005-0000-0000-0000C4490000}"/>
    <cellStyle name="Normal 2 2 2 3 6 5 9" xfId="18885" xr:uid="{00000000-0005-0000-0000-0000C5490000}"/>
    <cellStyle name="Normal 2 2 2 3 6 6" xfId="18886" xr:uid="{00000000-0005-0000-0000-0000C6490000}"/>
    <cellStyle name="Normal 2 2 2 3 6 7" xfId="18887" xr:uid="{00000000-0005-0000-0000-0000C7490000}"/>
    <cellStyle name="Normal 2 2 2 3 6 8" xfId="18888" xr:uid="{00000000-0005-0000-0000-0000C8490000}"/>
    <cellStyle name="Normal 2 2 2 3 6 9" xfId="18889" xr:uid="{00000000-0005-0000-0000-0000C9490000}"/>
    <cellStyle name="Normal 2 2 2 3 7" xfId="18890" xr:uid="{00000000-0005-0000-0000-0000CA490000}"/>
    <cellStyle name="Normal 2 2 2 3 7 10" xfId="18891" xr:uid="{00000000-0005-0000-0000-0000CB490000}"/>
    <cellStyle name="Normal 2 2 2 3 7 11" xfId="18892" xr:uid="{00000000-0005-0000-0000-0000CC490000}"/>
    <cellStyle name="Normal 2 2 2 3 7 12" xfId="18893" xr:uid="{00000000-0005-0000-0000-0000CD490000}"/>
    <cellStyle name="Normal 2 2 2 3 7 13" xfId="18894" xr:uid="{00000000-0005-0000-0000-0000CE490000}"/>
    <cellStyle name="Normal 2 2 2 3 7 14" xfId="18895" xr:uid="{00000000-0005-0000-0000-0000CF490000}"/>
    <cellStyle name="Normal 2 2 2 3 7 15" xfId="18896" xr:uid="{00000000-0005-0000-0000-0000D0490000}"/>
    <cellStyle name="Normal 2 2 2 3 7 2" xfId="18897" xr:uid="{00000000-0005-0000-0000-0000D1490000}"/>
    <cellStyle name="Normal 2 2 2 3 7 2 10" xfId="18898" xr:uid="{00000000-0005-0000-0000-0000D2490000}"/>
    <cellStyle name="Normal 2 2 2 3 7 2 2" xfId="18899" xr:uid="{00000000-0005-0000-0000-0000D3490000}"/>
    <cellStyle name="Normal 2 2 2 3 7 2 3" xfId="18900" xr:uid="{00000000-0005-0000-0000-0000D4490000}"/>
    <cellStyle name="Normal 2 2 2 3 7 2 4" xfId="18901" xr:uid="{00000000-0005-0000-0000-0000D5490000}"/>
    <cellStyle name="Normal 2 2 2 3 7 2 5" xfId="18902" xr:uid="{00000000-0005-0000-0000-0000D6490000}"/>
    <cellStyle name="Normal 2 2 2 3 7 2 6" xfId="18903" xr:uid="{00000000-0005-0000-0000-0000D7490000}"/>
    <cellStyle name="Normal 2 2 2 3 7 2 7" xfId="18904" xr:uid="{00000000-0005-0000-0000-0000D8490000}"/>
    <cellStyle name="Normal 2 2 2 3 7 2 8" xfId="18905" xr:uid="{00000000-0005-0000-0000-0000D9490000}"/>
    <cellStyle name="Normal 2 2 2 3 7 2 9" xfId="18906" xr:uid="{00000000-0005-0000-0000-0000DA490000}"/>
    <cellStyle name="Normal 2 2 2 3 7 3" xfId="18907" xr:uid="{00000000-0005-0000-0000-0000DB490000}"/>
    <cellStyle name="Normal 2 2 2 3 7 3 10" xfId="18908" xr:uid="{00000000-0005-0000-0000-0000DC490000}"/>
    <cellStyle name="Normal 2 2 2 3 7 3 2" xfId="18909" xr:uid="{00000000-0005-0000-0000-0000DD490000}"/>
    <cellStyle name="Normal 2 2 2 3 7 3 3" xfId="18910" xr:uid="{00000000-0005-0000-0000-0000DE490000}"/>
    <cellStyle name="Normal 2 2 2 3 7 3 4" xfId="18911" xr:uid="{00000000-0005-0000-0000-0000DF490000}"/>
    <cellStyle name="Normal 2 2 2 3 7 3 5" xfId="18912" xr:uid="{00000000-0005-0000-0000-0000E0490000}"/>
    <cellStyle name="Normal 2 2 2 3 7 3 6" xfId="18913" xr:uid="{00000000-0005-0000-0000-0000E1490000}"/>
    <cellStyle name="Normal 2 2 2 3 7 3 7" xfId="18914" xr:uid="{00000000-0005-0000-0000-0000E2490000}"/>
    <cellStyle name="Normal 2 2 2 3 7 3 8" xfId="18915" xr:uid="{00000000-0005-0000-0000-0000E3490000}"/>
    <cellStyle name="Normal 2 2 2 3 7 3 9" xfId="18916" xr:uid="{00000000-0005-0000-0000-0000E4490000}"/>
    <cellStyle name="Normal 2 2 2 3 7 4" xfId="18917" xr:uid="{00000000-0005-0000-0000-0000E5490000}"/>
    <cellStyle name="Normal 2 2 2 3 7 4 10" xfId="18918" xr:uid="{00000000-0005-0000-0000-0000E6490000}"/>
    <cellStyle name="Normal 2 2 2 3 7 4 2" xfId="18919" xr:uid="{00000000-0005-0000-0000-0000E7490000}"/>
    <cellStyle name="Normal 2 2 2 3 7 4 3" xfId="18920" xr:uid="{00000000-0005-0000-0000-0000E8490000}"/>
    <cellStyle name="Normal 2 2 2 3 7 4 4" xfId="18921" xr:uid="{00000000-0005-0000-0000-0000E9490000}"/>
    <cellStyle name="Normal 2 2 2 3 7 4 5" xfId="18922" xr:uid="{00000000-0005-0000-0000-0000EA490000}"/>
    <cellStyle name="Normal 2 2 2 3 7 4 6" xfId="18923" xr:uid="{00000000-0005-0000-0000-0000EB490000}"/>
    <cellStyle name="Normal 2 2 2 3 7 4 7" xfId="18924" xr:uid="{00000000-0005-0000-0000-0000EC490000}"/>
    <cellStyle name="Normal 2 2 2 3 7 4 8" xfId="18925" xr:uid="{00000000-0005-0000-0000-0000ED490000}"/>
    <cellStyle name="Normal 2 2 2 3 7 4 9" xfId="18926" xr:uid="{00000000-0005-0000-0000-0000EE490000}"/>
    <cellStyle name="Normal 2 2 2 3 7 5" xfId="18927" xr:uid="{00000000-0005-0000-0000-0000EF490000}"/>
    <cellStyle name="Normal 2 2 2 3 7 5 10" xfId="18928" xr:uid="{00000000-0005-0000-0000-0000F0490000}"/>
    <cellStyle name="Normal 2 2 2 3 7 5 2" xfId="18929" xr:uid="{00000000-0005-0000-0000-0000F1490000}"/>
    <cellStyle name="Normal 2 2 2 3 7 5 3" xfId="18930" xr:uid="{00000000-0005-0000-0000-0000F2490000}"/>
    <cellStyle name="Normal 2 2 2 3 7 5 4" xfId="18931" xr:uid="{00000000-0005-0000-0000-0000F3490000}"/>
    <cellStyle name="Normal 2 2 2 3 7 5 5" xfId="18932" xr:uid="{00000000-0005-0000-0000-0000F4490000}"/>
    <cellStyle name="Normal 2 2 2 3 7 5 6" xfId="18933" xr:uid="{00000000-0005-0000-0000-0000F5490000}"/>
    <cellStyle name="Normal 2 2 2 3 7 5 7" xfId="18934" xr:uid="{00000000-0005-0000-0000-0000F6490000}"/>
    <cellStyle name="Normal 2 2 2 3 7 5 8" xfId="18935" xr:uid="{00000000-0005-0000-0000-0000F7490000}"/>
    <cellStyle name="Normal 2 2 2 3 7 5 9" xfId="18936" xr:uid="{00000000-0005-0000-0000-0000F8490000}"/>
    <cellStyle name="Normal 2 2 2 3 7 6" xfId="18937" xr:uid="{00000000-0005-0000-0000-0000F9490000}"/>
    <cellStyle name="Normal 2 2 2 3 7 7" xfId="18938" xr:uid="{00000000-0005-0000-0000-0000FA490000}"/>
    <cellStyle name="Normal 2 2 2 3 7 8" xfId="18939" xr:uid="{00000000-0005-0000-0000-0000FB490000}"/>
    <cellStyle name="Normal 2 2 2 3 7 9" xfId="18940" xr:uid="{00000000-0005-0000-0000-0000FC490000}"/>
    <cellStyle name="Normal 2 2 2 3 8" xfId="18941" xr:uid="{00000000-0005-0000-0000-0000FD490000}"/>
    <cellStyle name="Normal 2 2 2 3 8 10" xfId="18942" xr:uid="{00000000-0005-0000-0000-0000FE490000}"/>
    <cellStyle name="Normal 2 2 2 3 8 11" xfId="18943" xr:uid="{00000000-0005-0000-0000-0000FF490000}"/>
    <cellStyle name="Normal 2 2 2 3 8 12" xfId="18944" xr:uid="{00000000-0005-0000-0000-0000004A0000}"/>
    <cellStyle name="Normal 2 2 2 3 8 13" xfId="18945" xr:uid="{00000000-0005-0000-0000-0000014A0000}"/>
    <cellStyle name="Normal 2 2 2 3 8 14" xfId="18946" xr:uid="{00000000-0005-0000-0000-0000024A0000}"/>
    <cellStyle name="Normal 2 2 2 3 8 2" xfId="18947" xr:uid="{00000000-0005-0000-0000-0000034A0000}"/>
    <cellStyle name="Normal 2 2 2 3 8 2 10" xfId="18948" xr:uid="{00000000-0005-0000-0000-0000044A0000}"/>
    <cellStyle name="Normal 2 2 2 3 8 2 2" xfId="18949" xr:uid="{00000000-0005-0000-0000-0000054A0000}"/>
    <cellStyle name="Normal 2 2 2 3 8 2 3" xfId="18950" xr:uid="{00000000-0005-0000-0000-0000064A0000}"/>
    <cellStyle name="Normal 2 2 2 3 8 2 4" xfId="18951" xr:uid="{00000000-0005-0000-0000-0000074A0000}"/>
    <cellStyle name="Normal 2 2 2 3 8 2 5" xfId="18952" xr:uid="{00000000-0005-0000-0000-0000084A0000}"/>
    <cellStyle name="Normal 2 2 2 3 8 2 6" xfId="18953" xr:uid="{00000000-0005-0000-0000-0000094A0000}"/>
    <cellStyle name="Normal 2 2 2 3 8 2 7" xfId="18954" xr:uid="{00000000-0005-0000-0000-00000A4A0000}"/>
    <cellStyle name="Normal 2 2 2 3 8 2 8" xfId="18955" xr:uid="{00000000-0005-0000-0000-00000B4A0000}"/>
    <cellStyle name="Normal 2 2 2 3 8 2 9" xfId="18956" xr:uid="{00000000-0005-0000-0000-00000C4A0000}"/>
    <cellStyle name="Normal 2 2 2 3 8 3" xfId="18957" xr:uid="{00000000-0005-0000-0000-00000D4A0000}"/>
    <cellStyle name="Normal 2 2 2 3 8 3 10" xfId="18958" xr:uid="{00000000-0005-0000-0000-00000E4A0000}"/>
    <cellStyle name="Normal 2 2 2 3 8 3 2" xfId="18959" xr:uid="{00000000-0005-0000-0000-00000F4A0000}"/>
    <cellStyle name="Normal 2 2 2 3 8 3 3" xfId="18960" xr:uid="{00000000-0005-0000-0000-0000104A0000}"/>
    <cellStyle name="Normal 2 2 2 3 8 3 4" xfId="18961" xr:uid="{00000000-0005-0000-0000-0000114A0000}"/>
    <cellStyle name="Normal 2 2 2 3 8 3 5" xfId="18962" xr:uid="{00000000-0005-0000-0000-0000124A0000}"/>
    <cellStyle name="Normal 2 2 2 3 8 3 6" xfId="18963" xr:uid="{00000000-0005-0000-0000-0000134A0000}"/>
    <cellStyle name="Normal 2 2 2 3 8 3 7" xfId="18964" xr:uid="{00000000-0005-0000-0000-0000144A0000}"/>
    <cellStyle name="Normal 2 2 2 3 8 3 8" xfId="18965" xr:uid="{00000000-0005-0000-0000-0000154A0000}"/>
    <cellStyle name="Normal 2 2 2 3 8 3 9" xfId="18966" xr:uid="{00000000-0005-0000-0000-0000164A0000}"/>
    <cellStyle name="Normal 2 2 2 3 8 4" xfId="18967" xr:uid="{00000000-0005-0000-0000-0000174A0000}"/>
    <cellStyle name="Normal 2 2 2 3 8 4 10" xfId="18968" xr:uid="{00000000-0005-0000-0000-0000184A0000}"/>
    <cellStyle name="Normal 2 2 2 3 8 4 2" xfId="18969" xr:uid="{00000000-0005-0000-0000-0000194A0000}"/>
    <cellStyle name="Normal 2 2 2 3 8 4 3" xfId="18970" xr:uid="{00000000-0005-0000-0000-00001A4A0000}"/>
    <cellStyle name="Normal 2 2 2 3 8 4 4" xfId="18971" xr:uid="{00000000-0005-0000-0000-00001B4A0000}"/>
    <cellStyle name="Normal 2 2 2 3 8 4 5" xfId="18972" xr:uid="{00000000-0005-0000-0000-00001C4A0000}"/>
    <cellStyle name="Normal 2 2 2 3 8 4 6" xfId="18973" xr:uid="{00000000-0005-0000-0000-00001D4A0000}"/>
    <cellStyle name="Normal 2 2 2 3 8 4 7" xfId="18974" xr:uid="{00000000-0005-0000-0000-00001E4A0000}"/>
    <cellStyle name="Normal 2 2 2 3 8 4 8" xfId="18975" xr:uid="{00000000-0005-0000-0000-00001F4A0000}"/>
    <cellStyle name="Normal 2 2 2 3 8 4 9" xfId="18976" xr:uid="{00000000-0005-0000-0000-0000204A0000}"/>
    <cellStyle name="Normal 2 2 2 3 8 5" xfId="18977" xr:uid="{00000000-0005-0000-0000-0000214A0000}"/>
    <cellStyle name="Normal 2 2 2 3 8 5 10" xfId="18978" xr:uid="{00000000-0005-0000-0000-0000224A0000}"/>
    <cellStyle name="Normal 2 2 2 3 8 5 2" xfId="18979" xr:uid="{00000000-0005-0000-0000-0000234A0000}"/>
    <cellStyle name="Normal 2 2 2 3 8 5 3" xfId="18980" xr:uid="{00000000-0005-0000-0000-0000244A0000}"/>
    <cellStyle name="Normal 2 2 2 3 8 5 4" xfId="18981" xr:uid="{00000000-0005-0000-0000-0000254A0000}"/>
    <cellStyle name="Normal 2 2 2 3 8 5 5" xfId="18982" xr:uid="{00000000-0005-0000-0000-0000264A0000}"/>
    <cellStyle name="Normal 2 2 2 3 8 5 6" xfId="18983" xr:uid="{00000000-0005-0000-0000-0000274A0000}"/>
    <cellStyle name="Normal 2 2 2 3 8 5 7" xfId="18984" xr:uid="{00000000-0005-0000-0000-0000284A0000}"/>
    <cellStyle name="Normal 2 2 2 3 8 5 8" xfId="18985" xr:uid="{00000000-0005-0000-0000-0000294A0000}"/>
    <cellStyle name="Normal 2 2 2 3 8 5 9" xfId="18986" xr:uid="{00000000-0005-0000-0000-00002A4A0000}"/>
    <cellStyle name="Normal 2 2 2 3 8 6" xfId="18987" xr:uid="{00000000-0005-0000-0000-00002B4A0000}"/>
    <cellStyle name="Normal 2 2 2 3 8 7" xfId="18988" xr:uid="{00000000-0005-0000-0000-00002C4A0000}"/>
    <cellStyle name="Normal 2 2 2 3 8 8" xfId="18989" xr:uid="{00000000-0005-0000-0000-00002D4A0000}"/>
    <cellStyle name="Normal 2 2 2 3 8 9" xfId="18990" xr:uid="{00000000-0005-0000-0000-00002E4A0000}"/>
    <cellStyle name="Normal 2 2 2 3 9" xfId="18991" xr:uid="{00000000-0005-0000-0000-00002F4A0000}"/>
    <cellStyle name="Normal 2 2 2 3 9 10" xfId="18992" xr:uid="{00000000-0005-0000-0000-0000304A0000}"/>
    <cellStyle name="Normal 2 2 2 3 9 11" xfId="18993" xr:uid="{00000000-0005-0000-0000-0000314A0000}"/>
    <cellStyle name="Normal 2 2 2 3 9 12" xfId="18994" xr:uid="{00000000-0005-0000-0000-0000324A0000}"/>
    <cellStyle name="Normal 2 2 2 3 9 13" xfId="18995" xr:uid="{00000000-0005-0000-0000-0000334A0000}"/>
    <cellStyle name="Normal 2 2 2 3 9 14" xfId="18996" xr:uid="{00000000-0005-0000-0000-0000344A0000}"/>
    <cellStyle name="Normal 2 2 2 3 9 2" xfId="18997" xr:uid="{00000000-0005-0000-0000-0000354A0000}"/>
    <cellStyle name="Normal 2 2 2 3 9 2 10" xfId="18998" xr:uid="{00000000-0005-0000-0000-0000364A0000}"/>
    <cellStyle name="Normal 2 2 2 3 9 2 2" xfId="18999" xr:uid="{00000000-0005-0000-0000-0000374A0000}"/>
    <cellStyle name="Normal 2 2 2 3 9 2 3" xfId="19000" xr:uid="{00000000-0005-0000-0000-0000384A0000}"/>
    <cellStyle name="Normal 2 2 2 3 9 2 4" xfId="19001" xr:uid="{00000000-0005-0000-0000-0000394A0000}"/>
    <cellStyle name="Normal 2 2 2 3 9 2 5" xfId="19002" xr:uid="{00000000-0005-0000-0000-00003A4A0000}"/>
    <cellStyle name="Normal 2 2 2 3 9 2 6" xfId="19003" xr:uid="{00000000-0005-0000-0000-00003B4A0000}"/>
    <cellStyle name="Normal 2 2 2 3 9 2 7" xfId="19004" xr:uid="{00000000-0005-0000-0000-00003C4A0000}"/>
    <cellStyle name="Normal 2 2 2 3 9 2 8" xfId="19005" xr:uid="{00000000-0005-0000-0000-00003D4A0000}"/>
    <cellStyle name="Normal 2 2 2 3 9 2 9" xfId="19006" xr:uid="{00000000-0005-0000-0000-00003E4A0000}"/>
    <cellStyle name="Normal 2 2 2 3 9 3" xfId="19007" xr:uid="{00000000-0005-0000-0000-00003F4A0000}"/>
    <cellStyle name="Normal 2 2 2 3 9 3 10" xfId="19008" xr:uid="{00000000-0005-0000-0000-0000404A0000}"/>
    <cellStyle name="Normal 2 2 2 3 9 3 2" xfId="19009" xr:uid="{00000000-0005-0000-0000-0000414A0000}"/>
    <cellStyle name="Normal 2 2 2 3 9 3 3" xfId="19010" xr:uid="{00000000-0005-0000-0000-0000424A0000}"/>
    <cellStyle name="Normal 2 2 2 3 9 3 4" xfId="19011" xr:uid="{00000000-0005-0000-0000-0000434A0000}"/>
    <cellStyle name="Normal 2 2 2 3 9 3 5" xfId="19012" xr:uid="{00000000-0005-0000-0000-0000444A0000}"/>
    <cellStyle name="Normal 2 2 2 3 9 3 6" xfId="19013" xr:uid="{00000000-0005-0000-0000-0000454A0000}"/>
    <cellStyle name="Normal 2 2 2 3 9 3 7" xfId="19014" xr:uid="{00000000-0005-0000-0000-0000464A0000}"/>
    <cellStyle name="Normal 2 2 2 3 9 3 8" xfId="19015" xr:uid="{00000000-0005-0000-0000-0000474A0000}"/>
    <cellStyle name="Normal 2 2 2 3 9 3 9" xfId="19016" xr:uid="{00000000-0005-0000-0000-0000484A0000}"/>
    <cellStyle name="Normal 2 2 2 3 9 4" xfId="19017" xr:uid="{00000000-0005-0000-0000-0000494A0000}"/>
    <cellStyle name="Normal 2 2 2 3 9 4 10" xfId="19018" xr:uid="{00000000-0005-0000-0000-00004A4A0000}"/>
    <cellStyle name="Normal 2 2 2 3 9 4 2" xfId="19019" xr:uid="{00000000-0005-0000-0000-00004B4A0000}"/>
    <cellStyle name="Normal 2 2 2 3 9 4 3" xfId="19020" xr:uid="{00000000-0005-0000-0000-00004C4A0000}"/>
    <cellStyle name="Normal 2 2 2 3 9 4 4" xfId="19021" xr:uid="{00000000-0005-0000-0000-00004D4A0000}"/>
    <cellStyle name="Normal 2 2 2 3 9 4 5" xfId="19022" xr:uid="{00000000-0005-0000-0000-00004E4A0000}"/>
    <cellStyle name="Normal 2 2 2 3 9 4 6" xfId="19023" xr:uid="{00000000-0005-0000-0000-00004F4A0000}"/>
    <cellStyle name="Normal 2 2 2 3 9 4 7" xfId="19024" xr:uid="{00000000-0005-0000-0000-0000504A0000}"/>
    <cellStyle name="Normal 2 2 2 3 9 4 8" xfId="19025" xr:uid="{00000000-0005-0000-0000-0000514A0000}"/>
    <cellStyle name="Normal 2 2 2 3 9 4 9" xfId="19026" xr:uid="{00000000-0005-0000-0000-0000524A0000}"/>
    <cellStyle name="Normal 2 2 2 3 9 5" xfId="19027" xr:uid="{00000000-0005-0000-0000-0000534A0000}"/>
    <cellStyle name="Normal 2 2 2 3 9 5 10" xfId="19028" xr:uid="{00000000-0005-0000-0000-0000544A0000}"/>
    <cellStyle name="Normal 2 2 2 3 9 5 2" xfId="19029" xr:uid="{00000000-0005-0000-0000-0000554A0000}"/>
    <cellStyle name="Normal 2 2 2 3 9 5 3" xfId="19030" xr:uid="{00000000-0005-0000-0000-0000564A0000}"/>
    <cellStyle name="Normal 2 2 2 3 9 5 4" xfId="19031" xr:uid="{00000000-0005-0000-0000-0000574A0000}"/>
    <cellStyle name="Normal 2 2 2 3 9 5 5" xfId="19032" xr:uid="{00000000-0005-0000-0000-0000584A0000}"/>
    <cellStyle name="Normal 2 2 2 3 9 5 6" xfId="19033" xr:uid="{00000000-0005-0000-0000-0000594A0000}"/>
    <cellStyle name="Normal 2 2 2 3 9 5 7" xfId="19034" xr:uid="{00000000-0005-0000-0000-00005A4A0000}"/>
    <cellStyle name="Normal 2 2 2 3 9 5 8" xfId="19035" xr:uid="{00000000-0005-0000-0000-00005B4A0000}"/>
    <cellStyle name="Normal 2 2 2 3 9 5 9" xfId="19036" xr:uid="{00000000-0005-0000-0000-00005C4A0000}"/>
    <cellStyle name="Normal 2 2 2 3 9 6" xfId="19037" xr:uid="{00000000-0005-0000-0000-00005D4A0000}"/>
    <cellStyle name="Normal 2 2 2 3 9 7" xfId="19038" xr:uid="{00000000-0005-0000-0000-00005E4A0000}"/>
    <cellStyle name="Normal 2 2 2 3 9 8" xfId="19039" xr:uid="{00000000-0005-0000-0000-00005F4A0000}"/>
    <cellStyle name="Normal 2 2 2 3 9 9" xfId="19040" xr:uid="{00000000-0005-0000-0000-0000604A0000}"/>
    <cellStyle name="Normal 2 2 2 30" xfId="19041" xr:uid="{00000000-0005-0000-0000-0000614A0000}"/>
    <cellStyle name="Normal 2 2 2 30 10" xfId="19042" xr:uid="{00000000-0005-0000-0000-0000624A0000}"/>
    <cellStyle name="Normal 2 2 2 30 11" xfId="19043" xr:uid="{00000000-0005-0000-0000-0000634A0000}"/>
    <cellStyle name="Normal 2 2 2 30 12" xfId="19044" xr:uid="{00000000-0005-0000-0000-0000644A0000}"/>
    <cellStyle name="Normal 2 2 2 30 13" xfId="19045" xr:uid="{00000000-0005-0000-0000-0000654A0000}"/>
    <cellStyle name="Normal 2 2 2 30 14" xfId="19046" xr:uid="{00000000-0005-0000-0000-0000664A0000}"/>
    <cellStyle name="Normal 2 2 2 30 2" xfId="19047" xr:uid="{00000000-0005-0000-0000-0000674A0000}"/>
    <cellStyle name="Normal 2 2 2 30 2 10" xfId="19048" xr:uid="{00000000-0005-0000-0000-0000684A0000}"/>
    <cellStyle name="Normal 2 2 2 30 2 2" xfId="19049" xr:uid="{00000000-0005-0000-0000-0000694A0000}"/>
    <cellStyle name="Normal 2 2 2 30 2 3" xfId="19050" xr:uid="{00000000-0005-0000-0000-00006A4A0000}"/>
    <cellStyle name="Normal 2 2 2 30 2 4" xfId="19051" xr:uid="{00000000-0005-0000-0000-00006B4A0000}"/>
    <cellStyle name="Normal 2 2 2 30 2 5" xfId="19052" xr:uid="{00000000-0005-0000-0000-00006C4A0000}"/>
    <cellStyle name="Normal 2 2 2 30 2 6" xfId="19053" xr:uid="{00000000-0005-0000-0000-00006D4A0000}"/>
    <cellStyle name="Normal 2 2 2 30 2 7" xfId="19054" xr:uid="{00000000-0005-0000-0000-00006E4A0000}"/>
    <cellStyle name="Normal 2 2 2 30 2 8" xfId="19055" xr:uid="{00000000-0005-0000-0000-00006F4A0000}"/>
    <cellStyle name="Normal 2 2 2 30 2 9" xfId="19056" xr:uid="{00000000-0005-0000-0000-0000704A0000}"/>
    <cellStyle name="Normal 2 2 2 30 3" xfId="19057" xr:uid="{00000000-0005-0000-0000-0000714A0000}"/>
    <cellStyle name="Normal 2 2 2 30 3 10" xfId="19058" xr:uid="{00000000-0005-0000-0000-0000724A0000}"/>
    <cellStyle name="Normal 2 2 2 30 3 2" xfId="19059" xr:uid="{00000000-0005-0000-0000-0000734A0000}"/>
    <cellStyle name="Normal 2 2 2 30 3 3" xfId="19060" xr:uid="{00000000-0005-0000-0000-0000744A0000}"/>
    <cellStyle name="Normal 2 2 2 30 3 4" xfId="19061" xr:uid="{00000000-0005-0000-0000-0000754A0000}"/>
    <cellStyle name="Normal 2 2 2 30 3 5" xfId="19062" xr:uid="{00000000-0005-0000-0000-0000764A0000}"/>
    <cellStyle name="Normal 2 2 2 30 3 6" xfId="19063" xr:uid="{00000000-0005-0000-0000-0000774A0000}"/>
    <cellStyle name="Normal 2 2 2 30 3 7" xfId="19064" xr:uid="{00000000-0005-0000-0000-0000784A0000}"/>
    <cellStyle name="Normal 2 2 2 30 3 8" xfId="19065" xr:uid="{00000000-0005-0000-0000-0000794A0000}"/>
    <cellStyle name="Normal 2 2 2 30 3 9" xfId="19066" xr:uid="{00000000-0005-0000-0000-00007A4A0000}"/>
    <cellStyle name="Normal 2 2 2 30 4" xfId="19067" xr:uid="{00000000-0005-0000-0000-00007B4A0000}"/>
    <cellStyle name="Normal 2 2 2 30 4 10" xfId="19068" xr:uid="{00000000-0005-0000-0000-00007C4A0000}"/>
    <cellStyle name="Normal 2 2 2 30 4 2" xfId="19069" xr:uid="{00000000-0005-0000-0000-00007D4A0000}"/>
    <cellStyle name="Normal 2 2 2 30 4 3" xfId="19070" xr:uid="{00000000-0005-0000-0000-00007E4A0000}"/>
    <cellStyle name="Normal 2 2 2 30 4 4" xfId="19071" xr:uid="{00000000-0005-0000-0000-00007F4A0000}"/>
    <cellStyle name="Normal 2 2 2 30 4 5" xfId="19072" xr:uid="{00000000-0005-0000-0000-0000804A0000}"/>
    <cellStyle name="Normal 2 2 2 30 4 6" xfId="19073" xr:uid="{00000000-0005-0000-0000-0000814A0000}"/>
    <cellStyle name="Normal 2 2 2 30 4 7" xfId="19074" xr:uid="{00000000-0005-0000-0000-0000824A0000}"/>
    <cellStyle name="Normal 2 2 2 30 4 8" xfId="19075" xr:uid="{00000000-0005-0000-0000-0000834A0000}"/>
    <cellStyle name="Normal 2 2 2 30 4 9" xfId="19076" xr:uid="{00000000-0005-0000-0000-0000844A0000}"/>
    <cellStyle name="Normal 2 2 2 30 5" xfId="19077" xr:uid="{00000000-0005-0000-0000-0000854A0000}"/>
    <cellStyle name="Normal 2 2 2 30 5 10" xfId="19078" xr:uid="{00000000-0005-0000-0000-0000864A0000}"/>
    <cellStyle name="Normal 2 2 2 30 5 2" xfId="19079" xr:uid="{00000000-0005-0000-0000-0000874A0000}"/>
    <cellStyle name="Normal 2 2 2 30 5 3" xfId="19080" xr:uid="{00000000-0005-0000-0000-0000884A0000}"/>
    <cellStyle name="Normal 2 2 2 30 5 4" xfId="19081" xr:uid="{00000000-0005-0000-0000-0000894A0000}"/>
    <cellStyle name="Normal 2 2 2 30 5 5" xfId="19082" xr:uid="{00000000-0005-0000-0000-00008A4A0000}"/>
    <cellStyle name="Normal 2 2 2 30 5 6" xfId="19083" xr:uid="{00000000-0005-0000-0000-00008B4A0000}"/>
    <cellStyle name="Normal 2 2 2 30 5 7" xfId="19084" xr:uid="{00000000-0005-0000-0000-00008C4A0000}"/>
    <cellStyle name="Normal 2 2 2 30 5 8" xfId="19085" xr:uid="{00000000-0005-0000-0000-00008D4A0000}"/>
    <cellStyle name="Normal 2 2 2 30 5 9" xfId="19086" xr:uid="{00000000-0005-0000-0000-00008E4A0000}"/>
    <cellStyle name="Normal 2 2 2 30 6" xfId="19087" xr:uid="{00000000-0005-0000-0000-00008F4A0000}"/>
    <cellStyle name="Normal 2 2 2 30 7" xfId="19088" xr:uid="{00000000-0005-0000-0000-0000904A0000}"/>
    <cellStyle name="Normal 2 2 2 30 8" xfId="19089" xr:uid="{00000000-0005-0000-0000-0000914A0000}"/>
    <cellStyle name="Normal 2 2 2 30 9" xfId="19090" xr:uid="{00000000-0005-0000-0000-0000924A0000}"/>
    <cellStyle name="Normal 2 2 2 31" xfId="19091" xr:uid="{00000000-0005-0000-0000-0000934A0000}"/>
    <cellStyle name="Normal 2 2 2 31 10" xfId="19092" xr:uid="{00000000-0005-0000-0000-0000944A0000}"/>
    <cellStyle name="Normal 2 2 2 31 11" xfId="19093" xr:uid="{00000000-0005-0000-0000-0000954A0000}"/>
    <cellStyle name="Normal 2 2 2 31 12" xfId="19094" xr:uid="{00000000-0005-0000-0000-0000964A0000}"/>
    <cellStyle name="Normal 2 2 2 31 13" xfId="19095" xr:uid="{00000000-0005-0000-0000-0000974A0000}"/>
    <cellStyle name="Normal 2 2 2 31 14" xfId="19096" xr:uid="{00000000-0005-0000-0000-0000984A0000}"/>
    <cellStyle name="Normal 2 2 2 31 2" xfId="19097" xr:uid="{00000000-0005-0000-0000-0000994A0000}"/>
    <cellStyle name="Normal 2 2 2 31 2 10" xfId="19098" xr:uid="{00000000-0005-0000-0000-00009A4A0000}"/>
    <cellStyle name="Normal 2 2 2 31 2 2" xfId="19099" xr:uid="{00000000-0005-0000-0000-00009B4A0000}"/>
    <cellStyle name="Normal 2 2 2 31 2 3" xfId="19100" xr:uid="{00000000-0005-0000-0000-00009C4A0000}"/>
    <cellStyle name="Normal 2 2 2 31 2 4" xfId="19101" xr:uid="{00000000-0005-0000-0000-00009D4A0000}"/>
    <cellStyle name="Normal 2 2 2 31 2 5" xfId="19102" xr:uid="{00000000-0005-0000-0000-00009E4A0000}"/>
    <cellStyle name="Normal 2 2 2 31 2 6" xfId="19103" xr:uid="{00000000-0005-0000-0000-00009F4A0000}"/>
    <cellStyle name="Normal 2 2 2 31 2 7" xfId="19104" xr:uid="{00000000-0005-0000-0000-0000A04A0000}"/>
    <cellStyle name="Normal 2 2 2 31 2 8" xfId="19105" xr:uid="{00000000-0005-0000-0000-0000A14A0000}"/>
    <cellStyle name="Normal 2 2 2 31 2 9" xfId="19106" xr:uid="{00000000-0005-0000-0000-0000A24A0000}"/>
    <cellStyle name="Normal 2 2 2 31 3" xfId="19107" xr:uid="{00000000-0005-0000-0000-0000A34A0000}"/>
    <cellStyle name="Normal 2 2 2 31 3 10" xfId="19108" xr:uid="{00000000-0005-0000-0000-0000A44A0000}"/>
    <cellStyle name="Normal 2 2 2 31 3 2" xfId="19109" xr:uid="{00000000-0005-0000-0000-0000A54A0000}"/>
    <cellStyle name="Normal 2 2 2 31 3 3" xfId="19110" xr:uid="{00000000-0005-0000-0000-0000A64A0000}"/>
    <cellStyle name="Normal 2 2 2 31 3 4" xfId="19111" xr:uid="{00000000-0005-0000-0000-0000A74A0000}"/>
    <cellStyle name="Normal 2 2 2 31 3 5" xfId="19112" xr:uid="{00000000-0005-0000-0000-0000A84A0000}"/>
    <cellStyle name="Normal 2 2 2 31 3 6" xfId="19113" xr:uid="{00000000-0005-0000-0000-0000A94A0000}"/>
    <cellStyle name="Normal 2 2 2 31 3 7" xfId="19114" xr:uid="{00000000-0005-0000-0000-0000AA4A0000}"/>
    <cellStyle name="Normal 2 2 2 31 3 8" xfId="19115" xr:uid="{00000000-0005-0000-0000-0000AB4A0000}"/>
    <cellStyle name="Normal 2 2 2 31 3 9" xfId="19116" xr:uid="{00000000-0005-0000-0000-0000AC4A0000}"/>
    <cellStyle name="Normal 2 2 2 31 4" xfId="19117" xr:uid="{00000000-0005-0000-0000-0000AD4A0000}"/>
    <cellStyle name="Normal 2 2 2 31 4 10" xfId="19118" xr:uid="{00000000-0005-0000-0000-0000AE4A0000}"/>
    <cellStyle name="Normal 2 2 2 31 4 2" xfId="19119" xr:uid="{00000000-0005-0000-0000-0000AF4A0000}"/>
    <cellStyle name="Normal 2 2 2 31 4 3" xfId="19120" xr:uid="{00000000-0005-0000-0000-0000B04A0000}"/>
    <cellStyle name="Normal 2 2 2 31 4 4" xfId="19121" xr:uid="{00000000-0005-0000-0000-0000B14A0000}"/>
    <cellStyle name="Normal 2 2 2 31 4 5" xfId="19122" xr:uid="{00000000-0005-0000-0000-0000B24A0000}"/>
    <cellStyle name="Normal 2 2 2 31 4 6" xfId="19123" xr:uid="{00000000-0005-0000-0000-0000B34A0000}"/>
    <cellStyle name="Normal 2 2 2 31 4 7" xfId="19124" xr:uid="{00000000-0005-0000-0000-0000B44A0000}"/>
    <cellStyle name="Normal 2 2 2 31 4 8" xfId="19125" xr:uid="{00000000-0005-0000-0000-0000B54A0000}"/>
    <cellStyle name="Normal 2 2 2 31 4 9" xfId="19126" xr:uid="{00000000-0005-0000-0000-0000B64A0000}"/>
    <cellStyle name="Normal 2 2 2 31 5" xfId="19127" xr:uid="{00000000-0005-0000-0000-0000B74A0000}"/>
    <cellStyle name="Normal 2 2 2 31 5 10" xfId="19128" xr:uid="{00000000-0005-0000-0000-0000B84A0000}"/>
    <cellStyle name="Normal 2 2 2 31 5 2" xfId="19129" xr:uid="{00000000-0005-0000-0000-0000B94A0000}"/>
    <cellStyle name="Normal 2 2 2 31 5 3" xfId="19130" xr:uid="{00000000-0005-0000-0000-0000BA4A0000}"/>
    <cellStyle name="Normal 2 2 2 31 5 4" xfId="19131" xr:uid="{00000000-0005-0000-0000-0000BB4A0000}"/>
    <cellStyle name="Normal 2 2 2 31 5 5" xfId="19132" xr:uid="{00000000-0005-0000-0000-0000BC4A0000}"/>
    <cellStyle name="Normal 2 2 2 31 5 6" xfId="19133" xr:uid="{00000000-0005-0000-0000-0000BD4A0000}"/>
    <cellStyle name="Normal 2 2 2 31 5 7" xfId="19134" xr:uid="{00000000-0005-0000-0000-0000BE4A0000}"/>
    <cellStyle name="Normal 2 2 2 31 5 8" xfId="19135" xr:uid="{00000000-0005-0000-0000-0000BF4A0000}"/>
    <cellStyle name="Normal 2 2 2 31 5 9" xfId="19136" xr:uid="{00000000-0005-0000-0000-0000C04A0000}"/>
    <cellStyle name="Normal 2 2 2 31 6" xfId="19137" xr:uid="{00000000-0005-0000-0000-0000C14A0000}"/>
    <cellStyle name="Normal 2 2 2 31 7" xfId="19138" xr:uid="{00000000-0005-0000-0000-0000C24A0000}"/>
    <cellStyle name="Normal 2 2 2 31 8" xfId="19139" xr:uid="{00000000-0005-0000-0000-0000C34A0000}"/>
    <cellStyle name="Normal 2 2 2 31 9" xfId="19140" xr:uid="{00000000-0005-0000-0000-0000C44A0000}"/>
    <cellStyle name="Normal 2 2 2 32" xfId="19141" xr:uid="{00000000-0005-0000-0000-0000C54A0000}"/>
    <cellStyle name="Normal 2 2 2 32 10" xfId="19142" xr:uid="{00000000-0005-0000-0000-0000C64A0000}"/>
    <cellStyle name="Normal 2 2 2 32 11" xfId="19143" xr:uid="{00000000-0005-0000-0000-0000C74A0000}"/>
    <cellStyle name="Normal 2 2 2 32 12" xfId="19144" xr:uid="{00000000-0005-0000-0000-0000C84A0000}"/>
    <cellStyle name="Normal 2 2 2 32 13" xfId="19145" xr:uid="{00000000-0005-0000-0000-0000C94A0000}"/>
    <cellStyle name="Normal 2 2 2 32 14" xfId="19146" xr:uid="{00000000-0005-0000-0000-0000CA4A0000}"/>
    <cellStyle name="Normal 2 2 2 32 2" xfId="19147" xr:uid="{00000000-0005-0000-0000-0000CB4A0000}"/>
    <cellStyle name="Normal 2 2 2 32 2 10" xfId="19148" xr:uid="{00000000-0005-0000-0000-0000CC4A0000}"/>
    <cellStyle name="Normal 2 2 2 32 2 2" xfId="19149" xr:uid="{00000000-0005-0000-0000-0000CD4A0000}"/>
    <cellStyle name="Normal 2 2 2 32 2 3" xfId="19150" xr:uid="{00000000-0005-0000-0000-0000CE4A0000}"/>
    <cellStyle name="Normal 2 2 2 32 2 4" xfId="19151" xr:uid="{00000000-0005-0000-0000-0000CF4A0000}"/>
    <cellStyle name="Normal 2 2 2 32 2 5" xfId="19152" xr:uid="{00000000-0005-0000-0000-0000D04A0000}"/>
    <cellStyle name="Normal 2 2 2 32 2 6" xfId="19153" xr:uid="{00000000-0005-0000-0000-0000D14A0000}"/>
    <cellStyle name="Normal 2 2 2 32 2 7" xfId="19154" xr:uid="{00000000-0005-0000-0000-0000D24A0000}"/>
    <cellStyle name="Normal 2 2 2 32 2 8" xfId="19155" xr:uid="{00000000-0005-0000-0000-0000D34A0000}"/>
    <cellStyle name="Normal 2 2 2 32 2 9" xfId="19156" xr:uid="{00000000-0005-0000-0000-0000D44A0000}"/>
    <cellStyle name="Normal 2 2 2 32 3" xfId="19157" xr:uid="{00000000-0005-0000-0000-0000D54A0000}"/>
    <cellStyle name="Normal 2 2 2 32 3 10" xfId="19158" xr:uid="{00000000-0005-0000-0000-0000D64A0000}"/>
    <cellStyle name="Normal 2 2 2 32 3 2" xfId="19159" xr:uid="{00000000-0005-0000-0000-0000D74A0000}"/>
    <cellStyle name="Normal 2 2 2 32 3 3" xfId="19160" xr:uid="{00000000-0005-0000-0000-0000D84A0000}"/>
    <cellStyle name="Normal 2 2 2 32 3 4" xfId="19161" xr:uid="{00000000-0005-0000-0000-0000D94A0000}"/>
    <cellStyle name="Normal 2 2 2 32 3 5" xfId="19162" xr:uid="{00000000-0005-0000-0000-0000DA4A0000}"/>
    <cellStyle name="Normal 2 2 2 32 3 6" xfId="19163" xr:uid="{00000000-0005-0000-0000-0000DB4A0000}"/>
    <cellStyle name="Normal 2 2 2 32 3 7" xfId="19164" xr:uid="{00000000-0005-0000-0000-0000DC4A0000}"/>
    <cellStyle name="Normal 2 2 2 32 3 8" xfId="19165" xr:uid="{00000000-0005-0000-0000-0000DD4A0000}"/>
    <cellStyle name="Normal 2 2 2 32 3 9" xfId="19166" xr:uid="{00000000-0005-0000-0000-0000DE4A0000}"/>
    <cellStyle name="Normal 2 2 2 32 4" xfId="19167" xr:uid="{00000000-0005-0000-0000-0000DF4A0000}"/>
    <cellStyle name="Normal 2 2 2 32 4 10" xfId="19168" xr:uid="{00000000-0005-0000-0000-0000E04A0000}"/>
    <cellStyle name="Normal 2 2 2 32 4 2" xfId="19169" xr:uid="{00000000-0005-0000-0000-0000E14A0000}"/>
    <cellStyle name="Normal 2 2 2 32 4 3" xfId="19170" xr:uid="{00000000-0005-0000-0000-0000E24A0000}"/>
    <cellStyle name="Normal 2 2 2 32 4 4" xfId="19171" xr:uid="{00000000-0005-0000-0000-0000E34A0000}"/>
    <cellStyle name="Normal 2 2 2 32 4 5" xfId="19172" xr:uid="{00000000-0005-0000-0000-0000E44A0000}"/>
    <cellStyle name="Normal 2 2 2 32 4 6" xfId="19173" xr:uid="{00000000-0005-0000-0000-0000E54A0000}"/>
    <cellStyle name="Normal 2 2 2 32 4 7" xfId="19174" xr:uid="{00000000-0005-0000-0000-0000E64A0000}"/>
    <cellStyle name="Normal 2 2 2 32 4 8" xfId="19175" xr:uid="{00000000-0005-0000-0000-0000E74A0000}"/>
    <cellStyle name="Normal 2 2 2 32 4 9" xfId="19176" xr:uid="{00000000-0005-0000-0000-0000E84A0000}"/>
    <cellStyle name="Normal 2 2 2 32 5" xfId="19177" xr:uid="{00000000-0005-0000-0000-0000E94A0000}"/>
    <cellStyle name="Normal 2 2 2 32 5 10" xfId="19178" xr:uid="{00000000-0005-0000-0000-0000EA4A0000}"/>
    <cellStyle name="Normal 2 2 2 32 5 2" xfId="19179" xr:uid="{00000000-0005-0000-0000-0000EB4A0000}"/>
    <cellStyle name="Normal 2 2 2 32 5 3" xfId="19180" xr:uid="{00000000-0005-0000-0000-0000EC4A0000}"/>
    <cellStyle name="Normal 2 2 2 32 5 4" xfId="19181" xr:uid="{00000000-0005-0000-0000-0000ED4A0000}"/>
    <cellStyle name="Normal 2 2 2 32 5 5" xfId="19182" xr:uid="{00000000-0005-0000-0000-0000EE4A0000}"/>
    <cellStyle name="Normal 2 2 2 32 5 6" xfId="19183" xr:uid="{00000000-0005-0000-0000-0000EF4A0000}"/>
    <cellStyle name="Normal 2 2 2 32 5 7" xfId="19184" xr:uid="{00000000-0005-0000-0000-0000F04A0000}"/>
    <cellStyle name="Normal 2 2 2 32 5 8" xfId="19185" xr:uid="{00000000-0005-0000-0000-0000F14A0000}"/>
    <cellStyle name="Normal 2 2 2 32 5 9" xfId="19186" xr:uid="{00000000-0005-0000-0000-0000F24A0000}"/>
    <cellStyle name="Normal 2 2 2 32 6" xfId="19187" xr:uid="{00000000-0005-0000-0000-0000F34A0000}"/>
    <cellStyle name="Normal 2 2 2 32 7" xfId="19188" xr:uid="{00000000-0005-0000-0000-0000F44A0000}"/>
    <cellStyle name="Normal 2 2 2 32 8" xfId="19189" xr:uid="{00000000-0005-0000-0000-0000F54A0000}"/>
    <cellStyle name="Normal 2 2 2 32 9" xfId="19190" xr:uid="{00000000-0005-0000-0000-0000F64A0000}"/>
    <cellStyle name="Normal 2 2 2 33" xfId="19191" xr:uid="{00000000-0005-0000-0000-0000F74A0000}"/>
    <cellStyle name="Normal 2 2 2 33 10" xfId="19192" xr:uid="{00000000-0005-0000-0000-0000F84A0000}"/>
    <cellStyle name="Normal 2 2 2 33 11" xfId="19193" xr:uid="{00000000-0005-0000-0000-0000F94A0000}"/>
    <cellStyle name="Normal 2 2 2 33 12" xfId="19194" xr:uid="{00000000-0005-0000-0000-0000FA4A0000}"/>
    <cellStyle name="Normal 2 2 2 33 13" xfId="19195" xr:uid="{00000000-0005-0000-0000-0000FB4A0000}"/>
    <cellStyle name="Normal 2 2 2 33 14" xfId="19196" xr:uid="{00000000-0005-0000-0000-0000FC4A0000}"/>
    <cellStyle name="Normal 2 2 2 33 2" xfId="19197" xr:uid="{00000000-0005-0000-0000-0000FD4A0000}"/>
    <cellStyle name="Normal 2 2 2 33 2 10" xfId="19198" xr:uid="{00000000-0005-0000-0000-0000FE4A0000}"/>
    <cellStyle name="Normal 2 2 2 33 2 2" xfId="19199" xr:uid="{00000000-0005-0000-0000-0000FF4A0000}"/>
    <cellStyle name="Normal 2 2 2 33 2 3" xfId="19200" xr:uid="{00000000-0005-0000-0000-0000004B0000}"/>
    <cellStyle name="Normal 2 2 2 33 2 4" xfId="19201" xr:uid="{00000000-0005-0000-0000-0000014B0000}"/>
    <cellStyle name="Normal 2 2 2 33 2 5" xfId="19202" xr:uid="{00000000-0005-0000-0000-0000024B0000}"/>
    <cellStyle name="Normal 2 2 2 33 2 6" xfId="19203" xr:uid="{00000000-0005-0000-0000-0000034B0000}"/>
    <cellStyle name="Normal 2 2 2 33 2 7" xfId="19204" xr:uid="{00000000-0005-0000-0000-0000044B0000}"/>
    <cellStyle name="Normal 2 2 2 33 2 8" xfId="19205" xr:uid="{00000000-0005-0000-0000-0000054B0000}"/>
    <cellStyle name="Normal 2 2 2 33 2 9" xfId="19206" xr:uid="{00000000-0005-0000-0000-0000064B0000}"/>
    <cellStyle name="Normal 2 2 2 33 3" xfId="19207" xr:uid="{00000000-0005-0000-0000-0000074B0000}"/>
    <cellStyle name="Normal 2 2 2 33 3 10" xfId="19208" xr:uid="{00000000-0005-0000-0000-0000084B0000}"/>
    <cellStyle name="Normal 2 2 2 33 3 2" xfId="19209" xr:uid="{00000000-0005-0000-0000-0000094B0000}"/>
    <cellStyle name="Normal 2 2 2 33 3 3" xfId="19210" xr:uid="{00000000-0005-0000-0000-00000A4B0000}"/>
    <cellStyle name="Normal 2 2 2 33 3 4" xfId="19211" xr:uid="{00000000-0005-0000-0000-00000B4B0000}"/>
    <cellStyle name="Normal 2 2 2 33 3 5" xfId="19212" xr:uid="{00000000-0005-0000-0000-00000C4B0000}"/>
    <cellStyle name="Normal 2 2 2 33 3 6" xfId="19213" xr:uid="{00000000-0005-0000-0000-00000D4B0000}"/>
    <cellStyle name="Normal 2 2 2 33 3 7" xfId="19214" xr:uid="{00000000-0005-0000-0000-00000E4B0000}"/>
    <cellStyle name="Normal 2 2 2 33 3 8" xfId="19215" xr:uid="{00000000-0005-0000-0000-00000F4B0000}"/>
    <cellStyle name="Normal 2 2 2 33 3 9" xfId="19216" xr:uid="{00000000-0005-0000-0000-0000104B0000}"/>
    <cellStyle name="Normal 2 2 2 33 4" xfId="19217" xr:uid="{00000000-0005-0000-0000-0000114B0000}"/>
    <cellStyle name="Normal 2 2 2 33 4 10" xfId="19218" xr:uid="{00000000-0005-0000-0000-0000124B0000}"/>
    <cellStyle name="Normal 2 2 2 33 4 2" xfId="19219" xr:uid="{00000000-0005-0000-0000-0000134B0000}"/>
    <cellStyle name="Normal 2 2 2 33 4 3" xfId="19220" xr:uid="{00000000-0005-0000-0000-0000144B0000}"/>
    <cellStyle name="Normal 2 2 2 33 4 4" xfId="19221" xr:uid="{00000000-0005-0000-0000-0000154B0000}"/>
    <cellStyle name="Normal 2 2 2 33 4 5" xfId="19222" xr:uid="{00000000-0005-0000-0000-0000164B0000}"/>
    <cellStyle name="Normal 2 2 2 33 4 6" xfId="19223" xr:uid="{00000000-0005-0000-0000-0000174B0000}"/>
    <cellStyle name="Normal 2 2 2 33 4 7" xfId="19224" xr:uid="{00000000-0005-0000-0000-0000184B0000}"/>
    <cellStyle name="Normal 2 2 2 33 4 8" xfId="19225" xr:uid="{00000000-0005-0000-0000-0000194B0000}"/>
    <cellStyle name="Normal 2 2 2 33 4 9" xfId="19226" xr:uid="{00000000-0005-0000-0000-00001A4B0000}"/>
    <cellStyle name="Normal 2 2 2 33 5" xfId="19227" xr:uid="{00000000-0005-0000-0000-00001B4B0000}"/>
    <cellStyle name="Normal 2 2 2 33 5 10" xfId="19228" xr:uid="{00000000-0005-0000-0000-00001C4B0000}"/>
    <cellStyle name="Normal 2 2 2 33 5 2" xfId="19229" xr:uid="{00000000-0005-0000-0000-00001D4B0000}"/>
    <cellStyle name="Normal 2 2 2 33 5 3" xfId="19230" xr:uid="{00000000-0005-0000-0000-00001E4B0000}"/>
    <cellStyle name="Normal 2 2 2 33 5 4" xfId="19231" xr:uid="{00000000-0005-0000-0000-00001F4B0000}"/>
    <cellStyle name="Normal 2 2 2 33 5 5" xfId="19232" xr:uid="{00000000-0005-0000-0000-0000204B0000}"/>
    <cellStyle name="Normal 2 2 2 33 5 6" xfId="19233" xr:uid="{00000000-0005-0000-0000-0000214B0000}"/>
    <cellStyle name="Normal 2 2 2 33 5 7" xfId="19234" xr:uid="{00000000-0005-0000-0000-0000224B0000}"/>
    <cellStyle name="Normal 2 2 2 33 5 8" xfId="19235" xr:uid="{00000000-0005-0000-0000-0000234B0000}"/>
    <cellStyle name="Normal 2 2 2 33 5 9" xfId="19236" xr:uid="{00000000-0005-0000-0000-0000244B0000}"/>
    <cellStyle name="Normal 2 2 2 33 6" xfId="19237" xr:uid="{00000000-0005-0000-0000-0000254B0000}"/>
    <cellStyle name="Normal 2 2 2 33 7" xfId="19238" xr:uid="{00000000-0005-0000-0000-0000264B0000}"/>
    <cellStyle name="Normal 2 2 2 33 8" xfId="19239" xr:uid="{00000000-0005-0000-0000-0000274B0000}"/>
    <cellStyle name="Normal 2 2 2 33 9" xfId="19240" xr:uid="{00000000-0005-0000-0000-0000284B0000}"/>
    <cellStyle name="Normal 2 2 2 34" xfId="19241" xr:uid="{00000000-0005-0000-0000-0000294B0000}"/>
    <cellStyle name="Normal 2 2 2 34 10" xfId="19242" xr:uid="{00000000-0005-0000-0000-00002A4B0000}"/>
    <cellStyle name="Normal 2 2 2 34 11" xfId="19243" xr:uid="{00000000-0005-0000-0000-00002B4B0000}"/>
    <cellStyle name="Normal 2 2 2 34 12" xfId="19244" xr:uid="{00000000-0005-0000-0000-00002C4B0000}"/>
    <cellStyle name="Normal 2 2 2 34 13" xfId="19245" xr:uid="{00000000-0005-0000-0000-00002D4B0000}"/>
    <cellStyle name="Normal 2 2 2 34 14" xfId="19246" xr:uid="{00000000-0005-0000-0000-00002E4B0000}"/>
    <cellStyle name="Normal 2 2 2 34 2" xfId="19247" xr:uid="{00000000-0005-0000-0000-00002F4B0000}"/>
    <cellStyle name="Normal 2 2 2 34 2 10" xfId="19248" xr:uid="{00000000-0005-0000-0000-0000304B0000}"/>
    <cellStyle name="Normal 2 2 2 34 2 2" xfId="19249" xr:uid="{00000000-0005-0000-0000-0000314B0000}"/>
    <cellStyle name="Normal 2 2 2 34 2 3" xfId="19250" xr:uid="{00000000-0005-0000-0000-0000324B0000}"/>
    <cellStyle name="Normal 2 2 2 34 2 4" xfId="19251" xr:uid="{00000000-0005-0000-0000-0000334B0000}"/>
    <cellStyle name="Normal 2 2 2 34 2 5" xfId="19252" xr:uid="{00000000-0005-0000-0000-0000344B0000}"/>
    <cellStyle name="Normal 2 2 2 34 2 6" xfId="19253" xr:uid="{00000000-0005-0000-0000-0000354B0000}"/>
    <cellStyle name="Normal 2 2 2 34 2 7" xfId="19254" xr:uid="{00000000-0005-0000-0000-0000364B0000}"/>
    <cellStyle name="Normal 2 2 2 34 2 8" xfId="19255" xr:uid="{00000000-0005-0000-0000-0000374B0000}"/>
    <cellStyle name="Normal 2 2 2 34 2 9" xfId="19256" xr:uid="{00000000-0005-0000-0000-0000384B0000}"/>
    <cellStyle name="Normal 2 2 2 34 3" xfId="19257" xr:uid="{00000000-0005-0000-0000-0000394B0000}"/>
    <cellStyle name="Normal 2 2 2 34 3 10" xfId="19258" xr:uid="{00000000-0005-0000-0000-00003A4B0000}"/>
    <cellStyle name="Normal 2 2 2 34 3 2" xfId="19259" xr:uid="{00000000-0005-0000-0000-00003B4B0000}"/>
    <cellStyle name="Normal 2 2 2 34 3 3" xfId="19260" xr:uid="{00000000-0005-0000-0000-00003C4B0000}"/>
    <cellStyle name="Normal 2 2 2 34 3 4" xfId="19261" xr:uid="{00000000-0005-0000-0000-00003D4B0000}"/>
    <cellStyle name="Normal 2 2 2 34 3 5" xfId="19262" xr:uid="{00000000-0005-0000-0000-00003E4B0000}"/>
    <cellStyle name="Normal 2 2 2 34 3 6" xfId="19263" xr:uid="{00000000-0005-0000-0000-00003F4B0000}"/>
    <cellStyle name="Normal 2 2 2 34 3 7" xfId="19264" xr:uid="{00000000-0005-0000-0000-0000404B0000}"/>
    <cellStyle name="Normal 2 2 2 34 3 8" xfId="19265" xr:uid="{00000000-0005-0000-0000-0000414B0000}"/>
    <cellStyle name="Normal 2 2 2 34 3 9" xfId="19266" xr:uid="{00000000-0005-0000-0000-0000424B0000}"/>
    <cellStyle name="Normal 2 2 2 34 4" xfId="19267" xr:uid="{00000000-0005-0000-0000-0000434B0000}"/>
    <cellStyle name="Normal 2 2 2 34 4 10" xfId="19268" xr:uid="{00000000-0005-0000-0000-0000444B0000}"/>
    <cellStyle name="Normal 2 2 2 34 4 2" xfId="19269" xr:uid="{00000000-0005-0000-0000-0000454B0000}"/>
    <cellStyle name="Normal 2 2 2 34 4 3" xfId="19270" xr:uid="{00000000-0005-0000-0000-0000464B0000}"/>
    <cellStyle name="Normal 2 2 2 34 4 4" xfId="19271" xr:uid="{00000000-0005-0000-0000-0000474B0000}"/>
    <cellStyle name="Normal 2 2 2 34 4 5" xfId="19272" xr:uid="{00000000-0005-0000-0000-0000484B0000}"/>
    <cellStyle name="Normal 2 2 2 34 4 6" xfId="19273" xr:uid="{00000000-0005-0000-0000-0000494B0000}"/>
    <cellStyle name="Normal 2 2 2 34 4 7" xfId="19274" xr:uid="{00000000-0005-0000-0000-00004A4B0000}"/>
    <cellStyle name="Normal 2 2 2 34 4 8" xfId="19275" xr:uid="{00000000-0005-0000-0000-00004B4B0000}"/>
    <cellStyle name="Normal 2 2 2 34 4 9" xfId="19276" xr:uid="{00000000-0005-0000-0000-00004C4B0000}"/>
    <cellStyle name="Normal 2 2 2 34 5" xfId="19277" xr:uid="{00000000-0005-0000-0000-00004D4B0000}"/>
    <cellStyle name="Normal 2 2 2 34 5 10" xfId="19278" xr:uid="{00000000-0005-0000-0000-00004E4B0000}"/>
    <cellStyle name="Normal 2 2 2 34 5 2" xfId="19279" xr:uid="{00000000-0005-0000-0000-00004F4B0000}"/>
    <cellStyle name="Normal 2 2 2 34 5 3" xfId="19280" xr:uid="{00000000-0005-0000-0000-0000504B0000}"/>
    <cellStyle name="Normal 2 2 2 34 5 4" xfId="19281" xr:uid="{00000000-0005-0000-0000-0000514B0000}"/>
    <cellStyle name="Normal 2 2 2 34 5 5" xfId="19282" xr:uid="{00000000-0005-0000-0000-0000524B0000}"/>
    <cellStyle name="Normal 2 2 2 34 5 6" xfId="19283" xr:uid="{00000000-0005-0000-0000-0000534B0000}"/>
    <cellStyle name="Normal 2 2 2 34 5 7" xfId="19284" xr:uid="{00000000-0005-0000-0000-0000544B0000}"/>
    <cellStyle name="Normal 2 2 2 34 5 8" xfId="19285" xr:uid="{00000000-0005-0000-0000-0000554B0000}"/>
    <cellStyle name="Normal 2 2 2 34 5 9" xfId="19286" xr:uid="{00000000-0005-0000-0000-0000564B0000}"/>
    <cellStyle name="Normal 2 2 2 34 6" xfId="19287" xr:uid="{00000000-0005-0000-0000-0000574B0000}"/>
    <cellStyle name="Normal 2 2 2 34 7" xfId="19288" xr:uid="{00000000-0005-0000-0000-0000584B0000}"/>
    <cellStyle name="Normal 2 2 2 34 8" xfId="19289" xr:uid="{00000000-0005-0000-0000-0000594B0000}"/>
    <cellStyle name="Normal 2 2 2 34 9" xfId="19290" xr:uid="{00000000-0005-0000-0000-00005A4B0000}"/>
    <cellStyle name="Normal 2 2 2 35" xfId="19291" xr:uid="{00000000-0005-0000-0000-00005B4B0000}"/>
    <cellStyle name="Normal 2 2 2 35 10" xfId="19292" xr:uid="{00000000-0005-0000-0000-00005C4B0000}"/>
    <cellStyle name="Normal 2 2 2 35 11" xfId="19293" xr:uid="{00000000-0005-0000-0000-00005D4B0000}"/>
    <cellStyle name="Normal 2 2 2 35 12" xfId="19294" xr:uid="{00000000-0005-0000-0000-00005E4B0000}"/>
    <cellStyle name="Normal 2 2 2 35 13" xfId="19295" xr:uid="{00000000-0005-0000-0000-00005F4B0000}"/>
    <cellStyle name="Normal 2 2 2 35 14" xfId="19296" xr:uid="{00000000-0005-0000-0000-0000604B0000}"/>
    <cellStyle name="Normal 2 2 2 35 2" xfId="19297" xr:uid="{00000000-0005-0000-0000-0000614B0000}"/>
    <cellStyle name="Normal 2 2 2 35 2 10" xfId="19298" xr:uid="{00000000-0005-0000-0000-0000624B0000}"/>
    <cellStyle name="Normal 2 2 2 35 2 2" xfId="19299" xr:uid="{00000000-0005-0000-0000-0000634B0000}"/>
    <cellStyle name="Normal 2 2 2 35 2 3" xfId="19300" xr:uid="{00000000-0005-0000-0000-0000644B0000}"/>
    <cellStyle name="Normal 2 2 2 35 2 4" xfId="19301" xr:uid="{00000000-0005-0000-0000-0000654B0000}"/>
    <cellStyle name="Normal 2 2 2 35 2 5" xfId="19302" xr:uid="{00000000-0005-0000-0000-0000664B0000}"/>
    <cellStyle name="Normal 2 2 2 35 2 6" xfId="19303" xr:uid="{00000000-0005-0000-0000-0000674B0000}"/>
    <cellStyle name="Normal 2 2 2 35 2 7" xfId="19304" xr:uid="{00000000-0005-0000-0000-0000684B0000}"/>
    <cellStyle name="Normal 2 2 2 35 2 8" xfId="19305" xr:uid="{00000000-0005-0000-0000-0000694B0000}"/>
    <cellStyle name="Normal 2 2 2 35 2 9" xfId="19306" xr:uid="{00000000-0005-0000-0000-00006A4B0000}"/>
    <cellStyle name="Normal 2 2 2 35 3" xfId="19307" xr:uid="{00000000-0005-0000-0000-00006B4B0000}"/>
    <cellStyle name="Normal 2 2 2 35 3 10" xfId="19308" xr:uid="{00000000-0005-0000-0000-00006C4B0000}"/>
    <cellStyle name="Normal 2 2 2 35 3 2" xfId="19309" xr:uid="{00000000-0005-0000-0000-00006D4B0000}"/>
    <cellStyle name="Normal 2 2 2 35 3 3" xfId="19310" xr:uid="{00000000-0005-0000-0000-00006E4B0000}"/>
    <cellStyle name="Normal 2 2 2 35 3 4" xfId="19311" xr:uid="{00000000-0005-0000-0000-00006F4B0000}"/>
    <cellStyle name="Normal 2 2 2 35 3 5" xfId="19312" xr:uid="{00000000-0005-0000-0000-0000704B0000}"/>
    <cellStyle name="Normal 2 2 2 35 3 6" xfId="19313" xr:uid="{00000000-0005-0000-0000-0000714B0000}"/>
    <cellStyle name="Normal 2 2 2 35 3 7" xfId="19314" xr:uid="{00000000-0005-0000-0000-0000724B0000}"/>
    <cellStyle name="Normal 2 2 2 35 3 8" xfId="19315" xr:uid="{00000000-0005-0000-0000-0000734B0000}"/>
    <cellStyle name="Normal 2 2 2 35 3 9" xfId="19316" xr:uid="{00000000-0005-0000-0000-0000744B0000}"/>
    <cellStyle name="Normal 2 2 2 35 4" xfId="19317" xr:uid="{00000000-0005-0000-0000-0000754B0000}"/>
    <cellStyle name="Normal 2 2 2 35 4 10" xfId="19318" xr:uid="{00000000-0005-0000-0000-0000764B0000}"/>
    <cellStyle name="Normal 2 2 2 35 4 2" xfId="19319" xr:uid="{00000000-0005-0000-0000-0000774B0000}"/>
    <cellStyle name="Normal 2 2 2 35 4 3" xfId="19320" xr:uid="{00000000-0005-0000-0000-0000784B0000}"/>
    <cellStyle name="Normal 2 2 2 35 4 4" xfId="19321" xr:uid="{00000000-0005-0000-0000-0000794B0000}"/>
    <cellStyle name="Normal 2 2 2 35 4 5" xfId="19322" xr:uid="{00000000-0005-0000-0000-00007A4B0000}"/>
    <cellStyle name="Normal 2 2 2 35 4 6" xfId="19323" xr:uid="{00000000-0005-0000-0000-00007B4B0000}"/>
    <cellStyle name="Normal 2 2 2 35 4 7" xfId="19324" xr:uid="{00000000-0005-0000-0000-00007C4B0000}"/>
    <cellStyle name="Normal 2 2 2 35 4 8" xfId="19325" xr:uid="{00000000-0005-0000-0000-00007D4B0000}"/>
    <cellStyle name="Normal 2 2 2 35 4 9" xfId="19326" xr:uid="{00000000-0005-0000-0000-00007E4B0000}"/>
    <cellStyle name="Normal 2 2 2 35 5" xfId="19327" xr:uid="{00000000-0005-0000-0000-00007F4B0000}"/>
    <cellStyle name="Normal 2 2 2 35 5 10" xfId="19328" xr:uid="{00000000-0005-0000-0000-0000804B0000}"/>
    <cellStyle name="Normal 2 2 2 35 5 2" xfId="19329" xr:uid="{00000000-0005-0000-0000-0000814B0000}"/>
    <cellStyle name="Normal 2 2 2 35 5 3" xfId="19330" xr:uid="{00000000-0005-0000-0000-0000824B0000}"/>
    <cellStyle name="Normal 2 2 2 35 5 4" xfId="19331" xr:uid="{00000000-0005-0000-0000-0000834B0000}"/>
    <cellStyle name="Normal 2 2 2 35 5 5" xfId="19332" xr:uid="{00000000-0005-0000-0000-0000844B0000}"/>
    <cellStyle name="Normal 2 2 2 35 5 6" xfId="19333" xr:uid="{00000000-0005-0000-0000-0000854B0000}"/>
    <cellStyle name="Normal 2 2 2 35 5 7" xfId="19334" xr:uid="{00000000-0005-0000-0000-0000864B0000}"/>
    <cellStyle name="Normal 2 2 2 35 5 8" xfId="19335" xr:uid="{00000000-0005-0000-0000-0000874B0000}"/>
    <cellStyle name="Normal 2 2 2 35 5 9" xfId="19336" xr:uid="{00000000-0005-0000-0000-0000884B0000}"/>
    <cellStyle name="Normal 2 2 2 35 6" xfId="19337" xr:uid="{00000000-0005-0000-0000-0000894B0000}"/>
    <cellStyle name="Normal 2 2 2 35 7" xfId="19338" xr:uid="{00000000-0005-0000-0000-00008A4B0000}"/>
    <cellStyle name="Normal 2 2 2 35 8" xfId="19339" xr:uid="{00000000-0005-0000-0000-00008B4B0000}"/>
    <cellStyle name="Normal 2 2 2 35 9" xfId="19340" xr:uid="{00000000-0005-0000-0000-00008C4B0000}"/>
    <cellStyle name="Normal 2 2 2 36" xfId="19341" xr:uid="{00000000-0005-0000-0000-00008D4B0000}"/>
    <cellStyle name="Normal 2 2 2 36 10" xfId="19342" xr:uid="{00000000-0005-0000-0000-00008E4B0000}"/>
    <cellStyle name="Normal 2 2 2 36 2" xfId="19343" xr:uid="{00000000-0005-0000-0000-00008F4B0000}"/>
    <cellStyle name="Normal 2 2 2 36 3" xfId="19344" xr:uid="{00000000-0005-0000-0000-0000904B0000}"/>
    <cellStyle name="Normal 2 2 2 36 4" xfId="19345" xr:uid="{00000000-0005-0000-0000-0000914B0000}"/>
    <cellStyle name="Normal 2 2 2 36 5" xfId="19346" xr:uid="{00000000-0005-0000-0000-0000924B0000}"/>
    <cellStyle name="Normal 2 2 2 36 6" xfId="19347" xr:uid="{00000000-0005-0000-0000-0000934B0000}"/>
    <cellStyle name="Normal 2 2 2 36 7" xfId="19348" xr:uid="{00000000-0005-0000-0000-0000944B0000}"/>
    <cellStyle name="Normal 2 2 2 36 8" xfId="19349" xr:uid="{00000000-0005-0000-0000-0000954B0000}"/>
    <cellStyle name="Normal 2 2 2 36 9" xfId="19350" xr:uid="{00000000-0005-0000-0000-0000964B0000}"/>
    <cellStyle name="Normal 2 2 2 37" xfId="19351" xr:uid="{00000000-0005-0000-0000-0000974B0000}"/>
    <cellStyle name="Normal 2 2 2 37 10" xfId="19352" xr:uid="{00000000-0005-0000-0000-0000984B0000}"/>
    <cellStyle name="Normal 2 2 2 37 2" xfId="19353" xr:uid="{00000000-0005-0000-0000-0000994B0000}"/>
    <cellStyle name="Normal 2 2 2 37 3" xfId="19354" xr:uid="{00000000-0005-0000-0000-00009A4B0000}"/>
    <cellStyle name="Normal 2 2 2 37 4" xfId="19355" xr:uid="{00000000-0005-0000-0000-00009B4B0000}"/>
    <cellStyle name="Normal 2 2 2 37 5" xfId="19356" xr:uid="{00000000-0005-0000-0000-00009C4B0000}"/>
    <cellStyle name="Normal 2 2 2 37 6" xfId="19357" xr:uid="{00000000-0005-0000-0000-00009D4B0000}"/>
    <cellStyle name="Normal 2 2 2 37 7" xfId="19358" xr:uid="{00000000-0005-0000-0000-00009E4B0000}"/>
    <cellStyle name="Normal 2 2 2 37 8" xfId="19359" xr:uid="{00000000-0005-0000-0000-00009F4B0000}"/>
    <cellStyle name="Normal 2 2 2 37 9" xfId="19360" xr:uid="{00000000-0005-0000-0000-0000A04B0000}"/>
    <cellStyle name="Normal 2 2 2 38" xfId="19361" xr:uid="{00000000-0005-0000-0000-0000A14B0000}"/>
    <cellStyle name="Normal 2 2 2 38 10" xfId="19362" xr:uid="{00000000-0005-0000-0000-0000A24B0000}"/>
    <cellStyle name="Normal 2 2 2 38 2" xfId="19363" xr:uid="{00000000-0005-0000-0000-0000A34B0000}"/>
    <cellStyle name="Normal 2 2 2 38 3" xfId="19364" xr:uid="{00000000-0005-0000-0000-0000A44B0000}"/>
    <cellStyle name="Normal 2 2 2 38 4" xfId="19365" xr:uid="{00000000-0005-0000-0000-0000A54B0000}"/>
    <cellStyle name="Normal 2 2 2 38 5" xfId="19366" xr:uid="{00000000-0005-0000-0000-0000A64B0000}"/>
    <cellStyle name="Normal 2 2 2 38 6" xfId="19367" xr:uid="{00000000-0005-0000-0000-0000A74B0000}"/>
    <cellStyle name="Normal 2 2 2 38 7" xfId="19368" xr:uid="{00000000-0005-0000-0000-0000A84B0000}"/>
    <cellStyle name="Normal 2 2 2 38 8" xfId="19369" xr:uid="{00000000-0005-0000-0000-0000A94B0000}"/>
    <cellStyle name="Normal 2 2 2 38 9" xfId="19370" xr:uid="{00000000-0005-0000-0000-0000AA4B0000}"/>
    <cellStyle name="Normal 2 2 2 39" xfId="19371" xr:uid="{00000000-0005-0000-0000-0000AB4B0000}"/>
    <cellStyle name="Normal 2 2 2 39 10" xfId="19372" xr:uid="{00000000-0005-0000-0000-0000AC4B0000}"/>
    <cellStyle name="Normal 2 2 2 39 2" xfId="19373" xr:uid="{00000000-0005-0000-0000-0000AD4B0000}"/>
    <cellStyle name="Normal 2 2 2 39 3" xfId="19374" xr:uid="{00000000-0005-0000-0000-0000AE4B0000}"/>
    <cellStyle name="Normal 2 2 2 39 4" xfId="19375" xr:uid="{00000000-0005-0000-0000-0000AF4B0000}"/>
    <cellStyle name="Normal 2 2 2 39 5" xfId="19376" xr:uid="{00000000-0005-0000-0000-0000B04B0000}"/>
    <cellStyle name="Normal 2 2 2 39 6" xfId="19377" xr:uid="{00000000-0005-0000-0000-0000B14B0000}"/>
    <cellStyle name="Normal 2 2 2 39 7" xfId="19378" xr:uid="{00000000-0005-0000-0000-0000B24B0000}"/>
    <cellStyle name="Normal 2 2 2 39 8" xfId="19379" xr:uid="{00000000-0005-0000-0000-0000B34B0000}"/>
    <cellStyle name="Normal 2 2 2 39 9" xfId="19380" xr:uid="{00000000-0005-0000-0000-0000B44B0000}"/>
    <cellStyle name="Normal 2 2 2 4" xfId="19381" xr:uid="{00000000-0005-0000-0000-0000B54B0000}"/>
    <cellStyle name="Normal 2 2 2 4 10" xfId="19382" xr:uid="{00000000-0005-0000-0000-0000B64B0000}"/>
    <cellStyle name="Normal 2 2 2 4 11" xfId="19383" xr:uid="{00000000-0005-0000-0000-0000B74B0000}"/>
    <cellStyle name="Normal 2 2 2 4 12" xfId="19384" xr:uid="{00000000-0005-0000-0000-0000B84B0000}"/>
    <cellStyle name="Normal 2 2 2 4 13" xfId="19385" xr:uid="{00000000-0005-0000-0000-0000B94B0000}"/>
    <cellStyle name="Normal 2 2 2 4 14" xfId="19386" xr:uid="{00000000-0005-0000-0000-0000BA4B0000}"/>
    <cellStyle name="Normal 2 2 2 4 15" xfId="19387" xr:uid="{00000000-0005-0000-0000-0000BB4B0000}"/>
    <cellStyle name="Normal 2 2 2 4 16" xfId="19388" xr:uid="{00000000-0005-0000-0000-0000BC4B0000}"/>
    <cellStyle name="Normal 2 2 2 4 17" xfId="19389" xr:uid="{00000000-0005-0000-0000-0000BD4B0000}"/>
    <cellStyle name="Normal 2 2 2 4 18" xfId="19390" xr:uid="{00000000-0005-0000-0000-0000BE4B0000}"/>
    <cellStyle name="Normal 2 2 2 4 19" xfId="19391" xr:uid="{00000000-0005-0000-0000-0000BF4B0000}"/>
    <cellStyle name="Normal 2 2 2 4 2" xfId="19392" xr:uid="{00000000-0005-0000-0000-0000C04B0000}"/>
    <cellStyle name="Normal 2 2 2 4 2 10" xfId="19393" xr:uid="{00000000-0005-0000-0000-0000C14B0000}"/>
    <cellStyle name="Normal 2 2 2 4 2 10 10" xfId="19394" xr:uid="{00000000-0005-0000-0000-0000C24B0000}"/>
    <cellStyle name="Normal 2 2 2 4 2 10 11" xfId="19395" xr:uid="{00000000-0005-0000-0000-0000C34B0000}"/>
    <cellStyle name="Normal 2 2 2 4 2 10 12" xfId="19396" xr:uid="{00000000-0005-0000-0000-0000C44B0000}"/>
    <cellStyle name="Normal 2 2 2 4 2 10 13" xfId="19397" xr:uid="{00000000-0005-0000-0000-0000C54B0000}"/>
    <cellStyle name="Normal 2 2 2 4 2 10 14" xfId="19398" xr:uid="{00000000-0005-0000-0000-0000C64B0000}"/>
    <cellStyle name="Normal 2 2 2 4 2 10 2" xfId="19399" xr:uid="{00000000-0005-0000-0000-0000C74B0000}"/>
    <cellStyle name="Normal 2 2 2 4 2 10 2 10" xfId="19400" xr:uid="{00000000-0005-0000-0000-0000C84B0000}"/>
    <cellStyle name="Normal 2 2 2 4 2 10 2 2" xfId="19401" xr:uid="{00000000-0005-0000-0000-0000C94B0000}"/>
    <cellStyle name="Normal 2 2 2 4 2 10 2 3" xfId="19402" xr:uid="{00000000-0005-0000-0000-0000CA4B0000}"/>
    <cellStyle name="Normal 2 2 2 4 2 10 2 4" xfId="19403" xr:uid="{00000000-0005-0000-0000-0000CB4B0000}"/>
    <cellStyle name="Normal 2 2 2 4 2 10 2 5" xfId="19404" xr:uid="{00000000-0005-0000-0000-0000CC4B0000}"/>
    <cellStyle name="Normal 2 2 2 4 2 10 2 6" xfId="19405" xr:uid="{00000000-0005-0000-0000-0000CD4B0000}"/>
    <cellStyle name="Normal 2 2 2 4 2 10 2 7" xfId="19406" xr:uid="{00000000-0005-0000-0000-0000CE4B0000}"/>
    <cellStyle name="Normal 2 2 2 4 2 10 2 8" xfId="19407" xr:uid="{00000000-0005-0000-0000-0000CF4B0000}"/>
    <cellStyle name="Normal 2 2 2 4 2 10 2 9" xfId="19408" xr:uid="{00000000-0005-0000-0000-0000D04B0000}"/>
    <cellStyle name="Normal 2 2 2 4 2 10 3" xfId="19409" xr:uid="{00000000-0005-0000-0000-0000D14B0000}"/>
    <cellStyle name="Normal 2 2 2 4 2 10 3 10" xfId="19410" xr:uid="{00000000-0005-0000-0000-0000D24B0000}"/>
    <cellStyle name="Normal 2 2 2 4 2 10 3 2" xfId="19411" xr:uid="{00000000-0005-0000-0000-0000D34B0000}"/>
    <cellStyle name="Normal 2 2 2 4 2 10 3 3" xfId="19412" xr:uid="{00000000-0005-0000-0000-0000D44B0000}"/>
    <cellStyle name="Normal 2 2 2 4 2 10 3 4" xfId="19413" xr:uid="{00000000-0005-0000-0000-0000D54B0000}"/>
    <cellStyle name="Normal 2 2 2 4 2 10 3 5" xfId="19414" xr:uid="{00000000-0005-0000-0000-0000D64B0000}"/>
    <cellStyle name="Normal 2 2 2 4 2 10 3 6" xfId="19415" xr:uid="{00000000-0005-0000-0000-0000D74B0000}"/>
    <cellStyle name="Normal 2 2 2 4 2 10 3 7" xfId="19416" xr:uid="{00000000-0005-0000-0000-0000D84B0000}"/>
    <cellStyle name="Normal 2 2 2 4 2 10 3 8" xfId="19417" xr:uid="{00000000-0005-0000-0000-0000D94B0000}"/>
    <cellStyle name="Normal 2 2 2 4 2 10 3 9" xfId="19418" xr:uid="{00000000-0005-0000-0000-0000DA4B0000}"/>
    <cellStyle name="Normal 2 2 2 4 2 10 4" xfId="19419" xr:uid="{00000000-0005-0000-0000-0000DB4B0000}"/>
    <cellStyle name="Normal 2 2 2 4 2 10 4 10" xfId="19420" xr:uid="{00000000-0005-0000-0000-0000DC4B0000}"/>
    <cellStyle name="Normal 2 2 2 4 2 10 4 2" xfId="19421" xr:uid="{00000000-0005-0000-0000-0000DD4B0000}"/>
    <cellStyle name="Normal 2 2 2 4 2 10 4 3" xfId="19422" xr:uid="{00000000-0005-0000-0000-0000DE4B0000}"/>
    <cellStyle name="Normal 2 2 2 4 2 10 4 4" xfId="19423" xr:uid="{00000000-0005-0000-0000-0000DF4B0000}"/>
    <cellStyle name="Normal 2 2 2 4 2 10 4 5" xfId="19424" xr:uid="{00000000-0005-0000-0000-0000E04B0000}"/>
    <cellStyle name="Normal 2 2 2 4 2 10 4 6" xfId="19425" xr:uid="{00000000-0005-0000-0000-0000E14B0000}"/>
    <cellStyle name="Normal 2 2 2 4 2 10 4 7" xfId="19426" xr:uid="{00000000-0005-0000-0000-0000E24B0000}"/>
    <cellStyle name="Normal 2 2 2 4 2 10 4 8" xfId="19427" xr:uid="{00000000-0005-0000-0000-0000E34B0000}"/>
    <cellStyle name="Normal 2 2 2 4 2 10 4 9" xfId="19428" xr:uid="{00000000-0005-0000-0000-0000E44B0000}"/>
    <cellStyle name="Normal 2 2 2 4 2 10 5" xfId="19429" xr:uid="{00000000-0005-0000-0000-0000E54B0000}"/>
    <cellStyle name="Normal 2 2 2 4 2 10 5 10" xfId="19430" xr:uid="{00000000-0005-0000-0000-0000E64B0000}"/>
    <cellStyle name="Normal 2 2 2 4 2 10 5 2" xfId="19431" xr:uid="{00000000-0005-0000-0000-0000E74B0000}"/>
    <cellStyle name="Normal 2 2 2 4 2 10 5 3" xfId="19432" xr:uid="{00000000-0005-0000-0000-0000E84B0000}"/>
    <cellStyle name="Normal 2 2 2 4 2 10 5 4" xfId="19433" xr:uid="{00000000-0005-0000-0000-0000E94B0000}"/>
    <cellStyle name="Normal 2 2 2 4 2 10 5 5" xfId="19434" xr:uid="{00000000-0005-0000-0000-0000EA4B0000}"/>
    <cellStyle name="Normal 2 2 2 4 2 10 5 6" xfId="19435" xr:uid="{00000000-0005-0000-0000-0000EB4B0000}"/>
    <cellStyle name="Normal 2 2 2 4 2 10 5 7" xfId="19436" xr:uid="{00000000-0005-0000-0000-0000EC4B0000}"/>
    <cellStyle name="Normal 2 2 2 4 2 10 5 8" xfId="19437" xr:uid="{00000000-0005-0000-0000-0000ED4B0000}"/>
    <cellStyle name="Normal 2 2 2 4 2 10 5 9" xfId="19438" xr:uid="{00000000-0005-0000-0000-0000EE4B0000}"/>
    <cellStyle name="Normal 2 2 2 4 2 10 6" xfId="19439" xr:uid="{00000000-0005-0000-0000-0000EF4B0000}"/>
    <cellStyle name="Normal 2 2 2 4 2 10 7" xfId="19440" xr:uid="{00000000-0005-0000-0000-0000F04B0000}"/>
    <cellStyle name="Normal 2 2 2 4 2 10 8" xfId="19441" xr:uid="{00000000-0005-0000-0000-0000F14B0000}"/>
    <cellStyle name="Normal 2 2 2 4 2 10 9" xfId="19442" xr:uid="{00000000-0005-0000-0000-0000F24B0000}"/>
    <cellStyle name="Normal 2 2 2 4 2 11" xfId="19443" xr:uid="{00000000-0005-0000-0000-0000F34B0000}"/>
    <cellStyle name="Normal 2 2 2 4 2 11 10" xfId="19444" xr:uid="{00000000-0005-0000-0000-0000F44B0000}"/>
    <cellStyle name="Normal 2 2 2 4 2 11 11" xfId="19445" xr:uid="{00000000-0005-0000-0000-0000F54B0000}"/>
    <cellStyle name="Normal 2 2 2 4 2 11 12" xfId="19446" xr:uid="{00000000-0005-0000-0000-0000F64B0000}"/>
    <cellStyle name="Normal 2 2 2 4 2 11 13" xfId="19447" xr:uid="{00000000-0005-0000-0000-0000F74B0000}"/>
    <cellStyle name="Normal 2 2 2 4 2 11 14" xfId="19448" xr:uid="{00000000-0005-0000-0000-0000F84B0000}"/>
    <cellStyle name="Normal 2 2 2 4 2 11 2" xfId="19449" xr:uid="{00000000-0005-0000-0000-0000F94B0000}"/>
    <cellStyle name="Normal 2 2 2 4 2 11 2 10" xfId="19450" xr:uid="{00000000-0005-0000-0000-0000FA4B0000}"/>
    <cellStyle name="Normal 2 2 2 4 2 11 2 2" xfId="19451" xr:uid="{00000000-0005-0000-0000-0000FB4B0000}"/>
    <cellStyle name="Normal 2 2 2 4 2 11 2 3" xfId="19452" xr:uid="{00000000-0005-0000-0000-0000FC4B0000}"/>
    <cellStyle name="Normal 2 2 2 4 2 11 2 4" xfId="19453" xr:uid="{00000000-0005-0000-0000-0000FD4B0000}"/>
    <cellStyle name="Normal 2 2 2 4 2 11 2 5" xfId="19454" xr:uid="{00000000-0005-0000-0000-0000FE4B0000}"/>
    <cellStyle name="Normal 2 2 2 4 2 11 2 6" xfId="19455" xr:uid="{00000000-0005-0000-0000-0000FF4B0000}"/>
    <cellStyle name="Normal 2 2 2 4 2 11 2 7" xfId="19456" xr:uid="{00000000-0005-0000-0000-0000004C0000}"/>
    <cellStyle name="Normal 2 2 2 4 2 11 2 8" xfId="19457" xr:uid="{00000000-0005-0000-0000-0000014C0000}"/>
    <cellStyle name="Normal 2 2 2 4 2 11 2 9" xfId="19458" xr:uid="{00000000-0005-0000-0000-0000024C0000}"/>
    <cellStyle name="Normal 2 2 2 4 2 11 3" xfId="19459" xr:uid="{00000000-0005-0000-0000-0000034C0000}"/>
    <cellStyle name="Normal 2 2 2 4 2 11 3 10" xfId="19460" xr:uid="{00000000-0005-0000-0000-0000044C0000}"/>
    <cellStyle name="Normal 2 2 2 4 2 11 3 2" xfId="19461" xr:uid="{00000000-0005-0000-0000-0000054C0000}"/>
    <cellStyle name="Normal 2 2 2 4 2 11 3 3" xfId="19462" xr:uid="{00000000-0005-0000-0000-0000064C0000}"/>
    <cellStyle name="Normal 2 2 2 4 2 11 3 4" xfId="19463" xr:uid="{00000000-0005-0000-0000-0000074C0000}"/>
    <cellStyle name="Normal 2 2 2 4 2 11 3 5" xfId="19464" xr:uid="{00000000-0005-0000-0000-0000084C0000}"/>
    <cellStyle name="Normal 2 2 2 4 2 11 3 6" xfId="19465" xr:uid="{00000000-0005-0000-0000-0000094C0000}"/>
    <cellStyle name="Normal 2 2 2 4 2 11 3 7" xfId="19466" xr:uid="{00000000-0005-0000-0000-00000A4C0000}"/>
    <cellStyle name="Normal 2 2 2 4 2 11 3 8" xfId="19467" xr:uid="{00000000-0005-0000-0000-00000B4C0000}"/>
    <cellStyle name="Normal 2 2 2 4 2 11 3 9" xfId="19468" xr:uid="{00000000-0005-0000-0000-00000C4C0000}"/>
    <cellStyle name="Normal 2 2 2 4 2 11 4" xfId="19469" xr:uid="{00000000-0005-0000-0000-00000D4C0000}"/>
    <cellStyle name="Normal 2 2 2 4 2 11 4 10" xfId="19470" xr:uid="{00000000-0005-0000-0000-00000E4C0000}"/>
    <cellStyle name="Normal 2 2 2 4 2 11 4 2" xfId="19471" xr:uid="{00000000-0005-0000-0000-00000F4C0000}"/>
    <cellStyle name="Normal 2 2 2 4 2 11 4 3" xfId="19472" xr:uid="{00000000-0005-0000-0000-0000104C0000}"/>
    <cellStyle name="Normal 2 2 2 4 2 11 4 4" xfId="19473" xr:uid="{00000000-0005-0000-0000-0000114C0000}"/>
    <cellStyle name="Normal 2 2 2 4 2 11 4 5" xfId="19474" xr:uid="{00000000-0005-0000-0000-0000124C0000}"/>
    <cellStyle name="Normal 2 2 2 4 2 11 4 6" xfId="19475" xr:uid="{00000000-0005-0000-0000-0000134C0000}"/>
    <cellStyle name="Normal 2 2 2 4 2 11 4 7" xfId="19476" xr:uid="{00000000-0005-0000-0000-0000144C0000}"/>
    <cellStyle name="Normal 2 2 2 4 2 11 4 8" xfId="19477" xr:uid="{00000000-0005-0000-0000-0000154C0000}"/>
    <cellStyle name="Normal 2 2 2 4 2 11 4 9" xfId="19478" xr:uid="{00000000-0005-0000-0000-0000164C0000}"/>
    <cellStyle name="Normal 2 2 2 4 2 11 5" xfId="19479" xr:uid="{00000000-0005-0000-0000-0000174C0000}"/>
    <cellStyle name="Normal 2 2 2 4 2 11 5 10" xfId="19480" xr:uid="{00000000-0005-0000-0000-0000184C0000}"/>
    <cellStyle name="Normal 2 2 2 4 2 11 5 2" xfId="19481" xr:uid="{00000000-0005-0000-0000-0000194C0000}"/>
    <cellStyle name="Normal 2 2 2 4 2 11 5 3" xfId="19482" xr:uid="{00000000-0005-0000-0000-00001A4C0000}"/>
    <cellStyle name="Normal 2 2 2 4 2 11 5 4" xfId="19483" xr:uid="{00000000-0005-0000-0000-00001B4C0000}"/>
    <cellStyle name="Normal 2 2 2 4 2 11 5 5" xfId="19484" xr:uid="{00000000-0005-0000-0000-00001C4C0000}"/>
    <cellStyle name="Normal 2 2 2 4 2 11 5 6" xfId="19485" xr:uid="{00000000-0005-0000-0000-00001D4C0000}"/>
    <cellStyle name="Normal 2 2 2 4 2 11 5 7" xfId="19486" xr:uid="{00000000-0005-0000-0000-00001E4C0000}"/>
    <cellStyle name="Normal 2 2 2 4 2 11 5 8" xfId="19487" xr:uid="{00000000-0005-0000-0000-00001F4C0000}"/>
    <cellStyle name="Normal 2 2 2 4 2 11 5 9" xfId="19488" xr:uid="{00000000-0005-0000-0000-0000204C0000}"/>
    <cellStyle name="Normal 2 2 2 4 2 11 6" xfId="19489" xr:uid="{00000000-0005-0000-0000-0000214C0000}"/>
    <cellStyle name="Normal 2 2 2 4 2 11 7" xfId="19490" xr:uid="{00000000-0005-0000-0000-0000224C0000}"/>
    <cellStyle name="Normal 2 2 2 4 2 11 8" xfId="19491" xr:uid="{00000000-0005-0000-0000-0000234C0000}"/>
    <cellStyle name="Normal 2 2 2 4 2 11 9" xfId="19492" xr:uid="{00000000-0005-0000-0000-0000244C0000}"/>
    <cellStyle name="Normal 2 2 2 4 2 12" xfId="19493" xr:uid="{00000000-0005-0000-0000-0000254C0000}"/>
    <cellStyle name="Normal 2 2 2 4 2 12 10" xfId="19494" xr:uid="{00000000-0005-0000-0000-0000264C0000}"/>
    <cellStyle name="Normal 2 2 2 4 2 12 11" xfId="19495" xr:uid="{00000000-0005-0000-0000-0000274C0000}"/>
    <cellStyle name="Normal 2 2 2 4 2 12 12" xfId="19496" xr:uid="{00000000-0005-0000-0000-0000284C0000}"/>
    <cellStyle name="Normal 2 2 2 4 2 12 13" xfId="19497" xr:uid="{00000000-0005-0000-0000-0000294C0000}"/>
    <cellStyle name="Normal 2 2 2 4 2 12 14" xfId="19498" xr:uid="{00000000-0005-0000-0000-00002A4C0000}"/>
    <cellStyle name="Normal 2 2 2 4 2 12 2" xfId="19499" xr:uid="{00000000-0005-0000-0000-00002B4C0000}"/>
    <cellStyle name="Normal 2 2 2 4 2 12 2 10" xfId="19500" xr:uid="{00000000-0005-0000-0000-00002C4C0000}"/>
    <cellStyle name="Normal 2 2 2 4 2 12 2 2" xfId="19501" xr:uid="{00000000-0005-0000-0000-00002D4C0000}"/>
    <cellStyle name="Normal 2 2 2 4 2 12 2 3" xfId="19502" xr:uid="{00000000-0005-0000-0000-00002E4C0000}"/>
    <cellStyle name="Normal 2 2 2 4 2 12 2 4" xfId="19503" xr:uid="{00000000-0005-0000-0000-00002F4C0000}"/>
    <cellStyle name="Normal 2 2 2 4 2 12 2 5" xfId="19504" xr:uid="{00000000-0005-0000-0000-0000304C0000}"/>
    <cellStyle name="Normal 2 2 2 4 2 12 2 6" xfId="19505" xr:uid="{00000000-0005-0000-0000-0000314C0000}"/>
    <cellStyle name="Normal 2 2 2 4 2 12 2 7" xfId="19506" xr:uid="{00000000-0005-0000-0000-0000324C0000}"/>
    <cellStyle name="Normal 2 2 2 4 2 12 2 8" xfId="19507" xr:uid="{00000000-0005-0000-0000-0000334C0000}"/>
    <cellStyle name="Normal 2 2 2 4 2 12 2 9" xfId="19508" xr:uid="{00000000-0005-0000-0000-0000344C0000}"/>
    <cellStyle name="Normal 2 2 2 4 2 12 3" xfId="19509" xr:uid="{00000000-0005-0000-0000-0000354C0000}"/>
    <cellStyle name="Normal 2 2 2 4 2 12 3 10" xfId="19510" xr:uid="{00000000-0005-0000-0000-0000364C0000}"/>
    <cellStyle name="Normal 2 2 2 4 2 12 3 2" xfId="19511" xr:uid="{00000000-0005-0000-0000-0000374C0000}"/>
    <cellStyle name="Normal 2 2 2 4 2 12 3 3" xfId="19512" xr:uid="{00000000-0005-0000-0000-0000384C0000}"/>
    <cellStyle name="Normal 2 2 2 4 2 12 3 4" xfId="19513" xr:uid="{00000000-0005-0000-0000-0000394C0000}"/>
    <cellStyle name="Normal 2 2 2 4 2 12 3 5" xfId="19514" xr:uid="{00000000-0005-0000-0000-00003A4C0000}"/>
    <cellStyle name="Normal 2 2 2 4 2 12 3 6" xfId="19515" xr:uid="{00000000-0005-0000-0000-00003B4C0000}"/>
    <cellStyle name="Normal 2 2 2 4 2 12 3 7" xfId="19516" xr:uid="{00000000-0005-0000-0000-00003C4C0000}"/>
    <cellStyle name="Normal 2 2 2 4 2 12 3 8" xfId="19517" xr:uid="{00000000-0005-0000-0000-00003D4C0000}"/>
    <cellStyle name="Normal 2 2 2 4 2 12 3 9" xfId="19518" xr:uid="{00000000-0005-0000-0000-00003E4C0000}"/>
    <cellStyle name="Normal 2 2 2 4 2 12 4" xfId="19519" xr:uid="{00000000-0005-0000-0000-00003F4C0000}"/>
    <cellStyle name="Normal 2 2 2 4 2 12 4 10" xfId="19520" xr:uid="{00000000-0005-0000-0000-0000404C0000}"/>
    <cellStyle name="Normal 2 2 2 4 2 12 4 2" xfId="19521" xr:uid="{00000000-0005-0000-0000-0000414C0000}"/>
    <cellStyle name="Normal 2 2 2 4 2 12 4 3" xfId="19522" xr:uid="{00000000-0005-0000-0000-0000424C0000}"/>
    <cellStyle name="Normal 2 2 2 4 2 12 4 4" xfId="19523" xr:uid="{00000000-0005-0000-0000-0000434C0000}"/>
    <cellStyle name="Normal 2 2 2 4 2 12 4 5" xfId="19524" xr:uid="{00000000-0005-0000-0000-0000444C0000}"/>
    <cellStyle name="Normal 2 2 2 4 2 12 4 6" xfId="19525" xr:uid="{00000000-0005-0000-0000-0000454C0000}"/>
    <cellStyle name="Normal 2 2 2 4 2 12 4 7" xfId="19526" xr:uid="{00000000-0005-0000-0000-0000464C0000}"/>
    <cellStyle name="Normal 2 2 2 4 2 12 4 8" xfId="19527" xr:uid="{00000000-0005-0000-0000-0000474C0000}"/>
    <cellStyle name="Normal 2 2 2 4 2 12 4 9" xfId="19528" xr:uid="{00000000-0005-0000-0000-0000484C0000}"/>
    <cellStyle name="Normal 2 2 2 4 2 12 5" xfId="19529" xr:uid="{00000000-0005-0000-0000-0000494C0000}"/>
    <cellStyle name="Normal 2 2 2 4 2 12 5 10" xfId="19530" xr:uid="{00000000-0005-0000-0000-00004A4C0000}"/>
    <cellStyle name="Normal 2 2 2 4 2 12 5 2" xfId="19531" xr:uid="{00000000-0005-0000-0000-00004B4C0000}"/>
    <cellStyle name="Normal 2 2 2 4 2 12 5 3" xfId="19532" xr:uid="{00000000-0005-0000-0000-00004C4C0000}"/>
    <cellStyle name="Normal 2 2 2 4 2 12 5 4" xfId="19533" xr:uid="{00000000-0005-0000-0000-00004D4C0000}"/>
    <cellStyle name="Normal 2 2 2 4 2 12 5 5" xfId="19534" xr:uid="{00000000-0005-0000-0000-00004E4C0000}"/>
    <cellStyle name="Normal 2 2 2 4 2 12 5 6" xfId="19535" xr:uid="{00000000-0005-0000-0000-00004F4C0000}"/>
    <cellStyle name="Normal 2 2 2 4 2 12 5 7" xfId="19536" xr:uid="{00000000-0005-0000-0000-0000504C0000}"/>
    <cellStyle name="Normal 2 2 2 4 2 12 5 8" xfId="19537" xr:uid="{00000000-0005-0000-0000-0000514C0000}"/>
    <cellStyle name="Normal 2 2 2 4 2 12 5 9" xfId="19538" xr:uid="{00000000-0005-0000-0000-0000524C0000}"/>
    <cellStyle name="Normal 2 2 2 4 2 12 6" xfId="19539" xr:uid="{00000000-0005-0000-0000-0000534C0000}"/>
    <cellStyle name="Normal 2 2 2 4 2 12 7" xfId="19540" xr:uid="{00000000-0005-0000-0000-0000544C0000}"/>
    <cellStyle name="Normal 2 2 2 4 2 12 8" xfId="19541" xr:uid="{00000000-0005-0000-0000-0000554C0000}"/>
    <cellStyle name="Normal 2 2 2 4 2 12 9" xfId="19542" xr:uid="{00000000-0005-0000-0000-0000564C0000}"/>
    <cellStyle name="Normal 2 2 2 4 2 13" xfId="19543" xr:uid="{00000000-0005-0000-0000-0000574C0000}"/>
    <cellStyle name="Normal 2 2 2 4 2 13 10" xfId="19544" xr:uid="{00000000-0005-0000-0000-0000584C0000}"/>
    <cellStyle name="Normal 2 2 2 4 2 13 11" xfId="19545" xr:uid="{00000000-0005-0000-0000-0000594C0000}"/>
    <cellStyle name="Normal 2 2 2 4 2 13 12" xfId="19546" xr:uid="{00000000-0005-0000-0000-00005A4C0000}"/>
    <cellStyle name="Normal 2 2 2 4 2 13 13" xfId="19547" xr:uid="{00000000-0005-0000-0000-00005B4C0000}"/>
    <cellStyle name="Normal 2 2 2 4 2 13 14" xfId="19548" xr:uid="{00000000-0005-0000-0000-00005C4C0000}"/>
    <cellStyle name="Normal 2 2 2 4 2 13 2" xfId="19549" xr:uid="{00000000-0005-0000-0000-00005D4C0000}"/>
    <cellStyle name="Normal 2 2 2 4 2 13 2 10" xfId="19550" xr:uid="{00000000-0005-0000-0000-00005E4C0000}"/>
    <cellStyle name="Normal 2 2 2 4 2 13 2 2" xfId="19551" xr:uid="{00000000-0005-0000-0000-00005F4C0000}"/>
    <cellStyle name="Normal 2 2 2 4 2 13 2 3" xfId="19552" xr:uid="{00000000-0005-0000-0000-0000604C0000}"/>
    <cellStyle name="Normal 2 2 2 4 2 13 2 4" xfId="19553" xr:uid="{00000000-0005-0000-0000-0000614C0000}"/>
    <cellStyle name="Normal 2 2 2 4 2 13 2 5" xfId="19554" xr:uid="{00000000-0005-0000-0000-0000624C0000}"/>
    <cellStyle name="Normal 2 2 2 4 2 13 2 6" xfId="19555" xr:uid="{00000000-0005-0000-0000-0000634C0000}"/>
    <cellStyle name="Normal 2 2 2 4 2 13 2 7" xfId="19556" xr:uid="{00000000-0005-0000-0000-0000644C0000}"/>
    <cellStyle name="Normal 2 2 2 4 2 13 2 8" xfId="19557" xr:uid="{00000000-0005-0000-0000-0000654C0000}"/>
    <cellStyle name="Normal 2 2 2 4 2 13 2 9" xfId="19558" xr:uid="{00000000-0005-0000-0000-0000664C0000}"/>
    <cellStyle name="Normal 2 2 2 4 2 13 3" xfId="19559" xr:uid="{00000000-0005-0000-0000-0000674C0000}"/>
    <cellStyle name="Normal 2 2 2 4 2 13 3 10" xfId="19560" xr:uid="{00000000-0005-0000-0000-0000684C0000}"/>
    <cellStyle name="Normal 2 2 2 4 2 13 3 2" xfId="19561" xr:uid="{00000000-0005-0000-0000-0000694C0000}"/>
    <cellStyle name="Normal 2 2 2 4 2 13 3 3" xfId="19562" xr:uid="{00000000-0005-0000-0000-00006A4C0000}"/>
    <cellStyle name="Normal 2 2 2 4 2 13 3 4" xfId="19563" xr:uid="{00000000-0005-0000-0000-00006B4C0000}"/>
    <cellStyle name="Normal 2 2 2 4 2 13 3 5" xfId="19564" xr:uid="{00000000-0005-0000-0000-00006C4C0000}"/>
    <cellStyle name="Normal 2 2 2 4 2 13 3 6" xfId="19565" xr:uid="{00000000-0005-0000-0000-00006D4C0000}"/>
    <cellStyle name="Normal 2 2 2 4 2 13 3 7" xfId="19566" xr:uid="{00000000-0005-0000-0000-00006E4C0000}"/>
    <cellStyle name="Normal 2 2 2 4 2 13 3 8" xfId="19567" xr:uid="{00000000-0005-0000-0000-00006F4C0000}"/>
    <cellStyle name="Normal 2 2 2 4 2 13 3 9" xfId="19568" xr:uid="{00000000-0005-0000-0000-0000704C0000}"/>
    <cellStyle name="Normal 2 2 2 4 2 13 4" xfId="19569" xr:uid="{00000000-0005-0000-0000-0000714C0000}"/>
    <cellStyle name="Normal 2 2 2 4 2 13 4 10" xfId="19570" xr:uid="{00000000-0005-0000-0000-0000724C0000}"/>
    <cellStyle name="Normal 2 2 2 4 2 13 4 2" xfId="19571" xr:uid="{00000000-0005-0000-0000-0000734C0000}"/>
    <cellStyle name="Normal 2 2 2 4 2 13 4 3" xfId="19572" xr:uid="{00000000-0005-0000-0000-0000744C0000}"/>
    <cellStyle name="Normal 2 2 2 4 2 13 4 4" xfId="19573" xr:uid="{00000000-0005-0000-0000-0000754C0000}"/>
    <cellStyle name="Normal 2 2 2 4 2 13 4 5" xfId="19574" xr:uid="{00000000-0005-0000-0000-0000764C0000}"/>
    <cellStyle name="Normal 2 2 2 4 2 13 4 6" xfId="19575" xr:uid="{00000000-0005-0000-0000-0000774C0000}"/>
    <cellStyle name="Normal 2 2 2 4 2 13 4 7" xfId="19576" xr:uid="{00000000-0005-0000-0000-0000784C0000}"/>
    <cellStyle name="Normal 2 2 2 4 2 13 4 8" xfId="19577" xr:uid="{00000000-0005-0000-0000-0000794C0000}"/>
    <cellStyle name="Normal 2 2 2 4 2 13 4 9" xfId="19578" xr:uid="{00000000-0005-0000-0000-00007A4C0000}"/>
    <cellStyle name="Normal 2 2 2 4 2 13 5" xfId="19579" xr:uid="{00000000-0005-0000-0000-00007B4C0000}"/>
    <cellStyle name="Normal 2 2 2 4 2 13 5 10" xfId="19580" xr:uid="{00000000-0005-0000-0000-00007C4C0000}"/>
    <cellStyle name="Normal 2 2 2 4 2 13 5 2" xfId="19581" xr:uid="{00000000-0005-0000-0000-00007D4C0000}"/>
    <cellStyle name="Normal 2 2 2 4 2 13 5 3" xfId="19582" xr:uid="{00000000-0005-0000-0000-00007E4C0000}"/>
    <cellStyle name="Normal 2 2 2 4 2 13 5 4" xfId="19583" xr:uid="{00000000-0005-0000-0000-00007F4C0000}"/>
    <cellStyle name="Normal 2 2 2 4 2 13 5 5" xfId="19584" xr:uid="{00000000-0005-0000-0000-0000804C0000}"/>
    <cellStyle name="Normal 2 2 2 4 2 13 5 6" xfId="19585" xr:uid="{00000000-0005-0000-0000-0000814C0000}"/>
    <cellStyle name="Normal 2 2 2 4 2 13 5 7" xfId="19586" xr:uid="{00000000-0005-0000-0000-0000824C0000}"/>
    <cellStyle name="Normal 2 2 2 4 2 13 5 8" xfId="19587" xr:uid="{00000000-0005-0000-0000-0000834C0000}"/>
    <cellStyle name="Normal 2 2 2 4 2 13 5 9" xfId="19588" xr:uid="{00000000-0005-0000-0000-0000844C0000}"/>
    <cellStyle name="Normal 2 2 2 4 2 13 6" xfId="19589" xr:uid="{00000000-0005-0000-0000-0000854C0000}"/>
    <cellStyle name="Normal 2 2 2 4 2 13 7" xfId="19590" xr:uid="{00000000-0005-0000-0000-0000864C0000}"/>
    <cellStyle name="Normal 2 2 2 4 2 13 8" xfId="19591" xr:uid="{00000000-0005-0000-0000-0000874C0000}"/>
    <cellStyle name="Normal 2 2 2 4 2 13 9" xfId="19592" xr:uid="{00000000-0005-0000-0000-0000884C0000}"/>
    <cellStyle name="Normal 2 2 2 4 2 14" xfId="19593" xr:uid="{00000000-0005-0000-0000-0000894C0000}"/>
    <cellStyle name="Normal 2 2 2 4 2 14 10" xfId="19594" xr:uid="{00000000-0005-0000-0000-00008A4C0000}"/>
    <cellStyle name="Normal 2 2 2 4 2 14 11" xfId="19595" xr:uid="{00000000-0005-0000-0000-00008B4C0000}"/>
    <cellStyle name="Normal 2 2 2 4 2 14 12" xfId="19596" xr:uid="{00000000-0005-0000-0000-00008C4C0000}"/>
    <cellStyle name="Normal 2 2 2 4 2 14 13" xfId="19597" xr:uid="{00000000-0005-0000-0000-00008D4C0000}"/>
    <cellStyle name="Normal 2 2 2 4 2 14 14" xfId="19598" xr:uid="{00000000-0005-0000-0000-00008E4C0000}"/>
    <cellStyle name="Normal 2 2 2 4 2 14 2" xfId="19599" xr:uid="{00000000-0005-0000-0000-00008F4C0000}"/>
    <cellStyle name="Normal 2 2 2 4 2 14 2 10" xfId="19600" xr:uid="{00000000-0005-0000-0000-0000904C0000}"/>
    <cellStyle name="Normal 2 2 2 4 2 14 2 2" xfId="19601" xr:uid="{00000000-0005-0000-0000-0000914C0000}"/>
    <cellStyle name="Normal 2 2 2 4 2 14 2 3" xfId="19602" xr:uid="{00000000-0005-0000-0000-0000924C0000}"/>
    <cellStyle name="Normal 2 2 2 4 2 14 2 4" xfId="19603" xr:uid="{00000000-0005-0000-0000-0000934C0000}"/>
    <cellStyle name="Normal 2 2 2 4 2 14 2 5" xfId="19604" xr:uid="{00000000-0005-0000-0000-0000944C0000}"/>
    <cellStyle name="Normal 2 2 2 4 2 14 2 6" xfId="19605" xr:uid="{00000000-0005-0000-0000-0000954C0000}"/>
    <cellStyle name="Normal 2 2 2 4 2 14 2 7" xfId="19606" xr:uid="{00000000-0005-0000-0000-0000964C0000}"/>
    <cellStyle name="Normal 2 2 2 4 2 14 2 8" xfId="19607" xr:uid="{00000000-0005-0000-0000-0000974C0000}"/>
    <cellStyle name="Normal 2 2 2 4 2 14 2 9" xfId="19608" xr:uid="{00000000-0005-0000-0000-0000984C0000}"/>
    <cellStyle name="Normal 2 2 2 4 2 14 3" xfId="19609" xr:uid="{00000000-0005-0000-0000-0000994C0000}"/>
    <cellStyle name="Normal 2 2 2 4 2 14 3 10" xfId="19610" xr:uid="{00000000-0005-0000-0000-00009A4C0000}"/>
    <cellStyle name="Normal 2 2 2 4 2 14 3 2" xfId="19611" xr:uid="{00000000-0005-0000-0000-00009B4C0000}"/>
    <cellStyle name="Normal 2 2 2 4 2 14 3 3" xfId="19612" xr:uid="{00000000-0005-0000-0000-00009C4C0000}"/>
    <cellStyle name="Normal 2 2 2 4 2 14 3 4" xfId="19613" xr:uid="{00000000-0005-0000-0000-00009D4C0000}"/>
    <cellStyle name="Normal 2 2 2 4 2 14 3 5" xfId="19614" xr:uid="{00000000-0005-0000-0000-00009E4C0000}"/>
    <cellStyle name="Normal 2 2 2 4 2 14 3 6" xfId="19615" xr:uid="{00000000-0005-0000-0000-00009F4C0000}"/>
    <cellStyle name="Normal 2 2 2 4 2 14 3 7" xfId="19616" xr:uid="{00000000-0005-0000-0000-0000A04C0000}"/>
    <cellStyle name="Normal 2 2 2 4 2 14 3 8" xfId="19617" xr:uid="{00000000-0005-0000-0000-0000A14C0000}"/>
    <cellStyle name="Normal 2 2 2 4 2 14 3 9" xfId="19618" xr:uid="{00000000-0005-0000-0000-0000A24C0000}"/>
    <cellStyle name="Normal 2 2 2 4 2 14 4" xfId="19619" xr:uid="{00000000-0005-0000-0000-0000A34C0000}"/>
    <cellStyle name="Normal 2 2 2 4 2 14 4 10" xfId="19620" xr:uid="{00000000-0005-0000-0000-0000A44C0000}"/>
    <cellStyle name="Normal 2 2 2 4 2 14 4 2" xfId="19621" xr:uid="{00000000-0005-0000-0000-0000A54C0000}"/>
    <cellStyle name="Normal 2 2 2 4 2 14 4 3" xfId="19622" xr:uid="{00000000-0005-0000-0000-0000A64C0000}"/>
    <cellStyle name="Normal 2 2 2 4 2 14 4 4" xfId="19623" xr:uid="{00000000-0005-0000-0000-0000A74C0000}"/>
    <cellStyle name="Normal 2 2 2 4 2 14 4 5" xfId="19624" xr:uid="{00000000-0005-0000-0000-0000A84C0000}"/>
    <cellStyle name="Normal 2 2 2 4 2 14 4 6" xfId="19625" xr:uid="{00000000-0005-0000-0000-0000A94C0000}"/>
    <cellStyle name="Normal 2 2 2 4 2 14 4 7" xfId="19626" xr:uid="{00000000-0005-0000-0000-0000AA4C0000}"/>
    <cellStyle name="Normal 2 2 2 4 2 14 4 8" xfId="19627" xr:uid="{00000000-0005-0000-0000-0000AB4C0000}"/>
    <cellStyle name="Normal 2 2 2 4 2 14 4 9" xfId="19628" xr:uid="{00000000-0005-0000-0000-0000AC4C0000}"/>
    <cellStyle name="Normal 2 2 2 4 2 14 5" xfId="19629" xr:uid="{00000000-0005-0000-0000-0000AD4C0000}"/>
    <cellStyle name="Normal 2 2 2 4 2 14 5 10" xfId="19630" xr:uid="{00000000-0005-0000-0000-0000AE4C0000}"/>
    <cellStyle name="Normal 2 2 2 4 2 14 5 2" xfId="19631" xr:uid="{00000000-0005-0000-0000-0000AF4C0000}"/>
    <cellStyle name="Normal 2 2 2 4 2 14 5 3" xfId="19632" xr:uid="{00000000-0005-0000-0000-0000B04C0000}"/>
    <cellStyle name="Normal 2 2 2 4 2 14 5 4" xfId="19633" xr:uid="{00000000-0005-0000-0000-0000B14C0000}"/>
    <cellStyle name="Normal 2 2 2 4 2 14 5 5" xfId="19634" xr:uid="{00000000-0005-0000-0000-0000B24C0000}"/>
    <cellStyle name="Normal 2 2 2 4 2 14 5 6" xfId="19635" xr:uid="{00000000-0005-0000-0000-0000B34C0000}"/>
    <cellStyle name="Normal 2 2 2 4 2 14 5 7" xfId="19636" xr:uid="{00000000-0005-0000-0000-0000B44C0000}"/>
    <cellStyle name="Normal 2 2 2 4 2 14 5 8" xfId="19637" xr:uid="{00000000-0005-0000-0000-0000B54C0000}"/>
    <cellStyle name="Normal 2 2 2 4 2 14 5 9" xfId="19638" xr:uid="{00000000-0005-0000-0000-0000B64C0000}"/>
    <cellStyle name="Normal 2 2 2 4 2 14 6" xfId="19639" xr:uid="{00000000-0005-0000-0000-0000B74C0000}"/>
    <cellStyle name="Normal 2 2 2 4 2 14 7" xfId="19640" xr:uid="{00000000-0005-0000-0000-0000B84C0000}"/>
    <cellStyle name="Normal 2 2 2 4 2 14 8" xfId="19641" xr:uid="{00000000-0005-0000-0000-0000B94C0000}"/>
    <cellStyle name="Normal 2 2 2 4 2 14 9" xfId="19642" xr:uid="{00000000-0005-0000-0000-0000BA4C0000}"/>
    <cellStyle name="Normal 2 2 2 4 2 15" xfId="19643" xr:uid="{00000000-0005-0000-0000-0000BB4C0000}"/>
    <cellStyle name="Normal 2 2 2 4 2 15 10" xfId="19644" xr:uid="{00000000-0005-0000-0000-0000BC4C0000}"/>
    <cellStyle name="Normal 2 2 2 4 2 15 11" xfId="19645" xr:uid="{00000000-0005-0000-0000-0000BD4C0000}"/>
    <cellStyle name="Normal 2 2 2 4 2 15 12" xfId="19646" xr:uid="{00000000-0005-0000-0000-0000BE4C0000}"/>
    <cellStyle name="Normal 2 2 2 4 2 15 13" xfId="19647" xr:uid="{00000000-0005-0000-0000-0000BF4C0000}"/>
    <cellStyle name="Normal 2 2 2 4 2 15 14" xfId="19648" xr:uid="{00000000-0005-0000-0000-0000C04C0000}"/>
    <cellStyle name="Normal 2 2 2 4 2 15 2" xfId="19649" xr:uid="{00000000-0005-0000-0000-0000C14C0000}"/>
    <cellStyle name="Normal 2 2 2 4 2 15 2 10" xfId="19650" xr:uid="{00000000-0005-0000-0000-0000C24C0000}"/>
    <cellStyle name="Normal 2 2 2 4 2 15 2 2" xfId="19651" xr:uid="{00000000-0005-0000-0000-0000C34C0000}"/>
    <cellStyle name="Normal 2 2 2 4 2 15 2 3" xfId="19652" xr:uid="{00000000-0005-0000-0000-0000C44C0000}"/>
    <cellStyle name="Normal 2 2 2 4 2 15 2 4" xfId="19653" xr:uid="{00000000-0005-0000-0000-0000C54C0000}"/>
    <cellStyle name="Normal 2 2 2 4 2 15 2 5" xfId="19654" xr:uid="{00000000-0005-0000-0000-0000C64C0000}"/>
    <cellStyle name="Normal 2 2 2 4 2 15 2 6" xfId="19655" xr:uid="{00000000-0005-0000-0000-0000C74C0000}"/>
    <cellStyle name="Normal 2 2 2 4 2 15 2 7" xfId="19656" xr:uid="{00000000-0005-0000-0000-0000C84C0000}"/>
    <cellStyle name="Normal 2 2 2 4 2 15 2 8" xfId="19657" xr:uid="{00000000-0005-0000-0000-0000C94C0000}"/>
    <cellStyle name="Normal 2 2 2 4 2 15 2 9" xfId="19658" xr:uid="{00000000-0005-0000-0000-0000CA4C0000}"/>
    <cellStyle name="Normal 2 2 2 4 2 15 3" xfId="19659" xr:uid="{00000000-0005-0000-0000-0000CB4C0000}"/>
    <cellStyle name="Normal 2 2 2 4 2 15 3 10" xfId="19660" xr:uid="{00000000-0005-0000-0000-0000CC4C0000}"/>
    <cellStyle name="Normal 2 2 2 4 2 15 3 2" xfId="19661" xr:uid="{00000000-0005-0000-0000-0000CD4C0000}"/>
    <cellStyle name="Normal 2 2 2 4 2 15 3 3" xfId="19662" xr:uid="{00000000-0005-0000-0000-0000CE4C0000}"/>
    <cellStyle name="Normal 2 2 2 4 2 15 3 4" xfId="19663" xr:uid="{00000000-0005-0000-0000-0000CF4C0000}"/>
    <cellStyle name="Normal 2 2 2 4 2 15 3 5" xfId="19664" xr:uid="{00000000-0005-0000-0000-0000D04C0000}"/>
    <cellStyle name="Normal 2 2 2 4 2 15 3 6" xfId="19665" xr:uid="{00000000-0005-0000-0000-0000D14C0000}"/>
    <cellStyle name="Normal 2 2 2 4 2 15 3 7" xfId="19666" xr:uid="{00000000-0005-0000-0000-0000D24C0000}"/>
    <cellStyle name="Normal 2 2 2 4 2 15 3 8" xfId="19667" xr:uid="{00000000-0005-0000-0000-0000D34C0000}"/>
    <cellStyle name="Normal 2 2 2 4 2 15 3 9" xfId="19668" xr:uid="{00000000-0005-0000-0000-0000D44C0000}"/>
    <cellStyle name="Normal 2 2 2 4 2 15 4" xfId="19669" xr:uid="{00000000-0005-0000-0000-0000D54C0000}"/>
    <cellStyle name="Normal 2 2 2 4 2 15 4 10" xfId="19670" xr:uid="{00000000-0005-0000-0000-0000D64C0000}"/>
    <cellStyle name="Normal 2 2 2 4 2 15 4 2" xfId="19671" xr:uid="{00000000-0005-0000-0000-0000D74C0000}"/>
    <cellStyle name="Normal 2 2 2 4 2 15 4 3" xfId="19672" xr:uid="{00000000-0005-0000-0000-0000D84C0000}"/>
    <cellStyle name="Normal 2 2 2 4 2 15 4 4" xfId="19673" xr:uid="{00000000-0005-0000-0000-0000D94C0000}"/>
    <cellStyle name="Normal 2 2 2 4 2 15 4 5" xfId="19674" xr:uid="{00000000-0005-0000-0000-0000DA4C0000}"/>
    <cellStyle name="Normal 2 2 2 4 2 15 4 6" xfId="19675" xr:uid="{00000000-0005-0000-0000-0000DB4C0000}"/>
    <cellStyle name="Normal 2 2 2 4 2 15 4 7" xfId="19676" xr:uid="{00000000-0005-0000-0000-0000DC4C0000}"/>
    <cellStyle name="Normal 2 2 2 4 2 15 4 8" xfId="19677" xr:uid="{00000000-0005-0000-0000-0000DD4C0000}"/>
    <cellStyle name="Normal 2 2 2 4 2 15 4 9" xfId="19678" xr:uid="{00000000-0005-0000-0000-0000DE4C0000}"/>
    <cellStyle name="Normal 2 2 2 4 2 15 5" xfId="19679" xr:uid="{00000000-0005-0000-0000-0000DF4C0000}"/>
    <cellStyle name="Normal 2 2 2 4 2 15 5 10" xfId="19680" xr:uid="{00000000-0005-0000-0000-0000E04C0000}"/>
    <cellStyle name="Normal 2 2 2 4 2 15 5 2" xfId="19681" xr:uid="{00000000-0005-0000-0000-0000E14C0000}"/>
    <cellStyle name="Normal 2 2 2 4 2 15 5 3" xfId="19682" xr:uid="{00000000-0005-0000-0000-0000E24C0000}"/>
    <cellStyle name="Normal 2 2 2 4 2 15 5 4" xfId="19683" xr:uid="{00000000-0005-0000-0000-0000E34C0000}"/>
    <cellStyle name="Normal 2 2 2 4 2 15 5 5" xfId="19684" xr:uid="{00000000-0005-0000-0000-0000E44C0000}"/>
    <cellStyle name="Normal 2 2 2 4 2 15 5 6" xfId="19685" xr:uid="{00000000-0005-0000-0000-0000E54C0000}"/>
    <cellStyle name="Normal 2 2 2 4 2 15 5 7" xfId="19686" xr:uid="{00000000-0005-0000-0000-0000E64C0000}"/>
    <cellStyle name="Normal 2 2 2 4 2 15 5 8" xfId="19687" xr:uid="{00000000-0005-0000-0000-0000E74C0000}"/>
    <cellStyle name="Normal 2 2 2 4 2 15 5 9" xfId="19688" xr:uid="{00000000-0005-0000-0000-0000E84C0000}"/>
    <cellStyle name="Normal 2 2 2 4 2 15 6" xfId="19689" xr:uid="{00000000-0005-0000-0000-0000E94C0000}"/>
    <cellStyle name="Normal 2 2 2 4 2 15 7" xfId="19690" xr:uid="{00000000-0005-0000-0000-0000EA4C0000}"/>
    <cellStyle name="Normal 2 2 2 4 2 15 8" xfId="19691" xr:uid="{00000000-0005-0000-0000-0000EB4C0000}"/>
    <cellStyle name="Normal 2 2 2 4 2 15 9" xfId="19692" xr:uid="{00000000-0005-0000-0000-0000EC4C0000}"/>
    <cellStyle name="Normal 2 2 2 4 2 16" xfId="19693" xr:uid="{00000000-0005-0000-0000-0000ED4C0000}"/>
    <cellStyle name="Normal 2 2 2 4 2 16 10" xfId="19694" xr:uid="{00000000-0005-0000-0000-0000EE4C0000}"/>
    <cellStyle name="Normal 2 2 2 4 2 16 11" xfId="19695" xr:uid="{00000000-0005-0000-0000-0000EF4C0000}"/>
    <cellStyle name="Normal 2 2 2 4 2 16 12" xfId="19696" xr:uid="{00000000-0005-0000-0000-0000F04C0000}"/>
    <cellStyle name="Normal 2 2 2 4 2 16 13" xfId="19697" xr:uid="{00000000-0005-0000-0000-0000F14C0000}"/>
    <cellStyle name="Normal 2 2 2 4 2 16 14" xfId="19698" xr:uid="{00000000-0005-0000-0000-0000F24C0000}"/>
    <cellStyle name="Normal 2 2 2 4 2 16 2" xfId="19699" xr:uid="{00000000-0005-0000-0000-0000F34C0000}"/>
    <cellStyle name="Normal 2 2 2 4 2 16 2 10" xfId="19700" xr:uid="{00000000-0005-0000-0000-0000F44C0000}"/>
    <cellStyle name="Normal 2 2 2 4 2 16 2 2" xfId="19701" xr:uid="{00000000-0005-0000-0000-0000F54C0000}"/>
    <cellStyle name="Normal 2 2 2 4 2 16 2 3" xfId="19702" xr:uid="{00000000-0005-0000-0000-0000F64C0000}"/>
    <cellStyle name="Normal 2 2 2 4 2 16 2 4" xfId="19703" xr:uid="{00000000-0005-0000-0000-0000F74C0000}"/>
    <cellStyle name="Normal 2 2 2 4 2 16 2 5" xfId="19704" xr:uid="{00000000-0005-0000-0000-0000F84C0000}"/>
    <cellStyle name="Normal 2 2 2 4 2 16 2 6" xfId="19705" xr:uid="{00000000-0005-0000-0000-0000F94C0000}"/>
    <cellStyle name="Normal 2 2 2 4 2 16 2 7" xfId="19706" xr:uid="{00000000-0005-0000-0000-0000FA4C0000}"/>
    <cellStyle name="Normal 2 2 2 4 2 16 2 8" xfId="19707" xr:uid="{00000000-0005-0000-0000-0000FB4C0000}"/>
    <cellStyle name="Normal 2 2 2 4 2 16 2 9" xfId="19708" xr:uid="{00000000-0005-0000-0000-0000FC4C0000}"/>
    <cellStyle name="Normal 2 2 2 4 2 16 3" xfId="19709" xr:uid="{00000000-0005-0000-0000-0000FD4C0000}"/>
    <cellStyle name="Normal 2 2 2 4 2 16 3 10" xfId="19710" xr:uid="{00000000-0005-0000-0000-0000FE4C0000}"/>
    <cellStyle name="Normal 2 2 2 4 2 16 3 2" xfId="19711" xr:uid="{00000000-0005-0000-0000-0000FF4C0000}"/>
    <cellStyle name="Normal 2 2 2 4 2 16 3 3" xfId="19712" xr:uid="{00000000-0005-0000-0000-0000004D0000}"/>
    <cellStyle name="Normal 2 2 2 4 2 16 3 4" xfId="19713" xr:uid="{00000000-0005-0000-0000-0000014D0000}"/>
    <cellStyle name="Normal 2 2 2 4 2 16 3 5" xfId="19714" xr:uid="{00000000-0005-0000-0000-0000024D0000}"/>
    <cellStyle name="Normal 2 2 2 4 2 16 3 6" xfId="19715" xr:uid="{00000000-0005-0000-0000-0000034D0000}"/>
    <cellStyle name="Normal 2 2 2 4 2 16 3 7" xfId="19716" xr:uid="{00000000-0005-0000-0000-0000044D0000}"/>
    <cellStyle name="Normal 2 2 2 4 2 16 3 8" xfId="19717" xr:uid="{00000000-0005-0000-0000-0000054D0000}"/>
    <cellStyle name="Normal 2 2 2 4 2 16 3 9" xfId="19718" xr:uid="{00000000-0005-0000-0000-0000064D0000}"/>
    <cellStyle name="Normal 2 2 2 4 2 16 4" xfId="19719" xr:uid="{00000000-0005-0000-0000-0000074D0000}"/>
    <cellStyle name="Normal 2 2 2 4 2 16 4 10" xfId="19720" xr:uid="{00000000-0005-0000-0000-0000084D0000}"/>
    <cellStyle name="Normal 2 2 2 4 2 16 4 2" xfId="19721" xr:uid="{00000000-0005-0000-0000-0000094D0000}"/>
    <cellStyle name="Normal 2 2 2 4 2 16 4 3" xfId="19722" xr:uid="{00000000-0005-0000-0000-00000A4D0000}"/>
    <cellStyle name="Normal 2 2 2 4 2 16 4 4" xfId="19723" xr:uid="{00000000-0005-0000-0000-00000B4D0000}"/>
    <cellStyle name="Normal 2 2 2 4 2 16 4 5" xfId="19724" xr:uid="{00000000-0005-0000-0000-00000C4D0000}"/>
    <cellStyle name="Normal 2 2 2 4 2 16 4 6" xfId="19725" xr:uid="{00000000-0005-0000-0000-00000D4D0000}"/>
    <cellStyle name="Normal 2 2 2 4 2 16 4 7" xfId="19726" xr:uid="{00000000-0005-0000-0000-00000E4D0000}"/>
    <cellStyle name="Normal 2 2 2 4 2 16 4 8" xfId="19727" xr:uid="{00000000-0005-0000-0000-00000F4D0000}"/>
    <cellStyle name="Normal 2 2 2 4 2 16 4 9" xfId="19728" xr:uid="{00000000-0005-0000-0000-0000104D0000}"/>
    <cellStyle name="Normal 2 2 2 4 2 16 5" xfId="19729" xr:uid="{00000000-0005-0000-0000-0000114D0000}"/>
    <cellStyle name="Normal 2 2 2 4 2 16 5 10" xfId="19730" xr:uid="{00000000-0005-0000-0000-0000124D0000}"/>
    <cellStyle name="Normal 2 2 2 4 2 16 5 2" xfId="19731" xr:uid="{00000000-0005-0000-0000-0000134D0000}"/>
    <cellStyle name="Normal 2 2 2 4 2 16 5 3" xfId="19732" xr:uid="{00000000-0005-0000-0000-0000144D0000}"/>
    <cellStyle name="Normal 2 2 2 4 2 16 5 4" xfId="19733" xr:uid="{00000000-0005-0000-0000-0000154D0000}"/>
    <cellStyle name="Normal 2 2 2 4 2 16 5 5" xfId="19734" xr:uid="{00000000-0005-0000-0000-0000164D0000}"/>
    <cellStyle name="Normal 2 2 2 4 2 16 5 6" xfId="19735" xr:uid="{00000000-0005-0000-0000-0000174D0000}"/>
    <cellStyle name="Normal 2 2 2 4 2 16 5 7" xfId="19736" xr:uid="{00000000-0005-0000-0000-0000184D0000}"/>
    <cellStyle name="Normal 2 2 2 4 2 16 5 8" xfId="19737" xr:uid="{00000000-0005-0000-0000-0000194D0000}"/>
    <cellStyle name="Normal 2 2 2 4 2 16 5 9" xfId="19738" xr:uid="{00000000-0005-0000-0000-00001A4D0000}"/>
    <cellStyle name="Normal 2 2 2 4 2 16 6" xfId="19739" xr:uid="{00000000-0005-0000-0000-00001B4D0000}"/>
    <cellStyle name="Normal 2 2 2 4 2 16 7" xfId="19740" xr:uid="{00000000-0005-0000-0000-00001C4D0000}"/>
    <cellStyle name="Normal 2 2 2 4 2 16 8" xfId="19741" xr:uid="{00000000-0005-0000-0000-00001D4D0000}"/>
    <cellStyle name="Normal 2 2 2 4 2 16 9" xfId="19742" xr:uid="{00000000-0005-0000-0000-00001E4D0000}"/>
    <cellStyle name="Normal 2 2 2 4 2 17" xfId="19743" xr:uid="{00000000-0005-0000-0000-00001F4D0000}"/>
    <cellStyle name="Normal 2 2 2 4 2 17 10" xfId="19744" xr:uid="{00000000-0005-0000-0000-0000204D0000}"/>
    <cellStyle name="Normal 2 2 2 4 2 17 11" xfId="19745" xr:uid="{00000000-0005-0000-0000-0000214D0000}"/>
    <cellStyle name="Normal 2 2 2 4 2 17 12" xfId="19746" xr:uid="{00000000-0005-0000-0000-0000224D0000}"/>
    <cellStyle name="Normal 2 2 2 4 2 17 13" xfId="19747" xr:uid="{00000000-0005-0000-0000-0000234D0000}"/>
    <cellStyle name="Normal 2 2 2 4 2 17 14" xfId="19748" xr:uid="{00000000-0005-0000-0000-0000244D0000}"/>
    <cellStyle name="Normal 2 2 2 4 2 17 2" xfId="19749" xr:uid="{00000000-0005-0000-0000-0000254D0000}"/>
    <cellStyle name="Normal 2 2 2 4 2 17 2 10" xfId="19750" xr:uid="{00000000-0005-0000-0000-0000264D0000}"/>
    <cellStyle name="Normal 2 2 2 4 2 17 2 2" xfId="19751" xr:uid="{00000000-0005-0000-0000-0000274D0000}"/>
    <cellStyle name="Normal 2 2 2 4 2 17 2 3" xfId="19752" xr:uid="{00000000-0005-0000-0000-0000284D0000}"/>
    <cellStyle name="Normal 2 2 2 4 2 17 2 4" xfId="19753" xr:uid="{00000000-0005-0000-0000-0000294D0000}"/>
    <cellStyle name="Normal 2 2 2 4 2 17 2 5" xfId="19754" xr:uid="{00000000-0005-0000-0000-00002A4D0000}"/>
    <cellStyle name="Normal 2 2 2 4 2 17 2 6" xfId="19755" xr:uid="{00000000-0005-0000-0000-00002B4D0000}"/>
    <cellStyle name="Normal 2 2 2 4 2 17 2 7" xfId="19756" xr:uid="{00000000-0005-0000-0000-00002C4D0000}"/>
    <cellStyle name="Normal 2 2 2 4 2 17 2 8" xfId="19757" xr:uid="{00000000-0005-0000-0000-00002D4D0000}"/>
    <cellStyle name="Normal 2 2 2 4 2 17 2 9" xfId="19758" xr:uid="{00000000-0005-0000-0000-00002E4D0000}"/>
    <cellStyle name="Normal 2 2 2 4 2 17 3" xfId="19759" xr:uid="{00000000-0005-0000-0000-00002F4D0000}"/>
    <cellStyle name="Normal 2 2 2 4 2 17 3 10" xfId="19760" xr:uid="{00000000-0005-0000-0000-0000304D0000}"/>
    <cellStyle name="Normal 2 2 2 4 2 17 3 2" xfId="19761" xr:uid="{00000000-0005-0000-0000-0000314D0000}"/>
    <cellStyle name="Normal 2 2 2 4 2 17 3 3" xfId="19762" xr:uid="{00000000-0005-0000-0000-0000324D0000}"/>
    <cellStyle name="Normal 2 2 2 4 2 17 3 4" xfId="19763" xr:uid="{00000000-0005-0000-0000-0000334D0000}"/>
    <cellStyle name="Normal 2 2 2 4 2 17 3 5" xfId="19764" xr:uid="{00000000-0005-0000-0000-0000344D0000}"/>
    <cellStyle name="Normal 2 2 2 4 2 17 3 6" xfId="19765" xr:uid="{00000000-0005-0000-0000-0000354D0000}"/>
    <cellStyle name="Normal 2 2 2 4 2 17 3 7" xfId="19766" xr:uid="{00000000-0005-0000-0000-0000364D0000}"/>
    <cellStyle name="Normal 2 2 2 4 2 17 3 8" xfId="19767" xr:uid="{00000000-0005-0000-0000-0000374D0000}"/>
    <cellStyle name="Normal 2 2 2 4 2 17 3 9" xfId="19768" xr:uid="{00000000-0005-0000-0000-0000384D0000}"/>
    <cellStyle name="Normal 2 2 2 4 2 17 4" xfId="19769" xr:uid="{00000000-0005-0000-0000-0000394D0000}"/>
    <cellStyle name="Normal 2 2 2 4 2 17 4 10" xfId="19770" xr:uid="{00000000-0005-0000-0000-00003A4D0000}"/>
    <cellStyle name="Normal 2 2 2 4 2 17 4 2" xfId="19771" xr:uid="{00000000-0005-0000-0000-00003B4D0000}"/>
    <cellStyle name="Normal 2 2 2 4 2 17 4 3" xfId="19772" xr:uid="{00000000-0005-0000-0000-00003C4D0000}"/>
    <cellStyle name="Normal 2 2 2 4 2 17 4 4" xfId="19773" xr:uid="{00000000-0005-0000-0000-00003D4D0000}"/>
    <cellStyle name="Normal 2 2 2 4 2 17 4 5" xfId="19774" xr:uid="{00000000-0005-0000-0000-00003E4D0000}"/>
    <cellStyle name="Normal 2 2 2 4 2 17 4 6" xfId="19775" xr:uid="{00000000-0005-0000-0000-00003F4D0000}"/>
    <cellStyle name="Normal 2 2 2 4 2 17 4 7" xfId="19776" xr:uid="{00000000-0005-0000-0000-0000404D0000}"/>
    <cellStyle name="Normal 2 2 2 4 2 17 4 8" xfId="19777" xr:uid="{00000000-0005-0000-0000-0000414D0000}"/>
    <cellStyle name="Normal 2 2 2 4 2 17 4 9" xfId="19778" xr:uid="{00000000-0005-0000-0000-0000424D0000}"/>
    <cellStyle name="Normal 2 2 2 4 2 17 5" xfId="19779" xr:uid="{00000000-0005-0000-0000-0000434D0000}"/>
    <cellStyle name="Normal 2 2 2 4 2 17 5 10" xfId="19780" xr:uid="{00000000-0005-0000-0000-0000444D0000}"/>
    <cellStyle name="Normal 2 2 2 4 2 17 5 2" xfId="19781" xr:uid="{00000000-0005-0000-0000-0000454D0000}"/>
    <cellStyle name="Normal 2 2 2 4 2 17 5 3" xfId="19782" xr:uid="{00000000-0005-0000-0000-0000464D0000}"/>
    <cellStyle name="Normal 2 2 2 4 2 17 5 4" xfId="19783" xr:uid="{00000000-0005-0000-0000-0000474D0000}"/>
    <cellStyle name="Normal 2 2 2 4 2 17 5 5" xfId="19784" xr:uid="{00000000-0005-0000-0000-0000484D0000}"/>
    <cellStyle name="Normal 2 2 2 4 2 17 5 6" xfId="19785" xr:uid="{00000000-0005-0000-0000-0000494D0000}"/>
    <cellStyle name="Normal 2 2 2 4 2 17 5 7" xfId="19786" xr:uid="{00000000-0005-0000-0000-00004A4D0000}"/>
    <cellStyle name="Normal 2 2 2 4 2 17 5 8" xfId="19787" xr:uid="{00000000-0005-0000-0000-00004B4D0000}"/>
    <cellStyle name="Normal 2 2 2 4 2 17 5 9" xfId="19788" xr:uid="{00000000-0005-0000-0000-00004C4D0000}"/>
    <cellStyle name="Normal 2 2 2 4 2 17 6" xfId="19789" xr:uid="{00000000-0005-0000-0000-00004D4D0000}"/>
    <cellStyle name="Normal 2 2 2 4 2 17 7" xfId="19790" xr:uid="{00000000-0005-0000-0000-00004E4D0000}"/>
    <cellStyle name="Normal 2 2 2 4 2 17 8" xfId="19791" xr:uid="{00000000-0005-0000-0000-00004F4D0000}"/>
    <cellStyle name="Normal 2 2 2 4 2 17 9" xfId="19792" xr:uid="{00000000-0005-0000-0000-0000504D0000}"/>
    <cellStyle name="Normal 2 2 2 4 2 18" xfId="19793" xr:uid="{00000000-0005-0000-0000-0000514D0000}"/>
    <cellStyle name="Normal 2 2 2 4 2 18 10" xfId="19794" xr:uid="{00000000-0005-0000-0000-0000524D0000}"/>
    <cellStyle name="Normal 2 2 2 4 2 18 11" xfId="19795" xr:uid="{00000000-0005-0000-0000-0000534D0000}"/>
    <cellStyle name="Normal 2 2 2 4 2 18 12" xfId="19796" xr:uid="{00000000-0005-0000-0000-0000544D0000}"/>
    <cellStyle name="Normal 2 2 2 4 2 18 13" xfId="19797" xr:uid="{00000000-0005-0000-0000-0000554D0000}"/>
    <cellStyle name="Normal 2 2 2 4 2 18 14" xfId="19798" xr:uid="{00000000-0005-0000-0000-0000564D0000}"/>
    <cellStyle name="Normal 2 2 2 4 2 18 2" xfId="19799" xr:uid="{00000000-0005-0000-0000-0000574D0000}"/>
    <cellStyle name="Normal 2 2 2 4 2 18 2 10" xfId="19800" xr:uid="{00000000-0005-0000-0000-0000584D0000}"/>
    <cellStyle name="Normal 2 2 2 4 2 18 2 2" xfId="19801" xr:uid="{00000000-0005-0000-0000-0000594D0000}"/>
    <cellStyle name="Normal 2 2 2 4 2 18 2 3" xfId="19802" xr:uid="{00000000-0005-0000-0000-00005A4D0000}"/>
    <cellStyle name="Normal 2 2 2 4 2 18 2 4" xfId="19803" xr:uid="{00000000-0005-0000-0000-00005B4D0000}"/>
    <cellStyle name="Normal 2 2 2 4 2 18 2 5" xfId="19804" xr:uid="{00000000-0005-0000-0000-00005C4D0000}"/>
    <cellStyle name="Normal 2 2 2 4 2 18 2 6" xfId="19805" xr:uid="{00000000-0005-0000-0000-00005D4D0000}"/>
    <cellStyle name="Normal 2 2 2 4 2 18 2 7" xfId="19806" xr:uid="{00000000-0005-0000-0000-00005E4D0000}"/>
    <cellStyle name="Normal 2 2 2 4 2 18 2 8" xfId="19807" xr:uid="{00000000-0005-0000-0000-00005F4D0000}"/>
    <cellStyle name="Normal 2 2 2 4 2 18 2 9" xfId="19808" xr:uid="{00000000-0005-0000-0000-0000604D0000}"/>
    <cellStyle name="Normal 2 2 2 4 2 18 3" xfId="19809" xr:uid="{00000000-0005-0000-0000-0000614D0000}"/>
    <cellStyle name="Normal 2 2 2 4 2 18 3 10" xfId="19810" xr:uid="{00000000-0005-0000-0000-0000624D0000}"/>
    <cellStyle name="Normal 2 2 2 4 2 18 3 2" xfId="19811" xr:uid="{00000000-0005-0000-0000-0000634D0000}"/>
    <cellStyle name="Normal 2 2 2 4 2 18 3 3" xfId="19812" xr:uid="{00000000-0005-0000-0000-0000644D0000}"/>
    <cellStyle name="Normal 2 2 2 4 2 18 3 4" xfId="19813" xr:uid="{00000000-0005-0000-0000-0000654D0000}"/>
    <cellStyle name="Normal 2 2 2 4 2 18 3 5" xfId="19814" xr:uid="{00000000-0005-0000-0000-0000664D0000}"/>
    <cellStyle name="Normal 2 2 2 4 2 18 3 6" xfId="19815" xr:uid="{00000000-0005-0000-0000-0000674D0000}"/>
    <cellStyle name="Normal 2 2 2 4 2 18 3 7" xfId="19816" xr:uid="{00000000-0005-0000-0000-0000684D0000}"/>
    <cellStyle name="Normal 2 2 2 4 2 18 3 8" xfId="19817" xr:uid="{00000000-0005-0000-0000-0000694D0000}"/>
    <cellStyle name="Normal 2 2 2 4 2 18 3 9" xfId="19818" xr:uid="{00000000-0005-0000-0000-00006A4D0000}"/>
    <cellStyle name="Normal 2 2 2 4 2 18 4" xfId="19819" xr:uid="{00000000-0005-0000-0000-00006B4D0000}"/>
    <cellStyle name="Normal 2 2 2 4 2 18 4 10" xfId="19820" xr:uid="{00000000-0005-0000-0000-00006C4D0000}"/>
    <cellStyle name="Normal 2 2 2 4 2 18 4 2" xfId="19821" xr:uid="{00000000-0005-0000-0000-00006D4D0000}"/>
    <cellStyle name="Normal 2 2 2 4 2 18 4 3" xfId="19822" xr:uid="{00000000-0005-0000-0000-00006E4D0000}"/>
    <cellStyle name="Normal 2 2 2 4 2 18 4 4" xfId="19823" xr:uid="{00000000-0005-0000-0000-00006F4D0000}"/>
    <cellStyle name="Normal 2 2 2 4 2 18 4 5" xfId="19824" xr:uid="{00000000-0005-0000-0000-0000704D0000}"/>
    <cellStyle name="Normal 2 2 2 4 2 18 4 6" xfId="19825" xr:uid="{00000000-0005-0000-0000-0000714D0000}"/>
    <cellStyle name="Normal 2 2 2 4 2 18 4 7" xfId="19826" xr:uid="{00000000-0005-0000-0000-0000724D0000}"/>
    <cellStyle name="Normal 2 2 2 4 2 18 4 8" xfId="19827" xr:uid="{00000000-0005-0000-0000-0000734D0000}"/>
    <cellStyle name="Normal 2 2 2 4 2 18 4 9" xfId="19828" xr:uid="{00000000-0005-0000-0000-0000744D0000}"/>
    <cellStyle name="Normal 2 2 2 4 2 18 5" xfId="19829" xr:uid="{00000000-0005-0000-0000-0000754D0000}"/>
    <cellStyle name="Normal 2 2 2 4 2 18 5 10" xfId="19830" xr:uid="{00000000-0005-0000-0000-0000764D0000}"/>
    <cellStyle name="Normal 2 2 2 4 2 18 5 2" xfId="19831" xr:uid="{00000000-0005-0000-0000-0000774D0000}"/>
    <cellStyle name="Normal 2 2 2 4 2 18 5 3" xfId="19832" xr:uid="{00000000-0005-0000-0000-0000784D0000}"/>
    <cellStyle name="Normal 2 2 2 4 2 18 5 4" xfId="19833" xr:uid="{00000000-0005-0000-0000-0000794D0000}"/>
    <cellStyle name="Normal 2 2 2 4 2 18 5 5" xfId="19834" xr:uid="{00000000-0005-0000-0000-00007A4D0000}"/>
    <cellStyle name="Normal 2 2 2 4 2 18 5 6" xfId="19835" xr:uid="{00000000-0005-0000-0000-00007B4D0000}"/>
    <cellStyle name="Normal 2 2 2 4 2 18 5 7" xfId="19836" xr:uid="{00000000-0005-0000-0000-00007C4D0000}"/>
    <cellStyle name="Normal 2 2 2 4 2 18 5 8" xfId="19837" xr:uid="{00000000-0005-0000-0000-00007D4D0000}"/>
    <cellStyle name="Normal 2 2 2 4 2 18 5 9" xfId="19838" xr:uid="{00000000-0005-0000-0000-00007E4D0000}"/>
    <cellStyle name="Normal 2 2 2 4 2 18 6" xfId="19839" xr:uid="{00000000-0005-0000-0000-00007F4D0000}"/>
    <cellStyle name="Normal 2 2 2 4 2 18 7" xfId="19840" xr:uid="{00000000-0005-0000-0000-0000804D0000}"/>
    <cellStyle name="Normal 2 2 2 4 2 18 8" xfId="19841" xr:uid="{00000000-0005-0000-0000-0000814D0000}"/>
    <cellStyle name="Normal 2 2 2 4 2 18 9" xfId="19842" xr:uid="{00000000-0005-0000-0000-0000824D0000}"/>
    <cellStyle name="Normal 2 2 2 4 2 19" xfId="19843" xr:uid="{00000000-0005-0000-0000-0000834D0000}"/>
    <cellStyle name="Normal 2 2 2 4 2 19 10" xfId="19844" xr:uid="{00000000-0005-0000-0000-0000844D0000}"/>
    <cellStyle name="Normal 2 2 2 4 2 19 11" xfId="19845" xr:uid="{00000000-0005-0000-0000-0000854D0000}"/>
    <cellStyle name="Normal 2 2 2 4 2 19 12" xfId="19846" xr:uid="{00000000-0005-0000-0000-0000864D0000}"/>
    <cellStyle name="Normal 2 2 2 4 2 19 13" xfId="19847" xr:uid="{00000000-0005-0000-0000-0000874D0000}"/>
    <cellStyle name="Normal 2 2 2 4 2 19 14" xfId="19848" xr:uid="{00000000-0005-0000-0000-0000884D0000}"/>
    <cellStyle name="Normal 2 2 2 4 2 19 2" xfId="19849" xr:uid="{00000000-0005-0000-0000-0000894D0000}"/>
    <cellStyle name="Normal 2 2 2 4 2 19 2 10" xfId="19850" xr:uid="{00000000-0005-0000-0000-00008A4D0000}"/>
    <cellStyle name="Normal 2 2 2 4 2 19 2 2" xfId="19851" xr:uid="{00000000-0005-0000-0000-00008B4D0000}"/>
    <cellStyle name="Normal 2 2 2 4 2 19 2 3" xfId="19852" xr:uid="{00000000-0005-0000-0000-00008C4D0000}"/>
    <cellStyle name="Normal 2 2 2 4 2 19 2 4" xfId="19853" xr:uid="{00000000-0005-0000-0000-00008D4D0000}"/>
    <cellStyle name="Normal 2 2 2 4 2 19 2 5" xfId="19854" xr:uid="{00000000-0005-0000-0000-00008E4D0000}"/>
    <cellStyle name="Normal 2 2 2 4 2 19 2 6" xfId="19855" xr:uid="{00000000-0005-0000-0000-00008F4D0000}"/>
    <cellStyle name="Normal 2 2 2 4 2 19 2 7" xfId="19856" xr:uid="{00000000-0005-0000-0000-0000904D0000}"/>
    <cellStyle name="Normal 2 2 2 4 2 19 2 8" xfId="19857" xr:uid="{00000000-0005-0000-0000-0000914D0000}"/>
    <cellStyle name="Normal 2 2 2 4 2 19 2 9" xfId="19858" xr:uid="{00000000-0005-0000-0000-0000924D0000}"/>
    <cellStyle name="Normal 2 2 2 4 2 19 3" xfId="19859" xr:uid="{00000000-0005-0000-0000-0000934D0000}"/>
    <cellStyle name="Normal 2 2 2 4 2 19 3 10" xfId="19860" xr:uid="{00000000-0005-0000-0000-0000944D0000}"/>
    <cellStyle name="Normal 2 2 2 4 2 19 3 2" xfId="19861" xr:uid="{00000000-0005-0000-0000-0000954D0000}"/>
    <cellStyle name="Normal 2 2 2 4 2 19 3 3" xfId="19862" xr:uid="{00000000-0005-0000-0000-0000964D0000}"/>
    <cellStyle name="Normal 2 2 2 4 2 19 3 4" xfId="19863" xr:uid="{00000000-0005-0000-0000-0000974D0000}"/>
    <cellStyle name="Normal 2 2 2 4 2 19 3 5" xfId="19864" xr:uid="{00000000-0005-0000-0000-0000984D0000}"/>
    <cellStyle name="Normal 2 2 2 4 2 19 3 6" xfId="19865" xr:uid="{00000000-0005-0000-0000-0000994D0000}"/>
    <cellStyle name="Normal 2 2 2 4 2 19 3 7" xfId="19866" xr:uid="{00000000-0005-0000-0000-00009A4D0000}"/>
    <cellStyle name="Normal 2 2 2 4 2 19 3 8" xfId="19867" xr:uid="{00000000-0005-0000-0000-00009B4D0000}"/>
    <cellStyle name="Normal 2 2 2 4 2 19 3 9" xfId="19868" xr:uid="{00000000-0005-0000-0000-00009C4D0000}"/>
    <cellStyle name="Normal 2 2 2 4 2 19 4" xfId="19869" xr:uid="{00000000-0005-0000-0000-00009D4D0000}"/>
    <cellStyle name="Normal 2 2 2 4 2 19 4 10" xfId="19870" xr:uid="{00000000-0005-0000-0000-00009E4D0000}"/>
    <cellStyle name="Normal 2 2 2 4 2 19 4 2" xfId="19871" xr:uid="{00000000-0005-0000-0000-00009F4D0000}"/>
    <cellStyle name="Normal 2 2 2 4 2 19 4 3" xfId="19872" xr:uid="{00000000-0005-0000-0000-0000A04D0000}"/>
    <cellStyle name="Normal 2 2 2 4 2 19 4 4" xfId="19873" xr:uid="{00000000-0005-0000-0000-0000A14D0000}"/>
    <cellStyle name="Normal 2 2 2 4 2 19 4 5" xfId="19874" xr:uid="{00000000-0005-0000-0000-0000A24D0000}"/>
    <cellStyle name="Normal 2 2 2 4 2 19 4 6" xfId="19875" xr:uid="{00000000-0005-0000-0000-0000A34D0000}"/>
    <cellStyle name="Normal 2 2 2 4 2 19 4 7" xfId="19876" xr:uid="{00000000-0005-0000-0000-0000A44D0000}"/>
    <cellStyle name="Normal 2 2 2 4 2 19 4 8" xfId="19877" xr:uid="{00000000-0005-0000-0000-0000A54D0000}"/>
    <cellStyle name="Normal 2 2 2 4 2 19 4 9" xfId="19878" xr:uid="{00000000-0005-0000-0000-0000A64D0000}"/>
    <cellStyle name="Normal 2 2 2 4 2 19 5" xfId="19879" xr:uid="{00000000-0005-0000-0000-0000A74D0000}"/>
    <cellStyle name="Normal 2 2 2 4 2 19 5 10" xfId="19880" xr:uid="{00000000-0005-0000-0000-0000A84D0000}"/>
    <cellStyle name="Normal 2 2 2 4 2 19 5 2" xfId="19881" xr:uid="{00000000-0005-0000-0000-0000A94D0000}"/>
    <cellStyle name="Normal 2 2 2 4 2 19 5 3" xfId="19882" xr:uid="{00000000-0005-0000-0000-0000AA4D0000}"/>
    <cellStyle name="Normal 2 2 2 4 2 19 5 4" xfId="19883" xr:uid="{00000000-0005-0000-0000-0000AB4D0000}"/>
    <cellStyle name="Normal 2 2 2 4 2 19 5 5" xfId="19884" xr:uid="{00000000-0005-0000-0000-0000AC4D0000}"/>
    <cellStyle name="Normal 2 2 2 4 2 19 5 6" xfId="19885" xr:uid="{00000000-0005-0000-0000-0000AD4D0000}"/>
    <cellStyle name="Normal 2 2 2 4 2 19 5 7" xfId="19886" xr:uid="{00000000-0005-0000-0000-0000AE4D0000}"/>
    <cellStyle name="Normal 2 2 2 4 2 19 5 8" xfId="19887" xr:uid="{00000000-0005-0000-0000-0000AF4D0000}"/>
    <cellStyle name="Normal 2 2 2 4 2 19 5 9" xfId="19888" xr:uid="{00000000-0005-0000-0000-0000B04D0000}"/>
    <cellStyle name="Normal 2 2 2 4 2 19 6" xfId="19889" xr:uid="{00000000-0005-0000-0000-0000B14D0000}"/>
    <cellStyle name="Normal 2 2 2 4 2 19 7" xfId="19890" xr:uid="{00000000-0005-0000-0000-0000B24D0000}"/>
    <cellStyle name="Normal 2 2 2 4 2 19 8" xfId="19891" xr:uid="{00000000-0005-0000-0000-0000B34D0000}"/>
    <cellStyle name="Normal 2 2 2 4 2 19 9" xfId="19892" xr:uid="{00000000-0005-0000-0000-0000B44D0000}"/>
    <cellStyle name="Normal 2 2 2 4 2 2" xfId="19893" xr:uid="{00000000-0005-0000-0000-0000B54D0000}"/>
    <cellStyle name="Normal 2 2 2 4 2 2 10" xfId="19894" xr:uid="{00000000-0005-0000-0000-0000B64D0000}"/>
    <cellStyle name="Normal 2 2 2 4 2 2 11" xfId="19895" xr:uid="{00000000-0005-0000-0000-0000B74D0000}"/>
    <cellStyle name="Normal 2 2 2 4 2 2 12" xfId="19896" xr:uid="{00000000-0005-0000-0000-0000B84D0000}"/>
    <cellStyle name="Normal 2 2 2 4 2 2 13" xfId="19897" xr:uid="{00000000-0005-0000-0000-0000B94D0000}"/>
    <cellStyle name="Normal 2 2 2 4 2 2 14" xfId="19898" xr:uid="{00000000-0005-0000-0000-0000BA4D0000}"/>
    <cellStyle name="Normal 2 2 2 4 2 2 15" xfId="19899" xr:uid="{00000000-0005-0000-0000-0000BB4D0000}"/>
    <cellStyle name="Normal 2 2 2 4 2 2 16" xfId="19900" xr:uid="{00000000-0005-0000-0000-0000BC4D0000}"/>
    <cellStyle name="Normal 2 2 2 4 2 2 17" xfId="19901" xr:uid="{00000000-0005-0000-0000-0000BD4D0000}"/>
    <cellStyle name="Normal 2 2 2 4 2 2 18" xfId="19902" xr:uid="{00000000-0005-0000-0000-0000BE4D0000}"/>
    <cellStyle name="Normal 2 2 2 4 2 2 19" xfId="19903" xr:uid="{00000000-0005-0000-0000-0000BF4D0000}"/>
    <cellStyle name="Normal 2 2 2 4 2 2 2" xfId="19904" xr:uid="{00000000-0005-0000-0000-0000C04D0000}"/>
    <cellStyle name="Normal 2 2 2 4 2 2 20" xfId="19905" xr:uid="{00000000-0005-0000-0000-0000C14D0000}"/>
    <cellStyle name="Normal 2 2 2 4 2 2 21" xfId="19906" xr:uid="{00000000-0005-0000-0000-0000C24D0000}"/>
    <cellStyle name="Normal 2 2 2 4 2 2 21 10" xfId="19907" xr:uid="{00000000-0005-0000-0000-0000C34D0000}"/>
    <cellStyle name="Normal 2 2 2 4 2 2 21 2" xfId="19908" xr:uid="{00000000-0005-0000-0000-0000C44D0000}"/>
    <cellStyle name="Normal 2 2 2 4 2 2 21 3" xfId="19909" xr:uid="{00000000-0005-0000-0000-0000C54D0000}"/>
    <cellStyle name="Normal 2 2 2 4 2 2 21 4" xfId="19910" xr:uid="{00000000-0005-0000-0000-0000C64D0000}"/>
    <cellStyle name="Normal 2 2 2 4 2 2 21 5" xfId="19911" xr:uid="{00000000-0005-0000-0000-0000C74D0000}"/>
    <cellStyle name="Normal 2 2 2 4 2 2 21 6" xfId="19912" xr:uid="{00000000-0005-0000-0000-0000C84D0000}"/>
    <cellStyle name="Normal 2 2 2 4 2 2 21 7" xfId="19913" xr:uid="{00000000-0005-0000-0000-0000C94D0000}"/>
    <cellStyle name="Normal 2 2 2 4 2 2 21 8" xfId="19914" xr:uid="{00000000-0005-0000-0000-0000CA4D0000}"/>
    <cellStyle name="Normal 2 2 2 4 2 2 21 9" xfId="19915" xr:uid="{00000000-0005-0000-0000-0000CB4D0000}"/>
    <cellStyle name="Normal 2 2 2 4 2 2 22" xfId="19916" xr:uid="{00000000-0005-0000-0000-0000CC4D0000}"/>
    <cellStyle name="Normal 2 2 2 4 2 2 22 10" xfId="19917" xr:uid="{00000000-0005-0000-0000-0000CD4D0000}"/>
    <cellStyle name="Normal 2 2 2 4 2 2 22 2" xfId="19918" xr:uid="{00000000-0005-0000-0000-0000CE4D0000}"/>
    <cellStyle name="Normal 2 2 2 4 2 2 22 3" xfId="19919" xr:uid="{00000000-0005-0000-0000-0000CF4D0000}"/>
    <cellStyle name="Normal 2 2 2 4 2 2 22 4" xfId="19920" xr:uid="{00000000-0005-0000-0000-0000D04D0000}"/>
    <cellStyle name="Normal 2 2 2 4 2 2 22 5" xfId="19921" xr:uid="{00000000-0005-0000-0000-0000D14D0000}"/>
    <cellStyle name="Normal 2 2 2 4 2 2 22 6" xfId="19922" xr:uid="{00000000-0005-0000-0000-0000D24D0000}"/>
    <cellStyle name="Normal 2 2 2 4 2 2 22 7" xfId="19923" xr:uid="{00000000-0005-0000-0000-0000D34D0000}"/>
    <cellStyle name="Normal 2 2 2 4 2 2 22 8" xfId="19924" xr:uid="{00000000-0005-0000-0000-0000D44D0000}"/>
    <cellStyle name="Normal 2 2 2 4 2 2 22 9" xfId="19925" xr:uid="{00000000-0005-0000-0000-0000D54D0000}"/>
    <cellStyle name="Normal 2 2 2 4 2 2 23" xfId="19926" xr:uid="{00000000-0005-0000-0000-0000D64D0000}"/>
    <cellStyle name="Normal 2 2 2 4 2 2 23 10" xfId="19927" xr:uid="{00000000-0005-0000-0000-0000D74D0000}"/>
    <cellStyle name="Normal 2 2 2 4 2 2 23 2" xfId="19928" xr:uid="{00000000-0005-0000-0000-0000D84D0000}"/>
    <cellStyle name="Normal 2 2 2 4 2 2 23 3" xfId="19929" xr:uid="{00000000-0005-0000-0000-0000D94D0000}"/>
    <cellStyle name="Normal 2 2 2 4 2 2 23 4" xfId="19930" xr:uid="{00000000-0005-0000-0000-0000DA4D0000}"/>
    <cellStyle name="Normal 2 2 2 4 2 2 23 5" xfId="19931" xr:uid="{00000000-0005-0000-0000-0000DB4D0000}"/>
    <cellStyle name="Normal 2 2 2 4 2 2 23 6" xfId="19932" xr:uid="{00000000-0005-0000-0000-0000DC4D0000}"/>
    <cellStyle name="Normal 2 2 2 4 2 2 23 7" xfId="19933" xr:uid="{00000000-0005-0000-0000-0000DD4D0000}"/>
    <cellStyle name="Normal 2 2 2 4 2 2 23 8" xfId="19934" xr:uid="{00000000-0005-0000-0000-0000DE4D0000}"/>
    <cellStyle name="Normal 2 2 2 4 2 2 23 9" xfId="19935" xr:uid="{00000000-0005-0000-0000-0000DF4D0000}"/>
    <cellStyle name="Normal 2 2 2 4 2 2 24" xfId="19936" xr:uid="{00000000-0005-0000-0000-0000E04D0000}"/>
    <cellStyle name="Normal 2 2 2 4 2 2 24 10" xfId="19937" xr:uid="{00000000-0005-0000-0000-0000E14D0000}"/>
    <cellStyle name="Normal 2 2 2 4 2 2 24 2" xfId="19938" xr:uid="{00000000-0005-0000-0000-0000E24D0000}"/>
    <cellStyle name="Normal 2 2 2 4 2 2 24 3" xfId="19939" xr:uid="{00000000-0005-0000-0000-0000E34D0000}"/>
    <cellStyle name="Normal 2 2 2 4 2 2 24 4" xfId="19940" xr:uid="{00000000-0005-0000-0000-0000E44D0000}"/>
    <cellStyle name="Normal 2 2 2 4 2 2 24 5" xfId="19941" xr:uid="{00000000-0005-0000-0000-0000E54D0000}"/>
    <cellStyle name="Normal 2 2 2 4 2 2 24 6" xfId="19942" xr:uid="{00000000-0005-0000-0000-0000E64D0000}"/>
    <cellStyle name="Normal 2 2 2 4 2 2 24 7" xfId="19943" xr:uid="{00000000-0005-0000-0000-0000E74D0000}"/>
    <cellStyle name="Normal 2 2 2 4 2 2 24 8" xfId="19944" xr:uid="{00000000-0005-0000-0000-0000E84D0000}"/>
    <cellStyle name="Normal 2 2 2 4 2 2 24 9" xfId="19945" xr:uid="{00000000-0005-0000-0000-0000E94D0000}"/>
    <cellStyle name="Normal 2 2 2 4 2 2 25" xfId="19946" xr:uid="{00000000-0005-0000-0000-0000EA4D0000}"/>
    <cellStyle name="Normal 2 2 2 4 2 2 26" xfId="19947" xr:uid="{00000000-0005-0000-0000-0000EB4D0000}"/>
    <cellStyle name="Normal 2 2 2 4 2 2 27" xfId="19948" xr:uid="{00000000-0005-0000-0000-0000EC4D0000}"/>
    <cellStyle name="Normal 2 2 2 4 2 2 28" xfId="19949" xr:uid="{00000000-0005-0000-0000-0000ED4D0000}"/>
    <cellStyle name="Normal 2 2 2 4 2 2 29" xfId="19950" xr:uid="{00000000-0005-0000-0000-0000EE4D0000}"/>
    <cellStyle name="Normal 2 2 2 4 2 2 3" xfId="19951" xr:uid="{00000000-0005-0000-0000-0000EF4D0000}"/>
    <cellStyle name="Normal 2 2 2 4 2 2 30" xfId="19952" xr:uid="{00000000-0005-0000-0000-0000F04D0000}"/>
    <cellStyle name="Normal 2 2 2 4 2 2 31" xfId="19953" xr:uid="{00000000-0005-0000-0000-0000F14D0000}"/>
    <cellStyle name="Normal 2 2 2 4 2 2 32" xfId="19954" xr:uid="{00000000-0005-0000-0000-0000F24D0000}"/>
    <cellStyle name="Normal 2 2 2 4 2 2 33" xfId="19955" xr:uid="{00000000-0005-0000-0000-0000F34D0000}"/>
    <cellStyle name="Normal 2 2 2 4 2 2 34" xfId="19956" xr:uid="{00000000-0005-0000-0000-0000F44D0000}"/>
    <cellStyle name="Normal 2 2 2 4 2 2 35" xfId="19957" xr:uid="{00000000-0005-0000-0000-0000F54D0000}"/>
    <cellStyle name="Normal 2 2 2 4 2 2 4" xfId="19958" xr:uid="{00000000-0005-0000-0000-0000F64D0000}"/>
    <cellStyle name="Normal 2 2 2 4 2 2 5" xfId="19959" xr:uid="{00000000-0005-0000-0000-0000F74D0000}"/>
    <cellStyle name="Normal 2 2 2 4 2 2 6" xfId="19960" xr:uid="{00000000-0005-0000-0000-0000F84D0000}"/>
    <cellStyle name="Normal 2 2 2 4 2 2 7" xfId="19961" xr:uid="{00000000-0005-0000-0000-0000F94D0000}"/>
    <cellStyle name="Normal 2 2 2 4 2 2 8" xfId="19962" xr:uid="{00000000-0005-0000-0000-0000FA4D0000}"/>
    <cellStyle name="Normal 2 2 2 4 2 2 9" xfId="19963" xr:uid="{00000000-0005-0000-0000-0000FB4D0000}"/>
    <cellStyle name="Normal 2 2 2 4 2 20" xfId="19964" xr:uid="{00000000-0005-0000-0000-0000FC4D0000}"/>
    <cellStyle name="Normal 2 2 2 4 2 20 10" xfId="19965" xr:uid="{00000000-0005-0000-0000-0000FD4D0000}"/>
    <cellStyle name="Normal 2 2 2 4 2 20 11" xfId="19966" xr:uid="{00000000-0005-0000-0000-0000FE4D0000}"/>
    <cellStyle name="Normal 2 2 2 4 2 20 12" xfId="19967" xr:uid="{00000000-0005-0000-0000-0000FF4D0000}"/>
    <cellStyle name="Normal 2 2 2 4 2 20 13" xfId="19968" xr:uid="{00000000-0005-0000-0000-0000004E0000}"/>
    <cellStyle name="Normal 2 2 2 4 2 20 14" xfId="19969" xr:uid="{00000000-0005-0000-0000-0000014E0000}"/>
    <cellStyle name="Normal 2 2 2 4 2 20 2" xfId="19970" xr:uid="{00000000-0005-0000-0000-0000024E0000}"/>
    <cellStyle name="Normal 2 2 2 4 2 20 2 10" xfId="19971" xr:uid="{00000000-0005-0000-0000-0000034E0000}"/>
    <cellStyle name="Normal 2 2 2 4 2 20 2 2" xfId="19972" xr:uid="{00000000-0005-0000-0000-0000044E0000}"/>
    <cellStyle name="Normal 2 2 2 4 2 20 2 3" xfId="19973" xr:uid="{00000000-0005-0000-0000-0000054E0000}"/>
    <cellStyle name="Normal 2 2 2 4 2 20 2 4" xfId="19974" xr:uid="{00000000-0005-0000-0000-0000064E0000}"/>
    <cellStyle name="Normal 2 2 2 4 2 20 2 5" xfId="19975" xr:uid="{00000000-0005-0000-0000-0000074E0000}"/>
    <cellStyle name="Normal 2 2 2 4 2 20 2 6" xfId="19976" xr:uid="{00000000-0005-0000-0000-0000084E0000}"/>
    <cellStyle name="Normal 2 2 2 4 2 20 2 7" xfId="19977" xr:uid="{00000000-0005-0000-0000-0000094E0000}"/>
    <cellStyle name="Normal 2 2 2 4 2 20 2 8" xfId="19978" xr:uid="{00000000-0005-0000-0000-00000A4E0000}"/>
    <cellStyle name="Normal 2 2 2 4 2 20 2 9" xfId="19979" xr:uid="{00000000-0005-0000-0000-00000B4E0000}"/>
    <cellStyle name="Normal 2 2 2 4 2 20 3" xfId="19980" xr:uid="{00000000-0005-0000-0000-00000C4E0000}"/>
    <cellStyle name="Normal 2 2 2 4 2 20 3 10" xfId="19981" xr:uid="{00000000-0005-0000-0000-00000D4E0000}"/>
    <cellStyle name="Normal 2 2 2 4 2 20 3 2" xfId="19982" xr:uid="{00000000-0005-0000-0000-00000E4E0000}"/>
    <cellStyle name="Normal 2 2 2 4 2 20 3 3" xfId="19983" xr:uid="{00000000-0005-0000-0000-00000F4E0000}"/>
    <cellStyle name="Normal 2 2 2 4 2 20 3 4" xfId="19984" xr:uid="{00000000-0005-0000-0000-0000104E0000}"/>
    <cellStyle name="Normal 2 2 2 4 2 20 3 5" xfId="19985" xr:uid="{00000000-0005-0000-0000-0000114E0000}"/>
    <cellStyle name="Normal 2 2 2 4 2 20 3 6" xfId="19986" xr:uid="{00000000-0005-0000-0000-0000124E0000}"/>
    <cellStyle name="Normal 2 2 2 4 2 20 3 7" xfId="19987" xr:uid="{00000000-0005-0000-0000-0000134E0000}"/>
    <cellStyle name="Normal 2 2 2 4 2 20 3 8" xfId="19988" xr:uid="{00000000-0005-0000-0000-0000144E0000}"/>
    <cellStyle name="Normal 2 2 2 4 2 20 3 9" xfId="19989" xr:uid="{00000000-0005-0000-0000-0000154E0000}"/>
    <cellStyle name="Normal 2 2 2 4 2 20 4" xfId="19990" xr:uid="{00000000-0005-0000-0000-0000164E0000}"/>
    <cellStyle name="Normal 2 2 2 4 2 20 4 10" xfId="19991" xr:uid="{00000000-0005-0000-0000-0000174E0000}"/>
    <cellStyle name="Normal 2 2 2 4 2 20 4 2" xfId="19992" xr:uid="{00000000-0005-0000-0000-0000184E0000}"/>
    <cellStyle name="Normal 2 2 2 4 2 20 4 3" xfId="19993" xr:uid="{00000000-0005-0000-0000-0000194E0000}"/>
    <cellStyle name="Normal 2 2 2 4 2 20 4 4" xfId="19994" xr:uid="{00000000-0005-0000-0000-00001A4E0000}"/>
    <cellStyle name="Normal 2 2 2 4 2 20 4 5" xfId="19995" xr:uid="{00000000-0005-0000-0000-00001B4E0000}"/>
    <cellStyle name="Normal 2 2 2 4 2 20 4 6" xfId="19996" xr:uid="{00000000-0005-0000-0000-00001C4E0000}"/>
    <cellStyle name="Normal 2 2 2 4 2 20 4 7" xfId="19997" xr:uid="{00000000-0005-0000-0000-00001D4E0000}"/>
    <cellStyle name="Normal 2 2 2 4 2 20 4 8" xfId="19998" xr:uid="{00000000-0005-0000-0000-00001E4E0000}"/>
    <cellStyle name="Normal 2 2 2 4 2 20 4 9" xfId="19999" xr:uid="{00000000-0005-0000-0000-00001F4E0000}"/>
    <cellStyle name="Normal 2 2 2 4 2 20 5" xfId="20000" xr:uid="{00000000-0005-0000-0000-0000204E0000}"/>
    <cellStyle name="Normal 2 2 2 4 2 20 5 10" xfId="20001" xr:uid="{00000000-0005-0000-0000-0000214E0000}"/>
    <cellStyle name="Normal 2 2 2 4 2 20 5 2" xfId="20002" xr:uid="{00000000-0005-0000-0000-0000224E0000}"/>
    <cellStyle name="Normal 2 2 2 4 2 20 5 3" xfId="20003" xr:uid="{00000000-0005-0000-0000-0000234E0000}"/>
    <cellStyle name="Normal 2 2 2 4 2 20 5 4" xfId="20004" xr:uid="{00000000-0005-0000-0000-0000244E0000}"/>
    <cellStyle name="Normal 2 2 2 4 2 20 5 5" xfId="20005" xr:uid="{00000000-0005-0000-0000-0000254E0000}"/>
    <cellStyle name="Normal 2 2 2 4 2 20 5 6" xfId="20006" xr:uid="{00000000-0005-0000-0000-0000264E0000}"/>
    <cellStyle name="Normal 2 2 2 4 2 20 5 7" xfId="20007" xr:uid="{00000000-0005-0000-0000-0000274E0000}"/>
    <cellStyle name="Normal 2 2 2 4 2 20 5 8" xfId="20008" xr:uid="{00000000-0005-0000-0000-0000284E0000}"/>
    <cellStyle name="Normal 2 2 2 4 2 20 5 9" xfId="20009" xr:uid="{00000000-0005-0000-0000-0000294E0000}"/>
    <cellStyle name="Normal 2 2 2 4 2 20 6" xfId="20010" xr:uid="{00000000-0005-0000-0000-00002A4E0000}"/>
    <cellStyle name="Normal 2 2 2 4 2 20 7" xfId="20011" xr:uid="{00000000-0005-0000-0000-00002B4E0000}"/>
    <cellStyle name="Normal 2 2 2 4 2 20 8" xfId="20012" xr:uid="{00000000-0005-0000-0000-00002C4E0000}"/>
    <cellStyle name="Normal 2 2 2 4 2 20 9" xfId="20013" xr:uid="{00000000-0005-0000-0000-00002D4E0000}"/>
    <cellStyle name="Normal 2 2 2 4 2 21" xfId="20014" xr:uid="{00000000-0005-0000-0000-00002E4E0000}"/>
    <cellStyle name="Normal 2 2 2 4 2 22" xfId="20015" xr:uid="{00000000-0005-0000-0000-00002F4E0000}"/>
    <cellStyle name="Normal 2 2 2 4 2 3" xfId="20016" xr:uid="{00000000-0005-0000-0000-0000304E0000}"/>
    <cellStyle name="Normal 2 2 2 4 2 3 10" xfId="20017" xr:uid="{00000000-0005-0000-0000-0000314E0000}"/>
    <cellStyle name="Normal 2 2 2 4 2 3 11" xfId="20018" xr:uid="{00000000-0005-0000-0000-0000324E0000}"/>
    <cellStyle name="Normal 2 2 2 4 2 3 12" xfId="20019" xr:uid="{00000000-0005-0000-0000-0000334E0000}"/>
    <cellStyle name="Normal 2 2 2 4 2 3 13" xfId="20020" xr:uid="{00000000-0005-0000-0000-0000344E0000}"/>
    <cellStyle name="Normal 2 2 2 4 2 3 14" xfId="20021" xr:uid="{00000000-0005-0000-0000-0000354E0000}"/>
    <cellStyle name="Normal 2 2 2 4 2 3 2" xfId="20022" xr:uid="{00000000-0005-0000-0000-0000364E0000}"/>
    <cellStyle name="Normal 2 2 2 4 2 3 2 10" xfId="20023" xr:uid="{00000000-0005-0000-0000-0000374E0000}"/>
    <cellStyle name="Normal 2 2 2 4 2 3 2 2" xfId="20024" xr:uid="{00000000-0005-0000-0000-0000384E0000}"/>
    <cellStyle name="Normal 2 2 2 4 2 3 2 3" xfId="20025" xr:uid="{00000000-0005-0000-0000-0000394E0000}"/>
    <cellStyle name="Normal 2 2 2 4 2 3 2 4" xfId="20026" xr:uid="{00000000-0005-0000-0000-00003A4E0000}"/>
    <cellStyle name="Normal 2 2 2 4 2 3 2 5" xfId="20027" xr:uid="{00000000-0005-0000-0000-00003B4E0000}"/>
    <cellStyle name="Normal 2 2 2 4 2 3 2 6" xfId="20028" xr:uid="{00000000-0005-0000-0000-00003C4E0000}"/>
    <cellStyle name="Normal 2 2 2 4 2 3 2 7" xfId="20029" xr:uid="{00000000-0005-0000-0000-00003D4E0000}"/>
    <cellStyle name="Normal 2 2 2 4 2 3 2 8" xfId="20030" xr:uid="{00000000-0005-0000-0000-00003E4E0000}"/>
    <cellStyle name="Normal 2 2 2 4 2 3 2 9" xfId="20031" xr:uid="{00000000-0005-0000-0000-00003F4E0000}"/>
    <cellStyle name="Normal 2 2 2 4 2 3 3" xfId="20032" xr:uid="{00000000-0005-0000-0000-0000404E0000}"/>
    <cellStyle name="Normal 2 2 2 4 2 3 3 10" xfId="20033" xr:uid="{00000000-0005-0000-0000-0000414E0000}"/>
    <cellStyle name="Normal 2 2 2 4 2 3 3 2" xfId="20034" xr:uid="{00000000-0005-0000-0000-0000424E0000}"/>
    <cellStyle name="Normal 2 2 2 4 2 3 3 3" xfId="20035" xr:uid="{00000000-0005-0000-0000-0000434E0000}"/>
    <cellStyle name="Normal 2 2 2 4 2 3 3 4" xfId="20036" xr:uid="{00000000-0005-0000-0000-0000444E0000}"/>
    <cellStyle name="Normal 2 2 2 4 2 3 3 5" xfId="20037" xr:uid="{00000000-0005-0000-0000-0000454E0000}"/>
    <cellStyle name="Normal 2 2 2 4 2 3 3 6" xfId="20038" xr:uid="{00000000-0005-0000-0000-0000464E0000}"/>
    <cellStyle name="Normal 2 2 2 4 2 3 3 7" xfId="20039" xr:uid="{00000000-0005-0000-0000-0000474E0000}"/>
    <cellStyle name="Normal 2 2 2 4 2 3 3 8" xfId="20040" xr:uid="{00000000-0005-0000-0000-0000484E0000}"/>
    <cellStyle name="Normal 2 2 2 4 2 3 3 9" xfId="20041" xr:uid="{00000000-0005-0000-0000-0000494E0000}"/>
    <cellStyle name="Normal 2 2 2 4 2 3 4" xfId="20042" xr:uid="{00000000-0005-0000-0000-00004A4E0000}"/>
    <cellStyle name="Normal 2 2 2 4 2 3 4 10" xfId="20043" xr:uid="{00000000-0005-0000-0000-00004B4E0000}"/>
    <cellStyle name="Normal 2 2 2 4 2 3 4 2" xfId="20044" xr:uid="{00000000-0005-0000-0000-00004C4E0000}"/>
    <cellStyle name="Normal 2 2 2 4 2 3 4 3" xfId="20045" xr:uid="{00000000-0005-0000-0000-00004D4E0000}"/>
    <cellStyle name="Normal 2 2 2 4 2 3 4 4" xfId="20046" xr:uid="{00000000-0005-0000-0000-00004E4E0000}"/>
    <cellStyle name="Normal 2 2 2 4 2 3 4 5" xfId="20047" xr:uid="{00000000-0005-0000-0000-00004F4E0000}"/>
    <cellStyle name="Normal 2 2 2 4 2 3 4 6" xfId="20048" xr:uid="{00000000-0005-0000-0000-0000504E0000}"/>
    <cellStyle name="Normal 2 2 2 4 2 3 4 7" xfId="20049" xr:uid="{00000000-0005-0000-0000-0000514E0000}"/>
    <cellStyle name="Normal 2 2 2 4 2 3 4 8" xfId="20050" xr:uid="{00000000-0005-0000-0000-0000524E0000}"/>
    <cellStyle name="Normal 2 2 2 4 2 3 4 9" xfId="20051" xr:uid="{00000000-0005-0000-0000-0000534E0000}"/>
    <cellStyle name="Normal 2 2 2 4 2 3 5" xfId="20052" xr:uid="{00000000-0005-0000-0000-0000544E0000}"/>
    <cellStyle name="Normal 2 2 2 4 2 3 5 10" xfId="20053" xr:uid="{00000000-0005-0000-0000-0000554E0000}"/>
    <cellStyle name="Normal 2 2 2 4 2 3 5 2" xfId="20054" xr:uid="{00000000-0005-0000-0000-0000564E0000}"/>
    <cellStyle name="Normal 2 2 2 4 2 3 5 3" xfId="20055" xr:uid="{00000000-0005-0000-0000-0000574E0000}"/>
    <cellStyle name="Normal 2 2 2 4 2 3 5 4" xfId="20056" xr:uid="{00000000-0005-0000-0000-0000584E0000}"/>
    <cellStyle name="Normal 2 2 2 4 2 3 5 5" xfId="20057" xr:uid="{00000000-0005-0000-0000-0000594E0000}"/>
    <cellStyle name="Normal 2 2 2 4 2 3 5 6" xfId="20058" xr:uid="{00000000-0005-0000-0000-00005A4E0000}"/>
    <cellStyle name="Normal 2 2 2 4 2 3 5 7" xfId="20059" xr:uid="{00000000-0005-0000-0000-00005B4E0000}"/>
    <cellStyle name="Normal 2 2 2 4 2 3 5 8" xfId="20060" xr:uid="{00000000-0005-0000-0000-00005C4E0000}"/>
    <cellStyle name="Normal 2 2 2 4 2 3 5 9" xfId="20061" xr:uid="{00000000-0005-0000-0000-00005D4E0000}"/>
    <cellStyle name="Normal 2 2 2 4 2 3 6" xfId="20062" xr:uid="{00000000-0005-0000-0000-00005E4E0000}"/>
    <cellStyle name="Normal 2 2 2 4 2 3 7" xfId="20063" xr:uid="{00000000-0005-0000-0000-00005F4E0000}"/>
    <cellStyle name="Normal 2 2 2 4 2 3 8" xfId="20064" xr:uid="{00000000-0005-0000-0000-0000604E0000}"/>
    <cellStyle name="Normal 2 2 2 4 2 3 9" xfId="20065" xr:uid="{00000000-0005-0000-0000-0000614E0000}"/>
    <cellStyle name="Normal 2 2 2 4 2 4" xfId="20066" xr:uid="{00000000-0005-0000-0000-0000624E0000}"/>
    <cellStyle name="Normal 2 2 2 4 2 4 10" xfId="20067" xr:uid="{00000000-0005-0000-0000-0000634E0000}"/>
    <cellStyle name="Normal 2 2 2 4 2 4 11" xfId="20068" xr:uid="{00000000-0005-0000-0000-0000644E0000}"/>
    <cellStyle name="Normal 2 2 2 4 2 4 12" xfId="20069" xr:uid="{00000000-0005-0000-0000-0000654E0000}"/>
    <cellStyle name="Normal 2 2 2 4 2 4 13" xfId="20070" xr:uid="{00000000-0005-0000-0000-0000664E0000}"/>
    <cellStyle name="Normal 2 2 2 4 2 4 14" xfId="20071" xr:uid="{00000000-0005-0000-0000-0000674E0000}"/>
    <cellStyle name="Normal 2 2 2 4 2 4 2" xfId="20072" xr:uid="{00000000-0005-0000-0000-0000684E0000}"/>
    <cellStyle name="Normal 2 2 2 4 2 4 2 10" xfId="20073" xr:uid="{00000000-0005-0000-0000-0000694E0000}"/>
    <cellStyle name="Normal 2 2 2 4 2 4 2 2" xfId="20074" xr:uid="{00000000-0005-0000-0000-00006A4E0000}"/>
    <cellStyle name="Normal 2 2 2 4 2 4 2 3" xfId="20075" xr:uid="{00000000-0005-0000-0000-00006B4E0000}"/>
    <cellStyle name="Normal 2 2 2 4 2 4 2 4" xfId="20076" xr:uid="{00000000-0005-0000-0000-00006C4E0000}"/>
    <cellStyle name="Normal 2 2 2 4 2 4 2 5" xfId="20077" xr:uid="{00000000-0005-0000-0000-00006D4E0000}"/>
    <cellStyle name="Normal 2 2 2 4 2 4 2 6" xfId="20078" xr:uid="{00000000-0005-0000-0000-00006E4E0000}"/>
    <cellStyle name="Normal 2 2 2 4 2 4 2 7" xfId="20079" xr:uid="{00000000-0005-0000-0000-00006F4E0000}"/>
    <cellStyle name="Normal 2 2 2 4 2 4 2 8" xfId="20080" xr:uid="{00000000-0005-0000-0000-0000704E0000}"/>
    <cellStyle name="Normal 2 2 2 4 2 4 2 9" xfId="20081" xr:uid="{00000000-0005-0000-0000-0000714E0000}"/>
    <cellStyle name="Normal 2 2 2 4 2 4 3" xfId="20082" xr:uid="{00000000-0005-0000-0000-0000724E0000}"/>
    <cellStyle name="Normal 2 2 2 4 2 4 3 10" xfId="20083" xr:uid="{00000000-0005-0000-0000-0000734E0000}"/>
    <cellStyle name="Normal 2 2 2 4 2 4 3 2" xfId="20084" xr:uid="{00000000-0005-0000-0000-0000744E0000}"/>
    <cellStyle name="Normal 2 2 2 4 2 4 3 3" xfId="20085" xr:uid="{00000000-0005-0000-0000-0000754E0000}"/>
    <cellStyle name="Normal 2 2 2 4 2 4 3 4" xfId="20086" xr:uid="{00000000-0005-0000-0000-0000764E0000}"/>
    <cellStyle name="Normal 2 2 2 4 2 4 3 5" xfId="20087" xr:uid="{00000000-0005-0000-0000-0000774E0000}"/>
    <cellStyle name="Normal 2 2 2 4 2 4 3 6" xfId="20088" xr:uid="{00000000-0005-0000-0000-0000784E0000}"/>
    <cellStyle name="Normal 2 2 2 4 2 4 3 7" xfId="20089" xr:uid="{00000000-0005-0000-0000-0000794E0000}"/>
    <cellStyle name="Normal 2 2 2 4 2 4 3 8" xfId="20090" xr:uid="{00000000-0005-0000-0000-00007A4E0000}"/>
    <cellStyle name="Normal 2 2 2 4 2 4 3 9" xfId="20091" xr:uid="{00000000-0005-0000-0000-00007B4E0000}"/>
    <cellStyle name="Normal 2 2 2 4 2 4 4" xfId="20092" xr:uid="{00000000-0005-0000-0000-00007C4E0000}"/>
    <cellStyle name="Normal 2 2 2 4 2 4 4 10" xfId="20093" xr:uid="{00000000-0005-0000-0000-00007D4E0000}"/>
    <cellStyle name="Normal 2 2 2 4 2 4 4 2" xfId="20094" xr:uid="{00000000-0005-0000-0000-00007E4E0000}"/>
    <cellStyle name="Normal 2 2 2 4 2 4 4 3" xfId="20095" xr:uid="{00000000-0005-0000-0000-00007F4E0000}"/>
    <cellStyle name="Normal 2 2 2 4 2 4 4 4" xfId="20096" xr:uid="{00000000-0005-0000-0000-0000804E0000}"/>
    <cellStyle name="Normal 2 2 2 4 2 4 4 5" xfId="20097" xr:uid="{00000000-0005-0000-0000-0000814E0000}"/>
    <cellStyle name="Normal 2 2 2 4 2 4 4 6" xfId="20098" xr:uid="{00000000-0005-0000-0000-0000824E0000}"/>
    <cellStyle name="Normal 2 2 2 4 2 4 4 7" xfId="20099" xr:uid="{00000000-0005-0000-0000-0000834E0000}"/>
    <cellStyle name="Normal 2 2 2 4 2 4 4 8" xfId="20100" xr:uid="{00000000-0005-0000-0000-0000844E0000}"/>
    <cellStyle name="Normal 2 2 2 4 2 4 4 9" xfId="20101" xr:uid="{00000000-0005-0000-0000-0000854E0000}"/>
    <cellStyle name="Normal 2 2 2 4 2 4 5" xfId="20102" xr:uid="{00000000-0005-0000-0000-0000864E0000}"/>
    <cellStyle name="Normal 2 2 2 4 2 4 5 10" xfId="20103" xr:uid="{00000000-0005-0000-0000-0000874E0000}"/>
    <cellStyle name="Normal 2 2 2 4 2 4 5 2" xfId="20104" xr:uid="{00000000-0005-0000-0000-0000884E0000}"/>
    <cellStyle name="Normal 2 2 2 4 2 4 5 3" xfId="20105" xr:uid="{00000000-0005-0000-0000-0000894E0000}"/>
    <cellStyle name="Normal 2 2 2 4 2 4 5 4" xfId="20106" xr:uid="{00000000-0005-0000-0000-00008A4E0000}"/>
    <cellStyle name="Normal 2 2 2 4 2 4 5 5" xfId="20107" xr:uid="{00000000-0005-0000-0000-00008B4E0000}"/>
    <cellStyle name="Normal 2 2 2 4 2 4 5 6" xfId="20108" xr:uid="{00000000-0005-0000-0000-00008C4E0000}"/>
    <cellStyle name="Normal 2 2 2 4 2 4 5 7" xfId="20109" xr:uid="{00000000-0005-0000-0000-00008D4E0000}"/>
    <cellStyle name="Normal 2 2 2 4 2 4 5 8" xfId="20110" xr:uid="{00000000-0005-0000-0000-00008E4E0000}"/>
    <cellStyle name="Normal 2 2 2 4 2 4 5 9" xfId="20111" xr:uid="{00000000-0005-0000-0000-00008F4E0000}"/>
    <cellStyle name="Normal 2 2 2 4 2 4 6" xfId="20112" xr:uid="{00000000-0005-0000-0000-0000904E0000}"/>
    <cellStyle name="Normal 2 2 2 4 2 4 7" xfId="20113" xr:uid="{00000000-0005-0000-0000-0000914E0000}"/>
    <cellStyle name="Normal 2 2 2 4 2 4 8" xfId="20114" xr:uid="{00000000-0005-0000-0000-0000924E0000}"/>
    <cellStyle name="Normal 2 2 2 4 2 4 9" xfId="20115" xr:uid="{00000000-0005-0000-0000-0000934E0000}"/>
    <cellStyle name="Normal 2 2 2 4 2 5" xfId="20116" xr:uid="{00000000-0005-0000-0000-0000944E0000}"/>
    <cellStyle name="Normal 2 2 2 4 2 5 10" xfId="20117" xr:uid="{00000000-0005-0000-0000-0000954E0000}"/>
    <cellStyle name="Normal 2 2 2 4 2 5 11" xfId="20118" xr:uid="{00000000-0005-0000-0000-0000964E0000}"/>
    <cellStyle name="Normal 2 2 2 4 2 5 12" xfId="20119" xr:uid="{00000000-0005-0000-0000-0000974E0000}"/>
    <cellStyle name="Normal 2 2 2 4 2 5 13" xfId="20120" xr:uid="{00000000-0005-0000-0000-0000984E0000}"/>
    <cellStyle name="Normal 2 2 2 4 2 5 14" xfId="20121" xr:uid="{00000000-0005-0000-0000-0000994E0000}"/>
    <cellStyle name="Normal 2 2 2 4 2 5 2" xfId="20122" xr:uid="{00000000-0005-0000-0000-00009A4E0000}"/>
    <cellStyle name="Normal 2 2 2 4 2 5 2 10" xfId="20123" xr:uid="{00000000-0005-0000-0000-00009B4E0000}"/>
    <cellStyle name="Normal 2 2 2 4 2 5 2 2" xfId="20124" xr:uid="{00000000-0005-0000-0000-00009C4E0000}"/>
    <cellStyle name="Normal 2 2 2 4 2 5 2 3" xfId="20125" xr:uid="{00000000-0005-0000-0000-00009D4E0000}"/>
    <cellStyle name="Normal 2 2 2 4 2 5 2 4" xfId="20126" xr:uid="{00000000-0005-0000-0000-00009E4E0000}"/>
    <cellStyle name="Normal 2 2 2 4 2 5 2 5" xfId="20127" xr:uid="{00000000-0005-0000-0000-00009F4E0000}"/>
    <cellStyle name="Normal 2 2 2 4 2 5 2 6" xfId="20128" xr:uid="{00000000-0005-0000-0000-0000A04E0000}"/>
    <cellStyle name="Normal 2 2 2 4 2 5 2 7" xfId="20129" xr:uid="{00000000-0005-0000-0000-0000A14E0000}"/>
    <cellStyle name="Normal 2 2 2 4 2 5 2 8" xfId="20130" xr:uid="{00000000-0005-0000-0000-0000A24E0000}"/>
    <cellStyle name="Normal 2 2 2 4 2 5 2 9" xfId="20131" xr:uid="{00000000-0005-0000-0000-0000A34E0000}"/>
    <cellStyle name="Normal 2 2 2 4 2 5 3" xfId="20132" xr:uid="{00000000-0005-0000-0000-0000A44E0000}"/>
    <cellStyle name="Normal 2 2 2 4 2 5 3 10" xfId="20133" xr:uid="{00000000-0005-0000-0000-0000A54E0000}"/>
    <cellStyle name="Normal 2 2 2 4 2 5 3 2" xfId="20134" xr:uid="{00000000-0005-0000-0000-0000A64E0000}"/>
    <cellStyle name="Normal 2 2 2 4 2 5 3 3" xfId="20135" xr:uid="{00000000-0005-0000-0000-0000A74E0000}"/>
    <cellStyle name="Normal 2 2 2 4 2 5 3 4" xfId="20136" xr:uid="{00000000-0005-0000-0000-0000A84E0000}"/>
    <cellStyle name="Normal 2 2 2 4 2 5 3 5" xfId="20137" xr:uid="{00000000-0005-0000-0000-0000A94E0000}"/>
    <cellStyle name="Normal 2 2 2 4 2 5 3 6" xfId="20138" xr:uid="{00000000-0005-0000-0000-0000AA4E0000}"/>
    <cellStyle name="Normal 2 2 2 4 2 5 3 7" xfId="20139" xr:uid="{00000000-0005-0000-0000-0000AB4E0000}"/>
    <cellStyle name="Normal 2 2 2 4 2 5 3 8" xfId="20140" xr:uid="{00000000-0005-0000-0000-0000AC4E0000}"/>
    <cellStyle name="Normal 2 2 2 4 2 5 3 9" xfId="20141" xr:uid="{00000000-0005-0000-0000-0000AD4E0000}"/>
    <cellStyle name="Normal 2 2 2 4 2 5 4" xfId="20142" xr:uid="{00000000-0005-0000-0000-0000AE4E0000}"/>
    <cellStyle name="Normal 2 2 2 4 2 5 4 10" xfId="20143" xr:uid="{00000000-0005-0000-0000-0000AF4E0000}"/>
    <cellStyle name="Normal 2 2 2 4 2 5 4 2" xfId="20144" xr:uid="{00000000-0005-0000-0000-0000B04E0000}"/>
    <cellStyle name="Normal 2 2 2 4 2 5 4 3" xfId="20145" xr:uid="{00000000-0005-0000-0000-0000B14E0000}"/>
    <cellStyle name="Normal 2 2 2 4 2 5 4 4" xfId="20146" xr:uid="{00000000-0005-0000-0000-0000B24E0000}"/>
    <cellStyle name="Normal 2 2 2 4 2 5 4 5" xfId="20147" xr:uid="{00000000-0005-0000-0000-0000B34E0000}"/>
    <cellStyle name="Normal 2 2 2 4 2 5 4 6" xfId="20148" xr:uid="{00000000-0005-0000-0000-0000B44E0000}"/>
    <cellStyle name="Normal 2 2 2 4 2 5 4 7" xfId="20149" xr:uid="{00000000-0005-0000-0000-0000B54E0000}"/>
    <cellStyle name="Normal 2 2 2 4 2 5 4 8" xfId="20150" xr:uid="{00000000-0005-0000-0000-0000B64E0000}"/>
    <cellStyle name="Normal 2 2 2 4 2 5 4 9" xfId="20151" xr:uid="{00000000-0005-0000-0000-0000B74E0000}"/>
    <cellStyle name="Normal 2 2 2 4 2 5 5" xfId="20152" xr:uid="{00000000-0005-0000-0000-0000B84E0000}"/>
    <cellStyle name="Normal 2 2 2 4 2 5 5 10" xfId="20153" xr:uid="{00000000-0005-0000-0000-0000B94E0000}"/>
    <cellStyle name="Normal 2 2 2 4 2 5 5 2" xfId="20154" xr:uid="{00000000-0005-0000-0000-0000BA4E0000}"/>
    <cellStyle name="Normal 2 2 2 4 2 5 5 3" xfId="20155" xr:uid="{00000000-0005-0000-0000-0000BB4E0000}"/>
    <cellStyle name="Normal 2 2 2 4 2 5 5 4" xfId="20156" xr:uid="{00000000-0005-0000-0000-0000BC4E0000}"/>
    <cellStyle name="Normal 2 2 2 4 2 5 5 5" xfId="20157" xr:uid="{00000000-0005-0000-0000-0000BD4E0000}"/>
    <cellStyle name="Normal 2 2 2 4 2 5 5 6" xfId="20158" xr:uid="{00000000-0005-0000-0000-0000BE4E0000}"/>
    <cellStyle name="Normal 2 2 2 4 2 5 5 7" xfId="20159" xr:uid="{00000000-0005-0000-0000-0000BF4E0000}"/>
    <cellStyle name="Normal 2 2 2 4 2 5 5 8" xfId="20160" xr:uid="{00000000-0005-0000-0000-0000C04E0000}"/>
    <cellStyle name="Normal 2 2 2 4 2 5 5 9" xfId="20161" xr:uid="{00000000-0005-0000-0000-0000C14E0000}"/>
    <cellStyle name="Normal 2 2 2 4 2 5 6" xfId="20162" xr:uid="{00000000-0005-0000-0000-0000C24E0000}"/>
    <cellStyle name="Normal 2 2 2 4 2 5 7" xfId="20163" xr:uid="{00000000-0005-0000-0000-0000C34E0000}"/>
    <cellStyle name="Normal 2 2 2 4 2 5 8" xfId="20164" xr:uid="{00000000-0005-0000-0000-0000C44E0000}"/>
    <cellStyle name="Normal 2 2 2 4 2 5 9" xfId="20165" xr:uid="{00000000-0005-0000-0000-0000C54E0000}"/>
    <cellStyle name="Normal 2 2 2 4 2 6" xfId="20166" xr:uid="{00000000-0005-0000-0000-0000C64E0000}"/>
    <cellStyle name="Normal 2 2 2 4 2 6 10" xfId="20167" xr:uid="{00000000-0005-0000-0000-0000C74E0000}"/>
    <cellStyle name="Normal 2 2 2 4 2 6 11" xfId="20168" xr:uid="{00000000-0005-0000-0000-0000C84E0000}"/>
    <cellStyle name="Normal 2 2 2 4 2 6 12" xfId="20169" xr:uid="{00000000-0005-0000-0000-0000C94E0000}"/>
    <cellStyle name="Normal 2 2 2 4 2 6 13" xfId="20170" xr:uid="{00000000-0005-0000-0000-0000CA4E0000}"/>
    <cellStyle name="Normal 2 2 2 4 2 6 14" xfId="20171" xr:uid="{00000000-0005-0000-0000-0000CB4E0000}"/>
    <cellStyle name="Normal 2 2 2 4 2 6 2" xfId="20172" xr:uid="{00000000-0005-0000-0000-0000CC4E0000}"/>
    <cellStyle name="Normal 2 2 2 4 2 6 2 10" xfId="20173" xr:uid="{00000000-0005-0000-0000-0000CD4E0000}"/>
    <cellStyle name="Normal 2 2 2 4 2 6 2 2" xfId="20174" xr:uid="{00000000-0005-0000-0000-0000CE4E0000}"/>
    <cellStyle name="Normal 2 2 2 4 2 6 2 3" xfId="20175" xr:uid="{00000000-0005-0000-0000-0000CF4E0000}"/>
    <cellStyle name="Normal 2 2 2 4 2 6 2 4" xfId="20176" xr:uid="{00000000-0005-0000-0000-0000D04E0000}"/>
    <cellStyle name="Normal 2 2 2 4 2 6 2 5" xfId="20177" xr:uid="{00000000-0005-0000-0000-0000D14E0000}"/>
    <cellStyle name="Normal 2 2 2 4 2 6 2 6" xfId="20178" xr:uid="{00000000-0005-0000-0000-0000D24E0000}"/>
    <cellStyle name="Normal 2 2 2 4 2 6 2 7" xfId="20179" xr:uid="{00000000-0005-0000-0000-0000D34E0000}"/>
    <cellStyle name="Normal 2 2 2 4 2 6 2 8" xfId="20180" xr:uid="{00000000-0005-0000-0000-0000D44E0000}"/>
    <cellStyle name="Normal 2 2 2 4 2 6 2 9" xfId="20181" xr:uid="{00000000-0005-0000-0000-0000D54E0000}"/>
    <cellStyle name="Normal 2 2 2 4 2 6 3" xfId="20182" xr:uid="{00000000-0005-0000-0000-0000D64E0000}"/>
    <cellStyle name="Normal 2 2 2 4 2 6 3 10" xfId="20183" xr:uid="{00000000-0005-0000-0000-0000D74E0000}"/>
    <cellStyle name="Normal 2 2 2 4 2 6 3 2" xfId="20184" xr:uid="{00000000-0005-0000-0000-0000D84E0000}"/>
    <cellStyle name="Normal 2 2 2 4 2 6 3 3" xfId="20185" xr:uid="{00000000-0005-0000-0000-0000D94E0000}"/>
    <cellStyle name="Normal 2 2 2 4 2 6 3 4" xfId="20186" xr:uid="{00000000-0005-0000-0000-0000DA4E0000}"/>
    <cellStyle name="Normal 2 2 2 4 2 6 3 5" xfId="20187" xr:uid="{00000000-0005-0000-0000-0000DB4E0000}"/>
    <cellStyle name="Normal 2 2 2 4 2 6 3 6" xfId="20188" xr:uid="{00000000-0005-0000-0000-0000DC4E0000}"/>
    <cellStyle name="Normal 2 2 2 4 2 6 3 7" xfId="20189" xr:uid="{00000000-0005-0000-0000-0000DD4E0000}"/>
    <cellStyle name="Normal 2 2 2 4 2 6 3 8" xfId="20190" xr:uid="{00000000-0005-0000-0000-0000DE4E0000}"/>
    <cellStyle name="Normal 2 2 2 4 2 6 3 9" xfId="20191" xr:uid="{00000000-0005-0000-0000-0000DF4E0000}"/>
    <cellStyle name="Normal 2 2 2 4 2 6 4" xfId="20192" xr:uid="{00000000-0005-0000-0000-0000E04E0000}"/>
    <cellStyle name="Normal 2 2 2 4 2 6 4 10" xfId="20193" xr:uid="{00000000-0005-0000-0000-0000E14E0000}"/>
    <cellStyle name="Normal 2 2 2 4 2 6 4 2" xfId="20194" xr:uid="{00000000-0005-0000-0000-0000E24E0000}"/>
    <cellStyle name="Normal 2 2 2 4 2 6 4 3" xfId="20195" xr:uid="{00000000-0005-0000-0000-0000E34E0000}"/>
    <cellStyle name="Normal 2 2 2 4 2 6 4 4" xfId="20196" xr:uid="{00000000-0005-0000-0000-0000E44E0000}"/>
    <cellStyle name="Normal 2 2 2 4 2 6 4 5" xfId="20197" xr:uid="{00000000-0005-0000-0000-0000E54E0000}"/>
    <cellStyle name="Normal 2 2 2 4 2 6 4 6" xfId="20198" xr:uid="{00000000-0005-0000-0000-0000E64E0000}"/>
    <cellStyle name="Normal 2 2 2 4 2 6 4 7" xfId="20199" xr:uid="{00000000-0005-0000-0000-0000E74E0000}"/>
    <cellStyle name="Normal 2 2 2 4 2 6 4 8" xfId="20200" xr:uid="{00000000-0005-0000-0000-0000E84E0000}"/>
    <cellStyle name="Normal 2 2 2 4 2 6 4 9" xfId="20201" xr:uid="{00000000-0005-0000-0000-0000E94E0000}"/>
    <cellStyle name="Normal 2 2 2 4 2 6 5" xfId="20202" xr:uid="{00000000-0005-0000-0000-0000EA4E0000}"/>
    <cellStyle name="Normal 2 2 2 4 2 6 5 10" xfId="20203" xr:uid="{00000000-0005-0000-0000-0000EB4E0000}"/>
    <cellStyle name="Normal 2 2 2 4 2 6 5 2" xfId="20204" xr:uid="{00000000-0005-0000-0000-0000EC4E0000}"/>
    <cellStyle name="Normal 2 2 2 4 2 6 5 3" xfId="20205" xr:uid="{00000000-0005-0000-0000-0000ED4E0000}"/>
    <cellStyle name="Normal 2 2 2 4 2 6 5 4" xfId="20206" xr:uid="{00000000-0005-0000-0000-0000EE4E0000}"/>
    <cellStyle name="Normal 2 2 2 4 2 6 5 5" xfId="20207" xr:uid="{00000000-0005-0000-0000-0000EF4E0000}"/>
    <cellStyle name="Normal 2 2 2 4 2 6 5 6" xfId="20208" xr:uid="{00000000-0005-0000-0000-0000F04E0000}"/>
    <cellStyle name="Normal 2 2 2 4 2 6 5 7" xfId="20209" xr:uid="{00000000-0005-0000-0000-0000F14E0000}"/>
    <cellStyle name="Normal 2 2 2 4 2 6 5 8" xfId="20210" xr:uid="{00000000-0005-0000-0000-0000F24E0000}"/>
    <cellStyle name="Normal 2 2 2 4 2 6 5 9" xfId="20211" xr:uid="{00000000-0005-0000-0000-0000F34E0000}"/>
    <cellStyle name="Normal 2 2 2 4 2 6 6" xfId="20212" xr:uid="{00000000-0005-0000-0000-0000F44E0000}"/>
    <cellStyle name="Normal 2 2 2 4 2 6 7" xfId="20213" xr:uid="{00000000-0005-0000-0000-0000F54E0000}"/>
    <cellStyle name="Normal 2 2 2 4 2 6 8" xfId="20214" xr:uid="{00000000-0005-0000-0000-0000F64E0000}"/>
    <cellStyle name="Normal 2 2 2 4 2 6 9" xfId="20215" xr:uid="{00000000-0005-0000-0000-0000F74E0000}"/>
    <cellStyle name="Normal 2 2 2 4 2 7" xfId="20216" xr:uid="{00000000-0005-0000-0000-0000F84E0000}"/>
    <cellStyle name="Normal 2 2 2 4 2 7 10" xfId="20217" xr:uid="{00000000-0005-0000-0000-0000F94E0000}"/>
    <cellStyle name="Normal 2 2 2 4 2 7 11" xfId="20218" xr:uid="{00000000-0005-0000-0000-0000FA4E0000}"/>
    <cellStyle name="Normal 2 2 2 4 2 7 12" xfId="20219" xr:uid="{00000000-0005-0000-0000-0000FB4E0000}"/>
    <cellStyle name="Normal 2 2 2 4 2 7 13" xfId="20220" xr:uid="{00000000-0005-0000-0000-0000FC4E0000}"/>
    <cellStyle name="Normal 2 2 2 4 2 7 14" xfId="20221" xr:uid="{00000000-0005-0000-0000-0000FD4E0000}"/>
    <cellStyle name="Normal 2 2 2 4 2 7 2" xfId="20222" xr:uid="{00000000-0005-0000-0000-0000FE4E0000}"/>
    <cellStyle name="Normal 2 2 2 4 2 7 2 10" xfId="20223" xr:uid="{00000000-0005-0000-0000-0000FF4E0000}"/>
    <cellStyle name="Normal 2 2 2 4 2 7 2 2" xfId="20224" xr:uid="{00000000-0005-0000-0000-0000004F0000}"/>
    <cellStyle name="Normal 2 2 2 4 2 7 2 3" xfId="20225" xr:uid="{00000000-0005-0000-0000-0000014F0000}"/>
    <cellStyle name="Normal 2 2 2 4 2 7 2 4" xfId="20226" xr:uid="{00000000-0005-0000-0000-0000024F0000}"/>
    <cellStyle name="Normal 2 2 2 4 2 7 2 5" xfId="20227" xr:uid="{00000000-0005-0000-0000-0000034F0000}"/>
    <cellStyle name="Normal 2 2 2 4 2 7 2 6" xfId="20228" xr:uid="{00000000-0005-0000-0000-0000044F0000}"/>
    <cellStyle name="Normal 2 2 2 4 2 7 2 7" xfId="20229" xr:uid="{00000000-0005-0000-0000-0000054F0000}"/>
    <cellStyle name="Normal 2 2 2 4 2 7 2 8" xfId="20230" xr:uid="{00000000-0005-0000-0000-0000064F0000}"/>
    <cellStyle name="Normal 2 2 2 4 2 7 2 9" xfId="20231" xr:uid="{00000000-0005-0000-0000-0000074F0000}"/>
    <cellStyle name="Normal 2 2 2 4 2 7 3" xfId="20232" xr:uid="{00000000-0005-0000-0000-0000084F0000}"/>
    <cellStyle name="Normal 2 2 2 4 2 7 3 10" xfId="20233" xr:uid="{00000000-0005-0000-0000-0000094F0000}"/>
    <cellStyle name="Normal 2 2 2 4 2 7 3 2" xfId="20234" xr:uid="{00000000-0005-0000-0000-00000A4F0000}"/>
    <cellStyle name="Normal 2 2 2 4 2 7 3 3" xfId="20235" xr:uid="{00000000-0005-0000-0000-00000B4F0000}"/>
    <cellStyle name="Normal 2 2 2 4 2 7 3 4" xfId="20236" xr:uid="{00000000-0005-0000-0000-00000C4F0000}"/>
    <cellStyle name="Normal 2 2 2 4 2 7 3 5" xfId="20237" xr:uid="{00000000-0005-0000-0000-00000D4F0000}"/>
    <cellStyle name="Normal 2 2 2 4 2 7 3 6" xfId="20238" xr:uid="{00000000-0005-0000-0000-00000E4F0000}"/>
    <cellStyle name="Normal 2 2 2 4 2 7 3 7" xfId="20239" xr:uid="{00000000-0005-0000-0000-00000F4F0000}"/>
    <cellStyle name="Normal 2 2 2 4 2 7 3 8" xfId="20240" xr:uid="{00000000-0005-0000-0000-0000104F0000}"/>
    <cellStyle name="Normal 2 2 2 4 2 7 3 9" xfId="20241" xr:uid="{00000000-0005-0000-0000-0000114F0000}"/>
    <cellStyle name="Normal 2 2 2 4 2 7 4" xfId="20242" xr:uid="{00000000-0005-0000-0000-0000124F0000}"/>
    <cellStyle name="Normal 2 2 2 4 2 7 4 10" xfId="20243" xr:uid="{00000000-0005-0000-0000-0000134F0000}"/>
    <cellStyle name="Normal 2 2 2 4 2 7 4 2" xfId="20244" xr:uid="{00000000-0005-0000-0000-0000144F0000}"/>
    <cellStyle name="Normal 2 2 2 4 2 7 4 3" xfId="20245" xr:uid="{00000000-0005-0000-0000-0000154F0000}"/>
    <cellStyle name="Normal 2 2 2 4 2 7 4 4" xfId="20246" xr:uid="{00000000-0005-0000-0000-0000164F0000}"/>
    <cellStyle name="Normal 2 2 2 4 2 7 4 5" xfId="20247" xr:uid="{00000000-0005-0000-0000-0000174F0000}"/>
    <cellStyle name="Normal 2 2 2 4 2 7 4 6" xfId="20248" xr:uid="{00000000-0005-0000-0000-0000184F0000}"/>
    <cellStyle name="Normal 2 2 2 4 2 7 4 7" xfId="20249" xr:uid="{00000000-0005-0000-0000-0000194F0000}"/>
    <cellStyle name="Normal 2 2 2 4 2 7 4 8" xfId="20250" xr:uid="{00000000-0005-0000-0000-00001A4F0000}"/>
    <cellStyle name="Normal 2 2 2 4 2 7 4 9" xfId="20251" xr:uid="{00000000-0005-0000-0000-00001B4F0000}"/>
    <cellStyle name="Normal 2 2 2 4 2 7 5" xfId="20252" xr:uid="{00000000-0005-0000-0000-00001C4F0000}"/>
    <cellStyle name="Normal 2 2 2 4 2 7 5 10" xfId="20253" xr:uid="{00000000-0005-0000-0000-00001D4F0000}"/>
    <cellStyle name="Normal 2 2 2 4 2 7 5 2" xfId="20254" xr:uid="{00000000-0005-0000-0000-00001E4F0000}"/>
    <cellStyle name="Normal 2 2 2 4 2 7 5 3" xfId="20255" xr:uid="{00000000-0005-0000-0000-00001F4F0000}"/>
    <cellStyle name="Normal 2 2 2 4 2 7 5 4" xfId="20256" xr:uid="{00000000-0005-0000-0000-0000204F0000}"/>
    <cellStyle name="Normal 2 2 2 4 2 7 5 5" xfId="20257" xr:uid="{00000000-0005-0000-0000-0000214F0000}"/>
    <cellStyle name="Normal 2 2 2 4 2 7 5 6" xfId="20258" xr:uid="{00000000-0005-0000-0000-0000224F0000}"/>
    <cellStyle name="Normal 2 2 2 4 2 7 5 7" xfId="20259" xr:uid="{00000000-0005-0000-0000-0000234F0000}"/>
    <cellStyle name="Normal 2 2 2 4 2 7 5 8" xfId="20260" xr:uid="{00000000-0005-0000-0000-0000244F0000}"/>
    <cellStyle name="Normal 2 2 2 4 2 7 5 9" xfId="20261" xr:uid="{00000000-0005-0000-0000-0000254F0000}"/>
    <cellStyle name="Normal 2 2 2 4 2 7 6" xfId="20262" xr:uid="{00000000-0005-0000-0000-0000264F0000}"/>
    <cellStyle name="Normal 2 2 2 4 2 7 7" xfId="20263" xr:uid="{00000000-0005-0000-0000-0000274F0000}"/>
    <cellStyle name="Normal 2 2 2 4 2 7 8" xfId="20264" xr:uid="{00000000-0005-0000-0000-0000284F0000}"/>
    <cellStyle name="Normal 2 2 2 4 2 7 9" xfId="20265" xr:uid="{00000000-0005-0000-0000-0000294F0000}"/>
    <cellStyle name="Normal 2 2 2 4 2 8" xfId="20266" xr:uid="{00000000-0005-0000-0000-00002A4F0000}"/>
    <cellStyle name="Normal 2 2 2 4 2 8 10" xfId="20267" xr:uid="{00000000-0005-0000-0000-00002B4F0000}"/>
    <cellStyle name="Normal 2 2 2 4 2 8 11" xfId="20268" xr:uid="{00000000-0005-0000-0000-00002C4F0000}"/>
    <cellStyle name="Normal 2 2 2 4 2 8 12" xfId="20269" xr:uid="{00000000-0005-0000-0000-00002D4F0000}"/>
    <cellStyle name="Normal 2 2 2 4 2 8 13" xfId="20270" xr:uid="{00000000-0005-0000-0000-00002E4F0000}"/>
    <cellStyle name="Normal 2 2 2 4 2 8 14" xfId="20271" xr:uid="{00000000-0005-0000-0000-00002F4F0000}"/>
    <cellStyle name="Normal 2 2 2 4 2 8 2" xfId="20272" xr:uid="{00000000-0005-0000-0000-0000304F0000}"/>
    <cellStyle name="Normal 2 2 2 4 2 8 2 10" xfId="20273" xr:uid="{00000000-0005-0000-0000-0000314F0000}"/>
    <cellStyle name="Normal 2 2 2 4 2 8 2 2" xfId="20274" xr:uid="{00000000-0005-0000-0000-0000324F0000}"/>
    <cellStyle name="Normal 2 2 2 4 2 8 2 3" xfId="20275" xr:uid="{00000000-0005-0000-0000-0000334F0000}"/>
    <cellStyle name="Normal 2 2 2 4 2 8 2 4" xfId="20276" xr:uid="{00000000-0005-0000-0000-0000344F0000}"/>
    <cellStyle name="Normal 2 2 2 4 2 8 2 5" xfId="20277" xr:uid="{00000000-0005-0000-0000-0000354F0000}"/>
    <cellStyle name="Normal 2 2 2 4 2 8 2 6" xfId="20278" xr:uid="{00000000-0005-0000-0000-0000364F0000}"/>
    <cellStyle name="Normal 2 2 2 4 2 8 2 7" xfId="20279" xr:uid="{00000000-0005-0000-0000-0000374F0000}"/>
    <cellStyle name="Normal 2 2 2 4 2 8 2 8" xfId="20280" xr:uid="{00000000-0005-0000-0000-0000384F0000}"/>
    <cellStyle name="Normal 2 2 2 4 2 8 2 9" xfId="20281" xr:uid="{00000000-0005-0000-0000-0000394F0000}"/>
    <cellStyle name="Normal 2 2 2 4 2 8 3" xfId="20282" xr:uid="{00000000-0005-0000-0000-00003A4F0000}"/>
    <cellStyle name="Normal 2 2 2 4 2 8 3 10" xfId="20283" xr:uid="{00000000-0005-0000-0000-00003B4F0000}"/>
    <cellStyle name="Normal 2 2 2 4 2 8 3 2" xfId="20284" xr:uid="{00000000-0005-0000-0000-00003C4F0000}"/>
    <cellStyle name="Normal 2 2 2 4 2 8 3 3" xfId="20285" xr:uid="{00000000-0005-0000-0000-00003D4F0000}"/>
    <cellStyle name="Normal 2 2 2 4 2 8 3 4" xfId="20286" xr:uid="{00000000-0005-0000-0000-00003E4F0000}"/>
    <cellStyle name="Normal 2 2 2 4 2 8 3 5" xfId="20287" xr:uid="{00000000-0005-0000-0000-00003F4F0000}"/>
    <cellStyle name="Normal 2 2 2 4 2 8 3 6" xfId="20288" xr:uid="{00000000-0005-0000-0000-0000404F0000}"/>
    <cellStyle name="Normal 2 2 2 4 2 8 3 7" xfId="20289" xr:uid="{00000000-0005-0000-0000-0000414F0000}"/>
    <cellStyle name="Normal 2 2 2 4 2 8 3 8" xfId="20290" xr:uid="{00000000-0005-0000-0000-0000424F0000}"/>
    <cellStyle name="Normal 2 2 2 4 2 8 3 9" xfId="20291" xr:uid="{00000000-0005-0000-0000-0000434F0000}"/>
    <cellStyle name="Normal 2 2 2 4 2 8 4" xfId="20292" xr:uid="{00000000-0005-0000-0000-0000444F0000}"/>
    <cellStyle name="Normal 2 2 2 4 2 8 4 10" xfId="20293" xr:uid="{00000000-0005-0000-0000-0000454F0000}"/>
    <cellStyle name="Normal 2 2 2 4 2 8 4 2" xfId="20294" xr:uid="{00000000-0005-0000-0000-0000464F0000}"/>
    <cellStyle name="Normal 2 2 2 4 2 8 4 3" xfId="20295" xr:uid="{00000000-0005-0000-0000-0000474F0000}"/>
    <cellStyle name="Normal 2 2 2 4 2 8 4 4" xfId="20296" xr:uid="{00000000-0005-0000-0000-0000484F0000}"/>
    <cellStyle name="Normal 2 2 2 4 2 8 4 5" xfId="20297" xr:uid="{00000000-0005-0000-0000-0000494F0000}"/>
    <cellStyle name="Normal 2 2 2 4 2 8 4 6" xfId="20298" xr:uid="{00000000-0005-0000-0000-00004A4F0000}"/>
    <cellStyle name="Normal 2 2 2 4 2 8 4 7" xfId="20299" xr:uid="{00000000-0005-0000-0000-00004B4F0000}"/>
    <cellStyle name="Normal 2 2 2 4 2 8 4 8" xfId="20300" xr:uid="{00000000-0005-0000-0000-00004C4F0000}"/>
    <cellStyle name="Normal 2 2 2 4 2 8 4 9" xfId="20301" xr:uid="{00000000-0005-0000-0000-00004D4F0000}"/>
    <cellStyle name="Normal 2 2 2 4 2 8 5" xfId="20302" xr:uid="{00000000-0005-0000-0000-00004E4F0000}"/>
    <cellStyle name="Normal 2 2 2 4 2 8 5 10" xfId="20303" xr:uid="{00000000-0005-0000-0000-00004F4F0000}"/>
    <cellStyle name="Normal 2 2 2 4 2 8 5 2" xfId="20304" xr:uid="{00000000-0005-0000-0000-0000504F0000}"/>
    <cellStyle name="Normal 2 2 2 4 2 8 5 3" xfId="20305" xr:uid="{00000000-0005-0000-0000-0000514F0000}"/>
    <cellStyle name="Normal 2 2 2 4 2 8 5 4" xfId="20306" xr:uid="{00000000-0005-0000-0000-0000524F0000}"/>
    <cellStyle name="Normal 2 2 2 4 2 8 5 5" xfId="20307" xr:uid="{00000000-0005-0000-0000-0000534F0000}"/>
    <cellStyle name="Normal 2 2 2 4 2 8 5 6" xfId="20308" xr:uid="{00000000-0005-0000-0000-0000544F0000}"/>
    <cellStyle name="Normal 2 2 2 4 2 8 5 7" xfId="20309" xr:uid="{00000000-0005-0000-0000-0000554F0000}"/>
    <cellStyle name="Normal 2 2 2 4 2 8 5 8" xfId="20310" xr:uid="{00000000-0005-0000-0000-0000564F0000}"/>
    <cellStyle name="Normal 2 2 2 4 2 8 5 9" xfId="20311" xr:uid="{00000000-0005-0000-0000-0000574F0000}"/>
    <cellStyle name="Normal 2 2 2 4 2 8 6" xfId="20312" xr:uid="{00000000-0005-0000-0000-0000584F0000}"/>
    <cellStyle name="Normal 2 2 2 4 2 8 7" xfId="20313" xr:uid="{00000000-0005-0000-0000-0000594F0000}"/>
    <cellStyle name="Normal 2 2 2 4 2 8 8" xfId="20314" xr:uid="{00000000-0005-0000-0000-00005A4F0000}"/>
    <cellStyle name="Normal 2 2 2 4 2 8 9" xfId="20315" xr:uid="{00000000-0005-0000-0000-00005B4F0000}"/>
    <cellStyle name="Normal 2 2 2 4 2 9" xfId="20316" xr:uid="{00000000-0005-0000-0000-00005C4F0000}"/>
    <cellStyle name="Normal 2 2 2 4 2 9 10" xfId="20317" xr:uid="{00000000-0005-0000-0000-00005D4F0000}"/>
    <cellStyle name="Normal 2 2 2 4 2 9 11" xfId="20318" xr:uid="{00000000-0005-0000-0000-00005E4F0000}"/>
    <cellStyle name="Normal 2 2 2 4 2 9 12" xfId="20319" xr:uid="{00000000-0005-0000-0000-00005F4F0000}"/>
    <cellStyle name="Normal 2 2 2 4 2 9 13" xfId="20320" xr:uid="{00000000-0005-0000-0000-0000604F0000}"/>
    <cellStyle name="Normal 2 2 2 4 2 9 14" xfId="20321" xr:uid="{00000000-0005-0000-0000-0000614F0000}"/>
    <cellStyle name="Normal 2 2 2 4 2 9 2" xfId="20322" xr:uid="{00000000-0005-0000-0000-0000624F0000}"/>
    <cellStyle name="Normal 2 2 2 4 2 9 2 10" xfId="20323" xr:uid="{00000000-0005-0000-0000-0000634F0000}"/>
    <cellStyle name="Normal 2 2 2 4 2 9 2 2" xfId="20324" xr:uid="{00000000-0005-0000-0000-0000644F0000}"/>
    <cellStyle name="Normal 2 2 2 4 2 9 2 3" xfId="20325" xr:uid="{00000000-0005-0000-0000-0000654F0000}"/>
    <cellStyle name="Normal 2 2 2 4 2 9 2 4" xfId="20326" xr:uid="{00000000-0005-0000-0000-0000664F0000}"/>
    <cellStyle name="Normal 2 2 2 4 2 9 2 5" xfId="20327" xr:uid="{00000000-0005-0000-0000-0000674F0000}"/>
    <cellStyle name="Normal 2 2 2 4 2 9 2 6" xfId="20328" xr:uid="{00000000-0005-0000-0000-0000684F0000}"/>
    <cellStyle name="Normal 2 2 2 4 2 9 2 7" xfId="20329" xr:uid="{00000000-0005-0000-0000-0000694F0000}"/>
    <cellStyle name="Normal 2 2 2 4 2 9 2 8" xfId="20330" xr:uid="{00000000-0005-0000-0000-00006A4F0000}"/>
    <cellStyle name="Normal 2 2 2 4 2 9 2 9" xfId="20331" xr:uid="{00000000-0005-0000-0000-00006B4F0000}"/>
    <cellStyle name="Normal 2 2 2 4 2 9 3" xfId="20332" xr:uid="{00000000-0005-0000-0000-00006C4F0000}"/>
    <cellStyle name="Normal 2 2 2 4 2 9 3 10" xfId="20333" xr:uid="{00000000-0005-0000-0000-00006D4F0000}"/>
    <cellStyle name="Normal 2 2 2 4 2 9 3 2" xfId="20334" xr:uid="{00000000-0005-0000-0000-00006E4F0000}"/>
    <cellStyle name="Normal 2 2 2 4 2 9 3 3" xfId="20335" xr:uid="{00000000-0005-0000-0000-00006F4F0000}"/>
    <cellStyle name="Normal 2 2 2 4 2 9 3 4" xfId="20336" xr:uid="{00000000-0005-0000-0000-0000704F0000}"/>
    <cellStyle name="Normal 2 2 2 4 2 9 3 5" xfId="20337" xr:uid="{00000000-0005-0000-0000-0000714F0000}"/>
    <cellStyle name="Normal 2 2 2 4 2 9 3 6" xfId="20338" xr:uid="{00000000-0005-0000-0000-0000724F0000}"/>
    <cellStyle name="Normal 2 2 2 4 2 9 3 7" xfId="20339" xr:uid="{00000000-0005-0000-0000-0000734F0000}"/>
    <cellStyle name="Normal 2 2 2 4 2 9 3 8" xfId="20340" xr:uid="{00000000-0005-0000-0000-0000744F0000}"/>
    <cellStyle name="Normal 2 2 2 4 2 9 3 9" xfId="20341" xr:uid="{00000000-0005-0000-0000-0000754F0000}"/>
    <cellStyle name="Normal 2 2 2 4 2 9 4" xfId="20342" xr:uid="{00000000-0005-0000-0000-0000764F0000}"/>
    <cellStyle name="Normal 2 2 2 4 2 9 4 10" xfId="20343" xr:uid="{00000000-0005-0000-0000-0000774F0000}"/>
    <cellStyle name="Normal 2 2 2 4 2 9 4 2" xfId="20344" xr:uid="{00000000-0005-0000-0000-0000784F0000}"/>
    <cellStyle name="Normal 2 2 2 4 2 9 4 3" xfId="20345" xr:uid="{00000000-0005-0000-0000-0000794F0000}"/>
    <cellStyle name="Normal 2 2 2 4 2 9 4 4" xfId="20346" xr:uid="{00000000-0005-0000-0000-00007A4F0000}"/>
    <cellStyle name="Normal 2 2 2 4 2 9 4 5" xfId="20347" xr:uid="{00000000-0005-0000-0000-00007B4F0000}"/>
    <cellStyle name="Normal 2 2 2 4 2 9 4 6" xfId="20348" xr:uid="{00000000-0005-0000-0000-00007C4F0000}"/>
    <cellStyle name="Normal 2 2 2 4 2 9 4 7" xfId="20349" xr:uid="{00000000-0005-0000-0000-00007D4F0000}"/>
    <cellStyle name="Normal 2 2 2 4 2 9 4 8" xfId="20350" xr:uid="{00000000-0005-0000-0000-00007E4F0000}"/>
    <cellStyle name="Normal 2 2 2 4 2 9 4 9" xfId="20351" xr:uid="{00000000-0005-0000-0000-00007F4F0000}"/>
    <cellStyle name="Normal 2 2 2 4 2 9 5" xfId="20352" xr:uid="{00000000-0005-0000-0000-0000804F0000}"/>
    <cellStyle name="Normal 2 2 2 4 2 9 5 10" xfId="20353" xr:uid="{00000000-0005-0000-0000-0000814F0000}"/>
    <cellStyle name="Normal 2 2 2 4 2 9 5 2" xfId="20354" xr:uid="{00000000-0005-0000-0000-0000824F0000}"/>
    <cellStyle name="Normal 2 2 2 4 2 9 5 3" xfId="20355" xr:uid="{00000000-0005-0000-0000-0000834F0000}"/>
    <cellStyle name="Normal 2 2 2 4 2 9 5 4" xfId="20356" xr:uid="{00000000-0005-0000-0000-0000844F0000}"/>
    <cellStyle name="Normal 2 2 2 4 2 9 5 5" xfId="20357" xr:uid="{00000000-0005-0000-0000-0000854F0000}"/>
    <cellStyle name="Normal 2 2 2 4 2 9 5 6" xfId="20358" xr:uid="{00000000-0005-0000-0000-0000864F0000}"/>
    <cellStyle name="Normal 2 2 2 4 2 9 5 7" xfId="20359" xr:uid="{00000000-0005-0000-0000-0000874F0000}"/>
    <cellStyle name="Normal 2 2 2 4 2 9 5 8" xfId="20360" xr:uid="{00000000-0005-0000-0000-0000884F0000}"/>
    <cellStyle name="Normal 2 2 2 4 2 9 5 9" xfId="20361" xr:uid="{00000000-0005-0000-0000-0000894F0000}"/>
    <cellStyle name="Normal 2 2 2 4 2 9 6" xfId="20362" xr:uid="{00000000-0005-0000-0000-00008A4F0000}"/>
    <cellStyle name="Normal 2 2 2 4 2 9 7" xfId="20363" xr:uid="{00000000-0005-0000-0000-00008B4F0000}"/>
    <cellStyle name="Normal 2 2 2 4 2 9 8" xfId="20364" xr:uid="{00000000-0005-0000-0000-00008C4F0000}"/>
    <cellStyle name="Normal 2 2 2 4 2 9 9" xfId="20365" xr:uid="{00000000-0005-0000-0000-00008D4F0000}"/>
    <cellStyle name="Normal 2 2 2 4 20" xfId="20366" xr:uid="{00000000-0005-0000-0000-00008E4F0000}"/>
    <cellStyle name="Normal 2 2 2 4 21" xfId="20367" xr:uid="{00000000-0005-0000-0000-00008F4F0000}"/>
    <cellStyle name="Normal 2 2 2 4 22" xfId="20368" xr:uid="{00000000-0005-0000-0000-0000904F0000}"/>
    <cellStyle name="Normal 2 2 2 4 23" xfId="20369" xr:uid="{00000000-0005-0000-0000-0000914F0000}"/>
    <cellStyle name="Normal 2 2 2 4 24" xfId="20370" xr:uid="{00000000-0005-0000-0000-0000924F0000}"/>
    <cellStyle name="Normal 2 2 2 4 25" xfId="20371" xr:uid="{00000000-0005-0000-0000-0000934F0000}"/>
    <cellStyle name="Normal 2 2 2 4 26" xfId="20372" xr:uid="{00000000-0005-0000-0000-0000944F0000}"/>
    <cellStyle name="Normal 2 2 2 4 27" xfId="20373" xr:uid="{00000000-0005-0000-0000-0000954F0000}"/>
    <cellStyle name="Normal 2 2 2 4 28" xfId="20374" xr:uid="{00000000-0005-0000-0000-0000964F0000}"/>
    <cellStyle name="Normal 2 2 2 4 29" xfId="20375" xr:uid="{00000000-0005-0000-0000-0000974F0000}"/>
    <cellStyle name="Normal 2 2 2 4 3" xfId="20376" xr:uid="{00000000-0005-0000-0000-0000984F0000}"/>
    <cellStyle name="Normal 2 2 2 4 3 2" xfId="20377" xr:uid="{00000000-0005-0000-0000-0000994F0000}"/>
    <cellStyle name="Normal 2 2 2 4 3 3" xfId="20378" xr:uid="{00000000-0005-0000-0000-00009A4F0000}"/>
    <cellStyle name="Normal 2 2 2 4 30" xfId="20379" xr:uid="{00000000-0005-0000-0000-00009B4F0000}"/>
    <cellStyle name="Normal 2 2 2 4 31" xfId="20380" xr:uid="{00000000-0005-0000-0000-00009C4F0000}"/>
    <cellStyle name="Normal 2 2 2 4 32" xfId="20381" xr:uid="{00000000-0005-0000-0000-00009D4F0000}"/>
    <cellStyle name="Normal 2 2 2 4 33" xfId="20382" xr:uid="{00000000-0005-0000-0000-00009E4F0000}"/>
    <cellStyle name="Normal 2 2 2 4 34" xfId="20383" xr:uid="{00000000-0005-0000-0000-00009F4F0000}"/>
    <cellStyle name="Normal 2 2 2 4 34 10" xfId="20384" xr:uid="{00000000-0005-0000-0000-0000A04F0000}"/>
    <cellStyle name="Normal 2 2 2 4 34 2" xfId="20385" xr:uid="{00000000-0005-0000-0000-0000A14F0000}"/>
    <cellStyle name="Normal 2 2 2 4 34 3" xfId="20386" xr:uid="{00000000-0005-0000-0000-0000A24F0000}"/>
    <cellStyle name="Normal 2 2 2 4 34 4" xfId="20387" xr:uid="{00000000-0005-0000-0000-0000A34F0000}"/>
    <cellStyle name="Normal 2 2 2 4 34 5" xfId="20388" xr:uid="{00000000-0005-0000-0000-0000A44F0000}"/>
    <cellStyle name="Normal 2 2 2 4 34 6" xfId="20389" xr:uid="{00000000-0005-0000-0000-0000A54F0000}"/>
    <cellStyle name="Normal 2 2 2 4 34 7" xfId="20390" xr:uid="{00000000-0005-0000-0000-0000A64F0000}"/>
    <cellStyle name="Normal 2 2 2 4 34 8" xfId="20391" xr:uid="{00000000-0005-0000-0000-0000A74F0000}"/>
    <cellStyle name="Normal 2 2 2 4 34 9" xfId="20392" xr:uid="{00000000-0005-0000-0000-0000A84F0000}"/>
    <cellStyle name="Normal 2 2 2 4 35" xfId="20393" xr:uid="{00000000-0005-0000-0000-0000A94F0000}"/>
    <cellStyle name="Normal 2 2 2 4 35 10" xfId="20394" xr:uid="{00000000-0005-0000-0000-0000AA4F0000}"/>
    <cellStyle name="Normal 2 2 2 4 35 2" xfId="20395" xr:uid="{00000000-0005-0000-0000-0000AB4F0000}"/>
    <cellStyle name="Normal 2 2 2 4 35 3" xfId="20396" xr:uid="{00000000-0005-0000-0000-0000AC4F0000}"/>
    <cellStyle name="Normal 2 2 2 4 35 4" xfId="20397" xr:uid="{00000000-0005-0000-0000-0000AD4F0000}"/>
    <cellStyle name="Normal 2 2 2 4 35 5" xfId="20398" xr:uid="{00000000-0005-0000-0000-0000AE4F0000}"/>
    <cellStyle name="Normal 2 2 2 4 35 6" xfId="20399" xr:uid="{00000000-0005-0000-0000-0000AF4F0000}"/>
    <cellStyle name="Normal 2 2 2 4 35 7" xfId="20400" xr:uid="{00000000-0005-0000-0000-0000B04F0000}"/>
    <cellStyle name="Normal 2 2 2 4 35 8" xfId="20401" xr:uid="{00000000-0005-0000-0000-0000B14F0000}"/>
    <cellStyle name="Normal 2 2 2 4 35 9" xfId="20402" xr:uid="{00000000-0005-0000-0000-0000B24F0000}"/>
    <cellStyle name="Normal 2 2 2 4 36" xfId="20403" xr:uid="{00000000-0005-0000-0000-0000B34F0000}"/>
    <cellStyle name="Normal 2 2 2 4 36 10" xfId="20404" xr:uid="{00000000-0005-0000-0000-0000B44F0000}"/>
    <cellStyle name="Normal 2 2 2 4 36 2" xfId="20405" xr:uid="{00000000-0005-0000-0000-0000B54F0000}"/>
    <cellStyle name="Normal 2 2 2 4 36 3" xfId="20406" xr:uid="{00000000-0005-0000-0000-0000B64F0000}"/>
    <cellStyle name="Normal 2 2 2 4 36 4" xfId="20407" xr:uid="{00000000-0005-0000-0000-0000B74F0000}"/>
    <cellStyle name="Normal 2 2 2 4 36 5" xfId="20408" xr:uid="{00000000-0005-0000-0000-0000B84F0000}"/>
    <cellStyle name="Normal 2 2 2 4 36 6" xfId="20409" xr:uid="{00000000-0005-0000-0000-0000B94F0000}"/>
    <cellStyle name="Normal 2 2 2 4 36 7" xfId="20410" xr:uid="{00000000-0005-0000-0000-0000BA4F0000}"/>
    <cellStyle name="Normal 2 2 2 4 36 8" xfId="20411" xr:uid="{00000000-0005-0000-0000-0000BB4F0000}"/>
    <cellStyle name="Normal 2 2 2 4 36 9" xfId="20412" xr:uid="{00000000-0005-0000-0000-0000BC4F0000}"/>
    <cellStyle name="Normal 2 2 2 4 37" xfId="20413" xr:uid="{00000000-0005-0000-0000-0000BD4F0000}"/>
    <cellStyle name="Normal 2 2 2 4 37 10" xfId="20414" xr:uid="{00000000-0005-0000-0000-0000BE4F0000}"/>
    <cellStyle name="Normal 2 2 2 4 37 2" xfId="20415" xr:uid="{00000000-0005-0000-0000-0000BF4F0000}"/>
    <cellStyle name="Normal 2 2 2 4 37 3" xfId="20416" xr:uid="{00000000-0005-0000-0000-0000C04F0000}"/>
    <cellStyle name="Normal 2 2 2 4 37 4" xfId="20417" xr:uid="{00000000-0005-0000-0000-0000C14F0000}"/>
    <cellStyle name="Normal 2 2 2 4 37 5" xfId="20418" xr:uid="{00000000-0005-0000-0000-0000C24F0000}"/>
    <cellStyle name="Normal 2 2 2 4 37 6" xfId="20419" xr:uid="{00000000-0005-0000-0000-0000C34F0000}"/>
    <cellStyle name="Normal 2 2 2 4 37 7" xfId="20420" xr:uid="{00000000-0005-0000-0000-0000C44F0000}"/>
    <cellStyle name="Normal 2 2 2 4 37 8" xfId="20421" xr:uid="{00000000-0005-0000-0000-0000C54F0000}"/>
    <cellStyle name="Normal 2 2 2 4 37 9" xfId="20422" xr:uid="{00000000-0005-0000-0000-0000C64F0000}"/>
    <cellStyle name="Normal 2 2 2 4 38" xfId="20423" xr:uid="{00000000-0005-0000-0000-0000C74F0000}"/>
    <cellStyle name="Normal 2 2 2 4 39" xfId="20424" xr:uid="{00000000-0005-0000-0000-0000C84F0000}"/>
    <cellStyle name="Normal 2 2 2 4 4" xfId="20425" xr:uid="{00000000-0005-0000-0000-0000C94F0000}"/>
    <cellStyle name="Normal 2 2 2 4 40" xfId="20426" xr:uid="{00000000-0005-0000-0000-0000CA4F0000}"/>
    <cellStyle name="Normal 2 2 2 4 41" xfId="20427" xr:uid="{00000000-0005-0000-0000-0000CB4F0000}"/>
    <cellStyle name="Normal 2 2 2 4 42" xfId="20428" xr:uid="{00000000-0005-0000-0000-0000CC4F0000}"/>
    <cellStyle name="Normal 2 2 2 4 43" xfId="20429" xr:uid="{00000000-0005-0000-0000-0000CD4F0000}"/>
    <cellStyle name="Normal 2 2 2 4 44" xfId="20430" xr:uid="{00000000-0005-0000-0000-0000CE4F0000}"/>
    <cellStyle name="Normal 2 2 2 4 45" xfId="20431" xr:uid="{00000000-0005-0000-0000-0000CF4F0000}"/>
    <cellStyle name="Normal 2 2 2 4 46" xfId="20432" xr:uid="{00000000-0005-0000-0000-0000D04F0000}"/>
    <cellStyle name="Normal 2 2 2 4 47" xfId="20433" xr:uid="{00000000-0005-0000-0000-0000D14F0000}"/>
    <cellStyle name="Normal 2 2 2 4 48" xfId="20434" xr:uid="{00000000-0005-0000-0000-0000D24F0000}"/>
    <cellStyle name="Normal 2 2 2 4 5" xfId="20435" xr:uid="{00000000-0005-0000-0000-0000D34F0000}"/>
    <cellStyle name="Normal 2 2 2 4 6" xfId="20436" xr:uid="{00000000-0005-0000-0000-0000D44F0000}"/>
    <cellStyle name="Normal 2 2 2 4 7" xfId="20437" xr:uid="{00000000-0005-0000-0000-0000D54F0000}"/>
    <cellStyle name="Normal 2 2 2 4 8" xfId="20438" xr:uid="{00000000-0005-0000-0000-0000D64F0000}"/>
    <cellStyle name="Normal 2 2 2 4 9" xfId="20439" xr:uid="{00000000-0005-0000-0000-0000D74F0000}"/>
    <cellStyle name="Normal 2 2 2 40" xfId="20440" xr:uid="{00000000-0005-0000-0000-0000D84F0000}"/>
    <cellStyle name="Normal 2 2 2 40 10" xfId="20441" xr:uid="{00000000-0005-0000-0000-0000D94F0000}"/>
    <cellStyle name="Normal 2 2 2 40 2" xfId="20442" xr:uid="{00000000-0005-0000-0000-0000DA4F0000}"/>
    <cellStyle name="Normal 2 2 2 40 3" xfId="20443" xr:uid="{00000000-0005-0000-0000-0000DB4F0000}"/>
    <cellStyle name="Normal 2 2 2 40 4" xfId="20444" xr:uid="{00000000-0005-0000-0000-0000DC4F0000}"/>
    <cellStyle name="Normal 2 2 2 40 5" xfId="20445" xr:uid="{00000000-0005-0000-0000-0000DD4F0000}"/>
    <cellStyle name="Normal 2 2 2 40 6" xfId="20446" xr:uid="{00000000-0005-0000-0000-0000DE4F0000}"/>
    <cellStyle name="Normal 2 2 2 40 7" xfId="20447" xr:uid="{00000000-0005-0000-0000-0000DF4F0000}"/>
    <cellStyle name="Normal 2 2 2 40 8" xfId="20448" xr:uid="{00000000-0005-0000-0000-0000E04F0000}"/>
    <cellStyle name="Normal 2 2 2 40 9" xfId="20449" xr:uid="{00000000-0005-0000-0000-0000E14F0000}"/>
    <cellStyle name="Normal 2 2 2 41" xfId="20450" xr:uid="{00000000-0005-0000-0000-0000E24F0000}"/>
    <cellStyle name="Normal 2 2 2 42" xfId="20451" xr:uid="{00000000-0005-0000-0000-0000E34F0000}"/>
    <cellStyle name="Normal 2 2 2 43" xfId="20452" xr:uid="{00000000-0005-0000-0000-0000E44F0000}"/>
    <cellStyle name="Normal 2 2 2 44" xfId="20453" xr:uid="{00000000-0005-0000-0000-0000E54F0000}"/>
    <cellStyle name="Normal 2 2 2 45" xfId="20454" xr:uid="{00000000-0005-0000-0000-0000E64F0000}"/>
    <cellStyle name="Normal 2 2 2 46" xfId="20455" xr:uid="{00000000-0005-0000-0000-0000E74F0000}"/>
    <cellStyle name="Normal 2 2 2 47" xfId="20456" xr:uid="{00000000-0005-0000-0000-0000E84F0000}"/>
    <cellStyle name="Normal 2 2 2 48" xfId="20457" xr:uid="{00000000-0005-0000-0000-0000E94F0000}"/>
    <cellStyle name="Normal 2 2 2 49" xfId="20458" xr:uid="{00000000-0005-0000-0000-0000EA4F0000}"/>
    <cellStyle name="Normal 2 2 2 5" xfId="20459" xr:uid="{00000000-0005-0000-0000-0000EB4F0000}"/>
    <cellStyle name="Normal 2 2 2 5 10" xfId="20460" xr:uid="{00000000-0005-0000-0000-0000EC4F0000}"/>
    <cellStyle name="Normal 2 2 2 5 11" xfId="20461" xr:uid="{00000000-0005-0000-0000-0000ED4F0000}"/>
    <cellStyle name="Normal 2 2 2 5 12" xfId="20462" xr:uid="{00000000-0005-0000-0000-0000EE4F0000}"/>
    <cellStyle name="Normal 2 2 2 5 13" xfId="20463" xr:uid="{00000000-0005-0000-0000-0000EF4F0000}"/>
    <cellStyle name="Normal 2 2 2 5 14" xfId="20464" xr:uid="{00000000-0005-0000-0000-0000F04F0000}"/>
    <cellStyle name="Normal 2 2 2 5 15" xfId="20465" xr:uid="{00000000-0005-0000-0000-0000F14F0000}"/>
    <cellStyle name="Normal 2 2 2 5 16" xfId="20466" xr:uid="{00000000-0005-0000-0000-0000F24F0000}"/>
    <cellStyle name="Normal 2 2 2 5 17" xfId="20467" xr:uid="{00000000-0005-0000-0000-0000F34F0000}"/>
    <cellStyle name="Normal 2 2 2 5 18" xfId="20468" xr:uid="{00000000-0005-0000-0000-0000F44F0000}"/>
    <cellStyle name="Normal 2 2 2 5 19" xfId="20469" xr:uid="{00000000-0005-0000-0000-0000F54F0000}"/>
    <cellStyle name="Normal 2 2 2 5 2" xfId="20470" xr:uid="{00000000-0005-0000-0000-0000F64F0000}"/>
    <cellStyle name="Normal 2 2 2 5 2 10" xfId="20471" xr:uid="{00000000-0005-0000-0000-0000F74F0000}"/>
    <cellStyle name="Normal 2 2 2 5 2 10 10" xfId="20472" xr:uid="{00000000-0005-0000-0000-0000F84F0000}"/>
    <cellStyle name="Normal 2 2 2 5 2 10 11" xfId="20473" xr:uid="{00000000-0005-0000-0000-0000F94F0000}"/>
    <cellStyle name="Normal 2 2 2 5 2 10 12" xfId="20474" xr:uid="{00000000-0005-0000-0000-0000FA4F0000}"/>
    <cellStyle name="Normal 2 2 2 5 2 10 13" xfId="20475" xr:uid="{00000000-0005-0000-0000-0000FB4F0000}"/>
    <cellStyle name="Normal 2 2 2 5 2 10 14" xfId="20476" xr:uid="{00000000-0005-0000-0000-0000FC4F0000}"/>
    <cellStyle name="Normal 2 2 2 5 2 10 2" xfId="20477" xr:uid="{00000000-0005-0000-0000-0000FD4F0000}"/>
    <cellStyle name="Normal 2 2 2 5 2 10 2 10" xfId="20478" xr:uid="{00000000-0005-0000-0000-0000FE4F0000}"/>
    <cellStyle name="Normal 2 2 2 5 2 10 2 2" xfId="20479" xr:uid="{00000000-0005-0000-0000-0000FF4F0000}"/>
    <cellStyle name="Normal 2 2 2 5 2 10 2 3" xfId="20480" xr:uid="{00000000-0005-0000-0000-000000500000}"/>
    <cellStyle name="Normal 2 2 2 5 2 10 2 4" xfId="20481" xr:uid="{00000000-0005-0000-0000-000001500000}"/>
    <cellStyle name="Normal 2 2 2 5 2 10 2 5" xfId="20482" xr:uid="{00000000-0005-0000-0000-000002500000}"/>
    <cellStyle name="Normal 2 2 2 5 2 10 2 6" xfId="20483" xr:uid="{00000000-0005-0000-0000-000003500000}"/>
    <cellStyle name="Normal 2 2 2 5 2 10 2 7" xfId="20484" xr:uid="{00000000-0005-0000-0000-000004500000}"/>
    <cellStyle name="Normal 2 2 2 5 2 10 2 8" xfId="20485" xr:uid="{00000000-0005-0000-0000-000005500000}"/>
    <cellStyle name="Normal 2 2 2 5 2 10 2 9" xfId="20486" xr:uid="{00000000-0005-0000-0000-000006500000}"/>
    <cellStyle name="Normal 2 2 2 5 2 10 3" xfId="20487" xr:uid="{00000000-0005-0000-0000-000007500000}"/>
    <cellStyle name="Normal 2 2 2 5 2 10 3 10" xfId="20488" xr:uid="{00000000-0005-0000-0000-000008500000}"/>
    <cellStyle name="Normal 2 2 2 5 2 10 3 2" xfId="20489" xr:uid="{00000000-0005-0000-0000-000009500000}"/>
    <cellStyle name="Normal 2 2 2 5 2 10 3 3" xfId="20490" xr:uid="{00000000-0005-0000-0000-00000A500000}"/>
    <cellStyle name="Normal 2 2 2 5 2 10 3 4" xfId="20491" xr:uid="{00000000-0005-0000-0000-00000B500000}"/>
    <cellStyle name="Normal 2 2 2 5 2 10 3 5" xfId="20492" xr:uid="{00000000-0005-0000-0000-00000C500000}"/>
    <cellStyle name="Normal 2 2 2 5 2 10 3 6" xfId="20493" xr:uid="{00000000-0005-0000-0000-00000D500000}"/>
    <cellStyle name="Normal 2 2 2 5 2 10 3 7" xfId="20494" xr:uid="{00000000-0005-0000-0000-00000E500000}"/>
    <cellStyle name="Normal 2 2 2 5 2 10 3 8" xfId="20495" xr:uid="{00000000-0005-0000-0000-00000F500000}"/>
    <cellStyle name="Normal 2 2 2 5 2 10 3 9" xfId="20496" xr:uid="{00000000-0005-0000-0000-000010500000}"/>
    <cellStyle name="Normal 2 2 2 5 2 10 4" xfId="20497" xr:uid="{00000000-0005-0000-0000-000011500000}"/>
    <cellStyle name="Normal 2 2 2 5 2 10 4 10" xfId="20498" xr:uid="{00000000-0005-0000-0000-000012500000}"/>
    <cellStyle name="Normal 2 2 2 5 2 10 4 2" xfId="20499" xr:uid="{00000000-0005-0000-0000-000013500000}"/>
    <cellStyle name="Normal 2 2 2 5 2 10 4 3" xfId="20500" xr:uid="{00000000-0005-0000-0000-000014500000}"/>
    <cellStyle name="Normal 2 2 2 5 2 10 4 4" xfId="20501" xr:uid="{00000000-0005-0000-0000-000015500000}"/>
    <cellStyle name="Normal 2 2 2 5 2 10 4 5" xfId="20502" xr:uid="{00000000-0005-0000-0000-000016500000}"/>
    <cellStyle name="Normal 2 2 2 5 2 10 4 6" xfId="20503" xr:uid="{00000000-0005-0000-0000-000017500000}"/>
    <cellStyle name="Normal 2 2 2 5 2 10 4 7" xfId="20504" xr:uid="{00000000-0005-0000-0000-000018500000}"/>
    <cellStyle name="Normal 2 2 2 5 2 10 4 8" xfId="20505" xr:uid="{00000000-0005-0000-0000-000019500000}"/>
    <cellStyle name="Normal 2 2 2 5 2 10 4 9" xfId="20506" xr:uid="{00000000-0005-0000-0000-00001A500000}"/>
    <cellStyle name="Normal 2 2 2 5 2 10 5" xfId="20507" xr:uid="{00000000-0005-0000-0000-00001B500000}"/>
    <cellStyle name="Normal 2 2 2 5 2 10 5 10" xfId="20508" xr:uid="{00000000-0005-0000-0000-00001C500000}"/>
    <cellStyle name="Normal 2 2 2 5 2 10 5 2" xfId="20509" xr:uid="{00000000-0005-0000-0000-00001D500000}"/>
    <cellStyle name="Normal 2 2 2 5 2 10 5 3" xfId="20510" xr:uid="{00000000-0005-0000-0000-00001E500000}"/>
    <cellStyle name="Normal 2 2 2 5 2 10 5 4" xfId="20511" xr:uid="{00000000-0005-0000-0000-00001F500000}"/>
    <cellStyle name="Normal 2 2 2 5 2 10 5 5" xfId="20512" xr:uid="{00000000-0005-0000-0000-000020500000}"/>
    <cellStyle name="Normal 2 2 2 5 2 10 5 6" xfId="20513" xr:uid="{00000000-0005-0000-0000-000021500000}"/>
    <cellStyle name="Normal 2 2 2 5 2 10 5 7" xfId="20514" xr:uid="{00000000-0005-0000-0000-000022500000}"/>
    <cellStyle name="Normal 2 2 2 5 2 10 5 8" xfId="20515" xr:uid="{00000000-0005-0000-0000-000023500000}"/>
    <cellStyle name="Normal 2 2 2 5 2 10 5 9" xfId="20516" xr:uid="{00000000-0005-0000-0000-000024500000}"/>
    <cellStyle name="Normal 2 2 2 5 2 10 6" xfId="20517" xr:uid="{00000000-0005-0000-0000-000025500000}"/>
    <cellStyle name="Normal 2 2 2 5 2 10 7" xfId="20518" xr:uid="{00000000-0005-0000-0000-000026500000}"/>
    <cellStyle name="Normal 2 2 2 5 2 10 8" xfId="20519" xr:uid="{00000000-0005-0000-0000-000027500000}"/>
    <cellStyle name="Normal 2 2 2 5 2 10 9" xfId="20520" xr:uid="{00000000-0005-0000-0000-000028500000}"/>
    <cellStyle name="Normal 2 2 2 5 2 11" xfId="20521" xr:uid="{00000000-0005-0000-0000-000029500000}"/>
    <cellStyle name="Normal 2 2 2 5 2 11 10" xfId="20522" xr:uid="{00000000-0005-0000-0000-00002A500000}"/>
    <cellStyle name="Normal 2 2 2 5 2 11 11" xfId="20523" xr:uid="{00000000-0005-0000-0000-00002B500000}"/>
    <cellStyle name="Normal 2 2 2 5 2 11 12" xfId="20524" xr:uid="{00000000-0005-0000-0000-00002C500000}"/>
    <cellStyle name="Normal 2 2 2 5 2 11 13" xfId="20525" xr:uid="{00000000-0005-0000-0000-00002D500000}"/>
    <cellStyle name="Normal 2 2 2 5 2 11 14" xfId="20526" xr:uid="{00000000-0005-0000-0000-00002E500000}"/>
    <cellStyle name="Normal 2 2 2 5 2 11 2" xfId="20527" xr:uid="{00000000-0005-0000-0000-00002F500000}"/>
    <cellStyle name="Normal 2 2 2 5 2 11 2 10" xfId="20528" xr:uid="{00000000-0005-0000-0000-000030500000}"/>
    <cellStyle name="Normal 2 2 2 5 2 11 2 2" xfId="20529" xr:uid="{00000000-0005-0000-0000-000031500000}"/>
    <cellStyle name="Normal 2 2 2 5 2 11 2 3" xfId="20530" xr:uid="{00000000-0005-0000-0000-000032500000}"/>
    <cellStyle name="Normal 2 2 2 5 2 11 2 4" xfId="20531" xr:uid="{00000000-0005-0000-0000-000033500000}"/>
    <cellStyle name="Normal 2 2 2 5 2 11 2 5" xfId="20532" xr:uid="{00000000-0005-0000-0000-000034500000}"/>
    <cellStyle name="Normal 2 2 2 5 2 11 2 6" xfId="20533" xr:uid="{00000000-0005-0000-0000-000035500000}"/>
    <cellStyle name="Normal 2 2 2 5 2 11 2 7" xfId="20534" xr:uid="{00000000-0005-0000-0000-000036500000}"/>
    <cellStyle name="Normal 2 2 2 5 2 11 2 8" xfId="20535" xr:uid="{00000000-0005-0000-0000-000037500000}"/>
    <cellStyle name="Normal 2 2 2 5 2 11 2 9" xfId="20536" xr:uid="{00000000-0005-0000-0000-000038500000}"/>
    <cellStyle name="Normal 2 2 2 5 2 11 3" xfId="20537" xr:uid="{00000000-0005-0000-0000-000039500000}"/>
    <cellStyle name="Normal 2 2 2 5 2 11 3 10" xfId="20538" xr:uid="{00000000-0005-0000-0000-00003A500000}"/>
    <cellStyle name="Normal 2 2 2 5 2 11 3 2" xfId="20539" xr:uid="{00000000-0005-0000-0000-00003B500000}"/>
    <cellStyle name="Normal 2 2 2 5 2 11 3 3" xfId="20540" xr:uid="{00000000-0005-0000-0000-00003C500000}"/>
    <cellStyle name="Normal 2 2 2 5 2 11 3 4" xfId="20541" xr:uid="{00000000-0005-0000-0000-00003D500000}"/>
    <cellStyle name="Normal 2 2 2 5 2 11 3 5" xfId="20542" xr:uid="{00000000-0005-0000-0000-00003E500000}"/>
    <cellStyle name="Normal 2 2 2 5 2 11 3 6" xfId="20543" xr:uid="{00000000-0005-0000-0000-00003F500000}"/>
    <cellStyle name="Normal 2 2 2 5 2 11 3 7" xfId="20544" xr:uid="{00000000-0005-0000-0000-000040500000}"/>
    <cellStyle name="Normal 2 2 2 5 2 11 3 8" xfId="20545" xr:uid="{00000000-0005-0000-0000-000041500000}"/>
    <cellStyle name="Normal 2 2 2 5 2 11 3 9" xfId="20546" xr:uid="{00000000-0005-0000-0000-000042500000}"/>
    <cellStyle name="Normal 2 2 2 5 2 11 4" xfId="20547" xr:uid="{00000000-0005-0000-0000-000043500000}"/>
    <cellStyle name="Normal 2 2 2 5 2 11 4 10" xfId="20548" xr:uid="{00000000-0005-0000-0000-000044500000}"/>
    <cellStyle name="Normal 2 2 2 5 2 11 4 2" xfId="20549" xr:uid="{00000000-0005-0000-0000-000045500000}"/>
    <cellStyle name="Normal 2 2 2 5 2 11 4 3" xfId="20550" xr:uid="{00000000-0005-0000-0000-000046500000}"/>
    <cellStyle name="Normal 2 2 2 5 2 11 4 4" xfId="20551" xr:uid="{00000000-0005-0000-0000-000047500000}"/>
    <cellStyle name="Normal 2 2 2 5 2 11 4 5" xfId="20552" xr:uid="{00000000-0005-0000-0000-000048500000}"/>
    <cellStyle name="Normal 2 2 2 5 2 11 4 6" xfId="20553" xr:uid="{00000000-0005-0000-0000-000049500000}"/>
    <cellStyle name="Normal 2 2 2 5 2 11 4 7" xfId="20554" xr:uid="{00000000-0005-0000-0000-00004A500000}"/>
    <cellStyle name="Normal 2 2 2 5 2 11 4 8" xfId="20555" xr:uid="{00000000-0005-0000-0000-00004B500000}"/>
    <cellStyle name="Normal 2 2 2 5 2 11 4 9" xfId="20556" xr:uid="{00000000-0005-0000-0000-00004C500000}"/>
    <cellStyle name="Normal 2 2 2 5 2 11 5" xfId="20557" xr:uid="{00000000-0005-0000-0000-00004D500000}"/>
    <cellStyle name="Normal 2 2 2 5 2 11 5 10" xfId="20558" xr:uid="{00000000-0005-0000-0000-00004E500000}"/>
    <cellStyle name="Normal 2 2 2 5 2 11 5 2" xfId="20559" xr:uid="{00000000-0005-0000-0000-00004F500000}"/>
    <cellStyle name="Normal 2 2 2 5 2 11 5 3" xfId="20560" xr:uid="{00000000-0005-0000-0000-000050500000}"/>
    <cellStyle name="Normal 2 2 2 5 2 11 5 4" xfId="20561" xr:uid="{00000000-0005-0000-0000-000051500000}"/>
    <cellStyle name="Normal 2 2 2 5 2 11 5 5" xfId="20562" xr:uid="{00000000-0005-0000-0000-000052500000}"/>
    <cellStyle name="Normal 2 2 2 5 2 11 5 6" xfId="20563" xr:uid="{00000000-0005-0000-0000-000053500000}"/>
    <cellStyle name="Normal 2 2 2 5 2 11 5 7" xfId="20564" xr:uid="{00000000-0005-0000-0000-000054500000}"/>
    <cellStyle name="Normal 2 2 2 5 2 11 5 8" xfId="20565" xr:uid="{00000000-0005-0000-0000-000055500000}"/>
    <cellStyle name="Normal 2 2 2 5 2 11 5 9" xfId="20566" xr:uid="{00000000-0005-0000-0000-000056500000}"/>
    <cellStyle name="Normal 2 2 2 5 2 11 6" xfId="20567" xr:uid="{00000000-0005-0000-0000-000057500000}"/>
    <cellStyle name="Normal 2 2 2 5 2 11 7" xfId="20568" xr:uid="{00000000-0005-0000-0000-000058500000}"/>
    <cellStyle name="Normal 2 2 2 5 2 11 8" xfId="20569" xr:uid="{00000000-0005-0000-0000-000059500000}"/>
    <cellStyle name="Normal 2 2 2 5 2 11 9" xfId="20570" xr:uid="{00000000-0005-0000-0000-00005A500000}"/>
    <cellStyle name="Normal 2 2 2 5 2 12" xfId="20571" xr:uid="{00000000-0005-0000-0000-00005B500000}"/>
    <cellStyle name="Normal 2 2 2 5 2 12 10" xfId="20572" xr:uid="{00000000-0005-0000-0000-00005C500000}"/>
    <cellStyle name="Normal 2 2 2 5 2 12 11" xfId="20573" xr:uid="{00000000-0005-0000-0000-00005D500000}"/>
    <cellStyle name="Normal 2 2 2 5 2 12 12" xfId="20574" xr:uid="{00000000-0005-0000-0000-00005E500000}"/>
    <cellStyle name="Normal 2 2 2 5 2 12 13" xfId="20575" xr:uid="{00000000-0005-0000-0000-00005F500000}"/>
    <cellStyle name="Normal 2 2 2 5 2 12 14" xfId="20576" xr:uid="{00000000-0005-0000-0000-000060500000}"/>
    <cellStyle name="Normal 2 2 2 5 2 12 2" xfId="20577" xr:uid="{00000000-0005-0000-0000-000061500000}"/>
    <cellStyle name="Normal 2 2 2 5 2 12 2 10" xfId="20578" xr:uid="{00000000-0005-0000-0000-000062500000}"/>
    <cellStyle name="Normal 2 2 2 5 2 12 2 2" xfId="20579" xr:uid="{00000000-0005-0000-0000-000063500000}"/>
    <cellStyle name="Normal 2 2 2 5 2 12 2 3" xfId="20580" xr:uid="{00000000-0005-0000-0000-000064500000}"/>
    <cellStyle name="Normal 2 2 2 5 2 12 2 4" xfId="20581" xr:uid="{00000000-0005-0000-0000-000065500000}"/>
    <cellStyle name="Normal 2 2 2 5 2 12 2 5" xfId="20582" xr:uid="{00000000-0005-0000-0000-000066500000}"/>
    <cellStyle name="Normal 2 2 2 5 2 12 2 6" xfId="20583" xr:uid="{00000000-0005-0000-0000-000067500000}"/>
    <cellStyle name="Normal 2 2 2 5 2 12 2 7" xfId="20584" xr:uid="{00000000-0005-0000-0000-000068500000}"/>
    <cellStyle name="Normal 2 2 2 5 2 12 2 8" xfId="20585" xr:uid="{00000000-0005-0000-0000-000069500000}"/>
    <cellStyle name="Normal 2 2 2 5 2 12 2 9" xfId="20586" xr:uid="{00000000-0005-0000-0000-00006A500000}"/>
    <cellStyle name="Normal 2 2 2 5 2 12 3" xfId="20587" xr:uid="{00000000-0005-0000-0000-00006B500000}"/>
    <cellStyle name="Normal 2 2 2 5 2 12 3 10" xfId="20588" xr:uid="{00000000-0005-0000-0000-00006C500000}"/>
    <cellStyle name="Normal 2 2 2 5 2 12 3 2" xfId="20589" xr:uid="{00000000-0005-0000-0000-00006D500000}"/>
    <cellStyle name="Normal 2 2 2 5 2 12 3 3" xfId="20590" xr:uid="{00000000-0005-0000-0000-00006E500000}"/>
    <cellStyle name="Normal 2 2 2 5 2 12 3 4" xfId="20591" xr:uid="{00000000-0005-0000-0000-00006F500000}"/>
    <cellStyle name="Normal 2 2 2 5 2 12 3 5" xfId="20592" xr:uid="{00000000-0005-0000-0000-000070500000}"/>
    <cellStyle name="Normal 2 2 2 5 2 12 3 6" xfId="20593" xr:uid="{00000000-0005-0000-0000-000071500000}"/>
    <cellStyle name="Normal 2 2 2 5 2 12 3 7" xfId="20594" xr:uid="{00000000-0005-0000-0000-000072500000}"/>
    <cellStyle name="Normal 2 2 2 5 2 12 3 8" xfId="20595" xr:uid="{00000000-0005-0000-0000-000073500000}"/>
    <cellStyle name="Normal 2 2 2 5 2 12 3 9" xfId="20596" xr:uid="{00000000-0005-0000-0000-000074500000}"/>
    <cellStyle name="Normal 2 2 2 5 2 12 4" xfId="20597" xr:uid="{00000000-0005-0000-0000-000075500000}"/>
    <cellStyle name="Normal 2 2 2 5 2 12 4 10" xfId="20598" xr:uid="{00000000-0005-0000-0000-000076500000}"/>
    <cellStyle name="Normal 2 2 2 5 2 12 4 2" xfId="20599" xr:uid="{00000000-0005-0000-0000-000077500000}"/>
    <cellStyle name="Normal 2 2 2 5 2 12 4 3" xfId="20600" xr:uid="{00000000-0005-0000-0000-000078500000}"/>
    <cellStyle name="Normal 2 2 2 5 2 12 4 4" xfId="20601" xr:uid="{00000000-0005-0000-0000-000079500000}"/>
    <cellStyle name="Normal 2 2 2 5 2 12 4 5" xfId="20602" xr:uid="{00000000-0005-0000-0000-00007A500000}"/>
    <cellStyle name="Normal 2 2 2 5 2 12 4 6" xfId="20603" xr:uid="{00000000-0005-0000-0000-00007B500000}"/>
    <cellStyle name="Normal 2 2 2 5 2 12 4 7" xfId="20604" xr:uid="{00000000-0005-0000-0000-00007C500000}"/>
    <cellStyle name="Normal 2 2 2 5 2 12 4 8" xfId="20605" xr:uid="{00000000-0005-0000-0000-00007D500000}"/>
    <cellStyle name="Normal 2 2 2 5 2 12 4 9" xfId="20606" xr:uid="{00000000-0005-0000-0000-00007E500000}"/>
    <cellStyle name="Normal 2 2 2 5 2 12 5" xfId="20607" xr:uid="{00000000-0005-0000-0000-00007F500000}"/>
    <cellStyle name="Normal 2 2 2 5 2 12 5 10" xfId="20608" xr:uid="{00000000-0005-0000-0000-000080500000}"/>
    <cellStyle name="Normal 2 2 2 5 2 12 5 2" xfId="20609" xr:uid="{00000000-0005-0000-0000-000081500000}"/>
    <cellStyle name="Normal 2 2 2 5 2 12 5 3" xfId="20610" xr:uid="{00000000-0005-0000-0000-000082500000}"/>
    <cellStyle name="Normal 2 2 2 5 2 12 5 4" xfId="20611" xr:uid="{00000000-0005-0000-0000-000083500000}"/>
    <cellStyle name="Normal 2 2 2 5 2 12 5 5" xfId="20612" xr:uid="{00000000-0005-0000-0000-000084500000}"/>
    <cellStyle name="Normal 2 2 2 5 2 12 5 6" xfId="20613" xr:uid="{00000000-0005-0000-0000-000085500000}"/>
    <cellStyle name="Normal 2 2 2 5 2 12 5 7" xfId="20614" xr:uid="{00000000-0005-0000-0000-000086500000}"/>
    <cellStyle name="Normal 2 2 2 5 2 12 5 8" xfId="20615" xr:uid="{00000000-0005-0000-0000-000087500000}"/>
    <cellStyle name="Normal 2 2 2 5 2 12 5 9" xfId="20616" xr:uid="{00000000-0005-0000-0000-000088500000}"/>
    <cellStyle name="Normal 2 2 2 5 2 12 6" xfId="20617" xr:uid="{00000000-0005-0000-0000-000089500000}"/>
    <cellStyle name="Normal 2 2 2 5 2 12 7" xfId="20618" xr:uid="{00000000-0005-0000-0000-00008A500000}"/>
    <cellStyle name="Normal 2 2 2 5 2 12 8" xfId="20619" xr:uid="{00000000-0005-0000-0000-00008B500000}"/>
    <cellStyle name="Normal 2 2 2 5 2 12 9" xfId="20620" xr:uid="{00000000-0005-0000-0000-00008C500000}"/>
    <cellStyle name="Normal 2 2 2 5 2 13" xfId="20621" xr:uid="{00000000-0005-0000-0000-00008D500000}"/>
    <cellStyle name="Normal 2 2 2 5 2 13 10" xfId="20622" xr:uid="{00000000-0005-0000-0000-00008E500000}"/>
    <cellStyle name="Normal 2 2 2 5 2 13 11" xfId="20623" xr:uid="{00000000-0005-0000-0000-00008F500000}"/>
    <cellStyle name="Normal 2 2 2 5 2 13 12" xfId="20624" xr:uid="{00000000-0005-0000-0000-000090500000}"/>
    <cellStyle name="Normal 2 2 2 5 2 13 13" xfId="20625" xr:uid="{00000000-0005-0000-0000-000091500000}"/>
    <cellStyle name="Normal 2 2 2 5 2 13 14" xfId="20626" xr:uid="{00000000-0005-0000-0000-000092500000}"/>
    <cellStyle name="Normal 2 2 2 5 2 13 2" xfId="20627" xr:uid="{00000000-0005-0000-0000-000093500000}"/>
    <cellStyle name="Normal 2 2 2 5 2 13 2 10" xfId="20628" xr:uid="{00000000-0005-0000-0000-000094500000}"/>
    <cellStyle name="Normal 2 2 2 5 2 13 2 2" xfId="20629" xr:uid="{00000000-0005-0000-0000-000095500000}"/>
    <cellStyle name="Normal 2 2 2 5 2 13 2 3" xfId="20630" xr:uid="{00000000-0005-0000-0000-000096500000}"/>
    <cellStyle name="Normal 2 2 2 5 2 13 2 4" xfId="20631" xr:uid="{00000000-0005-0000-0000-000097500000}"/>
    <cellStyle name="Normal 2 2 2 5 2 13 2 5" xfId="20632" xr:uid="{00000000-0005-0000-0000-000098500000}"/>
    <cellStyle name="Normal 2 2 2 5 2 13 2 6" xfId="20633" xr:uid="{00000000-0005-0000-0000-000099500000}"/>
    <cellStyle name="Normal 2 2 2 5 2 13 2 7" xfId="20634" xr:uid="{00000000-0005-0000-0000-00009A500000}"/>
    <cellStyle name="Normal 2 2 2 5 2 13 2 8" xfId="20635" xr:uid="{00000000-0005-0000-0000-00009B500000}"/>
    <cellStyle name="Normal 2 2 2 5 2 13 2 9" xfId="20636" xr:uid="{00000000-0005-0000-0000-00009C500000}"/>
    <cellStyle name="Normal 2 2 2 5 2 13 3" xfId="20637" xr:uid="{00000000-0005-0000-0000-00009D500000}"/>
    <cellStyle name="Normal 2 2 2 5 2 13 3 10" xfId="20638" xr:uid="{00000000-0005-0000-0000-00009E500000}"/>
    <cellStyle name="Normal 2 2 2 5 2 13 3 2" xfId="20639" xr:uid="{00000000-0005-0000-0000-00009F500000}"/>
    <cellStyle name="Normal 2 2 2 5 2 13 3 3" xfId="20640" xr:uid="{00000000-0005-0000-0000-0000A0500000}"/>
    <cellStyle name="Normal 2 2 2 5 2 13 3 4" xfId="20641" xr:uid="{00000000-0005-0000-0000-0000A1500000}"/>
    <cellStyle name="Normal 2 2 2 5 2 13 3 5" xfId="20642" xr:uid="{00000000-0005-0000-0000-0000A2500000}"/>
    <cellStyle name="Normal 2 2 2 5 2 13 3 6" xfId="20643" xr:uid="{00000000-0005-0000-0000-0000A3500000}"/>
    <cellStyle name="Normal 2 2 2 5 2 13 3 7" xfId="20644" xr:uid="{00000000-0005-0000-0000-0000A4500000}"/>
    <cellStyle name="Normal 2 2 2 5 2 13 3 8" xfId="20645" xr:uid="{00000000-0005-0000-0000-0000A5500000}"/>
    <cellStyle name="Normal 2 2 2 5 2 13 3 9" xfId="20646" xr:uid="{00000000-0005-0000-0000-0000A6500000}"/>
    <cellStyle name="Normal 2 2 2 5 2 13 4" xfId="20647" xr:uid="{00000000-0005-0000-0000-0000A7500000}"/>
    <cellStyle name="Normal 2 2 2 5 2 13 4 10" xfId="20648" xr:uid="{00000000-0005-0000-0000-0000A8500000}"/>
    <cellStyle name="Normal 2 2 2 5 2 13 4 2" xfId="20649" xr:uid="{00000000-0005-0000-0000-0000A9500000}"/>
    <cellStyle name="Normal 2 2 2 5 2 13 4 3" xfId="20650" xr:uid="{00000000-0005-0000-0000-0000AA500000}"/>
    <cellStyle name="Normal 2 2 2 5 2 13 4 4" xfId="20651" xr:uid="{00000000-0005-0000-0000-0000AB500000}"/>
    <cellStyle name="Normal 2 2 2 5 2 13 4 5" xfId="20652" xr:uid="{00000000-0005-0000-0000-0000AC500000}"/>
    <cellStyle name="Normal 2 2 2 5 2 13 4 6" xfId="20653" xr:uid="{00000000-0005-0000-0000-0000AD500000}"/>
    <cellStyle name="Normal 2 2 2 5 2 13 4 7" xfId="20654" xr:uid="{00000000-0005-0000-0000-0000AE500000}"/>
    <cellStyle name="Normal 2 2 2 5 2 13 4 8" xfId="20655" xr:uid="{00000000-0005-0000-0000-0000AF500000}"/>
    <cellStyle name="Normal 2 2 2 5 2 13 4 9" xfId="20656" xr:uid="{00000000-0005-0000-0000-0000B0500000}"/>
    <cellStyle name="Normal 2 2 2 5 2 13 5" xfId="20657" xr:uid="{00000000-0005-0000-0000-0000B1500000}"/>
    <cellStyle name="Normal 2 2 2 5 2 13 5 10" xfId="20658" xr:uid="{00000000-0005-0000-0000-0000B2500000}"/>
    <cellStyle name="Normal 2 2 2 5 2 13 5 2" xfId="20659" xr:uid="{00000000-0005-0000-0000-0000B3500000}"/>
    <cellStyle name="Normal 2 2 2 5 2 13 5 3" xfId="20660" xr:uid="{00000000-0005-0000-0000-0000B4500000}"/>
    <cellStyle name="Normal 2 2 2 5 2 13 5 4" xfId="20661" xr:uid="{00000000-0005-0000-0000-0000B5500000}"/>
    <cellStyle name="Normal 2 2 2 5 2 13 5 5" xfId="20662" xr:uid="{00000000-0005-0000-0000-0000B6500000}"/>
    <cellStyle name="Normal 2 2 2 5 2 13 5 6" xfId="20663" xr:uid="{00000000-0005-0000-0000-0000B7500000}"/>
    <cellStyle name="Normal 2 2 2 5 2 13 5 7" xfId="20664" xr:uid="{00000000-0005-0000-0000-0000B8500000}"/>
    <cellStyle name="Normal 2 2 2 5 2 13 5 8" xfId="20665" xr:uid="{00000000-0005-0000-0000-0000B9500000}"/>
    <cellStyle name="Normal 2 2 2 5 2 13 5 9" xfId="20666" xr:uid="{00000000-0005-0000-0000-0000BA500000}"/>
    <cellStyle name="Normal 2 2 2 5 2 13 6" xfId="20667" xr:uid="{00000000-0005-0000-0000-0000BB500000}"/>
    <cellStyle name="Normal 2 2 2 5 2 13 7" xfId="20668" xr:uid="{00000000-0005-0000-0000-0000BC500000}"/>
    <cellStyle name="Normal 2 2 2 5 2 13 8" xfId="20669" xr:uid="{00000000-0005-0000-0000-0000BD500000}"/>
    <cellStyle name="Normal 2 2 2 5 2 13 9" xfId="20670" xr:uid="{00000000-0005-0000-0000-0000BE500000}"/>
    <cellStyle name="Normal 2 2 2 5 2 14" xfId="20671" xr:uid="{00000000-0005-0000-0000-0000BF500000}"/>
    <cellStyle name="Normal 2 2 2 5 2 14 10" xfId="20672" xr:uid="{00000000-0005-0000-0000-0000C0500000}"/>
    <cellStyle name="Normal 2 2 2 5 2 14 11" xfId="20673" xr:uid="{00000000-0005-0000-0000-0000C1500000}"/>
    <cellStyle name="Normal 2 2 2 5 2 14 12" xfId="20674" xr:uid="{00000000-0005-0000-0000-0000C2500000}"/>
    <cellStyle name="Normal 2 2 2 5 2 14 13" xfId="20675" xr:uid="{00000000-0005-0000-0000-0000C3500000}"/>
    <cellStyle name="Normal 2 2 2 5 2 14 14" xfId="20676" xr:uid="{00000000-0005-0000-0000-0000C4500000}"/>
    <cellStyle name="Normal 2 2 2 5 2 14 2" xfId="20677" xr:uid="{00000000-0005-0000-0000-0000C5500000}"/>
    <cellStyle name="Normal 2 2 2 5 2 14 2 10" xfId="20678" xr:uid="{00000000-0005-0000-0000-0000C6500000}"/>
    <cellStyle name="Normal 2 2 2 5 2 14 2 2" xfId="20679" xr:uid="{00000000-0005-0000-0000-0000C7500000}"/>
    <cellStyle name="Normal 2 2 2 5 2 14 2 3" xfId="20680" xr:uid="{00000000-0005-0000-0000-0000C8500000}"/>
    <cellStyle name="Normal 2 2 2 5 2 14 2 4" xfId="20681" xr:uid="{00000000-0005-0000-0000-0000C9500000}"/>
    <cellStyle name="Normal 2 2 2 5 2 14 2 5" xfId="20682" xr:uid="{00000000-0005-0000-0000-0000CA500000}"/>
    <cellStyle name="Normal 2 2 2 5 2 14 2 6" xfId="20683" xr:uid="{00000000-0005-0000-0000-0000CB500000}"/>
    <cellStyle name="Normal 2 2 2 5 2 14 2 7" xfId="20684" xr:uid="{00000000-0005-0000-0000-0000CC500000}"/>
    <cellStyle name="Normal 2 2 2 5 2 14 2 8" xfId="20685" xr:uid="{00000000-0005-0000-0000-0000CD500000}"/>
    <cellStyle name="Normal 2 2 2 5 2 14 2 9" xfId="20686" xr:uid="{00000000-0005-0000-0000-0000CE500000}"/>
    <cellStyle name="Normal 2 2 2 5 2 14 3" xfId="20687" xr:uid="{00000000-0005-0000-0000-0000CF500000}"/>
    <cellStyle name="Normal 2 2 2 5 2 14 3 10" xfId="20688" xr:uid="{00000000-0005-0000-0000-0000D0500000}"/>
    <cellStyle name="Normal 2 2 2 5 2 14 3 2" xfId="20689" xr:uid="{00000000-0005-0000-0000-0000D1500000}"/>
    <cellStyle name="Normal 2 2 2 5 2 14 3 3" xfId="20690" xr:uid="{00000000-0005-0000-0000-0000D2500000}"/>
    <cellStyle name="Normal 2 2 2 5 2 14 3 4" xfId="20691" xr:uid="{00000000-0005-0000-0000-0000D3500000}"/>
    <cellStyle name="Normal 2 2 2 5 2 14 3 5" xfId="20692" xr:uid="{00000000-0005-0000-0000-0000D4500000}"/>
    <cellStyle name="Normal 2 2 2 5 2 14 3 6" xfId="20693" xr:uid="{00000000-0005-0000-0000-0000D5500000}"/>
    <cellStyle name="Normal 2 2 2 5 2 14 3 7" xfId="20694" xr:uid="{00000000-0005-0000-0000-0000D6500000}"/>
    <cellStyle name="Normal 2 2 2 5 2 14 3 8" xfId="20695" xr:uid="{00000000-0005-0000-0000-0000D7500000}"/>
    <cellStyle name="Normal 2 2 2 5 2 14 3 9" xfId="20696" xr:uid="{00000000-0005-0000-0000-0000D8500000}"/>
    <cellStyle name="Normal 2 2 2 5 2 14 4" xfId="20697" xr:uid="{00000000-0005-0000-0000-0000D9500000}"/>
    <cellStyle name="Normal 2 2 2 5 2 14 4 10" xfId="20698" xr:uid="{00000000-0005-0000-0000-0000DA500000}"/>
    <cellStyle name="Normal 2 2 2 5 2 14 4 2" xfId="20699" xr:uid="{00000000-0005-0000-0000-0000DB500000}"/>
    <cellStyle name="Normal 2 2 2 5 2 14 4 3" xfId="20700" xr:uid="{00000000-0005-0000-0000-0000DC500000}"/>
    <cellStyle name="Normal 2 2 2 5 2 14 4 4" xfId="20701" xr:uid="{00000000-0005-0000-0000-0000DD500000}"/>
    <cellStyle name="Normal 2 2 2 5 2 14 4 5" xfId="20702" xr:uid="{00000000-0005-0000-0000-0000DE500000}"/>
    <cellStyle name="Normal 2 2 2 5 2 14 4 6" xfId="20703" xr:uid="{00000000-0005-0000-0000-0000DF500000}"/>
    <cellStyle name="Normal 2 2 2 5 2 14 4 7" xfId="20704" xr:uid="{00000000-0005-0000-0000-0000E0500000}"/>
    <cellStyle name="Normal 2 2 2 5 2 14 4 8" xfId="20705" xr:uid="{00000000-0005-0000-0000-0000E1500000}"/>
    <cellStyle name="Normal 2 2 2 5 2 14 4 9" xfId="20706" xr:uid="{00000000-0005-0000-0000-0000E2500000}"/>
    <cellStyle name="Normal 2 2 2 5 2 14 5" xfId="20707" xr:uid="{00000000-0005-0000-0000-0000E3500000}"/>
    <cellStyle name="Normal 2 2 2 5 2 14 5 10" xfId="20708" xr:uid="{00000000-0005-0000-0000-0000E4500000}"/>
    <cellStyle name="Normal 2 2 2 5 2 14 5 2" xfId="20709" xr:uid="{00000000-0005-0000-0000-0000E5500000}"/>
    <cellStyle name="Normal 2 2 2 5 2 14 5 3" xfId="20710" xr:uid="{00000000-0005-0000-0000-0000E6500000}"/>
    <cellStyle name="Normal 2 2 2 5 2 14 5 4" xfId="20711" xr:uid="{00000000-0005-0000-0000-0000E7500000}"/>
    <cellStyle name="Normal 2 2 2 5 2 14 5 5" xfId="20712" xr:uid="{00000000-0005-0000-0000-0000E8500000}"/>
    <cellStyle name="Normal 2 2 2 5 2 14 5 6" xfId="20713" xr:uid="{00000000-0005-0000-0000-0000E9500000}"/>
    <cellStyle name="Normal 2 2 2 5 2 14 5 7" xfId="20714" xr:uid="{00000000-0005-0000-0000-0000EA500000}"/>
    <cellStyle name="Normal 2 2 2 5 2 14 5 8" xfId="20715" xr:uid="{00000000-0005-0000-0000-0000EB500000}"/>
    <cellStyle name="Normal 2 2 2 5 2 14 5 9" xfId="20716" xr:uid="{00000000-0005-0000-0000-0000EC500000}"/>
    <cellStyle name="Normal 2 2 2 5 2 14 6" xfId="20717" xr:uid="{00000000-0005-0000-0000-0000ED500000}"/>
    <cellStyle name="Normal 2 2 2 5 2 14 7" xfId="20718" xr:uid="{00000000-0005-0000-0000-0000EE500000}"/>
    <cellStyle name="Normal 2 2 2 5 2 14 8" xfId="20719" xr:uid="{00000000-0005-0000-0000-0000EF500000}"/>
    <cellStyle name="Normal 2 2 2 5 2 14 9" xfId="20720" xr:uid="{00000000-0005-0000-0000-0000F0500000}"/>
    <cellStyle name="Normal 2 2 2 5 2 15" xfId="20721" xr:uid="{00000000-0005-0000-0000-0000F1500000}"/>
    <cellStyle name="Normal 2 2 2 5 2 15 10" xfId="20722" xr:uid="{00000000-0005-0000-0000-0000F2500000}"/>
    <cellStyle name="Normal 2 2 2 5 2 15 11" xfId="20723" xr:uid="{00000000-0005-0000-0000-0000F3500000}"/>
    <cellStyle name="Normal 2 2 2 5 2 15 12" xfId="20724" xr:uid="{00000000-0005-0000-0000-0000F4500000}"/>
    <cellStyle name="Normal 2 2 2 5 2 15 13" xfId="20725" xr:uid="{00000000-0005-0000-0000-0000F5500000}"/>
    <cellStyle name="Normal 2 2 2 5 2 15 14" xfId="20726" xr:uid="{00000000-0005-0000-0000-0000F6500000}"/>
    <cellStyle name="Normal 2 2 2 5 2 15 2" xfId="20727" xr:uid="{00000000-0005-0000-0000-0000F7500000}"/>
    <cellStyle name="Normal 2 2 2 5 2 15 2 10" xfId="20728" xr:uid="{00000000-0005-0000-0000-0000F8500000}"/>
    <cellStyle name="Normal 2 2 2 5 2 15 2 2" xfId="20729" xr:uid="{00000000-0005-0000-0000-0000F9500000}"/>
    <cellStyle name="Normal 2 2 2 5 2 15 2 3" xfId="20730" xr:uid="{00000000-0005-0000-0000-0000FA500000}"/>
    <cellStyle name="Normal 2 2 2 5 2 15 2 4" xfId="20731" xr:uid="{00000000-0005-0000-0000-0000FB500000}"/>
    <cellStyle name="Normal 2 2 2 5 2 15 2 5" xfId="20732" xr:uid="{00000000-0005-0000-0000-0000FC500000}"/>
    <cellStyle name="Normal 2 2 2 5 2 15 2 6" xfId="20733" xr:uid="{00000000-0005-0000-0000-0000FD500000}"/>
    <cellStyle name="Normal 2 2 2 5 2 15 2 7" xfId="20734" xr:uid="{00000000-0005-0000-0000-0000FE500000}"/>
    <cellStyle name="Normal 2 2 2 5 2 15 2 8" xfId="20735" xr:uid="{00000000-0005-0000-0000-0000FF500000}"/>
    <cellStyle name="Normal 2 2 2 5 2 15 2 9" xfId="20736" xr:uid="{00000000-0005-0000-0000-000000510000}"/>
    <cellStyle name="Normal 2 2 2 5 2 15 3" xfId="20737" xr:uid="{00000000-0005-0000-0000-000001510000}"/>
    <cellStyle name="Normal 2 2 2 5 2 15 3 10" xfId="20738" xr:uid="{00000000-0005-0000-0000-000002510000}"/>
    <cellStyle name="Normal 2 2 2 5 2 15 3 2" xfId="20739" xr:uid="{00000000-0005-0000-0000-000003510000}"/>
    <cellStyle name="Normal 2 2 2 5 2 15 3 3" xfId="20740" xr:uid="{00000000-0005-0000-0000-000004510000}"/>
    <cellStyle name="Normal 2 2 2 5 2 15 3 4" xfId="20741" xr:uid="{00000000-0005-0000-0000-000005510000}"/>
    <cellStyle name="Normal 2 2 2 5 2 15 3 5" xfId="20742" xr:uid="{00000000-0005-0000-0000-000006510000}"/>
    <cellStyle name="Normal 2 2 2 5 2 15 3 6" xfId="20743" xr:uid="{00000000-0005-0000-0000-000007510000}"/>
    <cellStyle name="Normal 2 2 2 5 2 15 3 7" xfId="20744" xr:uid="{00000000-0005-0000-0000-000008510000}"/>
    <cellStyle name="Normal 2 2 2 5 2 15 3 8" xfId="20745" xr:uid="{00000000-0005-0000-0000-000009510000}"/>
    <cellStyle name="Normal 2 2 2 5 2 15 3 9" xfId="20746" xr:uid="{00000000-0005-0000-0000-00000A510000}"/>
    <cellStyle name="Normal 2 2 2 5 2 15 4" xfId="20747" xr:uid="{00000000-0005-0000-0000-00000B510000}"/>
    <cellStyle name="Normal 2 2 2 5 2 15 4 10" xfId="20748" xr:uid="{00000000-0005-0000-0000-00000C510000}"/>
    <cellStyle name="Normal 2 2 2 5 2 15 4 2" xfId="20749" xr:uid="{00000000-0005-0000-0000-00000D510000}"/>
    <cellStyle name="Normal 2 2 2 5 2 15 4 3" xfId="20750" xr:uid="{00000000-0005-0000-0000-00000E510000}"/>
    <cellStyle name="Normal 2 2 2 5 2 15 4 4" xfId="20751" xr:uid="{00000000-0005-0000-0000-00000F510000}"/>
    <cellStyle name="Normal 2 2 2 5 2 15 4 5" xfId="20752" xr:uid="{00000000-0005-0000-0000-000010510000}"/>
    <cellStyle name="Normal 2 2 2 5 2 15 4 6" xfId="20753" xr:uid="{00000000-0005-0000-0000-000011510000}"/>
    <cellStyle name="Normal 2 2 2 5 2 15 4 7" xfId="20754" xr:uid="{00000000-0005-0000-0000-000012510000}"/>
    <cellStyle name="Normal 2 2 2 5 2 15 4 8" xfId="20755" xr:uid="{00000000-0005-0000-0000-000013510000}"/>
    <cellStyle name="Normal 2 2 2 5 2 15 4 9" xfId="20756" xr:uid="{00000000-0005-0000-0000-000014510000}"/>
    <cellStyle name="Normal 2 2 2 5 2 15 5" xfId="20757" xr:uid="{00000000-0005-0000-0000-000015510000}"/>
    <cellStyle name="Normal 2 2 2 5 2 15 5 10" xfId="20758" xr:uid="{00000000-0005-0000-0000-000016510000}"/>
    <cellStyle name="Normal 2 2 2 5 2 15 5 2" xfId="20759" xr:uid="{00000000-0005-0000-0000-000017510000}"/>
    <cellStyle name="Normal 2 2 2 5 2 15 5 3" xfId="20760" xr:uid="{00000000-0005-0000-0000-000018510000}"/>
    <cellStyle name="Normal 2 2 2 5 2 15 5 4" xfId="20761" xr:uid="{00000000-0005-0000-0000-000019510000}"/>
    <cellStyle name="Normal 2 2 2 5 2 15 5 5" xfId="20762" xr:uid="{00000000-0005-0000-0000-00001A510000}"/>
    <cellStyle name="Normal 2 2 2 5 2 15 5 6" xfId="20763" xr:uid="{00000000-0005-0000-0000-00001B510000}"/>
    <cellStyle name="Normal 2 2 2 5 2 15 5 7" xfId="20764" xr:uid="{00000000-0005-0000-0000-00001C510000}"/>
    <cellStyle name="Normal 2 2 2 5 2 15 5 8" xfId="20765" xr:uid="{00000000-0005-0000-0000-00001D510000}"/>
    <cellStyle name="Normal 2 2 2 5 2 15 5 9" xfId="20766" xr:uid="{00000000-0005-0000-0000-00001E510000}"/>
    <cellStyle name="Normal 2 2 2 5 2 15 6" xfId="20767" xr:uid="{00000000-0005-0000-0000-00001F510000}"/>
    <cellStyle name="Normal 2 2 2 5 2 15 7" xfId="20768" xr:uid="{00000000-0005-0000-0000-000020510000}"/>
    <cellStyle name="Normal 2 2 2 5 2 15 8" xfId="20769" xr:uid="{00000000-0005-0000-0000-000021510000}"/>
    <cellStyle name="Normal 2 2 2 5 2 15 9" xfId="20770" xr:uid="{00000000-0005-0000-0000-000022510000}"/>
    <cellStyle name="Normal 2 2 2 5 2 16" xfId="20771" xr:uid="{00000000-0005-0000-0000-000023510000}"/>
    <cellStyle name="Normal 2 2 2 5 2 16 10" xfId="20772" xr:uid="{00000000-0005-0000-0000-000024510000}"/>
    <cellStyle name="Normal 2 2 2 5 2 16 11" xfId="20773" xr:uid="{00000000-0005-0000-0000-000025510000}"/>
    <cellStyle name="Normal 2 2 2 5 2 16 12" xfId="20774" xr:uid="{00000000-0005-0000-0000-000026510000}"/>
    <cellStyle name="Normal 2 2 2 5 2 16 13" xfId="20775" xr:uid="{00000000-0005-0000-0000-000027510000}"/>
    <cellStyle name="Normal 2 2 2 5 2 16 14" xfId="20776" xr:uid="{00000000-0005-0000-0000-000028510000}"/>
    <cellStyle name="Normal 2 2 2 5 2 16 2" xfId="20777" xr:uid="{00000000-0005-0000-0000-000029510000}"/>
    <cellStyle name="Normal 2 2 2 5 2 16 2 10" xfId="20778" xr:uid="{00000000-0005-0000-0000-00002A510000}"/>
    <cellStyle name="Normal 2 2 2 5 2 16 2 2" xfId="20779" xr:uid="{00000000-0005-0000-0000-00002B510000}"/>
    <cellStyle name="Normal 2 2 2 5 2 16 2 3" xfId="20780" xr:uid="{00000000-0005-0000-0000-00002C510000}"/>
    <cellStyle name="Normal 2 2 2 5 2 16 2 4" xfId="20781" xr:uid="{00000000-0005-0000-0000-00002D510000}"/>
    <cellStyle name="Normal 2 2 2 5 2 16 2 5" xfId="20782" xr:uid="{00000000-0005-0000-0000-00002E510000}"/>
    <cellStyle name="Normal 2 2 2 5 2 16 2 6" xfId="20783" xr:uid="{00000000-0005-0000-0000-00002F510000}"/>
    <cellStyle name="Normal 2 2 2 5 2 16 2 7" xfId="20784" xr:uid="{00000000-0005-0000-0000-000030510000}"/>
    <cellStyle name="Normal 2 2 2 5 2 16 2 8" xfId="20785" xr:uid="{00000000-0005-0000-0000-000031510000}"/>
    <cellStyle name="Normal 2 2 2 5 2 16 2 9" xfId="20786" xr:uid="{00000000-0005-0000-0000-000032510000}"/>
    <cellStyle name="Normal 2 2 2 5 2 16 3" xfId="20787" xr:uid="{00000000-0005-0000-0000-000033510000}"/>
    <cellStyle name="Normal 2 2 2 5 2 16 3 10" xfId="20788" xr:uid="{00000000-0005-0000-0000-000034510000}"/>
    <cellStyle name="Normal 2 2 2 5 2 16 3 2" xfId="20789" xr:uid="{00000000-0005-0000-0000-000035510000}"/>
    <cellStyle name="Normal 2 2 2 5 2 16 3 3" xfId="20790" xr:uid="{00000000-0005-0000-0000-000036510000}"/>
    <cellStyle name="Normal 2 2 2 5 2 16 3 4" xfId="20791" xr:uid="{00000000-0005-0000-0000-000037510000}"/>
    <cellStyle name="Normal 2 2 2 5 2 16 3 5" xfId="20792" xr:uid="{00000000-0005-0000-0000-000038510000}"/>
    <cellStyle name="Normal 2 2 2 5 2 16 3 6" xfId="20793" xr:uid="{00000000-0005-0000-0000-000039510000}"/>
    <cellStyle name="Normal 2 2 2 5 2 16 3 7" xfId="20794" xr:uid="{00000000-0005-0000-0000-00003A510000}"/>
    <cellStyle name="Normal 2 2 2 5 2 16 3 8" xfId="20795" xr:uid="{00000000-0005-0000-0000-00003B510000}"/>
    <cellStyle name="Normal 2 2 2 5 2 16 3 9" xfId="20796" xr:uid="{00000000-0005-0000-0000-00003C510000}"/>
    <cellStyle name="Normal 2 2 2 5 2 16 4" xfId="20797" xr:uid="{00000000-0005-0000-0000-00003D510000}"/>
    <cellStyle name="Normal 2 2 2 5 2 16 4 10" xfId="20798" xr:uid="{00000000-0005-0000-0000-00003E510000}"/>
    <cellStyle name="Normal 2 2 2 5 2 16 4 2" xfId="20799" xr:uid="{00000000-0005-0000-0000-00003F510000}"/>
    <cellStyle name="Normal 2 2 2 5 2 16 4 3" xfId="20800" xr:uid="{00000000-0005-0000-0000-000040510000}"/>
    <cellStyle name="Normal 2 2 2 5 2 16 4 4" xfId="20801" xr:uid="{00000000-0005-0000-0000-000041510000}"/>
    <cellStyle name="Normal 2 2 2 5 2 16 4 5" xfId="20802" xr:uid="{00000000-0005-0000-0000-000042510000}"/>
    <cellStyle name="Normal 2 2 2 5 2 16 4 6" xfId="20803" xr:uid="{00000000-0005-0000-0000-000043510000}"/>
    <cellStyle name="Normal 2 2 2 5 2 16 4 7" xfId="20804" xr:uid="{00000000-0005-0000-0000-000044510000}"/>
    <cellStyle name="Normal 2 2 2 5 2 16 4 8" xfId="20805" xr:uid="{00000000-0005-0000-0000-000045510000}"/>
    <cellStyle name="Normal 2 2 2 5 2 16 4 9" xfId="20806" xr:uid="{00000000-0005-0000-0000-000046510000}"/>
    <cellStyle name="Normal 2 2 2 5 2 16 5" xfId="20807" xr:uid="{00000000-0005-0000-0000-000047510000}"/>
    <cellStyle name="Normal 2 2 2 5 2 16 5 10" xfId="20808" xr:uid="{00000000-0005-0000-0000-000048510000}"/>
    <cellStyle name="Normal 2 2 2 5 2 16 5 2" xfId="20809" xr:uid="{00000000-0005-0000-0000-000049510000}"/>
    <cellStyle name="Normal 2 2 2 5 2 16 5 3" xfId="20810" xr:uid="{00000000-0005-0000-0000-00004A510000}"/>
    <cellStyle name="Normal 2 2 2 5 2 16 5 4" xfId="20811" xr:uid="{00000000-0005-0000-0000-00004B510000}"/>
    <cellStyle name="Normal 2 2 2 5 2 16 5 5" xfId="20812" xr:uid="{00000000-0005-0000-0000-00004C510000}"/>
    <cellStyle name="Normal 2 2 2 5 2 16 5 6" xfId="20813" xr:uid="{00000000-0005-0000-0000-00004D510000}"/>
    <cellStyle name="Normal 2 2 2 5 2 16 5 7" xfId="20814" xr:uid="{00000000-0005-0000-0000-00004E510000}"/>
    <cellStyle name="Normal 2 2 2 5 2 16 5 8" xfId="20815" xr:uid="{00000000-0005-0000-0000-00004F510000}"/>
    <cellStyle name="Normal 2 2 2 5 2 16 5 9" xfId="20816" xr:uid="{00000000-0005-0000-0000-000050510000}"/>
    <cellStyle name="Normal 2 2 2 5 2 16 6" xfId="20817" xr:uid="{00000000-0005-0000-0000-000051510000}"/>
    <cellStyle name="Normal 2 2 2 5 2 16 7" xfId="20818" xr:uid="{00000000-0005-0000-0000-000052510000}"/>
    <cellStyle name="Normal 2 2 2 5 2 16 8" xfId="20819" xr:uid="{00000000-0005-0000-0000-000053510000}"/>
    <cellStyle name="Normal 2 2 2 5 2 16 9" xfId="20820" xr:uid="{00000000-0005-0000-0000-000054510000}"/>
    <cellStyle name="Normal 2 2 2 5 2 17" xfId="20821" xr:uid="{00000000-0005-0000-0000-000055510000}"/>
    <cellStyle name="Normal 2 2 2 5 2 17 10" xfId="20822" xr:uid="{00000000-0005-0000-0000-000056510000}"/>
    <cellStyle name="Normal 2 2 2 5 2 17 11" xfId="20823" xr:uid="{00000000-0005-0000-0000-000057510000}"/>
    <cellStyle name="Normal 2 2 2 5 2 17 12" xfId="20824" xr:uid="{00000000-0005-0000-0000-000058510000}"/>
    <cellStyle name="Normal 2 2 2 5 2 17 13" xfId="20825" xr:uid="{00000000-0005-0000-0000-000059510000}"/>
    <cellStyle name="Normal 2 2 2 5 2 17 14" xfId="20826" xr:uid="{00000000-0005-0000-0000-00005A510000}"/>
    <cellStyle name="Normal 2 2 2 5 2 17 2" xfId="20827" xr:uid="{00000000-0005-0000-0000-00005B510000}"/>
    <cellStyle name="Normal 2 2 2 5 2 17 2 10" xfId="20828" xr:uid="{00000000-0005-0000-0000-00005C510000}"/>
    <cellStyle name="Normal 2 2 2 5 2 17 2 2" xfId="20829" xr:uid="{00000000-0005-0000-0000-00005D510000}"/>
    <cellStyle name="Normal 2 2 2 5 2 17 2 3" xfId="20830" xr:uid="{00000000-0005-0000-0000-00005E510000}"/>
    <cellStyle name="Normal 2 2 2 5 2 17 2 4" xfId="20831" xr:uid="{00000000-0005-0000-0000-00005F510000}"/>
    <cellStyle name="Normal 2 2 2 5 2 17 2 5" xfId="20832" xr:uid="{00000000-0005-0000-0000-000060510000}"/>
    <cellStyle name="Normal 2 2 2 5 2 17 2 6" xfId="20833" xr:uid="{00000000-0005-0000-0000-000061510000}"/>
    <cellStyle name="Normal 2 2 2 5 2 17 2 7" xfId="20834" xr:uid="{00000000-0005-0000-0000-000062510000}"/>
    <cellStyle name="Normal 2 2 2 5 2 17 2 8" xfId="20835" xr:uid="{00000000-0005-0000-0000-000063510000}"/>
    <cellStyle name="Normal 2 2 2 5 2 17 2 9" xfId="20836" xr:uid="{00000000-0005-0000-0000-000064510000}"/>
    <cellStyle name="Normal 2 2 2 5 2 17 3" xfId="20837" xr:uid="{00000000-0005-0000-0000-000065510000}"/>
    <cellStyle name="Normal 2 2 2 5 2 17 3 10" xfId="20838" xr:uid="{00000000-0005-0000-0000-000066510000}"/>
    <cellStyle name="Normal 2 2 2 5 2 17 3 2" xfId="20839" xr:uid="{00000000-0005-0000-0000-000067510000}"/>
    <cellStyle name="Normal 2 2 2 5 2 17 3 3" xfId="20840" xr:uid="{00000000-0005-0000-0000-000068510000}"/>
    <cellStyle name="Normal 2 2 2 5 2 17 3 4" xfId="20841" xr:uid="{00000000-0005-0000-0000-000069510000}"/>
    <cellStyle name="Normal 2 2 2 5 2 17 3 5" xfId="20842" xr:uid="{00000000-0005-0000-0000-00006A510000}"/>
    <cellStyle name="Normal 2 2 2 5 2 17 3 6" xfId="20843" xr:uid="{00000000-0005-0000-0000-00006B510000}"/>
    <cellStyle name="Normal 2 2 2 5 2 17 3 7" xfId="20844" xr:uid="{00000000-0005-0000-0000-00006C510000}"/>
    <cellStyle name="Normal 2 2 2 5 2 17 3 8" xfId="20845" xr:uid="{00000000-0005-0000-0000-00006D510000}"/>
    <cellStyle name="Normal 2 2 2 5 2 17 3 9" xfId="20846" xr:uid="{00000000-0005-0000-0000-00006E510000}"/>
    <cellStyle name="Normal 2 2 2 5 2 17 4" xfId="20847" xr:uid="{00000000-0005-0000-0000-00006F510000}"/>
    <cellStyle name="Normal 2 2 2 5 2 17 4 10" xfId="20848" xr:uid="{00000000-0005-0000-0000-000070510000}"/>
    <cellStyle name="Normal 2 2 2 5 2 17 4 2" xfId="20849" xr:uid="{00000000-0005-0000-0000-000071510000}"/>
    <cellStyle name="Normal 2 2 2 5 2 17 4 3" xfId="20850" xr:uid="{00000000-0005-0000-0000-000072510000}"/>
    <cellStyle name="Normal 2 2 2 5 2 17 4 4" xfId="20851" xr:uid="{00000000-0005-0000-0000-000073510000}"/>
    <cellStyle name="Normal 2 2 2 5 2 17 4 5" xfId="20852" xr:uid="{00000000-0005-0000-0000-000074510000}"/>
    <cellStyle name="Normal 2 2 2 5 2 17 4 6" xfId="20853" xr:uid="{00000000-0005-0000-0000-000075510000}"/>
    <cellStyle name="Normal 2 2 2 5 2 17 4 7" xfId="20854" xr:uid="{00000000-0005-0000-0000-000076510000}"/>
    <cellStyle name="Normal 2 2 2 5 2 17 4 8" xfId="20855" xr:uid="{00000000-0005-0000-0000-000077510000}"/>
    <cellStyle name="Normal 2 2 2 5 2 17 4 9" xfId="20856" xr:uid="{00000000-0005-0000-0000-000078510000}"/>
    <cellStyle name="Normal 2 2 2 5 2 17 5" xfId="20857" xr:uid="{00000000-0005-0000-0000-000079510000}"/>
    <cellStyle name="Normal 2 2 2 5 2 17 5 10" xfId="20858" xr:uid="{00000000-0005-0000-0000-00007A510000}"/>
    <cellStyle name="Normal 2 2 2 5 2 17 5 2" xfId="20859" xr:uid="{00000000-0005-0000-0000-00007B510000}"/>
    <cellStyle name="Normal 2 2 2 5 2 17 5 3" xfId="20860" xr:uid="{00000000-0005-0000-0000-00007C510000}"/>
    <cellStyle name="Normal 2 2 2 5 2 17 5 4" xfId="20861" xr:uid="{00000000-0005-0000-0000-00007D510000}"/>
    <cellStyle name="Normal 2 2 2 5 2 17 5 5" xfId="20862" xr:uid="{00000000-0005-0000-0000-00007E510000}"/>
    <cellStyle name="Normal 2 2 2 5 2 17 5 6" xfId="20863" xr:uid="{00000000-0005-0000-0000-00007F510000}"/>
    <cellStyle name="Normal 2 2 2 5 2 17 5 7" xfId="20864" xr:uid="{00000000-0005-0000-0000-000080510000}"/>
    <cellStyle name="Normal 2 2 2 5 2 17 5 8" xfId="20865" xr:uid="{00000000-0005-0000-0000-000081510000}"/>
    <cellStyle name="Normal 2 2 2 5 2 17 5 9" xfId="20866" xr:uid="{00000000-0005-0000-0000-000082510000}"/>
    <cellStyle name="Normal 2 2 2 5 2 17 6" xfId="20867" xr:uid="{00000000-0005-0000-0000-000083510000}"/>
    <cellStyle name="Normal 2 2 2 5 2 17 7" xfId="20868" xr:uid="{00000000-0005-0000-0000-000084510000}"/>
    <cellStyle name="Normal 2 2 2 5 2 17 8" xfId="20869" xr:uid="{00000000-0005-0000-0000-000085510000}"/>
    <cellStyle name="Normal 2 2 2 5 2 17 9" xfId="20870" xr:uid="{00000000-0005-0000-0000-000086510000}"/>
    <cellStyle name="Normal 2 2 2 5 2 18" xfId="20871" xr:uid="{00000000-0005-0000-0000-000087510000}"/>
    <cellStyle name="Normal 2 2 2 5 2 18 10" xfId="20872" xr:uid="{00000000-0005-0000-0000-000088510000}"/>
    <cellStyle name="Normal 2 2 2 5 2 18 11" xfId="20873" xr:uid="{00000000-0005-0000-0000-000089510000}"/>
    <cellStyle name="Normal 2 2 2 5 2 18 12" xfId="20874" xr:uid="{00000000-0005-0000-0000-00008A510000}"/>
    <cellStyle name="Normal 2 2 2 5 2 18 13" xfId="20875" xr:uid="{00000000-0005-0000-0000-00008B510000}"/>
    <cellStyle name="Normal 2 2 2 5 2 18 14" xfId="20876" xr:uid="{00000000-0005-0000-0000-00008C510000}"/>
    <cellStyle name="Normal 2 2 2 5 2 18 2" xfId="20877" xr:uid="{00000000-0005-0000-0000-00008D510000}"/>
    <cellStyle name="Normal 2 2 2 5 2 18 2 10" xfId="20878" xr:uid="{00000000-0005-0000-0000-00008E510000}"/>
    <cellStyle name="Normal 2 2 2 5 2 18 2 2" xfId="20879" xr:uid="{00000000-0005-0000-0000-00008F510000}"/>
    <cellStyle name="Normal 2 2 2 5 2 18 2 3" xfId="20880" xr:uid="{00000000-0005-0000-0000-000090510000}"/>
    <cellStyle name="Normal 2 2 2 5 2 18 2 4" xfId="20881" xr:uid="{00000000-0005-0000-0000-000091510000}"/>
    <cellStyle name="Normal 2 2 2 5 2 18 2 5" xfId="20882" xr:uid="{00000000-0005-0000-0000-000092510000}"/>
    <cellStyle name="Normal 2 2 2 5 2 18 2 6" xfId="20883" xr:uid="{00000000-0005-0000-0000-000093510000}"/>
    <cellStyle name="Normal 2 2 2 5 2 18 2 7" xfId="20884" xr:uid="{00000000-0005-0000-0000-000094510000}"/>
    <cellStyle name="Normal 2 2 2 5 2 18 2 8" xfId="20885" xr:uid="{00000000-0005-0000-0000-000095510000}"/>
    <cellStyle name="Normal 2 2 2 5 2 18 2 9" xfId="20886" xr:uid="{00000000-0005-0000-0000-000096510000}"/>
    <cellStyle name="Normal 2 2 2 5 2 18 3" xfId="20887" xr:uid="{00000000-0005-0000-0000-000097510000}"/>
    <cellStyle name="Normal 2 2 2 5 2 18 3 10" xfId="20888" xr:uid="{00000000-0005-0000-0000-000098510000}"/>
    <cellStyle name="Normal 2 2 2 5 2 18 3 2" xfId="20889" xr:uid="{00000000-0005-0000-0000-000099510000}"/>
    <cellStyle name="Normal 2 2 2 5 2 18 3 3" xfId="20890" xr:uid="{00000000-0005-0000-0000-00009A510000}"/>
    <cellStyle name="Normal 2 2 2 5 2 18 3 4" xfId="20891" xr:uid="{00000000-0005-0000-0000-00009B510000}"/>
    <cellStyle name="Normal 2 2 2 5 2 18 3 5" xfId="20892" xr:uid="{00000000-0005-0000-0000-00009C510000}"/>
    <cellStyle name="Normal 2 2 2 5 2 18 3 6" xfId="20893" xr:uid="{00000000-0005-0000-0000-00009D510000}"/>
    <cellStyle name="Normal 2 2 2 5 2 18 3 7" xfId="20894" xr:uid="{00000000-0005-0000-0000-00009E510000}"/>
    <cellStyle name="Normal 2 2 2 5 2 18 3 8" xfId="20895" xr:uid="{00000000-0005-0000-0000-00009F510000}"/>
    <cellStyle name="Normal 2 2 2 5 2 18 3 9" xfId="20896" xr:uid="{00000000-0005-0000-0000-0000A0510000}"/>
    <cellStyle name="Normal 2 2 2 5 2 18 4" xfId="20897" xr:uid="{00000000-0005-0000-0000-0000A1510000}"/>
    <cellStyle name="Normal 2 2 2 5 2 18 4 10" xfId="20898" xr:uid="{00000000-0005-0000-0000-0000A2510000}"/>
    <cellStyle name="Normal 2 2 2 5 2 18 4 2" xfId="20899" xr:uid="{00000000-0005-0000-0000-0000A3510000}"/>
    <cellStyle name="Normal 2 2 2 5 2 18 4 3" xfId="20900" xr:uid="{00000000-0005-0000-0000-0000A4510000}"/>
    <cellStyle name="Normal 2 2 2 5 2 18 4 4" xfId="20901" xr:uid="{00000000-0005-0000-0000-0000A5510000}"/>
    <cellStyle name="Normal 2 2 2 5 2 18 4 5" xfId="20902" xr:uid="{00000000-0005-0000-0000-0000A6510000}"/>
    <cellStyle name="Normal 2 2 2 5 2 18 4 6" xfId="20903" xr:uid="{00000000-0005-0000-0000-0000A7510000}"/>
    <cellStyle name="Normal 2 2 2 5 2 18 4 7" xfId="20904" xr:uid="{00000000-0005-0000-0000-0000A8510000}"/>
    <cellStyle name="Normal 2 2 2 5 2 18 4 8" xfId="20905" xr:uid="{00000000-0005-0000-0000-0000A9510000}"/>
    <cellStyle name="Normal 2 2 2 5 2 18 4 9" xfId="20906" xr:uid="{00000000-0005-0000-0000-0000AA510000}"/>
    <cellStyle name="Normal 2 2 2 5 2 18 5" xfId="20907" xr:uid="{00000000-0005-0000-0000-0000AB510000}"/>
    <cellStyle name="Normal 2 2 2 5 2 18 5 10" xfId="20908" xr:uid="{00000000-0005-0000-0000-0000AC510000}"/>
    <cellStyle name="Normal 2 2 2 5 2 18 5 2" xfId="20909" xr:uid="{00000000-0005-0000-0000-0000AD510000}"/>
    <cellStyle name="Normal 2 2 2 5 2 18 5 3" xfId="20910" xr:uid="{00000000-0005-0000-0000-0000AE510000}"/>
    <cellStyle name="Normal 2 2 2 5 2 18 5 4" xfId="20911" xr:uid="{00000000-0005-0000-0000-0000AF510000}"/>
    <cellStyle name="Normal 2 2 2 5 2 18 5 5" xfId="20912" xr:uid="{00000000-0005-0000-0000-0000B0510000}"/>
    <cellStyle name="Normal 2 2 2 5 2 18 5 6" xfId="20913" xr:uid="{00000000-0005-0000-0000-0000B1510000}"/>
    <cellStyle name="Normal 2 2 2 5 2 18 5 7" xfId="20914" xr:uid="{00000000-0005-0000-0000-0000B2510000}"/>
    <cellStyle name="Normal 2 2 2 5 2 18 5 8" xfId="20915" xr:uid="{00000000-0005-0000-0000-0000B3510000}"/>
    <cellStyle name="Normal 2 2 2 5 2 18 5 9" xfId="20916" xr:uid="{00000000-0005-0000-0000-0000B4510000}"/>
    <cellStyle name="Normal 2 2 2 5 2 18 6" xfId="20917" xr:uid="{00000000-0005-0000-0000-0000B5510000}"/>
    <cellStyle name="Normal 2 2 2 5 2 18 7" xfId="20918" xr:uid="{00000000-0005-0000-0000-0000B6510000}"/>
    <cellStyle name="Normal 2 2 2 5 2 18 8" xfId="20919" xr:uid="{00000000-0005-0000-0000-0000B7510000}"/>
    <cellStyle name="Normal 2 2 2 5 2 18 9" xfId="20920" xr:uid="{00000000-0005-0000-0000-0000B8510000}"/>
    <cellStyle name="Normal 2 2 2 5 2 19" xfId="20921" xr:uid="{00000000-0005-0000-0000-0000B9510000}"/>
    <cellStyle name="Normal 2 2 2 5 2 19 10" xfId="20922" xr:uid="{00000000-0005-0000-0000-0000BA510000}"/>
    <cellStyle name="Normal 2 2 2 5 2 19 11" xfId="20923" xr:uid="{00000000-0005-0000-0000-0000BB510000}"/>
    <cellStyle name="Normal 2 2 2 5 2 19 12" xfId="20924" xr:uid="{00000000-0005-0000-0000-0000BC510000}"/>
    <cellStyle name="Normal 2 2 2 5 2 19 13" xfId="20925" xr:uid="{00000000-0005-0000-0000-0000BD510000}"/>
    <cellStyle name="Normal 2 2 2 5 2 19 14" xfId="20926" xr:uid="{00000000-0005-0000-0000-0000BE510000}"/>
    <cellStyle name="Normal 2 2 2 5 2 19 2" xfId="20927" xr:uid="{00000000-0005-0000-0000-0000BF510000}"/>
    <cellStyle name="Normal 2 2 2 5 2 19 2 10" xfId="20928" xr:uid="{00000000-0005-0000-0000-0000C0510000}"/>
    <cellStyle name="Normal 2 2 2 5 2 19 2 2" xfId="20929" xr:uid="{00000000-0005-0000-0000-0000C1510000}"/>
    <cellStyle name="Normal 2 2 2 5 2 19 2 3" xfId="20930" xr:uid="{00000000-0005-0000-0000-0000C2510000}"/>
    <cellStyle name="Normal 2 2 2 5 2 19 2 4" xfId="20931" xr:uid="{00000000-0005-0000-0000-0000C3510000}"/>
    <cellStyle name="Normal 2 2 2 5 2 19 2 5" xfId="20932" xr:uid="{00000000-0005-0000-0000-0000C4510000}"/>
    <cellStyle name="Normal 2 2 2 5 2 19 2 6" xfId="20933" xr:uid="{00000000-0005-0000-0000-0000C5510000}"/>
    <cellStyle name="Normal 2 2 2 5 2 19 2 7" xfId="20934" xr:uid="{00000000-0005-0000-0000-0000C6510000}"/>
    <cellStyle name="Normal 2 2 2 5 2 19 2 8" xfId="20935" xr:uid="{00000000-0005-0000-0000-0000C7510000}"/>
    <cellStyle name="Normal 2 2 2 5 2 19 2 9" xfId="20936" xr:uid="{00000000-0005-0000-0000-0000C8510000}"/>
    <cellStyle name="Normal 2 2 2 5 2 19 3" xfId="20937" xr:uid="{00000000-0005-0000-0000-0000C9510000}"/>
    <cellStyle name="Normal 2 2 2 5 2 19 3 10" xfId="20938" xr:uid="{00000000-0005-0000-0000-0000CA510000}"/>
    <cellStyle name="Normal 2 2 2 5 2 19 3 2" xfId="20939" xr:uid="{00000000-0005-0000-0000-0000CB510000}"/>
    <cellStyle name="Normal 2 2 2 5 2 19 3 3" xfId="20940" xr:uid="{00000000-0005-0000-0000-0000CC510000}"/>
    <cellStyle name="Normal 2 2 2 5 2 19 3 4" xfId="20941" xr:uid="{00000000-0005-0000-0000-0000CD510000}"/>
    <cellStyle name="Normal 2 2 2 5 2 19 3 5" xfId="20942" xr:uid="{00000000-0005-0000-0000-0000CE510000}"/>
    <cellStyle name="Normal 2 2 2 5 2 19 3 6" xfId="20943" xr:uid="{00000000-0005-0000-0000-0000CF510000}"/>
    <cellStyle name="Normal 2 2 2 5 2 19 3 7" xfId="20944" xr:uid="{00000000-0005-0000-0000-0000D0510000}"/>
    <cellStyle name="Normal 2 2 2 5 2 19 3 8" xfId="20945" xr:uid="{00000000-0005-0000-0000-0000D1510000}"/>
    <cellStyle name="Normal 2 2 2 5 2 19 3 9" xfId="20946" xr:uid="{00000000-0005-0000-0000-0000D2510000}"/>
    <cellStyle name="Normal 2 2 2 5 2 19 4" xfId="20947" xr:uid="{00000000-0005-0000-0000-0000D3510000}"/>
    <cellStyle name="Normal 2 2 2 5 2 19 4 10" xfId="20948" xr:uid="{00000000-0005-0000-0000-0000D4510000}"/>
    <cellStyle name="Normal 2 2 2 5 2 19 4 2" xfId="20949" xr:uid="{00000000-0005-0000-0000-0000D5510000}"/>
    <cellStyle name="Normal 2 2 2 5 2 19 4 3" xfId="20950" xr:uid="{00000000-0005-0000-0000-0000D6510000}"/>
    <cellStyle name="Normal 2 2 2 5 2 19 4 4" xfId="20951" xr:uid="{00000000-0005-0000-0000-0000D7510000}"/>
    <cellStyle name="Normal 2 2 2 5 2 19 4 5" xfId="20952" xr:uid="{00000000-0005-0000-0000-0000D8510000}"/>
    <cellStyle name="Normal 2 2 2 5 2 19 4 6" xfId="20953" xr:uid="{00000000-0005-0000-0000-0000D9510000}"/>
    <cellStyle name="Normal 2 2 2 5 2 19 4 7" xfId="20954" xr:uid="{00000000-0005-0000-0000-0000DA510000}"/>
    <cellStyle name="Normal 2 2 2 5 2 19 4 8" xfId="20955" xr:uid="{00000000-0005-0000-0000-0000DB510000}"/>
    <cellStyle name="Normal 2 2 2 5 2 19 4 9" xfId="20956" xr:uid="{00000000-0005-0000-0000-0000DC510000}"/>
    <cellStyle name="Normal 2 2 2 5 2 19 5" xfId="20957" xr:uid="{00000000-0005-0000-0000-0000DD510000}"/>
    <cellStyle name="Normal 2 2 2 5 2 19 5 10" xfId="20958" xr:uid="{00000000-0005-0000-0000-0000DE510000}"/>
    <cellStyle name="Normal 2 2 2 5 2 19 5 2" xfId="20959" xr:uid="{00000000-0005-0000-0000-0000DF510000}"/>
    <cellStyle name="Normal 2 2 2 5 2 19 5 3" xfId="20960" xr:uid="{00000000-0005-0000-0000-0000E0510000}"/>
    <cellStyle name="Normal 2 2 2 5 2 19 5 4" xfId="20961" xr:uid="{00000000-0005-0000-0000-0000E1510000}"/>
    <cellStyle name="Normal 2 2 2 5 2 19 5 5" xfId="20962" xr:uid="{00000000-0005-0000-0000-0000E2510000}"/>
    <cellStyle name="Normal 2 2 2 5 2 19 5 6" xfId="20963" xr:uid="{00000000-0005-0000-0000-0000E3510000}"/>
    <cellStyle name="Normal 2 2 2 5 2 19 5 7" xfId="20964" xr:uid="{00000000-0005-0000-0000-0000E4510000}"/>
    <cellStyle name="Normal 2 2 2 5 2 19 5 8" xfId="20965" xr:uid="{00000000-0005-0000-0000-0000E5510000}"/>
    <cellStyle name="Normal 2 2 2 5 2 19 5 9" xfId="20966" xr:uid="{00000000-0005-0000-0000-0000E6510000}"/>
    <cellStyle name="Normal 2 2 2 5 2 19 6" xfId="20967" xr:uid="{00000000-0005-0000-0000-0000E7510000}"/>
    <cellStyle name="Normal 2 2 2 5 2 19 7" xfId="20968" xr:uid="{00000000-0005-0000-0000-0000E8510000}"/>
    <cellStyle name="Normal 2 2 2 5 2 19 8" xfId="20969" xr:uid="{00000000-0005-0000-0000-0000E9510000}"/>
    <cellStyle name="Normal 2 2 2 5 2 19 9" xfId="20970" xr:uid="{00000000-0005-0000-0000-0000EA510000}"/>
    <cellStyle name="Normal 2 2 2 5 2 2" xfId="20971" xr:uid="{00000000-0005-0000-0000-0000EB510000}"/>
    <cellStyle name="Normal 2 2 2 5 2 2 10" xfId="20972" xr:uid="{00000000-0005-0000-0000-0000EC510000}"/>
    <cellStyle name="Normal 2 2 2 5 2 2 11" xfId="20973" xr:uid="{00000000-0005-0000-0000-0000ED510000}"/>
    <cellStyle name="Normal 2 2 2 5 2 2 12" xfId="20974" xr:uid="{00000000-0005-0000-0000-0000EE510000}"/>
    <cellStyle name="Normal 2 2 2 5 2 2 13" xfId="20975" xr:uid="{00000000-0005-0000-0000-0000EF510000}"/>
    <cellStyle name="Normal 2 2 2 5 2 2 14" xfId="20976" xr:uid="{00000000-0005-0000-0000-0000F0510000}"/>
    <cellStyle name="Normal 2 2 2 5 2 2 2" xfId="20977" xr:uid="{00000000-0005-0000-0000-0000F1510000}"/>
    <cellStyle name="Normal 2 2 2 5 2 2 2 10" xfId="20978" xr:uid="{00000000-0005-0000-0000-0000F2510000}"/>
    <cellStyle name="Normal 2 2 2 5 2 2 2 2" xfId="20979" xr:uid="{00000000-0005-0000-0000-0000F3510000}"/>
    <cellStyle name="Normal 2 2 2 5 2 2 2 3" xfId="20980" xr:uid="{00000000-0005-0000-0000-0000F4510000}"/>
    <cellStyle name="Normal 2 2 2 5 2 2 2 4" xfId="20981" xr:uid="{00000000-0005-0000-0000-0000F5510000}"/>
    <cellStyle name="Normal 2 2 2 5 2 2 2 5" xfId="20982" xr:uid="{00000000-0005-0000-0000-0000F6510000}"/>
    <cellStyle name="Normal 2 2 2 5 2 2 2 6" xfId="20983" xr:uid="{00000000-0005-0000-0000-0000F7510000}"/>
    <cellStyle name="Normal 2 2 2 5 2 2 2 7" xfId="20984" xr:uid="{00000000-0005-0000-0000-0000F8510000}"/>
    <cellStyle name="Normal 2 2 2 5 2 2 2 8" xfId="20985" xr:uid="{00000000-0005-0000-0000-0000F9510000}"/>
    <cellStyle name="Normal 2 2 2 5 2 2 2 9" xfId="20986" xr:uid="{00000000-0005-0000-0000-0000FA510000}"/>
    <cellStyle name="Normal 2 2 2 5 2 2 3" xfId="20987" xr:uid="{00000000-0005-0000-0000-0000FB510000}"/>
    <cellStyle name="Normal 2 2 2 5 2 2 3 10" xfId="20988" xr:uid="{00000000-0005-0000-0000-0000FC510000}"/>
    <cellStyle name="Normal 2 2 2 5 2 2 3 2" xfId="20989" xr:uid="{00000000-0005-0000-0000-0000FD510000}"/>
    <cellStyle name="Normal 2 2 2 5 2 2 3 3" xfId="20990" xr:uid="{00000000-0005-0000-0000-0000FE510000}"/>
    <cellStyle name="Normal 2 2 2 5 2 2 3 4" xfId="20991" xr:uid="{00000000-0005-0000-0000-0000FF510000}"/>
    <cellStyle name="Normal 2 2 2 5 2 2 3 5" xfId="20992" xr:uid="{00000000-0005-0000-0000-000000520000}"/>
    <cellStyle name="Normal 2 2 2 5 2 2 3 6" xfId="20993" xr:uid="{00000000-0005-0000-0000-000001520000}"/>
    <cellStyle name="Normal 2 2 2 5 2 2 3 7" xfId="20994" xr:uid="{00000000-0005-0000-0000-000002520000}"/>
    <cellStyle name="Normal 2 2 2 5 2 2 3 8" xfId="20995" xr:uid="{00000000-0005-0000-0000-000003520000}"/>
    <cellStyle name="Normal 2 2 2 5 2 2 3 9" xfId="20996" xr:uid="{00000000-0005-0000-0000-000004520000}"/>
    <cellStyle name="Normal 2 2 2 5 2 2 4" xfId="20997" xr:uid="{00000000-0005-0000-0000-000005520000}"/>
    <cellStyle name="Normal 2 2 2 5 2 2 4 10" xfId="20998" xr:uid="{00000000-0005-0000-0000-000006520000}"/>
    <cellStyle name="Normal 2 2 2 5 2 2 4 2" xfId="20999" xr:uid="{00000000-0005-0000-0000-000007520000}"/>
    <cellStyle name="Normal 2 2 2 5 2 2 4 3" xfId="21000" xr:uid="{00000000-0005-0000-0000-000008520000}"/>
    <cellStyle name="Normal 2 2 2 5 2 2 4 4" xfId="21001" xr:uid="{00000000-0005-0000-0000-000009520000}"/>
    <cellStyle name="Normal 2 2 2 5 2 2 4 5" xfId="21002" xr:uid="{00000000-0005-0000-0000-00000A520000}"/>
    <cellStyle name="Normal 2 2 2 5 2 2 4 6" xfId="21003" xr:uid="{00000000-0005-0000-0000-00000B520000}"/>
    <cellStyle name="Normal 2 2 2 5 2 2 4 7" xfId="21004" xr:uid="{00000000-0005-0000-0000-00000C520000}"/>
    <cellStyle name="Normal 2 2 2 5 2 2 4 8" xfId="21005" xr:uid="{00000000-0005-0000-0000-00000D520000}"/>
    <cellStyle name="Normal 2 2 2 5 2 2 4 9" xfId="21006" xr:uid="{00000000-0005-0000-0000-00000E520000}"/>
    <cellStyle name="Normal 2 2 2 5 2 2 5" xfId="21007" xr:uid="{00000000-0005-0000-0000-00000F520000}"/>
    <cellStyle name="Normal 2 2 2 5 2 2 5 10" xfId="21008" xr:uid="{00000000-0005-0000-0000-000010520000}"/>
    <cellStyle name="Normal 2 2 2 5 2 2 5 2" xfId="21009" xr:uid="{00000000-0005-0000-0000-000011520000}"/>
    <cellStyle name="Normal 2 2 2 5 2 2 5 3" xfId="21010" xr:uid="{00000000-0005-0000-0000-000012520000}"/>
    <cellStyle name="Normal 2 2 2 5 2 2 5 4" xfId="21011" xr:uid="{00000000-0005-0000-0000-000013520000}"/>
    <cellStyle name="Normal 2 2 2 5 2 2 5 5" xfId="21012" xr:uid="{00000000-0005-0000-0000-000014520000}"/>
    <cellStyle name="Normal 2 2 2 5 2 2 5 6" xfId="21013" xr:uid="{00000000-0005-0000-0000-000015520000}"/>
    <cellStyle name="Normal 2 2 2 5 2 2 5 7" xfId="21014" xr:uid="{00000000-0005-0000-0000-000016520000}"/>
    <cellStyle name="Normal 2 2 2 5 2 2 5 8" xfId="21015" xr:uid="{00000000-0005-0000-0000-000017520000}"/>
    <cellStyle name="Normal 2 2 2 5 2 2 5 9" xfId="21016" xr:uid="{00000000-0005-0000-0000-000018520000}"/>
    <cellStyle name="Normal 2 2 2 5 2 2 6" xfId="21017" xr:uid="{00000000-0005-0000-0000-000019520000}"/>
    <cellStyle name="Normal 2 2 2 5 2 2 7" xfId="21018" xr:uid="{00000000-0005-0000-0000-00001A520000}"/>
    <cellStyle name="Normal 2 2 2 5 2 2 8" xfId="21019" xr:uid="{00000000-0005-0000-0000-00001B520000}"/>
    <cellStyle name="Normal 2 2 2 5 2 2 9" xfId="21020" xr:uid="{00000000-0005-0000-0000-00001C520000}"/>
    <cellStyle name="Normal 2 2 2 5 2 20" xfId="21021" xr:uid="{00000000-0005-0000-0000-00001D520000}"/>
    <cellStyle name="Normal 2 2 2 5 2 20 10" xfId="21022" xr:uid="{00000000-0005-0000-0000-00001E520000}"/>
    <cellStyle name="Normal 2 2 2 5 2 20 11" xfId="21023" xr:uid="{00000000-0005-0000-0000-00001F520000}"/>
    <cellStyle name="Normal 2 2 2 5 2 20 12" xfId="21024" xr:uid="{00000000-0005-0000-0000-000020520000}"/>
    <cellStyle name="Normal 2 2 2 5 2 20 13" xfId="21025" xr:uid="{00000000-0005-0000-0000-000021520000}"/>
    <cellStyle name="Normal 2 2 2 5 2 20 14" xfId="21026" xr:uid="{00000000-0005-0000-0000-000022520000}"/>
    <cellStyle name="Normal 2 2 2 5 2 20 2" xfId="21027" xr:uid="{00000000-0005-0000-0000-000023520000}"/>
    <cellStyle name="Normal 2 2 2 5 2 20 2 10" xfId="21028" xr:uid="{00000000-0005-0000-0000-000024520000}"/>
    <cellStyle name="Normal 2 2 2 5 2 20 2 2" xfId="21029" xr:uid="{00000000-0005-0000-0000-000025520000}"/>
    <cellStyle name="Normal 2 2 2 5 2 20 2 3" xfId="21030" xr:uid="{00000000-0005-0000-0000-000026520000}"/>
    <cellStyle name="Normal 2 2 2 5 2 20 2 4" xfId="21031" xr:uid="{00000000-0005-0000-0000-000027520000}"/>
    <cellStyle name="Normal 2 2 2 5 2 20 2 5" xfId="21032" xr:uid="{00000000-0005-0000-0000-000028520000}"/>
    <cellStyle name="Normal 2 2 2 5 2 20 2 6" xfId="21033" xr:uid="{00000000-0005-0000-0000-000029520000}"/>
    <cellStyle name="Normal 2 2 2 5 2 20 2 7" xfId="21034" xr:uid="{00000000-0005-0000-0000-00002A520000}"/>
    <cellStyle name="Normal 2 2 2 5 2 20 2 8" xfId="21035" xr:uid="{00000000-0005-0000-0000-00002B520000}"/>
    <cellStyle name="Normal 2 2 2 5 2 20 2 9" xfId="21036" xr:uid="{00000000-0005-0000-0000-00002C520000}"/>
    <cellStyle name="Normal 2 2 2 5 2 20 3" xfId="21037" xr:uid="{00000000-0005-0000-0000-00002D520000}"/>
    <cellStyle name="Normal 2 2 2 5 2 20 3 10" xfId="21038" xr:uid="{00000000-0005-0000-0000-00002E520000}"/>
    <cellStyle name="Normal 2 2 2 5 2 20 3 2" xfId="21039" xr:uid="{00000000-0005-0000-0000-00002F520000}"/>
    <cellStyle name="Normal 2 2 2 5 2 20 3 3" xfId="21040" xr:uid="{00000000-0005-0000-0000-000030520000}"/>
    <cellStyle name="Normal 2 2 2 5 2 20 3 4" xfId="21041" xr:uid="{00000000-0005-0000-0000-000031520000}"/>
    <cellStyle name="Normal 2 2 2 5 2 20 3 5" xfId="21042" xr:uid="{00000000-0005-0000-0000-000032520000}"/>
    <cellStyle name="Normal 2 2 2 5 2 20 3 6" xfId="21043" xr:uid="{00000000-0005-0000-0000-000033520000}"/>
    <cellStyle name="Normal 2 2 2 5 2 20 3 7" xfId="21044" xr:uid="{00000000-0005-0000-0000-000034520000}"/>
    <cellStyle name="Normal 2 2 2 5 2 20 3 8" xfId="21045" xr:uid="{00000000-0005-0000-0000-000035520000}"/>
    <cellStyle name="Normal 2 2 2 5 2 20 3 9" xfId="21046" xr:uid="{00000000-0005-0000-0000-000036520000}"/>
    <cellStyle name="Normal 2 2 2 5 2 20 4" xfId="21047" xr:uid="{00000000-0005-0000-0000-000037520000}"/>
    <cellStyle name="Normal 2 2 2 5 2 20 4 10" xfId="21048" xr:uid="{00000000-0005-0000-0000-000038520000}"/>
    <cellStyle name="Normal 2 2 2 5 2 20 4 2" xfId="21049" xr:uid="{00000000-0005-0000-0000-000039520000}"/>
    <cellStyle name="Normal 2 2 2 5 2 20 4 3" xfId="21050" xr:uid="{00000000-0005-0000-0000-00003A520000}"/>
    <cellStyle name="Normal 2 2 2 5 2 20 4 4" xfId="21051" xr:uid="{00000000-0005-0000-0000-00003B520000}"/>
    <cellStyle name="Normal 2 2 2 5 2 20 4 5" xfId="21052" xr:uid="{00000000-0005-0000-0000-00003C520000}"/>
    <cellStyle name="Normal 2 2 2 5 2 20 4 6" xfId="21053" xr:uid="{00000000-0005-0000-0000-00003D520000}"/>
    <cellStyle name="Normal 2 2 2 5 2 20 4 7" xfId="21054" xr:uid="{00000000-0005-0000-0000-00003E520000}"/>
    <cellStyle name="Normal 2 2 2 5 2 20 4 8" xfId="21055" xr:uid="{00000000-0005-0000-0000-00003F520000}"/>
    <cellStyle name="Normal 2 2 2 5 2 20 4 9" xfId="21056" xr:uid="{00000000-0005-0000-0000-000040520000}"/>
    <cellStyle name="Normal 2 2 2 5 2 20 5" xfId="21057" xr:uid="{00000000-0005-0000-0000-000041520000}"/>
    <cellStyle name="Normal 2 2 2 5 2 20 5 10" xfId="21058" xr:uid="{00000000-0005-0000-0000-000042520000}"/>
    <cellStyle name="Normal 2 2 2 5 2 20 5 2" xfId="21059" xr:uid="{00000000-0005-0000-0000-000043520000}"/>
    <cellStyle name="Normal 2 2 2 5 2 20 5 3" xfId="21060" xr:uid="{00000000-0005-0000-0000-000044520000}"/>
    <cellStyle name="Normal 2 2 2 5 2 20 5 4" xfId="21061" xr:uid="{00000000-0005-0000-0000-000045520000}"/>
    <cellStyle name="Normal 2 2 2 5 2 20 5 5" xfId="21062" xr:uid="{00000000-0005-0000-0000-000046520000}"/>
    <cellStyle name="Normal 2 2 2 5 2 20 5 6" xfId="21063" xr:uid="{00000000-0005-0000-0000-000047520000}"/>
    <cellStyle name="Normal 2 2 2 5 2 20 5 7" xfId="21064" xr:uid="{00000000-0005-0000-0000-000048520000}"/>
    <cellStyle name="Normal 2 2 2 5 2 20 5 8" xfId="21065" xr:uid="{00000000-0005-0000-0000-000049520000}"/>
    <cellStyle name="Normal 2 2 2 5 2 20 5 9" xfId="21066" xr:uid="{00000000-0005-0000-0000-00004A520000}"/>
    <cellStyle name="Normal 2 2 2 5 2 20 6" xfId="21067" xr:uid="{00000000-0005-0000-0000-00004B520000}"/>
    <cellStyle name="Normal 2 2 2 5 2 20 7" xfId="21068" xr:uid="{00000000-0005-0000-0000-00004C520000}"/>
    <cellStyle name="Normal 2 2 2 5 2 20 8" xfId="21069" xr:uid="{00000000-0005-0000-0000-00004D520000}"/>
    <cellStyle name="Normal 2 2 2 5 2 20 9" xfId="21070" xr:uid="{00000000-0005-0000-0000-00004E520000}"/>
    <cellStyle name="Normal 2 2 2 5 2 21" xfId="21071" xr:uid="{00000000-0005-0000-0000-00004F520000}"/>
    <cellStyle name="Normal 2 2 2 5 2 22" xfId="21072" xr:uid="{00000000-0005-0000-0000-000050520000}"/>
    <cellStyle name="Normal 2 2 2 5 2 3" xfId="21073" xr:uid="{00000000-0005-0000-0000-000051520000}"/>
    <cellStyle name="Normal 2 2 2 5 2 3 10" xfId="21074" xr:uid="{00000000-0005-0000-0000-000052520000}"/>
    <cellStyle name="Normal 2 2 2 5 2 3 11" xfId="21075" xr:uid="{00000000-0005-0000-0000-000053520000}"/>
    <cellStyle name="Normal 2 2 2 5 2 3 12" xfId="21076" xr:uid="{00000000-0005-0000-0000-000054520000}"/>
    <cellStyle name="Normal 2 2 2 5 2 3 13" xfId="21077" xr:uid="{00000000-0005-0000-0000-000055520000}"/>
    <cellStyle name="Normal 2 2 2 5 2 3 14" xfId="21078" xr:uid="{00000000-0005-0000-0000-000056520000}"/>
    <cellStyle name="Normal 2 2 2 5 2 3 2" xfId="21079" xr:uid="{00000000-0005-0000-0000-000057520000}"/>
    <cellStyle name="Normal 2 2 2 5 2 3 2 10" xfId="21080" xr:uid="{00000000-0005-0000-0000-000058520000}"/>
    <cellStyle name="Normal 2 2 2 5 2 3 2 2" xfId="21081" xr:uid="{00000000-0005-0000-0000-000059520000}"/>
    <cellStyle name="Normal 2 2 2 5 2 3 2 3" xfId="21082" xr:uid="{00000000-0005-0000-0000-00005A520000}"/>
    <cellStyle name="Normal 2 2 2 5 2 3 2 4" xfId="21083" xr:uid="{00000000-0005-0000-0000-00005B520000}"/>
    <cellStyle name="Normal 2 2 2 5 2 3 2 5" xfId="21084" xr:uid="{00000000-0005-0000-0000-00005C520000}"/>
    <cellStyle name="Normal 2 2 2 5 2 3 2 6" xfId="21085" xr:uid="{00000000-0005-0000-0000-00005D520000}"/>
    <cellStyle name="Normal 2 2 2 5 2 3 2 7" xfId="21086" xr:uid="{00000000-0005-0000-0000-00005E520000}"/>
    <cellStyle name="Normal 2 2 2 5 2 3 2 8" xfId="21087" xr:uid="{00000000-0005-0000-0000-00005F520000}"/>
    <cellStyle name="Normal 2 2 2 5 2 3 2 9" xfId="21088" xr:uid="{00000000-0005-0000-0000-000060520000}"/>
    <cellStyle name="Normal 2 2 2 5 2 3 3" xfId="21089" xr:uid="{00000000-0005-0000-0000-000061520000}"/>
    <cellStyle name="Normal 2 2 2 5 2 3 3 10" xfId="21090" xr:uid="{00000000-0005-0000-0000-000062520000}"/>
    <cellStyle name="Normal 2 2 2 5 2 3 3 2" xfId="21091" xr:uid="{00000000-0005-0000-0000-000063520000}"/>
    <cellStyle name="Normal 2 2 2 5 2 3 3 3" xfId="21092" xr:uid="{00000000-0005-0000-0000-000064520000}"/>
    <cellStyle name="Normal 2 2 2 5 2 3 3 4" xfId="21093" xr:uid="{00000000-0005-0000-0000-000065520000}"/>
    <cellStyle name="Normal 2 2 2 5 2 3 3 5" xfId="21094" xr:uid="{00000000-0005-0000-0000-000066520000}"/>
    <cellStyle name="Normal 2 2 2 5 2 3 3 6" xfId="21095" xr:uid="{00000000-0005-0000-0000-000067520000}"/>
    <cellStyle name="Normal 2 2 2 5 2 3 3 7" xfId="21096" xr:uid="{00000000-0005-0000-0000-000068520000}"/>
    <cellStyle name="Normal 2 2 2 5 2 3 3 8" xfId="21097" xr:uid="{00000000-0005-0000-0000-000069520000}"/>
    <cellStyle name="Normal 2 2 2 5 2 3 3 9" xfId="21098" xr:uid="{00000000-0005-0000-0000-00006A520000}"/>
    <cellStyle name="Normal 2 2 2 5 2 3 4" xfId="21099" xr:uid="{00000000-0005-0000-0000-00006B520000}"/>
    <cellStyle name="Normal 2 2 2 5 2 3 4 10" xfId="21100" xr:uid="{00000000-0005-0000-0000-00006C520000}"/>
    <cellStyle name="Normal 2 2 2 5 2 3 4 2" xfId="21101" xr:uid="{00000000-0005-0000-0000-00006D520000}"/>
    <cellStyle name="Normal 2 2 2 5 2 3 4 3" xfId="21102" xr:uid="{00000000-0005-0000-0000-00006E520000}"/>
    <cellStyle name="Normal 2 2 2 5 2 3 4 4" xfId="21103" xr:uid="{00000000-0005-0000-0000-00006F520000}"/>
    <cellStyle name="Normal 2 2 2 5 2 3 4 5" xfId="21104" xr:uid="{00000000-0005-0000-0000-000070520000}"/>
    <cellStyle name="Normal 2 2 2 5 2 3 4 6" xfId="21105" xr:uid="{00000000-0005-0000-0000-000071520000}"/>
    <cellStyle name="Normal 2 2 2 5 2 3 4 7" xfId="21106" xr:uid="{00000000-0005-0000-0000-000072520000}"/>
    <cellStyle name="Normal 2 2 2 5 2 3 4 8" xfId="21107" xr:uid="{00000000-0005-0000-0000-000073520000}"/>
    <cellStyle name="Normal 2 2 2 5 2 3 4 9" xfId="21108" xr:uid="{00000000-0005-0000-0000-000074520000}"/>
    <cellStyle name="Normal 2 2 2 5 2 3 5" xfId="21109" xr:uid="{00000000-0005-0000-0000-000075520000}"/>
    <cellStyle name="Normal 2 2 2 5 2 3 5 10" xfId="21110" xr:uid="{00000000-0005-0000-0000-000076520000}"/>
    <cellStyle name="Normal 2 2 2 5 2 3 5 2" xfId="21111" xr:uid="{00000000-0005-0000-0000-000077520000}"/>
    <cellStyle name="Normal 2 2 2 5 2 3 5 3" xfId="21112" xr:uid="{00000000-0005-0000-0000-000078520000}"/>
    <cellStyle name="Normal 2 2 2 5 2 3 5 4" xfId="21113" xr:uid="{00000000-0005-0000-0000-000079520000}"/>
    <cellStyle name="Normal 2 2 2 5 2 3 5 5" xfId="21114" xr:uid="{00000000-0005-0000-0000-00007A520000}"/>
    <cellStyle name="Normal 2 2 2 5 2 3 5 6" xfId="21115" xr:uid="{00000000-0005-0000-0000-00007B520000}"/>
    <cellStyle name="Normal 2 2 2 5 2 3 5 7" xfId="21116" xr:uid="{00000000-0005-0000-0000-00007C520000}"/>
    <cellStyle name="Normal 2 2 2 5 2 3 5 8" xfId="21117" xr:uid="{00000000-0005-0000-0000-00007D520000}"/>
    <cellStyle name="Normal 2 2 2 5 2 3 5 9" xfId="21118" xr:uid="{00000000-0005-0000-0000-00007E520000}"/>
    <cellStyle name="Normal 2 2 2 5 2 3 6" xfId="21119" xr:uid="{00000000-0005-0000-0000-00007F520000}"/>
    <cellStyle name="Normal 2 2 2 5 2 3 7" xfId="21120" xr:uid="{00000000-0005-0000-0000-000080520000}"/>
    <cellStyle name="Normal 2 2 2 5 2 3 8" xfId="21121" xr:uid="{00000000-0005-0000-0000-000081520000}"/>
    <cellStyle name="Normal 2 2 2 5 2 3 9" xfId="21122" xr:uid="{00000000-0005-0000-0000-000082520000}"/>
    <cellStyle name="Normal 2 2 2 5 2 4" xfId="21123" xr:uid="{00000000-0005-0000-0000-000083520000}"/>
    <cellStyle name="Normal 2 2 2 5 2 4 10" xfId="21124" xr:uid="{00000000-0005-0000-0000-000084520000}"/>
    <cellStyle name="Normal 2 2 2 5 2 4 11" xfId="21125" xr:uid="{00000000-0005-0000-0000-000085520000}"/>
    <cellStyle name="Normal 2 2 2 5 2 4 12" xfId="21126" xr:uid="{00000000-0005-0000-0000-000086520000}"/>
    <cellStyle name="Normal 2 2 2 5 2 4 13" xfId="21127" xr:uid="{00000000-0005-0000-0000-000087520000}"/>
    <cellStyle name="Normal 2 2 2 5 2 4 14" xfId="21128" xr:uid="{00000000-0005-0000-0000-000088520000}"/>
    <cellStyle name="Normal 2 2 2 5 2 4 2" xfId="21129" xr:uid="{00000000-0005-0000-0000-000089520000}"/>
    <cellStyle name="Normal 2 2 2 5 2 4 2 10" xfId="21130" xr:uid="{00000000-0005-0000-0000-00008A520000}"/>
    <cellStyle name="Normal 2 2 2 5 2 4 2 2" xfId="21131" xr:uid="{00000000-0005-0000-0000-00008B520000}"/>
    <cellStyle name="Normal 2 2 2 5 2 4 2 3" xfId="21132" xr:uid="{00000000-0005-0000-0000-00008C520000}"/>
    <cellStyle name="Normal 2 2 2 5 2 4 2 4" xfId="21133" xr:uid="{00000000-0005-0000-0000-00008D520000}"/>
    <cellStyle name="Normal 2 2 2 5 2 4 2 5" xfId="21134" xr:uid="{00000000-0005-0000-0000-00008E520000}"/>
    <cellStyle name="Normal 2 2 2 5 2 4 2 6" xfId="21135" xr:uid="{00000000-0005-0000-0000-00008F520000}"/>
    <cellStyle name="Normal 2 2 2 5 2 4 2 7" xfId="21136" xr:uid="{00000000-0005-0000-0000-000090520000}"/>
    <cellStyle name="Normal 2 2 2 5 2 4 2 8" xfId="21137" xr:uid="{00000000-0005-0000-0000-000091520000}"/>
    <cellStyle name="Normal 2 2 2 5 2 4 2 9" xfId="21138" xr:uid="{00000000-0005-0000-0000-000092520000}"/>
    <cellStyle name="Normal 2 2 2 5 2 4 3" xfId="21139" xr:uid="{00000000-0005-0000-0000-000093520000}"/>
    <cellStyle name="Normal 2 2 2 5 2 4 3 10" xfId="21140" xr:uid="{00000000-0005-0000-0000-000094520000}"/>
    <cellStyle name="Normal 2 2 2 5 2 4 3 2" xfId="21141" xr:uid="{00000000-0005-0000-0000-000095520000}"/>
    <cellStyle name="Normal 2 2 2 5 2 4 3 3" xfId="21142" xr:uid="{00000000-0005-0000-0000-000096520000}"/>
    <cellStyle name="Normal 2 2 2 5 2 4 3 4" xfId="21143" xr:uid="{00000000-0005-0000-0000-000097520000}"/>
    <cellStyle name="Normal 2 2 2 5 2 4 3 5" xfId="21144" xr:uid="{00000000-0005-0000-0000-000098520000}"/>
    <cellStyle name="Normal 2 2 2 5 2 4 3 6" xfId="21145" xr:uid="{00000000-0005-0000-0000-000099520000}"/>
    <cellStyle name="Normal 2 2 2 5 2 4 3 7" xfId="21146" xr:uid="{00000000-0005-0000-0000-00009A520000}"/>
    <cellStyle name="Normal 2 2 2 5 2 4 3 8" xfId="21147" xr:uid="{00000000-0005-0000-0000-00009B520000}"/>
    <cellStyle name="Normal 2 2 2 5 2 4 3 9" xfId="21148" xr:uid="{00000000-0005-0000-0000-00009C520000}"/>
    <cellStyle name="Normal 2 2 2 5 2 4 4" xfId="21149" xr:uid="{00000000-0005-0000-0000-00009D520000}"/>
    <cellStyle name="Normal 2 2 2 5 2 4 4 10" xfId="21150" xr:uid="{00000000-0005-0000-0000-00009E520000}"/>
    <cellStyle name="Normal 2 2 2 5 2 4 4 2" xfId="21151" xr:uid="{00000000-0005-0000-0000-00009F520000}"/>
    <cellStyle name="Normal 2 2 2 5 2 4 4 3" xfId="21152" xr:uid="{00000000-0005-0000-0000-0000A0520000}"/>
    <cellStyle name="Normal 2 2 2 5 2 4 4 4" xfId="21153" xr:uid="{00000000-0005-0000-0000-0000A1520000}"/>
    <cellStyle name="Normal 2 2 2 5 2 4 4 5" xfId="21154" xr:uid="{00000000-0005-0000-0000-0000A2520000}"/>
    <cellStyle name="Normal 2 2 2 5 2 4 4 6" xfId="21155" xr:uid="{00000000-0005-0000-0000-0000A3520000}"/>
    <cellStyle name="Normal 2 2 2 5 2 4 4 7" xfId="21156" xr:uid="{00000000-0005-0000-0000-0000A4520000}"/>
    <cellStyle name="Normal 2 2 2 5 2 4 4 8" xfId="21157" xr:uid="{00000000-0005-0000-0000-0000A5520000}"/>
    <cellStyle name="Normal 2 2 2 5 2 4 4 9" xfId="21158" xr:uid="{00000000-0005-0000-0000-0000A6520000}"/>
    <cellStyle name="Normal 2 2 2 5 2 4 5" xfId="21159" xr:uid="{00000000-0005-0000-0000-0000A7520000}"/>
    <cellStyle name="Normal 2 2 2 5 2 4 5 10" xfId="21160" xr:uid="{00000000-0005-0000-0000-0000A8520000}"/>
    <cellStyle name="Normal 2 2 2 5 2 4 5 2" xfId="21161" xr:uid="{00000000-0005-0000-0000-0000A9520000}"/>
    <cellStyle name="Normal 2 2 2 5 2 4 5 3" xfId="21162" xr:uid="{00000000-0005-0000-0000-0000AA520000}"/>
    <cellStyle name="Normal 2 2 2 5 2 4 5 4" xfId="21163" xr:uid="{00000000-0005-0000-0000-0000AB520000}"/>
    <cellStyle name="Normal 2 2 2 5 2 4 5 5" xfId="21164" xr:uid="{00000000-0005-0000-0000-0000AC520000}"/>
    <cellStyle name="Normal 2 2 2 5 2 4 5 6" xfId="21165" xr:uid="{00000000-0005-0000-0000-0000AD520000}"/>
    <cellStyle name="Normal 2 2 2 5 2 4 5 7" xfId="21166" xr:uid="{00000000-0005-0000-0000-0000AE520000}"/>
    <cellStyle name="Normal 2 2 2 5 2 4 5 8" xfId="21167" xr:uid="{00000000-0005-0000-0000-0000AF520000}"/>
    <cellStyle name="Normal 2 2 2 5 2 4 5 9" xfId="21168" xr:uid="{00000000-0005-0000-0000-0000B0520000}"/>
    <cellStyle name="Normal 2 2 2 5 2 4 6" xfId="21169" xr:uid="{00000000-0005-0000-0000-0000B1520000}"/>
    <cellStyle name="Normal 2 2 2 5 2 4 7" xfId="21170" xr:uid="{00000000-0005-0000-0000-0000B2520000}"/>
    <cellStyle name="Normal 2 2 2 5 2 4 8" xfId="21171" xr:uid="{00000000-0005-0000-0000-0000B3520000}"/>
    <cellStyle name="Normal 2 2 2 5 2 4 9" xfId="21172" xr:uid="{00000000-0005-0000-0000-0000B4520000}"/>
    <cellStyle name="Normal 2 2 2 5 2 5" xfId="21173" xr:uid="{00000000-0005-0000-0000-0000B5520000}"/>
    <cellStyle name="Normal 2 2 2 5 2 5 10" xfId="21174" xr:uid="{00000000-0005-0000-0000-0000B6520000}"/>
    <cellStyle name="Normal 2 2 2 5 2 5 11" xfId="21175" xr:uid="{00000000-0005-0000-0000-0000B7520000}"/>
    <cellStyle name="Normal 2 2 2 5 2 5 12" xfId="21176" xr:uid="{00000000-0005-0000-0000-0000B8520000}"/>
    <cellStyle name="Normal 2 2 2 5 2 5 13" xfId="21177" xr:uid="{00000000-0005-0000-0000-0000B9520000}"/>
    <cellStyle name="Normal 2 2 2 5 2 5 14" xfId="21178" xr:uid="{00000000-0005-0000-0000-0000BA520000}"/>
    <cellStyle name="Normal 2 2 2 5 2 5 2" xfId="21179" xr:uid="{00000000-0005-0000-0000-0000BB520000}"/>
    <cellStyle name="Normal 2 2 2 5 2 5 2 10" xfId="21180" xr:uid="{00000000-0005-0000-0000-0000BC520000}"/>
    <cellStyle name="Normal 2 2 2 5 2 5 2 2" xfId="21181" xr:uid="{00000000-0005-0000-0000-0000BD520000}"/>
    <cellStyle name="Normal 2 2 2 5 2 5 2 3" xfId="21182" xr:uid="{00000000-0005-0000-0000-0000BE520000}"/>
    <cellStyle name="Normal 2 2 2 5 2 5 2 4" xfId="21183" xr:uid="{00000000-0005-0000-0000-0000BF520000}"/>
    <cellStyle name="Normal 2 2 2 5 2 5 2 5" xfId="21184" xr:uid="{00000000-0005-0000-0000-0000C0520000}"/>
    <cellStyle name="Normal 2 2 2 5 2 5 2 6" xfId="21185" xr:uid="{00000000-0005-0000-0000-0000C1520000}"/>
    <cellStyle name="Normal 2 2 2 5 2 5 2 7" xfId="21186" xr:uid="{00000000-0005-0000-0000-0000C2520000}"/>
    <cellStyle name="Normal 2 2 2 5 2 5 2 8" xfId="21187" xr:uid="{00000000-0005-0000-0000-0000C3520000}"/>
    <cellStyle name="Normal 2 2 2 5 2 5 2 9" xfId="21188" xr:uid="{00000000-0005-0000-0000-0000C4520000}"/>
    <cellStyle name="Normal 2 2 2 5 2 5 3" xfId="21189" xr:uid="{00000000-0005-0000-0000-0000C5520000}"/>
    <cellStyle name="Normal 2 2 2 5 2 5 3 10" xfId="21190" xr:uid="{00000000-0005-0000-0000-0000C6520000}"/>
    <cellStyle name="Normal 2 2 2 5 2 5 3 2" xfId="21191" xr:uid="{00000000-0005-0000-0000-0000C7520000}"/>
    <cellStyle name="Normal 2 2 2 5 2 5 3 3" xfId="21192" xr:uid="{00000000-0005-0000-0000-0000C8520000}"/>
    <cellStyle name="Normal 2 2 2 5 2 5 3 4" xfId="21193" xr:uid="{00000000-0005-0000-0000-0000C9520000}"/>
    <cellStyle name="Normal 2 2 2 5 2 5 3 5" xfId="21194" xr:uid="{00000000-0005-0000-0000-0000CA520000}"/>
    <cellStyle name="Normal 2 2 2 5 2 5 3 6" xfId="21195" xr:uid="{00000000-0005-0000-0000-0000CB520000}"/>
    <cellStyle name="Normal 2 2 2 5 2 5 3 7" xfId="21196" xr:uid="{00000000-0005-0000-0000-0000CC520000}"/>
    <cellStyle name="Normal 2 2 2 5 2 5 3 8" xfId="21197" xr:uid="{00000000-0005-0000-0000-0000CD520000}"/>
    <cellStyle name="Normal 2 2 2 5 2 5 3 9" xfId="21198" xr:uid="{00000000-0005-0000-0000-0000CE520000}"/>
    <cellStyle name="Normal 2 2 2 5 2 5 4" xfId="21199" xr:uid="{00000000-0005-0000-0000-0000CF520000}"/>
    <cellStyle name="Normal 2 2 2 5 2 5 4 10" xfId="21200" xr:uid="{00000000-0005-0000-0000-0000D0520000}"/>
    <cellStyle name="Normal 2 2 2 5 2 5 4 2" xfId="21201" xr:uid="{00000000-0005-0000-0000-0000D1520000}"/>
    <cellStyle name="Normal 2 2 2 5 2 5 4 3" xfId="21202" xr:uid="{00000000-0005-0000-0000-0000D2520000}"/>
    <cellStyle name="Normal 2 2 2 5 2 5 4 4" xfId="21203" xr:uid="{00000000-0005-0000-0000-0000D3520000}"/>
    <cellStyle name="Normal 2 2 2 5 2 5 4 5" xfId="21204" xr:uid="{00000000-0005-0000-0000-0000D4520000}"/>
    <cellStyle name="Normal 2 2 2 5 2 5 4 6" xfId="21205" xr:uid="{00000000-0005-0000-0000-0000D5520000}"/>
    <cellStyle name="Normal 2 2 2 5 2 5 4 7" xfId="21206" xr:uid="{00000000-0005-0000-0000-0000D6520000}"/>
    <cellStyle name="Normal 2 2 2 5 2 5 4 8" xfId="21207" xr:uid="{00000000-0005-0000-0000-0000D7520000}"/>
    <cellStyle name="Normal 2 2 2 5 2 5 4 9" xfId="21208" xr:uid="{00000000-0005-0000-0000-0000D8520000}"/>
    <cellStyle name="Normal 2 2 2 5 2 5 5" xfId="21209" xr:uid="{00000000-0005-0000-0000-0000D9520000}"/>
    <cellStyle name="Normal 2 2 2 5 2 5 5 10" xfId="21210" xr:uid="{00000000-0005-0000-0000-0000DA520000}"/>
    <cellStyle name="Normal 2 2 2 5 2 5 5 2" xfId="21211" xr:uid="{00000000-0005-0000-0000-0000DB520000}"/>
    <cellStyle name="Normal 2 2 2 5 2 5 5 3" xfId="21212" xr:uid="{00000000-0005-0000-0000-0000DC520000}"/>
    <cellStyle name="Normal 2 2 2 5 2 5 5 4" xfId="21213" xr:uid="{00000000-0005-0000-0000-0000DD520000}"/>
    <cellStyle name="Normal 2 2 2 5 2 5 5 5" xfId="21214" xr:uid="{00000000-0005-0000-0000-0000DE520000}"/>
    <cellStyle name="Normal 2 2 2 5 2 5 5 6" xfId="21215" xr:uid="{00000000-0005-0000-0000-0000DF520000}"/>
    <cellStyle name="Normal 2 2 2 5 2 5 5 7" xfId="21216" xr:uid="{00000000-0005-0000-0000-0000E0520000}"/>
    <cellStyle name="Normal 2 2 2 5 2 5 5 8" xfId="21217" xr:uid="{00000000-0005-0000-0000-0000E1520000}"/>
    <cellStyle name="Normal 2 2 2 5 2 5 5 9" xfId="21218" xr:uid="{00000000-0005-0000-0000-0000E2520000}"/>
    <cellStyle name="Normal 2 2 2 5 2 5 6" xfId="21219" xr:uid="{00000000-0005-0000-0000-0000E3520000}"/>
    <cellStyle name="Normal 2 2 2 5 2 5 7" xfId="21220" xr:uid="{00000000-0005-0000-0000-0000E4520000}"/>
    <cellStyle name="Normal 2 2 2 5 2 5 8" xfId="21221" xr:uid="{00000000-0005-0000-0000-0000E5520000}"/>
    <cellStyle name="Normal 2 2 2 5 2 5 9" xfId="21222" xr:uid="{00000000-0005-0000-0000-0000E6520000}"/>
    <cellStyle name="Normal 2 2 2 5 2 6" xfId="21223" xr:uid="{00000000-0005-0000-0000-0000E7520000}"/>
    <cellStyle name="Normal 2 2 2 5 2 6 10" xfId="21224" xr:uid="{00000000-0005-0000-0000-0000E8520000}"/>
    <cellStyle name="Normal 2 2 2 5 2 6 11" xfId="21225" xr:uid="{00000000-0005-0000-0000-0000E9520000}"/>
    <cellStyle name="Normal 2 2 2 5 2 6 12" xfId="21226" xr:uid="{00000000-0005-0000-0000-0000EA520000}"/>
    <cellStyle name="Normal 2 2 2 5 2 6 13" xfId="21227" xr:uid="{00000000-0005-0000-0000-0000EB520000}"/>
    <cellStyle name="Normal 2 2 2 5 2 6 14" xfId="21228" xr:uid="{00000000-0005-0000-0000-0000EC520000}"/>
    <cellStyle name="Normal 2 2 2 5 2 6 2" xfId="21229" xr:uid="{00000000-0005-0000-0000-0000ED520000}"/>
    <cellStyle name="Normal 2 2 2 5 2 6 2 10" xfId="21230" xr:uid="{00000000-0005-0000-0000-0000EE520000}"/>
    <cellStyle name="Normal 2 2 2 5 2 6 2 2" xfId="21231" xr:uid="{00000000-0005-0000-0000-0000EF520000}"/>
    <cellStyle name="Normal 2 2 2 5 2 6 2 3" xfId="21232" xr:uid="{00000000-0005-0000-0000-0000F0520000}"/>
    <cellStyle name="Normal 2 2 2 5 2 6 2 4" xfId="21233" xr:uid="{00000000-0005-0000-0000-0000F1520000}"/>
    <cellStyle name="Normal 2 2 2 5 2 6 2 5" xfId="21234" xr:uid="{00000000-0005-0000-0000-0000F2520000}"/>
    <cellStyle name="Normal 2 2 2 5 2 6 2 6" xfId="21235" xr:uid="{00000000-0005-0000-0000-0000F3520000}"/>
    <cellStyle name="Normal 2 2 2 5 2 6 2 7" xfId="21236" xr:uid="{00000000-0005-0000-0000-0000F4520000}"/>
    <cellStyle name="Normal 2 2 2 5 2 6 2 8" xfId="21237" xr:uid="{00000000-0005-0000-0000-0000F5520000}"/>
    <cellStyle name="Normal 2 2 2 5 2 6 2 9" xfId="21238" xr:uid="{00000000-0005-0000-0000-0000F6520000}"/>
    <cellStyle name="Normal 2 2 2 5 2 6 3" xfId="21239" xr:uid="{00000000-0005-0000-0000-0000F7520000}"/>
    <cellStyle name="Normal 2 2 2 5 2 6 3 10" xfId="21240" xr:uid="{00000000-0005-0000-0000-0000F8520000}"/>
    <cellStyle name="Normal 2 2 2 5 2 6 3 2" xfId="21241" xr:uid="{00000000-0005-0000-0000-0000F9520000}"/>
    <cellStyle name="Normal 2 2 2 5 2 6 3 3" xfId="21242" xr:uid="{00000000-0005-0000-0000-0000FA520000}"/>
    <cellStyle name="Normal 2 2 2 5 2 6 3 4" xfId="21243" xr:uid="{00000000-0005-0000-0000-0000FB520000}"/>
    <cellStyle name="Normal 2 2 2 5 2 6 3 5" xfId="21244" xr:uid="{00000000-0005-0000-0000-0000FC520000}"/>
    <cellStyle name="Normal 2 2 2 5 2 6 3 6" xfId="21245" xr:uid="{00000000-0005-0000-0000-0000FD520000}"/>
    <cellStyle name="Normal 2 2 2 5 2 6 3 7" xfId="21246" xr:uid="{00000000-0005-0000-0000-0000FE520000}"/>
    <cellStyle name="Normal 2 2 2 5 2 6 3 8" xfId="21247" xr:uid="{00000000-0005-0000-0000-0000FF520000}"/>
    <cellStyle name="Normal 2 2 2 5 2 6 3 9" xfId="21248" xr:uid="{00000000-0005-0000-0000-000000530000}"/>
    <cellStyle name="Normal 2 2 2 5 2 6 4" xfId="21249" xr:uid="{00000000-0005-0000-0000-000001530000}"/>
    <cellStyle name="Normal 2 2 2 5 2 6 4 10" xfId="21250" xr:uid="{00000000-0005-0000-0000-000002530000}"/>
    <cellStyle name="Normal 2 2 2 5 2 6 4 2" xfId="21251" xr:uid="{00000000-0005-0000-0000-000003530000}"/>
    <cellStyle name="Normal 2 2 2 5 2 6 4 3" xfId="21252" xr:uid="{00000000-0005-0000-0000-000004530000}"/>
    <cellStyle name="Normal 2 2 2 5 2 6 4 4" xfId="21253" xr:uid="{00000000-0005-0000-0000-000005530000}"/>
    <cellStyle name="Normal 2 2 2 5 2 6 4 5" xfId="21254" xr:uid="{00000000-0005-0000-0000-000006530000}"/>
    <cellStyle name="Normal 2 2 2 5 2 6 4 6" xfId="21255" xr:uid="{00000000-0005-0000-0000-000007530000}"/>
    <cellStyle name="Normal 2 2 2 5 2 6 4 7" xfId="21256" xr:uid="{00000000-0005-0000-0000-000008530000}"/>
    <cellStyle name="Normal 2 2 2 5 2 6 4 8" xfId="21257" xr:uid="{00000000-0005-0000-0000-000009530000}"/>
    <cellStyle name="Normal 2 2 2 5 2 6 4 9" xfId="21258" xr:uid="{00000000-0005-0000-0000-00000A530000}"/>
    <cellStyle name="Normal 2 2 2 5 2 6 5" xfId="21259" xr:uid="{00000000-0005-0000-0000-00000B530000}"/>
    <cellStyle name="Normal 2 2 2 5 2 6 5 10" xfId="21260" xr:uid="{00000000-0005-0000-0000-00000C530000}"/>
    <cellStyle name="Normal 2 2 2 5 2 6 5 2" xfId="21261" xr:uid="{00000000-0005-0000-0000-00000D530000}"/>
    <cellStyle name="Normal 2 2 2 5 2 6 5 3" xfId="21262" xr:uid="{00000000-0005-0000-0000-00000E530000}"/>
    <cellStyle name="Normal 2 2 2 5 2 6 5 4" xfId="21263" xr:uid="{00000000-0005-0000-0000-00000F530000}"/>
    <cellStyle name="Normal 2 2 2 5 2 6 5 5" xfId="21264" xr:uid="{00000000-0005-0000-0000-000010530000}"/>
    <cellStyle name="Normal 2 2 2 5 2 6 5 6" xfId="21265" xr:uid="{00000000-0005-0000-0000-000011530000}"/>
    <cellStyle name="Normal 2 2 2 5 2 6 5 7" xfId="21266" xr:uid="{00000000-0005-0000-0000-000012530000}"/>
    <cellStyle name="Normal 2 2 2 5 2 6 5 8" xfId="21267" xr:uid="{00000000-0005-0000-0000-000013530000}"/>
    <cellStyle name="Normal 2 2 2 5 2 6 5 9" xfId="21268" xr:uid="{00000000-0005-0000-0000-000014530000}"/>
    <cellStyle name="Normal 2 2 2 5 2 6 6" xfId="21269" xr:uid="{00000000-0005-0000-0000-000015530000}"/>
    <cellStyle name="Normal 2 2 2 5 2 6 7" xfId="21270" xr:uid="{00000000-0005-0000-0000-000016530000}"/>
    <cellStyle name="Normal 2 2 2 5 2 6 8" xfId="21271" xr:uid="{00000000-0005-0000-0000-000017530000}"/>
    <cellStyle name="Normal 2 2 2 5 2 6 9" xfId="21272" xr:uid="{00000000-0005-0000-0000-000018530000}"/>
    <cellStyle name="Normal 2 2 2 5 2 7" xfId="21273" xr:uid="{00000000-0005-0000-0000-000019530000}"/>
    <cellStyle name="Normal 2 2 2 5 2 7 10" xfId="21274" xr:uid="{00000000-0005-0000-0000-00001A530000}"/>
    <cellStyle name="Normal 2 2 2 5 2 7 11" xfId="21275" xr:uid="{00000000-0005-0000-0000-00001B530000}"/>
    <cellStyle name="Normal 2 2 2 5 2 7 12" xfId="21276" xr:uid="{00000000-0005-0000-0000-00001C530000}"/>
    <cellStyle name="Normal 2 2 2 5 2 7 13" xfId="21277" xr:uid="{00000000-0005-0000-0000-00001D530000}"/>
    <cellStyle name="Normal 2 2 2 5 2 7 14" xfId="21278" xr:uid="{00000000-0005-0000-0000-00001E530000}"/>
    <cellStyle name="Normal 2 2 2 5 2 7 2" xfId="21279" xr:uid="{00000000-0005-0000-0000-00001F530000}"/>
    <cellStyle name="Normal 2 2 2 5 2 7 2 10" xfId="21280" xr:uid="{00000000-0005-0000-0000-000020530000}"/>
    <cellStyle name="Normal 2 2 2 5 2 7 2 2" xfId="21281" xr:uid="{00000000-0005-0000-0000-000021530000}"/>
    <cellStyle name="Normal 2 2 2 5 2 7 2 3" xfId="21282" xr:uid="{00000000-0005-0000-0000-000022530000}"/>
    <cellStyle name="Normal 2 2 2 5 2 7 2 4" xfId="21283" xr:uid="{00000000-0005-0000-0000-000023530000}"/>
    <cellStyle name="Normal 2 2 2 5 2 7 2 5" xfId="21284" xr:uid="{00000000-0005-0000-0000-000024530000}"/>
    <cellStyle name="Normal 2 2 2 5 2 7 2 6" xfId="21285" xr:uid="{00000000-0005-0000-0000-000025530000}"/>
    <cellStyle name="Normal 2 2 2 5 2 7 2 7" xfId="21286" xr:uid="{00000000-0005-0000-0000-000026530000}"/>
    <cellStyle name="Normal 2 2 2 5 2 7 2 8" xfId="21287" xr:uid="{00000000-0005-0000-0000-000027530000}"/>
    <cellStyle name="Normal 2 2 2 5 2 7 2 9" xfId="21288" xr:uid="{00000000-0005-0000-0000-000028530000}"/>
    <cellStyle name="Normal 2 2 2 5 2 7 3" xfId="21289" xr:uid="{00000000-0005-0000-0000-000029530000}"/>
    <cellStyle name="Normal 2 2 2 5 2 7 3 10" xfId="21290" xr:uid="{00000000-0005-0000-0000-00002A530000}"/>
    <cellStyle name="Normal 2 2 2 5 2 7 3 2" xfId="21291" xr:uid="{00000000-0005-0000-0000-00002B530000}"/>
    <cellStyle name="Normal 2 2 2 5 2 7 3 3" xfId="21292" xr:uid="{00000000-0005-0000-0000-00002C530000}"/>
    <cellStyle name="Normal 2 2 2 5 2 7 3 4" xfId="21293" xr:uid="{00000000-0005-0000-0000-00002D530000}"/>
    <cellStyle name="Normal 2 2 2 5 2 7 3 5" xfId="21294" xr:uid="{00000000-0005-0000-0000-00002E530000}"/>
    <cellStyle name="Normal 2 2 2 5 2 7 3 6" xfId="21295" xr:uid="{00000000-0005-0000-0000-00002F530000}"/>
    <cellStyle name="Normal 2 2 2 5 2 7 3 7" xfId="21296" xr:uid="{00000000-0005-0000-0000-000030530000}"/>
    <cellStyle name="Normal 2 2 2 5 2 7 3 8" xfId="21297" xr:uid="{00000000-0005-0000-0000-000031530000}"/>
    <cellStyle name="Normal 2 2 2 5 2 7 3 9" xfId="21298" xr:uid="{00000000-0005-0000-0000-000032530000}"/>
    <cellStyle name="Normal 2 2 2 5 2 7 4" xfId="21299" xr:uid="{00000000-0005-0000-0000-000033530000}"/>
    <cellStyle name="Normal 2 2 2 5 2 7 4 10" xfId="21300" xr:uid="{00000000-0005-0000-0000-000034530000}"/>
    <cellStyle name="Normal 2 2 2 5 2 7 4 2" xfId="21301" xr:uid="{00000000-0005-0000-0000-000035530000}"/>
    <cellStyle name="Normal 2 2 2 5 2 7 4 3" xfId="21302" xr:uid="{00000000-0005-0000-0000-000036530000}"/>
    <cellStyle name="Normal 2 2 2 5 2 7 4 4" xfId="21303" xr:uid="{00000000-0005-0000-0000-000037530000}"/>
    <cellStyle name="Normal 2 2 2 5 2 7 4 5" xfId="21304" xr:uid="{00000000-0005-0000-0000-000038530000}"/>
    <cellStyle name="Normal 2 2 2 5 2 7 4 6" xfId="21305" xr:uid="{00000000-0005-0000-0000-000039530000}"/>
    <cellStyle name="Normal 2 2 2 5 2 7 4 7" xfId="21306" xr:uid="{00000000-0005-0000-0000-00003A530000}"/>
    <cellStyle name="Normal 2 2 2 5 2 7 4 8" xfId="21307" xr:uid="{00000000-0005-0000-0000-00003B530000}"/>
    <cellStyle name="Normal 2 2 2 5 2 7 4 9" xfId="21308" xr:uid="{00000000-0005-0000-0000-00003C530000}"/>
    <cellStyle name="Normal 2 2 2 5 2 7 5" xfId="21309" xr:uid="{00000000-0005-0000-0000-00003D530000}"/>
    <cellStyle name="Normal 2 2 2 5 2 7 5 10" xfId="21310" xr:uid="{00000000-0005-0000-0000-00003E530000}"/>
    <cellStyle name="Normal 2 2 2 5 2 7 5 2" xfId="21311" xr:uid="{00000000-0005-0000-0000-00003F530000}"/>
    <cellStyle name="Normal 2 2 2 5 2 7 5 3" xfId="21312" xr:uid="{00000000-0005-0000-0000-000040530000}"/>
    <cellStyle name="Normal 2 2 2 5 2 7 5 4" xfId="21313" xr:uid="{00000000-0005-0000-0000-000041530000}"/>
    <cellStyle name="Normal 2 2 2 5 2 7 5 5" xfId="21314" xr:uid="{00000000-0005-0000-0000-000042530000}"/>
    <cellStyle name="Normal 2 2 2 5 2 7 5 6" xfId="21315" xr:uid="{00000000-0005-0000-0000-000043530000}"/>
    <cellStyle name="Normal 2 2 2 5 2 7 5 7" xfId="21316" xr:uid="{00000000-0005-0000-0000-000044530000}"/>
    <cellStyle name="Normal 2 2 2 5 2 7 5 8" xfId="21317" xr:uid="{00000000-0005-0000-0000-000045530000}"/>
    <cellStyle name="Normal 2 2 2 5 2 7 5 9" xfId="21318" xr:uid="{00000000-0005-0000-0000-000046530000}"/>
    <cellStyle name="Normal 2 2 2 5 2 7 6" xfId="21319" xr:uid="{00000000-0005-0000-0000-000047530000}"/>
    <cellStyle name="Normal 2 2 2 5 2 7 7" xfId="21320" xr:uid="{00000000-0005-0000-0000-000048530000}"/>
    <cellStyle name="Normal 2 2 2 5 2 7 8" xfId="21321" xr:uid="{00000000-0005-0000-0000-000049530000}"/>
    <cellStyle name="Normal 2 2 2 5 2 7 9" xfId="21322" xr:uid="{00000000-0005-0000-0000-00004A530000}"/>
    <cellStyle name="Normal 2 2 2 5 2 8" xfId="21323" xr:uid="{00000000-0005-0000-0000-00004B530000}"/>
    <cellStyle name="Normal 2 2 2 5 2 8 10" xfId="21324" xr:uid="{00000000-0005-0000-0000-00004C530000}"/>
    <cellStyle name="Normal 2 2 2 5 2 8 11" xfId="21325" xr:uid="{00000000-0005-0000-0000-00004D530000}"/>
    <cellStyle name="Normal 2 2 2 5 2 8 12" xfId="21326" xr:uid="{00000000-0005-0000-0000-00004E530000}"/>
    <cellStyle name="Normal 2 2 2 5 2 8 13" xfId="21327" xr:uid="{00000000-0005-0000-0000-00004F530000}"/>
    <cellStyle name="Normal 2 2 2 5 2 8 14" xfId="21328" xr:uid="{00000000-0005-0000-0000-000050530000}"/>
    <cellStyle name="Normal 2 2 2 5 2 8 2" xfId="21329" xr:uid="{00000000-0005-0000-0000-000051530000}"/>
    <cellStyle name="Normal 2 2 2 5 2 8 2 10" xfId="21330" xr:uid="{00000000-0005-0000-0000-000052530000}"/>
    <cellStyle name="Normal 2 2 2 5 2 8 2 2" xfId="21331" xr:uid="{00000000-0005-0000-0000-000053530000}"/>
    <cellStyle name="Normal 2 2 2 5 2 8 2 3" xfId="21332" xr:uid="{00000000-0005-0000-0000-000054530000}"/>
    <cellStyle name="Normal 2 2 2 5 2 8 2 4" xfId="21333" xr:uid="{00000000-0005-0000-0000-000055530000}"/>
    <cellStyle name="Normal 2 2 2 5 2 8 2 5" xfId="21334" xr:uid="{00000000-0005-0000-0000-000056530000}"/>
    <cellStyle name="Normal 2 2 2 5 2 8 2 6" xfId="21335" xr:uid="{00000000-0005-0000-0000-000057530000}"/>
    <cellStyle name="Normal 2 2 2 5 2 8 2 7" xfId="21336" xr:uid="{00000000-0005-0000-0000-000058530000}"/>
    <cellStyle name="Normal 2 2 2 5 2 8 2 8" xfId="21337" xr:uid="{00000000-0005-0000-0000-000059530000}"/>
    <cellStyle name="Normal 2 2 2 5 2 8 2 9" xfId="21338" xr:uid="{00000000-0005-0000-0000-00005A530000}"/>
    <cellStyle name="Normal 2 2 2 5 2 8 3" xfId="21339" xr:uid="{00000000-0005-0000-0000-00005B530000}"/>
    <cellStyle name="Normal 2 2 2 5 2 8 3 10" xfId="21340" xr:uid="{00000000-0005-0000-0000-00005C530000}"/>
    <cellStyle name="Normal 2 2 2 5 2 8 3 2" xfId="21341" xr:uid="{00000000-0005-0000-0000-00005D530000}"/>
    <cellStyle name="Normal 2 2 2 5 2 8 3 3" xfId="21342" xr:uid="{00000000-0005-0000-0000-00005E530000}"/>
    <cellStyle name="Normal 2 2 2 5 2 8 3 4" xfId="21343" xr:uid="{00000000-0005-0000-0000-00005F530000}"/>
    <cellStyle name="Normal 2 2 2 5 2 8 3 5" xfId="21344" xr:uid="{00000000-0005-0000-0000-000060530000}"/>
    <cellStyle name="Normal 2 2 2 5 2 8 3 6" xfId="21345" xr:uid="{00000000-0005-0000-0000-000061530000}"/>
    <cellStyle name="Normal 2 2 2 5 2 8 3 7" xfId="21346" xr:uid="{00000000-0005-0000-0000-000062530000}"/>
    <cellStyle name="Normal 2 2 2 5 2 8 3 8" xfId="21347" xr:uid="{00000000-0005-0000-0000-000063530000}"/>
    <cellStyle name="Normal 2 2 2 5 2 8 3 9" xfId="21348" xr:uid="{00000000-0005-0000-0000-000064530000}"/>
    <cellStyle name="Normal 2 2 2 5 2 8 4" xfId="21349" xr:uid="{00000000-0005-0000-0000-000065530000}"/>
    <cellStyle name="Normal 2 2 2 5 2 8 4 10" xfId="21350" xr:uid="{00000000-0005-0000-0000-000066530000}"/>
    <cellStyle name="Normal 2 2 2 5 2 8 4 2" xfId="21351" xr:uid="{00000000-0005-0000-0000-000067530000}"/>
    <cellStyle name="Normal 2 2 2 5 2 8 4 3" xfId="21352" xr:uid="{00000000-0005-0000-0000-000068530000}"/>
    <cellStyle name="Normal 2 2 2 5 2 8 4 4" xfId="21353" xr:uid="{00000000-0005-0000-0000-000069530000}"/>
    <cellStyle name="Normal 2 2 2 5 2 8 4 5" xfId="21354" xr:uid="{00000000-0005-0000-0000-00006A530000}"/>
    <cellStyle name="Normal 2 2 2 5 2 8 4 6" xfId="21355" xr:uid="{00000000-0005-0000-0000-00006B530000}"/>
    <cellStyle name="Normal 2 2 2 5 2 8 4 7" xfId="21356" xr:uid="{00000000-0005-0000-0000-00006C530000}"/>
    <cellStyle name="Normal 2 2 2 5 2 8 4 8" xfId="21357" xr:uid="{00000000-0005-0000-0000-00006D530000}"/>
    <cellStyle name="Normal 2 2 2 5 2 8 4 9" xfId="21358" xr:uid="{00000000-0005-0000-0000-00006E530000}"/>
    <cellStyle name="Normal 2 2 2 5 2 8 5" xfId="21359" xr:uid="{00000000-0005-0000-0000-00006F530000}"/>
    <cellStyle name="Normal 2 2 2 5 2 8 5 10" xfId="21360" xr:uid="{00000000-0005-0000-0000-000070530000}"/>
    <cellStyle name="Normal 2 2 2 5 2 8 5 2" xfId="21361" xr:uid="{00000000-0005-0000-0000-000071530000}"/>
    <cellStyle name="Normal 2 2 2 5 2 8 5 3" xfId="21362" xr:uid="{00000000-0005-0000-0000-000072530000}"/>
    <cellStyle name="Normal 2 2 2 5 2 8 5 4" xfId="21363" xr:uid="{00000000-0005-0000-0000-000073530000}"/>
    <cellStyle name="Normal 2 2 2 5 2 8 5 5" xfId="21364" xr:uid="{00000000-0005-0000-0000-000074530000}"/>
    <cellStyle name="Normal 2 2 2 5 2 8 5 6" xfId="21365" xr:uid="{00000000-0005-0000-0000-000075530000}"/>
    <cellStyle name="Normal 2 2 2 5 2 8 5 7" xfId="21366" xr:uid="{00000000-0005-0000-0000-000076530000}"/>
    <cellStyle name="Normal 2 2 2 5 2 8 5 8" xfId="21367" xr:uid="{00000000-0005-0000-0000-000077530000}"/>
    <cellStyle name="Normal 2 2 2 5 2 8 5 9" xfId="21368" xr:uid="{00000000-0005-0000-0000-000078530000}"/>
    <cellStyle name="Normal 2 2 2 5 2 8 6" xfId="21369" xr:uid="{00000000-0005-0000-0000-000079530000}"/>
    <cellStyle name="Normal 2 2 2 5 2 8 7" xfId="21370" xr:uid="{00000000-0005-0000-0000-00007A530000}"/>
    <cellStyle name="Normal 2 2 2 5 2 8 8" xfId="21371" xr:uid="{00000000-0005-0000-0000-00007B530000}"/>
    <cellStyle name="Normal 2 2 2 5 2 8 9" xfId="21372" xr:uid="{00000000-0005-0000-0000-00007C530000}"/>
    <cellStyle name="Normal 2 2 2 5 2 9" xfId="21373" xr:uid="{00000000-0005-0000-0000-00007D530000}"/>
    <cellStyle name="Normal 2 2 2 5 2 9 10" xfId="21374" xr:uid="{00000000-0005-0000-0000-00007E530000}"/>
    <cellStyle name="Normal 2 2 2 5 2 9 11" xfId="21375" xr:uid="{00000000-0005-0000-0000-00007F530000}"/>
    <cellStyle name="Normal 2 2 2 5 2 9 12" xfId="21376" xr:uid="{00000000-0005-0000-0000-000080530000}"/>
    <cellStyle name="Normal 2 2 2 5 2 9 13" xfId="21377" xr:uid="{00000000-0005-0000-0000-000081530000}"/>
    <cellStyle name="Normal 2 2 2 5 2 9 14" xfId="21378" xr:uid="{00000000-0005-0000-0000-000082530000}"/>
    <cellStyle name="Normal 2 2 2 5 2 9 2" xfId="21379" xr:uid="{00000000-0005-0000-0000-000083530000}"/>
    <cellStyle name="Normal 2 2 2 5 2 9 2 10" xfId="21380" xr:uid="{00000000-0005-0000-0000-000084530000}"/>
    <cellStyle name="Normal 2 2 2 5 2 9 2 2" xfId="21381" xr:uid="{00000000-0005-0000-0000-000085530000}"/>
    <cellStyle name="Normal 2 2 2 5 2 9 2 3" xfId="21382" xr:uid="{00000000-0005-0000-0000-000086530000}"/>
    <cellStyle name="Normal 2 2 2 5 2 9 2 4" xfId="21383" xr:uid="{00000000-0005-0000-0000-000087530000}"/>
    <cellStyle name="Normal 2 2 2 5 2 9 2 5" xfId="21384" xr:uid="{00000000-0005-0000-0000-000088530000}"/>
    <cellStyle name="Normal 2 2 2 5 2 9 2 6" xfId="21385" xr:uid="{00000000-0005-0000-0000-000089530000}"/>
    <cellStyle name="Normal 2 2 2 5 2 9 2 7" xfId="21386" xr:uid="{00000000-0005-0000-0000-00008A530000}"/>
    <cellStyle name="Normal 2 2 2 5 2 9 2 8" xfId="21387" xr:uid="{00000000-0005-0000-0000-00008B530000}"/>
    <cellStyle name="Normal 2 2 2 5 2 9 2 9" xfId="21388" xr:uid="{00000000-0005-0000-0000-00008C530000}"/>
    <cellStyle name="Normal 2 2 2 5 2 9 3" xfId="21389" xr:uid="{00000000-0005-0000-0000-00008D530000}"/>
    <cellStyle name="Normal 2 2 2 5 2 9 3 10" xfId="21390" xr:uid="{00000000-0005-0000-0000-00008E530000}"/>
    <cellStyle name="Normal 2 2 2 5 2 9 3 2" xfId="21391" xr:uid="{00000000-0005-0000-0000-00008F530000}"/>
    <cellStyle name="Normal 2 2 2 5 2 9 3 3" xfId="21392" xr:uid="{00000000-0005-0000-0000-000090530000}"/>
    <cellStyle name="Normal 2 2 2 5 2 9 3 4" xfId="21393" xr:uid="{00000000-0005-0000-0000-000091530000}"/>
    <cellStyle name="Normal 2 2 2 5 2 9 3 5" xfId="21394" xr:uid="{00000000-0005-0000-0000-000092530000}"/>
    <cellStyle name="Normal 2 2 2 5 2 9 3 6" xfId="21395" xr:uid="{00000000-0005-0000-0000-000093530000}"/>
    <cellStyle name="Normal 2 2 2 5 2 9 3 7" xfId="21396" xr:uid="{00000000-0005-0000-0000-000094530000}"/>
    <cellStyle name="Normal 2 2 2 5 2 9 3 8" xfId="21397" xr:uid="{00000000-0005-0000-0000-000095530000}"/>
    <cellStyle name="Normal 2 2 2 5 2 9 3 9" xfId="21398" xr:uid="{00000000-0005-0000-0000-000096530000}"/>
    <cellStyle name="Normal 2 2 2 5 2 9 4" xfId="21399" xr:uid="{00000000-0005-0000-0000-000097530000}"/>
    <cellStyle name="Normal 2 2 2 5 2 9 4 10" xfId="21400" xr:uid="{00000000-0005-0000-0000-000098530000}"/>
    <cellStyle name="Normal 2 2 2 5 2 9 4 2" xfId="21401" xr:uid="{00000000-0005-0000-0000-000099530000}"/>
    <cellStyle name="Normal 2 2 2 5 2 9 4 3" xfId="21402" xr:uid="{00000000-0005-0000-0000-00009A530000}"/>
    <cellStyle name="Normal 2 2 2 5 2 9 4 4" xfId="21403" xr:uid="{00000000-0005-0000-0000-00009B530000}"/>
    <cellStyle name="Normal 2 2 2 5 2 9 4 5" xfId="21404" xr:uid="{00000000-0005-0000-0000-00009C530000}"/>
    <cellStyle name="Normal 2 2 2 5 2 9 4 6" xfId="21405" xr:uid="{00000000-0005-0000-0000-00009D530000}"/>
    <cellStyle name="Normal 2 2 2 5 2 9 4 7" xfId="21406" xr:uid="{00000000-0005-0000-0000-00009E530000}"/>
    <cellStyle name="Normal 2 2 2 5 2 9 4 8" xfId="21407" xr:uid="{00000000-0005-0000-0000-00009F530000}"/>
    <cellStyle name="Normal 2 2 2 5 2 9 4 9" xfId="21408" xr:uid="{00000000-0005-0000-0000-0000A0530000}"/>
    <cellStyle name="Normal 2 2 2 5 2 9 5" xfId="21409" xr:uid="{00000000-0005-0000-0000-0000A1530000}"/>
    <cellStyle name="Normal 2 2 2 5 2 9 5 10" xfId="21410" xr:uid="{00000000-0005-0000-0000-0000A2530000}"/>
    <cellStyle name="Normal 2 2 2 5 2 9 5 2" xfId="21411" xr:uid="{00000000-0005-0000-0000-0000A3530000}"/>
    <cellStyle name="Normal 2 2 2 5 2 9 5 3" xfId="21412" xr:uid="{00000000-0005-0000-0000-0000A4530000}"/>
    <cellStyle name="Normal 2 2 2 5 2 9 5 4" xfId="21413" xr:uid="{00000000-0005-0000-0000-0000A5530000}"/>
    <cellStyle name="Normal 2 2 2 5 2 9 5 5" xfId="21414" xr:uid="{00000000-0005-0000-0000-0000A6530000}"/>
    <cellStyle name="Normal 2 2 2 5 2 9 5 6" xfId="21415" xr:uid="{00000000-0005-0000-0000-0000A7530000}"/>
    <cellStyle name="Normal 2 2 2 5 2 9 5 7" xfId="21416" xr:uid="{00000000-0005-0000-0000-0000A8530000}"/>
    <cellStyle name="Normal 2 2 2 5 2 9 5 8" xfId="21417" xr:uid="{00000000-0005-0000-0000-0000A9530000}"/>
    <cellStyle name="Normal 2 2 2 5 2 9 5 9" xfId="21418" xr:uid="{00000000-0005-0000-0000-0000AA530000}"/>
    <cellStyle name="Normal 2 2 2 5 2 9 6" xfId="21419" xr:uid="{00000000-0005-0000-0000-0000AB530000}"/>
    <cellStyle name="Normal 2 2 2 5 2 9 7" xfId="21420" xr:uid="{00000000-0005-0000-0000-0000AC530000}"/>
    <cellStyle name="Normal 2 2 2 5 2 9 8" xfId="21421" xr:uid="{00000000-0005-0000-0000-0000AD530000}"/>
    <cellStyle name="Normal 2 2 2 5 2 9 9" xfId="21422" xr:uid="{00000000-0005-0000-0000-0000AE530000}"/>
    <cellStyle name="Normal 2 2 2 5 20" xfId="21423" xr:uid="{00000000-0005-0000-0000-0000AF530000}"/>
    <cellStyle name="Normal 2 2 2 5 21" xfId="21424" xr:uid="{00000000-0005-0000-0000-0000B0530000}"/>
    <cellStyle name="Normal 2 2 2 5 21 10" xfId="21425" xr:uid="{00000000-0005-0000-0000-0000B1530000}"/>
    <cellStyle name="Normal 2 2 2 5 21 2" xfId="21426" xr:uid="{00000000-0005-0000-0000-0000B2530000}"/>
    <cellStyle name="Normal 2 2 2 5 21 3" xfId="21427" xr:uid="{00000000-0005-0000-0000-0000B3530000}"/>
    <cellStyle name="Normal 2 2 2 5 21 4" xfId="21428" xr:uid="{00000000-0005-0000-0000-0000B4530000}"/>
    <cellStyle name="Normal 2 2 2 5 21 5" xfId="21429" xr:uid="{00000000-0005-0000-0000-0000B5530000}"/>
    <cellStyle name="Normal 2 2 2 5 21 6" xfId="21430" xr:uid="{00000000-0005-0000-0000-0000B6530000}"/>
    <cellStyle name="Normal 2 2 2 5 21 7" xfId="21431" xr:uid="{00000000-0005-0000-0000-0000B7530000}"/>
    <cellStyle name="Normal 2 2 2 5 21 8" xfId="21432" xr:uid="{00000000-0005-0000-0000-0000B8530000}"/>
    <cellStyle name="Normal 2 2 2 5 21 9" xfId="21433" xr:uid="{00000000-0005-0000-0000-0000B9530000}"/>
    <cellStyle name="Normal 2 2 2 5 22" xfId="21434" xr:uid="{00000000-0005-0000-0000-0000BA530000}"/>
    <cellStyle name="Normal 2 2 2 5 22 10" xfId="21435" xr:uid="{00000000-0005-0000-0000-0000BB530000}"/>
    <cellStyle name="Normal 2 2 2 5 22 2" xfId="21436" xr:uid="{00000000-0005-0000-0000-0000BC530000}"/>
    <cellStyle name="Normal 2 2 2 5 22 3" xfId="21437" xr:uid="{00000000-0005-0000-0000-0000BD530000}"/>
    <cellStyle name="Normal 2 2 2 5 22 4" xfId="21438" xr:uid="{00000000-0005-0000-0000-0000BE530000}"/>
    <cellStyle name="Normal 2 2 2 5 22 5" xfId="21439" xr:uid="{00000000-0005-0000-0000-0000BF530000}"/>
    <cellStyle name="Normal 2 2 2 5 22 6" xfId="21440" xr:uid="{00000000-0005-0000-0000-0000C0530000}"/>
    <cellStyle name="Normal 2 2 2 5 22 7" xfId="21441" xr:uid="{00000000-0005-0000-0000-0000C1530000}"/>
    <cellStyle name="Normal 2 2 2 5 22 8" xfId="21442" xr:uid="{00000000-0005-0000-0000-0000C2530000}"/>
    <cellStyle name="Normal 2 2 2 5 22 9" xfId="21443" xr:uid="{00000000-0005-0000-0000-0000C3530000}"/>
    <cellStyle name="Normal 2 2 2 5 23" xfId="21444" xr:uid="{00000000-0005-0000-0000-0000C4530000}"/>
    <cellStyle name="Normal 2 2 2 5 23 10" xfId="21445" xr:uid="{00000000-0005-0000-0000-0000C5530000}"/>
    <cellStyle name="Normal 2 2 2 5 23 2" xfId="21446" xr:uid="{00000000-0005-0000-0000-0000C6530000}"/>
    <cellStyle name="Normal 2 2 2 5 23 3" xfId="21447" xr:uid="{00000000-0005-0000-0000-0000C7530000}"/>
    <cellStyle name="Normal 2 2 2 5 23 4" xfId="21448" xr:uid="{00000000-0005-0000-0000-0000C8530000}"/>
    <cellStyle name="Normal 2 2 2 5 23 5" xfId="21449" xr:uid="{00000000-0005-0000-0000-0000C9530000}"/>
    <cellStyle name="Normal 2 2 2 5 23 6" xfId="21450" xr:uid="{00000000-0005-0000-0000-0000CA530000}"/>
    <cellStyle name="Normal 2 2 2 5 23 7" xfId="21451" xr:uid="{00000000-0005-0000-0000-0000CB530000}"/>
    <cellStyle name="Normal 2 2 2 5 23 8" xfId="21452" xr:uid="{00000000-0005-0000-0000-0000CC530000}"/>
    <cellStyle name="Normal 2 2 2 5 23 9" xfId="21453" xr:uid="{00000000-0005-0000-0000-0000CD530000}"/>
    <cellStyle name="Normal 2 2 2 5 24" xfId="21454" xr:uid="{00000000-0005-0000-0000-0000CE530000}"/>
    <cellStyle name="Normal 2 2 2 5 24 10" xfId="21455" xr:uid="{00000000-0005-0000-0000-0000CF530000}"/>
    <cellStyle name="Normal 2 2 2 5 24 2" xfId="21456" xr:uid="{00000000-0005-0000-0000-0000D0530000}"/>
    <cellStyle name="Normal 2 2 2 5 24 3" xfId="21457" xr:uid="{00000000-0005-0000-0000-0000D1530000}"/>
    <cellStyle name="Normal 2 2 2 5 24 4" xfId="21458" xr:uid="{00000000-0005-0000-0000-0000D2530000}"/>
    <cellStyle name="Normal 2 2 2 5 24 5" xfId="21459" xr:uid="{00000000-0005-0000-0000-0000D3530000}"/>
    <cellStyle name="Normal 2 2 2 5 24 6" xfId="21460" xr:uid="{00000000-0005-0000-0000-0000D4530000}"/>
    <cellStyle name="Normal 2 2 2 5 24 7" xfId="21461" xr:uid="{00000000-0005-0000-0000-0000D5530000}"/>
    <cellStyle name="Normal 2 2 2 5 24 8" xfId="21462" xr:uid="{00000000-0005-0000-0000-0000D6530000}"/>
    <cellStyle name="Normal 2 2 2 5 24 9" xfId="21463" xr:uid="{00000000-0005-0000-0000-0000D7530000}"/>
    <cellStyle name="Normal 2 2 2 5 25" xfId="21464" xr:uid="{00000000-0005-0000-0000-0000D8530000}"/>
    <cellStyle name="Normal 2 2 2 5 26" xfId="21465" xr:uid="{00000000-0005-0000-0000-0000D9530000}"/>
    <cellStyle name="Normal 2 2 2 5 27" xfId="21466" xr:uid="{00000000-0005-0000-0000-0000DA530000}"/>
    <cellStyle name="Normal 2 2 2 5 28" xfId="21467" xr:uid="{00000000-0005-0000-0000-0000DB530000}"/>
    <cellStyle name="Normal 2 2 2 5 29" xfId="21468" xr:uid="{00000000-0005-0000-0000-0000DC530000}"/>
    <cellStyle name="Normal 2 2 2 5 3" xfId="21469" xr:uid="{00000000-0005-0000-0000-0000DD530000}"/>
    <cellStyle name="Normal 2 2 2 5 30" xfId="21470" xr:uid="{00000000-0005-0000-0000-0000DE530000}"/>
    <cellStyle name="Normal 2 2 2 5 31" xfId="21471" xr:uid="{00000000-0005-0000-0000-0000DF530000}"/>
    <cellStyle name="Normal 2 2 2 5 32" xfId="21472" xr:uid="{00000000-0005-0000-0000-0000E0530000}"/>
    <cellStyle name="Normal 2 2 2 5 33" xfId="21473" xr:uid="{00000000-0005-0000-0000-0000E1530000}"/>
    <cellStyle name="Normal 2 2 2 5 34" xfId="21474" xr:uid="{00000000-0005-0000-0000-0000E2530000}"/>
    <cellStyle name="Normal 2 2 2 5 35" xfId="21475" xr:uid="{00000000-0005-0000-0000-0000E3530000}"/>
    <cellStyle name="Normal 2 2 2 5 4" xfId="21476" xr:uid="{00000000-0005-0000-0000-0000E4530000}"/>
    <cellStyle name="Normal 2 2 2 5 5" xfId="21477" xr:uid="{00000000-0005-0000-0000-0000E5530000}"/>
    <cellStyle name="Normal 2 2 2 5 6" xfId="21478" xr:uid="{00000000-0005-0000-0000-0000E6530000}"/>
    <cellStyle name="Normal 2 2 2 5 7" xfId="21479" xr:uid="{00000000-0005-0000-0000-0000E7530000}"/>
    <cellStyle name="Normal 2 2 2 5 8" xfId="21480" xr:uid="{00000000-0005-0000-0000-0000E8530000}"/>
    <cellStyle name="Normal 2 2 2 5 9" xfId="21481" xr:uid="{00000000-0005-0000-0000-0000E9530000}"/>
    <cellStyle name="Normal 2 2 2 50" xfId="21482" xr:uid="{00000000-0005-0000-0000-0000EA530000}"/>
    <cellStyle name="Normal 2 2 2 51" xfId="21483" xr:uid="{00000000-0005-0000-0000-0000EB530000}"/>
    <cellStyle name="Normal 2 2 2 6" xfId="21484" xr:uid="{00000000-0005-0000-0000-0000EC530000}"/>
    <cellStyle name="Normal 2 2 2 6 10" xfId="21485" xr:uid="{00000000-0005-0000-0000-0000ED530000}"/>
    <cellStyle name="Normal 2 2 2 6 11" xfId="21486" xr:uid="{00000000-0005-0000-0000-0000EE530000}"/>
    <cellStyle name="Normal 2 2 2 6 12" xfId="21487" xr:uid="{00000000-0005-0000-0000-0000EF530000}"/>
    <cellStyle name="Normal 2 2 2 6 13" xfId="21488" xr:uid="{00000000-0005-0000-0000-0000F0530000}"/>
    <cellStyle name="Normal 2 2 2 6 14" xfId="21489" xr:uid="{00000000-0005-0000-0000-0000F1530000}"/>
    <cellStyle name="Normal 2 2 2 6 15" xfId="21490" xr:uid="{00000000-0005-0000-0000-0000F2530000}"/>
    <cellStyle name="Normal 2 2 2 6 16" xfId="21491" xr:uid="{00000000-0005-0000-0000-0000F3530000}"/>
    <cellStyle name="Normal 2 2 2 6 2" xfId="21492" xr:uid="{00000000-0005-0000-0000-0000F4530000}"/>
    <cellStyle name="Normal 2 2 2 6 2 10" xfId="21493" xr:uid="{00000000-0005-0000-0000-0000F5530000}"/>
    <cellStyle name="Normal 2 2 2 6 2 2" xfId="21494" xr:uid="{00000000-0005-0000-0000-0000F6530000}"/>
    <cellStyle name="Normal 2 2 2 6 2 3" xfId="21495" xr:uid="{00000000-0005-0000-0000-0000F7530000}"/>
    <cellStyle name="Normal 2 2 2 6 2 4" xfId="21496" xr:uid="{00000000-0005-0000-0000-0000F8530000}"/>
    <cellStyle name="Normal 2 2 2 6 2 5" xfId="21497" xr:uid="{00000000-0005-0000-0000-0000F9530000}"/>
    <cellStyle name="Normal 2 2 2 6 2 6" xfId="21498" xr:uid="{00000000-0005-0000-0000-0000FA530000}"/>
    <cellStyle name="Normal 2 2 2 6 2 7" xfId="21499" xr:uid="{00000000-0005-0000-0000-0000FB530000}"/>
    <cellStyle name="Normal 2 2 2 6 2 8" xfId="21500" xr:uid="{00000000-0005-0000-0000-0000FC530000}"/>
    <cellStyle name="Normal 2 2 2 6 2 9" xfId="21501" xr:uid="{00000000-0005-0000-0000-0000FD530000}"/>
    <cellStyle name="Normal 2 2 2 6 3" xfId="21502" xr:uid="{00000000-0005-0000-0000-0000FE530000}"/>
    <cellStyle name="Normal 2 2 2 6 3 10" xfId="21503" xr:uid="{00000000-0005-0000-0000-0000FF530000}"/>
    <cellStyle name="Normal 2 2 2 6 3 2" xfId="21504" xr:uid="{00000000-0005-0000-0000-000000540000}"/>
    <cellStyle name="Normal 2 2 2 6 3 3" xfId="21505" xr:uid="{00000000-0005-0000-0000-000001540000}"/>
    <cellStyle name="Normal 2 2 2 6 3 4" xfId="21506" xr:uid="{00000000-0005-0000-0000-000002540000}"/>
    <cellStyle name="Normal 2 2 2 6 3 5" xfId="21507" xr:uid="{00000000-0005-0000-0000-000003540000}"/>
    <cellStyle name="Normal 2 2 2 6 3 6" xfId="21508" xr:uid="{00000000-0005-0000-0000-000004540000}"/>
    <cellStyle name="Normal 2 2 2 6 3 7" xfId="21509" xr:uid="{00000000-0005-0000-0000-000005540000}"/>
    <cellStyle name="Normal 2 2 2 6 3 8" xfId="21510" xr:uid="{00000000-0005-0000-0000-000006540000}"/>
    <cellStyle name="Normal 2 2 2 6 3 9" xfId="21511" xr:uid="{00000000-0005-0000-0000-000007540000}"/>
    <cellStyle name="Normal 2 2 2 6 4" xfId="21512" xr:uid="{00000000-0005-0000-0000-000008540000}"/>
    <cellStyle name="Normal 2 2 2 6 4 10" xfId="21513" xr:uid="{00000000-0005-0000-0000-000009540000}"/>
    <cellStyle name="Normal 2 2 2 6 4 2" xfId="21514" xr:uid="{00000000-0005-0000-0000-00000A540000}"/>
    <cellStyle name="Normal 2 2 2 6 4 3" xfId="21515" xr:uid="{00000000-0005-0000-0000-00000B540000}"/>
    <cellStyle name="Normal 2 2 2 6 4 4" xfId="21516" xr:uid="{00000000-0005-0000-0000-00000C540000}"/>
    <cellStyle name="Normal 2 2 2 6 4 5" xfId="21517" xr:uid="{00000000-0005-0000-0000-00000D540000}"/>
    <cellStyle name="Normal 2 2 2 6 4 6" xfId="21518" xr:uid="{00000000-0005-0000-0000-00000E540000}"/>
    <cellStyle name="Normal 2 2 2 6 4 7" xfId="21519" xr:uid="{00000000-0005-0000-0000-00000F540000}"/>
    <cellStyle name="Normal 2 2 2 6 4 8" xfId="21520" xr:uid="{00000000-0005-0000-0000-000010540000}"/>
    <cellStyle name="Normal 2 2 2 6 4 9" xfId="21521" xr:uid="{00000000-0005-0000-0000-000011540000}"/>
    <cellStyle name="Normal 2 2 2 6 5" xfId="21522" xr:uid="{00000000-0005-0000-0000-000012540000}"/>
    <cellStyle name="Normal 2 2 2 6 5 10" xfId="21523" xr:uid="{00000000-0005-0000-0000-000013540000}"/>
    <cellStyle name="Normal 2 2 2 6 5 2" xfId="21524" xr:uid="{00000000-0005-0000-0000-000014540000}"/>
    <cellStyle name="Normal 2 2 2 6 5 3" xfId="21525" xr:uid="{00000000-0005-0000-0000-000015540000}"/>
    <cellStyle name="Normal 2 2 2 6 5 4" xfId="21526" xr:uid="{00000000-0005-0000-0000-000016540000}"/>
    <cellStyle name="Normal 2 2 2 6 5 5" xfId="21527" xr:uid="{00000000-0005-0000-0000-000017540000}"/>
    <cellStyle name="Normal 2 2 2 6 5 6" xfId="21528" xr:uid="{00000000-0005-0000-0000-000018540000}"/>
    <cellStyle name="Normal 2 2 2 6 5 7" xfId="21529" xr:uid="{00000000-0005-0000-0000-000019540000}"/>
    <cellStyle name="Normal 2 2 2 6 5 8" xfId="21530" xr:uid="{00000000-0005-0000-0000-00001A540000}"/>
    <cellStyle name="Normal 2 2 2 6 5 9" xfId="21531" xr:uid="{00000000-0005-0000-0000-00001B540000}"/>
    <cellStyle name="Normal 2 2 2 6 6" xfId="21532" xr:uid="{00000000-0005-0000-0000-00001C540000}"/>
    <cellStyle name="Normal 2 2 2 6 7" xfId="21533" xr:uid="{00000000-0005-0000-0000-00001D540000}"/>
    <cellStyle name="Normal 2 2 2 6 8" xfId="21534" xr:uid="{00000000-0005-0000-0000-00001E540000}"/>
    <cellStyle name="Normal 2 2 2 6 9" xfId="21535" xr:uid="{00000000-0005-0000-0000-00001F540000}"/>
    <cellStyle name="Normal 2 2 2 7" xfId="21536" xr:uid="{00000000-0005-0000-0000-000020540000}"/>
    <cellStyle name="Normal 2 2 2 7 10" xfId="21537" xr:uid="{00000000-0005-0000-0000-000021540000}"/>
    <cellStyle name="Normal 2 2 2 7 11" xfId="21538" xr:uid="{00000000-0005-0000-0000-000022540000}"/>
    <cellStyle name="Normal 2 2 2 7 12" xfId="21539" xr:uid="{00000000-0005-0000-0000-000023540000}"/>
    <cellStyle name="Normal 2 2 2 7 13" xfId="21540" xr:uid="{00000000-0005-0000-0000-000024540000}"/>
    <cellStyle name="Normal 2 2 2 7 14" xfId="21541" xr:uid="{00000000-0005-0000-0000-000025540000}"/>
    <cellStyle name="Normal 2 2 2 7 15" xfId="21542" xr:uid="{00000000-0005-0000-0000-000026540000}"/>
    <cellStyle name="Normal 2 2 2 7 16" xfId="21543" xr:uid="{00000000-0005-0000-0000-000027540000}"/>
    <cellStyle name="Normal 2 2 2 7 2" xfId="21544" xr:uid="{00000000-0005-0000-0000-000028540000}"/>
    <cellStyle name="Normal 2 2 2 7 2 10" xfId="21545" xr:uid="{00000000-0005-0000-0000-000029540000}"/>
    <cellStyle name="Normal 2 2 2 7 2 2" xfId="21546" xr:uid="{00000000-0005-0000-0000-00002A540000}"/>
    <cellStyle name="Normal 2 2 2 7 2 3" xfId="21547" xr:uid="{00000000-0005-0000-0000-00002B540000}"/>
    <cellStyle name="Normal 2 2 2 7 2 4" xfId="21548" xr:uid="{00000000-0005-0000-0000-00002C540000}"/>
    <cellStyle name="Normal 2 2 2 7 2 5" xfId="21549" xr:uid="{00000000-0005-0000-0000-00002D540000}"/>
    <cellStyle name="Normal 2 2 2 7 2 6" xfId="21550" xr:uid="{00000000-0005-0000-0000-00002E540000}"/>
    <cellStyle name="Normal 2 2 2 7 2 7" xfId="21551" xr:uid="{00000000-0005-0000-0000-00002F540000}"/>
    <cellStyle name="Normal 2 2 2 7 2 8" xfId="21552" xr:uid="{00000000-0005-0000-0000-000030540000}"/>
    <cellStyle name="Normal 2 2 2 7 2 9" xfId="21553" xr:uid="{00000000-0005-0000-0000-000031540000}"/>
    <cellStyle name="Normal 2 2 2 7 3" xfId="21554" xr:uid="{00000000-0005-0000-0000-000032540000}"/>
    <cellStyle name="Normal 2 2 2 7 3 10" xfId="21555" xr:uid="{00000000-0005-0000-0000-000033540000}"/>
    <cellStyle name="Normal 2 2 2 7 3 2" xfId="21556" xr:uid="{00000000-0005-0000-0000-000034540000}"/>
    <cellStyle name="Normal 2 2 2 7 3 3" xfId="21557" xr:uid="{00000000-0005-0000-0000-000035540000}"/>
    <cellStyle name="Normal 2 2 2 7 3 4" xfId="21558" xr:uid="{00000000-0005-0000-0000-000036540000}"/>
    <cellStyle name="Normal 2 2 2 7 3 5" xfId="21559" xr:uid="{00000000-0005-0000-0000-000037540000}"/>
    <cellStyle name="Normal 2 2 2 7 3 6" xfId="21560" xr:uid="{00000000-0005-0000-0000-000038540000}"/>
    <cellStyle name="Normal 2 2 2 7 3 7" xfId="21561" xr:uid="{00000000-0005-0000-0000-000039540000}"/>
    <cellStyle name="Normal 2 2 2 7 3 8" xfId="21562" xr:uid="{00000000-0005-0000-0000-00003A540000}"/>
    <cellStyle name="Normal 2 2 2 7 3 9" xfId="21563" xr:uid="{00000000-0005-0000-0000-00003B540000}"/>
    <cellStyle name="Normal 2 2 2 7 4" xfId="21564" xr:uid="{00000000-0005-0000-0000-00003C540000}"/>
    <cellStyle name="Normal 2 2 2 7 4 10" xfId="21565" xr:uid="{00000000-0005-0000-0000-00003D540000}"/>
    <cellStyle name="Normal 2 2 2 7 4 2" xfId="21566" xr:uid="{00000000-0005-0000-0000-00003E540000}"/>
    <cellStyle name="Normal 2 2 2 7 4 3" xfId="21567" xr:uid="{00000000-0005-0000-0000-00003F540000}"/>
    <cellStyle name="Normal 2 2 2 7 4 4" xfId="21568" xr:uid="{00000000-0005-0000-0000-000040540000}"/>
    <cellStyle name="Normal 2 2 2 7 4 5" xfId="21569" xr:uid="{00000000-0005-0000-0000-000041540000}"/>
    <cellStyle name="Normal 2 2 2 7 4 6" xfId="21570" xr:uid="{00000000-0005-0000-0000-000042540000}"/>
    <cellStyle name="Normal 2 2 2 7 4 7" xfId="21571" xr:uid="{00000000-0005-0000-0000-000043540000}"/>
    <cellStyle name="Normal 2 2 2 7 4 8" xfId="21572" xr:uid="{00000000-0005-0000-0000-000044540000}"/>
    <cellStyle name="Normal 2 2 2 7 4 9" xfId="21573" xr:uid="{00000000-0005-0000-0000-000045540000}"/>
    <cellStyle name="Normal 2 2 2 7 5" xfId="21574" xr:uid="{00000000-0005-0000-0000-000046540000}"/>
    <cellStyle name="Normal 2 2 2 7 5 10" xfId="21575" xr:uid="{00000000-0005-0000-0000-000047540000}"/>
    <cellStyle name="Normal 2 2 2 7 5 2" xfId="21576" xr:uid="{00000000-0005-0000-0000-000048540000}"/>
    <cellStyle name="Normal 2 2 2 7 5 3" xfId="21577" xr:uid="{00000000-0005-0000-0000-000049540000}"/>
    <cellStyle name="Normal 2 2 2 7 5 4" xfId="21578" xr:uid="{00000000-0005-0000-0000-00004A540000}"/>
    <cellStyle name="Normal 2 2 2 7 5 5" xfId="21579" xr:uid="{00000000-0005-0000-0000-00004B540000}"/>
    <cellStyle name="Normal 2 2 2 7 5 6" xfId="21580" xr:uid="{00000000-0005-0000-0000-00004C540000}"/>
    <cellStyle name="Normal 2 2 2 7 5 7" xfId="21581" xr:uid="{00000000-0005-0000-0000-00004D540000}"/>
    <cellStyle name="Normal 2 2 2 7 5 8" xfId="21582" xr:uid="{00000000-0005-0000-0000-00004E540000}"/>
    <cellStyle name="Normal 2 2 2 7 5 9" xfId="21583" xr:uid="{00000000-0005-0000-0000-00004F540000}"/>
    <cellStyle name="Normal 2 2 2 7 6" xfId="21584" xr:uid="{00000000-0005-0000-0000-000050540000}"/>
    <cellStyle name="Normal 2 2 2 7 7" xfId="21585" xr:uid="{00000000-0005-0000-0000-000051540000}"/>
    <cellStyle name="Normal 2 2 2 7 8" xfId="21586" xr:uid="{00000000-0005-0000-0000-000052540000}"/>
    <cellStyle name="Normal 2 2 2 7 9" xfId="21587" xr:uid="{00000000-0005-0000-0000-000053540000}"/>
    <cellStyle name="Normal 2 2 2 8" xfId="21588" xr:uid="{00000000-0005-0000-0000-000054540000}"/>
    <cellStyle name="Normal 2 2 2 8 10" xfId="21589" xr:uid="{00000000-0005-0000-0000-000055540000}"/>
    <cellStyle name="Normal 2 2 2 8 11" xfId="21590" xr:uid="{00000000-0005-0000-0000-000056540000}"/>
    <cellStyle name="Normal 2 2 2 8 12" xfId="21591" xr:uid="{00000000-0005-0000-0000-000057540000}"/>
    <cellStyle name="Normal 2 2 2 8 13" xfId="21592" xr:uid="{00000000-0005-0000-0000-000058540000}"/>
    <cellStyle name="Normal 2 2 2 8 14" xfId="21593" xr:uid="{00000000-0005-0000-0000-000059540000}"/>
    <cellStyle name="Normal 2 2 2 8 2" xfId="21594" xr:uid="{00000000-0005-0000-0000-00005A540000}"/>
    <cellStyle name="Normal 2 2 2 8 2 10" xfId="21595" xr:uid="{00000000-0005-0000-0000-00005B540000}"/>
    <cellStyle name="Normal 2 2 2 8 2 2" xfId="21596" xr:uid="{00000000-0005-0000-0000-00005C540000}"/>
    <cellStyle name="Normal 2 2 2 8 2 3" xfId="21597" xr:uid="{00000000-0005-0000-0000-00005D540000}"/>
    <cellStyle name="Normal 2 2 2 8 2 4" xfId="21598" xr:uid="{00000000-0005-0000-0000-00005E540000}"/>
    <cellStyle name="Normal 2 2 2 8 2 5" xfId="21599" xr:uid="{00000000-0005-0000-0000-00005F540000}"/>
    <cellStyle name="Normal 2 2 2 8 2 6" xfId="21600" xr:uid="{00000000-0005-0000-0000-000060540000}"/>
    <cellStyle name="Normal 2 2 2 8 2 7" xfId="21601" xr:uid="{00000000-0005-0000-0000-000061540000}"/>
    <cellStyle name="Normal 2 2 2 8 2 8" xfId="21602" xr:uid="{00000000-0005-0000-0000-000062540000}"/>
    <cellStyle name="Normal 2 2 2 8 2 9" xfId="21603" xr:uid="{00000000-0005-0000-0000-000063540000}"/>
    <cellStyle name="Normal 2 2 2 8 3" xfId="21604" xr:uid="{00000000-0005-0000-0000-000064540000}"/>
    <cellStyle name="Normal 2 2 2 8 3 10" xfId="21605" xr:uid="{00000000-0005-0000-0000-000065540000}"/>
    <cellStyle name="Normal 2 2 2 8 3 2" xfId="21606" xr:uid="{00000000-0005-0000-0000-000066540000}"/>
    <cellStyle name="Normal 2 2 2 8 3 3" xfId="21607" xr:uid="{00000000-0005-0000-0000-000067540000}"/>
    <cellStyle name="Normal 2 2 2 8 3 4" xfId="21608" xr:uid="{00000000-0005-0000-0000-000068540000}"/>
    <cellStyle name="Normal 2 2 2 8 3 5" xfId="21609" xr:uid="{00000000-0005-0000-0000-000069540000}"/>
    <cellStyle name="Normal 2 2 2 8 3 6" xfId="21610" xr:uid="{00000000-0005-0000-0000-00006A540000}"/>
    <cellStyle name="Normal 2 2 2 8 3 7" xfId="21611" xr:uid="{00000000-0005-0000-0000-00006B540000}"/>
    <cellStyle name="Normal 2 2 2 8 3 8" xfId="21612" xr:uid="{00000000-0005-0000-0000-00006C540000}"/>
    <cellStyle name="Normal 2 2 2 8 3 9" xfId="21613" xr:uid="{00000000-0005-0000-0000-00006D540000}"/>
    <cellStyle name="Normal 2 2 2 8 4" xfId="21614" xr:uid="{00000000-0005-0000-0000-00006E540000}"/>
    <cellStyle name="Normal 2 2 2 8 4 10" xfId="21615" xr:uid="{00000000-0005-0000-0000-00006F540000}"/>
    <cellStyle name="Normal 2 2 2 8 4 2" xfId="21616" xr:uid="{00000000-0005-0000-0000-000070540000}"/>
    <cellStyle name="Normal 2 2 2 8 4 3" xfId="21617" xr:uid="{00000000-0005-0000-0000-000071540000}"/>
    <cellStyle name="Normal 2 2 2 8 4 4" xfId="21618" xr:uid="{00000000-0005-0000-0000-000072540000}"/>
    <cellStyle name="Normal 2 2 2 8 4 5" xfId="21619" xr:uid="{00000000-0005-0000-0000-000073540000}"/>
    <cellStyle name="Normal 2 2 2 8 4 6" xfId="21620" xr:uid="{00000000-0005-0000-0000-000074540000}"/>
    <cellStyle name="Normal 2 2 2 8 4 7" xfId="21621" xr:uid="{00000000-0005-0000-0000-000075540000}"/>
    <cellStyle name="Normal 2 2 2 8 4 8" xfId="21622" xr:uid="{00000000-0005-0000-0000-000076540000}"/>
    <cellStyle name="Normal 2 2 2 8 4 9" xfId="21623" xr:uid="{00000000-0005-0000-0000-000077540000}"/>
    <cellStyle name="Normal 2 2 2 8 5" xfId="21624" xr:uid="{00000000-0005-0000-0000-000078540000}"/>
    <cellStyle name="Normal 2 2 2 8 5 10" xfId="21625" xr:uid="{00000000-0005-0000-0000-000079540000}"/>
    <cellStyle name="Normal 2 2 2 8 5 2" xfId="21626" xr:uid="{00000000-0005-0000-0000-00007A540000}"/>
    <cellStyle name="Normal 2 2 2 8 5 3" xfId="21627" xr:uid="{00000000-0005-0000-0000-00007B540000}"/>
    <cellStyle name="Normal 2 2 2 8 5 4" xfId="21628" xr:uid="{00000000-0005-0000-0000-00007C540000}"/>
    <cellStyle name="Normal 2 2 2 8 5 5" xfId="21629" xr:uid="{00000000-0005-0000-0000-00007D540000}"/>
    <cellStyle name="Normal 2 2 2 8 5 6" xfId="21630" xr:uid="{00000000-0005-0000-0000-00007E540000}"/>
    <cellStyle name="Normal 2 2 2 8 5 7" xfId="21631" xr:uid="{00000000-0005-0000-0000-00007F540000}"/>
    <cellStyle name="Normal 2 2 2 8 5 8" xfId="21632" xr:uid="{00000000-0005-0000-0000-000080540000}"/>
    <cellStyle name="Normal 2 2 2 8 5 9" xfId="21633" xr:uid="{00000000-0005-0000-0000-000081540000}"/>
    <cellStyle name="Normal 2 2 2 8 6" xfId="21634" xr:uid="{00000000-0005-0000-0000-000082540000}"/>
    <cellStyle name="Normal 2 2 2 8 7" xfId="21635" xr:uid="{00000000-0005-0000-0000-000083540000}"/>
    <cellStyle name="Normal 2 2 2 8 8" xfId="21636" xr:uid="{00000000-0005-0000-0000-000084540000}"/>
    <cellStyle name="Normal 2 2 2 8 9" xfId="21637" xr:uid="{00000000-0005-0000-0000-000085540000}"/>
    <cellStyle name="Normal 2 2 2 9" xfId="21638" xr:uid="{00000000-0005-0000-0000-000086540000}"/>
    <cellStyle name="Normal 2 2 2 9 10" xfId="21639" xr:uid="{00000000-0005-0000-0000-000087540000}"/>
    <cellStyle name="Normal 2 2 2 9 11" xfId="21640" xr:uid="{00000000-0005-0000-0000-000088540000}"/>
    <cellStyle name="Normal 2 2 2 9 12" xfId="21641" xr:uid="{00000000-0005-0000-0000-000089540000}"/>
    <cellStyle name="Normal 2 2 2 9 13" xfId="21642" xr:uid="{00000000-0005-0000-0000-00008A540000}"/>
    <cellStyle name="Normal 2 2 2 9 14" xfId="21643" xr:uid="{00000000-0005-0000-0000-00008B540000}"/>
    <cellStyle name="Normal 2 2 2 9 2" xfId="21644" xr:uid="{00000000-0005-0000-0000-00008C540000}"/>
    <cellStyle name="Normal 2 2 2 9 2 10" xfId="21645" xr:uid="{00000000-0005-0000-0000-00008D540000}"/>
    <cellStyle name="Normal 2 2 2 9 2 2" xfId="21646" xr:uid="{00000000-0005-0000-0000-00008E540000}"/>
    <cellStyle name="Normal 2 2 2 9 2 3" xfId="21647" xr:uid="{00000000-0005-0000-0000-00008F540000}"/>
    <cellStyle name="Normal 2 2 2 9 2 4" xfId="21648" xr:uid="{00000000-0005-0000-0000-000090540000}"/>
    <cellStyle name="Normal 2 2 2 9 2 5" xfId="21649" xr:uid="{00000000-0005-0000-0000-000091540000}"/>
    <cellStyle name="Normal 2 2 2 9 2 6" xfId="21650" xr:uid="{00000000-0005-0000-0000-000092540000}"/>
    <cellStyle name="Normal 2 2 2 9 2 7" xfId="21651" xr:uid="{00000000-0005-0000-0000-000093540000}"/>
    <cellStyle name="Normal 2 2 2 9 2 8" xfId="21652" xr:uid="{00000000-0005-0000-0000-000094540000}"/>
    <cellStyle name="Normal 2 2 2 9 2 9" xfId="21653" xr:uid="{00000000-0005-0000-0000-000095540000}"/>
    <cellStyle name="Normal 2 2 2 9 3" xfId="21654" xr:uid="{00000000-0005-0000-0000-000096540000}"/>
    <cellStyle name="Normal 2 2 2 9 3 10" xfId="21655" xr:uid="{00000000-0005-0000-0000-000097540000}"/>
    <cellStyle name="Normal 2 2 2 9 3 2" xfId="21656" xr:uid="{00000000-0005-0000-0000-000098540000}"/>
    <cellStyle name="Normal 2 2 2 9 3 3" xfId="21657" xr:uid="{00000000-0005-0000-0000-000099540000}"/>
    <cellStyle name="Normal 2 2 2 9 3 4" xfId="21658" xr:uid="{00000000-0005-0000-0000-00009A540000}"/>
    <cellStyle name="Normal 2 2 2 9 3 5" xfId="21659" xr:uid="{00000000-0005-0000-0000-00009B540000}"/>
    <cellStyle name="Normal 2 2 2 9 3 6" xfId="21660" xr:uid="{00000000-0005-0000-0000-00009C540000}"/>
    <cellStyle name="Normal 2 2 2 9 3 7" xfId="21661" xr:uid="{00000000-0005-0000-0000-00009D540000}"/>
    <cellStyle name="Normal 2 2 2 9 3 8" xfId="21662" xr:uid="{00000000-0005-0000-0000-00009E540000}"/>
    <cellStyle name="Normal 2 2 2 9 3 9" xfId="21663" xr:uid="{00000000-0005-0000-0000-00009F540000}"/>
    <cellStyle name="Normal 2 2 2 9 4" xfId="21664" xr:uid="{00000000-0005-0000-0000-0000A0540000}"/>
    <cellStyle name="Normal 2 2 2 9 4 10" xfId="21665" xr:uid="{00000000-0005-0000-0000-0000A1540000}"/>
    <cellStyle name="Normal 2 2 2 9 4 2" xfId="21666" xr:uid="{00000000-0005-0000-0000-0000A2540000}"/>
    <cellStyle name="Normal 2 2 2 9 4 3" xfId="21667" xr:uid="{00000000-0005-0000-0000-0000A3540000}"/>
    <cellStyle name="Normal 2 2 2 9 4 4" xfId="21668" xr:uid="{00000000-0005-0000-0000-0000A4540000}"/>
    <cellStyle name="Normal 2 2 2 9 4 5" xfId="21669" xr:uid="{00000000-0005-0000-0000-0000A5540000}"/>
    <cellStyle name="Normal 2 2 2 9 4 6" xfId="21670" xr:uid="{00000000-0005-0000-0000-0000A6540000}"/>
    <cellStyle name="Normal 2 2 2 9 4 7" xfId="21671" xr:uid="{00000000-0005-0000-0000-0000A7540000}"/>
    <cellStyle name="Normal 2 2 2 9 4 8" xfId="21672" xr:uid="{00000000-0005-0000-0000-0000A8540000}"/>
    <cellStyle name="Normal 2 2 2 9 4 9" xfId="21673" xr:uid="{00000000-0005-0000-0000-0000A9540000}"/>
    <cellStyle name="Normal 2 2 2 9 5" xfId="21674" xr:uid="{00000000-0005-0000-0000-0000AA540000}"/>
    <cellStyle name="Normal 2 2 2 9 5 10" xfId="21675" xr:uid="{00000000-0005-0000-0000-0000AB540000}"/>
    <cellStyle name="Normal 2 2 2 9 5 2" xfId="21676" xr:uid="{00000000-0005-0000-0000-0000AC540000}"/>
    <cellStyle name="Normal 2 2 2 9 5 3" xfId="21677" xr:uid="{00000000-0005-0000-0000-0000AD540000}"/>
    <cellStyle name="Normal 2 2 2 9 5 4" xfId="21678" xr:uid="{00000000-0005-0000-0000-0000AE540000}"/>
    <cellStyle name="Normal 2 2 2 9 5 5" xfId="21679" xr:uid="{00000000-0005-0000-0000-0000AF540000}"/>
    <cellStyle name="Normal 2 2 2 9 5 6" xfId="21680" xr:uid="{00000000-0005-0000-0000-0000B0540000}"/>
    <cellStyle name="Normal 2 2 2 9 5 7" xfId="21681" xr:uid="{00000000-0005-0000-0000-0000B1540000}"/>
    <cellStyle name="Normal 2 2 2 9 5 8" xfId="21682" xr:uid="{00000000-0005-0000-0000-0000B2540000}"/>
    <cellStyle name="Normal 2 2 2 9 5 9" xfId="21683" xr:uid="{00000000-0005-0000-0000-0000B3540000}"/>
    <cellStyle name="Normal 2 2 2 9 6" xfId="21684" xr:uid="{00000000-0005-0000-0000-0000B4540000}"/>
    <cellStyle name="Normal 2 2 2 9 7" xfId="21685" xr:uid="{00000000-0005-0000-0000-0000B5540000}"/>
    <cellStyle name="Normal 2 2 2 9 8" xfId="21686" xr:uid="{00000000-0005-0000-0000-0000B6540000}"/>
    <cellStyle name="Normal 2 2 2 9 9" xfId="21687" xr:uid="{00000000-0005-0000-0000-0000B7540000}"/>
    <cellStyle name="Normal 2 2 20" xfId="21688" xr:uid="{00000000-0005-0000-0000-0000B8540000}"/>
    <cellStyle name="Normal 2 2 21" xfId="21689" xr:uid="{00000000-0005-0000-0000-0000B9540000}"/>
    <cellStyle name="Normal 2 2 22" xfId="21690" xr:uid="{00000000-0005-0000-0000-0000BA540000}"/>
    <cellStyle name="Normal 2 2 23" xfId="21691" xr:uid="{00000000-0005-0000-0000-0000BB540000}"/>
    <cellStyle name="Normal 2 2 24" xfId="21692" xr:uid="{00000000-0005-0000-0000-0000BC540000}"/>
    <cellStyle name="Normal 2 2 25" xfId="21693" xr:uid="{00000000-0005-0000-0000-0000BD540000}"/>
    <cellStyle name="Normal 2 2 26" xfId="21694" xr:uid="{00000000-0005-0000-0000-0000BE540000}"/>
    <cellStyle name="Normal 2 2 27" xfId="21695" xr:uid="{00000000-0005-0000-0000-0000BF540000}"/>
    <cellStyle name="Normal 2 2 28" xfId="21696" xr:uid="{00000000-0005-0000-0000-0000C0540000}"/>
    <cellStyle name="Normal 2 2 29" xfId="21697" xr:uid="{00000000-0005-0000-0000-0000C1540000}"/>
    <cellStyle name="Normal 2 2 3" xfId="21698" xr:uid="{00000000-0005-0000-0000-0000C2540000}"/>
    <cellStyle name="Normal 2 2 3 2" xfId="21699" xr:uid="{00000000-0005-0000-0000-0000C3540000}"/>
    <cellStyle name="Normal 2 2 3 3" xfId="21700" xr:uid="{00000000-0005-0000-0000-0000C4540000}"/>
    <cellStyle name="Normal 2 2 3 4" xfId="21701" xr:uid="{00000000-0005-0000-0000-0000C5540000}"/>
    <cellStyle name="Normal 2 2 30" xfId="21702" xr:uid="{00000000-0005-0000-0000-0000C6540000}"/>
    <cellStyle name="Normal 2 2 31" xfId="21703" xr:uid="{00000000-0005-0000-0000-0000C7540000}"/>
    <cellStyle name="Normal 2 2 32" xfId="21704" xr:uid="{00000000-0005-0000-0000-0000C8540000}"/>
    <cellStyle name="Normal 2 2 33" xfId="21705" xr:uid="{00000000-0005-0000-0000-0000C9540000}"/>
    <cellStyle name="Normal 2 2 34" xfId="21706" xr:uid="{00000000-0005-0000-0000-0000CA540000}"/>
    <cellStyle name="Normal 2 2 35" xfId="21707" xr:uid="{00000000-0005-0000-0000-0000CB540000}"/>
    <cellStyle name="Normal 2 2 36" xfId="21708" xr:uid="{00000000-0005-0000-0000-0000CC540000}"/>
    <cellStyle name="Normal 2 2 37" xfId="21709" xr:uid="{00000000-0005-0000-0000-0000CD540000}"/>
    <cellStyle name="Normal 2 2 38" xfId="21710" xr:uid="{00000000-0005-0000-0000-0000CE540000}"/>
    <cellStyle name="Normal 2 2 39" xfId="21711" xr:uid="{00000000-0005-0000-0000-0000CF540000}"/>
    <cellStyle name="Normal 2 2 4" xfId="17" xr:uid="{00000000-0005-0000-0000-000011000000}"/>
    <cellStyle name="Normal 2 2 4 10" xfId="21712" xr:uid="{00000000-0005-0000-0000-0000D0540000}"/>
    <cellStyle name="Normal 2 2 4 10 10" xfId="21713" xr:uid="{00000000-0005-0000-0000-0000D1540000}"/>
    <cellStyle name="Normal 2 2 4 10 11" xfId="21714" xr:uid="{00000000-0005-0000-0000-0000D2540000}"/>
    <cellStyle name="Normal 2 2 4 10 12" xfId="21715" xr:uid="{00000000-0005-0000-0000-0000D3540000}"/>
    <cellStyle name="Normal 2 2 4 10 13" xfId="21716" xr:uid="{00000000-0005-0000-0000-0000D4540000}"/>
    <cellStyle name="Normal 2 2 4 10 14" xfId="21717" xr:uid="{00000000-0005-0000-0000-0000D5540000}"/>
    <cellStyle name="Normal 2 2 4 10 2" xfId="21718" xr:uid="{00000000-0005-0000-0000-0000D6540000}"/>
    <cellStyle name="Normal 2 2 4 10 2 10" xfId="21719" xr:uid="{00000000-0005-0000-0000-0000D7540000}"/>
    <cellStyle name="Normal 2 2 4 10 2 2" xfId="21720" xr:uid="{00000000-0005-0000-0000-0000D8540000}"/>
    <cellStyle name="Normal 2 2 4 10 2 3" xfId="21721" xr:uid="{00000000-0005-0000-0000-0000D9540000}"/>
    <cellStyle name="Normal 2 2 4 10 2 4" xfId="21722" xr:uid="{00000000-0005-0000-0000-0000DA540000}"/>
    <cellStyle name="Normal 2 2 4 10 2 5" xfId="21723" xr:uid="{00000000-0005-0000-0000-0000DB540000}"/>
    <cellStyle name="Normal 2 2 4 10 2 6" xfId="21724" xr:uid="{00000000-0005-0000-0000-0000DC540000}"/>
    <cellStyle name="Normal 2 2 4 10 2 7" xfId="21725" xr:uid="{00000000-0005-0000-0000-0000DD540000}"/>
    <cellStyle name="Normal 2 2 4 10 2 8" xfId="21726" xr:uid="{00000000-0005-0000-0000-0000DE540000}"/>
    <cellStyle name="Normal 2 2 4 10 2 9" xfId="21727" xr:uid="{00000000-0005-0000-0000-0000DF540000}"/>
    <cellStyle name="Normal 2 2 4 10 3" xfId="21728" xr:uid="{00000000-0005-0000-0000-0000E0540000}"/>
    <cellStyle name="Normal 2 2 4 10 3 10" xfId="21729" xr:uid="{00000000-0005-0000-0000-0000E1540000}"/>
    <cellStyle name="Normal 2 2 4 10 3 2" xfId="21730" xr:uid="{00000000-0005-0000-0000-0000E2540000}"/>
    <cellStyle name="Normal 2 2 4 10 3 3" xfId="21731" xr:uid="{00000000-0005-0000-0000-0000E3540000}"/>
    <cellStyle name="Normal 2 2 4 10 3 4" xfId="21732" xr:uid="{00000000-0005-0000-0000-0000E4540000}"/>
    <cellStyle name="Normal 2 2 4 10 3 5" xfId="21733" xr:uid="{00000000-0005-0000-0000-0000E5540000}"/>
    <cellStyle name="Normal 2 2 4 10 3 6" xfId="21734" xr:uid="{00000000-0005-0000-0000-0000E6540000}"/>
    <cellStyle name="Normal 2 2 4 10 3 7" xfId="21735" xr:uid="{00000000-0005-0000-0000-0000E7540000}"/>
    <cellStyle name="Normal 2 2 4 10 3 8" xfId="21736" xr:uid="{00000000-0005-0000-0000-0000E8540000}"/>
    <cellStyle name="Normal 2 2 4 10 3 9" xfId="21737" xr:uid="{00000000-0005-0000-0000-0000E9540000}"/>
    <cellStyle name="Normal 2 2 4 10 4" xfId="21738" xr:uid="{00000000-0005-0000-0000-0000EA540000}"/>
    <cellStyle name="Normal 2 2 4 10 4 10" xfId="21739" xr:uid="{00000000-0005-0000-0000-0000EB540000}"/>
    <cellStyle name="Normal 2 2 4 10 4 2" xfId="21740" xr:uid="{00000000-0005-0000-0000-0000EC540000}"/>
    <cellStyle name="Normal 2 2 4 10 4 3" xfId="21741" xr:uid="{00000000-0005-0000-0000-0000ED540000}"/>
    <cellStyle name="Normal 2 2 4 10 4 4" xfId="21742" xr:uid="{00000000-0005-0000-0000-0000EE540000}"/>
    <cellStyle name="Normal 2 2 4 10 4 5" xfId="21743" xr:uid="{00000000-0005-0000-0000-0000EF540000}"/>
    <cellStyle name="Normal 2 2 4 10 4 6" xfId="21744" xr:uid="{00000000-0005-0000-0000-0000F0540000}"/>
    <cellStyle name="Normal 2 2 4 10 4 7" xfId="21745" xr:uid="{00000000-0005-0000-0000-0000F1540000}"/>
    <cellStyle name="Normal 2 2 4 10 4 8" xfId="21746" xr:uid="{00000000-0005-0000-0000-0000F2540000}"/>
    <cellStyle name="Normal 2 2 4 10 4 9" xfId="21747" xr:uid="{00000000-0005-0000-0000-0000F3540000}"/>
    <cellStyle name="Normal 2 2 4 10 5" xfId="21748" xr:uid="{00000000-0005-0000-0000-0000F4540000}"/>
    <cellStyle name="Normal 2 2 4 10 5 10" xfId="21749" xr:uid="{00000000-0005-0000-0000-0000F5540000}"/>
    <cellStyle name="Normal 2 2 4 10 5 2" xfId="21750" xr:uid="{00000000-0005-0000-0000-0000F6540000}"/>
    <cellStyle name="Normal 2 2 4 10 5 3" xfId="21751" xr:uid="{00000000-0005-0000-0000-0000F7540000}"/>
    <cellStyle name="Normal 2 2 4 10 5 4" xfId="21752" xr:uid="{00000000-0005-0000-0000-0000F8540000}"/>
    <cellStyle name="Normal 2 2 4 10 5 5" xfId="21753" xr:uid="{00000000-0005-0000-0000-0000F9540000}"/>
    <cellStyle name="Normal 2 2 4 10 5 6" xfId="21754" xr:uid="{00000000-0005-0000-0000-0000FA540000}"/>
    <cellStyle name="Normal 2 2 4 10 5 7" xfId="21755" xr:uid="{00000000-0005-0000-0000-0000FB540000}"/>
    <cellStyle name="Normal 2 2 4 10 5 8" xfId="21756" xr:uid="{00000000-0005-0000-0000-0000FC540000}"/>
    <cellStyle name="Normal 2 2 4 10 5 9" xfId="21757" xr:uid="{00000000-0005-0000-0000-0000FD540000}"/>
    <cellStyle name="Normal 2 2 4 10 6" xfId="21758" xr:uid="{00000000-0005-0000-0000-0000FE540000}"/>
    <cellStyle name="Normal 2 2 4 10 7" xfId="21759" xr:uid="{00000000-0005-0000-0000-0000FF540000}"/>
    <cellStyle name="Normal 2 2 4 10 8" xfId="21760" xr:uid="{00000000-0005-0000-0000-000000550000}"/>
    <cellStyle name="Normal 2 2 4 10 9" xfId="21761" xr:uid="{00000000-0005-0000-0000-000001550000}"/>
    <cellStyle name="Normal 2 2 4 11" xfId="21762" xr:uid="{00000000-0005-0000-0000-000002550000}"/>
    <cellStyle name="Normal 2 2 4 11 10" xfId="21763" xr:uid="{00000000-0005-0000-0000-000003550000}"/>
    <cellStyle name="Normal 2 2 4 11 11" xfId="21764" xr:uid="{00000000-0005-0000-0000-000004550000}"/>
    <cellStyle name="Normal 2 2 4 11 12" xfId="21765" xr:uid="{00000000-0005-0000-0000-000005550000}"/>
    <cellStyle name="Normal 2 2 4 11 13" xfId="21766" xr:uid="{00000000-0005-0000-0000-000006550000}"/>
    <cellStyle name="Normal 2 2 4 11 14" xfId="21767" xr:uid="{00000000-0005-0000-0000-000007550000}"/>
    <cellStyle name="Normal 2 2 4 11 2" xfId="21768" xr:uid="{00000000-0005-0000-0000-000008550000}"/>
    <cellStyle name="Normal 2 2 4 11 2 10" xfId="21769" xr:uid="{00000000-0005-0000-0000-000009550000}"/>
    <cellStyle name="Normal 2 2 4 11 2 2" xfId="21770" xr:uid="{00000000-0005-0000-0000-00000A550000}"/>
    <cellStyle name="Normal 2 2 4 11 2 3" xfId="21771" xr:uid="{00000000-0005-0000-0000-00000B550000}"/>
    <cellStyle name="Normal 2 2 4 11 2 4" xfId="21772" xr:uid="{00000000-0005-0000-0000-00000C550000}"/>
    <cellStyle name="Normal 2 2 4 11 2 5" xfId="21773" xr:uid="{00000000-0005-0000-0000-00000D550000}"/>
    <cellStyle name="Normal 2 2 4 11 2 6" xfId="21774" xr:uid="{00000000-0005-0000-0000-00000E550000}"/>
    <cellStyle name="Normal 2 2 4 11 2 7" xfId="21775" xr:uid="{00000000-0005-0000-0000-00000F550000}"/>
    <cellStyle name="Normal 2 2 4 11 2 8" xfId="21776" xr:uid="{00000000-0005-0000-0000-000010550000}"/>
    <cellStyle name="Normal 2 2 4 11 2 9" xfId="21777" xr:uid="{00000000-0005-0000-0000-000011550000}"/>
    <cellStyle name="Normal 2 2 4 11 3" xfId="21778" xr:uid="{00000000-0005-0000-0000-000012550000}"/>
    <cellStyle name="Normal 2 2 4 11 3 10" xfId="21779" xr:uid="{00000000-0005-0000-0000-000013550000}"/>
    <cellStyle name="Normal 2 2 4 11 3 2" xfId="21780" xr:uid="{00000000-0005-0000-0000-000014550000}"/>
    <cellStyle name="Normal 2 2 4 11 3 3" xfId="21781" xr:uid="{00000000-0005-0000-0000-000015550000}"/>
    <cellStyle name="Normal 2 2 4 11 3 4" xfId="21782" xr:uid="{00000000-0005-0000-0000-000016550000}"/>
    <cellStyle name="Normal 2 2 4 11 3 5" xfId="21783" xr:uid="{00000000-0005-0000-0000-000017550000}"/>
    <cellStyle name="Normal 2 2 4 11 3 6" xfId="21784" xr:uid="{00000000-0005-0000-0000-000018550000}"/>
    <cellStyle name="Normal 2 2 4 11 3 7" xfId="21785" xr:uid="{00000000-0005-0000-0000-000019550000}"/>
    <cellStyle name="Normal 2 2 4 11 3 8" xfId="21786" xr:uid="{00000000-0005-0000-0000-00001A550000}"/>
    <cellStyle name="Normal 2 2 4 11 3 9" xfId="21787" xr:uid="{00000000-0005-0000-0000-00001B550000}"/>
    <cellStyle name="Normal 2 2 4 11 4" xfId="21788" xr:uid="{00000000-0005-0000-0000-00001C550000}"/>
    <cellStyle name="Normal 2 2 4 11 4 10" xfId="21789" xr:uid="{00000000-0005-0000-0000-00001D550000}"/>
    <cellStyle name="Normal 2 2 4 11 4 2" xfId="21790" xr:uid="{00000000-0005-0000-0000-00001E550000}"/>
    <cellStyle name="Normal 2 2 4 11 4 3" xfId="21791" xr:uid="{00000000-0005-0000-0000-00001F550000}"/>
    <cellStyle name="Normal 2 2 4 11 4 4" xfId="21792" xr:uid="{00000000-0005-0000-0000-000020550000}"/>
    <cellStyle name="Normal 2 2 4 11 4 5" xfId="21793" xr:uid="{00000000-0005-0000-0000-000021550000}"/>
    <cellStyle name="Normal 2 2 4 11 4 6" xfId="21794" xr:uid="{00000000-0005-0000-0000-000022550000}"/>
    <cellStyle name="Normal 2 2 4 11 4 7" xfId="21795" xr:uid="{00000000-0005-0000-0000-000023550000}"/>
    <cellStyle name="Normal 2 2 4 11 4 8" xfId="21796" xr:uid="{00000000-0005-0000-0000-000024550000}"/>
    <cellStyle name="Normal 2 2 4 11 4 9" xfId="21797" xr:uid="{00000000-0005-0000-0000-000025550000}"/>
    <cellStyle name="Normal 2 2 4 11 5" xfId="21798" xr:uid="{00000000-0005-0000-0000-000026550000}"/>
    <cellStyle name="Normal 2 2 4 11 5 10" xfId="21799" xr:uid="{00000000-0005-0000-0000-000027550000}"/>
    <cellStyle name="Normal 2 2 4 11 5 2" xfId="21800" xr:uid="{00000000-0005-0000-0000-000028550000}"/>
    <cellStyle name="Normal 2 2 4 11 5 3" xfId="21801" xr:uid="{00000000-0005-0000-0000-000029550000}"/>
    <cellStyle name="Normal 2 2 4 11 5 4" xfId="21802" xr:uid="{00000000-0005-0000-0000-00002A550000}"/>
    <cellStyle name="Normal 2 2 4 11 5 5" xfId="21803" xr:uid="{00000000-0005-0000-0000-00002B550000}"/>
    <cellStyle name="Normal 2 2 4 11 5 6" xfId="21804" xr:uid="{00000000-0005-0000-0000-00002C550000}"/>
    <cellStyle name="Normal 2 2 4 11 5 7" xfId="21805" xr:uid="{00000000-0005-0000-0000-00002D550000}"/>
    <cellStyle name="Normal 2 2 4 11 5 8" xfId="21806" xr:uid="{00000000-0005-0000-0000-00002E550000}"/>
    <cellStyle name="Normal 2 2 4 11 5 9" xfId="21807" xr:uid="{00000000-0005-0000-0000-00002F550000}"/>
    <cellStyle name="Normal 2 2 4 11 6" xfId="21808" xr:uid="{00000000-0005-0000-0000-000030550000}"/>
    <cellStyle name="Normal 2 2 4 11 7" xfId="21809" xr:uid="{00000000-0005-0000-0000-000031550000}"/>
    <cellStyle name="Normal 2 2 4 11 8" xfId="21810" xr:uid="{00000000-0005-0000-0000-000032550000}"/>
    <cellStyle name="Normal 2 2 4 11 9" xfId="21811" xr:uid="{00000000-0005-0000-0000-000033550000}"/>
    <cellStyle name="Normal 2 2 4 12" xfId="21812" xr:uid="{00000000-0005-0000-0000-000034550000}"/>
    <cellStyle name="Normal 2 2 4 12 10" xfId="21813" xr:uid="{00000000-0005-0000-0000-000035550000}"/>
    <cellStyle name="Normal 2 2 4 12 11" xfId="21814" xr:uid="{00000000-0005-0000-0000-000036550000}"/>
    <cellStyle name="Normal 2 2 4 12 12" xfId="21815" xr:uid="{00000000-0005-0000-0000-000037550000}"/>
    <cellStyle name="Normal 2 2 4 12 13" xfId="21816" xr:uid="{00000000-0005-0000-0000-000038550000}"/>
    <cellStyle name="Normal 2 2 4 12 14" xfId="21817" xr:uid="{00000000-0005-0000-0000-000039550000}"/>
    <cellStyle name="Normal 2 2 4 12 2" xfId="21818" xr:uid="{00000000-0005-0000-0000-00003A550000}"/>
    <cellStyle name="Normal 2 2 4 12 2 10" xfId="21819" xr:uid="{00000000-0005-0000-0000-00003B550000}"/>
    <cellStyle name="Normal 2 2 4 12 2 2" xfId="21820" xr:uid="{00000000-0005-0000-0000-00003C550000}"/>
    <cellStyle name="Normal 2 2 4 12 2 3" xfId="21821" xr:uid="{00000000-0005-0000-0000-00003D550000}"/>
    <cellStyle name="Normal 2 2 4 12 2 4" xfId="21822" xr:uid="{00000000-0005-0000-0000-00003E550000}"/>
    <cellStyle name="Normal 2 2 4 12 2 5" xfId="21823" xr:uid="{00000000-0005-0000-0000-00003F550000}"/>
    <cellStyle name="Normal 2 2 4 12 2 6" xfId="21824" xr:uid="{00000000-0005-0000-0000-000040550000}"/>
    <cellStyle name="Normal 2 2 4 12 2 7" xfId="21825" xr:uid="{00000000-0005-0000-0000-000041550000}"/>
    <cellStyle name="Normal 2 2 4 12 2 8" xfId="21826" xr:uid="{00000000-0005-0000-0000-000042550000}"/>
    <cellStyle name="Normal 2 2 4 12 2 9" xfId="21827" xr:uid="{00000000-0005-0000-0000-000043550000}"/>
    <cellStyle name="Normal 2 2 4 12 3" xfId="21828" xr:uid="{00000000-0005-0000-0000-000044550000}"/>
    <cellStyle name="Normal 2 2 4 12 3 10" xfId="21829" xr:uid="{00000000-0005-0000-0000-000045550000}"/>
    <cellStyle name="Normal 2 2 4 12 3 2" xfId="21830" xr:uid="{00000000-0005-0000-0000-000046550000}"/>
    <cellStyle name="Normal 2 2 4 12 3 3" xfId="21831" xr:uid="{00000000-0005-0000-0000-000047550000}"/>
    <cellStyle name="Normal 2 2 4 12 3 4" xfId="21832" xr:uid="{00000000-0005-0000-0000-000048550000}"/>
    <cellStyle name="Normal 2 2 4 12 3 5" xfId="21833" xr:uid="{00000000-0005-0000-0000-000049550000}"/>
    <cellStyle name="Normal 2 2 4 12 3 6" xfId="21834" xr:uid="{00000000-0005-0000-0000-00004A550000}"/>
    <cellStyle name="Normal 2 2 4 12 3 7" xfId="21835" xr:uid="{00000000-0005-0000-0000-00004B550000}"/>
    <cellStyle name="Normal 2 2 4 12 3 8" xfId="21836" xr:uid="{00000000-0005-0000-0000-00004C550000}"/>
    <cellStyle name="Normal 2 2 4 12 3 9" xfId="21837" xr:uid="{00000000-0005-0000-0000-00004D550000}"/>
    <cellStyle name="Normal 2 2 4 12 4" xfId="21838" xr:uid="{00000000-0005-0000-0000-00004E550000}"/>
    <cellStyle name="Normal 2 2 4 12 4 10" xfId="21839" xr:uid="{00000000-0005-0000-0000-00004F550000}"/>
    <cellStyle name="Normal 2 2 4 12 4 2" xfId="21840" xr:uid="{00000000-0005-0000-0000-000050550000}"/>
    <cellStyle name="Normal 2 2 4 12 4 3" xfId="21841" xr:uid="{00000000-0005-0000-0000-000051550000}"/>
    <cellStyle name="Normal 2 2 4 12 4 4" xfId="21842" xr:uid="{00000000-0005-0000-0000-000052550000}"/>
    <cellStyle name="Normal 2 2 4 12 4 5" xfId="21843" xr:uid="{00000000-0005-0000-0000-000053550000}"/>
    <cellStyle name="Normal 2 2 4 12 4 6" xfId="21844" xr:uid="{00000000-0005-0000-0000-000054550000}"/>
    <cellStyle name="Normal 2 2 4 12 4 7" xfId="21845" xr:uid="{00000000-0005-0000-0000-000055550000}"/>
    <cellStyle name="Normal 2 2 4 12 4 8" xfId="21846" xr:uid="{00000000-0005-0000-0000-000056550000}"/>
    <cellStyle name="Normal 2 2 4 12 4 9" xfId="21847" xr:uid="{00000000-0005-0000-0000-000057550000}"/>
    <cellStyle name="Normal 2 2 4 12 5" xfId="21848" xr:uid="{00000000-0005-0000-0000-000058550000}"/>
    <cellStyle name="Normal 2 2 4 12 5 10" xfId="21849" xr:uid="{00000000-0005-0000-0000-000059550000}"/>
    <cellStyle name="Normal 2 2 4 12 5 2" xfId="21850" xr:uid="{00000000-0005-0000-0000-00005A550000}"/>
    <cellStyle name="Normal 2 2 4 12 5 3" xfId="21851" xr:uid="{00000000-0005-0000-0000-00005B550000}"/>
    <cellStyle name="Normal 2 2 4 12 5 4" xfId="21852" xr:uid="{00000000-0005-0000-0000-00005C550000}"/>
    <cellStyle name="Normal 2 2 4 12 5 5" xfId="21853" xr:uid="{00000000-0005-0000-0000-00005D550000}"/>
    <cellStyle name="Normal 2 2 4 12 5 6" xfId="21854" xr:uid="{00000000-0005-0000-0000-00005E550000}"/>
    <cellStyle name="Normal 2 2 4 12 5 7" xfId="21855" xr:uid="{00000000-0005-0000-0000-00005F550000}"/>
    <cellStyle name="Normal 2 2 4 12 5 8" xfId="21856" xr:uid="{00000000-0005-0000-0000-000060550000}"/>
    <cellStyle name="Normal 2 2 4 12 5 9" xfId="21857" xr:uid="{00000000-0005-0000-0000-000061550000}"/>
    <cellStyle name="Normal 2 2 4 12 6" xfId="21858" xr:uid="{00000000-0005-0000-0000-000062550000}"/>
    <cellStyle name="Normal 2 2 4 12 7" xfId="21859" xr:uid="{00000000-0005-0000-0000-000063550000}"/>
    <cellStyle name="Normal 2 2 4 12 8" xfId="21860" xr:uid="{00000000-0005-0000-0000-000064550000}"/>
    <cellStyle name="Normal 2 2 4 12 9" xfId="21861" xr:uid="{00000000-0005-0000-0000-000065550000}"/>
    <cellStyle name="Normal 2 2 4 13" xfId="21862" xr:uid="{00000000-0005-0000-0000-000066550000}"/>
    <cellStyle name="Normal 2 2 4 13 10" xfId="21863" xr:uid="{00000000-0005-0000-0000-000067550000}"/>
    <cellStyle name="Normal 2 2 4 13 11" xfId="21864" xr:uid="{00000000-0005-0000-0000-000068550000}"/>
    <cellStyle name="Normal 2 2 4 13 12" xfId="21865" xr:uid="{00000000-0005-0000-0000-000069550000}"/>
    <cellStyle name="Normal 2 2 4 13 13" xfId="21866" xr:uid="{00000000-0005-0000-0000-00006A550000}"/>
    <cellStyle name="Normal 2 2 4 13 14" xfId="21867" xr:uid="{00000000-0005-0000-0000-00006B550000}"/>
    <cellStyle name="Normal 2 2 4 13 2" xfId="21868" xr:uid="{00000000-0005-0000-0000-00006C550000}"/>
    <cellStyle name="Normal 2 2 4 13 2 10" xfId="21869" xr:uid="{00000000-0005-0000-0000-00006D550000}"/>
    <cellStyle name="Normal 2 2 4 13 2 2" xfId="21870" xr:uid="{00000000-0005-0000-0000-00006E550000}"/>
    <cellStyle name="Normal 2 2 4 13 2 3" xfId="21871" xr:uid="{00000000-0005-0000-0000-00006F550000}"/>
    <cellStyle name="Normal 2 2 4 13 2 4" xfId="21872" xr:uid="{00000000-0005-0000-0000-000070550000}"/>
    <cellStyle name="Normal 2 2 4 13 2 5" xfId="21873" xr:uid="{00000000-0005-0000-0000-000071550000}"/>
    <cellStyle name="Normal 2 2 4 13 2 6" xfId="21874" xr:uid="{00000000-0005-0000-0000-000072550000}"/>
    <cellStyle name="Normal 2 2 4 13 2 7" xfId="21875" xr:uid="{00000000-0005-0000-0000-000073550000}"/>
    <cellStyle name="Normal 2 2 4 13 2 8" xfId="21876" xr:uid="{00000000-0005-0000-0000-000074550000}"/>
    <cellStyle name="Normal 2 2 4 13 2 9" xfId="21877" xr:uid="{00000000-0005-0000-0000-000075550000}"/>
    <cellStyle name="Normal 2 2 4 13 3" xfId="21878" xr:uid="{00000000-0005-0000-0000-000076550000}"/>
    <cellStyle name="Normal 2 2 4 13 3 10" xfId="21879" xr:uid="{00000000-0005-0000-0000-000077550000}"/>
    <cellStyle name="Normal 2 2 4 13 3 2" xfId="21880" xr:uid="{00000000-0005-0000-0000-000078550000}"/>
    <cellStyle name="Normal 2 2 4 13 3 3" xfId="21881" xr:uid="{00000000-0005-0000-0000-000079550000}"/>
    <cellStyle name="Normal 2 2 4 13 3 4" xfId="21882" xr:uid="{00000000-0005-0000-0000-00007A550000}"/>
    <cellStyle name="Normal 2 2 4 13 3 5" xfId="21883" xr:uid="{00000000-0005-0000-0000-00007B550000}"/>
    <cellStyle name="Normal 2 2 4 13 3 6" xfId="21884" xr:uid="{00000000-0005-0000-0000-00007C550000}"/>
    <cellStyle name="Normal 2 2 4 13 3 7" xfId="21885" xr:uid="{00000000-0005-0000-0000-00007D550000}"/>
    <cellStyle name="Normal 2 2 4 13 3 8" xfId="21886" xr:uid="{00000000-0005-0000-0000-00007E550000}"/>
    <cellStyle name="Normal 2 2 4 13 3 9" xfId="21887" xr:uid="{00000000-0005-0000-0000-00007F550000}"/>
    <cellStyle name="Normal 2 2 4 13 4" xfId="21888" xr:uid="{00000000-0005-0000-0000-000080550000}"/>
    <cellStyle name="Normal 2 2 4 13 4 10" xfId="21889" xr:uid="{00000000-0005-0000-0000-000081550000}"/>
    <cellStyle name="Normal 2 2 4 13 4 2" xfId="21890" xr:uid="{00000000-0005-0000-0000-000082550000}"/>
    <cellStyle name="Normal 2 2 4 13 4 3" xfId="21891" xr:uid="{00000000-0005-0000-0000-000083550000}"/>
    <cellStyle name="Normal 2 2 4 13 4 4" xfId="21892" xr:uid="{00000000-0005-0000-0000-000084550000}"/>
    <cellStyle name="Normal 2 2 4 13 4 5" xfId="21893" xr:uid="{00000000-0005-0000-0000-000085550000}"/>
    <cellStyle name="Normal 2 2 4 13 4 6" xfId="21894" xr:uid="{00000000-0005-0000-0000-000086550000}"/>
    <cellStyle name="Normal 2 2 4 13 4 7" xfId="21895" xr:uid="{00000000-0005-0000-0000-000087550000}"/>
    <cellStyle name="Normal 2 2 4 13 4 8" xfId="21896" xr:uid="{00000000-0005-0000-0000-000088550000}"/>
    <cellStyle name="Normal 2 2 4 13 4 9" xfId="21897" xr:uid="{00000000-0005-0000-0000-000089550000}"/>
    <cellStyle name="Normal 2 2 4 13 5" xfId="21898" xr:uid="{00000000-0005-0000-0000-00008A550000}"/>
    <cellStyle name="Normal 2 2 4 13 5 10" xfId="21899" xr:uid="{00000000-0005-0000-0000-00008B550000}"/>
    <cellStyle name="Normal 2 2 4 13 5 2" xfId="21900" xr:uid="{00000000-0005-0000-0000-00008C550000}"/>
    <cellStyle name="Normal 2 2 4 13 5 3" xfId="21901" xr:uid="{00000000-0005-0000-0000-00008D550000}"/>
    <cellStyle name="Normal 2 2 4 13 5 4" xfId="21902" xr:uid="{00000000-0005-0000-0000-00008E550000}"/>
    <cellStyle name="Normal 2 2 4 13 5 5" xfId="21903" xr:uid="{00000000-0005-0000-0000-00008F550000}"/>
    <cellStyle name="Normal 2 2 4 13 5 6" xfId="21904" xr:uid="{00000000-0005-0000-0000-000090550000}"/>
    <cellStyle name="Normal 2 2 4 13 5 7" xfId="21905" xr:uid="{00000000-0005-0000-0000-000091550000}"/>
    <cellStyle name="Normal 2 2 4 13 5 8" xfId="21906" xr:uid="{00000000-0005-0000-0000-000092550000}"/>
    <cellStyle name="Normal 2 2 4 13 5 9" xfId="21907" xr:uid="{00000000-0005-0000-0000-000093550000}"/>
    <cellStyle name="Normal 2 2 4 13 6" xfId="21908" xr:uid="{00000000-0005-0000-0000-000094550000}"/>
    <cellStyle name="Normal 2 2 4 13 7" xfId="21909" xr:uid="{00000000-0005-0000-0000-000095550000}"/>
    <cellStyle name="Normal 2 2 4 13 8" xfId="21910" xr:uid="{00000000-0005-0000-0000-000096550000}"/>
    <cellStyle name="Normal 2 2 4 13 9" xfId="21911" xr:uid="{00000000-0005-0000-0000-000097550000}"/>
    <cellStyle name="Normal 2 2 4 14" xfId="21912" xr:uid="{00000000-0005-0000-0000-000098550000}"/>
    <cellStyle name="Normal 2 2 4 14 10" xfId="21913" xr:uid="{00000000-0005-0000-0000-000099550000}"/>
    <cellStyle name="Normal 2 2 4 14 11" xfId="21914" xr:uid="{00000000-0005-0000-0000-00009A550000}"/>
    <cellStyle name="Normal 2 2 4 14 12" xfId="21915" xr:uid="{00000000-0005-0000-0000-00009B550000}"/>
    <cellStyle name="Normal 2 2 4 14 13" xfId="21916" xr:uid="{00000000-0005-0000-0000-00009C550000}"/>
    <cellStyle name="Normal 2 2 4 14 14" xfId="21917" xr:uid="{00000000-0005-0000-0000-00009D550000}"/>
    <cellStyle name="Normal 2 2 4 14 2" xfId="21918" xr:uid="{00000000-0005-0000-0000-00009E550000}"/>
    <cellStyle name="Normal 2 2 4 14 2 10" xfId="21919" xr:uid="{00000000-0005-0000-0000-00009F550000}"/>
    <cellStyle name="Normal 2 2 4 14 2 2" xfId="21920" xr:uid="{00000000-0005-0000-0000-0000A0550000}"/>
    <cellStyle name="Normal 2 2 4 14 2 3" xfId="21921" xr:uid="{00000000-0005-0000-0000-0000A1550000}"/>
    <cellStyle name="Normal 2 2 4 14 2 4" xfId="21922" xr:uid="{00000000-0005-0000-0000-0000A2550000}"/>
    <cellStyle name="Normal 2 2 4 14 2 5" xfId="21923" xr:uid="{00000000-0005-0000-0000-0000A3550000}"/>
    <cellStyle name="Normal 2 2 4 14 2 6" xfId="21924" xr:uid="{00000000-0005-0000-0000-0000A4550000}"/>
    <cellStyle name="Normal 2 2 4 14 2 7" xfId="21925" xr:uid="{00000000-0005-0000-0000-0000A5550000}"/>
    <cellStyle name="Normal 2 2 4 14 2 8" xfId="21926" xr:uid="{00000000-0005-0000-0000-0000A6550000}"/>
    <cellStyle name="Normal 2 2 4 14 2 9" xfId="21927" xr:uid="{00000000-0005-0000-0000-0000A7550000}"/>
    <cellStyle name="Normal 2 2 4 14 3" xfId="21928" xr:uid="{00000000-0005-0000-0000-0000A8550000}"/>
    <cellStyle name="Normal 2 2 4 14 3 10" xfId="21929" xr:uid="{00000000-0005-0000-0000-0000A9550000}"/>
    <cellStyle name="Normal 2 2 4 14 3 2" xfId="21930" xr:uid="{00000000-0005-0000-0000-0000AA550000}"/>
    <cellStyle name="Normal 2 2 4 14 3 3" xfId="21931" xr:uid="{00000000-0005-0000-0000-0000AB550000}"/>
    <cellStyle name="Normal 2 2 4 14 3 4" xfId="21932" xr:uid="{00000000-0005-0000-0000-0000AC550000}"/>
    <cellStyle name="Normal 2 2 4 14 3 5" xfId="21933" xr:uid="{00000000-0005-0000-0000-0000AD550000}"/>
    <cellStyle name="Normal 2 2 4 14 3 6" xfId="21934" xr:uid="{00000000-0005-0000-0000-0000AE550000}"/>
    <cellStyle name="Normal 2 2 4 14 3 7" xfId="21935" xr:uid="{00000000-0005-0000-0000-0000AF550000}"/>
    <cellStyle name="Normal 2 2 4 14 3 8" xfId="21936" xr:uid="{00000000-0005-0000-0000-0000B0550000}"/>
    <cellStyle name="Normal 2 2 4 14 3 9" xfId="21937" xr:uid="{00000000-0005-0000-0000-0000B1550000}"/>
    <cellStyle name="Normal 2 2 4 14 4" xfId="21938" xr:uid="{00000000-0005-0000-0000-0000B2550000}"/>
    <cellStyle name="Normal 2 2 4 14 4 10" xfId="21939" xr:uid="{00000000-0005-0000-0000-0000B3550000}"/>
    <cellStyle name="Normal 2 2 4 14 4 2" xfId="21940" xr:uid="{00000000-0005-0000-0000-0000B4550000}"/>
    <cellStyle name="Normal 2 2 4 14 4 3" xfId="21941" xr:uid="{00000000-0005-0000-0000-0000B5550000}"/>
    <cellStyle name="Normal 2 2 4 14 4 4" xfId="21942" xr:uid="{00000000-0005-0000-0000-0000B6550000}"/>
    <cellStyle name="Normal 2 2 4 14 4 5" xfId="21943" xr:uid="{00000000-0005-0000-0000-0000B7550000}"/>
    <cellStyle name="Normal 2 2 4 14 4 6" xfId="21944" xr:uid="{00000000-0005-0000-0000-0000B8550000}"/>
    <cellStyle name="Normal 2 2 4 14 4 7" xfId="21945" xr:uid="{00000000-0005-0000-0000-0000B9550000}"/>
    <cellStyle name="Normal 2 2 4 14 4 8" xfId="21946" xr:uid="{00000000-0005-0000-0000-0000BA550000}"/>
    <cellStyle name="Normal 2 2 4 14 4 9" xfId="21947" xr:uid="{00000000-0005-0000-0000-0000BB550000}"/>
    <cellStyle name="Normal 2 2 4 14 5" xfId="21948" xr:uid="{00000000-0005-0000-0000-0000BC550000}"/>
    <cellStyle name="Normal 2 2 4 14 5 10" xfId="21949" xr:uid="{00000000-0005-0000-0000-0000BD550000}"/>
    <cellStyle name="Normal 2 2 4 14 5 2" xfId="21950" xr:uid="{00000000-0005-0000-0000-0000BE550000}"/>
    <cellStyle name="Normal 2 2 4 14 5 3" xfId="21951" xr:uid="{00000000-0005-0000-0000-0000BF550000}"/>
    <cellStyle name="Normal 2 2 4 14 5 4" xfId="21952" xr:uid="{00000000-0005-0000-0000-0000C0550000}"/>
    <cellStyle name="Normal 2 2 4 14 5 5" xfId="21953" xr:uid="{00000000-0005-0000-0000-0000C1550000}"/>
    <cellStyle name="Normal 2 2 4 14 5 6" xfId="21954" xr:uid="{00000000-0005-0000-0000-0000C2550000}"/>
    <cellStyle name="Normal 2 2 4 14 5 7" xfId="21955" xr:uid="{00000000-0005-0000-0000-0000C3550000}"/>
    <cellStyle name="Normal 2 2 4 14 5 8" xfId="21956" xr:uid="{00000000-0005-0000-0000-0000C4550000}"/>
    <cellStyle name="Normal 2 2 4 14 5 9" xfId="21957" xr:uid="{00000000-0005-0000-0000-0000C5550000}"/>
    <cellStyle name="Normal 2 2 4 14 6" xfId="21958" xr:uid="{00000000-0005-0000-0000-0000C6550000}"/>
    <cellStyle name="Normal 2 2 4 14 7" xfId="21959" xr:uid="{00000000-0005-0000-0000-0000C7550000}"/>
    <cellStyle name="Normal 2 2 4 14 8" xfId="21960" xr:uid="{00000000-0005-0000-0000-0000C8550000}"/>
    <cellStyle name="Normal 2 2 4 14 9" xfId="21961" xr:uid="{00000000-0005-0000-0000-0000C9550000}"/>
    <cellStyle name="Normal 2 2 4 15" xfId="21962" xr:uid="{00000000-0005-0000-0000-0000CA550000}"/>
    <cellStyle name="Normal 2 2 4 15 10" xfId="21963" xr:uid="{00000000-0005-0000-0000-0000CB550000}"/>
    <cellStyle name="Normal 2 2 4 15 11" xfId="21964" xr:uid="{00000000-0005-0000-0000-0000CC550000}"/>
    <cellStyle name="Normal 2 2 4 15 12" xfId="21965" xr:uid="{00000000-0005-0000-0000-0000CD550000}"/>
    <cellStyle name="Normal 2 2 4 15 13" xfId="21966" xr:uid="{00000000-0005-0000-0000-0000CE550000}"/>
    <cellStyle name="Normal 2 2 4 15 14" xfId="21967" xr:uid="{00000000-0005-0000-0000-0000CF550000}"/>
    <cellStyle name="Normal 2 2 4 15 2" xfId="21968" xr:uid="{00000000-0005-0000-0000-0000D0550000}"/>
    <cellStyle name="Normal 2 2 4 15 2 10" xfId="21969" xr:uid="{00000000-0005-0000-0000-0000D1550000}"/>
    <cellStyle name="Normal 2 2 4 15 2 2" xfId="21970" xr:uid="{00000000-0005-0000-0000-0000D2550000}"/>
    <cellStyle name="Normal 2 2 4 15 2 3" xfId="21971" xr:uid="{00000000-0005-0000-0000-0000D3550000}"/>
    <cellStyle name="Normal 2 2 4 15 2 4" xfId="21972" xr:uid="{00000000-0005-0000-0000-0000D4550000}"/>
    <cellStyle name="Normal 2 2 4 15 2 5" xfId="21973" xr:uid="{00000000-0005-0000-0000-0000D5550000}"/>
    <cellStyle name="Normal 2 2 4 15 2 6" xfId="21974" xr:uid="{00000000-0005-0000-0000-0000D6550000}"/>
    <cellStyle name="Normal 2 2 4 15 2 7" xfId="21975" xr:uid="{00000000-0005-0000-0000-0000D7550000}"/>
    <cellStyle name="Normal 2 2 4 15 2 8" xfId="21976" xr:uid="{00000000-0005-0000-0000-0000D8550000}"/>
    <cellStyle name="Normal 2 2 4 15 2 9" xfId="21977" xr:uid="{00000000-0005-0000-0000-0000D9550000}"/>
    <cellStyle name="Normal 2 2 4 15 3" xfId="21978" xr:uid="{00000000-0005-0000-0000-0000DA550000}"/>
    <cellStyle name="Normal 2 2 4 15 3 10" xfId="21979" xr:uid="{00000000-0005-0000-0000-0000DB550000}"/>
    <cellStyle name="Normal 2 2 4 15 3 2" xfId="21980" xr:uid="{00000000-0005-0000-0000-0000DC550000}"/>
    <cellStyle name="Normal 2 2 4 15 3 3" xfId="21981" xr:uid="{00000000-0005-0000-0000-0000DD550000}"/>
    <cellStyle name="Normal 2 2 4 15 3 4" xfId="21982" xr:uid="{00000000-0005-0000-0000-0000DE550000}"/>
    <cellStyle name="Normal 2 2 4 15 3 5" xfId="21983" xr:uid="{00000000-0005-0000-0000-0000DF550000}"/>
    <cellStyle name="Normal 2 2 4 15 3 6" xfId="21984" xr:uid="{00000000-0005-0000-0000-0000E0550000}"/>
    <cellStyle name="Normal 2 2 4 15 3 7" xfId="21985" xr:uid="{00000000-0005-0000-0000-0000E1550000}"/>
    <cellStyle name="Normal 2 2 4 15 3 8" xfId="21986" xr:uid="{00000000-0005-0000-0000-0000E2550000}"/>
    <cellStyle name="Normal 2 2 4 15 3 9" xfId="21987" xr:uid="{00000000-0005-0000-0000-0000E3550000}"/>
    <cellStyle name="Normal 2 2 4 15 4" xfId="21988" xr:uid="{00000000-0005-0000-0000-0000E4550000}"/>
    <cellStyle name="Normal 2 2 4 15 4 10" xfId="21989" xr:uid="{00000000-0005-0000-0000-0000E5550000}"/>
    <cellStyle name="Normal 2 2 4 15 4 2" xfId="21990" xr:uid="{00000000-0005-0000-0000-0000E6550000}"/>
    <cellStyle name="Normal 2 2 4 15 4 3" xfId="21991" xr:uid="{00000000-0005-0000-0000-0000E7550000}"/>
    <cellStyle name="Normal 2 2 4 15 4 4" xfId="21992" xr:uid="{00000000-0005-0000-0000-0000E8550000}"/>
    <cellStyle name="Normal 2 2 4 15 4 5" xfId="21993" xr:uid="{00000000-0005-0000-0000-0000E9550000}"/>
    <cellStyle name="Normal 2 2 4 15 4 6" xfId="21994" xr:uid="{00000000-0005-0000-0000-0000EA550000}"/>
    <cellStyle name="Normal 2 2 4 15 4 7" xfId="21995" xr:uid="{00000000-0005-0000-0000-0000EB550000}"/>
    <cellStyle name="Normal 2 2 4 15 4 8" xfId="21996" xr:uid="{00000000-0005-0000-0000-0000EC550000}"/>
    <cellStyle name="Normal 2 2 4 15 4 9" xfId="21997" xr:uid="{00000000-0005-0000-0000-0000ED550000}"/>
    <cellStyle name="Normal 2 2 4 15 5" xfId="21998" xr:uid="{00000000-0005-0000-0000-0000EE550000}"/>
    <cellStyle name="Normal 2 2 4 15 5 10" xfId="21999" xr:uid="{00000000-0005-0000-0000-0000EF550000}"/>
    <cellStyle name="Normal 2 2 4 15 5 2" xfId="22000" xr:uid="{00000000-0005-0000-0000-0000F0550000}"/>
    <cellStyle name="Normal 2 2 4 15 5 3" xfId="22001" xr:uid="{00000000-0005-0000-0000-0000F1550000}"/>
    <cellStyle name="Normal 2 2 4 15 5 4" xfId="22002" xr:uid="{00000000-0005-0000-0000-0000F2550000}"/>
    <cellStyle name="Normal 2 2 4 15 5 5" xfId="22003" xr:uid="{00000000-0005-0000-0000-0000F3550000}"/>
    <cellStyle name="Normal 2 2 4 15 5 6" xfId="22004" xr:uid="{00000000-0005-0000-0000-0000F4550000}"/>
    <cellStyle name="Normal 2 2 4 15 5 7" xfId="22005" xr:uid="{00000000-0005-0000-0000-0000F5550000}"/>
    <cellStyle name="Normal 2 2 4 15 5 8" xfId="22006" xr:uid="{00000000-0005-0000-0000-0000F6550000}"/>
    <cellStyle name="Normal 2 2 4 15 5 9" xfId="22007" xr:uid="{00000000-0005-0000-0000-0000F7550000}"/>
    <cellStyle name="Normal 2 2 4 15 6" xfId="22008" xr:uid="{00000000-0005-0000-0000-0000F8550000}"/>
    <cellStyle name="Normal 2 2 4 15 7" xfId="22009" xr:uid="{00000000-0005-0000-0000-0000F9550000}"/>
    <cellStyle name="Normal 2 2 4 15 8" xfId="22010" xr:uid="{00000000-0005-0000-0000-0000FA550000}"/>
    <cellStyle name="Normal 2 2 4 15 9" xfId="22011" xr:uid="{00000000-0005-0000-0000-0000FB550000}"/>
    <cellStyle name="Normal 2 2 4 16" xfId="22012" xr:uid="{00000000-0005-0000-0000-0000FC550000}"/>
    <cellStyle name="Normal 2 2 4 16 10" xfId="22013" xr:uid="{00000000-0005-0000-0000-0000FD550000}"/>
    <cellStyle name="Normal 2 2 4 16 11" xfId="22014" xr:uid="{00000000-0005-0000-0000-0000FE550000}"/>
    <cellStyle name="Normal 2 2 4 16 12" xfId="22015" xr:uid="{00000000-0005-0000-0000-0000FF550000}"/>
    <cellStyle name="Normal 2 2 4 16 13" xfId="22016" xr:uid="{00000000-0005-0000-0000-000000560000}"/>
    <cellStyle name="Normal 2 2 4 16 14" xfId="22017" xr:uid="{00000000-0005-0000-0000-000001560000}"/>
    <cellStyle name="Normal 2 2 4 16 2" xfId="22018" xr:uid="{00000000-0005-0000-0000-000002560000}"/>
    <cellStyle name="Normal 2 2 4 16 2 10" xfId="22019" xr:uid="{00000000-0005-0000-0000-000003560000}"/>
    <cellStyle name="Normal 2 2 4 16 2 2" xfId="22020" xr:uid="{00000000-0005-0000-0000-000004560000}"/>
    <cellStyle name="Normal 2 2 4 16 2 3" xfId="22021" xr:uid="{00000000-0005-0000-0000-000005560000}"/>
    <cellStyle name="Normal 2 2 4 16 2 4" xfId="22022" xr:uid="{00000000-0005-0000-0000-000006560000}"/>
    <cellStyle name="Normal 2 2 4 16 2 5" xfId="22023" xr:uid="{00000000-0005-0000-0000-000007560000}"/>
    <cellStyle name="Normal 2 2 4 16 2 6" xfId="22024" xr:uid="{00000000-0005-0000-0000-000008560000}"/>
    <cellStyle name="Normal 2 2 4 16 2 7" xfId="22025" xr:uid="{00000000-0005-0000-0000-000009560000}"/>
    <cellStyle name="Normal 2 2 4 16 2 8" xfId="22026" xr:uid="{00000000-0005-0000-0000-00000A560000}"/>
    <cellStyle name="Normal 2 2 4 16 2 9" xfId="22027" xr:uid="{00000000-0005-0000-0000-00000B560000}"/>
    <cellStyle name="Normal 2 2 4 16 3" xfId="22028" xr:uid="{00000000-0005-0000-0000-00000C560000}"/>
    <cellStyle name="Normal 2 2 4 16 3 10" xfId="22029" xr:uid="{00000000-0005-0000-0000-00000D560000}"/>
    <cellStyle name="Normal 2 2 4 16 3 2" xfId="22030" xr:uid="{00000000-0005-0000-0000-00000E560000}"/>
    <cellStyle name="Normal 2 2 4 16 3 3" xfId="22031" xr:uid="{00000000-0005-0000-0000-00000F560000}"/>
    <cellStyle name="Normal 2 2 4 16 3 4" xfId="22032" xr:uid="{00000000-0005-0000-0000-000010560000}"/>
    <cellStyle name="Normal 2 2 4 16 3 5" xfId="22033" xr:uid="{00000000-0005-0000-0000-000011560000}"/>
    <cellStyle name="Normal 2 2 4 16 3 6" xfId="22034" xr:uid="{00000000-0005-0000-0000-000012560000}"/>
    <cellStyle name="Normal 2 2 4 16 3 7" xfId="22035" xr:uid="{00000000-0005-0000-0000-000013560000}"/>
    <cellStyle name="Normal 2 2 4 16 3 8" xfId="22036" xr:uid="{00000000-0005-0000-0000-000014560000}"/>
    <cellStyle name="Normal 2 2 4 16 3 9" xfId="22037" xr:uid="{00000000-0005-0000-0000-000015560000}"/>
    <cellStyle name="Normal 2 2 4 16 4" xfId="22038" xr:uid="{00000000-0005-0000-0000-000016560000}"/>
    <cellStyle name="Normal 2 2 4 16 4 10" xfId="22039" xr:uid="{00000000-0005-0000-0000-000017560000}"/>
    <cellStyle name="Normal 2 2 4 16 4 2" xfId="22040" xr:uid="{00000000-0005-0000-0000-000018560000}"/>
    <cellStyle name="Normal 2 2 4 16 4 3" xfId="22041" xr:uid="{00000000-0005-0000-0000-000019560000}"/>
    <cellStyle name="Normal 2 2 4 16 4 4" xfId="22042" xr:uid="{00000000-0005-0000-0000-00001A560000}"/>
    <cellStyle name="Normal 2 2 4 16 4 5" xfId="22043" xr:uid="{00000000-0005-0000-0000-00001B560000}"/>
    <cellStyle name="Normal 2 2 4 16 4 6" xfId="22044" xr:uid="{00000000-0005-0000-0000-00001C560000}"/>
    <cellStyle name="Normal 2 2 4 16 4 7" xfId="22045" xr:uid="{00000000-0005-0000-0000-00001D560000}"/>
    <cellStyle name="Normal 2 2 4 16 4 8" xfId="22046" xr:uid="{00000000-0005-0000-0000-00001E560000}"/>
    <cellStyle name="Normal 2 2 4 16 4 9" xfId="22047" xr:uid="{00000000-0005-0000-0000-00001F560000}"/>
    <cellStyle name="Normal 2 2 4 16 5" xfId="22048" xr:uid="{00000000-0005-0000-0000-000020560000}"/>
    <cellStyle name="Normal 2 2 4 16 5 10" xfId="22049" xr:uid="{00000000-0005-0000-0000-000021560000}"/>
    <cellStyle name="Normal 2 2 4 16 5 2" xfId="22050" xr:uid="{00000000-0005-0000-0000-000022560000}"/>
    <cellStyle name="Normal 2 2 4 16 5 3" xfId="22051" xr:uid="{00000000-0005-0000-0000-000023560000}"/>
    <cellStyle name="Normal 2 2 4 16 5 4" xfId="22052" xr:uid="{00000000-0005-0000-0000-000024560000}"/>
    <cellStyle name="Normal 2 2 4 16 5 5" xfId="22053" xr:uid="{00000000-0005-0000-0000-000025560000}"/>
    <cellStyle name="Normal 2 2 4 16 5 6" xfId="22054" xr:uid="{00000000-0005-0000-0000-000026560000}"/>
    <cellStyle name="Normal 2 2 4 16 5 7" xfId="22055" xr:uid="{00000000-0005-0000-0000-000027560000}"/>
    <cellStyle name="Normal 2 2 4 16 5 8" xfId="22056" xr:uid="{00000000-0005-0000-0000-000028560000}"/>
    <cellStyle name="Normal 2 2 4 16 5 9" xfId="22057" xr:uid="{00000000-0005-0000-0000-000029560000}"/>
    <cellStyle name="Normal 2 2 4 16 6" xfId="22058" xr:uid="{00000000-0005-0000-0000-00002A560000}"/>
    <cellStyle name="Normal 2 2 4 16 7" xfId="22059" xr:uid="{00000000-0005-0000-0000-00002B560000}"/>
    <cellStyle name="Normal 2 2 4 16 8" xfId="22060" xr:uid="{00000000-0005-0000-0000-00002C560000}"/>
    <cellStyle name="Normal 2 2 4 16 9" xfId="22061" xr:uid="{00000000-0005-0000-0000-00002D560000}"/>
    <cellStyle name="Normal 2 2 4 17" xfId="22062" xr:uid="{00000000-0005-0000-0000-00002E560000}"/>
    <cellStyle name="Normal 2 2 4 17 10" xfId="22063" xr:uid="{00000000-0005-0000-0000-00002F560000}"/>
    <cellStyle name="Normal 2 2 4 17 11" xfId="22064" xr:uid="{00000000-0005-0000-0000-000030560000}"/>
    <cellStyle name="Normal 2 2 4 17 12" xfId="22065" xr:uid="{00000000-0005-0000-0000-000031560000}"/>
    <cellStyle name="Normal 2 2 4 17 13" xfId="22066" xr:uid="{00000000-0005-0000-0000-000032560000}"/>
    <cellStyle name="Normal 2 2 4 17 14" xfId="22067" xr:uid="{00000000-0005-0000-0000-000033560000}"/>
    <cellStyle name="Normal 2 2 4 17 2" xfId="22068" xr:uid="{00000000-0005-0000-0000-000034560000}"/>
    <cellStyle name="Normal 2 2 4 17 2 10" xfId="22069" xr:uid="{00000000-0005-0000-0000-000035560000}"/>
    <cellStyle name="Normal 2 2 4 17 2 2" xfId="22070" xr:uid="{00000000-0005-0000-0000-000036560000}"/>
    <cellStyle name="Normal 2 2 4 17 2 3" xfId="22071" xr:uid="{00000000-0005-0000-0000-000037560000}"/>
    <cellStyle name="Normal 2 2 4 17 2 4" xfId="22072" xr:uid="{00000000-0005-0000-0000-000038560000}"/>
    <cellStyle name="Normal 2 2 4 17 2 5" xfId="22073" xr:uid="{00000000-0005-0000-0000-000039560000}"/>
    <cellStyle name="Normal 2 2 4 17 2 6" xfId="22074" xr:uid="{00000000-0005-0000-0000-00003A560000}"/>
    <cellStyle name="Normal 2 2 4 17 2 7" xfId="22075" xr:uid="{00000000-0005-0000-0000-00003B560000}"/>
    <cellStyle name="Normal 2 2 4 17 2 8" xfId="22076" xr:uid="{00000000-0005-0000-0000-00003C560000}"/>
    <cellStyle name="Normal 2 2 4 17 2 9" xfId="22077" xr:uid="{00000000-0005-0000-0000-00003D560000}"/>
    <cellStyle name="Normal 2 2 4 17 3" xfId="22078" xr:uid="{00000000-0005-0000-0000-00003E560000}"/>
    <cellStyle name="Normal 2 2 4 17 3 10" xfId="22079" xr:uid="{00000000-0005-0000-0000-00003F560000}"/>
    <cellStyle name="Normal 2 2 4 17 3 2" xfId="22080" xr:uid="{00000000-0005-0000-0000-000040560000}"/>
    <cellStyle name="Normal 2 2 4 17 3 3" xfId="22081" xr:uid="{00000000-0005-0000-0000-000041560000}"/>
    <cellStyle name="Normal 2 2 4 17 3 4" xfId="22082" xr:uid="{00000000-0005-0000-0000-000042560000}"/>
    <cellStyle name="Normal 2 2 4 17 3 5" xfId="22083" xr:uid="{00000000-0005-0000-0000-000043560000}"/>
    <cellStyle name="Normal 2 2 4 17 3 6" xfId="22084" xr:uid="{00000000-0005-0000-0000-000044560000}"/>
    <cellStyle name="Normal 2 2 4 17 3 7" xfId="22085" xr:uid="{00000000-0005-0000-0000-000045560000}"/>
    <cellStyle name="Normal 2 2 4 17 3 8" xfId="22086" xr:uid="{00000000-0005-0000-0000-000046560000}"/>
    <cellStyle name="Normal 2 2 4 17 3 9" xfId="22087" xr:uid="{00000000-0005-0000-0000-000047560000}"/>
    <cellStyle name="Normal 2 2 4 17 4" xfId="22088" xr:uid="{00000000-0005-0000-0000-000048560000}"/>
    <cellStyle name="Normal 2 2 4 17 4 10" xfId="22089" xr:uid="{00000000-0005-0000-0000-000049560000}"/>
    <cellStyle name="Normal 2 2 4 17 4 2" xfId="22090" xr:uid="{00000000-0005-0000-0000-00004A560000}"/>
    <cellStyle name="Normal 2 2 4 17 4 3" xfId="22091" xr:uid="{00000000-0005-0000-0000-00004B560000}"/>
    <cellStyle name="Normal 2 2 4 17 4 4" xfId="22092" xr:uid="{00000000-0005-0000-0000-00004C560000}"/>
    <cellStyle name="Normal 2 2 4 17 4 5" xfId="22093" xr:uid="{00000000-0005-0000-0000-00004D560000}"/>
    <cellStyle name="Normal 2 2 4 17 4 6" xfId="22094" xr:uid="{00000000-0005-0000-0000-00004E560000}"/>
    <cellStyle name="Normal 2 2 4 17 4 7" xfId="22095" xr:uid="{00000000-0005-0000-0000-00004F560000}"/>
    <cellStyle name="Normal 2 2 4 17 4 8" xfId="22096" xr:uid="{00000000-0005-0000-0000-000050560000}"/>
    <cellStyle name="Normal 2 2 4 17 4 9" xfId="22097" xr:uid="{00000000-0005-0000-0000-000051560000}"/>
    <cellStyle name="Normal 2 2 4 17 5" xfId="22098" xr:uid="{00000000-0005-0000-0000-000052560000}"/>
    <cellStyle name="Normal 2 2 4 17 5 10" xfId="22099" xr:uid="{00000000-0005-0000-0000-000053560000}"/>
    <cellStyle name="Normal 2 2 4 17 5 2" xfId="22100" xr:uid="{00000000-0005-0000-0000-000054560000}"/>
    <cellStyle name="Normal 2 2 4 17 5 3" xfId="22101" xr:uid="{00000000-0005-0000-0000-000055560000}"/>
    <cellStyle name="Normal 2 2 4 17 5 4" xfId="22102" xr:uid="{00000000-0005-0000-0000-000056560000}"/>
    <cellStyle name="Normal 2 2 4 17 5 5" xfId="22103" xr:uid="{00000000-0005-0000-0000-000057560000}"/>
    <cellStyle name="Normal 2 2 4 17 5 6" xfId="22104" xr:uid="{00000000-0005-0000-0000-000058560000}"/>
    <cellStyle name="Normal 2 2 4 17 5 7" xfId="22105" xr:uid="{00000000-0005-0000-0000-000059560000}"/>
    <cellStyle name="Normal 2 2 4 17 5 8" xfId="22106" xr:uid="{00000000-0005-0000-0000-00005A560000}"/>
    <cellStyle name="Normal 2 2 4 17 5 9" xfId="22107" xr:uid="{00000000-0005-0000-0000-00005B560000}"/>
    <cellStyle name="Normal 2 2 4 17 6" xfId="22108" xr:uid="{00000000-0005-0000-0000-00005C560000}"/>
    <cellStyle name="Normal 2 2 4 17 7" xfId="22109" xr:uid="{00000000-0005-0000-0000-00005D560000}"/>
    <cellStyle name="Normal 2 2 4 17 8" xfId="22110" xr:uid="{00000000-0005-0000-0000-00005E560000}"/>
    <cellStyle name="Normal 2 2 4 17 9" xfId="22111" xr:uid="{00000000-0005-0000-0000-00005F560000}"/>
    <cellStyle name="Normal 2 2 4 18" xfId="22112" xr:uid="{00000000-0005-0000-0000-000060560000}"/>
    <cellStyle name="Normal 2 2 4 18 10" xfId="22113" xr:uid="{00000000-0005-0000-0000-000061560000}"/>
    <cellStyle name="Normal 2 2 4 18 11" xfId="22114" xr:uid="{00000000-0005-0000-0000-000062560000}"/>
    <cellStyle name="Normal 2 2 4 18 12" xfId="22115" xr:uid="{00000000-0005-0000-0000-000063560000}"/>
    <cellStyle name="Normal 2 2 4 18 13" xfId="22116" xr:uid="{00000000-0005-0000-0000-000064560000}"/>
    <cellStyle name="Normal 2 2 4 18 14" xfId="22117" xr:uid="{00000000-0005-0000-0000-000065560000}"/>
    <cellStyle name="Normal 2 2 4 18 2" xfId="22118" xr:uid="{00000000-0005-0000-0000-000066560000}"/>
    <cellStyle name="Normal 2 2 4 18 2 10" xfId="22119" xr:uid="{00000000-0005-0000-0000-000067560000}"/>
    <cellStyle name="Normal 2 2 4 18 2 2" xfId="22120" xr:uid="{00000000-0005-0000-0000-000068560000}"/>
    <cellStyle name="Normal 2 2 4 18 2 3" xfId="22121" xr:uid="{00000000-0005-0000-0000-000069560000}"/>
    <cellStyle name="Normal 2 2 4 18 2 4" xfId="22122" xr:uid="{00000000-0005-0000-0000-00006A560000}"/>
    <cellStyle name="Normal 2 2 4 18 2 5" xfId="22123" xr:uid="{00000000-0005-0000-0000-00006B560000}"/>
    <cellStyle name="Normal 2 2 4 18 2 6" xfId="22124" xr:uid="{00000000-0005-0000-0000-00006C560000}"/>
    <cellStyle name="Normal 2 2 4 18 2 7" xfId="22125" xr:uid="{00000000-0005-0000-0000-00006D560000}"/>
    <cellStyle name="Normal 2 2 4 18 2 8" xfId="22126" xr:uid="{00000000-0005-0000-0000-00006E560000}"/>
    <cellStyle name="Normal 2 2 4 18 2 9" xfId="22127" xr:uid="{00000000-0005-0000-0000-00006F560000}"/>
    <cellStyle name="Normal 2 2 4 18 3" xfId="22128" xr:uid="{00000000-0005-0000-0000-000070560000}"/>
    <cellStyle name="Normal 2 2 4 18 3 10" xfId="22129" xr:uid="{00000000-0005-0000-0000-000071560000}"/>
    <cellStyle name="Normal 2 2 4 18 3 2" xfId="22130" xr:uid="{00000000-0005-0000-0000-000072560000}"/>
    <cellStyle name="Normal 2 2 4 18 3 3" xfId="22131" xr:uid="{00000000-0005-0000-0000-000073560000}"/>
    <cellStyle name="Normal 2 2 4 18 3 4" xfId="22132" xr:uid="{00000000-0005-0000-0000-000074560000}"/>
    <cellStyle name="Normal 2 2 4 18 3 5" xfId="22133" xr:uid="{00000000-0005-0000-0000-000075560000}"/>
    <cellStyle name="Normal 2 2 4 18 3 6" xfId="22134" xr:uid="{00000000-0005-0000-0000-000076560000}"/>
    <cellStyle name="Normal 2 2 4 18 3 7" xfId="22135" xr:uid="{00000000-0005-0000-0000-000077560000}"/>
    <cellStyle name="Normal 2 2 4 18 3 8" xfId="22136" xr:uid="{00000000-0005-0000-0000-000078560000}"/>
    <cellStyle name="Normal 2 2 4 18 3 9" xfId="22137" xr:uid="{00000000-0005-0000-0000-000079560000}"/>
    <cellStyle name="Normal 2 2 4 18 4" xfId="22138" xr:uid="{00000000-0005-0000-0000-00007A560000}"/>
    <cellStyle name="Normal 2 2 4 18 4 10" xfId="22139" xr:uid="{00000000-0005-0000-0000-00007B560000}"/>
    <cellStyle name="Normal 2 2 4 18 4 2" xfId="22140" xr:uid="{00000000-0005-0000-0000-00007C560000}"/>
    <cellStyle name="Normal 2 2 4 18 4 3" xfId="22141" xr:uid="{00000000-0005-0000-0000-00007D560000}"/>
    <cellStyle name="Normal 2 2 4 18 4 4" xfId="22142" xr:uid="{00000000-0005-0000-0000-00007E560000}"/>
    <cellStyle name="Normal 2 2 4 18 4 5" xfId="22143" xr:uid="{00000000-0005-0000-0000-00007F560000}"/>
    <cellStyle name="Normal 2 2 4 18 4 6" xfId="22144" xr:uid="{00000000-0005-0000-0000-000080560000}"/>
    <cellStyle name="Normal 2 2 4 18 4 7" xfId="22145" xr:uid="{00000000-0005-0000-0000-000081560000}"/>
    <cellStyle name="Normal 2 2 4 18 4 8" xfId="22146" xr:uid="{00000000-0005-0000-0000-000082560000}"/>
    <cellStyle name="Normal 2 2 4 18 4 9" xfId="22147" xr:uid="{00000000-0005-0000-0000-000083560000}"/>
    <cellStyle name="Normal 2 2 4 18 5" xfId="22148" xr:uid="{00000000-0005-0000-0000-000084560000}"/>
    <cellStyle name="Normal 2 2 4 18 5 10" xfId="22149" xr:uid="{00000000-0005-0000-0000-000085560000}"/>
    <cellStyle name="Normal 2 2 4 18 5 2" xfId="22150" xr:uid="{00000000-0005-0000-0000-000086560000}"/>
    <cellStyle name="Normal 2 2 4 18 5 3" xfId="22151" xr:uid="{00000000-0005-0000-0000-000087560000}"/>
    <cellStyle name="Normal 2 2 4 18 5 4" xfId="22152" xr:uid="{00000000-0005-0000-0000-000088560000}"/>
    <cellStyle name="Normal 2 2 4 18 5 5" xfId="22153" xr:uid="{00000000-0005-0000-0000-000089560000}"/>
    <cellStyle name="Normal 2 2 4 18 5 6" xfId="22154" xr:uid="{00000000-0005-0000-0000-00008A560000}"/>
    <cellStyle name="Normal 2 2 4 18 5 7" xfId="22155" xr:uid="{00000000-0005-0000-0000-00008B560000}"/>
    <cellStyle name="Normal 2 2 4 18 5 8" xfId="22156" xr:uid="{00000000-0005-0000-0000-00008C560000}"/>
    <cellStyle name="Normal 2 2 4 18 5 9" xfId="22157" xr:uid="{00000000-0005-0000-0000-00008D560000}"/>
    <cellStyle name="Normal 2 2 4 18 6" xfId="22158" xr:uid="{00000000-0005-0000-0000-00008E560000}"/>
    <cellStyle name="Normal 2 2 4 18 7" xfId="22159" xr:uid="{00000000-0005-0000-0000-00008F560000}"/>
    <cellStyle name="Normal 2 2 4 18 8" xfId="22160" xr:uid="{00000000-0005-0000-0000-000090560000}"/>
    <cellStyle name="Normal 2 2 4 18 9" xfId="22161" xr:uid="{00000000-0005-0000-0000-000091560000}"/>
    <cellStyle name="Normal 2 2 4 19" xfId="22162" xr:uid="{00000000-0005-0000-0000-000092560000}"/>
    <cellStyle name="Normal 2 2 4 19 10" xfId="22163" xr:uid="{00000000-0005-0000-0000-000093560000}"/>
    <cellStyle name="Normal 2 2 4 19 11" xfId="22164" xr:uid="{00000000-0005-0000-0000-000094560000}"/>
    <cellStyle name="Normal 2 2 4 19 12" xfId="22165" xr:uid="{00000000-0005-0000-0000-000095560000}"/>
    <cellStyle name="Normal 2 2 4 19 13" xfId="22166" xr:uid="{00000000-0005-0000-0000-000096560000}"/>
    <cellStyle name="Normal 2 2 4 19 14" xfId="22167" xr:uid="{00000000-0005-0000-0000-000097560000}"/>
    <cellStyle name="Normal 2 2 4 19 2" xfId="22168" xr:uid="{00000000-0005-0000-0000-000098560000}"/>
    <cellStyle name="Normal 2 2 4 19 2 10" xfId="22169" xr:uid="{00000000-0005-0000-0000-000099560000}"/>
    <cellStyle name="Normal 2 2 4 19 2 2" xfId="22170" xr:uid="{00000000-0005-0000-0000-00009A560000}"/>
    <cellStyle name="Normal 2 2 4 19 2 3" xfId="22171" xr:uid="{00000000-0005-0000-0000-00009B560000}"/>
    <cellStyle name="Normal 2 2 4 19 2 4" xfId="22172" xr:uid="{00000000-0005-0000-0000-00009C560000}"/>
    <cellStyle name="Normal 2 2 4 19 2 5" xfId="22173" xr:uid="{00000000-0005-0000-0000-00009D560000}"/>
    <cellStyle name="Normal 2 2 4 19 2 6" xfId="22174" xr:uid="{00000000-0005-0000-0000-00009E560000}"/>
    <cellStyle name="Normal 2 2 4 19 2 7" xfId="22175" xr:uid="{00000000-0005-0000-0000-00009F560000}"/>
    <cellStyle name="Normal 2 2 4 19 2 8" xfId="22176" xr:uid="{00000000-0005-0000-0000-0000A0560000}"/>
    <cellStyle name="Normal 2 2 4 19 2 9" xfId="22177" xr:uid="{00000000-0005-0000-0000-0000A1560000}"/>
    <cellStyle name="Normal 2 2 4 19 3" xfId="22178" xr:uid="{00000000-0005-0000-0000-0000A2560000}"/>
    <cellStyle name="Normal 2 2 4 19 3 10" xfId="22179" xr:uid="{00000000-0005-0000-0000-0000A3560000}"/>
    <cellStyle name="Normal 2 2 4 19 3 2" xfId="22180" xr:uid="{00000000-0005-0000-0000-0000A4560000}"/>
    <cellStyle name="Normal 2 2 4 19 3 3" xfId="22181" xr:uid="{00000000-0005-0000-0000-0000A5560000}"/>
    <cellStyle name="Normal 2 2 4 19 3 4" xfId="22182" xr:uid="{00000000-0005-0000-0000-0000A6560000}"/>
    <cellStyle name="Normal 2 2 4 19 3 5" xfId="22183" xr:uid="{00000000-0005-0000-0000-0000A7560000}"/>
    <cellStyle name="Normal 2 2 4 19 3 6" xfId="22184" xr:uid="{00000000-0005-0000-0000-0000A8560000}"/>
    <cellStyle name="Normal 2 2 4 19 3 7" xfId="22185" xr:uid="{00000000-0005-0000-0000-0000A9560000}"/>
    <cellStyle name="Normal 2 2 4 19 3 8" xfId="22186" xr:uid="{00000000-0005-0000-0000-0000AA560000}"/>
    <cellStyle name="Normal 2 2 4 19 3 9" xfId="22187" xr:uid="{00000000-0005-0000-0000-0000AB560000}"/>
    <cellStyle name="Normal 2 2 4 19 4" xfId="22188" xr:uid="{00000000-0005-0000-0000-0000AC560000}"/>
    <cellStyle name="Normal 2 2 4 19 4 10" xfId="22189" xr:uid="{00000000-0005-0000-0000-0000AD560000}"/>
    <cellStyle name="Normal 2 2 4 19 4 2" xfId="22190" xr:uid="{00000000-0005-0000-0000-0000AE560000}"/>
    <cellStyle name="Normal 2 2 4 19 4 3" xfId="22191" xr:uid="{00000000-0005-0000-0000-0000AF560000}"/>
    <cellStyle name="Normal 2 2 4 19 4 4" xfId="22192" xr:uid="{00000000-0005-0000-0000-0000B0560000}"/>
    <cellStyle name="Normal 2 2 4 19 4 5" xfId="22193" xr:uid="{00000000-0005-0000-0000-0000B1560000}"/>
    <cellStyle name="Normal 2 2 4 19 4 6" xfId="22194" xr:uid="{00000000-0005-0000-0000-0000B2560000}"/>
    <cellStyle name="Normal 2 2 4 19 4 7" xfId="22195" xr:uid="{00000000-0005-0000-0000-0000B3560000}"/>
    <cellStyle name="Normal 2 2 4 19 4 8" xfId="22196" xr:uid="{00000000-0005-0000-0000-0000B4560000}"/>
    <cellStyle name="Normal 2 2 4 19 4 9" xfId="22197" xr:uid="{00000000-0005-0000-0000-0000B5560000}"/>
    <cellStyle name="Normal 2 2 4 19 5" xfId="22198" xr:uid="{00000000-0005-0000-0000-0000B6560000}"/>
    <cellStyle name="Normal 2 2 4 19 5 10" xfId="22199" xr:uid="{00000000-0005-0000-0000-0000B7560000}"/>
    <cellStyle name="Normal 2 2 4 19 5 2" xfId="22200" xr:uid="{00000000-0005-0000-0000-0000B8560000}"/>
    <cellStyle name="Normal 2 2 4 19 5 3" xfId="22201" xr:uid="{00000000-0005-0000-0000-0000B9560000}"/>
    <cellStyle name="Normal 2 2 4 19 5 4" xfId="22202" xr:uid="{00000000-0005-0000-0000-0000BA560000}"/>
    <cellStyle name="Normal 2 2 4 19 5 5" xfId="22203" xr:uid="{00000000-0005-0000-0000-0000BB560000}"/>
    <cellStyle name="Normal 2 2 4 19 5 6" xfId="22204" xr:uid="{00000000-0005-0000-0000-0000BC560000}"/>
    <cellStyle name="Normal 2 2 4 19 5 7" xfId="22205" xr:uid="{00000000-0005-0000-0000-0000BD560000}"/>
    <cellStyle name="Normal 2 2 4 19 5 8" xfId="22206" xr:uid="{00000000-0005-0000-0000-0000BE560000}"/>
    <cellStyle name="Normal 2 2 4 19 5 9" xfId="22207" xr:uid="{00000000-0005-0000-0000-0000BF560000}"/>
    <cellStyle name="Normal 2 2 4 19 6" xfId="22208" xr:uid="{00000000-0005-0000-0000-0000C0560000}"/>
    <cellStyle name="Normal 2 2 4 19 7" xfId="22209" xr:uid="{00000000-0005-0000-0000-0000C1560000}"/>
    <cellStyle name="Normal 2 2 4 19 8" xfId="22210" xr:uid="{00000000-0005-0000-0000-0000C2560000}"/>
    <cellStyle name="Normal 2 2 4 19 9" xfId="22211" xr:uid="{00000000-0005-0000-0000-0000C3560000}"/>
    <cellStyle name="Normal 2 2 4 2" xfId="22212" xr:uid="{00000000-0005-0000-0000-0000C4560000}"/>
    <cellStyle name="Normal 2 2 4 2 10" xfId="22213" xr:uid="{00000000-0005-0000-0000-0000C5560000}"/>
    <cellStyle name="Normal 2 2 4 2 11" xfId="22214" xr:uid="{00000000-0005-0000-0000-0000C6560000}"/>
    <cellStyle name="Normal 2 2 4 2 12" xfId="22215" xr:uid="{00000000-0005-0000-0000-0000C7560000}"/>
    <cellStyle name="Normal 2 2 4 2 13" xfId="22216" xr:uid="{00000000-0005-0000-0000-0000C8560000}"/>
    <cellStyle name="Normal 2 2 4 2 14" xfId="22217" xr:uid="{00000000-0005-0000-0000-0000C9560000}"/>
    <cellStyle name="Normal 2 2 4 2 15" xfId="22218" xr:uid="{00000000-0005-0000-0000-0000CA560000}"/>
    <cellStyle name="Normal 2 2 4 2 16" xfId="22219" xr:uid="{00000000-0005-0000-0000-0000CB560000}"/>
    <cellStyle name="Normal 2 2 4 2 17" xfId="22220" xr:uid="{00000000-0005-0000-0000-0000CC560000}"/>
    <cellStyle name="Normal 2 2 4 2 18" xfId="22221" xr:uid="{00000000-0005-0000-0000-0000CD560000}"/>
    <cellStyle name="Normal 2 2 4 2 19" xfId="22222" xr:uid="{00000000-0005-0000-0000-0000CE560000}"/>
    <cellStyle name="Normal 2 2 4 2 2" xfId="22223" xr:uid="{00000000-0005-0000-0000-0000CF560000}"/>
    <cellStyle name="Normal 2 2 4 2 2 10" xfId="22224" xr:uid="{00000000-0005-0000-0000-0000D0560000}"/>
    <cellStyle name="Normal 2 2 4 2 2 10 10" xfId="22225" xr:uid="{00000000-0005-0000-0000-0000D1560000}"/>
    <cellStyle name="Normal 2 2 4 2 2 10 11" xfId="22226" xr:uid="{00000000-0005-0000-0000-0000D2560000}"/>
    <cellStyle name="Normal 2 2 4 2 2 10 12" xfId="22227" xr:uid="{00000000-0005-0000-0000-0000D3560000}"/>
    <cellStyle name="Normal 2 2 4 2 2 10 13" xfId="22228" xr:uid="{00000000-0005-0000-0000-0000D4560000}"/>
    <cellStyle name="Normal 2 2 4 2 2 10 14" xfId="22229" xr:uid="{00000000-0005-0000-0000-0000D5560000}"/>
    <cellStyle name="Normal 2 2 4 2 2 10 2" xfId="22230" xr:uid="{00000000-0005-0000-0000-0000D6560000}"/>
    <cellStyle name="Normal 2 2 4 2 2 10 2 10" xfId="22231" xr:uid="{00000000-0005-0000-0000-0000D7560000}"/>
    <cellStyle name="Normal 2 2 4 2 2 10 2 2" xfId="22232" xr:uid="{00000000-0005-0000-0000-0000D8560000}"/>
    <cellStyle name="Normal 2 2 4 2 2 10 2 3" xfId="22233" xr:uid="{00000000-0005-0000-0000-0000D9560000}"/>
    <cellStyle name="Normal 2 2 4 2 2 10 2 4" xfId="22234" xr:uid="{00000000-0005-0000-0000-0000DA560000}"/>
    <cellStyle name="Normal 2 2 4 2 2 10 2 5" xfId="22235" xr:uid="{00000000-0005-0000-0000-0000DB560000}"/>
    <cellStyle name="Normal 2 2 4 2 2 10 2 6" xfId="22236" xr:uid="{00000000-0005-0000-0000-0000DC560000}"/>
    <cellStyle name="Normal 2 2 4 2 2 10 2 7" xfId="22237" xr:uid="{00000000-0005-0000-0000-0000DD560000}"/>
    <cellStyle name="Normal 2 2 4 2 2 10 2 8" xfId="22238" xr:uid="{00000000-0005-0000-0000-0000DE560000}"/>
    <cellStyle name="Normal 2 2 4 2 2 10 2 9" xfId="22239" xr:uid="{00000000-0005-0000-0000-0000DF560000}"/>
    <cellStyle name="Normal 2 2 4 2 2 10 3" xfId="22240" xr:uid="{00000000-0005-0000-0000-0000E0560000}"/>
    <cellStyle name="Normal 2 2 4 2 2 10 3 10" xfId="22241" xr:uid="{00000000-0005-0000-0000-0000E1560000}"/>
    <cellStyle name="Normal 2 2 4 2 2 10 3 2" xfId="22242" xr:uid="{00000000-0005-0000-0000-0000E2560000}"/>
    <cellStyle name="Normal 2 2 4 2 2 10 3 3" xfId="22243" xr:uid="{00000000-0005-0000-0000-0000E3560000}"/>
    <cellStyle name="Normal 2 2 4 2 2 10 3 4" xfId="22244" xr:uid="{00000000-0005-0000-0000-0000E4560000}"/>
    <cellStyle name="Normal 2 2 4 2 2 10 3 5" xfId="22245" xr:uid="{00000000-0005-0000-0000-0000E5560000}"/>
    <cellStyle name="Normal 2 2 4 2 2 10 3 6" xfId="22246" xr:uid="{00000000-0005-0000-0000-0000E6560000}"/>
    <cellStyle name="Normal 2 2 4 2 2 10 3 7" xfId="22247" xr:uid="{00000000-0005-0000-0000-0000E7560000}"/>
    <cellStyle name="Normal 2 2 4 2 2 10 3 8" xfId="22248" xr:uid="{00000000-0005-0000-0000-0000E8560000}"/>
    <cellStyle name="Normal 2 2 4 2 2 10 3 9" xfId="22249" xr:uid="{00000000-0005-0000-0000-0000E9560000}"/>
    <cellStyle name="Normal 2 2 4 2 2 10 4" xfId="22250" xr:uid="{00000000-0005-0000-0000-0000EA560000}"/>
    <cellStyle name="Normal 2 2 4 2 2 10 4 10" xfId="22251" xr:uid="{00000000-0005-0000-0000-0000EB560000}"/>
    <cellStyle name="Normal 2 2 4 2 2 10 4 2" xfId="22252" xr:uid="{00000000-0005-0000-0000-0000EC560000}"/>
    <cellStyle name="Normal 2 2 4 2 2 10 4 3" xfId="22253" xr:uid="{00000000-0005-0000-0000-0000ED560000}"/>
    <cellStyle name="Normal 2 2 4 2 2 10 4 4" xfId="22254" xr:uid="{00000000-0005-0000-0000-0000EE560000}"/>
    <cellStyle name="Normal 2 2 4 2 2 10 4 5" xfId="22255" xr:uid="{00000000-0005-0000-0000-0000EF560000}"/>
    <cellStyle name="Normal 2 2 4 2 2 10 4 6" xfId="22256" xr:uid="{00000000-0005-0000-0000-0000F0560000}"/>
    <cellStyle name="Normal 2 2 4 2 2 10 4 7" xfId="22257" xr:uid="{00000000-0005-0000-0000-0000F1560000}"/>
    <cellStyle name="Normal 2 2 4 2 2 10 4 8" xfId="22258" xr:uid="{00000000-0005-0000-0000-0000F2560000}"/>
    <cellStyle name="Normal 2 2 4 2 2 10 4 9" xfId="22259" xr:uid="{00000000-0005-0000-0000-0000F3560000}"/>
    <cellStyle name="Normal 2 2 4 2 2 10 5" xfId="22260" xr:uid="{00000000-0005-0000-0000-0000F4560000}"/>
    <cellStyle name="Normal 2 2 4 2 2 10 5 10" xfId="22261" xr:uid="{00000000-0005-0000-0000-0000F5560000}"/>
    <cellStyle name="Normal 2 2 4 2 2 10 5 2" xfId="22262" xr:uid="{00000000-0005-0000-0000-0000F6560000}"/>
    <cellStyle name="Normal 2 2 4 2 2 10 5 3" xfId="22263" xr:uid="{00000000-0005-0000-0000-0000F7560000}"/>
    <cellStyle name="Normal 2 2 4 2 2 10 5 4" xfId="22264" xr:uid="{00000000-0005-0000-0000-0000F8560000}"/>
    <cellStyle name="Normal 2 2 4 2 2 10 5 5" xfId="22265" xr:uid="{00000000-0005-0000-0000-0000F9560000}"/>
    <cellStyle name="Normal 2 2 4 2 2 10 5 6" xfId="22266" xr:uid="{00000000-0005-0000-0000-0000FA560000}"/>
    <cellStyle name="Normal 2 2 4 2 2 10 5 7" xfId="22267" xr:uid="{00000000-0005-0000-0000-0000FB560000}"/>
    <cellStyle name="Normal 2 2 4 2 2 10 5 8" xfId="22268" xr:uid="{00000000-0005-0000-0000-0000FC560000}"/>
    <cellStyle name="Normal 2 2 4 2 2 10 5 9" xfId="22269" xr:uid="{00000000-0005-0000-0000-0000FD560000}"/>
    <cellStyle name="Normal 2 2 4 2 2 10 6" xfId="22270" xr:uid="{00000000-0005-0000-0000-0000FE560000}"/>
    <cellStyle name="Normal 2 2 4 2 2 10 7" xfId="22271" xr:uid="{00000000-0005-0000-0000-0000FF560000}"/>
    <cellStyle name="Normal 2 2 4 2 2 10 8" xfId="22272" xr:uid="{00000000-0005-0000-0000-000000570000}"/>
    <cellStyle name="Normal 2 2 4 2 2 10 9" xfId="22273" xr:uid="{00000000-0005-0000-0000-000001570000}"/>
    <cellStyle name="Normal 2 2 4 2 2 11" xfId="22274" xr:uid="{00000000-0005-0000-0000-000002570000}"/>
    <cellStyle name="Normal 2 2 4 2 2 11 10" xfId="22275" xr:uid="{00000000-0005-0000-0000-000003570000}"/>
    <cellStyle name="Normal 2 2 4 2 2 11 11" xfId="22276" xr:uid="{00000000-0005-0000-0000-000004570000}"/>
    <cellStyle name="Normal 2 2 4 2 2 11 12" xfId="22277" xr:uid="{00000000-0005-0000-0000-000005570000}"/>
    <cellStyle name="Normal 2 2 4 2 2 11 13" xfId="22278" xr:uid="{00000000-0005-0000-0000-000006570000}"/>
    <cellStyle name="Normal 2 2 4 2 2 11 14" xfId="22279" xr:uid="{00000000-0005-0000-0000-000007570000}"/>
    <cellStyle name="Normal 2 2 4 2 2 11 2" xfId="22280" xr:uid="{00000000-0005-0000-0000-000008570000}"/>
    <cellStyle name="Normal 2 2 4 2 2 11 2 10" xfId="22281" xr:uid="{00000000-0005-0000-0000-000009570000}"/>
    <cellStyle name="Normal 2 2 4 2 2 11 2 2" xfId="22282" xr:uid="{00000000-0005-0000-0000-00000A570000}"/>
    <cellStyle name="Normal 2 2 4 2 2 11 2 3" xfId="22283" xr:uid="{00000000-0005-0000-0000-00000B570000}"/>
    <cellStyle name="Normal 2 2 4 2 2 11 2 4" xfId="22284" xr:uid="{00000000-0005-0000-0000-00000C570000}"/>
    <cellStyle name="Normal 2 2 4 2 2 11 2 5" xfId="22285" xr:uid="{00000000-0005-0000-0000-00000D570000}"/>
    <cellStyle name="Normal 2 2 4 2 2 11 2 6" xfId="22286" xr:uid="{00000000-0005-0000-0000-00000E570000}"/>
    <cellStyle name="Normal 2 2 4 2 2 11 2 7" xfId="22287" xr:uid="{00000000-0005-0000-0000-00000F570000}"/>
    <cellStyle name="Normal 2 2 4 2 2 11 2 8" xfId="22288" xr:uid="{00000000-0005-0000-0000-000010570000}"/>
    <cellStyle name="Normal 2 2 4 2 2 11 2 9" xfId="22289" xr:uid="{00000000-0005-0000-0000-000011570000}"/>
    <cellStyle name="Normal 2 2 4 2 2 11 3" xfId="22290" xr:uid="{00000000-0005-0000-0000-000012570000}"/>
    <cellStyle name="Normal 2 2 4 2 2 11 3 10" xfId="22291" xr:uid="{00000000-0005-0000-0000-000013570000}"/>
    <cellStyle name="Normal 2 2 4 2 2 11 3 2" xfId="22292" xr:uid="{00000000-0005-0000-0000-000014570000}"/>
    <cellStyle name="Normal 2 2 4 2 2 11 3 3" xfId="22293" xr:uid="{00000000-0005-0000-0000-000015570000}"/>
    <cellStyle name="Normal 2 2 4 2 2 11 3 4" xfId="22294" xr:uid="{00000000-0005-0000-0000-000016570000}"/>
    <cellStyle name="Normal 2 2 4 2 2 11 3 5" xfId="22295" xr:uid="{00000000-0005-0000-0000-000017570000}"/>
    <cellStyle name="Normal 2 2 4 2 2 11 3 6" xfId="22296" xr:uid="{00000000-0005-0000-0000-000018570000}"/>
    <cellStyle name="Normal 2 2 4 2 2 11 3 7" xfId="22297" xr:uid="{00000000-0005-0000-0000-000019570000}"/>
    <cellStyle name="Normal 2 2 4 2 2 11 3 8" xfId="22298" xr:uid="{00000000-0005-0000-0000-00001A570000}"/>
    <cellStyle name="Normal 2 2 4 2 2 11 3 9" xfId="22299" xr:uid="{00000000-0005-0000-0000-00001B570000}"/>
    <cellStyle name="Normal 2 2 4 2 2 11 4" xfId="22300" xr:uid="{00000000-0005-0000-0000-00001C570000}"/>
    <cellStyle name="Normal 2 2 4 2 2 11 4 10" xfId="22301" xr:uid="{00000000-0005-0000-0000-00001D570000}"/>
    <cellStyle name="Normal 2 2 4 2 2 11 4 2" xfId="22302" xr:uid="{00000000-0005-0000-0000-00001E570000}"/>
    <cellStyle name="Normal 2 2 4 2 2 11 4 3" xfId="22303" xr:uid="{00000000-0005-0000-0000-00001F570000}"/>
    <cellStyle name="Normal 2 2 4 2 2 11 4 4" xfId="22304" xr:uid="{00000000-0005-0000-0000-000020570000}"/>
    <cellStyle name="Normal 2 2 4 2 2 11 4 5" xfId="22305" xr:uid="{00000000-0005-0000-0000-000021570000}"/>
    <cellStyle name="Normal 2 2 4 2 2 11 4 6" xfId="22306" xr:uid="{00000000-0005-0000-0000-000022570000}"/>
    <cellStyle name="Normal 2 2 4 2 2 11 4 7" xfId="22307" xr:uid="{00000000-0005-0000-0000-000023570000}"/>
    <cellStyle name="Normal 2 2 4 2 2 11 4 8" xfId="22308" xr:uid="{00000000-0005-0000-0000-000024570000}"/>
    <cellStyle name="Normal 2 2 4 2 2 11 4 9" xfId="22309" xr:uid="{00000000-0005-0000-0000-000025570000}"/>
    <cellStyle name="Normal 2 2 4 2 2 11 5" xfId="22310" xr:uid="{00000000-0005-0000-0000-000026570000}"/>
    <cellStyle name="Normal 2 2 4 2 2 11 5 10" xfId="22311" xr:uid="{00000000-0005-0000-0000-000027570000}"/>
    <cellStyle name="Normal 2 2 4 2 2 11 5 2" xfId="22312" xr:uid="{00000000-0005-0000-0000-000028570000}"/>
    <cellStyle name="Normal 2 2 4 2 2 11 5 3" xfId="22313" xr:uid="{00000000-0005-0000-0000-000029570000}"/>
    <cellStyle name="Normal 2 2 4 2 2 11 5 4" xfId="22314" xr:uid="{00000000-0005-0000-0000-00002A570000}"/>
    <cellStyle name="Normal 2 2 4 2 2 11 5 5" xfId="22315" xr:uid="{00000000-0005-0000-0000-00002B570000}"/>
    <cellStyle name="Normal 2 2 4 2 2 11 5 6" xfId="22316" xr:uid="{00000000-0005-0000-0000-00002C570000}"/>
    <cellStyle name="Normal 2 2 4 2 2 11 5 7" xfId="22317" xr:uid="{00000000-0005-0000-0000-00002D570000}"/>
    <cellStyle name="Normal 2 2 4 2 2 11 5 8" xfId="22318" xr:uid="{00000000-0005-0000-0000-00002E570000}"/>
    <cellStyle name="Normal 2 2 4 2 2 11 5 9" xfId="22319" xr:uid="{00000000-0005-0000-0000-00002F570000}"/>
    <cellStyle name="Normal 2 2 4 2 2 11 6" xfId="22320" xr:uid="{00000000-0005-0000-0000-000030570000}"/>
    <cellStyle name="Normal 2 2 4 2 2 11 7" xfId="22321" xr:uid="{00000000-0005-0000-0000-000031570000}"/>
    <cellStyle name="Normal 2 2 4 2 2 11 8" xfId="22322" xr:uid="{00000000-0005-0000-0000-000032570000}"/>
    <cellStyle name="Normal 2 2 4 2 2 11 9" xfId="22323" xr:uid="{00000000-0005-0000-0000-000033570000}"/>
    <cellStyle name="Normal 2 2 4 2 2 12" xfId="22324" xr:uid="{00000000-0005-0000-0000-000034570000}"/>
    <cellStyle name="Normal 2 2 4 2 2 12 10" xfId="22325" xr:uid="{00000000-0005-0000-0000-000035570000}"/>
    <cellStyle name="Normal 2 2 4 2 2 12 11" xfId="22326" xr:uid="{00000000-0005-0000-0000-000036570000}"/>
    <cellStyle name="Normal 2 2 4 2 2 12 12" xfId="22327" xr:uid="{00000000-0005-0000-0000-000037570000}"/>
    <cellStyle name="Normal 2 2 4 2 2 12 13" xfId="22328" xr:uid="{00000000-0005-0000-0000-000038570000}"/>
    <cellStyle name="Normal 2 2 4 2 2 12 14" xfId="22329" xr:uid="{00000000-0005-0000-0000-000039570000}"/>
    <cellStyle name="Normal 2 2 4 2 2 12 2" xfId="22330" xr:uid="{00000000-0005-0000-0000-00003A570000}"/>
    <cellStyle name="Normal 2 2 4 2 2 12 2 10" xfId="22331" xr:uid="{00000000-0005-0000-0000-00003B570000}"/>
    <cellStyle name="Normal 2 2 4 2 2 12 2 2" xfId="22332" xr:uid="{00000000-0005-0000-0000-00003C570000}"/>
    <cellStyle name="Normal 2 2 4 2 2 12 2 3" xfId="22333" xr:uid="{00000000-0005-0000-0000-00003D570000}"/>
    <cellStyle name="Normal 2 2 4 2 2 12 2 4" xfId="22334" xr:uid="{00000000-0005-0000-0000-00003E570000}"/>
    <cellStyle name="Normal 2 2 4 2 2 12 2 5" xfId="22335" xr:uid="{00000000-0005-0000-0000-00003F570000}"/>
    <cellStyle name="Normal 2 2 4 2 2 12 2 6" xfId="22336" xr:uid="{00000000-0005-0000-0000-000040570000}"/>
    <cellStyle name="Normal 2 2 4 2 2 12 2 7" xfId="22337" xr:uid="{00000000-0005-0000-0000-000041570000}"/>
    <cellStyle name="Normal 2 2 4 2 2 12 2 8" xfId="22338" xr:uid="{00000000-0005-0000-0000-000042570000}"/>
    <cellStyle name="Normal 2 2 4 2 2 12 2 9" xfId="22339" xr:uid="{00000000-0005-0000-0000-000043570000}"/>
    <cellStyle name="Normal 2 2 4 2 2 12 3" xfId="22340" xr:uid="{00000000-0005-0000-0000-000044570000}"/>
    <cellStyle name="Normal 2 2 4 2 2 12 3 10" xfId="22341" xr:uid="{00000000-0005-0000-0000-000045570000}"/>
    <cellStyle name="Normal 2 2 4 2 2 12 3 2" xfId="22342" xr:uid="{00000000-0005-0000-0000-000046570000}"/>
    <cellStyle name="Normal 2 2 4 2 2 12 3 3" xfId="22343" xr:uid="{00000000-0005-0000-0000-000047570000}"/>
    <cellStyle name="Normal 2 2 4 2 2 12 3 4" xfId="22344" xr:uid="{00000000-0005-0000-0000-000048570000}"/>
    <cellStyle name="Normal 2 2 4 2 2 12 3 5" xfId="22345" xr:uid="{00000000-0005-0000-0000-000049570000}"/>
    <cellStyle name="Normal 2 2 4 2 2 12 3 6" xfId="22346" xr:uid="{00000000-0005-0000-0000-00004A570000}"/>
    <cellStyle name="Normal 2 2 4 2 2 12 3 7" xfId="22347" xr:uid="{00000000-0005-0000-0000-00004B570000}"/>
    <cellStyle name="Normal 2 2 4 2 2 12 3 8" xfId="22348" xr:uid="{00000000-0005-0000-0000-00004C570000}"/>
    <cellStyle name="Normal 2 2 4 2 2 12 3 9" xfId="22349" xr:uid="{00000000-0005-0000-0000-00004D570000}"/>
    <cellStyle name="Normal 2 2 4 2 2 12 4" xfId="22350" xr:uid="{00000000-0005-0000-0000-00004E570000}"/>
    <cellStyle name="Normal 2 2 4 2 2 12 4 10" xfId="22351" xr:uid="{00000000-0005-0000-0000-00004F570000}"/>
    <cellStyle name="Normal 2 2 4 2 2 12 4 2" xfId="22352" xr:uid="{00000000-0005-0000-0000-000050570000}"/>
    <cellStyle name="Normal 2 2 4 2 2 12 4 3" xfId="22353" xr:uid="{00000000-0005-0000-0000-000051570000}"/>
    <cellStyle name="Normal 2 2 4 2 2 12 4 4" xfId="22354" xr:uid="{00000000-0005-0000-0000-000052570000}"/>
    <cellStyle name="Normal 2 2 4 2 2 12 4 5" xfId="22355" xr:uid="{00000000-0005-0000-0000-000053570000}"/>
    <cellStyle name="Normal 2 2 4 2 2 12 4 6" xfId="22356" xr:uid="{00000000-0005-0000-0000-000054570000}"/>
    <cellStyle name="Normal 2 2 4 2 2 12 4 7" xfId="22357" xr:uid="{00000000-0005-0000-0000-000055570000}"/>
    <cellStyle name="Normal 2 2 4 2 2 12 4 8" xfId="22358" xr:uid="{00000000-0005-0000-0000-000056570000}"/>
    <cellStyle name="Normal 2 2 4 2 2 12 4 9" xfId="22359" xr:uid="{00000000-0005-0000-0000-000057570000}"/>
    <cellStyle name="Normal 2 2 4 2 2 12 5" xfId="22360" xr:uid="{00000000-0005-0000-0000-000058570000}"/>
    <cellStyle name="Normal 2 2 4 2 2 12 5 10" xfId="22361" xr:uid="{00000000-0005-0000-0000-000059570000}"/>
    <cellStyle name="Normal 2 2 4 2 2 12 5 2" xfId="22362" xr:uid="{00000000-0005-0000-0000-00005A570000}"/>
    <cellStyle name="Normal 2 2 4 2 2 12 5 3" xfId="22363" xr:uid="{00000000-0005-0000-0000-00005B570000}"/>
    <cellStyle name="Normal 2 2 4 2 2 12 5 4" xfId="22364" xr:uid="{00000000-0005-0000-0000-00005C570000}"/>
    <cellStyle name="Normal 2 2 4 2 2 12 5 5" xfId="22365" xr:uid="{00000000-0005-0000-0000-00005D570000}"/>
    <cellStyle name="Normal 2 2 4 2 2 12 5 6" xfId="22366" xr:uid="{00000000-0005-0000-0000-00005E570000}"/>
    <cellStyle name="Normal 2 2 4 2 2 12 5 7" xfId="22367" xr:uid="{00000000-0005-0000-0000-00005F570000}"/>
    <cellStyle name="Normal 2 2 4 2 2 12 5 8" xfId="22368" xr:uid="{00000000-0005-0000-0000-000060570000}"/>
    <cellStyle name="Normal 2 2 4 2 2 12 5 9" xfId="22369" xr:uid="{00000000-0005-0000-0000-000061570000}"/>
    <cellStyle name="Normal 2 2 4 2 2 12 6" xfId="22370" xr:uid="{00000000-0005-0000-0000-000062570000}"/>
    <cellStyle name="Normal 2 2 4 2 2 12 7" xfId="22371" xr:uid="{00000000-0005-0000-0000-000063570000}"/>
    <cellStyle name="Normal 2 2 4 2 2 12 8" xfId="22372" xr:uid="{00000000-0005-0000-0000-000064570000}"/>
    <cellStyle name="Normal 2 2 4 2 2 12 9" xfId="22373" xr:uid="{00000000-0005-0000-0000-000065570000}"/>
    <cellStyle name="Normal 2 2 4 2 2 13" xfId="22374" xr:uid="{00000000-0005-0000-0000-000066570000}"/>
    <cellStyle name="Normal 2 2 4 2 2 13 10" xfId="22375" xr:uid="{00000000-0005-0000-0000-000067570000}"/>
    <cellStyle name="Normal 2 2 4 2 2 13 11" xfId="22376" xr:uid="{00000000-0005-0000-0000-000068570000}"/>
    <cellStyle name="Normal 2 2 4 2 2 13 12" xfId="22377" xr:uid="{00000000-0005-0000-0000-000069570000}"/>
    <cellStyle name="Normal 2 2 4 2 2 13 13" xfId="22378" xr:uid="{00000000-0005-0000-0000-00006A570000}"/>
    <cellStyle name="Normal 2 2 4 2 2 13 14" xfId="22379" xr:uid="{00000000-0005-0000-0000-00006B570000}"/>
    <cellStyle name="Normal 2 2 4 2 2 13 2" xfId="22380" xr:uid="{00000000-0005-0000-0000-00006C570000}"/>
    <cellStyle name="Normal 2 2 4 2 2 13 2 10" xfId="22381" xr:uid="{00000000-0005-0000-0000-00006D570000}"/>
    <cellStyle name="Normal 2 2 4 2 2 13 2 2" xfId="22382" xr:uid="{00000000-0005-0000-0000-00006E570000}"/>
    <cellStyle name="Normal 2 2 4 2 2 13 2 3" xfId="22383" xr:uid="{00000000-0005-0000-0000-00006F570000}"/>
    <cellStyle name="Normal 2 2 4 2 2 13 2 4" xfId="22384" xr:uid="{00000000-0005-0000-0000-000070570000}"/>
    <cellStyle name="Normal 2 2 4 2 2 13 2 5" xfId="22385" xr:uid="{00000000-0005-0000-0000-000071570000}"/>
    <cellStyle name="Normal 2 2 4 2 2 13 2 6" xfId="22386" xr:uid="{00000000-0005-0000-0000-000072570000}"/>
    <cellStyle name="Normal 2 2 4 2 2 13 2 7" xfId="22387" xr:uid="{00000000-0005-0000-0000-000073570000}"/>
    <cellStyle name="Normal 2 2 4 2 2 13 2 8" xfId="22388" xr:uid="{00000000-0005-0000-0000-000074570000}"/>
    <cellStyle name="Normal 2 2 4 2 2 13 2 9" xfId="22389" xr:uid="{00000000-0005-0000-0000-000075570000}"/>
    <cellStyle name="Normal 2 2 4 2 2 13 3" xfId="22390" xr:uid="{00000000-0005-0000-0000-000076570000}"/>
    <cellStyle name="Normal 2 2 4 2 2 13 3 10" xfId="22391" xr:uid="{00000000-0005-0000-0000-000077570000}"/>
    <cellStyle name="Normal 2 2 4 2 2 13 3 2" xfId="22392" xr:uid="{00000000-0005-0000-0000-000078570000}"/>
    <cellStyle name="Normal 2 2 4 2 2 13 3 3" xfId="22393" xr:uid="{00000000-0005-0000-0000-000079570000}"/>
    <cellStyle name="Normal 2 2 4 2 2 13 3 4" xfId="22394" xr:uid="{00000000-0005-0000-0000-00007A570000}"/>
    <cellStyle name="Normal 2 2 4 2 2 13 3 5" xfId="22395" xr:uid="{00000000-0005-0000-0000-00007B570000}"/>
    <cellStyle name="Normal 2 2 4 2 2 13 3 6" xfId="22396" xr:uid="{00000000-0005-0000-0000-00007C570000}"/>
    <cellStyle name="Normal 2 2 4 2 2 13 3 7" xfId="22397" xr:uid="{00000000-0005-0000-0000-00007D570000}"/>
    <cellStyle name="Normal 2 2 4 2 2 13 3 8" xfId="22398" xr:uid="{00000000-0005-0000-0000-00007E570000}"/>
    <cellStyle name="Normal 2 2 4 2 2 13 3 9" xfId="22399" xr:uid="{00000000-0005-0000-0000-00007F570000}"/>
    <cellStyle name="Normal 2 2 4 2 2 13 4" xfId="22400" xr:uid="{00000000-0005-0000-0000-000080570000}"/>
    <cellStyle name="Normal 2 2 4 2 2 13 4 10" xfId="22401" xr:uid="{00000000-0005-0000-0000-000081570000}"/>
    <cellStyle name="Normal 2 2 4 2 2 13 4 2" xfId="22402" xr:uid="{00000000-0005-0000-0000-000082570000}"/>
    <cellStyle name="Normal 2 2 4 2 2 13 4 3" xfId="22403" xr:uid="{00000000-0005-0000-0000-000083570000}"/>
    <cellStyle name="Normal 2 2 4 2 2 13 4 4" xfId="22404" xr:uid="{00000000-0005-0000-0000-000084570000}"/>
    <cellStyle name="Normal 2 2 4 2 2 13 4 5" xfId="22405" xr:uid="{00000000-0005-0000-0000-000085570000}"/>
    <cellStyle name="Normal 2 2 4 2 2 13 4 6" xfId="22406" xr:uid="{00000000-0005-0000-0000-000086570000}"/>
    <cellStyle name="Normal 2 2 4 2 2 13 4 7" xfId="22407" xr:uid="{00000000-0005-0000-0000-000087570000}"/>
    <cellStyle name="Normal 2 2 4 2 2 13 4 8" xfId="22408" xr:uid="{00000000-0005-0000-0000-000088570000}"/>
    <cellStyle name="Normal 2 2 4 2 2 13 4 9" xfId="22409" xr:uid="{00000000-0005-0000-0000-000089570000}"/>
    <cellStyle name="Normal 2 2 4 2 2 13 5" xfId="22410" xr:uid="{00000000-0005-0000-0000-00008A570000}"/>
    <cellStyle name="Normal 2 2 4 2 2 13 5 10" xfId="22411" xr:uid="{00000000-0005-0000-0000-00008B570000}"/>
    <cellStyle name="Normal 2 2 4 2 2 13 5 2" xfId="22412" xr:uid="{00000000-0005-0000-0000-00008C570000}"/>
    <cellStyle name="Normal 2 2 4 2 2 13 5 3" xfId="22413" xr:uid="{00000000-0005-0000-0000-00008D570000}"/>
    <cellStyle name="Normal 2 2 4 2 2 13 5 4" xfId="22414" xr:uid="{00000000-0005-0000-0000-00008E570000}"/>
    <cellStyle name="Normal 2 2 4 2 2 13 5 5" xfId="22415" xr:uid="{00000000-0005-0000-0000-00008F570000}"/>
    <cellStyle name="Normal 2 2 4 2 2 13 5 6" xfId="22416" xr:uid="{00000000-0005-0000-0000-000090570000}"/>
    <cellStyle name="Normal 2 2 4 2 2 13 5 7" xfId="22417" xr:uid="{00000000-0005-0000-0000-000091570000}"/>
    <cellStyle name="Normal 2 2 4 2 2 13 5 8" xfId="22418" xr:uid="{00000000-0005-0000-0000-000092570000}"/>
    <cellStyle name="Normal 2 2 4 2 2 13 5 9" xfId="22419" xr:uid="{00000000-0005-0000-0000-000093570000}"/>
    <cellStyle name="Normal 2 2 4 2 2 13 6" xfId="22420" xr:uid="{00000000-0005-0000-0000-000094570000}"/>
    <cellStyle name="Normal 2 2 4 2 2 13 7" xfId="22421" xr:uid="{00000000-0005-0000-0000-000095570000}"/>
    <cellStyle name="Normal 2 2 4 2 2 13 8" xfId="22422" xr:uid="{00000000-0005-0000-0000-000096570000}"/>
    <cellStyle name="Normal 2 2 4 2 2 13 9" xfId="22423" xr:uid="{00000000-0005-0000-0000-000097570000}"/>
    <cellStyle name="Normal 2 2 4 2 2 14" xfId="22424" xr:uid="{00000000-0005-0000-0000-000098570000}"/>
    <cellStyle name="Normal 2 2 4 2 2 14 10" xfId="22425" xr:uid="{00000000-0005-0000-0000-000099570000}"/>
    <cellStyle name="Normal 2 2 4 2 2 14 11" xfId="22426" xr:uid="{00000000-0005-0000-0000-00009A570000}"/>
    <cellStyle name="Normal 2 2 4 2 2 14 12" xfId="22427" xr:uid="{00000000-0005-0000-0000-00009B570000}"/>
    <cellStyle name="Normal 2 2 4 2 2 14 13" xfId="22428" xr:uid="{00000000-0005-0000-0000-00009C570000}"/>
    <cellStyle name="Normal 2 2 4 2 2 14 14" xfId="22429" xr:uid="{00000000-0005-0000-0000-00009D570000}"/>
    <cellStyle name="Normal 2 2 4 2 2 14 2" xfId="22430" xr:uid="{00000000-0005-0000-0000-00009E570000}"/>
    <cellStyle name="Normal 2 2 4 2 2 14 2 10" xfId="22431" xr:uid="{00000000-0005-0000-0000-00009F570000}"/>
    <cellStyle name="Normal 2 2 4 2 2 14 2 2" xfId="22432" xr:uid="{00000000-0005-0000-0000-0000A0570000}"/>
    <cellStyle name="Normal 2 2 4 2 2 14 2 3" xfId="22433" xr:uid="{00000000-0005-0000-0000-0000A1570000}"/>
    <cellStyle name="Normal 2 2 4 2 2 14 2 4" xfId="22434" xr:uid="{00000000-0005-0000-0000-0000A2570000}"/>
    <cellStyle name="Normal 2 2 4 2 2 14 2 5" xfId="22435" xr:uid="{00000000-0005-0000-0000-0000A3570000}"/>
    <cellStyle name="Normal 2 2 4 2 2 14 2 6" xfId="22436" xr:uid="{00000000-0005-0000-0000-0000A4570000}"/>
    <cellStyle name="Normal 2 2 4 2 2 14 2 7" xfId="22437" xr:uid="{00000000-0005-0000-0000-0000A5570000}"/>
    <cellStyle name="Normal 2 2 4 2 2 14 2 8" xfId="22438" xr:uid="{00000000-0005-0000-0000-0000A6570000}"/>
    <cellStyle name="Normal 2 2 4 2 2 14 2 9" xfId="22439" xr:uid="{00000000-0005-0000-0000-0000A7570000}"/>
    <cellStyle name="Normal 2 2 4 2 2 14 3" xfId="22440" xr:uid="{00000000-0005-0000-0000-0000A8570000}"/>
    <cellStyle name="Normal 2 2 4 2 2 14 3 10" xfId="22441" xr:uid="{00000000-0005-0000-0000-0000A9570000}"/>
    <cellStyle name="Normal 2 2 4 2 2 14 3 2" xfId="22442" xr:uid="{00000000-0005-0000-0000-0000AA570000}"/>
    <cellStyle name="Normal 2 2 4 2 2 14 3 3" xfId="22443" xr:uid="{00000000-0005-0000-0000-0000AB570000}"/>
    <cellStyle name="Normal 2 2 4 2 2 14 3 4" xfId="22444" xr:uid="{00000000-0005-0000-0000-0000AC570000}"/>
    <cellStyle name="Normal 2 2 4 2 2 14 3 5" xfId="22445" xr:uid="{00000000-0005-0000-0000-0000AD570000}"/>
    <cellStyle name="Normal 2 2 4 2 2 14 3 6" xfId="22446" xr:uid="{00000000-0005-0000-0000-0000AE570000}"/>
    <cellStyle name="Normal 2 2 4 2 2 14 3 7" xfId="22447" xr:uid="{00000000-0005-0000-0000-0000AF570000}"/>
    <cellStyle name="Normal 2 2 4 2 2 14 3 8" xfId="22448" xr:uid="{00000000-0005-0000-0000-0000B0570000}"/>
    <cellStyle name="Normal 2 2 4 2 2 14 3 9" xfId="22449" xr:uid="{00000000-0005-0000-0000-0000B1570000}"/>
    <cellStyle name="Normal 2 2 4 2 2 14 4" xfId="22450" xr:uid="{00000000-0005-0000-0000-0000B2570000}"/>
    <cellStyle name="Normal 2 2 4 2 2 14 4 10" xfId="22451" xr:uid="{00000000-0005-0000-0000-0000B3570000}"/>
    <cellStyle name="Normal 2 2 4 2 2 14 4 2" xfId="22452" xr:uid="{00000000-0005-0000-0000-0000B4570000}"/>
    <cellStyle name="Normal 2 2 4 2 2 14 4 3" xfId="22453" xr:uid="{00000000-0005-0000-0000-0000B5570000}"/>
    <cellStyle name="Normal 2 2 4 2 2 14 4 4" xfId="22454" xr:uid="{00000000-0005-0000-0000-0000B6570000}"/>
    <cellStyle name="Normal 2 2 4 2 2 14 4 5" xfId="22455" xr:uid="{00000000-0005-0000-0000-0000B7570000}"/>
    <cellStyle name="Normal 2 2 4 2 2 14 4 6" xfId="22456" xr:uid="{00000000-0005-0000-0000-0000B8570000}"/>
    <cellStyle name="Normal 2 2 4 2 2 14 4 7" xfId="22457" xr:uid="{00000000-0005-0000-0000-0000B9570000}"/>
    <cellStyle name="Normal 2 2 4 2 2 14 4 8" xfId="22458" xr:uid="{00000000-0005-0000-0000-0000BA570000}"/>
    <cellStyle name="Normal 2 2 4 2 2 14 4 9" xfId="22459" xr:uid="{00000000-0005-0000-0000-0000BB570000}"/>
    <cellStyle name="Normal 2 2 4 2 2 14 5" xfId="22460" xr:uid="{00000000-0005-0000-0000-0000BC570000}"/>
    <cellStyle name="Normal 2 2 4 2 2 14 5 10" xfId="22461" xr:uid="{00000000-0005-0000-0000-0000BD570000}"/>
    <cellStyle name="Normal 2 2 4 2 2 14 5 2" xfId="22462" xr:uid="{00000000-0005-0000-0000-0000BE570000}"/>
    <cellStyle name="Normal 2 2 4 2 2 14 5 3" xfId="22463" xr:uid="{00000000-0005-0000-0000-0000BF570000}"/>
    <cellStyle name="Normal 2 2 4 2 2 14 5 4" xfId="22464" xr:uid="{00000000-0005-0000-0000-0000C0570000}"/>
    <cellStyle name="Normal 2 2 4 2 2 14 5 5" xfId="22465" xr:uid="{00000000-0005-0000-0000-0000C1570000}"/>
    <cellStyle name="Normal 2 2 4 2 2 14 5 6" xfId="22466" xr:uid="{00000000-0005-0000-0000-0000C2570000}"/>
    <cellStyle name="Normal 2 2 4 2 2 14 5 7" xfId="22467" xr:uid="{00000000-0005-0000-0000-0000C3570000}"/>
    <cellStyle name="Normal 2 2 4 2 2 14 5 8" xfId="22468" xr:uid="{00000000-0005-0000-0000-0000C4570000}"/>
    <cellStyle name="Normal 2 2 4 2 2 14 5 9" xfId="22469" xr:uid="{00000000-0005-0000-0000-0000C5570000}"/>
    <cellStyle name="Normal 2 2 4 2 2 14 6" xfId="22470" xr:uid="{00000000-0005-0000-0000-0000C6570000}"/>
    <cellStyle name="Normal 2 2 4 2 2 14 7" xfId="22471" xr:uid="{00000000-0005-0000-0000-0000C7570000}"/>
    <cellStyle name="Normal 2 2 4 2 2 14 8" xfId="22472" xr:uid="{00000000-0005-0000-0000-0000C8570000}"/>
    <cellStyle name="Normal 2 2 4 2 2 14 9" xfId="22473" xr:uid="{00000000-0005-0000-0000-0000C9570000}"/>
    <cellStyle name="Normal 2 2 4 2 2 15" xfId="22474" xr:uid="{00000000-0005-0000-0000-0000CA570000}"/>
    <cellStyle name="Normal 2 2 4 2 2 15 10" xfId="22475" xr:uid="{00000000-0005-0000-0000-0000CB570000}"/>
    <cellStyle name="Normal 2 2 4 2 2 15 11" xfId="22476" xr:uid="{00000000-0005-0000-0000-0000CC570000}"/>
    <cellStyle name="Normal 2 2 4 2 2 15 12" xfId="22477" xr:uid="{00000000-0005-0000-0000-0000CD570000}"/>
    <cellStyle name="Normal 2 2 4 2 2 15 13" xfId="22478" xr:uid="{00000000-0005-0000-0000-0000CE570000}"/>
    <cellStyle name="Normal 2 2 4 2 2 15 14" xfId="22479" xr:uid="{00000000-0005-0000-0000-0000CF570000}"/>
    <cellStyle name="Normal 2 2 4 2 2 15 2" xfId="22480" xr:uid="{00000000-0005-0000-0000-0000D0570000}"/>
    <cellStyle name="Normal 2 2 4 2 2 15 2 10" xfId="22481" xr:uid="{00000000-0005-0000-0000-0000D1570000}"/>
    <cellStyle name="Normal 2 2 4 2 2 15 2 2" xfId="22482" xr:uid="{00000000-0005-0000-0000-0000D2570000}"/>
    <cellStyle name="Normal 2 2 4 2 2 15 2 3" xfId="22483" xr:uid="{00000000-0005-0000-0000-0000D3570000}"/>
    <cellStyle name="Normal 2 2 4 2 2 15 2 4" xfId="22484" xr:uid="{00000000-0005-0000-0000-0000D4570000}"/>
    <cellStyle name="Normal 2 2 4 2 2 15 2 5" xfId="22485" xr:uid="{00000000-0005-0000-0000-0000D5570000}"/>
    <cellStyle name="Normal 2 2 4 2 2 15 2 6" xfId="22486" xr:uid="{00000000-0005-0000-0000-0000D6570000}"/>
    <cellStyle name="Normal 2 2 4 2 2 15 2 7" xfId="22487" xr:uid="{00000000-0005-0000-0000-0000D7570000}"/>
    <cellStyle name="Normal 2 2 4 2 2 15 2 8" xfId="22488" xr:uid="{00000000-0005-0000-0000-0000D8570000}"/>
    <cellStyle name="Normal 2 2 4 2 2 15 2 9" xfId="22489" xr:uid="{00000000-0005-0000-0000-0000D9570000}"/>
    <cellStyle name="Normal 2 2 4 2 2 15 3" xfId="22490" xr:uid="{00000000-0005-0000-0000-0000DA570000}"/>
    <cellStyle name="Normal 2 2 4 2 2 15 3 10" xfId="22491" xr:uid="{00000000-0005-0000-0000-0000DB570000}"/>
    <cellStyle name="Normal 2 2 4 2 2 15 3 2" xfId="22492" xr:uid="{00000000-0005-0000-0000-0000DC570000}"/>
    <cellStyle name="Normal 2 2 4 2 2 15 3 3" xfId="22493" xr:uid="{00000000-0005-0000-0000-0000DD570000}"/>
    <cellStyle name="Normal 2 2 4 2 2 15 3 4" xfId="22494" xr:uid="{00000000-0005-0000-0000-0000DE570000}"/>
    <cellStyle name="Normal 2 2 4 2 2 15 3 5" xfId="22495" xr:uid="{00000000-0005-0000-0000-0000DF570000}"/>
    <cellStyle name="Normal 2 2 4 2 2 15 3 6" xfId="22496" xr:uid="{00000000-0005-0000-0000-0000E0570000}"/>
    <cellStyle name="Normal 2 2 4 2 2 15 3 7" xfId="22497" xr:uid="{00000000-0005-0000-0000-0000E1570000}"/>
    <cellStyle name="Normal 2 2 4 2 2 15 3 8" xfId="22498" xr:uid="{00000000-0005-0000-0000-0000E2570000}"/>
    <cellStyle name="Normal 2 2 4 2 2 15 3 9" xfId="22499" xr:uid="{00000000-0005-0000-0000-0000E3570000}"/>
    <cellStyle name="Normal 2 2 4 2 2 15 4" xfId="22500" xr:uid="{00000000-0005-0000-0000-0000E4570000}"/>
    <cellStyle name="Normal 2 2 4 2 2 15 4 10" xfId="22501" xr:uid="{00000000-0005-0000-0000-0000E5570000}"/>
    <cellStyle name="Normal 2 2 4 2 2 15 4 2" xfId="22502" xr:uid="{00000000-0005-0000-0000-0000E6570000}"/>
    <cellStyle name="Normal 2 2 4 2 2 15 4 3" xfId="22503" xr:uid="{00000000-0005-0000-0000-0000E7570000}"/>
    <cellStyle name="Normal 2 2 4 2 2 15 4 4" xfId="22504" xr:uid="{00000000-0005-0000-0000-0000E8570000}"/>
    <cellStyle name="Normal 2 2 4 2 2 15 4 5" xfId="22505" xr:uid="{00000000-0005-0000-0000-0000E9570000}"/>
    <cellStyle name="Normal 2 2 4 2 2 15 4 6" xfId="22506" xr:uid="{00000000-0005-0000-0000-0000EA570000}"/>
    <cellStyle name="Normal 2 2 4 2 2 15 4 7" xfId="22507" xr:uid="{00000000-0005-0000-0000-0000EB570000}"/>
    <cellStyle name="Normal 2 2 4 2 2 15 4 8" xfId="22508" xr:uid="{00000000-0005-0000-0000-0000EC570000}"/>
    <cellStyle name="Normal 2 2 4 2 2 15 4 9" xfId="22509" xr:uid="{00000000-0005-0000-0000-0000ED570000}"/>
    <cellStyle name="Normal 2 2 4 2 2 15 5" xfId="22510" xr:uid="{00000000-0005-0000-0000-0000EE570000}"/>
    <cellStyle name="Normal 2 2 4 2 2 15 5 10" xfId="22511" xr:uid="{00000000-0005-0000-0000-0000EF570000}"/>
    <cellStyle name="Normal 2 2 4 2 2 15 5 2" xfId="22512" xr:uid="{00000000-0005-0000-0000-0000F0570000}"/>
    <cellStyle name="Normal 2 2 4 2 2 15 5 3" xfId="22513" xr:uid="{00000000-0005-0000-0000-0000F1570000}"/>
    <cellStyle name="Normal 2 2 4 2 2 15 5 4" xfId="22514" xr:uid="{00000000-0005-0000-0000-0000F2570000}"/>
    <cellStyle name="Normal 2 2 4 2 2 15 5 5" xfId="22515" xr:uid="{00000000-0005-0000-0000-0000F3570000}"/>
    <cellStyle name="Normal 2 2 4 2 2 15 5 6" xfId="22516" xr:uid="{00000000-0005-0000-0000-0000F4570000}"/>
    <cellStyle name="Normal 2 2 4 2 2 15 5 7" xfId="22517" xr:uid="{00000000-0005-0000-0000-0000F5570000}"/>
    <cellStyle name="Normal 2 2 4 2 2 15 5 8" xfId="22518" xr:uid="{00000000-0005-0000-0000-0000F6570000}"/>
    <cellStyle name="Normal 2 2 4 2 2 15 5 9" xfId="22519" xr:uid="{00000000-0005-0000-0000-0000F7570000}"/>
    <cellStyle name="Normal 2 2 4 2 2 15 6" xfId="22520" xr:uid="{00000000-0005-0000-0000-0000F8570000}"/>
    <cellStyle name="Normal 2 2 4 2 2 15 7" xfId="22521" xr:uid="{00000000-0005-0000-0000-0000F9570000}"/>
    <cellStyle name="Normal 2 2 4 2 2 15 8" xfId="22522" xr:uid="{00000000-0005-0000-0000-0000FA570000}"/>
    <cellStyle name="Normal 2 2 4 2 2 15 9" xfId="22523" xr:uid="{00000000-0005-0000-0000-0000FB570000}"/>
    <cellStyle name="Normal 2 2 4 2 2 16" xfId="22524" xr:uid="{00000000-0005-0000-0000-0000FC570000}"/>
    <cellStyle name="Normal 2 2 4 2 2 16 10" xfId="22525" xr:uid="{00000000-0005-0000-0000-0000FD570000}"/>
    <cellStyle name="Normal 2 2 4 2 2 16 11" xfId="22526" xr:uid="{00000000-0005-0000-0000-0000FE570000}"/>
    <cellStyle name="Normal 2 2 4 2 2 16 12" xfId="22527" xr:uid="{00000000-0005-0000-0000-0000FF570000}"/>
    <cellStyle name="Normal 2 2 4 2 2 16 13" xfId="22528" xr:uid="{00000000-0005-0000-0000-000000580000}"/>
    <cellStyle name="Normal 2 2 4 2 2 16 14" xfId="22529" xr:uid="{00000000-0005-0000-0000-000001580000}"/>
    <cellStyle name="Normal 2 2 4 2 2 16 2" xfId="22530" xr:uid="{00000000-0005-0000-0000-000002580000}"/>
    <cellStyle name="Normal 2 2 4 2 2 16 2 10" xfId="22531" xr:uid="{00000000-0005-0000-0000-000003580000}"/>
    <cellStyle name="Normal 2 2 4 2 2 16 2 2" xfId="22532" xr:uid="{00000000-0005-0000-0000-000004580000}"/>
    <cellStyle name="Normal 2 2 4 2 2 16 2 3" xfId="22533" xr:uid="{00000000-0005-0000-0000-000005580000}"/>
    <cellStyle name="Normal 2 2 4 2 2 16 2 4" xfId="22534" xr:uid="{00000000-0005-0000-0000-000006580000}"/>
    <cellStyle name="Normal 2 2 4 2 2 16 2 5" xfId="22535" xr:uid="{00000000-0005-0000-0000-000007580000}"/>
    <cellStyle name="Normal 2 2 4 2 2 16 2 6" xfId="22536" xr:uid="{00000000-0005-0000-0000-000008580000}"/>
    <cellStyle name="Normal 2 2 4 2 2 16 2 7" xfId="22537" xr:uid="{00000000-0005-0000-0000-000009580000}"/>
    <cellStyle name="Normal 2 2 4 2 2 16 2 8" xfId="22538" xr:uid="{00000000-0005-0000-0000-00000A580000}"/>
    <cellStyle name="Normal 2 2 4 2 2 16 2 9" xfId="22539" xr:uid="{00000000-0005-0000-0000-00000B580000}"/>
    <cellStyle name="Normal 2 2 4 2 2 16 3" xfId="22540" xr:uid="{00000000-0005-0000-0000-00000C580000}"/>
    <cellStyle name="Normal 2 2 4 2 2 16 3 10" xfId="22541" xr:uid="{00000000-0005-0000-0000-00000D580000}"/>
    <cellStyle name="Normal 2 2 4 2 2 16 3 2" xfId="22542" xr:uid="{00000000-0005-0000-0000-00000E580000}"/>
    <cellStyle name="Normal 2 2 4 2 2 16 3 3" xfId="22543" xr:uid="{00000000-0005-0000-0000-00000F580000}"/>
    <cellStyle name="Normal 2 2 4 2 2 16 3 4" xfId="22544" xr:uid="{00000000-0005-0000-0000-000010580000}"/>
    <cellStyle name="Normal 2 2 4 2 2 16 3 5" xfId="22545" xr:uid="{00000000-0005-0000-0000-000011580000}"/>
    <cellStyle name="Normal 2 2 4 2 2 16 3 6" xfId="22546" xr:uid="{00000000-0005-0000-0000-000012580000}"/>
    <cellStyle name="Normal 2 2 4 2 2 16 3 7" xfId="22547" xr:uid="{00000000-0005-0000-0000-000013580000}"/>
    <cellStyle name="Normal 2 2 4 2 2 16 3 8" xfId="22548" xr:uid="{00000000-0005-0000-0000-000014580000}"/>
    <cellStyle name="Normal 2 2 4 2 2 16 3 9" xfId="22549" xr:uid="{00000000-0005-0000-0000-000015580000}"/>
    <cellStyle name="Normal 2 2 4 2 2 16 4" xfId="22550" xr:uid="{00000000-0005-0000-0000-000016580000}"/>
    <cellStyle name="Normal 2 2 4 2 2 16 4 10" xfId="22551" xr:uid="{00000000-0005-0000-0000-000017580000}"/>
    <cellStyle name="Normal 2 2 4 2 2 16 4 2" xfId="22552" xr:uid="{00000000-0005-0000-0000-000018580000}"/>
    <cellStyle name="Normal 2 2 4 2 2 16 4 3" xfId="22553" xr:uid="{00000000-0005-0000-0000-000019580000}"/>
    <cellStyle name="Normal 2 2 4 2 2 16 4 4" xfId="22554" xr:uid="{00000000-0005-0000-0000-00001A580000}"/>
    <cellStyle name="Normal 2 2 4 2 2 16 4 5" xfId="22555" xr:uid="{00000000-0005-0000-0000-00001B580000}"/>
    <cellStyle name="Normal 2 2 4 2 2 16 4 6" xfId="22556" xr:uid="{00000000-0005-0000-0000-00001C580000}"/>
    <cellStyle name="Normal 2 2 4 2 2 16 4 7" xfId="22557" xr:uid="{00000000-0005-0000-0000-00001D580000}"/>
    <cellStyle name="Normal 2 2 4 2 2 16 4 8" xfId="22558" xr:uid="{00000000-0005-0000-0000-00001E580000}"/>
    <cellStyle name="Normal 2 2 4 2 2 16 4 9" xfId="22559" xr:uid="{00000000-0005-0000-0000-00001F580000}"/>
    <cellStyle name="Normal 2 2 4 2 2 16 5" xfId="22560" xr:uid="{00000000-0005-0000-0000-000020580000}"/>
    <cellStyle name="Normal 2 2 4 2 2 16 5 10" xfId="22561" xr:uid="{00000000-0005-0000-0000-000021580000}"/>
    <cellStyle name="Normal 2 2 4 2 2 16 5 2" xfId="22562" xr:uid="{00000000-0005-0000-0000-000022580000}"/>
    <cellStyle name="Normal 2 2 4 2 2 16 5 3" xfId="22563" xr:uid="{00000000-0005-0000-0000-000023580000}"/>
    <cellStyle name="Normal 2 2 4 2 2 16 5 4" xfId="22564" xr:uid="{00000000-0005-0000-0000-000024580000}"/>
    <cellStyle name="Normal 2 2 4 2 2 16 5 5" xfId="22565" xr:uid="{00000000-0005-0000-0000-000025580000}"/>
    <cellStyle name="Normal 2 2 4 2 2 16 5 6" xfId="22566" xr:uid="{00000000-0005-0000-0000-000026580000}"/>
    <cellStyle name="Normal 2 2 4 2 2 16 5 7" xfId="22567" xr:uid="{00000000-0005-0000-0000-000027580000}"/>
    <cellStyle name="Normal 2 2 4 2 2 16 5 8" xfId="22568" xr:uid="{00000000-0005-0000-0000-000028580000}"/>
    <cellStyle name="Normal 2 2 4 2 2 16 5 9" xfId="22569" xr:uid="{00000000-0005-0000-0000-000029580000}"/>
    <cellStyle name="Normal 2 2 4 2 2 16 6" xfId="22570" xr:uid="{00000000-0005-0000-0000-00002A580000}"/>
    <cellStyle name="Normal 2 2 4 2 2 16 7" xfId="22571" xr:uid="{00000000-0005-0000-0000-00002B580000}"/>
    <cellStyle name="Normal 2 2 4 2 2 16 8" xfId="22572" xr:uid="{00000000-0005-0000-0000-00002C580000}"/>
    <cellStyle name="Normal 2 2 4 2 2 16 9" xfId="22573" xr:uid="{00000000-0005-0000-0000-00002D580000}"/>
    <cellStyle name="Normal 2 2 4 2 2 17" xfId="22574" xr:uid="{00000000-0005-0000-0000-00002E580000}"/>
    <cellStyle name="Normal 2 2 4 2 2 17 10" xfId="22575" xr:uid="{00000000-0005-0000-0000-00002F580000}"/>
    <cellStyle name="Normal 2 2 4 2 2 17 11" xfId="22576" xr:uid="{00000000-0005-0000-0000-000030580000}"/>
    <cellStyle name="Normal 2 2 4 2 2 17 12" xfId="22577" xr:uid="{00000000-0005-0000-0000-000031580000}"/>
    <cellStyle name="Normal 2 2 4 2 2 17 13" xfId="22578" xr:uid="{00000000-0005-0000-0000-000032580000}"/>
    <cellStyle name="Normal 2 2 4 2 2 17 14" xfId="22579" xr:uid="{00000000-0005-0000-0000-000033580000}"/>
    <cellStyle name="Normal 2 2 4 2 2 17 2" xfId="22580" xr:uid="{00000000-0005-0000-0000-000034580000}"/>
    <cellStyle name="Normal 2 2 4 2 2 17 2 10" xfId="22581" xr:uid="{00000000-0005-0000-0000-000035580000}"/>
    <cellStyle name="Normal 2 2 4 2 2 17 2 2" xfId="22582" xr:uid="{00000000-0005-0000-0000-000036580000}"/>
    <cellStyle name="Normal 2 2 4 2 2 17 2 3" xfId="22583" xr:uid="{00000000-0005-0000-0000-000037580000}"/>
    <cellStyle name="Normal 2 2 4 2 2 17 2 4" xfId="22584" xr:uid="{00000000-0005-0000-0000-000038580000}"/>
    <cellStyle name="Normal 2 2 4 2 2 17 2 5" xfId="22585" xr:uid="{00000000-0005-0000-0000-000039580000}"/>
    <cellStyle name="Normal 2 2 4 2 2 17 2 6" xfId="22586" xr:uid="{00000000-0005-0000-0000-00003A580000}"/>
    <cellStyle name="Normal 2 2 4 2 2 17 2 7" xfId="22587" xr:uid="{00000000-0005-0000-0000-00003B580000}"/>
    <cellStyle name="Normal 2 2 4 2 2 17 2 8" xfId="22588" xr:uid="{00000000-0005-0000-0000-00003C580000}"/>
    <cellStyle name="Normal 2 2 4 2 2 17 2 9" xfId="22589" xr:uid="{00000000-0005-0000-0000-00003D580000}"/>
    <cellStyle name="Normal 2 2 4 2 2 17 3" xfId="22590" xr:uid="{00000000-0005-0000-0000-00003E580000}"/>
    <cellStyle name="Normal 2 2 4 2 2 17 3 10" xfId="22591" xr:uid="{00000000-0005-0000-0000-00003F580000}"/>
    <cellStyle name="Normal 2 2 4 2 2 17 3 2" xfId="22592" xr:uid="{00000000-0005-0000-0000-000040580000}"/>
    <cellStyle name="Normal 2 2 4 2 2 17 3 3" xfId="22593" xr:uid="{00000000-0005-0000-0000-000041580000}"/>
    <cellStyle name="Normal 2 2 4 2 2 17 3 4" xfId="22594" xr:uid="{00000000-0005-0000-0000-000042580000}"/>
    <cellStyle name="Normal 2 2 4 2 2 17 3 5" xfId="22595" xr:uid="{00000000-0005-0000-0000-000043580000}"/>
    <cellStyle name="Normal 2 2 4 2 2 17 3 6" xfId="22596" xr:uid="{00000000-0005-0000-0000-000044580000}"/>
    <cellStyle name="Normal 2 2 4 2 2 17 3 7" xfId="22597" xr:uid="{00000000-0005-0000-0000-000045580000}"/>
    <cellStyle name="Normal 2 2 4 2 2 17 3 8" xfId="22598" xr:uid="{00000000-0005-0000-0000-000046580000}"/>
    <cellStyle name="Normal 2 2 4 2 2 17 3 9" xfId="22599" xr:uid="{00000000-0005-0000-0000-000047580000}"/>
    <cellStyle name="Normal 2 2 4 2 2 17 4" xfId="22600" xr:uid="{00000000-0005-0000-0000-000048580000}"/>
    <cellStyle name="Normal 2 2 4 2 2 17 4 10" xfId="22601" xr:uid="{00000000-0005-0000-0000-000049580000}"/>
    <cellStyle name="Normal 2 2 4 2 2 17 4 2" xfId="22602" xr:uid="{00000000-0005-0000-0000-00004A580000}"/>
    <cellStyle name="Normal 2 2 4 2 2 17 4 3" xfId="22603" xr:uid="{00000000-0005-0000-0000-00004B580000}"/>
    <cellStyle name="Normal 2 2 4 2 2 17 4 4" xfId="22604" xr:uid="{00000000-0005-0000-0000-00004C580000}"/>
    <cellStyle name="Normal 2 2 4 2 2 17 4 5" xfId="22605" xr:uid="{00000000-0005-0000-0000-00004D580000}"/>
    <cellStyle name="Normal 2 2 4 2 2 17 4 6" xfId="22606" xr:uid="{00000000-0005-0000-0000-00004E580000}"/>
    <cellStyle name="Normal 2 2 4 2 2 17 4 7" xfId="22607" xr:uid="{00000000-0005-0000-0000-00004F580000}"/>
    <cellStyle name="Normal 2 2 4 2 2 17 4 8" xfId="22608" xr:uid="{00000000-0005-0000-0000-000050580000}"/>
    <cellStyle name="Normal 2 2 4 2 2 17 4 9" xfId="22609" xr:uid="{00000000-0005-0000-0000-000051580000}"/>
    <cellStyle name="Normal 2 2 4 2 2 17 5" xfId="22610" xr:uid="{00000000-0005-0000-0000-000052580000}"/>
    <cellStyle name="Normal 2 2 4 2 2 17 5 10" xfId="22611" xr:uid="{00000000-0005-0000-0000-000053580000}"/>
    <cellStyle name="Normal 2 2 4 2 2 17 5 2" xfId="22612" xr:uid="{00000000-0005-0000-0000-000054580000}"/>
    <cellStyle name="Normal 2 2 4 2 2 17 5 3" xfId="22613" xr:uid="{00000000-0005-0000-0000-000055580000}"/>
    <cellStyle name="Normal 2 2 4 2 2 17 5 4" xfId="22614" xr:uid="{00000000-0005-0000-0000-000056580000}"/>
    <cellStyle name="Normal 2 2 4 2 2 17 5 5" xfId="22615" xr:uid="{00000000-0005-0000-0000-000057580000}"/>
    <cellStyle name="Normal 2 2 4 2 2 17 5 6" xfId="22616" xr:uid="{00000000-0005-0000-0000-000058580000}"/>
    <cellStyle name="Normal 2 2 4 2 2 17 5 7" xfId="22617" xr:uid="{00000000-0005-0000-0000-000059580000}"/>
    <cellStyle name="Normal 2 2 4 2 2 17 5 8" xfId="22618" xr:uid="{00000000-0005-0000-0000-00005A580000}"/>
    <cellStyle name="Normal 2 2 4 2 2 17 5 9" xfId="22619" xr:uid="{00000000-0005-0000-0000-00005B580000}"/>
    <cellStyle name="Normal 2 2 4 2 2 17 6" xfId="22620" xr:uid="{00000000-0005-0000-0000-00005C580000}"/>
    <cellStyle name="Normal 2 2 4 2 2 17 7" xfId="22621" xr:uid="{00000000-0005-0000-0000-00005D580000}"/>
    <cellStyle name="Normal 2 2 4 2 2 17 8" xfId="22622" xr:uid="{00000000-0005-0000-0000-00005E580000}"/>
    <cellStyle name="Normal 2 2 4 2 2 17 9" xfId="22623" xr:uid="{00000000-0005-0000-0000-00005F580000}"/>
    <cellStyle name="Normal 2 2 4 2 2 18" xfId="22624" xr:uid="{00000000-0005-0000-0000-000060580000}"/>
    <cellStyle name="Normal 2 2 4 2 2 18 10" xfId="22625" xr:uid="{00000000-0005-0000-0000-000061580000}"/>
    <cellStyle name="Normal 2 2 4 2 2 18 11" xfId="22626" xr:uid="{00000000-0005-0000-0000-000062580000}"/>
    <cellStyle name="Normal 2 2 4 2 2 18 12" xfId="22627" xr:uid="{00000000-0005-0000-0000-000063580000}"/>
    <cellStyle name="Normal 2 2 4 2 2 18 13" xfId="22628" xr:uid="{00000000-0005-0000-0000-000064580000}"/>
    <cellStyle name="Normal 2 2 4 2 2 18 14" xfId="22629" xr:uid="{00000000-0005-0000-0000-000065580000}"/>
    <cellStyle name="Normal 2 2 4 2 2 18 2" xfId="22630" xr:uid="{00000000-0005-0000-0000-000066580000}"/>
    <cellStyle name="Normal 2 2 4 2 2 18 2 10" xfId="22631" xr:uid="{00000000-0005-0000-0000-000067580000}"/>
    <cellStyle name="Normal 2 2 4 2 2 18 2 2" xfId="22632" xr:uid="{00000000-0005-0000-0000-000068580000}"/>
    <cellStyle name="Normal 2 2 4 2 2 18 2 3" xfId="22633" xr:uid="{00000000-0005-0000-0000-000069580000}"/>
    <cellStyle name="Normal 2 2 4 2 2 18 2 4" xfId="22634" xr:uid="{00000000-0005-0000-0000-00006A580000}"/>
    <cellStyle name="Normal 2 2 4 2 2 18 2 5" xfId="22635" xr:uid="{00000000-0005-0000-0000-00006B580000}"/>
    <cellStyle name="Normal 2 2 4 2 2 18 2 6" xfId="22636" xr:uid="{00000000-0005-0000-0000-00006C580000}"/>
    <cellStyle name="Normal 2 2 4 2 2 18 2 7" xfId="22637" xr:uid="{00000000-0005-0000-0000-00006D580000}"/>
    <cellStyle name="Normal 2 2 4 2 2 18 2 8" xfId="22638" xr:uid="{00000000-0005-0000-0000-00006E580000}"/>
    <cellStyle name="Normal 2 2 4 2 2 18 2 9" xfId="22639" xr:uid="{00000000-0005-0000-0000-00006F580000}"/>
    <cellStyle name="Normal 2 2 4 2 2 18 3" xfId="22640" xr:uid="{00000000-0005-0000-0000-000070580000}"/>
    <cellStyle name="Normal 2 2 4 2 2 18 3 10" xfId="22641" xr:uid="{00000000-0005-0000-0000-000071580000}"/>
    <cellStyle name="Normal 2 2 4 2 2 18 3 2" xfId="22642" xr:uid="{00000000-0005-0000-0000-000072580000}"/>
    <cellStyle name="Normal 2 2 4 2 2 18 3 3" xfId="22643" xr:uid="{00000000-0005-0000-0000-000073580000}"/>
    <cellStyle name="Normal 2 2 4 2 2 18 3 4" xfId="22644" xr:uid="{00000000-0005-0000-0000-000074580000}"/>
    <cellStyle name="Normal 2 2 4 2 2 18 3 5" xfId="22645" xr:uid="{00000000-0005-0000-0000-000075580000}"/>
    <cellStyle name="Normal 2 2 4 2 2 18 3 6" xfId="22646" xr:uid="{00000000-0005-0000-0000-000076580000}"/>
    <cellStyle name="Normal 2 2 4 2 2 18 3 7" xfId="22647" xr:uid="{00000000-0005-0000-0000-000077580000}"/>
    <cellStyle name="Normal 2 2 4 2 2 18 3 8" xfId="22648" xr:uid="{00000000-0005-0000-0000-000078580000}"/>
    <cellStyle name="Normal 2 2 4 2 2 18 3 9" xfId="22649" xr:uid="{00000000-0005-0000-0000-000079580000}"/>
    <cellStyle name="Normal 2 2 4 2 2 18 4" xfId="22650" xr:uid="{00000000-0005-0000-0000-00007A580000}"/>
    <cellStyle name="Normal 2 2 4 2 2 18 4 10" xfId="22651" xr:uid="{00000000-0005-0000-0000-00007B580000}"/>
    <cellStyle name="Normal 2 2 4 2 2 18 4 2" xfId="22652" xr:uid="{00000000-0005-0000-0000-00007C580000}"/>
    <cellStyle name="Normal 2 2 4 2 2 18 4 3" xfId="22653" xr:uid="{00000000-0005-0000-0000-00007D580000}"/>
    <cellStyle name="Normal 2 2 4 2 2 18 4 4" xfId="22654" xr:uid="{00000000-0005-0000-0000-00007E580000}"/>
    <cellStyle name="Normal 2 2 4 2 2 18 4 5" xfId="22655" xr:uid="{00000000-0005-0000-0000-00007F580000}"/>
    <cellStyle name="Normal 2 2 4 2 2 18 4 6" xfId="22656" xr:uid="{00000000-0005-0000-0000-000080580000}"/>
    <cellStyle name="Normal 2 2 4 2 2 18 4 7" xfId="22657" xr:uid="{00000000-0005-0000-0000-000081580000}"/>
    <cellStyle name="Normal 2 2 4 2 2 18 4 8" xfId="22658" xr:uid="{00000000-0005-0000-0000-000082580000}"/>
    <cellStyle name="Normal 2 2 4 2 2 18 4 9" xfId="22659" xr:uid="{00000000-0005-0000-0000-000083580000}"/>
    <cellStyle name="Normal 2 2 4 2 2 18 5" xfId="22660" xr:uid="{00000000-0005-0000-0000-000084580000}"/>
    <cellStyle name="Normal 2 2 4 2 2 18 5 10" xfId="22661" xr:uid="{00000000-0005-0000-0000-000085580000}"/>
    <cellStyle name="Normal 2 2 4 2 2 18 5 2" xfId="22662" xr:uid="{00000000-0005-0000-0000-000086580000}"/>
    <cellStyle name="Normal 2 2 4 2 2 18 5 3" xfId="22663" xr:uid="{00000000-0005-0000-0000-000087580000}"/>
    <cellStyle name="Normal 2 2 4 2 2 18 5 4" xfId="22664" xr:uid="{00000000-0005-0000-0000-000088580000}"/>
    <cellStyle name="Normal 2 2 4 2 2 18 5 5" xfId="22665" xr:uid="{00000000-0005-0000-0000-000089580000}"/>
    <cellStyle name="Normal 2 2 4 2 2 18 5 6" xfId="22666" xr:uid="{00000000-0005-0000-0000-00008A580000}"/>
    <cellStyle name="Normal 2 2 4 2 2 18 5 7" xfId="22667" xr:uid="{00000000-0005-0000-0000-00008B580000}"/>
    <cellStyle name="Normal 2 2 4 2 2 18 5 8" xfId="22668" xr:uid="{00000000-0005-0000-0000-00008C580000}"/>
    <cellStyle name="Normal 2 2 4 2 2 18 5 9" xfId="22669" xr:uid="{00000000-0005-0000-0000-00008D580000}"/>
    <cellStyle name="Normal 2 2 4 2 2 18 6" xfId="22670" xr:uid="{00000000-0005-0000-0000-00008E580000}"/>
    <cellStyle name="Normal 2 2 4 2 2 18 7" xfId="22671" xr:uid="{00000000-0005-0000-0000-00008F580000}"/>
    <cellStyle name="Normal 2 2 4 2 2 18 8" xfId="22672" xr:uid="{00000000-0005-0000-0000-000090580000}"/>
    <cellStyle name="Normal 2 2 4 2 2 18 9" xfId="22673" xr:uid="{00000000-0005-0000-0000-000091580000}"/>
    <cellStyle name="Normal 2 2 4 2 2 19" xfId="22674" xr:uid="{00000000-0005-0000-0000-000092580000}"/>
    <cellStyle name="Normal 2 2 4 2 2 19 10" xfId="22675" xr:uid="{00000000-0005-0000-0000-000093580000}"/>
    <cellStyle name="Normal 2 2 4 2 2 19 11" xfId="22676" xr:uid="{00000000-0005-0000-0000-000094580000}"/>
    <cellStyle name="Normal 2 2 4 2 2 19 12" xfId="22677" xr:uid="{00000000-0005-0000-0000-000095580000}"/>
    <cellStyle name="Normal 2 2 4 2 2 19 13" xfId="22678" xr:uid="{00000000-0005-0000-0000-000096580000}"/>
    <cellStyle name="Normal 2 2 4 2 2 19 14" xfId="22679" xr:uid="{00000000-0005-0000-0000-000097580000}"/>
    <cellStyle name="Normal 2 2 4 2 2 19 2" xfId="22680" xr:uid="{00000000-0005-0000-0000-000098580000}"/>
    <cellStyle name="Normal 2 2 4 2 2 19 2 10" xfId="22681" xr:uid="{00000000-0005-0000-0000-000099580000}"/>
    <cellStyle name="Normal 2 2 4 2 2 19 2 2" xfId="22682" xr:uid="{00000000-0005-0000-0000-00009A580000}"/>
    <cellStyle name="Normal 2 2 4 2 2 19 2 3" xfId="22683" xr:uid="{00000000-0005-0000-0000-00009B580000}"/>
    <cellStyle name="Normal 2 2 4 2 2 19 2 4" xfId="22684" xr:uid="{00000000-0005-0000-0000-00009C580000}"/>
    <cellStyle name="Normal 2 2 4 2 2 19 2 5" xfId="22685" xr:uid="{00000000-0005-0000-0000-00009D580000}"/>
    <cellStyle name="Normal 2 2 4 2 2 19 2 6" xfId="22686" xr:uid="{00000000-0005-0000-0000-00009E580000}"/>
    <cellStyle name="Normal 2 2 4 2 2 19 2 7" xfId="22687" xr:uid="{00000000-0005-0000-0000-00009F580000}"/>
    <cellStyle name="Normal 2 2 4 2 2 19 2 8" xfId="22688" xr:uid="{00000000-0005-0000-0000-0000A0580000}"/>
    <cellStyle name="Normal 2 2 4 2 2 19 2 9" xfId="22689" xr:uid="{00000000-0005-0000-0000-0000A1580000}"/>
    <cellStyle name="Normal 2 2 4 2 2 19 3" xfId="22690" xr:uid="{00000000-0005-0000-0000-0000A2580000}"/>
    <cellStyle name="Normal 2 2 4 2 2 19 3 10" xfId="22691" xr:uid="{00000000-0005-0000-0000-0000A3580000}"/>
    <cellStyle name="Normal 2 2 4 2 2 19 3 2" xfId="22692" xr:uid="{00000000-0005-0000-0000-0000A4580000}"/>
    <cellStyle name="Normal 2 2 4 2 2 19 3 3" xfId="22693" xr:uid="{00000000-0005-0000-0000-0000A5580000}"/>
    <cellStyle name="Normal 2 2 4 2 2 19 3 4" xfId="22694" xr:uid="{00000000-0005-0000-0000-0000A6580000}"/>
    <cellStyle name="Normal 2 2 4 2 2 19 3 5" xfId="22695" xr:uid="{00000000-0005-0000-0000-0000A7580000}"/>
    <cellStyle name="Normal 2 2 4 2 2 19 3 6" xfId="22696" xr:uid="{00000000-0005-0000-0000-0000A8580000}"/>
    <cellStyle name="Normal 2 2 4 2 2 19 3 7" xfId="22697" xr:uid="{00000000-0005-0000-0000-0000A9580000}"/>
    <cellStyle name="Normal 2 2 4 2 2 19 3 8" xfId="22698" xr:uid="{00000000-0005-0000-0000-0000AA580000}"/>
    <cellStyle name="Normal 2 2 4 2 2 19 3 9" xfId="22699" xr:uid="{00000000-0005-0000-0000-0000AB580000}"/>
    <cellStyle name="Normal 2 2 4 2 2 19 4" xfId="22700" xr:uid="{00000000-0005-0000-0000-0000AC580000}"/>
    <cellStyle name="Normal 2 2 4 2 2 19 4 10" xfId="22701" xr:uid="{00000000-0005-0000-0000-0000AD580000}"/>
    <cellStyle name="Normal 2 2 4 2 2 19 4 2" xfId="22702" xr:uid="{00000000-0005-0000-0000-0000AE580000}"/>
    <cellStyle name="Normal 2 2 4 2 2 19 4 3" xfId="22703" xr:uid="{00000000-0005-0000-0000-0000AF580000}"/>
    <cellStyle name="Normal 2 2 4 2 2 19 4 4" xfId="22704" xr:uid="{00000000-0005-0000-0000-0000B0580000}"/>
    <cellStyle name="Normal 2 2 4 2 2 19 4 5" xfId="22705" xr:uid="{00000000-0005-0000-0000-0000B1580000}"/>
    <cellStyle name="Normal 2 2 4 2 2 19 4 6" xfId="22706" xr:uid="{00000000-0005-0000-0000-0000B2580000}"/>
    <cellStyle name="Normal 2 2 4 2 2 19 4 7" xfId="22707" xr:uid="{00000000-0005-0000-0000-0000B3580000}"/>
    <cellStyle name="Normal 2 2 4 2 2 19 4 8" xfId="22708" xr:uid="{00000000-0005-0000-0000-0000B4580000}"/>
    <cellStyle name="Normal 2 2 4 2 2 19 4 9" xfId="22709" xr:uid="{00000000-0005-0000-0000-0000B5580000}"/>
    <cellStyle name="Normal 2 2 4 2 2 19 5" xfId="22710" xr:uid="{00000000-0005-0000-0000-0000B6580000}"/>
    <cellStyle name="Normal 2 2 4 2 2 19 5 10" xfId="22711" xr:uid="{00000000-0005-0000-0000-0000B7580000}"/>
    <cellStyle name="Normal 2 2 4 2 2 19 5 2" xfId="22712" xr:uid="{00000000-0005-0000-0000-0000B8580000}"/>
    <cellStyle name="Normal 2 2 4 2 2 19 5 3" xfId="22713" xr:uid="{00000000-0005-0000-0000-0000B9580000}"/>
    <cellStyle name="Normal 2 2 4 2 2 19 5 4" xfId="22714" xr:uid="{00000000-0005-0000-0000-0000BA580000}"/>
    <cellStyle name="Normal 2 2 4 2 2 19 5 5" xfId="22715" xr:uid="{00000000-0005-0000-0000-0000BB580000}"/>
    <cellStyle name="Normal 2 2 4 2 2 19 5 6" xfId="22716" xr:uid="{00000000-0005-0000-0000-0000BC580000}"/>
    <cellStyle name="Normal 2 2 4 2 2 19 5 7" xfId="22717" xr:uid="{00000000-0005-0000-0000-0000BD580000}"/>
    <cellStyle name="Normal 2 2 4 2 2 19 5 8" xfId="22718" xr:uid="{00000000-0005-0000-0000-0000BE580000}"/>
    <cellStyle name="Normal 2 2 4 2 2 19 5 9" xfId="22719" xr:uid="{00000000-0005-0000-0000-0000BF580000}"/>
    <cellStyle name="Normal 2 2 4 2 2 19 6" xfId="22720" xr:uid="{00000000-0005-0000-0000-0000C0580000}"/>
    <cellStyle name="Normal 2 2 4 2 2 19 7" xfId="22721" xr:uid="{00000000-0005-0000-0000-0000C1580000}"/>
    <cellStyle name="Normal 2 2 4 2 2 19 8" xfId="22722" xr:uid="{00000000-0005-0000-0000-0000C2580000}"/>
    <cellStyle name="Normal 2 2 4 2 2 19 9" xfId="22723" xr:uid="{00000000-0005-0000-0000-0000C3580000}"/>
    <cellStyle name="Normal 2 2 4 2 2 2" xfId="22724" xr:uid="{00000000-0005-0000-0000-0000C4580000}"/>
    <cellStyle name="Normal 2 2 4 2 2 2 10" xfId="22725" xr:uid="{00000000-0005-0000-0000-0000C5580000}"/>
    <cellStyle name="Normal 2 2 4 2 2 2 11" xfId="22726" xr:uid="{00000000-0005-0000-0000-0000C6580000}"/>
    <cellStyle name="Normal 2 2 4 2 2 2 12" xfId="22727" xr:uid="{00000000-0005-0000-0000-0000C7580000}"/>
    <cellStyle name="Normal 2 2 4 2 2 2 13" xfId="22728" xr:uid="{00000000-0005-0000-0000-0000C8580000}"/>
    <cellStyle name="Normal 2 2 4 2 2 2 14" xfId="22729" xr:uid="{00000000-0005-0000-0000-0000C9580000}"/>
    <cellStyle name="Normal 2 2 4 2 2 2 2" xfId="22730" xr:uid="{00000000-0005-0000-0000-0000CA580000}"/>
    <cellStyle name="Normal 2 2 4 2 2 2 2 10" xfId="22731" xr:uid="{00000000-0005-0000-0000-0000CB580000}"/>
    <cellStyle name="Normal 2 2 4 2 2 2 2 2" xfId="22732" xr:uid="{00000000-0005-0000-0000-0000CC580000}"/>
    <cellStyle name="Normal 2 2 4 2 2 2 2 3" xfId="22733" xr:uid="{00000000-0005-0000-0000-0000CD580000}"/>
    <cellStyle name="Normal 2 2 4 2 2 2 2 4" xfId="22734" xr:uid="{00000000-0005-0000-0000-0000CE580000}"/>
    <cellStyle name="Normal 2 2 4 2 2 2 2 5" xfId="22735" xr:uid="{00000000-0005-0000-0000-0000CF580000}"/>
    <cellStyle name="Normal 2 2 4 2 2 2 2 6" xfId="22736" xr:uid="{00000000-0005-0000-0000-0000D0580000}"/>
    <cellStyle name="Normal 2 2 4 2 2 2 2 7" xfId="22737" xr:uid="{00000000-0005-0000-0000-0000D1580000}"/>
    <cellStyle name="Normal 2 2 4 2 2 2 2 8" xfId="22738" xr:uid="{00000000-0005-0000-0000-0000D2580000}"/>
    <cellStyle name="Normal 2 2 4 2 2 2 2 9" xfId="22739" xr:uid="{00000000-0005-0000-0000-0000D3580000}"/>
    <cellStyle name="Normal 2 2 4 2 2 2 3" xfId="22740" xr:uid="{00000000-0005-0000-0000-0000D4580000}"/>
    <cellStyle name="Normal 2 2 4 2 2 2 3 10" xfId="22741" xr:uid="{00000000-0005-0000-0000-0000D5580000}"/>
    <cellStyle name="Normal 2 2 4 2 2 2 3 2" xfId="22742" xr:uid="{00000000-0005-0000-0000-0000D6580000}"/>
    <cellStyle name="Normal 2 2 4 2 2 2 3 3" xfId="22743" xr:uid="{00000000-0005-0000-0000-0000D7580000}"/>
    <cellStyle name="Normal 2 2 4 2 2 2 3 4" xfId="22744" xr:uid="{00000000-0005-0000-0000-0000D8580000}"/>
    <cellStyle name="Normal 2 2 4 2 2 2 3 5" xfId="22745" xr:uid="{00000000-0005-0000-0000-0000D9580000}"/>
    <cellStyle name="Normal 2 2 4 2 2 2 3 6" xfId="22746" xr:uid="{00000000-0005-0000-0000-0000DA580000}"/>
    <cellStyle name="Normal 2 2 4 2 2 2 3 7" xfId="22747" xr:uid="{00000000-0005-0000-0000-0000DB580000}"/>
    <cellStyle name="Normal 2 2 4 2 2 2 3 8" xfId="22748" xr:uid="{00000000-0005-0000-0000-0000DC580000}"/>
    <cellStyle name="Normal 2 2 4 2 2 2 3 9" xfId="22749" xr:uid="{00000000-0005-0000-0000-0000DD580000}"/>
    <cellStyle name="Normal 2 2 4 2 2 2 4" xfId="22750" xr:uid="{00000000-0005-0000-0000-0000DE580000}"/>
    <cellStyle name="Normal 2 2 4 2 2 2 4 10" xfId="22751" xr:uid="{00000000-0005-0000-0000-0000DF580000}"/>
    <cellStyle name="Normal 2 2 4 2 2 2 4 2" xfId="22752" xr:uid="{00000000-0005-0000-0000-0000E0580000}"/>
    <cellStyle name="Normal 2 2 4 2 2 2 4 3" xfId="22753" xr:uid="{00000000-0005-0000-0000-0000E1580000}"/>
    <cellStyle name="Normal 2 2 4 2 2 2 4 4" xfId="22754" xr:uid="{00000000-0005-0000-0000-0000E2580000}"/>
    <cellStyle name="Normal 2 2 4 2 2 2 4 5" xfId="22755" xr:uid="{00000000-0005-0000-0000-0000E3580000}"/>
    <cellStyle name="Normal 2 2 4 2 2 2 4 6" xfId="22756" xr:uid="{00000000-0005-0000-0000-0000E4580000}"/>
    <cellStyle name="Normal 2 2 4 2 2 2 4 7" xfId="22757" xr:uid="{00000000-0005-0000-0000-0000E5580000}"/>
    <cellStyle name="Normal 2 2 4 2 2 2 4 8" xfId="22758" xr:uid="{00000000-0005-0000-0000-0000E6580000}"/>
    <cellStyle name="Normal 2 2 4 2 2 2 4 9" xfId="22759" xr:uid="{00000000-0005-0000-0000-0000E7580000}"/>
    <cellStyle name="Normal 2 2 4 2 2 2 5" xfId="22760" xr:uid="{00000000-0005-0000-0000-0000E8580000}"/>
    <cellStyle name="Normal 2 2 4 2 2 2 5 10" xfId="22761" xr:uid="{00000000-0005-0000-0000-0000E9580000}"/>
    <cellStyle name="Normal 2 2 4 2 2 2 5 2" xfId="22762" xr:uid="{00000000-0005-0000-0000-0000EA580000}"/>
    <cellStyle name="Normal 2 2 4 2 2 2 5 3" xfId="22763" xr:uid="{00000000-0005-0000-0000-0000EB580000}"/>
    <cellStyle name="Normal 2 2 4 2 2 2 5 4" xfId="22764" xr:uid="{00000000-0005-0000-0000-0000EC580000}"/>
    <cellStyle name="Normal 2 2 4 2 2 2 5 5" xfId="22765" xr:uid="{00000000-0005-0000-0000-0000ED580000}"/>
    <cellStyle name="Normal 2 2 4 2 2 2 5 6" xfId="22766" xr:uid="{00000000-0005-0000-0000-0000EE580000}"/>
    <cellStyle name="Normal 2 2 4 2 2 2 5 7" xfId="22767" xr:uid="{00000000-0005-0000-0000-0000EF580000}"/>
    <cellStyle name="Normal 2 2 4 2 2 2 5 8" xfId="22768" xr:uid="{00000000-0005-0000-0000-0000F0580000}"/>
    <cellStyle name="Normal 2 2 4 2 2 2 5 9" xfId="22769" xr:uid="{00000000-0005-0000-0000-0000F1580000}"/>
    <cellStyle name="Normal 2 2 4 2 2 2 6" xfId="22770" xr:uid="{00000000-0005-0000-0000-0000F2580000}"/>
    <cellStyle name="Normal 2 2 4 2 2 2 7" xfId="22771" xr:uid="{00000000-0005-0000-0000-0000F3580000}"/>
    <cellStyle name="Normal 2 2 4 2 2 2 8" xfId="22772" xr:uid="{00000000-0005-0000-0000-0000F4580000}"/>
    <cellStyle name="Normal 2 2 4 2 2 2 9" xfId="22773" xr:uid="{00000000-0005-0000-0000-0000F5580000}"/>
    <cellStyle name="Normal 2 2 4 2 2 20" xfId="22774" xr:uid="{00000000-0005-0000-0000-0000F6580000}"/>
    <cellStyle name="Normal 2 2 4 2 2 20 10" xfId="22775" xr:uid="{00000000-0005-0000-0000-0000F7580000}"/>
    <cellStyle name="Normal 2 2 4 2 2 20 11" xfId="22776" xr:uid="{00000000-0005-0000-0000-0000F8580000}"/>
    <cellStyle name="Normal 2 2 4 2 2 20 12" xfId="22777" xr:uid="{00000000-0005-0000-0000-0000F9580000}"/>
    <cellStyle name="Normal 2 2 4 2 2 20 13" xfId="22778" xr:uid="{00000000-0005-0000-0000-0000FA580000}"/>
    <cellStyle name="Normal 2 2 4 2 2 20 14" xfId="22779" xr:uid="{00000000-0005-0000-0000-0000FB580000}"/>
    <cellStyle name="Normal 2 2 4 2 2 20 2" xfId="22780" xr:uid="{00000000-0005-0000-0000-0000FC580000}"/>
    <cellStyle name="Normal 2 2 4 2 2 20 2 10" xfId="22781" xr:uid="{00000000-0005-0000-0000-0000FD580000}"/>
    <cellStyle name="Normal 2 2 4 2 2 20 2 2" xfId="22782" xr:uid="{00000000-0005-0000-0000-0000FE580000}"/>
    <cellStyle name="Normal 2 2 4 2 2 20 2 3" xfId="22783" xr:uid="{00000000-0005-0000-0000-0000FF580000}"/>
    <cellStyle name="Normal 2 2 4 2 2 20 2 4" xfId="22784" xr:uid="{00000000-0005-0000-0000-000000590000}"/>
    <cellStyle name="Normal 2 2 4 2 2 20 2 5" xfId="22785" xr:uid="{00000000-0005-0000-0000-000001590000}"/>
    <cellStyle name="Normal 2 2 4 2 2 20 2 6" xfId="22786" xr:uid="{00000000-0005-0000-0000-000002590000}"/>
    <cellStyle name="Normal 2 2 4 2 2 20 2 7" xfId="22787" xr:uid="{00000000-0005-0000-0000-000003590000}"/>
    <cellStyle name="Normal 2 2 4 2 2 20 2 8" xfId="22788" xr:uid="{00000000-0005-0000-0000-000004590000}"/>
    <cellStyle name="Normal 2 2 4 2 2 20 2 9" xfId="22789" xr:uid="{00000000-0005-0000-0000-000005590000}"/>
    <cellStyle name="Normal 2 2 4 2 2 20 3" xfId="22790" xr:uid="{00000000-0005-0000-0000-000006590000}"/>
    <cellStyle name="Normal 2 2 4 2 2 20 3 10" xfId="22791" xr:uid="{00000000-0005-0000-0000-000007590000}"/>
    <cellStyle name="Normal 2 2 4 2 2 20 3 2" xfId="22792" xr:uid="{00000000-0005-0000-0000-000008590000}"/>
    <cellStyle name="Normal 2 2 4 2 2 20 3 3" xfId="22793" xr:uid="{00000000-0005-0000-0000-000009590000}"/>
    <cellStyle name="Normal 2 2 4 2 2 20 3 4" xfId="22794" xr:uid="{00000000-0005-0000-0000-00000A590000}"/>
    <cellStyle name="Normal 2 2 4 2 2 20 3 5" xfId="22795" xr:uid="{00000000-0005-0000-0000-00000B590000}"/>
    <cellStyle name="Normal 2 2 4 2 2 20 3 6" xfId="22796" xr:uid="{00000000-0005-0000-0000-00000C590000}"/>
    <cellStyle name="Normal 2 2 4 2 2 20 3 7" xfId="22797" xr:uid="{00000000-0005-0000-0000-00000D590000}"/>
    <cellStyle name="Normal 2 2 4 2 2 20 3 8" xfId="22798" xr:uid="{00000000-0005-0000-0000-00000E590000}"/>
    <cellStyle name="Normal 2 2 4 2 2 20 3 9" xfId="22799" xr:uid="{00000000-0005-0000-0000-00000F590000}"/>
    <cellStyle name="Normal 2 2 4 2 2 20 4" xfId="22800" xr:uid="{00000000-0005-0000-0000-000010590000}"/>
    <cellStyle name="Normal 2 2 4 2 2 20 4 10" xfId="22801" xr:uid="{00000000-0005-0000-0000-000011590000}"/>
    <cellStyle name="Normal 2 2 4 2 2 20 4 2" xfId="22802" xr:uid="{00000000-0005-0000-0000-000012590000}"/>
    <cellStyle name="Normal 2 2 4 2 2 20 4 3" xfId="22803" xr:uid="{00000000-0005-0000-0000-000013590000}"/>
    <cellStyle name="Normal 2 2 4 2 2 20 4 4" xfId="22804" xr:uid="{00000000-0005-0000-0000-000014590000}"/>
    <cellStyle name="Normal 2 2 4 2 2 20 4 5" xfId="22805" xr:uid="{00000000-0005-0000-0000-000015590000}"/>
    <cellStyle name="Normal 2 2 4 2 2 20 4 6" xfId="22806" xr:uid="{00000000-0005-0000-0000-000016590000}"/>
    <cellStyle name="Normal 2 2 4 2 2 20 4 7" xfId="22807" xr:uid="{00000000-0005-0000-0000-000017590000}"/>
    <cellStyle name="Normal 2 2 4 2 2 20 4 8" xfId="22808" xr:uid="{00000000-0005-0000-0000-000018590000}"/>
    <cellStyle name="Normal 2 2 4 2 2 20 4 9" xfId="22809" xr:uid="{00000000-0005-0000-0000-000019590000}"/>
    <cellStyle name="Normal 2 2 4 2 2 20 5" xfId="22810" xr:uid="{00000000-0005-0000-0000-00001A590000}"/>
    <cellStyle name="Normal 2 2 4 2 2 20 5 10" xfId="22811" xr:uid="{00000000-0005-0000-0000-00001B590000}"/>
    <cellStyle name="Normal 2 2 4 2 2 20 5 2" xfId="22812" xr:uid="{00000000-0005-0000-0000-00001C590000}"/>
    <cellStyle name="Normal 2 2 4 2 2 20 5 3" xfId="22813" xr:uid="{00000000-0005-0000-0000-00001D590000}"/>
    <cellStyle name="Normal 2 2 4 2 2 20 5 4" xfId="22814" xr:uid="{00000000-0005-0000-0000-00001E590000}"/>
    <cellStyle name="Normal 2 2 4 2 2 20 5 5" xfId="22815" xr:uid="{00000000-0005-0000-0000-00001F590000}"/>
    <cellStyle name="Normal 2 2 4 2 2 20 5 6" xfId="22816" xr:uid="{00000000-0005-0000-0000-000020590000}"/>
    <cellStyle name="Normal 2 2 4 2 2 20 5 7" xfId="22817" xr:uid="{00000000-0005-0000-0000-000021590000}"/>
    <cellStyle name="Normal 2 2 4 2 2 20 5 8" xfId="22818" xr:uid="{00000000-0005-0000-0000-000022590000}"/>
    <cellStyle name="Normal 2 2 4 2 2 20 5 9" xfId="22819" xr:uid="{00000000-0005-0000-0000-000023590000}"/>
    <cellStyle name="Normal 2 2 4 2 2 20 6" xfId="22820" xr:uid="{00000000-0005-0000-0000-000024590000}"/>
    <cellStyle name="Normal 2 2 4 2 2 20 7" xfId="22821" xr:uid="{00000000-0005-0000-0000-000025590000}"/>
    <cellStyle name="Normal 2 2 4 2 2 20 8" xfId="22822" xr:uid="{00000000-0005-0000-0000-000026590000}"/>
    <cellStyle name="Normal 2 2 4 2 2 20 9" xfId="22823" xr:uid="{00000000-0005-0000-0000-000027590000}"/>
    <cellStyle name="Normal 2 2 4 2 2 3" xfId="22824" xr:uid="{00000000-0005-0000-0000-000028590000}"/>
    <cellStyle name="Normal 2 2 4 2 2 3 10" xfId="22825" xr:uid="{00000000-0005-0000-0000-000029590000}"/>
    <cellStyle name="Normal 2 2 4 2 2 3 11" xfId="22826" xr:uid="{00000000-0005-0000-0000-00002A590000}"/>
    <cellStyle name="Normal 2 2 4 2 2 3 12" xfId="22827" xr:uid="{00000000-0005-0000-0000-00002B590000}"/>
    <cellStyle name="Normal 2 2 4 2 2 3 13" xfId="22828" xr:uid="{00000000-0005-0000-0000-00002C590000}"/>
    <cellStyle name="Normal 2 2 4 2 2 3 14" xfId="22829" xr:uid="{00000000-0005-0000-0000-00002D590000}"/>
    <cellStyle name="Normal 2 2 4 2 2 3 2" xfId="22830" xr:uid="{00000000-0005-0000-0000-00002E590000}"/>
    <cellStyle name="Normal 2 2 4 2 2 3 2 10" xfId="22831" xr:uid="{00000000-0005-0000-0000-00002F590000}"/>
    <cellStyle name="Normal 2 2 4 2 2 3 2 2" xfId="22832" xr:uid="{00000000-0005-0000-0000-000030590000}"/>
    <cellStyle name="Normal 2 2 4 2 2 3 2 3" xfId="22833" xr:uid="{00000000-0005-0000-0000-000031590000}"/>
    <cellStyle name="Normal 2 2 4 2 2 3 2 4" xfId="22834" xr:uid="{00000000-0005-0000-0000-000032590000}"/>
    <cellStyle name="Normal 2 2 4 2 2 3 2 5" xfId="22835" xr:uid="{00000000-0005-0000-0000-000033590000}"/>
    <cellStyle name="Normal 2 2 4 2 2 3 2 6" xfId="22836" xr:uid="{00000000-0005-0000-0000-000034590000}"/>
    <cellStyle name="Normal 2 2 4 2 2 3 2 7" xfId="22837" xr:uid="{00000000-0005-0000-0000-000035590000}"/>
    <cellStyle name="Normal 2 2 4 2 2 3 2 8" xfId="22838" xr:uid="{00000000-0005-0000-0000-000036590000}"/>
    <cellStyle name="Normal 2 2 4 2 2 3 2 9" xfId="22839" xr:uid="{00000000-0005-0000-0000-000037590000}"/>
    <cellStyle name="Normal 2 2 4 2 2 3 3" xfId="22840" xr:uid="{00000000-0005-0000-0000-000038590000}"/>
    <cellStyle name="Normal 2 2 4 2 2 3 3 10" xfId="22841" xr:uid="{00000000-0005-0000-0000-000039590000}"/>
    <cellStyle name="Normal 2 2 4 2 2 3 3 2" xfId="22842" xr:uid="{00000000-0005-0000-0000-00003A590000}"/>
    <cellStyle name="Normal 2 2 4 2 2 3 3 3" xfId="22843" xr:uid="{00000000-0005-0000-0000-00003B590000}"/>
    <cellStyle name="Normal 2 2 4 2 2 3 3 4" xfId="22844" xr:uid="{00000000-0005-0000-0000-00003C590000}"/>
    <cellStyle name="Normal 2 2 4 2 2 3 3 5" xfId="22845" xr:uid="{00000000-0005-0000-0000-00003D590000}"/>
    <cellStyle name="Normal 2 2 4 2 2 3 3 6" xfId="22846" xr:uid="{00000000-0005-0000-0000-00003E590000}"/>
    <cellStyle name="Normal 2 2 4 2 2 3 3 7" xfId="22847" xr:uid="{00000000-0005-0000-0000-00003F590000}"/>
    <cellStyle name="Normal 2 2 4 2 2 3 3 8" xfId="22848" xr:uid="{00000000-0005-0000-0000-000040590000}"/>
    <cellStyle name="Normal 2 2 4 2 2 3 3 9" xfId="22849" xr:uid="{00000000-0005-0000-0000-000041590000}"/>
    <cellStyle name="Normal 2 2 4 2 2 3 4" xfId="22850" xr:uid="{00000000-0005-0000-0000-000042590000}"/>
    <cellStyle name="Normal 2 2 4 2 2 3 4 10" xfId="22851" xr:uid="{00000000-0005-0000-0000-000043590000}"/>
    <cellStyle name="Normal 2 2 4 2 2 3 4 2" xfId="22852" xr:uid="{00000000-0005-0000-0000-000044590000}"/>
    <cellStyle name="Normal 2 2 4 2 2 3 4 3" xfId="22853" xr:uid="{00000000-0005-0000-0000-000045590000}"/>
    <cellStyle name="Normal 2 2 4 2 2 3 4 4" xfId="22854" xr:uid="{00000000-0005-0000-0000-000046590000}"/>
    <cellStyle name="Normal 2 2 4 2 2 3 4 5" xfId="22855" xr:uid="{00000000-0005-0000-0000-000047590000}"/>
    <cellStyle name="Normal 2 2 4 2 2 3 4 6" xfId="22856" xr:uid="{00000000-0005-0000-0000-000048590000}"/>
    <cellStyle name="Normal 2 2 4 2 2 3 4 7" xfId="22857" xr:uid="{00000000-0005-0000-0000-000049590000}"/>
    <cellStyle name="Normal 2 2 4 2 2 3 4 8" xfId="22858" xr:uid="{00000000-0005-0000-0000-00004A590000}"/>
    <cellStyle name="Normal 2 2 4 2 2 3 4 9" xfId="22859" xr:uid="{00000000-0005-0000-0000-00004B590000}"/>
    <cellStyle name="Normal 2 2 4 2 2 3 5" xfId="22860" xr:uid="{00000000-0005-0000-0000-00004C590000}"/>
    <cellStyle name="Normal 2 2 4 2 2 3 5 10" xfId="22861" xr:uid="{00000000-0005-0000-0000-00004D590000}"/>
    <cellStyle name="Normal 2 2 4 2 2 3 5 2" xfId="22862" xr:uid="{00000000-0005-0000-0000-00004E590000}"/>
    <cellStyle name="Normal 2 2 4 2 2 3 5 3" xfId="22863" xr:uid="{00000000-0005-0000-0000-00004F590000}"/>
    <cellStyle name="Normal 2 2 4 2 2 3 5 4" xfId="22864" xr:uid="{00000000-0005-0000-0000-000050590000}"/>
    <cellStyle name="Normal 2 2 4 2 2 3 5 5" xfId="22865" xr:uid="{00000000-0005-0000-0000-000051590000}"/>
    <cellStyle name="Normal 2 2 4 2 2 3 5 6" xfId="22866" xr:uid="{00000000-0005-0000-0000-000052590000}"/>
    <cellStyle name="Normal 2 2 4 2 2 3 5 7" xfId="22867" xr:uid="{00000000-0005-0000-0000-000053590000}"/>
    <cellStyle name="Normal 2 2 4 2 2 3 5 8" xfId="22868" xr:uid="{00000000-0005-0000-0000-000054590000}"/>
    <cellStyle name="Normal 2 2 4 2 2 3 5 9" xfId="22869" xr:uid="{00000000-0005-0000-0000-000055590000}"/>
    <cellStyle name="Normal 2 2 4 2 2 3 6" xfId="22870" xr:uid="{00000000-0005-0000-0000-000056590000}"/>
    <cellStyle name="Normal 2 2 4 2 2 3 7" xfId="22871" xr:uid="{00000000-0005-0000-0000-000057590000}"/>
    <cellStyle name="Normal 2 2 4 2 2 3 8" xfId="22872" xr:uid="{00000000-0005-0000-0000-000058590000}"/>
    <cellStyle name="Normal 2 2 4 2 2 3 9" xfId="22873" xr:uid="{00000000-0005-0000-0000-000059590000}"/>
    <cellStyle name="Normal 2 2 4 2 2 4" xfId="22874" xr:uid="{00000000-0005-0000-0000-00005A590000}"/>
    <cellStyle name="Normal 2 2 4 2 2 4 10" xfId="22875" xr:uid="{00000000-0005-0000-0000-00005B590000}"/>
    <cellStyle name="Normal 2 2 4 2 2 4 11" xfId="22876" xr:uid="{00000000-0005-0000-0000-00005C590000}"/>
    <cellStyle name="Normal 2 2 4 2 2 4 12" xfId="22877" xr:uid="{00000000-0005-0000-0000-00005D590000}"/>
    <cellStyle name="Normal 2 2 4 2 2 4 13" xfId="22878" xr:uid="{00000000-0005-0000-0000-00005E590000}"/>
    <cellStyle name="Normal 2 2 4 2 2 4 14" xfId="22879" xr:uid="{00000000-0005-0000-0000-00005F590000}"/>
    <cellStyle name="Normal 2 2 4 2 2 4 2" xfId="22880" xr:uid="{00000000-0005-0000-0000-000060590000}"/>
    <cellStyle name="Normal 2 2 4 2 2 4 2 10" xfId="22881" xr:uid="{00000000-0005-0000-0000-000061590000}"/>
    <cellStyle name="Normal 2 2 4 2 2 4 2 2" xfId="22882" xr:uid="{00000000-0005-0000-0000-000062590000}"/>
    <cellStyle name="Normal 2 2 4 2 2 4 2 3" xfId="22883" xr:uid="{00000000-0005-0000-0000-000063590000}"/>
    <cellStyle name="Normal 2 2 4 2 2 4 2 4" xfId="22884" xr:uid="{00000000-0005-0000-0000-000064590000}"/>
    <cellStyle name="Normal 2 2 4 2 2 4 2 5" xfId="22885" xr:uid="{00000000-0005-0000-0000-000065590000}"/>
    <cellStyle name="Normal 2 2 4 2 2 4 2 6" xfId="22886" xr:uid="{00000000-0005-0000-0000-000066590000}"/>
    <cellStyle name="Normal 2 2 4 2 2 4 2 7" xfId="22887" xr:uid="{00000000-0005-0000-0000-000067590000}"/>
    <cellStyle name="Normal 2 2 4 2 2 4 2 8" xfId="22888" xr:uid="{00000000-0005-0000-0000-000068590000}"/>
    <cellStyle name="Normal 2 2 4 2 2 4 2 9" xfId="22889" xr:uid="{00000000-0005-0000-0000-000069590000}"/>
    <cellStyle name="Normal 2 2 4 2 2 4 3" xfId="22890" xr:uid="{00000000-0005-0000-0000-00006A590000}"/>
    <cellStyle name="Normal 2 2 4 2 2 4 3 10" xfId="22891" xr:uid="{00000000-0005-0000-0000-00006B590000}"/>
    <cellStyle name="Normal 2 2 4 2 2 4 3 2" xfId="22892" xr:uid="{00000000-0005-0000-0000-00006C590000}"/>
    <cellStyle name="Normal 2 2 4 2 2 4 3 3" xfId="22893" xr:uid="{00000000-0005-0000-0000-00006D590000}"/>
    <cellStyle name="Normal 2 2 4 2 2 4 3 4" xfId="22894" xr:uid="{00000000-0005-0000-0000-00006E590000}"/>
    <cellStyle name="Normal 2 2 4 2 2 4 3 5" xfId="22895" xr:uid="{00000000-0005-0000-0000-00006F590000}"/>
    <cellStyle name="Normal 2 2 4 2 2 4 3 6" xfId="22896" xr:uid="{00000000-0005-0000-0000-000070590000}"/>
    <cellStyle name="Normal 2 2 4 2 2 4 3 7" xfId="22897" xr:uid="{00000000-0005-0000-0000-000071590000}"/>
    <cellStyle name="Normal 2 2 4 2 2 4 3 8" xfId="22898" xr:uid="{00000000-0005-0000-0000-000072590000}"/>
    <cellStyle name="Normal 2 2 4 2 2 4 3 9" xfId="22899" xr:uid="{00000000-0005-0000-0000-000073590000}"/>
    <cellStyle name="Normal 2 2 4 2 2 4 4" xfId="22900" xr:uid="{00000000-0005-0000-0000-000074590000}"/>
    <cellStyle name="Normal 2 2 4 2 2 4 4 10" xfId="22901" xr:uid="{00000000-0005-0000-0000-000075590000}"/>
    <cellStyle name="Normal 2 2 4 2 2 4 4 2" xfId="22902" xr:uid="{00000000-0005-0000-0000-000076590000}"/>
    <cellStyle name="Normal 2 2 4 2 2 4 4 3" xfId="22903" xr:uid="{00000000-0005-0000-0000-000077590000}"/>
    <cellStyle name="Normal 2 2 4 2 2 4 4 4" xfId="22904" xr:uid="{00000000-0005-0000-0000-000078590000}"/>
    <cellStyle name="Normal 2 2 4 2 2 4 4 5" xfId="22905" xr:uid="{00000000-0005-0000-0000-000079590000}"/>
    <cellStyle name="Normal 2 2 4 2 2 4 4 6" xfId="22906" xr:uid="{00000000-0005-0000-0000-00007A590000}"/>
    <cellStyle name="Normal 2 2 4 2 2 4 4 7" xfId="22907" xr:uid="{00000000-0005-0000-0000-00007B590000}"/>
    <cellStyle name="Normal 2 2 4 2 2 4 4 8" xfId="22908" xr:uid="{00000000-0005-0000-0000-00007C590000}"/>
    <cellStyle name="Normal 2 2 4 2 2 4 4 9" xfId="22909" xr:uid="{00000000-0005-0000-0000-00007D590000}"/>
    <cellStyle name="Normal 2 2 4 2 2 4 5" xfId="22910" xr:uid="{00000000-0005-0000-0000-00007E590000}"/>
    <cellStyle name="Normal 2 2 4 2 2 4 5 10" xfId="22911" xr:uid="{00000000-0005-0000-0000-00007F590000}"/>
    <cellStyle name="Normal 2 2 4 2 2 4 5 2" xfId="22912" xr:uid="{00000000-0005-0000-0000-000080590000}"/>
    <cellStyle name="Normal 2 2 4 2 2 4 5 3" xfId="22913" xr:uid="{00000000-0005-0000-0000-000081590000}"/>
    <cellStyle name="Normal 2 2 4 2 2 4 5 4" xfId="22914" xr:uid="{00000000-0005-0000-0000-000082590000}"/>
    <cellStyle name="Normal 2 2 4 2 2 4 5 5" xfId="22915" xr:uid="{00000000-0005-0000-0000-000083590000}"/>
    <cellStyle name="Normal 2 2 4 2 2 4 5 6" xfId="22916" xr:uid="{00000000-0005-0000-0000-000084590000}"/>
    <cellStyle name="Normal 2 2 4 2 2 4 5 7" xfId="22917" xr:uid="{00000000-0005-0000-0000-000085590000}"/>
    <cellStyle name="Normal 2 2 4 2 2 4 5 8" xfId="22918" xr:uid="{00000000-0005-0000-0000-000086590000}"/>
    <cellStyle name="Normal 2 2 4 2 2 4 5 9" xfId="22919" xr:uid="{00000000-0005-0000-0000-000087590000}"/>
    <cellStyle name="Normal 2 2 4 2 2 4 6" xfId="22920" xr:uid="{00000000-0005-0000-0000-000088590000}"/>
    <cellStyle name="Normal 2 2 4 2 2 4 7" xfId="22921" xr:uid="{00000000-0005-0000-0000-000089590000}"/>
    <cellStyle name="Normal 2 2 4 2 2 4 8" xfId="22922" xr:uid="{00000000-0005-0000-0000-00008A590000}"/>
    <cellStyle name="Normal 2 2 4 2 2 4 9" xfId="22923" xr:uid="{00000000-0005-0000-0000-00008B590000}"/>
    <cellStyle name="Normal 2 2 4 2 2 5" xfId="22924" xr:uid="{00000000-0005-0000-0000-00008C590000}"/>
    <cellStyle name="Normal 2 2 4 2 2 5 10" xfId="22925" xr:uid="{00000000-0005-0000-0000-00008D590000}"/>
    <cellStyle name="Normal 2 2 4 2 2 5 11" xfId="22926" xr:uid="{00000000-0005-0000-0000-00008E590000}"/>
    <cellStyle name="Normal 2 2 4 2 2 5 12" xfId="22927" xr:uid="{00000000-0005-0000-0000-00008F590000}"/>
    <cellStyle name="Normal 2 2 4 2 2 5 13" xfId="22928" xr:uid="{00000000-0005-0000-0000-000090590000}"/>
    <cellStyle name="Normal 2 2 4 2 2 5 14" xfId="22929" xr:uid="{00000000-0005-0000-0000-000091590000}"/>
    <cellStyle name="Normal 2 2 4 2 2 5 2" xfId="22930" xr:uid="{00000000-0005-0000-0000-000092590000}"/>
    <cellStyle name="Normal 2 2 4 2 2 5 2 10" xfId="22931" xr:uid="{00000000-0005-0000-0000-000093590000}"/>
    <cellStyle name="Normal 2 2 4 2 2 5 2 2" xfId="22932" xr:uid="{00000000-0005-0000-0000-000094590000}"/>
    <cellStyle name="Normal 2 2 4 2 2 5 2 3" xfId="22933" xr:uid="{00000000-0005-0000-0000-000095590000}"/>
    <cellStyle name="Normal 2 2 4 2 2 5 2 4" xfId="22934" xr:uid="{00000000-0005-0000-0000-000096590000}"/>
    <cellStyle name="Normal 2 2 4 2 2 5 2 5" xfId="22935" xr:uid="{00000000-0005-0000-0000-000097590000}"/>
    <cellStyle name="Normal 2 2 4 2 2 5 2 6" xfId="22936" xr:uid="{00000000-0005-0000-0000-000098590000}"/>
    <cellStyle name="Normal 2 2 4 2 2 5 2 7" xfId="22937" xr:uid="{00000000-0005-0000-0000-000099590000}"/>
    <cellStyle name="Normal 2 2 4 2 2 5 2 8" xfId="22938" xr:uid="{00000000-0005-0000-0000-00009A590000}"/>
    <cellStyle name="Normal 2 2 4 2 2 5 2 9" xfId="22939" xr:uid="{00000000-0005-0000-0000-00009B590000}"/>
    <cellStyle name="Normal 2 2 4 2 2 5 3" xfId="22940" xr:uid="{00000000-0005-0000-0000-00009C590000}"/>
    <cellStyle name="Normal 2 2 4 2 2 5 3 10" xfId="22941" xr:uid="{00000000-0005-0000-0000-00009D590000}"/>
    <cellStyle name="Normal 2 2 4 2 2 5 3 2" xfId="22942" xr:uid="{00000000-0005-0000-0000-00009E590000}"/>
    <cellStyle name="Normal 2 2 4 2 2 5 3 3" xfId="22943" xr:uid="{00000000-0005-0000-0000-00009F590000}"/>
    <cellStyle name="Normal 2 2 4 2 2 5 3 4" xfId="22944" xr:uid="{00000000-0005-0000-0000-0000A0590000}"/>
    <cellStyle name="Normal 2 2 4 2 2 5 3 5" xfId="22945" xr:uid="{00000000-0005-0000-0000-0000A1590000}"/>
    <cellStyle name="Normal 2 2 4 2 2 5 3 6" xfId="22946" xr:uid="{00000000-0005-0000-0000-0000A2590000}"/>
    <cellStyle name="Normal 2 2 4 2 2 5 3 7" xfId="22947" xr:uid="{00000000-0005-0000-0000-0000A3590000}"/>
    <cellStyle name="Normal 2 2 4 2 2 5 3 8" xfId="22948" xr:uid="{00000000-0005-0000-0000-0000A4590000}"/>
    <cellStyle name="Normal 2 2 4 2 2 5 3 9" xfId="22949" xr:uid="{00000000-0005-0000-0000-0000A5590000}"/>
    <cellStyle name="Normal 2 2 4 2 2 5 4" xfId="22950" xr:uid="{00000000-0005-0000-0000-0000A6590000}"/>
    <cellStyle name="Normal 2 2 4 2 2 5 4 10" xfId="22951" xr:uid="{00000000-0005-0000-0000-0000A7590000}"/>
    <cellStyle name="Normal 2 2 4 2 2 5 4 2" xfId="22952" xr:uid="{00000000-0005-0000-0000-0000A8590000}"/>
    <cellStyle name="Normal 2 2 4 2 2 5 4 3" xfId="22953" xr:uid="{00000000-0005-0000-0000-0000A9590000}"/>
    <cellStyle name="Normal 2 2 4 2 2 5 4 4" xfId="22954" xr:uid="{00000000-0005-0000-0000-0000AA590000}"/>
    <cellStyle name="Normal 2 2 4 2 2 5 4 5" xfId="22955" xr:uid="{00000000-0005-0000-0000-0000AB590000}"/>
    <cellStyle name="Normal 2 2 4 2 2 5 4 6" xfId="22956" xr:uid="{00000000-0005-0000-0000-0000AC590000}"/>
    <cellStyle name="Normal 2 2 4 2 2 5 4 7" xfId="22957" xr:uid="{00000000-0005-0000-0000-0000AD590000}"/>
    <cellStyle name="Normal 2 2 4 2 2 5 4 8" xfId="22958" xr:uid="{00000000-0005-0000-0000-0000AE590000}"/>
    <cellStyle name="Normal 2 2 4 2 2 5 4 9" xfId="22959" xr:uid="{00000000-0005-0000-0000-0000AF590000}"/>
    <cellStyle name="Normal 2 2 4 2 2 5 5" xfId="22960" xr:uid="{00000000-0005-0000-0000-0000B0590000}"/>
    <cellStyle name="Normal 2 2 4 2 2 5 5 10" xfId="22961" xr:uid="{00000000-0005-0000-0000-0000B1590000}"/>
    <cellStyle name="Normal 2 2 4 2 2 5 5 2" xfId="22962" xr:uid="{00000000-0005-0000-0000-0000B2590000}"/>
    <cellStyle name="Normal 2 2 4 2 2 5 5 3" xfId="22963" xr:uid="{00000000-0005-0000-0000-0000B3590000}"/>
    <cellStyle name="Normal 2 2 4 2 2 5 5 4" xfId="22964" xr:uid="{00000000-0005-0000-0000-0000B4590000}"/>
    <cellStyle name="Normal 2 2 4 2 2 5 5 5" xfId="22965" xr:uid="{00000000-0005-0000-0000-0000B5590000}"/>
    <cellStyle name="Normal 2 2 4 2 2 5 5 6" xfId="22966" xr:uid="{00000000-0005-0000-0000-0000B6590000}"/>
    <cellStyle name="Normal 2 2 4 2 2 5 5 7" xfId="22967" xr:uid="{00000000-0005-0000-0000-0000B7590000}"/>
    <cellStyle name="Normal 2 2 4 2 2 5 5 8" xfId="22968" xr:uid="{00000000-0005-0000-0000-0000B8590000}"/>
    <cellStyle name="Normal 2 2 4 2 2 5 5 9" xfId="22969" xr:uid="{00000000-0005-0000-0000-0000B9590000}"/>
    <cellStyle name="Normal 2 2 4 2 2 5 6" xfId="22970" xr:uid="{00000000-0005-0000-0000-0000BA590000}"/>
    <cellStyle name="Normal 2 2 4 2 2 5 7" xfId="22971" xr:uid="{00000000-0005-0000-0000-0000BB590000}"/>
    <cellStyle name="Normal 2 2 4 2 2 5 8" xfId="22972" xr:uid="{00000000-0005-0000-0000-0000BC590000}"/>
    <cellStyle name="Normal 2 2 4 2 2 5 9" xfId="22973" xr:uid="{00000000-0005-0000-0000-0000BD590000}"/>
    <cellStyle name="Normal 2 2 4 2 2 6" xfId="22974" xr:uid="{00000000-0005-0000-0000-0000BE590000}"/>
    <cellStyle name="Normal 2 2 4 2 2 6 10" xfId="22975" xr:uid="{00000000-0005-0000-0000-0000BF590000}"/>
    <cellStyle name="Normal 2 2 4 2 2 6 11" xfId="22976" xr:uid="{00000000-0005-0000-0000-0000C0590000}"/>
    <cellStyle name="Normal 2 2 4 2 2 6 12" xfId="22977" xr:uid="{00000000-0005-0000-0000-0000C1590000}"/>
    <cellStyle name="Normal 2 2 4 2 2 6 13" xfId="22978" xr:uid="{00000000-0005-0000-0000-0000C2590000}"/>
    <cellStyle name="Normal 2 2 4 2 2 6 14" xfId="22979" xr:uid="{00000000-0005-0000-0000-0000C3590000}"/>
    <cellStyle name="Normal 2 2 4 2 2 6 2" xfId="22980" xr:uid="{00000000-0005-0000-0000-0000C4590000}"/>
    <cellStyle name="Normal 2 2 4 2 2 6 2 10" xfId="22981" xr:uid="{00000000-0005-0000-0000-0000C5590000}"/>
    <cellStyle name="Normal 2 2 4 2 2 6 2 2" xfId="22982" xr:uid="{00000000-0005-0000-0000-0000C6590000}"/>
    <cellStyle name="Normal 2 2 4 2 2 6 2 3" xfId="22983" xr:uid="{00000000-0005-0000-0000-0000C7590000}"/>
    <cellStyle name="Normal 2 2 4 2 2 6 2 4" xfId="22984" xr:uid="{00000000-0005-0000-0000-0000C8590000}"/>
    <cellStyle name="Normal 2 2 4 2 2 6 2 5" xfId="22985" xr:uid="{00000000-0005-0000-0000-0000C9590000}"/>
    <cellStyle name="Normal 2 2 4 2 2 6 2 6" xfId="22986" xr:uid="{00000000-0005-0000-0000-0000CA590000}"/>
    <cellStyle name="Normal 2 2 4 2 2 6 2 7" xfId="22987" xr:uid="{00000000-0005-0000-0000-0000CB590000}"/>
    <cellStyle name="Normal 2 2 4 2 2 6 2 8" xfId="22988" xr:uid="{00000000-0005-0000-0000-0000CC590000}"/>
    <cellStyle name="Normal 2 2 4 2 2 6 2 9" xfId="22989" xr:uid="{00000000-0005-0000-0000-0000CD590000}"/>
    <cellStyle name="Normal 2 2 4 2 2 6 3" xfId="22990" xr:uid="{00000000-0005-0000-0000-0000CE590000}"/>
    <cellStyle name="Normal 2 2 4 2 2 6 3 10" xfId="22991" xr:uid="{00000000-0005-0000-0000-0000CF590000}"/>
    <cellStyle name="Normal 2 2 4 2 2 6 3 2" xfId="22992" xr:uid="{00000000-0005-0000-0000-0000D0590000}"/>
    <cellStyle name="Normal 2 2 4 2 2 6 3 3" xfId="22993" xr:uid="{00000000-0005-0000-0000-0000D1590000}"/>
    <cellStyle name="Normal 2 2 4 2 2 6 3 4" xfId="22994" xr:uid="{00000000-0005-0000-0000-0000D2590000}"/>
    <cellStyle name="Normal 2 2 4 2 2 6 3 5" xfId="22995" xr:uid="{00000000-0005-0000-0000-0000D3590000}"/>
    <cellStyle name="Normal 2 2 4 2 2 6 3 6" xfId="22996" xr:uid="{00000000-0005-0000-0000-0000D4590000}"/>
    <cellStyle name="Normal 2 2 4 2 2 6 3 7" xfId="22997" xr:uid="{00000000-0005-0000-0000-0000D5590000}"/>
    <cellStyle name="Normal 2 2 4 2 2 6 3 8" xfId="22998" xr:uid="{00000000-0005-0000-0000-0000D6590000}"/>
    <cellStyle name="Normal 2 2 4 2 2 6 3 9" xfId="22999" xr:uid="{00000000-0005-0000-0000-0000D7590000}"/>
    <cellStyle name="Normal 2 2 4 2 2 6 4" xfId="23000" xr:uid="{00000000-0005-0000-0000-0000D8590000}"/>
    <cellStyle name="Normal 2 2 4 2 2 6 4 10" xfId="23001" xr:uid="{00000000-0005-0000-0000-0000D9590000}"/>
    <cellStyle name="Normal 2 2 4 2 2 6 4 2" xfId="23002" xr:uid="{00000000-0005-0000-0000-0000DA590000}"/>
    <cellStyle name="Normal 2 2 4 2 2 6 4 3" xfId="23003" xr:uid="{00000000-0005-0000-0000-0000DB590000}"/>
    <cellStyle name="Normal 2 2 4 2 2 6 4 4" xfId="23004" xr:uid="{00000000-0005-0000-0000-0000DC590000}"/>
    <cellStyle name="Normal 2 2 4 2 2 6 4 5" xfId="23005" xr:uid="{00000000-0005-0000-0000-0000DD590000}"/>
    <cellStyle name="Normal 2 2 4 2 2 6 4 6" xfId="23006" xr:uid="{00000000-0005-0000-0000-0000DE590000}"/>
    <cellStyle name="Normal 2 2 4 2 2 6 4 7" xfId="23007" xr:uid="{00000000-0005-0000-0000-0000DF590000}"/>
    <cellStyle name="Normal 2 2 4 2 2 6 4 8" xfId="23008" xr:uid="{00000000-0005-0000-0000-0000E0590000}"/>
    <cellStyle name="Normal 2 2 4 2 2 6 4 9" xfId="23009" xr:uid="{00000000-0005-0000-0000-0000E1590000}"/>
    <cellStyle name="Normal 2 2 4 2 2 6 5" xfId="23010" xr:uid="{00000000-0005-0000-0000-0000E2590000}"/>
    <cellStyle name="Normal 2 2 4 2 2 6 5 10" xfId="23011" xr:uid="{00000000-0005-0000-0000-0000E3590000}"/>
    <cellStyle name="Normal 2 2 4 2 2 6 5 2" xfId="23012" xr:uid="{00000000-0005-0000-0000-0000E4590000}"/>
    <cellStyle name="Normal 2 2 4 2 2 6 5 3" xfId="23013" xr:uid="{00000000-0005-0000-0000-0000E5590000}"/>
    <cellStyle name="Normal 2 2 4 2 2 6 5 4" xfId="23014" xr:uid="{00000000-0005-0000-0000-0000E6590000}"/>
    <cellStyle name="Normal 2 2 4 2 2 6 5 5" xfId="23015" xr:uid="{00000000-0005-0000-0000-0000E7590000}"/>
    <cellStyle name="Normal 2 2 4 2 2 6 5 6" xfId="23016" xr:uid="{00000000-0005-0000-0000-0000E8590000}"/>
    <cellStyle name="Normal 2 2 4 2 2 6 5 7" xfId="23017" xr:uid="{00000000-0005-0000-0000-0000E9590000}"/>
    <cellStyle name="Normal 2 2 4 2 2 6 5 8" xfId="23018" xr:uid="{00000000-0005-0000-0000-0000EA590000}"/>
    <cellStyle name="Normal 2 2 4 2 2 6 5 9" xfId="23019" xr:uid="{00000000-0005-0000-0000-0000EB590000}"/>
    <cellStyle name="Normal 2 2 4 2 2 6 6" xfId="23020" xr:uid="{00000000-0005-0000-0000-0000EC590000}"/>
    <cellStyle name="Normal 2 2 4 2 2 6 7" xfId="23021" xr:uid="{00000000-0005-0000-0000-0000ED590000}"/>
    <cellStyle name="Normal 2 2 4 2 2 6 8" xfId="23022" xr:uid="{00000000-0005-0000-0000-0000EE590000}"/>
    <cellStyle name="Normal 2 2 4 2 2 6 9" xfId="23023" xr:uid="{00000000-0005-0000-0000-0000EF590000}"/>
    <cellStyle name="Normal 2 2 4 2 2 7" xfId="23024" xr:uid="{00000000-0005-0000-0000-0000F0590000}"/>
    <cellStyle name="Normal 2 2 4 2 2 7 10" xfId="23025" xr:uid="{00000000-0005-0000-0000-0000F1590000}"/>
    <cellStyle name="Normal 2 2 4 2 2 7 11" xfId="23026" xr:uid="{00000000-0005-0000-0000-0000F2590000}"/>
    <cellStyle name="Normal 2 2 4 2 2 7 12" xfId="23027" xr:uid="{00000000-0005-0000-0000-0000F3590000}"/>
    <cellStyle name="Normal 2 2 4 2 2 7 13" xfId="23028" xr:uid="{00000000-0005-0000-0000-0000F4590000}"/>
    <cellStyle name="Normal 2 2 4 2 2 7 14" xfId="23029" xr:uid="{00000000-0005-0000-0000-0000F5590000}"/>
    <cellStyle name="Normal 2 2 4 2 2 7 2" xfId="23030" xr:uid="{00000000-0005-0000-0000-0000F6590000}"/>
    <cellStyle name="Normal 2 2 4 2 2 7 2 10" xfId="23031" xr:uid="{00000000-0005-0000-0000-0000F7590000}"/>
    <cellStyle name="Normal 2 2 4 2 2 7 2 2" xfId="23032" xr:uid="{00000000-0005-0000-0000-0000F8590000}"/>
    <cellStyle name="Normal 2 2 4 2 2 7 2 3" xfId="23033" xr:uid="{00000000-0005-0000-0000-0000F9590000}"/>
    <cellStyle name="Normal 2 2 4 2 2 7 2 4" xfId="23034" xr:uid="{00000000-0005-0000-0000-0000FA590000}"/>
    <cellStyle name="Normal 2 2 4 2 2 7 2 5" xfId="23035" xr:uid="{00000000-0005-0000-0000-0000FB590000}"/>
    <cellStyle name="Normal 2 2 4 2 2 7 2 6" xfId="23036" xr:uid="{00000000-0005-0000-0000-0000FC590000}"/>
    <cellStyle name="Normal 2 2 4 2 2 7 2 7" xfId="23037" xr:uid="{00000000-0005-0000-0000-0000FD590000}"/>
    <cellStyle name="Normal 2 2 4 2 2 7 2 8" xfId="23038" xr:uid="{00000000-0005-0000-0000-0000FE590000}"/>
    <cellStyle name="Normal 2 2 4 2 2 7 2 9" xfId="23039" xr:uid="{00000000-0005-0000-0000-0000FF590000}"/>
    <cellStyle name="Normal 2 2 4 2 2 7 3" xfId="23040" xr:uid="{00000000-0005-0000-0000-0000005A0000}"/>
    <cellStyle name="Normal 2 2 4 2 2 7 3 10" xfId="23041" xr:uid="{00000000-0005-0000-0000-0000015A0000}"/>
    <cellStyle name="Normal 2 2 4 2 2 7 3 2" xfId="23042" xr:uid="{00000000-0005-0000-0000-0000025A0000}"/>
    <cellStyle name="Normal 2 2 4 2 2 7 3 3" xfId="23043" xr:uid="{00000000-0005-0000-0000-0000035A0000}"/>
    <cellStyle name="Normal 2 2 4 2 2 7 3 4" xfId="23044" xr:uid="{00000000-0005-0000-0000-0000045A0000}"/>
    <cellStyle name="Normal 2 2 4 2 2 7 3 5" xfId="23045" xr:uid="{00000000-0005-0000-0000-0000055A0000}"/>
    <cellStyle name="Normal 2 2 4 2 2 7 3 6" xfId="23046" xr:uid="{00000000-0005-0000-0000-0000065A0000}"/>
    <cellStyle name="Normal 2 2 4 2 2 7 3 7" xfId="23047" xr:uid="{00000000-0005-0000-0000-0000075A0000}"/>
    <cellStyle name="Normal 2 2 4 2 2 7 3 8" xfId="23048" xr:uid="{00000000-0005-0000-0000-0000085A0000}"/>
    <cellStyle name="Normal 2 2 4 2 2 7 3 9" xfId="23049" xr:uid="{00000000-0005-0000-0000-0000095A0000}"/>
    <cellStyle name="Normal 2 2 4 2 2 7 4" xfId="23050" xr:uid="{00000000-0005-0000-0000-00000A5A0000}"/>
    <cellStyle name="Normal 2 2 4 2 2 7 4 10" xfId="23051" xr:uid="{00000000-0005-0000-0000-00000B5A0000}"/>
    <cellStyle name="Normal 2 2 4 2 2 7 4 2" xfId="23052" xr:uid="{00000000-0005-0000-0000-00000C5A0000}"/>
    <cellStyle name="Normal 2 2 4 2 2 7 4 3" xfId="23053" xr:uid="{00000000-0005-0000-0000-00000D5A0000}"/>
    <cellStyle name="Normal 2 2 4 2 2 7 4 4" xfId="23054" xr:uid="{00000000-0005-0000-0000-00000E5A0000}"/>
    <cellStyle name="Normal 2 2 4 2 2 7 4 5" xfId="23055" xr:uid="{00000000-0005-0000-0000-00000F5A0000}"/>
    <cellStyle name="Normal 2 2 4 2 2 7 4 6" xfId="23056" xr:uid="{00000000-0005-0000-0000-0000105A0000}"/>
    <cellStyle name="Normal 2 2 4 2 2 7 4 7" xfId="23057" xr:uid="{00000000-0005-0000-0000-0000115A0000}"/>
    <cellStyle name="Normal 2 2 4 2 2 7 4 8" xfId="23058" xr:uid="{00000000-0005-0000-0000-0000125A0000}"/>
    <cellStyle name="Normal 2 2 4 2 2 7 4 9" xfId="23059" xr:uid="{00000000-0005-0000-0000-0000135A0000}"/>
    <cellStyle name="Normal 2 2 4 2 2 7 5" xfId="23060" xr:uid="{00000000-0005-0000-0000-0000145A0000}"/>
    <cellStyle name="Normal 2 2 4 2 2 7 5 10" xfId="23061" xr:uid="{00000000-0005-0000-0000-0000155A0000}"/>
    <cellStyle name="Normal 2 2 4 2 2 7 5 2" xfId="23062" xr:uid="{00000000-0005-0000-0000-0000165A0000}"/>
    <cellStyle name="Normal 2 2 4 2 2 7 5 3" xfId="23063" xr:uid="{00000000-0005-0000-0000-0000175A0000}"/>
    <cellStyle name="Normal 2 2 4 2 2 7 5 4" xfId="23064" xr:uid="{00000000-0005-0000-0000-0000185A0000}"/>
    <cellStyle name="Normal 2 2 4 2 2 7 5 5" xfId="23065" xr:uid="{00000000-0005-0000-0000-0000195A0000}"/>
    <cellStyle name="Normal 2 2 4 2 2 7 5 6" xfId="23066" xr:uid="{00000000-0005-0000-0000-00001A5A0000}"/>
    <cellStyle name="Normal 2 2 4 2 2 7 5 7" xfId="23067" xr:uid="{00000000-0005-0000-0000-00001B5A0000}"/>
    <cellStyle name="Normal 2 2 4 2 2 7 5 8" xfId="23068" xr:uid="{00000000-0005-0000-0000-00001C5A0000}"/>
    <cellStyle name="Normal 2 2 4 2 2 7 5 9" xfId="23069" xr:uid="{00000000-0005-0000-0000-00001D5A0000}"/>
    <cellStyle name="Normal 2 2 4 2 2 7 6" xfId="23070" xr:uid="{00000000-0005-0000-0000-00001E5A0000}"/>
    <cellStyle name="Normal 2 2 4 2 2 7 7" xfId="23071" xr:uid="{00000000-0005-0000-0000-00001F5A0000}"/>
    <cellStyle name="Normal 2 2 4 2 2 7 8" xfId="23072" xr:uid="{00000000-0005-0000-0000-0000205A0000}"/>
    <cellStyle name="Normal 2 2 4 2 2 7 9" xfId="23073" xr:uid="{00000000-0005-0000-0000-0000215A0000}"/>
    <cellStyle name="Normal 2 2 4 2 2 8" xfId="23074" xr:uid="{00000000-0005-0000-0000-0000225A0000}"/>
    <cellStyle name="Normal 2 2 4 2 2 8 10" xfId="23075" xr:uid="{00000000-0005-0000-0000-0000235A0000}"/>
    <cellStyle name="Normal 2 2 4 2 2 8 11" xfId="23076" xr:uid="{00000000-0005-0000-0000-0000245A0000}"/>
    <cellStyle name="Normal 2 2 4 2 2 8 12" xfId="23077" xr:uid="{00000000-0005-0000-0000-0000255A0000}"/>
    <cellStyle name="Normal 2 2 4 2 2 8 13" xfId="23078" xr:uid="{00000000-0005-0000-0000-0000265A0000}"/>
    <cellStyle name="Normal 2 2 4 2 2 8 14" xfId="23079" xr:uid="{00000000-0005-0000-0000-0000275A0000}"/>
    <cellStyle name="Normal 2 2 4 2 2 8 2" xfId="23080" xr:uid="{00000000-0005-0000-0000-0000285A0000}"/>
    <cellStyle name="Normal 2 2 4 2 2 8 2 10" xfId="23081" xr:uid="{00000000-0005-0000-0000-0000295A0000}"/>
    <cellStyle name="Normal 2 2 4 2 2 8 2 2" xfId="23082" xr:uid="{00000000-0005-0000-0000-00002A5A0000}"/>
    <cellStyle name="Normal 2 2 4 2 2 8 2 3" xfId="23083" xr:uid="{00000000-0005-0000-0000-00002B5A0000}"/>
    <cellStyle name="Normal 2 2 4 2 2 8 2 4" xfId="23084" xr:uid="{00000000-0005-0000-0000-00002C5A0000}"/>
    <cellStyle name="Normal 2 2 4 2 2 8 2 5" xfId="23085" xr:uid="{00000000-0005-0000-0000-00002D5A0000}"/>
    <cellStyle name="Normal 2 2 4 2 2 8 2 6" xfId="23086" xr:uid="{00000000-0005-0000-0000-00002E5A0000}"/>
    <cellStyle name="Normal 2 2 4 2 2 8 2 7" xfId="23087" xr:uid="{00000000-0005-0000-0000-00002F5A0000}"/>
    <cellStyle name="Normal 2 2 4 2 2 8 2 8" xfId="23088" xr:uid="{00000000-0005-0000-0000-0000305A0000}"/>
    <cellStyle name="Normal 2 2 4 2 2 8 2 9" xfId="23089" xr:uid="{00000000-0005-0000-0000-0000315A0000}"/>
    <cellStyle name="Normal 2 2 4 2 2 8 3" xfId="23090" xr:uid="{00000000-0005-0000-0000-0000325A0000}"/>
    <cellStyle name="Normal 2 2 4 2 2 8 3 10" xfId="23091" xr:uid="{00000000-0005-0000-0000-0000335A0000}"/>
    <cellStyle name="Normal 2 2 4 2 2 8 3 2" xfId="23092" xr:uid="{00000000-0005-0000-0000-0000345A0000}"/>
    <cellStyle name="Normal 2 2 4 2 2 8 3 3" xfId="23093" xr:uid="{00000000-0005-0000-0000-0000355A0000}"/>
    <cellStyle name="Normal 2 2 4 2 2 8 3 4" xfId="23094" xr:uid="{00000000-0005-0000-0000-0000365A0000}"/>
    <cellStyle name="Normal 2 2 4 2 2 8 3 5" xfId="23095" xr:uid="{00000000-0005-0000-0000-0000375A0000}"/>
    <cellStyle name="Normal 2 2 4 2 2 8 3 6" xfId="23096" xr:uid="{00000000-0005-0000-0000-0000385A0000}"/>
    <cellStyle name="Normal 2 2 4 2 2 8 3 7" xfId="23097" xr:uid="{00000000-0005-0000-0000-0000395A0000}"/>
    <cellStyle name="Normal 2 2 4 2 2 8 3 8" xfId="23098" xr:uid="{00000000-0005-0000-0000-00003A5A0000}"/>
    <cellStyle name="Normal 2 2 4 2 2 8 3 9" xfId="23099" xr:uid="{00000000-0005-0000-0000-00003B5A0000}"/>
    <cellStyle name="Normal 2 2 4 2 2 8 4" xfId="23100" xr:uid="{00000000-0005-0000-0000-00003C5A0000}"/>
    <cellStyle name="Normal 2 2 4 2 2 8 4 10" xfId="23101" xr:uid="{00000000-0005-0000-0000-00003D5A0000}"/>
    <cellStyle name="Normal 2 2 4 2 2 8 4 2" xfId="23102" xr:uid="{00000000-0005-0000-0000-00003E5A0000}"/>
    <cellStyle name="Normal 2 2 4 2 2 8 4 3" xfId="23103" xr:uid="{00000000-0005-0000-0000-00003F5A0000}"/>
    <cellStyle name="Normal 2 2 4 2 2 8 4 4" xfId="23104" xr:uid="{00000000-0005-0000-0000-0000405A0000}"/>
    <cellStyle name="Normal 2 2 4 2 2 8 4 5" xfId="23105" xr:uid="{00000000-0005-0000-0000-0000415A0000}"/>
    <cellStyle name="Normal 2 2 4 2 2 8 4 6" xfId="23106" xr:uid="{00000000-0005-0000-0000-0000425A0000}"/>
    <cellStyle name="Normal 2 2 4 2 2 8 4 7" xfId="23107" xr:uid="{00000000-0005-0000-0000-0000435A0000}"/>
    <cellStyle name="Normal 2 2 4 2 2 8 4 8" xfId="23108" xr:uid="{00000000-0005-0000-0000-0000445A0000}"/>
    <cellStyle name="Normal 2 2 4 2 2 8 4 9" xfId="23109" xr:uid="{00000000-0005-0000-0000-0000455A0000}"/>
    <cellStyle name="Normal 2 2 4 2 2 8 5" xfId="23110" xr:uid="{00000000-0005-0000-0000-0000465A0000}"/>
    <cellStyle name="Normal 2 2 4 2 2 8 5 10" xfId="23111" xr:uid="{00000000-0005-0000-0000-0000475A0000}"/>
    <cellStyle name="Normal 2 2 4 2 2 8 5 2" xfId="23112" xr:uid="{00000000-0005-0000-0000-0000485A0000}"/>
    <cellStyle name="Normal 2 2 4 2 2 8 5 3" xfId="23113" xr:uid="{00000000-0005-0000-0000-0000495A0000}"/>
    <cellStyle name="Normal 2 2 4 2 2 8 5 4" xfId="23114" xr:uid="{00000000-0005-0000-0000-00004A5A0000}"/>
    <cellStyle name="Normal 2 2 4 2 2 8 5 5" xfId="23115" xr:uid="{00000000-0005-0000-0000-00004B5A0000}"/>
    <cellStyle name="Normal 2 2 4 2 2 8 5 6" xfId="23116" xr:uid="{00000000-0005-0000-0000-00004C5A0000}"/>
    <cellStyle name="Normal 2 2 4 2 2 8 5 7" xfId="23117" xr:uid="{00000000-0005-0000-0000-00004D5A0000}"/>
    <cellStyle name="Normal 2 2 4 2 2 8 5 8" xfId="23118" xr:uid="{00000000-0005-0000-0000-00004E5A0000}"/>
    <cellStyle name="Normal 2 2 4 2 2 8 5 9" xfId="23119" xr:uid="{00000000-0005-0000-0000-00004F5A0000}"/>
    <cellStyle name="Normal 2 2 4 2 2 8 6" xfId="23120" xr:uid="{00000000-0005-0000-0000-0000505A0000}"/>
    <cellStyle name="Normal 2 2 4 2 2 8 7" xfId="23121" xr:uid="{00000000-0005-0000-0000-0000515A0000}"/>
    <cellStyle name="Normal 2 2 4 2 2 8 8" xfId="23122" xr:uid="{00000000-0005-0000-0000-0000525A0000}"/>
    <cellStyle name="Normal 2 2 4 2 2 8 9" xfId="23123" xr:uid="{00000000-0005-0000-0000-0000535A0000}"/>
    <cellStyle name="Normal 2 2 4 2 2 9" xfId="23124" xr:uid="{00000000-0005-0000-0000-0000545A0000}"/>
    <cellStyle name="Normal 2 2 4 2 2 9 10" xfId="23125" xr:uid="{00000000-0005-0000-0000-0000555A0000}"/>
    <cellStyle name="Normal 2 2 4 2 2 9 11" xfId="23126" xr:uid="{00000000-0005-0000-0000-0000565A0000}"/>
    <cellStyle name="Normal 2 2 4 2 2 9 12" xfId="23127" xr:uid="{00000000-0005-0000-0000-0000575A0000}"/>
    <cellStyle name="Normal 2 2 4 2 2 9 13" xfId="23128" xr:uid="{00000000-0005-0000-0000-0000585A0000}"/>
    <cellStyle name="Normal 2 2 4 2 2 9 14" xfId="23129" xr:uid="{00000000-0005-0000-0000-0000595A0000}"/>
    <cellStyle name="Normal 2 2 4 2 2 9 2" xfId="23130" xr:uid="{00000000-0005-0000-0000-00005A5A0000}"/>
    <cellStyle name="Normal 2 2 4 2 2 9 2 10" xfId="23131" xr:uid="{00000000-0005-0000-0000-00005B5A0000}"/>
    <cellStyle name="Normal 2 2 4 2 2 9 2 2" xfId="23132" xr:uid="{00000000-0005-0000-0000-00005C5A0000}"/>
    <cellStyle name="Normal 2 2 4 2 2 9 2 3" xfId="23133" xr:uid="{00000000-0005-0000-0000-00005D5A0000}"/>
    <cellStyle name="Normal 2 2 4 2 2 9 2 4" xfId="23134" xr:uid="{00000000-0005-0000-0000-00005E5A0000}"/>
    <cellStyle name="Normal 2 2 4 2 2 9 2 5" xfId="23135" xr:uid="{00000000-0005-0000-0000-00005F5A0000}"/>
    <cellStyle name="Normal 2 2 4 2 2 9 2 6" xfId="23136" xr:uid="{00000000-0005-0000-0000-0000605A0000}"/>
    <cellStyle name="Normal 2 2 4 2 2 9 2 7" xfId="23137" xr:uid="{00000000-0005-0000-0000-0000615A0000}"/>
    <cellStyle name="Normal 2 2 4 2 2 9 2 8" xfId="23138" xr:uid="{00000000-0005-0000-0000-0000625A0000}"/>
    <cellStyle name="Normal 2 2 4 2 2 9 2 9" xfId="23139" xr:uid="{00000000-0005-0000-0000-0000635A0000}"/>
    <cellStyle name="Normal 2 2 4 2 2 9 3" xfId="23140" xr:uid="{00000000-0005-0000-0000-0000645A0000}"/>
    <cellStyle name="Normal 2 2 4 2 2 9 3 10" xfId="23141" xr:uid="{00000000-0005-0000-0000-0000655A0000}"/>
    <cellStyle name="Normal 2 2 4 2 2 9 3 2" xfId="23142" xr:uid="{00000000-0005-0000-0000-0000665A0000}"/>
    <cellStyle name="Normal 2 2 4 2 2 9 3 3" xfId="23143" xr:uid="{00000000-0005-0000-0000-0000675A0000}"/>
    <cellStyle name="Normal 2 2 4 2 2 9 3 4" xfId="23144" xr:uid="{00000000-0005-0000-0000-0000685A0000}"/>
    <cellStyle name="Normal 2 2 4 2 2 9 3 5" xfId="23145" xr:uid="{00000000-0005-0000-0000-0000695A0000}"/>
    <cellStyle name="Normal 2 2 4 2 2 9 3 6" xfId="23146" xr:uid="{00000000-0005-0000-0000-00006A5A0000}"/>
    <cellStyle name="Normal 2 2 4 2 2 9 3 7" xfId="23147" xr:uid="{00000000-0005-0000-0000-00006B5A0000}"/>
    <cellStyle name="Normal 2 2 4 2 2 9 3 8" xfId="23148" xr:uid="{00000000-0005-0000-0000-00006C5A0000}"/>
    <cellStyle name="Normal 2 2 4 2 2 9 3 9" xfId="23149" xr:uid="{00000000-0005-0000-0000-00006D5A0000}"/>
    <cellStyle name="Normal 2 2 4 2 2 9 4" xfId="23150" xr:uid="{00000000-0005-0000-0000-00006E5A0000}"/>
    <cellStyle name="Normal 2 2 4 2 2 9 4 10" xfId="23151" xr:uid="{00000000-0005-0000-0000-00006F5A0000}"/>
    <cellStyle name="Normal 2 2 4 2 2 9 4 2" xfId="23152" xr:uid="{00000000-0005-0000-0000-0000705A0000}"/>
    <cellStyle name="Normal 2 2 4 2 2 9 4 3" xfId="23153" xr:uid="{00000000-0005-0000-0000-0000715A0000}"/>
    <cellStyle name="Normal 2 2 4 2 2 9 4 4" xfId="23154" xr:uid="{00000000-0005-0000-0000-0000725A0000}"/>
    <cellStyle name="Normal 2 2 4 2 2 9 4 5" xfId="23155" xr:uid="{00000000-0005-0000-0000-0000735A0000}"/>
    <cellStyle name="Normal 2 2 4 2 2 9 4 6" xfId="23156" xr:uid="{00000000-0005-0000-0000-0000745A0000}"/>
    <cellStyle name="Normal 2 2 4 2 2 9 4 7" xfId="23157" xr:uid="{00000000-0005-0000-0000-0000755A0000}"/>
    <cellStyle name="Normal 2 2 4 2 2 9 4 8" xfId="23158" xr:uid="{00000000-0005-0000-0000-0000765A0000}"/>
    <cellStyle name="Normal 2 2 4 2 2 9 4 9" xfId="23159" xr:uid="{00000000-0005-0000-0000-0000775A0000}"/>
    <cellStyle name="Normal 2 2 4 2 2 9 5" xfId="23160" xr:uid="{00000000-0005-0000-0000-0000785A0000}"/>
    <cellStyle name="Normal 2 2 4 2 2 9 5 10" xfId="23161" xr:uid="{00000000-0005-0000-0000-0000795A0000}"/>
    <cellStyle name="Normal 2 2 4 2 2 9 5 2" xfId="23162" xr:uid="{00000000-0005-0000-0000-00007A5A0000}"/>
    <cellStyle name="Normal 2 2 4 2 2 9 5 3" xfId="23163" xr:uid="{00000000-0005-0000-0000-00007B5A0000}"/>
    <cellStyle name="Normal 2 2 4 2 2 9 5 4" xfId="23164" xr:uid="{00000000-0005-0000-0000-00007C5A0000}"/>
    <cellStyle name="Normal 2 2 4 2 2 9 5 5" xfId="23165" xr:uid="{00000000-0005-0000-0000-00007D5A0000}"/>
    <cellStyle name="Normal 2 2 4 2 2 9 5 6" xfId="23166" xr:uid="{00000000-0005-0000-0000-00007E5A0000}"/>
    <cellStyle name="Normal 2 2 4 2 2 9 5 7" xfId="23167" xr:uid="{00000000-0005-0000-0000-00007F5A0000}"/>
    <cellStyle name="Normal 2 2 4 2 2 9 5 8" xfId="23168" xr:uid="{00000000-0005-0000-0000-0000805A0000}"/>
    <cellStyle name="Normal 2 2 4 2 2 9 5 9" xfId="23169" xr:uid="{00000000-0005-0000-0000-0000815A0000}"/>
    <cellStyle name="Normal 2 2 4 2 2 9 6" xfId="23170" xr:uid="{00000000-0005-0000-0000-0000825A0000}"/>
    <cellStyle name="Normal 2 2 4 2 2 9 7" xfId="23171" xr:uid="{00000000-0005-0000-0000-0000835A0000}"/>
    <cellStyle name="Normal 2 2 4 2 2 9 8" xfId="23172" xr:uid="{00000000-0005-0000-0000-0000845A0000}"/>
    <cellStyle name="Normal 2 2 4 2 2 9 9" xfId="23173" xr:uid="{00000000-0005-0000-0000-0000855A0000}"/>
    <cellStyle name="Normal 2 2 4 2 20" xfId="23174" xr:uid="{00000000-0005-0000-0000-0000865A0000}"/>
    <cellStyle name="Normal 2 2 4 2 21" xfId="23175" xr:uid="{00000000-0005-0000-0000-0000875A0000}"/>
    <cellStyle name="Normal 2 2 4 2 21 10" xfId="23176" xr:uid="{00000000-0005-0000-0000-0000885A0000}"/>
    <cellStyle name="Normal 2 2 4 2 21 2" xfId="23177" xr:uid="{00000000-0005-0000-0000-0000895A0000}"/>
    <cellStyle name="Normal 2 2 4 2 21 3" xfId="23178" xr:uid="{00000000-0005-0000-0000-00008A5A0000}"/>
    <cellStyle name="Normal 2 2 4 2 21 4" xfId="23179" xr:uid="{00000000-0005-0000-0000-00008B5A0000}"/>
    <cellStyle name="Normal 2 2 4 2 21 5" xfId="23180" xr:uid="{00000000-0005-0000-0000-00008C5A0000}"/>
    <cellStyle name="Normal 2 2 4 2 21 6" xfId="23181" xr:uid="{00000000-0005-0000-0000-00008D5A0000}"/>
    <cellStyle name="Normal 2 2 4 2 21 7" xfId="23182" xr:uid="{00000000-0005-0000-0000-00008E5A0000}"/>
    <cellStyle name="Normal 2 2 4 2 21 8" xfId="23183" xr:uid="{00000000-0005-0000-0000-00008F5A0000}"/>
    <cellStyle name="Normal 2 2 4 2 21 9" xfId="23184" xr:uid="{00000000-0005-0000-0000-0000905A0000}"/>
    <cellStyle name="Normal 2 2 4 2 22" xfId="23185" xr:uid="{00000000-0005-0000-0000-0000915A0000}"/>
    <cellStyle name="Normal 2 2 4 2 22 10" xfId="23186" xr:uid="{00000000-0005-0000-0000-0000925A0000}"/>
    <cellStyle name="Normal 2 2 4 2 22 2" xfId="23187" xr:uid="{00000000-0005-0000-0000-0000935A0000}"/>
    <cellStyle name="Normal 2 2 4 2 22 3" xfId="23188" xr:uid="{00000000-0005-0000-0000-0000945A0000}"/>
    <cellStyle name="Normal 2 2 4 2 22 4" xfId="23189" xr:uid="{00000000-0005-0000-0000-0000955A0000}"/>
    <cellStyle name="Normal 2 2 4 2 22 5" xfId="23190" xr:uid="{00000000-0005-0000-0000-0000965A0000}"/>
    <cellStyle name="Normal 2 2 4 2 22 6" xfId="23191" xr:uid="{00000000-0005-0000-0000-0000975A0000}"/>
    <cellStyle name="Normal 2 2 4 2 22 7" xfId="23192" xr:uid="{00000000-0005-0000-0000-0000985A0000}"/>
    <cellStyle name="Normal 2 2 4 2 22 8" xfId="23193" xr:uid="{00000000-0005-0000-0000-0000995A0000}"/>
    <cellStyle name="Normal 2 2 4 2 22 9" xfId="23194" xr:uid="{00000000-0005-0000-0000-00009A5A0000}"/>
    <cellStyle name="Normal 2 2 4 2 23" xfId="23195" xr:uid="{00000000-0005-0000-0000-00009B5A0000}"/>
    <cellStyle name="Normal 2 2 4 2 23 10" xfId="23196" xr:uid="{00000000-0005-0000-0000-00009C5A0000}"/>
    <cellStyle name="Normal 2 2 4 2 23 2" xfId="23197" xr:uid="{00000000-0005-0000-0000-00009D5A0000}"/>
    <cellStyle name="Normal 2 2 4 2 23 3" xfId="23198" xr:uid="{00000000-0005-0000-0000-00009E5A0000}"/>
    <cellStyle name="Normal 2 2 4 2 23 4" xfId="23199" xr:uid="{00000000-0005-0000-0000-00009F5A0000}"/>
    <cellStyle name="Normal 2 2 4 2 23 5" xfId="23200" xr:uid="{00000000-0005-0000-0000-0000A05A0000}"/>
    <cellStyle name="Normal 2 2 4 2 23 6" xfId="23201" xr:uid="{00000000-0005-0000-0000-0000A15A0000}"/>
    <cellStyle name="Normal 2 2 4 2 23 7" xfId="23202" xr:uid="{00000000-0005-0000-0000-0000A25A0000}"/>
    <cellStyle name="Normal 2 2 4 2 23 8" xfId="23203" xr:uid="{00000000-0005-0000-0000-0000A35A0000}"/>
    <cellStyle name="Normal 2 2 4 2 23 9" xfId="23204" xr:uid="{00000000-0005-0000-0000-0000A45A0000}"/>
    <cellStyle name="Normal 2 2 4 2 24" xfId="23205" xr:uid="{00000000-0005-0000-0000-0000A55A0000}"/>
    <cellStyle name="Normal 2 2 4 2 24 10" xfId="23206" xr:uid="{00000000-0005-0000-0000-0000A65A0000}"/>
    <cellStyle name="Normal 2 2 4 2 24 2" xfId="23207" xr:uid="{00000000-0005-0000-0000-0000A75A0000}"/>
    <cellStyle name="Normal 2 2 4 2 24 3" xfId="23208" xr:uid="{00000000-0005-0000-0000-0000A85A0000}"/>
    <cellStyle name="Normal 2 2 4 2 24 4" xfId="23209" xr:uid="{00000000-0005-0000-0000-0000A95A0000}"/>
    <cellStyle name="Normal 2 2 4 2 24 5" xfId="23210" xr:uid="{00000000-0005-0000-0000-0000AA5A0000}"/>
    <cellStyle name="Normal 2 2 4 2 24 6" xfId="23211" xr:uid="{00000000-0005-0000-0000-0000AB5A0000}"/>
    <cellStyle name="Normal 2 2 4 2 24 7" xfId="23212" xr:uid="{00000000-0005-0000-0000-0000AC5A0000}"/>
    <cellStyle name="Normal 2 2 4 2 24 8" xfId="23213" xr:uid="{00000000-0005-0000-0000-0000AD5A0000}"/>
    <cellStyle name="Normal 2 2 4 2 24 9" xfId="23214" xr:uid="{00000000-0005-0000-0000-0000AE5A0000}"/>
    <cellStyle name="Normal 2 2 4 2 25" xfId="23215" xr:uid="{00000000-0005-0000-0000-0000AF5A0000}"/>
    <cellStyle name="Normal 2 2 4 2 26" xfId="23216" xr:uid="{00000000-0005-0000-0000-0000B05A0000}"/>
    <cellStyle name="Normal 2 2 4 2 27" xfId="23217" xr:uid="{00000000-0005-0000-0000-0000B15A0000}"/>
    <cellStyle name="Normal 2 2 4 2 28" xfId="23218" xr:uid="{00000000-0005-0000-0000-0000B25A0000}"/>
    <cellStyle name="Normal 2 2 4 2 29" xfId="23219" xr:uid="{00000000-0005-0000-0000-0000B35A0000}"/>
    <cellStyle name="Normal 2 2 4 2 3" xfId="23220" xr:uid="{00000000-0005-0000-0000-0000B45A0000}"/>
    <cellStyle name="Normal 2 2 4 2 30" xfId="23221" xr:uid="{00000000-0005-0000-0000-0000B55A0000}"/>
    <cellStyle name="Normal 2 2 4 2 31" xfId="23222" xr:uid="{00000000-0005-0000-0000-0000B65A0000}"/>
    <cellStyle name="Normal 2 2 4 2 32" xfId="23223" xr:uid="{00000000-0005-0000-0000-0000B75A0000}"/>
    <cellStyle name="Normal 2 2 4 2 33" xfId="23224" xr:uid="{00000000-0005-0000-0000-0000B85A0000}"/>
    <cellStyle name="Normal 2 2 4 2 4" xfId="23225" xr:uid="{00000000-0005-0000-0000-0000B95A0000}"/>
    <cellStyle name="Normal 2 2 4 2 5" xfId="23226" xr:uid="{00000000-0005-0000-0000-0000BA5A0000}"/>
    <cellStyle name="Normal 2 2 4 2 6" xfId="23227" xr:uid="{00000000-0005-0000-0000-0000BB5A0000}"/>
    <cellStyle name="Normal 2 2 4 2 7" xfId="23228" xr:uid="{00000000-0005-0000-0000-0000BC5A0000}"/>
    <cellStyle name="Normal 2 2 4 2 8" xfId="23229" xr:uid="{00000000-0005-0000-0000-0000BD5A0000}"/>
    <cellStyle name="Normal 2 2 4 2 9" xfId="23230" xr:uid="{00000000-0005-0000-0000-0000BE5A0000}"/>
    <cellStyle name="Normal 2 2 4 20" xfId="23231" xr:uid="{00000000-0005-0000-0000-0000BF5A0000}"/>
    <cellStyle name="Normal 2 2 4 20 10" xfId="23232" xr:uid="{00000000-0005-0000-0000-0000C05A0000}"/>
    <cellStyle name="Normal 2 2 4 20 11" xfId="23233" xr:uid="{00000000-0005-0000-0000-0000C15A0000}"/>
    <cellStyle name="Normal 2 2 4 20 12" xfId="23234" xr:uid="{00000000-0005-0000-0000-0000C25A0000}"/>
    <cellStyle name="Normal 2 2 4 20 13" xfId="23235" xr:uid="{00000000-0005-0000-0000-0000C35A0000}"/>
    <cellStyle name="Normal 2 2 4 20 14" xfId="23236" xr:uid="{00000000-0005-0000-0000-0000C45A0000}"/>
    <cellStyle name="Normal 2 2 4 20 2" xfId="23237" xr:uid="{00000000-0005-0000-0000-0000C55A0000}"/>
    <cellStyle name="Normal 2 2 4 20 2 10" xfId="23238" xr:uid="{00000000-0005-0000-0000-0000C65A0000}"/>
    <cellStyle name="Normal 2 2 4 20 2 2" xfId="23239" xr:uid="{00000000-0005-0000-0000-0000C75A0000}"/>
    <cellStyle name="Normal 2 2 4 20 2 3" xfId="23240" xr:uid="{00000000-0005-0000-0000-0000C85A0000}"/>
    <cellStyle name="Normal 2 2 4 20 2 4" xfId="23241" xr:uid="{00000000-0005-0000-0000-0000C95A0000}"/>
    <cellStyle name="Normal 2 2 4 20 2 5" xfId="23242" xr:uid="{00000000-0005-0000-0000-0000CA5A0000}"/>
    <cellStyle name="Normal 2 2 4 20 2 6" xfId="23243" xr:uid="{00000000-0005-0000-0000-0000CB5A0000}"/>
    <cellStyle name="Normal 2 2 4 20 2 7" xfId="23244" xr:uid="{00000000-0005-0000-0000-0000CC5A0000}"/>
    <cellStyle name="Normal 2 2 4 20 2 8" xfId="23245" xr:uid="{00000000-0005-0000-0000-0000CD5A0000}"/>
    <cellStyle name="Normal 2 2 4 20 2 9" xfId="23246" xr:uid="{00000000-0005-0000-0000-0000CE5A0000}"/>
    <cellStyle name="Normal 2 2 4 20 3" xfId="23247" xr:uid="{00000000-0005-0000-0000-0000CF5A0000}"/>
    <cellStyle name="Normal 2 2 4 20 3 10" xfId="23248" xr:uid="{00000000-0005-0000-0000-0000D05A0000}"/>
    <cellStyle name="Normal 2 2 4 20 3 2" xfId="23249" xr:uid="{00000000-0005-0000-0000-0000D15A0000}"/>
    <cellStyle name="Normal 2 2 4 20 3 3" xfId="23250" xr:uid="{00000000-0005-0000-0000-0000D25A0000}"/>
    <cellStyle name="Normal 2 2 4 20 3 4" xfId="23251" xr:uid="{00000000-0005-0000-0000-0000D35A0000}"/>
    <cellStyle name="Normal 2 2 4 20 3 5" xfId="23252" xr:uid="{00000000-0005-0000-0000-0000D45A0000}"/>
    <cellStyle name="Normal 2 2 4 20 3 6" xfId="23253" xr:uid="{00000000-0005-0000-0000-0000D55A0000}"/>
    <cellStyle name="Normal 2 2 4 20 3 7" xfId="23254" xr:uid="{00000000-0005-0000-0000-0000D65A0000}"/>
    <cellStyle name="Normal 2 2 4 20 3 8" xfId="23255" xr:uid="{00000000-0005-0000-0000-0000D75A0000}"/>
    <cellStyle name="Normal 2 2 4 20 3 9" xfId="23256" xr:uid="{00000000-0005-0000-0000-0000D85A0000}"/>
    <cellStyle name="Normal 2 2 4 20 4" xfId="23257" xr:uid="{00000000-0005-0000-0000-0000D95A0000}"/>
    <cellStyle name="Normal 2 2 4 20 4 10" xfId="23258" xr:uid="{00000000-0005-0000-0000-0000DA5A0000}"/>
    <cellStyle name="Normal 2 2 4 20 4 2" xfId="23259" xr:uid="{00000000-0005-0000-0000-0000DB5A0000}"/>
    <cellStyle name="Normal 2 2 4 20 4 3" xfId="23260" xr:uid="{00000000-0005-0000-0000-0000DC5A0000}"/>
    <cellStyle name="Normal 2 2 4 20 4 4" xfId="23261" xr:uid="{00000000-0005-0000-0000-0000DD5A0000}"/>
    <cellStyle name="Normal 2 2 4 20 4 5" xfId="23262" xr:uid="{00000000-0005-0000-0000-0000DE5A0000}"/>
    <cellStyle name="Normal 2 2 4 20 4 6" xfId="23263" xr:uid="{00000000-0005-0000-0000-0000DF5A0000}"/>
    <cellStyle name="Normal 2 2 4 20 4 7" xfId="23264" xr:uid="{00000000-0005-0000-0000-0000E05A0000}"/>
    <cellStyle name="Normal 2 2 4 20 4 8" xfId="23265" xr:uid="{00000000-0005-0000-0000-0000E15A0000}"/>
    <cellStyle name="Normal 2 2 4 20 4 9" xfId="23266" xr:uid="{00000000-0005-0000-0000-0000E25A0000}"/>
    <cellStyle name="Normal 2 2 4 20 5" xfId="23267" xr:uid="{00000000-0005-0000-0000-0000E35A0000}"/>
    <cellStyle name="Normal 2 2 4 20 5 10" xfId="23268" xr:uid="{00000000-0005-0000-0000-0000E45A0000}"/>
    <cellStyle name="Normal 2 2 4 20 5 2" xfId="23269" xr:uid="{00000000-0005-0000-0000-0000E55A0000}"/>
    <cellStyle name="Normal 2 2 4 20 5 3" xfId="23270" xr:uid="{00000000-0005-0000-0000-0000E65A0000}"/>
    <cellStyle name="Normal 2 2 4 20 5 4" xfId="23271" xr:uid="{00000000-0005-0000-0000-0000E75A0000}"/>
    <cellStyle name="Normal 2 2 4 20 5 5" xfId="23272" xr:uid="{00000000-0005-0000-0000-0000E85A0000}"/>
    <cellStyle name="Normal 2 2 4 20 5 6" xfId="23273" xr:uid="{00000000-0005-0000-0000-0000E95A0000}"/>
    <cellStyle name="Normal 2 2 4 20 5 7" xfId="23274" xr:uid="{00000000-0005-0000-0000-0000EA5A0000}"/>
    <cellStyle name="Normal 2 2 4 20 5 8" xfId="23275" xr:uid="{00000000-0005-0000-0000-0000EB5A0000}"/>
    <cellStyle name="Normal 2 2 4 20 5 9" xfId="23276" xr:uid="{00000000-0005-0000-0000-0000EC5A0000}"/>
    <cellStyle name="Normal 2 2 4 20 6" xfId="23277" xr:uid="{00000000-0005-0000-0000-0000ED5A0000}"/>
    <cellStyle name="Normal 2 2 4 20 7" xfId="23278" xr:uid="{00000000-0005-0000-0000-0000EE5A0000}"/>
    <cellStyle name="Normal 2 2 4 20 8" xfId="23279" xr:uid="{00000000-0005-0000-0000-0000EF5A0000}"/>
    <cellStyle name="Normal 2 2 4 20 9" xfId="23280" xr:uid="{00000000-0005-0000-0000-0000F05A0000}"/>
    <cellStyle name="Normal 2 2 4 21" xfId="23281" xr:uid="{00000000-0005-0000-0000-0000F15A0000}"/>
    <cellStyle name="Normal 2 2 4 21 10" xfId="23282" xr:uid="{00000000-0005-0000-0000-0000F25A0000}"/>
    <cellStyle name="Normal 2 2 4 21 11" xfId="23283" xr:uid="{00000000-0005-0000-0000-0000F35A0000}"/>
    <cellStyle name="Normal 2 2 4 21 12" xfId="23284" xr:uid="{00000000-0005-0000-0000-0000F45A0000}"/>
    <cellStyle name="Normal 2 2 4 21 13" xfId="23285" xr:uid="{00000000-0005-0000-0000-0000F55A0000}"/>
    <cellStyle name="Normal 2 2 4 21 14" xfId="23286" xr:uid="{00000000-0005-0000-0000-0000F65A0000}"/>
    <cellStyle name="Normal 2 2 4 21 2" xfId="23287" xr:uid="{00000000-0005-0000-0000-0000F75A0000}"/>
    <cellStyle name="Normal 2 2 4 21 2 10" xfId="23288" xr:uid="{00000000-0005-0000-0000-0000F85A0000}"/>
    <cellStyle name="Normal 2 2 4 21 2 2" xfId="23289" xr:uid="{00000000-0005-0000-0000-0000F95A0000}"/>
    <cellStyle name="Normal 2 2 4 21 2 3" xfId="23290" xr:uid="{00000000-0005-0000-0000-0000FA5A0000}"/>
    <cellStyle name="Normal 2 2 4 21 2 4" xfId="23291" xr:uid="{00000000-0005-0000-0000-0000FB5A0000}"/>
    <cellStyle name="Normal 2 2 4 21 2 5" xfId="23292" xr:uid="{00000000-0005-0000-0000-0000FC5A0000}"/>
    <cellStyle name="Normal 2 2 4 21 2 6" xfId="23293" xr:uid="{00000000-0005-0000-0000-0000FD5A0000}"/>
    <cellStyle name="Normal 2 2 4 21 2 7" xfId="23294" xr:uid="{00000000-0005-0000-0000-0000FE5A0000}"/>
    <cellStyle name="Normal 2 2 4 21 2 8" xfId="23295" xr:uid="{00000000-0005-0000-0000-0000FF5A0000}"/>
    <cellStyle name="Normal 2 2 4 21 2 9" xfId="23296" xr:uid="{00000000-0005-0000-0000-0000005B0000}"/>
    <cellStyle name="Normal 2 2 4 21 3" xfId="23297" xr:uid="{00000000-0005-0000-0000-0000015B0000}"/>
    <cellStyle name="Normal 2 2 4 21 3 10" xfId="23298" xr:uid="{00000000-0005-0000-0000-0000025B0000}"/>
    <cellStyle name="Normal 2 2 4 21 3 2" xfId="23299" xr:uid="{00000000-0005-0000-0000-0000035B0000}"/>
    <cellStyle name="Normal 2 2 4 21 3 3" xfId="23300" xr:uid="{00000000-0005-0000-0000-0000045B0000}"/>
    <cellStyle name="Normal 2 2 4 21 3 4" xfId="23301" xr:uid="{00000000-0005-0000-0000-0000055B0000}"/>
    <cellStyle name="Normal 2 2 4 21 3 5" xfId="23302" xr:uid="{00000000-0005-0000-0000-0000065B0000}"/>
    <cellStyle name="Normal 2 2 4 21 3 6" xfId="23303" xr:uid="{00000000-0005-0000-0000-0000075B0000}"/>
    <cellStyle name="Normal 2 2 4 21 3 7" xfId="23304" xr:uid="{00000000-0005-0000-0000-0000085B0000}"/>
    <cellStyle name="Normal 2 2 4 21 3 8" xfId="23305" xr:uid="{00000000-0005-0000-0000-0000095B0000}"/>
    <cellStyle name="Normal 2 2 4 21 3 9" xfId="23306" xr:uid="{00000000-0005-0000-0000-00000A5B0000}"/>
    <cellStyle name="Normal 2 2 4 21 4" xfId="23307" xr:uid="{00000000-0005-0000-0000-00000B5B0000}"/>
    <cellStyle name="Normal 2 2 4 21 4 10" xfId="23308" xr:uid="{00000000-0005-0000-0000-00000C5B0000}"/>
    <cellStyle name="Normal 2 2 4 21 4 2" xfId="23309" xr:uid="{00000000-0005-0000-0000-00000D5B0000}"/>
    <cellStyle name="Normal 2 2 4 21 4 3" xfId="23310" xr:uid="{00000000-0005-0000-0000-00000E5B0000}"/>
    <cellStyle name="Normal 2 2 4 21 4 4" xfId="23311" xr:uid="{00000000-0005-0000-0000-00000F5B0000}"/>
    <cellStyle name="Normal 2 2 4 21 4 5" xfId="23312" xr:uid="{00000000-0005-0000-0000-0000105B0000}"/>
    <cellStyle name="Normal 2 2 4 21 4 6" xfId="23313" xr:uid="{00000000-0005-0000-0000-0000115B0000}"/>
    <cellStyle name="Normal 2 2 4 21 4 7" xfId="23314" xr:uid="{00000000-0005-0000-0000-0000125B0000}"/>
    <cellStyle name="Normal 2 2 4 21 4 8" xfId="23315" xr:uid="{00000000-0005-0000-0000-0000135B0000}"/>
    <cellStyle name="Normal 2 2 4 21 4 9" xfId="23316" xr:uid="{00000000-0005-0000-0000-0000145B0000}"/>
    <cellStyle name="Normal 2 2 4 21 5" xfId="23317" xr:uid="{00000000-0005-0000-0000-0000155B0000}"/>
    <cellStyle name="Normal 2 2 4 21 5 10" xfId="23318" xr:uid="{00000000-0005-0000-0000-0000165B0000}"/>
    <cellStyle name="Normal 2 2 4 21 5 2" xfId="23319" xr:uid="{00000000-0005-0000-0000-0000175B0000}"/>
    <cellStyle name="Normal 2 2 4 21 5 3" xfId="23320" xr:uid="{00000000-0005-0000-0000-0000185B0000}"/>
    <cellStyle name="Normal 2 2 4 21 5 4" xfId="23321" xr:uid="{00000000-0005-0000-0000-0000195B0000}"/>
    <cellStyle name="Normal 2 2 4 21 5 5" xfId="23322" xr:uid="{00000000-0005-0000-0000-00001A5B0000}"/>
    <cellStyle name="Normal 2 2 4 21 5 6" xfId="23323" xr:uid="{00000000-0005-0000-0000-00001B5B0000}"/>
    <cellStyle name="Normal 2 2 4 21 5 7" xfId="23324" xr:uid="{00000000-0005-0000-0000-00001C5B0000}"/>
    <cellStyle name="Normal 2 2 4 21 5 8" xfId="23325" xr:uid="{00000000-0005-0000-0000-00001D5B0000}"/>
    <cellStyle name="Normal 2 2 4 21 5 9" xfId="23326" xr:uid="{00000000-0005-0000-0000-00001E5B0000}"/>
    <cellStyle name="Normal 2 2 4 21 6" xfId="23327" xr:uid="{00000000-0005-0000-0000-00001F5B0000}"/>
    <cellStyle name="Normal 2 2 4 21 7" xfId="23328" xr:uid="{00000000-0005-0000-0000-0000205B0000}"/>
    <cellStyle name="Normal 2 2 4 21 8" xfId="23329" xr:uid="{00000000-0005-0000-0000-0000215B0000}"/>
    <cellStyle name="Normal 2 2 4 21 9" xfId="23330" xr:uid="{00000000-0005-0000-0000-0000225B0000}"/>
    <cellStyle name="Normal 2 2 4 22" xfId="23331" xr:uid="{00000000-0005-0000-0000-0000235B0000}"/>
    <cellStyle name="Normal 2 2 4 22 10" xfId="23332" xr:uid="{00000000-0005-0000-0000-0000245B0000}"/>
    <cellStyle name="Normal 2 2 4 22 11" xfId="23333" xr:uid="{00000000-0005-0000-0000-0000255B0000}"/>
    <cellStyle name="Normal 2 2 4 22 12" xfId="23334" xr:uid="{00000000-0005-0000-0000-0000265B0000}"/>
    <cellStyle name="Normal 2 2 4 22 13" xfId="23335" xr:uid="{00000000-0005-0000-0000-0000275B0000}"/>
    <cellStyle name="Normal 2 2 4 22 14" xfId="23336" xr:uid="{00000000-0005-0000-0000-0000285B0000}"/>
    <cellStyle name="Normal 2 2 4 22 2" xfId="23337" xr:uid="{00000000-0005-0000-0000-0000295B0000}"/>
    <cellStyle name="Normal 2 2 4 22 2 10" xfId="23338" xr:uid="{00000000-0005-0000-0000-00002A5B0000}"/>
    <cellStyle name="Normal 2 2 4 22 2 2" xfId="23339" xr:uid="{00000000-0005-0000-0000-00002B5B0000}"/>
    <cellStyle name="Normal 2 2 4 22 2 3" xfId="23340" xr:uid="{00000000-0005-0000-0000-00002C5B0000}"/>
    <cellStyle name="Normal 2 2 4 22 2 4" xfId="23341" xr:uid="{00000000-0005-0000-0000-00002D5B0000}"/>
    <cellStyle name="Normal 2 2 4 22 2 5" xfId="23342" xr:uid="{00000000-0005-0000-0000-00002E5B0000}"/>
    <cellStyle name="Normal 2 2 4 22 2 6" xfId="23343" xr:uid="{00000000-0005-0000-0000-00002F5B0000}"/>
    <cellStyle name="Normal 2 2 4 22 2 7" xfId="23344" xr:uid="{00000000-0005-0000-0000-0000305B0000}"/>
    <cellStyle name="Normal 2 2 4 22 2 8" xfId="23345" xr:uid="{00000000-0005-0000-0000-0000315B0000}"/>
    <cellStyle name="Normal 2 2 4 22 2 9" xfId="23346" xr:uid="{00000000-0005-0000-0000-0000325B0000}"/>
    <cellStyle name="Normal 2 2 4 22 3" xfId="23347" xr:uid="{00000000-0005-0000-0000-0000335B0000}"/>
    <cellStyle name="Normal 2 2 4 22 3 10" xfId="23348" xr:uid="{00000000-0005-0000-0000-0000345B0000}"/>
    <cellStyle name="Normal 2 2 4 22 3 2" xfId="23349" xr:uid="{00000000-0005-0000-0000-0000355B0000}"/>
    <cellStyle name="Normal 2 2 4 22 3 3" xfId="23350" xr:uid="{00000000-0005-0000-0000-0000365B0000}"/>
    <cellStyle name="Normal 2 2 4 22 3 4" xfId="23351" xr:uid="{00000000-0005-0000-0000-0000375B0000}"/>
    <cellStyle name="Normal 2 2 4 22 3 5" xfId="23352" xr:uid="{00000000-0005-0000-0000-0000385B0000}"/>
    <cellStyle name="Normal 2 2 4 22 3 6" xfId="23353" xr:uid="{00000000-0005-0000-0000-0000395B0000}"/>
    <cellStyle name="Normal 2 2 4 22 3 7" xfId="23354" xr:uid="{00000000-0005-0000-0000-00003A5B0000}"/>
    <cellStyle name="Normal 2 2 4 22 3 8" xfId="23355" xr:uid="{00000000-0005-0000-0000-00003B5B0000}"/>
    <cellStyle name="Normal 2 2 4 22 3 9" xfId="23356" xr:uid="{00000000-0005-0000-0000-00003C5B0000}"/>
    <cellStyle name="Normal 2 2 4 22 4" xfId="23357" xr:uid="{00000000-0005-0000-0000-00003D5B0000}"/>
    <cellStyle name="Normal 2 2 4 22 4 10" xfId="23358" xr:uid="{00000000-0005-0000-0000-00003E5B0000}"/>
    <cellStyle name="Normal 2 2 4 22 4 2" xfId="23359" xr:uid="{00000000-0005-0000-0000-00003F5B0000}"/>
    <cellStyle name="Normal 2 2 4 22 4 3" xfId="23360" xr:uid="{00000000-0005-0000-0000-0000405B0000}"/>
    <cellStyle name="Normal 2 2 4 22 4 4" xfId="23361" xr:uid="{00000000-0005-0000-0000-0000415B0000}"/>
    <cellStyle name="Normal 2 2 4 22 4 5" xfId="23362" xr:uid="{00000000-0005-0000-0000-0000425B0000}"/>
    <cellStyle name="Normal 2 2 4 22 4 6" xfId="23363" xr:uid="{00000000-0005-0000-0000-0000435B0000}"/>
    <cellStyle name="Normal 2 2 4 22 4 7" xfId="23364" xr:uid="{00000000-0005-0000-0000-0000445B0000}"/>
    <cellStyle name="Normal 2 2 4 22 4 8" xfId="23365" xr:uid="{00000000-0005-0000-0000-0000455B0000}"/>
    <cellStyle name="Normal 2 2 4 22 4 9" xfId="23366" xr:uid="{00000000-0005-0000-0000-0000465B0000}"/>
    <cellStyle name="Normal 2 2 4 22 5" xfId="23367" xr:uid="{00000000-0005-0000-0000-0000475B0000}"/>
    <cellStyle name="Normal 2 2 4 22 5 10" xfId="23368" xr:uid="{00000000-0005-0000-0000-0000485B0000}"/>
    <cellStyle name="Normal 2 2 4 22 5 2" xfId="23369" xr:uid="{00000000-0005-0000-0000-0000495B0000}"/>
    <cellStyle name="Normal 2 2 4 22 5 3" xfId="23370" xr:uid="{00000000-0005-0000-0000-00004A5B0000}"/>
    <cellStyle name="Normal 2 2 4 22 5 4" xfId="23371" xr:uid="{00000000-0005-0000-0000-00004B5B0000}"/>
    <cellStyle name="Normal 2 2 4 22 5 5" xfId="23372" xr:uid="{00000000-0005-0000-0000-00004C5B0000}"/>
    <cellStyle name="Normal 2 2 4 22 5 6" xfId="23373" xr:uid="{00000000-0005-0000-0000-00004D5B0000}"/>
    <cellStyle name="Normal 2 2 4 22 5 7" xfId="23374" xr:uid="{00000000-0005-0000-0000-00004E5B0000}"/>
    <cellStyle name="Normal 2 2 4 22 5 8" xfId="23375" xr:uid="{00000000-0005-0000-0000-00004F5B0000}"/>
    <cellStyle name="Normal 2 2 4 22 5 9" xfId="23376" xr:uid="{00000000-0005-0000-0000-0000505B0000}"/>
    <cellStyle name="Normal 2 2 4 22 6" xfId="23377" xr:uid="{00000000-0005-0000-0000-0000515B0000}"/>
    <cellStyle name="Normal 2 2 4 22 7" xfId="23378" xr:uid="{00000000-0005-0000-0000-0000525B0000}"/>
    <cellStyle name="Normal 2 2 4 22 8" xfId="23379" xr:uid="{00000000-0005-0000-0000-0000535B0000}"/>
    <cellStyle name="Normal 2 2 4 22 9" xfId="23380" xr:uid="{00000000-0005-0000-0000-0000545B0000}"/>
    <cellStyle name="Normal 2 2 4 23" xfId="23381" xr:uid="{00000000-0005-0000-0000-0000555B0000}"/>
    <cellStyle name="Normal 2 2 4 23 10" xfId="23382" xr:uid="{00000000-0005-0000-0000-0000565B0000}"/>
    <cellStyle name="Normal 2 2 4 23 11" xfId="23383" xr:uid="{00000000-0005-0000-0000-0000575B0000}"/>
    <cellStyle name="Normal 2 2 4 23 12" xfId="23384" xr:uid="{00000000-0005-0000-0000-0000585B0000}"/>
    <cellStyle name="Normal 2 2 4 23 13" xfId="23385" xr:uid="{00000000-0005-0000-0000-0000595B0000}"/>
    <cellStyle name="Normal 2 2 4 23 14" xfId="23386" xr:uid="{00000000-0005-0000-0000-00005A5B0000}"/>
    <cellStyle name="Normal 2 2 4 23 2" xfId="23387" xr:uid="{00000000-0005-0000-0000-00005B5B0000}"/>
    <cellStyle name="Normal 2 2 4 23 2 10" xfId="23388" xr:uid="{00000000-0005-0000-0000-00005C5B0000}"/>
    <cellStyle name="Normal 2 2 4 23 2 2" xfId="23389" xr:uid="{00000000-0005-0000-0000-00005D5B0000}"/>
    <cellStyle name="Normal 2 2 4 23 2 3" xfId="23390" xr:uid="{00000000-0005-0000-0000-00005E5B0000}"/>
    <cellStyle name="Normal 2 2 4 23 2 4" xfId="23391" xr:uid="{00000000-0005-0000-0000-00005F5B0000}"/>
    <cellStyle name="Normal 2 2 4 23 2 5" xfId="23392" xr:uid="{00000000-0005-0000-0000-0000605B0000}"/>
    <cellStyle name="Normal 2 2 4 23 2 6" xfId="23393" xr:uid="{00000000-0005-0000-0000-0000615B0000}"/>
    <cellStyle name="Normal 2 2 4 23 2 7" xfId="23394" xr:uid="{00000000-0005-0000-0000-0000625B0000}"/>
    <cellStyle name="Normal 2 2 4 23 2 8" xfId="23395" xr:uid="{00000000-0005-0000-0000-0000635B0000}"/>
    <cellStyle name="Normal 2 2 4 23 2 9" xfId="23396" xr:uid="{00000000-0005-0000-0000-0000645B0000}"/>
    <cellStyle name="Normal 2 2 4 23 3" xfId="23397" xr:uid="{00000000-0005-0000-0000-0000655B0000}"/>
    <cellStyle name="Normal 2 2 4 23 3 10" xfId="23398" xr:uid="{00000000-0005-0000-0000-0000665B0000}"/>
    <cellStyle name="Normal 2 2 4 23 3 2" xfId="23399" xr:uid="{00000000-0005-0000-0000-0000675B0000}"/>
    <cellStyle name="Normal 2 2 4 23 3 3" xfId="23400" xr:uid="{00000000-0005-0000-0000-0000685B0000}"/>
    <cellStyle name="Normal 2 2 4 23 3 4" xfId="23401" xr:uid="{00000000-0005-0000-0000-0000695B0000}"/>
    <cellStyle name="Normal 2 2 4 23 3 5" xfId="23402" xr:uid="{00000000-0005-0000-0000-00006A5B0000}"/>
    <cellStyle name="Normal 2 2 4 23 3 6" xfId="23403" xr:uid="{00000000-0005-0000-0000-00006B5B0000}"/>
    <cellStyle name="Normal 2 2 4 23 3 7" xfId="23404" xr:uid="{00000000-0005-0000-0000-00006C5B0000}"/>
    <cellStyle name="Normal 2 2 4 23 3 8" xfId="23405" xr:uid="{00000000-0005-0000-0000-00006D5B0000}"/>
    <cellStyle name="Normal 2 2 4 23 3 9" xfId="23406" xr:uid="{00000000-0005-0000-0000-00006E5B0000}"/>
    <cellStyle name="Normal 2 2 4 23 4" xfId="23407" xr:uid="{00000000-0005-0000-0000-00006F5B0000}"/>
    <cellStyle name="Normal 2 2 4 23 4 10" xfId="23408" xr:uid="{00000000-0005-0000-0000-0000705B0000}"/>
    <cellStyle name="Normal 2 2 4 23 4 2" xfId="23409" xr:uid="{00000000-0005-0000-0000-0000715B0000}"/>
    <cellStyle name="Normal 2 2 4 23 4 3" xfId="23410" xr:uid="{00000000-0005-0000-0000-0000725B0000}"/>
    <cellStyle name="Normal 2 2 4 23 4 4" xfId="23411" xr:uid="{00000000-0005-0000-0000-0000735B0000}"/>
    <cellStyle name="Normal 2 2 4 23 4 5" xfId="23412" xr:uid="{00000000-0005-0000-0000-0000745B0000}"/>
    <cellStyle name="Normal 2 2 4 23 4 6" xfId="23413" xr:uid="{00000000-0005-0000-0000-0000755B0000}"/>
    <cellStyle name="Normal 2 2 4 23 4 7" xfId="23414" xr:uid="{00000000-0005-0000-0000-0000765B0000}"/>
    <cellStyle name="Normal 2 2 4 23 4 8" xfId="23415" xr:uid="{00000000-0005-0000-0000-0000775B0000}"/>
    <cellStyle name="Normal 2 2 4 23 4 9" xfId="23416" xr:uid="{00000000-0005-0000-0000-0000785B0000}"/>
    <cellStyle name="Normal 2 2 4 23 5" xfId="23417" xr:uid="{00000000-0005-0000-0000-0000795B0000}"/>
    <cellStyle name="Normal 2 2 4 23 5 10" xfId="23418" xr:uid="{00000000-0005-0000-0000-00007A5B0000}"/>
    <cellStyle name="Normal 2 2 4 23 5 2" xfId="23419" xr:uid="{00000000-0005-0000-0000-00007B5B0000}"/>
    <cellStyle name="Normal 2 2 4 23 5 3" xfId="23420" xr:uid="{00000000-0005-0000-0000-00007C5B0000}"/>
    <cellStyle name="Normal 2 2 4 23 5 4" xfId="23421" xr:uid="{00000000-0005-0000-0000-00007D5B0000}"/>
    <cellStyle name="Normal 2 2 4 23 5 5" xfId="23422" xr:uid="{00000000-0005-0000-0000-00007E5B0000}"/>
    <cellStyle name="Normal 2 2 4 23 5 6" xfId="23423" xr:uid="{00000000-0005-0000-0000-00007F5B0000}"/>
    <cellStyle name="Normal 2 2 4 23 5 7" xfId="23424" xr:uid="{00000000-0005-0000-0000-0000805B0000}"/>
    <cellStyle name="Normal 2 2 4 23 5 8" xfId="23425" xr:uid="{00000000-0005-0000-0000-0000815B0000}"/>
    <cellStyle name="Normal 2 2 4 23 5 9" xfId="23426" xr:uid="{00000000-0005-0000-0000-0000825B0000}"/>
    <cellStyle name="Normal 2 2 4 23 6" xfId="23427" xr:uid="{00000000-0005-0000-0000-0000835B0000}"/>
    <cellStyle name="Normal 2 2 4 23 7" xfId="23428" xr:uid="{00000000-0005-0000-0000-0000845B0000}"/>
    <cellStyle name="Normal 2 2 4 23 8" xfId="23429" xr:uid="{00000000-0005-0000-0000-0000855B0000}"/>
    <cellStyle name="Normal 2 2 4 23 9" xfId="23430" xr:uid="{00000000-0005-0000-0000-0000865B0000}"/>
    <cellStyle name="Normal 2 2 4 24" xfId="23431" xr:uid="{00000000-0005-0000-0000-0000875B0000}"/>
    <cellStyle name="Normal 2 2 4 24 10" xfId="23432" xr:uid="{00000000-0005-0000-0000-0000885B0000}"/>
    <cellStyle name="Normal 2 2 4 24 11" xfId="23433" xr:uid="{00000000-0005-0000-0000-0000895B0000}"/>
    <cellStyle name="Normal 2 2 4 24 12" xfId="23434" xr:uid="{00000000-0005-0000-0000-00008A5B0000}"/>
    <cellStyle name="Normal 2 2 4 24 13" xfId="23435" xr:uid="{00000000-0005-0000-0000-00008B5B0000}"/>
    <cellStyle name="Normal 2 2 4 24 14" xfId="23436" xr:uid="{00000000-0005-0000-0000-00008C5B0000}"/>
    <cellStyle name="Normal 2 2 4 24 2" xfId="23437" xr:uid="{00000000-0005-0000-0000-00008D5B0000}"/>
    <cellStyle name="Normal 2 2 4 24 2 10" xfId="23438" xr:uid="{00000000-0005-0000-0000-00008E5B0000}"/>
    <cellStyle name="Normal 2 2 4 24 2 2" xfId="23439" xr:uid="{00000000-0005-0000-0000-00008F5B0000}"/>
    <cellStyle name="Normal 2 2 4 24 2 3" xfId="23440" xr:uid="{00000000-0005-0000-0000-0000905B0000}"/>
    <cellStyle name="Normal 2 2 4 24 2 4" xfId="23441" xr:uid="{00000000-0005-0000-0000-0000915B0000}"/>
    <cellStyle name="Normal 2 2 4 24 2 5" xfId="23442" xr:uid="{00000000-0005-0000-0000-0000925B0000}"/>
    <cellStyle name="Normal 2 2 4 24 2 6" xfId="23443" xr:uid="{00000000-0005-0000-0000-0000935B0000}"/>
    <cellStyle name="Normal 2 2 4 24 2 7" xfId="23444" xr:uid="{00000000-0005-0000-0000-0000945B0000}"/>
    <cellStyle name="Normal 2 2 4 24 2 8" xfId="23445" xr:uid="{00000000-0005-0000-0000-0000955B0000}"/>
    <cellStyle name="Normal 2 2 4 24 2 9" xfId="23446" xr:uid="{00000000-0005-0000-0000-0000965B0000}"/>
    <cellStyle name="Normal 2 2 4 24 3" xfId="23447" xr:uid="{00000000-0005-0000-0000-0000975B0000}"/>
    <cellStyle name="Normal 2 2 4 24 3 10" xfId="23448" xr:uid="{00000000-0005-0000-0000-0000985B0000}"/>
    <cellStyle name="Normal 2 2 4 24 3 2" xfId="23449" xr:uid="{00000000-0005-0000-0000-0000995B0000}"/>
    <cellStyle name="Normal 2 2 4 24 3 3" xfId="23450" xr:uid="{00000000-0005-0000-0000-00009A5B0000}"/>
    <cellStyle name="Normal 2 2 4 24 3 4" xfId="23451" xr:uid="{00000000-0005-0000-0000-00009B5B0000}"/>
    <cellStyle name="Normal 2 2 4 24 3 5" xfId="23452" xr:uid="{00000000-0005-0000-0000-00009C5B0000}"/>
    <cellStyle name="Normal 2 2 4 24 3 6" xfId="23453" xr:uid="{00000000-0005-0000-0000-00009D5B0000}"/>
    <cellStyle name="Normal 2 2 4 24 3 7" xfId="23454" xr:uid="{00000000-0005-0000-0000-00009E5B0000}"/>
    <cellStyle name="Normal 2 2 4 24 3 8" xfId="23455" xr:uid="{00000000-0005-0000-0000-00009F5B0000}"/>
    <cellStyle name="Normal 2 2 4 24 3 9" xfId="23456" xr:uid="{00000000-0005-0000-0000-0000A05B0000}"/>
    <cellStyle name="Normal 2 2 4 24 4" xfId="23457" xr:uid="{00000000-0005-0000-0000-0000A15B0000}"/>
    <cellStyle name="Normal 2 2 4 24 4 10" xfId="23458" xr:uid="{00000000-0005-0000-0000-0000A25B0000}"/>
    <cellStyle name="Normal 2 2 4 24 4 2" xfId="23459" xr:uid="{00000000-0005-0000-0000-0000A35B0000}"/>
    <cellStyle name="Normal 2 2 4 24 4 3" xfId="23460" xr:uid="{00000000-0005-0000-0000-0000A45B0000}"/>
    <cellStyle name="Normal 2 2 4 24 4 4" xfId="23461" xr:uid="{00000000-0005-0000-0000-0000A55B0000}"/>
    <cellStyle name="Normal 2 2 4 24 4 5" xfId="23462" xr:uid="{00000000-0005-0000-0000-0000A65B0000}"/>
    <cellStyle name="Normal 2 2 4 24 4 6" xfId="23463" xr:uid="{00000000-0005-0000-0000-0000A75B0000}"/>
    <cellStyle name="Normal 2 2 4 24 4 7" xfId="23464" xr:uid="{00000000-0005-0000-0000-0000A85B0000}"/>
    <cellStyle name="Normal 2 2 4 24 4 8" xfId="23465" xr:uid="{00000000-0005-0000-0000-0000A95B0000}"/>
    <cellStyle name="Normal 2 2 4 24 4 9" xfId="23466" xr:uid="{00000000-0005-0000-0000-0000AA5B0000}"/>
    <cellStyle name="Normal 2 2 4 24 5" xfId="23467" xr:uid="{00000000-0005-0000-0000-0000AB5B0000}"/>
    <cellStyle name="Normal 2 2 4 24 5 10" xfId="23468" xr:uid="{00000000-0005-0000-0000-0000AC5B0000}"/>
    <cellStyle name="Normal 2 2 4 24 5 2" xfId="23469" xr:uid="{00000000-0005-0000-0000-0000AD5B0000}"/>
    <cellStyle name="Normal 2 2 4 24 5 3" xfId="23470" xr:uid="{00000000-0005-0000-0000-0000AE5B0000}"/>
    <cellStyle name="Normal 2 2 4 24 5 4" xfId="23471" xr:uid="{00000000-0005-0000-0000-0000AF5B0000}"/>
    <cellStyle name="Normal 2 2 4 24 5 5" xfId="23472" xr:uid="{00000000-0005-0000-0000-0000B05B0000}"/>
    <cellStyle name="Normal 2 2 4 24 5 6" xfId="23473" xr:uid="{00000000-0005-0000-0000-0000B15B0000}"/>
    <cellStyle name="Normal 2 2 4 24 5 7" xfId="23474" xr:uid="{00000000-0005-0000-0000-0000B25B0000}"/>
    <cellStyle name="Normal 2 2 4 24 5 8" xfId="23475" xr:uid="{00000000-0005-0000-0000-0000B35B0000}"/>
    <cellStyle name="Normal 2 2 4 24 5 9" xfId="23476" xr:uid="{00000000-0005-0000-0000-0000B45B0000}"/>
    <cellStyle name="Normal 2 2 4 24 6" xfId="23477" xr:uid="{00000000-0005-0000-0000-0000B55B0000}"/>
    <cellStyle name="Normal 2 2 4 24 7" xfId="23478" xr:uid="{00000000-0005-0000-0000-0000B65B0000}"/>
    <cellStyle name="Normal 2 2 4 24 8" xfId="23479" xr:uid="{00000000-0005-0000-0000-0000B75B0000}"/>
    <cellStyle name="Normal 2 2 4 24 9" xfId="23480" xr:uid="{00000000-0005-0000-0000-0000B85B0000}"/>
    <cellStyle name="Normal 2 2 4 25" xfId="23481" xr:uid="{00000000-0005-0000-0000-0000B95B0000}"/>
    <cellStyle name="Normal 2 2 4 25 10" xfId="23482" xr:uid="{00000000-0005-0000-0000-0000BA5B0000}"/>
    <cellStyle name="Normal 2 2 4 25 11" xfId="23483" xr:uid="{00000000-0005-0000-0000-0000BB5B0000}"/>
    <cellStyle name="Normal 2 2 4 25 12" xfId="23484" xr:uid="{00000000-0005-0000-0000-0000BC5B0000}"/>
    <cellStyle name="Normal 2 2 4 25 13" xfId="23485" xr:uid="{00000000-0005-0000-0000-0000BD5B0000}"/>
    <cellStyle name="Normal 2 2 4 25 14" xfId="23486" xr:uid="{00000000-0005-0000-0000-0000BE5B0000}"/>
    <cellStyle name="Normal 2 2 4 25 2" xfId="23487" xr:uid="{00000000-0005-0000-0000-0000BF5B0000}"/>
    <cellStyle name="Normal 2 2 4 25 2 10" xfId="23488" xr:uid="{00000000-0005-0000-0000-0000C05B0000}"/>
    <cellStyle name="Normal 2 2 4 25 2 2" xfId="23489" xr:uid="{00000000-0005-0000-0000-0000C15B0000}"/>
    <cellStyle name="Normal 2 2 4 25 2 3" xfId="23490" xr:uid="{00000000-0005-0000-0000-0000C25B0000}"/>
    <cellStyle name="Normal 2 2 4 25 2 4" xfId="23491" xr:uid="{00000000-0005-0000-0000-0000C35B0000}"/>
    <cellStyle name="Normal 2 2 4 25 2 5" xfId="23492" xr:uid="{00000000-0005-0000-0000-0000C45B0000}"/>
    <cellStyle name="Normal 2 2 4 25 2 6" xfId="23493" xr:uid="{00000000-0005-0000-0000-0000C55B0000}"/>
    <cellStyle name="Normal 2 2 4 25 2 7" xfId="23494" xr:uid="{00000000-0005-0000-0000-0000C65B0000}"/>
    <cellStyle name="Normal 2 2 4 25 2 8" xfId="23495" xr:uid="{00000000-0005-0000-0000-0000C75B0000}"/>
    <cellStyle name="Normal 2 2 4 25 2 9" xfId="23496" xr:uid="{00000000-0005-0000-0000-0000C85B0000}"/>
    <cellStyle name="Normal 2 2 4 25 3" xfId="23497" xr:uid="{00000000-0005-0000-0000-0000C95B0000}"/>
    <cellStyle name="Normal 2 2 4 25 3 10" xfId="23498" xr:uid="{00000000-0005-0000-0000-0000CA5B0000}"/>
    <cellStyle name="Normal 2 2 4 25 3 2" xfId="23499" xr:uid="{00000000-0005-0000-0000-0000CB5B0000}"/>
    <cellStyle name="Normal 2 2 4 25 3 3" xfId="23500" xr:uid="{00000000-0005-0000-0000-0000CC5B0000}"/>
    <cellStyle name="Normal 2 2 4 25 3 4" xfId="23501" xr:uid="{00000000-0005-0000-0000-0000CD5B0000}"/>
    <cellStyle name="Normal 2 2 4 25 3 5" xfId="23502" xr:uid="{00000000-0005-0000-0000-0000CE5B0000}"/>
    <cellStyle name="Normal 2 2 4 25 3 6" xfId="23503" xr:uid="{00000000-0005-0000-0000-0000CF5B0000}"/>
    <cellStyle name="Normal 2 2 4 25 3 7" xfId="23504" xr:uid="{00000000-0005-0000-0000-0000D05B0000}"/>
    <cellStyle name="Normal 2 2 4 25 3 8" xfId="23505" xr:uid="{00000000-0005-0000-0000-0000D15B0000}"/>
    <cellStyle name="Normal 2 2 4 25 3 9" xfId="23506" xr:uid="{00000000-0005-0000-0000-0000D25B0000}"/>
    <cellStyle name="Normal 2 2 4 25 4" xfId="23507" xr:uid="{00000000-0005-0000-0000-0000D35B0000}"/>
    <cellStyle name="Normal 2 2 4 25 4 10" xfId="23508" xr:uid="{00000000-0005-0000-0000-0000D45B0000}"/>
    <cellStyle name="Normal 2 2 4 25 4 2" xfId="23509" xr:uid="{00000000-0005-0000-0000-0000D55B0000}"/>
    <cellStyle name="Normal 2 2 4 25 4 3" xfId="23510" xr:uid="{00000000-0005-0000-0000-0000D65B0000}"/>
    <cellStyle name="Normal 2 2 4 25 4 4" xfId="23511" xr:uid="{00000000-0005-0000-0000-0000D75B0000}"/>
    <cellStyle name="Normal 2 2 4 25 4 5" xfId="23512" xr:uid="{00000000-0005-0000-0000-0000D85B0000}"/>
    <cellStyle name="Normal 2 2 4 25 4 6" xfId="23513" xr:uid="{00000000-0005-0000-0000-0000D95B0000}"/>
    <cellStyle name="Normal 2 2 4 25 4 7" xfId="23514" xr:uid="{00000000-0005-0000-0000-0000DA5B0000}"/>
    <cellStyle name="Normal 2 2 4 25 4 8" xfId="23515" xr:uid="{00000000-0005-0000-0000-0000DB5B0000}"/>
    <cellStyle name="Normal 2 2 4 25 4 9" xfId="23516" xr:uid="{00000000-0005-0000-0000-0000DC5B0000}"/>
    <cellStyle name="Normal 2 2 4 25 5" xfId="23517" xr:uid="{00000000-0005-0000-0000-0000DD5B0000}"/>
    <cellStyle name="Normal 2 2 4 25 5 10" xfId="23518" xr:uid="{00000000-0005-0000-0000-0000DE5B0000}"/>
    <cellStyle name="Normal 2 2 4 25 5 2" xfId="23519" xr:uid="{00000000-0005-0000-0000-0000DF5B0000}"/>
    <cellStyle name="Normal 2 2 4 25 5 3" xfId="23520" xr:uid="{00000000-0005-0000-0000-0000E05B0000}"/>
    <cellStyle name="Normal 2 2 4 25 5 4" xfId="23521" xr:uid="{00000000-0005-0000-0000-0000E15B0000}"/>
    <cellStyle name="Normal 2 2 4 25 5 5" xfId="23522" xr:uid="{00000000-0005-0000-0000-0000E25B0000}"/>
    <cellStyle name="Normal 2 2 4 25 5 6" xfId="23523" xr:uid="{00000000-0005-0000-0000-0000E35B0000}"/>
    <cellStyle name="Normal 2 2 4 25 5 7" xfId="23524" xr:uid="{00000000-0005-0000-0000-0000E45B0000}"/>
    <cellStyle name="Normal 2 2 4 25 5 8" xfId="23525" xr:uid="{00000000-0005-0000-0000-0000E55B0000}"/>
    <cellStyle name="Normal 2 2 4 25 5 9" xfId="23526" xr:uid="{00000000-0005-0000-0000-0000E65B0000}"/>
    <cellStyle name="Normal 2 2 4 25 6" xfId="23527" xr:uid="{00000000-0005-0000-0000-0000E75B0000}"/>
    <cellStyle name="Normal 2 2 4 25 7" xfId="23528" xr:uid="{00000000-0005-0000-0000-0000E85B0000}"/>
    <cellStyle name="Normal 2 2 4 25 8" xfId="23529" xr:uid="{00000000-0005-0000-0000-0000E95B0000}"/>
    <cellStyle name="Normal 2 2 4 25 9" xfId="23530" xr:uid="{00000000-0005-0000-0000-0000EA5B0000}"/>
    <cellStyle name="Normal 2 2 4 26" xfId="23531" xr:uid="{00000000-0005-0000-0000-0000EB5B0000}"/>
    <cellStyle name="Normal 2 2 4 26 10" xfId="23532" xr:uid="{00000000-0005-0000-0000-0000EC5B0000}"/>
    <cellStyle name="Normal 2 2 4 26 11" xfId="23533" xr:uid="{00000000-0005-0000-0000-0000ED5B0000}"/>
    <cellStyle name="Normal 2 2 4 26 12" xfId="23534" xr:uid="{00000000-0005-0000-0000-0000EE5B0000}"/>
    <cellStyle name="Normal 2 2 4 26 13" xfId="23535" xr:uid="{00000000-0005-0000-0000-0000EF5B0000}"/>
    <cellStyle name="Normal 2 2 4 26 14" xfId="23536" xr:uid="{00000000-0005-0000-0000-0000F05B0000}"/>
    <cellStyle name="Normal 2 2 4 26 2" xfId="23537" xr:uid="{00000000-0005-0000-0000-0000F15B0000}"/>
    <cellStyle name="Normal 2 2 4 26 2 10" xfId="23538" xr:uid="{00000000-0005-0000-0000-0000F25B0000}"/>
    <cellStyle name="Normal 2 2 4 26 2 2" xfId="23539" xr:uid="{00000000-0005-0000-0000-0000F35B0000}"/>
    <cellStyle name="Normal 2 2 4 26 2 3" xfId="23540" xr:uid="{00000000-0005-0000-0000-0000F45B0000}"/>
    <cellStyle name="Normal 2 2 4 26 2 4" xfId="23541" xr:uid="{00000000-0005-0000-0000-0000F55B0000}"/>
    <cellStyle name="Normal 2 2 4 26 2 5" xfId="23542" xr:uid="{00000000-0005-0000-0000-0000F65B0000}"/>
    <cellStyle name="Normal 2 2 4 26 2 6" xfId="23543" xr:uid="{00000000-0005-0000-0000-0000F75B0000}"/>
    <cellStyle name="Normal 2 2 4 26 2 7" xfId="23544" xr:uid="{00000000-0005-0000-0000-0000F85B0000}"/>
    <cellStyle name="Normal 2 2 4 26 2 8" xfId="23545" xr:uid="{00000000-0005-0000-0000-0000F95B0000}"/>
    <cellStyle name="Normal 2 2 4 26 2 9" xfId="23546" xr:uid="{00000000-0005-0000-0000-0000FA5B0000}"/>
    <cellStyle name="Normal 2 2 4 26 3" xfId="23547" xr:uid="{00000000-0005-0000-0000-0000FB5B0000}"/>
    <cellStyle name="Normal 2 2 4 26 3 10" xfId="23548" xr:uid="{00000000-0005-0000-0000-0000FC5B0000}"/>
    <cellStyle name="Normal 2 2 4 26 3 2" xfId="23549" xr:uid="{00000000-0005-0000-0000-0000FD5B0000}"/>
    <cellStyle name="Normal 2 2 4 26 3 3" xfId="23550" xr:uid="{00000000-0005-0000-0000-0000FE5B0000}"/>
    <cellStyle name="Normal 2 2 4 26 3 4" xfId="23551" xr:uid="{00000000-0005-0000-0000-0000FF5B0000}"/>
    <cellStyle name="Normal 2 2 4 26 3 5" xfId="23552" xr:uid="{00000000-0005-0000-0000-0000005C0000}"/>
    <cellStyle name="Normal 2 2 4 26 3 6" xfId="23553" xr:uid="{00000000-0005-0000-0000-0000015C0000}"/>
    <cellStyle name="Normal 2 2 4 26 3 7" xfId="23554" xr:uid="{00000000-0005-0000-0000-0000025C0000}"/>
    <cellStyle name="Normal 2 2 4 26 3 8" xfId="23555" xr:uid="{00000000-0005-0000-0000-0000035C0000}"/>
    <cellStyle name="Normal 2 2 4 26 3 9" xfId="23556" xr:uid="{00000000-0005-0000-0000-0000045C0000}"/>
    <cellStyle name="Normal 2 2 4 26 4" xfId="23557" xr:uid="{00000000-0005-0000-0000-0000055C0000}"/>
    <cellStyle name="Normal 2 2 4 26 4 10" xfId="23558" xr:uid="{00000000-0005-0000-0000-0000065C0000}"/>
    <cellStyle name="Normal 2 2 4 26 4 2" xfId="23559" xr:uid="{00000000-0005-0000-0000-0000075C0000}"/>
    <cellStyle name="Normal 2 2 4 26 4 3" xfId="23560" xr:uid="{00000000-0005-0000-0000-0000085C0000}"/>
    <cellStyle name="Normal 2 2 4 26 4 4" xfId="23561" xr:uid="{00000000-0005-0000-0000-0000095C0000}"/>
    <cellStyle name="Normal 2 2 4 26 4 5" xfId="23562" xr:uid="{00000000-0005-0000-0000-00000A5C0000}"/>
    <cellStyle name="Normal 2 2 4 26 4 6" xfId="23563" xr:uid="{00000000-0005-0000-0000-00000B5C0000}"/>
    <cellStyle name="Normal 2 2 4 26 4 7" xfId="23564" xr:uid="{00000000-0005-0000-0000-00000C5C0000}"/>
    <cellStyle name="Normal 2 2 4 26 4 8" xfId="23565" xr:uid="{00000000-0005-0000-0000-00000D5C0000}"/>
    <cellStyle name="Normal 2 2 4 26 4 9" xfId="23566" xr:uid="{00000000-0005-0000-0000-00000E5C0000}"/>
    <cellStyle name="Normal 2 2 4 26 5" xfId="23567" xr:uid="{00000000-0005-0000-0000-00000F5C0000}"/>
    <cellStyle name="Normal 2 2 4 26 5 10" xfId="23568" xr:uid="{00000000-0005-0000-0000-0000105C0000}"/>
    <cellStyle name="Normal 2 2 4 26 5 2" xfId="23569" xr:uid="{00000000-0005-0000-0000-0000115C0000}"/>
    <cellStyle name="Normal 2 2 4 26 5 3" xfId="23570" xr:uid="{00000000-0005-0000-0000-0000125C0000}"/>
    <cellStyle name="Normal 2 2 4 26 5 4" xfId="23571" xr:uid="{00000000-0005-0000-0000-0000135C0000}"/>
    <cellStyle name="Normal 2 2 4 26 5 5" xfId="23572" xr:uid="{00000000-0005-0000-0000-0000145C0000}"/>
    <cellStyle name="Normal 2 2 4 26 5 6" xfId="23573" xr:uid="{00000000-0005-0000-0000-0000155C0000}"/>
    <cellStyle name="Normal 2 2 4 26 5 7" xfId="23574" xr:uid="{00000000-0005-0000-0000-0000165C0000}"/>
    <cellStyle name="Normal 2 2 4 26 5 8" xfId="23575" xr:uid="{00000000-0005-0000-0000-0000175C0000}"/>
    <cellStyle name="Normal 2 2 4 26 5 9" xfId="23576" xr:uid="{00000000-0005-0000-0000-0000185C0000}"/>
    <cellStyle name="Normal 2 2 4 26 6" xfId="23577" xr:uid="{00000000-0005-0000-0000-0000195C0000}"/>
    <cellStyle name="Normal 2 2 4 26 7" xfId="23578" xr:uid="{00000000-0005-0000-0000-00001A5C0000}"/>
    <cellStyle name="Normal 2 2 4 26 8" xfId="23579" xr:uid="{00000000-0005-0000-0000-00001B5C0000}"/>
    <cellStyle name="Normal 2 2 4 26 9" xfId="23580" xr:uid="{00000000-0005-0000-0000-00001C5C0000}"/>
    <cellStyle name="Normal 2 2 4 27" xfId="23581" xr:uid="{00000000-0005-0000-0000-00001D5C0000}"/>
    <cellStyle name="Normal 2 2 4 27 10" xfId="23582" xr:uid="{00000000-0005-0000-0000-00001E5C0000}"/>
    <cellStyle name="Normal 2 2 4 27 11" xfId="23583" xr:uid="{00000000-0005-0000-0000-00001F5C0000}"/>
    <cellStyle name="Normal 2 2 4 27 12" xfId="23584" xr:uid="{00000000-0005-0000-0000-0000205C0000}"/>
    <cellStyle name="Normal 2 2 4 27 13" xfId="23585" xr:uid="{00000000-0005-0000-0000-0000215C0000}"/>
    <cellStyle name="Normal 2 2 4 27 14" xfId="23586" xr:uid="{00000000-0005-0000-0000-0000225C0000}"/>
    <cellStyle name="Normal 2 2 4 27 2" xfId="23587" xr:uid="{00000000-0005-0000-0000-0000235C0000}"/>
    <cellStyle name="Normal 2 2 4 27 2 10" xfId="23588" xr:uid="{00000000-0005-0000-0000-0000245C0000}"/>
    <cellStyle name="Normal 2 2 4 27 2 2" xfId="23589" xr:uid="{00000000-0005-0000-0000-0000255C0000}"/>
    <cellStyle name="Normal 2 2 4 27 2 3" xfId="23590" xr:uid="{00000000-0005-0000-0000-0000265C0000}"/>
    <cellStyle name="Normal 2 2 4 27 2 4" xfId="23591" xr:uid="{00000000-0005-0000-0000-0000275C0000}"/>
    <cellStyle name="Normal 2 2 4 27 2 5" xfId="23592" xr:uid="{00000000-0005-0000-0000-0000285C0000}"/>
    <cellStyle name="Normal 2 2 4 27 2 6" xfId="23593" xr:uid="{00000000-0005-0000-0000-0000295C0000}"/>
    <cellStyle name="Normal 2 2 4 27 2 7" xfId="23594" xr:uid="{00000000-0005-0000-0000-00002A5C0000}"/>
    <cellStyle name="Normal 2 2 4 27 2 8" xfId="23595" xr:uid="{00000000-0005-0000-0000-00002B5C0000}"/>
    <cellStyle name="Normal 2 2 4 27 2 9" xfId="23596" xr:uid="{00000000-0005-0000-0000-00002C5C0000}"/>
    <cellStyle name="Normal 2 2 4 27 3" xfId="23597" xr:uid="{00000000-0005-0000-0000-00002D5C0000}"/>
    <cellStyle name="Normal 2 2 4 27 3 10" xfId="23598" xr:uid="{00000000-0005-0000-0000-00002E5C0000}"/>
    <cellStyle name="Normal 2 2 4 27 3 2" xfId="23599" xr:uid="{00000000-0005-0000-0000-00002F5C0000}"/>
    <cellStyle name="Normal 2 2 4 27 3 3" xfId="23600" xr:uid="{00000000-0005-0000-0000-0000305C0000}"/>
    <cellStyle name="Normal 2 2 4 27 3 4" xfId="23601" xr:uid="{00000000-0005-0000-0000-0000315C0000}"/>
    <cellStyle name="Normal 2 2 4 27 3 5" xfId="23602" xr:uid="{00000000-0005-0000-0000-0000325C0000}"/>
    <cellStyle name="Normal 2 2 4 27 3 6" xfId="23603" xr:uid="{00000000-0005-0000-0000-0000335C0000}"/>
    <cellStyle name="Normal 2 2 4 27 3 7" xfId="23604" xr:uid="{00000000-0005-0000-0000-0000345C0000}"/>
    <cellStyle name="Normal 2 2 4 27 3 8" xfId="23605" xr:uid="{00000000-0005-0000-0000-0000355C0000}"/>
    <cellStyle name="Normal 2 2 4 27 3 9" xfId="23606" xr:uid="{00000000-0005-0000-0000-0000365C0000}"/>
    <cellStyle name="Normal 2 2 4 27 4" xfId="23607" xr:uid="{00000000-0005-0000-0000-0000375C0000}"/>
    <cellStyle name="Normal 2 2 4 27 4 10" xfId="23608" xr:uid="{00000000-0005-0000-0000-0000385C0000}"/>
    <cellStyle name="Normal 2 2 4 27 4 2" xfId="23609" xr:uid="{00000000-0005-0000-0000-0000395C0000}"/>
    <cellStyle name="Normal 2 2 4 27 4 3" xfId="23610" xr:uid="{00000000-0005-0000-0000-00003A5C0000}"/>
    <cellStyle name="Normal 2 2 4 27 4 4" xfId="23611" xr:uid="{00000000-0005-0000-0000-00003B5C0000}"/>
    <cellStyle name="Normal 2 2 4 27 4 5" xfId="23612" xr:uid="{00000000-0005-0000-0000-00003C5C0000}"/>
    <cellStyle name="Normal 2 2 4 27 4 6" xfId="23613" xr:uid="{00000000-0005-0000-0000-00003D5C0000}"/>
    <cellStyle name="Normal 2 2 4 27 4 7" xfId="23614" xr:uid="{00000000-0005-0000-0000-00003E5C0000}"/>
    <cellStyle name="Normal 2 2 4 27 4 8" xfId="23615" xr:uid="{00000000-0005-0000-0000-00003F5C0000}"/>
    <cellStyle name="Normal 2 2 4 27 4 9" xfId="23616" xr:uid="{00000000-0005-0000-0000-0000405C0000}"/>
    <cellStyle name="Normal 2 2 4 27 5" xfId="23617" xr:uid="{00000000-0005-0000-0000-0000415C0000}"/>
    <cellStyle name="Normal 2 2 4 27 5 10" xfId="23618" xr:uid="{00000000-0005-0000-0000-0000425C0000}"/>
    <cellStyle name="Normal 2 2 4 27 5 2" xfId="23619" xr:uid="{00000000-0005-0000-0000-0000435C0000}"/>
    <cellStyle name="Normal 2 2 4 27 5 3" xfId="23620" xr:uid="{00000000-0005-0000-0000-0000445C0000}"/>
    <cellStyle name="Normal 2 2 4 27 5 4" xfId="23621" xr:uid="{00000000-0005-0000-0000-0000455C0000}"/>
    <cellStyle name="Normal 2 2 4 27 5 5" xfId="23622" xr:uid="{00000000-0005-0000-0000-0000465C0000}"/>
    <cellStyle name="Normal 2 2 4 27 5 6" xfId="23623" xr:uid="{00000000-0005-0000-0000-0000475C0000}"/>
    <cellStyle name="Normal 2 2 4 27 5 7" xfId="23624" xr:uid="{00000000-0005-0000-0000-0000485C0000}"/>
    <cellStyle name="Normal 2 2 4 27 5 8" xfId="23625" xr:uid="{00000000-0005-0000-0000-0000495C0000}"/>
    <cellStyle name="Normal 2 2 4 27 5 9" xfId="23626" xr:uid="{00000000-0005-0000-0000-00004A5C0000}"/>
    <cellStyle name="Normal 2 2 4 27 6" xfId="23627" xr:uid="{00000000-0005-0000-0000-00004B5C0000}"/>
    <cellStyle name="Normal 2 2 4 27 7" xfId="23628" xr:uid="{00000000-0005-0000-0000-00004C5C0000}"/>
    <cellStyle name="Normal 2 2 4 27 8" xfId="23629" xr:uid="{00000000-0005-0000-0000-00004D5C0000}"/>
    <cellStyle name="Normal 2 2 4 27 9" xfId="23630" xr:uid="{00000000-0005-0000-0000-00004E5C0000}"/>
    <cellStyle name="Normal 2 2 4 28" xfId="23631" xr:uid="{00000000-0005-0000-0000-00004F5C0000}"/>
    <cellStyle name="Normal 2 2 4 28 10" xfId="23632" xr:uid="{00000000-0005-0000-0000-0000505C0000}"/>
    <cellStyle name="Normal 2 2 4 28 11" xfId="23633" xr:uid="{00000000-0005-0000-0000-0000515C0000}"/>
    <cellStyle name="Normal 2 2 4 28 12" xfId="23634" xr:uid="{00000000-0005-0000-0000-0000525C0000}"/>
    <cellStyle name="Normal 2 2 4 28 13" xfId="23635" xr:uid="{00000000-0005-0000-0000-0000535C0000}"/>
    <cellStyle name="Normal 2 2 4 28 14" xfId="23636" xr:uid="{00000000-0005-0000-0000-0000545C0000}"/>
    <cellStyle name="Normal 2 2 4 28 2" xfId="23637" xr:uid="{00000000-0005-0000-0000-0000555C0000}"/>
    <cellStyle name="Normal 2 2 4 28 2 10" xfId="23638" xr:uid="{00000000-0005-0000-0000-0000565C0000}"/>
    <cellStyle name="Normal 2 2 4 28 2 2" xfId="23639" xr:uid="{00000000-0005-0000-0000-0000575C0000}"/>
    <cellStyle name="Normal 2 2 4 28 2 3" xfId="23640" xr:uid="{00000000-0005-0000-0000-0000585C0000}"/>
    <cellStyle name="Normal 2 2 4 28 2 4" xfId="23641" xr:uid="{00000000-0005-0000-0000-0000595C0000}"/>
    <cellStyle name="Normal 2 2 4 28 2 5" xfId="23642" xr:uid="{00000000-0005-0000-0000-00005A5C0000}"/>
    <cellStyle name="Normal 2 2 4 28 2 6" xfId="23643" xr:uid="{00000000-0005-0000-0000-00005B5C0000}"/>
    <cellStyle name="Normal 2 2 4 28 2 7" xfId="23644" xr:uid="{00000000-0005-0000-0000-00005C5C0000}"/>
    <cellStyle name="Normal 2 2 4 28 2 8" xfId="23645" xr:uid="{00000000-0005-0000-0000-00005D5C0000}"/>
    <cellStyle name="Normal 2 2 4 28 2 9" xfId="23646" xr:uid="{00000000-0005-0000-0000-00005E5C0000}"/>
    <cellStyle name="Normal 2 2 4 28 3" xfId="23647" xr:uid="{00000000-0005-0000-0000-00005F5C0000}"/>
    <cellStyle name="Normal 2 2 4 28 3 10" xfId="23648" xr:uid="{00000000-0005-0000-0000-0000605C0000}"/>
    <cellStyle name="Normal 2 2 4 28 3 2" xfId="23649" xr:uid="{00000000-0005-0000-0000-0000615C0000}"/>
    <cellStyle name="Normal 2 2 4 28 3 3" xfId="23650" xr:uid="{00000000-0005-0000-0000-0000625C0000}"/>
    <cellStyle name="Normal 2 2 4 28 3 4" xfId="23651" xr:uid="{00000000-0005-0000-0000-0000635C0000}"/>
    <cellStyle name="Normal 2 2 4 28 3 5" xfId="23652" xr:uid="{00000000-0005-0000-0000-0000645C0000}"/>
    <cellStyle name="Normal 2 2 4 28 3 6" xfId="23653" xr:uid="{00000000-0005-0000-0000-0000655C0000}"/>
    <cellStyle name="Normal 2 2 4 28 3 7" xfId="23654" xr:uid="{00000000-0005-0000-0000-0000665C0000}"/>
    <cellStyle name="Normal 2 2 4 28 3 8" xfId="23655" xr:uid="{00000000-0005-0000-0000-0000675C0000}"/>
    <cellStyle name="Normal 2 2 4 28 3 9" xfId="23656" xr:uid="{00000000-0005-0000-0000-0000685C0000}"/>
    <cellStyle name="Normal 2 2 4 28 4" xfId="23657" xr:uid="{00000000-0005-0000-0000-0000695C0000}"/>
    <cellStyle name="Normal 2 2 4 28 4 10" xfId="23658" xr:uid="{00000000-0005-0000-0000-00006A5C0000}"/>
    <cellStyle name="Normal 2 2 4 28 4 2" xfId="23659" xr:uid="{00000000-0005-0000-0000-00006B5C0000}"/>
    <cellStyle name="Normal 2 2 4 28 4 3" xfId="23660" xr:uid="{00000000-0005-0000-0000-00006C5C0000}"/>
    <cellStyle name="Normal 2 2 4 28 4 4" xfId="23661" xr:uid="{00000000-0005-0000-0000-00006D5C0000}"/>
    <cellStyle name="Normal 2 2 4 28 4 5" xfId="23662" xr:uid="{00000000-0005-0000-0000-00006E5C0000}"/>
    <cellStyle name="Normal 2 2 4 28 4 6" xfId="23663" xr:uid="{00000000-0005-0000-0000-00006F5C0000}"/>
    <cellStyle name="Normal 2 2 4 28 4 7" xfId="23664" xr:uid="{00000000-0005-0000-0000-0000705C0000}"/>
    <cellStyle name="Normal 2 2 4 28 4 8" xfId="23665" xr:uid="{00000000-0005-0000-0000-0000715C0000}"/>
    <cellStyle name="Normal 2 2 4 28 4 9" xfId="23666" xr:uid="{00000000-0005-0000-0000-0000725C0000}"/>
    <cellStyle name="Normal 2 2 4 28 5" xfId="23667" xr:uid="{00000000-0005-0000-0000-0000735C0000}"/>
    <cellStyle name="Normal 2 2 4 28 5 10" xfId="23668" xr:uid="{00000000-0005-0000-0000-0000745C0000}"/>
    <cellStyle name="Normal 2 2 4 28 5 2" xfId="23669" xr:uid="{00000000-0005-0000-0000-0000755C0000}"/>
    <cellStyle name="Normal 2 2 4 28 5 3" xfId="23670" xr:uid="{00000000-0005-0000-0000-0000765C0000}"/>
    <cellStyle name="Normal 2 2 4 28 5 4" xfId="23671" xr:uid="{00000000-0005-0000-0000-0000775C0000}"/>
    <cellStyle name="Normal 2 2 4 28 5 5" xfId="23672" xr:uid="{00000000-0005-0000-0000-0000785C0000}"/>
    <cellStyle name="Normal 2 2 4 28 5 6" xfId="23673" xr:uid="{00000000-0005-0000-0000-0000795C0000}"/>
    <cellStyle name="Normal 2 2 4 28 5 7" xfId="23674" xr:uid="{00000000-0005-0000-0000-00007A5C0000}"/>
    <cellStyle name="Normal 2 2 4 28 5 8" xfId="23675" xr:uid="{00000000-0005-0000-0000-00007B5C0000}"/>
    <cellStyle name="Normal 2 2 4 28 5 9" xfId="23676" xr:uid="{00000000-0005-0000-0000-00007C5C0000}"/>
    <cellStyle name="Normal 2 2 4 28 6" xfId="23677" xr:uid="{00000000-0005-0000-0000-00007D5C0000}"/>
    <cellStyle name="Normal 2 2 4 28 7" xfId="23678" xr:uid="{00000000-0005-0000-0000-00007E5C0000}"/>
    <cellStyle name="Normal 2 2 4 28 8" xfId="23679" xr:uid="{00000000-0005-0000-0000-00007F5C0000}"/>
    <cellStyle name="Normal 2 2 4 28 9" xfId="23680" xr:uid="{00000000-0005-0000-0000-0000805C0000}"/>
    <cellStyle name="Normal 2 2 4 29" xfId="23681" xr:uid="{00000000-0005-0000-0000-0000815C0000}"/>
    <cellStyle name="Normal 2 2 4 29 10" xfId="23682" xr:uid="{00000000-0005-0000-0000-0000825C0000}"/>
    <cellStyle name="Normal 2 2 4 29 11" xfId="23683" xr:uid="{00000000-0005-0000-0000-0000835C0000}"/>
    <cellStyle name="Normal 2 2 4 29 12" xfId="23684" xr:uid="{00000000-0005-0000-0000-0000845C0000}"/>
    <cellStyle name="Normal 2 2 4 29 13" xfId="23685" xr:uid="{00000000-0005-0000-0000-0000855C0000}"/>
    <cellStyle name="Normal 2 2 4 29 14" xfId="23686" xr:uid="{00000000-0005-0000-0000-0000865C0000}"/>
    <cellStyle name="Normal 2 2 4 29 2" xfId="23687" xr:uid="{00000000-0005-0000-0000-0000875C0000}"/>
    <cellStyle name="Normal 2 2 4 29 2 10" xfId="23688" xr:uid="{00000000-0005-0000-0000-0000885C0000}"/>
    <cellStyle name="Normal 2 2 4 29 2 2" xfId="23689" xr:uid="{00000000-0005-0000-0000-0000895C0000}"/>
    <cellStyle name="Normal 2 2 4 29 2 3" xfId="23690" xr:uid="{00000000-0005-0000-0000-00008A5C0000}"/>
    <cellStyle name="Normal 2 2 4 29 2 4" xfId="23691" xr:uid="{00000000-0005-0000-0000-00008B5C0000}"/>
    <cellStyle name="Normal 2 2 4 29 2 5" xfId="23692" xr:uid="{00000000-0005-0000-0000-00008C5C0000}"/>
    <cellStyle name="Normal 2 2 4 29 2 6" xfId="23693" xr:uid="{00000000-0005-0000-0000-00008D5C0000}"/>
    <cellStyle name="Normal 2 2 4 29 2 7" xfId="23694" xr:uid="{00000000-0005-0000-0000-00008E5C0000}"/>
    <cellStyle name="Normal 2 2 4 29 2 8" xfId="23695" xr:uid="{00000000-0005-0000-0000-00008F5C0000}"/>
    <cellStyle name="Normal 2 2 4 29 2 9" xfId="23696" xr:uid="{00000000-0005-0000-0000-0000905C0000}"/>
    <cellStyle name="Normal 2 2 4 29 3" xfId="23697" xr:uid="{00000000-0005-0000-0000-0000915C0000}"/>
    <cellStyle name="Normal 2 2 4 29 3 10" xfId="23698" xr:uid="{00000000-0005-0000-0000-0000925C0000}"/>
    <cellStyle name="Normal 2 2 4 29 3 2" xfId="23699" xr:uid="{00000000-0005-0000-0000-0000935C0000}"/>
    <cellStyle name="Normal 2 2 4 29 3 3" xfId="23700" xr:uid="{00000000-0005-0000-0000-0000945C0000}"/>
    <cellStyle name="Normal 2 2 4 29 3 4" xfId="23701" xr:uid="{00000000-0005-0000-0000-0000955C0000}"/>
    <cellStyle name="Normal 2 2 4 29 3 5" xfId="23702" xr:uid="{00000000-0005-0000-0000-0000965C0000}"/>
    <cellStyle name="Normal 2 2 4 29 3 6" xfId="23703" xr:uid="{00000000-0005-0000-0000-0000975C0000}"/>
    <cellStyle name="Normal 2 2 4 29 3 7" xfId="23704" xr:uid="{00000000-0005-0000-0000-0000985C0000}"/>
    <cellStyle name="Normal 2 2 4 29 3 8" xfId="23705" xr:uid="{00000000-0005-0000-0000-0000995C0000}"/>
    <cellStyle name="Normal 2 2 4 29 3 9" xfId="23706" xr:uid="{00000000-0005-0000-0000-00009A5C0000}"/>
    <cellStyle name="Normal 2 2 4 29 4" xfId="23707" xr:uid="{00000000-0005-0000-0000-00009B5C0000}"/>
    <cellStyle name="Normal 2 2 4 29 4 10" xfId="23708" xr:uid="{00000000-0005-0000-0000-00009C5C0000}"/>
    <cellStyle name="Normal 2 2 4 29 4 2" xfId="23709" xr:uid="{00000000-0005-0000-0000-00009D5C0000}"/>
    <cellStyle name="Normal 2 2 4 29 4 3" xfId="23710" xr:uid="{00000000-0005-0000-0000-00009E5C0000}"/>
    <cellStyle name="Normal 2 2 4 29 4 4" xfId="23711" xr:uid="{00000000-0005-0000-0000-00009F5C0000}"/>
    <cellStyle name="Normal 2 2 4 29 4 5" xfId="23712" xr:uid="{00000000-0005-0000-0000-0000A05C0000}"/>
    <cellStyle name="Normal 2 2 4 29 4 6" xfId="23713" xr:uid="{00000000-0005-0000-0000-0000A15C0000}"/>
    <cellStyle name="Normal 2 2 4 29 4 7" xfId="23714" xr:uid="{00000000-0005-0000-0000-0000A25C0000}"/>
    <cellStyle name="Normal 2 2 4 29 4 8" xfId="23715" xr:uid="{00000000-0005-0000-0000-0000A35C0000}"/>
    <cellStyle name="Normal 2 2 4 29 4 9" xfId="23716" xr:uid="{00000000-0005-0000-0000-0000A45C0000}"/>
    <cellStyle name="Normal 2 2 4 29 5" xfId="23717" xr:uid="{00000000-0005-0000-0000-0000A55C0000}"/>
    <cellStyle name="Normal 2 2 4 29 5 10" xfId="23718" xr:uid="{00000000-0005-0000-0000-0000A65C0000}"/>
    <cellStyle name="Normal 2 2 4 29 5 2" xfId="23719" xr:uid="{00000000-0005-0000-0000-0000A75C0000}"/>
    <cellStyle name="Normal 2 2 4 29 5 3" xfId="23720" xr:uid="{00000000-0005-0000-0000-0000A85C0000}"/>
    <cellStyle name="Normal 2 2 4 29 5 4" xfId="23721" xr:uid="{00000000-0005-0000-0000-0000A95C0000}"/>
    <cellStyle name="Normal 2 2 4 29 5 5" xfId="23722" xr:uid="{00000000-0005-0000-0000-0000AA5C0000}"/>
    <cellStyle name="Normal 2 2 4 29 5 6" xfId="23723" xr:uid="{00000000-0005-0000-0000-0000AB5C0000}"/>
    <cellStyle name="Normal 2 2 4 29 5 7" xfId="23724" xr:uid="{00000000-0005-0000-0000-0000AC5C0000}"/>
    <cellStyle name="Normal 2 2 4 29 5 8" xfId="23725" xr:uid="{00000000-0005-0000-0000-0000AD5C0000}"/>
    <cellStyle name="Normal 2 2 4 29 5 9" xfId="23726" xr:uid="{00000000-0005-0000-0000-0000AE5C0000}"/>
    <cellStyle name="Normal 2 2 4 29 6" xfId="23727" xr:uid="{00000000-0005-0000-0000-0000AF5C0000}"/>
    <cellStyle name="Normal 2 2 4 29 7" xfId="23728" xr:uid="{00000000-0005-0000-0000-0000B05C0000}"/>
    <cellStyle name="Normal 2 2 4 29 8" xfId="23729" xr:uid="{00000000-0005-0000-0000-0000B15C0000}"/>
    <cellStyle name="Normal 2 2 4 29 9" xfId="23730" xr:uid="{00000000-0005-0000-0000-0000B25C0000}"/>
    <cellStyle name="Normal 2 2 4 3" xfId="23731" xr:uid="{00000000-0005-0000-0000-0000B35C0000}"/>
    <cellStyle name="Normal 2 2 4 3 10" xfId="23732" xr:uid="{00000000-0005-0000-0000-0000B45C0000}"/>
    <cellStyle name="Normal 2 2 4 3 11" xfId="23733" xr:uid="{00000000-0005-0000-0000-0000B55C0000}"/>
    <cellStyle name="Normal 2 2 4 3 12" xfId="23734" xr:uid="{00000000-0005-0000-0000-0000B65C0000}"/>
    <cellStyle name="Normal 2 2 4 3 13" xfId="23735" xr:uid="{00000000-0005-0000-0000-0000B75C0000}"/>
    <cellStyle name="Normal 2 2 4 3 14" xfId="23736" xr:uid="{00000000-0005-0000-0000-0000B85C0000}"/>
    <cellStyle name="Normal 2 2 4 3 2" xfId="23737" xr:uid="{00000000-0005-0000-0000-0000B95C0000}"/>
    <cellStyle name="Normal 2 2 4 3 2 10" xfId="23738" xr:uid="{00000000-0005-0000-0000-0000BA5C0000}"/>
    <cellStyle name="Normal 2 2 4 3 2 2" xfId="23739" xr:uid="{00000000-0005-0000-0000-0000BB5C0000}"/>
    <cellStyle name="Normal 2 2 4 3 2 3" xfId="23740" xr:uid="{00000000-0005-0000-0000-0000BC5C0000}"/>
    <cellStyle name="Normal 2 2 4 3 2 4" xfId="23741" xr:uid="{00000000-0005-0000-0000-0000BD5C0000}"/>
    <cellStyle name="Normal 2 2 4 3 2 5" xfId="23742" xr:uid="{00000000-0005-0000-0000-0000BE5C0000}"/>
    <cellStyle name="Normal 2 2 4 3 2 6" xfId="23743" xr:uid="{00000000-0005-0000-0000-0000BF5C0000}"/>
    <cellStyle name="Normal 2 2 4 3 2 7" xfId="23744" xr:uid="{00000000-0005-0000-0000-0000C05C0000}"/>
    <cellStyle name="Normal 2 2 4 3 2 8" xfId="23745" xr:uid="{00000000-0005-0000-0000-0000C15C0000}"/>
    <cellStyle name="Normal 2 2 4 3 2 9" xfId="23746" xr:uid="{00000000-0005-0000-0000-0000C25C0000}"/>
    <cellStyle name="Normal 2 2 4 3 3" xfId="23747" xr:uid="{00000000-0005-0000-0000-0000C35C0000}"/>
    <cellStyle name="Normal 2 2 4 3 3 10" xfId="23748" xr:uid="{00000000-0005-0000-0000-0000C45C0000}"/>
    <cellStyle name="Normal 2 2 4 3 3 2" xfId="23749" xr:uid="{00000000-0005-0000-0000-0000C55C0000}"/>
    <cellStyle name="Normal 2 2 4 3 3 3" xfId="23750" xr:uid="{00000000-0005-0000-0000-0000C65C0000}"/>
    <cellStyle name="Normal 2 2 4 3 3 4" xfId="23751" xr:uid="{00000000-0005-0000-0000-0000C75C0000}"/>
    <cellStyle name="Normal 2 2 4 3 3 5" xfId="23752" xr:uid="{00000000-0005-0000-0000-0000C85C0000}"/>
    <cellStyle name="Normal 2 2 4 3 3 6" xfId="23753" xr:uid="{00000000-0005-0000-0000-0000C95C0000}"/>
    <cellStyle name="Normal 2 2 4 3 3 7" xfId="23754" xr:uid="{00000000-0005-0000-0000-0000CA5C0000}"/>
    <cellStyle name="Normal 2 2 4 3 3 8" xfId="23755" xr:uid="{00000000-0005-0000-0000-0000CB5C0000}"/>
    <cellStyle name="Normal 2 2 4 3 3 9" xfId="23756" xr:uid="{00000000-0005-0000-0000-0000CC5C0000}"/>
    <cellStyle name="Normal 2 2 4 3 4" xfId="23757" xr:uid="{00000000-0005-0000-0000-0000CD5C0000}"/>
    <cellStyle name="Normal 2 2 4 3 4 10" xfId="23758" xr:uid="{00000000-0005-0000-0000-0000CE5C0000}"/>
    <cellStyle name="Normal 2 2 4 3 4 2" xfId="23759" xr:uid="{00000000-0005-0000-0000-0000CF5C0000}"/>
    <cellStyle name="Normal 2 2 4 3 4 3" xfId="23760" xr:uid="{00000000-0005-0000-0000-0000D05C0000}"/>
    <cellStyle name="Normal 2 2 4 3 4 4" xfId="23761" xr:uid="{00000000-0005-0000-0000-0000D15C0000}"/>
    <cellStyle name="Normal 2 2 4 3 4 5" xfId="23762" xr:uid="{00000000-0005-0000-0000-0000D25C0000}"/>
    <cellStyle name="Normal 2 2 4 3 4 6" xfId="23763" xr:uid="{00000000-0005-0000-0000-0000D35C0000}"/>
    <cellStyle name="Normal 2 2 4 3 4 7" xfId="23764" xr:uid="{00000000-0005-0000-0000-0000D45C0000}"/>
    <cellStyle name="Normal 2 2 4 3 4 8" xfId="23765" xr:uid="{00000000-0005-0000-0000-0000D55C0000}"/>
    <cellStyle name="Normal 2 2 4 3 4 9" xfId="23766" xr:uid="{00000000-0005-0000-0000-0000D65C0000}"/>
    <cellStyle name="Normal 2 2 4 3 5" xfId="23767" xr:uid="{00000000-0005-0000-0000-0000D75C0000}"/>
    <cellStyle name="Normal 2 2 4 3 5 10" xfId="23768" xr:uid="{00000000-0005-0000-0000-0000D85C0000}"/>
    <cellStyle name="Normal 2 2 4 3 5 2" xfId="23769" xr:uid="{00000000-0005-0000-0000-0000D95C0000}"/>
    <cellStyle name="Normal 2 2 4 3 5 3" xfId="23770" xr:uid="{00000000-0005-0000-0000-0000DA5C0000}"/>
    <cellStyle name="Normal 2 2 4 3 5 4" xfId="23771" xr:uid="{00000000-0005-0000-0000-0000DB5C0000}"/>
    <cellStyle name="Normal 2 2 4 3 5 5" xfId="23772" xr:uid="{00000000-0005-0000-0000-0000DC5C0000}"/>
    <cellStyle name="Normal 2 2 4 3 5 6" xfId="23773" xr:uid="{00000000-0005-0000-0000-0000DD5C0000}"/>
    <cellStyle name="Normal 2 2 4 3 5 7" xfId="23774" xr:uid="{00000000-0005-0000-0000-0000DE5C0000}"/>
    <cellStyle name="Normal 2 2 4 3 5 8" xfId="23775" xr:uid="{00000000-0005-0000-0000-0000DF5C0000}"/>
    <cellStyle name="Normal 2 2 4 3 5 9" xfId="23776" xr:uid="{00000000-0005-0000-0000-0000E05C0000}"/>
    <cellStyle name="Normal 2 2 4 3 6" xfId="23777" xr:uid="{00000000-0005-0000-0000-0000E15C0000}"/>
    <cellStyle name="Normal 2 2 4 3 7" xfId="23778" xr:uid="{00000000-0005-0000-0000-0000E25C0000}"/>
    <cellStyle name="Normal 2 2 4 3 8" xfId="23779" xr:uid="{00000000-0005-0000-0000-0000E35C0000}"/>
    <cellStyle name="Normal 2 2 4 3 9" xfId="23780" xr:uid="{00000000-0005-0000-0000-0000E45C0000}"/>
    <cellStyle name="Normal 2 2 4 30" xfId="23781" xr:uid="{00000000-0005-0000-0000-0000E55C0000}"/>
    <cellStyle name="Normal 2 2 4 30 10" xfId="23782" xr:uid="{00000000-0005-0000-0000-0000E65C0000}"/>
    <cellStyle name="Normal 2 2 4 30 11" xfId="23783" xr:uid="{00000000-0005-0000-0000-0000E75C0000}"/>
    <cellStyle name="Normal 2 2 4 30 12" xfId="23784" xr:uid="{00000000-0005-0000-0000-0000E85C0000}"/>
    <cellStyle name="Normal 2 2 4 30 13" xfId="23785" xr:uid="{00000000-0005-0000-0000-0000E95C0000}"/>
    <cellStyle name="Normal 2 2 4 30 14" xfId="23786" xr:uid="{00000000-0005-0000-0000-0000EA5C0000}"/>
    <cellStyle name="Normal 2 2 4 30 2" xfId="23787" xr:uid="{00000000-0005-0000-0000-0000EB5C0000}"/>
    <cellStyle name="Normal 2 2 4 30 2 10" xfId="23788" xr:uid="{00000000-0005-0000-0000-0000EC5C0000}"/>
    <cellStyle name="Normal 2 2 4 30 2 2" xfId="23789" xr:uid="{00000000-0005-0000-0000-0000ED5C0000}"/>
    <cellStyle name="Normal 2 2 4 30 2 3" xfId="23790" xr:uid="{00000000-0005-0000-0000-0000EE5C0000}"/>
    <cellStyle name="Normal 2 2 4 30 2 4" xfId="23791" xr:uid="{00000000-0005-0000-0000-0000EF5C0000}"/>
    <cellStyle name="Normal 2 2 4 30 2 5" xfId="23792" xr:uid="{00000000-0005-0000-0000-0000F05C0000}"/>
    <cellStyle name="Normal 2 2 4 30 2 6" xfId="23793" xr:uid="{00000000-0005-0000-0000-0000F15C0000}"/>
    <cellStyle name="Normal 2 2 4 30 2 7" xfId="23794" xr:uid="{00000000-0005-0000-0000-0000F25C0000}"/>
    <cellStyle name="Normal 2 2 4 30 2 8" xfId="23795" xr:uid="{00000000-0005-0000-0000-0000F35C0000}"/>
    <cellStyle name="Normal 2 2 4 30 2 9" xfId="23796" xr:uid="{00000000-0005-0000-0000-0000F45C0000}"/>
    <cellStyle name="Normal 2 2 4 30 3" xfId="23797" xr:uid="{00000000-0005-0000-0000-0000F55C0000}"/>
    <cellStyle name="Normal 2 2 4 30 3 10" xfId="23798" xr:uid="{00000000-0005-0000-0000-0000F65C0000}"/>
    <cellStyle name="Normal 2 2 4 30 3 2" xfId="23799" xr:uid="{00000000-0005-0000-0000-0000F75C0000}"/>
    <cellStyle name="Normal 2 2 4 30 3 3" xfId="23800" xr:uid="{00000000-0005-0000-0000-0000F85C0000}"/>
    <cellStyle name="Normal 2 2 4 30 3 4" xfId="23801" xr:uid="{00000000-0005-0000-0000-0000F95C0000}"/>
    <cellStyle name="Normal 2 2 4 30 3 5" xfId="23802" xr:uid="{00000000-0005-0000-0000-0000FA5C0000}"/>
    <cellStyle name="Normal 2 2 4 30 3 6" xfId="23803" xr:uid="{00000000-0005-0000-0000-0000FB5C0000}"/>
    <cellStyle name="Normal 2 2 4 30 3 7" xfId="23804" xr:uid="{00000000-0005-0000-0000-0000FC5C0000}"/>
    <cellStyle name="Normal 2 2 4 30 3 8" xfId="23805" xr:uid="{00000000-0005-0000-0000-0000FD5C0000}"/>
    <cellStyle name="Normal 2 2 4 30 3 9" xfId="23806" xr:uid="{00000000-0005-0000-0000-0000FE5C0000}"/>
    <cellStyle name="Normal 2 2 4 30 4" xfId="23807" xr:uid="{00000000-0005-0000-0000-0000FF5C0000}"/>
    <cellStyle name="Normal 2 2 4 30 4 10" xfId="23808" xr:uid="{00000000-0005-0000-0000-0000005D0000}"/>
    <cellStyle name="Normal 2 2 4 30 4 2" xfId="23809" xr:uid="{00000000-0005-0000-0000-0000015D0000}"/>
    <cellStyle name="Normal 2 2 4 30 4 3" xfId="23810" xr:uid="{00000000-0005-0000-0000-0000025D0000}"/>
    <cellStyle name="Normal 2 2 4 30 4 4" xfId="23811" xr:uid="{00000000-0005-0000-0000-0000035D0000}"/>
    <cellStyle name="Normal 2 2 4 30 4 5" xfId="23812" xr:uid="{00000000-0005-0000-0000-0000045D0000}"/>
    <cellStyle name="Normal 2 2 4 30 4 6" xfId="23813" xr:uid="{00000000-0005-0000-0000-0000055D0000}"/>
    <cellStyle name="Normal 2 2 4 30 4 7" xfId="23814" xr:uid="{00000000-0005-0000-0000-0000065D0000}"/>
    <cellStyle name="Normal 2 2 4 30 4 8" xfId="23815" xr:uid="{00000000-0005-0000-0000-0000075D0000}"/>
    <cellStyle name="Normal 2 2 4 30 4 9" xfId="23816" xr:uid="{00000000-0005-0000-0000-0000085D0000}"/>
    <cellStyle name="Normal 2 2 4 30 5" xfId="23817" xr:uid="{00000000-0005-0000-0000-0000095D0000}"/>
    <cellStyle name="Normal 2 2 4 30 5 10" xfId="23818" xr:uid="{00000000-0005-0000-0000-00000A5D0000}"/>
    <cellStyle name="Normal 2 2 4 30 5 2" xfId="23819" xr:uid="{00000000-0005-0000-0000-00000B5D0000}"/>
    <cellStyle name="Normal 2 2 4 30 5 3" xfId="23820" xr:uid="{00000000-0005-0000-0000-00000C5D0000}"/>
    <cellStyle name="Normal 2 2 4 30 5 4" xfId="23821" xr:uid="{00000000-0005-0000-0000-00000D5D0000}"/>
    <cellStyle name="Normal 2 2 4 30 5 5" xfId="23822" xr:uid="{00000000-0005-0000-0000-00000E5D0000}"/>
    <cellStyle name="Normal 2 2 4 30 5 6" xfId="23823" xr:uid="{00000000-0005-0000-0000-00000F5D0000}"/>
    <cellStyle name="Normal 2 2 4 30 5 7" xfId="23824" xr:uid="{00000000-0005-0000-0000-0000105D0000}"/>
    <cellStyle name="Normal 2 2 4 30 5 8" xfId="23825" xr:uid="{00000000-0005-0000-0000-0000115D0000}"/>
    <cellStyle name="Normal 2 2 4 30 5 9" xfId="23826" xr:uid="{00000000-0005-0000-0000-0000125D0000}"/>
    <cellStyle name="Normal 2 2 4 30 6" xfId="23827" xr:uid="{00000000-0005-0000-0000-0000135D0000}"/>
    <cellStyle name="Normal 2 2 4 30 7" xfId="23828" xr:uid="{00000000-0005-0000-0000-0000145D0000}"/>
    <cellStyle name="Normal 2 2 4 30 8" xfId="23829" xr:uid="{00000000-0005-0000-0000-0000155D0000}"/>
    <cellStyle name="Normal 2 2 4 30 9" xfId="23830" xr:uid="{00000000-0005-0000-0000-0000165D0000}"/>
    <cellStyle name="Normal 2 2 4 31" xfId="23831" xr:uid="{00000000-0005-0000-0000-0000175D0000}"/>
    <cellStyle name="Normal 2 2 4 31 10" xfId="23832" xr:uid="{00000000-0005-0000-0000-0000185D0000}"/>
    <cellStyle name="Normal 2 2 4 31 11" xfId="23833" xr:uid="{00000000-0005-0000-0000-0000195D0000}"/>
    <cellStyle name="Normal 2 2 4 31 12" xfId="23834" xr:uid="{00000000-0005-0000-0000-00001A5D0000}"/>
    <cellStyle name="Normal 2 2 4 31 13" xfId="23835" xr:uid="{00000000-0005-0000-0000-00001B5D0000}"/>
    <cellStyle name="Normal 2 2 4 31 14" xfId="23836" xr:uid="{00000000-0005-0000-0000-00001C5D0000}"/>
    <cellStyle name="Normal 2 2 4 31 2" xfId="23837" xr:uid="{00000000-0005-0000-0000-00001D5D0000}"/>
    <cellStyle name="Normal 2 2 4 31 2 10" xfId="23838" xr:uid="{00000000-0005-0000-0000-00001E5D0000}"/>
    <cellStyle name="Normal 2 2 4 31 2 2" xfId="23839" xr:uid="{00000000-0005-0000-0000-00001F5D0000}"/>
    <cellStyle name="Normal 2 2 4 31 2 3" xfId="23840" xr:uid="{00000000-0005-0000-0000-0000205D0000}"/>
    <cellStyle name="Normal 2 2 4 31 2 4" xfId="23841" xr:uid="{00000000-0005-0000-0000-0000215D0000}"/>
    <cellStyle name="Normal 2 2 4 31 2 5" xfId="23842" xr:uid="{00000000-0005-0000-0000-0000225D0000}"/>
    <cellStyle name="Normal 2 2 4 31 2 6" xfId="23843" xr:uid="{00000000-0005-0000-0000-0000235D0000}"/>
    <cellStyle name="Normal 2 2 4 31 2 7" xfId="23844" xr:uid="{00000000-0005-0000-0000-0000245D0000}"/>
    <cellStyle name="Normal 2 2 4 31 2 8" xfId="23845" xr:uid="{00000000-0005-0000-0000-0000255D0000}"/>
    <cellStyle name="Normal 2 2 4 31 2 9" xfId="23846" xr:uid="{00000000-0005-0000-0000-0000265D0000}"/>
    <cellStyle name="Normal 2 2 4 31 3" xfId="23847" xr:uid="{00000000-0005-0000-0000-0000275D0000}"/>
    <cellStyle name="Normal 2 2 4 31 3 10" xfId="23848" xr:uid="{00000000-0005-0000-0000-0000285D0000}"/>
    <cellStyle name="Normal 2 2 4 31 3 2" xfId="23849" xr:uid="{00000000-0005-0000-0000-0000295D0000}"/>
    <cellStyle name="Normal 2 2 4 31 3 3" xfId="23850" xr:uid="{00000000-0005-0000-0000-00002A5D0000}"/>
    <cellStyle name="Normal 2 2 4 31 3 4" xfId="23851" xr:uid="{00000000-0005-0000-0000-00002B5D0000}"/>
    <cellStyle name="Normal 2 2 4 31 3 5" xfId="23852" xr:uid="{00000000-0005-0000-0000-00002C5D0000}"/>
    <cellStyle name="Normal 2 2 4 31 3 6" xfId="23853" xr:uid="{00000000-0005-0000-0000-00002D5D0000}"/>
    <cellStyle name="Normal 2 2 4 31 3 7" xfId="23854" xr:uid="{00000000-0005-0000-0000-00002E5D0000}"/>
    <cellStyle name="Normal 2 2 4 31 3 8" xfId="23855" xr:uid="{00000000-0005-0000-0000-00002F5D0000}"/>
    <cellStyle name="Normal 2 2 4 31 3 9" xfId="23856" xr:uid="{00000000-0005-0000-0000-0000305D0000}"/>
    <cellStyle name="Normal 2 2 4 31 4" xfId="23857" xr:uid="{00000000-0005-0000-0000-0000315D0000}"/>
    <cellStyle name="Normal 2 2 4 31 4 10" xfId="23858" xr:uid="{00000000-0005-0000-0000-0000325D0000}"/>
    <cellStyle name="Normal 2 2 4 31 4 2" xfId="23859" xr:uid="{00000000-0005-0000-0000-0000335D0000}"/>
    <cellStyle name="Normal 2 2 4 31 4 3" xfId="23860" xr:uid="{00000000-0005-0000-0000-0000345D0000}"/>
    <cellStyle name="Normal 2 2 4 31 4 4" xfId="23861" xr:uid="{00000000-0005-0000-0000-0000355D0000}"/>
    <cellStyle name="Normal 2 2 4 31 4 5" xfId="23862" xr:uid="{00000000-0005-0000-0000-0000365D0000}"/>
    <cellStyle name="Normal 2 2 4 31 4 6" xfId="23863" xr:uid="{00000000-0005-0000-0000-0000375D0000}"/>
    <cellStyle name="Normal 2 2 4 31 4 7" xfId="23864" xr:uid="{00000000-0005-0000-0000-0000385D0000}"/>
    <cellStyle name="Normal 2 2 4 31 4 8" xfId="23865" xr:uid="{00000000-0005-0000-0000-0000395D0000}"/>
    <cellStyle name="Normal 2 2 4 31 4 9" xfId="23866" xr:uid="{00000000-0005-0000-0000-00003A5D0000}"/>
    <cellStyle name="Normal 2 2 4 31 5" xfId="23867" xr:uid="{00000000-0005-0000-0000-00003B5D0000}"/>
    <cellStyle name="Normal 2 2 4 31 5 10" xfId="23868" xr:uid="{00000000-0005-0000-0000-00003C5D0000}"/>
    <cellStyle name="Normal 2 2 4 31 5 2" xfId="23869" xr:uid="{00000000-0005-0000-0000-00003D5D0000}"/>
    <cellStyle name="Normal 2 2 4 31 5 3" xfId="23870" xr:uid="{00000000-0005-0000-0000-00003E5D0000}"/>
    <cellStyle name="Normal 2 2 4 31 5 4" xfId="23871" xr:uid="{00000000-0005-0000-0000-00003F5D0000}"/>
    <cellStyle name="Normal 2 2 4 31 5 5" xfId="23872" xr:uid="{00000000-0005-0000-0000-0000405D0000}"/>
    <cellStyle name="Normal 2 2 4 31 5 6" xfId="23873" xr:uid="{00000000-0005-0000-0000-0000415D0000}"/>
    <cellStyle name="Normal 2 2 4 31 5 7" xfId="23874" xr:uid="{00000000-0005-0000-0000-0000425D0000}"/>
    <cellStyle name="Normal 2 2 4 31 5 8" xfId="23875" xr:uid="{00000000-0005-0000-0000-0000435D0000}"/>
    <cellStyle name="Normal 2 2 4 31 5 9" xfId="23876" xr:uid="{00000000-0005-0000-0000-0000445D0000}"/>
    <cellStyle name="Normal 2 2 4 31 6" xfId="23877" xr:uid="{00000000-0005-0000-0000-0000455D0000}"/>
    <cellStyle name="Normal 2 2 4 31 7" xfId="23878" xr:uid="{00000000-0005-0000-0000-0000465D0000}"/>
    <cellStyle name="Normal 2 2 4 31 8" xfId="23879" xr:uid="{00000000-0005-0000-0000-0000475D0000}"/>
    <cellStyle name="Normal 2 2 4 31 9" xfId="23880" xr:uid="{00000000-0005-0000-0000-0000485D0000}"/>
    <cellStyle name="Normal 2 2 4 32" xfId="23881" xr:uid="{00000000-0005-0000-0000-0000495D0000}"/>
    <cellStyle name="Normal 2 2 4 32 10" xfId="23882" xr:uid="{00000000-0005-0000-0000-00004A5D0000}"/>
    <cellStyle name="Normal 2 2 4 32 11" xfId="23883" xr:uid="{00000000-0005-0000-0000-00004B5D0000}"/>
    <cellStyle name="Normal 2 2 4 32 12" xfId="23884" xr:uid="{00000000-0005-0000-0000-00004C5D0000}"/>
    <cellStyle name="Normal 2 2 4 32 13" xfId="23885" xr:uid="{00000000-0005-0000-0000-00004D5D0000}"/>
    <cellStyle name="Normal 2 2 4 32 14" xfId="23886" xr:uid="{00000000-0005-0000-0000-00004E5D0000}"/>
    <cellStyle name="Normal 2 2 4 32 2" xfId="23887" xr:uid="{00000000-0005-0000-0000-00004F5D0000}"/>
    <cellStyle name="Normal 2 2 4 32 2 10" xfId="23888" xr:uid="{00000000-0005-0000-0000-0000505D0000}"/>
    <cellStyle name="Normal 2 2 4 32 2 2" xfId="23889" xr:uid="{00000000-0005-0000-0000-0000515D0000}"/>
    <cellStyle name="Normal 2 2 4 32 2 3" xfId="23890" xr:uid="{00000000-0005-0000-0000-0000525D0000}"/>
    <cellStyle name="Normal 2 2 4 32 2 4" xfId="23891" xr:uid="{00000000-0005-0000-0000-0000535D0000}"/>
    <cellStyle name="Normal 2 2 4 32 2 5" xfId="23892" xr:uid="{00000000-0005-0000-0000-0000545D0000}"/>
    <cellStyle name="Normal 2 2 4 32 2 6" xfId="23893" xr:uid="{00000000-0005-0000-0000-0000555D0000}"/>
    <cellStyle name="Normal 2 2 4 32 2 7" xfId="23894" xr:uid="{00000000-0005-0000-0000-0000565D0000}"/>
    <cellStyle name="Normal 2 2 4 32 2 8" xfId="23895" xr:uid="{00000000-0005-0000-0000-0000575D0000}"/>
    <cellStyle name="Normal 2 2 4 32 2 9" xfId="23896" xr:uid="{00000000-0005-0000-0000-0000585D0000}"/>
    <cellStyle name="Normal 2 2 4 32 3" xfId="23897" xr:uid="{00000000-0005-0000-0000-0000595D0000}"/>
    <cellStyle name="Normal 2 2 4 32 3 10" xfId="23898" xr:uid="{00000000-0005-0000-0000-00005A5D0000}"/>
    <cellStyle name="Normal 2 2 4 32 3 2" xfId="23899" xr:uid="{00000000-0005-0000-0000-00005B5D0000}"/>
    <cellStyle name="Normal 2 2 4 32 3 3" xfId="23900" xr:uid="{00000000-0005-0000-0000-00005C5D0000}"/>
    <cellStyle name="Normal 2 2 4 32 3 4" xfId="23901" xr:uid="{00000000-0005-0000-0000-00005D5D0000}"/>
    <cellStyle name="Normal 2 2 4 32 3 5" xfId="23902" xr:uid="{00000000-0005-0000-0000-00005E5D0000}"/>
    <cellStyle name="Normal 2 2 4 32 3 6" xfId="23903" xr:uid="{00000000-0005-0000-0000-00005F5D0000}"/>
    <cellStyle name="Normal 2 2 4 32 3 7" xfId="23904" xr:uid="{00000000-0005-0000-0000-0000605D0000}"/>
    <cellStyle name="Normal 2 2 4 32 3 8" xfId="23905" xr:uid="{00000000-0005-0000-0000-0000615D0000}"/>
    <cellStyle name="Normal 2 2 4 32 3 9" xfId="23906" xr:uid="{00000000-0005-0000-0000-0000625D0000}"/>
    <cellStyle name="Normal 2 2 4 32 4" xfId="23907" xr:uid="{00000000-0005-0000-0000-0000635D0000}"/>
    <cellStyle name="Normal 2 2 4 32 4 10" xfId="23908" xr:uid="{00000000-0005-0000-0000-0000645D0000}"/>
    <cellStyle name="Normal 2 2 4 32 4 2" xfId="23909" xr:uid="{00000000-0005-0000-0000-0000655D0000}"/>
    <cellStyle name="Normal 2 2 4 32 4 3" xfId="23910" xr:uid="{00000000-0005-0000-0000-0000665D0000}"/>
    <cellStyle name="Normal 2 2 4 32 4 4" xfId="23911" xr:uid="{00000000-0005-0000-0000-0000675D0000}"/>
    <cellStyle name="Normal 2 2 4 32 4 5" xfId="23912" xr:uid="{00000000-0005-0000-0000-0000685D0000}"/>
    <cellStyle name="Normal 2 2 4 32 4 6" xfId="23913" xr:uid="{00000000-0005-0000-0000-0000695D0000}"/>
    <cellStyle name="Normal 2 2 4 32 4 7" xfId="23914" xr:uid="{00000000-0005-0000-0000-00006A5D0000}"/>
    <cellStyle name="Normal 2 2 4 32 4 8" xfId="23915" xr:uid="{00000000-0005-0000-0000-00006B5D0000}"/>
    <cellStyle name="Normal 2 2 4 32 4 9" xfId="23916" xr:uid="{00000000-0005-0000-0000-00006C5D0000}"/>
    <cellStyle name="Normal 2 2 4 32 5" xfId="23917" xr:uid="{00000000-0005-0000-0000-00006D5D0000}"/>
    <cellStyle name="Normal 2 2 4 32 5 10" xfId="23918" xr:uid="{00000000-0005-0000-0000-00006E5D0000}"/>
    <cellStyle name="Normal 2 2 4 32 5 2" xfId="23919" xr:uid="{00000000-0005-0000-0000-00006F5D0000}"/>
    <cellStyle name="Normal 2 2 4 32 5 3" xfId="23920" xr:uid="{00000000-0005-0000-0000-0000705D0000}"/>
    <cellStyle name="Normal 2 2 4 32 5 4" xfId="23921" xr:uid="{00000000-0005-0000-0000-0000715D0000}"/>
    <cellStyle name="Normal 2 2 4 32 5 5" xfId="23922" xr:uid="{00000000-0005-0000-0000-0000725D0000}"/>
    <cellStyle name="Normal 2 2 4 32 5 6" xfId="23923" xr:uid="{00000000-0005-0000-0000-0000735D0000}"/>
    <cellStyle name="Normal 2 2 4 32 5 7" xfId="23924" xr:uid="{00000000-0005-0000-0000-0000745D0000}"/>
    <cellStyle name="Normal 2 2 4 32 5 8" xfId="23925" xr:uid="{00000000-0005-0000-0000-0000755D0000}"/>
    <cellStyle name="Normal 2 2 4 32 5 9" xfId="23926" xr:uid="{00000000-0005-0000-0000-0000765D0000}"/>
    <cellStyle name="Normal 2 2 4 32 6" xfId="23927" xr:uid="{00000000-0005-0000-0000-0000775D0000}"/>
    <cellStyle name="Normal 2 2 4 32 7" xfId="23928" xr:uid="{00000000-0005-0000-0000-0000785D0000}"/>
    <cellStyle name="Normal 2 2 4 32 8" xfId="23929" xr:uid="{00000000-0005-0000-0000-0000795D0000}"/>
    <cellStyle name="Normal 2 2 4 32 9" xfId="23930" xr:uid="{00000000-0005-0000-0000-00007A5D0000}"/>
    <cellStyle name="Normal 2 2 4 33" xfId="23931" xr:uid="{00000000-0005-0000-0000-00007B5D0000}"/>
    <cellStyle name="Normal 2 2 4 33 10" xfId="23932" xr:uid="{00000000-0005-0000-0000-00007C5D0000}"/>
    <cellStyle name="Normal 2 2 4 33 11" xfId="23933" xr:uid="{00000000-0005-0000-0000-00007D5D0000}"/>
    <cellStyle name="Normal 2 2 4 33 12" xfId="23934" xr:uid="{00000000-0005-0000-0000-00007E5D0000}"/>
    <cellStyle name="Normal 2 2 4 33 13" xfId="23935" xr:uid="{00000000-0005-0000-0000-00007F5D0000}"/>
    <cellStyle name="Normal 2 2 4 33 14" xfId="23936" xr:uid="{00000000-0005-0000-0000-0000805D0000}"/>
    <cellStyle name="Normal 2 2 4 33 2" xfId="23937" xr:uid="{00000000-0005-0000-0000-0000815D0000}"/>
    <cellStyle name="Normal 2 2 4 33 2 10" xfId="23938" xr:uid="{00000000-0005-0000-0000-0000825D0000}"/>
    <cellStyle name="Normal 2 2 4 33 2 2" xfId="23939" xr:uid="{00000000-0005-0000-0000-0000835D0000}"/>
    <cellStyle name="Normal 2 2 4 33 2 3" xfId="23940" xr:uid="{00000000-0005-0000-0000-0000845D0000}"/>
    <cellStyle name="Normal 2 2 4 33 2 4" xfId="23941" xr:uid="{00000000-0005-0000-0000-0000855D0000}"/>
    <cellStyle name="Normal 2 2 4 33 2 5" xfId="23942" xr:uid="{00000000-0005-0000-0000-0000865D0000}"/>
    <cellStyle name="Normal 2 2 4 33 2 6" xfId="23943" xr:uid="{00000000-0005-0000-0000-0000875D0000}"/>
    <cellStyle name="Normal 2 2 4 33 2 7" xfId="23944" xr:uid="{00000000-0005-0000-0000-0000885D0000}"/>
    <cellStyle name="Normal 2 2 4 33 2 8" xfId="23945" xr:uid="{00000000-0005-0000-0000-0000895D0000}"/>
    <cellStyle name="Normal 2 2 4 33 2 9" xfId="23946" xr:uid="{00000000-0005-0000-0000-00008A5D0000}"/>
    <cellStyle name="Normal 2 2 4 33 3" xfId="23947" xr:uid="{00000000-0005-0000-0000-00008B5D0000}"/>
    <cellStyle name="Normal 2 2 4 33 3 10" xfId="23948" xr:uid="{00000000-0005-0000-0000-00008C5D0000}"/>
    <cellStyle name="Normal 2 2 4 33 3 2" xfId="23949" xr:uid="{00000000-0005-0000-0000-00008D5D0000}"/>
    <cellStyle name="Normal 2 2 4 33 3 3" xfId="23950" xr:uid="{00000000-0005-0000-0000-00008E5D0000}"/>
    <cellStyle name="Normal 2 2 4 33 3 4" xfId="23951" xr:uid="{00000000-0005-0000-0000-00008F5D0000}"/>
    <cellStyle name="Normal 2 2 4 33 3 5" xfId="23952" xr:uid="{00000000-0005-0000-0000-0000905D0000}"/>
    <cellStyle name="Normal 2 2 4 33 3 6" xfId="23953" xr:uid="{00000000-0005-0000-0000-0000915D0000}"/>
    <cellStyle name="Normal 2 2 4 33 3 7" xfId="23954" xr:uid="{00000000-0005-0000-0000-0000925D0000}"/>
    <cellStyle name="Normal 2 2 4 33 3 8" xfId="23955" xr:uid="{00000000-0005-0000-0000-0000935D0000}"/>
    <cellStyle name="Normal 2 2 4 33 3 9" xfId="23956" xr:uid="{00000000-0005-0000-0000-0000945D0000}"/>
    <cellStyle name="Normal 2 2 4 33 4" xfId="23957" xr:uid="{00000000-0005-0000-0000-0000955D0000}"/>
    <cellStyle name="Normal 2 2 4 33 4 10" xfId="23958" xr:uid="{00000000-0005-0000-0000-0000965D0000}"/>
    <cellStyle name="Normal 2 2 4 33 4 2" xfId="23959" xr:uid="{00000000-0005-0000-0000-0000975D0000}"/>
    <cellStyle name="Normal 2 2 4 33 4 3" xfId="23960" xr:uid="{00000000-0005-0000-0000-0000985D0000}"/>
    <cellStyle name="Normal 2 2 4 33 4 4" xfId="23961" xr:uid="{00000000-0005-0000-0000-0000995D0000}"/>
    <cellStyle name="Normal 2 2 4 33 4 5" xfId="23962" xr:uid="{00000000-0005-0000-0000-00009A5D0000}"/>
    <cellStyle name="Normal 2 2 4 33 4 6" xfId="23963" xr:uid="{00000000-0005-0000-0000-00009B5D0000}"/>
    <cellStyle name="Normal 2 2 4 33 4 7" xfId="23964" xr:uid="{00000000-0005-0000-0000-00009C5D0000}"/>
    <cellStyle name="Normal 2 2 4 33 4 8" xfId="23965" xr:uid="{00000000-0005-0000-0000-00009D5D0000}"/>
    <cellStyle name="Normal 2 2 4 33 4 9" xfId="23966" xr:uid="{00000000-0005-0000-0000-00009E5D0000}"/>
    <cellStyle name="Normal 2 2 4 33 5" xfId="23967" xr:uid="{00000000-0005-0000-0000-00009F5D0000}"/>
    <cellStyle name="Normal 2 2 4 33 5 10" xfId="23968" xr:uid="{00000000-0005-0000-0000-0000A05D0000}"/>
    <cellStyle name="Normal 2 2 4 33 5 2" xfId="23969" xr:uid="{00000000-0005-0000-0000-0000A15D0000}"/>
    <cellStyle name="Normal 2 2 4 33 5 3" xfId="23970" xr:uid="{00000000-0005-0000-0000-0000A25D0000}"/>
    <cellStyle name="Normal 2 2 4 33 5 4" xfId="23971" xr:uid="{00000000-0005-0000-0000-0000A35D0000}"/>
    <cellStyle name="Normal 2 2 4 33 5 5" xfId="23972" xr:uid="{00000000-0005-0000-0000-0000A45D0000}"/>
    <cellStyle name="Normal 2 2 4 33 5 6" xfId="23973" xr:uid="{00000000-0005-0000-0000-0000A55D0000}"/>
    <cellStyle name="Normal 2 2 4 33 5 7" xfId="23974" xr:uid="{00000000-0005-0000-0000-0000A65D0000}"/>
    <cellStyle name="Normal 2 2 4 33 5 8" xfId="23975" xr:uid="{00000000-0005-0000-0000-0000A75D0000}"/>
    <cellStyle name="Normal 2 2 4 33 5 9" xfId="23976" xr:uid="{00000000-0005-0000-0000-0000A85D0000}"/>
    <cellStyle name="Normal 2 2 4 33 6" xfId="23977" xr:uid="{00000000-0005-0000-0000-0000A95D0000}"/>
    <cellStyle name="Normal 2 2 4 33 7" xfId="23978" xr:uid="{00000000-0005-0000-0000-0000AA5D0000}"/>
    <cellStyle name="Normal 2 2 4 33 8" xfId="23979" xr:uid="{00000000-0005-0000-0000-0000AB5D0000}"/>
    <cellStyle name="Normal 2 2 4 33 9" xfId="23980" xr:uid="{00000000-0005-0000-0000-0000AC5D0000}"/>
    <cellStyle name="Normal 2 2 4 34" xfId="23981" xr:uid="{00000000-0005-0000-0000-0000AD5D0000}"/>
    <cellStyle name="Normal 2 2 4 35" xfId="23982" xr:uid="{00000000-0005-0000-0000-0000AE5D0000}"/>
    <cellStyle name="Normal 2 2 4 36" xfId="23983" xr:uid="{00000000-0005-0000-0000-0000AF5D0000}"/>
    <cellStyle name="Normal 2 2 4 4" xfId="23984" xr:uid="{00000000-0005-0000-0000-0000B05D0000}"/>
    <cellStyle name="Normal 2 2 4 4 10" xfId="23985" xr:uid="{00000000-0005-0000-0000-0000B15D0000}"/>
    <cellStyle name="Normal 2 2 4 4 11" xfId="23986" xr:uid="{00000000-0005-0000-0000-0000B25D0000}"/>
    <cellStyle name="Normal 2 2 4 4 12" xfId="23987" xr:uid="{00000000-0005-0000-0000-0000B35D0000}"/>
    <cellStyle name="Normal 2 2 4 4 13" xfId="23988" xr:uid="{00000000-0005-0000-0000-0000B45D0000}"/>
    <cellStyle name="Normal 2 2 4 4 14" xfId="23989" xr:uid="{00000000-0005-0000-0000-0000B55D0000}"/>
    <cellStyle name="Normal 2 2 4 4 2" xfId="23990" xr:uid="{00000000-0005-0000-0000-0000B65D0000}"/>
    <cellStyle name="Normal 2 2 4 4 2 10" xfId="23991" xr:uid="{00000000-0005-0000-0000-0000B75D0000}"/>
    <cellStyle name="Normal 2 2 4 4 2 2" xfId="23992" xr:uid="{00000000-0005-0000-0000-0000B85D0000}"/>
    <cellStyle name="Normal 2 2 4 4 2 3" xfId="23993" xr:uid="{00000000-0005-0000-0000-0000B95D0000}"/>
    <cellStyle name="Normal 2 2 4 4 2 4" xfId="23994" xr:uid="{00000000-0005-0000-0000-0000BA5D0000}"/>
    <cellStyle name="Normal 2 2 4 4 2 5" xfId="23995" xr:uid="{00000000-0005-0000-0000-0000BB5D0000}"/>
    <cellStyle name="Normal 2 2 4 4 2 6" xfId="23996" xr:uid="{00000000-0005-0000-0000-0000BC5D0000}"/>
    <cellStyle name="Normal 2 2 4 4 2 7" xfId="23997" xr:uid="{00000000-0005-0000-0000-0000BD5D0000}"/>
    <cellStyle name="Normal 2 2 4 4 2 8" xfId="23998" xr:uid="{00000000-0005-0000-0000-0000BE5D0000}"/>
    <cellStyle name="Normal 2 2 4 4 2 9" xfId="23999" xr:uid="{00000000-0005-0000-0000-0000BF5D0000}"/>
    <cellStyle name="Normal 2 2 4 4 3" xfId="24000" xr:uid="{00000000-0005-0000-0000-0000C05D0000}"/>
    <cellStyle name="Normal 2 2 4 4 3 10" xfId="24001" xr:uid="{00000000-0005-0000-0000-0000C15D0000}"/>
    <cellStyle name="Normal 2 2 4 4 3 2" xfId="24002" xr:uid="{00000000-0005-0000-0000-0000C25D0000}"/>
    <cellStyle name="Normal 2 2 4 4 3 3" xfId="24003" xr:uid="{00000000-0005-0000-0000-0000C35D0000}"/>
    <cellStyle name="Normal 2 2 4 4 3 4" xfId="24004" xr:uid="{00000000-0005-0000-0000-0000C45D0000}"/>
    <cellStyle name="Normal 2 2 4 4 3 5" xfId="24005" xr:uid="{00000000-0005-0000-0000-0000C55D0000}"/>
    <cellStyle name="Normal 2 2 4 4 3 6" xfId="24006" xr:uid="{00000000-0005-0000-0000-0000C65D0000}"/>
    <cellStyle name="Normal 2 2 4 4 3 7" xfId="24007" xr:uid="{00000000-0005-0000-0000-0000C75D0000}"/>
    <cellStyle name="Normal 2 2 4 4 3 8" xfId="24008" xr:uid="{00000000-0005-0000-0000-0000C85D0000}"/>
    <cellStyle name="Normal 2 2 4 4 3 9" xfId="24009" xr:uid="{00000000-0005-0000-0000-0000C95D0000}"/>
    <cellStyle name="Normal 2 2 4 4 4" xfId="24010" xr:uid="{00000000-0005-0000-0000-0000CA5D0000}"/>
    <cellStyle name="Normal 2 2 4 4 4 10" xfId="24011" xr:uid="{00000000-0005-0000-0000-0000CB5D0000}"/>
    <cellStyle name="Normal 2 2 4 4 4 2" xfId="24012" xr:uid="{00000000-0005-0000-0000-0000CC5D0000}"/>
    <cellStyle name="Normal 2 2 4 4 4 3" xfId="24013" xr:uid="{00000000-0005-0000-0000-0000CD5D0000}"/>
    <cellStyle name="Normal 2 2 4 4 4 4" xfId="24014" xr:uid="{00000000-0005-0000-0000-0000CE5D0000}"/>
    <cellStyle name="Normal 2 2 4 4 4 5" xfId="24015" xr:uid="{00000000-0005-0000-0000-0000CF5D0000}"/>
    <cellStyle name="Normal 2 2 4 4 4 6" xfId="24016" xr:uid="{00000000-0005-0000-0000-0000D05D0000}"/>
    <cellStyle name="Normal 2 2 4 4 4 7" xfId="24017" xr:uid="{00000000-0005-0000-0000-0000D15D0000}"/>
    <cellStyle name="Normal 2 2 4 4 4 8" xfId="24018" xr:uid="{00000000-0005-0000-0000-0000D25D0000}"/>
    <cellStyle name="Normal 2 2 4 4 4 9" xfId="24019" xr:uid="{00000000-0005-0000-0000-0000D35D0000}"/>
    <cellStyle name="Normal 2 2 4 4 5" xfId="24020" xr:uid="{00000000-0005-0000-0000-0000D45D0000}"/>
    <cellStyle name="Normal 2 2 4 4 5 10" xfId="24021" xr:uid="{00000000-0005-0000-0000-0000D55D0000}"/>
    <cellStyle name="Normal 2 2 4 4 5 2" xfId="24022" xr:uid="{00000000-0005-0000-0000-0000D65D0000}"/>
    <cellStyle name="Normal 2 2 4 4 5 3" xfId="24023" xr:uid="{00000000-0005-0000-0000-0000D75D0000}"/>
    <cellStyle name="Normal 2 2 4 4 5 4" xfId="24024" xr:uid="{00000000-0005-0000-0000-0000D85D0000}"/>
    <cellStyle name="Normal 2 2 4 4 5 5" xfId="24025" xr:uid="{00000000-0005-0000-0000-0000D95D0000}"/>
    <cellStyle name="Normal 2 2 4 4 5 6" xfId="24026" xr:uid="{00000000-0005-0000-0000-0000DA5D0000}"/>
    <cellStyle name="Normal 2 2 4 4 5 7" xfId="24027" xr:uid="{00000000-0005-0000-0000-0000DB5D0000}"/>
    <cellStyle name="Normal 2 2 4 4 5 8" xfId="24028" xr:uid="{00000000-0005-0000-0000-0000DC5D0000}"/>
    <cellStyle name="Normal 2 2 4 4 5 9" xfId="24029" xr:uid="{00000000-0005-0000-0000-0000DD5D0000}"/>
    <cellStyle name="Normal 2 2 4 4 6" xfId="24030" xr:uid="{00000000-0005-0000-0000-0000DE5D0000}"/>
    <cellStyle name="Normal 2 2 4 4 7" xfId="24031" xr:uid="{00000000-0005-0000-0000-0000DF5D0000}"/>
    <cellStyle name="Normal 2 2 4 4 8" xfId="24032" xr:uid="{00000000-0005-0000-0000-0000E05D0000}"/>
    <cellStyle name="Normal 2 2 4 4 9" xfId="24033" xr:uid="{00000000-0005-0000-0000-0000E15D0000}"/>
    <cellStyle name="Normal 2 2 4 5" xfId="24034" xr:uid="{00000000-0005-0000-0000-0000E25D0000}"/>
    <cellStyle name="Normal 2 2 4 5 10" xfId="24035" xr:uid="{00000000-0005-0000-0000-0000E35D0000}"/>
    <cellStyle name="Normal 2 2 4 5 11" xfId="24036" xr:uid="{00000000-0005-0000-0000-0000E45D0000}"/>
    <cellStyle name="Normal 2 2 4 5 12" xfId="24037" xr:uid="{00000000-0005-0000-0000-0000E55D0000}"/>
    <cellStyle name="Normal 2 2 4 5 13" xfId="24038" xr:uid="{00000000-0005-0000-0000-0000E65D0000}"/>
    <cellStyle name="Normal 2 2 4 5 14" xfId="24039" xr:uid="{00000000-0005-0000-0000-0000E75D0000}"/>
    <cellStyle name="Normal 2 2 4 5 2" xfId="24040" xr:uid="{00000000-0005-0000-0000-0000E85D0000}"/>
    <cellStyle name="Normal 2 2 4 5 2 10" xfId="24041" xr:uid="{00000000-0005-0000-0000-0000E95D0000}"/>
    <cellStyle name="Normal 2 2 4 5 2 2" xfId="24042" xr:uid="{00000000-0005-0000-0000-0000EA5D0000}"/>
    <cellStyle name="Normal 2 2 4 5 2 3" xfId="24043" xr:uid="{00000000-0005-0000-0000-0000EB5D0000}"/>
    <cellStyle name="Normal 2 2 4 5 2 4" xfId="24044" xr:uid="{00000000-0005-0000-0000-0000EC5D0000}"/>
    <cellStyle name="Normal 2 2 4 5 2 5" xfId="24045" xr:uid="{00000000-0005-0000-0000-0000ED5D0000}"/>
    <cellStyle name="Normal 2 2 4 5 2 6" xfId="24046" xr:uid="{00000000-0005-0000-0000-0000EE5D0000}"/>
    <cellStyle name="Normal 2 2 4 5 2 7" xfId="24047" xr:uid="{00000000-0005-0000-0000-0000EF5D0000}"/>
    <cellStyle name="Normal 2 2 4 5 2 8" xfId="24048" xr:uid="{00000000-0005-0000-0000-0000F05D0000}"/>
    <cellStyle name="Normal 2 2 4 5 2 9" xfId="24049" xr:uid="{00000000-0005-0000-0000-0000F15D0000}"/>
    <cellStyle name="Normal 2 2 4 5 3" xfId="24050" xr:uid="{00000000-0005-0000-0000-0000F25D0000}"/>
    <cellStyle name="Normal 2 2 4 5 3 10" xfId="24051" xr:uid="{00000000-0005-0000-0000-0000F35D0000}"/>
    <cellStyle name="Normal 2 2 4 5 3 2" xfId="24052" xr:uid="{00000000-0005-0000-0000-0000F45D0000}"/>
    <cellStyle name="Normal 2 2 4 5 3 3" xfId="24053" xr:uid="{00000000-0005-0000-0000-0000F55D0000}"/>
    <cellStyle name="Normal 2 2 4 5 3 4" xfId="24054" xr:uid="{00000000-0005-0000-0000-0000F65D0000}"/>
    <cellStyle name="Normal 2 2 4 5 3 5" xfId="24055" xr:uid="{00000000-0005-0000-0000-0000F75D0000}"/>
    <cellStyle name="Normal 2 2 4 5 3 6" xfId="24056" xr:uid="{00000000-0005-0000-0000-0000F85D0000}"/>
    <cellStyle name="Normal 2 2 4 5 3 7" xfId="24057" xr:uid="{00000000-0005-0000-0000-0000F95D0000}"/>
    <cellStyle name="Normal 2 2 4 5 3 8" xfId="24058" xr:uid="{00000000-0005-0000-0000-0000FA5D0000}"/>
    <cellStyle name="Normal 2 2 4 5 3 9" xfId="24059" xr:uid="{00000000-0005-0000-0000-0000FB5D0000}"/>
    <cellStyle name="Normal 2 2 4 5 4" xfId="24060" xr:uid="{00000000-0005-0000-0000-0000FC5D0000}"/>
    <cellStyle name="Normal 2 2 4 5 4 10" xfId="24061" xr:uid="{00000000-0005-0000-0000-0000FD5D0000}"/>
    <cellStyle name="Normal 2 2 4 5 4 2" xfId="24062" xr:uid="{00000000-0005-0000-0000-0000FE5D0000}"/>
    <cellStyle name="Normal 2 2 4 5 4 3" xfId="24063" xr:uid="{00000000-0005-0000-0000-0000FF5D0000}"/>
    <cellStyle name="Normal 2 2 4 5 4 4" xfId="24064" xr:uid="{00000000-0005-0000-0000-0000005E0000}"/>
    <cellStyle name="Normal 2 2 4 5 4 5" xfId="24065" xr:uid="{00000000-0005-0000-0000-0000015E0000}"/>
    <cellStyle name="Normal 2 2 4 5 4 6" xfId="24066" xr:uid="{00000000-0005-0000-0000-0000025E0000}"/>
    <cellStyle name="Normal 2 2 4 5 4 7" xfId="24067" xr:uid="{00000000-0005-0000-0000-0000035E0000}"/>
    <cellStyle name="Normal 2 2 4 5 4 8" xfId="24068" xr:uid="{00000000-0005-0000-0000-0000045E0000}"/>
    <cellStyle name="Normal 2 2 4 5 4 9" xfId="24069" xr:uid="{00000000-0005-0000-0000-0000055E0000}"/>
    <cellStyle name="Normal 2 2 4 5 5" xfId="24070" xr:uid="{00000000-0005-0000-0000-0000065E0000}"/>
    <cellStyle name="Normal 2 2 4 5 5 10" xfId="24071" xr:uid="{00000000-0005-0000-0000-0000075E0000}"/>
    <cellStyle name="Normal 2 2 4 5 5 2" xfId="24072" xr:uid="{00000000-0005-0000-0000-0000085E0000}"/>
    <cellStyle name="Normal 2 2 4 5 5 3" xfId="24073" xr:uid="{00000000-0005-0000-0000-0000095E0000}"/>
    <cellStyle name="Normal 2 2 4 5 5 4" xfId="24074" xr:uid="{00000000-0005-0000-0000-00000A5E0000}"/>
    <cellStyle name="Normal 2 2 4 5 5 5" xfId="24075" xr:uid="{00000000-0005-0000-0000-00000B5E0000}"/>
    <cellStyle name="Normal 2 2 4 5 5 6" xfId="24076" xr:uid="{00000000-0005-0000-0000-00000C5E0000}"/>
    <cellStyle name="Normal 2 2 4 5 5 7" xfId="24077" xr:uid="{00000000-0005-0000-0000-00000D5E0000}"/>
    <cellStyle name="Normal 2 2 4 5 5 8" xfId="24078" xr:uid="{00000000-0005-0000-0000-00000E5E0000}"/>
    <cellStyle name="Normal 2 2 4 5 5 9" xfId="24079" xr:uid="{00000000-0005-0000-0000-00000F5E0000}"/>
    <cellStyle name="Normal 2 2 4 5 6" xfId="24080" xr:uid="{00000000-0005-0000-0000-0000105E0000}"/>
    <cellStyle name="Normal 2 2 4 5 7" xfId="24081" xr:uid="{00000000-0005-0000-0000-0000115E0000}"/>
    <cellStyle name="Normal 2 2 4 5 8" xfId="24082" xr:uid="{00000000-0005-0000-0000-0000125E0000}"/>
    <cellStyle name="Normal 2 2 4 5 9" xfId="24083" xr:uid="{00000000-0005-0000-0000-0000135E0000}"/>
    <cellStyle name="Normal 2 2 4 6" xfId="24084" xr:uid="{00000000-0005-0000-0000-0000145E0000}"/>
    <cellStyle name="Normal 2 2 4 6 10" xfId="24085" xr:uid="{00000000-0005-0000-0000-0000155E0000}"/>
    <cellStyle name="Normal 2 2 4 6 11" xfId="24086" xr:uid="{00000000-0005-0000-0000-0000165E0000}"/>
    <cellStyle name="Normal 2 2 4 6 12" xfId="24087" xr:uid="{00000000-0005-0000-0000-0000175E0000}"/>
    <cellStyle name="Normal 2 2 4 6 13" xfId="24088" xr:uid="{00000000-0005-0000-0000-0000185E0000}"/>
    <cellStyle name="Normal 2 2 4 6 14" xfId="24089" xr:uid="{00000000-0005-0000-0000-0000195E0000}"/>
    <cellStyle name="Normal 2 2 4 6 2" xfId="24090" xr:uid="{00000000-0005-0000-0000-00001A5E0000}"/>
    <cellStyle name="Normal 2 2 4 6 2 10" xfId="24091" xr:uid="{00000000-0005-0000-0000-00001B5E0000}"/>
    <cellStyle name="Normal 2 2 4 6 2 2" xfId="24092" xr:uid="{00000000-0005-0000-0000-00001C5E0000}"/>
    <cellStyle name="Normal 2 2 4 6 2 3" xfId="24093" xr:uid="{00000000-0005-0000-0000-00001D5E0000}"/>
    <cellStyle name="Normal 2 2 4 6 2 4" xfId="24094" xr:uid="{00000000-0005-0000-0000-00001E5E0000}"/>
    <cellStyle name="Normal 2 2 4 6 2 5" xfId="24095" xr:uid="{00000000-0005-0000-0000-00001F5E0000}"/>
    <cellStyle name="Normal 2 2 4 6 2 6" xfId="24096" xr:uid="{00000000-0005-0000-0000-0000205E0000}"/>
    <cellStyle name="Normal 2 2 4 6 2 7" xfId="24097" xr:uid="{00000000-0005-0000-0000-0000215E0000}"/>
    <cellStyle name="Normal 2 2 4 6 2 8" xfId="24098" xr:uid="{00000000-0005-0000-0000-0000225E0000}"/>
    <cellStyle name="Normal 2 2 4 6 2 9" xfId="24099" xr:uid="{00000000-0005-0000-0000-0000235E0000}"/>
    <cellStyle name="Normal 2 2 4 6 3" xfId="24100" xr:uid="{00000000-0005-0000-0000-0000245E0000}"/>
    <cellStyle name="Normal 2 2 4 6 3 10" xfId="24101" xr:uid="{00000000-0005-0000-0000-0000255E0000}"/>
    <cellStyle name="Normal 2 2 4 6 3 2" xfId="24102" xr:uid="{00000000-0005-0000-0000-0000265E0000}"/>
    <cellStyle name="Normal 2 2 4 6 3 3" xfId="24103" xr:uid="{00000000-0005-0000-0000-0000275E0000}"/>
    <cellStyle name="Normal 2 2 4 6 3 4" xfId="24104" xr:uid="{00000000-0005-0000-0000-0000285E0000}"/>
    <cellStyle name="Normal 2 2 4 6 3 5" xfId="24105" xr:uid="{00000000-0005-0000-0000-0000295E0000}"/>
    <cellStyle name="Normal 2 2 4 6 3 6" xfId="24106" xr:uid="{00000000-0005-0000-0000-00002A5E0000}"/>
    <cellStyle name="Normal 2 2 4 6 3 7" xfId="24107" xr:uid="{00000000-0005-0000-0000-00002B5E0000}"/>
    <cellStyle name="Normal 2 2 4 6 3 8" xfId="24108" xr:uid="{00000000-0005-0000-0000-00002C5E0000}"/>
    <cellStyle name="Normal 2 2 4 6 3 9" xfId="24109" xr:uid="{00000000-0005-0000-0000-00002D5E0000}"/>
    <cellStyle name="Normal 2 2 4 6 4" xfId="24110" xr:uid="{00000000-0005-0000-0000-00002E5E0000}"/>
    <cellStyle name="Normal 2 2 4 6 4 10" xfId="24111" xr:uid="{00000000-0005-0000-0000-00002F5E0000}"/>
    <cellStyle name="Normal 2 2 4 6 4 2" xfId="24112" xr:uid="{00000000-0005-0000-0000-0000305E0000}"/>
    <cellStyle name="Normal 2 2 4 6 4 3" xfId="24113" xr:uid="{00000000-0005-0000-0000-0000315E0000}"/>
    <cellStyle name="Normal 2 2 4 6 4 4" xfId="24114" xr:uid="{00000000-0005-0000-0000-0000325E0000}"/>
    <cellStyle name="Normal 2 2 4 6 4 5" xfId="24115" xr:uid="{00000000-0005-0000-0000-0000335E0000}"/>
    <cellStyle name="Normal 2 2 4 6 4 6" xfId="24116" xr:uid="{00000000-0005-0000-0000-0000345E0000}"/>
    <cellStyle name="Normal 2 2 4 6 4 7" xfId="24117" xr:uid="{00000000-0005-0000-0000-0000355E0000}"/>
    <cellStyle name="Normal 2 2 4 6 4 8" xfId="24118" xr:uid="{00000000-0005-0000-0000-0000365E0000}"/>
    <cellStyle name="Normal 2 2 4 6 4 9" xfId="24119" xr:uid="{00000000-0005-0000-0000-0000375E0000}"/>
    <cellStyle name="Normal 2 2 4 6 5" xfId="24120" xr:uid="{00000000-0005-0000-0000-0000385E0000}"/>
    <cellStyle name="Normal 2 2 4 6 5 10" xfId="24121" xr:uid="{00000000-0005-0000-0000-0000395E0000}"/>
    <cellStyle name="Normal 2 2 4 6 5 2" xfId="24122" xr:uid="{00000000-0005-0000-0000-00003A5E0000}"/>
    <cellStyle name="Normal 2 2 4 6 5 3" xfId="24123" xr:uid="{00000000-0005-0000-0000-00003B5E0000}"/>
    <cellStyle name="Normal 2 2 4 6 5 4" xfId="24124" xr:uid="{00000000-0005-0000-0000-00003C5E0000}"/>
    <cellStyle name="Normal 2 2 4 6 5 5" xfId="24125" xr:uid="{00000000-0005-0000-0000-00003D5E0000}"/>
    <cellStyle name="Normal 2 2 4 6 5 6" xfId="24126" xr:uid="{00000000-0005-0000-0000-00003E5E0000}"/>
    <cellStyle name="Normal 2 2 4 6 5 7" xfId="24127" xr:uid="{00000000-0005-0000-0000-00003F5E0000}"/>
    <cellStyle name="Normal 2 2 4 6 5 8" xfId="24128" xr:uid="{00000000-0005-0000-0000-0000405E0000}"/>
    <cellStyle name="Normal 2 2 4 6 5 9" xfId="24129" xr:uid="{00000000-0005-0000-0000-0000415E0000}"/>
    <cellStyle name="Normal 2 2 4 6 6" xfId="24130" xr:uid="{00000000-0005-0000-0000-0000425E0000}"/>
    <cellStyle name="Normal 2 2 4 6 7" xfId="24131" xr:uid="{00000000-0005-0000-0000-0000435E0000}"/>
    <cellStyle name="Normal 2 2 4 6 8" xfId="24132" xr:uid="{00000000-0005-0000-0000-0000445E0000}"/>
    <cellStyle name="Normal 2 2 4 6 9" xfId="24133" xr:uid="{00000000-0005-0000-0000-0000455E0000}"/>
    <cellStyle name="Normal 2 2 4 7" xfId="24134" xr:uid="{00000000-0005-0000-0000-0000465E0000}"/>
    <cellStyle name="Normal 2 2 4 7 10" xfId="24135" xr:uid="{00000000-0005-0000-0000-0000475E0000}"/>
    <cellStyle name="Normal 2 2 4 7 11" xfId="24136" xr:uid="{00000000-0005-0000-0000-0000485E0000}"/>
    <cellStyle name="Normal 2 2 4 7 12" xfId="24137" xr:uid="{00000000-0005-0000-0000-0000495E0000}"/>
    <cellStyle name="Normal 2 2 4 7 13" xfId="24138" xr:uid="{00000000-0005-0000-0000-00004A5E0000}"/>
    <cellStyle name="Normal 2 2 4 7 14" xfId="24139" xr:uid="{00000000-0005-0000-0000-00004B5E0000}"/>
    <cellStyle name="Normal 2 2 4 7 2" xfId="24140" xr:uid="{00000000-0005-0000-0000-00004C5E0000}"/>
    <cellStyle name="Normal 2 2 4 7 2 10" xfId="24141" xr:uid="{00000000-0005-0000-0000-00004D5E0000}"/>
    <cellStyle name="Normal 2 2 4 7 2 2" xfId="24142" xr:uid="{00000000-0005-0000-0000-00004E5E0000}"/>
    <cellStyle name="Normal 2 2 4 7 2 3" xfId="24143" xr:uid="{00000000-0005-0000-0000-00004F5E0000}"/>
    <cellStyle name="Normal 2 2 4 7 2 4" xfId="24144" xr:uid="{00000000-0005-0000-0000-0000505E0000}"/>
    <cellStyle name="Normal 2 2 4 7 2 5" xfId="24145" xr:uid="{00000000-0005-0000-0000-0000515E0000}"/>
    <cellStyle name="Normal 2 2 4 7 2 6" xfId="24146" xr:uid="{00000000-0005-0000-0000-0000525E0000}"/>
    <cellStyle name="Normal 2 2 4 7 2 7" xfId="24147" xr:uid="{00000000-0005-0000-0000-0000535E0000}"/>
    <cellStyle name="Normal 2 2 4 7 2 8" xfId="24148" xr:uid="{00000000-0005-0000-0000-0000545E0000}"/>
    <cellStyle name="Normal 2 2 4 7 2 9" xfId="24149" xr:uid="{00000000-0005-0000-0000-0000555E0000}"/>
    <cellStyle name="Normal 2 2 4 7 3" xfId="24150" xr:uid="{00000000-0005-0000-0000-0000565E0000}"/>
    <cellStyle name="Normal 2 2 4 7 3 10" xfId="24151" xr:uid="{00000000-0005-0000-0000-0000575E0000}"/>
    <cellStyle name="Normal 2 2 4 7 3 2" xfId="24152" xr:uid="{00000000-0005-0000-0000-0000585E0000}"/>
    <cellStyle name="Normal 2 2 4 7 3 3" xfId="24153" xr:uid="{00000000-0005-0000-0000-0000595E0000}"/>
    <cellStyle name="Normal 2 2 4 7 3 4" xfId="24154" xr:uid="{00000000-0005-0000-0000-00005A5E0000}"/>
    <cellStyle name="Normal 2 2 4 7 3 5" xfId="24155" xr:uid="{00000000-0005-0000-0000-00005B5E0000}"/>
    <cellStyle name="Normal 2 2 4 7 3 6" xfId="24156" xr:uid="{00000000-0005-0000-0000-00005C5E0000}"/>
    <cellStyle name="Normal 2 2 4 7 3 7" xfId="24157" xr:uid="{00000000-0005-0000-0000-00005D5E0000}"/>
    <cellStyle name="Normal 2 2 4 7 3 8" xfId="24158" xr:uid="{00000000-0005-0000-0000-00005E5E0000}"/>
    <cellStyle name="Normal 2 2 4 7 3 9" xfId="24159" xr:uid="{00000000-0005-0000-0000-00005F5E0000}"/>
    <cellStyle name="Normal 2 2 4 7 4" xfId="24160" xr:uid="{00000000-0005-0000-0000-0000605E0000}"/>
    <cellStyle name="Normal 2 2 4 7 4 10" xfId="24161" xr:uid="{00000000-0005-0000-0000-0000615E0000}"/>
    <cellStyle name="Normal 2 2 4 7 4 2" xfId="24162" xr:uid="{00000000-0005-0000-0000-0000625E0000}"/>
    <cellStyle name="Normal 2 2 4 7 4 3" xfId="24163" xr:uid="{00000000-0005-0000-0000-0000635E0000}"/>
    <cellStyle name="Normal 2 2 4 7 4 4" xfId="24164" xr:uid="{00000000-0005-0000-0000-0000645E0000}"/>
    <cellStyle name="Normal 2 2 4 7 4 5" xfId="24165" xr:uid="{00000000-0005-0000-0000-0000655E0000}"/>
    <cellStyle name="Normal 2 2 4 7 4 6" xfId="24166" xr:uid="{00000000-0005-0000-0000-0000665E0000}"/>
    <cellStyle name="Normal 2 2 4 7 4 7" xfId="24167" xr:uid="{00000000-0005-0000-0000-0000675E0000}"/>
    <cellStyle name="Normal 2 2 4 7 4 8" xfId="24168" xr:uid="{00000000-0005-0000-0000-0000685E0000}"/>
    <cellStyle name="Normal 2 2 4 7 4 9" xfId="24169" xr:uid="{00000000-0005-0000-0000-0000695E0000}"/>
    <cellStyle name="Normal 2 2 4 7 5" xfId="24170" xr:uid="{00000000-0005-0000-0000-00006A5E0000}"/>
    <cellStyle name="Normal 2 2 4 7 5 10" xfId="24171" xr:uid="{00000000-0005-0000-0000-00006B5E0000}"/>
    <cellStyle name="Normal 2 2 4 7 5 2" xfId="24172" xr:uid="{00000000-0005-0000-0000-00006C5E0000}"/>
    <cellStyle name="Normal 2 2 4 7 5 3" xfId="24173" xr:uid="{00000000-0005-0000-0000-00006D5E0000}"/>
    <cellStyle name="Normal 2 2 4 7 5 4" xfId="24174" xr:uid="{00000000-0005-0000-0000-00006E5E0000}"/>
    <cellStyle name="Normal 2 2 4 7 5 5" xfId="24175" xr:uid="{00000000-0005-0000-0000-00006F5E0000}"/>
    <cellStyle name="Normal 2 2 4 7 5 6" xfId="24176" xr:uid="{00000000-0005-0000-0000-0000705E0000}"/>
    <cellStyle name="Normal 2 2 4 7 5 7" xfId="24177" xr:uid="{00000000-0005-0000-0000-0000715E0000}"/>
    <cellStyle name="Normal 2 2 4 7 5 8" xfId="24178" xr:uid="{00000000-0005-0000-0000-0000725E0000}"/>
    <cellStyle name="Normal 2 2 4 7 5 9" xfId="24179" xr:uid="{00000000-0005-0000-0000-0000735E0000}"/>
    <cellStyle name="Normal 2 2 4 7 6" xfId="24180" xr:uid="{00000000-0005-0000-0000-0000745E0000}"/>
    <cellStyle name="Normal 2 2 4 7 7" xfId="24181" xr:uid="{00000000-0005-0000-0000-0000755E0000}"/>
    <cellStyle name="Normal 2 2 4 7 8" xfId="24182" xr:uid="{00000000-0005-0000-0000-0000765E0000}"/>
    <cellStyle name="Normal 2 2 4 7 9" xfId="24183" xr:uid="{00000000-0005-0000-0000-0000775E0000}"/>
    <cellStyle name="Normal 2 2 4 8" xfId="24184" xr:uid="{00000000-0005-0000-0000-0000785E0000}"/>
    <cellStyle name="Normal 2 2 4 8 10" xfId="24185" xr:uid="{00000000-0005-0000-0000-0000795E0000}"/>
    <cellStyle name="Normal 2 2 4 8 11" xfId="24186" xr:uid="{00000000-0005-0000-0000-00007A5E0000}"/>
    <cellStyle name="Normal 2 2 4 8 12" xfId="24187" xr:uid="{00000000-0005-0000-0000-00007B5E0000}"/>
    <cellStyle name="Normal 2 2 4 8 13" xfId="24188" xr:uid="{00000000-0005-0000-0000-00007C5E0000}"/>
    <cellStyle name="Normal 2 2 4 8 14" xfId="24189" xr:uid="{00000000-0005-0000-0000-00007D5E0000}"/>
    <cellStyle name="Normal 2 2 4 8 2" xfId="24190" xr:uid="{00000000-0005-0000-0000-00007E5E0000}"/>
    <cellStyle name="Normal 2 2 4 8 2 10" xfId="24191" xr:uid="{00000000-0005-0000-0000-00007F5E0000}"/>
    <cellStyle name="Normal 2 2 4 8 2 2" xfId="24192" xr:uid="{00000000-0005-0000-0000-0000805E0000}"/>
    <cellStyle name="Normal 2 2 4 8 2 3" xfId="24193" xr:uid="{00000000-0005-0000-0000-0000815E0000}"/>
    <cellStyle name="Normal 2 2 4 8 2 4" xfId="24194" xr:uid="{00000000-0005-0000-0000-0000825E0000}"/>
    <cellStyle name="Normal 2 2 4 8 2 5" xfId="24195" xr:uid="{00000000-0005-0000-0000-0000835E0000}"/>
    <cellStyle name="Normal 2 2 4 8 2 6" xfId="24196" xr:uid="{00000000-0005-0000-0000-0000845E0000}"/>
    <cellStyle name="Normal 2 2 4 8 2 7" xfId="24197" xr:uid="{00000000-0005-0000-0000-0000855E0000}"/>
    <cellStyle name="Normal 2 2 4 8 2 8" xfId="24198" xr:uid="{00000000-0005-0000-0000-0000865E0000}"/>
    <cellStyle name="Normal 2 2 4 8 2 9" xfId="24199" xr:uid="{00000000-0005-0000-0000-0000875E0000}"/>
    <cellStyle name="Normal 2 2 4 8 3" xfId="24200" xr:uid="{00000000-0005-0000-0000-0000885E0000}"/>
    <cellStyle name="Normal 2 2 4 8 3 10" xfId="24201" xr:uid="{00000000-0005-0000-0000-0000895E0000}"/>
    <cellStyle name="Normal 2 2 4 8 3 2" xfId="24202" xr:uid="{00000000-0005-0000-0000-00008A5E0000}"/>
    <cellStyle name="Normal 2 2 4 8 3 3" xfId="24203" xr:uid="{00000000-0005-0000-0000-00008B5E0000}"/>
    <cellStyle name="Normal 2 2 4 8 3 4" xfId="24204" xr:uid="{00000000-0005-0000-0000-00008C5E0000}"/>
    <cellStyle name="Normal 2 2 4 8 3 5" xfId="24205" xr:uid="{00000000-0005-0000-0000-00008D5E0000}"/>
    <cellStyle name="Normal 2 2 4 8 3 6" xfId="24206" xr:uid="{00000000-0005-0000-0000-00008E5E0000}"/>
    <cellStyle name="Normal 2 2 4 8 3 7" xfId="24207" xr:uid="{00000000-0005-0000-0000-00008F5E0000}"/>
    <cellStyle name="Normal 2 2 4 8 3 8" xfId="24208" xr:uid="{00000000-0005-0000-0000-0000905E0000}"/>
    <cellStyle name="Normal 2 2 4 8 3 9" xfId="24209" xr:uid="{00000000-0005-0000-0000-0000915E0000}"/>
    <cellStyle name="Normal 2 2 4 8 4" xfId="24210" xr:uid="{00000000-0005-0000-0000-0000925E0000}"/>
    <cellStyle name="Normal 2 2 4 8 4 10" xfId="24211" xr:uid="{00000000-0005-0000-0000-0000935E0000}"/>
    <cellStyle name="Normal 2 2 4 8 4 2" xfId="24212" xr:uid="{00000000-0005-0000-0000-0000945E0000}"/>
    <cellStyle name="Normal 2 2 4 8 4 3" xfId="24213" xr:uid="{00000000-0005-0000-0000-0000955E0000}"/>
    <cellStyle name="Normal 2 2 4 8 4 4" xfId="24214" xr:uid="{00000000-0005-0000-0000-0000965E0000}"/>
    <cellStyle name="Normal 2 2 4 8 4 5" xfId="24215" xr:uid="{00000000-0005-0000-0000-0000975E0000}"/>
    <cellStyle name="Normal 2 2 4 8 4 6" xfId="24216" xr:uid="{00000000-0005-0000-0000-0000985E0000}"/>
    <cellStyle name="Normal 2 2 4 8 4 7" xfId="24217" xr:uid="{00000000-0005-0000-0000-0000995E0000}"/>
    <cellStyle name="Normal 2 2 4 8 4 8" xfId="24218" xr:uid="{00000000-0005-0000-0000-00009A5E0000}"/>
    <cellStyle name="Normal 2 2 4 8 4 9" xfId="24219" xr:uid="{00000000-0005-0000-0000-00009B5E0000}"/>
    <cellStyle name="Normal 2 2 4 8 5" xfId="24220" xr:uid="{00000000-0005-0000-0000-00009C5E0000}"/>
    <cellStyle name="Normal 2 2 4 8 5 10" xfId="24221" xr:uid="{00000000-0005-0000-0000-00009D5E0000}"/>
    <cellStyle name="Normal 2 2 4 8 5 2" xfId="24222" xr:uid="{00000000-0005-0000-0000-00009E5E0000}"/>
    <cellStyle name="Normal 2 2 4 8 5 3" xfId="24223" xr:uid="{00000000-0005-0000-0000-00009F5E0000}"/>
    <cellStyle name="Normal 2 2 4 8 5 4" xfId="24224" xr:uid="{00000000-0005-0000-0000-0000A05E0000}"/>
    <cellStyle name="Normal 2 2 4 8 5 5" xfId="24225" xr:uid="{00000000-0005-0000-0000-0000A15E0000}"/>
    <cellStyle name="Normal 2 2 4 8 5 6" xfId="24226" xr:uid="{00000000-0005-0000-0000-0000A25E0000}"/>
    <cellStyle name="Normal 2 2 4 8 5 7" xfId="24227" xr:uid="{00000000-0005-0000-0000-0000A35E0000}"/>
    <cellStyle name="Normal 2 2 4 8 5 8" xfId="24228" xr:uid="{00000000-0005-0000-0000-0000A45E0000}"/>
    <cellStyle name="Normal 2 2 4 8 5 9" xfId="24229" xr:uid="{00000000-0005-0000-0000-0000A55E0000}"/>
    <cellStyle name="Normal 2 2 4 8 6" xfId="24230" xr:uid="{00000000-0005-0000-0000-0000A65E0000}"/>
    <cellStyle name="Normal 2 2 4 8 7" xfId="24231" xr:uid="{00000000-0005-0000-0000-0000A75E0000}"/>
    <cellStyle name="Normal 2 2 4 8 8" xfId="24232" xr:uid="{00000000-0005-0000-0000-0000A85E0000}"/>
    <cellStyle name="Normal 2 2 4 8 9" xfId="24233" xr:uid="{00000000-0005-0000-0000-0000A95E0000}"/>
    <cellStyle name="Normal 2 2 4 9" xfId="24234" xr:uid="{00000000-0005-0000-0000-0000AA5E0000}"/>
    <cellStyle name="Normal 2 2 4 9 10" xfId="24235" xr:uid="{00000000-0005-0000-0000-0000AB5E0000}"/>
    <cellStyle name="Normal 2 2 4 9 11" xfId="24236" xr:uid="{00000000-0005-0000-0000-0000AC5E0000}"/>
    <cellStyle name="Normal 2 2 4 9 12" xfId="24237" xr:uid="{00000000-0005-0000-0000-0000AD5E0000}"/>
    <cellStyle name="Normal 2 2 4 9 13" xfId="24238" xr:uid="{00000000-0005-0000-0000-0000AE5E0000}"/>
    <cellStyle name="Normal 2 2 4 9 14" xfId="24239" xr:uid="{00000000-0005-0000-0000-0000AF5E0000}"/>
    <cellStyle name="Normal 2 2 4 9 2" xfId="24240" xr:uid="{00000000-0005-0000-0000-0000B05E0000}"/>
    <cellStyle name="Normal 2 2 4 9 2 10" xfId="24241" xr:uid="{00000000-0005-0000-0000-0000B15E0000}"/>
    <cellStyle name="Normal 2 2 4 9 2 2" xfId="24242" xr:uid="{00000000-0005-0000-0000-0000B25E0000}"/>
    <cellStyle name="Normal 2 2 4 9 2 3" xfId="24243" xr:uid="{00000000-0005-0000-0000-0000B35E0000}"/>
    <cellStyle name="Normal 2 2 4 9 2 4" xfId="24244" xr:uid="{00000000-0005-0000-0000-0000B45E0000}"/>
    <cellStyle name="Normal 2 2 4 9 2 5" xfId="24245" xr:uid="{00000000-0005-0000-0000-0000B55E0000}"/>
    <cellStyle name="Normal 2 2 4 9 2 6" xfId="24246" xr:uid="{00000000-0005-0000-0000-0000B65E0000}"/>
    <cellStyle name="Normal 2 2 4 9 2 7" xfId="24247" xr:uid="{00000000-0005-0000-0000-0000B75E0000}"/>
    <cellStyle name="Normal 2 2 4 9 2 8" xfId="24248" xr:uid="{00000000-0005-0000-0000-0000B85E0000}"/>
    <cellStyle name="Normal 2 2 4 9 2 9" xfId="24249" xr:uid="{00000000-0005-0000-0000-0000B95E0000}"/>
    <cellStyle name="Normal 2 2 4 9 3" xfId="24250" xr:uid="{00000000-0005-0000-0000-0000BA5E0000}"/>
    <cellStyle name="Normal 2 2 4 9 3 10" xfId="24251" xr:uid="{00000000-0005-0000-0000-0000BB5E0000}"/>
    <cellStyle name="Normal 2 2 4 9 3 2" xfId="24252" xr:uid="{00000000-0005-0000-0000-0000BC5E0000}"/>
    <cellStyle name="Normal 2 2 4 9 3 3" xfId="24253" xr:uid="{00000000-0005-0000-0000-0000BD5E0000}"/>
    <cellStyle name="Normal 2 2 4 9 3 4" xfId="24254" xr:uid="{00000000-0005-0000-0000-0000BE5E0000}"/>
    <cellStyle name="Normal 2 2 4 9 3 5" xfId="24255" xr:uid="{00000000-0005-0000-0000-0000BF5E0000}"/>
    <cellStyle name="Normal 2 2 4 9 3 6" xfId="24256" xr:uid="{00000000-0005-0000-0000-0000C05E0000}"/>
    <cellStyle name="Normal 2 2 4 9 3 7" xfId="24257" xr:uid="{00000000-0005-0000-0000-0000C15E0000}"/>
    <cellStyle name="Normal 2 2 4 9 3 8" xfId="24258" xr:uid="{00000000-0005-0000-0000-0000C25E0000}"/>
    <cellStyle name="Normal 2 2 4 9 3 9" xfId="24259" xr:uid="{00000000-0005-0000-0000-0000C35E0000}"/>
    <cellStyle name="Normal 2 2 4 9 4" xfId="24260" xr:uid="{00000000-0005-0000-0000-0000C45E0000}"/>
    <cellStyle name="Normal 2 2 4 9 4 10" xfId="24261" xr:uid="{00000000-0005-0000-0000-0000C55E0000}"/>
    <cellStyle name="Normal 2 2 4 9 4 2" xfId="24262" xr:uid="{00000000-0005-0000-0000-0000C65E0000}"/>
    <cellStyle name="Normal 2 2 4 9 4 3" xfId="24263" xr:uid="{00000000-0005-0000-0000-0000C75E0000}"/>
    <cellStyle name="Normal 2 2 4 9 4 4" xfId="24264" xr:uid="{00000000-0005-0000-0000-0000C85E0000}"/>
    <cellStyle name="Normal 2 2 4 9 4 5" xfId="24265" xr:uid="{00000000-0005-0000-0000-0000C95E0000}"/>
    <cellStyle name="Normal 2 2 4 9 4 6" xfId="24266" xr:uid="{00000000-0005-0000-0000-0000CA5E0000}"/>
    <cellStyle name="Normal 2 2 4 9 4 7" xfId="24267" xr:uid="{00000000-0005-0000-0000-0000CB5E0000}"/>
    <cellStyle name="Normal 2 2 4 9 4 8" xfId="24268" xr:uid="{00000000-0005-0000-0000-0000CC5E0000}"/>
    <cellStyle name="Normal 2 2 4 9 4 9" xfId="24269" xr:uid="{00000000-0005-0000-0000-0000CD5E0000}"/>
    <cellStyle name="Normal 2 2 4 9 5" xfId="24270" xr:uid="{00000000-0005-0000-0000-0000CE5E0000}"/>
    <cellStyle name="Normal 2 2 4 9 5 10" xfId="24271" xr:uid="{00000000-0005-0000-0000-0000CF5E0000}"/>
    <cellStyle name="Normal 2 2 4 9 5 2" xfId="24272" xr:uid="{00000000-0005-0000-0000-0000D05E0000}"/>
    <cellStyle name="Normal 2 2 4 9 5 3" xfId="24273" xr:uid="{00000000-0005-0000-0000-0000D15E0000}"/>
    <cellStyle name="Normal 2 2 4 9 5 4" xfId="24274" xr:uid="{00000000-0005-0000-0000-0000D25E0000}"/>
    <cellStyle name="Normal 2 2 4 9 5 5" xfId="24275" xr:uid="{00000000-0005-0000-0000-0000D35E0000}"/>
    <cellStyle name="Normal 2 2 4 9 5 6" xfId="24276" xr:uid="{00000000-0005-0000-0000-0000D45E0000}"/>
    <cellStyle name="Normal 2 2 4 9 5 7" xfId="24277" xr:uid="{00000000-0005-0000-0000-0000D55E0000}"/>
    <cellStyle name="Normal 2 2 4 9 5 8" xfId="24278" xr:uid="{00000000-0005-0000-0000-0000D65E0000}"/>
    <cellStyle name="Normal 2 2 4 9 5 9" xfId="24279" xr:uid="{00000000-0005-0000-0000-0000D75E0000}"/>
    <cellStyle name="Normal 2 2 4 9 6" xfId="24280" xr:uid="{00000000-0005-0000-0000-0000D85E0000}"/>
    <cellStyle name="Normal 2 2 4 9 7" xfId="24281" xr:uid="{00000000-0005-0000-0000-0000D95E0000}"/>
    <cellStyle name="Normal 2 2 4 9 8" xfId="24282" xr:uid="{00000000-0005-0000-0000-0000DA5E0000}"/>
    <cellStyle name="Normal 2 2 4 9 9" xfId="24283" xr:uid="{00000000-0005-0000-0000-0000DB5E0000}"/>
    <cellStyle name="Normal 2 2 40" xfId="24284" xr:uid="{00000000-0005-0000-0000-0000DC5E0000}"/>
    <cellStyle name="Normal 2 2 41" xfId="24285" xr:uid="{00000000-0005-0000-0000-0000DD5E0000}"/>
    <cellStyle name="Normal 2 2 41 10" xfId="24286" xr:uid="{00000000-0005-0000-0000-0000DE5E0000}"/>
    <cellStyle name="Normal 2 2 41 2" xfId="24287" xr:uid="{00000000-0005-0000-0000-0000DF5E0000}"/>
    <cellStyle name="Normal 2 2 41 3" xfId="24288" xr:uid="{00000000-0005-0000-0000-0000E05E0000}"/>
    <cellStyle name="Normal 2 2 41 4" xfId="24289" xr:uid="{00000000-0005-0000-0000-0000E15E0000}"/>
    <cellStyle name="Normal 2 2 41 5" xfId="24290" xr:uid="{00000000-0005-0000-0000-0000E25E0000}"/>
    <cellStyle name="Normal 2 2 41 6" xfId="24291" xr:uid="{00000000-0005-0000-0000-0000E35E0000}"/>
    <cellStyle name="Normal 2 2 41 7" xfId="24292" xr:uid="{00000000-0005-0000-0000-0000E45E0000}"/>
    <cellStyle name="Normal 2 2 41 8" xfId="24293" xr:uid="{00000000-0005-0000-0000-0000E55E0000}"/>
    <cellStyle name="Normal 2 2 41 9" xfId="24294" xr:uid="{00000000-0005-0000-0000-0000E65E0000}"/>
    <cellStyle name="Normal 2 2 42" xfId="24295" xr:uid="{00000000-0005-0000-0000-0000E75E0000}"/>
    <cellStyle name="Normal 2 2 43" xfId="24296" xr:uid="{00000000-0005-0000-0000-0000E85E0000}"/>
    <cellStyle name="Normal 2 2 44" xfId="24297" xr:uid="{00000000-0005-0000-0000-0000E95E0000}"/>
    <cellStyle name="Normal 2 2 45" xfId="24298" xr:uid="{00000000-0005-0000-0000-0000EA5E0000}"/>
    <cellStyle name="Normal 2 2 46" xfId="24299" xr:uid="{00000000-0005-0000-0000-0000EB5E0000}"/>
    <cellStyle name="Normal 2 2 47" xfId="24300" xr:uid="{00000000-0005-0000-0000-0000EC5E0000}"/>
    <cellStyle name="Normal 2 2 48" xfId="24301" xr:uid="{00000000-0005-0000-0000-0000ED5E0000}"/>
    <cellStyle name="Normal 2 2 49" xfId="24302" xr:uid="{00000000-0005-0000-0000-0000EE5E0000}"/>
    <cellStyle name="Normal 2 2 5" xfId="24303" xr:uid="{00000000-0005-0000-0000-0000EF5E0000}"/>
    <cellStyle name="Normal 2 2 5 10" xfId="24304" xr:uid="{00000000-0005-0000-0000-0000F05E0000}"/>
    <cellStyle name="Normal 2 2 5 10 10" xfId="24305" xr:uid="{00000000-0005-0000-0000-0000F15E0000}"/>
    <cellStyle name="Normal 2 2 5 10 11" xfId="24306" xr:uid="{00000000-0005-0000-0000-0000F25E0000}"/>
    <cellStyle name="Normal 2 2 5 10 12" xfId="24307" xr:uid="{00000000-0005-0000-0000-0000F35E0000}"/>
    <cellStyle name="Normal 2 2 5 10 13" xfId="24308" xr:uid="{00000000-0005-0000-0000-0000F45E0000}"/>
    <cellStyle name="Normal 2 2 5 10 14" xfId="24309" xr:uid="{00000000-0005-0000-0000-0000F55E0000}"/>
    <cellStyle name="Normal 2 2 5 10 2" xfId="24310" xr:uid="{00000000-0005-0000-0000-0000F65E0000}"/>
    <cellStyle name="Normal 2 2 5 10 2 10" xfId="24311" xr:uid="{00000000-0005-0000-0000-0000F75E0000}"/>
    <cellStyle name="Normal 2 2 5 10 2 2" xfId="24312" xr:uid="{00000000-0005-0000-0000-0000F85E0000}"/>
    <cellStyle name="Normal 2 2 5 10 2 3" xfId="24313" xr:uid="{00000000-0005-0000-0000-0000F95E0000}"/>
    <cellStyle name="Normal 2 2 5 10 2 4" xfId="24314" xr:uid="{00000000-0005-0000-0000-0000FA5E0000}"/>
    <cellStyle name="Normal 2 2 5 10 2 5" xfId="24315" xr:uid="{00000000-0005-0000-0000-0000FB5E0000}"/>
    <cellStyle name="Normal 2 2 5 10 2 6" xfId="24316" xr:uid="{00000000-0005-0000-0000-0000FC5E0000}"/>
    <cellStyle name="Normal 2 2 5 10 2 7" xfId="24317" xr:uid="{00000000-0005-0000-0000-0000FD5E0000}"/>
    <cellStyle name="Normal 2 2 5 10 2 8" xfId="24318" xr:uid="{00000000-0005-0000-0000-0000FE5E0000}"/>
    <cellStyle name="Normal 2 2 5 10 2 9" xfId="24319" xr:uid="{00000000-0005-0000-0000-0000FF5E0000}"/>
    <cellStyle name="Normal 2 2 5 10 3" xfId="24320" xr:uid="{00000000-0005-0000-0000-0000005F0000}"/>
    <cellStyle name="Normal 2 2 5 10 3 10" xfId="24321" xr:uid="{00000000-0005-0000-0000-0000015F0000}"/>
    <cellStyle name="Normal 2 2 5 10 3 2" xfId="24322" xr:uid="{00000000-0005-0000-0000-0000025F0000}"/>
    <cellStyle name="Normal 2 2 5 10 3 3" xfId="24323" xr:uid="{00000000-0005-0000-0000-0000035F0000}"/>
    <cellStyle name="Normal 2 2 5 10 3 4" xfId="24324" xr:uid="{00000000-0005-0000-0000-0000045F0000}"/>
    <cellStyle name="Normal 2 2 5 10 3 5" xfId="24325" xr:uid="{00000000-0005-0000-0000-0000055F0000}"/>
    <cellStyle name="Normal 2 2 5 10 3 6" xfId="24326" xr:uid="{00000000-0005-0000-0000-0000065F0000}"/>
    <cellStyle name="Normal 2 2 5 10 3 7" xfId="24327" xr:uid="{00000000-0005-0000-0000-0000075F0000}"/>
    <cellStyle name="Normal 2 2 5 10 3 8" xfId="24328" xr:uid="{00000000-0005-0000-0000-0000085F0000}"/>
    <cellStyle name="Normal 2 2 5 10 3 9" xfId="24329" xr:uid="{00000000-0005-0000-0000-0000095F0000}"/>
    <cellStyle name="Normal 2 2 5 10 4" xfId="24330" xr:uid="{00000000-0005-0000-0000-00000A5F0000}"/>
    <cellStyle name="Normal 2 2 5 10 4 10" xfId="24331" xr:uid="{00000000-0005-0000-0000-00000B5F0000}"/>
    <cellStyle name="Normal 2 2 5 10 4 2" xfId="24332" xr:uid="{00000000-0005-0000-0000-00000C5F0000}"/>
    <cellStyle name="Normal 2 2 5 10 4 3" xfId="24333" xr:uid="{00000000-0005-0000-0000-00000D5F0000}"/>
    <cellStyle name="Normal 2 2 5 10 4 4" xfId="24334" xr:uid="{00000000-0005-0000-0000-00000E5F0000}"/>
    <cellStyle name="Normal 2 2 5 10 4 5" xfId="24335" xr:uid="{00000000-0005-0000-0000-00000F5F0000}"/>
    <cellStyle name="Normal 2 2 5 10 4 6" xfId="24336" xr:uid="{00000000-0005-0000-0000-0000105F0000}"/>
    <cellStyle name="Normal 2 2 5 10 4 7" xfId="24337" xr:uid="{00000000-0005-0000-0000-0000115F0000}"/>
    <cellStyle name="Normal 2 2 5 10 4 8" xfId="24338" xr:uid="{00000000-0005-0000-0000-0000125F0000}"/>
    <cellStyle name="Normal 2 2 5 10 4 9" xfId="24339" xr:uid="{00000000-0005-0000-0000-0000135F0000}"/>
    <cellStyle name="Normal 2 2 5 10 5" xfId="24340" xr:uid="{00000000-0005-0000-0000-0000145F0000}"/>
    <cellStyle name="Normal 2 2 5 10 5 10" xfId="24341" xr:uid="{00000000-0005-0000-0000-0000155F0000}"/>
    <cellStyle name="Normal 2 2 5 10 5 2" xfId="24342" xr:uid="{00000000-0005-0000-0000-0000165F0000}"/>
    <cellStyle name="Normal 2 2 5 10 5 3" xfId="24343" xr:uid="{00000000-0005-0000-0000-0000175F0000}"/>
    <cellStyle name="Normal 2 2 5 10 5 4" xfId="24344" xr:uid="{00000000-0005-0000-0000-0000185F0000}"/>
    <cellStyle name="Normal 2 2 5 10 5 5" xfId="24345" xr:uid="{00000000-0005-0000-0000-0000195F0000}"/>
    <cellStyle name="Normal 2 2 5 10 5 6" xfId="24346" xr:uid="{00000000-0005-0000-0000-00001A5F0000}"/>
    <cellStyle name="Normal 2 2 5 10 5 7" xfId="24347" xr:uid="{00000000-0005-0000-0000-00001B5F0000}"/>
    <cellStyle name="Normal 2 2 5 10 5 8" xfId="24348" xr:uid="{00000000-0005-0000-0000-00001C5F0000}"/>
    <cellStyle name="Normal 2 2 5 10 5 9" xfId="24349" xr:uid="{00000000-0005-0000-0000-00001D5F0000}"/>
    <cellStyle name="Normal 2 2 5 10 6" xfId="24350" xr:uid="{00000000-0005-0000-0000-00001E5F0000}"/>
    <cellStyle name="Normal 2 2 5 10 7" xfId="24351" xr:uid="{00000000-0005-0000-0000-00001F5F0000}"/>
    <cellStyle name="Normal 2 2 5 10 8" xfId="24352" xr:uid="{00000000-0005-0000-0000-0000205F0000}"/>
    <cellStyle name="Normal 2 2 5 10 9" xfId="24353" xr:uid="{00000000-0005-0000-0000-0000215F0000}"/>
    <cellStyle name="Normal 2 2 5 11" xfId="24354" xr:uid="{00000000-0005-0000-0000-0000225F0000}"/>
    <cellStyle name="Normal 2 2 5 11 10" xfId="24355" xr:uid="{00000000-0005-0000-0000-0000235F0000}"/>
    <cellStyle name="Normal 2 2 5 11 11" xfId="24356" xr:uid="{00000000-0005-0000-0000-0000245F0000}"/>
    <cellStyle name="Normal 2 2 5 11 12" xfId="24357" xr:uid="{00000000-0005-0000-0000-0000255F0000}"/>
    <cellStyle name="Normal 2 2 5 11 13" xfId="24358" xr:uid="{00000000-0005-0000-0000-0000265F0000}"/>
    <cellStyle name="Normal 2 2 5 11 14" xfId="24359" xr:uid="{00000000-0005-0000-0000-0000275F0000}"/>
    <cellStyle name="Normal 2 2 5 11 2" xfId="24360" xr:uid="{00000000-0005-0000-0000-0000285F0000}"/>
    <cellStyle name="Normal 2 2 5 11 2 10" xfId="24361" xr:uid="{00000000-0005-0000-0000-0000295F0000}"/>
    <cellStyle name="Normal 2 2 5 11 2 2" xfId="24362" xr:uid="{00000000-0005-0000-0000-00002A5F0000}"/>
    <cellStyle name="Normal 2 2 5 11 2 3" xfId="24363" xr:uid="{00000000-0005-0000-0000-00002B5F0000}"/>
    <cellStyle name="Normal 2 2 5 11 2 4" xfId="24364" xr:uid="{00000000-0005-0000-0000-00002C5F0000}"/>
    <cellStyle name="Normal 2 2 5 11 2 5" xfId="24365" xr:uid="{00000000-0005-0000-0000-00002D5F0000}"/>
    <cellStyle name="Normal 2 2 5 11 2 6" xfId="24366" xr:uid="{00000000-0005-0000-0000-00002E5F0000}"/>
    <cellStyle name="Normal 2 2 5 11 2 7" xfId="24367" xr:uid="{00000000-0005-0000-0000-00002F5F0000}"/>
    <cellStyle name="Normal 2 2 5 11 2 8" xfId="24368" xr:uid="{00000000-0005-0000-0000-0000305F0000}"/>
    <cellStyle name="Normal 2 2 5 11 2 9" xfId="24369" xr:uid="{00000000-0005-0000-0000-0000315F0000}"/>
    <cellStyle name="Normal 2 2 5 11 3" xfId="24370" xr:uid="{00000000-0005-0000-0000-0000325F0000}"/>
    <cellStyle name="Normal 2 2 5 11 3 10" xfId="24371" xr:uid="{00000000-0005-0000-0000-0000335F0000}"/>
    <cellStyle name="Normal 2 2 5 11 3 2" xfId="24372" xr:uid="{00000000-0005-0000-0000-0000345F0000}"/>
    <cellStyle name="Normal 2 2 5 11 3 3" xfId="24373" xr:uid="{00000000-0005-0000-0000-0000355F0000}"/>
    <cellStyle name="Normal 2 2 5 11 3 4" xfId="24374" xr:uid="{00000000-0005-0000-0000-0000365F0000}"/>
    <cellStyle name="Normal 2 2 5 11 3 5" xfId="24375" xr:uid="{00000000-0005-0000-0000-0000375F0000}"/>
    <cellStyle name="Normal 2 2 5 11 3 6" xfId="24376" xr:uid="{00000000-0005-0000-0000-0000385F0000}"/>
    <cellStyle name="Normal 2 2 5 11 3 7" xfId="24377" xr:uid="{00000000-0005-0000-0000-0000395F0000}"/>
    <cellStyle name="Normal 2 2 5 11 3 8" xfId="24378" xr:uid="{00000000-0005-0000-0000-00003A5F0000}"/>
    <cellStyle name="Normal 2 2 5 11 3 9" xfId="24379" xr:uid="{00000000-0005-0000-0000-00003B5F0000}"/>
    <cellStyle name="Normal 2 2 5 11 4" xfId="24380" xr:uid="{00000000-0005-0000-0000-00003C5F0000}"/>
    <cellStyle name="Normal 2 2 5 11 4 10" xfId="24381" xr:uid="{00000000-0005-0000-0000-00003D5F0000}"/>
    <cellStyle name="Normal 2 2 5 11 4 2" xfId="24382" xr:uid="{00000000-0005-0000-0000-00003E5F0000}"/>
    <cellStyle name="Normal 2 2 5 11 4 3" xfId="24383" xr:uid="{00000000-0005-0000-0000-00003F5F0000}"/>
    <cellStyle name="Normal 2 2 5 11 4 4" xfId="24384" xr:uid="{00000000-0005-0000-0000-0000405F0000}"/>
    <cellStyle name="Normal 2 2 5 11 4 5" xfId="24385" xr:uid="{00000000-0005-0000-0000-0000415F0000}"/>
    <cellStyle name="Normal 2 2 5 11 4 6" xfId="24386" xr:uid="{00000000-0005-0000-0000-0000425F0000}"/>
    <cellStyle name="Normal 2 2 5 11 4 7" xfId="24387" xr:uid="{00000000-0005-0000-0000-0000435F0000}"/>
    <cellStyle name="Normal 2 2 5 11 4 8" xfId="24388" xr:uid="{00000000-0005-0000-0000-0000445F0000}"/>
    <cellStyle name="Normal 2 2 5 11 4 9" xfId="24389" xr:uid="{00000000-0005-0000-0000-0000455F0000}"/>
    <cellStyle name="Normal 2 2 5 11 5" xfId="24390" xr:uid="{00000000-0005-0000-0000-0000465F0000}"/>
    <cellStyle name="Normal 2 2 5 11 5 10" xfId="24391" xr:uid="{00000000-0005-0000-0000-0000475F0000}"/>
    <cellStyle name="Normal 2 2 5 11 5 2" xfId="24392" xr:uid="{00000000-0005-0000-0000-0000485F0000}"/>
    <cellStyle name="Normal 2 2 5 11 5 3" xfId="24393" xr:uid="{00000000-0005-0000-0000-0000495F0000}"/>
    <cellStyle name="Normal 2 2 5 11 5 4" xfId="24394" xr:uid="{00000000-0005-0000-0000-00004A5F0000}"/>
    <cellStyle name="Normal 2 2 5 11 5 5" xfId="24395" xr:uid="{00000000-0005-0000-0000-00004B5F0000}"/>
    <cellStyle name="Normal 2 2 5 11 5 6" xfId="24396" xr:uid="{00000000-0005-0000-0000-00004C5F0000}"/>
    <cellStyle name="Normal 2 2 5 11 5 7" xfId="24397" xr:uid="{00000000-0005-0000-0000-00004D5F0000}"/>
    <cellStyle name="Normal 2 2 5 11 5 8" xfId="24398" xr:uid="{00000000-0005-0000-0000-00004E5F0000}"/>
    <cellStyle name="Normal 2 2 5 11 5 9" xfId="24399" xr:uid="{00000000-0005-0000-0000-00004F5F0000}"/>
    <cellStyle name="Normal 2 2 5 11 6" xfId="24400" xr:uid="{00000000-0005-0000-0000-0000505F0000}"/>
    <cellStyle name="Normal 2 2 5 11 7" xfId="24401" xr:uid="{00000000-0005-0000-0000-0000515F0000}"/>
    <cellStyle name="Normal 2 2 5 11 8" xfId="24402" xr:uid="{00000000-0005-0000-0000-0000525F0000}"/>
    <cellStyle name="Normal 2 2 5 11 9" xfId="24403" xr:uid="{00000000-0005-0000-0000-0000535F0000}"/>
    <cellStyle name="Normal 2 2 5 12" xfId="24404" xr:uid="{00000000-0005-0000-0000-0000545F0000}"/>
    <cellStyle name="Normal 2 2 5 12 10" xfId="24405" xr:uid="{00000000-0005-0000-0000-0000555F0000}"/>
    <cellStyle name="Normal 2 2 5 12 11" xfId="24406" xr:uid="{00000000-0005-0000-0000-0000565F0000}"/>
    <cellStyle name="Normal 2 2 5 12 12" xfId="24407" xr:uid="{00000000-0005-0000-0000-0000575F0000}"/>
    <cellStyle name="Normal 2 2 5 12 13" xfId="24408" xr:uid="{00000000-0005-0000-0000-0000585F0000}"/>
    <cellStyle name="Normal 2 2 5 12 14" xfId="24409" xr:uid="{00000000-0005-0000-0000-0000595F0000}"/>
    <cellStyle name="Normal 2 2 5 12 2" xfId="24410" xr:uid="{00000000-0005-0000-0000-00005A5F0000}"/>
    <cellStyle name="Normal 2 2 5 12 2 10" xfId="24411" xr:uid="{00000000-0005-0000-0000-00005B5F0000}"/>
    <cellStyle name="Normal 2 2 5 12 2 2" xfId="24412" xr:uid="{00000000-0005-0000-0000-00005C5F0000}"/>
    <cellStyle name="Normal 2 2 5 12 2 3" xfId="24413" xr:uid="{00000000-0005-0000-0000-00005D5F0000}"/>
    <cellStyle name="Normal 2 2 5 12 2 4" xfId="24414" xr:uid="{00000000-0005-0000-0000-00005E5F0000}"/>
    <cellStyle name="Normal 2 2 5 12 2 5" xfId="24415" xr:uid="{00000000-0005-0000-0000-00005F5F0000}"/>
    <cellStyle name="Normal 2 2 5 12 2 6" xfId="24416" xr:uid="{00000000-0005-0000-0000-0000605F0000}"/>
    <cellStyle name="Normal 2 2 5 12 2 7" xfId="24417" xr:uid="{00000000-0005-0000-0000-0000615F0000}"/>
    <cellStyle name="Normal 2 2 5 12 2 8" xfId="24418" xr:uid="{00000000-0005-0000-0000-0000625F0000}"/>
    <cellStyle name="Normal 2 2 5 12 2 9" xfId="24419" xr:uid="{00000000-0005-0000-0000-0000635F0000}"/>
    <cellStyle name="Normal 2 2 5 12 3" xfId="24420" xr:uid="{00000000-0005-0000-0000-0000645F0000}"/>
    <cellStyle name="Normal 2 2 5 12 3 10" xfId="24421" xr:uid="{00000000-0005-0000-0000-0000655F0000}"/>
    <cellStyle name="Normal 2 2 5 12 3 2" xfId="24422" xr:uid="{00000000-0005-0000-0000-0000665F0000}"/>
    <cellStyle name="Normal 2 2 5 12 3 3" xfId="24423" xr:uid="{00000000-0005-0000-0000-0000675F0000}"/>
    <cellStyle name="Normal 2 2 5 12 3 4" xfId="24424" xr:uid="{00000000-0005-0000-0000-0000685F0000}"/>
    <cellStyle name="Normal 2 2 5 12 3 5" xfId="24425" xr:uid="{00000000-0005-0000-0000-0000695F0000}"/>
    <cellStyle name="Normal 2 2 5 12 3 6" xfId="24426" xr:uid="{00000000-0005-0000-0000-00006A5F0000}"/>
    <cellStyle name="Normal 2 2 5 12 3 7" xfId="24427" xr:uid="{00000000-0005-0000-0000-00006B5F0000}"/>
    <cellStyle name="Normal 2 2 5 12 3 8" xfId="24428" xr:uid="{00000000-0005-0000-0000-00006C5F0000}"/>
    <cellStyle name="Normal 2 2 5 12 3 9" xfId="24429" xr:uid="{00000000-0005-0000-0000-00006D5F0000}"/>
    <cellStyle name="Normal 2 2 5 12 4" xfId="24430" xr:uid="{00000000-0005-0000-0000-00006E5F0000}"/>
    <cellStyle name="Normal 2 2 5 12 4 10" xfId="24431" xr:uid="{00000000-0005-0000-0000-00006F5F0000}"/>
    <cellStyle name="Normal 2 2 5 12 4 2" xfId="24432" xr:uid="{00000000-0005-0000-0000-0000705F0000}"/>
    <cellStyle name="Normal 2 2 5 12 4 3" xfId="24433" xr:uid="{00000000-0005-0000-0000-0000715F0000}"/>
    <cellStyle name="Normal 2 2 5 12 4 4" xfId="24434" xr:uid="{00000000-0005-0000-0000-0000725F0000}"/>
    <cellStyle name="Normal 2 2 5 12 4 5" xfId="24435" xr:uid="{00000000-0005-0000-0000-0000735F0000}"/>
    <cellStyle name="Normal 2 2 5 12 4 6" xfId="24436" xr:uid="{00000000-0005-0000-0000-0000745F0000}"/>
    <cellStyle name="Normal 2 2 5 12 4 7" xfId="24437" xr:uid="{00000000-0005-0000-0000-0000755F0000}"/>
    <cellStyle name="Normal 2 2 5 12 4 8" xfId="24438" xr:uid="{00000000-0005-0000-0000-0000765F0000}"/>
    <cellStyle name="Normal 2 2 5 12 4 9" xfId="24439" xr:uid="{00000000-0005-0000-0000-0000775F0000}"/>
    <cellStyle name="Normal 2 2 5 12 5" xfId="24440" xr:uid="{00000000-0005-0000-0000-0000785F0000}"/>
    <cellStyle name="Normal 2 2 5 12 5 10" xfId="24441" xr:uid="{00000000-0005-0000-0000-0000795F0000}"/>
    <cellStyle name="Normal 2 2 5 12 5 2" xfId="24442" xr:uid="{00000000-0005-0000-0000-00007A5F0000}"/>
    <cellStyle name="Normal 2 2 5 12 5 3" xfId="24443" xr:uid="{00000000-0005-0000-0000-00007B5F0000}"/>
    <cellStyle name="Normal 2 2 5 12 5 4" xfId="24444" xr:uid="{00000000-0005-0000-0000-00007C5F0000}"/>
    <cellStyle name="Normal 2 2 5 12 5 5" xfId="24445" xr:uid="{00000000-0005-0000-0000-00007D5F0000}"/>
    <cellStyle name="Normal 2 2 5 12 5 6" xfId="24446" xr:uid="{00000000-0005-0000-0000-00007E5F0000}"/>
    <cellStyle name="Normal 2 2 5 12 5 7" xfId="24447" xr:uid="{00000000-0005-0000-0000-00007F5F0000}"/>
    <cellStyle name="Normal 2 2 5 12 5 8" xfId="24448" xr:uid="{00000000-0005-0000-0000-0000805F0000}"/>
    <cellStyle name="Normal 2 2 5 12 5 9" xfId="24449" xr:uid="{00000000-0005-0000-0000-0000815F0000}"/>
    <cellStyle name="Normal 2 2 5 12 6" xfId="24450" xr:uid="{00000000-0005-0000-0000-0000825F0000}"/>
    <cellStyle name="Normal 2 2 5 12 7" xfId="24451" xr:uid="{00000000-0005-0000-0000-0000835F0000}"/>
    <cellStyle name="Normal 2 2 5 12 8" xfId="24452" xr:uid="{00000000-0005-0000-0000-0000845F0000}"/>
    <cellStyle name="Normal 2 2 5 12 9" xfId="24453" xr:uid="{00000000-0005-0000-0000-0000855F0000}"/>
    <cellStyle name="Normal 2 2 5 13" xfId="24454" xr:uid="{00000000-0005-0000-0000-0000865F0000}"/>
    <cellStyle name="Normal 2 2 5 13 10" xfId="24455" xr:uid="{00000000-0005-0000-0000-0000875F0000}"/>
    <cellStyle name="Normal 2 2 5 13 11" xfId="24456" xr:uid="{00000000-0005-0000-0000-0000885F0000}"/>
    <cellStyle name="Normal 2 2 5 13 12" xfId="24457" xr:uid="{00000000-0005-0000-0000-0000895F0000}"/>
    <cellStyle name="Normal 2 2 5 13 13" xfId="24458" xr:uid="{00000000-0005-0000-0000-00008A5F0000}"/>
    <cellStyle name="Normal 2 2 5 13 14" xfId="24459" xr:uid="{00000000-0005-0000-0000-00008B5F0000}"/>
    <cellStyle name="Normal 2 2 5 13 2" xfId="24460" xr:uid="{00000000-0005-0000-0000-00008C5F0000}"/>
    <cellStyle name="Normal 2 2 5 13 2 10" xfId="24461" xr:uid="{00000000-0005-0000-0000-00008D5F0000}"/>
    <cellStyle name="Normal 2 2 5 13 2 2" xfId="24462" xr:uid="{00000000-0005-0000-0000-00008E5F0000}"/>
    <cellStyle name="Normal 2 2 5 13 2 3" xfId="24463" xr:uid="{00000000-0005-0000-0000-00008F5F0000}"/>
    <cellStyle name="Normal 2 2 5 13 2 4" xfId="24464" xr:uid="{00000000-0005-0000-0000-0000905F0000}"/>
    <cellStyle name="Normal 2 2 5 13 2 5" xfId="24465" xr:uid="{00000000-0005-0000-0000-0000915F0000}"/>
    <cellStyle name="Normal 2 2 5 13 2 6" xfId="24466" xr:uid="{00000000-0005-0000-0000-0000925F0000}"/>
    <cellStyle name="Normal 2 2 5 13 2 7" xfId="24467" xr:uid="{00000000-0005-0000-0000-0000935F0000}"/>
    <cellStyle name="Normal 2 2 5 13 2 8" xfId="24468" xr:uid="{00000000-0005-0000-0000-0000945F0000}"/>
    <cellStyle name="Normal 2 2 5 13 2 9" xfId="24469" xr:uid="{00000000-0005-0000-0000-0000955F0000}"/>
    <cellStyle name="Normal 2 2 5 13 3" xfId="24470" xr:uid="{00000000-0005-0000-0000-0000965F0000}"/>
    <cellStyle name="Normal 2 2 5 13 3 10" xfId="24471" xr:uid="{00000000-0005-0000-0000-0000975F0000}"/>
    <cellStyle name="Normal 2 2 5 13 3 2" xfId="24472" xr:uid="{00000000-0005-0000-0000-0000985F0000}"/>
    <cellStyle name="Normal 2 2 5 13 3 3" xfId="24473" xr:uid="{00000000-0005-0000-0000-0000995F0000}"/>
    <cellStyle name="Normal 2 2 5 13 3 4" xfId="24474" xr:uid="{00000000-0005-0000-0000-00009A5F0000}"/>
    <cellStyle name="Normal 2 2 5 13 3 5" xfId="24475" xr:uid="{00000000-0005-0000-0000-00009B5F0000}"/>
    <cellStyle name="Normal 2 2 5 13 3 6" xfId="24476" xr:uid="{00000000-0005-0000-0000-00009C5F0000}"/>
    <cellStyle name="Normal 2 2 5 13 3 7" xfId="24477" xr:uid="{00000000-0005-0000-0000-00009D5F0000}"/>
    <cellStyle name="Normal 2 2 5 13 3 8" xfId="24478" xr:uid="{00000000-0005-0000-0000-00009E5F0000}"/>
    <cellStyle name="Normal 2 2 5 13 3 9" xfId="24479" xr:uid="{00000000-0005-0000-0000-00009F5F0000}"/>
    <cellStyle name="Normal 2 2 5 13 4" xfId="24480" xr:uid="{00000000-0005-0000-0000-0000A05F0000}"/>
    <cellStyle name="Normal 2 2 5 13 4 10" xfId="24481" xr:uid="{00000000-0005-0000-0000-0000A15F0000}"/>
    <cellStyle name="Normal 2 2 5 13 4 2" xfId="24482" xr:uid="{00000000-0005-0000-0000-0000A25F0000}"/>
    <cellStyle name="Normal 2 2 5 13 4 3" xfId="24483" xr:uid="{00000000-0005-0000-0000-0000A35F0000}"/>
    <cellStyle name="Normal 2 2 5 13 4 4" xfId="24484" xr:uid="{00000000-0005-0000-0000-0000A45F0000}"/>
    <cellStyle name="Normal 2 2 5 13 4 5" xfId="24485" xr:uid="{00000000-0005-0000-0000-0000A55F0000}"/>
    <cellStyle name="Normal 2 2 5 13 4 6" xfId="24486" xr:uid="{00000000-0005-0000-0000-0000A65F0000}"/>
    <cellStyle name="Normal 2 2 5 13 4 7" xfId="24487" xr:uid="{00000000-0005-0000-0000-0000A75F0000}"/>
    <cellStyle name="Normal 2 2 5 13 4 8" xfId="24488" xr:uid="{00000000-0005-0000-0000-0000A85F0000}"/>
    <cellStyle name="Normal 2 2 5 13 4 9" xfId="24489" xr:uid="{00000000-0005-0000-0000-0000A95F0000}"/>
    <cellStyle name="Normal 2 2 5 13 5" xfId="24490" xr:uid="{00000000-0005-0000-0000-0000AA5F0000}"/>
    <cellStyle name="Normal 2 2 5 13 5 10" xfId="24491" xr:uid="{00000000-0005-0000-0000-0000AB5F0000}"/>
    <cellStyle name="Normal 2 2 5 13 5 2" xfId="24492" xr:uid="{00000000-0005-0000-0000-0000AC5F0000}"/>
    <cellStyle name="Normal 2 2 5 13 5 3" xfId="24493" xr:uid="{00000000-0005-0000-0000-0000AD5F0000}"/>
    <cellStyle name="Normal 2 2 5 13 5 4" xfId="24494" xr:uid="{00000000-0005-0000-0000-0000AE5F0000}"/>
    <cellStyle name="Normal 2 2 5 13 5 5" xfId="24495" xr:uid="{00000000-0005-0000-0000-0000AF5F0000}"/>
    <cellStyle name="Normal 2 2 5 13 5 6" xfId="24496" xr:uid="{00000000-0005-0000-0000-0000B05F0000}"/>
    <cellStyle name="Normal 2 2 5 13 5 7" xfId="24497" xr:uid="{00000000-0005-0000-0000-0000B15F0000}"/>
    <cellStyle name="Normal 2 2 5 13 5 8" xfId="24498" xr:uid="{00000000-0005-0000-0000-0000B25F0000}"/>
    <cellStyle name="Normal 2 2 5 13 5 9" xfId="24499" xr:uid="{00000000-0005-0000-0000-0000B35F0000}"/>
    <cellStyle name="Normal 2 2 5 13 6" xfId="24500" xr:uid="{00000000-0005-0000-0000-0000B45F0000}"/>
    <cellStyle name="Normal 2 2 5 13 7" xfId="24501" xr:uid="{00000000-0005-0000-0000-0000B55F0000}"/>
    <cellStyle name="Normal 2 2 5 13 8" xfId="24502" xr:uid="{00000000-0005-0000-0000-0000B65F0000}"/>
    <cellStyle name="Normal 2 2 5 13 9" xfId="24503" xr:uid="{00000000-0005-0000-0000-0000B75F0000}"/>
    <cellStyle name="Normal 2 2 5 14" xfId="24504" xr:uid="{00000000-0005-0000-0000-0000B85F0000}"/>
    <cellStyle name="Normal 2 2 5 14 10" xfId="24505" xr:uid="{00000000-0005-0000-0000-0000B95F0000}"/>
    <cellStyle name="Normal 2 2 5 14 11" xfId="24506" xr:uid="{00000000-0005-0000-0000-0000BA5F0000}"/>
    <cellStyle name="Normal 2 2 5 14 12" xfId="24507" xr:uid="{00000000-0005-0000-0000-0000BB5F0000}"/>
    <cellStyle name="Normal 2 2 5 14 13" xfId="24508" xr:uid="{00000000-0005-0000-0000-0000BC5F0000}"/>
    <cellStyle name="Normal 2 2 5 14 14" xfId="24509" xr:uid="{00000000-0005-0000-0000-0000BD5F0000}"/>
    <cellStyle name="Normal 2 2 5 14 2" xfId="24510" xr:uid="{00000000-0005-0000-0000-0000BE5F0000}"/>
    <cellStyle name="Normal 2 2 5 14 2 10" xfId="24511" xr:uid="{00000000-0005-0000-0000-0000BF5F0000}"/>
    <cellStyle name="Normal 2 2 5 14 2 2" xfId="24512" xr:uid="{00000000-0005-0000-0000-0000C05F0000}"/>
    <cellStyle name="Normal 2 2 5 14 2 3" xfId="24513" xr:uid="{00000000-0005-0000-0000-0000C15F0000}"/>
    <cellStyle name="Normal 2 2 5 14 2 4" xfId="24514" xr:uid="{00000000-0005-0000-0000-0000C25F0000}"/>
    <cellStyle name="Normal 2 2 5 14 2 5" xfId="24515" xr:uid="{00000000-0005-0000-0000-0000C35F0000}"/>
    <cellStyle name="Normal 2 2 5 14 2 6" xfId="24516" xr:uid="{00000000-0005-0000-0000-0000C45F0000}"/>
    <cellStyle name="Normal 2 2 5 14 2 7" xfId="24517" xr:uid="{00000000-0005-0000-0000-0000C55F0000}"/>
    <cellStyle name="Normal 2 2 5 14 2 8" xfId="24518" xr:uid="{00000000-0005-0000-0000-0000C65F0000}"/>
    <cellStyle name="Normal 2 2 5 14 2 9" xfId="24519" xr:uid="{00000000-0005-0000-0000-0000C75F0000}"/>
    <cellStyle name="Normal 2 2 5 14 3" xfId="24520" xr:uid="{00000000-0005-0000-0000-0000C85F0000}"/>
    <cellStyle name="Normal 2 2 5 14 3 10" xfId="24521" xr:uid="{00000000-0005-0000-0000-0000C95F0000}"/>
    <cellStyle name="Normal 2 2 5 14 3 2" xfId="24522" xr:uid="{00000000-0005-0000-0000-0000CA5F0000}"/>
    <cellStyle name="Normal 2 2 5 14 3 3" xfId="24523" xr:uid="{00000000-0005-0000-0000-0000CB5F0000}"/>
    <cellStyle name="Normal 2 2 5 14 3 4" xfId="24524" xr:uid="{00000000-0005-0000-0000-0000CC5F0000}"/>
    <cellStyle name="Normal 2 2 5 14 3 5" xfId="24525" xr:uid="{00000000-0005-0000-0000-0000CD5F0000}"/>
    <cellStyle name="Normal 2 2 5 14 3 6" xfId="24526" xr:uid="{00000000-0005-0000-0000-0000CE5F0000}"/>
    <cellStyle name="Normal 2 2 5 14 3 7" xfId="24527" xr:uid="{00000000-0005-0000-0000-0000CF5F0000}"/>
    <cellStyle name="Normal 2 2 5 14 3 8" xfId="24528" xr:uid="{00000000-0005-0000-0000-0000D05F0000}"/>
    <cellStyle name="Normal 2 2 5 14 3 9" xfId="24529" xr:uid="{00000000-0005-0000-0000-0000D15F0000}"/>
    <cellStyle name="Normal 2 2 5 14 4" xfId="24530" xr:uid="{00000000-0005-0000-0000-0000D25F0000}"/>
    <cellStyle name="Normal 2 2 5 14 4 10" xfId="24531" xr:uid="{00000000-0005-0000-0000-0000D35F0000}"/>
    <cellStyle name="Normal 2 2 5 14 4 2" xfId="24532" xr:uid="{00000000-0005-0000-0000-0000D45F0000}"/>
    <cellStyle name="Normal 2 2 5 14 4 3" xfId="24533" xr:uid="{00000000-0005-0000-0000-0000D55F0000}"/>
    <cellStyle name="Normal 2 2 5 14 4 4" xfId="24534" xr:uid="{00000000-0005-0000-0000-0000D65F0000}"/>
    <cellStyle name="Normal 2 2 5 14 4 5" xfId="24535" xr:uid="{00000000-0005-0000-0000-0000D75F0000}"/>
    <cellStyle name="Normal 2 2 5 14 4 6" xfId="24536" xr:uid="{00000000-0005-0000-0000-0000D85F0000}"/>
    <cellStyle name="Normal 2 2 5 14 4 7" xfId="24537" xr:uid="{00000000-0005-0000-0000-0000D95F0000}"/>
    <cellStyle name="Normal 2 2 5 14 4 8" xfId="24538" xr:uid="{00000000-0005-0000-0000-0000DA5F0000}"/>
    <cellStyle name="Normal 2 2 5 14 4 9" xfId="24539" xr:uid="{00000000-0005-0000-0000-0000DB5F0000}"/>
    <cellStyle name="Normal 2 2 5 14 5" xfId="24540" xr:uid="{00000000-0005-0000-0000-0000DC5F0000}"/>
    <cellStyle name="Normal 2 2 5 14 5 10" xfId="24541" xr:uid="{00000000-0005-0000-0000-0000DD5F0000}"/>
    <cellStyle name="Normal 2 2 5 14 5 2" xfId="24542" xr:uid="{00000000-0005-0000-0000-0000DE5F0000}"/>
    <cellStyle name="Normal 2 2 5 14 5 3" xfId="24543" xr:uid="{00000000-0005-0000-0000-0000DF5F0000}"/>
    <cellStyle name="Normal 2 2 5 14 5 4" xfId="24544" xr:uid="{00000000-0005-0000-0000-0000E05F0000}"/>
    <cellStyle name="Normal 2 2 5 14 5 5" xfId="24545" xr:uid="{00000000-0005-0000-0000-0000E15F0000}"/>
    <cellStyle name="Normal 2 2 5 14 5 6" xfId="24546" xr:uid="{00000000-0005-0000-0000-0000E25F0000}"/>
    <cellStyle name="Normal 2 2 5 14 5 7" xfId="24547" xr:uid="{00000000-0005-0000-0000-0000E35F0000}"/>
    <cellStyle name="Normal 2 2 5 14 5 8" xfId="24548" xr:uid="{00000000-0005-0000-0000-0000E45F0000}"/>
    <cellStyle name="Normal 2 2 5 14 5 9" xfId="24549" xr:uid="{00000000-0005-0000-0000-0000E55F0000}"/>
    <cellStyle name="Normal 2 2 5 14 6" xfId="24550" xr:uid="{00000000-0005-0000-0000-0000E65F0000}"/>
    <cellStyle name="Normal 2 2 5 14 7" xfId="24551" xr:uid="{00000000-0005-0000-0000-0000E75F0000}"/>
    <cellStyle name="Normal 2 2 5 14 8" xfId="24552" xr:uid="{00000000-0005-0000-0000-0000E85F0000}"/>
    <cellStyle name="Normal 2 2 5 14 9" xfId="24553" xr:uid="{00000000-0005-0000-0000-0000E95F0000}"/>
    <cellStyle name="Normal 2 2 5 15" xfId="24554" xr:uid="{00000000-0005-0000-0000-0000EA5F0000}"/>
    <cellStyle name="Normal 2 2 5 15 10" xfId="24555" xr:uid="{00000000-0005-0000-0000-0000EB5F0000}"/>
    <cellStyle name="Normal 2 2 5 15 11" xfId="24556" xr:uid="{00000000-0005-0000-0000-0000EC5F0000}"/>
    <cellStyle name="Normal 2 2 5 15 12" xfId="24557" xr:uid="{00000000-0005-0000-0000-0000ED5F0000}"/>
    <cellStyle name="Normal 2 2 5 15 13" xfId="24558" xr:uid="{00000000-0005-0000-0000-0000EE5F0000}"/>
    <cellStyle name="Normal 2 2 5 15 14" xfId="24559" xr:uid="{00000000-0005-0000-0000-0000EF5F0000}"/>
    <cellStyle name="Normal 2 2 5 15 2" xfId="24560" xr:uid="{00000000-0005-0000-0000-0000F05F0000}"/>
    <cellStyle name="Normal 2 2 5 15 2 10" xfId="24561" xr:uid="{00000000-0005-0000-0000-0000F15F0000}"/>
    <cellStyle name="Normal 2 2 5 15 2 2" xfId="24562" xr:uid="{00000000-0005-0000-0000-0000F25F0000}"/>
    <cellStyle name="Normal 2 2 5 15 2 3" xfId="24563" xr:uid="{00000000-0005-0000-0000-0000F35F0000}"/>
    <cellStyle name="Normal 2 2 5 15 2 4" xfId="24564" xr:uid="{00000000-0005-0000-0000-0000F45F0000}"/>
    <cellStyle name="Normal 2 2 5 15 2 5" xfId="24565" xr:uid="{00000000-0005-0000-0000-0000F55F0000}"/>
    <cellStyle name="Normal 2 2 5 15 2 6" xfId="24566" xr:uid="{00000000-0005-0000-0000-0000F65F0000}"/>
    <cellStyle name="Normal 2 2 5 15 2 7" xfId="24567" xr:uid="{00000000-0005-0000-0000-0000F75F0000}"/>
    <cellStyle name="Normal 2 2 5 15 2 8" xfId="24568" xr:uid="{00000000-0005-0000-0000-0000F85F0000}"/>
    <cellStyle name="Normal 2 2 5 15 2 9" xfId="24569" xr:uid="{00000000-0005-0000-0000-0000F95F0000}"/>
    <cellStyle name="Normal 2 2 5 15 3" xfId="24570" xr:uid="{00000000-0005-0000-0000-0000FA5F0000}"/>
    <cellStyle name="Normal 2 2 5 15 3 10" xfId="24571" xr:uid="{00000000-0005-0000-0000-0000FB5F0000}"/>
    <cellStyle name="Normal 2 2 5 15 3 2" xfId="24572" xr:uid="{00000000-0005-0000-0000-0000FC5F0000}"/>
    <cellStyle name="Normal 2 2 5 15 3 3" xfId="24573" xr:uid="{00000000-0005-0000-0000-0000FD5F0000}"/>
    <cellStyle name="Normal 2 2 5 15 3 4" xfId="24574" xr:uid="{00000000-0005-0000-0000-0000FE5F0000}"/>
    <cellStyle name="Normal 2 2 5 15 3 5" xfId="24575" xr:uid="{00000000-0005-0000-0000-0000FF5F0000}"/>
    <cellStyle name="Normal 2 2 5 15 3 6" xfId="24576" xr:uid="{00000000-0005-0000-0000-000000600000}"/>
    <cellStyle name="Normal 2 2 5 15 3 7" xfId="24577" xr:uid="{00000000-0005-0000-0000-000001600000}"/>
    <cellStyle name="Normal 2 2 5 15 3 8" xfId="24578" xr:uid="{00000000-0005-0000-0000-000002600000}"/>
    <cellStyle name="Normal 2 2 5 15 3 9" xfId="24579" xr:uid="{00000000-0005-0000-0000-000003600000}"/>
    <cellStyle name="Normal 2 2 5 15 4" xfId="24580" xr:uid="{00000000-0005-0000-0000-000004600000}"/>
    <cellStyle name="Normal 2 2 5 15 4 10" xfId="24581" xr:uid="{00000000-0005-0000-0000-000005600000}"/>
    <cellStyle name="Normal 2 2 5 15 4 2" xfId="24582" xr:uid="{00000000-0005-0000-0000-000006600000}"/>
    <cellStyle name="Normal 2 2 5 15 4 3" xfId="24583" xr:uid="{00000000-0005-0000-0000-000007600000}"/>
    <cellStyle name="Normal 2 2 5 15 4 4" xfId="24584" xr:uid="{00000000-0005-0000-0000-000008600000}"/>
    <cellStyle name="Normal 2 2 5 15 4 5" xfId="24585" xr:uid="{00000000-0005-0000-0000-000009600000}"/>
    <cellStyle name="Normal 2 2 5 15 4 6" xfId="24586" xr:uid="{00000000-0005-0000-0000-00000A600000}"/>
    <cellStyle name="Normal 2 2 5 15 4 7" xfId="24587" xr:uid="{00000000-0005-0000-0000-00000B600000}"/>
    <cellStyle name="Normal 2 2 5 15 4 8" xfId="24588" xr:uid="{00000000-0005-0000-0000-00000C600000}"/>
    <cellStyle name="Normal 2 2 5 15 4 9" xfId="24589" xr:uid="{00000000-0005-0000-0000-00000D600000}"/>
    <cellStyle name="Normal 2 2 5 15 5" xfId="24590" xr:uid="{00000000-0005-0000-0000-00000E600000}"/>
    <cellStyle name="Normal 2 2 5 15 5 10" xfId="24591" xr:uid="{00000000-0005-0000-0000-00000F600000}"/>
    <cellStyle name="Normal 2 2 5 15 5 2" xfId="24592" xr:uid="{00000000-0005-0000-0000-000010600000}"/>
    <cellStyle name="Normal 2 2 5 15 5 3" xfId="24593" xr:uid="{00000000-0005-0000-0000-000011600000}"/>
    <cellStyle name="Normal 2 2 5 15 5 4" xfId="24594" xr:uid="{00000000-0005-0000-0000-000012600000}"/>
    <cellStyle name="Normal 2 2 5 15 5 5" xfId="24595" xr:uid="{00000000-0005-0000-0000-000013600000}"/>
    <cellStyle name="Normal 2 2 5 15 5 6" xfId="24596" xr:uid="{00000000-0005-0000-0000-000014600000}"/>
    <cellStyle name="Normal 2 2 5 15 5 7" xfId="24597" xr:uid="{00000000-0005-0000-0000-000015600000}"/>
    <cellStyle name="Normal 2 2 5 15 5 8" xfId="24598" xr:uid="{00000000-0005-0000-0000-000016600000}"/>
    <cellStyle name="Normal 2 2 5 15 5 9" xfId="24599" xr:uid="{00000000-0005-0000-0000-000017600000}"/>
    <cellStyle name="Normal 2 2 5 15 6" xfId="24600" xr:uid="{00000000-0005-0000-0000-000018600000}"/>
    <cellStyle name="Normal 2 2 5 15 7" xfId="24601" xr:uid="{00000000-0005-0000-0000-000019600000}"/>
    <cellStyle name="Normal 2 2 5 15 8" xfId="24602" xr:uid="{00000000-0005-0000-0000-00001A600000}"/>
    <cellStyle name="Normal 2 2 5 15 9" xfId="24603" xr:uid="{00000000-0005-0000-0000-00001B600000}"/>
    <cellStyle name="Normal 2 2 5 16" xfId="24604" xr:uid="{00000000-0005-0000-0000-00001C600000}"/>
    <cellStyle name="Normal 2 2 5 16 10" xfId="24605" xr:uid="{00000000-0005-0000-0000-00001D600000}"/>
    <cellStyle name="Normal 2 2 5 16 11" xfId="24606" xr:uid="{00000000-0005-0000-0000-00001E600000}"/>
    <cellStyle name="Normal 2 2 5 16 12" xfId="24607" xr:uid="{00000000-0005-0000-0000-00001F600000}"/>
    <cellStyle name="Normal 2 2 5 16 13" xfId="24608" xr:uid="{00000000-0005-0000-0000-000020600000}"/>
    <cellStyle name="Normal 2 2 5 16 14" xfId="24609" xr:uid="{00000000-0005-0000-0000-000021600000}"/>
    <cellStyle name="Normal 2 2 5 16 2" xfId="24610" xr:uid="{00000000-0005-0000-0000-000022600000}"/>
    <cellStyle name="Normal 2 2 5 16 2 10" xfId="24611" xr:uid="{00000000-0005-0000-0000-000023600000}"/>
    <cellStyle name="Normal 2 2 5 16 2 2" xfId="24612" xr:uid="{00000000-0005-0000-0000-000024600000}"/>
    <cellStyle name="Normal 2 2 5 16 2 3" xfId="24613" xr:uid="{00000000-0005-0000-0000-000025600000}"/>
    <cellStyle name="Normal 2 2 5 16 2 4" xfId="24614" xr:uid="{00000000-0005-0000-0000-000026600000}"/>
    <cellStyle name="Normal 2 2 5 16 2 5" xfId="24615" xr:uid="{00000000-0005-0000-0000-000027600000}"/>
    <cellStyle name="Normal 2 2 5 16 2 6" xfId="24616" xr:uid="{00000000-0005-0000-0000-000028600000}"/>
    <cellStyle name="Normal 2 2 5 16 2 7" xfId="24617" xr:uid="{00000000-0005-0000-0000-000029600000}"/>
    <cellStyle name="Normal 2 2 5 16 2 8" xfId="24618" xr:uid="{00000000-0005-0000-0000-00002A600000}"/>
    <cellStyle name="Normal 2 2 5 16 2 9" xfId="24619" xr:uid="{00000000-0005-0000-0000-00002B600000}"/>
    <cellStyle name="Normal 2 2 5 16 3" xfId="24620" xr:uid="{00000000-0005-0000-0000-00002C600000}"/>
    <cellStyle name="Normal 2 2 5 16 3 10" xfId="24621" xr:uid="{00000000-0005-0000-0000-00002D600000}"/>
    <cellStyle name="Normal 2 2 5 16 3 2" xfId="24622" xr:uid="{00000000-0005-0000-0000-00002E600000}"/>
    <cellStyle name="Normal 2 2 5 16 3 3" xfId="24623" xr:uid="{00000000-0005-0000-0000-00002F600000}"/>
    <cellStyle name="Normal 2 2 5 16 3 4" xfId="24624" xr:uid="{00000000-0005-0000-0000-000030600000}"/>
    <cellStyle name="Normal 2 2 5 16 3 5" xfId="24625" xr:uid="{00000000-0005-0000-0000-000031600000}"/>
    <cellStyle name="Normal 2 2 5 16 3 6" xfId="24626" xr:uid="{00000000-0005-0000-0000-000032600000}"/>
    <cellStyle name="Normal 2 2 5 16 3 7" xfId="24627" xr:uid="{00000000-0005-0000-0000-000033600000}"/>
    <cellStyle name="Normal 2 2 5 16 3 8" xfId="24628" xr:uid="{00000000-0005-0000-0000-000034600000}"/>
    <cellStyle name="Normal 2 2 5 16 3 9" xfId="24629" xr:uid="{00000000-0005-0000-0000-000035600000}"/>
    <cellStyle name="Normal 2 2 5 16 4" xfId="24630" xr:uid="{00000000-0005-0000-0000-000036600000}"/>
    <cellStyle name="Normal 2 2 5 16 4 10" xfId="24631" xr:uid="{00000000-0005-0000-0000-000037600000}"/>
    <cellStyle name="Normal 2 2 5 16 4 2" xfId="24632" xr:uid="{00000000-0005-0000-0000-000038600000}"/>
    <cellStyle name="Normal 2 2 5 16 4 3" xfId="24633" xr:uid="{00000000-0005-0000-0000-000039600000}"/>
    <cellStyle name="Normal 2 2 5 16 4 4" xfId="24634" xr:uid="{00000000-0005-0000-0000-00003A600000}"/>
    <cellStyle name="Normal 2 2 5 16 4 5" xfId="24635" xr:uid="{00000000-0005-0000-0000-00003B600000}"/>
    <cellStyle name="Normal 2 2 5 16 4 6" xfId="24636" xr:uid="{00000000-0005-0000-0000-00003C600000}"/>
    <cellStyle name="Normal 2 2 5 16 4 7" xfId="24637" xr:uid="{00000000-0005-0000-0000-00003D600000}"/>
    <cellStyle name="Normal 2 2 5 16 4 8" xfId="24638" xr:uid="{00000000-0005-0000-0000-00003E600000}"/>
    <cellStyle name="Normal 2 2 5 16 4 9" xfId="24639" xr:uid="{00000000-0005-0000-0000-00003F600000}"/>
    <cellStyle name="Normal 2 2 5 16 5" xfId="24640" xr:uid="{00000000-0005-0000-0000-000040600000}"/>
    <cellStyle name="Normal 2 2 5 16 5 10" xfId="24641" xr:uid="{00000000-0005-0000-0000-000041600000}"/>
    <cellStyle name="Normal 2 2 5 16 5 2" xfId="24642" xr:uid="{00000000-0005-0000-0000-000042600000}"/>
    <cellStyle name="Normal 2 2 5 16 5 3" xfId="24643" xr:uid="{00000000-0005-0000-0000-000043600000}"/>
    <cellStyle name="Normal 2 2 5 16 5 4" xfId="24644" xr:uid="{00000000-0005-0000-0000-000044600000}"/>
    <cellStyle name="Normal 2 2 5 16 5 5" xfId="24645" xr:uid="{00000000-0005-0000-0000-000045600000}"/>
    <cellStyle name="Normal 2 2 5 16 5 6" xfId="24646" xr:uid="{00000000-0005-0000-0000-000046600000}"/>
    <cellStyle name="Normal 2 2 5 16 5 7" xfId="24647" xr:uid="{00000000-0005-0000-0000-000047600000}"/>
    <cellStyle name="Normal 2 2 5 16 5 8" xfId="24648" xr:uid="{00000000-0005-0000-0000-000048600000}"/>
    <cellStyle name="Normal 2 2 5 16 5 9" xfId="24649" xr:uid="{00000000-0005-0000-0000-000049600000}"/>
    <cellStyle name="Normal 2 2 5 16 6" xfId="24650" xr:uid="{00000000-0005-0000-0000-00004A600000}"/>
    <cellStyle name="Normal 2 2 5 16 7" xfId="24651" xr:uid="{00000000-0005-0000-0000-00004B600000}"/>
    <cellStyle name="Normal 2 2 5 16 8" xfId="24652" xr:uid="{00000000-0005-0000-0000-00004C600000}"/>
    <cellStyle name="Normal 2 2 5 16 9" xfId="24653" xr:uid="{00000000-0005-0000-0000-00004D600000}"/>
    <cellStyle name="Normal 2 2 5 17" xfId="24654" xr:uid="{00000000-0005-0000-0000-00004E600000}"/>
    <cellStyle name="Normal 2 2 5 17 10" xfId="24655" xr:uid="{00000000-0005-0000-0000-00004F600000}"/>
    <cellStyle name="Normal 2 2 5 17 11" xfId="24656" xr:uid="{00000000-0005-0000-0000-000050600000}"/>
    <cellStyle name="Normal 2 2 5 17 12" xfId="24657" xr:uid="{00000000-0005-0000-0000-000051600000}"/>
    <cellStyle name="Normal 2 2 5 17 13" xfId="24658" xr:uid="{00000000-0005-0000-0000-000052600000}"/>
    <cellStyle name="Normal 2 2 5 17 14" xfId="24659" xr:uid="{00000000-0005-0000-0000-000053600000}"/>
    <cellStyle name="Normal 2 2 5 17 2" xfId="24660" xr:uid="{00000000-0005-0000-0000-000054600000}"/>
    <cellStyle name="Normal 2 2 5 17 2 10" xfId="24661" xr:uid="{00000000-0005-0000-0000-000055600000}"/>
    <cellStyle name="Normal 2 2 5 17 2 2" xfId="24662" xr:uid="{00000000-0005-0000-0000-000056600000}"/>
    <cellStyle name="Normal 2 2 5 17 2 3" xfId="24663" xr:uid="{00000000-0005-0000-0000-000057600000}"/>
    <cellStyle name="Normal 2 2 5 17 2 4" xfId="24664" xr:uid="{00000000-0005-0000-0000-000058600000}"/>
    <cellStyle name="Normal 2 2 5 17 2 5" xfId="24665" xr:uid="{00000000-0005-0000-0000-000059600000}"/>
    <cellStyle name="Normal 2 2 5 17 2 6" xfId="24666" xr:uid="{00000000-0005-0000-0000-00005A600000}"/>
    <cellStyle name="Normal 2 2 5 17 2 7" xfId="24667" xr:uid="{00000000-0005-0000-0000-00005B600000}"/>
    <cellStyle name="Normal 2 2 5 17 2 8" xfId="24668" xr:uid="{00000000-0005-0000-0000-00005C600000}"/>
    <cellStyle name="Normal 2 2 5 17 2 9" xfId="24669" xr:uid="{00000000-0005-0000-0000-00005D600000}"/>
    <cellStyle name="Normal 2 2 5 17 3" xfId="24670" xr:uid="{00000000-0005-0000-0000-00005E600000}"/>
    <cellStyle name="Normal 2 2 5 17 3 10" xfId="24671" xr:uid="{00000000-0005-0000-0000-00005F600000}"/>
    <cellStyle name="Normal 2 2 5 17 3 2" xfId="24672" xr:uid="{00000000-0005-0000-0000-000060600000}"/>
    <cellStyle name="Normal 2 2 5 17 3 3" xfId="24673" xr:uid="{00000000-0005-0000-0000-000061600000}"/>
    <cellStyle name="Normal 2 2 5 17 3 4" xfId="24674" xr:uid="{00000000-0005-0000-0000-000062600000}"/>
    <cellStyle name="Normal 2 2 5 17 3 5" xfId="24675" xr:uid="{00000000-0005-0000-0000-000063600000}"/>
    <cellStyle name="Normal 2 2 5 17 3 6" xfId="24676" xr:uid="{00000000-0005-0000-0000-000064600000}"/>
    <cellStyle name="Normal 2 2 5 17 3 7" xfId="24677" xr:uid="{00000000-0005-0000-0000-000065600000}"/>
    <cellStyle name="Normal 2 2 5 17 3 8" xfId="24678" xr:uid="{00000000-0005-0000-0000-000066600000}"/>
    <cellStyle name="Normal 2 2 5 17 3 9" xfId="24679" xr:uid="{00000000-0005-0000-0000-000067600000}"/>
    <cellStyle name="Normal 2 2 5 17 4" xfId="24680" xr:uid="{00000000-0005-0000-0000-000068600000}"/>
    <cellStyle name="Normal 2 2 5 17 4 10" xfId="24681" xr:uid="{00000000-0005-0000-0000-000069600000}"/>
    <cellStyle name="Normal 2 2 5 17 4 2" xfId="24682" xr:uid="{00000000-0005-0000-0000-00006A600000}"/>
    <cellStyle name="Normal 2 2 5 17 4 3" xfId="24683" xr:uid="{00000000-0005-0000-0000-00006B600000}"/>
    <cellStyle name="Normal 2 2 5 17 4 4" xfId="24684" xr:uid="{00000000-0005-0000-0000-00006C600000}"/>
    <cellStyle name="Normal 2 2 5 17 4 5" xfId="24685" xr:uid="{00000000-0005-0000-0000-00006D600000}"/>
    <cellStyle name="Normal 2 2 5 17 4 6" xfId="24686" xr:uid="{00000000-0005-0000-0000-00006E600000}"/>
    <cellStyle name="Normal 2 2 5 17 4 7" xfId="24687" xr:uid="{00000000-0005-0000-0000-00006F600000}"/>
    <cellStyle name="Normal 2 2 5 17 4 8" xfId="24688" xr:uid="{00000000-0005-0000-0000-000070600000}"/>
    <cellStyle name="Normal 2 2 5 17 4 9" xfId="24689" xr:uid="{00000000-0005-0000-0000-000071600000}"/>
    <cellStyle name="Normal 2 2 5 17 5" xfId="24690" xr:uid="{00000000-0005-0000-0000-000072600000}"/>
    <cellStyle name="Normal 2 2 5 17 5 10" xfId="24691" xr:uid="{00000000-0005-0000-0000-000073600000}"/>
    <cellStyle name="Normal 2 2 5 17 5 2" xfId="24692" xr:uid="{00000000-0005-0000-0000-000074600000}"/>
    <cellStyle name="Normal 2 2 5 17 5 3" xfId="24693" xr:uid="{00000000-0005-0000-0000-000075600000}"/>
    <cellStyle name="Normal 2 2 5 17 5 4" xfId="24694" xr:uid="{00000000-0005-0000-0000-000076600000}"/>
    <cellStyle name="Normal 2 2 5 17 5 5" xfId="24695" xr:uid="{00000000-0005-0000-0000-000077600000}"/>
    <cellStyle name="Normal 2 2 5 17 5 6" xfId="24696" xr:uid="{00000000-0005-0000-0000-000078600000}"/>
    <cellStyle name="Normal 2 2 5 17 5 7" xfId="24697" xr:uid="{00000000-0005-0000-0000-000079600000}"/>
    <cellStyle name="Normal 2 2 5 17 5 8" xfId="24698" xr:uid="{00000000-0005-0000-0000-00007A600000}"/>
    <cellStyle name="Normal 2 2 5 17 5 9" xfId="24699" xr:uid="{00000000-0005-0000-0000-00007B600000}"/>
    <cellStyle name="Normal 2 2 5 17 6" xfId="24700" xr:uid="{00000000-0005-0000-0000-00007C600000}"/>
    <cellStyle name="Normal 2 2 5 17 7" xfId="24701" xr:uid="{00000000-0005-0000-0000-00007D600000}"/>
    <cellStyle name="Normal 2 2 5 17 8" xfId="24702" xr:uid="{00000000-0005-0000-0000-00007E600000}"/>
    <cellStyle name="Normal 2 2 5 17 9" xfId="24703" xr:uid="{00000000-0005-0000-0000-00007F600000}"/>
    <cellStyle name="Normal 2 2 5 18" xfId="24704" xr:uid="{00000000-0005-0000-0000-000080600000}"/>
    <cellStyle name="Normal 2 2 5 18 10" xfId="24705" xr:uid="{00000000-0005-0000-0000-000081600000}"/>
    <cellStyle name="Normal 2 2 5 18 11" xfId="24706" xr:uid="{00000000-0005-0000-0000-000082600000}"/>
    <cellStyle name="Normal 2 2 5 18 12" xfId="24707" xr:uid="{00000000-0005-0000-0000-000083600000}"/>
    <cellStyle name="Normal 2 2 5 18 13" xfId="24708" xr:uid="{00000000-0005-0000-0000-000084600000}"/>
    <cellStyle name="Normal 2 2 5 18 14" xfId="24709" xr:uid="{00000000-0005-0000-0000-000085600000}"/>
    <cellStyle name="Normal 2 2 5 18 2" xfId="24710" xr:uid="{00000000-0005-0000-0000-000086600000}"/>
    <cellStyle name="Normal 2 2 5 18 2 10" xfId="24711" xr:uid="{00000000-0005-0000-0000-000087600000}"/>
    <cellStyle name="Normal 2 2 5 18 2 2" xfId="24712" xr:uid="{00000000-0005-0000-0000-000088600000}"/>
    <cellStyle name="Normal 2 2 5 18 2 3" xfId="24713" xr:uid="{00000000-0005-0000-0000-000089600000}"/>
    <cellStyle name="Normal 2 2 5 18 2 4" xfId="24714" xr:uid="{00000000-0005-0000-0000-00008A600000}"/>
    <cellStyle name="Normal 2 2 5 18 2 5" xfId="24715" xr:uid="{00000000-0005-0000-0000-00008B600000}"/>
    <cellStyle name="Normal 2 2 5 18 2 6" xfId="24716" xr:uid="{00000000-0005-0000-0000-00008C600000}"/>
    <cellStyle name="Normal 2 2 5 18 2 7" xfId="24717" xr:uid="{00000000-0005-0000-0000-00008D600000}"/>
    <cellStyle name="Normal 2 2 5 18 2 8" xfId="24718" xr:uid="{00000000-0005-0000-0000-00008E600000}"/>
    <cellStyle name="Normal 2 2 5 18 2 9" xfId="24719" xr:uid="{00000000-0005-0000-0000-00008F600000}"/>
    <cellStyle name="Normal 2 2 5 18 3" xfId="24720" xr:uid="{00000000-0005-0000-0000-000090600000}"/>
    <cellStyle name="Normal 2 2 5 18 3 10" xfId="24721" xr:uid="{00000000-0005-0000-0000-000091600000}"/>
    <cellStyle name="Normal 2 2 5 18 3 2" xfId="24722" xr:uid="{00000000-0005-0000-0000-000092600000}"/>
    <cellStyle name="Normal 2 2 5 18 3 3" xfId="24723" xr:uid="{00000000-0005-0000-0000-000093600000}"/>
    <cellStyle name="Normal 2 2 5 18 3 4" xfId="24724" xr:uid="{00000000-0005-0000-0000-000094600000}"/>
    <cellStyle name="Normal 2 2 5 18 3 5" xfId="24725" xr:uid="{00000000-0005-0000-0000-000095600000}"/>
    <cellStyle name="Normal 2 2 5 18 3 6" xfId="24726" xr:uid="{00000000-0005-0000-0000-000096600000}"/>
    <cellStyle name="Normal 2 2 5 18 3 7" xfId="24727" xr:uid="{00000000-0005-0000-0000-000097600000}"/>
    <cellStyle name="Normal 2 2 5 18 3 8" xfId="24728" xr:uid="{00000000-0005-0000-0000-000098600000}"/>
    <cellStyle name="Normal 2 2 5 18 3 9" xfId="24729" xr:uid="{00000000-0005-0000-0000-000099600000}"/>
    <cellStyle name="Normal 2 2 5 18 4" xfId="24730" xr:uid="{00000000-0005-0000-0000-00009A600000}"/>
    <cellStyle name="Normal 2 2 5 18 4 10" xfId="24731" xr:uid="{00000000-0005-0000-0000-00009B600000}"/>
    <cellStyle name="Normal 2 2 5 18 4 2" xfId="24732" xr:uid="{00000000-0005-0000-0000-00009C600000}"/>
    <cellStyle name="Normal 2 2 5 18 4 3" xfId="24733" xr:uid="{00000000-0005-0000-0000-00009D600000}"/>
    <cellStyle name="Normal 2 2 5 18 4 4" xfId="24734" xr:uid="{00000000-0005-0000-0000-00009E600000}"/>
    <cellStyle name="Normal 2 2 5 18 4 5" xfId="24735" xr:uid="{00000000-0005-0000-0000-00009F600000}"/>
    <cellStyle name="Normal 2 2 5 18 4 6" xfId="24736" xr:uid="{00000000-0005-0000-0000-0000A0600000}"/>
    <cellStyle name="Normal 2 2 5 18 4 7" xfId="24737" xr:uid="{00000000-0005-0000-0000-0000A1600000}"/>
    <cellStyle name="Normal 2 2 5 18 4 8" xfId="24738" xr:uid="{00000000-0005-0000-0000-0000A2600000}"/>
    <cellStyle name="Normal 2 2 5 18 4 9" xfId="24739" xr:uid="{00000000-0005-0000-0000-0000A3600000}"/>
    <cellStyle name="Normal 2 2 5 18 5" xfId="24740" xr:uid="{00000000-0005-0000-0000-0000A4600000}"/>
    <cellStyle name="Normal 2 2 5 18 5 10" xfId="24741" xr:uid="{00000000-0005-0000-0000-0000A5600000}"/>
    <cellStyle name="Normal 2 2 5 18 5 2" xfId="24742" xr:uid="{00000000-0005-0000-0000-0000A6600000}"/>
    <cellStyle name="Normal 2 2 5 18 5 3" xfId="24743" xr:uid="{00000000-0005-0000-0000-0000A7600000}"/>
    <cellStyle name="Normal 2 2 5 18 5 4" xfId="24744" xr:uid="{00000000-0005-0000-0000-0000A8600000}"/>
    <cellStyle name="Normal 2 2 5 18 5 5" xfId="24745" xr:uid="{00000000-0005-0000-0000-0000A9600000}"/>
    <cellStyle name="Normal 2 2 5 18 5 6" xfId="24746" xr:uid="{00000000-0005-0000-0000-0000AA600000}"/>
    <cellStyle name="Normal 2 2 5 18 5 7" xfId="24747" xr:uid="{00000000-0005-0000-0000-0000AB600000}"/>
    <cellStyle name="Normal 2 2 5 18 5 8" xfId="24748" xr:uid="{00000000-0005-0000-0000-0000AC600000}"/>
    <cellStyle name="Normal 2 2 5 18 5 9" xfId="24749" xr:uid="{00000000-0005-0000-0000-0000AD600000}"/>
    <cellStyle name="Normal 2 2 5 18 6" xfId="24750" xr:uid="{00000000-0005-0000-0000-0000AE600000}"/>
    <cellStyle name="Normal 2 2 5 18 7" xfId="24751" xr:uid="{00000000-0005-0000-0000-0000AF600000}"/>
    <cellStyle name="Normal 2 2 5 18 8" xfId="24752" xr:uid="{00000000-0005-0000-0000-0000B0600000}"/>
    <cellStyle name="Normal 2 2 5 18 9" xfId="24753" xr:uid="{00000000-0005-0000-0000-0000B1600000}"/>
    <cellStyle name="Normal 2 2 5 19" xfId="24754" xr:uid="{00000000-0005-0000-0000-0000B2600000}"/>
    <cellStyle name="Normal 2 2 5 19 10" xfId="24755" xr:uid="{00000000-0005-0000-0000-0000B3600000}"/>
    <cellStyle name="Normal 2 2 5 19 11" xfId="24756" xr:uid="{00000000-0005-0000-0000-0000B4600000}"/>
    <cellStyle name="Normal 2 2 5 19 12" xfId="24757" xr:uid="{00000000-0005-0000-0000-0000B5600000}"/>
    <cellStyle name="Normal 2 2 5 19 13" xfId="24758" xr:uid="{00000000-0005-0000-0000-0000B6600000}"/>
    <cellStyle name="Normal 2 2 5 19 14" xfId="24759" xr:uid="{00000000-0005-0000-0000-0000B7600000}"/>
    <cellStyle name="Normal 2 2 5 19 2" xfId="24760" xr:uid="{00000000-0005-0000-0000-0000B8600000}"/>
    <cellStyle name="Normal 2 2 5 19 2 10" xfId="24761" xr:uid="{00000000-0005-0000-0000-0000B9600000}"/>
    <cellStyle name="Normal 2 2 5 19 2 2" xfId="24762" xr:uid="{00000000-0005-0000-0000-0000BA600000}"/>
    <cellStyle name="Normal 2 2 5 19 2 3" xfId="24763" xr:uid="{00000000-0005-0000-0000-0000BB600000}"/>
    <cellStyle name="Normal 2 2 5 19 2 4" xfId="24764" xr:uid="{00000000-0005-0000-0000-0000BC600000}"/>
    <cellStyle name="Normal 2 2 5 19 2 5" xfId="24765" xr:uid="{00000000-0005-0000-0000-0000BD600000}"/>
    <cellStyle name="Normal 2 2 5 19 2 6" xfId="24766" xr:uid="{00000000-0005-0000-0000-0000BE600000}"/>
    <cellStyle name="Normal 2 2 5 19 2 7" xfId="24767" xr:uid="{00000000-0005-0000-0000-0000BF600000}"/>
    <cellStyle name="Normal 2 2 5 19 2 8" xfId="24768" xr:uid="{00000000-0005-0000-0000-0000C0600000}"/>
    <cellStyle name="Normal 2 2 5 19 2 9" xfId="24769" xr:uid="{00000000-0005-0000-0000-0000C1600000}"/>
    <cellStyle name="Normal 2 2 5 19 3" xfId="24770" xr:uid="{00000000-0005-0000-0000-0000C2600000}"/>
    <cellStyle name="Normal 2 2 5 19 3 10" xfId="24771" xr:uid="{00000000-0005-0000-0000-0000C3600000}"/>
    <cellStyle name="Normal 2 2 5 19 3 2" xfId="24772" xr:uid="{00000000-0005-0000-0000-0000C4600000}"/>
    <cellStyle name="Normal 2 2 5 19 3 3" xfId="24773" xr:uid="{00000000-0005-0000-0000-0000C5600000}"/>
    <cellStyle name="Normal 2 2 5 19 3 4" xfId="24774" xr:uid="{00000000-0005-0000-0000-0000C6600000}"/>
    <cellStyle name="Normal 2 2 5 19 3 5" xfId="24775" xr:uid="{00000000-0005-0000-0000-0000C7600000}"/>
    <cellStyle name="Normal 2 2 5 19 3 6" xfId="24776" xr:uid="{00000000-0005-0000-0000-0000C8600000}"/>
    <cellStyle name="Normal 2 2 5 19 3 7" xfId="24777" xr:uid="{00000000-0005-0000-0000-0000C9600000}"/>
    <cellStyle name="Normal 2 2 5 19 3 8" xfId="24778" xr:uid="{00000000-0005-0000-0000-0000CA600000}"/>
    <cellStyle name="Normal 2 2 5 19 3 9" xfId="24779" xr:uid="{00000000-0005-0000-0000-0000CB600000}"/>
    <cellStyle name="Normal 2 2 5 19 4" xfId="24780" xr:uid="{00000000-0005-0000-0000-0000CC600000}"/>
    <cellStyle name="Normal 2 2 5 19 4 10" xfId="24781" xr:uid="{00000000-0005-0000-0000-0000CD600000}"/>
    <cellStyle name="Normal 2 2 5 19 4 2" xfId="24782" xr:uid="{00000000-0005-0000-0000-0000CE600000}"/>
    <cellStyle name="Normal 2 2 5 19 4 3" xfId="24783" xr:uid="{00000000-0005-0000-0000-0000CF600000}"/>
    <cellStyle name="Normal 2 2 5 19 4 4" xfId="24784" xr:uid="{00000000-0005-0000-0000-0000D0600000}"/>
    <cellStyle name="Normal 2 2 5 19 4 5" xfId="24785" xr:uid="{00000000-0005-0000-0000-0000D1600000}"/>
    <cellStyle name="Normal 2 2 5 19 4 6" xfId="24786" xr:uid="{00000000-0005-0000-0000-0000D2600000}"/>
    <cellStyle name="Normal 2 2 5 19 4 7" xfId="24787" xr:uid="{00000000-0005-0000-0000-0000D3600000}"/>
    <cellStyle name="Normal 2 2 5 19 4 8" xfId="24788" xr:uid="{00000000-0005-0000-0000-0000D4600000}"/>
    <cellStyle name="Normal 2 2 5 19 4 9" xfId="24789" xr:uid="{00000000-0005-0000-0000-0000D5600000}"/>
    <cellStyle name="Normal 2 2 5 19 5" xfId="24790" xr:uid="{00000000-0005-0000-0000-0000D6600000}"/>
    <cellStyle name="Normal 2 2 5 19 5 10" xfId="24791" xr:uid="{00000000-0005-0000-0000-0000D7600000}"/>
    <cellStyle name="Normal 2 2 5 19 5 2" xfId="24792" xr:uid="{00000000-0005-0000-0000-0000D8600000}"/>
    <cellStyle name="Normal 2 2 5 19 5 3" xfId="24793" xr:uid="{00000000-0005-0000-0000-0000D9600000}"/>
    <cellStyle name="Normal 2 2 5 19 5 4" xfId="24794" xr:uid="{00000000-0005-0000-0000-0000DA600000}"/>
    <cellStyle name="Normal 2 2 5 19 5 5" xfId="24795" xr:uid="{00000000-0005-0000-0000-0000DB600000}"/>
    <cellStyle name="Normal 2 2 5 19 5 6" xfId="24796" xr:uid="{00000000-0005-0000-0000-0000DC600000}"/>
    <cellStyle name="Normal 2 2 5 19 5 7" xfId="24797" xr:uid="{00000000-0005-0000-0000-0000DD600000}"/>
    <cellStyle name="Normal 2 2 5 19 5 8" xfId="24798" xr:uid="{00000000-0005-0000-0000-0000DE600000}"/>
    <cellStyle name="Normal 2 2 5 19 5 9" xfId="24799" xr:uid="{00000000-0005-0000-0000-0000DF600000}"/>
    <cellStyle name="Normal 2 2 5 19 6" xfId="24800" xr:uid="{00000000-0005-0000-0000-0000E0600000}"/>
    <cellStyle name="Normal 2 2 5 19 7" xfId="24801" xr:uid="{00000000-0005-0000-0000-0000E1600000}"/>
    <cellStyle name="Normal 2 2 5 19 8" xfId="24802" xr:uid="{00000000-0005-0000-0000-0000E2600000}"/>
    <cellStyle name="Normal 2 2 5 19 9" xfId="24803" xr:uid="{00000000-0005-0000-0000-0000E3600000}"/>
    <cellStyle name="Normal 2 2 5 2" xfId="24804" xr:uid="{00000000-0005-0000-0000-0000E4600000}"/>
    <cellStyle name="Normal 2 2 5 2 10" xfId="24805" xr:uid="{00000000-0005-0000-0000-0000E5600000}"/>
    <cellStyle name="Normal 2 2 5 2 11" xfId="24806" xr:uid="{00000000-0005-0000-0000-0000E6600000}"/>
    <cellStyle name="Normal 2 2 5 2 12" xfId="24807" xr:uid="{00000000-0005-0000-0000-0000E7600000}"/>
    <cellStyle name="Normal 2 2 5 2 13" xfId="24808" xr:uid="{00000000-0005-0000-0000-0000E8600000}"/>
    <cellStyle name="Normal 2 2 5 2 14" xfId="24809" xr:uid="{00000000-0005-0000-0000-0000E9600000}"/>
    <cellStyle name="Normal 2 2 5 2 15" xfId="24810" xr:uid="{00000000-0005-0000-0000-0000EA600000}"/>
    <cellStyle name="Normal 2 2 5 2 16" xfId="24811" xr:uid="{00000000-0005-0000-0000-0000EB600000}"/>
    <cellStyle name="Normal 2 2 5 2 17" xfId="24812" xr:uid="{00000000-0005-0000-0000-0000EC600000}"/>
    <cellStyle name="Normal 2 2 5 2 18" xfId="24813" xr:uid="{00000000-0005-0000-0000-0000ED600000}"/>
    <cellStyle name="Normal 2 2 5 2 19" xfId="24814" xr:uid="{00000000-0005-0000-0000-0000EE600000}"/>
    <cellStyle name="Normal 2 2 5 2 2" xfId="24815" xr:uid="{00000000-0005-0000-0000-0000EF600000}"/>
    <cellStyle name="Normal 2 2 5 2 20" xfId="24816" xr:uid="{00000000-0005-0000-0000-0000F0600000}"/>
    <cellStyle name="Normal 2 2 5 2 21" xfId="24817" xr:uid="{00000000-0005-0000-0000-0000F1600000}"/>
    <cellStyle name="Normal 2 2 5 2 21 10" xfId="24818" xr:uid="{00000000-0005-0000-0000-0000F2600000}"/>
    <cellStyle name="Normal 2 2 5 2 21 2" xfId="24819" xr:uid="{00000000-0005-0000-0000-0000F3600000}"/>
    <cellStyle name="Normal 2 2 5 2 21 3" xfId="24820" xr:uid="{00000000-0005-0000-0000-0000F4600000}"/>
    <cellStyle name="Normal 2 2 5 2 21 4" xfId="24821" xr:uid="{00000000-0005-0000-0000-0000F5600000}"/>
    <cellStyle name="Normal 2 2 5 2 21 5" xfId="24822" xr:uid="{00000000-0005-0000-0000-0000F6600000}"/>
    <cellStyle name="Normal 2 2 5 2 21 6" xfId="24823" xr:uid="{00000000-0005-0000-0000-0000F7600000}"/>
    <cellStyle name="Normal 2 2 5 2 21 7" xfId="24824" xr:uid="{00000000-0005-0000-0000-0000F8600000}"/>
    <cellStyle name="Normal 2 2 5 2 21 8" xfId="24825" xr:uid="{00000000-0005-0000-0000-0000F9600000}"/>
    <cellStyle name="Normal 2 2 5 2 21 9" xfId="24826" xr:uid="{00000000-0005-0000-0000-0000FA600000}"/>
    <cellStyle name="Normal 2 2 5 2 22" xfId="24827" xr:uid="{00000000-0005-0000-0000-0000FB600000}"/>
    <cellStyle name="Normal 2 2 5 2 22 10" xfId="24828" xr:uid="{00000000-0005-0000-0000-0000FC600000}"/>
    <cellStyle name="Normal 2 2 5 2 22 2" xfId="24829" xr:uid="{00000000-0005-0000-0000-0000FD600000}"/>
    <cellStyle name="Normal 2 2 5 2 22 3" xfId="24830" xr:uid="{00000000-0005-0000-0000-0000FE600000}"/>
    <cellStyle name="Normal 2 2 5 2 22 4" xfId="24831" xr:uid="{00000000-0005-0000-0000-0000FF600000}"/>
    <cellStyle name="Normal 2 2 5 2 22 5" xfId="24832" xr:uid="{00000000-0005-0000-0000-000000610000}"/>
    <cellStyle name="Normal 2 2 5 2 22 6" xfId="24833" xr:uid="{00000000-0005-0000-0000-000001610000}"/>
    <cellStyle name="Normal 2 2 5 2 22 7" xfId="24834" xr:uid="{00000000-0005-0000-0000-000002610000}"/>
    <cellStyle name="Normal 2 2 5 2 22 8" xfId="24835" xr:uid="{00000000-0005-0000-0000-000003610000}"/>
    <cellStyle name="Normal 2 2 5 2 22 9" xfId="24836" xr:uid="{00000000-0005-0000-0000-000004610000}"/>
    <cellStyle name="Normal 2 2 5 2 23" xfId="24837" xr:uid="{00000000-0005-0000-0000-000005610000}"/>
    <cellStyle name="Normal 2 2 5 2 23 10" xfId="24838" xr:uid="{00000000-0005-0000-0000-000006610000}"/>
    <cellStyle name="Normal 2 2 5 2 23 2" xfId="24839" xr:uid="{00000000-0005-0000-0000-000007610000}"/>
    <cellStyle name="Normal 2 2 5 2 23 3" xfId="24840" xr:uid="{00000000-0005-0000-0000-000008610000}"/>
    <cellStyle name="Normal 2 2 5 2 23 4" xfId="24841" xr:uid="{00000000-0005-0000-0000-000009610000}"/>
    <cellStyle name="Normal 2 2 5 2 23 5" xfId="24842" xr:uid="{00000000-0005-0000-0000-00000A610000}"/>
    <cellStyle name="Normal 2 2 5 2 23 6" xfId="24843" xr:uid="{00000000-0005-0000-0000-00000B610000}"/>
    <cellStyle name="Normal 2 2 5 2 23 7" xfId="24844" xr:uid="{00000000-0005-0000-0000-00000C610000}"/>
    <cellStyle name="Normal 2 2 5 2 23 8" xfId="24845" xr:uid="{00000000-0005-0000-0000-00000D610000}"/>
    <cellStyle name="Normal 2 2 5 2 23 9" xfId="24846" xr:uid="{00000000-0005-0000-0000-00000E610000}"/>
    <cellStyle name="Normal 2 2 5 2 24" xfId="24847" xr:uid="{00000000-0005-0000-0000-00000F610000}"/>
    <cellStyle name="Normal 2 2 5 2 24 10" xfId="24848" xr:uid="{00000000-0005-0000-0000-000010610000}"/>
    <cellStyle name="Normal 2 2 5 2 24 2" xfId="24849" xr:uid="{00000000-0005-0000-0000-000011610000}"/>
    <cellStyle name="Normal 2 2 5 2 24 3" xfId="24850" xr:uid="{00000000-0005-0000-0000-000012610000}"/>
    <cellStyle name="Normal 2 2 5 2 24 4" xfId="24851" xr:uid="{00000000-0005-0000-0000-000013610000}"/>
    <cellStyle name="Normal 2 2 5 2 24 5" xfId="24852" xr:uid="{00000000-0005-0000-0000-000014610000}"/>
    <cellStyle name="Normal 2 2 5 2 24 6" xfId="24853" xr:uid="{00000000-0005-0000-0000-000015610000}"/>
    <cellStyle name="Normal 2 2 5 2 24 7" xfId="24854" xr:uid="{00000000-0005-0000-0000-000016610000}"/>
    <cellStyle name="Normal 2 2 5 2 24 8" xfId="24855" xr:uid="{00000000-0005-0000-0000-000017610000}"/>
    <cellStyle name="Normal 2 2 5 2 24 9" xfId="24856" xr:uid="{00000000-0005-0000-0000-000018610000}"/>
    <cellStyle name="Normal 2 2 5 2 25" xfId="24857" xr:uid="{00000000-0005-0000-0000-000019610000}"/>
    <cellStyle name="Normal 2 2 5 2 26" xfId="24858" xr:uid="{00000000-0005-0000-0000-00001A610000}"/>
    <cellStyle name="Normal 2 2 5 2 27" xfId="24859" xr:uid="{00000000-0005-0000-0000-00001B610000}"/>
    <cellStyle name="Normal 2 2 5 2 28" xfId="24860" xr:uid="{00000000-0005-0000-0000-00001C610000}"/>
    <cellStyle name="Normal 2 2 5 2 29" xfId="24861" xr:uid="{00000000-0005-0000-0000-00001D610000}"/>
    <cellStyle name="Normal 2 2 5 2 3" xfId="24862" xr:uid="{00000000-0005-0000-0000-00001E610000}"/>
    <cellStyle name="Normal 2 2 5 2 30" xfId="24863" xr:uid="{00000000-0005-0000-0000-00001F610000}"/>
    <cellStyle name="Normal 2 2 5 2 31" xfId="24864" xr:uid="{00000000-0005-0000-0000-000020610000}"/>
    <cellStyle name="Normal 2 2 5 2 32" xfId="24865" xr:uid="{00000000-0005-0000-0000-000021610000}"/>
    <cellStyle name="Normal 2 2 5 2 33" xfId="24866" xr:uid="{00000000-0005-0000-0000-000022610000}"/>
    <cellStyle name="Normal 2 2 5 2 4" xfId="24867" xr:uid="{00000000-0005-0000-0000-000023610000}"/>
    <cellStyle name="Normal 2 2 5 2 5" xfId="24868" xr:uid="{00000000-0005-0000-0000-000024610000}"/>
    <cellStyle name="Normal 2 2 5 2 6" xfId="24869" xr:uid="{00000000-0005-0000-0000-000025610000}"/>
    <cellStyle name="Normal 2 2 5 2 7" xfId="24870" xr:uid="{00000000-0005-0000-0000-000026610000}"/>
    <cellStyle name="Normal 2 2 5 2 8" xfId="24871" xr:uid="{00000000-0005-0000-0000-000027610000}"/>
    <cellStyle name="Normal 2 2 5 2 9" xfId="24872" xr:uid="{00000000-0005-0000-0000-000028610000}"/>
    <cellStyle name="Normal 2 2 5 20" xfId="24873" xr:uid="{00000000-0005-0000-0000-000029610000}"/>
    <cellStyle name="Normal 2 2 5 20 10" xfId="24874" xr:uid="{00000000-0005-0000-0000-00002A610000}"/>
    <cellStyle name="Normal 2 2 5 20 11" xfId="24875" xr:uid="{00000000-0005-0000-0000-00002B610000}"/>
    <cellStyle name="Normal 2 2 5 20 12" xfId="24876" xr:uid="{00000000-0005-0000-0000-00002C610000}"/>
    <cellStyle name="Normal 2 2 5 20 13" xfId="24877" xr:uid="{00000000-0005-0000-0000-00002D610000}"/>
    <cellStyle name="Normal 2 2 5 20 14" xfId="24878" xr:uid="{00000000-0005-0000-0000-00002E610000}"/>
    <cellStyle name="Normal 2 2 5 20 2" xfId="24879" xr:uid="{00000000-0005-0000-0000-00002F610000}"/>
    <cellStyle name="Normal 2 2 5 20 2 10" xfId="24880" xr:uid="{00000000-0005-0000-0000-000030610000}"/>
    <cellStyle name="Normal 2 2 5 20 2 2" xfId="24881" xr:uid="{00000000-0005-0000-0000-000031610000}"/>
    <cellStyle name="Normal 2 2 5 20 2 3" xfId="24882" xr:uid="{00000000-0005-0000-0000-000032610000}"/>
    <cellStyle name="Normal 2 2 5 20 2 4" xfId="24883" xr:uid="{00000000-0005-0000-0000-000033610000}"/>
    <cellStyle name="Normal 2 2 5 20 2 5" xfId="24884" xr:uid="{00000000-0005-0000-0000-000034610000}"/>
    <cellStyle name="Normal 2 2 5 20 2 6" xfId="24885" xr:uid="{00000000-0005-0000-0000-000035610000}"/>
    <cellStyle name="Normal 2 2 5 20 2 7" xfId="24886" xr:uid="{00000000-0005-0000-0000-000036610000}"/>
    <cellStyle name="Normal 2 2 5 20 2 8" xfId="24887" xr:uid="{00000000-0005-0000-0000-000037610000}"/>
    <cellStyle name="Normal 2 2 5 20 2 9" xfId="24888" xr:uid="{00000000-0005-0000-0000-000038610000}"/>
    <cellStyle name="Normal 2 2 5 20 3" xfId="24889" xr:uid="{00000000-0005-0000-0000-000039610000}"/>
    <cellStyle name="Normal 2 2 5 20 3 10" xfId="24890" xr:uid="{00000000-0005-0000-0000-00003A610000}"/>
    <cellStyle name="Normal 2 2 5 20 3 2" xfId="24891" xr:uid="{00000000-0005-0000-0000-00003B610000}"/>
    <cellStyle name="Normal 2 2 5 20 3 3" xfId="24892" xr:uid="{00000000-0005-0000-0000-00003C610000}"/>
    <cellStyle name="Normal 2 2 5 20 3 4" xfId="24893" xr:uid="{00000000-0005-0000-0000-00003D610000}"/>
    <cellStyle name="Normal 2 2 5 20 3 5" xfId="24894" xr:uid="{00000000-0005-0000-0000-00003E610000}"/>
    <cellStyle name="Normal 2 2 5 20 3 6" xfId="24895" xr:uid="{00000000-0005-0000-0000-00003F610000}"/>
    <cellStyle name="Normal 2 2 5 20 3 7" xfId="24896" xr:uid="{00000000-0005-0000-0000-000040610000}"/>
    <cellStyle name="Normal 2 2 5 20 3 8" xfId="24897" xr:uid="{00000000-0005-0000-0000-000041610000}"/>
    <cellStyle name="Normal 2 2 5 20 3 9" xfId="24898" xr:uid="{00000000-0005-0000-0000-000042610000}"/>
    <cellStyle name="Normal 2 2 5 20 4" xfId="24899" xr:uid="{00000000-0005-0000-0000-000043610000}"/>
    <cellStyle name="Normal 2 2 5 20 4 10" xfId="24900" xr:uid="{00000000-0005-0000-0000-000044610000}"/>
    <cellStyle name="Normal 2 2 5 20 4 2" xfId="24901" xr:uid="{00000000-0005-0000-0000-000045610000}"/>
    <cellStyle name="Normal 2 2 5 20 4 3" xfId="24902" xr:uid="{00000000-0005-0000-0000-000046610000}"/>
    <cellStyle name="Normal 2 2 5 20 4 4" xfId="24903" xr:uid="{00000000-0005-0000-0000-000047610000}"/>
    <cellStyle name="Normal 2 2 5 20 4 5" xfId="24904" xr:uid="{00000000-0005-0000-0000-000048610000}"/>
    <cellStyle name="Normal 2 2 5 20 4 6" xfId="24905" xr:uid="{00000000-0005-0000-0000-000049610000}"/>
    <cellStyle name="Normal 2 2 5 20 4 7" xfId="24906" xr:uid="{00000000-0005-0000-0000-00004A610000}"/>
    <cellStyle name="Normal 2 2 5 20 4 8" xfId="24907" xr:uid="{00000000-0005-0000-0000-00004B610000}"/>
    <cellStyle name="Normal 2 2 5 20 4 9" xfId="24908" xr:uid="{00000000-0005-0000-0000-00004C610000}"/>
    <cellStyle name="Normal 2 2 5 20 5" xfId="24909" xr:uid="{00000000-0005-0000-0000-00004D610000}"/>
    <cellStyle name="Normal 2 2 5 20 5 10" xfId="24910" xr:uid="{00000000-0005-0000-0000-00004E610000}"/>
    <cellStyle name="Normal 2 2 5 20 5 2" xfId="24911" xr:uid="{00000000-0005-0000-0000-00004F610000}"/>
    <cellStyle name="Normal 2 2 5 20 5 3" xfId="24912" xr:uid="{00000000-0005-0000-0000-000050610000}"/>
    <cellStyle name="Normal 2 2 5 20 5 4" xfId="24913" xr:uid="{00000000-0005-0000-0000-000051610000}"/>
    <cellStyle name="Normal 2 2 5 20 5 5" xfId="24914" xr:uid="{00000000-0005-0000-0000-000052610000}"/>
    <cellStyle name="Normal 2 2 5 20 5 6" xfId="24915" xr:uid="{00000000-0005-0000-0000-000053610000}"/>
    <cellStyle name="Normal 2 2 5 20 5 7" xfId="24916" xr:uid="{00000000-0005-0000-0000-000054610000}"/>
    <cellStyle name="Normal 2 2 5 20 5 8" xfId="24917" xr:uid="{00000000-0005-0000-0000-000055610000}"/>
    <cellStyle name="Normal 2 2 5 20 5 9" xfId="24918" xr:uid="{00000000-0005-0000-0000-000056610000}"/>
    <cellStyle name="Normal 2 2 5 20 6" xfId="24919" xr:uid="{00000000-0005-0000-0000-000057610000}"/>
    <cellStyle name="Normal 2 2 5 20 7" xfId="24920" xr:uid="{00000000-0005-0000-0000-000058610000}"/>
    <cellStyle name="Normal 2 2 5 20 8" xfId="24921" xr:uid="{00000000-0005-0000-0000-000059610000}"/>
    <cellStyle name="Normal 2 2 5 20 9" xfId="24922" xr:uid="{00000000-0005-0000-0000-00005A610000}"/>
    <cellStyle name="Normal 2 2 5 21" xfId="24923" xr:uid="{00000000-0005-0000-0000-00005B610000}"/>
    <cellStyle name="Normal 2 2 5 22" xfId="24924" xr:uid="{00000000-0005-0000-0000-00005C610000}"/>
    <cellStyle name="Normal 2 2 5 23" xfId="24925" xr:uid="{00000000-0005-0000-0000-00005D610000}"/>
    <cellStyle name="Normal 2 2 5 3" xfId="24926" xr:uid="{00000000-0005-0000-0000-00005E610000}"/>
    <cellStyle name="Normal 2 2 5 3 10" xfId="24927" xr:uid="{00000000-0005-0000-0000-00005F610000}"/>
    <cellStyle name="Normal 2 2 5 3 11" xfId="24928" xr:uid="{00000000-0005-0000-0000-000060610000}"/>
    <cellStyle name="Normal 2 2 5 3 12" xfId="24929" xr:uid="{00000000-0005-0000-0000-000061610000}"/>
    <cellStyle name="Normal 2 2 5 3 13" xfId="24930" xr:uid="{00000000-0005-0000-0000-000062610000}"/>
    <cellStyle name="Normal 2 2 5 3 14" xfId="24931" xr:uid="{00000000-0005-0000-0000-000063610000}"/>
    <cellStyle name="Normal 2 2 5 3 2" xfId="24932" xr:uid="{00000000-0005-0000-0000-000064610000}"/>
    <cellStyle name="Normal 2 2 5 3 2 10" xfId="24933" xr:uid="{00000000-0005-0000-0000-000065610000}"/>
    <cellStyle name="Normal 2 2 5 3 2 2" xfId="24934" xr:uid="{00000000-0005-0000-0000-000066610000}"/>
    <cellStyle name="Normal 2 2 5 3 2 3" xfId="24935" xr:uid="{00000000-0005-0000-0000-000067610000}"/>
    <cellStyle name="Normal 2 2 5 3 2 4" xfId="24936" xr:uid="{00000000-0005-0000-0000-000068610000}"/>
    <cellStyle name="Normal 2 2 5 3 2 5" xfId="24937" xr:uid="{00000000-0005-0000-0000-000069610000}"/>
    <cellStyle name="Normal 2 2 5 3 2 6" xfId="24938" xr:uid="{00000000-0005-0000-0000-00006A610000}"/>
    <cellStyle name="Normal 2 2 5 3 2 7" xfId="24939" xr:uid="{00000000-0005-0000-0000-00006B610000}"/>
    <cellStyle name="Normal 2 2 5 3 2 8" xfId="24940" xr:uid="{00000000-0005-0000-0000-00006C610000}"/>
    <cellStyle name="Normal 2 2 5 3 2 9" xfId="24941" xr:uid="{00000000-0005-0000-0000-00006D610000}"/>
    <cellStyle name="Normal 2 2 5 3 3" xfId="24942" xr:uid="{00000000-0005-0000-0000-00006E610000}"/>
    <cellStyle name="Normal 2 2 5 3 3 10" xfId="24943" xr:uid="{00000000-0005-0000-0000-00006F610000}"/>
    <cellStyle name="Normal 2 2 5 3 3 2" xfId="24944" xr:uid="{00000000-0005-0000-0000-000070610000}"/>
    <cellStyle name="Normal 2 2 5 3 3 3" xfId="24945" xr:uid="{00000000-0005-0000-0000-000071610000}"/>
    <cellStyle name="Normal 2 2 5 3 3 4" xfId="24946" xr:uid="{00000000-0005-0000-0000-000072610000}"/>
    <cellStyle name="Normal 2 2 5 3 3 5" xfId="24947" xr:uid="{00000000-0005-0000-0000-000073610000}"/>
    <cellStyle name="Normal 2 2 5 3 3 6" xfId="24948" xr:uid="{00000000-0005-0000-0000-000074610000}"/>
    <cellStyle name="Normal 2 2 5 3 3 7" xfId="24949" xr:uid="{00000000-0005-0000-0000-000075610000}"/>
    <cellStyle name="Normal 2 2 5 3 3 8" xfId="24950" xr:uid="{00000000-0005-0000-0000-000076610000}"/>
    <cellStyle name="Normal 2 2 5 3 3 9" xfId="24951" xr:uid="{00000000-0005-0000-0000-000077610000}"/>
    <cellStyle name="Normal 2 2 5 3 4" xfId="24952" xr:uid="{00000000-0005-0000-0000-000078610000}"/>
    <cellStyle name="Normal 2 2 5 3 4 10" xfId="24953" xr:uid="{00000000-0005-0000-0000-000079610000}"/>
    <cellStyle name="Normal 2 2 5 3 4 2" xfId="24954" xr:uid="{00000000-0005-0000-0000-00007A610000}"/>
    <cellStyle name="Normal 2 2 5 3 4 3" xfId="24955" xr:uid="{00000000-0005-0000-0000-00007B610000}"/>
    <cellStyle name="Normal 2 2 5 3 4 4" xfId="24956" xr:uid="{00000000-0005-0000-0000-00007C610000}"/>
    <cellStyle name="Normal 2 2 5 3 4 5" xfId="24957" xr:uid="{00000000-0005-0000-0000-00007D610000}"/>
    <cellStyle name="Normal 2 2 5 3 4 6" xfId="24958" xr:uid="{00000000-0005-0000-0000-00007E610000}"/>
    <cellStyle name="Normal 2 2 5 3 4 7" xfId="24959" xr:uid="{00000000-0005-0000-0000-00007F610000}"/>
    <cellStyle name="Normal 2 2 5 3 4 8" xfId="24960" xr:uid="{00000000-0005-0000-0000-000080610000}"/>
    <cellStyle name="Normal 2 2 5 3 4 9" xfId="24961" xr:uid="{00000000-0005-0000-0000-000081610000}"/>
    <cellStyle name="Normal 2 2 5 3 5" xfId="24962" xr:uid="{00000000-0005-0000-0000-000082610000}"/>
    <cellStyle name="Normal 2 2 5 3 5 10" xfId="24963" xr:uid="{00000000-0005-0000-0000-000083610000}"/>
    <cellStyle name="Normal 2 2 5 3 5 2" xfId="24964" xr:uid="{00000000-0005-0000-0000-000084610000}"/>
    <cellStyle name="Normal 2 2 5 3 5 3" xfId="24965" xr:uid="{00000000-0005-0000-0000-000085610000}"/>
    <cellStyle name="Normal 2 2 5 3 5 4" xfId="24966" xr:uid="{00000000-0005-0000-0000-000086610000}"/>
    <cellStyle name="Normal 2 2 5 3 5 5" xfId="24967" xr:uid="{00000000-0005-0000-0000-000087610000}"/>
    <cellStyle name="Normal 2 2 5 3 5 6" xfId="24968" xr:uid="{00000000-0005-0000-0000-000088610000}"/>
    <cellStyle name="Normal 2 2 5 3 5 7" xfId="24969" xr:uid="{00000000-0005-0000-0000-000089610000}"/>
    <cellStyle name="Normal 2 2 5 3 5 8" xfId="24970" xr:uid="{00000000-0005-0000-0000-00008A610000}"/>
    <cellStyle name="Normal 2 2 5 3 5 9" xfId="24971" xr:uid="{00000000-0005-0000-0000-00008B610000}"/>
    <cellStyle name="Normal 2 2 5 3 6" xfId="24972" xr:uid="{00000000-0005-0000-0000-00008C610000}"/>
    <cellStyle name="Normal 2 2 5 3 7" xfId="24973" xr:uid="{00000000-0005-0000-0000-00008D610000}"/>
    <cellStyle name="Normal 2 2 5 3 8" xfId="24974" xr:uid="{00000000-0005-0000-0000-00008E610000}"/>
    <cellStyle name="Normal 2 2 5 3 9" xfId="24975" xr:uid="{00000000-0005-0000-0000-00008F610000}"/>
    <cellStyle name="Normal 2 2 5 4" xfId="24976" xr:uid="{00000000-0005-0000-0000-000090610000}"/>
    <cellStyle name="Normal 2 2 5 4 10" xfId="24977" xr:uid="{00000000-0005-0000-0000-000091610000}"/>
    <cellStyle name="Normal 2 2 5 4 11" xfId="24978" xr:uid="{00000000-0005-0000-0000-000092610000}"/>
    <cellStyle name="Normal 2 2 5 4 12" xfId="24979" xr:uid="{00000000-0005-0000-0000-000093610000}"/>
    <cellStyle name="Normal 2 2 5 4 13" xfId="24980" xr:uid="{00000000-0005-0000-0000-000094610000}"/>
    <cellStyle name="Normal 2 2 5 4 14" xfId="24981" xr:uid="{00000000-0005-0000-0000-000095610000}"/>
    <cellStyle name="Normal 2 2 5 4 2" xfId="24982" xr:uid="{00000000-0005-0000-0000-000096610000}"/>
    <cellStyle name="Normal 2 2 5 4 2 10" xfId="24983" xr:uid="{00000000-0005-0000-0000-000097610000}"/>
    <cellStyle name="Normal 2 2 5 4 2 2" xfId="24984" xr:uid="{00000000-0005-0000-0000-000098610000}"/>
    <cellStyle name="Normal 2 2 5 4 2 3" xfId="24985" xr:uid="{00000000-0005-0000-0000-000099610000}"/>
    <cellStyle name="Normal 2 2 5 4 2 4" xfId="24986" xr:uid="{00000000-0005-0000-0000-00009A610000}"/>
    <cellStyle name="Normal 2 2 5 4 2 5" xfId="24987" xr:uid="{00000000-0005-0000-0000-00009B610000}"/>
    <cellStyle name="Normal 2 2 5 4 2 6" xfId="24988" xr:uid="{00000000-0005-0000-0000-00009C610000}"/>
    <cellStyle name="Normal 2 2 5 4 2 7" xfId="24989" xr:uid="{00000000-0005-0000-0000-00009D610000}"/>
    <cellStyle name="Normal 2 2 5 4 2 8" xfId="24990" xr:uid="{00000000-0005-0000-0000-00009E610000}"/>
    <cellStyle name="Normal 2 2 5 4 2 9" xfId="24991" xr:uid="{00000000-0005-0000-0000-00009F610000}"/>
    <cellStyle name="Normal 2 2 5 4 3" xfId="24992" xr:uid="{00000000-0005-0000-0000-0000A0610000}"/>
    <cellStyle name="Normal 2 2 5 4 3 10" xfId="24993" xr:uid="{00000000-0005-0000-0000-0000A1610000}"/>
    <cellStyle name="Normal 2 2 5 4 3 2" xfId="24994" xr:uid="{00000000-0005-0000-0000-0000A2610000}"/>
    <cellStyle name="Normal 2 2 5 4 3 3" xfId="24995" xr:uid="{00000000-0005-0000-0000-0000A3610000}"/>
    <cellStyle name="Normal 2 2 5 4 3 4" xfId="24996" xr:uid="{00000000-0005-0000-0000-0000A4610000}"/>
    <cellStyle name="Normal 2 2 5 4 3 5" xfId="24997" xr:uid="{00000000-0005-0000-0000-0000A5610000}"/>
    <cellStyle name="Normal 2 2 5 4 3 6" xfId="24998" xr:uid="{00000000-0005-0000-0000-0000A6610000}"/>
    <cellStyle name="Normal 2 2 5 4 3 7" xfId="24999" xr:uid="{00000000-0005-0000-0000-0000A7610000}"/>
    <cellStyle name="Normal 2 2 5 4 3 8" xfId="25000" xr:uid="{00000000-0005-0000-0000-0000A8610000}"/>
    <cellStyle name="Normal 2 2 5 4 3 9" xfId="25001" xr:uid="{00000000-0005-0000-0000-0000A9610000}"/>
    <cellStyle name="Normal 2 2 5 4 4" xfId="25002" xr:uid="{00000000-0005-0000-0000-0000AA610000}"/>
    <cellStyle name="Normal 2 2 5 4 4 10" xfId="25003" xr:uid="{00000000-0005-0000-0000-0000AB610000}"/>
    <cellStyle name="Normal 2 2 5 4 4 2" xfId="25004" xr:uid="{00000000-0005-0000-0000-0000AC610000}"/>
    <cellStyle name="Normal 2 2 5 4 4 3" xfId="25005" xr:uid="{00000000-0005-0000-0000-0000AD610000}"/>
    <cellStyle name="Normal 2 2 5 4 4 4" xfId="25006" xr:uid="{00000000-0005-0000-0000-0000AE610000}"/>
    <cellStyle name="Normal 2 2 5 4 4 5" xfId="25007" xr:uid="{00000000-0005-0000-0000-0000AF610000}"/>
    <cellStyle name="Normal 2 2 5 4 4 6" xfId="25008" xr:uid="{00000000-0005-0000-0000-0000B0610000}"/>
    <cellStyle name="Normal 2 2 5 4 4 7" xfId="25009" xr:uid="{00000000-0005-0000-0000-0000B1610000}"/>
    <cellStyle name="Normal 2 2 5 4 4 8" xfId="25010" xr:uid="{00000000-0005-0000-0000-0000B2610000}"/>
    <cellStyle name="Normal 2 2 5 4 4 9" xfId="25011" xr:uid="{00000000-0005-0000-0000-0000B3610000}"/>
    <cellStyle name="Normal 2 2 5 4 5" xfId="25012" xr:uid="{00000000-0005-0000-0000-0000B4610000}"/>
    <cellStyle name="Normal 2 2 5 4 5 10" xfId="25013" xr:uid="{00000000-0005-0000-0000-0000B5610000}"/>
    <cellStyle name="Normal 2 2 5 4 5 2" xfId="25014" xr:uid="{00000000-0005-0000-0000-0000B6610000}"/>
    <cellStyle name="Normal 2 2 5 4 5 3" xfId="25015" xr:uid="{00000000-0005-0000-0000-0000B7610000}"/>
    <cellStyle name="Normal 2 2 5 4 5 4" xfId="25016" xr:uid="{00000000-0005-0000-0000-0000B8610000}"/>
    <cellStyle name="Normal 2 2 5 4 5 5" xfId="25017" xr:uid="{00000000-0005-0000-0000-0000B9610000}"/>
    <cellStyle name="Normal 2 2 5 4 5 6" xfId="25018" xr:uid="{00000000-0005-0000-0000-0000BA610000}"/>
    <cellStyle name="Normal 2 2 5 4 5 7" xfId="25019" xr:uid="{00000000-0005-0000-0000-0000BB610000}"/>
    <cellStyle name="Normal 2 2 5 4 5 8" xfId="25020" xr:uid="{00000000-0005-0000-0000-0000BC610000}"/>
    <cellStyle name="Normal 2 2 5 4 5 9" xfId="25021" xr:uid="{00000000-0005-0000-0000-0000BD610000}"/>
    <cellStyle name="Normal 2 2 5 4 6" xfId="25022" xr:uid="{00000000-0005-0000-0000-0000BE610000}"/>
    <cellStyle name="Normal 2 2 5 4 7" xfId="25023" xr:uid="{00000000-0005-0000-0000-0000BF610000}"/>
    <cellStyle name="Normal 2 2 5 4 8" xfId="25024" xr:uid="{00000000-0005-0000-0000-0000C0610000}"/>
    <cellStyle name="Normal 2 2 5 4 9" xfId="25025" xr:uid="{00000000-0005-0000-0000-0000C1610000}"/>
    <cellStyle name="Normal 2 2 5 5" xfId="25026" xr:uid="{00000000-0005-0000-0000-0000C2610000}"/>
    <cellStyle name="Normal 2 2 5 5 10" xfId="25027" xr:uid="{00000000-0005-0000-0000-0000C3610000}"/>
    <cellStyle name="Normal 2 2 5 5 11" xfId="25028" xr:uid="{00000000-0005-0000-0000-0000C4610000}"/>
    <cellStyle name="Normal 2 2 5 5 12" xfId="25029" xr:uid="{00000000-0005-0000-0000-0000C5610000}"/>
    <cellStyle name="Normal 2 2 5 5 13" xfId="25030" xr:uid="{00000000-0005-0000-0000-0000C6610000}"/>
    <cellStyle name="Normal 2 2 5 5 14" xfId="25031" xr:uid="{00000000-0005-0000-0000-0000C7610000}"/>
    <cellStyle name="Normal 2 2 5 5 2" xfId="25032" xr:uid="{00000000-0005-0000-0000-0000C8610000}"/>
    <cellStyle name="Normal 2 2 5 5 2 10" xfId="25033" xr:uid="{00000000-0005-0000-0000-0000C9610000}"/>
    <cellStyle name="Normal 2 2 5 5 2 2" xfId="25034" xr:uid="{00000000-0005-0000-0000-0000CA610000}"/>
    <cellStyle name="Normal 2 2 5 5 2 3" xfId="25035" xr:uid="{00000000-0005-0000-0000-0000CB610000}"/>
    <cellStyle name="Normal 2 2 5 5 2 4" xfId="25036" xr:uid="{00000000-0005-0000-0000-0000CC610000}"/>
    <cellStyle name="Normal 2 2 5 5 2 5" xfId="25037" xr:uid="{00000000-0005-0000-0000-0000CD610000}"/>
    <cellStyle name="Normal 2 2 5 5 2 6" xfId="25038" xr:uid="{00000000-0005-0000-0000-0000CE610000}"/>
    <cellStyle name="Normal 2 2 5 5 2 7" xfId="25039" xr:uid="{00000000-0005-0000-0000-0000CF610000}"/>
    <cellStyle name="Normal 2 2 5 5 2 8" xfId="25040" xr:uid="{00000000-0005-0000-0000-0000D0610000}"/>
    <cellStyle name="Normal 2 2 5 5 2 9" xfId="25041" xr:uid="{00000000-0005-0000-0000-0000D1610000}"/>
    <cellStyle name="Normal 2 2 5 5 3" xfId="25042" xr:uid="{00000000-0005-0000-0000-0000D2610000}"/>
    <cellStyle name="Normal 2 2 5 5 3 10" xfId="25043" xr:uid="{00000000-0005-0000-0000-0000D3610000}"/>
    <cellStyle name="Normal 2 2 5 5 3 2" xfId="25044" xr:uid="{00000000-0005-0000-0000-0000D4610000}"/>
    <cellStyle name="Normal 2 2 5 5 3 3" xfId="25045" xr:uid="{00000000-0005-0000-0000-0000D5610000}"/>
    <cellStyle name="Normal 2 2 5 5 3 4" xfId="25046" xr:uid="{00000000-0005-0000-0000-0000D6610000}"/>
    <cellStyle name="Normal 2 2 5 5 3 5" xfId="25047" xr:uid="{00000000-0005-0000-0000-0000D7610000}"/>
    <cellStyle name="Normal 2 2 5 5 3 6" xfId="25048" xr:uid="{00000000-0005-0000-0000-0000D8610000}"/>
    <cellStyle name="Normal 2 2 5 5 3 7" xfId="25049" xr:uid="{00000000-0005-0000-0000-0000D9610000}"/>
    <cellStyle name="Normal 2 2 5 5 3 8" xfId="25050" xr:uid="{00000000-0005-0000-0000-0000DA610000}"/>
    <cellStyle name="Normal 2 2 5 5 3 9" xfId="25051" xr:uid="{00000000-0005-0000-0000-0000DB610000}"/>
    <cellStyle name="Normal 2 2 5 5 4" xfId="25052" xr:uid="{00000000-0005-0000-0000-0000DC610000}"/>
    <cellStyle name="Normal 2 2 5 5 4 10" xfId="25053" xr:uid="{00000000-0005-0000-0000-0000DD610000}"/>
    <cellStyle name="Normal 2 2 5 5 4 2" xfId="25054" xr:uid="{00000000-0005-0000-0000-0000DE610000}"/>
    <cellStyle name="Normal 2 2 5 5 4 3" xfId="25055" xr:uid="{00000000-0005-0000-0000-0000DF610000}"/>
    <cellStyle name="Normal 2 2 5 5 4 4" xfId="25056" xr:uid="{00000000-0005-0000-0000-0000E0610000}"/>
    <cellStyle name="Normal 2 2 5 5 4 5" xfId="25057" xr:uid="{00000000-0005-0000-0000-0000E1610000}"/>
    <cellStyle name="Normal 2 2 5 5 4 6" xfId="25058" xr:uid="{00000000-0005-0000-0000-0000E2610000}"/>
    <cellStyle name="Normal 2 2 5 5 4 7" xfId="25059" xr:uid="{00000000-0005-0000-0000-0000E3610000}"/>
    <cellStyle name="Normal 2 2 5 5 4 8" xfId="25060" xr:uid="{00000000-0005-0000-0000-0000E4610000}"/>
    <cellStyle name="Normal 2 2 5 5 4 9" xfId="25061" xr:uid="{00000000-0005-0000-0000-0000E5610000}"/>
    <cellStyle name="Normal 2 2 5 5 5" xfId="25062" xr:uid="{00000000-0005-0000-0000-0000E6610000}"/>
    <cellStyle name="Normal 2 2 5 5 5 10" xfId="25063" xr:uid="{00000000-0005-0000-0000-0000E7610000}"/>
    <cellStyle name="Normal 2 2 5 5 5 2" xfId="25064" xr:uid="{00000000-0005-0000-0000-0000E8610000}"/>
    <cellStyle name="Normal 2 2 5 5 5 3" xfId="25065" xr:uid="{00000000-0005-0000-0000-0000E9610000}"/>
    <cellStyle name="Normal 2 2 5 5 5 4" xfId="25066" xr:uid="{00000000-0005-0000-0000-0000EA610000}"/>
    <cellStyle name="Normal 2 2 5 5 5 5" xfId="25067" xr:uid="{00000000-0005-0000-0000-0000EB610000}"/>
    <cellStyle name="Normal 2 2 5 5 5 6" xfId="25068" xr:uid="{00000000-0005-0000-0000-0000EC610000}"/>
    <cellStyle name="Normal 2 2 5 5 5 7" xfId="25069" xr:uid="{00000000-0005-0000-0000-0000ED610000}"/>
    <cellStyle name="Normal 2 2 5 5 5 8" xfId="25070" xr:uid="{00000000-0005-0000-0000-0000EE610000}"/>
    <cellStyle name="Normal 2 2 5 5 5 9" xfId="25071" xr:uid="{00000000-0005-0000-0000-0000EF610000}"/>
    <cellStyle name="Normal 2 2 5 5 6" xfId="25072" xr:uid="{00000000-0005-0000-0000-0000F0610000}"/>
    <cellStyle name="Normal 2 2 5 5 7" xfId="25073" xr:uid="{00000000-0005-0000-0000-0000F1610000}"/>
    <cellStyle name="Normal 2 2 5 5 8" xfId="25074" xr:uid="{00000000-0005-0000-0000-0000F2610000}"/>
    <cellStyle name="Normal 2 2 5 5 9" xfId="25075" xr:uid="{00000000-0005-0000-0000-0000F3610000}"/>
    <cellStyle name="Normal 2 2 5 6" xfId="25076" xr:uid="{00000000-0005-0000-0000-0000F4610000}"/>
    <cellStyle name="Normal 2 2 5 6 10" xfId="25077" xr:uid="{00000000-0005-0000-0000-0000F5610000}"/>
    <cellStyle name="Normal 2 2 5 6 11" xfId="25078" xr:uid="{00000000-0005-0000-0000-0000F6610000}"/>
    <cellStyle name="Normal 2 2 5 6 12" xfId="25079" xr:uid="{00000000-0005-0000-0000-0000F7610000}"/>
    <cellStyle name="Normal 2 2 5 6 13" xfId="25080" xr:uid="{00000000-0005-0000-0000-0000F8610000}"/>
    <cellStyle name="Normal 2 2 5 6 14" xfId="25081" xr:uid="{00000000-0005-0000-0000-0000F9610000}"/>
    <cellStyle name="Normal 2 2 5 6 2" xfId="25082" xr:uid="{00000000-0005-0000-0000-0000FA610000}"/>
    <cellStyle name="Normal 2 2 5 6 2 10" xfId="25083" xr:uid="{00000000-0005-0000-0000-0000FB610000}"/>
    <cellStyle name="Normal 2 2 5 6 2 2" xfId="25084" xr:uid="{00000000-0005-0000-0000-0000FC610000}"/>
    <cellStyle name="Normal 2 2 5 6 2 3" xfId="25085" xr:uid="{00000000-0005-0000-0000-0000FD610000}"/>
    <cellStyle name="Normal 2 2 5 6 2 4" xfId="25086" xr:uid="{00000000-0005-0000-0000-0000FE610000}"/>
    <cellStyle name="Normal 2 2 5 6 2 5" xfId="25087" xr:uid="{00000000-0005-0000-0000-0000FF610000}"/>
    <cellStyle name="Normal 2 2 5 6 2 6" xfId="25088" xr:uid="{00000000-0005-0000-0000-000000620000}"/>
    <cellStyle name="Normal 2 2 5 6 2 7" xfId="25089" xr:uid="{00000000-0005-0000-0000-000001620000}"/>
    <cellStyle name="Normal 2 2 5 6 2 8" xfId="25090" xr:uid="{00000000-0005-0000-0000-000002620000}"/>
    <cellStyle name="Normal 2 2 5 6 2 9" xfId="25091" xr:uid="{00000000-0005-0000-0000-000003620000}"/>
    <cellStyle name="Normal 2 2 5 6 3" xfId="25092" xr:uid="{00000000-0005-0000-0000-000004620000}"/>
    <cellStyle name="Normal 2 2 5 6 3 10" xfId="25093" xr:uid="{00000000-0005-0000-0000-000005620000}"/>
    <cellStyle name="Normal 2 2 5 6 3 2" xfId="25094" xr:uid="{00000000-0005-0000-0000-000006620000}"/>
    <cellStyle name="Normal 2 2 5 6 3 3" xfId="25095" xr:uid="{00000000-0005-0000-0000-000007620000}"/>
    <cellStyle name="Normal 2 2 5 6 3 4" xfId="25096" xr:uid="{00000000-0005-0000-0000-000008620000}"/>
    <cellStyle name="Normal 2 2 5 6 3 5" xfId="25097" xr:uid="{00000000-0005-0000-0000-000009620000}"/>
    <cellStyle name="Normal 2 2 5 6 3 6" xfId="25098" xr:uid="{00000000-0005-0000-0000-00000A620000}"/>
    <cellStyle name="Normal 2 2 5 6 3 7" xfId="25099" xr:uid="{00000000-0005-0000-0000-00000B620000}"/>
    <cellStyle name="Normal 2 2 5 6 3 8" xfId="25100" xr:uid="{00000000-0005-0000-0000-00000C620000}"/>
    <cellStyle name="Normal 2 2 5 6 3 9" xfId="25101" xr:uid="{00000000-0005-0000-0000-00000D620000}"/>
    <cellStyle name="Normal 2 2 5 6 4" xfId="25102" xr:uid="{00000000-0005-0000-0000-00000E620000}"/>
    <cellStyle name="Normal 2 2 5 6 4 10" xfId="25103" xr:uid="{00000000-0005-0000-0000-00000F620000}"/>
    <cellStyle name="Normal 2 2 5 6 4 2" xfId="25104" xr:uid="{00000000-0005-0000-0000-000010620000}"/>
    <cellStyle name="Normal 2 2 5 6 4 3" xfId="25105" xr:uid="{00000000-0005-0000-0000-000011620000}"/>
    <cellStyle name="Normal 2 2 5 6 4 4" xfId="25106" xr:uid="{00000000-0005-0000-0000-000012620000}"/>
    <cellStyle name="Normal 2 2 5 6 4 5" xfId="25107" xr:uid="{00000000-0005-0000-0000-000013620000}"/>
    <cellStyle name="Normal 2 2 5 6 4 6" xfId="25108" xr:uid="{00000000-0005-0000-0000-000014620000}"/>
    <cellStyle name="Normal 2 2 5 6 4 7" xfId="25109" xr:uid="{00000000-0005-0000-0000-000015620000}"/>
    <cellStyle name="Normal 2 2 5 6 4 8" xfId="25110" xr:uid="{00000000-0005-0000-0000-000016620000}"/>
    <cellStyle name="Normal 2 2 5 6 4 9" xfId="25111" xr:uid="{00000000-0005-0000-0000-000017620000}"/>
    <cellStyle name="Normal 2 2 5 6 5" xfId="25112" xr:uid="{00000000-0005-0000-0000-000018620000}"/>
    <cellStyle name="Normal 2 2 5 6 5 10" xfId="25113" xr:uid="{00000000-0005-0000-0000-000019620000}"/>
    <cellStyle name="Normal 2 2 5 6 5 2" xfId="25114" xr:uid="{00000000-0005-0000-0000-00001A620000}"/>
    <cellStyle name="Normal 2 2 5 6 5 3" xfId="25115" xr:uid="{00000000-0005-0000-0000-00001B620000}"/>
    <cellStyle name="Normal 2 2 5 6 5 4" xfId="25116" xr:uid="{00000000-0005-0000-0000-00001C620000}"/>
    <cellStyle name="Normal 2 2 5 6 5 5" xfId="25117" xr:uid="{00000000-0005-0000-0000-00001D620000}"/>
    <cellStyle name="Normal 2 2 5 6 5 6" xfId="25118" xr:uid="{00000000-0005-0000-0000-00001E620000}"/>
    <cellStyle name="Normal 2 2 5 6 5 7" xfId="25119" xr:uid="{00000000-0005-0000-0000-00001F620000}"/>
    <cellStyle name="Normal 2 2 5 6 5 8" xfId="25120" xr:uid="{00000000-0005-0000-0000-000020620000}"/>
    <cellStyle name="Normal 2 2 5 6 5 9" xfId="25121" xr:uid="{00000000-0005-0000-0000-000021620000}"/>
    <cellStyle name="Normal 2 2 5 6 6" xfId="25122" xr:uid="{00000000-0005-0000-0000-000022620000}"/>
    <cellStyle name="Normal 2 2 5 6 7" xfId="25123" xr:uid="{00000000-0005-0000-0000-000023620000}"/>
    <cellStyle name="Normal 2 2 5 6 8" xfId="25124" xr:uid="{00000000-0005-0000-0000-000024620000}"/>
    <cellStyle name="Normal 2 2 5 6 9" xfId="25125" xr:uid="{00000000-0005-0000-0000-000025620000}"/>
    <cellStyle name="Normal 2 2 5 7" xfId="25126" xr:uid="{00000000-0005-0000-0000-000026620000}"/>
    <cellStyle name="Normal 2 2 5 7 10" xfId="25127" xr:uid="{00000000-0005-0000-0000-000027620000}"/>
    <cellStyle name="Normal 2 2 5 7 11" xfId="25128" xr:uid="{00000000-0005-0000-0000-000028620000}"/>
    <cellStyle name="Normal 2 2 5 7 12" xfId="25129" xr:uid="{00000000-0005-0000-0000-000029620000}"/>
    <cellStyle name="Normal 2 2 5 7 13" xfId="25130" xr:uid="{00000000-0005-0000-0000-00002A620000}"/>
    <cellStyle name="Normal 2 2 5 7 14" xfId="25131" xr:uid="{00000000-0005-0000-0000-00002B620000}"/>
    <cellStyle name="Normal 2 2 5 7 2" xfId="25132" xr:uid="{00000000-0005-0000-0000-00002C620000}"/>
    <cellStyle name="Normal 2 2 5 7 2 10" xfId="25133" xr:uid="{00000000-0005-0000-0000-00002D620000}"/>
    <cellStyle name="Normal 2 2 5 7 2 2" xfId="25134" xr:uid="{00000000-0005-0000-0000-00002E620000}"/>
    <cellStyle name="Normal 2 2 5 7 2 3" xfId="25135" xr:uid="{00000000-0005-0000-0000-00002F620000}"/>
    <cellStyle name="Normal 2 2 5 7 2 4" xfId="25136" xr:uid="{00000000-0005-0000-0000-000030620000}"/>
    <cellStyle name="Normal 2 2 5 7 2 5" xfId="25137" xr:uid="{00000000-0005-0000-0000-000031620000}"/>
    <cellStyle name="Normal 2 2 5 7 2 6" xfId="25138" xr:uid="{00000000-0005-0000-0000-000032620000}"/>
    <cellStyle name="Normal 2 2 5 7 2 7" xfId="25139" xr:uid="{00000000-0005-0000-0000-000033620000}"/>
    <cellStyle name="Normal 2 2 5 7 2 8" xfId="25140" xr:uid="{00000000-0005-0000-0000-000034620000}"/>
    <cellStyle name="Normal 2 2 5 7 2 9" xfId="25141" xr:uid="{00000000-0005-0000-0000-000035620000}"/>
    <cellStyle name="Normal 2 2 5 7 3" xfId="25142" xr:uid="{00000000-0005-0000-0000-000036620000}"/>
    <cellStyle name="Normal 2 2 5 7 3 10" xfId="25143" xr:uid="{00000000-0005-0000-0000-000037620000}"/>
    <cellStyle name="Normal 2 2 5 7 3 2" xfId="25144" xr:uid="{00000000-0005-0000-0000-000038620000}"/>
    <cellStyle name="Normal 2 2 5 7 3 3" xfId="25145" xr:uid="{00000000-0005-0000-0000-000039620000}"/>
    <cellStyle name="Normal 2 2 5 7 3 4" xfId="25146" xr:uid="{00000000-0005-0000-0000-00003A620000}"/>
    <cellStyle name="Normal 2 2 5 7 3 5" xfId="25147" xr:uid="{00000000-0005-0000-0000-00003B620000}"/>
    <cellStyle name="Normal 2 2 5 7 3 6" xfId="25148" xr:uid="{00000000-0005-0000-0000-00003C620000}"/>
    <cellStyle name="Normal 2 2 5 7 3 7" xfId="25149" xr:uid="{00000000-0005-0000-0000-00003D620000}"/>
    <cellStyle name="Normal 2 2 5 7 3 8" xfId="25150" xr:uid="{00000000-0005-0000-0000-00003E620000}"/>
    <cellStyle name="Normal 2 2 5 7 3 9" xfId="25151" xr:uid="{00000000-0005-0000-0000-00003F620000}"/>
    <cellStyle name="Normal 2 2 5 7 4" xfId="25152" xr:uid="{00000000-0005-0000-0000-000040620000}"/>
    <cellStyle name="Normal 2 2 5 7 4 10" xfId="25153" xr:uid="{00000000-0005-0000-0000-000041620000}"/>
    <cellStyle name="Normal 2 2 5 7 4 2" xfId="25154" xr:uid="{00000000-0005-0000-0000-000042620000}"/>
    <cellStyle name="Normal 2 2 5 7 4 3" xfId="25155" xr:uid="{00000000-0005-0000-0000-000043620000}"/>
    <cellStyle name="Normal 2 2 5 7 4 4" xfId="25156" xr:uid="{00000000-0005-0000-0000-000044620000}"/>
    <cellStyle name="Normal 2 2 5 7 4 5" xfId="25157" xr:uid="{00000000-0005-0000-0000-000045620000}"/>
    <cellStyle name="Normal 2 2 5 7 4 6" xfId="25158" xr:uid="{00000000-0005-0000-0000-000046620000}"/>
    <cellStyle name="Normal 2 2 5 7 4 7" xfId="25159" xr:uid="{00000000-0005-0000-0000-000047620000}"/>
    <cellStyle name="Normal 2 2 5 7 4 8" xfId="25160" xr:uid="{00000000-0005-0000-0000-000048620000}"/>
    <cellStyle name="Normal 2 2 5 7 4 9" xfId="25161" xr:uid="{00000000-0005-0000-0000-000049620000}"/>
    <cellStyle name="Normal 2 2 5 7 5" xfId="25162" xr:uid="{00000000-0005-0000-0000-00004A620000}"/>
    <cellStyle name="Normal 2 2 5 7 5 10" xfId="25163" xr:uid="{00000000-0005-0000-0000-00004B620000}"/>
    <cellStyle name="Normal 2 2 5 7 5 2" xfId="25164" xr:uid="{00000000-0005-0000-0000-00004C620000}"/>
    <cellStyle name="Normal 2 2 5 7 5 3" xfId="25165" xr:uid="{00000000-0005-0000-0000-00004D620000}"/>
    <cellStyle name="Normal 2 2 5 7 5 4" xfId="25166" xr:uid="{00000000-0005-0000-0000-00004E620000}"/>
    <cellStyle name="Normal 2 2 5 7 5 5" xfId="25167" xr:uid="{00000000-0005-0000-0000-00004F620000}"/>
    <cellStyle name="Normal 2 2 5 7 5 6" xfId="25168" xr:uid="{00000000-0005-0000-0000-000050620000}"/>
    <cellStyle name="Normal 2 2 5 7 5 7" xfId="25169" xr:uid="{00000000-0005-0000-0000-000051620000}"/>
    <cellStyle name="Normal 2 2 5 7 5 8" xfId="25170" xr:uid="{00000000-0005-0000-0000-000052620000}"/>
    <cellStyle name="Normal 2 2 5 7 5 9" xfId="25171" xr:uid="{00000000-0005-0000-0000-000053620000}"/>
    <cellStyle name="Normal 2 2 5 7 6" xfId="25172" xr:uid="{00000000-0005-0000-0000-000054620000}"/>
    <cellStyle name="Normal 2 2 5 7 7" xfId="25173" xr:uid="{00000000-0005-0000-0000-000055620000}"/>
    <cellStyle name="Normal 2 2 5 7 8" xfId="25174" xr:uid="{00000000-0005-0000-0000-000056620000}"/>
    <cellStyle name="Normal 2 2 5 7 9" xfId="25175" xr:uid="{00000000-0005-0000-0000-000057620000}"/>
    <cellStyle name="Normal 2 2 5 8" xfId="25176" xr:uid="{00000000-0005-0000-0000-000058620000}"/>
    <cellStyle name="Normal 2 2 5 8 10" xfId="25177" xr:uid="{00000000-0005-0000-0000-000059620000}"/>
    <cellStyle name="Normal 2 2 5 8 11" xfId="25178" xr:uid="{00000000-0005-0000-0000-00005A620000}"/>
    <cellStyle name="Normal 2 2 5 8 12" xfId="25179" xr:uid="{00000000-0005-0000-0000-00005B620000}"/>
    <cellStyle name="Normal 2 2 5 8 13" xfId="25180" xr:uid="{00000000-0005-0000-0000-00005C620000}"/>
    <cellStyle name="Normal 2 2 5 8 14" xfId="25181" xr:uid="{00000000-0005-0000-0000-00005D620000}"/>
    <cellStyle name="Normal 2 2 5 8 2" xfId="25182" xr:uid="{00000000-0005-0000-0000-00005E620000}"/>
    <cellStyle name="Normal 2 2 5 8 2 10" xfId="25183" xr:uid="{00000000-0005-0000-0000-00005F620000}"/>
    <cellStyle name="Normal 2 2 5 8 2 2" xfId="25184" xr:uid="{00000000-0005-0000-0000-000060620000}"/>
    <cellStyle name="Normal 2 2 5 8 2 3" xfId="25185" xr:uid="{00000000-0005-0000-0000-000061620000}"/>
    <cellStyle name="Normal 2 2 5 8 2 4" xfId="25186" xr:uid="{00000000-0005-0000-0000-000062620000}"/>
    <cellStyle name="Normal 2 2 5 8 2 5" xfId="25187" xr:uid="{00000000-0005-0000-0000-000063620000}"/>
    <cellStyle name="Normal 2 2 5 8 2 6" xfId="25188" xr:uid="{00000000-0005-0000-0000-000064620000}"/>
    <cellStyle name="Normal 2 2 5 8 2 7" xfId="25189" xr:uid="{00000000-0005-0000-0000-000065620000}"/>
    <cellStyle name="Normal 2 2 5 8 2 8" xfId="25190" xr:uid="{00000000-0005-0000-0000-000066620000}"/>
    <cellStyle name="Normal 2 2 5 8 2 9" xfId="25191" xr:uid="{00000000-0005-0000-0000-000067620000}"/>
    <cellStyle name="Normal 2 2 5 8 3" xfId="25192" xr:uid="{00000000-0005-0000-0000-000068620000}"/>
    <cellStyle name="Normal 2 2 5 8 3 10" xfId="25193" xr:uid="{00000000-0005-0000-0000-000069620000}"/>
    <cellStyle name="Normal 2 2 5 8 3 2" xfId="25194" xr:uid="{00000000-0005-0000-0000-00006A620000}"/>
    <cellStyle name="Normal 2 2 5 8 3 3" xfId="25195" xr:uid="{00000000-0005-0000-0000-00006B620000}"/>
    <cellStyle name="Normal 2 2 5 8 3 4" xfId="25196" xr:uid="{00000000-0005-0000-0000-00006C620000}"/>
    <cellStyle name="Normal 2 2 5 8 3 5" xfId="25197" xr:uid="{00000000-0005-0000-0000-00006D620000}"/>
    <cellStyle name="Normal 2 2 5 8 3 6" xfId="25198" xr:uid="{00000000-0005-0000-0000-00006E620000}"/>
    <cellStyle name="Normal 2 2 5 8 3 7" xfId="25199" xr:uid="{00000000-0005-0000-0000-00006F620000}"/>
    <cellStyle name="Normal 2 2 5 8 3 8" xfId="25200" xr:uid="{00000000-0005-0000-0000-000070620000}"/>
    <cellStyle name="Normal 2 2 5 8 3 9" xfId="25201" xr:uid="{00000000-0005-0000-0000-000071620000}"/>
    <cellStyle name="Normal 2 2 5 8 4" xfId="25202" xr:uid="{00000000-0005-0000-0000-000072620000}"/>
    <cellStyle name="Normal 2 2 5 8 4 10" xfId="25203" xr:uid="{00000000-0005-0000-0000-000073620000}"/>
    <cellStyle name="Normal 2 2 5 8 4 2" xfId="25204" xr:uid="{00000000-0005-0000-0000-000074620000}"/>
    <cellStyle name="Normal 2 2 5 8 4 3" xfId="25205" xr:uid="{00000000-0005-0000-0000-000075620000}"/>
    <cellStyle name="Normal 2 2 5 8 4 4" xfId="25206" xr:uid="{00000000-0005-0000-0000-000076620000}"/>
    <cellStyle name="Normal 2 2 5 8 4 5" xfId="25207" xr:uid="{00000000-0005-0000-0000-000077620000}"/>
    <cellStyle name="Normal 2 2 5 8 4 6" xfId="25208" xr:uid="{00000000-0005-0000-0000-000078620000}"/>
    <cellStyle name="Normal 2 2 5 8 4 7" xfId="25209" xr:uid="{00000000-0005-0000-0000-000079620000}"/>
    <cellStyle name="Normal 2 2 5 8 4 8" xfId="25210" xr:uid="{00000000-0005-0000-0000-00007A620000}"/>
    <cellStyle name="Normal 2 2 5 8 4 9" xfId="25211" xr:uid="{00000000-0005-0000-0000-00007B620000}"/>
    <cellStyle name="Normal 2 2 5 8 5" xfId="25212" xr:uid="{00000000-0005-0000-0000-00007C620000}"/>
    <cellStyle name="Normal 2 2 5 8 5 10" xfId="25213" xr:uid="{00000000-0005-0000-0000-00007D620000}"/>
    <cellStyle name="Normal 2 2 5 8 5 2" xfId="25214" xr:uid="{00000000-0005-0000-0000-00007E620000}"/>
    <cellStyle name="Normal 2 2 5 8 5 3" xfId="25215" xr:uid="{00000000-0005-0000-0000-00007F620000}"/>
    <cellStyle name="Normal 2 2 5 8 5 4" xfId="25216" xr:uid="{00000000-0005-0000-0000-000080620000}"/>
    <cellStyle name="Normal 2 2 5 8 5 5" xfId="25217" xr:uid="{00000000-0005-0000-0000-000081620000}"/>
    <cellStyle name="Normal 2 2 5 8 5 6" xfId="25218" xr:uid="{00000000-0005-0000-0000-000082620000}"/>
    <cellStyle name="Normal 2 2 5 8 5 7" xfId="25219" xr:uid="{00000000-0005-0000-0000-000083620000}"/>
    <cellStyle name="Normal 2 2 5 8 5 8" xfId="25220" xr:uid="{00000000-0005-0000-0000-000084620000}"/>
    <cellStyle name="Normal 2 2 5 8 5 9" xfId="25221" xr:uid="{00000000-0005-0000-0000-000085620000}"/>
    <cellStyle name="Normal 2 2 5 8 6" xfId="25222" xr:uid="{00000000-0005-0000-0000-000086620000}"/>
    <cellStyle name="Normal 2 2 5 8 7" xfId="25223" xr:uid="{00000000-0005-0000-0000-000087620000}"/>
    <cellStyle name="Normal 2 2 5 8 8" xfId="25224" xr:uid="{00000000-0005-0000-0000-000088620000}"/>
    <cellStyle name="Normal 2 2 5 8 9" xfId="25225" xr:uid="{00000000-0005-0000-0000-000089620000}"/>
    <cellStyle name="Normal 2 2 5 9" xfId="25226" xr:uid="{00000000-0005-0000-0000-00008A620000}"/>
    <cellStyle name="Normal 2 2 5 9 10" xfId="25227" xr:uid="{00000000-0005-0000-0000-00008B620000}"/>
    <cellStyle name="Normal 2 2 5 9 11" xfId="25228" xr:uid="{00000000-0005-0000-0000-00008C620000}"/>
    <cellStyle name="Normal 2 2 5 9 12" xfId="25229" xr:uid="{00000000-0005-0000-0000-00008D620000}"/>
    <cellStyle name="Normal 2 2 5 9 13" xfId="25230" xr:uid="{00000000-0005-0000-0000-00008E620000}"/>
    <cellStyle name="Normal 2 2 5 9 14" xfId="25231" xr:uid="{00000000-0005-0000-0000-00008F620000}"/>
    <cellStyle name="Normal 2 2 5 9 2" xfId="25232" xr:uid="{00000000-0005-0000-0000-000090620000}"/>
    <cellStyle name="Normal 2 2 5 9 2 10" xfId="25233" xr:uid="{00000000-0005-0000-0000-000091620000}"/>
    <cellStyle name="Normal 2 2 5 9 2 2" xfId="25234" xr:uid="{00000000-0005-0000-0000-000092620000}"/>
    <cellStyle name="Normal 2 2 5 9 2 3" xfId="25235" xr:uid="{00000000-0005-0000-0000-000093620000}"/>
    <cellStyle name="Normal 2 2 5 9 2 4" xfId="25236" xr:uid="{00000000-0005-0000-0000-000094620000}"/>
    <cellStyle name="Normal 2 2 5 9 2 5" xfId="25237" xr:uid="{00000000-0005-0000-0000-000095620000}"/>
    <cellStyle name="Normal 2 2 5 9 2 6" xfId="25238" xr:uid="{00000000-0005-0000-0000-000096620000}"/>
    <cellStyle name="Normal 2 2 5 9 2 7" xfId="25239" xr:uid="{00000000-0005-0000-0000-000097620000}"/>
    <cellStyle name="Normal 2 2 5 9 2 8" xfId="25240" xr:uid="{00000000-0005-0000-0000-000098620000}"/>
    <cellStyle name="Normal 2 2 5 9 2 9" xfId="25241" xr:uid="{00000000-0005-0000-0000-000099620000}"/>
    <cellStyle name="Normal 2 2 5 9 3" xfId="25242" xr:uid="{00000000-0005-0000-0000-00009A620000}"/>
    <cellStyle name="Normal 2 2 5 9 3 10" xfId="25243" xr:uid="{00000000-0005-0000-0000-00009B620000}"/>
    <cellStyle name="Normal 2 2 5 9 3 2" xfId="25244" xr:uid="{00000000-0005-0000-0000-00009C620000}"/>
    <cellStyle name="Normal 2 2 5 9 3 3" xfId="25245" xr:uid="{00000000-0005-0000-0000-00009D620000}"/>
    <cellStyle name="Normal 2 2 5 9 3 4" xfId="25246" xr:uid="{00000000-0005-0000-0000-00009E620000}"/>
    <cellStyle name="Normal 2 2 5 9 3 5" xfId="25247" xr:uid="{00000000-0005-0000-0000-00009F620000}"/>
    <cellStyle name="Normal 2 2 5 9 3 6" xfId="25248" xr:uid="{00000000-0005-0000-0000-0000A0620000}"/>
    <cellStyle name="Normal 2 2 5 9 3 7" xfId="25249" xr:uid="{00000000-0005-0000-0000-0000A1620000}"/>
    <cellStyle name="Normal 2 2 5 9 3 8" xfId="25250" xr:uid="{00000000-0005-0000-0000-0000A2620000}"/>
    <cellStyle name="Normal 2 2 5 9 3 9" xfId="25251" xr:uid="{00000000-0005-0000-0000-0000A3620000}"/>
    <cellStyle name="Normal 2 2 5 9 4" xfId="25252" xr:uid="{00000000-0005-0000-0000-0000A4620000}"/>
    <cellStyle name="Normal 2 2 5 9 4 10" xfId="25253" xr:uid="{00000000-0005-0000-0000-0000A5620000}"/>
    <cellStyle name="Normal 2 2 5 9 4 2" xfId="25254" xr:uid="{00000000-0005-0000-0000-0000A6620000}"/>
    <cellStyle name="Normal 2 2 5 9 4 3" xfId="25255" xr:uid="{00000000-0005-0000-0000-0000A7620000}"/>
    <cellStyle name="Normal 2 2 5 9 4 4" xfId="25256" xr:uid="{00000000-0005-0000-0000-0000A8620000}"/>
    <cellStyle name="Normal 2 2 5 9 4 5" xfId="25257" xr:uid="{00000000-0005-0000-0000-0000A9620000}"/>
    <cellStyle name="Normal 2 2 5 9 4 6" xfId="25258" xr:uid="{00000000-0005-0000-0000-0000AA620000}"/>
    <cellStyle name="Normal 2 2 5 9 4 7" xfId="25259" xr:uid="{00000000-0005-0000-0000-0000AB620000}"/>
    <cellStyle name="Normal 2 2 5 9 4 8" xfId="25260" xr:uid="{00000000-0005-0000-0000-0000AC620000}"/>
    <cellStyle name="Normal 2 2 5 9 4 9" xfId="25261" xr:uid="{00000000-0005-0000-0000-0000AD620000}"/>
    <cellStyle name="Normal 2 2 5 9 5" xfId="25262" xr:uid="{00000000-0005-0000-0000-0000AE620000}"/>
    <cellStyle name="Normal 2 2 5 9 5 10" xfId="25263" xr:uid="{00000000-0005-0000-0000-0000AF620000}"/>
    <cellStyle name="Normal 2 2 5 9 5 2" xfId="25264" xr:uid="{00000000-0005-0000-0000-0000B0620000}"/>
    <cellStyle name="Normal 2 2 5 9 5 3" xfId="25265" xr:uid="{00000000-0005-0000-0000-0000B1620000}"/>
    <cellStyle name="Normal 2 2 5 9 5 4" xfId="25266" xr:uid="{00000000-0005-0000-0000-0000B2620000}"/>
    <cellStyle name="Normal 2 2 5 9 5 5" xfId="25267" xr:uid="{00000000-0005-0000-0000-0000B3620000}"/>
    <cellStyle name="Normal 2 2 5 9 5 6" xfId="25268" xr:uid="{00000000-0005-0000-0000-0000B4620000}"/>
    <cellStyle name="Normal 2 2 5 9 5 7" xfId="25269" xr:uid="{00000000-0005-0000-0000-0000B5620000}"/>
    <cellStyle name="Normal 2 2 5 9 5 8" xfId="25270" xr:uid="{00000000-0005-0000-0000-0000B6620000}"/>
    <cellStyle name="Normal 2 2 5 9 5 9" xfId="25271" xr:uid="{00000000-0005-0000-0000-0000B7620000}"/>
    <cellStyle name="Normal 2 2 5 9 6" xfId="25272" xr:uid="{00000000-0005-0000-0000-0000B8620000}"/>
    <cellStyle name="Normal 2 2 5 9 7" xfId="25273" xr:uid="{00000000-0005-0000-0000-0000B9620000}"/>
    <cellStyle name="Normal 2 2 5 9 8" xfId="25274" xr:uid="{00000000-0005-0000-0000-0000BA620000}"/>
    <cellStyle name="Normal 2 2 5 9 9" xfId="25275" xr:uid="{00000000-0005-0000-0000-0000BB620000}"/>
    <cellStyle name="Normal 2 2 50" xfId="25276" xr:uid="{00000000-0005-0000-0000-0000BC620000}"/>
    <cellStyle name="Normal 2 2 51" xfId="25277" xr:uid="{00000000-0005-0000-0000-0000BD620000}"/>
    <cellStyle name="Normal 2 2 52" xfId="25278" xr:uid="{00000000-0005-0000-0000-0000BE620000}"/>
    <cellStyle name="Normal 2 2 6" xfId="25279" xr:uid="{00000000-0005-0000-0000-0000BF620000}"/>
    <cellStyle name="Normal 2 2 6 2" xfId="25280" xr:uid="{00000000-0005-0000-0000-0000C0620000}"/>
    <cellStyle name="Normal 2 2 6 3" xfId="25281" xr:uid="{00000000-0005-0000-0000-0000C1620000}"/>
    <cellStyle name="Normal 2 2 7" xfId="25282" xr:uid="{00000000-0005-0000-0000-0000C2620000}"/>
    <cellStyle name="Normal 2 2 7 2" xfId="25283" xr:uid="{00000000-0005-0000-0000-0000C3620000}"/>
    <cellStyle name="Normal 2 2 7 3" xfId="25284" xr:uid="{00000000-0005-0000-0000-0000C4620000}"/>
    <cellStyle name="Normal 2 2 8" xfId="25285" xr:uid="{00000000-0005-0000-0000-0000C5620000}"/>
    <cellStyle name="Normal 2 2 8 2" xfId="25286" xr:uid="{00000000-0005-0000-0000-0000C6620000}"/>
    <cellStyle name="Normal 2 2 8 3" xfId="25287" xr:uid="{00000000-0005-0000-0000-0000C7620000}"/>
    <cellStyle name="Normal 2 2 9" xfId="25288" xr:uid="{00000000-0005-0000-0000-0000C8620000}"/>
    <cellStyle name="Normal 2 2 9 2" xfId="25289" xr:uid="{00000000-0005-0000-0000-0000C9620000}"/>
    <cellStyle name="Normal 2 2 9 3" xfId="25290" xr:uid="{00000000-0005-0000-0000-0000CA620000}"/>
    <cellStyle name="Normal 2 20" xfId="25291" xr:uid="{00000000-0005-0000-0000-0000CB620000}"/>
    <cellStyle name="Normal 2 20 2" xfId="25292" xr:uid="{00000000-0005-0000-0000-0000CC620000}"/>
    <cellStyle name="Normal 2 20 3" xfId="25293" xr:uid="{00000000-0005-0000-0000-0000CD620000}"/>
    <cellStyle name="Normal 2 21" xfId="25294" xr:uid="{00000000-0005-0000-0000-0000CE620000}"/>
    <cellStyle name="Normal 2 21 2" xfId="25295" xr:uid="{00000000-0005-0000-0000-0000CF620000}"/>
    <cellStyle name="Normal 2 21 3" xfId="25296" xr:uid="{00000000-0005-0000-0000-0000D0620000}"/>
    <cellStyle name="Normal 2 22" xfId="25297" xr:uid="{00000000-0005-0000-0000-0000D1620000}"/>
    <cellStyle name="Normal 2 22 2" xfId="25298" xr:uid="{00000000-0005-0000-0000-0000D2620000}"/>
    <cellStyle name="Normal 2 22 3" xfId="25299" xr:uid="{00000000-0005-0000-0000-0000D3620000}"/>
    <cellStyle name="Normal 2 23" xfId="25300" xr:uid="{00000000-0005-0000-0000-0000D4620000}"/>
    <cellStyle name="Normal 2 23 2" xfId="25301" xr:uid="{00000000-0005-0000-0000-0000D5620000}"/>
    <cellStyle name="Normal 2 23 2 2" xfId="25302" xr:uid="{00000000-0005-0000-0000-0000D6620000}"/>
    <cellStyle name="Normal 2 23 3" xfId="25303" xr:uid="{00000000-0005-0000-0000-0000D7620000}"/>
    <cellStyle name="Normal 2 24" xfId="25304" xr:uid="{00000000-0005-0000-0000-0000D8620000}"/>
    <cellStyle name="Normal 2 24 2" xfId="25305" xr:uid="{00000000-0005-0000-0000-0000D9620000}"/>
    <cellStyle name="Normal 2 24 3" xfId="25306" xr:uid="{00000000-0005-0000-0000-0000DA620000}"/>
    <cellStyle name="Normal 2 25" xfId="25307" xr:uid="{00000000-0005-0000-0000-0000DB620000}"/>
    <cellStyle name="Normal 2 25 2" xfId="25308" xr:uid="{00000000-0005-0000-0000-0000DC620000}"/>
    <cellStyle name="Normal 2 25 3" xfId="25309" xr:uid="{00000000-0005-0000-0000-0000DD620000}"/>
    <cellStyle name="Normal 2 26" xfId="25310" xr:uid="{00000000-0005-0000-0000-0000DE620000}"/>
    <cellStyle name="Normal 2 26 2" xfId="25311" xr:uid="{00000000-0005-0000-0000-0000DF620000}"/>
    <cellStyle name="Normal 2 26 3" xfId="25312" xr:uid="{00000000-0005-0000-0000-0000E0620000}"/>
    <cellStyle name="Normal 2 27" xfId="25313" xr:uid="{00000000-0005-0000-0000-0000E1620000}"/>
    <cellStyle name="Normal 2 27 2" xfId="25314" xr:uid="{00000000-0005-0000-0000-0000E2620000}"/>
    <cellStyle name="Normal 2 27 3" xfId="25315" xr:uid="{00000000-0005-0000-0000-0000E3620000}"/>
    <cellStyle name="Normal 2 28" xfId="25316" xr:uid="{00000000-0005-0000-0000-0000E4620000}"/>
    <cellStyle name="Normal 2 28 2" xfId="25317" xr:uid="{00000000-0005-0000-0000-0000E5620000}"/>
    <cellStyle name="Normal 2 28 3" xfId="25318" xr:uid="{00000000-0005-0000-0000-0000E6620000}"/>
    <cellStyle name="Normal 2 29" xfId="25319" xr:uid="{00000000-0005-0000-0000-0000E7620000}"/>
    <cellStyle name="Normal 2 29 2" xfId="25320" xr:uid="{00000000-0005-0000-0000-0000E8620000}"/>
    <cellStyle name="Normal 2 29 3" xfId="25321" xr:uid="{00000000-0005-0000-0000-0000E9620000}"/>
    <cellStyle name="Normal 2 3" xfId="25322" xr:uid="{00000000-0005-0000-0000-0000EA620000}"/>
    <cellStyle name="Normal 2 3 10" xfId="25323" xr:uid="{00000000-0005-0000-0000-0000EB620000}"/>
    <cellStyle name="Normal 2 3 10 10" xfId="25324" xr:uid="{00000000-0005-0000-0000-0000EC620000}"/>
    <cellStyle name="Normal 2 3 10 11" xfId="25325" xr:uid="{00000000-0005-0000-0000-0000ED620000}"/>
    <cellStyle name="Normal 2 3 10 12" xfId="25326" xr:uid="{00000000-0005-0000-0000-0000EE620000}"/>
    <cellStyle name="Normal 2 3 10 13" xfId="25327" xr:uid="{00000000-0005-0000-0000-0000EF620000}"/>
    <cellStyle name="Normal 2 3 10 14" xfId="25328" xr:uid="{00000000-0005-0000-0000-0000F0620000}"/>
    <cellStyle name="Normal 2 3 10 2" xfId="25329" xr:uid="{00000000-0005-0000-0000-0000F1620000}"/>
    <cellStyle name="Normal 2 3 10 2 10" xfId="25330" xr:uid="{00000000-0005-0000-0000-0000F2620000}"/>
    <cellStyle name="Normal 2 3 10 2 2" xfId="25331" xr:uid="{00000000-0005-0000-0000-0000F3620000}"/>
    <cellStyle name="Normal 2 3 10 2 3" xfId="25332" xr:uid="{00000000-0005-0000-0000-0000F4620000}"/>
    <cellStyle name="Normal 2 3 10 2 4" xfId="25333" xr:uid="{00000000-0005-0000-0000-0000F5620000}"/>
    <cellStyle name="Normal 2 3 10 2 5" xfId="25334" xr:uid="{00000000-0005-0000-0000-0000F6620000}"/>
    <cellStyle name="Normal 2 3 10 2 6" xfId="25335" xr:uid="{00000000-0005-0000-0000-0000F7620000}"/>
    <cellStyle name="Normal 2 3 10 2 7" xfId="25336" xr:uid="{00000000-0005-0000-0000-0000F8620000}"/>
    <cellStyle name="Normal 2 3 10 2 8" xfId="25337" xr:uid="{00000000-0005-0000-0000-0000F9620000}"/>
    <cellStyle name="Normal 2 3 10 2 9" xfId="25338" xr:uid="{00000000-0005-0000-0000-0000FA620000}"/>
    <cellStyle name="Normal 2 3 10 3" xfId="25339" xr:uid="{00000000-0005-0000-0000-0000FB620000}"/>
    <cellStyle name="Normal 2 3 10 3 10" xfId="25340" xr:uid="{00000000-0005-0000-0000-0000FC620000}"/>
    <cellStyle name="Normal 2 3 10 3 2" xfId="25341" xr:uid="{00000000-0005-0000-0000-0000FD620000}"/>
    <cellStyle name="Normal 2 3 10 3 3" xfId="25342" xr:uid="{00000000-0005-0000-0000-0000FE620000}"/>
    <cellStyle name="Normal 2 3 10 3 4" xfId="25343" xr:uid="{00000000-0005-0000-0000-0000FF620000}"/>
    <cellStyle name="Normal 2 3 10 3 5" xfId="25344" xr:uid="{00000000-0005-0000-0000-000000630000}"/>
    <cellStyle name="Normal 2 3 10 3 6" xfId="25345" xr:uid="{00000000-0005-0000-0000-000001630000}"/>
    <cellStyle name="Normal 2 3 10 3 7" xfId="25346" xr:uid="{00000000-0005-0000-0000-000002630000}"/>
    <cellStyle name="Normal 2 3 10 3 8" xfId="25347" xr:uid="{00000000-0005-0000-0000-000003630000}"/>
    <cellStyle name="Normal 2 3 10 3 9" xfId="25348" xr:uid="{00000000-0005-0000-0000-000004630000}"/>
    <cellStyle name="Normal 2 3 10 4" xfId="25349" xr:uid="{00000000-0005-0000-0000-000005630000}"/>
    <cellStyle name="Normal 2 3 10 4 10" xfId="25350" xr:uid="{00000000-0005-0000-0000-000006630000}"/>
    <cellStyle name="Normal 2 3 10 4 2" xfId="25351" xr:uid="{00000000-0005-0000-0000-000007630000}"/>
    <cellStyle name="Normal 2 3 10 4 3" xfId="25352" xr:uid="{00000000-0005-0000-0000-000008630000}"/>
    <cellStyle name="Normal 2 3 10 4 4" xfId="25353" xr:uid="{00000000-0005-0000-0000-000009630000}"/>
    <cellStyle name="Normal 2 3 10 4 5" xfId="25354" xr:uid="{00000000-0005-0000-0000-00000A630000}"/>
    <cellStyle name="Normal 2 3 10 4 6" xfId="25355" xr:uid="{00000000-0005-0000-0000-00000B630000}"/>
    <cellStyle name="Normal 2 3 10 4 7" xfId="25356" xr:uid="{00000000-0005-0000-0000-00000C630000}"/>
    <cellStyle name="Normal 2 3 10 4 8" xfId="25357" xr:uid="{00000000-0005-0000-0000-00000D630000}"/>
    <cellStyle name="Normal 2 3 10 4 9" xfId="25358" xr:uid="{00000000-0005-0000-0000-00000E630000}"/>
    <cellStyle name="Normal 2 3 10 5" xfId="25359" xr:uid="{00000000-0005-0000-0000-00000F630000}"/>
    <cellStyle name="Normal 2 3 10 5 10" xfId="25360" xr:uid="{00000000-0005-0000-0000-000010630000}"/>
    <cellStyle name="Normal 2 3 10 5 2" xfId="25361" xr:uid="{00000000-0005-0000-0000-000011630000}"/>
    <cellStyle name="Normal 2 3 10 5 3" xfId="25362" xr:uid="{00000000-0005-0000-0000-000012630000}"/>
    <cellStyle name="Normal 2 3 10 5 4" xfId="25363" xr:uid="{00000000-0005-0000-0000-000013630000}"/>
    <cellStyle name="Normal 2 3 10 5 5" xfId="25364" xr:uid="{00000000-0005-0000-0000-000014630000}"/>
    <cellStyle name="Normal 2 3 10 5 6" xfId="25365" xr:uid="{00000000-0005-0000-0000-000015630000}"/>
    <cellStyle name="Normal 2 3 10 5 7" xfId="25366" xr:uid="{00000000-0005-0000-0000-000016630000}"/>
    <cellStyle name="Normal 2 3 10 5 8" xfId="25367" xr:uid="{00000000-0005-0000-0000-000017630000}"/>
    <cellStyle name="Normal 2 3 10 5 9" xfId="25368" xr:uid="{00000000-0005-0000-0000-000018630000}"/>
    <cellStyle name="Normal 2 3 10 6" xfId="25369" xr:uid="{00000000-0005-0000-0000-000019630000}"/>
    <cellStyle name="Normal 2 3 10 7" xfId="25370" xr:uid="{00000000-0005-0000-0000-00001A630000}"/>
    <cellStyle name="Normal 2 3 10 8" xfId="25371" xr:uid="{00000000-0005-0000-0000-00001B630000}"/>
    <cellStyle name="Normal 2 3 10 9" xfId="25372" xr:uid="{00000000-0005-0000-0000-00001C630000}"/>
    <cellStyle name="Normal 2 3 11" xfId="25373" xr:uid="{00000000-0005-0000-0000-00001D630000}"/>
    <cellStyle name="Normal 2 3 11 10" xfId="25374" xr:uid="{00000000-0005-0000-0000-00001E630000}"/>
    <cellStyle name="Normal 2 3 11 11" xfId="25375" xr:uid="{00000000-0005-0000-0000-00001F630000}"/>
    <cellStyle name="Normal 2 3 11 12" xfId="25376" xr:uid="{00000000-0005-0000-0000-000020630000}"/>
    <cellStyle name="Normal 2 3 11 13" xfId="25377" xr:uid="{00000000-0005-0000-0000-000021630000}"/>
    <cellStyle name="Normal 2 3 11 14" xfId="25378" xr:uid="{00000000-0005-0000-0000-000022630000}"/>
    <cellStyle name="Normal 2 3 11 2" xfId="25379" xr:uid="{00000000-0005-0000-0000-000023630000}"/>
    <cellStyle name="Normal 2 3 11 2 10" xfId="25380" xr:uid="{00000000-0005-0000-0000-000024630000}"/>
    <cellStyle name="Normal 2 3 11 2 2" xfId="25381" xr:uid="{00000000-0005-0000-0000-000025630000}"/>
    <cellStyle name="Normal 2 3 11 2 3" xfId="25382" xr:uid="{00000000-0005-0000-0000-000026630000}"/>
    <cellStyle name="Normal 2 3 11 2 4" xfId="25383" xr:uid="{00000000-0005-0000-0000-000027630000}"/>
    <cellStyle name="Normal 2 3 11 2 5" xfId="25384" xr:uid="{00000000-0005-0000-0000-000028630000}"/>
    <cellStyle name="Normal 2 3 11 2 6" xfId="25385" xr:uid="{00000000-0005-0000-0000-000029630000}"/>
    <cellStyle name="Normal 2 3 11 2 7" xfId="25386" xr:uid="{00000000-0005-0000-0000-00002A630000}"/>
    <cellStyle name="Normal 2 3 11 2 8" xfId="25387" xr:uid="{00000000-0005-0000-0000-00002B630000}"/>
    <cellStyle name="Normal 2 3 11 2 9" xfId="25388" xr:uid="{00000000-0005-0000-0000-00002C630000}"/>
    <cellStyle name="Normal 2 3 11 3" xfId="25389" xr:uid="{00000000-0005-0000-0000-00002D630000}"/>
    <cellStyle name="Normal 2 3 11 3 10" xfId="25390" xr:uid="{00000000-0005-0000-0000-00002E630000}"/>
    <cellStyle name="Normal 2 3 11 3 2" xfId="25391" xr:uid="{00000000-0005-0000-0000-00002F630000}"/>
    <cellStyle name="Normal 2 3 11 3 3" xfId="25392" xr:uid="{00000000-0005-0000-0000-000030630000}"/>
    <cellStyle name="Normal 2 3 11 3 4" xfId="25393" xr:uid="{00000000-0005-0000-0000-000031630000}"/>
    <cellStyle name="Normal 2 3 11 3 5" xfId="25394" xr:uid="{00000000-0005-0000-0000-000032630000}"/>
    <cellStyle name="Normal 2 3 11 3 6" xfId="25395" xr:uid="{00000000-0005-0000-0000-000033630000}"/>
    <cellStyle name="Normal 2 3 11 3 7" xfId="25396" xr:uid="{00000000-0005-0000-0000-000034630000}"/>
    <cellStyle name="Normal 2 3 11 3 8" xfId="25397" xr:uid="{00000000-0005-0000-0000-000035630000}"/>
    <cellStyle name="Normal 2 3 11 3 9" xfId="25398" xr:uid="{00000000-0005-0000-0000-000036630000}"/>
    <cellStyle name="Normal 2 3 11 4" xfId="25399" xr:uid="{00000000-0005-0000-0000-000037630000}"/>
    <cellStyle name="Normal 2 3 11 4 10" xfId="25400" xr:uid="{00000000-0005-0000-0000-000038630000}"/>
    <cellStyle name="Normal 2 3 11 4 2" xfId="25401" xr:uid="{00000000-0005-0000-0000-000039630000}"/>
    <cellStyle name="Normal 2 3 11 4 3" xfId="25402" xr:uid="{00000000-0005-0000-0000-00003A630000}"/>
    <cellStyle name="Normal 2 3 11 4 4" xfId="25403" xr:uid="{00000000-0005-0000-0000-00003B630000}"/>
    <cellStyle name="Normal 2 3 11 4 5" xfId="25404" xr:uid="{00000000-0005-0000-0000-00003C630000}"/>
    <cellStyle name="Normal 2 3 11 4 6" xfId="25405" xr:uid="{00000000-0005-0000-0000-00003D630000}"/>
    <cellStyle name="Normal 2 3 11 4 7" xfId="25406" xr:uid="{00000000-0005-0000-0000-00003E630000}"/>
    <cellStyle name="Normal 2 3 11 4 8" xfId="25407" xr:uid="{00000000-0005-0000-0000-00003F630000}"/>
    <cellStyle name="Normal 2 3 11 4 9" xfId="25408" xr:uid="{00000000-0005-0000-0000-000040630000}"/>
    <cellStyle name="Normal 2 3 11 5" xfId="25409" xr:uid="{00000000-0005-0000-0000-000041630000}"/>
    <cellStyle name="Normal 2 3 11 5 10" xfId="25410" xr:uid="{00000000-0005-0000-0000-000042630000}"/>
    <cellStyle name="Normal 2 3 11 5 2" xfId="25411" xr:uid="{00000000-0005-0000-0000-000043630000}"/>
    <cellStyle name="Normal 2 3 11 5 3" xfId="25412" xr:uid="{00000000-0005-0000-0000-000044630000}"/>
    <cellStyle name="Normal 2 3 11 5 4" xfId="25413" xr:uid="{00000000-0005-0000-0000-000045630000}"/>
    <cellStyle name="Normal 2 3 11 5 5" xfId="25414" xr:uid="{00000000-0005-0000-0000-000046630000}"/>
    <cellStyle name="Normal 2 3 11 5 6" xfId="25415" xr:uid="{00000000-0005-0000-0000-000047630000}"/>
    <cellStyle name="Normal 2 3 11 5 7" xfId="25416" xr:uid="{00000000-0005-0000-0000-000048630000}"/>
    <cellStyle name="Normal 2 3 11 5 8" xfId="25417" xr:uid="{00000000-0005-0000-0000-000049630000}"/>
    <cellStyle name="Normal 2 3 11 5 9" xfId="25418" xr:uid="{00000000-0005-0000-0000-00004A630000}"/>
    <cellStyle name="Normal 2 3 11 6" xfId="25419" xr:uid="{00000000-0005-0000-0000-00004B630000}"/>
    <cellStyle name="Normal 2 3 11 7" xfId="25420" xr:uid="{00000000-0005-0000-0000-00004C630000}"/>
    <cellStyle name="Normal 2 3 11 8" xfId="25421" xr:uid="{00000000-0005-0000-0000-00004D630000}"/>
    <cellStyle name="Normal 2 3 11 9" xfId="25422" xr:uid="{00000000-0005-0000-0000-00004E630000}"/>
    <cellStyle name="Normal 2 3 12" xfId="25423" xr:uid="{00000000-0005-0000-0000-00004F630000}"/>
    <cellStyle name="Normal 2 3 12 10" xfId="25424" xr:uid="{00000000-0005-0000-0000-000050630000}"/>
    <cellStyle name="Normal 2 3 12 11" xfId="25425" xr:uid="{00000000-0005-0000-0000-000051630000}"/>
    <cellStyle name="Normal 2 3 12 12" xfId="25426" xr:uid="{00000000-0005-0000-0000-000052630000}"/>
    <cellStyle name="Normal 2 3 12 13" xfId="25427" xr:uid="{00000000-0005-0000-0000-000053630000}"/>
    <cellStyle name="Normal 2 3 12 14" xfId="25428" xr:uid="{00000000-0005-0000-0000-000054630000}"/>
    <cellStyle name="Normal 2 3 12 2" xfId="25429" xr:uid="{00000000-0005-0000-0000-000055630000}"/>
    <cellStyle name="Normal 2 3 12 2 10" xfId="25430" xr:uid="{00000000-0005-0000-0000-000056630000}"/>
    <cellStyle name="Normal 2 3 12 2 2" xfId="25431" xr:uid="{00000000-0005-0000-0000-000057630000}"/>
    <cellStyle name="Normal 2 3 12 2 3" xfId="25432" xr:uid="{00000000-0005-0000-0000-000058630000}"/>
    <cellStyle name="Normal 2 3 12 2 4" xfId="25433" xr:uid="{00000000-0005-0000-0000-000059630000}"/>
    <cellStyle name="Normal 2 3 12 2 5" xfId="25434" xr:uid="{00000000-0005-0000-0000-00005A630000}"/>
    <cellStyle name="Normal 2 3 12 2 6" xfId="25435" xr:uid="{00000000-0005-0000-0000-00005B630000}"/>
    <cellStyle name="Normal 2 3 12 2 7" xfId="25436" xr:uid="{00000000-0005-0000-0000-00005C630000}"/>
    <cellStyle name="Normal 2 3 12 2 8" xfId="25437" xr:uid="{00000000-0005-0000-0000-00005D630000}"/>
    <cellStyle name="Normal 2 3 12 2 9" xfId="25438" xr:uid="{00000000-0005-0000-0000-00005E630000}"/>
    <cellStyle name="Normal 2 3 12 3" xfId="25439" xr:uid="{00000000-0005-0000-0000-00005F630000}"/>
    <cellStyle name="Normal 2 3 12 3 10" xfId="25440" xr:uid="{00000000-0005-0000-0000-000060630000}"/>
    <cellStyle name="Normal 2 3 12 3 2" xfId="25441" xr:uid="{00000000-0005-0000-0000-000061630000}"/>
    <cellStyle name="Normal 2 3 12 3 3" xfId="25442" xr:uid="{00000000-0005-0000-0000-000062630000}"/>
    <cellStyle name="Normal 2 3 12 3 4" xfId="25443" xr:uid="{00000000-0005-0000-0000-000063630000}"/>
    <cellStyle name="Normal 2 3 12 3 5" xfId="25444" xr:uid="{00000000-0005-0000-0000-000064630000}"/>
    <cellStyle name="Normal 2 3 12 3 6" xfId="25445" xr:uid="{00000000-0005-0000-0000-000065630000}"/>
    <cellStyle name="Normal 2 3 12 3 7" xfId="25446" xr:uid="{00000000-0005-0000-0000-000066630000}"/>
    <cellStyle name="Normal 2 3 12 3 8" xfId="25447" xr:uid="{00000000-0005-0000-0000-000067630000}"/>
    <cellStyle name="Normal 2 3 12 3 9" xfId="25448" xr:uid="{00000000-0005-0000-0000-000068630000}"/>
    <cellStyle name="Normal 2 3 12 4" xfId="25449" xr:uid="{00000000-0005-0000-0000-000069630000}"/>
    <cellStyle name="Normal 2 3 12 4 10" xfId="25450" xr:uid="{00000000-0005-0000-0000-00006A630000}"/>
    <cellStyle name="Normal 2 3 12 4 2" xfId="25451" xr:uid="{00000000-0005-0000-0000-00006B630000}"/>
    <cellStyle name="Normal 2 3 12 4 3" xfId="25452" xr:uid="{00000000-0005-0000-0000-00006C630000}"/>
    <cellStyle name="Normal 2 3 12 4 4" xfId="25453" xr:uid="{00000000-0005-0000-0000-00006D630000}"/>
    <cellStyle name="Normal 2 3 12 4 5" xfId="25454" xr:uid="{00000000-0005-0000-0000-00006E630000}"/>
    <cellStyle name="Normal 2 3 12 4 6" xfId="25455" xr:uid="{00000000-0005-0000-0000-00006F630000}"/>
    <cellStyle name="Normal 2 3 12 4 7" xfId="25456" xr:uid="{00000000-0005-0000-0000-000070630000}"/>
    <cellStyle name="Normal 2 3 12 4 8" xfId="25457" xr:uid="{00000000-0005-0000-0000-000071630000}"/>
    <cellStyle name="Normal 2 3 12 4 9" xfId="25458" xr:uid="{00000000-0005-0000-0000-000072630000}"/>
    <cellStyle name="Normal 2 3 12 5" xfId="25459" xr:uid="{00000000-0005-0000-0000-000073630000}"/>
    <cellStyle name="Normal 2 3 12 5 10" xfId="25460" xr:uid="{00000000-0005-0000-0000-000074630000}"/>
    <cellStyle name="Normal 2 3 12 5 2" xfId="25461" xr:uid="{00000000-0005-0000-0000-000075630000}"/>
    <cellStyle name="Normal 2 3 12 5 3" xfId="25462" xr:uid="{00000000-0005-0000-0000-000076630000}"/>
    <cellStyle name="Normal 2 3 12 5 4" xfId="25463" xr:uid="{00000000-0005-0000-0000-000077630000}"/>
    <cellStyle name="Normal 2 3 12 5 5" xfId="25464" xr:uid="{00000000-0005-0000-0000-000078630000}"/>
    <cellStyle name="Normal 2 3 12 5 6" xfId="25465" xr:uid="{00000000-0005-0000-0000-000079630000}"/>
    <cellStyle name="Normal 2 3 12 5 7" xfId="25466" xr:uid="{00000000-0005-0000-0000-00007A630000}"/>
    <cellStyle name="Normal 2 3 12 5 8" xfId="25467" xr:uid="{00000000-0005-0000-0000-00007B630000}"/>
    <cellStyle name="Normal 2 3 12 5 9" xfId="25468" xr:uid="{00000000-0005-0000-0000-00007C630000}"/>
    <cellStyle name="Normal 2 3 12 6" xfId="25469" xr:uid="{00000000-0005-0000-0000-00007D630000}"/>
    <cellStyle name="Normal 2 3 12 7" xfId="25470" xr:uid="{00000000-0005-0000-0000-00007E630000}"/>
    <cellStyle name="Normal 2 3 12 8" xfId="25471" xr:uid="{00000000-0005-0000-0000-00007F630000}"/>
    <cellStyle name="Normal 2 3 12 9" xfId="25472" xr:uid="{00000000-0005-0000-0000-000080630000}"/>
    <cellStyle name="Normal 2 3 13" xfId="25473" xr:uid="{00000000-0005-0000-0000-000081630000}"/>
    <cellStyle name="Normal 2 3 13 10" xfId="25474" xr:uid="{00000000-0005-0000-0000-000082630000}"/>
    <cellStyle name="Normal 2 3 13 11" xfId="25475" xr:uid="{00000000-0005-0000-0000-000083630000}"/>
    <cellStyle name="Normal 2 3 13 12" xfId="25476" xr:uid="{00000000-0005-0000-0000-000084630000}"/>
    <cellStyle name="Normal 2 3 13 13" xfId="25477" xr:uid="{00000000-0005-0000-0000-000085630000}"/>
    <cellStyle name="Normal 2 3 13 14" xfId="25478" xr:uid="{00000000-0005-0000-0000-000086630000}"/>
    <cellStyle name="Normal 2 3 13 2" xfId="25479" xr:uid="{00000000-0005-0000-0000-000087630000}"/>
    <cellStyle name="Normal 2 3 13 2 10" xfId="25480" xr:uid="{00000000-0005-0000-0000-000088630000}"/>
    <cellStyle name="Normal 2 3 13 2 2" xfId="25481" xr:uid="{00000000-0005-0000-0000-000089630000}"/>
    <cellStyle name="Normal 2 3 13 2 3" xfId="25482" xr:uid="{00000000-0005-0000-0000-00008A630000}"/>
    <cellStyle name="Normal 2 3 13 2 4" xfId="25483" xr:uid="{00000000-0005-0000-0000-00008B630000}"/>
    <cellStyle name="Normal 2 3 13 2 5" xfId="25484" xr:uid="{00000000-0005-0000-0000-00008C630000}"/>
    <cellStyle name="Normal 2 3 13 2 6" xfId="25485" xr:uid="{00000000-0005-0000-0000-00008D630000}"/>
    <cellStyle name="Normal 2 3 13 2 7" xfId="25486" xr:uid="{00000000-0005-0000-0000-00008E630000}"/>
    <cellStyle name="Normal 2 3 13 2 8" xfId="25487" xr:uid="{00000000-0005-0000-0000-00008F630000}"/>
    <cellStyle name="Normal 2 3 13 2 9" xfId="25488" xr:uid="{00000000-0005-0000-0000-000090630000}"/>
    <cellStyle name="Normal 2 3 13 3" xfId="25489" xr:uid="{00000000-0005-0000-0000-000091630000}"/>
    <cellStyle name="Normal 2 3 13 3 10" xfId="25490" xr:uid="{00000000-0005-0000-0000-000092630000}"/>
    <cellStyle name="Normal 2 3 13 3 2" xfId="25491" xr:uid="{00000000-0005-0000-0000-000093630000}"/>
    <cellStyle name="Normal 2 3 13 3 3" xfId="25492" xr:uid="{00000000-0005-0000-0000-000094630000}"/>
    <cellStyle name="Normal 2 3 13 3 4" xfId="25493" xr:uid="{00000000-0005-0000-0000-000095630000}"/>
    <cellStyle name="Normal 2 3 13 3 5" xfId="25494" xr:uid="{00000000-0005-0000-0000-000096630000}"/>
    <cellStyle name="Normal 2 3 13 3 6" xfId="25495" xr:uid="{00000000-0005-0000-0000-000097630000}"/>
    <cellStyle name="Normal 2 3 13 3 7" xfId="25496" xr:uid="{00000000-0005-0000-0000-000098630000}"/>
    <cellStyle name="Normal 2 3 13 3 8" xfId="25497" xr:uid="{00000000-0005-0000-0000-000099630000}"/>
    <cellStyle name="Normal 2 3 13 3 9" xfId="25498" xr:uid="{00000000-0005-0000-0000-00009A630000}"/>
    <cellStyle name="Normal 2 3 13 4" xfId="25499" xr:uid="{00000000-0005-0000-0000-00009B630000}"/>
    <cellStyle name="Normal 2 3 13 4 10" xfId="25500" xr:uid="{00000000-0005-0000-0000-00009C630000}"/>
    <cellStyle name="Normal 2 3 13 4 2" xfId="25501" xr:uid="{00000000-0005-0000-0000-00009D630000}"/>
    <cellStyle name="Normal 2 3 13 4 3" xfId="25502" xr:uid="{00000000-0005-0000-0000-00009E630000}"/>
    <cellStyle name="Normal 2 3 13 4 4" xfId="25503" xr:uid="{00000000-0005-0000-0000-00009F630000}"/>
    <cellStyle name="Normal 2 3 13 4 5" xfId="25504" xr:uid="{00000000-0005-0000-0000-0000A0630000}"/>
    <cellStyle name="Normal 2 3 13 4 6" xfId="25505" xr:uid="{00000000-0005-0000-0000-0000A1630000}"/>
    <cellStyle name="Normal 2 3 13 4 7" xfId="25506" xr:uid="{00000000-0005-0000-0000-0000A2630000}"/>
    <cellStyle name="Normal 2 3 13 4 8" xfId="25507" xr:uid="{00000000-0005-0000-0000-0000A3630000}"/>
    <cellStyle name="Normal 2 3 13 4 9" xfId="25508" xr:uid="{00000000-0005-0000-0000-0000A4630000}"/>
    <cellStyle name="Normal 2 3 13 5" xfId="25509" xr:uid="{00000000-0005-0000-0000-0000A5630000}"/>
    <cellStyle name="Normal 2 3 13 5 10" xfId="25510" xr:uid="{00000000-0005-0000-0000-0000A6630000}"/>
    <cellStyle name="Normal 2 3 13 5 2" xfId="25511" xr:uid="{00000000-0005-0000-0000-0000A7630000}"/>
    <cellStyle name="Normal 2 3 13 5 3" xfId="25512" xr:uid="{00000000-0005-0000-0000-0000A8630000}"/>
    <cellStyle name="Normal 2 3 13 5 4" xfId="25513" xr:uid="{00000000-0005-0000-0000-0000A9630000}"/>
    <cellStyle name="Normal 2 3 13 5 5" xfId="25514" xr:uid="{00000000-0005-0000-0000-0000AA630000}"/>
    <cellStyle name="Normal 2 3 13 5 6" xfId="25515" xr:uid="{00000000-0005-0000-0000-0000AB630000}"/>
    <cellStyle name="Normal 2 3 13 5 7" xfId="25516" xr:uid="{00000000-0005-0000-0000-0000AC630000}"/>
    <cellStyle name="Normal 2 3 13 5 8" xfId="25517" xr:uid="{00000000-0005-0000-0000-0000AD630000}"/>
    <cellStyle name="Normal 2 3 13 5 9" xfId="25518" xr:uid="{00000000-0005-0000-0000-0000AE630000}"/>
    <cellStyle name="Normal 2 3 13 6" xfId="25519" xr:uid="{00000000-0005-0000-0000-0000AF630000}"/>
    <cellStyle name="Normal 2 3 13 7" xfId="25520" xr:uid="{00000000-0005-0000-0000-0000B0630000}"/>
    <cellStyle name="Normal 2 3 13 8" xfId="25521" xr:uid="{00000000-0005-0000-0000-0000B1630000}"/>
    <cellStyle name="Normal 2 3 13 9" xfId="25522" xr:uid="{00000000-0005-0000-0000-0000B2630000}"/>
    <cellStyle name="Normal 2 3 14" xfId="25523" xr:uid="{00000000-0005-0000-0000-0000B3630000}"/>
    <cellStyle name="Normal 2 3 14 10" xfId="25524" xr:uid="{00000000-0005-0000-0000-0000B4630000}"/>
    <cellStyle name="Normal 2 3 14 11" xfId="25525" xr:uid="{00000000-0005-0000-0000-0000B5630000}"/>
    <cellStyle name="Normal 2 3 14 12" xfId="25526" xr:uid="{00000000-0005-0000-0000-0000B6630000}"/>
    <cellStyle name="Normal 2 3 14 13" xfId="25527" xr:uid="{00000000-0005-0000-0000-0000B7630000}"/>
    <cellStyle name="Normal 2 3 14 14" xfId="25528" xr:uid="{00000000-0005-0000-0000-0000B8630000}"/>
    <cellStyle name="Normal 2 3 14 2" xfId="25529" xr:uid="{00000000-0005-0000-0000-0000B9630000}"/>
    <cellStyle name="Normal 2 3 14 2 10" xfId="25530" xr:uid="{00000000-0005-0000-0000-0000BA630000}"/>
    <cellStyle name="Normal 2 3 14 2 2" xfId="25531" xr:uid="{00000000-0005-0000-0000-0000BB630000}"/>
    <cellStyle name="Normal 2 3 14 2 3" xfId="25532" xr:uid="{00000000-0005-0000-0000-0000BC630000}"/>
    <cellStyle name="Normal 2 3 14 2 4" xfId="25533" xr:uid="{00000000-0005-0000-0000-0000BD630000}"/>
    <cellStyle name="Normal 2 3 14 2 5" xfId="25534" xr:uid="{00000000-0005-0000-0000-0000BE630000}"/>
    <cellStyle name="Normal 2 3 14 2 6" xfId="25535" xr:uid="{00000000-0005-0000-0000-0000BF630000}"/>
    <cellStyle name="Normal 2 3 14 2 7" xfId="25536" xr:uid="{00000000-0005-0000-0000-0000C0630000}"/>
    <cellStyle name="Normal 2 3 14 2 8" xfId="25537" xr:uid="{00000000-0005-0000-0000-0000C1630000}"/>
    <cellStyle name="Normal 2 3 14 2 9" xfId="25538" xr:uid="{00000000-0005-0000-0000-0000C2630000}"/>
    <cellStyle name="Normal 2 3 14 3" xfId="25539" xr:uid="{00000000-0005-0000-0000-0000C3630000}"/>
    <cellStyle name="Normal 2 3 14 3 10" xfId="25540" xr:uid="{00000000-0005-0000-0000-0000C4630000}"/>
    <cellStyle name="Normal 2 3 14 3 2" xfId="25541" xr:uid="{00000000-0005-0000-0000-0000C5630000}"/>
    <cellStyle name="Normal 2 3 14 3 3" xfId="25542" xr:uid="{00000000-0005-0000-0000-0000C6630000}"/>
    <cellStyle name="Normal 2 3 14 3 4" xfId="25543" xr:uid="{00000000-0005-0000-0000-0000C7630000}"/>
    <cellStyle name="Normal 2 3 14 3 5" xfId="25544" xr:uid="{00000000-0005-0000-0000-0000C8630000}"/>
    <cellStyle name="Normal 2 3 14 3 6" xfId="25545" xr:uid="{00000000-0005-0000-0000-0000C9630000}"/>
    <cellStyle name="Normal 2 3 14 3 7" xfId="25546" xr:uid="{00000000-0005-0000-0000-0000CA630000}"/>
    <cellStyle name="Normal 2 3 14 3 8" xfId="25547" xr:uid="{00000000-0005-0000-0000-0000CB630000}"/>
    <cellStyle name="Normal 2 3 14 3 9" xfId="25548" xr:uid="{00000000-0005-0000-0000-0000CC630000}"/>
    <cellStyle name="Normal 2 3 14 4" xfId="25549" xr:uid="{00000000-0005-0000-0000-0000CD630000}"/>
    <cellStyle name="Normal 2 3 14 4 10" xfId="25550" xr:uid="{00000000-0005-0000-0000-0000CE630000}"/>
    <cellStyle name="Normal 2 3 14 4 2" xfId="25551" xr:uid="{00000000-0005-0000-0000-0000CF630000}"/>
    <cellStyle name="Normal 2 3 14 4 3" xfId="25552" xr:uid="{00000000-0005-0000-0000-0000D0630000}"/>
    <cellStyle name="Normal 2 3 14 4 4" xfId="25553" xr:uid="{00000000-0005-0000-0000-0000D1630000}"/>
    <cellStyle name="Normal 2 3 14 4 5" xfId="25554" xr:uid="{00000000-0005-0000-0000-0000D2630000}"/>
    <cellStyle name="Normal 2 3 14 4 6" xfId="25555" xr:uid="{00000000-0005-0000-0000-0000D3630000}"/>
    <cellStyle name="Normal 2 3 14 4 7" xfId="25556" xr:uid="{00000000-0005-0000-0000-0000D4630000}"/>
    <cellStyle name="Normal 2 3 14 4 8" xfId="25557" xr:uid="{00000000-0005-0000-0000-0000D5630000}"/>
    <cellStyle name="Normal 2 3 14 4 9" xfId="25558" xr:uid="{00000000-0005-0000-0000-0000D6630000}"/>
    <cellStyle name="Normal 2 3 14 5" xfId="25559" xr:uid="{00000000-0005-0000-0000-0000D7630000}"/>
    <cellStyle name="Normal 2 3 14 5 10" xfId="25560" xr:uid="{00000000-0005-0000-0000-0000D8630000}"/>
    <cellStyle name="Normal 2 3 14 5 2" xfId="25561" xr:uid="{00000000-0005-0000-0000-0000D9630000}"/>
    <cellStyle name="Normal 2 3 14 5 3" xfId="25562" xr:uid="{00000000-0005-0000-0000-0000DA630000}"/>
    <cellStyle name="Normal 2 3 14 5 4" xfId="25563" xr:uid="{00000000-0005-0000-0000-0000DB630000}"/>
    <cellStyle name="Normal 2 3 14 5 5" xfId="25564" xr:uid="{00000000-0005-0000-0000-0000DC630000}"/>
    <cellStyle name="Normal 2 3 14 5 6" xfId="25565" xr:uid="{00000000-0005-0000-0000-0000DD630000}"/>
    <cellStyle name="Normal 2 3 14 5 7" xfId="25566" xr:uid="{00000000-0005-0000-0000-0000DE630000}"/>
    <cellStyle name="Normal 2 3 14 5 8" xfId="25567" xr:uid="{00000000-0005-0000-0000-0000DF630000}"/>
    <cellStyle name="Normal 2 3 14 5 9" xfId="25568" xr:uid="{00000000-0005-0000-0000-0000E0630000}"/>
    <cellStyle name="Normal 2 3 14 6" xfId="25569" xr:uid="{00000000-0005-0000-0000-0000E1630000}"/>
    <cellStyle name="Normal 2 3 14 7" xfId="25570" xr:uid="{00000000-0005-0000-0000-0000E2630000}"/>
    <cellStyle name="Normal 2 3 14 8" xfId="25571" xr:uid="{00000000-0005-0000-0000-0000E3630000}"/>
    <cellStyle name="Normal 2 3 14 9" xfId="25572" xr:uid="{00000000-0005-0000-0000-0000E4630000}"/>
    <cellStyle name="Normal 2 3 15" xfId="25573" xr:uid="{00000000-0005-0000-0000-0000E5630000}"/>
    <cellStyle name="Normal 2 3 15 10" xfId="25574" xr:uid="{00000000-0005-0000-0000-0000E6630000}"/>
    <cellStyle name="Normal 2 3 15 11" xfId="25575" xr:uid="{00000000-0005-0000-0000-0000E7630000}"/>
    <cellStyle name="Normal 2 3 15 12" xfId="25576" xr:uid="{00000000-0005-0000-0000-0000E8630000}"/>
    <cellStyle name="Normal 2 3 15 13" xfId="25577" xr:uid="{00000000-0005-0000-0000-0000E9630000}"/>
    <cellStyle name="Normal 2 3 15 14" xfId="25578" xr:uid="{00000000-0005-0000-0000-0000EA630000}"/>
    <cellStyle name="Normal 2 3 15 2" xfId="25579" xr:uid="{00000000-0005-0000-0000-0000EB630000}"/>
    <cellStyle name="Normal 2 3 15 2 10" xfId="25580" xr:uid="{00000000-0005-0000-0000-0000EC630000}"/>
    <cellStyle name="Normal 2 3 15 2 2" xfId="25581" xr:uid="{00000000-0005-0000-0000-0000ED630000}"/>
    <cellStyle name="Normal 2 3 15 2 3" xfId="25582" xr:uid="{00000000-0005-0000-0000-0000EE630000}"/>
    <cellStyle name="Normal 2 3 15 2 4" xfId="25583" xr:uid="{00000000-0005-0000-0000-0000EF630000}"/>
    <cellStyle name="Normal 2 3 15 2 5" xfId="25584" xr:uid="{00000000-0005-0000-0000-0000F0630000}"/>
    <cellStyle name="Normal 2 3 15 2 6" xfId="25585" xr:uid="{00000000-0005-0000-0000-0000F1630000}"/>
    <cellStyle name="Normal 2 3 15 2 7" xfId="25586" xr:uid="{00000000-0005-0000-0000-0000F2630000}"/>
    <cellStyle name="Normal 2 3 15 2 8" xfId="25587" xr:uid="{00000000-0005-0000-0000-0000F3630000}"/>
    <cellStyle name="Normal 2 3 15 2 9" xfId="25588" xr:uid="{00000000-0005-0000-0000-0000F4630000}"/>
    <cellStyle name="Normal 2 3 15 3" xfId="25589" xr:uid="{00000000-0005-0000-0000-0000F5630000}"/>
    <cellStyle name="Normal 2 3 15 3 10" xfId="25590" xr:uid="{00000000-0005-0000-0000-0000F6630000}"/>
    <cellStyle name="Normal 2 3 15 3 2" xfId="25591" xr:uid="{00000000-0005-0000-0000-0000F7630000}"/>
    <cellStyle name="Normal 2 3 15 3 3" xfId="25592" xr:uid="{00000000-0005-0000-0000-0000F8630000}"/>
    <cellStyle name="Normal 2 3 15 3 4" xfId="25593" xr:uid="{00000000-0005-0000-0000-0000F9630000}"/>
    <cellStyle name="Normal 2 3 15 3 5" xfId="25594" xr:uid="{00000000-0005-0000-0000-0000FA630000}"/>
    <cellStyle name="Normal 2 3 15 3 6" xfId="25595" xr:uid="{00000000-0005-0000-0000-0000FB630000}"/>
    <cellStyle name="Normal 2 3 15 3 7" xfId="25596" xr:uid="{00000000-0005-0000-0000-0000FC630000}"/>
    <cellStyle name="Normal 2 3 15 3 8" xfId="25597" xr:uid="{00000000-0005-0000-0000-0000FD630000}"/>
    <cellStyle name="Normal 2 3 15 3 9" xfId="25598" xr:uid="{00000000-0005-0000-0000-0000FE630000}"/>
    <cellStyle name="Normal 2 3 15 4" xfId="25599" xr:uid="{00000000-0005-0000-0000-0000FF630000}"/>
    <cellStyle name="Normal 2 3 15 4 10" xfId="25600" xr:uid="{00000000-0005-0000-0000-000000640000}"/>
    <cellStyle name="Normal 2 3 15 4 2" xfId="25601" xr:uid="{00000000-0005-0000-0000-000001640000}"/>
    <cellStyle name="Normal 2 3 15 4 3" xfId="25602" xr:uid="{00000000-0005-0000-0000-000002640000}"/>
    <cellStyle name="Normal 2 3 15 4 4" xfId="25603" xr:uid="{00000000-0005-0000-0000-000003640000}"/>
    <cellStyle name="Normal 2 3 15 4 5" xfId="25604" xr:uid="{00000000-0005-0000-0000-000004640000}"/>
    <cellStyle name="Normal 2 3 15 4 6" xfId="25605" xr:uid="{00000000-0005-0000-0000-000005640000}"/>
    <cellStyle name="Normal 2 3 15 4 7" xfId="25606" xr:uid="{00000000-0005-0000-0000-000006640000}"/>
    <cellStyle name="Normal 2 3 15 4 8" xfId="25607" xr:uid="{00000000-0005-0000-0000-000007640000}"/>
    <cellStyle name="Normal 2 3 15 4 9" xfId="25608" xr:uid="{00000000-0005-0000-0000-000008640000}"/>
    <cellStyle name="Normal 2 3 15 5" xfId="25609" xr:uid="{00000000-0005-0000-0000-000009640000}"/>
    <cellStyle name="Normal 2 3 15 5 10" xfId="25610" xr:uid="{00000000-0005-0000-0000-00000A640000}"/>
    <cellStyle name="Normal 2 3 15 5 2" xfId="25611" xr:uid="{00000000-0005-0000-0000-00000B640000}"/>
    <cellStyle name="Normal 2 3 15 5 3" xfId="25612" xr:uid="{00000000-0005-0000-0000-00000C640000}"/>
    <cellStyle name="Normal 2 3 15 5 4" xfId="25613" xr:uid="{00000000-0005-0000-0000-00000D640000}"/>
    <cellStyle name="Normal 2 3 15 5 5" xfId="25614" xr:uid="{00000000-0005-0000-0000-00000E640000}"/>
    <cellStyle name="Normal 2 3 15 5 6" xfId="25615" xr:uid="{00000000-0005-0000-0000-00000F640000}"/>
    <cellStyle name="Normal 2 3 15 5 7" xfId="25616" xr:uid="{00000000-0005-0000-0000-000010640000}"/>
    <cellStyle name="Normal 2 3 15 5 8" xfId="25617" xr:uid="{00000000-0005-0000-0000-000011640000}"/>
    <cellStyle name="Normal 2 3 15 5 9" xfId="25618" xr:uid="{00000000-0005-0000-0000-000012640000}"/>
    <cellStyle name="Normal 2 3 15 6" xfId="25619" xr:uid="{00000000-0005-0000-0000-000013640000}"/>
    <cellStyle name="Normal 2 3 15 7" xfId="25620" xr:uid="{00000000-0005-0000-0000-000014640000}"/>
    <cellStyle name="Normal 2 3 15 8" xfId="25621" xr:uid="{00000000-0005-0000-0000-000015640000}"/>
    <cellStyle name="Normal 2 3 15 9" xfId="25622" xr:uid="{00000000-0005-0000-0000-000016640000}"/>
    <cellStyle name="Normal 2 3 16" xfId="25623" xr:uid="{00000000-0005-0000-0000-000017640000}"/>
    <cellStyle name="Normal 2 3 16 10" xfId="25624" xr:uid="{00000000-0005-0000-0000-000018640000}"/>
    <cellStyle name="Normal 2 3 16 11" xfId="25625" xr:uid="{00000000-0005-0000-0000-000019640000}"/>
    <cellStyle name="Normal 2 3 16 12" xfId="25626" xr:uid="{00000000-0005-0000-0000-00001A640000}"/>
    <cellStyle name="Normal 2 3 16 13" xfId="25627" xr:uid="{00000000-0005-0000-0000-00001B640000}"/>
    <cellStyle name="Normal 2 3 16 14" xfId="25628" xr:uid="{00000000-0005-0000-0000-00001C640000}"/>
    <cellStyle name="Normal 2 3 16 2" xfId="25629" xr:uid="{00000000-0005-0000-0000-00001D640000}"/>
    <cellStyle name="Normal 2 3 16 2 10" xfId="25630" xr:uid="{00000000-0005-0000-0000-00001E640000}"/>
    <cellStyle name="Normal 2 3 16 2 2" xfId="25631" xr:uid="{00000000-0005-0000-0000-00001F640000}"/>
    <cellStyle name="Normal 2 3 16 2 3" xfId="25632" xr:uid="{00000000-0005-0000-0000-000020640000}"/>
    <cellStyle name="Normal 2 3 16 2 4" xfId="25633" xr:uid="{00000000-0005-0000-0000-000021640000}"/>
    <cellStyle name="Normal 2 3 16 2 5" xfId="25634" xr:uid="{00000000-0005-0000-0000-000022640000}"/>
    <cellStyle name="Normal 2 3 16 2 6" xfId="25635" xr:uid="{00000000-0005-0000-0000-000023640000}"/>
    <cellStyle name="Normal 2 3 16 2 7" xfId="25636" xr:uid="{00000000-0005-0000-0000-000024640000}"/>
    <cellStyle name="Normal 2 3 16 2 8" xfId="25637" xr:uid="{00000000-0005-0000-0000-000025640000}"/>
    <cellStyle name="Normal 2 3 16 2 9" xfId="25638" xr:uid="{00000000-0005-0000-0000-000026640000}"/>
    <cellStyle name="Normal 2 3 16 3" xfId="25639" xr:uid="{00000000-0005-0000-0000-000027640000}"/>
    <cellStyle name="Normal 2 3 16 3 10" xfId="25640" xr:uid="{00000000-0005-0000-0000-000028640000}"/>
    <cellStyle name="Normal 2 3 16 3 2" xfId="25641" xr:uid="{00000000-0005-0000-0000-000029640000}"/>
    <cellStyle name="Normal 2 3 16 3 3" xfId="25642" xr:uid="{00000000-0005-0000-0000-00002A640000}"/>
    <cellStyle name="Normal 2 3 16 3 4" xfId="25643" xr:uid="{00000000-0005-0000-0000-00002B640000}"/>
    <cellStyle name="Normal 2 3 16 3 5" xfId="25644" xr:uid="{00000000-0005-0000-0000-00002C640000}"/>
    <cellStyle name="Normal 2 3 16 3 6" xfId="25645" xr:uid="{00000000-0005-0000-0000-00002D640000}"/>
    <cellStyle name="Normal 2 3 16 3 7" xfId="25646" xr:uid="{00000000-0005-0000-0000-00002E640000}"/>
    <cellStyle name="Normal 2 3 16 3 8" xfId="25647" xr:uid="{00000000-0005-0000-0000-00002F640000}"/>
    <cellStyle name="Normal 2 3 16 3 9" xfId="25648" xr:uid="{00000000-0005-0000-0000-000030640000}"/>
    <cellStyle name="Normal 2 3 16 4" xfId="25649" xr:uid="{00000000-0005-0000-0000-000031640000}"/>
    <cellStyle name="Normal 2 3 16 4 10" xfId="25650" xr:uid="{00000000-0005-0000-0000-000032640000}"/>
    <cellStyle name="Normal 2 3 16 4 2" xfId="25651" xr:uid="{00000000-0005-0000-0000-000033640000}"/>
    <cellStyle name="Normal 2 3 16 4 3" xfId="25652" xr:uid="{00000000-0005-0000-0000-000034640000}"/>
    <cellStyle name="Normal 2 3 16 4 4" xfId="25653" xr:uid="{00000000-0005-0000-0000-000035640000}"/>
    <cellStyle name="Normal 2 3 16 4 5" xfId="25654" xr:uid="{00000000-0005-0000-0000-000036640000}"/>
    <cellStyle name="Normal 2 3 16 4 6" xfId="25655" xr:uid="{00000000-0005-0000-0000-000037640000}"/>
    <cellStyle name="Normal 2 3 16 4 7" xfId="25656" xr:uid="{00000000-0005-0000-0000-000038640000}"/>
    <cellStyle name="Normal 2 3 16 4 8" xfId="25657" xr:uid="{00000000-0005-0000-0000-000039640000}"/>
    <cellStyle name="Normal 2 3 16 4 9" xfId="25658" xr:uid="{00000000-0005-0000-0000-00003A640000}"/>
    <cellStyle name="Normal 2 3 16 5" xfId="25659" xr:uid="{00000000-0005-0000-0000-00003B640000}"/>
    <cellStyle name="Normal 2 3 16 5 10" xfId="25660" xr:uid="{00000000-0005-0000-0000-00003C640000}"/>
    <cellStyle name="Normal 2 3 16 5 2" xfId="25661" xr:uid="{00000000-0005-0000-0000-00003D640000}"/>
    <cellStyle name="Normal 2 3 16 5 3" xfId="25662" xr:uid="{00000000-0005-0000-0000-00003E640000}"/>
    <cellStyle name="Normal 2 3 16 5 4" xfId="25663" xr:uid="{00000000-0005-0000-0000-00003F640000}"/>
    <cellStyle name="Normal 2 3 16 5 5" xfId="25664" xr:uid="{00000000-0005-0000-0000-000040640000}"/>
    <cellStyle name="Normal 2 3 16 5 6" xfId="25665" xr:uid="{00000000-0005-0000-0000-000041640000}"/>
    <cellStyle name="Normal 2 3 16 5 7" xfId="25666" xr:uid="{00000000-0005-0000-0000-000042640000}"/>
    <cellStyle name="Normal 2 3 16 5 8" xfId="25667" xr:uid="{00000000-0005-0000-0000-000043640000}"/>
    <cellStyle name="Normal 2 3 16 5 9" xfId="25668" xr:uid="{00000000-0005-0000-0000-000044640000}"/>
    <cellStyle name="Normal 2 3 16 6" xfId="25669" xr:uid="{00000000-0005-0000-0000-000045640000}"/>
    <cellStyle name="Normal 2 3 16 7" xfId="25670" xr:uid="{00000000-0005-0000-0000-000046640000}"/>
    <cellStyle name="Normal 2 3 16 8" xfId="25671" xr:uid="{00000000-0005-0000-0000-000047640000}"/>
    <cellStyle name="Normal 2 3 16 9" xfId="25672" xr:uid="{00000000-0005-0000-0000-000048640000}"/>
    <cellStyle name="Normal 2 3 17" xfId="25673" xr:uid="{00000000-0005-0000-0000-000049640000}"/>
    <cellStyle name="Normal 2 3 17 10" xfId="25674" xr:uid="{00000000-0005-0000-0000-00004A640000}"/>
    <cellStyle name="Normal 2 3 17 11" xfId="25675" xr:uid="{00000000-0005-0000-0000-00004B640000}"/>
    <cellStyle name="Normal 2 3 17 12" xfId="25676" xr:uid="{00000000-0005-0000-0000-00004C640000}"/>
    <cellStyle name="Normal 2 3 17 13" xfId="25677" xr:uid="{00000000-0005-0000-0000-00004D640000}"/>
    <cellStyle name="Normal 2 3 17 14" xfId="25678" xr:uid="{00000000-0005-0000-0000-00004E640000}"/>
    <cellStyle name="Normal 2 3 17 2" xfId="25679" xr:uid="{00000000-0005-0000-0000-00004F640000}"/>
    <cellStyle name="Normal 2 3 17 2 10" xfId="25680" xr:uid="{00000000-0005-0000-0000-000050640000}"/>
    <cellStyle name="Normal 2 3 17 2 2" xfId="25681" xr:uid="{00000000-0005-0000-0000-000051640000}"/>
    <cellStyle name="Normal 2 3 17 2 3" xfId="25682" xr:uid="{00000000-0005-0000-0000-000052640000}"/>
    <cellStyle name="Normal 2 3 17 2 4" xfId="25683" xr:uid="{00000000-0005-0000-0000-000053640000}"/>
    <cellStyle name="Normal 2 3 17 2 5" xfId="25684" xr:uid="{00000000-0005-0000-0000-000054640000}"/>
    <cellStyle name="Normal 2 3 17 2 6" xfId="25685" xr:uid="{00000000-0005-0000-0000-000055640000}"/>
    <cellStyle name="Normal 2 3 17 2 7" xfId="25686" xr:uid="{00000000-0005-0000-0000-000056640000}"/>
    <cellStyle name="Normal 2 3 17 2 8" xfId="25687" xr:uid="{00000000-0005-0000-0000-000057640000}"/>
    <cellStyle name="Normal 2 3 17 2 9" xfId="25688" xr:uid="{00000000-0005-0000-0000-000058640000}"/>
    <cellStyle name="Normal 2 3 17 3" xfId="25689" xr:uid="{00000000-0005-0000-0000-000059640000}"/>
    <cellStyle name="Normal 2 3 17 3 10" xfId="25690" xr:uid="{00000000-0005-0000-0000-00005A640000}"/>
    <cellStyle name="Normal 2 3 17 3 2" xfId="25691" xr:uid="{00000000-0005-0000-0000-00005B640000}"/>
    <cellStyle name="Normal 2 3 17 3 3" xfId="25692" xr:uid="{00000000-0005-0000-0000-00005C640000}"/>
    <cellStyle name="Normal 2 3 17 3 4" xfId="25693" xr:uid="{00000000-0005-0000-0000-00005D640000}"/>
    <cellStyle name="Normal 2 3 17 3 5" xfId="25694" xr:uid="{00000000-0005-0000-0000-00005E640000}"/>
    <cellStyle name="Normal 2 3 17 3 6" xfId="25695" xr:uid="{00000000-0005-0000-0000-00005F640000}"/>
    <cellStyle name="Normal 2 3 17 3 7" xfId="25696" xr:uid="{00000000-0005-0000-0000-000060640000}"/>
    <cellStyle name="Normal 2 3 17 3 8" xfId="25697" xr:uid="{00000000-0005-0000-0000-000061640000}"/>
    <cellStyle name="Normal 2 3 17 3 9" xfId="25698" xr:uid="{00000000-0005-0000-0000-000062640000}"/>
    <cellStyle name="Normal 2 3 17 4" xfId="25699" xr:uid="{00000000-0005-0000-0000-000063640000}"/>
    <cellStyle name="Normal 2 3 17 4 10" xfId="25700" xr:uid="{00000000-0005-0000-0000-000064640000}"/>
    <cellStyle name="Normal 2 3 17 4 2" xfId="25701" xr:uid="{00000000-0005-0000-0000-000065640000}"/>
    <cellStyle name="Normal 2 3 17 4 3" xfId="25702" xr:uid="{00000000-0005-0000-0000-000066640000}"/>
    <cellStyle name="Normal 2 3 17 4 4" xfId="25703" xr:uid="{00000000-0005-0000-0000-000067640000}"/>
    <cellStyle name="Normal 2 3 17 4 5" xfId="25704" xr:uid="{00000000-0005-0000-0000-000068640000}"/>
    <cellStyle name="Normal 2 3 17 4 6" xfId="25705" xr:uid="{00000000-0005-0000-0000-000069640000}"/>
    <cellStyle name="Normal 2 3 17 4 7" xfId="25706" xr:uid="{00000000-0005-0000-0000-00006A640000}"/>
    <cellStyle name="Normal 2 3 17 4 8" xfId="25707" xr:uid="{00000000-0005-0000-0000-00006B640000}"/>
    <cellStyle name="Normal 2 3 17 4 9" xfId="25708" xr:uid="{00000000-0005-0000-0000-00006C640000}"/>
    <cellStyle name="Normal 2 3 17 5" xfId="25709" xr:uid="{00000000-0005-0000-0000-00006D640000}"/>
    <cellStyle name="Normal 2 3 17 5 10" xfId="25710" xr:uid="{00000000-0005-0000-0000-00006E640000}"/>
    <cellStyle name="Normal 2 3 17 5 2" xfId="25711" xr:uid="{00000000-0005-0000-0000-00006F640000}"/>
    <cellStyle name="Normal 2 3 17 5 3" xfId="25712" xr:uid="{00000000-0005-0000-0000-000070640000}"/>
    <cellStyle name="Normal 2 3 17 5 4" xfId="25713" xr:uid="{00000000-0005-0000-0000-000071640000}"/>
    <cellStyle name="Normal 2 3 17 5 5" xfId="25714" xr:uid="{00000000-0005-0000-0000-000072640000}"/>
    <cellStyle name="Normal 2 3 17 5 6" xfId="25715" xr:uid="{00000000-0005-0000-0000-000073640000}"/>
    <cellStyle name="Normal 2 3 17 5 7" xfId="25716" xr:uid="{00000000-0005-0000-0000-000074640000}"/>
    <cellStyle name="Normal 2 3 17 5 8" xfId="25717" xr:uid="{00000000-0005-0000-0000-000075640000}"/>
    <cellStyle name="Normal 2 3 17 5 9" xfId="25718" xr:uid="{00000000-0005-0000-0000-000076640000}"/>
    <cellStyle name="Normal 2 3 17 6" xfId="25719" xr:uid="{00000000-0005-0000-0000-000077640000}"/>
    <cellStyle name="Normal 2 3 17 7" xfId="25720" xr:uid="{00000000-0005-0000-0000-000078640000}"/>
    <cellStyle name="Normal 2 3 17 8" xfId="25721" xr:uid="{00000000-0005-0000-0000-000079640000}"/>
    <cellStyle name="Normal 2 3 17 9" xfId="25722" xr:uid="{00000000-0005-0000-0000-00007A640000}"/>
    <cellStyle name="Normal 2 3 18" xfId="25723" xr:uid="{00000000-0005-0000-0000-00007B640000}"/>
    <cellStyle name="Normal 2 3 18 10" xfId="25724" xr:uid="{00000000-0005-0000-0000-00007C640000}"/>
    <cellStyle name="Normal 2 3 18 11" xfId="25725" xr:uid="{00000000-0005-0000-0000-00007D640000}"/>
    <cellStyle name="Normal 2 3 18 12" xfId="25726" xr:uid="{00000000-0005-0000-0000-00007E640000}"/>
    <cellStyle name="Normal 2 3 18 13" xfId="25727" xr:uid="{00000000-0005-0000-0000-00007F640000}"/>
    <cellStyle name="Normal 2 3 18 14" xfId="25728" xr:uid="{00000000-0005-0000-0000-000080640000}"/>
    <cellStyle name="Normal 2 3 18 2" xfId="25729" xr:uid="{00000000-0005-0000-0000-000081640000}"/>
    <cellStyle name="Normal 2 3 18 2 10" xfId="25730" xr:uid="{00000000-0005-0000-0000-000082640000}"/>
    <cellStyle name="Normal 2 3 18 2 2" xfId="25731" xr:uid="{00000000-0005-0000-0000-000083640000}"/>
    <cellStyle name="Normal 2 3 18 2 3" xfId="25732" xr:uid="{00000000-0005-0000-0000-000084640000}"/>
    <cellStyle name="Normal 2 3 18 2 4" xfId="25733" xr:uid="{00000000-0005-0000-0000-000085640000}"/>
    <cellStyle name="Normal 2 3 18 2 5" xfId="25734" xr:uid="{00000000-0005-0000-0000-000086640000}"/>
    <cellStyle name="Normal 2 3 18 2 6" xfId="25735" xr:uid="{00000000-0005-0000-0000-000087640000}"/>
    <cellStyle name="Normal 2 3 18 2 7" xfId="25736" xr:uid="{00000000-0005-0000-0000-000088640000}"/>
    <cellStyle name="Normal 2 3 18 2 8" xfId="25737" xr:uid="{00000000-0005-0000-0000-000089640000}"/>
    <cellStyle name="Normal 2 3 18 2 9" xfId="25738" xr:uid="{00000000-0005-0000-0000-00008A640000}"/>
    <cellStyle name="Normal 2 3 18 3" xfId="25739" xr:uid="{00000000-0005-0000-0000-00008B640000}"/>
    <cellStyle name="Normal 2 3 18 3 10" xfId="25740" xr:uid="{00000000-0005-0000-0000-00008C640000}"/>
    <cellStyle name="Normal 2 3 18 3 2" xfId="25741" xr:uid="{00000000-0005-0000-0000-00008D640000}"/>
    <cellStyle name="Normal 2 3 18 3 3" xfId="25742" xr:uid="{00000000-0005-0000-0000-00008E640000}"/>
    <cellStyle name="Normal 2 3 18 3 4" xfId="25743" xr:uid="{00000000-0005-0000-0000-00008F640000}"/>
    <cellStyle name="Normal 2 3 18 3 5" xfId="25744" xr:uid="{00000000-0005-0000-0000-000090640000}"/>
    <cellStyle name="Normal 2 3 18 3 6" xfId="25745" xr:uid="{00000000-0005-0000-0000-000091640000}"/>
    <cellStyle name="Normal 2 3 18 3 7" xfId="25746" xr:uid="{00000000-0005-0000-0000-000092640000}"/>
    <cellStyle name="Normal 2 3 18 3 8" xfId="25747" xr:uid="{00000000-0005-0000-0000-000093640000}"/>
    <cellStyle name="Normal 2 3 18 3 9" xfId="25748" xr:uid="{00000000-0005-0000-0000-000094640000}"/>
    <cellStyle name="Normal 2 3 18 4" xfId="25749" xr:uid="{00000000-0005-0000-0000-000095640000}"/>
    <cellStyle name="Normal 2 3 18 4 10" xfId="25750" xr:uid="{00000000-0005-0000-0000-000096640000}"/>
    <cellStyle name="Normal 2 3 18 4 2" xfId="25751" xr:uid="{00000000-0005-0000-0000-000097640000}"/>
    <cellStyle name="Normal 2 3 18 4 3" xfId="25752" xr:uid="{00000000-0005-0000-0000-000098640000}"/>
    <cellStyle name="Normal 2 3 18 4 4" xfId="25753" xr:uid="{00000000-0005-0000-0000-000099640000}"/>
    <cellStyle name="Normal 2 3 18 4 5" xfId="25754" xr:uid="{00000000-0005-0000-0000-00009A640000}"/>
    <cellStyle name="Normal 2 3 18 4 6" xfId="25755" xr:uid="{00000000-0005-0000-0000-00009B640000}"/>
    <cellStyle name="Normal 2 3 18 4 7" xfId="25756" xr:uid="{00000000-0005-0000-0000-00009C640000}"/>
    <cellStyle name="Normal 2 3 18 4 8" xfId="25757" xr:uid="{00000000-0005-0000-0000-00009D640000}"/>
    <cellStyle name="Normal 2 3 18 4 9" xfId="25758" xr:uid="{00000000-0005-0000-0000-00009E640000}"/>
    <cellStyle name="Normal 2 3 18 5" xfId="25759" xr:uid="{00000000-0005-0000-0000-00009F640000}"/>
    <cellStyle name="Normal 2 3 18 5 10" xfId="25760" xr:uid="{00000000-0005-0000-0000-0000A0640000}"/>
    <cellStyle name="Normal 2 3 18 5 2" xfId="25761" xr:uid="{00000000-0005-0000-0000-0000A1640000}"/>
    <cellStyle name="Normal 2 3 18 5 3" xfId="25762" xr:uid="{00000000-0005-0000-0000-0000A2640000}"/>
    <cellStyle name="Normal 2 3 18 5 4" xfId="25763" xr:uid="{00000000-0005-0000-0000-0000A3640000}"/>
    <cellStyle name="Normal 2 3 18 5 5" xfId="25764" xr:uid="{00000000-0005-0000-0000-0000A4640000}"/>
    <cellStyle name="Normal 2 3 18 5 6" xfId="25765" xr:uid="{00000000-0005-0000-0000-0000A5640000}"/>
    <cellStyle name="Normal 2 3 18 5 7" xfId="25766" xr:uid="{00000000-0005-0000-0000-0000A6640000}"/>
    <cellStyle name="Normal 2 3 18 5 8" xfId="25767" xr:uid="{00000000-0005-0000-0000-0000A7640000}"/>
    <cellStyle name="Normal 2 3 18 5 9" xfId="25768" xr:uid="{00000000-0005-0000-0000-0000A8640000}"/>
    <cellStyle name="Normal 2 3 18 6" xfId="25769" xr:uid="{00000000-0005-0000-0000-0000A9640000}"/>
    <cellStyle name="Normal 2 3 18 7" xfId="25770" xr:uid="{00000000-0005-0000-0000-0000AA640000}"/>
    <cellStyle name="Normal 2 3 18 8" xfId="25771" xr:uid="{00000000-0005-0000-0000-0000AB640000}"/>
    <cellStyle name="Normal 2 3 18 9" xfId="25772" xr:uid="{00000000-0005-0000-0000-0000AC640000}"/>
    <cellStyle name="Normal 2 3 19" xfId="25773" xr:uid="{00000000-0005-0000-0000-0000AD640000}"/>
    <cellStyle name="Normal 2 3 19 10" xfId="25774" xr:uid="{00000000-0005-0000-0000-0000AE640000}"/>
    <cellStyle name="Normal 2 3 19 11" xfId="25775" xr:uid="{00000000-0005-0000-0000-0000AF640000}"/>
    <cellStyle name="Normal 2 3 19 12" xfId="25776" xr:uid="{00000000-0005-0000-0000-0000B0640000}"/>
    <cellStyle name="Normal 2 3 19 13" xfId="25777" xr:uid="{00000000-0005-0000-0000-0000B1640000}"/>
    <cellStyle name="Normal 2 3 19 14" xfId="25778" xr:uid="{00000000-0005-0000-0000-0000B2640000}"/>
    <cellStyle name="Normal 2 3 19 2" xfId="25779" xr:uid="{00000000-0005-0000-0000-0000B3640000}"/>
    <cellStyle name="Normal 2 3 19 2 10" xfId="25780" xr:uid="{00000000-0005-0000-0000-0000B4640000}"/>
    <cellStyle name="Normal 2 3 19 2 2" xfId="25781" xr:uid="{00000000-0005-0000-0000-0000B5640000}"/>
    <cellStyle name="Normal 2 3 19 2 3" xfId="25782" xr:uid="{00000000-0005-0000-0000-0000B6640000}"/>
    <cellStyle name="Normal 2 3 19 2 4" xfId="25783" xr:uid="{00000000-0005-0000-0000-0000B7640000}"/>
    <cellStyle name="Normal 2 3 19 2 5" xfId="25784" xr:uid="{00000000-0005-0000-0000-0000B8640000}"/>
    <cellStyle name="Normal 2 3 19 2 6" xfId="25785" xr:uid="{00000000-0005-0000-0000-0000B9640000}"/>
    <cellStyle name="Normal 2 3 19 2 7" xfId="25786" xr:uid="{00000000-0005-0000-0000-0000BA640000}"/>
    <cellStyle name="Normal 2 3 19 2 8" xfId="25787" xr:uid="{00000000-0005-0000-0000-0000BB640000}"/>
    <cellStyle name="Normal 2 3 19 2 9" xfId="25788" xr:uid="{00000000-0005-0000-0000-0000BC640000}"/>
    <cellStyle name="Normal 2 3 19 3" xfId="25789" xr:uid="{00000000-0005-0000-0000-0000BD640000}"/>
    <cellStyle name="Normal 2 3 19 3 10" xfId="25790" xr:uid="{00000000-0005-0000-0000-0000BE640000}"/>
    <cellStyle name="Normal 2 3 19 3 2" xfId="25791" xr:uid="{00000000-0005-0000-0000-0000BF640000}"/>
    <cellStyle name="Normal 2 3 19 3 3" xfId="25792" xr:uid="{00000000-0005-0000-0000-0000C0640000}"/>
    <cellStyle name="Normal 2 3 19 3 4" xfId="25793" xr:uid="{00000000-0005-0000-0000-0000C1640000}"/>
    <cellStyle name="Normal 2 3 19 3 5" xfId="25794" xr:uid="{00000000-0005-0000-0000-0000C2640000}"/>
    <cellStyle name="Normal 2 3 19 3 6" xfId="25795" xr:uid="{00000000-0005-0000-0000-0000C3640000}"/>
    <cellStyle name="Normal 2 3 19 3 7" xfId="25796" xr:uid="{00000000-0005-0000-0000-0000C4640000}"/>
    <cellStyle name="Normal 2 3 19 3 8" xfId="25797" xr:uid="{00000000-0005-0000-0000-0000C5640000}"/>
    <cellStyle name="Normal 2 3 19 3 9" xfId="25798" xr:uid="{00000000-0005-0000-0000-0000C6640000}"/>
    <cellStyle name="Normal 2 3 19 4" xfId="25799" xr:uid="{00000000-0005-0000-0000-0000C7640000}"/>
    <cellStyle name="Normal 2 3 19 4 10" xfId="25800" xr:uid="{00000000-0005-0000-0000-0000C8640000}"/>
    <cellStyle name="Normal 2 3 19 4 2" xfId="25801" xr:uid="{00000000-0005-0000-0000-0000C9640000}"/>
    <cellStyle name="Normal 2 3 19 4 3" xfId="25802" xr:uid="{00000000-0005-0000-0000-0000CA640000}"/>
    <cellStyle name="Normal 2 3 19 4 4" xfId="25803" xr:uid="{00000000-0005-0000-0000-0000CB640000}"/>
    <cellStyle name="Normal 2 3 19 4 5" xfId="25804" xr:uid="{00000000-0005-0000-0000-0000CC640000}"/>
    <cellStyle name="Normal 2 3 19 4 6" xfId="25805" xr:uid="{00000000-0005-0000-0000-0000CD640000}"/>
    <cellStyle name="Normal 2 3 19 4 7" xfId="25806" xr:uid="{00000000-0005-0000-0000-0000CE640000}"/>
    <cellStyle name="Normal 2 3 19 4 8" xfId="25807" xr:uid="{00000000-0005-0000-0000-0000CF640000}"/>
    <cellStyle name="Normal 2 3 19 4 9" xfId="25808" xr:uid="{00000000-0005-0000-0000-0000D0640000}"/>
    <cellStyle name="Normal 2 3 19 5" xfId="25809" xr:uid="{00000000-0005-0000-0000-0000D1640000}"/>
    <cellStyle name="Normal 2 3 19 5 10" xfId="25810" xr:uid="{00000000-0005-0000-0000-0000D2640000}"/>
    <cellStyle name="Normal 2 3 19 5 2" xfId="25811" xr:uid="{00000000-0005-0000-0000-0000D3640000}"/>
    <cellStyle name="Normal 2 3 19 5 3" xfId="25812" xr:uid="{00000000-0005-0000-0000-0000D4640000}"/>
    <cellStyle name="Normal 2 3 19 5 4" xfId="25813" xr:uid="{00000000-0005-0000-0000-0000D5640000}"/>
    <cellStyle name="Normal 2 3 19 5 5" xfId="25814" xr:uid="{00000000-0005-0000-0000-0000D6640000}"/>
    <cellStyle name="Normal 2 3 19 5 6" xfId="25815" xr:uid="{00000000-0005-0000-0000-0000D7640000}"/>
    <cellStyle name="Normal 2 3 19 5 7" xfId="25816" xr:uid="{00000000-0005-0000-0000-0000D8640000}"/>
    <cellStyle name="Normal 2 3 19 5 8" xfId="25817" xr:uid="{00000000-0005-0000-0000-0000D9640000}"/>
    <cellStyle name="Normal 2 3 19 5 9" xfId="25818" xr:uid="{00000000-0005-0000-0000-0000DA640000}"/>
    <cellStyle name="Normal 2 3 19 6" xfId="25819" xr:uid="{00000000-0005-0000-0000-0000DB640000}"/>
    <cellStyle name="Normal 2 3 19 7" xfId="25820" xr:uid="{00000000-0005-0000-0000-0000DC640000}"/>
    <cellStyle name="Normal 2 3 19 8" xfId="25821" xr:uid="{00000000-0005-0000-0000-0000DD640000}"/>
    <cellStyle name="Normal 2 3 19 9" xfId="25822" xr:uid="{00000000-0005-0000-0000-0000DE640000}"/>
    <cellStyle name="Normal 2 3 2" xfId="25823" xr:uid="{00000000-0005-0000-0000-0000DF640000}"/>
    <cellStyle name="Normal 2 3 2 10" xfId="25824" xr:uid="{00000000-0005-0000-0000-0000E0640000}"/>
    <cellStyle name="Normal 2 3 2 10 10" xfId="25825" xr:uid="{00000000-0005-0000-0000-0000E1640000}"/>
    <cellStyle name="Normal 2 3 2 10 11" xfId="25826" xr:uid="{00000000-0005-0000-0000-0000E2640000}"/>
    <cellStyle name="Normal 2 3 2 10 12" xfId="25827" xr:uid="{00000000-0005-0000-0000-0000E3640000}"/>
    <cellStyle name="Normal 2 3 2 10 13" xfId="25828" xr:uid="{00000000-0005-0000-0000-0000E4640000}"/>
    <cellStyle name="Normal 2 3 2 10 14" xfId="25829" xr:uid="{00000000-0005-0000-0000-0000E5640000}"/>
    <cellStyle name="Normal 2 3 2 10 2" xfId="25830" xr:uid="{00000000-0005-0000-0000-0000E6640000}"/>
    <cellStyle name="Normal 2 3 2 10 2 10" xfId="25831" xr:uid="{00000000-0005-0000-0000-0000E7640000}"/>
    <cellStyle name="Normal 2 3 2 10 2 2" xfId="25832" xr:uid="{00000000-0005-0000-0000-0000E8640000}"/>
    <cellStyle name="Normal 2 3 2 10 2 3" xfId="25833" xr:uid="{00000000-0005-0000-0000-0000E9640000}"/>
    <cellStyle name="Normal 2 3 2 10 2 4" xfId="25834" xr:uid="{00000000-0005-0000-0000-0000EA640000}"/>
    <cellStyle name="Normal 2 3 2 10 2 5" xfId="25835" xr:uid="{00000000-0005-0000-0000-0000EB640000}"/>
    <cellStyle name="Normal 2 3 2 10 2 6" xfId="25836" xr:uid="{00000000-0005-0000-0000-0000EC640000}"/>
    <cellStyle name="Normal 2 3 2 10 2 7" xfId="25837" xr:uid="{00000000-0005-0000-0000-0000ED640000}"/>
    <cellStyle name="Normal 2 3 2 10 2 8" xfId="25838" xr:uid="{00000000-0005-0000-0000-0000EE640000}"/>
    <cellStyle name="Normal 2 3 2 10 2 9" xfId="25839" xr:uid="{00000000-0005-0000-0000-0000EF640000}"/>
    <cellStyle name="Normal 2 3 2 10 3" xfId="25840" xr:uid="{00000000-0005-0000-0000-0000F0640000}"/>
    <cellStyle name="Normal 2 3 2 10 3 10" xfId="25841" xr:uid="{00000000-0005-0000-0000-0000F1640000}"/>
    <cellStyle name="Normal 2 3 2 10 3 2" xfId="25842" xr:uid="{00000000-0005-0000-0000-0000F2640000}"/>
    <cellStyle name="Normal 2 3 2 10 3 3" xfId="25843" xr:uid="{00000000-0005-0000-0000-0000F3640000}"/>
    <cellStyle name="Normal 2 3 2 10 3 4" xfId="25844" xr:uid="{00000000-0005-0000-0000-0000F4640000}"/>
    <cellStyle name="Normal 2 3 2 10 3 5" xfId="25845" xr:uid="{00000000-0005-0000-0000-0000F5640000}"/>
    <cellStyle name="Normal 2 3 2 10 3 6" xfId="25846" xr:uid="{00000000-0005-0000-0000-0000F6640000}"/>
    <cellStyle name="Normal 2 3 2 10 3 7" xfId="25847" xr:uid="{00000000-0005-0000-0000-0000F7640000}"/>
    <cellStyle name="Normal 2 3 2 10 3 8" xfId="25848" xr:uid="{00000000-0005-0000-0000-0000F8640000}"/>
    <cellStyle name="Normal 2 3 2 10 3 9" xfId="25849" xr:uid="{00000000-0005-0000-0000-0000F9640000}"/>
    <cellStyle name="Normal 2 3 2 10 4" xfId="25850" xr:uid="{00000000-0005-0000-0000-0000FA640000}"/>
    <cellStyle name="Normal 2 3 2 10 4 10" xfId="25851" xr:uid="{00000000-0005-0000-0000-0000FB640000}"/>
    <cellStyle name="Normal 2 3 2 10 4 2" xfId="25852" xr:uid="{00000000-0005-0000-0000-0000FC640000}"/>
    <cellStyle name="Normal 2 3 2 10 4 3" xfId="25853" xr:uid="{00000000-0005-0000-0000-0000FD640000}"/>
    <cellStyle name="Normal 2 3 2 10 4 4" xfId="25854" xr:uid="{00000000-0005-0000-0000-0000FE640000}"/>
    <cellStyle name="Normal 2 3 2 10 4 5" xfId="25855" xr:uid="{00000000-0005-0000-0000-0000FF640000}"/>
    <cellStyle name="Normal 2 3 2 10 4 6" xfId="25856" xr:uid="{00000000-0005-0000-0000-000000650000}"/>
    <cellStyle name="Normal 2 3 2 10 4 7" xfId="25857" xr:uid="{00000000-0005-0000-0000-000001650000}"/>
    <cellStyle name="Normal 2 3 2 10 4 8" xfId="25858" xr:uid="{00000000-0005-0000-0000-000002650000}"/>
    <cellStyle name="Normal 2 3 2 10 4 9" xfId="25859" xr:uid="{00000000-0005-0000-0000-000003650000}"/>
    <cellStyle name="Normal 2 3 2 10 5" xfId="25860" xr:uid="{00000000-0005-0000-0000-000004650000}"/>
    <cellStyle name="Normal 2 3 2 10 5 10" xfId="25861" xr:uid="{00000000-0005-0000-0000-000005650000}"/>
    <cellStyle name="Normal 2 3 2 10 5 2" xfId="25862" xr:uid="{00000000-0005-0000-0000-000006650000}"/>
    <cellStyle name="Normal 2 3 2 10 5 3" xfId="25863" xr:uid="{00000000-0005-0000-0000-000007650000}"/>
    <cellStyle name="Normal 2 3 2 10 5 4" xfId="25864" xr:uid="{00000000-0005-0000-0000-000008650000}"/>
    <cellStyle name="Normal 2 3 2 10 5 5" xfId="25865" xr:uid="{00000000-0005-0000-0000-000009650000}"/>
    <cellStyle name="Normal 2 3 2 10 5 6" xfId="25866" xr:uid="{00000000-0005-0000-0000-00000A650000}"/>
    <cellStyle name="Normal 2 3 2 10 5 7" xfId="25867" xr:uid="{00000000-0005-0000-0000-00000B650000}"/>
    <cellStyle name="Normal 2 3 2 10 5 8" xfId="25868" xr:uid="{00000000-0005-0000-0000-00000C650000}"/>
    <cellStyle name="Normal 2 3 2 10 5 9" xfId="25869" xr:uid="{00000000-0005-0000-0000-00000D650000}"/>
    <cellStyle name="Normal 2 3 2 10 6" xfId="25870" xr:uid="{00000000-0005-0000-0000-00000E650000}"/>
    <cellStyle name="Normal 2 3 2 10 7" xfId="25871" xr:uid="{00000000-0005-0000-0000-00000F650000}"/>
    <cellStyle name="Normal 2 3 2 10 8" xfId="25872" xr:uid="{00000000-0005-0000-0000-000010650000}"/>
    <cellStyle name="Normal 2 3 2 10 9" xfId="25873" xr:uid="{00000000-0005-0000-0000-000011650000}"/>
    <cellStyle name="Normal 2 3 2 11" xfId="25874" xr:uid="{00000000-0005-0000-0000-000012650000}"/>
    <cellStyle name="Normal 2 3 2 11 10" xfId="25875" xr:uid="{00000000-0005-0000-0000-000013650000}"/>
    <cellStyle name="Normal 2 3 2 11 11" xfId="25876" xr:uid="{00000000-0005-0000-0000-000014650000}"/>
    <cellStyle name="Normal 2 3 2 11 12" xfId="25877" xr:uid="{00000000-0005-0000-0000-000015650000}"/>
    <cellStyle name="Normal 2 3 2 11 13" xfId="25878" xr:uid="{00000000-0005-0000-0000-000016650000}"/>
    <cellStyle name="Normal 2 3 2 11 14" xfId="25879" xr:uid="{00000000-0005-0000-0000-000017650000}"/>
    <cellStyle name="Normal 2 3 2 11 2" xfId="25880" xr:uid="{00000000-0005-0000-0000-000018650000}"/>
    <cellStyle name="Normal 2 3 2 11 2 10" xfId="25881" xr:uid="{00000000-0005-0000-0000-000019650000}"/>
    <cellStyle name="Normal 2 3 2 11 2 2" xfId="25882" xr:uid="{00000000-0005-0000-0000-00001A650000}"/>
    <cellStyle name="Normal 2 3 2 11 2 3" xfId="25883" xr:uid="{00000000-0005-0000-0000-00001B650000}"/>
    <cellStyle name="Normal 2 3 2 11 2 4" xfId="25884" xr:uid="{00000000-0005-0000-0000-00001C650000}"/>
    <cellStyle name="Normal 2 3 2 11 2 5" xfId="25885" xr:uid="{00000000-0005-0000-0000-00001D650000}"/>
    <cellStyle name="Normal 2 3 2 11 2 6" xfId="25886" xr:uid="{00000000-0005-0000-0000-00001E650000}"/>
    <cellStyle name="Normal 2 3 2 11 2 7" xfId="25887" xr:uid="{00000000-0005-0000-0000-00001F650000}"/>
    <cellStyle name="Normal 2 3 2 11 2 8" xfId="25888" xr:uid="{00000000-0005-0000-0000-000020650000}"/>
    <cellStyle name="Normal 2 3 2 11 2 9" xfId="25889" xr:uid="{00000000-0005-0000-0000-000021650000}"/>
    <cellStyle name="Normal 2 3 2 11 3" xfId="25890" xr:uid="{00000000-0005-0000-0000-000022650000}"/>
    <cellStyle name="Normal 2 3 2 11 3 10" xfId="25891" xr:uid="{00000000-0005-0000-0000-000023650000}"/>
    <cellStyle name="Normal 2 3 2 11 3 2" xfId="25892" xr:uid="{00000000-0005-0000-0000-000024650000}"/>
    <cellStyle name="Normal 2 3 2 11 3 3" xfId="25893" xr:uid="{00000000-0005-0000-0000-000025650000}"/>
    <cellStyle name="Normal 2 3 2 11 3 4" xfId="25894" xr:uid="{00000000-0005-0000-0000-000026650000}"/>
    <cellStyle name="Normal 2 3 2 11 3 5" xfId="25895" xr:uid="{00000000-0005-0000-0000-000027650000}"/>
    <cellStyle name="Normal 2 3 2 11 3 6" xfId="25896" xr:uid="{00000000-0005-0000-0000-000028650000}"/>
    <cellStyle name="Normal 2 3 2 11 3 7" xfId="25897" xr:uid="{00000000-0005-0000-0000-000029650000}"/>
    <cellStyle name="Normal 2 3 2 11 3 8" xfId="25898" xr:uid="{00000000-0005-0000-0000-00002A650000}"/>
    <cellStyle name="Normal 2 3 2 11 3 9" xfId="25899" xr:uid="{00000000-0005-0000-0000-00002B650000}"/>
    <cellStyle name="Normal 2 3 2 11 4" xfId="25900" xr:uid="{00000000-0005-0000-0000-00002C650000}"/>
    <cellStyle name="Normal 2 3 2 11 4 10" xfId="25901" xr:uid="{00000000-0005-0000-0000-00002D650000}"/>
    <cellStyle name="Normal 2 3 2 11 4 2" xfId="25902" xr:uid="{00000000-0005-0000-0000-00002E650000}"/>
    <cellStyle name="Normal 2 3 2 11 4 3" xfId="25903" xr:uid="{00000000-0005-0000-0000-00002F650000}"/>
    <cellStyle name="Normal 2 3 2 11 4 4" xfId="25904" xr:uid="{00000000-0005-0000-0000-000030650000}"/>
    <cellStyle name="Normal 2 3 2 11 4 5" xfId="25905" xr:uid="{00000000-0005-0000-0000-000031650000}"/>
    <cellStyle name="Normal 2 3 2 11 4 6" xfId="25906" xr:uid="{00000000-0005-0000-0000-000032650000}"/>
    <cellStyle name="Normal 2 3 2 11 4 7" xfId="25907" xr:uid="{00000000-0005-0000-0000-000033650000}"/>
    <cellStyle name="Normal 2 3 2 11 4 8" xfId="25908" xr:uid="{00000000-0005-0000-0000-000034650000}"/>
    <cellStyle name="Normal 2 3 2 11 4 9" xfId="25909" xr:uid="{00000000-0005-0000-0000-000035650000}"/>
    <cellStyle name="Normal 2 3 2 11 5" xfId="25910" xr:uid="{00000000-0005-0000-0000-000036650000}"/>
    <cellStyle name="Normal 2 3 2 11 5 10" xfId="25911" xr:uid="{00000000-0005-0000-0000-000037650000}"/>
    <cellStyle name="Normal 2 3 2 11 5 2" xfId="25912" xr:uid="{00000000-0005-0000-0000-000038650000}"/>
    <cellStyle name="Normal 2 3 2 11 5 3" xfId="25913" xr:uid="{00000000-0005-0000-0000-000039650000}"/>
    <cellStyle name="Normal 2 3 2 11 5 4" xfId="25914" xr:uid="{00000000-0005-0000-0000-00003A650000}"/>
    <cellStyle name="Normal 2 3 2 11 5 5" xfId="25915" xr:uid="{00000000-0005-0000-0000-00003B650000}"/>
    <cellStyle name="Normal 2 3 2 11 5 6" xfId="25916" xr:uid="{00000000-0005-0000-0000-00003C650000}"/>
    <cellStyle name="Normal 2 3 2 11 5 7" xfId="25917" xr:uid="{00000000-0005-0000-0000-00003D650000}"/>
    <cellStyle name="Normal 2 3 2 11 5 8" xfId="25918" xr:uid="{00000000-0005-0000-0000-00003E650000}"/>
    <cellStyle name="Normal 2 3 2 11 5 9" xfId="25919" xr:uid="{00000000-0005-0000-0000-00003F650000}"/>
    <cellStyle name="Normal 2 3 2 11 6" xfId="25920" xr:uid="{00000000-0005-0000-0000-000040650000}"/>
    <cellStyle name="Normal 2 3 2 11 7" xfId="25921" xr:uid="{00000000-0005-0000-0000-000041650000}"/>
    <cellStyle name="Normal 2 3 2 11 8" xfId="25922" xr:uid="{00000000-0005-0000-0000-000042650000}"/>
    <cellStyle name="Normal 2 3 2 11 9" xfId="25923" xr:uid="{00000000-0005-0000-0000-000043650000}"/>
    <cellStyle name="Normal 2 3 2 12" xfId="25924" xr:uid="{00000000-0005-0000-0000-000044650000}"/>
    <cellStyle name="Normal 2 3 2 12 10" xfId="25925" xr:uid="{00000000-0005-0000-0000-000045650000}"/>
    <cellStyle name="Normal 2 3 2 12 11" xfId="25926" xr:uid="{00000000-0005-0000-0000-000046650000}"/>
    <cellStyle name="Normal 2 3 2 12 12" xfId="25927" xr:uid="{00000000-0005-0000-0000-000047650000}"/>
    <cellStyle name="Normal 2 3 2 12 13" xfId="25928" xr:uid="{00000000-0005-0000-0000-000048650000}"/>
    <cellStyle name="Normal 2 3 2 12 14" xfId="25929" xr:uid="{00000000-0005-0000-0000-000049650000}"/>
    <cellStyle name="Normal 2 3 2 12 2" xfId="25930" xr:uid="{00000000-0005-0000-0000-00004A650000}"/>
    <cellStyle name="Normal 2 3 2 12 2 10" xfId="25931" xr:uid="{00000000-0005-0000-0000-00004B650000}"/>
    <cellStyle name="Normal 2 3 2 12 2 2" xfId="25932" xr:uid="{00000000-0005-0000-0000-00004C650000}"/>
    <cellStyle name="Normal 2 3 2 12 2 3" xfId="25933" xr:uid="{00000000-0005-0000-0000-00004D650000}"/>
    <cellStyle name="Normal 2 3 2 12 2 4" xfId="25934" xr:uid="{00000000-0005-0000-0000-00004E650000}"/>
    <cellStyle name="Normal 2 3 2 12 2 5" xfId="25935" xr:uid="{00000000-0005-0000-0000-00004F650000}"/>
    <cellStyle name="Normal 2 3 2 12 2 6" xfId="25936" xr:uid="{00000000-0005-0000-0000-000050650000}"/>
    <cellStyle name="Normal 2 3 2 12 2 7" xfId="25937" xr:uid="{00000000-0005-0000-0000-000051650000}"/>
    <cellStyle name="Normal 2 3 2 12 2 8" xfId="25938" xr:uid="{00000000-0005-0000-0000-000052650000}"/>
    <cellStyle name="Normal 2 3 2 12 2 9" xfId="25939" xr:uid="{00000000-0005-0000-0000-000053650000}"/>
    <cellStyle name="Normal 2 3 2 12 3" xfId="25940" xr:uid="{00000000-0005-0000-0000-000054650000}"/>
    <cellStyle name="Normal 2 3 2 12 3 10" xfId="25941" xr:uid="{00000000-0005-0000-0000-000055650000}"/>
    <cellStyle name="Normal 2 3 2 12 3 2" xfId="25942" xr:uid="{00000000-0005-0000-0000-000056650000}"/>
    <cellStyle name="Normal 2 3 2 12 3 3" xfId="25943" xr:uid="{00000000-0005-0000-0000-000057650000}"/>
    <cellStyle name="Normal 2 3 2 12 3 4" xfId="25944" xr:uid="{00000000-0005-0000-0000-000058650000}"/>
    <cellStyle name="Normal 2 3 2 12 3 5" xfId="25945" xr:uid="{00000000-0005-0000-0000-000059650000}"/>
    <cellStyle name="Normal 2 3 2 12 3 6" xfId="25946" xr:uid="{00000000-0005-0000-0000-00005A650000}"/>
    <cellStyle name="Normal 2 3 2 12 3 7" xfId="25947" xr:uid="{00000000-0005-0000-0000-00005B650000}"/>
    <cellStyle name="Normal 2 3 2 12 3 8" xfId="25948" xr:uid="{00000000-0005-0000-0000-00005C650000}"/>
    <cellStyle name="Normal 2 3 2 12 3 9" xfId="25949" xr:uid="{00000000-0005-0000-0000-00005D650000}"/>
    <cellStyle name="Normal 2 3 2 12 4" xfId="25950" xr:uid="{00000000-0005-0000-0000-00005E650000}"/>
    <cellStyle name="Normal 2 3 2 12 4 10" xfId="25951" xr:uid="{00000000-0005-0000-0000-00005F650000}"/>
    <cellStyle name="Normal 2 3 2 12 4 2" xfId="25952" xr:uid="{00000000-0005-0000-0000-000060650000}"/>
    <cellStyle name="Normal 2 3 2 12 4 3" xfId="25953" xr:uid="{00000000-0005-0000-0000-000061650000}"/>
    <cellStyle name="Normal 2 3 2 12 4 4" xfId="25954" xr:uid="{00000000-0005-0000-0000-000062650000}"/>
    <cellStyle name="Normal 2 3 2 12 4 5" xfId="25955" xr:uid="{00000000-0005-0000-0000-000063650000}"/>
    <cellStyle name="Normal 2 3 2 12 4 6" xfId="25956" xr:uid="{00000000-0005-0000-0000-000064650000}"/>
    <cellStyle name="Normal 2 3 2 12 4 7" xfId="25957" xr:uid="{00000000-0005-0000-0000-000065650000}"/>
    <cellStyle name="Normal 2 3 2 12 4 8" xfId="25958" xr:uid="{00000000-0005-0000-0000-000066650000}"/>
    <cellStyle name="Normal 2 3 2 12 4 9" xfId="25959" xr:uid="{00000000-0005-0000-0000-000067650000}"/>
    <cellStyle name="Normal 2 3 2 12 5" xfId="25960" xr:uid="{00000000-0005-0000-0000-000068650000}"/>
    <cellStyle name="Normal 2 3 2 12 5 10" xfId="25961" xr:uid="{00000000-0005-0000-0000-000069650000}"/>
    <cellStyle name="Normal 2 3 2 12 5 2" xfId="25962" xr:uid="{00000000-0005-0000-0000-00006A650000}"/>
    <cellStyle name="Normal 2 3 2 12 5 3" xfId="25963" xr:uid="{00000000-0005-0000-0000-00006B650000}"/>
    <cellStyle name="Normal 2 3 2 12 5 4" xfId="25964" xr:uid="{00000000-0005-0000-0000-00006C650000}"/>
    <cellStyle name="Normal 2 3 2 12 5 5" xfId="25965" xr:uid="{00000000-0005-0000-0000-00006D650000}"/>
    <cellStyle name="Normal 2 3 2 12 5 6" xfId="25966" xr:uid="{00000000-0005-0000-0000-00006E650000}"/>
    <cellStyle name="Normal 2 3 2 12 5 7" xfId="25967" xr:uid="{00000000-0005-0000-0000-00006F650000}"/>
    <cellStyle name="Normal 2 3 2 12 5 8" xfId="25968" xr:uid="{00000000-0005-0000-0000-000070650000}"/>
    <cellStyle name="Normal 2 3 2 12 5 9" xfId="25969" xr:uid="{00000000-0005-0000-0000-000071650000}"/>
    <cellStyle name="Normal 2 3 2 12 6" xfId="25970" xr:uid="{00000000-0005-0000-0000-000072650000}"/>
    <cellStyle name="Normal 2 3 2 12 7" xfId="25971" xr:uid="{00000000-0005-0000-0000-000073650000}"/>
    <cellStyle name="Normal 2 3 2 12 8" xfId="25972" xr:uid="{00000000-0005-0000-0000-000074650000}"/>
    <cellStyle name="Normal 2 3 2 12 9" xfId="25973" xr:uid="{00000000-0005-0000-0000-000075650000}"/>
    <cellStyle name="Normal 2 3 2 13" xfId="25974" xr:uid="{00000000-0005-0000-0000-000076650000}"/>
    <cellStyle name="Normal 2 3 2 13 10" xfId="25975" xr:uid="{00000000-0005-0000-0000-000077650000}"/>
    <cellStyle name="Normal 2 3 2 13 11" xfId="25976" xr:uid="{00000000-0005-0000-0000-000078650000}"/>
    <cellStyle name="Normal 2 3 2 13 12" xfId="25977" xr:uid="{00000000-0005-0000-0000-000079650000}"/>
    <cellStyle name="Normal 2 3 2 13 13" xfId="25978" xr:uid="{00000000-0005-0000-0000-00007A650000}"/>
    <cellStyle name="Normal 2 3 2 13 14" xfId="25979" xr:uid="{00000000-0005-0000-0000-00007B650000}"/>
    <cellStyle name="Normal 2 3 2 13 2" xfId="25980" xr:uid="{00000000-0005-0000-0000-00007C650000}"/>
    <cellStyle name="Normal 2 3 2 13 2 10" xfId="25981" xr:uid="{00000000-0005-0000-0000-00007D650000}"/>
    <cellStyle name="Normal 2 3 2 13 2 2" xfId="25982" xr:uid="{00000000-0005-0000-0000-00007E650000}"/>
    <cellStyle name="Normal 2 3 2 13 2 3" xfId="25983" xr:uid="{00000000-0005-0000-0000-00007F650000}"/>
    <cellStyle name="Normal 2 3 2 13 2 4" xfId="25984" xr:uid="{00000000-0005-0000-0000-000080650000}"/>
    <cellStyle name="Normal 2 3 2 13 2 5" xfId="25985" xr:uid="{00000000-0005-0000-0000-000081650000}"/>
    <cellStyle name="Normal 2 3 2 13 2 6" xfId="25986" xr:uid="{00000000-0005-0000-0000-000082650000}"/>
    <cellStyle name="Normal 2 3 2 13 2 7" xfId="25987" xr:uid="{00000000-0005-0000-0000-000083650000}"/>
    <cellStyle name="Normal 2 3 2 13 2 8" xfId="25988" xr:uid="{00000000-0005-0000-0000-000084650000}"/>
    <cellStyle name="Normal 2 3 2 13 2 9" xfId="25989" xr:uid="{00000000-0005-0000-0000-000085650000}"/>
    <cellStyle name="Normal 2 3 2 13 3" xfId="25990" xr:uid="{00000000-0005-0000-0000-000086650000}"/>
    <cellStyle name="Normal 2 3 2 13 3 10" xfId="25991" xr:uid="{00000000-0005-0000-0000-000087650000}"/>
    <cellStyle name="Normal 2 3 2 13 3 2" xfId="25992" xr:uid="{00000000-0005-0000-0000-000088650000}"/>
    <cellStyle name="Normal 2 3 2 13 3 3" xfId="25993" xr:uid="{00000000-0005-0000-0000-000089650000}"/>
    <cellStyle name="Normal 2 3 2 13 3 4" xfId="25994" xr:uid="{00000000-0005-0000-0000-00008A650000}"/>
    <cellStyle name="Normal 2 3 2 13 3 5" xfId="25995" xr:uid="{00000000-0005-0000-0000-00008B650000}"/>
    <cellStyle name="Normal 2 3 2 13 3 6" xfId="25996" xr:uid="{00000000-0005-0000-0000-00008C650000}"/>
    <cellStyle name="Normal 2 3 2 13 3 7" xfId="25997" xr:uid="{00000000-0005-0000-0000-00008D650000}"/>
    <cellStyle name="Normal 2 3 2 13 3 8" xfId="25998" xr:uid="{00000000-0005-0000-0000-00008E650000}"/>
    <cellStyle name="Normal 2 3 2 13 3 9" xfId="25999" xr:uid="{00000000-0005-0000-0000-00008F650000}"/>
    <cellStyle name="Normal 2 3 2 13 4" xfId="26000" xr:uid="{00000000-0005-0000-0000-000090650000}"/>
    <cellStyle name="Normal 2 3 2 13 4 10" xfId="26001" xr:uid="{00000000-0005-0000-0000-000091650000}"/>
    <cellStyle name="Normal 2 3 2 13 4 2" xfId="26002" xr:uid="{00000000-0005-0000-0000-000092650000}"/>
    <cellStyle name="Normal 2 3 2 13 4 3" xfId="26003" xr:uid="{00000000-0005-0000-0000-000093650000}"/>
    <cellStyle name="Normal 2 3 2 13 4 4" xfId="26004" xr:uid="{00000000-0005-0000-0000-000094650000}"/>
    <cellStyle name="Normal 2 3 2 13 4 5" xfId="26005" xr:uid="{00000000-0005-0000-0000-000095650000}"/>
    <cellStyle name="Normal 2 3 2 13 4 6" xfId="26006" xr:uid="{00000000-0005-0000-0000-000096650000}"/>
    <cellStyle name="Normal 2 3 2 13 4 7" xfId="26007" xr:uid="{00000000-0005-0000-0000-000097650000}"/>
    <cellStyle name="Normal 2 3 2 13 4 8" xfId="26008" xr:uid="{00000000-0005-0000-0000-000098650000}"/>
    <cellStyle name="Normal 2 3 2 13 4 9" xfId="26009" xr:uid="{00000000-0005-0000-0000-000099650000}"/>
    <cellStyle name="Normal 2 3 2 13 5" xfId="26010" xr:uid="{00000000-0005-0000-0000-00009A650000}"/>
    <cellStyle name="Normal 2 3 2 13 5 10" xfId="26011" xr:uid="{00000000-0005-0000-0000-00009B650000}"/>
    <cellStyle name="Normal 2 3 2 13 5 2" xfId="26012" xr:uid="{00000000-0005-0000-0000-00009C650000}"/>
    <cellStyle name="Normal 2 3 2 13 5 3" xfId="26013" xr:uid="{00000000-0005-0000-0000-00009D650000}"/>
    <cellStyle name="Normal 2 3 2 13 5 4" xfId="26014" xr:uid="{00000000-0005-0000-0000-00009E650000}"/>
    <cellStyle name="Normal 2 3 2 13 5 5" xfId="26015" xr:uid="{00000000-0005-0000-0000-00009F650000}"/>
    <cellStyle name="Normal 2 3 2 13 5 6" xfId="26016" xr:uid="{00000000-0005-0000-0000-0000A0650000}"/>
    <cellStyle name="Normal 2 3 2 13 5 7" xfId="26017" xr:uid="{00000000-0005-0000-0000-0000A1650000}"/>
    <cellStyle name="Normal 2 3 2 13 5 8" xfId="26018" xr:uid="{00000000-0005-0000-0000-0000A2650000}"/>
    <cellStyle name="Normal 2 3 2 13 5 9" xfId="26019" xr:uid="{00000000-0005-0000-0000-0000A3650000}"/>
    <cellStyle name="Normal 2 3 2 13 6" xfId="26020" xr:uid="{00000000-0005-0000-0000-0000A4650000}"/>
    <cellStyle name="Normal 2 3 2 13 7" xfId="26021" xr:uid="{00000000-0005-0000-0000-0000A5650000}"/>
    <cellStyle name="Normal 2 3 2 13 8" xfId="26022" xr:uid="{00000000-0005-0000-0000-0000A6650000}"/>
    <cellStyle name="Normal 2 3 2 13 9" xfId="26023" xr:uid="{00000000-0005-0000-0000-0000A7650000}"/>
    <cellStyle name="Normal 2 3 2 14" xfId="26024" xr:uid="{00000000-0005-0000-0000-0000A8650000}"/>
    <cellStyle name="Normal 2 3 2 14 10" xfId="26025" xr:uid="{00000000-0005-0000-0000-0000A9650000}"/>
    <cellStyle name="Normal 2 3 2 14 11" xfId="26026" xr:uid="{00000000-0005-0000-0000-0000AA650000}"/>
    <cellStyle name="Normal 2 3 2 14 12" xfId="26027" xr:uid="{00000000-0005-0000-0000-0000AB650000}"/>
    <cellStyle name="Normal 2 3 2 14 13" xfId="26028" xr:uid="{00000000-0005-0000-0000-0000AC650000}"/>
    <cellStyle name="Normal 2 3 2 14 14" xfId="26029" xr:uid="{00000000-0005-0000-0000-0000AD650000}"/>
    <cellStyle name="Normal 2 3 2 14 2" xfId="26030" xr:uid="{00000000-0005-0000-0000-0000AE650000}"/>
    <cellStyle name="Normal 2 3 2 14 2 10" xfId="26031" xr:uid="{00000000-0005-0000-0000-0000AF650000}"/>
    <cellStyle name="Normal 2 3 2 14 2 2" xfId="26032" xr:uid="{00000000-0005-0000-0000-0000B0650000}"/>
    <cellStyle name="Normal 2 3 2 14 2 3" xfId="26033" xr:uid="{00000000-0005-0000-0000-0000B1650000}"/>
    <cellStyle name="Normal 2 3 2 14 2 4" xfId="26034" xr:uid="{00000000-0005-0000-0000-0000B2650000}"/>
    <cellStyle name="Normal 2 3 2 14 2 5" xfId="26035" xr:uid="{00000000-0005-0000-0000-0000B3650000}"/>
    <cellStyle name="Normal 2 3 2 14 2 6" xfId="26036" xr:uid="{00000000-0005-0000-0000-0000B4650000}"/>
    <cellStyle name="Normal 2 3 2 14 2 7" xfId="26037" xr:uid="{00000000-0005-0000-0000-0000B5650000}"/>
    <cellStyle name="Normal 2 3 2 14 2 8" xfId="26038" xr:uid="{00000000-0005-0000-0000-0000B6650000}"/>
    <cellStyle name="Normal 2 3 2 14 2 9" xfId="26039" xr:uid="{00000000-0005-0000-0000-0000B7650000}"/>
    <cellStyle name="Normal 2 3 2 14 3" xfId="26040" xr:uid="{00000000-0005-0000-0000-0000B8650000}"/>
    <cellStyle name="Normal 2 3 2 14 3 10" xfId="26041" xr:uid="{00000000-0005-0000-0000-0000B9650000}"/>
    <cellStyle name="Normal 2 3 2 14 3 2" xfId="26042" xr:uid="{00000000-0005-0000-0000-0000BA650000}"/>
    <cellStyle name="Normal 2 3 2 14 3 3" xfId="26043" xr:uid="{00000000-0005-0000-0000-0000BB650000}"/>
    <cellStyle name="Normal 2 3 2 14 3 4" xfId="26044" xr:uid="{00000000-0005-0000-0000-0000BC650000}"/>
    <cellStyle name="Normal 2 3 2 14 3 5" xfId="26045" xr:uid="{00000000-0005-0000-0000-0000BD650000}"/>
    <cellStyle name="Normal 2 3 2 14 3 6" xfId="26046" xr:uid="{00000000-0005-0000-0000-0000BE650000}"/>
    <cellStyle name="Normal 2 3 2 14 3 7" xfId="26047" xr:uid="{00000000-0005-0000-0000-0000BF650000}"/>
    <cellStyle name="Normal 2 3 2 14 3 8" xfId="26048" xr:uid="{00000000-0005-0000-0000-0000C0650000}"/>
    <cellStyle name="Normal 2 3 2 14 3 9" xfId="26049" xr:uid="{00000000-0005-0000-0000-0000C1650000}"/>
    <cellStyle name="Normal 2 3 2 14 4" xfId="26050" xr:uid="{00000000-0005-0000-0000-0000C2650000}"/>
    <cellStyle name="Normal 2 3 2 14 4 10" xfId="26051" xr:uid="{00000000-0005-0000-0000-0000C3650000}"/>
    <cellStyle name="Normal 2 3 2 14 4 2" xfId="26052" xr:uid="{00000000-0005-0000-0000-0000C4650000}"/>
    <cellStyle name="Normal 2 3 2 14 4 3" xfId="26053" xr:uid="{00000000-0005-0000-0000-0000C5650000}"/>
    <cellStyle name="Normal 2 3 2 14 4 4" xfId="26054" xr:uid="{00000000-0005-0000-0000-0000C6650000}"/>
    <cellStyle name="Normal 2 3 2 14 4 5" xfId="26055" xr:uid="{00000000-0005-0000-0000-0000C7650000}"/>
    <cellStyle name="Normal 2 3 2 14 4 6" xfId="26056" xr:uid="{00000000-0005-0000-0000-0000C8650000}"/>
    <cellStyle name="Normal 2 3 2 14 4 7" xfId="26057" xr:uid="{00000000-0005-0000-0000-0000C9650000}"/>
    <cellStyle name="Normal 2 3 2 14 4 8" xfId="26058" xr:uid="{00000000-0005-0000-0000-0000CA650000}"/>
    <cellStyle name="Normal 2 3 2 14 4 9" xfId="26059" xr:uid="{00000000-0005-0000-0000-0000CB650000}"/>
    <cellStyle name="Normal 2 3 2 14 5" xfId="26060" xr:uid="{00000000-0005-0000-0000-0000CC650000}"/>
    <cellStyle name="Normal 2 3 2 14 5 10" xfId="26061" xr:uid="{00000000-0005-0000-0000-0000CD650000}"/>
    <cellStyle name="Normal 2 3 2 14 5 2" xfId="26062" xr:uid="{00000000-0005-0000-0000-0000CE650000}"/>
    <cellStyle name="Normal 2 3 2 14 5 3" xfId="26063" xr:uid="{00000000-0005-0000-0000-0000CF650000}"/>
    <cellStyle name="Normal 2 3 2 14 5 4" xfId="26064" xr:uid="{00000000-0005-0000-0000-0000D0650000}"/>
    <cellStyle name="Normal 2 3 2 14 5 5" xfId="26065" xr:uid="{00000000-0005-0000-0000-0000D1650000}"/>
    <cellStyle name="Normal 2 3 2 14 5 6" xfId="26066" xr:uid="{00000000-0005-0000-0000-0000D2650000}"/>
    <cellStyle name="Normal 2 3 2 14 5 7" xfId="26067" xr:uid="{00000000-0005-0000-0000-0000D3650000}"/>
    <cellStyle name="Normal 2 3 2 14 5 8" xfId="26068" xr:uid="{00000000-0005-0000-0000-0000D4650000}"/>
    <cellStyle name="Normal 2 3 2 14 5 9" xfId="26069" xr:uid="{00000000-0005-0000-0000-0000D5650000}"/>
    <cellStyle name="Normal 2 3 2 14 6" xfId="26070" xr:uid="{00000000-0005-0000-0000-0000D6650000}"/>
    <cellStyle name="Normal 2 3 2 14 7" xfId="26071" xr:uid="{00000000-0005-0000-0000-0000D7650000}"/>
    <cellStyle name="Normal 2 3 2 14 8" xfId="26072" xr:uid="{00000000-0005-0000-0000-0000D8650000}"/>
    <cellStyle name="Normal 2 3 2 14 9" xfId="26073" xr:uid="{00000000-0005-0000-0000-0000D9650000}"/>
    <cellStyle name="Normal 2 3 2 15" xfId="26074" xr:uid="{00000000-0005-0000-0000-0000DA650000}"/>
    <cellStyle name="Normal 2 3 2 15 10" xfId="26075" xr:uid="{00000000-0005-0000-0000-0000DB650000}"/>
    <cellStyle name="Normal 2 3 2 15 11" xfId="26076" xr:uid="{00000000-0005-0000-0000-0000DC650000}"/>
    <cellStyle name="Normal 2 3 2 15 12" xfId="26077" xr:uid="{00000000-0005-0000-0000-0000DD650000}"/>
    <cellStyle name="Normal 2 3 2 15 13" xfId="26078" xr:uid="{00000000-0005-0000-0000-0000DE650000}"/>
    <cellStyle name="Normal 2 3 2 15 14" xfId="26079" xr:uid="{00000000-0005-0000-0000-0000DF650000}"/>
    <cellStyle name="Normal 2 3 2 15 2" xfId="26080" xr:uid="{00000000-0005-0000-0000-0000E0650000}"/>
    <cellStyle name="Normal 2 3 2 15 2 10" xfId="26081" xr:uid="{00000000-0005-0000-0000-0000E1650000}"/>
    <cellStyle name="Normal 2 3 2 15 2 2" xfId="26082" xr:uid="{00000000-0005-0000-0000-0000E2650000}"/>
    <cellStyle name="Normal 2 3 2 15 2 3" xfId="26083" xr:uid="{00000000-0005-0000-0000-0000E3650000}"/>
    <cellStyle name="Normal 2 3 2 15 2 4" xfId="26084" xr:uid="{00000000-0005-0000-0000-0000E4650000}"/>
    <cellStyle name="Normal 2 3 2 15 2 5" xfId="26085" xr:uid="{00000000-0005-0000-0000-0000E5650000}"/>
    <cellStyle name="Normal 2 3 2 15 2 6" xfId="26086" xr:uid="{00000000-0005-0000-0000-0000E6650000}"/>
    <cellStyle name="Normal 2 3 2 15 2 7" xfId="26087" xr:uid="{00000000-0005-0000-0000-0000E7650000}"/>
    <cellStyle name="Normal 2 3 2 15 2 8" xfId="26088" xr:uid="{00000000-0005-0000-0000-0000E8650000}"/>
    <cellStyle name="Normal 2 3 2 15 2 9" xfId="26089" xr:uid="{00000000-0005-0000-0000-0000E9650000}"/>
    <cellStyle name="Normal 2 3 2 15 3" xfId="26090" xr:uid="{00000000-0005-0000-0000-0000EA650000}"/>
    <cellStyle name="Normal 2 3 2 15 3 10" xfId="26091" xr:uid="{00000000-0005-0000-0000-0000EB650000}"/>
    <cellStyle name="Normal 2 3 2 15 3 2" xfId="26092" xr:uid="{00000000-0005-0000-0000-0000EC650000}"/>
    <cellStyle name="Normal 2 3 2 15 3 3" xfId="26093" xr:uid="{00000000-0005-0000-0000-0000ED650000}"/>
    <cellStyle name="Normal 2 3 2 15 3 4" xfId="26094" xr:uid="{00000000-0005-0000-0000-0000EE650000}"/>
    <cellStyle name="Normal 2 3 2 15 3 5" xfId="26095" xr:uid="{00000000-0005-0000-0000-0000EF650000}"/>
    <cellStyle name="Normal 2 3 2 15 3 6" xfId="26096" xr:uid="{00000000-0005-0000-0000-0000F0650000}"/>
    <cellStyle name="Normal 2 3 2 15 3 7" xfId="26097" xr:uid="{00000000-0005-0000-0000-0000F1650000}"/>
    <cellStyle name="Normal 2 3 2 15 3 8" xfId="26098" xr:uid="{00000000-0005-0000-0000-0000F2650000}"/>
    <cellStyle name="Normal 2 3 2 15 3 9" xfId="26099" xr:uid="{00000000-0005-0000-0000-0000F3650000}"/>
    <cellStyle name="Normal 2 3 2 15 4" xfId="26100" xr:uid="{00000000-0005-0000-0000-0000F4650000}"/>
    <cellStyle name="Normal 2 3 2 15 4 10" xfId="26101" xr:uid="{00000000-0005-0000-0000-0000F5650000}"/>
    <cellStyle name="Normal 2 3 2 15 4 2" xfId="26102" xr:uid="{00000000-0005-0000-0000-0000F6650000}"/>
    <cellStyle name="Normal 2 3 2 15 4 3" xfId="26103" xr:uid="{00000000-0005-0000-0000-0000F7650000}"/>
    <cellStyle name="Normal 2 3 2 15 4 4" xfId="26104" xr:uid="{00000000-0005-0000-0000-0000F8650000}"/>
    <cellStyle name="Normal 2 3 2 15 4 5" xfId="26105" xr:uid="{00000000-0005-0000-0000-0000F9650000}"/>
    <cellStyle name="Normal 2 3 2 15 4 6" xfId="26106" xr:uid="{00000000-0005-0000-0000-0000FA650000}"/>
    <cellStyle name="Normal 2 3 2 15 4 7" xfId="26107" xr:uid="{00000000-0005-0000-0000-0000FB650000}"/>
    <cellStyle name="Normal 2 3 2 15 4 8" xfId="26108" xr:uid="{00000000-0005-0000-0000-0000FC650000}"/>
    <cellStyle name="Normal 2 3 2 15 4 9" xfId="26109" xr:uid="{00000000-0005-0000-0000-0000FD650000}"/>
    <cellStyle name="Normal 2 3 2 15 5" xfId="26110" xr:uid="{00000000-0005-0000-0000-0000FE650000}"/>
    <cellStyle name="Normal 2 3 2 15 5 10" xfId="26111" xr:uid="{00000000-0005-0000-0000-0000FF650000}"/>
    <cellStyle name="Normal 2 3 2 15 5 2" xfId="26112" xr:uid="{00000000-0005-0000-0000-000000660000}"/>
    <cellStyle name="Normal 2 3 2 15 5 3" xfId="26113" xr:uid="{00000000-0005-0000-0000-000001660000}"/>
    <cellStyle name="Normal 2 3 2 15 5 4" xfId="26114" xr:uid="{00000000-0005-0000-0000-000002660000}"/>
    <cellStyle name="Normal 2 3 2 15 5 5" xfId="26115" xr:uid="{00000000-0005-0000-0000-000003660000}"/>
    <cellStyle name="Normal 2 3 2 15 5 6" xfId="26116" xr:uid="{00000000-0005-0000-0000-000004660000}"/>
    <cellStyle name="Normal 2 3 2 15 5 7" xfId="26117" xr:uid="{00000000-0005-0000-0000-000005660000}"/>
    <cellStyle name="Normal 2 3 2 15 5 8" xfId="26118" xr:uid="{00000000-0005-0000-0000-000006660000}"/>
    <cellStyle name="Normal 2 3 2 15 5 9" xfId="26119" xr:uid="{00000000-0005-0000-0000-000007660000}"/>
    <cellStyle name="Normal 2 3 2 15 6" xfId="26120" xr:uid="{00000000-0005-0000-0000-000008660000}"/>
    <cellStyle name="Normal 2 3 2 15 7" xfId="26121" xr:uid="{00000000-0005-0000-0000-000009660000}"/>
    <cellStyle name="Normal 2 3 2 15 8" xfId="26122" xr:uid="{00000000-0005-0000-0000-00000A660000}"/>
    <cellStyle name="Normal 2 3 2 15 9" xfId="26123" xr:uid="{00000000-0005-0000-0000-00000B660000}"/>
    <cellStyle name="Normal 2 3 2 16" xfId="26124" xr:uid="{00000000-0005-0000-0000-00000C660000}"/>
    <cellStyle name="Normal 2 3 2 16 10" xfId="26125" xr:uid="{00000000-0005-0000-0000-00000D660000}"/>
    <cellStyle name="Normal 2 3 2 16 11" xfId="26126" xr:uid="{00000000-0005-0000-0000-00000E660000}"/>
    <cellStyle name="Normal 2 3 2 16 12" xfId="26127" xr:uid="{00000000-0005-0000-0000-00000F660000}"/>
    <cellStyle name="Normal 2 3 2 16 13" xfId="26128" xr:uid="{00000000-0005-0000-0000-000010660000}"/>
    <cellStyle name="Normal 2 3 2 16 14" xfId="26129" xr:uid="{00000000-0005-0000-0000-000011660000}"/>
    <cellStyle name="Normal 2 3 2 16 2" xfId="26130" xr:uid="{00000000-0005-0000-0000-000012660000}"/>
    <cellStyle name="Normal 2 3 2 16 2 10" xfId="26131" xr:uid="{00000000-0005-0000-0000-000013660000}"/>
    <cellStyle name="Normal 2 3 2 16 2 2" xfId="26132" xr:uid="{00000000-0005-0000-0000-000014660000}"/>
    <cellStyle name="Normal 2 3 2 16 2 3" xfId="26133" xr:uid="{00000000-0005-0000-0000-000015660000}"/>
    <cellStyle name="Normal 2 3 2 16 2 4" xfId="26134" xr:uid="{00000000-0005-0000-0000-000016660000}"/>
    <cellStyle name="Normal 2 3 2 16 2 5" xfId="26135" xr:uid="{00000000-0005-0000-0000-000017660000}"/>
    <cellStyle name="Normal 2 3 2 16 2 6" xfId="26136" xr:uid="{00000000-0005-0000-0000-000018660000}"/>
    <cellStyle name="Normal 2 3 2 16 2 7" xfId="26137" xr:uid="{00000000-0005-0000-0000-000019660000}"/>
    <cellStyle name="Normal 2 3 2 16 2 8" xfId="26138" xr:uid="{00000000-0005-0000-0000-00001A660000}"/>
    <cellStyle name="Normal 2 3 2 16 2 9" xfId="26139" xr:uid="{00000000-0005-0000-0000-00001B660000}"/>
    <cellStyle name="Normal 2 3 2 16 3" xfId="26140" xr:uid="{00000000-0005-0000-0000-00001C660000}"/>
    <cellStyle name="Normal 2 3 2 16 3 10" xfId="26141" xr:uid="{00000000-0005-0000-0000-00001D660000}"/>
    <cellStyle name="Normal 2 3 2 16 3 2" xfId="26142" xr:uid="{00000000-0005-0000-0000-00001E660000}"/>
    <cellStyle name="Normal 2 3 2 16 3 3" xfId="26143" xr:uid="{00000000-0005-0000-0000-00001F660000}"/>
    <cellStyle name="Normal 2 3 2 16 3 4" xfId="26144" xr:uid="{00000000-0005-0000-0000-000020660000}"/>
    <cellStyle name="Normal 2 3 2 16 3 5" xfId="26145" xr:uid="{00000000-0005-0000-0000-000021660000}"/>
    <cellStyle name="Normal 2 3 2 16 3 6" xfId="26146" xr:uid="{00000000-0005-0000-0000-000022660000}"/>
    <cellStyle name="Normal 2 3 2 16 3 7" xfId="26147" xr:uid="{00000000-0005-0000-0000-000023660000}"/>
    <cellStyle name="Normal 2 3 2 16 3 8" xfId="26148" xr:uid="{00000000-0005-0000-0000-000024660000}"/>
    <cellStyle name="Normal 2 3 2 16 3 9" xfId="26149" xr:uid="{00000000-0005-0000-0000-000025660000}"/>
    <cellStyle name="Normal 2 3 2 16 4" xfId="26150" xr:uid="{00000000-0005-0000-0000-000026660000}"/>
    <cellStyle name="Normal 2 3 2 16 4 10" xfId="26151" xr:uid="{00000000-0005-0000-0000-000027660000}"/>
    <cellStyle name="Normal 2 3 2 16 4 2" xfId="26152" xr:uid="{00000000-0005-0000-0000-000028660000}"/>
    <cellStyle name="Normal 2 3 2 16 4 3" xfId="26153" xr:uid="{00000000-0005-0000-0000-000029660000}"/>
    <cellStyle name="Normal 2 3 2 16 4 4" xfId="26154" xr:uid="{00000000-0005-0000-0000-00002A660000}"/>
    <cellStyle name="Normal 2 3 2 16 4 5" xfId="26155" xr:uid="{00000000-0005-0000-0000-00002B660000}"/>
    <cellStyle name="Normal 2 3 2 16 4 6" xfId="26156" xr:uid="{00000000-0005-0000-0000-00002C660000}"/>
    <cellStyle name="Normal 2 3 2 16 4 7" xfId="26157" xr:uid="{00000000-0005-0000-0000-00002D660000}"/>
    <cellStyle name="Normal 2 3 2 16 4 8" xfId="26158" xr:uid="{00000000-0005-0000-0000-00002E660000}"/>
    <cellStyle name="Normal 2 3 2 16 4 9" xfId="26159" xr:uid="{00000000-0005-0000-0000-00002F660000}"/>
    <cellStyle name="Normal 2 3 2 16 5" xfId="26160" xr:uid="{00000000-0005-0000-0000-000030660000}"/>
    <cellStyle name="Normal 2 3 2 16 5 10" xfId="26161" xr:uid="{00000000-0005-0000-0000-000031660000}"/>
    <cellStyle name="Normal 2 3 2 16 5 2" xfId="26162" xr:uid="{00000000-0005-0000-0000-000032660000}"/>
    <cellStyle name="Normal 2 3 2 16 5 3" xfId="26163" xr:uid="{00000000-0005-0000-0000-000033660000}"/>
    <cellStyle name="Normal 2 3 2 16 5 4" xfId="26164" xr:uid="{00000000-0005-0000-0000-000034660000}"/>
    <cellStyle name="Normal 2 3 2 16 5 5" xfId="26165" xr:uid="{00000000-0005-0000-0000-000035660000}"/>
    <cellStyle name="Normal 2 3 2 16 5 6" xfId="26166" xr:uid="{00000000-0005-0000-0000-000036660000}"/>
    <cellStyle name="Normal 2 3 2 16 5 7" xfId="26167" xr:uid="{00000000-0005-0000-0000-000037660000}"/>
    <cellStyle name="Normal 2 3 2 16 5 8" xfId="26168" xr:uid="{00000000-0005-0000-0000-000038660000}"/>
    <cellStyle name="Normal 2 3 2 16 5 9" xfId="26169" xr:uid="{00000000-0005-0000-0000-000039660000}"/>
    <cellStyle name="Normal 2 3 2 16 6" xfId="26170" xr:uid="{00000000-0005-0000-0000-00003A660000}"/>
    <cellStyle name="Normal 2 3 2 16 7" xfId="26171" xr:uid="{00000000-0005-0000-0000-00003B660000}"/>
    <cellStyle name="Normal 2 3 2 16 8" xfId="26172" xr:uid="{00000000-0005-0000-0000-00003C660000}"/>
    <cellStyle name="Normal 2 3 2 16 9" xfId="26173" xr:uid="{00000000-0005-0000-0000-00003D660000}"/>
    <cellStyle name="Normal 2 3 2 17" xfId="26174" xr:uid="{00000000-0005-0000-0000-00003E660000}"/>
    <cellStyle name="Normal 2 3 2 17 10" xfId="26175" xr:uid="{00000000-0005-0000-0000-00003F660000}"/>
    <cellStyle name="Normal 2 3 2 17 11" xfId="26176" xr:uid="{00000000-0005-0000-0000-000040660000}"/>
    <cellStyle name="Normal 2 3 2 17 12" xfId="26177" xr:uid="{00000000-0005-0000-0000-000041660000}"/>
    <cellStyle name="Normal 2 3 2 17 13" xfId="26178" xr:uid="{00000000-0005-0000-0000-000042660000}"/>
    <cellStyle name="Normal 2 3 2 17 14" xfId="26179" xr:uid="{00000000-0005-0000-0000-000043660000}"/>
    <cellStyle name="Normal 2 3 2 17 2" xfId="26180" xr:uid="{00000000-0005-0000-0000-000044660000}"/>
    <cellStyle name="Normal 2 3 2 17 2 10" xfId="26181" xr:uid="{00000000-0005-0000-0000-000045660000}"/>
    <cellStyle name="Normal 2 3 2 17 2 2" xfId="26182" xr:uid="{00000000-0005-0000-0000-000046660000}"/>
    <cellStyle name="Normal 2 3 2 17 2 3" xfId="26183" xr:uid="{00000000-0005-0000-0000-000047660000}"/>
    <cellStyle name="Normal 2 3 2 17 2 4" xfId="26184" xr:uid="{00000000-0005-0000-0000-000048660000}"/>
    <cellStyle name="Normal 2 3 2 17 2 5" xfId="26185" xr:uid="{00000000-0005-0000-0000-000049660000}"/>
    <cellStyle name="Normal 2 3 2 17 2 6" xfId="26186" xr:uid="{00000000-0005-0000-0000-00004A660000}"/>
    <cellStyle name="Normal 2 3 2 17 2 7" xfId="26187" xr:uid="{00000000-0005-0000-0000-00004B660000}"/>
    <cellStyle name="Normal 2 3 2 17 2 8" xfId="26188" xr:uid="{00000000-0005-0000-0000-00004C660000}"/>
    <cellStyle name="Normal 2 3 2 17 2 9" xfId="26189" xr:uid="{00000000-0005-0000-0000-00004D660000}"/>
    <cellStyle name="Normal 2 3 2 17 3" xfId="26190" xr:uid="{00000000-0005-0000-0000-00004E660000}"/>
    <cellStyle name="Normal 2 3 2 17 3 10" xfId="26191" xr:uid="{00000000-0005-0000-0000-00004F660000}"/>
    <cellStyle name="Normal 2 3 2 17 3 2" xfId="26192" xr:uid="{00000000-0005-0000-0000-000050660000}"/>
    <cellStyle name="Normal 2 3 2 17 3 3" xfId="26193" xr:uid="{00000000-0005-0000-0000-000051660000}"/>
    <cellStyle name="Normal 2 3 2 17 3 4" xfId="26194" xr:uid="{00000000-0005-0000-0000-000052660000}"/>
    <cellStyle name="Normal 2 3 2 17 3 5" xfId="26195" xr:uid="{00000000-0005-0000-0000-000053660000}"/>
    <cellStyle name="Normal 2 3 2 17 3 6" xfId="26196" xr:uid="{00000000-0005-0000-0000-000054660000}"/>
    <cellStyle name="Normal 2 3 2 17 3 7" xfId="26197" xr:uid="{00000000-0005-0000-0000-000055660000}"/>
    <cellStyle name="Normal 2 3 2 17 3 8" xfId="26198" xr:uid="{00000000-0005-0000-0000-000056660000}"/>
    <cellStyle name="Normal 2 3 2 17 3 9" xfId="26199" xr:uid="{00000000-0005-0000-0000-000057660000}"/>
    <cellStyle name="Normal 2 3 2 17 4" xfId="26200" xr:uid="{00000000-0005-0000-0000-000058660000}"/>
    <cellStyle name="Normal 2 3 2 17 4 10" xfId="26201" xr:uid="{00000000-0005-0000-0000-000059660000}"/>
    <cellStyle name="Normal 2 3 2 17 4 2" xfId="26202" xr:uid="{00000000-0005-0000-0000-00005A660000}"/>
    <cellStyle name="Normal 2 3 2 17 4 3" xfId="26203" xr:uid="{00000000-0005-0000-0000-00005B660000}"/>
    <cellStyle name="Normal 2 3 2 17 4 4" xfId="26204" xr:uid="{00000000-0005-0000-0000-00005C660000}"/>
    <cellStyle name="Normal 2 3 2 17 4 5" xfId="26205" xr:uid="{00000000-0005-0000-0000-00005D660000}"/>
    <cellStyle name="Normal 2 3 2 17 4 6" xfId="26206" xr:uid="{00000000-0005-0000-0000-00005E660000}"/>
    <cellStyle name="Normal 2 3 2 17 4 7" xfId="26207" xr:uid="{00000000-0005-0000-0000-00005F660000}"/>
    <cellStyle name="Normal 2 3 2 17 4 8" xfId="26208" xr:uid="{00000000-0005-0000-0000-000060660000}"/>
    <cellStyle name="Normal 2 3 2 17 4 9" xfId="26209" xr:uid="{00000000-0005-0000-0000-000061660000}"/>
    <cellStyle name="Normal 2 3 2 17 5" xfId="26210" xr:uid="{00000000-0005-0000-0000-000062660000}"/>
    <cellStyle name="Normal 2 3 2 17 5 10" xfId="26211" xr:uid="{00000000-0005-0000-0000-000063660000}"/>
    <cellStyle name="Normal 2 3 2 17 5 2" xfId="26212" xr:uid="{00000000-0005-0000-0000-000064660000}"/>
    <cellStyle name="Normal 2 3 2 17 5 3" xfId="26213" xr:uid="{00000000-0005-0000-0000-000065660000}"/>
    <cellStyle name="Normal 2 3 2 17 5 4" xfId="26214" xr:uid="{00000000-0005-0000-0000-000066660000}"/>
    <cellStyle name="Normal 2 3 2 17 5 5" xfId="26215" xr:uid="{00000000-0005-0000-0000-000067660000}"/>
    <cellStyle name="Normal 2 3 2 17 5 6" xfId="26216" xr:uid="{00000000-0005-0000-0000-000068660000}"/>
    <cellStyle name="Normal 2 3 2 17 5 7" xfId="26217" xr:uid="{00000000-0005-0000-0000-000069660000}"/>
    <cellStyle name="Normal 2 3 2 17 5 8" xfId="26218" xr:uid="{00000000-0005-0000-0000-00006A660000}"/>
    <cellStyle name="Normal 2 3 2 17 5 9" xfId="26219" xr:uid="{00000000-0005-0000-0000-00006B660000}"/>
    <cellStyle name="Normal 2 3 2 17 6" xfId="26220" xr:uid="{00000000-0005-0000-0000-00006C660000}"/>
    <cellStyle name="Normal 2 3 2 17 7" xfId="26221" xr:uid="{00000000-0005-0000-0000-00006D660000}"/>
    <cellStyle name="Normal 2 3 2 17 8" xfId="26222" xr:uid="{00000000-0005-0000-0000-00006E660000}"/>
    <cellStyle name="Normal 2 3 2 17 9" xfId="26223" xr:uid="{00000000-0005-0000-0000-00006F660000}"/>
    <cellStyle name="Normal 2 3 2 18" xfId="26224" xr:uid="{00000000-0005-0000-0000-000070660000}"/>
    <cellStyle name="Normal 2 3 2 18 10" xfId="26225" xr:uid="{00000000-0005-0000-0000-000071660000}"/>
    <cellStyle name="Normal 2 3 2 18 11" xfId="26226" xr:uid="{00000000-0005-0000-0000-000072660000}"/>
    <cellStyle name="Normal 2 3 2 18 12" xfId="26227" xr:uid="{00000000-0005-0000-0000-000073660000}"/>
    <cellStyle name="Normal 2 3 2 18 13" xfId="26228" xr:uid="{00000000-0005-0000-0000-000074660000}"/>
    <cellStyle name="Normal 2 3 2 18 14" xfId="26229" xr:uid="{00000000-0005-0000-0000-000075660000}"/>
    <cellStyle name="Normal 2 3 2 18 2" xfId="26230" xr:uid="{00000000-0005-0000-0000-000076660000}"/>
    <cellStyle name="Normal 2 3 2 18 2 10" xfId="26231" xr:uid="{00000000-0005-0000-0000-000077660000}"/>
    <cellStyle name="Normal 2 3 2 18 2 2" xfId="26232" xr:uid="{00000000-0005-0000-0000-000078660000}"/>
    <cellStyle name="Normal 2 3 2 18 2 3" xfId="26233" xr:uid="{00000000-0005-0000-0000-000079660000}"/>
    <cellStyle name="Normal 2 3 2 18 2 4" xfId="26234" xr:uid="{00000000-0005-0000-0000-00007A660000}"/>
    <cellStyle name="Normal 2 3 2 18 2 5" xfId="26235" xr:uid="{00000000-0005-0000-0000-00007B660000}"/>
    <cellStyle name="Normal 2 3 2 18 2 6" xfId="26236" xr:uid="{00000000-0005-0000-0000-00007C660000}"/>
    <cellStyle name="Normal 2 3 2 18 2 7" xfId="26237" xr:uid="{00000000-0005-0000-0000-00007D660000}"/>
    <cellStyle name="Normal 2 3 2 18 2 8" xfId="26238" xr:uid="{00000000-0005-0000-0000-00007E660000}"/>
    <cellStyle name="Normal 2 3 2 18 2 9" xfId="26239" xr:uid="{00000000-0005-0000-0000-00007F660000}"/>
    <cellStyle name="Normal 2 3 2 18 3" xfId="26240" xr:uid="{00000000-0005-0000-0000-000080660000}"/>
    <cellStyle name="Normal 2 3 2 18 3 10" xfId="26241" xr:uid="{00000000-0005-0000-0000-000081660000}"/>
    <cellStyle name="Normal 2 3 2 18 3 2" xfId="26242" xr:uid="{00000000-0005-0000-0000-000082660000}"/>
    <cellStyle name="Normal 2 3 2 18 3 3" xfId="26243" xr:uid="{00000000-0005-0000-0000-000083660000}"/>
    <cellStyle name="Normal 2 3 2 18 3 4" xfId="26244" xr:uid="{00000000-0005-0000-0000-000084660000}"/>
    <cellStyle name="Normal 2 3 2 18 3 5" xfId="26245" xr:uid="{00000000-0005-0000-0000-000085660000}"/>
    <cellStyle name="Normal 2 3 2 18 3 6" xfId="26246" xr:uid="{00000000-0005-0000-0000-000086660000}"/>
    <cellStyle name="Normal 2 3 2 18 3 7" xfId="26247" xr:uid="{00000000-0005-0000-0000-000087660000}"/>
    <cellStyle name="Normal 2 3 2 18 3 8" xfId="26248" xr:uid="{00000000-0005-0000-0000-000088660000}"/>
    <cellStyle name="Normal 2 3 2 18 3 9" xfId="26249" xr:uid="{00000000-0005-0000-0000-000089660000}"/>
    <cellStyle name="Normal 2 3 2 18 4" xfId="26250" xr:uid="{00000000-0005-0000-0000-00008A660000}"/>
    <cellStyle name="Normal 2 3 2 18 4 10" xfId="26251" xr:uid="{00000000-0005-0000-0000-00008B660000}"/>
    <cellStyle name="Normal 2 3 2 18 4 2" xfId="26252" xr:uid="{00000000-0005-0000-0000-00008C660000}"/>
    <cellStyle name="Normal 2 3 2 18 4 3" xfId="26253" xr:uid="{00000000-0005-0000-0000-00008D660000}"/>
    <cellStyle name="Normal 2 3 2 18 4 4" xfId="26254" xr:uid="{00000000-0005-0000-0000-00008E660000}"/>
    <cellStyle name="Normal 2 3 2 18 4 5" xfId="26255" xr:uid="{00000000-0005-0000-0000-00008F660000}"/>
    <cellStyle name="Normal 2 3 2 18 4 6" xfId="26256" xr:uid="{00000000-0005-0000-0000-000090660000}"/>
    <cellStyle name="Normal 2 3 2 18 4 7" xfId="26257" xr:uid="{00000000-0005-0000-0000-000091660000}"/>
    <cellStyle name="Normal 2 3 2 18 4 8" xfId="26258" xr:uid="{00000000-0005-0000-0000-000092660000}"/>
    <cellStyle name="Normal 2 3 2 18 4 9" xfId="26259" xr:uid="{00000000-0005-0000-0000-000093660000}"/>
    <cellStyle name="Normal 2 3 2 18 5" xfId="26260" xr:uid="{00000000-0005-0000-0000-000094660000}"/>
    <cellStyle name="Normal 2 3 2 18 5 10" xfId="26261" xr:uid="{00000000-0005-0000-0000-000095660000}"/>
    <cellStyle name="Normal 2 3 2 18 5 2" xfId="26262" xr:uid="{00000000-0005-0000-0000-000096660000}"/>
    <cellStyle name="Normal 2 3 2 18 5 3" xfId="26263" xr:uid="{00000000-0005-0000-0000-000097660000}"/>
    <cellStyle name="Normal 2 3 2 18 5 4" xfId="26264" xr:uid="{00000000-0005-0000-0000-000098660000}"/>
    <cellStyle name="Normal 2 3 2 18 5 5" xfId="26265" xr:uid="{00000000-0005-0000-0000-000099660000}"/>
    <cellStyle name="Normal 2 3 2 18 5 6" xfId="26266" xr:uid="{00000000-0005-0000-0000-00009A660000}"/>
    <cellStyle name="Normal 2 3 2 18 5 7" xfId="26267" xr:uid="{00000000-0005-0000-0000-00009B660000}"/>
    <cellStyle name="Normal 2 3 2 18 5 8" xfId="26268" xr:uid="{00000000-0005-0000-0000-00009C660000}"/>
    <cellStyle name="Normal 2 3 2 18 5 9" xfId="26269" xr:uid="{00000000-0005-0000-0000-00009D660000}"/>
    <cellStyle name="Normal 2 3 2 18 6" xfId="26270" xr:uid="{00000000-0005-0000-0000-00009E660000}"/>
    <cellStyle name="Normal 2 3 2 18 7" xfId="26271" xr:uid="{00000000-0005-0000-0000-00009F660000}"/>
    <cellStyle name="Normal 2 3 2 18 8" xfId="26272" xr:uid="{00000000-0005-0000-0000-0000A0660000}"/>
    <cellStyle name="Normal 2 3 2 18 9" xfId="26273" xr:uid="{00000000-0005-0000-0000-0000A1660000}"/>
    <cellStyle name="Normal 2 3 2 19" xfId="26274" xr:uid="{00000000-0005-0000-0000-0000A2660000}"/>
    <cellStyle name="Normal 2 3 2 19 10" xfId="26275" xr:uid="{00000000-0005-0000-0000-0000A3660000}"/>
    <cellStyle name="Normal 2 3 2 19 11" xfId="26276" xr:uid="{00000000-0005-0000-0000-0000A4660000}"/>
    <cellStyle name="Normal 2 3 2 19 12" xfId="26277" xr:uid="{00000000-0005-0000-0000-0000A5660000}"/>
    <cellStyle name="Normal 2 3 2 19 13" xfId="26278" xr:uid="{00000000-0005-0000-0000-0000A6660000}"/>
    <cellStyle name="Normal 2 3 2 19 14" xfId="26279" xr:uid="{00000000-0005-0000-0000-0000A7660000}"/>
    <cellStyle name="Normal 2 3 2 19 2" xfId="26280" xr:uid="{00000000-0005-0000-0000-0000A8660000}"/>
    <cellStyle name="Normal 2 3 2 19 2 10" xfId="26281" xr:uid="{00000000-0005-0000-0000-0000A9660000}"/>
    <cellStyle name="Normal 2 3 2 19 2 2" xfId="26282" xr:uid="{00000000-0005-0000-0000-0000AA660000}"/>
    <cellStyle name="Normal 2 3 2 19 2 3" xfId="26283" xr:uid="{00000000-0005-0000-0000-0000AB660000}"/>
    <cellStyle name="Normal 2 3 2 19 2 4" xfId="26284" xr:uid="{00000000-0005-0000-0000-0000AC660000}"/>
    <cellStyle name="Normal 2 3 2 19 2 5" xfId="26285" xr:uid="{00000000-0005-0000-0000-0000AD660000}"/>
    <cellStyle name="Normal 2 3 2 19 2 6" xfId="26286" xr:uid="{00000000-0005-0000-0000-0000AE660000}"/>
    <cellStyle name="Normal 2 3 2 19 2 7" xfId="26287" xr:uid="{00000000-0005-0000-0000-0000AF660000}"/>
    <cellStyle name="Normal 2 3 2 19 2 8" xfId="26288" xr:uid="{00000000-0005-0000-0000-0000B0660000}"/>
    <cellStyle name="Normal 2 3 2 19 2 9" xfId="26289" xr:uid="{00000000-0005-0000-0000-0000B1660000}"/>
    <cellStyle name="Normal 2 3 2 19 3" xfId="26290" xr:uid="{00000000-0005-0000-0000-0000B2660000}"/>
    <cellStyle name="Normal 2 3 2 19 3 10" xfId="26291" xr:uid="{00000000-0005-0000-0000-0000B3660000}"/>
    <cellStyle name="Normal 2 3 2 19 3 2" xfId="26292" xr:uid="{00000000-0005-0000-0000-0000B4660000}"/>
    <cellStyle name="Normal 2 3 2 19 3 3" xfId="26293" xr:uid="{00000000-0005-0000-0000-0000B5660000}"/>
    <cellStyle name="Normal 2 3 2 19 3 4" xfId="26294" xr:uid="{00000000-0005-0000-0000-0000B6660000}"/>
    <cellStyle name="Normal 2 3 2 19 3 5" xfId="26295" xr:uid="{00000000-0005-0000-0000-0000B7660000}"/>
    <cellStyle name="Normal 2 3 2 19 3 6" xfId="26296" xr:uid="{00000000-0005-0000-0000-0000B8660000}"/>
    <cellStyle name="Normal 2 3 2 19 3 7" xfId="26297" xr:uid="{00000000-0005-0000-0000-0000B9660000}"/>
    <cellStyle name="Normal 2 3 2 19 3 8" xfId="26298" xr:uid="{00000000-0005-0000-0000-0000BA660000}"/>
    <cellStyle name="Normal 2 3 2 19 3 9" xfId="26299" xr:uid="{00000000-0005-0000-0000-0000BB660000}"/>
    <cellStyle name="Normal 2 3 2 19 4" xfId="26300" xr:uid="{00000000-0005-0000-0000-0000BC660000}"/>
    <cellStyle name="Normal 2 3 2 19 4 10" xfId="26301" xr:uid="{00000000-0005-0000-0000-0000BD660000}"/>
    <cellStyle name="Normal 2 3 2 19 4 2" xfId="26302" xr:uid="{00000000-0005-0000-0000-0000BE660000}"/>
    <cellStyle name="Normal 2 3 2 19 4 3" xfId="26303" xr:uid="{00000000-0005-0000-0000-0000BF660000}"/>
    <cellStyle name="Normal 2 3 2 19 4 4" xfId="26304" xr:uid="{00000000-0005-0000-0000-0000C0660000}"/>
    <cellStyle name="Normal 2 3 2 19 4 5" xfId="26305" xr:uid="{00000000-0005-0000-0000-0000C1660000}"/>
    <cellStyle name="Normal 2 3 2 19 4 6" xfId="26306" xr:uid="{00000000-0005-0000-0000-0000C2660000}"/>
    <cellStyle name="Normal 2 3 2 19 4 7" xfId="26307" xr:uid="{00000000-0005-0000-0000-0000C3660000}"/>
    <cellStyle name="Normal 2 3 2 19 4 8" xfId="26308" xr:uid="{00000000-0005-0000-0000-0000C4660000}"/>
    <cellStyle name="Normal 2 3 2 19 4 9" xfId="26309" xr:uid="{00000000-0005-0000-0000-0000C5660000}"/>
    <cellStyle name="Normal 2 3 2 19 5" xfId="26310" xr:uid="{00000000-0005-0000-0000-0000C6660000}"/>
    <cellStyle name="Normal 2 3 2 19 5 10" xfId="26311" xr:uid="{00000000-0005-0000-0000-0000C7660000}"/>
    <cellStyle name="Normal 2 3 2 19 5 2" xfId="26312" xr:uid="{00000000-0005-0000-0000-0000C8660000}"/>
    <cellStyle name="Normal 2 3 2 19 5 3" xfId="26313" xr:uid="{00000000-0005-0000-0000-0000C9660000}"/>
    <cellStyle name="Normal 2 3 2 19 5 4" xfId="26314" xr:uid="{00000000-0005-0000-0000-0000CA660000}"/>
    <cellStyle name="Normal 2 3 2 19 5 5" xfId="26315" xr:uid="{00000000-0005-0000-0000-0000CB660000}"/>
    <cellStyle name="Normal 2 3 2 19 5 6" xfId="26316" xr:uid="{00000000-0005-0000-0000-0000CC660000}"/>
    <cellStyle name="Normal 2 3 2 19 5 7" xfId="26317" xr:uid="{00000000-0005-0000-0000-0000CD660000}"/>
    <cellStyle name="Normal 2 3 2 19 5 8" xfId="26318" xr:uid="{00000000-0005-0000-0000-0000CE660000}"/>
    <cellStyle name="Normal 2 3 2 19 5 9" xfId="26319" xr:uid="{00000000-0005-0000-0000-0000CF660000}"/>
    <cellStyle name="Normal 2 3 2 19 6" xfId="26320" xr:uid="{00000000-0005-0000-0000-0000D0660000}"/>
    <cellStyle name="Normal 2 3 2 19 7" xfId="26321" xr:uid="{00000000-0005-0000-0000-0000D1660000}"/>
    <cellStyle name="Normal 2 3 2 19 8" xfId="26322" xr:uid="{00000000-0005-0000-0000-0000D2660000}"/>
    <cellStyle name="Normal 2 3 2 19 9" xfId="26323" xr:uid="{00000000-0005-0000-0000-0000D3660000}"/>
    <cellStyle name="Normal 2 3 2 2" xfId="26324" xr:uid="{00000000-0005-0000-0000-0000D4660000}"/>
    <cellStyle name="Normal 2 3 2 2 10" xfId="26325" xr:uid="{00000000-0005-0000-0000-0000D5660000}"/>
    <cellStyle name="Normal 2 3 2 2 11" xfId="26326" xr:uid="{00000000-0005-0000-0000-0000D6660000}"/>
    <cellStyle name="Normal 2 3 2 2 12" xfId="26327" xr:uid="{00000000-0005-0000-0000-0000D7660000}"/>
    <cellStyle name="Normal 2 3 2 2 13" xfId="26328" xr:uid="{00000000-0005-0000-0000-0000D8660000}"/>
    <cellStyle name="Normal 2 3 2 2 14" xfId="26329" xr:uid="{00000000-0005-0000-0000-0000D9660000}"/>
    <cellStyle name="Normal 2 3 2 2 15" xfId="26330" xr:uid="{00000000-0005-0000-0000-0000DA660000}"/>
    <cellStyle name="Normal 2 3 2 2 16" xfId="26331" xr:uid="{00000000-0005-0000-0000-0000DB660000}"/>
    <cellStyle name="Normal 2 3 2 2 2" xfId="26332" xr:uid="{00000000-0005-0000-0000-0000DC660000}"/>
    <cellStyle name="Normal 2 3 2 2 2 10" xfId="26333" xr:uid="{00000000-0005-0000-0000-0000DD660000}"/>
    <cellStyle name="Normal 2 3 2 2 2 11" xfId="26334" xr:uid="{00000000-0005-0000-0000-0000DE660000}"/>
    <cellStyle name="Normal 2 3 2 2 2 12" xfId="26335" xr:uid="{00000000-0005-0000-0000-0000DF660000}"/>
    <cellStyle name="Normal 2 3 2 2 2 2" xfId="26336" xr:uid="{00000000-0005-0000-0000-0000E0660000}"/>
    <cellStyle name="Normal 2 3 2 2 2 3" xfId="26337" xr:uid="{00000000-0005-0000-0000-0000E1660000}"/>
    <cellStyle name="Normal 2 3 2 2 2 4" xfId="26338" xr:uid="{00000000-0005-0000-0000-0000E2660000}"/>
    <cellStyle name="Normal 2 3 2 2 2 5" xfId="26339" xr:uid="{00000000-0005-0000-0000-0000E3660000}"/>
    <cellStyle name="Normal 2 3 2 2 2 6" xfId="26340" xr:uid="{00000000-0005-0000-0000-0000E4660000}"/>
    <cellStyle name="Normal 2 3 2 2 2 7" xfId="26341" xr:uid="{00000000-0005-0000-0000-0000E5660000}"/>
    <cellStyle name="Normal 2 3 2 2 2 8" xfId="26342" xr:uid="{00000000-0005-0000-0000-0000E6660000}"/>
    <cellStyle name="Normal 2 3 2 2 2 9" xfId="26343" xr:uid="{00000000-0005-0000-0000-0000E7660000}"/>
    <cellStyle name="Normal 2 3 2 2 3" xfId="26344" xr:uid="{00000000-0005-0000-0000-0000E8660000}"/>
    <cellStyle name="Normal 2 3 2 2 3 10" xfId="26345" xr:uid="{00000000-0005-0000-0000-0000E9660000}"/>
    <cellStyle name="Normal 2 3 2 2 3 2" xfId="26346" xr:uid="{00000000-0005-0000-0000-0000EA660000}"/>
    <cellStyle name="Normal 2 3 2 2 3 3" xfId="26347" xr:uid="{00000000-0005-0000-0000-0000EB660000}"/>
    <cellStyle name="Normal 2 3 2 2 3 4" xfId="26348" xr:uid="{00000000-0005-0000-0000-0000EC660000}"/>
    <cellStyle name="Normal 2 3 2 2 3 5" xfId="26349" xr:uid="{00000000-0005-0000-0000-0000ED660000}"/>
    <cellStyle name="Normal 2 3 2 2 3 6" xfId="26350" xr:uid="{00000000-0005-0000-0000-0000EE660000}"/>
    <cellStyle name="Normal 2 3 2 2 3 7" xfId="26351" xr:uid="{00000000-0005-0000-0000-0000EF660000}"/>
    <cellStyle name="Normal 2 3 2 2 3 8" xfId="26352" xr:uid="{00000000-0005-0000-0000-0000F0660000}"/>
    <cellStyle name="Normal 2 3 2 2 3 9" xfId="26353" xr:uid="{00000000-0005-0000-0000-0000F1660000}"/>
    <cellStyle name="Normal 2 3 2 2 4" xfId="26354" xr:uid="{00000000-0005-0000-0000-0000F2660000}"/>
    <cellStyle name="Normal 2 3 2 2 4 10" xfId="26355" xr:uid="{00000000-0005-0000-0000-0000F3660000}"/>
    <cellStyle name="Normal 2 3 2 2 4 2" xfId="26356" xr:uid="{00000000-0005-0000-0000-0000F4660000}"/>
    <cellStyle name="Normal 2 3 2 2 4 3" xfId="26357" xr:uid="{00000000-0005-0000-0000-0000F5660000}"/>
    <cellStyle name="Normal 2 3 2 2 4 4" xfId="26358" xr:uid="{00000000-0005-0000-0000-0000F6660000}"/>
    <cellStyle name="Normal 2 3 2 2 4 5" xfId="26359" xr:uid="{00000000-0005-0000-0000-0000F7660000}"/>
    <cellStyle name="Normal 2 3 2 2 4 6" xfId="26360" xr:uid="{00000000-0005-0000-0000-0000F8660000}"/>
    <cellStyle name="Normal 2 3 2 2 4 7" xfId="26361" xr:uid="{00000000-0005-0000-0000-0000F9660000}"/>
    <cellStyle name="Normal 2 3 2 2 4 8" xfId="26362" xr:uid="{00000000-0005-0000-0000-0000FA660000}"/>
    <cellStyle name="Normal 2 3 2 2 4 9" xfId="26363" xr:uid="{00000000-0005-0000-0000-0000FB660000}"/>
    <cellStyle name="Normal 2 3 2 2 5" xfId="26364" xr:uid="{00000000-0005-0000-0000-0000FC660000}"/>
    <cellStyle name="Normal 2 3 2 2 5 10" xfId="26365" xr:uid="{00000000-0005-0000-0000-0000FD660000}"/>
    <cellStyle name="Normal 2 3 2 2 5 2" xfId="26366" xr:uid="{00000000-0005-0000-0000-0000FE660000}"/>
    <cellStyle name="Normal 2 3 2 2 5 3" xfId="26367" xr:uid="{00000000-0005-0000-0000-0000FF660000}"/>
    <cellStyle name="Normal 2 3 2 2 5 4" xfId="26368" xr:uid="{00000000-0005-0000-0000-000000670000}"/>
    <cellStyle name="Normal 2 3 2 2 5 5" xfId="26369" xr:uid="{00000000-0005-0000-0000-000001670000}"/>
    <cellStyle name="Normal 2 3 2 2 5 6" xfId="26370" xr:uid="{00000000-0005-0000-0000-000002670000}"/>
    <cellStyle name="Normal 2 3 2 2 5 7" xfId="26371" xr:uid="{00000000-0005-0000-0000-000003670000}"/>
    <cellStyle name="Normal 2 3 2 2 5 8" xfId="26372" xr:uid="{00000000-0005-0000-0000-000004670000}"/>
    <cellStyle name="Normal 2 3 2 2 5 9" xfId="26373" xr:uid="{00000000-0005-0000-0000-000005670000}"/>
    <cellStyle name="Normal 2 3 2 2 6" xfId="26374" xr:uid="{00000000-0005-0000-0000-000006670000}"/>
    <cellStyle name="Normal 2 3 2 2 7" xfId="26375" xr:uid="{00000000-0005-0000-0000-000007670000}"/>
    <cellStyle name="Normal 2 3 2 2 8" xfId="26376" xr:uid="{00000000-0005-0000-0000-000008670000}"/>
    <cellStyle name="Normal 2 3 2 2 9" xfId="26377" xr:uid="{00000000-0005-0000-0000-000009670000}"/>
    <cellStyle name="Normal 2 3 2 20" xfId="26378" xr:uid="{00000000-0005-0000-0000-00000A670000}"/>
    <cellStyle name="Normal 2 3 2 20 10" xfId="26379" xr:uid="{00000000-0005-0000-0000-00000B670000}"/>
    <cellStyle name="Normal 2 3 2 20 11" xfId="26380" xr:uid="{00000000-0005-0000-0000-00000C670000}"/>
    <cellStyle name="Normal 2 3 2 20 12" xfId="26381" xr:uid="{00000000-0005-0000-0000-00000D670000}"/>
    <cellStyle name="Normal 2 3 2 20 13" xfId="26382" xr:uid="{00000000-0005-0000-0000-00000E670000}"/>
    <cellStyle name="Normal 2 3 2 20 14" xfId="26383" xr:uid="{00000000-0005-0000-0000-00000F670000}"/>
    <cellStyle name="Normal 2 3 2 20 2" xfId="26384" xr:uid="{00000000-0005-0000-0000-000010670000}"/>
    <cellStyle name="Normal 2 3 2 20 2 10" xfId="26385" xr:uid="{00000000-0005-0000-0000-000011670000}"/>
    <cellStyle name="Normal 2 3 2 20 2 2" xfId="26386" xr:uid="{00000000-0005-0000-0000-000012670000}"/>
    <cellStyle name="Normal 2 3 2 20 2 3" xfId="26387" xr:uid="{00000000-0005-0000-0000-000013670000}"/>
    <cellStyle name="Normal 2 3 2 20 2 4" xfId="26388" xr:uid="{00000000-0005-0000-0000-000014670000}"/>
    <cellStyle name="Normal 2 3 2 20 2 5" xfId="26389" xr:uid="{00000000-0005-0000-0000-000015670000}"/>
    <cellStyle name="Normal 2 3 2 20 2 6" xfId="26390" xr:uid="{00000000-0005-0000-0000-000016670000}"/>
    <cellStyle name="Normal 2 3 2 20 2 7" xfId="26391" xr:uid="{00000000-0005-0000-0000-000017670000}"/>
    <cellStyle name="Normal 2 3 2 20 2 8" xfId="26392" xr:uid="{00000000-0005-0000-0000-000018670000}"/>
    <cellStyle name="Normal 2 3 2 20 2 9" xfId="26393" xr:uid="{00000000-0005-0000-0000-000019670000}"/>
    <cellStyle name="Normal 2 3 2 20 3" xfId="26394" xr:uid="{00000000-0005-0000-0000-00001A670000}"/>
    <cellStyle name="Normal 2 3 2 20 3 10" xfId="26395" xr:uid="{00000000-0005-0000-0000-00001B670000}"/>
    <cellStyle name="Normal 2 3 2 20 3 2" xfId="26396" xr:uid="{00000000-0005-0000-0000-00001C670000}"/>
    <cellStyle name="Normal 2 3 2 20 3 3" xfId="26397" xr:uid="{00000000-0005-0000-0000-00001D670000}"/>
    <cellStyle name="Normal 2 3 2 20 3 4" xfId="26398" xr:uid="{00000000-0005-0000-0000-00001E670000}"/>
    <cellStyle name="Normal 2 3 2 20 3 5" xfId="26399" xr:uid="{00000000-0005-0000-0000-00001F670000}"/>
    <cellStyle name="Normal 2 3 2 20 3 6" xfId="26400" xr:uid="{00000000-0005-0000-0000-000020670000}"/>
    <cellStyle name="Normal 2 3 2 20 3 7" xfId="26401" xr:uid="{00000000-0005-0000-0000-000021670000}"/>
    <cellStyle name="Normal 2 3 2 20 3 8" xfId="26402" xr:uid="{00000000-0005-0000-0000-000022670000}"/>
    <cellStyle name="Normal 2 3 2 20 3 9" xfId="26403" xr:uid="{00000000-0005-0000-0000-000023670000}"/>
    <cellStyle name="Normal 2 3 2 20 4" xfId="26404" xr:uid="{00000000-0005-0000-0000-000024670000}"/>
    <cellStyle name="Normal 2 3 2 20 4 10" xfId="26405" xr:uid="{00000000-0005-0000-0000-000025670000}"/>
    <cellStyle name="Normal 2 3 2 20 4 2" xfId="26406" xr:uid="{00000000-0005-0000-0000-000026670000}"/>
    <cellStyle name="Normal 2 3 2 20 4 3" xfId="26407" xr:uid="{00000000-0005-0000-0000-000027670000}"/>
    <cellStyle name="Normal 2 3 2 20 4 4" xfId="26408" xr:uid="{00000000-0005-0000-0000-000028670000}"/>
    <cellStyle name="Normal 2 3 2 20 4 5" xfId="26409" xr:uid="{00000000-0005-0000-0000-000029670000}"/>
    <cellStyle name="Normal 2 3 2 20 4 6" xfId="26410" xr:uid="{00000000-0005-0000-0000-00002A670000}"/>
    <cellStyle name="Normal 2 3 2 20 4 7" xfId="26411" xr:uid="{00000000-0005-0000-0000-00002B670000}"/>
    <cellStyle name="Normal 2 3 2 20 4 8" xfId="26412" xr:uid="{00000000-0005-0000-0000-00002C670000}"/>
    <cellStyle name="Normal 2 3 2 20 4 9" xfId="26413" xr:uid="{00000000-0005-0000-0000-00002D670000}"/>
    <cellStyle name="Normal 2 3 2 20 5" xfId="26414" xr:uid="{00000000-0005-0000-0000-00002E670000}"/>
    <cellStyle name="Normal 2 3 2 20 5 10" xfId="26415" xr:uid="{00000000-0005-0000-0000-00002F670000}"/>
    <cellStyle name="Normal 2 3 2 20 5 2" xfId="26416" xr:uid="{00000000-0005-0000-0000-000030670000}"/>
    <cellStyle name="Normal 2 3 2 20 5 3" xfId="26417" xr:uid="{00000000-0005-0000-0000-000031670000}"/>
    <cellStyle name="Normal 2 3 2 20 5 4" xfId="26418" xr:uid="{00000000-0005-0000-0000-000032670000}"/>
    <cellStyle name="Normal 2 3 2 20 5 5" xfId="26419" xr:uid="{00000000-0005-0000-0000-000033670000}"/>
    <cellStyle name="Normal 2 3 2 20 5 6" xfId="26420" xr:uid="{00000000-0005-0000-0000-000034670000}"/>
    <cellStyle name="Normal 2 3 2 20 5 7" xfId="26421" xr:uid="{00000000-0005-0000-0000-000035670000}"/>
    <cellStyle name="Normal 2 3 2 20 5 8" xfId="26422" xr:uid="{00000000-0005-0000-0000-000036670000}"/>
    <cellStyle name="Normal 2 3 2 20 5 9" xfId="26423" xr:uid="{00000000-0005-0000-0000-000037670000}"/>
    <cellStyle name="Normal 2 3 2 20 6" xfId="26424" xr:uid="{00000000-0005-0000-0000-000038670000}"/>
    <cellStyle name="Normal 2 3 2 20 7" xfId="26425" xr:uid="{00000000-0005-0000-0000-000039670000}"/>
    <cellStyle name="Normal 2 3 2 20 8" xfId="26426" xr:uid="{00000000-0005-0000-0000-00003A670000}"/>
    <cellStyle name="Normal 2 3 2 20 9" xfId="26427" xr:uid="{00000000-0005-0000-0000-00003B670000}"/>
    <cellStyle name="Normal 2 3 2 21" xfId="26428" xr:uid="{00000000-0005-0000-0000-00003C670000}"/>
    <cellStyle name="Normal 2 3 2 21 10" xfId="26429" xr:uid="{00000000-0005-0000-0000-00003D670000}"/>
    <cellStyle name="Normal 2 3 2 21 11" xfId="26430" xr:uid="{00000000-0005-0000-0000-00003E670000}"/>
    <cellStyle name="Normal 2 3 2 21 12" xfId="26431" xr:uid="{00000000-0005-0000-0000-00003F670000}"/>
    <cellStyle name="Normal 2 3 2 21 13" xfId="26432" xr:uid="{00000000-0005-0000-0000-000040670000}"/>
    <cellStyle name="Normal 2 3 2 21 14" xfId="26433" xr:uid="{00000000-0005-0000-0000-000041670000}"/>
    <cellStyle name="Normal 2 3 2 21 2" xfId="26434" xr:uid="{00000000-0005-0000-0000-000042670000}"/>
    <cellStyle name="Normal 2 3 2 21 2 10" xfId="26435" xr:uid="{00000000-0005-0000-0000-000043670000}"/>
    <cellStyle name="Normal 2 3 2 21 2 2" xfId="26436" xr:uid="{00000000-0005-0000-0000-000044670000}"/>
    <cellStyle name="Normal 2 3 2 21 2 3" xfId="26437" xr:uid="{00000000-0005-0000-0000-000045670000}"/>
    <cellStyle name="Normal 2 3 2 21 2 4" xfId="26438" xr:uid="{00000000-0005-0000-0000-000046670000}"/>
    <cellStyle name="Normal 2 3 2 21 2 5" xfId="26439" xr:uid="{00000000-0005-0000-0000-000047670000}"/>
    <cellStyle name="Normal 2 3 2 21 2 6" xfId="26440" xr:uid="{00000000-0005-0000-0000-000048670000}"/>
    <cellStyle name="Normal 2 3 2 21 2 7" xfId="26441" xr:uid="{00000000-0005-0000-0000-000049670000}"/>
    <cellStyle name="Normal 2 3 2 21 2 8" xfId="26442" xr:uid="{00000000-0005-0000-0000-00004A670000}"/>
    <cellStyle name="Normal 2 3 2 21 2 9" xfId="26443" xr:uid="{00000000-0005-0000-0000-00004B670000}"/>
    <cellStyle name="Normal 2 3 2 21 3" xfId="26444" xr:uid="{00000000-0005-0000-0000-00004C670000}"/>
    <cellStyle name="Normal 2 3 2 21 3 10" xfId="26445" xr:uid="{00000000-0005-0000-0000-00004D670000}"/>
    <cellStyle name="Normal 2 3 2 21 3 2" xfId="26446" xr:uid="{00000000-0005-0000-0000-00004E670000}"/>
    <cellStyle name="Normal 2 3 2 21 3 3" xfId="26447" xr:uid="{00000000-0005-0000-0000-00004F670000}"/>
    <cellStyle name="Normal 2 3 2 21 3 4" xfId="26448" xr:uid="{00000000-0005-0000-0000-000050670000}"/>
    <cellStyle name="Normal 2 3 2 21 3 5" xfId="26449" xr:uid="{00000000-0005-0000-0000-000051670000}"/>
    <cellStyle name="Normal 2 3 2 21 3 6" xfId="26450" xr:uid="{00000000-0005-0000-0000-000052670000}"/>
    <cellStyle name="Normal 2 3 2 21 3 7" xfId="26451" xr:uid="{00000000-0005-0000-0000-000053670000}"/>
    <cellStyle name="Normal 2 3 2 21 3 8" xfId="26452" xr:uid="{00000000-0005-0000-0000-000054670000}"/>
    <cellStyle name="Normal 2 3 2 21 3 9" xfId="26453" xr:uid="{00000000-0005-0000-0000-000055670000}"/>
    <cellStyle name="Normal 2 3 2 21 4" xfId="26454" xr:uid="{00000000-0005-0000-0000-000056670000}"/>
    <cellStyle name="Normal 2 3 2 21 4 10" xfId="26455" xr:uid="{00000000-0005-0000-0000-000057670000}"/>
    <cellStyle name="Normal 2 3 2 21 4 2" xfId="26456" xr:uid="{00000000-0005-0000-0000-000058670000}"/>
    <cellStyle name="Normal 2 3 2 21 4 3" xfId="26457" xr:uid="{00000000-0005-0000-0000-000059670000}"/>
    <cellStyle name="Normal 2 3 2 21 4 4" xfId="26458" xr:uid="{00000000-0005-0000-0000-00005A670000}"/>
    <cellStyle name="Normal 2 3 2 21 4 5" xfId="26459" xr:uid="{00000000-0005-0000-0000-00005B670000}"/>
    <cellStyle name="Normal 2 3 2 21 4 6" xfId="26460" xr:uid="{00000000-0005-0000-0000-00005C670000}"/>
    <cellStyle name="Normal 2 3 2 21 4 7" xfId="26461" xr:uid="{00000000-0005-0000-0000-00005D670000}"/>
    <cellStyle name="Normal 2 3 2 21 4 8" xfId="26462" xr:uid="{00000000-0005-0000-0000-00005E670000}"/>
    <cellStyle name="Normal 2 3 2 21 4 9" xfId="26463" xr:uid="{00000000-0005-0000-0000-00005F670000}"/>
    <cellStyle name="Normal 2 3 2 21 5" xfId="26464" xr:uid="{00000000-0005-0000-0000-000060670000}"/>
    <cellStyle name="Normal 2 3 2 21 5 10" xfId="26465" xr:uid="{00000000-0005-0000-0000-000061670000}"/>
    <cellStyle name="Normal 2 3 2 21 5 2" xfId="26466" xr:uid="{00000000-0005-0000-0000-000062670000}"/>
    <cellStyle name="Normal 2 3 2 21 5 3" xfId="26467" xr:uid="{00000000-0005-0000-0000-000063670000}"/>
    <cellStyle name="Normal 2 3 2 21 5 4" xfId="26468" xr:uid="{00000000-0005-0000-0000-000064670000}"/>
    <cellStyle name="Normal 2 3 2 21 5 5" xfId="26469" xr:uid="{00000000-0005-0000-0000-000065670000}"/>
    <cellStyle name="Normal 2 3 2 21 5 6" xfId="26470" xr:uid="{00000000-0005-0000-0000-000066670000}"/>
    <cellStyle name="Normal 2 3 2 21 5 7" xfId="26471" xr:uid="{00000000-0005-0000-0000-000067670000}"/>
    <cellStyle name="Normal 2 3 2 21 5 8" xfId="26472" xr:uid="{00000000-0005-0000-0000-000068670000}"/>
    <cellStyle name="Normal 2 3 2 21 5 9" xfId="26473" xr:uid="{00000000-0005-0000-0000-000069670000}"/>
    <cellStyle name="Normal 2 3 2 21 6" xfId="26474" xr:uid="{00000000-0005-0000-0000-00006A670000}"/>
    <cellStyle name="Normal 2 3 2 21 7" xfId="26475" xr:uid="{00000000-0005-0000-0000-00006B670000}"/>
    <cellStyle name="Normal 2 3 2 21 8" xfId="26476" xr:uid="{00000000-0005-0000-0000-00006C670000}"/>
    <cellStyle name="Normal 2 3 2 21 9" xfId="26477" xr:uid="{00000000-0005-0000-0000-00006D670000}"/>
    <cellStyle name="Normal 2 3 2 22" xfId="26478" xr:uid="{00000000-0005-0000-0000-00006E670000}"/>
    <cellStyle name="Normal 2 3 2 22 10" xfId="26479" xr:uid="{00000000-0005-0000-0000-00006F670000}"/>
    <cellStyle name="Normal 2 3 2 22 11" xfId="26480" xr:uid="{00000000-0005-0000-0000-000070670000}"/>
    <cellStyle name="Normal 2 3 2 22 12" xfId="26481" xr:uid="{00000000-0005-0000-0000-000071670000}"/>
    <cellStyle name="Normal 2 3 2 22 13" xfId="26482" xr:uid="{00000000-0005-0000-0000-000072670000}"/>
    <cellStyle name="Normal 2 3 2 22 14" xfId="26483" xr:uid="{00000000-0005-0000-0000-000073670000}"/>
    <cellStyle name="Normal 2 3 2 22 2" xfId="26484" xr:uid="{00000000-0005-0000-0000-000074670000}"/>
    <cellStyle name="Normal 2 3 2 22 2 10" xfId="26485" xr:uid="{00000000-0005-0000-0000-000075670000}"/>
    <cellStyle name="Normal 2 3 2 22 2 2" xfId="26486" xr:uid="{00000000-0005-0000-0000-000076670000}"/>
    <cellStyle name="Normal 2 3 2 22 2 3" xfId="26487" xr:uid="{00000000-0005-0000-0000-000077670000}"/>
    <cellStyle name="Normal 2 3 2 22 2 4" xfId="26488" xr:uid="{00000000-0005-0000-0000-000078670000}"/>
    <cellStyle name="Normal 2 3 2 22 2 5" xfId="26489" xr:uid="{00000000-0005-0000-0000-000079670000}"/>
    <cellStyle name="Normal 2 3 2 22 2 6" xfId="26490" xr:uid="{00000000-0005-0000-0000-00007A670000}"/>
    <cellStyle name="Normal 2 3 2 22 2 7" xfId="26491" xr:uid="{00000000-0005-0000-0000-00007B670000}"/>
    <cellStyle name="Normal 2 3 2 22 2 8" xfId="26492" xr:uid="{00000000-0005-0000-0000-00007C670000}"/>
    <cellStyle name="Normal 2 3 2 22 2 9" xfId="26493" xr:uid="{00000000-0005-0000-0000-00007D670000}"/>
    <cellStyle name="Normal 2 3 2 22 3" xfId="26494" xr:uid="{00000000-0005-0000-0000-00007E670000}"/>
    <cellStyle name="Normal 2 3 2 22 3 10" xfId="26495" xr:uid="{00000000-0005-0000-0000-00007F670000}"/>
    <cellStyle name="Normal 2 3 2 22 3 2" xfId="26496" xr:uid="{00000000-0005-0000-0000-000080670000}"/>
    <cellStyle name="Normal 2 3 2 22 3 3" xfId="26497" xr:uid="{00000000-0005-0000-0000-000081670000}"/>
    <cellStyle name="Normal 2 3 2 22 3 4" xfId="26498" xr:uid="{00000000-0005-0000-0000-000082670000}"/>
    <cellStyle name="Normal 2 3 2 22 3 5" xfId="26499" xr:uid="{00000000-0005-0000-0000-000083670000}"/>
    <cellStyle name="Normal 2 3 2 22 3 6" xfId="26500" xr:uid="{00000000-0005-0000-0000-000084670000}"/>
    <cellStyle name="Normal 2 3 2 22 3 7" xfId="26501" xr:uid="{00000000-0005-0000-0000-000085670000}"/>
    <cellStyle name="Normal 2 3 2 22 3 8" xfId="26502" xr:uid="{00000000-0005-0000-0000-000086670000}"/>
    <cellStyle name="Normal 2 3 2 22 3 9" xfId="26503" xr:uid="{00000000-0005-0000-0000-000087670000}"/>
    <cellStyle name="Normal 2 3 2 22 4" xfId="26504" xr:uid="{00000000-0005-0000-0000-000088670000}"/>
    <cellStyle name="Normal 2 3 2 22 4 10" xfId="26505" xr:uid="{00000000-0005-0000-0000-000089670000}"/>
    <cellStyle name="Normal 2 3 2 22 4 2" xfId="26506" xr:uid="{00000000-0005-0000-0000-00008A670000}"/>
    <cellStyle name="Normal 2 3 2 22 4 3" xfId="26507" xr:uid="{00000000-0005-0000-0000-00008B670000}"/>
    <cellStyle name="Normal 2 3 2 22 4 4" xfId="26508" xr:uid="{00000000-0005-0000-0000-00008C670000}"/>
    <cellStyle name="Normal 2 3 2 22 4 5" xfId="26509" xr:uid="{00000000-0005-0000-0000-00008D670000}"/>
    <cellStyle name="Normal 2 3 2 22 4 6" xfId="26510" xr:uid="{00000000-0005-0000-0000-00008E670000}"/>
    <cellStyle name="Normal 2 3 2 22 4 7" xfId="26511" xr:uid="{00000000-0005-0000-0000-00008F670000}"/>
    <cellStyle name="Normal 2 3 2 22 4 8" xfId="26512" xr:uid="{00000000-0005-0000-0000-000090670000}"/>
    <cellStyle name="Normal 2 3 2 22 4 9" xfId="26513" xr:uid="{00000000-0005-0000-0000-000091670000}"/>
    <cellStyle name="Normal 2 3 2 22 5" xfId="26514" xr:uid="{00000000-0005-0000-0000-000092670000}"/>
    <cellStyle name="Normal 2 3 2 22 5 10" xfId="26515" xr:uid="{00000000-0005-0000-0000-000093670000}"/>
    <cellStyle name="Normal 2 3 2 22 5 2" xfId="26516" xr:uid="{00000000-0005-0000-0000-000094670000}"/>
    <cellStyle name="Normal 2 3 2 22 5 3" xfId="26517" xr:uid="{00000000-0005-0000-0000-000095670000}"/>
    <cellStyle name="Normal 2 3 2 22 5 4" xfId="26518" xr:uid="{00000000-0005-0000-0000-000096670000}"/>
    <cellStyle name="Normal 2 3 2 22 5 5" xfId="26519" xr:uid="{00000000-0005-0000-0000-000097670000}"/>
    <cellStyle name="Normal 2 3 2 22 5 6" xfId="26520" xr:uid="{00000000-0005-0000-0000-000098670000}"/>
    <cellStyle name="Normal 2 3 2 22 5 7" xfId="26521" xr:uid="{00000000-0005-0000-0000-000099670000}"/>
    <cellStyle name="Normal 2 3 2 22 5 8" xfId="26522" xr:uid="{00000000-0005-0000-0000-00009A670000}"/>
    <cellStyle name="Normal 2 3 2 22 5 9" xfId="26523" xr:uid="{00000000-0005-0000-0000-00009B670000}"/>
    <cellStyle name="Normal 2 3 2 22 6" xfId="26524" xr:uid="{00000000-0005-0000-0000-00009C670000}"/>
    <cellStyle name="Normal 2 3 2 22 7" xfId="26525" xr:uid="{00000000-0005-0000-0000-00009D670000}"/>
    <cellStyle name="Normal 2 3 2 22 8" xfId="26526" xr:uid="{00000000-0005-0000-0000-00009E670000}"/>
    <cellStyle name="Normal 2 3 2 22 9" xfId="26527" xr:uid="{00000000-0005-0000-0000-00009F670000}"/>
    <cellStyle name="Normal 2 3 2 23" xfId="26528" xr:uid="{00000000-0005-0000-0000-0000A0670000}"/>
    <cellStyle name="Normal 2 3 2 23 10" xfId="26529" xr:uid="{00000000-0005-0000-0000-0000A1670000}"/>
    <cellStyle name="Normal 2 3 2 23 11" xfId="26530" xr:uid="{00000000-0005-0000-0000-0000A2670000}"/>
    <cellStyle name="Normal 2 3 2 23 12" xfId="26531" xr:uid="{00000000-0005-0000-0000-0000A3670000}"/>
    <cellStyle name="Normal 2 3 2 23 13" xfId="26532" xr:uid="{00000000-0005-0000-0000-0000A4670000}"/>
    <cellStyle name="Normal 2 3 2 23 14" xfId="26533" xr:uid="{00000000-0005-0000-0000-0000A5670000}"/>
    <cellStyle name="Normal 2 3 2 23 2" xfId="26534" xr:uid="{00000000-0005-0000-0000-0000A6670000}"/>
    <cellStyle name="Normal 2 3 2 23 2 10" xfId="26535" xr:uid="{00000000-0005-0000-0000-0000A7670000}"/>
    <cellStyle name="Normal 2 3 2 23 2 2" xfId="26536" xr:uid="{00000000-0005-0000-0000-0000A8670000}"/>
    <cellStyle name="Normal 2 3 2 23 2 3" xfId="26537" xr:uid="{00000000-0005-0000-0000-0000A9670000}"/>
    <cellStyle name="Normal 2 3 2 23 2 4" xfId="26538" xr:uid="{00000000-0005-0000-0000-0000AA670000}"/>
    <cellStyle name="Normal 2 3 2 23 2 5" xfId="26539" xr:uid="{00000000-0005-0000-0000-0000AB670000}"/>
    <cellStyle name="Normal 2 3 2 23 2 6" xfId="26540" xr:uid="{00000000-0005-0000-0000-0000AC670000}"/>
    <cellStyle name="Normal 2 3 2 23 2 7" xfId="26541" xr:uid="{00000000-0005-0000-0000-0000AD670000}"/>
    <cellStyle name="Normal 2 3 2 23 2 8" xfId="26542" xr:uid="{00000000-0005-0000-0000-0000AE670000}"/>
    <cellStyle name="Normal 2 3 2 23 2 9" xfId="26543" xr:uid="{00000000-0005-0000-0000-0000AF670000}"/>
    <cellStyle name="Normal 2 3 2 23 3" xfId="26544" xr:uid="{00000000-0005-0000-0000-0000B0670000}"/>
    <cellStyle name="Normal 2 3 2 23 3 10" xfId="26545" xr:uid="{00000000-0005-0000-0000-0000B1670000}"/>
    <cellStyle name="Normal 2 3 2 23 3 2" xfId="26546" xr:uid="{00000000-0005-0000-0000-0000B2670000}"/>
    <cellStyle name="Normal 2 3 2 23 3 3" xfId="26547" xr:uid="{00000000-0005-0000-0000-0000B3670000}"/>
    <cellStyle name="Normal 2 3 2 23 3 4" xfId="26548" xr:uid="{00000000-0005-0000-0000-0000B4670000}"/>
    <cellStyle name="Normal 2 3 2 23 3 5" xfId="26549" xr:uid="{00000000-0005-0000-0000-0000B5670000}"/>
    <cellStyle name="Normal 2 3 2 23 3 6" xfId="26550" xr:uid="{00000000-0005-0000-0000-0000B6670000}"/>
    <cellStyle name="Normal 2 3 2 23 3 7" xfId="26551" xr:uid="{00000000-0005-0000-0000-0000B7670000}"/>
    <cellStyle name="Normal 2 3 2 23 3 8" xfId="26552" xr:uid="{00000000-0005-0000-0000-0000B8670000}"/>
    <cellStyle name="Normal 2 3 2 23 3 9" xfId="26553" xr:uid="{00000000-0005-0000-0000-0000B9670000}"/>
    <cellStyle name="Normal 2 3 2 23 4" xfId="26554" xr:uid="{00000000-0005-0000-0000-0000BA670000}"/>
    <cellStyle name="Normal 2 3 2 23 4 10" xfId="26555" xr:uid="{00000000-0005-0000-0000-0000BB670000}"/>
    <cellStyle name="Normal 2 3 2 23 4 2" xfId="26556" xr:uid="{00000000-0005-0000-0000-0000BC670000}"/>
    <cellStyle name="Normal 2 3 2 23 4 3" xfId="26557" xr:uid="{00000000-0005-0000-0000-0000BD670000}"/>
    <cellStyle name="Normal 2 3 2 23 4 4" xfId="26558" xr:uid="{00000000-0005-0000-0000-0000BE670000}"/>
    <cellStyle name="Normal 2 3 2 23 4 5" xfId="26559" xr:uid="{00000000-0005-0000-0000-0000BF670000}"/>
    <cellStyle name="Normal 2 3 2 23 4 6" xfId="26560" xr:uid="{00000000-0005-0000-0000-0000C0670000}"/>
    <cellStyle name="Normal 2 3 2 23 4 7" xfId="26561" xr:uid="{00000000-0005-0000-0000-0000C1670000}"/>
    <cellStyle name="Normal 2 3 2 23 4 8" xfId="26562" xr:uid="{00000000-0005-0000-0000-0000C2670000}"/>
    <cellStyle name="Normal 2 3 2 23 4 9" xfId="26563" xr:uid="{00000000-0005-0000-0000-0000C3670000}"/>
    <cellStyle name="Normal 2 3 2 23 5" xfId="26564" xr:uid="{00000000-0005-0000-0000-0000C4670000}"/>
    <cellStyle name="Normal 2 3 2 23 5 10" xfId="26565" xr:uid="{00000000-0005-0000-0000-0000C5670000}"/>
    <cellStyle name="Normal 2 3 2 23 5 2" xfId="26566" xr:uid="{00000000-0005-0000-0000-0000C6670000}"/>
    <cellStyle name="Normal 2 3 2 23 5 3" xfId="26567" xr:uid="{00000000-0005-0000-0000-0000C7670000}"/>
    <cellStyle name="Normal 2 3 2 23 5 4" xfId="26568" xr:uid="{00000000-0005-0000-0000-0000C8670000}"/>
    <cellStyle name="Normal 2 3 2 23 5 5" xfId="26569" xr:uid="{00000000-0005-0000-0000-0000C9670000}"/>
    <cellStyle name="Normal 2 3 2 23 5 6" xfId="26570" xr:uid="{00000000-0005-0000-0000-0000CA670000}"/>
    <cellStyle name="Normal 2 3 2 23 5 7" xfId="26571" xr:uid="{00000000-0005-0000-0000-0000CB670000}"/>
    <cellStyle name="Normal 2 3 2 23 5 8" xfId="26572" xr:uid="{00000000-0005-0000-0000-0000CC670000}"/>
    <cellStyle name="Normal 2 3 2 23 5 9" xfId="26573" xr:uid="{00000000-0005-0000-0000-0000CD670000}"/>
    <cellStyle name="Normal 2 3 2 23 6" xfId="26574" xr:uid="{00000000-0005-0000-0000-0000CE670000}"/>
    <cellStyle name="Normal 2 3 2 23 7" xfId="26575" xr:uid="{00000000-0005-0000-0000-0000CF670000}"/>
    <cellStyle name="Normal 2 3 2 23 8" xfId="26576" xr:uid="{00000000-0005-0000-0000-0000D0670000}"/>
    <cellStyle name="Normal 2 3 2 23 9" xfId="26577" xr:uid="{00000000-0005-0000-0000-0000D1670000}"/>
    <cellStyle name="Normal 2 3 2 24" xfId="26578" xr:uid="{00000000-0005-0000-0000-0000D2670000}"/>
    <cellStyle name="Normal 2 3 2 24 10" xfId="26579" xr:uid="{00000000-0005-0000-0000-0000D3670000}"/>
    <cellStyle name="Normal 2 3 2 24 11" xfId="26580" xr:uid="{00000000-0005-0000-0000-0000D4670000}"/>
    <cellStyle name="Normal 2 3 2 24 12" xfId="26581" xr:uid="{00000000-0005-0000-0000-0000D5670000}"/>
    <cellStyle name="Normal 2 3 2 24 13" xfId="26582" xr:uid="{00000000-0005-0000-0000-0000D6670000}"/>
    <cellStyle name="Normal 2 3 2 24 14" xfId="26583" xr:uid="{00000000-0005-0000-0000-0000D7670000}"/>
    <cellStyle name="Normal 2 3 2 24 2" xfId="26584" xr:uid="{00000000-0005-0000-0000-0000D8670000}"/>
    <cellStyle name="Normal 2 3 2 24 2 10" xfId="26585" xr:uid="{00000000-0005-0000-0000-0000D9670000}"/>
    <cellStyle name="Normal 2 3 2 24 2 2" xfId="26586" xr:uid="{00000000-0005-0000-0000-0000DA670000}"/>
    <cellStyle name="Normal 2 3 2 24 2 3" xfId="26587" xr:uid="{00000000-0005-0000-0000-0000DB670000}"/>
    <cellStyle name="Normal 2 3 2 24 2 4" xfId="26588" xr:uid="{00000000-0005-0000-0000-0000DC670000}"/>
    <cellStyle name="Normal 2 3 2 24 2 5" xfId="26589" xr:uid="{00000000-0005-0000-0000-0000DD670000}"/>
    <cellStyle name="Normal 2 3 2 24 2 6" xfId="26590" xr:uid="{00000000-0005-0000-0000-0000DE670000}"/>
    <cellStyle name="Normal 2 3 2 24 2 7" xfId="26591" xr:uid="{00000000-0005-0000-0000-0000DF670000}"/>
    <cellStyle name="Normal 2 3 2 24 2 8" xfId="26592" xr:uid="{00000000-0005-0000-0000-0000E0670000}"/>
    <cellStyle name="Normal 2 3 2 24 2 9" xfId="26593" xr:uid="{00000000-0005-0000-0000-0000E1670000}"/>
    <cellStyle name="Normal 2 3 2 24 3" xfId="26594" xr:uid="{00000000-0005-0000-0000-0000E2670000}"/>
    <cellStyle name="Normal 2 3 2 24 3 10" xfId="26595" xr:uid="{00000000-0005-0000-0000-0000E3670000}"/>
    <cellStyle name="Normal 2 3 2 24 3 2" xfId="26596" xr:uid="{00000000-0005-0000-0000-0000E4670000}"/>
    <cellStyle name="Normal 2 3 2 24 3 3" xfId="26597" xr:uid="{00000000-0005-0000-0000-0000E5670000}"/>
    <cellStyle name="Normal 2 3 2 24 3 4" xfId="26598" xr:uid="{00000000-0005-0000-0000-0000E6670000}"/>
    <cellStyle name="Normal 2 3 2 24 3 5" xfId="26599" xr:uid="{00000000-0005-0000-0000-0000E7670000}"/>
    <cellStyle name="Normal 2 3 2 24 3 6" xfId="26600" xr:uid="{00000000-0005-0000-0000-0000E8670000}"/>
    <cellStyle name="Normal 2 3 2 24 3 7" xfId="26601" xr:uid="{00000000-0005-0000-0000-0000E9670000}"/>
    <cellStyle name="Normal 2 3 2 24 3 8" xfId="26602" xr:uid="{00000000-0005-0000-0000-0000EA670000}"/>
    <cellStyle name="Normal 2 3 2 24 3 9" xfId="26603" xr:uid="{00000000-0005-0000-0000-0000EB670000}"/>
    <cellStyle name="Normal 2 3 2 24 4" xfId="26604" xr:uid="{00000000-0005-0000-0000-0000EC670000}"/>
    <cellStyle name="Normal 2 3 2 24 4 10" xfId="26605" xr:uid="{00000000-0005-0000-0000-0000ED670000}"/>
    <cellStyle name="Normal 2 3 2 24 4 2" xfId="26606" xr:uid="{00000000-0005-0000-0000-0000EE670000}"/>
    <cellStyle name="Normal 2 3 2 24 4 3" xfId="26607" xr:uid="{00000000-0005-0000-0000-0000EF670000}"/>
    <cellStyle name="Normal 2 3 2 24 4 4" xfId="26608" xr:uid="{00000000-0005-0000-0000-0000F0670000}"/>
    <cellStyle name="Normal 2 3 2 24 4 5" xfId="26609" xr:uid="{00000000-0005-0000-0000-0000F1670000}"/>
    <cellStyle name="Normal 2 3 2 24 4 6" xfId="26610" xr:uid="{00000000-0005-0000-0000-0000F2670000}"/>
    <cellStyle name="Normal 2 3 2 24 4 7" xfId="26611" xr:uid="{00000000-0005-0000-0000-0000F3670000}"/>
    <cellStyle name="Normal 2 3 2 24 4 8" xfId="26612" xr:uid="{00000000-0005-0000-0000-0000F4670000}"/>
    <cellStyle name="Normal 2 3 2 24 4 9" xfId="26613" xr:uid="{00000000-0005-0000-0000-0000F5670000}"/>
    <cellStyle name="Normal 2 3 2 24 5" xfId="26614" xr:uid="{00000000-0005-0000-0000-0000F6670000}"/>
    <cellStyle name="Normal 2 3 2 24 5 10" xfId="26615" xr:uid="{00000000-0005-0000-0000-0000F7670000}"/>
    <cellStyle name="Normal 2 3 2 24 5 2" xfId="26616" xr:uid="{00000000-0005-0000-0000-0000F8670000}"/>
    <cellStyle name="Normal 2 3 2 24 5 3" xfId="26617" xr:uid="{00000000-0005-0000-0000-0000F9670000}"/>
    <cellStyle name="Normal 2 3 2 24 5 4" xfId="26618" xr:uid="{00000000-0005-0000-0000-0000FA670000}"/>
    <cellStyle name="Normal 2 3 2 24 5 5" xfId="26619" xr:uid="{00000000-0005-0000-0000-0000FB670000}"/>
    <cellStyle name="Normal 2 3 2 24 5 6" xfId="26620" xr:uid="{00000000-0005-0000-0000-0000FC670000}"/>
    <cellStyle name="Normal 2 3 2 24 5 7" xfId="26621" xr:uid="{00000000-0005-0000-0000-0000FD670000}"/>
    <cellStyle name="Normal 2 3 2 24 5 8" xfId="26622" xr:uid="{00000000-0005-0000-0000-0000FE670000}"/>
    <cellStyle name="Normal 2 3 2 24 5 9" xfId="26623" xr:uid="{00000000-0005-0000-0000-0000FF670000}"/>
    <cellStyle name="Normal 2 3 2 24 6" xfId="26624" xr:uid="{00000000-0005-0000-0000-000000680000}"/>
    <cellStyle name="Normal 2 3 2 24 7" xfId="26625" xr:uid="{00000000-0005-0000-0000-000001680000}"/>
    <cellStyle name="Normal 2 3 2 24 8" xfId="26626" xr:uid="{00000000-0005-0000-0000-000002680000}"/>
    <cellStyle name="Normal 2 3 2 24 9" xfId="26627" xr:uid="{00000000-0005-0000-0000-000003680000}"/>
    <cellStyle name="Normal 2 3 2 25" xfId="26628" xr:uid="{00000000-0005-0000-0000-000004680000}"/>
    <cellStyle name="Normal 2 3 2 25 10" xfId="26629" xr:uid="{00000000-0005-0000-0000-000005680000}"/>
    <cellStyle name="Normal 2 3 2 25 11" xfId="26630" xr:uid="{00000000-0005-0000-0000-000006680000}"/>
    <cellStyle name="Normal 2 3 2 25 12" xfId="26631" xr:uid="{00000000-0005-0000-0000-000007680000}"/>
    <cellStyle name="Normal 2 3 2 25 13" xfId="26632" xr:uid="{00000000-0005-0000-0000-000008680000}"/>
    <cellStyle name="Normal 2 3 2 25 14" xfId="26633" xr:uid="{00000000-0005-0000-0000-000009680000}"/>
    <cellStyle name="Normal 2 3 2 25 2" xfId="26634" xr:uid="{00000000-0005-0000-0000-00000A680000}"/>
    <cellStyle name="Normal 2 3 2 25 2 10" xfId="26635" xr:uid="{00000000-0005-0000-0000-00000B680000}"/>
    <cellStyle name="Normal 2 3 2 25 2 2" xfId="26636" xr:uid="{00000000-0005-0000-0000-00000C680000}"/>
    <cellStyle name="Normal 2 3 2 25 2 3" xfId="26637" xr:uid="{00000000-0005-0000-0000-00000D680000}"/>
    <cellStyle name="Normal 2 3 2 25 2 4" xfId="26638" xr:uid="{00000000-0005-0000-0000-00000E680000}"/>
    <cellStyle name="Normal 2 3 2 25 2 5" xfId="26639" xr:uid="{00000000-0005-0000-0000-00000F680000}"/>
    <cellStyle name="Normal 2 3 2 25 2 6" xfId="26640" xr:uid="{00000000-0005-0000-0000-000010680000}"/>
    <cellStyle name="Normal 2 3 2 25 2 7" xfId="26641" xr:uid="{00000000-0005-0000-0000-000011680000}"/>
    <cellStyle name="Normal 2 3 2 25 2 8" xfId="26642" xr:uid="{00000000-0005-0000-0000-000012680000}"/>
    <cellStyle name="Normal 2 3 2 25 2 9" xfId="26643" xr:uid="{00000000-0005-0000-0000-000013680000}"/>
    <cellStyle name="Normal 2 3 2 25 3" xfId="26644" xr:uid="{00000000-0005-0000-0000-000014680000}"/>
    <cellStyle name="Normal 2 3 2 25 3 10" xfId="26645" xr:uid="{00000000-0005-0000-0000-000015680000}"/>
    <cellStyle name="Normal 2 3 2 25 3 2" xfId="26646" xr:uid="{00000000-0005-0000-0000-000016680000}"/>
    <cellStyle name="Normal 2 3 2 25 3 3" xfId="26647" xr:uid="{00000000-0005-0000-0000-000017680000}"/>
    <cellStyle name="Normal 2 3 2 25 3 4" xfId="26648" xr:uid="{00000000-0005-0000-0000-000018680000}"/>
    <cellStyle name="Normal 2 3 2 25 3 5" xfId="26649" xr:uid="{00000000-0005-0000-0000-000019680000}"/>
    <cellStyle name="Normal 2 3 2 25 3 6" xfId="26650" xr:uid="{00000000-0005-0000-0000-00001A680000}"/>
    <cellStyle name="Normal 2 3 2 25 3 7" xfId="26651" xr:uid="{00000000-0005-0000-0000-00001B680000}"/>
    <cellStyle name="Normal 2 3 2 25 3 8" xfId="26652" xr:uid="{00000000-0005-0000-0000-00001C680000}"/>
    <cellStyle name="Normal 2 3 2 25 3 9" xfId="26653" xr:uid="{00000000-0005-0000-0000-00001D680000}"/>
    <cellStyle name="Normal 2 3 2 25 4" xfId="26654" xr:uid="{00000000-0005-0000-0000-00001E680000}"/>
    <cellStyle name="Normal 2 3 2 25 4 10" xfId="26655" xr:uid="{00000000-0005-0000-0000-00001F680000}"/>
    <cellStyle name="Normal 2 3 2 25 4 2" xfId="26656" xr:uid="{00000000-0005-0000-0000-000020680000}"/>
    <cellStyle name="Normal 2 3 2 25 4 3" xfId="26657" xr:uid="{00000000-0005-0000-0000-000021680000}"/>
    <cellStyle name="Normal 2 3 2 25 4 4" xfId="26658" xr:uid="{00000000-0005-0000-0000-000022680000}"/>
    <cellStyle name="Normal 2 3 2 25 4 5" xfId="26659" xr:uid="{00000000-0005-0000-0000-000023680000}"/>
    <cellStyle name="Normal 2 3 2 25 4 6" xfId="26660" xr:uid="{00000000-0005-0000-0000-000024680000}"/>
    <cellStyle name="Normal 2 3 2 25 4 7" xfId="26661" xr:uid="{00000000-0005-0000-0000-000025680000}"/>
    <cellStyle name="Normal 2 3 2 25 4 8" xfId="26662" xr:uid="{00000000-0005-0000-0000-000026680000}"/>
    <cellStyle name="Normal 2 3 2 25 4 9" xfId="26663" xr:uid="{00000000-0005-0000-0000-000027680000}"/>
    <cellStyle name="Normal 2 3 2 25 5" xfId="26664" xr:uid="{00000000-0005-0000-0000-000028680000}"/>
    <cellStyle name="Normal 2 3 2 25 5 10" xfId="26665" xr:uid="{00000000-0005-0000-0000-000029680000}"/>
    <cellStyle name="Normal 2 3 2 25 5 2" xfId="26666" xr:uid="{00000000-0005-0000-0000-00002A680000}"/>
    <cellStyle name="Normal 2 3 2 25 5 3" xfId="26667" xr:uid="{00000000-0005-0000-0000-00002B680000}"/>
    <cellStyle name="Normal 2 3 2 25 5 4" xfId="26668" xr:uid="{00000000-0005-0000-0000-00002C680000}"/>
    <cellStyle name="Normal 2 3 2 25 5 5" xfId="26669" xr:uid="{00000000-0005-0000-0000-00002D680000}"/>
    <cellStyle name="Normal 2 3 2 25 5 6" xfId="26670" xr:uid="{00000000-0005-0000-0000-00002E680000}"/>
    <cellStyle name="Normal 2 3 2 25 5 7" xfId="26671" xr:uid="{00000000-0005-0000-0000-00002F680000}"/>
    <cellStyle name="Normal 2 3 2 25 5 8" xfId="26672" xr:uid="{00000000-0005-0000-0000-000030680000}"/>
    <cellStyle name="Normal 2 3 2 25 5 9" xfId="26673" xr:uid="{00000000-0005-0000-0000-000031680000}"/>
    <cellStyle name="Normal 2 3 2 25 6" xfId="26674" xr:uid="{00000000-0005-0000-0000-000032680000}"/>
    <cellStyle name="Normal 2 3 2 25 7" xfId="26675" xr:uid="{00000000-0005-0000-0000-000033680000}"/>
    <cellStyle name="Normal 2 3 2 25 8" xfId="26676" xr:uid="{00000000-0005-0000-0000-000034680000}"/>
    <cellStyle name="Normal 2 3 2 25 9" xfId="26677" xr:uid="{00000000-0005-0000-0000-000035680000}"/>
    <cellStyle name="Normal 2 3 2 26" xfId="26678" xr:uid="{00000000-0005-0000-0000-000036680000}"/>
    <cellStyle name="Normal 2 3 2 26 10" xfId="26679" xr:uid="{00000000-0005-0000-0000-000037680000}"/>
    <cellStyle name="Normal 2 3 2 26 11" xfId="26680" xr:uid="{00000000-0005-0000-0000-000038680000}"/>
    <cellStyle name="Normal 2 3 2 26 12" xfId="26681" xr:uid="{00000000-0005-0000-0000-000039680000}"/>
    <cellStyle name="Normal 2 3 2 26 13" xfId="26682" xr:uid="{00000000-0005-0000-0000-00003A680000}"/>
    <cellStyle name="Normal 2 3 2 26 14" xfId="26683" xr:uid="{00000000-0005-0000-0000-00003B680000}"/>
    <cellStyle name="Normal 2 3 2 26 2" xfId="26684" xr:uid="{00000000-0005-0000-0000-00003C680000}"/>
    <cellStyle name="Normal 2 3 2 26 2 10" xfId="26685" xr:uid="{00000000-0005-0000-0000-00003D680000}"/>
    <cellStyle name="Normal 2 3 2 26 2 2" xfId="26686" xr:uid="{00000000-0005-0000-0000-00003E680000}"/>
    <cellStyle name="Normal 2 3 2 26 2 3" xfId="26687" xr:uid="{00000000-0005-0000-0000-00003F680000}"/>
    <cellStyle name="Normal 2 3 2 26 2 4" xfId="26688" xr:uid="{00000000-0005-0000-0000-000040680000}"/>
    <cellStyle name="Normal 2 3 2 26 2 5" xfId="26689" xr:uid="{00000000-0005-0000-0000-000041680000}"/>
    <cellStyle name="Normal 2 3 2 26 2 6" xfId="26690" xr:uid="{00000000-0005-0000-0000-000042680000}"/>
    <cellStyle name="Normal 2 3 2 26 2 7" xfId="26691" xr:uid="{00000000-0005-0000-0000-000043680000}"/>
    <cellStyle name="Normal 2 3 2 26 2 8" xfId="26692" xr:uid="{00000000-0005-0000-0000-000044680000}"/>
    <cellStyle name="Normal 2 3 2 26 2 9" xfId="26693" xr:uid="{00000000-0005-0000-0000-000045680000}"/>
    <cellStyle name="Normal 2 3 2 26 3" xfId="26694" xr:uid="{00000000-0005-0000-0000-000046680000}"/>
    <cellStyle name="Normal 2 3 2 26 3 10" xfId="26695" xr:uid="{00000000-0005-0000-0000-000047680000}"/>
    <cellStyle name="Normal 2 3 2 26 3 2" xfId="26696" xr:uid="{00000000-0005-0000-0000-000048680000}"/>
    <cellStyle name="Normal 2 3 2 26 3 3" xfId="26697" xr:uid="{00000000-0005-0000-0000-000049680000}"/>
    <cellStyle name="Normal 2 3 2 26 3 4" xfId="26698" xr:uid="{00000000-0005-0000-0000-00004A680000}"/>
    <cellStyle name="Normal 2 3 2 26 3 5" xfId="26699" xr:uid="{00000000-0005-0000-0000-00004B680000}"/>
    <cellStyle name="Normal 2 3 2 26 3 6" xfId="26700" xr:uid="{00000000-0005-0000-0000-00004C680000}"/>
    <cellStyle name="Normal 2 3 2 26 3 7" xfId="26701" xr:uid="{00000000-0005-0000-0000-00004D680000}"/>
    <cellStyle name="Normal 2 3 2 26 3 8" xfId="26702" xr:uid="{00000000-0005-0000-0000-00004E680000}"/>
    <cellStyle name="Normal 2 3 2 26 3 9" xfId="26703" xr:uid="{00000000-0005-0000-0000-00004F680000}"/>
    <cellStyle name="Normal 2 3 2 26 4" xfId="26704" xr:uid="{00000000-0005-0000-0000-000050680000}"/>
    <cellStyle name="Normal 2 3 2 26 4 10" xfId="26705" xr:uid="{00000000-0005-0000-0000-000051680000}"/>
    <cellStyle name="Normal 2 3 2 26 4 2" xfId="26706" xr:uid="{00000000-0005-0000-0000-000052680000}"/>
    <cellStyle name="Normal 2 3 2 26 4 3" xfId="26707" xr:uid="{00000000-0005-0000-0000-000053680000}"/>
    <cellStyle name="Normal 2 3 2 26 4 4" xfId="26708" xr:uid="{00000000-0005-0000-0000-000054680000}"/>
    <cellStyle name="Normal 2 3 2 26 4 5" xfId="26709" xr:uid="{00000000-0005-0000-0000-000055680000}"/>
    <cellStyle name="Normal 2 3 2 26 4 6" xfId="26710" xr:uid="{00000000-0005-0000-0000-000056680000}"/>
    <cellStyle name="Normal 2 3 2 26 4 7" xfId="26711" xr:uid="{00000000-0005-0000-0000-000057680000}"/>
    <cellStyle name="Normal 2 3 2 26 4 8" xfId="26712" xr:uid="{00000000-0005-0000-0000-000058680000}"/>
    <cellStyle name="Normal 2 3 2 26 4 9" xfId="26713" xr:uid="{00000000-0005-0000-0000-000059680000}"/>
    <cellStyle name="Normal 2 3 2 26 5" xfId="26714" xr:uid="{00000000-0005-0000-0000-00005A680000}"/>
    <cellStyle name="Normal 2 3 2 26 5 10" xfId="26715" xr:uid="{00000000-0005-0000-0000-00005B680000}"/>
    <cellStyle name="Normal 2 3 2 26 5 2" xfId="26716" xr:uid="{00000000-0005-0000-0000-00005C680000}"/>
    <cellStyle name="Normal 2 3 2 26 5 3" xfId="26717" xr:uid="{00000000-0005-0000-0000-00005D680000}"/>
    <cellStyle name="Normal 2 3 2 26 5 4" xfId="26718" xr:uid="{00000000-0005-0000-0000-00005E680000}"/>
    <cellStyle name="Normal 2 3 2 26 5 5" xfId="26719" xr:uid="{00000000-0005-0000-0000-00005F680000}"/>
    <cellStyle name="Normal 2 3 2 26 5 6" xfId="26720" xr:uid="{00000000-0005-0000-0000-000060680000}"/>
    <cellStyle name="Normal 2 3 2 26 5 7" xfId="26721" xr:uid="{00000000-0005-0000-0000-000061680000}"/>
    <cellStyle name="Normal 2 3 2 26 5 8" xfId="26722" xr:uid="{00000000-0005-0000-0000-000062680000}"/>
    <cellStyle name="Normal 2 3 2 26 5 9" xfId="26723" xr:uid="{00000000-0005-0000-0000-000063680000}"/>
    <cellStyle name="Normal 2 3 2 26 6" xfId="26724" xr:uid="{00000000-0005-0000-0000-000064680000}"/>
    <cellStyle name="Normal 2 3 2 26 7" xfId="26725" xr:uid="{00000000-0005-0000-0000-000065680000}"/>
    <cellStyle name="Normal 2 3 2 26 8" xfId="26726" xr:uid="{00000000-0005-0000-0000-000066680000}"/>
    <cellStyle name="Normal 2 3 2 26 9" xfId="26727" xr:uid="{00000000-0005-0000-0000-000067680000}"/>
    <cellStyle name="Normal 2 3 2 27" xfId="26728" xr:uid="{00000000-0005-0000-0000-000068680000}"/>
    <cellStyle name="Normal 2 3 2 27 10" xfId="26729" xr:uid="{00000000-0005-0000-0000-000069680000}"/>
    <cellStyle name="Normal 2 3 2 27 11" xfId="26730" xr:uid="{00000000-0005-0000-0000-00006A680000}"/>
    <cellStyle name="Normal 2 3 2 27 12" xfId="26731" xr:uid="{00000000-0005-0000-0000-00006B680000}"/>
    <cellStyle name="Normal 2 3 2 27 13" xfId="26732" xr:uid="{00000000-0005-0000-0000-00006C680000}"/>
    <cellStyle name="Normal 2 3 2 27 14" xfId="26733" xr:uid="{00000000-0005-0000-0000-00006D680000}"/>
    <cellStyle name="Normal 2 3 2 27 2" xfId="26734" xr:uid="{00000000-0005-0000-0000-00006E680000}"/>
    <cellStyle name="Normal 2 3 2 27 2 10" xfId="26735" xr:uid="{00000000-0005-0000-0000-00006F680000}"/>
    <cellStyle name="Normal 2 3 2 27 2 2" xfId="26736" xr:uid="{00000000-0005-0000-0000-000070680000}"/>
    <cellStyle name="Normal 2 3 2 27 2 3" xfId="26737" xr:uid="{00000000-0005-0000-0000-000071680000}"/>
    <cellStyle name="Normal 2 3 2 27 2 4" xfId="26738" xr:uid="{00000000-0005-0000-0000-000072680000}"/>
    <cellStyle name="Normal 2 3 2 27 2 5" xfId="26739" xr:uid="{00000000-0005-0000-0000-000073680000}"/>
    <cellStyle name="Normal 2 3 2 27 2 6" xfId="26740" xr:uid="{00000000-0005-0000-0000-000074680000}"/>
    <cellStyle name="Normal 2 3 2 27 2 7" xfId="26741" xr:uid="{00000000-0005-0000-0000-000075680000}"/>
    <cellStyle name="Normal 2 3 2 27 2 8" xfId="26742" xr:uid="{00000000-0005-0000-0000-000076680000}"/>
    <cellStyle name="Normal 2 3 2 27 2 9" xfId="26743" xr:uid="{00000000-0005-0000-0000-000077680000}"/>
    <cellStyle name="Normal 2 3 2 27 3" xfId="26744" xr:uid="{00000000-0005-0000-0000-000078680000}"/>
    <cellStyle name="Normal 2 3 2 27 3 10" xfId="26745" xr:uid="{00000000-0005-0000-0000-000079680000}"/>
    <cellStyle name="Normal 2 3 2 27 3 2" xfId="26746" xr:uid="{00000000-0005-0000-0000-00007A680000}"/>
    <cellStyle name="Normal 2 3 2 27 3 3" xfId="26747" xr:uid="{00000000-0005-0000-0000-00007B680000}"/>
    <cellStyle name="Normal 2 3 2 27 3 4" xfId="26748" xr:uid="{00000000-0005-0000-0000-00007C680000}"/>
    <cellStyle name="Normal 2 3 2 27 3 5" xfId="26749" xr:uid="{00000000-0005-0000-0000-00007D680000}"/>
    <cellStyle name="Normal 2 3 2 27 3 6" xfId="26750" xr:uid="{00000000-0005-0000-0000-00007E680000}"/>
    <cellStyle name="Normal 2 3 2 27 3 7" xfId="26751" xr:uid="{00000000-0005-0000-0000-00007F680000}"/>
    <cellStyle name="Normal 2 3 2 27 3 8" xfId="26752" xr:uid="{00000000-0005-0000-0000-000080680000}"/>
    <cellStyle name="Normal 2 3 2 27 3 9" xfId="26753" xr:uid="{00000000-0005-0000-0000-000081680000}"/>
    <cellStyle name="Normal 2 3 2 27 4" xfId="26754" xr:uid="{00000000-0005-0000-0000-000082680000}"/>
    <cellStyle name="Normal 2 3 2 27 4 10" xfId="26755" xr:uid="{00000000-0005-0000-0000-000083680000}"/>
    <cellStyle name="Normal 2 3 2 27 4 2" xfId="26756" xr:uid="{00000000-0005-0000-0000-000084680000}"/>
    <cellStyle name="Normal 2 3 2 27 4 3" xfId="26757" xr:uid="{00000000-0005-0000-0000-000085680000}"/>
    <cellStyle name="Normal 2 3 2 27 4 4" xfId="26758" xr:uid="{00000000-0005-0000-0000-000086680000}"/>
    <cellStyle name="Normal 2 3 2 27 4 5" xfId="26759" xr:uid="{00000000-0005-0000-0000-000087680000}"/>
    <cellStyle name="Normal 2 3 2 27 4 6" xfId="26760" xr:uid="{00000000-0005-0000-0000-000088680000}"/>
    <cellStyle name="Normal 2 3 2 27 4 7" xfId="26761" xr:uid="{00000000-0005-0000-0000-000089680000}"/>
    <cellStyle name="Normal 2 3 2 27 4 8" xfId="26762" xr:uid="{00000000-0005-0000-0000-00008A680000}"/>
    <cellStyle name="Normal 2 3 2 27 4 9" xfId="26763" xr:uid="{00000000-0005-0000-0000-00008B680000}"/>
    <cellStyle name="Normal 2 3 2 27 5" xfId="26764" xr:uid="{00000000-0005-0000-0000-00008C680000}"/>
    <cellStyle name="Normal 2 3 2 27 5 10" xfId="26765" xr:uid="{00000000-0005-0000-0000-00008D680000}"/>
    <cellStyle name="Normal 2 3 2 27 5 2" xfId="26766" xr:uid="{00000000-0005-0000-0000-00008E680000}"/>
    <cellStyle name="Normal 2 3 2 27 5 3" xfId="26767" xr:uid="{00000000-0005-0000-0000-00008F680000}"/>
    <cellStyle name="Normal 2 3 2 27 5 4" xfId="26768" xr:uid="{00000000-0005-0000-0000-000090680000}"/>
    <cellStyle name="Normal 2 3 2 27 5 5" xfId="26769" xr:uid="{00000000-0005-0000-0000-000091680000}"/>
    <cellStyle name="Normal 2 3 2 27 5 6" xfId="26770" xr:uid="{00000000-0005-0000-0000-000092680000}"/>
    <cellStyle name="Normal 2 3 2 27 5 7" xfId="26771" xr:uid="{00000000-0005-0000-0000-000093680000}"/>
    <cellStyle name="Normal 2 3 2 27 5 8" xfId="26772" xr:uid="{00000000-0005-0000-0000-000094680000}"/>
    <cellStyle name="Normal 2 3 2 27 5 9" xfId="26773" xr:uid="{00000000-0005-0000-0000-000095680000}"/>
    <cellStyle name="Normal 2 3 2 27 6" xfId="26774" xr:uid="{00000000-0005-0000-0000-000096680000}"/>
    <cellStyle name="Normal 2 3 2 27 7" xfId="26775" xr:uid="{00000000-0005-0000-0000-000097680000}"/>
    <cellStyle name="Normal 2 3 2 27 8" xfId="26776" xr:uid="{00000000-0005-0000-0000-000098680000}"/>
    <cellStyle name="Normal 2 3 2 27 9" xfId="26777" xr:uid="{00000000-0005-0000-0000-000099680000}"/>
    <cellStyle name="Normal 2 3 2 28" xfId="26778" xr:uid="{00000000-0005-0000-0000-00009A680000}"/>
    <cellStyle name="Normal 2 3 2 28 10" xfId="26779" xr:uid="{00000000-0005-0000-0000-00009B680000}"/>
    <cellStyle name="Normal 2 3 2 28 11" xfId="26780" xr:uid="{00000000-0005-0000-0000-00009C680000}"/>
    <cellStyle name="Normal 2 3 2 28 12" xfId="26781" xr:uid="{00000000-0005-0000-0000-00009D680000}"/>
    <cellStyle name="Normal 2 3 2 28 13" xfId="26782" xr:uid="{00000000-0005-0000-0000-00009E680000}"/>
    <cellStyle name="Normal 2 3 2 28 14" xfId="26783" xr:uid="{00000000-0005-0000-0000-00009F680000}"/>
    <cellStyle name="Normal 2 3 2 28 2" xfId="26784" xr:uid="{00000000-0005-0000-0000-0000A0680000}"/>
    <cellStyle name="Normal 2 3 2 28 2 10" xfId="26785" xr:uid="{00000000-0005-0000-0000-0000A1680000}"/>
    <cellStyle name="Normal 2 3 2 28 2 2" xfId="26786" xr:uid="{00000000-0005-0000-0000-0000A2680000}"/>
    <cellStyle name="Normal 2 3 2 28 2 3" xfId="26787" xr:uid="{00000000-0005-0000-0000-0000A3680000}"/>
    <cellStyle name="Normal 2 3 2 28 2 4" xfId="26788" xr:uid="{00000000-0005-0000-0000-0000A4680000}"/>
    <cellStyle name="Normal 2 3 2 28 2 5" xfId="26789" xr:uid="{00000000-0005-0000-0000-0000A5680000}"/>
    <cellStyle name="Normal 2 3 2 28 2 6" xfId="26790" xr:uid="{00000000-0005-0000-0000-0000A6680000}"/>
    <cellStyle name="Normal 2 3 2 28 2 7" xfId="26791" xr:uid="{00000000-0005-0000-0000-0000A7680000}"/>
    <cellStyle name="Normal 2 3 2 28 2 8" xfId="26792" xr:uid="{00000000-0005-0000-0000-0000A8680000}"/>
    <cellStyle name="Normal 2 3 2 28 2 9" xfId="26793" xr:uid="{00000000-0005-0000-0000-0000A9680000}"/>
    <cellStyle name="Normal 2 3 2 28 3" xfId="26794" xr:uid="{00000000-0005-0000-0000-0000AA680000}"/>
    <cellStyle name="Normal 2 3 2 28 3 10" xfId="26795" xr:uid="{00000000-0005-0000-0000-0000AB680000}"/>
    <cellStyle name="Normal 2 3 2 28 3 2" xfId="26796" xr:uid="{00000000-0005-0000-0000-0000AC680000}"/>
    <cellStyle name="Normal 2 3 2 28 3 3" xfId="26797" xr:uid="{00000000-0005-0000-0000-0000AD680000}"/>
    <cellStyle name="Normal 2 3 2 28 3 4" xfId="26798" xr:uid="{00000000-0005-0000-0000-0000AE680000}"/>
    <cellStyle name="Normal 2 3 2 28 3 5" xfId="26799" xr:uid="{00000000-0005-0000-0000-0000AF680000}"/>
    <cellStyle name="Normal 2 3 2 28 3 6" xfId="26800" xr:uid="{00000000-0005-0000-0000-0000B0680000}"/>
    <cellStyle name="Normal 2 3 2 28 3 7" xfId="26801" xr:uid="{00000000-0005-0000-0000-0000B1680000}"/>
    <cellStyle name="Normal 2 3 2 28 3 8" xfId="26802" xr:uid="{00000000-0005-0000-0000-0000B2680000}"/>
    <cellStyle name="Normal 2 3 2 28 3 9" xfId="26803" xr:uid="{00000000-0005-0000-0000-0000B3680000}"/>
    <cellStyle name="Normal 2 3 2 28 4" xfId="26804" xr:uid="{00000000-0005-0000-0000-0000B4680000}"/>
    <cellStyle name="Normal 2 3 2 28 4 10" xfId="26805" xr:uid="{00000000-0005-0000-0000-0000B5680000}"/>
    <cellStyle name="Normal 2 3 2 28 4 2" xfId="26806" xr:uid="{00000000-0005-0000-0000-0000B6680000}"/>
    <cellStyle name="Normal 2 3 2 28 4 3" xfId="26807" xr:uid="{00000000-0005-0000-0000-0000B7680000}"/>
    <cellStyle name="Normal 2 3 2 28 4 4" xfId="26808" xr:uid="{00000000-0005-0000-0000-0000B8680000}"/>
    <cellStyle name="Normal 2 3 2 28 4 5" xfId="26809" xr:uid="{00000000-0005-0000-0000-0000B9680000}"/>
    <cellStyle name="Normal 2 3 2 28 4 6" xfId="26810" xr:uid="{00000000-0005-0000-0000-0000BA680000}"/>
    <cellStyle name="Normal 2 3 2 28 4 7" xfId="26811" xr:uid="{00000000-0005-0000-0000-0000BB680000}"/>
    <cellStyle name="Normal 2 3 2 28 4 8" xfId="26812" xr:uid="{00000000-0005-0000-0000-0000BC680000}"/>
    <cellStyle name="Normal 2 3 2 28 4 9" xfId="26813" xr:uid="{00000000-0005-0000-0000-0000BD680000}"/>
    <cellStyle name="Normal 2 3 2 28 5" xfId="26814" xr:uid="{00000000-0005-0000-0000-0000BE680000}"/>
    <cellStyle name="Normal 2 3 2 28 5 10" xfId="26815" xr:uid="{00000000-0005-0000-0000-0000BF680000}"/>
    <cellStyle name="Normal 2 3 2 28 5 2" xfId="26816" xr:uid="{00000000-0005-0000-0000-0000C0680000}"/>
    <cellStyle name="Normal 2 3 2 28 5 3" xfId="26817" xr:uid="{00000000-0005-0000-0000-0000C1680000}"/>
    <cellStyle name="Normal 2 3 2 28 5 4" xfId="26818" xr:uid="{00000000-0005-0000-0000-0000C2680000}"/>
    <cellStyle name="Normal 2 3 2 28 5 5" xfId="26819" xr:uid="{00000000-0005-0000-0000-0000C3680000}"/>
    <cellStyle name="Normal 2 3 2 28 5 6" xfId="26820" xr:uid="{00000000-0005-0000-0000-0000C4680000}"/>
    <cellStyle name="Normal 2 3 2 28 5 7" xfId="26821" xr:uid="{00000000-0005-0000-0000-0000C5680000}"/>
    <cellStyle name="Normal 2 3 2 28 5 8" xfId="26822" xr:uid="{00000000-0005-0000-0000-0000C6680000}"/>
    <cellStyle name="Normal 2 3 2 28 5 9" xfId="26823" xr:uid="{00000000-0005-0000-0000-0000C7680000}"/>
    <cellStyle name="Normal 2 3 2 28 6" xfId="26824" xr:uid="{00000000-0005-0000-0000-0000C8680000}"/>
    <cellStyle name="Normal 2 3 2 28 7" xfId="26825" xr:uid="{00000000-0005-0000-0000-0000C9680000}"/>
    <cellStyle name="Normal 2 3 2 28 8" xfId="26826" xr:uid="{00000000-0005-0000-0000-0000CA680000}"/>
    <cellStyle name="Normal 2 3 2 28 9" xfId="26827" xr:uid="{00000000-0005-0000-0000-0000CB680000}"/>
    <cellStyle name="Normal 2 3 2 29" xfId="26828" xr:uid="{00000000-0005-0000-0000-0000CC680000}"/>
    <cellStyle name="Normal 2 3 2 29 10" xfId="26829" xr:uid="{00000000-0005-0000-0000-0000CD680000}"/>
    <cellStyle name="Normal 2 3 2 29 11" xfId="26830" xr:uid="{00000000-0005-0000-0000-0000CE680000}"/>
    <cellStyle name="Normal 2 3 2 29 12" xfId="26831" xr:uid="{00000000-0005-0000-0000-0000CF680000}"/>
    <cellStyle name="Normal 2 3 2 29 13" xfId="26832" xr:uid="{00000000-0005-0000-0000-0000D0680000}"/>
    <cellStyle name="Normal 2 3 2 29 14" xfId="26833" xr:uid="{00000000-0005-0000-0000-0000D1680000}"/>
    <cellStyle name="Normal 2 3 2 29 2" xfId="26834" xr:uid="{00000000-0005-0000-0000-0000D2680000}"/>
    <cellStyle name="Normal 2 3 2 29 2 10" xfId="26835" xr:uid="{00000000-0005-0000-0000-0000D3680000}"/>
    <cellStyle name="Normal 2 3 2 29 2 2" xfId="26836" xr:uid="{00000000-0005-0000-0000-0000D4680000}"/>
    <cellStyle name="Normal 2 3 2 29 2 3" xfId="26837" xr:uid="{00000000-0005-0000-0000-0000D5680000}"/>
    <cellStyle name="Normal 2 3 2 29 2 4" xfId="26838" xr:uid="{00000000-0005-0000-0000-0000D6680000}"/>
    <cellStyle name="Normal 2 3 2 29 2 5" xfId="26839" xr:uid="{00000000-0005-0000-0000-0000D7680000}"/>
    <cellStyle name="Normal 2 3 2 29 2 6" xfId="26840" xr:uid="{00000000-0005-0000-0000-0000D8680000}"/>
    <cellStyle name="Normal 2 3 2 29 2 7" xfId="26841" xr:uid="{00000000-0005-0000-0000-0000D9680000}"/>
    <cellStyle name="Normal 2 3 2 29 2 8" xfId="26842" xr:uid="{00000000-0005-0000-0000-0000DA680000}"/>
    <cellStyle name="Normal 2 3 2 29 2 9" xfId="26843" xr:uid="{00000000-0005-0000-0000-0000DB680000}"/>
    <cellStyle name="Normal 2 3 2 29 3" xfId="26844" xr:uid="{00000000-0005-0000-0000-0000DC680000}"/>
    <cellStyle name="Normal 2 3 2 29 3 10" xfId="26845" xr:uid="{00000000-0005-0000-0000-0000DD680000}"/>
    <cellStyle name="Normal 2 3 2 29 3 2" xfId="26846" xr:uid="{00000000-0005-0000-0000-0000DE680000}"/>
    <cellStyle name="Normal 2 3 2 29 3 3" xfId="26847" xr:uid="{00000000-0005-0000-0000-0000DF680000}"/>
    <cellStyle name="Normal 2 3 2 29 3 4" xfId="26848" xr:uid="{00000000-0005-0000-0000-0000E0680000}"/>
    <cellStyle name="Normal 2 3 2 29 3 5" xfId="26849" xr:uid="{00000000-0005-0000-0000-0000E1680000}"/>
    <cellStyle name="Normal 2 3 2 29 3 6" xfId="26850" xr:uid="{00000000-0005-0000-0000-0000E2680000}"/>
    <cellStyle name="Normal 2 3 2 29 3 7" xfId="26851" xr:uid="{00000000-0005-0000-0000-0000E3680000}"/>
    <cellStyle name="Normal 2 3 2 29 3 8" xfId="26852" xr:uid="{00000000-0005-0000-0000-0000E4680000}"/>
    <cellStyle name="Normal 2 3 2 29 3 9" xfId="26853" xr:uid="{00000000-0005-0000-0000-0000E5680000}"/>
    <cellStyle name="Normal 2 3 2 29 4" xfId="26854" xr:uid="{00000000-0005-0000-0000-0000E6680000}"/>
    <cellStyle name="Normal 2 3 2 29 4 10" xfId="26855" xr:uid="{00000000-0005-0000-0000-0000E7680000}"/>
    <cellStyle name="Normal 2 3 2 29 4 2" xfId="26856" xr:uid="{00000000-0005-0000-0000-0000E8680000}"/>
    <cellStyle name="Normal 2 3 2 29 4 3" xfId="26857" xr:uid="{00000000-0005-0000-0000-0000E9680000}"/>
    <cellStyle name="Normal 2 3 2 29 4 4" xfId="26858" xr:uid="{00000000-0005-0000-0000-0000EA680000}"/>
    <cellStyle name="Normal 2 3 2 29 4 5" xfId="26859" xr:uid="{00000000-0005-0000-0000-0000EB680000}"/>
    <cellStyle name="Normal 2 3 2 29 4 6" xfId="26860" xr:uid="{00000000-0005-0000-0000-0000EC680000}"/>
    <cellStyle name="Normal 2 3 2 29 4 7" xfId="26861" xr:uid="{00000000-0005-0000-0000-0000ED680000}"/>
    <cellStyle name="Normal 2 3 2 29 4 8" xfId="26862" xr:uid="{00000000-0005-0000-0000-0000EE680000}"/>
    <cellStyle name="Normal 2 3 2 29 4 9" xfId="26863" xr:uid="{00000000-0005-0000-0000-0000EF680000}"/>
    <cellStyle name="Normal 2 3 2 29 5" xfId="26864" xr:uid="{00000000-0005-0000-0000-0000F0680000}"/>
    <cellStyle name="Normal 2 3 2 29 5 10" xfId="26865" xr:uid="{00000000-0005-0000-0000-0000F1680000}"/>
    <cellStyle name="Normal 2 3 2 29 5 2" xfId="26866" xr:uid="{00000000-0005-0000-0000-0000F2680000}"/>
    <cellStyle name="Normal 2 3 2 29 5 3" xfId="26867" xr:uid="{00000000-0005-0000-0000-0000F3680000}"/>
    <cellStyle name="Normal 2 3 2 29 5 4" xfId="26868" xr:uid="{00000000-0005-0000-0000-0000F4680000}"/>
    <cellStyle name="Normal 2 3 2 29 5 5" xfId="26869" xr:uid="{00000000-0005-0000-0000-0000F5680000}"/>
    <cellStyle name="Normal 2 3 2 29 5 6" xfId="26870" xr:uid="{00000000-0005-0000-0000-0000F6680000}"/>
    <cellStyle name="Normal 2 3 2 29 5 7" xfId="26871" xr:uid="{00000000-0005-0000-0000-0000F7680000}"/>
    <cellStyle name="Normal 2 3 2 29 5 8" xfId="26872" xr:uid="{00000000-0005-0000-0000-0000F8680000}"/>
    <cellStyle name="Normal 2 3 2 29 5 9" xfId="26873" xr:uid="{00000000-0005-0000-0000-0000F9680000}"/>
    <cellStyle name="Normal 2 3 2 29 6" xfId="26874" xr:uid="{00000000-0005-0000-0000-0000FA680000}"/>
    <cellStyle name="Normal 2 3 2 29 7" xfId="26875" xr:uid="{00000000-0005-0000-0000-0000FB680000}"/>
    <cellStyle name="Normal 2 3 2 29 8" xfId="26876" xr:uid="{00000000-0005-0000-0000-0000FC680000}"/>
    <cellStyle name="Normal 2 3 2 29 9" xfId="26877" xr:uid="{00000000-0005-0000-0000-0000FD680000}"/>
    <cellStyle name="Normal 2 3 2 3" xfId="26878" xr:uid="{00000000-0005-0000-0000-0000FE680000}"/>
    <cellStyle name="Normal 2 3 2 3 10" xfId="26879" xr:uid="{00000000-0005-0000-0000-0000FF680000}"/>
    <cellStyle name="Normal 2 3 2 3 11" xfId="26880" xr:uid="{00000000-0005-0000-0000-000000690000}"/>
    <cellStyle name="Normal 2 3 2 3 12" xfId="26881" xr:uid="{00000000-0005-0000-0000-000001690000}"/>
    <cellStyle name="Normal 2 3 2 3 13" xfId="26882" xr:uid="{00000000-0005-0000-0000-000002690000}"/>
    <cellStyle name="Normal 2 3 2 3 14" xfId="26883" xr:uid="{00000000-0005-0000-0000-000003690000}"/>
    <cellStyle name="Normal 2 3 2 3 15" xfId="26884" xr:uid="{00000000-0005-0000-0000-000004690000}"/>
    <cellStyle name="Normal 2 3 2 3 16" xfId="26885" xr:uid="{00000000-0005-0000-0000-000005690000}"/>
    <cellStyle name="Normal 2 3 2 3 2" xfId="26886" xr:uid="{00000000-0005-0000-0000-000006690000}"/>
    <cellStyle name="Normal 2 3 2 3 2 10" xfId="26887" xr:uid="{00000000-0005-0000-0000-000007690000}"/>
    <cellStyle name="Normal 2 3 2 3 2 2" xfId="26888" xr:uid="{00000000-0005-0000-0000-000008690000}"/>
    <cellStyle name="Normal 2 3 2 3 2 3" xfId="26889" xr:uid="{00000000-0005-0000-0000-000009690000}"/>
    <cellStyle name="Normal 2 3 2 3 2 4" xfId="26890" xr:uid="{00000000-0005-0000-0000-00000A690000}"/>
    <cellStyle name="Normal 2 3 2 3 2 5" xfId="26891" xr:uid="{00000000-0005-0000-0000-00000B690000}"/>
    <cellStyle name="Normal 2 3 2 3 2 6" xfId="26892" xr:uid="{00000000-0005-0000-0000-00000C690000}"/>
    <cellStyle name="Normal 2 3 2 3 2 7" xfId="26893" xr:uid="{00000000-0005-0000-0000-00000D690000}"/>
    <cellStyle name="Normal 2 3 2 3 2 8" xfId="26894" xr:uid="{00000000-0005-0000-0000-00000E690000}"/>
    <cellStyle name="Normal 2 3 2 3 2 9" xfId="26895" xr:uid="{00000000-0005-0000-0000-00000F690000}"/>
    <cellStyle name="Normal 2 3 2 3 3" xfId="26896" xr:uid="{00000000-0005-0000-0000-000010690000}"/>
    <cellStyle name="Normal 2 3 2 3 3 10" xfId="26897" xr:uid="{00000000-0005-0000-0000-000011690000}"/>
    <cellStyle name="Normal 2 3 2 3 3 2" xfId="26898" xr:uid="{00000000-0005-0000-0000-000012690000}"/>
    <cellStyle name="Normal 2 3 2 3 3 3" xfId="26899" xr:uid="{00000000-0005-0000-0000-000013690000}"/>
    <cellStyle name="Normal 2 3 2 3 3 4" xfId="26900" xr:uid="{00000000-0005-0000-0000-000014690000}"/>
    <cellStyle name="Normal 2 3 2 3 3 5" xfId="26901" xr:uid="{00000000-0005-0000-0000-000015690000}"/>
    <cellStyle name="Normal 2 3 2 3 3 6" xfId="26902" xr:uid="{00000000-0005-0000-0000-000016690000}"/>
    <cellStyle name="Normal 2 3 2 3 3 7" xfId="26903" xr:uid="{00000000-0005-0000-0000-000017690000}"/>
    <cellStyle name="Normal 2 3 2 3 3 8" xfId="26904" xr:uid="{00000000-0005-0000-0000-000018690000}"/>
    <cellStyle name="Normal 2 3 2 3 3 9" xfId="26905" xr:uid="{00000000-0005-0000-0000-000019690000}"/>
    <cellStyle name="Normal 2 3 2 3 4" xfId="26906" xr:uid="{00000000-0005-0000-0000-00001A690000}"/>
    <cellStyle name="Normal 2 3 2 3 4 10" xfId="26907" xr:uid="{00000000-0005-0000-0000-00001B690000}"/>
    <cellStyle name="Normal 2 3 2 3 4 2" xfId="26908" xr:uid="{00000000-0005-0000-0000-00001C690000}"/>
    <cellStyle name="Normal 2 3 2 3 4 3" xfId="26909" xr:uid="{00000000-0005-0000-0000-00001D690000}"/>
    <cellStyle name="Normal 2 3 2 3 4 4" xfId="26910" xr:uid="{00000000-0005-0000-0000-00001E690000}"/>
    <cellStyle name="Normal 2 3 2 3 4 5" xfId="26911" xr:uid="{00000000-0005-0000-0000-00001F690000}"/>
    <cellStyle name="Normal 2 3 2 3 4 6" xfId="26912" xr:uid="{00000000-0005-0000-0000-000020690000}"/>
    <cellStyle name="Normal 2 3 2 3 4 7" xfId="26913" xr:uid="{00000000-0005-0000-0000-000021690000}"/>
    <cellStyle name="Normal 2 3 2 3 4 8" xfId="26914" xr:uid="{00000000-0005-0000-0000-000022690000}"/>
    <cellStyle name="Normal 2 3 2 3 4 9" xfId="26915" xr:uid="{00000000-0005-0000-0000-000023690000}"/>
    <cellStyle name="Normal 2 3 2 3 5" xfId="26916" xr:uid="{00000000-0005-0000-0000-000024690000}"/>
    <cellStyle name="Normal 2 3 2 3 5 10" xfId="26917" xr:uid="{00000000-0005-0000-0000-000025690000}"/>
    <cellStyle name="Normal 2 3 2 3 5 2" xfId="26918" xr:uid="{00000000-0005-0000-0000-000026690000}"/>
    <cellStyle name="Normal 2 3 2 3 5 3" xfId="26919" xr:uid="{00000000-0005-0000-0000-000027690000}"/>
    <cellStyle name="Normal 2 3 2 3 5 4" xfId="26920" xr:uid="{00000000-0005-0000-0000-000028690000}"/>
    <cellStyle name="Normal 2 3 2 3 5 5" xfId="26921" xr:uid="{00000000-0005-0000-0000-000029690000}"/>
    <cellStyle name="Normal 2 3 2 3 5 6" xfId="26922" xr:uid="{00000000-0005-0000-0000-00002A690000}"/>
    <cellStyle name="Normal 2 3 2 3 5 7" xfId="26923" xr:uid="{00000000-0005-0000-0000-00002B690000}"/>
    <cellStyle name="Normal 2 3 2 3 5 8" xfId="26924" xr:uid="{00000000-0005-0000-0000-00002C690000}"/>
    <cellStyle name="Normal 2 3 2 3 5 9" xfId="26925" xr:uid="{00000000-0005-0000-0000-00002D690000}"/>
    <cellStyle name="Normal 2 3 2 3 6" xfId="26926" xr:uid="{00000000-0005-0000-0000-00002E690000}"/>
    <cellStyle name="Normal 2 3 2 3 7" xfId="26927" xr:uid="{00000000-0005-0000-0000-00002F690000}"/>
    <cellStyle name="Normal 2 3 2 3 8" xfId="26928" xr:uid="{00000000-0005-0000-0000-000030690000}"/>
    <cellStyle name="Normal 2 3 2 3 9" xfId="26929" xr:uid="{00000000-0005-0000-0000-000031690000}"/>
    <cellStyle name="Normal 2 3 2 30" xfId="26930" xr:uid="{00000000-0005-0000-0000-000032690000}"/>
    <cellStyle name="Normal 2 3 2 30 10" xfId="26931" xr:uid="{00000000-0005-0000-0000-000033690000}"/>
    <cellStyle name="Normal 2 3 2 30 11" xfId="26932" xr:uid="{00000000-0005-0000-0000-000034690000}"/>
    <cellStyle name="Normal 2 3 2 30 12" xfId="26933" xr:uid="{00000000-0005-0000-0000-000035690000}"/>
    <cellStyle name="Normal 2 3 2 30 13" xfId="26934" xr:uid="{00000000-0005-0000-0000-000036690000}"/>
    <cellStyle name="Normal 2 3 2 30 14" xfId="26935" xr:uid="{00000000-0005-0000-0000-000037690000}"/>
    <cellStyle name="Normal 2 3 2 30 2" xfId="26936" xr:uid="{00000000-0005-0000-0000-000038690000}"/>
    <cellStyle name="Normal 2 3 2 30 2 10" xfId="26937" xr:uid="{00000000-0005-0000-0000-000039690000}"/>
    <cellStyle name="Normal 2 3 2 30 2 2" xfId="26938" xr:uid="{00000000-0005-0000-0000-00003A690000}"/>
    <cellStyle name="Normal 2 3 2 30 2 3" xfId="26939" xr:uid="{00000000-0005-0000-0000-00003B690000}"/>
    <cellStyle name="Normal 2 3 2 30 2 4" xfId="26940" xr:uid="{00000000-0005-0000-0000-00003C690000}"/>
    <cellStyle name="Normal 2 3 2 30 2 5" xfId="26941" xr:uid="{00000000-0005-0000-0000-00003D690000}"/>
    <cellStyle name="Normal 2 3 2 30 2 6" xfId="26942" xr:uid="{00000000-0005-0000-0000-00003E690000}"/>
    <cellStyle name="Normal 2 3 2 30 2 7" xfId="26943" xr:uid="{00000000-0005-0000-0000-00003F690000}"/>
    <cellStyle name="Normal 2 3 2 30 2 8" xfId="26944" xr:uid="{00000000-0005-0000-0000-000040690000}"/>
    <cellStyle name="Normal 2 3 2 30 2 9" xfId="26945" xr:uid="{00000000-0005-0000-0000-000041690000}"/>
    <cellStyle name="Normal 2 3 2 30 3" xfId="26946" xr:uid="{00000000-0005-0000-0000-000042690000}"/>
    <cellStyle name="Normal 2 3 2 30 3 10" xfId="26947" xr:uid="{00000000-0005-0000-0000-000043690000}"/>
    <cellStyle name="Normal 2 3 2 30 3 2" xfId="26948" xr:uid="{00000000-0005-0000-0000-000044690000}"/>
    <cellStyle name="Normal 2 3 2 30 3 3" xfId="26949" xr:uid="{00000000-0005-0000-0000-000045690000}"/>
    <cellStyle name="Normal 2 3 2 30 3 4" xfId="26950" xr:uid="{00000000-0005-0000-0000-000046690000}"/>
    <cellStyle name="Normal 2 3 2 30 3 5" xfId="26951" xr:uid="{00000000-0005-0000-0000-000047690000}"/>
    <cellStyle name="Normal 2 3 2 30 3 6" xfId="26952" xr:uid="{00000000-0005-0000-0000-000048690000}"/>
    <cellStyle name="Normal 2 3 2 30 3 7" xfId="26953" xr:uid="{00000000-0005-0000-0000-000049690000}"/>
    <cellStyle name="Normal 2 3 2 30 3 8" xfId="26954" xr:uid="{00000000-0005-0000-0000-00004A690000}"/>
    <cellStyle name="Normal 2 3 2 30 3 9" xfId="26955" xr:uid="{00000000-0005-0000-0000-00004B690000}"/>
    <cellStyle name="Normal 2 3 2 30 4" xfId="26956" xr:uid="{00000000-0005-0000-0000-00004C690000}"/>
    <cellStyle name="Normal 2 3 2 30 4 10" xfId="26957" xr:uid="{00000000-0005-0000-0000-00004D690000}"/>
    <cellStyle name="Normal 2 3 2 30 4 2" xfId="26958" xr:uid="{00000000-0005-0000-0000-00004E690000}"/>
    <cellStyle name="Normal 2 3 2 30 4 3" xfId="26959" xr:uid="{00000000-0005-0000-0000-00004F690000}"/>
    <cellStyle name="Normal 2 3 2 30 4 4" xfId="26960" xr:uid="{00000000-0005-0000-0000-000050690000}"/>
    <cellStyle name="Normal 2 3 2 30 4 5" xfId="26961" xr:uid="{00000000-0005-0000-0000-000051690000}"/>
    <cellStyle name="Normal 2 3 2 30 4 6" xfId="26962" xr:uid="{00000000-0005-0000-0000-000052690000}"/>
    <cellStyle name="Normal 2 3 2 30 4 7" xfId="26963" xr:uid="{00000000-0005-0000-0000-000053690000}"/>
    <cellStyle name="Normal 2 3 2 30 4 8" xfId="26964" xr:uid="{00000000-0005-0000-0000-000054690000}"/>
    <cellStyle name="Normal 2 3 2 30 4 9" xfId="26965" xr:uid="{00000000-0005-0000-0000-000055690000}"/>
    <cellStyle name="Normal 2 3 2 30 5" xfId="26966" xr:uid="{00000000-0005-0000-0000-000056690000}"/>
    <cellStyle name="Normal 2 3 2 30 5 10" xfId="26967" xr:uid="{00000000-0005-0000-0000-000057690000}"/>
    <cellStyle name="Normal 2 3 2 30 5 2" xfId="26968" xr:uid="{00000000-0005-0000-0000-000058690000}"/>
    <cellStyle name="Normal 2 3 2 30 5 3" xfId="26969" xr:uid="{00000000-0005-0000-0000-000059690000}"/>
    <cellStyle name="Normal 2 3 2 30 5 4" xfId="26970" xr:uid="{00000000-0005-0000-0000-00005A690000}"/>
    <cellStyle name="Normal 2 3 2 30 5 5" xfId="26971" xr:uid="{00000000-0005-0000-0000-00005B690000}"/>
    <cellStyle name="Normal 2 3 2 30 5 6" xfId="26972" xr:uid="{00000000-0005-0000-0000-00005C690000}"/>
    <cellStyle name="Normal 2 3 2 30 5 7" xfId="26973" xr:uid="{00000000-0005-0000-0000-00005D690000}"/>
    <cellStyle name="Normal 2 3 2 30 5 8" xfId="26974" xr:uid="{00000000-0005-0000-0000-00005E690000}"/>
    <cellStyle name="Normal 2 3 2 30 5 9" xfId="26975" xr:uid="{00000000-0005-0000-0000-00005F690000}"/>
    <cellStyle name="Normal 2 3 2 30 6" xfId="26976" xr:uid="{00000000-0005-0000-0000-000060690000}"/>
    <cellStyle name="Normal 2 3 2 30 7" xfId="26977" xr:uid="{00000000-0005-0000-0000-000061690000}"/>
    <cellStyle name="Normal 2 3 2 30 8" xfId="26978" xr:uid="{00000000-0005-0000-0000-000062690000}"/>
    <cellStyle name="Normal 2 3 2 30 9" xfId="26979" xr:uid="{00000000-0005-0000-0000-000063690000}"/>
    <cellStyle name="Normal 2 3 2 31" xfId="26980" xr:uid="{00000000-0005-0000-0000-000064690000}"/>
    <cellStyle name="Normal 2 3 2 31 10" xfId="26981" xr:uid="{00000000-0005-0000-0000-000065690000}"/>
    <cellStyle name="Normal 2 3 2 31 11" xfId="26982" xr:uid="{00000000-0005-0000-0000-000066690000}"/>
    <cellStyle name="Normal 2 3 2 31 12" xfId="26983" xr:uid="{00000000-0005-0000-0000-000067690000}"/>
    <cellStyle name="Normal 2 3 2 31 13" xfId="26984" xr:uid="{00000000-0005-0000-0000-000068690000}"/>
    <cellStyle name="Normal 2 3 2 31 14" xfId="26985" xr:uid="{00000000-0005-0000-0000-000069690000}"/>
    <cellStyle name="Normal 2 3 2 31 2" xfId="26986" xr:uid="{00000000-0005-0000-0000-00006A690000}"/>
    <cellStyle name="Normal 2 3 2 31 2 10" xfId="26987" xr:uid="{00000000-0005-0000-0000-00006B690000}"/>
    <cellStyle name="Normal 2 3 2 31 2 2" xfId="26988" xr:uid="{00000000-0005-0000-0000-00006C690000}"/>
    <cellStyle name="Normal 2 3 2 31 2 3" xfId="26989" xr:uid="{00000000-0005-0000-0000-00006D690000}"/>
    <cellStyle name="Normal 2 3 2 31 2 4" xfId="26990" xr:uid="{00000000-0005-0000-0000-00006E690000}"/>
    <cellStyle name="Normal 2 3 2 31 2 5" xfId="26991" xr:uid="{00000000-0005-0000-0000-00006F690000}"/>
    <cellStyle name="Normal 2 3 2 31 2 6" xfId="26992" xr:uid="{00000000-0005-0000-0000-000070690000}"/>
    <cellStyle name="Normal 2 3 2 31 2 7" xfId="26993" xr:uid="{00000000-0005-0000-0000-000071690000}"/>
    <cellStyle name="Normal 2 3 2 31 2 8" xfId="26994" xr:uid="{00000000-0005-0000-0000-000072690000}"/>
    <cellStyle name="Normal 2 3 2 31 2 9" xfId="26995" xr:uid="{00000000-0005-0000-0000-000073690000}"/>
    <cellStyle name="Normal 2 3 2 31 3" xfId="26996" xr:uid="{00000000-0005-0000-0000-000074690000}"/>
    <cellStyle name="Normal 2 3 2 31 3 10" xfId="26997" xr:uid="{00000000-0005-0000-0000-000075690000}"/>
    <cellStyle name="Normal 2 3 2 31 3 2" xfId="26998" xr:uid="{00000000-0005-0000-0000-000076690000}"/>
    <cellStyle name="Normal 2 3 2 31 3 3" xfId="26999" xr:uid="{00000000-0005-0000-0000-000077690000}"/>
    <cellStyle name="Normal 2 3 2 31 3 4" xfId="27000" xr:uid="{00000000-0005-0000-0000-000078690000}"/>
    <cellStyle name="Normal 2 3 2 31 3 5" xfId="27001" xr:uid="{00000000-0005-0000-0000-000079690000}"/>
    <cellStyle name="Normal 2 3 2 31 3 6" xfId="27002" xr:uid="{00000000-0005-0000-0000-00007A690000}"/>
    <cellStyle name="Normal 2 3 2 31 3 7" xfId="27003" xr:uid="{00000000-0005-0000-0000-00007B690000}"/>
    <cellStyle name="Normal 2 3 2 31 3 8" xfId="27004" xr:uid="{00000000-0005-0000-0000-00007C690000}"/>
    <cellStyle name="Normal 2 3 2 31 3 9" xfId="27005" xr:uid="{00000000-0005-0000-0000-00007D690000}"/>
    <cellStyle name="Normal 2 3 2 31 4" xfId="27006" xr:uid="{00000000-0005-0000-0000-00007E690000}"/>
    <cellStyle name="Normal 2 3 2 31 4 10" xfId="27007" xr:uid="{00000000-0005-0000-0000-00007F690000}"/>
    <cellStyle name="Normal 2 3 2 31 4 2" xfId="27008" xr:uid="{00000000-0005-0000-0000-000080690000}"/>
    <cellStyle name="Normal 2 3 2 31 4 3" xfId="27009" xr:uid="{00000000-0005-0000-0000-000081690000}"/>
    <cellStyle name="Normal 2 3 2 31 4 4" xfId="27010" xr:uid="{00000000-0005-0000-0000-000082690000}"/>
    <cellStyle name="Normal 2 3 2 31 4 5" xfId="27011" xr:uid="{00000000-0005-0000-0000-000083690000}"/>
    <cellStyle name="Normal 2 3 2 31 4 6" xfId="27012" xr:uid="{00000000-0005-0000-0000-000084690000}"/>
    <cellStyle name="Normal 2 3 2 31 4 7" xfId="27013" xr:uid="{00000000-0005-0000-0000-000085690000}"/>
    <cellStyle name="Normal 2 3 2 31 4 8" xfId="27014" xr:uid="{00000000-0005-0000-0000-000086690000}"/>
    <cellStyle name="Normal 2 3 2 31 4 9" xfId="27015" xr:uid="{00000000-0005-0000-0000-000087690000}"/>
    <cellStyle name="Normal 2 3 2 31 5" xfId="27016" xr:uid="{00000000-0005-0000-0000-000088690000}"/>
    <cellStyle name="Normal 2 3 2 31 5 10" xfId="27017" xr:uid="{00000000-0005-0000-0000-000089690000}"/>
    <cellStyle name="Normal 2 3 2 31 5 2" xfId="27018" xr:uid="{00000000-0005-0000-0000-00008A690000}"/>
    <cellStyle name="Normal 2 3 2 31 5 3" xfId="27019" xr:uid="{00000000-0005-0000-0000-00008B690000}"/>
    <cellStyle name="Normal 2 3 2 31 5 4" xfId="27020" xr:uid="{00000000-0005-0000-0000-00008C690000}"/>
    <cellStyle name="Normal 2 3 2 31 5 5" xfId="27021" xr:uid="{00000000-0005-0000-0000-00008D690000}"/>
    <cellStyle name="Normal 2 3 2 31 5 6" xfId="27022" xr:uid="{00000000-0005-0000-0000-00008E690000}"/>
    <cellStyle name="Normal 2 3 2 31 5 7" xfId="27023" xr:uid="{00000000-0005-0000-0000-00008F690000}"/>
    <cellStyle name="Normal 2 3 2 31 5 8" xfId="27024" xr:uid="{00000000-0005-0000-0000-000090690000}"/>
    <cellStyle name="Normal 2 3 2 31 5 9" xfId="27025" xr:uid="{00000000-0005-0000-0000-000091690000}"/>
    <cellStyle name="Normal 2 3 2 31 6" xfId="27026" xr:uid="{00000000-0005-0000-0000-000092690000}"/>
    <cellStyle name="Normal 2 3 2 31 7" xfId="27027" xr:uid="{00000000-0005-0000-0000-000093690000}"/>
    <cellStyle name="Normal 2 3 2 31 8" xfId="27028" xr:uid="{00000000-0005-0000-0000-000094690000}"/>
    <cellStyle name="Normal 2 3 2 31 9" xfId="27029" xr:uid="{00000000-0005-0000-0000-000095690000}"/>
    <cellStyle name="Normal 2 3 2 32" xfId="27030" xr:uid="{00000000-0005-0000-0000-000096690000}"/>
    <cellStyle name="Normal 2 3 2 32 10" xfId="27031" xr:uid="{00000000-0005-0000-0000-000097690000}"/>
    <cellStyle name="Normal 2 3 2 32 11" xfId="27032" xr:uid="{00000000-0005-0000-0000-000098690000}"/>
    <cellStyle name="Normal 2 3 2 32 12" xfId="27033" xr:uid="{00000000-0005-0000-0000-000099690000}"/>
    <cellStyle name="Normal 2 3 2 32 13" xfId="27034" xr:uid="{00000000-0005-0000-0000-00009A690000}"/>
    <cellStyle name="Normal 2 3 2 32 14" xfId="27035" xr:uid="{00000000-0005-0000-0000-00009B690000}"/>
    <cellStyle name="Normal 2 3 2 32 2" xfId="27036" xr:uid="{00000000-0005-0000-0000-00009C690000}"/>
    <cellStyle name="Normal 2 3 2 32 2 10" xfId="27037" xr:uid="{00000000-0005-0000-0000-00009D690000}"/>
    <cellStyle name="Normal 2 3 2 32 2 2" xfId="27038" xr:uid="{00000000-0005-0000-0000-00009E690000}"/>
    <cellStyle name="Normal 2 3 2 32 2 3" xfId="27039" xr:uid="{00000000-0005-0000-0000-00009F690000}"/>
    <cellStyle name="Normal 2 3 2 32 2 4" xfId="27040" xr:uid="{00000000-0005-0000-0000-0000A0690000}"/>
    <cellStyle name="Normal 2 3 2 32 2 5" xfId="27041" xr:uid="{00000000-0005-0000-0000-0000A1690000}"/>
    <cellStyle name="Normal 2 3 2 32 2 6" xfId="27042" xr:uid="{00000000-0005-0000-0000-0000A2690000}"/>
    <cellStyle name="Normal 2 3 2 32 2 7" xfId="27043" xr:uid="{00000000-0005-0000-0000-0000A3690000}"/>
    <cellStyle name="Normal 2 3 2 32 2 8" xfId="27044" xr:uid="{00000000-0005-0000-0000-0000A4690000}"/>
    <cellStyle name="Normal 2 3 2 32 2 9" xfId="27045" xr:uid="{00000000-0005-0000-0000-0000A5690000}"/>
    <cellStyle name="Normal 2 3 2 32 3" xfId="27046" xr:uid="{00000000-0005-0000-0000-0000A6690000}"/>
    <cellStyle name="Normal 2 3 2 32 3 10" xfId="27047" xr:uid="{00000000-0005-0000-0000-0000A7690000}"/>
    <cellStyle name="Normal 2 3 2 32 3 2" xfId="27048" xr:uid="{00000000-0005-0000-0000-0000A8690000}"/>
    <cellStyle name="Normal 2 3 2 32 3 3" xfId="27049" xr:uid="{00000000-0005-0000-0000-0000A9690000}"/>
    <cellStyle name="Normal 2 3 2 32 3 4" xfId="27050" xr:uid="{00000000-0005-0000-0000-0000AA690000}"/>
    <cellStyle name="Normal 2 3 2 32 3 5" xfId="27051" xr:uid="{00000000-0005-0000-0000-0000AB690000}"/>
    <cellStyle name="Normal 2 3 2 32 3 6" xfId="27052" xr:uid="{00000000-0005-0000-0000-0000AC690000}"/>
    <cellStyle name="Normal 2 3 2 32 3 7" xfId="27053" xr:uid="{00000000-0005-0000-0000-0000AD690000}"/>
    <cellStyle name="Normal 2 3 2 32 3 8" xfId="27054" xr:uid="{00000000-0005-0000-0000-0000AE690000}"/>
    <cellStyle name="Normal 2 3 2 32 3 9" xfId="27055" xr:uid="{00000000-0005-0000-0000-0000AF690000}"/>
    <cellStyle name="Normal 2 3 2 32 4" xfId="27056" xr:uid="{00000000-0005-0000-0000-0000B0690000}"/>
    <cellStyle name="Normal 2 3 2 32 4 10" xfId="27057" xr:uid="{00000000-0005-0000-0000-0000B1690000}"/>
    <cellStyle name="Normal 2 3 2 32 4 2" xfId="27058" xr:uid="{00000000-0005-0000-0000-0000B2690000}"/>
    <cellStyle name="Normal 2 3 2 32 4 3" xfId="27059" xr:uid="{00000000-0005-0000-0000-0000B3690000}"/>
    <cellStyle name="Normal 2 3 2 32 4 4" xfId="27060" xr:uid="{00000000-0005-0000-0000-0000B4690000}"/>
    <cellStyle name="Normal 2 3 2 32 4 5" xfId="27061" xr:uid="{00000000-0005-0000-0000-0000B5690000}"/>
    <cellStyle name="Normal 2 3 2 32 4 6" xfId="27062" xr:uid="{00000000-0005-0000-0000-0000B6690000}"/>
    <cellStyle name="Normal 2 3 2 32 4 7" xfId="27063" xr:uid="{00000000-0005-0000-0000-0000B7690000}"/>
    <cellStyle name="Normal 2 3 2 32 4 8" xfId="27064" xr:uid="{00000000-0005-0000-0000-0000B8690000}"/>
    <cellStyle name="Normal 2 3 2 32 4 9" xfId="27065" xr:uid="{00000000-0005-0000-0000-0000B9690000}"/>
    <cellStyle name="Normal 2 3 2 32 5" xfId="27066" xr:uid="{00000000-0005-0000-0000-0000BA690000}"/>
    <cellStyle name="Normal 2 3 2 32 5 10" xfId="27067" xr:uid="{00000000-0005-0000-0000-0000BB690000}"/>
    <cellStyle name="Normal 2 3 2 32 5 2" xfId="27068" xr:uid="{00000000-0005-0000-0000-0000BC690000}"/>
    <cellStyle name="Normal 2 3 2 32 5 3" xfId="27069" xr:uid="{00000000-0005-0000-0000-0000BD690000}"/>
    <cellStyle name="Normal 2 3 2 32 5 4" xfId="27070" xr:uid="{00000000-0005-0000-0000-0000BE690000}"/>
    <cellStyle name="Normal 2 3 2 32 5 5" xfId="27071" xr:uid="{00000000-0005-0000-0000-0000BF690000}"/>
    <cellStyle name="Normal 2 3 2 32 5 6" xfId="27072" xr:uid="{00000000-0005-0000-0000-0000C0690000}"/>
    <cellStyle name="Normal 2 3 2 32 5 7" xfId="27073" xr:uid="{00000000-0005-0000-0000-0000C1690000}"/>
    <cellStyle name="Normal 2 3 2 32 5 8" xfId="27074" xr:uid="{00000000-0005-0000-0000-0000C2690000}"/>
    <cellStyle name="Normal 2 3 2 32 5 9" xfId="27075" xr:uid="{00000000-0005-0000-0000-0000C3690000}"/>
    <cellStyle name="Normal 2 3 2 32 6" xfId="27076" xr:uid="{00000000-0005-0000-0000-0000C4690000}"/>
    <cellStyle name="Normal 2 3 2 32 7" xfId="27077" xr:uid="{00000000-0005-0000-0000-0000C5690000}"/>
    <cellStyle name="Normal 2 3 2 32 8" xfId="27078" xr:uid="{00000000-0005-0000-0000-0000C6690000}"/>
    <cellStyle name="Normal 2 3 2 32 9" xfId="27079" xr:uid="{00000000-0005-0000-0000-0000C7690000}"/>
    <cellStyle name="Normal 2 3 2 33" xfId="27080" xr:uid="{00000000-0005-0000-0000-0000C8690000}"/>
    <cellStyle name="Normal 2 3 2 33 10" xfId="27081" xr:uid="{00000000-0005-0000-0000-0000C9690000}"/>
    <cellStyle name="Normal 2 3 2 33 11" xfId="27082" xr:uid="{00000000-0005-0000-0000-0000CA690000}"/>
    <cellStyle name="Normal 2 3 2 33 12" xfId="27083" xr:uid="{00000000-0005-0000-0000-0000CB690000}"/>
    <cellStyle name="Normal 2 3 2 33 13" xfId="27084" xr:uid="{00000000-0005-0000-0000-0000CC690000}"/>
    <cellStyle name="Normal 2 3 2 33 14" xfId="27085" xr:uid="{00000000-0005-0000-0000-0000CD690000}"/>
    <cellStyle name="Normal 2 3 2 33 2" xfId="27086" xr:uid="{00000000-0005-0000-0000-0000CE690000}"/>
    <cellStyle name="Normal 2 3 2 33 2 10" xfId="27087" xr:uid="{00000000-0005-0000-0000-0000CF690000}"/>
    <cellStyle name="Normal 2 3 2 33 2 2" xfId="27088" xr:uid="{00000000-0005-0000-0000-0000D0690000}"/>
    <cellStyle name="Normal 2 3 2 33 2 3" xfId="27089" xr:uid="{00000000-0005-0000-0000-0000D1690000}"/>
    <cellStyle name="Normal 2 3 2 33 2 4" xfId="27090" xr:uid="{00000000-0005-0000-0000-0000D2690000}"/>
    <cellStyle name="Normal 2 3 2 33 2 5" xfId="27091" xr:uid="{00000000-0005-0000-0000-0000D3690000}"/>
    <cellStyle name="Normal 2 3 2 33 2 6" xfId="27092" xr:uid="{00000000-0005-0000-0000-0000D4690000}"/>
    <cellStyle name="Normal 2 3 2 33 2 7" xfId="27093" xr:uid="{00000000-0005-0000-0000-0000D5690000}"/>
    <cellStyle name="Normal 2 3 2 33 2 8" xfId="27094" xr:uid="{00000000-0005-0000-0000-0000D6690000}"/>
    <cellStyle name="Normal 2 3 2 33 2 9" xfId="27095" xr:uid="{00000000-0005-0000-0000-0000D7690000}"/>
    <cellStyle name="Normal 2 3 2 33 3" xfId="27096" xr:uid="{00000000-0005-0000-0000-0000D8690000}"/>
    <cellStyle name="Normal 2 3 2 33 3 10" xfId="27097" xr:uid="{00000000-0005-0000-0000-0000D9690000}"/>
    <cellStyle name="Normal 2 3 2 33 3 2" xfId="27098" xr:uid="{00000000-0005-0000-0000-0000DA690000}"/>
    <cellStyle name="Normal 2 3 2 33 3 3" xfId="27099" xr:uid="{00000000-0005-0000-0000-0000DB690000}"/>
    <cellStyle name="Normal 2 3 2 33 3 4" xfId="27100" xr:uid="{00000000-0005-0000-0000-0000DC690000}"/>
    <cellStyle name="Normal 2 3 2 33 3 5" xfId="27101" xr:uid="{00000000-0005-0000-0000-0000DD690000}"/>
    <cellStyle name="Normal 2 3 2 33 3 6" xfId="27102" xr:uid="{00000000-0005-0000-0000-0000DE690000}"/>
    <cellStyle name="Normal 2 3 2 33 3 7" xfId="27103" xr:uid="{00000000-0005-0000-0000-0000DF690000}"/>
    <cellStyle name="Normal 2 3 2 33 3 8" xfId="27104" xr:uid="{00000000-0005-0000-0000-0000E0690000}"/>
    <cellStyle name="Normal 2 3 2 33 3 9" xfId="27105" xr:uid="{00000000-0005-0000-0000-0000E1690000}"/>
    <cellStyle name="Normal 2 3 2 33 4" xfId="27106" xr:uid="{00000000-0005-0000-0000-0000E2690000}"/>
    <cellStyle name="Normal 2 3 2 33 4 10" xfId="27107" xr:uid="{00000000-0005-0000-0000-0000E3690000}"/>
    <cellStyle name="Normal 2 3 2 33 4 2" xfId="27108" xr:uid="{00000000-0005-0000-0000-0000E4690000}"/>
    <cellStyle name="Normal 2 3 2 33 4 3" xfId="27109" xr:uid="{00000000-0005-0000-0000-0000E5690000}"/>
    <cellStyle name="Normal 2 3 2 33 4 4" xfId="27110" xr:uid="{00000000-0005-0000-0000-0000E6690000}"/>
    <cellStyle name="Normal 2 3 2 33 4 5" xfId="27111" xr:uid="{00000000-0005-0000-0000-0000E7690000}"/>
    <cellStyle name="Normal 2 3 2 33 4 6" xfId="27112" xr:uid="{00000000-0005-0000-0000-0000E8690000}"/>
    <cellStyle name="Normal 2 3 2 33 4 7" xfId="27113" xr:uid="{00000000-0005-0000-0000-0000E9690000}"/>
    <cellStyle name="Normal 2 3 2 33 4 8" xfId="27114" xr:uid="{00000000-0005-0000-0000-0000EA690000}"/>
    <cellStyle name="Normal 2 3 2 33 4 9" xfId="27115" xr:uid="{00000000-0005-0000-0000-0000EB690000}"/>
    <cellStyle name="Normal 2 3 2 33 5" xfId="27116" xr:uid="{00000000-0005-0000-0000-0000EC690000}"/>
    <cellStyle name="Normal 2 3 2 33 5 10" xfId="27117" xr:uid="{00000000-0005-0000-0000-0000ED690000}"/>
    <cellStyle name="Normal 2 3 2 33 5 2" xfId="27118" xr:uid="{00000000-0005-0000-0000-0000EE690000}"/>
    <cellStyle name="Normal 2 3 2 33 5 3" xfId="27119" xr:uid="{00000000-0005-0000-0000-0000EF690000}"/>
    <cellStyle name="Normal 2 3 2 33 5 4" xfId="27120" xr:uid="{00000000-0005-0000-0000-0000F0690000}"/>
    <cellStyle name="Normal 2 3 2 33 5 5" xfId="27121" xr:uid="{00000000-0005-0000-0000-0000F1690000}"/>
    <cellStyle name="Normal 2 3 2 33 5 6" xfId="27122" xr:uid="{00000000-0005-0000-0000-0000F2690000}"/>
    <cellStyle name="Normal 2 3 2 33 5 7" xfId="27123" xr:uid="{00000000-0005-0000-0000-0000F3690000}"/>
    <cellStyle name="Normal 2 3 2 33 5 8" xfId="27124" xr:uid="{00000000-0005-0000-0000-0000F4690000}"/>
    <cellStyle name="Normal 2 3 2 33 5 9" xfId="27125" xr:uid="{00000000-0005-0000-0000-0000F5690000}"/>
    <cellStyle name="Normal 2 3 2 33 6" xfId="27126" xr:uid="{00000000-0005-0000-0000-0000F6690000}"/>
    <cellStyle name="Normal 2 3 2 33 7" xfId="27127" xr:uid="{00000000-0005-0000-0000-0000F7690000}"/>
    <cellStyle name="Normal 2 3 2 33 8" xfId="27128" xr:uid="{00000000-0005-0000-0000-0000F8690000}"/>
    <cellStyle name="Normal 2 3 2 33 9" xfId="27129" xr:uid="{00000000-0005-0000-0000-0000F9690000}"/>
    <cellStyle name="Normal 2 3 2 34" xfId="27130" xr:uid="{00000000-0005-0000-0000-0000FA690000}"/>
    <cellStyle name="Normal 2 3 2 34 10" xfId="27131" xr:uid="{00000000-0005-0000-0000-0000FB690000}"/>
    <cellStyle name="Normal 2 3 2 34 2" xfId="27132" xr:uid="{00000000-0005-0000-0000-0000FC690000}"/>
    <cellStyle name="Normal 2 3 2 34 3" xfId="27133" xr:uid="{00000000-0005-0000-0000-0000FD690000}"/>
    <cellStyle name="Normal 2 3 2 34 4" xfId="27134" xr:uid="{00000000-0005-0000-0000-0000FE690000}"/>
    <cellStyle name="Normal 2 3 2 34 5" xfId="27135" xr:uid="{00000000-0005-0000-0000-0000FF690000}"/>
    <cellStyle name="Normal 2 3 2 34 6" xfId="27136" xr:uid="{00000000-0005-0000-0000-0000006A0000}"/>
    <cellStyle name="Normal 2 3 2 34 7" xfId="27137" xr:uid="{00000000-0005-0000-0000-0000016A0000}"/>
    <cellStyle name="Normal 2 3 2 34 8" xfId="27138" xr:uid="{00000000-0005-0000-0000-0000026A0000}"/>
    <cellStyle name="Normal 2 3 2 34 9" xfId="27139" xr:uid="{00000000-0005-0000-0000-0000036A0000}"/>
    <cellStyle name="Normal 2 3 2 35" xfId="27140" xr:uid="{00000000-0005-0000-0000-0000046A0000}"/>
    <cellStyle name="Normal 2 3 2 35 10" xfId="27141" xr:uid="{00000000-0005-0000-0000-0000056A0000}"/>
    <cellStyle name="Normal 2 3 2 35 2" xfId="27142" xr:uid="{00000000-0005-0000-0000-0000066A0000}"/>
    <cellStyle name="Normal 2 3 2 35 3" xfId="27143" xr:uid="{00000000-0005-0000-0000-0000076A0000}"/>
    <cellStyle name="Normal 2 3 2 35 4" xfId="27144" xr:uid="{00000000-0005-0000-0000-0000086A0000}"/>
    <cellStyle name="Normal 2 3 2 35 5" xfId="27145" xr:uid="{00000000-0005-0000-0000-0000096A0000}"/>
    <cellStyle name="Normal 2 3 2 35 6" xfId="27146" xr:uid="{00000000-0005-0000-0000-00000A6A0000}"/>
    <cellStyle name="Normal 2 3 2 35 7" xfId="27147" xr:uid="{00000000-0005-0000-0000-00000B6A0000}"/>
    <cellStyle name="Normal 2 3 2 35 8" xfId="27148" xr:uid="{00000000-0005-0000-0000-00000C6A0000}"/>
    <cellStyle name="Normal 2 3 2 35 9" xfId="27149" xr:uid="{00000000-0005-0000-0000-00000D6A0000}"/>
    <cellStyle name="Normal 2 3 2 36" xfId="27150" xr:uid="{00000000-0005-0000-0000-00000E6A0000}"/>
    <cellStyle name="Normal 2 3 2 36 10" xfId="27151" xr:uid="{00000000-0005-0000-0000-00000F6A0000}"/>
    <cellStyle name="Normal 2 3 2 36 2" xfId="27152" xr:uid="{00000000-0005-0000-0000-0000106A0000}"/>
    <cellStyle name="Normal 2 3 2 36 3" xfId="27153" xr:uid="{00000000-0005-0000-0000-0000116A0000}"/>
    <cellStyle name="Normal 2 3 2 36 4" xfId="27154" xr:uid="{00000000-0005-0000-0000-0000126A0000}"/>
    <cellStyle name="Normal 2 3 2 36 5" xfId="27155" xr:uid="{00000000-0005-0000-0000-0000136A0000}"/>
    <cellStyle name="Normal 2 3 2 36 6" xfId="27156" xr:uid="{00000000-0005-0000-0000-0000146A0000}"/>
    <cellStyle name="Normal 2 3 2 36 7" xfId="27157" xr:uid="{00000000-0005-0000-0000-0000156A0000}"/>
    <cellStyle name="Normal 2 3 2 36 8" xfId="27158" xr:uid="{00000000-0005-0000-0000-0000166A0000}"/>
    <cellStyle name="Normal 2 3 2 36 9" xfId="27159" xr:uid="{00000000-0005-0000-0000-0000176A0000}"/>
    <cellStyle name="Normal 2 3 2 37" xfId="27160" xr:uid="{00000000-0005-0000-0000-0000186A0000}"/>
    <cellStyle name="Normal 2 3 2 37 10" xfId="27161" xr:uid="{00000000-0005-0000-0000-0000196A0000}"/>
    <cellStyle name="Normal 2 3 2 37 2" xfId="27162" xr:uid="{00000000-0005-0000-0000-00001A6A0000}"/>
    <cellStyle name="Normal 2 3 2 37 3" xfId="27163" xr:uid="{00000000-0005-0000-0000-00001B6A0000}"/>
    <cellStyle name="Normal 2 3 2 37 4" xfId="27164" xr:uid="{00000000-0005-0000-0000-00001C6A0000}"/>
    <cellStyle name="Normal 2 3 2 37 5" xfId="27165" xr:uid="{00000000-0005-0000-0000-00001D6A0000}"/>
    <cellStyle name="Normal 2 3 2 37 6" xfId="27166" xr:uid="{00000000-0005-0000-0000-00001E6A0000}"/>
    <cellStyle name="Normal 2 3 2 37 7" xfId="27167" xr:uid="{00000000-0005-0000-0000-00001F6A0000}"/>
    <cellStyle name="Normal 2 3 2 37 8" xfId="27168" xr:uid="{00000000-0005-0000-0000-0000206A0000}"/>
    <cellStyle name="Normal 2 3 2 37 9" xfId="27169" xr:uid="{00000000-0005-0000-0000-0000216A0000}"/>
    <cellStyle name="Normal 2 3 2 38" xfId="27170" xr:uid="{00000000-0005-0000-0000-0000226A0000}"/>
    <cellStyle name="Normal 2 3 2 39" xfId="27171" xr:uid="{00000000-0005-0000-0000-0000236A0000}"/>
    <cellStyle name="Normal 2 3 2 4" xfId="27172" xr:uid="{00000000-0005-0000-0000-0000246A0000}"/>
    <cellStyle name="Normal 2 3 2 4 10" xfId="27173" xr:uid="{00000000-0005-0000-0000-0000256A0000}"/>
    <cellStyle name="Normal 2 3 2 4 11" xfId="27174" xr:uid="{00000000-0005-0000-0000-0000266A0000}"/>
    <cellStyle name="Normal 2 3 2 4 12" xfId="27175" xr:uid="{00000000-0005-0000-0000-0000276A0000}"/>
    <cellStyle name="Normal 2 3 2 4 13" xfId="27176" xr:uid="{00000000-0005-0000-0000-0000286A0000}"/>
    <cellStyle name="Normal 2 3 2 4 14" xfId="27177" xr:uid="{00000000-0005-0000-0000-0000296A0000}"/>
    <cellStyle name="Normal 2 3 2 4 2" xfId="27178" xr:uid="{00000000-0005-0000-0000-00002A6A0000}"/>
    <cellStyle name="Normal 2 3 2 4 2 10" xfId="27179" xr:uid="{00000000-0005-0000-0000-00002B6A0000}"/>
    <cellStyle name="Normal 2 3 2 4 2 2" xfId="27180" xr:uid="{00000000-0005-0000-0000-00002C6A0000}"/>
    <cellStyle name="Normal 2 3 2 4 2 3" xfId="27181" xr:uid="{00000000-0005-0000-0000-00002D6A0000}"/>
    <cellStyle name="Normal 2 3 2 4 2 4" xfId="27182" xr:uid="{00000000-0005-0000-0000-00002E6A0000}"/>
    <cellStyle name="Normal 2 3 2 4 2 5" xfId="27183" xr:uid="{00000000-0005-0000-0000-00002F6A0000}"/>
    <cellStyle name="Normal 2 3 2 4 2 6" xfId="27184" xr:uid="{00000000-0005-0000-0000-0000306A0000}"/>
    <cellStyle name="Normal 2 3 2 4 2 7" xfId="27185" xr:uid="{00000000-0005-0000-0000-0000316A0000}"/>
    <cellStyle name="Normal 2 3 2 4 2 8" xfId="27186" xr:uid="{00000000-0005-0000-0000-0000326A0000}"/>
    <cellStyle name="Normal 2 3 2 4 2 9" xfId="27187" xr:uid="{00000000-0005-0000-0000-0000336A0000}"/>
    <cellStyle name="Normal 2 3 2 4 3" xfId="27188" xr:uid="{00000000-0005-0000-0000-0000346A0000}"/>
    <cellStyle name="Normal 2 3 2 4 3 10" xfId="27189" xr:uid="{00000000-0005-0000-0000-0000356A0000}"/>
    <cellStyle name="Normal 2 3 2 4 3 2" xfId="27190" xr:uid="{00000000-0005-0000-0000-0000366A0000}"/>
    <cellStyle name="Normal 2 3 2 4 3 3" xfId="27191" xr:uid="{00000000-0005-0000-0000-0000376A0000}"/>
    <cellStyle name="Normal 2 3 2 4 3 4" xfId="27192" xr:uid="{00000000-0005-0000-0000-0000386A0000}"/>
    <cellStyle name="Normal 2 3 2 4 3 5" xfId="27193" xr:uid="{00000000-0005-0000-0000-0000396A0000}"/>
    <cellStyle name="Normal 2 3 2 4 3 6" xfId="27194" xr:uid="{00000000-0005-0000-0000-00003A6A0000}"/>
    <cellStyle name="Normal 2 3 2 4 3 7" xfId="27195" xr:uid="{00000000-0005-0000-0000-00003B6A0000}"/>
    <cellStyle name="Normal 2 3 2 4 3 8" xfId="27196" xr:uid="{00000000-0005-0000-0000-00003C6A0000}"/>
    <cellStyle name="Normal 2 3 2 4 3 9" xfId="27197" xr:uid="{00000000-0005-0000-0000-00003D6A0000}"/>
    <cellStyle name="Normal 2 3 2 4 4" xfId="27198" xr:uid="{00000000-0005-0000-0000-00003E6A0000}"/>
    <cellStyle name="Normal 2 3 2 4 4 10" xfId="27199" xr:uid="{00000000-0005-0000-0000-00003F6A0000}"/>
    <cellStyle name="Normal 2 3 2 4 4 2" xfId="27200" xr:uid="{00000000-0005-0000-0000-0000406A0000}"/>
    <cellStyle name="Normal 2 3 2 4 4 3" xfId="27201" xr:uid="{00000000-0005-0000-0000-0000416A0000}"/>
    <cellStyle name="Normal 2 3 2 4 4 4" xfId="27202" xr:uid="{00000000-0005-0000-0000-0000426A0000}"/>
    <cellStyle name="Normal 2 3 2 4 4 5" xfId="27203" xr:uid="{00000000-0005-0000-0000-0000436A0000}"/>
    <cellStyle name="Normal 2 3 2 4 4 6" xfId="27204" xr:uid="{00000000-0005-0000-0000-0000446A0000}"/>
    <cellStyle name="Normal 2 3 2 4 4 7" xfId="27205" xr:uid="{00000000-0005-0000-0000-0000456A0000}"/>
    <cellStyle name="Normal 2 3 2 4 4 8" xfId="27206" xr:uid="{00000000-0005-0000-0000-0000466A0000}"/>
    <cellStyle name="Normal 2 3 2 4 4 9" xfId="27207" xr:uid="{00000000-0005-0000-0000-0000476A0000}"/>
    <cellStyle name="Normal 2 3 2 4 5" xfId="27208" xr:uid="{00000000-0005-0000-0000-0000486A0000}"/>
    <cellStyle name="Normal 2 3 2 4 5 10" xfId="27209" xr:uid="{00000000-0005-0000-0000-0000496A0000}"/>
    <cellStyle name="Normal 2 3 2 4 5 2" xfId="27210" xr:uid="{00000000-0005-0000-0000-00004A6A0000}"/>
    <cellStyle name="Normal 2 3 2 4 5 3" xfId="27211" xr:uid="{00000000-0005-0000-0000-00004B6A0000}"/>
    <cellStyle name="Normal 2 3 2 4 5 4" xfId="27212" xr:uid="{00000000-0005-0000-0000-00004C6A0000}"/>
    <cellStyle name="Normal 2 3 2 4 5 5" xfId="27213" xr:uid="{00000000-0005-0000-0000-00004D6A0000}"/>
    <cellStyle name="Normal 2 3 2 4 5 6" xfId="27214" xr:uid="{00000000-0005-0000-0000-00004E6A0000}"/>
    <cellStyle name="Normal 2 3 2 4 5 7" xfId="27215" xr:uid="{00000000-0005-0000-0000-00004F6A0000}"/>
    <cellStyle name="Normal 2 3 2 4 5 8" xfId="27216" xr:uid="{00000000-0005-0000-0000-0000506A0000}"/>
    <cellStyle name="Normal 2 3 2 4 5 9" xfId="27217" xr:uid="{00000000-0005-0000-0000-0000516A0000}"/>
    <cellStyle name="Normal 2 3 2 4 6" xfId="27218" xr:uid="{00000000-0005-0000-0000-0000526A0000}"/>
    <cellStyle name="Normal 2 3 2 4 7" xfId="27219" xr:uid="{00000000-0005-0000-0000-0000536A0000}"/>
    <cellStyle name="Normal 2 3 2 4 8" xfId="27220" xr:uid="{00000000-0005-0000-0000-0000546A0000}"/>
    <cellStyle name="Normal 2 3 2 4 9" xfId="27221" xr:uid="{00000000-0005-0000-0000-0000556A0000}"/>
    <cellStyle name="Normal 2 3 2 40" xfId="27222" xr:uid="{00000000-0005-0000-0000-0000566A0000}"/>
    <cellStyle name="Normal 2 3 2 41" xfId="27223" xr:uid="{00000000-0005-0000-0000-0000576A0000}"/>
    <cellStyle name="Normal 2 3 2 42" xfId="27224" xr:uid="{00000000-0005-0000-0000-0000586A0000}"/>
    <cellStyle name="Normal 2 3 2 43" xfId="27225" xr:uid="{00000000-0005-0000-0000-0000596A0000}"/>
    <cellStyle name="Normal 2 3 2 44" xfId="27226" xr:uid="{00000000-0005-0000-0000-00005A6A0000}"/>
    <cellStyle name="Normal 2 3 2 45" xfId="27227" xr:uid="{00000000-0005-0000-0000-00005B6A0000}"/>
    <cellStyle name="Normal 2 3 2 46" xfId="27228" xr:uid="{00000000-0005-0000-0000-00005C6A0000}"/>
    <cellStyle name="Normal 2 3 2 47" xfId="27229" xr:uid="{00000000-0005-0000-0000-00005D6A0000}"/>
    <cellStyle name="Normal 2 3 2 48" xfId="27230" xr:uid="{00000000-0005-0000-0000-00005E6A0000}"/>
    <cellStyle name="Normal 2 3 2 5" xfId="27231" xr:uid="{00000000-0005-0000-0000-00005F6A0000}"/>
    <cellStyle name="Normal 2 3 2 5 10" xfId="27232" xr:uid="{00000000-0005-0000-0000-0000606A0000}"/>
    <cellStyle name="Normal 2 3 2 5 11" xfId="27233" xr:uid="{00000000-0005-0000-0000-0000616A0000}"/>
    <cellStyle name="Normal 2 3 2 5 12" xfId="27234" xr:uid="{00000000-0005-0000-0000-0000626A0000}"/>
    <cellStyle name="Normal 2 3 2 5 13" xfId="27235" xr:uid="{00000000-0005-0000-0000-0000636A0000}"/>
    <cellStyle name="Normal 2 3 2 5 14" xfId="27236" xr:uid="{00000000-0005-0000-0000-0000646A0000}"/>
    <cellStyle name="Normal 2 3 2 5 2" xfId="27237" xr:uid="{00000000-0005-0000-0000-0000656A0000}"/>
    <cellStyle name="Normal 2 3 2 5 2 10" xfId="27238" xr:uid="{00000000-0005-0000-0000-0000666A0000}"/>
    <cellStyle name="Normal 2 3 2 5 2 2" xfId="27239" xr:uid="{00000000-0005-0000-0000-0000676A0000}"/>
    <cellStyle name="Normal 2 3 2 5 2 3" xfId="27240" xr:uid="{00000000-0005-0000-0000-0000686A0000}"/>
    <cellStyle name="Normal 2 3 2 5 2 4" xfId="27241" xr:uid="{00000000-0005-0000-0000-0000696A0000}"/>
    <cellStyle name="Normal 2 3 2 5 2 5" xfId="27242" xr:uid="{00000000-0005-0000-0000-00006A6A0000}"/>
    <cellStyle name="Normal 2 3 2 5 2 6" xfId="27243" xr:uid="{00000000-0005-0000-0000-00006B6A0000}"/>
    <cellStyle name="Normal 2 3 2 5 2 7" xfId="27244" xr:uid="{00000000-0005-0000-0000-00006C6A0000}"/>
    <cellStyle name="Normal 2 3 2 5 2 8" xfId="27245" xr:uid="{00000000-0005-0000-0000-00006D6A0000}"/>
    <cellStyle name="Normal 2 3 2 5 2 9" xfId="27246" xr:uid="{00000000-0005-0000-0000-00006E6A0000}"/>
    <cellStyle name="Normal 2 3 2 5 3" xfId="27247" xr:uid="{00000000-0005-0000-0000-00006F6A0000}"/>
    <cellStyle name="Normal 2 3 2 5 3 10" xfId="27248" xr:uid="{00000000-0005-0000-0000-0000706A0000}"/>
    <cellStyle name="Normal 2 3 2 5 3 2" xfId="27249" xr:uid="{00000000-0005-0000-0000-0000716A0000}"/>
    <cellStyle name="Normal 2 3 2 5 3 3" xfId="27250" xr:uid="{00000000-0005-0000-0000-0000726A0000}"/>
    <cellStyle name="Normal 2 3 2 5 3 4" xfId="27251" xr:uid="{00000000-0005-0000-0000-0000736A0000}"/>
    <cellStyle name="Normal 2 3 2 5 3 5" xfId="27252" xr:uid="{00000000-0005-0000-0000-0000746A0000}"/>
    <cellStyle name="Normal 2 3 2 5 3 6" xfId="27253" xr:uid="{00000000-0005-0000-0000-0000756A0000}"/>
    <cellStyle name="Normal 2 3 2 5 3 7" xfId="27254" xr:uid="{00000000-0005-0000-0000-0000766A0000}"/>
    <cellStyle name="Normal 2 3 2 5 3 8" xfId="27255" xr:uid="{00000000-0005-0000-0000-0000776A0000}"/>
    <cellStyle name="Normal 2 3 2 5 3 9" xfId="27256" xr:uid="{00000000-0005-0000-0000-0000786A0000}"/>
    <cellStyle name="Normal 2 3 2 5 4" xfId="27257" xr:uid="{00000000-0005-0000-0000-0000796A0000}"/>
    <cellStyle name="Normal 2 3 2 5 4 10" xfId="27258" xr:uid="{00000000-0005-0000-0000-00007A6A0000}"/>
    <cellStyle name="Normal 2 3 2 5 4 2" xfId="27259" xr:uid="{00000000-0005-0000-0000-00007B6A0000}"/>
    <cellStyle name="Normal 2 3 2 5 4 3" xfId="27260" xr:uid="{00000000-0005-0000-0000-00007C6A0000}"/>
    <cellStyle name="Normal 2 3 2 5 4 4" xfId="27261" xr:uid="{00000000-0005-0000-0000-00007D6A0000}"/>
    <cellStyle name="Normal 2 3 2 5 4 5" xfId="27262" xr:uid="{00000000-0005-0000-0000-00007E6A0000}"/>
    <cellStyle name="Normal 2 3 2 5 4 6" xfId="27263" xr:uid="{00000000-0005-0000-0000-00007F6A0000}"/>
    <cellStyle name="Normal 2 3 2 5 4 7" xfId="27264" xr:uid="{00000000-0005-0000-0000-0000806A0000}"/>
    <cellStyle name="Normal 2 3 2 5 4 8" xfId="27265" xr:uid="{00000000-0005-0000-0000-0000816A0000}"/>
    <cellStyle name="Normal 2 3 2 5 4 9" xfId="27266" xr:uid="{00000000-0005-0000-0000-0000826A0000}"/>
    <cellStyle name="Normal 2 3 2 5 5" xfId="27267" xr:uid="{00000000-0005-0000-0000-0000836A0000}"/>
    <cellStyle name="Normal 2 3 2 5 5 10" xfId="27268" xr:uid="{00000000-0005-0000-0000-0000846A0000}"/>
    <cellStyle name="Normal 2 3 2 5 5 2" xfId="27269" xr:uid="{00000000-0005-0000-0000-0000856A0000}"/>
    <cellStyle name="Normal 2 3 2 5 5 3" xfId="27270" xr:uid="{00000000-0005-0000-0000-0000866A0000}"/>
    <cellStyle name="Normal 2 3 2 5 5 4" xfId="27271" xr:uid="{00000000-0005-0000-0000-0000876A0000}"/>
    <cellStyle name="Normal 2 3 2 5 5 5" xfId="27272" xr:uid="{00000000-0005-0000-0000-0000886A0000}"/>
    <cellStyle name="Normal 2 3 2 5 5 6" xfId="27273" xr:uid="{00000000-0005-0000-0000-0000896A0000}"/>
    <cellStyle name="Normal 2 3 2 5 5 7" xfId="27274" xr:uid="{00000000-0005-0000-0000-00008A6A0000}"/>
    <cellStyle name="Normal 2 3 2 5 5 8" xfId="27275" xr:uid="{00000000-0005-0000-0000-00008B6A0000}"/>
    <cellStyle name="Normal 2 3 2 5 5 9" xfId="27276" xr:uid="{00000000-0005-0000-0000-00008C6A0000}"/>
    <cellStyle name="Normal 2 3 2 5 6" xfId="27277" xr:uid="{00000000-0005-0000-0000-00008D6A0000}"/>
    <cellStyle name="Normal 2 3 2 5 7" xfId="27278" xr:uid="{00000000-0005-0000-0000-00008E6A0000}"/>
    <cellStyle name="Normal 2 3 2 5 8" xfId="27279" xr:uid="{00000000-0005-0000-0000-00008F6A0000}"/>
    <cellStyle name="Normal 2 3 2 5 9" xfId="27280" xr:uid="{00000000-0005-0000-0000-0000906A0000}"/>
    <cellStyle name="Normal 2 3 2 6" xfId="27281" xr:uid="{00000000-0005-0000-0000-0000916A0000}"/>
    <cellStyle name="Normal 2 3 2 6 10" xfId="27282" xr:uid="{00000000-0005-0000-0000-0000926A0000}"/>
    <cellStyle name="Normal 2 3 2 6 11" xfId="27283" xr:uid="{00000000-0005-0000-0000-0000936A0000}"/>
    <cellStyle name="Normal 2 3 2 6 12" xfId="27284" xr:uid="{00000000-0005-0000-0000-0000946A0000}"/>
    <cellStyle name="Normal 2 3 2 6 13" xfId="27285" xr:uid="{00000000-0005-0000-0000-0000956A0000}"/>
    <cellStyle name="Normal 2 3 2 6 14" xfId="27286" xr:uid="{00000000-0005-0000-0000-0000966A0000}"/>
    <cellStyle name="Normal 2 3 2 6 2" xfId="27287" xr:uid="{00000000-0005-0000-0000-0000976A0000}"/>
    <cellStyle name="Normal 2 3 2 6 2 10" xfId="27288" xr:uid="{00000000-0005-0000-0000-0000986A0000}"/>
    <cellStyle name="Normal 2 3 2 6 2 2" xfId="27289" xr:uid="{00000000-0005-0000-0000-0000996A0000}"/>
    <cellStyle name="Normal 2 3 2 6 2 3" xfId="27290" xr:uid="{00000000-0005-0000-0000-00009A6A0000}"/>
    <cellStyle name="Normal 2 3 2 6 2 4" xfId="27291" xr:uid="{00000000-0005-0000-0000-00009B6A0000}"/>
    <cellStyle name="Normal 2 3 2 6 2 5" xfId="27292" xr:uid="{00000000-0005-0000-0000-00009C6A0000}"/>
    <cellStyle name="Normal 2 3 2 6 2 6" xfId="27293" xr:uid="{00000000-0005-0000-0000-00009D6A0000}"/>
    <cellStyle name="Normal 2 3 2 6 2 7" xfId="27294" xr:uid="{00000000-0005-0000-0000-00009E6A0000}"/>
    <cellStyle name="Normal 2 3 2 6 2 8" xfId="27295" xr:uid="{00000000-0005-0000-0000-00009F6A0000}"/>
    <cellStyle name="Normal 2 3 2 6 2 9" xfId="27296" xr:uid="{00000000-0005-0000-0000-0000A06A0000}"/>
    <cellStyle name="Normal 2 3 2 6 3" xfId="27297" xr:uid="{00000000-0005-0000-0000-0000A16A0000}"/>
    <cellStyle name="Normal 2 3 2 6 3 10" xfId="27298" xr:uid="{00000000-0005-0000-0000-0000A26A0000}"/>
    <cellStyle name="Normal 2 3 2 6 3 2" xfId="27299" xr:uid="{00000000-0005-0000-0000-0000A36A0000}"/>
    <cellStyle name="Normal 2 3 2 6 3 3" xfId="27300" xr:uid="{00000000-0005-0000-0000-0000A46A0000}"/>
    <cellStyle name="Normal 2 3 2 6 3 4" xfId="27301" xr:uid="{00000000-0005-0000-0000-0000A56A0000}"/>
    <cellStyle name="Normal 2 3 2 6 3 5" xfId="27302" xr:uid="{00000000-0005-0000-0000-0000A66A0000}"/>
    <cellStyle name="Normal 2 3 2 6 3 6" xfId="27303" xr:uid="{00000000-0005-0000-0000-0000A76A0000}"/>
    <cellStyle name="Normal 2 3 2 6 3 7" xfId="27304" xr:uid="{00000000-0005-0000-0000-0000A86A0000}"/>
    <cellStyle name="Normal 2 3 2 6 3 8" xfId="27305" xr:uid="{00000000-0005-0000-0000-0000A96A0000}"/>
    <cellStyle name="Normal 2 3 2 6 3 9" xfId="27306" xr:uid="{00000000-0005-0000-0000-0000AA6A0000}"/>
    <cellStyle name="Normal 2 3 2 6 4" xfId="27307" xr:uid="{00000000-0005-0000-0000-0000AB6A0000}"/>
    <cellStyle name="Normal 2 3 2 6 4 10" xfId="27308" xr:uid="{00000000-0005-0000-0000-0000AC6A0000}"/>
    <cellStyle name="Normal 2 3 2 6 4 2" xfId="27309" xr:uid="{00000000-0005-0000-0000-0000AD6A0000}"/>
    <cellStyle name="Normal 2 3 2 6 4 3" xfId="27310" xr:uid="{00000000-0005-0000-0000-0000AE6A0000}"/>
    <cellStyle name="Normal 2 3 2 6 4 4" xfId="27311" xr:uid="{00000000-0005-0000-0000-0000AF6A0000}"/>
    <cellStyle name="Normal 2 3 2 6 4 5" xfId="27312" xr:uid="{00000000-0005-0000-0000-0000B06A0000}"/>
    <cellStyle name="Normal 2 3 2 6 4 6" xfId="27313" xr:uid="{00000000-0005-0000-0000-0000B16A0000}"/>
    <cellStyle name="Normal 2 3 2 6 4 7" xfId="27314" xr:uid="{00000000-0005-0000-0000-0000B26A0000}"/>
    <cellStyle name="Normal 2 3 2 6 4 8" xfId="27315" xr:uid="{00000000-0005-0000-0000-0000B36A0000}"/>
    <cellStyle name="Normal 2 3 2 6 4 9" xfId="27316" xr:uid="{00000000-0005-0000-0000-0000B46A0000}"/>
    <cellStyle name="Normal 2 3 2 6 5" xfId="27317" xr:uid="{00000000-0005-0000-0000-0000B56A0000}"/>
    <cellStyle name="Normal 2 3 2 6 5 10" xfId="27318" xr:uid="{00000000-0005-0000-0000-0000B66A0000}"/>
    <cellStyle name="Normal 2 3 2 6 5 2" xfId="27319" xr:uid="{00000000-0005-0000-0000-0000B76A0000}"/>
    <cellStyle name="Normal 2 3 2 6 5 3" xfId="27320" xr:uid="{00000000-0005-0000-0000-0000B86A0000}"/>
    <cellStyle name="Normal 2 3 2 6 5 4" xfId="27321" xr:uid="{00000000-0005-0000-0000-0000B96A0000}"/>
    <cellStyle name="Normal 2 3 2 6 5 5" xfId="27322" xr:uid="{00000000-0005-0000-0000-0000BA6A0000}"/>
    <cellStyle name="Normal 2 3 2 6 5 6" xfId="27323" xr:uid="{00000000-0005-0000-0000-0000BB6A0000}"/>
    <cellStyle name="Normal 2 3 2 6 5 7" xfId="27324" xr:uid="{00000000-0005-0000-0000-0000BC6A0000}"/>
    <cellStyle name="Normal 2 3 2 6 5 8" xfId="27325" xr:uid="{00000000-0005-0000-0000-0000BD6A0000}"/>
    <cellStyle name="Normal 2 3 2 6 5 9" xfId="27326" xr:uid="{00000000-0005-0000-0000-0000BE6A0000}"/>
    <cellStyle name="Normal 2 3 2 6 6" xfId="27327" xr:uid="{00000000-0005-0000-0000-0000BF6A0000}"/>
    <cellStyle name="Normal 2 3 2 6 7" xfId="27328" xr:uid="{00000000-0005-0000-0000-0000C06A0000}"/>
    <cellStyle name="Normal 2 3 2 6 8" xfId="27329" xr:uid="{00000000-0005-0000-0000-0000C16A0000}"/>
    <cellStyle name="Normal 2 3 2 6 9" xfId="27330" xr:uid="{00000000-0005-0000-0000-0000C26A0000}"/>
    <cellStyle name="Normal 2 3 2 7" xfId="27331" xr:uid="{00000000-0005-0000-0000-0000C36A0000}"/>
    <cellStyle name="Normal 2 3 2 7 10" xfId="27332" xr:uid="{00000000-0005-0000-0000-0000C46A0000}"/>
    <cellStyle name="Normal 2 3 2 7 11" xfId="27333" xr:uid="{00000000-0005-0000-0000-0000C56A0000}"/>
    <cellStyle name="Normal 2 3 2 7 12" xfId="27334" xr:uid="{00000000-0005-0000-0000-0000C66A0000}"/>
    <cellStyle name="Normal 2 3 2 7 13" xfId="27335" xr:uid="{00000000-0005-0000-0000-0000C76A0000}"/>
    <cellStyle name="Normal 2 3 2 7 14" xfId="27336" xr:uid="{00000000-0005-0000-0000-0000C86A0000}"/>
    <cellStyle name="Normal 2 3 2 7 2" xfId="27337" xr:uid="{00000000-0005-0000-0000-0000C96A0000}"/>
    <cellStyle name="Normal 2 3 2 7 2 10" xfId="27338" xr:uid="{00000000-0005-0000-0000-0000CA6A0000}"/>
    <cellStyle name="Normal 2 3 2 7 2 2" xfId="27339" xr:uid="{00000000-0005-0000-0000-0000CB6A0000}"/>
    <cellStyle name="Normal 2 3 2 7 2 3" xfId="27340" xr:uid="{00000000-0005-0000-0000-0000CC6A0000}"/>
    <cellStyle name="Normal 2 3 2 7 2 4" xfId="27341" xr:uid="{00000000-0005-0000-0000-0000CD6A0000}"/>
    <cellStyle name="Normal 2 3 2 7 2 5" xfId="27342" xr:uid="{00000000-0005-0000-0000-0000CE6A0000}"/>
    <cellStyle name="Normal 2 3 2 7 2 6" xfId="27343" xr:uid="{00000000-0005-0000-0000-0000CF6A0000}"/>
    <cellStyle name="Normal 2 3 2 7 2 7" xfId="27344" xr:uid="{00000000-0005-0000-0000-0000D06A0000}"/>
    <cellStyle name="Normal 2 3 2 7 2 8" xfId="27345" xr:uid="{00000000-0005-0000-0000-0000D16A0000}"/>
    <cellStyle name="Normal 2 3 2 7 2 9" xfId="27346" xr:uid="{00000000-0005-0000-0000-0000D26A0000}"/>
    <cellStyle name="Normal 2 3 2 7 3" xfId="27347" xr:uid="{00000000-0005-0000-0000-0000D36A0000}"/>
    <cellStyle name="Normal 2 3 2 7 3 10" xfId="27348" xr:uid="{00000000-0005-0000-0000-0000D46A0000}"/>
    <cellStyle name="Normal 2 3 2 7 3 2" xfId="27349" xr:uid="{00000000-0005-0000-0000-0000D56A0000}"/>
    <cellStyle name="Normal 2 3 2 7 3 3" xfId="27350" xr:uid="{00000000-0005-0000-0000-0000D66A0000}"/>
    <cellStyle name="Normal 2 3 2 7 3 4" xfId="27351" xr:uid="{00000000-0005-0000-0000-0000D76A0000}"/>
    <cellStyle name="Normal 2 3 2 7 3 5" xfId="27352" xr:uid="{00000000-0005-0000-0000-0000D86A0000}"/>
    <cellStyle name="Normal 2 3 2 7 3 6" xfId="27353" xr:uid="{00000000-0005-0000-0000-0000D96A0000}"/>
    <cellStyle name="Normal 2 3 2 7 3 7" xfId="27354" xr:uid="{00000000-0005-0000-0000-0000DA6A0000}"/>
    <cellStyle name="Normal 2 3 2 7 3 8" xfId="27355" xr:uid="{00000000-0005-0000-0000-0000DB6A0000}"/>
    <cellStyle name="Normal 2 3 2 7 3 9" xfId="27356" xr:uid="{00000000-0005-0000-0000-0000DC6A0000}"/>
    <cellStyle name="Normal 2 3 2 7 4" xfId="27357" xr:uid="{00000000-0005-0000-0000-0000DD6A0000}"/>
    <cellStyle name="Normal 2 3 2 7 4 10" xfId="27358" xr:uid="{00000000-0005-0000-0000-0000DE6A0000}"/>
    <cellStyle name="Normal 2 3 2 7 4 2" xfId="27359" xr:uid="{00000000-0005-0000-0000-0000DF6A0000}"/>
    <cellStyle name="Normal 2 3 2 7 4 3" xfId="27360" xr:uid="{00000000-0005-0000-0000-0000E06A0000}"/>
    <cellStyle name="Normal 2 3 2 7 4 4" xfId="27361" xr:uid="{00000000-0005-0000-0000-0000E16A0000}"/>
    <cellStyle name="Normal 2 3 2 7 4 5" xfId="27362" xr:uid="{00000000-0005-0000-0000-0000E26A0000}"/>
    <cellStyle name="Normal 2 3 2 7 4 6" xfId="27363" xr:uid="{00000000-0005-0000-0000-0000E36A0000}"/>
    <cellStyle name="Normal 2 3 2 7 4 7" xfId="27364" xr:uid="{00000000-0005-0000-0000-0000E46A0000}"/>
    <cellStyle name="Normal 2 3 2 7 4 8" xfId="27365" xr:uid="{00000000-0005-0000-0000-0000E56A0000}"/>
    <cellStyle name="Normal 2 3 2 7 4 9" xfId="27366" xr:uid="{00000000-0005-0000-0000-0000E66A0000}"/>
    <cellStyle name="Normal 2 3 2 7 5" xfId="27367" xr:uid="{00000000-0005-0000-0000-0000E76A0000}"/>
    <cellStyle name="Normal 2 3 2 7 5 10" xfId="27368" xr:uid="{00000000-0005-0000-0000-0000E86A0000}"/>
    <cellStyle name="Normal 2 3 2 7 5 2" xfId="27369" xr:uid="{00000000-0005-0000-0000-0000E96A0000}"/>
    <cellStyle name="Normal 2 3 2 7 5 3" xfId="27370" xr:uid="{00000000-0005-0000-0000-0000EA6A0000}"/>
    <cellStyle name="Normal 2 3 2 7 5 4" xfId="27371" xr:uid="{00000000-0005-0000-0000-0000EB6A0000}"/>
    <cellStyle name="Normal 2 3 2 7 5 5" xfId="27372" xr:uid="{00000000-0005-0000-0000-0000EC6A0000}"/>
    <cellStyle name="Normal 2 3 2 7 5 6" xfId="27373" xr:uid="{00000000-0005-0000-0000-0000ED6A0000}"/>
    <cellStyle name="Normal 2 3 2 7 5 7" xfId="27374" xr:uid="{00000000-0005-0000-0000-0000EE6A0000}"/>
    <cellStyle name="Normal 2 3 2 7 5 8" xfId="27375" xr:uid="{00000000-0005-0000-0000-0000EF6A0000}"/>
    <cellStyle name="Normal 2 3 2 7 5 9" xfId="27376" xr:uid="{00000000-0005-0000-0000-0000F06A0000}"/>
    <cellStyle name="Normal 2 3 2 7 6" xfId="27377" xr:uid="{00000000-0005-0000-0000-0000F16A0000}"/>
    <cellStyle name="Normal 2 3 2 7 7" xfId="27378" xr:uid="{00000000-0005-0000-0000-0000F26A0000}"/>
    <cellStyle name="Normal 2 3 2 7 8" xfId="27379" xr:uid="{00000000-0005-0000-0000-0000F36A0000}"/>
    <cellStyle name="Normal 2 3 2 7 9" xfId="27380" xr:uid="{00000000-0005-0000-0000-0000F46A0000}"/>
    <cellStyle name="Normal 2 3 2 8" xfId="27381" xr:uid="{00000000-0005-0000-0000-0000F56A0000}"/>
    <cellStyle name="Normal 2 3 2 8 10" xfId="27382" xr:uid="{00000000-0005-0000-0000-0000F66A0000}"/>
    <cellStyle name="Normal 2 3 2 8 11" xfId="27383" xr:uid="{00000000-0005-0000-0000-0000F76A0000}"/>
    <cellStyle name="Normal 2 3 2 8 12" xfId="27384" xr:uid="{00000000-0005-0000-0000-0000F86A0000}"/>
    <cellStyle name="Normal 2 3 2 8 13" xfId="27385" xr:uid="{00000000-0005-0000-0000-0000F96A0000}"/>
    <cellStyle name="Normal 2 3 2 8 14" xfId="27386" xr:uid="{00000000-0005-0000-0000-0000FA6A0000}"/>
    <cellStyle name="Normal 2 3 2 8 2" xfId="27387" xr:uid="{00000000-0005-0000-0000-0000FB6A0000}"/>
    <cellStyle name="Normal 2 3 2 8 2 10" xfId="27388" xr:uid="{00000000-0005-0000-0000-0000FC6A0000}"/>
    <cellStyle name="Normal 2 3 2 8 2 2" xfId="27389" xr:uid="{00000000-0005-0000-0000-0000FD6A0000}"/>
    <cellStyle name="Normal 2 3 2 8 2 3" xfId="27390" xr:uid="{00000000-0005-0000-0000-0000FE6A0000}"/>
    <cellStyle name="Normal 2 3 2 8 2 4" xfId="27391" xr:uid="{00000000-0005-0000-0000-0000FF6A0000}"/>
    <cellStyle name="Normal 2 3 2 8 2 5" xfId="27392" xr:uid="{00000000-0005-0000-0000-0000006B0000}"/>
    <cellStyle name="Normal 2 3 2 8 2 6" xfId="27393" xr:uid="{00000000-0005-0000-0000-0000016B0000}"/>
    <cellStyle name="Normal 2 3 2 8 2 7" xfId="27394" xr:uid="{00000000-0005-0000-0000-0000026B0000}"/>
    <cellStyle name="Normal 2 3 2 8 2 8" xfId="27395" xr:uid="{00000000-0005-0000-0000-0000036B0000}"/>
    <cellStyle name="Normal 2 3 2 8 2 9" xfId="27396" xr:uid="{00000000-0005-0000-0000-0000046B0000}"/>
    <cellStyle name="Normal 2 3 2 8 3" xfId="27397" xr:uid="{00000000-0005-0000-0000-0000056B0000}"/>
    <cellStyle name="Normal 2 3 2 8 3 10" xfId="27398" xr:uid="{00000000-0005-0000-0000-0000066B0000}"/>
    <cellStyle name="Normal 2 3 2 8 3 2" xfId="27399" xr:uid="{00000000-0005-0000-0000-0000076B0000}"/>
    <cellStyle name="Normal 2 3 2 8 3 3" xfId="27400" xr:uid="{00000000-0005-0000-0000-0000086B0000}"/>
    <cellStyle name="Normal 2 3 2 8 3 4" xfId="27401" xr:uid="{00000000-0005-0000-0000-0000096B0000}"/>
    <cellStyle name="Normal 2 3 2 8 3 5" xfId="27402" xr:uid="{00000000-0005-0000-0000-00000A6B0000}"/>
    <cellStyle name="Normal 2 3 2 8 3 6" xfId="27403" xr:uid="{00000000-0005-0000-0000-00000B6B0000}"/>
    <cellStyle name="Normal 2 3 2 8 3 7" xfId="27404" xr:uid="{00000000-0005-0000-0000-00000C6B0000}"/>
    <cellStyle name="Normal 2 3 2 8 3 8" xfId="27405" xr:uid="{00000000-0005-0000-0000-00000D6B0000}"/>
    <cellStyle name="Normal 2 3 2 8 3 9" xfId="27406" xr:uid="{00000000-0005-0000-0000-00000E6B0000}"/>
    <cellStyle name="Normal 2 3 2 8 4" xfId="27407" xr:uid="{00000000-0005-0000-0000-00000F6B0000}"/>
    <cellStyle name="Normal 2 3 2 8 4 10" xfId="27408" xr:uid="{00000000-0005-0000-0000-0000106B0000}"/>
    <cellStyle name="Normal 2 3 2 8 4 2" xfId="27409" xr:uid="{00000000-0005-0000-0000-0000116B0000}"/>
    <cellStyle name="Normal 2 3 2 8 4 3" xfId="27410" xr:uid="{00000000-0005-0000-0000-0000126B0000}"/>
    <cellStyle name="Normal 2 3 2 8 4 4" xfId="27411" xr:uid="{00000000-0005-0000-0000-0000136B0000}"/>
    <cellStyle name="Normal 2 3 2 8 4 5" xfId="27412" xr:uid="{00000000-0005-0000-0000-0000146B0000}"/>
    <cellStyle name="Normal 2 3 2 8 4 6" xfId="27413" xr:uid="{00000000-0005-0000-0000-0000156B0000}"/>
    <cellStyle name="Normal 2 3 2 8 4 7" xfId="27414" xr:uid="{00000000-0005-0000-0000-0000166B0000}"/>
    <cellStyle name="Normal 2 3 2 8 4 8" xfId="27415" xr:uid="{00000000-0005-0000-0000-0000176B0000}"/>
    <cellStyle name="Normal 2 3 2 8 4 9" xfId="27416" xr:uid="{00000000-0005-0000-0000-0000186B0000}"/>
    <cellStyle name="Normal 2 3 2 8 5" xfId="27417" xr:uid="{00000000-0005-0000-0000-0000196B0000}"/>
    <cellStyle name="Normal 2 3 2 8 5 10" xfId="27418" xr:uid="{00000000-0005-0000-0000-00001A6B0000}"/>
    <cellStyle name="Normal 2 3 2 8 5 2" xfId="27419" xr:uid="{00000000-0005-0000-0000-00001B6B0000}"/>
    <cellStyle name="Normal 2 3 2 8 5 3" xfId="27420" xr:uid="{00000000-0005-0000-0000-00001C6B0000}"/>
    <cellStyle name="Normal 2 3 2 8 5 4" xfId="27421" xr:uid="{00000000-0005-0000-0000-00001D6B0000}"/>
    <cellStyle name="Normal 2 3 2 8 5 5" xfId="27422" xr:uid="{00000000-0005-0000-0000-00001E6B0000}"/>
    <cellStyle name="Normal 2 3 2 8 5 6" xfId="27423" xr:uid="{00000000-0005-0000-0000-00001F6B0000}"/>
    <cellStyle name="Normal 2 3 2 8 5 7" xfId="27424" xr:uid="{00000000-0005-0000-0000-0000206B0000}"/>
    <cellStyle name="Normal 2 3 2 8 5 8" xfId="27425" xr:uid="{00000000-0005-0000-0000-0000216B0000}"/>
    <cellStyle name="Normal 2 3 2 8 5 9" xfId="27426" xr:uid="{00000000-0005-0000-0000-0000226B0000}"/>
    <cellStyle name="Normal 2 3 2 8 6" xfId="27427" xr:uid="{00000000-0005-0000-0000-0000236B0000}"/>
    <cellStyle name="Normal 2 3 2 8 7" xfId="27428" xr:uid="{00000000-0005-0000-0000-0000246B0000}"/>
    <cellStyle name="Normal 2 3 2 8 8" xfId="27429" xr:uid="{00000000-0005-0000-0000-0000256B0000}"/>
    <cellStyle name="Normal 2 3 2 8 9" xfId="27430" xr:uid="{00000000-0005-0000-0000-0000266B0000}"/>
    <cellStyle name="Normal 2 3 2 9" xfId="27431" xr:uid="{00000000-0005-0000-0000-0000276B0000}"/>
    <cellStyle name="Normal 2 3 2 9 10" xfId="27432" xr:uid="{00000000-0005-0000-0000-0000286B0000}"/>
    <cellStyle name="Normal 2 3 2 9 11" xfId="27433" xr:uid="{00000000-0005-0000-0000-0000296B0000}"/>
    <cellStyle name="Normal 2 3 2 9 12" xfId="27434" xr:uid="{00000000-0005-0000-0000-00002A6B0000}"/>
    <cellStyle name="Normal 2 3 2 9 13" xfId="27435" xr:uid="{00000000-0005-0000-0000-00002B6B0000}"/>
    <cellStyle name="Normal 2 3 2 9 14" xfId="27436" xr:uid="{00000000-0005-0000-0000-00002C6B0000}"/>
    <cellStyle name="Normal 2 3 2 9 2" xfId="27437" xr:uid="{00000000-0005-0000-0000-00002D6B0000}"/>
    <cellStyle name="Normal 2 3 2 9 2 10" xfId="27438" xr:uid="{00000000-0005-0000-0000-00002E6B0000}"/>
    <cellStyle name="Normal 2 3 2 9 2 2" xfId="27439" xr:uid="{00000000-0005-0000-0000-00002F6B0000}"/>
    <cellStyle name="Normal 2 3 2 9 2 3" xfId="27440" xr:uid="{00000000-0005-0000-0000-0000306B0000}"/>
    <cellStyle name="Normal 2 3 2 9 2 4" xfId="27441" xr:uid="{00000000-0005-0000-0000-0000316B0000}"/>
    <cellStyle name="Normal 2 3 2 9 2 5" xfId="27442" xr:uid="{00000000-0005-0000-0000-0000326B0000}"/>
    <cellStyle name="Normal 2 3 2 9 2 6" xfId="27443" xr:uid="{00000000-0005-0000-0000-0000336B0000}"/>
    <cellStyle name="Normal 2 3 2 9 2 7" xfId="27444" xr:uid="{00000000-0005-0000-0000-0000346B0000}"/>
    <cellStyle name="Normal 2 3 2 9 2 8" xfId="27445" xr:uid="{00000000-0005-0000-0000-0000356B0000}"/>
    <cellStyle name="Normal 2 3 2 9 2 9" xfId="27446" xr:uid="{00000000-0005-0000-0000-0000366B0000}"/>
    <cellStyle name="Normal 2 3 2 9 3" xfId="27447" xr:uid="{00000000-0005-0000-0000-0000376B0000}"/>
    <cellStyle name="Normal 2 3 2 9 3 10" xfId="27448" xr:uid="{00000000-0005-0000-0000-0000386B0000}"/>
    <cellStyle name="Normal 2 3 2 9 3 2" xfId="27449" xr:uid="{00000000-0005-0000-0000-0000396B0000}"/>
    <cellStyle name="Normal 2 3 2 9 3 3" xfId="27450" xr:uid="{00000000-0005-0000-0000-00003A6B0000}"/>
    <cellStyle name="Normal 2 3 2 9 3 4" xfId="27451" xr:uid="{00000000-0005-0000-0000-00003B6B0000}"/>
    <cellStyle name="Normal 2 3 2 9 3 5" xfId="27452" xr:uid="{00000000-0005-0000-0000-00003C6B0000}"/>
    <cellStyle name="Normal 2 3 2 9 3 6" xfId="27453" xr:uid="{00000000-0005-0000-0000-00003D6B0000}"/>
    <cellStyle name="Normal 2 3 2 9 3 7" xfId="27454" xr:uid="{00000000-0005-0000-0000-00003E6B0000}"/>
    <cellStyle name="Normal 2 3 2 9 3 8" xfId="27455" xr:uid="{00000000-0005-0000-0000-00003F6B0000}"/>
    <cellStyle name="Normal 2 3 2 9 3 9" xfId="27456" xr:uid="{00000000-0005-0000-0000-0000406B0000}"/>
    <cellStyle name="Normal 2 3 2 9 4" xfId="27457" xr:uid="{00000000-0005-0000-0000-0000416B0000}"/>
    <cellStyle name="Normal 2 3 2 9 4 10" xfId="27458" xr:uid="{00000000-0005-0000-0000-0000426B0000}"/>
    <cellStyle name="Normal 2 3 2 9 4 2" xfId="27459" xr:uid="{00000000-0005-0000-0000-0000436B0000}"/>
    <cellStyle name="Normal 2 3 2 9 4 3" xfId="27460" xr:uid="{00000000-0005-0000-0000-0000446B0000}"/>
    <cellStyle name="Normal 2 3 2 9 4 4" xfId="27461" xr:uid="{00000000-0005-0000-0000-0000456B0000}"/>
    <cellStyle name="Normal 2 3 2 9 4 5" xfId="27462" xr:uid="{00000000-0005-0000-0000-0000466B0000}"/>
    <cellStyle name="Normal 2 3 2 9 4 6" xfId="27463" xr:uid="{00000000-0005-0000-0000-0000476B0000}"/>
    <cellStyle name="Normal 2 3 2 9 4 7" xfId="27464" xr:uid="{00000000-0005-0000-0000-0000486B0000}"/>
    <cellStyle name="Normal 2 3 2 9 4 8" xfId="27465" xr:uid="{00000000-0005-0000-0000-0000496B0000}"/>
    <cellStyle name="Normal 2 3 2 9 4 9" xfId="27466" xr:uid="{00000000-0005-0000-0000-00004A6B0000}"/>
    <cellStyle name="Normal 2 3 2 9 5" xfId="27467" xr:uid="{00000000-0005-0000-0000-00004B6B0000}"/>
    <cellStyle name="Normal 2 3 2 9 5 10" xfId="27468" xr:uid="{00000000-0005-0000-0000-00004C6B0000}"/>
    <cellStyle name="Normal 2 3 2 9 5 2" xfId="27469" xr:uid="{00000000-0005-0000-0000-00004D6B0000}"/>
    <cellStyle name="Normal 2 3 2 9 5 3" xfId="27470" xr:uid="{00000000-0005-0000-0000-00004E6B0000}"/>
    <cellStyle name="Normal 2 3 2 9 5 4" xfId="27471" xr:uid="{00000000-0005-0000-0000-00004F6B0000}"/>
    <cellStyle name="Normal 2 3 2 9 5 5" xfId="27472" xr:uid="{00000000-0005-0000-0000-0000506B0000}"/>
    <cellStyle name="Normal 2 3 2 9 5 6" xfId="27473" xr:uid="{00000000-0005-0000-0000-0000516B0000}"/>
    <cellStyle name="Normal 2 3 2 9 5 7" xfId="27474" xr:uid="{00000000-0005-0000-0000-0000526B0000}"/>
    <cellStyle name="Normal 2 3 2 9 5 8" xfId="27475" xr:uid="{00000000-0005-0000-0000-0000536B0000}"/>
    <cellStyle name="Normal 2 3 2 9 5 9" xfId="27476" xr:uid="{00000000-0005-0000-0000-0000546B0000}"/>
    <cellStyle name="Normal 2 3 2 9 6" xfId="27477" xr:uid="{00000000-0005-0000-0000-0000556B0000}"/>
    <cellStyle name="Normal 2 3 2 9 7" xfId="27478" xr:uid="{00000000-0005-0000-0000-0000566B0000}"/>
    <cellStyle name="Normal 2 3 2 9 8" xfId="27479" xr:uid="{00000000-0005-0000-0000-0000576B0000}"/>
    <cellStyle name="Normal 2 3 2 9 9" xfId="27480" xr:uid="{00000000-0005-0000-0000-0000586B0000}"/>
    <cellStyle name="Normal 2 3 20" xfId="27481" xr:uid="{00000000-0005-0000-0000-0000596B0000}"/>
    <cellStyle name="Normal 2 3 20 10" xfId="27482" xr:uid="{00000000-0005-0000-0000-00005A6B0000}"/>
    <cellStyle name="Normal 2 3 20 11" xfId="27483" xr:uid="{00000000-0005-0000-0000-00005B6B0000}"/>
    <cellStyle name="Normal 2 3 20 12" xfId="27484" xr:uid="{00000000-0005-0000-0000-00005C6B0000}"/>
    <cellStyle name="Normal 2 3 20 13" xfId="27485" xr:uid="{00000000-0005-0000-0000-00005D6B0000}"/>
    <cellStyle name="Normal 2 3 20 14" xfId="27486" xr:uid="{00000000-0005-0000-0000-00005E6B0000}"/>
    <cellStyle name="Normal 2 3 20 2" xfId="27487" xr:uid="{00000000-0005-0000-0000-00005F6B0000}"/>
    <cellStyle name="Normal 2 3 20 2 10" xfId="27488" xr:uid="{00000000-0005-0000-0000-0000606B0000}"/>
    <cellStyle name="Normal 2 3 20 2 2" xfId="27489" xr:uid="{00000000-0005-0000-0000-0000616B0000}"/>
    <cellStyle name="Normal 2 3 20 2 3" xfId="27490" xr:uid="{00000000-0005-0000-0000-0000626B0000}"/>
    <cellStyle name="Normal 2 3 20 2 4" xfId="27491" xr:uid="{00000000-0005-0000-0000-0000636B0000}"/>
    <cellStyle name="Normal 2 3 20 2 5" xfId="27492" xr:uid="{00000000-0005-0000-0000-0000646B0000}"/>
    <cellStyle name="Normal 2 3 20 2 6" xfId="27493" xr:uid="{00000000-0005-0000-0000-0000656B0000}"/>
    <cellStyle name="Normal 2 3 20 2 7" xfId="27494" xr:uid="{00000000-0005-0000-0000-0000666B0000}"/>
    <cellStyle name="Normal 2 3 20 2 8" xfId="27495" xr:uid="{00000000-0005-0000-0000-0000676B0000}"/>
    <cellStyle name="Normal 2 3 20 2 9" xfId="27496" xr:uid="{00000000-0005-0000-0000-0000686B0000}"/>
    <cellStyle name="Normal 2 3 20 3" xfId="27497" xr:uid="{00000000-0005-0000-0000-0000696B0000}"/>
    <cellStyle name="Normal 2 3 20 3 10" xfId="27498" xr:uid="{00000000-0005-0000-0000-00006A6B0000}"/>
    <cellStyle name="Normal 2 3 20 3 2" xfId="27499" xr:uid="{00000000-0005-0000-0000-00006B6B0000}"/>
    <cellStyle name="Normal 2 3 20 3 3" xfId="27500" xr:uid="{00000000-0005-0000-0000-00006C6B0000}"/>
    <cellStyle name="Normal 2 3 20 3 4" xfId="27501" xr:uid="{00000000-0005-0000-0000-00006D6B0000}"/>
    <cellStyle name="Normal 2 3 20 3 5" xfId="27502" xr:uid="{00000000-0005-0000-0000-00006E6B0000}"/>
    <cellStyle name="Normal 2 3 20 3 6" xfId="27503" xr:uid="{00000000-0005-0000-0000-00006F6B0000}"/>
    <cellStyle name="Normal 2 3 20 3 7" xfId="27504" xr:uid="{00000000-0005-0000-0000-0000706B0000}"/>
    <cellStyle name="Normal 2 3 20 3 8" xfId="27505" xr:uid="{00000000-0005-0000-0000-0000716B0000}"/>
    <cellStyle name="Normal 2 3 20 3 9" xfId="27506" xr:uid="{00000000-0005-0000-0000-0000726B0000}"/>
    <cellStyle name="Normal 2 3 20 4" xfId="27507" xr:uid="{00000000-0005-0000-0000-0000736B0000}"/>
    <cellStyle name="Normal 2 3 20 4 10" xfId="27508" xr:uid="{00000000-0005-0000-0000-0000746B0000}"/>
    <cellStyle name="Normal 2 3 20 4 2" xfId="27509" xr:uid="{00000000-0005-0000-0000-0000756B0000}"/>
    <cellStyle name="Normal 2 3 20 4 3" xfId="27510" xr:uid="{00000000-0005-0000-0000-0000766B0000}"/>
    <cellStyle name="Normal 2 3 20 4 4" xfId="27511" xr:uid="{00000000-0005-0000-0000-0000776B0000}"/>
    <cellStyle name="Normal 2 3 20 4 5" xfId="27512" xr:uid="{00000000-0005-0000-0000-0000786B0000}"/>
    <cellStyle name="Normal 2 3 20 4 6" xfId="27513" xr:uid="{00000000-0005-0000-0000-0000796B0000}"/>
    <cellStyle name="Normal 2 3 20 4 7" xfId="27514" xr:uid="{00000000-0005-0000-0000-00007A6B0000}"/>
    <cellStyle name="Normal 2 3 20 4 8" xfId="27515" xr:uid="{00000000-0005-0000-0000-00007B6B0000}"/>
    <cellStyle name="Normal 2 3 20 4 9" xfId="27516" xr:uid="{00000000-0005-0000-0000-00007C6B0000}"/>
    <cellStyle name="Normal 2 3 20 5" xfId="27517" xr:uid="{00000000-0005-0000-0000-00007D6B0000}"/>
    <cellStyle name="Normal 2 3 20 5 10" xfId="27518" xr:uid="{00000000-0005-0000-0000-00007E6B0000}"/>
    <cellStyle name="Normal 2 3 20 5 2" xfId="27519" xr:uid="{00000000-0005-0000-0000-00007F6B0000}"/>
    <cellStyle name="Normal 2 3 20 5 3" xfId="27520" xr:uid="{00000000-0005-0000-0000-0000806B0000}"/>
    <cellStyle name="Normal 2 3 20 5 4" xfId="27521" xr:uid="{00000000-0005-0000-0000-0000816B0000}"/>
    <cellStyle name="Normal 2 3 20 5 5" xfId="27522" xr:uid="{00000000-0005-0000-0000-0000826B0000}"/>
    <cellStyle name="Normal 2 3 20 5 6" xfId="27523" xr:uid="{00000000-0005-0000-0000-0000836B0000}"/>
    <cellStyle name="Normal 2 3 20 5 7" xfId="27524" xr:uid="{00000000-0005-0000-0000-0000846B0000}"/>
    <cellStyle name="Normal 2 3 20 5 8" xfId="27525" xr:uid="{00000000-0005-0000-0000-0000856B0000}"/>
    <cellStyle name="Normal 2 3 20 5 9" xfId="27526" xr:uid="{00000000-0005-0000-0000-0000866B0000}"/>
    <cellStyle name="Normal 2 3 20 6" xfId="27527" xr:uid="{00000000-0005-0000-0000-0000876B0000}"/>
    <cellStyle name="Normal 2 3 20 7" xfId="27528" xr:uid="{00000000-0005-0000-0000-0000886B0000}"/>
    <cellStyle name="Normal 2 3 20 8" xfId="27529" xr:uid="{00000000-0005-0000-0000-0000896B0000}"/>
    <cellStyle name="Normal 2 3 20 9" xfId="27530" xr:uid="{00000000-0005-0000-0000-00008A6B0000}"/>
    <cellStyle name="Normal 2 3 21" xfId="27531" xr:uid="{00000000-0005-0000-0000-00008B6B0000}"/>
    <cellStyle name="Normal 2 3 21 10" xfId="27532" xr:uid="{00000000-0005-0000-0000-00008C6B0000}"/>
    <cellStyle name="Normal 2 3 21 11" xfId="27533" xr:uid="{00000000-0005-0000-0000-00008D6B0000}"/>
    <cellStyle name="Normal 2 3 21 12" xfId="27534" xr:uid="{00000000-0005-0000-0000-00008E6B0000}"/>
    <cellStyle name="Normal 2 3 21 13" xfId="27535" xr:uid="{00000000-0005-0000-0000-00008F6B0000}"/>
    <cellStyle name="Normal 2 3 21 14" xfId="27536" xr:uid="{00000000-0005-0000-0000-0000906B0000}"/>
    <cellStyle name="Normal 2 3 21 2" xfId="27537" xr:uid="{00000000-0005-0000-0000-0000916B0000}"/>
    <cellStyle name="Normal 2 3 21 2 10" xfId="27538" xr:uid="{00000000-0005-0000-0000-0000926B0000}"/>
    <cellStyle name="Normal 2 3 21 2 2" xfId="27539" xr:uid="{00000000-0005-0000-0000-0000936B0000}"/>
    <cellStyle name="Normal 2 3 21 2 3" xfId="27540" xr:uid="{00000000-0005-0000-0000-0000946B0000}"/>
    <cellStyle name="Normal 2 3 21 2 4" xfId="27541" xr:uid="{00000000-0005-0000-0000-0000956B0000}"/>
    <cellStyle name="Normal 2 3 21 2 5" xfId="27542" xr:uid="{00000000-0005-0000-0000-0000966B0000}"/>
    <cellStyle name="Normal 2 3 21 2 6" xfId="27543" xr:uid="{00000000-0005-0000-0000-0000976B0000}"/>
    <cellStyle name="Normal 2 3 21 2 7" xfId="27544" xr:uid="{00000000-0005-0000-0000-0000986B0000}"/>
    <cellStyle name="Normal 2 3 21 2 8" xfId="27545" xr:uid="{00000000-0005-0000-0000-0000996B0000}"/>
    <cellStyle name="Normal 2 3 21 2 9" xfId="27546" xr:uid="{00000000-0005-0000-0000-00009A6B0000}"/>
    <cellStyle name="Normal 2 3 21 3" xfId="27547" xr:uid="{00000000-0005-0000-0000-00009B6B0000}"/>
    <cellStyle name="Normal 2 3 21 3 10" xfId="27548" xr:uid="{00000000-0005-0000-0000-00009C6B0000}"/>
    <cellStyle name="Normal 2 3 21 3 2" xfId="27549" xr:uid="{00000000-0005-0000-0000-00009D6B0000}"/>
    <cellStyle name="Normal 2 3 21 3 3" xfId="27550" xr:uid="{00000000-0005-0000-0000-00009E6B0000}"/>
    <cellStyle name="Normal 2 3 21 3 4" xfId="27551" xr:uid="{00000000-0005-0000-0000-00009F6B0000}"/>
    <cellStyle name="Normal 2 3 21 3 5" xfId="27552" xr:uid="{00000000-0005-0000-0000-0000A06B0000}"/>
    <cellStyle name="Normal 2 3 21 3 6" xfId="27553" xr:uid="{00000000-0005-0000-0000-0000A16B0000}"/>
    <cellStyle name="Normal 2 3 21 3 7" xfId="27554" xr:uid="{00000000-0005-0000-0000-0000A26B0000}"/>
    <cellStyle name="Normal 2 3 21 3 8" xfId="27555" xr:uid="{00000000-0005-0000-0000-0000A36B0000}"/>
    <cellStyle name="Normal 2 3 21 3 9" xfId="27556" xr:uid="{00000000-0005-0000-0000-0000A46B0000}"/>
    <cellStyle name="Normal 2 3 21 4" xfId="27557" xr:uid="{00000000-0005-0000-0000-0000A56B0000}"/>
    <cellStyle name="Normal 2 3 21 4 10" xfId="27558" xr:uid="{00000000-0005-0000-0000-0000A66B0000}"/>
    <cellStyle name="Normal 2 3 21 4 2" xfId="27559" xr:uid="{00000000-0005-0000-0000-0000A76B0000}"/>
    <cellStyle name="Normal 2 3 21 4 3" xfId="27560" xr:uid="{00000000-0005-0000-0000-0000A86B0000}"/>
    <cellStyle name="Normal 2 3 21 4 4" xfId="27561" xr:uid="{00000000-0005-0000-0000-0000A96B0000}"/>
    <cellStyle name="Normal 2 3 21 4 5" xfId="27562" xr:uid="{00000000-0005-0000-0000-0000AA6B0000}"/>
    <cellStyle name="Normal 2 3 21 4 6" xfId="27563" xr:uid="{00000000-0005-0000-0000-0000AB6B0000}"/>
    <cellStyle name="Normal 2 3 21 4 7" xfId="27564" xr:uid="{00000000-0005-0000-0000-0000AC6B0000}"/>
    <cellStyle name="Normal 2 3 21 4 8" xfId="27565" xr:uid="{00000000-0005-0000-0000-0000AD6B0000}"/>
    <cellStyle name="Normal 2 3 21 4 9" xfId="27566" xr:uid="{00000000-0005-0000-0000-0000AE6B0000}"/>
    <cellStyle name="Normal 2 3 21 5" xfId="27567" xr:uid="{00000000-0005-0000-0000-0000AF6B0000}"/>
    <cellStyle name="Normal 2 3 21 5 10" xfId="27568" xr:uid="{00000000-0005-0000-0000-0000B06B0000}"/>
    <cellStyle name="Normal 2 3 21 5 2" xfId="27569" xr:uid="{00000000-0005-0000-0000-0000B16B0000}"/>
    <cellStyle name="Normal 2 3 21 5 3" xfId="27570" xr:uid="{00000000-0005-0000-0000-0000B26B0000}"/>
    <cellStyle name="Normal 2 3 21 5 4" xfId="27571" xr:uid="{00000000-0005-0000-0000-0000B36B0000}"/>
    <cellStyle name="Normal 2 3 21 5 5" xfId="27572" xr:uid="{00000000-0005-0000-0000-0000B46B0000}"/>
    <cellStyle name="Normal 2 3 21 5 6" xfId="27573" xr:uid="{00000000-0005-0000-0000-0000B56B0000}"/>
    <cellStyle name="Normal 2 3 21 5 7" xfId="27574" xr:uid="{00000000-0005-0000-0000-0000B66B0000}"/>
    <cellStyle name="Normal 2 3 21 5 8" xfId="27575" xr:uid="{00000000-0005-0000-0000-0000B76B0000}"/>
    <cellStyle name="Normal 2 3 21 5 9" xfId="27576" xr:uid="{00000000-0005-0000-0000-0000B86B0000}"/>
    <cellStyle name="Normal 2 3 21 6" xfId="27577" xr:uid="{00000000-0005-0000-0000-0000B96B0000}"/>
    <cellStyle name="Normal 2 3 21 7" xfId="27578" xr:uid="{00000000-0005-0000-0000-0000BA6B0000}"/>
    <cellStyle name="Normal 2 3 21 8" xfId="27579" xr:uid="{00000000-0005-0000-0000-0000BB6B0000}"/>
    <cellStyle name="Normal 2 3 21 9" xfId="27580" xr:uid="{00000000-0005-0000-0000-0000BC6B0000}"/>
    <cellStyle name="Normal 2 3 22" xfId="27581" xr:uid="{00000000-0005-0000-0000-0000BD6B0000}"/>
    <cellStyle name="Normal 2 3 22 10" xfId="27582" xr:uid="{00000000-0005-0000-0000-0000BE6B0000}"/>
    <cellStyle name="Normal 2 3 22 11" xfId="27583" xr:uid="{00000000-0005-0000-0000-0000BF6B0000}"/>
    <cellStyle name="Normal 2 3 22 12" xfId="27584" xr:uid="{00000000-0005-0000-0000-0000C06B0000}"/>
    <cellStyle name="Normal 2 3 22 13" xfId="27585" xr:uid="{00000000-0005-0000-0000-0000C16B0000}"/>
    <cellStyle name="Normal 2 3 22 14" xfId="27586" xr:uid="{00000000-0005-0000-0000-0000C26B0000}"/>
    <cellStyle name="Normal 2 3 22 2" xfId="27587" xr:uid="{00000000-0005-0000-0000-0000C36B0000}"/>
    <cellStyle name="Normal 2 3 22 2 10" xfId="27588" xr:uid="{00000000-0005-0000-0000-0000C46B0000}"/>
    <cellStyle name="Normal 2 3 22 2 2" xfId="27589" xr:uid="{00000000-0005-0000-0000-0000C56B0000}"/>
    <cellStyle name="Normal 2 3 22 2 3" xfId="27590" xr:uid="{00000000-0005-0000-0000-0000C66B0000}"/>
    <cellStyle name="Normal 2 3 22 2 4" xfId="27591" xr:uid="{00000000-0005-0000-0000-0000C76B0000}"/>
    <cellStyle name="Normal 2 3 22 2 5" xfId="27592" xr:uid="{00000000-0005-0000-0000-0000C86B0000}"/>
    <cellStyle name="Normal 2 3 22 2 6" xfId="27593" xr:uid="{00000000-0005-0000-0000-0000C96B0000}"/>
    <cellStyle name="Normal 2 3 22 2 7" xfId="27594" xr:uid="{00000000-0005-0000-0000-0000CA6B0000}"/>
    <cellStyle name="Normal 2 3 22 2 8" xfId="27595" xr:uid="{00000000-0005-0000-0000-0000CB6B0000}"/>
    <cellStyle name="Normal 2 3 22 2 9" xfId="27596" xr:uid="{00000000-0005-0000-0000-0000CC6B0000}"/>
    <cellStyle name="Normal 2 3 22 3" xfId="27597" xr:uid="{00000000-0005-0000-0000-0000CD6B0000}"/>
    <cellStyle name="Normal 2 3 22 3 10" xfId="27598" xr:uid="{00000000-0005-0000-0000-0000CE6B0000}"/>
    <cellStyle name="Normal 2 3 22 3 2" xfId="27599" xr:uid="{00000000-0005-0000-0000-0000CF6B0000}"/>
    <cellStyle name="Normal 2 3 22 3 3" xfId="27600" xr:uid="{00000000-0005-0000-0000-0000D06B0000}"/>
    <cellStyle name="Normal 2 3 22 3 4" xfId="27601" xr:uid="{00000000-0005-0000-0000-0000D16B0000}"/>
    <cellStyle name="Normal 2 3 22 3 5" xfId="27602" xr:uid="{00000000-0005-0000-0000-0000D26B0000}"/>
    <cellStyle name="Normal 2 3 22 3 6" xfId="27603" xr:uid="{00000000-0005-0000-0000-0000D36B0000}"/>
    <cellStyle name="Normal 2 3 22 3 7" xfId="27604" xr:uid="{00000000-0005-0000-0000-0000D46B0000}"/>
    <cellStyle name="Normal 2 3 22 3 8" xfId="27605" xr:uid="{00000000-0005-0000-0000-0000D56B0000}"/>
    <cellStyle name="Normal 2 3 22 3 9" xfId="27606" xr:uid="{00000000-0005-0000-0000-0000D66B0000}"/>
    <cellStyle name="Normal 2 3 22 4" xfId="27607" xr:uid="{00000000-0005-0000-0000-0000D76B0000}"/>
    <cellStyle name="Normal 2 3 22 4 10" xfId="27608" xr:uid="{00000000-0005-0000-0000-0000D86B0000}"/>
    <cellStyle name="Normal 2 3 22 4 2" xfId="27609" xr:uid="{00000000-0005-0000-0000-0000D96B0000}"/>
    <cellStyle name="Normal 2 3 22 4 3" xfId="27610" xr:uid="{00000000-0005-0000-0000-0000DA6B0000}"/>
    <cellStyle name="Normal 2 3 22 4 4" xfId="27611" xr:uid="{00000000-0005-0000-0000-0000DB6B0000}"/>
    <cellStyle name="Normal 2 3 22 4 5" xfId="27612" xr:uid="{00000000-0005-0000-0000-0000DC6B0000}"/>
    <cellStyle name="Normal 2 3 22 4 6" xfId="27613" xr:uid="{00000000-0005-0000-0000-0000DD6B0000}"/>
    <cellStyle name="Normal 2 3 22 4 7" xfId="27614" xr:uid="{00000000-0005-0000-0000-0000DE6B0000}"/>
    <cellStyle name="Normal 2 3 22 4 8" xfId="27615" xr:uid="{00000000-0005-0000-0000-0000DF6B0000}"/>
    <cellStyle name="Normal 2 3 22 4 9" xfId="27616" xr:uid="{00000000-0005-0000-0000-0000E06B0000}"/>
    <cellStyle name="Normal 2 3 22 5" xfId="27617" xr:uid="{00000000-0005-0000-0000-0000E16B0000}"/>
    <cellStyle name="Normal 2 3 22 5 10" xfId="27618" xr:uid="{00000000-0005-0000-0000-0000E26B0000}"/>
    <cellStyle name="Normal 2 3 22 5 2" xfId="27619" xr:uid="{00000000-0005-0000-0000-0000E36B0000}"/>
    <cellStyle name="Normal 2 3 22 5 3" xfId="27620" xr:uid="{00000000-0005-0000-0000-0000E46B0000}"/>
    <cellStyle name="Normal 2 3 22 5 4" xfId="27621" xr:uid="{00000000-0005-0000-0000-0000E56B0000}"/>
    <cellStyle name="Normal 2 3 22 5 5" xfId="27622" xr:uid="{00000000-0005-0000-0000-0000E66B0000}"/>
    <cellStyle name="Normal 2 3 22 5 6" xfId="27623" xr:uid="{00000000-0005-0000-0000-0000E76B0000}"/>
    <cellStyle name="Normal 2 3 22 5 7" xfId="27624" xr:uid="{00000000-0005-0000-0000-0000E86B0000}"/>
    <cellStyle name="Normal 2 3 22 5 8" xfId="27625" xr:uid="{00000000-0005-0000-0000-0000E96B0000}"/>
    <cellStyle name="Normal 2 3 22 5 9" xfId="27626" xr:uid="{00000000-0005-0000-0000-0000EA6B0000}"/>
    <cellStyle name="Normal 2 3 22 6" xfId="27627" xr:uid="{00000000-0005-0000-0000-0000EB6B0000}"/>
    <cellStyle name="Normal 2 3 22 7" xfId="27628" xr:uid="{00000000-0005-0000-0000-0000EC6B0000}"/>
    <cellStyle name="Normal 2 3 22 8" xfId="27629" xr:uid="{00000000-0005-0000-0000-0000ED6B0000}"/>
    <cellStyle name="Normal 2 3 22 9" xfId="27630" xr:uid="{00000000-0005-0000-0000-0000EE6B0000}"/>
    <cellStyle name="Normal 2 3 23" xfId="27631" xr:uid="{00000000-0005-0000-0000-0000EF6B0000}"/>
    <cellStyle name="Normal 2 3 23 10" xfId="27632" xr:uid="{00000000-0005-0000-0000-0000F06B0000}"/>
    <cellStyle name="Normal 2 3 23 11" xfId="27633" xr:uid="{00000000-0005-0000-0000-0000F16B0000}"/>
    <cellStyle name="Normal 2 3 23 12" xfId="27634" xr:uid="{00000000-0005-0000-0000-0000F26B0000}"/>
    <cellStyle name="Normal 2 3 23 13" xfId="27635" xr:uid="{00000000-0005-0000-0000-0000F36B0000}"/>
    <cellStyle name="Normal 2 3 23 14" xfId="27636" xr:uid="{00000000-0005-0000-0000-0000F46B0000}"/>
    <cellStyle name="Normal 2 3 23 2" xfId="27637" xr:uid="{00000000-0005-0000-0000-0000F56B0000}"/>
    <cellStyle name="Normal 2 3 23 2 10" xfId="27638" xr:uid="{00000000-0005-0000-0000-0000F66B0000}"/>
    <cellStyle name="Normal 2 3 23 2 2" xfId="27639" xr:uid="{00000000-0005-0000-0000-0000F76B0000}"/>
    <cellStyle name="Normal 2 3 23 2 3" xfId="27640" xr:uid="{00000000-0005-0000-0000-0000F86B0000}"/>
    <cellStyle name="Normal 2 3 23 2 4" xfId="27641" xr:uid="{00000000-0005-0000-0000-0000F96B0000}"/>
    <cellStyle name="Normal 2 3 23 2 5" xfId="27642" xr:uid="{00000000-0005-0000-0000-0000FA6B0000}"/>
    <cellStyle name="Normal 2 3 23 2 6" xfId="27643" xr:uid="{00000000-0005-0000-0000-0000FB6B0000}"/>
    <cellStyle name="Normal 2 3 23 2 7" xfId="27644" xr:uid="{00000000-0005-0000-0000-0000FC6B0000}"/>
    <cellStyle name="Normal 2 3 23 2 8" xfId="27645" xr:uid="{00000000-0005-0000-0000-0000FD6B0000}"/>
    <cellStyle name="Normal 2 3 23 2 9" xfId="27646" xr:uid="{00000000-0005-0000-0000-0000FE6B0000}"/>
    <cellStyle name="Normal 2 3 23 3" xfId="27647" xr:uid="{00000000-0005-0000-0000-0000FF6B0000}"/>
    <cellStyle name="Normal 2 3 23 3 10" xfId="27648" xr:uid="{00000000-0005-0000-0000-0000006C0000}"/>
    <cellStyle name="Normal 2 3 23 3 2" xfId="27649" xr:uid="{00000000-0005-0000-0000-0000016C0000}"/>
    <cellStyle name="Normal 2 3 23 3 3" xfId="27650" xr:uid="{00000000-0005-0000-0000-0000026C0000}"/>
    <cellStyle name="Normal 2 3 23 3 4" xfId="27651" xr:uid="{00000000-0005-0000-0000-0000036C0000}"/>
    <cellStyle name="Normal 2 3 23 3 5" xfId="27652" xr:uid="{00000000-0005-0000-0000-0000046C0000}"/>
    <cellStyle name="Normal 2 3 23 3 6" xfId="27653" xr:uid="{00000000-0005-0000-0000-0000056C0000}"/>
    <cellStyle name="Normal 2 3 23 3 7" xfId="27654" xr:uid="{00000000-0005-0000-0000-0000066C0000}"/>
    <cellStyle name="Normal 2 3 23 3 8" xfId="27655" xr:uid="{00000000-0005-0000-0000-0000076C0000}"/>
    <cellStyle name="Normal 2 3 23 3 9" xfId="27656" xr:uid="{00000000-0005-0000-0000-0000086C0000}"/>
    <cellStyle name="Normal 2 3 23 4" xfId="27657" xr:uid="{00000000-0005-0000-0000-0000096C0000}"/>
    <cellStyle name="Normal 2 3 23 4 10" xfId="27658" xr:uid="{00000000-0005-0000-0000-00000A6C0000}"/>
    <cellStyle name="Normal 2 3 23 4 2" xfId="27659" xr:uid="{00000000-0005-0000-0000-00000B6C0000}"/>
    <cellStyle name="Normal 2 3 23 4 3" xfId="27660" xr:uid="{00000000-0005-0000-0000-00000C6C0000}"/>
    <cellStyle name="Normal 2 3 23 4 4" xfId="27661" xr:uid="{00000000-0005-0000-0000-00000D6C0000}"/>
    <cellStyle name="Normal 2 3 23 4 5" xfId="27662" xr:uid="{00000000-0005-0000-0000-00000E6C0000}"/>
    <cellStyle name="Normal 2 3 23 4 6" xfId="27663" xr:uid="{00000000-0005-0000-0000-00000F6C0000}"/>
    <cellStyle name="Normal 2 3 23 4 7" xfId="27664" xr:uid="{00000000-0005-0000-0000-0000106C0000}"/>
    <cellStyle name="Normal 2 3 23 4 8" xfId="27665" xr:uid="{00000000-0005-0000-0000-0000116C0000}"/>
    <cellStyle name="Normal 2 3 23 4 9" xfId="27666" xr:uid="{00000000-0005-0000-0000-0000126C0000}"/>
    <cellStyle name="Normal 2 3 23 5" xfId="27667" xr:uid="{00000000-0005-0000-0000-0000136C0000}"/>
    <cellStyle name="Normal 2 3 23 5 10" xfId="27668" xr:uid="{00000000-0005-0000-0000-0000146C0000}"/>
    <cellStyle name="Normal 2 3 23 5 2" xfId="27669" xr:uid="{00000000-0005-0000-0000-0000156C0000}"/>
    <cellStyle name="Normal 2 3 23 5 3" xfId="27670" xr:uid="{00000000-0005-0000-0000-0000166C0000}"/>
    <cellStyle name="Normal 2 3 23 5 4" xfId="27671" xr:uid="{00000000-0005-0000-0000-0000176C0000}"/>
    <cellStyle name="Normal 2 3 23 5 5" xfId="27672" xr:uid="{00000000-0005-0000-0000-0000186C0000}"/>
    <cellStyle name="Normal 2 3 23 5 6" xfId="27673" xr:uid="{00000000-0005-0000-0000-0000196C0000}"/>
    <cellStyle name="Normal 2 3 23 5 7" xfId="27674" xr:uid="{00000000-0005-0000-0000-00001A6C0000}"/>
    <cellStyle name="Normal 2 3 23 5 8" xfId="27675" xr:uid="{00000000-0005-0000-0000-00001B6C0000}"/>
    <cellStyle name="Normal 2 3 23 5 9" xfId="27676" xr:uid="{00000000-0005-0000-0000-00001C6C0000}"/>
    <cellStyle name="Normal 2 3 23 6" xfId="27677" xr:uid="{00000000-0005-0000-0000-00001D6C0000}"/>
    <cellStyle name="Normal 2 3 23 7" xfId="27678" xr:uid="{00000000-0005-0000-0000-00001E6C0000}"/>
    <cellStyle name="Normal 2 3 23 8" xfId="27679" xr:uid="{00000000-0005-0000-0000-00001F6C0000}"/>
    <cellStyle name="Normal 2 3 23 9" xfId="27680" xr:uid="{00000000-0005-0000-0000-0000206C0000}"/>
    <cellStyle name="Normal 2 3 24" xfId="27681" xr:uid="{00000000-0005-0000-0000-0000216C0000}"/>
    <cellStyle name="Normal 2 3 24 10" xfId="27682" xr:uid="{00000000-0005-0000-0000-0000226C0000}"/>
    <cellStyle name="Normal 2 3 24 11" xfId="27683" xr:uid="{00000000-0005-0000-0000-0000236C0000}"/>
    <cellStyle name="Normal 2 3 24 12" xfId="27684" xr:uid="{00000000-0005-0000-0000-0000246C0000}"/>
    <cellStyle name="Normal 2 3 24 13" xfId="27685" xr:uid="{00000000-0005-0000-0000-0000256C0000}"/>
    <cellStyle name="Normal 2 3 24 14" xfId="27686" xr:uid="{00000000-0005-0000-0000-0000266C0000}"/>
    <cellStyle name="Normal 2 3 24 2" xfId="27687" xr:uid="{00000000-0005-0000-0000-0000276C0000}"/>
    <cellStyle name="Normal 2 3 24 2 10" xfId="27688" xr:uid="{00000000-0005-0000-0000-0000286C0000}"/>
    <cellStyle name="Normal 2 3 24 2 2" xfId="27689" xr:uid="{00000000-0005-0000-0000-0000296C0000}"/>
    <cellStyle name="Normal 2 3 24 2 3" xfId="27690" xr:uid="{00000000-0005-0000-0000-00002A6C0000}"/>
    <cellStyle name="Normal 2 3 24 2 4" xfId="27691" xr:uid="{00000000-0005-0000-0000-00002B6C0000}"/>
    <cellStyle name="Normal 2 3 24 2 5" xfId="27692" xr:uid="{00000000-0005-0000-0000-00002C6C0000}"/>
    <cellStyle name="Normal 2 3 24 2 6" xfId="27693" xr:uid="{00000000-0005-0000-0000-00002D6C0000}"/>
    <cellStyle name="Normal 2 3 24 2 7" xfId="27694" xr:uid="{00000000-0005-0000-0000-00002E6C0000}"/>
    <cellStyle name="Normal 2 3 24 2 8" xfId="27695" xr:uid="{00000000-0005-0000-0000-00002F6C0000}"/>
    <cellStyle name="Normal 2 3 24 2 9" xfId="27696" xr:uid="{00000000-0005-0000-0000-0000306C0000}"/>
    <cellStyle name="Normal 2 3 24 3" xfId="27697" xr:uid="{00000000-0005-0000-0000-0000316C0000}"/>
    <cellStyle name="Normal 2 3 24 3 10" xfId="27698" xr:uid="{00000000-0005-0000-0000-0000326C0000}"/>
    <cellStyle name="Normal 2 3 24 3 2" xfId="27699" xr:uid="{00000000-0005-0000-0000-0000336C0000}"/>
    <cellStyle name="Normal 2 3 24 3 3" xfId="27700" xr:uid="{00000000-0005-0000-0000-0000346C0000}"/>
    <cellStyle name="Normal 2 3 24 3 4" xfId="27701" xr:uid="{00000000-0005-0000-0000-0000356C0000}"/>
    <cellStyle name="Normal 2 3 24 3 5" xfId="27702" xr:uid="{00000000-0005-0000-0000-0000366C0000}"/>
    <cellStyle name="Normal 2 3 24 3 6" xfId="27703" xr:uid="{00000000-0005-0000-0000-0000376C0000}"/>
    <cellStyle name="Normal 2 3 24 3 7" xfId="27704" xr:uid="{00000000-0005-0000-0000-0000386C0000}"/>
    <cellStyle name="Normal 2 3 24 3 8" xfId="27705" xr:uid="{00000000-0005-0000-0000-0000396C0000}"/>
    <cellStyle name="Normal 2 3 24 3 9" xfId="27706" xr:uid="{00000000-0005-0000-0000-00003A6C0000}"/>
    <cellStyle name="Normal 2 3 24 4" xfId="27707" xr:uid="{00000000-0005-0000-0000-00003B6C0000}"/>
    <cellStyle name="Normal 2 3 24 4 10" xfId="27708" xr:uid="{00000000-0005-0000-0000-00003C6C0000}"/>
    <cellStyle name="Normal 2 3 24 4 2" xfId="27709" xr:uid="{00000000-0005-0000-0000-00003D6C0000}"/>
    <cellStyle name="Normal 2 3 24 4 3" xfId="27710" xr:uid="{00000000-0005-0000-0000-00003E6C0000}"/>
    <cellStyle name="Normal 2 3 24 4 4" xfId="27711" xr:uid="{00000000-0005-0000-0000-00003F6C0000}"/>
    <cellStyle name="Normal 2 3 24 4 5" xfId="27712" xr:uid="{00000000-0005-0000-0000-0000406C0000}"/>
    <cellStyle name="Normal 2 3 24 4 6" xfId="27713" xr:uid="{00000000-0005-0000-0000-0000416C0000}"/>
    <cellStyle name="Normal 2 3 24 4 7" xfId="27714" xr:uid="{00000000-0005-0000-0000-0000426C0000}"/>
    <cellStyle name="Normal 2 3 24 4 8" xfId="27715" xr:uid="{00000000-0005-0000-0000-0000436C0000}"/>
    <cellStyle name="Normal 2 3 24 4 9" xfId="27716" xr:uid="{00000000-0005-0000-0000-0000446C0000}"/>
    <cellStyle name="Normal 2 3 24 5" xfId="27717" xr:uid="{00000000-0005-0000-0000-0000456C0000}"/>
    <cellStyle name="Normal 2 3 24 5 10" xfId="27718" xr:uid="{00000000-0005-0000-0000-0000466C0000}"/>
    <cellStyle name="Normal 2 3 24 5 2" xfId="27719" xr:uid="{00000000-0005-0000-0000-0000476C0000}"/>
    <cellStyle name="Normal 2 3 24 5 3" xfId="27720" xr:uid="{00000000-0005-0000-0000-0000486C0000}"/>
    <cellStyle name="Normal 2 3 24 5 4" xfId="27721" xr:uid="{00000000-0005-0000-0000-0000496C0000}"/>
    <cellStyle name="Normal 2 3 24 5 5" xfId="27722" xr:uid="{00000000-0005-0000-0000-00004A6C0000}"/>
    <cellStyle name="Normal 2 3 24 5 6" xfId="27723" xr:uid="{00000000-0005-0000-0000-00004B6C0000}"/>
    <cellStyle name="Normal 2 3 24 5 7" xfId="27724" xr:uid="{00000000-0005-0000-0000-00004C6C0000}"/>
    <cellStyle name="Normal 2 3 24 5 8" xfId="27725" xr:uid="{00000000-0005-0000-0000-00004D6C0000}"/>
    <cellStyle name="Normal 2 3 24 5 9" xfId="27726" xr:uid="{00000000-0005-0000-0000-00004E6C0000}"/>
    <cellStyle name="Normal 2 3 24 6" xfId="27727" xr:uid="{00000000-0005-0000-0000-00004F6C0000}"/>
    <cellStyle name="Normal 2 3 24 7" xfId="27728" xr:uid="{00000000-0005-0000-0000-0000506C0000}"/>
    <cellStyle name="Normal 2 3 24 8" xfId="27729" xr:uid="{00000000-0005-0000-0000-0000516C0000}"/>
    <cellStyle name="Normal 2 3 24 9" xfId="27730" xr:uid="{00000000-0005-0000-0000-0000526C0000}"/>
    <cellStyle name="Normal 2 3 25" xfId="27731" xr:uid="{00000000-0005-0000-0000-0000536C0000}"/>
    <cellStyle name="Normal 2 3 25 10" xfId="27732" xr:uid="{00000000-0005-0000-0000-0000546C0000}"/>
    <cellStyle name="Normal 2 3 25 11" xfId="27733" xr:uid="{00000000-0005-0000-0000-0000556C0000}"/>
    <cellStyle name="Normal 2 3 25 12" xfId="27734" xr:uid="{00000000-0005-0000-0000-0000566C0000}"/>
    <cellStyle name="Normal 2 3 25 13" xfId="27735" xr:uid="{00000000-0005-0000-0000-0000576C0000}"/>
    <cellStyle name="Normal 2 3 25 14" xfId="27736" xr:uid="{00000000-0005-0000-0000-0000586C0000}"/>
    <cellStyle name="Normal 2 3 25 2" xfId="27737" xr:uid="{00000000-0005-0000-0000-0000596C0000}"/>
    <cellStyle name="Normal 2 3 25 2 10" xfId="27738" xr:uid="{00000000-0005-0000-0000-00005A6C0000}"/>
    <cellStyle name="Normal 2 3 25 2 2" xfId="27739" xr:uid="{00000000-0005-0000-0000-00005B6C0000}"/>
    <cellStyle name="Normal 2 3 25 2 3" xfId="27740" xr:uid="{00000000-0005-0000-0000-00005C6C0000}"/>
    <cellStyle name="Normal 2 3 25 2 4" xfId="27741" xr:uid="{00000000-0005-0000-0000-00005D6C0000}"/>
    <cellStyle name="Normal 2 3 25 2 5" xfId="27742" xr:uid="{00000000-0005-0000-0000-00005E6C0000}"/>
    <cellStyle name="Normal 2 3 25 2 6" xfId="27743" xr:uid="{00000000-0005-0000-0000-00005F6C0000}"/>
    <cellStyle name="Normal 2 3 25 2 7" xfId="27744" xr:uid="{00000000-0005-0000-0000-0000606C0000}"/>
    <cellStyle name="Normal 2 3 25 2 8" xfId="27745" xr:uid="{00000000-0005-0000-0000-0000616C0000}"/>
    <cellStyle name="Normal 2 3 25 2 9" xfId="27746" xr:uid="{00000000-0005-0000-0000-0000626C0000}"/>
    <cellStyle name="Normal 2 3 25 3" xfId="27747" xr:uid="{00000000-0005-0000-0000-0000636C0000}"/>
    <cellStyle name="Normal 2 3 25 3 10" xfId="27748" xr:uid="{00000000-0005-0000-0000-0000646C0000}"/>
    <cellStyle name="Normal 2 3 25 3 2" xfId="27749" xr:uid="{00000000-0005-0000-0000-0000656C0000}"/>
    <cellStyle name="Normal 2 3 25 3 3" xfId="27750" xr:uid="{00000000-0005-0000-0000-0000666C0000}"/>
    <cellStyle name="Normal 2 3 25 3 4" xfId="27751" xr:uid="{00000000-0005-0000-0000-0000676C0000}"/>
    <cellStyle name="Normal 2 3 25 3 5" xfId="27752" xr:uid="{00000000-0005-0000-0000-0000686C0000}"/>
    <cellStyle name="Normal 2 3 25 3 6" xfId="27753" xr:uid="{00000000-0005-0000-0000-0000696C0000}"/>
    <cellStyle name="Normal 2 3 25 3 7" xfId="27754" xr:uid="{00000000-0005-0000-0000-00006A6C0000}"/>
    <cellStyle name="Normal 2 3 25 3 8" xfId="27755" xr:uid="{00000000-0005-0000-0000-00006B6C0000}"/>
    <cellStyle name="Normal 2 3 25 3 9" xfId="27756" xr:uid="{00000000-0005-0000-0000-00006C6C0000}"/>
    <cellStyle name="Normal 2 3 25 4" xfId="27757" xr:uid="{00000000-0005-0000-0000-00006D6C0000}"/>
    <cellStyle name="Normal 2 3 25 4 10" xfId="27758" xr:uid="{00000000-0005-0000-0000-00006E6C0000}"/>
    <cellStyle name="Normal 2 3 25 4 2" xfId="27759" xr:uid="{00000000-0005-0000-0000-00006F6C0000}"/>
    <cellStyle name="Normal 2 3 25 4 3" xfId="27760" xr:uid="{00000000-0005-0000-0000-0000706C0000}"/>
    <cellStyle name="Normal 2 3 25 4 4" xfId="27761" xr:uid="{00000000-0005-0000-0000-0000716C0000}"/>
    <cellStyle name="Normal 2 3 25 4 5" xfId="27762" xr:uid="{00000000-0005-0000-0000-0000726C0000}"/>
    <cellStyle name="Normal 2 3 25 4 6" xfId="27763" xr:uid="{00000000-0005-0000-0000-0000736C0000}"/>
    <cellStyle name="Normal 2 3 25 4 7" xfId="27764" xr:uid="{00000000-0005-0000-0000-0000746C0000}"/>
    <cellStyle name="Normal 2 3 25 4 8" xfId="27765" xr:uid="{00000000-0005-0000-0000-0000756C0000}"/>
    <cellStyle name="Normal 2 3 25 4 9" xfId="27766" xr:uid="{00000000-0005-0000-0000-0000766C0000}"/>
    <cellStyle name="Normal 2 3 25 5" xfId="27767" xr:uid="{00000000-0005-0000-0000-0000776C0000}"/>
    <cellStyle name="Normal 2 3 25 5 10" xfId="27768" xr:uid="{00000000-0005-0000-0000-0000786C0000}"/>
    <cellStyle name="Normal 2 3 25 5 2" xfId="27769" xr:uid="{00000000-0005-0000-0000-0000796C0000}"/>
    <cellStyle name="Normal 2 3 25 5 3" xfId="27770" xr:uid="{00000000-0005-0000-0000-00007A6C0000}"/>
    <cellStyle name="Normal 2 3 25 5 4" xfId="27771" xr:uid="{00000000-0005-0000-0000-00007B6C0000}"/>
    <cellStyle name="Normal 2 3 25 5 5" xfId="27772" xr:uid="{00000000-0005-0000-0000-00007C6C0000}"/>
    <cellStyle name="Normal 2 3 25 5 6" xfId="27773" xr:uid="{00000000-0005-0000-0000-00007D6C0000}"/>
    <cellStyle name="Normal 2 3 25 5 7" xfId="27774" xr:uid="{00000000-0005-0000-0000-00007E6C0000}"/>
    <cellStyle name="Normal 2 3 25 5 8" xfId="27775" xr:uid="{00000000-0005-0000-0000-00007F6C0000}"/>
    <cellStyle name="Normal 2 3 25 5 9" xfId="27776" xr:uid="{00000000-0005-0000-0000-0000806C0000}"/>
    <cellStyle name="Normal 2 3 25 6" xfId="27777" xr:uid="{00000000-0005-0000-0000-0000816C0000}"/>
    <cellStyle name="Normal 2 3 25 7" xfId="27778" xr:uid="{00000000-0005-0000-0000-0000826C0000}"/>
    <cellStyle name="Normal 2 3 25 8" xfId="27779" xr:uid="{00000000-0005-0000-0000-0000836C0000}"/>
    <cellStyle name="Normal 2 3 25 9" xfId="27780" xr:uid="{00000000-0005-0000-0000-0000846C0000}"/>
    <cellStyle name="Normal 2 3 26" xfId="27781" xr:uid="{00000000-0005-0000-0000-0000856C0000}"/>
    <cellStyle name="Normal 2 3 26 10" xfId="27782" xr:uid="{00000000-0005-0000-0000-0000866C0000}"/>
    <cellStyle name="Normal 2 3 26 11" xfId="27783" xr:uid="{00000000-0005-0000-0000-0000876C0000}"/>
    <cellStyle name="Normal 2 3 26 12" xfId="27784" xr:uid="{00000000-0005-0000-0000-0000886C0000}"/>
    <cellStyle name="Normal 2 3 26 13" xfId="27785" xr:uid="{00000000-0005-0000-0000-0000896C0000}"/>
    <cellStyle name="Normal 2 3 26 14" xfId="27786" xr:uid="{00000000-0005-0000-0000-00008A6C0000}"/>
    <cellStyle name="Normal 2 3 26 2" xfId="27787" xr:uid="{00000000-0005-0000-0000-00008B6C0000}"/>
    <cellStyle name="Normal 2 3 26 2 10" xfId="27788" xr:uid="{00000000-0005-0000-0000-00008C6C0000}"/>
    <cellStyle name="Normal 2 3 26 2 2" xfId="27789" xr:uid="{00000000-0005-0000-0000-00008D6C0000}"/>
    <cellStyle name="Normal 2 3 26 2 3" xfId="27790" xr:uid="{00000000-0005-0000-0000-00008E6C0000}"/>
    <cellStyle name="Normal 2 3 26 2 4" xfId="27791" xr:uid="{00000000-0005-0000-0000-00008F6C0000}"/>
    <cellStyle name="Normal 2 3 26 2 5" xfId="27792" xr:uid="{00000000-0005-0000-0000-0000906C0000}"/>
    <cellStyle name="Normal 2 3 26 2 6" xfId="27793" xr:uid="{00000000-0005-0000-0000-0000916C0000}"/>
    <cellStyle name="Normal 2 3 26 2 7" xfId="27794" xr:uid="{00000000-0005-0000-0000-0000926C0000}"/>
    <cellStyle name="Normal 2 3 26 2 8" xfId="27795" xr:uid="{00000000-0005-0000-0000-0000936C0000}"/>
    <cellStyle name="Normal 2 3 26 2 9" xfId="27796" xr:uid="{00000000-0005-0000-0000-0000946C0000}"/>
    <cellStyle name="Normal 2 3 26 3" xfId="27797" xr:uid="{00000000-0005-0000-0000-0000956C0000}"/>
    <cellStyle name="Normal 2 3 26 3 10" xfId="27798" xr:uid="{00000000-0005-0000-0000-0000966C0000}"/>
    <cellStyle name="Normal 2 3 26 3 2" xfId="27799" xr:uid="{00000000-0005-0000-0000-0000976C0000}"/>
    <cellStyle name="Normal 2 3 26 3 3" xfId="27800" xr:uid="{00000000-0005-0000-0000-0000986C0000}"/>
    <cellStyle name="Normal 2 3 26 3 4" xfId="27801" xr:uid="{00000000-0005-0000-0000-0000996C0000}"/>
    <cellStyle name="Normal 2 3 26 3 5" xfId="27802" xr:uid="{00000000-0005-0000-0000-00009A6C0000}"/>
    <cellStyle name="Normal 2 3 26 3 6" xfId="27803" xr:uid="{00000000-0005-0000-0000-00009B6C0000}"/>
    <cellStyle name="Normal 2 3 26 3 7" xfId="27804" xr:uid="{00000000-0005-0000-0000-00009C6C0000}"/>
    <cellStyle name="Normal 2 3 26 3 8" xfId="27805" xr:uid="{00000000-0005-0000-0000-00009D6C0000}"/>
    <cellStyle name="Normal 2 3 26 3 9" xfId="27806" xr:uid="{00000000-0005-0000-0000-00009E6C0000}"/>
    <cellStyle name="Normal 2 3 26 4" xfId="27807" xr:uid="{00000000-0005-0000-0000-00009F6C0000}"/>
    <cellStyle name="Normal 2 3 26 4 10" xfId="27808" xr:uid="{00000000-0005-0000-0000-0000A06C0000}"/>
    <cellStyle name="Normal 2 3 26 4 2" xfId="27809" xr:uid="{00000000-0005-0000-0000-0000A16C0000}"/>
    <cellStyle name="Normal 2 3 26 4 3" xfId="27810" xr:uid="{00000000-0005-0000-0000-0000A26C0000}"/>
    <cellStyle name="Normal 2 3 26 4 4" xfId="27811" xr:uid="{00000000-0005-0000-0000-0000A36C0000}"/>
    <cellStyle name="Normal 2 3 26 4 5" xfId="27812" xr:uid="{00000000-0005-0000-0000-0000A46C0000}"/>
    <cellStyle name="Normal 2 3 26 4 6" xfId="27813" xr:uid="{00000000-0005-0000-0000-0000A56C0000}"/>
    <cellStyle name="Normal 2 3 26 4 7" xfId="27814" xr:uid="{00000000-0005-0000-0000-0000A66C0000}"/>
    <cellStyle name="Normal 2 3 26 4 8" xfId="27815" xr:uid="{00000000-0005-0000-0000-0000A76C0000}"/>
    <cellStyle name="Normal 2 3 26 4 9" xfId="27816" xr:uid="{00000000-0005-0000-0000-0000A86C0000}"/>
    <cellStyle name="Normal 2 3 26 5" xfId="27817" xr:uid="{00000000-0005-0000-0000-0000A96C0000}"/>
    <cellStyle name="Normal 2 3 26 5 10" xfId="27818" xr:uid="{00000000-0005-0000-0000-0000AA6C0000}"/>
    <cellStyle name="Normal 2 3 26 5 2" xfId="27819" xr:uid="{00000000-0005-0000-0000-0000AB6C0000}"/>
    <cellStyle name="Normal 2 3 26 5 3" xfId="27820" xr:uid="{00000000-0005-0000-0000-0000AC6C0000}"/>
    <cellStyle name="Normal 2 3 26 5 4" xfId="27821" xr:uid="{00000000-0005-0000-0000-0000AD6C0000}"/>
    <cellStyle name="Normal 2 3 26 5 5" xfId="27822" xr:uid="{00000000-0005-0000-0000-0000AE6C0000}"/>
    <cellStyle name="Normal 2 3 26 5 6" xfId="27823" xr:uid="{00000000-0005-0000-0000-0000AF6C0000}"/>
    <cellStyle name="Normal 2 3 26 5 7" xfId="27824" xr:uid="{00000000-0005-0000-0000-0000B06C0000}"/>
    <cellStyle name="Normal 2 3 26 5 8" xfId="27825" xr:uid="{00000000-0005-0000-0000-0000B16C0000}"/>
    <cellStyle name="Normal 2 3 26 5 9" xfId="27826" xr:uid="{00000000-0005-0000-0000-0000B26C0000}"/>
    <cellStyle name="Normal 2 3 26 6" xfId="27827" xr:uid="{00000000-0005-0000-0000-0000B36C0000}"/>
    <cellStyle name="Normal 2 3 26 7" xfId="27828" xr:uid="{00000000-0005-0000-0000-0000B46C0000}"/>
    <cellStyle name="Normal 2 3 26 8" xfId="27829" xr:uid="{00000000-0005-0000-0000-0000B56C0000}"/>
    <cellStyle name="Normal 2 3 26 9" xfId="27830" xr:uid="{00000000-0005-0000-0000-0000B66C0000}"/>
    <cellStyle name="Normal 2 3 27" xfId="27831" xr:uid="{00000000-0005-0000-0000-0000B76C0000}"/>
    <cellStyle name="Normal 2 3 27 10" xfId="27832" xr:uid="{00000000-0005-0000-0000-0000B86C0000}"/>
    <cellStyle name="Normal 2 3 27 11" xfId="27833" xr:uid="{00000000-0005-0000-0000-0000B96C0000}"/>
    <cellStyle name="Normal 2 3 27 12" xfId="27834" xr:uid="{00000000-0005-0000-0000-0000BA6C0000}"/>
    <cellStyle name="Normal 2 3 27 13" xfId="27835" xr:uid="{00000000-0005-0000-0000-0000BB6C0000}"/>
    <cellStyle name="Normal 2 3 27 14" xfId="27836" xr:uid="{00000000-0005-0000-0000-0000BC6C0000}"/>
    <cellStyle name="Normal 2 3 27 2" xfId="27837" xr:uid="{00000000-0005-0000-0000-0000BD6C0000}"/>
    <cellStyle name="Normal 2 3 27 2 10" xfId="27838" xr:uid="{00000000-0005-0000-0000-0000BE6C0000}"/>
    <cellStyle name="Normal 2 3 27 2 2" xfId="27839" xr:uid="{00000000-0005-0000-0000-0000BF6C0000}"/>
    <cellStyle name="Normal 2 3 27 2 3" xfId="27840" xr:uid="{00000000-0005-0000-0000-0000C06C0000}"/>
    <cellStyle name="Normal 2 3 27 2 4" xfId="27841" xr:uid="{00000000-0005-0000-0000-0000C16C0000}"/>
    <cellStyle name="Normal 2 3 27 2 5" xfId="27842" xr:uid="{00000000-0005-0000-0000-0000C26C0000}"/>
    <cellStyle name="Normal 2 3 27 2 6" xfId="27843" xr:uid="{00000000-0005-0000-0000-0000C36C0000}"/>
    <cellStyle name="Normal 2 3 27 2 7" xfId="27844" xr:uid="{00000000-0005-0000-0000-0000C46C0000}"/>
    <cellStyle name="Normal 2 3 27 2 8" xfId="27845" xr:uid="{00000000-0005-0000-0000-0000C56C0000}"/>
    <cellStyle name="Normal 2 3 27 2 9" xfId="27846" xr:uid="{00000000-0005-0000-0000-0000C66C0000}"/>
    <cellStyle name="Normal 2 3 27 3" xfId="27847" xr:uid="{00000000-0005-0000-0000-0000C76C0000}"/>
    <cellStyle name="Normal 2 3 27 3 10" xfId="27848" xr:uid="{00000000-0005-0000-0000-0000C86C0000}"/>
    <cellStyle name="Normal 2 3 27 3 2" xfId="27849" xr:uid="{00000000-0005-0000-0000-0000C96C0000}"/>
    <cellStyle name="Normal 2 3 27 3 3" xfId="27850" xr:uid="{00000000-0005-0000-0000-0000CA6C0000}"/>
    <cellStyle name="Normal 2 3 27 3 4" xfId="27851" xr:uid="{00000000-0005-0000-0000-0000CB6C0000}"/>
    <cellStyle name="Normal 2 3 27 3 5" xfId="27852" xr:uid="{00000000-0005-0000-0000-0000CC6C0000}"/>
    <cellStyle name="Normal 2 3 27 3 6" xfId="27853" xr:uid="{00000000-0005-0000-0000-0000CD6C0000}"/>
    <cellStyle name="Normal 2 3 27 3 7" xfId="27854" xr:uid="{00000000-0005-0000-0000-0000CE6C0000}"/>
    <cellStyle name="Normal 2 3 27 3 8" xfId="27855" xr:uid="{00000000-0005-0000-0000-0000CF6C0000}"/>
    <cellStyle name="Normal 2 3 27 3 9" xfId="27856" xr:uid="{00000000-0005-0000-0000-0000D06C0000}"/>
    <cellStyle name="Normal 2 3 27 4" xfId="27857" xr:uid="{00000000-0005-0000-0000-0000D16C0000}"/>
    <cellStyle name="Normal 2 3 27 4 10" xfId="27858" xr:uid="{00000000-0005-0000-0000-0000D26C0000}"/>
    <cellStyle name="Normal 2 3 27 4 2" xfId="27859" xr:uid="{00000000-0005-0000-0000-0000D36C0000}"/>
    <cellStyle name="Normal 2 3 27 4 3" xfId="27860" xr:uid="{00000000-0005-0000-0000-0000D46C0000}"/>
    <cellStyle name="Normal 2 3 27 4 4" xfId="27861" xr:uid="{00000000-0005-0000-0000-0000D56C0000}"/>
    <cellStyle name="Normal 2 3 27 4 5" xfId="27862" xr:uid="{00000000-0005-0000-0000-0000D66C0000}"/>
    <cellStyle name="Normal 2 3 27 4 6" xfId="27863" xr:uid="{00000000-0005-0000-0000-0000D76C0000}"/>
    <cellStyle name="Normal 2 3 27 4 7" xfId="27864" xr:uid="{00000000-0005-0000-0000-0000D86C0000}"/>
    <cellStyle name="Normal 2 3 27 4 8" xfId="27865" xr:uid="{00000000-0005-0000-0000-0000D96C0000}"/>
    <cellStyle name="Normal 2 3 27 4 9" xfId="27866" xr:uid="{00000000-0005-0000-0000-0000DA6C0000}"/>
    <cellStyle name="Normal 2 3 27 5" xfId="27867" xr:uid="{00000000-0005-0000-0000-0000DB6C0000}"/>
    <cellStyle name="Normal 2 3 27 5 10" xfId="27868" xr:uid="{00000000-0005-0000-0000-0000DC6C0000}"/>
    <cellStyle name="Normal 2 3 27 5 2" xfId="27869" xr:uid="{00000000-0005-0000-0000-0000DD6C0000}"/>
    <cellStyle name="Normal 2 3 27 5 3" xfId="27870" xr:uid="{00000000-0005-0000-0000-0000DE6C0000}"/>
    <cellStyle name="Normal 2 3 27 5 4" xfId="27871" xr:uid="{00000000-0005-0000-0000-0000DF6C0000}"/>
    <cellStyle name="Normal 2 3 27 5 5" xfId="27872" xr:uid="{00000000-0005-0000-0000-0000E06C0000}"/>
    <cellStyle name="Normal 2 3 27 5 6" xfId="27873" xr:uid="{00000000-0005-0000-0000-0000E16C0000}"/>
    <cellStyle name="Normal 2 3 27 5 7" xfId="27874" xr:uid="{00000000-0005-0000-0000-0000E26C0000}"/>
    <cellStyle name="Normal 2 3 27 5 8" xfId="27875" xr:uid="{00000000-0005-0000-0000-0000E36C0000}"/>
    <cellStyle name="Normal 2 3 27 5 9" xfId="27876" xr:uid="{00000000-0005-0000-0000-0000E46C0000}"/>
    <cellStyle name="Normal 2 3 27 6" xfId="27877" xr:uid="{00000000-0005-0000-0000-0000E56C0000}"/>
    <cellStyle name="Normal 2 3 27 7" xfId="27878" xr:uid="{00000000-0005-0000-0000-0000E66C0000}"/>
    <cellStyle name="Normal 2 3 27 8" xfId="27879" xr:uid="{00000000-0005-0000-0000-0000E76C0000}"/>
    <cellStyle name="Normal 2 3 27 9" xfId="27880" xr:uid="{00000000-0005-0000-0000-0000E86C0000}"/>
    <cellStyle name="Normal 2 3 28" xfId="27881" xr:uid="{00000000-0005-0000-0000-0000E96C0000}"/>
    <cellStyle name="Normal 2 3 28 10" xfId="27882" xr:uid="{00000000-0005-0000-0000-0000EA6C0000}"/>
    <cellStyle name="Normal 2 3 28 11" xfId="27883" xr:uid="{00000000-0005-0000-0000-0000EB6C0000}"/>
    <cellStyle name="Normal 2 3 28 12" xfId="27884" xr:uid="{00000000-0005-0000-0000-0000EC6C0000}"/>
    <cellStyle name="Normal 2 3 28 13" xfId="27885" xr:uid="{00000000-0005-0000-0000-0000ED6C0000}"/>
    <cellStyle name="Normal 2 3 28 14" xfId="27886" xr:uid="{00000000-0005-0000-0000-0000EE6C0000}"/>
    <cellStyle name="Normal 2 3 28 2" xfId="27887" xr:uid="{00000000-0005-0000-0000-0000EF6C0000}"/>
    <cellStyle name="Normal 2 3 28 2 10" xfId="27888" xr:uid="{00000000-0005-0000-0000-0000F06C0000}"/>
    <cellStyle name="Normal 2 3 28 2 2" xfId="27889" xr:uid="{00000000-0005-0000-0000-0000F16C0000}"/>
    <cellStyle name="Normal 2 3 28 2 3" xfId="27890" xr:uid="{00000000-0005-0000-0000-0000F26C0000}"/>
    <cellStyle name="Normal 2 3 28 2 4" xfId="27891" xr:uid="{00000000-0005-0000-0000-0000F36C0000}"/>
    <cellStyle name="Normal 2 3 28 2 5" xfId="27892" xr:uid="{00000000-0005-0000-0000-0000F46C0000}"/>
    <cellStyle name="Normal 2 3 28 2 6" xfId="27893" xr:uid="{00000000-0005-0000-0000-0000F56C0000}"/>
    <cellStyle name="Normal 2 3 28 2 7" xfId="27894" xr:uid="{00000000-0005-0000-0000-0000F66C0000}"/>
    <cellStyle name="Normal 2 3 28 2 8" xfId="27895" xr:uid="{00000000-0005-0000-0000-0000F76C0000}"/>
    <cellStyle name="Normal 2 3 28 2 9" xfId="27896" xr:uid="{00000000-0005-0000-0000-0000F86C0000}"/>
    <cellStyle name="Normal 2 3 28 3" xfId="27897" xr:uid="{00000000-0005-0000-0000-0000F96C0000}"/>
    <cellStyle name="Normal 2 3 28 3 10" xfId="27898" xr:uid="{00000000-0005-0000-0000-0000FA6C0000}"/>
    <cellStyle name="Normal 2 3 28 3 2" xfId="27899" xr:uid="{00000000-0005-0000-0000-0000FB6C0000}"/>
    <cellStyle name="Normal 2 3 28 3 3" xfId="27900" xr:uid="{00000000-0005-0000-0000-0000FC6C0000}"/>
    <cellStyle name="Normal 2 3 28 3 4" xfId="27901" xr:uid="{00000000-0005-0000-0000-0000FD6C0000}"/>
    <cellStyle name="Normal 2 3 28 3 5" xfId="27902" xr:uid="{00000000-0005-0000-0000-0000FE6C0000}"/>
    <cellStyle name="Normal 2 3 28 3 6" xfId="27903" xr:uid="{00000000-0005-0000-0000-0000FF6C0000}"/>
    <cellStyle name="Normal 2 3 28 3 7" xfId="27904" xr:uid="{00000000-0005-0000-0000-0000006D0000}"/>
    <cellStyle name="Normal 2 3 28 3 8" xfId="27905" xr:uid="{00000000-0005-0000-0000-0000016D0000}"/>
    <cellStyle name="Normal 2 3 28 3 9" xfId="27906" xr:uid="{00000000-0005-0000-0000-0000026D0000}"/>
    <cellStyle name="Normal 2 3 28 4" xfId="27907" xr:uid="{00000000-0005-0000-0000-0000036D0000}"/>
    <cellStyle name="Normal 2 3 28 4 10" xfId="27908" xr:uid="{00000000-0005-0000-0000-0000046D0000}"/>
    <cellStyle name="Normal 2 3 28 4 2" xfId="27909" xr:uid="{00000000-0005-0000-0000-0000056D0000}"/>
    <cellStyle name="Normal 2 3 28 4 3" xfId="27910" xr:uid="{00000000-0005-0000-0000-0000066D0000}"/>
    <cellStyle name="Normal 2 3 28 4 4" xfId="27911" xr:uid="{00000000-0005-0000-0000-0000076D0000}"/>
    <cellStyle name="Normal 2 3 28 4 5" xfId="27912" xr:uid="{00000000-0005-0000-0000-0000086D0000}"/>
    <cellStyle name="Normal 2 3 28 4 6" xfId="27913" xr:uid="{00000000-0005-0000-0000-0000096D0000}"/>
    <cellStyle name="Normal 2 3 28 4 7" xfId="27914" xr:uid="{00000000-0005-0000-0000-00000A6D0000}"/>
    <cellStyle name="Normal 2 3 28 4 8" xfId="27915" xr:uid="{00000000-0005-0000-0000-00000B6D0000}"/>
    <cellStyle name="Normal 2 3 28 4 9" xfId="27916" xr:uid="{00000000-0005-0000-0000-00000C6D0000}"/>
    <cellStyle name="Normal 2 3 28 5" xfId="27917" xr:uid="{00000000-0005-0000-0000-00000D6D0000}"/>
    <cellStyle name="Normal 2 3 28 5 10" xfId="27918" xr:uid="{00000000-0005-0000-0000-00000E6D0000}"/>
    <cellStyle name="Normal 2 3 28 5 2" xfId="27919" xr:uid="{00000000-0005-0000-0000-00000F6D0000}"/>
    <cellStyle name="Normal 2 3 28 5 3" xfId="27920" xr:uid="{00000000-0005-0000-0000-0000106D0000}"/>
    <cellStyle name="Normal 2 3 28 5 4" xfId="27921" xr:uid="{00000000-0005-0000-0000-0000116D0000}"/>
    <cellStyle name="Normal 2 3 28 5 5" xfId="27922" xr:uid="{00000000-0005-0000-0000-0000126D0000}"/>
    <cellStyle name="Normal 2 3 28 5 6" xfId="27923" xr:uid="{00000000-0005-0000-0000-0000136D0000}"/>
    <cellStyle name="Normal 2 3 28 5 7" xfId="27924" xr:uid="{00000000-0005-0000-0000-0000146D0000}"/>
    <cellStyle name="Normal 2 3 28 5 8" xfId="27925" xr:uid="{00000000-0005-0000-0000-0000156D0000}"/>
    <cellStyle name="Normal 2 3 28 5 9" xfId="27926" xr:uid="{00000000-0005-0000-0000-0000166D0000}"/>
    <cellStyle name="Normal 2 3 28 6" xfId="27927" xr:uid="{00000000-0005-0000-0000-0000176D0000}"/>
    <cellStyle name="Normal 2 3 28 7" xfId="27928" xr:uid="{00000000-0005-0000-0000-0000186D0000}"/>
    <cellStyle name="Normal 2 3 28 8" xfId="27929" xr:uid="{00000000-0005-0000-0000-0000196D0000}"/>
    <cellStyle name="Normal 2 3 28 9" xfId="27930" xr:uid="{00000000-0005-0000-0000-00001A6D0000}"/>
    <cellStyle name="Normal 2 3 29" xfId="27931" xr:uid="{00000000-0005-0000-0000-00001B6D0000}"/>
    <cellStyle name="Normal 2 3 29 10" xfId="27932" xr:uid="{00000000-0005-0000-0000-00001C6D0000}"/>
    <cellStyle name="Normal 2 3 29 11" xfId="27933" xr:uid="{00000000-0005-0000-0000-00001D6D0000}"/>
    <cellStyle name="Normal 2 3 29 12" xfId="27934" xr:uid="{00000000-0005-0000-0000-00001E6D0000}"/>
    <cellStyle name="Normal 2 3 29 13" xfId="27935" xr:uid="{00000000-0005-0000-0000-00001F6D0000}"/>
    <cellStyle name="Normal 2 3 29 14" xfId="27936" xr:uid="{00000000-0005-0000-0000-0000206D0000}"/>
    <cellStyle name="Normal 2 3 29 2" xfId="27937" xr:uid="{00000000-0005-0000-0000-0000216D0000}"/>
    <cellStyle name="Normal 2 3 29 2 10" xfId="27938" xr:uid="{00000000-0005-0000-0000-0000226D0000}"/>
    <cellStyle name="Normal 2 3 29 2 2" xfId="27939" xr:uid="{00000000-0005-0000-0000-0000236D0000}"/>
    <cellStyle name="Normal 2 3 29 2 3" xfId="27940" xr:uid="{00000000-0005-0000-0000-0000246D0000}"/>
    <cellStyle name="Normal 2 3 29 2 4" xfId="27941" xr:uid="{00000000-0005-0000-0000-0000256D0000}"/>
    <cellStyle name="Normal 2 3 29 2 5" xfId="27942" xr:uid="{00000000-0005-0000-0000-0000266D0000}"/>
    <cellStyle name="Normal 2 3 29 2 6" xfId="27943" xr:uid="{00000000-0005-0000-0000-0000276D0000}"/>
    <cellStyle name="Normal 2 3 29 2 7" xfId="27944" xr:uid="{00000000-0005-0000-0000-0000286D0000}"/>
    <cellStyle name="Normal 2 3 29 2 8" xfId="27945" xr:uid="{00000000-0005-0000-0000-0000296D0000}"/>
    <cellStyle name="Normal 2 3 29 2 9" xfId="27946" xr:uid="{00000000-0005-0000-0000-00002A6D0000}"/>
    <cellStyle name="Normal 2 3 29 3" xfId="27947" xr:uid="{00000000-0005-0000-0000-00002B6D0000}"/>
    <cellStyle name="Normal 2 3 29 3 10" xfId="27948" xr:uid="{00000000-0005-0000-0000-00002C6D0000}"/>
    <cellStyle name="Normal 2 3 29 3 2" xfId="27949" xr:uid="{00000000-0005-0000-0000-00002D6D0000}"/>
    <cellStyle name="Normal 2 3 29 3 3" xfId="27950" xr:uid="{00000000-0005-0000-0000-00002E6D0000}"/>
    <cellStyle name="Normal 2 3 29 3 4" xfId="27951" xr:uid="{00000000-0005-0000-0000-00002F6D0000}"/>
    <cellStyle name="Normal 2 3 29 3 5" xfId="27952" xr:uid="{00000000-0005-0000-0000-0000306D0000}"/>
    <cellStyle name="Normal 2 3 29 3 6" xfId="27953" xr:uid="{00000000-0005-0000-0000-0000316D0000}"/>
    <cellStyle name="Normal 2 3 29 3 7" xfId="27954" xr:uid="{00000000-0005-0000-0000-0000326D0000}"/>
    <cellStyle name="Normal 2 3 29 3 8" xfId="27955" xr:uid="{00000000-0005-0000-0000-0000336D0000}"/>
    <cellStyle name="Normal 2 3 29 3 9" xfId="27956" xr:uid="{00000000-0005-0000-0000-0000346D0000}"/>
    <cellStyle name="Normal 2 3 29 4" xfId="27957" xr:uid="{00000000-0005-0000-0000-0000356D0000}"/>
    <cellStyle name="Normal 2 3 29 4 10" xfId="27958" xr:uid="{00000000-0005-0000-0000-0000366D0000}"/>
    <cellStyle name="Normal 2 3 29 4 2" xfId="27959" xr:uid="{00000000-0005-0000-0000-0000376D0000}"/>
    <cellStyle name="Normal 2 3 29 4 3" xfId="27960" xr:uid="{00000000-0005-0000-0000-0000386D0000}"/>
    <cellStyle name="Normal 2 3 29 4 4" xfId="27961" xr:uid="{00000000-0005-0000-0000-0000396D0000}"/>
    <cellStyle name="Normal 2 3 29 4 5" xfId="27962" xr:uid="{00000000-0005-0000-0000-00003A6D0000}"/>
    <cellStyle name="Normal 2 3 29 4 6" xfId="27963" xr:uid="{00000000-0005-0000-0000-00003B6D0000}"/>
    <cellStyle name="Normal 2 3 29 4 7" xfId="27964" xr:uid="{00000000-0005-0000-0000-00003C6D0000}"/>
    <cellStyle name="Normal 2 3 29 4 8" xfId="27965" xr:uid="{00000000-0005-0000-0000-00003D6D0000}"/>
    <cellStyle name="Normal 2 3 29 4 9" xfId="27966" xr:uid="{00000000-0005-0000-0000-00003E6D0000}"/>
    <cellStyle name="Normal 2 3 29 5" xfId="27967" xr:uid="{00000000-0005-0000-0000-00003F6D0000}"/>
    <cellStyle name="Normal 2 3 29 5 10" xfId="27968" xr:uid="{00000000-0005-0000-0000-0000406D0000}"/>
    <cellStyle name="Normal 2 3 29 5 2" xfId="27969" xr:uid="{00000000-0005-0000-0000-0000416D0000}"/>
    <cellStyle name="Normal 2 3 29 5 3" xfId="27970" xr:uid="{00000000-0005-0000-0000-0000426D0000}"/>
    <cellStyle name="Normal 2 3 29 5 4" xfId="27971" xr:uid="{00000000-0005-0000-0000-0000436D0000}"/>
    <cellStyle name="Normal 2 3 29 5 5" xfId="27972" xr:uid="{00000000-0005-0000-0000-0000446D0000}"/>
    <cellStyle name="Normal 2 3 29 5 6" xfId="27973" xr:uid="{00000000-0005-0000-0000-0000456D0000}"/>
    <cellStyle name="Normal 2 3 29 5 7" xfId="27974" xr:uid="{00000000-0005-0000-0000-0000466D0000}"/>
    <cellStyle name="Normal 2 3 29 5 8" xfId="27975" xr:uid="{00000000-0005-0000-0000-0000476D0000}"/>
    <cellStyle name="Normal 2 3 29 5 9" xfId="27976" xr:uid="{00000000-0005-0000-0000-0000486D0000}"/>
    <cellStyle name="Normal 2 3 29 6" xfId="27977" xr:uid="{00000000-0005-0000-0000-0000496D0000}"/>
    <cellStyle name="Normal 2 3 29 7" xfId="27978" xr:uid="{00000000-0005-0000-0000-00004A6D0000}"/>
    <cellStyle name="Normal 2 3 29 8" xfId="27979" xr:uid="{00000000-0005-0000-0000-00004B6D0000}"/>
    <cellStyle name="Normal 2 3 29 9" xfId="27980" xr:uid="{00000000-0005-0000-0000-00004C6D0000}"/>
    <cellStyle name="Normal 2 3 3" xfId="27981" xr:uid="{00000000-0005-0000-0000-00004D6D0000}"/>
    <cellStyle name="Normal 2 3 3 10" xfId="27982" xr:uid="{00000000-0005-0000-0000-00004E6D0000}"/>
    <cellStyle name="Normal 2 3 3 11" xfId="27983" xr:uid="{00000000-0005-0000-0000-00004F6D0000}"/>
    <cellStyle name="Normal 2 3 3 12" xfId="27984" xr:uid="{00000000-0005-0000-0000-0000506D0000}"/>
    <cellStyle name="Normal 2 3 3 13" xfId="27985" xr:uid="{00000000-0005-0000-0000-0000516D0000}"/>
    <cellStyle name="Normal 2 3 3 14" xfId="27986" xr:uid="{00000000-0005-0000-0000-0000526D0000}"/>
    <cellStyle name="Normal 2 3 3 15" xfId="27987" xr:uid="{00000000-0005-0000-0000-0000536D0000}"/>
    <cellStyle name="Normal 2 3 3 16" xfId="27988" xr:uid="{00000000-0005-0000-0000-0000546D0000}"/>
    <cellStyle name="Normal 2 3 3 2" xfId="27989" xr:uid="{00000000-0005-0000-0000-0000556D0000}"/>
    <cellStyle name="Normal 2 3 3 2 10" xfId="27990" xr:uid="{00000000-0005-0000-0000-0000566D0000}"/>
    <cellStyle name="Normal 2 3 3 2 2" xfId="27991" xr:uid="{00000000-0005-0000-0000-0000576D0000}"/>
    <cellStyle name="Normal 2 3 3 2 3" xfId="27992" xr:uid="{00000000-0005-0000-0000-0000586D0000}"/>
    <cellStyle name="Normal 2 3 3 2 4" xfId="27993" xr:uid="{00000000-0005-0000-0000-0000596D0000}"/>
    <cellStyle name="Normal 2 3 3 2 5" xfId="27994" xr:uid="{00000000-0005-0000-0000-00005A6D0000}"/>
    <cellStyle name="Normal 2 3 3 2 6" xfId="27995" xr:uid="{00000000-0005-0000-0000-00005B6D0000}"/>
    <cellStyle name="Normal 2 3 3 2 7" xfId="27996" xr:uid="{00000000-0005-0000-0000-00005C6D0000}"/>
    <cellStyle name="Normal 2 3 3 2 8" xfId="27997" xr:uid="{00000000-0005-0000-0000-00005D6D0000}"/>
    <cellStyle name="Normal 2 3 3 2 9" xfId="27998" xr:uid="{00000000-0005-0000-0000-00005E6D0000}"/>
    <cellStyle name="Normal 2 3 3 3" xfId="27999" xr:uid="{00000000-0005-0000-0000-00005F6D0000}"/>
    <cellStyle name="Normal 2 3 3 3 10" xfId="28000" xr:uid="{00000000-0005-0000-0000-0000606D0000}"/>
    <cellStyle name="Normal 2 3 3 3 2" xfId="28001" xr:uid="{00000000-0005-0000-0000-0000616D0000}"/>
    <cellStyle name="Normal 2 3 3 3 3" xfId="28002" xr:uid="{00000000-0005-0000-0000-0000626D0000}"/>
    <cellStyle name="Normal 2 3 3 3 4" xfId="28003" xr:uid="{00000000-0005-0000-0000-0000636D0000}"/>
    <cellStyle name="Normal 2 3 3 3 5" xfId="28004" xr:uid="{00000000-0005-0000-0000-0000646D0000}"/>
    <cellStyle name="Normal 2 3 3 3 6" xfId="28005" xr:uid="{00000000-0005-0000-0000-0000656D0000}"/>
    <cellStyle name="Normal 2 3 3 3 7" xfId="28006" xr:uid="{00000000-0005-0000-0000-0000666D0000}"/>
    <cellStyle name="Normal 2 3 3 3 8" xfId="28007" xr:uid="{00000000-0005-0000-0000-0000676D0000}"/>
    <cellStyle name="Normal 2 3 3 3 9" xfId="28008" xr:uid="{00000000-0005-0000-0000-0000686D0000}"/>
    <cellStyle name="Normal 2 3 3 4" xfId="28009" xr:uid="{00000000-0005-0000-0000-0000696D0000}"/>
    <cellStyle name="Normal 2 3 3 4 10" xfId="28010" xr:uid="{00000000-0005-0000-0000-00006A6D0000}"/>
    <cellStyle name="Normal 2 3 3 4 2" xfId="28011" xr:uid="{00000000-0005-0000-0000-00006B6D0000}"/>
    <cellStyle name="Normal 2 3 3 4 3" xfId="28012" xr:uid="{00000000-0005-0000-0000-00006C6D0000}"/>
    <cellStyle name="Normal 2 3 3 4 4" xfId="28013" xr:uid="{00000000-0005-0000-0000-00006D6D0000}"/>
    <cellStyle name="Normal 2 3 3 4 5" xfId="28014" xr:uid="{00000000-0005-0000-0000-00006E6D0000}"/>
    <cellStyle name="Normal 2 3 3 4 6" xfId="28015" xr:uid="{00000000-0005-0000-0000-00006F6D0000}"/>
    <cellStyle name="Normal 2 3 3 4 7" xfId="28016" xr:uid="{00000000-0005-0000-0000-0000706D0000}"/>
    <cellStyle name="Normal 2 3 3 4 8" xfId="28017" xr:uid="{00000000-0005-0000-0000-0000716D0000}"/>
    <cellStyle name="Normal 2 3 3 4 9" xfId="28018" xr:uid="{00000000-0005-0000-0000-0000726D0000}"/>
    <cellStyle name="Normal 2 3 3 5" xfId="28019" xr:uid="{00000000-0005-0000-0000-0000736D0000}"/>
    <cellStyle name="Normal 2 3 3 5 10" xfId="28020" xr:uid="{00000000-0005-0000-0000-0000746D0000}"/>
    <cellStyle name="Normal 2 3 3 5 2" xfId="28021" xr:uid="{00000000-0005-0000-0000-0000756D0000}"/>
    <cellStyle name="Normal 2 3 3 5 3" xfId="28022" xr:uid="{00000000-0005-0000-0000-0000766D0000}"/>
    <cellStyle name="Normal 2 3 3 5 4" xfId="28023" xr:uid="{00000000-0005-0000-0000-0000776D0000}"/>
    <cellStyle name="Normal 2 3 3 5 5" xfId="28024" xr:uid="{00000000-0005-0000-0000-0000786D0000}"/>
    <cellStyle name="Normal 2 3 3 5 6" xfId="28025" xr:uid="{00000000-0005-0000-0000-0000796D0000}"/>
    <cellStyle name="Normal 2 3 3 5 7" xfId="28026" xr:uid="{00000000-0005-0000-0000-00007A6D0000}"/>
    <cellStyle name="Normal 2 3 3 5 8" xfId="28027" xr:uid="{00000000-0005-0000-0000-00007B6D0000}"/>
    <cellStyle name="Normal 2 3 3 5 9" xfId="28028" xr:uid="{00000000-0005-0000-0000-00007C6D0000}"/>
    <cellStyle name="Normal 2 3 3 6" xfId="28029" xr:uid="{00000000-0005-0000-0000-00007D6D0000}"/>
    <cellStyle name="Normal 2 3 3 7" xfId="28030" xr:uid="{00000000-0005-0000-0000-00007E6D0000}"/>
    <cellStyle name="Normal 2 3 3 8" xfId="28031" xr:uid="{00000000-0005-0000-0000-00007F6D0000}"/>
    <cellStyle name="Normal 2 3 3 9" xfId="28032" xr:uid="{00000000-0005-0000-0000-0000806D0000}"/>
    <cellStyle name="Normal 2 3 30" xfId="28033" xr:uid="{00000000-0005-0000-0000-0000816D0000}"/>
    <cellStyle name="Normal 2 3 30 10" xfId="28034" xr:uid="{00000000-0005-0000-0000-0000826D0000}"/>
    <cellStyle name="Normal 2 3 30 11" xfId="28035" xr:uid="{00000000-0005-0000-0000-0000836D0000}"/>
    <cellStyle name="Normal 2 3 30 12" xfId="28036" xr:uid="{00000000-0005-0000-0000-0000846D0000}"/>
    <cellStyle name="Normal 2 3 30 13" xfId="28037" xr:uid="{00000000-0005-0000-0000-0000856D0000}"/>
    <cellStyle name="Normal 2 3 30 14" xfId="28038" xr:uid="{00000000-0005-0000-0000-0000866D0000}"/>
    <cellStyle name="Normal 2 3 30 2" xfId="28039" xr:uid="{00000000-0005-0000-0000-0000876D0000}"/>
    <cellStyle name="Normal 2 3 30 2 10" xfId="28040" xr:uid="{00000000-0005-0000-0000-0000886D0000}"/>
    <cellStyle name="Normal 2 3 30 2 2" xfId="28041" xr:uid="{00000000-0005-0000-0000-0000896D0000}"/>
    <cellStyle name="Normal 2 3 30 2 3" xfId="28042" xr:uid="{00000000-0005-0000-0000-00008A6D0000}"/>
    <cellStyle name="Normal 2 3 30 2 4" xfId="28043" xr:uid="{00000000-0005-0000-0000-00008B6D0000}"/>
    <cellStyle name="Normal 2 3 30 2 5" xfId="28044" xr:uid="{00000000-0005-0000-0000-00008C6D0000}"/>
    <cellStyle name="Normal 2 3 30 2 6" xfId="28045" xr:uid="{00000000-0005-0000-0000-00008D6D0000}"/>
    <cellStyle name="Normal 2 3 30 2 7" xfId="28046" xr:uid="{00000000-0005-0000-0000-00008E6D0000}"/>
    <cellStyle name="Normal 2 3 30 2 8" xfId="28047" xr:uid="{00000000-0005-0000-0000-00008F6D0000}"/>
    <cellStyle name="Normal 2 3 30 2 9" xfId="28048" xr:uid="{00000000-0005-0000-0000-0000906D0000}"/>
    <cellStyle name="Normal 2 3 30 3" xfId="28049" xr:uid="{00000000-0005-0000-0000-0000916D0000}"/>
    <cellStyle name="Normal 2 3 30 3 10" xfId="28050" xr:uid="{00000000-0005-0000-0000-0000926D0000}"/>
    <cellStyle name="Normal 2 3 30 3 2" xfId="28051" xr:uid="{00000000-0005-0000-0000-0000936D0000}"/>
    <cellStyle name="Normal 2 3 30 3 3" xfId="28052" xr:uid="{00000000-0005-0000-0000-0000946D0000}"/>
    <cellStyle name="Normal 2 3 30 3 4" xfId="28053" xr:uid="{00000000-0005-0000-0000-0000956D0000}"/>
    <cellStyle name="Normal 2 3 30 3 5" xfId="28054" xr:uid="{00000000-0005-0000-0000-0000966D0000}"/>
    <cellStyle name="Normal 2 3 30 3 6" xfId="28055" xr:uid="{00000000-0005-0000-0000-0000976D0000}"/>
    <cellStyle name="Normal 2 3 30 3 7" xfId="28056" xr:uid="{00000000-0005-0000-0000-0000986D0000}"/>
    <cellStyle name="Normal 2 3 30 3 8" xfId="28057" xr:uid="{00000000-0005-0000-0000-0000996D0000}"/>
    <cellStyle name="Normal 2 3 30 3 9" xfId="28058" xr:uid="{00000000-0005-0000-0000-00009A6D0000}"/>
    <cellStyle name="Normal 2 3 30 4" xfId="28059" xr:uid="{00000000-0005-0000-0000-00009B6D0000}"/>
    <cellStyle name="Normal 2 3 30 4 10" xfId="28060" xr:uid="{00000000-0005-0000-0000-00009C6D0000}"/>
    <cellStyle name="Normal 2 3 30 4 2" xfId="28061" xr:uid="{00000000-0005-0000-0000-00009D6D0000}"/>
    <cellStyle name="Normal 2 3 30 4 3" xfId="28062" xr:uid="{00000000-0005-0000-0000-00009E6D0000}"/>
    <cellStyle name="Normal 2 3 30 4 4" xfId="28063" xr:uid="{00000000-0005-0000-0000-00009F6D0000}"/>
    <cellStyle name="Normal 2 3 30 4 5" xfId="28064" xr:uid="{00000000-0005-0000-0000-0000A06D0000}"/>
    <cellStyle name="Normal 2 3 30 4 6" xfId="28065" xr:uid="{00000000-0005-0000-0000-0000A16D0000}"/>
    <cellStyle name="Normal 2 3 30 4 7" xfId="28066" xr:uid="{00000000-0005-0000-0000-0000A26D0000}"/>
    <cellStyle name="Normal 2 3 30 4 8" xfId="28067" xr:uid="{00000000-0005-0000-0000-0000A36D0000}"/>
    <cellStyle name="Normal 2 3 30 4 9" xfId="28068" xr:uid="{00000000-0005-0000-0000-0000A46D0000}"/>
    <cellStyle name="Normal 2 3 30 5" xfId="28069" xr:uid="{00000000-0005-0000-0000-0000A56D0000}"/>
    <cellStyle name="Normal 2 3 30 5 10" xfId="28070" xr:uid="{00000000-0005-0000-0000-0000A66D0000}"/>
    <cellStyle name="Normal 2 3 30 5 2" xfId="28071" xr:uid="{00000000-0005-0000-0000-0000A76D0000}"/>
    <cellStyle name="Normal 2 3 30 5 3" xfId="28072" xr:uid="{00000000-0005-0000-0000-0000A86D0000}"/>
    <cellStyle name="Normal 2 3 30 5 4" xfId="28073" xr:uid="{00000000-0005-0000-0000-0000A96D0000}"/>
    <cellStyle name="Normal 2 3 30 5 5" xfId="28074" xr:uid="{00000000-0005-0000-0000-0000AA6D0000}"/>
    <cellStyle name="Normal 2 3 30 5 6" xfId="28075" xr:uid="{00000000-0005-0000-0000-0000AB6D0000}"/>
    <cellStyle name="Normal 2 3 30 5 7" xfId="28076" xr:uid="{00000000-0005-0000-0000-0000AC6D0000}"/>
    <cellStyle name="Normal 2 3 30 5 8" xfId="28077" xr:uid="{00000000-0005-0000-0000-0000AD6D0000}"/>
    <cellStyle name="Normal 2 3 30 5 9" xfId="28078" xr:uid="{00000000-0005-0000-0000-0000AE6D0000}"/>
    <cellStyle name="Normal 2 3 30 6" xfId="28079" xr:uid="{00000000-0005-0000-0000-0000AF6D0000}"/>
    <cellStyle name="Normal 2 3 30 7" xfId="28080" xr:uid="{00000000-0005-0000-0000-0000B06D0000}"/>
    <cellStyle name="Normal 2 3 30 8" xfId="28081" xr:uid="{00000000-0005-0000-0000-0000B16D0000}"/>
    <cellStyle name="Normal 2 3 30 9" xfId="28082" xr:uid="{00000000-0005-0000-0000-0000B26D0000}"/>
    <cellStyle name="Normal 2 3 31" xfId="28083" xr:uid="{00000000-0005-0000-0000-0000B36D0000}"/>
    <cellStyle name="Normal 2 3 31 10" xfId="28084" xr:uid="{00000000-0005-0000-0000-0000B46D0000}"/>
    <cellStyle name="Normal 2 3 31 11" xfId="28085" xr:uid="{00000000-0005-0000-0000-0000B56D0000}"/>
    <cellStyle name="Normal 2 3 31 12" xfId="28086" xr:uid="{00000000-0005-0000-0000-0000B66D0000}"/>
    <cellStyle name="Normal 2 3 31 13" xfId="28087" xr:uid="{00000000-0005-0000-0000-0000B76D0000}"/>
    <cellStyle name="Normal 2 3 31 14" xfId="28088" xr:uid="{00000000-0005-0000-0000-0000B86D0000}"/>
    <cellStyle name="Normal 2 3 31 2" xfId="28089" xr:uid="{00000000-0005-0000-0000-0000B96D0000}"/>
    <cellStyle name="Normal 2 3 31 2 10" xfId="28090" xr:uid="{00000000-0005-0000-0000-0000BA6D0000}"/>
    <cellStyle name="Normal 2 3 31 2 2" xfId="28091" xr:uid="{00000000-0005-0000-0000-0000BB6D0000}"/>
    <cellStyle name="Normal 2 3 31 2 3" xfId="28092" xr:uid="{00000000-0005-0000-0000-0000BC6D0000}"/>
    <cellStyle name="Normal 2 3 31 2 4" xfId="28093" xr:uid="{00000000-0005-0000-0000-0000BD6D0000}"/>
    <cellStyle name="Normal 2 3 31 2 5" xfId="28094" xr:uid="{00000000-0005-0000-0000-0000BE6D0000}"/>
    <cellStyle name="Normal 2 3 31 2 6" xfId="28095" xr:uid="{00000000-0005-0000-0000-0000BF6D0000}"/>
    <cellStyle name="Normal 2 3 31 2 7" xfId="28096" xr:uid="{00000000-0005-0000-0000-0000C06D0000}"/>
    <cellStyle name="Normal 2 3 31 2 8" xfId="28097" xr:uid="{00000000-0005-0000-0000-0000C16D0000}"/>
    <cellStyle name="Normal 2 3 31 2 9" xfId="28098" xr:uid="{00000000-0005-0000-0000-0000C26D0000}"/>
    <cellStyle name="Normal 2 3 31 3" xfId="28099" xr:uid="{00000000-0005-0000-0000-0000C36D0000}"/>
    <cellStyle name="Normal 2 3 31 3 10" xfId="28100" xr:uid="{00000000-0005-0000-0000-0000C46D0000}"/>
    <cellStyle name="Normal 2 3 31 3 2" xfId="28101" xr:uid="{00000000-0005-0000-0000-0000C56D0000}"/>
    <cellStyle name="Normal 2 3 31 3 3" xfId="28102" xr:uid="{00000000-0005-0000-0000-0000C66D0000}"/>
    <cellStyle name="Normal 2 3 31 3 4" xfId="28103" xr:uid="{00000000-0005-0000-0000-0000C76D0000}"/>
    <cellStyle name="Normal 2 3 31 3 5" xfId="28104" xr:uid="{00000000-0005-0000-0000-0000C86D0000}"/>
    <cellStyle name="Normal 2 3 31 3 6" xfId="28105" xr:uid="{00000000-0005-0000-0000-0000C96D0000}"/>
    <cellStyle name="Normal 2 3 31 3 7" xfId="28106" xr:uid="{00000000-0005-0000-0000-0000CA6D0000}"/>
    <cellStyle name="Normal 2 3 31 3 8" xfId="28107" xr:uid="{00000000-0005-0000-0000-0000CB6D0000}"/>
    <cellStyle name="Normal 2 3 31 3 9" xfId="28108" xr:uid="{00000000-0005-0000-0000-0000CC6D0000}"/>
    <cellStyle name="Normal 2 3 31 4" xfId="28109" xr:uid="{00000000-0005-0000-0000-0000CD6D0000}"/>
    <cellStyle name="Normal 2 3 31 4 10" xfId="28110" xr:uid="{00000000-0005-0000-0000-0000CE6D0000}"/>
    <cellStyle name="Normal 2 3 31 4 2" xfId="28111" xr:uid="{00000000-0005-0000-0000-0000CF6D0000}"/>
    <cellStyle name="Normal 2 3 31 4 3" xfId="28112" xr:uid="{00000000-0005-0000-0000-0000D06D0000}"/>
    <cellStyle name="Normal 2 3 31 4 4" xfId="28113" xr:uid="{00000000-0005-0000-0000-0000D16D0000}"/>
    <cellStyle name="Normal 2 3 31 4 5" xfId="28114" xr:uid="{00000000-0005-0000-0000-0000D26D0000}"/>
    <cellStyle name="Normal 2 3 31 4 6" xfId="28115" xr:uid="{00000000-0005-0000-0000-0000D36D0000}"/>
    <cellStyle name="Normal 2 3 31 4 7" xfId="28116" xr:uid="{00000000-0005-0000-0000-0000D46D0000}"/>
    <cellStyle name="Normal 2 3 31 4 8" xfId="28117" xr:uid="{00000000-0005-0000-0000-0000D56D0000}"/>
    <cellStyle name="Normal 2 3 31 4 9" xfId="28118" xr:uid="{00000000-0005-0000-0000-0000D66D0000}"/>
    <cellStyle name="Normal 2 3 31 5" xfId="28119" xr:uid="{00000000-0005-0000-0000-0000D76D0000}"/>
    <cellStyle name="Normal 2 3 31 5 10" xfId="28120" xr:uid="{00000000-0005-0000-0000-0000D86D0000}"/>
    <cellStyle name="Normal 2 3 31 5 2" xfId="28121" xr:uid="{00000000-0005-0000-0000-0000D96D0000}"/>
    <cellStyle name="Normal 2 3 31 5 3" xfId="28122" xr:uid="{00000000-0005-0000-0000-0000DA6D0000}"/>
    <cellStyle name="Normal 2 3 31 5 4" xfId="28123" xr:uid="{00000000-0005-0000-0000-0000DB6D0000}"/>
    <cellStyle name="Normal 2 3 31 5 5" xfId="28124" xr:uid="{00000000-0005-0000-0000-0000DC6D0000}"/>
    <cellStyle name="Normal 2 3 31 5 6" xfId="28125" xr:uid="{00000000-0005-0000-0000-0000DD6D0000}"/>
    <cellStyle name="Normal 2 3 31 5 7" xfId="28126" xr:uid="{00000000-0005-0000-0000-0000DE6D0000}"/>
    <cellStyle name="Normal 2 3 31 5 8" xfId="28127" xr:uid="{00000000-0005-0000-0000-0000DF6D0000}"/>
    <cellStyle name="Normal 2 3 31 5 9" xfId="28128" xr:uid="{00000000-0005-0000-0000-0000E06D0000}"/>
    <cellStyle name="Normal 2 3 31 6" xfId="28129" xr:uid="{00000000-0005-0000-0000-0000E16D0000}"/>
    <cellStyle name="Normal 2 3 31 7" xfId="28130" xr:uid="{00000000-0005-0000-0000-0000E26D0000}"/>
    <cellStyle name="Normal 2 3 31 8" xfId="28131" xr:uid="{00000000-0005-0000-0000-0000E36D0000}"/>
    <cellStyle name="Normal 2 3 31 9" xfId="28132" xr:uid="{00000000-0005-0000-0000-0000E46D0000}"/>
    <cellStyle name="Normal 2 3 32" xfId="28133" xr:uid="{00000000-0005-0000-0000-0000E56D0000}"/>
    <cellStyle name="Normal 2 3 32 10" xfId="28134" xr:uid="{00000000-0005-0000-0000-0000E66D0000}"/>
    <cellStyle name="Normal 2 3 32 11" xfId="28135" xr:uid="{00000000-0005-0000-0000-0000E76D0000}"/>
    <cellStyle name="Normal 2 3 32 12" xfId="28136" xr:uid="{00000000-0005-0000-0000-0000E86D0000}"/>
    <cellStyle name="Normal 2 3 32 13" xfId="28137" xr:uid="{00000000-0005-0000-0000-0000E96D0000}"/>
    <cellStyle name="Normal 2 3 32 14" xfId="28138" xr:uid="{00000000-0005-0000-0000-0000EA6D0000}"/>
    <cellStyle name="Normal 2 3 32 2" xfId="28139" xr:uid="{00000000-0005-0000-0000-0000EB6D0000}"/>
    <cellStyle name="Normal 2 3 32 2 10" xfId="28140" xr:uid="{00000000-0005-0000-0000-0000EC6D0000}"/>
    <cellStyle name="Normal 2 3 32 2 2" xfId="28141" xr:uid="{00000000-0005-0000-0000-0000ED6D0000}"/>
    <cellStyle name="Normal 2 3 32 2 3" xfId="28142" xr:uid="{00000000-0005-0000-0000-0000EE6D0000}"/>
    <cellStyle name="Normal 2 3 32 2 4" xfId="28143" xr:uid="{00000000-0005-0000-0000-0000EF6D0000}"/>
    <cellStyle name="Normal 2 3 32 2 5" xfId="28144" xr:uid="{00000000-0005-0000-0000-0000F06D0000}"/>
    <cellStyle name="Normal 2 3 32 2 6" xfId="28145" xr:uid="{00000000-0005-0000-0000-0000F16D0000}"/>
    <cellStyle name="Normal 2 3 32 2 7" xfId="28146" xr:uid="{00000000-0005-0000-0000-0000F26D0000}"/>
    <cellStyle name="Normal 2 3 32 2 8" xfId="28147" xr:uid="{00000000-0005-0000-0000-0000F36D0000}"/>
    <cellStyle name="Normal 2 3 32 2 9" xfId="28148" xr:uid="{00000000-0005-0000-0000-0000F46D0000}"/>
    <cellStyle name="Normal 2 3 32 3" xfId="28149" xr:uid="{00000000-0005-0000-0000-0000F56D0000}"/>
    <cellStyle name="Normal 2 3 32 3 10" xfId="28150" xr:uid="{00000000-0005-0000-0000-0000F66D0000}"/>
    <cellStyle name="Normal 2 3 32 3 2" xfId="28151" xr:uid="{00000000-0005-0000-0000-0000F76D0000}"/>
    <cellStyle name="Normal 2 3 32 3 3" xfId="28152" xr:uid="{00000000-0005-0000-0000-0000F86D0000}"/>
    <cellStyle name="Normal 2 3 32 3 4" xfId="28153" xr:uid="{00000000-0005-0000-0000-0000F96D0000}"/>
    <cellStyle name="Normal 2 3 32 3 5" xfId="28154" xr:uid="{00000000-0005-0000-0000-0000FA6D0000}"/>
    <cellStyle name="Normal 2 3 32 3 6" xfId="28155" xr:uid="{00000000-0005-0000-0000-0000FB6D0000}"/>
    <cellStyle name="Normal 2 3 32 3 7" xfId="28156" xr:uid="{00000000-0005-0000-0000-0000FC6D0000}"/>
    <cellStyle name="Normal 2 3 32 3 8" xfId="28157" xr:uid="{00000000-0005-0000-0000-0000FD6D0000}"/>
    <cellStyle name="Normal 2 3 32 3 9" xfId="28158" xr:uid="{00000000-0005-0000-0000-0000FE6D0000}"/>
    <cellStyle name="Normal 2 3 32 4" xfId="28159" xr:uid="{00000000-0005-0000-0000-0000FF6D0000}"/>
    <cellStyle name="Normal 2 3 32 4 10" xfId="28160" xr:uid="{00000000-0005-0000-0000-0000006E0000}"/>
    <cellStyle name="Normal 2 3 32 4 2" xfId="28161" xr:uid="{00000000-0005-0000-0000-0000016E0000}"/>
    <cellStyle name="Normal 2 3 32 4 3" xfId="28162" xr:uid="{00000000-0005-0000-0000-0000026E0000}"/>
    <cellStyle name="Normal 2 3 32 4 4" xfId="28163" xr:uid="{00000000-0005-0000-0000-0000036E0000}"/>
    <cellStyle name="Normal 2 3 32 4 5" xfId="28164" xr:uid="{00000000-0005-0000-0000-0000046E0000}"/>
    <cellStyle name="Normal 2 3 32 4 6" xfId="28165" xr:uid="{00000000-0005-0000-0000-0000056E0000}"/>
    <cellStyle name="Normal 2 3 32 4 7" xfId="28166" xr:uid="{00000000-0005-0000-0000-0000066E0000}"/>
    <cellStyle name="Normal 2 3 32 4 8" xfId="28167" xr:uid="{00000000-0005-0000-0000-0000076E0000}"/>
    <cellStyle name="Normal 2 3 32 4 9" xfId="28168" xr:uid="{00000000-0005-0000-0000-0000086E0000}"/>
    <cellStyle name="Normal 2 3 32 5" xfId="28169" xr:uid="{00000000-0005-0000-0000-0000096E0000}"/>
    <cellStyle name="Normal 2 3 32 5 10" xfId="28170" xr:uid="{00000000-0005-0000-0000-00000A6E0000}"/>
    <cellStyle name="Normal 2 3 32 5 2" xfId="28171" xr:uid="{00000000-0005-0000-0000-00000B6E0000}"/>
    <cellStyle name="Normal 2 3 32 5 3" xfId="28172" xr:uid="{00000000-0005-0000-0000-00000C6E0000}"/>
    <cellStyle name="Normal 2 3 32 5 4" xfId="28173" xr:uid="{00000000-0005-0000-0000-00000D6E0000}"/>
    <cellStyle name="Normal 2 3 32 5 5" xfId="28174" xr:uid="{00000000-0005-0000-0000-00000E6E0000}"/>
    <cellStyle name="Normal 2 3 32 5 6" xfId="28175" xr:uid="{00000000-0005-0000-0000-00000F6E0000}"/>
    <cellStyle name="Normal 2 3 32 5 7" xfId="28176" xr:uid="{00000000-0005-0000-0000-0000106E0000}"/>
    <cellStyle name="Normal 2 3 32 5 8" xfId="28177" xr:uid="{00000000-0005-0000-0000-0000116E0000}"/>
    <cellStyle name="Normal 2 3 32 5 9" xfId="28178" xr:uid="{00000000-0005-0000-0000-0000126E0000}"/>
    <cellStyle name="Normal 2 3 32 6" xfId="28179" xr:uid="{00000000-0005-0000-0000-0000136E0000}"/>
    <cellStyle name="Normal 2 3 32 7" xfId="28180" xr:uid="{00000000-0005-0000-0000-0000146E0000}"/>
    <cellStyle name="Normal 2 3 32 8" xfId="28181" xr:uid="{00000000-0005-0000-0000-0000156E0000}"/>
    <cellStyle name="Normal 2 3 32 9" xfId="28182" xr:uid="{00000000-0005-0000-0000-0000166E0000}"/>
    <cellStyle name="Normal 2 3 33" xfId="28183" xr:uid="{00000000-0005-0000-0000-0000176E0000}"/>
    <cellStyle name="Normal 2 3 33 10" xfId="28184" xr:uid="{00000000-0005-0000-0000-0000186E0000}"/>
    <cellStyle name="Normal 2 3 33 11" xfId="28185" xr:uid="{00000000-0005-0000-0000-0000196E0000}"/>
    <cellStyle name="Normal 2 3 33 12" xfId="28186" xr:uid="{00000000-0005-0000-0000-00001A6E0000}"/>
    <cellStyle name="Normal 2 3 33 13" xfId="28187" xr:uid="{00000000-0005-0000-0000-00001B6E0000}"/>
    <cellStyle name="Normal 2 3 33 14" xfId="28188" xr:uid="{00000000-0005-0000-0000-00001C6E0000}"/>
    <cellStyle name="Normal 2 3 33 2" xfId="28189" xr:uid="{00000000-0005-0000-0000-00001D6E0000}"/>
    <cellStyle name="Normal 2 3 33 2 10" xfId="28190" xr:uid="{00000000-0005-0000-0000-00001E6E0000}"/>
    <cellStyle name="Normal 2 3 33 2 2" xfId="28191" xr:uid="{00000000-0005-0000-0000-00001F6E0000}"/>
    <cellStyle name="Normal 2 3 33 2 3" xfId="28192" xr:uid="{00000000-0005-0000-0000-0000206E0000}"/>
    <cellStyle name="Normal 2 3 33 2 4" xfId="28193" xr:uid="{00000000-0005-0000-0000-0000216E0000}"/>
    <cellStyle name="Normal 2 3 33 2 5" xfId="28194" xr:uid="{00000000-0005-0000-0000-0000226E0000}"/>
    <cellStyle name="Normal 2 3 33 2 6" xfId="28195" xr:uid="{00000000-0005-0000-0000-0000236E0000}"/>
    <cellStyle name="Normal 2 3 33 2 7" xfId="28196" xr:uid="{00000000-0005-0000-0000-0000246E0000}"/>
    <cellStyle name="Normal 2 3 33 2 8" xfId="28197" xr:uid="{00000000-0005-0000-0000-0000256E0000}"/>
    <cellStyle name="Normal 2 3 33 2 9" xfId="28198" xr:uid="{00000000-0005-0000-0000-0000266E0000}"/>
    <cellStyle name="Normal 2 3 33 3" xfId="28199" xr:uid="{00000000-0005-0000-0000-0000276E0000}"/>
    <cellStyle name="Normal 2 3 33 3 10" xfId="28200" xr:uid="{00000000-0005-0000-0000-0000286E0000}"/>
    <cellStyle name="Normal 2 3 33 3 2" xfId="28201" xr:uid="{00000000-0005-0000-0000-0000296E0000}"/>
    <cellStyle name="Normal 2 3 33 3 3" xfId="28202" xr:uid="{00000000-0005-0000-0000-00002A6E0000}"/>
    <cellStyle name="Normal 2 3 33 3 4" xfId="28203" xr:uid="{00000000-0005-0000-0000-00002B6E0000}"/>
    <cellStyle name="Normal 2 3 33 3 5" xfId="28204" xr:uid="{00000000-0005-0000-0000-00002C6E0000}"/>
    <cellStyle name="Normal 2 3 33 3 6" xfId="28205" xr:uid="{00000000-0005-0000-0000-00002D6E0000}"/>
    <cellStyle name="Normal 2 3 33 3 7" xfId="28206" xr:uid="{00000000-0005-0000-0000-00002E6E0000}"/>
    <cellStyle name="Normal 2 3 33 3 8" xfId="28207" xr:uid="{00000000-0005-0000-0000-00002F6E0000}"/>
    <cellStyle name="Normal 2 3 33 3 9" xfId="28208" xr:uid="{00000000-0005-0000-0000-0000306E0000}"/>
    <cellStyle name="Normal 2 3 33 4" xfId="28209" xr:uid="{00000000-0005-0000-0000-0000316E0000}"/>
    <cellStyle name="Normal 2 3 33 4 10" xfId="28210" xr:uid="{00000000-0005-0000-0000-0000326E0000}"/>
    <cellStyle name="Normal 2 3 33 4 2" xfId="28211" xr:uid="{00000000-0005-0000-0000-0000336E0000}"/>
    <cellStyle name="Normal 2 3 33 4 3" xfId="28212" xr:uid="{00000000-0005-0000-0000-0000346E0000}"/>
    <cellStyle name="Normal 2 3 33 4 4" xfId="28213" xr:uid="{00000000-0005-0000-0000-0000356E0000}"/>
    <cellStyle name="Normal 2 3 33 4 5" xfId="28214" xr:uid="{00000000-0005-0000-0000-0000366E0000}"/>
    <cellStyle name="Normal 2 3 33 4 6" xfId="28215" xr:uid="{00000000-0005-0000-0000-0000376E0000}"/>
    <cellStyle name="Normal 2 3 33 4 7" xfId="28216" xr:uid="{00000000-0005-0000-0000-0000386E0000}"/>
    <cellStyle name="Normal 2 3 33 4 8" xfId="28217" xr:uid="{00000000-0005-0000-0000-0000396E0000}"/>
    <cellStyle name="Normal 2 3 33 4 9" xfId="28218" xr:uid="{00000000-0005-0000-0000-00003A6E0000}"/>
    <cellStyle name="Normal 2 3 33 5" xfId="28219" xr:uid="{00000000-0005-0000-0000-00003B6E0000}"/>
    <cellStyle name="Normal 2 3 33 5 10" xfId="28220" xr:uid="{00000000-0005-0000-0000-00003C6E0000}"/>
    <cellStyle name="Normal 2 3 33 5 2" xfId="28221" xr:uid="{00000000-0005-0000-0000-00003D6E0000}"/>
    <cellStyle name="Normal 2 3 33 5 3" xfId="28222" xr:uid="{00000000-0005-0000-0000-00003E6E0000}"/>
    <cellStyle name="Normal 2 3 33 5 4" xfId="28223" xr:uid="{00000000-0005-0000-0000-00003F6E0000}"/>
    <cellStyle name="Normal 2 3 33 5 5" xfId="28224" xr:uid="{00000000-0005-0000-0000-0000406E0000}"/>
    <cellStyle name="Normal 2 3 33 5 6" xfId="28225" xr:uid="{00000000-0005-0000-0000-0000416E0000}"/>
    <cellStyle name="Normal 2 3 33 5 7" xfId="28226" xr:uid="{00000000-0005-0000-0000-0000426E0000}"/>
    <cellStyle name="Normal 2 3 33 5 8" xfId="28227" xr:uid="{00000000-0005-0000-0000-0000436E0000}"/>
    <cellStyle name="Normal 2 3 33 5 9" xfId="28228" xr:uid="{00000000-0005-0000-0000-0000446E0000}"/>
    <cellStyle name="Normal 2 3 33 6" xfId="28229" xr:uid="{00000000-0005-0000-0000-0000456E0000}"/>
    <cellStyle name="Normal 2 3 33 7" xfId="28230" xr:uid="{00000000-0005-0000-0000-0000466E0000}"/>
    <cellStyle name="Normal 2 3 33 8" xfId="28231" xr:uid="{00000000-0005-0000-0000-0000476E0000}"/>
    <cellStyle name="Normal 2 3 33 9" xfId="28232" xr:uid="{00000000-0005-0000-0000-0000486E0000}"/>
    <cellStyle name="Normal 2 3 34" xfId="28233" xr:uid="{00000000-0005-0000-0000-0000496E0000}"/>
    <cellStyle name="Normal 2 3 34 10" xfId="28234" xr:uid="{00000000-0005-0000-0000-00004A6E0000}"/>
    <cellStyle name="Normal 2 3 34 11" xfId="28235" xr:uid="{00000000-0005-0000-0000-00004B6E0000}"/>
    <cellStyle name="Normal 2 3 34 12" xfId="28236" xr:uid="{00000000-0005-0000-0000-00004C6E0000}"/>
    <cellStyle name="Normal 2 3 34 13" xfId="28237" xr:uid="{00000000-0005-0000-0000-00004D6E0000}"/>
    <cellStyle name="Normal 2 3 34 14" xfId="28238" xr:uid="{00000000-0005-0000-0000-00004E6E0000}"/>
    <cellStyle name="Normal 2 3 34 2" xfId="28239" xr:uid="{00000000-0005-0000-0000-00004F6E0000}"/>
    <cellStyle name="Normal 2 3 34 2 10" xfId="28240" xr:uid="{00000000-0005-0000-0000-0000506E0000}"/>
    <cellStyle name="Normal 2 3 34 2 2" xfId="28241" xr:uid="{00000000-0005-0000-0000-0000516E0000}"/>
    <cellStyle name="Normal 2 3 34 2 3" xfId="28242" xr:uid="{00000000-0005-0000-0000-0000526E0000}"/>
    <cellStyle name="Normal 2 3 34 2 4" xfId="28243" xr:uid="{00000000-0005-0000-0000-0000536E0000}"/>
    <cellStyle name="Normal 2 3 34 2 5" xfId="28244" xr:uid="{00000000-0005-0000-0000-0000546E0000}"/>
    <cellStyle name="Normal 2 3 34 2 6" xfId="28245" xr:uid="{00000000-0005-0000-0000-0000556E0000}"/>
    <cellStyle name="Normal 2 3 34 2 7" xfId="28246" xr:uid="{00000000-0005-0000-0000-0000566E0000}"/>
    <cellStyle name="Normal 2 3 34 2 8" xfId="28247" xr:uid="{00000000-0005-0000-0000-0000576E0000}"/>
    <cellStyle name="Normal 2 3 34 2 9" xfId="28248" xr:uid="{00000000-0005-0000-0000-0000586E0000}"/>
    <cellStyle name="Normal 2 3 34 3" xfId="28249" xr:uid="{00000000-0005-0000-0000-0000596E0000}"/>
    <cellStyle name="Normal 2 3 34 3 10" xfId="28250" xr:uid="{00000000-0005-0000-0000-00005A6E0000}"/>
    <cellStyle name="Normal 2 3 34 3 2" xfId="28251" xr:uid="{00000000-0005-0000-0000-00005B6E0000}"/>
    <cellStyle name="Normal 2 3 34 3 3" xfId="28252" xr:uid="{00000000-0005-0000-0000-00005C6E0000}"/>
    <cellStyle name="Normal 2 3 34 3 4" xfId="28253" xr:uid="{00000000-0005-0000-0000-00005D6E0000}"/>
    <cellStyle name="Normal 2 3 34 3 5" xfId="28254" xr:uid="{00000000-0005-0000-0000-00005E6E0000}"/>
    <cellStyle name="Normal 2 3 34 3 6" xfId="28255" xr:uid="{00000000-0005-0000-0000-00005F6E0000}"/>
    <cellStyle name="Normal 2 3 34 3 7" xfId="28256" xr:uid="{00000000-0005-0000-0000-0000606E0000}"/>
    <cellStyle name="Normal 2 3 34 3 8" xfId="28257" xr:uid="{00000000-0005-0000-0000-0000616E0000}"/>
    <cellStyle name="Normal 2 3 34 3 9" xfId="28258" xr:uid="{00000000-0005-0000-0000-0000626E0000}"/>
    <cellStyle name="Normal 2 3 34 4" xfId="28259" xr:uid="{00000000-0005-0000-0000-0000636E0000}"/>
    <cellStyle name="Normal 2 3 34 4 10" xfId="28260" xr:uid="{00000000-0005-0000-0000-0000646E0000}"/>
    <cellStyle name="Normal 2 3 34 4 2" xfId="28261" xr:uid="{00000000-0005-0000-0000-0000656E0000}"/>
    <cellStyle name="Normal 2 3 34 4 3" xfId="28262" xr:uid="{00000000-0005-0000-0000-0000666E0000}"/>
    <cellStyle name="Normal 2 3 34 4 4" xfId="28263" xr:uid="{00000000-0005-0000-0000-0000676E0000}"/>
    <cellStyle name="Normal 2 3 34 4 5" xfId="28264" xr:uid="{00000000-0005-0000-0000-0000686E0000}"/>
    <cellStyle name="Normal 2 3 34 4 6" xfId="28265" xr:uid="{00000000-0005-0000-0000-0000696E0000}"/>
    <cellStyle name="Normal 2 3 34 4 7" xfId="28266" xr:uid="{00000000-0005-0000-0000-00006A6E0000}"/>
    <cellStyle name="Normal 2 3 34 4 8" xfId="28267" xr:uid="{00000000-0005-0000-0000-00006B6E0000}"/>
    <cellStyle name="Normal 2 3 34 4 9" xfId="28268" xr:uid="{00000000-0005-0000-0000-00006C6E0000}"/>
    <cellStyle name="Normal 2 3 34 5" xfId="28269" xr:uid="{00000000-0005-0000-0000-00006D6E0000}"/>
    <cellStyle name="Normal 2 3 34 5 10" xfId="28270" xr:uid="{00000000-0005-0000-0000-00006E6E0000}"/>
    <cellStyle name="Normal 2 3 34 5 2" xfId="28271" xr:uid="{00000000-0005-0000-0000-00006F6E0000}"/>
    <cellStyle name="Normal 2 3 34 5 3" xfId="28272" xr:uid="{00000000-0005-0000-0000-0000706E0000}"/>
    <cellStyle name="Normal 2 3 34 5 4" xfId="28273" xr:uid="{00000000-0005-0000-0000-0000716E0000}"/>
    <cellStyle name="Normal 2 3 34 5 5" xfId="28274" xr:uid="{00000000-0005-0000-0000-0000726E0000}"/>
    <cellStyle name="Normal 2 3 34 5 6" xfId="28275" xr:uid="{00000000-0005-0000-0000-0000736E0000}"/>
    <cellStyle name="Normal 2 3 34 5 7" xfId="28276" xr:uid="{00000000-0005-0000-0000-0000746E0000}"/>
    <cellStyle name="Normal 2 3 34 5 8" xfId="28277" xr:uid="{00000000-0005-0000-0000-0000756E0000}"/>
    <cellStyle name="Normal 2 3 34 5 9" xfId="28278" xr:uid="{00000000-0005-0000-0000-0000766E0000}"/>
    <cellStyle name="Normal 2 3 34 6" xfId="28279" xr:uid="{00000000-0005-0000-0000-0000776E0000}"/>
    <cellStyle name="Normal 2 3 34 7" xfId="28280" xr:uid="{00000000-0005-0000-0000-0000786E0000}"/>
    <cellStyle name="Normal 2 3 34 8" xfId="28281" xr:uid="{00000000-0005-0000-0000-0000796E0000}"/>
    <cellStyle name="Normal 2 3 34 9" xfId="28282" xr:uid="{00000000-0005-0000-0000-00007A6E0000}"/>
    <cellStyle name="Normal 2 3 35" xfId="28283" xr:uid="{00000000-0005-0000-0000-00007B6E0000}"/>
    <cellStyle name="Normal 2 3 35 10" xfId="28284" xr:uid="{00000000-0005-0000-0000-00007C6E0000}"/>
    <cellStyle name="Normal 2 3 35 2" xfId="28285" xr:uid="{00000000-0005-0000-0000-00007D6E0000}"/>
    <cellStyle name="Normal 2 3 35 3" xfId="28286" xr:uid="{00000000-0005-0000-0000-00007E6E0000}"/>
    <cellStyle name="Normal 2 3 35 4" xfId="28287" xr:uid="{00000000-0005-0000-0000-00007F6E0000}"/>
    <cellStyle name="Normal 2 3 35 5" xfId="28288" xr:uid="{00000000-0005-0000-0000-0000806E0000}"/>
    <cellStyle name="Normal 2 3 35 6" xfId="28289" xr:uid="{00000000-0005-0000-0000-0000816E0000}"/>
    <cellStyle name="Normal 2 3 35 7" xfId="28290" xr:uid="{00000000-0005-0000-0000-0000826E0000}"/>
    <cellStyle name="Normal 2 3 35 8" xfId="28291" xr:uid="{00000000-0005-0000-0000-0000836E0000}"/>
    <cellStyle name="Normal 2 3 35 9" xfId="28292" xr:uid="{00000000-0005-0000-0000-0000846E0000}"/>
    <cellStyle name="Normal 2 3 36" xfId="28293" xr:uid="{00000000-0005-0000-0000-0000856E0000}"/>
    <cellStyle name="Normal 2 3 36 10" xfId="28294" xr:uid="{00000000-0005-0000-0000-0000866E0000}"/>
    <cellStyle name="Normal 2 3 36 2" xfId="28295" xr:uid="{00000000-0005-0000-0000-0000876E0000}"/>
    <cellStyle name="Normal 2 3 36 3" xfId="28296" xr:uid="{00000000-0005-0000-0000-0000886E0000}"/>
    <cellStyle name="Normal 2 3 36 4" xfId="28297" xr:uid="{00000000-0005-0000-0000-0000896E0000}"/>
    <cellStyle name="Normal 2 3 36 5" xfId="28298" xr:uid="{00000000-0005-0000-0000-00008A6E0000}"/>
    <cellStyle name="Normal 2 3 36 6" xfId="28299" xr:uid="{00000000-0005-0000-0000-00008B6E0000}"/>
    <cellStyle name="Normal 2 3 36 7" xfId="28300" xr:uid="{00000000-0005-0000-0000-00008C6E0000}"/>
    <cellStyle name="Normal 2 3 36 8" xfId="28301" xr:uid="{00000000-0005-0000-0000-00008D6E0000}"/>
    <cellStyle name="Normal 2 3 36 9" xfId="28302" xr:uid="{00000000-0005-0000-0000-00008E6E0000}"/>
    <cellStyle name="Normal 2 3 37" xfId="28303" xr:uid="{00000000-0005-0000-0000-00008F6E0000}"/>
    <cellStyle name="Normal 2 3 37 10" xfId="28304" xr:uid="{00000000-0005-0000-0000-0000906E0000}"/>
    <cellStyle name="Normal 2 3 37 2" xfId="28305" xr:uid="{00000000-0005-0000-0000-0000916E0000}"/>
    <cellStyle name="Normal 2 3 37 3" xfId="28306" xr:uid="{00000000-0005-0000-0000-0000926E0000}"/>
    <cellStyle name="Normal 2 3 37 4" xfId="28307" xr:uid="{00000000-0005-0000-0000-0000936E0000}"/>
    <cellStyle name="Normal 2 3 37 5" xfId="28308" xr:uid="{00000000-0005-0000-0000-0000946E0000}"/>
    <cellStyle name="Normal 2 3 37 6" xfId="28309" xr:uid="{00000000-0005-0000-0000-0000956E0000}"/>
    <cellStyle name="Normal 2 3 37 7" xfId="28310" xr:uid="{00000000-0005-0000-0000-0000966E0000}"/>
    <cellStyle name="Normal 2 3 37 8" xfId="28311" xr:uid="{00000000-0005-0000-0000-0000976E0000}"/>
    <cellStyle name="Normal 2 3 37 9" xfId="28312" xr:uid="{00000000-0005-0000-0000-0000986E0000}"/>
    <cellStyle name="Normal 2 3 38" xfId="28313" xr:uid="{00000000-0005-0000-0000-0000996E0000}"/>
    <cellStyle name="Normal 2 3 38 10" xfId="28314" xr:uid="{00000000-0005-0000-0000-00009A6E0000}"/>
    <cellStyle name="Normal 2 3 38 2" xfId="28315" xr:uid="{00000000-0005-0000-0000-00009B6E0000}"/>
    <cellStyle name="Normal 2 3 38 3" xfId="28316" xr:uid="{00000000-0005-0000-0000-00009C6E0000}"/>
    <cellStyle name="Normal 2 3 38 4" xfId="28317" xr:uid="{00000000-0005-0000-0000-00009D6E0000}"/>
    <cellStyle name="Normal 2 3 38 5" xfId="28318" xr:uid="{00000000-0005-0000-0000-00009E6E0000}"/>
    <cellStyle name="Normal 2 3 38 6" xfId="28319" xr:uid="{00000000-0005-0000-0000-00009F6E0000}"/>
    <cellStyle name="Normal 2 3 38 7" xfId="28320" xr:uid="{00000000-0005-0000-0000-0000A06E0000}"/>
    <cellStyle name="Normal 2 3 38 8" xfId="28321" xr:uid="{00000000-0005-0000-0000-0000A16E0000}"/>
    <cellStyle name="Normal 2 3 38 9" xfId="28322" xr:uid="{00000000-0005-0000-0000-0000A26E0000}"/>
    <cellStyle name="Normal 2 3 39" xfId="28323" xr:uid="{00000000-0005-0000-0000-0000A36E0000}"/>
    <cellStyle name="Normal 2 3 4" xfId="28324" xr:uid="{00000000-0005-0000-0000-0000A46E0000}"/>
    <cellStyle name="Normal 2 3 4 10" xfId="28325" xr:uid="{00000000-0005-0000-0000-0000A56E0000}"/>
    <cellStyle name="Normal 2 3 4 11" xfId="28326" xr:uid="{00000000-0005-0000-0000-0000A66E0000}"/>
    <cellStyle name="Normal 2 3 4 12" xfId="28327" xr:uid="{00000000-0005-0000-0000-0000A76E0000}"/>
    <cellStyle name="Normal 2 3 4 13" xfId="28328" xr:uid="{00000000-0005-0000-0000-0000A86E0000}"/>
    <cellStyle name="Normal 2 3 4 14" xfId="28329" xr:uid="{00000000-0005-0000-0000-0000A96E0000}"/>
    <cellStyle name="Normal 2 3 4 15" xfId="28330" xr:uid="{00000000-0005-0000-0000-0000AA6E0000}"/>
    <cellStyle name="Normal 2 3 4 16" xfId="28331" xr:uid="{00000000-0005-0000-0000-0000AB6E0000}"/>
    <cellStyle name="Normal 2 3 4 2" xfId="28332" xr:uid="{00000000-0005-0000-0000-0000AC6E0000}"/>
    <cellStyle name="Normal 2 3 4 2 10" xfId="28333" xr:uid="{00000000-0005-0000-0000-0000AD6E0000}"/>
    <cellStyle name="Normal 2 3 4 2 2" xfId="28334" xr:uid="{00000000-0005-0000-0000-0000AE6E0000}"/>
    <cellStyle name="Normal 2 3 4 2 3" xfId="28335" xr:uid="{00000000-0005-0000-0000-0000AF6E0000}"/>
    <cellStyle name="Normal 2 3 4 2 4" xfId="28336" xr:uid="{00000000-0005-0000-0000-0000B06E0000}"/>
    <cellStyle name="Normal 2 3 4 2 5" xfId="28337" xr:uid="{00000000-0005-0000-0000-0000B16E0000}"/>
    <cellStyle name="Normal 2 3 4 2 6" xfId="28338" xr:uid="{00000000-0005-0000-0000-0000B26E0000}"/>
    <cellStyle name="Normal 2 3 4 2 7" xfId="28339" xr:uid="{00000000-0005-0000-0000-0000B36E0000}"/>
    <cellStyle name="Normal 2 3 4 2 8" xfId="28340" xr:uid="{00000000-0005-0000-0000-0000B46E0000}"/>
    <cellStyle name="Normal 2 3 4 2 9" xfId="28341" xr:uid="{00000000-0005-0000-0000-0000B56E0000}"/>
    <cellStyle name="Normal 2 3 4 3" xfId="28342" xr:uid="{00000000-0005-0000-0000-0000B66E0000}"/>
    <cellStyle name="Normal 2 3 4 3 10" xfId="28343" xr:uid="{00000000-0005-0000-0000-0000B76E0000}"/>
    <cellStyle name="Normal 2 3 4 3 2" xfId="28344" xr:uid="{00000000-0005-0000-0000-0000B86E0000}"/>
    <cellStyle name="Normal 2 3 4 3 3" xfId="28345" xr:uid="{00000000-0005-0000-0000-0000B96E0000}"/>
    <cellStyle name="Normal 2 3 4 3 4" xfId="28346" xr:uid="{00000000-0005-0000-0000-0000BA6E0000}"/>
    <cellStyle name="Normal 2 3 4 3 5" xfId="28347" xr:uid="{00000000-0005-0000-0000-0000BB6E0000}"/>
    <cellStyle name="Normal 2 3 4 3 6" xfId="28348" xr:uid="{00000000-0005-0000-0000-0000BC6E0000}"/>
    <cellStyle name="Normal 2 3 4 3 7" xfId="28349" xr:uid="{00000000-0005-0000-0000-0000BD6E0000}"/>
    <cellStyle name="Normal 2 3 4 3 8" xfId="28350" xr:uid="{00000000-0005-0000-0000-0000BE6E0000}"/>
    <cellStyle name="Normal 2 3 4 3 9" xfId="28351" xr:uid="{00000000-0005-0000-0000-0000BF6E0000}"/>
    <cellStyle name="Normal 2 3 4 4" xfId="28352" xr:uid="{00000000-0005-0000-0000-0000C06E0000}"/>
    <cellStyle name="Normal 2 3 4 4 10" xfId="28353" xr:uid="{00000000-0005-0000-0000-0000C16E0000}"/>
    <cellStyle name="Normal 2 3 4 4 2" xfId="28354" xr:uid="{00000000-0005-0000-0000-0000C26E0000}"/>
    <cellStyle name="Normal 2 3 4 4 3" xfId="28355" xr:uid="{00000000-0005-0000-0000-0000C36E0000}"/>
    <cellStyle name="Normal 2 3 4 4 4" xfId="28356" xr:uid="{00000000-0005-0000-0000-0000C46E0000}"/>
    <cellStyle name="Normal 2 3 4 4 5" xfId="28357" xr:uid="{00000000-0005-0000-0000-0000C56E0000}"/>
    <cellStyle name="Normal 2 3 4 4 6" xfId="28358" xr:uid="{00000000-0005-0000-0000-0000C66E0000}"/>
    <cellStyle name="Normal 2 3 4 4 7" xfId="28359" xr:uid="{00000000-0005-0000-0000-0000C76E0000}"/>
    <cellStyle name="Normal 2 3 4 4 8" xfId="28360" xr:uid="{00000000-0005-0000-0000-0000C86E0000}"/>
    <cellStyle name="Normal 2 3 4 4 9" xfId="28361" xr:uid="{00000000-0005-0000-0000-0000C96E0000}"/>
    <cellStyle name="Normal 2 3 4 5" xfId="28362" xr:uid="{00000000-0005-0000-0000-0000CA6E0000}"/>
    <cellStyle name="Normal 2 3 4 5 10" xfId="28363" xr:uid="{00000000-0005-0000-0000-0000CB6E0000}"/>
    <cellStyle name="Normal 2 3 4 5 2" xfId="28364" xr:uid="{00000000-0005-0000-0000-0000CC6E0000}"/>
    <cellStyle name="Normal 2 3 4 5 3" xfId="28365" xr:uid="{00000000-0005-0000-0000-0000CD6E0000}"/>
    <cellStyle name="Normal 2 3 4 5 4" xfId="28366" xr:uid="{00000000-0005-0000-0000-0000CE6E0000}"/>
    <cellStyle name="Normal 2 3 4 5 5" xfId="28367" xr:uid="{00000000-0005-0000-0000-0000CF6E0000}"/>
    <cellStyle name="Normal 2 3 4 5 6" xfId="28368" xr:uid="{00000000-0005-0000-0000-0000D06E0000}"/>
    <cellStyle name="Normal 2 3 4 5 7" xfId="28369" xr:uid="{00000000-0005-0000-0000-0000D16E0000}"/>
    <cellStyle name="Normal 2 3 4 5 8" xfId="28370" xr:uid="{00000000-0005-0000-0000-0000D26E0000}"/>
    <cellStyle name="Normal 2 3 4 5 9" xfId="28371" xr:uid="{00000000-0005-0000-0000-0000D36E0000}"/>
    <cellStyle name="Normal 2 3 4 6" xfId="28372" xr:uid="{00000000-0005-0000-0000-0000D46E0000}"/>
    <cellStyle name="Normal 2 3 4 7" xfId="28373" xr:uid="{00000000-0005-0000-0000-0000D56E0000}"/>
    <cellStyle name="Normal 2 3 4 8" xfId="28374" xr:uid="{00000000-0005-0000-0000-0000D66E0000}"/>
    <cellStyle name="Normal 2 3 4 9" xfId="28375" xr:uid="{00000000-0005-0000-0000-0000D76E0000}"/>
    <cellStyle name="Normal 2 3 40" xfId="28376" xr:uid="{00000000-0005-0000-0000-0000D86E0000}"/>
    <cellStyle name="Normal 2 3 41" xfId="28377" xr:uid="{00000000-0005-0000-0000-0000D96E0000}"/>
    <cellStyle name="Normal 2 3 42" xfId="28378" xr:uid="{00000000-0005-0000-0000-0000DA6E0000}"/>
    <cellStyle name="Normal 2 3 43" xfId="28379" xr:uid="{00000000-0005-0000-0000-0000DB6E0000}"/>
    <cellStyle name="Normal 2 3 44" xfId="28380" xr:uid="{00000000-0005-0000-0000-0000DC6E0000}"/>
    <cellStyle name="Normal 2 3 45" xfId="28381" xr:uid="{00000000-0005-0000-0000-0000DD6E0000}"/>
    <cellStyle name="Normal 2 3 46" xfId="28382" xr:uid="{00000000-0005-0000-0000-0000DE6E0000}"/>
    <cellStyle name="Normal 2 3 47" xfId="28383" xr:uid="{00000000-0005-0000-0000-0000DF6E0000}"/>
    <cellStyle name="Normal 2 3 48" xfId="28384" xr:uid="{00000000-0005-0000-0000-0000E06E0000}"/>
    <cellStyle name="Normal 2 3 49" xfId="28385" xr:uid="{00000000-0005-0000-0000-0000E16E0000}"/>
    <cellStyle name="Normal 2 3 5" xfId="28386" xr:uid="{00000000-0005-0000-0000-0000E26E0000}"/>
    <cellStyle name="Normal 2 3 5 10" xfId="28387" xr:uid="{00000000-0005-0000-0000-0000E36E0000}"/>
    <cellStyle name="Normal 2 3 5 11" xfId="28388" xr:uid="{00000000-0005-0000-0000-0000E46E0000}"/>
    <cellStyle name="Normal 2 3 5 12" xfId="28389" xr:uid="{00000000-0005-0000-0000-0000E56E0000}"/>
    <cellStyle name="Normal 2 3 5 13" xfId="28390" xr:uid="{00000000-0005-0000-0000-0000E66E0000}"/>
    <cellStyle name="Normal 2 3 5 14" xfId="28391" xr:uid="{00000000-0005-0000-0000-0000E76E0000}"/>
    <cellStyle name="Normal 2 3 5 15" xfId="28392" xr:uid="{00000000-0005-0000-0000-0000E86E0000}"/>
    <cellStyle name="Normal 2 3 5 16" xfId="28393" xr:uid="{00000000-0005-0000-0000-0000E96E0000}"/>
    <cellStyle name="Normal 2 3 5 2" xfId="28394" xr:uid="{00000000-0005-0000-0000-0000EA6E0000}"/>
    <cellStyle name="Normal 2 3 5 2 10" xfId="28395" xr:uid="{00000000-0005-0000-0000-0000EB6E0000}"/>
    <cellStyle name="Normal 2 3 5 2 11" xfId="28396" xr:uid="{00000000-0005-0000-0000-0000EC6E0000}"/>
    <cellStyle name="Normal 2 3 5 2 12" xfId="28397" xr:uid="{00000000-0005-0000-0000-0000ED6E0000}"/>
    <cellStyle name="Normal 2 3 5 2 2" xfId="28398" xr:uid="{00000000-0005-0000-0000-0000EE6E0000}"/>
    <cellStyle name="Normal 2 3 5 2 3" xfId="28399" xr:uid="{00000000-0005-0000-0000-0000EF6E0000}"/>
    <cellStyle name="Normal 2 3 5 2 4" xfId="28400" xr:uid="{00000000-0005-0000-0000-0000F06E0000}"/>
    <cellStyle name="Normal 2 3 5 2 5" xfId="28401" xr:uid="{00000000-0005-0000-0000-0000F16E0000}"/>
    <cellStyle name="Normal 2 3 5 2 6" xfId="28402" xr:uid="{00000000-0005-0000-0000-0000F26E0000}"/>
    <cellStyle name="Normal 2 3 5 2 7" xfId="28403" xr:uid="{00000000-0005-0000-0000-0000F36E0000}"/>
    <cellStyle name="Normal 2 3 5 2 8" xfId="28404" xr:uid="{00000000-0005-0000-0000-0000F46E0000}"/>
    <cellStyle name="Normal 2 3 5 2 9" xfId="28405" xr:uid="{00000000-0005-0000-0000-0000F56E0000}"/>
    <cellStyle name="Normal 2 3 5 3" xfId="28406" xr:uid="{00000000-0005-0000-0000-0000F66E0000}"/>
    <cellStyle name="Normal 2 3 5 3 10" xfId="28407" xr:uid="{00000000-0005-0000-0000-0000F76E0000}"/>
    <cellStyle name="Normal 2 3 5 3 2" xfId="28408" xr:uid="{00000000-0005-0000-0000-0000F86E0000}"/>
    <cellStyle name="Normal 2 3 5 3 3" xfId="28409" xr:uid="{00000000-0005-0000-0000-0000F96E0000}"/>
    <cellStyle name="Normal 2 3 5 3 4" xfId="28410" xr:uid="{00000000-0005-0000-0000-0000FA6E0000}"/>
    <cellStyle name="Normal 2 3 5 3 5" xfId="28411" xr:uid="{00000000-0005-0000-0000-0000FB6E0000}"/>
    <cellStyle name="Normal 2 3 5 3 6" xfId="28412" xr:uid="{00000000-0005-0000-0000-0000FC6E0000}"/>
    <cellStyle name="Normal 2 3 5 3 7" xfId="28413" xr:uid="{00000000-0005-0000-0000-0000FD6E0000}"/>
    <cellStyle name="Normal 2 3 5 3 8" xfId="28414" xr:uid="{00000000-0005-0000-0000-0000FE6E0000}"/>
    <cellStyle name="Normal 2 3 5 3 9" xfId="28415" xr:uid="{00000000-0005-0000-0000-0000FF6E0000}"/>
    <cellStyle name="Normal 2 3 5 4" xfId="28416" xr:uid="{00000000-0005-0000-0000-0000006F0000}"/>
    <cellStyle name="Normal 2 3 5 4 10" xfId="28417" xr:uid="{00000000-0005-0000-0000-0000016F0000}"/>
    <cellStyle name="Normal 2 3 5 4 2" xfId="28418" xr:uid="{00000000-0005-0000-0000-0000026F0000}"/>
    <cellStyle name="Normal 2 3 5 4 3" xfId="28419" xr:uid="{00000000-0005-0000-0000-0000036F0000}"/>
    <cellStyle name="Normal 2 3 5 4 4" xfId="28420" xr:uid="{00000000-0005-0000-0000-0000046F0000}"/>
    <cellStyle name="Normal 2 3 5 4 5" xfId="28421" xr:uid="{00000000-0005-0000-0000-0000056F0000}"/>
    <cellStyle name="Normal 2 3 5 4 6" xfId="28422" xr:uid="{00000000-0005-0000-0000-0000066F0000}"/>
    <cellStyle name="Normal 2 3 5 4 7" xfId="28423" xr:uid="{00000000-0005-0000-0000-0000076F0000}"/>
    <cellStyle name="Normal 2 3 5 4 8" xfId="28424" xr:uid="{00000000-0005-0000-0000-0000086F0000}"/>
    <cellStyle name="Normal 2 3 5 4 9" xfId="28425" xr:uid="{00000000-0005-0000-0000-0000096F0000}"/>
    <cellStyle name="Normal 2 3 5 5" xfId="28426" xr:uid="{00000000-0005-0000-0000-00000A6F0000}"/>
    <cellStyle name="Normal 2 3 5 5 10" xfId="28427" xr:uid="{00000000-0005-0000-0000-00000B6F0000}"/>
    <cellStyle name="Normal 2 3 5 5 2" xfId="28428" xr:uid="{00000000-0005-0000-0000-00000C6F0000}"/>
    <cellStyle name="Normal 2 3 5 5 3" xfId="28429" xr:uid="{00000000-0005-0000-0000-00000D6F0000}"/>
    <cellStyle name="Normal 2 3 5 5 4" xfId="28430" xr:uid="{00000000-0005-0000-0000-00000E6F0000}"/>
    <cellStyle name="Normal 2 3 5 5 5" xfId="28431" xr:uid="{00000000-0005-0000-0000-00000F6F0000}"/>
    <cellStyle name="Normal 2 3 5 5 6" xfId="28432" xr:uid="{00000000-0005-0000-0000-0000106F0000}"/>
    <cellStyle name="Normal 2 3 5 5 7" xfId="28433" xr:uid="{00000000-0005-0000-0000-0000116F0000}"/>
    <cellStyle name="Normal 2 3 5 5 8" xfId="28434" xr:uid="{00000000-0005-0000-0000-0000126F0000}"/>
    <cellStyle name="Normal 2 3 5 5 9" xfId="28435" xr:uid="{00000000-0005-0000-0000-0000136F0000}"/>
    <cellStyle name="Normal 2 3 5 6" xfId="28436" xr:uid="{00000000-0005-0000-0000-0000146F0000}"/>
    <cellStyle name="Normal 2 3 5 7" xfId="28437" xr:uid="{00000000-0005-0000-0000-0000156F0000}"/>
    <cellStyle name="Normal 2 3 5 8" xfId="28438" xr:uid="{00000000-0005-0000-0000-0000166F0000}"/>
    <cellStyle name="Normal 2 3 5 9" xfId="28439" xr:uid="{00000000-0005-0000-0000-0000176F0000}"/>
    <cellStyle name="Normal 2 3 6" xfId="28440" xr:uid="{00000000-0005-0000-0000-0000186F0000}"/>
    <cellStyle name="Normal 2 3 6 10" xfId="28441" xr:uid="{00000000-0005-0000-0000-0000196F0000}"/>
    <cellStyle name="Normal 2 3 6 11" xfId="28442" xr:uid="{00000000-0005-0000-0000-00001A6F0000}"/>
    <cellStyle name="Normal 2 3 6 12" xfId="28443" xr:uid="{00000000-0005-0000-0000-00001B6F0000}"/>
    <cellStyle name="Normal 2 3 6 13" xfId="28444" xr:uid="{00000000-0005-0000-0000-00001C6F0000}"/>
    <cellStyle name="Normal 2 3 6 14" xfId="28445" xr:uid="{00000000-0005-0000-0000-00001D6F0000}"/>
    <cellStyle name="Normal 2 3 6 2" xfId="28446" xr:uid="{00000000-0005-0000-0000-00001E6F0000}"/>
    <cellStyle name="Normal 2 3 6 2 10" xfId="28447" xr:uid="{00000000-0005-0000-0000-00001F6F0000}"/>
    <cellStyle name="Normal 2 3 6 2 2" xfId="28448" xr:uid="{00000000-0005-0000-0000-0000206F0000}"/>
    <cellStyle name="Normal 2 3 6 2 3" xfId="28449" xr:uid="{00000000-0005-0000-0000-0000216F0000}"/>
    <cellStyle name="Normal 2 3 6 2 4" xfId="28450" xr:uid="{00000000-0005-0000-0000-0000226F0000}"/>
    <cellStyle name="Normal 2 3 6 2 5" xfId="28451" xr:uid="{00000000-0005-0000-0000-0000236F0000}"/>
    <cellStyle name="Normal 2 3 6 2 6" xfId="28452" xr:uid="{00000000-0005-0000-0000-0000246F0000}"/>
    <cellStyle name="Normal 2 3 6 2 7" xfId="28453" xr:uid="{00000000-0005-0000-0000-0000256F0000}"/>
    <cellStyle name="Normal 2 3 6 2 8" xfId="28454" xr:uid="{00000000-0005-0000-0000-0000266F0000}"/>
    <cellStyle name="Normal 2 3 6 2 9" xfId="28455" xr:uid="{00000000-0005-0000-0000-0000276F0000}"/>
    <cellStyle name="Normal 2 3 6 3" xfId="28456" xr:uid="{00000000-0005-0000-0000-0000286F0000}"/>
    <cellStyle name="Normal 2 3 6 3 10" xfId="28457" xr:uid="{00000000-0005-0000-0000-0000296F0000}"/>
    <cellStyle name="Normal 2 3 6 3 2" xfId="28458" xr:uid="{00000000-0005-0000-0000-00002A6F0000}"/>
    <cellStyle name="Normal 2 3 6 3 3" xfId="28459" xr:uid="{00000000-0005-0000-0000-00002B6F0000}"/>
    <cellStyle name="Normal 2 3 6 3 4" xfId="28460" xr:uid="{00000000-0005-0000-0000-00002C6F0000}"/>
    <cellStyle name="Normal 2 3 6 3 5" xfId="28461" xr:uid="{00000000-0005-0000-0000-00002D6F0000}"/>
    <cellStyle name="Normal 2 3 6 3 6" xfId="28462" xr:uid="{00000000-0005-0000-0000-00002E6F0000}"/>
    <cellStyle name="Normal 2 3 6 3 7" xfId="28463" xr:uid="{00000000-0005-0000-0000-00002F6F0000}"/>
    <cellStyle name="Normal 2 3 6 3 8" xfId="28464" xr:uid="{00000000-0005-0000-0000-0000306F0000}"/>
    <cellStyle name="Normal 2 3 6 3 9" xfId="28465" xr:uid="{00000000-0005-0000-0000-0000316F0000}"/>
    <cellStyle name="Normal 2 3 6 4" xfId="28466" xr:uid="{00000000-0005-0000-0000-0000326F0000}"/>
    <cellStyle name="Normal 2 3 6 4 10" xfId="28467" xr:uid="{00000000-0005-0000-0000-0000336F0000}"/>
    <cellStyle name="Normal 2 3 6 4 2" xfId="28468" xr:uid="{00000000-0005-0000-0000-0000346F0000}"/>
    <cellStyle name="Normal 2 3 6 4 3" xfId="28469" xr:uid="{00000000-0005-0000-0000-0000356F0000}"/>
    <cellStyle name="Normal 2 3 6 4 4" xfId="28470" xr:uid="{00000000-0005-0000-0000-0000366F0000}"/>
    <cellStyle name="Normal 2 3 6 4 5" xfId="28471" xr:uid="{00000000-0005-0000-0000-0000376F0000}"/>
    <cellStyle name="Normal 2 3 6 4 6" xfId="28472" xr:uid="{00000000-0005-0000-0000-0000386F0000}"/>
    <cellStyle name="Normal 2 3 6 4 7" xfId="28473" xr:uid="{00000000-0005-0000-0000-0000396F0000}"/>
    <cellStyle name="Normal 2 3 6 4 8" xfId="28474" xr:uid="{00000000-0005-0000-0000-00003A6F0000}"/>
    <cellStyle name="Normal 2 3 6 4 9" xfId="28475" xr:uid="{00000000-0005-0000-0000-00003B6F0000}"/>
    <cellStyle name="Normal 2 3 6 5" xfId="28476" xr:uid="{00000000-0005-0000-0000-00003C6F0000}"/>
    <cellStyle name="Normal 2 3 6 5 10" xfId="28477" xr:uid="{00000000-0005-0000-0000-00003D6F0000}"/>
    <cellStyle name="Normal 2 3 6 5 2" xfId="28478" xr:uid="{00000000-0005-0000-0000-00003E6F0000}"/>
    <cellStyle name="Normal 2 3 6 5 3" xfId="28479" xr:uid="{00000000-0005-0000-0000-00003F6F0000}"/>
    <cellStyle name="Normal 2 3 6 5 4" xfId="28480" xr:uid="{00000000-0005-0000-0000-0000406F0000}"/>
    <cellStyle name="Normal 2 3 6 5 5" xfId="28481" xr:uid="{00000000-0005-0000-0000-0000416F0000}"/>
    <cellStyle name="Normal 2 3 6 5 6" xfId="28482" xr:uid="{00000000-0005-0000-0000-0000426F0000}"/>
    <cellStyle name="Normal 2 3 6 5 7" xfId="28483" xr:uid="{00000000-0005-0000-0000-0000436F0000}"/>
    <cellStyle name="Normal 2 3 6 5 8" xfId="28484" xr:uid="{00000000-0005-0000-0000-0000446F0000}"/>
    <cellStyle name="Normal 2 3 6 5 9" xfId="28485" xr:uid="{00000000-0005-0000-0000-0000456F0000}"/>
    <cellStyle name="Normal 2 3 6 6" xfId="28486" xr:uid="{00000000-0005-0000-0000-0000466F0000}"/>
    <cellStyle name="Normal 2 3 6 7" xfId="28487" xr:uid="{00000000-0005-0000-0000-0000476F0000}"/>
    <cellStyle name="Normal 2 3 6 8" xfId="28488" xr:uid="{00000000-0005-0000-0000-0000486F0000}"/>
    <cellStyle name="Normal 2 3 6 9" xfId="28489" xr:uid="{00000000-0005-0000-0000-0000496F0000}"/>
    <cellStyle name="Normal 2 3 7" xfId="28490" xr:uid="{00000000-0005-0000-0000-00004A6F0000}"/>
    <cellStyle name="Normal 2 3 7 10" xfId="28491" xr:uid="{00000000-0005-0000-0000-00004B6F0000}"/>
    <cellStyle name="Normal 2 3 7 11" xfId="28492" xr:uid="{00000000-0005-0000-0000-00004C6F0000}"/>
    <cellStyle name="Normal 2 3 7 12" xfId="28493" xr:uid="{00000000-0005-0000-0000-00004D6F0000}"/>
    <cellStyle name="Normal 2 3 7 13" xfId="28494" xr:uid="{00000000-0005-0000-0000-00004E6F0000}"/>
    <cellStyle name="Normal 2 3 7 14" xfId="28495" xr:uid="{00000000-0005-0000-0000-00004F6F0000}"/>
    <cellStyle name="Normal 2 3 7 2" xfId="28496" xr:uid="{00000000-0005-0000-0000-0000506F0000}"/>
    <cellStyle name="Normal 2 3 7 2 10" xfId="28497" xr:uid="{00000000-0005-0000-0000-0000516F0000}"/>
    <cellStyle name="Normal 2 3 7 2 2" xfId="28498" xr:uid="{00000000-0005-0000-0000-0000526F0000}"/>
    <cellStyle name="Normal 2 3 7 2 3" xfId="28499" xr:uid="{00000000-0005-0000-0000-0000536F0000}"/>
    <cellStyle name="Normal 2 3 7 2 4" xfId="28500" xr:uid="{00000000-0005-0000-0000-0000546F0000}"/>
    <cellStyle name="Normal 2 3 7 2 5" xfId="28501" xr:uid="{00000000-0005-0000-0000-0000556F0000}"/>
    <cellStyle name="Normal 2 3 7 2 6" xfId="28502" xr:uid="{00000000-0005-0000-0000-0000566F0000}"/>
    <cellStyle name="Normal 2 3 7 2 7" xfId="28503" xr:uid="{00000000-0005-0000-0000-0000576F0000}"/>
    <cellStyle name="Normal 2 3 7 2 8" xfId="28504" xr:uid="{00000000-0005-0000-0000-0000586F0000}"/>
    <cellStyle name="Normal 2 3 7 2 9" xfId="28505" xr:uid="{00000000-0005-0000-0000-0000596F0000}"/>
    <cellStyle name="Normal 2 3 7 3" xfId="28506" xr:uid="{00000000-0005-0000-0000-00005A6F0000}"/>
    <cellStyle name="Normal 2 3 7 3 10" xfId="28507" xr:uid="{00000000-0005-0000-0000-00005B6F0000}"/>
    <cellStyle name="Normal 2 3 7 3 2" xfId="28508" xr:uid="{00000000-0005-0000-0000-00005C6F0000}"/>
    <cellStyle name="Normal 2 3 7 3 3" xfId="28509" xr:uid="{00000000-0005-0000-0000-00005D6F0000}"/>
    <cellStyle name="Normal 2 3 7 3 4" xfId="28510" xr:uid="{00000000-0005-0000-0000-00005E6F0000}"/>
    <cellStyle name="Normal 2 3 7 3 5" xfId="28511" xr:uid="{00000000-0005-0000-0000-00005F6F0000}"/>
    <cellStyle name="Normal 2 3 7 3 6" xfId="28512" xr:uid="{00000000-0005-0000-0000-0000606F0000}"/>
    <cellStyle name="Normal 2 3 7 3 7" xfId="28513" xr:uid="{00000000-0005-0000-0000-0000616F0000}"/>
    <cellStyle name="Normal 2 3 7 3 8" xfId="28514" xr:uid="{00000000-0005-0000-0000-0000626F0000}"/>
    <cellStyle name="Normal 2 3 7 3 9" xfId="28515" xr:uid="{00000000-0005-0000-0000-0000636F0000}"/>
    <cellStyle name="Normal 2 3 7 4" xfId="28516" xr:uid="{00000000-0005-0000-0000-0000646F0000}"/>
    <cellStyle name="Normal 2 3 7 4 10" xfId="28517" xr:uid="{00000000-0005-0000-0000-0000656F0000}"/>
    <cellStyle name="Normal 2 3 7 4 2" xfId="28518" xr:uid="{00000000-0005-0000-0000-0000666F0000}"/>
    <cellStyle name="Normal 2 3 7 4 3" xfId="28519" xr:uid="{00000000-0005-0000-0000-0000676F0000}"/>
    <cellStyle name="Normal 2 3 7 4 4" xfId="28520" xr:uid="{00000000-0005-0000-0000-0000686F0000}"/>
    <cellStyle name="Normal 2 3 7 4 5" xfId="28521" xr:uid="{00000000-0005-0000-0000-0000696F0000}"/>
    <cellStyle name="Normal 2 3 7 4 6" xfId="28522" xr:uid="{00000000-0005-0000-0000-00006A6F0000}"/>
    <cellStyle name="Normal 2 3 7 4 7" xfId="28523" xr:uid="{00000000-0005-0000-0000-00006B6F0000}"/>
    <cellStyle name="Normal 2 3 7 4 8" xfId="28524" xr:uid="{00000000-0005-0000-0000-00006C6F0000}"/>
    <cellStyle name="Normal 2 3 7 4 9" xfId="28525" xr:uid="{00000000-0005-0000-0000-00006D6F0000}"/>
    <cellStyle name="Normal 2 3 7 5" xfId="28526" xr:uid="{00000000-0005-0000-0000-00006E6F0000}"/>
    <cellStyle name="Normal 2 3 7 5 10" xfId="28527" xr:uid="{00000000-0005-0000-0000-00006F6F0000}"/>
    <cellStyle name="Normal 2 3 7 5 2" xfId="28528" xr:uid="{00000000-0005-0000-0000-0000706F0000}"/>
    <cellStyle name="Normal 2 3 7 5 3" xfId="28529" xr:uid="{00000000-0005-0000-0000-0000716F0000}"/>
    <cellStyle name="Normal 2 3 7 5 4" xfId="28530" xr:uid="{00000000-0005-0000-0000-0000726F0000}"/>
    <cellStyle name="Normal 2 3 7 5 5" xfId="28531" xr:uid="{00000000-0005-0000-0000-0000736F0000}"/>
    <cellStyle name="Normal 2 3 7 5 6" xfId="28532" xr:uid="{00000000-0005-0000-0000-0000746F0000}"/>
    <cellStyle name="Normal 2 3 7 5 7" xfId="28533" xr:uid="{00000000-0005-0000-0000-0000756F0000}"/>
    <cellStyle name="Normal 2 3 7 5 8" xfId="28534" xr:uid="{00000000-0005-0000-0000-0000766F0000}"/>
    <cellStyle name="Normal 2 3 7 5 9" xfId="28535" xr:uid="{00000000-0005-0000-0000-0000776F0000}"/>
    <cellStyle name="Normal 2 3 7 6" xfId="28536" xr:uid="{00000000-0005-0000-0000-0000786F0000}"/>
    <cellStyle name="Normal 2 3 7 7" xfId="28537" xr:uid="{00000000-0005-0000-0000-0000796F0000}"/>
    <cellStyle name="Normal 2 3 7 8" xfId="28538" xr:uid="{00000000-0005-0000-0000-00007A6F0000}"/>
    <cellStyle name="Normal 2 3 7 9" xfId="28539" xr:uid="{00000000-0005-0000-0000-00007B6F0000}"/>
    <cellStyle name="Normal 2 3 8" xfId="28540" xr:uid="{00000000-0005-0000-0000-00007C6F0000}"/>
    <cellStyle name="Normal 2 3 8 10" xfId="28541" xr:uid="{00000000-0005-0000-0000-00007D6F0000}"/>
    <cellStyle name="Normal 2 3 8 11" xfId="28542" xr:uid="{00000000-0005-0000-0000-00007E6F0000}"/>
    <cellStyle name="Normal 2 3 8 12" xfId="28543" xr:uid="{00000000-0005-0000-0000-00007F6F0000}"/>
    <cellStyle name="Normal 2 3 8 13" xfId="28544" xr:uid="{00000000-0005-0000-0000-0000806F0000}"/>
    <cellStyle name="Normal 2 3 8 14" xfId="28545" xr:uid="{00000000-0005-0000-0000-0000816F0000}"/>
    <cellStyle name="Normal 2 3 8 2" xfId="28546" xr:uid="{00000000-0005-0000-0000-0000826F0000}"/>
    <cellStyle name="Normal 2 3 8 2 10" xfId="28547" xr:uid="{00000000-0005-0000-0000-0000836F0000}"/>
    <cellStyle name="Normal 2 3 8 2 2" xfId="28548" xr:uid="{00000000-0005-0000-0000-0000846F0000}"/>
    <cellStyle name="Normal 2 3 8 2 3" xfId="28549" xr:uid="{00000000-0005-0000-0000-0000856F0000}"/>
    <cellStyle name="Normal 2 3 8 2 4" xfId="28550" xr:uid="{00000000-0005-0000-0000-0000866F0000}"/>
    <cellStyle name="Normal 2 3 8 2 5" xfId="28551" xr:uid="{00000000-0005-0000-0000-0000876F0000}"/>
    <cellStyle name="Normal 2 3 8 2 6" xfId="28552" xr:uid="{00000000-0005-0000-0000-0000886F0000}"/>
    <cellStyle name="Normal 2 3 8 2 7" xfId="28553" xr:uid="{00000000-0005-0000-0000-0000896F0000}"/>
    <cellStyle name="Normal 2 3 8 2 8" xfId="28554" xr:uid="{00000000-0005-0000-0000-00008A6F0000}"/>
    <cellStyle name="Normal 2 3 8 2 9" xfId="28555" xr:uid="{00000000-0005-0000-0000-00008B6F0000}"/>
    <cellStyle name="Normal 2 3 8 3" xfId="28556" xr:uid="{00000000-0005-0000-0000-00008C6F0000}"/>
    <cellStyle name="Normal 2 3 8 3 10" xfId="28557" xr:uid="{00000000-0005-0000-0000-00008D6F0000}"/>
    <cellStyle name="Normal 2 3 8 3 2" xfId="28558" xr:uid="{00000000-0005-0000-0000-00008E6F0000}"/>
    <cellStyle name="Normal 2 3 8 3 3" xfId="28559" xr:uid="{00000000-0005-0000-0000-00008F6F0000}"/>
    <cellStyle name="Normal 2 3 8 3 4" xfId="28560" xr:uid="{00000000-0005-0000-0000-0000906F0000}"/>
    <cellStyle name="Normal 2 3 8 3 5" xfId="28561" xr:uid="{00000000-0005-0000-0000-0000916F0000}"/>
    <cellStyle name="Normal 2 3 8 3 6" xfId="28562" xr:uid="{00000000-0005-0000-0000-0000926F0000}"/>
    <cellStyle name="Normal 2 3 8 3 7" xfId="28563" xr:uid="{00000000-0005-0000-0000-0000936F0000}"/>
    <cellStyle name="Normal 2 3 8 3 8" xfId="28564" xr:uid="{00000000-0005-0000-0000-0000946F0000}"/>
    <cellStyle name="Normal 2 3 8 3 9" xfId="28565" xr:uid="{00000000-0005-0000-0000-0000956F0000}"/>
    <cellStyle name="Normal 2 3 8 4" xfId="28566" xr:uid="{00000000-0005-0000-0000-0000966F0000}"/>
    <cellStyle name="Normal 2 3 8 4 10" xfId="28567" xr:uid="{00000000-0005-0000-0000-0000976F0000}"/>
    <cellStyle name="Normal 2 3 8 4 2" xfId="28568" xr:uid="{00000000-0005-0000-0000-0000986F0000}"/>
    <cellStyle name="Normal 2 3 8 4 3" xfId="28569" xr:uid="{00000000-0005-0000-0000-0000996F0000}"/>
    <cellStyle name="Normal 2 3 8 4 4" xfId="28570" xr:uid="{00000000-0005-0000-0000-00009A6F0000}"/>
    <cellStyle name="Normal 2 3 8 4 5" xfId="28571" xr:uid="{00000000-0005-0000-0000-00009B6F0000}"/>
    <cellStyle name="Normal 2 3 8 4 6" xfId="28572" xr:uid="{00000000-0005-0000-0000-00009C6F0000}"/>
    <cellStyle name="Normal 2 3 8 4 7" xfId="28573" xr:uid="{00000000-0005-0000-0000-00009D6F0000}"/>
    <cellStyle name="Normal 2 3 8 4 8" xfId="28574" xr:uid="{00000000-0005-0000-0000-00009E6F0000}"/>
    <cellStyle name="Normal 2 3 8 4 9" xfId="28575" xr:uid="{00000000-0005-0000-0000-00009F6F0000}"/>
    <cellStyle name="Normal 2 3 8 5" xfId="28576" xr:uid="{00000000-0005-0000-0000-0000A06F0000}"/>
    <cellStyle name="Normal 2 3 8 5 10" xfId="28577" xr:uid="{00000000-0005-0000-0000-0000A16F0000}"/>
    <cellStyle name="Normal 2 3 8 5 2" xfId="28578" xr:uid="{00000000-0005-0000-0000-0000A26F0000}"/>
    <cellStyle name="Normal 2 3 8 5 3" xfId="28579" xr:uid="{00000000-0005-0000-0000-0000A36F0000}"/>
    <cellStyle name="Normal 2 3 8 5 4" xfId="28580" xr:uid="{00000000-0005-0000-0000-0000A46F0000}"/>
    <cellStyle name="Normal 2 3 8 5 5" xfId="28581" xr:uid="{00000000-0005-0000-0000-0000A56F0000}"/>
    <cellStyle name="Normal 2 3 8 5 6" xfId="28582" xr:uid="{00000000-0005-0000-0000-0000A66F0000}"/>
    <cellStyle name="Normal 2 3 8 5 7" xfId="28583" xr:uid="{00000000-0005-0000-0000-0000A76F0000}"/>
    <cellStyle name="Normal 2 3 8 5 8" xfId="28584" xr:uid="{00000000-0005-0000-0000-0000A86F0000}"/>
    <cellStyle name="Normal 2 3 8 5 9" xfId="28585" xr:uid="{00000000-0005-0000-0000-0000A96F0000}"/>
    <cellStyle name="Normal 2 3 8 6" xfId="28586" xr:uid="{00000000-0005-0000-0000-0000AA6F0000}"/>
    <cellStyle name="Normal 2 3 8 7" xfId="28587" xr:uid="{00000000-0005-0000-0000-0000AB6F0000}"/>
    <cellStyle name="Normal 2 3 8 8" xfId="28588" xr:uid="{00000000-0005-0000-0000-0000AC6F0000}"/>
    <cellStyle name="Normal 2 3 8 9" xfId="28589" xr:uid="{00000000-0005-0000-0000-0000AD6F0000}"/>
    <cellStyle name="Normal 2 3 9" xfId="28590" xr:uid="{00000000-0005-0000-0000-0000AE6F0000}"/>
    <cellStyle name="Normal 2 3 9 10" xfId="28591" xr:uid="{00000000-0005-0000-0000-0000AF6F0000}"/>
    <cellStyle name="Normal 2 3 9 11" xfId="28592" xr:uid="{00000000-0005-0000-0000-0000B06F0000}"/>
    <cellStyle name="Normal 2 3 9 12" xfId="28593" xr:uid="{00000000-0005-0000-0000-0000B16F0000}"/>
    <cellStyle name="Normal 2 3 9 13" xfId="28594" xr:uid="{00000000-0005-0000-0000-0000B26F0000}"/>
    <cellStyle name="Normal 2 3 9 14" xfId="28595" xr:uid="{00000000-0005-0000-0000-0000B36F0000}"/>
    <cellStyle name="Normal 2 3 9 2" xfId="28596" xr:uid="{00000000-0005-0000-0000-0000B46F0000}"/>
    <cellStyle name="Normal 2 3 9 2 10" xfId="28597" xr:uid="{00000000-0005-0000-0000-0000B56F0000}"/>
    <cellStyle name="Normal 2 3 9 2 2" xfId="28598" xr:uid="{00000000-0005-0000-0000-0000B66F0000}"/>
    <cellStyle name="Normal 2 3 9 2 3" xfId="28599" xr:uid="{00000000-0005-0000-0000-0000B76F0000}"/>
    <cellStyle name="Normal 2 3 9 2 4" xfId="28600" xr:uid="{00000000-0005-0000-0000-0000B86F0000}"/>
    <cellStyle name="Normal 2 3 9 2 5" xfId="28601" xr:uid="{00000000-0005-0000-0000-0000B96F0000}"/>
    <cellStyle name="Normal 2 3 9 2 6" xfId="28602" xr:uid="{00000000-0005-0000-0000-0000BA6F0000}"/>
    <cellStyle name="Normal 2 3 9 2 7" xfId="28603" xr:uid="{00000000-0005-0000-0000-0000BB6F0000}"/>
    <cellStyle name="Normal 2 3 9 2 8" xfId="28604" xr:uid="{00000000-0005-0000-0000-0000BC6F0000}"/>
    <cellStyle name="Normal 2 3 9 2 9" xfId="28605" xr:uid="{00000000-0005-0000-0000-0000BD6F0000}"/>
    <cellStyle name="Normal 2 3 9 3" xfId="28606" xr:uid="{00000000-0005-0000-0000-0000BE6F0000}"/>
    <cellStyle name="Normal 2 3 9 3 10" xfId="28607" xr:uid="{00000000-0005-0000-0000-0000BF6F0000}"/>
    <cellStyle name="Normal 2 3 9 3 2" xfId="28608" xr:uid="{00000000-0005-0000-0000-0000C06F0000}"/>
    <cellStyle name="Normal 2 3 9 3 3" xfId="28609" xr:uid="{00000000-0005-0000-0000-0000C16F0000}"/>
    <cellStyle name="Normal 2 3 9 3 4" xfId="28610" xr:uid="{00000000-0005-0000-0000-0000C26F0000}"/>
    <cellStyle name="Normal 2 3 9 3 5" xfId="28611" xr:uid="{00000000-0005-0000-0000-0000C36F0000}"/>
    <cellStyle name="Normal 2 3 9 3 6" xfId="28612" xr:uid="{00000000-0005-0000-0000-0000C46F0000}"/>
    <cellStyle name="Normal 2 3 9 3 7" xfId="28613" xr:uid="{00000000-0005-0000-0000-0000C56F0000}"/>
    <cellStyle name="Normal 2 3 9 3 8" xfId="28614" xr:uid="{00000000-0005-0000-0000-0000C66F0000}"/>
    <cellStyle name="Normal 2 3 9 3 9" xfId="28615" xr:uid="{00000000-0005-0000-0000-0000C76F0000}"/>
    <cellStyle name="Normal 2 3 9 4" xfId="28616" xr:uid="{00000000-0005-0000-0000-0000C86F0000}"/>
    <cellStyle name="Normal 2 3 9 4 10" xfId="28617" xr:uid="{00000000-0005-0000-0000-0000C96F0000}"/>
    <cellStyle name="Normal 2 3 9 4 2" xfId="28618" xr:uid="{00000000-0005-0000-0000-0000CA6F0000}"/>
    <cellStyle name="Normal 2 3 9 4 3" xfId="28619" xr:uid="{00000000-0005-0000-0000-0000CB6F0000}"/>
    <cellStyle name="Normal 2 3 9 4 4" xfId="28620" xr:uid="{00000000-0005-0000-0000-0000CC6F0000}"/>
    <cellStyle name="Normal 2 3 9 4 5" xfId="28621" xr:uid="{00000000-0005-0000-0000-0000CD6F0000}"/>
    <cellStyle name="Normal 2 3 9 4 6" xfId="28622" xr:uid="{00000000-0005-0000-0000-0000CE6F0000}"/>
    <cellStyle name="Normal 2 3 9 4 7" xfId="28623" xr:uid="{00000000-0005-0000-0000-0000CF6F0000}"/>
    <cellStyle name="Normal 2 3 9 4 8" xfId="28624" xr:uid="{00000000-0005-0000-0000-0000D06F0000}"/>
    <cellStyle name="Normal 2 3 9 4 9" xfId="28625" xr:uid="{00000000-0005-0000-0000-0000D16F0000}"/>
    <cellStyle name="Normal 2 3 9 5" xfId="28626" xr:uid="{00000000-0005-0000-0000-0000D26F0000}"/>
    <cellStyle name="Normal 2 3 9 5 10" xfId="28627" xr:uid="{00000000-0005-0000-0000-0000D36F0000}"/>
    <cellStyle name="Normal 2 3 9 5 2" xfId="28628" xr:uid="{00000000-0005-0000-0000-0000D46F0000}"/>
    <cellStyle name="Normal 2 3 9 5 3" xfId="28629" xr:uid="{00000000-0005-0000-0000-0000D56F0000}"/>
    <cellStyle name="Normal 2 3 9 5 4" xfId="28630" xr:uid="{00000000-0005-0000-0000-0000D66F0000}"/>
    <cellStyle name="Normal 2 3 9 5 5" xfId="28631" xr:uid="{00000000-0005-0000-0000-0000D76F0000}"/>
    <cellStyle name="Normal 2 3 9 5 6" xfId="28632" xr:uid="{00000000-0005-0000-0000-0000D86F0000}"/>
    <cellStyle name="Normal 2 3 9 5 7" xfId="28633" xr:uid="{00000000-0005-0000-0000-0000D96F0000}"/>
    <cellStyle name="Normal 2 3 9 5 8" xfId="28634" xr:uid="{00000000-0005-0000-0000-0000DA6F0000}"/>
    <cellStyle name="Normal 2 3 9 5 9" xfId="28635" xr:uid="{00000000-0005-0000-0000-0000DB6F0000}"/>
    <cellStyle name="Normal 2 3 9 6" xfId="28636" xr:uid="{00000000-0005-0000-0000-0000DC6F0000}"/>
    <cellStyle name="Normal 2 3 9 7" xfId="28637" xr:uid="{00000000-0005-0000-0000-0000DD6F0000}"/>
    <cellStyle name="Normal 2 3 9 8" xfId="28638" xr:uid="{00000000-0005-0000-0000-0000DE6F0000}"/>
    <cellStyle name="Normal 2 3 9 9" xfId="28639" xr:uid="{00000000-0005-0000-0000-0000DF6F0000}"/>
    <cellStyle name="Normal 2 30" xfId="28640" xr:uid="{00000000-0005-0000-0000-0000E06F0000}"/>
    <cellStyle name="Normal 2 30 2" xfId="28641" xr:uid="{00000000-0005-0000-0000-0000E16F0000}"/>
    <cellStyle name="Normal 2 30 3" xfId="28642" xr:uid="{00000000-0005-0000-0000-0000E26F0000}"/>
    <cellStyle name="Normal 2 31" xfId="28643" xr:uid="{00000000-0005-0000-0000-0000E36F0000}"/>
    <cellStyle name="Normal 2 31 2" xfId="28644" xr:uid="{00000000-0005-0000-0000-0000E46F0000}"/>
    <cellStyle name="Normal 2 31 2 2" xfId="28645" xr:uid="{00000000-0005-0000-0000-0000E56F0000}"/>
    <cellStyle name="Normal 2 31 3" xfId="28646" xr:uid="{00000000-0005-0000-0000-0000E66F0000}"/>
    <cellStyle name="Normal 2 32" xfId="28647" xr:uid="{00000000-0005-0000-0000-0000E76F0000}"/>
    <cellStyle name="Normal 2 32 2" xfId="28648" xr:uid="{00000000-0005-0000-0000-0000E86F0000}"/>
    <cellStyle name="Normal 2 32 2 2" xfId="28649" xr:uid="{00000000-0005-0000-0000-0000E96F0000}"/>
    <cellStyle name="Normal 2 32 3" xfId="28650" xr:uid="{00000000-0005-0000-0000-0000EA6F0000}"/>
    <cellStyle name="Normal 2 33" xfId="28651" xr:uid="{00000000-0005-0000-0000-0000EB6F0000}"/>
    <cellStyle name="Normal 2 33 2" xfId="28652" xr:uid="{00000000-0005-0000-0000-0000EC6F0000}"/>
    <cellStyle name="Normal 2 33 2 2" xfId="28653" xr:uid="{00000000-0005-0000-0000-0000ED6F0000}"/>
    <cellStyle name="Normal 2 33 2 2 2" xfId="28654" xr:uid="{00000000-0005-0000-0000-0000EE6F0000}"/>
    <cellStyle name="Normal 2 33 2 2 2 2" xfId="28655" xr:uid="{00000000-0005-0000-0000-0000EF6F0000}"/>
    <cellStyle name="Normal 2 33 2 3" xfId="28656" xr:uid="{00000000-0005-0000-0000-0000F06F0000}"/>
    <cellStyle name="Normal 2 33 2 4" xfId="28657" xr:uid="{00000000-0005-0000-0000-0000F16F0000}"/>
    <cellStyle name="Normal 2 33 3" xfId="28658" xr:uid="{00000000-0005-0000-0000-0000F26F0000}"/>
    <cellStyle name="Normal 2 33 3 2" xfId="28659" xr:uid="{00000000-0005-0000-0000-0000F36F0000}"/>
    <cellStyle name="Normal 2 33 3 3" xfId="28660" xr:uid="{00000000-0005-0000-0000-0000F46F0000}"/>
    <cellStyle name="Normal 2 33 4" xfId="28661" xr:uid="{00000000-0005-0000-0000-0000F56F0000}"/>
    <cellStyle name="Normal 2 34" xfId="28662" xr:uid="{00000000-0005-0000-0000-0000F66F0000}"/>
    <cellStyle name="Normal 2 34 2" xfId="28663" xr:uid="{00000000-0005-0000-0000-0000F76F0000}"/>
    <cellStyle name="Normal 2 34 2 2" xfId="28664" xr:uid="{00000000-0005-0000-0000-0000F86F0000}"/>
    <cellStyle name="Normal 2 34 3" xfId="28665" xr:uid="{00000000-0005-0000-0000-0000F96F0000}"/>
    <cellStyle name="Normal 2 35" xfId="28666" xr:uid="{00000000-0005-0000-0000-0000FA6F0000}"/>
    <cellStyle name="Normal 2 35 2" xfId="28667" xr:uid="{00000000-0005-0000-0000-0000FB6F0000}"/>
    <cellStyle name="Normal 2 35 2 2" xfId="28668" xr:uid="{00000000-0005-0000-0000-0000FC6F0000}"/>
    <cellStyle name="Normal 2 35 3" xfId="28669" xr:uid="{00000000-0005-0000-0000-0000FD6F0000}"/>
    <cellStyle name="Normal 2 36" xfId="28670" xr:uid="{00000000-0005-0000-0000-0000FE6F0000}"/>
    <cellStyle name="Normal 2 36 2" xfId="28671" xr:uid="{00000000-0005-0000-0000-0000FF6F0000}"/>
    <cellStyle name="Normal 2 36 2 2" xfId="28672" xr:uid="{00000000-0005-0000-0000-000000700000}"/>
    <cellStyle name="Normal 2 36 3" xfId="28673" xr:uid="{00000000-0005-0000-0000-000001700000}"/>
    <cellStyle name="Normal 2 37" xfId="28674" xr:uid="{00000000-0005-0000-0000-000002700000}"/>
    <cellStyle name="Normal 2 37 2" xfId="28675" xr:uid="{00000000-0005-0000-0000-000003700000}"/>
    <cellStyle name="Normal 2 37 3" xfId="28676" xr:uid="{00000000-0005-0000-0000-000004700000}"/>
    <cellStyle name="Normal 2 38" xfId="28677" xr:uid="{00000000-0005-0000-0000-000005700000}"/>
    <cellStyle name="Normal 2 38 2" xfId="28678" xr:uid="{00000000-0005-0000-0000-000006700000}"/>
    <cellStyle name="Normal 2 38 3" xfId="28679" xr:uid="{00000000-0005-0000-0000-000007700000}"/>
    <cellStyle name="Normal 2 39" xfId="28680" xr:uid="{00000000-0005-0000-0000-000008700000}"/>
    <cellStyle name="Normal 2 39 2" xfId="28681" xr:uid="{00000000-0005-0000-0000-000009700000}"/>
    <cellStyle name="Normal 2 39 3" xfId="28682" xr:uid="{00000000-0005-0000-0000-00000A700000}"/>
    <cellStyle name="Normal 2 4" xfId="18" xr:uid="{00000000-0005-0000-0000-000012000000}"/>
    <cellStyle name="Normal 2 4 10" xfId="28683" xr:uid="{00000000-0005-0000-0000-00000B700000}"/>
    <cellStyle name="Normal 2 4 11" xfId="28684" xr:uid="{00000000-0005-0000-0000-00000C700000}"/>
    <cellStyle name="Normal 2 4 12" xfId="28685" xr:uid="{00000000-0005-0000-0000-00000D700000}"/>
    <cellStyle name="Normal 2 4 13" xfId="28686" xr:uid="{00000000-0005-0000-0000-00000E700000}"/>
    <cellStyle name="Normal 2 4 14" xfId="28687" xr:uid="{00000000-0005-0000-0000-00000F700000}"/>
    <cellStyle name="Normal 2 4 15" xfId="28688" xr:uid="{00000000-0005-0000-0000-000010700000}"/>
    <cellStyle name="Normal 2 4 16" xfId="28689" xr:uid="{00000000-0005-0000-0000-000011700000}"/>
    <cellStyle name="Normal 2 4 17" xfId="28690" xr:uid="{00000000-0005-0000-0000-000012700000}"/>
    <cellStyle name="Normal 2 4 18" xfId="28691" xr:uid="{00000000-0005-0000-0000-000013700000}"/>
    <cellStyle name="Normal 2 4 19" xfId="28692" xr:uid="{00000000-0005-0000-0000-000014700000}"/>
    <cellStyle name="Normal 2 4 2" xfId="28693" xr:uid="{00000000-0005-0000-0000-000015700000}"/>
    <cellStyle name="Normal 2 4 2 10" xfId="28694" xr:uid="{00000000-0005-0000-0000-000016700000}"/>
    <cellStyle name="Normal 2 4 2 11" xfId="28695" xr:uid="{00000000-0005-0000-0000-000017700000}"/>
    <cellStyle name="Normal 2 4 2 12" xfId="28696" xr:uid="{00000000-0005-0000-0000-000018700000}"/>
    <cellStyle name="Normal 2 4 2 13" xfId="28697" xr:uid="{00000000-0005-0000-0000-000019700000}"/>
    <cellStyle name="Normal 2 4 2 14" xfId="28698" xr:uid="{00000000-0005-0000-0000-00001A700000}"/>
    <cellStyle name="Normal 2 4 2 15" xfId="28699" xr:uid="{00000000-0005-0000-0000-00001B700000}"/>
    <cellStyle name="Normal 2 4 2 16" xfId="28700" xr:uid="{00000000-0005-0000-0000-00001C700000}"/>
    <cellStyle name="Normal 2 4 2 17" xfId="28701" xr:uid="{00000000-0005-0000-0000-00001D700000}"/>
    <cellStyle name="Normal 2 4 2 18" xfId="28702" xr:uid="{00000000-0005-0000-0000-00001E700000}"/>
    <cellStyle name="Normal 2 4 2 18 2" xfId="28703" xr:uid="{00000000-0005-0000-0000-00001F700000}"/>
    <cellStyle name="Normal 2 4 2 18 2 2" xfId="28704" xr:uid="{00000000-0005-0000-0000-000020700000}"/>
    <cellStyle name="Normal 2 4 2 18 2 2 2" xfId="28705" xr:uid="{00000000-0005-0000-0000-000021700000}"/>
    <cellStyle name="Normal 2 4 2 18 2 2 2 2" xfId="28706" xr:uid="{00000000-0005-0000-0000-000022700000}"/>
    <cellStyle name="Normal 2 4 2 18 2 3" xfId="28707" xr:uid="{00000000-0005-0000-0000-000023700000}"/>
    <cellStyle name="Normal 2 4 2 18 3" xfId="28708" xr:uid="{00000000-0005-0000-0000-000024700000}"/>
    <cellStyle name="Normal 2 4 2 18 3 2" xfId="28709" xr:uid="{00000000-0005-0000-0000-000025700000}"/>
    <cellStyle name="Normal 2 4 2 19" xfId="28710" xr:uid="{00000000-0005-0000-0000-000026700000}"/>
    <cellStyle name="Normal 2 4 2 2" xfId="28711" xr:uid="{00000000-0005-0000-0000-000027700000}"/>
    <cellStyle name="Normal 2 4 2 2 2" xfId="28712" xr:uid="{00000000-0005-0000-0000-000028700000}"/>
    <cellStyle name="Normal 2 4 2 20" xfId="28713" xr:uid="{00000000-0005-0000-0000-000029700000}"/>
    <cellStyle name="Normal 2 4 2 3" xfId="28714" xr:uid="{00000000-0005-0000-0000-00002A700000}"/>
    <cellStyle name="Normal 2 4 2 4" xfId="28715" xr:uid="{00000000-0005-0000-0000-00002B700000}"/>
    <cellStyle name="Normal 2 4 2 5" xfId="28716" xr:uid="{00000000-0005-0000-0000-00002C700000}"/>
    <cellStyle name="Normal 2 4 2 6" xfId="28717" xr:uid="{00000000-0005-0000-0000-00002D700000}"/>
    <cellStyle name="Normal 2 4 2 7" xfId="28718" xr:uid="{00000000-0005-0000-0000-00002E700000}"/>
    <cellStyle name="Normal 2 4 2 8" xfId="28719" xr:uid="{00000000-0005-0000-0000-00002F700000}"/>
    <cellStyle name="Normal 2 4 2 9" xfId="28720" xr:uid="{00000000-0005-0000-0000-000030700000}"/>
    <cellStyle name="Normal 2 4 3" xfId="28721" xr:uid="{00000000-0005-0000-0000-000031700000}"/>
    <cellStyle name="Normal 2 4 3 2" xfId="28722" xr:uid="{00000000-0005-0000-0000-000032700000}"/>
    <cellStyle name="Normal 2 4 3 3" xfId="28723" xr:uid="{00000000-0005-0000-0000-000033700000}"/>
    <cellStyle name="Normal 2 4 4" xfId="28724" xr:uid="{00000000-0005-0000-0000-000034700000}"/>
    <cellStyle name="Normal 2 4 4 2" xfId="28725" xr:uid="{00000000-0005-0000-0000-000035700000}"/>
    <cellStyle name="Normal 2 4 4 3" xfId="28726" xr:uid="{00000000-0005-0000-0000-000036700000}"/>
    <cellStyle name="Normal 2 4 5" xfId="28727" xr:uid="{00000000-0005-0000-0000-000037700000}"/>
    <cellStyle name="Normal 2 4 5 2" xfId="28728" xr:uid="{00000000-0005-0000-0000-000038700000}"/>
    <cellStyle name="Normal 2 4 6" xfId="28729" xr:uid="{00000000-0005-0000-0000-000039700000}"/>
    <cellStyle name="Normal 2 4 6 2" xfId="28730" xr:uid="{00000000-0005-0000-0000-00003A700000}"/>
    <cellStyle name="Normal 2 4 7" xfId="28731" xr:uid="{00000000-0005-0000-0000-00003B700000}"/>
    <cellStyle name="Normal 2 4 8" xfId="28732" xr:uid="{00000000-0005-0000-0000-00003C700000}"/>
    <cellStyle name="Normal 2 4 9" xfId="28733" xr:uid="{00000000-0005-0000-0000-00003D700000}"/>
    <cellStyle name="Normal 2 40" xfId="28734" xr:uid="{00000000-0005-0000-0000-00003E700000}"/>
    <cellStyle name="Normal 2 40 2" xfId="28735" xr:uid="{00000000-0005-0000-0000-00003F700000}"/>
    <cellStyle name="Normal 2 40 3" xfId="28736" xr:uid="{00000000-0005-0000-0000-000040700000}"/>
    <cellStyle name="Normal 2 41" xfId="19" xr:uid="{00000000-0005-0000-0000-000013000000}"/>
    <cellStyle name="Normal 2 41 2" xfId="28737" xr:uid="{00000000-0005-0000-0000-000041700000}"/>
    <cellStyle name="Normal 2 41 2 2" xfId="28738" xr:uid="{00000000-0005-0000-0000-000042700000}"/>
    <cellStyle name="Normal 2 41 3" xfId="28739" xr:uid="{00000000-0005-0000-0000-000043700000}"/>
    <cellStyle name="Normal 2 41 4" xfId="28740" xr:uid="{00000000-0005-0000-0000-000044700000}"/>
    <cellStyle name="Normal 2 41 5" xfId="28741" xr:uid="{00000000-0005-0000-0000-000045700000}"/>
    <cellStyle name="Normal 2 41 6" xfId="28742" xr:uid="{00000000-0005-0000-0000-000046700000}"/>
    <cellStyle name="Normal 2 41 7" xfId="28743" xr:uid="{00000000-0005-0000-0000-000047700000}"/>
    <cellStyle name="Normal 2 41 8" xfId="28744" xr:uid="{00000000-0005-0000-0000-000048700000}"/>
    <cellStyle name="Normal 2 41 8 2" xfId="28745" xr:uid="{00000000-0005-0000-0000-000049700000}"/>
    <cellStyle name="Normal 2 41 9" xfId="28746" xr:uid="{00000000-0005-0000-0000-00004A700000}"/>
    <cellStyle name="Normal 2 42" xfId="28747" xr:uid="{00000000-0005-0000-0000-00004B700000}"/>
    <cellStyle name="Normal 2 42 2" xfId="28748" xr:uid="{00000000-0005-0000-0000-00004C700000}"/>
    <cellStyle name="Normal 2 42 3" xfId="28749" xr:uid="{00000000-0005-0000-0000-00004D700000}"/>
    <cellStyle name="Normal 2 42 4" xfId="28750" xr:uid="{00000000-0005-0000-0000-00004E700000}"/>
    <cellStyle name="Normal 2 42 5" xfId="28751" xr:uid="{00000000-0005-0000-0000-00004F700000}"/>
    <cellStyle name="Normal 2 42 6" xfId="28752" xr:uid="{00000000-0005-0000-0000-000050700000}"/>
    <cellStyle name="Normal 2 42 7" xfId="28753" xr:uid="{00000000-0005-0000-0000-000051700000}"/>
    <cellStyle name="Normal 2 42 8" xfId="28754" xr:uid="{00000000-0005-0000-0000-000052700000}"/>
    <cellStyle name="Normal 2 43" xfId="28755" xr:uid="{00000000-0005-0000-0000-000053700000}"/>
    <cellStyle name="Normal 2 43 2" xfId="28756" xr:uid="{00000000-0005-0000-0000-000054700000}"/>
    <cellStyle name="Normal 2 43 3" xfId="28757" xr:uid="{00000000-0005-0000-0000-000055700000}"/>
    <cellStyle name="Normal 2 44" xfId="28758" xr:uid="{00000000-0005-0000-0000-000056700000}"/>
    <cellStyle name="Normal 2 44 2" xfId="28759" xr:uid="{00000000-0005-0000-0000-000057700000}"/>
    <cellStyle name="Normal 2 44 3" xfId="28760" xr:uid="{00000000-0005-0000-0000-000058700000}"/>
    <cellStyle name="Normal 2 45" xfId="28761" xr:uid="{00000000-0005-0000-0000-000059700000}"/>
    <cellStyle name="Normal 2 45 2" xfId="28762" xr:uid="{00000000-0005-0000-0000-00005A700000}"/>
    <cellStyle name="Normal 2 45 3" xfId="28763" xr:uid="{00000000-0005-0000-0000-00005B700000}"/>
    <cellStyle name="Normal 2 46" xfId="28764" xr:uid="{00000000-0005-0000-0000-00005C700000}"/>
    <cellStyle name="Normal 2 46 2" xfId="28765" xr:uid="{00000000-0005-0000-0000-00005D700000}"/>
    <cellStyle name="Normal 2 46 3" xfId="28766" xr:uid="{00000000-0005-0000-0000-00005E700000}"/>
    <cellStyle name="Normal 2 47" xfId="28767" xr:uid="{00000000-0005-0000-0000-00005F700000}"/>
    <cellStyle name="Normal 2 47 2" xfId="28768" xr:uid="{00000000-0005-0000-0000-000060700000}"/>
    <cellStyle name="Normal 2 47 3" xfId="28769" xr:uid="{00000000-0005-0000-0000-000061700000}"/>
    <cellStyle name="Normal 2 48" xfId="28770" xr:uid="{00000000-0005-0000-0000-000062700000}"/>
    <cellStyle name="Normal 2 48 2" xfId="28771" xr:uid="{00000000-0005-0000-0000-000063700000}"/>
    <cellStyle name="Normal 2 48 3" xfId="28772" xr:uid="{00000000-0005-0000-0000-000064700000}"/>
    <cellStyle name="Normal 2 49" xfId="28773" xr:uid="{00000000-0005-0000-0000-000065700000}"/>
    <cellStyle name="Normal 2 49 2" xfId="28774" xr:uid="{00000000-0005-0000-0000-000066700000}"/>
    <cellStyle name="Normal 2 49 3" xfId="28775" xr:uid="{00000000-0005-0000-0000-000067700000}"/>
    <cellStyle name="Normal 2 5" xfId="28776" xr:uid="{00000000-0005-0000-0000-000068700000}"/>
    <cellStyle name="Normal 2 5 10" xfId="28777" xr:uid="{00000000-0005-0000-0000-000069700000}"/>
    <cellStyle name="Normal 2 5 11" xfId="28778" xr:uid="{00000000-0005-0000-0000-00006A700000}"/>
    <cellStyle name="Normal 2 5 12" xfId="28779" xr:uid="{00000000-0005-0000-0000-00006B700000}"/>
    <cellStyle name="Normal 2 5 13" xfId="28780" xr:uid="{00000000-0005-0000-0000-00006C700000}"/>
    <cellStyle name="Normal 2 5 14" xfId="28781" xr:uid="{00000000-0005-0000-0000-00006D700000}"/>
    <cellStyle name="Normal 2 5 15" xfId="28782" xr:uid="{00000000-0005-0000-0000-00006E700000}"/>
    <cellStyle name="Normal 2 5 16" xfId="28783" xr:uid="{00000000-0005-0000-0000-00006F700000}"/>
    <cellStyle name="Normal 2 5 17" xfId="28784" xr:uid="{00000000-0005-0000-0000-000070700000}"/>
    <cellStyle name="Normal 2 5 18" xfId="28785" xr:uid="{00000000-0005-0000-0000-000071700000}"/>
    <cellStyle name="Normal 2 5 19" xfId="28786" xr:uid="{00000000-0005-0000-0000-000072700000}"/>
    <cellStyle name="Normal 2 5 2" xfId="28787" xr:uid="{00000000-0005-0000-0000-000073700000}"/>
    <cellStyle name="Normal 2 5 2 10" xfId="28788" xr:uid="{00000000-0005-0000-0000-000074700000}"/>
    <cellStyle name="Normal 2 5 2 11" xfId="28789" xr:uid="{00000000-0005-0000-0000-000075700000}"/>
    <cellStyle name="Normal 2 5 2 12" xfId="28790" xr:uid="{00000000-0005-0000-0000-000076700000}"/>
    <cellStyle name="Normal 2 5 2 13" xfId="28791" xr:uid="{00000000-0005-0000-0000-000077700000}"/>
    <cellStyle name="Normal 2 5 2 14" xfId="28792" xr:uid="{00000000-0005-0000-0000-000078700000}"/>
    <cellStyle name="Normal 2 5 2 15" xfId="28793" xr:uid="{00000000-0005-0000-0000-000079700000}"/>
    <cellStyle name="Normal 2 5 2 16" xfId="28794" xr:uid="{00000000-0005-0000-0000-00007A700000}"/>
    <cellStyle name="Normal 2 5 2 17" xfId="28795" xr:uid="{00000000-0005-0000-0000-00007B700000}"/>
    <cellStyle name="Normal 2 5 2 18" xfId="28796" xr:uid="{00000000-0005-0000-0000-00007C700000}"/>
    <cellStyle name="Normal 2 5 2 19" xfId="28797" xr:uid="{00000000-0005-0000-0000-00007D700000}"/>
    <cellStyle name="Normal 2 5 2 2" xfId="28798" xr:uid="{00000000-0005-0000-0000-00007E700000}"/>
    <cellStyle name="Normal 2 5 2 2 10" xfId="28799" xr:uid="{00000000-0005-0000-0000-00007F700000}"/>
    <cellStyle name="Normal 2 5 2 2 11" xfId="28800" xr:uid="{00000000-0005-0000-0000-000080700000}"/>
    <cellStyle name="Normal 2 5 2 2 12" xfId="28801" xr:uid="{00000000-0005-0000-0000-000081700000}"/>
    <cellStyle name="Normal 2 5 2 2 13" xfId="28802" xr:uid="{00000000-0005-0000-0000-000082700000}"/>
    <cellStyle name="Normal 2 5 2 2 14" xfId="28803" xr:uid="{00000000-0005-0000-0000-000083700000}"/>
    <cellStyle name="Normal 2 5 2 2 15" xfId="28804" xr:uid="{00000000-0005-0000-0000-000084700000}"/>
    <cellStyle name="Normal 2 5 2 2 16" xfId="28805" xr:uid="{00000000-0005-0000-0000-000085700000}"/>
    <cellStyle name="Normal 2 5 2 2 17" xfId="28806" xr:uid="{00000000-0005-0000-0000-000086700000}"/>
    <cellStyle name="Normal 2 5 2 2 18" xfId="28807" xr:uid="{00000000-0005-0000-0000-000087700000}"/>
    <cellStyle name="Normal 2 5 2 2 19" xfId="28808" xr:uid="{00000000-0005-0000-0000-000088700000}"/>
    <cellStyle name="Normal 2 5 2 2 2" xfId="28809" xr:uid="{00000000-0005-0000-0000-000089700000}"/>
    <cellStyle name="Normal 2 5 2 2 20" xfId="28810" xr:uid="{00000000-0005-0000-0000-00008A700000}"/>
    <cellStyle name="Normal 2 5 2 2 3" xfId="28811" xr:uid="{00000000-0005-0000-0000-00008B700000}"/>
    <cellStyle name="Normal 2 5 2 2 4" xfId="28812" xr:uid="{00000000-0005-0000-0000-00008C700000}"/>
    <cellStyle name="Normal 2 5 2 2 5" xfId="28813" xr:uid="{00000000-0005-0000-0000-00008D700000}"/>
    <cellStyle name="Normal 2 5 2 2 6" xfId="28814" xr:uid="{00000000-0005-0000-0000-00008E700000}"/>
    <cellStyle name="Normal 2 5 2 2 7" xfId="28815" xr:uid="{00000000-0005-0000-0000-00008F700000}"/>
    <cellStyle name="Normal 2 5 2 2 8" xfId="28816" xr:uid="{00000000-0005-0000-0000-000090700000}"/>
    <cellStyle name="Normal 2 5 2 2 9" xfId="28817" xr:uid="{00000000-0005-0000-0000-000091700000}"/>
    <cellStyle name="Normal 2 5 2 20" xfId="28818" xr:uid="{00000000-0005-0000-0000-000092700000}"/>
    <cellStyle name="Normal 2 5 2 21" xfId="28819" xr:uid="{00000000-0005-0000-0000-000093700000}"/>
    <cellStyle name="Normal 2 5 2 22" xfId="28820" xr:uid="{00000000-0005-0000-0000-000094700000}"/>
    <cellStyle name="Normal 2 5 2 23" xfId="28821" xr:uid="{00000000-0005-0000-0000-000095700000}"/>
    <cellStyle name="Normal 2 5 2 3" xfId="28822" xr:uid="{00000000-0005-0000-0000-000096700000}"/>
    <cellStyle name="Normal 2 5 2 4" xfId="28823" xr:uid="{00000000-0005-0000-0000-000097700000}"/>
    <cellStyle name="Normal 2 5 2 5" xfId="28824" xr:uid="{00000000-0005-0000-0000-000098700000}"/>
    <cellStyle name="Normal 2 5 2 6" xfId="28825" xr:uid="{00000000-0005-0000-0000-000099700000}"/>
    <cellStyle name="Normal 2 5 2 7" xfId="28826" xr:uid="{00000000-0005-0000-0000-00009A700000}"/>
    <cellStyle name="Normal 2 5 2 8" xfId="28827" xr:uid="{00000000-0005-0000-0000-00009B700000}"/>
    <cellStyle name="Normal 2 5 2 9" xfId="28828" xr:uid="{00000000-0005-0000-0000-00009C700000}"/>
    <cellStyle name="Normal 2 5 20" xfId="28829" xr:uid="{00000000-0005-0000-0000-00009D700000}"/>
    <cellStyle name="Normal 2 5 21" xfId="28830" xr:uid="{00000000-0005-0000-0000-00009E700000}"/>
    <cellStyle name="Normal 2 5 22" xfId="28831" xr:uid="{00000000-0005-0000-0000-00009F700000}"/>
    <cellStyle name="Normal 2 5 23" xfId="28832" xr:uid="{00000000-0005-0000-0000-0000A0700000}"/>
    <cellStyle name="Normal 2 5 24" xfId="28833" xr:uid="{00000000-0005-0000-0000-0000A1700000}"/>
    <cellStyle name="Normal 2 5 25" xfId="28834" xr:uid="{00000000-0005-0000-0000-0000A2700000}"/>
    <cellStyle name="Normal 2 5 26" xfId="28835" xr:uid="{00000000-0005-0000-0000-0000A3700000}"/>
    <cellStyle name="Normal 2 5 27" xfId="28836" xr:uid="{00000000-0005-0000-0000-0000A4700000}"/>
    <cellStyle name="Normal 2 5 28" xfId="28837" xr:uid="{00000000-0005-0000-0000-0000A5700000}"/>
    <cellStyle name="Normal 2 5 29" xfId="28838" xr:uid="{00000000-0005-0000-0000-0000A6700000}"/>
    <cellStyle name="Normal 2 5 3" xfId="28839" xr:uid="{00000000-0005-0000-0000-0000A7700000}"/>
    <cellStyle name="Normal 2 5 3 2" xfId="28840" xr:uid="{00000000-0005-0000-0000-0000A8700000}"/>
    <cellStyle name="Normal 2 5 3 3" xfId="28841" xr:uid="{00000000-0005-0000-0000-0000A9700000}"/>
    <cellStyle name="Normal 2 5 3 4" xfId="28842" xr:uid="{00000000-0005-0000-0000-0000AA700000}"/>
    <cellStyle name="Normal 2 5 30" xfId="28843" xr:uid="{00000000-0005-0000-0000-0000AB700000}"/>
    <cellStyle name="Normal 2 5 31" xfId="28844" xr:uid="{00000000-0005-0000-0000-0000AC700000}"/>
    <cellStyle name="Normal 2 5 32" xfId="28845" xr:uid="{00000000-0005-0000-0000-0000AD700000}"/>
    <cellStyle name="Normal 2 5 33" xfId="28846" xr:uid="{00000000-0005-0000-0000-0000AE700000}"/>
    <cellStyle name="Normal 2 5 34" xfId="28847" xr:uid="{00000000-0005-0000-0000-0000AF700000}"/>
    <cellStyle name="Normal 2 5 35" xfId="28848" xr:uid="{00000000-0005-0000-0000-0000B0700000}"/>
    <cellStyle name="Normal 2 5 4" xfId="28849" xr:uid="{00000000-0005-0000-0000-0000B1700000}"/>
    <cellStyle name="Normal 2 5 4 2" xfId="28850" xr:uid="{00000000-0005-0000-0000-0000B2700000}"/>
    <cellStyle name="Normal 2 5 5" xfId="28851" xr:uid="{00000000-0005-0000-0000-0000B3700000}"/>
    <cellStyle name="Normal 2 5 5 2" xfId="28852" xr:uid="{00000000-0005-0000-0000-0000B4700000}"/>
    <cellStyle name="Normal 2 5 6" xfId="28853" xr:uid="{00000000-0005-0000-0000-0000B5700000}"/>
    <cellStyle name="Normal 2 5 6 2" xfId="28854" xr:uid="{00000000-0005-0000-0000-0000B6700000}"/>
    <cellStyle name="Normal 2 5 7" xfId="28855" xr:uid="{00000000-0005-0000-0000-0000B7700000}"/>
    <cellStyle name="Normal 2 5 7 2" xfId="28856" xr:uid="{00000000-0005-0000-0000-0000B8700000}"/>
    <cellStyle name="Normal 2 5 8" xfId="28857" xr:uid="{00000000-0005-0000-0000-0000B9700000}"/>
    <cellStyle name="Normal 2 5 9" xfId="28858" xr:uid="{00000000-0005-0000-0000-0000BA700000}"/>
    <cellStyle name="Normal 2 50" xfId="28859" xr:uid="{00000000-0005-0000-0000-0000BB700000}"/>
    <cellStyle name="Normal 2 50 2" xfId="28860" xr:uid="{00000000-0005-0000-0000-0000BC700000}"/>
    <cellStyle name="Normal 2 50 3" xfId="28861" xr:uid="{00000000-0005-0000-0000-0000BD700000}"/>
    <cellStyle name="Normal 2 51" xfId="28862" xr:uid="{00000000-0005-0000-0000-0000BE700000}"/>
    <cellStyle name="Normal 2 51 2" xfId="28863" xr:uid="{00000000-0005-0000-0000-0000BF700000}"/>
    <cellStyle name="Normal 2 51 3" xfId="28864" xr:uid="{00000000-0005-0000-0000-0000C0700000}"/>
    <cellStyle name="Normal 2 51 4" xfId="28865" xr:uid="{00000000-0005-0000-0000-0000C1700000}"/>
    <cellStyle name="Normal 2 51 5" xfId="28866" xr:uid="{00000000-0005-0000-0000-0000C2700000}"/>
    <cellStyle name="Normal 2 52" xfId="28867" xr:uid="{00000000-0005-0000-0000-0000C3700000}"/>
    <cellStyle name="Normal 2 52 2" xfId="28868" xr:uid="{00000000-0005-0000-0000-0000C4700000}"/>
    <cellStyle name="Normal 2 52 3" xfId="28869" xr:uid="{00000000-0005-0000-0000-0000C5700000}"/>
    <cellStyle name="Normal 2 52 4" xfId="28870" xr:uid="{00000000-0005-0000-0000-0000C6700000}"/>
    <cellStyle name="Normal 2 52 5" xfId="28871" xr:uid="{00000000-0005-0000-0000-0000C7700000}"/>
    <cellStyle name="Normal 2 53" xfId="28872" xr:uid="{00000000-0005-0000-0000-0000C8700000}"/>
    <cellStyle name="Normal 2 53 2" xfId="28873" xr:uid="{00000000-0005-0000-0000-0000C9700000}"/>
    <cellStyle name="Normal 2 53 3" xfId="28874" xr:uid="{00000000-0005-0000-0000-0000CA700000}"/>
    <cellStyle name="Normal 2 53 4" xfId="28875" xr:uid="{00000000-0005-0000-0000-0000CB700000}"/>
    <cellStyle name="Normal 2 53 5" xfId="28876" xr:uid="{00000000-0005-0000-0000-0000CC700000}"/>
    <cellStyle name="Normal 2 54" xfId="28877" xr:uid="{00000000-0005-0000-0000-0000CD700000}"/>
    <cellStyle name="Normal 2 54 2" xfId="28878" xr:uid="{00000000-0005-0000-0000-0000CE700000}"/>
    <cellStyle name="Normal 2 54 3" xfId="28879" xr:uid="{00000000-0005-0000-0000-0000CF700000}"/>
    <cellStyle name="Normal 2 54 4" xfId="28880" xr:uid="{00000000-0005-0000-0000-0000D0700000}"/>
    <cellStyle name="Normal 2 54 5" xfId="28881" xr:uid="{00000000-0005-0000-0000-0000D1700000}"/>
    <cellStyle name="Normal 2 55" xfId="28882" xr:uid="{00000000-0005-0000-0000-0000D2700000}"/>
    <cellStyle name="Normal 2 55 2" xfId="28883" xr:uid="{00000000-0005-0000-0000-0000D3700000}"/>
    <cellStyle name="Normal 2 55 3" xfId="28884" xr:uid="{00000000-0005-0000-0000-0000D4700000}"/>
    <cellStyle name="Normal 2 55 4" xfId="28885" xr:uid="{00000000-0005-0000-0000-0000D5700000}"/>
    <cellStyle name="Normal 2 55 5" xfId="28886" xr:uid="{00000000-0005-0000-0000-0000D6700000}"/>
    <cellStyle name="Normal 2 56" xfId="28887" xr:uid="{00000000-0005-0000-0000-0000D7700000}"/>
    <cellStyle name="Normal 2 56 2" xfId="28888" xr:uid="{00000000-0005-0000-0000-0000D8700000}"/>
    <cellStyle name="Normal 2 56 3" xfId="28889" xr:uid="{00000000-0005-0000-0000-0000D9700000}"/>
    <cellStyle name="Normal 2 56 4" xfId="28890" xr:uid="{00000000-0005-0000-0000-0000DA700000}"/>
    <cellStyle name="Normal 2 56 5" xfId="28891" xr:uid="{00000000-0005-0000-0000-0000DB700000}"/>
    <cellStyle name="Normal 2 57" xfId="28892" xr:uid="{00000000-0005-0000-0000-0000DC700000}"/>
    <cellStyle name="Normal 2 57 2" xfId="28893" xr:uid="{00000000-0005-0000-0000-0000DD700000}"/>
    <cellStyle name="Normal 2 57 3" xfId="28894" xr:uid="{00000000-0005-0000-0000-0000DE700000}"/>
    <cellStyle name="Normal 2 57 4" xfId="28895" xr:uid="{00000000-0005-0000-0000-0000DF700000}"/>
    <cellStyle name="Normal 2 57 5" xfId="28896" xr:uid="{00000000-0005-0000-0000-0000E0700000}"/>
    <cellStyle name="Normal 2 58" xfId="28897" xr:uid="{00000000-0005-0000-0000-0000E1700000}"/>
    <cellStyle name="Normal 2 58 2" xfId="28898" xr:uid="{00000000-0005-0000-0000-0000E2700000}"/>
    <cellStyle name="Normal 2 58 3" xfId="28899" xr:uid="{00000000-0005-0000-0000-0000E3700000}"/>
    <cellStyle name="Normal 2 58 4" xfId="28900" xr:uid="{00000000-0005-0000-0000-0000E4700000}"/>
    <cellStyle name="Normal 2 58 5" xfId="28901" xr:uid="{00000000-0005-0000-0000-0000E5700000}"/>
    <cellStyle name="Normal 2 59" xfId="28902" xr:uid="{00000000-0005-0000-0000-0000E6700000}"/>
    <cellStyle name="Normal 2 59 2" xfId="28903" xr:uid="{00000000-0005-0000-0000-0000E7700000}"/>
    <cellStyle name="Normal 2 59 3" xfId="28904" xr:uid="{00000000-0005-0000-0000-0000E8700000}"/>
    <cellStyle name="Normal 2 59 4" xfId="28905" xr:uid="{00000000-0005-0000-0000-0000E9700000}"/>
    <cellStyle name="Normal 2 59 5" xfId="28906" xr:uid="{00000000-0005-0000-0000-0000EA700000}"/>
    <cellStyle name="Normal 2 6" xfId="28907" xr:uid="{00000000-0005-0000-0000-0000EB700000}"/>
    <cellStyle name="Normal 2 6 10" xfId="28908" xr:uid="{00000000-0005-0000-0000-0000EC700000}"/>
    <cellStyle name="Normal 2 6 11" xfId="28909" xr:uid="{00000000-0005-0000-0000-0000ED700000}"/>
    <cellStyle name="Normal 2 6 12" xfId="28910" xr:uid="{00000000-0005-0000-0000-0000EE700000}"/>
    <cellStyle name="Normal 2 6 13" xfId="28911" xr:uid="{00000000-0005-0000-0000-0000EF700000}"/>
    <cellStyle name="Normal 2 6 14" xfId="28912" xr:uid="{00000000-0005-0000-0000-0000F0700000}"/>
    <cellStyle name="Normal 2 6 15" xfId="28913" xr:uid="{00000000-0005-0000-0000-0000F1700000}"/>
    <cellStyle name="Normal 2 6 16" xfId="28914" xr:uid="{00000000-0005-0000-0000-0000F2700000}"/>
    <cellStyle name="Normal 2 6 17" xfId="28915" xr:uid="{00000000-0005-0000-0000-0000F3700000}"/>
    <cellStyle name="Normal 2 6 18" xfId="28916" xr:uid="{00000000-0005-0000-0000-0000F4700000}"/>
    <cellStyle name="Normal 2 6 19" xfId="28917" xr:uid="{00000000-0005-0000-0000-0000F5700000}"/>
    <cellStyle name="Normal 2 6 2" xfId="28918" xr:uid="{00000000-0005-0000-0000-0000F6700000}"/>
    <cellStyle name="Normal 2 6 2 10" xfId="28919" xr:uid="{00000000-0005-0000-0000-0000F7700000}"/>
    <cellStyle name="Normal 2 6 2 11" xfId="28920" xr:uid="{00000000-0005-0000-0000-0000F8700000}"/>
    <cellStyle name="Normal 2 6 2 12" xfId="28921" xr:uid="{00000000-0005-0000-0000-0000F9700000}"/>
    <cellStyle name="Normal 2 6 2 13" xfId="28922" xr:uid="{00000000-0005-0000-0000-0000FA700000}"/>
    <cellStyle name="Normal 2 6 2 14" xfId="28923" xr:uid="{00000000-0005-0000-0000-0000FB700000}"/>
    <cellStyle name="Normal 2 6 2 15" xfId="28924" xr:uid="{00000000-0005-0000-0000-0000FC700000}"/>
    <cellStyle name="Normal 2 6 2 16" xfId="28925" xr:uid="{00000000-0005-0000-0000-0000FD700000}"/>
    <cellStyle name="Normal 2 6 2 17" xfId="28926" xr:uid="{00000000-0005-0000-0000-0000FE700000}"/>
    <cellStyle name="Normal 2 6 2 18" xfId="28927" xr:uid="{00000000-0005-0000-0000-0000FF700000}"/>
    <cellStyle name="Normal 2 6 2 19" xfId="28928" xr:uid="{00000000-0005-0000-0000-000000710000}"/>
    <cellStyle name="Normal 2 6 2 2" xfId="28929" xr:uid="{00000000-0005-0000-0000-000001710000}"/>
    <cellStyle name="Normal 2 6 2 20" xfId="28930" xr:uid="{00000000-0005-0000-0000-000002710000}"/>
    <cellStyle name="Normal 2 6 2 21" xfId="28931" xr:uid="{00000000-0005-0000-0000-000003710000}"/>
    <cellStyle name="Normal 2 6 2 3" xfId="28932" xr:uid="{00000000-0005-0000-0000-000004710000}"/>
    <cellStyle name="Normal 2 6 2 4" xfId="28933" xr:uid="{00000000-0005-0000-0000-000005710000}"/>
    <cellStyle name="Normal 2 6 2 5" xfId="28934" xr:uid="{00000000-0005-0000-0000-000006710000}"/>
    <cellStyle name="Normal 2 6 2 6" xfId="28935" xr:uid="{00000000-0005-0000-0000-000007710000}"/>
    <cellStyle name="Normal 2 6 2 7" xfId="28936" xr:uid="{00000000-0005-0000-0000-000008710000}"/>
    <cellStyle name="Normal 2 6 2 8" xfId="28937" xr:uid="{00000000-0005-0000-0000-000009710000}"/>
    <cellStyle name="Normal 2 6 2 9" xfId="28938" xr:uid="{00000000-0005-0000-0000-00000A710000}"/>
    <cellStyle name="Normal 2 6 20" xfId="28939" xr:uid="{00000000-0005-0000-0000-00000B710000}"/>
    <cellStyle name="Normal 2 6 21" xfId="28940" xr:uid="{00000000-0005-0000-0000-00000C710000}"/>
    <cellStyle name="Normal 2 6 22" xfId="28941" xr:uid="{00000000-0005-0000-0000-00000D710000}"/>
    <cellStyle name="Normal 2 6 3" xfId="28942" xr:uid="{00000000-0005-0000-0000-00000E710000}"/>
    <cellStyle name="Normal 2 6 4" xfId="28943" xr:uid="{00000000-0005-0000-0000-00000F710000}"/>
    <cellStyle name="Normal 2 6 5" xfId="28944" xr:uid="{00000000-0005-0000-0000-000010710000}"/>
    <cellStyle name="Normal 2 6 6" xfId="28945" xr:uid="{00000000-0005-0000-0000-000011710000}"/>
    <cellStyle name="Normal 2 6 7" xfId="28946" xr:uid="{00000000-0005-0000-0000-000012710000}"/>
    <cellStyle name="Normal 2 6 8" xfId="28947" xr:uid="{00000000-0005-0000-0000-000013710000}"/>
    <cellStyle name="Normal 2 6 9" xfId="28948" xr:uid="{00000000-0005-0000-0000-000014710000}"/>
    <cellStyle name="Normal 2 60" xfId="28949" xr:uid="{00000000-0005-0000-0000-000015710000}"/>
    <cellStyle name="Normal 2 60 2" xfId="28950" xr:uid="{00000000-0005-0000-0000-000016710000}"/>
    <cellStyle name="Normal 2 60 3" xfId="28951" xr:uid="{00000000-0005-0000-0000-000017710000}"/>
    <cellStyle name="Normal 2 61" xfId="28952" xr:uid="{00000000-0005-0000-0000-000018710000}"/>
    <cellStyle name="Normal 2 61 2" xfId="28953" xr:uid="{00000000-0005-0000-0000-000019710000}"/>
    <cellStyle name="Normal 2 61 3" xfId="28954" xr:uid="{00000000-0005-0000-0000-00001A710000}"/>
    <cellStyle name="Normal 2 62" xfId="28955" xr:uid="{00000000-0005-0000-0000-00001B710000}"/>
    <cellStyle name="Normal 2 62 2" xfId="28956" xr:uid="{00000000-0005-0000-0000-00001C710000}"/>
    <cellStyle name="Normal 2 62 3" xfId="28957" xr:uid="{00000000-0005-0000-0000-00001D710000}"/>
    <cellStyle name="Normal 2 63" xfId="28958" xr:uid="{00000000-0005-0000-0000-00001E710000}"/>
    <cellStyle name="Normal 2 63 2" xfId="28959" xr:uid="{00000000-0005-0000-0000-00001F710000}"/>
    <cellStyle name="Normal 2 63 3" xfId="28960" xr:uid="{00000000-0005-0000-0000-000020710000}"/>
    <cellStyle name="Normal 2 64" xfId="28961" xr:uid="{00000000-0005-0000-0000-000021710000}"/>
    <cellStyle name="Normal 2 64 2" xfId="28962" xr:uid="{00000000-0005-0000-0000-000022710000}"/>
    <cellStyle name="Normal 2 64 3" xfId="28963" xr:uid="{00000000-0005-0000-0000-000023710000}"/>
    <cellStyle name="Normal 2 65" xfId="28964" xr:uid="{00000000-0005-0000-0000-000024710000}"/>
    <cellStyle name="Normal 2 65 2" xfId="28965" xr:uid="{00000000-0005-0000-0000-000025710000}"/>
    <cellStyle name="Normal 2 65 3" xfId="28966" xr:uid="{00000000-0005-0000-0000-000026710000}"/>
    <cellStyle name="Normal 2 66" xfId="28967" xr:uid="{00000000-0005-0000-0000-000027710000}"/>
    <cellStyle name="Normal 2 66 2" xfId="28968" xr:uid="{00000000-0005-0000-0000-000028710000}"/>
    <cellStyle name="Normal 2 66 3" xfId="28969" xr:uid="{00000000-0005-0000-0000-000029710000}"/>
    <cellStyle name="Normal 2 67" xfId="28970" xr:uid="{00000000-0005-0000-0000-00002A710000}"/>
    <cellStyle name="Normal 2 67 2" xfId="28971" xr:uid="{00000000-0005-0000-0000-00002B710000}"/>
    <cellStyle name="Normal 2 67 3" xfId="28972" xr:uid="{00000000-0005-0000-0000-00002C710000}"/>
    <cellStyle name="Normal 2 68" xfId="28973" xr:uid="{00000000-0005-0000-0000-00002D710000}"/>
    <cellStyle name="Normal 2 68 2" xfId="28974" xr:uid="{00000000-0005-0000-0000-00002E710000}"/>
    <cellStyle name="Normal 2 68 3" xfId="28975" xr:uid="{00000000-0005-0000-0000-00002F710000}"/>
    <cellStyle name="Normal 2 69" xfId="28976" xr:uid="{00000000-0005-0000-0000-000030710000}"/>
    <cellStyle name="Normal 2 69 2" xfId="28977" xr:uid="{00000000-0005-0000-0000-000031710000}"/>
    <cellStyle name="Normal 2 69 3" xfId="28978" xr:uid="{00000000-0005-0000-0000-000032710000}"/>
    <cellStyle name="Normal 2 7" xfId="28979" xr:uid="{00000000-0005-0000-0000-000033710000}"/>
    <cellStyle name="Normal 2 7 2" xfId="28980" xr:uid="{00000000-0005-0000-0000-000034710000}"/>
    <cellStyle name="Normal 2 7 3" xfId="28981" xr:uid="{00000000-0005-0000-0000-000035710000}"/>
    <cellStyle name="Normal 2 70" xfId="28982" xr:uid="{00000000-0005-0000-0000-000036710000}"/>
    <cellStyle name="Normal 2 70 2" xfId="28983" xr:uid="{00000000-0005-0000-0000-000037710000}"/>
    <cellStyle name="Normal 2 70 3" xfId="28984" xr:uid="{00000000-0005-0000-0000-000038710000}"/>
    <cellStyle name="Normal 2 71" xfId="28985" xr:uid="{00000000-0005-0000-0000-000039710000}"/>
    <cellStyle name="Normal 2 71 2" xfId="28986" xr:uid="{00000000-0005-0000-0000-00003A710000}"/>
    <cellStyle name="Normal 2 71 3" xfId="28987" xr:uid="{00000000-0005-0000-0000-00003B710000}"/>
    <cellStyle name="Normal 2 72" xfId="28988" xr:uid="{00000000-0005-0000-0000-00003C710000}"/>
    <cellStyle name="Normal 2 72 2" xfId="28989" xr:uid="{00000000-0005-0000-0000-00003D710000}"/>
    <cellStyle name="Normal 2 72 3" xfId="28990" xr:uid="{00000000-0005-0000-0000-00003E710000}"/>
    <cellStyle name="Normal 2 73" xfId="28991" xr:uid="{00000000-0005-0000-0000-00003F710000}"/>
    <cellStyle name="Normal 2 73 2" xfId="28992" xr:uid="{00000000-0005-0000-0000-000040710000}"/>
    <cellStyle name="Normal 2 73 3" xfId="28993" xr:uid="{00000000-0005-0000-0000-000041710000}"/>
    <cellStyle name="Normal 2 74" xfId="28994" xr:uid="{00000000-0005-0000-0000-000042710000}"/>
    <cellStyle name="Normal 2 74 2" xfId="28995" xr:uid="{00000000-0005-0000-0000-000043710000}"/>
    <cellStyle name="Normal 2 74 3" xfId="28996" xr:uid="{00000000-0005-0000-0000-000044710000}"/>
    <cellStyle name="Normal 2 75" xfId="28997" xr:uid="{00000000-0005-0000-0000-000045710000}"/>
    <cellStyle name="Normal 2 76" xfId="28998" xr:uid="{00000000-0005-0000-0000-000046710000}"/>
    <cellStyle name="Normal 2 77" xfId="28999" xr:uid="{00000000-0005-0000-0000-000047710000}"/>
    <cellStyle name="Normal 2 78" xfId="29000" xr:uid="{00000000-0005-0000-0000-000048710000}"/>
    <cellStyle name="Normal 2 79" xfId="29001" xr:uid="{00000000-0005-0000-0000-000049710000}"/>
    <cellStyle name="Normal 2 8" xfId="29002" xr:uid="{00000000-0005-0000-0000-00004A710000}"/>
    <cellStyle name="Normal 2 8 2" xfId="29003" xr:uid="{00000000-0005-0000-0000-00004B710000}"/>
    <cellStyle name="Normal 2 8 3" xfId="29004" xr:uid="{00000000-0005-0000-0000-00004C710000}"/>
    <cellStyle name="Normal 2 80" xfId="29005" xr:uid="{00000000-0005-0000-0000-00004D710000}"/>
    <cellStyle name="Normal 2 81" xfId="29006" xr:uid="{00000000-0005-0000-0000-00004E710000}"/>
    <cellStyle name="Normal 2 82" xfId="29007" xr:uid="{00000000-0005-0000-0000-00004F710000}"/>
    <cellStyle name="Normal 2 82 2" xfId="29008" xr:uid="{00000000-0005-0000-0000-000050710000}"/>
    <cellStyle name="Normal 2 82 2 2" xfId="29009" xr:uid="{00000000-0005-0000-0000-000051710000}"/>
    <cellStyle name="Normal 2 82 2 3" xfId="29010" xr:uid="{00000000-0005-0000-0000-000052710000}"/>
    <cellStyle name="Normal 2 82 3" xfId="29011" xr:uid="{00000000-0005-0000-0000-000053710000}"/>
    <cellStyle name="Normal 2 82 4" xfId="29012" xr:uid="{00000000-0005-0000-0000-000054710000}"/>
    <cellStyle name="Normal 2 83" xfId="29013" xr:uid="{00000000-0005-0000-0000-000055710000}"/>
    <cellStyle name="Normal 2 83 2" xfId="29014" xr:uid="{00000000-0005-0000-0000-000056710000}"/>
    <cellStyle name="Normal 2 84" xfId="29015" xr:uid="{00000000-0005-0000-0000-000057710000}"/>
    <cellStyle name="Normal 2 84 2" xfId="29016" xr:uid="{00000000-0005-0000-0000-000058710000}"/>
    <cellStyle name="Normal 2 85" xfId="29017" xr:uid="{00000000-0005-0000-0000-000059710000}"/>
    <cellStyle name="Normal 2 85 2" xfId="29018" xr:uid="{00000000-0005-0000-0000-00005A710000}"/>
    <cellStyle name="Normal 2 85 2 2" xfId="29019" xr:uid="{00000000-0005-0000-0000-00005B710000}"/>
    <cellStyle name="Normal 2 85 3" xfId="29020" xr:uid="{00000000-0005-0000-0000-00005C710000}"/>
    <cellStyle name="Normal 2 85 4" xfId="29021" xr:uid="{00000000-0005-0000-0000-00005D710000}"/>
    <cellStyle name="Normal 2 85 5" xfId="29022" xr:uid="{00000000-0005-0000-0000-00005E710000}"/>
    <cellStyle name="Normal 2 86" xfId="29023" xr:uid="{00000000-0005-0000-0000-00005F710000}"/>
    <cellStyle name="Normal 2 86 2" xfId="29024" xr:uid="{00000000-0005-0000-0000-000060710000}"/>
    <cellStyle name="Normal 2 86 2 2" xfId="29025" xr:uid="{00000000-0005-0000-0000-000061710000}"/>
    <cellStyle name="Normal 2 86 3" xfId="29026" xr:uid="{00000000-0005-0000-0000-000062710000}"/>
    <cellStyle name="Normal 2 87" xfId="29027" xr:uid="{00000000-0005-0000-0000-000063710000}"/>
    <cellStyle name="Normal 2 87 2" xfId="29028" xr:uid="{00000000-0005-0000-0000-000064710000}"/>
    <cellStyle name="Normal 2 87 3" xfId="29029" xr:uid="{00000000-0005-0000-0000-000065710000}"/>
    <cellStyle name="Normal 2 87 4" xfId="29030" xr:uid="{00000000-0005-0000-0000-000066710000}"/>
    <cellStyle name="Normal 2 87 5" xfId="29031" xr:uid="{00000000-0005-0000-0000-000067710000}"/>
    <cellStyle name="Normal 2 88" xfId="29032" xr:uid="{00000000-0005-0000-0000-000068710000}"/>
    <cellStyle name="Normal 2 88 2" xfId="29033" xr:uid="{00000000-0005-0000-0000-000069710000}"/>
    <cellStyle name="Normal 2 88 3" xfId="29034" xr:uid="{00000000-0005-0000-0000-00006A710000}"/>
    <cellStyle name="Normal 2 88 4" xfId="29035" xr:uid="{00000000-0005-0000-0000-00006B710000}"/>
    <cellStyle name="Normal 2 88 5" xfId="29036" xr:uid="{00000000-0005-0000-0000-00006C710000}"/>
    <cellStyle name="Normal 2 89" xfId="29037" xr:uid="{00000000-0005-0000-0000-00006D710000}"/>
    <cellStyle name="Normal 2 89 2" xfId="29038" xr:uid="{00000000-0005-0000-0000-00006E710000}"/>
    <cellStyle name="Normal 2 9" xfId="29039" xr:uid="{00000000-0005-0000-0000-00006F710000}"/>
    <cellStyle name="Normal 2 9 2" xfId="29040" xr:uid="{00000000-0005-0000-0000-000070710000}"/>
    <cellStyle name="Normal 2 9 3" xfId="29041" xr:uid="{00000000-0005-0000-0000-000071710000}"/>
    <cellStyle name="Normal 2 9 4" xfId="29042" xr:uid="{00000000-0005-0000-0000-000072710000}"/>
    <cellStyle name="Normal 2 9 5" xfId="29043" xr:uid="{00000000-0005-0000-0000-000073710000}"/>
    <cellStyle name="Normal 2 9_Enlaces" xfId="29044" xr:uid="{00000000-0005-0000-0000-000074710000}"/>
    <cellStyle name="Normal 2 90" xfId="29045" xr:uid="{00000000-0005-0000-0000-000075710000}"/>
    <cellStyle name="Normal 2 90 2" xfId="29046" xr:uid="{00000000-0005-0000-0000-000076710000}"/>
    <cellStyle name="Normal 2 91" xfId="29047" xr:uid="{00000000-0005-0000-0000-000077710000}"/>
    <cellStyle name="Normal 2 91 2" xfId="29048" xr:uid="{00000000-0005-0000-0000-000078710000}"/>
    <cellStyle name="Normal 2 92" xfId="29049" xr:uid="{00000000-0005-0000-0000-000079710000}"/>
    <cellStyle name="Normal 2 92 2" xfId="29050" xr:uid="{00000000-0005-0000-0000-00007A710000}"/>
    <cellStyle name="Normal 2 93" xfId="29051" xr:uid="{00000000-0005-0000-0000-00007B710000}"/>
    <cellStyle name="Normal 2 93 2" xfId="29052" xr:uid="{00000000-0005-0000-0000-00007C710000}"/>
    <cellStyle name="Normal 2 94" xfId="29053" xr:uid="{00000000-0005-0000-0000-00007D710000}"/>
    <cellStyle name="Normal 2 94 2" xfId="29054" xr:uid="{00000000-0005-0000-0000-00007E710000}"/>
    <cellStyle name="Normal 2 95" xfId="29055" xr:uid="{00000000-0005-0000-0000-00007F710000}"/>
    <cellStyle name="Normal 2 95 2" xfId="29056" xr:uid="{00000000-0005-0000-0000-000080710000}"/>
    <cellStyle name="Normal 2 96" xfId="29057" xr:uid="{00000000-0005-0000-0000-000081710000}"/>
    <cellStyle name="Normal 2 96 2" xfId="29058" xr:uid="{00000000-0005-0000-0000-000082710000}"/>
    <cellStyle name="Normal 2 97" xfId="29059" xr:uid="{00000000-0005-0000-0000-000083710000}"/>
    <cellStyle name="Normal 2 97 2" xfId="29060" xr:uid="{00000000-0005-0000-0000-000084710000}"/>
    <cellStyle name="Normal 2 98" xfId="29061" xr:uid="{00000000-0005-0000-0000-000085710000}"/>
    <cellStyle name="Normal 2 98 2" xfId="29062" xr:uid="{00000000-0005-0000-0000-000086710000}"/>
    <cellStyle name="Normal 2 99" xfId="29063" xr:uid="{00000000-0005-0000-0000-000087710000}"/>
    <cellStyle name="Normal 2 99 2" xfId="29064" xr:uid="{00000000-0005-0000-0000-000088710000}"/>
    <cellStyle name="Normal 20" xfId="29065" xr:uid="{00000000-0005-0000-0000-000089710000}"/>
    <cellStyle name="Normal 20 10" xfId="29066" xr:uid="{00000000-0005-0000-0000-00008A710000}"/>
    <cellStyle name="Normal 20 11" xfId="29067" xr:uid="{00000000-0005-0000-0000-00008B710000}"/>
    <cellStyle name="Normal 20 12" xfId="29068" xr:uid="{00000000-0005-0000-0000-00008C710000}"/>
    <cellStyle name="Normal 20 13" xfId="29069" xr:uid="{00000000-0005-0000-0000-00008D710000}"/>
    <cellStyle name="Normal 20 14" xfId="29070" xr:uid="{00000000-0005-0000-0000-00008E710000}"/>
    <cellStyle name="Normal 20 15" xfId="29071" xr:uid="{00000000-0005-0000-0000-00008F710000}"/>
    <cellStyle name="Normal 20 16" xfId="29072" xr:uid="{00000000-0005-0000-0000-000090710000}"/>
    <cellStyle name="Normal 20 17" xfId="29073" xr:uid="{00000000-0005-0000-0000-000091710000}"/>
    <cellStyle name="Normal 20 18" xfId="29074" xr:uid="{00000000-0005-0000-0000-000092710000}"/>
    <cellStyle name="Normal 20 19" xfId="29075" xr:uid="{00000000-0005-0000-0000-000093710000}"/>
    <cellStyle name="Normal 20 2" xfId="29076" xr:uid="{00000000-0005-0000-0000-000094710000}"/>
    <cellStyle name="Normal 20 2 2" xfId="29077" xr:uid="{00000000-0005-0000-0000-000095710000}"/>
    <cellStyle name="Normal 20 2 3" xfId="29078" xr:uid="{00000000-0005-0000-0000-000096710000}"/>
    <cellStyle name="Normal 20 2 4" xfId="29079" xr:uid="{00000000-0005-0000-0000-000097710000}"/>
    <cellStyle name="Normal 20 20" xfId="29080" xr:uid="{00000000-0005-0000-0000-000098710000}"/>
    <cellStyle name="Normal 20 21" xfId="29081" xr:uid="{00000000-0005-0000-0000-000099710000}"/>
    <cellStyle name="Normal 20 22" xfId="29082" xr:uid="{00000000-0005-0000-0000-00009A710000}"/>
    <cellStyle name="Normal 20 23" xfId="29083" xr:uid="{00000000-0005-0000-0000-00009B710000}"/>
    <cellStyle name="Normal 20 24" xfId="29084" xr:uid="{00000000-0005-0000-0000-00009C710000}"/>
    <cellStyle name="Normal 20 25" xfId="29085" xr:uid="{00000000-0005-0000-0000-00009D710000}"/>
    <cellStyle name="Normal 20 26" xfId="29086" xr:uid="{00000000-0005-0000-0000-00009E710000}"/>
    <cellStyle name="Normal 20 3" xfId="29087" xr:uid="{00000000-0005-0000-0000-00009F710000}"/>
    <cellStyle name="Normal 20 4" xfId="29088" xr:uid="{00000000-0005-0000-0000-0000A0710000}"/>
    <cellStyle name="Normal 20 5" xfId="29089" xr:uid="{00000000-0005-0000-0000-0000A1710000}"/>
    <cellStyle name="Normal 20 6" xfId="29090" xr:uid="{00000000-0005-0000-0000-0000A2710000}"/>
    <cellStyle name="Normal 20 7" xfId="29091" xr:uid="{00000000-0005-0000-0000-0000A3710000}"/>
    <cellStyle name="Normal 20 8" xfId="29092" xr:uid="{00000000-0005-0000-0000-0000A4710000}"/>
    <cellStyle name="Normal 20 9" xfId="29093" xr:uid="{00000000-0005-0000-0000-0000A5710000}"/>
    <cellStyle name="Normal 21" xfId="29094" xr:uid="{00000000-0005-0000-0000-0000A6710000}"/>
    <cellStyle name="Normal 21 10" xfId="29095" xr:uid="{00000000-0005-0000-0000-0000A7710000}"/>
    <cellStyle name="Normal 21 11" xfId="29096" xr:uid="{00000000-0005-0000-0000-0000A8710000}"/>
    <cellStyle name="Normal 21 12" xfId="29097" xr:uid="{00000000-0005-0000-0000-0000A9710000}"/>
    <cellStyle name="Normal 21 13" xfId="29098" xr:uid="{00000000-0005-0000-0000-0000AA710000}"/>
    <cellStyle name="Normal 21 14" xfId="29099" xr:uid="{00000000-0005-0000-0000-0000AB710000}"/>
    <cellStyle name="Normal 21 15" xfId="29100" xr:uid="{00000000-0005-0000-0000-0000AC710000}"/>
    <cellStyle name="Normal 21 16" xfId="29101" xr:uid="{00000000-0005-0000-0000-0000AD710000}"/>
    <cellStyle name="Normal 21 17" xfId="29102" xr:uid="{00000000-0005-0000-0000-0000AE710000}"/>
    <cellStyle name="Normal 21 18" xfId="29103" xr:uid="{00000000-0005-0000-0000-0000AF710000}"/>
    <cellStyle name="Normal 21 19" xfId="29104" xr:uid="{00000000-0005-0000-0000-0000B0710000}"/>
    <cellStyle name="Normal 21 2" xfId="29105" xr:uid="{00000000-0005-0000-0000-0000B1710000}"/>
    <cellStyle name="Normal 21 2 2" xfId="29106" xr:uid="{00000000-0005-0000-0000-0000B2710000}"/>
    <cellStyle name="Normal 21 2 3" xfId="29107" xr:uid="{00000000-0005-0000-0000-0000B3710000}"/>
    <cellStyle name="Normal 21 20" xfId="29108" xr:uid="{00000000-0005-0000-0000-0000B4710000}"/>
    <cellStyle name="Normal 21 21" xfId="29109" xr:uid="{00000000-0005-0000-0000-0000B5710000}"/>
    <cellStyle name="Normal 21 22" xfId="29110" xr:uid="{00000000-0005-0000-0000-0000B6710000}"/>
    <cellStyle name="Normal 21 23" xfId="29111" xr:uid="{00000000-0005-0000-0000-0000B7710000}"/>
    <cellStyle name="Normal 21 24" xfId="29112" xr:uid="{00000000-0005-0000-0000-0000B8710000}"/>
    <cellStyle name="Normal 21 25" xfId="29113" xr:uid="{00000000-0005-0000-0000-0000B9710000}"/>
    <cellStyle name="Normal 21 26" xfId="29114" xr:uid="{00000000-0005-0000-0000-0000BA710000}"/>
    <cellStyle name="Normal 21 3" xfId="29115" xr:uid="{00000000-0005-0000-0000-0000BB710000}"/>
    <cellStyle name="Normal 21 3 2" xfId="29116" xr:uid="{00000000-0005-0000-0000-0000BC710000}"/>
    <cellStyle name="Normal 21 3 3" xfId="29117" xr:uid="{00000000-0005-0000-0000-0000BD710000}"/>
    <cellStyle name="Normal 21 4" xfId="29118" xr:uid="{00000000-0005-0000-0000-0000BE710000}"/>
    <cellStyle name="Normal 21 5" xfId="29119" xr:uid="{00000000-0005-0000-0000-0000BF710000}"/>
    <cellStyle name="Normal 21 6" xfId="29120" xr:uid="{00000000-0005-0000-0000-0000C0710000}"/>
    <cellStyle name="Normal 21 7" xfId="29121" xr:uid="{00000000-0005-0000-0000-0000C1710000}"/>
    <cellStyle name="Normal 21 8" xfId="29122" xr:uid="{00000000-0005-0000-0000-0000C2710000}"/>
    <cellStyle name="Normal 21 9" xfId="29123" xr:uid="{00000000-0005-0000-0000-0000C3710000}"/>
    <cellStyle name="Normal 22" xfId="29124" xr:uid="{00000000-0005-0000-0000-0000C4710000}"/>
    <cellStyle name="Normal 22 10" xfId="29125" xr:uid="{00000000-0005-0000-0000-0000C5710000}"/>
    <cellStyle name="Normal 22 11" xfId="29126" xr:uid="{00000000-0005-0000-0000-0000C6710000}"/>
    <cellStyle name="Normal 22 12" xfId="29127" xr:uid="{00000000-0005-0000-0000-0000C7710000}"/>
    <cellStyle name="Normal 22 13" xfId="29128" xr:uid="{00000000-0005-0000-0000-0000C8710000}"/>
    <cellStyle name="Normal 22 14" xfId="29129" xr:uid="{00000000-0005-0000-0000-0000C9710000}"/>
    <cellStyle name="Normal 22 15" xfId="29130" xr:uid="{00000000-0005-0000-0000-0000CA710000}"/>
    <cellStyle name="Normal 22 16" xfId="29131" xr:uid="{00000000-0005-0000-0000-0000CB710000}"/>
    <cellStyle name="Normal 22 17" xfId="29132" xr:uid="{00000000-0005-0000-0000-0000CC710000}"/>
    <cellStyle name="Normal 22 18" xfId="29133" xr:uid="{00000000-0005-0000-0000-0000CD710000}"/>
    <cellStyle name="Normal 22 19" xfId="29134" xr:uid="{00000000-0005-0000-0000-0000CE710000}"/>
    <cellStyle name="Normal 22 2" xfId="29135" xr:uid="{00000000-0005-0000-0000-0000CF710000}"/>
    <cellStyle name="Normal 22 2 2" xfId="29136" xr:uid="{00000000-0005-0000-0000-0000D0710000}"/>
    <cellStyle name="Normal 22 2 3" xfId="29137" xr:uid="{00000000-0005-0000-0000-0000D1710000}"/>
    <cellStyle name="Normal 22 20" xfId="29138" xr:uid="{00000000-0005-0000-0000-0000D2710000}"/>
    <cellStyle name="Normal 22 21" xfId="29139" xr:uid="{00000000-0005-0000-0000-0000D3710000}"/>
    <cellStyle name="Normal 22 22" xfId="29140" xr:uid="{00000000-0005-0000-0000-0000D4710000}"/>
    <cellStyle name="Normal 22 23" xfId="29141" xr:uid="{00000000-0005-0000-0000-0000D5710000}"/>
    <cellStyle name="Normal 22 24" xfId="29142" xr:uid="{00000000-0005-0000-0000-0000D6710000}"/>
    <cellStyle name="Normal 22 25" xfId="29143" xr:uid="{00000000-0005-0000-0000-0000D7710000}"/>
    <cellStyle name="Normal 22 26" xfId="29144" xr:uid="{00000000-0005-0000-0000-0000D8710000}"/>
    <cellStyle name="Normal 22 3" xfId="29145" xr:uid="{00000000-0005-0000-0000-0000D9710000}"/>
    <cellStyle name="Normal 22 3 2" xfId="29146" xr:uid="{00000000-0005-0000-0000-0000DA710000}"/>
    <cellStyle name="Normal 22 3 3" xfId="29147" xr:uid="{00000000-0005-0000-0000-0000DB710000}"/>
    <cellStyle name="Normal 22 3 4" xfId="29148" xr:uid="{00000000-0005-0000-0000-0000DC710000}"/>
    <cellStyle name="Normal 22 3 5" xfId="29149" xr:uid="{00000000-0005-0000-0000-0000DD710000}"/>
    <cellStyle name="Normal 22 4" xfId="29150" xr:uid="{00000000-0005-0000-0000-0000DE710000}"/>
    <cellStyle name="Normal 22 5" xfId="29151" xr:uid="{00000000-0005-0000-0000-0000DF710000}"/>
    <cellStyle name="Normal 22 6" xfId="29152" xr:uid="{00000000-0005-0000-0000-0000E0710000}"/>
    <cellStyle name="Normal 22 7" xfId="29153" xr:uid="{00000000-0005-0000-0000-0000E1710000}"/>
    <cellStyle name="Normal 22 8" xfId="29154" xr:uid="{00000000-0005-0000-0000-0000E2710000}"/>
    <cellStyle name="Normal 22 9" xfId="29155" xr:uid="{00000000-0005-0000-0000-0000E3710000}"/>
    <cellStyle name="Normal 23" xfId="29156" xr:uid="{00000000-0005-0000-0000-0000E4710000}"/>
    <cellStyle name="Normal 23 10" xfId="29157" xr:uid="{00000000-0005-0000-0000-0000E5710000}"/>
    <cellStyle name="Normal 23 11" xfId="29158" xr:uid="{00000000-0005-0000-0000-0000E6710000}"/>
    <cellStyle name="Normal 23 12" xfId="29159" xr:uid="{00000000-0005-0000-0000-0000E7710000}"/>
    <cellStyle name="Normal 23 13" xfId="29160" xr:uid="{00000000-0005-0000-0000-0000E8710000}"/>
    <cellStyle name="Normal 23 14" xfId="29161" xr:uid="{00000000-0005-0000-0000-0000E9710000}"/>
    <cellStyle name="Normal 23 15" xfId="29162" xr:uid="{00000000-0005-0000-0000-0000EA710000}"/>
    <cellStyle name="Normal 23 16" xfId="29163" xr:uid="{00000000-0005-0000-0000-0000EB710000}"/>
    <cellStyle name="Normal 23 17" xfId="29164" xr:uid="{00000000-0005-0000-0000-0000EC710000}"/>
    <cellStyle name="Normal 23 18" xfId="29165" xr:uid="{00000000-0005-0000-0000-0000ED710000}"/>
    <cellStyle name="Normal 23 19" xfId="29166" xr:uid="{00000000-0005-0000-0000-0000EE710000}"/>
    <cellStyle name="Normal 23 2" xfId="29167" xr:uid="{00000000-0005-0000-0000-0000EF710000}"/>
    <cellStyle name="Normal 23 2 2" xfId="29168" xr:uid="{00000000-0005-0000-0000-0000F0710000}"/>
    <cellStyle name="Normal 23 2 3" xfId="29169" xr:uid="{00000000-0005-0000-0000-0000F1710000}"/>
    <cellStyle name="Normal 23 20" xfId="29170" xr:uid="{00000000-0005-0000-0000-0000F2710000}"/>
    <cellStyle name="Normal 23 21" xfId="29171" xr:uid="{00000000-0005-0000-0000-0000F3710000}"/>
    <cellStyle name="Normal 23 22" xfId="29172" xr:uid="{00000000-0005-0000-0000-0000F4710000}"/>
    <cellStyle name="Normal 23 23" xfId="29173" xr:uid="{00000000-0005-0000-0000-0000F5710000}"/>
    <cellStyle name="Normal 23 24" xfId="29174" xr:uid="{00000000-0005-0000-0000-0000F6710000}"/>
    <cellStyle name="Normal 23 25" xfId="29175" xr:uid="{00000000-0005-0000-0000-0000F7710000}"/>
    <cellStyle name="Normal 23 26" xfId="29176" xr:uid="{00000000-0005-0000-0000-0000F8710000}"/>
    <cellStyle name="Normal 23 3" xfId="29177" xr:uid="{00000000-0005-0000-0000-0000F9710000}"/>
    <cellStyle name="Normal 23 3 2" xfId="29178" xr:uid="{00000000-0005-0000-0000-0000FA710000}"/>
    <cellStyle name="Normal 23 3 3" xfId="29179" xr:uid="{00000000-0005-0000-0000-0000FB710000}"/>
    <cellStyle name="Normal 23 3 4" xfId="29180" xr:uid="{00000000-0005-0000-0000-0000FC710000}"/>
    <cellStyle name="Normal 23 3 5" xfId="29181" xr:uid="{00000000-0005-0000-0000-0000FD710000}"/>
    <cellStyle name="Normal 23 4" xfId="29182" xr:uid="{00000000-0005-0000-0000-0000FE710000}"/>
    <cellStyle name="Normal 23 5" xfId="29183" xr:uid="{00000000-0005-0000-0000-0000FF710000}"/>
    <cellStyle name="Normal 23 6" xfId="29184" xr:uid="{00000000-0005-0000-0000-000000720000}"/>
    <cellStyle name="Normal 23 7" xfId="29185" xr:uid="{00000000-0005-0000-0000-000001720000}"/>
    <cellStyle name="Normal 23 8" xfId="29186" xr:uid="{00000000-0005-0000-0000-000002720000}"/>
    <cellStyle name="Normal 23 9" xfId="29187" xr:uid="{00000000-0005-0000-0000-000003720000}"/>
    <cellStyle name="Normal 24" xfId="29188" xr:uid="{00000000-0005-0000-0000-000004720000}"/>
    <cellStyle name="Normal 24 10" xfId="29189" xr:uid="{00000000-0005-0000-0000-000005720000}"/>
    <cellStyle name="Normal 24 11" xfId="29190" xr:uid="{00000000-0005-0000-0000-000006720000}"/>
    <cellStyle name="Normal 24 12" xfId="29191" xr:uid="{00000000-0005-0000-0000-000007720000}"/>
    <cellStyle name="Normal 24 13" xfId="29192" xr:uid="{00000000-0005-0000-0000-000008720000}"/>
    <cellStyle name="Normal 24 14" xfId="29193" xr:uid="{00000000-0005-0000-0000-000009720000}"/>
    <cellStyle name="Normal 24 15" xfId="29194" xr:uid="{00000000-0005-0000-0000-00000A720000}"/>
    <cellStyle name="Normal 24 16" xfId="29195" xr:uid="{00000000-0005-0000-0000-00000B720000}"/>
    <cellStyle name="Normal 24 17" xfId="29196" xr:uid="{00000000-0005-0000-0000-00000C720000}"/>
    <cellStyle name="Normal 24 18" xfId="29197" xr:uid="{00000000-0005-0000-0000-00000D720000}"/>
    <cellStyle name="Normal 24 19" xfId="29198" xr:uid="{00000000-0005-0000-0000-00000E720000}"/>
    <cellStyle name="Normal 24 2" xfId="29199" xr:uid="{00000000-0005-0000-0000-00000F720000}"/>
    <cellStyle name="Normal 24 20" xfId="29200" xr:uid="{00000000-0005-0000-0000-000010720000}"/>
    <cellStyle name="Normal 24 21" xfId="29201" xr:uid="{00000000-0005-0000-0000-000011720000}"/>
    <cellStyle name="Normal 24 22" xfId="29202" xr:uid="{00000000-0005-0000-0000-000012720000}"/>
    <cellStyle name="Normal 24 23" xfId="29203" xr:uid="{00000000-0005-0000-0000-000013720000}"/>
    <cellStyle name="Normal 24 24" xfId="29204" xr:uid="{00000000-0005-0000-0000-000014720000}"/>
    <cellStyle name="Normal 24 25" xfId="29205" xr:uid="{00000000-0005-0000-0000-000015720000}"/>
    <cellStyle name="Normal 24 26" xfId="29206" xr:uid="{00000000-0005-0000-0000-000016720000}"/>
    <cellStyle name="Normal 24 27" xfId="29207" xr:uid="{00000000-0005-0000-0000-000017720000}"/>
    <cellStyle name="Normal 24 3" xfId="29208" xr:uid="{00000000-0005-0000-0000-000018720000}"/>
    <cellStyle name="Normal 24 4" xfId="29209" xr:uid="{00000000-0005-0000-0000-000019720000}"/>
    <cellStyle name="Normal 24 5" xfId="29210" xr:uid="{00000000-0005-0000-0000-00001A720000}"/>
    <cellStyle name="Normal 24 6" xfId="29211" xr:uid="{00000000-0005-0000-0000-00001B720000}"/>
    <cellStyle name="Normal 24 7" xfId="29212" xr:uid="{00000000-0005-0000-0000-00001C720000}"/>
    <cellStyle name="Normal 24 8" xfId="29213" xr:uid="{00000000-0005-0000-0000-00001D720000}"/>
    <cellStyle name="Normal 24 9" xfId="29214" xr:uid="{00000000-0005-0000-0000-00001E720000}"/>
    <cellStyle name="Normal 25" xfId="29215" xr:uid="{00000000-0005-0000-0000-00001F720000}"/>
    <cellStyle name="Normal 25 10" xfId="29216" xr:uid="{00000000-0005-0000-0000-000020720000}"/>
    <cellStyle name="Normal 25 11" xfId="29217" xr:uid="{00000000-0005-0000-0000-000021720000}"/>
    <cellStyle name="Normal 25 12" xfId="29218" xr:uid="{00000000-0005-0000-0000-000022720000}"/>
    <cellStyle name="Normal 25 13" xfId="29219" xr:uid="{00000000-0005-0000-0000-000023720000}"/>
    <cellStyle name="Normal 25 14" xfId="29220" xr:uid="{00000000-0005-0000-0000-000024720000}"/>
    <cellStyle name="Normal 25 15" xfId="29221" xr:uid="{00000000-0005-0000-0000-000025720000}"/>
    <cellStyle name="Normal 25 16" xfId="29222" xr:uid="{00000000-0005-0000-0000-000026720000}"/>
    <cellStyle name="Normal 25 17" xfId="29223" xr:uid="{00000000-0005-0000-0000-000027720000}"/>
    <cellStyle name="Normal 25 18" xfId="29224" xr:uid="{00000000-0005-0000-0000-000028720000}"/>
    <cellStyle name="Normal 25 19" xfId="29225" xr:uid="{00000000-0005-0000-0000-000029720000}"/>
    <cellStyle name="Normal 25 2" xfId="29226" xr:uid="{00000000-0005-0000-0000-00002A720000}"/>
    <cellStyle name="Normal 25 20" xfId="29227" xr:uid="{00000000-0005-0000-0000-00002B720000}"/>
    <cellStyle name="Normal 25 21" xfId="29228" xr:uid="{00000000-0005-0000-0000-00002C720000}"/>
    <cellStyle name="Normal 25 22" xfId="29229" xr:uid="{00000000-0005-0000-0000-00002D720000}"/>
    <cellStyle name="Normal 25 23" xfId="29230" xr:uid="{00000000-0005-0000-0000-00002E720000}"/>
    <cellStyle name="Normal 25 24" xfId="29231" xr:uid="{00000000-0005-0000-0000-00002F720000}"/>
    <cellStyle name="Normal 25 25" xfId="29232" xr:uid="{00000000-0005-0000-0000-000030720000}"/>
    <cellStyle name="Normal 25 3" xfId="29233" xr:uid="{00000000-0005-0000-0000-000031720000}"/>
    <cellStyle name="Normal 25 4" xfId="29234" xr:uid="{00000000-0005-0000-0000-000032720000}"/>
    <cellStyle name="Normal 25 5" xfId="29235" xr:uid="{00000000-0005-0000-0000-000033720000}"/>
    <cellStyle name="Normal 25 6" xfId="29236" xr:uid="{00000000-0005-0000-0000-000034720000}"/>
    <cellStyle name="Normal 25 7" xfId="29237" xr:uid="{00000000-0005-0000-0000-000035720000}"/>
    <cellStyle name="Normal 25 8" xfId="29238" xr:uid="{00000000-0005-0000-0000-000036720000}"/>
    <cellStyle name="Normal 25 9" xfId="29239" xr:uid="{00000000-0005-0000-0000-000037720000}"/>
    <cellStyle name="Normal 26" xfId="29240" xr:uid="{00000000-0005-0000-0000-000038720000}"/>
    <cellStyle name="Normal 26 10" xfId="29241" xr:uid="{00000000-0005-0000-0000-000039720000}"/>
    <cellStyle name="Normal 26 11" xfId="29242" xr:uid="{00000000-0005-0000-0000-00003A720000}"/>
    <cellStyle name="Normal 26 12" xfId="29243" xr:uid="{00000000-0005-0000-0000-00003B720000}"/>
    <cellStyle name="Normal 26 13" xfId="29244" xr:uid="{00000000-0005-0000-0000-00003C720000}"/>
    <cellStyle name="Normal 26 14" xfId="29245" xr:uid="{00000000-0005-0000-0000-00003D720000}"/>
    <cellStyle name="Normal 26 15" xfId="29246" xr:uid="{00000000-0005-0000-0000-00003E720000}"/>
    <cellStyle name="Normal 26 16" xfId="29247" xr:uid="{00000000-0005-0000-0000-00003F720000}"/>
    <cellStyle name="Normal 26 17" xfId="29248" xr:uid="{00000000-0005-0000-0000-000040720000}"/>
    <cellStyle name="Normal 26 18" xfId="29249" xr:uid="{00000000-0005-0000-0000-000041720000}"/>
    <cellStyle name="Normal 26 19" xfId="29250" xr:uid="{00000000-0005-0000-0000-000042720000}"/>
    <cellStyle name="Normal 26 2" xfId="29251" xr:uid="{00000000-0005-0000-0000-000043720000}"/>
    <cellStyle name="Normal 26 20" xfId="29252" xr:uid="{00000000-0005-0000-0000-000044720000}"/>
    <cellStyle name="Normal 26 21" xfId="29253" xr:uid="{00000000-0005-0000-0000-000045720000}"/>
    <cellStyle name="Normal 26 22" xfId="29254" xr:uid="{00000000-0005-0000-0000-000046720000}"/>
    <cellStyle name="Normal 26 23" xfId="29255" xr:uid="{00000000-0005-0000-0000-000047720000}"/>
    <cellStyle name="Normal 26 24" xfId="29256" xr:uid="{00000000-0005-0000-0000-000048720000}"/>
    <cellStyle name="Normal 26 25" xfId="29257" xr:uid="{00000000-0005-0000-0000-000049720000}"/>
    <cellStyle name="Normal 26 3" xfId="29258" xr:uid="{00000000-0005-0000-0000-00004A720000}"/>
    <cellStyle name="Normal 26 4" xfId="29259" xr:uid="{00000000-0005-0000-0000-00004B720000}"/>
    <cellStyle name="Normal 26 5" xfId="29260" xr:uid="{00000000-0005-0000-0000-00004C720000}"/>
    <cellStyle name="Normal 26 6" xfId="29261" xr:uid="{00000000-0005-0000-0000-00004D720000}"/>
    <cellStyle name="Normal 26 7" xfId="29262" xr:uid="{00000000-0005-0000-0000-00004E720000}"/>
    <cellStyle name="Normal 26 8" xfId="29263" xr:uid="{00000000-0005-0000-0000-00004F720000}"/>
    <cellStyle name="Normal 26 9" xfId="29264" xr:uid="{00000000-0005-0000-0000-000050720000}"/>
    <cellStyle name="Normal 27" xfId="29265" xr:uid="{00000000-0005-0000-0000-000051720000}"/>
    <cellStyle name="Normal 27 2" xfId="29266" xr:uid="{00000000-0005-0000-0000-000052720000}"/>
    <cellStyle name="Normal 28" xfId="29267" xr:uid="{00000000-0005-0000-0000-000053720000}"/>
    <cellStyle name="Normal 28 10" xfId="29268" xr:uid="{00000000-0005-0000-0000-000054720000}"/>
    <cellStyle name="Normal 28 11" xfId="29269" xr:uid="{00000000-0005-0000-0000-000055720000}"/>
    <cellStyle name="Normal 28 12" xfId="29270" xr:uid="{00000000-0005-0000-0000-000056720000}"/>
    <cellStyle name="Normal 28 13" xfId="29271" xr:uid="{00000000-0005-0000-0000-000057720000}"/>
    <cellStyle name="Normal 28 14" xfId="29272" xr:uid="{00000000-0005-0000-0000-000058720000}"/>
    <cellStyle name="Normal 28 15" xfId="29273" xr:uid="{00000000-0005-0000-0000-000059720000}"/>
    <cellStyle name="Normal 28 16" xfId="29274" xr:uid="{00000000-0005-0000-0000-00005A720000}"/>
    <cellStyle name="Normal 28 17" xfId="29275" xr:uid="{00000000-0005-0000-0000-00005B720000}"/>
    <cellStyle name="Normal 28 18" xfId="29276" xr:uid="{00000000-0005-0000-0000-00005C720000}"/>
    <cellStyle name="Normal 28 19" xfId="29277" xr:uid="{00000000-0005-0000-0000-00005D720000}"/>
    <cellStyle name="Normal 28 2" xfId="29278" xr:uid="{00000000-0005-0000-0000-00005E720000}"/>
    <cellStyle name="Normal 28 2 2" xfId="29279" xr:uid="{00000000-0005-0000-0000-00005F720000}"/>
    <cellStyle name="Normal 28 2 3" xfId="29280" xr:uid="{00000000-0005-0000-0000-000060720000}"/>
    <cellStyle name="Normal 28 20" xfId="29281" xr:uid="{00000000-0005-0000-0000-000061720000}"/>
    <cellStyle name="Normal 28 21" xfId="29282" xr:uid="{00000000-0005-0000-0000-000062720000}"/>
    <cellStyle name="Normal 28 22" xfId="29283" xr:uid="{00000000-0005-0000-0000-000063720000}"/>
    <cellStyle name="Normal 28 23" xfId="29284" xr:uid="{00000000-0005-0000-0000-000064720000}"/>
    <cellStyle name="Normal 28 24" xfId="29285" xr:uid="{00000000-0005-0000-0000-000065720000}"/>
    <cellStyle name="Normal 28 25" xfId="29286" xr:uid="{00000000-0005-0000-0000-000066720000}"/>
    <cellStyle name="Normal 28 26" xfId="29287" xr:uid="{00000000-0005-0000-0000-000067720000}"/>
    <cellStyle name="Normal 28 3" xfId="29288" xr:uid="{00000000-0005-0000-0000-000068720000}"/>
    <cellStyle name="Normal 28 3 2" xfId="29289" xr:uid="{00000000-0005-0000-0000-000069720000}"/>
    <cellStyle name="Normal 28 3 3" xfId="29290" xr:uid="{00000000-0005-0000-0000-00006A720000}"/>
    <cellStyle name="Normal 28 4" xfId="29291" xr:uid="{00000000-0005-0000-0000-00006B720000}"/>
    <cellStyle name="Normal 28 5" xfId="29292" xr:uid="{00000000-0005-0000-0000-00006C720000}"/>
    <cellStyle name="Normal 28 6" xfId="29293" xr:uid="{00000000-0005-0000-0000-00006D720000}"/>
    <cellStyle name="Normal 28 7" xfId="29294" xr:uid="{00000000-0005-0000-0000-00006E720000}"/>
    <cellStyle name="Normal 28 8" xfId="29295" xr:uid="{00000000-0005-0000-0000-00006F720000}"/>
    <cellStyle name="Normal 28 9" xfId="29296" xr:uid="{00000000-0005-0000-0000-000070720000}"/>
    <cellStyle name="Normal 29" xfId="29297" xr:uid="{00000000-0005-0000-0000-000071720000}"/>
    <cellStyle name="Normal 29 10" xfId="29298" xr:uid="{00000000-0005-0000-0000-000072720000}"/>
    <cellStyle name="Normal 29 11" xfId="29299" xr:uid="{00000000-0005-0000-0000-000073720000}"/>
    <cellStyle name="Normal 29 12" xfId="29300" xr:uid="{00000000-0005-0000-0000-000074720000}"/>
    <cellStyle name="Normal 29 13" xfId="29301" xr:uid="{00000000-0005-0000-0000-000075720000}"/>
    <cellStyle name="Normal 29 14" xfId="29302" xr:uid="{00000000-0005-0000-0000-000076720000}"/>
    <cellStyle name="Normal 29 15" xfId="29303" xr:uid="{00000000-0005-0000-0000-000077720000}"/>
    <cellStyle name="Normal 29 16" xfId="29304" xr:uid="{00000000-0005-0000-0000-000078720000}"/>
    <cellStyle name="Normal 29 17" xfId="29305" xr:uid="{00000000-0005-0000-0000-000079720000}"/>
    <cellStyle name="Normal 29 18" xfId="29306" xr:uid="{00000000-0005-0000-0000-00007A720000}"/>
    <cellStyle name="Normal 29 19" xfId="29307" xr:uid="{00000000-0005-0000-0000-00007B720000}"/>
    <cellStyle name="Normal 29 2" xfId="29308" xr:uid="{00000000-0005-0000-0000-00007C720000}"/>
    <cellStyle name="Normal 29 2 2" xfId="29309" xr:uid="{00000000-0005-0000-0000-00007D720000}"/>
    <cellStyle name="Normal 29 2 3" xfId="29310" xr:uid="{00000000-0005-0000-0000-00007E720000}"/>
    <cellStyle name="Normal 29 20" xfId="29311" xr:uid="{00000000-0005-0000-0000-00007F720000}"/>
    <cellStyle name="Normal 29 21" xfId="29312" xr:uid="{00000000-0005-0000-0000-000080720000}"/>
    <cellStyle name="Normal 29 22" xfId="29313" xr:uid="{00000000-0005-0000-0000-000081720000}"/>
    <cellStyle name="Normal 29 23" xfId="29314" xr:uid="{00000000-0005-0000-0000-000082720000}"/>
    <cellStyle name="Normal 29 24" xfId="29315" xr:uid="{00000000-0005-0000-0000-000083720000}"/>
    <cellStyle name="Normal 29 25" xfId="29316" xr:uid="{00000000-0005-0000-0000-000084720000}"/>
    <cellStyle name="Normal 29 26" xfId="29317" xr:uid="{00000000-0005-0000-0000-000085720000}"/>
    <cellStyle name="Normal 29 3" xfId="29318" xr:uid="{00000000-0005-0000-0000-000086720000}"/>
    <cellStyle name="Normal 29 3 2" xfId="29319" xr:uid="{00000000-0005-0000-0000-000087720000}"/>
    <cellStyle name="Normal 29 3 3" xfId="29320" xr:uid="{00000000-0005-0000-0000-000088720000}"/>
    <cellStyle name="Normal 29 4" xfId="29321" xr:uid="{00000000-0005-0000-0000-000089720000}"/>
    <cellStyle name="Normal 29 5" xfId="29322" xr:uid="{00000000-0005-0000-0000-00008A720000}"/>
    <cellStyle name="Normal 29 6" xfId="29323" xr:uid="{00000000-0005-0000-0000-00008B720000}"/>
    <cellStyle name="Normal 29 7" xfId="29324" xr:uid="{00000000-0005-0000-0000-00008C720000}"/>
    <cellStyle name="Normal 29 8" xfId="29325" xr:uid="{00000000-0005-0000-0000-00008D720000}"/>
    <cellStyle name="Normal 29 9" xfId="29326" xr:uid="{00000000-0005-0000-0000-00008E720000}"/>
    <cellStyle name="Normal 3" xfId="20" xr:uid="{00000000-0005-0000-0000-000014000000}"/>
    <cellStyle name="Normal 3 10" xfId="29327" xr:uid="{00000000-0005-0000-0000-00008F720000}"/>
    <cellStyle name="Normal 3 10 2" xfId="29328" xr:uid="{00000000-0005-0000-0000-000090720000}"/>
    <cellStyle name="Normal 3 10 3" xfId="29329" xr:uid="{00000000-0005-0000-0000-000091720000}"/>
    <cellStyle name="Normal 3 10 4" xfId="29330" xr:uid="{00000000-0005-0000-0000-000092720000}"/>
    <cellStyle name="Normal 3 10 5" xfId="29331" xr:uid="{00000000-0005-0000-0000-000093720000}"/>
    <cellStyle name="Normal 3 10 6" xfId="29332" xr:uid="{00000000-0005-0000-0000-000094720000}"/>
    <cellStyle name="Normal 3 10_Enlaces" xfId="29333" xr:uid="{00000000-0005-0000-0000-000095720000}"/>
    <cellStyle name="Normal 3 100" xfId="29334" xr:uid="{00000000-0005-0000-0000-000096720000}"/>
    <cellStyle name="Normal 3 100 2" xfId="29335" xr:uid="{00000000-0005-0000-0000-000097720000}"/>
    <cellStyle name="Normal 3 100 3" xfId="29336" xr:uid="{00000000-0005-0000-0000-000098720000}"/>
    <cellStyle name="Normal 3 101" xfId="29337" xr:uid="{00000000-0005-0000-0000-000099720000}"/>
    <cellStyle name="Normal 3 101 2" xfId="29338" xr:uid="{00000000-0005-0000-0000-00009A720000}"/>
    <cellStyle name="Normal 3 101 3" xfId="29339" xr:uid="{00000000-0005-0000-0000-00009B720000}"/>
    <cellStyle name="Normal 3 102" xfId="29340" xr:uid="{00000000-0005-0000-0000-00009C720000}"/>
    <cellStyle name="Normal 3 102 2" xfId="29341" xr:uid="{00000000-0005-0000-0000-00009D720000}"/>
    <cellStyle name="Normal 3 102 3" xfId="29342" xr:uid="{00000000-0005-0000-0000-00009E720000}"/>
    <cellStyle name="Normal 3 103" xfId="29343" xr:uid="{00000000-0005-0000-0000-00009F720000}"/>
    <cellStyle name="Normal 3 103 2" xfId="29344" xr:uid="{00000000-0005-0000-0000-0000A0720000}"/>
    <cellStyle name="Normal 3 103 3" xfId="29345" xr:uid="{00000000-0005-0000-0000-0000A1720000}"/>
    <cellStyle name="Normal 3 104" xfId="29346" xr:uid="{00000000-0005-0000-0000-0000A2720000}"/>
    <cellStyle name="Normal 3 104 2" xfId="29347" xr:uid="{00000000-0005-0000-0000-0000A3720000}"/>
    <cellStyle name="Normal 3 104 3" xfId="29348" xr:uid="{00000000-0005-0000-0000-0000A4720000}"/>
    <cellStyle name="Normal 3 105" xfId="29349" xr:uid="{00000000-0005-0000-0000-0000A5720000}"/>
    <cellStyle name="Normal 3 105 2" xfId="29350" xr:uid="{00000000-0005-0000-0000-0000A6720000}"/>
    <cellStyle name="Normal 3 105 3" xfId="29351" xr:uid="{00000000-0005-0000-0000-0000A7720000}"/>
    <cellStyle name="Normal 3 106" xfId="29352" xr:uid="{00000000-0005-0000-0000-0000A8720000}"/>
    <cellStyle name="Normal 3 106 2" xfId="29353" xr:uid="{00000000-0005-0000-0000-0000A9720000}"/>
    <cellStyle name="Normal 3 106 3" xfId="29354" xr:uid="{00000000-0005-0000-0000-0000AA720000}"/>
    <cellStyle name="Normal 3 107" xfId="29355" xr:uid="{00000000-0005-0000-0000-0000AB720000}"/>
    <cellStyle name="Normal 3 107 2" xfId="29356" xr:uid="{00000000-0005-0000-0000-0000AC720000}"/>
    <cellStyle name="Normal 3 107 3" xfId="29357" xr:uid="{00000000-0005-0000-0000-0000AD720000}"/>
    <cellStyle name="Normal 3 108" xfId="29358" xr:uid="{00000000-0005-0000-0000-0000AE720000}"/>
    <cellStyle name="Normal 3 108 2" xfId="29359" xr:uid="{00000000-0005-0000-0000-0000AF720000}"/>
    <cellStyle name="Normal 3 108 3" xfId="29360" xr:uid="{00000000-0005-0000-0000-0000B0720000}"/>
    <cellStyle name="Normal 3 109" xfId="29361" xr:uid="{00000000-0005-0000-0000-0000B1720000}"/>
    <cellStyle name="Normal 3 109 2" xfId="29362" xr:uid="{00000000-0005-0000-0000-0000B2720000}"/>
    <cellStyle name="Normal 3 109 3" xfId="29363" xr:uid="{00000000-0005-0000-0000-0000B3720000}"/>
    <cellStyle name="Normal 3 11" xfId="29364" xr:uid="{00000000-0005-0000-0000-0000B4720000}"/>
    <cellStyle name="Normal 3 11 2" xfId="29365" xr:uid="{00000000-0005-0000-0000-0000B5720000}"/>
    <cellStyle name="Normal 3 11 3" xfId="29366" xr:uid="{00000000-0005-0000-0000-0000B6720000}"/>
    <cellStyle name="Normal 3 11 4" xfId="29367" xr:uid="{00000000-0005-0000-0000-0000B7720000}"/>
    <cellStyle name="Normal 3 11_Enlaces" xfId="29368" xr:uid="{00000000-0005-0000-0000-0000B8720000}"/>
    <cellStyle name="Normal 3 110" xfId="29369" xr:uid="{00000000-0005-0000-0000-0000B9720000}"/>
    <cellStyle name="Normal 3 110 2" xfId="29370" xr:uid="{00000000-0005-0000-0000-0000BA720000}"/>
    <cellStyle name="Normal 3 110 3" xfId="29371" xr:uid="{00000000-0005-0000-0000-0000BB720000}"/>
    <cellStyle name="Normal 3 111" xfId="29372" xr:uid="{00000000-0005-0000-0000-0000BC720000}"/>
    <cellStyle name="Normal 3 111 2" xfId="29373" xr:uid="{00000000-0005-0000-0000-0000BD720000}"/>
    <cellStyle name="Normal 3 111 3" xfId="29374" xr:uid="{00000000-0005-0000-0000-0000BE720000}"/>
    <cellStyle name="Normal 3 112" xfId="29375" xr:uid="{00000000-0005-0000-0000-0000BF720000}"/>
    <cellStyle name="Normal 3 112 2" xfId="29376" xr:uid="{00000000-0005-0000-0000-0000C0720000}"/>
    <cellStyle name="Normal 3 112 3" xfId="29377" xr:uid="{00000000-0005-0000-0000-0000C1720000}"/>
    <cellStyle name="Normal 3 113" xfId="29378" xr:uid="{00000000-0005-0000-0000-0000C2720000}"/>
    <cellStyle name="Normal 3 113 2" xfId="29379" xr:uid="{00000000-0005-0000-0000-0000C3720000}"/>
    <cellStyle name="Normal 3 113 3" xfId="29380" xr:uid="{00000000-0005-0000-0000-0000C4720000}"/>
    <cellStyle name="Normal 3 114" xfId="29381" xr:uid="{00000000-0005-0000-0000-0000C5720000}"/>
    <cellStyle name="Normal 3 114 2" xfId="29382" xr:uid="{00000000-0005-0000-0000-0000C6720000}"/>
    <cellStyle name="Normal 3 114 3" xfId="29383" xr:uid="{00000000-0005-0000-0000-0000C7720000}"/>
    <cellStyle name="Normal 3 115" xfId="29384" xr:uid="{00000000-0005-0000-0000-0000C8720000}"/>
    <cellStyle name="Normal 3 115 2" xfId="29385" xr:uid="{00000000-0005-0000-0000-0000C9720000}"/>
    <cellStyle name="Normal 3 115 3" xfId="29386" xr:uid="{00000000-0005-0000-0000-0000CA720000}"/>
    <cellStyle name="Normal 3 116" xfId="29387" xr:uid="{00000000-0005-0000-0000-0000CB720000}"/>
    <cellStyle name="Normal 3 116 2" xfId="29388" xr:uid="{00000000-0005-0000-0000-0000CC720000}"/>
    <cellStyle name="Normal 3 116 3" xfId="29389" xr:uid="{00000000-0005-0000-0000-0000CD720000}"/>
    <cellStyle name="Normal 3 117" xfId="29390" xr:uid="{00000000-0005-0000-0000-0000CE720000}"/>
    <cellStyle name="Normal 3 117 2" xfId="29391" xr:uid="{00000000-0005-0000-0000-0000CF720000}"/>
    <cellStyle name="Normal 3 117 3" xfId="29392" xr:uid="{00000000-0005-0000-0000-0000D0720000}"/>
    <cellStyle name="Normal 3 118" xfId="29393" xr:uid="{00000000-0005-0000-0000-0000D1720000}"/>
    <cellStyle name="Normal 3 118 2" xfId="29394" xr:uid="{00000000-0005-0000-0000-0000D2720000}"/>
    <cellStyle name="Normal 3 118 3" xfId="29395" xr:uid="{00000000-0005-0000-0000-0000D3720000}"/>
    <cellStyle name="Normal 3 119" xfId="29396" xr:uid="{00000000-0005-0000-0000-0000D4720000}"/>
    <cellStyle name="Normal 3 119 2" xfId="29397" xr:uid="{00000000-0005-0000-0000-0000D5720000}"/>
    <cellStyle name="Normal 3 119 3" xfId="29398" xr:uid="{00000000-0005-0000-0000-0000D6720000}"/>
    <cellStyle name="Normal 3 12" xfId="29399" xr:uid="{00000000-0005-0000-0000-0000D7720000}"/>
    <cellStyle name="Normal 3 12 2" xfId="29400" xr:uid="{00000000-0005-0000-0000-0000D8720000}"/>
    <cellStyle name="Normal 3 12 3" xfId="29401" xr:uid="{00000000-0005-0000-0000-0000D9720000}"/>
    <cellStyle name="Normal 3 12_Enlaces" xfId="29402" xr:uid="{00000000-0005-0000-0000-0000DA720000}"/>
    <cellStyle name="Normal 3 120" xfId="29403" xr:uid="{00000000-0005-0000-0000-0000DB720000}"/>
    <cellStyle name="Normal 3 120 2" xfId="29404" xr:uid="{00000000-0005-0000-0000-0000DC720000}"/>
    <cellStyle name="Normal 3 120 3" xfId="29405" xr:uid="{00000000-0005-0000-0000-0000DD720000}"/>
    <cellStyle name="Normal 3 121" xfId="29406" xr:uid="{00000000-0005-0000-0000-0000DE720000}"/>
    <cellStyle name="Normal 3 121 2" xfId="29407" xr:uid="{00000000-0005-0000-0000-0000DF720000}"/>
    <cellStyle name="Normal 3 121 3" xfId="29408" xr:uid="{00000000-0005-0000-0000-0000E0720000}"/>
    <cellStyle name="Normal 3 122" xfId="29409" xr:uid="{00000000-0005-0000-0000-0000E1720000}"/>
    <cellStyle name="Normal 3 122 2" xfId="29410" xr:uid="{00000000-0005-0000-0000-0000E2720000}"/>
    <cellStyle name="Normal 3 122 3" xfId="29411" xr:uid="{00000000-0005-0000-0000-0000E3720000}"/>
    <cellStyle name="Normal 3 123" xfId="29412" xr:uid="{00000000-0005-0000-0000-0000E4720000}"/>
    <cellStyle name="Normal 3 123 2" xfId="29413" xr:uid="{00000000-0005-0000-0000-0000E5720000}"/>
    <cellStyle name="Normal 3 123 3" xfId="29414" xr:uid="{00000000-0005-0000-0000-0000E6720000}"/>
    <cellStyle name="Normal 3 124" xfId="29415" xr:uid="{00000000-0005-0000-0000-0000E7720000}"/>
    <cellStyle name="Normal 3 125" xfId="29416" xr:uid="{00000000-0005-0000-0000-0000E8720000}"/>
    <cellStyle name="Normal 3 126" xfId="29417" xr:uid="{00000000-0005-0000-0000-0000E9720000}"/>
    <cellStyle name="Normal 3 127" xfId="29418" xr:uid="{00000000-0005-0000-0000-0000EA720000}"/>
    <cellStyle name="Normal 3 128" xfId="29419" xr:uid="{00000000-0005-0000-0000-0000EB720000}"/>
    <cellStyle name="Normal 3 129" xfId="29420" xr:uid="{00000000-0005-0000-0000-0000EC720000}"/>
    <cellStyle name="Normal 3 13" xfId="29421" xr:uid="{00000000-0005-0000-0000-0000ED720000}"/>
    <cellStyle name="Normal 3 13 2" xfId="29422" xr:uid="{00000000-0005-0000-0000-0000EE720000}"/>
    <cellStyle name="Normal 3 13 3" xfId="29423" xr:uid="{00000000-0005-0000-0000-0000EF720000}"/>
    <cellStyle name="Normal 3 13_Enlaces" xfId="29424" xr:uid="{00000000-0005-0000-0000-0000F0720000}"/>
    <cellStyle name="Normal 3 130" xfId="29425" xr:uid="{00000000-0005-0000-0000-0000F1720000}"/>
    <cellStyle name="Normal 3 131" xfId="29426" xr:uid="{00000000-0005-0000-0000-0000F2720000}"/>
    <cellStyle name="Normal 3 131 2" xfId="29427" xr:uid="{00000000-0005-0000-0000-0000F3720000}"/>
    <cellStyle name="Normal 3 132" xfId="29428" xr:uid="{00000000-0005-0000-0000-0000F4720000}"/>
    <cellStyle name="Normal 3 132 2" xfId="29429" xr:uid="{00000000-0005-0000-0000-0000F5720000}"/>
    <cellStyle name="Normal 3 133" xfId="29430" xr:uid="{00000000-0005-0000-0000-0000F6720000}"/>
    <cellStyle name="Normal 3 133 2" xfId="29431" xr:uid="{00000000-0005-0000-0000-0000F7720000}"/>
    <cellStyle name="Normal 3 134" xfId="29432" xr:uid="{00000000-0005-0000-0000-0000F8720000}"/>
    <cellStyle name="Normal 3 134 2" xfId="29433" xr:uid="{00000000-0005-0000-0000-0000F9720000}"/>
    <cellStyle name="Normal 3 135" xfId="29434" xr:uid="{00000000-0005-0000-0000-0000FA720000}"/>
    <cellStyle name="Normal 3 135 2" xfId="29435" xr:uid="{00000000-0005-0000-0000-0000FB720000}"/>
    <cellStyle name="Normal 3 136" xfId="29436" xr:uid="{00000000-0005-0000-0000-0000FC720000}"/>
    <cellStyle name="Normal 3 136 2" xfId="29437" xr:uid="{00000000-0005-0000-0000-0000FD720000}"/>
    <cellStyle name="Normal 3 137" xfId="29438" xr:uid="{00000000-0005-0000-0000-0000FE720000}"/>
    <cellStyle name="Normal 3 137 2" xfId="29439" xr:uid="{00000000-0005-0000-0000-0000FF720000}"/>
    <cellStyle name="Normal 3 138" xfId="29440" xr:uid="{00000000-0005-0000-0000-000000730000}"/>
    <cellStyle name="Normal 3 138 2" xfId="29441" xr:uid="{00000000-0005-0000-0000-000001730000}"/>
    <cellStyle name="Normal 3 139" xfId="29442" xr:uid="{00000000-0005-0000-0000-000002730000}"/>
    <cellStyle name="Normal 3 139 2" xfId="29443" xr:uid="{00000000-0005-0000-0000-000003730000}"/>
    <cellStyle name="Normal 3 14" xfId="29444" xr:uid="{00000000-0005-0000-0000-000004730000}"/>
    <cellStyle name="Normal 3 14 2" xfId="29445" xr:uid="{00000000-0005-0000-0000-000005730000}"/>
    <cellStyle name="Normal 3 14 3" xfId="29446" xr:uid="{00000000-0005-0000-0000-000006730000}"/>
    <cellStyle name="Normal 3 14_Enlaces" xfId="29447" xr:uid="{00000000-0005-0000-0000-000007730000}"/>
    <cellStyle name="Normal 3 140" xfId="29448" xr:uid="{00000000-0005-0000-0000-000008730000}"/>
    <cellStyle name="Normal 3 140 2" xfId="29449" xr:uid="{00000000-0005-0000-0000-000009730000}"/>
    <cellStyle name="Normal 3 141" xfId="29450" xr:uid="{00000000-0005-0000-0000-00000A730000}"/>
    <cellStyle name="Normal 3 141 2" xfId="29451" xr:uid="{00000000-0005-0000-0000-00000B730000}"/>
    <cellStyle name="Normal 3 142" xfId="29452" xr:uid="{00000000-0005-0000-0000-00000C730000}"/>
    <cellStyle name="Normal 3 143" xfId="29453" xr:uid="{00000000-0005-0000-0000-00000D730000}"/>
    <cellStyle name="Normal 3 143 2" xfId="29454" xr:uid="{00000000-0005-0000-0000-00000E730000}"/>
    <cellStyle name="Normal 3 144" xfId="29455" xr:uid="{00000000-0005-0000-0000-00000F730000}"/>
    <cellStyle name="Normal 3 145" xfId="29456" xr:uid="{00000000-0005-0000-0000-000010730000}"/>
    <cellStyle name="Normal 3 15" xfId="29457" xr:uid="{00000000-0005-0000-0000-000011730000}"/>
    <cellStyle name="Normal 3 15 2" xfId="29458" xr:uid="{00000000-0005-0000-0000-000012730000}"/>
    <cellStyle name="Normal 3 15 3" xfId="29459" xr:uid="{00000000-0005-0000-0000-000013730000}"/>
    <cellStyle name="Normal 3 15_Enlaces" xfId="29460" xr:uid="{00000000-0005-0000-0000-000014730000}"/>
    <cellStyle name="Normal 3 16" xfId="29461" xr:uid="{00000000-0005-0000-0000-000015730000}"/>
    <cellStyle name="Normal 3 16 2" xfId="29462" xr:uid="{00000000-0005-0000-0000-000016730000}"/>
    <cellStyle name="Normal 3 16 3" xfId="29463" xr:uid="{00000000-0005-0000-0000-000017730000}"/>
    <cellStyle name="Normal 3 16_Enlaces" xfId="29464" xr:uid="{00000000-0005-0000-0000-000018730000}"/>
    <cellStyle name="Normal 3 17" xfId="29465" xr:uid="{00000000-0005-0000-0000-000019730000}"/>
    <cellStyle name="Normal 3 17 2" xfId="29466" xr:uid="{00000000-0005-0000-0000-00001A730000}"/>
    <cellStyle name="Normal 3 17 3" xfId="29467" xr:uid="{00000000-0005-0000-0000-00001B730000}"/>
    <cellStyle name="Normal 3 17_Enlaces" xfId="29468" xr:uid="{00000000-0005-0000-0000-00001C730000}"/>
    <cellStyle name="Normal 3 18" xfId="29469" xr:uid="{00000000-0005-0000-0000-00001D730000}"/>
    <cellStyle name="Normal 3 18 2" xfId="29470" xr:uid="{00000000-0005-0000-0000-00001E730000}"/>
    <cellStyle name="Normal 3 18 3" xfId="29471" xr:uid="{00000000-0005-0000-0000-00001F730000}"/>
    <cellStyle name="Normal 3 18_Enlaces" xfId="29472" xr:uid="{00000000-0005-0000-0000-000020730000}"/>
    <cellStyle name="Normal 3 19" xfId="29473" xr:uid="{00000000-0005-0000-0000-000021730000}"/>
    <cellStyle name="Normal 3 19 2" xfId="29474" xr:uid="{00000000-0005-0000-0000-000022730000}"/>
    <cellStyle name="Normal 3 19 3" xfId="29475" xr:uid="{00000000-0005-0000-0000-000023730000}"/>
    <cellStyle name="Normal 3 19_Enlaces" xfId="29476" xr:uid="{00000000-0005-0000-0000-000024730000}"/>
    <cellStyle name="Normal 3 2" xfId="29477" xr:uid="{00000000-0005-0000-0000-000025730000}"/>
    <cellStyle name="Normal 3 2 10" xfId="29478" xr:uid="{00000000-0005-0000-0000-000026730000}"/>
    <cellStyle name="Normal 3 2 10 2" xfId="29479" xr:uid="{00000000-0005-0000-0000-000027730000}"/>
    <cellStyle name="Normal 3 2 10 3" xfId="29480" xr:uid="{00000000-0005-0000-0000-000028730000}"/>
    <cellStyle name="Normal 3 2 11" xfId="29481" xr:uid="{00000000-0005-0000-0000-000029730000}"/>
    <cellStyle name="Normal 3 2 11 2" xfId="29482" xr:uid="{00000000-0005-0000-0000-00002A730000}"/>
    <cellStyle name="Normal 3 2 12" xfId="29483" xr:uid="{00000000-0005-0000-0000-00002B730000}"/>
    <cellStyle name="Normal 3 2 12 2" xfId="29484" xr:uid="{00000000-0005-0000-0000-00002C730000}"/>
    <cellStyle name="Normal 3 2 13" xfId="29485" xr:uid="{00000000-0005-0000-0000-00002D730000}"/>
    <cellStyle name="Normal 3 2 13 2" xfId="29486" xr:uid="{00000000-0005-0000-0000-00002E730000}"/>
    <cellStyle name="Normal 3 2 14" xfId="29487" xr:uid="{00000000-0005-0000-0000-00002F730000}"/>
    <cellStyle name="Normal 3 2 14 2" xfId="29488" xr:uid="{00000000-0005-0000-0000-000030730000}"/>
    <cellStyle name="Normal 3 2 15" xfId="29489" xr:uid="{00000000-0005-0000-0000-000031730000}"/>
    <cellStyle name="Normal 3 2 15 2" xfId="29490" xr:uid="{00000000-0005-0000-0000-000032730000}"/>
    <cellStyle name="Normal 3 2 16" xfId="29491" xr:uid="{00000000-0005-0000-0000-000033730000}"/>
    <cellStyle name="Normal 3 2 16 2" xfId="29492" xr:uid="{00000000-0005-0000-0000-000034730000}"/>
    <cellStyle name="Normal 3 2 17" xfId="29493" xr:uid="{00000000-0005-0000-0000-000035730000}"/>
    <cellStyle name="Normal 3 2 17 2" xfId="29494" xr:uid="{00000000-0005-0000-0000-000036730000}"/>
    <cellStyle name="Normal 3 2 18" xfId="29495" xr:uid="{00000000-0005-0000-0000-000037730000}"/>
    <cellStyle name="Normal 3 2 18 2" xfId="29496" xr:uid="{00000000-0005-0000-0000-000038730000}"/>
    <cellStyle name="Normal 3 2 19" xfId="29497" xr:uid="{00000000-0005-0000-0000-000039730000}"/>
    <cellStyle name="Normal 3 2 19 2" xfId="29498" xr:uid="{00000000-0005-0000-0000-00003A730000}"/>
    <cellStyle name="Normal 3 2 2" xfId="29499" xr:uid="{00000000-0005-0000-0000-00003B730000}"/>
    <cellStyle name="Normal 3 2 2 2" xfId="29500" xr:uid="{00000000-0005-0000-0000-00003C730000}"/>
    <cellStyle name="Normal 3 2 2 2 2" xfId="29501" xr:uid="{00000000-0005-0000-0000-00003D730000}"/>
    <cellStyle name="Normal 3 2 20" xfId="29502" xr:uid="{00000000-0005-0000-0000-00003E730000}"/>
    <cellStyle name="Normal 3 2 20 2" xfId="29503" xr:uid="{00000000-0005-0000-0000-00003F730000}"/>
    <cellStyle name="Normal 3 2 21" xfId="29504" xr:uid="{00000000-0005-0000-0000-000040730000}"/>
    <cellStyle name="Normal 3 2 21 2" xfId="29505" xr:uid="{00000000-0005-0000-0000-000041730000}"/>
    <cellStyle name="Normal 3 2 22" xfId="29506" xr:uid="{00000000-0005-0000-0000-000042730000}"/>
    <cellStyle name="Normal 3 2 22 2" xfId="29507" xr:uid="{00000000-0005-0000-0000-000043730000}"/>
    <cellStyle name="Normal 3 2 23" xfId="29508" xr:uid="{00000000-0005-0000-0000-000044730000}"/>
    <cellStyle name="Normal 3 2 23 2" xfId="29509" xr:uid="{00000000-0005-0000-0000-000045730000}"/>
    <cellStyle name="Normal 3 2 24" xfId="29510" xr:uid="{00000000-0005-0000-0000-000046730000}"/>
    <cellStyle name="Normal 3 2 24 2" xfId="29511" xr:uid="{00000000-0005-0000-0000-000047730000}"/>
    <cellStyle name="Normal 3 2 25" xfId="29512" xr:uid="{00000000-0005-0000-0000-000048730000}"/>
    <cellStyle name="Normal 3 2 25 2" xfId="29513" xr:uid="{00000000-0005-0000-0000-000049730000}"/>
    <cellStyle name="Normal 3 2 26" xfId="29514" xr:uid="{00000000-0005-0000-0000-00004A730000}"/>
    <cellStyle name="Normal 3 2 27" xfId="29515" xr:uid="{00000000-0005-0000-0000-00004B730000}"/>
    <cellStyle name="Normal 3 2 28" xfId="29516" xr:uid="{00000000-0005-0000-0000-00004C730000}"/>
    <cellStyle name="Normal 3 2 29" xfId="29517" xr:uid="{00000000-0005-0000-0000-00004D730000}"/>
    <cellStyle name="Normal 3 2 3" xfId="29518" xr:uid="{00000000-0005-0000-0000-00004E730000}"/>
    <cellStyle name="Normal 3 2 3 2" xfId="29519" xr:uid="{00000000-0005-0000-0000-00004F730000}"/>
    <cellStyle name="Normal 3 2 3 3" xfId="29520" xr:uid="{00000000-0005-0000-0000-000050730000}"/>
    <cellStyle name="Normal 3 2 30" xfId="29521" xr:uid="{00000000-0005-0000-0000-000051730000}"/>
    <cellStyle name="Normal 3 2 31" xfId="29522" xr:uid="{00000000-0005-0000-0000-000052730000}"/>
    <cellStyle name="Normal 3 2 32" xfId="29523" xr:uid="{00000000-0005-0000-0000-000053730000}"/>
    <cellStyle name="Normal 3 2 33" xfId="29524" xr:uid="{00000000-0005-0000-0000-000054730000}"/>
    <cellStyle name="Normal 3 2 34" xfId="29525" xr:uid="{00000000-0005-0000-0000-000055730000}"/>
    <cellStyle name="Normal 3 2 35" xfId="29526" xr:uid="{00000000-0005-0000-0000-000056730000}"/>
    <cellStyle name="Normal 3 2 36" xfId="29527" xr:uid="{00000000-0005-0000-0000-000057730000}"/>
    <cellStyle name="Normal 3 2 37" xfId="29528" xr:uid="{00000000-0005-0000-0000-000058730000}"/>
    <cellStyle name="Normal 3 2 38" xfId="29529" xr:uid="{00000000-0005-0000-0000-000059730000}"/>
    <cellStyle name="Normal 3 2 39" xfId="29530" xr:uid="{00000000-0005-0000-0000-00005A730000}"/>
    <cellStyle name="Normal 3 2 4" xfId="29531" xr:uid="{00000000-0005-0000-0000-00005B730000}"/>
    <cellStyle name="Normal 3 2 4 2" xfId="29532" xr:uid="{00000000-0005-0000-0000-00005C730000}"/>
    <cellStyle name="Normal 3 2 4 3" xfId="29533" xr:uid="{00000000-0005-0000-0000-00005D730000}"/>
    <cellStyle name="Normal 3 2 40" xfId="29534" xr:uid="{00000000-0005-0000-0000-00005E730000}"/>
    <cellStyle name="Normal 3 2 41" xfId="29535" xr:uid="{00000000-0005-0000-0000-00005F730000}"/>
    <cellStyle name="Normal 3 2 42" xfId="29536" xr:uid="{00000000-0005-0000-0000-000060730000}"/>
    <cellStyle name="Normal 3 2 43" xfId="29537" xr:uid="{00000000-0005-0000-0000-000061730000}"/>
    <cellStyle name="Normal 3 2 44" xfId="29538" xr:uid="{00000000-0005-0000-0000-000062730000}"/>
    <cellStyle name="Normal 3 2 45" xfId="29539" xr:uid="{00000000-0005-0000-0000-000063730000}"/>
    <cellStyle name="Normal 3 2 46" xfId="29540" xr:uid="{00000000-0005-0000-0000-000064730000}"/>
    <cellStyle name="Normal 3 2 47" xfId="29541" xr:uid="{00000000-0005-0000-0000-000065730000}"/>
    <cellStyle name="Normal 3 2 48" xfId="29542" xr:uid="{00000000-0005-0000-0000-000066730000}"/>
    <cellStyle name="Normal 3 2 49" xfId="29543" xr:uid="{00000000-0005-0000-0000-000067730000}"/>
    <cellStyle name="Normal 3 2 5" xfId="29544" xr:uid="{00000000-0005-0000-0000-000068730000}"/>
    <cellStyle name="Normal 3 2 5 2" xfId="29545" xr:uid="{00000000-0005-0000-0000-000069730000}"/>
    <cellStyle name="Normal 3 2 5 3" xfId="29546" xr:uid="{00000000-0005-0000-0000-00006A730000}"/>
    <cellStyle name="Normal 3 2 50" xfId="29547" xr:uid="{00000000-0005-0000-0000-00006B730000}"/>
    <cellStyle name="Normal 3 2 51" xfId="29548" xr:uid="{00000000-0005-0000-0000-00006C730000}"/>
    <cellStyle name="Normal 3 2 52" xfId="29549" xr:uid="{00000000-0005-0000-0000-00006D730000}"/>
    <cellStyle name="Normal 3 2 53" xfId="29550" xr:uid="{00000000-0005-0000-0000-00006E730000}"/>
    <cellStyle name="Normal 3 2 54" xfId="29551" xr:uid="{00000000-0005-0000-0000-00006F730000}"/>
    <cellStyle name="Normal 3 2 55" xfId="29552" xr:uid="{00000000-0005-0000-0000-000070730000}"/>
    <cellStyle name="Normal 3 2 56" xfId="29553" xr:uid="{00000000-0005-0000-0000-000071730000}"/>
    <cellStyle name="Normal 3 2 57" xfId="29554" xr:uid="{00000000-0005-0000-0000-000072730000}"/>
    <cellStyle name="Normal 3 2 58" xfId="29555" xr:uid="{00000000-0005-0000-0000-000073730000}"/>
    <cellStyle name="Normal 3 2 59" xfId="29556" xr:uid="{00000000-0005-0000-0000-000074730000}"/>
    <cellStyle name="Normal 3 2 6" xfId="29557" xr:uid="{00000000-0005-0000-0000-000075730000}"/>
    <cellStyle name="Normal 3 2 6 2" xfId="29558" xr:uid="{00000000-0005-0000-0000-000076730000}"/>
    <cellStyle name="Normal 3 2 6 3" xfId="29559" xr:uid="{00000000-0005-0000-0000-000077730000}"/>
    <cellStyle name="Normal 3 2 60" xfId="29560" xr:uid="{00000000-0005-0000-0000-000078730000}"/>
    <cellStyle name="Normal 3 2 61" xfId="29561" xr:uid="{00000000-0005-0000-0000-000079730000}"/>
    <cellStyle name="Normal 3 2 62" xfId="29562" xr:uid="{00000000-0005-0000-0000-00007A730000}"/>
    <cellStyle name="Normal 3 2 63" xfId="29563" xr:uid="{00000000-0005-0000-0000-00007B730000}"/>
    <cellStyle name="Normal 3 2 64" xfId="29564" xr:uid="{00000000-0005-0000-0000-00007C730000}"/>
    <cellStyle name="Normal 3 2 65" xfId="29565" xr:uid="{00000000-0005-0000-0000-00007D730000}"/>
    <cellStyle name="Normal 3 2 66" xfId="29566" xr:uid="{00000000-0005-0000-0000-00007E730000}"/>
    <cellStyle name="Normal 3 2 67" xfId="29567" xr:uid="{00000000-0005-0000-0000-00007F730000}"/>
    <cellStyle name="Normal 3 2 68" xfId="29568" xr:uid="{00000000-0005-0000-0000-000080730000}"/>
    <cellStyle name="Normal 3 2 69" xfId="29569" xr:uid="{00000000-0005-0000-0000-000081730000}"/>
    <cellStyle name="Normal 3 2 7" xfId="29570" xr:uid="{00000000-0005-0000-0000-000082730000}"/>
    <cellStyle name="Normal 3 2 7 2" xfId="29571" xr:uid="{00000000-0005-0000-0000-000083730000}"/>
    <cellStyle name="Normal 3 2 7 3" xfId="29572" xr:uid="{00000000-0005-0000-0000-000084730000}"/>
    <cellStyle name="Normal 3 2 70" xfId="29573" xr:uid="{00000000-0005-0000-0000-000085730000}"/>
    <cellStyle name="Normal 3 2 71" xfId="29574" xr:uid="{00000000-0005-0000-0000-000086730000}"/>
    <cellStyle name="Normal 3 2 72" xfId="29575" xr:uid="{00000000-0005-0000-0000-000087730000}"/>
    <cellStyle name="Normal 3 2 73" xfId="29576" xr:uid="{00000000-0005-0000-0000-000088730000}"/>
    <cellStyle name="Normal 3 2 74" xfId="29577" xr:uid="{00000000-0005-0000-0000-000089730000}"/>
    <cellStyle name="Normal 3 2 75" xfId="29578" xr:uid="{00000000-0005-0000-0000-00008A730000}"/>
    <cellStyle name="Normal 3 2 76" xfId="29579" xr:uid="{00000000-0005-0000-0000-00008B730000}"/>
    <cellStyle name="Normal 3 2 77" xfId="29580" xr:uid="{00000000-0005-0000-0000-00008C730000}"/>
    <cellStyle name="Normal 3 2 78" xfId="29581" xr:uid="{00000000-0005-0000-0000-00008D730000}"/>
    <cellStyle name="Normal 3 2 79" xfId="29582" xr:uid="{00000000-0005-0000-0000-00008E730000}"/>
    <cellStyle name="Normal 3 2 8" xfId="29583" xr:uid="{00000000-0005-0000-0000-00008F730000}"/>
    <cellStyle name="Normal 3 2 8 2" xfId="29584" xr:uid="{00000000-0005-0000-0000-000090730000}"/>
    <cellStyle name="Normal 3 2 8 3" xfId="29585" xr:uid="{00000000-0005-0000-0000-000091730000}"/>
    <cellStyle name="Normal 3 2 80" xfId="29586" xr:uid="{00000000-0005-0000-0000-000092730000}"/>
    <cellStyle name="Normal 3 2 81" xfId="29587" xr:uid="{00000000-0005-0000-0000-000093730000}"/>
    <cellStyle name="Normal 3 2 82" xfId="29588" xr:uid="{00000000-0005-0000-0000-000094730000}"/>
    <cellStyle name="Normal 3 2 83" xfId="29589" xr:uid="{00000000-0005-0000-0000-000095730000}"/>
    <cellStyle name="Normal 3 2 84" xfId="29590" xr:uid="{00000000-0005-0000-0000-000096730000}"/>
    <cellStyle name="Normal 3 2 85" xfId="29591" xr:uid="{00000000-0005-0000-0000-000097730000}"/>
    <cellStyle name="Normal 3 2 86" xfId="29592" xr:uid="{00000000-0005-0000-0000-000098730000}"/>
    <cellStyle name="Normal 3 2 87" xfId="29593" xr:uid="{00000000-0005-0000-0000-000099730000}"/>
    <cellStyle name="Normal 3 2 88" xfId="29594" xr:uid="{00000000-0005-0000-0000-00009A730000}"/>
    <cellStyle name="Normal 3 2 89" xfId="29595" xr:uid="{00000000-0005-0000-0000-00009B730000}"/>
    <cellStyle name="Normal 3 2 9" xfId="29596" xr:uid="{00000000-0005-0000-0000-00009C730000}"/>
    <cellStyle name="Normal 3 2 9 2" xfId="29597" xr:uid="{00000000-0005-0000-0000-00009D730000}"/>
    <cellStyle name="Normal 3 2 9 3" xfId="29598" xr:uid="{00000000-0005-0000-0000-00009E730000}"/>
    <cellStyle name="Normal 3 2 90" xfId="29599" xr:uid="{00000000-0005-0000-0000-00009F730000}"/>
    <cellStyle name="Normal 3 2 91" xfId="29600" xr:uid="{00000000-0005-0000-0000-0000A0730000}"/>
    <cellStyle name="Normal 3 2 92" xfId="29601" xr:uid="{00000000-0005-0000-0000-0000A1730000}"/>
    <cellStyle name="Normal 3 2 93" xfId="29602" xr:uid="{00000000-0005-0000-0000-0000A2730000}"/>
    <cellStyle name="Normal 3 2 94" xfId="29603" xr:uid="{00000000-0005-0000-0000-0000A3730000}"/>
    <cellStyle name="Normal 3 2_Xa Parametrización de Usuarios" xfId="29604" xr:uid="{00000000-0005-0000-0000-0000A4730000}"/>
    <cellStyle name="Normal 3 20" xfId="29605" xr:uid="{00000000-0005-0000-0000-0000A5730000}"/>
    <cellStyle name="Normal 3 20 2" xfId="29606" xr:uid="{00000000-0005-0000-0000-0000A6730000}"/>
    <cellStyle name="Normal 3 20 3" xfId="29607" xr:uid="{00000000-0005-0000-0000-0000A7730000}"/>
    <cellStyle name="Normal 3 20_Enlaces" xfId="29608" xr:uid="{00000000-0005-0000-0000-0000A8730000}"/>
    <cellStyle name="Normal 3 21" xfId="29609" xr:uid="{00000000-0005-0000-0000-0000A9730000}"/>
    <cellStyle name="Normal 3 21 2" xfId="29610" xr:uid="{00000000-0005-0000-0000-0000AA730000}"/>
    <cellStyle name="Normal 3 21_Enlaces" xfId="29611" xr:uid="{00000000-0005-0000-0000-0000AB730000}"/>
    <cellStyle name="Normal 3 22" xfId="29612" xr:uid="{00000000-0005-0000-0000-0000AC730000}"/>
    <cellStyle name="Normal 3 22 2" xfId="29613" xr:uid="{00000000-0005-0000-0000-0000AD730000}"/>
    <cellStyle name="Normal 3 22_Enlaces" xfId="29614" xr:uid="{00000000-0005-0000-0000-0000AE730000}"/>
    <cellStyle name="Normal 3 23" xfId="29615" xr:uid="{00000000-0005-0000-0000-0000AF730000}"/>
    <cellStyle name="Normal 3 23 2" xfId="29616" xr:uid="{00000000-0005-0000-0000-0000B0730000}"/>
    <cellStyle name="Normal 3 23_Enlaces" xfId="29617" xr:uid="{00000000-0005-0000-0000-0000B1730000}"/>
    <cellStyle name="Normal 3 24" xfId="29618" xr:uid="{00000000-0005-0000-0000-0000B2730000}"/>
    <cellStyle name="Normal 3 24 2" xfId="29619" xr:uid="{00000000-0005-0000-0000-0000B3730000}"/>
    <cellStyle name="Normal 3 24_Enlaces" xfId="29620" xr:uid="{00000000-0005-0000-0000-0000B4730000}"/>
    <cellStyle name="Normal 3 25" xfId="29621" xr:uid="{00000000-0005-0000-0000-0000B5730000}"/>
    <cellStyle name="Normal 3 25 2" xfId="29622" xr:uid="{00000000-0005-0000-0000-0000B6730000}"/>
    <cellStyle name="Normal 3 25_Enlaces" xfId="29623" xr:uid="{00000000-0005-0000-0000-0000B7730000}"/>
    <cellStyle name="Normal 3 26" xfId="29624" xr:uid="{00000000-0005-0000-0000-0000B8730000}"/>
    <cellStyle name="Normal 3 26 2" xfId="29625" xr:uid="{00000000-0005-0000-0000-0000B9730000}"/>
    <cellStyle name="Normal 3 26_Enlaces" xfId="29626" xr:uid="{00000000-0005-0000-0000-0000BA730000}"/>
    <cellStyle name="Normal 3 27" xfId="29627" xr:uid="{00000000-0005-0000-0000-0000BB730000}"/>
    <cellStyle name="Normal 3 27 2" xfId="29628" xr:uid="{00000000-0005-0000-0000-0000BC730000}"/>
    <cellStyle name="Normal 3 27_Enlaces" xfId="29629" xr:uid="{00000000-0005-0000-0000-0000BD730000}"/>
    <cellStyle name="Normal 3 28" xfId="29630" xr:uid="{00000000-0005-0000-0000-0000BE730000}"/>
    <cellStyle name="Normal 3 29" xfId="29631" xr:uid="{00000000-0005-0000-0000-0000BF730000}"/>
    <cellStyle name="Normal 3 3" xfId="29632" xr:uid="{00000000-0005-0000-0000-0000C0730000}"/>
    <cellStyle name="Normal 3 3 10" xfId="29633" xr:uid="{00000000-0005-0000-0000-0000C1730000}"/>
    <cellStyle name="Normal 3 3 11" xfId="29634" xr:uid="{00000000-0005-0000-0000-0000C2730000}"/>
    <cellStyle name="Normal 3 3 12" xfId="29635" xr:uid="{00000000-0005-0000-0000-0000C3730000}"/>
    <cellStyle name="Normal 3 3 13" xfId="29636" xr:uid="{00000000-0005-0000-0000-0000C4730000}"/>
    <cellStyle name="Normal 3 3 14" xfId="29637" xr:uid="{00000000-0005-0000-0000-0000C5730000}"/>
    <cellStyle name="Normal 3 3 15" xfId="29638" xr:uid="{00000000-0005-0000-0000-0000C6730000}"/>
    <cellStyle name="Normal 3 3 16" xfId="29639" xr:uid="{00000000-0005-0000-0000-0000C7730000}"/>
    <cellStyle name="Normal 3 3 17" xfId="29640" xr:uid="{00000000-0005-0000-0000-0000C8730000}"/>
    <cellStyle name="Normal 3 3 18" xfId="29641" xr:uid="{00000000-0005-0000-0000-0000C9730000}"/>
    <cellStyle name="Normal 3 3 19" xfId="29642" xr:uid="{00000000-0005-0000-0000-0000CA730000}"/>
    <cellStyle name="Normal 3 3 2" xfId="29643" xr:uid="{00000000-0005-0000-0000-0000CB730000}"/>
    <cellStyle name="Normal 3 3 2 2" xfId="29644" xr:uid="{00000000-0005-0000-0000-0000CC730000}"/>
    <cellStyle name="Normal 3 3 2 3" xfId="29645" xr:uid="{00000000-0005-0000-0000-0000CD730000}"/>
    <cellStyle name="Normal 3 3 20" xfId="29646" xr:uid="{00000000-0005-0000-0000-0000CE730000}"/>
    <cellStyle name="Normal 3 3 21" xfId="29647" xr:uid="{00000000-0005-0000-0000-0000CF730000}"/>
    <cellStyle name="Normal 3 3 22" xfId="29648" xr:uid="{00000000-0005-0000-0000-0000D0730000}"/>
    <cellStyle name="Normal 3 3 23" xfId="29649" xr:uid="{00000000-0005-0000-0000-0000D1730000}"/>
    <cellStyle name="Normal 3 3 24" xfId="29650" xr:uid="{00000000-0005-0000-0000-0000D2730000}"/>
    <cellStyle name="Normal 3 3 25" xfId="29651" xr:uid="{00000000-0005-0000-0000-0000D3730000}"/>
    <cellStyle name="Normal 3 3 26" xfId="29652" xr:uid="{00000000-0005-0000-0000-0000D4730000}"/>
    <cellStyle name="Normal 3 3 27" xfId="29653" xr:uid="{00000000-0005-0000-0000-0000D5730000}"/>
    <cellStyle name="Normal 3 3 28" xfId="29654" xr:uid="{00000000-0005-0000-0000-0000D6730000}"/>
    <cellStyle name="Normal 3 3 29" xfId="29655" xr:uid="{00000000-0005-0000-0000-0000D7730000}"/>
    <cellStyle name="Normal 3 3 3" xfId="29656" xr:uid="{00000000-0005-0000-0000-0000D8730000}"/>
    <cellStyle name="Normal 3 3 30" xfId="29657" xr:uid="{00000000-0005-0000-0000-0000D9730000}"/>
    <cellStyle name="Normal 3 3 4" xfId="29658" xr:uid="{00000000-0005-0000-0000-0000DA730000}"/>
    <cellStyle name="Normal 3 3 5" xfId="29659" xr:uid="{00000000-0005-0000-0000-0000DB730000}"/>
    <cellStyle name="Normal 3 3 6" xfId="29660" xr:uid="{00000000-0005-0000-0000-0000DC730000}"/>
    <cellStyle name="Normal 3 3 7" xfId="29661" xr:uid="{00000000-0005-0000-0000-0000DD730000}"/>
    <cellStyle name="Normal 3 3 8" xfId="29662" xr:uid="{00000000-0005-0000-0000-0000DE730000}"/>
    <cellStyle name="Normal 3 3 9" xfId="29663" xr:uid="{00000000-0005-0000-0000-0000DF730000}"/>
    <cellStyle name="Normal 3 3_Enlaces" xfId="29664" xr:uid="{00000000-0005-0000-0000-0000E0730000}"/>
    <cellStyle name="Normal 3 30" xfId="29665" xr:uid="{00000000-0005-0000-0000-0000E1730000}"/>
    <cellStyle name="Normal 3 31" xfId="29666" xr:uid="{00000000-0005-0000-0000-0000E2730000}"/>
    <cellStyle name="Normal 3 32" xfId="29667" xr:uid="{00000000-0005-0000-0000-0000E3730000}"/>
    <cellStyle name="Normal 3 33" xfId="29668" xr:uid="{00000000-0005-0000-0000-0000E4730000}"/>
    <cellStyle name="Normal 3 34" xfId="29669" xr:uid="{00000000-0005-0000-0000-0000E5730000}"/>
    <cellStyle name="Normal 3 35" xfId="29670" xr:uid="{00000000-0005-0000-0000-0000E6730000}"/>
    <cellStyle name="Normal 3 36" xfId="29671" xr:uid="{00000000-0005-0000-0000-0000E7730000}"/>
    <cellStyle name="Normal 3 37" xfId="29672" xr:uid="{00000000-0005-0000-0000-0000E8730000}"/>
    <cellStyle name="Normal 3 38" xfId="29673" xr:uid="{00000000-0005-0000-0000-0000E9730000}"/>
    <cellStyle name="Normal 3 39" xfId="29674" xr:uid="{00000000-0005-0000-0000-0000EA730000}"/>
    <cellStyle name="Normal 3 4" xfId="29675" xr:uid="{00000000-0005-0000-0000-0000EB730000}"/>
    <cellStyle name="Normal 3 4 10" xfId="29676" xr:uid="{00000000-0005-0000-0000-0000EC730000}"/>
    <cellStyle name="Normal 3 4 11" xfId="29677" xr:uid="{00000000-0005-0000-0000-0000ED730000}"/>
    <cellStyle name="Normal 3 4 12" xfId="29678" xr:uid="{00000000-0005-0000-0000-0000EE730000}"/>
    <cellStyle name="Normal 3 4 13" xfId="29679" xr:uid="{00000000-0005-0000-0000-0000EF730000}"/>
    <cellStyle name="Normal 3 4 14" xfId="29680" xr:uid="{00000000-0005-0000-0000-0000F0730000}"/>
    <cellStyle name="Normal 3 4 15" xfId="29681" xr:uid="{00000000-0005-0000-0000-0000F1730000}"/>
    <cellStyle name="Normal 3 4 16" xfId="29682" xr:uid="{00000000-0005-0000-0000-0000F2730000}"/>
    <cellStyle name="Normal 3 4 17" xfId="29683" xr:uid="{00000000-0005-0000-0000-0000F3730000}"/>
    <cellStyle name="Normal 3 4 18" xfId="29684" xr:uid="{00000000-0005-0000-0000-0000F4730000}"/>
    <cellStyle name="Normal 3 4 19" xfId="29685" xr:uid="{00000000-0005-0000-0000-0000F5730000}"/>
    <cellStyle name="Normal 3 4 2" xfId="29686" xr:uid="{00000000-0005-0000-0000-0000F6730000}"/>
    <cellStyle name="Normal 3 4 2 2" xfId="29687" xr:uid="{00000000-0005-0000-0000-0000F7730000}"/>
    <cellStyle name="Normal 3 4 20" xfId="29688" xr:uid="{00000000-0005-0000-0000-0000F8730000}"/>
    <cellStyle name="Normal 3 4 21" xfId="29689" xr:uid="{00000000-0005-0000-0000-0000F9730000}"/>
    <cellStyle name="Normal 3 4 22" xfId="29690" xr:uid="{00000000-0005-0000-0000-0000FA730000}"/>
    <cellStyle name="Normal 3 4 23" xfId="29691" xr:uid="{00000000-0005-0000-0000-0000FB730000}"/>
    <cellStyle name="Normal 3 4 24" xfId="29692" xr:uid="{00000000-0005-0000-0000-0000FC730000}"/>
    <cellStyle name="Normal 3 4 24 2" xfId="29693" xr:uid="{00000000-0005-0000-0000-0000FD730000}"/>
    <cellStyle name="Normal 3 4 3" xfId="29694" xr:uid="{00000000-0005-0000-0000-0000FE730000}"/>
    <cellStyle name="Normal 3 4 4" xfId="29695" xr:uid="{00000000-0005-0000-0000-0000FF730000}"/>
    <cellStyle name="Normal 3 4 5" xfId="29696" xr:uid="{00000000-0005-0000-0000-000000740000}"/>
    <cellStyle name="Normal 3 4 6" xfId="29697" xr:uid="{00000000-0005-0000-0000-000001740000}"/>
    <cellStyle name="Normal 3 4 7" xfId="29698" xr:uid="{00000000-0005-0000-0000-000002740000}"/>
    <cellStyle name="Normal 3 4 8" xfId="29699" xr:uid="{00000000-0005-0000-0000-000003740000}"/>
    <cellStyle name="Normal 3 4 9" xfId="29700" xr:uid="{00000000-0005-0000-0000-000004740000}"/>
    <cellStyle name="Normal 3 4_Enlaces" xfId="29701" xr:uid="{00000000-0005-0000-0000-000005740000}"/>
    <cellStyle name="Normal 3 40" xfId="29702" xr:uid="{00000000-0005-0000-0000-000006740000}"/>
    <cellStyle name="Normal 3 41" xfId="29703" xr:uid="{00000000-0005-0000-0000-000007740000}"/>
    <cellStyle name="Normal 3 42" xfId="29704" xr:uid="{00000000-0005-0000-0000-000008740000}"/>
    <cellStyle name="Normal 3 43" xfId="29705" xr:uid="{00000000-0005-0000-0000-000009740000}"/>
    <cellStyle name="Normal 3 44" xfId="29706" xr:uid="{00000000-0005-0000-0000-00000A740000}"/>
    <cellStyle name="Normal 3 45" xfId="29707" xr:uid="{00000000-0005-0000-0000-00000B740000}"/>
    <cellStyle name="Normal 3 46" xfId="29708" xr:uid="{00000000-0005-0000-0000-00000C740000}"/>
    <cellStyle name="Normal 3 47" xfId="29709" xr:uid="{00000000-0005-0000-0000-00000D740000}"/>
    <cellStyle name="Normal 3 48" xfId="29710" xr:uid="{00000000-0005-0000-0000-00000E740000}"/>
    <cellStyle name="Normal 3 49" xfId="29711" xr:uid="{00000000-0005-0000-0000-00000F740000}"/>
    <cellStyle name="Normal 3 5" xfId="29712" xr:uid="{00000000-0005-0000-0000-000010740000}"/>
    <cellStyle name="Normal 3 5 2" xfId="29713" xr:uid="{00000000-0005-0000-0000-000011740000}"/>
    <cellStyle name="Normal 3 5 3" xfId="29714" xr:uid="{00000000-0005-0000-0000-000012740000}"/>
    <cellStyle name="Normal 3 5 4" xfId="29715" xr:uid="{00000000-0005-0000-0000-000013740000}"/>
    <cellStyle name="Normal 3 5_Enlaces" xfId="29716" xr:uid="{00000000-0005-0000-0000-000014740000}"/>
    <cellStyle name="Normal 3 50" xfId="29717" xr:uid="{00000000-0005-0000-0000-000015740000}"/>
    <cellStyle name="Normal 3 51" xfId="29718" xr:uid="{00000000-0005-0000-0000-000016740000}"/>
    <cellStyle name="Normal 3 52" xfId="29719" xr:uid="{00000000-0005-0000-0000-000017740000}"/>
    <cellStyle name="Normal 3 53" xfId="29720" xr:uid="{00000000-0005-0000-0000-000018740000}"/>
    <cellStyle name="Normal 3 54" xfId="29721" xr:uid="{00000000-0005-0000-0000-000019740000}"/>
    <cellStyle name="Normal 3 55" xfId="29722" xr:uid="{00000000-0005-0000-0000-00001A740000}"/>
    <cellStyle name="Normal 3 56" xfId="29723" xr:uid="{00000000-0005-0000-0000-00001B740000}"/>
    <cellStyle name="Normal 3 57" xfId="29724" xr:uid="{00000000-0005-0000-0000-00001C740000}"/>
    <cellStyle name="Normal 3 58" xfId="29725" xr:uid="{00000000-0005-0000-0000-00001D740000}"/>
    <cellStyle name="Normal 3 59" xfId="29726" xr:uid="{00000000-0005-0000-0000-00001E740000}"/>
    <cellStyle name="Normal 3 6" xfId="29727" xr:uid="{00000000-0005-0000-0000-00001F740000}"/>
    <cellStyle name="Normal 3 6 2" xfId="29728" xr:uid="{00000000-0005-0000-0000-000020740000}"/>
    <cellStyle name="Normal 3 6 3" xfId="29729" xr:uid="{00000000-0005-0000-0000-000021740000}"/>
    <cellStyle name="Normal 3 6 4" xfId="29730" xr:uid="{00000000-0005-0000-0000-000022740000}"/>
    <cellStyle name="Normal 3 6_Enlaces" xfId="29731" xr:uid="{00000000-0005-0000-0000-000023740000}"/>
    <cellStyle name="Normal 3 60" xfId="29732" xr:uid="{00000000-0005-0000-0000-000024740000}"/>
    <cellStyle name="Normal 3 61" xfId="29733" xr:uid="{00000000-0005-0000-0000-000025740000}"/>
    <cellStyle name="Normal 3 62" xfId="29734" xr:uid="{00000000-0005-0000-0000-000026740000}"/>
    <cellStyle name="Normal 3 63" xfId="29735" xr:uid="{00000000-0005-0000-0000-000027740000}"/>
    <cellStyle name="Normal 3 64" xfId="29736" xr:uid="{00000000-0005-0000-0000-000028740000}"/>
    <cellStyle name="Normal 3 65" xfId="29737" xr:uid="{00000000-0005-0000-0000-000029740000}"/>
    <cellStyle name="Normal 3 66" xfId="29738" xr:uid="{00000000-0005-0000-0000-00002A740000}"/>
    <cellStyle name="Normal 3 67" xfId="29739" xr:uid="{00000000-0005-0000-0000-00002B740000}"/>
    <cellStyle name="Normal 3 68" xfId="29740" xr:uid="{00000000-0005-0000-0000-00002C740000}"/>
    <cellStyle name="Normal 3 69" xfId="29741" xr:uid="{00000000-0005-0000-0000-00002D740000}"/>
    <cellStyle name="Normal 3 7" xfId="29742" xr:uid="{00000000-0005-0000-0000-00002E740000}"/>
    <cellStyle name="Normal 3 7 2" xfId="29743" xr:uid="{00000000-0005-0000-0000-00002F740000}"/>
    <cellStyle name="Normal 3 7 3" xfId="29744" xr:uid="{00000000-0005-0000-0000-000030740000}"/>
    <cellStyle name="Normal 3 7 4" xfId="29745" xr:uid="{00000000-0005-0000-0000-000031740000}"/>
    <cellStyle name="Normal 3 7_Enlaces" xfId="29746" xr:uid="{00000000-0005-0000-0000-000032740000}"/>
    <cellStyle name="Normal 3 70" xfId="29747" xr:uid="{00000000-0005-0000-0000-000033740000}"/>
    <cellStyle name="Normal 3 71" xfId="29748" xr:uid="{00000000-0005-0000-0000-000034740000}"/>
    <cellStyle name="Normal 3 72" xfId="29749" xr:uid="{00000000-0005-0000-0000-000035740000}"/>
    <cellStyle name="Normal 3 73" xfId="29750" xr:uid="{00000000-0005-0000-0000-000036740000}"/>
    <cellStyle name="Normal 3 74" xfId="29751" xr:uid="{00000000-0005-0000-0000-000037740000}"/>
    <cellStyle name="Normal 3 75" xfId="29752" xr:uid="{00000000-0005-0000-0000-000038740000}"/>
    <cellStyle name="Normal 3 76" xfId="29753" xr:uid="{00000000-0005-0000-0000-000039740000}"/>
    <cellStyle name="Normal 3 77" xfId="29754" xr:uid="{00000000-0005-0000-0000-00003A740000}"/>
    <cellStyle name="Normal 3 78" xfId="29755" xr:uid="{00000000-0005-0000-0000-00003B740000}"/>
    <cellStyle name="Normal 3 79" xfId="29756" xr:uid="{00000000-0005-0000-0000-00003C740000}"/>
    <cellStyle name="Normal 3 8" xfId="29757" xr:uid="{00000000-0005-0000-0000-00003D740000}"/>
    <cellStyle name="Normal 3 8 2" xfId="29758" xr:uid="{00000000-0005-0000-0000-00003E740000}"/>
    <cellStyle name="Normal 3 8 3" xfId="29759" xr:uid="{00000000-0005-0000-0000-00003F740000}"/>
    <cellStyle name="Normal 3 8 4" xfId="29760" xr:uid="{00000000-0005-0000-0000-000040740000}"/>
    <cellStyle name="Normal 3 8_Enlaces" xfId="29761" xr:uid="{00000000-0005-0000-0000-000041740000}"/>
    <cellStyle name="Normal 3 80" xfId="29762" xr:uid="{00000000-0005-0000-0000-000042740000}"/>
    <cellStyle name="Normal 3 81" xfId="29763" xr:uid="{00000000-0005-0000-0000-000043740000}"/>
    <cellStyle name="Normal 3 82" xfId="29764" xr:uid="{00000000-0005-0000-0000-000044740000}"/>
    <cellStyle name="Normal 3 83" xfId="29765" xr:uid="{00000000-0005-0000-0000-000045740000}"/>
    <cellStyle name="Normal 3 84" xfId="29766" xr:uid="{00000000-0005-0000-0000-000046740000}"/>
    <cellStyle name="Normal 3 85" xfId="29767" xr:uid="{00000000-0005-0000-0000-000047740000}"/>
    <cellStyle name="Normal 3 86" xfId="29768" xr:uid="{00000000-0005-0000-0000-000048740000}"/>
    <cellStyle name="Normal 3 87" xfId="29769" xr:uid="{00000000-0005-0000-0000-000049740000}"/>
    <cellStyle name="Normal 3 88" xfId="29770" xr:uid="{00000000-0005-0000-0000-00004A740000}"/>
    <cellStyle name="Normal 3 89" xfId="29771" xr:uid="{00000000-0005-0000-0000-00004B740000}"/>
    <cellStyle name="Normal 3 9" xfId="29772" xr:uid="{00000000-0005-0000-0000-00004C740000}"/>
    <cellStyle name="Normal 3 9 2" xfId="29773" xr:uid="{00000000-0005-0000-0000-00004D740000}"/>
    <cellStyle name="Normal 3 9 3" xfId="29774" xr:uid="{00000000-0005-0000-0000-00004E740000}"/>
    <cellStyle name="Normal 3 9 4" xfId="29775" xr:uid="{00000000-0005-0000-0000-00004F740000}"/>
    <cellStyle name="Normal 3 9_Enlaces" xfId="29776" xr:uid="{00000000-0005-0000-0000-000050740000}"/>
    <cellStyle name="Normal 3 90" xfId="29777" xr:uid="{00000000-0005-0000-0000-000051740000}"/>
    <cellStyle name="Normal 3 91" xfId="29778" xr:uid="{00000000-0005-0000-0000-000052740000}"/>
    <cellStyle name="Normal 3 92" xfId="29779" xr:uid="{00000000-0005-0000-0000-000053740000}"/>
    <cellStyle name="Normal 3 93" xfId="29780" xr:uid="{00000000-0005-0000-0000-000054740000}"/>
    <cellStyle name="Normal 3 94" xfId="29781" xr:uid="{00000000-0005-0000-0000-000055740000}"/>
    <cellStyle name="Normal 3 95" xfId="29782" xr:uid="{00000000-0005-0000-0000-000056740000}"/>
    <cellStyle name="Normal 3 96" xfId="29783" xr:uid="{00000000-0005-0000-0000-000057740000}"/>
    <cellStyle name="Normal 3 97" xfId="29784" xr:uid="{00000000-0005-0000-0000-000058740000}"/>
    <cellStyle name="Normal 3 98" xfId="29785" xr:uid="{00000000-0005-0000-0000-000059740000}"/>
    <cellStyle name="Normal 3 98 2" xfId="29786" xr:uid="{00000000-0005-0000-0000-00005A740000}"/>
    <cellStyle name="Normal 3 98 3" xfId="29787" xr:uid="{00000000-0005-0000-0000-00005B740000}"/>
    <cellStyle name="Normal 3 98 4" xfId="29788" xr:uid="{00000000-0005-0000-0000-00005C740000}"/>
    <cellStyle name="Normal 3 98 5" xfId="29789" xr:uid="{00000000-0005-0000-0000-00005D740000}"/>
    <cellStyle name="Normal 3 98 6" xfId="29790" xr:uid="{00000000-0005-0000-0000-00005E740000}"/>
    <cellStyle name="Normal 3 99" xfId="29791" xr:uid="{00000000-0005-0000-0000-00005F740000}"/>
    <cellStyle name="Normal 3 99 2" xfId="29792" xr:uid="{00000000-0005-0000-0000-000060740000}"/>
    <cellStyle name="Normal 3 99 3" xfId="29793" xr:uid="{00000000-0005-0000-0000-000061740000}"/>
    <cellStyle name="Normal 3 99 4" xfId="29794" xr:uid="{00000000-0005-0000-0000-000062740000}"/>
    <cellStyle name="Normal 3 99 5" xfId="29795" xr:uid="{00000000-0005-0000-0000-000063740000}"/>
    <cellStyle name="Normal 3 99 6" xfId="29796" xr:uid="{00000000-0005-0000-0000-000064740000}"/>
    <cellStyle name="Normal 3_Enlaces" xfId="29797" xr:uid="{00000000-0005-0000-0000-000065740000}"/>
    <cellStyle name="Normal 30" xfId="29798" xr:uid="{00000000-0005-0000-0000-000066740000}"/>
    <cellStyle name="Normal 30 10" xfId="29799" xr:uid="{00000000-0005-0000-0000-000067740000}"/>
    <cellStyle name="Normal 30 11" xfId="29800" xr:uid="{00000000-0005-0000-0000-000068740000}"/>
    <cellStyle name="Normal 30 12" xfId="29801" xr:uid="{00000000-0005-0000-0000-000069740000}"/>
    <cellStyle name="Normal 30 13" xfId="29802" xr:uid="{00000000-0005-0000-0000-00006A740000}"/>
    <cellStyle name="Normal 30 14" xfId="29803" xr:uid="{00000000-0005-0000-0000-00006B740000}"/>
    <cellStyle name="Normal 30 15" xfId="29804" xr:uid="{00000000-0005-0000-0000-00006C740000}"/>
    <cellStyle name="Normal 30 16" xfId="29805" xr:uid="{00000000-0005-0000-0000-00006D740000}"/>
    <cellStyle name="Normal 30 17" xfId="29806" xr:uid="{00000000-0005-0000-0000-00006E740000}"/>
    <cellStyle name="Normal 30 18" xfId="29807" xr:uid="{00000000-0005-0000-0000-00006F740000}"/>
    <cellStyle name="Normal 30 19" xfId="29808" xr:uid="{00000000-0005-0000-0000-000070740000}"/>
    <cellStyle name="Normal 30 2" xfId="29809" xr:uid="{00000000-0005-0000-0000-000071740000}"/>
    <cellStyle name="Normal 30 2 2" xfId="29810" xr:uid="{00000000-0005-0000-0000-000072740000}"/>
    <cellStyle name="Normal 30 2 3" xfId="29811" xr:uid="{00000000-0005-0000-0000-000073740000}"/>
    <cellStyle name="Normal 30 20" xfId="29812" xr:uid="{00000000-0005-0000-0000-000074740000}"/>
    <cellStyle name="Normal 30 21" xfId="29813" xr:uid="{00000000-0005-0000-0000-000075740000}"/>
    <cellStyle name="Normal 30 22" xfId="29814" xr:uid="{00000000-0005-0000-0000-000076740000}"/>
    <cellStyle name="Normal 30 23" xfId="29815" xr:uid="{00000000-0005-0000-0000-000077740000}"/>
    <cellStyle name="Normal 30 24" xfId="29816" xr:uid="{00000000-0005-0000-0000-000078740000}"/>
    <cellStyle name="Normal 30 25" xfId="29817" xr:uid="{00000000-0005-0000-0000-000079740000}"/>
    <cellStyle name="Normal 30 26" xfId="29818" xr:uid="{00000000-0005-0000-0000-00007A740000}"/>
    <cellStyle name="Normal 30 3" xfId="29819" xr:uid="{00000000-0005-0000-0000-00007B740000}"/>
    <cellStyle name="Normal 30 3 2" xfId="29820" xr:uid="{00000000-0005-0000-0000-00007C740000}"/>
    <cellStyle name="Normal 30 3 3" xfId="29821" xr:uid="{00000000-0005-0000-0000-00007D740000}"/>
    <cellStyle name="Normal 30 3 4" xfId="29822" xr:uid="{00000000-0005-0000-0000-00007E740000}"/>
    <cellStyle name="Normal 30 3 5" xfId="29823" xr:uid="{00000000-0005-0000-0000-00007F740000}"/>
    <cellStyle name="Normal 30 4" xfId="29824" xr:uid="{00000000-0005-0000-0000-000080740000}"/>
    <cellStyle name="Normal 30 5" xfId="29825" xr:uid="{00000000-0005-0000-0000-000081740000}"/>
    <cellStyle name="Normal 30 6" xfId="29826" xr:uid="{00000000-0005-0000-0000-000082740000}"/>
    <cellStyle name="Normal 30 7" xfId="29827" xr:uid="{00000000-0005-0000-0000-000083740000}"/>
    <cellStyle name="Normal 30 8" xfId="29828" xr:uid="{00000000-0005-0000-0000-000084740000}"/>
    <cellStyle name="Normal 30 9" xfId="29829" xr:uid="{00000000-0005-0000-0000-000085740000}"/>
    <cellStyle name="Normal 31" xfId="29830" xr:uid="{00000000-0005-0000-0000-000086740000}"/>
    <cellStyle name="Normal 31 10" xfId="29831" xr:uid="{00000000-0005-0000-0000-000087740000}"/>
    <cellStyle name="Normal 31 11" xfId="29832" xr:uid="{00000000-0005-0000-0000-000088740000}"/>
    <cellStyle name="Normal 31 12" xfId="29833" xr:uid="{00000000-0005-0000-0000-000089740000}"/>
    <cellStyle name="Normal 31 13" xfId="29834" xr:uid="{00000000-0005-0000-0000-00008A740000}"/>
    <cellStyle name="Normal 31 14" xfId="29835" xr:uid="{00000000-0005-0000-0000-00008B740000}"/>
    <cellStyle name="Normal 31 15" xfId="29836" xr:uid="{00000000-0005-0000-0000-00008C740000}"/>
    <cellStyle name="Normal 31 16" xfId="29837" xr:uid="{00000000-0005-0000-0000-00008D740000}"/>
    <cellStyle name="Normal 31 17" xfId="29838" xr:uid="{00000000-0005-0000-0000-00008E740000}"/>
    <cellStyle name="Normal 31 18" xfId="29839" xr:uid="{00000000-0005-0000-0000-00008F740000}"/>
    <cellStyle name="Normal 31 19" xfId="29840" xr:uid="{00000000-0005-0000-0000-000090740000}"/>
    <cellStyle name="Normal 31 2" xfId="29841" xr:uid="{00000000-0005-0000-0000-000091740000}"/>
    <cellStyle name="Normal 31 2 2" xfId="29842" xr:uid="{00000000-0005-0000-0000-000092740000}"/>
    <cellStyle name="Normal 31 2 3" xfId="29843" xr:uid="{00000000-0005-0000-0000-000093740000}"/>
    <cellStyle name="Normal 31 20" xfId="29844" xr:uid="{00000000-0005-0000-0000-000094740000}"/>
    <cellStyle name="Normal 31 21" xfId="29845" xr:uid="{00000000-0005-0000-0000-000095740000}"/>
    <cellStyle name="Normal 31 22" xfId="29846" xr:uid="{00000000-0005-0000-0000-000096740000}"/>
    <cellStyle name="Normal 31 23" xfId="29847" xr:uid="{00000000-0005-0000-0000-000097740000}"/>
    <cellStyle name="Normal 31 24" xfId="29848" xr:uid="{00000000-0005-0000-0000-000098740000}"/>
    <cellStyle name="Normal 31 25" xfId="29849" xr:uid="{00000000-0005-0000-0000-000099740000}"/>
    <cellStyle name="Normal 31 26" xfId="29850" xr:uid="{00000000-0005-0000-0000-00009A740000}"/>
    <cellStyle name="Normal 31 3" xfId="29851" xr:uid="{00000000-0005-0000-0000-00009B740000}"/>
    <cellStyle name="Normal 31 3 2" xfId="29852" xr:uid="{00000000-0005-0000-0000-00009C740000}"/>
    <cellStyle name="Normal 31 3 3" xfId="29853" xr:uid="{00000000-0005-0000-0000-00009D740000}"/>
    <cellStyle name="Normal 31 4" xfId="29854" xr:uid="{00000000-0005-0000-0000-00009E740000}"/>
    <cellStyle name="Normal 31 5" xfId="29855" xr:uid="{00000000-0005-0000-0000-00009F740000}"/>
    <cellStyle name="Normal 31 6" xfId="29856" xr:uid="{00000000-0005-0000-0000-0000A0740000}"/>
    <cellStyle name="Normal 31 7" xfId="29857" xr:uid="{00000000-0005-0000-0000-0000A1740000}"/>
    <cellStyle name="Normal 31 8" xfId="29858" xr:uid="{00000000-0005-0000-0000-0000A2740000}"/>
    <cellStyle name="Normal 31 9" xfId="29859" xr:uid="{00000000-0005-0000-0000-0000A3740000}"/>
    <cellStyle name="Normal 32" xfId="29860" xr:uid="{00000000-0005-0000-0000-0000A4740000}"/>
    <cellStyle name="Normal 32 2" xfId="29861" xr:uid="{00000000-0005-0000-0000-0000A5740000}"/>
    <cellStyle name="Normal 32 3" xfId="29862" xr:uid="{00000000-0005-0000-0000-0000A6740000}"/>
    <cellStyle name="Normal 32 4" xfId="29863" xr:uid="{00000000-0005-0000-0000-0000A7740000}"/>
    <cellStyle name="Normal 32 5" xfId="29864" xr:uid="{00000000-0005-0000-0000-0000A8740000}"/>
    <cellStyle name="Normal 33" xfId="29865" xr:uid="{00000000-0005-0000-0000-0000A9740000}"/>
    <cellStyle name="Normal 33 2" xfId="29866" xr:uid="{00000000-0005-0000-0000-0000AA740000}"/>
    <cellStyle name="Normal 33 3" xfId="29867" xr:uid="{00000000-0005-0000-0000-0000AB740000}"/>
    <cellStyle name="Normal 33 4" xfId="29868" xr:uid="{00000000-0005-0000-0000-0000AC740000}"/>
    <cellStyle name="Normal 33 5" xfId="29869" xr:uid="{00000000-0005-0000-0000-0000AD740000}"/>
    <cellStyle name="Normal 34" xfId="29870" xr:uid="{00000000-0005-0000-0000-0000AE740000}"/>
    <cellStyle name="Normal 34 10" xfId="29871" xr:uid="{00000000-0005-0000-0000-0000AF740000}"/>
    <cellStyle name="Normal 34 11" xfId="29872" xr:uid="{00000000-0005-0000-0000-0000B0740000}"/>
    <cellStyle name="Normal 34 12" xfId="29873" xr:uid="{00000000-0005-0000-0000-0000B1740000}"/>
    <cellStyle name="Normal 34 13" xfId="29874" xr:uid="{00000000-0005-0000-0000-0000B2740000}"/>
    <cellStyle name="Normal 34 14" xfId="29875" xr:uid="{00000000-0005-0000-0000-0000B3740000}"/>
    <cellStyle name="Normal 34 15" xfId="29876" xr:uid="{00000000-0005-0000-0000-0000B4740000}"/>
    <cellStyle name="Normal 34 16" xfId="29877" xr:uid="{00000000-0005-0000-0000-0000B5740000}"/>
    <cellStyle name="Normal 34 17" xfId="29878" xr:uid="{00000000-0005-0000-0000-0000B6740000}"/>
    <cellStyle name="Normal 34 18" xfId="29879" xr:uid="{00000000-0005-0000-0000-0000B7740000}"/>
    <cellStyle name="Normal 34 19" xfId="29880" xr:uid="{00000000-0005-0000-0000-0000B8740000}"/>
    <cellStyle name="Normal 34 2" xfId="29881" xr:uid="{00000000-0005-0000-0000-0000B9740000}"/>
    <cellStyle name="Normal 34 2 2" xfId="29882" xr:uid="{00000000-0005-0000-0000-0000BA740000}"/>
    <cellStyle name="Normal 34 2 3" xfId="29883" xr:uid="{00000000-0005-0000-0000-0000BB740000}"/>
    <cellStyle name="Normal 34 20" xfId="29884" xr:uid="{00000000-0005-0000-0000-0000BC740000}"/>
    <cellStyle name="Normal 34 21" xfId="29885" xr:uid="{00000000-0005-0000-0000-0000BD740000}"/>
    <cellStyle name="Normal 34 22" xfId="29886" xr:uid="{00000000-0005-0000-0000-0000BE740000}"/>
    <cellStyle name="Normal 34 23" xfId="29887" xr:uid="{00000000-0005-0000-0000-0000BF740000}"/>
    <cellStyle name="Normal 34 24" xfId="29888" xr:uid="{00000000-0005-0000-0000-0000C0740000}"/>
    <cellStyle name="Normal 34 25" xfId="29889" xr:uid="{00000000-0005-0000-0000-0000C1740000}"/>
    <cellStyle name="Normal 34 26" xfId="29890" xr:uid="{00000000-0005-0000-0000-0000C2740000}"/>
    <cellStyle name="Normal 34 3" xfId="29891" xr:uid="{00000000-0005-0000-0000-0000C3740000}"/>
    <cellStyle name="Normal 34 3 2" xfId="29892" xr:uid="{00000000-0005-0000-0000-0000C4740000}"/>
    <cellStyle name="Normal 34 3 3" xfId="29893" xr:uid="{00000000-0005-0000-0000-0000C5740000}"/>
    <cellStyle name="Normal 34 3 4" xfId="29894" xr:uid="{00000000-0005-0000-0000-0000C6740000}"/>
    <cellStyle name="Normal 34 3 5" xfId="29895" xr:uid="{00000000-0005-0000-0000-0000C7740000}"/>
    <cellStyle name="Normal 34 4" xfId="29896" xr:uid="{00000000-0005-0000-0000-0000C8740000}"/>
    <cellStyle name="Normal 34 5" xfId="29897" xr:uid="{00000000-0005-0000-0000-0000C9740000}"/>
    <cellStyle name="Normal 34 6" xfId="29898" xr:uid="{00000000-0005-0000-0000-0000CA740000}"/>
    <cellStyle name="Normal 34 7" xfId="29899" xr:uid="{00000000-0005-0000-0000-0000CB740000}"/>
    <cellStyle name="Normal 34 8" xfId="29900" xr:uid="{00000000-0005-0000-0000-0000CC740000}"/>
    <cellStyle name="Normal 34 9" xfId="29901" xr:uid="{00000000-0005-0000-0000-0000CD740000}"/>
    <cellStyle name="Normal 35" xfId="29902" xr:uid="{00000000-0005-0000-0000-0000CE740000}"/>
    <cellStyle name="Normal 35 10" xfId="29903" xr:uid="{00000000-0005-0000-0000-0000CF740000}"/>
    <cellStyle name="Normal 35 11" xfId="29904" xr:uid="{00000000-0005-0000-0000-0000D0740000}"/>
    <cellStyle name="Normal 35 12" xfId="29905" xr:uid="{00000000-0005-0000-0000-0000D1740000}"/>
    <cellStyle name="Normal 35 13" xfId="29906" xr:uid="{00000000-0005-0000-0000-0000D2740000}"/>
    <cellStyle name="Normal 35 14" xfId="29907" xr:uid="{00000000-0005-0000-0000-0000D3740000}"/>
    <cellStyle name="Normal 35 15" xfId="29908" xr:uid="{00000000-0005-0000-0000-0000D4740000}"/>
    <cellStyle name="Normal 35 16" xfId="29909" xr:uid="{00000000-0005-0000-0000-0000D5740000}"/>
    <cellStyle name="Normal 35 17" xfId="29910" xr:uid="{00000000-0005-0000-0000-0000D6740000}"/>
    <cellStyle name="Normal 35 18" xfId="29911" xr:uid="{00000000-0005-0000-0000-0000D7740000}"/>
    <cellStyle name="Normal 35 19" xfId="29912" xr:uid="{00000000-0005-0000-0000-0000D8740000}"/>
    <cellStyle name="Normal 35 2" xfId="29913" xr:uid="{00000000-0005-0000-0000-0000D9740000}"/>
    <cellStyle name="Normal 35 2 2" xfId="29914" xr:uid="{00000000-0005-0000-0000-0000DA740000}"/>
    <cellStyle name="Normal 35 2 3" xfId="29915" xr:uid="{00000000-0005-0000-0000-0000DB740000}"/>
    <cellStyle name="Normal 35 20" xfId="29916" xr:uid="{00000000-0005-0000-0000-0000DC740000}"/>
    <cellStyle name="Normal 35 21" xfId="29917" xr:uid="{00000000-0005-0000-0000-0000DD740000}"/>
    <cellStyle name="Normal 35 22" xfId="29918" xr:uid="{00000000-0005-0000-0000-0000DE740000}"/>
    <cellStyle name="Normal 35 23" xfId="29919" xr:uid="{00000000-0005-0000-0000-0000DF740000}"/>
    <cellStyle name="Normal 35 24" xfId="29920" xr:uid="{00000000-0005-0000-0000-0000E0740000}"/>
    <cellStyle name="Normal 35 25" xfId="29921" xr:uid="{00000000-0005-0000-0000-0000E1740000}"/>
    <cellStyle name="Normal 35 3" xfId="29922" xr:uid="{00000000-0005-0000-0000-0000E2740000}"/>
    <cellStyle name="Normal 35 3 2" xfId="29923" xr:uid="{00000000-0005-0000-0000-0000E3740000}"/>
    <cellStyle name="Normal 35 3 3" xfId="29924" xr:uid="{00000000-0005-0000-0000-0000E4740000}"/>
    <cellStyle name="Normal 35 3 4" xfId="29925" xr:uid="{00000000-0005-0000-0000-0000E5740000}"/>
    <cellStyle name="Normal 35 3 5" xfId="29926" xr:uid="{00000000-0005-0000-0000-0000E6740000}"/>
    <cellStyle name="Normal 35 4" xfId="29927" xr:uid="{00000000-0005-0000-0000-0000E7740000}"/>
    <cellStyle name="Normal 35 5" xfId="29928" xr:uid="{00000000-0005-0000-0000-0000E8740000}"/>
    <cellStyle name="Normal 35 6" xfId="29929" xr:uid="{00000000-0005-0000-0000-0000E9740000}"/>
    <cellStyle name="Normal 35 7" xfId="29930" xr:uid="{00000000-0005-0000-0000-0000EA740000}"/>
    <cellStyle name="Normal 35 8" xfId="29931" xr:uid="{00000000-0005-0000-0000-0000EB740000}"/>
    <cellStyle name="Normal 35 9" xfId="29932" xr:uid="{00000000-0005-0000-0000-0000EC740000}"/>
    <cellStyle name="Normal 36" xfId="29933" xr:uid="{00000000-0005-0000-0000-0000ED740000}"/>
    <cellStyle name="Normal 36 2" xfId="29934" xr:uid="{00000000-0005-0000-0000-0000EE740000}"/>
    <cellStyle name="Normal 36 3" xfId="29935" xr:uid="{00000000-0005-0000-0000-0000EF740000}"/>
    <cellStyle name="Normal 36 4" xfId="29936" xr:uid="{00000000-0005-0000-0000-0000F0740000}"/>
    <cellStyle name="Normal 37" xfId="29937" xr:uid="{00000000-0005-0000-0000-0000F1740000}"/>
    <cellStyle name="Normal 37 10" xfId="29938" xr:uid="{00000000-0005-0000-0000-0000F2740000}"/>
    <cellStyle name="Normal 37 11" xfId="29939" xr:uid="{00000000-0005-0000-0000-0000F3740000}"/>
    <cellStyle name="Normal 37 12" xfId="29940" xr:uid="{00000000-0005-0000-0000-0000F4740000}"/>
    <cellStyle name="Normal 37 13" xfId="29941" xr:uid="{00000000-0005-0000-0000-0000F5740000}"/>
    <cellStyle name="Normal 37 14" xfId="29942" xr:uid="{00000000-0005-0000-0000-0000F6740000}"/>
    <cellStyle name="Normal 37 15" xfId="29943" xr:uid="{00000000-0005-0000-0000-0000F7740000}"/>
    <cellStyle name="Normal 37 16" xfId="29944" xr:uid="{00000000-0005-0000-0000-0000F8740000}"/>
    <cellStyle name="Normal 37 17" xfId="29945" xr:uid="{00000000-0005-0000-0000-0000F9740000}"/>
    <cellStyle name="Normal 37 18" xfId="29946" xr:uid="{00000000-0005-0000-0000-0000FA740000}"/>
    <cellStyle name="Normal 37 19" xfId="29947" xr:uid="{00000000-0005-0000-0000-0000FB740000}"/>
    <cellStyle name="Normal 37 2" xfId="29948" xr:uid="{00000000-0005-0000-0000-0000FC740000}"/>
    <cellStyle name="Normal 37 2 2" xfId="29949" xr:uid="{00000000-0005-0000-0000-0000FD740000}"/>
    <cellStyle name="Normal 37 20" xfId="29950" xr:uid="{00000000-0005-0000-0000-0000FE740000}"/>
    <cellStyle name="Normal 37 21" xfId="29951" xr:uid="{00000000-0005-0000-0000-0000FF740000}"/>
    <cellStyle name="Normal 37 22" xfId="29952" xr:uid="{00000000-0005-0000-0000-000000750000}"/>
    <cellStyle name="Normal 37 23" xfId="29953" xr:uid="{00000000-0005-0000-0000-000001750000}"/>
    <cellStyle name="Normal 37 24" xfId="29954" xr:uid="{00000000-0005-0000-0000-000002750000}"/>
    <cellStyle name="Normal 37 25" xfId="29955" xr:uid="{00000000-0005-0000-0000-000003750000}"/>
    <cellStyle name="Normal 37 26" xfId="29956" xr:uid="{00000000-0005-0000-0000-000004750000}"/>
    <cellStyle name="Normal 37 3" xfId="29957" xr:uid="{00000000-0005-0000-0000-000005750000}"/>
    <cellStyle name="Normal 37 3 2" xfId="29958" xr:uid="{00000000-0005-0000-0000-000006750000}"/>
    <cellStyle name="Normal 37 4" xfId="29959" xr:uid="{00000000-0005-0000-0000-000007750000}"/>
    <cellStyle name="Normal 37 4 2" xfId="29960" xr:uid="{00000000-0005-0000-0000-000008750000}"/>
    <cellStyle name="Normal 37 5" xfId="29961" xr:uid="{00000000-0005-0000-0000-000009750000}"/>
    <cellStyle name="Normal 37 5 2" xfId="29962" xr:uid="{00000000-0005-0000-0000-00000A750000}"/>
    <cellStyle name="Normal 37 6" xfId="29963" xr:uid="{00000000-0005-0000-0000-00000B750000}"/>
    <cellStyle name="Normal 37 7" xfId="29964" xr:uid="{00000000-0005-0000-0000-00000C750000}"/>
    <cellStyle name="Normal 37 8" xfId="29965" xr:uid="{00000000-0005-0000-0000-00000D750000}"/>
    <cellStyle name="Normal 37 9" xfId="29966" xr:uid="{00000000-0005-0000-0000-00000E750000}"/>
    <cellStyle name="Normal 38" xfId="29967" xr:uid="{00000000-0005-0000-0000-00000F750000}"/>
    <cellStyle name="Normal 38 10" xfId="29968" xr:uid="{00000000-0005-0000-0000-000010750000}"/>
    <cellStyle name="Normal 38 11" xfId="29969" xr:uid="{00000000-0005-0000-0000-000011750000}"/>
    <cellStyle name="Normal 38 12" xfId="29970" xr:uid="{00000000-0005-0000-0000-000012750000}"/>
    <cellStyle name="Normal 38 13" xfId="29971" xr:uid="{00000000-0005-0000-0000-000013750000}"/>
    <cellStyle name="Normal 38 14" xfId="29972" xr:uid="{00000000-0005-0000-0000-000014750000}"/>
    <cellStyle name="Normal 38 15" xfId="29973" xr:uid="{00000000-0005-0000-0000-000015750000}"/>
    <cellStyle name="Normal 38 16" xfId="29974" xr:uid="{00000000-0005-0000-0000-000016750000}"/>
    <cellStyle name="Normal 38 17" xfId="29975" xr:uid="{00000000-0005-0000-0000-000017750000}"/>
    <cellStyle name="Normal 38 18" xfId="29976" xr:uid="{00000000-0005-0000-0000-000018750000}"/>
    <cellStyle name="Normal 38 19" xfId="29977" xr:uid="{00000000-0005-0000-0000-000019750000}"/>
    <cellStyle name="Normal 38 2" xfId="29978" xr:uid="{00000000-0005-0000-0000-00001A750000}"/>
    <cellStyle name="Normal 38 2 2" xfId="29979" xr:uid="{00000000-0005-0000-0000-00001B750000}"/>
    <cellStyle name="Normal 38 20" xfId="29980" xr:uid="{00000000-0005-0000-0000-00001C750000}"/>
    <cellStyle name="Normal 38 21" xfId="29981" xr:uid="{00000000-0005-0000-0000-00001D750000}"/>
    <cellStyle name="Normal 38 22" xfId="29982" xr:uid="{00000000-0005-0000-0000-00001E750000}"/>
    <cellStyle name="Normal 38 23" xfId="29983" xr:uid="{00000000-0005-0000-0000-00001F750000}"/>
    <cellStyle name="Normal 38 24" xfId="29984" xr:uid="{00000000-0005-0000-0000-000020750000}"/>
    <cellStyle name="Normal 38 25" xfId="29985" xr:uid="{00000000-0005-0000-0000-000021750000}"/>
    <cellStyle name="Normal 38 26" xfId="29986" xr:uid="{00000000-0005-0000-0000-000022750000}"/>
    <cellStyle name="Normal 38 3" xfId="29987" xr:uid="{00000000-0005-0000-0000-000023750000}"/>
    <cellStyle name="Normal 38 3 2" xfId="29988" xr:uid="{00000000-0005-0000-0000-000024750000}"/>
    <cellStyle name="Normal 38 4" xfId="29989" xr:uid="{00000000-0005-0000-0000-000025750000}"/>
    <cellStyle name="Normal 38 4 2" xfId="29990" xr:uid="{00000000-0005-0000-0000-000026750000}"/>
    <cellStyle name="Normal 38 5" xfId="29991" xr:uid="{00000000-0005-0000-0000-000027750000}"/>
    <cellStyle name="Normal 38 5 2" xfId="29992" xr:uid="{00000000-0005-0000-0000-000028750000}"/>
    <cellStyle name="Normal 38 6" xfId="29993" xr:uid="{00000000-0005-0000-0000-000029750000}"/>
    <cellStyle name="Normal 38 7" xfId="29994" xr:uid="{00000000-0005-0000-0000-00002A750000}"/>
    <cellStyle name="Normal 38 8" xfId="29995" xr:uid="{00000000-0005-0000-0000-00002B750000}"/>
    <cellStyle name="Normal 38 9" xfId="29996" xr:uid="{00000000-0005-0000-0000-00002C750000}"/>
    <cellStyle name="Normal 39" xfId="29997" xr:uid="{00000000-0005-0000-0000-00002D750000}"/>
    <cellStyle name="Normal 39 10" xfId="29998" xr:uid="{00000000-0005-0000-0000-00002E750000}"/>
    <cellStyle name="Normal 39 11" xfId="29999" xr:uid="{00000000-0005-0000-0000-00002F750000}"/>
    <cellStyle name="Normal 39 12" xfId="30000" xr:uid="{00000000-0005-0000-0000-000030750000}"/>
    <cellStyle name="Normal 39 13" xfId="30001" xr:uid="{00000000-0005-0000-0000-000031750000}"/>
    <cellStyle name="Normal 39 14" xfId="30002" xr:uid="{00000000-0005-0000-0000-000032750000}"/>
    <cellStyle name="Normal 39 15" xfId="30003" xr:uid="{00000000-0005-0000-0000-000033750000}"/>
    <cellStyle name="Normal 39 16" xfId="30004" xr:uid="{00000000-0005-0000-0000-000034750000}"/>
    <cellStyle name="Normal 39 17" xfId="30005" xr:uid="{00000000-0005-0000-0000-000035750000}"/>
    <cellStyle name="Normal 39 18" xfId="30006" xr:uid="{00000000-0005-0000-0000-000036750000}"/>
    <cellStyle name="Normal 39 19" xfId="30007" xr:uid="{00000000-0005-0000-0000-000037750000}"/>
    <cellStyle name="Normal 39 2" xfId="30008" xr:uid="{00000000-0005-0000-0000-000038750000}"/>
    <cellStyle name="Normal 39 2 2" xfId="30009" xr:uid="{00000000-0005-0000-0000-000039750000}"/>
    <cellStyle name="Normal 39 20" xfId="30010" xr:uid="{00000000-0005-0000-0000-00003A750000}"/>
    <cellStyle name="Normal 39 21" xfId="30011" xr:uid="{00000000-0005-0000-0000-00003B750000}"/>
    <cellStyle name="Normal 39 22" xfId="30012" xr:uid="{00000000-0005-0000-0000-00003C750000}"/>
    <cellStyle name="Normal 39 23" xfId="30013" xr:uid="{00000000-0005-0000-0000-00003D750000}"/>
    <cellStyle name="Normal 39 24" xfId="30014" xr:uid="{00000000-0005-0000-0000-00003E750000}"/>
    <cellStyle name="Normal 39 25" xfId="30015" xr:uid="{00000000-0005-0000-0000-00003F750000}"/>
    <cellStyle name="Normal 39 26" xfId="30016" xr:uid="{00000000-0005-0000-0000-000040750000}"/>
    <cellStyle name="Normal 39 3" xfId="30017" xr:uid="{00000000-0005-0000-0000-000041750000}"/>
    <cellStyle name="Normal 39 3 2" xfId="30018" xr:uid="{00000000-0005-0000-0000-000042750000}"/>
    <cellStyle name="Normal 39 4" xfId="30019" xr:uid="{00000000-0005-0000-0000-000043750000}"/>
    <cellStyle name="Normal 39 4 2" xfId="30020" xr:uid="{00000000-0005-0000-0000-000044750000}"/>
    <cellStyle name="Normal 39 5" xfId="30021" xr:uid="{00000000-0005-0000-0000-000045750000}"/>
    <cellStyle name="Normal 39 5 2" xfId="30022" xr:uid="{00000000-0005-0000-0000-000046750000}"/>
    <cellStyle name="Normal 39 6" xfId="30023" xr:uid="{00000000-0005-0000-0000-000047750000}"/>
    <cellStyle name="Normal 39 7" xfId="30024" xr:uid="{00000000-0005-0000-0000-000048750000}"/>
    <cellStyle name="Normal 39 8" xfId="30025" xr:uid="{00000000-0005-0000-0000-000049750000}"/>
    <cellStyle name="Normal 39 9" xfId="30026" xr:uid="{00000000-0005-0000-0000-00004A750000}"/>
    <cellStyle name="Normal 4" xfId="21" xr:uid="{00000000-0005-0000-0000-000015000000}"/>
    <cellStyle name="Normal 4 10" xfId="30027" xr:uid="{00000000-0005-0000-0000-00004B750000}"/>
    <cellStyle name="Normal 4 10 2" xfId="30028" xr:uid="{00000000-0005-0000-0000-00004C750000}"/>
    <cellStyle name="Normal 4 10 3" xfId="30029" xr:uid="{00000000-0005-0000-0000-00004D750000}"/>
    <cellStyle name="Normal 4 10 4" xfId="30030" xr:uid="{00000000-0005-0000-0000-00004E750000}"/>
    <cellStyle name="Normal 4 10 5" xfId="30031" xr:uid="{00000000-0005-0000-0000-00004F750000}"/>
    <cellStyle name="Normal 4 10_Enlaces" xfId="30032" xr:uid="{00000000-0005-0000-0000-000050750000}"/>
    <cellStyle name="Normal 4 100" xfId="30033" xr:uid="{00000000-0005-0000-0000-000051750000}"/>
    <cellStyle name="Normal 4 100 2" xfId="30034" xr:uid="{00000000-0005-0000-0000-000052750000}"/>
    <cellStyle name="Normal 4 100 3" xfId="30035" xr:uid="{00000000-0005-0000-0000-000053750000}"/>
    <cellStyle name="Normal 4 101" xfId="30036" xr:uid="{00000000-0005-0000-0000-000054750000}"/>
    <cellStyle name="Normal 4 101 2" xfId="30037" xr:uid="{00000000-0005-0000-0000-000055750000}"/>
    <cellStyle name="Normal 4 101 3" xfId="30038" xr:uid="{00000000-0005-0000-0000-000056750000}"/>
    <cellStyle name="Normal 4 102" xfId="30039" xr:uid="{00000000-0005-0000-0000-000057750000}"/>
    <cellStyle name="Normal 4 102 2" xfId="30040" xr:uid="{00000000-0005-0000-0000-000058750000}"/>
    <cellStyle name="Normal 4 102 3" xfId="30041" xr:uid="{00000000-0005-0000-0000-000059750000}"/>
    <cellStyle name="Normal 4 103" xfId="30042" xr:uid="{00000000-0005-0000-0000-00005A750000}"/>
    <cellStyle name="Normal 4 103 2" xfId="30043" xr:uid="{00000000-0005-0000-0000-00005B750000}"/>
    <cellStyle name="Normal 4 103 3" xfId="30044" xr:uid="{00000000-0005-0000-0000-00005C750000}"/>
    <cellStyle name="Normal 4 104" xfId="30045" xr:uid="{00000000-0005-0000-0000-00005D750000}"/>
    <cellStyle name="Normal 4 104 2" xfId="30046" xr:uid="{00000000-0005-0000-0000-00005E750000}"/>
    <cellStyle name="Normal 4 104 3" xfId="30047" xr:uid="{00000000-0005-0000-0000-00005F750000}"/>
    <cellStyle name="Normal 4 105" xfId="30048" xr:uid="{00000000-0005-0000-0000-000060750000}"/>
    <cellStyle name="Normal 4 105 2" xfId="30049" xr:uid="{00000000-0005-0000-0000-000061750000}"/>
    <cellStyle name="Normal 4 105 3" xfId="30050" xr:uid="{00000000-0005-0000-0000-000062750000}"/>
    <cellStyle name="Normal 4 106" xfId="30051" xr:uid="{00000000-0005-0000-0000-000063750000}"/>
    <cellStyle name="Normal 4 106 2" xfId="30052" xr:uid="{00000000-0005-0000-0000-000064750000}"/>
    <cellStyle name="Normal 4 106 3" xfId="30053" xr:uid="{00000000-0005-0000-0000-000065750000}"/>
    <cellStyle name="Normal 4 107" xfId="30054" xr:uid="{00000000-0005-0000-0000-000066750000}"/>
    <cellStyle name="Normal 4 107 2" xfId="30055" xr:uid="{00000000-0005-0000-0000-000067750000}"/>
    <cellStyle name="Normal 4 107 3" xfId="30056" xr:uid="{00000000-0005-0000-0000-000068750000}"/>
    <cellStyle name="Normal 4 108" xfId="30057" xr:uid="{00000000-0005-0000-0000-000069750000}"/>
    <cellStyle name="Normal 4 108 2" xfId="30058" xr:uid="{00000000-0005-0000-0000-00006A750000}"/>
    <cellStyle name="Normal 4 108 3" xfId="30059" xr:uid="{00000000-0005-0000-0000-00006B750000}"/>
    <cellStyle name="Normal 4 109" xfId="30060" xr:uid="{00000000-0005-0000-0000-00006C750000}"/>
    <cellStyle name="Normal 4 109 2" xfId="30061" xr:uid="{00000000-0005-0000-0000-00006D750000}"/>
    <cellStyle name="Normal 4 109 3" xfId="30062" xr:uid="{00000000-0005-0000-0000-00006E750000}"/>
    <cellStyle name="Normal 4 11" xfId="30063" xr:uid="{00000000-0005-0000-0000-00006F750000}"/>
    <cellStyle name="Normal 4 11 2" xfId="30064" xr:uid="{00000000-0005-0000-0000-000070750000}"/>
    <cellStyle name="Normal 4 11 3" xfId="30065" xr:uid="{00000000-0005-0000-0000-000071750000}"/>
    <cellStyle name="Normal 4 11 4" xfId="30066" xr:uid="{00000000-0005-0000-0000-000072750000}"/>
    <cellStyle name="Normal 4 11 5" xfId="30067" xr:uid="{00000000-0005-0000-0000-000073750000}"/>
    <cellStyle name="Normal 4 11_Enlaces" xfId="30068" xr:uid="{00000000-0005-0000-0000-000074750000}"/>
    <cellStyle name="Normal 4 110" xfId="30069" xr:uid="{00000000-0005-0000-0000-000075750000}"/>
    <cellStyle name="Normal 4 110 2" xfId="30070" xr:uid="{00000000-0005-0000-0000-000076750000}"/>
    <cellStyle name="Normal 4 110 3" xfId="30071" xr:uid="{00000000-0005-0000-0000-000077750000}"/>
    <cellStyle name="Normal 4 111" xfId="30072" xr:uid="{00000000-0005-0000-0000-000078750000}"/>
    <cellStyle name="Normal 4 111 2" xfId="30073" xr:uid="{00000000-0005-0000-0000-000079750000}"/>
    <cellStyle name="Normal 4 111 3" xfId="30074" xr:uid="{00000000-0005-0000-0000-00007A750000}"/>
    <cellStyle name="Normal 4 112" xfId="30075" xr:uid="{00000000-0005-0000-0000-00007B750000}"/>
    <cellStyle name="Normal 4 112 2" xfId="30076" xr:uid="{00000000-0005-0000-0000-00007C750000}"/>
    <cellStyle name="Normal 4 112 3" xfId="30077" xr:uid="{00000000-0005-0000-0000-00007D750000}"/>
    <cellStyle name="Normal 4 113" xfId="30078" xr:uid="{00000000-0005-0000-0000-00007E750000}"/>
    <cellStyle name="Normal 4 113 2" xfId="30079" xr:uid="{00000000-0005-0000-0000-00007F750000}"/>
    <cellStyle name="Normal 4 113 3" xfId="30080" xr:uid="{00000000-0005-0000-0000-000080750000}"/>
    <cellStyle name="Normal 4 114" xfId="30081" xr:uid="{00000000-0005-0000-0000-000081750000}"/>
    <cellStyle name="Normal 4 114 2" xfId="30082" xr:uid="{00000000-0005-0000-0000-000082750000}"/>
    <cellStyle name="Normal 4 114 3" xfId="30083" xr:uid="{00000000-0005-0000-0000-000083750000}"/>
    <cellStyle name="Normal 4 115" xfId="30084" xr:uid="{00000000-0005-0000-0000-000084750000}"/>
    <cellStyle name="Normal 4 115 2" xfId="30085" xr:uid="{00000000-0005-0000-0000-000085750000}"/>
    <cellStyle name="Normal 4 115 3" xfId="30086" xr:uid="{00000000-0005-0000-0000-000086750000}"/>
    <cellStyle name="Normal 4 116" xfId="30087" xr:uid="{00000000-0005-0000-0000-000087750000}"/>
    <cellStyle name="Normal 4 116 2" xfId="30088" xr:uid="{00000000-0005-0000-0000-000088750000}"/>
    <cellStyle name="Normal 4 116 3" xfId="30089" xr:uid="{00000000-0005-0000-0000-000089750000}"/>
    <cellStyle name="Normal 4 117" xfId="30090" xr:uid="{00000000-0005-0000-0000-00008A750000}"/>
    <cellStyle name="Normal 4 117 2" xfId="30091" xr:uid="{00000000-0005-0000-0000-00008B750000}"/>
    <cellStyle name="Normal 4 117 3" xfId="30092" xr:uid="{00000000-0005-0000-0000-00008C750000}"/>
    <cellStyle name="Normal 4 118" xfId="30093" xr:uid="{00000000-0005-0000-0000-00008D750000}"/>
    <cellStyle name="Normal 4 118 2" xfId="30094" xr:uid="{00000000-0005-0000-0000-00008E750000}"/>
    <cellStyle name="Normal 4 118 3" xfId="30095" xr:uid="{00000000-0005-0000-0000-00008F750000}"/>
    <cellStyle name="Normal 4 119" xfId="30096" xr:uid="{00000000-0005-0000-0000-000090750000}"/>
    <cellStyle name="Normal 4 119 2" xfId="30097" xr:uid="{00000000-0005-0000-0000-000091750000}"/>
    <cellStyle name="Normal 4 119 3" xfId="30098" xr:uid="{00000000-0005-0000-0000-000092750000}"/>
    <cellStyle name="Normal 4 12" xfId="30099" xr:uid="{00000000-0005-0000-0000-000093750000}"/>
    <cellStyle name="Normal 4 12 2" xfId="30100" xr:uid="{00000000-0005-0000-0000-000094750000}"/>
    <cellStyle name="Normal 4 12 3" xfId="30101" xr:uid="{00000000-0005-0000-0000-000095750000}"/>
    <cellStyle name="Normal 4 12 4" xfId="30102" xr:uid="{00000000-0005-0000-0000-000096750000}"/>
    <cellStyle name="Normal 4 12 5" xfId="30103" xr:uid="{00000000-0005-0000-0000-000097750000}"/>
    <cellStyle name="Normal 4 12_Enlaces" xfId="30104" xr:uid="{00000000-0005-0000-0000-000098750000}"/>
    <cellStyle name="Normal 4 120" xfId="30105" xr:uid="{00000000-0005-0000-0000-000099750000}"/>
    <cellStyle name="Normal 4 120 2" xfId="30106" xr:uid="{00000000-0005-0000-0000-00009A750000}"/>
    <cellStyle name="Normal 4 120 3" xfId="30107" xr:uid="{00000000-0005-0000-0000-00009B750000}"/>
    <cellStyle name="Normal 4 121" xfId="30108" xr:uid="{00000000-0005-0000-0000-00009C750000}"/>
    <cellStyle name="Normal 4 121 2" xfId="30109" xr:uid="{00000000-0005-0000-0000-00009D750000}"/>
    <cellStyle name="Normal 4 121 3" xfId="30110" xr:uid="{00000000-0005-0000-0000-00009E750000}"/>
    <cellStyle name="Normal 4 122" xfId="30111" xr:uid="{00000000-0005-0000-0000-00009F750000}"/>
    <cellStyle name="Normal 4 122 2" xfId="30112" xr:uid="{00000000-0005-0000-0000-0000A0750000}"/>
    <cellStyle name="Normal 4 122 3" xfId="30113" xr:uid="{00000000-0005-0000-0000-0000A1750000}"/>
    <cellStyle name="Normal 4 123" xfId="30114" xr:uid="{00000000-0005-0000-0000-0000A2750000}"/>
    <cellStyle name="Normal 4 123 2" xfId="30115" xr:uid="{00000000-0005-0000-0000-0000A3750000}"/>
    <cellStyle name="Normal 4 123 3" xfId="30116" xr:uid="{00000000-0005-0000-0000-0000A4750000}"/>
    <cellStyle name="Normal 4 124" xfId="30117" xr:uid="{00000000-0005-0000-0000-0000A5750000}"/>
    <cellStyle name="Normal 4 125" xfId="30118" xr:uid="{00000000-0005-0000-0000-0000A6750000}"/>
    <cellStyle name="Normal 4 126" xfId="30119" xr:uid="{00000000-0005-0000-0000-0000A7750000}"/>
    <cellStyle name="Normal 4 127" xfId="30120" xr:uid="{00000000-0005-0000-0000-0000A8750000}"/>
    <cellStyle name="Normal 4 128" xfId="30121" xr:uid="{00000000-0005-0000-0000-0000A9750000}"/>
    <cellStyle name="Normal 4 129" xfId="30122" xr:uid="{00000000-0005-0000-0000-0000AA750000}"/>
    <cellStyle name="Normal 4 13" xfId="30123" xr:uid="{00000000-0005-0000-0000-0000AB750000}"/>
    <cellStyle name="Normal 4 13 2" xfId="30124" xr:uid="{00000000-0005-0000-0000-0000AC750000}"/>
    <cellStyle name="Normal 4 13 3" xfId="30125" xr:uid="{00000000-0005-0000-0000-0000AD750000}"/>
    <cellStyle name="Normal 4 13 4" xfId="30126" xr:uid="{00000000-0005-0000-0000-0000AE750000}"/>
    <cellStyle name="Normal 4 13 5" xfId="30127" xr:uid="{00000000-0005-0000-0000-0000AF750000}"/>
    <cellStyle name="Normal 4 13_Enlaces" xfId="30128" xr:uid="{00000000-0005-0000-0000-0000B0750000}"/>
    <cellStyle name="Normal 4 130" xfId="30129" xr:uid="{00000000-0005-0000-0000-0000B1750000}"/>
    <cellStyle name="Normal 4 131" xfId="30130" xr:uid="{00000000-0005-0000-0000-0000B2750000}"/>
    <cellStyle name="Normal 4 131 2" xfId="30131" xr:uid="{00000000-0005-0000-0000-0000B3750000}"/>
    <cellStyle name="Normal 4 132" xfId="30132" xr:uid="{00000000-0005-0000-0000-0000B4750000}"/>
    <cellStyle name="Normal 4 132 2" xfId="30133" xr:uid="{00000000-0005-0000-0000-0000B5750000}"/>
    <cellStyle name="Normal 4 133" xfId="30134" xr:uid="{00000000-0005-0000-0000-0000B6750000}"/>
    <cellStyle name="Normal 4 133 2" xfId="30135" xr:uid="{00000000-0005-0000-0000-0000B7750000}"/>
    <cellStyle name="Normal 4 134" xfId="30136" xr:uid="{00000000-0005-0000-0000-0000B8750000}"/>
    <cellStyle name="Normal 4 134 2" xfId="30137" xr:uid="{00000000-0005-0000-0000-0000B9750000}"/>
    <cellStyle name="Normal 4 135" xfId="30138" xr:uid="{00000000-0005-0000-0000-0000BA750000}"/>
    <cellStyle name="Normal 4 135 2" xfId="30139" xr:uid="{00000000-0005-0000-0000-0000BB750000}"/>
    <cellStyle name="Normal 4 136" xfId="30140" xr:uid="{00000000-0005-0000-0000-0000BC750000}"/>
    <cellStyle name="Normal 4 136 2" xfId="30141" xr:uid="{00000000-0005-0000-0000-0000BD750000}"/>
    <cellStyle name="Normal 4 137" xfId="30142" xr:uid="{00000000-0005-0000-0000-0000BE750000}"/>
    <cellStyle name="Normal 4 137 2" xfId="30143" xr:uid="{00000000-0005-0000-0000-0000BF750000}"/>
    <cellStyle name="Normal 4 138" xfId="30144" xr:uid="{00000000-0005-0000-0000-0000C0750000}"/>
    <cellStyle name="Normal 4 138 2" xfId="30145" xr:uid="{00000000-0005-0000-0000-0000C1750000}"/>
    <cellStyle name="Normal 4 139" xfId="30146" xr:uid="{00000000-0005-0000-0000-0000C2750000}"/>
    <cellStyle name="Normal 4 139 2" xfId="30147" xr:uid="{00000000-0005-0000-0000-0000C3750000}"/>
    <cellStyle name="Normal 4 14" xfId="30148" xr:uid="{00000000-0005-0000-0000-0000C4750000}"/>
    <cellStyle name="Normal 4 14 2" xfId="30149" xr:uid="{00000000-0005-0000-0000-0000C5750000}"/>
    <cellStyle name="Normal 4 14 3" xfId="30150" xr:uid="{00000000-0005-0000-0000-0000C6750000}"/>
    <cellStyle name="Normal 4 14 4" xfId="30151" xr:uid="{00000000-0005-0000-0000-0000C7750000}"/>
    <cellStyle name="Normal 4 14 5" xfId="30152" xr:uid="{00000000-0005-0000-0000-0000C8750000}"/>
    <cellStyle name="Normal 4 14_Enlaces" xfId="30153" xr:uid="{00000000-0005-0000-0000-0000C9750000}"/>
    <cellStyle name="Normal 4 140" xfId="30154" xr:uid="{00000000-0005-0000-0000-0000CA750000}"/>
    <cellStyle name="Normal 4 140 2" xfId="30155" xr:uid="{00000000-0005-0000-0000-0000CB750000}"/>
    <cellStyle name="Normal 4 141" xfId="30156" xr:uid="{00000000-0005-0000-0000-0000CC750000}"/>
    <cellStyle name="Normal 4 141 2" xfId="30157" xr:uid="{00000000-0005-0000-0000-0000CD750000}"/>
    <cellStyle name="Normal 4 142" xfId="30158" xr:uid="{00000000-0005-0000-0000-0000CE750000}"/>
    <cellStyle name="Normal 4 142 2" xfId="30159" xr:uid="{00000000-0005-0000-0000-0000CF750000}"/>
    <cellStyle name="Normal 4 143" xfId="30160" xr:uid="{00000000-0005-0000-0000-0000D0750000}"/>
    <cellStyle name="Normal 4 143 2" xfId="30161" xr:uid="{00000000-0005-0000-0000-0000D1750000}"/>
    <cellStyle name="Normal 4 144" xfId="30162" xr:uid="{00000000-0005-0000-0000-0000D2750000}"/>
    <cellStyle name="Normal 4 144 2" xfId="30163" xr:uid="{00000000-0005-0000-0000-0000D3750000}"/>
    <cellStyle name="Normal 4 145" xfId="30164" xr:uid="{00000000-0005-0000-0000-0000D4750000}"/>
    <cellStyle name="Normal 4 145 2" xfId="30165" xr:uid="{00000000-0005-0000-0000-0000D5750000}"/>
    <cellStyle name="Normal 4 146" xfId="30166" xr:uid="{00000000-0005-0000-0000-0000D6750000}"/>
    <cellStyle name="Normal 4 146 2" xfId="30167" xr:uid="{00000000-0005-0000-0000-0000D7750000}"/>
    <cellStyle name="Normal 4 147" xfId="30168" xr:uid="{00000000-0005-0000-0000-0000D8750000}"/>
    <cellStyle name="Normal 4 147 2" xfId="30169" xr:uid="{00000000-0005-0000-0000-0000D9750000}"/>
    <cellStyle name="Normal 4 148" xfId="30170" xr:uid="{00000000-0005-0000-0000-0000DA750000}"/>
    <cellStyle name="Normal 4 148 2" xfId="30171" xr:uid="{00000000-0005-0000-0000-0000DB750000}"/>
    <cellStyle name="Normal 4 148 3" xfId="30172" xr:uid="{00000000-0005-0000-0000-0000DC750000}"/>
    <cellStyle name="Normal 4 149" xfId="30173" xr:uid="{00000000-0005-0000-0000-0000DD750000}"/>
    <cellStyle name="Normal 4 149 2" xfId="30174" xr:uid="{00000000-0005-0000-0000-0000DE750000}"/>
    <cellStyle name="Normal 4 149 3" xfId="30175" xr:uid="{00000000-0005-0000-0000-0000DF750000}"/>
    <cellStyle name="Normal 4 15" xfId="30176" xr:uid="{00000000-0005-0000-0000-0000E0750000}"/>
    <cellStyle name="Normal 4 15 2" xfId="30177" xr:uid="{00000000-0005-0000-0000-0000E1750000}"/>
    <cellStyle name="Normal 4 15 3" xfId="30178" xr:uid="{00000000-0005-0000-0000-0000E2750000}"/>
    <cellStyle name="Normal 4 15 4" xfId="30179" xr:uid="{00000000-0005-0000-0000-0000E3750000}"/>
    <cellStyle name="Normal 4 15 5" xfId="30180" xr:uid="{00000000-0005-0000-0000-0000E4750000}"/>
    <cellStyle name="Normal 4 15_Enlaces" xfId="30181" xr:uid="{00000000-0005-0000-0000-0000E5750000}"/>
    <cellStyle name="Normal 4 150" xfId="30182" xr:uid="{00000000-0005-0000-0000-0000E6750000}"/>
    <cellStyle name="Normal 4 150 2" xfId="30183" xr:uid="{00000000-0005-0000-0000-0000E7750000}"/>
    <cellStyle name="Normal 4 150 3" xfId="30184" xr:uid="{00000000-0005-0000-0000-0000E8750000}"/>
    <cellStyle name="Normal 4 151" xfId="30185" xr:uid="{00000000-0005-0000-0000-0000E9750000}"/>
    <cellStyle name="Normal 4 151 2" xfId="30186" xr:uid="{00000000-0005-0000-0000-0000EA750000}"/>
    <cellStyle name="Normal 4 151 3" xfId="30187" xr:uid="{00000000-0005-0000-0000-0000EB750000}"/>
    <cellStyle name="Normal 4 152" xfId="30188" xr:uid="{00000000-0005-0000-0000-0000EC750000}"/>
    <cellStyle name="Normal 4 152 2" xfId="30189" xr:uid="{00000000-0005-0000-0000-0000ED750000}"/>
    <cellStyle name="Normal 4 152 3" xfId="30190" xr:uid="{00000000-0005-0000-0000-0000EE750000}"/>
    <cellStyle name="Normal 4 153" xfId="30191" xr:uid="{00000000-0005-0000-0000-0000EF750000}"/>
    <cellStyle name="Normal 4 153 2" xfId="30192" xr:uid="{00000000-0005-0000-0000-0000F0750000}"/>
    <cellStyle name="Normal 4 154" xfId="30193" xr:uid="{00000000-0005-0000-0000-0000F1750000}"/>
    <cellStyle name="Normal 4 155" xfId="30194" xr:uid="{00000000-0005-0000-0000-0000F2750000}"/>
    <cellStyle name="Normal 4 156" xfId="30195" xr:uid="{00000000-0005-0000-0000-0000F3750000}"/>
    <cellStyle name="Normal 4 157" xfId="30196" xr:uid="{00000000-0005-0000-0000-0000F4750000}"/>
    <cellStyle name="Normal 4 158" xfId="30197" xr:uid="{00000000-0005-0000-0000-0000F5750000}"/>
    <cellStyle name="Normal 4 159" xfId="30198" xr:uid="{00000000-0005-0000-0000-0000F6750000}"/>
    <cellStyle name="Normal 4 16" xfId="30199" xr:uid="{00000000-0005-0000-0000-0000F7750000}"/>
    <cellStyle name="Normal 4 16 2" xfId="30200" xr:uid="{00000000-0005-0000-0000-0000F8750000}"/>
    <cellStyle name="Normal 4 16 3" xfId="30201" xr:uid="{00000000-0005-0000-0000-0000F9750000}"/>
    <cellStyle name="Normal 4 16 4" xfId="30202" xr:uid="{00000000-0005-0000-0000-0000FA750000}"/>
    <cellStyle name="Normal 4 16 5" xfId="30203" xr:uid="{00000000-0005-0000-0000-0000FB750000}"/>
    <cellStyle name="Normal 4 16_Enlaces" xfId="30204" xr:uid="{00000000-0005-0000-0000-0000FC750000}"/>
    <cellStyle name="Normal 4 160" xfId="30205" xr:uid="{00000000-0005-0000-0000-0000FD750000}"/>
    <cellStyle name="Normal 4 161" xfId="30206" xr:uid="{00000000-0005-0000-0000-0000FE750000}"/>
    <cellStyle name="Normal 4 162" xfId="30207" xr:uid="{00000000-0005-0000-0000-0000FF750000}"/>
    <cellStyle name="Normal 4 163" xfId="30208" xr:uid="{00000000-0005-0000-0000-000000760000}"/>
    <cellStyle name="Normal 4 164" xfId="30209" xr:uid="{00000000-0005-0000-0000-000001760000}"/>
    <cellStyle name="Normal 4 165" xfId="30210" xr:uid="{00000000-0005-0000-0000-000002760000}"/>
    <cellStyle name="Normal 4 166" xfId="30211" xr:uid="{00000000-0005-0000-0000-000003760000}"/>
    <cellStyle name="Normal 4 167" xfId="30212" xr:uid="{00000000-0005-0000-0000-000004760000}"/>
    <cellStyle name="Normal 4 168" xfId="30213" xr:uid="{00000000-0005-0000-0000-000005760000}"/>
    <cellStyle name="Normal 4 169" xfId="30214" xr:uid="{00000000-0005-0000-0000-000006760000}"/>
    <cellStyle name="Normal 4 17" xfId="30215" xr:uid="{00000000-0005-0000-0000-000007760000}"/>
    <cellStyle name="Normal 4 17 2" xfId="30216" xr:uid="{00000000-0005-0000-0000-000008760000}"/>
    <cellStyle name="Normal 4 17 3" xfId="30217" xr:uid="{00000000-0005-0000-0000-000009760000}"/>
    <cellStyle name="Normal 4 17 4" xfId="30218" xr:uid="{00000000-0005-0000-0000-00000A760000}"/>
    <cellStyle name="Normal 4 17 5" xfId="30219" xr:uid="{00000000-0005-0000-0000-00000B760000}"/>
    <cellStyle name="Normal 4 17_Enlaces" xfId="30220" xr:uid="{00000000-0005-0000-0000-00000C760000}"/>
    <cellStyle name="Normal 4 170" xfId="30221" xr:uid="{00000000-0005-0000-0000-00000D760000}"/>
    <cellStyle name="Normal 4 171" xfId="30222" xr:uid="{00000000-0005-0000-0000-00000E760000}"/>
    <cellStyle name="Normal 4 18" xfId="30223" xr:uid="{00000000-0005-0000-0000-00000F760000}"/>
    <cellStyle name="Normal 4 18 2" xfId="30224" xr:uid="{00000000-0005-0000-0000-000010760000}"/>
    <cellStyle name="Normal 4 18 3" xfId="30225" xr:uid="{00000000-0005-0000-0000-000011760000}"/>
    <cellStyle name="Normal 4 18 4" xfId="30226" xr:uid="{00000000-0005-0000-0000-000012760000}"/>
    <cellStyle name="Normal 4 18 5" xfId="30227" xr:uid="{00000000-0005-0000-0000-000013760000}"/>
    <cellStyle name="Normal 4 18_Enlaces" xfId="30228" xr:uid="{00000000-0005-0000-0000-000014760000}"/>
    <cellStyle name="Normal 4 19" xfId="30229" xr:uid="{00000000-0005-0000-0000-000015760000}"/>
    <cellStyle name="Normal 4 19 2" xfId="30230" xr:uid="{00000000-0005-0000-0000-000016760000}"/>
    <cellStyle name="Normal 4 19 3" xfId="30231" xr:uid="{00000000-0005-0000-0000-000017760000}"/>
    <cellStyle name="Normal 4 19 4" xfId="30232" xr:uid="{00000000-0005-0000-0000-000018760000}"/>
    <cellStyle name="Normal 4 19 5" xfId="30233" xr:uid="{00000000-0005-0000-0000-000019760000}"/>
    <cellStyle name="Normal 4 19_Enlaces" xfId="30234" xr:uid="{00000000-0005-0000-0000-00001A760000}"/>
    <cellStyle name="Normal 4 2" xfId="30235" xr:uid="{00000000-0005-0000-0000-00001B760000}"/>
    <cellStyle name="Normal 4 2 10" xfId="30236" xr:uid="{00000000-0005-0000-0000-00001C760000}"/>
    <cellStyle name="Normal 4 2 10 2" xfId="30237" xr:uid="{00000000-0005-0000-0000-00001D760000}"/>
    <cellStyle name="Normal 4 2 11" xfId="30238" xr:uid="{00000000-0005-0000-0000-00001E760000}"/>
    <cellStyle name="Normal 4 2 11 2" xfId="30239" xr:uid="{00000000-0005-0000-0000-00001F760000}"/>
    <cellStyle name="Normal 4 2 12" xfId="30240" xr:uid="{00000000-0005-0000-0000-000020760000}"/>
    <cellStyle name="Normal 4 2 12 2" xfId="30241" xr:uid="{00000000-0005-0000-0000-000021760000}"/>
    <cellStyle name="Normal 4 2 13" xfId="30242" xr:uid="{00000000-0005-0000-0000-000022760000}"/>
    <cellStyle name="Normal 4 2 13 2" xfId="30243" xr:uid="{00000000-0005-0000-0000-000023760000}"/>
    <cellStyle name="Normal 4 2 14" xfId="30244" xr:uid="{00000000-0005-0000-0000-000024760000}"/>
    <cellStyle name="Normal 4 2 14 2" xfId="30245" xr:uid="{00000000-0005-0000-0000-000025760000}"/>
    <cellStyle name="Normal 4 2 15" xfId="30246" xr:uid="{00000000-0005-0000-0000-000026760000}"/>
    <cellStyle name="Normal 4 2 15 2" xfId="30247" xr:uid="{00000000-0005-0000-0000-000027760000}"/>
    <cellStyle name="Normal 4 2 16" xfId="30248" xr:uid="{00000000-0005-0000-0000-000028760000}"/>
    <cellStyle name="Normal 4 2 16 2" xfId="30249" xr:uid="{00000000-0005-0000-0000-000029760000}"/>
    <cellStyle name="Normal 4 2 17" xfId="30250" xr:uid="{00000000-0005-0000-0000-00002A760000}"/>
    <cellStyle name="Normal 4 2 17 2" xfId="30251" xr:uid="{00000000-0005-0000-0000-00002B760000}"/>
    <cellStyle name="Normal 4 2 18" xfId="30252" xr:uid="{00000000-0005-0000-0000-00002C760000}"/>
    <cellStyle name="Normal 4 2 18 2" xfId="30253" xr:uid="{00000000-0005-0000-0000-00002D760000}"/>
    <cellStyle name="Normal 4 2 19" xfId="30254" xr:uid="{00000000-0005-0000-0000-00002E760000}"/>
    <cellStyle name="Normal 4 2 19 2" xfId="30255" xr:uid="{00000000-0005-0000-0000-00002F760000}"/>
    <cellStyle name="Normal 4 2 2" xfId="30256" xr:uid="{00000000-0005-0000-0000-000030760000}"/>
    <cellStyle name="Normal 4 2 2 2" xfId="30257" xr:uid="{00000000-0005-0000-0000-000031760000}"/>
    <cellStyle name="Normal 4 2 20" xfId="30258" xr:uid="{00000000-0005-0000-0000-000032760000}"/>
    <cellStyle name="Normal 4 2 20 2" xfId="30259" xr:uid="{00000000-0005-0000-0000-000033760000}"/>
    <cellStyle name="Normal 4 2 21" xfId="30260" xr:uid="{00000000-0005-0000-0000-000034760000}"/>
    <cellStyle name="Normal 4 2 21 2" xfId="30261" xr:uid="{00000000-0005-0000-0000-000035760000}"/>
    <cellStyle name="Normal 4 2 22" xfId="30262" xr:uid="{00000000-0005-0000-0000-000036760000}"/>
    <cellStyle name="Normal 4 2 22 2" xfId="30263" xr:uid="{00000000-0005-0000-0000-000037760000}"/>
    <cellStyle name="Normal 4 2 23" xfId="30264" xr:uid="{00000000-0005-0000-0000-000038760000}"/>
    <cellStyle name="Normal 4 2 23 2" xfId="30265" xr:uid="{00000000-0005-0000-0000-000039760000}"/>
    <cellStyle name="Normal 4 2 24" xfId="30266" xr:uid="{00000000-0005-0000-0000-00003A760000}"/>
    <cellStyle name="Normal 4 2 25" xfId="30267" xr:uid="{00000000-0005-0000-0000-00003B760000}"/>
    <cellStyle name="Normal 4 2 26" xfId="30268" xr:uid="{00000000-0005-0000-0000-00003C760000}"/>
    <cellStyle name="Normal 4 2 27" xfId="30269" xr:uid="{00000000-0005-0000-0000-00003D760000}"/>
    <cellStyle name="Normal 4 2 28" xfId="30270" xr:uid="{00000000-0005-0000-0000-00003E760000}"/>
    <cellStyle name="Normal 4 2 29" xfId="30271" xr:uid="{00000000-0005-0000-0000-00003F760000}"/>
    <cellStyle name="Normal 4 2 3" xfId="30272" xr:uid="{00000000-0005-0000-0000-000040760000}"/>
    <cellStyle name="Normal 4 2 3 2" xfId="30273" xr:uid="{00000000-0005-0000-0000-000041760000}"/>
    <cellStyle name="Normal 4 2 30" xfId="30274" xr:uid="{00000000-0005-0000-0000-000042760000}"/>
    <cellStyle name="Normal 4 2 31" xfId="30275" xr:uid="{00000000-0005-0000-0000-000043760000}"/>
    <cellStyle name="Normal 4 2 32" xfId="30276" xr:uid="{00000000-0005-0000-0000-000044760000}"/>
    <cellStyle name="Normal 4 2 33" xfId="30277" xr:uid="{00000000-0005-0000-0000-000045760000}"/>
    <cellStyle name="Normal 4 2 34" xfId="30278" xr:uid="{00000000-0005-0000-0000-000046760000}"/>
    <cellStyle name="Normal 4 2 35" xfId="30279" xr:uid="{00000000-0005-0000-0000-000047760000}"/>
    <cellStyle name="Normal 4 2 36" xfId="30280" xr:uid="{00000000-0005-0000-0000-000048760000}"/>
    <cellStyle name="Normal 4 2 37" xfId="30281" xr:uid="{00000000-0005-0000-0000-000049760000}"/>
    <cellStyle name="Normal 4 2 38" xfId="30282" xr:uid="{00000000-0005-0000-0000-00004A760000}"/>
    <cellStyle name="Normal 4 2 39" xfId="30283" xr:uid="{00000000-0005-0000-0000-00004B760000}"/>
    <cellStyle name="Normal 4 2 4" xfId="30284" xr:uid="{00000000-0005-0000-0000-00004C760000}"/>
    <cellStyle name="Normal 4 2 4 2" xfId="30285" xr:uid="{00000000-0005-0000-0000-00004D760000}"/>
    <cellStyle name="Normal 4 2 40" xfId="30286" xr:uid="{00000000-0005-0000-0000-00004E760000}"/>
    <cellStyle name="Normal 4 2 41" xfId="30287" xr:uid="{00000000-0005-0000-0000-00004F760000}"/>
    <cellStyle name="Normal 4 2 42" xfId="30288" xr:uid="{00000000-0005-0000-0000-000050760000}"/>
    <cellStyle name="Normal 4 2 43" xfId="30289" xr:uid="{00000000-0005-0000-0000-000051760000}"/>
    <cellStyle name="Normal 4 2 44" xfId="30290" xr:uid="{00000000-0005-0000-0000-000052760000}"/>
    <cellStyle name="Normal 4 2 45" xfId="30291" xr:uid="{00000000-0005-0000-0000-000053760000}"/>
    <cellStyle name="Normal 4 2 46" xfId="30292" xr:uid="{00000000-0005-0000-0000-000054760000}"/>
    <cellStyle name="Normal 4 2 47" xfId="30293" xr:uid="{00000000-0005-0000-0000-000055760000}"/>
    <cellStyle name="Normal 4 2 48" xfId="30294" xr:uid="{00000000-0005-0000-0000-000056760000}"/>
    <cellStyle name="Normal 4 2 49" xfId="30295" xr:uid="{00000000-0005-0000-0000-000057760000}"/>
    <cellStyle name="Normal 4 2 5" xfId="30296" xr:uid="{00000000-0005-0000-0000-000058760000}"/>
    <cellStyle name="Normal 4 2 5 2" xfId="30297" xr:uid="{00000000-0005-0000-0000-000059760000}"/>
    <cellStyle name="Normal 4 2 50" xfId="30298" xr:uid="{00000000-0005-0000-0000-00005A760000}"/>
    <cellStyle name="Normal 4 2 51" xfId="30299" xr:uid="{00000000-0005-0000-0000-00005B760000}"/>
    <cellStyle name="Normal 4 2 52" xfId="30300" xr:uid="{00000000-0005-0000-0000-00005C760000}"/>
    <cellStyle name="Normal 4 2 53" xfId="30301" xr:uid="{00000000-0005-0000-0000-00005D760000}"/>
    <cellStyle name="Normal 4 2 54" xfId="30302" xr:uid="{00000000-0005-0000-0000-00005E760000}"/>
    <cellStyle name="Normal 4 2 55" xfId="30303" xr:uid="{00000000-0005-0000-0000-00005F760000}"/>
    <cellStyle name="Normal 4 2 56" xfId="30304" xr:uid="{00000000-0005-0000-0000-000060760000}"/>
    <cellStyle name="Normal 4 2 57" xfId="30305" xr:uid="{00000000-0005-0000-0000-000061760000}"/>
    <cellStyle name="Normal 4 2 58" xfId="30306" xr:uid="{00000000-0005-0000-0000-000062760000}"/>
    <cellStyle name="Normal 4 2 59" xfId="30307" xr:uid="{00000000-0005-0000-0000-000063760000}"/>
    <cellStyle name="Normal 4 2 6" xfId="30308" xr:uid="{00000000-0005-0000-0000-000064760000}"/>
    <cellStyle name="Normal 4 2 6 2" xfId="30309" xr:uid="{00000000-0005-0000-0000-000065760000}"/>
    <cellStyle name="Normal 4 2 60" xfId="30310" xr:uid="{00000000-0005-0000-0000-000066760000}"/>
    <cellStyle name="Normal 4 2 61" xfId="30311" xr:uid="{00000000-0005-0000-0000-000067760000}"/>
    <cellStyle name="Normal 4 2 62" xfId="30312" xr:uid="{00000000-0005-0000-0000-000068760000}"/>
    <cellStyle name="Normal 4 2 63" xfId="30313" xr:uid="{00000000-0005-0000-0000-000069760000}"/>
    <cellStyle name="Normal 4 2 64" xfId="30314" xr:uid="{00000000-0005-0000-0000-00006A760000}"/>
    <cellStyle name="Normal 4 2 65" xfId="30315" xr:uid="{00000000-0005-0000-0000-00006B760000}"/>
    <cellStyle name="Normal 4 2 66" xfId="30316" xr:uid="{00000000-0005-0000-0000-00006C760000}"/>
    <cellStyle name="Normal 4 2 67" xfId="30317" xr:uid="{00000000-0005-0000-0000-00006D760000}"/>
    <cellStyle name="Normal 4 2 68" xfId="30318" xr:uid="{00000000-0005-0000-0000-00006E760000}"/>
    <cellStyle name="Normal 4 2 69" xfId="30319" xr:uid="{00000000-0005-0000-0000-00006F760000}"/>
    <cellStyle name="Normal 4 2 7" xfId="30320" xr:uid="{00000000-0005-0000-0000-000070760000}"/>
    <cellStyle name="Normal 4 2 7 2" xfId="30321" xr:uid="{00000000-0005-0000-0000-000071760000}"/>
    <cellStyle name="Normal 4 2 70" xfId="30322" xr:uid="{00000000-0005-0000-0000-000072760000}"/>
    <cellStyle name="Normal 4 2 71" xfId="30323" xr:uid="{00000000-0005-0000-0000-000073760000}"/>
    <cellStyle name="Normal 4 2 72" xfId="30324" xr:uid="{00000000-0005-0000-0000-000074760000}"/>
    <cellStyle name="Normal 4 2 73" xfId="30325" xr:uid="{00000000-0005-0000-0000-000075760000}"/>
    <cellStyle name="Normal 4 2 74" xfId="30326" xr:uid="{00000000-0005-0000-0000-000076760000}"/>
    <cellStyle name="Normal 4 2 75" xfId="30327" xr:uid="{00000000-0005-0000-0000-000077760000}"/>
    <cellStyle name="Normal 4 2 76" xfId="30328" xr:uid="{00000000-0005-0000-0000-000078760000}"/>
    <cellStyle name="Normal 4 2 77" xfId="30329" xr:uid="{00000000-0005-0000-0000-000079760000}"/>
    <cellStyle name="Normal 4 2 78" xfId="30330" xr:uid="{00000000-0005-0000-0000-00007A760000}"/>
    <cellStyle name="Normal 4 2 79" xfId="30331" xr:uid="{00000000-0005-0000-0000-00007B760000}"/>
    <cellStyle name="Normal 4 2 8" xfId="30332" xr:uid="{00000000-0005-0000-0000-00007C760000}"/>
    <cellStyle name="Normal 4 2 8 2" xfId="30333" xr:uid="{00000000-0005-0000-0000-00007D760000}"/>
    <cellStyle name="Normal 4 2 80" xfId="30334" xr:uid="{00000000-0005-0000-0000-00007E760000}"/>
    <cellStyle name="Normal 4 2 81" xfId="30335" xr:uid="{00000000-0005-0000-0000-00007F760000}"/>
    <cellStyle name="Normal 4 2 82" xfId="30336" xr:uid="{00000000-0005-0000-0000-000080760000}"/>
    <cellStyle name="Normal 4 2 83" xfId="30337" xr:uid="{00000000-0005-0000-0000-000081760000}"/>
    <cellStyle name="Normal 4 2 84" xfId="30338" xr:uid="{00000000-0005-0000-0000-000082760000}"/>
    <cellStyle name="Normal 4 2 85" xfId="30339" xr:uid="{00000000-0005-0000-0000-000083760000}"/>
    <cellStyle name="Normal 4 2 86" xfId="30340" xr:uid="{00000000-0005-0000-0000-000084760000}"/>
    <cellStyle name="Normal 4 2 87" xfId="30341" xr:uid="{00000000-0005-0000-0000-000085760000}"/>
    <cellStyle name="Normal 4 2 87 2" xfId="30342" xr:uid="{00000000-0005-0000-0000-000086760000}"/>
    <cellStyle name="Normal 4 2 9" xfId="30343" xr:uid="{00000000-0005-0000-0000-000087760000}"/>
    <cellStyle name="Normal 4 2 9 2" xfId="30344" xr:uid="{00000000-0005-0000-0000-000088760000}"/>
    <cellStyle name="Normal 4 2_Xa Parametrización de Usuarios" xfId="30345" xr:uid="{00000000-0005-0000-0000-000089760000}"/>
    <cellStyle name="Normal 4 20" xfId="30346" xr:uid="{00000000-0005-0000-0000-00008A760000}"/>
    <cellStyle name="Normal 4 20 2" xfId="30347" xr:uid="{00000000-0005-0000-0000-00008B760000}"/>
    <cellStyle name="Normal 4 20 3" xfId="30348" xr:uid="{00000000-0005-0000-0000-00008C760000}"/>
    <cellStyle name="Normal 4 20 4" xfId="30349" xr:uid="{00000000-0005-0000-0000-00008D760000}"/>
    <cellStyle name="Normal 4 20_Enlaces" xfId="30350" xr:uid="{00000000-0005-0000-0000-00008E760000}"/>
    <cellStyle name="Normal 4 21" xfId="30351" xr:uid="{00000000-0005-0000-0000-00008F760000}"/>
    <cellStyle name="Normal 4 21 2" xfId="30352" xr:uid="{00000000-0005-0000-0000-000090760000}"/>
    <cellStyle name="Normal 4 21 3" xfId="30353" xr:uid="{00000000-0005-0000-0000-000091760000}"/>
    <cellStyle name="Normal 4 21 4" xfId="30354" xr:uid="{00000000-0005-0000-0000-000092760000}"/>
    <cellStyle name="Normal 4 21_Enlaces" xfId="30355" xr:uid="{00000000-0005-0000-0000-000093760000}"/>
    <cellStyle name="Normal 4 22" xfId="30356" xr:uid="{00000000-0005-0000-0000-000094760000}"/>
    <cellStyle name="Normal 4 22 2" xfId="30357" xr:uid="{00000000-0005-0000-0000-000095760000}"/>
    <cellStyle name="Normal 4 22 3" xfId="30358" xr:uid="{00000000-0005-0000-0000-000096760000}"/>
    <cellStyle name="Normal 4 22 4" xfId="30359" xr:uid="{00000000-0005-0000-0000-000097760000}"/>
    <cellStyle name="Normal 4 22_Enlaces" xfId="30360" xr:uid="{00000000-0005-0000-0000-000098760000}"/>
    <cellStyle name="Normal 4 23" xfId="30361" xr:uid="{00000000-0005-0000-0000-000099760000}"/>
    <cellStyle name="Normal 4 23 2" xfId="30362" xr:uid="{00000000-0005-0000-0000-00009A760000}"/>
    <cellStyle name="Normal 4 23 3" xfId="30363" xr:uid="{00000000-0005-0000-0000-00009B760000}"/>
    <cellStyle name="Normal 4 23 4" xfId="30364" xr:uid="{00000000-0005-0000-0000-00009C760000}"/>
    <cellStyle name="Normal 4 23_Enlaces" xfId="30365" xr:uid="{00000000-0005-0000-0000-00009D760000}"/>
    <cellStyle name="Normal 4 24" xfId="30366" xr:uid="{00000000-0005-0000-0000-00009E760000}"/>
    <cellStyle name="Normal 4 24 2" xfId="30367" xr:uid="{00000000-0005-0000-0000-00009F760000}"/>
    <cellStyle name="Normal 4 24 3" xfId="30368" xr:uid="{00000000-0005-0000-0000-0000A0760000}"/>
    <cellStyle name="Normal 4 24 4" xfId="30369" xr:uid="{00000000-0005-0000-0000-0000A1760000}"/>
    <cellStyle name="Normal 4 24_Enlaces" xfId="30370" xr:uid="{00000000-0005-0000-0000-0000A2760000}"/>
    <cellStyle name="Normal 4 25" xfId="30371" xr:uid="{00000000-0005-0000-0000-0000A3760000}"/>
    <cellStyle name="Normal 4 25 2" xfId="30372" xr:uid="{00000000-0005-0000-0000-0000A4760000}"/>
    <cellStyle name="Normal 4 25 3" xfId="30373" xr:uid="{00000000-0005-0000-0000-0000A5760000}"/>
    <cellStyle name="Normal 4 25 4" xfId="30374" xr:uid="{00000000-0005-0000-0000-0000A6760000}"/>
    <cellStyle name="Normal 4 25_Enlaces" xfId="30375" xr:uid="{00000000-0005-0000-0000-0000A7760000}"/>
    <cellStyle name="Normal 4 26" xfId="30376" xr:uid="{00000000-0005-0000-0000-0000A8760000}"/>
    <cellStyle name="Normal 4 26 2" xfId="30377" xr:uid="{00000000-0005-0000-0000-0000A9760000}"/>
    <cellStyle name="Normal 4 26 3" xfId="30378" xr:uid="{00000000-0005-0000-0000-0000AA760000}"/>
    <cellStyle name="Normal 4 26 4" xfId="30379" xr:uid="{00000000-0005-0000-0000-0000AB760000}"/>
    <cellStyle name="Normal 4 26_Enlaces" xfId="30380" xr:uid="{00000000-0005-0000-0000-0000AC760000}"/>
    <cellStyle name="Normal 4 27" xfId="30381" xr:uid="{00000000-0005-0000-0000-0000AD760000}"/>
    <cellStyle name="Normal 4 27 2" xfId="30382" xr:uid="{00000000-0005-0000-0000-0000AE760000}"/>
    <cellStyle name="Normal 4 27 3" xfId="30383" xr:uid="{00000000-0005-0000-0000-0000AF760000}"/>
    <cellStyle name="Normal 4 28" xfId="30384" xr:uid="{00000000-0005-0000-0000-0000B0760000}"/>
    <cellStyle name="Normal 4 28 2" xfId="30385" xr:uid="{00000000-0005-0000-0000-0000B1760000}"/>
    <cellStyle name="Normal 4 28 3" xfId="30386" xr:uid="{00000000-0005-0000-0000-0000B2760000}"/>
    <cellStyle name="Normal 4 29" xfId="30387" xr:uid="{00000000-0005-0000-0000-0000B3760000}"/>
    <cellStyle name="Normal 4 29 2" xfId="30388" xr:uid="{00000000-0005-0000-0000-0000B4760000}"/>
    <cellStyle name="Normal 4 29 3" xfId="30389" xr:uid="{00000000-0005-0000-0000-0000B5760000}"/>
    <cellStyle name="Normal 4 3" xfId="30390" xr:uid="{00000000-0005-0000-0000-0000B6760000}"/>
    <cellStyle name="Normal 4 3 10" xfId="30391" xr:uid="{00000000-0005-0000-0000-0000B7760000}"/>
    <cellStyle name="Normal 4 3 11" xfId="30392" xr:uid="{00000000-0005-0000-0000-0000B8760000}"/>
    <cellStyle name="Normal 4 3 12" xfId="30393" xr:uid="{00000000-0005-0000-0000-0000B9760000}"/>
    <cellStyle name="Normal 4 3 13" xfId="30394" xr:uid="{00000000-0005-0000-0000-0000BA760000}"/>
    <cellStyle name="Normal 4 3 14" xfId="30395" xr:uid="{00000000-0005-0000-0000-0000BB760000}"/>
    <cellStyle name="Normal 4 3 15" xfId="30396" xr:uid="{00000000-0005-0000-0000-0000BC760000}"/>
    <cellStyle name="Normal 4 3 16" xfId="30397" xr:uid="{00000000-0005-0000-0000-0000BD760000}"/>
    <cellStyle name="Normal 4 3 17" xfId="30398" xr:uid="{00000000-0005-0000-0000-0000BE760000}"/>
    <cellStyle name="Normal 4 3 18" xfId="30399" xr:uid="{00000000-0005-0000-0000-0000BF760000}"/>
    <cellStyle name="Normal 4 3 19" xfId="30400" xr:uid="{00000000-0005-0000-0000-0000C0760000}"/>
    <cellStyle name="Normal 4 3 2" xfId="30401" xr:uid="{00000000-0005-0000-0000-0000C1760000}"/>
    <cellStyle name="Normal 4 3 2 2" xfId="30402" xr:uid="{00000000-0005-0000-0000-0000C2760000}"/>
    <cellStyle name="Normal 4 3 20" xfId="30403" xr:uid="{00000000-0005-0000-0000-0000C3760000}"/>
    <cellStyle name="Normal 4 3 21" xfId="30404" xr:uid="{00000000-0005-0000-0000-0000C4760000}"/>
    <cellStyle name="Normal 4 3 22" xfId="30405" xr:uid="{00000000-0005-0000-0000-0000C5760000}"/>
    <cellStyle name="Normal 4 3 23" xfId="30406" xr:uid="{00000000-0005-0000-0000-0000C6760000}"/>
    <cellStyle name="Normal 4 3 24" xfId="30407" xr:uid="{00000000-0005-0000-0000-0000C7760000}"/>
    <cellStyle name="Normal 4 3 25" xfId="30408" xr:uid="{00000000-0005-0000-0000-0000C8760000}"/>
    <cellStyle name="Normal 4 3 26" xfId="30409" xr:uid="{00000000-0005-0000-0000-0000C9760000}"/>
    <cellStyle name="Normal 4 3 27" xfId="30410" xr:uid="{00000000-0005-0000-0000-0000CA760000}"/>
    <cellStyle name="Normal 4 3 28" xfId="30411" xr:uid="{00000000-0005-0000-0000-0000CB760000}"/>
    <cellStyle name="Normal 4 3 29" xfId="30412" xr:uid="{00000000-0005-0000-0000-0000CC760000}"/>
    <cellStyle name="Normal 4 3 3" xfId="30413" xr:uid="{00000000-0005-0000-0000-0000CD760000}"/>
    <cellStyle name="Normal 4 3 30" xfId="30414" xr:uid="{00000000-0005-0000-0000-0000CE760000}"/>
    <cellStyle name="Normal 4 3 31" xfId="30415" xr:uid="{00000000-0005-0000-0000-0000CF760000}"/>
    <cellStyle name="Normal 4 3 32" xfId="30416" xr:uid="{00000000-0005-0000-0000-0000D0760000}"/>
    <cellStyle name="Normal 4 3 33" xfId="30417" xr:uid="{00000000-0005-0000-0000-0000D1760000}"/>
    <cellStyle name="Normal 4 3 34" xfId="30418" xr:uid="{00000000-0005-0000-0000-0000D2760000}"/>
    <cellStyle name="Normal 4 3 4" xfId="30419" xr:uid="{00000000-0005-0000-0000-0000D3760000}"/>
    <cellStyle name="Normal 4 3 5" xfId="30420" xr:uid="{00000000-0005-0000-0000-0000D4760000}"/>
    <cellStyle name="Normal 4 3 6" xfId="30421" xr:uid="{00000000-0005-0000-0000-0000D5760000}"/>
    <cellStyle name="Normal 4 3 7" xfId="30422" xr:uid="{00000000-0005-0000-0000-0000D6760000}"/>
    <cellStyle name="Normal 4 3 8" xfId="30423" xr:uid="{00000000-0005-0000-0000-0000D7760000}"/>
    <cellStyle name="Normal 4 3 9" xfId="30424" xr:uid="{00000000-0005-0000-0000-0000D8760000}"/>
    <cellStyle name="Normal 4 3_Enlaces" xfId="30425" xr:uid="{00000000-0005-0000-0000-0000D9760000}"/>
    <cellStyle name="Normal 4 30" xfId="30426" xr:uid="{00000000-0005-0000-0000-0000DA760000}"/>
    <cellStyle name="Normal 4 30 2" xfId="30427" xr:uid="{00000000-0005-0000-0000-0000DB760000}"/>
    <cellStyle name="Normal 4 30 3" xfId="30428" xr:uid="{00000000-0005-0000-0000-0000DC760000}"/>
    <cellStyle name="Normal 4 31" xfId="30429" xr:uid="{00000000-0005-0000-0000-0000DD760000}"/>
    <cellStyle name="Normal 4 31 2" xfId="30430" xr:uid="{00000000-0005-0000-0000-0000DE760000}"/>
    <cellStyle name="Normal 4 31 3" xfId="30431" xr:uid="{00000000-0005-0000-0000-0000DF760000}"/>
    <cellStyle name="Normal 4 32" xfId="30432" xr:uid="{00000000-0005-0000-0000-0000E0760000}"/>
    <cellStyle name="Normal 4 32 2" xfId="30433" xr:uid="{00000000-0005-0000-0000-0000E1760000}"/>
    <cellStyle name="Normal 4 32 3" xfId="30434" xr:uid="{00000000-0005-0000-0000-0000E2760000}"/>
    <cellStyle name="Normal 4 33" xfId="30435" xr:uid="{00000000-0005-0000-0000-0000E3760000}"/>
    <cellStyle name="Normal 4 33 2" xfId="30436" xr:uid="{00000000-0005-0000-0000-0000E4760000}"/>
    <cellStyle name="Normal 4 33 3" xfId="30437" xr:uid="{00000000-0005-0000-0000-0000E5760000}"/>
    <cellStyle name="Normal 4 34" xfId="30438" xr:uid="{00000000-0005-0000-0000-0000E6760000}"/>
    <cellStyle name="Normal 4 34 2" xfId="30439" xr:uid="{00000000-0005-0000-0000-0000E7760000}"/>
    <cellStyle name="Normal 4 34 3" xfId="30440" xr:uid="{00000000-0005-0000-0000-0000E8760000}"/>
    <cellStyle name="Normal 4 35" xfId="30441" xr:uid="{00000000-0005-0000-0000-0000E9760000}"/>
    <cellStyle name="Normal 4 35 2" xfId="30442" xr:uid="{00000000-0005-0000-0000-0000EA760000}"/>
    <cellStyle name="Normal 4 35 3" xfId="30443" xr:uid="{00000000-0005-0000-0000-0000EB760000}"/>
    <cellStyle name="Normal 4 36" xfId="30444" xr:uid="{00000000-0005-0000-0000-0000EC760000}"/>
    <cellStyle name="Normal 4 36 2" xfId="30445" xr:uid="{00000000-0005-0000-0000-0000ED760000}"/>
    <cellStyle name="Normal 4 36 3" xfId="30446" xr:uid="{00000000-0005-0000-0000-0000EE760000}"/>
    <cellStyle name="Normal 4 37" xfId="30447" xr:uid="{00000000-0005-0000-0000-0000EF760000}"/>
    <cellStyle name="Normal 4 37 2" xfId="30448" xr:uid="{00000000-0005-0000-0000-0000F0760000}"/>
    <cellStyle name="Normal 4 37 3" xfId="30449" xr:uid="{00000000-0005-0000-0000-0000F1760000}"/>
    <cellStyle name="Normal 4 38" xfId="30450" xr:uid="{00000000-0005-0000-0000-0000F2760000}"/>
    <cellStyle name="Normal 4 38 2" xfId="30451" xr:uid="{00000000-0005-0000-0000-0000F3760000}"/>
    <cellStyle name="Normal 4 38 3" xfId="30452" xr:uid="{00000000-0005-0000-0000-0000F4760000}"/>
    <cellStyle name="Normal 4 39" xfId="30453" xr:uid="{00000000-0005-0000-0000-0000F5760000}"/>
    <cellStyle name="Normal 4 39 2" xfId="30454" xr:uid="{00000000-0005-0000-0000-0000F6760000}"/>
    <cellStyle name="Normal 4 39 3" xfId="30455" xr:uid="{00000000-0005-0000-0000-0000F7760000}"/>
    <cellStyle name="Normal 4 4" xfId="30456" xr:uid="{00000000-0005-0000-0000-0000F8760000}"/>
    <cellStyle name="Normal 4 4 2" xfId="30457" xr:uid="{00000000-0005-0000-0000-0000F9760000}"/>
    <cellStyle name="Normal 4 4 3" xfId="30458" xr:uid="{00000000-0005-0000-0000-0000FA760000}"/>
    <cellStyle name="Normal 4 4 4" xfId="30459" xr:uid="{00000000-0005-0000-0000-0000FB760000}"/>
    <cellStyle name="Normal 4 4 5" xfId="30460" xr:uid="{00000000-0005-0000-0000-0000FC760000}"/>
    <cellStyle name="Normal 4 4_Enlaces" xfId="30461" xr:uid="{00000000-0005-0000-0000-0000FD760000}"/>
    <cellStyle name="Normal 4 40" xfId="30462" xr:uid="{00000000-0005-0000-0000-0000FE760000}"/>
    <cellStyle name="Normal 4 40 2" xfId="30463" xr:uid="{00000000-0005-0000-0000-0000FF760000}"/>
    <cellStyle name="Normal 4 40 3" xfId="30464" xr:uid="{00000000-0005-0000-0000-000000770000}"/>
    <cellStyle name="Normal 4 41" xfId="30465" xr:uid="{00000000-0005-0000-0000-000001770000}"/>
    <cellStyle name="Normal 4 41 2" xfId="30466" xr:uid="{00000000-0005-0000-0000-000002770000}"/>
    <cellStyle name="Normal 4 41 3" xfId="30467" xr:uid="{00000000-0005-0000-0000-000003770000}"/>
    <cellStyle name="Normal 4 42" xfId="30468" xr:uid="{00000000-0005-0000-0000-000004770000}"/>
    <cellStyle name="Normal 4 42 2" xfId="30469" xr:uid="{00000000-0005-0000-0000-000005770000}"/>
    <cellStyle name="Normal 4 42 3" xfId="30470" xr:uid="{00000000-0005-0000-0000-000006770000}"/>
    <cellStyle name="Normal 4 43" xfId="30471" xr:uid="{00000000-0005-0000-0000-000007770000}"/>
    <cellStyle name="Normal 4 43 2" xfId="30472" xr:uid="{00000000-0005-0000-0000-000008770000}"/>
    <cellStyle name="Normal 4 43 3" xfId="30473" xr:uid="{00000000-0005-0000-0000-000009770000}"/>
    <cellStyle name="Normal 4 44" xfId="30474" xr:uid="{00000000-0005-0000-0000-00000A770000}"/>
    <cellStyle name="Normal 4 44 2" xfId="30475" xr:uid="{00000000-0005-0000-0000-00000B770000}"/>
    <cellStyle name="Normal 4 44 3" xfId="30476" xr:uid="{00000000-0005-0000-0000-00000C770000}"/>
    <cellStyle name="Normal 4 45" xfId="30477" xr:uid="{00000000-0005-0000-0000-00000D770000}"/>
    <cellStyle name="Normal 4 45 2" xfId="30478" xr:uid="{00000000-0005-0000-0000-00000E770000}"/>
    <cellStyle name="Normal 4 45 3" xfId="30479" xr:uid="{00000000-0005-0000-0000-00000F770000}"/>
    <cellStyle name="Normal 4 46" xfId="30480" xr:uid="{00000000-0005-0000-0000-000010770000}"/>
    <cellStyle name="Normal 4 46 2" xfId="30481" xr:uid="{00000000-0005-0000-0000-000011770000}"/>
    <cellStyle name="Normal 4 46 3" xfId="30482" xr:uid="{00000000-0005-0000-0000-000012770000}"/>
    <cellStyle name="Normal 4 47" xfId="30483" xr:uid="{00000000-0005-0000-0000-000013770000}"/>
    <cellStyle name="Normal 4 48" xfId="30484" xr:uid="{00000000-0005-0000-0000-000014770000}"/>
    <cellStyle name="Normal 4 49" xfId="30485" xr:uid="{00000000-0005-0000-0000-000015770000}"/>
    <cellStyle name="Normal 4 5" xfId="30486" xr:uid="{00000000-0005-0000-0000-000016770000}"/>
    <cellStyle name="Normal 4 5 2" xfId="30487" xr:uid="{00000000-0005-0000-0000-000017770000}"/>
    <cellStyle name="Normal 4 5 3" xfId="30488" xr:uid="{00000000-0005-0000-0000-000018770000}"/>
    <cellStyle name="Normal 4 5 4" xfId="30489" xr:uid="{00000000-0005-0000-0000-000019770000}"/>
    <cellStyle name="Normal 4 5 5" xfId="30490" xr:uid="{00000000-0005-0000-0000-00001A770000}"/>
    <cellStyle name="Normal 4 5_Enlaces" xfId="30491" xr:uid="{00000000-0005-0000-0000-00001B770000}"/>
    <cellStyle name="Normal 4 50" xfId="30492" xr:uid="{00000000-0005-0000-0000-00001C770000}"/>
    <cellStyle name="Normal 4 51" xfId="30493" xr:uid="{00000000-0005-0000-0000-00001D770000}"/>
    <cellStyle name="Normal 4 52" xfId="30494" xr:uid="{00000000-0005-0000-0000-00001E770000}"/>
    <cellStyle name="Normal 4 53" xfId="30495" xr:uid="{00000000-0005-0000-0000-00001F770000}"/>
    <cellStyle name="Normal 4 54" xfId="30496" xr:uid="{00000000-0005-0000-0000-000020770000}"/>
    <cellStyle name="Normal 4 55" xfId="30497" xr:uid="{00000000-0005-0000-0000-000021770000}"/>
    <cellStyle name="Normal 4 56" xfId="30498" xr:uid="{00000000-0005-0000-0000-000022770000}"/>
    <cellStyle name="Normal 4 57" xfId="30499" xr:uid="{00000000-0005-0000-0000-000023770000}"/>
    <cellStyle name="Normal 4 58" xfId="30500" xr:uid="{00000000-0005-0000-0000-000024770000}"/>
    <cellStyle name="Normal 4 59" xfId="30501" xr:uid="{00000000-0005-0000-0000-000025770000}"/>
    <cellStyle name="Normal 4 6" xfId="30502" xr:uid="{00000000-0005-0000-0000-000026770000}"/>
    <cellStyle name="Normal 4 6 2" xfId="30503" xr:uid="{00000000-0005-0000-0000-000027770000}"/>
    <cellStyle name="Normal 4 6 3" xfId="30504" xr:uid="{00000000-0005-0000-0000-000028770000}"/>
    <cellStyle name="Normal 4 6 4" xfId="30505" xr:uid="{00000000-0005-0000-0000-000029770000}"/>
    <cellStyle name="Normal 4 6 5" xfId="30506" xr:uid="{00000000-0005-0000-0000-00002A770000}"/>
    <cellStyle name="Normal 4 6_Enlaces" xfId="30507" xr:uid="{00000000-0005-0000-0000-00002B770000}"/>
    <cellStyle name="Normal 4 60" xfId="30508" xr:uid="{00000000-0005-0000-0000-00002C770000}"/>
    <cellStyle name="Normal 4 61" xfId="30509" xr:uid="{00000000-0005-0000-0000-00002D770000}"/>
    <cellStyle name="Normal 4 62" xfId="30510" xr:uid="{00000000-0005-0000-0000-00002E770000}"/>
    <cellStyle name="Normal 4 63" xfId="30511" xr:uid="{00000000-0005-0000-0000-00002F770000}"/>
    <cellStyle name="Normal 4 64" xfId="30512" xr:uid="{00000000-0005-0000-0000-000030770000}"/>
    <cellStyle name="Normal 4 65" xfId="30513" xr:uid="{00000000-0005-0000-0000-000031770000}"/>
    <cellStyle name="Normal 4 66" xfId="30514" xr:uid="{00000000-0005-0000-0000-000032770000}"/>
    <cellStyle name="Normal 4 67" xfId="30515" xr:uid="{00000000-0005-0000-0000-000033770000}"/>
    <cellStyle name="Normal 4 68" xfId="30516" xr:uid="{00000000-0005-0000-0000-000034770000}"/>
    <cellStyle name="Normal 4 69" xfId="30517" xr:uid="{00000000-0005-0000-0000-000035770000}"/>
    <cellStyle name="Normal 4 7" xfId="30518" xr:uid="{00000000-0005-0000-0000-000036770000}"/>
    <cellStyle name="Normal 4 7 2" xfId="30519" xr:uid="{00000000-0005-0000-0000-000037770000}"/>
    <cellStyle name="Normal 4 7 3" xfId="30520" xr:uid="{00000000-0005-0000-0000-000038770000}"/>
    <cellStyle name="Normal 4 7 4" xfId="30521" xr:uid="{00000000-0005-0000-0000-000039770000}"/>
    <cellStyle name="Normal 4 7 5" xfId="30522" xr:uid="{00000000-0005-0000-0000-00003A770000}"/>
    <cellStyle name="Normal 4 7_Enlaces" xfId="30523" xr:uid="{00000000-0005-0000-0000-00003B770000}"/>
    <cellStyle name="Normal 4 70" xfId="30524" xr:uid="{00000000-0005-0000-0000-00003C770000}"/>
    <cellStyle name="Normal 4 71" xfId="30525" xr:uid="{00000000-0005-0000-0000-00003D770000}"/>
    <cellStyle name="Normal 4 72" xfId="30526" xr:uid="{00000000-0005-0000-0000-00003E770000}"/>
    <cellStyle name="Normal 4 73" xfId="30527" xr:uid="{00000000-0005-0000-0000-00003F770000}"/>
    <cellStyle name="Normal 4 74" xfId="30528" xr:uid="{00000000-0005-0000-0000-000040770000}"/>
    <cellStyle name="Normal 4 75" xfId="30529" xr:uid="{00000000-0005-0000-0000-000041770000}"/>
    <cellStyle name="Normal 4 76" xfId="30530" xr:uid="{00000000-0005-0000-0000-000042770000}"/>
    <cellStyle name="Normal 4 77" xfId="30531" xr:uid="{00000000-0005-0000-0000-000043770000}"/>
    <cellStyle name="Normal 4 78" xfId="30532" xr:uid="{00000000-0005-0000-0000-000044770000}"/>
    <cellStyle name="Normal 4 79" xfId="30533" xr:uid="{00000000-0005-0000-0000-000045770000}"/>
    <cellStyle name="Normal 4 8" xfId="30534" xr:uid="{00000000-0005-0000-0000-000046770000}"/>
    <cellStyle name="Normal 4 8 2" xfId="30535" xr:uid="{00000000-0005-0000-0000-000047770000}"/>
    <cellStyle name="Normal 4 8 3" xfId="30536" xr:uid="{00000000-0005-0000-0000-000048770000}"/>
    <cellStyle name="Normal 4 8 4" xfId="30537" xr:uid="{00000000-0005-0000-0000-000049770000}"/>
    <cellStyle name="Normal 4 8 5" xfId="30538" xr:uid="{00000000-0005-0000-0000-00004A770000}"/>
    <cellStyle name="Normal 4 8_Enlaces" xfId="30539" xr:uid="{00000000-0005-0000-0000-00004B770000}"/>
    <cellStyle name="Normal 4 80" xfId="30540" xr:uid="{00000000-0005-0000-0000-00004C770000}"/>
    <cellStyle name="Normal 4 81" xfId="30541" xr:uid="{00000000-0005-0000-0000-00004D770000}"/>
    <cellStyle name="Normal 4 82" xfId="30542" xr:uid="{00000000-0005-0000-0000-00004E770000}"/>
    <cellStyle name="Normal 4 83" xfId="30543" xr:uid="{00000000-0005-0000-0000-00004F770000}"/>
    <cellStyle name="Normal 4 84" xfId="30544" xr:uid="{00000000-0005-0000-0000-000050770000}"/>
    <cellStyle name="Normal 4 85" xfId="30545" xr:uid="{00000000-0005-0000-0000-000051770000}"/>
    <cellStyle name="Normal 4 86" xfId="30546" xr:uid="{00000000-0005-0000-0000-000052770000}"/>
    <cellStyle name="Normal 4 87" xfId="30547" xr:uid="{00000000-0005-0000-0000-000053770000}"/>
    <cellStyle name="Normal 4 88" xfId="30548" xr:uid="{00000000-0005-0000-0000-000054770000}"/>
    <cellStyle name="Normal 4 89" xfId="30549" xr:uid="{00000000-0005-0000-0000-000055770000}"/>
    <cellStyle name="Normal 4 9" xfId="30550" xr:uid="{00000000-0005-0000-0000-000056770000}"/>
    <cellStyle name="Normal 4 9 2" xfId="30551" xr:uid="{00000000-0005-0000-0000-000057770000}"/>
    <cellStyle name="Normal 4 9 3" xfId="30552" xr:uid="{00000000-0005-0000-0000-000058770000}"/>
    <cellStyle name="Normal 4 9 4" xfId="30553" xr:uid="{00000000-0005-0000-0000-000059770000}"/>
    <cellStyle name="Normal 4 9 5" xfId="30554" xr:uid="{00000000-0005-0000-0000-00005A770000}"/>
    <cellStyle name="Normal 4 9_Enlaces" xfId="30555" xr:uid="{00000000-0005-0000-0000-00005B770000}"/>
    <cellStyle name="Normal 4 90" xfId="30556" xr:uid="{00000000-0005-0000-0000-00005C770000}"/>
    <cellStyle name="Normal 4 91" xfId="30557" xr:uid="{00000000-0005-0000-0000-00005D770000}"/>
    <cellStyle name="Normal 4 92" xfId="30558" xr:uid="{00000000-0005-0000-0000-00005E770000}"/>
    <cellStyle name="Normal 4 93" xfId="30559" xr:uid="{00000000-0005-0000-0000-00005F770000}"/>
    <cellStyle name="Normal 4 94" xfId="30560" xr:uid="{00000000-0005-0000-0000-000060770000}"/>
    <cellStyle name="Normal 4 95" xfId="30561" xr:uid="{00000000-0005-0000-0000-000061770000}"/>
    <cellStyle name="Normal 4 96" xfId="30562" xr:uid="{00000000-0005-0000-0000-000062770000}"/>
    <cellStyle name="Normal 4 97" xfId="30563" xr:uid="{00000000-0005-0000-0000-000063770000}"/>
    <cellStyle name="Normal 4 98" xfId="30564" xr:uid="{00000000-0005-0000-0000-000064770000}"/>
    <cellStyle name="Normal 4 98 2" xfId="30565" xr:uid="{00000000-0005-0000-0000-000065770000}"/>
    <cellStyle name="Normal 4 98 3" xfId="30566" xr:uid="{00000000-0005-0000-0000-000066770000}"/>
    <cellStyle name="Normal 4 98 4" xfId="30567" xr:uid="{00000000-0005-0000-0000-000067770000}"/>
    <cellStyle name="Normal 4 98 5" xfId="30568" xr:uid="{00000000-0005-0000-0000-000068770000}"/>
    <cellStyle name="Normal 4 98 6" xfId="30569" xr:uid="{00000000-0005-0000-0000-000069770000}"/>
    <cellStyle name="Normal 4 99" xfId="30570" xr:uid="{00000000-0005-0000-0000-00006A770000}"/>
    <cellStyle name="Normal 4 99 2" xfId="30571" xr:uid="{00000000-0005-0000-0000-00006B770000}"/>
    <cellStyle name="Normal 4 99 3" xfId="30572" xr:uid="{00000000-0005-0000-0000-00006C770000}"/>
    <cellStyle name="Normal 4 99 4" xfId="30573" xr:uid="{00000000-0005-0000-0000-00006D770000}"/>
    <cellStyle name="Normal 4 99 5" xfId="30574" xr:uid="{00000000-0005-0000-0000-00006E770000}"/>
    <cellStyle name="Normal 4 99 6" xfId="30575" xr:uid="{00000000-0005-0000-0000-00006F770000}"/>
    <cellStyle name="Normal 4_Enlaces" xfId="30576" xr:uid="{00000000-0005-0000-0000-000070770000}"/>
    <cellStyle name="Normal 40" xfId="30577" xr:uid="{00000000-0005-0000-0000-000071770000}"/>
    <cellStyle name="Normal 40 10" xfId="30578" xr:uid="{00000000-0005-0000-0000-000072770000}"/>
    <cellStyle name="Normal 40 11" xfId="30579" xr:uid="{00000000-0005-0000-0000-000073770000}"/>
    <cellStyle name="Normal 40 12" xfId="30580" xr:uid="{00000000-0005-0000-0000-000074770000}"/>
    <cellStyle name="Normal 40 13" xfId="30581" xr:uid="{00000000-0005-0000-0000-000075770000}"/>
    <cellStyle name="Normal 40 14" xfId="30582" xr:uid="{00000000-0005-0000-0000-000076770000}"/>
    <cellStyle name="Normal 40 15" xfId="30583" xr:uid="{00000000-0005-0000-0000-000077770000}"/>
    <cellStyle name="Normal 40 16" xfId="30584" xr:uid="{00000000-0005-0000-0000-000078770000}"/>
    <cellStyle name="Normal 40 17" xfId="30585" xr:uid="{00000000-0005-0000-0000-000079770000}"/>
    <cellStyle name="Normal 40 18" xfId="30586" xr:uid="{00000000-0005-0000-0000-00007A770000}"/>
    <cellStyle name="Normal 40 19" xfId="30587" xr:uid="{00000000-0005-0000-0000-00007B770000}"/>
    <cellStyle name="Normal 40 2" xfId="30588" xr:uid="{00000000-0005-0000-0000-00007C770000}"/>
    <cellStyle name="Normal 40 2 2" xfId="30589" xr:uid="{00000000-0005-0000-0000-00007D770000}"/>
    <cellStyle name="Normal 40 20" xfId="30590" xr:uid="{00000000-0005-0000-0000-00007E770000}"/>
    <cellStyle name="Normal 40 21" xfId="30591" xr:uid="{00000000-0005-0000-0000-00007F770000}"/>
    <cellStyle name="Normal 40 22" xfId="30592" xr:uid="{00000000-0005-0000-0000-000080770000}"/>
    <cellStyle name="Normal 40 23" xfId="30593" xr:uid="{00000000-0005-0000-0000-000081770000}"/>
    <cellStyle name="Normal 40 24" xfId="30594" xr:uid="{00000000-0005-0000-0000-000082770000}"/>
    <cellStyle name="Normal 40 25" xfId="30595" xr:uid="{00000000-0005-0000-0000-000083770000}"/>
    <cellStyle name="Normal 40 26" xfId="30596" xr:uid="{00000000-0005-0000-0000-000084770000}"/>
    <cellStyle name="Normal 40 3" xfId="30597" xr:uid="{00000000-0005-0000-0000-000085770000}"/>
    <cellStyle name="Normal 40 3 2" xfId="30598" xr:uid="{00000000-0005-0000-0000-000086770000}"/>
    <cellStyle name="Normal 40 4" xfId="30599" xr:uid="{00000000-0005-0000-0000-000087770000}"/>
    <cellStyle name="Normal 40 4 2" xfId="30600" xr:uid="{00000000-0005-0000-0000-000088770000}"/>
    <cellStyle name="Normal 40 5" xfId="30601" xr:uid="{00000000-0005-0000-0000-000089770000}"/>
    <cellStyle name="Normal 40 5 2" xfId="30602" xr:uid="{00000000-0005-0000-0000-00008A770000}"/>
    <cellStyle name="Normal 40 6" xfId="30603" xr:uid="{00000000-0005-0000-0000-00008B770000}"/>
    <cellStyle name="Normal 40 7" xfId="30604" xr:uid="{00000000-0005-0000-0000-00008C770000}"/>
    <cellStyle name="Normal 40 8" xfId="30605" xr:uid="{00000000-0005-0000-0000-00008D770000}"/>
    <cellStyle name="Normal 40 9" xfId="30606" xr:uid="{00000000-0005-0000-0000-00008E770000}"/>
    <cellStyle name="Normal 41" xfId="30607" xr:uid="{00000000-0005-0000-0000-00008F770000}"/>
    <cellStyle name="Normal 41 10" xfId="30608" xr:uid="{00000000-0005-0000-0000-000090770000}"/>
    <cellStyle name="Normal 41 11" xfId="30609" xr:uid="{00000000-0005-0000-0000-000091770000}"/>
    <cellStyle name="Normal 41 12" xfId="30610" xr:uid="{00000000-0005-0000-0000-000092770000}"/>
    <cellStyle name="Normal 41 13" xfId="30611" xr:uid="{00000000-0005-0000-0000-000093770000}"/>
    <cellStyle name="Normal 41 14" xfId="30612" xr:uid="{00000000-0005-0000-0000-000094770000}"/>
    <cellStyle name="Normal 41 15" xfId="30613" xr:uid="{00000000-0005-0000-0000-000095770000}"/>
    <cellStyle name="Normal 41 16" xfId="30614" xr:uid="{00000000-0005-0000-0000-000096770000}"/>
    <cellStyle name="Normal 41 17" xfId="30615" xr:uid="{00000000-0005-0000-0000-000097770000}"/>
    <cellStyle name="Normal 41 18" xfId="30616" xr:uid="{00000000-0005-0000-0000-000098770000}"/>
    <cellStyle name="Normal 41 19" xfId="30617" xr:uid="{00000000-0005-0000-0000-000099770000}"/>
    <cellStyle name="Normal 41 2" xfId="30618" xr:uid="{00000000-0005-0000-0000-00009A770000}"/>
    <cellStyle name="Normal 41 2 2" xfId="30619" xr:uid="{00000000-0005-0000-0000-00009B770000}"/>
    <cellStyle name="Normal 41 20" xfId="30620" xr:uid="{00000000-0005-0000-0000-00009C770000}"/>
    <cellStyle name="Normal 41 21" xfId="30621" xr:uid="{00000000-0005-0000-0000-00009D770000}"/>
    <cellStyle name="Normal 41 22" xfId="30622" xr:uid="{00000000-0005-0000-0000-00009E770000}"/>
    <cellStyle name="Normal 41 23" xfId="30623" xr:uid="{00000000-0005-0000-0000-00009F770000}"/>
    <cellStyle name="Normal 41 24" xfId="30624" xr:uid="{00000000-0005-0000-0000-0000A0770000}"/>
    <cellStyle name="Normal 41 25" xfId="30625" xr:uid="{00000000-0005-0000-0000-0000A1770000}"/>
    <cellStyle name="Normal 41 26" xfId="30626" xr:uid="{00000000-0005-0000-0000-0000A2770000}"/>
    <cellStyle name="Normal 41 3" xfId="30627" xr:uid="{00000000-0005-0000-0000-0000A3770000}"/>
    <cellStyle name="Normal 41 3 2" xfId="30628" xr:uid="{00000000-0005-0000-0000-0000A4770000}"/>
    <cellStyle name="Normal 41 4" xfId="30629" xr:uid="{00000000-0005-0000-0000-0000A5770000}"/>
    <cellStyle name="Normal 41 4 2" xfId="30630" xr:uid="{00000000-0005-0000-0000-0000A6770000}"/>
    <cellStyle name="Normal 41 5" xfId="30631" xr:uid="{00000000-0005-0000-0000-0000A7770000}"/>
    <cellStyle name="Normal 41 5 2" xfId="30632" xr:uid="{00000000-0005-0000-0000-0000A8770000}"/>
    <cellStyle name="Normal 41 6" xfId="30633" xr:uid="{00000000-0005-0000-0000-0000A9770000}"/>
    <cellStyle name="Normal 41 7" xfId="30634" xr:uid="{00000000-0005-0000-0000-0000AA770000}"/>
    <cellStyle name="Normal 41 8" xfId="30635" xr:uid="{00000000-0005-0000-0000-0000AB770000}"/>
    <cellStyle name="Normal 41 9" xfId="30636" xr:uid="{00000000-0005-0000-0000-0000AC770000}"/>
    <cellStyle name="Normal 42" xfId="30637" xr:uid="{00000000-0005-0000-0000-0000AD770000}"/>
    <cellStyle name="Normal 43" xfId="30638" xr:uid="{00000000-0005-0000-0000-0000AE770000}"/>
    <cellStyle name="Normal 43 10" xfId="30639" xr:uid="{00000000-0005-0000-0000-0000AF770000}"/>
    <cellStyle name="Normal 43 11" xfId="30640" xr:uid="{00000000-0005-0000-0000-0000B0770000}"/>
    <cellStyle name="Normal 43 12" xfId="30641" xr:uid="{00000000-0005-0000-0000-0000B1770000}"/>
    <cellStyle name="Normal 43 13" xfId="30642" xr:uid="{00000000-0005-0000-0000-0000B2770000}"/>
    <cellStyle name="Normal 43 14" xfId="30643" xr:uid="{00000000-0005-0000-0000-0000B3770000}"/>
    <cellStyle name="Normal 43 15" xfId="30644" xr:uid="{00000000-0005-0000-0000-0000B4770000}"/>
    <cellStyle name="Normal 43 16" xfId="30645" xr:uid="{00000000-0005-0000-0000-0000B5770000}"/>
    <cellStyle name="Normal 43 17" xfId="30646" xr:uid="{00000000-0005-0000-0000-0000B6770000}"/>
    <cellStyle name="Normal 43 18" xfId="30647" xr:uid="{00000000-0005-0000-0000-0000B7770000}"/>
    <cellStyle name="Normal 43 19" xfId="30648" xr:uid="{00000000-0005-0000-0000-0000B8770000}"/>
    <cellStyle name="Normal 43 2" xfId="30649" xr:uid="{00000000-0005-0000-0000-0000B9770000}"/>
    <cellStyle name="Normal 43 2 2" xfId="30650" xr:uid="{00000000-0005-0000-0000-0000BA770000}"/>
    <cellStyle name="Normal 43 20" xfId="30651" xr:uid="{00000000-0005-0000-0000-0000BB770000}"/>
    <cellStyle name="Normal 43 21" xfId="30652" xr:uid="{00000000-0005-0000-0000-0000BC770000}"/>
    <cellStyle name="Normal 43 22" xfId="30653" xr:uid="{00000000-0005-0000-0000-0000BD770000}"/>
    <cellStyle name="Normal 43 23" xfId="30654" xr:uid="{00000000-0005-0000-0000-0000BE770000}"/>
    <cellStyle name="Normal 43 24" xfId="30655" xr:uid="{00000000-0005-0000-0000-0000BF770000}"/>
    <cellStyle name="Normal 43 25" xfId="30656" xr:uid="{00000000-0005-0000-0000-0000C0770000}"/>
    <cellStyle name="Normal 43 26" xfId="30657" xr:uid="{00000000-0005-0000-0000-0000C1770000}"/>
    <cellStyle name="Normal 43 27" xfId="30658" xr:uid="{00000000-0005-0000-0000-0000C2770000}"/>
    <cellStyle name="Normal 43 28" xfId="30659" xr:uid="{00000000-0005-0000-0000-0000C3770000}"/>
    <cellStyle name="Normal 43 3" xfId="30660" xr:uid="{00000000-0005-0000-0000-0000C4770000}"/>
    <cellStyle name="Normal 43 3 2" xfId="30661" xr:uid="{00000000-0005-0000-0000-0000C5770000}"/>
    <cellStyle name="Normal 43 4" xfId="30662" xr:uid="{00000000-0005-0000-0000-0000C6770000}"/>
    <cellStyle name="Normal 43 4 2" xfId="30663" xr:uid="{00000000-0005-0000-0000-0000C7770000}"/>
    <cellStyle name="Normal 43 5" xfId="30664" xr:uid="{00000000-0005-0000-0000-0000C8770000}"/>
    <cellStyle name="Normal 43 5 2" xfId="30665" xr:uid="{00000000-0005-0000-0000-0000C9770000}"/>
    <cellStyle name="Normal 43 6" xfId="30666" xr:uid="{00000000-0005-0000-0000-0000CA770000}"/>
    <cellStyle name="Normal 43 7" xfId="30667" xr:uid="{00000000-0005-0000-0000-0000CB770000}"/>
    <cellStyle name="Normal 43 8" xfId="30668" xr:uid="{00000000-0005-0000-0000-0000CC770000}"/>
    <cellStyle name="Normal 43 9" xfId="30669" xr:uid="{00000000-0005-0000-0000-0000CD770000}"/>
    <cellStyle name="Normal 44" xfId="30670" xr:uid="{00000000-0005-0000-0000-0000CE770000}"/>
    <cellStyle name="Normal 44 10" xfId="30671" xr:uid="{00000000-0005-0000-0000-0000CF770000}"/>
    <cellStyle name="Normal 44 11" xfId="30672" xr:uid="{00000000-0005-0000-0000-0000D0770000}"/>
    <cellStyle name="Normal 44 12" xfId="30673" xr:uid="{00000000-0005-0000-0000-0000D1770000}"/>
    <cellStyle name="Normal 44 13" xfId="30674" xr:uid="{00000000-0005-0000-0000-0000D2770000}"/>
    <cellStyle name="Normal 44 14" xfId="30675" xr:uid="{00000000-0005-0000-0000-0000D3770000}"/>
    <cellStyle name="Normal 44 15" xfId="30676" xr:uid="{00000000-0005-0000-0000-0000D4770000}"/>
    <cellStyle name="Normal 44 16" xfId="30677" xr:uid="{00000000-0005-0000-0000-0000D5770000}"/>
    <cellStyle name="Normal 44 17" xfId="30678" xr:uid="{00000000-0005-0000-0000-0000D6770000}"/>
    <cellStyle name="Normal 44 18" xfId="30679" xr:uid="{00000000-0005-0000-0000-0000D7770000}"/>
    <cellStyle name="Normal 44 19" xfId="30680" xr:uid="{00000000-0005-0000-0000-0000D8770000}"/>
    <cellStyle name="Normal 44 2" xfId="30681" xr:uid="{00000000-0005-0000-0000-0000D9770000}"/>
    <cellStyle name="Normal 44 2 2" xfId="30682" xr:uid="{00000000-0005-0000-0000-0000DA770000}"/>
    <cellStyle name="Normal 44 20" xfId="30683" xr:uid="{00000000-0005-0000-0000-0000DB770000}"/>
    <cellStyle name="Normal 44 21" xfId="30684" xr:uid="{00000000-0005-0000-0000-0000DC770000}"/>
    <cellStyle name="Normal 44 22" xfId="30685" xr:uid="{00000000-0005-0000-0000-0000DD770000}"/>
    <cellStyle name="Normal 44 23" xfId="30686" xr:uid="{00000000-0005-0000-0000-0000DE770000}"/>
    <cellStyle name="Normal 44 24" xfId="30687" xr:uid="{00000000-0005-0000-0000-0000DF770000}"/>
    <cellStyle name="Normal 44 25" xfId="30688" xr:uid="{00000000-0005-0000-0000-0000E0770000}"/>
    <cellStyle name="Normal 44 26" xfId="30689" xr:uid="{00000000-0005-0000-0000-0000E1770000}"/>
    <cellStyle name="Normal 44 3" xfId="30690" xr:uid="{00000000-0005-0000-0000-0000E2770000}"/>
    <cellStyle name="Normal 44 3 2" xfId="30691" xr:uid="{00000000-0005-0000-0000-0000E3770000}"/>
    <cellStyle name="Normal 44 4" xfId="30692" xr:uid="{00000000-0005-0000-0000-0000E4770000}"/>
    <cellStyle name="Normal 44 4 2" xfId="30693" xr:uid="{00000000-0005-0000-0000-0000E5770000}"/>
    <cellStyle name="Normal 44 5" xfId="30694" xr:uid="{00000000-0005-0000-0000-0000E6770000}"/>
    <cellStyle name="Normal 44 5 2" xfId="30695" xr:uid="{00000000-0005-0000-0000-0000E7770000}"/>
    <cellStyle name="Normal 44 6" xfId="30696" xr:uid="{00000000-0005-0000-0000-0000E8770000}"/>
    <cellStyle name="Normal 44 7" xfId="30697" xr:uid="{00000000-0005-0000-0000-0000E9770000}"/>
    <cellStyle name="Normal 44 8" xfId="30698" xr:uid="{00000000-0005-0000-0000-0000EA770000}"/>
    <cellStyle name="Normal 44 9" xfId="30699" xr:uid="{00000000-0005-0000-0000-0000EB770000}"/>
    <cellStyle name="Normal 45" xfId="30700" xr:uid="{00000000-0005-0000-0000-0000EC770000}"/>
    <cellStyle name="Normal 46" xfId="30701" xr:uid="{00000000-0005-0000-0000-0000ED770000}"/>
    <cellStyle name="Normal 47" xfId="30702" xr:uid="{00000000-0005-0000-0000-0000EE770000}"/>
    <cellStyle name="Normal 48" xfId="30703" xr:uid="{00000000-0005-0000-0000-0000EF770000}"/>
    <cellStyle name="Normal 49" xfId="30704" xr:uid="{00000000-0005-0000-0000-0000F0770000}"/>
    <cellStyle name="Normal 49 10" xfId="30705" xr:uid="{00000000-0005-0000-0000-0000F1770000}"/>
    <cellStyle name="Normal 49 11" xfId="30706" xr:uid="{00000000-0005-0000-0000-0000F2770000}"/>
    <cellStyle name="Normal 49 12" xfId="30707" xr:uid="{00000000-0005-0000-0000-0000F3770000}"/>
    <cellStyle name="Normal 49 13" xfId="30708" xr:uid="{00000000-0005-0000-0000-0000F4770000}"/>
    <cellStyle name="Normal 49 14" xfId="30709" xr:uid="{00000000-0005-0000-0000-0000F5770000}"/>
    <cellStyle name="Normal 49 15" xfId="30710" xr:uid="{00000000-0005-0000-0000-0000F6770000}"/>
    <cellStyle name="Normal 49 16" xfId="30711" xr:uid="{00000000-0005-0000-0000-0000F7770000}"/>
    <cellStyle name="Normal 49 17" xfId="30712" xr:uid="{00000000-0005-0000-0000-0000F8770000}"/>
    <cellStyle name="Normal 49 18" xfId="30713" xr:uid="{00000000-0005-0000-0000-0000F9770000}"/>
    <cellStyle name="Normal 49 19" xfId="30714" xr:uid="{00000000-0005-0000-0000-0000FA770000}"/>
    <cellStyle name="Normal 49 2" xfId="30715" xr:uid="{00000000-0005-0000-0000-0000FB770000}"/>
    <cellStyle name="Normal 49 2 2" xfId="30716" xr:uid="{00000000-0005-0000-0000-0000FC770000}"/>
    <cellStyle name="Normal 49 20" xfId="30717" xr:uid="{00000000-0005-0000-0000-0000FD770000}"/>
    <cellStyle name="Normal 49 21" xfId="30718" xr:uid="{00000000-0005-0000-0000-0000FE770000}"/>
    <cellStyle name="Normal 49 22" xfId="30719" xr:uid="{00000000-0005-0000-0000-0000FF770000}"/>
    <cellStyle name="Normal 49 23" xfId="30720" xr:uid="{00000000-0005-0000-0000-000000780000}"/>
    <cellStyle name="Normal 49 24" xfId="30721" xr:uid="{00000000-0005-0000-0000-000001780000}"/>
    <cellStyle name="Normal 49 25" xfId="30722" xr:uid="{00000000-0005-0000-0000-000002780000}"/>
    <cellStyle name="Normal 49 26" xfId="30723" xr:uid="{00000000-0005-0000-0000-000003780000}"/>
    <cellStyle name="Normal 49 3" xfId="30724" xr:uid="{00000000-0005-0000-0000-000004780000}"/>
    <cellStyle name="Normal 49 3 2" xfId="30725" xr:uid="{00000000-0005-0000-0000-000005780000}"/>
    <cellStyle name="Normal 49 4" xfId="30726" xr:uid="{00000000-0005-0000-0000-000006780000}"/>
    <cellStyle name="Normal 49 4 2" xfId="30727" xr:uid="{00000000-0005-0000-0000-000007780000}"/>
    <cellStyle name="Normal 49 5" xfId="30728" xr:uid="{00000000-0005-0000-0000-000008780000}"/>
    <cellStyle name="Normal 49 5 2" xfId="30729" xr:uid="{00000000-0005-0000-0000-000009780000}"/>
    <cellStyle name="Normal 49 6" xfId="30730" xr:uid="{00000000-0005-0000-0000-00000A780000}"/>
    <cellStyle name="Normal 49 7" xfId="30731" xr:uid="{00000000-0005-0000-0000-00000B780000}"/>
    <cellStyle name="Normal 49 8" xfId="30732" xr:uid="{00000000-0005-0000-0000-00000C780000}"/>
    <cellStyle name="Normal 49 9" xfId="30733" xr:uid="{00000000-0005-0000-0000-00000D780000}"/>
    <cellStyle name="Normal 5" xfId="2" xr:uid="{00000000-0005-0000-0000-000002000000}"/>
    <cellStyle name="Normal 5 10" xfId="30734" xr:uid="{00000000-0005-0000-0000-00000E780000}"/>
    <cellStyle name="Normal 5 10 10" xfId="30735" xr:uid="{00000000-0005-0000-0000-00000F780000}"/>
    <cellStyle name="Normal 5 10 10 10" xfId="30736" xr:uid="{00000000-0005-0000-0000-000010780000}"/>
    <cellStyle name="Normal 5 10 10 11" xfId="30737" xr:uid="{00000000-0005-0000-0000-000011780000}"/>
    <cellStyle name="Normal 5 10 10 12" xfId="30738" xr:uid="{00000000-0005-0000-0000-000012780000}"/>
    <cellStyle name="Normal 5 10 10 13" xfId="30739" xr:uid="{00000000-0005-0000-0000-000013780000}"/>
    <cellStyle name="Normal 5 10 10 14" xfId="30740" xr:uid="{00000000-0005-0000-0000-000014780000}"/>
    <cellStyle name="Normal 5 10 10 2" xfId="30741" xr:uid="{00000000-0005-0000-0000-000015780000}"/>
    <cellStyle name="Normal 5 10 10 2 10" xfId="30742" xr:uid="{00000000-0005-0000-0000-000016780000}"/>
    <cellStyle name="Normal 5 10 10 2 2" xfId="30743" xr:uid="{00000000-0005-0000-0000-000017780000}"/>
    <cellStyle name="Normal 5 10 10 2 3" xfId="30744" xr:uid="{00000000-0005-0000-0000-000018780000}"/>
    <cellStyle name="Normal 5 10 10 2 4" xfId="30745" xr:uid="{00000000-0005-0000-0000-000019780000}"/>
    <cellStyle name="Normal 5 10 10 2 5" xfId="30746" xr:uid="{00000000-0005-0000-0000-00001A780000}"/>
    <cellStyle name="Normal 5 10 10 2 6" xfId="30747" xr:uid="{00000000-0005-0000-0000-00001B780000}"/>
    <cellStyle name="Normal 5 10 10 2 7" xfId="30748" xr:uid="{00000000-0005-0000-0000-00001C780000}"/>
    <cellStyle name="Normal 5 10 10 2 8" xfId="30749" xr:uid="{00000000-0005-0000-0000-00001D780000}"/>
    <cellStyle name="Normal 5 10 10 2 9" xfId="30750" xr:uid="{00000000-0005-0000-0000-00001E780000}"/>
    <cellStyle name="Normal 5 10 10 3" xfId="30751" xr:uid="{00000000-0005-0000-0000-00001F780000}"/>
    <cellStyle name="Normal 5 10 10 3 10" xfId="30752" xr:uid="{00000000-0005-0000-0000-000020780000}"/>
    <cellStyle name="Normal 5 10 10 3 2" xfId="30753" xr:uid="{00000000-0005-0000-0000-000021780000}"/>
    <cellStyle name="Normal 5 10 10 3 3" xfId="30754" xr:uid="{00000000-0005-0000-0000-000022780000}"/>
    <cellStyle name="Normal 5 10 10 3 4" xfId="30755" xr:uid="{00000000-0005-0000-0000-000023780000}"/>
    <cellStyle name="Normal 5 10 10 3 5" xfId="30756" xr:uid="{00000000-0005-0000-0000-000024780000}"/>
    <cellStyle name="Normal 5 10 10 3 6" xfId="30757" xr:uid="{00000000-0005-0000-0000-000025780000}"/>
    <cellStyle name="Normal 5 10 10 3 7" xfId="30758" xr:uid="{00000000-0005-0000-0000-000026780000}"/>
    <cellStyle name="Normal 5 10 10 3 8" xfId="30759" xr:uid="{00000000-0005-0000-0000-000027780000}"/>
    <cellStyle name="Normal 5 10 10 3 9" xfId="30760" xr:uid="{00000000-0005-0000-0000-000028780000}"/>
    <cellStyle name="Normal 5 10 10 4" xfId="30761" xr:uid="{00000000-0005-0000-0000-000029780000}"/>
    <cellStyle name="Normal 5 10 10 4 10" xfId="30762" xr:uid="{00000000-0005-0000-0000-00002A780000}"/>
    <cellStyle name="Normal 5 10 10 4 2" xfId="30763" xr:uid="{00000000-0005-0000-0000-00002B780000}"/>
    <cellStyle name="Normal 5 10 10 4 3" xfId="30764" xr:uid="{00000000-0005-0000-0000-00002C780000}"/>
    <cellStyle name="Normal 5 10 10 4 4" xfId="30765" xr:uid="{00000000-0005-0000-0000-00002D780000}"/>
    <cellStyle name="Normal 5 10 10 4 5" xfId="30766" xr:uid="{00000000-0005-0000-0000-00002E780000}"/>
    <cellStyle name="Normal 5 10 10 4 6" xfId="30767" xr:uid="{00000000-0005-0000-0000-00002F780000}"/>
    <cellStyle name="Normal 5 10 10 4 7" xfId="30768" xr:uid="{00000000-0005-0000-0000-000030780000}"/>
    <cellStyle name="Normal 5 10 10 4 8" xfId="30769" xr:uid="{00000000-0005-0000-0000-000031780000}"/>
    <cellStyle name="Normal 5 10 10 4 9" xfId="30770" xr:uid="{00000000-0005-0000-0000-000032780000}"/>
    <cellStyle name="Normal 5 10 10 5" xfId="30771" xr:uid="{00000000-0005-0000-0000-000033780000}"/>
    <cellStyle name="Normal 5 10 10 5 10" xfId="30772" xr:uid="{00000000-0005-0000-0000-000034780000}"/>
    <cellStyle name="Normal 5 10 10 5 2" xfId="30773" xr:uid="{00000000-0005-0000-0000-000035780000}"/>
    <cellStyle name="Normal 5 10 10 5 3" xfId="30774" xr:uid="{00000000-0005-0000-0000-000036780000}"/>
    <cellStyle name="Normal 5 10 10 5 4" xfId="30775" xr:uid="{00000000-0005-0000-0000-000037780000}"/>
    <cellStyle name="Normal 5 10 10 5 5" xfId="30776" xr:uid="{00000000-0005-0000-0000-000038780000}"/>
    <cellStyle name="Normal 5 10 10 5 6" xfId="30777" xr:uid="{00000000-0005-0000-0000-000039780000}"/>
    <cellStyle name="Normal 5 10 10 5 7" xfId="30778" xr:uid="{00000000-0005-0000-0000-00003A780000}"/>
    <cellStyle name="Normal 5 10 10 5 8" xfId="30779" xr:uid="{00000000-0005-0000-0000-00003B780000}"/>
    <cellStyle name="Normal 5 10 10 5 9" xfId="30780" xr:uid="{00000000-0005-0000-0000-00003C780000}"/>
    <cellStyle name="Normal 5 10 10 6" xfId="30781" xr:uid="{00000000-0005-0000-0000-00003D780000}"/>
    <cellStyle name="Normal 5 10 10 7" xfId="30782" xr:uid="{00000000-0005-0000-0000-00003E780000}"/>
    <cellStyle name="Normal 5 10 10 8" xfId="30783" xr:uid="{00000000-0005-0000-0000-00003F780000}"/>
    <cellStyle name="Normal 5 10 10 9" xfId="30784" xr:uid="{00000000-0005-0000-0000-000040780000}"/>
    <cellStyle name="Normal 5 10 11" xfId="30785" xr:uid="{00000000-0005-0000-0000-000041780000}"/>
    <cellStyle name="Normal 5 10 11 10" xfId="30786" xr:uid="{00000000-0005-0000-0000-000042780000}"/>
    <cellStyle name="Normal 5 10 11 11" xfId="30787" xr:uid="{00000000-0005-0000-0000-000043780000}"/>
    <cellStyle name="Normal 5 10 11 12" xfId="30788" xr:uid="{00000000-0005-0000-0000-000044780000}"/>
    <cellStyle name="Normal 5 10 11 13" xfId="30789" xr:uid="{00000000-0005-0000-0000-000045780000}"/>
    <cellStyle name="Normal 5 10 11 14" xfId="30790" xr:uid="{00000000-0005-0000-0000-000046780000}"/>
    <cellStyle name="Normal 5 10 11 2" xfId="30791" xr:uid="{00000000-0005-0000-0000-000047780000}"/>
    <cellStyle name="Normal 5 10 11 2 10" xfId="30792" xr:uid="{00000000-0005-0000-0000-000048780000}"/>
    <cellStyle name="Normal 5 10 11 2 2" xfId="30793" xr:uid="{00000000-0005-0000-0000-000049780000}"/>
    <cellStyle name="Normal 5 10 11 2 3" xfId="30794" xr:uid="{00000000-0005-0000-0000-00004A780000}"/>
    <cellStyle name="Normal 5 10 11 2 4" xfId="30795" xr:uid="{00000000-0005-0000-0000-00004B780000}"/>
    <cellStyle name="Normal 5 10 11 2 5" xfId="30796" xr:uid="{00000000-0005-0000-0000-00004C780000}"/>
    <cellStyle name="Normal 5 10 11 2 6" xfId="30797" xr:uid="{00000000-0005-0000-0000-00004D780000}"/>
    <cellStyle name="Normal 5 10 11 2 7" xfId="30798" xr:uid="{00000000-0005-0000-0000-00004E780000}"/>
    <cellStyle name="Normal 5 10 11 2 8" xfId="30799" xr:uid="{00000000-0005-0000-0000-00004F780000}"/>
    <cellStyle name="Normal 5 10 11 2 9" xfId="30800" xr:uid="{00000000-0005-0000-0000-000050780000}"/>
    <cellStyle name="Normal 5 10 11 3" xfId="30801" xr:uid="{00000000-0005-0000-0000-000051780000}"/>
    <cellStyle name="Normal 5 10 11 3 10" xfId="30802" xr:uid="{00000000-0005-0000-0000-000052780000}"/>
    <cellStyle name="Normal 5 10 11 3 2" xfId="30803" xr:uid="{00000000-0005-0000-0000-000053780000}"/>
    <cellStyle name="Normal 5 10 11 3 3" xfId="30804" xr:uid="{00000000-0005-0000-0000-000054780000}"/>
    <cellStyle name="Normal 5 10 11 3 4" xfId="30805" xr:uid="{00000000-0005-0000-0000-000055780000}"/>
    <cellStyle name="Normal 5 10 11 3 5" xfId="30806" xr:uid="{00000000-0005-0000-0000-000056780000}"/>
    <cellStyle name="Normal 5 10 11 3 6" xfId="30807" xr:uid="{00000000-0005-0000-0000-000057780000}"/>
    <cellStyle name="Normal 5 10 11 3 7" xfId="30808" xr:uid="{00000000-0005-0000-0000-000058780000}"/>
    <cellStyle name="Normal 5 10 11 3 8" xfId="30809" xr:uid="{00000000-0005-0000-0000-000059780000}"/>
    <cellStyle name="Normal 5 10 11 3 9" xfId="30810" xr:uid="{00000000-0005-0000-0000-00005A780000}"/>
    <cellStyle name="Normal 5 10 11 4" xfId="30811" xr:uid="{00000000-0005-0000-0000-00005B780000}"/>
    <cellStyle name="Normal 5 10 11 4 10" xfId="30812" xr:uid="{00000000-0005-0000-0000-00005C780000}"/>
    <cellStyle name="Normal 5 10 11 4 2" xfId="30813" xr:uid="{00000000-0005-0000-0000-00005D780000}"/>
    <cellStyle name="Normal 5 10 11 4 3" xfId="30814" xr:uid="{00000000-0005-0000-0000-00005E780000}"/>
    <cellStyle name="Normal 5 10 11 4 4" xfId="30815" xr:uid="{00000000-0005-0000-0000-00005F780000}"/>
    <cellStyle name="Normal 5 10 11 4 5" xfId="30816" xr:uid="{00000000-0005-0000-0000-000060780000}"/>
    <cellStyle name="Normal 5 10 11 4 6" xfId="30817" xr:uid="{00000000-0005-0000-0000-000061780000}"/>
    <cellStyle name="Normal 5 10 11 4 7" xfId="30818" xr:uid="{00000000-0005-0000-0000-000062780000}"/>
    <cellStyle name="Normal 5 10 11 4 8" xfId="30819" xr:uid="{00000000-0005-0000-0000-000063780000}"/>
    <cellStyle name="Normal 5 10 11 4 9" xfId="30820" xr:uid="{00000000-0005-0000-0000-000064780000}"/>
    <cellStyle name="Normal 5 10 11 5" xfId="30821" xr:uid="{00000000-0005-0000-0000-000065780000}"/>
    <cellStyle name="Normal 5 10 11 5 10" xfId="30822" xr:uid="{00000000-0005-0000-0000-000066780000}"/>
    <cellStyle name="Normal 5 10 11 5 2" xfId="30823" xr:uid="{00000000-0005-0000-0000-000067780000}"/>
    <cellStyle name="Normal 5 10 11 5 3" xfId="30824" xr:uid="{00000000-0005-0000-0000-000068780000}"/>
    <cellStyle name="Normal 5 10 11 5 4" xfId="30825" xr:uid="{00000000-0005-0000-0000-000069780000}"/>
    <cellStyle name="Normal 5 10 11 5 5" xfId="30826" xr:uid="{00000000-0005-0000-0000-00006A780000}"/>
    <cellStyle name="Normal 5 10 11 5 6" xfId="30827" xr:uid="{00000000-0005-0000-0000-00006B780000}"/>
    <cellStyle name="Normal 5 10 11 5 7" xfId="30828" xr:uid="{00000000-0005-0000-0000-00006C780000}"/>
    <cellStyle name="Normal 5 10 11 5 8" xfId="30829" xr:uid="{00000000-0005-0000-0000-00006D780000}"/>
    <cellStyle name="Normal 5 10 11 5 9" xfId="30830" xr:uid="{00000000-0005-0000-0000-00006E780000}"/>
    <cellStyle name="Normal 5 10 11 6" xfId="30831" xr:uid="{00000000-0005-0000-0000-00006F780000}"/>
    <cellStyle name="Normal 5 10 11 7" xfId="30832" xr:uid="{00000000-0005-0000-0000-000070780000}"/>
    <cellStyle name="Normal 5 10 11 8" xfId="30833" xr:uid="{00000000-0005-0000-0000-000071780000}"/>
    <cellStyle name="Normal 5 10 11 9" xfId="30834" xr:uid="{00000000-0005-0000-0000-000072780000}"/>
    <cellStyle name="Normal 5 10 12" xfId="30835" xr:uid="{00000000-0005-0000-0000-000073780000}"/>
    <cellStyle name="Normal 5 10 12 10" xfId="30836" xr:uid="{00000000-0005-0000-0000-000074780000}"/>
    <cellStyle name="Normal 5 10 12 11" xfId="30837" xr:uid="{00000000-0005-0000-0000-000075780000}"/>
    <cellStyle name="Normal 5 10 12 12" xfId="30838" xr:uid="{00000000-0005-0000-0000-000076780000}"/>
    <cellStyle name="Normal 5 10 12 13" xfId="30839" xr:uid="{00000000-0005-0000-0000-000077780000}"/>
    <cellStyle name="Normal 5 10 12 14" xfId="30840" xr:uid="{00000000-0005-0000-0000-000078780000}"/>
    <cellStyle name="Normal 5 10 12 2" xfId="30841" xr:uid="{00000000-0005-0000-0000-000079780000}"/>
    <cellStyle name="Normal 5 10 12 2 10" xfId="30842" xr:uid="{00000000-0005-0000-0000-00007A780000}"/>
    <cellStyle name="Normal 5 10 12 2 2" xfId="30843" xr:uid="{00000000-0005-0000-0000-00007B780000}"/>
    <cellStyle name="Normal 5 10 12 2 3" xfId="30844" xr:uid="{00000000-0005-0000-0000-00007C780000}"/>
    <cellStyle name="Normal 5 10 12 2 4" xfId="30845" xr:uid="{00000000-0005-0000-0000-00007D780000}"/>
    <cellStyle name="Normal 5 10 12 2 5" xfId="30846" xr:uid="{00000000-0005-0000-0000-00007E780000}"/>
    <cellStyle name="Normal 5 10 12 2 6" xfId="30847" xr:uid="{00000000-0005-0000-0000-00007F780000}"/>
    <cellStyle name="Normal 5 10 12 2 7" xfId="30848" xr:uid="{00000000-0005-0000-0000-000080780000}"/>
    <cellStyle name="Normal 5 10 12 2 8" xfId="30849" xr:uid="{00000000-0005-0000-0000-000081780000}"/>
    <cellStyle name="Normal 5 10 12 2 9" xfId="30850" xr:uid="{00000000-0005-0000-0000-000082780000}"/>
    <cellStyle name="Normal 5 10 12 3" xfId="30851" xr:uid="{00000000-0005-0000-0000-000083780000}"/>
    <cellStyle name="Normal 5 10 12 3 10" xfId="30852" xr:uid="{00000000-0005-0000-0000-000084780000}"/>
    <cellStyle name="Normal 5 10 12 3 2" xfId="30853" xr:uid="{00000000-0005-0000-0000-000085780000}"/>
    <cellStyle name="Normal 5 10 12 3 3" xfId="30854" xr:uid="{00000000-0005-0000-0000-000086780000}"/>
    <cellStyle name="Normal 5 10 12 3 4" xfId="30855" xr:uid="{00000000-0005-0000-0000-000087780000}"/>
    <cellStyle name="Normal 5 10 12 3 5" xfId="30856" xr:uid="{00000000-0005-0000-0000-000088780000}"/>
    <cellStyle name="Normal 5 10 12 3 6" xfId="30857" xr:uid="{00000000-0005-0000-0000-000089780000}"/>
    <cellStyle name="Normal 5 10 12 3 7" xfId="30858" xr:uid="{00000000-0005-0000-0000-00008A780000}"/>
    <cellStyle name="Normal 5 10 12 3 8" xfId="30859" xr:uid="{00000000-0005-0000-0000-00008B780000}"/>
    <cellStyle name="Normal 5 10 12 3 9" xfId="30860" xr:uid="{00000000-0005-0000-0000-00008C780000}"/>
    <cellStyle name="Normal 5 10 12 4" xfId="30861" xr:uid="{00000000-0005-0000-0000-00008D780000}"/>
    <cellStyle name="Normal 5 10 12 4 10" xfId="30862" xr:uid="{00000000-0005-0000-0000-00008E780000}"/>
    <cellStyle name="Normal 5 10 12 4 2" xfId="30863" xr:uid="{00000000-0005-0000-0000-00008F780000}"/>
    <cellStyle name="Normal 5 10 12 4 3" xfId="30864" xr:uid="{00000000-0005-0000-0000-000090780000}"/>
    <cellStyle name="Normal 5 10 12 4 4" xfId="30865" xr:uid="{00000000-0005-0000-0000-000091780000}"/>
    <cellStyle name="Normal 5 10 12 4 5" xfId="30866" xr:uid="{00000000-0005-0000-0000-000092780000}"/>
    <cellStyle name="Normal 5 10 12 4 6" xfId="30867" xr:uid="{00000000-0005-0000-0000-000093780000}"/>
    <cellStyle name="Normal 5 10 12 4 7" xfId="30868" xr:uid="{00000000-0005-0000-0000-000094780000}"/>
    <cellStyle name="Normal 5 10 12 4 8" xfId="30869" xr:uid="{00000000-0005-0000-0000-000095780000}"/>
    <cellStyle name="Normal 5 10 12 4 9" xfId="30870" xr:uid="{00000000-0005-0000-0000-000096780000}"/>
    <cellStyle name="Normal 5 10 12 5" xfId="30871" xr:uid="{00000000-0005-0000-0000-000097780000}"/>
    <cellStyle name="Normal 5 10 12 5 10" xfId="30872" xr:uid="{00000000-0005-0000-0000-000098780000}"/>
    <cellStyle name="Normal 5 10 12 5 2" xfId="30873" xr:uid="{00000000-0005-0000-0000-000099780000}"/>
    <cellStyle name="Normal 5 10 12 5 3" xfId="30874" xr:uid="{00000000-0005-0000-0000-00009A780000}"/>
    <cellStyle name="Normal 5 10 12 5 4" xfId="30875" xr:uid="{00000000-0005-0000-0000-00009B780000}"/>
    <cellStyle name="Normal 5 10 12 5 5" xfId="30876" xr:uid="{00000000-0005-0000-0000-00009C780000}"/>
    <cellStyle name="Normal 5 10 12 5 6" xfId="30877" xr:uid="{00000000-0005-0000-0000-00009D780000}"/>
    <cellStyle name="Normal 5 10 12 5 7" xfId="30878" xr:uid="{00000000-0005-0000-0000-00009E780000}"/>
    <cellStyle name="Normal 5 10 12 5 8" xfId="30879" xr:uid="{00000000-0005-0000-0000-00009F780000}"/>
    <cellStyle name="Normal 5 10 12 5 9" xfId="30880" xr:uid="{00000000-0005-0000-0000-0000A0780000}"/>
    <cellStyle name="Normal 5 10 12 6" xfId="30881" xr:uid="{00000000-0005-0000-0000-0000A1780000}"/>
    <cellStyle name="Normal 5 10 12 7" xfId="30882" xr:uid="{00000000-0005-0000-0000-0000A2780000}"/>
    <cellStyle name="Normal 5 10 12 8" xfId="30883" xr:uid="{00000000-0005-0000-0000-0000A3780000}"/>
    <cellStyle name="Normal 5 10 12 9" xfId="30884" xr:uid="{00000000-0005-0000-0000-0000A4780000}"/>
    <cellStyle name="Normal 5 10 13" xfId="30885" xr:uid="{00000000-0005-0000-0000-0000A5780000}"/>
    <cellStyle name="Normal 5 10 13 10" xfId="30886" xr:uid="{00000000-0005-0000-0000-0000A6780000}"/>
    <cellStyle name="Normal 5 10 13 11" xfId="30887" xr:uid="{00000000-0005-0000-0000-0000A7780000}"/>
    <cellStyle name="Normal 5 10 13 12" xfId="30888" xr:uid="{00000000-0005-0000-0000-0000A8780000}"/>
    <cellStyle name="Normal 5 10 13 13" xfId="30889" xr:uid="{00000000-0005-0000-0000-0000A9780000}"/>
    <cellStyle name="Normal 5 10 13 14" xfId="30890" xr:uid="{00000000-0005-0000-0000-0000AA780000}"/>
    <cellStyle name="Normal 5 10 13 2" xfId="30891" xr:uid="{00000000-0005-0000-0000-0000AB780000}"/>
    <cellStyle name="Normal 5 10 13 2 10" xfId="30892" xr:uid="{00000000-0005-0000-0000-0000AC780000}"/>
    <cellStyle name="Normal 5 10 13 2 2" xfId="30893" xr:uid="{00000000-0005-0000-0000-0000AD780000}"/>
    <cellStyle name="Normal 5 10 13 2 3" xfId="30894" xr:uid="{00000000-0005-0000-0000-0000AE780000}"/>
    <cellStyle name="Normal 5 10 13 2 4" xfId="30895" xr:uid="{00000000-0005-0000-0000-0000AF780000}"/>
    <cellStyle name="Normal 5 10 13 2 5" xfId="30896" xr:uid="{00000000-0005-0000-0000-0000B0780000}"/>
    <cellStyle name="Normal 5 10 13 2 6" xfId="30897" xr:uid="{00000000-0005-0000-0000-0000B1780000}"/>
    <cellStyle name="Normal 5 10 13 2 7" xfId="30898" xr:uid="{00000000-0005-0000-0000-0000B2780000}"/>
    <cellStyle name="Normal 5 10 13 2 8" xfId="30899" xr:uid="{00000000-0005-0000-0000-0000B3780000}"/>
    <cellStyle name="Normal 5 10 13 2 9" xfId="30900" xr:uid="{00000000-0005-0000-0000-0000B4780000}"/>
    <cellStyle name="Normal 5 10 13 3" xfId="30901" xr:uid="{00000000-0005-0000-0000-0000B5780000}"/>
    <cellStyle name="Normal 5 10 13 3 10" xfId="30902" xr:uid="{00000000-0005-0000-0000-0000B6780000}"/>
    <cellStyle name="Normal 5 10 13 3 2" xfId="30903" xr:uid="{00000000-0005-0000-0000-0000B7780000}"/>
    <cellStyle name="Normal 5 10 13 3 3" xfId="30904" xr:uid="{00000000-0005-0000-0000-0000B8780000}"/>
    <cellStyle name="Normal 5 10 13 3 4" xfId="30905" xr:uid="{00000000-0005-0000-0000-0000B9780000}"/>
    <cellStyle name="Normal 5 10 13 3 5" xfId="30906" xr:uid="{00000000-0005-0000-0000-0000BA780000}"/>
    <cellStyle name="Normal 5 10 13 3 6" xfId="30907" xr:uid="{00000000-0005-0000-0000-0000BB780000}"/>
    <cellStyle name="Normal 5 10 13 3 7" xfId="30908" xr:uid="{00000000-0005-0000-0000-0000BC780000}"/>
    <cellStyle name="Normal 5 10 13 3 8" xfId="30909" xr:uid="{00000000-0005-0000-0000-0000BD780000}"/>
    <cellStyle name="Normal 5 10 13 3 9" xfId="30910" xr:uid="{00000000-0005-0000-0000-0000BE780000}"/>
    <cellStyle name="Normal 5 10 13 4" xfId="30911" xr:uid="{00000000-0005-0000-0000-0000BF780000}"/>
    <cellStyle name="Normal 5 10 13 4 10" xfId="30912" xr:uid="{00000000-0005-0000-0000-0000C0780000}"/>
    <cellStyle name="Normal 5 10 13 4 2" xfId="30913" xr:uid="{00000000-0005-0000-0000-0000C1780000}"/>
    <cellStyle name="Normal 5 10 13 4 3" xfId="30914" xr:uid="{00000000-0005-0000-0000-0000C2780000}"/>
    <cellStyle name="Normal 5 10 13 4 4" xfId="30915" xr:uid="{00000000-0005-0000-0000-0000C3780000}"/>
    <cellStyle name="Normal 5 10 13 4 5" xfId="30916" xr:uid="{00000000-0005-0000-0000-0000C4780000}"/>
    <cellStyle name="Normal 5 10 13 4 6" xfId="30917" xr:uid="{00000000-0005-0000-0000-0000C5780000}"/>
    <cellStyle name="Normal 5 10 13 4 7" xfId="30918" xr:uid="{00000000-0005-0000-0000-0000C6780000}"/>
    <cellStyle name="Normal 5 10 13 4 8" xfId="30919" xr:uid="{00000000-0005-0000-0000-0000C7780000}"/>
    <cellStyle name="Normal 5 10 13 4 9" xfId="30920" xr:uid="{00000000-0005-0000-0000-0000C8780000}"/>
    <cellStyle name="Normal 5 10 13 5" xfId="30921" xr:uid="{00000000-0005-0000-0000-0000C9780000}"/>
    <cellStyle name="Normal 5 10 13 5 10" xfId="30922" xr:uid="{00000000-0005-0000-0000-0000CA780000}"/>
    <cellStyle name="Normal 5 10 13 5 2" xfId="30923" xr:uid="{00000000-0005-0000-0000-0000CB780000}"/>
    <cellStyle name="Normal 5 10 13 5 3" xfId="30924" xr:uid="{00000000-0005-0000-0000-0000CC780000}"/>
    <cellStyle name="Normal 5 10 13 5 4" xfId="30925" xr:uid="{00000000-0005-0000-0000-0000CD780000}"/>
    <cellStyle name="Normal 5 10 13 5 5" xfId="30926" xr:uid="{00000000-0005-0000-0000-0000CE780000}"/>
    <cellStyle name="Normal 5 10 13 5 6" xfId="30927" xr:uid="{00000000-0005-0000-0000-0000CF780000}"/>
    <cellStyle name="Normal 5 10 13 5 7" xfId="30928" xr:uid="{00000000-0005-0000-0000-0000D0780000}"/>
    <cellStyle name="Normal 5 10 13 5 8" xfId="30929" xr:uid="{00000000-0005-0000-0000-0000D1780000}"/>
    <cellStyle name="Normal 5 10 13 5 9" xfId="30930" xr:uid="{00000000-0005-0000-0000-0000D2780000}"/>
    <cellStyle name="Normal 5 10 13 6" xfId="30931" xr:uid="{00000000-0005-0000-0000-0000D3780000}"/>
    <cellStyle name="Normal 5 10 13 7" xfId="30932" xr:uid="{00000000-0005-0000-0000-0000D4780000}"/>
    <cellStyle name="Normal 5 10 13 8" xfId="30933" xr:uid="{00000000-0005-0000-0000-0000D5780000}"/>
    <cellStyle name="Normal 5 10 13 9" xfId="30934" xr:uid="{00000000-0005-0000-0000-0000D6780000}"/>
    <cellStyle name="Normal 5 10 14" xfId="30935" xr:uid="{00000000-0005-0000-0000-0000D7780000}"/>
    <cellStyle name="Normal 5 10 14 10" xfId="30936" xr:uid="{00000000-0005-0000-0000-0000D8780000}"/>
    <cellStyle name="Normal 5 10 14 11" xfId="30937" xr:uid="{00000000-0005-0000-0000-0000D9780000}"/>
    <cellStyle name="Normal 5 10 14 12" xfId="30938" xr:uid="{00000000-0005-0000-0000-0000DA780000}"/>
    <cellStyle name="Normal 5 10 14 13" xfId="30939" xr:uid="{00000000-0005-0000-0000-0000DB780000}"/>
    <cellStyle name="Normal 5 10 14 14" xfId="30940" xr:uid="{00000000-0005-0000-0000-0000DC780000}"/>
    <cellStyle name="Normal 5 10 14 2" xfId="30941" xr:uid="{00000000-0005-0000-0000-0000DD780000}"/>
    <cellStyle name="Normal 5 10 14 2 10" xfId="30942" xr:uid="{00000000-0005-0000-0000-0000DE780000}"/>
    <cellStyle name="Normal 5 10 14 2 2" xfId="30943" xr:uid="{00000000-0005-0000-0000-0000DF780000}"/>
    <cellStyle name="Normal 5 10 14 2 3" xfId="30944" xr:uid="{00000000-0005-0000-0000-0000E0780000}"/>
    <cellStyle name="Normal 5 10 14 2 4" xfId="30945" xr:uid="{00000000-0005-0000-0000-0000E1780000}"/>
    <cellStyle name="Normal 5 10 14 2 5" xfId="30946" xr:uid="{00000000-0005-0000-0000-0000E2780000}"/>
    <cellStyle name="Normal 5 10 14 2 6" xfId="30947" xr:uid="{00000000-0005-0000-0000-0000E3780000}"/>
    <cellStyle name="Normal 5 10 14 2 7" xfId="30948" xr:uid="{00000000-0005-0000-0000-0000E4780000}"/>
    <cellStyle name="Normal 5 10 14 2 8" xfId="30949" xr:uid="{00000000-0005-0000-0000-0000E5780000}"/>
    <cellStyle name="Normal 5 10 14 2 9" xfId="30950" xr:uid="{00000000-0005-0000-0000-0000E6780000}"/>
    <cellStyle name="Normal 5 10 14 3" xfId="30951" xr:uid="{00000000-0005-0000-0000-0000E7780000}"/>
    <cellStyle name="Normal 5 10 14 3 10" xfId="30952" xr:uid="{00000000-0005-0000-0000-0000E8780000}"/>
    <cellStyle name="Normal 5 10 14 3 2" xfId="30953" xr:uid="{00000000-0005-0000-0000-0000E9780000}"/>
    <cellStyle name="Normal 5 10 14 3 3" xfId="30954" xr:uid="{00000000-0005-0000-0000-0000EA780000}"/>
    <cellStyle name="Normal 5 10 14 3 4" xfId="30955" xr:uid="{00000000-0005-0000-0000-0000EB780000}"/>
    <cellStyle name="Normal 5 10 14 3 5" xfId="30956" xr:uid="{00000000-0005-0000-0000-0000EC780000}"/>
    <cellStyle name="Normal 5 10 14 3 6" xfId="30957" xr:uid="{00000000-0005-0000-0000-0000ED780000}"/>
    <cellStyle name="Normal 5 10 14 3 7" xfId="30958" xr:uid="{00000000-0005-0000-0000-0000EE780000}"/>
    <cellStyle name="Normal 5 10 14 3 8" xfId="30959" xr:uid="{00000000-0005-0000-0000-0000EF780000}"/>
    <cellStyle name="Normal 5 10 14 3 9" xfId="30960" xr:uid="{00000000-0005-0000-0000-0000F0780000}"/>
    <cellStyle name="Normal 5 10 14 4" xfId="30961" xr:uid="{00000000-0005-0000-0000-0000F1780000}"/>
    <cellStyle name="Normal 5 10 14 4 10" xfId="30962" xr:uid="{00000000-0005-0000-0000-0000F2780000}"/>
    <cellStyle name="Normal 5 10 14 4 2" xfId="30963" xr:uid="{00000000-0005-0000-0000-0000F3780000}"/>
    <cellStyle name="Normal 5 10 14 4 3" xfId="30964" xr:uid="{00000000-0005-0000-0000-0000F4780000}"/>
    <cellStyle name="Normal 5 10 14 4 4" xfId="30965" xr:uid="{00000000-0005-0000-0000-0000F5780000}"/>
    <cellStyle name="Normal 5 10 14 4 5" xfId="30966" xr:uid="{00000000-0005-0000-0000-0000F6780000}"/>
    <cellStyle name="Normal 5 10 14 4 6" xfId="30967" xr:uid="{00000000-0005-0000-0000-0000F7780000}"/>
    <cellStyle name="Normal 5 10 14 4 7" xfId="30968" xr:uid="{00000000-0005-0000-0000-0000F8780000}"/>
    <cellStyle name="Normal 5 10 14 4 8" xfId="30969" xr:uid="{00000000-0005-0000-0000-0000F9780000}"/>
    <cellStyle name="Normal 5 10 14 4 9" xfId="30970" xr:uid="{00000000-0005-0000-0000-0000FA780000}"/>
    <cellStyle name="Normal 5 10 14 5" xfId="30971" xr:uid="{00000000-0005-0000-0000-0000FB780000}"/>
    <cellStyle name="Normal 5 10 14 5 10" xfId="30972" xr:uid="{00000000-0005-0000-0000-0000FC780000}"/>
    <cellStyle name="Normal 5 10 14 5 2" xfId="30973" xr:uid="{00000000-0005-0000-0000-0000FD780000}"/>
    <cellStyle name="Normal 5 10 14 5 3" xfId="30974" xr:uid="{00000000-0005-0000-0000-0000FE780000}"/>
    <cellStyle name="Normal 5 10 14 5 4" xfId="30975" xr:uid="{00000000-0005-0000-0000-0000FF780000}"/>
    <cellStyle name="Normal 5 10 14 5 5" xfId="30976" xr:uid="{00000000-0005-0000-0000-000000790000}"/>
    <cellStyle name="Normal 5 10 14 5 6" xfId="30977" xr:uid="{00000000-0005-0000-0000-000001790000}"/>
    <cellStyle name="Normal 5 10 14 5 7" xfId="30978" xr:uid="{00000000-0005-0000-0000-000002790000}"/>
    <cellStyle name="Normal 5 10 14 5 8" xfId="30979" xr:uid="{00000000-0005-0000-0000-000003790000}"/>
    <cellStyle name="Normal 5 10 14 5 9" xfId="30980" xr:uid="{00000000-0005-0000-0000-000004790000}"/>
    <cellStyle name="Normal 5 10 14 6" xfId="30981" xr:uid="{00000000-0005-0000-0000-000005790000}"/>
    <cellStyle name="Normal 5 10 14 7" xfId="30982" xr:uid="{00000000-0005-0000-0000-000006790000}"/>
    <cellStyle name="Normal 5 10 14 8" xfId="30983" xr:uid="{00000000-0005-0000-0000-000007790000}"/>
    <cellStyle name="Normal 5 10 14 9" xfId="30984" xr:uid="{00000000-0005-0000-0000-000008790000}"/>
    <cellStyle name="Normal 5 10 15" xfId="30985" xr:uid="{00000000-0005-0000-0000-000009790000}"/>
    <cellStyle name="Normal 5 10 15 10" xfId="30986" xr:uid="{00000000-0005-0000-0000-00000A790000}"/>
    <cellStyle name="Normal 5 10 15 11" xfId="30987" xr:uid="{00000000-0005-0000-0000-00000B790000}"/>
    <cellStyle name="Normal 5 10 15 12" xfId="30988" xr:uid="{00000000-0005-0000-0000-00000C790000}"/>
    <cellStyle name="Normal 5 10 15 13" xfId="30989" xr:uid="{00000000-0005-0000-0000-00000D790000}"/>
    <cellStyle name="Normal 5 10 15 14" xfId="30990" xr:uid="{00000000-0005-0000-0000-00000E790000}"/>
    <cellStyle name="Normal 5 10 15 2" xfId="30991" xr:uid="{00000000-0005-0000-0000-00000F790000}"/>
    <cellStyle name="Normal 5 10 15 2 10" xfId="30992" xr:uid="{00000000-0005-0000-0000-000010790000}"/>
    <cellStyle name="Normal 5 10 15 2 2" xfId="30993" xr:uid="{00000000-0005-0000-0000-000011790000}"/>
    <cellStyle name="Normal 5 10 15 2 3" xfId="30994" xr:uid="{00000000-0005-0000-0000-000012790000}"/>
    <cellStyle name="Normal 5 10 15 2 4" xfId="30995" xr:uid="{00000000-0005-0000-0000-000013790000}"/>
    <cellStyle name="Normal 5 10 15 2 5" xfId="30996" xr:uid="{00000000-0005-0000-0000-000014790000}"/>
    <cellStyle name="Normal 5 10 15 2 6" xfId="30997" xr:uid="{00000000-0005-0000-0000-000015790000}"/>
    <cellStyle name="Normal 5 10 15 2 7" xfId="30998" xr:uid="{00000000-0005-0000-0000-000016790000}"/>
    <cellStyle name="Normal 5 10 15 2 8" xfId="30999" xr:uid="{00000000-0005-0000-0000-000017790000}"/>
    <cellStyle name="Normal 5 10 15 2 9" xfId="31000" xr:uid="{00000000-0005-0000-0000-000018790000}"/>
    <cellStyle name="Normal 5 10 15 3" xfId="31001" xr:uid="{00000000-0005-0000-0000-000019790000}"/>
    <cellStyle name="Normal 5 10 15 3 10" xfId="31002" xr:uid="{00000000-0005-0000-0000-00001A790000}"/>
    <cellStyle name="Normal 5 10 15 3 2" xfId="31003" xr:uid="{00000000-0005-0000-0000-00001B790000}"/>
    <cellStyle name="Normal 5 10 15 3 3" xfId="31004" xr:uid="{00000000-0005-0000-0000-00001C790000}"/>
    <cellStyle name="Normal 5 10 15 3 4" xfId="31005" xr:uid="{00000000-0005-0000-0000-00001D790000}"/>
    <cellStyle name="Normal 5 10 15 3 5" xfId="31006" xr:uid="{00000000-0005-0000-0000-00001E790000}"/>
    <cellStyle name="Normal 5 10 15 3 6" xfId="31007" xr:uid="{00000000-0005-0000-0000-00001F790000}"/>
    <cellStyle name="Normal 5 10 15 3 7" xfId="31008" xr:uid="{00000000-0005-0000-0000-000020790000}"/>
    <cellStyle name="Normal 5 10 15 3 8" xfId="31009" xr:uid="{00000000-0005-0000-0000-000021790000}"/>
    <cellStyle name="Normal 5 10 15 3 9" xfId="31010" xr:uid="{00000000-0005-0000-0000-000022790000}"/>
    <cellStyle name="Normal 5 10 15 4" xfId="31011" xr:uid="{00000000-0005-0000-0000-000023790000}"/>
    <cellStyle name="Normal 5 10 15 4 10" xfId="31012" xr:uid="{00000000-0005-0000-0000-000024790000}"/>
    <cellStyle name="Normal 5 10 15 4 2" xfId="31013" xr:uid="{00000000-0005-0000-0000-000025790000}"/>
    <cellStyle name="Normal 5 10 15 4 3" xfId="31014" xr:uid="{00000000-0005-0000-0000-000026790000}"/>
    <cellStyle name="Normal 5 10 15 4 4" xfId="31015" xr:uid="{00000000-0005-0000-0000-000027790000}"/>
    <cellStyle name="Normal 5 10 15 4 5" xfId="31016" xr:uid="{00000000-0005-0000-0000-000028790000}"/>
    <cellStyle name="Normal 5 10 15 4 6" xfId="31017" xr:uid="{00000000-0005-0000-0000-000029790000}"/>
    <cellStyle name="Normal 5 10 15 4 7" xfId="31018" xr:uid="{00000000-0005-0000-0000-00002A790000}"/>
    <cellStyle name="Normal 5 10 15 4 8" xfId="31019" xr:uid="{00000000-0005-0000-0000-00002B790000}"/>
    <cellStyle name="Normal 5 10 15 4 9" xfId="31020" xr:uid="{00000000-0005-0000-0000-00002C790000}"/>
    <cellStyle name="Normal 5 10 15 5" xfId="31021" xr:uid="{00000000-0005-0000-0000-00002D790000}"/>
    <cellStyle name="Normal 5 10 15 5 10" xfId="31022" xr:uid="{00000000-0005-0000-0000-00002E790000}"/>
    <cellStyle name="Normal 5 10 15 5 2" xfId="31023" xr:uid="{00000000-0005-0000-0000-00002F790000}"/>
    <cellStyle name="Normal 5 10 15 5 3" xfId="31024" xr:uid="{00000000-0005-0000-0000-000030790000}"/>
    <cellStyle name="Normal 5 10 15 5 4" xfId="31025" xr:uid="{00000000-0005-0000-0000-000031790000}"/>
    <cellStyle name="Normal 5 10 15 5 5" xfId="31026" xr:uid="{00000000-0005-0000-0000-000032790000}"/>
    <cellStyle name="Normal 5 10 15 5 6" xfId="31027" xr:uid="{00000000-0005-0000-0000-000033790000}"/>
    <cellStyle name="Normal 5 10 15 5 7" xfId="31028" xr:uid="{00000000-0005-0000-0000-000034790000}"/>
    <cellStyle name="Normal 5 10 15 5 8" xfId="31029" xr:uid="{00000000-0005-0000-0000-000035790000}"/>
    <cellStyle name="Normal 5 10 15 5 9" xfId="31030" xr:uid="{00000000-0005-0000-0000-000036790000}"/>
    <cellStyle name="Normal 5 10 15 6" xfId="31031" xr:uid="{00000000-0005-0000-0000-000037790000}"/>
    <cellStyle name="Normal 5 10 15 7" xfId="31032" xr:uid="{00000000-0005-0000-0000-000038790000}"/>
    <cellStyle name="Normal 5 10 15 8" xfId="31033" xr:uid="{00000000-0005-0000-0000-000039790000}"/>
    <cellStyle name="Normal 5 10 15 9" xfId="31034" xr:uid="{00000000-0005-0000-0000-00003A790000}"/>
    <cellStyle name="Normal 5 10 16" xfId="31035" xr:uid="{00000000-0005-0000-0000-00003B790000}"/>
    <cellStyle name="Normal 5 10 16 10" xfId="31036" xr:uid="{00000000-0005-0000-0000-00003C790000}"/>
    <cellStyle name="Normal 5 10 16 11" xfId="31037" xr:uid="{00000000-0005-0000-0000-00003D790000}"/>
    <cellStyle name="Normal 5 10 16 12" xfId="31038" xr:uid="{00000000-0005-0000-0000-00003E790000}"/>
    <cellStyle name="Normal 5 10 16 13" xfId="31039" xr:uid="{00000000-0005-0000-0000-00003F790000}"/>
    <cellStyle name="Normal 5 10 16 14" xfId="31040" xr:uid="{00000000-0005-0000-0000-000040790000}"/>
    <cellStyle name="Normal 5 10 16 2" xfId="31041" xr:uid="{00000000-0005-0000-0000-000041790000}"/>
    <cellStyle name="Normal 5 10 16 2 10" xfId="31042" xr:uid="{00000000-0005-0000-0000-000042790000}"/>
    <cellStyle name="Normal 5 10 16 2 2" xfId="31043" xr:uid="{00000000-0005-0000-0000-000043790000}"/>
    <cellStyle name="Normal 5 10 16 2 3" xfId="31044" xr:uid="{00000000-0005-0000-0000-000044790000}"/>
    <cellStyle name="Normal 5 10 16 2 4" xfId="31045" xr:uid="{00000000-0005-0000-0000-000045790000}"/>
    <cellStyle name="Normal 5 10 16 2 5" xfId="31046" xr:uid="{00000000-0005-0000-0000-000046790000}"/>
    <cellStyle name="Normal 5 10 16 2 6" xfId="31047" xr:uid="{00000000-0005-0000-0000-000047790000}"/>
    <cellStyle name="Normal 5 10 16 2 7" xfId="31048" xr:uid="{00000000-0005-0000-0000-000048790000}"/>
    <cellStyle name="Normal 5 10 16 2 8" xfId="31049" xr:uid="{00000000-0005-0000-0000-000049790000}"/>
    <cellStyle name="Normal 5 10 16 2 9" xfId="31050" xr:uid="{00000000-0005-0000-0000-00004A790000}"/>
    <cellStyle name="Normal 5 10 16 3" xfId="31051" xr:uid="{00000000-0005-0000-0000-00004B790000}"/>
    <cellStyle name="Normal 5 10 16 3 10" xfId="31052" xr:uid="{00000000-0005-0000-0000-00004C790000}"/>
    <cellStyle name="Normal 5 10 16 3 2" xfId="31053" xr:uid="{00000000-0005-0000-0000-00004D790000}"/>
    <cellStyle name="Normal 5 10 16 3 3" xfId="31054" xr:uid="{00000000-0005-0000-0000-00004E790000}"/>
    <cellStyle name="Normal 5 10 16 3 4" xfId="31055" xr:uid="{00000000-0005-0000-0000-00004F790000}"/>
    <cellStyle name="Normal 5 10 16 3 5" xfId="31056" xr:uid="{00000000-0005-0000-0000-000050790000}"/>
    <cellStyle name="Normal 5 10 16 3 6" xfId="31057" xr:uid="{00000000-0005-0000-0000-000051790000}"/>
    <cellStyle name="Normal 5 10 16 3 7" xfId="31058" xr:uid="{00000000-0005-0000-0000-000052790000}"/>
    <cellStyle name="Normal 5 10 16 3 8" xfId="31059" xr:uid="{00000000-0005-0000-0000-000053790000}"/>
    <cellStyle name="Normal 5 10 16 3 9" xfId="31060" xr:uid="{00000000-0005-0000-0000-000054790000}"/>
    <cellStyle name="Normal 5 10 16 4" xfId="31061" xr:uid="{00000000-0005-0000-0000-000055790000}"/>
    <cellStyle name="Normal 5 10 16 4 10" xfId="31062" xr:uid="{00000000-0005-0000-0000-000056790000}"/>
    <cellStyle name="Normal 5 10 16 4 2" xfId="31063" xr:uid="{00000000-0005-0000-0000-000057790000}"/>
    <cellStyle name="Normal 5 10 16 4 3" xfId="31064" xr:uid="{00000000-0005-0000-0000-000058790000}"/>
    <cellStyle name="Normal 5 10 16 4 4" xfId="31065" xr:uid="{00000000-0005-0000-0000-000059790000}"/>
    <cellStyle name="Normal 5 10 16 4 5" xfId="31066" xr:uid="{00000000-0005-0000-0000-00005A790000}"/>
    <cellStyle name="Normal 5 10 16 4 6" xfId="31067" xr:uid="{00000000-0005-0000-0000-00005B790000}"/>
    <cellStyle name="Normal 5 10 16 4 7" xfId="31068" xr:uid="{00000000-0005-0000-0000-00005C790000}"/>
    <cellStyle name="Normal 5 10 16 4 8" xfId="31069" xr:uid="{00000000-0005-0000-0000-00005D790000}"/>
    <cellStyle name="Normal 5 10 16 4 9" xfId="31070" xr:uid="{00000000-0005-0000-0000-00005E790000}"/>
    <cellStyle name="Normal 5 10 16 5" xfId="31071" xr:uid="{00000000-0005-0000-0000-00005F790000}"/>
    <cellStyle name="Normal 5 10 16 5 10" xfId="31072" xr:uid="{00000000-0005-0000-0000-000060790000}"/>
    <cellStyle name="Normal 5 10 16 5 2" xfId="31073" xr:uid="{00000000-0005-0000-0000-000061790000}"/>
    <cellStyle name="Normal 5 10 16 5 3" xfId="31074" xr:uid="{00000000-0005-0000-0000-000062790000}"/>
    <cellStyle name="Normal 5 10 16 5 4" xfId="31075" xr:uid="{00000000-0005-0000-0000-000063790000}"/>
    <cellStyle name="Normal 5 10 16 5 5" xfId="31076" xr:uid="{00000000-0005-0000-0000-000064790000}"/>
    <cellStyle name="Normal 5 10 16 5 6" xfId="31077" xr:uid="{00000000-0005-0000-0000-000065790000}"/>
    <cellStyle name="Normal 5 10 16 5 7" xfId="31078" xr:uid="{00000000-0005-0000-0000-000066790000}"/>
    <cellStyle name="Normal 5 10 16 5 8" xfId="31079" xr:uid="{00000000-0005-0000-0000-000067790000}"/>
    <cellStyle name="Normal 5 10 16 5 9" xfId="31080" xr:uid="{00000000-0005-0000-0000-000068790000}"/>
    <cellStyle name="Normal 5 10 16 6" xfId="31081" xr:uid="{00000000-0005-0000-0000-000069790000}"/>
    <cellStyle name="Normal 5 10 16 7" xfId="31082" xr:uid="{00000000-0005-0000-0000-00006A790000}"/>
    <cellStyle name="Normal 5 10 16 8" xfId="31083" xr:uid="{00000000-0005-0000-0000-00006B790000}"/>
    <cellStyle name="Normal 5 10 16 9" xfId="31084" xr:uid="{00000000-0005-0000-0000-00006C790000}"/>
    <cellStyle name="Normal 5 10 17" xfId="31085" xr:uid="{00000000-0005-0000-0000-00006D790000}"/>
    <cellStyle name="Normal 5 10 17 10" xfId="31086" xr:uid="{00000000-0005-0000-0000-00006E790000}"/>
    <cellStyle name="Normal 5 10 17 11" xfId="31087" xr:uid="{00000000-0005-0000-0000-00006F790000}"/>
    <cellStyle name="Normal 5 10 17 12" xfId="31088" xr:uid="{00000000-0005-0000-0000-000070790000}"/>
    <cellStyle name="Normal 5 10 17 13" xfId="31089" xr:uid="{00000000-0005-0000-0000-000071790000}"/>
    <cellStyle name="Normal 5 10 17 14" xfId="31090" xr:uid="{00000000-0005-0000-0000-000072790000}"/>
    <cellStyle name="Normal 5 10 17 2" xfId="31091" xr:uid="{00000000-0005-0000-0000-000073790000}"/>
    <cellStyle name="Normal 5 10 17 2 10" xfId="31092" xr:uid="{00000000-0005-0000-0000-000074790000}"/>
    <cellStyle name="Normal 5 10 17 2 2" xfId="31093" xr:uid="{00000000-0005-0000-0000-000075790000}"/>
    <cellStyle name="Normal 5 10 17 2 3" xfId="31094" xr:uid="{00000000-0005-0000-0000-000076790000}"/>
    <cellStyle name="Normal 5 10 17 2 4" xfId="31095" xr:uid="{00000000-0005-0000-0000-000077790000}"/>
    <cellStyle name="Normal 5 10 17 2 5" xfId="31096" xr:uid="{00000000-0005-0000-0000-000078790000}"/>
    <cellStyle name="Normal 5 10 17 2 6" xfId="31097" xr:uid="{00000000-0005-0000-0000-000079790000}"/>
    <cellStyle name="Normal 5 10 17 2 7" xfId="31098" xr:uid="{00000000-0005-0000-0000-00007A790000}"/>
    <cellStyle name="Normal 5 10 17 2 8" xfId="31099" xr:uid="{00000000-0005-0000-0000-00007B790000}"/>
    <cellStyle name="Normal 5 10 17 2 9" xfId="31100" xr:uid="{00000000-0005-0000-0000-00007C790000}"/>
    <cellStyle name="Normal 5 10 17 3" xfId="31101" xr:uid="{00000000-0005-0000-0000-00007D790000}"/>
    <cellStyle name="Normal 5 10 17 3 10" xfId="31102" xr:uid="{00000000-0005-0000-0000-00007E790000}"/>
    <cellStyle name="Normal 5 10 17 3 2" xfId="31103" xr:uid="{00000000-0005-0000-0000-00007F790000}"/>
    <cellStyle name="Normal 5 10 17 3 3" xfId="31104" xr:uid="{00000000-0005-0000-0000-000080790000}"/>
    <cellStyle name="Normal 5 10 17 3 4" xfId="31105" xr:uid="{00000000-0005-0000-0000-000081790000}"/>
    <cellStyle name="Normal 5 10 17 3 5" xfId="31106" xr:uid="{00000000-0005-0000-0000-000082790000}"/>
    <cellStyle name="Normal 5 10 17 3 6" xfId="31107" xr:uid="{00000000-0005-0000-0000-000083790000}"/>
    <cellStyle name="Normal 5 10 17 3 7" xfId="31108" xr:uid="{00000000-0005-0000-0000-000084790000}"/>
    <cellStyle name="Normal 5 10 17 3 8" xfId="31109" xr:uid="{00000000-0005-0000-0000-000085790000}"/>
    <cellStyle name="Normal 5 10 17 3 9" xfId="31110" xr:uid="{00000000-0005-0000-0000-000086790000}"/>
    <cellStyle name="Normal 5 10 17 4" xfId="31111" xr:uid="{00000000-0005-0000-0000-000087790000}"/>
    <cellStyle name="Normal 5 10 17 4 10" xfId="31112" xr:uid="{00000000-0005-0000-0000-000088790000}"/>
    <cellStyle name="Normal 5 10 17 4 2" xfId="31113" xr:uid="{00000000-0005-0000-0000-000089790000}"/>
    <cellStyle name="Normal 5 10 17 4 3" xfId="31114" xr:uid="{00000000-0005-0000-0000-00008A790000}"/>
    <cellStyle name="Normal 5 10 17 4 4" xfId="31115" xr:uid="{00000000-0005-0000-0000-00008B790000}"/>
    <cellStyle name="Normal 5 10 17 4 5" xfId="31116" xr:uid="{00000000-0005-0000-0000-00008C790000}"/>
    <cellStyle name="Normal 5 10 17 4 6" xfId="31117" xr:uid="{00000000-0005-0000-0000-00008D790000}"/>
    <cellStyle name="Normal 5 10 17 4 7" xfId="31118" xr:uid="{00000000-0005-0000-0000-00008E790000}"/>
    <cellStyle name="Normal 5 10 17 4 8" xfId="31119" xr:uid="{00000000-0005-0000-0000-00008F790000}"/>
    <cellStyle name="Normal 5 10 17 4 9" xfId="31120" xr:uid="{00000000-0005-0000-0000-000090790000}"/>
    <cellStyle name="Normal 5 10 17 5" xfId="31121" xr:uid="{00000000-0005-0000-0000-000091790000}"/>
    <cellStyle name="Normal 5 10 17 5 10" xfId="31122" xr:uid="{00000000-0005-0000-0000-000092790000}"/>
    <cellStyle name="Normal 5 10 17 5 2" xfId="31123" xr:uid="{00000000-0005-0000-0000-000093790000}"/>
    <cellStyle name="Normal 5 10 17 5 3" xfId="31124" xr:uid="{00000000-0005-0000-0000-000094790000}"/>
    <cellStyle name="Normal 5 10 17 5 4" xfId="31125" xr:uid="{00000000-0005-0000-0000-000095790000}"/>
    <cellStyle name="Normal 5 10 17 5 5" xfId="31126" xr:uid="{00000000-0005-0000-0000-000096790000}"/>
    <cellStyle name="Normal 5 10 17 5 6" xfId="31127" xr:uid="{00000000-0005-0000-0000-000097790000}"/>
    <cellStyle name="Normal 5 10 17 5 7" xfId="31128" xr:uid="{00000000-0005-0000-0000-000098790000}"/>
    <cellStyle name="Normal 5 10 17 5 8" xfId="31129" xr:uid="{00000000-0005-0000-0000-000099790000}"/>
    <cellStyle name="Normal 5 10 17 5 9" xfId="31130" xr:uid="{00000000-0005-0000-0000-00009A790000}"/>
    <cellStyle name="Normal 5 10 17 6" xfId="31131" xr:uid="{00000000-0005-0000-0000-00009B790000}"/>
    <cellStyle name="Normal 5 10 17 7" xfId="31132" xr:uid="{00000000-0005-0000-0000-00009C790000}"/>
    <cellStyle name="Normal 5 10 17 8" xfId="31133" xr:uid="{00000000-0005-0000-0000-00009D790000}"/>
    <cellStyle name="Normal 5 10 17 9" xfId="31134" xr:uid="{00000000-0005-0000-0000-00009E790000}"/>
    <cellStyle name="Normal 5 10 18" xfId="31135" xr:uid="{00000000-0005-0000-0000-00009F790000}"/>
    <cellStyle name="Normal 5 10 18 10" xfId="31136" xr:uid="{00000000-0005-0000-0000-0000A0790000}"/>
    <cellStyle name="Normal 5 10 18 11" xfId="31137" xr:uid="{00000000-0005-0000-0000-0000A1790000}"/>
    <cellStyle name="Normal 5 10 18 12" xfId="31138" xr:uid="{00000000-0005-0000-0000-0000A2790000}"/>
    <cellStyle name="Normal 5 10 18 13" xfId="31139" xr:uid="{00000000-0005-0000-0000-0000A3790000}"/>
    <cellStyle name="Normal 5 10 18 14" xfId="31140" xr:uid="{00000000-0005-0000-0000-0000A4790000}"/>
    <cellStyle name="Normal 5 10 18 2" xfId="31141" xr:uid="{00000000-0005-0000-0000-0000A5790000}"/>
    <cellStyle name="Normal 5 10 18 2 10" xfId="31142" xr:uid="{00000000-0005-0000-0000-0000A6790000}"/>
    <cellStyle name="Normal 5 10 18 2 2" xfId="31143" xr:uid="{00000000-0005-0000-0000-0000A7790000}"/>
    <cellStyle name="Normal 5 10 18 2 3" xfId="31144" xr:uid="{00000000-0005-0000-0000-0000A8790000}"/>
    <cellStyle name="Normal 5 10 18 2 4" xfId="31145" xr:uid="{00000000-0005-0000-0000-0000A9790000}"/>
    <cellStyle name="Normal 5 10 18 2 5" xfId="31146" xr:uid="{00000000-0005-0000-0000-0000AA790000}"/>
    <cellStyle name="Normal 5 10 18 2 6" xfId="31147" xr:uid="{00000000-0005-0000-0000-0000AB790000}"/>
    <cellStyle name="Normal 5 10 18 2 7" xfId="31148" xr:uid="{00000000-0005-0000-0000-0000AC790000}"/>
    <cellStyle name="Normal 5 10 18 2 8" xfId="31149" xr:uid="{00000000-0005-0000-0000-0000AD790000}"/>
    <cellStyle name="Normal 5 10 18 2 9" xfId="31150" xr:uid="{00000000-0005-0000-0000-0000AE790000}"/>
    <cellStyle name="Normal 5 10 18 3" xfId="31151" xr:uid="{00000000-0005-0000-0000-0000AF790000}"/>
    <cellStyle name="Normal 5 10 18 3 10" xfId="31152" xr:uid="{00000000-0005-0000-0000-0000B0790000}"/>
    <cellStyle name="Normal 5 10 18 3 2" xfId="31153" xr:uid="{00000000-0005-0000-0000-0000B1790000}"/>
    <cellStyle name="Normal 5 10 18 3 3" xfId="31154" xr:uid="{00000000-0005-0000-0000-0000B2790000}"/>
    <cellStyle name="Normal 5 10 18 3 4" xfId="31155" xr:uid="{00000000-0005-0000-0000-0000B3790000}"/>
    <cellStyle name="Normal 5 10 18 3 5" xfId="31156" xr:uid="{00000000-0005-0000-0000-0000B4790000}"/>
    <cellStyle name="Normal 5 10 18 3 6" xfId="31157" xr:uid="{00000000-0005-0000-0000-0000B5790000}"/>
    <cellStyle name="Normal 5 10 18 3 7" xfId="31158" xr:uid="{00000000-0005-0000-0000-0000B6790000}"/>
    <cellStyle name="Normal 5 10 18 3 8" xfId="31159" xr:uid="{00000000-0005-0000-0000-0000B7790000}"/>
    <cellStyle name="Normal 5 10 18 3 9" xfId="31160" xr:uid="{00000000-0005-0000-0000-0000B8790000}"/>
    <cellStyle name="Normal 5 10 18 4" xfId="31161" xr:uid="{00000000-0005-0000-0000-0000B9790000}"/>
    <cellStyle name="Normal 5 10 18 4 10" xfId="31162" xr:uid="{00000000-0005-0000-0000-0000BA790000}"/>
    <cellStyle name="Normal 5 10 18 4 2" xfId="31163" xr:uid="{00000000-0005-0000-0000-0000BB790000}"/>
    <cellStyle name="Normal 5 10 18 4 3" xfId="31164" xr:uid="{00000000-0005-0000-0000-0000BC790000}"/>
    <cellStyle name="Normal 5 10 18 4 4" xfId="31165" xr:uid="{00000000-0005-0000-0000-0000BD790000}"/>
    <cellStyle name="Normal 5 10 18 4 5" xfId="31166" xr:uid="{00000000-0005-0000-0000-0000BE790000}"/>
    <cellStyle name="Normal 5 10 18 4 6" xfId="31167" xr:uid="{00000000-0005-0000-0000-0000BF790000}"/>
    <cellStyle name="Normal 5 10 18 4 7" xfId="31168" xr:uid="{00000000-0005-0000-0000-0000C0790000}"/>
    <cellStyle name="Normal 5 10 18 4 8" xfId="31169" xr:uid="{00000000-0005-0000-0000-0000C1790000}"/>
    <cellStyle name="Normal 5 10 18 4 9" xfId="31170" xr:uid="{00000000-0005-0000-0000-0000C2790000}"/>
    <cellStyle name="Normal 5 10 18 5" xfId="31171" xr:uid="{00000000-0005-0000-0000-0000C3790000}"/>
    <cellStyle name="Normal 5 10 18 5 10" xfId="31172" xr:uid="{00000000-0005-0000-0000-0000C4790000}"/>
    <cellStyle name="Normal 5 10 18 5 2" xfId="31173" xr:uid="{00000000-0005-0000-0000-0000C5790000}"/>
    <cellStyle name="Normal 5 10 18 5 3" xfId="31174" xr:uid="{00000000-0005-0000-0000-0000C6790000}"/>
    <cellStyle name="Normal 5 10 18 5 4" xfId="31175" xr:uid="{00000000-0005-0000-0000-0000C7790000}"/>
    <cellStyle name="Normal 5 10 18 5 5" xfId="31176" xr:uid="{00000000-0005-0000-0000-0000C8790000}"/>
    <cellStyle name="Normal 5 10 18 5 6" xfId="31177" xr:uid="{00000000-0005-0000-0000-0000C9790000}"/>
    <cellStyle name="Normal 5 10 18 5 7" xfId="31178" xr:uid="{00000000-0005-0000-0000-0000CA790000}"/>
    <cellStyle name="Normal 5 10 18 5 8" xfId="31179" xr:uid="{00000000-0005-0000-0000-0000CB790000}"/>
    <cellStyle name="Normal 5 10 18 5 9" xfId="31180" xr:uid="{00000000-0005-0000-0000-0000CC790000}"/>
    <cellStyle name="Normal 5 10 18 6" xfId="31181" xr:uid="{00000000-0005-0000-0000-0000CD790000}"/>
    <cellStyle name="Normal 5 10 18 7" xfId="31182" xr:uid="{00000000-0005-0000-0000-0000CE790000}"/>
    <cellStyle name="Normal 5 10 18 8" xfId="31183" xr:uid="{00000000-0005-0000-0000-0000CF790000}"/>
    <cellStyle name="Normal 5 10 18 9" xfId="31184" xr:uid="{00000000-0005-0000-0000-0000D0790000}"/>
    <cellStyle name="Normal 5 10 19" xfId="31185" xr:uid="{00000000-0005-0000-0000-0000D1790000}"/>
    <cellStyle name="Normal 5 10 19 10" xfId="31186" xr:uid="{00000000-0005-0000-0000-0000D2790000}"/>
    <cellStyle name="Normal 5 10 19 11" xfId="31187" xr:uid="{00000000-0005-0000-0000-0000D3790000}"/>
    <cellStyle name="Normal 5 10 19 12" xfId="31188" xr:uid="{00000000-0005-0000-0000-0000D4790000}"/>
    <cellStyle name="Normal 5 10 19 13" xfId="31189" xr:uid="{00000000-0005-0000-0000-0000D5790000}"/>
    <cellStyle name="Normal 5 10 19 14" xfId="31190" xr:uid="{00000000-0005-0000-0000-0000D6790000}"/>
    <cellStyle name="Normal 5 10 19 2" xfId="31191" xr:uid="{00000000-0005-0000-0000-0000D7790000}"/>
    <cellStyle name="Normal 5 10 19 2 10" xfId="31192" xr:uid="{00000000-0005-0000-0000-0000D8790000}"/>
    <cellStyle name="Normal 5 10 19 2 2" xfId="31193" xr:uid="{00000000-0005-0000-0000-0000D9790000}"/>
    <cellStyle name="Normal 5 10 19 2 3" xfId="31194" xr:uid="{00000000-0005-0000-0000-0000DA790000}"/>
    <cellStyle name="Normal 5 10 19 2 4" xfId="31195" xr:uid="{00000000-0005-0000-0000-0000DB790000}"/>
    <cellStyle name="Normal 5 10 19 2 5" xfId="31196" xr:uid="{00000000-0005-0000-0000-0000DC790000}"/>
    <cellStyle name="Normal 5 10 19 2 6" xfId="31197" xr:uid="{00000000-0005-0000-0000-0000DD790000}"/>
    <cellStyle name="Normal 5 10 19 2 7" xfId="31198" xr:uid="{00000000-0005-0000-0000-0000DE790000}"/>
    <cellStyle name="Normal 5 10 19 2 8" xfId="31199" xr:uid="{00000000-0005-0000-0000-0000DF790000}"/>
    <cellStyle name="Normal 5 10 19 2 9" xfId="31200" xr:uid="{00000000-0005-0000-0000-0000E0790000}"/>
    <cellStyle name="Normal 5 10 19 3" xfId="31201" xr:uid="{00000000-0005-0000-0000-0000E1790000}"/>
    <cellStyle name="Normal 5 10 19 3 10" xfId="31202" xr:uid="{00000000-0005-0000-0000-0000E2790000}"/>
    <cellStyle name="Normal 5 10 19 3 2" xfId="31203" xr:uid="{00000000-0005-0000-0000-0000E3790000}"/>
    <cellStyle name="Normal 5 10 19 3 3" xfId="31204" xr:uid="{00000000-0005-0000-0000-0000E4790000}"/>
    <cellStyle name="Normal 5 10 19 3 4" xfId="31205" xr:uid="{00000000-0005-0000-0000-0000E5790000}"/>
    <cellStyle name="Normal 5 10 19 3 5" xfId="31206" xr:uid="{00000000-0005-0000-0000-0000E6790000}"/>
    <cellStyle name="Normal 5 10 19 3 6" xfId="31207" xr:uid="{00000000-0005-0000-0000-0000E7790000}"/>
    <cellStyle name="Normal 5 10 19 3 7" xfId="31208" xr:uid="{00000000-0005-0000-0000-0000E8790000}"/>
    <cellStyle name="Normal 5 10 19 3 8" xfId="31209" xr:uid="{00000000-0005-0000-0000-0000E9790000}"/>
    <cellStyle name="Normal 5 10 19 3 9" xfId="31210" xr:uid="{00000000-0005-0000-0000-0000EA790000}"/>
    <cellStyle name="Normal 5 10 19 4" xfId="31211" xr:uid="{00000000-0005-0000-0000-0000EB790000}"/>
    <cellStyle name="Normal 5 10 19 4 10" xfId="31212" xr:uid="{00000000-0005-0000-0000-0000EC790000}"/>
    <cellStyle name="Normal 5 10 19 4 2" xfId="31213" xr:uid="{00000000-0005-0000-0000-0000ED790000}"/>
    <cellStyle name="Normal 5 10 19 4 3" xfId="31214" xr:uid="{00000000-0005-0000-0000-0000EE790000}"/>
    <cellStyle name="Normal 5 10 19 4 4" xfId="31215" xr:uid="{00000000-0005-0000-0000-0000EF790000}"/>
    <cellStyle name="Normal 5 10 19 4 5" xfId="31216" xr:uid="{00000000-0005-0000-0000-0000F0790000}"/>
    <cellStyle name="Normal 5 10 19 4 6" xfId="31217" xr:uid="{00000000-0005-0000-0000-0000F1790000}"/>
    <cellStyle name="Normal 5 10 19 4 7" xfId="31218" xr:uid="{00000000-0005-0000-0000-0000F2790000}"/>
    <cellStyle name="Normal 5 10 19 4 8" xfId="31219" xr:uid="{00000000-0005-0000-0000-0000F3790000}"/>
    <cellStyle name="Normal 5 10 19 4 9" xfId="31220" xr:uid="{00000000-0005-0000-0000-0000F4790000}"/>
    <cellStyle name="Normal 5 10 19 5" xfId="31221" xr:uid="{00000000-0005-0000-0000-0000F5790000}"/>
    <cellStyle name="Normal 5 10 19 5 10" xfId="31222" xr:uid="{00000000-0005-0000-0000-0000F6790000}"/>
    <cellStyle name="Normal 5 10 19 5 2" xfId="31223" xr:uid="{00000000-0005-0000-0000-0000F7790000}"/>
    <cellStyle name="Normal 5 10 19 5 3" xfId="31224" xr:uid="{00000000-0005-0000-0000-0000F8790000}"/>
    <cellStyle name="Normal 5 10 19 5 4" xfId="31225" xr:uid="{00000000-0005-0000-0000-0000F9790000}"/>
    <cellStyle name="Normal 5 10 19 5 5" xfId="31226" xr:uid="{00000000-0005-0000-0000-0000FA790000}"/>
    <cellStyle name="Normal 5 10 19 5 6" xfId="31227" xr:uid="{00000000-0005-0000-0000-0000FB790000}"/>
    <cellStyle name="Normal 5 10 19 5 7" xfId="31228" xr:uid="{00000000-0005-0000-0000-0000FC790000}"/>
    <cellStyle name="Normal 5 10 19 5 8" xfId="31229" xr:uid="{00000000-0005-0000-0000-0000FD790000}"/>
    <cellStyle name="Normal 5 10 19 5 9" xfId="31230" xr:uid="{00000000-0005-0000-0000-0000FE790000}"/>
    <cellStyle name="Normal 5 10 19 6" xfId="31231" xr:uid="{00000000-0005-0000-0000-0000FF790000}"/>
    <cellStyle name="Normal 5 10 19 7" xfId="31232" xr:uid="{00000000-0005-0000-0000-0000007A0000}"/>
    <cellStyle name="Normal 5 10 19 8" xfId="31233" xr:uid="{00000000-0005-0000-0000-0000017A0000}"/>
    <cellStyle name="Normal 5 10 19 9" xfId="31234" xr:uid="{00000000-0005-0000-0000-0000027A0000}"/>
    <cellStyle name="Normal 5 10 2" xfId="31235" xr:uid="{00000000-0005-0000-0000-0000037A0000}"/>
    <cellStyle name="Normal 5 10 2 10" xfId="31236" xr:uid="{00000000-0005-0000-0000-0000047A0000}"/>
    <cellStyle name="Normal 5 10 2 10 10" xfId="31237" xr:uid="{00000000-0005-0000-0000-0000057A0000}"/>
    <cellStyle name="Normal 5 10 2 10 11" xfId="31238" xr:uid="{00000000-0005-0000-0000-0000067A0000}"/>
    <cellStyle name="Normal 5 10 2 10 12" xfId="31239" xr:uid="{00000000-0005-0000-0000-0000077A0000}"/>
    <cellStyle name="Normal 5 10 2 10 13" xfId="31240" xr:uid="{00000000-0005-0000-0000-0000087A0000}"/>
    <cellStyle name="Normal 5 10 2 10 14" xfId="31241" xr:uid="{00000000-0005-0000-0000-0000097A0000}"/>
    <cellStyle name="Normal 5 10 2 10 2" xfId="31242" xr:uid="{00000000-0005-0000-0000-00000A7A0000}"/>
    <cellStyle name="Normal 5 10 2 10 2 10" xfId="31243" xr:uid="{00000000-0005-0000-0000-00000B7A0000}"/>
    <cellStyle name="Normal 5 10 2 10 2 2" xfId="31244" xr:uid="{00000000-0005-0000-0000-00000C7A0000}"/>
    <cellStyle name="Normal 5 10 2 10 2 3" xfId="31245" xr:uid="{00000000-0005-0000-0000-00000D7A0000}"/>
    <cellStyle name="Normal 5 10 2 10 2 4" xfId="31246" xr:uid="{00000000-0005-0000-0000-00000E7A0000}"/>
    <cellStyle name="Normal 5 10 2 10 2 5" xfId="31247" xr:uid="{00000000-0005-0000-0000-00000F7A0000}"/>
    <cellStyle name="Normal 5 10 2 10 2 6" xfId="31248" xr:uid="{00000000-0005-0000-0000-0000107A0000}"/>
    <cellStyle name="Normal 5 10 2 10 2 7" xfId="31249" xr:uid="{00000000-0005-0000-0000-0000117A0000}"/>
    <cellStyle name="Normal 5 10 2 10 2 8" xfId="31250" xr:uid="{00000000-0005-0000-0000-0000127A0000}"/>
    <cellStyle name="Normal 5 10 2 10 2 9" xfId="31251" xr:uid="{00000000-0005-0000-0000-0000137A0000}"/>
    <cellStyle name="Normal 5 10 2 10 3" xfId="31252" xr:uid="{00000000-0005-0000-0000-0000147A0000}"/>
    <cellStyle name="Normal 5 10 2 10 3 10" xfId="31253" xr:uid="{00000000-0005-0000-0000-0000157A0000}"/>
    <cellStyle name="Normal 5 10 2 10 3 2" xfId="31254" xr:uid="{00000000-0005-0000-0000-0000167A0000}"/>
    <cellStyle name="Normal 5 10 2 10 3 3" xfId="31255" xr:uid="{00000000-0005-0000-0000-0000177A0000}"/>
    <cellStyle name="Normal 5 10 2 10 3 4" xfId="31256" xr:uid="{00000000-0005-0000-0000-0000187A0000}"/>
    <cellStyle name="Normal 5 10 2 10 3 5" xfId="31257" xr:uid="{00000000-0005-0000-0000-0000197A0000}"/>
    <cellStyle name="Normal 5 10 2 10 3 6" xfId="31258" xr:uid="{00000000-0005-0000-0000-00001A7A0000}"/>
    <cellStyle name="Normal 5 10 2 10 3 7" xfId="31259" xr:uid="{00000000-0005-0000-0000-00001B7A0000}"/>
    <cellStyle name="Normal 5 10 2 10 3 8" xfId="31260" xr:uid="{00000000-0005-0000-0000-00001C7A0000}"/>
    <cellStyle name="Normal 5 10 2 10 3 9" xfId="31261" xr:uid="{00000000-0005-0000-0000-00001D7A0000}"/>
    <cellStyle name="Normal 5 10 2 10 4" xfId="31262" xr:uid="{00000000-0005-0000-0000-00001E7A0000}"/>
    <cellStyle name="Normal 5 10 2 10 4 10" xfId="31263" xr:uid="{00000000-0005-0000-0000-00001F7A0000}"/>
    <cellStyle name="Normal 5 10 2 10 4 2" xfId="31264" xr:uid="{00000000-0005-0000-0000-0000207A0000}"/>
    <cellStyle name="Normal 5 10 2 10 4 3" xfId="31265" xr:uid="{00000000-0005-0000-0000-0000217A0000}"/>
    <cellStyle name="Normal 5 10 2 10 4 4" xfId="31266" xr:uid="{00000000-0005-0000-0000-0000227A0000}"/>
    <cellStyle name="Normal 5 10 2 10 4 5" xfId="31267" xr:uid="{00000000-0005-0000-0000-0000237A0000}"/>
    <cellStyle name="Normal 5 10 2 10 4 6" xfId="31268" xr:uid="{00000000-0005-0000-0000-0000247A0000}"/>
    <cellStyle name="Normal 5 10 2 10 4 7" xfId="31269" xr:uid="{00000000-0005-0000-0000-0000257A0000}"/>
    <cellStyle name="Normal 5 10 2 10 4 8" xfId="31270" xr:uid="{00000000-0005-0000-0000-0000267A0000}"/>
    <cellStyle name="Normal 5 10 2 10 4 9" xfId="31271" xr:uid="{00000000-0005-0000-0000-0000277A0000}"/>
    <cellStyle name="Normal 5 10 2 10 5" xfId="31272" xr:uid="{00000000-0005-0000-0000-0000287A0000}"/>
    <cellStyle name="Normal 5 10 2 10 5 10" xfId="31273" xr:uid="{00000000-0005-0000-0000-0000297A0000}"/>
    <cellStyle name="Normal 5 10 2 10 5 2" xfId="31274" xr:uid="{00000000-0005-0000-0000-00002A7A0000}"/>
    <cellStyle name="Normal 5 10 2 10 5 3" xfId="31275" xr:uid="{00000000-0005-0000-0000-00002B7A0000}"/>
    <cellStyle name="Normal 5 10 2 10 5 4" xfId="31276" xr:uid="{00000000-0005-0000-0000-00002C7A0000}"/>
    <cellStyle name="Normal 5 10 2 10 5 5" xfId="31277" xr:uid="{00000000-0005-0000-0000-00002D7A0000}"/>
    <cellStyle name="Normal 5 10 2 10 5 6" xfId="31278" xr:uid="{00000000-0005-0000-0000-00002E7A0000}"/>
    <cellStyle name="Normal 5 10 2 10 5 7" xfId="31279" xr:uid="{00000000-0005-0000-0000-00002F7A0000}"/>
    <cellStyle name="Normal 5 10 2 10 5 8" xfId="31280" xr:uid="{00000000-0005-0000-0000-0000307A0000}"/>
    <cellStyle name="Normal 5 10 2 10 5 9" xfId="31281" xr:uid="{00000000-0005-0000-0000-0000317A0000}"/>
    <cellStyle name="Normal 5 10 2 10 6" xfId="31282" xr:uid="{00000000-0005-0000-0000-0000327A0000}"/>
    <cellStyle name="Normal 5 10 2 10 7" xfId="31283" xr:uid="{00000000-0005-0000-0000-0000337A0000}"/>
    <cellStyle name="Normal 5 10 2 10 8" xfId="31284" xr:uid="{00000000-0005-0000-0000-0000347A0000}"/>
    <cellStyle name="Normal 5 10 2 10 9" xfId="31285" xr:uid="{00000000-0005-0000-0000-0000357A0000}"/>
    <cellStyle name="Normal 5 10 2 11" xfId="31286" xr:uid="{00000000-0005-0000-0000-0000367A0000}"/>
    <cellStyle name="Normal 5 10 2 11 10" xfId="31287" xr:uid="{00000000-0005-0000-0000-0000377A0000}"/>
    <cellStyle name="Normal 5 10 2 11 11" xfId="31288" xr:uid="{00000000-0005-0000-0000-0000387A0000}"/>
    <cellStyle name="Normal 5 10 2 11 12" xfId="31289" xr:uid="{00000000-0005-0000-0000-0000397A0000}"/>
    <cellStyle name="Normal 5 10 2 11 13" xfId="31290" xr:uid="{00000000-0005-0000-0000-00003A7A0000}"/>
    <cellStyle name="Normal 5 10 2 11 14" xfId="31291" xr:uid="{00000000-0005-0000-0000-00003B7A0000}"/>
    <cellStyle name="Normal 5 10 2 11 2" xfId="31292" xr:uid="{00000000-0005-0000-0000-00003C7A0000}"/>
    <cellStyle name="Normal 5 10 2 11 2 10" xfId="31293" xr:uid="{00000000-0005-0000-0000-00003D7A0000}"/>
    <cellStyle name="Normal 5 10 2 11 2 2" xfId="31294" xr:uid="{00000000-0005-0000-0000-00003E7A0000}"/>
    <cellStyle name="Normal 5 10 2 11 2 3" xfId="31295" xr:uid="{00000000-0005-0000-0000-00003F7A0000}"/>
    <cellStyle name="Normal 5 10 2 11 2 4" xfId="31296" xr:uid="{00000000-0005-0000-0000-0000407A0000}"/>
    <cellStyle name="Normal 5 10 2 11 2 5" xfId="31297" xr:uid="{00000000-0005-0000-0000-0000417A0000}"/>
    <cellStyle name="Normal 5 10 2 11 2 6" xfId="31298" xr:uid="{00000000-0005-0000-0000-0000427A0000}"/>
    <cellStyle name="Normal 5 10 2 11 2 7" xfId="31299" xr:uid="{00000000-0005-0000-0000-0000437A0000}"/>
    <cellStyle name="Normal 5 10 2 11 2 8" xfId="31300" xr:uid="{00000000-0005-0000-0000-0000447A0000}"/>
    <cellStyle name="Normal 5 10 2 11 2 9" xfId="31301" xr:uid="{00000000-0005-0000-0000-0000457A0000}"/>
    <cellStyle name="Normal 5 10 2 11 3" xfId="31302" xr:uid="{00000000-0005-0000-0000-0000467A0000}"/>
    <cellStyle name="Normal 5 10 2 11 3 10" xfId="31303" xr:uid="{00000000-0005-0000-0000-0000477A0000}"/>
    <cellStyle name="Normal 5 10 2 11 3 2" xfId="31304" xr:uid="{00000000-0005-0000-0000-0000487A0000}"/>
    <cellStyle name="Normal 5 10 2 11 3 3" xfId="31305" xr:uid="{00000000-0005-0000-0000-0000497A0000}"/>
    <cellStyle name="Normal 5 10 2 11 3 4" xfId="31306" xr:uid="{00000000-0005-0000-0000-00004A7A0000}"/>
    <cellStyle name="Normal 5 10 2 11 3 5" xfId="31307" xr:uid="{00000000-0005-0000-0000-00004B7A0000}"/>
    <cellStyle name="Normal 5 10 2 11 3 6" xfId="31308" xr:uid="{00000000-0005-0000-0000-00004C7A0000}"/>
    <cellStyle name="Normal 5 10 2 11 3 7" xfId="31309" xr:uid="{00000000-0005-0000-0000-00004D7A0000}"/>
    <cellStyle name="Normal 5 10 2 11 3 8" xfId="31310" xr:uid="{00000000-0005-0000-0000-00004E7A0000}"/>
    <cellStyle name="Normal 5 10 2 11 3 9" xfId="31311" xr:uid="{00000000-0005-0000-0000-00004F7A0000}"/>
    <cellStyle name="Normal 5 10 2 11 4" xfId="31312" xr:uid="{00000000-0005-0000-0000-0000507A0000}"/>
    <cellStyle name="Normal 5 10 2 11 4 10" xfId="31313" xr:uid="{00000000-0005-0000-0000-0000517A0000}"/>
    <cellStyle name="Normal 5 10 2 11 4 2" xfId="31314" xr:uid="{00000000-0005-0000-0000-0000527A0000}"/>
    <cellStyle name="Normal 5 10 2 11 4 3" xfId="31315" xr:uid="{00000000-0005-0000-0000-0000537A0000}"/>
    <cellStyle name="Normal 5 10 2 11 4 4" xfId="31316" xr:uid="{00000000-0005-0000-0000-0000547A0000}"/>
    <cellStyle name="Normal 5 10 2 11 4 5" xfId="31317" xr:uid="{00000000-0005-0000-0000-0000557A0000}"/>
    <cellStyle name="Normal 5 10 2 11 4 6" xfId="31318" xr:uid="{00000000-0005-0000-0000-0000567A0000}"/>
    <cellStyle name="Normal 5 10 2 11 4 7" xfId="31319" xr:uid="{00000000-0005-0000-0000-0000577A0000}"/>
    <cellStyle name="Normal 5 10 2 11 4 8" xfId="31320" xr:uid="{00000000-0005-0000-0000-0000587A0000}"/>
    <cellStyle name="Normal 5 10 2 11 4 9" xfId="31321" xr:uid="{00000000-0005-0000-0000-0000597A0000}"/>
    <cellStyle name="Normal 5 10 2 11 5" xfId="31322" xr:uid="{00000000-0005-0000-0000-00005A7A0000}"/>
    <cellStyle name="Normal 5 10 2 11 5 10" xfId="31323" xr:uid="{00000000-0005-0000-0000-00005B7A0000}"/>
    <cellStyle name="Normal 5 10 2 11 5 2" xfId="31324" xr:uid="{00000000-0005-0000-0000-00005C7A0000}"/>
    <cellStyle name="Normal 5 10 2 11 5 3" xfId="31325" xr:uid="{00000000-0005-0000-0000-00005D7A0000}"/>
    <cellStyle name="Normal 5 10 2 11 5 4" xfId="31326" xr:uid="{00000000-0005-0000-0000-00005E7A0000}"/>
    <cellStyle name="Normal 5 10 2 11 5 5" xfId="31327" xr:uid="{00000000-0005-0000-0000-00005F7A0000}"/>
    <cellStyle name="Normal 5 10 2 11 5 6" xfId="31328" xr:uid="{00000000-0005-0000-0000-0000607A0000}"/>
    <cellStyle name="Normal 5 10 2 11 5 7" xfId="31329" xr:uid="{00000000-0005-0000-0000-0000617A0000}"/>
    <cellStyle name="Normal 5 10 2 11 5 8" xfId="31330" xr:uid="{00000000-0005-0000-0000-0000627A0000}"/>
    <cellStyle name="Normal 5 10 2 11 5 9" xfId="31331" xr:uid="{00000000-0005-0000-0000-0000637A0000}"/>
    <cellStyle name="Normal 5 10 2 11 6" xfId="31332" xr:uid="{00000000-0005-0000-0000-0000647A0000}"/>
    <cellStyle name="Normal 5 10 2 11 7" xfId="31333" xr:uid="{00000000-0005-0000-0000-0000657A0000}"/>
    <cellStyle name="Normal 5 10 2 11 8" xfId="31334" xr:uid="{00000000-0005-0000-0000-0000667A0000}"/>
    <cellStyle name="Normal 5 10 2 11 9" xfId="31335" xr:uid="{00000000-0005-0000-0000-0000677A0000}"/>
    <cellStyle name="Normal 5 10 2 12" xfId="31336" xr:uid="{00000000-0005-0000-0000-0000687A0000}"/>
    <cellStyle name="Normal 5 10 2 12 10" xfId="31337" xr:uid="{00000000-0005-0000-0000-0000697A0000}"/>
    <cellStyle name="Normal 5 10 2 12 11" xfId="31338" xr:uid="{00000000-0005-0000-0000-00006A7A0000}"/>
    <cellStyle name="Normal 5 10 2 12 12" xfId="31339" xr:uid="{00000000-0005-0000-0000-00006B7A0000}"/>
    <cellStyle name="Normal 5 10 2 12 13" xfId="31340" xr:uid="{00000000-0005-0000-0000-00006C7A0000}"/>
    <cellStyle name="Normal 5 10 2 12 14" xfId="31341" xr:uid="{00000000-0005-0000-0000-00006D7A0000}"/>
    <cellStyle name="Normal 5 10 2 12 2" xfId="31342" xr:uid="{00000000-0005-0000-0000-00006E7A0000}"/>
    <cellStyle name="Normal 5 10 2 12 2 10" xfId="31343" xr:uid="{00000000-0005-0000-0000-00006F7A0000}"/>
    <cellStyle name="Normal 5 10 2 12 2 2" xfId="31344" xr:uid="{00000000-0005-0000-0000-0000707A0000}"/>
    <cellStyle name="Normal 5 10 2 12 2 3" xfId="31345" xr:uid="{00000000-0005-0000-0000-0000717A0000}"/>
    <cellStyle name="Normal 5 10 2 12 2 4" xfId="31346" xr:uid="{00000000-0005-0000-0000-0000727A0000}"/>
    <cellStyle name="Normal 5 10 2 12 2 5" xfId="31347" xr:uid="{00000000-0005-0000-0000-0000737A0000}"/>
    <cellStyle name="Normal 5 10 2 12 2 6" xfId="31348" xr:uid="{00000000-0005-0000-0000-0000747A0000}"/>
    <cellStyle name="Normal 5 10 2 12 2 7" xfId="31349" xr:uid="{00000000-0005-0000-0000-0000757A0000}"/>
    <cellStyle name="Normal 5 10 2 12 2 8" xfId="31350" xr:uid="{00000000-0005-0000-0000-0000767A0000}"/>
    <cellStyle name="Normal 5 10 2 12 2 9" xfId="31351" xr:uid="{00000000-0005-0000-0000-0000777A0000}"/>
    <cellStyle name="Normal 5 10 2 12 3" xfId="31352" xr:uid="{00000000-0005-0000-0000-0000787A0000}"/>
    <cellStyle name="Normal 5 10 2 12 3 10" xfId="31353" xr:uid="{00000000-0005-0000-0000-0000797A0000}"/>
    <cellStyle name="Normal 5 10 2 12 3 2" xfId="31354" xr:uid="{00000000-0005-0000-0000-00007A7A0000}"/>
    <cellStyle name="Normal 5 10 2 12 3 3" xfId="31355" xr:uid="{00000000-0005-0000-0000-00007B7A0000}"/>
    <cellStyle name="Normal 5 10 2 12 3 4" xfId="31356" xr:uid="{00000000-0005-0000-0000-00007C7A0000}"/>
    <cellStyle name="Normal 5 10 2 12 3 5" xfId="31357" xr:uid="{00000000-0005-0000-0000-00007D7A0000}"/>
    <cellStyle name="Normal 5 10 2 12 3 6" xfId="31358" xr:uid="{00000000-0005-0000-0000-00007E7A0000}"/>
    <cellStyle name="Normal 5 10 2 12 3 7" xfId="31359" xr:uid="{00000000-0005-0000-0000-00007F7A0000}"/>
    <cellStyle name="Normal 5 10 2 12 3 8" xfId="31360" xr:uid="{00000000-0005-0000-0000-0000807A0000}"/>
    <cellStyle name="Normal 5 10 2 12 3 9" xfId="31361" xr:uid="{00000000-0005-0000-0000-0000817A0000}"/>
    <cellStyle name="Normal 5 10 2 12 4" xfId="31362" xr:uid="{00000000-0005-0000-0000-0000827A0000}"/>
    <cellStyle name="Normal 5 10 2 12 4 10" xfId="31363" xr:uid="{00000000-0005-0000-0000-0000837A0000}"/>
    <cellStyle name="Normal 5 10 2 12 4 2" xfId="31364" xr:uid="{00000000-0005-0000-0000-0000847A0000}"/>
    <cellStyle name="Normal 5 10 2 12 4 3" xfId="31365" xr:uid="{00000000-0005-0000-0000-0000857A0000}"/>
    <cellStyle name="Normal 5 10 2 12 4 4" xfId="31366" xr:uid="{00000000-0005-0000-0000-0000867A0000}"/>
    <cellStyle name="Normal 5 10 2 12 4 5" xfId="31367" xr:uid="{00000000-0005-0000-0000-0000877A0000}"/>
    <cellStyle name="Normal 5 10 2 12 4 6" xfId="31368" xr:uid="{00000000-0005-0000-0000-0000887A0000}"/>
    <cellStyle name="Normal 5 10 2 12 4 7" xfId="31369" xr:uid="{00000000-0005-0000-0000-0000897A0000}"/>
    <cellStyle name="Normal 5 10 2 12 4 8" xfId="31370" xr:uid="{00000000-0005-0000-0000-00008A7A0000}"/>
    <cellStyle name="Normal 5 10 2 12 4 9" xfId="31371" xr:uid="{00000000-0005-0000-0000-00008B7A0000}"/>
    <cellStyle name="Normal 5 10 2 12 5" xfId="31372" xr:uid="{00000000-0005-0000-0000-00008C7A0000}"/>
    <cellStyle name="Normal 5 10 2 12 5 10" xfId="31373" xr:uid="{00000000-0005-0000-0000-00008D7A0000}"/>
    <cellStyle name="Normal 5 10 2 12 5 2" xfId="31374" xr:uid="{00000000-0005-0000-0000-00008E7A0000}"/>
    <cellStyle name="Normal 5 10 2 12 5 3" xfId="31375" xr:uid="{00000000-0005-0000-0000-00008F7A0000}"/>
    <cellStyle name="Normal 5 10 2 12 5 4" xfId="31376" xr:uid="{00000000-0005-0000-0000-0000907A0000}"/>
    <cellStyle name="Normal 5 10 2 12 5 5" xfId="31377" xr:uid="{00000000-0005-0000-0000-0000917A0000}"/>
    <cellStyle name="Normal 5 10 2 12 5 6" xfId="31378" xr:uid="{00000000-0005-0000-0000-0000927A0000}"/>
    <cellStyle name="Normal 5 10 2 12 5 7" xfId="31379" xr:uid="{00000000-0005-0000-0000-0000937A0000}"/>
    <cellStyle name="Normal 5 10 2 12 5 8" xfId="31380" xr:uid="{00000000-0005-0000-0000-0000947A0000}"/>
    <cellStyle name="Normal 5 10 2 12 5 9" xfId="31381" xr:uid="{00000000-0005-0000-0000-0000957A0000}"/>
    <cellStyle name="Normal 5 10 2 12 6" xfId="31382" xr:uid="{00000000-0005-0000-0000-0000967A0000}"/>
    <cellStyle name="Normal 5 10 2 12 7" xfId="31383" xr:uid="{00000000-0005-0000-0000-0000977A0000}"/>
    <cellStyle name="Normal 5 10 2 12 8" xfId="31384" xr:uid="{00000000-0005-0000-0000-0000987A0000}"/>
    <cellStyle name="Normal 5 10 2 12 9" xfId="31385" xr:uid="{00000000-0005-0000-0000-0000997A0000}"/>
    <cellStyle name="Normal 5 10 2 13" xfId="31386" xr:uid="{00000000-0005-0000-0000-00009A7A0000}"/>
    <cellStyle name="Normal 5 10 2 13 10" xfId="31387" xr:uid="{00000000-0005-0000-0000-00009B7A0000}"/>
    <cellStyle name="Normal 5 10 2 13 11" xfId="31388" xr:uid="{00000000-0005-0000-0000-00009C7A0000}"/>
    <cellStyle name="Normal 5 10 2 13 12" xfId="31389" xr:uid="{00000000-0005-0000-0000-00009D7A0000}"/>
    <cellStyle name="Normal 5 10 2 13 13" xfId="31390" xr:uid="{00000000-0005-0000-0000-00009E7A0000}"/>
    <cellStyle name="Normal 5 10 2 13 14" xfId="31391" xr:uid="{00000000-0005-0000-0000-00009F7A0000}"/>
    <cellStyle name="Normal 5 10 2 13 2" xfId="31392" xr:uid="{00000000-0005-0000-0000-0000A07A0000}"/>
    <cellStyle name="Normal 5 10 2 13 2 10" xfId="31393" xr:uid="{00000000-0005-0000-0000-0000A17A0000}"/>
    <cellStyle name="Normal 5 10 2 13 2 2" xfId="31394" xr:uid="{00000000-0005-0000-0000-0000A27A0000}"/>
    <cellStyle name="Normal 5 10 2 13 2 3" xfId="31395" xr:uid="{00000000-0005-0000-0000-0000A37A0000}"/>
    <cellStyle name="Normal 5 10 2 13 2 4" xfId="31396" xr:uid="{00000000-0005-0000-0000-0000A47A0000}"/>
    <cellStyle name="Normal 5 10 2 13 2 5" xfId="31397" xr:uid="{00000000-0005-0000-0000-0000A57A0000}"/>
    <cellStyle name="Normal 5 10 2 13 2 6" xfId="31398" xr:uid="{00000000-0005-0000-0000-0000A67A0000}"/>
    <cellStyle name="Normal 5 10 2 13 2 7" xfId="31399" xr:uid="{00000000-0005-0000-0000-0000A77A0000}"/>
    <cellStyle name="Normal 5 10 2 13 2 8" xfId="31400" xr:uid="{00000000-0005-0000-0000-0000A87A0000}"/>
    <cellStyle name="Normal 5 10 2 13 2 9" xfId="31401" xr:uid="{00000000-0005-0000-0000-0000A97A0000}"/>
    <cellStyle name="Normal 5 10 2 13 3" xfId="31402" xr:uid="{00000000-0005-0000-0000-0000AA7A0000}"/>
    <cellStyle name="Normal 5 10 2 13 3 10" xfId="31403" xr:uid="{00000000-0005-0000-0000-0000AB7A0000}"/>
    <cellStyle name="Normal 5 10 2 13 3 2" xfId="31404" xr:uid="{00000000-0005-0000-0000-0000AC7A0000}"/>
    <cellStyle name="Normal 5 10 2 13 3 3" xfId="31405" xr:uid="{00000000-0005-0000-0000-0000AD7A0000}"/>
    <cellStyle name="Normal 5 10 2 13 3 4" xfId="31406" xr:uid="{00000000-0005-0000-0000-0000AE7A0000}"/>
    <cellStyle name="Normal 5 10 2 13 3 5" xfId="31407" xr:uid="{00000000-0005-0000-0000-0000AF7A0000}"/>
    <cellStyle name="Normal 5 10 2 13 3 6" xfId="31408" xr:uid="{00000000-0005-0000-0000-0000B07A0000}"/>
    <cellStyle name="Normal 5 10 2 13 3 7" xfId="31409" xr:uid="{00000000-0005-0000-0000-0000B17A0000}"/>
    <cellStyle name="Normal 5 10 2 13 3 8" xfId="31410" xr:uid="{00000000-0005-0000-0000-0000B27A0000}"/>
    <cellStyle name="Normal 5 10 2 13 3 9" xfId="31411" xr:uid="{00000000-0005-0000-0000-0000B37A0000}"/>
    <cellStyle name="Normal 5 10 2 13 4" xfId="31412" xr:uid="{00000000-0005-0000-0000-0000B47A0000}"/>
    <cellStyle name="Normal 5 10 2 13 4 10" xfId="31413" xr:uid="{00000000-0005-0000-0000-0000B57A0000}"/>
    <cellStyle name="Normal 5 10 2 13 4 2" xfId="31414" xr:uid="{00000000-0005-0000-0000-0000B67A0000}"/>
    <cellStyle name="Normal 5 10 2 13 4 3" xfId="31415" xr:uid="{00000000-0005-0000-0000-0000B77A0000}"/>
    <cellStyle name="Normal 5 10 2 13 4 4" xfId="31416" xr:uid="{00000000-0005-0000-0000-0000B87A0000}"/>
    <cellStyle name="Normal 5 10 2 13 4 5" xfId="31417" xr:uid="{00000000-0005-0000-0000-0000B97A0000}"/>
    <cellStyle name="Normal 5 10 2 13 4 6" xfId="31418" xr:uid="{00000000-0005-0000-0000-0000BA7A0000}"/>
    <cellStyle name="Normal 5 10 2 13 4 7" xfId="31419" xr:uid="{00000000-0005-0000-0000-0000BB7A0000}"/>
    <cellStyle name="Normal 5 10 2 13 4 8" xfId="31420" xr:uid="{00000000-0005-0000-0000-0000BC7A0000}"/>
    <cellStyle name="Normal 5 10 2 13 4 9" xfId="31421" xr:uid="{00000000-0005-0000-0000-0000BD7A0000}"/>
    <cellStyle name="Normal 5 10 2 13 5" xfId="31422" xr:uid="{00000000-0005-0000-0000-0000BE7A0000}"/>
    <cellStyle name="Normal 5 10 2 13 5 10" xfId="31423" xr:uid="{00000000-0005-0000-0000-0000BF7A0000}"/>
    <cellStyle name="Normal 5 10 2 13 5 2" xfId="31424" xr:uid="{00000000-0005-0000-0000-0000C07A0000}"/>
    <cellStyle name="Normal 5 10 2 13 5 3" xfId="31425" xr:uid="{00000000-0005-0000-0000-0000C17A0000}"/>
    <cellStyle name="Normal 5 10 2 13 5 4" xfId="31426" xr:uid="{00000000-0005-0000-0000-0000C27A0000}"/>
    <cellStyle name="Normal 5 10 2 13 5 5" xfId="31427" xr:uid="{00000000-0005-0000-0000-0000C37A0000}"/>
    <cellStyle name="Normal 5 10 2 13 5 6" xfId="31428" xr:uid="{00000000-0005-0000-0000-0000C47A0000}"/>
    <cellStyle name="Normal 5 10 2 13 5 7" xfId="31429" xr:uid="{00000000-0005-0000-0000-0000C57A0000}"/>
    <cellStyle name="Normal 5 10 2 13 5 8" xfId="31430" xr:uid="{00000000-0005-0000-0000-0000C67A0000}"/>
    <cellStyle name="Normal 5 10 2 13 5 9" xfId="31431" xr:uid="{00000000-0005-0000-0000-0000C77A0000}"/>
    <cellStyle name="Normal 5 10 2 13 6" xfId="31432" xr:uid="{00000000-0005-0000-0000-0000C87A0000}"/>
    <cellStyle name="Normal 5 10 2 13 7" xfId="31433" xr:uid="{00000000-0005-0000-0000-0000C97A0000}"/>
    <cellStyle name="Normal 5 10 2 13 8" xfId="31434" xr:uid="{00000000-0005-0000-0000-0000CA7A0000}"/>
    <cellStyle name="Normal 5 10 2 13 9" xfId="31435" xr:uid="{00000000-0005-0000-0000-0000CB7A0000}"/>
    <cellStyle name="Normal 5 10 2 14" xfId="31436" xr:uid="{00000000-0005-0000-0000-0000CC7A0000}"/>
    <cellStyle name="Normal 5 10 2 14 10" xfId="31437" xr:uid="{00000000-0005-0000-0000-0000CD7A0000}"/>
    <cellStyle name="Normal 5 10 2 14 11" xfId="31438" xr:uid="{00000000-0005-0000-0000-0000CE7A0000}"/>
    <cellStyle name="Normal 5 10 2 14 12" xfId="31439" xr:uid="{00000000-0005-0000-0000-0000CF7A0000}"/>
    <cellStyle name="Normal 5 10 2 14 13" xfId="31440" xr:uid="{00000000-0005-0000-0000-0000D07A0000}"/>
    <cellStyle name="Normal 5 10 2 14 14" xfId="31441" xr:uid="{00000000-0005-0000-0000-0000D17A0000}"/>
    <cellStyle name="Normal 5 10 2 14 2" xfId="31442" xr:uid="{00000000-0005-0000-0000-0000D27A0000}"/>
    <cellStyle name="Normal 5 10 2 14 2 10" xfId="31443" xr:uid="{00000000-0005-0000-0000-0000D37A0000}"/>
    <cellStyle name="Normal 5 10 2 14 2 2" xfId="31444" xr:uid="{00000000-0005-0000-0000-0000D47A0000}"/>
    <cellStyle name="Normal 5 10 2 14 2 3" xfId="31445" xr:uid="{00000000-0005-0000-0000-0000D57A0000}"/>
    <cellStyle name="Normal 5 10 2 14 2 4" xfId="31446" xr:uid="{00000000-0005-0000-0000-0000D67A0000}"/>
    <cellStyle name="Normal 5 10 2 14 2 5" xfId="31447" xr:uid="{00000000-0005-0000-0000-0000D77A0000}"/>
    <cellStyle name="Normal 5 10 2 14 2 6" xfId="31448" xr:uid="{00000000-0005-0000-0000-0000D87A0000}"/>
    <cellStyle name="Normal 5 10 2 14 2 7" xfId="31449" xr:uid="{00000000-0005-0000-0000-0000D97A0000}"/>
    <cellStyle name="Normal 5 10 2 14 2 8" xfId="31450" xr:uid="{00000000-0005-0000-0000-0000DA7A0000}"/>
    <cellStyle name="Normal 5 10 2 14 2 9" xfId="31451" xr:uid="{00000000-0005-0000-0000-0000DB7A0000}"/>
    <cellStyle name="Normal 5 10 2 14 3" xfId="31452" xr:uid="{00000000-0005-0000-0000-0000DC7A0000}"/>
    <cellStyle name="Normal 5 10 2 14 3 10" xfId="31453" xr:uid="{00000000-0005-0000-0000-0000DD7A0000}"/>
    <cellStyle name="Normal 5 10 2 14 3 2" xfId="31454" xr:uid="{00000000-0005-0000-0000-0000DE7A0000}"/>
    <cellStyle name="Normal 5 10 2 14 3 3" xfId="31455" xr:uid="{00000000-0005-0000-0000-0000DF7A0000}"/>
    <cellStyle name="Normal 5 10 2 14 3 4" xfId="31456" xr:uid="{00000000-0005-0000-0000-0000E07A0000}"/>
    <cellStyle name="Normal 5 10 2 14 3 5" xfId="31457" xr:uid="{00000000-0005-0000-0000-0000E17A0000}"/>
    <cellStyle name="Normal 5 10 2 14 3 6" xfId="31458" xr:uid="{00000000-0005-0000-0000-0000E27A0000}"/>
    <cellStyle name="Normal 5 10 2 14 3 7" xfId="31459" xr:uid="{00000000-0005-0000-0000-0000E37A0000}"/>
    <cellStyle name="Normal 5 10 2 14 3 8" xfId="31460" xr:uid="{00000000-0005-0000-0000-0000E47A0000}"/>
    <cellStyle name="Normal 5 10 2 14 3 9" xfId="31461" xr:uid="{00000000-0005-0000-0000-0000E57A0000}"/>
    <cellStyle name="Normal 5 10 2 14 4" xfId="31462" xr:uid="{00000000-0005-0000-0000-0000E67A0000}"/>
    <cellStyle name="Normal 5 10 2 14 4 10" xfId="31463" xr:uid="{00000000-0005-0000-0000-0000E77A0000}"/>
    <cellStyle name="Normal 5 10 2 14 4 2" xfId="31464" xr:uid="{00000000-0005-0000-0000-0000E87A0000}"/>
    <cellStyle name="Normal 5 10 2 14 4 3" xfId="31465" xr:uid="{00000000-0005-0000-0000-0000E97A0000}"/>
    <cellStyle name="Normal 5 10 2 14 4 4" xfId="31466" xr:uid="{00000000-0005-0000-0000-0000EA7A0000}"/>
    <cellStyle name="Normal 5 10 2 14 4 5" xfId="31467" xr:uid="{00000000-0005-0000-0000-0000EB7A0000}"/>
    <cellStyle name="Normal 5 10 2 14 4 6" xfId="31468" xr:uid="{00000000-0005-0000-0000-0000EC7A0000}"/>
    <cellStyle name="Normal 5 10 2 14 4 7" xfId="31469" xr:uid="{00000000-0005-0000-0000-0000ED7A0000}"/>
    <cellStyle name="Normal 5 10 2 14 4 8" xfId="31470" xr:uid="{00000000-0005-0000-0000-0000EE7A0000}"/>
    <cellStyle name="Normal 5 10 2 14 4 9" xfId="31471" xr:uid="{00000000-0005-0000-0000-0000EF7A0000}"/>
    <cellStyle name="Normal 5 10 2 14 5" xfId="31472" xr:uid="{00000000-0005-0000-0000-0000F07A0000}"/>
    <cellStyle name="Normal 5 10 2 14 5 10" xfId="31473" xr:uid="{00000000-0005-0000-0000-0000F17A0000}"/>
    <cellStyle name="Normal 5 10 2 14 5 2" xfId="31474" xr:uid="{00000000-0005-0000-0000-0000F27A0000}"/>
    <cellStyle name="Normal 5 10 2 14 5 3" xfId="31475" xr:uid="{00000000-0005-0000-0000-0000F37A0000}"/>
    <cellStyle name="Normal 5 10 2 14 5 4" xfId="31476" xr:uid="{00000000-0005-0000-0000-0000F47A0000}"/>
    <cellStyle name="Normal 5 10 2 14 5 5" xfId="31477" xr:uid="{00000000-0005-0000-0000-0000F57A0000}"/>
    <cellStyle name="Normal 5 10 2 14 5 6" xfId="31478" xr:uid="{00000000-0005-0000-0000-0000F67A0000}"/>
    <cellStyle name="Normal 5 10 2 14 5 7" xfId="31479" xr:uid="{00000000-0005-0000-0000-0000F77A0000}"/>
    <cellStyle name="Normal 5 10 2 14 5 8" xfId="31480" xr:uid="{00000000-0005-0000-0000-0000F87A0000}"/>
    <cellStyle name="Normal 5 10 2 14 5 9" xfId="31481" xr:uid="{00000000-0005-0000-0000-0000F97A0000}"/>
    <cellStyle name="Normal 5 10 2 14 6" xfId="31482" xr:uid="{00000000-0005-0000-0000-0000FA7A0000}"/>
    <cellStyle name="Normal 5 10 2 14 7" xfId="31483" xr:uid="{00000000-0005-0000-0000-0000FB7A0000}"/>
    <cellStyle name="Normal 5 10 2 14 8" xfId="31484" xr:uid="{00000000-0005-0000-0000-0000FC7A0000}"/>
    <cellStyle name="Normal 5 10 2 14 9" xfId="31485" xr:uid="{00000000-0005-0000-0000-0000FD7A0000}"/>
    <cellStyle name="Normal 5 10 2 15" xfId="31486" xr:uid="{00000000-0005-0000-0000-0000FE7A0000}"/>
    <cellStyle name="Normal 5 10 2 15 10" xfId="31487" xr:uid="{00000000-0005-0000-0000-0000FF7A0000}"/>
    <cellStyle name="Normal 5 10 2 15 11" xfId="31488" xr:uid="{00000000-0005-0000-0000-0000007B0000}"/>
    <cellStyle name="Normal 5 10 2 15 12" xfId="31489" xr:uid="{00000000-0005-0000-0000-0000017B0000}"/>
    <cellStyle name="Normal 5 10 2 15 13" xfId="31490" xr:uid="{00000000-0005-0000-0000-0000027B0000}"/>
    <cellStyle name="Normal 5 10 2 15 14" xfId="31491" xr:uid="{00000000-0005-0000-0000-0000037B0000}"/>
    <cellStyle name="Normal 5 10 2 15 2" xfId="31492" xr:uid="{00000000-0005-0000-0000-0000047B0000}"/>
    <cellStyle name="Normal 5 10 2 15 2 10" xfId="31493" xr:uid="{00000000-0005-0000-0000-0000057B0000}"/>
    <cellStyle name="Normal 5 10 2 15 2 2" xfId="31494" xr:uid="{00000000-0005-0000-0000-0000067B0000}"/>
    <cellStyle name="Normal 5 10 2 15 2 3" xfId="31495" xr:uid="{00000000-0005-0000-0000-0000077B0000}"/>
    <cellStyle name="Normal 5 10 2 15 2 4" xfId="31496" xr:uid="{00000000-0005-0000-0000-0000087B0000}"/>
    <cellStyle name="Normal 5 10 2 15 2 5" xfId="31497" xr:uid="{00000000-0005-0000-0000-0000097B0000}"/>
    <cellStyle name="Normal 5 10 2 15 2 6" xfId="31498" xr:uid="{00000000-0005-0000-0000-00000A7B0000}"/>
    <cellStyle name="Normal 5 10 2 15 2 7" xfId="31499" xr:uid="{00000000-0005-0000-0000-00000B7B0000}"/>
    <cellStyle name="Normal 5 10 2 15 2 8" xfId="31500" xr:uid="{00000000-0005-0000-0000-00000C7B0000}"/>
    <cellStyle name="Normal 5 10 2 15 2 9" xfId="31501" xr:uid="{00000000-0005-0000-0000-00000D7B0000}"/>
    <cellStyle name="Normal 5 10 2 15 3" xfId="31502" xr:uid="{00000000-0005-0000-0000-00000E7B0000}"/>
    <cellStyle name="Normal 5 10 2 15 3 10" xfId="31503" xr:uid="{00000000-0005-0000-0000-00000F7B0000}"/>
    <cellStyle name="Normal 5 10 2 15 3 2" xfId="31504" xr:uid="{00000000-0005-0000-0000-0000107B0000}"/>
    <cellStyle name="Normal 5 10 2 15 3 3" xfId="31505" xr:uid="{00000000-0005-0000-0000-0000117B0000}"/>
    <cellStyle name="Normal 5 10 2 15 3 4" xfId="31506" xr:uid="{00000000-0005-0000-0000-0000127B0000}"/>
    <cellStyle name="Normal 5 10 2 15 3 5" xfId="31507" xr:uid="{00000000-0005-0000-0000-0000137B0000}"/>
    <cellStyle name="Normal 5 10 2 15 3 6" xfId="31508" xr:uid="{00000000-0005-0000-0000-0000147B0000}"/>
    <cellStyle name="Normal 5 10 2 15 3 7" xfId="31509" xr:uid="{00000000-0005-0000-0000-0000157B0000}"/>
    <cellStyle name="Normal 5 10 2 15 3 8" xfId="31510" xr:uid="{00000000-0005-0000-0000-0000167B0000}"/>
    <cellStyle name="Normal 5 10 2 15 3 9" xfId="31511" xr:uid="{00000000-0005-0000-0000-0000177B0000}"/>
    <cellStyle name="Normal 5 10 2 15 4" xfId="31512" xr:uid="{00000000-0005-0000-0000-0000187B0000}"/>
    <cellStyle name="Normal 5 10 2 15 4 10" xfId="31513" xr:uid="{00000000-0005-0000-0000-0000197B0000}"/>
    <cellStyle name="Normal 5 10 2 15 4 2" xfId="31514" xr:uid="{00000000-0005-0000-0000-00001A7B0000}"/>
    <cellStyle name="Normal 5 10 2 15 4 3" xfId="31515" xr:uid="{00000000-0005-0000-0000-00001B7B0000}"/>
    <cellStyle name="Normal 5 10 2 15 4 4" xfId="31516" xr:uid="{00000000-0005-0000-0000-00001C7B0000}"/>
    <cellStyle name="Normal 5 10 2 15 4 5" xfId="31517" xr:uid="{00000000-0005-0000-0000-00001D7B0000}"/>
    <cellStyle name="Normal 5 10 2 15 4 6" xfId="31518" xr:uid="{00000000-0005-0000-0000-00001E7B0000}"/>
    <cellStyle name="Normal 5 10 2 15 4 7" xfId="31519" xr:uid="{00000000-0005-0000-0000-00001F7B0000}"/>
    <cellStyle name="Normal 5 10 2 15 4 8" xfId="31520" xr:uid="{00000000-0005-0000-0000-0000207B0000}"/>
    <cellStyle name="Normal 5 10 2 15 4 9" xfId="31521" xr:uid="{00000000-0005-0000-0000-0000217B0000}"/>
    <cellStyle name="Normal 5 10 2 15 5" xfId="31522" xr:uid="{00000000-0005-0000-0000-0000227B0000}"/>
    <cellStyle name="Normal 5 10 2 15 5 10" xfId="31523" xr:uid="{00000000-0005-0000-0000-0000237B0000}"/>
    <cellStyle name="Normal 5 10 2 15 5 2" xfId="31524" xr:uid="{00000000-0005-0000-0000-0000247B0000}"/>
    <cellStyle name="Normal 5 10 2 15 5 3" xfId="31525" xr:uid="{00000000-0005-0000-0000-0000257B0000}"/>
    <cellStyle name="Normal 5 10 2 15 5 4" xfId="31526" xr:uid="{00000000-0005-0000-0000-0000267B0000}"/>
    <cellStyle name="Normal 5 10 2 15 5 5" xfId="31527" xr:uid="{00000000-0005-0000-0000-0000277B0000}"/>
    <cellStyle name="Normal 5 10 2 15 5 6" xfId="31528" xr:uid="{00000000-0005-0000-0000-0000287B0000}"/>
    <cellStyle name="Normal 5 10 2 15 5 7" xfId="31529" xr:uid="{00000000-0005-0000-0000-0000297B0000}"/>
    <cellStyle name="Normal 5 10 2 15 5 8" xfId="31530" xr:uid="{00000000-0005-0000-0000-00002A7B0000}"/>
    <cellStyle name="Normal 5 10 2 15 5 9" xfId="31531" xr:uid="{00000000-0005-0000-0000-00002B7B0000}"/>
    <cellStyle name="Normal 5 10 2 15 6" xfId="31532" xr:uid="{00000000-0005-0000-0000-00002C7B0000}"/>
    <cellStyle name="Normal 5 10 2 15 7" xfId="31533" xr:uid="{00000000-0005-0000-0000-00002D7B0000}"/>
    <cellStyle name="Normal 5 10 2 15 8" xfId="31534" xr:uid="{00000000-0005-0000-0000-00002E7B0000}"/>
    <cellStyle name="Normal 5 10 2 15 9" xfId="31535" xr:uid="{00000000-0005-0000-0000-00002F7B0000}"/>
    <cellStyle name="Normal 5 10 2 16" xfId="31536" xr:uid="{00000000-0005-0000-0000-0000307B0000}"/>
    <cellStyle name="Normal 5 10 2 16 10" xfId="31537" xr:uid="{00000000-0005-0000-0000-0000317B0000}"/>
    <cellStyle name="Normal 5 10 2 16 11" xfId="31538" xr:uid="{00000000-0005-0000-0000-0000327B0000}"/>
    <cellStyle name="Normal 5 10 2 16 12" xfId="31539" xr:uid="{00000000-0005-0000-0000-0000337B0000}"/>
    <cellStyle name="Normal 5 10 2 16 13" xfId="31540" xr:uid="{00000000-0005-0000-0000-0000347B0000}"/>
    <cellStyle name="Normal 5 10 2 16 14" xfId="31541" xr:uid="{00000000-0005-0000-0000-0000357B0000}"/>
    <cellStyle name="Normal 5 10 2 16 2" xfId="31542" xr:uid="{00000000-0005-0000-0000-0000367B0000}"/>
    <cellStyle name="Normal 5 10 2 16 2 10" xfId="31543" xr:uid="{00000000-0005-0000-0000-0000377B0000}"/>
    <cellStyle name="Normal 5 10 2 16 2 2" xfId="31544" xr:uid="{00000000-0005-0000-0000-0000387B0000}"/>
    <cellStyle name="Normal 5 10 2 16 2 3" xfId="31545" xr:uid="{00000000-0005-0000-0000-0000397B0000}"/>
    <cellStyle name="Normal 5 10 2 16 2 4" xfId="31546" xr:uid="{00000000-0005-0000-0000-00003A7B0000}"/>
    <cellStyle name="Normal 5 10 2 16 2 5" xfId="31547" xr:uid="{00000000-0005-0000-0000-00003B7B0000}"/>
    <cellStyle name="Normal 5 10 2 16 2 6" xfId="31548" xr:uid="{00000000-0005-0000-0000-00003C7B0000}"/>
    <cellStyle name="Normal 5 10 2 16 2 7" xfId="31549" xr:uid="{00000000-0005-0000-0000-00003D7B0000}"/>
    <cellStyle name="Normal 5 10 2 16 2 8" xfId="31550" xr:uid="{00000000-0005-0000-0000-00003E7B0000}"/>
    <cellStyle name="Normal 5 10 2 16 2 9" xfId="31551" xr:uid="{00000000-0005-0000-0000-00003F7B0000}"/>
    <cellStyle name="Normal 5 10 2 16 3" xfId="31552" xr:uid="{00000000-0005-0000-0000-0000407B0000}"/>
    <cellStyle name="Normal 5 10 2 16 3 10" xfId="31553" xr:uid="{00000000-0005-0000-0000-0000417B0000}"/>
    <cellStyle name="Normal 5 10 2 16 3 2" xfId="31554" xr:uid="{00000000-0005-0000-0000-0000427B0000}"/>
    <cellStyle name="Normal 5 10 2 16 3 3" xfId="31555" xr:uid="{00000000-0005-0000-0000-0000437B0000}"/>
    <cellStyle name="Normal 5 10 2 16 3 4" xfId="31556" xr:uid="{00000000-0005-0000-0000-0000447B0000}"/>
    <cellStyle name="Normal 5 10 2 16 3 5" xfId="31557" xr:uid="{00000000-0005-0000-0000-0000457B0000}"/>
    <cellStyle name="Normal 5 10 2 16 3 6" xfId="31558" xr:uid="{00000000-0005-0000-0000-0000467B0000}"/>
    <cellStyle name="Normal 5 10 2 16 3 7" xfId="31559" xr:uid="{00000000-0005-0000-0000-0000477B0000}"/>
    <cellStyle name="Normal 5 10 2 16 3 8" xfId="31560" xr:uid="{00000000-0005-0000-0000-0000487B0000}"/>
    <cellStyle name="Normal 5 10 2 16 3 9" xfId="31561" xr:uid="{00000000-0005-0000-0000-0000497B0000}"/>
    <cellStyle name="Normal 5 10 2 16 4" xfId="31562" xr:uid="{00000000-0005-0000-0000-00004A7B0000}"/>
    <cellStyle name="Normal 5 10 2 16 4 10" xfId="31563" xr:uid="{00000000-0005-0000-0000-00004B7B0000}"/>
    <cellStyle name="Normal 5 10 2 16 4 2" xfId="31564" xr:uid="{00000000-0005-0000-0000-00004C7B0000}"/>
    <cellStyle name="Normal 5 10 2 16 4 3" xfId="31565" xr:uid="{00000000-0005-0000-0000-00004D7B0000}"/>
    <cellStyle name="Normal 5 10 2 16 4 4" xfId="31566" xr:uid="{00000000-0005-0000-0000-00004E7B0000}"/>
    <cellStyle name="Normal 5 10 2 16 4 5" xfId="31567" xr:uid="{00000000-0005-0000-0000-00004F7B0000}"/>
    <cellStyle name="Normal 5 10 2 16 4 6" xfId="31568" xr:uid="{00000000-0005-0000-0000-0000507B0000}"/>
    <cellStyle name="Normal 5 10 2 16 4 7" xfId="31569" xr:uid="{00000000-0005-0000-0000-0000517B0000}"/>
    <cellStyle name="Normal 5 10 2 16 4 8" xfId="31570" xr:uid="{00000000-0005-0000-0000-0000527B0000}"/>
    <cellStyle name="Normal 5 10 2 16 4 9" xfId="31571" xr:uid="{00000000-0005-0000-0000-0000537B0000}"/>
    <cellStyle name="Normal 5 10 2 16 5" xfId="31572" xr:uid="{00000000-0005-0000-0000-0000547B0000}"/>
    <cellStyle name="Normal 5 10 2 16 5 10" xfId="31573" xr:uid="{00000000-0005-0000-0000-0000557B0000}"/>
    <cellStyle name="Normal 5 10 2 16 5 2" xfId="31574" xr:uid="{00000000-0005-0000-0000-0000567B0000}"/>
    <cellStyle name="Normal 5 10 2 16 5 3" xfId="31575" xr:uid="{00000000-0005-0000-0000-0000577B0000}"/>
    <cellStyle name="Normal 5 10 2 16 5 4" xfId="31576" xr:uid="{00000000-0005-0000-0000-0000587B0000}"/>
    <cellStyle name="Normal 5 10 2 16 5 5" xfId="31577" xr:uid="{00000000-0005-0000-0000-0000597B0000}"/>
    <cellStyle name="Normal 5 10 2 16 5 6" xfId="31578" xr:uid="{00000000-0005-0000-0000-00005A7B0000}"/>
    <cellStyle name="Normal 5 10 2 16 5 7" xfId="31579" xr:uid="{00000000-0005-0000-0000-00005B7B0000}"/>
    <cellStyle name="Normal 5 10 2 16 5 8" xfId="31580" xr:uid="{00000000-0005-0000-0000-00005C7B0000}"/>
    <cellStyle name="Normal 5 10 2 16 5 9" xfId="31581" xr:uid="{00000000-0005-0000-0000-00005D7B0000}"/>
    <cellStyle name="Normal 5 10 2 16 6" xfId="31582" xr:uid="{00000000-0005-0000-0000-00005E7B0000}"/>
    <cellStyle name="Normal 5 10 2 16 7" xfId="31583" xr:uid="{00000000-0005-0000-0000-00005F7B0000}"/>
    <cellStyle name="Normal 5 10 2 16 8" xfId="31584" xr:uid="{00000000-0005-0000-0000-0000607B0000}"/>
    <cellStyle name="Normal 5 10 2 16 9" xfId="31585" xr:uid="{00000000-0005-0000-0000-0000617B0000}"/>
    <cellStyle name="Normal 5 10 2 17" xfId="31586" xr:uid="{00000000-0005-0000-0000-0000627B0000}"/>
    <cellStyle name="Normal 5 10 2 17 10" xfId="31587" xr:uid="{00000000-0005-0000-0000-0000637B0000}"/>
    <cellStyle name="Normal 5 10 2 17 11" xfId="31588" xr:uid="{00000000-0005-0000-0000-0000647B0000}"/>
    <cellStyle name="Normal 5 10 2 17 12" xfId="31589" xr:uid="{00000000-0005-0000-0000-0000657B0000}"/>
    <cellStyle name="Normal 5 10 2 17 13" xfId="31590" xr:uid="{00000000-0005-0000-0000-0000667B0000}"/>
    <cellStyle name="Normal 5 10 2 17 14" xfId="31591" xr:uid="{00000000-0005-0000-0000-0000677B0000}"/>
    <cellStyle name="Normal 5 10 2 17 2" xfId="31592" xr:uid="{00000000-0005-0000-0000-0000687B0000}"/>
    <cellStyle name="Normal 5 10 2 17 2 10" xfId="31593" xr:uid="{00000000-0005-0000-0000-0000697B0000}"/>
    <cellStyle name="Normal 5 10 2 17 2 2" xfId="31594" xr:uid="{00000000-0005-0000-0000-00006A7B0000}"/>
    <cellStyle name="Normal 5 10 2 17 2 3" xfId="31595" xr:uid="{00000000-0005-0000-0000-00006B7B0000}"/>
    <cellStyle name="Normal 5 10 2 17 2 4" xfId="31596" xr:uid="{00000000-0005-0000-0000-00006C7B0000}"/>
    <cellStyle name="Normal 5 10 2 17 2 5" xfId="31597" xr:uid="{00000000-0005-0000-0000-00006D7B0000}"/>
    <cellStyle name="Normal 5 10 2 17 2 6" xfId="31598" xr:uid="{00000000-0005-0000-0000-00006E7B0000}"/>
    <cellStyle name="Normal 5 10 2 17 2 7" xfId="31599" xr:uid="{00000000-0005-0000-0000-00006F7B0000}"/>
    <cellStyle name="Normal 5 10 2 17 2 8" xfId="31600" xr:uid="{00000000-0005-0000-0000-0000707B0000}"/>
    <cellStyle name="Normal 5 10 2 17 2 9" xfId="31601" xr:uid="{00000000-0005-0000-0000-0000717B0000}"/>
    <cellStyle name="Normal 5 10 2 17 3" xfId="31602" xr:uid="{00000000-0005-0000-0000-0000727B0000}"/>
    <cellStyle name="Normal 5 10 2 17 3 10" xfId="31603" xr:uid="{00000000-0005-0000-0000-0000737B0000}"/>
    <cellStyle name="Normal 5 10 2 17 3 2" xfId="31604" xr:uid="{00000000-0005-0000-0000-0000747B0000}"/>
    <cellStyle name="Normal 5 10 2 17 3 3" xfId="31605" xr:uid="{00000000-0005-0000-0000-0000757B0000}"/>
    <cellStyle name="Normal 5 10 2 17 3 4" xfId="31606" xr:uid="{00000000-0005-0000-0000-0000767B0000}"/>
    <cellStyle name="Normal 5 10 2 17 3 5" xfId="31607" xr:uid="{00000000-0005-0000-0000-0000777B0000}"/>
    <cellStyle name="Normal 5 10 2 17 3 6" xfId="31608" xr:uid="{00000000-0005-0000-0000-0000787B0000}"/>
    <cellStyle name="Normal 5 10 2 17 3 7" xfId="31609" xr:uid="{00000000-0005-0000-0000-0000797B0000}"/>
    <cellStyle name="Normal 5 10 2 17 3 8" xfId="31610" xr:uid="{00000000-0005-0000-0000-00007A7B0000}"/>
    <cellStyle name="Normal 5 10 2 17 3 9" xfId="31611" xr:uid="{00000000-0005-0000-0000-00007B7B0000}"/>
    <cellStyle name="Normal 5 10 2 17 4" xfId="31612" xr:uid="{00000000-0005-0000-0000-00007C7B0000}"/>
    <cellStyle name="Normal 5 10 2 17 4 10" xfId="31613" xr:uid="{00000000-0005-0000-0000-00007D7B0000}"/>
    <cellStyle name="Normal 5 10 2 17 4 2" xfId="31614" xr:uid="{00000000-0005-0000-0000-00007E7B0000}"/>
    <cellStyle name="Normal 5 10 2 17 4 3" xfId="31615" xr:uid="{00000000-0005-0000-0000-00007F7B0000}"/>
    <cellStyle name="Normal 5 10 2 17 4 4" xfId="31616" xr:uid="{00000000-0005-0000-0000-0000807B0000}"/>
    <cellStyle name="Normal 5 10 2 17 4 5" xfId="31617" xr:uid="{00000000-0005-0000-0000-0000817B0000}"/>
    <cellStyle name="Normal 5 10 2 17 4 6" xfId="31618" xr:uid="{00000000-0005-0000-0000-0000827B0000}"/>
    <cellStyle name="Normal 5 10 2 17 4 7" xfId="31619" xr:uid="{00000000-0005-0000-0000-0000837B0000}"/>
    <cellStyle name="Normal 5 10 2 17 4 8" xfId="31620" xr:uid="{00000000-0005-0000-0000-0000847B0000}"/>
    <cellStyle name="Normal 5 10 2 17 4 9" xfId="31621" xr:uid="{00000000-0005-0000-0000-0000857B0000}"/>
    <cellStyle name="Normal 5 10 2 17 5" xfId="31622" xr:uid="{00000000-0005-0000-0000-0000867B0000}"/>
    <cellStyle name="Normal 5 10 2 17 5 10" xfId="31623" xr:uid="{00000000-0005-0000-0000-0000877B0000}"/>
    <cellStyle name="Normal 5 10 2 17 5 2" xfId="31624" xr:uid="{00000000-0005-0000-0000-0000887B0000}"/>
    <cellStyle name="Normal 5 10 2 17 5 3" xfId="31625" xr:uid="{00000000-0005-0000-0000-0000897B0000}"/>
    <cellStyle name="Normal 5 10 2 17 5 4" xfId="31626" xr:uid="{00000000-0005-0000-0000-00008A7B0000}"/>
    <cellStyle name="Normal 5 10 2 17 5 5" xfId="31627" xr:uid="{00000000-0005-0000-0000-00008B7B0000}"/>
    <cellStyle name="Normal 5 10 2 17 5 6" xfId="31628" xr:uid="{00000000-0005-0000-0000-00008C7B0000}"/>
    <cellStyle name="Normal 5 10 2 17 5 7" xfId="31629" xr:uid="{00000000-0005-0000-0000-00008D7B0000}"/>
    <cellStyle name="Normal 5 10 2 17 5 8" xfId="31630" xr:uid="{00000000-0005-0000-0000-00008E7B0000}"/>
    <cellStyle name="Normal 5 10 2 17 5 9" xfId="31631" xr:uid="{00000000-0005-0000-0000-00008F7B0000}"/>
    <cellStyle name="Normal 5 10 2 17 6" xfId="31632" xr:uid="{00000000-0005-0000-0000-0000907B0000}"/>
    <cellStyle name="Normal 5 10 2 17 7" xfId="31633" xr:uid="{00000000-0005-0000-0000-0000917B0000}"/>
    <cellStyle name="Normal 5 10 2 17 8" xfId="31634" xr:uid="{00000000-0005-0000-0000-0000927B0000}"/>
    <cellStyle name="Normal 5 10 2 17 9" xfId="31635" xr:uid="{00000000-0005-0000-0000-0000937B0000}"/>
    <cellStyle name="Normal 5 10 2 18" xfId="31636" xr:uid="{00000000-0005-0000-0000-0000947B0000}"/>
    <cellStyle name="Normal 5 10 2 18 10" xfId="31637" xr:uid="{00000000-0005-0000-0000-0000957B0000}"/>
    <cellStyle name="Normal 5 10 2 18 11" xfId="31638" xr:uid="{00000000-0005-0000-0000-0000967B0000}"/>
    <cellStyle name="Normal 5 10 2 18 12" xfId="31639" xr:uid="{00000000-0005-0000-0000-0000977B0000}"/>
    <cellStyle name="Normal 5 10 2 18 13" xfId="31640" xr:uid="{00000000-0005-0000-0000-0000987B0000}"/>
    <cellStyle name="Normal 5 10 2 18 14" xfId="31641" xr:uid="{00000000-0005-0000-0000-0000997B0000}"/>
    <cellStyle name="Normal 5 10 2 18 2" xfId="31642" xr:uid="{00000000-0005-0000-0000-00009A7B0000}"/>
    <cellStyle name="Normal 5 10 2 18 2 10" xfId="31643" xr:uid="{00000000-0005-0000-0000-00009B7B0000}"/>
    <cellStyle name="Normal 5 10 2 18 2 2" xfId="31644" xr:uid="{00000000-0005-0000-0000-00009C7B0000}"/>
    <cellStyle name="Normal 5 10 2 18 2 3" xfId="31645" xr:uid="{00000000-0005-0000-0000-00009D7B0000}"/>
    <cellStyle name="Normal 5 10 2 18 2 4" xfId="31646" xr:uid="{00000000-0005-0000-0000-00009E7B0000}"/>
    <cellStyle name="Normal 5 10 2 18 2 5" xfId="31647" xr:uid="{00000000-0005-0000-0000-00009F7B0000}"/>
    <cellStyle name="Normal 5 10 2 18 2 6" xfId="31648" xr:uid="{00000000-0005-0000-0000-0000A07B0000}"/>
    <cellStyle name="Normal 5 10 2 18 2 7" xfId="31649" xr:uid="{00000000-0005-0000-0000-0000A17B0000}"/>
    <cellStyle name="Normal 5 10 2 18 2 8" xfId="31650" xr:uid="{00000000-0005-0000-0000-0000A27B0000}"/>
    <cellStyle name="Normal 5 10 2 18 2 9" xfId="31651" xr:uid="{00000000-0005-0000-0000-0000A37B0000}"/>
    <cellStyle name="Normal 5 10 2 18 3" xfId="31652" xr:uid="{00000000-0005-0000-0000-0000A47B0000}"/>
    <cellStyle name="Normal 5 10 2 18 3 10" xfId="31653" xr:uid="{00000000-0005-0000-0000-0000A57B0000}"/>
    <cellStyle name="Normal 5 10 2 18 3 2" xfId="31654" xr:uid="{00000000-0005-0000-0000-0000A67B0000}"/>
    <cellStyle name="Normal 5 10 2 18 3 3" xfId="31655" xr:uid="{00000000-0005-0000-0000-0000A77B0000}"/>
    <cellStyle name="Normal 5 10 2 18 3 4" xfId="31656" xr:uid="{00000000-0005-0000-0000-0000A87B0000}"/>
    <cellStyle name="Normal 5 10 2 18 3 5" xfId="31657" xr:uid="{00000000-0005-0000-0000-0000A97B0000}"/>
    <cellStyle name="Normal 5 10 2 18 3 6" xfId="31658" xr:uid="{00000000-0005-0000-0000-0000AA7B0000}"/>
    <cellStyle name="Normal 5 10 2 18 3 7" xfId="31659" xr:uid="{00000000-0005-0000-0000-0000AB7B0000}"/>
    <cellStyle name="Normal 5 10 2 18 3 8" xfId="31660" xr:uid="{00000000-0005-0000-0000-0000AC7B0000}"/>
    <cellStyle name="Normal 5 10 2 18 3 9" xfId="31661" xr:uid="{00000000-0005-0000-0000-0000AD7B0000}"/>
    <cellStyle name="Normal 5 10 2 18 4" xfId="31662" xr:uid="{00000000-0005-0000-0000-0000AE7B0000}"/>
    <cellStyle name="Normal 5 10 2 18 4 10" xfId="31663" xr:uid="{00000000-0005-0000-0000-0000AF7B0000}"/>
    <cellStyle name="Normal 5 10 2 18 4 2" xfId="31664" xr:uid="{00000000-0005-0000-0000-0000B07B0000}"/>
    <cellStyle name="Normal 5 10 2 18 4 3" xfId="31665" xr:uid="{00000000-0005-0000-0000-0000B17B0000}"/>
    <cellStyle name="Normal 5 10 2 18 4 4" xfId="31666" xr:uid="{00000000-0005-0000-0000-0000B27B0000}"/>
    <cellStyle name="Normal 5 10 2 18 4 5" xfId="31667" xr:uid="{00000000-0005-0000-0000-0000B37B0000}"/>
    <cellStyle name="Normal 5 10 2 18 4 6" xfId="31668" xr:uid="{00000000-0005-0000-0000-0000B47B0000}"/>
    <cellStyle name="Normal 5 10 2 18 4 7" xfId="31669" xr:uid="{00000000-0005-0000-0000-0000B57B0000}"/>
    <cellStyle name="Normal 5 10 2 18 4 8" xfId="31670" xr:uid="{00000000-0005-0000-0000-0000B67B0000}"/>
    <cellStyle name="Normal 5 10 2 18 4 9" xfId="31671" xr:uid="{00000000-0005-0000-0000-0000B77B0000}"/>
    <cellStyle name="Normal 5 10 2 18 5" xfId="31672" xr:uid="{00000000-0005-0000-0000-0000B87B0000}"/>
    <cellStyle name="Normal 5 10 2 18 5 10" xfId="31673" xr:uid="{00000000-0005-0000-0000-0000B97B0000}"/>
    <cellStyle name="Normal 5 10 2 18 5 2" xfId="31674" xr:uid="{00000000-0005-0000-0000-0000BA7B0000}"/>
    <cellStyle name="Normal 5 10 2 18 5 3" xfId="31675" xr:uid="{00000000-0005-0000-0000-0000BB7B0000}"/>
    <cellStyle name="Normal 5 10 2 18 5 4" xfId="31676" xr:uid="{00000000-0005-0000-0000-0000BC7B0000}"/>
    <cellStyle name="Normal 5 10 2 18 5 5" xfId="31677" xr:uid="{00000000-0005-0000-0000-0000BD7B0000}"/>
    <cellStyle name="Normal 5 10 2 18 5 6" xfId="31678" xr:uid="{00000000-0005-0000-0000-0000BE7B0000}"/>
    <cellStyle name="Normal 5 10 2 18 5 7" xfId="31679" xr:uid="{00000000-0005-0000-0000-0000BF7B0000}"/>
    <cellStyle name="Normal 5 10 2 18 5 8" xfId="31680" xr:uid="{00000000-0005-0000-0000-0000C07B0000}"/>
    <cellStyle name="Normal 5 10 2 18 5 9" xfId="31681" xr:uid="{00000000-0005-0000-0000-0000C17B0000}"/>
    <cellStyle name="Normal 5 10 2 18 6" xfId="31682" xr:uid="{00000000-0005-0000-0000-0000C27B0000}"/>
    <cellStyle name="Normal 5 10 2 18 7" xfId="31683" xr:uid="{00000000-0005-0000-0000-0000C37B0000}"/>
    <cellStyle name="Normal 5 10 2 18 8" xfId="31684" xr:uid="{00000000-0005-0000-0000-0000C47B0000}"/>
    <cellStyle name="Normal 5 10 2 18 9" xfId="31685" xr:uid="{00000000-0005-0000-0000-0000C57B0000}"/>
    <cellStyle name="Normal 5 10 2 19" xfId="31686" xr:uid="{00000000-0005-0000-0000-0000C67B0000}"/>
    <cellStyle name="Normal 5 10 2 19 10" xfId="31687" xr:uid="{00000000-0005-0000-0000-0000C77B0000}"/>
    <cellStyle name="Normal 5 10 2 19 11" xfId="31688" xr:uid="{00000000-0005-0000-0000-0000C87B0000}"/>
    <cellStyle name="Normal 5 10 2 19 12" xfId="31689" xr:uid="{00000000-0005-0000-0000-0000C97B0000}"/>
    <cellStyle name="Normal 5 10 2 19 13" xfId="31690" xr:uid="{00000000-0005-0000-0000-0000CA7B0000}"/>
    <cellStyle name="Normal 5 10 2 19 14" xfId="31691" xr:uid="{00000000-0005-0000-0000-0000CB7B0000}"/>
    <cellStyle name="Normal 5 10 2 19 2" xfId="31692" xr:uid="{00000000-0005-0000-0000-0000CC7B0000}"/>
    <cellStyle name="Normal 5 10 2 19 2 10" xfId="31693" xr:uid="{00000000-0005-0000-0000-0000CD7B0000}"/>
    <cellStyle name="Normal 5 10 2 19 2 2" xfId="31694" xr:uid="{00000000-0005-0000-0000-0000CE7B0000}"/>
    <cellStyle name="Normal 5 10 2 19 2 3" xfId="31695" xr:uid="{00000000-0005-0000-0000-0000CF7B0000}"/>
    <cellStyle name="Normal 5 10 2 19 2 4" xfId="31696" xr:uid="{00000000-0005-0000-0000-0000D07B0000}"/>
    <cellStyle name="Normal 5 10 2 19 2 5" xfId="31697" xr:uid="{00000000-0005-0000-0000-0000D17B0000}"/>
    <cellStyle name="Normal 5 10 2 19 2 6" xfId="31698" xr:uid="{00000000-0005-0000-0000-0000D27B0000}"/>
    <cellStyle name="Normal 5 10 2 19 2 7" xfId="31699" xr:uid="{00000000-0005-0000-0000-0000D37B0000}"/>
    <cellStyle name="Normal 5 10 2 19 2 8" xfId="31700" xr:uid="{00000000-0005-0000-0000-0000D47B0000}"/>
    <cellStyle name="Normal 5 10 2 19 2 9" xfId="31701" xr:uid="{00000000-0005-0000-0000-0000D57B0000}"/>
    <cellStyle name="Normal 5 10 2 19 3" xfId="31702" xr:uid="{00000000-0005-0000-0000-0000D67B0000}"/>
    <cellStyle name="Normal 5 10 2 19 3 10" xfId="31703" xr:uid="{00000000-0005-0000-0000-0000D77B0000}"/>
    <cellStyle name="Normal 5 10 2 19 3 2" xfId="31704" xr:uid="{00000000-0005-0000-0000-0000D87B0000}"/>
    <cellStyle name="Normal 5 10 2 19 3 3" xfId="31705" xr:uid="{00000000-0005-0000-0000-0000D97B0000}"/>
    <cellStyle name="Normal 5 10 2 19 3 4" xfId="31706" xr:uid="{00000000-0005-0000-0000-0000DA7B0000}"/>
    <cellStyle name="Normal 5 10 2 19 3 5" xfId="31707" xr:uid="{00000000-0005-0000-0000-0000DB7B0000}"/>
    <cellStyle name="Normal 5 10 2 19 3 6" xfId="31708" xr:uid="{00000000-0005-0000-0000-0000DC7B0000}"/>
    <cellStyle name="Normal 5 10 2 19 3 7" xfId="31709" xr:uid="{00000000-0005-0000-0000-0000DD7B0000}"/>
    <cellStyle name="Normal 5 10 2 19 3 8" xfId="31710" xr:uid="{00000000-0005-0000-0000-0000DE7B0000}"/>
    <cellStyle name="Normal 5 10 2 19 3 9" xfId="31711" xr:uid="{00000000-0005-0000-0000-0000DF7B0000}"/>
    <cellStyle name="Normal 5 10 2 19 4" xfId="31712" xr:uid="{00000000-0005-0000-0000-0000E07B0000}"/>
    <cellStyle name="Normal 5 10 2 19 4 10" xfId="31713" xr:uid="{00000000-0005-0000-0000-0000E17B0000}"/>
    <cellStyle name="Normal 5 10 2 19 4 2" xfId="31714" xr:uid="{00000000-0005-0000-0000-0000E27B0000}"/>
    <cellStyle name="Normal 5 10 2 19 4 3" xfId="31715" xr:uid="{00000000-0005-0000-0000-0000E37B0000}"/>
    <cellStyle name="Normal 5 10 2 19 4 4" xfId="31716" xr:uid="{00000000-0005-0000-0000-0000E47B0000}"/>
    <cellStyle name="Normal 5 10 2 19 4 5" xfId="31717" xr:uid="{00000000-0005-0000-0000-0000E57B0000}"/>
    <cellStyle name="Normal 5 10 2 19 4 6" xfId="31718" xr:uid="{00000000-0005-0000-0000-0000E67B0000}"/>
    <cellStyle name="Normal 5 10 2 19 4 7" xfId="31719" xr:uid="{00000000-0005-0000-0000-0000E77B0000}"/>
    <cellStyle name="Normal 5 10 2 19 4 8" xfId="31720" xr:uid="{00000000-0005-0000-0000-0000E87B0000}"/>
    <cellStyle name="Normal 5 10 2 19 4 9" xfId="31721" xr:uid="{00000000-0005-0000-0000-0000E97B0000}"/>
    <cellStyle name="Normal 5 10 2 19 5" xfId="31722" xr:uid="{00000000-0005-0000-0000-0000EA7B0000}"/>
    <cellStyle name="Normal 5 10 2 19 5 10" xfId="31723" xr:uid="{00000000-0005-0000-0000-0000EB7B0000}"/>
    <cellStyle name="Normal 5 10 2 19 5 2" xfId="31724" xr:uid="{00000000-0005-0000-0000-0000EC7B0000}"/>
    <cellStyle name="Normal 5 10 2 19 5 3" xfId="31725" xr:uid="{00000000-0005-0000-0000-0000ED7B0000}"/>
    <cellStyle name="Normal 5 10 2 19 5 4" xfId="31726" xr:uid="{00000000-0005-0000-0000-0000EE7B0000}"/>
    <cellStyle name="Normal 5 10 2 19 5 5" xfId="31727" xr:uid="{00000000-0005-0000-0000-0000EF7B0000}"/>
    <cellStyle name="Normal 5 10 2 19 5 6" xfId="31728" xr:uid="{00000000-0005-0000-0000-0000F07B0000}"/>
    <cellStyle name="Normal 5 10 2 19 5 7" xfId="31729" xr:uid="{00000000-0005-0000-0000-0000F17B0000}"/>
    <cellStyle name="Normal 5 10 2 19 5 8" xfId="31730" xr:uid="{00000000-0005-0000-0000-0000F27B0000}"/>
    <cellStyle name="Normal 5 10 2 19 5 9" xfId="31731" xr:uid="{00000000-0005-0000-0000-0000F37B0000}"/>
    <cellStyle name="Normal 5 10 2 19 6" xfId="31732" xr:uid="{00000000-0005-0000-0000-0000F47B0000}"/>
    <cellStyle name="Normal 5 10 2 19 7" xfId="31733" xr:uid="{00000000-0005-0000-0000-0000F57B0000}"/>
    <cellStyle name="Normal 5 10 2 19 8" xfId="31734" xr:uid="{00000000-0005-0000-0000-0000F67B0000}"/>
    <cellStyle name="Normal 5 10 2 19 9" xfId="31735" xr:uid="{00000000-0005-0000-0000-0000F77B0000}"/>
    <cellStyle name="Normal 5 10 2 2" xfId="31736" xr:uid="{00000000-0005-0000-0000-0000F87B0000}"/>
    <cellStyle name="Normal 5 10 2 2 10" xfId="31737" xr:uid="{00000000-0005-0000-0000-0000F97B0000}"/>
    <cellStyle name="Normal 5 10 2 2 11" xfId="31738" xr:uid="{00000000-0005-0000-0000-0000FA7B0000}"/>
    <cellStyle name="Normal 5 10 2 2 12" xfId="31739" xr:uid="{00000000-0005-0000-0000-0000FB7B0000}"/>
    <cellStyle name="Normal 5 10 2 2 13" xfId="31740" xr:uid="{00000000-0005-0000-0000-0000FC7B0000}"/>
    <cellStyle name="Normal 5 10 2 2 14" xfId="31741" xr:uid="{00000000-0005-0000-0000-0000FD7B0000}"/>
    <cellStyle name="Normal 5 10 2 2 15" xfId="31742" xr:uid="{00000000-0005-0000-0000-0000FE7B0000}"/>
    <cellStyle name="Normal 5 10 2 2 16" xfId="31743" xr:uid="{00000000-0005-0000-0000-0000FF7B0000}"/>
    <cellStyle name="Normal 5 10 2 2 2" xfId="31744" xr:uid="{00000000-0005-0000-0000-0000007C0000}"/>
    <cellStyle name="Normal 5 10 2 2 2 10" xfId="31745" xr:uid="{00000000-0005-0000-0000-0000017C0000}"/>
    <cellStyle name="Normal 5 10 2 2 2 2" xfId="31746" xr:uid="{00000000-0005-0000-0000-0000027C0000}"/>
    <cellStyle name="Normal 5 10 2 2 2 3" xfId="31747" xr:uid="{00000000-0005-0000-0000-0000037C0000}"/>
    <cellStyle name="Normal 5 10 2 2 2 4" xfId="31748" xr:uid="{00000000-0005-0000-0000-0000047C0000}"/>
    <cellStyle name="Normal 5 10 2 2 2 5" xfId="31749" xr:uid="{00000000-0005-0000-0000-0000057C0000}"/>
    <cellStyle name="Normal 5 10 2 2 2 6" xfId="31750" xr:uid="{00000000-0005-0000-0000-0000067C0000}"/>
    <cellStyle name="Normal 5 10 2 2 2 7" xfId="31751" xr:uid="{00000000-0005-0000-0000-0000077C0000}"/>
    <cellStyle name="Normal 5 10 2 2 2 8" xfId="31752" xr:uid="{00000000-0005-0000-0000-0000087C0000}"/>
    <cellStyle name="Normal 5 10 2 2 2 9" xfId="31753" xr:uid="{00000000-0005-0000-0000-0000097C0000}"/>
    <cellStyle name="Normal 5 10 2 2 3" xfId="31754" xr:uid="{00000000-0005-0000-0000-00000A7C0000}"/>
    <cellStyle name="Normal 5 10 2 2 3 10" xfId="31755" xr:uid="{00000000-0005-0000-0000-00000B7C0000}"/>
    <cellStyle name="Normal 5 10 2 2 3 2" xfId="31756" xr:uid="{00000000-0005-0000-0000-00000C7C0000}"/>
    <cellStyle name="Normal 5 10 2 2 3 3" xfId="31757" xr:uid="{00000000-0005-0000-0000-00000D7C0000}"/>
    <cellStyle name="Normal 5 10 2 2 3 4" xfId="31758" xr:uid="{00000000-0005-0000-0000-00000E7C0000}"/>
    <cellStyle name="Normal 5 10 2 2 3 5" xfId="31759" xr:uid="{00000000-0005-0000-0000-00000F7C0000}"/>
    <cellStyle name="Normal 5 10 2 2 3 6" xfId="31760" xr:uid="{00000000-0005-0000-0000-0000107C0000}"/>
    <cellStyle name="Normal 5 10 2 2 3 7" xfId="31761" xr:uid="{00000000-0005-0000-0000-0000117C0000}"/>
    <cellStyle name="Normal 5 10 2 2 3 8" xfId="31762" xr:uid="{00000000-0005-0000-0000-0000127C0000}"/>
    <cellStyle name="Normal 5 10 2 2 3 9" xfId="31763" xr:uid="{00000000-0005-0000-0000-0000137C0000}"/>
    <cellStyle name="Normal 5 10 2 2 4" xfId="31764" xr:uid="{00000000-0005-0000-0000-0000147C0000}"/>
    <cellStyle name="Normal 5 10 2 2 4 10" xfId="31765" xr:uid="{00000000-0005-0000-0000-0000157C0000}"/>
    <cellStyle name="Normal 5 10 2 2 4 2" xfId="31766" xr:uid="{00000000-0005-0000-0000-0000167C0000}"/>
    <cellStyle name="Normal 5 10 2 2 4 3" xfId="31767" xr:uid="{00000000-0005-0000-0000-0000177C0000}"/>
    <cellStyle name="Normal 5 10 2 2 4 4" xfId="31768" xr:uid="{00000000-0005-0000-0000-0000187C0000}"/>
    <cellStyle name="Normal 5 10 2 2 4 5" xfId="31769" xr:uid="{00000000-0005-0000-0000-0000197C0000}"/>
    <cellStyle name="Normal 5 10 2 2 4 6" xfId="31770" xr:uid="{00000000-0005-0000-0000-00001A7C0000}"/>
    <cellStyle name="Normal 5 10 2 2 4 7" xfId="31771" xr:uid="{00000000-0005-0000-0000-00001B7C0000}"/>
    <cellStyle name="Normal 5 10 2 2 4 8" xfId="31772" xr:uid="{00000000-0005-0000-0000-00001C7C0000}"/>
    <cellStyle name="Normal 5 10 2 2 4 9" xfId="31773" xr:uid="{00000000-0005-0000-0000-00001D7C0000}"/>
    <cellStyle name="Normal 5 10 2 2 5" xfId="31774" xr:uid="{00000000-0005-0000-0000-00001E7C0000}"/>
    <cellStyle name="Normal 5 10 2 2 5 10" xfId="31775" xr:uid="{00000000-0005-0000-0000-00001F7C0000}"/>
    <cellStyle name="Normal 5 10 2 2 5 2" xfId="31776" xr:uid="{00000000-0005-0000-0000-0000207C0000}"/>
    <cellStyle name="Normal 5 10 2 2 5 3" xfId="31777" xr:uid="{00000000-0005-0000-0000-0000217C0000}"/>
    <cellStyle name="Normal 5 10 2 2 5 4" xfId="31778" xr:uid="{00000000-0005-0000-0000-0000227C0000}"/>
    <cellStyle name="Normal 5 10 2 2 5 5" xfId="31779" xr:uid="{00000000-0005-0000-0000-0000237C0000}"/>
    <cellStyle name="Normal 5 10 2 2 5 6" xfId="31780" xr:uid="{00000000-0005-0000-0000-0000247C0000}"/>
    <cellStyle name="Normal 5 10 2 2 5 7" xfId="31781" xr:uid="{00000000-0005-0000-0000-0000257C0000}"/>
    <cellStyle name="Normal 5 10 2 2 5 8" xfId="31782" xr:uid="{00000000-0005-0000-0000-0000267C0000}"/>
    <cellStyle name="Normal 5 10 2 2 5 9" xfId="31783" xr:uid="{00000000-0005-0000-0000-0000277C0000}"/>
    <cellStyle name="Normal 5 10 2 2 6" xfId="31784" xr:uid="{00000000-0005-0000-0000-0000287C0000}"/>
    <cellStyle name="Normal 5 10 2 2 7" xfId="31785" xr:uid="{00000000-0005-0000-0000-0000297C0000}"/>
    <cellStyle name="Normal 5 10 2 2 8" xfId="31786" xr:uid="{00000000-0005-0000-0000-00002A7C0000}"/>
    <cellStyle name="Normal 5 10 2 2 9" xfId="31787" xr:uid="{00000000-0005-0000-0000-00002B7C0000}"/>
    <cellStyle name="Normal 5 10 2 20" xfId="31788" xr:uid="{00000000-0005-0000-0000-00002C7C0000}"/>
    <cellStyle name="Normal 5 10 2 20 10" xfId="31789" xr:uid="{00000000-0005-0000-0000-00002D7C0000}"/>
    <cellStyle name="Normal 5 10 2 20 11" xfId="31790" xr:uid="{00000000-0005-0000-0000-00002E7C0000}"/>
    <cellStyle name="Normal 5 10 2 20 12" xfId="31791" xr:uid="{00000000-0005-0000-0000-00002F7C0000}"/>
    <cellStyle name="Normal 5 10 2 20 13" xfId="31792" xr:uid="{00000000-0005-0000-0000-0000307C0000}"/>
    <cellStyle name="Normal 5 10 2 20 14" xfId="31793" xr:uid="{00000000-0005-0000-0000-0000317C0000}"/>
    <cellStyle name="Normal 5 10 2 20 2" xfId="31794" xr:uid="{00000000-0005-0000-0000-0000327C0000}"/>
    <cellStyle name="Normal 5 10 2 20 2 10" xfId="31795" xr:uid="{00000000-0005-0000-0000-0000337C0000}"/>
    <cellStyle name="Normal 5 10 2 20 2 2" xfId="31796" xr:uid="{00000000-0005-0000-0000-0000347C0000}"/>
    <cellStyle name="Normal 5 10 2 20 2 3" xfId="31797" xr:uid="{00000000-0005-0000-0000-0000357C0000}"/>
    <cellStyle name="Normal 5 10 2 20 2 4" xfId="31798" xr:uid="{00000000-0005-0000-0000-0000367C0000}"/>
    <cellStyle name="Normal 5 10 2 20 2 5" xfId="31799" xr:uid="{00000000-0005-0000-0000-0000377C0000}"/>
    <cellStyle name="Normal 5 10 2 20 2 6" xfId="31800" xr:uid="{00000000-0005-0000-0000-0000387C0000}"/>
    <cellStyle name="Normal 5 10 2 20 2 7" xfId="31801" xr:uid="{00000000-0005-0000-0000-0000397C0000}"/>
    <cellStyle name="Normal 5 10 2 20 2 8" xfId="31802" xr:uid="{00000000-0005-0000-0000-00003A7C0000}"/>
    <cellStyle name="Normal 5 10 2 20 2 9" xfId="31803" xr:uid="{00000000-0005-0000-0000-00003B7C0000}"/>
    <cellStyle name="Normal 5 10 2 20 3" xfId="31804" xr:uid="{00000000-0005-0000-0000-00003C7C0000}"/>
    <cellStyle name="Normal 5 10 2 20 3 10" xfId="31805" xr:uid="{00000000-0005-0000-0000-00003D7C0000}"/>
    <cellStyle name="Normal 5 10 2 20 3 2" xfId="31806" xr:uid="{00000000-0005-0000-0000-00003E7C0000}"/>
    <cellStyle name="Normal 5 10 2 20 3 3" xfId="31807" xr:uid="{00000000-0005-0000-0000-00003F7C0000}"/>
    <cellStyle name="Normal 5 10 2 20 3 4" xfId="31808" xr:uid="{00000000-0005-0000-0000-0000407C0000}"/>
    <cellStyle name="Normal 5 10 2 20 3 5" xfId="31809" xr:uid="{00000000-0005-0000-0000-0000417C0000}"/>
    <cellStyle name="Normal 5 10 2 20 3 6" xfId="31810" xr:uid="{00000000-0005-0000-0000-0000427C0000}"/>
    <cellStyle name="Normal 5 10 2 20 3 7" xfId="31811" xr:uid="{00000000-0005-0000-0000-0000437C0000}"/>
    <cellStyle name="Normal 5 10 2 20 3 8" xfId="31812" xr:uid="{00000000-0005-0000-0000-0000447C0000}"/>
    <cellStyle name="Normal 5 10 2 20 3 9" xfId="31813" xr:uid="{00000000-0005-0000-0000-0000457C0000}"/>
    <cellStyle name="Normal 5 10 2 20 4" xfId="31814" xr:uid="{00000000-0005-0000-0000-0000467C0000}"/>
    <cellStyle name="Normal 5 10 2 20 4 10" xfId="31815" xr:uid="{00000000-0005-0000-0000-0000477C0000}"/>
    <cellStyle name="Normal 5 10 2 20 4 2" xfId="31816" xr:uid="{00000000-0005-0000-0000-0000487C0000}"/>
    <cellStyle name="Normal 5 10 2 20 4 3" xfId="31817" xr:uid="{00000000-0005-0000-0000-0000497C0000}"/>
    <cellStyle name="Normal 5 10 2 20 4 4" xfId="31818" xr:uid="{00000000-0005-0000-0000-00004A7C0000}"/>
    <cellStyle name="Normal 5 10 2 20 4 5" xfId="31819" xr:uid="{00000000-0005-0000-0000-00004B7C0000}"/>
    <cellStyle name="Normal 5 10 2 20 4 6" xfId="31820" xr:uid="{00000000-0005-0000-0000-00004C7C0000}"/>
    <cellStyle name="Normal 5 10 2 20 4 7" xfId="31821" xr:uid="{00000000-0005-0000-0000-00004D7C0000}"/>
    <cellStyle name="Normal 5 10 2 20 4 8" xfId="31822" xr:uid="{00000000-0005-0000-0000-00004E7C0000}"/>
    <cellStyle name="Normal 5 10 2 20 4 9" xfId="31823" xr:uid="{00000000-0005-0000-0000-00004F7C0000}"/>
    <cellStyle name="Normal 5 10 2 20 5" xfId="31824" xr:uid="{00000000-0005-0000-0000-0000507C0000}"/>
    <cellStyle name="Normal 5 10 2 20 5 10" xfId="31825" xr:uid="{00000000-0005-0000-0000-0000517C0000}"/>
    <cellStyle name="Normal 5 10 2 20 5 2" xfId="31826" xr:uid="{00000000-0005-0000-0000-0000527C0000}"/>
    <cellStyle name="Normal 5 10 2 20 5 3" xfId="31827" xr:uid="{00000000-0005-0000-0000-0000537C0000}"/>
    <cellStyle name="Normal 5 10 2 20 5 4" xfId="31828" xr:uid="{00000000-0005-0000-0000-0000547C0000}"/>
    <cellStyle name="Normal 5 10 2 20 5 5" xfId="31829" xr:uid="{00000000-0005-0000-0000-0000557C0000}"/>
    <cellStyle name="Normal 5 10 2 20 5 6" xfId="31830" xr:uid="{00000000-0005-0000-0000-0000567C0000}"/>
    <cellStyle name="Normal 5 10 2 20 5 7" xfId="31831" xr:uid="{00000000-0005-0000-0000-0000577C0000}"/>
    <cellStyle name="Normal 5 10 2 20 5 8" xfId="31832" xr:uid="{00000000-0005-0000-0000-0000587C0000}"/>
    <cellStyle name="Normal 5 10 2 20 5 9" xfId="31833" xr:uid="{00000000-0005-0000-0000-0000597C0000}"/>
    <cellStyle name="Normal 5 10 2 20 6" xfId="31834" xr:uid="{00000000-0005-0000-0000-00005A7C0000}"/>
    <cellStyle name="Normal 5 10 2 20 7" xfId="31835" xr:uid="{00000000-0005-0000-0000-00005B7C0000}"/>
    <cellStyle name="Normal 5 10 2 20 8" xfId="31836" xr:uid="{00000000-0005-0000-0000-00005C7C0000}"/>
    <cellStyle name="Normal 5 10 2 20 9" xfId="31837" xr:uid="{00000000-0005-0000-0000-00005D7C0000}"/>
    <cellStyle name="Normal 5 10 2 21" xfId="31838" xr:uid="{00000000-0005-0000-0000-00005E7C0000}"/>
    <cellStyle name="Normal 5 10 2 21 10" xfId="31839" xr:uid="{00000000-0005-0000-0000-00005F7C0000}"/>
    <cellStyle name="Normal 5 10 2 21 11" xfId="31840" xr:uid="{00000000-0005-0000-0000-0000607C0000}"/>
    <cellStyle name="Normal 5 10 2 21 12" xfId="31841" xr:uid="{00000000-0005-0000-0000-0000617C0000}"/>
    <cellStyle name="Normal 5 10 2 21 13" xfId="31842" xr:uid="{00000000-0005-0000-0000-0000627C0000}"/>
    <cellStyle name="Normal 5 10 2 21 14" xfId="31843" xr:uid="{00000000-0005-0000-0000-0000637C0000}"/>
    <cellStyle name="Normal 5 10 2 21 2" xfId="31844" xr:uid="{00000000-0005-0000-0000-0000647C0000}"/>
    <cellStyle name="Normal 5 10 2 21 2 10" xfId="31845" xr:uid="{00000000-0005-0000-0000-0000657C0000}"/>
    <cellStyle name="Normal 5 10 2 21 2 2" xfId="31846" xr:uid="{00000000-0005-0000-0000-0000667C0000}"/>
    <cellStyle name="Normal 5 10 2 21 2 3" xfId="31847" xr:uid="{00000000-0005-0000-0000-0000677C0000}"/>
    <cellStyle name="Normal 5 10 2 21 2 4" xfId="31848" xr:uid="{00000000-0005-0000-0000-0000687C0000}"/>
    <cellStyle name="Normal 5 10 2 21 2 5" xfId="31849" xr:uid="{00000000-0005-0000-0000-0000697C0000}"/>
    <cellStyle name="Normal 5 10 2 21 2 6" xfId="31850" xr:uid="{00000000-0005-0000-0000-00006A7C0000}"/>
    <cellStyle name="Normal 5 10 2 21 2 7" xfId="31851" xr:uid="{00000000-0005-0000-0000-00006B7C0000}"/>
    <cellStyle name="Normal 5 10 2 21 2 8" xfId="31852" xr:uid="{00000000-0005-0000-0000-00006C7C0000}"/>
    <cellStyle name="Normal 5 10 2 21 2 9" xfId="31853" xr:uid="{00000000-0005-0000-0000-00006D7C0000}"/>
    <cellStyle name="Normal 5 10 2 21 3" xfId="31854" xr:uid="{00000000-0005-0000-0000-00006E7C0000}"/>
    <cellStyle name="Normal 5 10 2 21 3 10" xfId="31855" xr:uid="{00000000-0005-0000-0000-00006F7C0000}"/>
    <cellStyle name="Normal 5 10 2 21 3 2" xfId="31856" xr:uid="{00000000-0005-0000-0000-0000707C0000}"/>
    <cellStyle name="Normal 5 10 2 21 3 3" xfId="31857" xr:uid="{00000000-0005-0000-0000-0000717C0000}"/>
    <cellStyle name="Normal 5 10 2 21 3 4" xfId="31858" xr:uid="{00000000-0005-0000-0000-0000727C0000}"/>
    <cellStyle name="Normal 5 10 2 21 3 5" xfId="31859" xr:uid="{00000000-0005-0000-0000-0000737C0000}"/>
    <cellStyle name="Normal 5 10 2 21 3 6" xfId="31860" xr:uid="{00000000-0005-0000-0000-0000747C0000}"/>
    <cellStyle name="Normal 5 10 2 21 3 7" xfId="31861" xr:uid="{00000000-0005-0000-0000-0000757C0000}"/>
    <cellStyle name="Normal 5 10 2 21 3 8" xfId="31862" xr:uid="{00000000-0005-0000-0000-0000767C0000}"/>
    <cellStyle name="Normal 5 10 2 21 3 9" xfId="31863" xr:uid="{00000000-0005-0000-0000-0000777C0000}"/>
    <cellStyle name="Normal 5 10 2 21 4" xfId="31864" xr:uid="{00000000-0005-0000-0000-0000787C0000}"/>
    <cellStyle name="Normal 5 10 2 21 4 10" xfId="31865" xr:uid="{00000000-0005-0000-0000-0000797C0000}"/>
    <cellStyle name="Normal 5 10 2 21 4 2" xfId="31866" xr:uid="{00000000-0005-0000-0000-00007A7C0000}"/>
    <cellStyle name="Normal 5 10 2 21 4 3" xfId="31867" xr:uid="{00000000-0005-0000-0000-00007B7C0000}"/>
    <cellStyle name="Normal 5 10 2 21 4 4" xfId="31868" xr:uid="{00000000-0005-0000-0000-00007C7C0000}"/>
    <cellStyle name="Normal 5 10 2 21 4 5" xfId="31869" xr:uid="{00000000-0005-0000-0000-00007D7C0000}"/>
    <cellStyle name="Normal 5 10 2 21 4 6" xfId="31870" xr:uid="{00000000-0005-0000-0000-00007E7C0000}"/>
    <cellStyle name="Normal 5 10 2 21 4 7" xfId="31871" xr:uid="{00000000-0005-0000-0000-00007F7C0000}"/>
    <cellStyle name="Normal 5 10 2 21 4 8" xfId="31872" xr:uid="{00000000-0005-0000-0000-0000807C0000}"/>
    <cellStyle name="Normal 5 10 2 21 4 9" xfId="31873" xr:uid="{00000000-0005-0000-0000-0000817C0000}"/>
    <cellStyle name="Normal 5 10 2 21 5" xfId="31874" xr:uid="{00000000-0005-0000-0000-0000827C0000}"/>
    <cellStyle name="Normal 5 10 2 21 5 10" xfId="31875" xr:uid="{00000000-0005-0000-0000-0000837C0000}"/>
    <cellStyle name="Normal 5 10 2 21 5 2" xfId="31876" xr:uid="{00000000-0005-0000-0000-0000847C0000}"/>
    <cellStyle name="Normal 5 10 2 21 5 3" xfId="31877" xr:uid="{00000000-0005-0000-0000-0000857C0000}"/>
    <cellStyle name="Normal 5 10 2 21 5 4" xfId="31878" xr:uid="{00000000-0005-0000-0000-0000867C0000}"/>
    <cellStyle name="Normal 5 10 2 21 5 5" xfId="31879" xr:uid="{00000000-0005-0000-0000-0000877C0000}"/>
    <cellStyle name="Normal 5 10 2 21 5 6" xfId="31880" xr:uid="{00000000-0005-0000-0000-0000887C0000}"/>
    <cellStyle name="Normal 5 10 2 21 5 7" xfId="31881" xr:uid="{00000000-0005-0000-0000-0000897C0000}"/>
    <cellStyle name="Normal 5 10 2 21 5 8" xfId="31882" xr:uid="{00000000-0005-0000-0000-00008A7C0000}"/>
    <cellStyle name="Normal 5 10 2 21 5 9" xfId="31883" xr:uid="{00000000-0005-0000-0000-00008B7C0000}"/>
    <cellStyle name="Normal 5 10 2 21 6" xfId="31884" xr:uid="{00000000-0005-0000-0000-00008C7C0000}"/>
    <cellStyle name="Normal 5 10 2 21 7" xfId="31885" xr:uid="{00000000-0005-0000-0000-00008D7C0000}"/>
    <cellStyle name="Normal 5 10 2 21 8" xfId="31886" xr:uid="{00000000-0005-0000-0000-00008E7C0000}"/>
    <cellStyle name="Normal 5 10 2 21 9" xfId="31887" xr:uid="{00000000-0005-0000-0000-00008F7C0000}"/>
    <cellStyle name="Normal 5 10 2 22" xfId="31888" xr:uid="{00000000-0005-0000-0000-0000907C0000}"/>
    <cellStyle name="Normal 5 10 2 22 10" xfId="31889" xr:uid="{00000000-0005-0000-0000-0000917C0000}"/>
    <cellStyle name="Normal 5 10 2 22 11" xfId="31890" xr:uid="{00000000-0005-0000-0000-0000927C0000}"/>
    <cellStyle name="Normal 5 10 2 22 12" xfId="31891" xr:uid="{00000000-0005-0000-0000-0000937C0000}"/>
    <cellStyle name="Normal 5 10 2 22 13" xfId="31892" xr:uid="{00000000-0005-0000-0000-0000947C0000}"/>
    <cellStyle name="Normal 5 10 2 22 14" xfId="31893" xr:uid="{00000000-0005-0000-0000-0000957C0000}"/>
    <cellStyle name="Normal 5 10 2 22 2" xfId="31894" xr:uid="{00000000-0005-0000-0000-0000967C0000}"/>
    <cellStyle name="Normal 5 10 2 22 2 10" xfId="31895" xr:uid="{00000000-0005-0000-0000-0000977C0000}"/>
    <cellStyle name="Normal 5 10 2 22 2 2" xfId="31896" xr:uid="{00000000-0005-0000-0000-0000987C0000}"/>
    <cellStyle name="Normal 5 10 2 22 2 3" xfId="31897" xr:uid="{00000000-0005-0000-0000-0000997C0000}"/>
    <cellStyle name="Normal 5 10 2 22 2 4" xfId="31898" xr:uid="{00000000-0005-0000-0000-00009A7C0000}"/>
    <cellStyle name="Normal 5 10 2 22 2 5" xfId="31899" xr:uid="{00000000-0005-0000-0000-00009B7C0000}"/>
    <cellStyle name="Normal 5 10 2 22 2 6" xfId="31900" xr:uid="{00000000-0005-0000-0000-00009C7C0000}"/>
    <cellStyle name="Normal 5 10 2 22 2 7" xfId="31901" xr:uid="{00000000-0005-0000-0000-00009D7C0000}"/>
    <cellStyle name="Normal 5 10 2 22 2 8" xfId="31902" xr:uid="{00000000-0005-0000-0000-00009E7C0000}"/>
    <cellStyle name="Normal 5 10 2 22 2 9" xfId="31903" xr:uid="{00000000-0005-0000-0000-00009F7C0000}"/>
    <cellStyle name="Normal 5 10 2 22 3" xfId="31904" xr:uid="{00000000-0005-0000-0000-0000A07C0000}"/>
    <cellStyle name="Normal 5 10 2 22 3 10" xfId="31905" xr:uid="{00000000-0005-0000-0000-0000A17C0000}"/>
    <cellStyle name="Normal 5 10 2 22 3 2" xfId="31906" xr:uid="{00000000-0005-0000-0000-0000A27C0000}"/>
    <cellStyle name="Normal 5 10 2 22 3 3" xfId="31907" xr:uid="{00000000-0005-0000-0000-0000A37C0000}"/>
    <cellStyle name="Normal 5 10 2 22 3 4" xfId="31908" xr:uid="{00000000-0005-0000-0000-0000A47C0000}"/>
    <cellStyle name="Normal 5 10 2 22 3 5" xfId="31909" xr:uid="{00000000-0005-0000-0000-0000A57C0000}"/>
    <cellStyle name="Normal 5 10 2 22 3 6" xfId="31910" xr:uid="{00000000-0005-0000-0000-0000A67C0000}"/>
    <cellStyle name="Normal 5 10 2 22 3 7" xfId="31911" xr:uid="{00000000-0005-0000-0000-0000A77C0000}"/>
    <cellStyle name="Normal 5 10 2 22 3 8" xfId="31912" xr:uid="{00000000-0005-0000-0000-0000A87C0000}"/>
    <cellStyle name="Normal 5 10 2 22 3 9" xfId="31913" xr:uid="{00000000-0005-0000-0000-0000A97C0000}"/>
    <cellStyle name="Normal 5 10 2 22 4" xfId="31914" xr:uid="{00000000-0005-0000-0000-0000AA7C0000}"/>
    <cellStyle name="Normal 5 10 2 22 4 10" xfId="31915" xr:uid="{00000000-0005-0000-0000-0000AB7C0000}"/>
    <cellStyle name="Normal 5 10 2 22 4 2" xfId="31916" xr:uid="{00000000-0005-0000-0000-0000AC7C0000}"/>
    <cellStyle name="Normal 5 10 2 22 4 3" xfId="31917" xr:uid="{00000000-0005-0000-0000-0000AD7C0000}"/>
    <cellStyle name="Normal 5 10 2 22 4 4" xfId="31918" xr:uid="{00000000-0005-0000-0000-0000AE7C0000}"/>
    <cellStyle name="Normal 5 10 2 22 4 5" xfId="31919" xr:uid="{00000000-0005-0000-0000-0000AF7C0000}"/>
    <cellStyle name="Normal 5 10 2 22 4 6" xfId="31920" xr:uid="{00000000-0005-0000-0000-0000B07C0000}"/>
    <cellStyle name="Normal 5 10 2 22 4 7" xfId="31921" xr:uid="{00000000-0005-0000-0000-0000B17C0000}"/>
    <cellStyle name="Normal 5 10 2 22 4 8" xfId="31922" xr:uid="{00000000-0005-0000-0000-0000B27C0000}"/>
    <cellStyle name="Normal 5 10 2 22 4 9" xfId="31923" xr:uid="{00000000-0005-0000-0000-0000B37C0000}"/>
    <cellStyle name="Normal 5 10 2 22 5" xfId="31924" xr:uid="{00000000-0005-0000-0000-0000B47C0000}"/>
    <cellStyle name="Normal 5 10 2 22 5 10" xfId="31925" xr:uid="{00000000-0005-0000-0000-0000B57C0000}"/>
    <cellStyle name="Normal 5 10 2 22 5 2" xfId="31926" xr:uid="{00000000-0005-0000-0000-0000B67C0000}"/>
    <cellStyle name="Normal 5 10 2 22 5 3" xfId="31927" xr:uid="{00000000-0005-0000-0000-0000B77C0000}"/>
    <cellStyle name="Normal 5 10 2 22 5 4" xfId="31928" xr:uid="{00000000-0005-0000-0000-0000B87C0000}"/>
    <cellStyle name="Normal 5 10 2 22 5 5" xfId="31929" xr:uid="{00000000-0005-0000-0000-0000B97C0000}"/>
    <cellStyle name="Normal 5 10 2 22 5 6" xfId="31930" xr:uid="{00000000-0005-0000-0000-0000BA7C0000}"/>
    <cellStyle name="Normal 5 10 2 22 5 7" xfId="31931" xr:uid="{00000000-0005-0000-0000-0000BB7C0000}"/>
    <cellStyle name="Normal 5 10 2 22 5 8" xfId="31932" xr:uid="{00000000-0005-0000-0000-0000BC7C0000}"/>
    <cellStyle name="Normal 5 10 2 22 5 9" xfId="31933" xr:uid="{00000000-0005-0000-0000-0000BD7C0000}"/>
    <cellStyle name="Normal 5 10 2 22 6" xfId="31934" xr:uid="{00000000-0005-0000-0000-0000BE7C0000}"/>
    <cellStyle name="Normal 5 10 2 22 7" xfId="31935" xr:uid="{00000000-0005-0000-0000-0000BF7C0000}"/>
    <cellStyle name="Normal 5 10 2 22 8" xfId="31936" xr:uid="{00000000-0005-0000-0000-0000C07C0000}"/>
    <cellStyle name="Normal 5 10 2 22 9" xfId="31937" xr:uid="{00000000-0005-0000-0000-0000C17C0000}"/>
    <cellStyle name="Normal 5 10 2 23" xfId="31938" xr:uid="{00000000-0005-0000-0000-0000C27C0000}"/>
    <cellStyle name="Normal 5 10 2 23 10" xfId="31939" xr:uid="{00000000-0005-0000-0000-0000C37C0000}"/>
    <cellStyle name="Normal 5 10 2 23 11" xfId="31940" xr:uid="{00000000-0005-0000-0000-0000C47C0000}"/>
    <cellStyle name="Normal 5 10 2 23 12" xfId="31941" xr:uid="{00000000-0005-0000-0000-0000C57C0000}"/>
    <cellStyle name="Normal 5 10 2 23 13" xfId="31942" xr:uid="{00000000-0005-0000-0000-0000C67C0000}"/>
    <cellStyle name="Normal 5 10 2 23 14" xfId="31943" xr:uid="{00000000-0005-0000-0000-0000C77C0000}"/>
    <cellStyle name="Normal 5 10 2 23 2" xfId="31944" xr:uid="{00000000-0005-0000-0000-0000C87C0000}"/>
    <cellStyle name="Normal 5 10 2 23 2 10" xfId="31945" xr:uid="{00000000-0005-0000-0000-0000C97C0000}"/>
    <cellStyle name="Normal 5 10 2 23 2 2" xfId="31946" xr:uid="{00000000-0005-0000-0000-0000CA7C0000}"/>
    <cellStyle name="Normal 5 10 2 23 2 3" xfId="31947" xr:uid="{00000000-0005-0000-0000-0000CB7C0000}"/>
    <cellStyle name="Normal 5 10 2 23 2 4" xfId="31948" xr:uid="{00000000-0005-0000-0000-0000CC7C0000}"/>
    <cellStyle name="Normal 5 10 2 23 2 5" xfId="31949" xr:uid="{00000000-0005-0000-0000-0000CD7C0000}"/>
    <cellStyle name="Normal 5 10 2 23 2 6" xfId="31950" xr:uid="{00000000-0005-0000-0000-0000CE7C0000}"/>
    <cellStyle name="Normal 5 10 2 23 2 7" xfId="31951" xr:uid="{00000000-0005-0000-0000-0000CF7C0000}"/>
    <cellStyle name="Normal 5 10 2 23 2 8" xfId="31952" xr:uid="{00000000-0005-0000-0000-0000D07C0000}"/>
    <cellStyle name="Normal 5 10 2 23 2 9" xfId="31953" xr:uid="{00000000-0005-0000-0000-0000D17C0000}"/>
    <cellStyle name="Normal 5 10 2 23 3" xfId="31954" xr:uid="{00000000-0005-0000-0000-0000D27C0000}"/>
    <cellStyle name="Normal 5 10 2 23 3 10" xfId="31955" xr:uid="{00000000-0005-0000-0000-0000D37C0000}"/>
    <cellStyle name="Normal 5 10 2 23 3 2" xfId="31956" xr:uid="{00000000-0005-0000-0000-0000D47C0000}"/>
    <cellStyle name="Normal 5 10 2 23 3 3" xfId="31957" xr:uid="{00000000-0005-0000-0000-0000D57C0000}"/>
    <cellStyle name="Normal 5 10 2 23 3 4" xfId="31958" xr:uid="{00000000-0005-0000-0000-0000D67C0000}"/>
    <cellStyle name="Normal 5 10 2 23 3 5" xfId="31959" xr:uid="{00000000-0005-0000-0000-0000D77C0000}"/>
    <cellStyle name="Normal 5 10 2 23 3 6" xfId="31960" xr:uid="{00000000-0005-0000-0000-0000D87C0000}"/>
    <cellStyle name="Normal 5 10 2 23 3 7" xfId="31961" xr:uid="{00000000-0005-0000-0000-0000D97C0000}"/>
    <cellStyle name="Normal 5 10 2 23 3 8" xfId="31962" xr:uid="{00000000-0005-0000-0000-0000DA7C0000}"/>
    <cellStyle name="Normal 5 10 2 23 3 9" xfId="31963" xr:uid="{00000000-0005-0000-0000-0000DB7C0000}"/>
    <cellStyle name="Normal 5 10 2 23 4" xfId="31964" xr:uid="{00000000-0005-0000-0000-0000DC7C0000}"/>
    <cellStyle name="Normal 5 10 2 23 4 10" xfId="31965" xr:uid="{00000000-0005-0000-0000-0000DD7C0000}"/>
    <cellStyle name="Normal 5 10 2 23 4 2" xfId="31966" xr:uid="{00000000-0005-0000-0000-0000DE7C0000}"/>
    <cellStyle name="Normal 5 10 2 23 4 3" xfId="31967" xr:uid="{00000000-0005-0000-0000-0000DF7C0000}"/>
    <cellStyle name="Normal 5 10 2 23 4 4" xfId="31968" xr:uid="{00000000-0005-0000-0000-0000E07C0000}"/>
    <cellStyle name="Normal 5 10 2 23 4 5" xfId="31969" xr:uid="{00000000-0005-0000-0000-0000E17C0000}"/>
    <cellStyle name="Normal 5 10 2 23 4 6" xfId="31970" xr:uid="{00000000-0005-0000-0000-0000E27C0000}"/>
    <cellStyle name="Normal 5 10 2 23 4 7" xfId="31971" xr:uid="{00000000-0005-0000-0000-0000E37C0000}"/>
    <cellStyle name="Normal 5 10 2 23 4 8" xfId="31972" xr:uid="{00000000-0005-0000-0000-0000E47C0000}"/>
    <cellStyle name="Normal 5 10 2 23 4 9" xfId="31973" xr:uid="{00000000-0005-0000-0000-0000E57C0000}"/>
    <cellStyle name="Normal 5 10 2 23 5" xfId="31974" xr:uid="{00000000-0005-0000-0000-0000E67C0000}"/>
    <cellStyle name="Normal 5 10 2 23 5 10" xfId="31975" xr:uid="{00000000-0005-0000-0000-0000E77C0000}"/>
    <cellStyle name="Normal 5 10 2 23 5 2" xfId="31976" xr:uid="{00000000-0005-0000-0000-0000E87C0000}"/>
    <cellStyle name="Normal 5 10 2 23 5 3" xfId="31977" xr:uid="{00000000-0005-0000-0000-0000E97C0000}"/>
    <cellStyle name="Normal 5 10 2 23 5 4" xfId="31978" xr:uid="{00000000-0005-0000-0000-0000EA7C0000}"/>
    <cellStyle name="Normal 5 10 2 23 5 5" xfId="31979" xr:uid="{00000000-0005-0000-0000-0000EB7C0000}"/>
    <cellStyle name="Normal 5 10 2 23 5 6" xfId="31980" xr:uid="{00000000-0005-0000-0000-0000EC7C0000}"/>
    <cellStyle name="Normal 5 10 2 23 5 7" xfId="31981" xr:uid="{00000000-0005-0000-0000-0000ED7C0000}"/>
    <cellStyle name="Normal 5 10 2 23 5 8" xfId="31982" xr:uid="{00000000-0005-0000-0000-0000EE7C0000}"/>
    <cellStyle name="Normal 5 10 2 23 5 9" xfId="31983" xr:uid="{00000000-0005-0000-0000-0000EF7C0000}"/>
    <cellStyle name="Normal 5 10 2 23 6" xfId="31984" xr:uid="{00000000-0005-0000-0000-0000F07C0000}"/>
    <cellStyle name="Normal 5 10 2 23 7" xfId="31985" xr:uid="{00000000-0005-0000-0000-0000F17C0000}"/>
    <cellStyle name="Normal 5 10 2 23 8" xfId="31986" xr:uid="{00000000-0005-0000-0000-0000F27C0000}"/>
    <cellStyle name="Normal 5 10 2 23 9" xfId="31987" xr:uid="{00000000-0005-0000-0000-0000F37C0000}"/>
    <cellStyle name="Normal 5 10 2 24" xfId="31988" xr:uid="{00000000-0005-0000-0000-0000F47C0000}"/>
    <cellStyle name="Normal 5 10 2 24 10" xfId="31989" xr:uid="{00000000-0005-0000-0000-0000F57C0000}"/>
    <cellStyle name="Normal 5 10 2 24 11" xfId="31990" xr:uid="{00000000-0005-0000-0000-0000F67C0000}"/>
    <cellStyle name="Normal 5 10 2 24 12" xfId="31991" xr:uid="{00000000-0005-0000-0000-0000F77C0000}"/>
    <cellStyle name="Normal 5 10 2 24 13" xfId="31992" xr:uid="{00000000-0005-0000-0000-0000F87C0000}"/>
    <cellStyle name="Normal 5 10 2 24 14" xfId="31993" xr:uid="{00000000-0005-0000-0000-0000F97C0000}"/>
    <cellStyle name="Normal 5 10 2 24 2" xfId="31994" xr:uid="{00000000-0005-0000-0000-0000FA7C0000}"/>
    <cellStyle name="Normal 5 10 2 24 2 10" xfId="31995" xr:uid="{00000000-0005-0000-0000-0000FB7C0000}"/>
    <cellStyle name="Normal 5 10 2 24 2 2" xfId="31996" xr:uid="{00000000-0005-0000-0000-0000FC7C0000}"/>
    <cellStyle name="Normal 5 10 2 24 2 3" xfId="31997" xr:uid="{00000000-0005-0000-0000-0000FD7C0000}"/>
    <cellStyle name="Normal 5 10 2 24 2 4" xfId="31998" xr:uid="{00000000-0005-0000-0000-0000FE7C0000}"/>
    <cellStyle name="Normal 5 10 2 24 2 5" xfId="31999" xr:uid="{00000000-0005-0000-0000-0000FF7C0000}"/>
    <cellStyle name="Normal 5 10 2 24 2 6" xfId="32000" xr:uid="{00000000-0005-0000-0000-0000007D0000}"/>
    <cellStyle name="Normal 5 10 2 24 2 7" xfId="32001" xr:uid="{00000000-0005-0000-0000-0000017D0000}"/>
    <cellStyle name="Normal 5 10 2 24 2 8" xfId="32002" xr:uid="{00000000-0005-0000-0000-0000027D0000}"/>
    <cellStyle name="Normal 5 10 2 24 2 9" xfId="32003" xr:uid="{00000000-0005-0000-0000-0000037D0000}"/>
    <cellStyle name="Normal 5 10 2 24 3" xfId="32004" xr:uid="{00000000-0005-0000-0000-0000047D0000}"/>
    <cellStyle name="Normal 5 10 2 24 3 10" xfId="32005" xr:uid="{00000000-0005-0000-0000-0000057D0000}"/>
    <cellStyle name="Normal 5 10 2 24 3 2" xfId="32006" xr:uid="{00000000-0005-0000-0000-0000067D0000}"/>
    <cellStyle name="Normal 5 10 2 24 3 3" xfId="32007" xr:uid="{00000000-0005-0000-0000-0000077D0000}"/>
    <cellStyle name="Normal 5 10 2 24 3 4" xfId="32008" xr:uid="{00000000-0005-0000-0000-0000087D0000}"/>
    <cellStyle name="Normal 5 10 2 24 3 5" xfId="32009" xr:uid="{00000000-0005-0000-0000-0000097D0000}"/>
    <cellStyle name="Normal 5 10 2 24 3 6" xfId="32010" xr:uid="{00000000-0005-0000-0000-00000A7D0000}"/>
    <cellStyle name="Normal 5 10 2 24 3 7" xfId="32011" xr:uid="{00000000-0005-0000-0000-00000B7D0000}"/>
    <cellStyle name="Normal 5 10 2 24 3 8" xfId="32012" xr:uid="{00000000-0005-0000-0000-00000C7D0000}"/>
    <cellStyle name="Normal 5 10 2 24 3 9" xfId="32013" xr:uid="{00000000-0005-0000-0000-00000D7D0000}"/>
    <cellStyle name="Normal 5 10 2 24 4" xfId="32014" xr:uid="{00000000-0005-0000-0000-00000E7D0000}"/>
    <cellStyle name="Normal 5 10 2 24 4 10" xfId="32015" xr:uid="{00000000-0005-0000-0000-00000F7D0000}"/>
    <cellStyle name="Normal 5 10 2 24 4 2" xfId="32016" xr:uid="{00000000-0005-0000-0000-0000107D0000}"/>
    <cellStyle name="Normal 5 10 2 24 4 3" xfId="32017" xr:uid="{00000000-0005-0000-0000-0000117D0000}"/>
    <cellStyle name="Normal 5 10 2 24 4 4" xfId="32018" xr:uid="{00000000-0005-0000-0000-0000127D0000}"/>
    <cellStyle name="Normal 5 10 2 24 4 5" xfId="32019" xr:uid="{00000000-0005-0000-0000-0000137D0000}"/>
    <cellStyle name="Normal 5 10 2 24 4 6" xfId="32020" xr:uid="{00000000-0005-0000-0000-0000147D0000}"/>
    <cellStyle name="Normal 5 10 2 24 4 7" xfId="32021" xr:uid="{00000000-0005-0000-0000-0000157D0000}"/>
    <cellStyle name="Normal 5 10 2 24 4 8" xfId="32022" xr:uid="{00000000-0005-0000-0000-0000167D0000}"/>
    <cellStyle name="Normal 5 10 2 24 4 9" xfId="32023" xr:uid="{00000000-0005-0000-0000-0000177D0000}"/>
    <cellStyle name="Normal 5 10 2 24 5" xfId="32024" xr:uid="{00000000-0005-0000-0000-0000187D0000}"/>
    <cellStyle name="Normal 5 10 2 24 5 10" xfId="32025" xr:uid="{00000000-0005-0000-0000-0000197D0000}"/>
    <cellStyle name="Normal 5 10 2 24 5 2" xfId="32026" xr:uid="{00000000-0005-0000-0000-00001A7D0000}"/>
    <cellStyle name="Normal 5 10 2 24 5 3" xfId="32027" xr:uid="{00000000-0005-0000-0000-00001B7D0000}"/>
    <cellStyle name="Normal 5 10 2 24 5 4" xfId="32028" xr:uid="{00000000-0005-0000-0000-00001C7D0000}"/>
    <cellStyle name="Normal 5 10 2 24 5 5" xfId="32029" xr:uid="{00000000-0005-0000-0000-00001D7D0000}"/>
    <cellStyle name="Normal 5 10 2 24 5 6" xfId="32030" xr:uid="{00000000-0005-0000-0000-00001E7D0000}"/>
    <cellStyle name="Normal 5 10 2 24 5 7" xfId="32031" xr:uid="{00000000-0005-0000-0000-00001F7D0000}"/>
    <cellStyle name="Normal 5 10 2 24 5 8" xfId="32032" xr:uid="{00000000-0005-0000-0000-0000207D0000}"/>
    <cellStyle name="Normal 5 10 2 24 5 9" xfId="32033" xr:uid="{00000000-0005-0000-0000-0000217D0000}"/>
    <cellStyle name="Normal 5 10 2 24 6" xfId="32034" xr:uid="{00000000-0005-0000-0000-0000227D0000}"/>
    <cellStyle name="Normal 5 10 2 24 7" xfId="32035" xr:uid="{00000000-0005-0000-0000-0000237D0000}"/>
    <cellStyle name="Normal 5 10 2 24 8" xfId="32036" xr:uid="{00000000-0005-0000-0000-0000247D0000}"/>
    <cellStyle name="Normal 5 10 2 24 9" xfId="32037" xr:uid="{00000000-0005-0000-0000-0000257D0000}"/>
    <cellStyle name="Normal 5 10 2 25" xfId="32038" xr:uid="{00000000-0005-0000-0000-0000267D0000}"/>
    <cellStyle name="Normal 5 10 2 25 10" xfId="32039" xr:uid="{00000000-0005-0000-0000-0000277D0000}"/>
    <cellStyle name="Normal 5 10 2 25 11" xfId="32040" xr:uid="{00000000-0005-0000-0000-0000287D0000}"/>
    <cellStyle name="Normal 5 10 2 25 12" xfId="32041" xr:uid="{00000000-0005-0000-0000-0000297D0000}"/>
    <cellStyle name="Normal 5 10 2 25 13" xfId="32042" xr:uid="{00000000-0005-0000-0000-00002A7D0000}"/>
    <cellStyle name="Normal 5 10 2 25 14" xfId="32043" xr:uid="{00000000-0005-0000-0000-00002B7D0000}"/>
    <cellStyle name="Normal 5 10 2 25 2" xfId="32044" xr:uid="{00000000-0005-0000-0000-00002C7D0000}"/>
    <cellStyle name="Normal 5 10 2 25 2 10" xfId="32045" xr:uid="{00000000-0005-0000-0000-00002D7D0000}"/>
    <cellStyle name="Normal 5 10 2 25 2 2" xfId="32046" xr:uid="{00000000-0005-0000-0000-00002E7D0000}"/>
    <cellStyle name="Normal 5 10 2 25 2 3" xfId="32047" xr:uid="{00000000-0005-0000-0000-00002F7D0000}"/>
    <cellStyle name="Normal 5 10 2 25 2 4" xfId="32048" xr:uid="{00000000-0005-0000-0000-0000307D0000}"/>
    <cellStyle name="Normal 5 10 2 25 2 5" xfId="32049" xr:uid="{00000000-0005-0000-0000-0000317D0000}"/>
    <cellStyle name="Normal 5 10 2 25 2 6" xfId="32050" xr:uid="{00000000-0005-0000-0000-0000327D0000}"/>
    <cellStyle name="Normal 5 10 2 25 2 7" xfId="32051" xr:uid="{00000000-0005-0000-0000-0000337D0000}"/>
    <cellStyle name="Normal 5 10 2 25 2 8" xfId="32052" xr:uid="{00000000-0005-0000-0000-0000347D0000}"/>
    <cellStyle name="Normal 5 10 2 25 2 9" xfId="32053" xr:uid="{00000000-0005-0000-0000-0000357D0000}"/>
    <cellStyle name="Normal 5 10 2 25 3" xfId="32054" xr:uid="{00000000-0005-0000-0000-0000367D0000}"/>
    <cellStyle name="Normal 5 10 2 25 3 10" xfId="32055" xr:uid="{00000000-0005-0000-0000-0000377D0000}"/>
    <cellStyle name="Normal 5 10 2 25 3 2" xfId="32056" xr:uid="{00000000-0005-0000-0000-0000387D0000}"/>
    <cellStyle name="Normal 5 10 2 25 3 3" xfId="32057" xr:uid="{00000000-0005-0000-0000-0000397D0000}"/>
    <cellStyle name="Normal 5 10 2 25 3 4" xfId="32058" xr:uid="{00000000-0005-0000-0000-00003A7D0000}"/>
    <cellStyle name="Normal 5 10 2 25 3 5" xfId="32059" xr:uid="{00000000-0005-0000-0000-00003B7D0000}"/>
    <cellStyle name="Normal 5 10 2 25 3 6" xfId="32060" xr:uid="{00000000-0005-0000-0000-00003C7D0000}"/>
    <cellStyle name="Normal 5 10 2 25 3 7" xfId="32061" xr:uid="{00000000-0005-0000-0000-00003D7D0000}"/>
    <cellStyle name="Normal 5 10 2 25 3 8" xfId="32062" xr:uid="{00000000-0005-0000-0000-00003E7D0000}"/>
    <cellStyle name="Normal 5 10 2 25 3 9" xfId="32063" xr:uid="{00000000-0005-0000-0000-00003F7D0000}"/>
    <cellStyle name="Normal 5 10 2 25 4" xfId="32064" xr:uid="{00000000-0005-0000-0000-0000407D0000}"/>
    <cellStyle name="Normal 5 10 2 25 4 10" xfId="32065" xr:uid="{00000000-0005-0000-0000-0000417D0000}"/>
    <cellStyle name="Normal 5 10 2 25 4 2" xfId="32066" xr:uid="{00000000-0005-0000-0000-0000427D0000}"/>
    <cellStyle name="Normal 5 10 2 25 4 3" xfId="32067" xr:uid="{00000000-0005-0000-0000-0000437D0000}"/>
    <cellStyle name="Normal 5 10 2 25 4 4" xfId="32068" xr:uid="{00000000-0005-0000-0000-0000447D0000}"/>
    <cellStyle name="Normal 5 10 2 25 4 5" xfId="32069" xr:uid="{00000000-0005-0000-0000-0000457D0000}"/>
    <cellStyle name="Normal 5 10 2 25 4 6" xfId="32070" xr:uid="{00000000-0005-0000-0000-0000467D0000}"/>
    <cellStyle name="Normal 5 10 2 25 4 7" xfId="32071" xr:uid="{00000000-0005-0000-0000-0000477D0000}"/>
    <cellStyle name="Normal 5 10 2 25 4 8" xfId="32072" xr:uid="{00000000-0005-0000-0000-0000487D0000}"/>
    <cellStyle name="Normal 5 10 2 25 4 9" xfId="32073" xr:uid="{00000000-0005-0000-0000-0000497D0000}"/>
    <cellStyle name="Normal 5 10 2 25 5" xfId="32074" xr:uid="{00000000-0005-0000-0000-00004A7D0000}"/>
    <cellStyle name="Normal 5 10 2 25 5 10" xfId="32075" xr:uid="{00000000-0005-0000-0000-00004B7D0000}"/>
    <cellStyle name="Normal 5 10 2 25 5 2" xfId="32076" xr:uid="{00000000-0005-0000-0000-00004C7D0000}"/>
    <cellStyle name="Normal 5 10 2 25 5 3" xfId="32077" xr:uid="{00000000-0005-0000-0000-00004D7D0000}"/>
    <cellStyle name="Normal 5 10 2 25 5 4" xfId="32078" xr:uid="{00000000-0005-0000-0000-00004E7D0000}"/>
    <cellStyle name="Normal 5 10 2 25 5 5" xfId="32079" xr:uid="{00000000-0005-0000-0000-00004F7D0000}"/>
    <cellStyle name="Normal 5 10 2 25 5 6" xfId="32080" xr:uid="{00000000-0005-0000-0000-0000507D0000}"/>
    <cellStyle name="Normal 5 10 2 25 5 7" xfId="32081" xr:uid="{00000000-0005-0000-0000-0000517D0000}"/>
    <cellStyle name="Normal 5 10 2 25 5 8" xfId="32082" xr:uid="{00000000-0005-0000-0000-0000527D0000}"/>
    <cellStyle name="Normal 5 10 2 25 5 9" xfId="32083" xr:uid="{00000000-0005-0000-0000-0000537D0000}"/>
    <cellStyle name="Normal 5 10 2 25 6" xfId="32084" xr:uid="{00000000-0005-0000-0000-0000547D0000}"/>
    <cellStyle name="Normal 5 10 2 25 7" xfId="32085" xr:uid="{00000000-0005-0000-0000-0000557D0000}"/>
    <cellStyle name="Normal 5 10 2 25 8" xfId="32086" xr:uid="{00000000-0005-0000-0000-0000567D0000}"/>
    <cellStyle name="Normal 5 10 2 25 9" xfId="32087" xr:uid="{00000000-0005-0000-0000-0000577D0000}"/>
    <cellStyle name="Normal 5 10 2 26" xfId="32088" xr:uid="{00000000-0005-0000-0000-0000587D0000}"/>
    <cellStyle name="Normal 5 10 2 26 10" xfId="32089" xr:uid="{00000000-0005-0000-0000-0000597D0000}"/>
    <cellStyle name="Normal 5 10 2 26 11" xfId="32090" xr:uid="{00000000-0005-0000-0000-00005A7D0000}"/>
    <cellStyle name="Normal 5 10 2 26 12" xfId="32091" xr:uid="{00000000-0005-0000-0000-00005B7D0000}"/>
    <cellStyle name="Normal 5 10 2 26 13" xfId="32092" xr:uid="{00000000-0005-0000-0000-00005C7D0000}"/>
    <cellStyle name="Normal 5 10 2 26 14" xfId="32093" xr:uid="{00000000-0005-0000-0000-00005D7D0000}"/>
    <cellStyle name="Normal 5 10 2 26 2" xfId="32094" xr:uid="{00000000-0005-0000-0000-00005E7D0000}"/>
    <cellStyle name="Normal 5 10 2 26 2 10" xfId="32095" xr:uid="{00000000-0005-0000-0000-00005F7D0000}"/>
    <cellStyle name="Normal 5 10 2 26 2 2" xfId="32096" xr:uid="{00000000-0005-0000-0000-0000607D0000}"/>
    <cellStyle name="Normal 5 10 2 26 2 3" xfId="32097" xr:uid="{00000000-0005-0000-0000-0000617D0000}"/>
    <cellStyle name="Normal 5 10 2 26 2 4" xfId="32098" xr:uid="{00000000-0005-0000-0000-0000627D0000}"/>
    <cellStyle name="Normal 5 10 2 26 2 5" xfId="32099" xr:uid="{00000000-0005-0000-0000-0000637D0000}"/>
    <cellStyle name="Normal 5 10 2 26 2 6" xfId="32100" xr:uid="{00000000-0005-0000-0000-0000647D0000}"/>
    <cellStyle name="Normal 5 10 2 26 2 7" xfId="32101" xr:uid="{00000000-0005-0000-0000-0000657D0000}"/>
    <cellStyle name="Normal 5 10 2 26 2 8" xfId="32102" xr:uid="{00000000-0005-0000-0000-0000667D0000}"/>
    <cellStyle name="Normal 5 10 2 26 2 9" xfId="32103" xr:uid="{00000000-0005-0000-0000-0000677D0000}"/>
    <cellStyle name="Normal 5 10 2 26 3" xfId="32104" xr:uid="{00000000-0005-0000-0000-0000687D0000}"/>
    <cellStyle name="Normal 5 10 2 26 3 10" xfId="32105" xr:uid="{00000000-0005-0000-0000-0000697D0000}"/>
    <cellStyle name="Normal 5 10 2 26 3 2" xfId="32106" xr:uid="{00000000-0005-0000-0000-00006A7D0000}"/>
    <cellStyle name="Normal 5 10 2 26 3 3" xfId="32107" xr:uid="{00000000-0005-0000-0000-00006B7D0000}"/>
    <cellStyle name="Normal 5 10 2 26 3 4" xfId="32108" xr:uid="{00000000-0005-0000-0000-00006C7D0000}"/>
    <cellStyle name="Normal 5 10 2 26 3 5" xfId="32109" xr:uid="{00000000-0005-0000-0000-00006D7D0000}"/>
    <cellStyle name="Normal 5 10 2 26 3 6" xfId="32110" xr:uid="{00000000-0005-0000-0000-00006E7D0000}"/>
    <cellStyle name="Normal 5 10 2 26 3 7" xfId="32111" xr:uid="{00000000-0005-0000-0000-00006F7D0000}"/>
    <cellStyle name="Normal 5 10 2 26 3 8" xfId="32112" xr:uid="{00000000-0005-0000-0000-0000707D0000}"/>
    <cellStyle name="Normal 5 10 2 26 3 9" xfId="32113" xr:uid="{00000000-0005-0000-0000-0000717D0000}"/>
    <cellStyle name="Normal 5 10 2 26 4" xfId="32114" xr:uid="{00000000-0005-0000-0000-0000727D0000}"/>
    <cellStyle name="Normal 5 10 2 26 4 10" xfId="32115" xr:uid="{00000000-0005-0000-0000-0000737D0000}"/>
    <cellStyle name="Normal 5 10 2 26 4 2" xfId="32116" xr:uid="{00000000-0005-0000-0000-0000747D0000}"/>
    <cellStyle name="Normal 5 10 2 26 4 3" xfId="32117" xr:uid="{00000000-0005-0000-0000-0000757D0000}"/>
    <cellStyle name="Normal 5 10 2 26 4 4" xfId="32118" xr:uid="{00000000-0005-0000-0000-0000767D0000}"/>
    <cellStyle name="Normal 5 10 2 26 4 5" xfId="32119" xr:uid="{00000000-0005-0000-0000-0000777D0000}"/>
    <cellStyle name="Normal 5 10 2 26 4 6" xfId="32120" xr:uid="{00000000-0005-0000-0000-0000787D0000}"/>
    <cellStyle name="Normal 5 10 2 26 4 7" xfId="32121" xr:uid="{00000000-0005-0000-0000-0000797D0000}"/>
    <cellStyle name="Normal 5 10 2 26 4 8" xfId="32122" xr:uid="{00000000-0005-0000-0000-00007A7D0000}"/>
    <cellStyle name="Normal 5 10 2 26 4 9" xfId="32123" xr:uid="{00000000-0005-0000-0000-00007B7D0000}"/>
    <cellStyle name="Normal 5 10 2 26 5" xfId="32124" xr:uid="{00000000-0005-0000-0000-00007C7D0000}"/>
    <cellStyle name="Normal 5 10 2 26 5 10" xfId="32125" xr:uid="{00000000-0005-0000-0000-00007D7D0000}"/>
    <cellStyle name="Normal 5 10 2 26 5 2" xfId="32126" xr:uid="{00000000-0005-0000-0000-00007E7D0000}"/>
    <cellStyle name="Normal 5 10 2 26 5 3" xfId="32127" xr:uid="{00000000-0005-0000-0000-00007F7D0000}"/>
    <cellStyle name="Normal 5 10 2 26 5 4" xfId="32128" xr:uid="{00000000-0005-0000-0000-0000807D0000}"/>
    <cellStyle name="Normal 5 10 2 26 5 5" xfId="32129" xr:uid="{00000000-0005-0000-0000-0000817D0000}"/>
    <cellStyle name="Normal 5 10 2 26 5 6" xfId="32130" xr:uid="{00000000-0005-0000-0000-0000827D0000}"/>
    <cellStyle name="Normal 5 10 2 26 5 7" xfId="32131" xr:uid="{00000000-0005-0000-0000-0000837D0000}"/>
    <cellStyle name="Normal 5 10 2 26 5 8" xfId="32132" xr:uid="{00000000-0005-0000-0000-0000847D0000}"/>
    <cellStyle name="Normal 5 10 2 26 5 9" xfId="32133" xr:uid="{00000000-0005-0000-0000-0000857D0000}"/>
    <cellStyle name="Normal 5 10 2 26 6" xfId="32134" xr:uid="{00000000-0005-0000-0000-0000867D0000}"/>
    <cellStyle name="Normal 5 10 2 26 7" xfId="32135" xr:uid="{00000000-0005-0000-0000-0000877D0000}"/>
    <cellStyle name="Normal 5 10 2 26 8" xfId="32136" xr:uid="{00000000-0005-0000-0000-0000887D0000}"/>
    <cellStyle name="Normal 5 10 2 26 9" xfId="32137" xr:uid="{00000000-0005-0000-0000-0000897D0000}"/>
    <cellStyle name="Normal 5 10 2 27" xfId="32138" xr:uid="{00000000-0005-0000-0000-00008A7D0000}"/>
    <cellStyle name="Normal 5 10 2 27 10" xfId="32139" xr:uid="{00000000-0005-0000-0000-00008B7D0000}"/>
    <cellStyle name="Normal 5 10 2 27 11" xfId="32140" xr:uid="{00000000-0005-0000-0000-00008C7D0000}"/>
    <cellStyle name="Normal 5 10 2 27 12" xfId="32141" xr:uid="{00000000-0005-0000-0000-00008D7D0000}"/>
    <cellStyle name="Normal 5 10 2 27 13" xfId="32142" xr:uid="{00000000-0005-0000-0000-00008E7D0000}"/>
    <cellStyle name="Normal 5 10 2 27 14" xfId="32143" xr:uid="{00000000-0005-0000-0000-00008F7D0000}"/>
    <cellStyle name="Normal 5 10 2 27 2" xfId="32144" xr:uid="{00000000-0005-0000-0000-0000907D0000}"/>
    <cellStyle name="Normal 5 10 2 27 2 10" xfId="32145" xr:uid="{00000000-0005-0000-0000-0000917D0000}"/>
    <cellStyle name="Normal 5 10 2 27 2 2" xfId="32146" xr:uid="{00000000-0005-0000-0000-0000927D0000}"/>
    <cellStyle name="Normal 5 10 2 27 2 3" xfId="32147" xr:uid="{00000000-0005-0000-0000-0000937D0000}"/>
    <cellStyle name="Normal 5 10 2 27 2 4" xfId="32148" xr:uid="{00000000-0005-0000-0000-0000947D0000}"/>
    <cellStyle name="Normal 5 10 2 27 2 5" xfId="32149" xr:uid="{00000000-0005-0000-0000-0000957D0000}"/>
    <cellStyle name="Normal 5 10 2 27 2 6" xfId="32150" xr:uid="{00000000-0005-0000-0000-0000967D0000}"/>
    <cellStyle name="Normal 5 10 2 27 2 7" xfId="32151" xr:uid="{00000000-0005-0000-0000-0000977D0000}"/>
    <cellStyle name="Normal 5 10 2 27 2 8" xfId="32152" xr:uid="{00000000-0005-0000-0000-0000987D0000}"/>
    <cellStyle name="Normal 5 10 2 27 2 9" xfId="32153" xr:uid="{00000000-0005-0000-0000-0000997D0000}"/>
    <cellStyle name="Normal 5 10 2 27 3" xfId="32154" xr:uid="{00000000-0005-0000-0000-00009A7D0000}"/>
    <cellStyle name="Normal 5 10 2 27 3 10" xfId="32155" xr:uid="{00000000-0005-0000-0000-00009B7D0000}"/>
    <cellStyle name="Normal 5 10 2 27 3 2" xfId="32156" xr:uid="{00000000-0005-0000-0000-00009C7D0000}"/>
    <cellStyle name="Normal 5 10 2 27 3 3" xfId="32157" xr:uid="{00000000-0005-0000-0000-00009D7D0000}"/>
    <cellStyle name="Normal 5 10 2 27 3 4" xfId="32158" xr:uid="{00000000-0005-0000-0000-00009E7D0000}"/>
    <cellStyle name="Normal 5 10 2 27 3 5" xfId="32159" xr:uid="{00000000-0005-0000-0000-00009F7D0000}"/>
    <cellStyle name="Normal 5 10 2 27 3 6" xfId="32160" xr:uid="{00000000-0005-0000-0000-0000A07D0000}"/>
    <cellStyle name="Normal 5 10 2 27 3 7" xfId="32161" xr:uid="{00000000-0005-0000-0000-0000A17D0000}"/>
    <cellStyle name="Normal 5 10 2 27 3 8" xfId="32162" xr:uid="{00000000-0005-0000-0000-0000A27D0000}"/>
    <cellStyle name="Normal 5 10 2 27 3 9" xfId="32163" xr:uid="{00000000-0005-0000-0000-0000A37D0000}"/>
    <cellStyle name="Normal 5 10 2 27 4" xfId="32164" xr:uid="{00000000-0005-0000-0000-0000A47D0000}"/>
    <cellStyle name="Normal 5 10 2 27 4 10" xfId="32165" xr:uid="{00000000-0005-0000-0000-0000A57D0000}"/>
    <cellStyle name="Normal 5 10 2 27 4 2" xfId="32166" xr:uid="{00000000-0005-0000-0000-0000A67D0000}"/>
    <cellStyle name="Normal 5 10 2 27 4 3" xfId="32167" xr:uid="{00000000-0005-0000-0000-0000A77D0000}"/>
    <cellStyle name="Normal 5 10 2 27 4 4" xfId="32168" xr:uid="{00000000-0005-0000-0000-0000A87D0000}"/>
    <cellStyle name="Normal 5 10 2 27 4 5" xfId="32169" xr:uid="{00000000-0005-0000-0000-0000A97D0000}"/>
    <cellStyle name="Normal 5 10 2 27 4 6" xfId="32170" xr:uid="{00000000-0005-0000-0000-0000AA7D0000}"/>
    <cellStyle name="Normal 5 10 2 27 4 7" xfId="32171" xr:uid="{00000000-0005-0000-0000-0000AB7D0000}"/>
    <cellStyle name="Normal 5 10 2 27 4 8" xfId="32172" xr:uid="{00000000-0005-0000-0000-0000AC7D0000}"/>
    <cellStyle name="Normal 5 10 2 27 4 9" xfId="32173" xr:uid="{00000000-0005-0000-0000-0000AD7D0000}"/>
    <cellStyle name="Normal 5 10 2 27 5" xfId="32174" xr:uid="{00000000-0005-0000-0000-0000AE7D0000}"/>
    <cellStyle name="Normal 5 10 2 27 5 10" xfId="32175" xr:uid="{00000000-0005-0000-0000-0000AF7D0000}"/>
    <cellStyle name="Normal 5 10 2 27 5 2" xfId="32176" xr:uid="{00000000-0005-0000-0000-0000B07D0000}"/>
    <cellStyle name="Normal 5 10 2 27 5 3" xfId="32177" xr:uid="{00000000-0005-0000-0000-0000B17D0000}"/>
    <cellStyle name="Normal 5 10 2 27 5 4" xfId="32178" xr:uid="{00000000-0005-0000-0000-0000B27D0000}"/>
    <cellStyle name="Normal 5 10 2 27 5 5" xfId="32179" xr:uid="{00000000-0005-0000-0000-0000B37D0000}"/>
    <cellStyle name="Normal 5 10 2 27 5 6" xfId="32180" xr:uid="{00000000-0005-0000-0000-0000B47D0000}"/>
    <cellStyle name="Normal 5 10 2 27 5 7" xfId="32181" xr:uid="{00000000-0005-0000-0000-0000B57D0000}"/>
    <cellStyle name="Normal 5 10 2 27 5 8" xfId="32182" xr:uid="{00000000-0005-0000-0000-0000B67D0000}"/>
    <cellStyle name="Normal 5 10 2 27 5 9" xfId="32183" xr:uid="{00000000-0005-0000-0000-0000B77D0000}"/>
    <cellStyle name="Normal 5 10 2 27 6" xfId="32184" xr:uid="{00000000-0005-0000-0000-0000B87D0000}"/>
    <cellStyle name="Normal 5 10 2 27 7" xfId="32185" xr:uid="{00000000-0005-0000-0000-0000B97D0000}"/>
    <cellStyle name="Normal 5 10 2 27 8" xfId="32186" xr:uid="{00000000-0005-0000-0000-0000BA7D0000}"/>
    <cellStyle name="Normal 5 10 2 27 9" xfId="32187" xr:uid="{00000000-0005-0000-0000-0000BB7D0000}"/>
    <cellStyle name="Normal 5 10 2 28" xfId="32188" xr:uid="{00000000-0005-0000-0000-0000BC7D0000}"/>
    <cellStyle name="Normal 5 10 2 28 10" xfId="32189" xr:uid="{00000000-0005-0000-0000-0000BD7D0000}"/>
    <cellStyle name="Normal 5 10 2 28 11" xfId="32190" xr:uid="{00000000-0005-0000-0000-0000BE7D0000}"/>
    <cellStyle name="Normal 5 10 2 28 12" xfId="32191" xr:uid="{00000000-0005-0000-0000-0000BF7D0000}"/>
    <cellStyle name="Normal 5 10 2 28 13" xfId="32192" xr:uid="{00000000-0005-0000-0000-0000C07D0000}"/>
    <cellStyle name="Normal 5 10 2 28 14" xfId="32193" xr:uid="{00000000-0005-0000-0000-0000C17D0000}"/>
    <cellStyle name="Normal 5 10 2 28 2" xfId="32194" xr:uid="{00000000-0005-0000-0000-0000C27D0000}"/>
    <cellStyle name="Normal 5 10 2 28 2 10" xfId="32195" xr:uid="{00000000-0005-0000-0000-0000C37D0000}"/>
    <cellStyle name="Normal 5 10 2 28 2 2" xfId="32196" xr:uid="{00000000-0005-0000-0000-0000C47D0000}"/>
    <cellStyle name="Normal 5 10 2 28 2 3" xfId="32197" xr:uid="{00000000-0005-0000-0000-0000C57D0000}"/>
    <cellStyle name="Normal 5 10 2 28 2 4" xfId="32198" xr:uid="{00000000-0005-0000-0000-0000C67D0000}"/>
    <cellStyle name="Normal 5 10 2 28 2 5" xfId="32199" xr:uid="{00000000-0005-0000-0000-0000C77D0000}"/>
    <cellStyle name="Normal 5 10 2 28 2 6" xfId="32200" xr:uid="{00000000-0005-0000-0000-0000C87D0000}"/>
    <cellStyle name="Normal 5 10 2 28 2 7" xfId="32201" xr:uid="{00000000-0005-0000-0000-0000C97D0000}"/>
    <cellStyle name="Normal 5 10 2 28 2 8" xfId="32202" xr:uid="{00000000-0005-0000-0000-0000CA7D0000}"/>
    <cellStyle name="Normal 5 10 2 28 2 9" xfId="32203" xr:uid="{00000000-0005-0000-0000-0000CB7D0000}"/>
    <cellStyle name="Normal 5 10 2 28 3" xfId="32204" xr:uid="{00000000-0005-0000-0000-0000CC7D0000}"/>
    <cellStyle name="Normal 5 10 2 28 3 10" xfId="32205" xr:uid="{00000000-0005-0000-0000-0000CD7D0000}"/>
    <cellStyle name="Normal 5 10 2 28 3 2" xfId="32206" xr:uid="{00000000-0005-0000-0000-0000CE7D0000}"/>
    <cellStyle name="Normal 5 10 2 28 3 3" xfId="32207" xr:uid="{00000000-0005-0000-0000-0000CF7D0000}"/>
    <cellStyle name="Normal 5 10 2 28 3 4" xfId="32208" xr:uid="{00000000-0005-0000-0000-0000D07D0000}"/>
    <cellStyle name="Normal 5 10 2 28 3 5" xfId="32209" xr:uid="{00000000-0005-0000-0000-0000D17D0000}"/>
    <cellStyle name="Normal 5 10 2 28 3 6" xfId="32210" xr:uid="{00000000-0005-0000-0000-0000D27D0000}"/>
    <cellStyle name="Normal 5 10 2 28 3 7" xfId="32211" xr:uid="{00000000-0005-0000-0000-0000D37D0000}"/>
    <cellStyle name="Normal 5 10 2 28 3 8" xfId="32212" xr:uid="{00000000-0005-0000-0000-0000D47D0000}"/>
    <cellStyle name="Normal 5 10 2 28 3 9" xfId="32213" xr:uid="{00000000-0005-0000-0000-0000D57D0000}"/>
    <cellStyle name="Normal 5 10 2 28 4" xfId="32214" xr:uid="{00000000-0005-0000-0000-0000D67D0000}"/>
    <cellStyle name="Normal 5 10 2 28 4 10" xfId="32215" xr:uid="{00000000-0005-0000-0000-0000D77D0000}"/>
    <cellStyle name="Normal 5 10 2 28 4 2" xfId="32216" xr:uid="{00000000-0005-0000-0000-0000D87D0000}"/>
    <cellStyle name="Normal 5 10 2 28 4 3" xfId="32217" xr:uid="{00000000-0005-0000-0000-0000D97D0000}"/>
    <cellStyle name="Normal 5 10 2 28 4 4" xfId="32218" xr:uid="{00000000-0005-0000-0000-0000DA7D0000}"/>
    <cellStyle name="Normal 5 10 2 28 4 5" xfId="32219" xr:uid="{00000000-0005-0000-0000-0000DB7D0000}"/>
    <cellStyle name="Normal 5 10 2 28 4 6" xfId="32220" xr:uid="{00000000-0005-0000-0000-0000DC7D0000}"/>
    <cellStyle name="Normal 5 10 2 28 4 7" xfId="32221" xr:uid="{00000000-0005-0000-0000-0000DD7D0000}"/>
    <cellStyle name="Normal 5 10 2 28 4 8" xfId="32222" xr:uid="{00000000-0005-0000-0000-0000DE7D0000}"/>
    <cellStyle name="Normal 5 10 2 28 4 9" xfId="32223" xr:uid="{00000000-0005-0000-0000-0000DF7D0000}"/>
    <cellStyle name="Normal 5 10 2 28 5" xfId="32224" xr:uid="{00000000-0005-0000-0000-0000E07D0000}"/>
    <cellStyle name="Normal 5 10 2 28 5 10" xfId="32225" xr:uid="{00000000-0005-0000-0000-0000E17D0000}"/>
    <cellStyle name="Normal 5 10 2 28 5 2" xfId="32226" xr:uid="{00000000-0005-0000-0000-0000E27D0000}"/>
    <cellStyle name="Normal 5 10 2 28 5 3" xfId="32227" xr:uid="{00000000-0005-0000-0000-0000E37D0000}"/>
    <cellStyle name="Normal 5 10 2 28 5 4" xfId="32228" xr:uid="{00000000-0005-0000-0000-0000E47D0000}"/>
    <cellStyle name="Normal 5 10 2 28 5 5" xfId="32229" xr:uid="{00000000-0005-0000-0000-0000E57D0000}"/>
    <cellStyle name="Normal 5 10 2 28 5 6" xfId="32230" xr:uid="{00000000-0005-0000-0000-0000E67D0000}"/>
    <cellStyle name="Normal 5 10 2 28 5 7" xfId="32231" xr:uid="{00000000-0005-0000-0000-0000E77D0000}"/>
    <cellStyle name="Normal 5 10 2 28 5 8" xfId="32232" xr:uid="{00000000-0005-0000-0000-0000E87D0000}"/>
    <cellStyle name="Normal 5 10 2 28 5 9" xfId="32233" xr:uid="{00000000-0005-0000-0000-0000E97D0000}"/>
    <cellStyle name="Normal 5 10 2 28 6" xfId="32234" xr:uid="{00000000-0005-0000-0000-0000EA7D0000}"/>
    <cellStyle name="Normal 5 10 2 28 7" xfId="32235" xr:uid="{00000000-0005-0000-0000-0000EB7D0000}"/>
    <cellStyle name="Normal 5 10 2 28 8" xfId="32236" xr:uid="{00000000-0005-0000-0000-0000EC7D0000}"/>
    <cellStyle name="Normal 5 10 2 28 9" xfId="32237" xr:uid="{00000000-0005-0000-0000-0000ED7D0000}"/>
    <cellStyle name="Normal 5 10 2 29" xfId="32238" xr:uid="{00000000-0005-0000-0000-0000EE7D0000}"/>
    <cellStyle name="Normal 5 10 2 29 10" xfId="32239" xr:uid="{00000000-0005-0000-0000-0000EF7D0000}"/>
    <cellStyle name="Normal 5 10 2 29 11" xfId="32240" xr:uid="{00000000-0005-0000-0000-0000F07D0000}"/>
    <cellStyle name="Normal 5 10 2 29 12" xfId="32241" xr:uid="{00000000-0005-0000-0000-0000F17D0000}"/>
    <cellStyle name="Normal 5 10 2 29 13" xfId="32242" xr:uid="{00000000-0005-0000-0000-0000F27D0000}"/>
    <cellStyle name="Normal 5 10 2 29 14" xfId="32243" xr:uid="{00000000-0005-0000-0000-0000F37D0000}"/>
    <cellStyle name="Normal 5 10 2 29 2" xfId="32244" xr:uid="{00000000-0005-0000-0000-0000F47D0000}"/>
    <cellStyle name="Normal 5 10 2 29 2 10" xfId="32245" xr:uid="{00000000-0005-0000-0000-0000F57D0000}"/>
    <cellStyle name="Normal 5 10 2 29 2 2" xfId="32246" xr:uid="{00000000-0005-0000-0000-0000F67D0000}"/>
    <cellStyle name="Normal 5 10 2 29 2 3" xfId="32247" xr:uid="{00000000-0005-0000-0000-0000F77D0000}"/>
    <cellStyle name="Normal 5 10 2 29 2 4" xfId="32248" xr:uid="{00000000-0005-0000-0000-0000F87D0000}"/>
    <cellStyle name="Normal 5 10 2 29 2 5" xfId="32249" xr:uid="{00000000-0005-0000-0000-0000F97D0000}"/>
    <cellStyle name="Normal 5 10 2 29 2 6" xfId="32250" xr:uid="{00000000-0005-0000-0000-0000FA7D0000}"/>
    <cellStyle name="Normal 5 10 2 29 2 7" xfId="32251" xr:uid="{00000000-0005-0000-0000-0000FB7D0000}"/>
    <cellStyle name="Normal 5 10 2 29 2 8" xfId="32252" xr:uid="{00000000-0005-0000-0000-0000FC7D0000}"/>
    <cellStyle name="Normal 5 10 2 29 2 9" xfId="32253" xr:uid="{00000000-0005-0000-0000-0000FD7D0000}"/>
    <cellStyle name="Normal 5 10 2 29 3" xfId="32254" xr:uid="{00000000-0005-0000-0000-0000FE7D0000}"/>
    <cellStyle name="Normal 5 10 2 29 3 10" xfId="32255" xr:uid="{00000000-0005-0000-0000-0000FF7D0000}"/>
    <cellStyle name="Normal 5 10 2 29 3 2" xfId="32256" xr:uid="{00000000-0005-0000-0000-0000007E0000}"/>
    <cellStyle name="Normal 5 10 2 29 3 3" xfId="32257" xr:uid="{00000000-0005-0000-0000-0000017E0000}"/>
    <cellStyle name="Normal 5 10 2 29 3 4" xfId="32258" xr:uid="{00000000-0005-0000-0000-0000027E0000}"/>
    <cellStyle name="Normal 5 10 2 29 3 5" xfId="32259" xr:uid="{00000000-0005-0000-0000-0000037E0000}"/>
    <cellStyle name="Normal 5 10 2 29 3 6" xfId="32260" xr:uid="{00000000-0005-0000-0000-0000047E0000}"/>
    <cellStyle name="Normal 5 10 2 29 3 7" xfId="32261" xr:uid="{00000000-0005-0000-0000-0000057E0000}"/>
    <cellStyle name="Normal 5 10 2 29 3 8" xfId="32262" xr:uid="{00000000-0005-0000-0000-0000067E0000}"/>
    <cellStyle name="Normal 5 10 2 29 3 9" xfId="32263" xr:uid="{00000000-0005-0000-0000-0000077E0000}"/>
    <cellStyle name="Normal 5 10 2 29 4" xfId="32264" xr:uid="{00000000-0005-0000-0000-0000087E0000}"/>
    <cellStyle name="Normal 5 10 2 29 4 10" xfId="32265" xr:uid="{00000000-0005-0000-0000-0000097E0000}"/>
    <cellStyle name="Normal 5 10 2 29 4 2" xfId="32266" xr:uid="{00000000-0005-0000-0000-00000A7E0000}"/>
    <cellStyle name="Normal 5 10 2 29 4 3" xfId="32267" xr:uid="{00000000-0005-0000-0000-00000B7E0000}"/>
    <cellStyle name="Normal 5 10 2 29 4 4" xfId="32268" xr:uid="{00000000-0005-0000-0000-00000C7E0000}"/>
    <cellStyle name="Normal 5 10 2 29 4 5" xfId="32269" xr:uid="{00000000-0005-0000-0000-00000D7E0000}"/>
    <cellStyle name="Normal 5 10 2 29 4 6" xfId="32270" xr:uid="{00000000-0005-0000-0000-00000E7E0000}"/>
    <cellStyle name="Normal 5 10 2 29 4 7" xfId="32271" xr:uid="{00000000-0005-0000-0000-00000F7E0000}"/>
    <cellStyle name="Normal 5 10 2 29 4 8" xfId="32272" xr:uid="{00000000-0005-0000-0000-0000107E0000}"/>
    <cellStyle name="Normal 5 10 2 29 4 9" xfId="32273" xr:uid="{00000000-0005-0000-0000-0000117E0000}"/>
    <cellStyle name="Normal 5 10 2 29 5" xfId="32274" xr:uid="{00000000-0005-0000-0000-0000127E0000}"/>
    <cellStyle name="Normal 5 10 2 29 5 10" xfId="32275" xr:uid="{00000000-0005-0000-0000-0000137E0000}"/>
    <cellStyle name="Normal 5 10 2 29 5 2" xfId="32276" xr:uid="{00000000-0005-0000-0000-0000147E0000}"/>
    <cellStyle name="Normal 5 10 2 29 5 3" xfId="32277" xr:uid="{00000000-0005-0000-0000-0000157E0000}"/>
    <cellStyle name="Normal 5 10 2 29 5 4" xfId="32278" xr:uid="{00000000-0005-0000-0000-0000167E0000}"/>
    <cellStyle name="Normal 5 10 2 29 5 5" xfId="32279" xr:uid="{00000000-0005-0000-0000-0000177E0000}"/>
    <cellStyle name="Normal 5 10 2 29 5 6" xfId="32280" xr:uid="{00000000-0005-0000-0000-0000187E0000}"/>
    <cellStyle name="Normal 5 10 2 29 5 7" xfId="32281" xr:uid="{00000000-0005-0000-0000-0000197E0000}"/>
    <cellStyle name="Normal 5 10 2 29 5 8" xfId="32282" xr:uid="{00000000-0005-0000-0000-00001A7E0000}"/>
    <cellStyle name="Normal 5 10 2 29 5 9" xfId="32283" xr:uid="{00000000-0005-0000-0000-00001B7E0000}"/>
    <cellStyle name="Normal 5 10 2 29 6" xfId="32284" xr:uid="{00000000-0005-0000-0000-00001C7E0000}"/>
    <cellStyle name="Normal 5 10 2 29 7" xfId="32285" xr:uid="{00000000-0005-0000-0000-00001D7E0000}"/>
    <cellStyle name="Normal 5 10 2 29 8" xfId="32286" xr:uid="{00000000-0005-0000-0000-00001E7E0000}"/>
    <cellStyle name="Normal 5 10 2 29 9" xfId="32287" xr:uid="{00000000-0005-0000-0000-00001F7E0000}"/>
    <cellStyle name="Normal 5 10 2 3" xfId="32288" xr:uid="{00000000-0005-0000-0000-0000207E0000}"/>
    <cellStyle name="Normal 5 10 2 3 10" xfId="32289" xr:uid="{00000000-0005-0000-0000-0000217E0000}"/>
    <cellStyle name="Normal 5 10 2 3 11" xfId="32290" xr:uid="{00000000-0005-0000-0000-0000227E0000}"/>
    <cellStyle name="Normal 5 10 2 3 12" xfId="32291" xr:uid="{00000000-0005-0000-0000-0000237E0000}"/>
    <cellStyle name="Normal 5 10 2 3 13" xfId="32292" xr:uid="{00000000-0005-0000-0000-0000247E0000}"/>
    <cellStyle name="Normal 5 10 2 3 14" xfId="32293" xr:uid="{00000000-0005-0000-0000-0000257E0000}"/>
    <cellStyle name="Normal 5 10 2 3 2" xfId="32294" xr:uid="{00000000-0005-0000-0000-0000267E0000}"/>
    <cellStyle name="Normal 5 10 2 3 2 10" xfId="32295" xr:uid="{00000000-0005-0000-0000-0000277E0000}"/>
    <cellStyle name="Normal 5 10 2 3 2 2" xfId="32296" xr:uid="{00000000-0005-0000-0000-0000287E0000}"/>
    <cellStyle name="Normal 5 10 2 3 2 3" xfId="32297" xr:uid="{00000000-0005-0000-0000-0000297E0000}"/>
    <cellStyle name="Normal 5 10 2 3 2 4" xfId="32298" xr:uid="{00000000-0005-0000-0000-00002A7E0000}"/>
    <cellStyle name="Normal 5 10 2 3 2 5" xfId="32299" xr:uid="{00000000-0005-0000-0000-00002B7E0000}"/>
    <cellStyle name="Normal 5 10 2 3 2 6" xfId="32300" xr:uid="{00000000-0005-0000-0000-00002C7E0000}"/>
    <cellStyle name="Normal 5 10 2 3 2 7" xfId="32301" xr:uid="{00000000-0005-0000-0000-00002D7E0000}"/>
    <cellStyle name="Normal 5 10 2 3 2 8" xfId="32302" xr:uid="{00000000-0005-0000-0000-00002E7E0000}"/>
    <cellStyle name="Normal 5 10 2 3 2 9" xfId="32303" xr:uid="{00000000-0005-0000-0000-00002F7E0000}"/>
    <cellStyle name="Normal 5 10 2 3 3" xfId="32304" xr:uid="{00000000-0005-0000-0000-0000307E0000}"/>
    <cellStyle name="Normal 5 10 2 3 3 10" xfId="32305" xr:uid="{00000000-0005-0000-0000-0000317E0000}"/>
    <cellStyle name="Normal 5 10 2 3 3 2" xfId="32306" xr:uid="{00000000-0005-0000-0000-0000327E0000}"/>
    <cellStyle name="Normal 5 10 2 3 3 3" xfId="32307" xr:uid="{00000000-0005-0000-0000-0000337E0000}"/>
    <cellStyle name="Normal 5 10 2 3 3 4" xfId="32308" xr:uid="{00000000-0005-0000-0000-0000347E0000}"/>
    <cellStyle name="Normal 5 10 2 3 3 5" xfId="32309" xr:uid="{00000000-0005-0000-0000-0000357E0000}"/>
    <cellStyle name="Normal 5 10 2 3 3 6" xfId="32310" xr:uid="{00000000-0005-0000-0000-0000367E0000}"/>
    <cellStyle name="Normal 5 10 2 3 3 7" xfId="32311" xr:uid="{00000000-0005-0000-0000-0000377E0000}"/>
    <cellStyle name="Normal 5 10 2 3 3 8" xfId="32312" xr:uid="{00000000-0005-0000-0000-0000387E0000}"/>
    <cellStyle name="Normal 5 10 2 3 3 9" xfId="32313" xr:uid="{00000000-0005-0000-0000-0000397E0000}"/>
    <cellStyle name="Normal 5 10 2 3 4" xfId="32314" xr:uid="{00000000-0005-0000-0000-00003A7E0000}"/>
    <cellStyle name="Normal 5 10 2 3 4 10" xfId="32315" xr:uid="{00000000-0005-0000-0000-00003B7E0000}"/>
    <cellStyle name="Normal 5 10 2 3 4 2" xfId="32316" xr:uid="{00000000-0005-0000-0000-00003C7E0000}"/>
    <cellStyle name="Normal 5 10 2 3 4 3" xfId="32317" xr:uid="{00000000-0005-0000-0000-00003D7E0000}"/>
    <cellStyle name="Normal 5 10 2 3 4 4" xfId="32318" xr:uid="{00000000-0005-0000-0000-00003E7E0000}"/>
    <cellStyle name="Normal 5 10 2 3 4 5" xfId="32319" xr:uid="{00000000-0005-0000-0000-00003F7E0000}"/>
    <cellStyle name="Normal 5 10 2 3 4 6" xfId="32320" xr:uid="{00000000-0005-0000-0000-0000407E0000}"/>
    <cellStyle name="Normal 5 10 2 3 4 7" xfId="32321" xr:uid="{00000000-0005-0000-0000-0000417E0000}"/>
    <cellStyle name="Normal 5 10 2 3 4 8" xfId="32322" xr:uid="{00000000-0005-0000-0000-0000427E0000}"/>
    <cellStyle name="Normal 5 10 2 3 4 9" xfId="32323" xr:uid="{00000000-0005-0000-0000-0000437E0000}"/>
    <cellStyle name="Normal 5 10 2 3 5" xfId="32324" xr:uid="{00000000-0005-0000-0000-0000447E0000}"/>
    <cellStyle name="Normal 5 10 2 3 5 10" xfId="32325" xr:uid="{00000000-0005-0000-0000-0000457E0000}"/>
    <cellStyle name="Normal 5 10 2 3 5 2" xfId="32326" xr:uid="{00000000-0005-0000-0000-0000467E0000}"/>
    <cellStyle name="Normal 5 10 2 3 5 3" xfId="32327" xr:uid="{00000000-0005-0000-0000-0000477E0000}"/>
    <cellStyle name="Normal 5 10 2 3 5 4" xfId="32328" xr:uid="{00000000-0005-0000-0000-0000487E0000}"/>
    <cellStyle name="Normal 5 10 2 3 5 5" xfId="32329" xr:uid="{00000000-0005-0000-0000-0000497E0000}"/>
    <cellStyle name="Normal 5 10 2 3 5 6" xfId="32330" xr:uid="{00000000-0005-0000-0000-00004A7E0000}"/>
    <cellStyle name="Normal 5 10 2 3 5 7" xfId="32331" xr:uid="{00000000-0005-0000-0000-00004B7E0000}"/>
    <cellStyle name="Normal 5 10 2 3 5 8" xfId="32332" xr:uid="{00000000-0005-0000-0000-00004C7E0000}"/>
    <cellStyle name="Normal 5 10 2 3 5 9" xfId="32333" xr:uid="{00000000-0005-0000-0000-00004D7E0000}"/>
    <cellStyle name="Normal 5 10 2 3 6" xfId="32334" xr:uid="{00000000-0005-0000-0000-00004E7E0000}"/>
    <cellStyle name="Normal 5 10 2 3 7" xfId="32335" xr:uid="{00000000-0005-0000-0000-00004F7E0000}"/>
    <cellStyle name="Normal 5 10 2 3 8" xfId="32336" xr:uid="{00000000-0005-0000-0000-0000507E0000}"/>
    <cellStyle name="Normal 5 10 2 3 9" xfId="32337" xr:uid="{00000000-0005-0000-0000-0000517E0000}"/>
    <cellStyle name="Normal 5 10 2 30" xfId="32338" xr:uid="{00000000-0005-0000-0000-0000527E0000}"/>
    <cellStyle name="Normal 5 10 2 30 10" xfId="32339" xr:uid="{00000000-0005-0000-0000-0000537E0000}"/>
    <cellStyle name="Normal 5 10 2 30 11" xfId="32340" xr:uid="{00000000-0005-0000-0000-0000547E0000}"/>
    <cellStyle name="Normal 5 10 2 30 12" xfId="32341" xr:uid="{00000000-0005-0000-0000-0000557E0000}"/>
    <cellStyle name="Normal 5 10 2 30 13" xfId="32342" xr:uid="{00000000-0005-0000-0000-0000567E0000}"/>
    <cellStyle name="Normal 5 10 2 30 14" xfId="32343" xr:uid="{00000000-0005-0000-0000-0000577E0000}"/>
    <cellStyle name="Normal 5 10 2 30 2" xfId="32344" xr:uid="{00000000-0005-0000-0000-0000587E0000}"/>
    <cellStyle name="Normal 5 10 2 30 2 10" xfId="32345" xr:uid="{00000000-0005-0000-0000-0000597E0000}"/>
    <cellStyle name="Normal 5 10 2 30 2 2" xfId="32346" xr:uid="{00000000-0005-0000-0000-00005A7E0000}"/>
    <cellStyle name="Normal 5 10 2 30 2 3" xfId="32347" xr:uid="{00000000-0005-0000-0000-00005B7E0000}"/>
    <cellStyle name="Normal 5 10 2 30 2 4" xfId="32348" xr:uid="{00000000-0005-0000-0000-00005C7E0000}"/>
    <cellStyle name="Normal 5 10 2 30 2 5" xfId="32349" xr:uid="{00000000-0005-0000-0000-00005D7E0000}"/>
    <cellStyle name="Normal 5 10 2 30 2 6" xfId="32350" xr:uid="{00000000-0005-0000-0000-00005E7E0000}"/>
    <cellStyle name="Normal 5 10 2 30 2 7" xfId="32351" xr:uid="{00000000-0005-0000-0000-00005F7E0000}"/>
    <cellStyle name="Normal 5 10 2 30 2 8" xfId="32352" xr:uid="{00000000-0005-0000-0000-0000607E0000}"/>
    <cellStyle name="Normal 5 10 2 30 2 9" xfId="32353" xr:uid="{00000000-0005-0000-0000-0000617E0000}"/>
    <cellStyle name="Normal 5 10 2 30 3" xfId="32354" xr:uid="{00000000-0005-0000-0000-0000627E0000}"/>
    <cellStyle name="Normal 5 10 2 30 3 10" xfId="32355" xr:uid="{00000000-0005-0000-0000-0000637E0000}"/>
    <cellStyle name="Normal 5 10 2 30 3 2" xfId="32356" xr:uid="{00000000-0005-0000-0000-0000647E0000}"/>
    <cellStyle name="Normal 5 10 2 30 3 3" xfId="32357" xr:uid="{00000000-0005-0000-0000-0000657E0000}"/>
    <cellStyle name="Normal 5 10 2 30 3 4" xfId="32358" xr:uid="{00000000-0005-0000-0000-0000667E0000}"/>
    <cellStyle name="Normal 5 10 2 30 3 5" xfId="32359" xr:uid="{00000000-0005-0000-0000-0000677E0000}"/>
    <cellStyle name="Normal 5 10 2 30 3 6" xfId="32360" xr:uid="{00000000-0005-0000-0000-0000687E0000}"/>
    <cellStyle name="Normal 5 10 2 30 3 7" xfId="32361" xr:uid="{00000000-0005-0000-0000-0000697E0000}"/>
    <cellStyle name="Normal 5 10 2 30 3 8" xfId="32362" xr:uid="{00000000-0005-0000-0000-00006A7E0000}"/>
    <cellStyle name="Normal 5 10 2 30 3 9" xfId="32363" xr:uid="{00000000-0005-0000-0000-00006B7E0000}"/>
    <cellStyle name="Normal 5 10 2 30 4" xfId="32364" xr:uid="{00000000-0005-0000-0000-00006C7E0000}"/>
    <cellStyle name="Normal 5 10 2 30 4 10" xfId="32365" xr:uid="{00000000-0005-0000-0000-00006D7E0000}"/>
    <cellStyle name="Normal 5 10 2 30 4 2" xfId="32366" xr:uid="{00000000-0005-0000-0000-00006E7E0000}"/>
    <cellStyle name="Normal 5 10 2 30 4 3" xfId="32367" xr:uid="{00000000-0005-0000-0000-00006F7E0000}"/>
    <cellStyle name="Normal 5 10 2 30 4 4" xfId="32368" xr:uid="{00000000-0005-0000-0000-0000707E0000}"/>
    <cellStyle name="Normal 5 10 2 30 4 5" xfId="32369" xr:uid="{00000000-0005-0000-0000-0000717E0000}"/>
    <cellStyle name="Normal 5 10 2 30 4 6" xfId="32370" xr:uid="{00000000-0005-0000-0000-0000727E0000}"/>
    <cellStyle name="Normal 5 10 2 30 4 7" xfId="32371" xr:uid="{00000000-0005-0000-0000-0000737E0000}"/>
    <cellStyle name="Normal 5 10 2 30 4 8" xfId="32372" xr:uid="{00000000-0005-0000-0000-0000747E0000}"/>
    <cellStyle name="Normal 5 10 2 30 4 9" xfId="32373" xr:uid="{00000000-0005-0000-0000-0000757E0000}"/>
    <cellStyle name="Normal 5 10 2 30 5" xfId="32374" xr:uid="{00000000-0005-0000-0000-0000767E0000}"/>
    <cellStyle name="Normal 5 10 2 30 5 10" xfId="32375" xr:uid="{00000000-0005-0000-0000-0000777E0000}"/>
    <cellStyle name="Normal 5 10 2 30 5 2" xfId="32376" xr:uid="{00000000-0005-0000-0000-0000787E0000}"/>
    <cellStyle name="Normal 5 10 2 30 5 3" xfId="32377" xr:uid="{00000000-0005-0000-0000-0000797E0000}"/>
    <cellStyle name="Normal 5 10 2 30 5 4" xfId="32378" xr:uid="{00000000-0005-0000-0000-00007A7E0000}"/>
    <cellStyle name="Normal 5 10 2 30 5 5" xfId="32379" xr:uid="{00000000-0005-0000-0000-00007B7E0000}"/>
    <cellStyle name="Normal 5 10 2 30 5 6" xfId="32380" xr:uid="{00000000-0005-0000-0000-00007C7E0000}"/>
    <cellStyle name="Normal 5 10 2 30 5 7" xfId="32381" xr:uid="{00000000-0005-0000-0000-00007D7E0000}"/>
    <cellStyle name="Normal 5 10 2 30 5 8" xfId="32382" xr:uid="{00000000-0005-0000-0000-00007E7E0000}"/>
    <cellStyle name="Normal 5 10 2 30 5 9" xfId="32383" xr:uid="{00000000-0005-0000-0000-00007F7E0000}"/>
    <cellStyle name="Normal 5 10 2 30 6" xfId="32384" xr:uid="{00000000-0005-0000-0000-0000807E0000}"/>
    <cellStyle name="Normal 5 10 2 30 7" xfId="32385" xr:uid="{00000000-0005-0000-0000-0000817E0000}"/>
    <cellStyle name="Normal 5 10 2 30 8" xfId="32386" xr:uid="{00000000-0005-0000-0000-0000827E0000}"/>
    <cellStyle name="Normal 5 10 2 30 9" xfId="32387" xr:uid="{00000000-0005-0000-0000-0000837E0000}"/>
    <cellStyle name="Normal 5 10 2 31" xfId="32388" xr:uid="{00000000-0005-0000-0000-0000847E0000}"/>
    <cellStyle name="Normal 5 10 2 31 10" xfId="32389" xr:uid="{00000000-0005-0000-0000-0000857E0000}"/>
    <cellStyle name="Normal 5 10 2 31 11" xfId="32390" xr:uid="{00000000-0005-0000-0000-0000867E0000}"/>
    <cellStyle name="Normal 5 10 2 31 12" xfId="32391" xr:uid="{00000000-0005-0000-0000-0000877E0000}"/>
    <cellStyle name="Normal 5 10 2 31 13" xfId="32392" xr:uid="{00000000-0005-0000-0000-0000887E0000}"/>
    <cellStyle name="Normal 5 10 2 31 14" xfId="32393" xr:uid="{00000000-0005-0000-0000-0000897E0000}"/>
    <cellStyle name="Normal 5 10 2 31 2" xfId="32394" xr:uid="{00000000-0005-0000-0000-00008A7E0000}"/>
    <cellStyle name="Normal 5 10 2 31 2 10" xfId="32395" xr:uid="{00000000-0005-0000-0000-00008B7E0000}"/>
    <cellStyle name="Normal 5 10 2 31 2 2" xfId="32396" xr:uid="{00000000-0005-0000-0000-00008C7E0000}"/>
    <cellStyle name="Normal 5 10 2 31 2 3" xfId="32397" xr:uid="{00000000-0005-0000-0000-00008D7E0000}"/>
    <cellStyle name="Normal 5 10 2 31 2 4" xfId="32398" xr:uid="{00000000-0005-0000-0000-00008E7E0000}"/>
    <cellStyle name="Normal 5 10 2 31 2 5" xfId="32399" xr:uid="{00000000-0005-0000-0000-00008F7E0000}"/>
    <cellStyle name="Normal 5 10 2 31 2 6" xfId="32400" xr:uid="{00000000-0005-0000-0000-0000907E0000}"/>
    <cellStyle name="Normal 5 10 2 31 2 7" xfId="32401" xr:uid="{00000000-0005-0000-0000-0000917E0000}"/>
    <cellStyle name="Normal 5 10 2 31 2 8" xfId="32402" xr:uid="{00000000-0005-0000-0000-0000927E0000}"/>
    <cellStyle name="Normal 5 10 2 31 2 9" xfId="32403" xr:uid="{00000000-0005-0000-0000-0000937E0000}"/>
    <cellStyle name="Normal 5 10 2 31 3" xfId="32404" xr:uid="{00000000-0005-0000-0000-0000947E0000}"/>
    <cellStyle name="Normal 5 10 2 31 3 10" xfId="32405" xr:uid="{00000000-0005-0000-0000-0000957E0000}"/>
    <cellStyle name="Normal 5 10 2 31 3 2" xfId="32406" xr:uid="{00000000-0005-0000-0000-0000967E0000}"/>
    <cellStyle name="Normal 5 10 2 31 3 3" xfId="32407" xr:uid="{00000000-0005-0000-0000-0000977E0000}"/>
    <cellStyle name="Normal 5 10 2 31 3 4" xfId="32408" xr:uid="{00000000-0005-0000-0000-0000987E0000}"/>
    <cellStyle name="Normal 5 10 2 31 3 5" xfId="32409" xr:uid="{00000000-0005-0000-0000-0000997E0000}"/>
    <cellStyle name="Normal 5 10 2 31 3 6" xfId="32410" xr:uid="{00000000-0005-0000-0000-00009A7E0000}"/>
    <cellStyle name="Normal 5 10 2 31 3 7" xfId="32411" xr:uid="{00000000-0005-0000-0000-00009B7E0000}"/>
    <cellStyle name="Normal 5 10 2 31 3 8" xfId="32412" xr:uid="{00000000-0005-0000-0000-00009C7E0000}"/>
    <cellStyle name="Normal 5 10 2 31 3 9" xfId="32413" xr:uid="{00000000-0005-0000-0000-00009D7E0000}"/>
    <cellStyle name="Normal 5 10 2 31 4" xfId="32414" xr:uid="{00000000-0005-0000-0000-00009E7E0000}"/>
    <cellStyle name="Normal 5 10 2 31 4 10" xfId="32415" xr:uid="{00000000-0005-0000-0000-00009F7E0000}"/>
    <cellStyle name="Normal 5 10 2 31 4 2" xfId="32416" xr:uid="{00000000-0005-0000-0000-0000A07E0000}"/>
    <cellStyle name="Normal 5 10 2 31 4 3" xfId="32417" xr:uid="{00000000-0005-0000-0000-0000A17E0000}"/>
    <cellStyle name="Normal 5 10 2 31 4 4" xfId="32418" xr:uid="{00000000-0005-0000-0000-0000A27E0000}"/>
    <cellStyle name="Normal 5 10 2 31 4 5" xfId="32419" xr:uid="{00000000-0005-0000-0000-0000A37E0000}"/>
    <cellStyle name="Normal 5 10 2 31 4 6" xfId="32420" xr:uid="{00000000-0005-0000-0000-0000A47E0000}"/>
    <cellStyle name="Normal 5 10 2 31 4 7" xfId="32421" xr:uid="{00000000-0005-0000-0000-0000A57E0000}"/>
    <cellStyle name="Normal 5 10 2 31 4 8" xfId="32422" xr:uid="{00000000-0005-0000-0000-0000A67E0000}"/>
    <cellStyle name="Normal 5 10 2 31 4 9" xfId="32423" xr:uid="{00000000-0005-0000-0000-0000A77E0000}"/>
    <cellStyle name="Normal 5 10 2 31 5" xfId="32424" xr:uid="{00000000-0005-0000-0000-0000A87E0000}"/>
    <cellStyle name="Normal 5 10 2 31 5 10" xfId="32425" xr:uid="{00000000-0005-0000-0000-0000A97E0000}"/>
    <cellStyle name="Normal 5 10 2 31 5 2" xfId="32426" xr:uid="{00000000-0005-0000-0000-0000AA7E0000}"/>
    <cellStyle name="Normal 5 10 2 31 5 3" xfId="32427" xr:uid="{00000000-0005-0000-0000-0000AB7E0000}"/>
    <cellStyle name="Normal 5 10 2 31 5 4" xfId="32428" xr:uid="{00000000-0005-0000-0000-0000AC7E0000}"/>
    <cellStyle name="Normal 5 10 2 31 5 5" xfId="32429" xr:uid="{00000000-0005-0000-0000-0000AD7E0000}"/>
    <cellStyle name="Normal 5 10 2 31 5 6" xfId="32430" xr:uid="{00000000-0005-0000-0000-0000AE7E0000}"/>
    <cellStyle name="Normal 5 10 2 31 5 7" xfId="32431" xr:uid="{00000000-0005-0000-0000-0000AF7E0000}"/>
    <cellStyle name="Normal 5 10 2 31 5 8" xfId="32432" xr:uid="{00000000-0005-0000-0000-0000B07E0000}"/>
    <cellStyle name="Normal 5 10 2 31 5 9" xfId="32433" xr:uid="{00000000-0005-0000-0000-0000B17E0000}"/>
    <cellStyle name="Normal 5 10 2 31 6" xfId="32434" xr:uid="{00000000-0005-0000-0000-0000B27E0000}"/>
    <cellStyle name="Normal 5 10 2 31 7" xfId="32435" xr:uid="{00000000-0005-0000-0000-0000B37E0000}"/>
    <cellStyle name="Normal 5 10 2 31 8" xfId="32436" xr:uid="{00000000-0005-0000-0000-0000B47E0000}"/>
    <cellStyle name="Normal 5 10 2 31 9" xfId="32437" xr:uid="{00000000-0005-0000-0000-0000B57E0000}"/>
    <cellStyle name="Normal 5 10 2 32" xfId="32438" xr:uid="{00000000-0005-0000-0000-0000B67E0000}"/>
    <cellStyle name="Normal 5 10 2 32 10" xfId="32439" xr:uid="{00000000-0005-0000-0000-0000B77E0000}"/>
    <cellStyle name="Normal 5 10 2 32 11" xfId="32440" xr:uid="{00000000-0005-0000-0000-0000B87E0000}"/>
    <cellStyle name="Normal 5 10 2 32 12" xfId="32441" xr:uid="{00000000-0005-0000-0000-0000B97E0000}"/>
    <cellStyle name="Normal 5 10 2 32 13" xfId="32442" xr:uid="{00000000-0005-0000-0000-0000BA7E0000}"/>
    <cellStyle name="Normal 5 10 2 32 14" xfId="32443" xr:uid="{00000000-0005-0000-0000-0000BB7E0000}"/>
    <cellStyle name="Normal 5 10 2 32 2" xfId="32444" xr:uid="{00000000-0005-0000-0000-0000BC7E0000}"/>
    <cellStyle name="Normal 5 10 2 32 2 10" xfId="32445" xr:uid="{00000000-0005-0000-0000-0000BD7E0000}"/>
    <cellStyle name="Normal 5 10 2 32 2 2" xfId="32446" xr:uid="{00000000-0005-0000-0000-0000BE7E0000}"/>
    <cellStyle name="Normal 5 10 2 32 2 3" xfId="32447" xr:uid="{00000000-0005-0000-0000-0000BF7E0000}"/>
    <cellStyle name="Normal 5 10 2 32 2 4" xfId="32448" xr:uid="{00000000-0005-0000-0000-0000C07E0000}"/>
    <cellStyle name="Normal 5 10 2 32 2 5" xfId="32449" xr:uid="{00000000-0005-0000-0000-0000C17E0000}"/>
    <cellStyle name="Normal 5 10 2 32 2 6" xfId="32450" xr:uid="{00000000-0005-0000-0000-0000C27E0000}"/>
    <cellStyle name="Normal 5 10 2 32 2 7" xfId="32451" xr:uid="{00000000-0005-0000-0000-0000C37E0000}"/>
    <cellStyle name="Normal 5 10 2 32 2 8" xfId="32452" xr:uid="{00000000-0005-0000-0000-0000C47E0000}"/>
    <cellStyle name="Normal 5 10 2 32 2 9" xfId="32453" xr:uid="{00000000-0005-0000-0000-0000C57E0000}"/>
    <cellStyle name="Normal 5 10 2 32 3" xfId="32454" xr:uid="{00000000-0005-0000-0000-0000C67E0000}"/>
    <cellStyle name="Normal 5 10 2 32 3 10" xfId="32455" xr:uid="{00000000-0005-0000-0000-0000C77E0000}"/>
    <cellStyle name="Normal 5 10 2 32 3 2" xfId="32456" xr:uid="{00000000-0005-0000-0000-0000C87E0000}"/>
    <cellStyle name="Normal 5 10 2 32 3 3" xfId="32457" xr:uid="{00000000-0005-0000-0000-0000C97E0000}"/>
    <cellStyle name="Normal 5 10 2 32 3 4" xfId="32458" xr:uid="{00000000-0005-0000-0000-0000CA7E0000}"/>
    <cellStyle name="Normal 5 10 2 32 3 5" xfId="32459" xr:uid="{00000000-0005-0000-0000-0000CB7E0000}"/>
    <cellStyle name="Normal 5 10 2 32 3 6" xfId="32460" xr:uid="{00000000-0005-0000-0000-0000CC7E0000}"/>
    <cellStyle name="Normal 5 10 2 32 3 7" xfId="32461" xr:uid="{00000000-0005-0000-0000-0000CD7E0000}"/>
    <cellStyle name="Normal 5 10 2 32 3 8" xfId="32462" xr:uid="{00000000-0005-0000-0000-0000CE7E0000}"/>
    <cellStyle name="Normal 5 10 2 32 3 9" xfId="32463" xr:uid="{00000000-0005-0000-0000-0000CF7E0000}"/>
    <cellStyle name="Normal 5 10 2 32 4" xfId="32464" xr:uid="{00000000-0005-0000-0000-0000D07E0000}"/>
    <cellStyle name="Normal 5 10 2 32 4 10" xfId="32465" xr:uid="{00000000-0005-0000-0000-0000D17E0000}"/>
    <cellStyle name="Normal 5 10 2 32 4 2" xfId="32466" xr:uid="{00000000-0005-0000-0000-0000D27E0000}"/>
    <cellStyle name="Normal 5 10 2 32 4 3" xfId="32467" xr:uid="{00000000-0005-0000-0000-0000D37E0000}"/>
    <cellStyle name="Normal 5 10 2 32 4 4" xfId="32468" xr:uid="{00000000-0005-0000-0000-0000D47E0000}"/>
    <cellStyle name="Normal 5 10 2 32 4 5" xfId="32469" xr:uid="{00000000-0005-0000-0000-0000D57E0000}"/>
    <cellStyle name="Normal 5 10 2 32 4 6" xfId="32470" xr:uid="{00000000-0005-0000-0000-0000D67E0000}"/>
    <cellStyle name="Normal 5 10 2 32 4 7" xfId="32471" xr:uid="{00000000-0005-0000-0000-0000D77E0000}"/>
    <cellStyle name="Normal 5 10 2 32 4 8" xfId="32472" xr:uid="{00000000-0005-0000-0000-0000D87E0000}"/>
    <cellStyle name="Normal 5 10 2 32 4 9" xfId="32473" xr:uid="{00000000-0005-0000-0000-0000D97E0000}"/>
    <cellStyle name="Normal 5 10 2 32 5" xfId="32474" xr:uid="{00000000-0005-0000-0000-0000DA7E0000}"/>
    <cellStyle name="Normal 5 10 2 32 5 10" xfId="32475" xr:uid="{00000000-0005-0000-0000-0000DB7E0000}"/>
    <cellStyle name="Normal 5 10 2 32 5 2" xfId="32476" xr:uid="{00000000-0005-0000-0000-0000DC7E0000}"/>
    <cellStyle name="Normal 5 10 2 32 5 3" xfId="32477" xr:uid="{00000000-0005-0000-0000-0000DD7E0000}"/>
    <cellStyle name="Normal 5 10 2 32 5 4" xfId="32478" xr:uid="{00000000-0005-0000-0000-0000DE7E0000}"/>
    <cellStyle name="Normal 5 10 2 32 5 5" xfId="32479" xr:uid="{00000000-0005-0000-0000-0000DF7E0000}"/>
    <cellStyle name="Normal 5 10 2 32 5 6" xfId="32480" xr:uid="{00000000-0005-0000-0000-0000E07E0000}"/>
    <cellStyle name="Normal 5 10 2 32 5 7" xfId="32481" xr:uid="{00000000-0005-0000-0000-0000E17E0000}"/>
    <cellStyle name="Normal 5 10 2 32 5 8" xfId="32482" xr:uid="{00000000-0005-0000-0000-0000E27E0000}"/>
    <cellStyle name="Normal 5 10 2 32 5 9" xfId="32483" xr:uid="{00000000-0005-0000-0000-0000E37E0000}"/>
    <cellStyle name="Normal 5 10 2 32 6" xfId="32484" xr:uid="{00000000-0005-0000-0000-0000E47E0000}"/>
    <cellStyle name="Normal 5 10 2 32 7" xfId="32485" xr:uid="{00000000-0005-0000-0000-0000E57E0000}"/>
    <cellStyle name="Normal 5 10 2 32 8" xfId="32486" xr:uid="{00000000-0005-0000-0000-0000E67E0000}"/>
    <cellStyle name="Normal 5 10 2 32 9" xfId="32487" xr:uid="{00000000-0005-0000-0000-0000E77E0000}"/>
    <cellStyle name="Normal 5 10 2 33" xfId="32488" xr:uid="{00000000-0005-0000-0000-0000E87E0000}"/>
    <cellStyle name="Normal 5 10 2 33 10" xfId="32489" xr:uid="{00000000-0005-0000-0000-0000E97E0000}"/>
    <cellStyle name="Normal 5 10 2 33 11" xfId="32490" xr:uid="{00000000-0005-0000-0000-0000EA7E0000}"/>
    <cellStyle name="Normal 5 10 2 33 12" xfId="32491" xr:uid="{00000000-0005-0000-0000-0000EB7E0000}"/>
    <cellStyle name="Normal 5 10 2 33 13" xfId="32492" xr:uid="{00000000-0005-0000-0000-0000EC7E0000}"/>
    <cellStyle name="Normal 5 10 2 33 14" xfId="32493" xr:uid="{00000000-0005-0000-0000-0000ED7E0000}"/>
    <cellStyle name="Normal 5 10 2 33 2" xfId="32494" xr:uid="{00000000-0005-0000-0000-0000EE7E0000}"/>
    <cellStyle name="Normal 5 10 2 33 2 10" xfId="32495" xr:uid="{00000000-0005-0000-0000-0000EF7E0000}"/>
    <cellStyle name="Normal 5 10 2 33 2 2" xfId="32496" xr:uid="{00000000-0005-0000-0000-0000F07E0000}"/>
    <cellStyle name="Normal 5 10 2 33 2 3" xfId="32497" xr:uid="{00000000-0005-0000-0000-0000F17E0000}"/>
    <cellStyle name="Normal 5 10 2 33 2 4" xfId="32498" xr:uid="{00000000-0005-0000-0000-0000F27E0000}"/>
    <cellStyle name="Normal 5 10 2 33 2 5" xfId="32499" xr:uid="{00000000-0005-0000-0000-0000F37E0000}"/>
    <cellStyle name="Normal 5 10 2 33 2 6" xfId="32500" xr:uid="{00000000-0005-0000-0000-0000F47E0000}"/>
    <cellStyle name="Normal 5 10 2 33 2 7" xfId="32501" xr:uid="{00000000-0005-0000-0000-0000F57E0000}"/>
    <cellStyle name="Normal 5 10 2 33 2 8" xfId="32502" xr:uid="{00000000-0005-0000-0000-0000F67E0000}"/>
    <cellStyle name="Normal 5 10 2 33 2 9" xfId="32503" xr:uid="{00000000-0005-0000-0000-0000F77E0000}"/>
    <cellStyle name="Normal 5 10 2 33 3" xfId="32504" xr:uid="{00000000-0005-0000-0000-0000F87E0000}"/>
    <cellStyle name="Normal 5 10 2 33 3 10" xfId="32505" xr:uid="{00000000-0005-0000-0000-0000F97E0000}"/>
    <cellStyle name="Normal 5 10 2 33 3 2" xfId="32506" xr:uid="{00000000-0005-0000-0000-0000FA7E0000}"/>
    <cellStyle name="Normal 5 10 2 33 3 3" xfId="32507" xr:uid="{00000000-0005-0000-0000-0000FB7E0000}"/>
    <cellStyle name="Normal 5 10 2 33 3 4" xfId="32508" xr:uid="{00000000-0005-0000-0000-0000FC7E0000}"/>
    <cellStyle name="Normal 5 10 2 33 3 5" xfId="32509" xr:uid="{00000000-0005-0000-0000-0000FD7E0000}"/>
    <cellStyle name="Normal 5 10 2 33 3 6" xfId="32510" xr:uid="{00000000-0005-0000-0000-0000FE7E0000}"/>
    <cellStyle name="Normal 5 10 2 33 3 7" xfId="32511" xr:uid="{00000000-0005-0000-0000-0000FF7E0000}"/>
    <cellStyle name="Normal 5 10 2 33 3 8" xfId="32512" xr:uid="{00000000-0005-0000-0000-0000007F0000}"/>
    <cellStyle name="Normal 5 10 2 33 3 9" xfId="32513" xr:uid="{00000000-0005-0000-0000-0000017F0000}"/>
    <cellStyle name="Normal 5 10 2 33 4" xfId="32514" xr:uid="{00000000-0005-0000-0000-0000027F0000}"/>
    <cellStyle name="Normal 5 10 2 33 4 10" xfId="32515" xr:uid="{00000000-0005-0000-0000-0000037F0000}"/>
    <cellStyle name="Normal 5 10 2 33 4 2" xfId="32516" xr:uid="{00000000-0005-0000-0000-0000047F0000}"/>
    <cellStyle name="Normal 5 10 2 33 4 3" xfId="32517" xr:uid="{00000000-0005-0000-0000-0000057F0000}"/>
    <cellStyle name="Normal 5 10 2 33 4 4" xfId="32518" xr:uid="{00000000-0005-0000-0000-0000067F0000}"/>
    <cellStyle name="Normal 5 10 2 33 4 5" xfId="32519" xr:uid="{00000000-0005-0000-0000-0000077F0000}"/>
    <cellStyle name="Normal 5 10 2 33 4 6" xfId="32520" xr:uid="{00000000-0005-0000-0000-0000087F0000}"/>
    <cellStyle name="Normal 5 10 2 33 4 7" xfId="32521" xr:uid="{00000000-0005-0000-0000-0000097F0000}"/>
    <cellStyle name="Normal 5 10 2 33 4 8" xfId="32522" xr:uid="{00000000-0005-0000-0000-00000A7F0000}"/>
    <cellStyle name="Normal 5 10 2 33 4 9" xfId="32523" xr:uid="{00000000-0005-0000-0000-00000B7F0000}"/>
    <cellStyle name="Normal 5 10 2 33 5" xfId="32524" xr:uid="{00000000-0005-0000-0000-00000C7F0000}"/>
    <cellStyle name="Normal 5 10 2 33 5 10" xfId="32525" xr:uid="{00000000-0005-0000-0000-00000D7F0000}"/>
    <cellStyle name="Normal 5 10 2 33 5 2" xfId="32526" xr:uid="{00000000-0005-0000-0000-00000E7F0000}"/>
    <cellStyle name="Normal 5 10 2 33 5 3" xfId="32527" xr:uid="{00000000-0005-0000-0000-00000F7F0000}"/>
    <cellStyle name="Normal 5 10 2 33 5 4" xfId="32528" xr:uid="{00000000-0005-0000-0000-0000107F0000}"/>
    <cellStyle name="Normal 5 10 2 33 5 5" xfId="32529" xr:uid="{00000000-0005-0000-0000-0000117F0000}"/>
    <cellStyle name="Normal 5 10 2 33 5 6" xfId="32530" xr:uid="{00000000-0005-0000-0000-0000127F0000}"/>
    <cellStyle name="Normal 5 10 2 33 5 7" xfId="32531" xr:uid="{00000000-0005-0000-0000-0000137F0000}"/>
    <cellStyle name="Normal 5 10 2 33 5 8" xfId="32532" xr:uid="{00000000-0005-0000-0000-0000147F0000}"/>
    <cellStyle name="Normal 5 10 2 33 5 9" xfId="32533" xr:uid="{00000000-0005-0000-0000-0000157F0000}"/>
    <cellStyle name="Normal 5 10 2 33 6" xfId="32534" xr:uid="{00000000-0005-0000-0000-0000167F0000}"/>
    <cellStyle name="Normal 5 10 2 33 7" xfId="32535" xr:uid="{00000000-0005-0000-0000-0000177F0000}"/>
    <cellStyle name="Normal 5 10 2 33 8" xfId="32536" xr:uid="{00000000-0005-0000-0000-0000187F0000}"/>
    <cellStyle name="Normal 5 10 2 33 9" xfId="32537" xr:uid="{00000000-0005-0000-0000-0000197F0000}"/>
    <cellStyle name="Normal 5 10 2 34" xfId="32538" xr:uid="{00000000-0005-0000-0000-00001A7F0000}"/>
    <cellStyle name="Normal 5 10 2 34 10" xfId="32539" xr:uid="{00000000-0005-0000-0000-00001B7F0000}"/>
    <cellStyle name="Normal 5 10 2 34 2" xfId="32540" xr:uid="{00000000-0005-0000-0000-00001C7F0000}"/>
    <cellStyle name="Normal 5 10 2 34 3" xfId="32541" xr:uid="{00000000-0005-0000-0000-00001D7F0000}"/>
    <cellStyle name="Normal 5 10 2 34 4" xfId="32542" xr:uid="{00000000-0005-0000-0000-00001E7F0000}"/>
    <cellStyle name="Normal 5 10 2 34 5" xfId="32543" xr:uid="{00000000-0005-0000-0000-00001F7F0000}"/>
    <cellStyle name="Normal 5 10 2 34 6" xfId="32544" xr:uid="{00000000-0005-0000-0000-0000207F0000}"/>
    <cellStyle name="Normal 5 10 2 34 7" xfId="32545" xr:uid="{00000000-0005-0000-0000-0000217F0000}"/>
    <cellStyle name="Normal 5 10 2 34 8" xfId="32546" xr:uid="{00000000-0005-0000-0000-0000227F0000}"/>
    <cellStyle name="Normal 5 10 2 34 9" xfId="32547" xr:uid="{00000000-0005-0000-0000-0000237F0000}"/>
    <cellStyle name="Normal 5 10 2 35" xfId="32548" xr:uid="{00000000-0005-0000-0000-0000247F0000}"/>
    <cellStyle name="Normal 5 10 2 35 10" xfId="32549" xr:uid="{00000000-0005-0000-0000-0000257F0000}"/>
    <cellStyle name="Normal 5 10 2 35 2" xfId="32550" xr:uid="{00000000-0005-0000-0000-0000267F0000}"/>
    <cellStyle name="Normal 5 10 2 35 3" xfId="32551" xr:uid="{00000000-0005-0000-0000-0000277F0000}"/>
    <cellStyle name="Normal 5 10 2 35 4" xfId="32552" xr:uid="{00000000-0005-0000-0000-0000287F0000}"/>
    <cellStyle name="Normal 5 10 2 35 5" xfId="32553" xr:uid="{00000000-0005-0000-0000-0000297F0000}"/>
    <cellStyle name="Normal 5 10 2 35 6" xfId="32554" xr:uid="{00000000-0005-0000-0000-00002A7F0000}"/>
    <cellStyle name="Normal 5 10 2 35 7" xfId="32555" xr:uid="{00000000-0005-0000-0000-00002B7F0000}"/>
    <cellStyle name="Normal 5 10 2 35 8" xfId="32556" xr:uid="{00000000-0005-0000-0000-00002C7F0000}"/>
    <cellStyle name="Normal 5 10 2 35 9" xfId="32557" xr:uid="{00000000-0005-0000-0000-00002D7F0000}"/>
    <cellStyle name="Normal 5 10 2 36" xfId="32558" xr:uid="{00000000-0005-0000-0000-00002E7F0000}"/>
    <cellStyle name="Normal 5 10 2 36 10" xfId="32559" xr:uid="{00000000-0005-0000-0000-00002F7F0000}"/>
    <cellStyle name="Normal 5 10 2 36 2" xfId="32560" xr:uid="{00000000-0005-0000-0000-0000307F0000}"/>
    <cellStyle name="Normal 5 10 2 36 3" xfId="32561" xr:uid="{00000000-0005-0000-0000-0000317F0000}"/>
    <cellStyle name="Normal 5 10 2 36 4" xfId="32562" xr:uid="{00000000-0005-0000-0000-0000327F0000}"/>
    <cellStyle name="Normal 5 10 2 36 5" xfId="32563" xr:uid="{00000000-0005-0000-0000-0000337F0000}"/>
    <cellStyle name="Normal 5 10 2 36 6" xfId="32564" xr:uid="{00000000-0005-0000-0000-0000347F0000}"/>
    <cellStyle name="Normal 5 10 2 36 7" xfId="32565" xr:uid="{00000000-0005-0000-0000-0000357F0000}"/>
    <cellStyle name="Normal 5 10 2 36 8" xfId="32566" xr:uid="{00000000-0005-0000-0000-0000367F0000}"/>
    <cellStyle name="Normal 5 10 2 36 9" xfId="32567" xr:uid="{00000000-0005-0000-0000-0000377F0000}"/>
    <cellStyle name="Normal 5 10 2 37" xfId="32568" xr:uid="{00000000-0005-0000-0000-0000387F0000}"/>
    <cellStyle name="Normal 5 10 2 37 10" xfId="32569" xr:uid="{00000000-0005-0000-0000-0000397F0000}"/>
    <cellStyle name="Normal 5 10 2 37 2" xfId="32570" xr:uid="{00000000-0005-0000-0000-00003A7F0000}"/>
    <cellStyle name="Normal 5 10 2 37 3" xfId="32571" xr:uid="{00000000-0005-0000-0000-00003B7F0000}"/>
    <cellStyle name="Normal 5 10 2 37 4" xfId="32572" xr:uid="{00000000-0005-0000-0000-00003C7F0000}"/>
    <cellStyle name="Normal 5 10 2 37 5" xfId="32573" xr:uid="{00000000-0005-0000-0000-00003D7F0000}"/>
    <cellStyle name="Normal 5 10 2 37 6" xfId="32574" xr:uid="{00000000-0005-0000-0000-00003E7F0000}"/>
    <cellStyle name="Normal 5 10 2 37 7" xfId="32575" xr:uid="{00000000-0005-0000-0000-00003F7F0000}"/>
    <cellStyle name="Normal 5 10 2 37 8" xfId="32576" xr:uid="{00000000-0005-0000-0000-0000407F0000}"/>
    <cellStyle name="Normal 5 10 2 37 9" xfId="32577" xr:uid="{00000000-0005-0000-0000-0000417F0000}"/>
    <cellStyle name="Normal 5 10 2 38" xfId="32578" xr:uid="{00000000-0005-0000-0000-0000427F0000}"/>
    <cellStyle name="Normal 5 10 2 39" xfId="32579" xr:uid="{00000000-0005-0000-0000-0000437F0000}"/>
    <cellStyle name="Normal 5 10 2 4" xfId="32580" xr:uid="{00000000-0005-0000-0000-0000447F0000}"/>
    <cellStyle name="Normal 5 10 2 4 10" xfId="32581" xr:uid="{00000000-0005-0000-0000-0000457F0000}"/>
    <cellStyle name="Normal 5 10 2 4 11" xfId="32582" xr:uid="{00000000-0005-0000-0000-0000467F0000}"/>
    <cellStyle name="Normal 5 10 2 4 12" xfId="32583" xr:uid="{00000000-0005-0000-0000-0000477F0000}"/>
    <cellStyle name="Normal 5 10 2 4 13" xfId="32584" xr:uid="{00000000-0005-0000-0000-0000487F0000}"/>
    <cellStyle name="Normal 5 10 2 4 14" xfId="32585" xr:uid="{00000000-0005-0000-0000-0000497F0000}"/>
    <cellStyle name="Normal 5 10 2 4 2" xfId="32586" xr:uid="{00000000-0005-0000-0000-00004A7F0000}"/>
    <cellStyle name="Normal 5 10 2 4 2 10" xfId="32587" xr:uid="{00000000-0005-0000-0000-00004B7F0000}"/>
    <cellStyle name="Normal 5 10 2 4 2 2" xfId="32588" xr:uid="{00000000-0005-0000-0000-00004C7F0000}"/>
    <cellStyle name="Normal 5 10 2 4 2 3" xfId="32589" xr:uid="{00000000-0005-0000-0000-00004D7F0000}"/>
    <cellStyle name="Normal 5 10 2 4 2 4" xfId="32590" xr:uid="{00000000-0005-0000-0000-00004E7F0000}"/>
    <cellStyle name="Normal 5 10 2 4 2 5" xfId="32591" xr:uid="{00000000-0005-0000-0000-00004F7F0000}"/>
    <cellStyle name="Normal 5 10 2 4 2 6" xfId="32592" xr:uid="{00000000-0005-0000-0000-0000507F0000}"/>
    <cellStyle name="Normal 5 10 2 4 2 7" xfId="32593" xr:uid="{00000000-0005-0000-0000-0000517F0000}"/>
    <cellStyle name="Normal 5 10 2 4 2 8" xfId="32594" xr:uid="{00000000-0005-0000-0000-0000527F0000}"/>
    <cellStyle name="Normal 5 10 2 4 2 9" xfId="32595" xr:uid="{00000000-0005-0000-0000-0000537F0000}"/>
    <cellStyle name="Normal 5 10 2 4 3" xfId="32596" xr:uid="{00000000-0005-0000-0000-0000547F0000}"/>
    <cellStyle name="Normal 5 10 2 4 3 10" xfId="32597" xr:uid="{00000000-0005-0000-0000-0000557F0000}"/>
    <cellStyle name="Normal 5 10 2 4 3 2" xfId="32598" xr:uid="{00000000-0005-0000-0000-0000567F0000}"/>
    <cellStyle name="Normal 5 10 2 4 3 3" xfId="32599" xr:uid="{00000000-0005-0000-0000-0000577F0000}"/>
    <cellStyle name="Normal 5 10 2 4 3 4" xfId="32600" xr:uid="{00000000-0005-0000-0000-0000587F0000}"/>
    <cellStyle name="Normal 5 10 2 4 3 5" xfId="32601" xr:uid="{00000000-0005-0000-0000-0000597F0000}"/>
    <cellStyle name="Normal 5 10 2 4 3 6" xfId="32602" xr:uid="{00000000-0005-0000-0000-00005A7F0000}"/>
    <cellStyle name="Normal 5 10 2 4 3 7" xfId="32603" xr:uid="{00000000-0005-0000-0000-00005B7F0000}"/>
    <cellStyle name="Normal 5 10 2 4 3 8" xfId="32604" xr:uid="{00000000-0005-0000-0000-00005C7F0000}"/>
    <cellStyle name="Normal 5 10 2 4 3 9" xfId="32605" xr:uid="{00000000-0005-0000-0000-00005D7F0000}"/>
    <cellStyle name="Normal 5 10 2 4 4" xfId="32606" xr:uid="{00000000-0005-0000-0000-00005E7F0000}"/>
    <cellStyle name="Normal 5 10 2 4 4 10" xfId="32607" xr:uid="{00000000-0005-0000-0000-00005F7F0000}"/>
    <cellStyle name="Normal 5 10 2 4 4 2" xfId="32608" xr:uid="{00000000-0005-0000-0000-0000607F0000}"/>
    <cellStyle name="Normal 5 10 2 4 4 3" xfId="32609" xr:uid="{00000000-0005-0000-0000-0000617F0000}"/>
    <cellStyle name="Normal 5 10 2 4 4 4" xfId="32610" xr:uid="{00000000-0005-0000-0000-0000627F0000}"/>
    <cellStyle name="Normal 5 10 2 4 4 5" xfId="32611" xr:uid="{00000000-0005-0000-0000-0000637F0000}"/>
    <cellStyle name="Normal 5 10 2 4 4 6" xfId="32612" xr:uid="{00000000-0005-0000-0000-0000647F0000}"/>
    <cellStyle name="Normal 5 10 2 4 4 7" xfId="32613" xr:uid="{00000000-0005-0000-0000-0000657F0000}"/>
    <cellStyle name="Normal 5 10 2 4 4 8" xfId="32614" xr:uid="{00000000-0005-0000-0000-0000667F0000}"/>
    <cellStyle name="Normal 5 10 2 4 4 9" xfId="32615" xr:uid="{00000000-0005-0000-0000-0000677F0000}"/>
    <cellStyle name="Normal 5 10 2 4 5" xfId="32616" xr:uid="{00000000-0005-0000-0000-0000687F0000}"/>
    <cellStyle name="Normal 5 10 2 4 5 10" xfId="32617" xr:uid="{00000000-0005-0000-0000-0000697F0000}"/>
    <cellStyle name="Normal 5 10 2 4 5 2" xfId="32618" xr:uid="{00000000-0005-0000-0000-00006A7F0000}"/>
    <cellStyle name="Normal 5 10 2 4 5 3" xfId="32619" xr:uid="{00000000-0005-0000-0000-00006B7F0000}"/>
    <cellStyle name="Normal 5 10 2 4 5 4" xfId="32620" xr:uid="{00000000-0005-0000-0000-00006C7F0000}"/>
    <cellStyle name="Normal 5 10 2 4 5 5" xfId="32621" xr:uid="{00000000-0005-0000-0000-00006D7F0000}"/>
    <cellStyle name="Normal 5 10 2 4 5 6" xfId="32622" xr:uid="{00000000-0005-0000-0000-00006E7F0000}"/>
    <cellStyle name="Normal 5 10 2 4 5 7" xfId="32623" xr:uid="{00000000-0005-0000-0000-00006F7F0000}"/>
    <cellStyle name="Normal 5 10 2 4 5 8" xfId="32624" xr:uid="{00000000-0005-0000-0000-0000707F0000}"/>
    <cellStyle name="Normal 5 10 2 4 5 9" xfId="32625" xr:uid="{00000000-0005-0000-0000-0000717F0000}"/>
    <cellStyle name="Normal 5 10 2 4 6" xfId="32626" xr:uid="{00000000-0005-0000-0000-0000727F0000}"/>
    <cellStyle name="Normal 5 10 2 4 7" xfId="32627" xr:uid="{00000000-0005-0000-0000-0000737F0000}"/>
    <cellStyle name="Normal 5 10 2 4 8" xfId="32628" xr:uid="{00000000-0005-0000-0000-0000747F0000}"/>
    <cellStyle name="Normal 5 10 2 4 9" xfId="32629" xr:uid="{00000000-0005-0000-0000-0000757F0000}"/>
    <cellStyle name="Normal 5 10 2 40" xfId="32630" xr:uid="{00000000-0005-0000-0000-0000767F0000}"/>
    <cellStyle name="Normal 5 10 2 41" xfId="32631" xr:uid="{00000000-0005-0000-0000-0000777F0000}"/>
    <cellStyle name="Normal 5 10 2 42" xfId="32632" xr:uid="{00000000-0005-0000-0000-0000787F0000}"/>
    <cellStyle name="Normal 5 10 2 43" xfId="32633" xr:uid="{00000000-0005-0000-0000-0000797F0000}"/>
    <cellStyle name="Normal 5 10 2 44" xfId="32634" xr:uid="{00000000-0005-0000-0000-00007A7F0000}"/>
    <cellStyle name="Normal 5 10 2 45" xfId="32635" xr:uid="{00000000-0005-0000-0000-00007B7F0000}"/>
    <cellStyle name="Normal 5 10 2 46" xfId="32636" xr:uid="{00000000-0005-0000-0000-00007C7F0000}"/>
    <cellStyle name="Normal 5 10 2 47" xfId="32637" xr:uid="{00000000-0005-0000-0000-00007D7F0000}"/>
    <cellStyle name="Normal 5 10 2 48" xfId="32638" xr:uid="{00000000-0005-0000-0000-00007E7F0000}"/>
    <cellStyle name="Normal 5 10 2 5" xfId="32639" xr:uid="{00000000-0005-0000-0000-00007F7F0000}"/>
    <cellStyle name="Normal 5 10 2 5 10" xfId="32640" xr:uid="{00000000-0005-0000-0000-0000807F0000}"/>
    <cellStyle name="Normal 5 10 2 5 11" xfId="32641" xr:uid="{00000000-0005-0000-0000-0000817F0000}"/>
    <cellStyle name="Normal 5 10 2 5 12" xfId="32642" xr:uid="{00000000-0005-0000-0000-0000827F0000}"/>
    <cellStyle name="Normal 5 10 2 5 13" xfId="32643" xr:uid="{00000000-0005-0000-0000-0000837F0000}"/>
    <cellStyle name="Normal 5 10 2 5 14" xfId="32644" xr:uid="{00000000-0005-0000-0000-0000847F0000}"/>
    <cellStyle name="Normal 5 10 2 5 2" xfId="32645" xr:uid="{00000000-0005-0000-0000-0000857F0000}"/>
    <cellStyle name="Normal 5 10 2 5 2 10" xfId="32646" xr:uid="{00000000-0005-0000-0000-0000867F0000}"/>
    <cellStyle name="Normal 5 10 2 5 2 2" xfId="32647" xr:uid="{00000000-0005-0000-0000-0000877F0000}"/>
    <cellStyle name="Normal 5 10 2 5 2 3" xfId="32648" xr:uid="{00000000-0005-0000-0000-0000887F0000}"/>
    <cellStyle name="Normal 5 10 2 5 2 4" xfId="32649" xr:uid="{00000000-0005-0000-0000-0000897F0000}"/>
    <cellStyle name="Normal 5 10 2 5 2 5" xfId="32650" xr:uid="{00000000-0005-0000-0000-00008A7F0000}"/>
    <cellStyle name="Normal 5 10 2 5 2 6" xfId="32651" xr:uid="{00000000-0005-0000-0000-00008B7F0000}"/>
    <cellStyle name="Normal 5 10 2 5 2 7" xfId="32652" xr:uid="{00000000-0005-0000-0000-00008C7F0000}"/>
    <cellStyle name="Normal 5 10 2 5 2 8" xfId="32653" xr:uid="{00000000-0005-0000-0000-00008D7F0000}"/>
    <cellStyle name="Normal 5 10 2 5 2 9" xfId="32654" xr:uid="{00000000-0005-0000-0000-00008E7F0000}"/>
    <cellStyle name="Normal 5 10 2 5 3" xfId="32655" xr:uid="{00000000-0005-0000-0000-00008F7F0000}"/>
    <cellStyle name="Normal 5 10 2 5 3 10" xfId="32656" xr:uid="{00000000-0005-0000-0000-0000907F0000}"/>
    <cellStyle name="Normal 5 10 2 5 3 2" xfId="32657" xr:uid="{00000000-0005-0000-0000-0000917F0000}"/>
    <cellStyle name="Normal 5 10 2 5 3 3" xfId="32658" xr:uid="{00000000-0005-0000-0000-0000927F0000}"/>
    <cellStyle name="Normal 5 10 2 5 3 4" xfId="32659" xr:uid="{00000000-0005-0000-0000-0000937F0000}"/>
    <cellStyle name="Normal 5 10 2 5 3 5" xfId="32660" xr:uid="{00000000-0005-0000-0000-0000947F0000}"/>
    <cellStyle name="Normal 5 10 2 5 3 6" xfId="32661" xr:uid="{00000000-0005-0000-0000-0000957F0000}"/>
    <cellStyle name="Normal 5 10 2 5 3 7" xfId="32662" xr:uid="{00000000-0005-0000-0000-0000967F0000}"/>
    <cellStyle name="Normal 5 10 2 5 3 8" xfId="32663" xr:uid="{00000000-0005-0000-0000-0000977F0000}"/>
    <cellStyle name="Normal 5 10 2 5 3 9" xfId="32664" xr:uid="{00000000-0005-0000-0000-0000987F0000}"/>
    <cellStyle name="Normal 5 10 2 5 4" xfId="32665" xr:uid="{00000000-0005-0000-0000-0000997F0000}"/>
    <cellStyle name="Normal 5 10 2 5 4 10" xfId="32666" xr:uid="{00000000-0005-0000-0000-00009A7F0000}"/>
    <cellStyle name="Normal 5 10 2 5 4 2" xfId="32667" xr:uid="{00000000-0005-0000-0000-00009B7F0000}"/>
    <cellStyle name="Normal 5 10 2 5 4 3" xfId="32668" xr:uid="{00000000-0005-0000-0000-00009C7F0000}"/>
    <cellStyle name="Normal 5 10 2 5 4 4" xfId="32669" xr:uid="{00000000-0005-0000-0000-00009D7F0000}"/>
    <cellStyle name="Normal 5 10 2 5 4 5" xfId="32670" xr:uid="{00000000-0005-0000-0000-00009E7F0000}"/>
    <cellStyle name="Normal 5 10 2 5 4 6" xfId="32671" xr:uid="{00000000-0005-0000-0000-00009F7F0000}"/>
    <cellStyle name="Normal 5 10 2 5 4 7" xfId="32672" xr:uid="{00000000-0005-0000-0000-0000A07F0000}"/>
    <cellStyle name="Normal 5 10 2 5 4 8" xfId="32673" xr:uid="{00000000-0005-0000-0000-0000A17F0000}"/>
    <cellStyle name="Normal 5 10 2 5 4 9" xfId="32674" xr:uid="{00000000-0005-0000-0000-0000A27F0000}"/>
    <cellStyle name="Normal 5 10 2 5 5" xfId="32675" xr:uid="{00000000-0005-0000-0000-0000A37F0000}"/>
    <cellStyle name="Normal 5 10 2 5 5 10" xfId="32676" xr:uid="{00000000-0005-0000-0000-0000A47F0000}"/>
    <cellStyle name="Normal 5 10 2 5 5 2" xfId="32677" xr:uid="{00000000-0005-0000-0000-0000A57F0000}"/>
    <cellStyle name="Normal 5 10 2 5 5 3" xfId="32678" xr:uid="{00000000-0005-0000-0000-0000A67F0000}"/>
    <cellStyle name="Normal 5 10 2 5 5 4" xfId="32679" xr:uid="{00000000-0005-0000-0000-0000A77F0000}"/>
    <cellStyle name="Normal 5 10 2 5 5 5" xfId="32680" xr:uid="{00000000-0005-0000-0000-0000A87F0000}"/>
    <cellStyle name="Normal 5 10 2 5 5 6" xfId="32681" xr:uid="{00000000-0005-0000-0000-0000A97F0000}"/>
    <cellStyle name="Normal 5 10 2 5 5 7" xfId="32682" xr:uid="{00000000-0005-0000-0000-0000AA7F0000}"/>
    <cellStyle name="Normal 5 10 2 5 5 8" xfId="32683" xr:uid="{00000000-0005-0000-0000-0000AB7F0000}"/>
    <cellStyle name="Normal 5 10 2 5 5 9" xfId="32684" xr:uid="{00000000-0005-0000-0000-0000AC7F0000}"/>
    <cellStyle name="Normal 5 10 2 5 6" xfId="32685" xr:uid="{00000000-0005-0000-0000-0000AD7F0000}"/>
    <cellStyle name="Normal 5 10 2 5 7" xfId="32686" xr:uid="{00000000-0005-0000-0000-0000AE7F0000}"/>
    <cellStyle name="Normal 5 10 2 5 8" xfId="32687" xr:uid="{00000000-0005-0000-0000-0000AF7F0000}"/>
    <cellStyle name="Normal 5 10 2 5 9" xfId="32688" xr:uid="{00000000-0005-0000-0000-0000B07F0000}"/>
    <cellStyle name="Normal 5 10 2 6" xfId="32689" xr:uid="{00000000-0005-0000-0000-0000B17F0000}"/>
    <cellStyle name="Normal 5 10 2 6 10" xfId="32690" xr:uid="{00000000-0005-0000-0000-0000B27F0000}"/>
    <cellStyle name="Normal 5 10 2 6 11" xfId="32691" xr:uid="{00000000-0005-0000-0000-0000B37F0000}"/>
    <cellStyle name="Normal 5 10 2 6 12" xfId="32692" xr:uid="{00000000-0005-0000-0000-0000B47F0000}"/>
    <cellStyle name="Normal 5 10 2 6 13" xfId="32693" xr:uid="{00000000-0005-0000-0000-0000B57F0000}"/>
    <cellStyle name="Normal 5 10 2 6 14" xfId="32694" xr:uid="{00000000-0005-0000-0000-0000B67F0000}"/>
    <cellStyle name="Normal 5 10 2 6 2" xfId="32695" xr:uid="{00000000-0005-0000-0000-0000B77F0000}"/>
    <cellStyle name="Normal 5 10 2 6 2 10" xfId="32696" xr:uid="{00000000-0005-0000-0000-0000B87F0000}"/>
    <cellStyle name="Normal 5 10 2 6 2 2" xfId="32697" xr:uid="{00000000-0005-0000-0000-0000B97F0000}"/>
    <cellStyle name="Normal 5 10 2 6 2 3" xfId="32698" xr:uid="{00000000-0005-0000-0000-0000BA7F0000}"/>
    <cellStyle name="Normal 5 10 2 6 2 4" xfId="32699" xr:uid="{00000000-0005-0000-0000-0000BB7F0000}"/>
    <cellStyle name="Normal 5 10 2 6 2 5" xfId="32700" xr:uid="{00000000-0005-0000-0000-0000BC7F0000}"/>
    <cellStyle name="Normal 5 10 2 6 2 6" xfId="32701" xr:uid="{00000000-0005-0000-0000-0000BD7F0000}"/>
    <cellStyle name="Normal 5 10 2 6 2 7" xfId="32702" xr:uid="{00000000-0005-0000-0000-0000BE7F0000}"/>
    <cellStyle name="Normal 5 10 2 6 2 8" xfId="32703" xr:uid="{00000000-0005-0000-0000-0000BF7F0000}"/>
    <cellStyle name="Normal 5 10 2 6 2 9" xfId="32704" xr:uid="{00000000-0005-0000-0000-0000C07F0000}"/>
    <cellStyle name="Normal 5 10 2 6 3" xfId="32705" xr:uid="{00000000-0005-0000-0000-0000C17F0000}"/>
    <cellStyle name="Normal 5 10 2 6 3 10" xfId="32706" xr:uid="{00000000-0005-0000-0000-0000C27F0000}"/>
    <cellStyle name="Normal 5 10 2 6 3 2" xfId="32707" xr:uid="{00000000-0005-0000-0000-0000C37F0000}"/>
    <cellStyle name="Normal 5 10 2 6 3 3" xfId="32708" xr:uid="{00000000-0005-0000-0000-0000C47F0000}"/>
    <cellStyle name="Normal 5 10 2 6 3 4" xfId="32709" xr:uid="{00000000-0005-0000-0000-0000C57F0000}"/>
    <cellStyle name="Normal 5 10 2 6 3 5" xfId="32710" xr:uid="{00000000-0005-0000-0000-0000C67F0000}"/>
    <cellStyle name="Normal 5 10 2 6 3 6" xfId="32711" xr:uid="{00000000-0005-0000-0000-0000C77F0000}"/>
    <cellStyle name="Normal 5 10 2 6 3 7" xfId="32712" xr:uid="{00000000-0005-0000-0000-0000C87F0000}"/>
    <cellStyle name="Normal 5 10 2 6 3 8" xfId="32713" xr:uid="{00000000-0005-0000-0000-0000C97F0000}"/>
    <cellStyle name="Normal 5 10 2 6 3 9" xfId="32714" xr:uid="{00000000-0005-0000-0000-0000CA7F0000}"/>
    <cellStyle name="Normal 5 10 2 6 4" xfId="32715" xr:uid="{00000000-0005-0000-0000-0000CB7F0000}"/>
    <cellStyle name="Normal 5 10 2 6 4 10" xfId="32716" xr:uid="{00000000-0005-0000-0000-0000CC7F0000}"/>
    <cellStyle name="Normal 5 10 2 6 4 2" xfId="32717" xr:uid="{00000000-0005-0000-0000-0000CD7F0000}"/>
    <cellStyle name="Normal 5 10 2 6 4 3" xfId="32718" xr:uid="{00000000-0005-0000-0000-0000CE7F0000}"/>
    <cellStyle name="Normal 5 10 2 6 4 4" xfId="32719" xr:uid="{00000000-0005-0000-0000-0000CF7F0000}"/>
    <cellStyle name="Normal 5 10 2 6 4 5" xfId="32720" xr:uid="{00000000-0005-0000-0000-0000D07F0000}"/>
    <cellStyle name="Normal 5 10 2 6 4 6" xfId="32721" xr:uid="{00000000-0005-0000-0000-0000D17F0000}"/>
    <cellStyle name="Normal 5 10 2 6 4 7" xfId="32722" xr:uid="{00000000-0005-0000-0000-0000D27F0000}"/>
    <cellStyle name="Normal 5 10 2 6 4 8" xfId="32723" xr:uid="{00000000-0005-0000-0000-0000D37F0000}"/>
    <cellStyle name="Normal 5 10 2 6 4 9" xfId="32724" xr:uid="{00000000-0005-0000-0000-0000D47F0000}"/>
    <cellStyle name="Normal 5 10 2 6 5" xfId="32725" xr:uid="{00000000-0005-0000-0000-0000D57F0000}"/>
    <cellStyle name="Normal 5 10 2 6 5 10" xfId="32726" xr:uid="{00000000-0005-0000-0000-0000D67F0000}"/>
    <cellStyle name="Normal 5 10 2 6 5 2" xfId="32727" xr:uid="{00000000-0005-0000-0000-0000D77F0000}"/>
    <cellStyle name="Normal 5 10 2 6 5 3" xfId="32728" xr:uid="{00000000-0005-0000-0000-0000D87F0000}"/>
    <cellStyle name="Normal 5 10 2 6 5 4" xfId="32729" xr:uid="{00000000-0005-0000-0000-0000D97F0000}"/>
    <cellStyle name="Normal 5 10 2 6 5 5" xfId="32730" xr:uid="{00000000-0005-0000-0000-0000DA7F0000}"/>
    <cellStyle name="Normal 5 10 2 6 5 6" xfId="32731" xr:uid="{00000000-0005-0000-0000-0000DB7F0000}"/>
    <cellStyle name="Normal 5 10 2 6 5 7" xfId="32732" xr:uid="{00000000-0005-0000-0000-0000DC7F0000}"/>
    <cellStyle name="Normal 5 10 2 6 5 8" xfId="32733" xr:uid="{00000000-0005-0000-0000-0000DD7F0000}"/>
    <cellStyle name="Normal 5 10 2 6 5 9" xfId="32734" xr:uid="{00000000-0005-0000-0000-0000DE7F0000}"/>
    <cellStyle name="Normal 5 10 2 6 6" xfId="32735" xr:uid="{00000000-0005-0000-0000-0000DF7F0000}"/>
    <cellStyle name="Normal 5 10 2 6 7" xfId="32736" xr:uid="{00000000-0005-0000-0000-0000E07F0000}"/>
    <cellStyle name="Normal 5 10 2 6 8" xfId="32737" xr:uid="{00000000-0005-0000-0000-0000E17F0000}"/>
    <cellStyle name="Normal 5 10 2 6 9" xfId="32738" xr:uid="{00000000-0005-0000-0000-0000E27F0000}"/>
    <cellStyle name="Normal 5 10 2 7" xfId="32739" xr:uid="{00000000-0005-0000-0000-0000E37F0000}"/>
    <cellStyle name="Normal 5 10 2 7 10" xfId="32740" xr:uid="{00000000-0005-0000-0000-0000E47F0000}"/>
    <cellStyle name="Normal 5 10 2 7 11" xfId="32741" xr:uid="{00000000-0005-0000-0000-0000E57F0000}"/>
    <cellStyle name="Normal 5 10 2 7 12" xfId="32742" xr:uid="{00000000-0005-0000-0000-0000E67F0000}"/>
    <cellStyle name="Normal 5 10 2 7 13" xfId="32743" xr:uid="{00000000-0005-0000-0000-0000E77F0000}"/>
    <cellStyle name="Normal 5 10 2 7 14" xfId="32744" xr:uid="{00000000-0005-0000-0000-0000E87F0000}"/>
    <cellStyle name="Normal 5 10 2 7 2" xfId="32745" xr:uid="{00000000-0005-0000-0000-0000E97F0000}"/>
    <cellStyle name="Normal 5 10 2 7 2 10" xfId="32746" xr:uid="{00000000-0005-0000-0000-0000EA7F0000}"/>
    <cellStyle name="Normal 5 10 2 7 2 2" xfId="32747" xr:uid="{00000000-0005-0000-0000-0000EB7F0000}"/>
    <cellStyle name="Normal 5 10 2 7 2 3" xfId="32748" xr:uid="{00000000-0005-0000-0000-0000EC7F0000}"/>
    <cellStyle name="Normal 5 10 2 7 2 4" xfId="32749" xr:uid="{00000000-0005-0000-0000-0000ED7F0000}"/>
    <cellStyle name="Normal 5 10 2 7 2 5" xfId="32750" xr:uid="{00000000-0005-0000-0000-0000EE7F0000}"/>
    <cellStyle name="Normal 5 10 2 7 2 6" xfId="32751" xr:uid="{00000000-0005-0000-0000-0000EF7F0000}"/>
    <cellStyle name="Normal 5 10 2 7 2 7" xfId="32752" xr:uid="{00000000-0005-0000-0000-0000F07F0000}"/>
    <cellStyle name="Normal 5 10 2 7 2 8" xfId="32753" xr:uid="{00000000-0005-0000-0000-0000F17F0000}"/>
    <cellStyle name="Normal 5 10 2 7 2 9" xfId="32754" xr:uid="{00000000-0005-0000-0000-0000F27F0000}"/>
    <cellStyle name="Normal 5 10 2 7 3" xfId="32755" xr:uid="{00000000-0005-0000-0000-0000F37F0000}"/>
    <cellStyle name="Normal 5 10 2 7 3 10" xfId="32756" xr:uid="{00000000-0005-0000-0000-0000F47F0000}"/>
    <cellStyle name="Normal 5 10 2 7 3 2" xfId="32757" xr:uid="{00000000-0005-0000-0000-0000F57F0000}"/>
    <cellStyle name="Normal 5 10 2 7 3 3" xfId="32758" xr:uid="{00000000-0005-0000-0000-0000F67F0000}"/>
    <cellStyle name="Normal 5 10 2 7 3 4" xfId="32759" xr:uid="{00000000-0005-0000-0000-0000F77F0000}"/>
    <cellStyle name="Normal 5 10 2 7 3 5" xfId="32760" xr:uid="{00000000-0005-0000-0000-0000F87F0000}"/>
    <cellStyle name="Normal 5 10 2 7 3 6" xfId="32761" xr:uid="{00000000-0005-0000-0000-0000F97F0000}"/>
    <cellStyle name="Normal 5 10 2 7 3 7" xfId="32762" xr:uid="{00000000-0005-0000-0000-0000FA7F0000}"/>
    <cellStyle name="Normal 5 10 2 7 3 8" xfId="32763" xr:uid="{00000000-0005-0000-0000-0000FB7F0000}"/>
    <cellStyle name="Normal 5 10 2 7 3 9" xfId="32764" xr:uid="{00000000-0005-0000-0000-0000FC7F0000}"/>
    <cellStyle name="Normal 5 10 2 7 4" xfId="32765" xr:uid="{00000000-0005-0000-0000-0000FD7F0000}"/>
    <cellStyle name="Normal 5 10 2 7 4 10" xfId="32766" xr:uid="{00000000-0005-0000-0000-0000FE7F0000}"/>
    <cellStyle name="Normal 5 10 2 7 4 2" xfId="32767" xr:uid="{00000000-0005-0000-0000-0000FF7F0000}"/>
    <cellStyle name="Normal 5 10 2 7 4 3" xfId="32768" xr:uid="{00000000-0005-0000-0000-000000800000}"/>
    <cellStyle name="Normal 5 10 2 7 4 4" xfId="32769" xr:uid="{00000000-0005-0000-0000-000001800000}"/>
    <cellStyle name="Normal 5 10 2 7 4 5" xfId="32770" xr:uid="{00000000-0005-0000-0000-000002800000}"/>
    <cellStyle name="Normal 5 10 2 7 4 6" xfId="32771" xr:uid="{00000000-0005-0000-0000-000003800000}"/>
    <cellStyle name="Normal 5 10 2 7 4 7" xfId="32772" xr:uid="{00000000-0005-0000-0000-000004800000}"/>
    <cellStyle name="Normal 5 10 2 7 4 8" xfId="32773" xr:uid="{00000000-0005-0000-0000-000005800000}"/>
    <cellStyle name="Normal 5 10 2 7 4 9" xfId="32774" xr:uid="{00000000-0005-0000-0000-000006800000}"/>
    <cellStyle name="Normal 5 10 2 7 5" xfId="32775" xr:uid="{00000000-0005-0000-0000-000007800000}"/>
    <cellStyle name="Normal 5 10 2 7 5 10" xfId="32776" xr:uid="{00000000-0005-0000-0000-000008800000}"/>
    <cellStyle name="Normal 5 10 2 7 5 2" xfId="32777" xr:uid="{00000000-0005-0000-0000-000009800000}"/>
    <cellStyle name="Normal 5 10 2 7 5 3" xfId="32778" xr:uid="{00000000-0005-0000-0000-00000A800000}"/>
    <cellStyle name="Normal 5 10 2 7 5 4" xfId="32779" xr:uid="{00000000-0005-0000-0000-00000B800000}"/>
    <cellStyle name="Normal 5 10 2 7 5 5" xfId="32780" xr:uid="{00000000-0005-0000-0000-00000C800000}"/>
    <cellStyle name="Normal 5 10 2 7 5 6" xfId="32781" xr:uid="{00000000-0005-0000-0000-00000D800000}"/>
    <cellStyle name="Normal 5 10 2 7 5 7" xfId="32782" xr:uid="{00000000-0005-0000-0000-00000E800000}"/>
    <cellStyle name="Normal 5 10 2 7 5 8" xfId="32783" xr:uid="{00000000-0005-0000-0000-00000F800000}"/>
    <cellStyle name="Normal 5 10 2 7 5 9" xfId="32784" xr:uid="{00000000-0005-0000-0000-000010800000}"/>
    <cellStyle name="Normal 5 10 2 7 6" xfId="32785" xr:uid="{00000000-0005-0000-0000-000011800000}"/>
    <cellStyle name="Normal 5 10 2 7 7" xfId="32786" xr:uid="{00000000-0005-0000-0000-000012800000}"/>
    <cellStyle name="Normal 5 10 2 7 8" xfId="32787" xr:uid="{00000000-0005-0000-0000-000013800000}"/>
    <cellStyle name="Normal 5 10 2 7 9" xfId="32788" xr:uid="{00000000-0005-0000-0000-000014800000}"/>
    <cellStyle name="Normal 5 10 2 8" xfId="32789" xr:uid="{00000000-0005-0000-0000-000015800000}"/>
    <cellStyle name="Normal 5 10 2 8 10" xfId="32790" xr:uid="{00000000-0005-0000-0000-000016800000}"/>
    <cellStyle name="Normal 5 10 2 8 11" xfId="32791" xr:uid="{00000000-0005-0000-0000-000017800000}"/>
    <cellStyle name="Normal 5 10 2 8 12" xfId="32792" xr:uid="{00000000-0005-0000-0000-000018800000}"/>
    <cellStyle name="Normal 5 10 2 8 13" xfId="32793" xr:uid="{00000000-0005-0000-0000-000019800000}"/>
    <cellStyle name="Normal 5 10 2 8 14" xfId="32794" xr:uid="{00000000-0005-0000-0000-00001A800000}"/>
    <cellStyle name="Normal 5 10 2 8 2" xfId="32795" xr:uid="{00000000-0005-0000-0000-00001B800000}"/>
    <cellStyle name="Normal 5 10 2 8 2 10" xfId="32796" xr:uid="{00000000-0005-0000-0000-00001C800000}"/>
    <cellStyle name="Normal 5 10 2 8 2 2" xfId="32797" xr:uid="{00000000-0005-0000-0000-00001D800000}"/>
    <cellStyle name="Normal 5 10 2 8 2 3" xfId="32798" xr:uid="{00000000-0005-0000-0000-00001E800000}"/>
    <cellStyle name="Normal 5 10 2 8 2 4" xfId="32799" xr:uid="{00000000-0005-0000-0000-00001F800000}"/>
    <cellStyle name="Normal 5 10 2 8 2 5" xfId="32800" xr:uid="{00000000-0005-0000-0000-000020800000}"/>
    <cellStyle name="Normal 5 10 2 8 2 6" xfId="32801" xr:uid="{00000000-0005-0000-0000-000021800000}"/>
    <cellStyle name="Normal 5 10 2 8 2 7" xfId="32802" xr:uid="{00000000-0005-0000-0000-000022800000}"/>
    <cellStyle name="Normal 5 10 2 8 2 8" xfId="32803" xr:uid="{00000000-0005-0000-0000-000023800000}"/>
    <cellStyle name="Normal 5 10 2 8 2 9" xfId="32804" xr:uid="{00000000-0005-0000-0000-000024800000}"/>
    <cellStyle name="Normal 5 10 2 8 3" xfId="32805" xr:uid="{00000000-0005-0000-0000-000025800000}"/>
    <cellStyle name="Normal 5 10 2 8 3 10" xfId="32806" xr:uid="{00000000-0005-0000-0000-000026800000}"/>
    <cellStyle name="Normal 5 10 2 8 3 2" xfId="32807" xr:uid="{00000000-0005-0000-0000-000027800000}"/>
    <cellStyle name="Normal 5 10 2 8 3 3" xfId="32808" xr:uid="{00000000-0005-0000-0000-000028800000}"/>
    <cellStyle name="Normal 5 10 2 8 3 4" xfId="32809" xr:uid="{00000000-0005-0000-0000-000029800000}"/>
    <cellStyle name="Normal 5 10 2 8 3 5" xfId="32810" xr:uid="{00000000-0005-0000-0000-00002A800000}"/>
    <cellStyle name="Normal 5 10 2 8 3 6" xfId="32811" xr:uid="{00000000-0005-0000-0000-00002B800000}"/>
    <cellStyle name="Normal 5 10 2 8 3 7" xfId="32812" xr:uid="{00000000-0005-0000-0000-00002C800000}"/>
    <cellStyle name="Normal 5 10 2 8 3 8" xfId="32813" xr:uid="{00000000-0005-0000-0000-00002D800000}"/>
    <cellStyle name="Normal 5 10 2 8 3 9" xfId="32814" xr:uid="{00000000-0005-0000-0000-00002E800000}"/>
    <cellStyle name="Normal 5 10 2 8 4" xfId="32815" xr:uid="{00000000-0005-0000-0000-00002F800000}"/>
    <cellStyle name="Normal 5 10 2 8 4 10" xfId="32816" xr:uid="{00000000-0005-0000-0000-000030800000}"/>
    <cellStyle name="Normal 5 10 2 8 4 2" xfId="32817" xr:uid="{00000000-0005-0000-0000-000031800000}"/>
    <cellStyle name="Normal 5 10 2 8 4 3" xfId="32818" xr:uid="{00000000-0005-0000-0000-000032800000}"/>
    <cellStyle name="Normal 5 10 2 8 4 4" xfId="32819" xr:uid="{00000000-0005-0000-0000-000033800000}"/>
    <cellStyle name="Normal 5 10 2 8 4 5" xfId="32820" xr:uid="{00000000-0005-0000-0000-000034800000}"/>
    <cellStyle name="Normal 5 10 2 8 4 6" xfId="32821" xr:uid="{00000000-0005-0000-0000-000035800000}"/>
    <cellStyle name="Normal 5 10 2 8 4 7" xfId="32822" xr:uid="{00000000-0005-0000-0000-000036800000}"/>
    <cellStyle name="Normal 5 10 2 8 4 8" xfId="32823" xr:uid="{00000000-0005-0000-0000-000037800000}"/>
    <cellStyle name="Normal 5 10 2 8 4 9" xfId="32824" xr:uid="{00000000-0005-0000-0000-000038800000}"/>
    <cellStyle name="Normal 5 10 2 8 5" xfId="32825" xr:uid="{00000000-0005-0000-0000-000039800000}"/>
    <cellStyle name="Normal 5 10 2 8 5 10" xfId="32826" xr:uid="{00000000-0005-0000-0000-00003A800000}"/>
    <cellStyle name="Normal 5 10 2 8 5 2" xfId="32827" xr:uid="{00000000-0005-0000-0000-00003B800000}"/>
    <cellStyle name="Normal 5 10 2 8 5 3" xfId="32828" xr:uid="{00000000-0005-0000-0000-00003C800000}"/>
    <cellStyle name="Normal 5 10 2 8 5 4" xfId="32829" xr:uid="{00000000-0005-0000-0000-00003D800000}"/>
    <cellStyle name="Normal 5 10 2 8 5 5" xfId="32830" xr:uid="{00000000-0005-0000-0000-00003E800000}"/>
    <cellStyle name="Normal 5 10 2 8 5 6" xfId="32831" xr:uid="{00000000-0005-0000-0000-00003F800000}"/>
    <cellStyle name="Normal 5 10 2 8 5 7" xfId="32832" xr:uid="{00000000-0005-0000-0000-000040800000}"/>
    <cellStyle name="Normal 5 10 2 8 5 8" xfId="32833" xr:uid="{00000000-0005-0000-0000-000041800000}"/>
    <cellStyle name="Normal 5 10 2 8 5 9" xfId="32834" xr:uid="{00000000-0005-0000-0000-000042800000}"/>
    <cellStyle name="Normal 5 10 2 8 6" xfId="32835" xr:uid="{00000000-0005-0000-0000-000043800000}"/>
    <cellStyle name="Normal 5 10 2 8 7" xfId="32836" xr:uid="{00000000-0005-0000-0000-000044800000}"/>
    <cellStyle name="Normal 5 10 2 8 8" xfId="32837" xr:uid="{00000000-0005-0000-0000-000045800000}"/>
    <cellStyle name="Normal 5 10 2 8 9" xfId="32838" xr:uid="{00000000-0005-0000-0000-000046800000}"/>
    <cellStyle name="Normal 5 10 2 9" xfId="32839" xr:uid="{00000000-0005-0000-0000-000047800000}"/>
    <cellStyle name="Normal 5 10 2 9 10" xfId="32840" xr:uid="{00000000-0005-0000-0000-000048800000}"/>
    <cellStyle name="Normal 5 10 2 9 11" xfId="32841" xr:uid="{00000000-0005-0000-0000-000049800000}"/>
    <cellStyle name="Normal 5 10 2 9 12" xfId="32842" xr:uid="{00000000-0005-0000-0000-00004A800000}"/>
    <cellStyle name="Normal 5 10 2 9 13" xfId="32843" xr:uid="{00000000-0005-0000-0000-00004B800000}"/>
    <cellStyle name="Normal 5 10 2 9 14" xfId="32844" xr:uid="{00000000-0005-0000-0000-00004C800000}"/>
    <cellStyle name="Normal 5 10 2 9 2" xfId="32845" xr:uid="{00000000-0005-0000-0000-00004D800000}"/>
    <cellStyle name="Normal 5 10 2 9 2 10" xfId="32846" xr:uid="{00000000-0005-0000-0000-00004E800000}"/>
    <cellStyle name="Normal 5 10 2 9 2 2" xfId="32847" xr:uid="{00000000-0005-0000-0000-00004F800000}"/>
    <cellStyle name="Normal 5 10 2 9 2 3" xfId="32848" xr:uid="{00000000-0005-0000-0000-000050800000}"/>
    <cellStyle name="Normal 5 10 2 9 2 4" xfId="32849" xr:uid="{00000000-0005-0000-0000-000051800000}"/>
    <cellStyle name="Normal 5 10 2 9 2 5" xfId="32850" xr:uid="{00000000-0005-0000-0000-000052800000}"/>
    <cellStyle name="Normal 5 10 2 9 2 6" xfId="32851" xr:uid="{00000000-0005-0000-0000-000053800000}"/>
    <cellStyle name="Normal 5 10 2 9 2 7" xfId="32852" xr:uid="{00000000-0005-0000-0000-000054800000}"/>
    <cellStyle name="Normal 5 10 2 9 2 8" xfId="32853" xr:uid="{00000000-0005-0000-0000-000055800000}"/>
    <cellStyle name="Normal 5 10 2 9 2 9" xfId="32854" xr:uid="{00000000-0005-0000-0000-000056800000}"/>
    <cellStyle name="Normal 5 10 2 9 3" xfId="32855" xr:uid="{00000000-0005-0000-0000-000057800000}"/>
    <cellStyle name="Normal 5 10 2 9 3 10" xfId="32856" xr:uid="{00000000-0005-0000-0000-000058800000}"/>
    <cellStyle name="Normal 5 10 2 9 3 2" xfId="32857" xr:uid="{00000000-0005-0000-0000-000059800000}"/>
    <cellStyle name="Normal 5 10 2 9 3 3" xfId="32858" xr:uid="{00000000-0005-0000-0000-00005A800000}"/>
    <cellStyle name="Normal 5 10 2 9 3 4" xfId="32859" xr:uid="{00000000-0005-0000-0000-00005B800000}"/>
    <cellStyle name="Normal 5 10 2 9 3 5" xfId="32860" xr:uid="{00000000-0005-0000-0000-00005C800000}"/>
    <cellStyle name="Normal 5 10 2 9 3 6" xfId="32861" xr:uid="{00000000-0005-0000-0000-00005D800000}"/>
    <cellStyle name="Normal 5 10 2 9 3 7" xfId="32862" xr:uid="{00000000-0005-0000-0000-00005E800000}"/>
    <cellStyle name="Normal 5 10 2 9 3 8" xfId="32863" xr:uid="{00000000-0005-0000-0000-00005F800000}"/>
    <cellStyle name="Normal 5 10 2 9 3 9" xfId="32864" xr:uid="{00000000-0005-0000-0000-000060800000}"/>
    <cellStyle name="Normal 5 10 2 9 4" xfId="32865" xr:uid="{00000000-0005-0000-0000-000061800000}"/>
    <cellStyle name="Normal 5 10 2 9 4 10" xfId="32866" xr:uid="{00000000-0005-0000-0000-000062800000}"/>
    <cellStyle name="Normal 5 10 2 9 4 2" xfId="32867" xr:uid="{00000000-0005-0000-0000-000063800000}"/>
    <cellStyle name="Normal 5 10 2 9 4 3" xfId="32868" xr:uid="{00000000-0005-0000-0000-000064800000}"/>
    <cellStyle name="Normal 5 10 2 9 4 4" xfId="32869" xr:uid="{00000000-0005-0000-0000-000065800000}"/>
    <cellStyle name="Normal 5 10 2 9 4 5" xfId="32870" xr:uid="{00000000-0005-0000-0000-000066800000}"/>
    <cellStyle name="Normal 5 10 2 9 4 6" xfId="32871" xr:uid="{00000000-0005-0000-0000-000067800000}"/>
    <cellStyle name="Normal 5 10 2 9 4 7" xfId="32872" xr:uid="{00000000-0005-0000-0000-000068800000}"/>
    <cellStyle name="Normal 5 10 2 9 4 8" xfId="32873" xr:uid="{00000000-0005-0000-0000-000069800000}"/>
    <cellStyle name="Normal 5 10 2 9 4 9" xfId="32874" xr:uid="{00000000-0005-0000-0000-00006A800000}"/>
    <cellStyle name="Normal 5 10 2 9 5" xfId="32875" xr:uid="{00000000-0005-0000-0000-00006B800000}"/>
    <cellStyle name="Normal 5 10 2 9 5 10" xfId="32876" xr:uid="{00000000-0005-0000-0000-00006C800000}"/>
    <cellStyle name="Normal 5 10 2 9 5 2" xfId="32877" xr:uid="{00000000-0005-0000-0000-00006D800000}"/>
    <cellStyle name="Normal 5 10 2 9 5 3" xfId="32878" xr:uid="{00000000-0005-0000-0000-00006E800000}"/>
    <cellStyle name="Normal 5 10 2 9 5 4" xfId="32879" xr:uid="{00000000-0005-0000-0000-00006F800000}"/>
    <cellStyle name="Normal 5 10 2 9 5 5" xfId="32880" xr:uid="{00000000-0005-0000-0000-000070800000}"/>
    <cellStyle name="Normal 5 10 2 9 5 6" xfId="32881" xr:uid="{00000000-0005-0000-0000-000071800000}"/>
    <cellStyle name="Normal 5 10 2 9 5 7" xfId="32882" xr:uid="{00000000-0005-0000-0000-000072800000}"/>
    <cellStyle name="Normal 5 10 2 9 5 8" xfId="32883" xr:uid="{00000000-0005-0000-0000-000073800000}"/>
    <cellStyle name="Normal 5 10 2 9 5 9" xfId="32884" xr:uid="{00000000-0005-0000-0000-000074800000}"/>
    <cellStyle name="Normal 5 10 2 9 6" xfId="32885" xr:uid="{00000000-0005-0000-0000-000075800000}"/>
    <cellStyle name="Normal 5 10 2 9 7" xfId="32886" xr:uid="{00000000-0005-0000-0000-000076800000}"/>
    <cellStyle name="Normal 5 10 2 9 8" xfId="32887" xr:uid="{00000000-0005-0000-0000-000077800000}"/>
    <cellStyle name="Normal 5 10 2 9 9" xfId="32888" xr:uid="{00000000-0005-0000-0000-000078800000}"/>
    <cellStyle name="Normal 5 10 20" xfId="32889" xr:uid="{00000000-0005-0000-0000-000079800000}"/>
    <cellStyle name="Normal 5 10 20 10" xfId="32890" xr:uid="{00000000-0005-0000-0000-00007A800000}"/>
    <cellStyle name="Normal 5 10 20 11" xfId="32891" xr:uid="{00000000-0005-0000-0000-00007B800000}"/>
    <cellStyle name="Normal 5 10 20 12" xfId="32892" xr:uid="{00000000-0005-0000-0000-00007C800000}"/>
    <cellStyle name="Normal 5 10 20 13" xfId="32893" xr:uid="{00000000-0005-0000-0000-00007D800000}"/>
    <cellStyle name="Normal 5 10 20 14" xfId="32894" xr:uid="{00000000-0005-0000-0000-00007E800000}"/>
    <cellStyle name="Normal 5 10 20 2" xfId="32895" xr:uid="{00000000-0005-0000-0000-00007F800000}"/>
    <cellStyle name="Normal 5 10 20 2 10" xfId="32896" xr:uid="{00000000-0005-0000-0000-000080800000}"/>
    <cellStyle name="Normal 5 10 20 2 2" xfId="32897" xr:uid="{00000000-0005-0000-0000-000081800000}"/>
    <cellStyle name="Normal 5 10 20 2 3" xfId="32898" xr:uid="{00000000-0005-0000-0000-000082800000}"/>
    <cellStyle name="Normal 5 10 20 2 4" xfId="32899" xr:uid="{00000000-0005-0000-0000-000083800000}"/>
    <cellStyle name="Normal 5 10 20 2 5" xfId="32900" xr:uid="{00000000-0005-0000-0000-000084800000}"/>
    <cellStyle name="Normal 5 10 20 2 6" xfId="32901" xr:uid="{00000000-0005-0000-0000-000085800000}"/>
    <cellStyle name="Normal 5 10 20 2 7" xfId="32902" xr:uid="{00000000-0005-0000-0000-000086800000}"/>
    <cellStyle name="Normal 5 10 20 2 8" xfId="32903" xr:uid="{00000000-0005-0000-0000-000087800000}"/>
    <cellStyle name="Normal 5 10 20 2 9" xfId="32904" xr:uid="{00000000-0005-0000-0000-000088800000}"/>
    <cellStyle name="Normal 5 10 20 3" xfId="32905" xr:uid="{00000000-0005-0000-0000-000089800000}"/>
    <cellStyle name="Normal 5 10 20 3 10" xfId="32906" xr:uid="{00000000-0005-0000-0000-00008A800000}"/>
    <cellStyle name="Normal 5 10 20 3 2" xfId="32907" xr:uid="{00000000-0005-0000-0000-00008B800000}"/>
    <cellStyle name="Normal 5 10 20 3 3" xfId="32908" xr:uid="{00000000-0005-0000-0000-00008C800000}"/>
    <cellStyle name="Normal 5 10 20 3 4" xfId="32909" xr:uid="{00000000-0005-0000-0000-00008D800000}"/>
    <cellStyle name="Normal 5 10 20 3 5" xfId="32910" xr:uid="{00000000-0005-0000-0000-00008E800000}"/>
    <cellStyle name="Normal 5 10 20 3 6" xfId="32911" xr:uid="{00000000-0005-0000-0000-00008F800000}"/>
    <cellStyle name="Normal 5 10 20 3 7" xfId="32912" xr:uid="{00000000-0005-0000-0000-000090800000}"/>
    <cellStyle name="Normal 5 10 20 3 8" xfId="32913" xr:uid="{00000000-0005-0000-0000-000091800000}"/>
    <cellStyle name="Normal 5 10 20 3 9" xfId="32914" xr:uid="{00000000-0005-0000-0000-000092800000}"/>
    <cellStyle name="Normal 5 10 20 4" xfId="32915" xr:uid="{00000000-0005-0000-0000-000093800000}"/>
    <cellStyle name="Normal 5 10 20 4 10" xfId="32916" xr:uid="{00000000-0005-0000-0000-000094800000}"/>
    <cellStyle name="Normal 5 10 20 4 2" xfId="32917" xr:uid="{00000000-0005-0000-0000-000095800000}"/>
    <cellStyle name="Normal 5 10 20 4 3" xfId="32918" xr:uid="{00000000-0005-0000-0000-000096800000}"/>
    <cellStyle name="Normal 5 10 20 4 4" xfId="32919" xr:uid="{00000000-0005-0000-0000-000097800000}"/>
    <cellStyle name="Normal 5 10 20 4 5" xfId="32920" xr:uid="{00000000-0005-0000-0000-000098800000}"/>
    <cellStyle name="Normal 5 10 20 4 6" xfId="32921" xr:uid="{00000000-0005-0000-0000-000099800000}"/>
    <cellStyle name="Normal 5 10 20 4 7" xfId="32922" xr:uid="{00000000-0005-0000-0000-00009A800000}"/>
    <cellStyle name="Normal 5 10 20 4 8" xfId="32923" xr:uid="{00000000-0005-0000-0000-00009B800000}"/>
    <cellStyle name="Normal 5 10 20 4 9" xfId="32924" xr:uid="{00000000-0005-0000-0000-00009C800000}"/>
    <cellStyle name="Normal 5 10 20 5" xfId="32925" xr:uid="{00000000-0005-0000-0000-00009D800000}"/>
    <cellStyle name="Normal 5 10 20 5 10" xfId="32926" xr:uid="{00000000-0005-0000-0000-00009E800000}"/>
    <cellStyle name="Normal 5 10 20 5 2" xfId="32927" xr:uid="{00000000-0005-0000-0000-00009F800000}"/>
    <cellStyle name="Normal 5 10 20 5 3" xfId="32928" xr:uid="{00000000-0005-0000-0000-0000A0800000}"/>
    <cellStyle name="Normal 5 10 20 5 4" xfId="32929" xr:uid="{00000000-0005-0000-0000-0000A1800000}"/>
    <cellStyle name="Normal 5 10 20 5 5" xfId="32930" xr:uid="{00000000-0005-0000-0000-0000A2800000}"/>
    <cellStyle name="Normal 5 10 20 5 6" xfId="32931" xr:uid="{00000000-0005-0000-0000-0000A3800000}"/>
    <cellStyle name="Normal 5 10 20 5 7" xfId="32932" xr:uid="{00000000-0005-0000-0000-0000A4800000}"/>
    <cellStyle name="Normal 5 10 20 5 8" xfId="32933" xr:uid="{00000000-0005-0000-0000-0000A5800000}"/>
    <cellStyle name="Normal 5 10 20 5 9" xfId="32934" xr:uid="{00000000-0005-0000-0000-0000A6800000}"/>
    <cellStyle name="Normal 5 10 20 6" xfId="32935" xr:uid="{00000000-0005-0000-0000-0000A7800000}"/>
    <cellStyle name="Normal 5 10 20 7" xfId="32936" xr:uid="{00000000-0005-0000-0000-0000A8800000}"/>
    <cellStyle name="Normal 5 10 20 8" xfId="32937" xr:uid="{00000000-0005-0000-0000-0000A9800000}"/>
    <cellStyle name="Normal 5 10 20 9" xfId="32938" xr:uid="{00000000-0005-0000-0000-0000AA800000}"/>
    <cellStyle name="Normal 5 10 21" xfId="32939" xr:uid="{00000000-0005-0000-0000-0000AB800000}"/>
    <cellStyle name="Normal 5 10 21 10" xfId="32940" xr:uid="{00000000-0005-0000-0000-0000AC800000}"/>
    <cellStyle name="Normal 5 10 21 11" xfId="32941" xr:uid="{00000000-0005-0000-0000-0000AD800000}"/>
    <cellStyle name="Normal 5 10 21 12" xfId="32942" xr:uid="{00000000-0005-0000-0000-0000AE800000}"/>
    <cellStyle name="Normal 5 10 21 13" xfId="32943" xr:uid="{00000000-0005-0000-0000-0000AF800000}"/>
    <cellStyle name="Normal 5 10 21 14" xfId="32944" xr:uid="{00000000-0005-0000-0000-0000B0800000}"/>
    <cellStyle name="Normal 5 10 21 2" xfId="32945" xr:uid="{00000000-0005-0000-0000-0000B1800000}"/>
    <cellStyle name="Normal 5 10 21 2 10" xfId="32946" xr:uid="{00000000-0005-0000-0000-0000B2800000}"/>
    <cellStyle name="Normal 5 10 21 2 2" xfId="32947" xr:uid="{00000000-0005-0000-0000-0000B3800000}"/>
    <cellStyle name="Normal 5 10 21 2 3" xfId="32948" xr:uid="{00000000-0005-0000-0000-0000B4800000}"/>
    <cellStyle name="Normal 5 10 21 2 4" xfId="32949" xr:uid="{00000000-0005-0000-0000-0000B5800000}"/>
    <cellStyle name="Normal 5 10 21 2 5" xfId="32950" xr:uid="{00000000-0005-0000-0000-0000B6800000}"/>
    <cellStyle name="Normal 5 10 21 2 6" xfId="32951" xr:uid="{00000000-0005-0000-0000-0000B7800000}"/>
    <cellStyle name="Normal 5 10 21 2 7" xfId="32952" xr:uid="{00000000-0005-0000-0000-0000B8800000}"/>
    <cellStyle name="Normal 5 10 21 2 8" xfId="32953" xr:uid="{00000000-0005-0000-0000-0000B9800000}"/>
    <cellStyle name="Normal 5 10 21 2 9" xfId="32954" xr:uid="{00000000-0005-0000-0000-0000BA800000}"/>
    <cellStyle name="Normal 5 10 21 3" xfId="32955" xr:uid="{00000000-0005-0000-0000-0000BB800000}"/>
    <cellStyle name="Normal 5 10 21 3 10" xfId="32956" xr:uid="{00000000-0005-0000-0000-0000BC800000}"/>
    <cellStyle name="Normal 5 10 21 3 2" xfId="32957" xr:uid="{00000000-0005-0000-0000-0000BD800000}"/>
    <cellStyle name="Normal 5 10 21 3 3" xfId="32958" xr:uid="{00000000-0005-0000-0000-0000BE800000}"/>
    <cellStyle name="Normal 5 10 21 3 4" xfId="32959" xr:uid="{00000000-0005-0000-0000-0000BF800000}"/>
    <cellStyle name="Normal 5 10 21 3 5" xfId="32960" xr:uid="{00000000-0005-0000-0000-0000C0800000}"/>
    <cellStyle name="Normal 5 10 21 3 6" xfId="32961" xr:uid="{00000000-0005-0000-0000-0000C1800000}"/>
    <cellStyle name="Normal 5 10 21 3 7" xfId="32962" xr:uid="{00000000-0005-0000-0000-0000C2800000}"/>
    <cellStyle name="Normal 5 10 21 3 8" xfId="32963" xr:uid="{00000000-0005-0000-0000-0000C3800000}"/>
    <cellStyle name="Normal 5 10 21 3 9" xfId="32964" xr:uid="{00000000-0005-0000-0000-0000C4800000}"/>
    <cellStyle name="Normal 5 10 21 4" xfId="32965" xr:uid="{00000000-0005-0000-0000-0000C5800000}"/>
    <cellStyle name="Normal 5 10 21 4 10" xfId="32966" xr:uid="{00000000-0005-0000-0000-0000C6800000}"/>
    <cellStyle name="Normal 5 10 21 4 2" xfId="32967" xr:uid="{00000000-0005-0000-0000-0000C7800000}"/>
    <cellStyle name="Normal 5 10 21 4 3" xfId="32968" xr:uid="{00000000-0005-0000-0000-0000C8800000}"/>
    <cellStyle name="Normal 5 10 21 4 4" xfId="32969" xr:uid="{00000000-0005-0000-0000-0000C9800000}"/>
    <cellStyle name="Normal 5 10 21 4 5" xfId="32970" xr:uid="{00000000-0005-0000-0000-0000CA800000}"/>
    <cellStyle name="Normal 5 10 21 4 6" xfId="32971" xr:uid="{00000000-0005-0000-0000-0000CB800000}"/>
    <cellStyle name="Normal 5 10 21 4 7" xfId="32972" xr:uid="{00000000-0005-0000-0000-0000CC800000}"/>
    <cellStyle name="Normal 5 10 21 4 8" xfId="32973" xr:uid="{00000000-0005-0000-0000-0000CD800000}"/>
    <cellStyle name="Normal 5 10 21 4 9" xfId="32974" xr:uid="{00000000-0005-0000-0000-0000CE800000}"/>
    <cellStyle name="Normal 5 10 21 5" xfId="32975" xr:uid="{00000000-0005-0000-0000-0000CF800000}"/>
    <cellStyle name="Normal 5 10 21 5 10" xfId="32976" xr:uid="{00000000-0005-0000-0000-0000D0800000}"/>
    <cellStyle name="Normal 5 10 21 5 2" xfId="32977" xr:uid="{00000000-0005-0000-0000-0000D1800000}"/>
    <cellStyle name="Normal 5 10 21 5 3" xfId="32978" xr:uid="{00000000-0005-0000-0000-0000D2800000}"/>
    <cellStyle name="Normal 5 10 21 5 4" xfId="32979" xr:uid="{00000000-0005-0000-0000-0000D3800000}"/>
    <cellStyle name="Normal 5 10 21 5 5" xfId="32980" xr:uid="{00000000-0005-0000-0000-0000D4800000}"/>
    <cellStyle name="Normal 5 10 21 5 6" xfId="32981" xr:uid="{00000000-0005-0000-0000-0000D5800000}"/>
    <cellStyle name="Normal 5 10 21 5 7" xfId="32982" xr:uid="{00000000-0005-0000-0000-0000D6800000}"/>
    <cellStyle name="Normal 5 10 21 5 8" xfId="32983" xr:uid="{00000000-0005-0000-0000-0000D7800000}"/>
    <cellStyle name="Normal 5 10 21 5 9" xfId="32984" xr:uid="{00000000-0005-0000-0000-0000D8800000}"/>
    <cellStyle name="Normal 5 10 21 6" xfId="32985" xr:uid="{00000000-0005-0000-0000-0000D9800000}"/>
    <cellStyle name="Normal 5 10 21 7" xfId="32986" xr:uid="{00000000-0005-0000-0000-0000DA800000}"/>
    <cellStyle name="Normal 5 10 21 8" xfId="32987" xr:uid="{00000000-0005-0000-0000-0000DB800000}"/>
    <cellStyle name="Normal 5 10 21 9" xfId="32988" xr:uid="{00000000-0005-0000-0000-0000DC800000}"/>
    <cellStyle name="Normal 5 10 22" xfId="32989" xr:uid="{00000000-0005-0000-0000-0000DD800000}"/>
    <cellStyle name="Normal 5 10 22 10" xfId="32990" xr:uid="{00000000-0005-0000-0000-0000DE800000}"/>
    <cellStyle name="Normal 5 10 22 11" xfId="32991" xr:uid="{00000000-0005-0000-0000-0000DF800000}"/>
    <cellStyle name="Normal 5 10 22 12" xfId="32992" xr:uid="{00000000-0005-0000-0000-0000E0800000}"/>
    <cellStyle name="Normal 5 10 22 13" xfId="32993" xr:uid="{00000000-0005-0000-0000-0000E1800000}"/>
    <cellStyle name="Normal 5 10 22 14" xfId="32994" xr:uid="{00000000-0005-0000-0000-0000E2800000}"/>
    <cellStyle name="Normal 5 10 22 2" xfId="32995" xr:uid="{00000000-0005-0000-0000-0000E3800000}"/>
    <cellStyle name="Normal 5 10 22 2 10" xfId="32996" xr:uid="{00000000-0005-0000-0000-0000E4800000}"/>
    <cellStyle name="Normal 5 10 22 2 2" xfId="32997" xr:uid="{00000000-0005-0000-0000-0000E5800000}"/>
    <cellStyle name="Normal 5 10 22 2 3" xfId="32998" xr:uid="{00000000-0005-0000-0000-0000E6800000}"/>
    <cellStyle name="Normal 5 10 22 2 4" xfId="32999" xr:uid="{00000000-0005-0000-0000-0000E7800000}"/>
    <cellStyle name="Normal 5 10 22 2 5" xfId="33000" xr:uid="{00000000-0005-0000-0000-0000E8800000}"/>
    <cellStyle name="Normal 5 10 22 2 6" xfId="33001" xr:uid="{00000000-0005-0000-0000-0000E9800000}"/>
    <cellStyle name="Normal 5 10 22 2 7" xfId="33002" xr:uid="{00000000-0005-0000-0000-0000EA800000}"/>
    <cellStyle name="Normal 5 10 22 2 8" xfId="33003" xr:uid="{00000000-0005-0000-0000-0000EB800000}"/>
    <cellStyle name="Normal 5 10 22 2 9" xfId="33004" xr:uid="{00000000-0005-0000-0000-0000EC800000}"/>
    <cellStyle name="Normal 5 10 22 3" xfId="33005" xr:uid="{00000000-0005-0000-0000-0000ED800000}"/>
    <cellStyle name="Normal 5 10 22 3 10" xfId="33006" xr:uid="{00000000-0005-0000-0000-0000EE800000}"/>
    <cellStyle name="Normal 5 10 22 3 2" xfId="33007" xr:uid="{00000000-0005-0000-0000-0000EF800000}"/>
    <cellStyle name="Normal 5 10 22 3 3" xfId="33008" xr:uid="{00000000-0005-0000-0000-0000F0800000}"/>
    <cellStyle name="Normal 5 10 22 3 4" xfId="33009" xr:uid="{00000000-0005-0000-0000-0000F1800000}"/>
    <cellStyle name="Normal 5 10 22 3 5" xfId="33010" xr:uid="{00000000-0005-0000-0000-0000F2800000}"/>
    <cellStyle name="Normal 5 10 22 3 6" xfId="33011" xr:uid="{00000000-0005-0000-0000-0000F3800000}"/>
    <cellStyle name="Normal 5 10 22 3 7" xfId="33012" xr:uid="{00000000-0005-0000-0000-0000F4800000}"/>
    <cellStyle name="Normal 5 10 22 3 8" xfId="33013" xr:uid="{00000000-0005-0000-0000-0000F5800000}"/>
    <cellStyle name="Normal 5 10 22 3 9" xfId="33014" xr:uid="{00000000-0005-0000-0000-0000F6800000}"/>
    <cellStyle name="Normal 5 10 22 4" xfId="33015" xr:uid="{00000000-0005-0000-0000-0000F7800000}"/>
    <cellStyle name="Normal 5 10 22 4 10" xfId="33016" xr:uid="{00000000-0005-0000-0000-0000F8800000}"/>
    <cellStyle name="Normal 5 10 22 4 2" xfId="33017" xr:uid="{00000000-0005-0000-0000-0000F9800000}"/>
    <cellStyle name="Normal 5 10 22 4 3" xfId="33018" xr:uid="{00000000-0005-0000-0000-0000FA800000}"/>
    <cellStyle name="Normal 5 10 22 4 4" xfId="33019" xr:uid="{00000000-0005-0000-0000-0000FB800000}"/>
    <cellStyle name="Normal 5 10 22 4 5" xfId="33020" xr:uid="{00000000-0005-0000-0000-0000FC800000}"/>
    <cellStyle name="Normal 5 10 22 4 6" xfId="33021" xr:uid="{00000000-0005-0000-0000-0000FD800000}"/>
    <cellStyle name="Normal 5 10 22 4 7" xfId="33022" xr:uid="{00000000-0005-0000-0000-0000FE800000}"/>
    <cellStyle name="Normal 5 10 22 4 8" xfId="33023" xr:uid="{00000000-0005-0000-0000-0000FF800000}"/>
    <cellStyle name="Normal 5 10 22 4 9" xfId="33024" xr:uid="{00000000-0005-0000-0000-000000810000}"/>
    <cellStyle name="Normal 5 10 22 5" xfId="33025" xr:uid="{00000000-0005-0000-0000-000001810000}"/>
    <cellStyle name="Normal 5 10 22 5 10" xfId="33026" xr:uid="{00000000-0005-0000-0000-000002810000}"/>
    <cellStyle name="Normal 5 10 22 5 2" xfId="33027" xr:uid="{00000000-0005-0000-0000-000003810000}"/>
    <cellStyle name="Normal 5 10 22 5 3" xfId="33028" xr:uid="{00000000-0005-0000-0000-000004810000}"/>
    <cellStyle name="Normal 5 10 22 5 4" xfId="33029" xr:uid="{00000000-0005-0000-0000-000005810000}"/>
    <cellStyle name="Normal 5 10 22 5 5" xfId="33030" xr:uid="{00000000-0005-0000-0000-000006810000}"/>
    <cellStyle name="Normal 5 10 22 5 6" xfId="33031" xr:uid="{00000000-0005-0000-0000-000007810000}"/>
    <cellStyle name="Normal 5 10 22 5 7" xfId="33032" xr:uid="{00000000-0005-0000-0000-000008810000}"/>
    <cellStyle name="Normal 5 10 22 5 8" xfId="33033" xr:uid="{00000000-0005-0000-0000-000009810000}"/>
    <cellStyle name="Normal 5 10 22 5 9" xfId="33034" xr:uid="{00000000-0005-0000-0000-00000A810000}"/>
    <cellStyle name="Normal 5 10 22 6" xfId="33035" xr:uid="{00000000-0005-0000-0000-00000B810000}"/>
    <cellStyle name="Normal 5 10 22 7" xfId="33036" xr:uid="{00000000-0005-0000-0000-00000C810000}"/>
    <cellStyle name="Normal 5 10 22 8" xfId="33037" xr:uid="{00000000-0005-0000-0000-00000D810000}"/>
    <cellStyle name="Normal 5 10 22 9" xfId="33038" xr:uid="{00000000-0005-0000-0000-00000E810000}"/>
    <cellStyle name="Normal 5 10 23" xfId="33039" xr:uid="{00000000-0005-0000-0000-00000F810000}"/>
    <cellStyle name="Normal 5 10 23 10" xfId="33040" xr:uid="{00000000-0005-0000-0000-000010810000}"/>
    <cellStyle name="Normal 5 10 23 11" xfId="33041" xr:uid="{00000000-0005-0000-0000-000011810000}"/>
    <cellStyle name="Normal 5 10 23 12" xfId="33042" xr:uid="{00000000-0005-0000-0000-000012810000}"/>
    <cellStyle name="Normal 5 10 23 13" xfId="33043" xr:uid="{00000000-0005-0000-0000-000013810000}"/>
    <cellStyle name="Normal 5 10 23 14" xfId="33044" xr:uid="{00000000-0005-0000-0000-000014810000}"/>
    <cellStyle name="Normal 5 10 23 2" xfId="33045" xr:uid="{00000000-0005-0000-0000-000015810000}"/>
    <cellStyle name="Normal 5 10 23 2 10" xfId="33046" xr:uid="{00000000-0005-0000-0000-000016810000}"/>
    <cellStyle name="Normal 5 10 23 2 2" xfId="33047" xr:uid="{00000000-0005-0000-0000-000017810000}"/>
    <cellStyle name="Normal 5 10 23 2 3" xfId="33048" xr:uid="{00000000-0005-0000-0000-000018810000}"/>
    <cellStyle name="Normal 5 10 23 2 4" xfId="33049" xr:uid="{00000000-0005-0000-0000-000019810000}"/>
    <cellStyle name="Normal 5 10 23 2 5" xfId="33050" xr:uid="{00000000-0005-0000-0000-00001A810000}"/>
    <cellStyle name="Normal 5 10 23 2 6" xfId="33051" xr:uid="{00000000-0005-0000-0000-00001B810000}"/>
    <cellStyle name="Normal 5 10 23 2 7" xfId="33052" xr:uid="{00000000-0005-0000-0000-00001C810000}"/>
    <cellStyle name="Normal 5 10 23 2 8" xfId="33053" xr:uid="{00000000-0005-0000-0000-00001D810000}"/>
    <cellStyle name="Normal 5 10 23 2 9" xfId="33054" xr:uid="{00000000-0005-0000-0000-00001E810000}"/>
    <cellStyle name="Normal 5 10 23 3" xfId="33055" xr:uid="{00000000-0005-0000-0000-00001F810000}"/>
    <cellStyle name="Normal 5 10 23 3 10" xfId="33056" xr:uid="{00000000-0005-0000-0000-000020810000}"/>
    <cellStyle name="Normal 5 10 23 3 2" xfId="33057" xr:uid="{00000000-0005-0000-0000-000021810000}"/>
    <cellStyle name="Normal 5 10 23 3 3" xfId="33058" xr:uid="{00000000-0005-0000-0000-000022810000}"/>
    <cellStyle name="Normal 5 10 23 3 4" xfId="33059" xr:uid="{00000000-0005-0000-0000-000023810000}"/>
    <cellStyle name="Normal 5 10 23 3 5" xfId="33060" xr:uid="{00000000-0005-0000-0000-000024810000}"/>
    <cellStyle name="Normal 5 10 23 3 6" xfId="33061" xr:uid="{00000000-0005-0000-0000-000025810000}"/>
    <cellStyle name="Normal 5 10 23 3 7" xfId="33062" xr:uid="{00000000-0005-0000-0000-000026810000}"/>
    <cellStyle name="Normal 5 10 23 3 8" xfId="33063" xr:uid="{00000000-0005-0000-0000-000027810000}"/>
    <cellStyle name="Normal 5 10 23 3 9" xfId="33064" xr:uid="{00000000-0005-0000-0000-000028810000}"/>
    <cellStyle name="Normal 5 10 23 4" xfId="33065" xr:uid="{00000000-0005-0000-0000-000029810000}"/>
    <cellStyle name="Normal 5 10 23 4 10" xfId="33066" xr:uid="{00000000-0005-0000-0000-00002A810000}"/>
    <cellStyle name="Normal 5 10 23 4 2" xfId="33067" xr:uid="{00000000-0005-0000-0000-00002B810000}"/>
    <cellStyle name="Normal 5 10 23 4 3" xfId="33068" xr:uid="{00000000-0005-0000-0000-00002C810000}"/>
    <cellStyle name="Normal 5 10 23 4 4" xfId="33069" xr:uid="{00000000-0005-0000-0000-00002D810000}"/>
    <cellStyle name="Normal 5 10 23 4 5" xfId="33070" xr:uid="{00000000-0005-0000-0000-00002E810000}"/>
    <cellStyle name="Normal 5 10 23 4 6" xfId="33071" xr:uid="{00000000-0005-0000-0000-00002F810000}"/>
    <cellStyle name="Normal 5 10 23 4 7" xfId="33072" xr:uid="{00000000-0005-0000-0000-000030810000}"/>
    <cellStyle name="Normal 5 10 23 4 8" xfId="33073" xr:uid="{00000000-0005-0000-0000-000031810000}"/>
    <cellStyle name="Normal 5 10 23 4 9" xfId="33074" xr:uid="{00000000-0005-0000-0000-000032810000}"/>
    <cellStyle name="Normal 5 10 23 5" xfId="33075" xr:uid="{00000000-0005-0000-0000-000033810000}"/>
    <cellStyle name="Normal 5 10 23 5 10" xfId="33076" xr:uid="{00000000-0005-0000-0000-000034810000}"/>
    <cellStyle name="Normal 5 10 23 5 2" xfId="33077" xr:uid="{00000000-0005-0000-0000-000035810000}"/>
    <cellStyle name="Normal 5 10 23 5 3" xfId="33078" xr:uid="{00000000-0005-0000-0000-000036810000}"/>
    <cellStyle name="Normal 5 10 23 5 4" xfId="33079" xr:uid="{00000000-0005-0000-0000-000037810000}"/>
    <cellStyle name="Normal 5 10 23 5 5" xfId="33080" xr:uid="{00000000-0005-0000-0000-000038810000}"/>
    <cellStyle name="Normal 5 10 23 5 6" xfId="33081" xr:uid="{00000000-0005-0000-0000-000039810000}"/>
    <cellStyle name="Normal 5 10 23 5 7" xfId="33082" xr:uid="{00000000-0005-0000-0000-00003A810000}"/>
    <cellStyle name="Normal 5 10 23 5 8" xfId="33083" xr:uid="{00000000-0005-0000-0000-00003B810000}"/>
    <cellStyle name="Normal 5 10 23 5 9" xfId="33084" xr:uid="{00000000-0005-0000-0000-00003C810000}"/>
    <cellStyle name="Normal 5 10 23 6" xfId="33085" xr:uid="{00000000-0005-0000-0000-00003D810000}"/>
    <cellStyle name="Normal 5 10 23 7" xfId="33086" xr:uid="{00000000-0005-0000-0000-00003E810000}"/>
    <cellStyle name="Normal 5 10 23 8" xfId="33087" xr:uid="{00000000-0005-0000-0000-00003F810000}"/>
    <cellStyle name="Normal 5 10 23 9" xfId="33088" xr:uid="{00000000-0005-0000-0000-000040810000}"/>
    <cellStyle name="Normal 5 10 24" xfId="33089" xr:uid="{00000000-0005-0000-0000-000041810000}"/>
    <cellStyle name="Normal 5 10 24 10" xfId="33090" xr:uid="{00000000-0005-0000-0000-000042810000}"/>
    <cellStyle name="Normal 5 10 24 11" xfId="33091" xr:uid="{00000000-0005-0000-0000-000043810000}"/>
    <cellStyle name="Normal 5 10 24 12" xfId="33092" xr:uid="{00000000-0005-0000-0000-000044810000}"/>
    <cellStyle name="Normal 5 10 24 13" xfId="33093" xr:uid="{00000000-0005-0000-0000-000045810000}"/>
    <cellStyle name="Normal 5 10 24 14" xfId="33094" xr:uid="{00000000-0005-0000-0000-000046810000}"/>
    <cellStyle name="Normal 5 10 24 2" xfId="33095" xr:uid="{00000000-0005-0000-0000-000047810000}"/>
    <cellStyle name="Normal 5 10 24 2 10" xfId="33096" xr:uid="{00000000-0005-0000-0000-000048810000}"/>
    <cellStyle name="Normal 5 10 24 2 2" xfId="33097" xr:uid="{00000000-0005-0000-0000-000049810000}"/>
    <cellStyle name="Normal 5 10 24 2 3" xfId="33098" xr:uid="{00000000-0005-0000-0000-00004A810000}"/>
    <cellStyle name="Normal 5 10 24 2 4" xfId="33099" xr:uid="{00000000-0005-0000-0000-00004B810000}"/>
    <cellStyle name="Normal 5 10 24 2 5" xfId="33100" xr:uid="{00000000-0005-0000-0000-00004C810000}"/>
    <cellStyle name="Normal 5 10 24 2 6" xfId="33101" xr:uid="{00000000-0005-0000-0000-00004D810000}"/>
    <cellStyle name="Normal 5 10 24 2 7" xfId="33102" xr:uid="{00000000-0005-0000-0000-00004E810000}"/>
    <cellStyle name="Normal 5 10 24 2 8" xfId="33103" xr:uid="{00000000-0005-0000-0000-00004F810000}"/>
    <cellStyle name="Normal 5 10 24 2 9" xfId="33104" xr:uid="{00000000-0005-0000-0000-000050810000}"/>
    <cellStyle name="Normal 5 10 24 3" xfId="33105" xr:uid="{00000000-0005-0000-0000-000051810000}"/>
    <cellStyle name="Normal 5 10 24 3 10" xfId="33106" xr:uid="{00000000-0005-0000-0000-000052810000}"/>
    <cellStyle name="Normal 5 10 24 3 2" xfId="33107" xr:uid="{00000000-0005-0000-0000-000053810000}"/>
    <cellStyle name="Normal 5 10 24 3 3" xfId="33108" xr:uid="{00000000-0005-0000-0000-000054810000}"/>
    <cellStyle name="Normal 5 10 24 3 4" xfId="33109" xr:uid="{00000000-0005-0000-0000-000055810000}"/>
    <cellStyle name="Normal 5 10 24 3 5" xfId="33110" xr:uid="{00000000-0005-0000-0000-000056810000}"/>
    <cellStyle name="Normal 5 10 24 3 6" xfId="33111" xr:uid="{00000000-0005-0000-0000-000057810000}"/>
    <cellStyle name="Normal 5 10 24 3 7" xfId="33112" xr:uid="{00000000-0005-0000-0000-000058810000}"/>
    <cellStyle name="Normal 5 10 24 3 8" xfId="33113" xr:uid="{00000000-0005-0000-0000-000059810000}"/>
    <cellStyle name="Normal 5 10 24 3 9" xfId="33114" xr:uid="{00000000-0005-0000-0000-00005A810000}"/>
    <cellStyle name="Normal 5 10 24 4" xfId="33115" xr:uid="{00000000-0005-0000-0000-00005B810000}"/>
    <cellStyle name="Normal 5 10 24 4 10" xfId="33116" xr:uid="{00000000-0005-0000-0000-00005C810000}"/>
    <cellStyle name="Normal 5 10 24 4 2" xfId="33117" xr:uid="{00000000-0005-0000-0000-00005D810000}"/>
    <cellStyle name="Normal 5 10 24 4 3" xfId="33118" xr:uid="{00000000-0005-0000-0000-00005E810000}"/>
    <cellStyle name="Normal 5 10 24 4 4" xfId="33119" xr:uid="{00000000-0005-0000-0000-00005F810000}"/>
    <cellStyle name="Normal 5 10 24 4 5" xfId="33120" xr:uid="{00000000-0005-0000-0000-000060810000}"/>
    <cellStyle name="Normal 5 10 24 4 6" xfId="33121" xr:uid="{00000000-0005-0000-0000-000061810000}"/>
    <cellStyle name="Normal 5 10 24 4 7" xfId="33122" xr:uid="{00000000-0005-0000-0000-000062810000}"/>
    <cellStyle name="Normal 5 10 24 4 8" xfId="33123" xr:uid="{00000000-0005-0000-0000-000063810000}"/>
    <cellStyle name="Normal 5 10 24 4 9" xfId="33124" xr:uid="{00000000-0005-0000-0000-000064810000}"/>
    <cellStyle name="Normal 5 10 24 5" xfId="33125" xr:uid="{00000000-0005-0000-0000-000065810000}"/>
    <cellStyle name="Normal 5 10 24 5 10" xfId="33126" xr:uid="{00000000-0005-0000-0000-000066810000}"/>
    <cellStyle name="Normal 5 10 24 5 2" xfId="33127" xr:uid="{00000000-0005-0000-0000-000067810000}"/>
    <cellStyle name="Normal 5 10 24 5 3" xfId="33128" xr:uid="{00000000-0005-0000-0000-000068810000}"/>
    <cellStyle name="Normal 5 10 24 5 4" xfId="33129" xr:uid="{00000000-0005-0000-0000-000069810000}"/>
    <cellStyle name="Normal 5 10 24 5 5" xfId="33130" xr:uid="{00000000-0005-0000-0000-00006A810000}"/>
    <cellStyle name="Normal 5 10 24 5 6" xfId="33131" xr:uid="{00000000-0005-0000-0000-00006B810000}"/>
    <cellStyle name="Normal 5 10 24 5 7" xfId="33132" xr:uid="{00000000-0005-0000-0000-00006C810000}"/>
    <cellStyle name="Normal 5 10 24 5 8" xfId="33133" xr:uid="{00000000-0005-0000-0000-00006D810000}"/>
    <cellStyle name="Normal 5 10 24 5 9" xfId="33134" xr:uid="{00000000-0005-0000-0000-00006E810000}"/>
    <cellStyle name="Normal 5 10 24 6" xfId="33135" xr:uid="{00000000-0005-0000-0000-00006F810000}"/>
    <cellStyle name="Normal 5 10 24 7" xfId="33136" xr:uid="{00000000-0005-0000-0000-000070810000}"/>
    <cellStyle name="Normal 5 10 24 8" xfId="33137" xr:uid="{00000000-0005-0000-0000-000071810000}"/>
    <cellStyle name="Normal 5 10 24 9" xfId="33138" xr:uid="{00000000-0005-0000-0000-000072810000}"/>
    <cellStyle name="Normal 5 10 25" xfId="33139" xr:uid="{00000000-0005-0000-0000-000073810000}"/>
    <cellStyle name="Normal 5 10 25 10" xfId="33140" xr:uid="{00000000-0005-0000-0000-000074810000}"/>
    <cellStyle name="Normal 5 10 25 11" xfId="33141" xr:uid="{00000000-0005-0000-0000-000075810000}"/>
    <cellStyle name="Normal 5 10 25 12" xfId="33142" xr:uid="{00000000-0005-0000-0000-000076810000}"/>
    <cellStyle name="Normal 5 10 25 13" xfId="33143" xr:uid="{00000000-0005-0000-0000-000077810000}"/>
    <cellStyle name="Normal 5 10 25 14" xfId="33144" xr:uid="{00000000-0005-0000-0000-000078810000}"/>
    <cellStyle name="Normal 5 10 25 2" xfId="33145" xr:uid="{00000000-0005-0000-0000-000079810000}"/>
    <cellStyle name="Normal 5 10 25 2 10" xfId="33146" xr:uid="{00000000-0005-0000-0000-00007A810000}"/>
    <cellStyle name="Normal 5 10 25 2 2" xfId="33147" xr:uid="{00000000-0005-0000-0000-00007B810000}"/>
    <cellStyle name="Normal 5 10 25 2 3" xfId="33148" xr:uid="{00000000-0005-0000-0000-00007C810000}"/>
    <cellStyle name="Normal 5 10 25 2 4" xfId="33149" xr:uid="{00000000-0005-0000-0000-00007D810000}"/>
    <cellStyle name="Normal 5 10 25 2 5" xfId="33150" xr:uid="{00000000-0005-0000-0000-00007E810000}"/>
    <cellStyle name="Normal 5 10 25 2 6" xfId="33151" xr:uid="{00000000-0005-0000-0000-00007F810000}"/>
    <cellStyle name="Normal 5 10 25 2 7" xfId="33152" xr:uid="{00000000-0005-0000-0000-000080810000}"/>
    <cellStyle name="Normal 5 10 25 2 8" xfId="33153" xr:uid="{00000000-0005-0000-0000-000081810000}"/>
    <cellStyle name="Normal 5 10 25 2 9" xfId="33154" xr:uid="{00000000-0005-0000-0000-000082810000}"/>
    <cellStyle name="Normal 5 10 25 3" xfId="33155" xr:uid="{00000000-0005-0000-0000-000083810000}"/>
    <cellStyle name="Normal 5 10 25 3 10" xfId="33156" xr:uid="{00000000-0005-0000-0000-000084810000}"/>
    <cellStyle name="Normal 5 10 25 3 2" xfId="33157" xr:uid="{00000000-0005-0000-0000-000085810000}"/>
    <cellStyle name="Normal 5 10 25 3 3" xfId="33158" xr:uid="{00000000-0005-0000-0000-000086810000}"/>
    <cellStyle name="Normal 5 10 25 3 4" xfId="33159" xr:uid="{00000000-0005-0000-0000-000087810000}"/>
    <cellStyle name="Normal 5 10 25 3 5" xfId="33160" xr:uid="{00000000-0005-0000-0000-000088810000}"/>
    <cellStyle name="Normal 5 10 25 3 6" xfId="33161" xr:uid="{00000000-0005-0000-0000-000089810000}"/>
    <cellStyle name="Normal 5 10 25 3 7" xfId="33162" xr:uid="{00000000-0005-0000-0000-00008A810000}"/>
    <cellStyle name="Normal 5 10 25 3 8" xfId="33163" xr:uid="{00000000-0005-0000-0000-00008B810000}"/>
    <cellStyle name="Normal 5 10 25 3 9" xfId="33164" xr:uid="{00000000-0005-0000-0000-00008C810000}"/>
    <cellStyle name="Normal 5 10 25 4" xfId="33165" xr:uid="{00000000-0005-0000-0000-00008D810000}"/>
    <cellStyle name="Normal 5 10 25 4 10" xfId="33166" xr:uid="{00000000-0005-0000-0000-00008E810000}"/>
    <cellStyle name="Normal 5 10 25 4 2" xfId="33167" xr:uid="{00000000-0005-0000-0000-00008F810000}"/>
    <cellStyle name="Normal 5 10 25 4 3" xfId="33168" xr:uid="{00000000-0005-0000-0000-000090810000}"/>
    <cellStyle name="Normal 5 10 25 4 4" xfId="33169" xr:uid="{00000000-0005-0000-0000-000091810000}"/>
    <cellStyle name="Normal 5 10 25 4 5" xfId="33170" xr:uid="{00000000-0005-0000-0000-000092810000}"/>
    <cellStyle name="Normal 5 10 25 4 6" xfId="33171" xr:uid="{00000000-0005-0000-0000-000093810000}"/>
    <cellStyle name="Normal 5 10 25 4 7" xfId="33172" xr:uid="{00000000-0005-0000-0000-000094810000}"/>
    <cellStyle name="Normal 5 10 25 4 8" xfId="33173" xr:uid="{00000000-0005-0000-0000-000095810000}"/>
    <cellStyle name="Normal 5 10 25 4 9" xfId="33174" xr:uid="{00000000-0005-0000-0000-000096810000}"/>
    <cellStyle name="Normal 5 10 25 5" xfId="33175" xr:uid="{00000000-0005-0000-0000-000097810000}"/>
    <cellStyle name="Normal 5 10 25 5 10" xfId="33176" xr:uid="{00000000-0005-0000-0000-000098810000}"/>
    <cellStyle name="Normal 5 10 25 5 2" xfId="33177" xr:uid="{00000000-0005-0000-0000-000099810000}"/>
    <cellStyle name="Normal 5 10 25 5 3" xfId="33178" xr:uid="{00000000-0005-0000-0000-00009A810000}"/>
    <cellStyle name="Normal 5 10 25 5 4" xfId="33179" xr:uid="{00000000-0005-0000-0000-00009B810000}"/>
    <cellStyle name="Normal 5 10 25 5 5" xfId="33180" xr:uid="{00000000-0005-0000-0000-00009C810000}"/>
    <cellStyle name="Normal 5 10 25 5 6" xfId="33181" xr:uid="{00000000-0005-0000-0000-00009D810000}"/>
    <cellStyle name="Normal 5 10 25 5 7" xfId="33182" xr:uid="{00000000-0005-0000-0000-00009E810000}"/>
    <cellStyle name="Normal 5 10 25 5 8" xfId="33183" xr:uid="{00000000-0005-0000-0000-00009F810000}"/>
    <cellStyle name="Normal 5 10 25 5 9" xfId="33184" xr:uid="{00000000-0005-0000-0000-0000A0810000}"/>
    <cellStyle name="Normal 5 10 25 6" xfId="33185" xr:uid="{00000000-0005-0000-0000-0000A1810000}"/>
    <cellStyle name="Normal 5 10 25 7" xfId="33186" xr:uid="{00000000-0005-0000-0000-0000A2810000}"/>
    <cellStyle name="Normal 5 10 25 8" xfId="33187" xr:uid="{00000000-0005-0000-0000-0000A3810000}"/>
    <cellStyle name="Normal 5 10 25 9" xfId="33188" xr:uid="{00000000-0005-0000-0000-0000A4810000}"/>
    <cellStyle name="Normal 5 10 26" xfId="33189" xr:uid="{00000000-0005-0000-0000-0000A5810000}"/>
    <cellStyle name="Normal 5 10 26 10" xfId="33190" xr:uid="{00000000-0005-0000-0000-0000A6810000}"/>
    <cellStyle name="Normal 5 10 26 11" xfId="33191" xr:uid="{00000000-0005-0000-0000-0000A7810000}"/>
    <cellStyle name="Normal 5 10 26 12" xfId="33192" xr:uid="{00000000-0005-0000-0000-0000A8810000}"/>
    <cellStyle name="Normal 5 10 26 13" xfId="33193" xr:uid="{00000000-0005-0000-0000-0000A9810000}"/>
    <cellStyle name="Normal 5 10 26 14" xfId="33194" xr:uid="{00000000-0005-0000-0000-0000AA810000}"/>
    <cellStyle name="Normal 5 10 26 2" xfId="33195" xr:uid="{00000000-0005-0000-0000-0000AB810000}"/>
    <cellStyle name="Normal 5 10 26 2 10" xfId="33196" xr:uid="{00000000-0005-0000-0000-0000AC810000}"/>
    <cellStyle name="Normal 5 10 26 2 2" xfId="33197" xr:uid="{00000000-0005-0000-0000-0000AD810000}"/>
    <cellStyle name="Normal 5 10 26 2 3" xfId="33198" xr:uid="{00000000-0005-0000-0000-0000AE810000}"/>
    <cellStyle name="Normal 5 10 26 2 4" xfId="33199" xr:uid="{00000000-0005-0000-0000-0000AF810000}"/>
    <cellStyle name="Normal 5 10 26 2 5" xfId="33200" xr:uid="{00000000-0005-0000-0000-0000B0810000}"/>
    <cellStyle name="Normal 5 10 26 2 6" xfId="33201" xr:uid="{00000000-0005-0000-0000-0000B1810000}"/>
    <cellStyle name="Normal 5 10 26 2 7" xfId="33202" xr:uid="{00000000-0005-0000-0000-0000B2810000}"/>
    <cellStyle name="Normal 5 10 26 2 8" xfId="33203" xr:uid="{00000000-0005-0000-0000-0000B3810000}"/>
    <cellStyle name="Normal 5 10 26 2 9" xfId="33204" xr:uid="{00000000-0005-0000-0000-0000B4810000}"/>
    <cellStyle name="Normal 5 10 26 3" xfId="33205" xr:uid="{00000000-0005-0000-0000-0000B5810000}"/>
    <cellStyle name="Normal 5 10 26 3 10" xfId="33206" xr:uid="{00000000-0005-0000-0000-0000B6810000}"/>
    <cellStyle name="Normal 5 10 26 3 2" xfId="33207" xr:uid="{00000000-0005-0000-0000-0000B7810000}"/>
    <cellStyle name="Normal 5 10 26 3 3" xfId="33208" xr:uid="{00000000-0005-0000-0000-0000B8810000}"/>
    <cellStyle name="Normal 5 10 26 3 4" xfId="33209" xr:uid="{00000000-0005-0000-0000-0000B9810000}"/>
    <cellStyle name="Normal 5 10 26 3 5" xfId="33210" xr:uid="{00000000-0005-0000-0000-0000BA810000}"/>
    <cellStyle name="Normal 5 10 26 3 6" xfId="33211" xr:uid="{00000000-0005-0000-0000-0000BB810000}"/>
    <cellStyle name="Normal 5 10 26 3 7" xfId="33212" xr:uid="{00000000-0005-0000-0000-0000BC810000}"/>
    <cellStyle name="Normal 5 10 26 3 8" xfId="33213" xr:uid="{00000000-0005-0000-0000-0000BD810000}"/>
    <cellStyle name="Normal 5 10 26 3 9" xfId="33214" xr:uid="{00000000-0005-0000-0000-0000BE810000}"/>
    <cellStyle name="Normal 5 10 26 4" xfId="33215" xr:uid="{00000000-0005-0000-0000-0000BF810000}"/>
    <cellStyle name="Normal 5 10 26 4 10" xfId="33216" xr:uid="{00000000-0005-0000-0000-0000C0810000}"/>
    <cellStyle name="Normal 5 10 26 4 2" xfId="33217" xr:uid="{00000000-0005-0000-0000-0000C1810000}"/>
    <cellStyle name="Normal 5 10 26 4 3" xfId="33218" xr:uid="{00000000-0005-0000-0000-0000C2810000}"/>
    <cellStyle name="Normal 5 10 26 4 4" xfId="33219" xr:uid="{00000000-0005-0000-0000-0000C3810000}"/>
    <cellStyle name="Normal 5 10 26 4 5" xfId="33220" xr:uid="{00000000-0005-0000-0000-0000C4810000}"/>
    <cellStyle name="Normal 5 10 26 4 6" xfId="33221" xr:uid="{00000000-0005-0000-0000-0000C5810000}"/>
    <cellStyle name="Normal 5 10 26 4 7" xfId="33222" xr:uid="{00000000-0005-0000-0000-0000C6810000}"/>
    <cellStyle name="Normal 5 10 26 4 8" xfId="33223" xr:uid="{00000000-0005-0000-0000-0000C7810000}"/>
    <cellStyle name="Normal 5 10 26 4 9" xfId="33224" xr:uid="{00000000-0005-0000-0000-0000C8810000}"/>
    <cellStyle name="Normal 5 10 26 5" xfId="33225" xr:uid="{00000000-0005-0000-0000-0000C9810000}"/>
    <cellStyle name="Normal 5 10 26 5 10" xfId="33226" xr:uid="{00000000-0005-0000-0000-0000CA810000}"/>
    <cellStyle name="Normal 5 10 26 5 2" xfId="33227" xr:uid="{00000000-0005-0000-0000-0000CB810000}"/>
    <cellStyle name="Normal 5 10 26 5 3" xfId="33228" xr:uid="{00000000-0005-0000-0000-0000CC810000}"/>
    <cellStyle name="Normal 5 10 26 5 4" xfId="33229" xr:uid="{00000000-0005-0000-0000-0000CD810000}"/>
    <cellStyle name="Normal 5 10 26 5 5" xfId="33230" xr:uid="{00000000-0005-0000-0000-0000CE810000}"/>
    <cellStyle name="Normal 5 10 26 5 6" xfId="33231" xr:uid="{00000000-0005-0000-0000-0000CF810000}"/>
    <cellStyle name="Normal 5 10 26 5 7" xfId="33232" xr:uid="{00000000-0005-0000-0000-0000D0810000}"/>
    <cellStyle name="Normal 5 10 26 5 8" xfId="33233" xr:uid="{00000000-0005-0000-0000-0000D1810000}"/>
    <cellStyle name="Normal 5 10 26 5 9" xfId="33234" xr:uid="{00000000-0005-0000-0000-0000D2810000}"/>
    <cellStyle name="Normal 5 10 26 6" xfId="33235" xr:uid="{00000000-0005-0000-0000-0000D3810000}"/>
    <cellStyle name="Normal 5 10 26 7" xfId="33236" xr:uid="{00000000-0005-0000-0000-0000D4810000}"/>
    <cellStyle name="Normal 5 10 26 8" xfId="33237" xr:uid="{00000000-0005-0000-0000-0000D5810000}"/>
    <cellStyle name="Normal 5 10 26 9" xfId="33238" xr:uid="{00000000-0005-0000-0000-0000D6810000}"/>
    <cellStyle name="Normal 5 10 27" xfId="33239" xr:uid="{00000000-0005-0000-0000-0000D7810000}"/>
    <cellStyle name="Normal 5 10 27 10" xfId="33240" xr:uid="{00000000-0005-0000-0000-0000D8810000}"/>
    <cellStyle name="Normal 5 10 27 11" xfId="33241" xr:uid="{00000000-0005-0000-0000-0000D9810000}"/>
    <cellStyle name="Normal 5 10 27 12" xfId="33242" xr:uid="{00000000-0005-0000-0000-0000DA810000}"/>
    <cellStyle name="Normal 5 10 27 13" xfId="33243" xr:uid="{00000000-0005-0000-0000-0000DB810000}"/>
    <cellStyle name="Normal 5 10 27 14" xfId="33244" xr:uid="{00000000-0005-0000-0000-0000DC810000}"/>
    <cellStyle name="Normal 5 10 27 2" xfId="33245" xr:uid="{00000000-0005-0000-0000-0000DD810000}"/>
    <cellStyle name="Normal 5 10 27 2 10" xfId="33246" xr:uid="{00000000-0005-0000-0000-0000DE810000}"/>
    <cellStyle name="Normal 5 10 27 2 2" xfId="33247" xr:uid="{00000000-0005-0000-0000-0000DF810000}"/>
    <cellStyle name="Normal 5 10 27 2 3" xfId="33248" xr:uid="{00000000-0005-0000-0000-0000E0810000}"/>
    <cellStyle name="Normal 5 10 27 2 4" xfId="33249" xr:uid="{00000000-0005-0000-0000-0000E1810000}"/>
    <cellStyle name="Normal 5 10 27 2 5" xfId="33250" xr:uid="{00000000-0005-0000-0000-0000E2810000}"/>
    <cellStyle name="Normal 5 10 27 2 6" xfId="33251" xr:uid="{00000000-0005-0000-0000-0000E3810000}"/>
    <cellStyle name="Normal 5 10 27 2 7" xfId="33252" xr:uid="{00000000-0005-0000-0000-0000E4810000}"/>
    <cellStyle name="Normal 5 10 27 2 8" xfId="33253" xr:uid="{00000000-0005-0000-0000-0000E5810000}"/>
    <cellStyle name="Normal 5 10 27 2 9" xfId="33254" xr:uid="{00000000-0005-0000-0000-0000E6810000}"/>
    <cellStyle name="Normal 5 10 27 3" xfId="33255" xr:uid="{00000000-0005-0000-0000-0000E7810000}"/>
    <cellStyle name="Normal 5 10 27 3 10" xfId="33256" xr:uid="{00000000-0005-0000-0000-0000E8810000}"/>
    <cellStyle name="Normal 5 10 27 3 2" xfId="33257" xr:uid="{00000000-0005-0000-0000-0000E9810000}"/>
    <cellStyle name="Normal 5 10 27 3 3" xfId="33258" xr:uid="{00000000-0005-0000-0000-0000EA810000}"/>
    <cellStyle name="Normal 5 10 27 3 4" xfId="33259" xr:uid="{00000000-0005-0000-0000-0000EB810000}"/>
    <cellStyle name="Normal 5 10 27 3 5" xfId="33260" xr:uid="{00000000-0005-0000-0000-0000EC810000}"/>
    <cellStyle name="Normal 5 10 27 3 6" xfId="33261" xr:uid="{00000000-0005-0000-0000-0000ED810000}"/>
    <cellStyle name="Normal 5 10 27 3 7" xfId="33262" xr:uid="{00000000-0005-0000-0000-0000EE810000}"/>
    <cellStyle name="Normal 5 10 27 3 8" xfId="33263" xr:uid="{00000000-0005-0000-0000-0000EF810000}"/>
    <cellStyle name="Normal 5 10 27 3 9" xfId="33264" xr:uid="{00000000-0005-0000-0000-0000F0810000}"/>
    <cellStyle name="Normal 5 10 27 4" xfId="33265" xr:uid="{00000000-0005-0000-0000-0000F1810000}"/>
    <cellStyle name="Normal 5 10 27 4 10" xfId="33266" xr:uid="{00000000-0005-0000-0000-0000F2810000}"/>
    <cellStyle name="Normal 5 10 27 4 2" xfId="33267" xr:uid="{00000000-0005-0000-0000-0000F3810000}"/>
    <cellStyle name="Normal 5 10 27 4 3" xfId="33268" xr:uid="{00000000-0005-0000-0000-0000F4810000}"/>
    <cellStyle name="Normal 5 10 27 4 4" xfId="33269" xr:uid="{00000000-0005-0000-0000-0000F5810000}"/>
    <cellStyle name="Normal 5 10 27 4 5" xfId="33270" xr:uid="{00000000-0005-0000-0000-0000F6810000}"/>
    <cellStyle name="Normal 5 10 27 4 6" xfId="33271" xr:uid="{00000000-0005-0000-0000-0000F7810000}"/>
    <cellStyle name="Normal 5 10 27 4 7" xfId="33272" xr:uid="{00000000-0005-0000-0000-0000F8810000}"/>
    <cellStyle name="Normal 5 10 27 4 8" xfId="33273" xr:uid="{00000000-0005-0000-0000-0000F9810000}"/>
    <cellStyle name="Normal 5 10 27 4 9" xfId="33274" xr:uid="{00000000-0005-0000-0000-0000FA810000}"/>
    <cellStyle name="Normal 5 10 27 5" xfId="33275" xr:uid="{00000000-0005-0000-0000-0000FB810000}"/>
    <cellStyle name="Normal 5 10 27 5 10" xfId="33276" xr:uid="{00000000-0005-0000-0000-0000FC810000}"/>
    <cellStyle name="Normal 5 10 27 5 2" xfId="33277" xr:uid="{00000000-0005-0000-0000-0000FD810000}"/>
    <cellStyle name="Normal 5 10 27 5 3" xfId="33278" xr:uid="{00000000-0005-0000-0000-0000FE810000}"/>
    <cellStyle name="Normal 5 10 27 5 4" xfId="33279" xr:uid="{00000000-0005-0000-0000-0000FF810000}"/>
    <cellStyle name="Normal 5 10 27 5 5" xfId="33280" xr:uid="{00000000-0005-0000-0000-000000820000}"/>
    <cellStyle name="Normal 5 10 27 5 6" xfId="33281" xr:uid="{00000000-0005-0000-0000-000001820000}"/>
    <cellStyle name="Normal 5 10 27 5 7" xfId="33282" xr:uid="{00000000-0005-0000-0000-000002820000}"/>
    <cellStyle name="Normal 5 10 27 5 8" xfId="33283" xr:uid="{00000000-0005-0000-0000-000003820000}"/>
    <cellStyle name="Normal 5 10 27 5 9" xfId="33284" xr:uid="{00000000-0005-0000-0000-000004820000}"/>
    <cellStyle name="Normal 5 10 27 6" xfId="33285" xr:uid="{00000000-0005-0000-0000-000005820000}"/>
    <cellStyle name="Normal 5 10 27 7" xfId="33286" xr:uid="{00000000-0005-0000-0000-000006820000}"/>
    <cellStyle name="Normal 5 10 27 8" xfId="33287" xr:uid="{00000000-0005-0000-0000-000007820000}"/>
    <cellStyle name="Normal 5 10 27 9" xfId="33288" xr:uid="{00000000-0005-0000-0000-000008820000}"/>
    <cellStyle name="Normal 5 10 28" xfId="33289" xr:uid="{00000000-0005-0000-0000-000009820000}"/>
    <cellStyle name="Normal 5 10 28 10" xfId="33290" xr:uid="{00000000-0005-0000-0000-00000A820000}"/>
    <cellStyle name="Normal 5 10 28 11" xfId="33291" xr:uid="{00000000-0005-0000-0000-00000B820000}"/>
    <cellStyle name="Normal 5 10 28 12" xfId="33292" xr:uid="{00000000-0005-0000-0000-00000C820000}"/>
    <cellStyle name="Normal 5 10 28 13" xfId="33293" xr:uid="{00000000-0005-0000-0000-00000D820000}"/>
    <cellStyle name="Normal 5 10 28 14" xfId="33294" xr:uid="{00000000-0005-0000-0000-00000E820000}"/>
    <cellStyle name="Normal 5 10 28 2" xfId="33295" xr:uid="{00000000-0005-0000-0000-00000F820000}"/>
    <cellStyle name="Normal 5 10 28 2 10" xfId="33296" xr:uid="{00000000-0005-0000-0000-000010820000}"/>
    <cellStyle name="Normal 5 10 28 2 2" xfId="33297" xr:uid="{00000000-0005-0000-0000-000011820000}"/>
    <cellStyle name="Normal 5 10 28 2 3" xfId="33298" xr:uid="{00000000-0005-0000-0000-000012820000}"/>
    <cellStyle name="Normal 5 10 28 2 4" xfId="33299" xr:uid="{00000000-0005-0000-0000-000013820000}"/>
    <cellStyle name="Normal 5 10 28 2 5" xfId="33300" xr:uid="{00000000-0005-0000-0000-000014820000}"/>
    <cellStyle name="Normal 5 10 28 2 6" xfId="33301" xr:uid="{00000000-0005-0000-0000-000015820000}"/>
    <cellStyle name="Normal 5 10 28 2 7" xfId="33302" xr:uid="{00000000-0005-0000-0000-000016820000}"/>
    <cellStyle name="Normal 5 10 28 2 8" xfId="33303" xr:uid="{00000000-0005-0000-0000-000017820000}"/>
    <cellStyle name="Normal 5 10 28 2 9" xfId="33304" xr:uid="{00000000-0005-0000-0000-000018820000}"/>
    <cellStyle name="Normal 5 10 28 3" xfId="33305" xr:uid="{00000000-0005-0000-0000-000019820000}"/>
    <cellStyle name="Normal 5 10 28 3 10" xfId="33306" xr:uid="{00000000-0005-0000-0000-00001A820000}"/>
    <cellStyle name="Normal 5 10 28 3 2" xfId="33307" xr:uid="{00000000-0005-0000-0000-00001B820000}"/>
    <cellStyle name="Normal 5 10 28 3 3" xfId="33308" xr:uid="{00000000-0005-0000-0000-00001C820000}"/>
    <cellStyle name="Normal 5 10 28 3 4" xfId="33309" xr:uid="{00000000-0005-0000-0000-00001D820000}"/>
    <cellStyle name="Normal 5 10 28 3 5" xfId="33310" xr:uid="{00000000-0005-0000-0000-00001E820000}"/>
    <cellStyle name="Normal 5 10 28 3 6" xfId="33311" xr:uid="{00000000-0005-0000-0000-00001F820000}"/>
    <cellStyle name="Normal 5 10 28 3 7" xfId="33312" xr:uid="{00000000-0005-0000-0000-000020820000}"/>
    <cellStyle name="Normal 5 10 28 3 8" xfId="33313" xr:uid="{00000000-0005-0000-0000-000021820000}"/>
    <cellStyle name="Normal 5 10 28 3 9" xfId="33314" xr:uid="{00000000-0005-0000-0000-000022820000}"/>
    <cellStyle name="Normal 5 10 28 4" xfId="33315" xr:uid="{00000000-0005-0000-0000-000023820000}"/>
    <cellStyle name="Normal 5 10 28 4 10" xfId="33316" xr:uid="{00000000-0005-0000-0000-000024820000}"/>
    <cellStyle name="Normal 5 10 28 4 2" xfId="33317" xr:uid="{00000000-0005-0000-0000-000025820000}"/>
    <cellStyle name="Normal 5 10 28 4 3" xfId="33318" xr:uid="{00000000-0005-0000-0000-000026820000}"/>
    <cellStyle name="Normal 5 10 28 4 4" xfId="33319" xr:uid="{00000000-0005-0000-0000-000027820000}"/>
    <cellStyle name="Normal 5 10 28 4 5" xfId="33320" xr:uid="{00000000-0005-0000-0000-000028820000}"/>
    <cellStyle name="Normal 5 10 28 4 6" xfId="33321" xr:uid="{00000000-0005-0000-0000-000029820000}"/>
    <cellStyle name="Normal 5 10 28 4 7" xfId="33322" xr:uid="{00000000-0005-0000-0000-00002A820000}"/>
    <cellStyle name="Normal 5 10 28 4 8" xfId="33323" xr:uid="{00000000-0005-0000-0000-00002B820000}"/>
    <cellStyle name="Normal 5 10 28 4 9" xfId="33324" xr:uid="{00000000-0005-0000-0000-00002C820000}"/>
    <cellStyle name="Normal 5 10 28 5" xfId="33325" xr:uid="{00000000-0005-0000-0000-00002D820000}"/>
    <cellStyle name="Normal 5 10 28 5 10" xfId="33326" xr:uid="{00000000-0005-0000-0000-00002E820000}"/>
    <cellStyle name="Normal 5 10 28 5 2" xfId="33327" xr:uid="{00000000-0005-0000-0000-00002F820000}"/>
    <cellStyle name="Normal 5 10 28 5 3" xfId="33328" xr:uid="{00000000-0005-0000-0000-000030820000}"/>
    <cellStyle name="Normal 5 10 28 5 4" xfId="33329" xr:uid="{00000000-0005-0000-0000-000031820000}"/>
    <cellStyle name="Normal 5 10 28 5 5" xfId="33330" xr:uid="{00000000-0005-0000-0000-000032820000}"/>
    <cellStyle name="Normal 5 10 28 5 6" xfId="33331" xr:uid="{00000000-0005-0000-0000-000033820000}"/>
    <cellStyle name="Normal 5 10 28 5 7" xfId="33332" xr:uid="{00000000-0005-0000-0000-000034820000}"/>
    <cellStyle name="Normal 5 10 28 5 8" xfId="33333" xr:uid="{00000000-0005-0000-0000-000035820000}"/>
    <cellStyle name="Normal 5 10 28 5 9" xfId="33334" xr:uid="{00000000-0005-0000-0000-000036820000}"/>
    <cellStyle name="Normal 5 10 28 6" xfId="33335" xr:uid="{00000000-0005-0000-0000-000037820000}"/>
    <cellStyle name="Normal 5 10 28 7" xfId="33336" xr:uid="{00000000-0005-0000-0000-000038820000}"/>
    <cellStyle name="Normal 5 10 28 8" xfId="33337" xr:uid="{00000000-0005-0000-0000-000039820000}"/>
    <cellStyle name="Normal 5 10 28 9" xfId="33338" xr:uid="{00000000-0005-0000-0000-00003A820000}"/>
    <cellStyle name="Normal 5 10 29" xfId="33339" xr:uid="{00000000-0005-0000-0000-00003B820000}"/>
    <cellStyle name="Normal 5 10 29 10" xfId="33340" xr:uid="{00000000-0005-0000-0000-00003C820000}"/>
    <cellStyle name="Normal 5 10 29 11" xfId="33341" xr:uid="{00000000-0005-0000-0000-00003D820000}"/>
    <cellStyle name="Normal 5 10 29 12" xfId="33342" xr:uid="{00000000-0005-0000-0000-00003E820000}"/>
    <cellStyle name="Normal 5 10 29 13" xfId="33343" xr:uid="{00000000-0005-0000-0000-00003F820000}"/>
    <cellStyle name="Normal 5 10 29 14" xfId="33344" xr:uid="{00000000-0005-0000-0000-000040820000}"/>
    <cellStyle name="Normal 5 10 29 2" xfId="33345" xr:uid="{00000000-0005-0000-0000-000041820000}"/>
    <cellStyle name="Normal 5 10 29 2 10" xfId="33346" xr:uid="{00000000-0005-0000-0000-000042820000}"/>
    <cellStyle name="Normal 5 10 29 2 2" xfId="33347" xr:uid="{00000000-0005-0000-0000-000043820000}"/>
    <cellStyle name="Normal 5 10 29 2 3" xfId="33348" xr:uid="{00000000-0005-0000-0000-000044820000}"/>
    <cellStyle name="Normal 5 10 29 2 4" xfId="33349" xr:uid="{00000000-0005-0000-0000-000045820000}"/>
    <cellStyle name="Normal 5 10 29 2 5" xfId="33350" xr:uid="{00000000-0005-0000-0000-000046820000}"/>
    <cellStyle name="Normal 5 10 29 2 6" xfId="33351" xr:uid="{00000000-0005-0000-0000-000047820000}"/>
    <cellStyle name="Normal 5 10 29 2 7" xfId="33352" xr:uid="{00000000-0005-0000-0000-000048820000}"/>
    <cellStyle name="Normal 5 10 29 2 8" xfId="33353" xr:uid="{00000000-0005-0000-0000-000049820000}"/>
    <cellStyle name="Normal 5 10 29 2 9" xfId="33354" xr:uid="{00000000-0005-0000-0000-00004A820000}"/>
    <cellStyle name="Normal 5 10 29 3" xfId="33355" xr:uid="{00000000-0005-0000-0000-00004B820000}"/>
    <cellStyle name="Normal 5 10 29 3 10" xfId="33356" xr:uid="{00000000-0005-0000-0000-00004C820000}"/>
    <cellStyle name="Normal 5 10 29 3 2" xfId="33357" xr:uid="{00000000-0005-0000-0000-00004D820000}"/>
    <cellStyle name="Normal 5 10 29 3 3" xfId="33358" xr:uid="{00000000-0005-0000-0000-00004E820000}"/>
    <cellStyle name="Normal 5 10 29 3 4" xfId="33359" xr:uid="{00000000-0005-0000-0000-00004F820000}"/>
    <cellStyle name="Normal 5 10 29 3 5" xfId="33360" xr:uid="{00000000-0005-0000-0000-000050820000}"/>
    <cellStyle name="Normal 5 10 29 3 6" xfId="33361" xr:uid="{00000000-0005-0000-0000-000051820000}"/>
    <cellStyle name="Normal 5 10 29 3 7" xfId="33362" xr:uid="{00000000-0005-0000-0000-000052820000}"/>
    <cellStyle name="Normal 5 10 29 3 8" xfId="33363" xr:uid="{00000000-0005-0000-0000-000053820000}"/>
    <cellStyle name="Normal 5 10 29 3 9" xfId="33364" xr:uid="{00000000-0005-0000-0000-000054820000}"/>
    <cellStyle name="Normal 5 10 29 4" xfId="33365" xr:uid="{00000000-0005-0000-0000-000055820000}"/>
    <cellStyle name="Normal 5 10 29 4 10" xfId="33366" xr:uid="{00000000-0005-0000-0000-000056820000}"/>
    <cellStyle name="Normal 5 10 29 4 2" xfId="33367" xr:uid="{00000000-0005-0000-0000-000057820000}"/>
    <cellStyle name="Normal 5 10 29 4 3" xfId="33368" xr:uid="{00000000-0005-0000-0000-000058820000}"/>
    <cellStyle name="Normal 5 10 29 4 4" xfId="33369" xr:uid="{00000000-0005-0000-0000-000059820000}"/>
    <cellStyle name="Normal 5 10 29 4 5" xfId="33370" xr:uid="{00000000-0005-0000-0000-00005A820000}"/>
    <cellStyle name="Normal 5 10 29 4 6" xfId="33371" xr:uid="{00000000-0005-0000-0000-00005B820000}"/>
    <cellStyle name="Normal 5 10 29 4 7" xfId="33372" xr:uid="{00000000-0005-0000-0000-00005C820000}"/>
    <cellStyle name="Normal 5 10 29 4 8" xfId="33373" xr:uid="{00000000-0005-0000-0000-00005D820000}"/>
    <cellStyle name="Normal 5 10 29 4 9" xfId="33374" xr:uid="{00000000-0005-0000-0000-00005E820000}"/>
    <cellStyle name="Normal 5 10 29 5" xfId="33375" xr:uid="{00000000-0005-0000-0000-00005F820000}"/>
    <cellStyle name="Normal 5 10 29 5 10" xfId="33376" xr:uid="{00000000-0005-0000-0000-000060820000}"/>
    <cellStyle name="Normal 5 10 29 5 2" xfId="33377" xr:uid="{00000000-0005-0000-0000-000061820000}"/>
    <cellStyle name="Normal 5 10 29 5 3" xfId="33378" xr:uid="{00000000-0005-0000-0000-000062820000}"/>
    <cellStyle name="Normal 5 10 29 5 4" xfId="33379" xr:uid="{00000000-0005-0000-0000-000063820000}"/>
    <cellStyle name="Normal 5 10 29 5 5" xfId="33380" xr:uid="{00000000-0005-0000-0000-000064820000}"/>
    <cellStyle name="Normal 5 10 29 5 6" xfId="33381" xr:uid="{00000000-0005-0000-0000-000065820000}"/>
    <cellStyle name="Normal 5 10 29 5 7" xfId="33382" xr:uid="{00000000-0005-0000-0000-000066820000}"/>
    <cellStyle name="Normal 5 10 29 5 8" xfId="33383" xr:uid="{00000000-0005-0000-0000-000067820000}"/>
    <cellStyle name="Normal 5 10 29 5 9" xfId="33384" xr:uid="{00000000-0005-0000-0000-000068820000}"/>
    <cellStyle name="Normal 5 10 29 6" xfId="33385" xr:uid="{00000000-0005-0000-0000-000069820000}"/>
    <cellStyle name="Normal 5 10 29 7" xfId="33386" xr:uid="{00000000-0005-0000-0000-00006A820000}"/>
    <cellStyle name="Normal 5 10 29 8" xfId="33387" xr:uid="{00000000-0005-0000-0000-00006B820000}"/>
    <cellStyle name="Normal 5 10 29 9" xfId="33388" xr:uid="{00000000-0005-0000-0000-00006C820000}"/>
    <cellStyle name="Normal 5 10 3" xfId="33389" xr:uid="{00000000-0005-0000-0000-00006D820000}"/>
    <cellStyle name="Normal 5 10 3 10" xfId="33390" xr:uid="{00000000-0005-0000-0000-00006E820000}"/>
    <cellStyle name="Normal 5 10 3 11" xfId="33391" xr:uid="{00000000-0005-0000-0000-00006F820000}"/>
    <cellStyle name="Normal 5 10 3 12" xfId="33392" xr:uid="{00000000-0005-0000-0000-000070820000}"/>
    <cellStyle name="Normal 5 10 3 13" xfId="33393" xr:uid="{00000000-0005-0000-0000-000071820000}"/>
    <cellStyle name="Normal 5 10 3 14" xfId="33394" xr:uid="{00000000-0005-0000-0000-000072820000}"/>
    <cellStyle name="Normal 5 10 3 2" xfId="33395" xr:uid="{00000000-0005-0000-0000-000073820000}"/>
    <cellStyle name="Normal 5 10 3 2 10" xfId="33396" xr:uid="{00000000-0005-0000-0000-000074820000}"/>
    <cellStyle name="Normal 5 10 3 2 2" xfId="33397" xr:uid="{00000000-0005-0000-0000-000075820000}"/>
    <cellStyle name="Normal 5 10 3 2 3" xfId="33398" xr:uid="{00000000-0005-0000-0000-000076820000}"/>
    <cellStyle name="Normal 5 10 3 2 4" xfId="33399" xr:uid="{00000000-0005-0000-0000-000077820000}"/>
    <cellStyle name="Normal 5 10 3 2 5" xfId="33400" xr:uid="{00000000-0005-0000-0000-000078820000}"/>
    <cellStyle name="Normal 5 10 3 2 6" xfId="33401" xr:uid="{00000000-0005-0000-0000-000079820000}"/>
    <cellStyle name="Normal 5 10 3 2 7" xfId="33402" xr:uid="{00000000-0005-0000-0000-00007A820000}"/>
    <cellStyle name="Normal 5 10 3 2 8" xfId="33403" xr:uid="{00000000-0005-0000-0000-00007B820000}"/>
    <cellStyle name="Normal 5 10 3 2 9" xfId="33404" xr:uid="{00000000-0005-0000-0000-00007C820000}"/>
    <cellStyle name="Normal 5 10 3 3" xfId="33405" xr:uid="{00000000-0005-0000-0000-00007D820000}"/>
    <cellStyle name="Normal 5 10 3 3 10" xfId="33406" xr:uid="{00000000-0005-0000-0000-00007E820000}"/>
    <cellStyle name="Normal 5 10 3 3 2" xfId="33407" xr:uid="{00000000-0005-0000-0000-00007F820000}"/>
    <cellStyle name="Normal 5 10 3 3 3" xfId="33408" xr:uid="{00000000-0005-0000-0000-000080820000}"/>
    <cellStyle name="Normal 5 10 3 3 4" xfId="33409" xr:uid="{00000000-0005-0000-0000-000081820000}"/>
    <cellStyle name="Normal 5 10 3 3 5" xfId="33410" xr:uid="{00000000-0005-0000-0000-000082820000}"/>
    <cellStyle name="Normal 5 10 3 3 6" xfId="33411" xr:uid="{00000000-0005-0000-0000-000083820000}"/>
    <cellStyle name="Normal 5 10 3 3 7" xfId="33412" xr:uid="{00000000-0005-0000-0000-000084820000}"/>
    <cellStyle name="Normal 5 10 3 3 8" xfId="33413" xr:uid="{00000000-0005-0000-0000-000085820000}"/>
    <cellStyle name="Normal 5 10 3 3 9" xfId="33414" xr:uid="{00000000-0005-0000-0000-000086820000}"/>
    <cellStyle name="Normal 5 10 3 4" xfId="33415" xr:uid="{00000000-0005-0000-0000-000087820000}"/>
    <cellStyle name="Normal 5 10 3 4 10" xfId="33416" xr:uid="{00000000-0005-0000-0000-000088820000}"/>
    <cellStyle name="Normal 5 10 3 4 2" xfId="33417" xr:uid="{00000000-0005-0000-0000-000089820000}"/>
    <cellStyle name="Normal 5 10 3 4 3" xfId="33418" xr:uid="{00000000-0005-0000-0000-00008A820000}"/>
    <cellStyle name="Normal 5 10 3 4 4" xfId="33419" xr:uid="{00000000-0005-0000-0000-00008B820000}"/>
    <cellStyle name="Normal 5 10 3 4 5" xfId="33420" xr:uid="{00000000-0005-0000-0000-00008C820000}"/>
    <cellStyle name="Normal 5 10 3 4 6" xfId="33421" xr:uid="{00000000-0005-0000-0000-00008D820000}"/>
    <cellStyle name="Normal 5 10 3 4 7" xfId="33422" xr:uid="{00000000-0005-0000-0000-00008E820000}"/>
    <cellStyle name="Normal 5 10 3 4 8" xfId="33423" xr:uid="{00000000-0005-0000-0000-00008F820000}"/>
    <cellStyle name="Normal 5 10 3 4 9" xfId="33424" xr:uid="{00000000-0005-0000-0000-000090820000}"/>
    <cellStyle name="Normal 5 10 3 5" xfId="33425" xr:uid="{00000000-0005-0000-0000-000091820000}"/>
    <cellStyle name="Normal 5 10 3 5 10" xfId="33426" xr:uid="{00000000-0005-0000-0000-000092820000}"/>
    <cellStyle name="Normal 5 10 3 5 2" xfId="33427" xr:uid="{00000000-0005-0000-0000-000093820000}"/>
    <cellStyle name="Normal 5 10 3 5 3" xfId="33428" xr:uid="{00000000-0005-0000-0000-000094820000}"/>
    <cellStyle name="Normal 5 10 3 5 4" xfId="33429" xr:uid="{00000000-0005-0000-0000-000095820000}"/>
    <cellStyle name="Normal 5 10 3 5 5" xfId="33430" xr:uid="{00000000-0005-0000-0000-000096820000}"/>
    <cellStyle name="Normal 5 10 3 5 6" xfId="33431" xr:uid="{00000000-0005-0000-0000-000097820000}"/>
    <cellStyle name="Normal 5 10 3 5 7" xfId="33432" xr:uid="{00000000-0005-0000-0000-000098820000}"/>
    <cellStyle name="Normal 5 10 3 5 8" xfId="33433" xr:uid="{00000000-0005-0000-0000-000099820000}"/>
    <cellStyle name="Normal 5 10 3 5 9" xfId="33434" xr:uid="{00000000-0005-0000-0000-00009A820000}"/>
    <cellStyle name="Normal 5 10 3 6" xfId="33435" xr:uid="{00000000-0005-0000-0000-00009B820000}"/>
    <cellStyle name="Normal 5 10 3 7" xfId="33436" xr:uid="{00000000-0005-0000-0000-00009C820000}"/>
    <cellStyle name="Normal 5 10 3 8" xfId="33437" xr:uid="{00000000-0005-0000-0000-00009D820000}"/>
    <cellStyle name="Normal 5 10 3 9" xfId="33438" xr:uid="{00000000-0005-0000-0000-00009E820000}"/>
    <cellStyle name="Normal 5 10 30" xfId="33439" xr:uid="{00000000-0005-0000-0000-00009F820000}"/>
    <cellStyle name="Normal 5 10 30 10" xfId="33440" xr:uid="{00000000-0005-0000-0000-0000A0820000}"/>
    <cellStyle name="Normal 5 10 30 11" xfId="33441" xr:uid="{00000000-0005-0000-0000-0000A1820000}"/>
    <cellStyle name="Normal 5 10 30 12" xfId="33442" xr:uid="{00000000-0005-0000-0000-0000A2820000}"/>
    <cellStyle name="Normal 5 10 30 13" xfId="33443" xr:uid="{00000000-0005-0000-0000-0000A3820000}"/>
    <cellStyle name="Normal 5 10 30 14" xfId="33444" xr:uid="{00000000-0005-0000-0000-0000A4820000}"/>
    <cellStyle name="Normal 5 10 30 2" xfId="33445" xr:uid="{00000000-0005-0000-0000-0000A5820000}"/>
    <cellStyle name="Normal 5 10 30 2 10" xfId="33446" xr:uid="{00000000-0005-0000-0000-0000A6820000}"/>
    <cellStyle name="Normal 5 10 30 2 2" xfId="33447" xr:uid="{00000000-0005-0000-0000-0000A7820000}"/>
    <cellStyle name="Normal 5 10 30 2 3" xfId="33448" xr:uid="{00000000-0005-0000-0000-0000A8820000}"/>
    <cellStyle name="Normal 5 10 30 2 4" xfId="33449" xr:uid="{00000000-0005-0000-0000-0000A9820000}"/>
    <cellStyle name="Normal 5 10 30 2 5" xfId="33450" xr:uid="{00000000-0005-0000-0000-0000AA820000}"/>
    <cellStyle name="Normal 5 10 30 2 6" xfId="33451" xr:uid="{00000000-0005-0000-0000-0000AB820000}"/>
    <cellStyle name="Normal 5 10 30 2 7" xfId="33452" xr:uid="{00000000-0005-0000-0000-0000AC820000}"/>
    <cellStyle name="Normal 5 10 30 2 8" xfId="33453" xr:uid="{00000000-0005-0000-0000-0000AD820000}"/>
    <cellStyle name="Normal 5 10 30 2 9" xfId="33454" xr:uid="{00000000-0005-0000-0000-0000AE820000}"/>
    <cellStyle name="Normal 5 10 30 3" xfId="33455" xr:uid="{00000000-0005-0000-0000-0000AF820000}"/>
    <cellStyle name="Normal 5 10 30 3 10" xfId="33456" xr:uid="{00000000-0005-0000-0000-0000B0820000}"/>
    <cellStyle name="Normal 5 10 30 3 2" xfId="33457" xr:uid="{00000000-0005-0000-0000-0000B1820000}"/>
    <cellStyle name="Normal 5 10 30 3 3" xfId="33458" xr:uid="{00000000-0005-0000-0000-0000B2820000}"/>
    <cellStyle name="Normal 5 10 30 3 4" xfId="33459" xr:uid="{00000000-0005-0000-0000-0000B3820000}"/>
    <cellStyle name="Normal 5 10 30 3 5" xfId="33460" xr:uid="{00000000-0005-0000-0000-0000B4820000}"/>
    <cellStyle name="Normal 5 10 30 3 6" xfId="33461" xr:uid="{00000000-0005-0000-0000-0000B5820000}"/>
    <cellStyle name="Normal 5 10 30 3 7" xfId="33462" xr:uid="{00000000-0005-0000-0000-0000B6820000}"/>
    <cellStyle name="Normal 5 10 30 3 8" xfId="33463" xr:uid="{00000000-0005-0000-0000-0000B7820000}"/>
    <cellStyle name="Normal 5 10 30 3 9" xfId="33464" xr:uid="{00000000-0005-0000-0000-0000B8820000}"/>
    <cellStyle name="Normal 5 10 30 4" xfId="33465" xr:uid="{00000000-0005-0000-0000-0000B9820000}"/>
    <cellStyle name="Normal 5 10 30 4 10" xfId="33466" xr:uid="{00000000-0005-0000-0000-0000BA820000}"/>
    <cellStyle name="Normal 5 10 30 4 2" xfId="33467" xr:uid="{00000000-0005-0000-0000-0000BB820000}"/>
    <cellStyle name="Normal 5 10 30 4 3" xfId="33468" xr:uid="{00000000-0005-0000-0000-0000BC820000}"/>
    <cellStyle name="Normal 5 10 30 4 4" xfId="33469" xr:uid="{00000000-0005-0000-0000-0000BD820000}"/>
    <cellStyle name="Normal 5 10 30 4 5" xfId="33470" xr:uid="{00000000-0005-0000-0000-0000BE820000}"/>
    <cellStyle name="Normal 5 10 30 4 6" xfId="33471" xr:uid="{00000000-0005-0000-0000-0000BF820000}"/>
    <cellStyle name="Normal 5 10 30 4 7" xfId="33472" xr:uid="{00000000-0005-0000-0000-0000C0820000}"/>
    <cellStyle name="Normal 5 10 30 4 8" xfId="33473" xr:uid="{00000000-0005-0000-0000-0000C1820000}"/>
    <cellStyle name="Normal 5 10 30 4 9" xfId="33474" xr:uid="{00000000-0005-0000-0000-0000C2820000}"/>
    <cellStyle name="Normal 5 10 30 5" xfId="33475" xr:uid="{00000000-0005-0000-0000-0000C3820000}"/>
    <cellStyle name="Normal 5 10 30 5 10" xfId="33476" xr:uid="{00000000-0005-0000-0000-0000C4820000}"/>
    <cellStyle name="Normal 5 10 30 5 2" xfId="33477" xr:uid="{00000000-0005-0000-0000-0000C5820000}"/>
    <cellStyle name="Normal 5 10 30 5 3" xfId="33478" xr:uid="{00000000-0005-0000-0000-0000C6820000}"/>
    <cellStyle name="Normal 5 10 30 5 4" xfId="33479" xr:uid="{00000000-0005-0000-0000-0000C7820000}"/>
    <cellStyle name="Normal 5 10 30 5 5" xfId="33480" xr:uid="{00000000-0005-0000-0000-0000C8820000}"/>
    <cellStyle name="Normal 5 10 30 5 6" xfId="33481" xr:uid="{00000000-0005-0000-0000-0000C9820000}"/>
    <cellStyle name="Normal 5 10 30 5 7" xfId="33482" xr:uid="{00000000-0005-0000-0000-0000CA820000}"/>
    <cellStyle name="Normal 5 10 30 5 8" xfId="33483" xr:uid="{00000000-0005-0000-0000-0000CB820000}"/>
    <cellStyle name="Normal 5 10 30 5 9" xfId="33484" xr:uid="{00000000-0005-0000-0000-0000CC820000}"/>
    <cellStyle name="Normal 5 10 30 6" xfId="33485" xr:uid="{00000000-0005-0000-0000-0000CD820000}"/>
    <cellStyle name="Normal 5 10 30 7" xfId="33486" xr:uid="{00000000-0005-0000-0000-0000CE820000}"/>
    <cellStyle name="Normal 5 10 30 8" xfId="33487" xr:uid="{00000000-0005-0000-0000-0000CF820000}"/>
    <cellStyle name="Normal 5 10 30 9" xfId="33488" xr:uid="{00000000-0005-0000-0000-0000D0820000}"/>
    <cellStyle name="Normal 5 10 31" xfId="33489" xr:uid="{00000000-0005-0000-0000-0000D1820000}"/>
    <cellStyle name="Normal 5 10 31 10" xfId="33490" xr:uid="{00000000-0005-0000-0000-0000D2820000}"/>
    <cellStyle name="Normal 5 10 31 11" xfId="33491" xr:uid="{00000000-0005-0000-0000-0000D3820000}"/>
    <cellStyle name="Normal 5 10 31 12" xfId="33492" xr:uid="{00000000-0005-0000-0000-0000D4820000}"/>
    <cellStyle name="Normal 5 10 31 13" xfId="33493" xr:uid="{00000000-0005-0000-0000-0000D5820000}"/>
    <cellStyle name="Normal 5 10 31 14" xfId="33494" xr:uid="{00000000-0005-0000-0000-0000D6820000}"/>
    <cellStyle name="Normal 5 10 31 2" xfId="33495" xr:uid="{00000000-0005-0000-0000-0000D7820000}"/>
    <cellStyle name="Normal 5 10 31 2 10" xfId="33496" xr:uid="{00000000-0005-0000-0000-0000D8820000}"/>
    <cellStyle name="Normal 5 10 31 2 2" xfId="33497" xr:uid="{00000000-0005-0000-0000-0000D9820000}"/>
    <cellStyle name="Normal 5 10 31 2 3" xfId="33498" xr:uid="{00000000-0005-0000-0000-0000DA820000}"/>
    <cellStyle name="Normal 5 10 31 2 4" xfId="33499" xr:uid="{00000000-0005-0000-0000-0000DB820000}"/>
    <cellStyle name="Normal 5 10 31 2 5" xfId="33500" xr:uid="{00000000-0005-0000-0000-0000DC820000}"/>
    <cellStyle name="Normal 5 10 31 2 6" xfId="33501" xr:uid="{00000000-0005-0000-0000-0000DD820000}"/>
    <cellStyle name="Normal 5 10 31 2 7" xfId="33502" xr:uid="{00000000-0005-0000-0000-0000DE820000}"/>
    <cellStyle name="Normal 5 10 31 2 8" xfId="33503" xr:uid="{00000000-0005-0000-0000-0000DF820000}"/>
    <cellStyle name="Normal 5 10 31 2 9" xfId="33504" xr:uid="{00000000-0005-0000-0000-0000E0820000}"/>
    <cellStyle name="Normal 5 10 31 3" xfId="33505" xr:uid="{00000000-0005-0000-0000-0000E1820000}"/>
    <cellStyle name="Normal 5 10 31 3 10" xfId="33506" xr:uid="{00000000-0005-0000-0000-0000E2820000}"/>
    <cellStyle name="Normal 5 10 31 3 2" xfId="33507" xr:uid="{00000000-0005-0000-0000-0000E3820000}"/>
    <cellStyle name="Normal 5 10 31 3 3" xfId="33508" xr:uid="{00000000-0005-0000-0000-0000E4820000}"/>
    <cellStyle name="Normal 5 10 31 3 4" xfId="33509" xr:uid="{00000000-0005-0000-0000-0000E5820000}"/>
    <cellStyle name="Normal 5 10 31 3 5" xfId="33510" xr:uid="{00000000-0005-0000-0000-0000E6820000}"/>
    <cellStyle name="Normal 5 10 31 3 6" xfId="33511" xr:uid="{00000000-0005-0000-0000-0000E7820000}"/>
    <cellStyle name="Normal 5 10 31 3 7" xfId="33512" xr:uid="{00000000-0005-0000-0000-0000E8820000}"/>
    <cellStyle name="Normal 5 10 31 3 8" xfId="33513" xr:uid="{00000000-0005-0000-0000-0000E9820000}"/>
    <cellStyle name="Normal 5 10 31 3 9" xfId="33514" xr:uid="{00000000-0005-0000-0000-0000EA820000}"/>
    <cellStyle name="Normal 5 10 31 4" xfId="33515" xr:uid="{00000000-0005-0000-0000-0000EB820000}"/>
    <cellStyle name="Normal 5 10 31 4 10" xfId="33516" xr:uid="{00000000-0005-0000-0000-0000EC820000}"/>
    <cellStyle name="Normal 5 10 31 4 2" xfId="33517" xr:uid="{00000000-0005-0000-0000-0000ED820000}"/>
    <cellStyle name="Normal 5 10 31 4 3" xfId="33518" xr:uid="{00000000-0005-0000-0000-0000EE820000}"/>
    <cellStyle name="Normal 5 10 31 4 4" xfId="33519" xr:uid="{00000000-0005-0000-0000-0000EF820000}"/>
    <cellStyle name="Normal 5 10 31 4 5" xfId="33520" xr:uid="{00000000-0005-0000-0000-0000F0820000}"/>
    <cellStyle name="Normal 5 10 31 4 6" xfId="33521" xr:uid="{00000000-0005-0000-0000-0000F1820000}"/>
    <cellStyle name="Normal 5 10 31 4 7" xfId="33522" xr:uid="{00000000-0005-0000-0000-0000F2820000}"/>
    <cellStyle name="Normal 5 10 31 4 8" xfId="33523" xr:uid="{00000000-0005-0000-0000-0000F3820000}"/>
    <cellStyle name="Normal 5 10 31 4 9" xfId="33524" xr:uid="{00000000-0005-0000-0000-0000F4820000}"/>
    <cellStyle name="Normal 5 10 31 5" xfId="33525" xr:uid="{00000000-0005-0000-0000-0000F5820000}"/>
    <cellStyle name="Normal 5 10 31 5 10" xfId="33526" xr:uid="{00000000-0005-0000-0000-0000F6820000}"/>
    <cellStyle name="Normal 5 10 31 5 2" xfId="33527" xr:uid="{00000000-0005-0000-0000-0000F7820000}"/>
    <cellStyle name="Normal 5 10 31 5 3" xfId="33528" xr:uid="{00000000-0005-0000-0000-0000F8820000}"/>
    <cellStyle name="Normal 5 10 31 5 4" xfId="33529" xr:uid="{00000000-0005-0000-0000-0000F9820000}"/>
    <cellStyle name="Normal 5 10 31 5 5" xfId="33530" xr:uid="{00000000-0005-0000-0000-0000FA820000}"/>
    <cellStyle name="Normal 5 10 31 5 6" xfId="33531" xr:uid="{00000000-0005-0000-0000-0000FB820000}"/>
    <cellStyle name="Normal 5 10 31 5 7" xfId="33532" xr:uid="{00000000-0005-0000-0000-0000FC820000}"/>
    <cellStyle name="Normal 5 10 31 5 8" xfId="33533" xr:uid="{00000000-0005-0000-0000-0000FD820000}"/>
    <cellStyle name="Normal 5 10 31 5 9" xfId="33534" xr:uid="{00000000-0005-0000-0000-0000FE820000}"/>
    <cellStyle name="Normal 5 10 31 6" xfId="33535" xr:uid="{00000000-0005-0000-0000-0000FF820000}"/>
    <cellStyle name="Normal 5 10 31 7" xfId="33536" xr:uid="{00000000-0005-0000-0000-000000830000}"/>
    <cellStyle name="Normal 5 10 31 8" xfId="33537" xr:uid="{00000000-0005-0000-0000-000001830000}"/>
    <cellStyle name="Normal 5 10 31 9" xfId="33538" xr:uid="{00000000-0005-0000-0000-000002830000}"/>
    <cellStyle name="Normal 5 10 32" xfId="33539" xr:uid="{00000000-0005-0000-0000-000003830000}"/>
    <cellStyle name="Normal 5 10 32 10" xfId="33540" xr:uid="{00000000-0005-0000-0000-000004830000}"/>
    <cellStyle name="Normal 5 10 32 11" xfId="33541" xr:uid="{00000000-0005-0000-0000-000005830000}"/>
    <cellStyle name="Normal 5 10 32 12" xfId="33542" xr:uid="{00000000-0005-0000-0000-000006830000}"/>
    <cellStyle name="Normal 5 10 32 13" xfId="33543" xr:uid="{00000000-0005-0000-0000-000007830000}"/>
    <cellStyle name="Normal 5 10 32 14" xfId="33544" xr:uid="{00000000-0005-0000-0000-000008830000}"/>
    <cellStyle name="Normal 5 10 32 2" xfId="33545" xr:uid="{00000000-0005-0000-0000-000009830000}"/>
    <cellStyle name="Normal 5 10 32 2 10" xfId="33546" xr:uid="{00000000-0005-0000-0000-00000A830000}"/>
    <cellStyle name="Normal 5 10 32 2 2" xfId="33547" xr:uid="{00000000-0005-0000-0000-00000B830000}"/>
    <cellStyle name="Normal 5 10 32 2 3" xfId="33548" xr:uid="{00000000-0005-0000-0000-00000C830000}"/>
    <cellStyle name="Normal 5 10 32 2 4" xfId="33549" xr:uid="{00000000-0005-0000-0000-00000D830000}"/>
    <cellStyle name="Normal 5 10 32 2 5" xfId="33550" xr:uid="{00000000-0005-0000-0000-00000E830000}"/>
    <cellStyle name="Normal 5 10 32 2 6" xfId="33551" xr:uid="{00000000-0005-0000-0000-00000F830000}"/>
    <cellStyle name="Normal 5 10 32 2 7" xfId="33552" xr:uid="{00000000-0005-0000-0000-000010830000}"/>
    <cellStyle name="Normal 5 10 32 2 8" xfId="33553" xr:uid="{00000000-0005-0000-0000-000011830000}"/>
    <cellStyle name="Normal 5 10 32 2 9" xfId="33554" xr:uid="{00000000-0005-0000-0000-000012830000}"/>
    <cellStyle name="Normal 5 10 32 3" xfId="33555" xr:uid="{00000000-0005-0000-0000-000013830000}"/>
    <cellStyle name="Normal 5 10 32 3 10" xfId="33556" xr:uid="{00000000-0005-0000-0000-000014830000}"/>
    <cellStyle name="Normal 5 10 32 3 2" xfId="33557" xr:uid="{00000000-0005-0000-0000-000015830000}"/>
    <cellStyle name="Normal 5 10 32 3 3" xfId="33558" xr:uid="{00000000-0005-0000-0000-000016830000}"/>
    <cellStyle name="Normal 5 10 32 3 4" xfId="33559" xr:uid="{00000000-0005-0000-0000-000017830000}"/>
    <cellStyle name="Normal 5 10 32 3 5" xfId="33560" xr:uid="{00000000-0005-0000-0000-000018830000}"/>
    <cellStyle name="Normal 5 10 32 3 6" xfId="33561" xr:uid="{00000000-0005-0000-0000-000019830000}"/>
    <cellStyle name="Normal 5 10 32 3 7" xfId="33562" xr:uid="{00000000-0005-0000-0000-00001A830000}"/>
    <cellStyle name="Normal 5 10 32 3 8" xfId="33563" xr:uid="{00000000-0005-0000-0000-00001B830000}"/>
    <cellStyle name="Normal 5 10 32 3 9" xfId="33564" xr:uid="{00000000-0005-0000-0000-00001C830000}"/>
    <cellStyle name="Normal 5 10 32 4" xfId="33565" xr:uid="{00000000-0005-0000-0000-00001D830000}"/>
    <cellStyle name="Normal 5 10 32 4 10" xfId="33566" xr:uid="{00000000-0005-0000-0000-00001E830000}"/>
    <cellStyle name="Normal 5 10 32 4 2" xfId="33567" xr:uid="{00000000-0005-0000-0000-00001F830000}"/>
    <cellStyle name="Normal 5 10 32 4 3" xfId="33568" xr:uid="{00000000-0005-0000-0000-000020830000}"/>
    <cellStyle name="Normal 5 10 32 4 4" xfId="33569" xr:uid="{00000000-0005-0000-0000-000021830000}"/>
    <cellStyle name="Normal 5 10 32 4 5" xfId="33570" xr:uid="{00000000-0005-0000-0000-000022830000}"/>
    <cellStyle name="Normal 5 10 32 4 6" xfId="33571" xr:uid="{00000000-0005-0000-0000-000023830000}"/>
    <cellStyle name="Normal 5 10 32 4 7" xfId="33572" xr:uid="{00000000-0005-0000-0000-000024830000}"/>
    <cellStyle name="Normal 5 10 32 4 8" xfId="33573" xr:uid="{00000000-0005-0000-0000-000025830000}"/>
    <cellStyle name="Normal 5 10 32 4 9" xfId="33574" xr:uid="{00000000-0005-0000-0000-000026830000}"/>
    <cellStyle name="Normal 5 10 32 5" xfId="33575" xr:uid="{00000000-0005-0000-0000-000027830000}"/>
    <cellStyle name="Normal 5 10 32 5 10" xfId="33576" xr:uid="{00000000-0005-0000-0000-000028830000}"/>
    <cellStyle name="Normal 5 10 32 5 2" xfId="33577" xr:uid="{00000000-0005-0000-0000-000029830000}"/>
    <cellStyle name="Normal 5 10 32 5 3" xfId="33578" xr:uid="{00000000-0005-0000-0000-00002A830000}"/>
    <cellStyle name="Normal 5 10 32 5 4" xfId="33579" xr:uid="{00000000-0005-0000-0000-00002B830000}"/>
    <cellStyle name="Normal 5 10 32 5 5" xfId="33580" xr:uid="{00000000-0005-0000-0000-00002C830000}"/>
    <cellStyle name="Normal 5 10 32 5 6" xfId="33581" xr:uid="{00000000-0005-0000-0000-00002D830000}"/>
    <cellStyle name="Normal 5 10 32 5 7" xfId="33582" xr:uid="{00000000-0005-0000-0000-00002E830000}"/>
    <cellStyle name="Normal 5 10 32 5 8" xfId="33583" xr:uid="{00000000-0005-0000-0000-00002F830000}"/>
    <cellStyle name="Normal 5 10 32 5 9" xfId="33584" xr:uid="{00000000-0005-0000-0000-000030830000}"/>
    <cellStyle name="Normal 5 10 32 6" xfId="33585" xr:uid="{00000000-0005-0000-0000-000031830000}"/>
    <cellStyle name="Normal 5 10 32 7" xfId="33586" xr:uid="{00000000-0005-0000-0000-000032830000}"/>
    <cellStyle name="Normal 5 10 32 8" xfId="33587" xr:uid="{00000000-0005-0000-0000-000033830000}"/>
    <cellStyle name="Normal 5 10 32 9" xfId="33588" xr:uid="{00000000-0005-0000-0000-000034830000}"/>
    <cellStyle name="Normal 5 10 33" xfId="33589" xr:uid="{00000000-0005-0000-0000-000035830000}"/>
    <cellStyle name="Normal 5 10 33 10" xfId="33590" xr:uid="{00000000-0005-0000-0000-000036830000}"/>
    <cellStyle name="Normal 5 10 33 11" xfId="33591" xr:uid="{00000000-0005-0000-0000-000037830000}"/>
    <cellStyle name="Normal 5 10 33 12" xfId="33592" xr:uid="{00000000-0005-0000-0000-000038830000}"/>
    <cellStyle name="Normal 5 10 33 13" xfId="33593" xr:uid="{00000000-0005-0000-0000-000039830000}"/>
    <cellStyle name="Normal 5 10 33 14" xfId="33594" xr:uid="{00000000-0005-0000-0000-00003A830000}"/>
    <cellStyle name="Normal 5 10 33 2" xfId="33595" xr:uid="{00000000-0005-0000-0000-00003B830000}"/>
    <cellStyle name="Normal 5 10 33 2 10" xfId="33596" xr:uid="{00000000-0005-0000-0000-00003C830000}"/>
    <cellStyle name="Normal 5 10 33 2 2" xfId="33597" xr:uid="{00000000-0005-0000-0000-00003D830000}"/>
    <cellStyle name="Normal 5 10 33 2 3" xfId="33598" xr:uid="{00000000-0005-0000-0000-00003E830000}"/>
    <cellStyle name="Normal 5 10 33 2 4" xfId="33599" xr:uid="{00000000-0005-0000-0000-00003F830000}"/>
    <cellStyle name="Normal 5 10 33 2 5" xfId="33600" xr:uid="{00000000-0005-0000-0000-000040830000}"/>
    <cellStyle name="Normal 5 10 33 2 6" xfId="33601" xr:uid="{00000000-0005-0000-0000-000041830000}"/>
    <cellStyle name="Normal 5 10 33 2 7" xfId="33602" xr:uid="{00000000-0005-0000-0000-000042830000}"/>
    <cellStyle name="Normal 5 10 33 2 8" xfId="33603" xr:uid="{00000000-0005-0000-0000-000043830000}"/>
    <cellStyle name="Normal 5 10 33 2 9" xfId="33604" xr:uid="{00000000-0005-0000-0000-000044830000}"/>
    <cellStyle name="Normal 5 10 33 3" xfId="33605" xr:uid="{00000000-0005-0000-0000-000045830000}"/>
    <cellStyle name="Normal 5 10 33 3 10" xfId="33606" xr:uid="{00000000-0005-0000-0000-000046830000}"/>
    <cellStyle name="Normal 5 10 33 3 2" xfId="33607" xr:uid="{00000000-0005-0000-0000-000047830000}"/>
    <cellStyle name="Normal 5 10 33 3 3" xfId="33608" xr:uid="{00000000-0005-0000-0000-000048830000}"/>
    <cellStyle name="Normal 5 10 33 3 4" xfId="33609" xr:uid="{00000000-0005-0000-0000-000049830000}"/>
    <cellStyle name="Normal 5 10 33 3 5" xfId="33610" xr:uid="{00000000-0005-0000-0000-00004A830000}"/>
    <cellStyle name="Normal 5 10 33 3 6" xfId="33611" xr:uid="{00000000-0005-0000-0000-00004B830000}"/>
    <cellStyle name="Normal 5 10 33 3 7" xfId="33612" xr:uid="{00000000-0005-0000-0000-00004C830000}"/>
    <cellStyle name="Normal 5 10 33 3 8" xfId="33613" xr:uid="{00000000-0005-0000-0000-00004D830000}"/>
    <cellStyle name="Normal 5 10 33 3 9" xfId="33614" xr:uid="{00000000-0005-0000-0000-00004E830000}"/>
    <cellStyle name="Normal 5 10 33 4" xfId="33615" xr:uid="{00000000-0005-0000-0000-00004F830000}"/>
    <cellStyle name="Normal 5 10 33 4 10" xfId="33616" xr:uid="{00000000-0005-0000-0000-000050830000}"/>
    <cellStyle name="Normal 5 10 33 4 2" xfId="33617" xr:uid="{00000000-0005-0000-0000-000051830000}"/>
    <cellStyle name="Normal 5 10 33 4 3" xfId="33618" xr:uid="{00000000-0005-0000-0000-000052830000}"/>
    <cellStyle name="Normal 5 10 33 4 4" xfId="33619" xr:uid="{00000000-0005-0000-0000-000053830000}"/>
    <cellStyle name="Normal 5 10 33 4 5" xfId="33620" xr:uid="{00000000-0005-0000-0000-000054830000}"/>
    <cellStyle name="Normal 5 10 33 4 6" xfId="33621" xr:uid="{00000000-0005-0000-0000-000055830000}"/>
    <cellStyle name="Normal 5 10 33 4 7" xfId="33622" xr:uid="{00000000-0005-0000-0000-000056830000}"/>
    <cellStyle name="Normal 5 10 33 4 8" xfId="33623" xr:uid="{00000000-0005-0000-0000-000057830000}"/>
    <cellStyle name="Normal 5 10 33 4 9" xfId="33624" xr:uid="{00000000-0005-0000-0000-000058830000}"/>
    <cellStyle name="Normal 5 10 33 5" xfId="33625" xr:uid="{00000000-0005-0000-0000-000059830000}"/>
    <cellStyle name="Normal 5 10 33 5 10" xfId="33626" xr:uid="{00000000-0005-0000-0000-00005A830000}"/>
    <cellStyle name="Normal 5 10 33 5 2" xfId="33627" xr:uid="{00000000-0005-0000-0000-00005B830000}"/>
    <cellStyle name="Normal 5 10 33 5 3" xfId="33628" xr:uid="{00000000-0005-0000-0000-00005C830000}"/>
    <cellStyle name="Normal 5 10 33 5 4" xfId="33629" xr:uid="{00000000-0005-0000-0000-00005D830000}"/>
    <cellStyle name="Normal 5 10 33 5 5" xfId="33630" xr:uid="{00000000-0005-0000-0000-00005E830000}"/>
    <cellStyle name="Normal 5 10 33 5 6" xfId="33631" xr:uid="{00000000-0005-0000-0000-00005F830000}"/>
    <cellStyle name="Normal 5 10 33 5 7" xfId="33632" xr:uid="{00000000-0005-0000-0000-000060830000}"/>
    <cellStyle name="Normal 5 10 33 5 8" xfId="33633" xr:uid="{00000000-0005-0000-0000-000061830000}"/>
    <cellStyle name="Normal 5 10 33 5 9" xfId="33634" xr:uid="{00000000-0005-0000-0000-000062830000}"/>
    <cellStyle name="Normal 5 10 33 6" xfId="33635" xr:uid="{00000000-0005-0000-0000-000063830000}"/>
    <cellStyle name="Normal 5 10 33 7" xfId="33636" xr:uid="{00000000-0005-0000-0000-000064830000}"/>
    <cellStyle name="Normal 5 10 33 8" xfId="33637" xr:uid="{00000000-0005-0000-0000-000065830000}"/>
    <cellStyle name="Normal 5 10 33 9" xfId="33638" xr:uid="{00000000-0005-0000-0000-000066830000}"/>
    <cellStyle name="Normal 5 10 34" xfId="33639" xr:uid="{00000000-0005-0000-0000-000067830000}"/>
    <cellStyle name="Normal 5 10 34 10" xfId="33640" xr:uid="{00000000-0005-0000-0000-000068830000}"/>
    <cellStyle name="Normal 5 10 34 11" xfId="33641" xr:uid="{00000000-0005-0000-0000-000069830000}"/>
    <cellStyle name="Normal 5 10 34 12" xfId="33642" xr:uid="{00000000-0005-0000-0000-00006A830000}"/>
    <cellStyle name="Normal 5 10 34 13" xfId="33643" xr:uid="{00000000-0005-0000-0000-00006B830000}"/>
    <cellStyle name="Normal 5 10 34 14" xfId="33644" xr:uid="{00000000-0005-0000-0000-00006C830000}"/>
    <cellStyle name="Normal 5 10 34 2" xfId="33645" xr:uid="{00000000-0005-0000-0000-00006D830000}"/>
    <cellStyle name="Normal 5 10 34 2 10" xfId="33646" xr:uid="{00000000-0005-0000-0000-00006E830000}"/>
    <cellStyle name="Normal 5 10 34 2 2" xfId="33647" xr:uid="{00000000-0005-0000-0000-00006F830000}"/>
    <cellStyle name="Normal 5 10 34 2 3" xfId="33648" xr:uid="{00000000-0005-0000-0000-000070830000}"/>
    <cellStyle name="Normal 5 10 34 2 4" xfId="33649" xr:uid="{00000000-0005-0000-0000-000071830000}"/>
    <cellStyle name="Normal 5 10 34 2 5" xfId="33650" xr:uid="{00000000-0005-0000-0000-000072830000}"/>
    <cellStyle name="Normal 5 10 34 2 6" xfId="33651" xr:uid="{00000000-0005-0000-0000-000073830000}"/>
    <cellStyle name="Normal 5 10 34 2 7" xfId="33652" xr:uid="{00000000-0005-0000-0000-000074830000}"/>
    <cellStyle name="Normal 5 10 34 2 8" xfId="33653" xr:uid="{00000000-0005-0000-0000-000075830000}"/>
    <cellStyle name="Normal 5 10 34 2 9" xfId="33654" xr:uid="{00000000-0005-0000-0000-000076830000}"/>
    <cellStyle name="Normal 5 10 34 3" xfId="33655" xr:uid="{00000000-0005-0000-0000-000077830000}"/>
    <cellStyle name="Normal 5 10 34 3 10" xfId="33656" xr:uid="{00000000-0005-0000-0000-000078830000}"/>
    <cellStyle name="Normal 5 10 34 3 2" xfId="33657" xr:uid="{00000000-0005-0000-0000-000079830000}"/>
    <cellStyle name="Normal 5 10 34 3 3" xfId="33658" xr:uid="{00000000-0005-0000-0000-00007A830000}"/>
    <cellStyle name="Normal 5 10 34 3 4" xfId="33659" xr:uid="{00000000-0005-0000-0000-00007B830000}"/>
    <cellStyle name="Normal 5 10 34 3 5" xfId="33660" xr:uid="{00000000-0005-0000-0000-00007C830000}"/>
    <cellStyle name="Normal 5 10 34 3 6" xfId="33661" xr:uid="{00000000-0005-0000-0000-00007D830000}"/>
    <cellStyle name="Normal 5 10 34 3 7" xfId="33662" xr:uid="{00000000-0005-0000-0000-00007E830000}"/>
    <cellStyle name="Normal 5 10 34 3 8" xfId="33663" xr:uid="{00000000-0005-0000-0000-00007F830000}"/>
    <cellStyle name="Normal 5 10 34 3 9" xfId="33664" xr:uid="{00000000-0005-0000-0000-000080830000}"/>
    <cellStyle name="Normal 5 10 34 4" xfId="33665" xr:uid="{00000000-0005-0000-0000-000081830000}"/>
    <cellStyle name="Normal 5 10 34 4 10" xfId="33666" xr:uid="{00000000-0005-0000-0000-000082830000}"/>
    <cellStyle name="Normal 5 10 34 4 2" xfId="33667" xr:uid="{00000000-0005-0000-0000-000083830000}"/>
    <cellStyle name="Normal 5 10 34 4 3" xfId="33668" xr:uid="{00000000-0005-0000-0000-000084830000}"/>
    <cellStyle name="Normal 5 10 34 4 4" xfId="33669" xr:uid="{00000000-0005-0000-0000-000085830000}"/>
    <cellStyle name="Normal 5 10 34 4 5" xfId="33670" xr:uid="{00000000-0005-0000-0000-000086830000}"/>
    <cellStyle name="Normal 5 10 34 4 6" xfId="33671" xr:uid="{00000000-0005-0000-0000-000087830000}"/>
    <cellStyle name="Normal 5 10 34 4 7" xfId="33672" xr:uid="{00000000-0005-0000-0000-000088830000}"/>
    <cellStyle name="Normal 5 10 34 4 8" xfId="33673" xr:uid="{00000000-0005-0000-0000-000089830000}"/>
    <cellStyle name="Normal 5 10 34 4 9" xfId="33674" xr:uid="{00000000-0005-0000-0000-00008A830000}"/>
    <cellStyle name="Normal 5 10 34 5" xfId="33675" xr:uid="{00000000-0005-0000-0000-00008B830000}"/>
    <cellStyle name="Normal 5 10 34 5 10" xfId="33676" xr:uid="{00000000-0005-0000-0000-00008C830000}"/>
    <cellStyle name="Normal 5 10 34 5 2" xfId="33677" xr:uid="{00000000-0005-0000-0000-00008D830000}"/>
    <cellStyle name="Normal 5 10 34 5 3" xfId="33678" xr:uid="{00000000-0005-0000-0000-00008E830000}"/>
    <cellStyle name="Normal 5 10 34 5 4" xfId="33679" xr:uid="{00000000-0005-0000-0000-00008F830000}"/>
    <cellStyle name="Normal 5 10 34 5 5" xfId="33680" xr:uid="{00000000-0005-0000-0000-000090830000}"/>
    <cellStyle name="Normal 5 10 34 5 6" xfId="33681" xr:uid="{00000000-0005-0000-0000-000091830000}"/>
    <cellStyle name="Normal 5 10 34 5 7" xfId="33682" xr:uid="{00000000-0005-0000-0000-000092830000}"/>
    <cellStyle name="Normal 5 10 34 5 8" xfId="33683" xr:uid="{00000000-0005-0000-0000-000093830000}"/>
    <cellStyle name="Normal 5 10 34 5 9" xfId="33684" xr:uid="{00000000-0005-0000-0000-000094830000}"/>
    <cellStyle name="Normal 5 10 34 6" xfId="33685" xr:uid="{00000000-0005-0000-0000-000095830000}"/>
    <cellStyle name="Normal 5 10 34 7" xfId="33686" xr:uid="{00000000-0005-0000-0000-000096830000}"/>
    <cellStyle name="Normal 5 10 34 8" xfId="33687" xr:uid="{00000000-0005-0000-0000-000097830000}"/>
    <cellStyle name="Normal 5 10 34 9" xfId="33688" xr:uid="{00000000-0005-0000-0000-000098830000}"/>
    <cellStyle name="Normal 5 10 35" xfId="33689" xr:uid="{00000000-0005-0000-0000-000099830000}"/>
    <cellStyle name="Normal 5 10 35 10" xfId="33690" xr:uid="{00000000-0005-0000-0000-00009A830000}"/>
    <cellStyle name="Normal 5 10 35 2" xfId="33691" xr:uid="{00000000-0005-0000-0000-00009B830000}"/>
    <cellStyle name="Normal 5 10 35 3" xfId="33692" xr:uid="{00000000-0005-0000-0000-00009C830000}"/>
    <cellStyle name="Normal 5 10 35 4" xfId="33693" xr:uid="{00000000-0005-0000-0000-00009D830000}"/>
    <cellStyle name="Normal 5 10 35 5" xfId="33694" xr:uid="{00000000-0005-0000-0000-00009E830000}"/>
    <cellStyle name="Normal 5 10 35 6" xfId="33695" xr:uid="{00000000-0005-0000-0000-00009F830000}"/>
    <cellStyle name="Normal 5 10 35 7" xfId="33696" xr:uid="{00000000-0005-0000-0000-0000A0830000}"/>
    <cellStyle name="Normal 5 10 35 8" xfId="33697" xr:uid="{00000000-0005-0000-0000-0000A1830000}"/>
    <cellStyle name="Normal 5 10 35 9" xfId="33698" xr:uid="{00000000-0005-0000-0000-0000A2830000}"/>
    <cellStyle name="Normal 5 10 36" xfId="33699" xr:uid="{00000000-0005-0000-0000-0000A3830000}"/>
    <cellStyle name="Normal 5 10 36 10" xfId="33700" xr:uid="{00000000-0005-0000-0000-0000A4830000}"/>
    <cellStyle name="Normal 5 10 36 2" xfId="33701" xr:uid="{00000000-0005-0000-0000-0000A5830000}"/>
    <cellStyle name="Normal 5 10 36 3" xfId="33702" xr:uid="{00000000-0005-0000-0000-0000A6830000}"/>
    <cellStyle name="Normal 5 10 36 4" xfId="33703" xr:uid="{00000000-0005-0000-0000-0000A7830000}"/>
    <cellStyle name="Normal 5 10 36 5" xfId="33704" xr:uid="{00000000-0005-0000-0000-0000A8830000}"/>
    <cellStyle name="Normal 5 10 36 6" xfId="33705" xr:uid="{00000000-0005-0000-0000-0000A9830000}"/>
    <cellStyle name="Normal 5 10 36 7" xfId="33706" xr:uid="{00000000-0005-0000-0000-0000AA830000}"/>
    <cellStyle name="Normal 5 10 36 8" xfId="33707" xr:uid="{00000000-0005-0000-0000-0000AB830000}"/>
    <cellStyle name="Normal 5 10 36 9" xfId="33708" xr:uid="{00000000-0005-0000-0000-0000AC830000}"/>
    <cellStyle name="Normal 5 10 37" xfId="33709" xr:uid="{00000000-0005-0000-0000-0000AD830000}"/>
    <cellStyle name="Normal 5 10 37 10" xfId="33710" xr:uid="{00000000-0005-0000-0000-0000AE830000}"/>
    <cellStyle name="Normal 5 10 37 2" xfId="33711" xr:uid="{00000000-0005-0000-0000-0000AF830000}"/>
    <cellStyle name="Normal 5 10 37 3" xfId="33712" xr:uid="{00000000-0005-0000-0000-0000B0830000}"/>
    <cellStyle name="Normal 5 10 37 4" xfId="33713" xr:uid="{00000000-0005-0000-0000-0000B1830000}"/>
    <cellStyle name="Normal 5 10 37 5" xfId="33714" xr:uid="{00000000-0005-0000-0000-0000B2830000}"/>
    <cellStyle name="Normal 5 10 37 6" xfId="33715" xr:uid="{00000000-0005-0000-0000-0000B3830000}"/>
    <cellStyle name="Normal 5 10 37 7" xfId="33716" xr:uid="{00000000-0005-0000-0000-0000B4830000}"/>
    <cellStyle name="Normal 5 10 37 8" xfId="33717" xr:uid="{00000000-0005-0000-0000-0000B5830000}"/>
    <cellStyle name="Normal 5 10 37 9" xfId="33718" xr:uid="{00000000-0005-0000-0000-0000B6830000}"/>
    <cellStyle name="Normal 5 10 38" xfId="33719" xr:uid="{00000000-0005-0000-0000-0000B7830000}"/>
    <cellStyle name="Normal 5 10 38 10" xfId="33720" xr:uid="{00000000-0005-0000-0000-0000B8830000}"/>
    <cellStyle name="Normal 5 10 38 2" xfId="33721" xr:uid="{00000000-0005-0000-0000-0000B9830000}"/>
    <cellStyle name="Normal 5 10 38 3" xfId="33722" xr:uid="{00000000-0005-0000-0000-0000BA830000}"/>
    <cellStyle name="Normal 5 10 38 4" xfId="33723" xr:uid="{00000000-0005-0000-0000-0000BB830000}"/>
    <cellStyle name="Normal 5 10 38 5" xfId="33724" xr:uid="{00000000-0005-0000-0000-0000BC830000}"/>
    <cellStyle name="Normal 5 10 38 6" xfId="33725" xr:uid="{00000000-0005-0000-0000-0000BD830000}"/>
    <cellStyle name="Normal 5 10 38 7" xfId="33726" xr:uid="{00000000-0005-0000-0000-0000BE830000}"/>
    <cellStyle name="Normal 5 10 38 8" xfId="33727" xr:uid="{00000000-0005-0000-0000-0000BF830000}"/>
    <cellStyle name="Normal 5 10 38 9" xfId="33728" xr:uid="{00000000-0005-0000-0000-0000C0830000}"/>
    <cellStyle name="Normal 5 10 39" xfId="33729" xr:uid="{00000000-0005-0000-0000-0000C1830000}"/>
    <cellStyle name="Normal 5 10 4" xfId="33730" xr:uid="{00000000-0005-0000-0000-0000C2830000}"/>
    <cellStyle name="Normal 5 10 4 10" xfId="33731" xr:uid="{00000000-0005-0000-0000-0000C3830000}"/>
    <cellStyle name="Normal 5 10 4 11" xfId="33732" xr:uid="{00000000-0005-0000-0000-0000C4830000}"/>
    <cellStyle name="Normal 5 10 4 12" xfId="33733" xr:uid="{00000000-0005-0000-0000-0000C5830000}"/>
    <cellStyle name="Normal 5 10 4 13" xfId="33734" xr:uid="{00000000-0005-0000-0000-0000C6830000}"/>
    <cellStyle name="Normal 5 10 4 14" xfId="33735" xr:uid="{00000000-0005-0000-0000-0000C7830000}"/>
    <cellStyle name="Normal 5 10 4 2" xfId="33736" xr:uid="{00000000-0005-0000-0000-0000C8830000}"/>
    <cellStyle name="Normal 5 10 4 2 10" xfId="33737" xr:uid="{00000000-0005-0000-0000-0000C9830000}"/>
    <cellStyle name="Normal 5 10 4 2 2" xfId="33738" xr:uid="{00000000-0005-0000-0000-0000CA830000}"/>
    <cellStyle name="Normal 5 10 4 2 3" xfId="33739" xr:uid="{00000000-0005-0000-0000-0000CB830000}"/>
    <cellStyle name="Normal 5 10 4 2 4" xfId="33740" xr:uid="{00000000-0005-0000-0000-0000CC830000}"/>
    <cellStyle name="Normal 5 10 4 2 5" xfId="33741" xr:uid="{00000000-0005-0000-0000-0000CD830000}"/>
    <cellStyle name="Normal 5 10 4 2 6" xfId="33742" xr:uid="{00000000-0005-0000-0000-0000CE830000}"/>
    <cellStyle name="Normal 5 10 4 2 7" xfId="33743" xr:uid="{00000000-0005-0000-0000-0000CF830000}"/>
    <cellStyle name="Normal 5 10 4 2 8" xfId="33744" xr:uid="{00000000-0005-0000-0000-0000D0830000}"/>
    <cellStyle name="Normal 5 10 4 2 9" xfId="33745" xr:uid="{00000000-0005-0000-0000-0000D1830000}"/>
    <cellStyle name="Normal 5 10 4 3" xfId="33746" xr:uid="{00000000-0005-0000-0000-0000D2830000}"/>
    <cellStyle name="Normal 5 10 4 3 10" xfId="33747" xr:uid="{00000000-0005-0000-0000-0000D3830000}"/>
    <cellStyle name="Normal 5 10 4 3 2" xfId="33748" xr:uid="{00000000-0005-0000-0000-0000D4830000}"/>
    <cellStyle name="Normal 5 10 4 3 3" xfId="33749" xr:uid="{00000000-0005-0000-0000-0000D5830000}"/>
    <cellStyle name="Normal 5 10 4 3 4" xfId="33750" xr:uid="{00000000-0005-0000-0000-0000D6830000}"/>
    <cellStyle name="Normal 5 10 4 3 5" xfId="33751" xr:uid="{00000000-0005-0000-0000-0000D7830000}"/>
    <cellStyle name="Normal 5 10 4 3 6" xfId="33752" xr:uid="{00000000-0005-0000-0000-0000D8830000}"/>
    <cellStyle name="Normal 5 10 4 3 7" xfId="33753" xr:uid="{00000000-0005-0000-0000-0000D9830000}"/>
    <cellStyle name="Normal 5 10 4 3 8" xfId="33754" xr:uid="{00000000-0005-0000-0000-0000DA830000}"/>
    <cellStyle name="Normal 5 10 4 3 9" xfId="33755" xr:uid="{00000000-0005-0000-0000-0000DB830000}"/>
    <cellStyle name="Normal 5 10 4 4" xfId="33756" xr:uid="{00000000-0005-0000-0000-0000DC830000}"/>
    <cellStyle name="Normal 5 10 4 4 10" xfId="33757" xr:uid="{00000000-0005-0000-0000-0000DD830000}"/>
    <cellStyle name="Normal 5 10 4 4 2" xfId="33758" xr:uid="{00000000-0005-0000-0000-0000DE830000}"/>
    <cellStyle name="Normal 5 10 4 4 3" xfId="33759" xr:uid="{00000000-0005-0000-0000-0000DF830000}"/>
    <cellStyle name="Normal 5 10 4 4 4" xfId="33760" xr:uid="{00000000-0005-0000-0000-0000E0830000}"/>
    <cellStyle name="Normal 5 10 4 4 5" xfId="33761" xr:uid="{00000000-0005-0000-0000-0000E1830000}"/>
    <cellStyle name="Normal 5 10 4 4 6" xfId="33762" xr:uid="{00000000-0005-0000-0000-0000E2830000}"/>
    <cellStyle name="Normal 5 10 4 4 7" xfId="33763" xr:uid="{00000000-0005-0000-0000-0000E3830000}"/>
    <cellStyle name="Normal 5 10 4 4 8" xfId="33764" xr:uid="{00000000-0005-0000-0000-0000E4830000}"/>
    <cellStyle name="Normal 5 10 4 4 9" xfId="33765" xr:uid="{00000000-0005-0000-0000-0000E5830000}"/>
    <cellStyle name="Normal 5 10 4 5" xfId="33766" xr:uid="{00000000-0005-0000-0000-0000E6830000}"/>
    <cellStyle name="Normal 5 10 4 5 10" xfId="33767" xr:uid="{00000000-0005-0000-0000-0000E7830000}"/>
    <cellStyle name="Normal 5 10 4 5 2" xfId="33768" xr:uid="{00000000-0005-0000-0000-0000E8830000}"/>
    <cellStyle name="Normal 5 10 4 5 3" xfId="33769" xr:uid="{00000000-0005-0000-0000-0000E9830000}"/>
    <cellStyle name="Normal 5 10 4 5 4" xfId="33770" xr:uid="{00000000-0005-0000-0000-0000EA830000}"/>
    <cellStyle name="Normal 5 10 4 5 5" xfId="33771" xr:uid="{00000000-0005-0000-0000-0000EB830000}"/>
    <cellStyle name="Normal 5 10 4 5 6" xfId="33772" xr:uid="{00000000-0005-0000-0000-0000EC830000}"/>
    <cellStyle name="Normal 5 10 4 5 7" xfId="33773" xr:uid="{00000000-0005-0000-0000-0000ED830000}"/>
    <cellStyle name="Normal 5 10 4 5 8" xfId="33774" xr:uid="{00000000-0005-0000-0000-0000EE830000}"/>
    <cellStyle name="Normal 5 10 4 5 9" xfId="33775" xr:uid="{00000000-0005-0000-0000-0000EF830000}"/>
    <cellStyle name="Normal 5 10 4 6" xfId="33776" xr:uid="{00000000-0005-0000-0000-0000F0830000}"/>
    <cellStyle name="Normal 5 10 4 7" xfId="33777" xr:uid="{00000000-0005-0000-0000-0000F1830000}"/>
    <cellStyle name="Normal 5 10 4 8" xfId="33778" xr:uid="{00000000-0005-0000-0000-0000F2830000}"/>
    <cellStyle name="Normal 5 10 4 9" xfId="33779" xr:uid="{00000000-0005-0000-0000-0000F3830000}"/>
    <cellStyle name="Normal 5 10 40" xfId="33780" xr:uid="{00000000-0005-0000-0000-0000F4830000}"/>
    <cellStyle name="Normal 5 10 41" xfId="33781" xr:uid="{00000000-0005-0000-0000-0000F5830000}"/>
    <cellStyle name="Normal 5 10 42" xfId="33782" xr:uid="{00000000-0005-0000-0000-0000F6830000}"/>
    <cellStyle name="Normal 5 10 43" xfId="33783" xr:uid="{00000000-0005-0000-0000-0000F7830000}"/>
    <cellStyle name="Normal 5 10 44" xfId="33784" xr:uid="{00000000-0005-0000-0000-0000F8830000}"/>
    <cellStyle name="Normal 5 10 45" xfId="33785" xr:uid="{00000000-0005-0000-0000-0000F9830000}"/>
    <cellStyle name="Normal 5 10 46" xfId="33786" xr:uid="{00000000-0005-0000-0000-0000FA830000}"/>
    <cellStyle name="Normal 5 10 47" xfId="33787" xr:uid="{00000000-0005-0000-0000-0000FB830000}"/>
    <cellStyle name="Normal 5 10 48" xfId="33788" xr:uid="{00000000-0005-0000-0000-0000FC830000}"/>
    <cellStyle name="Normal 5 10 49" xfId="33789" xr:uid="{00000000-0005-0000-0000-0000FD830000}"/>
    <cellStyle name="Normal 5 10 5" xfId="33790" xr:uid="{00000000-0005-0000-0000-0000FE830000}"/>
    <cellStyle name="Normal 5 10 5 10" xfId="33791" xr:uid="{00000000-0005-0000-0000-0000FF830000}"/>
    <cellStyle name="Normal 5 10 5 11" xfId="33792" xr:uid="{00000000-0005-0000-0000-000000840000}"/>
    <cellStyle name="Normal 5 10 5 12" xfId="33793" xr:uid="{00000000-0005-0000-0000-000001840000}"/>
    <cellStyle name="Normal 5 10 5 13" xfId="33794" xr:uid="{00000000-0005-0000-0000-000002840000}"/>
    <cellStyle name="Normal 5 10 5 14" xfId="33795" xr:uid="{00000000-0005-0000-0000-000003840000}"/>
    <cellStyle name="Normal 5 10 5 2" xfId="33796" xr:uid="{00000000-0005-0000-0000-000004840000}"/>
    <cellStyle name="Normal 5 10 5 2 10" xfId="33797" xr:uid="{00000000-0005-0000-0000-000005840000}"/>
    <cellStyle name="Normal 5 10 5 2 2" xfId="33798" xr:uid="{00000000-0005-0000-0000-000006840000}"/>
    <cellStyle name="Normal 5 10 5 2 3" xfId="33799" xr:uid="{00000000-0005-0000-0000-000007840000}"/>
    <cellStyle name="Normal 5 10 5 2 4" xfId="33800" xr:uid="{00000000-0005-0000-0000-000008840000}"/>
    <cellStyle name="Normal 5 10 5 2 5" xfId="33801" xr:uid="{00000000-0005-0000-0000-000009840000}"/>
    <cellStyle name="Normal 5 10 5 2 6" xfId="33802" xr:uid="{00000000-0005-0000-0000-00000A840000}"/>
    <cellStyle name="Normal 5 10 5 2 7" xfId="33803" xr:uid="{00000000-0005-0000-0000-00000B840000}"/>
    <cellStyle name="Normal 5 10 5 2 8" xfId="33804" xr:uid="{00000000-0005-0000-0000-00000C840000}"/>
    <cellStyle name="Normal 5 10 5 2 9" xfId="33805" xr:uid="{00000000-0005-0000-0000-00000D840000}"/>
    <cellStyle name="Normal 5 10 5 3" xfId="33806" xr:uid="{00000000-0005-0000-0000-00000E840000}"/>
    <cellStyle name="Normal 5 10 5 3 10" xfId="33807" xr:uid="{00000000-0005-0000-0000-00000F840000}"/>
    <cellStyle name="Normal 5 10 5 3 2" xfId="33808" xr:uid="{00000000-0005-0000-0000-000010840000}"/>
    <cellStyle name="Normal 5 10 5 3 3" xfId="33809" xr:uid="{00000000-0005-0000-0000-000011840000}"/>
    <cellStyle name="Normal 5 10 5 3 4" xfId="33810" xr:uid="{00000000-0005-0000-0000-000012840000}"/>
    <cellStyle name="Normal 5 10 5 3 5" xfId="33811" xr:uid="{00000000-0005-0000-0000-000013840000}"/>
    <cellStyle name="Normal 5 10 5 3 6" xfId="33812" xr:uid="{00000000-0005-0000-0000-000014840000}"/>
    <cellStyle name="Normal 5 10 5 3 7" xfId="33813" xr:uid="{00000000-0005-0000-0000-000015840000}"/>
    <cellStyle name="Normal 5 10 5 3 8" xfId="33814" xr:uid="{00000000-0005-0000-0000-000016840000}"/>
    <cellStyle name="Normal 5 10 5 3 9" xfId="33815" xr:uid="{00000000-0005-0000-0000-000017840000}"/>
    <cellStyle name="Normal 5 10 5 4" xfId="33816" xr:uid="{00000000-0005-0000-0000-000018840000}"/>
    <cellStyle name="Normal 5 10 5 4 10" xfId="33817" xr:uid="{00000000-0005-0000-0000-000019840000}"/>
    <cellStyle name="Normal 5 10 5 4 2" xfId="33818" xr:uid="{00000000-0005-0000-0000-00001A840000}"/>
    <cellStyle name="Normal 5 10 5 4 3" xfId="33819" xr:uid="{00000000-0005-0000-0000-00001B840000}"/>
    <cellStyle name="Normal 5 10 5 4 4" xfId="33820" xr:uid="{00000000-0005-0000-0000-00001C840000}"/>
    <cellStyle name="Normal 5 10 5 4 5" xfId="33821" xr:uid="{00000000-0005-0000-0000-00001D840000}"/>
    <cellStyle name="Normal 5 10 5 4 6" xfId="33822" xr:uid="{00000000-0005-0000-0000-00001E840000}"/>
    <cellStyle name="Normal 5 10 5 4 7" xfId="33823" xr:uid="{00000000-0005-0000-0000-00001F840000}"/>
    <cellStyle name="Normal 5 10 5 4 8" xfId="33824" xr:uid="{00000000-0005-0000-0000-000020840000}"/>
    <cellStyle name="Normal 5 10 5 4 9" xfId="33825" xr:uid="{00000000-0005-0000-0000-000021840000}"/>
    <cellStyle name="Normal 5 10 5 5" xfId="33826" xr:uid="{00000000-0005-0000-0000-000022840000}"/>
    <cellStyle name="Normal 5 10 5 5 10" xfId="33827" xr:uid="{00000000-0005-0000-0000-000023840000}"/>
    <cellStyle name="Normal 5 10 5 5 2" xfId="33828" xr:uid="{00000000-0005-0000-0000-000024840000}"/>
    <cellStyle name="Normal 5 10 5 5 3" xfId="33829" xr:uid="{00000000-0005-0000-0000-000025840000}"/>
    <cellStyle name="Normal 5 10 5 5 4" xfId="33830" xr:uid="{00000000-0005-0000-0000-000026840000}"/>
    <cellStyle name="Normal 5 10 5 5 5" xfId="33831" xr:uid="{00000000-0005-0000-0000-000027840000}"/>
    <cellStyle name="Normal 5 10 5 5 6" xfId="33832" xr:uid="{00000000-0005-0000-0000-000028840000}"/>
    <cellStyle name="Normal 5 10 5 5 7" xfId="33833" xr:uid="{00000000-0005-0000-0000-000029840000}"/>
    <cellStyle name="Normal 5 10 5 5 8" xfId="33834" xr:uid="{00000000-0005-0000-0000-00002A840000}"/>
    <cellStyle name="Normal 5 10 5 5 9" xfId="33835" xr:uid="{00000000-0005-0000-0000-00002B840000}"/>
    <cellStyle name="Normal 5 10 5 6" xfId="33836" xr:uid="{00000000-0005-0000-0000-00002C840000}"/>
    <cellStyle name="Normal 5 10 5 7" xfId="33837" xr:uid="{00000000-0005-0000-0000-00002D840000}"/>
    <cellStyle name="Normal 5 10 5 8" xfId="33838" xr:uid="{00000000-0005-0000-0000-00002E840000}"/>
    <cellStyle name="Normal 5 10 5 9" xfId="33839" xr:uid="{00000000-0005-0000-0000-00002F840000}"/>
    <cellStyle name="Normal 5 10 6" xfId="33840" xr:uid="{00000000-0005-0000-0000-000030840000}"/>
    <cellStyle name="Normal 5 10 6 10" xfId="33841" xr:uid="{00000000-0005-0000-0000-000031840000}"/>
    <cellStyle name="Normal 5 10 6 11" xfId="33842" xr:uid="{00000000-0005-0000-0000-000032840000}"/>
    <cellStyle name="Normal 5 10 6 12" xfId="33843" xr:uid="{00000000-0005-0000-0000-000033840000}"/>
    <cellStyle name="Normal 5 10 6 13" xfId="33844" xr:uid="{00000000-0005-0000-0000-000034840000}"/>
    <cellStyle name="Normal 5 10 6 14" xfId="33845" xr:uid="{00000000-0005-0000-0000-000035840000}"/>
    <cellStyle name="Normal 5 10 6 2" xfId="33846" xr:uid="{00000000-0005-0000-0000-000036840000}"/>
    <cellStyle name="Normal 5 10 6 2 10" xfId="33847" xr:uid="{00000000-0005-0000-0000-000037840000}"/>
    <cellStyle name="Normal 5 10 6 2 2" xfId="33848" xr:uid="{00000000-0005-0000-0000-000038840000}"/>
    <cellStyle name="Normal 5 10 6 2 3" xfId="33849" xr:uid="{00000000-0005-0000-0000-000039840000}"/>
    <cellStyle name="Normal 5 10 6 2 4" xfId="33850" xr:uid="{00000000-0005-0000-0000-00003A840000}"/>
    <cellStyle name="Normal 5 10 6 2 5" xfId="33851" xr:uid="{00000000-0005-0000-0000-00003B840000}"/>
    <cellStyle name="Normal 5 10 6 2 6" xfId="33852" xr:uid="{00000000-0005-0000-0000-00003C840000}"/>
    <cellStyle name="Normal 5 10 6 2 7" xfId="33853" xr:uid="{00000000-0005-0000-0000-00003D840000}"/>
    <cellStyle name="Normal 5 10 6 2 8" xfId="33854" xr:uid="{00000000-0005-0000-0000-00003E840000}"/>
    <cellStyle name="Normal 5 10 6 2 9" xfId="33855" xr:uid="{00000000-0005-0000-0000-00003F840000}"/>
    <cellStyle name="Normal 5 10 6 3" xfId="33856" xr:uid="{00000000-0005-0000-0000-000040840000}"/>
    <cellStyle name="Normal 5 10 6 3 10" xfId="33857" xr:uid="{00000000-0005-0000-0000-000041840000}"/>
    <cellStyle name="Normal 5 10 6 3 2" xfId="33858" xr:uid="{00000000-0005-0000-0000-000042840000}"/>
    <cellStyle name="Normal 5 10 6 3 3" xfId="33859" xr:uid="{00000000-0005-0000-0000-000043840000}"/>
    <cellStyle name="Normal 5 10 6 3 4" xfId="33860" xr:uid="{00000000-0005-0000-0000-000044840000}"/>
    <cellStyle name="Normal 5 10 6 3 5" xfId="33861" xr:uid="{00000000-0005-0000-0000-000045840000}"/>
    <cellStyle name="Normal 5 10 6 3 6" xfId="33862" xr:uid="{00000000-0005-0000-0000-000046840000}"/>
    <cellStyle name="Normal 5 10 6 3 7" xfId="33863" xr:uid="{00000000-0005-0000-0000-000047840000}"/>
    <cellStyle name="Normal 5 10 6 3 8" xfId="33864" xr:uid="{00000000-0005-0000-0000-000048840000}"/>
    <cellStyle name="Normal 5 10 6 3 9" xfId="33865" xr:uid="{00000000-0005-0000-0000-000049840000}"/>
    <cellStyle name="Normal 5 10 6 4" xfId="33866" xr:uid="{00000000-0005-0000-0000-00004A840000}"/>
    <cellStyle name="Normal 5 10 6 4 10" xfId="33867" xr:uid="{00000000-0005-0000-0000-00004B840000}"/>
    <cellStyle name="Normal 5 10 6 4 2" xfId="33868" xr:uid="{00000000-0005-0000-0000-00004C840000}"/>
    <cellStyle name="Normal 5 10 6 4 3" xfId="33869" xr:uid="{00000000-0005-0000-0000-00004D840000}"/>
    <cellStyle name="Normal 5 10 6 4 4" xfId="33870" xr:uid="{00000000-0005-0000-0000-00004E840000}"/>
    <cellStyle name="Normal 5 10 6 4 5" xfId="33871" xr:uid="{00000000-0005-0000-0000-00004F840000}"/>
    <cellStyle name="Normal 5 10 6 4 6" xfId="33872" xr:uid="{00000000-0005-0000-0000-000050840000}"/>
    <cellStyle name="Normal 5 10 6 4 7" xfId="33873" xr:uid="{00000000-0005-0000-0000-000051840000}"/>
    <cellStyle name="Normal 5 10 6 4 8" xfId="33874" xr:uid="{00000000-0005-0000-0000-000052840000}"/>
    <cellStyle name="Normal 5 10 6 4 9" xfId="33875" xr:uid="{00000000-0005-0000-0000-000053840000}"/>
    <cellStyle name="Normal 5 10 6 5" xfId="33876" xr:uid="{00000000-0005-0000-0000-000054840000}"/>
    <cellStyle name="Normal 5 10 6 5 10" xfId="33877" xr:uid="{00000000-0005-0000-0000-000055840000}"/>
    <cellStyle name="Normal 5 10 6 5 2" xfId="33878" xr:uid="{00000000-0005-0000-0000-000056840000}"/>
    <cellStyle name="Normal 5 10 6 5 3" xfId="33879" xr:uid="{00000000-0005-0000-0000-000057840000}"/>
    <cellStyle name="Normal 5 10 6 5 4" xfId="33880" xr:uid="{00000000-0005-0000-0000-000058840000}"/>
    <cellStyle name="Normal 5 10 6 5 5" xfId="33881" xr:uid="{00000000-0005-0000-0000-000059840000}"/>
    <cellStyle name="Normal 5 10 6 5 6" xfId="33882" xr:uid="{00000000-0005-0000-0000-00005A840000}"/>
    <cellStyle name="Normal 5 10 6 5 7" xfId="33883" xr:uid="{00000000-0005-0000-0000-00005B840000}"/>
    <cellStyle name="Normal 5 10 6 5 8" xfId="33884" xr:uid="{00000000-0005-0000-0000-00005C840000}"/>
    <cellStyle name="Normal 5 10 6 5 9" xfId="33885" xr:uid="{00000000-0005-0000-0000-00005D840000}"/>
    <cellStyle name="Normal 5 10 6 6" xfId="33886" xr:uid="{00000000-0005-0000-0000-00005E840000}"/>
    <cellStyle name="Normal 5 10 6 7" xfId="33887" xr:uid="{00000000-0005-0000-0000-00005F840000}"/>
    <cellStyle name="Normal 5 10 6 8" xfId="33888" xr:uid="{00000000-0005-0000-0000-000060840000}"/>
    <cellStyle name="Normal 5 10 6 9" xfId="33889" xr:uid="{00000000-0005-0000-0000-000061840000}"/>
    <cellStyle name="Normal 5 10 7" xfId="33890" xr:uid="{00000000-0005-0000-0000-000062840000}"/>
    <cellStyle name="Normal 5 10 7 10" xfId="33891" xr:uid="{00000000-0005-0000-0000-000063840000}"/>
    <cellStyle name="Normal 5 10 7 11" xfId="33892" xr:uid="{00000000-0005-0000-0000-000064840000}"/>
    <cellStyle name="Normal 5 10 7 12" xfId="33893" xr:uid="{00000000-0005-0000-0000-000065840000}"/>
    <cellStyle name="Normal 5 10 7 13" xfId="33894" xr:uid="{00000000-0005-0000-0000-000066840000}"/>
    <cellStyle name="Normal 5 10 7 14" xfId="33895" xr:uid="{00000000-0005-0000-0000-000067840000}"/>
    <cellStyle name="Normal 5 10 7 2" xfId="33896" xr:uid="{00000000-0005-0000-0000-000068840000}"/>
    <cellStyle name="Normal 5 10 7 2 10" xfId="33897" xr:uid="{00000000-0005-0000-0000-000069840000}"/>
    <cellStyle name="Normal 5 10 7 2 2" xfId="33898" xr:uid="{00000000-0005-0000-0000-00006A840000}"/>
    <cellStyle name="Normal 5 10 7 2 3" xfId="33899" xr:uid="{00000000-0005-0000-0000-00006B840000}"/>
    <cellStyle name="Normal 5 10 7 2 4" xfId="33900" xr:uid="{00000000-0005-0000-0000-00006C840000}"/>
    <cellStyle name="Normal 5 10 7 2 5" xfId="33901" xr:uid="{00000000-0005-0000-0000-00006D840000}"/>
    <cellStyle name="Normal 5 10 7 2 6" xfId="33902" xr:uid="{00000000-0005-0000-0000-00006E840000}"/>
    <cellStyle name="Normal 5 10 7 2 7" xfId="33903" xr:uid="{00000000-0005-0000-0000-00006F840000}"/>
    <cellStyle name="Normal 5 10 7 2 8" xfId="33904" xr:uid="{00000000-0005-0000-0000-000070840000}"/>
    <cellStyle name="Normal 5 10 7 2 9" xfId="33905" xr:uid="{00000000-0005-0000-0000-000071840000}"/>
    <cellStyle name="Normal 5 10 7 3" xfId="33906" xr:uid="{00000000-0005-0000-0000-000072840000}"/>
    <cellStyle name="Normal 5 10 7 3 10" xfId="33907" xr:uid="{00000000-0005-0000-0000-000073840000}"/>
    <cellStyle name="Normal 5 10 7 3 2" xfId="33908" xr:uid="{00000000-0005-0000-0000-000074840000}"/>
    <cellStyle name="Normal 5 10 7 3 3" xfId="33909" xr:uid="{00000000-0005-0000-0000-000075840000}"/>
    <cellStyle name="Normal 5 10 7 3 4" xfId="33910" xr:uid="{00000000-0005-0000-0000-000076840000}"/>
    <cellStyle name="Normal 5 10 7 3 5" xfId="33911" xr:uid="{00000000-0005-0000-0000-000077840000}"/>
    <cellStyle name="Normal 5 10 7 3 6" xfId="33912" xr:uid="{00000000-0005-0000-0000-000078840000}"/>
    <cellStyle name="Normal 5 10 7 3 7" xfId="33913" xr:uid="{00000000-0005-0000-0000-000079840000}"/>
    <cellStyle name="Normal 5 10 7 3 8" xfId="33914" xr:uid="{00000000-0005-0000-0000-00007A840000}"/>
    <cellStyle name="Normal 5 10 7 3 9" xfId="33915" xr:uid="{00000000-0005-0000-0000-00007B840000}"/>
    <cellStyle name="Normal 5 10 7 4" xfId="33916" xr:uid="{00000000-0005-0000-0000-00007C840000}"/>
    <cellStyle name="Normal 5 10 7 4 10" xfId="33917" xr:uid="{00000000-0005-0000-0000-00007D840000}"/>
    <cellStyle name="Normal 5 10 7 4 2" xfId="33918" xr:uid="{00000000-0005-0000-0000-00007E840000}"/>
    <cellStyle name="Normal 5 10 7 4 3" xfId="33919" xr:uid="{00000000-0005-0000-0000-00007F840000}"/>
    <cellStyle name="Normal 5 10 7 4 4" xfId="33920" xr:uid="{00000000-0005-0000-0000-000080840000}"/>
    <cellStyle name="Normal 5 10 7 4 5" xfId="33921" xr:uid="{00000000-0005-0000-0000-000081840000}"/>
    <cellStyle name="Normal 5 10 7 4 6" xfId="33922" xr:uid="{00000000-0005-0000-0000-000082840000}"/>
    <cellStyle name="Normal 5 10 7 4 7" xfId="33923" xr:uid="{00000000-0005-0000-0000-000083840000}"/>
    <cellStyle name="Normal 5 10 7 4 8" xfId="33924" xr:uid="{00000000-0005-0000-0000-000084840000}"/>
    <cellStyle name="Normal 5 10 7 4 9" xfId="33925" xr:uid="{00000000-0005-0000-0000-000085840000}"/>
    <cellStyle name="Normal 5 10 7 5" xfId="33926" xr:uid="{00000000-0005-0000-0000-000086840000}"/>
    <cellStyle name="Normal 5 10 7 5 10" xfId="33927" xr:uid="{00000000-0005-0000-0000-000087840000}"/>
    <cellStyle name="Normal 5 10 7 5 2" xfId="33928" xr:uid="{00000000-0005-0000-0000-000088840000}"/>
    <cellStyle name="Normal 5 10 7 5 3" xfId="33929" xr:uid="{00000000-0005-0000-0000-000089840000}"/>
    <cellStyle name="Normal 5 10 7 5 4" xfId="33930" xr:uid="{00000000-0005-0000-0000-00008A840000}"/>
    <cellStyle name="Normal 5 10 7 5 5" xfId="33931" xr:uid="{00000000-0005-0000-0000-00008B840000}"/>
    <cellStyle name="Normal 5 10 7 5 6" xfId="33932" xr:uid="{00000000-0005-0000-0000-00008C840000}"/>
    <cellStyle name="Normal 5 10 7 5 7" xfId="33933" xr:uid="{00000000-0005-0000-0000-00008D840000}"/>
    <cellStyle name="Normal 5 10 7 5 8" xfId="33934" xr:uid="{00000000-0005-0000-0000-00008E840000}"/>
    <cellStyle name="Normal 5 10 7 5 9" xfId="33935" xr:uid="{00000000-0005-0000-0000-00008F840000}"/>
    <cellStyle name="Normal 5 10 7 6" xfId="33936" xr:uid="{00000000-0005-0000-0000-000090840000}"/>
    <cellStyle name="Normal 5 10 7 7" xfId="33937" xr:uid="{00000000-0005-0000-0000-000091840000}"/>
    <cellStyle name="Normal 5 10 7 8" xfId="33938" xr:uid="{00000000-0005-0000-0000-000092840000}"/>
    <cellStyle name="Normal 5 10 7 9" xfId="33939" xr:uid="{00000000-0005-0000-0000-000093840000}"/>
    <cellStyle name="Normal 5 10 8" xfId="33940" xr:uid="{00000000-0005-0000-0000-000094840000}"/>
    <cellStyle name="Normal 5 10 8 10" xfId="33941" xr:uid="{00000000-0005-0000-0000-000095840000}"/>
    <cellStyle name="Normal 5 10 8 11" xfId="33942" xr:uid="{00000000-0005-0000-0000-000096840000}"/>
    <cellStyle name="Normal 5 10 8 12" xfId="33943" xr:uid="{00000000-0005-0000-0000-000097840000}"/>
    <cellStyle name="Normal 5 10 8 13" xfId="33944" xr:uid="{00000000-0005-0000-0000-000098840000}"/>
    <cellStyle name="Normal 5 10 8 14" xfId="33945" xr:uid="{00000000-0005-0000-0000-000099840000}"/>
    <cellStyle name="Normal 5 10 8 2" xfId="33946" xr:uid="{00000000-0005-0000-0000-00009A840000}"/>
    <cellStyle name="Normal 5 10 8 2 10" xfId="33947" xr:uid="{00000000-0005-0000-0000-00009B840000}"/>
    <cellStyle name="Normal 5 10 8 2 2" xfId="33948" xr:uid="{00000000-0005-0000-0000-00009C840000}"/>
    <cellStyle name="Normal 5 10 8 2 3" xfId="33949" xr:uid="{00000000-0005-0000-0000-00009D840000}"/>
    <cellStyle name="Normal 5 10 8 2 4" xfId="33950" xr:uid="{00000000-0005-0000-0000-00009E840000}"/>
    <cellStyle name="Normal 5 10 8 2 5" xfId="33951" xr:uid="{00000000-0005-0000-0000-00009F840000}"/>
    <cellStyle name="Normal 5 10 8 2 6" xfId="33952" xr:uid="{00000000-0005-0000-0000-0000A0840000}"/>
    <cellStyle name="Normal 5 10 8 2 7" xfId="33953" xr:uid="{00000000-0005-0000-0000-0000A1840000}"/>
    <cellStyle name="Normal 5 10 8 2 8" xfId="33954" xr:uid="{00000000-0005-0000-0000-0000A2840000}"/>
    <cellStyle name="Normal 5 10 8 2 9" xfId="33955" xr:uid="{00000000-0005-0000-0000-0000A3840000}"/>
    <cellStyle name="Normal 5 10 8 3" xfId="33956" xr:uid="{00000000-0005-0000-0000-0000A4840000}"/>
    <cellStyle name="Normal 5 10 8 3 10" xfId="33957" xr:uid="{00000000-0005-0000-0000-0000A5840000}"/>
    <cellStyle name="Normal 5 10 8 3 2" xfId="33958" xr:uid="{00000000-0005-0000-0000-0000A6840000}"/>
    <cellStyle name="Normal 5 10 8 3 3" xfId="33959" xr:uid="{00000000-0005-0000-0000-0000A7840000}"/>
    <cellStyle name="Normal 5 10 8 3 4" xfId="33960" xr:uid="{00000000-0005-0000-0000-0000A8840000}"/>
    <cellStyle name="Normal 5 10 8 3 5" xfId="33961" xr:uid="{00000000-0005-0000-0000-0000A9840000}"/>
    <cellStyle name="Normal 5 10 8 3 6" xfId="33962" xr:uid="{00000000-0005-0000-0000-0000AA840000}"/>
    <cellStyle name="Normal 5 10 8 3 7" xfId="33963" xr:uid="{00000000-0005-0000-0000-0000AB840000}"/>
    <cellStyle name="Normal 5 10 8 3 8" xfId="33964" xr:uid="{00000000-0005-0000-0000-0000AC840000}"/>
    <cellStyle name="Normal 5 10 8 3 9" xfId="33965" xr:uid="{00000000-0005-0000-0000-0000AD840000}"/>
    <cellStyle name="Normal 5 10 8 4" xfId="33966" xr:uid="{00000000-0005-0000-0000-0000AE840000}"/>
    <cellStyle name="Normal 5 10 8 4 10" xfId="33967" xr:uid="{00000000-0005-0000-0000-0000AF840000}"/>
    <cellStyle name="Normal 5 10 8 4 2" xfId="33968" xr:uid="{00000000-0005-0000-0000-0000B0840000}"/>
    <cellStyle name="Normal 5 10 8 4 3" xfId="33969" xr:uid="{00000000-0005-0000-0000-0000B1840000}"/>
    <cellStyle name="Normal 5 10 8 4 4" xfId="33970" xr:uid="{00000000-0005-0000-0000-0000B2840000}"/>
    <cellStyle name="Normal 5 10 8 4 5" xfId="33971" xr:uid="{00000000-0005-0000-0000-0000B3840000}"/>
    <cellStyle name="Normal 5 10 8 4 6" xfId="33972" xr:uid="{00000000-0005-0000-0000-0000B4840000}"/>
    <cellStyle name="Normal 5 10 8 4 7" xfId="33973" xr:uid="{00000000-0005-0000-0000-0000B5840000}"/>
    <cellStyle name="Normal 5 10 8 4 8" xfId="33974" xr:uid="{00000000-0005-0000-0000-0000B6840000}"/>
    <cellStyle name="Normal 5 10 8 4 9" xfId="33975" xr:uid="{00000000-0005-0000-0000-0000B7840000}"/>
    <cellStyle name="Normal 5 10 8 5" xfId="33976" xr:uid="{00000000-0005-0000-0000-0000B8840000}"/>
    <cellStyle name="Normal 5 10 8 5 10" xfId="33977" xr:uid="{00000000-0005-0000-0000-0000B9840000}"/>
    <cellStyle name="Normal 5 10 8 5 2" xfId="33978" xr:uid="{00000000-0005-0000-0000-0000BA840000}"/>
    <cellStyle name="Normal 5 10 8 5 3" xfId="33979" xr:uid="{00000000-0005-0000-0000-0000BB840000}"/>
    <cellStyle name="Normal 5 10 8 5 4" xfId="33980" xr:uid="{00000000-0005-0000-0000-0000BC840000}"/>
    <cellStyle name="Normal 5 10 8 5 5" xfId="33981" xr:uid="{00000000-0005-0000-0000-0000BD840000}"/>
    <cellStyle name="Normal 5 10 8 5 6" xfId="33982" xr:uid="{00000000-0005-0000-0000-0000BE840000}"/>
    <cellStyle name="Normal 5 10 8 5 7" xfId="33983" xr:uid="{00000000-0005-0000-0000-0000BF840000}"/>
    <cellStyle name="Normal 5 10 8 5 8" xfId="33984" xr:uid="{00000000-0005-0000-0000-0000C0840000}"/>
    <cellStyle name="Normal 5 10 8 5 9" xfId="33985" xr:uid="{00000000-0005-0000-0000-0000C1840000}"/>
    <cellStyle name="Normal 5 10 8 6" xfId="33986" xr:uid="{00000000-0005-0000-0000-0000C2840000}"/>
    <cellStyle name="Normal 5 10 8 7" xfId="33987" xr:uid="{00000000-0005-0000-0000-0000C3840000}"/>
    <cellStyle name="Normal 5 10 8 8" xfId="33988" xr:uid="{00000000-0005-0000-0000-0000C4840000}"/>
    <cellStyle name="Normal 5 10 8 9" xfId="33989" xr:uid="{00000000-0005-0000-0000-0000C5840000}"/>
    <cellStyle name="Normal 5 10 9" xfId="33990" xr:uid="{00000000-0005-0000-0000-0000C6840000}"/>
    <cellStyle name="Normal 5 10 9 10" xfId="33991" xr:uid="{00000000-0005-0000-0000-0000C7840000}"/>
    <cellStyle name="Normal 5 10 9 11" xfId="33992" xr:uid="{00000000-0005-0000-0000-0000C8840000}"/>
    <cellStyle name="Normal 5 10 9 12" xfId="33993" xr:uid="{00000000-0005-0000-0000-0000C9840000}"/>
    <cellStyle name="Normal 5 10 9 13" xfId="33994" xr:uid="{00000000-0005-0000-0000-0000CA840000}"/>
    <cellStyle name="Normal 5 10 9 14" xfId="33995" xr:uid="{00000000-0005-0000-0000-0000CB840000}"/>
    <cellStyle name="Normal 5 10 9 2" xfId="33996" xr:uid="{00000000-0005-0000-0000-0000CC840000}"/>
    <cellStyle name="Normal 5 10 9 2 10" xfId="33997" xr:uid="{00000000-0005-0000-0000-0000CD840000}"/>
    <cellStyle name="Normal 5 10 9 2 2" xfId="33998" xr:uid="{00000000-0005-0000-0000-0000CE840000}"/>
    <cellStyle name="Normal 5 10 9 2 3" xfId="33999" xr:uid="{00000000-0005-0000-0000-0000CF840000}"/>
    <cellStyle name="Normal 5 10 9 2 4" xfId="34000" xr:uid="{00000000-0005-0000-0000-0000D0840000}"/>
    <cellStyle name="Normal 5 10 9 2 5" xfId="34001" xr:uid="{00000000-0005-0000-0000-0000D1840000}"/>
    <cellStyle name="Normal 5 10 9 2 6" xfId="34002" xr:uid="{00000000-0005-0000-0000-0000D2840000}"/>
    <cellStyle name="Normal 5 10 9 2 7" xfId="34003" xr:uid="{00000000-0005-0000-0000-0000D3840000}"/>
    <cellStyle name="Normal 5 10 9 2 8" xfId="34004" xr:uid="{00000000-0005-0000-0000-0000D4840000}"/>
    <cellStyle name="Normal 5 10 9 2 9" xfId="34005" xr:uid="{00000000-0005-0000-0000-0000D5840000}"/>
    <cellStyle name="Normal 5 10 9 3" xfId="34006" xr:uid="{00000000-0005-0000-0000-0000D6840000}"/>
    <cellStyle name="Normal 5 10 9 3 10" xfId="34007" xr:uid="{00000000-0005-0000-0000-0000D7840000}"/>
    <cellStyle name="Normal 5 10 9 3 2" xfId="34008" xr:uid="{00000000-0005-0000-0000-0000D8840000}"/>
    <cellStyle name="Normal 5 10 9 3 3" xfId="34009" xr:uid="{00000000-0005-0000-0000-0000D9840000}"/>
    <cellStyle name="Normal 5 10 9 3 4" xfId="34010" xr:uid="{00000000-0005-0000-0000-0000DA840000}"/>
    <cellStyle name="Normal 5 10 9 3 5" xfId="34011" xr:uid="{00000000-0005-0000-0000-0000DB840000}"/>
    <cellStyle name="Normal 5 10 9 3 6" xfId="34012" xr:uid="{00000000-0005-0000-0000-0000DC840000}"/>
    <cellStyle name="Normal 5 10 9 3 7" xfId="34013" xr:uid="{00000000-0005-0000-0000-0000DD840000}"/>
    <cellStyle name="Normal 5 10 9 3 8" xfId="34014" xr:uid="{00000000-0005-0000-0000-0000DE840000}"/>
    <cellStyle name="Normal 5 10 9 3 9" xfId="34015" xr:uid="{00000000-0005-0000-0000-0000DF840000}"/>
    <cellStyle name="Normal 5 10 9 4" xfId="34016" xr:uid="{00000000-0005-0000-0000-0000E0840000}"/>
    <cellStyle name="Normal 5 10 9 4 10" xfId="34017" xr:uid="{00000000-0005-0000-0000-0000E1840000}"/>
    <cellStyle name="Normal 5 10 9 4 2" xfId="34018" xr:uid="{00000000-0005-0000-0000-0000E2840000}"/>
    <cellStyle name="Normal 5 10 9 4 3" xfId="34019" xr:uid="{00000000-0005-0000-0000-0000E3840000}"/>
    <cellStyle name="Normal 5 10 9 4 4" xfId="34020" xr:uid="{00000000-0005-0000-0000-0000E4840000}"/>
    <cellStyle name="Normal 5 10 9 4 5" xfId="34021" xr:uid="{00000000-0005-0000-0000-0000E5840000}"/>
    <cellStyle name="Normal 5 10 9 4 6" xfId="34022" xr:uid="{00000000-0005-0000-0000-0000E6840000}"/>
    <cellStyle name="Normal 5 10 9 4 7" xfId="34023" xr:uid="{00000000-0005-0000-0000-0000E7840000}"/>
    <cellStyle name="Normal 5 10 9 4 8" xfId="34024" xr:uid="{00000000-0005-0000-0000-0000E8840000}"/>
    <cellStyle name="Normal 5 10 9 4 9" xfId="34025" xr:uid="{00000000-0005-0000-0000-0000E9840000}"/>
    <cellStyle name="Normal 5 10 9 5" xfId="34026" xr:uid="{00000000-0005-0000-0000-0000EA840000}"/>
    <cellStyle name="Normal 5 10 9 5 10" xfId="34027" xr:uid="{00000000-0005-0000-0000-0000EB840000}"/>
    <cellStyle name="Normal 5 10 9 5 2" xfId="34028" xr:uid="{00000000-0005-0000-0000-0000EC840000}"/>
    <cellStyle name="Normal 5 10 9 5 3" xfId="34029" xr:uid="{00000000-0005-0000-0000-0000ED840000}"/>
    <cellStyle name="Normal 5 10 9 5 4" xfId="34030" xr:uid="{00000000-0005-0000-0000-0000EE840000}"/>
    <cellStyle name="Normal 5 10 9 5 5" xfId="34031" xr:uid="{00000000-0005-0000-0000-0000EF840000}"/>
    <cellStyle name="Normal 5 10 9 5 6" xfId="34032" xr:uid="{00000000-0005-0000-0000-0000F0840000}"/>
    <cellStyle name="Normal 5 10 9 5 7" xfId="34033" xr:uid="{00000000-0005-0000-0000-0000F1840000}"/>
    <cellStyle name="Normal 5 10 9 5 8" xfId="34034" xr:uid="{00000000-0005-0000-0000-0000F2840000}"/>
    <cellStyle name="Normal 5 10 9 5 9" xfId="34035" xr:uid="{00000000-0005-0000-0000-0000F3840000}"/>
    <cellStyle name="Normal 5 10 9 6" xfId="34036" xr:uid="{00000000-0005-0000-0000-0000F4840000}"/>
    <cellStyle name="Normal 5 10 9 7" xfId="34037" xr:uid="{00000000-0005-0000-0000-0000F5840000}"/>
    <cellStyle name="Normal 5 10 9 8" xfId="34038" xr:uid="{00000000-0005-0000-0000-0000F6840000}"/>
    <cellStyle name="Normal 5 10 9 9" xfId="34039" xr:uid="{00000000-0005-0000-0000-0000F7840000}"/>
    <cellStyle name="Normal 5 11" xfId="34040" xr:uid="{00000000-0005-0000-0000-0000F8840000}"/>
    <cellStyle name="Normal 5 11 2" xfId="34041" xr:uid="{00000000-0005-0000-0000-0000F9840000}"/>
    <cellStyle name="Normal 5 11 2 2" xfId="34042" xr:uid="{00000000-0005-0000-0000-0000FA840000}"/>
    <cellStyle name="Normal 5 11 3" xfId="34043" xr:uid="{00000000-0005-0000-0000-0000FB840000}"/>
    <cellStyle name="Normal 5 11 4" xfId="34044" xr:uid="{00000000-0005-0000-0000-0000FC840000}"/>
    <cellStyle name="Normal 5 12" xfId="34045" xr:uid="{00000000-0005-0000-0000-0000FD840000}"/>
    <cellStyle name="Normal 5 12 2" xfId="34046" xr:uid="{00000000-0005-0000-0000-0000FE840000}"/>
    <cellStyle name="Normal 5 12 2 2" xfId="34047" xr:uid="{00000000-0005-0000-0000-0000FF840000}"/>
    <cellStyle name="Normal 5 12 3" xfId="34048" xr:uid="{00000000-0005-0000-0000-000000850000}"/>
    <cellStyle name="Normal 5 12 4" xfId="34049" xr:uid="{00000000-0005-0000-0000-000001850000}"/>
    <cellStyle name="Normal 5 13" xfId="34050" xr:uid="{00000000-0005-0000-0000-000002850000}"/>
    <cellStyle name="Normal 5 13 2" xfId="34051" xr:uid="{00000000-0005-0000-0000-000003850000}"/>
    <cellStyle name="Normal 5 13 2 2" xfId="34052" xr:uid="{00000000-0005-0000-0000-000004850000}"/>
    <cellStyle name="Normal 5 13 3" xfId="34053" xr:uid="{00000000-0005-0000-0000-000005850000}"/>
    <cellStyle name="Normal 5 13 4" xfId="34054" xr:uid="{00000000-0005-0000-0000-000006850000}"/>
    <cellStyle name="Normal 5 14" xfId="34055" xr:uid="{00000000-0005-0000-0000-000007850000}"/>
    <cellStyle name="Normal 5 14 2" xfId="34056" xr:uid="{00000000-0005-0000-0000-000008850000}"/>
    <cellStyle name="Normal 5 14 2 2" xfId="34057" xr:uid="{00000000-0005-0000-0000-000009850000}"/>
    <cellStyle name="Normal 5 14 3" xfId="34058" xr:uid="{00000000-0005-0000-0000-00000A850000}"/>
    <cellStyle name="Normal 5 14 4" xfId="34059" xr:uid="{00000000-0005-0000-0000-00000B850000}"/>
    <cellStyle name="Normal 5 15" xfId="34060" xr:uid="{00000000-0005-0000-0000-00000C850000}"/>
    <cellStyle name="Normal 5 15 2" xfId="34061" xr:uid="{00000000-0005-0000-0000-00000D850000}"/>
    <cellStyle name="Normal 5 15 2 2" xfId="34062" xr:uid="{00000000-0005-0000-0000-00000E850000}"/>
    <cellStyle name="Normal 5 15 3" xfId="34063" xr:uid="{00000000-0005-0000-0000-00000F850000}"/>
    <cellStyle name="Normal 5 15 4" xfId="34064" xr:uid="{00000000-0005-0000-0000-000010850000}"/>
    <cellStyle name="Normal 5 16" xfId="34065" xr:uid="{00000000-0005-0000-0000-000011850000}"/>
    <cellStyle name="Normal 5 16 2" xfId="34066" xr:uid="{00000000-0005-0000-0000-000012850000}"/>
    <cellStyle name="Normal 5 16 2 2" xfId="34067" xr:uid="{00000000-0005-0000-0000-000013850000}"/>
    <cellStyle name="Normal 5 16 3" xfId="34068" xr:uid="{00000000-0005-0000-0000-000014850000}"/>
    <cellStyle name="Normal 5 16 4" xfId="34069" xr:uid="{00000000-0005-0000-0000-000015850000}"/>
    <cellStyle name="Normal 5 17" xfId="34070" xr:uid="{00000000-0005-0000-0000-000016850000}"/>
    <cellStyle name="Normal 5 17 10" xfId="34071" xr:uid="{00000000-0005-0000-0000-000017850000}"/>
    <cellStyle name="Normal 5 17 10 10" xfId="34072" xr:uid="{00000000-0005-0000-0000-000018850000}"/>
    <cellStyle name="Normal 5 17 10 11" xfId="34073" xr:uid="{00000000-0005-0000-0000-000019850000}"/>
    <cellStyle name="Normal 5 17 10 12" xfId="34074" xr:uid="{00000000-0005-0000-0000-00001A850000}"/>
    <cellStyle name="Normal 5 17 10 13" xfId="34075" xr:uid="{00000000-0005-0000-0000-00001B850000}"/>
    <cellStyle name="Normal 5 17 10 14" xfId="34076" xr:uid="{00000000-0005-0000-0000-00001C850000}"/>
    <cellStyle name="Normal 5 17 10 2" xfId="34077" xr:uid="{00000000-0005-0000-0000-00001D850000}"/>
    <cellStyle name="Normal 5 17 10 2 10" xfId="34078" xr:uid="{00000000-0005-0000-0000-00001E850000}"/>
    <cellStyle name="Normal 5 17 10 2 2" xfId="34079" xr:uid="{00000000-0005-0000-0000-00001F850000}"/>
    <cellStyle name="Normal 5 17 10 2 3" xfId="34080" xr:uid="{00000000-0005-0000-0000-000020850000}"/>
    <cellStyle name="Normal 5 17 10 2 4" xfId="34081" xr:uid="{00000000-0005-0000-0000-000021850000}"/>
    <cellStyle name="Normal 5 17 10 2 5" xfId="34082" xr:uid="{00000000-0005-0000-0000-000022850000}"/>
    <cellStyle name="Normal 5 17 10 2 6" xfId="34083" xr:uid="{00000000-0005-0000-0000-000023850000}"/>
    <cellStyle name="Normal 5 17 10 2 7" xfId="34084" xr:uid="{00000000-0005-0000-0000-000024850000}"/>
    <cellStyle name="Normal 5 17 10 2 8" xfId="34085" xr:uid="{00000000-0005-0000-0000-000025850000}"/>
    <cellStyle name="Normal 5 17 10 2 9" xfId="34086" xr:uid="{00000000-0005-0000-0000-000026850000}"/>
    <cellStyle name="Normal 5 17 10 3" xfId="34087" xr:uid="{00000000-0005-0000-0000-000027850000}"/>
    <cellStyle name="Normal 5 17 10 3 10" xfId="34088" xr:uid="{00000000-0005-0000-0000-000028850000}"/>
    <cellStyle name="Normal 5 17 10 3 2" xfId="34089" xr:uid="{00000000-0005-0000-0000-000029850000}"/>
    <cellStyle name="Normal 5 17 10 3 3" xfId="34090" xr:uid="{00000000-0005-0000-0000-00002A850000}"/>
    <cellStyle name="Normal 5 17 10 3 4" xfId="34091" xr:uid="{00000000-0005-0000-0000-00002B850000}"/>
    <cellStyle name="Normal 5 17 10 3 5" xfId="34092" xr:uid="{00000000-0005-0000-0000-00002C850000}"/>
    <cellStyle name="Normal 5 17 10 3 6" xfId="34093" xr:uid="{00000000-0005-0000-0000-00002D850000}"/>
    <cellStyle name="Normal 5 17 10 3 7" xfId="34094" xr:uid="{00000000-0005-0000-0000-00002E850000}"/>
    <cellStyle name="Normal 5 17 10 3 8" xfId="34095" xr:uid="{00000000-0005-0000-0000-00002F850000}"/>
    <cellStyle name="Normal 5 17 10 3 9" xfId="34096" xr:uid="{00000000-0005-0000-0000-000030850000}"/>
    <cellStyle name="Normal 5 17 10 4" xfId="34097" xr:uid="{00000000-0005-0000-0000-000031850000}"/>
    <cellStyle name="Normal 5 17 10 4 10" xfId="34098" xr:uid="{00000000-0005-0000-0000-000032850000}"/>
    <cellStyle name="Normal 5 17 10 4 2" xfId="34099" xr:uid="{00000000-0005-0000-0000-000033850000}"/>
    <cellStyle name="Normal 5 17 10 4 3" xfId="34100" xr:uid="{00000000-0005-0000-0000-000034850000}"/>
    <cellStyle name="Normal 5 17 10 4 4" xfId="34101" xr:uid="{00000000-0005-0000-0000-000035850000}"/>
    <cellStyle name="Normal 5 17 10 4 5" xfId="34102" xr:uid="{00000000-0005-0000-0000-000036850000}"/>
    <cellStyle name="Normal 5 17 10 4 6" xfId="34103" xr:uid="{00000000-0005-0000-0000-000037850000}"/>
    <cellStyle name="Normal 5 17 10 4 7" xfId="34104" xr:uid="{00000000-0005-0000-0000-000038850000}"/>
    <cellStyle name="Normal 5 17 10 4 8" xfId="34105" xr:uid="{00000000-0005-0000-0000-000039850000}"/>
    <cellStyle name="Normal 5 17 10 4 9" xfId="34106" xr:uid="{00000000-0005-0000-0000-00003A850000}"/>
    <cellStyle name="Normal 5 17 10 5" xfId="34107" xr:uid="{00000000-0005-0000-0000-00003B850000}"/>
    <cellStyle name="Normal 5 17 10 5 10" xfId="34108" xr:uid="{00000000-0005-0000-0000-00003C850000}"/>
    <cellStyle name="Normal 5 17 10 5 2" xfId="34109" xr:uid="{00000000-0005-0000-0000-00003D850000}"/>
    <cellStyle name="Normal 5 17 10 5 3" xfId="34110" xr:uid="{00000000-0005-0000-0000-00003E850000}"/>
    <cellStyle name="Normal 5 17 10 5 4" xfId="34111" xr:uid="{00000000-0005-0000-0000-00003F850000}"/>
    <cellStyle name="Normal 5 17 10 5 5" xfId="34112" xr:uid="{00000000-0005-0000-0000-000040850000}"/>
    <cellStyle name="Normal 5 17 10 5 6" xfId="34113" xr:uid="{00000000-0005-0000-0000-000041850000}"/>
    <cellStyle name="Normal 5 17 10 5 7" xfId="34114" xr:uid="{00000000-0005-0000-0000-000042850000}"/>
    <cellStyle name="Normal 5 17 10 5 8" xfId="34115" xr:uid="{00000000-0005-0000-0000-000043850000}"/>
    <cellStyle name="Normal 5 17 10 5 9" xfId="34116" xr:uid="{00000000-0005-0000-0000-000044850000}"/>
    <cellStyle name="Normal 5 17 10 6" xfId="34117" xr:uid="{00000000-0005-0000-0000-000045850000}"/>
    <cellStyle name="Normal 5 17 10 7" xfId="34118" xr:uid="{00000000-0005-0000-0000-000046850000}"/>
    <cellStyle name="Normal 5 17 10 8" xfId="34119" xr:uid="{00000000-0005-0000-0000-000047850000}"/>
    <cellStyle name="Normal 5 17 10 9" xfId="34120" xr:uid="{00000000-0005-0000-0000-000048850000}"/>
    <cellStyle name="Normal 5 17 11" xfId="34121" xr:uid="{00000000-0005-0000-0000-000049850000}"/>
    <cellStyle name="Normal 5 17 11 10" xfId="34122" xr:uid="{00000000-0005-0000-0000-00004A850000}"/>
    <cellStyle name="Normal 5 17 11 11" xfId="34123" xr:uid="{00000000-0005-0000-0000-00004B850000}"/>
    <cellStyle name="Normal 5 17 11 12" xfId="34124" xr:uid="{00000000-0005-0000-0000-00004C850000}"/>
    <cellStyle name="Normal 5 17 11 13" xfId="34125" xr:uid="{00000000-0005-0000-0000-00004D850000}"/>
    <cellStyle name="Normal 5 17 11 14" xfId="34126" xr:uid="{00000000-0005-0000-0000-00004E850000}"/>
    <cellStyle name="Normal 5 17 11 2" xfId="34127" xr:uid="{00000000-0005-0000-0000-00004F850000}"/>
    <cellStyle name="Normal 5 17 11 2 10" xfId="34128" xr:uid="{00000000-0005-0000-0000-000050850000}"/>
    <cellStyle name="Normal 5 17 11 2 2" xfId="34129" xr:uid="{00000000-0005-0000-0000-000051850000}"/>
    <cellStyle name="Normal 5 17 11 2 3" xfId="34130" xr:uid="{00000000-0005-0000-0000-000052850000}"/>
    <cellStyle name="Normal 5 17 11 2 4" xfId="34131" xr:uid="{00000000-0005-0000-0000-000053850000}"/>
    <cellStyle name="Normal 5 17 11 2 5" xfId="34132" xr:uid="{00000000-0005-0000-0000-000054850000}"/>
    <cellStyle name="Normal 5 17 11 2 6" xfId="34133" xr:uid="{00000000-0005-0000-0000-000055850000}"/>
    <cellStyle name="Normal 5 17 11 2 7" xfId="34134" xr:uid="{00000000-0005-0000-0000-000056850000}"/>
    <cellStyle name="Normal 5 17 11 2 8" xfId="34135" xr:uid="{00000000-0005-0000-0000-000057850000}"/>
    <cellStyle name="Normal 5 17 11 2 9" xfId="34136" xr:uid="{00000000-0005-0000-0000-000058850000}"/>
    <cellStyle name="Normal 5 17 11 3" xfId="34137" xr:uid="{00000000-0005-0000-0000-000059850000}"/>
    <cellStyle name="Normal 5 17 11 3 10" xfId="34138" xr:uid="{00000000-0005-0000-0000-00005A850000}"/>
    <cellStyle name="Normal 5 17 11 3 2" xfId="34139" xr:uid="{00000000-0005-0000-0000-00005B850000}"/>
    <cellStyle name="Normal 5 17 11 3 3" xfId="34140" xr:uid="{00000000-0005-0000-0000-00005C850000}"/>
    <cellStyle name="Normal 5 17 11 3 4" xfId="34141" xr:uid="{00000000-0005-0000-0000-00005D850000}"/>
    <cellStyle name="Normal 5 17 11 3 5" xfId="34142" xr:uid="{00000000-0005-0000-0000-00005E850000}"/>
    <cellStyle name="Normal 5 17 11 3 6" xfId="34143" xr:uid="{00000000-0005-0000-0000-00005F850000}"/>
    <cellStyle name="Normal 5 17 11 3 7" xfId="34144" xr:uid="{00000000-0005-0000-0000-000060850000}"/>
    <cellStyle name="Normal 5 17 11 3 8" xfId="34145" xr:uid="{00000000-0005-0000-0000-000061850000}"/>
    <cellStyle name="Normal 5 17 11 3 9" xfId="34146" xr:uid="{00000000-0005-0000-0000-000062850000}"/>
    <cellStyle name="Normal 5 17 11 4" xfId="34147" xr:uid="{00000000-0005-0000-0000-000063850000}"/>
    <cellStyle name="Normal 5 17 11 4 10" xfId="34148" xr:uid="{00000000-0005-0000-0000-000064850000}"/>
    <cellStyle name="Normal 5 17 11 4 2" xfId="34149" xr:uid="{00000000-0005-0000-0000-000065850000}"/>
    <cellStyle name="Normal 5 17 11 4 3" xfId="34150" xr:uid="{00000000-0005-0000-0000-000066850000}"/>
    <cellStyle name="Normal 5 17 11 4 4" xfId="34151" xr:uid="{00000000-0005-0000-0000-000067850000}"/>
    <cellStyle name="Normal 5 17 11 4 5" xfId="34152" xr:uid="{00000000-0005-0000-0000-000068850000}"/>
    <cellStyle name="Normal 5 17 11 4 6" xfId="34153" xr:uid="{00000000-0005-0000-0000-000069850000}"/>
    <cellStyle name="Normal 5 17 11 4 7" xfId="34154" xr:uid="{00000000-0005-0000-0000-00006A850000}"/>
    <cellStyle name="Normal 5 17 11 4 8" xfId="34155" xr:uid="{00000000-0005-0000-0000-00006B850000}"/>
    <cellStyle name="Normal 5 17 11 4 9" xfId="34156" xr:uid="{00000000-0005-0000-0000-00006C850000}"/>
    <cellStyle name="Normal 5 17 11 5" xfId="34157" xr:uid="{00000000-0005-0000-0000-00006D850000}"/>
    <cellStyle name="Normal 5 17 11 5 10" xfId="34158" xr:uid="{00000000-0005-0000-0000-00006E850000}"/>
    <cellStyle name="Normal 5 17 11 5 2" xfId="34159" xr:uid="{00000000-0005-0000-0000-00006F850000}"/>
    <cellStyle name="Normal 5 17 11 5 3" xfId="34160" xr:uid="{00000000-0005-0000-0000-000070850000}"/>
    <cellStyle name="Normal 5 17 11 5 4" xfId="34161" xr:uid="{00000000-0005-0000-0000-000071850000}"/>
    <cellStyle name="Normal 5 17 11 5 5" xfId="34162" xr:uid="{00000000-0005-0000-0000-000072850000}"/>
    <cellStyle name="Normal 5 17 11 5 6" xfId="34163" xr:uid="{00000000-0005-0000-0000-000073850000}"/>
    <cellStyle name="Normal 5 17 11 5 7" xfId="34164" xr:uid="{00000000-0005-0000-0000-000074850000}"/>
    <cellStyle name="Normal 5 17 11 5 8" xfId="34165" xr:uid="{00000000-0005-0000-0000-000075850000}"/>
    <cellStyle name="Normal 5 17 11 5 9" xfId="34166" xr:uid="{00000000-0005-0000-0000-000076850000}"/>
    <cellStyle name="Normal 5 17 11 6" xfId="34167" xr:uid="{00000000-0005-0000-0000-000077850000}"/>
    <cellStyle name="Normal 5 17 11 7" xfId="34168" xr:uid="{00000000-0005-0000-0000-000078850000}"/>
    <cellStyle name="Normal 5 17 11 8" xfId="34169" xr:uid="{00000000-0005-0000-0000-000079850000}"/>
    <cellStyle name="Normal 5 17 11 9" xfId="34170" xr:uid="{00000000-0005-0000-0000-00007A850000}"/>
    <cellStyle name="Normal 5 17 12" xfId="34171" xr:uid="{00000000-0005-0000-0000-00007B850000}"/>
    <cellStyle name="Normal 5 17 12 10" xfId="34172" xr:uid="{00000000-0005-0000-0000-00007C850000}"/>
    <cellStyle name="Normal 5 17 12 11" xfId="34173" xr:uid="{00000000-0005-0000-0000-00007D850000}"/>
    <cellStyle name="Normal 5 17 12 12" xfId="34174" xr:uid="{00000000-0005-0000-0000-00007E850000}"/>
    <cellStyle name="Normal 5 17 12 13" xfId="34175" xr:uid="{00000000-0005-0000-0000-00007F850000}"/>
    <cellStyle name="Normal 5 17 12 14" xfId="34176" xr:uid="{00000000-0005-0000-0000-000080850000}"/>
    <cellStyle name="Normal 5 17 12 2" xfId="34177" xr:uid="{00000000-0005-0000-0000-000081850000}"/>
    <cellStyle name="Normal 5 17 12 2 10" xfId="34178" xr:uid="{00000000-0005-0000-0000-000082850000}"/>
    <cellStyle name="Normal 5 17 12 2 2" xfId="34179" xr:uid="{00000000-0005-0000-0000-000083850000}"/>
    <cellStyle name="Normal 5 17 12 2 3" xfId="34180" xr:uid="{00000000-0005-0000-0000-000084850000}"/>
    <cellStyle name="Normal 5 17 12 2 4" xfId="34181" xr:uid="{00000000-0005-0000-0000-000085850000}"/>
    <cellStyle name="Normal 5 17 12 2 5" xfId="34182" xr:uid="{00000000-0005-0000-0000-000086850000}"/>
    <cellStyle name="Normal 5 17 12 2 6" xfId="34183" xr:uid="{00000000-0005-0000-0000-000087850000}"/>
    <cellStyle name="Normal 5 17 12 2 7" xfId="34184" xr:uid="{00000000-0005-0000-0000-000088850000}"/>
    <cellStyle name="Normal 5 17 12 2 8" xfId="34185" xr:uid="{00000000-0005-0000-0000-000089850000}"/>
    <cellStyle name="Normal 5 17 12 2 9" xfId="34186" xr:uid="{00000000-0005-0000-0000-00008A850000}"/>
    <cellStyle name="Normal 5 17 12 3" xfId="34187" xr:uid="{00000000-0005-0000-0000-00008B850000}"/>
    <cellStyle name="Normal 5 17 12 3 10" xfId="34188" xr:uid="{00000000-0005-0000-0000-00008C850000}"/>
    <cellStyle name="Normal 5 17 12 3 2" xfId="34189" xr:uid="{00000000-0005-0000-0000-00008D850000}"/>
    <cellStyle name="Normal 5 17 12 3 3" xfId="34190" xr:uid="{00000000-0005-0000-0000-00008E850000}"/>
    <cellStyle name="Normal 5 17 12 3 4" xfId="34191" xr:uid="{00000000-0005-0000-0000-00008F850000}"/>
    <cellStyle name="Normal 5 17 12 3 5" xfId="34192" xr:uid="{00000000-0005-0000-0000-000090850000}"/>
    <cellStyle name="Normal 5 17 12 3 6" xfId="34193" xr:uid="{00000000-0005-0000-0000-000091850000}"/>
    <cellStyle name="Normal 5 17 12 3 7" xfId="34194" xr:uid="{00000000-0005-0000-0000-000092850000}"/>
    <cellStyle name="Normal 5 17 12 3 8" xfId="34195" xr:uid="{00000000-0005-0000-0000-000093850000}"/>
    <cellStyle name="Normal 5 17 12 3 9" xfId="34196" xr:uid="{00000000-0005-0000-0000-000094850000}"/>
    <cellStyle name="Normal 5 17 12 4" xfId="34197" xr:uid="{00000000-0005-0000-0000-000095850000}"/>
    <cellStyle name="Normal 5 17 12 4 10" xfId="34198" xr:uid="{00000000-0005-0000-0000-000096850000}"/>
    <cellStyle name="Normal 5 17 12 4 2" xfId="34199" xr:uid="{00000000-0005-0000-0000-000097850000}"/>
    <cellStyle name="Normal 5 17 12 4 3" xfId="34200" xr:uid="{00000000-0005-0000-0000-000098850000}"/>
    <cellStyle name="Normal 5 17 12 4 4" xfId="34201" xr:uid="{00000000-0005-0000-0000-000099850000}"/>
    <cellStyle name="Normal 5 17 12 4 5" xfId="34202" xr:uid="{00000000-0005-0000-0000-00009A850000}"/>
    <cellStyle name="Normal 5 17 12 4 6" xfId="34203" xr:uid="{00000000-0005-0000-0000-00009B850000}"/>
    <cellStyle name="Normal 5 17 12 4 7" xfId="34204" xr:uid="{00000000-0005-0000-0000-00009C850000}"/>
    <cellStyle name="Normal 5 17 12 4 8" xfId="34205" xr:uid="{00000000-0005-0000-0000-00009D850000}"/>
    <cellStyle name="Normal 5 17 12 4 9" xfId="34206" xr:uid="{00000000-0005-0000-0000-00009E850000}"/>
    <cellStyle name="Normal 5 17 12 5" xfId="34207" xr:uid="{00000000-0005-0000-0000-00009F850000}"/>
    <cellStyle name="Normal 5 17 12 5 10" xfId="34208" xr:uid="{00000000-0005-0000-0000-0000A0850000}"/>
    <cellStyle name="Normal 5 17 12 5 2" xfId="34209" xr:uid="{00000000-0005-0000-0000-0000A1850000}"/>
    <cellStyle name="Normal 5 17 12 5 3" xfId="34210" xr:uid="{00000000-0005-0000-0000-0000A2850000}"/>
    <cellStyle name="Normal 5 17 12 5 4" xfId="34211" xr:uid="{00000000-0005-0000-0000-0000A3850000}"/>
    <cellStyle name="Normal 5 17 12 5 5" xfId="34212" xr:uid="{00000000-0005-0000-0000-0000A4850000}"/>
    <cellStyle name="Normal 5 17 12 5 6" xfId="34213" xr:uid="{00000000-0005-0000-0000-0000A5850000}"/>
    <cellStyle name="Normal 5 17 12 5 7" xfId="34214" xr:uid="{00000000-0005-0000-0000-0000A6850000}"/>
    <cellStyle name="Normal 5 17 12 5 8" xfId="34215" xr:uid="{00000000-0005-0000-0000-0000A7850000}"/>
    <cellStyle name="Normal 5 17 12 5 9" xfId="34216" xr:uid="{00000000-0005-0000-0000-0000A8850000}"/>
    <cellStyle name="Normal 5 17 12 6" xfId="34217" xr:uid="{00000000-0005-0000-0000-0000A9850000}"/>
    <cellStyle name="Normal 5 17 12 7" xfId="34218" xr:uid="{00000000-0005-0000-0000-0000AA850000}"/>
    <cellStyle name="Normal 5 17 12 8" xfId="34219" xr:uid="{00000000-0005-0000-0000-0000AB850000}"/>
    <cellStyle name="Normal 5 17 12 9" xfId="34220" xr:uid="{00000000-0005-0000-0000-0000AC850000}"/>
    <cellStyle name="Normal 5 17 13" xfId="34221" xr:uid="{00000000-0005-0000-0000-0000AD850000}"/>
    <cellStyle name="Normal 5 17 13 10" xfId="34222" xr:uid="{00000000-0005-0000-0000-0000AE850000}"/>
    <cellStyle name="Normal 5 17 13 11" xfId="34223" xr:uid="{00000000-0005-0000-0000-0000AF850000}"/>
    <cellStyle name="Normal 5 17 13 12" xfId="34224" xr:uid="{00000000-0005-0000-0000-0000B0850000}"/>
    <cellStyle name="Normal 5 17 13 13" xfId="34225" xr:uid="{00000000-0005-0000-0000-0000B1850000}"/>
    <cellStyle name="Normal 5 17 13 14" xfId="34226" xr:uid="{00000000-0005-0000-0000-0000B2850000}"/>
    <cellStyle name="Normal 5 17 13 2" xfId="34227" xr:uid="{00000000-0005-0000-0000-0000B3850000}"/>
    <cellStyle name="Normal 5 17 13 2 10" xfId="34228" xr:uid="{00000000-0005-0000-0000-0000B4850000}"/>
    <cellStyle name="Normal 5 17 13 2 2" xfId="34229" xr:uid="{00000000-0005-0000-0000-0000B5850000}"/>
    <cellStyle name="Normal 5 17 13 2 3" xfId="34230" xr:uid="{00000000-0005-0000-0000-0000B6850000}"/>
    <cellStyle name="Normal 5 17 13 2 4" xfId="34231" xr:uid="{00000000-0005-0000-0000-0000B7850000}"/>
    <cellStyle name="Normal 5 17 13 2 5" xfId="34232" xr:uid="{00000000-0005-0000-0000-0000B8850000}"/>
    <cellStyle name="Normal 5 17 13 2 6" xfId="34233" xr:uid="{00000000-0005-0000-0000-0000B9850000}"/>
    <cellStyle name="Normal 5 17 13 2 7" xfId="34234" xr:uid="{00000000-0005-0000-0000-0000BA850000}"/>
    <cellStyle name="Normal 5 17 13 2 8" xfId="34235" xr:uid="{00000000-0005-0000-0000-0000BB850000}"/>
    <cellStyle name="Normal 5 17 13 2 9" xfId="34236" xr:uid="{00000000-0005-0000-0000-0000BC850000}"/>
    <cellStyle name="Normal 5 17 13 3" xfId="34237" xr:uid="{00000000-0005-0000-0000-0000BD850000}"/>
    <cellStyle name="Normal 5 17 13 3 10" xfId="34238" xr:uid="{00000000-0005-0000-0000-0000BE850000}"/>
    <cellStyle name="Normal 5 17 13 3 2" xfId="34239" xr:uid="{00000000-0005-0000-0000-0000BF850000}"/>
    <cellStyle name="Normal 5 17 13 3 3" xfId="34240" xr:uid="{00000000-0005-0000-0000-0000C0850000}"/>
    <cellStyle name="Normal 5 17 13 3 4" xfId="34241" xr:uid="{00000000-0005-0000-0000-0000C1850000}"/>
    <cellStyle name="Normal 5 17 13 3 5" xfId="34242" xr:uid="{00000000-0005-0000-0000-0000C2850000}"/>
    <cellStyle name="Normal 5 17 13 3 6" xfId="34243" xr:uid="{00000000-0005-0000-0000-0000C3850000}"/>
    <cellStyle name="Normal 5 17 13 3 7" xfId="34244" xr:uid="{00000000-0005-0000-0000-0000C4850000}"/>
    <cellStyle name="Normal 5 17 13 3 8" xfId="34245" xr:uid="{00000000-0005-0000-0000-0000C5850000}"/>
    <cellStyle name="Normal 5 17 13 3 9" xfId="34246" xr:uid="{00000000-0005-0000-0000-0000C6850000}"/>
    <cellStyle name="Normal 5 17 13 4" xfId="34247" xr:uid="{00000000-0005-0000-0000-0000C7850000}"/>
    <cellStyle name="Normal 5 17 13 4 10" xfId="34248" xr:uid="{00000000-0005-0000-0000-0000C8850000}"/>
    <cellStyle name="Normal 5 17 13 4 2" xfId="34249" xr:uid="{00000000-0005-0000-0000-0000C9850000}"/>
    <cellStyle name="Normal 5 17 13 4 3" xfId="34250" xr:uid="{00000000-0005-0000-0000-0000CA850000}"/>
    <cellStyle name="Normal 5 17 13 4 4" xfId="34251" xr:uid="{00000000-0005-0000-0000-0000CB850000}"/>
    <cellStyle name="Normal 5 17 13 4 5" xfId="34252" xr:uid="{00000000-0005-0000-0000-0000CC850000}"/>
    <cellStyle name="Normal 5 17 13 4 6" xfId="34253" xr:uid="{00000000-0005-0000-0000-0000CD850000}"/>
    <cellStyle name="Normal 5 17 13 4 7" xfId="34254" xr:uid="{00000000-0005-0000-0000-0000CE850000}"/>
    <cellStyle name="Normal 5 17 13 4 8" xfId="34255" xr:uid="{00000000-0005-0000-0000-0000CF850000}"/>
    <cellStyle name="Normal 5 17 13 4 9" xfId="34256" xr:uid="{00000000-0005-0000-0000-0000D0850000}"/>
    <cellStyle name="Normal 5 17 13 5" xfId="34257" xr:uid="{00000000-0005-0000-0000-0000D1850000}"/>
    <cellStyle name="Normal 5 17 13 5 10" xfId="34258" xr:uid="{00000000-0005-0000-0000-0000D2850000}"/>
    <cellStyle name="Normal 5 17 13 5 2" xfId="34259" xr:uid="{00000000-0005-0000-0000-0000D3850000}"/>
    <cellStyle name="Normal 5 17 13 5 3" xfId="34260" xr:uid="{00000000-0005-0000-0000-0000D4850000}"/>
    <cellStyle name="Normal 5 17 13 5 4" xfId="34261" xr:uid="{00000000-0005-0000-0000-0000D5850000}"/>
    <cellStyle name="Normal 5 17 13 5 5" xfId="34262" xr:uid="{00000000-0005-0000-0000-0000D6850000}"/>
    <cellStyle name="Normal 5 17 13 5 6" xfId="34263" xr:uid="{00000000-0005-0000-0000-0000D7850000}"/>
    <cellStyle name="Normal 5 17 13 5 7" xfId="34264" xr:uid="{00000000-0005-0000-0000-0000D8850000}"/>
    <cellStyle name="Normal 5 17 13 5 8" xfId="34265" xr:uid="{00000000-0005-0000-0000-0000D9850000}"/>
    <cellStyle name="Normal 5 17 13 5 9" xfId="34266" xr:uid="{00000000-0005-0000-0000-0000DA850000}"/>
    <cellStyle name="Normal 5 17 13 6" xfId="34267" xr:uid="{00000000-0005-0000-0000-0000DB850000}"/>
    <cellStyle name="Normal 5 17 13 7" xfId="34268" xr:uid="{00000000-0005-0000-0000-0000DC850000}"/>
    <cellStyle name="Normal 5 17 13 8" xfId="34269" xr:uid="{00000000-0005-0000-0000-0000DD850000}"/>
    <cellStyle name="Normal 5 17 13 9" xfId="34270" xr:uid="{00000000-0005-0000-0000-0000DE850000}"/>
    <cellStyle name="Normal 5 17 14" xfId="34271" xr:uid="{00000000-0005-0000-0000-0000DF850000}"/>
    <cellStyle name="Normal 5 17 14 10" xfId="34272" xr:uid="{00000000-0005-0000-0000-0000E0850000}"/>
    <cellStyle name="Normal 5 17 14 11" xfId="34273" xr:uid="{00000000-0005-0000-0000-0000E1850000}"/>
    <cellStyle name="Normal 5 17 14 12" xfId="34274" xr:uid="{00000000-0005-0000-0000-0000E2850000}"/>
    <cellStyle name="Normal 5 17 14 13" xfId="34275" xr:uid="{00000000-0005-0000-0000-0000E3850000}"/>
    <cellStyle name="Normal 5 17 14 14" xfId="34276" xr:uid="{00000000-0005-0000-0000-0000E4850000}"/>
    <cellStyle name="Normal 5 17 14 2" xfId="34277" xr:uid="{00000000-0005-0000-0000-0000E5850000}"/>
    <cellStyle name="Normal 5 17 14 2 10" xfId="34278" xr:uid="{00000000-0005-0000-0000-0000E6850000}"/>
    <cellStyle name="Normal 5 17 14 2 2" xfId="34279" xr:uid="{00000000-0005-0000-0000-0000E7850000}"/>
    <cellStyle name="Normal 5 17 14 2 3" xfId="34280" xr:uid="{00000000-0005-0000-0000-0000E8850000}"/>
    <cellStyle name="Normal 5 17 14 2 4" xfId="34281" xr:uid="{00000000-0005-0000-0000-0000E9850000}"/>
    <cellStyle name="Normal 5 17 14 2 5" xfId="34282" xr:uid="{00000000-0005-0000-0000-0000EA850000}"/>
    <cellStyle name="Normal 5 17 14 2 6" xfId="34283" xr:uid="{00000000-0005-0000-0000-0000EB850000}"/>
    <cellStyle name="Normal 5 17 14 2 7" xfId="34284" xr:uid="{00000000-0005-0000-0000-0000EC850000}"/>
    <cellStyle name="Normal 5 17 14 2 8" xfId="34285" xr:uid="{00000000-0005-0000-0000-0000ED850000}"/>
    <cellStyle name="Normal 5 17 14 2 9" xfId="34286" xr:uid="{00000000-0005-0000-0000-0000EE850000}"/>
    <cellStyle name="Normal 5 17 14 3" xfId="34287" xr:uid="{00000000-0005-0000-0000-0000EF850000}"/>
    <cellStyle name="Normal 5 17 14 3 10" xfId="34288" xr:uid="{00000000-0005-0000-0000-0000F0850000}"/>
    <cellStyle name="Normal 5 17 14 3 2" xfId="34289" xr:uid="{00000000-0005-0000-0000-0000F1850000}"/>
    <cellStyle name="Normal 5 17 14 3 3" xfId="34290" xr:uid="{00000000-0005-0000-0000-0000F2850000}"/>
    <cellStyle name="Normal 5 17 14 3 4" xfId="34291" xr:uid="{00000000-0005-0000-0000-0000F3850000}"/>
    <cellStyle name="Normal 5 17 14 3 5" xfId="34292" xr:uid="{00000000-0005-0000-0000-0000F4850000}"/>
    <cellStyle name="Normal 5 17 14 3 6" xfId="34293" xr:uid="{00000000-0005-0000-0000-0000F5850000}"/>
    <cellStyle name="Normal 5 17 14 3 7" xfId="34294" xr:uid="{00000000-0005-0000-0000-0000F6850000}"/>
    <cellStyle name="Normal 5 17 14 3 8" xfId="34295" xr:uid="{00000000-0005-0000-0000-0000F7850000}"/>
    <cellStyle name="Normal 5 17 14 3 9" xfId="34296" xr:uid="{00000000-0005-0000-0000-0000F8850000}"/>
    <cellStyle name="Normal 5 17 14 4" xfId="34297" xr:uid="{00000000-0005-0000-0000-0000F9850000}"/>
    <cellStyle name="Normal 5 17 14 4 10" xfId="34298" xr:uid="{00000000-0005-0000-0000-0000FA850000}"/>
    <cellStyle name="Normal 5 17 14 4 2" xfId="34299" xr:uid="{00000000-0005-0000-0000-0000FB850000}"/>
    <cellStyle name="Normal 5 17 14 4 3" xfId="34300" xr:uid="{00000000-0005-0000-0000-0000FC850000}"/>
    <cellStyle name="Normal 5 17 14 4 4" xfId="34301" xr:uid="{00000000-0005-0000-0000-0000FD850000}"/>
    <cellStyle name="Normal 5 17 14 4 5" xfId="34302" xr:uid="{00000000-0005-0000-0000-0000FE850000}"/>
    <cellStyle name="Normal 5 17 14 4 6" xfId="34303" xr:uid="{00000000-0005-0000-0000-0000FF850000}"/>
    <cellStyle name="Normal 5 17 14 4 7" xfId="34304" xr:uid="{00000000-0005-0000-0000-000000860000}"/>
    <cellStyle name="Normal 5 17 14 4 8" xfId="34305" xr:uid="{00000000-0005-0000-0000-000001860000}"/>
    <cellStyle name="Normal 5 17 14 4 9" xfId="34306" xr:uid="{00000000-0005-0000-0000-000002860000}"/>
    <cellStyle name="Normal 5 17 14 5" xfId="34307" xr:uid="{00000000-0005-0000-0000-000003860000}"/>
    <cellStyle name="Normal 5 17 14 5 10" xfId="34308" xr:uid="{00000000-0005-0000-0000-000004860000}"/>
    <cellStyle name="Normal 5 17 14 5 2" xfId="34309" xr:uid="{00000000-0005-0000-0000-000005860000}"/>
    <cellStyle name="Normal 5 17 14 5 3" xfId="34310" xr:uid="{00000000-0005-0000-0000-000006860000}"/>
    <cellStyle name="Normal 5 17 14 5 4" xfId="34311" xr:uid="{00000000-0005-0000-0000-000007860000}"/>
    <cellStyle name="Normal 5 17 14 5 5" xfId="34312" xr:uid="{00000000-0005-0000-0000-000008860000}"/>
    <cellStyle name="Normal 5 17 14 5 6" xfId="34313" xr:uid="{00000000-0005-0000-0000-000009860000}"/>
    <cellStyle name="Normal 5 17 14 5 7" xfId="34314" xr:uid="{00000000-0005-0000-0000-00000A860000}"/>
    <cellStyle name="Normal 5 17 14 5 8" xfId="34315" xr:uid="{00000000-0005-0000-0000-00000B860000}"/>
    <cellStyle name="Normal 5 17 14 5 9" xfId="34316" xr:uid="{00000000-0005-0000-0000-00000C860000}"/>
    <cellStyle name="Normal 5 17 14 6" xfId="34317" xr:uid="{00000000-0005-0000-0000-00000D860000}"/>
    <cellStyle name="Normal 5 17 14 7" xfId="34318" xr:uid="{00000000-0005-0000-0000-00000E860000}"/>
    <cellStyle name="Normal 5 17 14 8" xfId="34319" xr:uid="{00000000-0005-0000-0000-00000F860000}"/>
    <cellStyle name="Normal 5 17 14 9" xfId="34320" xr:uid="{00000000-0005-0000-0000-000010860000}"/>
    <cellStyle name="Normal 5 17 15" xfId="34321" xr:uid="{00000000-0005-0000-0000-000011860000}"/>
    <cellStyle name="Normal 5 17 15 10" xfId="34322" xr:uid="{00000000-0005-0000-0000-000012860000}"/>
    <cellStyle name="Normal 5 17 15 11" xfId="34323" xr:uid="{00000000-0005-0000-0000-000013860000}"/>
    <cellStyle name="Normal 5 17 15 12" xfId="34324" xr:uid="{00000000-0005-0000-0000-000014860000}"/>
    <cellStyle name="Normal 5 17 15 13" xfId="34325" xr:uid="{00000000-0005-0000-0000-000015860000}"/>
    <cellStyle name="Normal 5 17 15 14" xfId="34326" xr:uid="{00000000-0005-0000-0000-000016860000}"/>
    <cellStyle name="Normal 5 17 15 2" xfId="34327" xr:uid="{00000000-0005-0000-0000-000017860000}"/>
    <cellStyle name="Normal 5 17 15 2 10" xfId="34328" xr:uid="{00000000-0005-0000-0000-000018860000}"/>
    <cellStyle name="Normal 5 17 15 2 2" xfId="34329" xr:uid="{00000000-0005-0000-0000-000019860000}"/>
    <cellStyle name="Normal 5 17 15 2 3" xfId="34330" xr:uid="{00000000-0005-0000-0000-00001A860000}"/>
    <cellStyle name="Normal 5 17 15 2 4" xfId="34331" xr:uid="{00000000-0005-0000-0000-00001B860000}"/>
    <cellStyle name="Normal 5 17 15 2 5" xfId="34332" xr:uid="{00000000-0005-0000-0000-00001C860000}"/>
    <cellStyle name="Normal 5 17 15 2 6" xfId="34333" xr:uid="{00000000-0005-0000-0000-00001D860000}"/>
    <cellStyle name="Normal 5 17 15 2 7" xfId="34334" xr:uid="{00000000-0005-0000-0000-00001E860000}"/>
    <cellStyle name="Normal 5 17 15 2 8" xfId="34335" xr:uid="{00000000-0005-0000-0000-00001F860000}"/>
    <cellStyle name="Normal 5 17 15 2 9" xfId="34336" xr:uid="{00000000-0005-0000-0000-000020860000}"/>
    <cellStyle name="Normal 5 17 15 3" xfId="34337" xr:uid="{00000000-0005-0000-0000-000021860000}"/>
    <cellStyle name="Normal 5 17 15 3 10" xfId="34338" xr:uid="{00000000-0005-0000-0000-000022860000}"/>
    <cellStyle name="Normal 5 17 15 3 2" xfId="34339" xr:uid="{00000000-0005-0000-0000-000023860000}"/>
    <cellStyle name="Normal 5 17 15 3 3" xfId="34340" xr:uid="{00000000-0005-0000-0000-000024860000}"/>
    <cellStyle name="Normal 5 17 15 3 4" xfId="34341" xr:uid="{00000000-0005-0000-0000-000025860000}"/>
    <cellStyle name="Normal 5 17 15 3 5" xfId="34342" xr:uid="{00000000-0005-0000-0000-000026860000}"/>
    <cellStyle name="Normal 5 17 15 3 6" xfId="34343" xr:uid="{00000000-0005-0000-0000-000027860000}"/>
    <cellStyle name="Normal 5 17 15 3 7" xfId="34344" xr:uid="{00000000-0005-0000-0000-000028860000}"/>
    <cellStyle name="Normal 5 17 15 3 8" xfId="34345" xr:uid="{00000000-0005-0000-0000-000029860000}"/>
    <cellStyle name="Normal 5 17 15 3 9" xfId="34346" xr:uid="{00000000-0005-0000-0000-00002A860000}"/>
    <cellStyle name="Normal 5 17 15 4" xfId="34347" xr:uid="{00000000-0005-0000-0000-00002B860000}"/>
    <cellStyle name="Normal 5 17 15 4 10" xfId="34348" xr:uid="{00000000-0005-0000-0000-00002C860000}"/>
    <cellStyle name="Normal 5 17 15 4 2" xfId="34349" xr:uid="{00000000-0005-0000-0000-00002D860000}"/>
    <cellStyle name="Normal 5 17 15 4 3" xfId="34350" xr:uid="{00000000-0005-0000-0000-00002E860000}"/>
    <cellStyle name="Normal 5 17 15 4 4" xfId="34351" xr:uid="{00000000-0005-0000-0000-00002F860000}"/>
    <cellStyle name="Normal 5 17 15 4 5" xfId="34352" xr:uid="{00000000-0005-0000-0000-000030860000}"/>
    <cellStyle name="Normal 5 17 15 4 6" xfId="34353" xr:uid="{00000000-0005-0000-0000-000031860000}"/>
    <cellStyle name="Normal 5 17 15 4 7" xfId="34354" xr:uid="{00000000-0005-0000-0000-000032860000}"/>
    <cellStyle name="Normal 5 17 15 4 8" xfId="34355" xr:uid="{00000000-0005-0000-0000-000033860000}"/>
    <cellStyle name="Normal 5 17 15 4 9" xfId="34356" xr:uid="{00000000-0005-0000-0000-000034860000}"/>
    <cellStyle name="Normal 5 17 15 5" xfId="34357" xr:uid="{00000000-0005-0000-0000-000035860000}"/>
    <cellStyle name="Normal 5 17 15 5 10" xfId="34358" xr:uid="{00000000-0005-0000-0000-000036860000}"/>
    <cellStyle name="Normal 5 17 15 5 2" xfId="34359" xr:uid="{00000000-0005-0000-0000-000037860000}"/>
    <cellStyle name="Normal 5 17 15 5 3" xfId="34360" xr:uid="{00000000-0005-0000-0000-000038860000}"/>
    <cellStyle name="Normal 5 17 15 5 4" xfId="34361" xr:uid="{00000000-0005-0000-0000-000039860000}"/>
    <cellStyle name="Normal 5 17 15 5 5" xfId="34362" xr:uid="{00000000-0005-0000-0000-00003A860000}"/>
    <cellStyle name="Normal 5 17 15 5 6" xfId="34363" xr:uid="{00000000-0005-0000-0000-00003B860000}"/>
    <cellStyle name="Normal 5 17 15 5 7" xfId="34364" xr:uid="{00000000-0005-0000-0000-00003C860000}"/>
    <cellStyle name="Normal 5 17 15 5 8" xfId="34365" xr:uid="{00000000-0005-0000-0000-00003D860000}"/>
    <cellStyle name="Normal 5 17 15 5 9" xfId="34366" xr:uid="{00000000-0005-0000-0000-00003E860000}"/>
    <cellStyle name="Normal 5 17 15 6" xfId="34367" xr:uid="{00000000-0005-0000-0000-00003F860000}"/>
    <cellStyle name="Normal 5 17 15 7" xfId="34368" xr:uid="{00000000-0005-0000-0000-000040860000}"/>
    <cellStyle name="Normal 5 17 15 8" xfId="34369" xr:uid="{00000000-0005-0000-0000-000041860000}"/>
    <cellStyle name="Normal 5 17 15 9" xfId="34370" xr:uid="{00000000-0005-0000-0000-000042860000}"/>
    <cellStyle name="Normal 5 17 16" xfId="34371" xr:uid="{00000000-0005-0000-0000-000043860000}"/>
    <cellStyle name="Normal 5 17 16 10" xfId="34372" xr:uid="{00000000-0005-0000-0000-000044860000}"/>
    <cellStyle name="Normal 5 17 16 11" xfId="34373" xr:uid="{00000000-0005-0000-0000-000045860000}"/>
    <cellStyle name="Normal 5 17 16 12" xfId="34374" xr:uid="{00000000-0005-0000-0000-000046860000}"/>
    <cellStyle name="Normal 5 17 16 13" xfId="34375" xr:uid="{00000000-0005-0000-0000-000047860000}"/>
    <cellStyle name="Normal 5 17 16 14" xfId="34376" xr:uid="{00000000-0005-0000-0000-000048860000}"/>
    <cellStyle name="Normal 5 17 16 2" xfId="34377" xr:uid="{00000000-0005-0000-0000-000049860000}"/>
    <cellStyle name="Normal 5 17 16 2 10" xfId="34378" xr:uid="{00000000-0005-0000-0000-00004A860000}"/>
    <cellStyle name="Normal 5 17 16 2 2" xfId="34379" xr:uid="{00000000-0005-0000-0000-00004B860000}"/>
    <cellStyle name="Normal 5 17 16 2 3" xfId="34380" xr:uid="{00000000-0005-0000-0000-00004C860000}"/>
    <cellStyle name="Normal 5 17 16 2 4" xfId="34381" xr:uid="{00000000-0005-0000-0000-00004D860000}"/>
    <cellStyle name="Normal 5 17 16 2 5" xfId="34382" xr:uid="{00000000-0005-0000-0000-00004E860000}"/>
    <cellStyle name="Normal 5 17 16 2 6" xfId="34383" xr:uid="{00000000-0005-0000-0000-00004F860000}"/>
    <cellStyle name="Normal 5 17 16 2 7" xfId="34384" xr:uid="{00000000-0005-0000-0000-000050860000}"/>
    <cellStyle name="Normal 5 17 16 2 8" xfId="34385" xr:uid="{00000000-0005-0000-0000-000051860000}"/>
    <cellStyle name="Normal 5 17 16 2 9" xfId="34386" xr:uid="{00000000-0005-0000-0000-000052860000}"/>
    <cellStyle name="Normal 5 17 16 3" xfId="34387" xr:uid="{00000000-0005-0000-0000-000053860000}"/>
    <cellStyle name="Normal 5 17 16 3 10" xfId="34388" xr:uid="{00000000-0005-0000-0000-000054860000}"/>
    <cellStyle name="Normal 5 17 16 3 2" xfId="34389" xr:uid="{00000000-0005-0000-0000-000055860000}"/>
    <cellStyle name="Normal 5 17 16 3 3" xfId="34390" xr:uid="{00000000-0005-0000-0000-000056860000}"/>
    <cellStyle name="Normal 5 17 16 3 4" xfId="34391" xr:uid="{00000000-0005-0000-0000-000057860000}"/>
    <cellStyle name="Normal 5 17 16 3 5" xfId="34392" xr:uid="{00000000-0005-0000-0000-000058860000}"/>
    <cellStyle name="Normal 5 17 16 3 6" xfId="34393" xr:uid="{00000000-0005-0000-0000-000059860000}"/>
    <cellStyle name="Normal 5 17 16 3 7" xfId="34394" xr:uid="{00000000-0005-0000-0000-00005A860000}"/>
    <cellStyle name="Normal 5 17 16 3 8" xfId="34395" xr:uid="{00000000-0005-0000-0000-00005B860000}"/>
    <cellStyle name="Normal 5 17 16 3 9" xfId="34396" xr:uid="{00000000-0005-0000-0000-00005C860000}"/>
    <cellStyle name="Normal 5 17 16 4" xfId="34397" xr:uid="{00000000-0005-0000-0000-00005D860000}"/>
    <cellStyle name="Normal 5 17 16 4 10" xfId="34398" xr:uid="{00000000-0005-0000-0000-00005E860000}"/>
    <cellStyle name="Normal 5 17 16 4 2" xfId="34399" xr:uid="{00000000-0005-0000-0000-00005F860000}"/>
    <cellStyle name="Normal 5 17 16 4 3" xfId="34400" xr:uid="{00000000-0005-0000-0000-000060860000}"/>
    <cellStyle name="Normal 5 17 16 4 4" xfId="34401" xr:uid="{00000000-0005-0000-0000-000061860000}"/>
    <cellStyle name="Normal 5 17 16 4 5" xfId="34402" xr:uid="{00000000-0005-0000-0000-000062860000}"/>
    <cellStyle name="Normal 5 17 16 4 6" xfId="34403" xr:uid="{00000000-0005-0000-0000-000063860000}"/>
    <cellStyle name="Normal 5 17 16 4 7" xfId="34404" xr:uid="{00000000-0005-0000-0000-000064860000}"/>
    <cellStyle name="Normal 5 17 16 4 8" xfId="34405" xr:uid="{00000000-0005-0000-0000-000065860000}"/>
    <cellStyle name="Normal 5 17 16 4 9" xfId="34406" xr:uid="{00000000-0005-0000-0000-000066860000}"/>
    <cellStyle name="Normal 5 17 16 5" xfId="34407" xr:uid="{00000000-0005-0000-0000-000067860000}"/>
    <cellStyle name="Normal 5 17 16 5 10" xfId="34408" xr:uid="{00000000-0005-0000-0000-000068860000}"/>
    <cellStyle name="Normal 5 17 16 5 2" xfId="34409" xr:uid="{00000000-0005-0000-0000-000069860000}"/>
    <cellStyle name="Normal 5 17 16 5 3" xfId="34410" xr:uid="{00000000-0005-0000-0000-00006A860000}"/>
    <cellStyle name="Normal 5 17 16 5 4" xfId="34411" xr:uid="{00000000-0005-0000-0000-00006B860000}"/>
    <cellStyle name="Normal 5 17 16 5 5" xfId="34412" xr:uid="{00000000-0005-0000-0000-00006C860000}"/>
    <cellStyle name="Normal 5 17 16 5 6" xfId="34413" xr:uid="{00000000-0005-0000-0000-00006D860000}"/>
    <cellStyle name="Normal 5 17 16 5 7" xfId="34414" xr:uid="{00000000-0005-0000-0000-00006E860000}"/>
    <cellStyle name="Normal 5 17 16 5 8" xfId="34415" xr:uid="{00000000-0005-0000-0000-00006F860000}"/>
    <cellStyle name="Normal 5 17 16 5 9" xfId="34416" xr:uid="{00000000-0005-0000-0000-000070860000}"/>
    <cellStyle name="Normal 5 17 16 6" xfId="34417" xr:uid="{00000000-0005-0000-0000-000071860000}"/>
    <cellStyle name="Normal 5 17 16 7" xfId="34418" xr:uid="{00000000-0005-0000-0000-000072860000}"/>
    <cellStyle name="Normal 5 17 16 8" xfId="34419" xr:uid="{00000000-0005-0000-0000-000073860000}"/>
    <cellStyle name="Normal 5 17 16 9" xfId="34420" xr:uid="{00000000-0005-0000-0000-000074860000}"/>
    <cellStyle name="Normal 5 17 17" xfId="34421" xr:uid="{00000000-0005-0000-0000-000075860000}"/>
    <cellStyle name="Normal 5 17 17 10" xfId="34422" xr:uid="{00000000-0005-0000-0000-000076860000}"/>
    <cellStyle name="Normal 5 17 17 11" xfId="34423" xr:uid="{00000000-0005-0000-0000-000077860000}"/>
    <cellStyle name="Normal 5 17 17 12" xfId="34424" xr:uid="{00000000-0005-0000-0000-000078860000}"/>
    <cellStyle name="Normal 5 17 17 13" xfId="34425" xr:uid="{00000000-0005-0000-0000-000079860000}"/>
    <cellStyle name="Normal 5 17 17 14" xfId="34426" xr:uid="{00000000-0005-0000-0000-00007A860000}"/>
    <cellStyle name="Normal 5 17 17 2" xfId="34427" xr:uid="{00000000-0005-0000-0000-00007B860000}"/>
    <cellStyle name="Normal 5 17 17 2 10" xfId="34428" xr:uid="{00000000-0005-0000-0000-00007C860000}"/>
    <cellStyle name="Normal 5 17 17 2 2" xfId="34429" xr:uid="{00000000-0005-0000-0000-00007D860000}"/>
    <cellStyle name="Normal 5 17 17 2 3" xfId="34430" xr:uid="{00000000-0005-0000-0000-00007E860000}"/>
    <cellStyle name="Normal 5 17 17 2 4" xfId="34431" xr:uid="{00000000-0005-0000-0000-00007F860000}"/>
    <cellStyle name="Normal 5 17 17 2 5" xfId="34432" xr:uid="{00000000-0005-0000-0000-000080860000}"/>
    <cellStyle name="Normal 5 17 17 2 6" xfId="34433" xr:uid="{00000000-0005-0000-0000-000081860000}"/>
    <cellStyle name="Normal 5 17 17 2 7" xfId="34434" xr:uid="{00000000-0005-0000-0000-000082860000}"/>
    <cellStyle name="Normal 5 17 17 2 8" xfId="34435" xr:uid="{00000000-0005-0000-0000-000083860000}"/>
    <cellStyle name="Normal 5 17 17 2 9" xfId="34436" xr:uid="{00000000-0005-0000-0000-000084860000}"/>
    <cellStyle name="Normal 5 17 17 3" xfId="34437" xr:uid="{00000000-0005-0000-0000-000085860000}"/>
    <cellStyle name="Normal 5 17 17 3 10" xfId="34438" xr:uid="{00000000-0005-0000-0000-000086860000}"/>
    <cellStyle name="Normal 5 17 17 3 2" xfId="34439" xr:uid="{00000000-0005-0000-0000-000087860000}"/>
    <cellStyle name="Normal 5 17 17 3 3" xfId="34440" xr:uid="{00000000-0005-0000-0000-000088860000}"/>
    <cellStyle name="Normal 5 17 17 3 4" xfId="34441" xr:uid="{00000000-0005-0000-0000-000089860000}"/>
    <cellStyle name="Normal 5 17 17 3 5" xfId="34442" xr:uid="{00000000-0005-0000-0000-00008A860000}"/>
    <cellStyle name="Normal 5 17 17 3 6" xfId="34443" xr:uid="{00000000-0005-0000-0000-00008B860000}"/>
    <cellStyle name="Normal 5 17 17 3 7" xfId="34444" xr:uid="{00000000-0005-0000-0000-00008C860000}"/>
    <cellStyle name="Normal 5 17 17 3 8" xfId="34445" xr:uid="{00000000-0005-0000-0000-00008D860000}"/>
    <cellStyle name="Normal 5 17 17 3 9" xfId="34446" xr:uid="{00000000-0005-0000-0000-00008E860000}"/>
    <cellStyle name="Normal 5 17 17 4" xfId="34447" xr:uid="{00000000-0005-0000-0000-00008F860000}"/>
    <cellStyle name="Normal 5 17 17 4 10" xfId="34448" xr:uid="{00000000-0005-0000-0000-000090860000}"/>
    <cellStyle name="Normal 5 17 17 4 2" xfId="34449" xr:uid="{00000000-0005-0000-0000-000091860000}"/>
    <cellStyle name="Normal 5 17 17 4 3" xfId="34450" xr:uid="{00000000-0005-0000-0000-000092860000}"/>
    <cellStyle name="Normal 5 17 17 4 4" xfId="34451" xr:uid="{00000000-0005-0000-0000-000093860000}"/>
    <cellStyle name="Normal 5 17 17 4 5" xfId="34452" xr:uid="{00000000-0005-0000-0000-000094860000}"/>
    <cellStyle name="Normal 5 17 17 4 6" xfId="34453" xr:uid="{00000000-0005-0000-0000-000095860000}"/>
    <cellStyle name="Normal 5 17 17 4 7" xfId="34454" xr:uid="{00000000-0005-0000-0000-000096860000}"/>
    <cellStyle name="Normal 5 17 17 4 8" xfId="34455" xr:uid="{00000000-0005-0000-0000-000097860000}"/>
    <cellStyle name="Normal 5 17 17 4 9" xfId="34456" xr:uid="{00000000-0005-0000-0000-000098860000}"/>
    <cellStyle name="Normal 5 17 17 5" xfId="34457" xr:uid="{00000000-0005-0000-0000-000099860000}"/>
    <cellStyle name="Normal 5 17 17 5 10" xfId="34458" xr:uid="{00000000-0005-0000-0000-00009A860000}"/>
    <cellStyle name="Normal 5 17 17 5 2" xfId="34459" xr:uid="{00000000-0005-0000-0000-00009B860000}"/>
    <cellStyle name="Normal 5 17 17 5 3" xfId="34460" xr:uid="{00000000-0005-0000-0000-00009C860000}"/>
    <cellStyle name="Normal 5 17 17 5 4" xfId="34461" xr:uid="{00000000-0005-0000-0000-00009D860000}"/>
    <cellStyle name="Normal 5 17 17 5 5" xfId="34462" xr:uid="{00000000-0005-0000-0000-00009E860000}"/>
    <cellStyle name="Normal 5 17 17 5 6" xfId="34463" xr:uid="{00000000-0005-0000-0000-00009F860000}"/>
    <cellStyle name="Normal 5 17 17 5 7" xfId="34464" xr:uid="{00000000-0005-0000-0000-0000A0860000}"/>
    <cellStyle name="Normal 5 17 17 5 8" xfId="34465" xr:uid="{00000000-0005-0000-0000-0000A1860000}"/>
    <cellStyle name="Normal 5 17 17 5 9" xfId="34466" xr:uid="{00000000-0005-0000-0000-0000A2860000}"/>
    <cellStyle name="Normal 5 17 17 6" xfId="34467" xr:uid="{00000000-0005-0000-0000-0000A3860000}"/>
    <cellStyle name="Normal 5 17 17 7" xfId="34468" xr:uid="{00000000-0005-0000-0000-0000A4860000}"/>
    <cellStyle name="Normal 5 17 17 8" xfId="34469" xr:uid="{00000000-0005-0000-0000-0000A5860000}"/>
    <cellStyle name="Normal 5 17 17 9" xfId="34470" xr:uid="{00000000-0005-0000-0000-0000A6860000}"/>
    <cellStyle name="Normal 5 17 18" xfId="34471" xr:uid="{00000000-0005-0000-0000-0000A7860000}"/>
    <cellStyle name="Normal 5 17 18 10" xfId="34472" xr:uid="{00000000-0005-0000-0000-0000A8860000}"/>
    <cellStyle name="Normal 5 17 18 11" xfId="34473" xr:uid="{00000000-0005-0000-0000-0000A9860000}"/>
    <cellStyle name="Normal 5 17 18 12" xfId="34474" xr:uid="{00000000-0005-0000-0000-0000AA860000}"/>
    <cellStyle name="Normal 5 17 18 13" xfId="34475" xr:uid="{00000000-0005-0000-0000-0000AB860000}"/>
    <cellStyle name="Normal 5 17 18 14" xfId="34476" xr:uid="{00000000-0005-0000-0000-0000AC860000}"/>
    <cellStyle name="Normal 5 17 18 2" xfId="34477" xr:uid="{00000000-0005-0000-0000-0000AD860000}"/>
    <cellStyle name="Normal 5 17 18 2 10" xfId="34478" xr:uid="{00000000-0005-0000-0000-0000AE860000}"/>
    <cellStyle name="Normal 5 17 18 2 2" xfId="34479" xr:uid="{00000000-0005-0000-0000-0000AF860000}"/>
    <cellStyle name="Normal 5 17 18 2 3" xfId="34480" xr:uid="{00000000-0005-0000-0000-0000B0860000}"/>
    <cellStyle name="Normal 5 17 18 2 4" xfId="34481" xr:uid="{00000000-0005-0000-0000-0000B1860000}"/>
    <cellStyle name="Normal 5 17 18 2 5" xfId="34482" xr:uid="{00000000-0005-0000-0000-0000B2860000}"/>
    <cellStyle name="Normal 5 17 18 2 6" xfId="34483" xr:uid="{00000000-0005-0000-0000-0000B3860000}"/>
    <cellStyle name="Normal 5 17 18 2 7" xfId="34484" xr:uid="{00000000-0005-0000-0000-0000B4860000}"/>
    <cellStyle name="Normal 5 17 18 2 8" xfId="34485" xr:uid="{00000000-0005-0000-0000-0000B5860000}"/>
    <cellStyle name="Normal 5 17 18 2 9" xfId="34486" xr:uid="{00000000-0005-0000-0000-0000B6860000}"/>
    <cellStyle name="Normal 5 17 18 3" xfId="34487" xr:uid="{00000000-0005-0000-0000-0000B7860000}"/>
    <cellStyle name="Normal 5 17 18 3 10" xfId="34488" xr:uid="{00000000-0005-0000-0000-0000B8860000}"/>
    <cellStyle name="Normal 5 17 18 3 2" xfId="34489" xr:uid="{00000000-0005-0000-0000-0000B9860000}"/>
    <cellStyle name="Normal 5 17 18 3 3" xfId="34490" xr:uid="{00000000-0005-0000-0000-0000BA860000}"/>
    <cellStyle name="Normal 5 17 18 3 4" xfId="34491" xr:uid="{00000000-0005-0000-0000-0000BB860000}"/>
    <cellStyle name="Normal 5 17 18 3 5" xfId="34492" xr:uid="{00000000-0005-0000-0000-0000BC860000}"/>
    <cellStyle name="Normal 5 17 18 3 6" xfId="34493" xr:uid="{00000000-0005-0000-0000-0000BD860000}"/>
    <cellStyle name="Normal 5 17 18 3 7" xfId="34494" xr:uid="{00000000-0005-0000-0000-0000BE860000}"/>
    <cellStyle name="Normal 5 17 18 3 8" xfId="34495" xr:uid="{00000000-0005-0000-0000-0000BF860000}"/>
    <cellStyle name="Normal 5 17 18 3 9" xfId="34496" xr:uid="{00000000-0005-0000-0000-0000C0860000}"/>
    <cellStyle name="Normal 5 17 18 4" xfId="34497" xr:uid="{00000000-0005-0000-0000-0000C1860000}"/>
    <cellStyle name="Normal 5 17 18 4 10" xfId="34498" xr:uid="{00000000-0005-0000-0000-0000C2860000}"/>
    <cellStyle name="Normal 5 17 18 4 2" xfId="34499" xr:uid="{00000000-0005-0000-0000-0000C3860000}"/>
    <cellStyle name="Normal 5 17 18 4 3" xfId="34500" xr:uid="{00000000-0005-0000-0000-0000C4860000}"/>
    <cellStyle name="Normal 5 17 18 4 4" xfId="34501" xr:uid="{00000000-0005-0000-0000-0000C5860000}"/>
    <cellStyle name="Normal 5 17 18 4 5" xfId="34502" xr:uid="{00000000-0005-0000-0000-0000C6860000}"/>
    <cellStyle name="Normal 5 17 18 4 6" xfId="34503" xr:uid="{00000000-0005-0000-0000-0000C7860000}"/>
    <cellStyle name="Normal 5 17 18 4 7" xfId="34504" xr:uid="{00000000-0005-0000-0000-0000C8860000}"/>
    <cellStyle name="Normal 5 17 18 4 8" xfId="34505" xr:uid="{00000000-0005-0000-0000-0000C9860000}"/>
    <cellStyle name="Normal 5 17 18 4 9" xfId="34506" xr:uid="{00000000-0005-0000-0000-0000CA860000}"/>
    <cellStyle name="Normal 5 17 18 5" xfId="34507" xr:uid="{00000000-0005-0000-0000-0000CB860000}"/>
    <cellStyle name="Normal 5 17 18 5 10" xfId="34508" xr:uid="{00000000-0005-0000-0000-0000CC860000}"/>
    <cellStyle name="Normal 5 17 18 5 2" xfId="34509" xr:uid="{00000000-0005-0000-0000-0000CD860000}"/>
    <cellStyle name="Normal 5 17 18 5 3" xfId="34510" xr:uid="{00000000-0005-0000-0000-0000CE860000}"/>
    <cellStyle name="Normal 5 17 18 5 4" xfId="34511" xr:uid="{00000000-0005-0000-0000-0000CF860000}"/>
    <cellStyle name="Normal 5 17 18 5 5" xfId="34512" xr:uid="{00000000-0005-0000-0000-0000D0860000}"/>
    <cellStyle name="Normal 5 17 18 5 6" xfId="34513" xr:uid="{00000000-0005-0000-0000-0000D1860000}"/>
    <cellStyle name="Normal 5 17 18 5 7" xfId="34514" xr:uid="{00000000-0005-0000-0000-0000D2860000}"/>
    <cellStyle name="Normal 5 17 18 5 8" xfId="34515" xr:uid="{00000000-0005-0000-0000-0000D3860000}"/>
    <cellStyle name="Normal 5 17 18 5 9" xfId="34516" xr:uid="{00000000-0005-0000-0000-0000D4860000}"/>
    <cellStyle name="Normal 5 17 18 6" xfId="34517" xr:uid="{00000000-0005-0000-0000-0000D5860000}"/>
    <cellStyle name="Normal 5 17 18 7" xfId="34518" xr:uid="{00000000-0005-0000-0000-0000D6860000}"/>
    <cellStyle name="Normal 5 17 18 8" xfId="34519" xr:uid="{00000000-0005-0000-0000-0000D7860000}"/>
    <cellStyle name="Normal 5 17 18 9" xfId="34520" xr:uid="{00000000-0005-0000-0000-0000D8860000}"/>
    <cellStyle name="Normal 5 17 19" xfId="34521" xr:uid="{00000000-0005-0000-0000-0000D9860000}"/>
    <cellStyle name="Normal 5 17 19 10" xfId="34522" xr:uid="{00000000-0005-0000-0000-0000DA860000}"/>
    <cellStyle name="Normal 5 17 19 11" xfId="34523" xr:uid="{00000000-0005-0000-0000-0000DB860000}"/>
    <cellStyle name="Normal 5 17 19 12" xfId="34524" xr:uid="{00000000-0005-0000-0000-0000DC860000}"/>
    <cellStyle name="Normal 5 17 19 13" xfId="34525" xr:uid="{00000000-0005-0000-0000-0000DD860000}"/>
    <cellStyle name="Normal 5 17 19 14" xfId="34526" xr:uid="{00000000-0005-0000-0000-0000DE860000}"/>
    <cellStyle name="Normal 5 17 19 2" xfId="34527" xr:uid="{00000000-0005-0000-0000-0000DF860000}"/>
    <cellStyle name="Normal 5 17 19 2 10" xfId="34528" xr:uid="{00000000-0005-0000-0000-0000E0860000}"/>
    <cellStyle name="Normal 5 17 19 2 2" xfId="34529" xr:uid="{00000000-0005-0000-0000-0000E1860000}"/>
    <cellStyle name="Normal 5 17 19 2 3" xfId="34530" xr:uid="{00000000-0005-0000-0000-0000E2860000}"/>
    <cellStyle name="Normal 5 17 19 2 4" xfId="34531" xr:uid="{00000000-0005-0000-0000-0000E3860000}"/>
    <cellStyle name="Normal 5 17 19 2 5" xfId="34532" xr:uid="{00000000-0005-0000-0000-0000E4860000}"/>
    <cellStyle name="Normal 5 17 19 2 6" xfId="34533" xr:uid="{00000000-0005-0000-0000-0000E5860000}"/>
    <cellStyle name="Normal 5 17 19 2 7" xfId="34534" xr:uid="{00000000-0005-0000-0000-0000E6860000}"/>
    <cellStyle name="Normal 5 17 19 2 8" xfId="34535" xr:uid="{00000000-0005-0000-0000-0000E7860000}"/>
    <cellStyle name="Normal 5 17 19 2 9" xfId="34536" xr:uid="{00000000-0005-0000-0000-0000E8860000}"/>
    <cellStyle name="Normal 5 17 19 3" xfId="34537" xr:uid="{00000000-0005-0000-0000-0000E9860000}"/>
    <cellStyle name="Normal 5 17 19 3 10" xfId="34538" xr:uid="{00000000-0005-0000-0000-0000EA860000}"/>
    <cellStyle name="Normal 5 17 19 3 2" xfId="34539" xr:uid="{00000000-0005-0000-0000-0000EB860000}"/>
    <cellStyle name="Normal 5 17 19 3 3" xfId="34540" xr:uid="{00000000-0005-0000-0000-0000EC860000}"/>
    <cellStyle name="Normal 5 17 19 3 4" xfId="34541" xr:uid="{00000000-0005-0000-0000-0000ED860000}"/>
    <cellStyle name="Normal 5 17 19 3 5" xfId="34542" xr:uid="{00000000-0005-0000-0000-0000EE860000}"/>
    <cellStyle name="Normal 5 17 19 3 6" xfId="34543" xr:uid="{00000000-0005-0000-0000-0000EF860000}"/>
    <cellStyle name="Normal 5 17 19 3 7" xfId="34544" xr:uid="{00000000-0005-0000-0000-0000F0860000}"/>
    <cellStyle name="Normal 5 17 19 3 8" xfId="34545" xr:uid="{00000000-0005-0000-0000-0000F1860000}"/>
    <cellStyle name="Normal 5 17 19 3 9" xfId="34546" xr:uid="{00000000-0005-0000-0000-0000F2860000}"/>
    <cellStyle name="Normal 5 17 19 4" xfId="34547" xr:uid="{00000000-0005-0000-0000-0000F3860000}"/>
    <cellStyle name="Normal 5 17 19 4 10" xfId="34548" xr:uid="{00000000-0005-0000-0000-0000F4860000}"/>
    <cellStyle name="Normal 5 17 19 4 2" xfId="34549" xr:uid="{00000000-0005-0000-0000-0000F5860000}"/>
    <cellStyle name="Normal 5 17 19 4 3" xfId="34550" xr:uid="{00000000-0005-0000-0000-0000F6860000}"/>
    <cellStyle name="Normal 5 17 19 4 4" xfId="34551" xr:uid="{00000000-0005-0000-0000-0000F7860000}"/>
    <cellStyle name="Normal 5 17 19 4 5" xfId="34552" xr:uid="{00000000-0005-0000-0000-0000F8860000}"/>
    <cellStyle name="Normal 5 17 19 4 6" xfId="34553" xr:uid="{00000000-0005-0000-0000-0000F9860000}"/>
    <cellStyle name="Normal 5 17 19 4 7" xfId="34554" xr:uid="{00000000-0005-0000-0000-0000FA860000}"/>
    <cellStyle name="Normal 5 17 19 4 8" xfId="34555" xr:uid="{00000000-0005-0000-0000-0000FB860000}"/>
    <cellStyle name="Normal 5 17 19 4 9" xfId="34556" xr:uid="{00000000-0005-0000-0000-0000FC860000}"/>
    <cellStyle name="Normal 5 17 19 5" xfId="34557" xr:uid="{00000000-0005-0000-0000-0000FD860000}"/>
    <cellStyle name="Normal 5 17 19 5 10" xfId="34558" xr:uid="{00000000-0005-0000-0000-0000FE860000}"/>
    <cellStyle name="Normal 5 17 19 5 2" xfId="34559" xr:uid="{00000000-0005-0000-0000-0000FF860000}"/>
    <cellStyle name="Normal 5 17 19 5 3" xfId="34560" xr:uid="{00000000-0005-0000-0000-000000870000}"/>
    <cellStyle name="Normal 5 17 19 5 4" xfId="34561" xr:uid="{00000000-0005-0000-0000-000001870000}"/>
    <cellStyle name="Normal 5 17 19 5 5" xfId="34562" xr:uid="{00000000-0005-0000-0000-000002870000}"/>
    <cellStyle name="Normal 5 17 19 5 6" xfId="34563" xr:uid="{00000000-0005-0000-0000-000003870000}"/>
    <cellStyle name="Normal 5 17 19 5 7" xfId="34564" xr:uid="{00000000-0005-0000-0000-000004870000}"/>
    <cellStyle name="Normal 5 17 19 5 8" xfId="34565" xr:uid="{00000000-0005-0000-0000-000005870000}"/>
    <cellStyle name="Normal 5 17 19 5 9" xfId="34566" xr:uid="{00000000-0005-0000-0000-000006870000}"/>
    <cellStyle name="Normal 5 17 19 6" xfId="34567" xr:uid="{00000000-0005-0000-0000-000007870000}"/>
    <cellStyle name="Normal 5 17 19 7" xfId="34568" xr:uid="{00000000-0005-0000-0000-000008870000}"/>
    <cellStyle name="Normal 5 17 19 8" xfId="34569" xr:uid="{00000000-0005-0000-0000-000009870000}"/>
    <cellStyle name="Normal 5 17 19 9" xfId="34570" xr:uid="{00000000-0005-0000-0000-00000A870000}"/>
    <cellStyle name="Normal 5 17 2" xfId="34571" xr:uid="{00000000-0005-0000-0000-00000B870000}"/>
    <cellStyle name="Normal 5 17 2 10" xfId="34572" xr:uid="{00000000-0005-0000-0000-00000C870000}"/>
    <cellStyle name="Normal 5 17 2 10 10" xfId="34573" xr:uid="{00000000-0005-0000-0000-00000D870000}"/>
    <cellStyle name="Normal 5 17 2 10 11" xfId="34574" xr:uid="{00000000-0005-0000-0000-00000E870000}"/>
    <cellStyle name="Normal 5 17 2 10 12" xfId="34575" xr:uid="{00000000-0005-0000-0000-00000F870000}"/>
    <cellStyle name="Normal 5 17 2 10 13" xfId="34576" xr:uid="{00000000-0005-0000-0000-000010870000}"/>
    <cellStyle name="Normal 5 17 2 10 14" xfId="34577" xr:uid="{00000000-0005-0000-0000-000011870000}"/>
    <cellStyle name="Normal 5 17 2 10 2" xfId="34578" xr:uid="{00000000-0005-0000-0000-000012870000}"/>
    <cellStyle name="Normal 5 17 2 10 2 10" xfId="34579" xr:uid="{00000000-0005-0000-0000-000013870000}"/>
    <cellStyle name="Normal 5 17 2 10 2 2" xfId="34580" xr:uid="{00000000-0005-0000-0000-000014870000}"/>
    <cellStyle name="Normal 5 17 2 10 2 3" xfId="34581" xr:uid="{00000000-0005-0000-0000-000015870000}"/>
    <cellStyle name="Normal 5 17 2 10 2 4" xfId="34582" xr:uid="{00000000-0005-0000-0000-000016870000}"/>
    <cellStyle name="Normal 5 17 2 10 2 5" xfId="34583" xr:uid="{00000000-0005-0000-0000-000017870000}"/>
    <cellStyle name="Normal 5 17 2 10 2 6" xfId="34584" xr:uid="{00000000-0005-0000-0000-000018870000}"/>
    <cellStyle name="Normal 5 17 2 10 2 7" xfId="34585" xr:uid="{00000000-0005-0000-0000-000019870000}"/>
    <cellStyle name="Normal 5 17 2 10 2 8" xfId="34586" xr:uid="{00000000-0005-0000-0000-00001A870000}"/>
    <cellStyle name="Normal 5 17 2 10 2 9" xfId="34587" xr:uid="{00000000-0005-0000-0000-00001B870000}"/>
    <cellStyle name="Normal 5 17 2 10 3" xfId="34588" xr:uid="{00000000-0005-0000-0000-00001C870000}"/>
    <cellStyle name="Normal 5 17 2 10 3 10" xfId="34589" xr:uid="{00000000-0005-0000-0000-00001D870000}"/>
    <cellStyle name="Normal 5 17 2 10 3 2" xfId="34590" xr:uid="{00000000-0005-0000-0000-00001E870000}"/>
    <cellStyle name="Normal 5 17 2 10 3 3" xfId="34591" xr:uid="{00000000-0005-0000-0000-00001F870000}"/>
    <cellStyle name="Normal 5 17 2 10 3 4" xfId="34592" xr:uid="{00000000-0005-0000-0000-000020870000}"/>
    <cellStyle name="Normal 5 17 2 10 3 5" xfId="34593" xr:uid="{00000000-0005-0000-0000-000021870000}"/>
    <cellStyle name="Normal 5 17 2 10 3 6" xfId="34594" xr:uid="{00000000-0005-0000-0000-000022870000}"/>
    <cellStyle name="Normal 5 17 2 10 3 7" xfId="34595" xr:uid="{00000000-0005-0000-0000-000023870000}"/>
    <cellStyle name="Normal 5 17 2 10 3 8" xfId="34596" xr:uid="{00000000-0005-0000-0000-000024870000}"/>
    <cellStyle name="Normal 5 17 2 10 3 9" xfId="34597" xr:uid="{00000000-0005-0000-0000-000025870000}"/>
    <cellStyle name="Normal 5 17 2 10 4" xfId="34598" xr:uid="{00000000-0005-0000-0000-000026870000}"/>
    <cellStyle name="Normal 5 17 2 10 4 10" xfId="34599" xr:uid="{00000000-0005-0000-0000-000027870000}"/>
    <cellStyle name="Normal 5 17 2 10 4 2" xfId="34600" xr:uid="{00000000-0005-0000-0000-000028870000}"/>
    <cellStyle name="Normal 5 17 2 10 4 3" xfId="34601" xr:uid="{00000000-0005-0000-0000-000029870000}"/>
    <cellStyle name="Normal 5 17 2 10 4 4" xfId="34602" xr:uid="{00000000-0005-0000-0000-00002A870000}"/>
    <cellStyle name="Normal 5 17 2 10 4 5" xfId="34603" xr:uid="{00000000-0005-0000-0000-00002B870000}"/>
    <cellStyle name="Normal 5 17 2 10 4 6" xfId="34604" xr:uid="{00000000-0005-0000-0000-00002C870000}"/>
    <cellStyle name="Normal 5 17 2 10 4 7" xfId="34605" xr:uid="{00000000-0005-0000-0000-00002D870000}"/>
    <cellStyle name="Normal 5 17 2 10 4 8" xfId="34606" xr:uid="{00000000-0005-0000-0000-00002E870000}"/>
    <cellStyle name="Normal 5 17 2 10 4 9" xfId="34607" xr:uid="{00000000-0005-0000-0000-00002F870000}"/>
    <cellStyle name="Normal 5 17 2 10 5" xfId="34608" xr:uid="{00000000-0005-0000-0000-000030870000}"/>
    <cellStyle name="Normal 5 17 2 10 5 10" xfId="34609" xr:uid="{00000000-0005-0000-0000-000031870000}"/>
    <cellStyle name="Normal 5 17 2 10 5 2" xfId="34610" xr:uid="{00000000-0005-0000-0000-000032870000}"/>
    <cellStyle name="Normal 5 17 2 10 5 3" xfId="34611" xr:uid="{00000000-0005-0000-0000-000033870000}"/>
    <cellStyle name="Normal 5 17 2 10 5 4" xfId="34612" xr:uid="{00000000-0005-0000-0000-000034870000}"/>
    <cellStyle name="Normal 5 17 2 10 5 5" xfId="34613" xr:uid="{00000000-0005-0000-0000-000035870000}"/>
    <cellStyle name="Normal 5 17 2 10 5 6" xfId="34614" xr:uid="{00000000-0005-0000-0000-000036870000}"/>
    <cellStyle name="Normal 5 17 2 10 5 7" xfId="34615" xr:uid="{00000000-0005-0000-0000-000037870000}"/>
    <cellStyle name="Normal 5 17 2 10 5 8" xfId="34616" xr:uid="{00000000-0005-0000-0000-000038870000}"/>
    <cellStyle name="Normal 5 17 2 10 5 9" xfId="34617" xr:uid="{00000000-0005-0000-0000-000039870000}"/>
    <cellStyle name="Normal 5 17 2 10 6" xfId="34618" xr:uid="{00000000-0005-0000-0000-00003A870000}"/>
    <cellStyle name="Normal 5 17 2 10 7" xfId="34619" xr:uid="{00000000-0005-0000-0000-00003B870000}"/>
    <cellStyle name="Normal 5 17 2 10 8" xfId="34620" xr:uid="{00000000-0005-0000-0000-00003C870000}"/>
    <cellStyle name="Normal 5 17 2 10 9" xfId="34621" xr:uid="{00000000-0005-0000-0000-00003D870000}"/>
    <cellStyle name="Normal 5 17 2 11" xfId="34622" xr:uid="{00000000-0005-0000-0000-00003E870000}"/>
    <cellStyle name="Normal 5 17 2 11 10" xfId="34623" xr:uid="{00000000-0005-0000-0000-00003F870000}"/>
    <cellStyle name="Normal 5 17 2 11 11" xfId="34624" xr:uid="{00000000-0005-0000-0000-000040870000}"/>
    <cellStyle name="Normal 5 17 2 11 12" xfId="34625" xr:uid="{00000000-0005-0000-0000-000041870000}"/>
    <cellStyle name="Normal 5 17 2 11 13" xfId="34626" xr:uid="{00000000-0005-0000-0000-000042870000}"/>
    <cellStyle name="Normal 5 17 2 11 14" xfId="34627" xr:uid="{00000000-0005-0000-0000-000043870000}"/>
    <cellStyle name="Normal 5 17 2 11 2" xfId="34628" xr:uid="{00000000-0005-0000-0000-000044870000}"/>
    <cellStyle name="Normal 5 17 2 11 2 10" xfId="34629" xr:uid="{00000000-0005-0000-0000-000045870000}"/>
    <cellStyle name="Normal 5 17 2 11 2 2" xfId="34630" xr:uid="{00000000-0005-0000-0000-000046870000}"/>
    <cellStyle name="Normal 5 17 2 11 2 3" xfId="34631" xr:uid="{00000000-0005-0000-0000-000047870000}"/>
    <cellStyle name="Normal 5 17 2 11 2 4" xfId="34632" xr:uid="{00000000-0005-0000-0000-000048870000}"/>
    <cellStyle name="Normal 5 17 2 11 2 5" xfId="34633" xr:uid="{00000000-0005-0000-0000-000049870000}"/>
    <cellStyle name="Normal 5 17 2 11 2 6" xfId="34634" xr:uid="{00000000-0005-0000-0000-00004A870000}"/>
    <cellStyle name="Normal 5 17 2 11 2 7" xfId="34635" xr:uid="{00000000-0005-0000-0000-00004B870000}"/>
    <cellStyle name="Normal 5 17 2 11 2 8" xfId="34636" xr:uid="{00000000-0005-0000-0000-00004C870000}"/>
    <cellStyle name="Normal 5 17 2 11 2 9" xfId="34637" xr:uid="{00000000-0005-0000-0000-00004D870000}"/>
    <cellStyle name="Normal 5 17 2 11 3" xfId="34638" xr:uid="{00000000-0005-0000-0000-00004E870000}"/>
    <cellStyle name="Normal 5 17 2 11 3 10" xfId="34639" xr:uid="{00000000-0005-0000-0000-00004F870000}"/>
    <cellStyle name="Normal 5 17 2 11 3 2" xfId="34640" xr:uid="{00000000-0005-0000-0000-000050870000}"/>
    <cellStyle name="Normal 5 17 2 11 3 3" xfId="34641" xr:uid="{00000000-0005-0000-0000-000051870000}"/>
    <cellStyle name="Normal 5 17 2 11 3 4" xfId="34642" xr:uid="{00000000-0005-0000-0000-000052870000}"/>
    <cellStyle name="Normal 5 17 2 11 3 5" xfId="34643" xr:uid="{00000000-0005-0000-0000-000053870000}"/>
    <cellStyle name="Normal 5 17 2 11 3 6" xfId="34644" xr:uid="{00000000-0005-0000-0000-000054870000}"/>
    <cellStyle name="Normal 5 17 2 11 3 7" xfId="34645" xr:uid="{00000000-0005-0000-0000-000055870000}"/>
    <cellStyle name="Normal 5 17 2 11 3 8" xfId="34646" xr:uid="{00000000-0005-0000-0000-000056870000}"/>
    <cellStyle name="Normal 5 17 2 11 3 9" xfId="34647" xr:uid="{00000000-0005-0000-0000-000057870000}"/>
    <cellStyle name="Normal 5 17 2 11 4" xfId="34648" xr:uid="{00000000-0005-0000-0000-000058870000}"/>
    <cellStyle name="Normal 5 17 2 11 4 10" xfId="34649" xr:uid="{00000000-0005-0000-0000-000059870000}"/>
    <cellStyle name="Normal 5 17 2 11 4 2" xfId="34650" xr:uid="{00000000-0005-0000-0000-00005A870000}"/>
    <cellStyle name="Normal 5 17 2 11 4 3" xfId="34651" xr:uid="{00000000-0005-0000-0000-00005B870000}"/>
    <cellStyle name="Normal 5 17 2 11 4 4" xfId="34652" xr:uid="{00000000-0005-0000-0000-00005C870000}"/>
    <cellStyle name="Normal 5 17 2 11 4 5" xfId="34653" xr:uid="{00000000-0005-0000-0000-00005D870000}"/>
    <cellStyle name="Normal 5 17 2 11 4 6" xfId="34654" xr:uid="{00000000-0005-0000-0000-00005E870000}"/>
    <cellStyle name="Normal 5 17 2 11 4 7" xfId="34655" xr:uid="{00000000-0005-0000-0000-00005F870000}"/>
    <cellStyle name="Normal 5 17 2 11 4 8" xfId="34656" xr:uid="{00000000-0005-0000-0000-000060870000}"/>
    <cellStyle name="Normal 5 17 2 11 4 9" xfId="34657" xr:uid="{00000000-0005-0000-0000-000061870000}"/>
    <cellStyle name="Normal 5 17 2 11 5" xfId="34658" xr:uid="{00000000-0005-0000-0000-000062870000}"/>
    <cellStyle name="Normal 5 17 2 11 5 10" xfId="34659" xr:uid="{00000000-0005-0000-0000-000063870000}"/>
    <cellStyle name="Normal 5 17 2 11 5 2" xfId="34660" xr:uid="{00000000-0005-0000-0000-000064870000}"/>
    <cellStyle name="Normal 5 17 2 11 5 3" xfId="34661" xr:uid="{00000000-0005-0000-0000-000065870000}"/>
    <cellStyle name="Normal 5 17 2 11 5 4" xfId="34662" xr:uid="{00000000-0005-0000-0000-000066870000}"/>
    <cellStyle name="Normal 5 17 2 11 5 5" xfId="34663" xr:uid="{00000000-0005-0000-0000-000067870000}"/>
    <cellStyle name="Normal 5 17 2 11 5 6" xfId="34664" xr:uid="{00000000-0005-0000-0000-000068870000}"/>
    <cellStyle name="Normal 5 17 2 11 5 7" xfId="34665" xr:uid="{00000000-0005-0000-0000-000069870000}"/>
    <cellStyle name="Normal 5 17 2 11 5 8" xfId="34666" xr:uid="{00000000-0005-0000-0000-00006A870000}"/>
    <cellStyle name="Normal 5 17 2 11 5 9" xfId="34667" xr:uid="{00000000-0005-0000-0000-00006B870000}"/>
    <cellStyle name="Normal 5 17 2 11 6" xfId="34668" xr:uid="{00000000-0005-0000-0000-00006C870000}"/>
    <cellStyle name="Normal 5 17 2 11 7" xfId="34669" xr:uid="{00000000-0005-0000-0000-00006D870000}"/>
    <cellStyle name="Normal 5 17 2 11 8" xfId="34670" xr:uid="{00000000-0005-0000-0000-00006E870000}"/>
    <cellStyle name="Normal 5 17 2 11 9" xfId="34671" xr:uid="{00000000-0005-0000-0000-00006F870000}"/>
    <cellStyle name="Normal 5 17 2 12" xfId="34672" xr:uid="{00000000-0005-0000-0000-000070870000}"/>
    <cellStyle name="Normal 5 17 2 12 10" xfId="34673" xr:uid="{00000000-0005-0000-0000-000071870000}"/>
    <cellStyle name="Normal 5 17 2 12 11" xfId="34674" xr:uid="{00000000-0005-0000-0000-000072870000}"/>
    <cellStyle name="Normal 5 17 2 12 12" xfId="34675" xr:uid="{00000000-0005-0000-0000-000073870000}"/>
    <cellStyle name="Normal 5 17 2 12 13" xfId="34676" xr:uid="{00000000-0005-0000-0000-000074870000}"/>
    <cellStyle name="Normal 5 17 2 12 14" xfId="34677" xr:uid="{00000000-0005-0000-0000-000075870000}"/>
    <cellStyle name="Normal 5 17 2 12 2" xfId="34678" xr:uid="{00000000-0005-0000-0000-000076870000}"/>
    <cellStyle name="Normal 5 17 2 12 2 10" xfId="34679" xr:uid="{00000000-0005-0000-0000-000077870000}"/>
    <cellStyle name="Normal 5 17 2 12 2 2" xfId="34680" xr:uid="{00000000-0005-0000-0000-000078870000}"/>
    <cellStyle name="Normal 5 17 2 12 2 3" xfId="34681" xr:uid="{00000000-0005-0000-0000-000079870000}"/>
    <cellStyle name="Normal 5 17 2 12 2 4" xfId="34682" xr:uid="{00000000-0005-0000-0000-00007A870000}"/>
    <cellStyle name="Normal 5 17 2 12 2 5" xfId="34683" xr:uid="{00000000-0005-0000-0000-00007B870000}"/>
    <cellStyle name="Normal 5 17 2 12 2 6" xfId="34684" xr:uid="{00000000-0005-0000-0000-00007C870000}"/>
    <cellStyle name="Normal 5 17 2 12 2 7" xfId="34685" xr:uid="{00000000-0005-0000-0000-00007D870000}"/>
    <cellStyle name="Normal 5 17 2 12 2 8" xfId="34686" xr:uid="{00000000-0005-0000-0000-00007E870000}"/>
    <cellStyle name="Normal 5 17 2 12 2 9" xfId="34687" xr:uid="{00000000-0005-0000-0000-00007F870000}"/>
    <cellStyle name="Normal 5 17 2 12 3" xfId="34688" xr:uid="{00000000-0005-0000-0000-000080870000}"/>
    <cellStyle name="Normal 5 17 2 12 3 10" xfId="34689" xr:uid="{00000000-0005-0000-0000-000081870000}"/>
    <cellStyle name="Normal 5 17 2 12 3 2" xfId="34690" xr:uid="{00000000-0005-0000-0000-000082870000}"/>
    <cellStyle name="Normal 5 17 2 12 3 3" xfId="34691" xr:uid="{00000000-0005-0000-0000-000083870000}"/>
    <cellStyle name="Normal 5 17 2 12 3 4" xfId="34692" xr:uid="{00000000-0005-0000-0000-000084870000}"/>
    <cellStyle name="Normal 5 17 2 12 3 5" xfId="34693" xr:uid="{00000000-0005-0000-0000-000085870000}"/>
    <cellStyle name="Normal 5 17 2 12 3 6" xfId="34694" xr:uid="{00000000-0005-0000-0000-000086870000}"/>
    <cellStyle name="Normal 5 17 2 12 3 7" xfId="34695" xr:uid="{00000000-0005-0000-0000-000087870000}"/>
    <cellStyle name="Normal 5 17 2 12 3 8" xfId="34696" xr:uid="{00000000-0005-0000-0000-000088870000}"/>
    <cellStyle name="Normal 5 17 2 12 3 9" xfId="34697" xr:uid="{00000000-0005-0000-0000-000089870000}"/>
    <cellStyle name="Normal 5 17 2 12 4" xfId="34698" xr:uid="{00000000-0005-0000-0000-00008A870000}"/>
    <cellStyle name="Normal 5 17 2 12 4 10" xfId="34699" xr:uid="{00000000-0005-0000-0000-00008B870000}"/>
    <cellStyle name="Normal 5 17 2 12 4 2" xfId="34700" xr:uid="{00000000-0005-0000-0000-00008C870000}"/>
    <cellStyle name="Normal 5 17 2 12 4 3" xfId="34701" xr:uid="{00000000-0005-0000-0000-00008D870000}"/>
    <cellStyle name="Normal 5 17 2 12 4 4" xfId="34702" xr:uid="{00000000-0005-0000-0000-00008E870000}"/>
    <cellStyle name="Normal 5 17 2 12 4 5" xfId="34703" xr:uid="{00000000-0005-0000-0000-00008F870000}"/>
    <cellStyle name="Normal 5 17 2 12 4 6" xfId="34704" xr:uid="{00000000-0005-0000-0000-000090870000}"/>
    <cellStyle name="Normal 5 17 2 12 4 7" xfId="34705" xr:uid="{00000000-0005-0000-0000-000091870000}"/>
    <cellStyle name="Normal 5 17 2 12 4 8" xfId="34706" xr:uid="{00000000-0005-0000-0000-000092870000}"/>
    <cellStyle name="Normal 5 17 2 12 4 9" xfId="34707" xr:uid="{00000000-0005-0000-0000-000093870000}"/>
    <cellStyle name="Normal 5 17 2 12 5" xfId="34708" xr:uid="{00000000-0005-0000-0000-000094870000}"/>
    <cellStyle name="Normal 5 17 2 12 5 10" xfId="34709" xr:uid="{00000000-0005-0000-0000-000095870000}"/>
    <cellStyle name="Normal 5 17 2 12 5 2" xfId="34710" xr:uid="{00000000-0005-0000-0000-000096870000}"/>
    <cellStyle name="Normal 5 17 2 12 5 3" xfId="34711" xr:uid="{00000000-0005-0000-0000-000097870000}"/>
    <cellStyle name="Normal 5 17 2 12 5 4" xfId="34712" xr:uid="{00000000-0005-0000-0000-000098870000}"/>
    <cellStyle name="Normal 5 17 2 12 5 5" xfId="34713" xr:uid="{00000000-0005-0000-0000-000099870000}"/>
    <cellStyle name="Normal 5 17 2 12 5 6" xfId="34714" xr:uid="{00000000-0005-0000-0000-00009A870000}"/>
    <cellStyle name="Normal 5 17 2 12 5 7" xfId="34715" xr:uid="{00000000-0005-0000-0000-00009B870000}"/>
    <cellStyle name="Normal 5 17 2 12 5 8" xfId="34716" xr:uid="{00000000-0005-0000-0000-00009C870000}"/>
    <cellStyle name="Normal 5 17 2 12 5 9" xfId="34717" xr:uid="{00000000-0005-0000-0000-00009D870000}"/>
    <cellStyle name="Normal 5 17 2 12 6" xfId="34718" xr:uid="{00000000-0005-0000-0000-00009E870000}"/>
    <cellStyle name="Normal 5 17 2 12 7" xfId="34719" xr:uid="{00000000-0005-0000-0000-00009F870000}"/>
    <cellStyle name="Normal 5 17 2 12 8" xfId="34720" xr:uid="{00000000-0005-0000-0000-0000A0870000}"/>
    <cellStyle name="Normal 5 17 2 12 9" xfId="34721" xr:uid="{00000000-0005-0000-0000-0000A1870000}"/>
    <cellStyle name="Normal 5 17 2 13" xfId="34722" xr:uid="{00000000-0005-0000-0000-0000A2870000}"/>
    <cellStyle name="Normal 5 17 2 13 10" xfId="34723" xr:uid="{00000000-0005-0000-0000-0000A3870000}"/>
    <cellStyle name="Normal 5 17 2 13 11" xfId="34724" xr:uid="{00000000-0005-0000-0000-0000A4870000}"/>
    <cellStyle name="Normal 5 17 2 13 12" xfId="34725" xr:uid="{00000000-0005-0000-0000-0000A5870000}"/>
    <cellStyle name="Normal 5 17 2 13 13" xfId="34726" xr:uid="{00000000-0005-0000-0000-0000A6870000}"/>
    <cellStyle name="Normal 5 17 2 13 14" xfId="34727" xr:uid="{00000000-0005-0000-0000-0000A7870000}"/>
    <cellStyle name="Normal 5 17 2 13 2" xfId="34728" xr:uid="{00000000-0005-0000-0000-0000A8870000}"/>
    <cellStyle name="Normal 5 17 2 13 2 10" xfId="34729" xr:uid="{00000000-0005-0000-0000-0000A9870000}"/>
    <cellStyle name="Normal 5 17 2 13 2 2" xfId="34730" xr:uid="{00000000-0005-0000-0000-0000AA870000}"/>
    <cellStyle name="Normal 5 17 2 13 2 3" xfId="34731" xr:uid="{00000000-0005-0000-0000-0000AB870000}"/>
    <cellStyle name="Normal 5 17 2 13 2 4" xfId="34732" xr:uid="{00000000-0005-0000-0000-0000AC870000}"/>
    <cellStyle name="Normal 5 17 2 13 2 5" xfId="34733" xr:uid="{00000000-0005-0000-0000-0000AD870000}"/>
    <cellStyle name="Normal 5 17 2 13 2 6" xfId="34734" xr:uid="{00000000-0005-0000-0000-0000AE870000}"/>
    <cellStyle name="Normal 5 17 2 13 2 7" xfId="34735" xr:uid="{00000000-0005-0000-0000-0000AF870000}"/>
    <cellStyle name="Normal 5 17 2 13 2 8" xfId="34736" xr:uid="{00000000-0005-0000-0000-0000B0870000}"/>
    <cellStyle name="Normal 5 17 2 13 2 9" xfId="34737" xr:uid="{00000000-0005-0000-0000-0000B1870000}"/>
    <cellStyle name="Normal 5 17 2 13 3" xfId="34738" xr:uid="{00000000-0005-0000-0000-0000B2870000}"/>
    <cellStyle name="Normal 5 17 2 13 3 10" xfId="34739" xr:uid="{00000000-0005-0000-0000-0000B3870000}"/>
    <cellStyle name="Normal 5 17 2 13 3 2" xfId="34740" xr:uid="{00000000-0005-0000-0000-0000B4870000}"/>
    <cellStyle name="Normal 5 17 2 13 3 3" xfId="34741" xr:uid="{00000000-0005-0000-0000-0000B5870000}"/>
    <cellStyle name="Normal 5 17 2 13 3 4" xfId="34742" xr:uid="{00000000-0005-0000-0000-0000B6870000}"/>
    <cellStyle name="Normal 5 17 2 13 3 5" xfId="34743" xr:uid="{00000000-0005-0000-0000-0000B7870000}"/>
    <cellStyle name="Normal 5 17 2 13 3 6" xfId="34744" xr:uid="{00000000-0005-0000-0000-0000B8870000}"/>
    <cellStyle name="Normal 5 17 2 13 3 7" xfId="34745" xr:uid="{00000000-0005-0000-0000-0000B9870000}"/>
    <cellStyle name="Normal 5 17 2 13 3 8" xfId="34746" xr:uid="{00000000-0005-0000-0000-0000BA870000}"/>
    <cellStyle name="Normal 5 17 2 13 3 9" xfId="34747" xr:uid="{00000000-0005-0000-0000-0000BB870000}"/>
    <cellStyle name="Normal 5 17 2 13 4" xfId="34748" xr:uid="{00000000-0005-0000-0000-0000BC870000}"/>
    <cellStyle name="Normal 5 17 2 13 4 10" xfId="34749" xr:uid="{00000000-0005-0000-0000-0000BD870000}"/>
    <cellStyle name="Normal 5 17 2 13 4 2" xfId="34750" xr:uid="{00000000-0005-0000-0000-0000BE870000}"/>
    <cellStyle name="Normal 5 17 2 13 4 3" xfId="34751" xr:uid="{00000000-0005-0000-0000-0000BF870000}"/>
    <cellStyle name="Normal 5 17 2 13 4 4" xfId="34752" xr:uid="{00000000-0005-0000-0000-0000C0870000}"/>
    <cellStyle name="Normal 5 17 2 13 4 5" xfId="34753" xr:uid="{00000000-0005-0000-0000-0000C1870000}"/>
    <cellStyle name="Normal 5 17 2 13 4 6" xfId="34754" xr:uid="{00000000-0005-0000-0000-0000C2870000}"/>
    <cellStyle name="Normal 5 17 2 13 4 7" xfId="34755" xr:uid="{00000000-0005-0000-0000-0000C3870000}"/>
    <cellStyle name="Normal 5 17 2 13 4 8" xfId="34756" xr:uid="{00000000-0005-0000-0000-0000C4870000}"/>
    <cellStyle name="Normal 5 17 2 13 4 9" xfId="34757" xr:uid="{00000000-0005-0000-0000-0000C5870000}"/>
    <cellStyle name="Normal 5 17 2 13 5" xfId="34758" xr:uid="{00000000-0005-0000-0000-0000C6870000}"/>
    <cellStyle name="Normal 5 17 2 13 5 10" xfId="34759" xr:uid="{00000000-0005-0000-0000-0000C7870000}"/>
    <cellStyle name="Normal 5 17 2 13 5 2" xfId="34760" xr:uid="{00000000-0005-0000-0000-0000C8870000}"/>
    <cellStyle name="Normal 5 17 2 13 5 3" xfId="34761" xr:uid="{00000000-0005-0000-0000-0000C9870000}"/>
    <cellStyle name="Normal 5 17 2 13 5 4" xfId="34762" xr:uid="{00000000-0005-0000-0000-0000CA870000}"/>
    <cellStyle name="Normal 5 17 2 13 5 5" xfId="34763" xr:uid="{00000000-0005-0000-0000-0000CB870000}"/>
    <cellStyle name="Normal 5 17 2 13 5 6" xfId="34764" xr:uid="{00000000-0005-0000-0000-0000CC870000}"/>
    <cellStyle name="Normal 5 17 2 13 5 7" xfId="34765" xr:uid="{00000000-0005-0000-0000-0000CD870000}"/>
    <cellStyle name="Normal 5 17 2 13 5 8" xfId="34766" xr:uid="{00000000-0005-0000-0000-0000CE870000}"/>
    <cellStyle name="Normal 5 17 2 13 5 9" xfId="34767" xr:uid="{00000000-0005-0000-0000-0000CF870000}"/>
    <cellStyle name="Normal 5 17 2 13 6" xfId="34768" xr:uid="{00000000-0005-0000-0000-0000D0870000}"/>
    <cellStyle name="Normal 5 17 2 13 7" xfId="34769" xr:uid="{00000000-0005-0000-0000-0000D1870000}"/>
    <cellStyle name="Normal 5 17 2 13 8" xfId="34770" xr:uid="{00000000-0005-0000-0000-0000D2870000}"/>
    <cellStyle name="Normal 5 17 2 13 9" xfId="34771" xr:uid="{00000000-0005-0000-0000-0000D3870000}"/>
    <cellStyle name="Normal 5 17 2 14" xfId="34772" xr:uid="{00000000-0005-0000-0000-0000D4870000}"/>
    <cellStyle name="Normal 5 17 2 14 10" xfId="34773" xr:uid="{00000000-0005-0000-0000-0000D5870000}"/>
    <cellStyle name="Normal 5 17 2 14 11" xfId="34774" xr:uid="{00000000-0005-0000-0000-0000D6870000}"/>
    <cellStyle name="Normal 5 17 2 14 12" xfId="34775" xr:uid="{00000000-0005-0000-0000-0000D7870000}"/>
    <cellStyle name="Normal 5 17 2 14 13" xfId="34776" xr:uid="{00000000-0005-0000-0000-0000D8870000}"/>
    <cellStyle name="Normal 5 17 2 14 14" xfId="34777" xr:uid="{00000000-0005-0000-0000-0000D9870000}"/>
    <cellStyle name="Normal 5 17 2 14 2" xfId="34778" xr:uid="{00000000-0005-0000-0000-0000DA870000}"/>
    <cellStyle name="Normal 5 17 2 14 2 10" xfId="34779" xr:uid="{00000000-0005-0000-0000-0000DB870000}"/>
    <cellStyle name="Normal 5 17 2 14 2 2" xfId="34780" xr:uid="{00000000-0005-0000-0000-0000DC870000}"/>
    <cellStyle name="Normal 5 17 2 14 2 3" xfId="34781" xr:uid="{00000000-0005-0000-0000-0000DD870000}"/>
    <cellStyle name="Normal 5 17 2 14 2 4" xfId="34782" xr:uid="{00000000-0005-0000-0000-0000DE870000}"/>
    <cellStyle name="Normal 5 17 2 14 2 5" xfId="34783" xr:uid="{00000000-0005-0000-0000-0000DF870000}"/>
    <cellStyle name="Normal 5 17 2 14 2 6" xfId="34784" xr:uid="{00000000-0005-0000-0000-0000E0870000}"/>
    <cellStyle name="Normal 5 17 2 14 2 7" xfId="34785" xr:uid="{00000000-0005-0000-0000-0000E1870000}"/>
    <cellStyle name="Normal 5 17 2 14 2 8" xfId="34786" xr:uid="{00000000-0005-0000-0000-0000E2870000}"/>
    <cellStyle name="Normal 5 17 2 14 2 9" xfId="34787" xr:uid="{00000000-0005-0000-0000-0000E3870000}"/>
    <cellStyle name="Normal 5 17 2 14 3" xfId="34788" xr:uid="{00000000-0005-0000-0000-0000E4870000}"/>
    <cellStyle name="Normal 5 17 2 14 3 10" xfId="34789" xr:uid="{00000000-0005-0000-0000-0000E5870000}"/>
    <cellStyle name="Normal 5 17 2 14 3 2" xfId="34790" xr:uid="{00000000-0005-0000-0000-0000E6870000}"/>
    <cellStyle name="Normal 5 17 2 14 3 3" xfId="34791" xr:uid="{00000000-0005-0000-0000-0000E7870000}"/>
    <cellStyle name="Normal 5 17 2 14 3 4" xfId="34792" xr:uid="{00000000-0005-0000-0000-0000E8870000}"/>
    <cellStyle name="Normal 5 17 2 14 3 5" xfId="34793" xr:uid="{00000000-0005-0000-0000-0000E9870000}"/>
    <cellStyle name="Normal 5 17 2 14 3 6" xfId="34794" xr:uid="{00000000-0005-0000-0000-0000EA870000}"/>
    <cellStyle name="Normal 5 17 2 14 3 7" xfId="34795" xr:uid="{00000000-0005-0000-0000-0000EB870000}"/>
    <cellStyle name="Normal 5 17 2 14 3 8" xfId="34796" xr:uid="{00000000-0005-0000-0000-0000EC870000}"/>
    <cellStyle name="Normal 5 17 2 14 3 9" xfId="34797" xr:uid="{00000000-0005-0000-0000-0000ED870000}"/>
    <cellStyle name="Normal 5 17 2 14 4" xfId="34798" xr:uid="{00000000-0005-0000-0000-0000EE870000}"/>
    <cellStyle name="Normal 5 17 2 14 4 10" xfId="34799" xr:uid="{00000000-0005-0000-0000-0000EF870000}"/>
    <cellStyle name="Normal 5 17 2 14 4 2" xfId="34800" xr:uid="{00000000-0005-0000-0000-0000F0870000}"/>
    <cellStyle name="Normal 5 17 2 14 4 3" xfId="34801" xr:uid="{00000000-0005-0000-0000-0000F1870000}"/>
    <cellStyle name="Normal 5 17 2 14 4 4" xfId="34802" xr:uid="{00000000-0005-0000-0000-0000F2870000}"/>
    <cellStyle name="Normal 5 17 2 14 4 5" xfId="34803" xr:uid="{00000000-0005-0000-0000-0000F3870000}"/>
    <cellStyle name="Normal 5 17 2 14 4 6" xfId="34804" xr:uid="{00000000-0005-0000-0000-0000F4870000}"/>
    <cellStyle name="Normal 5 17 2 14 4 7" xfId="34805" xr:uid="{00000000-0005-0000-0000-0000F5870000}"/>
    <cellStyle name="Normal 5 17 2 14 4 8" xfId="34806" xr:uid="{00000000-0005-0000-0000-0000F6870000}"/>
    <cellStyle name="Normal 5 17 2 14 4 9" xfId="34807" xr:uid="{00000000-0005-0000-0000-0000F7870000}"/>
    <cellStyle name="Normal 5 17 2 14 5" xfId="34808" xr:uid="{00000000-0005-0000-0000-0000F8870000}"/>
    <cellStyle name="Normal 5 17 2 14 5 10" xfId="34809" xr:uid="{00000000-0005-0000-0000-0000F9870000}"/>
    <cellStyle name="Normal 5 17 2 14 5 2" xfId="34810" xr:uid="{00000000-0005-0000-0000-0000FA870000}"/>
    <cellStyle name="Normal 5 17 2 14 5 3" xfId="34811" xr:uid="{00000000-0005-0000-0000-0000FB870000}"/>
    <cellStyle name="Normal 5 17 2 14 5 4" xfId="34812" xr:uid="{00000000-0005-0000-0000-0000FC870000}"/>
    <cellStyle name="Normal 5 17 2 14 5 5" xfId="34813" xr:uid="{00000000-0005-0000-0000-0000FD870000}"/>
    <cellStyle name="Normal 5 17 2 14 5 6" xfId="34814" xr:uid="{00000000-0005-0000-0000-0000FE870000}"/>
    <cellStyle name="Normal 5 17 2 14 5 7" xfId="34815" xr:uid="{00000000-0005-0000-0000-0000FF870000}"/>
    <cellStyle name="Normal 5 17 2 14 5 8" xfId="34816" xr:uid="{00000000-0005-0000-0000-000000880000}"/>
    <cellStyle name="Normal 5 17 2 14 5 9" xfId="34817" xr:uid="{00000000-0005-0000-0000-000001880000}"/>
    <cellStyle name="Normal 5 17 2 14 6" xfId="34818" xr:uid="{00000000-0005-0000-0000-000002880000}"/>
    <cellStyle name="Normal 5 17 2 14 7" xfId="34819" xr:uid="{00000000-0005-0000-0000-000003880000}"/>
    <cellStyle name="Normal 5 17 2 14 8" xfId="34820" xr:uid="{00000000-0005-0000-0000-000004880000}"/>
    <cellStyle name="Normal 5 17 2 14 9" xfId="34821" xr:uid="{00000000-0005-0000-0000-000005880000}"/>
    <cellStyle name="Normal 5 17 2 15" xfId="34822" xr:uid="{00000000-0005-0000-0000-000006880000}"/>
    <cellStyle name="Normal 5 17 2 15 10" xfId="34823" xr:uid="{00000000-0005-0000-0000-000007880000}"/>
    <cellStyle name="Normal 5 17 2 15 11" xfId="34824" xr:uid="{00000000-0005-0000-0000-000008880000}"/>
    <cellStyle name="Normal 5 17 2 15 12" xfId="34825" xr:uid="{00000000-0005-0000-0000-000009880000}"/>
    <cellStyle name="Normal 5 17 2 15 13" xfId="34826" xr:uid="{00000000-0005-0000-0000-00000A880000}"/>
    <cellStyle name="Normal 5 17 2 15 14" xfId="34827" xr:uid="{00000000-0005-0000-0000-00000B880000}"/>
    <cellStyle name="Normal 5 17 2 15 2" xfId="34828" xr:uid="{00000000-0005-0000-0000-00000C880000}"/>
    <cellStyle name="Normal 5 17 2 15 2 10" xfId="34829" xr:uid="{00000000-0005-0000-0000-00000D880000}"/>
    <cellStyle name="Normal 5 17 2 15 2 2" xfId="34830" xr:uid="{00000000-0005-0000-0000-00000E880000}"/>
    <cellStyle name="Normal 5 17 2 15 2 3" xfId="34831" xr:uid="{00000000-0005-0000-0000-00000F880000}"/>
    <cellStyle name="Normal 5 17 2 15 2 4" xfId="34832" xr:uid="{00000000-0005-0000-0000-000010880000}"/>
    <cellStyle name="Normal 5 17 2 15 2 5" xfId="34833" xr:uid="{00000000-0005-0000-0000-000011880000}"/>
    <cellStyle name="Normal 5 17 2 15 2 6" xfId="34834" xr:uid="{00000000-0005-0000-0000-000012880000}"/>
    <cellStyle name="Normal 5 17 2 15 2 7" xfId="34835" xr:uid="{00000000-0005-0000-0000-000013880000}"/>
    <cellStyle name="Normal 5 17 2 15 2 8" xfId="34836" xr:uid="{00000000-0005-0000-0000-000014880000}"/>
    <cellStyle name="Normal 5 17 2 15 2 9" xfId="34837" xr:uid="{00000000-0005-0000-0000-000015880000}"/>
    <cellStyle name="Normal 5 17 2 15 3" xfId="34838" xr:uid="{00000000-0005-0000-0000-000016880000}"/>
    <cellStyle name="Normal 5 17 2 15 3 10" xfId="34839" xr:uid="{00000000-0005-0000-0000-000017880000}"/>
    <cellStyle name="Normal 5 17 2 15 3 2" xfId="34840" xr:uid="{00000000-0005-0000-0000-000018880000}"/>
    <cellStyle name="Normal 5 17 2 15 3 3" xfId="34841" xr:uid="{00000000-0005-0000-0000-000019880000}"/>
    <cellStyle name="Normal 5 17 2 15 3 4" xfId="34842" xr:uid="{00000000-0005-0000-0000-00001A880000}"/>
    <cellStyle name="Normal 5 17 2 15 3 5" xfId="34843" xr:uid="{00000000-0005-0000-0000-00001B880000}"/>
    <cellStyle name="Normal 5 17 2 15 3 6" xfId="34844" xr:uid="{00000000-0005-0000-0000-00001C880000}"/>
    <cellStyle name="Normal 5 17 2 15 3 7" xfId="34845" xr:uid="{00000000-0005-0000-0000-00001D880000}"/>
    <cellStyle name="Normal 5 17 2 15 3 8" xfId="34846" xr:uid="{00000000-0005-0000-0000-00001E880000}"/>
    <cellStyle name="Normal 5 17 2 15 3 9" xfId="34847" xr:uid="{00000000-0005-0000-0000-00001F880000}"/>
    <cellStyle name="Normal 5 17 2 15 4" xfId="34848" xr:uid="{00000000-0005-0000-0000-000020880000}"/>
    <cellStyle name="Normal 5 17 2 15 4 10" xfId="34849" xr:uid="{00000000-0005-0000-0000-000021880000}"/>
    <cellStyle name="Normal 5 17 2 15 4 2" xfId="34850" xr:uid="{00000000-0005-0000-0000-000022880000}"/>
    <cellStyle name="Normal 5 17 2 15 4 3" xfId="34851" xr:uid="{00000000-0005-0000-0000-000023880000}"/>
    <cellStyle name="Normal 5 17 2 15 4 4" xfId="34852" xr:uid="{00000000-0005-0000-0000-000024880000}"/>
    <cellStyle name="Normal 5 17 2 15 4 5" xfId="34853" xr:uid="{00000000-0005-0000-0000-000025880000}"/>
    <cellStyle name="Normal 5 17 2 15 4 6" xfId="34854" xr:uid="{00000000-0005-0000-0000-000026880000}"/>
    <cellStyle name="Normal 5 17 2 15 4 7" xfId="34855" xr:uid="{00000000-0005-0000-0000-000027880000}"/>
    <cellStyle name="Normal 5 17 2 15 4 8" xfId="34856" xr:uid="{00000000-0005-0000-0000-000028880000}"/>
    <cellStyle name="Normal 5 17 2 15 4 9" xfId="34857" xr:uid="{00000000-0005-0000-0000-000029880000}"/>
    <cellStyle name="Normal 5 17 2 15 5" xfId="34858" xr:uid="{00000000-0005-0000-0000-00002A880000}"/>
    <cellStyle name="Normal 5 17 2 15 5 10" xfId="34859" xr:uid="{00000000-0005-0000-0000-00002B880000}"/>
    <cellStyle name="Normal 5 17 2 15 5 2" xfId="34860" xr:uid="{00000000-0005-0000-0000-00002C880000}"/>
    <cellStyle name="Normal 5 17 2 15 5 3" xfId="34861" xr:uid="{00000000-0005-0000-0000-00002D880000}"/>
    <cellStyle name="Normal 5 17 2 15 5 4" xfId="34862" xr:uid="{00000000-0005-0000-0000-00002E880000}"/>
    <cellStyle name="Normal 5 17 2 15 5 5" xfId="34863" xr:uid="{00000000-0005-0000-0000-00002F880000}"/>
    <cellStyle name="Normal 5 17 2 15 5 6" xfId="34864" xr:uid="{00000000-0005-0000-0000-000030880000}"/>
    <cellStyle name="Normal 5 17 2 15 5 7" xfId="34865" xr:uid="{00000000-0005-0000-0000-000031880000}"/>
    <cellStyle name="Normal 5 17 2 15 5 8" xfId="34866" xr:uid="{00000000-0005-0000-0000-000032880000}"/>
    <cellStyle name="Normal 5 17 2 15 5 9" xfId="34867" xr:uid="{00000000-0005-0000-0000-000033880000}"/>
    <cellStyle name="Normal 5 17 2 15 6" xfId="34868" xr:uid="{00000000-0005-0000-0000-000034880000}"/>
    <cellStyle name="Normal 5 17 2 15 7" xfId="34869" xr:uid="{00000000-0005-0000-0000-000035880000}"/>
    <cellStyle name="Normal 5 17 2 15 8" xfId="34870" xr:uid="{00000000-0005-0000-0000-000036880000}"/>
    <cellStyle name="Normal 5 17 2 15 9" xfId="34871" xr:uid="{00000000-0005-0000-0000-000037880000}"/>
    <cellStyle name="Normal 5 17 2 16" xfId="34872" xr:uid="{00000000-0005-0000-0000-000038880000}"/>
    <cellStyle name="Normal 5 17 2 16 10" xfId="34873" xr:uid="{00000000-0005-0000-0000-000039880000}"/>
    <cellStyle name="Normal 5 17 2 16 11" xfId="34874" xr:uid="{00000000-0005-0000-0000-00003A880000}"/>
    <cellStyle name="Normal 5 17 2 16 12" xfId="34875" xr:uid="{00000000-0005-0000-0000-00003B880000}"/>
    <cellStyle name="Normal 5 17 2 16 13" xfId="34876" xr:uid="{00000000-0005-0000-0000-00003C880000}"/>
    <cellStyle name="Normal 5 17 2 16 14" xfId="34877" xr:uid="{00000000-0005-0000-0000-00003D880000}"/>
    <cellStyle name="Normal 5 17 2 16 2" xfId="34878" xr:uid="{00000000-0005-0000-0000-00003E880000}"/>
    <cellStyle name="Normal 5 17 2 16 2 10" xfId="34879" xr:uid="{00000000-0005-0000-0000-00003F880000}"/>
    <cellStyle name="Normal 5 17 2 16 2 2" xfId="34880" xr:uid="{00000000-0005-0000-0000-000040880000}"/>
    <cellStyle name="Normal 5 17 2 16 2 3" xfId="34881" xr:uid="{00000000-0005-0000-0000-000041880000}"/>
    <cellStyle name="Normal 5 17 2 16 2 4" xfId="34882" xr:uid="{00000000-0005-0000-0000-000042880000}"/>
    <cellStyle name="Normal 5 17 2 16 2 5" xfId="34883" xr:uid="{00000000-0005-0000-0000-000043880000}"/>
    <cellStyle name="Normal 5 17 2 16 2 6" xfId="34884" xr:uid="{00000000-0005-0000-0000-000044880000}"/>
    <cellStyle name="Normal 5 17 2 16 2 7" xfId="34885" xr:uid="{00000000-0005-0000-0000-000045880000}"/>
    <cellStyle name="Normal 5 17 2 16 2 8" xfId="34886" xr:uid="{00000000-0005-0000-0000-000046880000}"/>
    <cellStyle name="Normal 5 17 2 16 2 9" xfId="34887" xr:uid="{00000000-0005-0000-0000-000047880000}"/>
    <cellStyle name="Normal 5 17 2 16 3" xfId="34888" xr:uid="{00000000-0005-0000-0000-000048880000}"/>
    <cellStyle name="Normal 5 17 2 16 3 10" xfId="34889" xr:uid="{00000000-0005-0000-0000-000049880000}"/>
    <cellStyle name="Normal 5 17 2 16 3 2" xfId="34890" xr:uid="{00000000-0005-0000-0000-00004A880000}"/>
    <cellStyle name="Normal 5 17 2 16 3 3" xfId="34891" xr:uid="{00000000-0005-0000-0000-00004B880000}"/>
    <cellStyle name="Normal 5 17 2 16 3 4" xfId="34892" xr:uid="{00000000-0005-0000-0000-00004C880000}"/>
    <cellStyle name="Normal 5 17 2 16 3 5" xfId="34893" xr:uid="{00000000-0005-0000-0000-00004D880000}"/>
    <cellStyle name="Normal 5 17 2 16 3 6" xfId="34894" xr:uid="{00000000-0005-0000-0000-00004E880000}"/>
    <cellStyle name="Normal 5 17 2 16 3 7" xfId="34895" xr:uid="{00000000-0005-0000-0000-00004F880000}"/>
    <cellStyle name="Normal 5 17 2 16 3 8" xfId="34896" xr:uid="{00000000-0005-0000-0000-000050880000}"/>
    <cellStyle name="Normal 5 17 2 16 3 9" xfId="34897" xr:uid="{00000000-0005-0000-0000-000051880000}"/>
    <cellStyle name="Normal 5 17 2 16 4" xfId="34898" xr:uid="{00000000-0005-0000-0000-000052880000}"/>
    <cellStyle name="Normal 5 17 2 16 4 10" xfId="34899" xr:uid="{00000000-0005-0000-0000-000053880000}"/>
    <cellStyle name="Normal 5 17 2 16 4 2" xfId="34900" xr:uid="{00000000-0005-0000-0000-000054880000}"/>
    <cellStyle name="Normal 5 17 2 16 4 3" xfId="34901" xr:uid="{00000000-0005-0000-0000-000055880000}"/>
    <cellStyle name="Normal 5 17 2 16 4 4" xfId="34902" xr:uid="{00000000-0005-0000-0000-000056880000}"/>
    <cellStyle name="Normal 5 17 2 16 4 5" xfId="34903" xr:uid="{00000000-0005-0000-0000-000057880000}"/>
    <cellStyle name="Normal 5 17 2 16 4 6" xfId="34904" xr:uid="{00000000-0005-0000-0000-000058880000}"/>
    <cellStyle name="Normal 5 17 2 16 4 7" xfId="34905" xr:uid="{00000000-0005-0000-0000-000059880000}"/>
    <cellStyle name="Normal 5 17 2 16 4 8" xfId="34906" xr:uid="{00000000-0005-0000-0000-00005A880000}"/>
    <cellStyle name="Normal 5 17 2 16 4 9" xfId="34907" xr:uid="{00000000-0005-0000-0000-00005B880000}"/>
    <cellStyle name="Normal 5 17 2 16 5" xfId="34908" xr:uid="{00000000-0005-0000-0000-00005C880000}"/>
    <cellStyle name="Normal 5 17 2 16 5 10" xfId="34909" xr:uid="{00000000-0005-0000-0000-00005D880000}"/>
    <cellStyle name="Normal 5 17 2 16 5 2" xfId="34910" xr:uid="{00000000-0005-0000-0000-00005E880000}"/>
    <cellStyle name="Normal 5 17 2 16 5 3" xfId="34911" xr:uid="{00000000-0005-0000-0000-00005F880000}"/>
    <cellStyle name="Normal 5 17 2 16 5 4" xfId="34912" xr:uid="{00000000-0005-0000-0000-000060880000}"/>
    <cellStyle name="Normal 5 17 2 16 5 5" xfId="34913" xr:uid="{00000000-0005-0000-0000-000061880000}"/>
    <cellStyle name="Normal 5 17 2 16 5 6" xfId="34914" xr:uid="{00000000-0005-0000-0000-000062880000}"/>
    <cellStyle name="Normal 5 17 2 16 5 7" xfId="34915" xr:uid="{00000000-0005-0000-0000-000063880000}"/>
    <cellStyle name="Normal 5 17 2 16 5 8" xfId="34916" xr:uid="{00000000-0005-0000-0000-000064880000}"/>
    <cellStyle name="Normal 5 17 2 16 5 9" xfId="34917" xr:uid="{00000000-0005-0000-0000-000065880000}"/>
    <cellStyle name="Normal 5 17 2 16 6" xfId="34918" xr:uid="{00000000-0005-0000-0000-000066880000}"/>
    <cellStyle name="Normal 5 17 2 16 7" xfId="34919" xr:uid="{00000000-0005-0000-0000-000067880000}"/>
    <cellStyle name="Normal 5 17 2 16 8" xfId="34920" xr:uid="{00000000-0005-0000-0000-000068880000}"/>
    <cellStyle name="Normal 5 17 2 16 9" xfId="34921" xr:uid="{00000000-0005-0000-0000-000069880000}"/>
    <cellStyle name="Normal 5 17 2 17" xfId="34922" xr:uid="{00000000-0005-0000-0000-00006A880000}"/>
    <cellStyle name="Normal 5 17 2 17 10" xfId="34923" xr:uid="{00000000-0005-0000-0000-00006B880000}"/>
    <cellStyle name="Normal 5 17 2 17 11" xfId="34924" xr:uid="{00000000-0005-0000-0000-00006C880000}"/>
    <cellStyle name="Normal 5 17 2 17 12" xfId="34925" xr:uid="{00000000-0005-0000-0000-00006D880000}"/>
    <cellStyle name="Normal 5 17 2 17 13" xfId="34926" xr:uid="{00000000-0005-0000-0000-00006E880000}"/>
    <cellStyle name="Normal 5 17 2 17 14" xfId="34927" xr:uid="{00000000-0005-0000-0000-00006F880000}"/>
    <cellStyle name="Normal 5 17 2 17 2" xfId="34928" xr:uid="{00000000-0005-0000-0000-000070880000}"/>
    <cellStyle name="Normal 5 17 2 17 2 10" xfId="34929" xr:uid="{00000000-0005-0000-0000-000071880000}"/>
    <cellStyle name="Normal 5 17 2 17 2 2" xfId="34930" xr:uid="{00000000-0005-0000-0000-000072880000}"/>
    <cellStyle name="Normal 5 17 2 17 2 3" xfId="34931" xr:uid="{00000000-0005-0000-0000-000073880000}"/>
    <cellStyle name="Normal 5 17 2 17 2 4" xfId="34932" xr:uid="{00000000-0005-0000-0000-000074880000}"/>
    <cellStyle name="Normal 5 17 2 17 2 5" xfId="34933" xr:uid="{00000000-0005-0000-0000-000075880000}"/>
    <cellStyle name="Normal 5 17 2 17 2 6" xfId="34934" xr:uid="{00000000-0005-0000-0000-000076880000}"/>
    <cellStyle name="Normal 5 17 2 17 2 7" xfId="34935" xr:uid="{00000000-0005-0000-0000-000077880000}"/>
    <cellStyle name="Normal 5 17 2 17 2 8" xfId="34936" xr:uid="{00000000-0005-0000-0000-000078880000}"/>
    <cellStyle name="Normal 5 17 2 17 2 9" xfId="34937" xr:uid="{00000000-0005-0000-0000-000079880000}"/>
    <cellStyle name="Normal 5 17 2 17 3" xfId="34938" xr:uid="{00000000-0005-0000-0000-00007A880000}"/>
    <cellStyle name="Normal 5 17 2 17 3 10" xfId="34939" xr:uid="{00000000-0005-0000-0000-00007B880000}"/>
    <cellStyle name="Normal 5 17 2 17 3 2" xfId="34940" xr:uid="{00000000-0005-0000-0000-00007C880000}"/>
    <cellStyle name="Normal 5 17 2 17 3 3" xfId="34941" xr:uid="{00000000-0005-0000-0000-00007D880000}"/>
    <cellStyle name="Normal 5 17 2 17 3 4" xfId="34942" xr:uid="{00000000-0005-0000-0000-00007E880000}"/>
    <cellStyle name="Normal 5 17 2 17 3 5" xfId="34943" xr:uid="{00000000-0005-0000-0000-00007F880000}"/>
    <cellStyle name="Normal 5 17 2 17 3 6" xfId="34944" xr:uid="{00000000-0005-0000-0000-000080880000}"/>
    <cellStyle name="Normal 5 17 2 17 3 7" xfId="34945" xr:uid="{00000000-0005-0000-0000-000081880000}"/>
    <cellStyle name="Normal 5 17 2 17 3 8" xfId="34946" xr:uid="{00000000-0005-0000-0000-000082880000}"/>
    <cellStyle name="Normal 5 17 2 17 3 9" xfId="34947" xr:uid="{00000000-0005-0000-0000-000083880000}"/>
    <cellStyle name="Normal 5 17 2 17 4" xfId="34948" xr:uid="{00000000-0005-0000-0000-000084880000}"/>
    <cellStyle name="Normal 5 17 2 17 4 10" xfId="34949" xr:uid="{00000000-0005-0000-0000-000085880000}"/>
    <cellStyle name="Normal 5 17 2 17 4 2" xfId="34950" xr:uid="{00000000-0005-0000-0000-000086880000}"/>
    <cellStyle name="Normal 5 17 2 17 4 3" xfId="34951" xr:uid="{00000000-0005-0000-0000-000087880000}"/>
    <cellStyle name="Normal 5 17 2 17 4 4" xfId="34952" xr:uid="{00000000-0005-0000-0000-000088880000}"/>
    <cellStyle name="Normal 5 17 2 17 4 5" xfId="34953" xr:uid="{00000000-0005-0000-0000-000089880000}"/>
    <cellStyle name="Normal 5 17 2 17 4 6" xfId="34954" xr:uid="{00000000-0005-0000-0000-00008A880000}"/>
    <cellStyle name="Normal 5 17 2 17 4 7" xfId="34955" xr:uid="{00000000-0005-0000-0000-00008B880000}"/>
    <cellStyle name="Normal 5 17 2 17 4 8" xfId="34956" xr:uid="{00000000-0005-0000-0000-00008C880000}"/>
    <cellStyle name="Normal 5 17 2 17 4 9" xfId="34957" xr:uid="{00000000-0005-0000-0000-00008D880000}"/>
    <cellStyle name="Normal 5 17 2 17 5" xfId="34958" xr:uid="{00000000-0005-0000-0000-00008E880000}"/>
    <cellStyle name="Normal 5 17 2 17 5 10" xfId="34959" xr:uid="{00000000-0005-0000-0000-00008F880000}"/>
    <cellStyle name="Normal 5 17 2 17 5 2" xfId="34960" xr:uid="{00000000-0005-0000-0000-000090880000}"/>
    <cellStyle name="Normal 5 17 2 17 5 3" xfId="34961" xr:uid="{00000000-0005-0000-0000-000091880000}"/>
    <cellStyle name="Normal 5 17 2 17 5 4" xfId="34962" xr:uid="{00000000-0005-0000-0000-000092880000}"/>
    <cellStyle name="Normal 5 17 2 17 5 5" xfId="34963" xr:uid="{00000000-0005-0000-0000-000093880000}"/>
    <cellStyle name="Normal 5 17 2 17 5 6" xfId="34964" xr:uid="{00000000-0005-0000-0000-000094880000}"/>
    <cellStyle name="Normal 5 17 2 17 5 7" xfId="34965" xr:uid="{00000000-0005-0000-0000-000095880000}"/>
    <cellStyle name="Normal 5 17 2 17 5 8" xfId="34966" xr:uid="{00000000-0005-0000-0000-000096880000}"/>
    <cellStyle name="Normal 5 17 2 17 5 9" xfId="34967" xr:uid="{00000000-0005-0000-0000-000097880000}"/>
    <cellStyle name="Normal 5 17 2 17 6" xfId="34968" xr:uid="{00000000-0005-0000-0000-000098880000}"/>
    <cellStyle name="Normal 5 17 2 17 7" xfId="34969" xr:uid="{00000000-0005-0000-0000-000099880000}"/>
    <cellStyle name="Normal 5 17 2 17 8" xfId="34970" xr:uid="{00000000-0005-0000-0000-00009A880000}"/>
    <cellStyle name="Normal 5 17 2 17 9" xfId="34971" xr:uid="{00000000-0005-0000-0000-00009B880000}"/>
    <cellStyle name="Normal 5 17 2 18" xfId="34972" xr:uid="{00000000-0005-0000-0000-00009C880000}"/>
    <cellStyle name="Normal 5 17 2 18 10" xfId="34973" xr:uid="{00000000-0005-0000-0000-00009D880000}"/>
    <cellStyle name="Normal 5 17 2 18 11" xfId="34974" xr:uid="{00000000-0005-0000-0000-00009E880000}"/>
    <cellStyle name="Normal 5 17 2 18 12" xfId="34975" xr:uid="{00000000-0005-0000-0000-00009F880000}"/>
    <cellStyle name="Normal 5 17 2 18 13" xfId="34976" xr:uid="{00000000-0005-0000-0000-0000A0880000}"/>
    <cellStyle name="Normal 5 17 2 18 14" xfId="34977" xr:uid="{00000000-0005-0000-0000-0000A1880000}"/>
    <cellStyle name="Normal 5 17 2 18 2" xfId="34978" xr:uid="{00000000-0005-0000-0000-0000A2880000}"/>
    <cellStyle name="Normal 5 17 2 18 2 10" xfId="34979" xr:uid="{00000000-0005-0000-0000-0000A3880000}"/>
    <cellStyle name="Normal 5 17 2 18 2 2" xfId="34980" xr:uid="{00000000-0005-0000-0000-0000A4880000}"/>
    <cellStyle name="Normal 5 17 2 18 2 3" xfId="34981" xr:uid="{00000000-0005-0000-0000-0000A5880000}"/>
    <cellStyle name="Normal 5 17 2 18 2 4" xfId="34982" xr:uid="{00000000-0005-0000-0000-0000A6880000}"/>
    <cellStyle name="Normal 5 17 2 18 2 5" xfId="34983" xr:uid="{00000000-0005-0000-0000-0000A7880000}"/>
    <cellStyle name="Normal 5 17 2 18 2 6" xfId="34984" xr:uid="{00000000-0005-0000-0000-0000A8880000}"/>
    <cellStyle name="Normal 5 17 2 18 2 7" xfId="34985" xr:uid="{00000000-0005-0000-0000-0000A9880000}"/>
    <cellStyle name="Normal 5 17 2 18 2 8" xfId="34986" xr:uid="{00000000-0005-0000-0000-0000AA880000}"/>
    <cellStyle name="Normal 5 17 2 18 2 9" xfId="34987" xr:uid="{00000000-0005-0000-0000-0000AB880000}"/>
    <cellStyle name="Normal 5 17 2 18 3" xfId="34988" xr:uid="{00000000-0005-0000-0000-0000AC880000}"/>
    <cellStyle name="Normal 5 17 2 18 3 10" xfId="34989" xr:uid="{00000000-0005-0000-0000-0000AD880000}"/>
    <cellStyle name="Normal 5 17 2 18 3 2" xfId="34990" xr:uid="{00000000-0005-0000-0000-0000AE880000}"/>
    <cellStyle name="Normal 5 17 2 18 3 3" xfId="34991" xr:uid="{00000000-0005-0000-0000-0000AF880000}"/>
    <cellStyle name="Normal 5 17 2 18 3 4" xfId="34992" xr:uid="{00000000-0005-0000-0000-0000B0880000}"/>
    <cellStyle name="Normal 5 17 2 18 3 5" xfId="34993" xr:uid="{00000000-0005-0000-0000-0000B1880000}"/>
    <cellStyle name="Normal 5 17 2 18 3 6" xfId="34994" xr:uid="{00000000-0005-0000-0000-0000B2880000}"/>
    <cellStyle name="Normal 5 17 2 18 3 7" xfId="34995" xr:uid="{00000000-0005-0000-0000-0000B3880000}"/>
    <cellStyle name="Normal 5 17 2 18 3 8" xfId="34996" xr:uid="{00000000-0005-0000-0000-0000B4880000}"/>
    <cellStyle name="Normal 5 17 2 18 3 9" xfId="34997" xr:uid="{00000000-0005-0000-0000-0000B5880000}"/>
    <cellStyle name="Normal 5 17 2 18 4" xfId="34998" xr:uid="{00000000-0005-0000-0000-0000B6880000}"/>
    <cellStyle name="Normal 5 17 2 18 4 10" xfId="34999" xr:uid="{00000000-0005-0000-0000-0000B7880000}"/>
    <cellStyle name="Normal 5 17 2 18 4 2" xfId="35000" xr:uid="{00000000-0005-0000-0000-0000B8880000}"/>
    <cellStyle name="Normal 5 17 2 18 4 3" xfId="35001" xr:uid="{00000000-0005-0000-0000-0000B9880000}"/>
    <cellStyle name="Normal 5 17 2 18 4 4" xfId="35002" xr:uid="{00000000-0005-0000-0000-0000BA880000}"/>
    <cellStyle name="Normal 5 17 2 18 4 5" xfId="35003" xr:uid="{00000000-0005-0000-0000-0000BB880000}"/>
    <cellStyle name="Normal 5 17 2 18 4 6" xfId="35004" xr:uid="{00000000-0005-0000-0000-0000BC880000}"/>
    <cellStyle name="Normal 5 17 2 18 4 7" xfId="35005" xr:uid="{00000000-0005-0000-0000-0000BD880000}"/>
    <cellStyle name="Normal 5 17 2 18 4 8" xfId="35006" xr:uid="{00000000-0005-0000-0000-0000BE880000}"/>
    <cellStyle name="Normal 5 17 2 18 4 9" xfId="35007" xr:uid="{00000000-0005-0000-0000-0000BF880000}"/>
    <cellStyle name="Normal 5 17 2 18 5" xfId="35008" xr:uid="{00000000-0005-0000-0000-0000C0880000}"/>
    <cellStyle name="Normal 5 17 2 18 5 10" xfId="35009" xr:uid="{00000000-0005-0000-0000-0000C1880000}"/>
    <cellStyle name="Normal 5 17 2 18 5 2" xfId="35010" xr:uid="{00000000-0005-0000-0000-0000C2880000}"/>
    <cellStyle name="Normal 5 17 2 18 5 3" xfId="35011" xr:uid="{00000000-0005-0000-0000-0000C3880000}"/>
    <cellStyle name="Normal 5 17 2 18 5 4" xfId="35012" xr:uid="{00000000-0005-0000-0000-0000C4880000}"/>
    <cellStyle name="Normal 5 17 2 18 5 5" xfId="35013" xr:uid="{00000000-0005-0000-0000-0000C5880000}"/>
    <cellStyle name="Normal 5 17 2 18 5 6" xfId="35014" xr:uid="{00000000-0005-0000-0000-0000C6880000}"/>
    <cellStyle name="Normal 5 17 2 18 5 7" xfId="35015" xr:uid="{00000000-0005-0000-0000-0000C7880000}"/>
    <cellStyle name="Normal 5 17 2 18 5 8" xfId="35016" xr:uid="{00000000-0005-0000-0000-0000C8880000}"/>
    <cellStyle name="Normal 5 17 2 18 5 9" xfId="35017" xr:uid="{00000000-0005-0000-0000-0000C9880000}"/>
    <cellStyle name="Normal 5 17 2 18 6" xfId="35018" xr:uid="{00000000-0005-0000-0000-0000CA880000}"/>
    <cellStyle name="Normal 5 17 2 18 7" xfId="35019" xr:uid="{00000000-0005-0000-0000-0000CB880000}"/>
    <cellStyle name="Normal 5 17 2 18 8" xfId="35020" xr:uid="{00000000-0005-0000-0000-0000CC880000}"/>
    <cellStyle name="Normal 5 17 2 18 9" xfId="35021" xr:uid="{00000000-0005-0000-0000-0000CD880000}"/>
    <cellStyle name="Normal 5 17 2 19" xfId="35022" xr:uid="{00000000-0005-0000-0000-0000CE880000}"/>
    <cellStyle name="Normal 5 17 2 19 10" xfId="35023" xr:uid="{00000000-0005-0000-0000-0000CF880000}"/>
    <cellStyle name="Normal 5 17 2 19 11" xfId="35024" xr:uid="{00000000-0005-0000-0000-0000D0880000}"/>
    <cellStyle name="Normal 5 17 2 19 12" xfId="35025" xr:uid="{00000000-0005-0000-0000-0000D1880000}"/>
    <cellStyle name="Normal 5 17 2 19 13" xfId="35026" xr:uid="{00000000-0005-0000-0000-0000D2880000}"/>
    <cellStyle name="Normal 5 17 2 19 14" xfId="35027" xr:uid="{00000000-0005-0000-0000-0000D3880000}"/>
    <cellStyle name="Normal 5 17 2 19 2" xfId="35028" xr:uid="{00000000-0005-0000-0000-0000D4880000}"/>
    <cellStyle name="Normal 5 17 2 19 2 10" xfId="35029" xr:uid="{00000000-0005-0000-0000-0000D5880000}"/>
    <cellStyle name="Normal 5 17 2 19 2 2" xfId="35030" xr:uid="{00000000-0005-0000-0000-0000D6880000}"/>
    <cellStyle name="Normal 5 17 2 19 2 3" xfId="35031" xr:uid="{00000000-0005-0000-0000-0000D7880000}"/>
    <cellStyle name="Normal 5 17 2 19 2 4" xfId="35032" xr:uid="{00000000-0005-0000-0000-0000D8880000}"/>
    <cellStyle name="Normal 5 17 2 19 2 5" xfId="35033" xr:uid="{00000000-0005-0000-0000-0000D9880000}"/>
    <cellStyle name="Normal 5 17 2 19 2 6" xfId="35034" xr:uid="{00000000-0005-0000-0000-0000DA880000}"/>
    <cellStyle name="Normal 5 17 2 19 2 7" xfId="35035" xr:uid="{00000000-0005-0000-0000-0000DB880000}"/>
    <cellStyle name="Normal 5 17 2 19 2 8" xfId="35036" xr:uid="{00000000-0005-0000-0000-0000DC880000}"/>
    <cellStyle name="Normal 5 17 2 19 2 9" xfId="35037" xr:uid="{00000000-0005-0000-0000-0000DD880000}"/>
    <cellStyle name="Normal 5 17 2 19 3" xfId="35038" xr:uid="{00000000-0005-0000-0000-0000DE880000}"/>
    <cellStyle name="Normal 5 17 2 19 3 10" xfId="35039" xr:uid="{00000000-0005-0000-0000-0000DF880000}"/>
    <cellStyle name="Normal 5 17 2 19 3 2" xfId="35040" xr:uid="{00000000-0005-0000-0000-0000E0880000}"/>
    <cellStyle name="Normal 5 17 2 19 3 3" xfId="35041" xr:uid="{00000000-0005-0000-0000-0000E1880000}"/>
    <cellStyle name="Normal 5 17 2 19 3 4" xfId="35042" xr:uid="{00000000-0005-0000-0000-0000E2880000}"/>
    <cellStyle name="Normal 5 17 2 19 3 5" xfId="35043" xr:uid="{00000000-0005-0000-0000-0000E3880000}"/>
    <cellStyle name="Normal 5 17 2 19 3 6" xfId="35044" xr:uid="{00000000-0005-0000-0000-0000E4880000}"/>
    <cellStyle name="Normal 5 17 2 19 3 7" xfId="35045" xr:uid="{00000000-0005-0000-0000-0000E5880000}"/>
    <cellStyle name="Normal 5 17 2 19 3 8" xfId="35046" xr:uid="{00000000-0005-0000-0000-0000E6880000}"/>
    <cellStyle name="Normal 5 17 2 19 3 9" xfId="35047" xr:uid="{00000000-0005-0000-0000-0000E7880000}"/>
    <cellStyle name="Normal 5 17 2 19 4" xfId="35048" xr:uid="{00000000-0005-0000-0000-0000E8880000}"/>
    <cellStyle name="Normal 5 17 2 19 4 10" xfId="35049" xr:uid="{00000000-0005-0000-0000-0000E9880000}"/>
    <cellStyle name="Normal 5 17 2 19 4 2" xfId="35050" xr:uid="{00000000-0005-0000-0000-0000EA880000}"/>
    <cellStyle name="Normal 5 17 2 19 4 3" xfId="35051" xr:uid="{00000000-0005-0000-0000-0000EB880000}"/>
    <cellStyle name="Normal 5 17 2 19 4 4" xfId="35052" xr:uid="{00000000-0005-0000-0000-0000EC880000}"/>
    <cellStyle name="Normal 5 17 2 19 4 5" xfId="35053" xr:uid="{00000000-0005-0000-0000-0000ED880000}"/>
    <cellStyle name="Normal 5 17 2 19 4 6" xfId="35054" xr:uid="{00000000-0005-0000-0000-0000EE880000}"/>
    <cellStyle name="Normal 5 17 2 19 4 7" xfId="35055" xr:uid="{00000000-0005-0000-0000-0000EF880000}"/>
    <cellStyle name="Normal 5 17 2 19 4 8" xfId="35056" xr:uid="{00000000-0005-0000-0000-0000F0880000}"/>
    <cellStyle name="Normal 5 17 2 19 4 9" xfId="35057" xr:uid="{00000000-0005-0000-0000-0000F1880000}"/>
    <cellStyle name="Normal 5 17 2 19 5" xfId="35058" xr:uid="{00000000-0005-0000-0000-0000F2880000}"/>
    <cellStyle name="Normal 5 17 2 19 5 10" xfId="35059" xr:uid="{00000000-0005-0000-0000-0000F3880000}"/>
    <cellStyle name="Normal 5 17 2 19 5 2" xfId="35060" xr:uid="{00000000-0005-0000-0000-0000F4880000}"/>
    <cellStyle name="Normal 5 17 2 19 5 3" xfId="35061" xr:uid="{00000000-0005-0000-0000-0000F5880000}"/>
    <cellStyle name="Normal 5 17 2 19 5 4" xfId="35062" xr:uid="{00000000-0005-0000-0000-0000F6880000}"/>
    <cellStyle name="Normal 5 17 2 19 5 5" xfId="35063" xr:uid="{00000000-0005-0000-0000-0000F7880000}"/>
    <cellStyle name="Normal 5 17 2 19 5 6" xfId="35064" xr:uid="{00000000-0005-0000-0000-0000F8880000}"/>
    <cellStyle name="Normal 5 17 2 19 5 7" xfId="35065" xr:uid="{00000000-0005-0000-0000-0000F9880000}"/>
    <cellStyle name="Normal 5 17 2 19 5 8" xfId="35066" xr:uid="{00000000-0005-0000-0000-0000FA880000}"/>
    <cellStyle name="Normal 5 17 2 19 5 9" xfId="35067" xr:uid="{00000000-0005-0000-0000-0000FB880000}"/>
    <cellStyle name="Normal 5 17 2 19 6" xfId="35068" xr:uid="{00000000-0005-0000-0000-0000FC880000}"/>
    <cellStyle name="Normal 5 17 2 19 7" xfId="35069" xr:uid="{00000000-0005-0000-0000-0000FD880000}"/>
    <cellStyle name="Normal 5 17 2 19 8" xfId="35070" xr:uid="{00000000-0005-0000-0000-0000FE880000}"/>
    <cellStyle name="Normal 5 17 2 19 9" xfId="35071" xr:uid="{00000000-0005-0000-0000-0000FF880000}"/>
    <cellStyle name="Normal 5 17 2 2" xfId="35072" xr:uid="{00000000-0005-0000-0000-000000890000}"/>
    <cellStyle name="Normal 5 17 2 2 10" xfId="35073" xr:uid="{00000000-0005-0000-0000-000001890000}"/>
    <cellStyle name="Normal 5 17 2 2 11" xfId="35074" xr:uid="{00000000-0005-0000-0000-000002890000}"/>
    <cellStyle name="Normal 5 17 2 2 12" xfId="35075" xr:uid="{00000000-0005-0000-0000-000003890000}"/>
    <cellStyle name="Normal 5 17 2 2 13" xfId="35076" xr:uid="{00000000-0005-0000-0000-000004890000}"/>
    <cellStyle name="Normal 5 17 2 2 14" xfId="35077" xr:uid="{00000000-0005-0000-0000-000005890000}"/>
    <cellStyle name="Normal 5 17 2 2 15" xfId="35078" xr:uid="{00000000-0005-0000-0000-000006890000}"/>
    <cellStyle name="Normal 5 17 2 2 16" xfId="35079" xr:uid="{00000000-0005-0000-0000-000007890000}"/>
    <cellStyle name="Normal 5 17 2 2 2" xfId="35080" xr:uid="{00000000-0005-0000-0000-000008890000}"/>
    <cellStyle name="Normal 5 17 2 2 2 10" xfId="35081" xr:uid="{00000000-0005-0000-0000-000009890000}"/>
    <cellStyle name="Normal 5 17 2 2 2 2" xfId="35082" xr:uid="{00000000-0005-0000-0000-00000A890000}"/>
    <cellStyle name="Normal 5 17 2 2 2 3" xfId="35083" xr:uid="{00000000-0005-0000-0000-00000B890000}"/>
    <cellStyle name="Normal 5 17 2 2 2 4" xfId="35084" xr:uid="{00000000-0005-0000-0000-00000C890000}"/>
    <cellStyle name="Normal 5 17 2 2 2 5" xfId="35085" xr:uid="{00000000-0005-0000-0000-00000D890000}"/>
    <cellStyle name="Normal 5 17 2 2 2 6" xfId="35086" xr:uid="{00000000-0005-0000-0000-00000E890000}"/>
    <cellStyle name="Normal 5 17 2 2 2 7" xfId="35087" xr:uid="{00000000-0005-0000-0000-00000F890000}"/>
    <cellStyle name="Normal 5 17 2 2 2 8" xfId="35088" xr:uid="{00000000-0005-0000-0000-000010890000}"/>
    <cellStyle name="Normal 5 17 2 2 2 9" xfId="35089" xr:uid="{00000000-0005-0000-0000-000011890000}"/>
    <cellStyle name="Normal 5 17 2 2 3" xfId="35090" xr:uid="{00000000-0005-0000-0000-000012890000}"/>
    <cellStyle name="Normal 5 17 2 2 3 10" xfId="35091" xr:uid="{00000000-0005-0000-0000-000013890000}"/>
    <cellStyle name="Normal 5 17 2 2 3 2" xfId="35092" xr:uid="{00000000-0005-0000-0000-000014890000}"/>
    <cellStyle name="Normal 5 17 2 2 3 3" xfId="35093" xr:uid="{00000000-0005-0000-0000-000015890000}"/>
    <cellStyle name="Normal 5 17 2 2 3 4" xfId="35094" xr:uid="{00000000-0005-0000-0000-000016890000}"/>
    <cellStyle name="Normal 5 17 2 2 3 5" xfId="35095" xr:uid="{00000000-0005-0000-0000-000017890000}"/>
    <cellStyle name="Normal 5 17 2 2 3 6" xfId="35096" xr:uid="{00000000-0005-0000-0000-000018890000}"/>
    <cellStyle name="Normal 5 17 2 2 3 7" xfId="35097" xr:uid="{00000000-0005-0000-0000-000019890000}"/>
    <cellStyle name="Normal 5 17 2 2 3 8" xfId="35098" xr:uid="{00000000-0005-0000-0000-00001A890000}"/>
    <cellStyle name="Normal 5 17 2 2 3 9" xfId="35099" xr:uid="{00000000-0005-0000-0000-00001B890000}"/>
    <cellStyle name="Normal 5 17 2 2 4" xfId="35100" xr:uid="{00000000-0005-0000-0000-00001C890000}"/>
    <cellStyle name="Normal 5 17 2 2 4 10" xfId="35101" xr:uid="{00000000-0005-0000-0000-00001D890000}"/>
    <cellStyle name="Normal 5 17 2 2 4 2" xfId="35102" xr:uid="{00000000-0005-0000-0000-00001E890000}"/>
    <cellStyle name="Normal 5 17 2 2 4 3" xfId="35103" xr:uid="{00000000-0005-0000-0000-00001F890000}"/>
    <cellStyle name="Normal 5 17 2 2 4 4" xfId="35104" xr:uid="{00000000-0005-0000-0000-000020890000}"/>
    <cellStyle name="Normal 5 17 2 2 4 5" xfId="35105" xr:uid="{00000000-0005-0000-0000-000021890000}"/>
    <cellStyle name="Normal 5 17 2 2 4 6" xfId="35106" xr:uid="{00000000-0005-0000-0000-000022890000}"/>
    <cellStyle name="Normal 5 17 2 2 4 7" xfId="35107" xr:uid="{00000000-0005-0000-0000-000023890000}"/>
    <cellStyle name="Normal 5 17 2 2 4 8" xfId="35108" xr:uid="{00000000-0005-0000-0000-000024890000}"/>
    <cellStyle name="Normal 5 17 2 2 4 9" xfId="35109" xr:uid="{00000000-0005-0000-0000-000025890000}"/>
    <cellStyle name="Normal 5 17 2 2 5" xfId="35110" xr:uid="{00000000-0005-0000-0000-000026890000}"/>
    <cellStyle name="Normal 5 17 2 2 5 10" xfId="35111" xr:uid="{00000000-0005-0000-0000-000027890000}"/>
    <cellStyle name="Normal 5 17 2 2 5 2" xfId="35112" xr:uid="{00000000-0005-0000-0000-000028890000}"/>
    <cellStyle name="Normal 5 17 2 2 5 3" xfId="35113" xr:uid="{00000000-0005-0000-0000-000029890000}"/>
    <cellStyle name="Normal 5 17 2 2 5 4" xfId="35114" xr:uid="{00000000-0005-0000-0000-00002A890000}"/>
    <cellStyle name="Normal 5 17 2 2 5 5" xfId="35115" xr:uid="{00000000-0005-0000-0000-00002B890000}"/>
    <cellStyle name="Normal 5 17 2 2 5 6" xfId="35116" xr:uid="{00000000-0005-0000-0000-00002C890000}"/>
    <cellStyle name="Normal 5 17 2 2 5 7" xfId="35117" xr:uid="{00000000-0005-0000-0000-00002D890000}"/>
    <cellStyle name="Normal 5 17 2 2 5 8" xfId="35118" xr:uid="{00000000-0005-0000-0000-00002E890000}"/>
    <cellStyle name="Normal 5 17 2 2 5 9" xfId="35119" xr:uid="{00000000-0005-0000-0000-00002F890000}"/>
    <cellStyle name="Normal 5 17 2 2 6" xfId="35120" xr:uid="{00000000-0005-0000-0000-000030890000}"/>
    <cellStyle name="Normal 5 17 2 2 7" xfId="35121" xr:uid="{00000000-0005-0000-0000-000031890000}"/>
    <cellStyle name="Normal 5 17 2 2 8" xfId="35122" xr:uid="{00000000-0005-0000-0000-000032890000}"/>
    <cellStyle name="Normal 5 17 2 2 9" xfId="35123" xr:uid="{00000000-0005-0000-0000-000033890000}"/>
    <cellStyle name="Normal 5 17 2 20" xfId="35124" xr:uid="{00000000-0005-0000-0000-000034890000}"/>
    <cellStyle name="Normal 5 17 2 20 10" xfId="35125" xr:uid="{00000000-0005-0000-0000-000035890000}"/>
    <cellStyle name="Normal 5 17 2 20 11" xfId="35126" xr:uid="{00000000-0005-0000-0000-000036890000}"/>
    <cellStyle name="Normal 5 17 2 20 12" xfId="35127" xr:uid="{00000000-0005-0000-0000-000037890000}"/>
    <cellStyle name="Normal 5 17 2 20 13" xfId="35128" xr:uid="{00000000-0005-0000-0000-000038890000}"/>
    <cellStyle name="Normal 5 17 2 20 14" xfId="35129" xr:uid="{00000000-0005-0000-0000-000039890000}"/>
    <cellStyle name="Normal 5 17 2 20 2" xfId="35130" xr:uid="{00000000-0005-0000-0000-00003A890000}"/>
    <cellStyle name="Normal 5 17 2 20 2 10" xfId="35131" xr:uid="{00000000-0005-0000-0000-00003B890000}"/>
    <cellStyle name="Normal 5 17 2 20 2 2" xfId="35132" xr:uid="{00000000-0005-0000-0000-00003C890000}"/>
    <cellStyle name="Normal 5 17 2 20 2 3" xfId="35133" xr:uid="{00000000-0005-0000-0000-00003D890000}"/>
    <cellStyle name="Normal 5 17 2 20 2 4" xfId="35134" xr:uid="{00000000-0005-0000-0000-00003E890000}"/>
    <cellStyle name="Normal 5 17 2 20 2 5" xfId="35135" xr:uid="{00000000-0005-0000-0000-00003F890000}"/>
    <cellStyle name="Normal 5 17 2 20 2 6" xfId="35136" xr:uid="{00000000-0005-0000-0000-000040890000}"/>
    <cellStyle name="Normal 5 17 2 20 2 7" xfId="35137" xr:uid="{00000000-0005-0000-0000-000041890000}"/>
    <cellStyle name="Normal 5 17 2 20 2 8" xfId="35138" xr:uid="{00000000-0005-0000-0000-000042890000}"/>
    <cellStyle name="Normal 5 17 2 20 2 9" xfId="35139" xr:uid="{00000000-0005-0000-0000-000043890000}"/>
    <cellStyle name="Normal 5 17 2 20 3" xfId="35140" xr:uid="{00000000-0005-0000-0000-000044890000}"/>
    <cellStyle name="Normal 5 17 2 20 3 10" xfId="35141" xr:uid="{00000000-0005-0000-0000-000045890000}"/>
    <cellStyle name="Normal 5 17 2 20 3 2" xfId="35142" xr:uid="{00000000-0005-0000-0000-000046890000}"/>
    <cellStyle name="Normal 5 17 2 20 3 3" xfId="35143" xr:uid="{00000000-0005-0000-0000-000047890000}"/>
    <cellStyle name="Normal 5 17 2 20 3 4" xfId="35144" xr:uid="{00000000-0005-0000-0000-000048890000}"/>
    <cellStyle name="Normal 5 17 2 20 3 5" xfId="35145" xr:uid="{00000000-0005-0000-0000-000049890000}"/>
    <cellStyle name="Normal 5 17 2 20 3 6" xfId="35146" xr:uid="{00000000-0005-0000-0000-00004A890000}"/>
    <cellStyle name="Normal 5 17 2 20 3 7" xfId="35147" xr:uid="{00000000-0005-0000-0000-00004B890000}"/>
    <cellStyle name="Normal 5 17 2 20 3 8" xfId="35148" xr:uid="{00000000-0005-0000-0000-00004C890000}"/>
    <cellStyle name="Normal 5 17 2 20 3 9" xfId="35149" xr:uid="{00000000-0005-0000-0000-00004D890000}"/>
    <cellStyle name="Normal 5 17 2 20 4" xfId="35150" xr:uid="{00000000-0005-0000-0000-00004E890000}"/>
    <cellStyle name="Normal 5 17 2 20 4 10" xfId="35151" xr:uid="{00000000-0005-0000-0000-00004F890000}"/>
    <cellStyle name="Normal 5 17 2 20 4 2" xfId="35152" xr:uid="{00000000-0005-0000-0000-000050890000}"/>
    <cellStyle name="Normal 5 17 2 20 4 3" xfId="35153" xr:uid="{00000000-0005-0000-0000-000051890000}"/>
    <cellStyle name="Normal 5 17 2 20 4 4" xfId="35154" xr:uid="{00000000-0005-0000-0000-000052890000}"/>
    <cellStyle name="Normal 5 17 2 20 4 5" xfId="35155" xr:uid="{00000000-0005-0000-0000-000053890000}"/>
    <cellStyle name="Normal 5 17 2 20 4 6" xfId="35156" xr:uid="{00000000-0005-0000-0000-000054890000}"/>
    <cellStyle name="Normal 5 17 2 20 4 7" xfId="35157" xr:uid="{00000000-0005-0000-0000-000055890000}"/>
    <cellStyle name="Normal 5 17 2 20 4 8" xfId="35158" xr:uid="{00000000-0005-0000-0000-000056890000}"/>
    <cellStyle name="Normal 5 17 2 20 4 9" xfId="35159" xr:uid="{00000000-0005-0000-0000-000057890000}"/>
    <cellStyle name="Normal 5 17 2 20 5" xfId="35160" xr:uid="{00000000-0005-0000-0000-000058890000}"/>
    <cellStyle name="Normal 5 17 2 20 5 10" xfId="35161" xr:uid="{00000000-0005-0000-0000-000059890000}"/>
    <cellStyle name="Normal 5 17 2 20 5 2" xfId="35162" xr:uid="{00000000-0005-0000-0000-00005A890000}"/>
    <cellStyle name="Normal 5 17 2 20 5 3" xfId="35163" xr:uid="{00000000-0005-0000-0000-00005B890000}"/>
    <cellStyle name="Normal 5 17 2 20 5 4" xfId="35164" xr:uid="{00000000-0005-0000-0000-00005C890000}"/>
    <cellStyle name="Normal 5 17 2 20 5 5" xfId="35165" xr:uid="{00000000-0005-0000-0000-00005D890000}"/>
    <cellStyle name="Normal 5 17 2 20 5 6" xfId="35166" xr:uid="{00000000-0005-0000-0000-00005E890000}"/>
    <cellStyle name="Normal 5 17 2 20 5 7" xfId="35167" xr:uid="{00000000-0005-0000-0000-00005F890000}"/>
    <cellStyle name="Normal 5 17 2 20 5 8" xfId="35168" xr:uid="{00000000-0005-0000-0000-000060890000}"/>
    <cellStyle name="Normal 5 17 2 20 5 9" xfId="35169" xr:uid="{00000000-0005-0000-0000-000061890000}"/>
    <cellStyle name="Normal 5 17 2 20 6" xfId="35170" xr:uid="{00000000-0005-0000-0000-000062890000}"/>
    <cellStyle name="Normal 5 17 2 20 7" xfId="35171" xr:uid="{00000000-0005-0000-0000-000063890000}"/>
    <cellStyle name="Normal 5 17 2 20 8" xfId="35172" xr:uid="{00000000-0005-0000-0000-000064890000}"/>
    <cellStyle name="Normal 5 17 2 20 9" xfId="35173" xr:uid="{00000000-0005-0000-0000-000065890000}"/>
    <cellStyle name="Normal 5 17 2 21" xfId="35174" xr:uid="{00000000-0005-0000-0000-000066890000}"/>
    <cellStyle name="Normal 5 17 2 21 10" xfId="35175" xr:uid="{00000000-0005-0000-0000-000067890000}"/>
    <cellStyle name="Normal 5 17 2 21 11" xfId="35176" xr:uid="{00000000-0005-0000-0000-000068890000}"/>
    <cellStyle name="Normal 5 17 2 21 12" xfId="35177" xr:uid="{00000000-0005-0000-0000-000069890000}"/>
    <cellStyle name="Normal 5 17 2 21 13" xfId="35178" xr:uid="{00000000-0005-0000-0000-00006A890000}"/>
    <cellStyle name="Normal 5 17 2 21 14" xfId="35179" xr:uid="{00000000-0005-0000-0000-00006B890000}"/>
    <cellStyle name="Normal 5 17 2 21 2" xfId="35180" xr:uid="{00000000-0005-0000-0000-00006C890000}"/>
    <cellStyle name="Normal 5 17 2 21 2 10" xfId="35181" xr:uid="{00000000-0005-0000-0000-00006D890000}"/>
    <cellStyle name="Normal 5 17 2 21 2 2" xfId="35182" xr:uid="{00000000-0005-0000-0000-00006E890000}"/>
    <cellStyle name="Normal 5 17 2 21 2 3" xfId="35183" xr:uid="{00000000-0005-0000-0000-00006F890000}"/>
    <cellStyle name="Normal 5 17 2 21 2 4" xfId="35184" xr:uid="{00000000-0005-0000-0000-000070890000}"/>
    <cellStyle name="Normal 5 17 2 21 2 5" xfId="35185" xr:uid="{00000000-0005-0000-0000-000071890000}"/>
    <cellStyle name="Normal 5 17 2 21 2 6" xfId="35186" xr:uid="{00000000-0005-0000-0000-000072890000}"/>
    <cellStyle name="Normal 5 17 2 21 2 7" xfId="35187" xr:uid="{00000000-0005-0000-0000-000073890000}"/>
    <cellStyle name="Normal 5 17 2 21 2 8" xfId="35188" xr:uid="{00000000-0005-0000-0000-000074890000}"/>
    <cellStyle name="Normal 5 17 2 21 2 9" xfId="35189" xr:uid="{00000000-0005-0000-0000-000075890000}"/>
    <cellStyle name="Normal 5 17 2 21 3" xfId="35190" xr:uid="{00000000-0005-0000-0000-000076890000}"/>
    <cellStyle name="Normal 5 17 2 21 3 10" xfId="35191" xr:uid="{00000000-0005-0000-0000-000077890000}"/>
    <cellStyle name="Normal 5 17 2 21 3 2" xfId="35192" xr:uid="{00000000-0005-0000-0000-000078890000}"/>
    <cellStyle name="Normal 5 17 2 21 3 3" xfId="35193" xr:uid="{00000000-0005-0000-0000-000079890000}"/>
    <cellStyle name="Normal 5 17 2 21 3 4" xfId="35194" xr:uid="{00000000-0005-0000-0000-00007A890000}"/>
    <cellStyle name="Normal 5 17 2 21 3 5" xfId="35195" xr:uid="{00000000-0005-0000-0000-00007B890000}"/>
    <cellStyle name="Normal 5 17 2 21 3 6" xfId="35196" xr:uid="{00000000-0005-0000-0000-00007C890000}"/>
    <cellStyle name="Normal 5 17 2 21 3 7" xfId="35197" xr:uid="{00000000-0005-0000-0000-00007D890000}"/>
    <cellStyle name="Normal 5 17 2 21 3 8" xfId="35198" xr:uid="{00000000-0005-0000-0000-00007E890000}"/>
    <cellStyle name="Normal 5 17 2 21 3 9" xfId="35199" xr:uid="{00000000-0005-0000-0000-00007F890000}"/>
    <cellStyle name="Normal 5 17 2 21 4" xfId="35200" xr:uid="{00000000-0005-0000-0000-000080890000}"/>
    <cellStyle name="Normal 5 17 2 21 4 10" xfId="35201" xr:uid="{00000000-0005-0000-0000-000081890000}"/>
    <cellStyle name="Normal 5 17 2 21 4 2" xfId="35202" xr:uid="{00000000-0005-0000-0000-000082890000}"/>
    <cellStyle name="Normal 5 17 2 21 4 3" xfId="35203" xr:uid="{00000000-0005-0000-0000-000083890000}"/>
    <cellStyle name="Normal 5 17 2 21 4 4" xfId="35204" xr:uid="{00000000-0005-0000-0000-000084890000}"/>
    <cellStyle name="Normal 5 17 2 21 4 5" xfId="35205" xr:uid="{00000000-0005-0000-0000-000085890000}"/>
    <cellStyle name="Normal 5 17 2 21 4 6" xfId="35206" xr:uid="{00000000-0005-0000-0000-000086890000}"/>
    <cellStyle name="Normal 5 17 2 21 4 7" xfId="35207" xr:uid="{00000000-0005-0000-0000-000087890000}"/>
    <cellStyle name="Normal 5 17 2 21 4 8" xfId="35208" xr:uid="{00000000-0005-0000-0000-000088890000}"/>
    <cellStyle name="Normal 5 17 2 21 4 9" xfId="35209" xr:uid="{00000000-0005-0000-0000-000089890000}"/>
    <cellStyle name="Normal 5 17 2 21 5" xfId="35210" xr:uid="{00000000-0005-0000-0000-00008A890000}"/>
    <cellStyle name="Normal 5 17 2 21 5 10" xfId="35211" xr:uid="{00000000-0005-0000-0000-00008B890000}"/>
    <cellStyle name="Normal 5 17 2 21 5 2" xfId="35212" xr:uid="{00000000-0005-0000-0000-00008C890000}"/>
    <cellStyle name="Normal 5 17 2 21 5 3" xfId="35213" xr:uid="{00000000-0005-0000-0000-00008D890000}"/>
    <cellStyle name="Normal 5 17 2 21 5 4" xfId="35214" xr:uid="{00000000-0005-0000-0000-00008E890000}"/>
    <cellStyle name="Normal 5 17 2 21 5 5" xfId="35215" xr:uid="{00000000-0005-0000-0000-00008F890000}"/>
    <cellStyle name="Normal 5 17 2 21 5 6" xfId="35216" xr:uid="{00000000-0005-0000-0000-000090890000}"/>
    <cellStyle name="Normal 5 17 2 21 5 7" xfId="35217" xr:uid="{00000000-0005-0000-0000-000091890000}"/>
    <cellStyle name="Normal 5 17 2 21 5 8" xfId="35218" xr:uid="{00000000-0005-0000-0000-000092890000}"/>
    <cellStyle name="Normal 5 17 2 21 5 9" xfId="35219" xr:uid="{00000000-0005-0000-0000-000093890000}"/>
    <cellStyle name="Normal 5 17 2 21 6" xfId="35220" xr:uid="{00000000-0005-0000-0000-000094890000}"/>
    <cellStyle name="Normal 5 17 2 21 7" xfId="35221" xr:uid="{00000000-0005-0000-0000-000095890000}"/>
    <cellStyle name="Normal 5 17 2 21 8" xfId="35222" xr:uid="{00000000-0005-0000-0000-000096890000}"/>
    <cellStyle name="Normal 5 17 2 21 9" xfId="35223" xr:uid="{00000000-0005-0000-0000-000097890000}"/>
    <cellStyle name="Normal 5 17 2 22" xfId="35224" xr:uid="{00000000-0005-0000-0000-000098890000}"/>
    <cellStyle name="Normal 5 17 2 22 10" xfId="35225" xr:uid="{00000000-0005-0000-0000-000099890000}"/>
    <cellStyle name="Normal 5 17 2 22 11" xfId="35226" xr:uid="{00000000-0005-0000-0000-00009A890000}"/>
    <cellStyle name="Normal 5 17 2 22 12" xfId="35227" xr:uid="{00000000-0005-0000-0000-00009B890000}"/>
    <cellStyle name="Normal 5 17 2 22 13" xfId="35228" xr:uid="{00000000-0005-0000-0000-00009C890000}"/>
    <cellStyle name="Normal 5 17 2 22 14" xfId="35229" xr:uid="{00000000-0005-0000-0000-00009D890000}"/>
    <cellStyle name="Normal 5 17 2 22 2" xfId="35230" xr:uid="{00000000-0005-0000-0000-00009E890000}"/>
    <cellStyle name="Normal 5 17 2 22 2 10" xfId="35231" xr:uid="{00000000-0005-0000-0000-00009F890000}"/>
    <cellStyle name="Normal 5 17 2 22 2 2" xfId="35232" xr:uid="{00000000-0005-0000-0000-0000A0890000}"/>
    <cellStyle name="Normal 5 17 2 22 2 3" xfId="35233" xr:uid="{00000000-0005-0000-0000-0000A1890000}"/>
    <cellStyle name="Normal 5 17 2 22 2 4" xfId="35234" xr:uid="{00000000-0005-0000-0000-0000A2890000}"/>
    <cellStyle name="Normal 5 17 2 22 2 5" xfId="35235" xr:uid="{00000000-0005-0000-0000-0000A3890000}"/>
    <cellStyle name="Normal 5 17 2 22 2 6" xfId="35236" xr:uid="{00000000-0005-0000-0000-0000A4890000}"/>
    <cellStyle name="Normal 5 17 2 22 2 7" xfId="35237" xr:uid="{00000000-0005-0000-0000-0000A5890000}"/>
    <cellStyle name="Normal 5 17 2 22 2 8" xfId="35238" xr:uid="{00000000-0005-0000-0000-0000A6890000}"/>
    <cellStyle name="Normal 5 17 2 22 2 9" xfId="35239" xr:uid="{00000000-0005-0000-0000-0000A7890000}"/>
    <cellStyle name="Normal 5 17 2 22 3" xfId="35240" xr:uid="{00000000-0005-0000-0000-0000A8890000}"/>
    <cellStyle name="Normal 5 17 2 22 3 10" xfId="35241" xr:uid="{00000000-0005-0000-0000-0000A9890000}"/>
    <cellStyle name="Normal 5 17 2 22 3 2" xfId="35242" xr:uid="{00000000-0005-0000-0000-0000AA890000}"/>
    <cellStyle name="Normal 5 17 2 22 3 3" xfId="35243" xr:uid="{00000000-0005-0000-0000-0000AB890000}"/>
    <cellStyle name="Normal 5 17 2 22 3 4" xfId="35244" xr:uid="{00000000-0005-0000-0000-0000AC890000}"/>
    <cellStyle name="Normal 5 17 2 22 3 5" xfId="35245" xr:uid="{00000000-0005-0000-0000-0000AD890000}"/>
    <cellStyle name="Normal 5 17 2 22 3 6" xfId="35246" xr:uid="{00000000-0005-0000-0000-0000AE890000}"/>
    <cellStyle name="Normal 5 17 2 22 3 7" xfId="35247" xr:uid="{00000000-0005-0000-0000-0000AF890000}"/>
    <cellStyle name="Normal 5 17 2 22 3 8" xfId="35248" xr:uid="{00000000-0005-0000-0000-0000B0890000}"/>
    <cellStyle name="Normal 5 17 2 22 3 9" xfId="35249" xr:uid="{00000000-0005-0000-0000-0000B1890000}"/>
    <cellStyle name="Normal 5 17 2 22 4" xfId="35250" xr:uid="{00000000-0005-0000-0000-0000B2890000}"/>
    <cellStyle name="Normal 5 17 2 22 4 10" xfId="35251" xr:uid="{00000000-0005-0000-0000-0000B3890000}"/>
    <cellStyle name="Normal 5 17 2 22 4 2" xfId="35252" xr:uid="{00000000-0005-0000-0000-0000B4890000}"/>
    <cellStyle name="Normal 5 17 2 22 4 3" xfId="35253" xr:uid="{00000000-0005-0000-0000-0000B5890000}"/>
    <cellStyle name="Normal 5 17 2 22 4 4" xfId="35254" xr:uid="{00000000-0005-0000-0000-0000B6890000}"/>
    <cellStyle name="Normal 5 17 2 22 4 5" xfId="35255" xr:uid="{00000000-0005-0000-0000-0000B7890000}"/>
    <cellStyle name="Normal 5 17 2 22 4 6" xfId="35256" xr:uid="{00000000-0005-0000-0000-0000B8890000}"/>
    <cellStyle name="Normal 5 17 2 22 4 7" xfId="35257" xr:uid="{00000000-0005-0000-0000-0000B9890000}"/>
    <cellStyle name="Normal 5 17 2 22 4 8" xfId="35258" xr:uid="{00000000-0005-0000-0000-0000BA890000}"/>
    <cellStyle name="Normal 5 17 2 22 4 9" xfId="35259" xr:uid="{00000000-0005-0000-0000-0000BB890000}"/>
    <cellStyle name="Normal 5 17 2 22 5" xfId="35260" xr:uid="{00000000-0005-0000-0000-0000BC890000}"/>
    <cellStyle name="Normal 5 17 2 22 5 10" xfId="35261" xr:uid="{00000000-0005-0000-0000-0000BD890000}"/>
    <cellStyle name="Normal 5 17 2 22 5 2" xfId="35262" xr:uid="{00000000-0005-0000-0000-0000BE890000}"/>
    <cellStyle name="Normal 5 17 2 22 5 3" xfId="35263" xr:uid="{00000000-0005-0000-0000-0000BF890000}"/>
    <cellStyle name="Normal 5 17 2 22 5 4" xfId="35264" xr:uid="{00000000-0005-0000-0000-0000C0890000}"/>
    <cellStyle name="Normal 5 17 2 22 5 5" xfId="35265" xr:uid="{00000000-0005-0000-0000-0000C1890000}"/>
    <cellStyle name="Normal 5 17 2 22 5 6" xfId="35266" xr:uid="{00000000-0005-0000-0000-0000C2890000}"/>
    <cellStyle name="Normal 5 17 2 22 5 7" xfId="35267" xr:uid="{00000000-0005-0000-0000-0000C3890000}"/>
    <cellStyle name="Normal 5 17 2 22 5 8" xfId="35268" xr:uid="{00000000-0005-0000-0000-0000C4890000}"/>
    <cellStyle name="Normal 5 17 2 22 5 9" xfId="35269" xr:uid="{00000000-0005-0000-0000-0000C5890000}"/>
    <cellStyle name="Normal 5 17 2 22 6" xfId="35270" xr:uid="{00000000-0005-0000-0000-0000C6890000}"/>
    <cellStyle name="Normal 5 17 2 22 7" xfId="35271" xr:uid="{00000000-0005-0000-0000-0000C7890000}"/>
    <cellStyle name="Normal 5 17 2 22 8" xfId="35272" xr:uid="{00000000-0005-0000-0000-0000C8890000}"/>
    <cellStyle name="Normal 5 17 2 22 9" xfId="35273" xr:uid="{00000000-0005-0000-0000-0000C9890000}"/>
    <cellStyle name="Normal 5 17 2 23" xfId="35274" xr:uid="{00000000-0005-0000-0000-0000CA890000}"/>
    <cellStyle name="Normal 5 17 2 23 10" xfId="35275" xr:uid="{00000000-0005-0000-0000-0000CB890000}"/>
    <cellStyle name="Normal 5 17 2 23 11" xfId="35276" xr:uid="{00000000-0005-0000-0000-0000CC890000}"/>
    <cellStyle name="Normal 5 17 2 23 12" xfId="35277" xr:uid="{00000000-0005-0000-0000-0000CD890000}"/>
    <cellStyle name="Normal 5 17 2 23 13" xfId="35278" xr:uid="{00000000-0005-0000-0000-0000CE890000}"/>
    <cellStyle name="Normal 5 17 2 23 14" xfId="35279" xr:uid="{00000000-0005-0000-0000-0000CF890000}"/>
    <cellStyle name="Normal 5 17 2 23 2" xfId="35280" xr:uid="{00000000-0005-0000-0000-0000D0890000}"/>
    <cellStyle name="Normal 5 17 2 23 2 10" xfId="35281" xr:uid="{00000000-0005-0000-0000-0000D1890000}"/>
    <cellStyle name="Normal 5 17 2 23 2 2" xfId="35282" xr:uid="{00000000-0005-0000-0000-0000D2890000}"/>
    <cellStyle name="Normal 5 17 2 23 2 3" xfId="35283" xr:uid="{00000000-0005-0000-0000-0000D3890000}"/>
    <cellStyle name="Normal 5 17 2 23 2 4" xfId="35284" xr:uid="{00000000-0005-0000-0000-0000D4890000}"/>
    <cellStyle name="Normal 5 17 2 23 2 5" xfId="35285" xr:uid="{00000000-0005-0000-0000-0000D5890000}"/>
    <cellStyle name="Normal 5 17 2 23 2 6" xfId="35286" xr:uid="{00000000-0005-0000-0000-0000D6890000}"/>
    <cellStyle name="Normal 5 17 2 23 2 7" xfId="35287" xr:uid="{00000000-0005-0000-0000-0000D7890000}"/>
    <cellStyle name="Normal 5 17 2 23 2 8" xfId="35288" xr:uid="{00000000-0005-0000-0000-0000D8890000}"/>
    <cellStyle name="Normal 5 17 2 23 2 9" xfId="35289" xr:uid="{00000000-0005-0000-0000-0000D9890000}"/>
    <cellStyle name="Normal 5 17 2 23 3" xfId="35290" xr:uid="{00000000-0005-0000-0000-0000DA890000}"/>
    <cellStyle name="Normal 5 17 2 23 3 10" xfId="35291" xr:uid="{00000000-0005-0000-0000-0000DB890000}"/>
    <cellStyle name="Normal 5 17 2 23 3 2" xfId="35292" xr:uid="{00000000-0005-0000-0000-0000DC890000}"/>
    <cellStyle name="Normal 5 17 2 23 3 3" xfId="35293" xr:uid="{00000000-0005-0000-0000-0000DD890000}"/>
    <cellStyle name="Normal 5 17 2 23 3 4" xfId="35294" xr:uid="{00000000-0005-0000-0000-0000DE890000}"/>
    <cellStyle name="Normal 5 17 2 23 3 5" xfId="35295" xr:uid="{00000000-0005-0000-0000-0000DF890000}"/>
    <cellStyle name="Normal 5 17 2 23 3 6" xfId="35296" xr:uid="{00000000-0005-0000-0000-0000E0890000}"/>
    <cellStyle name="Normal 5 17 2 23 3 7" xfId="35297" xr:uid="{00000000-0005-0000-0000-0000E1890000}"/>
    <cellStyle name="Normal 5 17 2 23 3 8" xfId="35298" xr:uid="{00000000-0005-0000-0000-0000E2890000}"/>
    <cellStyle name="Normal 5 17 2 23 3 9" xfId="35299" xr:uid="{00000000-0005-0000-0000-0000E3890000}"/>
    <cellStyle name="Normal 5 17 2 23 4" xfId="35300" xr:uid="{00000000-0005-0000-0000-0000E4890000}"/>
    <cellStyle name="Normal 5 17 2 23 4 10" xfId="35301" xr:uid="{00000000-0005-0000-0000-0000E5890000}"/>
    <cellStyle name="Normal 5 17 2 23 4 2" xfId="35302" xr:uid="{00000000-0005-0000-0000-0000E6890000}"/>
    <cellStyle name="Normal 5 17 2 23 4 3" xfId="35303" xr:uid="{00000000-0005-0000-0000-0000E7890000}"/>
    <cellStyle name="Normal 5 17 2 23 4 4" xfId="35304" xr:uid="{00000000-0005-0000-0000-0000E8890000}"/>
    <cellStyle name="Normal 5 17 2 23 4 5" xfId="35305" xr:uid="{00000000-0005-0000-0000-0000E9890000}"/>
    <cellStyle name="Normal 5 17 2 23 4 6" xfId="35306" xr:uid="{00000000-0005-0000-0000-0000EA890000}"/>
    <cellStyle name="Normal 5 17 2 23 4 7" xfId="35307" xr:uid="{00000000-0005-0000-0000-0000EB890000}"/>
    <cellStyle name="Normal 5 17 2 23 4 8" xfId="35308" xr:uid="{00000000-0005-0000-0000-0000EC890000}"/>
    <cellStyle name="Normal 5 17 2 23 4 9" xfId="35309" xr:uid="{00000000-0005-0000-0000-0000ED890000}"/>
    <cellStyle name="Normal 5 17 2 23 5" xfId="35310" xr:uid="{00000000-0005-0000-0000-0000EE890000}"/>
    <cellStyle name="Normal 5 17 2 23 5 10" xfId="35311" xr:uid="{00000000-0005-0000-0000-0000EF890000}"/>
    <cellStyle name="Normal 5 17 2 23 5 2" xfId="35312" xr:uid="{00000000-0005-0000-0000-0000F0890000}"/>
    <cellStyle name="Normal 5 17 2 23 5 3" xfId="35313" xr:uid="{00000000-0005-0000-0000-0000F1890000}"/>
    <cellStyle name="Normal 5 17 2 23 5 4" xfId="35314" xr:uid="{00000000-0005-0000-0000-0000F2890000}"/>
    <cellStyle name="Normal 5 17 2 23 5 5" xfId="35315" xr:uid="{00000000-0005-0000-0000-0000F3890000}"/>
    <cellStyle name="Normal 5 17 2 23 5 6" xfId="35316" xr:uid="{00000000-0005-0000-0000-0000F4890000}"/>
    <cellStyle name="Normal 5 17 2 23 5 7" xfId="35317" xr:uid="{00000000-0005-0000-0000-0000F5890000}"/>
    <cellStyle name="Normal 5 17 2 23 5 8" xfId="35318" xr:uid="{00000000-0005-0000-0000-0000F6890000}"/>
    <cellStyle name="Normal 5 17 2 23 5 9" xfId="35319" xr:uid="{00000000-0005-0000-0000-0000F7890000}"/>
    <cellStyle name="Normal 5 17 2 23 6" xfId="35320" xr:uid="{00000000-0005-0000-0000-0000F8890000}"/>
    <cellStyle name="Normal 5 17 2 23 7" xfId="35321" xr:uid="{00000000-0005-0000-0000-0000F9890000}"/>
    <cellStyle name="Normal 5 17 2 23 8" xfId="35322" xr:uid="{00000000-0005-0000-0000-0000FA890000}"/>
    <cellStyle name="Normal 5 17 2 23 9" xfId="35323" xr:uid="{00000000-0005-0000-0000-0000FB890000}"/>
    <cellStyle name="Normal 5 17 2 24" xfId="35324" xr:uid="{00000000-0005-0000-0000-0000FC890000}"/>
    <cellStyle name="Normal 5 17 2 24 10" xfId="35325" xr:uid="{00000000-0005-0000-0000-0000FD890000}"/>
    <cellStyle name="Normal 5 17 2 24 11" xfId="35326" xr:uid="{00000000-0005-0000-0000-0000FE890000}"/>
    <cellStyle name="Normal 5 17 2 24 12" xfId="35327" xr:uid="{00000000-0005-0000-0000-0000FF890000}"/>
    <cellStyle name="Normal 5 17 2 24 13" xfId="35328" xr:uid="{00000000-0005-0000-0000-0000008A0000}"/>
    <cellStyle name="Normal 5 17 2 24 14" xfId="35329" xr:uid="{00000000-0005-0000-0000-0000018A0000}"/>
    <cellStyle name="Normal 5 17 2 24 2" xfId="35330" xr:uid="{00000000-0005-0000-0000-0000028A0000}"/>
    <cellStyle name="Normal 5 17 2 24 2 10" xfId="35331" xr:uid="{00000000-0005-0000-0000-0000038A0000}"/>
    <cellStyle name="Normal 5 17 2 24 2 2" xfId="35332" xr:uid="{00000000-0005-0000-0000-0000048A0000}"/>
    <cellStyle name="Normal 5 17 2 24 2 3" xfId="35333" xr:uid="{00000000-0005-0000-0000-0000058A0000}"/>
    <cellStyle name="Normal 5 17 2 24 2 4" xfId="35334" xr:uid="{00000000-0005-0000-0000-0000068A0000}"/>
    <cellStyle name="Normal 5 17 2 24 2 5" xfId="35335" xr:uid="{00000000-0005-0000-0000-0000078A0000}"/>
    <cellStyle name="Normal 5 17 2 24 2 6" xfId="35336" xr:uid="{00000000-0005-0000-0000-0000088A0000}"/>
    <cellStyle name="Normal 5 17 2 24 2 7" xfId="35337" xr:uid="{00000000-0005-0000-0000-0000098A0000}"/>
    <cellStyle name="Normal 5 17 2 24 2 8" xfId="35338" xr:uid="{00000000-0005-0000-0000-00000A8A0000}"/>
    <cellStyle name="Normal 5 17 2 24 2 9" xfId="35339" xr:uid="{00000000-0005-0000-0000-00000B8A0000}"/>
    <cellStyle name="Normal 5 17 2 24 3" xfId="35340" xr:uid="{00000000-0005-0000-0000-00000C8A0000}"/>
    <cellStyle name="Normal 5 17 2 24 3 10" xfId="35341" xr:uid="{00000000-0005-0000-0000-00000D8A0000}"/>
    <cellStyle name="Normal 5 17 2 24 3 2" xfId="35342" xr:uid="{00000000-0005-0000-0000-00000E8A0000}"/>
    <cellStyle name="Normal 5 17 2 24 3 3" xfId="35343" xr:uid="{00000000-0005-0000-0000-00000F8A0000}"/>
    <cellStyle name="Normal 5 17 2 24 3 4" xfId="35344" xr:uid="{00000000-0005-0000-0000-0000108A0000}"/>
    <cellStyle name="Normal 5 17 2 24 3 5" xfId="35345" xr:uid="{00000000-0005-0000-0000-0000118A0000}"/>
    <cellStyle name="Normal 5 17 2 24 3 6" xfId="35346" xr:uid="{00000000-0005-0000-0000-0000128A0000}"/>
    <cellStyle name="Normal 5 17 2 24 3 7" xfId="35347" xr:uid="{00000000-0005-0000-0000-0000138A0000}"/>
    <cellStyle name="Normal 5 17 2 24 3 8" xfId="35348" xr:uid="{00000000-0005-0000-0000-0000148A0000}"/>
    <cellStyle name="Normal 5 17 2 24 3 9" xfId="35349" xr:uid="{00000000-0005-0000-0000-0000158A0000}"/>
    <cellStyle name="Normal 5 17 2 24 4" xfId="35350" xr:uid="{00000000-0005-0000-0000-0000168A0000}"/>
    <cellStyle name="Normal 5 17 2 24 4 10" xfId="35351" xr:uid="{00000000-0005-0000-0000-0000178A0000}"/>
    <cellStyle name="Normal 5 17 2 24 4 2" xfId="35352" xr:uid="{00000000-0005-0000-0000-0000188A0000}"/>
    <cellStyle name="Normal 5 17 2 24 4 3" xfId="35353" xr:uid="{00000000-0005-0000-0000-0000198A0000}"/>
    <cellStyle name="Normal 5 17 2 24 4 4" xfId="35354" xr:uid="{00000000-0005-0000-0000-00001A8A0000}"/>
    <cellStyle name="Normal 5 17 2 24 4 5" xfId="35355" xr:uid="{00000000-0005-0000-0000-00001B8A0000}"/>
    <cellStyle name="Normal 5 17 2 24 4 6" xfId="35356" xr:uid="{00000000-0005-0000-0000-00001C8A0000}"/>
    <cellStyle name="Normal 5 17 2 24 4 7" xfId="35357" xr:uid="{00000000-0005-0000-0000-00001D8A0000}"/>
    <cellStyle name="Normal 5 17 2 24 4 8" xfId="35358" xr:uid="{00000000-0005-0000-0000-00001E8A0000}"/>
    <cellStyle name="Normal 5 17 2 24 4 9" xfId="35359" xr:uid="{00000000-0005-0000-0000-00001F8A0000}"/>
    <cellStyle name="Normal 5 17 2 24 5" xfId="35360" xr:uid="{00000000-0005-0000-0000-0000208A0000}"/>
    <cellStyle name="Normal 5 17 2 24 5 10" xfId="35361" xr:uid="{00000000-0005-0000-0000-0000218A0000}"/>
    <cellStyle name="Normal 5 17 2 24 5 2" xfId="35362" xr:uid="{00000000-0005-0000-0000-0000228A0000}"/>
    <cellStyle name="Normal 5 17 2 24 5 3" xfId="35363" xr:uid="{00000000-0005-0000-0000-0000238A0000}"/>
    <cellStyle name="Normal 5 17 2 24 5 4" xfId="35364" xr:uid="{00000000-0005-0000-0000-0000248A0000}"/>
    <cellStyle name="Normal 5 17 2 24 5 5" xfId="35365" xr:uid="{00000000-0005-0000-0000-0000258A0000}"/>
    <cellStyle name="Normal 5 17 2 24 5 6" xfId="35366" xr:uid="{00000000-0005-0000-0000-0000268A0000}"/>
    <cellStyle name="Normal 5 17 2 24 5 7" xfId="35367" xr:uid="{00000000-0005-0000-0000-0000278A0000}"/>
    <cellStyle name="Normal 5 17 2 24 5 8" xfId="35368" xr:uid="{00000000-0005-0000-0000-0000288A0000}"/>
    <cellStyle name="Normal 5 17 2 24 5 9" xfId="35369" xr:uid="{00000000-0005-0000-0000-0000298A0000}"/>
    <cellStyle name="Normal 5 17 2 24 6" xfId="35370" xr:uid="{00000000-0005-0000-0000-00002A8A0000}"/>
    <cellStyle name="Normal 5 17 2 24 7" xfId="35371" xr:uid="{00000000-0005-0000-0000-00002B8A0000}"/>
    <cellStyle name="Normal 5 17 2 24 8" xfId="35372" xr:uid="{00000000-0005-0000-0000-00002C8A0000}"/>
    <cellStyle name="Normal 5 17 2 24 9" xfId="35373" xr:uid="{00000000-0005-0000-0000-00002D8A0000}"/>
    <cellStyle name="Normal 5 17 2 25" xfId="35374" xr:uid="{00000000-0005-0000-0000-00002E8A0000}"/>
    <cellStyle name="Normal 5 17 2 25 10" xfId="35375" xr:uid="{00000000-0005-0000-0000-00002F8A0000}"/>
    <cellStyle name="Normal 5 17 2 25 11" xfId="35376" xr:uid="{00000000-0005-0000-0000-0000308A0000}"/>
    <cellStyle name="Normal 5 17 2 25 12" xfId="35377" xr:uid="{00000000-0005-0000-0000-0000318A0000}"/>
    <cellStyle name="Normal 5 17 2 25 13" xfId="35378" xr:uid="{00000000-0005-0000-0000-0000328A0000}"/>
    <cellStyle name="Normal 5 17 2 25 14" xfId="35379" xr:uid="{00000000-0005-0000-0000-0000338A0000}"/>
    <cellStyle name="Normal 5 17 2 25 2" xfId="35380" xr:uid="{00000000-0005-0000-0000-0000348A0000}"/>
    <cellStyle name="Normal 5 17 2 25 2 10" xfId="35381" xr:uid="{00000000-0005-0000-0000-0000358A0000}"/>
    <cellStyle name="Normal 5 17 2 25 2 2" xfId="35382" xr:uid="{00000000-0005-0000-0000-0000368A0000}"/>
    <cellStyle name="Normal 5 17 2 25 2 3" xfId="35383" xr:uid="{00000000-0005-0000-0000-0000378A0000}"/>
    <cellStyle name="Normal 5 17 2 25 2 4" xfId="35384" xr:uid="{00000000-0005-0000-0000-0000388A0000}"/>
    <cellStyle name="Normal 5 17 2 25 2 5" xfId="35385" xr:uid="{00000000-0005-0000-0000-0000398A0000}"/>
    <cellStyle name="Normal 5 17 2 25 2 6" xfId="35386" xr:uid="{00000000-0005-0000-0000-00003A8A0000}"/>
    <cellStyle name="Normal 5 17 2 25 2 7" xfId="35387" xr:uid="{00000000-0005-0000-0000-00003B8A0000}"/>
    <cellStyle name="Normal 5 17 2 25 2 8" xfId="35388" xr:uid="{00000000-0005-0000-0000-00003C8A0000}"/>
    <cellStyle name="Normal 5 17 2 25 2 9" xfId="35389" xr:uid="{00000000-0005-0000-0000-00003D8A0000}"/>
    <cellStyle name="Normal 5 17 2 25 3" xfId="35390" xr:uid="{00000000-0005-0000-0000-00003E8A0000}"/>
    <cellStyle name="Normal 5 17 2 25 3 10" xfId="35391" xr:uid="{00000000-0005-0000-0000-00003F8A0000}"/>
    <cellStyle name="Normal 5 17 2 25 3 2" xfId="35392" xr:uid="{00000000-0005-0000-0000-0000408A0000}"/>
    <cellStyle name="Normal 5 17 2 25 3 3" xfId="35393" xr:uid="{00000000-0005-0000-0000-0000418A0000}"/>
    <cellStyle name="Normal 5 17 2 25 3 4" xfId="35394" xr:uid="{00000000-0005-0000-0000-0000428A0000}"/>
    <cellStyle name="Normal 5 17 2 25 3 5" xfId="35395" xr:uid="{00000000-0005-0000-0000-0000438A0000}"/>
    <cellStyle name="Normal 5 17 2 25 3 6" xfId="35396" xr:uid="{00000000-0005-0000-0000-0000448A0000}"/>
    <cellStyle name="Normal 5 17 2 25 3 7" xfId="35397" xr:uid="{00000000-0005-0000-0000-0000458A0000}"/>
    <cellStyle name="Normal 5 17 2 25 3 8" xfId="35398" xr:uid="{00000000-0005-0000-0000-0000468A0000}"/>
    <cellStyle name="Normal 5 17 2 25 3 9" xfId="35399" xr:uid="{00000000-0005-0000-0000-0000478A0000}"/>
    <cellStyle name="Normal 5 17 2 25 4" xfId="35400" xr:uid="{00000000-0005-0000-0000-0000488A0000}"/>
    <cellStyle name="Normal 5 17 2 25 4 10" xfId="35401" xr:uid="{00000000-0005-0000-0000-0000498A0000}"/>
    <cellStyle name="Normal 5 17 2 25 4 2" xfId="35402" xr:uid="{00000000-0005-0000-0000-00004A8A0000}"/>
    <cellStyle name="Normal 5 17 2 25 4 3" xfId="35403" xr:uid="{00000000-0005-0000-0000-00004B8A0000}"/>
    <cellStyle name="Normal 5 17 2 25 4 4" xfId="35404" xr:uid="{00000000-0005-0000-0000-00004C8A0000}"/>
    <cellStyle name="Normal 5 17 2 25 4 5" xfId="35405" xr:uid="{00000000-0005-0000-0000-00004D8A0000}"/>
    <cellStyle name="Normal 5 17 2 25 4 6" xfId="35406" xr:uid="{00000000-0005-0000-0000-00004E8A0000}"/>
    <cellStyle name="Normal 5 17 2 25 4 7" xfId="35407" xr:uid="{00000000-0005-0000-0000-00004F8A0000}"/>
    <cellStyle name="Normal 5 17 2 25 4 8" xfId="35408" xr:uid="{00000000-0005-0000-0000-0000508A0000}"/>
    <cellStyle name="Normal 5 17 2 25 4 9" xfId="35409" xr:uid="{00000000-0005-0000-0000-0000518A0000}"/>
    <cellStyle name="Normal 5 17 2 25 5" xfId="35410" xr:uid="{00000000-0005-0000-0000-0000528A0000}"/>
    <cellStyle name="Normal 5 17 2 25 5 10" xfId="35411" xr:uid="{00000000-0005-0000-0000-0000538A0000}"/>
    <cellStyle name="Normal 5 17 2 25 5 2" xfId="35412" xr:uid="{00000000-0005-0000-0000-0000548A0000}"/>
    <cellStyle name="Normal 5 17 2 25 5 3" xfId="35413" xr:uid="{00000000-0005-0000-0000-0000558A0000}"/>
    <cellStyle name="Normal 5 17 2 25 5 4" xfId="35414" xr:uid="{00000000-0005-0000-0000-0000568A0000}"/>
    <cellStyle name="Normal 5 17 2 25 5 5" xfId="35415" xr:uid="{00000000-0005-0000-0000-0000578A0000}"/>
    <cellStyle name="Normal 5 17 2 25 5 6" xfId="35416" xr:uid="{00000000-0005-0000-0000-0000588A0000}"/>
    <cellStyle name="Normal 5 17 2 25 5 7" xfId="35417" xr:uid="{00000000-0005-0000-0000-0000598A0000}"/>
    <cellStyle name="Normal 5 17 2 25 5 8" xfId="35418" xr:uid="{00000000-0005-0000-0000-00005A8A0000}"/>
    <cellStyle name="Normal 5 17 2 25 5 9" xfId="35419" xr:uid="{00000000-0005-0000-0000-00005B8A0000}"/>
    <cellStyle name="Normal 5 17 2 25 6" xfId="35420" xr:uid="{00000000-0005-0000-0000-00005C8A0000}"/>
    <cellStyle name="Normal 5 17 2 25 7" xfId="35421" xr:uid="{00000000-0005-0000-0000-00005D8A0000}"/>
    <cellStyle name="Normal 5 17 2 25 8" xfId="35422" xr:uid="{00000000-0005-0000-0000-00005E8A0000}"/>
    <cellStyle name="Normal 5 17 2 25 9" xfId="35423" xr:uid="{00000000-0005-0000-0000-00005F8A0000}"/>
    <cellStyle name="Normal 5 17 2 26" xfId="35424" xr:uid="{00000000-0005-0000-0000-0000608A0000}"/>
    <cellStyle name="Normal 5 17 2 26 10" xfId="35425" xr:uid="{00000000-0005-0000-0000-0000618A0000}"/>
    <cellStyle name="Normal 5 17 2 26 11" xfId="35426" xr:uid="{00000000-0005-0000-0000-0000628A0000}"/>
    <cellStyle name="Normal 5 17 2 26 12" xfId="35427" xr:uid="{00000000-0005-0000-0000-0000638A0000}"/>
    <cellStyle name="Normal 5 17 2 26 13" xfId="35428" xr:uid="{00000000-0005-0000-0000-0000648A0000}"/>
    <cellStyle name="Normal 5 17 2 26 14" xfId="35429" xr:uid="{00000000-0005-0000-0000-0000658A0000}"/>
    <cellStyle name="Normal 5 17 2 26 2" xfId="35430" xr:uid="{00000000-0005-0000-0000-0000668A0000}"/>
    <cellStyle name="Normal 5 17 2 26 2 10" xfId="35431" xr:uid="{00000000-0005-0000-0000-0000678A0000}"/>
    <cellStyle name="Normal 5 17 2 26 2 2" xfId="35432" xr:uid="{00000000-0005-0000-0000-0000688A0000}"/>
    <cellStyle name="Normal 5 17 2 26 2 3" xfId="35433" xr:uid="{00000000-0005-0000-0000-0000698A0000}"/>
    <cellStyle name="Normal 5 17 2 26 2 4" xfId="35434" xr:uid="{00000000-0005-0000-0000-00006A8A0000}"/>
    <cellStyle name="Normal 5 17 2 26 2 5" xfId="35435" xr:uid="{00000000-0005-0000-0000-00006B8A0000}"/>
    <cellStyle name="Normal 5 17 2 26 2 6" xfId="35436" xr:uid="{00000000-0005-0000-0000-00006C8A0000}"/>
    <cellStyle name="Normal 5 17 2 26 2 7" xfId="35437" xr:uid="{00000000-0005-0000-0000-00006D8A0000}"/>
    <cellStyle name="Normal 5 17 2 26 2 8" xfId="35438" xr:uid="{00000000-0005-0000-0000-00006E8A0000}"/>
    <cellStyle name="Normal 5 17 2 26 2 9" xfId="35439" xr:uid="{00000000-0005-0000-0000-00006F8A0000}"/>
    <cellStyle name="Normal 5 17 2 26 3" xfId="35440" xr:uid="{00000000-0005-0000-0000-0000708A0000}"/>
    <cellStyle name="Normal 5 17 2 26 3 10" xfId="35441" xr:uid="{00000000-0005-0000-0000-0000718A0000}"/>
    <cellStyle name="Normal 5 17 2 26 3 2" xfId="35442" xr:uid="{00000000-0005-0000-0000-0000728A0000}"/>
    <cellStyle name="Normal 5 17 2 26 3 3" xfId="35443" xr:uid="{00000000-0005-0000-0000-0000738A0000}"/>
    <cellStyle name="Normal 5 17 2 26 3 4" xfId="35444" xr:uid="{00000000-0005-0000-0000-0000748A0000}"/>
    <cellStyle name="Normal 5 17 2 26 3 5" xfId="35445" xr:uid="{00000000-0005-0000-0000-0000758A0000}"/>
    <cellStyle name="Normal 5 17 2 26 3 6" xfId="35446" xr:uid="{00000000-0005-0000-0000-0000768A0000}"/>
    <cellStyle name="Normal 5 17 2 26 3 7" xfId="35447" xr:uid="{00000000-0005-0000-0000-0000778A0000}"/>
    <cellStyle name="Normal 5 17 2 26 3 8" xfId="35448" xr:uid="{00000000-0005-0000-0000-0000788A0000}"/>
    <cellStyle name="Normal 5 17 2 26 3 9" xfId="35449" xr:uid="{00000000-0005-0000-0000-0000798A0000}"/>
    <cellStyle name="Normal 5 17 2 26 4" xfId="35450" xr:uid="{00000000-0005-0000-0000-00007A8A0000}"/>
    <cellStyle name="Normal 5 17 2 26 4 10" xfId="35451" xr:uid="{00000000-0005-0000-0000-00007B8A0000}"/>
    <cellStyle name="Normal 5 17 2 26 4 2" xfId="35452" xr:uid="{00000000-0005-0000-0000-00007C8A0000}"/>
    <cellStyle name="Normal 5 17 2 26 4 3" xfId="35453" xr:uid="{00000000-0005-0000-0000-00007D8A0000}"/>
    <cellStyle name="Normal 5 17 2 26 4 4" xfId="35454" xr:uid="{00000000-0005-0000-0000-00007E8A0000}"/>
    <cellStyle name="Normal 5 17 2 26 4 5" xfId="35455" xr:uid="{00000000-0005-0000-0000-00007F8A0000}"/>
    <cellStyle name="Normal 5 17 2 26 4 6" xfId="35456" xr:uid="{00000000-0005-0000-0000-0000808A0000}"/>
    <cellStyle name="Normal 5 17 2 26 4 7" xfId="35457" xr:uid="{00000000-0005-0000-0000-0000818A0000}"/>
    <cellStyle name="Normal 5 17 2 26 4 8" xfId="35458" xr:uid="{00000000-0005-0000-0000-0000828A0000}"/>
    <cellStyle name="Normal 5 17 2 26 4 9" xfId="35459" xr:uid="{00000000-0005-0000-0000-0000838A0000}"/>
    <cellStyle name="Normal 5 17 2 26 5" xfId="35460" xr:uid="{00000000-0005-0000-0000-0000848A0000}"/>
    <cellStyle name="Normal 5 17 2 26 5 10" xfId="35461" xr:uid="{00000000-0005-0000-0000-0000858A0000}"/>
    <cellStyle name="Normal 5 17 2 26 5 2" xfId="35462" xr:uid="{00000000-0005-0000-0000-0000868A0000}"/>
    <cellStyle name="Normal 5 17 2 26 5 3" xfId="35463" xr:uid="{00000000-0005-0000-0000-0000878A0000}"/>
    <cellStyle name="Normal 5 17 2 26 5 4" xfId="35464" xr:uid="{00000000-0005-0000-0000-0000888A0000}"/>
    <cellStyle name="Normal 5 17 2 26 5 5" xfId="35465" xr:uid="{00000000-0005-0000-0000-0000898A0000}"/>
    <cellStyle name="Normal 5 17 2 26 5 6" xfId="35466" xr:uid="{00000000-0005-0000-0000-00008A8A0000}"/>
    <cellStyle name="Normal 5 17 2 26 5 7" xfId="35467" xr:uid="{00000000-0005-0000-0000-00008B8A0000}"/>
    <cellStyle name="Normal 5 17 2 26 5 8" xfId="35468" xr:uid="{00000000-0005-0000-0000-00008C8A0000}"/>
    <cellStyle name="Normal 5 17 2 26 5 9" xfId="35469" xr:uid="{00000000-0005-0000-0000-00008D8A0000}"/>
    <cellStyle name="Normal 5 17 2 26 6" xfId="35470" xr:uid="{00000000-0005-0000-0000-00008E8A0000}"/>
    <cellStyle name="Normal 5 17 2 26 7" xfId="35471" xr:uid="{00000000-0005-0000-0000-00008F8A0000}"/>
    <cellStyle name="Normal 5 17 2 26 8" xfId="35472" xr:uid="{00000000-0005-0000-0000-0000908A0000}"/>
    <cellStyle name="Normal 5 17 2 26 9" xfId="35473" xr:uid="{00000000-0005-0000-0000-0000918A0000}"/>
    <cellStyle name="Normal 5 17 2 27" xfId="35474" xr:uid="{00000000-0005-0000-0000-0000928A0000}"/>
    <cellStyle name="Normal 5 17 2 27 10" xfId="35475" xr:uid="{00000000-0005-0000-0000-0000938A0000}"/>
    <cellStyle name="Normal 5 17 2 27 11" xfId="35476" xr:uid="{00000000-0005-0000-0000-0000948A0000}"/>
    <cellStyle name="Normal 5 17 2 27 12" xfId="35477" xr:uid="{00000000-0005-0000-0000-0000958A0000}"/>
    <cellStyle name="Normal 5 17 2 27 13" xfId="35478" xr:uid="{00000000-0005-0000-0000-0000968A0000}"/>
    <cellStyle name="Normal 5 17 2 27 14" xfId="35479" xr:uid="{00000000-0005-0000-0000-0000978A0000}"/>
    <cellStyle name="Normal 5 17 2 27 2" xfId="35480" xr:uid="{00000000-0005-0000-0000-0000988A0000}"/>
    <cellStyle name="Normal 5 17 2 27 2 10" xfId="35481" xr:uid="{00000000-0005-0000-0000-0000998A0000}"/>
    <cellStyle name="Normal 5 17 2 27 2 2" xfId="35482" xr:uid="{00000000-0005-0000-0000-00009A8A0000}"/>
    <cellStyle name="Normal 5 17 2 27 2 3" xfId="35483" xr:uid="{00000000-0005-0000-0000-00009B8A0000}"/>
    <cellStyle name="Normal 5 17 2 27 2 4" xfId="35484" xr:uid="{00000000-0005-0000-0000-00009C8A0000}"/>
    <cellStyle name="Normal 5 17 2 27 2 5" xfId="35485" xr:uid="{00000000-0005-0000-0000-00009D8A0000}"/>
    <cellStyle name="Normal 5 17 2 27 2 6" xfId="35486" xr:uid="{00000000-0005-0000-0000-00009E8A0000}"/>
    <cellStyle name="Normal 5 17 2 27 2 7" xfId="35487" xr:uid="{00000000-0005-0000-0000-00009F8A0000}"/>
    <cellStyle name="Normal 5 17 2 27 2 8" xfId="35488" xr:uid="{00000000-0005-0000-0000-0000A08A0000}"/>
    <cellStyle name="Normal 5 17 2 27 2 9" xfId="35489" xr:uid="{00000000-0005-0000-0000-0000A18A0000}"/>
    <cellStyle name="Normal 5 17 2 27 3" xfId="35490" xr:uid="{00000000-0005-0000-0000-0000A28A0000}"/>
    <cellStyle name="Normal 5 17 2 27 3 10" xfId="35491" xr:uid="{00000000-0005-0000-0000-0000A38A0000}"/>
    <cellStyle name="Normal 5 17 2 27 3 2" xfId="35492" xr:uid="{00000000-0005-0000-0000-0000A48A0000}"/>
    <cellStyle name="Normal 5 17 2 27 3 3" xfId="35493" xr:uid="{00000000-0005-0000-0000-0000A58A0000}"/>
    <cellStyle name="Normal 5 17 2 27 3 4" xfId="35494" xr:uid="{00000000-0005-0000-0000-0000A68A0000}"/>
    <cellStyle name="Normal 5 17 2 27 3 5" xfId="35495" xr:uid="{00000000-0005-0000-0000-0000A78A0000}"/>
    <cellStyle name="Normal 5 17 2 27 3 6" xfId="35496" xr:uid="{00000000-0005-0000-0000-0000A88A0000}"/>
    <cellStyle name="Normal 5 17 2 27 3 7" xfId="35497" xr:uid="{00000000-0005-0000-0000-0000A98A0000}"/>
    <cellStyle name="Normal 5 17 2 27 3 8" xfId="35498" xr:uid="{00000000-0005-0000-0000-0000AA8A0000}"/>
    <cellStyle name="Normal 5 17 2 27 3 9" xfId="35499" xr:uid="{00000000-0005-0000-0000-0000AB8A0000}"/>
    <cellStyle name="Normal 5 17 2 27 4" xfId="35500" xr:uid="{00000000-0005-0000-0000-0000AC8A0000}"/>
    <cellStyle name="Normal 5 17 2 27 4 10" xfId="35501" xr:uid="{00000000-0005-0000-0000-0000AD8A0000}"/>
    <cellStyle name="Normal 5 17 2 27 4 2" xfId="35502" xr:uid="{00000000-0005-0000-0000-0000AE8A0000}"/>
    <cellStyle name="Normal 5 17 2 27 4 3" xfId="35503" xr:uid="{00000000-0005-0000-0000-0000AF8A0000}"/>
    <cellStyle name="Normal 5 17 2 27 4 4" xfId="35504" xr:uid="{00000000-0005-0000-0000-0000B08A0000}"/>
    <cellStyle name="Normal 5 17 2 27 4 5" xfId="35505" xr:uid="{00000000-0005-0000-0000-0000B18A0000}"/>
    <cellStyle name="Normal 5 17 2 27 4 6" xfId="35506" xr:uid="{00000000-0005-0000-0000-0000B28A0000}"/>
    <cellStyle name="Normal 5 17 2 27 4 7" xfId="35507" xr:uid="{00000000-0005-0000-0000-0000B38A0000}"/>
    <cellStyle name="Normal 5 17 2 27 4 8" xfId="35508" xr:uid="{00000000-0005-0000-0000-0000B48A0000}"/>
    <cellStyle name="Normal 5 17 2 27 4 9" xfId="35509" xr:uid="{00000000-0005-0000-0000-0000B58A0000}"/>
    <cellStyle name="Normal 5 17 2 27 5" xfId="35510" xr:uid="{00000000-0005-0000-0000-0000B68A0000}"/>
    <cellStyle name="Normal 5 17 2 27 5 10" xfId="35511" xr:uid="{00000000-0005-0000-0000-0000B78A0000}"/>
    <cellStyle name="Normal 5 17 2 27 5 2" xfId="35512" xr:uid="{00000000-0005-0000-0000-0000B88A0000}"/>
    <cellStyle name="Normal 5 17 2 27 5 3" xfId="35513" xr:uid="{00000000-0005-0000-0000-0000B98A0000}"/>
    <cellStyle name="Normal 5 17 2 27 5 4" xfId="35514" xr:uid="{00000000-0005-0000-0000-0000BA8A0000}"/>
    <cellStyle name="Normal 5 17 2 27 5 5" xfId="35515" xr:uid="{00000000-0005-0000-0000-0000BB8A0000}"/>
    <cellStyle name="Normal 5 17 2 27 5 6" xfId="35516" xr:uid="{00000000-0005-0000-0000-0000BC8A0000}"/>
    <cellStyle name="Normal 5 17 2 27 5 7" xfId="35517" xr:uid="{00000000-0005-0000-0000-0000BD8A0000}"/>
    <cellStyle name="Normal 5 17 2 27 5 8" xfId="35518" xr:uid="{00000000-0005-0000-0000-0000BE8A0000}"/>
    <cellStyle name="Normal 5 17 2 27 5 9" xfId="35519" xr:uid="{00000000-0005-0000-0000-0000BF8A0000}"/>
    <cellStyle name="Normal 5 17 2 27 6" xfId="35520" xr:uid="{00000000-0005-0000-0000-0000C08A0000}"/>
    <cellStyle name="Normal 5 17 2 27 7" xfId="35521" xr:uid="{00000000-0005-0000-0000-0000C18A0000}"/>
    <cellStyle name="Normal 5 17 2 27 8" xfId="35522" xr:uid="{00000000-0005-0000-0000-0000C28A0000}"/>
    <cellStyle name="Normal 5 17 2 27 9" xfId="35523" xr:uid="{00000000-0005-0000-0000-0000C38A0000}"/>
    <cellStyle name="Normal 5 17 2 28" xfId="35524" xr:uid="{00000000-0005-0000-0000-0000C48A0000}"/>
    <cellStyle name="Normal 5 17 2 28 10" xfId="35525" xr:uid="{00000000-0005-0000-0000-0000C58A0000}"/>
    <cellStyle name="Normal 5 17 2 28 11" xfId="35526" xr:uid="{00000000-0005-0000-0000-0000C68A0000}"/>
    <cellStyle name="Normal 5 17 2 28 12" xfId="35527" xr:uid="{00000000-0005-0000-0000-0000C78A0000}"/>
    <cellStyle name="Normal 5 17 2 28 13" xfId="35528" xr:uid="{00000000-0005-0000-0000-0000C88A0000}"/>
    <cellStyle name="Normal 5 17 2 28 14" xfId="35529" xr:uid="{00000000-0005-0000-0000-0000C98A0000}"/>
    <cellStyle name="Normal 5 17 2 28 2" xfId="35530" xr:uid="{00000000-0005-0000-0000-0000CA8A0000}"/>
    <cellStyle name="Normal 5 17 2 28 2 10" xfId="35531" xr:uid="{00000000-0005-0000-0000-0000CB8A0000}"/>
    <cellStyle name="Normal 5 17 2 28 2 2" xfId="35532" xr:uid="{00000000-0005-0000-0000-0000CC8A0000}"/>
    <cellStyle name="Normal 5 17 2 28 2 3" xfId="35533" xr:uid="{00000000-0005-0000-0000-0000CD8A0000}"/>
    <cellStyle name="Normal 5 17 2 28 2 4" xfId="35534" xr:uid="{00000000-0005-0000-0000-0000CE8A0000}"/>
    <cellStyle name="Normal 5 17 2 28 2 5" xfId="35535" xr:uid="{00000000-0005-0000-0000-0000CF8A0000}"/>
    <cellStyle name="Normal 5 17 2 28 2 6" xfId="35536" xr:uid="{00000000-0005-0000-0000-0000D08A0000}"/>
    <cellStyle name="Normal 5 17 2 28 2 7" xfId="35537" xr:uid="{00000000-0005-0000-0000-0000D18A0000}"/>
    <cellStyle name="Normal 5 17 2 28 2 8" xfId="35538" xr:uid="{00000000-0005-0000-0000-0000D28A0000}"/>
    <cellStyle name="Normal 5 17 2 28 2 9" xfId="35539" xr:uid="{00000000-0005-0000-0000-0000D38A0000}"/>
    <cellStyle name="Normal 5 17 2 28 3" xfId="35540" xr:uid="{00000000-0005-0000-0000-0000D48A0000}"/>
    <cellStyle name="Normal 5 17 2 28 3 10" xfId="35541" xr:uid="{00000000-0005-0000-0000-0000D58A0000}"/>
    <cellStyle name="Normal 5 17 2 28 3 2" xfId="35542" xr:uid="{00000000-0005-0000-0000-0000D68A0000}"/>
    <cellStyle name="Normal 5 17 2 28 3 3" xfId="35543" xr:uid="{00000000-0005-0000-0000-0000D78A0000}"/>
    <cellStyle name="Normal 5 17 2 28 3 4" xfId="35544" xr:uid="{00000000-0005-0000-0000-0000D88A0000}"/>
    <cellStyle name="Normal 5 17 2 28 3 5" xfId="35545" xr:uid="{00000000-0005-0000-0000-0000D98A0000}"/>
    <cellStyle name="Normal 5 17 2 28 3 6" xfId="35546" xr:uid="{00000000-0005-0000-0000-0000DA8A0000}"/>
    <cellStyle name="Normal 5 17 2 28 3 7" xfId="35547" xr:uid="{00000000-0005-0000-0000-0000DB8A0000}"/>
    <cellStyle name="Normal 5 17 2 28 3 8" xfId="35548" xr:uid="{00000000-0005-0000-0000-0000DC8A0000}"/>
    <cellStyle name="Normal 5 17 2 28 3 9" xfId="35549" xr:uid="{00000000-0005-0000-0000-0000DD8A0000}"/>
    <cellStyle name="Normal 5 17 2 28 4" xfId="35550" xr:uid="{00000000-0005-0000-0000-0000DE8A0000}"/>
    <cellStyle name="Normal 5 17 2 28 4 10" xfId="35551" xr:uid="{00000000-0005-0000-0000-0000DF8A0000}"/>
    <cellStyle name="Normal 5 17 2 28 4 2" xfId="35552" xr:uid="{00000000-0005-0000-0000-0000E08A0000}"/>
    <cellStyle name="Normal 5 17 2 28 4 3" xfId="35553" xr:uid="{00000000-0005-0000-0000-0000E18A0000}"/>
    <cellStyle name="Normal 5 17 2 28 4 4" xfId="35554" xr:uid="{00000000-0005-0000-0000-0000E28A0000}"/>
    <cellStyle name="Normal 5 17 2 28 4 5" xfId="35555" xr:uid="{00000000-0005-0000-0000-0000E38A0000}"/>
    <cellStyle name="Normal 5 17 2 28 4 6" xfId="35556" xr:uid="{00000000-0005-0000-0000-0000E48A0000}"/>
    <cellStyle name="Normal 5 17 2 28 4 7" xfId="35557" xr:uid="{00000000-0005-0000-0000-0000E58A0000}"/>
    <cellStyle name="Normal 5 17 2 28 4 8" xfId="35558" xr:uid="{00000000-0005-0000-0000-0000E68A0000}"/>
    <cellStyle name="Normal 5 17 2 28 4 9" xfId="35559" xr:uid="{00000000-0005-0000-0000-0000E78A0000}"/>
    <cellStyle name="Normal 5 17 2 28 5" xfId="35560" xr:uid="{00000000-0005-0000-0000-0000E88A0000}"/>
    <cellStyle name="Normal 5 17 2 28 5 10" xfId="35561" xr:uid="{00000000-0005-0000-0000-0000E98A0000}"/>
    <cellStyle name="Normal 5 17 2 28 5 2" xfId="35562" xr:uid="{00000000-0005-0000-0000-0000EA8A0000}"/>
    <cellStyle name="Normal 5 17 2 28 5 3" xfId="35563" xr:uid="{00000000-0005-0000-0000-0000EB8A0000}"/>
    <cellStyle name="Normal 5 17 2 28 5 4" xfId="35564" xr:uid="{00000000-0005-0000-0000-0000EC8A0000}"/>
    <cellStyle name="Normal 5 17 2 28 5 5" xfId="35565" xr:uid="{00000000-0005-0000-0000-0000ED8A0000}"/>
    <cellStyle name="Normal 5 17 2 28 5 6" xfId="35566" xr:uid="{00000000-0005-0000-0000-0000EE8A0000}"/>
    <cellStyle name="Normal 5 17 2 28 5 7" xfId="35567" xr:uid="{00000000-0005-0000-0000-0000EF8A0000}"/>
    <cellStyle name="Normal 5 17 2 28 5 8" xfId="35568" xr:uid="{00000000-0005-0000-0000-0000F08A0000}"/>
    <cellStyle name="Normal 5 17 2 28 5 9" xfId="35569" xr:uid="{00000000-0005-0000-0000-0000F18A0000}"/>
    <cellStyle name="Normal 5 17 2 28 6" xfId="35570" xr:uid="{00000000-0005-0000-0000-0000F28A0000}"/>
    <cellStyle name="Normal 5 17 2 28 7" xfId="35571" xr:uid="{00000000-0005-0000-0000-0000F38A0000}"/>
    <cellStyle name="Normal 5 17 2 28 8" xfId="35572" xr:uid="{00000000-0005-0000-0000-0000F48A0000}"/>
    <cellStyle name="Normal 5 17 2 28 9" xfId="35573" xr:uid="{00000000-0005-0000-0000-0000F58A0000}"/>
    <cellStyle name="Normal 5 17 2 29" xfId="35574" xr:uid="{00000000-0005-0000-0000-0000F68A0000}"/>
    <cellStyle name="Normal 5 17 2 29 10" xfId="35575" xr:uid="{00000000-0005-0000-0000-0000F78A0000}"/>
    <cellStyle name="Normal 5 17 2 29 11" xfId="35576" xr:uid="{00000000-0005-0000-0000-0000F88A0000}"/>
    <cellStyle name="Normal 5 17 2 29 12" xfId="35577" xr:uid="{00000000-0005-0000-0000-0000F98A0000}"/>
    <cellStyle name="Normal 5 17 2 29 13" xfId="35578" xr:uid="{00000000-0005-0000-0000-0000FA8A0000}"/>
    <cellStyle name="Normal 5 17 2 29 14" xfId="35579" xr:uid="{00000000-0005-0000-0000-0000FB8A0000}"/>
    <cellStyle name="Normal 5 17 2 29 2" xfId="35580" xr:uid="{00000000-0005-0000-0000-0000FC8A0000}"/>
    <cellStyle name="Normal 5 17 2 29 2 10" xfId="35581" xr:uid="{00000000-0005-0000-0000-0000FD8A0000}"/>
    <cellStyle name="Normal 5 17 2 29 2 2" xfId="35582" xr:uid="{00000000-0005-0000-0000-0000FE8A0000}"/>
    <cellStyle name="Normal 5 17 2 29 2 3" xfId="35583" xr:uid="{00000000-0005-0000-0000-0000FF8A0000}"/>
    <cellStyle name="Normal 5 17 2 29 2 4" xfId="35584" xr:uid="{00000000-0005-0000-0000-0000008B0000}"/>
    <cellStyle name="Normal 5 17 2 29 2 5" xfId="35585" xr:uid="{00000000-0005-0000-0000-0000018B0000}"/>
    <cellStyle name="Normal 5 17 2 29 2 6" xfId="35586" xr:uid="{00000000-0005-0000-0000-0000028B0000}"/>
    <cellStyle name="Normal 5 17 2 29 2 7" xfId="35587" xr:uid="{00000000-0005-0000-0000-0000038B0000}"/>
    <cellStyle name="Normal 5 17 2 29 2 8" xfId="35588" xr:uid="{00000000-0005-0000-0000-0000048B0000}"/>
    <cellStyle name="Normal 5 17 2 29 2 9" xfId="35589" xr:uid="{00000000-0005-0000-0000-0000058B0000}"/>
    <cellStyle name="Normal 5 17 2 29 3" xfId="35590" xr:uid="{00000000-0005-0000-0000-0000068B0000}"/>
    <cellStyle name="Normal 5 17 2 29 3 10" xfId="35591" xr:uid="{00000000-0005-0000-0000-0000078B0000}"/>
    <cellStyle name="Normal 5 17 2 29 3 2" xfId="35592" xr:uid="{00000000-0005-0000-0000-0000088B0000}"/>
    <cellStyle name="Normal 5 17 2 29 3 3" xfId="35593" xr:uid="{00000000-0005-0000-0000-0000098B0000}"/>
    <cellStyle name="Normal 5 17 2 29 3 4" xfId="35594" xr:uid="{00000000-0005-0000-0000-00000A8B0000}"/>
    <cellStyle name="Normal 5 17 2 29 3 5" xfId="35595" xr:uid="{00000000-0005-0000-0000-00000B8B0000}"/>
    <cellStyle name="Normal 5 17 2 29 3 6" xfId="35596" xr:uid="{00000000-0005-0000-0000-00000C8B0000}"/>
    <cellStyle name="Normal 5 17 2 29 3 7" xfId="35597" xr:uid="{00000000-0005-0000-0000-00000D8B0000}"/>
    <cellStyle name="Normal 5 17 2 29 3 8" xfId="35598" xr:uid="{00000000-0005-0000-0000-00000E8B0000}"/>
    <cellStyle name="Normal 5 17 2 29 3 9" xfId="35599" xr:uid="{00000000-0005-0000-0000-00000F8B0000}"/>
    <cellStyle name="Normal 5 17 2 29 4" xfId="35600" xr:uid="{00000000-0005-0000-0000-0000108B0000}"/>
    <cellStyle name="Normal 5 17 2 29 4 10" xfId="35601" xr:uid="{00000000-0005-0000-0000-0000118B0000}"/>
    <cellStyle name="Normal 5 17 2 29 4 2" xfId="35602" xr:uid="{00000000-0005-0000-0000-0000128B0000}"/>
    <cellStyle name="Normal 5 17 2 29 4 3" xfId="35603" xr:uid="{00000000-0005-0000-0000-0000138B0000}"/>
    <cellStyle name="Normal 5 17 2 29 4 4" xfId="35604" xr:uid="{00000000-0005-0000-0000-0000148B0000}"/>
    <cellStyle name="Normal 5 17 2 29 4 5" xfId="35605" xr:uid="{00000000-0005-0000-0000-0000158B0000}"/>
    <cellStyle name="Normal 5 17 2 29 4 6" xfId="35606" xr:uid="{00000000-0005-0000-0000-0000168B0000}"/>
    <cellStyle name="Normal 5 17 2 29 4 7" xfId="35607" xr:uid="{00000000-0005-0000-0000-0000178B0000}"/>
    <cellStyle name="Normal 5 17 2 29 4 8" xfId="35608" xr:uid="{00000000-0005-0000-0000-0000188B0000}"/>
    <cellStyle name="Normal 5 17 2 29 4 9" xfId="35609" xr:uid="{00000000-0005-0000-0000-0000198B0000}"/>
    <cellStyle name="Normal 5 17 2 29 5" xfId="35610" xr:uid="{00000000-0005-0000-0000-00001A8B0000}"/>
    <cellStyle name="Normal 5 17 2 29 5 10" xfId="35611" xr:uid="{00000000-0005-0000-0000-00001B8B0000}"/>
    <cellStyle name="Normal 5 17 2 29 5 2" xfId="35612" xr:uid="{00000000-0005-0000-0000-00001C8B0000}"/>
    <cellStyle name="Normal 5 17 2 29 5 3" xfId="35613" xr:uid="{00000000-0005-0000-0000-00001D8B0000}"/>
    <cellStyle name="Normal 5 17 2 29 5 4" xfId="35614" xr:uid="{00000000-0005-0000-0000-00001E8B0000}"/>
    <cellStyle name="Normal 5 17 2 29 5 5" xfId="35615" xr:uid="{00000000-0005-0000-0000-00001F8B0000}"/>
    <cellStyle name="Normal 5 17 2 29 5 6" xfId="35616" xr:uid="{00000000-0005-0000-0000-0000208B0000}"/>
    <cellStyle name="Normal 5 17 2 29 5 7" xfId="35617" xr:uid="{00000000-0005-0000-0000-0000218B0000}"/>
    <cellStyle name="Normal 5 17 2 29 5 8" xfId="35618" xr:uid="{00000000-0005-0000-0000-0000228B0000}"/>
    <cellStyle name="Normal 5 17 2 29 5 9" xfId="35619" xr:uid="{00000000-0005-0000-0000-0000238B0000}"/>
    <cellStyle name="Normal 5 17 2 29 6" xfId="35620" xr:uid="{00000000-0005-0000-0000-0000248B0000}"/>
    <cellStyle name="Normal 5 17 2 29 7" xfId="35621" xr:uid="{00000000-0005-0000-0000-0000258B0000}"/>
    <cellStyle name="Normal 5 17 2 29 8" xfId="35622" xr:uid="{00000000-0005-0000-0000-0000268B0000}"/>
    <cellStyle name="Normal 5 17 2 29 9" xfId="35623" xr:uid="{00000000-0005-0000-0000-0000278B0000}"/>
    <cellStyle name="Normal 5 17 2 3" xfId="35624" xr:uid="{00000000-0005-0000-0000-0000288B0000}"/>
    <cellStyle name="Normal 5 17 2 3 10" xfId="35625" xr:uid="{00000000-0005-0000-0000-0000298B0000}"/>
    <cellStyle name="Normal 5 17 2 3 11" xfId="35626" xr:uid="{00000000-0005-0000-0000-00002A8B0000}"/>
    <cellStyle name="Normal 5 17 2 3 12" xfId="35627" xr:uid="{00000000-0005-0000-0000-00002B8B0000}"/>
    <cellStyle name="Normal 5 17 2 3 13" xfId="35628" xr:uid="{00000000-0005-0000-0000-00002C8B0000}"/>
    <cellStyle name="Normal 5 17 2 3 14" xfId="35629" xr:uid="{00000000-0005-0000-0000-00002D8B0000}"/>
    <cellStyle name="Normal 5 17 2 3 2" xfId="35630" xr:uid="{00000000-0005-0000-0000-00002E8B0000}"/>
    <cellStyle name="Normal 5 17 2 3 2 10" xfId="35631" xr:uid="{00000000-0005-0000-0000-00002F8B0000}"/>
    <cellStyle name="Normal 5 17 2 3 2 2" xfId="35632" xr:uid="{00000000-0005-0000-0000-0000308B0000}"/>
    <cellStyle name="Normal 5 17 2 3 2 3" xfId="35633" xr:uid="{00000000-0005-0000-0000-0000318B0000}"/>
    <cellStyle name="Normal 5 17 2 3 2 4" xfId="35634" xr:uid="{00000000-0005-0000-0000-0000328B0000}"/>
    <cellStyle name="Normal 5 17 2 3 2 5" xfId="35635" xr:uid="{00000000-0005-0000-0000-0000338B0000}"/>
    <cellStyle name="Normal 5 17 2 3 2 6" xfId="35636" xr:uid="{00000000-0005-0000-0000-0000348B0000}"/>
    <cellStyle name="Normal 5 17 2 3 2 7" xfId="35637" xr:uid="{00000000-0005-0000-0000-0000358B0000}"/>
    <cellStyle name="Normal 5 17 2 3 2 8" xfId="35638" xr:uid="{00000000-0005-0000-0000-0000368B0000}"/>
    <cellStyle name="Normal 5 17 2 3 2 9" xfId="35639" xr:uid="{00000000-0005-0000-0000-0000378B0000}"/>
    <cellStyle name="Normal 5 17 2 3 3" xfId="35640" xr:uid="{00000000-0005-0000-0000-0000388B0000}"/>
    <cellStyle name="Normal 5 17 2 3 3 10" xfId="35641" xr:uid="{00000000-0005-0000-0000-0000398B0000}"/>
    <cellStyle name="Normal 5 17 2 3 3 2" xfId="35642" xr:uid="{00000000-0005-0000-0000-00003A8B0000}"/>
    <cellStyle name="Normal 5 17 2 3 3 3" xfId="35643" xr:uid="{00000000-0005-0000-0000-00003B8B0000}"/>
    <cellStyle name="Normal 5 17 2 3 3 4" xfId="35644" xr:uid="{00000000-0005-0000-0000-00003C8B0000}"/>
    <cellStyle name="Normal 5 17 2 3 3 5" xfId="35645" xr:uid="{00000000-0005-0000-0000-00003D8B0000}"/>
    <cellStyle name="Normal 5 17 2 3 3 6" xfId="35646" xr:uid="{00000000-0005-0000-0000-00003E8B0000}"/>
    <cellStyle name="Normal 5 17 2 3 3 7" xfId="35647" xr:uid="{00000000-0005-0000-0000-00003F8B0000}"/>
    <cellStyle name="Normal 5 17 2 3 3 8" xfId="35648" xr:uid="{00000000-0005-0000-0000-0000408B0000}"/>
    <cellStyle name="Normal 5 17 2 3 3 9" xfId="35649" xr:uid="{00000000-0005-0000-0000-0000418B0000}"/>
    <cellStyle name="Normal 5 17 2 3 4" xfId="35650" xr:uid="{00000000-0005-0000-0000-0000428B0000}"/>
    <cellStyle name="Normal 5 17 2 3 4 10" xfId="35651" xr:uid="{00000000-0005-0000-0000-0000438B0000}"/>
    <cellStyle name="Normal 5 17 2 3 4 2" xfId="35652" xr:uid="{00000000-0005-0000-0000-0000448B0000}"/>
    <cellStyle name="Normal 5 17 2 3 4 3" xfId="35653" xr:uid="{00000000-0005-0000-0000-0000458B0000}"/>
    <cellStyle name="Normal 5 17 2 3 4 4" xfId="35654" xr:uid="{00000000-0005-0000-0000-0000468B0000}"/>
    <cellStyle name="Normal 5 17 2 3 4 5" xfId="35655" xr:uid="{00000000-0005-0000-0000-0000478B0000}"/>
    <cellStyle name="Normal 5 17 2 3 4 6" xfId="35656" xr:uid="{00000000-0005-0000-0000-0000488B0000}"/>
    <cellStyle name="Normal 5 17 2 3 4 7" xfId="35657" xr:uid="{00000000-0005-0000-0000-0000498B0000}"/>
    <cellStyle name="Normal 5 17 2 3 4 8" xfId="35658" xr:uid="{00000000-0005-0000-0000-00004A8B0000}"/>
    <cellStyle name="Normal 5 17 2 3 4 9" xfId="35659" xr:uid="{00000000-0005-0000-0000-00004B8B0000}"/>
    <cellStyle name="Normal 5 17 2 3 5" xfId="35660" xr:uid="{00000000-0005-0000-0000-00004C8B0000}"/>
    <cellStyle name="Normal 5 17 2 3 5 10" xfId="35661" xr:uid="{00000000-0005-0000-0000-00004D8B0000}"/>
    <cellStyle name="Normal 5 17 2 3 5 2" xfId="35662" xr:uid="{00000000-0005-0000-0000-00004E8B0000}"/>
    <cellStyle name="Normal 5 17 2 3 5 3" xfId="35663" xr:uid="{00000000-0005-0000-0000-00004F8B0000}"/>
    <cellStyle name="Normal 5 17 2 3 5 4" xfId="35664" xr:uid="{00000000-0005-0000-0000-0000508B0000}"/>
    <cellStyle name="Normal 5 17 2 3 5 5" xfId="35665" xr:uid="{00000000-0005-0000-0000-0000518B0000}"/>
    <cellStyle name="Normal 5 17 2 3 5 6" xfId="35666" xr:uid="{00000000-0005-0000-0000-0000528B0000}"/>
    <cellStyle name="Normal 5 17 2 3 5 7" xfId="35667" xr:uid="{00000000-0005-0000-0000-0000538B0000}"/>
    <cellStyle name="Normal 5 17 2 3 5 8" xfId="35668" xr:uid="{00000000-0005-0000-0000-0000548B0000}"/>
    <cellStyle name="Normal 5 17 2 3 5 9" xfId="35669" xr:uid="{00000000-0005-0000-0000-0000558B0000}"/>
    <cellStyle name="Normal 5 17 2 3 6" xfId="35670" xr:uid="{00000000-0005-0000-0000-0000568B0000}"/>
    <cellStyle name="Normal 5 17 2 3 7" xfId="35671" xr:uid="{00000000-0005-0000-0000-0000578B0000}"/>
    <cellStyle name="Normal 5 17 2 3 8" xfId="35672" xr:uid="{00000000-0005-0000-0000-0000588B0000}"/>
    <cellStyle name="Normal 5 17 2 3 9" xfId="35673" xr:uid="{00000000-0005-0000-0000-0000598B0000}"/>
    <cellStyle name="Normal 5 17 2 30" xfId="35674" xr:uid="{00000000-0005-0000-0000-00005A8B0000}"/>
    <cellStyle name="Normal 5 17 2 30 10" xfId="35675" xr:uid="{00000000-0005-0000-0000-00005B8B0000}"/>
    <cellStyle name="Normal 5 17 2 30 11" xfId="35676" xr:uid="{00000000-0005-0000-0000-00005C8B0000}"/>
    <cellStyle name="Normal 5 17 2 30 12" xfId="35677" xr:uid="{00000000-0005-0000-0000-00005D8B0000}"/>
    <cellStyle name="Normal 5 17 2 30 13" xfId="35678" xr:uid="{00000000-0005-0000-0000-00005E8B0000}"/>
    <cellStyle name="Normal 5 17 2 30 14" xfId="35679" xr:uid="{00000000-0005-0000-0000-00005F8B0000}"/>
    <cellStyle name="Normal 5 17 2 30 2" xfId="35680" xr:uid="{00000000-0005-0000-0000-0000608B0000}"/>
    <cellStyle name="Normal 5 17 2 30 2 10" xfId="35681" xr:uid="{00000000-0005-0000-0000-0000618B0000}"/>
    <cellStyle name="Normal 5 17 2 30 2 2" xfId="35682" xr:uid="{00000000-0005-0000-0000-0000628B0000}"/>
    <cellStyle name="Normal 5 17 2 30 2 3" xfId="35683" xr:uid="{00000000-0005-0000-0000-0000638B0000}"/>
    <cellStyle name="Normal 5 17 2 30 2 4" xfId="35684" xr:uid="{00000000-0005-0000-0000-0000648B0000}"/>
    <cellStyle name="Normal 5 17 2 30 2 5" xfId="35685" xr:uid="{00000000-0005-0000-0000-0000658B0000}"/>
    <cellStyle name="Normal 5 17 2 30 2 6" xfId="35686" xr:uid="{00000000-0005-0000-0000-0000668B0000}"/>
    <cellStyle name="Normal 5 17 2 30 2 7" xfId="35687" xr:uid="{00000000-0005-0000-0000-0000678B0000}"/>
    <cellStyle name="Normal 5 17 2 30 2 8" xfId="35688" xr:uid="{00000000-0005-0000-0000-0000688B0000}"/>
    <cellStyle name="Normal 5 17 2 30 2 9" xfId="35689" xr:uid="{00000000-0005-0000-0000-0000698B0000}"/>
    <cellStyle name="Normal 5 17 2 30 3" xfId="35690" xr:uid="{00000000-0005-0000-0000-00006A8B0000}"/>
    <cellStyle name="Normal 5 17 2 30 3 10" xfId="35691" xr:uid="{00000000-0005-0000-0000-00006B8B0000}"/>
    <cellStyle name="Normal 5 17 2 30 3 2" xfId="35692" xr:uid="{00000000-0005-0000-0000-00006C8B0000}"/>
    <cellStyle name="Normal 5 17 2 30 3 3" xfId="35693" xr:uid="{00000000-0005-0000-0000-00006D8B0000}"/>
    <cellStyle name="Normal 5 17 2 30 3 4" xfId="35694" xr:uid="{00000000-0005-0000-0000-00006E8B0000}"/>
    <cellStyle name="Normal 5 17 2 30 3 5" xfId="35695" xr:uid="{00000000-0005-0000-0000-00006F8B0000}"/>
    <cellStyle name="Normal 5 17 2 30 3 6" xfId="35696" xr:uid="{00000000-0005-0000-0000-0000708B0000}"/>
    <cellStyle name="Normal 5 17 2 30 3 7" xfId="35697" xr:uid="{00000000-0005-0000-0000-0000718B0000}"/>
    <cellStyle name="Normal 5 17 2 30 3 8" xfId="35698" xr:uid="{00000000-0005-0000-0000-0000728B0000}"/>
    <cellStyle name="Normal 5 17 2 30 3 9" xfId="35699" xr:uid="{00000000-0005-0000-0000-0000738B0000}"/>
    <cellStyle name="Normal 5 17 2 30 4" xfId="35700" xr:uid="{00000000-0005-0000-0000-0000748B0000}"/>
    <cellStyle name="Normal 5 17 2 30 4 10" xfId="35701" xr:uid="{00000000-0005-0000-0000-0000758B0000}"/>
    <cellStyle name="Normal 5 17 2 30 4 2" xfId="35702" xr:uid="{00000000-0005-0000-0000-0000768B0000}"/>
    <cellStyle name="Normal 5 17 2 30 4 3" xfId="35703" xr:uid="{00000000-0005-0000-0000-0000778B0000}"/>
    <cellStyle name="Normal 5 17 2 30 4 4" xfId="35704" xr:uid="{00000000-0005-0000-0000-0000788B0000}"/>
    <cellStyle name="Normal 5 17 2 30 4 5" xfId="35705" xr:uid="{00000000-0005-0000-0000-0000798B0000}"/>
    <cellStyle name="Normal 5 17 2 30 4 6" xfId="35706" xr:uid="{00000000-0005-0000-0000-00007A8B0000}"/>
    <cellStyle name="Normal 5 17 2 30 4 7" xfId="35707" xr:uid="{00000000-0005-0000-0000-00007B8B0000}"/>
    <cellStyle name="Normal 5 17 2 30 4 8" xfId="35708" xr:uid="{00000000-0005-0000-0000-00007C8B0000}"/>
    <cellStyle name="Normal 5 17 2 30 4 9" xfId="35709" xr:uid="{00000000-0005-0000-0000-00007D8B0000}"/>
    <cellStyle name="Normal 5 17 2 30 5" xfId="35710" xr:uid="{00000000-0005-0000-0000-00007E8B0000}"/>
    <cellStyle name="Normal 5 17 2 30 5 10" xfId="35711" xr:uid="{00000000-0005-0000-0000-00007F8B0000}"/>
    <cellStyle name="Normal 5 17 2 30 5 2" xfId="35712" xr:uid="{00000000-0005-0000-0000-0000808B0000}"/>
    <cellStyle name="Normal 5 17 2 30 5 3" xfId="35713" xr:uid="{00000000-0005-0000-0000-0000818B0000}"/>
    <cellStyle name="Normal 5 17 2 30 5 4" xfId="35714" xr:uid="{00000000-0005-0000-0000-0000828B0000}"/>
    <cellStyle name="Normal 5 17 2 30 5 5" xfId="35715" xr:uid="{00000000-0005-0000-0000-0000838B0000}"/>
    <cellStyle name="Normal 5 17 2 30 5 6" xfId="35716" xr:uid="{00000000-0005-0000-0000-0000848B0000}"/>
    <cellStyle name="Normal 5 17 2 30 5 7" xfId="35717" xr:uid="{00000000-0005-0000-0000-0000858B0000}"/>
    <cellStyle name="Normal 5 17 2 30 5 8" xfId="35718" xr:uid="{00000000-0005-0000-0000-0000868B0000}"/>
    <cellStyle name="Normal 5 17 2 30 5 9" xfId="35719" xr:uid="{00000000-0005-0000-0000-0000878B0000}"/>
    <cellStyle name="Normal 5 17 2 30 6" xfId="35720" xr:uid="{00000000-0005-0000-0000-0000888B0000}"/>
    <cellStyle name="Normal 5 17 2 30 7" xfId="35721" xr:uid="{00000000-0005-0000-0000-0000898B0000}"/>
    <cellStyle name="Normal 5 17 2 30 8" xfId="35722" xr:uid="{00000000-0005-0000-0000-00008A8B0000}"/>
    <cellStyle name="Normal 5 17 2 30 9" xfId="35723" xr:uid="{00000000-0005-0000-0000-00008B8B0000}"/>
    <cellStyle name="Normal 5 17 2 31" xfId="35724" xr:uid="{00000000-0005-0000-0000-00008C8B0000}"/>
    <cellStyle name="Normal 5 17 2 31 10" xfId="35725" xr:uid="{00000000-0005-0000-0000-00008D8B0000}"/>
    <cellStyle name="Normal 5 17 2 31 11" xfId="35726" xr:uid="{00000000-0005-0000-0000-00008E8B0000}"/>
    <cellStyle name="Normal 5 17 2 31 12" xfId="35727" xr:uid="{00000000-0005-0000-0000-00008F8B0000}"/>
    <cellStyle name="Normal 5 17 2 31 13" xfId="35728" xr:uid="{00000000-0005-0000-0000-0000908B0000}"/>
    <cellStyle name="Normal 5 17 2 31 14" xfId="35729" xr:uid="{00000000-0005-0000-0000-0000918B0000}"/>
    <cellStyle name="Normal 5 17 2 31 2" xfId="35730" xr:uid="{00000000-0005-0000-0000-0000928B0000}"/>
    <cellStyle name="Normal 5 17 2 31 2 10" xfId="35731" xr:uid="{00000000-0005-0000-0000-0000938B0000}"/>
    <cellStyle name="Normal 5 17 2 31 2 2" xfId="35732" xr:uid="{00000000-0005-0000-0000-0000948B0000}"/>
    <cellStyle name="Normal 5 17 2 31 2 3" xfId="35733" xr:uid="{00000000-0005-0000-0000-0000958B0000}"/>
    <cellStyle name="Normal 5 17 2 31 2 4" xfId="35734" xr:uid="{00000000-0005-0000-0000-0000968B0000}"/>
    <cellStyle name="Normal 5 17 2 31 2 5" xfId="35735" xr:uid="{00000000-0005-0000-0000-0000978B0000}"/>
    <cellStyle name="Normal 5 17 2 31 2 6" xfId="35736" xr:uid="{00000000-0005-0000-0000-0000988B0000}"/>
    <cellStyle name="Normal 5 17 2 31 2 7" xfId="35737" xr:uid="{00000000-0005-0000-0000-0000998B0000}"/>
    <cellStyle name="Normal 5 17 2 31 2 8" xfId="35738" xr:uid="{00000000-0005-0000-0000-00009A8B0000}"/>
    <cellStyle name="Normal 5 17 2 31 2 9" xfId="35739" xr:uid="{00000000-0005-0000-0000-00009B8B0000}"/>
    <cellStyle name="Normal 5 17 2 31 3" xfId="35740" xr:uid="{00000000-0005-0000-0000-00009C8B0000}"/>
    <cellStyle name="Normal 5 17 2 31 3 10" xfId="35741" xr:uid="{00000000-0005-0000-0000-00009D8B0000}"/>
    <cellStyle name="Normal 5 17 2 31 3 2" xfId="35742" xr:uid="{00000000-0005-0000-0000-00009E8B0000}"/>
    <cellStyle name="Normal 5 17 2 31 3 3" xfId="35743" xr:uid="{00000000-0005-0000-0000-00009F8B0000}"/>
    <cellStyle name="Normal 5 17 2 31 3 4" xfId="35744" xr:uid="{00000000-0005-0000-0000-0000A08B0000}"/>
    <cellStyle name="Normal 5 17 2 31 3 5" xfId="35745" xr:uid="{00000000-0005-0000-0000-0000A18B0000}"/>
    <cellStyle name="Normal 5 17 2 31 3 6" xfId="35746" xr:uid="{00000000-0005-0000-0000-0000A28B0000}"/>
    <cellStyle name="Normal 5 17 2 31 3 7" xfId="35747" xr:uid="{00000000-0005-0000-0000-0000A38B0000}"/>
    <cellStyle name="Normal 5 17 2 31 3 8" xfId="35748" xr:uid="{00000000-0005-0000-0000-0000A48B0000}"/>
    <cellStyle name="Normal 5 17 2 31 3 9" xfId="35749" xr:uid="{00000000-0005-0000-0000-0000A58B0000}"/>
    <cellStyle name="Normal 5 17 2 31 4" xfId="35750" xr:uid="{00000000-0005-0000-0000-0000A68B0000}"/>
    <cellStyle name="Normal 5 17 2 31 4 10" xfId="35751" xr:uid="{00000000-0005-0000-0000-0000A78B0000}"/>
    <cellStyle name="Normal 5 17 2 31 4 2" xfId="35752" xr:uid="{00000000-0005-0000-0000-0000A88B0000}"/>
    <cellStyle name="Normal 5 17 2 31 4 3" xfId="35753" xr:uid="{00000000-0005-0000-0000-0000A98B0000}"/>
    <cellStyle name="Normal 5 17 2 31 4 4" xfId="35754" xr:uid="{00000000-0005-0000-0000-0000AA8B0000}"/>
    <cellStyle name="Normal 5 17 2 31 4 5" xfId="35755" xr:uid="{00000000-0005-0000-0000-0000AB8B0000}"/>
    <cellStyle name="Normal 5 17 2 31 4 6" xfId="35756" xr:uid="{00000000-0005-0000-0000-0000AC8B0000}"/>
    <cellStyle name="Normal 5 17 2 31 4 7" xfId="35757" xr:uid="{00000000-0005-0000-0000-0000AD8B0000}"/>
    <cellStyle name="Normal 5 17 2 31 4 8" xfId="35758" xr:uid="{00000000-0005-0000-0000-0000AE8B0000}"/>
    <cellStyle name="Normal 5 17 2 31 4 9" xfId="35759" xr:uid="{00000000-0005-0000-0000-0000AF8B0000}"/>
    <cellStyle name="Normal 5 17 2 31 5" xfId="35760" xr:uid="{00000000-0005-0000-0000-0000B08B0000}"/>
    <cellStyle name="Normal 5 17 2 31 5 10" xfId="35761" xr:uid="{00000000-0005-0000-0000-0000B18B0000}"/>
    <cellStyle name="Normal 5 17 2 31 5 2" xfId="35762" xr:uid="{00000000-0005-0000-0000-0000B28B0000}"/>
    <cellStyle name="Normal 5 17 2 31 5 3" xfId="35763" xr:uid="{00000000-0005-0000-0000-0000B38B0000}"/>
    <cellStyle name="Normal 5 17 2 31 5 4" xfId="35764" xr:uid="{00000000-0005-0000-0000-0000B48B0000}"/>
    <cellStyle name="Normal 5 17 2 31 5 5" xfId="35765" xr:uid="{00000000-0005-0000-0000-0000B58B0000}"/>
    <cellStyle name="Normal 5 17 2 31 5 6" xfId="35766" xr:uid="{00000000-0005-0000-0000-0000B68B0000}"/>
    <cellStyle name="Normal 5 17 2 31 5 7" xfId="35767" xr:uid="{00000000-0005-0000-0000-0000B78B0000}"/>
    <cellStyle name="Normal 5 17 2 31 5 8" xfId="35768" xr:uid="{00000000-0005-0000-0000-0000B88B0000}"/>
    <cellStyle name="Normal 5 17 2 31 5 9" xfId="35769" xr:uid="{00000000-0005-0000-0000-0000B98B0000}"/>
    <cellStyle name="Normal 5 17 2 31 6" xfId="35770" xr:uid="{00000000-0005-0000-0000-0000BA8B0000}"/>
    <cellStyle name="Normal 5 17 2 31 7" xfId="35771" xr:uid="{00000000-0005-0000-0000-0000BB8B0000}"/>
    <cellStyle name="Normal 5 17 2 31 8" xfId="35772" xr:uid="{00000000-0005-0000-0000-0000BC8B0000}"/>
    <cellStyle name="Normal 5 17 2 31 9" xfId="35773" xr:uid="{00000000-0005-0000-0000-0000BD8B0000}"/>
    <cellStyle name="Normal 5 17 2 32" xfId="35774" xr:uid="{00000000-0005-0000-0000-0000BE8B0000}"/>
    <cellStyle name="Normal 5 17 2 32 10" xfId="35775" xr:uid="{00000000-0005-0000-0000-0000BF8B0000}"/>
    <cellStyle name="Normal 5 17 2 32 11" xfId="35776" xr:uid="{00000000-0005-0000-0000-0000C08B0000}"/>
    <cellStyle name="Normal 5 17 2 32 12" xfId="35777" xr:uid="{00000000-0005-0000-0000-0000C18B0000}"/>
    <cellStyle name="Normal 5 17 2 32 13" xfId="35778" xr:uid="{00000000-0005-0000-0000-0000C28B0000}"/>
    <cellStyle name="Normal 5 17 2 32 14" xfId="35779" xr:uid="{00000000-0005-0000-0000-0000C38B0000}"/>
    <cellStyle name="Normal 5 17 2 32 2" xfId="35780" xr:uid="{00000000-0005-0000-0000-0000C48B0000}"/>
    <cellStyle name="Normal 5 17 2 32 2 10" xfId="35781" xr:uid="{00000000-0005-0000-0000-0000C58B0000}"/>
    <cellStyle name="Normal 5 17 2 32 2 2" xfId="35782" xr:uid="{00000000-0005-0000-0000-0000C68B0000}"/>
    <cellStyle name="Normal 5 17 2 32 2 3" xfId="35783" xr:uid="{00000000-0005-0000-0000-0000C78B0000}"/>
    <cellStyle name="Normal 5 17 2 32 2 4" xfId="35784" xr:uid="{00000000-0005-0000-0000-0000C88B0000}"/>
    <cellStyle name="Normal 5 17 2 32 2 5" xfId="35785" xr:uid="{00000000-0005-0000-0000-0000C98B0000}"/>
    <cellStyle name="Normal 5 17 2 32 2 6" xfId="35786" xr:uid="{00000000-0005-0000-0000-0000CA8B0000}"/>
    <cellStyle name="Normal 5 17 2 32 2 7" xfId="35787" xr:uid="{00000000-0005-0000-0000-0000CB8B0000}"/>
    <cellStyle name="Normal 5 17 2 32 2 8" xfId="35788" xr:uid="{00000000-0005-0000-0000-0000CC8B0000}"/>
    <cellStyle name="Normal 5 17 2 32 2 9" xfId="35789" xr:uid="{00000000-0005-0000-0000-0000CD8B0000}"/>
    <cellStyle name="Normal 5 17 2 32 3" xfId="35790" xr:uid="{00000000-0005-0000-0000-0000CE8B0000}"/>
    <cellStyle name="Normal 5 17 2 32 3 10" xfId="35791" xr:uid="{00000000-0005-0000-0000-0000CF8B0000}"/>
    <cellStyle name="Normal 5 17 2 32 3 2" xfId="35792" xr:uid="{00000000-0005-0000-0000-0000D08B0000}"/>
    <cellStyle name="Normal 5 17 2 32 3 3" xfId="35793" xr:uid="{00000000-0005-0000-0000-0000D18B0000}"/>
    <cellStyle name="Normal 5 17 2 32 3 4" xfId="35794" xr:uid="{00000000-0005-0000-0000-0000D28B0000}"/>
    <cellStyle name="Normal 5 17 2 32 3 5" xfId="35795" xr:uid="{00000000-0005-0000-0000-0000D38B0000}"/>
    <cellStyle name="Normal 5 17 2 32 3 6" xfId="35796" xr:uid="{00000000-0005-0000-0000-0000D48B0000}"/>
    <cellStyle name="Normal 5 17 2 32 3 7" xfId="35797" xr:uid="{00000000-0005-0000-0000-0000D58B0000}"/>
    <cellStyle name="Normal 5 17 2 32 3 8" xfId="35798" xr:uid="{00000000-0005-0000-0000-0000D68B0000}"/>
    <cellStyle name="Normal 5 17 2 32 3 9" xfId="35799" xr:uid="{00000000-0005-0000-0000-0000D78B0000}"/>
    <cellStyle name="Normal 5 17 2 32 4" xfId="35800" xr:uid="{00000000-0005-0000-0000-0000D88B0000}"/>
    <cellStyle name="Normal 5 17 2 32 4 10" xfId="35801" xr:uid="{00000000-0005-0000-0000-0000D98B0000}"/>
    <cellStyle name="Normal 5 17 2 32 4 2" xfId="35802" xr:uid="{00000000-0005-0000-0000-0000DA8B0000}"/>
    <cellStyle name="Normal 5 17 2 32 4 3" xfId="35803" xr:uid="{00000000-0005-0000-0000-0000DB8B0000}"/>
    <cellStyle name="Normal 5 17 2 32 4 4" xfId="35804" xr:uid="{00000000-0005-0000-0000-0000DC8B0000}"/>
    <cellStyle name="Normal 5 17 2 32 4 5" xfId="35805" xr:uid="{00000000-0005-0000-0000-0000DD8B0000}"/>
    <cellStyle name="Normal 5 17 2 32 4 6" xfId="35806" xr:uid="{00000000-0005-0000-0000-0000DE8B0000}"/>
    <cellStyle name="Normal 5 17 2 32 4 7" xfId="35807" xr:uid="{00000000-0005-0000-0000-0000DF8B0000}"/>
    <cellStyle name="Normal 5 17 2 32 4 8" xfId="35808" xr:uid="{00000000-0005-0000-0000-0000E08B0000}"/>
    <cellStyle name="Normal 5 17 2 32 4 9" xfId="35809" xr:uid="{00000000-0005-0000-0000-0000E18B0000}"/>
    <cellStyle name="Normal 5 17 2 32 5" xfId="35810" xr:uid="{00000000-0005-0000-0000-0000E28B0000}"/>
    <cellStyle name="Normal 5 17 2 32 5 10" xfId="35811" xr:uid="{00000000-0005-0000-0000-0000E38B0000}"/>
    <cellStyle name="Normal 5 17 2 32 5 2" xfId="35812" xr:uid="{00000000-0005-0000-0000-0000E48B0000}"/>
    <cellStyle name="Normal 5 17 2 32 5 3" xfId="35813" xr:uid="{00000000-0005-0000-0000-0000E58B0000}"/>
    <cellStyle name="Normal 5 17 2 32 5 4" xfId="35814" xr:uid="{00000000-0005-0000-0000-0000E68B0000}"/>
    <cellStyle name="Normal 5 17 2 32 5 5" xfId="35815" xr:uid="{00000000-0005-0000-0000-0000E78B0000}"/>
    <cellStyle name="Normal 5 17 2 32 5 6" xfId="35816" xr:uid="{00000000-0005-0000-0000-0000E88B0000}"/>
    <cellStyle name="Normal 5 17 2 32 5 7" xfId="35817" xr:uid="{00000000-0005-0000-0000-0000E98B0000}"/>
    <cellStyle name="Normal 5 17 2 32 5 8" xfId="35818" xr:uid="{00000000-0005-0000-0000-0000EA8B0000}"/>
    <cellStyle name="Normal 5 17 2 32 5 9" xfId="35819" xr:uid="{00000000-0005-0000-0000-0000EB8B0000}"/>
    <cellStyle name="Normal 5 17 2 32 6" xfId="35820" xr:uid="{00000000-0005-0000-0000-0000EC8B0000}"/>
    <cellStyle name="Normal 5 17 2 32 7" xfId="35821" xr:uid="{00000000-0005-0000-0000-0000ED8B0000}"/>
    <cellStyle name="Normal 5 17 2 32 8" xfId="35822" xr:uid="{00000000-0005-0000-0000-0000EE8B0000}"/>
    <cellStyle name="Normal 5 17 2 32 9" xfId="35823" xr:uid="{00000000-0005-0000-0000-0000EF8B0000}"/>
    <cellStyle name="Normal 5 17 2 33" xfId="35824" xr:uid="{00000000-0005-0000-0000-0000F08B0000}"/>
    <cellStyle name="Normal 5 17 2 33 10" xfId="35825" xr:uid="{00000000-0005-0000-0000-0000F18B0000}"/>
    <cellStyle name="Normal 5 17 2 33 11" xfId="35826" xr:uid="{00000000-0005-0000-0000-0000F28B0000}"/>
    <cellStyle name="Normal 5 17 2 33 12" xfId="35827" xr:uid="{00000000-0005-0000-0000-0000F38B0000}"/>
    <cellStyle name="Normal 5 17 2 33 13" xfId="35828" xr:uid="{00000000-0005-0000-0000-0000F48B0000}"/>
    <cellStyle name="Normal 5 17 2 33 14" xfId="35829" xr:uid="{00000000-0005-0000-0000-0000F58B0000}"/>
    <cellStyle name="Normal 5 17 2 33 2" xfId="35830" xr:uid="{00000000-0005-0000-0000-0000F68B0000}"/>
    <cellStyle name="Normal 5 17 2 33 2 10" xfId="35831" xr:uid="{00000000-0005-0000-0000-0000F78B0000}"/>
    <cellStyle name="Normal 5 17 2 33 2 2" xfId="35832" xr:uid="{00000000-0005-0000-0000-0000F88B0000}"/>
    <cellStyle name="Normal 5 17 2 33 2 3" xfId="35833" xr:uid="{00000000-0005-0000-0000-0000F98B0000}"/>
    <cellStyle name="Normal 5 17 2 33 2 4" xfId="35834" xr:uid="{00000000-0005-0000-0000-0000FA8B0000}"/>
    <cellStyle name="Normal 5 17 2 33 2 5" xfId="35835" xr:uid="{00000000-0005-0000-0000-0000FB8B0000}"/>
    <cellStyle name="Normal 5 17 2 33 2 6" xfId="35836" xr:uid="{00000000-0005-0000-0000-0000FC8B0000}"/>
    <cellStyle name="Normal 5 17 2 33 2 7" xfId="35837" xr:uid="{00000000-0005-0000-0000-0000FD8B0000}"/>
    <cellStyle name="Normal 5 17 2 33 2 8" xfId="35838" xr:uid="{00000000-0005-0000-0000-0000FE8B0000}"/>
    <cellStyle name="Normal 5 17 2 33 2 9" xfId="35839" xr:uid="{00000000-0005-0000-0000-0000FF8B0000}"/>
    <cellStyle name="Normal 5 17 2 33 3" xfId="35840" xr:uid="{00000000-0005-0000-0000-0000008C0000}"/>
    <cellStyle name="Normal 5 17 2 33 3 10" xfId="35841" xr:uid="{00000000-0005-0000-0000-0000018C0000}"/>
    <cellStyle name="Normal 5 17 2 33 3 2" xfId="35842" xr:uid="{00000000-0005-0000-0000-0000028C0000}"/>
    <cellStyle name="Normal 5 17 2 33 3 3" xfId="35843" xr:uid="{00000000-0005-0000-0000-0000038C0000}"/>
    <cellStyle name="Normal 5 17 2 33 3 4" xfId="35844" xr:uid="{00000000-0005-0000-0000-0000048C0000}"/>
    <cellStyle name="Normal 5 17 2 33 3 5" xfId="35845" xr:uid="{00000000-0005-0000-0000-0000058C0000}"/>
    <cellStyle name="Normal 5 17 2 33 3 6" xfId="35846" xr:uid="{00000000-0005-0000-0000-0000068C0000}"/>
    <cellStyle name="Normal 5 17 2 33 3 7" xfId="35847" xr:uid="{00000000-0005-0000-0000-0000078C0000}"/>
    <cellStyle name="Normal 5 17 2 33 3 8" xfId="35848" xr:uid="{00000000-0005-0000-0000-0000088C0000}"/>
    <cellStyle name="Normal 5 17 2 33 3 9" xfId="35849" xr:uid="{00000000-0005-0000-0000-0000098C0000}"/>
    <cellStyle name="Normal 5 17 2 33 4" xfId="35850" xr:uid="{00000000-0005-0000-0000-00000A8C0000}"/>
    <cellStyle name="Normal 5 17 2 33 4 10" xfId="35851" xr:uid="{00000000-0005-0000-0000-00000B8C0000}"/>
    <cellStyle name="Normal 5 17 2 33 4 2" xfId="35852" xr:uid="{00000000-0005-0000-0000-00000C8C0000}"/>
    <cellStyle name="Normal 5 17 2 33 4 3" xfId="35853" xr:uid="{00000000-0005-0000-0000-00000D8C0000}"/>
    <cellStyle name="Normal 5 17 2 33 4 4" xfId="35854" xr:uid="{00000000-0005-0000-0000-00000E8C0000}"/>
    <cellStyle name="Normal 5 17 2 33 4 5" xfId="35855" xr:uid="{00000000-0005-0000-0000-00000F8C0000}"/>
    <cellStyle name="Normal 5 17 2 33 4 6" xfId="35856" xr:uid="{00000000-0005-0000-0000-0000108C0000}"/>
    <cellStyle name="Normal 5 17 2 33 4 7" xfId="35857" xr:uid="{00000000-0005-0000-0000-0000118C0000}"/>
    <cellStyle name="Normal 5 17 2 33 4 8" xfId="35858" xr:uid="{00000000-0005-0000-0000-0000128C0000}"/>
    <cellStyle name="Normal 5 17 2 33 4 9" xfId="35859" xr:uid="{00000000-0005-0000-0000-0000138C0000}"/>
    <cellStyle name="Normal 5 17 2 33 5" xfId="35860" xr:uid="{00000000-0005-0000-0000-0000148C0000}"/>
    <cellStyle name="Normal 5 17 2 33 5 10" xfId="35861" xr:uid="{00000000-0005-0000-0000-0000158C0000}"/>
    <cellStyle name="Normal 5 17 2 33 5 2" xfId="35862" xr:uid="{00000000-0005-0000-0000-0000168C0000}"/>
    <cellStyle name="Normal 5 17 2 33 5 3" xfId="35863" xr:uid="{00000000-0005-0000-0000-0000178C0000}"/>
    <cellStyle name="Normal 5 17 2 33 5 4" xfId="35864" xr:uid="{00000000-0005-0000-0000-0000188C0000}"/>
    <cellStyle name="Normal 5 17 2 33 5 5" xfId="35865" xr:uid="{00000000-0005-0000-0000-0000198C0000}"/>
    <cellStyle name="Normal 5 17 2 33 5 6" xfId="35866" xr:uid="{00000000-0005-0000-0000-00001A8C0000}"/>
    <cellStyle name="Normal 5 17 2 33 5 7" xfId="35867" xr:uid="{00000000-0005-0000-0000-00001B8C0000}"/>
    <cellStyle name="Normal 5 17 2 33 5 8" xfId="35868" xr:uid="{00000000-0005-0000-0000-00001C8C0000}"/>
    <cellStyle name="Normal 5 17 2 33 5 9" xfId="35869" xr:uid="{00000000-0005-0000-0000-00001D8C0000}"/>
    <cellStyle name="Normal 5 17 2 33 6" xfId="35870" xr:uid="{00000000-0005-0000-0000-00001E8C0000}"/>
    <cellStyle name="Normal 5 17 2 33 7" xfId="35871" xr:uid="{00000000-0005-0000-0000-00001F8C0000}"/>
    <cellStyle name="Normal 5 17 2 33 8" xfId="35872" xr:uid="{00000000-0005-0000-0000-0000208C0000}"/>
    <cellStyle name="Normal 5 17 2 33 9" xfId="35873" xr:uid="{00000000-0005-0000-0000-0000218C0000}"/>
    <cellStyle name="Normal 5 17 2 34" xfId="35874" xr:uid="{00000000-0005-0000-0000-0000228C0000}"/>
    <cellStyle name="Normal 5 17 2 34 10" xfId="35875" xr:uid="{00000000-0005-0000-0000-0000238C0000}"/>
    <cellStyle name="Normal 5 17 2 34 2" xfId="35876" xr:uid="{00000000-0005-0000-0000-0000248C0000}"/>
    <cellStyle name="Normal 5 17 2 34 3" xfId="35877" xr:uid="{00000000-0005-0000-0000-0000258C0000}"/>
    <cellStyle name="Normal 5 17 2 34 4" xfId="35878" xr:uid="{00000000-0005-0000-0000-0000268C0000}"/>
    <cellStyle name="Normal 5 17 2 34 5" xfId="35879" xr:uid="{00000000-0005-0000-0000-0000278C0000}"/>
    <cellStyle name="Normal 5 17 2 34 6" xfId="35880" xr:uid="{00000000-0005-0000-0000-0000288C0000}"/>
    <cellStyle name="Normal 5 17 2 34 7" xfId="35881" xr:uid="{00000000-0005-0000-0000-0000298C0000}"/>
    <cellStyle name="Normal 5 17 2 34 8" xfId="35882" xr:uid="{00000000-0005-0000-0000-00002A8C0000}"/>
    <cellStyle name="Normal 5 17 2 34 9" xfId="35883" xr:uid="{00000000-0005-0000-0000-00002B8C0000}"/>
    <cellStyle name="Normal 5 17 2 35" xfId="35884" xr:uid="{00000000-0005-0000-0000-00002C8C0000}"/>
    <cellStyle name="Normal 5 17 2 35 10" xfId="35885" xr:uid="{00000000-0005-0000-0000-00002D8C0000}"/>
    <cellStyle name="Normal 5 17 2 35 2" xfId="35886" xr:uid="{00000000-0005-0000-0000-00002E8C0000}"/>
    <cellStyle name="Normal 5 17 2 35 3" xfId="35887" xr:uid="{00000000-0005-0000-0000-00002F8C0000}"/>
    <cellStyle name="Normal 5 17 2 35 4" xfId="35888" xr:uid="{00000000-0005-0000-0000-0000308C0000}"/>
    <cellStyle name="Normal 5 17 2 35 5" xfId="35889" xr:uid="{00000000-0005-0000-0000-0000318C0000}"/>
    <cellStyle name="Normal 5 17 2 35 6" xfId="35890" xr:uid="{00000000-0005-0000-0000-0000328C0000}"/>
    <cellStyle name="Normal 5 17 2 35 7" xfId="35891" xr:uid="{00000000-0005-0000-0000-0000338C0000}"/>
    <cellStyle name="Normal 5 17 2 35 8" xfId="35892" xr:uid="{00000000-0005-0000-0000-0000348C0000}"/>
    <cellStyle name="Normal 5 17 2 35 9" xfId="35893" xr:uid="{00000000-0005-0000-0000-0000358C0000}"/>
    <cellStyle name="Normal 5 17 2 36" xfId="35894" xr:uid="{00000000-0005-0000-0000-0000368C0000}"/>
    <cellStyle name="Normal 5 17 2 36 10" xfId="35895" xr:uid="{00000000-0005-0000-0000-0000378C0000}"/>
    <cellStyle name="Normal 5 17 2 36 2" xfId="35896" xr:uid="{00000000-0005-0000-0000-0000388C0000}"/>
    <cellStyle name="Normal 5 17 2 36 3" xfId="35897" xr:uid="{00000000-0005-0000-0000-0000398C0000}"/>
    <cellStyle name="Normal 5 17 2 36 4" xfId="35898" xr:uid="{00000000-0005-0000-0000-00003A8C0000}"/>
    <cellStyle name="Normal 5 17 2 36 5" xfId="35899" xr:uid="{00000000-0005-0000-0000-00003B8C0000}"/>
    <cellStyle name="Normal 5 17 2 36 6" xfId="35900" xr:uid="{00000000-0005-0000-0000-00003C8C0000}"/>
    <cellStyle name="Normal 5 17 2 36 7" xfId="35901" xr:uid="{00000000-0005-0000-0000-00003D8C0000}"/>
    <cellStyle name="Normal 5 17 2 36 8" xfId="35902" xr:uid="{00000000-0005-0000-0000-00003E8C0000}"/>
    <cellStyle name="Normal 5 17 2 36 9" xfId="35903" xr:uid="{00000000-0005-0000-0000-00003F8C0000}"/>
    <cellStyle name="Normal 5 17 2 37" xfId="35904" xr:uid="{00000000-0005-0000-0000-0000408C0000}"/>
    <cellStyle name="Normal 5 17 2 37 10" xfId="35905" xr:uid="{00000000-0005-0000-0000-0000418C0000}"/>
    <cellStyle name="Normal 5 17 2 37 2" xfId="35906" xr:uid="{00000000-0005-0000-0000-0000428C0000}"/>
    <cellStyle name="Normal 5 17 2 37 3" xfId="35907" xr:uid="{00000000-0005-0000-0000-0000438C0000}"/>
    <cellStyle name="Normal 5 17 2 37 4" xfId="35908" xr:uid="{00000000-0005-0000-0000-0000448C0000}"/>
    <cellStyle name="Normal 5 17 2 37 5" xfId="35909" xr:uid="{00000000-0005-0000-0000-0000458C0000}"/>
    <cellStyle name="Normal 5 17 2 37 6" xfId="35910" xr:uid="{00000000-0005-0000-0000-0000468C0000}"/>
    <cellStyle name="Normal 5 17 2 37 7" xfId="35911" xr:uid="{00000000-0005-0000-0000-0000478C0000}"/>
    <cellStyle name="Normal 5 17 2 37 8" xfId="35912" xr:uid="{00000000-0005-0000-0000-0000488C0000}"/>
    <cellStyle name="Normal 5 17 2 37 9" xfId="35913" xr:uid="{00000000-0005-0000-0000-0000498C0000}"/>
    <cellStyle name="Normal 5 17 2 38" xfId="35914" xr:uid="{00000000-0005-0000-0000-00004A8C0000}"/>
    <cellStyle name="Normal 5 17 2 39" xfId="35915" xr:uid="{00000000-0005-0000-0000-00004B8C0000}"/>
    <cellStyle name="Normal 5 17 2 4" xfId="35916" xr:uid="{00000000-0005-0000-0000-00004C8C0000}"/>
    <cellStyle name="Normal 5 17 2 4 10" xfId="35917" xr:uid="{00000000-0005-0000-0000-00004D8C0000}"/>
    <cellStyle name="Normal 5 17 2 4 11" xfId="35918" xr:uid="{00000000-0005-0000-0000-00004E8C0000}"/>
    <cellStyle name="Normal 5 17 2 4 12" xfId="35919" xr:uid="{00000000-0005-0000-0000-00004F8C0000}"/>
    <cellStyle name="Normal 5 17 2 4 13" xfId="35920" xr:uid="{00000000-0005-0000-0000-0000508C0000}"/>
    <cellStyle name="Normal 5 17 2 4 14" xfId="35921" xr:uid="{00000000-0005-0000-0000-0000518C0000}"/>
    <cellStyle name="Normal 5 17 2 4 2" xfId="35922" xr:uid="{00000000-0005-0000-0000-0000528C0000}"/>
    <cellStyle name="Normal 5 17 2 4 2 10" xfId="35923" xr:uid="{00000000-0005-0000-0000-0000538C0000}"/>
    <cellStyle name="Normal 5 17 2 4 2 2" xfId="35924" xr:uid="{00000000-0005-0000-0000-0000548C0000}"/>
    <cellStyle name="Normal 5 17 2 4 2 3" xfId="35925" xr:uid="{00000000-0005-0000-0000-0000558C0000}"/>
    <cellStyle name="Normal 5 17 2 4 2 4" xfId="35926" xr:uid="{00000000-0005-0000-0000-0000568C0000}"/>
    <cellStyle name="Normal 5 17 2 4 2 5" xfId="35927" xr:uid="{00000000-0005-0000-0000-0000578C0000}"/>
    <cellStyle name="Normal 5 17 2 4 2 6" xfId="35928" xr:uid="{00000000-0005-0000-0000-0000588C0000}"/>
    <cellStyle name="Normal 5 17 2 4 2 7" xfId="35929" xr:uid="{00000000-0005-0000-0000-0000598C0000}"/>
    <cellStyle name="Normal 5 17 2 4 2 8" xfId="35930" xr:uid="{00000000-0005-0000-0000-00005A8C0000}"/>
    <cellStyle name="Normal 5 17 2 4 2 9" xfId="35931" xr:uid="{00000000-0005-0000-0000-00005B8C0000}"/>
    <cellStyle name="Normal 5 17 2 4 3" xfId="35932" xr:uid="{00000000-0005-0000-0000-00005C8C0000}"/>
    <cellStyle name="Normal 5 17 2 4 3 10" xfId="35933" xr:uid="{00000000-0005-0000-0000-00005D8C0000}"/>
    <cellStyle name="Normal 5 17 2 4 3 2" xfId="35934" xr:uid="{00000000-0005-0000-0000-00005E8C0000}"/>
    <cellStyle name="Normal 5 17 2 4 3 3" xfId="35935" xr:uid="{00000000-0005-0000-0000-00005F8C0000}"/>
    <cellStyle name="Normal 5 17 2 4 3 4" xfId="35936" xr:uid="{00000000-0005-0000-0000-0000608C0000}"/>
    <cellStyle name="Normal 5 17 2 4 3 5" xfId="35937" xr:uid="{00000000-0005-0000-0000-0000618C0000}"/>
    <cellStyle name="Normal 5 17 2 4 3 6" xfId="35938" xr:uid="{00000000-0005-0000-0000-0000628C0000}"/>
    <cellStyle name="Normal 5 17 2 4 3 7" xfId="35939" xr:uid="{00000000-0005-0000-0000-0000638C0000}"/>
    <cellStyle name="Normal 5 17 2 4 3 8" xfId="35940" xr:uid="{00000000-0005-0000-0000-0000648C0000}"/>
    <cellStyle name="Normal 5 17 2 4 3 9" xfId="35941" xr:uid="{00000000-0005-0000-0000-0000658C0000}"/>
    <cellStyle name="Normal 5 17 2 4 4" xfId="35942" xr:uid="{00000000-0005-0000-0000-0000668C0000}"/>
    <cellStyle name="Normal 5 17 2 4 4 10" xfId="35943" xr:uid="{00000000-0005-0000-0000-0000678C0000}"/>
    <cellStyle name="Normal 5 17 2 4 4 2" xfId="35944" xr:uid="{00000000-0005-0000-0000-0000688C0000}"/>
    <cellStyle name="Normal 5 17 2 4 4 3" xfId="35945" xr:uid="{00000000-0005-0000-0000-0000698C0000}"/>
    <cellStyle name="Normal 5 17 2 4 4 4" xfId="35946" xr:uid="{00000000-0005-0000-0000-00006A8C0000}"/>
    <cellStyle name="Normal 5 17 2 4 4 5" xfId="35947" xr:uid="{00000000-0005-0000-0000-00006B8C0000}"/>
    <cellStyle name="Normal 5 17 2 4 4 6" xfId="35948" xr:uid="{00000000-0005-0000-0000-00006C8C0000}"/>
    <cellStyle name="Normal 5 17 2 4 4 7" xfId="35949" xr:uid="{00000000-0005-0000-0000-00006D8C0000}"/>
    <cellStyle name="Normal 5 17 2 4 4 8" xfId="35950" xr:uid="{00000000-0005-0000-0000-00006E8C0000}"/>
    <cellStyle name="Normal 5 17 2 4 4 9" xfId="35951" xr:uid="{00000000-0005-0000-0000-00006F8C0000}"/>
    <cellStyle name="Normal 5 17 2 4 5" xfId="35952" xr:uid="{00000000-0005-0000-0000-0000708C0000}"/>
    <cellStyle name="Normal 5 17 2 4 5 10" xfId="35953" xr:uid="{00000000-0005-0000-0000-0000718C0000}"/>
    <cellStyle name="Normal 5 17 2 4 5 2" xfId="35954" xr:uid="{00000000-0005-0000-0000-0000728C0000}"/>
    <cellStyle name="Normal 5 17 2 4 5 3" xfId="35955" xr:uid="{00000000-0005-0000-0000-0000738C0000}"/>
    <cellStyle name="Normal 5 17 2 4 5 4" xfId="35956" xr:uid="{00000000-0005-0000-0000-0000748C0000}"/>
    <cellStyle name="Normal 5 17 2 4 5 5" xfId="35957" xr:uid="{00000000-0005-0000-0000-0000758C0000}"/>
    <cellStyle name="Normal 5 17 2 4 5 6" xfId="35958" xr:uid="{00000000-0005-0000-0000-0000768C0000}"/>
    <cellStyle name="Normal 5 17 2 4 5 7" xfId="35959" xr:uid="{00000000-0005-0000-0000-0000778C0000}"/>
    <cellStyle name="Normal 5 17 2 4 5 8" xfId="35960" xr:uid="{00000000-0005-0000-0000-0000788C0000}"/>
    <cellStyle name="Normal 5 17 2 4 5 9" xfId="35961" xr:uid="{00000000-0005-0000-0000-0000798C0000}"/>
    <cellStyle name="Normal 5 17 2 4 6" xfId="35962" xr:uid="{00000000-0005-0000-0000-00007A8C0000}"/>
    <cellStyle name="Normal 5 17 2 4 7" xfId="35963" xr:uid="{00000000-0005-0000-0000-00007B8C0000}"/>
    <cellStyle name="Normal 5 17 2 4 8" xfId="35964" xr:uid="{00000000-0005-0000-0000-00007C8C0000}"/>
    <cellStyle name="Normal 5 17 2 4 9" xfId="35965" xr:uid="{00000000-0005-0000-0000-00007D8C0000}"/>
    <cellStyle name="Normal 5 17 2 40" xfId="35966" xr:uid="{00000000-0005-0000-0000-00007E8C0000}"/>
    <cellStyle name="Normal 5 17 2 41" xfId="35967" xr:uid="{00000000-0005-0000-0000-00007F8C0000}"/>
    <cellStyle name="Normal 5 17 2 42" xfId="35968" xr:uid="{00000000-0005-0000-0000-0000808C0000}"/>
    <cellStyle name="Normal 5 17 2 43" xfId="35969" xr:uid="{00000000-0005-0000-0000-0000818C0000}"/>
    <cellStyle name="Normal 5 17 2 44" xfId="35970" xr:uid="{00000000-0005-0000-0000-0000828C0000}"/>
    <cellStyle name="Normal 5 17 2 45" xfId="35971" xr:uid="{00000000-0005-0000-0000-0000838C0000}"/>
    <cellStyle name="Normal 5 17 2 46" xfId="35972" xr:uid="{00000000-0005-0000-0000-0000848C0000}"/>
    <cellStyle name="Normal 5 17 2 47" xfId="35973" xr:uid="{00000000-0005-0000-0000-0000858C0000}"/>
    <cellStyle name="Normal 5 17 2 48" xfId="35974" xr:uid="{00000000-0005-0000-0000-0000868C0000}"/>
    <cellStyle name="Normal 5 17 2 5" xfId="35975" xr:uid="{00000000-0005-0000-0000-0000878C0000}"/>
    <cellStyle name="Normal 5 17 2 5 10" xfId="35976" xr:uid="{00000000-0005-0000-0000-0000888C0000}"/>
    <cellStyle name="Normal 5 17 2 5 11" xfId="35977" xr:uid="{00000000-0005-0000-0000-0000898C0000}"/>
    <cellStyle name="Normal 5 17 2 5 12" xfId="35978" xr:uid="{00000000-0005-0000-0000-00008A8C0000}"/>
    <cellStyle name="Normal 5 17 2 5 13" xfId="35979" xr:uid="{00000000-0005-0000-0000-00008B8C0000}"/>
    <cellStyle name="Normal 5 17 2 5 14" xfId="35980" xr:uid="{00000000-0005-0000-0000-00008C8C0000}"/>
    <cellStyle name="Normal 5 17 2 5 2" xfId="35981" xr:uid="{00000000-0005-0000-0000-00008D8C0000}"/>
    <cellStyle name="Normal 5 17 2 5 2 10" xfId="35982" xr:uid="{00000000-0005-0000-0000-00008E8C0000}"/>
    <cellStyle name="Normal 5 17 2 5 2 2" xfId="35983" xr:uid="{00000000-0005-0000-0000-00008F8C0000}"/>
    <cellStyle name="Normal 5 17 2 5 2 3" xfId="35984" xr:uid="{00000000-0005-0000-0000-0000908C0000}"/>
    <cellStyle name="Normal 5 17 2 5 2 4" xfId="35985" xr:uid="{00000000-0005-0000-0000-0000918C0000}"/>
    <cellStyle name="Normal 5 17 2 5 2 5" xfId="35986" xr:uid="{00000000-0005-0000-0000-0000928C0000}"/>
    <cellStyle name="Normal 5 17 2 5 2 6" xfId="35987" xr:uid="{00000000-0005-0000-0000-0000938C0000}"/>
    <cellStyle name="Normal 5 17 2 5 2 7" xfId="35988" xr:uid="{00000000-0005-0000-0000-0000948C0000}"/>
    <cellStyle name="Normal 5 17 2 5 2 8" xfId="35989" xr:uid="{00000000-0005-0000-0000-0000958C0000}"/>
    <cellStyle name="Normal 5 17 2 5 2 9" xfId="35990" xr:uid="{00000000-0005-0000-0000-0000968C0000}"/>
    <cellStyle name="Normal 5 17 2 5 3" xfId="35991" xr:uid="{00000000-0005-0000-0000-0000978C0000}"/>
    <cellStyle name="Normal 5 17 2 5 3 10" xfId="35992" xr:uid="{00000000-0005-0000-0000-0000988C0000}"/>
    <cellStyle name="Normal 5 17 2 5 3 2" xfId="35993" xr:uid="{00000000-0005-0000-0000-0000998C0000}"/>
    <cellStyle name="Normal 5 17 2 5 3 3" xfId="35994" xr:uid="{00000000-0005-0000-0000-00009A8C0000}"/>
    <cellStyle name="Normal 5 17 2 5 3 4" xfId="35995" xr:uid="{00000000-0005-0000-0000-00009B8C0000}"/>
    <cellStyle name="Normal 5 17 2 5 3 5" xfId="35996" xr:uid="{00000000-0005-0000-0000-00009C8C0000}"/>
    <cellStyle name="Normal 5 17 2 5 3 6" xfId="35997" xr:uid="{00000000-0005-0000-0000-00009D8C0000}"/>
    <cellStyle name="Normal 5 17 2 5 3 7" xfId="35998" xr:uid="{00000000-0005-0000-0000-00009E8C0000}"/>
    <cellStyle name="Normal 5 17 2 5 3 8" xfId="35999" xr:uid="{00000000-0005-0000-0000-00009F8C0000}"/>
    <cellStyle name="Normal 5 17 2 5 3 9" xfId="36000" xr:uid="{00000000-0005-0000-0000-0000A08C0000}"/>
    <cellStyle name="Normal 5 17 2 5 4" xfId="36001" xr:uid="{00000000-0005-0000-0000-0000A18C0000}"/>
    <cellStyle name="Normal 5 17 2 5 4 10" xfId="36002" xr:uid="{00000000-0005-0000-0000-0000A28C0000}"/>
    <cellStyle name="Normal 5 17 2 5 4 2" xfId="36003" xr:uid="{00000000-0005-0000-0000-0000A38C0000}"/>
    <cellStyle name="Normal 5 17 2 5 4 3" xfId="36004" xr:uid="{00000000-0005-0000-0000-0000A48C0000}"/>
    <cellStyle name="Normal 5 17 2 5 4 4" xfId="36005" xr:uid="{00000000-0005-0000-0000-0000A58C0000}"/>
    <cellStyle name="Normal 5 17 2 5 4 5" xfId="36006" xr:uid="{00000000-0005-0000-0000-0000A68C0000}"/>
    <cellStyle name="Normal 5 17 2 5 4 6" xfId="36007" xr:uid="{00000000-0005-0000-0000-0000A78C0000}"/>
    <cellStyle name="Normal 5 17 2 5 4 7" xfId="36008" xr:uid="{00000000-0005-0000-0000-0000A88C0000}"/>
    <cellStyle name="Normal 5 17 2 5 4 8" xfId="36009" xr:uid="{00000000-0005-0000-0000-0000A98C0000}"/>
    <cellStyle name="Normal 5 17 2 5 4 9" xfId="36010" xr:uid="{00000000-0005-0000-0000-0000AA8C0000}"/>
    <cellStyle name="Normal 5 17 2 5 5" xfId="36011" xr:uid="{00000000-0005-0000-0000-0000AB8C0000}"/>
    <cellStyle name="Normal 5 17 2 5 5 10" xfId="36012" xr:uid="{00000000-0005-0000-0000-0000AC8C0000}"/>
    <cellStyle name="Normal 5 17 2 5 5 2" xfId="36013" xr:uid="{00000000-0005-0000-0000-0000AD8C0000}"/>
    <cellStyle name="Normal 5 17 2 5 5 3" xfId="36014" xr:uid="{00000000-0005-0000-0000-0000AE8C0000}"/>
    <cellStyle name="Normal 5 17 2 5 5 4" xfId="36015" xr:uid="{00000000-0005-0000-0000-0000AF8C0000}"/>
    <cellStyle name="Normal 5 17 2 5 5 5" xfId="36016" xr:uid="{00000000-0005-0000-0000-0000B08C0000}"/>
    <cellStyle name="Normal 5 17 2 5 5 6" xfId="36017" xr:uid="{00000000-0005-0000-0000-0000B18C0000}"/>
    <cellStyle name="Normal 5 17 2 5 5 7" xfId="36018" xr:uid="{00000000-0005-0000-0000-0000B28C0000}"/>
    <cellStyle name="Normal 5 17 2 5 5 8" xfId="36019" xr:uid="{00000000-0005-0000-0000-0000B38C0000}"/>
    <cellStyle name="Normal 5 17 2 5 5 9" xfId="36020" xr:uid="{00000000-0005-0000-0000-0000B48C0000}"/>
    <cellStyle name="Normal 5 17 2 5 6" xfId="36021" xr:uid="{00000000-0005-0000-0000-0000B58C0000}"/>
    <cellStyle name="Normal 5 17 2 5 7" xfId="36022" xr:uid="{00000000-0005-0000-0000-0000B68C0000}"/>
    <cellStyle name="Normal 5 17 2 5 8" xfId="36023" xr:uid="{00000000-0005-0000-0000-0000B78C0000}"/>
    <cellStyle name="Normal 5 17 2 5 9" xfId="36024" xr:uid="{00000000-0005-0000-0000-0000B88C0000}"/>
    <cellStyle name="Normal 5 17 2 6" xfId="36025" xr:uid="{00000000-0005-0000-0000-0000B98C0000}"/>
    <cellStyle name="Normal 5 17 2 6 10" xfId="36026" xr:uid="{00000000-0005-0000-0000-0000BA8C0000}"/>
    <cellStyle name="Normal 5 17 2 6 11" xfId="36027" xr:uid="{00000000-0005-0000-0000-0000BB8C0000}"/>
    <cellStyle name="Normal 5 17 2 6 12" xfId="36028" xr:uid="{00000000-0005-0000-0000-0000BC8C0000}"/>
    <cellStyle name="Normal 5 17 2 6 13" xfId="36029" xr:uid="{00000000-0005-0000-0000-0000BD8C0000}"/>
    <cellStyle name="Normal 5 17 2 6 14" xfId="36030" xr:uid="{00000000-0005-0000-0000-0000BE8C0000}"/>
    <cellStyle name="Normal 5 17 2 6 2" xfId="36031" xr:uid="{00000000-0005-0000-0000-0000BF8C0000}"/>
    <cellStyle name="Normal 5 17 2 6 2 10" xfId="36032" xr:uid="{00000000-0005-0000-0000-0000C08C0000}"/>
    <cellStyle name="Normal 5 17 2 6 2 2" xfId="36033" xr:uid="{00000000-0005-0000-0000-0000C18C0000}"/>
    <cellStyle name="Normal 5 17 2 6 2 3" xfId="36034" xr:uid="{00000000-0005-0000-0000-0000C28C0000}"/>
    <cellStyle name="Normal 5 17 2 6 2 4" xfId="36035" xr:uid="{00000000-0005-0000-0000-0000C38C0000}"/>
    <cellStyle name="Normal 5 17 2 6 2 5" xfId="36036" xr:uid="{00000000-0005-0000-0000-0000C48C0000}"/>
    <cellStyle name="Normal 5 17 2 6 2 6" xfId="36037" xr:uid="{00000000-0005-0000-0000-0000C58C0000}"/>
    <cellStyle name="Normal 5 17 2 6 2 7" xfId="36038" xr:uid="{00000000-0005-0000-0000-0000C68C0000}"/>
    <cellStyle name="Normal 5 17 2 6 2 8" xfId="36039" xr:uid="{00000000-0005-0000-0000-0000C78C0000}"/>
    <cellStyle name="Normal 5 17 2 6 2 9" xfId="36040" xr:uid="{00000000-0005-0000-0000-0000C88C0000}"/>
    <cellStyle name="Normal 5 17 2 6 3" xfId="36041" xr:uid="{00000000-0005-0000-0000-0000C98C0000}"/>
    <cellStyle name="Normal 5 17 2 6 3 10" xfId="36042" xr:uid="{00000000-0005-0000-0000-0000CA8C0000}"/>
    <cellStyle name="Normal 5 17 2 6 3 2" xfId="36043" xr:uid="{00000000-0005-0000-0000-0000CB8C0000}"/>
    <cellStyle name="Normal 5 17 2 6 3 3" xfId="36044" xr:uid="{00000000-0005-0000-0000-0000CC8C0000}"/>
    <cellStyle name="Normal 5 17 2 6 3 4" xfId="36045" xr:uid="{00000000-0005-0000-0000-0000CD8C0000}"/>
    <cellStyle name="Normal 5 17 2 6 3 5" xfId="36046" xr:uid="{00000000-0005-0000-0000-0000CE8C0000}"/>
    <cellStyle name="Normal 5 17 2 6 3 6" xfId="36047" xr:uid="{00000000-0005-0000-0000-0000CF8C0000}"/>
    <cellStyle name="Normal 5 17 2 6 3 7" xfId="36048" xr:uid="{00000000-0005-0000-0000-0000D08C0000}"/>
    <cellStyle name="Normal 5 17 2 6 3 8" xfId="36049" xr:uid="{00000000-0005-0000-0000-0000D18C0000}"/>
    <cellStyle name="Normal 5 17 2 6 3 9" xfId="36050" xr:uid="{00000000-0005-0000-0000-0000D28C0000}"/>
    <cellStyle name="Normal 5 17 2 6 4" xfId="36051" xr:uid="{00000000-0005-0000-0000-0000D38C0000}"/>
    <cellStyle name="Normal 5 17 2 6 4 10" xfId="36052" xr:uid="{00000000-0005-0000-0000-0000D48C0000}"/>
    <cellStyle name="Normal 5 17 2 6 4 2" xfId="36053" xr:uid="{00000000-0005-0000-0000-0000D58C0000}"/>
    <cellStyle name="Normal 5 17 2 6 4 3" xfId="36054" xr:uid="{00000000-0005-0000-0000-0000D68C0000}"/>
    <cellStyle name="Normal 5 17 2 6 4 4" xfId="36055" xr:uid="{00000000-0005-0000-0000-0000D78C0000}"/>
    <cellStyle name="Normal 5 17 2 6 4 5" xfId="36056" xr:uid="{00000000-0005-0000-0000-0000D88C0000}"/>
    <cellStyle name="Normal 5 17 2 6 4 6" xfId="36057" xr:uid="{00000000-0005-0000-0000-0000D98C0000}"/>
    <cellStyle name="Normal 5 17 2 6 4 7" xfId="36058" xr:uid="{00000000-0005-0000-0000-0000DA8C0000}"/>
    <cellStyle name="Normal 5 17 2 6 4 8" xfId="36059" xr:uid="{00000000-0005-0000-0000-0000DB8C0000}"/>
    <cellStyle name="Normal 5 17 2 6 4 9" xfId="36060" xr:uid="{00000000-0005-0000-0000-0000DC8C0000}"/>
    <cellStyle name="Normal 5 17 2 6 5" xfId="36061" xr:uid="{00000000-0005-0000-0000-0000DD8C0000}"/>
    <cellStyle name="Normal 5 17 2 6 5 10" xfId="36062" xr:uid="{00000000-0005-0000-0000-0000DE8C0000}"/>
    <cellStyle name="Normal 5 17 2 6 5 2" xfId="36063" xr:uid="{00000000-0005-0000-0000-0000DF8C0000}"/>
    <cellStyle name="Normal 5 17 2 6 5 3" xfId="36064" xr:uid="{00000000-0005-0000-0000-0000E08C0000}"/>
    <cellStyle name="Normal 5 17 2 6 5 4" xfId="36065" xr:uid="{00000000-0005-0000-0000-0000E18C0000}"/>
    <cellStyle name="Normal 5 17 2 6 5 5" xfId="36066" xr:uid="{00000000-0005-0000-0000-0000E28C0000}"/>
    <cellStyle name="Normal 5 17 2 6 5 6" xfId="36067" xr:uid="{00000000-0005-0000-0000-0000E38C0000}"/>
    <cellStyle name="Normal 5 17 2 6 5 7" xfId="36068" xr:uid="{00000000-0005-0000-0000-0000E48C0000}"/>
    <cellStyle name="Normal 5 17 2 6 5 8" xfId="36069" xr:uid="{00000000-0005-0000-0000-0000E58C0000}"/>
    <cellStyle name="Normal 5 17 2 6 5 9" xfId="36070" xr:uid="{00000000-0005-0000-0000-0000E68C0000}"/>
    <cellStyle name="Normal 5 17 2 6 6" xfId="36071" xr:uid="{00000000-0005-0000-0000-0000E78C0000}"/>
    <cellStyle name="Normal 5 17 2 6 7" xfId="36072" xr:uid="{00000000-0005-0000-0000-0000E88C0000}"/>
    <cellStyle name="Normal 5 17 2 6 8" xfId="36073" xr:uid="{00000000-0005-0000-0000-0000E98C0000}"/>
    <cellStyle name="Normal 5 17 2 6 9" xfId="36074" xr:uid="{00000000-0005-0000-0000-0000EA8C0000}"/>
    <cellStyle name="Normal 5 17 2 7" xfId="36075" xr:uid="{00000000-0005-0000-0000-0000EB8C0000}"/>
    <cellStyle name="Normal 5 17 2 7 10" xfId="36076" xr:uid="{00000000-0005-0000-0000-0000EC8C0000}"/>
    <cellStyle name="Normal 5 17 2 7 11" xfId="36077" xr:uid="{00000000-0005-0000-0000-0000ED8C0000}"/>
    <cellStyle name="Normal 5 17 2 7 12" xfId="36078" xr:uid="{00000000-0005-0000-0000-0000EE8C0000}"/>
    <cellStyle name="Normal 5 17 2 7 13" xfId="36079" xr:uid="{00000000-0005-0000-0000-0000EF8C0000}"/>
    <cellStyle name="Normal 5 17 2 7 14" xfId="36080" xr:uid="{00000000-0005-0000-0000-0000F08C0000}"/>
    <cellStyle name="Normal 5 17 2 7 2" xfId="36081" xr:uid="{00000000-0005-0000-0000-0000F18C0000}"/>
    <cellStyle name="Normal 5 17 2 7 2 10" xfId="36082" xr:uid="{00000000-0005-0000-0000-0000F28C0000}"/>
    <cellStyle name="Normal 5 17 2 7 2 2" xfId="36083" xr:uid="{00000000-0005-0000-0000-0000F38C0000}"/>
    <cellStyle name="Normal 5 17 2 7 2 3" xfId="36084" xr:uid="{00000000-0005-0000-0000-0000F48C0000}"/>
    <cellStyle name="Normal 5 17 2 7 2 4" xfId="36085" xr:uid="{00000000-0005-0000-0000-0000F58C0000}"/>
    <cellStyle name="Normal 5 17 2 7 2 5" xfId="36086" xr:uid="{00000000-0005-0000-0000-0000F68C0000}"/>
    <cellStyle name="Normal 5 17 2 7 2 6" xfId="36087" xr:uid="{00000000-0005-0000-0000-0000F78C0000}"/>
    <cellStyle name="Normal 5 17 2 7 2 7" xfId="36088" xr:uid="{00000000-0005-0000-0000-0000F88C0000}"/>
    <cellStyle name="Normal 5 17 2 7 2 8" xfId="36089" xr:uid="{00000000-0005-0000-0000-0000F98C0000}"/>
    <cellStyle name="Normal 5 17 2 7 2 9" xfId="36090" xr:uid="{00000000-0005-0000-0000-0000FA8C0000}"/>
    <cellStyle name="Normal 5 17 2 7 3" xfId="36091" xr:uid="{00000000-0005-0000-0000-0000FB8C0000}"/>
    <cellStyle name="Normal 5 17 2 7 3 10" xfId="36092" xr:uid="{00000000-0005-0000-0000-0000FC8C0000}"/>
    <cellStyle name="Normal 5 17 2 7 3 2" xfId="36093" xr:uid="{00000000-0005-0000-0000-0000FD8C0000}"/>
    <cellStyle name="Normal 5 17 2 7 3 3" xfId="36094" xr:uid="{00000000-0005-0000-0000-0000FE8C0000}"/>
    <cellStyle name="Normal 5 17 2 7 3 4" xfId="36095" xr:uid="{00000000-0005-0000-0000-0000FF8C0000}"/>
    <cellStyle name="Normal 5 17 2 7 3 5" xfId="36096" xr:uid="{00000000-0005-0000-0000-0000008D0000}"/>
    <cellStyle name="Normal 5 17 2 7 3 6" xfId="36097" xr:uid="{00000000-0005-0000-0000-0000018D0000}"/>
    <cellStyle name="Normal 5 17 2 7 3 7" xfId="36098" xr:uid="{00000000-0005-0000-0000-0000028D0000}"/>
    <cellStyle name="Normal 5 17 2 7 3 8" xfId="36099" xr:uid="{00000000-0005-0000-0000-0000038D0000}"/>
    <cellStyle name="Normal 5 17 2 7 3 9" xfId="36100" xr:uid="{00000000-0005-0000-0000-0000048D0000}"/>
    <cellStyle name="Normal 5 17 2 7 4" xfId="36101" xr:uid="{00000000-0005-0000-0000-0000058D0000}"/>
    <cellStyle name="Normal 5 17 2 7 4 10" xfId="36102" xr:uid="{00000000-0005-0000-0000-0000068D0000}"/>
    <cellStyle name="Normal 5 17 2 7 4 2" xfId="36103" xr:uid="{00000000-0005-0000-0000-0000078D0000}"/>
    <cellStyle name="Normal 5 17 2 7 4 3" xfId="36104" xr:uid="{00000000-0005-0000-0000-0000088D0000}"/>
    <cellStyle name="Normal 5 17 2 7 4 4" xfId="36105" xr:uid="{00000000-0005-0000-0000-0000098D0000}"/>
    <cellStyle name="Normal 5 17 2 7 4 5" xfId="36106" xr:uid="{00000000-0005-0000-0000-00000A8D0000}"/>
    <cellStyle name="Normal 5 17 2 7 4 6" xfId="36107" xr:uid="{00000000-0005-0000-0000-00000B8D0000}"/>
    <cellStyle name="Normal 5 17 2 7 4 7" xfId="36108" xr:uid="{00000000-0005-0000-0000-00000C8D0000}"/>
    <cellStyle name="Normal 5 17 2 7 4 8" xfId="36109" xr:uid="{00000000-0005-0000-0000-00000D8D0000}"/>
    <cellStyle name="Normal 5 17 2 7 4 9" xfId="36110" xr:uid="{00000000-0005-0000-0000-00000E8D0000}"/>
    <cellStyle name="Normal 5 17 2 7 5" xfId="36111" xr:uid="{00000000-0005-0000-0000-00000F8D0000}"/>
    <cellStyle name="Normal 5 17 2 7 5 10" xfId="36112" xr:uid="{00000000-0005-0000-0000-0000108D0000}"/>
    <cellStyle name="Normal 5 17 2 7 5 2" xfId="36113" xr:uid="{00000000-0005-0000-0000-0000118D0000}"/>
    <cellStyle name="Normal 5 17 2 7 5 3" xfId="36114" xr:uid="{00000000-0005-0000-0000-0000128D0000}"/>
    <cellStyle name="Normal 5 17 2 7 5 4" xfId="36115" xr:uid="{00000000-0005-0000-0000-0000138D0000}"/>
    <cellStyle name="Normal 5 17 2 7 5 5" xfId="36116" xr:uid="{00000000-0005-0000-0000-0000148D0000}"/>
    <cellStyle name="Normal 5 17 2 7 5 6" xfId="36117" xr:uid="{00000000-0005-0000-0000-0000158D0000}"/>
    <cellStyle name="Normal 5 17 2 7 5 7" xfId="36118" xr:uid="{00000000-0005-0000-0000-0000168D0000}"/>
    <cellStyle name="Normal 5 17 2 7 5 8" xfId="36119" xr:uid="{00000000-0005-0000-0000-0000178D0000}"/>
    <cellStyle name="Normal 5 17 2 7 5 9" xfId="36120" xr:uid="{00000000-0005-0000-0000-0000188D0000}"/>
    <cellStyle name="Normal 5 17 2 7 6" xfId="36121" xr:uid="{00000000-0005-0000-0000-0000198D0000}"/>
    <cellStyle name="Normal 5 17 2 7 7" xfId="36122" xr:uid="{00000000-0005-0000-0000-00001A8D0000}"/>
    <cellStyle name="Normal 5 17 2 7 8" xfId="36123" xr:uid="{00000000-0005-0000-0000-00001B8D0000}"/>
    <cellStyle name="Normal 5 17 2 7 9" xfId="36124" xr:uid="{00000000-0005-0000-0000-00001C8D0000}"/>
    <cellStyle name="Normal 5 17 2 8" xfId="36125" xr:uid="{00000000-0005-0000-0000-00001D8D0000}"/>
    <cellStyle name="Normal 5 17 2 8 10" xfId="36126" xr:uid="{00000000-0005-0000-0000-00001E8D0000}"/>
    <cellStyle name="Normal 5 17 2 8 11" xfId="36127" xr:uid="{00000000-0005-0000-0000-00001F8D0000}"/>
    <cellStyle name="Normal 5 17 2 8 12" xfId="36128" xr:uid="{00000000-0005-0000-0000-0000208D0000}"/>
    <cellStyle name="Normal 5 17 2 8 13" xfId="36129" xr:uid="{00000000-0005-0000-0000-0000218D0000}"/>
    <cellStyle name="Normal 5 17 2 8 14" xfId="36130" xr:uid="{00000000-0005-0000-0000-0000228D0000}"/>
    <cellStyle name="Normal 5 17 2 8 2" xfId="36131" xr:uid="{00000000-0005-0000-0000-0000238D0000}"/>
    <cellStyle name="Normal 5 17 2 8 2 10" xfId="36132" xr:uid="{00000000-0005-0000-0000-0000248D0000}"/>
    <cellStyle name="Normal 5 17 2 8 2 2" xfId="36133" xr:uid="{00000000-0005-0000-0000-0000258D0000}"/>
    <cellStyle name="Normal 5 17 2 8 2 3" xfId="36134" xr:uid="{00000000-0005-0000-0000-0000268D0000}"/>
    <cellStyle name="Normal 5 17 2 8 2 4" xfId="36135" xr:uid="{00000000-0005-0000-0000-0000278D0000}"/>
    <cellStyle name="Normal 5 17 2 8 2 5" xfId="36136" xr:uid="{00000000-0005-0000-0000-0000288D0000}"/>
    <cellStyle name="Normal 5 17 2 8 2 6" xfId="36137" xr:uid="{00000000-0005-0000-0000-0000298D0000}"/>
    <cellStyle name="Normal 5 17 2 8 2 7" xfId="36138" xr:uid="{00000000-0005-0000-0000-00002A8D0000}"/>
    <cellStyle name="Normal 5 17 2 8 2 8" xfId="36139" xr:uid="{00000000-0005-0000-0000-00002B8D0000}"/>
    <cellStyle name="Normal 5 17 2 8 2 9" xfId="36140" xr:uid="{00000000-0005-0000-0000-00002C8D0000}"/>
    <cellStyle name="Normal 5 17 2 8 3" xfId="36141" xr:uid="{00000000-0005-0000-0000-00002D8D0000}"/>
    <cellStyle name="Normal 5 17 2 8 3 10" xfId="36142" xr:uid="{00000000-0005-0000-0000-00002E8D0000}"/>
    <cellStyle name="Normal 5 17 2 8 3 2" xfId="36143" xr:uid="{00000000-0005-0000-0000-00002F8D0000}"/>
    <cellStyle name="Normal 5 17 2 8 3 3" xfId="36144" xr:uid="{00000000-0005-0000-0000-0000308D0000}"/>
    <cellStyle name="Normal 5 17 2 8 3 4" xfId="36145" xr:uid="{00000000-0005-0000-0000-0000318D0000}"/>
    <cellStyle name="Normal 5 17 2 8 3 5" xfId="36146" xr:uid="{00000000-0005-0000-0000-0000328D0000}"/>
    <cellStyle name="Normal 5 17 2 8 3 6" xfId="36147" xr:uid="{00000000-0005-0000-0000-0000338D0000}"/>
    <cellStyle name="Normal 5 17 2 8 3 7" xfId="36148" xr:uid="{00000000-0005-0000-0000-0000348D0000}"/>
    <cellStyle name="Normal 5 17 2 8 3 8" xfId="36149" xr:uid="{00000000-0005-0000-0000-0000358D0000}"/>
    <cellStyle name="Normal 5 17 2 8 3 9" xfId="36150" xr:uid="{00000000-0005-0000-0000-0000368D0000}"/>
    <cellStyle name="Normal 5 17 2 8 4" xfId="36151" xr:uid="{00000000-0005-0000-0000-0000378D0000}"/>
    <cellStyle name="Normal 5 17 2 8 4 10" xfId="36152" xr:uid="{00000000-0005-0000-0000-0000388D0000}"/>
    <cellStyle name="Normal 5 17 2 8 4 2" xfId="36153" xr:uid="{00000000-0005-0000-0000-0000398D0000}"/>
    <cellStyle name="Normal 5 17 2 8 4 3" xfId="36154" xr:uid="{00000000-0005-0000-0000-00003A8D0000}"/>
    <cellStyle name="Normal 5 17 2 8 4 4" xfId="36155" xr:uid="{00000000-0005-0000-0000-00003B8D0000}"/>
    <cellStyle name="Normal 5 17 2 8 4 5" xfId="36156" xr:uid="{00000000-0005-0000-0000-00003C8D0000}"/>
    <cellStyle name="Normal 5 17 2 8 4 6" xfId="36157" xr:uid="{00000000-0005-0000-0000-00003D8D0000}"/>
    <cellStyle name="Normal 5 17 2 8 4 7" xfId="36158" xr:uid="{00000000-0005-0000-0000-00003E8D0000}"/>
    <cellStyle name="Normal 5 17 2 8 4 8" xfId="36159" xr:uid="{00000000-0005-0000-0000-00003F8D0000}"/>
    <cellStyle name="Normal 5 17 2 8 4 9" xfId="36160" xr:uid="{00000000-0005-0000-0000-0000408D0000}"/>
    <cellStyle name="Normal 5 17 2 8 5" xfId="36161" xr:uid="{00000000-0005-0000-0000-0000418D0000}"/>
    <cellStyle name="Normal 5 17 2 8 5 10" xfId="36162" xr:uid="{00000000-0005-0000-0000-0000428D0000}"/>
    <cellStyle name="Normal 5 17 2 8 5 2" xfId="36163" xr:uid="{00000000-0005-0000-0000-0000438D0000}"/>
    <cellStyle name="Normal 5 17 2 8 5 3" xfId="36164" xr:uid="{00000000-0005-0000-0000-0000448D0000}"/>
    <cellStyle name="Normal 5 17 2 8 5 4" xfId="36165" xr:uid="{00000000-0005-0000-0000-0000458D0000}"/>
    <cellStyle name="Normal 5 17 2 8 5 5" xfId="36166" xr:uid="{00000000-0005-0000-0000-0000468D0000}"/>
    <cellStyle name="Normal 5 17 2 8 5 6" xfId="36167" xr:uid="{00000000-0005-0000-0000-0000478D0000}"/>
    <cellStyle name="Normal 5 17 2 8 5 7" xfId="36168" xr:uid="{00000000-0005-0000-0000-0000488D0000}"/>
    <cellStyle name="Normal 5 17 2 8 5 8" xfId="36169" xr:uid="{00000000-0005-0000-0000-0000498D0000}"/>
    <cellStyle name="Normal 5 17 2 8 5 9" xfId="36170" xr:uid="{00000000-0005-0000-0000-00004A8D0000}"/>
    <cellStyle name="Normal 5 17 2 8 6" xfId="36171" xr:uid="{00000000-0005-0000-0000-00004B8D0000}"/>
    <cellStyle name="Normal 5 17 2 8 7" xfId="36172" xr:uid="{00000000-0005-0000-0000-00004C8D0000}"/>
    <cellStyle name="Normal 5 17 2 8 8" xfId="36173" xr:uid="{00000000-0005-0000-0000-00004D8D0000}"/>
    <cellStyle name="Normal 5 17 2 8 9" xfId="36174" xr:uid="{00000000-0005-0000-0000-00004E8D0000}"/>
    <cellStyle name="Normal 5 17 2 9" xfId="36175" xr:uid="{00000000-0005-0000-0000-00004F8D0000}"/>
    <cellStyle name="Normal 5 17 2 9 10" xfId="36176" xr:uid="{00000000-0005-0000-0000-0000508D0000}"/>
    <cellStyle name="Normal 5 17 2 9 11" xfId="36177" xr:uid="{00000000-0005-0000-0000-0000518D0000}"/>
    <cellStyle name="Normal 5 17 2 9 12" xfId="36178" xr:uid="{00000000-0005-0000-0000-0000528D0000}"/>
    <cellStyle name="Normal 5 17 2 9 13" xfId="36179" xr:uid="{00000000-0005-0000-0000-0000538D0000}"/>
    <cellStyle name="Normal 5 17 2 9 14" xfId="36180" xr:uid="{00000000-0005-0000-0000-0000548D0000}"/>
    <cellStyle name="Normal 5 17 2 9 2" xfId="36181" xr:uid="{00000000-0005-0000-0000-0000558D0000}"/>
    <cellStyle name="Normal 5 17 2 9 2 10" xfId="36182" xr:uid="{00000000-0005-0000-0000-0000568D0000}"/>
    <cellStyle name="Normal 5 17 2 9 2 2" xfId="36183" xr:uid="{00000000-0005-0000-0000-0000578D0000}"/>
    <cellStyle name="Normal 5 17 2 9 2 3" xfId="36184" xr:uid="{00000000-0005-0000-0000-0000588D0000}"/>
    <cellStyle name="Normal 5 17 2 9 2 4" xfId="36185" xr:uid="{00000000-0005-0000-0000-0000598D0000}"/>
    <cellStyle name="Normal 5 17 2 9 2 5" xfId="36186" xr:uid="{00000000-0005-0000-0000-00005A8D0000}"/>
    <cellStyle name="Normal 5 17 2 9 2 6" xfId="36187" xr:uid="{00000000-0005-0000-0000-00005B8D0000}"/>
    <cellStyle name="Normal 5 17 2 9 2 7" xfId="36188" xr:uid="{00000000-0005-0000-0000-00005C8D0000}"/>
    <cellStyle name="Normal 5 17 2 9 2 8" xfId="36189" xr:uid="{00000000-0005-0000-0000-00005D8D0000}"/>
    <cellStyle name="Normal 5 17 2 9 2 9" xfId="36190" xr:uid="{00000000-0005-0000-0000-00005E8D0000}"/>
    <cellStyle name="Normal 5 17 2 9 3" xfId="36191" xr:uid="{00000000-0005-0000-0000-00005F8D0000}"/>
    <cellStyle name="Normal 5 17 2 9 3 10" xfId="36192" xr:uid="{00000000-0005-0000-0000-0000608D0000}"/>
    <cellStyle name="Normal 5 17 2 9 3 2" xfId="36193" xr:uid="{00000000-0005-0000-0000-0000618D0000}"/>
    <cellStyle name="Normal 5 17 2 9 3 3" xfId="36194" xr:uid="{00000000-0005-0000-0000-0000628D0000}"/>
    <cellStyle name="Normal 5 17 2 9 3 4" xfId="36195" xr:uid="{00000000-0005-0000-0000-0000638D0000}"/>
    <cellStyle name="Normal 5 17 2 9 3 5" xfId="36196" xr:uid="{00000000-0005-0000-0000-0000648D0000}"/>
    <cellStyle name="Normal 5 17 2 9 3 6" xfId="36197" xr:uid="{00000000-0005-0000-0000-0000658D0000}"/>
    <cellStyle name="Normal 5 17 2 9 3 7" xfId="36198" xr:uid="{00000000-0005-0000-0000-0000668D0000}"/>
    <cellStyle name="Normal 5 17 2 9 3 8" xfId="36199" xr:uid="{00000000-0005-0000-0000-0000678D0000}"/>
    <cellStyle name="Normal 5 17 2 9 3 9" xfId="36200" xr:uid="{00000000-0005-0000-0000-0000688D0000}"/>
    <cellStyle name="Normal 5 17 2 9 4" xfId="36201" xr:uid="{00000000-0005-0000-0000-0000698D0000}"/>
    <cellStyle name="Normal 5 17 2 9 4 10" xfId="36202" xr:uid="{00000000-0005-0000-0000-00006A8D0000}"/>
    <cellStyle name="Normal 5 17 2 9 4 2" xfId="36203" xr:uid="{00000000-0005-0000-0000-00006B8D0000}"/>
    <cellStyle name="Normal 5 17 2 9 4 3" xfId="36204" xr:uid="{00000000-0005-0000-0000-00006C8D0000}"/>
    <cellStyle name="Normal 5 17 2 9 4 4" xfId="36205" xr:uid="{00000000-0005-0000-0000-00006D8D0000}"/>
    <cellStyle name="Normal 5 17 2 9 4 5" xfId="36206" xr:uid="{00000000-0005-0000-0000-00006E8D0000}"/>
    <cellStyle name="Normal 5 17 2 9 4 6" xfId="36207" xr:uid="{00000000-0005-0000-0000-00006F8D0000}"/>
    <cellStyle name="Normal 5 17 2 9 4 7" xfId="36208" xr:uid="{00000000-0005-0000-0000-0000708D0000}"/>
    <cellStyle name="Normal 5 17 2 9 4 8" xfId="36209" xr:uid="{00000000-0005-0000-0000-0000718D0000}"/>
    <cellStyle name="Normal 5 17 2 9 4 9" xfId="36210" xr:uid="{00000000-0005-0000-0000-0000728D0000}"/>
    <cellStyle name="Normal 5 17 2 9 5" xfId="36211" xr:uid="{00000000-0005-0000-0000-0000738D0000}"/>
    <cellStyle name="Normal 5 17 2 9 5 10" xfId="36212" xr:uid="{00000000-0005-0000-0000-0000748D0000}"/>
    <cellStyle name="Normal 5 17 2 9 5 2" xfId="36213" xr:uid="{00000000-0005-0000-0000-0000758D0000}"/>
    <cellStyle name="Normal 5 17 2 9 5 3" xfId="36214" xr:uid="{00000000-0005-0000-0000-0000768D0000}"/>
    <cellStyle name="Normal 5 17 2 9 5 4" xfId="36215" xr:uid="{00000000-0005-0000-0000-0000778D0000}"/>
    <cellStyle name="Normal 5 17 2 9 5 5" xfId="36216" xr:uid="{00000000-0005-0000-0000-0000788D0000}"/>
    <cellStyle name="Normal 5 17 2 9 5 6" xfId="36217" xr:uid="{00000000-0005-0000-0000-0000798D0000}"/>
    <cellStyle name="Normal 5 17 2 9 5 7" xfId="36218" xr:uid="{00000000-0005-0000-0000-00007A8D0000}"/>
    <cellStyle name="Normal 5 17 2 9 5 8" xfId="36219" xr:uid="{00000000-0005-0000-0000-00007B8D0000}"/>
    <cellStyle name="Normal 5 17 2 9 5 9" xfId="36220" xr:uid="{00000000-0005-0000-0000-00007C8D0000}"/>
    <cellStyle name="Normal 5 17 2 9 6" xfId="36221" xr:uid="{00000000-0005-0000-0000-00007D8D0000}"/>
    <cellStyle name="Normal 5 17 2 9 7" xfId="36222" xr:uid="{00000000-0005-0000-0000-00007E8D0000}"/>
    <cellStyle name="Normal 5 17 2 9 8" xfId="36223" xr:uid="{00000000-0005-0000-0000-00007F8D0000}"/>
    <cellStyle name="Normal 5 17 2 9 9" xfId="36224" xr:uid="{00000000-0005-0000-0000-0000808D0000}"/>
    <cellStyle name="Normal 5 17 20" xfId="36225" xr:uid="{00000000-0005-0000-0000-0000818D0000}"/>
    <cellStyle name="Normal 5 17 20 10" xfId="36226" xr:uid="{00000000-0005-0000-0000-0000828D0000}"/>
    <cellStyle name="Normal 5 17 20 11" xfId="36227" xr:uid="{00000000-0005-0000-0000-0000838D0000}"/>
    <cellStyle name="Normal 5 17 20 12" xfId="36228" xr:uid="{00000000-0005-0000-0000-0000848D0000}"/>
    <cellStyle name="Normal 5 17 20 13" xfId="36229" xr:uid="{00000000-0005-0000-0000-0000858D0000}"/>
    <cellStyle name="Normal 5 17 20 14" xfId="36230" xr:uid="{00000000-0005-0000-0000-0000868D0000}"/>
    <cellStyle name="Normal 5 17 20 2" xfId="36231" xr:uid="{00000000-0005-0000-0000-0000878D0000}"/>
    <cellStyle name="Normal 5 17 20 2 10" xfId="36232" xr:uid="{00000000-0005-0000-0000-0000888D0000}"/>
    <cellStyle name="Normal 5 17 20 2 2" xfId="36233" xr:uid="{00000000-0005-0000-0000-0000898D0000}"/>
    <cellStyle name="Normal 5 17 20 2 3" xfId="36234" xr:uid="{00000000-0005-0000-0000-00008A8D0000}"/>
    <cellStyle name="Normal 5 17 20 2 4" xfId="36235" xr:uid="{00000000-0005-0000-0000-00008B8D0000}"/>
    <cellStyle name="Normal 5 17 20 2 5" xfId="36236" xr:uid="{00000000-0005-0000-0000-00008C8D0000}"/>
    <cellStyle name="Normal 5 17 20 2 6" xfId="36237" xr:uid="{00000000-0005-0000-0000-00008D8D0000}"/>
    <cellStyle name="Normal 5 17 20 2 7" xfId="36238" xr:uid="{00000000-0005-0000-0000-00008E8D0000}"/>
    <cellStyle name="Normal 5 17 20 2 8" xfId="36239" xr:uid="{00000000-0005-0000-0000-00008F8D0000}"/>
    <cellStyle name="Normal 5 17 20 2 9" xfId="36240" xr:uid="{00000000-0005-0000-0000-0000908D0000}"/>
    <cellStyle name="Normal 5 17 20 3" xfId="36241" xr:uid="{00000000-0005-0000-0000-0000918D0000}"/>
    <cellStyle name="Normal 5 17 20 3 10" xfId="36242" xr:uid="{00000000-0005-0000-0000-0000928D0000}"/>
    <cellStyle name="Normal 5 17 20 3 2" xfId="36243" xr:uid="{00000000-0005-0000-0000-0000938D0000}"/>
    <cellStyle name="Normal 5 17 20 3 3" xfId="36244" xr:uid="{00000000-0005-0000-0000-0000948D0000}"/>
    <cellStyle name="Normal 5 17 20 3 4" xfId="36245" xr:uid="{00000000-0005-0000-0000-0000958D0000}"/>
    <cellStyle name="Normal 5 17 20 3 5" xfId="36246" xr:uid="{00000000-0005-0000-0000-0000968D0000}"/>
    <cellStyle name="Normal 5 17 20 3 6" xfId="36247" xr:uid="{00000000-0005-0000-0000-0000978D0000}"/>
    <cellStyle name="Normal 5 17 20 3 7" xfId="36248" xr:uid="{00000000-0005-0000-0000-0000988D0000}"/>
    <cellStyle name="Normal 5 17 20 3 8" xfId="36249" xr:uid="{00000000-0005-0000-0000-0000998D0000}"/>
    <cellStyle name="Normal 5 17 20 3 9" xfId="36250" xr:uid="{00000000-0005-0000-0000-00009A8D0000}"/>
    <cellStyle name="Normal 5 17 20 4" xfId="36251" xr:uid="{00000000-0005-0000-0000-00009B8D0000}"/>
    <cellStyle name="Normal 5 17 20 4 10" xfId="36252" xr:uid="{00000000-0005-0000-0000-00009C8D0000}"/>
    <cellStyle name="Normal 5 17 20 4 2" xfId="36253" xr:uid="{00000000-0005-0000-0000-00009D8D0000}"/>
    <cellStyle name="Normal 5 17 20 4 3" xfId="36254" xr:uid="{00000000-0005-0000-0000-00009E8D0000}"/>
    <cellStyle name="Normal 5 17 20 4 4" xfId="36255" xr:uid="{00000000-0005-0000-0000-00009F8D0000}"/>
    <cellStyle name="Normal 5 17 20 4 5" xfId="36256" xr:uid="{00000000-0005-0000-0000-0000A08D0000}"/>
    <cellStyle name="Normal 5 17 20 4 6" xfId="36257" xr:uid="{00000000-0005-0000-0000-0000A18D0000}"/>
    <cellStyle name="Normal 5 17 20 4 7" xfId="36258" xr:uid="{00000000-0005-0000-0000-0000A28D0000}"/>
    <cellStyle name="Normal 5 17 20 4 8" xfId="36259" xr:uid="{00000000-0005-0000-0000-0000A38D0000}"/>
    <cellStyle name="Normal 5 17 20 4 9" xfId="36260" xr:uid="{00000000-0005-0000-0000-0000A48D0000}"/>
    <cellStyle name="Normal 5 17 20 5" xfId="36261" xr:uid="{00000000-0005-0000-0000-0000A58D0000}"/>
    <cellStyle name="Normal 5 17 20 5 10" xfId="36262" xr:uid="{00000000-0005-0000-0000-0000A68D0000}"/>
    <cellStyle name="Normal 5 17 20 5 2" xfId="36263" xr:uid="{00000000-0005-0000-0000-0000A78D0000}"/>
    <cellStyle name="Normal 5 17 20 5 3" xfId="36264" xr:uid="{00000000-0005-0000-0000-0000A88D0000}"/>
    <cellStyle name="Normal 5 17 20 5 4" xfId="36265" xr:uid="{00000000-0005-0000-0000-0000A98D0000}"/>
    <cellStyle name="Normal 5 17 20 5 5" xfId="36266" xr:uid="{00000000-0005-0000-0000-0000AA8D0000}"/>
    <cellStyle name="Normal 5 17 20 5 6" xfId="36267" xr:uid="{00000000-0005-0000-0000-0000AB8D0000}"/>
    <cellStyle name="Normal 5 17 20 5 7" xfId="36268" xr:uid="{00000000-0005-0000-0000-0000AC8D0000}"/>
    <cellStyle name="Normal 5 17 20 5 8" xfId="36269" xr:uid="{00000000-0005-0000-0000-0000AD8D0000}"/>
    <cellStyle name="Normal 5 17 20 5 9" xfId="36270" xr:uid="{00000000-0005-0000-0000-0000AE8D0000}"/>
    <cellStyle name="Normal 5 17 20 6" xfId="36271" xr:uid="{00000000-0005-0000-0000-0000AF8D0000}"/>
    <cellStyle name="Normal 5 17 20 7" xfId="36272" xr:uid="{00000000-0005-0000-0000-0000B08D0000}"/>
    <cellStyle name="Normal 5 17 20 8" xfId="36273" xr:uid="{00000000-0005-0000-0000-0000B18D0000}"/>
    <cellStyle name="Normal 5 17 20 9" xfId="36274" xr:uid="{00000000-0005-0000-0000-0000B28D0000}"/>
    <cellStyle name="Normal 5 17 21" xfId="36275" xr:uid="{00000000-0005-0000-0000-0000B38D0000}"/>
    <cellStyle name="Normal 5 17 21 10" xfId="36276" xr:uid="{00000000-0005-0000-0000-0000B48D0000}"/>
    <cellStyle name="Normal 5 17 21 11" xfId="36277" xr:uid="{00000000-0005-0000-0000-0000B58D0000}"/>
    <cellStyle name="Normal 5 17 21 12" xfId="36278" xr:uid="{00000000-0005-0000-0000-0000B68D0000}"/>
    <cellStyle name="Normal 5 17 21 13" xfId="36279" xr:uid="{00000000-0005-0000-0000-0000B78D0000}"/>
    <cellStyle name="Normal 5 17 21 14" xfId="36280" xr:uid="{00000000-0005-0000-0000-0000B88D0000}"/>
    <cellStyle name="Normal 5 17 21 2" xfId="36281" xr:uid="{00000000-0005-0000-0000-0000B98D0000}"/>
    <cellStyle name="Normal 5 17 21 2 10" xfId="36282" xr:uid="{00000000-0005-0000-0000-0000BA8D0000}"/>
    <cellStyle name="Normal 5 17 21 2 2" xfId="36283" xr:uid="{00000000-0005-0000-0000-0000BB8D0000}"/>
    <cellStyle name="Normal 5 17 21 2 3" xfId="36284" xr:uid="{00000000-0005-0000-0000-0000BC8D0000}"/>
    <cellStyle name="Normal 5 17 21 2 4" xfId="36285" xr:uid="{00000000-0005-0000-0000-0000BD8D0000}"/>
    <cellStyle name="Normal 5 17 21 2 5" xfId="36286" xr:uid="{00000000-0005-0000-0000-0000BE8D0000}"/>
    <cellStyle name="Normal 5 17 21 2 6" xfId="36287" xr:uid="{00000000-0005-0000-0000-0000BF8D0000}"/>
    <cellStyle name="Normal 5 17 21 2 7" xfId="36288" xr:uid="{00000000-0005-0000-0000-0000C08D0000}"/>
    <cellStyle name="Normal 5 17 21 2 8" xfId="36289" xr:uid="{00000000-0005-0000-0000-0000C18D0000}"/>
    <cellStyle name="Normal 5 17 21 2 9" xfId="36290" xr:uid="{00000000-0005-0000-0000-0000C28D0000}"/>
    <cellStyle name="Normal 5 17 21 3" xfId="36291" xr:uid="{00000000-0005-0000-0000-0000C38D0000}"/>
    <cellStyle name="Normal 5 17 21 3 10" xfId="36292" xr:uid="{00000000-0005-0000-0000-0000C48D0000}"/>
    <cellStyle name="Normal 5 17 21 3 2" xfId="36293" xr:uid="{00000000-0005-0000-0000-0000C58D0000}"/>
    <cellStyle name="Normal 5 17 21 3 3" xfId="36294" xr:uid="{00000000-0005-0000-0000-0000C68D0000}"/>
    <cellStyle name="Normal 5 17 21 3 4" xfId="36295" xr:uid="{00000000-0005-0000-0000-0000C78D0000}"/>
    <cellStyle name="Normal 5 17 21 3 5" xfId="36296" xr:uid="{00000000-0005-0000-0000-0000C88D0000}"/>
    <cellStyle name="Normal 5 17 21 3 6" xfId="36297" xr:uid="{00000000-0005-0000-0000-0000C98D0000}"/>
    <cellStyle name="Normal 5 17 21 3 7" xfId="36298" xr:uid="{00000000-0005-0000-0000-0000CA8D0000}"/>
    <cellStyle name="Normal 5 17 21 3 8" xfId="36299" xr:uid="{00000000-0005-0000-0000-0000CB8D0000}"/>
    <cellStyle name="Normal 5 17 21 3 9" xfId="36300" xr:uid="{00000000-0005-0000-0000-0000CC8D0000}"/>
    <cellStyle name="Normal 5 17 21 4" xfId="36301" xr:uid="{00000000-0005-0000-0000-0000CD8D0000}"/>
    <cellStyle name="Normal 5 17 21 4 10" xfId="36302" xr:uid="{00000000-0005-0000-0000-0000CE8D0000}"/>
    <cellStyle name="Normal 5 17 21 4 2" xfId="36303" xr:uid="{00000000-0005-0000-0000-0000CF8D0000}"/>
    <cellStyle name="Normal 5 17 21 4 3" xfId="36304" xr:uid="{00000000-0005-0000-0000-0000D08D0000}"/>
    <cellStyle name="Normal 5 17 21 4 4" xfId="36305" xr:uid="{00000000-0005-0000-0000-0000D18D0000}"/>
    <cellStyle name="Normal 5 17 21 4 5" xfId="36306" xr:uid="{00000000-0005-0000-0000-0000D28D0000}"/>
    <cellStyle name="Normal 5 17 21 4 6" xfId="36307" xr:uid="{00000000-0005-0000-0000-0000D38D0000}"/>
    <cellStyle name="Normal 5 17 21 4 7" xfId="36308" xr:uid="{00000000-0005-0000-0000-0000D48D0000}"/>
    <cellStyle name="Normal 5 17 21 4 8" xfId="36309" xr:uid="{00000000-0005-0000-0000-0000D58D0000}"/>
    <cellStyle name="Normal 5 17 21 4 9" xfId="36310" xr:uid="{00000000-0005-0000-0000-0000D68D0000}"/>
    <cellStyle name="Normal 5 17 21 5" xfId="36311" xr:uid="{00000000-0005-0000-0000-0000D78D0000}"/>
    <cellStyle name="Normal 5 17 21 5 10" xfId="36312" xr:uid="{00000000-0005-0000-0000-0000D88D0000}"/>
    <cellStyle name="Normal 5 17 21 5 2" xfId="36313" xr:uid="{00000000-0005-0000-0000-0000D98D0000}"/>
    <cellStyle name="Normal 5 17 21 5 3" xfId="36314" xr:uid="{00000000-0005-0000-0000-0000DA8D0000}"/>
    <cellStyle name="Normal 5 17 21 5 4" xfId="36315" xr:uid="{00000000-0005-0000-0000-0000DB8D0000}"/>
    <cellStyle name="Normal 5 17 21 5 5" xfId="36316" xr:uid="{00000000-0005-0000-0000-0000DC8D0000}"/>
    <cellStyle name="Normal 5 17 21 5 6" xfId="36317" xr:uid="{00000000-0005-0000-0000-0000DD8D0000}"/>
    <cellStyle name="Normal 5 17 21 5 7" xfId="36318" xr:uid="{00000000-0005-0000-0000-0000DE8D0000}"/>
    <cellStyle name="Normal 5 17 21 5 8" xfId="36319" xr:uid="{00000000-0005-0000-0000-0000DF8D0000}"/>
    <cellStyle name="Normal 5 17 21 5 9" xfId="36320" xr:uid="{00000000-0005-0000-0000-0000E08D0000}"/>
    <cellStyle name="Normal 5 17 21 6" xfId="36321" xr:uid="{00000000-0005-0000-0000-0000E18D0000}"/>
    <cellStyle name="Normal 5 17 21 7" xfId="36322" xr:uid="{00000000-0005-0000-0000-0000E28D0000}"/>
    <cellStyle name="Normal 5 17 21 8" xfId="36323" xr:uid="{00000000-0005-0000-0000-0000E38D0000}"/>
    <cellStyle name="Normal 5 17 21 9" xfId="36324" xr:uid="{00000000-0005-0000-0000-0000E48D0000}"/>
    <cellStyle name="Normal 5 17 22" xfId="36325" xr:uid="{00000000-0005-0000-0000-0000E58D0000}"/>
    <cellStyle name="Normal 5 17 22 10" xfId="36326" xr:uid="{00000000-0005-0000-0000-0000E68D0000}"/>
    <cellStyle name="Normal 5 17 22 11" xfId="36327" xr:uid="{00000000-0005-0000-0000-0000E78D0000}"/>
    <cellStyle name="Normal 5 17 22 12" xfId="36328" xr:uid="{00000000-0005-0000-0000-0000E88D0000}"/>
    <cellStyle name="Normal 5 17 22 13" xfId="36329" xr:uid="{00000000-0005-0000-0000-0000E98D0000}"/>
    <cellStyle name="Normal 5 17 22 14" xfId="36330" xr:uid="{00000000-0005-0000-0000-0000EA8D0000}"/>
    <cellStyle name="Normal 5 17 22 2" xfId="36331" xr:uid="{00000000-0005-0000-0000-0000EB8D0000}"/>
    <cellStyle name="Normal 5 17 22 2 10" xfId="36332" xr:uid="{00000000-0005-0000-0000-0000EC8D0000}"/>
    <cellStyle name="Normal 5 17 22 2 2" xfId="36333" xr:uid="{00000000-0005-0000-0000-0000ED8D0000}"/>
    <cellStyle name="Normal 5 17 22 2 3" xfId="36334" xr:uid="{00000000-0005-0000-0000-0000EE8D0000}"/>
    <cellStyle name="Normal 5 17 22 2 4" xfId="36335" xr:uid="{00000000-0005-0000-0000-0000EF8D0000}"/>
    <cellStyle name="Normal 5 17 22 2 5" xfId="36336" xr:uid="{00000000-0005-0000-0000-0000F08D0000}"/>
    <cellStyle name="Normal 5 17 22 2 6" xfId="36337" xr:uid="{00000000-0005-0000-0000-0000F18D0000}"/>
    <cellStyle name="Normal 5 17 22 2 7" xfId="36338" xr:uid="{00000000-0005-0000-0000-0000F28D0000}"/>
    <cellStyle name="Normal 5 17 22 2 8" xfId="36339" xr:uid="{00000000-0005-0000-0000-0000F38D0000}"/>
    <cellStyle name="Normal 5 17 22 2 9" xfId="36340" xr:uid="{00000000-0005-0000-0000-0000F48D0000}"/>
    <cellStyle name="Normal 5 17 22 3" xfId="36341" xr:uid="{00000000-0005-0000-0000-0000F58D0000}"/>
    <cellStyle name="Normal 5 17 22 3 10" xfId="36342" xr:uid="{00000000-0005-0000-0000-0000F68D0000}"/>
    <cellStyle name="Normal 5 17 22 3 2" xfId="36343" xr:uid="{00000000-0005-0000-0000-0000F78D0000}"/>
    <cellStyle name="Normal 5 17 22 3 3" xfId="36344" xr:uid="{00000000-0005-0000-0000-0000F88D0000}"/>
    <cellStyle name="Normal 5 17 22 3 4" xfId="36345" xr:uid="{00000000-0005-0000-0000-0000F98D0000}"/>
    <cellStyle name="Normal 5 17 22 3 5" xfId="36346" xr:uid="{00000000-0005-0000-0000-0000FA8D0000}"/>
    <cellStyle name="Normal 5 17 22 3 6" xfId="36347" xr:uid="{00000000-0005-0000-0000-0000FB8D0000}"/>
    <cellStyle name="Normal 5 17 22 3 7" xfId="36348" xr:uid="{00000000-0005-0000-0000-0000FC8D0000}"/>
    <cellStyle name="Normal 5 17 22 3 8" xfId="36349" xr:uid="{00000000-0005-0000-0000-0000FD8D0000}"/>
    <cellStyle name="Normal 5 17 22 3 9" xfId="36350" xr:uid="{00000000-0005-0000-0000-0000FE8D0000}"/>
    <cellStyle name="Normal 5 17 22 4" xfId="36351" xr:uid="{00000000-0005-0000-0000-0000FF8D0000}"/>
    <cellStyle name="Normal 5 17 22 4 10" xfId="36352" xr:uid="{00000000-0005-0000-0000-0000008E0000}"/>
    <cellStyle name="Normal 5 17 22 4 2" xfId="36353" xr:uid="{00000000-0005-0000-0000-0000018E0000}"/>
    <cellStyle name="Normal 5 17 22 4 3" xfId="36354" xr:uid="{00000000-0005-0000-0000-0000028E0000}"/>
    <cellStyle name="Normal 5 17 22 4 4" xfId="36355" xr:uid="{00000000-0005-0000-0000-0000038E0000}"/>
    <cellStyle name="Normal 5 17 22 4 5" xfId="36356" xr:uid="{00000000-0005-0000-0000-0000048E0000}"/>
    <cellStyle name="Normal 5 17 22 4 6" xfId="36357" xr:uid="{00000000-0005-0000-0000-0000058E0000}"/>
    <cellStyle name="Normal 5 17 22 4 7" xfId="36358" xr:uid="{00000000-0005-0000-0000-0000068E0000}"/>
    <cellStyle name="Normal 5 17 22 4 8" xfId="36359" xr:uid="{00000000-0005-0000-0000-0000078E0000}"/>
    <cellStyle name="Normal 5 17 22 4 9" xfId="36360" xr:uid="{00000000-0005-0000-0000-0000088E0000}"/>
    <cellStyle name="Normal 5 17 22 5" xfId="36361" xr:uid="{00000000-0005-0000-0000-0000098E0000}"/>
    <cellStyle name="Normal 5 17 22 5 10" xfId="36362" xr:uid="{00000000-0005-0000-0000-00000A8E0000}"/>
    <cellStyle name="Normal 5 17 22 5 2" xfId="36363" xr:uid="{00000000-0005-0000-0000-00000B8E0000}"/>
    <cellStyle name="Normal 5 17 22 5 3" xfId="36364" xr:uid="{00000000-0005-0000-0000-00000C8E0000}"/>
    <cellStyle name="Normal 5 17 22 5 4" xfId="36365" xr:uid="{00000000-0005-0000-0000-00000D8E0000}"/>
    <cellStyle name="Normal 5 17 22 5 5" xfId="36366" xr:uid="{00000000-0005-0000-0000-00000E8E0000}"/>
    <cellStyle name="Normal 5 17 22 5 6" xfId="36367" xr:uid="{00000000-0005-0000-0000-00000F8E0000}"/>
    <cellStyle name="Normal 5 17 22 5 7" xfId="36368" xr:uid="{00000000-0005-0000-0000-0000108E0000}"/>
    <cellStyle name="Normal 5 17 22 5 8" xfId="36369" xr:uid="{00000000-0005-0000-0000-0000118E0000}"/>
    <cellStyle name="Normal 5 17 22 5 9" xfId="36370" xr:uid="{00000000-0005-0000-0000-0000128E0000}"/>
    <cellStyle name="Normal 5 17 22 6" xfId="36371" xr:uid="{00000000-0005-0000-0000-0000138E0000}"/>
    <cellStyle name="Normal 5 17 22 7" xfId="36372" xr:uid="{00000000-0005-0000-0000-0000148E0000}"/>
    <cellStyle name="Normal 5 17 22 8" xfId="36373" xr:uid="{00000000-0005-0000-0000-0000158E0000}"/>
    <cellStyle name="Normal 5 17 22 9" xfId="36374" xr:uid="{00000000-0005-0000-0000-0000168E0000}"/>
    <cellStyle name="Normal 5 17 23" xfId="36375" xr:uid="{00000000-0005-0000-0000-0000178E0000}"/>
    <cellStyle name="Normal 5 17 23 10" xfId="36376" xr:uid="{00000000-0005-0000-0000-0000188E0000}"/>
    <cellStyle name="Normal 5 17 23 11" xfId="36377" xr:uid="{00000000-0005-0000-0000-0000198E0000}"/>
    <cellStyle name="Normal 5 17 23 12" xfId="36378" xr:uid="{00000000-0005-0000-0000-00001A8E0000}"/>
    <cellStyle name="Normal 5 17 23 13" xfId="36379" xr:uid="{00000000-0005-0000-0000-00001B8E0000}"/>
    <cellStyle name="Normal 5 17 23 14" xfId="36380" xr:uid="{00000000-0005-0000-0000-00001C8E0000}"/>
    <cellStyle name="Normal 5 17 23 2" xfId="36381" xr:uid="{00000000-0005-0000-0000-00001D8E0000}"/>
    <cellStyle name="Normal 5 17 23 2 10" xfId="36382" xr:uid="{00000000-0005-0000-0000-00001E8E0000}"/>
    <cellStyle name="Normal 5 17 23 2 2" xfId="36383" xr:uid="{00000000-0005-0000-0000-00001F8E0000}"/>
    <cellStyle name="Normal 5 17 23 2 3" xfId="36384" xr:uid="{00000000-0005-0000-0000-0000208E0000}"/>
    <cellStyle name="Normal 5 17 23 2 4" xfId="36385" xr:uid="{00000000-0005-0000-0000-0000218E0000}"/>
    <cellStyle name="Normal 5 17 23 2 5" xfId="36386" xr:uid="{00000000-0005-0000-0000-0000228E0000}"/>
    <cellStyle name="Normal 5 17 23 2 6" xfId="36387" xr:uid="{00000000-0005-0000-0000-0000238E0000}"/>
    <cellStyle name="Normal 5 17 23 2 7" xfId="36388" xr:uid="{00000000-0005-0000-0000-0000248E0000}"/>
    <cellStyle name="Normal 5 17 23 2 8" xfId="36389" xr:uid="{00000000-0005-0000-0000-0000258E0000}"/>
    <cellStyle name="Normal 5 17 23 2 9" xfId="36390" xr:uid="{00000000-0005-0000-0000-0000268E0000}"/>
    <cellStyle name="Normal 5 17 23 3" xfId="36391" xr:uid="{00000000-0005-0000-0000-0000278E0000}"/>
    <cellStyle name="Normal 5 17 23 3 10" xfId="36392" xr:uid="{00000000-0005-0000-0000-0000288E0000}"/>
    <cellStyle name="Normal 5 17 23 3 2" xfId="36393" xr:uid="{00000000-0005-0000-0000-0000298E0000}"/>
    <cellStyle name="Normal 5 17 23 3 3" xfId="36394" xr:uid="{00000000-0005-0000-0000-00002A8E0000}"/>
    <cellStyle name="Normal 5 17 23 3 4" xfId="36395" xr:uid="{00000000-0005-0000-0000-00002B8E0000}"/>
    <cellStyle name="Normal 5 17 23 3 5" xfId="36396" xr:uid="{00000000-0005-0000-0000-00002C8E0000}"/>
    <cellStyle name="Normal 5 17 23 3 6" xfId="36397" xr:uid="{00000000-0005-0000-0000-00002D8E0000}"/>
    <cellStyle name="Normal 5 17 23 3 7" xfId="36398" xr:uid="{00000000-0005-0000-0000-00002E8E0000}"/>
    <cellStyle name="Normal 5 17 23 3 8" xfId="36399" xr:uid="{00000000-0005-0000-0000-00002F8E0000}"/>
    <cellStyle name="Normal 5 17 23 3 9" xfId="36400" xr:uid="{00000000-0005-0000-0000-0000308E0000}"/>
    <cellStyle name="Normal 5 17 23 4" xfId="36401" xr:uid="{00000000-0005-0000-0000-0000318E0000}"/>
    <cellStyle name="Normal 5 17 23 4 10" xfId="36402" xr:uid="{00000000-0005-0000-0000-0000328E0000}"/>
    <cellStyle name="Normal 5 17 23 4 2" xfId="36403" xr:uid="{00000000-0005-0000-0000-0000338E0000}"/>
    <cellStyle name="Normal 5 17 23 4 3" xfId="36404" xr:uid="{00000000-0005-0000-0000-0000348E0000}"/>
    <cellStyle name="Normal 5 17 23 4 4" xfId="36405" xr:uid="{00000000-0005-0000-0000-0000358E0000}"/>
    <cellStyle name="Normal 5 17 23 4 5" xfId="36406" xr:uid="{00000000-0005-0000-0000-0000368E0000}"/>
    <cellStyle name="Normal 5 17 23 4 6" xfId="36407" xr:uid="{00000000-0005-0000-0000-0000378E0000}"/>
    <cellStyle name="Normal 5 17 23 4 7" xfId="36408" xr:uid="{00000000-0005-0000-0000-0000388E0000}"/>
    <cellStyle name="Normal 5 17 23 4 8" xfId="36409" xr:uid="{00000000-0005-0000-0000-0000398E0000}"/>
    <cellStyle name="Normal 5 17 23 4 9" xfId="36410" xr:uid="{00000000-0005-0000-0000-00003A8E0000}"/>
    <cellStyle name="Normal 5 17 23 5" xfId="36411" xr:uid="{00000000-0005-0000-0000-00003B8E0000}"/>
    <cellStyle name="Normal 5 17 23 5 10" xfId="36412" xr:uid="{00000000-0005-0000-0000-00003C8E0000}"/>
    <cellStyle name="Normal 5 17 23 5 2" xfId="36413" xr:uid="{00000000-0005-0000-0000-00003D8E0000}"/>
    <cellStyle name="Normal 5 17 23 5 3" xfId="36414" xr:uid="{00000000-0005-0000-0000-00003E8E0000}"/>
    <cellStyle name="Normal 5 17 23 5 4" xfId="36415" xr:uid="{00000000-0005-0000-0000-00003F8E0000}"/>
    <cellStyle name="Normal 5 17 23 5 5" xfId="36416" xr:uid="{00000000-0005-0000-0000-0000408E0000}"/>
    <cellStyle name="Normal 5 17 23 5 6" xfId="36417" xr:uid="{00000000-0005-0000-0000-0000418E0000}"/>
    <cellStyle name="Normal 5 17 23 5 7" xfId="36418" xr:uid="{00000000-0005-0000-0000-0000428E0000}"/>
    <cellStyle name="Normal 5 17 23 5 8" xfId="36419" xr:uid="{00000000-0005-0000-0000-0000438E0000}"/>
    <cellStyle name="Normal 5 17 23 5 9" xfId="36420" xr:uid="{00000000-0005-0000-0000-0000448E0000}"/>
    <cellStyle name="Normal 5 17 23 6" xfId="36421" xr:uid="{00000000-0005-0000-0000-0000458E0000}"/>
    <cellStyle name="Normal 5 17 23 7" xfId="36422" xr:uid="{00000000-0005-0000-0000-0000468E0000}"/>
    <cellStyle name="Normal 5 17 23 8" xfId="36423" xr:uid="{00000000-0005-0000-0000-0000478E0000}"/>
    <cellStyle name="Normal 5 17 23 9" xfId="36424" xr:uid="{00000000-0005-0000-0000-0000488E0000}"/>
    <cellStyle name="Normal 5 17 24" xfId="36425" xr:uid="{00000000-0005-0000-0000-0000498E0000}"/>
    <cellStyle name="Normal 5 17 24 10" xfId="36426" xr:uid="{00000000-0005-0000-0000-00004A8E0000}"/>
    <cellStyle name="Normal 5 17 24 11" xfId="36427" xr:uid="{00000000-0005-0000-0000-00004B8E0000}"/>
    <cellStyle name="Normal 5 17 24 12" xfId="36428" xr:uid="{00000000-0005-0000-0000-00004C8E0000}"/>
    <cellStyle name="Normal 5 17 24 13" xfId="36429" xr:uid="{00000000-0005-0000-0000-00004D8E0000}"/>
    <cellStyle name="Normal 5 17 24 14" xfId="36430" xr:uid="{00000000-0005-0000-0000-00004E8E0000}"/>
    <cellStyle name="Normal 5 17 24 2" xfId="36431" xr:uid="{00000000-0005-0000-0000-00004F8E0000}"/>
    <cellStyle name="Normal 5 17 24 2 10" xfId="36432" xr:uid="{00000000-0005-0000-0000-0000508E0000}"/>
    <cellStyle name="Normal 5 17 24 2 2" xfId="36433" xr:uid="{00000000-0005-0000-0000-0000518E0000}"/>
    <cellStyle name="Normal 5 17 24 2 3" xfId="36434" xr:uid="{00000000-0005-0000-0000-0000528E0000}"/>
    <cellStyle name="Normal 5 17 24 2 4" xfId="36435" xr:uid="{00000000-0005-0000-0000-0000538E0000}"/>
    <cellStyle name="Normal 5 17 24 2 5" xfId="36436" xr:uid="{00000000-0005-0000-0000-0000548E0000}"/>
    <cellStyle name="Normal 5 17 24 2 6" xfId="36437" xr:uid="{00000000-0005-0000-0000-0000558E0000}"/>
    <cellStyle name="Normal 5 17 24 2 7" xfId="36438" xr:uid="{00000000-0005-0000-0000-0000568E0000}"/>
    <cellStyle name="Normal 5 17 24 2 8" xfId="36439" xr:uid="{00000000-0005-0000-0000-0000578E0000}"/>
    <cellStyle name="Normal 5 17 24 2 9" xfId="36440" xr:uid="{00000000-0005-0000-0000-0000588E0000}"/>
    <cellStyle name="Normal 5 17 24 3" xfId="36441" xr:uid="{00000000-0005-0000-0000-0000598E0000}"/>
    <cellStyle name="Normal 5 17 24 3 10" xfId="36442" xr:uid="{00000000-0005-0000-0000-00005A8E0000}"/>
    <cellStyle name="Normal 5 17 24 3 2" xfId="36443" xr:uid="{00000000-0005-0000-0000-00005B8E0000}"/>
    <cellStyle name="Normal 5 17 24 3 3" xfId="36444" xr:uid="{00000000-0005-0000-0000-00005C8E0000}"/>
    <cellStyle name="Normal 5 17 24 3 4" xfId="36445" xr:uid="{00000000-0005-0000-0000-00005D8E0000}"/>
    <cellStyle name="Normal 5 17 24 3 5" xfId="36446" xr:uid="{00000000-0005-0000-0000-00005E8E0000}"/>
    <cellStyle name="Normal 5 17 24 3 6" xfId="36447" xr:uid="{00000000-0005-0000-0000-00005F8E0000}"/>
    <cellStyle name="Normal 5 17 24 3 7" xfId="36448" xr:uid="{00000000-0005-0000-0000-0000608E0000}"/>
    <cellStyle name="Normal 5 17 24 3 8" xfId="36449" xr:uid="{00000000-0005-0000-0000-0000618E0000}"/>
    <cellStyle name="Normal 5 17 24 3 9" xfId="36450" xr:uid="{00000000-0005-0000-0000-0000628E0000}"/>
    <cellStyle name="Normal 5 17 24 4" xfId="36451" xr:uid="{00000000-0005-0000-0000-0000638E0000}"/>
    <cellStyle name="Normal 5 17 24 4 10" xfId="36452" xr:uid="{00000000-0005-0000-0000-0000648E0000}"/>
    <cellStyle name="Normal 5 17 24 4 2" xfId="36453" xr:uid="{00000000-0005-0000-0000-0000658E0000}"/>
    <cellStyle name="Normal 5 17 24 4 3" xfId="36454" xr:uid="{00000000-0005-0000-0000-0000668E0000}"/>
    <cellStyle name="Normal 5 17 24 4 4" xfId="36455" xr:uid="{00000000-0005-0000-0000-0000678E0000}"/>
    <cellStyle name="Normal 5 17 24 4 5" xfId="36456" xr:uid="{00000000-0005-0000-0000-0000688E0000}"/>
    <cellStyle name="Normal 5 17 24 4 6" xfId="36457" xr:uid="{00000000-0005-0000-0000-0000698E0000}"/>
    <cellStyle name="Normal 5 17 24 4 7" xfId="36458" xr:uid="{00000000-0005-0000-0000-00006A8E0000}"/>
    <cellStyle name="Normal 5 17 24 4 8" xfId="36459" xr:uid="{00000000-0005-0000-0000-00006B8E0000}"/>
    <cellStyle name="Normal 5 17 24 4 9" xfId="36460" xr:uid="{00000000-0005-0000-0000-00006C8E0000}"/>
    <cellStyle name="Normal 5 17 24 5" xfId="36461" xr:uid="{00000000-0005-0000-0000-00006D8E0000}"/>
    <cellStyle name="Normal 5 17 24 5 10" xfId="36462" xr:uid="{00000000-0005-0000-0000-00006E8E0000}"/>
    <cellStyle name="Normal 5 17 24 5 2" xfId="36463" xr:uid="{00000000-0005-0000-0000-00006F8E0000}"/>
    <cellStyle name="Normal 5 17 24 5 3" xfId="36464" xr:uid="{00000000-0005-0000-0000-0000708E0000}"/>
    <cellStyle name="Normal 5 17 24 5 4" xfId="36465" xr:uid="{00000000-0005-0000-0000-0000718E0000}"/>
    <cellStyle name="Normal 5 17 24 5 5" xfId="36466" xr:uid="{00000000-0005-0000-0000-0000728E0000}"/>
    <cellStyle name="Normal 5 17 24 5 6" xfId="36467" xr:uid="{00000000-0005-0000-0000-0000738E0000}"/>
    <cellStyle name="Normal 5 17 24 5 7" xfId="36468" xr:uid="{00000000-0005-0000-0000-0000748E0000}"/>
    <cellStyle name="Normal 5 17 24 5 8" xfId="36469" xr:uid="{00000000-0005-0000-0000-0000758E0000}"/>
    <cellStyle name="Normal 5 17 24 5 9" xfId="36470" xr:uid="{00000000-0005-0000-0000-0000768E0000}"/>
    <cellStyle name="Normal 5 17 24 6" xfId="36471" xr:uid="{00000000-0005-0000-0000-0000778E0000}"/>
    <cellStyle name="Normal 5 17 24 7" xfId="36472" xr:uid="{00000000-0005-0000-0000-0000788E0000}"/>
    <cellStyle name="Normal 5 17 24 8" xfId="36473" xr:uid="{00000000-0005-0000-0000-0000798E0000}"/>
    <cellStyle name="Normal 5 17 24 9" xfId="36474" xr:uid="{00000000-0005-0000-0000-00007A8E0000}"/>
    <cellStyle name="Normal 5 17 25" xfId="36475" xr:uid="{00000000-0005-0000-0000-00007B8E0000}"/>
    <cellStyle name="Normal 5 17 25 10" xfId="36476" xr:uid="{00000000-0005-0000-0000-00007C8E0000}"/>
    <cellStyle name="Normal 5 17 25 11" xfId="36477" xr:uid="{00000000-0005-0000-0000-00007D8E0000}"/>
    <cellStyle name="Normal 5 17 25 12" xfId="36478" xr:uid="{00000000-0005-0000-0000-00007E8E0000}"/>
    <cellStyle name="Normal 5 17 25 13" xfId="36479" xr:uid="{00000000-0005-0000-0000-00007F8E0000}"/>
    <cellStyle name="Normal 5 17 25 14" xfId="36480" xr:uid="{00000000-0005-0000-0000-0000808E0000}"/>
    <cellStyle name="Normal 5 17 25 2" xfId="36481" xr:uid="{00000000-0005-0000-0000-0000818E0000}"/>
    <cellStyle name="Normal 5 17 25 2 10" xfId="36482" xr:uid="{00000000-0005-0000-0000-0000828E0000}"/>
    <cellStyle name="Normal 5 17 25 2 2" xfId="36483" xr:uid="{00000000-0005-0000-0000-0000838E0000}"/>
    <cellStyle name="Normal 5 17 25 2 3" xfId="36484" xr:uid="{00000000-0005-0000-0000-0000848E0000}"/>
    <cellStyle name="Normal 5 17 25 2 4" xfId="36485" xr:uid="{00000000-0005-0000-0000-0000858E0000}"/>
    <cellStyle name="Normal 5 17 25 2 5" xfId="36486" xr:uid="{00000000-0005-0000-0000-0000868E0000}"/>
    <cellStyle name="Normal 5 17 25 2 6" xfId="36487" xr:uid="{00000000-0005-0000-0000-0000878E0000}"/>
    <cellStyle name="Normal 5 17 25 2 7" xfId="36488" xr:uid="{00000000-0005-0000-0000-0000888E0000}"/>
    <cellStyle name="Normal 5 17 25 2 8" xfId="36489" xr:uid="{00000000-0005-0000-0000-0000898E0000}"/>
    <cellStyle name="Normal 5 17 25 2 9" xfId="36490" xr:uid="{00000000-0005-0000-0000-00008A8E0000}"/>
    <cellStyle name="Normal 5 17 25 3" xfId="36491" xr:uid="{00000000-0005-0000-0000-00008B8E0000}"/>
    <cellStyle name="Normal 5 17 25 3 10" xfId="36492" xr:uid="{00000000-0005-0000-0000-00008C8E0000}"/>
    <cellStyle name="Normal 5 17 25 3 2" xfId="36493" xr:uid="{00000000-0005-0000-0000-00008D8E0000}"/>
    <cellStyle name="Normal 5 17 25 3 3" xfId="36494" xr:uid="{00000000-0005-0000-0000-00008E8E0000}"/>
    <cellStyle name="Normal 5 17 25 3 4" xfId="36495" xr:uid="{00000000-0005-0000-0000-00008F8E0000}"/>
    <cellStyle name="Normal 5 17 25 3 5" xfId="36496" xr:uid="{00000000-0005-0000-0000-0000908E0000}"/>
    <cellStyle name="Normal 5 17 25 3 6" xfId="36497" xr:uid="{00000000-0005-0000-0000-0000918E0000}"/>
    <cellStyle name="Normal 5 17 25 3 7" xfId="36498" xr:uid="{00000000-0005-0000-0000-0000928E0000}"/>
    <cellStyle name="Normal 5 17 25 3 8" xfId="36499" xr:uid="{00000000-0005-0000-0000-0000938E0000}"/>
    <cellStyle name="Normal 5 17 25 3 9" xfId="36500" xr:uid="{00000000-0005-0000-0000-0000948E0000}"/>
    <cellStyle name="Normal 5 17 25 4" xfId="36501" xr:uid="{00000000-0005-0000-0000-0000958E0000}"/>
    <cellStyle name="Normal 5 17 25 4 10" xfId="36502" xr:uid="{00000000-0005-0000-0000-0000968E0000}"/>
    <cellStyle name="Normal 5 17 25 4 2" xfId="36503" xr:uid="{00000000-0005-0000-0000-0000978E0000}"/>
    <cellStyle name="Normal 5 17 25 4 3" xfId="36504" xr:uid="{00000000-0005-0000-0000-0000988E0000}"/>
    <cellStyle name="Normal 5 17 25 4 4" xfId="36505" xr:uid="{00000000-0005-0000-0000-0000998E0000}"/>
    <cellStyle name="Normal 5 17 25 4 5" xfId="36506" xr:uid="{00000000-0005-0000-0000-00009A8E0000}"/>
    <cellStyle name="Normal 5 17 25 4 6" xfId="36507" xr:uid="{00000000-0005-0000-0000-00009B8E0000}"/>
    <cellStyle name="Normal 5 17 25 4 7" xfId="36508" xr:uid="{00000000-0005-0000-0000-00009C8E0000}"/>
    <cellStyle name="Normal 5 17 25 4 8" xfId="36509" xr:uid="{00000000-0005-0000-0000-00009D8E0000}"/>
    <cellStyle name="Normal 5 17 25 4 9" xfId="36510" xr:uid="{00000000-0005-0000-0000-00009E8E0000}"/>
    <cellStyle name="Normal 5 17 25 5" xfId="36511" xr:uid="{00000000-0005-0000-0000-00009F8E0000}"/>
    <cellStyle name="Normal 5 17 25 5 10" xfId="36512" xr:uid="{00000000-0005-0000-0000-0000A08E0000}"/>
    <cellStyle name="Normal 5 17 25 5 2" xfId="36513" xr:uid="{00000000-0005-0000-0000-0000A18E0000}"/>
    <cellStyle name="Normal 5 17 25 5 3" xfId="36514" xr:uid="{00000000-0005-0000-0000-0000A28E0000}"/>
    <cellStyle name="Normal 5 17 25 5 4" xfId="36515" xr:uid="{00000000-0005-0000-0000-0000A38E0000}"/>
    <cellStyle name="Normal 5 17 25 5 5" xfId="36516" xr:uid="{00000000-0005-0000-0000-0000A48E0000}"/>
    <cellStyle name="Normal 5 17 25 5 6" xfId="36517" xr:uid="{00000000-0005-0000-0000-0000A58E0000}"/>
    <cellStyle name="Normal 5 17 25 5 7" xfId="36518" xr:uid="{00000000-0005-0000-0000-0000A68E0000}"/>
    <cellStyle name="Normal 5 17 25 5 8" xfId="36519" xr:uid="{00000000-0005-0000-0000-0000A78E0000}"/>
    <cellStyle name="Normal 5 17 25 5 9" xfId="36520" xr:uid="{00000000-0005-0000-0000-0000A88E0000}"/>
    <cellStyle name="Normal 5 17 25 6" xfId="36521" xr:uid="{00000000-0005-0000-0000-0000A98E0000}"/>
    <cellStyle name="Normal 5 17 25 7" xfId="36522" xr:uid="{00000000-0005-0000-0000-0000AA8E0000}"/>
    <cellStyle name="Normal 5 17 25 8" xfId="36523" xr:uid="{00000000-0005-0000-0000-0000AB8E0000}"/>
    <cellStyle name="Normal 5 17 25 9" xfId="36524" xr:uid="{00000000-0005-0000-0000-0000AC8E0000}"/>
    <cellStyle name="Normal 5 17 26" xfId="36525" xr:uid="{00000000-0005-0000-0000-0000AD8E0000}"/>
    <cellStyle name="Normal 5 17 26 10" xfId="36526" xr:uid="{00000000-0005-0000-0000-0000AE8E0000}"/>
    <cellStyle name="Normal 5 17 26 11" xfId="36527" xr:uid="{00000000-0005-0000-0000-0000AF8E0000}"/>
    <cellStyle name="Normal 5 17 26 12" xfId="36528" xr:uid="{00000000-0005-0000-0000-0000B08E0000}"/>
    <cellStyle name="Normal 5 17 26 13" xfId="36529" xr:uid="{00000000-0005-0000-0000-0000B18E0000}"/>
    <cellStyle name="Normal 5 17 26 14" xfId="36530" xr:uid="{00000000-0005-0000-0000-0000B28E0000}"/>
    <cellStyle name="Normal 5 17 26 2" xfId="36531" xr:uid="{00000000-0005-0000-0000-0000B38E0000}"/>
    <cellStyle name="Normal 5 17 26 2 10" xfId="36532" xr:uid="{00000000-0005-0000-0000-0000B48E0000}"/>
    <cellStyle name="Normal 5 17 26 2 2" xfId="36533" xr:uid="{00000000-0005-0000-0000-0000B58E0000}"/>
    <cellStyle name="Normal 5 17 26 2 3" xfId="36534" xr:uid="{00000000-0005-0000-0000-0000B68E0000}"/>
    <cellStyle name="Normal 5 17 26 2 4" xfId="36535" xr:uid="{00000000-0005-0000-0000-0000B78E0000}"/>
    <cellStyle name="Normal 5 17 26 2 5" xfId="36536" xr:uid="{00000000-0005-0000-0000-0000B88E0000}"/>
    <cellStyle name="Normal 5 17 26 2 6" xfId="36537" xr:uid="{00000000-0005-0000-0000-0000B98E0000}"/>
    <cellStyle name="Normal 5 17 26 2 7" xfId="36538" xr:uid="{00000000-0005-0000-0000-0000BA8E0000}"/>
    <cellStyle name="Normal 5 17 26 2 8" xfId="36539" xr:uid="{00000000-0005-0000-0000-0000BB8E0000}"/>
    <cellStyle name="Normal 5 17 26 2 9" xfId="36540" xr:uid="{00000000-0005-0000-0000-0000BC8E0000}"/>
    <cellStyle name="Normal 5 17 26 3" xfId="36541" xr:uid="{00000000-0005-0000-0000-0000BD8E0000}"/>
    <cellStyle name="Normal 5 17 26 3 10" xfId="36542" xr:uid="{00000000-0005-0000-0000-0000BE8E0000}"/>
    <cellStyle name="Normal 5 17 26 3 2" xfId="36543" xr:uid="{00000000-0005-0000-0000-0000BF8E0000}"/>
    <cellStyle name="Normal 5 17 26 3 3" xfId="36544" xr:uid="{00000000-0005-0000-0000-0000C08E0000}"/>
    <cellStyle name="Normal 5 17 26 3 4" xfId="36545" xr:uid="{00000000-0005-0000-0000-0000C18E0000}"/>
    <cellStyle name="Normal 5 17 26 3 5" xfId="36546" xr:uid="{00000000-0005-0000-0000-0000C28E0000}"/>
    <cellStyle name="Normal 5 17 26 3 6" xfId="36547" xr:uid="{00000000-0005-0000-0000-0000C38E0000}"/>
    <cellStyle name="Normal 5 17 26 3 7" xfId="36548" xr:uid="{00000000-0005-0000-0000-0000C48E0000}"/>
    <cellStyle name="Normal 5 17 26 3 8" xfId="36549" xr:uid="{00000000-0005-0000-0000-0000C58E0000}"/>
    <cellStyle name="Normal 5 17 26 3 9" xfId="36550" xr:uid="{00000000-0005-0000-0000-0000C68E0000}"/>
    <cellStyle name="Normal 5 17 26 4" xfId="36551" xr:uid="{00000000-0005-0000-0000-0000C78E0000}"/>
    <cellStyle name="Normal 5 17 26 4 10" xfId="36552" xr:uid="{00000000-0005-0000-0000-0000C88E0000}"/>
    <cellStyle name="Normal 5 17 26 4 2" xfId="36553" xr:uid="{00000000-0005-0000-0000-0000C98E0000}"/>
    <cellStyle name="Normal 5 17 26 4 3" xfId="36554" xr:uid="{00000000-0005-0000-0000-0000CA8E0000}"/>
    <cellStyle name="Normal 5 17 26 4 4" xfId="36555" xr:uid="{00000000-0005-0000-0000-0000CB8E0000}"/>
    <cellStyle name="Normal 5 17 26 4 5" xfId="36556" xr:uid="{00000000-0005-0000-0000-0000CC8E0000}"/>
    <cellStyle name="Normal 5 17 26 4 6" xfId="36557" xr:uid="{00000000-0005-0000-0000-0000CD8E0000}"/>
    <cellStyle name="Normal 5 17 26 4 7" xfId="36558" xr:uid="{00000000-0005-0000-0000-0000CE8E0000}"/>
    <cellStyle name="Normal 5 17 26 4 8" xfId="36559" xr:uid="{00000000-0005-0000-0000-0000CF8E0000}"/>
    <cellStyle name="Normal 5 17 26 4 9" xfId="36560" xr:uid="{00000000-0005-0000-0000-0000D08E0000}"/>
    <cellStyle name="Normal 5 17 26 5" xfId="36561" xr:uid="{00000000-0005-0000-0000-0000D18E0000}"/>
    <cellStyle name="Normal 5 17 26 5 10" xfId="36562" xr:uid="{00000000-0005-0000-0000-0000D28E0000}"/>
    <cellStyle name="Normal 5 17 26 5 2" xfId="36563" xr:uid="{00000000-0005-0000-0000-0000D38E0000}"/>
    <cellStyle name="Normal 5 17 26 5 3" xfId="36564" xr:uid="{00000000-0005-0000-0000-0000D48E0000}"/>
    <cellStyle name="Normal 5 17 26 5 4" xfId="36565" xr:uid="{00000000-0005-0000-0000-0000D58E0000}"/>
    <cellStyle name="Normal 5 17 26 5 5" xfId="36566" xr:uid="{00000000-0005-0000-0000-0000D68E0000}"/>
    <cellStyle name="Normal 5 17 26 5 6" xfId="36567" xr:uid="{00000000-0005-0000-0000-0000D78E0000}"/>
    <cellStyle name="Normal 5 17 26 5 7" xfId="36568" xr:uid="{00000000-0005-0000-0000-0000D88E0000}"/>
    <cellStyle name="Normal 5 17 26 5 8" xfId="36569" xr:uid="{00000000-0005-0000-0000-0000D98E0000}"/>
    <cellStyle name="Normal 5 17 26 5 9" xfId="36570" xr:uid="{00000000-0005-0000-0000-0000DA8E0000}"/>
    <cellStyle name="Normal 5 17 26 6" xfId="36571" xr:uid="{00000000-0005-0000-0000-0000DB8E0000}"/>
    <cellStyle name="Normal 5 17 26 7" xfId="36572" xr:uid="{00000000-0005-0000-0000-0000DC8E0000}"/>
    <cellStyle name="Normal 5 17 26 8" xfId="36573" xr:uid="{00000000-0005-0000-0000-0000DD8E0000}"/>
    <cellStyle name="Normal 5 17 26 9" xfId="36574" xr:uid="{00000000-0005-0000-0000-0000DE8E0000}"/>
    <cellStyle name="Normal 5 17 27" xfId="36575" xr:uid="{00000000-0005-0000-0000-0000DF8E0000}"/>
    <cellStyle name="Normal 5 17 27 10" xfId="36576" xr:uid="{00000000-0005-0000-0000-0000E08E0000}"/>
    <cellStyle name="Normal 5 17 27 11" xfId="36577" xr:uid="{00000000-0005-0000-0000-0000E18E0000}"/>
    <cellStyle name="Normal 5 17 27 12" xfId="36578" xr:uid="{00000000-0005-0000-0000-0000E28E0000}"/>
    <cellStyle name="Normal 5 17 27 13" xfId="36579" xr:uid="{00000000-0005-0000-0000-0000E38E0000}"/>
    <cellStyle name="Normal 5 17 27 14" xfId="36580" xr:uid="{00000000-0005-0000-0000-0000E48E0000}"/>
    <cellStyle name="Normal 5 17 27 2" xfId="36581" xr:uid="{00000000-0005-0000-0000-0000E58E0000}"/>
    <cellStyle name="Normal 5 17 27 2 10" xfId="36582" xr:uid="{00000000-0005-0000-0000-0000E68E0000}"/>
    <cellStyle name="Normal 5 17 27 2 2" xfId="36583" xr:uid="{00000000-0005-0000-0000-0000E78E0000}"/>
    <cellStyle name="Normal 5 17 27 2 3" xfId="36584" xr:uid="{00000000-0005-0000-0000-0000E88E0000}"/>
    <cellStyle name="Normal 5 17 27 2 4" xfId="36585" xr:uid="{00000000-0005-0000-0000-0000E98E0000}"/>
    <cellStyle name="Normal 5 17 27 2 5" xfId="36586" xr:uid="{00000000-0005-0000-0000-0000EA8E0000}"/>
    <cellStyle name="Normal 5 17 27 2 6" xfId="36587" xr:uid="{00000000-0005-0000-0000-0000EB8E0000}"/>
    <cellStyle name="Normal 5 17 27 2 7" xfId="36588" xr:uid="{00000000-0005-0000-0000-0000EC8E0000}"/>
    <cellStyle name="Normal 5 17 27 2 8" xfId="36589" xr:uid="{00000000-0005-0000-0000-0000ED8E0000}"/>
    <cellStyle name="Normal 5 17 27 2 9" xfId="36590" xr:uid="{00000000-0005-0000-0000-0000EE8E0000}"/>
    <cellStyle name="Normal 5 17 27 3" xfId="36591" xr:uid="{00000000-0005-0000-0000-0000EF8E0000}"/>
    <cellStyle name="Normal 5 17 27 3 10" xfId="36592" xr:uid="{00000000-0005-0000-0000-0000F08E0000}"/>
    <cellStyle name="Normal 5 17 27 3 2" xfId="36593" xr:uid="{00000000-0005-0000-0000-0000F18E0000}"/>
    <cellStyle name="Normal 5 17 27 3 3" xfId="36594" xr:uid="{00000000-0005-0000-0000-0000F28E0000}"/>
    <cellStyle name="Normal 5 17 27 3 4" xfId="36595" xr:uid="{00000000-0005-0000-0000-0000F38E0000}"/>
    <cellStyle name="Normal 5 17 27 3 5" xfId="36596" xr:uid="{00000000-0005-0000-0000-0000F48E0000}"/>
    <cellStyle name="Normal 5 17 27 3 6" xfId="36597" xr:uid="{00000000-0005-0000-0000-0000F58E0000}"/>
    <cellStyle name="Normal 5 17 27 3 7" xfId="36598" xr:uid="{00000000-0005-0000-0000-0000F68E0000}"/>
    <cellStyle name="Normal 5 17 27 3 8" xfId="36599" xr:uid="{00000000-0005-0000-0000-0000F78E0000}"/>
    <cellStyle name="Normal 5 17 27 3 9" xfId="36600" xr:uid="{00000000-0005-0000-0000-0000F88E0000}"/>
    <cellStyle name="Normal 5 17 27 4" xfId="36601" xr:uid="{00000000-0005-0000-0000-0000F98E0000}"/>
    <cellStyle name="Normal 5 17 27 4 10" xfId="36602" xr:uid="{00000000-0005-0000-0000-0000FA8E0000}"/>
    <cellStyle name="Normal 5 17 27 4 2" xfId="36603" xr:uid="{00000000-0005-0000-0000-0000FB8E0000}"/>
    <cellStyle name="Normal 5 17 27 4 3" xfId="36604" xr:uid="{00000000-0005-0000-0000-0000FC8E0000}"/>
    <cellStyle name="Normal 5 17 27 4 4" xfId="36605" xr:uid="{00000000-0005-0000-0000-0000FD8E0000}"/>
    <cellStyle name="Normal 5 17 27 4 5" xfId="36606" xr:uid="{00000000-0005-0000-0000-0000FE8E0000}"/>
    <cellStyle name="Normal 5 17 27 4 6" xfId="36607" xr:uid="{00000000-0005-0000-0000-0000FF8E0000}"/>
    <cellStyle name="Normal 5 17 27 4 7" xfId="36608" xr:uid="{00000000-0005-0000-0000-0000008F0000}"/>
    <cellStyle name="Normal 5 17 27 4 8" xfId="36609" xr:uid="{00000000-0005-0000-0000-0000018F0000}"/>
    <cellStyle name="Normal 5 17 27 4 9" xfId="36610" xr:uid="{00000000-0005-0000-0000-0000028F0000}"/>
    <cellStyle name="Normal 5 17 27 5" xfId="36611" xr:uid="{00000000-0005-0000-0000-0000038F0000}"/>
    <cellStyle name="Normal 5 17 27 5 10" xfId="36612" xr:uid="{00000000-0005-0000-0000-0000048F0000}"/>
    <cellStyle name="Normal 5 17 27 5 2" xfId="36613" xr:uid="{00000000-0005-0000-0000-0000058F0000}"/>
    <cellStyle name="Normal 5 17 27 5 3" xfId="36614" xr:uid="{00000000-0005-0000-0000-0000068F0000}"/>
    <cellStyle name="Normal 5 17 27 5 4" xfId="36615" xr:uid="{00000000-0005-0000-0000-0000078F0000}"/>
    <cellStyle name="Normal 5 17 27 5 5" xfId="36616" xr:uid="{00000000-0005-0000-0000-0000088F0000}"/>
    <cellStyle name="Normal 5 17 27 5 6" xfId="36617" xr:uid="{00000000-0005-0000-0000-0000098F0000}"/>
    <cellStyle name="Normal 5 17 27 5 7" xfId="36618" xr:uid="{00000000-0005-0000-0000-00000A8F0000}"/>
    <cellStyle name="Normal 5 17 27 5 8" xfId="36619" xr:uid="{00000000-0005-0000-0000-00000B8F0000}"/>
    <cellStyle name="Normal 5 17 27 5 9" xfId="36620" xr:uid="{00000000-0005-0000-0000-00000C8F0000}"/>
    <cellStyle name="Normal 5 17 27 6" xfId="36621" xr:uid="{00000000-0005-0000-0000-00000D8F0000}"/>
    <cellStyle name="Normal 5 17 27 7" xfId="36622" xr:uid="{00000000-0005-0000-0000-00000E8F0000}"/>
    <cellStyle name="Normal 5 17 27 8" xfId="36623" xr:uid="{00000000-0005-0000-0000-00000F8F0000}"/>
    <cellStyle name="Normal 5 17 27 9" xfId="36624" xr:uid="{00000000-0005-0000-0000-0000108F0000}"/>
    <cellStyle name="Normal 5 17 28" xfId="36625" xr:uid="{00000000-0005-0000-0000-0000118F0000}"/>
    <cellStyle name="Normal 5 17 28 10" xfId="36626" xr:uid="{00000000-0005-0000-0000-0000128F0000}"/>
    <cellStyle name="Normal 5 17 28 11" xfId="36627" xr:uid="{00000000-0005-0000-0000-0000138F0000}"/>
    <cellStyle name="Normal 5 17 28 12" xfId="36628" xr:uid="{00000000-0005-0000-0000-0000148F0000}"/>
    <cellStyle name="Normal 5 17 28 13" xfId="36629" xr:uid="{00000000-0005-0000-0000-0000158F0000}"/>
    <cellStyle name="Normal 5 17 28 14" xfId="36630" xr:uid="{00000000-0005-0000-0000-0000168F0000}"/>
    <cellStyle name="Normal 5 17 28 2" xfId="36631" xr:uid="{00000000-0005-0000-0000-0000178F0000}"/>
    <cellStyle name="Normal 5 17 28 2 10" xfId="36632" xr:uid="{00000000-0005-0000-0000-0000188F0000}"/>
    <cellStyle name="Normal 5 17 28 2 2" xfId="36633" xr:uid="{00000000-0005-0000-0000-0000198F0000}"/>
    <cellStyle name="Normal 5 17 28 2 3" xfId="36634" xr:uid="{00000000-0005-0000-0000-00001A8F0000}"/>
    <cellStyle name="Normal 5 17 28 2 4" xfId="36635" xr:uid="{00000000-0005-0000-0000-00001B8F0000}"/>
    <cellStyle name="Normal 5 17 28 2 5" xfId="36636" xr:uid="{00000000-0005-0000-0000-00001C8F0000}"/>
    <cellStyle name="Normal 5 17 28 2 6" xfId="36637" xr:uid="{00000000-0005-0000-0000-00001D8F0000}"/>
    <cellStyle name="Normal 5 17 28 2 7" xfId="36638" xr:uid="{00000000-0005-0000-0000-00001E8F0000}"/>
    <cellStyle name="Normal 5 17 28 2 8" xfId="36639" xr:uid="{00000000-0005-0000-0000-00001F8F0000}"/>
    <cellStyle name="Normal 5 17 28 2 9" xfId="36640" xr:uid="{00000000-0005-0000-0000-0000208F0000}"/>
    <cellStyle name="Normal 5 17 28 3" xfId="36641" xr:uid="{00000000-0005-0000-0000-0000218F0000}"/>
    <cellStyle name="Normal 5 17 28 3 10" xfId="36642" xr:uid="{00000000-0005-0000-0000-0000228F0000}"/>
    <cellStyle name="Normal 5 17 28 3 2" xfId="36643" xr:uid="{00000000-0005-0000-0000-0000238F0000}"/>
    <cellStyle name="Normal 5 17 28 3 3" xfId="36644" xr:uid="{00000000-0005-0000-0000-0000248F0000}"/>
    <cellStyle name="Normal 5 17 28 3 4" xfId="36645" xr:uid="{00000000-0005-0000-0000-0000258F0000}"/>
    <cellStyle name="Normal 5 17 28 3 5" xfId="36646" xr:uid="{00000000-0005-0000-0000-0000268F0000}"/>
    <cellStyle name="Normal 5 17 28 3 6" xfId="36647" xr:uid="{00000000-0005-0000-0000-0000278F0000}"/>
    <cellStyle name="Normal 5 17 28 3 7" xfId="36648" xr:uid="{00000000-0005-0000-0000-0000288F0000}"/>
    <cellStyle name="Normal 5 17 28 3 8" xfId="36649" xr:uid="{00000000-0005-0000-0000-0000298F0000}"/>
    <cellStyle name="Normal 5 17 28 3 9" xfId="36650" xr:uid="{00000000-0005-0000-0000-00002A8F0000}"/>
    <cellStyle name="Normal 5 17 28 4" xfId="36651" xr:uid="{00000000-0005-0000-0000-00002B8F0000}"/>
    <cellStyle name="Normal 5 17 28 4 10" xfId="36652" xr:uid="{00000000-0005-0000-0000-00002C8F0000}"/>
    <cellStyle name="Normal 5 17 28 4 2" xfId="36653" xr:uid="{00000000-0005-0000-0000-00002D8F0000}"/>
    <cellStyle name="Normal 5 17 28 4 3" xfId="36654" xr:uid="{00000000-0005-0000-0000-00002E8F0000}"/>
    <cellStyle name="Normal 5 17 28 4 4" xfId="36655" xr:uid="{00000000-0005-0000-0000-00002F8F0000}"/>
    <cellStyle name="Normal 5 17 28 4 5" xfId="36656" xr:uid="{00000000-0005-0000-0000-0000308F0000}"/>
    <cellStyle name="Normal 5 17 28 4 6" xfId="36657" xr:uid="{00000000-0005-0000-0000-0000318F0000}"/>
    <cellStyle name="Normal 5 17 28 4 7" xfId="36658" xr:uid="{00000000-0005-0000-0000-0000328F0000}"/>
    <cellStyle name="Normal 5 17 28 4 8" xfId="36659" xr:uid="{00000000-0005-0000-0000-0000338F0000}"/>
    <cellStyle name="Normal 5 17 28 4 9" xfId="36660" xr:uid="{00000000-0005-0000-0000-0000348F0000}"/>
    <cellStyle name="Normal 5 17 28 5" xfId="36661" xr:uid="{00000000-0005-0000-0000-0000358F0000}"/>
    <cellStyle name="Normal 5 17 28 5 10" xfId="36662" xr:uid="{00000000-0005-0000-0000-0000368F0000}"/>
    <cellStyle name="Normal 5 17 28 5 2" xfId="36663" xr:uid="{00000000-0005-0000-0000-0000378F0000}"/>
    <cellStyle name="Normal 5 17 28 5 3" xfId="36664" xr:uid="{00000000-0005-0000-0000-0000388F0000}"/>
    <cellStyle name="Normal 5 17 28 5 4" xfId="36665" xr:uid="{00000000-0005-0000-0000-0000398F0000}"/>
    <cellStyle name="Normal 5 17 28 5 5" xfId="36666" xr:uid="{00000000-0005-0000-0000-00003A8F0000}"/>
    <cellStyle name="Normal 5 17 28 5 6" xfId="36667" xr:uid="{00000000-0005-0000-0000-00003B8F0000}"/>
    <cellStyle name="Normal 5 17 28 5 7" xfId="36668" xr:uid="{00000000-0005-0000-0000-00003C8F0000}"/>
    <cellStyle name="Normal 5 17 28 5 8" xfId="36669" xr:uid="{00000000-0005-0000-0000-00003D8F0000}"/>
    <cellStyle name="Normal 5 17 28 5 9" xfId="36670" xr:uid="{00000000-0005-0000-0000-00003E8F0000}"/>
    <cellStyle name="Normal 5 17 28 6" xfId="36671" xr:uid="{00000000-0005-0000-0000-00003F8F0000}"/>
    <cellStyle name="Normal 5 17 28 7" xfId="36672" xr:uid="{00000000-0005-0000-0000-0000408F0000}"/>
    <cellStyle name="Normal 5 17 28 8" xfId="36673" xr:uid="{00000000-0005-0000-0000-0000418F0000}"/>
    <cellStyle name="Normal 5 17 28 9" xfId="36674" xr:uid="{00000000-0005-0000-0000-0000428F0000}"/>
    <cellStyle name="Normal 5 17 29" xfId="36675" xr:uid="{00000000-0005-0000-0000-0000438F0000}"/>
    <cellStyle name="Normal 5 17 29 10" xfId="36676" xr:uid="{00000000-0005-0000-0000-0000448F0000}"/>
    <cellStyle name="Normal 5 17 29 11" xfId="36677" xr:uid="{00000000-0005-0000-0000-0000458F0000}"/>
    <cellStyle name="Normal 5 17 29 12" xfId="36678" xr:uid="{00000000-0005-0000-0000-0000468F0000}"/>
    <cellStyle name="Normal 5 17 29 13" xfId="36679" xr:uid="{00000000-0005-0000-0000-0000478F0000}"/>
    <cellStyle name="Normal 5 17 29 14" xfId="36680" xr:uid="{00000000-0005-0000-0000-0000488F0000}"/>
    <cellStyle name="Normal 5 17 29 2" xfId="36681" xr:uid="{00000000-0005-0000-0000-0000498F0000}"/>
    <cellStyle name="Normal 5 17 29 2 10" xfId="36682" xr:uid="{00000000-0005-0000-0000-00004A8F0000}"/>
    <cellStyle name="Normal 5 17 29 2 2" xfId="36683" xr:uid="{00000000-0005-0000-0000-00004B8F0000}"/>
    <cellStyle name="Normal 5 17 29 2 3" xfId="36684" xr:uid="{00000000-0005-0000-0000-00004C8F0000}"/>
    <cellStyle name="Normal 5 17 29 2 4" xfId="36685" xr:uid="{00000000-0005-0000-0000-00004D8F0000}"/>
    <cellStyle name="Normal 5 17 29 2 5" xfId="36686" xr:uid="{00000000-0005-0000-0000-00004E8F0000}"/>
    <cellStyle name="Normal 5 17 29 2 6" xfId="36687" xr:uid="{00000000-0005-0000-0000-00004F8F0000}"/>
    <cellStyle name="Normal 5 17 29 2 7" xfId="36688" xr:uid="{00000000-0005-0000-0000-0000508F0000}"/>
    <cellStyle name="Normal 5 17 29 2 8" xfId="36689" xr:uid="{00000000-0005-0000-0000-0000518F0000}"/>
    <cellStyle name="Normal 5 17 29 2 9" xfId="36690" xr:uid="{00000000-0005-0000-0000-0000528F0000}"/>
    <cellStyle name="Normal 5 17 29 3" xfId="36691" xr:uid="{00000000-0005-0000-0000-0000538F0000}"/>
    <cellStyle name="Normal 5 17 29 3 10" xfId="36692" xr:uid="{00000000-0005-0000-0000-0000548F0000}"/>
    <cellStyle name="Normal 5 17 29 3 2" xfId="36693" xr:uid="{00000000-0005-0000-0000-0000558F0000}"/>
    <cellStyle name="Normal 5 17 29 3 3" xfId="36694" xr:uid="{00000000-0005-0000-0000-0000568F0000}"/>
    <cellStyle name="Normal 5 17 29 3 4" xfId="36695" xr:uid="{00000000-0005-0000-0000-0000578F0000}"/>
    <cellStyle name="Normal 5 17 29 3 5" xfId="36696" xr:uid="{00000000-0005-0000-0000-0000588F0000}"/>
    <cellStyle name="Normal 5 17 29 3 6" xfId="36697" xr:uid="{00000000-0005-0000-0000-0000598F0000}"/>
    <cellStyle name="Normal 5 17 29 3 7" xfId="36698" xr:uid="{00000000-0005-0000-0000-00005A8F0000}"/>
    <cellStyle name="Normal 5 17 29 3 8" xfId="36699" xr:uid="{00000000-0005-0000-0000-00005B8F0000}"/>
    <cellStyle name="Normal 5 17 29 3 9" xfId="36700" xr:uid="{00000000-0005-0000-0000-00005C8F0000}"/>
    <cellStyle name="Normal 5 17 29 4" xfId="36701" xr:uid="{00000000-0005-0000-0000-00005D8F0000}"/>
    <cellStyle name="Normal 5 17 29 4 10" xfId="36702" xr:uid="{00000000-0005-0000-0000-00005E8F0000}"/>
    <cellStyle name="Normal 5 17 29 4 2" xfId="36703" xr:uid="{00000000-0005-0000-0000-00005F8F0000}"/>
    <cellStyle name="Normal 5 17 29 4 3" xfId="36704" xr:uid="{00000000-0005-0000-0000-0000608F0000}"/>
    <cellStyle name="Normal 5 17 29 4 4" xfId="36705" xr:uid="{00000000-0005-0000-0000-0000618F0000}"/>
    <cellStyle name="Normal 5 17 29 4 5" xfId="36706" xr:uid="{00000000-0005-0000-0000-0000628F0000}"/>
    <cellStyle name="Normal 5 17 29 4 6" xfId="36707" xr:uid="{00000000-0005-0000-0000-0000638F0000}"/>
    <cellStyle name="Normal 5 17 29 4 7" xfId="36708" xr:uid="{00000000-0005-0000-0000-0000648F0000}"/>
    <cellStyle name="Normal 5 17 29 4 8" xfId="36709" xr:uid="{00000000-0005-0000-0000-0000658F0000}"/>
    <cellStyle name="Normal 5 17 29 4 9" xfId="36710" xr:uid="{00000000-0005-0000-0000-0000668F0000}"/>
    <cellStyle name="Normal 5 17 29 5" xfId="36711" xr:uid="{00000000-0005-0000-0000-0000678F0000}"/>
    <cellStyle name="Normal 5 17 29 5 10" xfId="36712" xr:uid="{00000000-0005-0000-0000-0000688F0000}"/>
    <cellStyle name="Normal 5 17 29 5 2" xfId="36713" xr:uid="{00000000-0005-0000-0000-0000698F0000}"/>
    <cellStyle name="Normal 5 17 29 5 3" xfId="36714" xr:uid="{00000000-0005-0000-0000-00006A8F0000}"/>
    <cellStyle name="Normal 5 17 29 5 4" xfId="36715" xr:uid="{00000000-0005-0000-0000-00006B8F0000}"/>
    <cellStyle name="Normal 5 17 29 5 5" xfId="36716" xr:uid="{00000000-0005-0000-0000-00006C8F0000}"/>
    <cellStyle name="Normal 5 17 29 5 6" xfId="36717" xr:uid="{00000000-0005-0000-0000-00006D8F0000}"/>
    <cellStyle name="Normal 5 17 29 5 7" xfId="36718" xr:uid="{00000000-0005-0000-0000-00006E8F0000}"/>
    <cellStyle name="Normal 5 17 29 5 8" xfId="36719" xr:uid="{00000000-0005-0000-0000-00006F8F0000}"/>
    <cellStyle name="Normal 5 17 29 5 9" xfId="36720" xr:uid="{00000000-0005-0000-0000-0000708F0000}"/>
    <cellStyle name="Normal 5 17 29 6" xfId="36721" xr:uid="{00000000-0005-0000-0000-0000718F0000}"/>
    <cellStyle name="Normal 5 17 29 7" xfId="36722" xr:uid="{00000000-0005-0000-0000-0000728F0000}"/>
    <cellStyle name="Normal 5 17 29 8" xfId="36723" xr:uid="{00000000-0005-0000-0000-0000738F0000}"/>
    <cellStyle name="Normal 5 17 29 9" xfId="36724" xr:uid="{00000000-0005-0000-0000-0000748F0000}"/>
    <cellStyle name="Normal 5 17 3" xfId="36725" xr:uid="{00000000-0005-0000-0000-0000758F0000}"/>
    <cellStyle name="Normal 5 17 3 10" xfId="36726" xr:uid="{00000000-0005-0000-0000-0000768F0000}"/>
    <cellStyle name="Normal 5 17 3 11" xfId="36727" xr:uid="{00000000-0005-0000-0000-0000778F0000}"/>
    <cellStyle name="Normal 5 17 3 12" xfId="36728" xr:uid="{00000000-0005-0000-0000-0000788F0000}"/>
    <cellStyle name="Normal 5 17 3 13" xfId="36729" xr:uid="{00000000-0005-0000-0000-0000798F0000}"/>
    <cellStyle name="Normal 5 17 3 14" xfId="36730" xr:uid="{00000000-0005-0000-0000-00007A8F0000}"/>
    <cellStyle name="Normal 5 17 3 2" xfId="36731" xr:uid="{00000000-0005-0000-0000-00007B8F0000}"/>
    <cellStyle name="Normal 5 17 3 2 10" xfId="36732" xr:uid="{00000000-0005-0000-0000-00007C8F0000}"/>
    <cellStyle name="Normal 5 17 3 2 2" xfId="36733" xr:uid="{00000000-0005-0000-0000-00007D8F0000}"/>
    <cellStyle name="Normal 5 17 3 2 3" xfId="36734" xr:uid="{00000000-0005-0000-0000-00007E8F0000}"/>
    <cellStyle name="Normal 5 17 3 2 4" xfId="36735" xr:uid="{00000000-0005-0000-0000-00007F8F0000}"/>
    <cellStyle name="Normal 5 17 3 2 5" xfId="36736" xr:uid="{00000000-0005-0000-0000-0000808F0000}"/>
    <cellStyle name="Normal 5 17 3 2 6" xfId="36737" xr:uid="{00000000-0005-0000-0000-0000818F0000}"/>
    <cellStyle name="Normal 5 17 3 2 7" xfId="36738" xr:uid="{00000000-0005-0000-0000-0000828F0000}"/>
    <cellStyle name="Normal 5 17 3 2 8" xfId="36739" xr:uid="{00000000-0005-0000-0000-0000838F0000}"/>
    <cellStyle name="Normal 5 17 3 2 9" xfId="36740" xr:uid="{00000000-0005-0000-0000-0000848F0000}"/>
    <cellStyle name="Normal 5 17 3 3" xfId="36741" xr:uid="{00000000-0005-0000-0000-0000858F0000}"/>
    <cellStyle name="Normal 5 17 3 3 10" xfId="36742" xr:uid="{00000000-0005-0000-0000-0000868F0000}"/>
    <cellStyle name="Normal 5 17 3 3 2" xfId="36743" xr:uid="{00000000-0005-0000-0000-0000878F0000}"/>
    <cellStyle name="Normal 5 17 3 3 3" xfId="36744" xr:uid="{00000000-0005-0000-0000-0000888F0000}"/>
    <cellStyle name="Normal 5 17 3 3 4" xfId="36745" xr:uid="{00000000-0005-0000-0000-0000898F0000}"/>
    <cellStyle name="Normal 5 17 3 3 5" xfId="36746" xr:uid="{00000000-0005-0000-0000-00008A8F0000}"/>
    <cellStyle name="Normal 5 17 3 3 6" xfId="36747" xr:uid="{00000000-0005-0000-0000-00008B8F0000}"/>
    <cellStyle name="Normal 5 17 3 3 7" xfId="36748" xr:uid="{00000000-0005-0000-0000-00008C8F0000}"/>
    <cellStyle name="Normal 5 17 3 3 8" xfId="36749" xr:uid="{00000000-0005-0000-0000-00008D8F0000}"/>
    <cellStyle name="Normal 5 17 3 3 9" xfId="36750" xr:uid="{00000000-0005-0000-0000-00008E8F0000}"/>
    <cellStyle name="Normal 5 17 3 4" xfId="36751" xr:uid="{00000000-0005-0000-0000-00008F8F0000}"/>
    <cellStyle name="Normal 5 17 3 4 10" xfId="36752" xr:uid="{00000000-0005-0000-0000-0000908F0000}"/>
    <cellStyle name="Normal 5 17 3 4 2" xfId="36753" xr:uid="{00000000-0005-0000-0000-0000918F0000}"/>
    <cellStyle name="Normal 5 17 3 4 3" xfId="36754" xr:uid="{00000000-0005-0000-0000-0000928F0000}"/>
    <cellStyle name="Normal 5 17 3 4 4" xfId="36755" xr:uid="{00000000-0005-0000-0000-0000938F0000}"/>
    <cellStyle name="Normal 5 17 3 4 5" xfId="36756" xr:uid="{00000000-0005-0000-0000-0000948F0000}"/>
    <cellStyle name="Normal 5 17 3 4 6" xfId="36757" xr:uid="{00000000-0005-0000-0000-0000958F0000}"/>
    <cellStyle name="Normal 5 17 3 4 7" xfId="36758" xr:uid="{00000000-0005-0000-0000-0000968F0000}"/>
    <cellStyle name="Normal 5 17 3 4 8" xfId="36759" xr:uid="{00000000-0005-0000-0000-0000978F0000}"/>
    <cellStyle name="Normal 5 17 3 4 9" xfId="36760" xr:uid="{00000000-0005-0000-0000-0000988F0000}"/>
    <cellStyle name="Normal 5 17 3 5" xfId="36761" xr:uid="{00000000-0005-0000-0000-0000998F0000}"/>
    <cellStyle name="Normal 5 17 3 5 10" xfId="36762" xr:uid="{00000000-0005-0000-0000-00009A8F0000}"/>
    <cellStyle name="Normal 5 17 3 5 2" xfId="36763" xr:uid="{00000000-0005-0000-0000-00009B8F0000}"/>
    <cellStyle name="Normal 5 17 3 5 3" xfId="36764" xr:uid="{00000000-0005-0000-0000-00009C8F0000}"/>
    <cellStyle name="Normal 5 17 3 5 4" xfId="36765" xr:uid="{00000000-0005-0000-0000-00009D8F0000}"/>
    <cellStyle name="Normal 5 17 3 5 5" xfId="36766" xr:uid="{00000000-0005-0000-0000-00009E8F0000}"/>
    <cellStyle name="Normal 5 17 3 5 6" xfId="36767" xr:uid="{00000000-0005-0000-0000-00009F8F0000}"/>
    <cellStyle name="Normal 5 17 3 5 7" xfId="36768" xr:uid="{00000000-0005-0000-0000-0000A08F0000}"/>
    <cellStyle name="Normal 5 17 3 5 8" xfId="36769" xr:uid="{00000000-0005-0000-0000-0000A18F0000}"/>
    <cellStyle name="Normal 5 17 3 5 9" xfId="36770" xr:uid="{00000000-0005-0000-0000-0000A28F0000}"/>
    <cellStyle name="Normal 5 17 3 6" xfId="36771" xr:uid="{00000000-0005-0000-0000-0000A38F0000}"/>
    <cellStyle name="Normal 5 17 3 7" xfId="36772" xr:uid="{00000000-0005-0000-0000-0000A48F0000}"/>
    <cellStyle name="Normal 5 17 3 8" xfId="36773" xr:uid="{00000000-0005-0000-0000-0000A58F0000}"/>
    <cellStyle name="Normal 5 17 3 9" xfId="36774" xr:uid="{00000000-0005-0000-0000-0000A68F0000}"/>
    <cellStyle name="Normal 5 17 30" xfId="36775" xr:uid="{00000000-0005-0000-0000-0000A78F0000}"/>
    <cellStyle name="Normal 5 17 30 10" xfId="36776" xr:uid="{00000000-0005-0000-0000-0000A88F0000}"/>
    <cellStyle name="Normal 5 17 30 11" xfId="36777" xr:uid="{00000000-0005-0000-0000-0000A98F0000}"/>
    <cellStyle name="Normal 5 17 30 12" xfId="36778" xr:uid="{00000000-0005-0000-0000-0000AA8F0000}"/>
    <cellStyle name="Normal 5 17 30 13" xfId="36779" xr:uid="{00000000-0005-0000-0000-0000AB8F0000}"/>
    <cellStyle name="Normal 5 17 30 14" xfId="36780" xr:uid="{00000000-0005-0000-0000-0000AC8F0000}"/>
    <cellStyle name="Normal 5 17 30 2" xfId="36781" xr:uid="{00000000-0005-0000-0000-0000AD8F0000}"/>
    <cellStyle name="Normal 5 17 30 2 10" xfId="36782" xr:uid="{00000000-0005-0000-0000-0000AE8F0000}"/>
    <cellStyle name="Normal 5 17 30 2 2" xfId="36783" xr:uid="{00000000-0005-0000-0000-0000AF8F0000}"/>
    <cellStyle name="Normal 5 17 30 2 3" xfId="36784" xr:uid="{00000000-0005-0000-0000-0000B08F0000}"/>
    <cellStyle name="Normal 5 17 30 2 4" xfId="36785" xr:uid="{00000000-0005-0000-0000-0000B18F0000}"/>
    <cellStyle name="Normal 5 17 30 2 5" xfId="36786" xr:uid="{00000000-0005-0000-0000-0000B28F0000}"/>
    <cellStyle name="Normal 5 17 30 2 6" xfId="36787" xr:uid="{00000000-0005-0000-0000-0000B38F0000}"/>
    <cellStyle name="Normal 5 17 30 2 7" xfId="36788" xr:uid="{00000000-0005-0000-0000-0000B48F0000}"/>
    <cellStyle name="Normal 5 17 30 2 8" xfId="36789" xr:uid="{00000000-0005-0000-0000-0000B58F0000}"/>
    <cellStyle name="Normal 5 17 30 2 9" xfId="36790" xr:uid="{00000000-0005-0000-0000-0000B68F0000}"/>
    <cellStyle name="Normal 5 17 30 3" xfId="36791" xr:uid="{00000000-0005-0000-0000-0000B78F0000}"/>
    <cellStyle name="Normal 5 17 30 3 10" xfId="36792" xr:uid="{00000000-0005-0000-0000-0000B88F0000}"/>
    <cellStyle name="Normal 5 17 30 3 2" xfId="36793" xr:uid="{00000000-0005-0000-0000-0000B98F0000}"/>
    <cellStyle name="Normal 5 17 30 3 3" xfId="36794" xr:uid="{00000000-0005-0000-0000-0000BA8F0000}"/>
    <cellStyle name="Normal 5 17 30 3 4" xfId="36795" xr:uid="{00000000-0005-0000-0000-0000BB8F0000}"/>
    <cellStyle name="Normal 5 17 30 3 5" xfId="36796" xr:uid="{00000000-0005-0000-0000-0000BC8F0000}"/>
    <cellStyle name="Normal 5 17 30 3 6" xfId="36797" xr:uid="{00000000-0005-0000-0000-0000BD8F0000}"/>
    <cellStyle name="Normal 5 17 30 3 7" xfId="36798" xr:uid="{00000000-0005-0000-0000-0000BE8F0000}"/>
    <cellStyle name="Normal 5 17 30 3 8" xfId="36799" xr:uid="{00000000-0005-0000-0000-0000BF8F0000}"/>
    <cellStyle name="Normal 5 17 30 3 9" xfId="36800" xr:uid="{00000000-0005-0000-0000-0000C08F0000}"/>
    <cellStyle name="Normal 5 17 30 4" xfId="36801" xr:uid="{00000000-0005-0000-0000-0000C18F0000}"/>
    <cellStyle name="Normal 5 17 30 4 10" xfId="36802" xr:uid="{00000000-0005-0000-0000-0000C28F0000}"/>
    <cellStyle name="Normal 5 17 30 4 2" xfId="36803" xr:uid="{00000000-0005-0000-0000-0000C38F0000}"/>
    <cellStyle name="Normal 5 17 30 4 3" xfId="36804" xr:uid="{00000000-0005-0000-0000-0000C48F0000}"/>
    <cellStyle name="Normal 5 17 30 4 4" xfId="36805" xr:uid="{00000000-0005-0000-0000-0000C58F0000}"/>
    <cellStyle name="Normal 5 17 30 4 5" xfId="36806" xr:uid="{00000000-0005-0000-0000-0000C68F0000}"/>
    <cellStyle name="Normal 5 17 30 4 6" xfId="36807" xr:uid="{00000000-0005-0000-0000-0000C78F0000}"/>
    <cellStyle name="Normal 5 17 30 4 7" xfId="36808" xr:uid="{00000000-0005-0000-0000-0000C88F0000}"/>
    <cellStyle name="Normal 5 17 30 4 8" xfId="36809" xr:uid="{00000000-0005-0000-0000-0000C98F0000}"/>
    <cellStyle name="Normal 5 17 30 4 9" xfId="36810" xr:uid="{00000000-0005-0000-0000-0000CA8F0000}"/>
    <cellStyle name="Normal 5 17 30 5" xfId="36811" xr:uid="{00000000-0005-0000-0000-0000CB8F0000}"/>
    <cellStyle name="Normal 5 17 30 5 10" xfId="36812" xr:uid="{00000000-0005-0000-0000-0000CC8F0000}"/>
    <cellStyle name="Normal 5 17 30 5 2" xfId="36813" xr:uid="{00000000-0005-0000-0000-0000CD8F0000}"/>
    <cellStyle name="Normal 5 17 30 5 3" xfId="36814" xr:uid="{00000000-0005-0000-0000-0000CE8F0000}"/>
    <cellStyle name="Normal 5 17 30 5 4" xfId="36815" xr:uid="{00000000-0005-0000-0000-0000CF8F0000}"/>
    <cellStyle name="Normal 5 17 30 5 5" xfId="36816" xr:uid="{00000000-0005-0000-0000-0000D08F0000}"/>
    <cellStyle name="Normal 5 17 30 5 6" xfId="36817" xr:uid="{00000000-0005-0000-0000-0000D18F0000}"/>
    <cellStyle name="Normal 5 17 30 5 7" xfId="36818" xr:uid="{00000000-0005-0000-0000-0000D28F0000}"/>
    <cellStyle name="Normal 5 17 30 5 8" xfId="36819" xr:uid="{00000000-0005-0000-0000-0000D38F0000}"/>
    <cellStyle name="Normal 5 17 30 5 9" xfId="36820" xr:uid="{00000000-0005-0000-0000-0000D48F0000}"/>
    <cellStyle name="Normal 5 17 30 6" xfId="36821" xr:uid="{00000000-0005-0000-0000-0000D58F0000}"/>
    <cellStyle name="Normal 5 17 30 7" xfId="36822" xr:uid="{00000000-0005-0000-0000-0000D68F0000}"/>
    <cellStyle name="Normal 5 17 30 8" xfId="36823" xr:uid="{00000000-0005-0000-0000-0000D78F0000}"/>
    <cellStyle name="Normal 5 17 30 9" xfId="36824" xr:uid="{00000000-0005-0000-0000-0000D88F0000}"/>
    <cellStyle name="Normal 5 17 31" xfId="36825" xr:uid="{00000000-0005-0000-0000-0000D98F0000}"/>
    <cellStyle name="Normal 5 17 31 10" xfId="36826" xr:uid="{00000000-0005-0000-0000-0000DA8F0000}"/>
    <cellStyle name="Normal 5 17 31 11" xfId="36827" xr:uid="{00000000-0005-0000-0000-0000DB8F0000}"/>
    <cellStyle name="Normal 5 17 31 12" xfId="36828" xr:uid="{00000000-0005-0000-0000-0000DC8F0000}"/>
    <cellStyle name="Normal 5 17 31 13" xfId="36829" xr:uid="{00000000-0005-0000-0000-0000DD8F0000}"/>
    <cellStyle name="Normal 5 17 31 14" xfId="36830" xr:uid="{00000000-0005-0000-0000-0000DE8F0000}"/>
    <cellStyle name="Normal 5 17 31 2" xfId="36831" xr:uid="{00000000-0005-0000-0000-0000DF8F0000}"/>
    <cellStyle name="Normal 5 17 31 2 10" xfId="36832" xr:uid="{00000000-0005-0000-0000-0000E08F0000}"/>
    <cellStyle name="Normal 5 17 31 2 2" xfId="36833" xr:uid="{00000000-0005-0000-0000-0000E18F0000}"/>
    <cellStyle name="Normal 5 17 31 2 3" xfId="36834" xr:uid="{00000000-0005-0000-0000-0000E28F0000}"/>
    <cellStyle name="Normal 5 17 31 2 4" xfId="36835" xr:uid="{00000000-0005-0000-0000-0000E38F0000}"/>
    <cellStyle name="Normal 5 17 31 2 5" xfId="36836" xr:uid="{00000000-0005-0000-0000-0000E48F0000}"/>
    <cellStyle name="Normal 5 17 31 2 6" xfId="36837" xr:uid="{00000000-0005-0000-0000-0000E58F0000}"/>
    <cellStyle name="Normal 5 17 31 2 7" xfId="36838" xr:uid="{00000000-0005-0000-0000-0000E68F0000}"/>
    <cellStyle name="Normal 5 17 31 2 8" xfId="36839" xr:uid="{00000000-0005-0000-0000-0000E78F0000}"/>
    <cellStyle name="Normal 5 17 31 2 9" xfId="36840" xr:uid="{00000000-0005-0000-0000-0000E88F0000}"/>
    <cellStyle name="Normal 5 17 31 3" xfId="36841" xr:uid="{00000000-0005-0000-0000-0000E98F0000}"/>
    <cellStyle name="Normal 5 17 31 3 10" xfId="36842" xr:uid="{00000000-0005-0000-0000-0000EA8F0000}"/>
    <cellStyle name="Normal 5 17 31 3 2" xfId="36843" xr:uid="{00000000-0005-0000-0000-0000EB8F0000}"/>
    <cellStyle name="Normal 5 17 31 3 3" xfId="36844" xr:uid="{00000000-0005-0000-0000-0000EC8F0000}"/>
    <cellStyle name="Normal 5 17 31 3 4" xfId="36845" xr:uid="{00000000-0005-0000-0000-0000ED8F0000}"/>
    <cellStyle name="Normal 5 17 31 3 5" xfId="36846" xr:uid="{00000000-0005-0000-0000-0000EE8F0000}"/>
    <cellStyle name="Normal 5 17 31 3 6" xfId="36847" xr:uid="{00000000-0005-0000-0000-0000EF8F0000}"/>
    <cellStyle name="Normal 5 17 31 3 7" xfId="36848" xr:uid="{00000000-0005-0000-0000-0000F08F0000}"/>
    <cellStyle name="Normal 5 17 31 3 8" xfId="36849" xr:uid="{00000000-0005-0000-0000-0000F18F0000}"/>
    <cellStyle name="Normal 5 17 31 3 9" xfId="36850" xr:uid="{00000000-0005-0000-0000-0000F28F0000}"/>
    <cellStyle name="Normal 5 17 31 4" xfId="36851" xr:uid="{00000000-0005-0000-0000-0000F38F0000}"/>
    <cellStyle name="Normal 5 17 31 4 10" xfId="36852" xr:uid="{00000000-0005-0000-0000-0000F48F0000}"/>
    <cellStyle name="Normal 5 17 31 4 2" xfId="36853" xr:uid="{00000000-0005-0000-0000-0000F58F0000}"/>
    <cellStyle name="Normal 5 17 31 4 3" xfId="36854" xr:uid="{00000000-0005-0000-0000-0000F68F0000}"/>
    <cellStyle name="Normal 5 17 31 4 4" xfId="36855" xr:uid="{00000000-0005-0000-0000-0000F78F0000}"/>
    <cellStyle name="Normal 5 17 31 4 5" xfId="36856" xr:uid="{00000000-0005-0000-0000-0000F88F0000}"/>
    <cellStyle name="Normal 5 17 31 4 6" xfId="36857" xr:uid="{00000000-0005-0000-0000-0000F98F0000}"/>
    <cellStyle name="Normal 5 17 31 4 7" xfId="36858" xr:uid="{00000000-0005-0000-0000-0000FA8F0000}"/>
    <cellStyle name="Normal 5 17 31 4 8" xfId="36859" xr:uid="{00000000-0005-0000-0000-0000FB8F0000}"/>
    <cellStyle name="Normal 5 17 31 4 9" xfId="36860" xr:uid="{00000000-0005-0000-0000-0000FC8F0000}"/>
    <cellStyle name="Normal 5 17 31 5" xfId="36861" xr:uid="{00000000-0005-0000-0000-0000FD8F0000}"/>
    <cellStyle name="Normal 5 17 31 5 10" xfId="36862" xr:uid="{00000000-0005-0000-0000-0000FE8F0000}"/>
    <cellStyle name="Normal 5 17 31 5 2" xfId="36863" xr:uid="{00000000-0005-0000-0000-0000FF8F0000}"/>
    <cellStyle name="Normal 5 17 31 5 3" xfId="36864" xr:uid="{00000000-0005-0000-0000-000000900000}"/>
    <cellStyle name="Normal 5 17 31 5 4" xfId="36865" xr:uid="{00000000-0005-0000-0000-000001900000}"/>
    <cellStyle name="Normal 5 17 31 5 5" xfId="36866" xr:uid="{00000000-0005-0000-0000-000002900000}"/>
    <cellStyle name="Normal 5 17 31 5 6" xfId="36867" xr:uid="{00000000-0005-0000-0000-000003900000}"/>
    <cellStyle name="Normal 5 17 31 5 7" xfId="36868" xr:uid="{00000000-0005-0000-0000-000004900000}"/>
    <cellStyle name="Normal 5 17 31 5 8" xfId="36869" xr:uid="{00000000-0005-0000-0000-000005900000}"/>
    <cellStyle name="Normal 5 17 31 5 9" xfId="36870" xr:uid="{00000000-0005-0000-0000-000006900000}"/>
    <cellStyle name="Normal 5 17 31 6" xfId="36871" xr:uid="{00000000-0005-0000-0000-000007900000}"/>
    <cellStyle name="Normal 5 17 31 7" xfId="36872" xr:uid="{00000000-0005-0000-0000-000008900000}"/>
    <cellStyle name="Normal 5 17 31 8" xfId="36873" xr:uid="{00000000-0005-0000-0000-000009900000}"/>
    <cellStyle name="Normal 5 17 31 9" xfId="36874" xr:uid="{00000000-0005-0000-0000-00000A900000}"/>
    <cellStyle name="Normal 5 17 32" xfId="36875" xr:uid="{00000000-0005-0000-0000-00000B900000}"/>
    <cellStyle name="Normal 5 17 32 10" xfId="36876" xr:uid="{00000000-0005-0000-0000-00000C900000}"/>
    <cellStyle name="Normal 5 17 32 11" xfId="36877" xr:uid="{00000000-0005-0000-0000-00000D900000}"/>
    <cellStyle name="Normal 5 17 32 12" xfId="36878" xr:uid="{00000000-0005-0000-0000-00000E900000}"/>
    <cellStyle name="Normal 5 17 32 13" xfId="36879" xr:uid="{00000000-0005-0000-0000-00000F900000}"/>
    <cellStyle name="Normal 5 17 32 14" xfId="36880" xr:uid="{00000000-0005-0000-0000-000010900000}"/>
    <cellStyle name="Normal 5 17 32 2" xfId="36881" xr:uid="{00000000-0005-0000-0000-000011900000}"/>
    <cellStyle name="Normal 5 17 32 2 10" xfId="36882" xr:uid="{00000000-0005-0000-0000-000012900000}"/>
    <cellStyle name="Normal 5 17 32 2 2" xfId="36883" xr:uid="{00000000-0005-0000-0000-000013900000}"/>
    <cellStyle name="Normal 5 17 32 2 3" xfId="36884" xr:uid="{00000000-0005-0000-0000-000014900000}"/>
    <cellStyle name="Normal 5 17 32 2 4" xfId="36885" xr:uid="{00000000-0005-0000-0000-000015900000}"/>
    <cellStyle name="Normal 5 17 32 2 5" xfId="36886" xr:uid="{00000000-0005-0000-0000-000016900000}"/>
    <cellStyle name="Normal 5 17 32 2 6" xfId="36887" xr:uid="{00000000-0005-0000-0000-000017900000}"/>
    <cellStyle name="Normal 5 17 32 2 7" xfId="36888" xr:uid="{00000000-0005-0000-0000-000018900000}"/>
    <cellStyle name="Normal 5 17 32 2 8" xfId="36889" xr:uid="{00000000-0005-0000-0000-000019900000}"/>
    <cellStyle name="Normal 5 17 32 2 9" xfId="36890" xr:uid="{00000000-0005-0000-0000-00001A900000}"/>
    <cellStyle name="Normal 5 17 32 3" xfId="36891" xr:uid="{00000000-0005-0000-0000-00001B900000}"/>
    <cellStyle name="Normal 5 17 32 3 10" xfId="36892" xr:uid="{00000000-0005-0000-0000-00001C900000}"/>
    <cellStyle name="Normal 5 17 32 3 2" xfId="36893" xr:uid="{00000000-0005-0000-0000-00001D900000}"/>
    <cellStyle name="Normal 5 17 32 3 3" xfId="36894" xr:uid="{00000000-0005-0000-0000-00001E900000}"/>
    <cellStyle name="Normal 5 17 32 3 4" xfId="36895" xr:uid="{00000000-0005-0000-0000-00001F900000}"/>
    <cellStyle name="Normal 5 17 32 3 5" xfId="36896" xr:uid="{00000000-0005-0000-0000-000020900000}"/>
    <cellStyle name="Normal 5 17 32 3 6" xfId="36897" xr:uid="{00000000-0005-0000-0000-000021900000}"/>
    <cellStyle name="Normal 5 17 32 3 7" xfId="36898" xr:uid="{00000000-0005-0000-0000-000022900000}"/>
    <cellStyle name="Normal 5 17 32 3 8" xfId="36899" xr:uid="{00000000-0005-0000-0000-000023900000}"/>
    <cellStyle name="Normal 5 17 32 3 9" xfId="36900" xr:uid="{00000000-0005-0000-0000-000024900000}"/>
    <cellStyle name="Normal 5 17 32 4" xfId="36901" xr:uid="{00000000-0005-0000-0000-000025900000}"/>
    <cellStyle name="Normal 5 17 32 4 10" xfId="36902" xr:uid="{00000000-0005-0000-0000-000026900000}"/>
    <cellStyle name="Normal 5 17 32 4 2" xfId="36903" xr:uid="{00000000-0005-0000-0000-000027900000}"/>
    <cellStyle name="Normal 5 17 32 4 3" xfId="36904" xr:uid="{00000000-0005-0000-0000-000028900000}"/>
    <cellStyle name="Normal 5 17 32 4 4" xfId="36905" xr:uid="{00000000-0005-0000-0000-000029900000}"/>
    <cellStyle name="Normal 5 17 32 4 5" xfId="36906" xr:uid="{00000000-0005-0000-0000-00002A900000}"/>
    <cellStyle name="Normal 5 17 32 4 6" xfId="36907" xr:uid="{00000000-0005-0000-0000-00002B900000}"/>
    <cellStyle name="Normal 5 17 32 4 7" xfId="36908" xr:uid="{00000000-0005-0000-0000-00002C900000}"/>
    <cellStyle name="Normal 5 17 32 4 8" xfId="36909" xr:uid="{00000000-0005-0000-0000-00002D900000}"/>
    <cellStyle name="Normal 5 17 32 4 9" xfId="36910" xr:uid="{00000000-0005-0000-0000-00002E900000}"/>
    <cellStyle name="Normal 5 17 32 5" xfId="36911" xr:uid="{00000000-0005-0000-0000-00002F900000}"/>
    <cellStyle name="Normal 5 17 32 5 10" xfId="36912" xr:uid="{00000000-0005-0000-0000-000030900000}"/>
    <cellStyle name="Normal 5 17 32 5 2" xfId="36913" xr:uid="{00000000-0005-0000-0000-000031900000}"/>
    <cellStyle name="Normal 5 17 32 5 3" xfId="36914" xr:uid="{00000000-0005-0000-0000-000032900000}"/>
    <cellStyle name="Normal 5 17 32 5 4" xfId="36915" xr:uid="{00000000-0005-0000-0000-000033900000}"/>
    <cellStyle name="Normal 5 17 32 5 5" xfId="36916" xr:uid="{00000000-0005-0000-0000-000034900000}"/>
    <cellStyle name="Normal 5 17 32 5 6" xfId="36917" xr:uid="{00000000-0005-0000-0000-000035900000}"/>
    <cellStyle name="Normal 5 17 32 5 7" xfId="36918" xr:uid="{00000000-0005-0000-0000-000036900000}"/>
    <cellStyle name="Normal 5 17 32 5 8" xfId="36919" xr:uid="{00000000-0005-0000-0000-000037900000}"/>
    <cellStyle name="Normal 5 17 32 5 9" xfId="36920" xr:uid="{00000000-0005-0000-0000-000038900000}"/>
    <cellStyle name="Normal 5 17 32 6" xfId="36921" xr:uid="{00000000-0005-0000-0000-000039900000}"/>
    <cellStyle name="Normal 5 17 32 7" xfId="36922" xr:uid="{00000000-0005-0000-0000-00003A900000}"/>
    <cellStyle name="Normal 5 17 32 8" xfId="36923" xr:uid="{00000000-0005-0000-0000-00003B900000}"/>
    <cellStyle name="Normal 5 17 32 9" xfId="36924" xr:uid="{00000000-0005-0000-0000-00003C900000}"/>
    <cellStyle name="Normal 5 17 33" xfId="36925" xr:uid="{00000000-0005-0000-0000-00003D900000}"/>
    <cellStyle name="Normal 5 17 33 10" xfId="36926" xr:uid="{00000000-0005-0000-0000-00003E900000}"/>
    <cellStyle name="Normal 5 17 33 11" xfId="36927" xr:uid="{00000000-0005-0000-0000-00003F900000}"/>
    <cellStyle name="Normal 5 17 33 12" xfId="36928" xr:uid="{00000000-0005-0000-0000-000040900000}"/>
    <cellStyle name="Normal 5 17 33 13" xfId="36929" xr:uid="{00000000-0005-0000-0000-000041900000}"/>
    <cellStyle name="Normal 5 17 33 14" xfId="36930" xr:uid="{00000000-0005-0000-0000-000042900000}"/>
    <cellStyle name="Normal 5 17 33 2" xfId="36931" xr:uid="{00000000-0005-0000-0000-000043900000}"/>
    <cellStyle name="Normal 5 17 33 2 10" xfId="36932" xr:uid="{00000000-0005-0000-0000-000044900000}"/>
    <cellStyle name="Normal 5 17 33 2 2" xfId="36933" xr:uid="{00000000-0005-0000-0000-000045900000}"/>
    <cellStyle name="Normal 5 17 33 2 3" xfId="36934" xr:uid="{00000000-0005-0000-0000-000046900000}"/>
    <cellStyle name="Normal 5 17 33 2 4" xfId="36935" xr:uid="{00000000-0005-0000-0000-000047900000}"/>
    <cellStyle name="Normal 5 17 33 2 5" xfId="36936" xr:uid="{00000000-0005-0000-0000-000048900000}"/>
    <cellStyle name="Normal 5 17 33 2 6" xfId="36937" xr:uid="{00000000-0005-0000-0000-000049900000}"/>
    <cellStyle name="Normal 5 17 33 2 7" xfId="36938" xr:uid="{00000000-0005-0000-0000-00004A900000}"/>
    <cellStyle name="Normal 5 17 33 2 8" xfId="36939" xr:uid="{00000000-0005-0000-0000-00004B900000}"/>
    <cellStyle name="Normal 5 17 33 2 9" xfId="36940" xr:uid="{00000000-0005-0000-0000-00004C900000}"/>
    <cellStyle name="Normal 5 17 33 3" xfId="36941" xr:uid="{00000000-0005-0000-0000-00004D900000}"/>
    <cellStyle name="Normal 5 17 33 3 10" xfId="36942" xr:uid="{00000000-0005-0000-0000-00004E900000}"/>
    <cellStyle name="Normal 5 17 33 3 2" xfId="36943" xr:uid="{00000000-0005-0000-0000-00004F900000}"/>
    <cellStyle name="Normal 5 17 33 3 3" xfId="36944" xr:uid="{00000000-0005-0000-0000-000050900000}"/>
    <cellStyle name="Normal 5 17 33 3 4" xfId="36945" xr:uid="{00000000-0005-0000-0000-000051900000}"/>
    <cellStyle name="Normal 5 17 33 3 5" xfId="36946" xr:uid="{00000000-0005-0000-0000-000052900000}"/>
    <cellStyle name="Normal 5 17 33 3 6" xfId="36947" xr:uid="{00000000-0005-0000-0000-000053900000}"/>
    <cellStyle name="Normal 5 17 33 3 7" xfId="36948" xr:uid="{00000000-0005-0000-0000-000054900000}"/>
    <cellStyle name="Normal 5 17 33 3 8" xfId="36949" xr:uid="{00000000-0005-0000-0000-000055900000}"/>
    <cellStyle name="Normal 5 17 33 3 9" xfId="36950" xr:uid="{00000000-0005-0000-0000-000056900000}"/>
    <cellStyle name="Normal 5 17 33 4" xfId="36951" xr:uid="{00000000-0005-0000-0000-000057900000}"/>
    <cellStyle name="Normal 5 17 33 4 10" xfId="36952" xr:uid="{00000000-0005-0000-0000-000058900000}"/>
    <cellStyle name="Normal 5 17 33 4 2" xfId="36953" xr:uid="{00000000-0005-0000-0000-000059900000}"/>
    <cellStyle name="Normal 5 17 33 4 3" xfId="36954" xr:uid="{00000000-0005-0000-0000-00005A900000}"/>
    <cellStyle name="Normal 5 17 33 4 4" xfId="36955" xr:uid="{00000000-0005-0000-0000-00005B900000}"/>
    <cellStyle name="Normal 5 17 33 4 5" xfId="36956" xr:uid="{00000000-0005-0000-0000-00005C900000}"/>
    <cellStyle name="Normal 5 17 33 4 6" xfId="36957" xr:uid="{00000000-0005-0000-0000-00005D900000}"/>
    <cellStyle name="Normal 5 17 33 4 7" xfId="36958" xr:uid="{00000000-0005-0000-0000-00005E900000}"/>
    <cellStyle name="Normal 5 17 33 4 8" xfId="36959" xr:uid="{00000000-0005-0000-0000-00005F900000}"/>
    <cellStyle name="Normal 5 17 33 4 9" xfId="36960" xr:uid="{00000000-0005-0000-0000-000060900000}"/>
    <cellStyle name="Normal 5 17 33 5" xfId="36961" xr:uid="{00000000-0005-0000-0000-000061900000}"/>
    <cellStyle name="Normal 5 17 33 5 10" xfId="36962" xr:uid="{00000000-0005-0000-0000-000062900000}"/>
    <cellStyle name="Normal 5 17 33 5 2" xfId="36963" xr:uid="{00000000-0005-0000-0000-000063900000}"/>
    <cellStyle name="Normal 5 17 33 5 3" xfId="36964" xr:uid="{00000000-0005-0000-0000-000064900000}"/>
    <cellStyle name="Normal 5 17 33 5 4" xfId="36965" xr:uid="{00000000-0005-0000-0000-000065900000}"/>
    <cellStyle name="Normal 5 17 33 5 5" xfId="36966" xr:uid="{00000000-0005-0000-0000-000066900000}"/>
    <cellStyle name="Normal 5 17 33 5 6" xfId="36967" xr:uid="{00000000-0005-0000-0000-000067900000}"/>
    <cellStyle name="Normal 5 17 33 5 7" xfId="36968" xr:uid="{00000000-0005-0000-0000-000068900000}"/>
    <cellStyle name="Normal 5 17 33 5 8" xfId="36969" xr:uid="{00000000-0005-0000-0000-000069900000}"/>
    <cellStyle name="Normal 5 17 33 5 9" xfId="36970" xr:uid="{00000000-0005-0000-0000-00006A900000}"/>
    <cellStyle name="Normal 5 17 33 6" xfId="36971" xr:uid="{00000000-0005-0000-0000-00006B900000}"/>
    <cellStyle name="Normal 5 17 33 7" xfId="36972" xr:uid="{00000000-0005-0000-0000-00006C900000}"/>
    <cellStyle name="Normal 5 17 33 8" xfId="36973" xr:uid="{00000000-0005-0000-0000-00006D900000}"/>
    <cellStyle name="Normal 5 17 33 9" xfId="36974" xr:uid="{00000000-0005-0000-0000-00006E900000}"/>
    <cellStyle name="Normal 5 17 34" xfId="36975" xr:uid="{00000000-0005-0000-0000-00006F900000}"/>
    <cellStyle name="Normal 5 17 34 10" xfId="36976" xr:uid="{00000000-0005-0000-0000-000070900000}"/>
    <cellStyle name="Normal 5 17 34 11" xfId="36977" xr:uid="{00000000-0005-0000-0000-000071900000}"/>
    <cellStyle name="Normal 5 17 34 12" xfId="36978" xr:uid="{00000000-0005-0000-0000-000072900000}"/>
    <cellStyle name="Normal 5 17 34 13" xfId="36979" xr:uid="{00000000-0005-0000-0000-000073900000}"/>
    <cellStyle name="Normal 5 17 34 14" xfId="36980" xr:uid="{00000000-0005-0000-0000-000074900000}"/>
    <cellStyle name="Normal 5 17 34 2" xfId="36981" xr:uid="{00000000-0005-0000-0000-000075900000}"/>
    <cellStyle name="Normal 5 17 34 2 10" xfId="36982" xr:uid="{00000000-0005-0000-0000-000076900000}"/>
    <cellStyle name="Normal 5 17 34 2 2" xfId="36983" xr:uid="{00000000-0005-0000-0000-000077900000}"/>
    <cellStyle name="Normal 5 17 34 2 3" xfId="36984" xr:uid="{00000000-0005-0000-0000-000078900000}"/>
    <cellStyle name="Normal 5 17 34 2 4" xfId="36985" xr:uid="{00000000-0005-0000-0000-000079900000}"/>
    <cellStyle name="Normal 5 17 34 2 5" xfId="36986" xr:uid="{00000000-0005-0000-0000-00007A900000}"/>
    <cellStyle name="Normal 5 17 34 2 6" xfId="36987" xr:uid="{00000000-0005-0000-0000-00007B900000}"/>
    <cellStyle name="Normal 5 17 34 2 7" xfId="36988" xr:uid="{00000000-0005-0000-0000-00007C900000}"/>
    <cellStyle name="Normal 5 17 34 2 8" xfId="36989" xr:uid="{00000000-0005-0000-0000-00007D900000}"/>
    <cellStyle name="Normal 5 17 34 2 9" xfId="36990" xr:uid="{00000000-0005-0000-0000-00007E900000}"/>
    <cellStyle name="Normal 5 17 34 3" xfId="36991" xr:uid="{00000000-0005-0000-0000-00007F900000}"/>
    <cellStyle name="Normal 5 17 34 3 10" xfId="36992" xr:uid="{00000000-0005-0000-0000-000080900000}"/>
    <cellStyle name="Normal 5 17 34 3 2" xfId="36993" xr:uid="{00000000-0005-0000-0000-000081900000}"/>
    <cellStyle name="Normal 5 17 34 3 3" xfId="36994" xr:uid="{00000000-0005-0000-0000-000082900000}"/>
    <cellStyle name="Normal 5 17 34 3 4" xfId="36995" xr:uid="{00000000-0005-0000-0000-000083900000}"/>
    <cellStyle name="Normal 5 17 34 3 5" xfId="36996" xr:uid="{00000000-0005-0000-0000-000084900000}"/>
    <cellStyle name="Normal 5 17 34 3 6" xfId="36997" xr:uid="{00000000-0005-0000-0000-000085900000}"/>
    <cellStyle name="Normal 5 17 34 3 7" xfId="36998" xr:uid="{00000000-0005-0000-0000-000086900000}"/>
    <cellStyle name="Normal 5 17 34 3 8" xfId="36999" xr:uid="{00000000-0005-0000-0000-000087900000}"/>
    <cellStyle name="Normal 5 17 34 3 9" xfId="37000" xr:uid="{00000000-0005-0000-0000-000088900000}"/>
    <cellStyle name="Normal 5 17 34 4" xfId="37001" xr:uid="{00000000-0005-0000-0000-000089900000}"/>
    <cellStyle name="Normal 5 17 34 4 10" xfId="37002" xr:uid="{00000000-0005-0000-0000-00008A900000}"/>
    <cellStyle name="Normal 5 17 34 4 2" xfId="37003" xr:uid="{00000000-0005-0000-0000-00008B900000}"/>
    <cellStyle name="Normal 5 17 34 4 3" xfId="37004" xr:uid="{00000000-0005-0000-0000-00008C900000}"/>
    <cellStyle name="Normal 5 17 34 4 4" xfId="37005" xr:uid="{00000000-0005-0000-0000-00008D900000}"/>
    <cellStyle name="Normal 5 17 34 4 5" xfId="37006" xr:uid="{00000000-0005-0000-0000-00008E900000}"/>
    <cellStyle name="Normal 5 17 34 4 6" xfId="37007" xr:uid="{00000000-0005-0000-0000-00008F900000}"/>
    <cellStyle name="Normal 5 17 34 4 7" xfId="37008" xr:uid="{00000000-0005-0000-0000-000090900000}"/>
    <cellStyle name="Normal 5 17 34 4 8" xfId="37009" xr:uid="{00000000-0005-0000-0000-000091900000}"/>
    <cellStyle name="Normal 5 17 34 4 9" xfId="37010" xr:uid="{00000000-0005-0000-0000-000092900000}"/>
    <cellStyle name="Normal 5 17 34 5" xfId="37011" xr:uid="{00000000-0005-0000-0000-000093900000}"/>
    <cellStyle name="Normal 5 17 34 5 10" xfId="37012" xr:uid="{00000000-0005-0000-0000-000094900000}"/>
    <cellStyle name="Normal 5 17 34 5 2" xfId="37013" xr:uid="{00000000-0005-0000-0000-000095900000}"/>
    <cellStyle name="Normal 5 17 34 5 3" xfId="37014" xr:uid="{00000000-0005-0000-0000-000096900000}"/>
    <cellStyle name="Normal 5 17 34 5 4" xfId="37015" xr:uid="{00000000-0005-0000-0000-000097900000}"/>
    <cellStyle name="Normal 5 17 34 5 5" xfId="37016" xr:uid="{00000000-0005-0000-0000-000098900000}"/>
    <cellStyle name="Normal 5 17 34 5 6" xfId="37017" xr:uid="{00000000-0005-0000-0000-000099900000}"/>
    <cellStyle name="Normal 5 17 34 5 7" xfId="37018" xr:uid="{00000000-0005-0000-0000-00009A900000}"/>
    <cellStyle name="Normal 5 17 34 5 8" xfId="37019" xr:uid="{00000000-0005-0000-0000-00009B900000}"/>
    <cellStyle name="Normal 5 17 34 5 9" xfId="37020" xr:uid="{00000000-0005-0000-0000-00009C900000}"/>
    <cellStyle name="Normal 5 17 34 6" xfId="37021" xr:uid="{00000000-0005-0000-0000-00009D900000}"/>
    <cellStyle name="Normal 5 17 34 7" xfId="37022" xr:uid="{00000000-0005-0000-0000-00009E900000}"/>
    <cellStyle name="Normal 5 17 34 8" xfId="37023" xr:uid="{00000000-0005-0000-0000-00009F900000}"/>
    <cellStyle name="Normal 5 17 34 9" xfId="37024" xr:uid="{00000000-0005-0000-0000-0000A0900000}"/>
    <cellStyle name="Normal 5 17 35" xfId="37025" xr:uid="{00000000-0005-0000-0000-0000A1900000}"/>
    <cellStyle name="Normal 5 17 35 10" xfId="37026" xr:uid="{00000000-0005-0000-0000-0000A2900000}"/>
    <cellStyle name="Normal 5 17 35 2" xfId="37027" xr:uid="{00000000-0005-0000-0000-0000A3900000}"/>
    <cellStyle name="Normal 5 17 35 3" xfId="37028" xr:uid="{00000000-0005-0000-0000-0000A4900000}"/>
    <cellStyle name="Normal 5 17 35 4" xfId="37029" xr:uid="{00000000-0005-0000-0000-0000A5900000}"/>
    <cellStyle name="Normal 5 17 35 5" xfId="37030" xr:uid="{00000000-0005-0000-0000-0000A6900000}"/>
    <cellStyle name="Normal 5 17 35 6" xfId="37031" xr:uid="{00000000-0005-0000-0000-0000A7900000}"/>
    <cellStyle name="Normal 5 17 35 7" xfId="37032" xr:uid="{00000000-0005-0000-0000-0000A8900000}"/>
    <cellStyle name="Normal 5 17 35 8" xfId="37033" xr:uid="{00000000-0005-0000-0000-0000A9900000}"/>
    <cellStyle name="Normal 5 17 35 9" xfId="37034" xr:uid="{00000000-0005-0000-0000-0000AA900000}"/>
    <cellStyle name="Normal 5 17 36" xfId="37035" xr:uid="{00000000-0005-0000-0000-0000AB900000}"/>
    <cellStyle name="Normal 5 17 36 10" xfId="37036" xr:uid="{00000000-0005-0000-0000-0000AC900000}"/>
    <cellStyle name="Normal 5 17 36 2" xfId="37037" xr:uid="{00000000-0005-0000-0000-0000AD900000}"/>
    <cellStyle name="Normal 5 17 36 3" xfId="37038" xr:uid="{00000000-0005-0000-0000-0000AE900000}"/>
    <cellStyle name="Normal 5 17 36 4" xfId="37039" xr:uid="{00000000-0005-0000-0000-0000AF900000}"/>
    <cellStyle name="Normal 5 17 36 5" xfId="37040" xr:uid="{00000000-0005-0000-0000-0000B0900000}"/>
    <cellStyle name="Normal 5 17 36 6" xfId="37041" xr:uid="{00000000-0005-0000-0000-0000B1900000}"/>
    <cellStyle name="Normal 5 17 36 7" xfId="37042" xr:uid="{00000000-0005-0000-0000-0000B2900000}"/>
    <cellStyle name="Normal 5 17 36 8" xfId="37043" xr:uid="{00000000-0005-0000-0000-0000B3900000}"/>
    <cellStyle name="Normal 5 17 36 9" xfId="37044" xr:uid="{00000000-0005-0000-0000-0000B4900000}"/>
    <cellStyle name="Normal 5 17 37" xfId="37045" xr:uid="{00000000-0005-0000-0000-0000B5900000}"/>
    <cellStyle name="Normal 5 17 37 10" xfId="37046" xr:uid="{00000000-0005-0000-0000-0000B6900000}"/>
    <cellStyle name="Normal 5 17 37 2" xfId="37047" xr:uid="{00000000-0005-0000-0000-0000B7900000}"/>
    <cellStyle name="Normal 5 17 37 3" xfId="37048" xr:uid="{00000000-0005-0000-0000-0000B8900000}"/>
    <cellStyle name="Normal 5 17 37 4" xfId="37049" xr:uid="{00000000-0005-0000-0000-0000B9900000}"/>
    <cellStyle name="Normal 5 17 37 5" xfId="37050" xr:uid="{00000000-0005-0000-0000-0000BA900000}"/>
    <cellStyle name="Normal 5 17 37 6" xfId="37051" xr:uid="{00000000-0005-0000-0000-0000BB900000}"/>
    <cellStyle name="Normal 5 17 37 7" xfId="37052" xr:uid="{00000000-0005-0000-0000-0000BC900000}"/>
    <cellStyle name="Normal 5 17 37 8" xfId="37053" xr:uid="{00000000-0005-0000-0000-0000BD900000}"/>
    <cellStyle name="Normal 5 17 37 9" xfId="37054" xr:uid="{00000000-0005-0000-0000-0000BE900000}"/>
    <cellStyle name="Normal 5 17 38" xfId="37055" xr:uid="{00000000-0005-0000-0000-0000BF900000}"/>
    <cellStyle name="Normal 5 17 38 10" xfId="37056" xr:uid="{00000000-0005-0000-0000-0000C0900000}"/>
    <cellStyle name="Normal 5 17 38 2" xfId="37057" xr:uid="{00000000-0005-0000-0000-0000C1900000}"/>
    <cellStyle name="Normal 5 17 38 3" xfId="37058" xr:uid="{00000000-0005-0000-0000-0000C2900000}"/>
    <cellStyle name="Normal 5 17 38 4" xfId="37059" xr:uid="{00000000-0005-0000-0000-0000C3900000}"/>
    <cellStyle name="Normal 5 17 38 5" xfId="37060" xr:uid="{00000000-0005-0000-0000-0000C4900000}"/>
    <cellStyle name="Normal 5 17 38 6" xfId="37061" xr:uid="{00000000-0005-0000-0000-0000C5900000}"/>
    <cellStyle name="Normal 5 17 38 7" xfId="37062" xr:uid="{00000000-0005-0000-0000-0000C6900000}"/>
    <cellStyle name="Normal 5 17 38 8" xfId="37063" xr:uid="{00000000-0005-0000-0000-0000C7900000}"/>
    <cellStyle name="Normal 5 17 38 9" xfId="37064" xr:uid="{00000000-0005-0000-0000-0000C8900000}"/>
    <cellStyle name="Normal 5 17 39" xfId="37065" xr:uid="{00000000-0005-0000-0000-0000C9900000}"/>
    <cellStyle name="Normal 5 17 4" xfId="37066" xr:uid="{00000000-0005-0000-0000-0000CA900000}"/>
    <cellStyle name="Normal 5 17 4 10" xfId="37067" xr:uid="{00000000-0005-0000-0000-0000CB900000}"/>
    <cellStyle name="Normal 5 17 4 11" xfId="37068" xr:uid="{00000000-0005-0000-0000-0000CC900000}"/>
    <cellStyle name="Normal 5 17 4 12" xfId="37069" xr:uid="{00000000-0005-0000-0000-0000CD900000}"/>
    <cellStyle name="Normal 5 17 4 13" xfId="37070" xr:uid="{00000000-0005-0000-0000-0000CE900000}"/>
    <cellStyle name="Normal 5 17 4 14" xfId="37071" xr:uid="{00000000-0005-0000-0000-0000CF900000}"/>
    <cellStyle name="Normal 5 17 4 2" xfId="37072" xr:uid="{00000000-0005-0000-0000-0000D0900000}"/>
    <cellStyle name="Normal 5 17 4 2 10" xfId="37073" xr:uid="{00000000-0005-0000-0000-0000D1900000}"/>
    <cellStyle name="Normal 5 17 4 2 2" xfId="37074" xr:uid="{00000000-0005-0000-0000-0000D2900000}"/>
    <cellStyle name="Normal 5 17 4 2 3" xfId="37075" xr:uid="{00000000-0005-0000-0000-0000D3900000}"/>
    <cellStyle name="Normal 5 17 4 2 4" xfId="37076" xr:uid="{00000000-0005-0000-0000-0000D4900000}"/>
    <cellStyle name="Normal 5 17 4 2 5" xfId="37077" xr:uid="{00000000-0005-0000-0000-0000D5900000}"/>
    <cellStyle name="Normal 5 17 4 2 6" xfId="37078" xr:uid="{00000000-0005-0000-0000-0000D6900000}"/>
    <cellStyle name="Normal 5 17 4 2 7" xfId="37079" xr:uid="{00000000-0005-0000-0000-0000D7900000}"/>
    <cellStyle name="Normal 5 17 4 2 8" xfId="37080" xr:uid="{00000000-0005-0000-0000-0000D8900000}"/>
    <cellStyle name="Normal 5 17 4 2 9" xfId="37081" xr:uid="{00000000-0005-0000-0000-0000D9900000}"/>
    <cellStyle name="Normal 5 17 4 3" xfId="37082" xr:uid="{00000000-0005-0000-0000-0000DA900000}"/>
    <cellStyle name="Normal 5 17 4 3 10" xfId="37083" xr:uid="{00000000-0005-0000-0000-0000DB900000}"/>
    <cellStyle name="Normal 5 17 4 3 2" xfId="37084" xr:uid="{00000000-0005-0000-0000-0000DC900000}"/>
    <cellStyle name="Normal 5 17 4 3 3" xfId="37085" xr:uid="{00000000-0005-0000-0000-0000DD900000}"/>
    <cellStyle name="Normal 5 17 4 3 4" xfId="37086" xr:uid="{00000000-0005-0000-0000-0000DE900000}"/>
    <cellStyle name="Normal 5 17 4 3 5" xfId="37087" xr:uid="{00000000-0005-0000-0000-0000DF900000}"/>
    <cellStyle name="Normal 5 17 4 3 6" xfId="37088" xr:uid="{00000000-0005-0000-0000-0000E0900000}"/>
    <cellStyle name="Normal 5 17 4 3 7" xfId="37089" xr:uid="{00000000-0005-0000-0000-0000E1900000}"/>
    <cellStyle name="Normal 5 17 4 3 8" xfId="37090" xr:uid="{00000000-0005-0000-0000-0000E2900000}"/>
    <cellStyle name="Normal 5 17 4 3 9" xfId="37091" xr:uid="{00000000-0005-0000-0000-0000E3900000}"/>
    <cellStyle name="Normal 5 17 4 4" xfId="37092" xr:uid="{00000000-0005-0000-0000-0000E4900000}"/>
    <cellStyle name="Normal 5 17 4 4 10" xfId="37093" xr:uid="{00000000-0005-0000-0000-0000E5900000}"/>
    <cellStyle name="Normal 5 17 4 4 2" xfId="37094" xr:uid="{00000000-0005-0000-0000-0000E6900000}"/>
    <cellStyle name="Normal 5 17 4 4 3" xfId="37095" xr:uid="{00000000-0005-0000-0000-0000E7900000}"/>
    <cellStyle name="Normal 5 17 4 4 4" xfId="37096" xr:uid="{00000000-0005-0000-0000-0000E8900000}"/>
    <cellStyle name="Normal 5 17 4 4 5" xfId="37097" xr:uid="{00000000-0005-0000-0000-0000E9900000}"/>
    <cellStyle name="Normal 5 17 4 4 6" xfId="37098" xr:uid="{00000000-0005-0000-0000-0000EA900000}"/>
    <cellStyle name="Normal 5 17 4 4 7" xfId="37099" xr:uid="{00000000-0005-0000-0000-0000EB900000}"/>
    <cellStyle name="Normal 5 17 4 4 8" xfId="37100" xr:uid="{00000000-0005-0000-0000-0000EC900000}"/>
    <cellStyle name="Normal 5 17 4 4 9" xfId="37101" xr:uid="{00000000-0005-0000-0000-0000ED900000}"/>
    <cellStyle name="Normal 5 17 4 5" xfId="37102" xr:uid="{00000000-0005-0000-0000-0000EE900000}"/>
    <cellStyle name="Normal 5 17 4 5 10" xfId="37103" xr:uid="{00000000-0005-0000-0000-0000EF900000}"/>
    <cellStyle name="Normal 5 17 4 5 2" xfId="37104" xr:uid="{00000000-0005-0000-0000-0000F0900000}"/>
    <cellStyle name="Normal 5 17 4 5 3" xfId="37105" xr:uid="{00000000-0005-0000-0000-0000F1900000}"/>
    <cellStyle name="Normal 5 17 4 5 4" xfId="37106" xr:uid="{00000000-0005-0000-0000-0000F2900000}"/>
    <cellStyle name="Normal 5 17 4 5 5" xfId="37107" xr:uid="{00000000-0005-0000-0000-0000F3900000}"/>
    <cellStyle name="Normal 5 17 4 5 6" xfId="37108" xr:uid="{00000000-0005-0000-0000-0000F4900000}"/>
    <cellStyle name="Normal 5 17 4 5 7" xfId="37109" xr:uid="{00000000-0005-0000-0000-0000F5900000}"/>
    <cellStyle name="Normal 5 17 4 5 8" xfId="37110" xr:uid="{00000000-0005-0000-0000-0000F6900000}"/>
    <cellStyle name="Normal 5 17 4 5 9" xfId="37111" xr:uid="{00000000-0005-0000-0000-0000F7900000}"/>
    <cellStyle name="Normal 5 17 4 6" xfId="37112" xr:uid="{00000000-0005-0000-0000-0000F8900000}"/>
    <cellStyle name="Normal 5 17 4 7" xfId="37113" xr:uid="{00000000-0005-0000-0000-0000F9900000}"/>
    <cellStyle name="Normal 5 17 4 8" xfId="37114" xr:uid="{00000000-0005-0000-0000-0000FA900000}"/>
    <cellStyle name="Normal 5 17 4 9" xfId="37115" xr:uid="{00000000-0005-0000-0000-0000FB900000}"/>
    <cellStyle name="Normal 5 17 40" xfId="37116" xr:uid="{00000000-0005-0000-0000-0000FC900000}"/>
    <cellStyle name="Normal 5 17 41" xfId="37117" xr:uid="{00000000-0005-0000-0000-0000FD900000}"/>
    <cellStyle name="Normal 5 17 42" xfId="37118" xr:uid="{00000000-0005-0000-0000-0000FE900000}"/>
    <cellStyle name="Normal 5 17 43" xfId="37119" xr:uid="{00000000-0005-0000-0000-0000FF900000}"/>
    <cellStyle name="Normal 5 17 44" xfId="37120" xr:uid="{00000000-0005-0000-0000-000000910000}"/>
    <cellStyle name="Normal 5 17 45" xfId="37121" xr:uid="{00000000-0005-0000-0000-000001910000}"/>
    <cellStyle name="Normal 5 17 46" xfId="37122" xr:uid="{00000000-0005-0000-0000-000002910000}"/>
    <cellStyle name="Normal 5 17 47" xfId="37123" xr:uid="{00000000-0005-0000-0000-000003910000}"/>
    <cellStyle name="Normal 5 17 48" xfId="37124" xr:uid="{00000000-0005-0000-0000-000004910000}"/>
    <cellStyle name="Normal 5 17 49" xfId="37125" xr:uid="{00000000-0005-0000-0000-000005910000}"/>
    <cellStyle name="Normal 5 17 5" xfId="37126" xr:uid="{00000000-0005-0000-0000-000006910000}"/>
    <cellStyle name="Normal 5 17 5 10" xfId="37127" xr:uid="{00000000-0005-0000-0000-000007910000}"/>
    <cellStyle name="Normal 5 17 5 11" xfId="37128" xr:uid="{00000000-0005-0000-0000-000008910000}"/>
    <cellStyle name="Normal 5 17 5 12" xfId="37129" xr:uid="{00000000-0005-0000-0000-000009910000}"/>
    <cellStyle name="Normal 5 17 5 13" xfId="37130" xr:uid="{00000000-0005-0000-0000-00000A910000}"/>
    <cellStyle name="Normal 5 17 5 14" xfId="37131" xr:uid="{00000000-0005-0000-0000-00000B910000}"/>
    <cellStyle name="Normal 5 17 5 2" xfId="37132" xr:uid="{00000000-0005-0000-0000-00000C910000}"/>
    <cellStyle name="Normal 5 17 5 2 10" xfId="37133" xr:uid="{00000000-0005-0000-0000-00000D910000}"/>
    <cellStyle name="Normal 5 17 5 2 2" xfId="37134" xr:uid="{00000000-0005-0000-0000-00000E910000}"/>
    <cellStyle name="Normal 5 17 5 2 3" xfId="37135" xr:uid="{00000000-0005-0000-0000-00000F910000}"/>
    <cellStyle name="Normal 5 17 5 2 4" xfId="37136" xr:uid="{00000000-0005-0000-0000-000010910000}"/>
    <cellStyle name="Normal 5 17 5 2 5" xfId="37137" xr:uid="{00000000-0005-0000-0000-000011910000}"/>
    <cellStyle name="Normal 5 17 5 2 6" xfId="37138" xr:uid="{00000000-0005-0000-0000-000012910000}"/>
    <cellStyle name="Normal 5 17 5 2 7" xfId="37139" xr:uid="{00000000-0005-0000-0000-000013910000}"/>
    <cellStyle name="Normal 5 17 5 2 8" xfId="37140" xr:uid="{00000000-0005-0000-0000-000014910000}"/>
    <cellStyle name="Normal 5 17 5 2 9" xfId="37141" xr:uid="{00000000-0005-0000-0000-000015910000}"/>
    <cellStyle name="Normal 5 17 5 3" xfId="37142" xr:uid="{00000000-0005-0000-0000-000016910000}"/>
    <cellStyle name="Normal 5 17 5 3 10" xfId="37143" xr:uid="{00000000-0005-0000-0000-000017910000}"/>
    <cellStyle name="Normal 5 17 5 3 2" xfId="37144" xr:uid="{00000000-0005-0000-0000-000018910000}"/>
    <cellStyle name="Normal 5 17 5 3 3" xfId="37145" xr:uid="{00000000-0005-0000-0000-000019910000}"/>
    <cellStyle name="Normal 5 17 5 3 4" xfId="37146" xr:uid="{00000000-0005-0000-0000-00001A910000}"/>
    <cellStyle name="Normal 5 17 5 3 5" xfId="37147" xr:uid="{00000000-0005-0000-0000-00001B910000}"/>
    <cellStyle name="Normal 5 17 5 3 6" xfId="37148" xr:uid="{00000000-0005-0000-0000-00001C910000}"/>
    <cellStyle name="Normal 5 17 5 3 7" xfId="37149" xr:uid="{00000000-0005-0000-0000-00001D910000}"/>
    <cellStyle name="Normal 5 17 5 3 8" xfId="37150" xr:uid="{00000000-0005-0000-0000-00001E910000}"/>
    <cellStyle name="Normal 5 17 5 3 9" xfId="37151" xr:uid="{00000000-0005-0000-0000-00001F910000}"/>
    <cellStyle name="Normal 5 17 5 4" xfId="37152" xr:uid="{00000000-0005-0000-0000-000020910000}"/>
    <cellStyle name="Normal 5 17 5 4 10" xfId="37153" xr:uid="{00000000-0005-0000-0000-000021910000}"/>
    <cellStyle name="Normal 5 17 5 4 2" xfId="37154" xr:uid="{00000000-0005-0000-0000-000022910000}"/>
    <cellStyle name="Normal 5 17 5 4 3" xfId="37155" xr:uid="{00000000-0005-0000-0000-000023910000}"/>
    <cellStyle name="Normal 5 17 5 4 4" xfId="37156" xr:uid="{00000000-0005-0000-0000-000024910000}"/>
    <cellStyle name="Normal 5 17 5 4 5" xfId="37157" xr:uid="{00000000-0005-0000-0000-000025910000}"/>
    <cellStyle name="Normal 5 17 5 4 6" xfId="37158" xr:uid="{00000000-0005-0000-0000-000026910000}"/>
    <cellStyle name="Normal 5 17 5 4 7" xfId="37159" xr:uid="{00000000-0005-0000-0000-000027910000}"/>
    <cellStyle name="Normal 5 17 5 4 8" xfId="37160" xr:uid="{00000000-0005-0000-0000-000028910000}"/>
    <cellStyle name="Normal 5 17 5 4 9" xfId="37161" xr:uid="{00000000-0005-0000-0000-000029910000}"/>
    <cellStyle name="Normal 5 17 5 5" xfId="37162" xr:uid="{00000000-0005-0000-0000-00002A910000}"/>
    <cellStyle name="Normal 5 17 5 5 10" xfId="37163" xr:uid="{00000000-0005-0000-0000-00002B910000}"/>
    <cellStyle name="Normal 5 17 5 5 2" xfId="37164" xr:uid="{00000000-0005-0000-0000-00002C910000}"/>
    <cellStyle name="Normal 5 17 5 5 3" xfId="37165" xr:uid="{00000000-0005-0000-0000-00002D910000}"/>
    <cellStyle name="Normal 5 17 5 5 4" xfId="37166" xr:uid="{00000000-0005-0000-0000-00002E910000}"/>
    <cellStyle name="Normal 5 17 5 5 5" xfId="37167" xr:uid="{00000000-0005-0000-0000-00002F910000}"/>
    <cellStyle name="Normal 5 17 5 5 6" xfId="37168" xr:uid="{00000000-0005-0000-0000-000030910000}"/>
    <cellStyle name="Normal 5 17 5 5 7" xfId="37169" xr:uid="{00000000-0005-0000-0000-000031910000}"/>
    <cellStyle name="Normal 5 17 5 5 8" xfId="37170" xr:uid="{00000000-0005-0000-0000-000032910000}"/>
    <cellStyle name="Normal 5 17 5 5 9" xfId="37171" xr:uid="{00000000-0005-0000-0000-000033910000}"/>
    <cellStyle name="Normal 5 17 5 6" xfId="37172" xr:uid="{00000000-0005-0000-0000-000034910000}"/>
    <cellStyle name="Normal 5 17 5 7" xfId="37173" xr:uid="{00000000-0005-0000-0000-000035910000}"/>
    <cellStyle name="Normal 5 17 5 8" xfId="37174" xr:uid="{00000000-0005-0000-0000-000036910000}"/>
    <cellStyle name="Normal 5 17 5 9" xfId="37175" xr:uid="{00000000-0005-0000-0000-000037910000}"/>
    <cellStyle name="Normal 5 17 6" xfId="37176" xr:uid="{00000000-0005-0000-0000-000038910000}"/>
    <cellStyle name="Normal 5 17 6 10" xfId="37177" xr:uid="{00000000-0005-0000-0000-000039910000}"/>
    <cellStyle name="Normal 5 17 6 11" xfId="37178" xr:uid="{00000000-0005-0000-0000-00003A910000}"/>
    <cellStyle name="Normal 5 17 6 12" xfId="37179" xr:uid="{00000000-0005-0000-0000-00003B910000}"/>
    <cellStyle name="Normal 5 17 6 13" xfId="37180" xr:uid="{00000000-0005-0000-0000-00003C910000}"/>
    <cellStyle name="Normal 5 17 6 14" xfId="37181" xr:uid="{00000000-0005-0000-0000-00003D910000}"/>
    <cellStyle name="Normal 5 17 6 2" xfId="37182" xr:uid="{00000000-0005-0000-0000-00003E910000}"/>
    <cellStyle name="Normal 5 17 6 2 10" xfId="37183" xr:uid="{00000000-0005-0000-0000-00003F910000}"/>
    <cellStyle name="Normal 5 17 6 2 2" xfId="37184" xr:uid="{00000000-0005-0000-0000-000040910000}"/>
    <cellStyle name="Normal 5 17 6 2 3" xfId="37185" xr:uid="{00000000-0005-0000-0000-000041910000}"/>
    <cellStyle name="Normal 5 17 6 2 4" xfId="37186" xr:uid="{00000000-0005-0000-0000-000042910000}"/>
    <cellStyle name="Normal 5 17 6 2 5" xfId="37187" xr:uid="{00000000-0005-0000-0000-000043910000}"/>
    <cellStyle name="Normal 5 17 6 2 6" xfId="37188" xr:uid="{00000000-0005-0000-0000-000044910000}"/>
    <cellStyle name="Normal 5 17 6 2 7" xfId="37189" xr:uid="{00000000-0005-0000-0000-000045910000}"/>
    <cellStyle name="Normal 5 17 6 2 8" xfId="37190" xr:uid="{00000000-0005-0000-0000-000046910000}"/>
    <cellStyle name="Normal 5 17 6 2 9" xfId="37191" xr:uid="{00000000-0005-0000-0000-000047910000}"/>
    <cellStyle name="Normal 5 17 6 3" xfId="37192" xr:uid="{00000000-0005-0000-0000-000048910000}"/>
    <cellStyle name="Normal 5 17 6 3 10" xfId="37193" xr:uid="{00000000-0005-0000-0000-000049910000}"/>
    <cellStyle name="Normal 5 17 6 3 2" xfId="37194" xr:uid="{00000000-0005-0000-0000-00004A910000}"/>
    <cellStyle name="Normal 5 17 6 3 3" xfId="37195" xr:uid="{00000000-0005-0000-0000-00004B910000}"/>
    <cellStyle name="Normal 5 17 6 3 4" xfId="37196" xr:uid="{00000000-0005-0000-0000-00004C910000}"/>
    <cellStyle name="Normal 5 17 6 3 5" xfId="37197" xr:uid="{00000000-0005-0000-0000-00004D910000}"/>
    <cellStyle name="Normal 5 17 6 3 6" xfId="37198" xr:uid="{00000000-0005-0000-0000-00004E910000}"/>
    <cellStyle name="Normal 5 17 6 3 7" xfId="37199" xr:uid="{00000000-0005-0000-0000-00004F910000}"/>
    <cellStyle name="Normal 5 17 6 3 8" xfId="37200" xr:uid="{00000000-0005-0000-0000-000050910000}"/>
    <cellStyle name="Normal 5 17 6 3 9" xfId="37201" xr:uid="{00000000-0005-0000-0000-000051910000}"/>
    <cellStyle name="Normal 5 17 6 4" xfId="37202" xr:uid="{00000000-0005-0000-0000-000052910000}"/>
    <cellStyle name="Normal 5 17 6 4 10" xfId="37203" xr:uid="{00000000-0005-0000-0000-000053910000}"/>
    <cellStyle name="Normal 5 17 6 4 2" xfId="37204" xr:uid="{00000000-0005-0000-0000-000054910000}"/>
    <cellStyle name="Normal 5 17 6 4 3" xfId="37205" xr:uid="{00000000-0005-0000-0000-000055910000}"/>
    <cellStyle name="Normal 5 17 6 4 4" xfId="37206" xr:uid="{00000000-0005-0000-0000-000056910000}"/>
    <cellStyle name="Normal 5 17 6 4 5" xfId="37207" xr:uid="{00000000-0005-0000-0000-000057910000}"/>
    <cellStyle name="Normal 5 17 6 4 6" xfId="37208" xr:uid="{00000000-0005-0000-0000-000058910000}"/>
    <cellStyle name="Normal 5 17 6 4 7" xfId="37209" xr:uid="{00000000-0005-0000-0000-000059910000}"/>
    <cellStyle name="Normal 5 17 6 4 8" xfId="37210" xr:uid="{00000000-0005-0000-0000-00005A910000}"/>
    <cellStyle name="Normal 5 17 6 4 9" xfId="37211" xr:uid="{00000000-0005-0000-0000-00005B910000}"/>
    <cellStyle name="Normal 5 17 6 5" xfId="37212" xr:uid="{00000000-0005-0000-0000-00005C910000}"/>
    <cellStyle name="Normal 5 17 6 5 10" xfId="37213" xr:uid="{00000000-0005-0000-0000-00005D910000}"/>
    <cellStyle name="Normal 5 17 6 5 2" xfId="37214" xr:uid="{00000000-0005-0000-0000-00005E910000}"/>
    <cellStyle name="Normal 5 17 6 5 3" xfId="37215" xr:uid="{00000000-0005-0000-0000-00005F910000}"/>
    <cellStyle name="Normal 5 17 6 5 4" xfId="37216" xr:uid="{00000000-0005-0000-0000-000060910000}"/>
    <cellStyle name="Normal 5 17 6 5 5" xfId="37217" xr:uid="{00000000-0005-0000-0000-000061910000}"/>
    <cellStyle name="Normal 5 17 6 5 6" xfId="37218" xr:uid="{00000000-0005-0000-0000-000062910000}"/>
    <cellStyle name="Normal 5 17 6 5 7" xfId="37219" xr:uid="{00000000-0005-0000-0000-000063910000}"/>
    <cellStyle name="Normal 5 17 6 5 8" xfId="37220" xr:uid="{00000000-0005-0000-0000-000064910000}"/>
    <cellStyle name="Normal 5 17 6 5 9" xfId="37221" xr:uid="{00000000-0005-0000-0000-000065910000}"/>
    <cellStyle name="Normal 5 17 6 6" xfId="37222" xr:uid="{00000000-0005-0000-0000-000066910000}"/>
    <cellStyle name="Normal 5 17 6 7" xfId="37223" xr:uid="{00000000-0005-0000-0000-000067910000}"/>
    <cellStyle name="Normal 5 17 6 8" xfId="37224" xr:uid="{00000000-0005-0000-0000-000068910000}"/>
    <cellStyle name="Normal 5 17 6 9" xfId="37225" xr:uid="{00000000-0005-0000-0000-000069910000}"/>
    <cellStyle name="Normal 5 17 7" xfId="37226" xr:uid="{00000000-0005-0000-0000-00006A910000}"/>
    <cellStyle name="Normal 5 17 7 10" xfId="37227" xr:uid="{00000000-0005-0000-0000-00006B910000}"/>
    <cellStyle name="Normal 5 17 7 11" xfId="37228" xr:uid="{00000000-0005-0000-0000-00006C910000}"/>
    <cellStyle name="Normal 5 17 7 12" xfId="37229" xr:uid="{00000000-0005-0000-0000-00006D910000}"/>
    <cellStyle name="Normal 5 17 7 13" xfId="37230" xr:uid="{00000000-0005-0000-0000-00006E910000}"/>
    <cellStyle name="Normal 5 17 7 14" xfId="37231" xr:uid="{00000000-0005-0000-0000-00006F910000}"/>
    <cellStyle name="Normal 5 17 7 2" xfId="37232" xr:uid="{00000000-0005-0000-0000-000070910000}"/>
    <cellStyle name="Normal 5 17 7 2 10" xfId="37233" xr:uid="{00000000-0005-0000-0000-000071910000}"/>
    <cellStyle name="Normal 5 17 7 2 2" xfId="37234" xr:uid="{00000000-0005-0000-0000-000072910000}"/>
    <cellStyle name="Normal 5 17 7 2 3" xfId="37235" xr:uid="{00000000-0005-0000-0000-000073910000}"/>
    <cellStyle name="Normal 5 17 7 2 4" xfId="37236" xr:uid="{00000000-0005-0000-0000-000074910000}"/>
    <cellStyle name="Normal 5 17 7 2 5" xfId="37237" xr:uid="{00000000-0005-0000-0000-000075910000}"/>
    <cellStyle name="Normal 5 17 7 2 6" xfId="37238" xr:uid="{00000000-0005-0000-0000-000076910000}"/>
    <cellStyle name="Normal 5 17 7 2 7" xfId="37239" xr:uid="{00000000-0005-0000-0000-000077910000}"/>
    <cellStyle name="Normal 5 17 7 2 8" xfId="37240" xr:uid="{00000000-0005-0000-0000-000078910000}"/>
    <cellStyle name="Normal 5 17 7 2 9" xfId="37241" xr:uid="{00000000-0005-0000-0000-000079910000}"/>
    <cellStyle name="Normal 5 17 7 3" xfId="37242" xr:uid="{00000000-0005-0000-0000-00007A910000}"/>
    <cellStyle name="Normal 5 17 7 3 10" xfId="37243" xr:uid="{00000000-0005-0000-0000-00007B910000}"/>
    <cellStyle name="Normal 5 17 7 3 2" xfId="37244" xr:uid="{00000000-0005-0000-0000-00007C910000}"/>
    <cellStyle name="Normal 5 17 7 3 3" xfId="37245" xr:uid="{00000000-0005-0000-0000-00007D910000}"/>
    <cellStyle name="Normal 5 17 7 3 4" xfId="37246" xr:uid="{00000000-0005-0000-0000-00007E910000}"/>
    <cellStyle name="Normal 5 17 7 3 5" xfId="37247" xr:uid="{00000000-0005-0000-0000-00007F910000}"/>
    <cellStyle name="Normal 5 17 7 3 6" xfId="37248" xr:uid="{00000000-0005-0000-0000-000080910000}"/>
    <cellStyle name="Normal 5 17 7 3 7" xfId="37249" xr:uid="{00000000-0005-0000-0000-000081910000}"/>
    <cellStyle name="Normal 5 17 7 3 8" xfId="37250" xr:uid="{00000000-0005-0000-0000-000082910000}"/>
    <cellStyle name="Normal 5 17 7 3 9" xfId="37251" xr:uid="{00000000-0005-0000-0000-000083910000}"/>
    <cellStyle name="Normal 5 17 7 4" xfId="37252" xr:uid="{00000000-0005-0000-0000-000084910000}"/>
    <cellStyle name="Normal 5 17 7 4 10" xfId="37253" xr:uid="{00000000-0005-0000-0000-000085910000}"/>
    <cellStyle name="Normal 5 17 7 4 2" xfId="37254" xr:uid="{00000000-0005-0000-0000-000086910000}"/>
    <cellStyle name="Normal 5 17 7 4 3" xfId="37255" xr:uid="{00000000-0005-0000-0000-000087910000}"/>
    <cellStyle name="Normal 5 17 7 4 4" xfId="37256" xr:uid="{00000000-0005-0000-0000-000088910000}"/>
    <cellStyle name="Normal 5 17 7 4 5" xfId="37257" xr:uid="{00000000-0005-0000-0000-000089910000}"/>
    <cellStyle name="Normal 5 17 7 4 6" xfId="37258" xr:uid="{00000000-0005-0000-0000-00008A910000}"/>
    <cellStyle name="Normal 5 17 7 4 7" xfId="37259" xr:uid="{00000000-0005-0000-0000-00008B910000}"/>
    <cellStyle name="Normal 5 17 7 4 8" xfId="37260" xr:uid="{00000000-0005-0000-0000-00008C910000}"/>
    <cellStyle name="Normal 5 17 7 4 9" xfId="37261" xr:uid="{00000000-0005-0000-0000-00008D910000}"/>
    <cellStyle name="Normal 5 17 7 5" xfId="37262" xr:uid="{00000000-0005-0000-0000-00008E910000}"/>
    <cellStyle name="Normal 5 17 7 5 10" xfId="37263" xr:uid="{00000000-0005-0000-0000-00008F910000}"/>
    <cellStyle name="Normal 5 17 7 5 2" xfId="37264" xr:uid="{00000000-0005-0000-0000-000090910000}"/>
    <cellStyle name="Normal 5 17 7 5 3" xfId="37265" xr:uid="{00000000-0005-0000-0000-000091910000}"/>
    <cellStyle name="Normal 5 17 7 5 4" xfId="37266" xr:uid="{00000000-0005-0000-0000-000092910000}"/>
    <cellStyle name="Normal 5 17 7 5 5" xfId="37267" xr:uid="{00000000-0005-0000-0000-000093910000}"/>
    <cellStyle name="Normal 5 17 7 5 6" xfId="37268" xr:uid="{00000000-0005-0000-0000-000094910000}"/>
    <cellStyle name="Normal 5 17 7 5 7" xfId="37269" xr:uid="{00000000-0005-0000-0000-000095910000}"/>
    <cellStyle name="Normal 5 17 7 5 8" xfId="37270" xr:uid="{00000000-0005-0000-0000-000096910000}"/>
    <cellStyle name="Normal 5 17 7 5 9" xfId="37271" xr:uid="{00000000-0005-0000-0000-000097910000}"/>
    <cellStyle name="Normal 5 17 7 6" xfId="37272" xr:uid="{00000000-0005-0000-0000-000098910000}"/>
    <cellStyle name="Normal 5 17 7 7" xfId="37273" xr:uid="{00000000-0005-0000-0000-000099910000}"/>
    <cellStyle name="Normal 5 17 7 8" xfId="37274" xr:uid="{00000000-0005-0000-0000-00009A910000}"/>
    <cellStyle name="Normal 5 17 7 9" xfId="37275" xr:uid="{00000000-0005-0000-0000-00009B910000}"/>
    <cellStyle name="Normal 5 17 8" xfId="37276" xr:uid="{00000000-0005-0000-0000-00009C910000}"/>
    <cellStyle name="Normal 5 17 8 10" xfId="37277" xr:uid="{00000000-0005-0000-0000-00009D910000}"/>
    <cellStyle name="Normal 5 17 8 11" xfId="37278" xr:uid="{00000000-0005-0000-0000-00009E910000}"/>
    <cellStyle name="Normal 5 17 8 12" xfId="37279" xr:uid="{00000000-0005-0000-0000-00009F910000}"/>
    <cellStyle name="Normal 5 17 8 13" xfId="37280" xr:uid="{00000000-0005-0000-0000-0000A0910000}"/>
    <cellStyle name="Normal 5 17 8 14" xfId="37281" xr:uid="{00000000-0005-0000-0000-0000A1910000}"/>
    <cellStyle name="Normal 5 17 8 2" xfId="37282" xr:uid="{00000000-0005-0000-0000-0000A2910000}"/>
    <cellStyle name="Normal 5 17 8 2 10" xfId="37283" xr:uid="{00000000-0005-0000-0000-0000A3910000}"/>
    <cellStyle name="Normal 5 17 8 2 2" xfId="37284" xr:uid="{00000000-0005-0000-0000-0000A4910000}"/>
    <cellStyle name="Normal 5 17 8 2 3" xfId="37285" xr:uid="{00000000-0005-0000-0000-0000A5910000}"/>
    <cellStyle name="Normal 5 17 8 2 4" xfId="37286" xr:uid="{00000000-0005-0000-0000-0000A6910000}"/>
    <cellStyle name="Normal 5 17 8 2 5" xfId="37287" xr:uid="{00000000-0005-0000-0000-0000A7910000}"/>
    <cellStyle name="Normal 5 17 8 2 6" xfId="37288" xr:uid="{00000000-0005-0000-0000-0000A8910000}"/>
    <cellStyle name="Normal 5 17 8 2 7" xfId="37289" xr:uid="{00000000-0005-0000-0000-0000A9910000}"/>
    <cellStyle name="Normal 5 17 8 2 8" xfId="37290" xr:uid="{00000000-0005-0000-0000-0000AA910000}"/>
    <cellStyle name="Normal 5 17 8 2 9" xfId="37291" xr:uid="{00000000-0005-0000-0000-0000AB910000}"/>
    <cellStyle name="Normal 5 17 8 3" xfId="37292" xr:uid="{00000000-0005-0000-0000-0000AC910000}"/>
    <cellStyle name="Normal 5 17 8 3 10" xfId="37293" xr:uid="{00000000-0005-0000-0000-0000AD910000}"/>
    <cellStyle name="Normal 5 17 8 3 2" xfId="37294" xr:uid="{00000000-0005-0000-0000-0000AE910000}"/>
    <cellStyle name="Normal 5 17 8 3 3" xfId="37295" xr:uid="{00000000-0005-0000-0000-0000AF910000}"/>
    <cellStyle name="Normal 5 17 8 3 4" xfId="37296" xr:uid="{00000000-0005-0000-0000-0000B0910000}"/>
    <cellStyle name="Normal 5 17 8 3 5" xfId="37297" xr:uid="{00000000-0005-0000-0000-0000B1910000}"/>
    <cellStyle name="Normal 5 17 8 3 6" xfId="37298" xr:uid="{00000000-0005-0000-0000-0000B2910000}"/>
    <cellStyle name="Normal 5 17 8 3 7" xfId="37299" xr:uid="{00000000-0005-0000-0000-0000B3910000}"/>
    <cellStyle name="Normal 5 17 8 3 8" xfId="37300" xr:uid="{00000000-0005-0000-0000-0000B4910000}"/>
    <cellStyle name="Normal 5 17 8 3 9" xfId="37301" xr:uid="{00000000-0005-0000-0000-0000B5910000}"/>
    <cellStyle name="Normal 5 17 8 4" xfId="37302" xr:uid="{00000000-0005-0000-0000-0000B6910000}"/>
    <cellStyle name="Normal 5 17 8 4 10" xfId="37303" xr:uid="{00000000-0005-0000-0000-0000B7910000}"/>
    <cellStyle name="Normal 5 17 8 4 2" xfId="37304" xr:uid="{00000000-0005-0000-0000-0000B8910000}"/>
    <cellStyle name="Normal 5 17 8 4 3" xfId="37305" xr:uid="{00000000-0005-0000-0000-0000B9910000}"/>
    <cellStyle name="Normal 5 17 8 4 4" xfId="37306" xr:uid="{00000000-0005-0000-0000-0000BA910000}"/>
    <cellStyle name="Normal 5 17 8 4 5" xfId="37307" xr:uid="{00000000-0005-0000-0000-0000BB910000}"/>
    <cellStyle name="Normal 5 17 8 4 6" xfId="37308" xr:uid="{00000000-0005-0000-0000-0000BC910000}"/>
    <cellStyle name="Normal 5 17 8 4 7" xfId="37309" xr:uid="{00000000-0005-0000-0000-0000BD910000}"/>
    <cellStyle name="Normal 5 17 8 4 8" xfId="37310" xr:uid="{00000000-0005-0000-0000-0000BE910000}"/>
    <cellStyle name="Normal 5 17 8 4 9" xfId="37311" xr:uid="{00000000-0005-0000-0000-0000BF910000}"/>
    <cellStyle name="Normal 5 17 8 5" xfId="37312" xr:uid="{00000000-0005-0000-0000-0000C0910000}"/>
    <cellStyle name="Normal 5 17 8 5 10" xfId="37313" xr:uid="{00000000-0005-0000-0000-0000C1910000}"/>
    <cellStyle name="Normal 5 17 8 5 2" xfId="37314" xr:uid="{00000000-0005-0000-0000-0000C2910000}"/>
    <cellStyle name="Normal 5 17 8 5 3" xfId="37315" xr:uid="{00000000-0005-0000-0000-0000C3910000}"/>
    <cellStyle name="Normal 5 17 8 5 4" xfId="37316" xr:uid="{00000000-0005-0000-0000-0000C4910000}"/>
    <cellStyle name="Normal 5 17 8 5 5" xfId="37317" xr:uid="{00000000-0005-0000-0000-0000C5910000}"/>
    <cellStyle name="Normal 5 17 8 5 6" xfId="37318" xr:uid="{00000000-0005-0000-0000-0000C6910000}"/>
    <cellStyle name="Normal 5 17 8 5 7" xfId="37319" xr:uid="{00000000-0005-0000-0000-0000C7910000}"/>
    <cellStyle name="Normal 5 17 8 5 8" xfId="37320" xr:uid="{00000000-0005-0000-0000-0000C8910000}"/>
    <cellStyle name="Normal 5 17 8 5 9" xfId="37321" xr:uid="{00000000-0005-0000-0000-0000C9910000}"/>
    <cellStyle name="Normal 5 17 8 6" xfId="37322" xr:uid="{00000000-0005-0000-0000-0000CA910000}"/>
    <cellStyle name="Normal 5 17 8 7" xfId="37323" xr:uid="{00000000-0005-0000-0000-0000CB910000}"/>
    <cellStyle name="Normal 5 17 8 8" xfId="37324" xr:uid="{00000000-0005-0000-0000-0000CC910000}"/>
    <cellStyle name="Normal 5 17 8 9" xfId="37325" xr:uid="{00000000-0005-0000-0000-0000CD910000}"/>
    <cellStyle name="Normal 5 17 9" xfId="37326" xr:uid="{00000000-0005-0000-0000-0000CE910000}"/>
    <cellStyle name="Normal 5 17 9 10" xfId="37327" xr:uid="{00000000-0005-0000-0000-0000CF910000}"/>
    <cellStyle name="Normal 5 17 9 11" xfId="37328" xr:uid="{00000000-0005-0000-0000-0000D0910000}"/>
    <cellStyle name="Normal 5 17 9 12" xfId="37329" xr:uid="{00000000-0005-0000-0000-0000D1910000}"/>
    <cellStyle name="Normal 5 17 9 13" xfId="37330" xr:uid="{00000000-0005-0000-0000-0000D2910000}"/>
    <cellStyle name="Normal 5 17 9 14" xfId="37331" xr:uid="{00000000-0005-0000-0000-0000D3910000}"/>
    <cellStyle name="Normal 5 17 9 2" xfId="37332" xr:uid="{00000000-0005-0000-0000-0000D4910000}"/>
    <cellStyle name="Normal 5 17 9 2 10" xfId="37333" xr:uid="{00000000-0005-0000-0000-0000D5910000}"/>
    <cellStyle name="Normal 5 17 9 2 2" xfId="37334" xr:uid="{00000000-0005-0000-0000-0000D6910000}"/>
    <cellStyle name="Normal 5 17 9 2 3" xfId="37335" xr:uid="{00000000-0005-0000-0000-0000D7910000}"/>
    <cellStyle name="Normal 5 17 9 2 4" xfId="37336" xr:uid="{00000000-0005-0000-0000-0000D8910000}"/>
    <cellStyle name="Normal 5 17 9 2 5" xfId="37337" xr:uid="{00000000-0005-0000-0000-0000D9910000}"/>
    <cellStyle name="Normal 5 17 9 2 6" xfId="37338" xr:uid="{00000000-0005-0000-0000-0000DA910000}"/>
    <cellStyle name="Normal 5 17 9 2 7" xfId="37339" xr:uid="{00000000-0005-0000-0000-0000DB910000}"/>
    <cellStyle name="Normal 5 17 9 2 8" xfId="37340" xr:uid="{00000000-0005-0000-0000-0000DC910000}"/>
    <cellStyle name="Normal 5 17 9 2 9" xfId="37341" xr:uid="{00000000-0005-0000-0000-0000DD910000}"/>
    <cellStyle name="Normal 5 17 9 3" xfId="37342" xr:uid="{00000000-0005-0000-0000-0000DE910000}"/>
    <cellStyle name="Normal 5 17 9 3 10" xfId="37343" xr:uid="{00000000-0005-0000-0000-0000DF910000}"/>
    <cellStyle name="Normal 5 17 9 3 2" xfId="37344" xr:uid="{00000000-0005-0000-0000-0000E0910000}"/>
    <cellStyle name="Normal 5 17 9 3 3" xfId="37345" xr:uid="{00000000-0005-0000-0000-0000E1910000}"/>
    <cellStyle name="Normal 5 17 9 3 4" xfId="37346" xr:uid="{00000000-0005-0000-0000-0000E2910000}"/>
    <cellStyle name="Normal 5 17 9 3 5" xfId="37347" xr:uid="{00000000-0005-0000-0000-0000E3910000}"/>
    <cellStyle name="Normal 5 17 9 3 6" xfId="37348" xr:uid="{00000000-0005-0000-0000-0000E4910000}"/>
    <cellStyle name="Normal 5 17 9 3 7" xfId="37349" xr:uid="{00000000-0005-0000-0000-0000E5910000}"/>
    <cellStyle name="Normal 5 17 9 3 8" xfId="37350" xr:uid="{00000000-0005-0000-0000-0000E6910000}"/>
    <cellStyle name="Normal 5 17 9 3 9" xfId="37351" xr:uid="{00000000-0005-0000-0000-0000E7910000}"/>
    <cellStyle name="Normal 5 17 9 4" xfId="37352" xr:uid="{00000000-0005-0000-0000-0000E8910000}"/>
    <cellStyle name="Normal 5 17 9 4 10" xfId="37353" xr:uid="{00000000-0005-0000-0000-0000E9910000}"/>
    <cellStyle name="Normal 5 17 9 4 2" xfId="37354" xr:uid="{00000000-0005-0000-0000-0000EA910000}"/>
    <cellStyle name="Normal 5 17 9 4 3" xfId="37355" xr:uid="{00000000-0005-0000-0000-0000EB910000}"/>
    <cellStyle name="Normal 5 17 9 4 4" xfId="37356" xr:uid="{00000000-0005-0000-0000-0000EC910000}"/>
    <cellStyle name="Normal 5 17 9 4 5" xfId="37357" xr:uid="{00000000-0005-0000-0000-0000ED910000}"/>
    <cellStyle name="Normal 5 17 9 4 6" xfId="37358" xr:uid="{00000000-0005-0000-0000-0000EE910000}"/>
    <cellStyle name="Normal 5 17 9 4 7" xfId="37359" xr:uid="{00000000-0005-0000-0000-0000EF910000}"/>
    <cellStyle name="Normal 5 17 9 4 8" xfId="37360" xr:uid="{00000000-0005-0000-0000-0000F0910000}"/>
    <cellStyle name="Normal 5 17 9 4 9" xfId="37361" xr:uid="{00000000-0005-0000-0000-0000F1910000}"/>
    <cellStyle name="Normal 5 17 9 5" xfId="37362" xr:uid="{00000000-0005-0000-0000-0000F2910000}"/>
    <cellStyle name="Normal 5 17 9 5 10" xfId="37363" xr:uid="{00000000-0005-0000-0000-0000F3910000}"/>
    <cellStyle name="Normal 5 17 9 5 2" xfId="37364" xr:uid="{00000000-0005-0000-0000-0000F4910000}"/>
    <cellStyle name="Normal 5 17 9 5 3" xfId="37365" xr:uid="{00000000-0005-0000-0000-0000F5910000}"/>
    <cellStyle name="Normal 5 17 9 5 4" xfId="37366" xr:uid="{00000000-0005-0000-0000-0000F6910000}"/>
    <cellStyle name="Normal 5 17 9 5 5" xfId="37367" xr:uid="{00000000-0005-0000-0000-0000F7910000}"/>
    <cellStyle name="Normal 5 17 9 5 6" xfId="37368" xr:uid="{00000000-0005-0000-0000-0000F8910000}"/>
    <cellStyle name="Normal 5 17 9 5 7" xfId="37369" xr:uid="{00000000-0005-0000-0000-0000F9910000}"/>
    <cellStyle name="Normal 5 17 9 5 8" xfId="37370" xr:uid="{00000000-0005-0000-0000-0000FA910000}"/>
    <cellStyle name="Normal 5 17 9 5 9" xfId="37371" xr:uid="{00000000-0005-0000-0000-0000FB910000}"/>
    <cellStyle name="Normal 5 17 9 6" xfId="37372" xr:uid="{00000000-0005-0000-0000-0000FC910000}"/>
    <cellStyle name="Normal 5 17 9 7" xfId="37373" xr:uid="{00000000-0005-0000-0000-0000FD910000}"/>
    <cellStyle name="Normal 5 17 9 8" xfId="37374" xr:uid="{00000000-0005-0000-0000-0000FE910000}"/>
    <cellStyle name="Normal 5 17 9 9" xfId="37375" xr:uid="{00000000-0005-0000-0000-0000FF910000}"/>
    <cellStyle name="Normal 5 18" xfId="37376" xr:uid="{00000000-0005-0000-0000-000000920000}"/>
    <cellStyle name="Normal 5 18 2" xfId="37377" xr:uid="{00000000-0005-0000-0000-000001920000}"/>
    <cellStyle name="Normal 5 18 2 2" xfId="37378" xr:uid="{00000000-0005-0000-0000-000002920000}"/>
    <cellStyle name="Normal 5 18 3" xfId="37379" xr:uid="{00000000-0005-0000-0000-000003920000}"/>
    <cellStyle name="Normal 5 18 4" xfId="37380" xr:uid="{00000000-0005-0000-0000-000004920000}"/>
    <cellStyle name="Normal 5 19" xfId="37381" xr:uid="{00000000-0005-0000-0000-000005920000}"/>
    <cellStyle name="Normal 5 19 2" xfId="37382" xr:uid="{00000000-0005-0000-0000-000006920000}"/>
    <cellStyle name="Normal 5 19 2 2" xfId="37383" xr:uid="{00000000-0005-0000-0000-000007920000}"/>
    <cellStyle name="Normal 5 19 3" xfId="37384" xr:uid="{00000000-0005-0000-0000-000008920000}"/>
    <cellStyle name="Normal 5 19 4" xfId="37385" xr:uid="{00000000-0005-0000-0000-000009920000}"/>
    <cellStyle name="Normal 5 2" xfId="37386" xr:uid="{00000000-0005-0000-0000-00000A920000}"/>
    <cellStyle name="Normal 5 2 10" xfId="37387" xr:uid="{00000000-0005-0000-0000-00000B920000}"/>
    <cellStyle name="Normal 5 2 11" xfId="37388" xr:uid="{00000000-0005-0000-0000-00000C920000}"/>
    <cellStyle name="Normal 5 2 12" xfId="37389" xr:uid="{00000000-0005-0000-0000-00000D920000}"/>
    <cellStyle name="Normal 5 2 13" xfId="37390" xr:uid="{00000000-0005-0000-0000-00000E920000}"/>
    <cellStyle name="Normal 5 2 14" xfId="37391" xr:uid="{00000000-0005-0000-0000-00000F920000}"/>
    <cellStyle name="Normal 5 2 15" xfId="37392" xr:uid="{00000000-0005-0000-0000-000010920000}"/>
    <cellStyle name="Normal 5 2 16" xfId="37393" xr:uid="{00000000-0005-0000-0000-000011920000}"/>
    <cellStyle name="Normal 5 2 17" xfId="37394" xr:uid="{00000000-0005-0000-0000-000012920000}"/>
    <cellStyle name="Normal 5 2 18" xfId="37395" xr:uid="{00000000-0005-0000-0000-000013920000}"/>
    <cellStyle name="Normal 5 2 19" xfId="37396" xr:uid="{00000000-0005-0000-0000-000014920000}"/>
    <cellStyle name="Normal 5 2 2" xfId="37397" xr:uid="{00000000-0005-0000-0000-000015920000}"/>
    <cellStyle name="Normal 5 2 2 2" xfId="37398" xr:uid="{00000000-0005-0000-0000-000016920000}"/>
    <cellStyle name="Normal 5 2 2 2 2" xfId="37399" xr:uid="{00000000-0005-0000-0000-000017920000}"/>
    <cellStyle name="Normal 5 2 20" xfId="37400" xr:uid="{00000000-0005-0000-0000-000018920000}"/>
    <cellStyle name="Normal 5 2 21" xfId="37401" xr:uid="{00000000-0005-0000-0000-000019920000}"/>
    <cellStyle name="Normal 5 2 22" xfId="37402" xr:uid="{00000000-0005-0000-0000-00001A920000}"/>
    <cellStyle name="Normal 5 2 23" xfId="37403" xr:uid="{00000000-0005-0000-0000-00001B920000}"/>
    <cellStyle name="Normal 5 2 24" xfId="37404" xr:uid="{00000000-0005-0000-0000-00001C920000}"/>
    <cellStyle name="Normal 5 2 25" xfId="37405" xr:uid="{00000000-0005-0000-0000-00001D920000}"/>
    <cellStyle name="Normal 5 2 26" xfId="37406" xr:uid="{00000000-0005-0000-0000-00001E920000}"/>
    <cellStyle name="Normal 5 2 27" xfId="37407" xr:uid="{00000000-0005-0000-0000-00001F920000}"/>
    <cellStyle name="Normal 5 2 28" xfId="37408" xr:uid="{00000000-0005-0000-0000-000020920000}"/>
    <cellStyle name="Normal 5 2 29" xfId="37409" xr:uid="{00000000-0005-0000-0000-000021920000}"/>
    <cellStyle name="Normal 5 2 3" xfId="37410" xr:uid="{00000000-0005-0000-0000-000022920000}"/>
    <cellStyle name="Normal 5 2 30" xfId="37411" xr:uid="{00000000-0005-0000-0000-000023920000}"/>
    <cellStyle name="Normal 5 2 31" xfId="37412" xr:uid="{00000000-0005-0000-0000-000024920000}"/>
    <cellStyle name="Normal 5 2 32" xfId="37413" xr:uid="{00000000-0005-0000-0000-000025920000}"/>
    <cellStyle name="Normal 5 2 33" xfId="37414" xr:uid="{00000000-0005-0000-0000-000026920000}"/>
    <cellStyle name="Normal 5 2 34" xfId="37415" xr:uid="{00000000-0005-0000-0000-000027920000}"/>
    <cellStyle name="Normal 5 2 35" xfId="37416" xr:uid="{00000000-0005-0000-0000-000028920000}"/>
    <cellStyle name="Normal 5 2 36" xfId="37417" xr:uid="{00000000-0005-0000-0000-000029920000}"/>
    <cellStyle name="Normal 5 2 37" xfId="37418" xr:uid="{00000000-0005-0000-0000-00002A920000}"/>
    <cellStyle name="Normal 5 2 38" xfId="37419" xr:uid="{00000000-0005-0000-0000-00002B920000}"/>
    <cellStyle name="Normal 5 2 39" xfId="37420" xr:uid="{00000000-0005-0000-0000-00002C920000}"/>
    <cellStyle name="Normal 5 2 4" xfId="37421" xr:uid="{00000000-0005-0000-0000-00002D920000}"/>
    <cellStyle name="Normal 5 2 40" xfId="37422" xr:uid="{00000000-0005-0000-0000-00002E920000}"/>
    <cellStyle name="Normal 5 2 41" xfId="37423" xr:uid="{00000000-0005-0000-0000-00002F920000}"/>
    <cellStyle name="Normal 5 2 42" xfId="37424" xr:uid="{00000000-0005-0000-0000-000030920000}"/>
    <cellStyle name="Normal 5 2 43" xfId="37425" xr:uid="{00000000-0005-0000-0000-000031920000}"/>
    <cellStyle name="Normal 5 2 44" xfId="37426" xr:uid="{00000000-0005-0000-0000-000032920000}"/>
    <cellStyle name="Normal 5 2 45" xfId="37427" xr:uid="{00000000-0005-0000-0000-000033920000}"/>
    <cellStyle name="Normal 5 2 46" xfId="37428" xr:uid="{00000000-0005-0000-0000-000034920000}"/>
    <cellStyle name="Normal 5 2 47" xfId="37429" xr:uid="{00000000-0005-0000-0000-000035920000}"/>
    <cellStyle name="Normal 5 2 48" xfId="37430" xr:uid="{00000000-0005-0000-0000-000036920000}"/>
    <cellStyle name="Normal 5 2 49" xfId="37431" xr:uid="{00000000-0005-0000-0000-000037920000}"/>
    <cellStyle name="Normal 5 2 5" xfId="37432" xr:uid="{00000000-0005-0000-0000-000038920000}"/>
    <cellStyle name="Normal 5 2 50" xfId="37433" xr:uid="{00000000-0005-0000-0000-000039920000}"/>
    <cellStyle name="Normal 5 2 51" xfId="37434" xr:uid="{00000000-0005-0000-0000-00003A920000}"/>
    <cellStyle name="Normal 5 2 52" xfId="37435" xr:uid="{00000000-0005-0000-0000-00003B920000}"/>
    <cellStyle name="Normal 5 2 53" xfId="37436" xr:uid="{00000000-0005-0000-0000-00003C920000}"/>
    <cellStyle name="Normal 5 2 54" xfId="37437" xr:uid="{00000000-0005-0000-0000-00003D920000}"/>
    <cellStyle name="Normal 5 2 55" xfId="37438" xr:uid="{00000000-0005-0000-0000-00003E920000}"/>
    <cellStyle name="Normal 5 2 56" xfId="37439" xr:uid="{00000000-0005-0000-0000-00003F920000}"/>
    <cellStyle name="Normal 5 2 57" xfId="37440" xr:uid="{00000000-0005-0000-0000-000040920000}"/>
    <cellStyle name="Normal 5 2 58" xfId="37441" xr:uid="{00000000-0005-0000-0000-000041920000}"/>
    <cellStyle name="Normal 5 2 59" xfId="37442" xr:uid="{00000000-0005-0000-0000-000042920000}"/>
    <cellStyle name="Normal 5 2 6" xfId="37443" xr:uid="{00000000-0005-0000-0000-000043920000}"/>
    <cellStyle name="Normal 5 2 60" xfId="37444" xr:uid="{00000000-0005-0000-0000-000044920000}"/>
    <cellStyle name="Normal 5 2 61" xfId="37445" xr:uid="{00000000-0005-0000-0000-000045920000}"/>
    <cellStyle name="Normal 5 2 62" xfId="37446" xr:uid="{00000000-0005-0000-0000-000046920000}"/>
    <cellStyle name="Normal 5 2 63" xfId="37447" xr:uid="{00000000-0005-0000-0000-000047920000}"/>
    <cellStyle name="Normal 5 2 64" xfId="37448" xr:uid="{00000000-0005-0000-0000-000048920000}"/>
    <cellStyle name="Normal 5 2 65" xfId="37449" xr:uid="{00000000-0005-0000-0000-000049920000}"/>
    <cellStyle name="Normal 5 2 66" xfId="37450" xr:uid="{00000000-0005-0000-0000-00004A920000}"/>
    <cellStyle name="Normal 5 2 67" xfId="37451" xr:uid="{00000000-0005-0000-0000-00004B920000}"/>
    <cellStyle name="Normal 5 2 68" xfId="37452" xr:uid="{00000000-0005-0000-0000-00004C920000}"/>
    <cellStyle name="Normal 5 2 69" xfId="37453" xr:uid="{00000000-0005-0000-0000-00004D920000}"/>
    <cellStyle name="Normal 5 2 7" xfId="37454" xr:uid="{00000000-0005-0000-0000-00004E920000}"/>
    <cellStyle name="Normal 5 2 70" xfId="37455" xr:uid="{00000000-0005-0000-0000-00004F920000}"/>
    <cellStyle name="Normal 5 2 71" xfId="37456" xr:uid="{00000000-0005-0000-0000-000050920000}"/>
    <cellStyle name="Normal 5 2 72" xfId="37457" xr:uid="{00000000-0005-0000-0000-000051920000}"/>
    <cellStyle name="Normal 5 2 73" xfId="37458" xr:uid="{00000000-0005-0000-0000-000052920000}"/>
    <cellStyle name="Normal 5 2 74" xfId="37459" xr:uid="{00000000-0005-0000-0000-000053920000}"/>
    <cellStyle name="Normal 5 2 75" xfId="37460" xr:uid="{00000000-0005-0000-0000-000054920000}"/>
    <cellStyle name="Normal 5 2 76" xfId="37461" xr:uid="{00000000-0005-0000-0000-000055920000}"/>
    <cellStyle name="Normal 5 2 77" xfId="37462" xr:uid="{00000000-0005-0000-0000-000056920000}"/>
    <cellStyle name="Normal 5 2 78" xfId="37463" xr:uid="{00000000-0005-0000-0000-000057920000}"/>
    <cellStyle name="Normal 5 2 79" xfId="37464" xr:uid="{00000000-0005-0000-0000-000058920000}"/>
    <cellStyle name="Normal 5 2 8" xfId="37465" xr:uid="{00000000-0005-0000-0000-000059920000}"/>
    <cellStyle name="Normal 5 2 80" xfId="37466" xr:uid="{00000000-0005-0000-0000-00005A920000}"/>
    <cellStyle name="Normal 5 2 81" xfId="37467" xr:uid="{00000000-0005-0000-0000-00005B920000}"/>
    <cellStyle name="Normal 5 2 82" xfId="37468" xr:uid="{00000000-0005-0000-0000-00005C920000}"/>
    <cellStyle name="Normal 5 2 9" xfId="37469" xr:uid="{00000000-0005-0000-0000-00005D920000}"/>
    <cellStyle name="Normal 5 2_Enlaces" xfId="37470" xr:uid="{00000000-0005-0000-0000-00005E920000}"/>
    <cellStyle name="Normal 5 20" xfId="37471" xr:uid="{00000000-0005-0000-0000-00005F920000}"/>
    <cellStyle name="Normal 5 20 2" xfId="37472" xr:uid="{00000000-0005-0000-0000-000060920000}"/>
    <cellStyle name="Normal 5 20 2 2" xfId="37473" xr:uid="{00000000-0005-0000-0000-000061920000}"/>
    <cellStyle name="Normal 5 20 3" xfId="37474" xr:uid="{00000000-0005-0000-0000-000062920000}"/>
    <cellStyle name="Normal 5 20 4" xfId="37475" xr:uid="{00000000-0005-0000-0000-000063920000}"/>
    <cellStyle name="Normal 5 21" xfId="37476" xr:uid="{00000000-0005-0000-0000-000064920000}"/>
    <cellStyle name="Normal 5 21 2" xfId="37477" xr:uid="{00000000-0005-0000-0000-000065920000}"/>
    <cellStyle name="Normal 5 21 2 2" xfId="37478" xr:uid="{00000000-0005-0000-0000-000066920000}"/>
    <cellStyle name="Normal 5 21 3" xfId="37479" xr:uid="{00000000-0005-0000-0000-000067920000}"/>
    <cellStyle name="Normal 5 21 4" xfId="37480" xr:uid="{00000000-0005-0000-0000-000068920000}"/>
    <cellStyle name="Normal 5 22" xfId="37481" xr:uid="{00000000-0005-0000-0000-000069920000}"/>
    <cellStyle name="Normal 5 22 2" xfId="37482" xr:uid="{00000000-0005-0000-0000-00006A920000}"/>
    <cellStyle name="Normal 5 22 3" xfId="37483" xr:uid="{00000000-0005-0000-0000-00006B920000}"/>
    <cellStyle name="Normal 5 23" xfId="37484" xr:uid="{00000000-0005-0000-0000-00006C920000}"/>
    <cellStyle name="Normal 5 24" xfId="37485" xr:uid="{00000000-0005-0000-0000-00006D920000}"/>
    <cellStyle name="Normal 5 25" xfId="37486" xr:uid="{00000000-0005-0000-0000-00006E920000}"/>
    <cellStyle name="Normal 5 26" xfId="37487" xr:uid="{00000000-0005-0000-0000-00006F920000}"/>
    <cellStyle name="Normal 5 27" xfId="37488" xr:uid="{00000000-0005-0000-0000-000070920000}"/>
    <cellStyle name="Normal 5 28" xfId="37489" xr:uid="{00000000-0005-0000-0000-000071920000}"/>
    <cellStyle name="Normal 5 29" xfId="37490" xr:uid="{00000000-0005-0000-0000-000072920000}"/>
    <cellStyle name="Normal 5 3" xfId="37491" xr:uid="{00000000-0005-0000-0000-000073920000}"/>
    <cellStyle name="Normal 5 3 10" xfId="37492" xr:uid="{00000000-0005-0000-0000-000074920000}"/>
    <cellStyle name="Normal 5 3 11" xfId="37493" xr:uid="{00000000-0005-0000-0000-000075920000}"/>
    <cellStyle name="Normal 5 3 12" xfId="37494" xr:uid="{00000000-0005-0000-0000-000076920000}"/>
    <cellStyle name="Normal 5 3 2" xfId="37495" xr:uid="{00000000-0005-0000-0000-000077920000}"/>
    <cellStyle name="Normal 5 3 3" xfId="37496" xr:uid="{00000000-0005-0000-0000-000078920000}"/>
    <cellStyle name="Normal 5 3 4" xfId="37497" xr:uid="{00000000-0005-0000-0000-000079920000}"/>
    <cellStyle name="Normal 5 3 4 2" xfId="37498" xr:uid="{00000000-0005-0000-0000-00007A920000}"/>
    <cellStyle name="Normal 5 3 4 2 2" xfId="37499" xr:uid="{00000000-0005-0000-0000-00007B920000}"/>
    <cellStyle name="Normal 5 3 4 3" xfId="37500" xr:uid="{00000000-0005-0000-0000-00007C920000}"/>
    <cellStyle name="Normal 5 3 5" xfId="37501" xr:uid="{00000000-0005-0000-0000-00007D920000}"/>
    <cellStyle name="Normal 5 3 6" xfId="37502" xr:uid="{00000000-0005-0000-0000-00007E920000}"/>
    <cellStyle name="Normal 5 3 7" xfId="37503" xr:uid="{00000000-0005-0000-0000-00007F920000}"/>
    <cellStyle name="Normal 5 3 7 2" xfId="37504" xr:uid="{00000000-0005-0000-0000-000080920000}"/>
    <cellStyle name="Normal 5 3 8" xfId="37505" xr:uid="{00000000-0005-0000-0000-000081920000}"/>
    <cellStyle name="Normal 5 3 9" xfId="37506" xr:uid="{00000000-0005-0000-0000-000082920000}"/>
    <cellStyle name="Normal 5 3_Implem" xfId="37507" xr:uid="{00000000-0005-0000-0000-000083920000}"/>
    <cellStyle name="Normal 5 30" xfId="37508" xr:uid="{00000000-0005-0000-0000-000084920000}"/>
    <cellStyle name="Normal 5 31" xfId="37509" xr:uid="{00000000-0005-0000-0000-000085920000}"/>
    <cellStyle name="Normal 5 32" xfId="37510" xr:uid="{00000000-0005-0000-0000-000086920000}"/>
    <cellStyle name="Normal 5 33" xfId="37511" xr:uid="{00000000-0005-0000-0000-000087920000}"/>
    <cellStyle name="Normal 5 34" xfId="37512" xr:uid="{00000000-0005-0000-0000-000088920000}"/>
    <cellStyle name="Normal 5 35" xfId="37513" xr:uid="{00000000-0005-0000-0000-000089920000}"/>
    <cellStyle name="Normal 5 36" xfId="37514" xr:uid="{00000000-0005-0000-0000-00008A920000}"/>
    <cellStyle name="Normal 5 37" xfId="37515" xr:uid="{00000000-0005-0000-0000-00008B920000}"/>
    <cellStyle name="Normal 5 38" xfId="37516" xr:uid="{00000000-0005-0000-0000-00008C920000}"/>
    <cellStyle name="Normal 5 39" xfId="37517" xr:uid="{00000000-0005-0000-0000-00008D920000}"/>
    <cellStyle name="Normal 5 4" xfId="37518" xr:uid="{00000000-0005-0000-0000-00008E920000}"/>
    <cellStyle name="Normal 5 4 2" xfId="37519" xr:uid="{00000000-0005-0000-0000-00008F920000}"/>
    <cellStyle name="Normal 5 4 2 2" xfId="37520" xr:uid="{00000000-0005-0000-0000-000090920000}"/>
    <cellStyle name="Normal 5 4 3" xfId="37521" xr:uid="{00000000-0005-0000-0000-000091920000}"/>
    <cellStyle name="Normal 5 4 4" xfId="37522" xr:uid="{00000000-0005-0000-0000-000092920000}"/>
    <cellStyle name="Normal 5 40" xfId="37523" xr:uid="{00000000-0005-0000-0000-000093920000}"/>
    <cellStyle name="Normal 5 41" xfId="37524" xr:uid="{00000000-0005-0000-0000-000094920000}"/>
    <cellStyle name="Normal 5 42" xfId="37525" xr:uid="{00000000-0005-0000-0000-000095920000}"/>
    <cellStyle name="Normal 5 43" xfId="37526" xr:uid="{00000000-0005-0000-0000-000096920000}"/>
    <cellStyle name="Normal 5 44" xfId="37527" xr:uid="{00000000-0005-0000-0000-000097920000}"/>
    <cellStyle name="Normal 5 45" xfId="37528" xr:uid="{00000000-0005-0000-0000-000098920000}"/>
    <cellStyle name="Normal 5 46" xfId="37529" xr:uid="{00000000-0005-0000-0000-000099920000}"/>
    <cellStyle name="Normal 5 47" xfId="37530" xr:uid="{00000000-0005-0000-0000-00009A920000}"/>
    <cellStyle name="Normal 5 48" xfId="37531" xr:uid="{00000000-0005-0000-0000-00009B920000}"/>
    <cellStyle name="Normal 5 49" xfId="37532" xr:uid="{00000000-0005-0000-0000-00009C920000}"/>
    <cellStyle name="Normal 5 5" xfId="37533" xr:uid="{00000000-0005-0000-0000-00009D920000}"/>
    <cellStyle name="Normal 5 5 2" xfId="37534" xr:uid="{00000000-0005-0000-0000-00009E920000}"/>
    <cellStyle name="Normal 5 5 2 2" xfId="37535" xr:uid="{00000000-0005-0000-0000-00009F920000}"/>
    <cellStyle name="Normal 5 5 3" xfId="37536" xr:uid="{00000000-0005-0000-0000-0000A0920000}"/>
    <cellStyle name="Normal 5 5 4" xfId="37537" xr:uid="{00000000-0005-0000-0000-0000A1920000}"/>
    <cellStyle name="Normal 5 50" xfId="37538" xr:uid="{00000000-0005-0000-0000-0000A2920000}"/>
    <cellStyle name="Normal 5 51" xfId="37539" xr:uid="{00000000-0005-0000-0000-0000A3920000}"/>
    <cellStyle name="Normal 5 52" xfId="37540" xr:uid="{00000000-0005-0000-0000-0000A4920000}"/>
    <cellStyle name="Normal 5 53" xfId="37541" xr:uid="{00000000-0005-0000-0000-0000A5920000}"/>
    <cellStyle name="Normal 5 54" xfId="37542" xr:uid="{00000000-0005-0000-0000-0000A6920000}"/>
    <cellStyle name="Normal 5 55" xfId="37543" xr:uid="{00000000-0005-0000-0000-0000A7920000}"/>
    <cellStyle name="Normal 5 56" xfId="37544" xr:uid="{00000000-0005-0000-0000-0000A8920000}"/>
    <cellStyle name="Normal 5 57" xfId="37545" xr:uid="{00000000-0005-0000-0000-0000A9920000}"/>
    <cellStyle name="Normal 5 58" xfId="37546" xr:uid="{00000000-0005-0000-0000-0000AA920000}"/>
    <cellStyle name="Normal 5 59" xfId="37547" xr:uid="{00000000-0005-0000-0000-0000AB920000}"/>
    <cellStyle name="Normal 5 6" xfId="37548" xr:uid="{00000000-0005-0000-0000-0000AC920000}"/>
    <cellStyle name="Normal 5 6 2" xfId="37549" xr:uid="{00000000-0005-0000-0000-0000AD920000}"/>
    <cellStyle name="Normal 5 6 2 2" xfId="37550" xr:uid="{00000000-0005-0000-0000-0000AE920000}"/>
    <cellStyle name="Normal 5 6 3" xfId="37551" xr:uid="{00000000-0005-0000-0000-0000AF920000}"/>
    <cellStyle name="Normal 5 6 4" xfId="37552" xr:uid="{00000000-0005-0000-0000-0000B0920000}"/>
    <cellStyle name="Normal 5 60" xfId="37553" xr:uid="{00000000-0005-0000-0000-0000B1920000}"/>
    <cellStyle name="Normal 5 7" xfId="37554" xr:uid="{00000000-0005-0000-0000-0000B2920000}"/>
    <cellStyle name="Normal 5 7 2" xfId="37555" xr:uid="{00000000-0005-0000-0000-0000B3920000}"/>
    <cellStyle name="Normal 5 7 2 2" xfId="37556" xr:uid="{00000000-0005-0000-0000-0000B4920000}"/>
    <cellStyle name="Normal 5 7 3" xfId="37557" xr:uid="{00000000-0005-0000-0000-0000B5920000}"/>
    <cellStyle name="Normal 5 7 4" xfId="37558" xr:uid="{00000000-0005-0000-0000-0000B6920000}"/>
    <cellStyle name="Normal 5 8" xfId="37559" xr:uid="{00000000-0005-0000-0000-0000B7920000}"/>
    <cellStyle name="Normal 5 8 2" xfId="37560" xr:uid="{00000000-0005-0000-0000-0000B8920000}"/>
    <cellStyle name="Normal 5 8 2 2" xfId="37561" xr:uid="{00000000-0005-0000-0000-0000B9920000}"/>
    <cellStyle name="Normal 5 8 3" xfId="37562" xr:uid="{00000000-0005-0000-0000-0000BA920000}"/>
    <cellStyle name="Normal 5 8 4" xfId="37563" xr:uid="{00000000-0005-0000-0000-0000BB920000}"/>
    <cellStyle name="Normal 5 9" xfId="37564" xr:uid="{00000000-0005-0000-0000-0000BC920000}"/>
    <cellStyle name="Normal 5 9 2" xfId="37565" xr:uid="{00000000-0005-0000-0000-0000BD920000}"/>
    <cellStyle name="Normal 5 9 2 2" xfId="37566" xr:uid="{00000000-0005-0000-0000-0000BE920000}"/>
    <cellStyle name="Normal 5 9 3" xfId="37567" xr:uid="{00000000-0005-0000-0000-0000BF920000}"/>
    <cellStyle name="Normal 5 9 4" xfId="37568" xr:uid="{00000000-0005-0000-0000-0000C0920000}"/>
    <cellStyle name="Normal 50" xfId="37569" xr:uid="{00000000-0005-0000-0000-0000C1920000}"/>
    <cellStyle name="Normal 50 10" xfId="37570" xr:uid="{00000000-0005-0000-0000-0000C2920000}"/>
    <cellStyle name="Normal 50 11" xfId="37571" xr:uid="{00000000-0005-0000-0000-0000C3920000}"/>
    <cellStyle name="Normal 50 12" xfId="37572" xr:uid="{00000000-0005-0000-0000-0000C4920000}"/>
    <cellStyle name="Normal 50 13" xfId="37573" xr:uid="{00000000-0005-0000-0000-0000C5920000}"/>
    <cellStyle name="Normal 50 14" xfId="37574" xr:uid="{00000000-0005-0000-0000-0000C6920000}"/>
    <cellStyle name="Normal 50 15" xfId="37575" xr:uid="{00000000-0005-0000-0000-0000C7920000}"/>
    <cellStyle name="Normal 50 16" xfId="37576" xr:uid="{00000000-0005-0000-0000-0000C8920000}"/>
    <cellStyle name="Normal 50 17" xfId="37577" xr:uid="{00000000-0005-0000-0000-0000C9920000}"/>
    <cellStyle name="Normal 50 18" xfId="37578" xr:uid="{00000000-0005-0000-0000-0000CA920000}"/>
    <cellStyle name="Normal 50 19" xfId="37579" xr:uid="{00000000-0005-0000-0000-0000CB920000}"/>
    <cellStyle name="Normal 50 2" xfId="37580" xr:uid="{00000000-0005-0000-0000-0000CC920000}"/>
    <cellStyle name="Normal 50 2 2" xfId="37581" xr:uid="{00000000-0005-0000-0000-0000CD920000}"/>
    <cellStyle name="Normal 50 20" xfId="37582" xr:uid="{00000000-0005-0000-0000-0000CE920000}"/>
    <cellStyle name="Normal 50 21" xfId="37583" xr:uid="{00000000-0005-0000-0000-0000CF920000}"/>
    <cellStyle name="Normal 50 22" xfId="37584" xr:uid="{00000000-0005-0000-0000-0000D0920000}"/>
    <cellStyle name="Normal 50 23" xfId="37585" xr:uid="{00000000-0005-0000-0000-0000D1920000}"/>
    <cellStyle name="Normal 50 24" xfId="37586" xr:uid="{00000000-0005-0000-0000-0000D2920000}"/>
    <cellStyle name="Normal 50 25" xfId="37587" xr:uid="{00000000-0005-0000-0000-0000D3920000}"/>
    <cellStyle name="Normal 50 26" xfId="37588" xr:uid="{00000000-0005-0000-0000-0000D4920000}"/>
    <cellStyle name="Normal 50 3" xfId="37589" xr:uid="{00000000-0005-0000-0000-0000D5920000}"/>
    <cellStyle name="Normal 50 3 2" xfId="37590" xr:uid="{00000000-0005-0000-0000-0000D6920000}"/>
    <cellStyle name="Normal 50 4" xfId="37591" xr:uid="{00000000-0005-0000-0000-0000D7920000}"/>
    <cellStyle name="Normal 50 4 2" xfId="37592" xr:uid="{00000000-0005-0000-0000-0000D8920000}"/>
    <cellStyle name="Normal 50 5" xfId="37593" xr:uid="{00000000-0005-0000-0000-0000D9920000}"/>
    <cellStyle name="Normal 50 5 2" xfId="37594" xr:uid="{00000000-0005-0000-0000-0000DA920000}"/>
    <cellStyle name="Normal 50 6" xfId="37595" xr:uid="{00000000-0005-0000-0000-0000DB920000}"/>
    <cellStyle name="Normal 50 7" xfId="37596" xr:uid="{00000000-0005-0000-0000-0000DC920000}"/>
    <cellStyle name="Normal 50 8" xfId="37597" xr:uid="{00000000-0005-0000-0000-0000DD920000}"/>
    <cellStyle name="Normal 50 9" xfId="37598" xr:uid="{00000000-0005-0000-0000-0000DE920000}"/>
    <cellStyle name="Normal 51" xfId="37599" xr:uid="{00000000-0005-0000-0000-0000DF920000}"/>
    <cellStyle name="Normal 52" xfId="37600" xr:uid="{00000000-0005-0000-0000-0000E0920000}"/>
    <cellStyle name="Normal 53" xfId="37601" xr:uid="{00000000-0005-0000-0000-0000E1920000}"/>
    <cellStyle name="Normal 54" xfId="37602" xr:uid="{00000000-0005-0000-0000-0000E2920000}"/>
    <cellStyle name="Normal 55" xfId="37603" xr:uid="{00000000-0005-0000-0000-0000E3920000}"/>
    <cellStyle name="Normal 56" xfId="37604" xr:uid="{00000000-0005-0000-0000-0000E4920000}"/>
    <cellStyle name="Normal 57" xfId="37605" xr:uid="{00000000-0005-0000-0000-0000E5920000}"/>
    <cellStyle name="Normal 58" xfId="37606" xr:uid="{00000000-0005-0000-0000-0000E6920000}"/>
    <cellStyle name="Normal 59" xfId="37607" xr:uid="{00000000-0005-0000-0000-0000E7920000}"/>
    <cellStyle name="Normal 6" xfId="37608" xr:uid="{00000000-0005-0000-0000-0000E8920000}"/>
    <cellStyle name="Normal 6 10" xfId="37609" xr:uid="{00000000-0005-0000-0000-0000E9920000}"/>
    <cellStyle name="Normal 6 11" xfId="37610" xr:uid="{00000000-0005-0000-0000-0000EA920000}"/>
    <cellStyle name="Normal 6 12" xfId="37611" xr:uid="{00000000-0005-0000-0000-0000EB920000}"/>
    <cellStyle name="Normal 6 13" xfId="37612" xr:uid="{00000000-0005-0000-0000-0000EC920000}"/>
    <cellStyle name="Normal 6 14" xfId="37613" xr:uid="{00000000-0005-0000-0000-0000ED920000}"/>
    <cellStyle name="Normal 6 15" xfId="37614" xr:uid="{00000000-0005-0000-0000-0000EE920000}"/>
    <cellStyle name="Normal 6 16" xfId="37615" xr:uid="{00000000-0005-0000-0000-0000EF920000}"/>
    <cellStyle name="Normal 6 17" xfId="37616" xr:uid="{00000000-0005-0000-0000-0000F0920000}"/>
    <cellStyle name="Normal 6 18" xfId="37617" xr:uid="{00000000-0005-0000-0000-0000F1920000}"/>
    <cellStyle name="Normal 6 19" xfId="37618" xr:uid="{00000000-0005-0000-0000-0000F2920000}"/>
    <cellStyle name="Normal 6 2" xfId="37619" xr:uid="{00000000-0005-0000-0000-0000F3920000}"/>
    <cellStyle name="Normal 6 2 10" xfId="37620" xr:uid="{00000000-0005-0000-0000-0000F4920000}"/>
    <cellStyle name="Normal 6 2 11" xfId="37621" xr:uid="{00000000-0005-0000-0000-0000F5920000}"/>
    <cellStyle name="Normal 6 2 12" xfId="37622" xr:uid="{00000000-0005-0000-0000-0000F6920000}"/>
    <cellStyle name="Normal 6 2 13" xfId="37623" xr:uid="{00000000-0005-0000-0000-0000F7920000}"/>
    <cellStyle name="Normal 6 2 14" xfId="37624" xr:uid="{00000000-0005-0000-0000-0000F8920000}"/>
    <cellStyle name="Normal 6 2 15" xfId="37625" xr:uid="{00000000-0005-0000-0000-0000F9920000}"/>
    <cellStyle name="Normal 6 2 16" xfId="37626" xr:uid="{00000000-0005-0000-0000-0000FA920000}"/>
    <cellStyle name="Normal 6 2 17" xfId="37627" xr:uid="{00000000-0005-0000-0000-0000FB920000}"/>
    <cellStyle name="Normal 6 2 18" xfId="37628" xr:uid="{00000000-0005-0000-0000-0000FC920000}"/>
    <cellStyle name="Normal 6 2 19" xfId="37629" xr:uid="{00000000-0005-0000-0000-0000FD920000}"/>
    <cellStyle name="Normal 6 2 2" xfId="37630" xr:uid="{00000000-0005-0000-0000-0000FE920000}"/>
    <cellStyle name="Normal 6 2 20" xfId="37631" xr:uid="{00000000-0005-0000-0000-0000FF920000}"/>
    <cellStyle name="Normal 6 2 21" xfId="37632" xr:uid="{00000000-0005-0000-0000-000000930000}"/>
    <cellStyle name="Normal 6 2 22" xfId="37633" xr:uid="{00000000-0005-0000-0000-000001930000}"/>
    <cellStyle name="Normal 6 2 23" xfId="37634" xr:uid="{00000000-0005-0000-0000-000002930000}"/>
    <cellStyle name="Normal 6 2 24" xfId="37635" xr:uid="{00000000-0005-0000-0000-000003930000}"/>
    <cellStyle name="Normal 6 2 25" xfId="37636" xr:uid="{00000000-0005-0000-0000-000004930000}"/>
    <cellStyle name="Normal 6 2 26" xfId="37637" xr:uid="{00000000-0005-0000-0000-000005930000}"/>
    <cellStyle name="Normal 6 2 27" xfId="37638" xr:uid="{00000000-0005-0000-0000-000006930000}"/>
    <cellStyle name="Normal 6 2 28" xfId="37639" xr:uid="{00000000-0005-0000-0000-000007930000}"/>
    <cellStyle name="Normal 6 2 29" xfId="37640" xr:uid="{00000000-0005-0000-0000-000008930000}"/>
    <cellStyle name="Normal 6 2 3" xfId="37641" xr:uid="{00000000-0005-0000-0000-000009930000}"/>
    <cellStyle name="Normal 6 2 30" xfId="37642" xr:uid="{00000000-0005-0000-0000-00000A930000}"/>
    <cellStyle name="Normal 6 2 31" xfId="37643" xr:uid="{00000000-0005-0000-0000-00000B930000}"/>
    <cellStyle name="Normal 6 2 32" xfId="37644" xr:uid="{00000000-0005-0000-0000-00000C930000}"/>
    <cellStyle name="Normal 6 2 33" xfId="37645" xr:uid="{00000000-0005-0000-0000-00000D930000}"/>
    <cellStyle name="Normal 6 2 34" xfId="37646" xr:uid="{00000000-0005-0000-0000-00000E930000}"/>
    <cellStyle name="Normal 6 2 35" xfId="37647" xr:uid="{00000000-0005-0000-0000-00000F930000}"/>
    <cellStyle name="Normal 6 2 36" xfId="37648" xr:uid="{00000000-0005-0000-0000-000010930000}"/>
    <cellStyle name="Normal 6 2 37" xfId="37649" xr:uid="{00000000-0005-0000-0000-000011930000}"/>
    <cellStyle name="Normal 6 2 38" xfId="37650" xr:uid="{00000000-0005-0000-0000-000012930000}"/>
    <cellStyle name="Normal 6 2 39" xfId="37651" xr:uid="{00000000-0005-0000-0000-000013930000}"/>
    <cellStyle name="Normal 6 2 4" xfId="37652" xr:uid="{00000000-0005-0000-0000-000014930000}"/>
    <cellStyle name="Normal 6 2 40" xfId="37653" xr:uid="{00000000-0005-0000-0000-000015930000}"/>
    <cellStyle name="Normal 6 2 41" xfId="37654" xr:uid="{00000000-0005-0000-0000-000016930000}"/>
    <cellStyle name="Normal 6 2 42" xfId="37655" xr:uid="{00000000-0005-0000-0000-000017930000}"/>
    <cellStyle name="Normal 6 2 43" xfId="37656" xr:uid="{00000000-0005-0000-0000-000018930000}"/>
    <cellStyle name="Normal 6 2 44" xfId="37657" xr:uid="{00000000-0005-0000-0000-000019930000}"/>
    <cellStyle name="Normal 6 2 45" xfId="37658" xr:uid="{00000000-0005-0000-0000-00001A930000}"/>
    <cellStyle name="Normal 6 2 46" xfId="37659" xr:uid="{00000000-0005-0000-0000-00001B930000}"/>
    <cellStyle name="Normal 6 2 47" xfId="37660" xr:uid="{00000000-0005-0000-0000-00001C930000}"/>
    <cellStyle name="Normal 6 2 48" xfId="37661" xr:uid="{00000000-0005-0000-0000-00001D930000}"/>
    <cellStyle name="Normal 6 2 49" xfId="37662" xr:uid="{00000000-0005-0000-0000-00001E930000}"/>
    <cellStyle name="Normal 6 2 5" xfId="37663" xr:uid="{00000000-0005-0000-0000-00001F930000}"/>
    <cellStyle name="Normal 6 2 50" xfId="37664" xr:uid="{00000000-0005-0000-0000-000020930000}"/>
    <cellStyle name="Normal 6 2 51" xfId="37665" xr:uid="{00000000-0005-0000-0000-000021930000}"/>
    <cellStyle name="Normal 6 2 52" xfId="37666" xr:uid="{00000000-0005-0000-0000-000022930000}"/>
    <cellStyle name="Normal 6 2 53" xfId="37667" xr:uid="{00000000-0005-0000-0000-000023930000}"/>
    <cellStyle name="Normal 6 2 54" xfId="37668" xr:uid="{00000000-0005-0000-0000-000024930000}"/>
    <cellStyle name="Normal 6 2 55" xfId="37669" xr:uid="{00000000-0005-0000-0000-000025930000}"/>
    <cellStyle name="Normal 6 2 56" xfId="37670" xr:uid="{00000000-0005-0000-0000-000026930000}"/>
    <cellStyle name="Normal 6 2 57" xfId="37671" xr:uid="{00000000-0005-0000-0000-000027930000}"/>
    <cellStyle name="Normal 6 2 58" xfId="37672" xr:uid="{00000000-0005-0000-0000-000028930000}"/>
    <cellStyle name="Normal 6 2 59" xfId="37673" xr:uid="{00000000-0005-0000-0000-000029930000}"/>
    <cellStyle name="Normal 6 2 6" xfId="37674" xr:uid="{00000000-0005-0000-0000-00002A930000}"/>
    <cellStyle name="Normal 6 2 60" xfId="37675" xr:uid="{00000000-0005-0000-0000-00002B930000}"/>
    <cellStyle name="Normal 6 2 61" xfId="37676" xr:uid="{00000000-0005-0000-0000-00002C930000}"/>
    <cellStyle name="Normal 6 2 62" xfId="37677" xr:uid="{00000000-0005-0000-0000-00002D930000}"/>
    <cellStyle name="Normal 6 2 63" xfId="37678" xr:uid="{00000000-0005-0000-0000-00002E930000}"/>
    <cellStyle name="Normal 6 2 64" xfId="37679" xr:uid="{00000000-0005-0000-0000-00002F930000}"/>
    <cellStyle name="Normal 6 2 65" xfId="37680" xr:uid="{00000000-0005-0000-0000-000030930000}"/>
    <cellStyle name="Normal 6 2 66" xfId="37681" xr:uid="{00000000-0005-0000-0000-000031930000}"/>
    <cellStyle name="Normal 6 2 67" xfId="37682" xr:uid="{00000000-0005-0000-0000-000032930000}"/>
    <cellStyle name="Normal 6 2 68" xfId="37683" xr:uid="{00000000-0005-0000-0000-000033930000}"/>
    <cellStyle name="Normal 6 2 69" xfId="37684" xr:uid="{00000000-0005-0000-0000-000034930000}"/>
    <cellStyle name="Normal 6 2 7" xfId="37685" xr:uid="{00000000-0005-0000-0000-000035930000}"/>
    <cellStyle name="Normal 6 2 70" xfId="37686" xr:uid="{00000000-0005-0000-0000-000036930000}"/>
    <cellStyle name="Normal 6 2 71" xfId="37687" xr:uid="{00000000-0005-0000-0000-000037930000}"/>
    <cellStyle name="Normal 6 2 72" xfId="37688" xr:uid="{00000000-0005-0000-0000-000038930000}"/>
    <cellStyle name="Normal 6 2 73" xfId="37689" xr:uid="{00000000-0005-0000-0000-000039930000}"/>
    <cellStyle name="Normal 6 2 74" xfId="37690" xr:uid="{00000000-0005-0000-0000-00003A930000}"/>
    <cellStyle name="Normal 6 2 75" xfId="37691" xr:uid="{00000000-0005-0000-0000-00003B930000}"/>
    <cellStyle name="Normal 6 2 76" xfId="37692" xr:uid="{00000000-0005-0000-0000-00003C930000}"/>
    <cellStyle name="Normal 6 2 77" xfId="37693" xr:uid="{00000000-0005-0000-0000-00003D930000}"/>
    <cellStyle name="Normal 6 2 78" xfId="37694" xr:uid="{00000000-0005-0000-0000-00003E930000}"/>
    <cellStyle name="Normal 6 2 79" xfId="37695" xr:uid="{00000000-0005-0000-0000-00003F930000}"/>
    <cellStyle name="Normal 6 2 8" xfId="37696" xr:uid="{00000000-0005-0000-0000-000040930000}"/>
    <cellStyle name="Normal 6 2 80" xfId="37697" xr:uid="{00000000-0005-0000-0000-000041930000}"/>
    <cellStyle name="Normal 6 2 81" xfId="37698" xr:uid="{00000000-0005-0000-0000-000042930000}"/>
    <cellStyle name="Normal 6 2 82" xfId="37699" xr:uid="{00000000-0005-0000-0000-000043930000}"/>
    <cellStyle name="Normal 6 2 83" xfId="37700" xr:uid="{00000000-0005-0000-0000-000044930000}"/>
    <cellStyle name="Normal 6 2 84" xfId="37701" xr:uid="{00000000-0005-0000-0000-000045930000}"/>
    <cellStyle name="Normal 6 2 85" xfId="37702" xr:uid="{00000000-0005-0000-0000-000046930000}"/>
    <cellStyle name="Normal 6 2 86" xfId="37703" xr:uid="{00000000-0005-0000-0000-000047930000}"/>
    <cellStyle name="Normal 6 2 9" xfId="37704" xr:uid="{00000000-0005-0000-0000-000048930000}"/>
    <cellStyle name="Normal 6 2_Xa Parametrización de Usuarios" xfId="37705" xr:uid="{00000000-0005-0000-0000-000049930000}"/>
    <cellStyle name="Normal 6 20" xfId="37706" xr:uid="{00000000-0005-0000-0000-00004A930000}"/>
    <cellStyle name="Normal 6 21" xfId="37707" xr:uid="{00000000-0005-0000-0000-00004B930000}"/>
    <cellStyle name="Normal 6 22" xfId="37708" xr:uid="{00000000-0005-0000-0000-00004C930000}"/>
    <cellStyle name="Normal 6 23" xfId="37709" xr:uid="{00000000-0005-0000-0000-00004D930000}"/>
    <cellStyle name="Normal 6 24" xfId="37710" xr:uid="{00000000-0005-0000-0000-00004E930000}"/>
    <cellStyle name="Normal 6 25" xfId="37711" xr:uid="{00000000-0005-0000-0000-00004F930000}"/>
    <cellStyle name="Normal 6 26" xfId="37712" xr:uid="{00000000-0005-0000-0000-000050930000}"/>
    <cellStyle name="Normal 6 27" xfId="37713" xr:uid="{00000000-0005-0000-0000-000051930000}"/>
    <cellStyle name="Normal 6 28" xfId="37714" xr:uid="{00000000-0005-0000-0000-000052930000}"/>
    <cellStyle name="Normal 6 29" xfId="37715" xr:uid="{00000000-0005-0000-0000-000053930000}"/>
    <cellStyle name="Normal 6 3" xfId="37716" xr:uid="{00000000-0005-0000-0000-000054930000}"/>
    <cellStyle name="Normal 6 3 10" xfId="37717" xr:uid="{00000000-0005-0000-0000-000055930000}"/>
    <cellStyle name="Normal 6 3 11" xfId="37718" xr:uid="{00000000-0005-0000-0000-000056930000}"/>
    <cellStyle name="Normal 6 3 12" xfId="37719" xr:uid="{00000000-0005-0000-0000-000057930000}"/>
    <cellStyle name="Normal 6 3 2" xfId="37720" xr:uid="{00000000-0005-0000-0000-000058930000}"/>
    <cellStyle name="Normal 6 3 3" xfId="37721" xr:uid="{00000000-0005-0000-0000-000059930000}"/>
    <cellStyle name="Normal 6 3 4" xfId="37722" xr:uid="{00000000-0005-0000-0000-00005A930000}"/>
    <cellStyle name="Normal 6 3 5" xfId="37723" xr:uid="{00000000-0005-0000-0000-00005B930000}"/>
    <cellStyle name="Normal 6 3 6" xfId="37724" xr:uid="{00000000-0005-0000-0000-00005C930000}"/>
    <cellStyle name="Normal 6 3 7" xfId="37725" xr:uid="{00000000-0005-0000-0000-00005D930000}"/>
    <cellStyle name="Normal 6 3 8" xfId="37726" xr:uid="{00000000-0005-0000-0000-00005E930000}"/>
    <cellStyle name="Normal 6 3 9" xfId="37727" xr:uid="{00000000-0005-0000-0000-00005F930000}"/>
    <cellStyle name="Normal 6 3_Xa Parametrización de Usuarios" xfId="37728" xr:uid="{00000000-0005-0000-0000-000060930000}"/>
    <cellStyle name="Normal 6 4" xfId="37729" xr:uid="{00000000-0005-0000-0000-000061930000}"/>
    <cellStyle name="Normal 6 5" xfId="37730" xr:uid="{00000000-0005-0000-0000-000062930000}"/>
    <cellStyle name="Normal 6 6" xfId="37731" xr:uid="{00000000-0005-0000-0000-000063930000}"/>
    <cellStyle name="Normal 6 7" xfId="37732" xr:uid="{00000000-0005-0000-0000-000064930000}"/>
    <cellStyle name="Normal 6 8" xfId="37733" xr:uid="{00000000-0005-0000-0000-000065930000}"/>
    <cellStyle name="Normal 6 9" xfId="37734" xr:uid="{00000000-0005-0000-0000-000066930000}"/>
    <cellStyle name="Normal 60" xfId="37735" xr:uid="{00000000-0005-0000-0000-000067930000}"/>
    <cellStyle name="Normal 61" xfId="37736" xr:uid="{00000000-0005-0000-0000-000068930000}"/>
    <cellStyle name="Normal 61 2" xfId="37737" xr:uid="{00000000-0005-0000-0000-000069930000}"/>
    <cellStyle name="Normal 61 2 2" xfId="37738" xr:uid="{00000000-0005-0000-0000-00006A930000}"/>
    <cellStyle name="Normal 61 2 3" xfId="37739" xr:uid="{00000000-0005-0000-0000-00006B930000}"/>
    <cellStyle name="Normal 61 3" xfId="37740" xr:uid="{00000000-0005-0000-0000-00006C930000}"/>
    <cellStyle name="Normal 62" xfId="37741" xr:uid="{00000000-0005-0000-0000-00006D930000}"/>
    <cellStyle name="Normal 62 2" xfId="37742" xr:uid="{00000000-0005-0000-0000-00006E930000}"/>
    <cellStyle name="Normal 62 3" xfId="37743" xr:uid="{00000000-0005-0000-0000-00006F930000}"/>
    <cellStyle name="Normal 63" xfId="37744" xr:uid="{00000000-0005-0000-0000-000070930000}"/>
    <cellStyle name="Normal 63 2" xfId="37745" xr:uid="{00000000-0005-0000-0000-000071930000}"/>
    <cellStyle name="Normal 63 3" xfId="37746" xr:uid="{00000000-0005-0000-0000-000072930000}"/>
    <cellStyle name="Normal 63 4" xfId="37747" xr:uid="{00000000-0005-0000-0000-000073930000}"/>
    <cellStyle name="Normal 64" xfId="37748" xr:uid="{00000000-0005-0000-0000-000074930000}"/>
    <cellStyle name="Normal 64 2" xfId="37749" xr:uid="{00000000-0005-0000-0000-000075930000}"/>
    <cellStyle name="Normal 64 3" xfId="37750" xr:uid="{00000000-0005-0000-0000-000076930000}"/>
    <cellStyle name="Normal 64 4" xfId="37751" xr:uid="{00000000-0005-0000-0000-000077930000}"/>
    <cellStyle name="Normal 65" xfId="37752" xr:uid="{00000000-0005-0000-0000-000078930000}"/>
    <cellStyle name="Normal 65 2" xfId="37753" xr:uid="{00000000-0005-0000-0000-000079930000}"/>
    <cellStyle name="Normal 65 3" xfId="37754" xr:uid="{00000000-0005-0000-0000-00007A930000}"/>
    <cellStyle name="Normal 66" xfId="37755" xr:uid="{00000000-0005-0000-0000-00007B930000}"/>
    <cellStyle name="Normal 66 2" xfId="37756" xr:uid="{00000000-0005-0000-0000-00007C930000}"/>
    <cellStyle name="Normal 66 3" xfId="37757" xr:uid="{00000000-0005-0000-0000-00007D930000}"/>
    <cellStyle name="Normal 67" xfId="37758" xr:uid="{00000000-0005-0000-0000-00007E930000}"/>
    <cellStyle name="Normal 67 2" xfId="37759" xr:uid="{00000000-0005-0000-0000-00007F930000}"/>
    <cellStyle name="Normal 68" xfId="37760" xr:uid="{00000000-0005-0000-0000-000080930000}"/>
    <cellStyle name="Normal 68 2" xfId="37761" xr:uid="{00000000-0005-0000-0000-000081930000}"/>
    <cellStyle name="Normal 69" xfId="37762" xr:uid="{00000000-0005-0000-0000-000082930000}"/>
    <cellStyle name="Normal 69 2" xfId="37763" xr:uid="{00000000-0005-0000-0000-000083930000}"/>
    <cellStyle name="Normal 69 3" xfId="37764" xr:uid="{00000000-0005-0000-0000-000084930000}"/>
    <cellStyle name="Normal 7" xfId="1" xr:uid="{00000000-0005-0000-0000-000001000000}"/>
    <cellStyle name="Normal 7 10" xfId="37765" xr:uid="{00000000-0005-0000-0000-000085930000}"/>
    <cellStyle name="Normal 7 11" xfId="37766" xr:uid="{00000000-0005-0000-0000-000086930000}"/>
    <cellStyle name="Normal 7 12" xfId="37767" xr:uid="{00000000-0005-0000-0000-000087930000}"/>
    <cellStyle name="Normal 7 13" xfId="37768" xr:uid="{00000000-0005-0000-0000-000088930000}"/>
    <cellStyle name="Normal 7 14" xfId="37769" xr:uid="{00000000-0005-0000-0000-000089930000}"/>
    <cellStyle name="Normal 7 15" xfId="37770" xr:uid="{00000000-0005-0000-0000-00008A930000}"/>
    <cellStyle name="Normal 7 16" xfId="37771" xr:uid="{00000000-0005-0000-0000-00008B930000}"/>
    <cellStyle name="Normal 7 17" xfId="37772" xr:uid="{00000000-0005-0000-0000-00008C930000}"/>
    <cellStyle name="Normal 7 18" xfId="37773" xr:uid="{00000000-0005-0000-0000-00008D930000}"/>
    <cellStyle name="Normal 7 19" xfId="37774" xr:uid="{00000000-0005-0000-0000-00008E930000}"/>
    <cellStyle name="Normal 7 2" xfId="22" xr:uid="{00000000-0005-0000-0000-000016000000}"/>
    <cellStyle name="Normal 7 2 10" xfId="37775" xr:uid="{00000000-0005-0000-0000-00008F930000}"/>
    <cellStyle name="Normal 7 2 11" xfId="37776" xr:uid="{00000000-0005-0000-0000-000090930000}"/>
    <cellStyle name="Normal 7 2 12" xfId="37777" xr:uid="{00000000-0005-0000-0000-000091930000}"/>
    <cellStyle name="Normal 7 2 13" xfId="37778" xr:uid="{00000000-0005-0000-0000-000092930000}"/>
    <cellStyle name="Normal 7 2 14" xfId="37779" xr:uid="{00000000-0005-0000-0000-000093930000}"/>
    <cellStyle name="Normal 7 2 15" xfId="37780" xr:uid="{00000000-0005-0000-0000-000094930000}"/>
    <cellStyle name="Normal 7 2 16" xfId="37781" xr:uid="{00000000-0005-0000-0000-000095930000}"/>
    <cellStyle name="Normal 7 2 17" xfId="37782" xr:uid="{00000000-0005-0000-0000-000096930000}"/>
    <cellStyle name="Normal 7 2 18" xfId="37783" xr:uid="{00000000-0005-0000-0000-000097930000}"/>
    <cellStyle name="Normal 7 2 19" xfId="37784" xr:uid="{00000000-0005-0000-0000-000098930000}"/>
    <cellStyle name="Normal 7 2 2" xfId="37785" xr:uid="{00000000-0005-0000-0000-000099930000}"/>
    <cellStyle name="Normal 7 2 2 2" xfId="37786" xr:uid="{00000000-0005-0000-0000-00009A930000}"/>
    <cellStyle name="Normal 7 2 2 2 2" xfId="37787" xr:uid="{00000000-0005-0000-0000-00009B930000}"/>
    <cellStyle name="Normal 7 2 20" xfId="37788" xr:uid="{00000000-0005-0000-0000-00009C930000}"/>
    <cellStyle name="Normal 7 2 21" xfId="37789" xr:uid="{00000000-0005-0000-0000-00009D930000}"/>
    <cellStyle name="Normal 7 2 22" xfId="37790" xr:uid="{00000000-0005-0000-0000-00009E930000}"/>
    <cellStyle name="Normal 7 2 23" xfId="37791" xr:uid="{00000000-0005-0000-0000-00009F930000}"/>
    <cellStyle name="Normal 7 2 24" xfId="37792" xr:uid="{00000000-0005-0000-0000-0000A0930000}"/>
    <cellStyle name="Normal 7 2 25" xfId="37793" xr:uid="{00000000-0005-0000-0000-0000A1930000}"/>
    <cellStyle name="Normal 7 2 26" xfId="37794" xr:uid="{00000000-0005-0000-0000-0000A2930000}"/>
    <cellStyle name="Normal 7 2 27" xfId="37795" xr:uid="{00000000-0005-0000-0000-0000A3930000}"/>
    <cellStyle name="Normal 7 2 28" xfId="37796" xr:uid="{00000000-0005-0000-0000-0000A4930000}"/>
    <cellStyle name="Normal 7 2 29" xfId="37797" xr:uid="{00000000-0005-0000-0000-0000A5930000}"/>
    <cellStyle name="Normal 7 2 3" xfId="37798" xr:uid="{00000000-0005-0000-0000-0000A6930000}"/>
    <cellStyle name="Normal 7 2 30" xfId="37799" xr:uid="{00000000-0005-0000-0000-0000A7930000}"/>
    <cellStyle name="Normal 7 2 31" xfId="37800" xr:uid="{00000000-0005-0000-0000-0000A8930000}"/>
    <cellStyle name="Normal 7 2 32" xfId="37801" xr:uid="{00000000-0005-0000-0000-0000A9930000}"/>
    <cellStyle name="Normal 7 2 33" xfId="37802" xr:uid="{00000000-0005-0000-0000-0000AA930000}"/>
    <cellStyle name="Normal 7 2 34" xfId="37803" xr:uid="{00000000-0005-0000-0000-0000AB930000}"/>
    <cellStyle name="Normal 7 2 35" xfId="37804" xr:uid="{00000000-0005-0000-0000-0000AC930000}"/>
    <cellStyle name="Normal 7 2 36" xfId="37805" xr:uid="{00000000-0005-0000-0000-0000AD930000}"/>
    <cellStyle name="Normal 7 2 37" xfId="37806" xr:uid="{00000000-0005-0000-0000-0000AE930000}"/>
    <cellStyle name="Normal 7 2 38" xfId="37807" xr:uid="{00000000-0005-0000-0000-0000AF930000}"/>
    <cellStyle name="Normal 7 2 39" xfId="37808" xr:uid="{00000000-0005-0000-0000-0000B0930000}"/>
    <cellStyle name="Normal 7 2 4" xfId="37809" xr:uid="{00000000-0005-0000-0000-0000B1930000}"/>
    <cellStyle name="Normal 7 2 40" xfId="37810" xr:uid="{00000000-0005-0000-0000-0000B2930000}"/>
    <cellStyle name="Normal 7 2 41" xfId="37811" xr:uid="{00000000-0005-0000-0000-0000B3930000}"/>
    <cellStyle name="Normal 7 2 42" xfId="37812" xr:uid="{00000000-0005-0000-0000-0000B4930000}"/>
    <cellStyle name="Normal 7 2 43" xfId="37813" xr:uid="{00000000-0005-0000-0000-0000B5930000}"/>
    <cellStyle name="Normal 7 2 44" xfId="37814" xr:uid="{00000000-0005-0000-0000-0000B6930000}"/>
    <cellStyle name="Normal 7 2 45" xfId="37815" xr:uid="{00000000-0005-0000-0000-0000B7930000}"/>
    <cellStyle name="Normal 7 2 46" xfId="37816" xr:uid="{00000000-0005-0000-0000-0000B8930000}"/>
    <cellStyle name="Normal 7 2 47" xfId="37817" xr:uid="{00000000-0005-0000-0000-0000B9930000}"/>
    <cellStyle name="Normal 7 2 48" xfId="37818" xr:uid="{00000000-0005-0000-0000-0000BA930000}"/>
    <cellStyle name="Normal 7 2 49" xfId="37819" xr:uid="{00000000-0005-0000-0000-0000BB930000}"/>
    <cellStyle name="Normal 7 2 5" xfId="37820" xr:uid="{00000000-0005-0000-0000-0000BC930000}"/>
    <cellStyle name="Normal 7 2 50" xfId="37821" xr:uid="{00000000-0005-0000-0000-0000BD930000}"/>
    <cellStyle name="Normal 7 2 51" xfId="37822" xr:uid="{00000000-0005-0000-0000-0000BE930000}"/>
    <cellStyle name="Normal 7 2 52" xfId="37823" xr:uid="{00000000-0005-0000-0000-0000BF930000}"/>
    <cellStyle name="Normal 7 2 53" xfId="37824" xr:uid="{00000000-0005-0000-0000-0000C0930000}"/>
    <cellStyle name="Normal 7 2 54" xfId="37825" xr:uid="{00000000-0005-0000-0000-0000C1930000}"/>
    <cellStyle name="Normal 7 2 55" xfId="37826" xr:uid="{00000000-0005-0000-0000-0000C2930000}"/>
    <cellStyle name="Normal 7 2 56" xfId="37827" xr:uid="{00000000-0005-0000-0000-0000C3930000}"/>
    <cellStyle name="Normal 7 2 57" xfId="37828" xr:uid="{00000000-0005-0000-0000-0000C4930000}"/>
    <cellStyle name="Normal 7 2 58" xfId="37829" xr:uid="{00000000-0005-0000-0000-0000C5930000}"/>
    <cellStyle name="Normal 7 2 59" xfId="37830" xr:uid="{00000000-0005-0000-0000-0000C6930000}"/>
    <cellStyle name="Normal 7 2 6" xfId="37831" xr:uid="{00000000-0005-0000-0000-0000C7930000}"/>
    <cellStyle name="Normal 7 2 60" xfId="37832" xr:uid="{00000000-0005-0000-0000-0000C8930000}"/>
    <cellStyle name="Normal 7 2 61" xfId="37833" xr:uid="{00000000-0005-0000-0000-0000C9930000}"/>
    <cellStyle name="Normal 7 2 62" xfId="37834" xr:uid="{00000000-0005-0000-0000-0000CA930000}"/>
    <cellStyle name="Normal 7 2 63" xfId="37835" xr:uid="{00000000-0005-0000-0000-0000CB930000}"/>
    <cellStyle name="Normal 7 2 64" xfId="37836" xr:uid="{00000000-0005-0000-0000-0000CC930000}"/>
    <cellStyle name="Normal 7 2 65" xfId="37837" xr:uid="{00000000-0005-0000-0000-0000CD930000}"/>
    <cellStyle name="Normal 7 2 66" xfId="37838" xr:uid="{00000000-0005-0000-0000-0000CE930000}"/>
    <cellStyle name="Normal 7 2 67" xfId="37839" xr:uid="{00000000-0005-0000-0000-0000CF930000}"/>
    <cellStyle name="Normal 7 2 68" xfId="37840" xr:uid="{00000000-0005-0000-0000-0000D0930000}"/>
    <cellStyle name="Normal 7 2 69" xfId="37841" xr:uid="{00000000-0005-0000-0000-0000D1930000}"/>
    <cellStyle name="Normal 7 2 7" xfId="37842" xr:uid="{00000000-0005-0000-0000-0000D2930000}"/>
    <cellStyle name="Normal 7 2 70" xfId="37843" xr:uid="{00000000-0005-0000-0000-0000D3930000}"/>
    <cellStyle name="Normal 7 2 71" xfId="37844" xr:uid="{00000000-0005-0000-0000-0000D4930000}"/>
    <cellStyle name="Normal 7 2 72" xfId="37845" xr:uid="{00000000-0005-0000-0000-0000D5930000}"/>
    <cellStyle name="Normal 7 2 73" xfId="37846" xr:uid="{00000000-0005-0000-0000-0000D6930000}"/>
    <cellStyle name="Normal 7 2 74" xfId="37847" xr:uid="{00000000-0005-0000-0000-0000D7930000}"/>
    <cellStyle name="Normal 7 2 75" xfId="37848" xr:uid="{00000000-0005-0000-0000-0000D8930000}"/>
    <cellStyle name="Normal 7 2 76" xfId="37849" xr:uid="{00000000-0005-0000-0000-0000D9930000}"/>
    <cellStyle name="Normal 7 2 77" xfId="37850" xr:uid="{00000000-0005-0000-0000-0000DA930000}"/>
    <cellStyle name="Normal 7 2 78" xfId="37851" xr:uid="{00000000-0005-0000-0000-0000DB930000}"/>
    <cellStyle name="Normal 7 2 79" xfId="37852" xr:uid="{00000000-0005-0000-0000-0000DC930000}"/>
    <cellStyle name="Normal 7 2 8" xfId="37853" xr:uid="{00000000-0005-0000-0000-0000DD930000}"/>
    <cellStyle name="Normal 7 2 80" xfId="37854" xr:uid="{00000000-0005-0000-0000-0000DE930000}"/>
    <cellStyle name="Normal 7 2 81" xfId="37855" xr:uid="{00000000-0005-0000-0000-0000DF930000}"/>
    <cellStyle name="Normal 7 2 9" xfId="37856" xr:uid="{00000000-0005-0000-0000-0000E0930000}"/>
    <cellStyle name="Normal 7 2_Enlaces" xfId="37857" xr:uid="{00000000-0005-0000-0000-0000E1930000}"/>
    <cellStyle name="Normal 7 20" xfId="37858" xr:uid="{00000000-0005-0000-0000-0000E2930000}"/>
    <cellStyle name="Normal 7 21" xfId="37859" xr:uid="{00000000-0005-0000-0000-0000E3930000}"/>
    <cellStyle name="Normal 7 22" xfId="37860" xr:uid="{00000000-0005-0000-0000-0000E4930000}"/>
    <cellStyle name="Normal 7 23" xfId="37861" xr:uid="{00000000-0005-0000-0000-0000E5930000}"/>
    <cellStyle name="Normal 7 24" xfId="37862" xr:uid="{00000000-0005-0000-0000-0000E6930000}"/>
    <cellStyle name="Normal 7 25" xfId="37863" xr:uid="{00000000-0005-0000-0000-0000E7930000}"/>
    <cellStyle name="Normal 7 26" xfId="37864" xr:uid="{00000000-0005-0000-0000-0000E8930000}"/>
    <cellStyle name="Normal 7 27" xfId="37865" xr:uid="{00000000-0005-0000-0000-0000E9930000}"/>
    <cellStyle name="Normal 7 28" xfId="37866" xr:uid="{00000000-0005-0000-0000-0000EA930000}"/>
    <cellStyle name="Normal 7 29" xfId="37867" xr:uid="{00000000-0005-0000-0000-0000EB930000}"/>
    <cellStyle name="Normal 7 3" xfId="37868" xr:uid="{00000000-0005-0000-0000-0000EC930000}"/>
    <cellStyle name="Normal 7 3 2" xfId="37869" xr:uid="{00000000-0005-0000-0000-0000ED930000}"/>
    <cellStyle name="Normal 7 3 3" xfId="37870" xr:uid="{00000000-0005-0000-0000-0000EE930000}"/>
    <cellStyle name="Normal 7 3 4" xfId="37871" xr:uid="{00000000-0005-0000-0000-0000EF930000}"/>
    <cellStyle name="Normal 7 3 4 2" xfId="37872" xr:uid="{00000000-0005-0000-0000-0000F0930000}"/>
    <cellStyle name="Normal 7 3 4 2 2" xfId="37873" xr:uid="{00000000-0005-0000-0000-0000F1930000}"/>
    <cellStyle name="Normal 7 3 4 3" xfId="37874" xr:uid="{00000000-0005-0000-0000-0000F2930000}"/>
    <cellStyle name="Normal 7 3 5" xfId="37875" xr:uid="{00000000-0005-0000-0000-0000F3930000}"/>
    <cellStyle name="Normal 7 3 6" xfId="37876" xr:uid="{00000000-0005-0000-0000-0000F4930000}"/>
    <cellStyle name="Normal 7 3 7" xfId="37877" xr:uid="{00000000-0005-0000-0000-0000F5930000}"/>
    <cellStyle name="Normal 7 3 7 2" xfId="37878" xr:uid="{00000000-0005-0000-0000-0000F6930000}"/>
    <cellStyle name="Normal 7 3_Implem" xfId="37879" xr:uid="{00000000-0005-0000-0000-0000F7930000}"/>
    <cellStyle name="Normal 7 30" xfId="37880" xr:uid="{00000000-0005-0000-0000-0000F8930000}"/>
    <cellStyle name="Normal 7 30 2" xfId="37881" xr:uid="{00000000-0005-0000-0000-0000F9930000}"/>
    <cellStyle name="Normal 7 31" xfId="37882" xr:uid="{00000000-0005-0000-0000-0000FA930000}"/>
    <cellStyle name="Normal 7 32" xfId="37883" xr:uid="{00000000-0005-0000-0000-0000FB930000}"/>
    <cellStyle name="Normal 7 33" xfId="37884" xr:uid="{00000000-0005-0000-0000-0000FC930000}"/>
    <cellStyle name="Normal 7 34" xfId="37885" xr:uid="{00000000-0005-0000-0000-0000FD930000}"/>
    <cellStyle name="Normal 7 35" xfId="37886" xr:uid="{00000000-0005-0000-0000-0000FE930000}"/>
    <cellStyle name="Normal 7 36" xfId="37887" xr:uid="{00000000-0005-0000-0000-0000FF930000}"/>
    <cellStyle name="Normal 7 37" xfId="37888" xr:uid="{00000000-0005-0000-0000-000000940000}"/>
    <cellStyle name="Normal 7 38" xfId="37889" xr:uid="{00000000-0005-0000-0000-000001940000}"/>
    <cellStyle name="Normal 7 39" xfId="37890" xr:uid="{00000000-0005-0000-0000-000002940000}"/>
    <cellStyle name="Normal 7 4" xfId="37891" xr:uid="{00000000-0005-0000-0000-000003940000}"/>
    <cellStyle name="Normal 7 40" xfId="37892" xr:uid="{00000000-0005-0000-0000-000004940000}"/>
    <cellStyle name="Normal 7 41" xfId="37893" xr:uid="{00000000-0005-0000-0000-000005940000}"/>
    <cellStyle name="Normal 7 42" xfId="37894" xr:uid="{00000000-0005-0000-0000-000006940000}"/>
    <cellStyle name="Normal 7 43" xfId="37895" xr:uid="{00000000-0005-0000-0000-000007940000}"/>
    <cellStyle name="Normal 7 44" xfId="37896" xr:uid="{00000000-0005-0000-0000-000008940000}"/>
    <cellStyle name="Normal 7 45" xfId="37897" xr:uid="{00000000-0005-0000-0000-000009940000}"/>
    <cellStyle name="Normal 7 46" xfId="37898" xr:uid="{00000000-0005-0000-0000-00000A940000}"/>
    <cellStyle name="Normal 7 5" xfId="37899" xr:uid="{00000000-0005-0000-0000-00000B940000}"/>
    <cellStyle name="Normal 7 6" xfId="37900" xr:uid="{00000000-0005-0000-0000-00000C940000}"/>
    <cellStyle name="Normal 7 7" xfId="37901" xr:uid="{00000000-0005-0000-0000-00000D940000}"/>
    <cellStyle name="Normal 7 8" xfId="37902" xr:uid="{00000000-0005-0000-0000-00000E940000}"/>
    <cellStyle name="Normal 7 9" xfId="37903" xr:uid="{00000000-0005-0000-0000-00000F940000}"/>
    <cellStyle name="Normal 70" xfId="37904" xr:uid="{00000000-0005-0000-0000-000010940000}"/>
    <cellStyle name="Normal 70 2" xfId="37905" xr:uid="{00000000-0005-0000-0000-000011940000}"/>
    <cellStyle name="Normal 71" xfId="37906" xr:uid="{00000000-0005-0000-0000-000012940000}"/>
    <cellStyle name="Normal 71 2" xfId="37907" xr:uid="{00000000-0005-0000-0000-000013940000}"/>
    <cellStyle name="Normal 72" xfId="37908" xr:uid="{00000000-0005-0000-0000-000014940000}"/>
    <cellStyle name="Normal 72 2" xfId="37909" xr:uid="{00000000-0005-0000-0000-000015940000}"/>
    <cellStyle name="Normal 72 3" xfId="37910" xr:uid="{00000000-0005-0000-0000-000016940000}"/>
    <cellStyle name="Normal 73" xfId="37911" xr:uid="{00000000-0005-0000-0000-000017940000}"/>
    <cellStyle name="Normal 73 2" xfId="37912" xr:uid="{00000000-0005-0000-0000-000018940000}"/>
    <cellStyle name="Normal 74" xfId="37913" xr:uid="{00000000-0005-0000-0000-000019940000}"/>
    <cellStyle name="Normal 74 2" xfId="37914" xr:uid="{00000000-0005-0000-0000-00001A940000}"/>
    <cellStyle name="Normal 75" xfId="37915" xr:uid="{00000000-0005-0000-0000-00001B940000}"/>
    <cellStyle name="Normal 75 2" xfId="37916" xr:uid="{00000000-0005-0000-0000-00001C940000}"/>
    <cellStyle name="Normal 75 3" xfId="37917" xr:uid="{00000000-0005-0000-0000-00001D940000}"/>
    <cellStyle name="Normal 76" xfId="37918" xr:uid="{00000000-0005-0000-0000-00001E940000}"/>
    <cellStyle name="Normal 76 2" xfId="37919" xr:uid="{00000000-0005-0000-0000-00001F940000}"/>
    <cellStyle name="Normal 76 3" xfId="37920" xr:uid="{00000000-0005-0000-0000-000020940000}"/>
    <cellStyle name="Normal 77" xfId="37921" xr:uid="{00000000-0005-0000-0000-000021940000}"/>
    <cellStyle name="Normal 77 2" xfId="37922" xr:uid="{00000000-0005-0000-0000-000022940000}"/>
    <cellStyle name="Normal 77 3" xfId="37923" xr:uid="{00000000-0005-0000-0000-000023940000}"/>
    <cellStyle name="Normal 78" xfId="37924" xr:uid="{00000000-0005-0000-0000-000024940000}"/>
    <cellStyle name="Normal 78 2" xfId="37925" xr:uid="{00000000-0005-0000-0000-000025940000}"/>
    <cellStyle name="Normal 79" xfId="37926" xr:uid="{00000000-0005-0000-0000-000026940000}"/>
    <cellStyle name="Normal 79 2" xfId="37927" xr:uid="{00000000-0005-0000-0000-000027940000}"/>
    <cellStyle name="Normal 8" xfId="23" xr:uid="{00000000-0005-0000-0000-000017000000}"/>
    <cellStyle name="Normal 8 2" xfId="37928" xr:uid="{00000000-0005-0000-0000-000028940000}"/>
    <cellStyle name="Normal 8 2 2" xfId="37929" xr:uid="{00000000-0005-0000-0000-000029940000}"/>
    <cellStyle name="Normal 8 2 2 2" xfId="37930" xr:uid="{00000000-0005-0000-0000-00002A940000}"/>
    <cellStyle name="Normal 8 2 3" xfId="37931" xr:uid="{00000000-0005-0000-0000-00002B940000}"/>
    <cellStyle name="Normal 8 2 3 2" xfId="37932" xr:uid="{00000000-0005-0000-0000-00002C940000}"/>
    <cellStyle name="Normal 8 3" xfId="37933" xr:uid="{00000000-0005-0000-0000-00002D940000}"/>
    <cellStyle name="Normal 8 4" xfId="37934" xr:uid="{00000000-0005-0000-0000-00002E940000}"/>
    <cellStyle name="Normal 8 5" xfId="37935" xr:uid="{00000000-0005-0000-0000-00002F940000}"/>
    <cellStyle name="Normal 8 6" xfId="37936" xr:uid="{00000000-0005-0000-0000-000030940000}"/>
    <cellStyle name="Normal 8 7" xfId="37937" xr:uid="{00000000-0005-0000-0000-000031940000}"/>
    <cellStyle name="Normal 8 8" xfId="37938" xr:uid="{00000000-0005-0000-0000-000032940000}"/>
    <cellStyle name="Normal 8 8 2" xfId="37939" xr:uid="{00000000-0005-0000-0000-000033940000}"/>
    <cellStyle name="Normal 80" xfId="37940" xr:uid="{00000000-0005-0000-0000-000034940000}"/>
    <cellStyle name="Normal 80 2" xfId="37941" xr:uid="{00000000-0005-0000-0000-000035940000}"/>
    <cellStyle name="Normal 80 3" xfId="37942" xr:uid="{00000000-0005-0000-0000-000036940000}"/>
    <cellStyle name="Normal 81" xfId="24" xr:uid="{00000000-0005-0000-0000-000018000000}"/>
    <cellStyle name="Normal 81 2" xfId="37943" xr:uid="{00000000-0005-0000-0000-000037940000}"/>
    <cellStyle name="Normal 82" xfId="37944" xr:uid="{00000000-0005-0000-0000-000038940000}"/>
    <cellStyle name="Normal 82 2" xfId="37945" xr:uid="{00000000-0005-0000-0000-000039940000}"/>
    <cellStyle name="Normal 83" xfId="37946" xr:uid="{00000000-0005-0000-0000-00003A940000}"/>
    <cellStyle name="Normal 83 2" xfId="37947" xr:uid="{00000000-0005-0000-0000-00003B940000}"/>
    <cellStyle name="Normal 83 3" xfId="37948" xr:uid="{00000000-0005-0000-0000-00003C940000}"/>
    <cellStyle name="Normal 84" xfId="37949" xr:uid="{00000000-0005-0000-0000-00003D940000}"/>
    <cellStyle name="Normal 84 2" xfId="37950" xr:uid="{00000000-0005-0000-0000-00003E940000}"/>
    <cellStyle name="Normal 85" xfId="37951" xr:uid="{00000000-0005-0000-0000-00003F940000}"/>
    <cellStyle name="Normal 85 2" xfId="37952" xr:uid="{00000000-0005-0000-0000-000040940000}"/>
    <cellStyle name="Normal 85 3" xfId="37953" xr:uid="{00000000-0005-0000-0000-000041940000}"/>
    <cellStyle name="Normal 86" xfId="37954" xr:uid="{00000000-0005-0000-0000-000042940000}"/>
    <cellStyle name="Normal 86 2" xfId="37955" xr:uid="{00000000-0005-0000-0000-000043940000}"/>
    <cellStyle name="Normal 86 3" xfId="37956" xr:uid="{00000000-0005-0000-0000-000044940000}"/>
    <cellStyle name="Normal 87" xfId="37957" xr:uid="{00000000-0005-0000-0000-000045940000}"/>
    <cellStyle name="Normal 87 2" xfId="37958" xr:uid="{00000000-0005-0000-0000-000046940000}"/>
    <cellStyle name="Normal 88" xfId="37959" xr:uid="{00000000-0005-0000-0000-000047940000}"/>
    <cellStyle name="Normal 88 2" xfId="37960" xr:uid="{00000000-0005-0000-0000-000048940000}"/>
    <cellStyle name="Normal 88 3" xfId="37961" xr:uid="{00000000-0005-0000-0000-000049940000}"/>
    <cellStyle name="Normal 89" xfId="37962" xr:uid="{00000000-0005-0000-0000-00004A940000}"/>
    <cellStyle name="Normal 89 2" xfId="37963" xr:uid="{00000000-0005-0000-0000-00004B940000}"/>
    <cellStyle name="Normal 9" xfId="37964" xr:uid="{00000000-0005-0000-0000-00004C940000}"/>
    <cellStyle name="Normal 9 10" xfId="37965" xr:uid="{00000000-0005-0000-0000-00004D940000}"/>
    <cellStyle name="Normal 9 11" xfId="37966" xr:uid="{00000000-0005-0000-0000-00004E940000}"/>
    <cellStyle name="Normal 9 12" xfId="37967" xr:uid="{00000000-0005-0000-0000-00004F940000}"/>
    <cellStyle name="Normal 9 13" xfId="37968" xr:uid="{00000000-0005-0000-0000-000050940000}"/>
    <cellStyle name="Normal 9 14" xfId="37969" xr:uid="{00000000-0005-0000-0000-000051940000}"/>
    <cellStyle name="Normal 9 15" xfId="37970" xr:uid="{00000000-0005-0000-0000-000052940000}"/>
    <cellStyle name="Normal 9 16" xfId="37971" xr:uid="{00000000-0005-0000-0000-000053940000}"/>
    <cellStyle name="Normal 9 17" xfId="37972" xr:uid="{00000000-0005-0000-0000-000054940000}"/>
    <cellStyle name="Normal 9 18" xfId="37973" xr:uid="{00000000-0005-0000-0000-000055940000}"/>
    <cellStyle name="Normal 9 19" xfId="37974" xr:uid="{00000000-0005-0000-0000-000056940000}"/>
    <cellStyle name="Normal 9 2" xfId="37975" xr:uid="{00000000-0005-0000-0000-000057940000}"/>
    <cellStyle name="Normal 9 2 10" xfId="37976" xr:uid="{00000000-0005-0000-0000-000058940000}"/>
    <cellStyle name="Normal 9 2 11" xfId="37977" xr:uid="{00000000-0005-0000-0000-000059940000}"/>
    <cellStyle name="Normal 9 2 12" xfId="37978" xr:uid="{00000000-0005-0000-0000-00005A940000}"/>
    <cellStyle name="Normal 9 2 13" xfId="37979" xr:uid="{00000000-0005-0000-0000-00005B940000}"/>
    <cellStyle name="Normal 9 2 14" xfId="37980" xr:uid="{00000000-0005-0000-0000-00005C940000}"/>
    <cellStyle name="Normal 9 2 15" xfId="37981" xr:uid="{00000000-0005-0000-0000-00005D940000}"/>
    <cellStyle name="Normal 9 2 16" xfId="37982" xr:uid="{00000000-0005-0000-0000-00005E940000}"/>
    <cellStyle name="Normal 9 2 17" xfId="37983" xr:uid="{00000000-0005-0000-0000-00005F940000}"/>
    <cellStyle name="Normal 9 2 18" xfId="37984" xr:uid="{00000000-0005-0000-0000-000060940000}"/>
    <cellStyle name="Normal 9 2 19" xfId="37985" xr:uid="{00000000-0005-0000-0000-000061940000}"/>
    <cellStyle name="Normal 9 2 2" xfId="37986" xr:uid="{00000000-0005-0000-0000-000062940000}"/>
    <cellStyle name="Normal 9 2 2 2" xfId="37987" xr:uid="{00000000-0005-0000-0000-000063940000}"/>
    <cellStyle name="Normal 9 2 2 2 2" xfId="37988" xr:uid="{00000000-0005-0000-0000-000064940000}"/>
    <cellStyle name="Normal 9 2 20" xfId="37989" xr:uid="{00000000-0005-0000-0000-000065940000}"/>
    <cellStyle name="Normal 9 2 21" xfId="37990" xr:uid="{00000000-0005-0000-0000-000066940000}"/>
    <cellStyle name="Normal 9 2 22" xfId="37991" xr:uid="{00000000-0005-0000-0000-000067940000}"/>
    <cellStyle name="Normal 9 2 23" xfId="37992" xr:uid="{00000000-0005-0000-0000-000068940000}"/>
    <cellStyle name="Normal 9 2 24" xfId="37993" xr:uid="{00000000-0005-0000-0000-000069940000}"/>
    <cellStyle name="Normal 9 2 25" xfId="37994" xr:uid="{00000000-0005-0000-0000-00006A940000}"/>
    <cellStyle name="Normal 9 2 26" xfId="37995" xr:uid="{00000000-0005-0000-0000-00006B940000}"/>
    <cellStyle name="Normal 9 2 27" xfId="37996" xr:uid="{00000000-0005-0000-0000-00006C940000}"/>
    <cellStyle name="Normal 9 2 28" xfId="37997" xr:uid="{00000000-0005-0000-0000-00006D940000}"/>
    <cellStyle name="Normal 9 2 29" xfId="37998" xr:uid="{00000000-0005-0000-0000-00006E940000}"/>
    <cellStyle name="Normal 9 2 3" xfId="37999" xr:uid="{00000000-0005-0000-0000-00006F940000}"/>
    <cellStyle name="Normal 9 2 30" xfId="38000" xr:uid="{00000000-0005-0000-0000-000070940000}"/>
    <cellStyle name="Normal 9 2 31" xfId="38001" xr:uid="{00000000-0005-0000-0000-000071940000}"/>
    <cellStyle name="Normal 9 2 32" xfId="38002" xr:uid="{00000000-0005-0000-0000-000072940000}"/>
    <cellStyle name="Normal 9 2 33" xfId="38003" xr:uid="{00000000-0005-0000-0000-000073940000}"/>
    <cellStyle name="Normal 9 2 34" xfId="38004" xr:uid="{00000000-0005-0000-0000-000074940000}"/>
    <cellStyle name="Normal 9 2 35" xfId="38005" xr:uid="{00000000-0005-0000-0000-000075940000}"/>
    <cellStyle name="Normal 9 2 36" xfId="38006" xr:uid="{00000000-0005-0000-0000-000076940000}"/>
    <cellStyle name="Normal 9 2 37" xfId="38007" xr:uid="{00000000-0005-0000-0000-000077940000}"/>
    <cellStyle name="Normal 9 2 38" xfId="38008" xr:uid="{00000000-0005-0000-0000-000078940000}"/>
    <cellStyle name="Normal 9 2 39" xfId="38009" xr:uid="{00000000-0005-0000-0000-000079940000}"/>
    <cellStyle name="Normal 9 2 4" xfId="38010" xr:uid="{00000000-0005-0000-0000-00007A940000}"/>
    <cellStyle name="Normal 9 2 40" xfId="38011" xr:uid="{00000000-0005-0000-0000-00007B940000}"/>
    <cellStyle name="Normal 9 2 41" xfId="38012" xr:uid="{00000000-0005-0000-0000-00007C940000}"/>
    <cellStyle name="Normal 9 2 42" xfId="38013" xr:uid="{00000000-0005-0000-0000-00007D940000}"/>
    <cellStyle name="Normal 9 2 43" xfId="38014" xr:uid="{00000000-0005-0000-0000-00007E940000}"/>
    <cellStyle name="Normal 9 2 44" xfId="38015" xr:uid="{00000000-0005-0000-0000-00007F940000}"/>
    <cellStyle name="Normal 9 2 45" xfId="38016" xr:uid="{00000000-0005-0000-0000-000080940000}"/>
    <cellStyle name="Normal 9 2 46" xfId="38017" xr:uid="{00000000-0005-0000-0000-000081940000}"/>
    <cellStyle name="Normal 9 2 47" xfId="38018" xr:uid="{00000000-0005-0000-0000-000082940000}"/>
    <cellStyle name="Normal 9 2 48" xfId="38019" xr:uid="{00000000-0005-0000-0000-000083940000}"/>
    <cellStyle name="Normal 9 2 49" xfId="38020" xr:uid="{00000000-0005-0000-0000-000084940000}"/>
    <cellStyle name="Normal 9 2 5" xfId="38021" xr:uid="{00000000-0005-0000-0000-000085940000}"/>
    <cellStyle name="Normal 9 2 50" xfId="38022" xr:uid="{00000000-0005-0000-0000-000086940000}"/>
    <cellStyle name="Normal 9 2 51" xfId="38023" xr:uid="{00000000-0005-0000-0000-000087940000}"/>
    <cellStyle name="Normal 9 2 52" xfId="38024" xr:uid="{00000000-0005-0000-0000-000088940000}"/>
    <cellStyle name="Normal 9 2 53" xfId="38025" xr:uid="{00000000-0005-0000-0000-000089940000}"/>
    <cellStyle name="Normal 9 2 54" xfId="38026" xr:uid="{00000000-0005-0000-0000-00008A940000}"/>
    <cellStyle name="Normal 9 2 55" xfId="38027" xr:uid="{00000000-0005-0000-0000-00008B940000}"/>
    <cellStyle name="Normal 9 2 56" xfId="38028" xr:uid="{00000000-0005-0000-0000-00008C940000}"/>
    <cellStyle name="Normal 9 2 57" xfId="38029" xr:uid="{00000000-0005-0000-0000-00008D940000}"/>
    <cellStyle name="Normal 9 2 58" xfId="38030" xr:uid="{00000000-0005-0000-0000-00008E940000}"/>
    <cellStyle name="Normal 9 2 59" xfId="38031" xr:uid="{00000000-0005-0000-0000-00008F940000}"/>
    <cellStyle name="Normal 9 2 6" xfId="38032" xr:uid="{00000000-0005-0000-0000-000090940000}"/>
    <cellStyle name="Normal 9 2 60" xfId="38033" xr:uid="{00000000-0005-0000-0000-000091940000}"/>
    <cellStyle name="Normal 9 2 61" xfId="38034" xr:uid="{00000000-0005-0000-0000-000092940000}"/>
    <cellStyle name="Normal 9 2 62" xfId="38035" xr:uid="{00000000-0005-0000-0000-000093940000}"/>
    <cellStyle name="Normal 9 2 63" xfId="38036" xr:uid="{00000000-0005-0000-0000-000094940000}"/>
    <cellStyle name="Normal 9 2 64" xfId="38037" xr:uid="{00000000-0005-0000-0000-000095940000}"/>
    <cellStyle name="Normal 9 2 65" xfId="38038" xr:uid="{00000000-0005-0000-0000-000096940000}"/>
    <cellStyle name="Normal 9 2 66" xfId="38039" xr:uid="{00000000-0005-0000-0000-000097940000}"/>
    <cellStyle name="Normal 9 2 67" xfId="38040" xr:uid="{00000000-0005-0000-0000-000098940000}"/>
    <cellStyle name="Normal 9 2 68" xfId="38041" xr:uid="{00000000-0005-0000-0000-000099940000}"/>
    <cellStyle name="Normal 9 2 69" xfId="38042" xr:uid="{00000000-0005-0000-0000-00009A940000}"/>
    <cellStyle name="Normal 9 2 7" xfId="38043" xr:uid="{00000000-0005-0000-0000-00009B940000}"/>
    <cellStyle name="Normal 9 2 70" xfId="38044" xr:uid="{00000000-0005-0000-0000-00009C940000}"/>
    <cellStyle name="Normal 9 2 71" xfId="38045" xr:uid="{00000000-0005-0000-0000-00009D940000}"/>
    <cellStyle name="Normal 9 2 72" xfId="38046" xr:uid="{00000000-0005-0000-0000-00009E940000}"/>
    <cellStyle name="Normal 9 2 73" xfId="38047" xr:uid="{00000000-0005-0000-0000-00009F940000}"/>
    <cellStyle name="Normal 9 2 74" xfId="38048" xr:uid="{00000000-0005-0000-0000-0000A0940000}"/>
    <cellStyle name="Normal 9 2 75" xfId="38049" xr:uid="{00000000-0005-0000-0000-0000A1940000}"/>
    <cellStyle name="Normal 9 2 76" xfId="38050" xr:uid="{00000000-0005-0000-0000-0000A2940000}"/>
    <cellStyle name="Normal 9 2 77" xfId="38051" xr:uid="{00000000-0005-0000-0000-0000A3940000}"/>
    <cellStyle name="Normal 9 2 78" xfId="38052" xr:uid="{00000000-0005-0000-0000-0000A4940000}"/>
    <cellStyle name="Normal 9 2 79" xfId="38053" xr:uid="{00000000-0005-0000-0000-0000A5940000}"/>
    <cellStyle name="Normal 9 2 8" xfId="38054" xr:uid="{00000000-0005-0000-0000-0000A6940000}"/>
    <cellStyle name="Normal 9 2 9" xfId="38055" xr:uid="{00000000-0005-0000-0000-0000A7940000}"/>
    <cellStyle name="Normal 9 2_Enlaces" xfId="38056" xr:uid="{00000000-0005-0000-0000-0000A8940000}"/>
    <cellStyle name="Normal 9 20" xfId="38057" xr:uid="{00000000-0005-0000-0000-0000A9940000}"/>
    <cellStyle name="Normal 9 20 2" xfId="38058" xr:uid="{00000000-0005-0000-0000-0000AA940000}"/>
    <cellStyle name="Normal 9 20 2 2" xfId="38059" xr:uid="{00000000-0005-0000-0000-0000AB940000}"/>
    <cellStyle name="Normal 9 20 2 3" xfId="38060" xr:uid="{00000000-0005-0000-0000-0000AC940000}"/>
    <cellStyle name="Normal 9 20 3" xfId="38061" xr:uid="{00000000-0005-0000-0000-0000AD940000}"/>
    <cellStyle name="Normal 9 20 4" xfId="38062" xr:uid="{00000000-0005-0000-0000-0000AE940000}"/>
    <cellStyle name="Normal 9 21" xfId="38063" xr:uid="{00000000-0005-0000-0000-0000AF940000}"/>
    <cellStyle name="Normal 9 21 2" xfId="38064" xr:uid="{00000000-0005-0000-0000-0000B0940000}"/>
    <cellStyle name="Normal 9 21 2 2" xfId="38065" xr:uid="{00000000-0005-0000-0000-0000B1940000}"/>
    <cellStyle name="Normal 9 21 2 3" xfId="38066" xr:uid="{00000000-0005-0000-0000-0000B2940000}"/>
    <cellStyle name="Normal 9 21 3" xfId="38067" xr:uid="{00000000-0005-0000-0000-0000B3940000}"/>
    <cellStyle name="Normal 9 21 4" xfId="38068" xr:uid="{00000000-0005-0000-0000-0000B4940000}"/>
    <cellStyle name="Normal 9 22" xfId="38069" xr:uid="{00000000-0005-0000-0000-0000B5940000}"/>
    <cellStyle name="Normal 9 22 2" xfId="38070" xr:uid="{00000000-0005-0000-0000-0000B6940000}"/>
    <cellStyle name="Normal 9 22 2 2" xfId="38071" xr:uid="{00000000-0005-0000-0000-0000B7940000}"/>
    <cellStyle name="Normal 9 22 2 3" xfId="38072" xr:uid="{00000000-0005-0000-0000-0000B8940000}"/>
    <cellStyle name="Normal 9 22 3" xfId="38073" xr:uid="{00000000-0005-0000-0000-0000B9940000}"/>
    <cellStyle name="Normal 9 22 4" xfId="38074" xr:uid="{00000000-0005-0000-0000-0000BA940000}"/>
    <cellStyle name="Normal 9 23" xfId="38075" xr:uid="{00000000-0005-0000-0000-0000BB940000}"/>
    <cellStyle name="Normal 9 23 2" xfId="38076" xr:uid="{00000000-0005-0000-0000-0000BC940000}"/>
    <cellStyle name="Normal 9 23 2 2" xfId="38077" xr:uid="{00000000-0005-0000-0000-0000BD940000}"/>
    <cellStyle name="Normal 9 23 2 3" xfId="38078" xr:uid="{00000000-0005-0000-0000-0000BE940000}"/>
    <cellStyle name="Normal 9 23 3" xfId="38079" xr:uid="{00000000-0005-0000-0000-0000BF940000}"/>
    <cellStyle name="Normal 9 23 4" xfId="38080" xr:uid="{00000000-0005-0000-0000-0000C0940000}"/>
    <cellStyle name="Normal 9 24" xfId="38081" xr:uid="{00000000-0005-0000-0000-0000C1940000}"/>
    <cellStyle name="Normal 9 24 2" xfId="38082" xr:uid="{00000000-0005-0000-0000-0000C2940000}"/>
    <cellStyle name="Normal 9 24 2 2" xfId="38083" xr:uid="{00000000-0005-0000-0000-0000C3940000}"/>
    <cellStyle name="Normal 9 24 2 3" xfId="38084" xr:uid="{00000000-0005-0000-0000-0000C4940000}"/>
    <cellStyle name="Normal 9 24 3" xfId="38085" xr:uid="{00000000-0005-0000-0000-0000C5940000}"/>
    <cellStyle name="Normal 9 24 4" xfId="38086" xr:uid="{00000000-0005-0000-0000-0000C6940000}"/>
    <cellStyle name="Normal 9 25" xfId="38087" xr:uid="{00000000-0005-0000-0000-0000C7940000}"/>
    <cellStyle name="Normal 9 25 2" xfId="38088" xr:uid="{00000000-0005-0000-0000-0000C8940000}"/>
    <cellStyle name="Normal 9 25 2 2" xfId="38089" xr:uid="{00000000-0005-0000-0000-0000C9940000}"/>
    <cellStyle name="Normal 9 25 2 3" xfId="38090" xr:uid="{00000000-0005-0000-0000-0000CA940000}"/>
    <cellStyle name="Normal 9 25 3" xfId="38091" xr:uid="{00000000-0005-0000-0000-0000CB940000}"/>
    <cellStyle name="Normal 9 25 4" xfId="38092" xr:uid="{00000000-0005-0000-0000-0000CC940000}"/>
    <cellStyle name="Normal 9 26" xfId="38093" xr:uid="{00000000-0005-0000-0000-0000CD940000}"/>
    <cellStyle name="Normal 9 26 2" xfId="38094" xr:uid="{00000000-0005-0000-0000-0000CE940000}"/>
    <cellStyle name="Normal 9 26 2 2" xfId="38095" xr:uid="{00000000-0005-0000-0000-0000CF940000}"/>
    <cellStyle name="Normal 9 26 2 3" xfId="38096" xr:uid="{00000000-0005-0000-0000-0000D0940000}"/>
    <cellStyle name="Normal 9 26 3" xfId="38097" xr:uid="{00000000-0005-0000-0000-0000D1940000}"/>
    <cellStyle name="Normal 9 26 4" xfId="38098" xr:uid="{00000000-0005-0000-0000-0000D2940000}"/>
    <cellStyle name="Normal 9 27" xfId="38099" xr:uid="{00000000-0005-0000-0000-0000D3940000}"/>
    <cellStyle name="Normal 9 27 2" xfId="38100" xr:uid="{00000000-0005-0000-0000-0000D4940000}"/>
    <cellStyle name="Normal 9 27 2 2" xfId="38101" xr:uid="{00000000-0005-0000-0000-0000D5940000}"/>
    <cellStyle name="Normal 9 27 2 3" xfId="38102" xr:uid="{00000000-0005-0000-0000-0000D6940000}"/>
    <cellStyle name="Normal 9 27 3" xfId="38103" xr:uid="{00000000-0005-0000-0000-0000D7940000}"/>
    <cellStyle name="Normal 9 27 4" xfId="38104" xr:uid="{00000000-0005-0000-0000-0000D8940000}"/>
    <cellStyle name="Normal 9 28" xfId="38105" xr:uid="{00000000-0005-0000-0000-0000D9940000}"/>
    <cellStyle name="Normal 9 28 2" xfId="38106" xr:uid="{00000000-0005-0000-0000-0000DA940000}"/>
    <cellStyle name="Normal 9 28 2 2" xfId="38107" xr:uid="{00000000-0005-0000-0000-0000DB940000}"/>
    <cellStyle name="Normal 9 28 2 3" xfId="38108" xr:uid="{00000000-0005-0000-0000-0000DC940000}"/>
    <cellStyle name="Normal 9 28 3" xfId="38109" xr:uid="{00000000-0005-0000-0000-0000DD940000}"/>
    <cellStyle name="Normal 9 28 4" xfId="38110" xr:uid="{00000000-0005-0000-0000-0000DE940000}"/>
    <cellStyle name="Normal 9 29" xfId="38111" xr:uid="{00000000-0005-0000-0000-0000DF940000}"/>
    <cellStyle name="Normal 9 29 2" xfId="38112" xr:uid="{00000000-0005-0000-0000-0000E0940000}"/>
    <cellStyle name="Normal 9 29 2 2" xfId="38113" xr:uid="{00000000-0005-0000-0000-0000E1940000}"/>
    <cellStyle name="Normal 9 29 2 3" xfId="38114" xr:uid="{00000000-0005-0000-0000-0000E2940000}"/>
    <cellStyle name="Normal 9 29 3" xfId="38115" xr:uid="{00000000-0005-0000-0000-0000E3940000}"/>
    <cellStyle name="Normal 9 29 4" xfId="38116" xr:uid="{00000000-0005-0000-0000-0000E4940000}"/>
    <cellStyle name="Normal 9 3" xfId="38117" xr:uid="{00000000-0005-0000-0000-0000E5940000}"/>
    <cellStyle name="Normal 9 3 2" xfId="38118" xr:uid="{00000000-0005-0000-0000-0000E6940000}"/>
    <cellStyle name="Normal 9 3 2 2" xfId="38119" xr:uid="{00000000-0005-0000-0000-0000E7940000}"/>
    <cellStyle name="Normal 9 3 2 2 2" xfId="38120" xr:uid="{00000000-0005-0000-0000-0000E8940000}"/>
    <cellStyle name="Normal 9 3 2 2 3" xfId="38121" xr:uid="{00000000-0005-0000-0000-0000E9940000}"/>
    <cellStyle name="Normal 9 3 2 3" xfId="38122" xr:uid="{00000000-0005-0000-0000-0000EA940000}"/>
    <cellStyle name="Normal 9 3 2 4" xfId="38123" xr:uid="{00000000-0005-0000-0000-0000EB940000}"/>
    <cellStyle name="Normal 9 3 3" xfId="38124" xr:uid="{00000000-0005-0000-0000-0000EC940000}"/>
    <cellStyle name="Normal 9 3 3 2" xfId="38125" xr:uid="{00000000-0005-0000-0000-0000ED940000}"/>
    <cellStyle name="Normal 9 3 3 2 2" xfId="38126" xr:uid="{00000000-0005-0000-0000-0000EE940000}"/>
    <cellStyle name="Normal 9 3 3 2 3" xfId="38127" xr:uid="{00000000-0005-0000-0000-0000EF940000}"/>
    <cellStyle name="Normal 9 3 3 3" xfId="38128" xr:uid="{00000000-0005-0000-0000-0000F0940000}"/>
    <cellStyle name="Normal 9 3 3 4" xfId="38129" xr:uid="{00000000-0005-0000-0000-0000F1940000}"/>
    <cellStyle name="Normal 9 3 4" xfId="38130" xr:uid="{00000000-0005-0000-0000-0000F2940000}"/>
    <cellStyle name="Normal 9 3 4 2" xfId="38131" xr:uid="{00000000-0005-0000-0000-0000F3940000}"/>
    <cellStyle name="Normal 9 3 4 2 2" xfId="38132" xr:uid="{00000000-0005-0000-0000-0000F4940000}"/>
    <cellStyle name="Normal 9 3 4 2 2 2" xfId="38133" xr:uid="{00000000-0005-0000-0000-0000F5940000}"/>
    <cellStyle name="Normal 9 3 4 2 2 2 2" xfId="38134" xr:uid="{00000000-0005-0000-0000-0000F6940000}"/>
    <cellStyle name="Normal 9 3 4 2 2 2 3" xfId="38135" xr:uid="{00000000-0005-0000-0000-0000F7940000}"/>
    <cellStyle name="Normal 9 3 4 2 2 3" xfId="38136" xr:uid="{00000000-0005-0000-0000-0000F8940000}"/>
    <cellStyle name="Normal 9 3 4 2 2 4" xfId="38137" xr:uid="{00000000-0005-0000-0000-0000F9940000}"/>
    <cellStyle name="Normal 9 3 4 3" xfId="38138" xr:uid="{00000000-0005-0000-0000-0000FA940000}"/>
    <cellStyle name="Normal 9 3 4 3 2" xfId="38139" xr:uid="{00000000-0005-0000-0000-0000FB940000}"/>
    <cellStyle name="Normal 9 3 4 3 2 2" xfId="38140" xr:uid="{00000000-0005-0000-0000-0000FC940000}"/>
    <cellStyle name="Normal 9 3 4 3 2 3" xfId="38141" xr:uid="{00000000-0005-0000-0000-0000FD940000}"/>
    <cellStyle name="Normal 9 3 4 3 3" xfId="38142" xr:uid="{00000000-0005-0000-0000-0000FE940000}"/>
    <cellStyle name="Normal 9 3 4 3 4" xfId="38143" xr:uid="{00000000-0005-0000-0000-0000FF940000}"/>
    <cellStyle name="Normal 9 3 4 4" xfId="38144" xr:uid="{00000000-0005-0000-0000-000000950000}"/>
    <cellStyle name="Normal 9 3 4 4 2" xfId="38145" xr:uid="{00000000-0005-0000-0000-000001950000}"/>
    <cellStyle name="Normal 9 3 4 4 3" xfId="38146" xr:uid="{00000000-0005-0000-0000-000002950000}"/>
    <cellStyle name="Normal 9 3 4 5" xfId="38147" xr:uid="{00000000-0005-0000-0000-000003950000}"/>
    <cellStyle name="Normal 9 3 5" xfId="38148" xr:uid="{00000000-0005-0000-0000-000004950000}"/>
    <cellStyle name="Normal 9 3 5 2" xfId="38149" xr:uid="{00000000-0005-0000-0000-000005950000}"/>
    <cellStyle name="Normal 9 3 5 2 2" xfId="38150" xr:uid="{00000000-0005-0000-0000-000006950000}"/>
    <cellStyle name="Normal 9 3 5 2 3" xfId="38151" xr:uid="{00000000-0005-0000-0000-000007950000}"/>
    <cellStyle name="Normal 9 3 5 3" xfId="38152" xr:uid="{00000000-0005-0000-0000-000008950000}"/>
    <cellStyle name="Normal 9 3 5 4" xfId="38153" xr:uid="{00000000-0005-0000-0000-000009950000}"/>
    <cellStyle name="Normal 9 3 6" xfId="38154" xr:uid="{00000000-0005-0000-0000-00000A950000}"/>
    <cellStyle name="Normal 9 3 6 2" xfId="38155" xr:uid="{00000000-0005-0000-0000-00000B950000}"/>
    <cellStyle name="Normal 9 3 6 2 2" xfId="38156" xr:uid="{00000000-0005-0000-0000-00000C950000}"/>
    <cellStyle name="Normal 9 3 6 2 3" xfId="38157" xr:uid="{00000000-0005-0000-0000-00000D950000}"/>
    <cellStyle name="Normal 9 3 6 3" xfId="38158" xr:uid="{00000000-0005-0000-0000-00000E950000}"/>
    <cellStyle name="Normal 9 3 6 4" xfId="38159" xr:uid="{00000000-0005-0000-0000-00000F950000}"/>
    <cellStyle name="Normal 9 3 7" xfId="38160" xr:uid="{00000000-0005-0000-0000-000010950000}"/>
    <cellStyle name="Normal 9 3 7 2" xfId="38161" xr:uid="{00000000-0005-0000-0000-000011950000}"/>
    <cellStyle name="Normal 9 3 7 3" xfId="38162" xr:uid="{00000000-0005-0000-0000-000012950000}"/>
    <cellStyle name="Normal 9 3 7 3 2" xfId="38163" xr:uid="{00000000-0005-0000-0000-000013950000}"/>
    <cellStyle name="Normal 9 3 7 3 3" xfId="38164" xr:uid="{00000000-0005-0000-0000-000014950000}"/>
    <cellStyle name="Normal 9 3 7 4" xfId="38165" xr:uid="{00000000-0005-0000-0000-000015950000}"/>
    <cellStyle name="Normal 9 3 8" xfId="38166" xr:uid="{00000000-0005-0000-0000-000016950000}"/>
    <cellStyle name="Normal 9 3 9" xfId="38167" xr:uid="{00000000-0005-0000-0000-000017950000}"/>
    <cellStyle name="Normal 9 3 9 2" xfId="38168" xr:uid="{00000000-0005-0000-0000-000018950000}"/>
    <cellStyle name="Normal 9 3 9 2 2" xfId="38169" xr:uid="{00000000-0005-0000-0000-000019950000}"/>
    <cellStyle name="Normal 9 3 9 2 3" xfId="38170" xr:uid="{00000000-0005-0000-0000-00001A950000}"/>
    <cellStyle name="Normal 9 3 9 3" xfId="38171" xr:uid="{00000000-0005-0000-0000-00001B950000}"/>
    <cellStyle name="Normal 9 3 9 4" xfId="38172" xr:uid="{00000000-0005-0000-0000-00001C950000}"/>
    <cellStyle name="Normal 9 3_Implem" xfId="38173" xr:uid="{00000000-0005-0000-0000-00001D950000}"/>
    <cellStyle name="Normal 9 4" xfId="38174" xr:uid="{00000000-0005-0000-0000-00001E950000}"/>
    <cellStyle name="Normal 9 4 2" xfId="38175" xr:uid="{00000000-0005-0000-0000-00001F950000}"/>
    <cellStyle name="Normal 9 4 2 2" xfId="38176" xr:uid="{00000000-0005-0000-0000-000020950000}"/>
    <cellStyle name="Normal 9 4 2 3" xfId="38177" xr:uid="{00000000-0005-0000-0000-000021950000}"/>
    <cellStyle name="Normal 9 4 3" xfId="38178" xr:uid="{00000000-0005-0000-0000-000022950000}"/>
    <cellStyle name="Normal 9 4 4" xfId="38179" xr:uid="{00000000-0005-0000-0000-000023950000}"/>
    <cellStyle name="Normal 9 5" xfId="38180" xr:uid="{00000000-0005-0000-0000-000024950000}"/>
    <cellStyle name="Normal 9 5 2" xfId="38181" xr:uid="{00000000-0005-0000-0000-000025950000}"/>
    <cellStyle name="Normal 9 5 2 2" xfId="38182" xr:uid="{00000000-0005-0000-0000-000026950000}"/>
    <cellStyle name="Normal 9 5 2 3" xfId="38183" xr:uid="{00000000-0005-0000-0000-000027950000}"/>
    <cellStyle name="Normal 9 5 3" xfId="38184" xr:uid="{00000000-0005-0000-0000-000028950000}"/>
    <cellStyle name="Normal 9 5 4" xfId="38185" xr:uid="{00000000-0005-0000-0000-000029950000}"/>
    <cellStyle name="Normal 9 6" xfId="38186" xr:uid="{00000000-0005-0000-0000-00002A950000}"/>
    <cellStyle name="Normal 9 6 2" xfId="38187" xr:uid="{00000000-0005-0000-0000-00002B950000}"/>
    <cellStyle name="Normal 9 6 2 2" xfId="38188" xr:uid="{00000000-0005-0000-0000-00002C950000}"/>
    <cellStyle name="Normal 9 6 2 3" xfId="38189" xr:uid="{00000000-0005-0000-0000-00002D950000}"/>
    <cellStyle name="Normal 9 6 3" xfId="38190" xr:uid="{00000000-0005-0000-0000-00002E950000}"/>
    <cellStyle name="Normal 9 6 4" xfId="38191" xr:uid="{00000000-0005-0000-0000-00002F950000}"/>
    <cellStyle name="Normal 9 7" xfId="38192" xr:uid="{00000000-0005-0000-0000-000030950000}"/>
    <cellStyle name="Normal 9 7 2" xfId="38193" xr:uid="{00000000-0005-0000-0000-000031950000}"/>
    <cellStyle name="Normal 9 7 2 2" xfId="38194" xr:uid="{00000000-0005-0000-0000-000032950000}"/>
    <cellStyle name="Normal 9 7 2 3" xfId="38195" xr:uid="{00000000-0005-0000-0000-000033950000}"/>
    <cellStyle name="Normal 9 7 3" xfId="38196" xr:uid="{00000000-0005-0000-0000-000034950000}"/>
    <cellStyle name="Normal 9 7 4" xfId="38197" xr:uid="{00000000-0005-0000-0000-000035950000}"/>
    <cellStyle name="Normal 9 8" xfId="38198" xr:uid="{00000000-0005-0000-0000-000036950000}"/>
    <cellStyle name="Normal 9 8 2" xfId="38199" xr:uid="{00000000-0005-0000-0000-000037950000}"/>
    <cellStyle name="Normal 9 8 2 2" xfId="38200" xr:uid="{00000000-0005-0000-0000-000038950000}"/>
    <cellStyle name="Normal 9 8 2 3" xfId="38201" xr:uid="{00000000-0005-0000-0000-000039950000}"/>
    <cellStyle name="Normal 9 8 3" xfId="38202" xr:uid="{00000000-0005-0000-0000-00003A950000}"/>
    <cellStyle name="Normal 9 8 4" xfId="38203" xr:uid="{00000000-0005-0000-0000-00003B950000}"/>
    <cellStyle name="Normal 9 9" xfId="38204" xr:uid="{00000000-0005-0000-0000-00003C950000}"/>
    <cellStyle name="Normal 9 9 2" xfId="38205" xr:uid="{00000000-0005-0000-0000-00003D950000}"/>
    <cellStyle name="Normal 9 9 2 2" xfId="38206" xr:uid="{00000000-0005-0000-0000-00003E950000}"/>
    <cellStyle name="Normal 9 9 2 3" xfId="38207" xr:uid="{00000000-0005-0000-0000-00003F950000}"/>
    <cellStyle name="Normal 9 9 3" xfId="38208" xr:uid="{00000000-0005-0000-0000-000040950000}"/>
    <cellStyle name="Normal 9 9 4" xfId="38209" xr:uid="{00000000-0005-0000-0000-000041950000}"/>
    <cellStyle name="Normal 90" xfId="38210" xr:uid="{00000000-0005-0000-0000-000042950000}"/>
    <cellStyle name="Normal 90 2" xfId="38211" xr:uid="{00000000-0005-0000-0000-000043950000}"/>
    <cellStyle name="Normal 90 2 2" xfId="38212" xr:uid="{00000000-0005-0000-0000-000044950000}"/>
    <cellStyle name="Normal 90 2 2 2" xfId="38213" xr:uid="{00000000-0005-0000-0000-000045950000}"/>
    <cellStyle name="Normal 90 2 2 3" xfId="38214" xr:uid="{00000000-0005-0000-0000-000046950000}"/>
    <cellStyle name="Normal 90 2 3" xfId="38215" xr:uid="{00000000-0005-0000-0000-000047950000}"/>
    <cellStyle name="Normal 90 2 4" xfId="38216" xr:uid="{00000000-0005-0000-0000-000048950000}"/>
    <cellStyle name="Normal 90 3" xfId="38217" xr:uid="{00000000-0005-0000-0000-000049950000}"/>
    <cellStyle name="Normal 90 3 2" xfId="38218" xr:uid="{00000000-0005-0000-0000-00004A950000}"/>
    <cellStyle name="Normal 90 3 3" xfId="38219" xr:uid="{00000000-0005-0000-0000-00004B950000}"/>
    <cellStyle name="Normal 90 4" xfId="38220" xr:uid="{00000000-0005-0000-0000-00004C950000}"/>
    <cellStyle name="Normal 90 5" xfId="38221" xr:uid="{00000000-0005-0000-0000-00004D950000}"/>
    <cellStyle name="Normal 91" xfId="38222" xr:uid="{00000000-0005-0000-0000-00004E950000}"/>
    <cellStyle name="Normal 91 2" xfId="38223" xr:uid="{00000000-0005-0000-0000-00004F950000}"/>
    <cellStyle name="Normal 91 2 2" xfId="38224" xr:uid="{00000000-0005-0000-0000-000050950000}"/>
    <cellStyle name="Normal 91 2 2 2" xfId="38225" xr:uid="{00000000-0005-0000-0000-000051950000}"/>
    <cellStyle name="Normal 91 2 2 3" xfId="38226" xr:uid="{00000000-0005-0000-0000-000052950000}"/>
    <cellStyle name="Normal 91 2 3" xfId="38227" xr:uid="{00000000-0005-0000-0000-000053950000}"/>
    <cellStyle name="Normal 91 2 4" xfId="38228" xr:uid="{00000000-0005-0000-0000-000054950000}"/>
    <cellStyle name="Normal 91 3" xfId="38229" xr:uid="{00000000-0005-0000-0000-000055950000}"/>
    <cellStyle name="Normal 91 3 2" xfId="38230" xr:uid="{00000000-0005-0000-0000-000056950000}"/>
    <cellStyle name="Normal 91 3 3" xfId="38231" xr:uid="{00000000-0005-0000-0000-000057950000}"/>
    <cellStyle name="Normal 91 4" xfId="38232" xr:uid="{00000000-0005-0000-0000-000058950000}"/>
    <cellStyle name="Normal 91 5" xfId="38233" xr:uid="{00000000-0005-0000-0000-000059950000}"/>
    <cellStyle name="Normal 92" xfId="38234" xr:uid="{00000000-0005-0000-0000-00005A950000}"/>
    <cellStyle name="Normal 92 2" xfId="38235" xr:uid="{00000000-0005-0000-0000-00005B950000}"/>
    <cellStyle name="Normal 92 2 2" xfId="38236" xr:uid="{00000000-0005-0000-0000-00005C950000}"/>
    <cellStyle name="Normal 92 2 2 2" xfId="38237" xr:uid="{00000000-0005-0000-0000-00005D950000}"/>
    <cellStyle name="Normal 92 2 2 3" xfId="38238" xr:uid="{00000000-0005-0000-0000-00005E950000}"/>
    <cellStyle name="Normal 92 2 3" xfId="38239" xr:uid="{00000000-0005-0000-0000-00005F950000}"/>
    <cellStyle name="Normal 92 2 4" xfId="38240" xr:uid="{00000000-0005-0000-0000-000060950000}"/>
    <cellStyle name="Normal 92 3" xfId="38241" xr:uid="{00000000-0005-0000-0000-000061950000}"/>
    <cellStyle name="Normal 92 3 2" xfId="38242" xr:uid="{00000000-0005-0000-0000-000062950000}"/>
    <cellStyle name="Normal 92 3 3" xfId="38243" xr:uid="{00000000-0005-0000-0000-000063950000}"/>
    <cellStyle name="Normal 92 4" xfId="38244" xr:uid="{00000000-0005-0000-0000-000064950000}"/>
    <cellStyle name="Normal 92 5" xfId="38245" xr:uid="{00000000-0005-0000-0000-000065950000}"/>
    <cellStyle name="Normal 92 6" xfId="38246" xr:uid="{00000000-0005-0000-0000-000066950000}"/>
    <cellStyle name="Normal 93" xfId="38247" xr:uid="{00000000-0005-0000-0000-000067950000}"/>
    <cellStyle name="Normal 93 2" xfId="38248" xr:uid="{00000000-0005-0000-0000-000068950000}"/>
    <cellStyle name="Normal 93 2 2" xfId="38249" xr:uid="{00000000-0005-0000-0000-000069950000}"/>
    <cellStyle name="Normal 93 2 2 2" xfId="38250" xr:uid="{00000000-0005-0000-0000-00006A950000}"/>
    <cellStyle name="Normal 93 2 2 3" xfId="38251" xr:uid="{00000000-0005-0000-0000-00006B950000}"/>
    <cellStyle name="Normal 93 2 3" xfId="38252" xr:uid="{00000000-0005-0000-0000-00006C950000}"/>
    <cellStyle name="Normal 93 2 4" xfId="38253" xr:uid="{00000000-0005-0000-0000-00006D950000}"/>
    <cellStyle name="Normal 93 3" xfId="38254" xr:uid="{00000000-0005-0000-0000-00006E950000}"/>
    <cellStyle name="Normal 93 3 2" xfId="38255" xr:uid="{00000000-0005-0000-0000-00006F950000}"/>
    <cellStyle name="Normal 93 3 3" xfId="38256" xr:uid="{00000000-0005-0000-0000-000070950000}"/>
    <cellStyle name="Normal 93 4" xfId="38257" xr:uid="{00000000-0005-0000-0000-000071950000}"/>
    <cellStyle name="Normal 93 5" xfId="38258" xr:uid="{00000000-0005-0000-0000-000072950000}"/>
    <cellStyle name="Normal 93 6" xfId="38259" xr:uid="{00000000-0005-0000-0000-000073950000}"/>
    <cellStyle name="Normal 94" xfId="38260" xr:uid="{00000000-0005-0000-0000-000074950000}"/>
    <cellStyle name="Normal 94 2" xfId="38261" xr:uid="{00000000-0005-0000-0000-000075950000}"/>
    <cellStyle name="Normal 94 2 2" xfId="38262" xr:uid="{00000000-0005-0000-0000-000076950000}"/>
    <cellStyle name="Normal 94 2 2 2" xfId="38263" xr:uid="{00000000-0005-0000-0000-000077950000}"/>
    <cellStyle name="Normal 94 2 2 3" xfId="38264" xr:uid="{00000000-0005-0000-0000-000078950000}"/>
    <cellStyle name="Normal 94 2 3" xfId="38265" xr:uid="{00000000-0005-0000-0000-000079950000}"/>
    <cellStyle name="Normal 94 2 4" xfId="38266" xr:uid="{00000000-0005-0000-0000-00007A950000}"/>
    <cellStyle name="Normal 94 3" xfId="38267" xr:uid="{00000000-0005-0000-0000-00007B950000}"/>
    <cellStyle name="Normal 94 3 2" xfId="38268" xr:uid="{00000000-0005-0000-0000-00007C950000}"/>
    <cellStyle name="Normal 94 3 3" xfId="38269" xr:uid="{00000000-0005-0000-0000-00007D950000}"/>
    <cellStyle name="Normal 94 4" xfId="38270" xr:uid="{00000000-0005-0000-0000-00007E950000}"/>
    <cellStyle name="Normal 94 5" xfId="38271" xr:uid="{00000000-0005-0000-0000-00007F950000}"/>
    <cellStyle name="Normal 94 6" xfId="38272" xr:uid="{00000000-0005-0000-0000-000080950000}"/>
    <cellStyle name="Normal 95" xfId="38273" xr:uid="{00000000-0005-0000-0000-000081950000}"/>
    <cellStyle name="Normal 95 2" xfId="38274" xr:uid="{00000000-0005-0000-0000-000082950000}"/>
    <cellStyle name="Normal 95 2 2" xfId="38275" xr:uid="{00000000-0005-0000-0000-000083950000}"/>
    <cellStyle name="Normal 95 2 2 2" xfId="38276" xr:uid="{00000000-0005-0000-0000-000084950000}"/>
    <cellStyle name="Normal 95 2 2 3" xfId="38277" xr:uid="{00000000-0005-0000-0000-000085950000}"/>
    <cellStyle name="Normal 95 2 3" xfId="38278" xr:uid="{00000000-0005-0000-0000-000086950000}"/>
    <cellStyle name="Normal 95 2 4" xfId="38279" xr:uid="{00000000-0005-0000-0000-000087950000}"/>
    <cellStyle name="Normal 95 3" xfId="38280" xr:uid="{00000000-0005-0000-0000-000088950000}"/>
    <cellStyle name="Normal 95 3 2" xfId="38281" xr:uid="{00000000-0005-0000-0000-000089950000}"/>
    <cellStyle name="Normal 95 3 3" xfId="38282" xr:uid="{00000000-0005-0000-0000-00008A950000}"/>
    <cellStyle name="Normal 95 4" xfId="38283" xr:uid="{00000000-0005-0000-0000-00008B950000}"/>
    <cellStyle name="Normal 95 5" xfId="38284" xr:uid="{00000000-0005-0000-0000-00008C950000}"/>
    <cellStyle name="Normal 96" xfId="38285" xr:uid="{00000000-0005-0000-0000-00008D950000}"/>
    <cellStyle name="Normal 96 2" xfId="38286" xr:uid="{00000000-0005-0000-0000-00008E950000}"/>
    <cellStyle name="Normal 96 2 2" xfId="38287" xr:uid="{00000000-0005-0000-0000-00008F950000}"/>
    <cellStyle name="Normal 96 2 2 2" xfId="38288" xr:uid="{00000000-0005-0000-0000-000090950000}"/>
    <cellStyle name="Normal 96 2 2 3" xfId="38289" xr:uid="{00000000-0005-0000-0000-000091950000}"/>
    <cellStyle name="Normal 96 2 3" xfId="38290" xr:uid="{00000000-0005-0000-0000-000092950000}"/>
    <cellStyle name="Normal 96 2 4" xfId="38291" xr:uid="{00000000-0005-0000-0000-000093950000}"/>
    <cellStyle name="Normal 96 3" xfId="38292" xr:uid="{00000000-0005-0000-0000-000094950000}"/>
    <cellStyle name="Normal 96 3 2" xfId="38293" xr:uid="{00000000-0005-0000-0000-000095950000}"/>
    <cellStyle name="Normal 96 3 3" xfId="38294" xr:uid="{00000000-0005-0000-0000-000096950000}"/>
    <cellStyle name="Normal 96 4" xfId="38295" xr:uid="{00000000-0005-0000-0000-000097950000}"/>
    <cellStyle name="Normal 96 5" xfId="38296" xr:uid="{00000000-0005-0000-0000-000098950000}"/>
    <cellStyle name="Normal 96 6" xfId="38297" xr:uid="{00000000-0005-0000-0000-000099950000}"/>
    <cellStyle name="Normal 97" xfId="38298" xr:uid="{00000000-0005-0000-0000-00009A950000}"/>
    <cellStyle name="Normal 97 2" xfId="38299" xr:uid="{00000000-0005-0000-0000-00009B950000}"/>
    <cellStyle name="Normal 97 2 2" xfId="38300" xr:uid="{00000000-0005-0000-0000-00009C950000}"/>
    <cellStyle name="Normal 97 2 2 2" xfId="38301" xr:uid="{00000000-0005-0000-0000-00009D950000}"/>
    <cellStyle name="Normal 97 2 2 3" xfId="38302" xr:uid="{00000000-0005-0000-0000-00009E950000}"/>
    <cellStyle name="Normal 97 2 3" xfId="38303" xr:uid="{00000000-0005-0000-0000-00009F950000}"/>
    <cellStyle name="Normal 97 2 4" xfId="38304" xr:uid="{00000000-0005-0000-0000-0000A0950000}"/>
    <cellStyle name="Normal 97 3" xfId="38305" xr:uid="{00000000-0005-0000-0000-0000A1950000}"/>
    <cellStyle name="Normal 97 3 2" xfId="38306" xr:uid="{00000000-0005-0000-0000-0000A2950000}"/>
    <cellStyle name="Normal 97 3 3" xfId="38307" xr:uid="{00000000-0005-0000-0000-0000A3950000}"/>
    <cellStyle name="Normal 97 4" xfId="38308" xr:uid="{00000000-0005-0000-0000-0000A4950000}"/>
    <cellStyle name="Normal 97 5" xfId="38309" xr:uid="{00000000-0005-0000-0000-0000A5950000}"/>
    <cellStyle name="Normal 98" xfId="38310" xr:uid="{00000000-0005-0000-0000-0000A6950000}"/>
    <cellStyle name="Normal 98 2" xfId="38311" xr:uid="{00000000-0005-0000-0000-0000A7950000}"/>
    <cellStyle name="Normal 98 2 2" xfId="38312" xr:uid="{00000000-0005-0000-0000-0000A8950000}"/>
    <cellStyle name="Normal 98 2 2 2" xfId="38313" xr:uid="{00000000-0005-0000-0000-0000A9950000}"/>
    <cellStyle name="Normal 98 2 2 3" xfId="38314" xr:uid="{00000000-0005-0000-0000-0000AA950000}"/>
    <cellStyle name="Normal 98 2 3" xfId="38315" xr:uid="{00000000-0005-0000-0000-0000AB950000}"/>
    <cellStyle name="Normal 98 2 4" xfId="38316" xr:uid="{00000000-0005-0000-0000-0000AC950000}"/>
    <cellStyle name="Normal 98 3" xfId="38317" xr:uid="{00000000-0005-0000-0000-0000AD950000}"/>
    <cellStyle name="Normal 98 3 2" xfId="38318" xr:uid="{00000000-0005-0000-0000-0000AE950000}"/>
    <cellStyle name="Normal 98 3 3" xfId="38319" xr:uid="{00000000-0005-0000-0000-0000AF950000}"/>
    <cellStyle name="Normal 98 4" xfId="38320" xr:uid="{00000000-0005-0000-0000-0000B0950000}"/>
    <cellStyle name="Normal 98 5" xfId="38321" xr:uid="{00000000-0005-0000-0000-0000B1950000}"/>
    <cellStyle name="Normal 99" xfId="38322" xr:uid="{00000000-0005-0000-0000-0000B2950000}"/>
    <cellStyle name="Normal 99 2" xfId="38323" xr:uid="{00000000-0005-0000-0000-0000B3950000}"/>
    <cellStyle name="Normal 99 2 2" xfId="38324" xr:uid="{00000000-0005-0000-0000-0000B4950000}"/>
    <cellStyle name="Normal 99 2 2 2" xfId="38325" xr:uid="{00000000-0005-0000-0000-0000B5950000}"/>
    <cellStyle name="Normal 99 2 2 3" xfId="38326" xr:uid="{00000000-0005-0000-0000-0000B6950000}"/>
    <cellStyle name="Normal 99 2 3" xfId="38327" xr:uid="{00000000-0005-0000-0000-0000B7950000}"/>
    <cellStyle name="Normal 99 2 4" xfId="38328" xr:uid="{00000000-0005-0000-0000-0000B8950000}"/>
    <cellStyle name="Normal 99 3" xfId="38329" xr:uid="{00000000-0005-0000-0000-0000B9950000}"/>
    <cellStyle name="Normal 99 3 2" xfId="38330" xr:uid="{00000000-0005-0000-0000-0000BA950000}"/>
    <cellStyle name="Normal 99 3 3" xfId="38331" xr:uid="{00000000-0005-0000-0000-0000BB950000}"/>
    <cellStyle name="Normal 99 4" xfId="38332" xr:uid="{00000000-0005-0000-0000-0000BC950000}"/>
    <cellStyle name="Normal 99 5" xfId="38333" xr:uid="{00000000-0005-0000-0000-0000BD950000}"/>
    <cellStyle name="Normal 99 6" xfId="38334" xr:uid="{00000000-0005-0000-0000-0000BE950000}"/>
    <cellStyle name="Notas 10" xfId="38335" xr:uid="{00000000-0005-0000-0000-0000BF950000}"/>
    <cellStyle name="Notas 2" xfId="38336" xr:uid="{00000000-0005-0000-0000-0000C0950000}"/>
    <cellStyle name="Notas 2 2" xfId="38337" xr:uid="{00000000-0005-0000-0000-0000C1950000}"/>
    <cellStyle name="Notas 2 2 2" xfId="38338" xr:uid="{00000000-0005-0000-0000-0000C2950000}"/>
    <cellStyle name="Notas 2 2 2 2" xfId="38339" xr:uid="{00000000-0005-0000-0000-0000C3950000}"/>
    <cellStyle name="Notas 2 2 2 2 2" xfId="38340" xr:uid="{00000000-0005-0000-0000-0000C4950000}"/>
    <cellStyle name="Notas 2 2 2 2 2 2" xfId="38341" xr:uid="{00000000-0005-0000-0000-0000C5950000}"/>
    <cellStyle name="Notas 2 2 2 2 2 2 2" xfId="38342" xr:uid="{00000000-0005-0000-0000-0000C6950000}"/>
    <cellStyle name="Notas 2 2 2 2 2 2 3" xfId="38343" xr:uid="{00000000-0005-0000-0000-0000C7950000}"/>
    <cellStyle name="Notas 2 2 2 2 2 3" xfId="38344" xr:uid="{00000000-0005-0000-0000-0000C8950000}"/>
    <cellStyle name="Notas 2 2 2 2 2 4" xfId="38345" xr:uid="{00000000-0005-0000-0000-0000C9950000}"/>
    <cellStyle name="Notas 2 2 2 2 3" xfId="38346" xr:uid="{00000000-0005-0000-0000-0000CA950000}"/>
    <cellStyle name="Notas 2 2 2 2 3 2" xfId="38347" xr:uid="{00000000-0005-0000-0000-0000CB950000}"/>
    <cellStyle name="Notas 2 2 2 2 3 3" xfId="38348" xr:uid="{00000000-0005-0000-0000-0000CC950000}"/>
    <cellStyle name="Notas 2 2 2 2 4" xfId="38349" xr:uid="{00000000-0005-0000-0000-0000CD950000}"/>
    <cellStyle name="Notas 2 2 2 2 5" xfId="38350" xr:uid="{00000000-0005-0000-0000-0000CE950000}"/>
    <cellStyle name="Notas 2 2 2 3" xfId="38351" xr:uid="{00000000-0005-0000-0000-0000CF950000}"/>
    <cellStyle name="Notas 2 2 2 3 2" xfId="38352" xr:uid="{00000000-0005-0000-0000-0000D0950000}"/>
    <cellStyle name="Notas 2 2 2 3 3" xfId="38353" xr:uid="{00000000-0005-0000-0000-0000D1950000}"/>
    <cellStyle name="Notas 2 2 2 4" xfId="38354" xr:uid="{00000000-0005-0000-0000-0000D2950000}"/>
    <cellStyle name="Notas 2 2 2 5" xfId="38355" xr:uid="{00000000-0005-0000-0000-0000D3950000}"/>
    <cellStyle name="Notas 2 2 3" xfId="38356" xr:uid="{00000000-0005-0000-0000-0000D4950000}"/>
    <cellStyle name="Notas 2 2 3 2" xfId="38357" xr:uid="{00000000-0005-0000-0000-0000D5950000}"/>
    <cellStyle name="Notas 2 2 3 2 2" xfId="38358" xr:uid="{00000000-0005-0000-0000-0000D6950000}"/>
    <cellStyle name="Notas 2 2 3 2 3" xfId="38359" xr:uid="{00000000-0005-0000-0000-0000D7950000}"/>
    <cellStyle name="Notas 2 2 3 3" xfId="38360" xr:uid="{00000000-0005-0000-0000-0000D8950000}"/>
    <cellStyle name="Notas 2 2 3 4" xfId="38361" xr:uid="{00000000-0005-0000-0000-0000D9950000}"/>
    <cellStyle name="Notas 2 2 4" xfId="38362" xr:uid="{00000000-0005-0000-0000-0000DA950000}"/>
    <cellStyle name="Notas 2 2 4 2" xfId="38363" xr:uid="{00000000-0005-0000-0000-0000DB950000}"/>
    <cellStyle name="Notas 2 2 4 2 2" xfId="38364" xr:uid="{00000000-0005-0000-0000-0000DC950000}"/>
    <cellStyle name="Notas 2 2 4 2 3" xfId="38365" xr:uid="{00000000-0005-0000-0000-0000DD950000}"/>
    <cellStyle name="Notas 2 2 4 3" xfId="38366" xr:uid="{00000000-0005-0000-0000-0000DE950000}"/>
    <cellStyle name="Notas 2 2 4 4" xfId="38367" xr:uid="{00000000-0005-0000-0000-0000DF950000}"/>
    <cellStyle name="Notas 2 2 5" xfId="38368" xr:uid="{00000000-0005-0000-0000-0000E0950000}"/>
    <cellStyle name="Notas 2 2 5 2" xfId="38369" xr:uid="{00000000-0005-0000-0000-0000E1950000}"/>
    <cellStyle name="Notas 2 2 5 3" xfId="38370" xr:uid="{00000000-0005-0000-0000-0000E2950000}"/>
    <cellStyle name="Notas 2 2 6" xfId="38371" xr:uid="{00000000-0005-0000-0000-0000E3950000}"/>
    <cellStyle name="Notas 2 2 7" xfId="38372" xr:uid="{00000000-0005-0000-0000-0000E4950000}"/>
    <cellStyle name="Notas 2 3" xfId="38373" xr:uid="{00000000-0005-0000-0000-0000E5950000}"/>
    <cellStyle name="Notas 2 3 2" xfId="38374" xr:uid="{00000000-0005-0000-0000-0000E6950000}"/>
    <cellStyle name="Notas 2 3 2 2" xfId="38375" xr:uid="{00000000-0005-0000-0000-0000E7950000}"/>
    <cellStyle name="Notas 2 3 2 3" xfId="38376" xr:uid="{00000000-0005-0000-0000-0000E8950000}"/>
    <cellStyle name="Notas 2 3 3" xfId="38377" xr:uid="{00000000-0005-0000-0000-0000E9950000}"/>
    <cellStyle name="Notas 2 3 4" xfId="38378" xr:uid="{00000000-0005-0000-0000-0000EA950000}"/>
    <cellStyle name="Notas 2 4" xfId="38379" xr:uid="{00000000-0005-0000-0000-0000EB950000}"/>
    <cellStyle name="Notas 2 4 2" xfId="38380" xr:uid="{00000000-0005-0000-0000-0000EC950000}"/>
    <cellStyle name="Notas 2 4 2 2" xfId="38381" xr:uid="{00000000-0005-0000-0000-0000ED950000}"/>
    <cellStyle name="Notas 2 4 2 3" xfId="38382" xr:uid="{00000000-0005-0000-0000-0000EE950000}"/>
    <cellStyle name="Notas 2 4 3" xfId="38383" xr:uid="{00000000-0005-0000-0000-0000EF950000}"/>
    <cellStyle name="Notas 2 4 4" xfId="38384" xr:uid="{00000000-0005-0000-0000-0000F0950000}"/>
    <cellStyle name="Notas 2 5" xfId="38385" xr:uid="{00000000-0005-0000-0000-0000F1950000}"/>
    <cellStyle name="Notas 2 5 2" xfId="38386" xr:uid="{00000000-0005-0000-0000-0000F2950000}"/>
    <cellStyle name="Notas 2 5 2 2" xfId="38387" xr:uid="{00000000-0005-0000-0000-0000F3950000}"/>
    <cellStyle name="Notas 2 5 2 3" xfId="38388" xr:uid="{00000000-0005-0000-0000-0000F4950000}"/>
    <cellStyle name="Notas 2 5 3" xfId="38389" xr:uid="{00000000-0005-0000-0000-0000F5950000}"/>
    <cellStyle name="Notas 2 5 4" xfId="38390" xr:uid="{00000000-0005-0000-0000-0000F6950000}"/>
    <cellStyle name="Notas 2 6" xfId="38391" xr:uid="{00000000-0005-0000-0000-0000F7950000}"/>
    <cellStyle name="Notas 2 6 2" xfId="38392" xr:uid="{00000000-0005-0000-0000-0000F8950000}"/>
    <cellStyle name="Notas 2 6 3" xfId="38393" xr:uid="{00000000-0005-0000-0000-0000F9950000}"/>
    <cellStyle name="Notas 2 7" xfId="38394" xr:uid="{00000000-0005-0000-0000-0000FA950000}"/>
    <cellStyle name="Notas 2 8" xfId="38395" xr:uid="{00000000-0005-0000-0000-0000FB950000}"/>
    <cellStyle name="Notas 3" xfId="38396" xr:uid="{00000000-0005-0000-0000-0000FC950000}"/>
    <cellStyle name="Notas 3 2" xfId="38397" xr:uid="{00000000-0005-0000-0000-0000FD950000}"/>
    <cellStyle name="Notas 3 2 2" xfId="38398" xr:uid="{00000000-0005-0000-0000-0000FE950000}"/>
    <cellStyle name="Notas 3 2 2 2" xfId="38399" xr:uid="{00000000-0005-0000-0000-0000FF950000}"/>
    <cellStyle name="Notas 3 2 2 3" xfId="38400" xr:uid="{00000000-0005-0000-0000-000000960000}"/>
    <cellStyle name="Notas 3 2 3" xfId="38401" xr:uid="{00000000-0005-0000-0000-000001960000}"/>
    <cellStyle name="Notas 3 2 4" xfId="38402" xr:uid="{00000000-0005-0000-0000-000002960000}"/>
    <cellStyle name="Notas 3 2 5" xfId="38403" xr:uid="{00000000-0005-0000-0000-000003960000}"/>
    <cellStyle name="Notas 3 3" xfId="38404" xr:uid="{00000000-0005-0000-0000-000004960000}"/>
    <cellStyle name="Notas 3 3 2" xfId="38405" xr:uid="{00000000-0005-0000-0000-000005960000}"/>
    <cellStyle name="Notas 3 3 3" xfId="38406" xr:uid="{00000000-0005-0000-0000-000006960000}"/>
    <cellStyle name="Notas 3 4" xfId="38407" xr:uid="{00000000-0005-0000-0000-000007960000}"/>
    <cellStyle name="Notas 3 5" xfId="38408" xr:uid="{00000000-0005-0000-0000-000008960000}"/>
    <cellStyle name="Notas 4" xfId="38409" xr:uid="{00000000-0005-0000-0000-000009960000}"/>
    <cellStyle name="Notas 4 2" xfId="38410" xr:uid="{00000000-0005-0000-0000-00000A960000}"/>
    <cellStyle name="Notas 4 2 2" xfId="38411" xr:uid="{00000000-0005-0000-0000-00000B960000}"/>
    <cellStyle name="Notas 4 2 3" xfId="38412" xr:uid="{00000000-0005-0000-0000-00000C960000}"/>
    <cellStyle name="Notas 4 3" xfId="38413" xr:uid="{00000000-0005-0000-0000-00000D960000}"/>
    <cellStyle name="Notas 4 4" xfId="38414" xr:uid="{00000000-0005-0000-0000-00000E960000}"/>
    <cellStyle name="Notas 5" xfId="38415" xr:uid="{00000000-0005-0000-0000-00000F960000}"/>
    <cellStyle name="Notas 5 2" xfId="38416" xr:uid="{00000000-0005-0000-0000-000010960000}"/>
    <cellStyle name="Notas 5 2 2" xfId="38417" xr:uid="{00000000-0005-0000-0000-000011960000}"/>
    <cellStyle name="Notas 5 2 3" xfId="38418" xr:uid="{00000000-0005-0000-0000-000012960000}"/>
    <cellStyle name="Notas 5 3" xfId="38419" xr:uid="{00000000-0005-0000-0000-000013960000}"/>
    <cellStyle name="Notas 5 4" xfId="38420" xr:uid="{00000000-0005-0000-0000-000014960000}"/>
    <cellStyle name="Notas 6" xfId="38421" xr:uid="{00000000-0005-0000-0000-000015960000}"/>
    <cellStyle name="Notas 6 2" xfId="38422" xr:uid="{00000000-0005-0000-0000-000016960000}"/>
    <cellStyle name="Notas 6 2 2" xfId="38423" xr:uid="{00000000-0005-0000-0000-000017960000}"/>
    <cellStyle name="Notas 6 2 3" xfId="38424" xr:uid="{00000000-0005-0000-0000-000018960000}"/>
    <cellStyle name="Notas 6 3" xfId="38425" xr:uid="{00000000-0005-0000-0000-000019960000}"/>
    <cellStyle name="Notas 6 4" xfId="38426" xr:uid="{00000000-0005-0000-0000-00001A960000}"/>
    <cellStyle name="Notas 7" xfId="38427" xr:uid="{00000000-0005-0000-0000-00001B960000}"/>
    <cellStyle name="Notas 7 2" xfId="38428" xr:uid="{00000000-0005-0000-0000-00001C960000}"/>
    <cellStyle name="Notas 7 2 2" xfId="38429" xr:uid="{00000000-0005-0000-0000-00001D960000}"/>
    <cellStyle name="Notas 7 2 3" xfId="38430" xr:uid="{00000000-0005-0000-0000-00001E960000}"/>
    <cellStyle name="Notas 7 3" xfId="38431" xr:uid="{00000000-0005-0000-0000-00001F960000}"/>
    <cellStyle name="Notas 7 4" xfId="38432" xr:uid="{00000000-0005-0000-0000-000020960000}"/>
    <cellStyle name="Notas 8" xfId="38433" xr:uid="{00000000-0005-0000-0000-000021960000}"/>
    <cellStyle name="Notas 8 2" xfId="38434" xr:uid="{00000000-0005-0000-0000-000022960000}"/>
    <cellStyle name="Notas 8 2 2" xfId="38435" xr:uid="{00000000-0005-0000-0000-000023960000}"/>
    <cellStyle name="Notas 8 2 3" xfId="38436" xr:uid="{00000000-0005-0000-0000-000024960000}"/>
    <cellStyle name="Notas 8 3" xfId="38437" xr:uid="{00000000-0005-0000-0000-000025960000}"/>
    <cellStyle name="Notas 8 4" xfId="38438" xr:uid="{00000000-0005-0000-0000-000026960000}"/>
    <cellStyle name="Notas 9" xfId="38439" xr:uid="{00000000-0005-0000-0000-000027960000}"/>
    <cellStyle name="Notas 9 2" xfId="38440" xr:uid="{00000000-0005-0000-0000-000028960000}"/>
    <cellStyle name="Notas 9 2 2" xfId="38441" xr:uid="{00000000-0005-0000-0000-000029960000}"/>
    <cellStyle name="Notas 9 2 3" xfId="38442" xr:uid="{00000000-0005-0000-0000-00002A960000}"/>
    <cellStyle name="Notas 9 3" xfId="38443" xr:uid="{00000000-0005-0000-0000-00002B960000}"/>
    <cellStyle name="Notas 9 4" xfId="38444" xr:uid="{00000000-0005-0000-0000-00002C960000}"/>
    <cellStyle name="Note" xfId="38445" xr:uid="{00000000-0005-0000-0000-00002D960000}"/>
    <cellStyle name="Note 10" xfId="38446" xr:uid="{00000000-0005-0000-0000-00002E960000}"/>
    <cellStyle name="Note 11" xfId="38447" xr:uid="{00000000-0005-0000-0000-00002F960000}"/>
    <cellStyle name="Note 2" xfId="38448" xr:uid="{00000000-0005-0000-0000-000030960000}"/>
    <cellStyle name="Note 2 2" xfId="38449" xr:uid="{00000000-0005-0000-0000-000031960000}"/>
    <cellStyle name="Note 2 2 2" xfId="38450" xr:uid="{00000000-0005-0000-0000-000032960000}"/>
    <cellStyle name="Note 2 2 2 2" xfId="38451" xr:uid="{00000000-0005-0000-0000-000033960000}"/>
    <cellStyle name="Note 2 2 2 3" xfId="38452" xr:uid="{00000000-0005-0000-0000-000034960000}"/>
    <cellStyle name="Note 2 2 3" xfId="38453" xr:uid="{00000000-0005-0000-0000-000035960000}"/>
    <cellStyle name="Note 2 2 4" xfId="38454" xr:uid="{00000000-0005-0000-0000-000036960000}"/>
    <cellStyle name="Note 2 3" xfId="38455" xr:uid="{00000000-0005-0000-0000-000037960000}"/>
    <cellStyle name="Note 2 3 2" xfId="38456" xr:uid="{00000000-0005-0000-0000-000038960000}"/>
    <cellStyle name="Note 2 3 2 2" xfId="38457" xr:uid="{00000000-0005-0000-0000-000039960000}"/>
    <cellStyle name="Note 2 3 2 3" xfId="38458" xr:uid="{00000000-0005-0000-0000-00003A960000}"/>
    <cellStyle name="Note 2 3 3" xfId="38459" xr:uid="{00000000-0005-0000-0000-00003B960000}"/>
    <cellStyle name="Note 2 3 4" xfId="38460" xr:uid="{00000000-0005-0000-0000-00003C960000}"/>
    <cellStyle name="Note 2 4" xfId="38461" xr:uid="{00000000-0005-0000-0000-00003D960000}"/>
    <cellStyle name="Note 2 4 2" xfId="38462" xr:uid="{00000000-0005-0000-0000-00003E960000}"/>
    <cellStyle name="Note 2 4 2 2" xfId="38463" xr:uid="{00000000-0005-0000-0000-00003F960000}"/>
    <cellStyle name="Note 2 4 2 3" xfId="38464" xr:uid="{00000000-0005-0000-0000-000040960000}"/>
    <cellStyle name="Note 2 4 3" xfId="38465" xr:uid="{00000000-0005-0000-0000-000041960000}"/>
    <cellStyle name="Note 2 4 4" xfId="38466" xr:uid="{00000000-0005-0000-0000-000042960000}"/>
    <cellStyle name="Note 2 5" xfId="38467" xr:uid="{00000000-0005-0000-0000-000043960000}"/>
    <cellStyle name="Note 2 5 2" xfId="38468" xr:uid="{00000000-0005-0000-0000-000044960000}"/>
    <cellStyle name="Note 2 5 3" xfId="38469" xr:uid="{00000000-0005-0000-0000-000045960000}"/>
    <cellStyle name="Note 2 6" xfId="38470" xr:uid="{00000000-0005-0000-0000-000046960000}"/>
    <cellStyle name="Note 2 7" xfId="38471" xr:uid="{00000000-0005-0000-0000-000047960000}"/>
    <cellStyle name="Note 3" xfId="38472" xr:uid="{00000000-0005-0000-0000-000048960000}"/>
    <cellStyle name="Note 3 2" xfId="38473" xr:uid="{00000000-0005-0000-0000-000049960000}"/>
    <cellStyle name="Note 3 2 2" xfId="38474" xr:uid="{00000000-0005-0000-0000-00004A960000}"/>
    <cellStyle name="Note 3 2 2 2" xfId="38475" xr:uid="{00000000-0005-0000-0000-00004B960000}"/>
    <cellStyle name="Note 3 2 2 3" xfId="38476" xr:uid="{00000000-0005-0000-0000-00004C960000}"/>
    <cellStyle name="Note 3 2 3" xfId="38477" xr:uid="{00000000-0005-0000-0000-00004D960000}"/>
    <cellStyle name="Note 3 2 4" xfId="38478" xr:uid="{00000000-0005-0000-0000-00004E960000}"/>
    <cellStyle name="Note 3 3" xfId="38479" xr:uid="{00000000-0005-0000-0000-00004F960000}"/>
    <cellStyle name="Note 3 3 2" xfId="38480" xr:uid="{00000000-0005-0000-0000-000050960000}"/>
    <cellStyle name="Note 3 3 2 2" xfId="38481" xr:uid="{00000000-0005-0000-0000-000051960000}"/>
    <cellStyle name="Note 3 3 2 3" xfId="38482" xr:uid="{00000000-0005-0000-0000-000052960000}"/>
    <cellStyle name="Note 3 3 3" xfId="38483" xr:uid="{00000000-0005-0000-0000-000053960000}"/>
    <cellStyle name="Note 3 3 4" xfId="38484" xr:uid="{00000000-0005-0000-0000-000054960000}"/>
    <cellStyle name="Note 3 4" xfId="38485" xr:uid="{00000000-0005-0000-0000-000055960000}"/>
    <cellStyle name="Note 3 4 2" xfId="38486" xr:uid="{00000000-0005-0000-0000-000056960000}"/>
    <cellStyle name="Note 3 4 2 2" xfId="38487" xr:uid="{00000000-0005-0000-0000-000057960000}"/>
    <cellStyle name="Note 3 4 2 3" xfId="38488" xr:uid="{00000000-0005-0000-0000-000058960000}"/>
    <cellStyle name="Note 3 4 3" xfId="38489" xr:uid="{00000000-0005-0000-0000-000059960000}"/>
    <cellStyle name="Note 3 4 4" xfId="38490" xr:uid="{00000000-0005-0000-0000-00005A960000}"/>
    <cellStyle name="Note 3 5" xfId="38491" xr:uid="{00000000-0005-0000-0000-00005B960000}"/>
    <cellStyle name="Note 3 5 2" xfId="38492" xr:uid="{00000000-0005-0000-0000-00005C960000}"/>
    <cellStyle name="Note 3 5 3" xfId="38493" xr:uid="{00000000-0005-0000-0000-00005D960000}"/>
    <cellStyle name="Note 3 6" xfId="38494" xr:uid="{00000000-0005-0000-0000-00005E960000}"/>
    <cellStyle name="Note 3 7" xfId="38495" xr:uid="{00000000-0005-0000-0000-00005F960000}"/>
    <cellStyle name="Note 4" xfId="38496" xr:uid="{00000000-0005-0000-0000-000060960000}"/>
    <cellStyle name="Note 4 2" xfId="38497" xr:uid="{00000000-0005-0000-0000-000061960000}"/>
    <cellStyle name="Note 4 2 2" xfId="38498" xr:uid="{00000000-0005-0000-0000-000062960000}"/>
    <cellStyle name="Note 4 2 2 2" xfId="38499" xr:uid="{00000000-0005-0000-0000-000063960000}"/>
    <cellStyle name="Note 4 2 2 3" xfId="38500" xr:uid="{00000000-0005-0000-0000-000064960000}"/>
    <cellStyle name="Note 4 2 3" xfId="38501" xr:uid="{00000000-0005-0000-0000-000065960000}"/>
    <cellStyle name="Note 4 2 4" xfId="38502" xr:uid="{00000000-0005-0000-0000-000066960000}"/>
    <cellStyle name="Note 4 3" xfId="38503" xr:uid="{00000000-0005-0000-0000-000067960000}"/>
    <cellStyle name="Note 4 3 2" xfId="38504" xr:uid="{00000000-0005-0000-0000-000068960000}"/>
    <cellStyle name="Note 4 3 2 2" xfId="38505" xr:uid="{00000000-0005-0000-0000-000069960000}"/>
    <cellStyle name="Note 4 3 2 3" xfId="38506" xr:uid="{00000000-0005-0000-0000-00006A960000}"/>
    <cellStyle name="Note 4 3 3" xfId="38507" xr:uid="{00000000-0005-0000-0000-00006B960000}"/>
    <cellStyle name="Note 4 3 4" xfId="38508" xr:uid="{00000000-0005-0000-0000-00006C960000}"/>
    <cellStyle name="Note 4 4" xfId="38509" xr:uid="{00000000-0005-0000-0000-00006D960000}"/>
    <cellStyle name="Note 4 4 2" xfId="38510" xr:uid="{00000000-0005-0000-0000-00006E960000}"/>
    <cellStyle name="Note 4 4 2 2" xfId="38511" xr:uid="{00000000-0005-0000-0000-00006F960000}"/>
    <cellStyle name="Note 4 4 2 3" xfId="38512" xr:uid="{00000000-0005-0000-0000-000070960000}"/>
    <cellStyle name="Note 4 4 3" xfId="38513" xr:uid="{00000000-0005-0000-0000-000071960000}"/>
    <cellStyle name="Note 4 4 4" xfId="38514" xr:uid="{00000000-0005-0000-0000-000072960000}"/>
    <cellStyle name="Note 4 5" xfId="38515" xr:uid="{00000000-0005-0000-0000-000073960000}"/>
    <cellStyle name="Note 4 5 2" xfId="38516" xr:uid="{00000000-0005-0000-0000-000074960000}"/>
    <cellStyle name="Note 4 5 3" xfId="38517" xr:uid="{00000000-0005-0000-0000-000075960000}"/>
    <cellStyle name="Note 4 6" xfId="38518" xr:uid="{00000000-0005-0000-0000-000076960000}"/>
    <cellStyle name="Note 4 7" xfId="38519" xr:uid="{00000000-0005-0000-0000-000077960000}"/>
    <cellStyle name="Note 5" xfId="38520" xr:uid="{00000000-0005-0000-0000-000078960000}"/>
    <cellStyle name="Note 5 2" xfId="38521" xr:uid="{00000000-0005-0000-0000-000079960000}"/>
    <cellStyle name="Note 5 2 2" xfId="38522" xr:uid="{00000000-0005-0000-0000-00007A960000}"/>
    <cellStyle name="Note 5 2 2 2" xfId="38523" xr:uid="{00000000-0005-0000-0000-00007B960000}"/>
    <cellStyle name="Note 5 2 2 3" xfId="38524" xr:uid="{00000000-0005-0000-0000-00007C960000}"/>
    <cellStyle name="Note 5 2 3" xfId="38525" xr:uid="{00000000-0005-0000-0000-00007D960000}"/>
    <cellStyle name="Note 5 2 4" xfId="38526" xr:uid="{00000000-0005-0000-0000-00007E960000}"/>
    <cellStyle name="Note 5 3" xfId="38527" xr:uid="{00000000-0005-0000-0000-00007F960000}"/>
    <cellStyle name="Note 5 3 2" xfId="38528" xr:uid="{00000000-0005-0000-0000-000080960000}"/>
    <cellStyle name="Note 5 3 2 2" xfId="38529" xr:uid="{00000000-0005-0000-0000-000081960000}"/>
    <cellStyle name="Note 5 3 2 3" xfId="38530" xr:uid="{00000000-0005-0000-0000-000082960000}"/>
    <cellStyle name="Note 5 3 3" xfId="38531" xr:uid="{00000000-0005-0000-0000-000083960000}"/>
    <cellStyle name="Note 5 3 4" xfId="38532" xr:uid="{00000000-0005-0000-0000-000084960000}"/>
    <cellStyle name="Note 5 4" xfId="38533" xr:uid="{00000000-0005-0000-0000-000085960000}"/>
    <cellStyle name="Note 5 4 2" xfId="38534" xr:uid="{00000000-0005-0000-0000-000086960000}"/>
    <cellStyle name="Note 5 4 2 2" xfId="38535" xr:uid="{00000000-0005-0000-0000-000087960000}"/>
    <cellStyle name="Note 5 4 2 3" xfId="38536" xr:uid="{00000000-0005-0000-0000-000088960000}"/>
    <cellStyle name="Note 5 4 3" xfId="38537" xr:uid="{00000000-0005-0000-0000-000089960000}"/>
    <cellStyle name="Note 5 4 4" xfId="38538" xr:uid="{00000000-0005-0000-0000-00008A960000}"/>
    <cellStyle name="Note 5 5" xfId="38539" xr:uid="{00000000-0005-0000-0000-00008B960000}"/>
    <cellStyle name="Note 5 5 2" xfId="38540" xr:uid="{00000000-0005-0000-0000-00008C960000}"/>
    <cellStyle name="Note 5 5 3" xfId="38541" xr:uid="{00000000-0005-0000-0000-00008D960000}"/>
    <cellStyle name="Note 5 6" xfId="38542" xr:uid="{00000000-0005-0000-0000-00008E960000}"/>
    <cellStyle name="Note 5 7" xfId="38543" xr:uid="{00000000-0005-0000-0000-00008F960000}"/>
    <cellStyle name="Note 6" xfId="38544" xr:uid="{00000000-0005-0000-0000-000090960000}"/>
    <cellStyle name="Note 6 2" xfId="38545" xr:uid="{00000000-0005-0000-0000-000091960000}"/>
    <cellStyle name="Note 6 2 2" xfId="38546" xr:uid="{00000000-0005-0000-0000-000092960000}"/>
    <cellStyle name="Note 6 2 3" xfId="38547" xr:uid="{00000000-0005-0000-0000-000093960000}"/>
    <cellStyle name="Note 6 3" xfId="38548" xr:uid="{00000000-0005-0000-0000-000094960000}"/>
    <cellStyle name="Note 6 4" xfId="38549" xr:uid="{00000000-0005-0000-0000-000095960000}"/>
    <cellStyle name="Note 7" xfId="38550" xr:uid="{00000000-0005-0000-0000-000096960000}"/>
    <cellStyle name="Note 7 2" xfId="38551" xr:uid="{00000000-0005-0000-0000-000097960000}"/>
    <cellStyle name="Note 7 2 2" xfId="38552" xr:uid="{00000000-0005-0000-0000-000098960000}"/>
    <cellStyle name="Note 7 2 3" xfId="38553" xr:uid="{00000000-0005-0000-0000-000099960000}"/>
    <cellStyle name="Note 7 3" xfId="38554" xr:uid="{00000000-0005-0000-0000-00009A960000}"/>
    <cellStyle name="Note 7 4" xfId="38555" xr:uid="{00000000-0005-0000-0000-00009B960000}"/>
    <cellStyle name="Note 8" xfId="38556" xr:uid="{00000000-0005-0000-0000-00009C960000}"/>
    <cellStyle name="Note 8 2" xfId="38557" xr:uid="{00000000-0005-0000-0000-00009D960000}"/>
    <cellStyle name="Note 8 2 2" xfId="38558" xr:uid="{00000000-0005-0000-0000-00009E960000}"/>
    <cellStyle name="Note 8 2 3" xfId="38559" xr:uid="{00000000-0005-0000-0000-00009F960000}"/>
    <cellStyle name="Note 8 3" xfId="38560" xr:uid="{00000000-0005-0000-0000-0000A0960000}"/>
    <cellStyle name="Note 8 4" xfId="38561" xr:uid="{00000000-0005-0000-0000-0000A1960000}"/>
    <cellStyle name="Note 9" xfId="38562" xr:uid="{00000000-0005-0000-0000-0000A2960000}"/>
    <cellStyle name="Note 9 2" xfId="38563" xr:uid="{00000000-0005-0000-0000-0000A3960000}"/>
    <cellStyle name="Note 9 3" xfId="38564" xr:uid="{00000000-0005-0000-0000-0000A4960000}"/>
    <cellStyle name="Output" xfId="38565" xr:uid="{00000000-0005-0000-0000-0000A5960000}"/>
    <cellStyle name="Output 2" xfId="38566" xr:uid="{00000000-0005-0000-0000-0000A6960000}"/>
    <cellStyle name="Output 2 2" xfId="38567" xr:uid="{00000000-0005-0000-0000-0000A7960000}"/>
    <cellStyle name="Output 2 2 2" xfId="38568" xr:uid="{00000000-0005-0000-0000-0000A8960000}"/>
    <cellStyle name="Output 2 2 3" xfId="38569" xr:uid="{00000000-0005-0000-0000-0000A9960000}"/>
    <cellStyle name="Output 2 3" xfId="38570" xr:uid="{00000000-0005-0000-0000-0000AA960000}"/>
    <cellStyle name="Output 2 4" xfId="38571" xr:uid="{00000000-0005-0000-0000-0000AB960000}"/>
    <cellStyle name="Output 3" xfId="38572" xr:uid="{00000000-0005-0000-0000-0000AC960000}"/>
    <cellStyle name="Output 3 2" xfId="38573" xr:uid="{00000000-0005-0000-0000-0000AD960000}"/>
    <cellStyle name="Output 3 2 2" xfId="38574" xr:uid="{00000000-0005-0000-0000-0000AE960000}"/>
    <cellStyle name="Output 3 2 3" xfId="38575" xr:uid="{00000000-0005-0000-0000-0000AF960000}"/>
    <cellStyle name="Output 3 3" xfId="38576" xr:uid="{00000000-0005-0000-0000-0000B0960000}"/>
    <cellStyle name="Output 3 4" xfId="38577" xr:uid="{00000000-0005-0000-0000-0000B1960000}"/>
    <cellStyle name="Output 4" xfId="38578" xr:uid="{00000000-0005-0000-0000-0000B2960000}"/>
    <cellStyle name="Output 4 2" xfId="38579" xr:uid="{00000000-0005-0000-0000-0000B3960000}"/>
    <cellStyle name="Output 4 2 2" xfId="38580" xr:uid="{00000000-0005-0000-0000-0000B4960000}"/>
    <cellStyle name="Output 4 2 3" xfId="38581" xr:uid="{00000000-0005-0000-0000-0000B5960000}"/>
    <cellStyle name="Output 4 3" xfId="38582" xr:uid="{00000000-0005-0000-0000-0000B6960000}"/>
    <cellStyle name="Output 4 4" xfId="38583" xr:uid="{00000000-0005-0000-0000-0000B7960000}"/>
    <cellStyle name="Output 5" xfId="38584" xr:uid="{00000000-0005-0000-0000-0000B8960000}"/>
    <cellStyle name="Output 5 2" xfId="38585" xr:uid="{00000000-0005-0000-0000-0000B9960000}"/>
    <cellStyle name="Output 5 2 2" xfId="38586" xr:uid="{00000000-0005-0000-0000-0000BA960000}"/>
    <cellStyle name="Output 5 2 3" xfId="38587" xr:uid="{00000000-0005-0000-0000-0000BB960000}"/>
    <cellStyle name="Output 5 3" xfId="38588" xr:uid="{00000000-0005-0000-0000-0000BC960000}"/>
    <cellStyle name="Output 5 4" xfId="38589" xr:uid="{00000000-0005-0000-0000-0000BD960000}"/>
    <cellStyle name="Output 6" xfId="38590" xr:uid="{00000000-0005-0000-0000-0000BE960000}"/>
    <cellStyle name="Output 6 2" xfId="38591" xr:uid="{00000000-0005-0000-0000-0000BF960000}"/>
    <cellStyle name="Output 6 3" xfId="38592" xr:uid="{00000000-0005-0000-0000-0000C0960000}"/>
    <cellStyle name="Output 7" xfId="38593" xr:uid="{00000000-0005-0000-0000-0000C1960000}"/>
    <cellStyle name="Output 8" xfId="38594" xr:uid="{00000000-0005-0000-0000-0000C2960000}"/>
    <cellStyle name="Porcentaje 2" xfId="38595" xr:uid="{00000000-0005-0000-0000-0000C3960000}"/>
    <cellStyle name="Porcentual 2" xfId="38596" xr:uid="{00000000-0005-0000-0000-0000C4960000}"/>
    <cellStyle name="Porcentual 2 2" xfId="38597" xr:uid="{00000000-0005-0000-0000-0000C5960000}"/>
    <cellStyle name="Porcentual 2 2 2" xfId="38598" xr:uid="{00000000-0005-0000-0000-0000C6960000}"/>
    <cellStyle name="Porcentual 2 2 2 2" xfId="38599" xr:uid="{00000000-0005-0000-0000-0000C7960000}"/>
    <cellStyle name="Porcentual 2 2 2 3" xfId="38600" xr:uid="{00000000-0005-0000-0000-0000C8960000}"/>
    <cellStyle name="Porcentual 2 2 3" xfId="38601" xr:uid="{00000000-0005-0000-0000-0000C9960000}"/>
    <cellStyle name="Porcentual 2 2 4" xfId="38602" xr:uid="{00000000-0005-0000-0000-0000CA960000}"/>
    <cellStyle name="Porcentual 2 3" xfId="38603" xr:uid="{00000000-0005-0000-0000-0000CB960000}"/>
    <cellStyle name="Porcentual 2 3 2" xfId="38604" xr:uid="{00000000-0005-0000-0000-0000CC960000}"/>
    <cellStyle name="Porcentual 2 3 2 2" xfId="38605" xr:uid="{00000000-0005-0000-0000-0000CD960000}"/>
    <cellStyle name="Porcentual 2 3 2 3" xfId="38606" xr:uid="{00000000-0005-0000-0000-0000CE960000}"/>
    <cellStyle name="Porcentual 2 3 3" xfId="38607" xr:uid="{00000000-0005-0000-0000-0000CF960000}"/>
    <cellStyle name="Porcentual 2 3 4" xfId="38608" xr:uid="{00000000-0005-0000-0000-0000D0960000}"/>
    <cellStyle name="Porcentual 2 4" xfId="38609" xr:uid="{00000000-0005-0000-0000-0000D1960000}"/>
    <cellStyle name="Porcentual 2 4 2" xfId="38610" xr:uid="{00000000-0005-0000-0000-0000D2960000}"/>
    <cellStyle name="Porcentual 2 4 2 2" xfId="38611" xr:uid="{00000000-0005-0000-0000-0000D3960000}"/>
    <cellStyle name="Porcentual 2 4 2 3" xfId="38612" xr:uid="{00000000-0005-0000-0000-0000D4960000}"/>
    <cellStyle name="Porcentual 2 4 3" xfId="38613" xr:uid="{00000000-0005-0000-0000-0000D5960000}"/>
    <cellStyle name="Porcentual 2 4 4" xfId="38614" xr:uid="{00000000-0005-0000-0000-0000D6960000}"/>
    <cellStyle name="Porcentual 2 5" xfId="38615" xr:uid="{00000000-0005-0000-0000-0000D7960000}"/>
    <cellStyle name="Porcentual 2 5 2" xfId="38616" xr:uid="{00000000-0005-0000-0000-0000D8960000}"/>
    <cellStyle name="Porcentual 2 5 2 2" xfId="38617" xr:uid="{00000000-0005-0000-0000-0000D9960000}"/>
    <cellStyle name="Porcentual 2 5 2 3" xfId="38618" xr:uid="{00000000-0005-0000-0000-0000DA960000}"/>
    <cellStyle name="Porcentual 2 5 3" xfId="38619" xr:uid="{00000000-0005-0000-0000-0000DB960000}"/>
    <cellStyle name="Porcentual 2 5 4" xfId="38620" xr:uid="{00000000-0005-0000-0000-0000DC960000}"/>
    <cellStyle name="Salida 10" xfId="38621" xr:uid="{00000000-0005-0000-0000-0000DD960000}"/>
    <cellStyle name="Salida 11" xfId="38622" xr:uid="{00000000-0005-0000-0000-0000DE960000}"/>
    <cellStyle name="Salida 2" xfId="38623" xr:uid="{00000000-0005-0000-0000-0000DF960000}"/>
    <cellStyle name="Salida 2 2" xfId="38624" xr:uid="{00000000-0005-0000-0000-0000E0960000}"/>
    <cellStyle name="Salida 2 2 2" xfId="38625" xr:uid="{00000000-0005-0000-0000-0000E1960000}"/>
    <cellStyle name="Salida 2 2 3" xfId="38626" xr:uid="{00000000-0005-0000-0000-0000E2960000}"/>
    <cellStyle name="Salida 2 2 4" xfId="38627" xr:uid="{00000000-0005-0000-0000-0000E3960000}"/>
    <cellStyle name="Salida 2 3" xfId="38628" xr:uid="{00000000-0005-0000-0000-0000E4960000}"/>
    <cellStyle name="Salida 2 4" xfId="38629" xr:uid="{00000000-0005-0000-0000-0000E5960000}"/>
    <cellStyle name="Salida 3" xfId="38630" xr:uid="{00000000-0005-0000-0000-0000E6960000}"/>
    <cellStyle name="Salida 3 2" xfId="38631" xr:uid="{00000000-0005-0000-0000-0000E7960000}"/>
    <cellStyle name="Salida 3 2 2" xfId="38632" xr:uid="{00000000-0005-0000-0000-0000E8960000}"/>
    <cellStyle name="Salida 3 2 3" xfId="38633" xr:uid="{00000000-0005-0000-0000-0000E9960000}"/>
    <cellStyle name="Salida 3 3" xfId="38634" xr:uid="{00000000-0005-0000-0000-0000EA960000}"/>
    <cellStyle name="Salida 3 4" xfId="38635" xr:uid="{00000000-0005-0000-0000-0000EB960000}"/>
    <cellStyle name="Salida 4" xfId="38636" xr:uid="{00000000-0005-0000-0000-0000EC960000}"/>
    <cellStyle name="Salida 4 2" xfId="38637" xr:uid="{00000000-0005-0000-0000-0000ED960000}"/>
    <cellStyle name="Salida 4 2 2" xfId="38638" xr:uid="{00000000-0005-0000-0000-0000EE960000}"/>
    <cellStyle name="Salida 4 2 3" xfId="38639" xr:uid="{00000000-0005-0000-0000-0000EF960000}"/>
    <cellStyle name="Salida 4 3" xfId="38640" xr:uid="{00000000-0005-0000-0000-0000F0960000}"/>
    <cellStyle name="Salida 4 4" xfId="38641" xr:uid="{00000000-0005-0000-0000-0000F1960000}"/>
    <cellStyle name="Salida 5" xfId="38642" xr:uid="{00000000-0005-0000-0000-0000F2960000}"/>
    <cellStyle name="Salida 5 2" xfId="38643" xr:uid="{00000000-0005-0000-0000-0000F3960000}"/>
    <cellStyle name="Salida 5 2 2" xfId="38644" xr:uid="{00000000-0005-0000-0000-0000F4960000}"/>
    <cellStyle name="Salida 5 2 3" xfId="38645" xr:uid="{00000000-0005-0000-0000-0000F5960000}"/>
    <cellStyle name="Salida 5 3" xfId="38646" xr:uid="{00000000-0005-0000-0000-0000F6960000}"/>
    <cellStyle name="Salida 5 4" xfId="38647" xr:uid="{00000000-0005-0000-0000-0000F7960000}"/>
    <cellStyle name="Salida 6" xfId="38648" xr:uid="{00000000-0005-0000-0000-0000F8960000}"/>
    <cellStyle name="Salida 6 2" xfId="38649" xr:uid="{00000000-0005-0000-0000-0000F9960000}"/>
    <cellStyle name="Salida 6 2 2" xfId="38650" xr:uid="{00000000-0005-0000-0000-0000FA960000}"/>
    <cellStyle name="Salida 6 2 3" xfId="38651" xr:uid="{00000000-0005-0000-0000-0000FB960000}"/>
    <cellStyle name="Salida 6 3" xfId="38652" xr:uid="{00000000-0005-0000-0000-0000FC960000}"/>
    <cellStyle name="Salida 6 4" xfId="38653" xr:uid="{00000000-0005-0000-0000-0000FD960000}"/>
    <cellStyle name="Salida 7" xfId="38654" xr:uid="{00000000-0005-0000-0000-0000FE960000}"/>
    <cellStyle name="Salida 7 2" xfId="38655" xr:uid="{00000000-0005-0000-0000-0000FF960000}"/>
    <cellStyle name="Salida 7 2 2" xfId="38656" xr:uid="{00000000-0005-0000-0000-000000970000}"/>
    <cellStyle name="Salida 7 2 3" xfId="38657" xr:uid="{00000000-0005-0000-0000-000001970000}"/>
    <cellStyle name="Salida 7 3" xfId="38658" xr:uid="{00000000-0005-0000-0000-000002970000}"/>
    <cellStyle name="Salida 7 4" xfId="38659" xr:uid="{00000000-0005-0000-0000-000003970000}"/>
    <cellStyle name="Salida 8" xfId="38660" xr:uid="{00000000-0005-0000-0000-000004970000}"/>
    <cellStyle name="Salida 8 2" xfId="38661" xr:uid="{00000000-0005-0000-0000-000005970000}"/>
    <cellStyle name="Salida 8 2 2" xfId="38662" xr:uid="{00000000-0005-0000-0000-000006970000}"/>
    <cellStyle name="Salida 8 2 3" xfId="38663" xr:uid="{00000000-0005-0000-0000-000007970000}"/>
    <cellStyle name="Salida 8 3" xfId="38664" xr:uid="{00000000-0005-0000-0000-000008970000}"/>
    <cellStyle name="Salida 8 4" xfId="38665" xr:uid="{00000000-0005-0000-0000-000009970000}"/>
    <cellStyle name="Salida 9" xfId="38666" xr:uid="{00000000-0005-0000-0000-00000A970000}"/>
    <cellStyle name="Salida 9 2" xfId="38667" xr:uid="{00000000-0005-0000-0000-00000B970000}"/>
    <cellStyle name="Salida 9 3" xfId="38668" xr:uid="{00000000-0005-0000-0000-00000C970000}"/>
    <cellStyle name="TableStyleLight1" xfId="38669" xr:uid="{00000000-0005-0000-0000-00000D970000}"/>
    <cellStyle name="TableStyleLight1 2" xfId="38670" xr:uid="{00000000-0005-0000-0000-00000E970000}"/>
    <cellStyle name="TableStyleLight1 2 2" xfId="38671" xr:uid="{00000000-0005-0000-0000-00000F970000}"/>
    <cellStyle name="TableStyleLight1 2 3" xfId="38672" xr:uid="{00000000-0005-0000-0000-000010970000}"/>
    <cellStyle name="TableStyleLight1 3" xfId="38673" xr:uid="{00000000-0005-0000-0000-000011970000}"/>
    <cellStyle name="TableStyleLight1 4" xfId="38674" xr:uid="{00000000-0005-0000-0000-000012970000}"/>
    <cellStyle name="Texto de advertencia 10" xfId="38675" xr:uid="{00000000-0005-0000-0000-000013970000}"/>
    <cellStyle name="Texto de advertencia 10 2" xfId="38676" xr:uid="{00000000-0005-0000-0000-000014970000}"/>
    <cellStyle name="Texto de advertencia 10 3" xfId="38677" xr:uid="{00000000-0005-0000-0000-000015970000}"/>
    <cellStyle name="Texto de advertencia 11" xfId="38678" xr:uid="{00000000-0005-0000-0000-000016970000}"/>
    <cellStyle name="Texto de advertencia 12" xfId="38679" xr:uid="{00000000-0005-0000-0000-000017970000}"/>
    <cellStyle name="Texto de advertencia 2" xfId="38680" xr:uid="{00000000-0005-0000-0000-000018970000}"/>
    <cellStyle name="Texto de advertencia 2 2" xfId="38681" xr:uid="{00000000-0005-0000-0000-000019970000}"/>
    <cellStyle name="Texto de advertencia 2 2 2" xfId="38682" xr:uid="{00000000-0005-0000-0000-00001A970000}"/>
    <cellStyle name="Texto de advertencia 2 2 2 2" xfId="38683" xr:uid="{00000000-0005-0000-0000-00001B970000}"/>
    <cellStyle name="Texto de advertencia 2 2 2 2 2" xfId="38684" xr:uid="{00000000-0005-0000-0000-00001C970000}"/>
    <cellStyle name="Texto de advertencia 2 2 2 2 2 2" xfId="38685" xr:uid="{00000000-0005-0000-0000-00001D970000}"/>
    <cellStyle name="Texto de advertencia 2 2 2 2 2 2 2" xfId="38686" xr:uid="{00000000-0005-0000-0000-00001E970000}"/>
    <cellStyle name="Texto de advertencia 2 2 2 2 2 2 3" xfId="38687" xr:uid="{00000000-0005-0000-0000-00001F970000}"/>
    <cellStyle name="Texto de advertencia 2 2 2 2 2 3" xfId="38688" xr:uid="{00000000-0005-0000-0000-000020970000}"/>
    <cellStyle name="Texto de advertencia 2 2 2 2 2 4" xfId="38689" xr:uid="{00000000-0005-0000-0000-000021970000}"/>
    <cellStyle name="Texto de advertencia 2 2 2 2 3" xfId="38690" xr:uid="{00000000-0005-0000-0000-000022970000}"/>
    <cellStyle name="Texto de advertencia 2 2 2 2 3 2" xfId="38691" xr:uid="{00000000-0005-0000-0000-000023970000}"/>
    <cellStyle name="Texto de advertencia 2 2 2 2 3 3" xfId="38692" xr:uid="{00000000-0005-0000-0000-000024970000}"/>
    <cellStyle name="Texto de advertencia 2 2 2 2 4" xfId="38693" xr:uid="{00000000-0005-0000-0000-000025970000}"/>
    <cellStyle name="Texto de advertencia 2 2 2 2 5" xfId="38694" xr:uid="{00000000-0005-0000-0000-000026970000}"/>
    <cellStyle name="Texto de advertencia 2 2 2 3" xfId="38695" xr:uid="{00000000-0005-0000-0000-000027970000}"/>
    <cellStyle name="Texto de advertencia 2 2 2 3 2" xfId="38696" xr:uid="{00000000-0005-0000-0000-000028970000}"/>
    <cellStyle name="Texto de advertencia 2 2 2 3 3" xfId="38697" xr:uid="{00000000-0005-0000-0000-000029970000}"/>
    <cellStyle name="Texto de advertencia 2 2 2 4" xfId="38698" xr:uid="{00000000-0005-0000-0000-00002A970000}"/>
    <cellStyle name="Texto de advertencia 2 2 2 5" xfId="38699" xr:uid="{00000000-0005-0000-0000-00002B970000}"/>
    <cellStyle name="Texto de advertencia 2 2 3" xfId="38700" xr:uid="{00000000-0005-0000-0000-00002C970000}"/>
    <cellStyle name="Texto de advertencia 2 2 3 2" xfId="38701" xr:uid="{00000000-0005-0000-0000-00002D970000}"/>
    <cellStyle name="Texto de advertencia 2 2 3 2 2" xfId="38702" xr:uid="{00000000-0005-0000-0000-00002E970000}"/>
    <cellStyle name="Texto de advertencia 2 2 3 2 3" xfId="38703" xr:uid="{00000000-0005-0000-0000-00002F970000}"/>
    <cellStyle name="Texto de advertencia 2 2 3 3" xfId="38704" xr:uid="{00000000-0005-0000-0000-000030970000}"/>
    <cellStyle name="Texto de advertencia 2 2 3 4" xfId="38705" xr:uid="{00000000-0005-0000-0000-000031970000}"/>
    <cellStyle name="Texto de advertencia 2 2 4" xfId="38706" xr:uid="{00000000-0005-0000-0000-000032970000}"/>
    <cellStyle name="Texto de advertencia 2 2 4 2" xfId="38707" xr:uid="{00000000-0005-0000-0000-000033970000}"/>
    <cellStyle name="Texto de advertencia 2 2 4 2 2" xfId="38708" xr:uid="{00000000-0005-0000-0000-000034970000}"/>
    <cellStyle name="Texto de advertencia 2 2 4 2 3" xfId="38709" xr:uid="{00000000-0005-0000-0000-000035970000}"/>
    <cellStyle name="Texto de advertencia 2 2 4 3" xfId="38710" xr:uid="{00000000-0005-0000-0000-000036970000}"/>
    <cellStyle name="Texto de advertencia 2 2 4 4" xfId="38711" xr:uid="{00000000-0005-0000-0000-000037970000}"/>
    <cellStyle name="Texto de advertencia 2 2 5" xfId="38712" xr:uid="{00000000-0005-0000-0000-000038970000}"/>
    <cellStyle name="Texto de advertencia 2 2 5 2" xfId="38713" xr:uid="{00000000-0005-0000-0000-000039970000}"/>
    <cellStyle name="Texto de advertencia 2 2 5 3" xfId="38714" xr:uid="{00000000-0005-0000-0000-00003A970000}"/>
    <cellStyle name="Texto de advertencia 2 2 6" xfId="38715" xr:uid="{00000000-0005-0000-0000-00003B970000}"/>
    <cellStyle name="Texto de advertencia 2 2 7" xfId="38716" xr:uid="{00000000-0005-0000-0000-00003C970000}"/>
    <cellStyle name="Texto de advertencia 2 3" xfId="38717" xr:uid="{00000000-0005-0000-0000-00003D970000}"/>
    <cellStyle name="Texto de advertencia 2 3 2" xfId="38718" xr:uid="{00000000-0005-0000-0000-00003E970000}"/>
    <cellStyle name="Texto de advertencia 2 3 2 2" xfId="38719" xr:uid="{00000000-0005-0000-0000-00003F970000}"/>
    <cellStyle name="Texto de advertencia 2 3 2 3" xfId="38720" xr:uid="{00000000-0005-0000-0000-000040970000}"/>
    <cellStyle name="Texto de advertencia 2 3 3" xfId="38721" xr:uid="{00000000-0005-0000-0000-000041970000}"/>
    <cellStyle name="Texto de advertencia 2 3 4" xfId="38722" xr:uid="{00000000-0005-0000-0000-000042970000}"/>
    <cellStyle name="Texto de advertencia 2 4" xfId="38723" xr:uid="{00000000-0005-0000-0000-000043970000}"/>
    <cellStyle name="Texto de advertencia 2 4 2" xfId="38724" xr:uid="{00000000-0005-0000-0000-000044970000}"/>
    <cellStyle name="Texto de advertencia 2 4 2 2" xfId="38725" xr:uid="{00000000-0005-0000-0000-000045970000}"/>
    <cellStyle name="Texto de advertencia 2 4 2 3" xfId="38726" xr:uid="{00000000-0005-0000-0000-000046970000}"/>
    <cellStyle name="Texto de advertencia 2 4 3" xfId="38727" xr:uid="{00000000-0005-0000-0000-000047970000}"/>
    <cellStyle name="Texto de advertencia 2 4 4" xfId="38728" xr:uid="{00000000-0005-0000-0000-000048970000}"/>
    <cellStyle name="Texto de advertencia 2 5" xfId="38729" xr:uid="{00000000-0005-0000-0000-000049970000}"/>
    <cellStyle name="Texto de advertencia 2 5 2" xfId="38730" xr:uid="{00000000-0005-0000-0000-00004A970000}"/>
    <cellStyle name="Texto de advertencia 2 5 3" xfId="38731" xr:uid="{00000000-0005-0000-0000-00004B970000}"/>
    <cellStyle name="Texto de advertencia 2 6" xfId="38732" xr:uid="{00000000-0005-0000-0000-00004C970000}"/>
    <cellStyle name="Texto de advertencia 2 7" xfId="38733" xr:uid="{00000000-0005-0000-0000-00004D970000}"/>
    <cellStyle name="Texto de advertencia 3" xfId="38734" xr:uid="{00000000-0005-0000-0000-00004E970000}"/>
    <cellStyle name="Texto de advertencia 3 2" xfId="38735" xr:uid="{00000000-0005-0000-0000-00004F970000}"/>
    <cellStyle name="Texto de advertencia 3 2 2" xfId="38736" xr:uid="{00000000-0005-0000-0000-000050970000}"/>
    <cellStyle name="Texto de advertencia 3 2 3" xfId="38737" xr:uid="{00000000-0005-0000-0000-000051970000}"/>
    <cellStyle name="Texto de advertencia 3 3" xfId="38738" xr:uid="{00000000-0005-0000-0000-000052970000}"/>
    <cellStyle name="Texto de advertencia 3 4" xfId="38739" xr:uid="{00000000-0005-0000-0000-000053970000}"/>
    <cellStyle name="Texto de advertencia 4" xfId="38740" xr:uid="{00000000-0005-0000-0000-000054970000}"/>
    <cellStyle name="Texto de advertencia 4 2" xfId="38741" xr:uid="{00000000-0005-0000-0000-000055970000}"/>
    <cellStyle name="Texto de advertencia 4 2 2" xfId="38742" xr:uid="{00000000-0005-0000-0000-000056970000}"/>
    <cellStyle name="Texto de advertencia 4 2 3" xfId="38743" xr:uid="{00000000-0005-0000-0000-000057970000}"/>
    <cellStyle name="Texto de advertencia 4 3" xfId="38744" xr:uid="{00000000-0005-0000-0000-000058970000}"/>
    <cellStyle name="Texto de advertencia 4 4" xfId="38745" xr:uid="{00000000-0005-0000-0000-000059970000}"/>
    <cellStyle name="Texto de advertencia 5" xfId="38746" xr:uid="{00000000-0005-0000-0000-00005A970000}"/>
    <cellStyle name="Texto de advertencia 5 2" xfId="38747" xr:uid="{00000000-0005-0000-0000-00005B970000}"/>
    <cellStyle name="Texto de advertencia 5 2 2" xfId="38748" xr:uid="{00000000-0005-0000-0000-00005C970000}"/>
    <cellStyle name="Texto de advertencia 5 2 3" xfId="38749" xr:uid="{00000000-0005-0000-0000-00005D970000}"/>
    <cellStyle name="Texto de advertencia 5 3" xfId="38750" xr:uid="{00000000-0005-0000-0000-00005E970000}"/>
    <cellStyle name="Texto de advertencia 5 4" xfId="38751" xr:uid="{00000000-0005-0000-0000-00005F970000}"/>
    <cellStyle name="Texto de advertencia 6" xfId="38752" xr:uid="{00000000-0005-0000-0000-000060970000}"/>
    <cellStyle name="Texto de advertencia 6 2" xfId="38753" xr:uid="{00000000-0005-0000-0000-000061970000}"/>
    <cellStyle name="Texto de advertencia 6 2 2" xfId="38754" xr:uid="{00000000-0005-0000-0000-000062970000}"/>
    <cellStyle name="Texto de advertencia 6 2 3" xfId="38755" xr:uid="{00000000-0005-0000-0000-000063970000}"/>
    <cellStyle name="Texto de advertencia 6 3" xfId="38756" xr:uid="{00000000-0005-0000-0000-000064970000}"/>
    <cellStyle name="Texto de advertencia 6 4" xfId="38757" xr:uid="{00000000-0005-0000-0000-000065970000}"/>
    <cellStyle name="Texto de advertencia 7" xfId="38758" xr:uid="{00000000-0005-0000-0000-000066970000}"/>
    <cellStyle name="Texto de advertencia 7 2" xfId="38759" xr:uid="{00000000-0005-0000-0000-000067970000}"/>
    <cellStyle name="Texto de advertencia 7 2 2" xfId="38760" xr:uid="{00000000-0005-0000-0000-000068970000}"/>
    <cellStyle name="Texto de advertencia 7 2 3" xfId="38761" xr:uid="{00000000-0005-0000-0000-000069970000}"/>
    <cellStyle name="Texto de advertencia 7 3" xfId="38762" xr:uid="{00000000-0005-0000-0000-00006A970000}"/>
    <cellStyle name="Texto de advertencia 7 4" xfId="38763" xr:uid="{00000000-0005-0000-0000-00006B970000}"/>
    <cellStyle name="Texto de advertencia 8" xfId="38764" xr:uid="{00000000-0005-0000-0000-00006C970000}"/>
    <cellStyle name="Texto de advertencia 8 2" xfId="38765" xr:uid="{00000000-0005-0000-0000-00006D970000}"/>
    <cellStyle name="Texto de advertencia 8 2 2" xfId="38766" xr:uid="{00000000-0005-0000-0000-00006E970000}"/>
    <cellStyle name="Texto de advertencia 8 2 3" xfId="38767" xr:uid="{00000000-0005-0000-0000-00006F970000}"/>
    <cellStyle name="Texto de advertencia 8 3" xfId="38768" xr:uid="{00000000-0005-0000-0000-000070970000}"/>
    <cellStyle name="Texto de advertencia 8 4" xfId="38769" xr:uid="{00000000-0005-0000-0000-000071970000}"/>
    <cellStyle name="Texto de advertencia 9" xfId="38770" xr:uid="{00000000-0005-0000-0000-000072970000}"/>
    <cellStyle name="Texto de advertencia 9 2" xfId="38771" xr:uid="{00000000-0005-0000-0000-000073970000}"/>
    <cellStyle name="Texto de advertencia 9 2 2" xfId="38772" xr:uid="{00000000-0005-0000-0000-000074970000}"/>
    <cellStyle name="Texto de advertencia 9 2 3" xfId="38773" xr:uid="{00000000-0005-0000-0000-000075970000}"/>
    <cellStyle name="Texto de advertencia 9 3" xfId="38774" xr:uid="{00000000-0005-0000-0000-000076970000}"/>
    <cellStyle name="Texto de advertencia 9 4" xfId="38775" xr:uid="{00000000-0005-0000-0000-000077970000}"/>
    <cellStyle name="Texto explicativo 10" xfId="38776" xr:uid="{00000000-0005-0000-0000-000078970000}"/>
    <cellStyle name="Texto explicativo 11" xfId="38777" xr:uid="{00000000-0005-0000-0000-000079970000}"/>
    <cellStyle name="Texto explicativo 2" xfId="38778" xr:uid="{00000000-0005-0000-0000-00007A970000}"/>
    <cellStyle name="Texto explicativo 2 2" xfId="38779" xr:uid="{00000000-0005-0000-0000-00007B970000}"/>
    <cellStyle name="Texto explicativo 2 2 2" xfId="38780" xr:uid="{00000000-0005-0000-0000-00007C970000}"/>
    <cellStyle name="Texto explicativo 2 2 3" xfId="38781" xr:uid="{00000000-0005-0000-0000-00007D970000}"/>
    <cellStyle name="Texto explicativo 2 2 4" xfId="38782" xr:uid="{00000000-0005-0000-0000-00007E970000}"/>
    <cellStyle name="Texto explicativo 2 3" xfId="38783" xr:uid="{00000000-0005-0000-0000-00007F970000}"/>
    <cellStyle name="Texto explicativo 2 4" xfId="38784" xr:uid="{00000000-0005-0000-0000-000080970000}"/>
    <cellStyle name="Texto explicativo 3" xfId="38785" xr:uid="{00000000-0005-0000-0000-000081970000}"/>
    <cellStyle name="Texto explicativo 3 2" xfId="38786" xr:uid="{00000000-0005-0000-0000-000082970000}"/>
    <cellStyle name="Texto explicativo 3 2 2" xfId="38787" xr:uid="{00000000-0005-0000-0000-000083970000}"/>
    <cellStyle name="Texto explicativo 3 2 3" xfId="38788" xr:uid="{00000000-0005-0000-0000-000084970000}"/>
    <cellStyle name="Texto explicativo 3 3" xfId="38789" xr:uid="{00000000-0005-0000-0000-000085970000}"/>
    <cellStyle name="Texto explicativo 3 4" xfId="38790" xr:uid="{00000000-0005-0000-0000-000086970000}"/>
    <cellStyle name="Texto explicativo 4" xfId="38791" xr:uid="{00000000-0005-0000-0000-000087970000}"/>
    <cellStyle name="Texto explicativo 4 2" xfId="38792" xr:uid="{00000000-0005-0000-0000-000088970000}"/>
    <cellStyle name="Texto explicativo 4 2 2" xfId="38793" xr:uid="{00000000-0005-0000-0000-000089970000}"/>
    <cellStyle name="Texto explicativo 4 2 3" xfId="38794" xr:uid="{00000000-0005-0000-0000-00008A970000}"/>
    <cellStyle name="Texto explicativo 4 3" xfId="38795" xr:uid="{00000000-0005-0000-0000-00008B970000}"/>
    <cellStyle name="Texto explicativo 4 4" xfId="38796" xr:uid="{00000000-0005-0000-0000-00008C970000}"/>
    <cellStyle name="Texto explicativo 5" xfId="38797" xr:uid="{00000000-0005-0000-0000-00008D970000}"/>
    <cellStyle name="Texto explicativo 5 2" xfId="38798" xr:uid="{00000000-0005-0000-0000-00008E970000}"/>
    <cellStyle name="Texto explicativo 5 2 2" xfId="38799" xr:uid="{00000000-0005-0000-0000-00008F970000}"/>
    <cellStyle name="Texto explicativo 5 2 3" xfId="38800" xr:uid="{00000000-0005-0000-0000-000090970000}"/>
    <cellStyle name="Texto explicativo 5 3" xfId="38801" xr:uid="{00000000-0005-0000-0000-000091970000}"/>
    <cellStyle name="Texto explicativo 5 4" xfId="38802" xr:uid="{00000000-0005-0000-0000-000092970000}"/>
    <cellStyle name="Texto explicativo 6" xfId="38803" xr:uid="{00000000-0005-0000-0000-000093970000}"/>
    <cellStyle name="Texto explicativo 6 2" xfId="38804" xr:uid="{00000000-0005-0000-0000-000094970000}"/>
    <cellStyle name="Texto explicativo 6 2 2" xfId="38805" xr:uid="{00000000-0005-0000-0000-000095970000}"/>
    <cellStyle name="Texto explicativo 6 2 3" xfId="38806" xr:uid="{00000000-0005-0000-0000-000096970000}"/>
    <cellStyle name="Texto explicativo 6 3" xfId="38807" xr:uid="{00000000-0005-0000-0000-000097970000}"/>
    <cellStyle name="Texto explicativo 6 4" xfId="38808" xr:uid="{00000000-0005-0000-0000-000098970000}"/>
    <cellStyle name="Texto explicativo 7" xfId="38809" xr:uid="{00000000-0005-0000-0000-000099970000}"/>
    <cellStyle name="Texto explicativo 7 2" xfId="38810" xr:uid="{00000000-0005-0000-0000-00009A970000}"/>
    <cellStyle name="Texto explicativo 7 2 2" xfId="38811" xr:uid="{00000000-0005-0000-0000-00009B970000}"/>
    <cellStyle name="Texto explicativo 7 2 3" xfId="38812" xr:uid="{00000000-0005-0000-0000-00009C970000}"/>
    <cellStyle name="Texto explicativo 7 3" xfId="38813" xr:uid="{00000000-0005-0000-0000-00009D970000}"/>
    <cellStyle name="Texto explicativo 7 4" xfId="38814" xr:uid="{00000000-0005-0000-0000-00009E970000}"/>
    <cellStyle name="Texto explicativo 8" xfId="38815" xr:uid="{00000000-0005-0000-0000-00009F970000}"/>
    <cellStyle name="Texto explicativo 8 2" xfId="38816" xr:uid="{00000000-0005-0000-0000-0000A0970000}"/>
    <cellStyle name="Texto explicativo 8 2 2" xfId="38817" xr:uid="{00000000-0005-0000-0000-0000A1970000}"/>
    <cellStyle name="Texto explicativo 8 2 3" xfId="38818" xr:uid="{00000000-0005-0000-0000-0000A2970000}"/>
    <cellStyle name="Texto explicativo 8 3" xfId="38819" xr:uid="{00000000-0005-0000-0000-0000A3970000}"/>
    <cellStyle name="Texto explicativo 8 4" xfId="38820" xr:uid="{00000000-0005-0000-0000-0000A4970000}"/>
    <cellStyle name="Texto explicativo 9" xfId="38821" xr:uid="{00000000-0005-0000-0000-0000A5970000}"/>
    <cellStyle name="Texto explicativo 9 2" xfId="38822" xr:uid="{00000000-0005-0000-0000-0000A6970000}"/>
    <cellStyle name="Texto explicativo 9 3" xfId="38823" xr:uid="{00000000-0005-0000-0000-0000A7970000}"/>
    <cellStyle name="Title" xfId="38824" xr:uid="{00000000-0005-0000-0000-0000A8970000}"/>
    <cellStyle name="Title 2" xfId="38825" xr:uid="{00000000-0005-0000-0000-0000A9970000}"/>
    <cellStyle name="Title 2 2" xfId="38826" xr:uid="{00000000-0005-0000-0000-0000AA970000}"/>
    <cellStyle name="Title 2 2 2" xfId="38827" xr:uid="{00000000-0005-0000-0000-0000AB970000}"/>
    <cellStyle name="Title 2 2 3" xfId="38828" xr:uid="{00000000-0005-0000-0000-0000AC970000}"/>
    <cellStyle name="Title 2 3" xfId="38829" xr:uid="{00000000-0005-0000-0000-0000AD970000}"/>
    <cellStyle name="Title 2 4" xfId="38830" xr:uid="{00000000-0005-0000-0000-0000AE970000}"/>
    <cellStyle name="Title 3" xfId="38831" xr:uid="{00000000-0005-0000-0000-0000AF970000}"/>
    <cellStyle name="Title 3 2" xfId="38832" xr:uid="{00000000-0005-0000-0000-0000B0970000}"/>
    <cellStyle name="Title 3 2 2" xfId="38833" xr:uid="{00000000-0005-0000-0000-0000B1970000}"/>
    <cellStyle name="Title 3 2 3" xfId="38834" xr:uid="{00000000-0005-0000-0000-0000B2970000}"/>
    <cellStyle name="Title 3 3" xfId="38835" xr:uid="{00000000-0005-0000-0000-0000B3970000}"/>
    <cellStyle name="Title 3 4" xfId="38836" xr:uid="{00000000-0005-0000-0000-0000B4970000}"/>
    <cellStyle name="Title 4" xfId="38837" xr:uid="{00000000-0005-0000-0000-0000B5970000}"/>
    <cellStyle name="Title 4 2" xfId="38838" xr:uid="{00000000-0005-0000-0000-0000B6970000}"/>
    <cellStyle name="Title 4 2 2" xfId="38839" xr:uid="{00000000-0005-0000-0000-0000B7970000}"/>
    <cellStyle name="Title 4 2 3" xfId="38840" xr:uid="{00000000-0005-0000-0000-0000B8970000}"/>
    <cellStyle name="Title 4 3" xfId="38841" xr:uid="{00000000-0005-0000-0000-0000B9970000}"/>
    <cellStyle name="Title 4 4" xfId="38842" xr:uid="{00000000-0005-0000-0000-0000BA970000}"/>
    <cellStyle name="Title 5" xfId="38843" xr:uid="{00000000-0005-0000-0000-0000BB970000}"/>
    <cellStyle name="Title 5 2" xfId="38844" xr:uid="{00000000-0005-0000-0000-0000BC970000}"/>
    <cellStyle name="Title 5 2 2" xfId="38845" xr:uid="{00000000-0005-0000-0000-0000BD970000}"/>
    <cellStyle name="Title 5 2 3" xfId="38846" xr:uid="{00000000-0005-0000-0000-0000BE970000}"/>
    <cellStyle name="Title 5 3" xfId="38847" xr:uid="{00000000-0005-0000-0000-0000BF970000}"/>
    <cellStyle name="Title 5 4" xfId="38848" xr:uid="{00000000-0005-0000-0000-0000C0970000}"/>
    <cellStyle name="Title 6" xfId="38849" xr:uid="{00000000-0005-0000-0000-0000C1970000}"/>
    <cellStyle name="Title 6 2" xfId="38850" xr:uid="{00000000-0005-0000-0000-0000C2970000}"/>
    <cellStyle name="Title 6 3" xfId="38851" xr:uid="{00000000-0005-0000-0000-0000C3970000}"/>
    <cellStyle name="Title 7" xfId="38852" xr:uid="{00000000-0005-0000-0000-0000C4970000}"/>
    <cellStyle name="Title 8" xfId="38853" xr:uid="{00000000-0005-0000-0000-0000C5970000}"/>
    <cellStyle name="Título 1 10" xfId="38854" xr:uid="{00000000-0005-0000-0000-0000C6970000}"/>
    <cellStyle name="Título 1 11" xfId="38855" xr:uid="{00000000-0005-0000-0000-0000C7970000}"/>
    <cellStyle name="Título 1 2" xfId="38856" xr:uid="{00000000-0005-0000-0000-0000C8970000}"/>
    <cellStyle name="Título 1 2 2" xfId="38857" xr:uid="{00000000-0005-0000-0000-0000C9970000}"/>
    <cellStyle name="Título 1 2 2 2" xfId="38858" xr:uid="{00000000-0005-0000-0000-0000CA970000}"/>
    <cellStyle name="Título 1 2 2 3" xfId="38859" xr:uid="{00000000-0005-0000-0000-0000CB970000}"/>
    <cellStyle name="Título 1 2 3" xfId="38860" xr:uid="{00000000-0005-0000-0000-0000CC970000}"/>
    <cellStyle name="Título 1 2 4" xfId="38861" xr:uid="{00000000-0005-0000-0000-0000CD970000}"/>
    <cellStyle name="Título 1 3" xfId="38862" xr:uid="{00000000-0005-0000-0000-0000CE970000}"/>
    <cellStyle name="Título 1 3 2" xfId="38863" xr:uid="{00000000-0005-0000-0000-0000CF970000}"/>
    <cellStyle name="Título 1 3 2 2" xfId="38864" xr:uid="{00000000-0005-0000-0000-0000D0970000}"/>
    <cellStyle name="Título 1 3 2 3" xfId="38865" xr:uid="{00000000-0005-0000-0000-0000D1970000}"/>
    <cellStyle name="Título 1 3 3" xfId="38866" xr:uid="{00000000-0005-0000-0000-0000D2970000}"/>
    <cellStyle name="Título 1 3 4" xfId="38867" xr:uid="{00000000-0005-0000-0000-0000D3970000}"/>
    <cellStyle name="Título 1 4" xfId="38868" xr:uid="{00000000-0005-0000-0000-0000D4970000}"/>
    <cellStyle name="Título 1 4 2" xfId="38869" xr:uid="{00000000-0005-0000-0000-0000D5970000}"/>
    <cellStyle name="Título 1 4 2 2" xfId="38870" xr:uid="{00000000-0005-0000-0000-0000D6970000}"/>
    <cellStyle name="Título 1 4 2 3" xfId="38871" xr:uid="{00000000-0005-0000-0000-0000D7970000}"/>
    <cellStyle name="Título 1 4 3" xfId="38872" xr:uid="{00000000-0005-0000-0000-0000D8970000}"/>
    <cellStyle name="Título 1 4 4" xfId="38873" xr:uid="{00000000-0005-0000-0000-0000D9970000}"/>
    <cellStyle name="Título 1 5" xfId="38874" xr:uid="{00000000-0005-0000-0000-0000DA970000}"/>
    <cellStyle name="Título 1 5 2" xfId="38875" xr:uid="{00000000-0005-0000-0000-0000DB970000}"/>
    <cellStyle name="Título 1 5 2 2" xfId="38876" xr:uid="{00000000-0005-0000-0000-0000DC970000}"/>
    <cellStyle name="Título 1 5 2 3" xfId="38877" xr:uid="{00000000-0005-0000-0000-0000DD970000}"/>
    <cellStyle name="Título 1 5 3" xfId="38878" xr:uid="{00000000-0005-0000-0000-0000DE970000}"/>
    <cellStyle name="Título 1 5 4" xfId="38879" xr:uid="{00000000-0005-0000-0000-0000DF970000}"/>
    <cellStyle name="Título 1 6" xfId="38880" xr:uid="{00000000-0005-0000-0000-0000E0970000}"/>
    <cellStyle name="Título 1 6 2" xfId="38881" xr:uid="{00000000-0005-0000-0000-0000E1970000}"/>
    <cellStyle name="Título 1 6 2 2" xfId="38882" xr:uid="{00000000-0005-0000-0000-0000E2970000}"/>
    <cellStyle name="Título 1 6 2 3" xfId="38883" xr:uid="{00000000-0005-0000-0000-0000E3970000}"/>
    <cellStyle name="Título 1 6 3" xfId="38884" xr:uid="{00000000-0005-0000-0000-0000E4970000}"/>
    <cellStyle name="Título 1 6 4" xfId="38885" xr:uid="{00000000-0005-0000-0000-0000E5970000}"/>
    <cellStyle name="Título 1 7" xfId="38886" xr:uid="{00000000-0005-0000-0000-0000E6970000}"/>
    <cellStyle name="Título 1 7 2" xfId="38887" xr:uid="{00000000-0005-0000-0000-0000E7970000}"/>
    <cellStyle name="Título 1 7 2 2" xfId="38888" xr:uid="{00000000-0005-0000-0000-0000E8970000}"/>
    <cellStyle name="Título 1 7 2 3" xfId="38889" xr:uid="{00000000-0005-0000-0000-0000E9970000}"/>
    <cellStyle name="Título 1 7 3" xfId="38890" xr:uid="{00000000-0005-0000-0000-0000EA970000}"/>
    <cellStyle name="Título 1 7 4" xfId="38891" xr:uid="{00000000-0005-0000-0000-0000EB970000}"/>
    <cellStyle name="Título 1 8" xfId="38892" xr:uid="{00000000-0005-0000-0000-0000EC970000}"/>
    <cellStyle name="Título 1 8 2" xfId="38893" xr:uid="{00000000-0005-0000-0000-0000ED970000}"/>
    <cellStyle name="Título 1 8 2 2" xfId="38894" xr:uid="{00000000-0005-0000-0000-0000EE970000}"/>
    <cellStyle name="Título 1 8 2 3" xfId="38895" xr:uid="{00000000-0005-0000-0000-0000EF970000}"/>
    <cellStyle name="Título 1 8 3" xfId="38896" xr:uid="{00000000-0005-0000-0000-0000F0970000}"/>
    <cellStyle name="Título 1 8 4" xfId="38897" xr:uid="{00000000-0005-0000-0000-0000F1970000}"/>
    <cellStyle name="Título 1 9" xfId="38898" xr:uid="{00000000-0005-0000-0000-0000F2970000}"/>
    <cellStyle name="Título 1 9 2" xfId="38899" xr:uid="{00000000-0005-0000-0000-0000F3970000}"/>
    <cellStyle name="Título 1 9 3" xfId="38900" xr:uid="{00000000-0005-0000-0000-0000F4970000}"/>
    <cellStyle name="Título 10" xfId="38901" xr:uid="{00000000-0005-0000-0000-0000F5970000}"/>
    <cellStyle name="Título 10 2" xfId="38902" xr:uid="{00000000-0005-0000-0000-0000F6970000}"/>
    <cellStyle name="Título 10 2 2" xfId="38903" xr:uid="{00000000-0005-0000-0000-0000F7970000}"/>
    <cellStyle name="Título 10 2 3" xfId="38904" xr:uid="{00000000-0005-0000-0000-0000F8970000}"/>
    <cellStyle name="Título 10 3" xfId="38905" xr:uid="{00000000-0005-0000-0000-0000F9970000}"/>
    <cellStyle name="Título 10 4" xfId="38906" xr:uid="{00000000-0005-0000-0000-0000FA970000}"/>
    <cellStyle name="Título 11" xfId="38907" xr:uid="{00000000-0005-0000-0000-0000FB970000}"/>
    <cellStyle name="Título 11 2" xfId="38908" xr:uid="{00000000-0005-0000-0000-0000FC970000}"/>
    <cellStyle name="Título 11 3" xfId="38909" xr:uid="{00000000-0005-0000-0000-0000FD970000}"/>
    <cellStyle name="Título 12" xfId="38910" xr:uid="{00000000-0005-0000-0000-0000FE970000}"/>
    <cellStyle name="Título 13" xfId="38911" xr:uid="{00000000-0005-0000-0000-0000FF970000}"/>
    <cellStyle name="Título 2 10" xfId="38912" xr:uid="{00000000-0005-0000-0000-000000980000}"/>
    <cellStyle name="Título 2 11" xfId="38913" xr:uid="{00000000-0005-0000-0000-000001980000}"/>
    <cellStyle name="Título 2 2" xfId="38914" xr:uid="{00000000-0005-0000-0000-000002980000}"/>
    <cellStyle name="Título 2 2 2" xfId="38915" xr:uid="{00000000-0005-0000-0000-000003980000}"/>
    <cellStyle name="Título 2 2 2 2" xfId="38916" xr:uid="{00000000-0005-0000-0000-000004980000}"/>
    <cellStyle name="Título 2 2 2 3" xfId="38917" xr:uid="{00000000-0005-0000-0000-000005980000}"/>
    <cellStyle name="Título 2 2 2 4" xfId="38918" xr:uid="{00000000-0005-0000-0000-000006980000}"/>
    <cellStyle name="Título 2 2 3" xfId="38919" xr:uid="{00000000-0005-0000-0000-000007980000}"/>
    <cellStyle name="Título 2 2 4" xfId="38920" xr:uid="{00000000-0005-0000-0000-000008980000}"/>
    <cellStyle name="Título 2 3" xfId="38921" xr:uid="{00000000-0005-0000-0000-000009980000}"/>
    <cellStyle name="Título 2 3 2" xfId="38922" xr:uid="{00000000-0005-0000-0000-00000A980000}"/>
    <cellStyle name="Título 2 3 2 2" xfId="38923" xr:uid="{00000000-0005-0000-0000-00000B980000}"/>
    <cellStyle name="Título 2 3 2 3" xfId="38924" xr:uid="{00000000-0005-0000-0000-00000C980000}"/>
    <cellStyle name="Título 2 3 3" xfId="38925" xr:uid="{00000000-0005-0000-0000-00000D980000}"/>
    <cellStyle name="Título 2 3 4" xfId="38926" xr:uid="{00000000-0005-0000-0000-00000E980000}"/>
    <cellStyle name="Título 2 4" xfId="38927" xr:uid="{00000000-0005-0000-0000-00000F980000}"/>
    <cellStyle name="Título 2 4 2" xfId="38928" xr:uid="{00000000-0005-0000-0000-000010980000}"/>
    <cellStyle name="Título 2 4 2 2" xfId="38929" xr:uid="{00000000-0005-0000-0000-000011980000}"/>
    <cellStyle name="Título 2 4 2 3" xfId="38930" xr:uid="{00000000-0005-0000-0000-000012980000}"/>
    <cellStyle name="Título 2 4 3" xfId="38931" xr:uid="{00000000-0005-0000-0000-000013980000}"/>
    <cellStyle name="Título 2 4 4" xfId="38932" xr:uid="{00000000-0005-0000-0000-000014980000}"/>
    <cellStyle name="Título 2 5" xfId="38933" xr:uid="{00000000-0005-0000-0000-000015980000}"/>
    <cellStyle name="Título 2 5 2" xfId="38934" xr:uid="{00000000-0005-0000-0000-000016980000}"/>
    <cellStyle name="Título 2 5 2 2" xfId="38935" xr:uid="{00000000-0005-0000-0000-000017980000}"/>
    <cellStyle name="Título 2 5 2 3" xfId="38936" xr:uid="{00000000-0005-0000-0000-000018980000}"/>
    <cellStyle name="Título 2 5 3" xfId="38937" xr:uid="{00000000-0005-0000-0000-000019980000}"/>
    <cellStyle name="Título 2 5 4" xfId="38938" xr:uid="{00000000-0005-0000-0000-00001A980000}"/>
    <cellStyle name="Título 2 6" xfId="38939" xr:uid="{00000000-0005-0000-0000-00001B980000}"/>
    <cellStyle name="Título 2 6 2" xfId="38940" xr:uid="{00000000-0005-0000-0000-00001C980000}"/>
    <cellStyle name="Título 2 6 2 2" xfId="38941" xr:uid="{00000000-0005-0000-0000-00001D980000}"/>
    <cellStyle name="Título 2 6 2 3" xfId="38942" xr:uid="{00000000-0005-0000-0000-00001E980000}"/>
    <cellStyle name="Título 2 6 3" xfId="38943" xr:uid="{00000000-0005-0000-0000-00001F980000}"/>
    <cellStyle name="Título 2 6 4" xfId="38944" xr:uid="{00000000-0005-0000-0000-000020980000}"/>
    <cellStyle name="Título 2 7" xfId="38945" xr:uid="{00000000-0005-0000-0000-000021980000}"/>
    <cellStyle name="Título 2 7 2" xfId="38946" xr:uid="{00000000-0005-0000-0000-000022980000}"/>
    <cellStyle name="Título 2 7 2 2" xfId="38947" xr:uid="{00000000-0005-0000-0000-000023980000}"/>
    <cellStyle name="Título 2 7 2 3" xfId="38948" xr:uid="{00000000-0005-0000-0000-000024980000}"/>
    <cellStyle name="Título 2 7 3" xfId="38949" xr:uid="{00000000-0005-0000-0000-000025980000}"/>
    <cellStyle name="Título 2 7 4" xfId="38950" xr:uid="{00000000-0005-0000-0000-000026980000}"/>
    <cellStyle name="Título 2 8" xfId="38951" xr:uid="{00000000-0005-0000-0000-000027980000}"/>
    <cellStyle name="Título 2 8 2" xfId="38952" xr:uid="{00000000-0005-0000-0000-000028980000}"/>
    <cellStyle name="Título 2 8 2 2" xfId="38953" xr:uid="{00000000-0005-0000-0000-000029980000}"/>
    <cellStyle name="Título 2 8 2 3" xfId="38954" xr:uid="{00000000-0005-0000-0000-00002A980000}"/>
    <cellStyle name="Título 2 8 3" xfId="38955" xr:uid="{00000000-0005-0000-0000-00002B980000}"/>
    <cellStyle name="Título 2 8 4" xfId="38956" xr:uid="{00000000-0005-0000-0000-00002C980000}"/>
    <cellStyle name="Título 2 9" xfId="38957" xr:uid="{00000000-0005-0000-0000-00002D980000}"/>
    <cellStyle name="Título 2 9 2" xfId="38958" xr:uid="{00000000-0005-0000-0000-00002E980000}"/>
    <cellStyle name="Título 2 9 3" xfId="38959" xr:uid="{00000000-0005-0000-0000-00002F980000}"/>
    <cellStyle name="Título 3 10" xfId="38960" xr:uid="{00000000-0005-0000-0000-000030980000}"/>
    <cellStyle name="Título 3 11" xfId="38961" xr:uid="{00000000-0005-0000-0000-000031980000}"/>
    <cellStyle name="Título 3 2" xfId="38962" xr:uid="{00000000-0005-0000-0000-000032980000}"/>
    <cellStyle name="Título 3 2 2" xfId="38963" xr:uid="{00000000-0005-0000-0000-000033980000}"/>
    <cellStyle name="Título 3 2 2 2" xfId="38964" xr:uid="{00000000-0005-0000-0000-000034980000}"/>
    <cellStyle name="Título 3 2 2 3" xfId="38965" xr:uid="{00000000-0005-0000-0000-000035980000}"/>
    <cellStyle name="Título 3 2 2 4" xfId="38966" xr:uid="{00000000-0005-0000-0000-000036980000}"/>
    <cellStyle name="Título 3 2 3" xfId="38967" xr:uid="{00000000-0005-0000-0000-000037980000}"/>
    <cellStyle name="Título 3 2 4" xfId="38968" xr:uid="{00000000-0005-0000-0000-000038980000}"/>
    <cellStyle name="Título 3 3" xfId="38969" xr:uid="{00000000-0005-0000-0000-000039980000}"/>
    <cellStyle name="Título 3 3 2" xfId="38970" xr:uid="{00000000-0005-0000-0000-00003A980000}"/>
    <cellStyle name="Título 3 3 2 2" xfId="38971" xr:uid="{00000000-0005-0000-0000-00003B980000}"/>
    <cellStyle name="Título 3 3 2 3" xfId="38972" xr:uid="{00000000-0005-0000-0000-00003C980000}"/>
    <cellStyle name="Título 3 3 3" xfId="38973" xr:uid="{00000000-0005-0000-0000-00003D980000}"/>
    <cellStyle name="Título 3 3 4" xfId="38974" xr:uid="{00000000-0005-0000-0000-00003E980000}"/>
    <cellStyle name="Título 3 4" xfId="38975" xr:uid="{00000000-0005-0000-0000-00003F980000}"/>
    <cellStyle name="Título 3 4 2" xfId="38976" xr:uid="{00000000-0005-0000-0000-000040980000}"/>
    <cellStyle name="Título 3 4 2 2" xfId="38977" xr:uid="{00000000-0005-0000-0000-000041980000}"/>
    <cellStyle name="Título 3 4 2 3" xfId="38978" xr:uid="{00000000-0005-0000-0000-000042980000}"/>
    <cellStyle name="Título 3 4 3" xfId="38979" xr:uid="{00000000-0005-0000-0000-000043980000}"/>
    <cellStyle name="Título 3 4 4" xfId="38980" xr:uid="{00000000-0005-0000-0000-000044980000}"/>
    <cellStyle name="Título 3 5" xfId="38981" xr:uid="{00000000-0005-0000-0000-000045980000}"/>
    <cellStyle name="Título 3 5 2" xfId="38982" xr:uid="{00000000-0005-0000-0000-000046980000}"/>
    <cellStyle name="Título 3 5 2 2" xfId="38983" xr:uid="{00000000-0005-0000-0000-000047980000}"/>
    <cellStyle name="Título 3 5 2 3" xfId="38984" xr:uid="{00000000-0005-0000-0000-000048980000}"/>
    <cellStyle name="Título 3 5 3" xfId="38985" xr:uid="{00000000-0005-0000-0000-000049980000}"/>
    <cellStyle name="Título 3 5 4" xfId="38986" xr:uid="{00000000-0005-0000-0000-00004A980000}"/>
    <cellStyle name="Título 3 6" xfId="38987" xr:uid="{00000000-0005-0000-0000-00004B980000}"/>
    <cellStyle name="Título 3 6 2" xfId="38988" xr:uid="{00000000-0005-0000-0000-00004C980000}"/>
    <cellStyle name="Título 3 6 2 2" xfId="38989" xr:uid="{00000000-0005-0000-0000-00004D980000}"/>
    <cellStyle name="Título 3 6 2 3" xfId="38990" xr:uid="{00000000-0005-0000-0000-00004E980000}"/>
    <cellStyle name="Título 3 6 3" xfId="38991" xr:uid="{00000000-0005-0000-0000-00004F980000}"/>
    <cellStyle name="Título 3 6 4" xfId="38992" xr:uid="{00000000-0005-0000-0000-000050980000}"/>
    <cellStyle name="Título 3 7" xfId="38993" xr:uid="{00000000-0005-0000-0000-000051980000}"/>
    <cellStyle name="Título 3 7 2" xfId="38994" xr:uid="{00000000-0005-0000-0000-000052980000}"/>
    <cellStyle name="Título 3 7 2 2" xfId="38995" xr:uid="{00000000-0005-0000-0000-000053980000}"/>
    <cellStyle name="Título 3 7 2 3" xfId="38996" xr:uid="{00000000-0005-0000-0000-000054980000}"/>
    <cellStyle name="Título 3 7 3" xfId="38997" xr:uid="{00000000-0005-0000-0000-000055980000}"/>
    <cellStyle name="Título 3 7 4" xfId="38998" xr:uid="{00000000-0005-0000-0000-000056980000}"/>
    <cellStyle name="Título 3 8" xfId="38999" xr:uid="{00000000-0005-0000-0000-000057980000}"/>
    <cellStyle name="Título 3 8 2" xfId="39000" xr:uid="{00000000-0005-0000-0000-000058980000}"/>
    <cellStyle name="Título 3 8 2 2" xfId="39001" xr:uid="{00000000-0005-0000-0000-000059980000}"/>
    <cellStyle name="Título 3 8 2 3" xfId="39002" xr:uid="{00000000-0005-0000-0000-00005A980000}"/>
    <cellStyle name="Título 3 8 3" xfId="39003" xr:uid="{00000000-0005-0000-0000-00005B980000}"/>
    <cellStyle name="Título 3 8 4" xfId="39004" xr:uid="{00000000-0005-0000-0000-00005C980000}"/>
    <cellStyle name="Título 3 9" xfId="39005" xr:uid="{00000000-0005-0000-0000-00005D980000}"/>
    <cellStyle name="Título 3 9 2" xfId="39006" xr:uid="{00000000-0005-0000-0000-00005E980000}"/>
    <cellStyle name="Título 3 9 3" xfId="39007" xr:uid="{00000000-0005-0000-0000-00005F980000}"/>
    <cellStyle name="Título 4" xfId="39008" xr:uid="{00000000-0005-0000-0000-000060980000}"/>
    <cellStyle name="Título 4 2" xfId="39009" xr:uid="{00000000-0005-0000-0000-000061980000}"/>
    <cellStyle name="Título 4 2 2" xfId="39010" xr:uid="{00000000-0005-0000-0000-000062980000}"/>
    <cellStyle name="Título 4 2 3" xfId="39011" xr:uid="{00000000-0005-0000-0000-000063980000}"/>
    <cellStyle name="Título 4 2 4" xfId="39012" xr:uid="{00000000-0005-0000-0000-000064980000}"/>
    <cellStyle name="Título 4 3" xfId="39013" xr:uid="{00000000-0005-0000-0000-000065980000}"/>
    <cellStyle name="Título 4 4" xfId="39014" xr:uid="{00000000-0005-0000-0000-000066980000}"/>
    <cellStyle name="Título 5" xfId="39015" xr:uid="{00000000-0005-0000-0000-000067980000}"/>
    <cellStyle name="Título 5 2" xfId="39016" xr:uid="{00000000-0005-0000-0000-000068980000}"/>
    <cellStyle name="Título 5 2 2" xfId="39017" xr:uid="{00000000-0005-0000-0000-000069980000}"/>
    <cellStyle name="Título 5 2 3" xfId="39018" xr:uid="{00000000-0005-0000-0000-00006A980000}"/>
    <cellStyle name="Título 5 2 4" xfId="39019" xr:uid="{00000000-0005-0000-0000-00006B980000}"/>
    <cellStyle name="Título 5 3" xfId="39020" xr:uid="{00000000-0005-0000-0000-00006C980000}"/>
    <cellStyle name="Título 5 4" xfId="39021" xr:uid="{00000000-0005-0000-0000-00006D980000}"/>
    <cellStyle name="Título 6" xfId="39022" xr:uid="{00000000-0005-0000-0000-00006E980000}"/>
    <cellStyle name="Título 6 2" xfId="39023" xr:uid="{00000000-0005-0000-0000-00006F980000}"/>
    <cellStyle name="Título 6 2 2" xfId="39024" xr:uid="{00000000-0005-0000-0000-000070980000}"/>
    <cellStyle name="Título 6 2 3" xfId="39025" xr:uid="{00000000-0005-0000-0000-000071980000}"/>
    <cellStyle name="Título 6 3" xfId="39026" xr:uid="{00000000-0005-0000-0000-000072980000}"/>
    <cellStyle name="Título 6 4" xfId="39027" xr:uid="{00000000-0005-0000-0000-000073980000}"/>
    <cellStyle name="Título 7" xfId="39028" xr:uid="{00000000-0005-0000-0000-000074980000}"/>
    <cellStyle name="Título 7 2" xfId="39029" xr:uid="{00000000-0005-0000-0000-000075980000}"/>
    <cellStyle name="Título 7 2 2" xfId="39030" xr:uid="{00000000-0005-0000-0000-000076980000}"/>
    <cellStyle name="Título 7 2 3" xfId="39031" xr:uid="{00000000-0005-0000-0000-000077980000}"/>
    <cellStyle name="Título 7 3" xfId="39032" xr:uid="{00000000-0005-0000-0000-000078980000}"/>
    <cellStyle name="Título 7 4" xfId="39033" xr:uid="{00000000-0005-0000-0000-000079980000}"/>
    <cellStyle name="Título 8" xfId="39034" xr:uid="{00000000-0005-0000-0000-00007A980000}"/>
    <cellStyle name="Título 8 2" xfId="39035" xr:uid="{00000000-0005-0000-0000-00007B980000}"/>
    <cellStyle name="Título 8 2 2" xfId="39036" xr:uid="{00000000-0005-0000-0000-00007C980000}"/>
    <cellStyle name="Título 8 2 3" xfId="39037" xr:uid="{00000000-0005-0000-0000-00007D980000}"/>
    <cellStyle name="Título 8 3" xfId="39038" xr:uid="{00000000-0005-0000-0000-00007E980000}"/>
    <cellStyle name="Título 8 4" xfId="39039" xr:uid="{00000000-0005-0000-0000-00007F980000}"/>
    <cellStyle name="Título 9" xfId="39040" xr:uid="{00000000-0005-0000-0000-000080980000}"/>
    <cellStyle name="Título 9 2" xfId="39041" xr:uid="{00000000-0005-0000-0000-000081980000}"/>
    <cellStyle name="Título 9 2 2" xfId="39042" xr:uid="{00000000-0005-0000-0000-000082980000}"/>
    <cellStyle name="Título 9 2 3" xfId="39043" xr:uid="{00000000-0005-0000-0000-000083980000}"/>
    <cellStyle name="Título 9 3" xfId="39044" xr:uid="{00000000-0005-0000-0000-000084980000}"/>
    <cellStyle name="Título 9 4" xfId="39045" xr:uid="{00000000-0005-0000-0000-000085980000}"/>
    <cellStyle name="Total 2" xfId="39046" xr:uid="{00000000-0005-0000-0000-000086980000}"/>
    <cellStyle name="Total 2 2" xfId="39047" xr:uid="{00000000-0005-0000-0000-000087980000}"/>
    <cellStyle name="Total 2 2 2" xfId="39048" xr:uid="{00000000-0005-0000-0000-000088980000}"/>
    <cellStyle name="Total 2 2 3" xfId="39049" xr:uid="{00000000-0005-0000-0000-000089980000}"/>
    <cellStyle name="Total 2 3" xfId="39050" xr:uid="{00000000-0005-0000-0000-00008A980000}"/>
    <cellStyle name="Total 2 4" xfId="39051" xr:uid="{00000000-0005-0000-0000-00008B980000}"/>
    <cellStyle name="Total 3" xfId="39052" xr:uid="{00000000-0005-0000-0000-00008C980000}"/>
    <cellStyle name="Total 3 2" xfId="39053" xr:uid="{00000000-0005-0000-0000-00008D980000}"/>
    <cellStyle name="Total 3 2 2" xfId="39054" xr:uid="{00000000-0005-0000-0000-00008E980000}"/>
    <cellStyle name="Total 3 2 3" xfId="39055" xr:uid="{00000000-0005-0000-0000-00008F980000}"/>
    <cellStyle name="Total 3 3" xfId="39056" xr:uid="{00000000-0005-0000-0000-000090980000}"/>
    <cellStyle name="Total 3 4" xfId="39057" xr:uid="{00000000-0005-0000-0000-000091980000}"/>
    <cellStyle name="Total 4" xfId="39058" xr:uid="{00000000-0005-0000-0000-000092980000}"/>
    <cellStyle name="Total 4 2" xfId="39059" xr:uid="{00000000-0005-0000-0000-000093980000}"/>
    <cellStyle name="Total 4 2 2" xfId="39060" xr:uid="{00000000-0005-0000-0000-000094980000}"/>
    <cellStyle name="Total 4 2 3" xfId="39061" xr:uid="{00000000-0005-0000-0000-000095980000}"/>
    <cellStyle name="Total 4 3" xfId="39062" xr:uid="{00000000-0005-0000-0000-000096980000}"/>
    <cellStyle name="Total 4 4" xfId="39063" xr:uid="{00000000-0005-0000-0000-000097980000}"/>
    <cellStyle name="Total 5" xfId="39064" xr:uid="{00000000-0005-0000-0000-000098980000}"/>
    <cellStyle name="Total 5 2" xfId="39065" xr:uid="{00000000-0005-0000-0000-000099980000}"/>
    <cellStyle name="Total 5 3" xfId="39066" xr:uid="{00000000-0005-0000-0000-00009A980000}"/>
    <cellStyle name="Total 6" xfId="39067" xr:uid="{00000000-0005-0000-0000-00009B980000}"/>
    <cellStyle name="Total 7" xfId="39068" xr:uid="{00000000-0005-0000-0000-00009C980000}"/>
    <cellStyle name="Warning Text" xfId="39069" xr:uid="{00000000-0005-0000-0000-00009D980000}"/>
    <cellStyle name="Warning Text 2" xfId="39070" xr:uid="{00000000-0005-0000-0000-00009E980000}"/>
    <cellStyle name="Warning Text 2 2" xfId="39071" xr:uid="{00000000-0005-0000-0000-00009F980000}"/>
    <cellStyle name="Warning Text 2 2 2" xfId="39072" xr:uid="{00000000-0005-0000-0000-0000A0980000}"/>
    <cellStyle name="Warning Text 2 2 3" xfId="39073" xr:uid="{00000000-0005-0000-0000-0000A1980000}"/>
    <cellStyle name="Warning Text 2 3" xfId="39074" xr:uid="{00000000-0005-0000-0000-0000A2980000}"/>
    <cellStyle name="Warning Text 2 4" xfId="39075" xr:uid="{00000000-0005-0000-0000-0000A3980000}"/>
    <cellStyle name="Warning Text 3" xfId="39076" xr:uid="{00000000-0005-0000-0000-0000A4980000}"/>
    <cellStyle name="Warning Text 3 2" xfId="39077" xr:uid="{00000000-0005-0000-0000-0000A5980000}"/>
    <cellStyle name="Warning Text 3 2 2" xfId="39078" xr:uid="{00000000-0005-0000-0000-0000A6980000}"/>
    <cellStyle name="Warning Text 3 2 3" xfId="39079" xr:uid="{00000000-0005-0000-0000-0000A7980000}"/>
    <cellStyle name="Warning Text 3 3" xfId="39080" xr:uid="{00000000-0005-0000-0000-0000A8980000}"/>
    <cellStyle name="Warning Text 3 4" xfId="39081" xr:uid="{00000000-0005-0000-0000-0000A9980000}"/>
    <cellStyle name="Warning Text 4" xfId="39082" xr:uid="{00000000-0005-0000-0000-0000AA980000}"/>
    <cellStyle name="Warning Text 4 2" xfId="39083" xr:uid="{00000000-0005-0000-0000-0000AB980000}"/>
    <cellStyle name="Warning Text 4 2 2" xfId="39084" xr:uid="{00000000-0005-0000-0000-0000AC980000}"/>
    <cellStyle name="Warning Text 4 2 3" xfId="39085" xr:uid="{00000000-0005-0000-0000-0000AD980000}"/>
    <cellStyle name="Warning Text 4 3" xfId="39086" xr:uid="{00000000-0005-0000-0000-0000AE980000}"/>
    <cellStyle name="Warning Text 4 4" xfId="39087" xr:uid="{00000000-0005-0000-0000-0000AF980000}"/>
    <cellStyle name="Warning Text 5" xfId="39088" xr:uid="{00000000-0005-0000-0000-0000B0980000}"/>
    <cellStyle name="Warning Text 5 2" xfId="39089" xr:uid="{00000000-0005-0000-0000-0000B1980000}"/>
    <cellStyle name="Warning Text 5 2 2" xfId="39090" xr:uid="{00000000-0005-0000-0000-0000B2980000}"/>
    <cellStyle name="Warning Text 5 2 3" xfId="39091" xr:uid="{00000000-0005-0000-0000-0000B3980000}"/>
    <cellStyle name="Warning Text 5 3" xfId="39092" xr:uid="{00000000-0005-0000-0000-0000B4980000}"/>
    <cellStyle name="Warning Text 5 4" xfId="39093" xr:uid="{00000000-0005-0000-0000-0000B5980000}"/>
    <cellStyle name="Warning Text 6" xfId="39094" xr:uid="{00000000-0005-0000-0000-0000B6980000}"/>
    <cellStyle name="Warning Text 6 2" xfId="39095" xr:uid="{00000000-0005-0000-0000-0000B7980000}"/>
    <cellStyle name="Warning Text 6 3" xfId="39096" xr:uid="{00000000-0005-0000-0000-0000B8980000}"/>
    <cellStyle name="Warning Text 7" xfId="39097" xr:uid="{00000000-0005-0000-0000-0000B9980000}"/>
    <cellStyle name="Warning Text 8" xfId="39098" xr:uid="{00000000-0005-0000-0000-0000BA980000}"/>
    <cellStyle name="好" xfId="39099" xr:uid="{00000000-0005-0000-0000-0000BB980000}"/>
    <cellStyle name="差" xfId="39100" xr:uid="{00000000-0005-0000-0000-0000BC980000}"/>
    <cellStyle name="强调文字颜色 1" xfId="39101" xr:uid="{00000000-0005-0000-0000-0000BD980000}"/>
    <cellStyle name="强调文字颜色 2" xfId="39102" xr:uid="{00000000-0005-0000-0000-0000BE980000}"/>
    <cellStyle name="强调文字颜色 3" xfId="39103" xr:uid="{00000000-0005-0000-0000-0000BF980000}"/>
    <cellStyle name="强调文字颜色 4" xfId="39104" xr:uid="{00000000-0005-0000-0000-0000C0980000}"/>
    <cellStyle name="强调文字颜色 5" xfId="39105" xr:uid="{00000000-0005-0000-0000-0000C1980000}"/>
    <cellStyle name="强调文字颜色 6" xfId="39106" xr:uid="{00000000-0005-0000-0000-0000C2980000}"/>
    <cellStyle name="标题" xfId="39107" xr:uid="{00000000-0005-0000-0000-0000C3980000}"/>
    <cellStyle name="标题 1" xfId="39108" xr:uid="{00000000-0005-0000-0000-0000C4980000}"/>
    <cellStyle name="标题 2" xfId="39109" xr:uid="{00000000-0005-0000-0000-0000C5980000}"/>
    <cellStyle name="标题 3" xfId="39110" xr:uid="{00000000-0005-0000-0000-0000C6980000}"/>
    <cellStyle name="标题 4" xfId="39111" xr:uid="{00000000-0005-0000-0000-0000C7980000}"/>
    <cellStyle name="检查单元格" xfId="39112" xr:uid="{00000000-0005-0000-0000-0000C8980000}"/>
    <cellStyle name="汇总" xfId="39113" xr:uid="{00000000-0005-0000-0000-0000C9980000}"/>
    <cellStyle name="注释" xfId="39114" xr:uid="{00000000-0005-0000-0000-0000CA980000}"/>
    <cellStyle name="解释性文本" xfId="39115" xr:uid="{00000000-0005-0000-0000-0000CB980000}"/>
    <cellStyle name="警告文本" xfId="39116" xr:uid="{00000000-0005-0000-0000-0000CC980000}"/>
    <cellStyle name="计算" xfId="39117" xr:uid="{00000000-0005-0000-0000-0000CD980000}"/>
    <cellStyle name="输入" xfId="39118" xr:uid="{00000000-0005-0000-0000-0000CE980000}"/>
    <cellStyle name="输出" xfId="39119" xr:uid="{00000000-0005-0000-0000-0000CF980000}"/>
    <cellStyle name="适中" xfId="39120" xr:uid="{00000000-0005-0000-0000-0000D0980000}"/>
    <cellStyle name="链接单元格" xfId="39121" xr:uid="{00000000-0005-0000-0000-0000D198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 Type="http://schemas.openxmlformats.org/officeDocument/2006/relationships/worksheet" Target="worksheets/sheet3.xml"/><Relationship Id="rId21" Type="http://schemas.openxmlformats.org/officeDocument/2006/relationships/externalLink" Target="externalLinks/externalLink17.xml"/><Relationship Id="rId34" Type="http://schemas.openxmlformats.org/officeDocument/2006/relationships/customXml" Target="../customXml/item2.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lineacomunicacionesco.sharepoint.com/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ENTREGA%20GERENCIA%20PROYECTO%20BANCO\FACTURACION\AGOSTO\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lineacomunicacionesco.sharepoint.com/Users/lini.hernandez/Downloads/Informe%20Gesti&#243;n%20Incidentes%20CB%20Bancolombia%20Julio%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lineacomunicacionesco.sharepoint.com/Users/Usuario/Desktop/COORDINACI&#211;N%20NOROCCIDENTE/Operacion/INFORME%20DE%20GESTION%20ESTADO%20DIARIO/MATRIZ%20INFORME%20DE%20GESTION%20JULIO/Matriz%20Formato%20Estado%20Diario%20(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Users\Usuario\Desktop\COORDINACI&#211;N%20NOROCCIDENTE\Operacion\INFORME%20DE%20GESTION%20ESTADO%20DIARIO\MATRIZ%20INFORME%20DE%20GESTION%20JULIO\Matriz%20Formato%20Estado%20Diario%20(Juli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lineacomunicacionesco.sharepoint.com/ENTREGA%20GERENCIA%20PROYECTO%20BANCO/FACTURACION/AGOSTO/JESSICA/Matriz%20Formato%20Estado%20Diario%20Zonas%20Remotas%20Juli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lineacomunicacionesco.sharepoint.com/BANCA/COORDINACION%20ZONA%20NOROCCIDENTE/ESTADO%20DIARIO/Estado%20Diario%20Diciembre/Copia%20de%20Matriz%20Formato%20Estado%20Diario%20DICIEMBRE.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Aleja\Downloads\Informe%20Gesti&#243;n%20Incidentes%20CB%20Bancolombia%20V4%2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tasdata01\Gerencia%20de%20Medios%20de%20Acceso%201\Aleja\Downloads\Informe%20Gesti&#243;n%20Incidentes%20CB%20Bancolombia%20V4%20(7).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lineacomunicacionesco.sharepoint.com/personal/lini_hernandez_lineacom_co/Documents/DESCARGAS%207%20DE%20JULIO/FACTURACI&#211;N%202022/OCTUBRE/DATA%20V2/Informe%20Gestion%20CB%20BANCOLOMBIA%202022%20-%20ORDENES%20DE%20CAMBIO%20(1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Lenovo\AppData\Local\Microsoft\Windows\Temporary%20Internet%20Files\Content.Outlook\I8UJS5CV\Informe%20Gesti&#243;n%20Incidentes%20CB%20Bancolombia%20con%20corte%20al%2030%20septiembre%2020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Users\Lenovo\AppData\Local\Microsoft\Windows\Temporary%20Internet%20Files\Content.Outlook\I8UJS5CV\Informe%20Gesti&#243;n%20Incidentes%20CB%20Bancolombia%20con%20corte%20al%2030%20septiembre%202014.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lini.hernandez\Downloads\Informe%20Gesti&#243;n%20Incidentes%20CB%20Bancolombia%20Marzo%202021%20(1).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lineacomunicacionesco.sharepoint.com/Users/lini.hernandez/Downloads/Informe%20Gestion%20de%20Incidentes%20Bancolombia%20Marzo%202021%20(66).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Google%20Drive\Linea%20Comunicaciones\CB%20Proyecto%20Incidentes\2016\Agosto\31%20ago\Informe%20Gesti&#243;n%20Incidentes%20CB%20Bancolombia,%20con%20corte%2031%20agosto.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lineacomunicacionesco.sharepoint.com/Users/adriana.galvis/Downloads/Informe%20Gestion%20Ordenes%20de%20cambio%20CB%20Bancolombia%20Noviembre%2001-%20(1).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lineacomunicacionesco.sharepoint.com/ANALISTA%20APERTURAS%202016/CRECIMIENTO%20Y%20MIGRACIO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Mauricio\Documents\LINEA%20COMUNICACIONES\Informes\Matriz%20Formato%20Estado%20Diario%20%20Costa%20New%201.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lineacomunicacionesco.sharepoint.com/personal/lini_hernandez_lineacom_co/Documents/DESCARGAS%207%20DE%20JULIO/Informe%20Gestion%20Ordenes%20de%20cambio%20CB%20Bancolombia%20Marzo%202021%20(3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JESSICA\Matriz%20Formato%20Estado%20Diario%20Zonas%20Remotas%20Julio.xls"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https://lineacomunicacionesco.sharepoint.com/sites/OperacinBanca/Shared%20Documents/GERENCIA%20DE%20OPERACIONES%20REDEBAN/FACTURACION/2025/OCTUBRE/Liquidacion%20CB%20Capacitaciones%20-%20Servicios%20Octubre%20V1.xlsx" TargetMode="External"/><Relationship Id="rId1" Type="http://schemas.openxmlformats.org/officeDocument/2006/relationships/externalLinkPath" Target="https://lineacomunicacionesco.sharepoint.com/sites/OperacinBanca/Shared%20Documents/GERENCIA%20DE%20OPERACIONES%20REDEBAN/FACTURACION/2025/OCTUBRE/Liquidacion%20CB%20Capacitaciones%20-%20Servicios%20Octubre%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AVAL JUNIO"/>
      <sheetName val="Cerrados RBM JUNIO"/>
      <sheetName val="Cerrados CCO JUNIO"/>
      <sheetName val="Listas Desplegables"/>
      <sheetName val="TIPOLOGÍAS"/>
      <sheetName val="Abiertos CCO"/>
      <sheetName val="Abiertos AVAL"/>
      <sheetName val="Cerrados RBM JULIO"/>
      <sheetName val="Matriz1"/>
      <sheetName val="Cerrados AVAL JULIO"/>
      <sheetName val="Cambio de equipos"/>
      <sheetName val="Cerrados CCO JULIO"/>
      <sheetName val="Gestión de IM(ATH BBVA)"/>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row r="1">
          <cell r="B1" t="str">
            <v>Cerrado</v>
          </cell>
        </row>
        <row r="2">
          <cell r="BB2" t="str">
            <v>CAD</v>
          </cell>
        </row>
        <row r="3">
          <cell r="BB3" t="str">
            <v>DMA Barranquilla</v>
          </cell>
        </row>
        <row r="4">
          <cell r="BB4" t="str">
            <v>DMA Bogotá</v>
          </cell>
        </row>
        <row r="5">
          <cell r="BB5" t="str">
            <v xml:space="preserve">DMA Bucaramanga </v>
          </cell>
        </row>
        <row r="6">
          <cell r="BB6" t="str">
            <v>DMA Cali</v>
          </cell>
        </row>
        <row r="7">
          <cell r="BB7" t="str">
            <v>DMA Cartagena</v>
          </cell>
        </row>
        <row r="8">
          <cell r="BB8" t="str">
            <v>DMA Manizales</v>
          </cell>
        </row>
        <row r="9">
          <cell r="BB9" t="str">
            <v>DMA Medellin</v>
          </cell>
        </row>
        <row r="10">
          <cell r="BB10" t="str">
            <v xml:space="preserve">DMA MONTERIA </v>
          </cell>
        </row>
        <row r="11">
          <cell r="BB11" t="str">
            <v>DMA Pasto</v>
          </cell>
        </row>
        <row r="12">
          <cell r="BB12" t="str">
            <v>DMA Valledupar</v>
          </cell>
        </row>
        <row r="13">
          <cell r="BB13" t="str">
            <v>DMA Villavicencio</v>
          </cell>
        </row>
        <row r="14">
          <cell r="BB14" t="str">
            <v>ETB</v>
          </cell>
        </row>
        <row r="15">
          <cell r="BB15" t="str">
            <v>Línea de Comunicaciones</v>
          </cell>
        </row>
        <row r="16">
          <cell r="BB16" t="str">
            <v>Servicios para los clientes</v>
          </cell>
        </row>
        <row r="17">
          <cell r="BB17" t="str">
            <v>UNE</v>
          </cell>
        </row>
      </sheetData>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row r="1">
          <cell r="U1" t="str">
            <v>Capacitación</v>
          </cell>
          <cell r="AO1" t="str">
            <v>Bancolombia</v>
          </cell>
          <cell r="AP1" t="str">
            <v>Red</v>
          </cell>
          <cell r="AQ1" t="str">
            <v>LíneaComunicaciones</v>
          </cell>
          <cell r="AR1" t="str">
            <v>NoAplica</v>
          </cell>
        </row>
      </sheetData>
      <sheetData sheetId="6"/>
      <sheetData sheetId="7"/>
      <sheetData sheetId="8"/>
      <sheetData sheetId="9"/>
      <sheetData sheetId="1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1"/>
      <sheetName val="Cerrados RBM Abril"/>
      <sheetName val="Cerrados RBM Mayo"/>
      <sheetName val="Cerrados AVAL Abril"/>
      <sheetName val="Cerrados CCO Abril"/>
      <sheetName val="Abiertos RBM"/>
      <sheetName val="Abiertos CCO"/>
      <sheetName val="Abiertos AVAL"/>
      <sheetName val="Cerrados CCO Mayo"/>
      <sheetName val="Gestión de IM(ATH BBVA)"/>
      <sheetName val="Cerrados AVAL Mayo"/>
      <sheetName val="PINPAD AGENTES CLARO"/>
      <sheetName val="Listas Desplegables"/>
      <sheetName val="TIPOLOGÍ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graciones cerrados Enero"/>
      <sheetName val="Matriz"/>
      <sheetName val="Migraciones"/>
      <sheetName val="Cerrados Enero"/>
      <sheetName val="OC Abiertas"/>
      <sheetName val="Cerrados Febrero"/>
      <sheetName val="Rollos RBM"/>
      <sheetName val="Cierres"/>
      <sheetName val="MEGA LINEA"/>
      <sheetName val="Cierres AVAL"/>
      <sheetName val="OC AVAL"/>
      <sheetName val="TIPOLOGÍAS REALES"/>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139">
          <cell r="A1139" t="str">
            <v>AMAZONAS</v>
          </cell>
        </row>
        <row r="1140">
          <cell r="A1140" t="str">
            <v>ANTIOQUIA</v>
          </cell>
        </row>
        <row r="1141">
          <cell r="A1141" t="str">
            <v>ARAUCA</v>
          </cell>
        </row>
        <row r="1142">
          <cell r="A1142" t="str">
            <v>ATLANTICO</v>
          </cell>
        </row>
        <row r="1143">
          <cell r="A1143" t="str">
            <v>BOGOTA</v>
          </cell>
        </row>
        <row r="1144">
          <cell r="A1144" t="str">
            <v>BOLIVAR</v>
          </cell>
        </row>
        <row r="1145">
          <cell r="A1145" t="str">
            <v>BOYACA</v>
          </cell>
        </row>
        <row r="1146">
          <cell r="A1146" t="str">
            <v>CALDAS</v>
          </cell>
        </row>
        <row r="1147">
          <cell r="A1147" t="str">
            <v>CAQUETA</v>
          </cell>
        </row>
        <row r="1148">
          <cell r="A1148" t="str">
            <v>CASANARE</v>
          </cell>
        </row>
        <row r="1149">
          <cell r="A1149" t="str">
            <v>CAUCA</v>
          </cell>
        </row>
        <row r="1150">
          <cell r="A1150" t="str">
            <v>CESAR</v>
          </cell>
        </row>
        <row r="1151">
          <cell r="A1151" t="str">
            <v>CHOCO</v>
          </cell>
        </row>
        <row r="1152">
          <cell r="A1152" t="str">
            <v>CORDOBA</v>
          </cell>
        </row>
        <row r="1153">
          <cell r="A1153" t="str">
            <v>CUNDINAMARCA</v>
          </cell>
        </row>
        <row r="1154">
          <cell r="A1154" t="str">
            <v>GUAINIA</v>
          </cell>
        </row>
        <row r="1155">
          <cell r="A1155" t="str">
            <v>GUAJIRA</v>
          </cell>
        </row>
        <row r="1156">
          <cell r="A1156" t="str">
            <v>GUAVIARE</v>
          </cell>
        </row>
        <row r="1157">
          <cell r="A1157" t="str">
            <v>HUILA</v>
          </cell>
        </row>
        <row r="1158">
          <cell r="A1158" t="str">
            <v>MAGDALENA</v>
          </cell>
        </row>
        <row r="1159">
          <cell r="A1159" t="str">
            <v>META</v>
          </cell>
        </row>
        <row r="1160">
          <cell r="A1160" t="str">
            <v>NORTE_SANTANDER</v>
          </cell>
        </row>
        <row r="1161">
          <cell r="A1161" t="str">
            <v>NARIÑO</v>
          </cell>
        </row>
        <row r="1162">
          <cell r="A1162" t="str">
            <v>PUTUMAYO</v>
          </cell>
        </row>
        <row r="1163">
          <cell r="A1163" t="str">
            <v>QUINDIO</v>
          </cell>
        </row>
        <row r="1164">
          <cell r="A1164" t="str">
            <v>RISARALDA</v>
          </cell>
        </row>
        <row r="1165">
          <cell r="A1165" t="str">
            <v>SAN_ANDRES_PROV</v>
          </cell>
        </row>
        <row r="1166">
          <cell r="A1166" t="str">
            <v>SANTANDER</v>
          </cell>
        </row>
        <row r="1167">
          <cell r="A1167" t="str">
            <v>SUCRE</v>
          </cell>
        </row>
        <row r="1168">
          <cell r="A1168" t="str">
            <v>TOLIMA</v>
          </cell>
        </row>
        <row r="1169">
          <cell r="A1169" t="str">
            <v>VALLE</v>
          </cell>
        </row>
        <row r="1170">
          <cell r="A1170" t="str">
            <v>VAUPES</v>
          </cell>
        </row>
        <row r="1171">
          <cell r="A1171" t="str">
            <v>VICHADA</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3"/>
      <sheetName val="Hoja2"/>
    </sheetNames>
    <sheetDataSet>
      <sheetData sheetId="0" refreshError="1"/>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sheetName val="Cerrados Abril"/>
      <sheetName val="Cerrados Mayo"/>
      <sheetName val="OC Abiertas"/>
      <sheetName val="OC AVAL"/>
      <sheetName val="Cierres"/>
      <sheetName val="Cierres AVAL"/>
      <sheetName val="Rollos RBM"/>
      <sheetName val="Cerrados Marzo"/>
      <sheetName val="TIPOLOGÍAS REALES"/>
      <sheetName val="Listas desplegables"/>
      <sheetName val="Migraciones"/>
      <sheetName val="MEGA LINE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CITACIONES "/>
      <sheetName val="BASE FACTURACION 2025"/>
      <sheetName val="Tabla dinámica"/>
      <sheetName val="CAPACITACIONES APERTURAS"/>
      <sheetName val="CAPACITACION OC "/>
      <sheetName val="CENTRO DE COSTOS"/>
    </sheetNames>
    <sheetDataSet>
      <sheetData sheetId="0" refreshError="1"/>
      <sheetData sheetId="1" refreshError="1"/>
      <sheetData sheetId="2" refreshError="1"/>
      <sheetData sheetId="3" refreshError="1"/>
      <sheetData sheetId="4" refreshError="1">
        <row r="1">
          <cell r="A1" t="str">
            <v>Ciudad Sede</v>
          </cell>
        </row>
        <row r="3">
          <cell r="AW3">
            <v>0</v>
          </cell>
        </row>
      </sheetData>
      <sheetData sheetId="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L18"/>
  <sheetViews>
    <sheetView workbookViewId="0">
      <selection activeCell="K18" sqref="K18"/>
    </sheetView>
  </sheetViews>
  <sheetFormatPr baseColWidth="10" defaultColWidth="11.44140625" defaultRowHeight="14.4"/>
  <cols>
    <col min="1" max="1" width="18.33203125" style="1" customWidth="1"/>
    <col min="2" max="2" width="18.5546875" style="1" bestFit="1" customWidth="1"/>
    <col min="3" max="3" width="21" style="1" customWidth="1"/>
    <col min="4" max="4" width="18.109375" style="1" bestFit="1" customWidth="1"/>
    <col min="5" max="5" width="23.109375" style="1" customWidth="1"/>
    <col min="6" max="6" width="11.88671875" style="1" bestFit="1" customWidth="1"/>
    <col min="7" max="7" width="3.88671875" style="1" customWidth="1"/>
    <col min="8" max="8" width="17.5546875" style="1" customWidth="1"/>
    <col min="9" max="9" width="12" style="1" bestFit="1" customWidth="1"/>
    <col min="10" max="11" width="20.6640625" style="1" customWidth="1"/>
  </cols>
  <sheetData>
    <row r="1" spans="1:12">
      <c r="A1" s="36" t="s">
        <v>0</v>
      </c>
      <c r="B1" s="34"/>
      <c r="C1" s="34"/>
      <c r="D1" s="34"/>
      <c r="E1" s="34"/>
      <c r="F1" s="35"/>
      <c r="H1" s="6" t="s">
        <v>1</v>
      </c>
    </row>
    <row r="2" spans="1:12" ht="63.75" customHeight="1">
      <c r="A2" s="5" t="s">
        <v>2</v>
      </c>
      <c r="B2" s="5" t="s">
        <v>3</v>
      </c>
      <c r="C2" s="5" t="s">
        <v>4</v>
      </c>
      <c r="D2" s="5" t="s">
        <v>5</v>
      </c>
      <c r="E2" s="5" t="s">
        <v>6</v>
      </c>
      <c r="F2" s="6" t="s">
        <v>7</v>
      </c>
      <c r="H2" s="16">
        <v>5.1999999999999998E-2</v>
      </c>
    </row>
    <row r="3" spans="1:12">
      <c r="A3" s="17" t="s">
        <v>8</v>
      </c>
      <c r="B3" s="17" t="s">
        <v>9</v>
      </c>
      <c r="C3" s="18">
        <f>116583.13*(1+$H$2)</f>
        <v>122645.45276000001</v>
      </c>
      <c r="D3" s="18">
        <f>186397.63*(1+$H$2)</f>
        <v>196090.30676000001</v>
      </c>
      <c r="E3" s="18">
        <f>36031.04*(1+$H$2)</f>
        <v>37904.65408</v>
      </c>
      <c r="F3" s="18">
        <f>61943.61*(1+$H$2)</f>
        <v>65164.677720000007</v>
      </c>
      <c r="H3" s="2"/>
      <c r="I3" s="2"/>
      <c r="J3" s="2"/>
      <c r="K3" s="2"/>
    </row>
    <row r="4" spans="1:12">
      <c r="A4" s="17" t="s">
        <v>10</v>
      </c>
      <c r="B4" s="17" t="s">
        <v>11</v>
      </c>
      <c r="C4" s="18">
        <f>116583.13*(1+$H$2)</f>
        <v>122645.45276000001</v>
      </c>
      <c r="D4" s="18">
        <f>239830.52*(1+$H$2)</f>
        <v>252301.70704000001</v>
      </c>
      <c r="E4" s="18">
        <f>36031.04*(1+$H$2)</f>
        <v>37904.65408</v>
      </c>
      <c r="F4" s="18">
        <f>61943.61*(1+$H$2)</f>
        <v>65164.677720000007</v>
      </c>
      <c r="H4" s="2"/>
      <c r="I4" s="2"/>
      <c r="J4" s="2"/>
      <c r="K4" s="2"/>
    </row>
    <row r="5" spans="1:12">
      <c r="A5" s="17" t="s">
        <v>12</v>
      </c>
      <c r="B5" s="17" t="s">
        <v>13</v>
      </c>
      <c r="C5" s="18">
        <f>116583.13*(1+$H$2)</f>
        <v>122645.45276000001</v>
      </c>
      <c r="D5" s="18">
        <f>385797.87*(1+$H$2)</f>
        <v>405859.35924000002</v>
      </c>
      <c r="E5" s="18">
        <f>36031.04*(1+$H$2)</f>
        <v>37904.65408</v>
      </c>
      <c r="F5" s="18">
        <f>61943.61*(1+$H$2)</f>
        <v>65164.677720000007</v>
      </c>
      <c r="H5" s="2"/>
      <c r="I5" s="2"/>
      <c r="J5" s="2"/>
      <c r="K5" s="2"/>
    </row>
    <row r="6" spans="1:12">
      <c r="A6" s="17" t="s">
        <v>14</v>
      </c>
      <c r="B6" s="17" t="s">
        <v>15</v>
      </c>
      <c r="C6" s="18">
        <f>116583.13*(1+$H$2)</f>
        <v>122645.45276000001</v>
      </c>
      <c r="D6" s="18">
        <f>579581.34*(1+$H$2)</f>
        <v>609719.56967999996</v>
      </c>
      <c r="E6" s="18">
        <f>36031.04*(1+$H$2)</f>
        <v>37904.65408</v>
      </c>
      <c r="F6" s="18">
        <f>61943.61*(1+$H$2)</f>
        <v>65164.677720000007</v>
      </c>
      <c r="H6" s="2"/>
      <c r="I6" s="2"/>
      <c r="J6" s="2"/>
      <c r="K6" s="2"/>
    </row>
    <row r="7" spans="1:12">
      <c r="A7" s="17" t="s">
        <v>16</v>
      </c>
      <c r="B7" s="17" t="s">
        <v>17</v>
      </c>
      <c r="C7" s="18">
        <f>116583.13*(1+$H$2)</f>
        <v>122645.45276000001</v>
      </c>
      <c r="D7" s="18">
        <f>579581.34*(1+$H$2)</f>
        <v>609719.56967999996</v>
      </c>
      <c r="E7" s="18">
        <f>36031.04*(1+$H$2)</f>
        <v>37904.65408</v>
      </c>
      <c r="F7" s="18">
        <f>61943.61*(1+$H$2)</f>
        <v>65164.677720000007</v>
      </c>
      <c r="H7" s="2"/>
      <c r="I7" s="2"/>
      <c r="J7" s="2"/>
      <c r="K7" s="2"/>
    </row>
    <row r="8" spans="1:12">
      <c r="A8" s="37" t="s">
        <v>18</v>
      </c>
      <c r="B8" s="34"/>
      <c r="C8" s="34"/>
      <c r="D8" s="34"/>
      <c r="E8" s="34"/>
      <c r="F8" s="35"/>
    </row>
    <row r="9" spans="1:12">
      <c r="A9" s="37" t="s">
        <v>19</v>
      </c>
      <c r="B9" s="34"/>
      <c r="C9" s="34"/>
      <c r="D9" s="34"/>
      <c r="E9" s="34"/>
      <c r="F9" s="35"/>
    </row>
    <row r="11" spans="1:12">
      <c r="A11" s="38" t="s">
        <v>20</v>
      </c>
      <c r="B11" s="34"/>
      <c r="C11" s="34"/>
      <c r="D11" s="35"/>
      <c r="E11" s="11"/>
      <c r="F11" s="11"/>
    </row>
    <row r="12" spans="1:12">
      <c r="A12" s="7" t="s">
        <v>2</v>
      </c>
      <c r="B12" s="7" t="s">
        <v>3</v>
      </c>
      <c r="C12" s="7" t="s">
        <v>21</v>
      </c>
      <c r="D12" s="7" t="s">
        <v>22</v>
      </c>
    </row>
    <row r="13" spans="1:12">
      <c r="A13" s="8" t="s">
        <v>8</v>
      </c>
      <c r="B13" s="8" t="s">
        <v>9</v>
      </c>
      <c r="C13" s="19">
        <f>62700.07*(1+$H$2)</f>
        <v>65960.473639999997</v>
      </c>
      <c r="D13" s="19">
        <f>42357.4*(1+$H$2)</f>
        <v>44559.984800000006</v>
      </c>
      <c r="E13" s="2"/>
      <c r="F13" s="2"/>
      <c r="H13" s="2"/>
      <c r="I13" s="2"/>
      <c r="J13" s="2"/>
      <c r="K13" s="2"/>
      <c r="L13" s="2"/>
    </row>
    <row r="14" spans="1:12">
      <c r="A14" s="8" t="s">
        <v>10</v>
      </c>
      <c r="B14" s="8" t="s">
        <v>11</v>
      </c>
      <c r="C14" s="19">
        <f>155716.31*(1+$H$2)</f>
        <v>163813.55812</v>
      </c>
      <c r="D14" s="19">
        <f>127766.53*(1+$H$2)</f>
        <v>134410.38956000001</v>
      </c>
      <c r="E14" s="2"/>
      <c r="F14" s="2"/>
      <c r="H14" s="2"/>
      <c r="I14" s="2"/>
      <c r="J14" s="2"/>
      <c r="K14" s="2"/>
      <c r="L14" s="2"/>
    </row>
    <row r="15" spans="1:12">
      <c r="A15" s="8" t="s">
        <v>12</v>
      </c>
      <c r="B15" s="8" t="s">
        <v>13</v>
      </c>
      <c r="C15" s="19">
        <f>262099.22*(1+$H$2)</f>
        <v>275728.37943999999</v>
      </c>
      <c r="D15" s="19">
        <f>211886.19*(1+$H$2)</f>
        <v>222904.27188000001</v>
      </c>
      <c r="E15" s="2"/>
      <c r="F15" s="2"/>
      <c r="H15" s="2"/>
      <c r="I15" s="2"/>
      <c r="J15" s="2"/>
      <c r="K15" s="2"/>
      <c r="L15" s="2"/>
    </row>
    <row r="16" spans="1:12" ht="15" customHeight="1">
      <c r="A16" s="8" t="s">
        <v>14</v>
      </c>
      <c r="B16" s="8" t="s">
        <v>15</v>
      </c>
      <c r="C16" s="19">
        <f>455883.78*(1+$H$2)</f>
        <v>479589.73656000005</v>
      </c>
      <c r="D16" s="19">
        <f>441833.68*(1+$H$2)</f>
        <v>464809.03136000002</v>
      </c>
      <c r="E16" s="2"/>
      <c r="F16" s="2"/>
      <c r="H16" s="2"/>
      <c r="I16" s="2"/>
      <c r="J16" s="2"/>
      <c r="K16" s="2"/>
      <c r="L16" s="2"/>
    </row>
    <row r="17" spans="1:12" ht="27" customHeight="1">
      <c r="A17" s="8" t="s">
        <v>23</v>
      </c>
      <c r="B17" s="8" t="s">
        <v>24</v>
      </c>
      <c r="C17" s="19">
        <f>455883.78*(1+$H$2)</f>
        <v>479589.73656000005</v>
      </c>
      <c r="D17" s="19">
        <f>441833.68*(1+$H$2)</f>
        <v>464809.03136000002</v>
      </c>
      <c r="E17" s="2"/>
      <c r="F17" s="2"/>
      <c r="H17" s="2"/>
      <c r="I17" s="2"/>
      <c r="J17" s="2"/>
      <c r="K17" s="2"/>
      <c r="L17" s="2"/>
    </row>
    <row r="18" spans="1:12" s="10" customFormat="1" ht="24" customHeight="1">
      <c r="A18" s="33" t="s">
        <v>25</v>
      </c>
      <c r="B18" s="34"/>
      <c r="C18" s="34"/>
      <c r="D18" s="35"/>
      <c r="E18" s="9"/>
    </row>
  </sheetData>
  <mergeCells count="5">
    <mergeCell ref="A18:D18"/>
    <mergeCell ref="A1:F1"/>
    <mergeCell ref="A9:F9"/>
    <mergeCell ref="A8:F8"/>
    <mergeCell ref="A11:D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CF53F-658D-4F5F-B12B-FABC4A68EECF}">
  <dimension ref="A1:I4"/>
  <sheetViews>
    <sheetView tabSelected="1" topLeftCell="D1" workbookViewId="0">
      <selection activeCell="H2" sqref="H2"/>
    </sheetView>
  </sheetViews>
  <sheetFormatPr baseColWidth="10" defaultRowHeight="14.4"/>
  <cols>
    <col min="1" max="1" width="17.109375" bestFit="1" customWidth="1"/>
    <col min="2" max="2" width="13.44140625" bestFit="1" customWidth="1"/>
    <col min="3" max="3" width="76.6640625" bestFit="1" customWidth="1"/>
    <col min="4" max="4" width="48.109375" bestFit="1" customWidth="1"/>
    <col min="5" max="5" width="38.44140625" bestFit="1" customWidth="1"/>
    <col min="6" max="6" width="23.88671875" bestFit="1" customWidth="1"/>
    <col min="7" max="7" width="21.6640625" bestFit="1" customWidth="1"/>
    <col min="8" max="8" width="22.44140625" bestFit="1" customWidth="1"/>
    <col min="9" max="9" width="23.33203125" bestFit="1" customWidth="1"/>
  </cols>
  <sheetData>
    <row r="1" spans="1:9" ht="15" thickBot="1">
      <c r="A1" s="23" t="s">
        <v>997</v>
      </c>
      <c r="B1" s="24" t="s">
        <v>998</v>
      </c>
      <c r="C1" s="24" t="s">
        <v>999</v>
      </c>
      <c r="D1" s="24" t="s">
        <v>1000</v>
      </c>
      <c r="E1" s="24" t="s">
        <v>1001</v>
      </c>
      <c r="F1" s="24" t="s">
        <v>1002</v>
      </c>
      <c r="G1" s="24" t="s">
        <v>1003</v>
      </c>
      <c r="H1" s="24" t="s">
        <v>1004</v>
      </c>
      <c r="I1" s="24" t="s">
        <v>1005</v>
      </c>
    </row>
    <row r="2" spans="1:9" ht="15" thickBot="1">
      <c r="A2" s="25" t="s">
        <v>1012</v>
      </c>
      <c r="B2" s="26" t="s">
        <v>1006</v>
      </c>
      <c r="C2" s="26" t="s">
        <v>1007</v>
      </c>
      <c r="D2" s="26" t="s">
        <v>1008</v>
      </c>
      <c r="E2" s="26" t="s">
        <v>1009</v>
      </c>
      <c r="F2" s="27">
        <f>COUNTA(CAPACITACIONES_APERTURAS!A:A)-1</f>
        <v>119</v>
      </c>
      <c r="G2" s="28">
        <v>122645</v>
      </c>
      <c r="H2" s="28">
        <f>F2*G2</f>
        <v>14594755</v>
      </c>
      <c r="I2" s="28">
        <f>H2*1.19</f>
        <v>17367758.449999999</v>
      </c>
    </row>
    <row r="3" spans="1:9" ht="15" thickBot="1">
      <c r="A3" s="25" t="str">
        <f>A2</f>
        <v>NOVIEMBRE DE 2025</v>
      </c>
      <c r="B3" s="26" t="s">
        <v>1006</v>
      </c>
      <c r="C3" s="26" t="s">
        <v>1007</v>
      </c>
      <c r="D3" s="26" t="s">
        <v>1010</v>
      </c>
      <c r="E3" s="26" t="s">
        <v>1009</v>
      </c>
      <c r="F3" s="27">
        <v>0</v>
      </c>
      <c r="G3" s="28">
        <v>0</v>
      </c>
      <c r="H3" s="28">
        <f>'[24]CAPACITACION OC '!AW3</f>
        <v>0</v>
      </c>
      <c r="I3" s="28">
        <f t="shared" ref="I3" si="0">H3*1.19</f>
        <v>0</v>
      </c>
    </row>
    <row r="4" spans="1:9" ht="15" thickBot="1">
      <c r="A4" s="39" t="s">
        <v>1011</v>
      </c>
      <c r="B4" s="40"/>
      <c r="C4" s="40"/>
      <c r="D4" s="41"/>
      <c r="E4" s="29" t="s">
        <v>1011</v>
      </c>
      <c r="F4" s="30">
        <f>SUM(F2:F3)</f>
        <v>119</v>
      </c>
      <c r="G4" s="31"/>
      <c r="H4" s="32">
        <f>SUM(H2:H3)</f>
        <v>14594755</v>
      </c>
      <c r="I4" s="32">
        <f>SUM(I2:I3)</f>
        <v>17367758.449999999</v>
      </c>
    </row>
  </sheetData>
  <mergeCells count="1">
    <mergeCell ref="A4:D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selection activeCell="D10" sqref="D10"/>
    </sheetView>
  </sheetViews>
  <sheetFormatPr baseColWidth="10" defaultColWidth="11.44140625" defaultRowHeight="14.4"/>
  <cols>
    <col min="1" max="1" width="15.33203125" style="4" bestFit="1" customWidth="1"/>
    <col min="2" max="2" width="18.33203125" style="4" bestFit="1" customWidth="1"/>
    <col min="3" max="3" width="30.33203125" style="4" bestFit="1" customWidth="1"/>
    <col min="4" max="4" width="34.109375" style="4" bestFit="1" customWidth="1"/>
    <col min="5" max="5" width="11.44140625" style="4" customWidth="1"/>
    <col min="6" max="16384" width="11.44140625" style="4"/>
  </cols>
  <sheetData>
    <row r="1" spans="1:4">
      <c r="A1" s="3" t="s">
        <v>26</v>
      </c>
      <c r="B1" s="3" t="s">
        <v>27</v>
      </c>
      <c r="C1" s="3" t="s">
        <v>28</v>
      </c>
      <c r="D1" s="3" t="s">
        <v>29</v>
      </c>
    </row>
    <row r="2" spans="1:4">
      <c r="A2" s="12" t="s">
        <v>30</v>
      </c>
      <c r="B2" s="13" t="s">
        <v>31</v>
      </c>
      <c r="C2" s="13" t="s">
        <v>32</v>
      </c>
      <c r="D2" s="13" t="s">
        <v>33</v>
      </c>
    </row>
    <row r="3" spans="1:4">
      <c r="A3" s="14" t="s">
        <v>34</v>
      </c>
      <c r="B3" s="15" t="s">
        <v>35</v>
      </c>
      <c r="C3" s="15" t="s">
        <v>36</v>
      </c>
      <c r="D3" s="15" t="s">
        <v>37</v>
      </c>
    </row>
    <row r="4" spans="1:4">
      <c r="A4" s="14" t="s">
        <v>38</v>
      </c>
      <c r="B4" s="15" t="s">
        <v>39</v>
      </c>
      <c r="C4" s="15" t="s">
        <v>40</v>
      </c>
      <c r="D4" s="15" t="s">
        <v>41</v>
      </c>
    </row>
    <row r="5" spans="1:4">
      <c r="A5" s="14" t="s">
        <v>42</v>
      </c>
      <c r="B5" s="15" t="s">
        <v>43</v>
      </c>
      <c r="C5" s="15" t="s">
        <v>44</v>
      </c>
      <c r="D5" s="15" t="s">
        <v>45</v>
      </c>
    </row>
    <row r="6" spans="1:4">
      <c r="A6" s="14" t="s">
        <v>46</v>
      </c>
      <c r="B6" s="15" t="s">
        <v>47</v>
      </c>
      <c r="C6" s="15" t="s">
        <v>48</v>
      </c>
      <c r="D6" s="15" t="s">
        <v>49</v>
      </c>
    </row>
    <row r="7" spans="1:4">
      <c r="A7" s="14" t="s">
        <v>50</v>
      </c>
      <c r="B7" s="15" t="s">
        <v>35</v>
      </c>
      <c r="C7" s="15" t="s">
        <v>36</v>
      </c>
      <c r="D7" s="15" t="s">
        <v>37</v>
      </c>
    </row>
    <row r="8" spans="1:4">
      <c r="A8" s="14" t="s">
        <v>51</v>
      </c>
      <c r="B8" s="15" t="s">
        <v>43</v>
      </c>
      <c r="C8" s="15" t="s">
        <v>44</v>
      </c>
      <c r="D8" s="15" t="s">
        <v>45</v>
      </c>
    </row>
    <row r="9" spans="1:4">
      <c r="A9" s="14" t="s">
        <v>52</v>
      </c>
      <c r="B9" s="15" t="s">
        <v>53</v>
      </c>
      <c r="C9" s="15" t="s">
        <v>54</v>
      </c>
      <c r="D9" s="15" t="s">
        <v>55</v>
      </c>
    </row>
    <row r="10" spans="1:4">
      <c r="A10" s="14" t="s">
        <v>56</v>
      </c>
      <c r="B10" s="15" t="s">
        <v>53</v>
      </c>
      <c r="C10" s="15" t="s">
        <v>54</v>
      </c>
      <c r="D10" s="15" t="s">
        <v>55</v>
      </c>
    </row>
    <row r="11" spans="1:4">
      <c r="A11" s="14" t="s">
        <v>57</v>
      </c>
      <c r="B11" s="15" t="s">
        <v>58</v>
      </c>
      <c r="C11" s="15" t="s">
        <v>59</v>
      </c>
      <c r="D11" s="15" t="s">
        <v>49</v>
      </c>
    </row>
    <row r="12" spans="1:4">
      <c r="A12" s="14" t="s">
        <v>60</v>
      </c>
      <c r="B12" s="15" t="s">
        <v>31</v>
      </c>
      <c r="C12" s="15" t="s">
        <v>32</v>
      </c>
      <c r="D12" s="15" t="s">
        <v>33</v>
      </c>
    </row>
    <row r="13" spans="1:4">
      <c r="A13" s="14" t="s">
        <v>61</v>
      </c>
      <c r="B13" s="15" t="s">
        <v>35</v>
      </c>
      <c r="C13" s="15" t="s">
        <v>36</v>
      </c>
      <c r="D13" s="15" t="s">
        <v>37</v>
      </c>
    </row>
    <row r="14" spans="1:4">
      <c r="A14" s="14" t="s">
        <v>62</v>
      </c>
      <c r="B14" s="15" t="s">
        <v>53</v>
      </c>
      <c r="C14" s="15" t="s">
        <v>54</v>
      </c>
      <c r="D14" s="15" t="s">
        <v>55</v>
      </c>
    </row>
    <row r="15" spans="1:4">
      <c r="A15" s="14" t="s">
        <v>63</v>
      </c>
      <c r="B15" s="15" t="s">
        <v>47</v>
      </c>
      <c r="C15" s="15" t="s">
        <v>48</v>
      </c>
      <c r="D15" s="15" t="s">
        <v>49</v>
      </c>
    </row>
    <row r="16" spans="1:4">
      <c r="A16" s="14" t="s">
        <v>64</v>
      </c>
      <c r="B16" s="15" t="s">
        <v>58</v>
      </c>
      <c r="C16" s="15" t="s">
        <v>59</v>
      </c>
      <c r="D16" s="15" t="s">
        <v>49</v>
      </c>
    </row>
    <row r="17" spans="1:4">
      <c r="A17" s="14" t="s">
        <v>65</v>
      </c>
      <c r="B17" s="15" t="s">
        <v>47</v>
      </c>
      <c r="C17" s="15" t="s">
        <v>48</v>
      </c>
      <c r="D17" s="15" t="s">
        <v>49</v>
      </c>
    </row>
    <row r="18" spans="1:4">
      <c r="A18" s="14" t="s">
        <v>66</v>
      </c>
      <c r="B18" s="15" t="s">
        <v>35</v>
      </c>
      <c r="C18" s="15" t="s">
        <v>36</v>
      </c>
      <c r="D18" s="15" t="s">
        <v>37</v>
      </c>
    </row>
    <row r="19" spans="1:4">
      <c r="A19" s="14" t="s">
        <v>67</v>
      </c>
      <c r="B19" s="15" t="s">
        <v>35</v>
      </c>
      <c r="C19" s="15" t="s">
        <v>36</v>
      </c>
      <c r="D19" s="15" t="s">
        <v>37</v>
      </c>
    </row>
    <row r="20" spans="1:4">
      <c r="A20" s="14" t="s">
        <v>68</v>
      </c>
      <c r="B20" s="15" t="s">
        <v>43</v>
      </c>
      <c r="C20" s="15" t="s">
        <v>44</v>
      </c>
      <c r="D20" s="15" t="s">
        <v>45</v>
      </c>
    </row>
    <row r="21" spans="1:4">
      <c r="A21" s="14" t="s">
        <v>69</v>
      </c>
      <c r="B21" s="15" t="s">
        <v>35</v>
      </c>
      <c r="C21" s="15" t="s">
        <v>36</v>
      </c>
      <c r="D21" s="15" t="s">
        <v>37</v>
      </c>
    </row>
    <row r="22" spans="1:4">
      <c r="A22" s="14" t="s">
        <v>70</v>
      </c>
      <c r="B22" s="15" t="s">
        <v>53</v>
      </c>
      <c r="C22" s="15" t="s">
        <v>54</v>
      </c>
      <c r="D22" s="15" t="s">
        <v>55</v>
      </c>
    </row>
    <row r="23" spans="1:4">
      <c r="A23" s="14" t="s">
        <v>71</v>
      </c>
      <c r="B23" s="15" t="s">
        <v>53</v>
      </c>
      <c r="C23" s="15" t="s">
        <v>54</v>
      </c>
      <c r="D23" s="15" t="s">
        <v>55</v>
      </c>
    </row>
  </sheetData>
  <autoFilter ref="A1:D23"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20"/>
  <sheetViews>
    <sheetView topLeftCell="T1" workbookViewId="0">
      <pane ySplit="1" topLeftCell="A47" activePane="bottomLeft" state="frozen"/>
      <selection pane="bottomLeft" activeCell="Z60" sqref="Z60"/>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1" customWidth="1"/>
    <col min="8" max="8" width="39" customWidth="1"/>
    <col min="9" max="9" width="20" customWidth="1"/>
    <col min="10" max="10" width="25" customWidth="1"/>
    <col min="11" max="11" width="32" customWidth="1"/>
    <col min="12" max="12" width="10" customWidth="1"/>
    <col min="13" max="13" width="31" customWidth="1"/>
    <col min="14" max="14" width="21" customWidth="1"/>
    <col min="15" max="15" width="28" customWidth="1"/>
    <col min="16" max="16" width="11" customWidth="1"/>
    <col min="17" max="17" width="15" customWidth="1"/>
    <col min="18" max="18" width="33" customWidth="1"/>
    <col min="19" max="19" width="50" customWidth="1"/>
    <col min="20" max="20" width="19" customWidth="1"/>
    <col min="21" max="21" width="21" customWidth="1"/>
    <col min="22" max="22" width="14" customWidth="1"/>
    <col min="23" max="23" width="19" customWidth="1"/>
    <col min="24" max="24" width="42" customWidth="1"/>
    <col min="25" max="25" width="23" customWidth="1"/>
    <col min="26" max="26" width="25" customWidth="1"/>
    <col min="27" max="27" width="34" customWidth="1"/>
    <col min="28" max="28" width="39" customWidth="1"/>
    <col min="29" max="29" width="13" customWidth="1"/>
  </cols>
  <sheetData>
    <row r="1" spans="1:29" ht="28.8">
      <c r="A1" s="20" t="s">
        <v>72</v>
      </c>
      <c r="B1" s="20" t="s">
        <v>73</v>
      </c>
      <c r="C1" s="20" t="s">
        <v>74</v>
      </c>
      <c r="D1" s="20" t="s">
        <v>75</v>
      </c>
      <c r="E1" s="20" t="s">
        <v>76</v>
      </c>
      <c r="F1" s="20" t="s">
        <v>77</v>
      </c>
      <c r="G1" s="20" t="s">
        <v>78</v>
      </c>
      <c r="H1" s="20" t="s">
        <v>79</v>
      </c>
      <c r="I1" s="20" t="s">
        <v>80</v>
      </c>
      <c r="J1" s="20" t="s">
        <v>26</v>
      </c>
      <c r="K1" s="20" t="s">
        <v>81</v>
      </c>
      <c r="L1" s="20" t="s">
        <v>82</v>
      </c>
      <c r="M1" s="20" t="s">
        <v>83</v>
      </c>
      <c r="N1" s="20" t="s">
        <v>84</v>
      </c>
      <c r="O1" s="20" t="s">
        <v>85</v>
      </c>
      <c r="P1" s="20" t="s">
        <v>86</v>
      </c>
      <c r="Q1" s="20" t="s">
        <v>87</v>
      </c>
      <c r="R1" s="20" t="s">
        <v>88</v>
      </c>
      <c r="S1" s="20" t="s">
        <v>89</v>
      </c>
      <c r="T1" s="20" t="s">
        <v>90</v>
      </c>
      <c r="U1" s="20" t="s">
        <v>91</v>
      </c>
      <c r="V1" s="20" t="s">
        <v>92</v>
      </c>
      <c r="W1" s="20" t="s">
        <v>93</v>
      </c>
      <c r="X1" s="20" t="s">
        <v>94</v>
      </c>
      <c r="Y1" s="20" t="s">
        <v>95</v>
      </c>
      <c r="Z1" s="20" t="s">
        <v>96</v>
      </c>
      <c r="AA1" s="20" t="s">
        <v>97</v>
      </c>
      <c r="AB1" s="20" t="s">
        <v>98</v>
      </c>
      <c r="AC1" s="20" t="s">
        <v>99</v>
      </c>
    </row>
    <row r="2" spans="1:29">
      <c r="A2" t="s">
        <v>63</v>
      </c>
      <c r="B2" t="s">
        <v>100</v>
      </c>
      <c r="C2" t="s">
        <v>47</v>
      </c>
      <c r="D2" t="s">
        <v>101</v>
      </c>
      <c r="E2" t="s">
        <v>102</v>
      </c>
      <c r="F2" t="s">
        <v>103</v>
      </c>
      <c r="G2" t="s">
        <v>104</v>
      </c>
      <c r="H2" t="s">
        <v>105</v>
      </c>
      <c r="I2" t="s">
        <v>106</v>
      </c>
      <c r="J2" t="s">
        <v>107</v>
      </c>
      <c r="K2" t="s">
        <v>108</v>
      </c>
      <c r="L2" t="s">
        <v>109</v>
      </c>
      <c r="M2" t="s">
        <v>110</v>
      </c>
      <c r="N2" s="21">
        <v>45959.86041666667</v>
      </c>
      <c r="O2" s="21">
        <v>45965.710416666669</v>
      </c>
      <c r="P2" t="s">
        <v>111</v>
      </c>
      <c r="Q2" t="s">
        <v>112</v>
      </c>
      <c r="R2" t="s">
        <v>113</v>
      </c>
      <c r="S2" t="s">
        <v>114</v>
      </c>
      <c r="T2" t="s">
        <v>115</v>
      </c>
      <c r="U2" t="s">
        <v>116</v>
      </c>
      <c r="V2" t="s">
        <v>117</v>
      </c>
      <c r="W2" t="s">
        <v>118</v>
      </c>
      <c r="X2" t="s">
        <v>119</v>
      </c>
      <c r="Y2" s="22">
        <v>1</v>
      </c>
      <c r="Z2" s="22">
        <v>0</v>
      </c>
      <c r="AA2" s="22">
        <v>122645</v>
      </c>
      <c r="AB2" s="22">
        <v>65165</v>
      </c>
      <c r="AC2" s="22">
        <v>122645</v>
      </c>
    </row>
    <row r="3" spans="1:29">
      <c r="A3" t="s">
        <v>63</v>
      </c>
      <c r="B3" t="s">
        <v>100</v>
      </c>
      <c r="C3" t="s">
        <v>47</v>
      </c>
      <c r="D3" t="s">
        <v>101</v>
      </c>
      <c r="E3" t="s">
        <v>120</v>
      </c>
      <c r="F3" t="s">
        <v>121</v>
      </c>
      <c r="G3" t="s">
        <v>104</v>
      </c>
      <c r="H3" t="s">
        <v>105</v>
      </c>
      <c r="I3" t="s">
        <v>106</v>
      </c>
      <c r="J3" t="s">
        <v>107</v>
      </c>
      <c r="K3" t="s">
        <v>122</v>
      </c>
      <c r="L3" t="s">
        <v>109</v>
      </c>
      <c r="M3" t="s">
        <v>123</v>
      </c>
      <c r="N3" s="21">
        <v>45959.861111111109</v>
      </c>
      <c r="O3" s="21">
        <v>45966.826388888891</v>
      </c>
      <c r="P3" t="s">
        <v>111</v>
      </c>
      <c r="Q3" t="s">
        <v>112</v>
      </c>
      <c r="R3" t="s">
        <v>113</v>
      </c>
      <c r="S3" t="s">
        <v>124</v>
      </c>
      <c r="T3" t="s">
        <v>115</v>
      </c>
      <c r="U3" t="s">
        <v>125</v>
      </c>
      <c r="V3" t="s">
        <v>117</v>
      </c>
      <c r="W3" t="s">
        <v>118</v>
      </c>
      <c r="X3" t="s">
        <v>119</v>
      </c>
      <c r="Y3" s="22">
        <v>1</v>
      </c>
      <c r="Z3" s="22">
        <v>0</v>
      </c>
      <c r="AA3" s="22">
        <v>122645</v>
      </c>
      <c r="AB3" s="22">
        <v>65165</v>
      </c>
      <c r="AC3" s="22">
        <v>122645</v>
      </c>
    </row>
    <row r="4" spans="1:29">
      <c r="A4" t="s">
        <v>42</v>
      </c>
      <c r="B4" t="s">
        <v>126</v>
      </c>
      <c r="C4" t="s">
        <v>43</v>
      </c>
      <c r="D4" t="s">
        <v>127</v>
      </c>
      <c r="E4" t="s">
        <v>128</v>
      </c>
      <c r="F4" t="s">
        <v>129</v>
      </c>
      <c r="G4" t="s">
        <v>104</v>
      </c>
      <c r="H4" t="s">
        <v>105</v>
      </c>
      <c r="I4" t="s">
        <v>130</v>
      </c>
      <c r="J4" t="s">
        <v>131</v>
      </c>
      <c r="K4" t="s">
        <v>132</v>
      </c>
      <c r="L4" t="s">
        <v>109</v>
      </c>
      <c r="M4" t="s">
        <v>133</v>
      </c>
      <c r="N4" s="21">
        <v>45959.710416666669</v>
      </c>
      <c r="O4" s="21">
        <v>45965.713194444441</v>
      </c>
      <c r="P4" t="s">
        <v>111</v>
      </c>
      <c r="Q4" t="s">
        <v>112</v>
      </c>
      <c r="R4" t="s">
        <v>113</v>
      </c>
      <c r="S4" t="s">
        <v>134</v>
      </c>
      <c r="T4" t="s">
        <v>115</v>
      </c>
      <c r="U4" t="s">
        <v>135</v>
      </c>
      <c r="V4" t="s">
        <v>136</v>
      </c>
      <c r="W4" t="s">
        <v>137</v>
      </c>
      <c r="X4" t="s">
        <v>138</v>
      </c>
      <c r="Y4" s="22">
        <v>1</v>
      </c>
      <c r="Z4" s="22">
        <v>0</v>
      </c>
      <c r="AA4" s="22">
        <v>122645</v>
      </c>
      <c r="AB4" s="22">
        <v>65165</v>
      </c>
      <c r="AC4" s="22">
        <v>122645</v>
      </c>
    </row>
    <row r="5" spans="1:29">
      <c r="A5" t="s">
        <v>63</v>
      </c>
      <c r="B5" t="s">
        <v>100</v>
      </c>
      <c r="C5" t="s">
        <v>47</v>
      </c>
      <c r="D5" t="s">
        <v>139</v>
      </c>
      <c r="E5" t="s">
        <v>140</v>
      </c>
      <c r="F5" t="s">
        <v>141</v>
      </c>
      <c r="G5" t="s">
        <v>104</v>
      </c>
      <c r="H5" t="s">
        <v>105</v>
      </c>
      <c r="I5" t="s">
        <v>142</v>
      </c>
      <c r="J5" t="s">
        <v>143</v>
      </c>
      <c r="K5" t="s">
        <v>144</v>
      </c>
      <c r="L5" t="s">
        <v>109</v>
      </c>
      <c r="M5" t="s">
        <v>145</v>
      </c>
      <c r="N5" s="21">
        <v>45959.875694444447</v>
      </c>
      <c r="O5" s="21">
        <v>45966.828472222223</v>
      </c>
      <c r="P5" t="s">
        <v>111</v>
      </c>
      <c r="Q5" t="s">
        <v>112</v>
      </c>
      <c r="R5" t="s">
        <v>113</v>
      </c>
      <c r="S5" t="s">
        <v>146</v>
      </c>
      <c r="T5" t="s">
        <v>115</v>
      </c>
      <c r="U5" t="s">
        <v>147</v>
      </c>
      <c r="V5" t="s">
        <v>148</v>
      </c>
      <c r="W5" t="s">
        <v>118</v>
      </c>
      <c r="X5" t="s">
        <v>149</v>
      </c>
      <c r="Y5" s="22">
        <v>1</v>
      </c>
      <c r="Z5" s="22">
        <v>0</v>
      </c>
      <c r="AA5" s="22">
        <v>122645</v>
      </c>
      <c r="AB5" s="22">
        <v>65165</v>
      </c>
      <c r="AC5" s="22">
        <v>122645</v>
      </c>
    </row>
    <row r="6" spans="1:29">
      <c r="A6" t="s">
        <v>60</v>
      </c>
      <c r="B6" t="s">
        <v>150</v>
      </c>
      <c r="C6" t="s">
        <v>31</v>
      </c>
      <c r="D6" t="s">
        <v>151</v>
      </c>
      <c r="E6" t="s">
        <v>152</v>
      </c>
      <c r="F6" t="s">
        <v>153</v>
      </c>
      <c r="G6" t="s">
        <v>104</v>
      </c>
      <c r="H6" t="s">
        <v>105</v>
      </c>
      <c r="I6" t="s">
        <v>154</v>
      </c>
      <c r="J6" t="s">
        <v>60</v>
      </c>
      <c r="K6" t="s">
        <v>155</v>
      </c>
      <c r="L6" t="s">
        <v>109</v>
      </c>
      <c r="M6" t="s">
        <v>156</v>
      </c>
      <c r="N6" s="21">
        <v>45968.333333333343</v>
      </c>
      <c r="O6" s="21">
        <v>45968.644444444442</v>
      </c>
      <c r="R6" t="s">
        <v>113</v>
      </c>
      <c r="S6" t="s">
        <v>157</v>
      </c>
      <c r="T6" t="s">
        <v>115</v>
      </c>
      <c r="U6" t="s">
        <v>158</v>
      </c>
      <c r="V6" t="s">
        <v>159</v>
      </c>
      <c r="W6" t="s">
        <v>118</v>
      </c>
      <c r="X6" t="s">
        <v>160</v>
      </c>
      <c r="Y6" s="22">
        <v>1</v>
      </c>
      <c r="Z6" s="22">
        <v>0</v>
      </c>
      <c r="AA6" s="22">
        <v>122645</v>
      </c>
      <c r="AB6" s="22">
        <v>65165</v>
      </c>
      <c r="AC6" s="22">
        <v>122645</v>
      </c>
    </row>
    <row r="7" spans="1:29">
      <c r="A7" t="s">
        <v>60</v>
      </c>
      <c r="B7" t="s">
        <v>150</v>
      </c>
      <c r="C7" t="s">
        <v>31</v>
      </c>
      <c r="D7" t="s">
        <v>151</v>
      </c>
      <c r="E7" t="s">
        <v>161</v>
      </c>
      <c r="F7" t="s">
        <v>162</v>
      </c>
      <c r="G7" t="s">
        <v>104</v>
      </c>
      <c r="H7" t="s">
        <v>105</v>
      </c>
      <c r="I7" t="s">
        <v>154</v>
      </c>
      <c r="J7" t="s">
        <v>60</v>
      </c>
      <c r="K7" t="s">
        <v>163</v>
      </c>
      <c r="L7" t="s">
        <v>109</v>
      </c>
      <c r="M7" t="s">
        <v>164</v>
      </c>
      <c r="N7" s="21">
        <v>45968.333333333343</v>
      </c>
      <c r="O7" s="21">
        <v>45971.505555555559</v>
      </c>
      <c r="R7" t="s">
        <v>113</v>
      </c>
      <c r="S7" t="s">
        <v>165</v>
      </c>
      <c r="T7" t="s">
        <v>115</v>
      </c>
      <c r="U7" t="s">
        <v>166</v>
      </c>
      <c r="V7" t="s">
        <v>159</v>
      </c>
      <c r="W7" t="s">
        <v>118</v>
      </c>
      <c r="X7" t="s">
        <v>167</v>
      </c>
      <c r="Y7" s="22">
        <v>1</v>
      </c>
      <c r="Z7" s="22">
        <v>0</v>
      </c>
      <c r="AA7" s="22">
        <v>122645</v>
      </c>
      <c r="AB7" s="22">
        <v>65165</v>
      </c>
      <c r="AC7" s="22">
        <v>122645</v>
      </c>
    </row>
    <row r="8" spans="1:29">
      <c r="A8" t="s">
        <v>60</v>
      </c>
      <c r="B8" t="s">
        <v>150</v>
      </c>
      <c r="C8" t="s">
        <v>31</v>
      </c>
      <c r="D8" t="s">
        <v>151</v>
      </c>
      <c r="E8" t="s">
        <v>168</v>
      </c>
      <c r="F8" t="s">
        <v>169</v>
      </c>
      <c r="G8" t="s">
        <v>104</v>
      </c>
      <c r="H8" t="s">
        <v>105</v>
      </c>
      <c r="I8" t="s">
        <v>154</v>
      </c>
      <c r="J8" t="s">
        <v>60</v>
      </c>
      <c r="K8" t="s">
        <v>170</v>
      </c>
      <c r="L8" t="s">
        <v>109</v>
      </c>
      <c r="M8" t="s">
        <v>171</v>
      </c>
      <c r="N8" s="21">
        <v>45968.333333333343</v>
      </c>
      <c r="O8" s="21">
        <v>45971.638194444437</v>
      </c>
      <c r="R8" t="s">
        <v>113</v>
      </c>
      <c r="S8" t="s">
        <v>172</v>
      </c>
      <c r="T8" t="s">
        <v>115</v>
      </c>
      <c r="U8" t="s">
        <v>173</v>
      </c>
      <c r="V8" t="s">
        <v>159</v>
      </c>
      <c r="W8" t="s">
        <v>118</v>
      </c>
      <c r="X8" t="s">
        <v>167</v>
      </c>
      <c r="Y8" s="22">
        <v>1</v>
      </c>
      <c r="Z8" s="22">
        <v>0</v>
      </c>
      <c r="AA8" s="22">
        <v>122645</v>
      </c>
      <c r="AB8" s="22">
        <v>65165</v>
      </c>
      <c r="AC8" s="22">
        <v>122645</v>
      </c>
    </row>
    <row r="9" spans="1:29">
      <c r="A9" t="s">
        <v>60</v>
      </c>
      <c r="B9" t="s">
        <v>150</v>
      </c>
      <c r="C9" t="s">
        <v>31</v>
      </c>
      <c r="D9" t="s">
        <v>151</v>
      </c>
      <c r="E9" t="s">
        <v>174</v>
      </c>
      <c r="F9" t="s">
        <v>175</v>
      </c>
      <c r="G9" t="s">
        <v>104</v>
      </c>
      <c r="H9" t="s">
        <v>105</v>
      </c>
      <c r="I9" t="s">
        <v>154</v>
      </c>
      <c r="J9" t="s">
        <v>60</v>
      </c>
      <c r="K9" t="s">
        <v>176</v>
      </c>
      <c r="L9" t="s">
        <v>109</v>
      </c>
      <c r="M9" t="s">
        <v>177</v>
      </c>
      <c r="N9" s="21">
        <v>45968.333333333343</v>
      </c>
      <c r="O9" s="21">
        <v>45971.748611111107</v>
      </c>
      <c r="R9" t="s">
        <v>113</v>
      </c>
      <c r="S9" t="s">
        <v>178</v>
      </c>
      <c r="T9" t="s">
        <v>115</v>
      </c>
      <c r="U9" t="s">
        <v>179</v>
      </c>
      <c r="V9" t="s">
        <v>159</v>
      </c>
      <c r="W9" t="s">
        <v>118</v>
      </c>
      <c r="X9" t="s">
        <v>180</v>
      </c>
      <c r="Y9" s="22">
        <v>1</v>
      </c>
      <c r="Z9" s="22">
        <v>0</v>
      </c>
      <c r="AA9" s="22">
        <v>122645</v>
      </c>
      <c r="AB9" s="22">
        <v>65165</v>
      </c>
      <c r="AC9" s="22">
        <v>122645</v>
      </c>
    </row>
    <row r="10" spans="1:29">
      <c r="A10" t="s">
        <v>60</v>
      </c>
      <c r="B10" t="s">
        <v>150</v>
      </c>
      <c r="C10" t="s">
        <v>31</v>
      </c>
      <c r="D10" t="s">
        <v>151</v>
      </c>
      <c r="E10" t="s">
        <v>181</v>
      </c>
      <c r="F10" t="s">
        <v>182</v>
      </c>
      <c r="G10" t="s">
        <v>104</v>
      </c>
      <c r="H10" t="s">
        <v>105</v>
      </c>
      <c r="I10" t="s">
        <v>154</v>
      </c>
      <c r="J10" t="s">
        <v>60</v>
      </c>
      <c r="K10" t="s">
        <v>183</v>
      </c>
      <c r="L10" t="s">
        <v>109</v>
      </c>
      <c r="M10" t="s">
        <v>184</v>
      </c>
      <c r="N10" s="21">
        <v>45968.333333333343</v>
      </c>
      <c r="O10" s="21">
        <v>45971.551388888889</v>
      </c>
      <c r="R10" t="s">
        <v>113</v>
      </c>
      <c r="S10" t="s">
        <v>185</v>
      </c>
      <c r="T10" t="s">
        <v>115</v>
      </c>
      <c r="U10" t="s">
        <v>186</v>
      </c>
      <c r="V10" t="s">
        <v>159</v>
      </c>
      <c r="W10" t="s">
        <v>118</v>
      </c>
      <c r="X10" t="s">
        <v>180</v>
      </c>
      <c r="Y10" s="22">
        <v>1</v>
      </c>
      <c r="Z10" s="22">
        <v>0</v>
      </c>
      <c r="AA10" s="22">
        <v>122645</v>
      </c>
      <c r="AB10" s="22">
        <v>65165</v>
      </c>
      <c r="AC10" s="22">
        <v>122645</v>
      </c>
    </row>
    <row r="11" spans="1:29">
      <c r="A11" t="s">
        <v>60</v>
      </c>
      <c r="B11" t="s">
        <v>150</v>
      </c>
      <c r="C11" t="s">
        <v>31</v>
      </c>
      <c r="D11" t="s">
        <v>187</v>
      </c>
      <c r="E11" t="s">
        <v>188</v>
      </c>
      <c r="F11" t="s">
        <v>189</v>
      </c>
      <c r="G11" t="s">
        <v>104</v>
      </c>
      <c r="H11" t="s">
        <v>105</v>
      </c>
      <c r="I11" t="s">
        <v>154</v>
      </c>
      <c r="J11" t="s">
        <v>190</v>
      </c>
      <c r="K11" t="s">
        <v>191</v>
      </c>
      <c r="L11" t="s">
        <v>109</v>
      </c>
      <c r="M11" t="s">
        <v>192</v>
      </c>
      <c r="N11" s="21">
        <v>45968.333333333343</v>
      </c>
      <c r="O11" s="21">
        <v>45968.67083333333</v>
      </c>
      <c r="R11" t="s">
        <v>113</v>
      </c>
      <c r="S11" t="s">
        <v>193</v>
      </c>
      <c r="T11" t="s">
        <v>115</v>
      </c>
      <c r="U11" t="s">
        <v>194</v>
      </c>
      <c r="V11" t="s">
        <v>159</v>
      </c>
      <c r="W11" t="s">
        <v>118</v>
      </c>
      <c r="X11" t="s">
        <v>167</v>
      </c>
      <c r="Y11" s="22">
        <v>1</v>
      </c>
      <c r="Z11" s="22">
        <v>0</v>
      </c>
      <c r="AA11" s="22">
        <v>122645</v>
      </c>
      <c r="AB11" s="22">
        <v>65165</v>
      </c>
      <c r="AC11" s="22">
        <v>122645</v>
      </c>
    </row>
    <row r="12" spans="1:29">
      <c r="A12" t="s">
        <v>60</v>
      </c>
      <c r="B12" t="s">
        <v>150</v>
      </c>
      <c r="C12" t="s">
        <v>31</v>
      </c>
      <c r="D12" t="s">
        <v>195</v>
      </c>
      <c r="E12" t="s">
        <v>196</v>
      </c>
      <c r="F12" t="s">
        <v>197</v>
      </c>
      <c r="G12" t="s">
        <v>104</v>
      </c>
      <c r="H12" t="s">
        <v>105</v>
      </c>
      <c r="I12" t="s">
        <v>154</v>
      </c>
      <c r="J12" t="s">
        <v>198</v>
      </c>
      <c r="K12" t="s">
        <v>199</v>
      </c>
      <c r="L12" t="s">
        <v>109</v>
      </c>
      <c r="M12" t="s">
        <v>200</v>
      </c>
      <c r="N12" s="21">
        <v>45968.333333333343</v>
      </c>
      <c r="O12" s="21">
        <v>45968.560416666667</v>
      </c>
      <c r="R12" t="s">
        <v>113</v>
      </c>
      <c r="S12" t="s">
        <v>201</v>
      </c>
      <c r="T12" t="s">
        <v>115</v>
      </c>
      <c r="U12" t="s">
        <v>202</v>
      </c>
      <c r="V12" t="s">
        <v>159</v>
      </c>
      <c r="W12" t="s">
        <v>118</v>
      </c>
      <c r="X12" t="s">
        <v>167</v>
      </c>
      <c r="Y12" s="22">
        <v>1</v>
      </c>
      <c r="Z12" s="22">
        <v>0</v>
      </c>
      <c r="AA12" s="22">
        <v>122645</v>
      </c>
      <c r="AB12" s="22">
        <v>65165</v>
      </c>
      <c r="AC12" s="22">
        <v>122645</v>
      </c>
    </row>
    <row r="13" spans="1:29">
      <c r="A13" t="s">
        <v>60</v>
      </c>
      <c r="B13" t="s">
        <v>150</v>
      </c>
      <c r="C13" t="s">
        <v>31</v>
      </c>
      <c r="D13" t="s">
        <v>203</v>
      </c>
      <c r="E13" t="s">
        <v>204</v>
      </c>
      <c r="F13" t="s">
        <v>205</v>
      </c>
      <c r="G13" t="s">
        <v>104</v>
      </c>
      <c r="H13" t="s">
        <v>105</v>
      </c>
      <c r="I13" t="s">
        <v>154</v>
      </c>
      <c r="J13" t="s">
        <v>206</v>
      </c>
      <c r="K13" t="s">
        <v>207</v>
      </c>
      <c r="L13" t="s">
        <v>109</v>
      </c>
      <c r="M13" t="s">
        <v>208</v>
      </c>
      <c r="N13" s="21">
        <v>45968.333333333343</v>
      </c>
      <c r="O13" s="21">
        <v>45968.624305555553</v>
      </c>
      <c r="R13" t="s">
        <v>113</v>
      </c>
      <c r="S13" t="s">
        <v>209</v>
      </c>
      <c r="T13" t="s">
        <v>115</v>
      </c>
      <c r="U13" t="s">
        <v>210</v>
      </c>
      <c r="V13" t="s">
        <v>211</v>
      </c>
      <c r="W13" t="s">
        <v>118</v>
      </c>
      <c r="X13" t="s">
        <v>212</v>
      </c>
      <c r="Y13" s="22">
        <v>1</v>
      </c>
      <c r="Z13" s="22">
        <v>0</v>
      </c>
      <c r="AA13" s="22">
        <v>122645</v>
      </c>
      <c r="AB13" s="22">
        <v>65165</v>
      </c>
      <c r="AC13" s="22">
        <v>122645</v>
      </c>
    </row>
    <row r="14" spans="1:29">
      <c r="A14" t="s">
        <v>42</v>
      </c>
      <c r="B14" t="s">
        <v>126</v>
      </c>
      <c r="C14" t="s">
        <v>43</v>
      </c>
      <c r="D14" t="s">
        <v>213</v>
      </c>
      <c r="E14" t="s">
        <v>214</v>
      </c>
      <c r="F14" t="s">
        <v>215</v>
      </c>
      <c r="G14" t="s">
        <v>104</v>
      </c>
      <c r="H14" t="s">
        <v>105</v>
      </c>
      <c r="I14" t="s">
        <v>216</v>
      </c>
      <c r="J14" t="s">
        <v>217</v>
      </c>
      <c r="K14" t="s">
        <v>218</v>
      </c>
      <c r="L14" t="s">
        <v>109</v>
      </c>
      <c r="M14" t="s">
        <v>219</v>
      </c>
      <c r="N14" s="21">
        <v>45968.333333333343</v>
      </c>
      <c r="O14" s="21">
        <v>45971.732638888891</v>
      </c>
      <c r="R14" t="s">
        <v>113</v>
      </c>
      <c r="S14" t="s">
        <v>220</v>
      </c>
      <c r="T14" t="s">
        <v>115</v>
      </c>
      <c r="U14" t="s">
        <v>221</v>
      </c>
      <c r="V14" t="s">
        <v>136</v>
      </c>
      <c r="W14" t="s">
        <v>222</v>
      </c>
      <c r="X14" t="s">
        <v>223</v>
      </c>
      <c r="Y14" s="22">
        <v>1</v>
      </c>
      <c r="Z14" s="22">
        <v>0</v>
      </c>
      <c r="AA14" s="22">
        <v>122645</v>
      </c>
      <c r="AB14" s="22">
        <v>65165</v>
      </c>
      <c r="AC14" s="22">
        <v>122645</v>
      </c>
    </row>
    <row r="15" spans="1:29">
      <c r="A15" t="s">
        <v>42</v>
      </c>
      <c r="B15" t="s">
        <v>126</v>
      </c>
      <c r="C15" t="s">
        <v>43</v>
      </c>
      <c r="D15" t="s">
        <v>213</v>
      </c>
      <c r="E15" t="s">
        <v>224</v>
      </c>
      <c r="F15" t="s">
        <v>225</v>
      </c>
      <c r="G15" t="s">
        <v>104</v>
      </c>
      <c r="H15" t="s">
        <v>105</v>
      </c>
      <c r="I15" t="s">
        <v>216</v>
      </c>
      <c r="J15" t="s">
        <v>217</v>
      </c>
      <c r="K15" t="s">
        <v>226</v>
      </c>
      <c r="L15" t="s">
        <v>109</v>
      </c>
      <c r="M15" t="s">
        <v>227</v>
      </c>
      <c r="N15" s="21">
        <v>45968.333333333343</v>
      </c>
      <c r="O15" s="21">
        <v>45972.450694444437</v>
      </c>
      <c r="R15" t="s">
        <v>113</v>
      </c>
      <c r="S15" t="s">
        <v>228</v>
      </c>
      <c r="T15" t="s">
        <v>115</v>
      </c>
      <c r="U15" t="s">
        <v>229</v>
      </c>
      <c r="V15" t="s">
        <v>136</v>
      </c>
      <c r="W15" t="s">
        <v>222</v>
      </c>
      <c r="X15" t="s">
        <v>223</v>
      </c>
      <c r="Y15" s="22">
        <v>1</v>
      </c>
      <c r="Z15" s="22">
        <v>0</v>
      </c>
      <c r="AA15" s="22">
        <v>122645</v>
      </c>
      <c r="AB15" s="22">
        <v>65165</v>
      </c>
      <c r="AC15" s="22">
        <v>122645</v>
      </c>
    </row>
    <row r="16" spans="1:29">
      <c r="A16" t="s">
        <v>42</v>
      </c>
      <c r="B16" t="s">
        <v>126</v>
      </c>
      <c r="C16" t="s">
        <v>43</v>
      </c>
      <c r="D16" t="s">
        <v>213</v>
      </c>
      <c r="E16" t="s">
        <v>230</v>
      </c>
      <c r="F16" t="s">
        <v>231</v>
      </c>
      <c r="G16" t="s">
        <v>104</v>
      </c>
      <c r="H16" t="s">
        <v>105</v>
      </c>
      <c r="I16" t="s">
        <v>216</v>
      </c>
      <c r="J16" t="s">
        <v>217</v>
      </c>
      <c r="K16" t="s">
        <v>232</v>
      </c>
      <c r="L16" t="s">
        <v>109</v>
      </c>
      <c r="M16" t="s">
        <v>233</v>
      </c>
      <c r="N16" s="21">
        <v>45968.333333333343</v>
      </c>
      <c r="O16" s="21">
        <v>45972.675000000003</v>
      </c>
      <c r="R16" t="s">
        <v>113</v>
      </c>
      <c r="S16" t="s">
        <v>234</v>
      </c>
      <c r="T16" t="s">
        <v>115</v>
      </c>
      <c r="U16" t="s">
        <v>235</v>
      </c>
      <c r="V16" t="s">
        <v>136</v>
      </c>
      <c r="W16" t="s">
        <v>222</v>
      </c>
      <c r="X16" t="s">
        <v>223</v>
      </c>
      <c r="Y16" s="22">
        <v>1</v>
      </c>
      <c r="Z16" s="22">
        <v>0</v>
      </c>
      <c r="AA16" s="22">
        <v>122645</v>
      </c>
      <c r="AB16" s="22">
        <v>65165</v>
      </c>
      <c r="AC16" s="22">
        <v>122645</v>
      </c>
    </row>
    <row r="17" spans="1:29">
      <c r="A17" t="s">
        <v>68</v>
      </c>
      <c r="B17" t="s">
        <v>126</v>
      </c>
      <c r="C17" t="s">
        <v>43</v>
      </c>
      <c r="D17" t="s">
        <v>236</v>
      </c>
      <c r="E17" t="s">
        <v>237</v>
      </c>
      <c r="F17" t="s">
        <v>238</v>
      </c>
      <c r="G17" t="s">
        <v>104</v>
      </c>
      <c r="H17" t="s">
        <v>105</v>
      </c>
      <c r="I17" t="s">
        <v>239</v>
      </c>
      <c r="J17" t="s">
        <v>240</v>
      </c>
      <c r="K17" t="s">
        <v>241</v>
      </c>
      <c r="L17" t="s">
        <v>109</v>
      </c>
      <c r="M17" t="s">
        <v>242</v>
      </c>
      <c r="N17" s="21">
        <v>45968.333333333343</v>
      </c>
      <c r="O17" s="21">
        <v>45971.975694444453</v>
      </c>
      <c r="R17" t="s">
        <v>113</v>
      </c>
      <c r="S17" t="s">
        <v>243</v>
      </c>
      <c r="T17" t="s">
        <v>115</v>
      </c>
      <c r="U17" t="s">
        <v>244</v>
      </c>
      <c r="V17" t="s">
        <v>211</v>
      </c>
      <c r="W17" t="s">
        <v>118</v>
      </c>
      <c r="X17" t="s">
        <v>245</v>
      </c>
      <c r="Y17" s="22">
        <v>1</v>
      </c>
      <c r="Z17" s="22">
        <v>0</v>
      </c>
      <c r="AA17" s="22">
        <v>122645</v>
      </c>
      <c r="AB17" s="22">
        <v>65165</v>
      </c>
      <c r="AC17" s="22">
        <v>122645</v>
      </c>
    </row>
    <row r="18" spans="1:29">
      <c r="A18" t="s">
        <v>61</v>
      </c>
      <c r="B18" t="s">
        <v>246</v>
      </c>
      <c r="C18" t="s">
        <v>35</v>
      </c>
      <c r="D18" t="s">
        <v>247</v>
      </c>
      <c r="E18" t="s">
        <v>248</v>
      </c>
      <c r="F18" t="s">
        <v>249</v>
      </c>
      <c r="G18" t="s">
        <v>104</v>
      </c>
      <c r="H18" t="s">
        <v>105</v>
      </c>
      <c r="I18" t="s">
        <v>250</v>
      </c>
      <c r="J18" t="s">
        <v>251</v>
      </c>
      <c r="K18" t="s">
        <v>252</v>
      </c>
      <c r="L18" t="s">
        <v>109</v>
      </c>
      <c r="M18" t="s">
        <v>253</v>
      </c>
      <c r="N18" s="21">
        <v>45968.333333333343</v>
      </c>
      <c r="O18" s="21">
        <v>45968.715277777781</v>
      </c>
      <c r="R18" t="s">
        <v>113</v>
      </c>
      <c r="S18" t="s">
        <v>254</v>
      </c>
      <c r="T18" t="s">
        <v>115</v>
      </c>
      <c r="U18" t="s">
        <v>255</v>
      </c>
      <c r="V18" t="s">
        <v>211</v>
      </c>
      <c r="W18" t="s">
        <v>118</v>
      </c>
      <c r="X18" t="s">
        <v>256</v>
      </c>
      <c r="Y18" s="22">
        <v>1</v>
      </c>
      <c r="Z18" s="22">
        <v>0</v>
      </c>
      <c r="AA18" s="22">
        <v>122645</v>
      </c>
      <c r="AB18" s="22">
        <v>65165</v>
      </c>
      <c r="AC18" s="22">
        <v>122645</v>
      </c>
    </row>
    <row r="19" spans="1:29">
      <c r="A19" t="s">
        <v>38</v>
      </c>
      <c r="B19" t="s">
        <v>257</v>
      </c>
      <c r="C19" t="s">
        <v>39</v>
      </c>
      <c r="D19" t="s">
        <v>258</v>
      </c>
      <c r="E19" t="s">
        <v>259</v>
      </c>
      <c r="F19" t="s">
        <v>260</v>
      </c>
      <c r="G19" t="s">
        <v>104</v>
      </c>
      <c r="H19" t="s">
        <v>105</v>
      </c>
      <c r="I19" t="s">
        <v>257</v>
      </c>
      <c r="J19" t="s">
        <v>261</v>
      </c>
      <c r="K19" t="s">
        <v>262</v>
      </c>
      <c r="L19" t="s">
        <v>109</v>
      </c>
      <c r="M19" t="s">
        <v>263</v>
      </c>
      <c r="N19" s="21">
        <v>45968.333333333343</v>
      </c>
      <c r="O19" s="21">
        <v>45971.484027777777</v>
      </c>
      <c r="R19" t="s">
        <v>113</v>
      </c>
      <c r="S19" t="s">
        <v>264</v>
      </c>
      <c r="T19" t="s">
        <v>115</v>
      </c>
      <c r="U19" t="s">
        <v>265</v>
      </c>
      <c r="V19" t="s">
        <v>159</v>
      </c>
      <c r="W19" t="s">
        <v>118</v>
      </c>
      <c r="X19" t="s">
        <v>266</v>
      </c>
      <c r="Y19" s="22">
        <v>1</v>
      </c>
      <c r="Z19" s="22">
        <v>0</v>
      </c>
      <c r="AA19" s="22">
        <v>122645</v>
      </c>
      <c r="AB19" s="22">
        <v>65165</v>
      </c>
      <c r="AC19" s="22">
        <v>122645</v>
      </c>
    </row>
    <row r="20" spans="1:29">
      <c r="A20" t="s">
        <v>66</v>
      </c>
      <c r="B20" t="s">
        <v>246</v>
      </c>
      <c r="C20" t="s">
        <v>35</v>
      </c>
      <c r="D20" t="s">
        <v>267</v>
      </c>
      <c r="E20" t="s">
        <v>268</v>
      </c>
      <c r="F20" t="s">
        <v>269</v>
      </c>
      <c r="G20" t="s">
        <v>104</v>
      </c>
      <c r="H20" t="s">
        <v>105</v>
      </c>
      <c r="I20" t="s">
        <v>270</v>
      </c>
      <c r="J20" t="s">
        <v>271</v>
      </c>
      <c r="K20" t="s">
        <v>272</v>
      </c>
      <c r="L20" t="s">
        <v>109</v>
      </c>
      <c r="M20" t="s">
        <v>273</v>
      </c>
      <c r="N20" s="21">
        <v>45968.333333333343</v>
      </c>
      <c r="O20" s="21">
        <v>45971.624305555553</v>
      </c>
      <c r="R20" t="s">
        <v>113</v>
      </c>
      <c r="S20" t="s">
        <v>274</v>
      </c>
      <c r="T20" t="s">
        <v>115</v>
      </c>
      <c r="U20" t="s">
        <v>275</v>
      </c>
      <c r="V20" t="s">
        <v>117</v>
      </c>
      <c r="W20" t="s">
        <v>118</v>
      </c>
      <c r="X20" t="s">
        <v>276</v>
      </c>
      <c r="Y20" s="22">
        <v>1</v>
      </c>
      <c r="Z20" s="22">
        <v>0</v>
      </c>
      <c r="AA20" s="22">
        <v>122645</v>
      </c>
      <c r="AB20" s="22">
        <v>65165</v>
      </c>
      <c r="AC20" s="22">
        <v>122645</v>
      </c>
    </row>
    <row r="21" spans="1:29">
      <c r="A21" t="s">
        <v>66</v>
      </c>
      <c r="B21" t="s">
        <v>246</v>
      </c>
      <c r="C21" t="s">
        <v>35</v>
      </c>
      <c r="D21" t="s">
        <v>277</v>
      </c>
      <c r="E21" t="s">
        <v>278</v>
      </c>
      <c r="F21" t="s">
        <v>279</v>
      </c>
      <c r="G21" t="s">
        <v>104</v>
      </c>
      <c r="H21" t="s">
        <v>105</v>
      </c>
      <c r="I21" t="s">
        <v>280</v>
      </c>
      <c r="J21" t="s">
        <v>66</v>
      </c>
      <c r="K21" t="s">
        <v>281</v>
      </c>
      <c r="L21" t="s">
        <v>109</v>
      </c>
      <c r="M21" t="s">
        <v>282</v>
      </c>
      <c r="N21" s="21">
        <v>45968.333333333343</v>
      </c>
      <c r="O21" s="21">
        <v>45968.668055555558</v>
      </c>
      <c r="R21" t="s">
        <v>113</v>
      </c>
      <c r="S21" t="s">
        <v>283</v>
      </c>
      <c r="T21" t="s">
        <v>115</v>
      </c>
      <c r="U21" t="s">
        <v>284</v>
      </c>
      <c r="V21" t="s">
        <v>159</v>
      </c>
      <c r="W21" t="s">
        <v>118</v>
      </c>
      <c r="X21" t="s">
        <v>276</v>
      </c>
      <c r="Y21" s="22">
        <v>1</v>
      </c>
      <c r="Z21" s="22">
        <v>0</v>
      </c>
      <c r="AA21" s="22">
        <v>122645</v>
      </c>
      <c r="AB21" s="22">
        <v>65165</v>
      </c>
      <c r="AC21" s="22">
        <v>122645</v>
      </c>
    </row>
    <row r="22" spans="1:29">
      <c r="A22" t="s">
        <v>63</v>
      </c>
      <c r="B22" t="s">
        <v>100</v>
      </c>
      <c r="C22" t="s">
        <v>47</v>
      </c>
      <c r="D22" t="s">
        <v>285</v>
      </c>
      <c r="E22" t="s">
        <v>286</v>
      </c>
      <c r="F22" t="s">
        <v>287</v>
      </c>
      <c r="G22" t="s">
        <v>104</v>
      </c>
      <c r="H22" t="s">
        <v>105</v>
      </c>
      <c r="I22" t="s">
        <v>106</v>
      </c>
      <c r="J22" t="s">
        <v>63</v>
      </c>
      <c r="K22" t="s">
        <v>288</v>
      </c>
      <c r="L22" t="s">
        <v>109</v>
      </c>
      <c r="M22" t="s">
        <v>289</v>
      </c>
      <c r="N22" s="21">
        <v>45968.333333333343</v>
      </c>
      <c r="O22" s="21">
        <v>45968.29583333333</v>
      </c>
      <c r="R22" t="s">
        <v>113</v>
      </c>
      <c r="S22" t="s">
        <v>290</v>
      </c>
      <c r="T22" t="s">
        <v>115</v>
      </c>
      <c r="U22" t="s">
        <v>291</v>
      </c>
      <c r="V22" t="s">
        <v>159</v>
      </c>
      <c r="W22" t="s">
        <v>118</v>
      </c>
      <c r="X22" t="s">
        <v>292</v>
      </c>
      <c r="Y22" s="22">
        <v>1</v>
      </c>
      <c r="Z22" s="22">
        <v>0</v>
      </c>
      <c r="AA22" s="22">
        <v>122645</v>
      </c>
      <c r="AB22" s="22">
        <v>65165</v>
      </c>
      <c r="AC22" s="22">
        <v>122645</v>
      </c>
    </row>
    <row r="23" spans="1:29">
      <c r="A23" t="s">
        <v>63</v>
      </c>
      <c r="B23" t="s">
        <v>100</v>
      </c>
      <c r="C23" t="s">
        <v>47</v>
      </c>
      <c r="D23" t="s">
        <v>285</v>
      </c>
      <c r="E23" t="s">
        <v>293</v>
      </c>
      <c r="F23" t="s">
        <v>294</v>
      </c>
      <c r="G23" t="s">
        <v>104</v>
      </c>
      <c r="H23" t="s">
        <v>105</v>
      </c>
      <c r="I23" t="s">
        <v>106</v>
      </c>
      <c r="J23" t="s">
        <v>63</v>
      </c>
      <c r="K23" t="s">
        <v>295</v>
      </c>
      <c r="L23" t="s">
        <v>109</v>
      </c>
      <c r="M23" t="s">
        <v>296</v>
      </c>
      <c r="N23" s="21">
        <v>45968.333333333343</v>
      </c>
      <c r="O23" s="21">
        <v>45968.561805555553</v>
      </c>
      <c r="R23" t="s">
        <v>113</v>
      </c>
      <c r="S23" t="s">
        <v>297</v>
      </c>
      <c r="T23" t="s">
        <v>115</v>
      </c>
      <c r="U23" t="s">
        <v>298</v>
      </c>
      <c r="V23" t="s">
        <v>159</v>
      </c>
      <c r="W23" t="s">
        <v>118</v>
      </c>
      <c r="X23" t="s">
        <v>292</v>
      </c>
      <c r="Y23" s="22">
        <v>1</v>
      </c>
      <c r="Z23" s="22">
        <v>0</v>
      </c>
      <c r="AA23" s="22">
        <v>122645</v>
      </c>
      <c r="AB23" s="22">
        <v>65165</v>
      </c>
      <c r="AC23" s="22">
        <v>122645</v>
      </c>
    </row>
    <row r="24" spans="1:29">
      <c r="A24" t="s">
        <v>51</v>
      </c>
      <c r="B24" t="s">
        <v>126</v>
      </c>
      <c r="C24" t="s">
        <v>43</v>
      </c>
      <c r="D24" t="s">
        <v>299</v>
      </c>
      <c r="E24" t="s">
        <v>300</v>
      </c>
      <c r="F24" t="s">
        <v>301</v>
      </c>
      <c r="G24" t="s">
        <v>104</v>
      </c>
      <c r="H24" t="s">
        <v>105</v>
      </c>
      <c r="I24" t="s">
        <v>302</v>
      </c>
      <c r="J24" t="s">
        <v>51</v>
      </c>
      <c r="K24" t="s">
        <v>303</v>
      </c>
      <c r="L24" t="s">
        <v>109</v>
      </c>
      <c r="M24" t="s">
        <v>304</v>
      </c>
      <c r="N24" s="21">
        <v>45968.333333333343</v>
      </c>
      <c r="O24" s="21">
        <v>45971.556944444441</v>
      </c>
      <c r="R24" t="s">
        <v>113</v>
      </c>
      <c r="S24" t="s">
        <v>305</v>
      </c>
      <c r="T24" t="s">
        <v>115</v>
      </c>
      <c r="U24" t="s">
        <v>306</v>
      </c>
      <c r="V24" t="s">
        <v>159</v>
      </c>
      <c r="W24" t="s">
        <v>118</v>
      </c>
      <c r="X24" t="s">
        <v>307</v>
      </c>
      <c r="Y24" s="22">
        <v>1</v>
      </c>
      <c r="Z24" s="22">
        <v>0</v>
      </c>
      <c r="AA24" s="22">
        <v>122645</v>
      </c>
      <c r="AB24" s="22">
        <v>65165</v>
      </c>
      <c r="AC24" s="22">
        <v>122645</v>
      </c>
    </row>
    <row r="25" spans="1:29">
      <c r="A25" t="s">
        <v>51</v>
      </c>
      <c r="B25" t="s">
        <v>126</v>
      </c>
      <c r="C25" t="s">
        <v>43</v>
      </c>
      <c r="D25" t="s">
        <v>299</v>
      </c>
      <c r="E25" t="s">
        <v>308</v>
      </c>
      <c r="F25" t="s">
        <v>309</v>
      </c>
      <c r="G25" t="s">
        <v>104</v>
      </c>
      <c r="H25" t="s">
        <v>105</v>
      </c>
      <c r="I25" t="s">
        <v>302</v>
      </c>
      <c r="J25" t="s">
        <v>51</v>
      </c>
      <c r="K25" t="s">
        <v>310</v>
      </c>
      <c r="L25" t="s">
        <v>109</v>
      </c>
      <c r="M25" t="s">
        <v>311</v>
      </c>
      <c r="N25" s="21">
        <v>45968.333333333343</v>
      </c>
      <c r="O25" s="21">
        <v>45971.758333333331</v>
      </c>
      <c r="R25" t="s">
        <v>113</v>
      </c>
      <c r="S25" t="s">
        <v>312</v>
      </c>
      <c r="T25" t="s">
        <v>115</v>
      </c>
      <c r="U25" t="s">
        <v>313</v>
      </c>
      <c r="V25" t="s">
        <v>159</v>
      </c>
      <c r="W25" t="s">
        <v>118</v>
      </c>
      <c r="X25" t="s">
        <v>314</v>
      </c>
      <c r="Y25" s="22">
        <v>1</v>
      </c>
      <c r="Z25" s="22">
        <v>0</v>
      </c>
      <c r="AA25" s="22">
        <v>122645</v>
      </c>
      <c r="AB25" s="22">
        <v>65165</v>
      </c>
      <c r="AC25" s="22">
        <v>122645</v>
      </c>
    </row>
    <row r="26" spans="1:29">
      <c r="A26" t="s">
        <v>51</v>
      </c>
      <c r="B26" t="s">
        <v>126</v>
      </c>
      <c r="C26" t="s">
        <v>43</v>
      </c>
      <c r="D26" t="s">
        <v>299</v>
      </c>
      <c r="E26" t="s">
        <v>315</v>
      </c>
      <c r="F26" t="s">
        <v>316</v>
      </c>
      <c r="G26" t="s">
        <v>104</v>
      </c>
      <c r="H26" t="s">
        <v>105</v>
      </c>
      <c r="I26" t="s">
        <v>302</v>
      </c>
      <c r="J26" t="s">
        <v>51</v>
      </c>
      <c r="K26" t="s">
        <v>317</v>
      </c>
      <c r="L26" t="s">
        <v>109</v>
      </c>
      <c r="M26" t="s">
        <v>318</v>
      </c>
      <c r="N26" s="21">
        <v>45968.333333333343</v>
      </c>
      <c r="O26" s="21">
        <v>45971.671527777777</v>
      </c>
      <c r="R26" t="s">
        <v>113</v>
      </c>
      <c r="S26" t="s">
        <v>319</v>
      </c>
      <c r="T26" t="s">
        <v>115</v>
      </c>
      <c r="U26" t="s">
        <v>320</v>
      </c>
      <c r="V26" t="s">
        <v>159</v>
      </c>
      <c r="W26" t="s">
        <v>118</v>
      </c>
      <c r="X26" t="s">
        <v>321</v>
      </c>
      <c r="Y26" s="22">
        <v>1</v>
      </c>
      <c r="Z26" s="22">
        <v>0</v>
      </c>
      <c r="AA26" s="22">
        <v>122645</v>
      </c>
      <c r="AB26" s="22">
        <v>65165</v>
      </c>
      <c r="AC26" s="22">
        <v>122645</v>
      </c>
    </row>
    <row r="27" spans="1:29">
      <c r="A27" t="s">
        <v>51</v>
      </c>
      <c r="B27" t="s">
        <v>126</v>
      </c>
      <c r="C27" t="s">
        <v>43</v>
      </c>
      <c r="D27" t="s">
        <v>322</v>
      </c>
      <c r="E27" t="s">
        <v>323</v>
      </c>
      <c r="F27" t="s">
        <v>324</v>
      </c>
      <c r="G27" t="s">
        <v>104</v>
      </c>
      <c r="H27" t="s">
        <v>105</v>
      </c>
      <c r="I27" t="s">
        <v>302</v>
      </c>
      <c r="J27" t="s">
        <v>325</v>
      </c>
      <c r="K27" t="s">
        <v>326</v>
      </c>
      <c r="L27" t="s">
        <v>109</v>
      </c>
      <c r="M27" t="s">
        <v>327</v>
      </c>
      <c r="N27" s="21">
        <v>45968.333333333343</v>
      </c>
      <c r="O27" s="21">
        <v>45974.401388888888</v>
      </c>
      <c r="R27" t="s">
        <v>113</v>
      </c>
      <c r="S27" t="s">
        <v>328</v>
      </c>
      <c r="T27" t="s">
        <v>115</v>
      </c>
      <c r="U27" t="s">
        <v>329</v>
      </c>
      <c r="V27" t="s">
        <v>148</v>
      </c>
      <c r="W27" t="s">
        <v>118</v>
      </c>
      <c r="X27" t="s">
        <v>321</v>
      </c>
      <c r="Y27" s="22">
        <v>1</v>
      </c>
      <c r="Z27" s="22">
        <v>0</v>
      </c>
      <c r="AA27" s="22">
        <v>122645</v>
      </c>
      <c r="AB27" s="22">
        <v>65165</v>
      </c>
      <c r="AC27" s="22">
        <v>122645</v>
      </c>
    </row>
    <row r="28" spans="1:29">
      <c r="A28" t="s">
        <v>51</v>
      </c>
      <c r="B28" t="s">
        <v>126</v>
      </c>
      <c r="C28" t="s">
        <v>43</v>
      </c>
      <c r="D28" t="s">
        <v>330</v>
      </c>
      <c r="E28" t="s">
        <v>331</v>
      </c>
      <c r="F28" t="s">
        <v>332</v>
      </c>
      <c r="G28" t="s">
        <v>104</v>
      </c>
      <c r="H28" t="s">
        <v>105</v>
      </c>
      <c r="I28" t="s">
        <v>302</v>
      </c>
      <c r="J28" t="s">
        <v>333</v>
      </c>
      <c r="K28" t="s">
        <v>334</v>
      </c>
      <c r="L28" t="s">
        <v>109</v>
      </c>
      <c r="M28" t="s">
        <v>335</v>
      </c>
      <c r="N28" s="21">
        <v>45968.333333333343</v>
      </c>
      <c r="O28" s="21">
        <v>45979.62222222222</v>
      </c>
      <c r="R28" t="s">
        <v>113</v>
      </c>
      <c r="S28" t="s">
        <v>336</v>
      </c>
      <c r="T28" t="s">
        <v>115</v>
      </c>
      <c r="U28" t="s">
        <v>337</v>
      </c>
      <c r="V28" t="s">
        <v>136</v>
      </c>
      <c r="W28" t="s">
        <v>118</v>
      </c>
      <c r="X28" t="s">
        <v>338</v>
      </c>
      <c r="Y28" s="22">
        <v>1</v>
      </c>
      <c r="Z28" s="22">
        <v>0</v>
      </c>
      <c r="AA28" s="22">
        <v>122645</v>
      </c>
      <c r="AB28" s="22">
        <v>65165</v>
      </c>
      <c r="AC28" s="22">
        <v>122645</v>
      </c>
    </row>
    <row r="29" spans="1:29">
      <c r="A29" t="s">
        <v>64</v>
      </c>
      <c r="B29" t="s">
        <v>100</v>
      </c>
      <c r="C29" t="s">
        <v>58</v>
      </c>
      <c r="D29" t="s">
        <v>339</v>
      </c>
      <c r="E29" t="s">
        <v>340</v>
      </c>
      <c r="F29" t="s">
        <v>341</v>
      </c>
      <c r="G29" t="s">
        <v>104</v>
      </c>
      <c r="H29" t="s">
        <v>105</v>
      </c>
      <c r="I29" t="s">
        <v>342</v>
      </c>
      <c r="J29" t="s">
        <v>343</v>
      </c>
      <c r="K29" t="s">
        <v>344</v>
      </c>
      <c r="L29" t="s">
        <v>109</v>
      </c>
      <c r="M29" t="s">
        <v>345</v>
      </c>
      <c r="N29" s="21">
        <v>45968.333333333343</v>
      </c>
      <c r="O29" s="21">
        <v>45968.299305555563</v>
      </c>
      <c r="R29" t="s">
        <v>113</v>
      </c>
      <c r="S29" t="s">
        <v>346</v>
      </c>
      <c r="T29" t="s">
        <v>115</v>
      </c>
      <c r="U29" t="s">
        <v>347</v>
      </c>
      <c r="V29" t="s">
        <v>159</v>
      </c>
      <c r="W29" t="s">
        <v>118</v>
      </c>
      <c r="X29" t="s">
        <v>348</v>
      </c>
      <c r="Y29" s="22">
        <v>1</v>
      </c>
      <c r="Z29" s="22">
        <v>0</v>
      </c>
      <c r="AA29" s="22">
        <v>122645</v>
      </c>
      <c r="AB29" s="22">
        <v>65165</v>
      </c>
      <c r="AC29" s="22">
        <v>122645</v>
      </c>
    </row>
    <row r="30" spans="1:29">
      <c r="A30" t="s">
        <v>42</v>
      </c>
      <c r="B30" t="s">
        <v>126</v>
      </c>
      <c r="C30" t="s">
        <v>43</v>
      </c>
      <c r="D30" t="s">
        <v>349</v>
      </c>
      <c r="E30" t="s">
        <v>350</v>
      </c>
      <c r="F30" t="s">
        <v>351</v>
      </c>
      <c r="G30" t="s">
        <v>104</v>
      </c>
      <c r="H30" t="s">
        <v>105</v>
      </c>
      <c r="I30" t="s">
        <v>352</v>
      </c>
      <c r="J30" t="s">
        <v>42</v>
      </c>
      <c r="K30" t="s">
        <v>353</v>
      </c>
      <c r="L30" t="s">
        <v>109</v>
      </c>
      <c r="M30" t="s">
        <v>354</v>
      </c>
      <c r="N30" s="21">
        <v>45968.333333333343</v>
      </c>
      <c r="O30" s="21">
        <v>45968.53402777778</v>
      </c>
      <c r="R30" t="s">
        <v>113</v>
      </c>
      <c r="S30" t="s">
        <v>355</v>
      </c>
      <c r="T30" t="s">
        <v>115</v>
      </c>
      <c r="U30" t="s">
        <v>356</v>
      </c>
      <c r="V30" t="s">
        <v>159</v>
      </c>
      <c r="W30" t="s">
        <v>118</v>
      </c>
      <c r="X30" t="s">
        <v>223</v>
      </c>
      <c r="Y30" s="22">
        <v>1</v>
      </c>
      <c r="Z30" s="22">
        <v>0</v>
      </c>
      <c r="AA30" s="22">
        <v>122645</v>
      </c>
      <c r="AB30" s="22">
        <v>65165</v>
      </c>
      <c r="AC30" s="22">
        <v>122645</v>
      </c>
    </row>
    <row r="31" spans="1:29">
      <c r="A31" t="s">
        <v>42</v>
      </c>
      <c r="B31" t="s">
        <v>126</v>
      </c>
      <c r="C31" t="s">
        <v>43</v>
      </c>
      <c r="D31" t="s">
        <v>357</v>
      </c>
      <c r="E31" t="s">
        <v>358</v>
      </c>
      <c r="F31" t="s">
        <v>359</v>
      </c>
      <c r="G31" t="s">
        <v>104</v>
      </c>
      <c r="H31" t="s">
        <v>105</v>
      </c>
      <c r="I31" t="s">
        <v>352</v>
      </c>
      <c r="J31" t="s">
        <v>360</v>
      </c>
      <c r="K31" t="s">
        <v>361</v>
      </c>
      <c r="L31" t="s">
        <v>109</v>
      </c>
      <c r="M31" t="s">
        <v>362</v>
      </c>
      <c r="N31" s="21">
        <v>45968.333333333343</v>
      </c>
      <c r="O31" s="21">
        <v>45968.661805555559</v>
      </c>
      <c r="R31" t="s">
        <v>113</v>
      </c>
      <c r="S31" t="s">
        <v>363</v>
      </c>
      <c r="T31" t="s">
        <v>115</v>
      </c>
      <c r="U31" t="s">
        <v>364</v>
      </c>
      <c r="V31" t="s">
        <v>117</v>
      </c>
      <c r="W31" t="s">
        <v>118</v>
      </c>
      <c r="X31" t="s">
        <v>365</v>
      </c>
      <c r="Y31" s="22">
        <v>1</v>
      </c>
      <c r="Z31" s="22">
        <v>0</v>
      </c>
      <c r="AA31" s="22">
        <v>122645</v>
      </c>
      <c r="AB31" s="22">
        <v>65165</v>
      </c>
      <c r="AC31" s="22">
        <v>122645</v>
      </c>
    </row>
    <row r="32" spans="1:29">
      <c r="A32" t="s">
        <v>56</v>
      </c>
      <c r="B32" t="s">
        <v>366</v>
      </c>
      <c r="C32" t="s">
        <v>53</v>
      </c>
      <c r="D32" t="s">
        <v>367</v>
      </c>
      <c r="E32" t="s">
        <v>368</v>
      </c>
      <c r="F32" t="s">
        <v>369</v>
      </c>
      <c r="G32" t="s">
        <v>104</v>
      </c>
      <c r="H32" t="s">
        <v>105</v>
      </c>
      <c r="I32" t="s">
        <v>370</v>
      </c>
      <c r="J32" t="s">
        <v>56</v>
      </c>
      <c r="K32" t="s">
        <v>371</v>
      </c>
      <c r="L32" t="s">
        <v>109</v>
      </c>
      <c r="M32" t="s">
        <v>372</v>
      </c>
      <c r="N32" s="21">
        <v>45968.333333333343</v>
      </c>
      <c r="O32" s="21">
        <v>45971.693055555559</v>
      </c>
      <c r="R32" t="s">
        <v>113</v>
      </c>
      <c r="S32" t="s">
        <v>373</v>
      </c>
      <c r="T32" t="s">
        <v>115</v>
      </c>
      <c r="U32" t="s">
        <v>374</v>
      </c>
      <c r="V32" t="s">
        <v>159</v>
      </c>
      <c r="W32" t="s">
        <v>118</v>
      </c>
      <c r="X32" t="s">
        <v>375</v>
      </c>
      <c r="Y32" s="22">
        <v>1</v>
      </c>
      <c r="Z32" s="22">
        <v>0</v>
      </c>
      <c r="AA32" s="22">
        <v>122645</v>
      </c>
      <c r="AB32" s="22">
        <v>65165</v>
      </c>
      <c r="AC32" s="22">
        <v>122645</v>
      </c>
    </row>
    <row r="33" spans="1:29">
      <c r="A33" t="s">
        <v>56</v>
      </c>
      <c r="B33" t="s">
        <v>366</v>
      </c>
      <c r="C33" t="s">
        <v>53</v>
      </c>
      <c r="D33" t="s">
        <v>367</v>
      </c>
      <c r="E33" t="s">
        <v>376</v>
      </c>
      <c r="F33" t="s">
        <v>377</v>
      </c>
      <c r="G33" t="s">
        <v>104</v>
      </c>
      <c r="H33" t="s">
        <v>105</v>
      </c>
      <c r="I33" t="s">
        <v>370</v>
      </c>
      <c r="J33" t="s">
        <v>56</v>
      </c>
      <c r="K33" t="s">
        <v>378</v>
      </c>
      <c r="L33" t="s">
        <v>109</v>
      </c>
      <c r="M33" t="s">
        <v>379</v>
      </c>
      <c r="N33" s="21">
        <v>45968.333333333343</v>
      </c>
      <c r="O33" s="21">
        <v>45974.697222222218</v>
      </c>
      <c r="R33" t="s">
        <v>113</v>
      </c>
      <c r="S33" t="s">
        <v>380</v>
      </c>
      <c r="T33" t="s">
        <v>115</v>
      </c>
      <c r="U33" t="s">
        <v>381</v>
      </c>
      <c r="V33" t="s">
        <v>159</v>
      </c>
      <c r="W33" t="s">
        <v>118</v>
      </c>
      <c r="X33" t="s">
        <v>375</v>
      </c>
      <c r="Y33" s="22">
        <v>1</v>
      </c>
      <c r="Z33" s="22">
        <v>0</v>
      </c>
      <c r="AA33" s="22">
        <v>122645</v>
      </c>
      <c r="AB33" s="22">
        <v>65165</v>
      </c>
      <c r="AC33" s="22">
        <v>122645</v>
      </c>
    </row>
    <row r="34" spans="1:29">
      <c r="A34" t="s">
        <v>46</v>
      </c>
      <c r="B34" t="s">
        <v>100</v>
      </c>
      <c r="C34" t="s">
        <v>47</v>
      </c>
      <c r="D34" t="s">
        <v>382</v>
      </c>
      <c r="E34" t="s">
        <v>383</v>
      </c>
      <c r="F34" t="s">
        <v>384</v>
      </c>
      <c r="G34" t="s">
        <v>104</v>
      </c>
      <c r="H34" t="s">
        <v>105</v>
      </c>
      <c r="I34" t="s">
        <v>385</v>
      </c>
      <c r="J34" t="s">
        <v>46</v>
      </c>
      <c r="K34" t="s">
        <v>386</v>
      </c>
      <c r="L34" t="s">
        <v>109</v>
      </c>
      <c r="M34" t="s">
        <v>387</v>
      </c>
      <c r="N34" s="21">
        <v>45968.333333333343</v>
      </c>
      <c r="O34" s="21">
        <v>45968.553472222222</v>
      </c>
      <c r="R34" t="s">
        <v>113</v>
      </c>
      <c r="S34" t="s">
        <v>388</v>
      </c>
      <c r="T34" t="s">
        <v>115</v>
      </c>
      <c r="U34" t="s">
        <v>389</v>
      </c>
      <c r="V34" t="s">
        <v>159</v>
      </c>
      <c r="W34" t="s">
        <v>118</v>
      </c>
      <c r="X34" t="s">
        <v>390</v>
      </c>
      <c r="Y34" s="22">
        <v>1</v>
      </c>
      <c r="Z34" s="22">
        <v>0</v>
      </c>
      <c r="AA34" s="22">
        <v>122645</v>
      </c>
      <c r="AB34" s="22">
        <v>65165</v>
      </c>
      <c r="AC34" s="22">
        <v>122645</v>
      </c>
    </row>
    <row r="35" spans="1:29">
      <c r="A35" t="s">
        <v>46</v>
      </c>
      <c r="B35" t="s">
        <v>100</v>
      </c>
      <c r="C35" t="s">
        <v>47</v>
      </c>
      <c r="D35" t="s">
        <v>382</v>
      </c>
      <c r="E35" t="s">
        <v>391</v>
      </c>
      <c r="F35" t="s">
        <v>392</v>
      </c>
      <c r="G35" t="s">
        <v>104</v>
      </c>
      <c r="H35" t="s">
        <v>105</v>
      </c>
      <c r="I35" t="s">
        <v>385</v>
      </c>
      <c r="J35" t="s">
        <v>46</v>
      </c>
      <c r="K35" t="s">
        <v>393</v>
      </c>
      <c r="L35" t="s">
        <v>109</v>
      </c>
      <c r="M35" t="s">
        <v>394</v>
      </c>
      <c r="N35" s="21">
        <v>45968.333333333343</v>
      </c>
      <c r="O35" s="21">
        <v>45968.570833333331</v>
      </c>
      <c r="R35" t="s">
        <v>113</v>
      </c>
      <c r="S35" t="s">
        <v>395</v>
      </c>
      <c r="T35" t="s">
        <v>115</v>
      </c>
      <c r="U35" t="s">
        <v>396</v>
      </c>
      <c r="V35" t="s">
        <v>159</v>
      </c>
      <c r="W35" t="s">
        <v>118</v>
      </c>
      <c r="X35" t="s">
        <v>397</v>
      </c>
      <c r="Y35" s="22">
        <v>1</v>
      </c>
      <c r="Z35" s="22">
        <v>0</v>
      </c>
      <c r="AA35" s="22">
        <v>122645</v>
      </c>
      <c r="AB35" s="22">
        <v>65165</v>
      </c>
      <c r="AC35" s="22">
        <v>122645</v>
      </c>
    </row>
    <row r="36" spans="1:29">
      <c r="A36" t="s">
        <v>46</v>
      </c>
      <c r="B36" t="s">
        <v>100</v>
      </c>
      <c r="C36" t="s">
        <v>47</v>
      </c>
      <c r="D36" t="s">
        <v>382</v>
      </c>
      <c r="E36" t="s">
        <v>398</v>
      </c>
      <c r="F36" t="s">
        <v>399</v>
      </c>
      <c r="G36" t="s">
        <v>104</v>
      </c>
      <c r="H36" t="s">
        <v>105</v>
      </c>
      <c r="I36" t="s">
        <v>385</v>
      </c>
      <c r="J36" t="s">
        <v>46</v>
      </c>
      <c r="K36" t="s">
        <v>400</v>
      </c>
      <c r="L36" t="s">
        <v>109</v>
      </c>
      <c r="M36" t="s">
        <v>401</v>
      </c>
      <c r="N36" s="21">
        <v>45968.333333333343</v>
      </c>
      <c r="O36" s="21">
        <v>45967.727777777778</v>
      </c>
      <c r="R36" t="s">
        <v>113</v>
      </c>
      <c r="S36" t="s">
        <v>402</v>
      </c>
      <c r="T36" t="s">
        <v>115</v>
      </c>
      <c r="U36" t="s">
        <v>403</v>
      </c>
      <c r="V36" t="s">
        <v>159</v>
      </c>
      <c r="W36" t="s">
        <v>118</v>
      </c>
      <c r="X36" t="s">
        <v>397</v>
      </c>
      <c r="Y36" s="22">
        <v>1</v>
      </c>
      <c r="Z36" s="22">
        <v>0</v>
      </c>
      <c r="AA36" s="22">
        <v>122645</v>
      </c>
      <c r="AB36" s="22">
        <v>65165</v>
      </c>
      <c r="AC36" s="22">
        <v>122645</v>
      </c>
    </row>
    <row r="37" spans="1:29">
      <c r="A37" t="s">
        <v>46</v>
      </c>
      <c r="B37" t="s">
        <v>100</v>
      </c>
      <c r="C37" t="s">
        <v>47</v>
      </c>
      <c r="D37" t="s">
        <v>404</v>
      </c>
      <c r="E37" t="s">
        <v>405</v>
      </c>
      <c r="F37" t="s">
        <v>406</v>
      </c>
      <c r="G37" t="s">
        <v>104</v>
      </c>
      <c r="H37" t="s">
        <v>105</v>
      </c>
      <c r="I37" t="s">
        <v>385</v>
      </c>
      <c r="J37" t="s">
        <v>407</v>
      </c>
      <c r="K37" t="s">
        <v>408</v>
      </c>
      <c r="L37" t="s">
        <v>109</v>
      </c>
      <c r="M37" t="s">
        <v>409</v>
      </c>
      <c r="N37" s="21">
        <v>45968.333333333343</v>
      </c>
      <c r="O37" s="21">
        <v>45971.727777777778</v>
      </c>
      <c r="R37" t="s">
        <v>113</v>
      </c>
      <c r="S37" t="s">
        <v>410</v>
      </c>
      <c r="T37" t="s">
        <v>115</v>
      </c>
      <c r="U37" t="s">
        <v>411</v>
      </c>
      <c r="V37" t="s">
        <v>211</v>
      </c>
      <c r="W37" t="s">
        <v>118</v>
      </c>
      <c r="X37" t="s">
        <v>412</v>
      </c>
      <c r="Y37" s="22">
        <v>1</v>
      </c>
      <c r="Z37" s="22">
        <v>0</v>
      </c>
      <c r="AA37" s="22">
        <v>122645</v>
      </c>
      <c r="AB37" s="22">
        <v>65165</v>
      </c>
      <c r="AC37" s="22">
        <v>122645</v>
      </c>
    </row>
    <row r="38" spans="1:29">
      <c r="A38" t="s">
        <v>63</v>
      </c>
      <c r="B38" t="s">
        <v>100</v>
      </c>
      <c r="C38" t="s">
        <v>47</v>
      </c>
      <c r="D38" t="s">
        <v>413</v>
      </c>
      <c r="E38" t="s">
        <v>414</v>
      </c>
      <c r="F38" t="s">
        <v>415</v>
      </c>
      <c r="G38" t="s">
        <v>104</v>
      </c>
      <c r="H38" t="s">
        <v>105</v>
      </c>
      <c r="I38" t="s">
        <v>142</v>
      </c>
      <c r="J38" t="s">
        <v>416</v>
      </c>
      <c r="K38" t="s">
        <v>417</v>
      </c>
      <c r="L38" t="s">
        <v>109</v>
      </c>
      <c r="M38" t="s">
        <v>418</v>
      </c>
      <c r="N38" s="21">
        <v>45968.333333333343</v>
      </c>
      <c r="O38" s="21">
        <v>45980.706250000003</v>
      </c>
      <c r="R38" t="s">
        <v>113</v>
      </c>
      <c r="S38" t="s">
        <v>419</v>
      </c>
      <c r="T38" t="s">
        <v>115</v>
      </c>
      <c r="U38" t="s">
        <v>420</v>
      </c>
      <c r="V38" t="s">
        <v>148</v>
      </c>
      <c r="W38" t="s">
        <v>137</v>
      </c>
      <c r="X38" t="s">
        <v>421</v>
      </c>
      <c r="Y38" s="22">
        <v>1</v>
      </c>
      <c r="Z38" s="22">
        <v>0</v>
      </c>
      <c r="AA38" s="22">
        <v>122645</v>
      </c>
      <c r="AB38" s="22">
        <v>65165</v>
      </c>
      <c r="AC38" s="22">
        <v>122645</v>
      </c>
    </row>
    <row r="39" spans="1:29">
      <c r="A39" t="s">
        <v>63</v>
      </c>
      <c r="B39" t="s">
        <v>100</v>
      </c>
      <c r="C39" t="s">
        <v>47</v>
      </c>
      <c r="D39" t="s">
        <v>422</v>
      </c>
      <c r="E39" t="s">
        <v>423</v>
      </c>
      <c r="F39" t="s">
        <v>424</v>
      </c>
      <c r="G39" t="s">
        <v>104</v>
      </c>
      <c r="H39" t="s">
        <v>105</v>
      </c>
      <c r="I39" t="s">
        <v>142</v>
      </c>
      <c r="J39" t="s">
        <v>425</v>
      </c>
      <c r="K39" t="s">
        <v>426</v>
      </c>
      <c r="L39" t="s">
        <v>109</v>
      </c>
      <c r="M39" t="s">
        <v>427</v>
      </c>
      <c r="N39" s="21">
        <v>45968.333333333343</v>
      </c>
      <c r="O39" s="21">
        <v>45972.546527777777</v>
      </c>
      <c r="R39" t="s">
        <v>113</v>
      </c>
      <c r="S39" t="s">
        <v>428</v>
      </c>
      <c r="T39" t="s">
        <v>115</v>
      </c>
      <c r="U39" t="s">
        <v>429</v>
      </c>
      <c r="V39" t="s">
        <v>148</v>
      </c>
      <c r="W39" t="s">
        <v>118</v>
      </c>
      <c r="X39" t="s">
        <v>119</v>
      </c>
      <c r="Y39" s="22">
        <v>1</v>
      </c>
      <c r="Z39" s="22">
        <v>0</v>
      </c>
      <c r="AA39" s="22">
        <v>122645</v>
      </c>
      <c r="AB39" s="22">
        <v>65165</v>
      </c>
      <c r="AC39" s="22">
        <v>122645</v>
      </c>
    </row>
    <row r="40" spans="1:29">
      <c r="A40" t="s">
        <v>38</v>
      </c>
      <c r="B40" t="s">
        <v>257</v>
      </c>
      <c r="C40" t="s">
        <v>39</v>
      </c>
      <c r="D40" t="s">
        <v>430</v>
      </c>
      <c r="E40" t="s">
        <v>431</v>
      </c>
      <c r="F40" t="s">
        <v>432</v>
      </c>
      <c r="G40" t="s">
        <v>104</v>
      </c>
      <c r="H40" t="s">
        <v>105</v>
      </c>
      <c r="I40" t="s">
        <v>257</v>
      </c>
      <c r="J40" t="s">
        <v>38</v>
      </c>
      <c r="K40" t="s">
        <v>433</v>
      </c>
      <c r="L40" t="s">
        <v>109</v>
      </c>
      <c r="M40" t="s">
        <v>434</v>
      </c>
      <c r="N40" s="21">
        <v>45968.333333333343</v>
      </c>
      <c r="O40" s="21">
        <v>45971.649305555547</v>
      </c>
      <c r="R40" t="s">
        <v>113</v>
      </c>
      <c r="S40" t="s">
        <v>435</v>
      </c>
      <c r="T40" t="s">
        <v>115</v>
      </c>
      <c r="U40" t="s">
        <v>436</v>
      </c>
      <c r="V40" t="s">
        <v>159</v>
      </c>
      <c r="W40" t="s">
        <v>118</v>
      </c>
      <c r="X40" t="s">
        <v>437</v>
      </c>
      <c r="Y40" s="22">
        <v>1</v>
      </c>
      <c r="Z40" s="22">
        <v>0</v>
      </c>
      <c r="AA40" s="22">
        <v>122645</v>
      </c>
      <c r="AB40" s="22">
        <v>65165</v>
      </c>
      <c r="AC40" s="22">
        <v>122645</v>
      </c>
    </row>
    <row r="41" spans="1:29">
      <c r="A41" t="s">
        <v>38</v>
      </c>
      <c r="B41" t="s">
        <v>257</v>
      </c>
      <c r="C41" t="s">
        <v>39</v>
      </c>
      <c r="D41" t="s">
        <v>430</v>
      </c>
      <c r="E41" t="s">
        <v>438</v>
      </c>
      <c r="F41" t="s">
        <v>439</v>
      </c>
      <c r="G41" t="s">
        <v>104</v>
      </c>
      <c r="H41" t="s">
        <v>105</v>
      </c>
      <c r="I41" t="s">
        <v>257</v>
      </c>
      <c r="J41" t="s">
        <v>38</v>
      </c>
      <c r="K41" t="s">
        <v>440</v>
      </c>
      <c r="L41" t="s">
        <v>109</v>
      </c>
      <c r="M41" t="s">
        <v>441</v>
      </c>
      <c r="N41" s="21">
        <v>45968.333333333343</v>
      </c>
      <c r="O41" s="21">
        <v>45971.689583333333</v>
      </c>
      <c r="R41" t="s">
        <v>113</v>
      </c>
      <c r="S41" t="s">
        <v>435</v>
      </c>
      <c r="T41" t="s">
        <v>115</v>
      </c>
      <c r="U41" t="s">
        <v>442</v>
      </c>
      <c r="V41" t="s">
        <v>159</v>
      </c>
      <c r="W41" t="s">
        <v>118</v>
      </c>
      <c r="X41" t="s">
        <v>437</v>
      </c>
      <c r="Y41" s="22">
        <v>1</v>
      </c>
      <c r="Z41" s="22">
        <v>0</v>
      </c>
      <c r="AA41" s="22">
        <v>122645</v>
      </c>
      <c r="AB41" s="22">
        <v>65165</v>
      </c>
      <c r="AC41" s="22">
        <v>122645</v>
      </c>
    </row>
    <row r="42" spans="1:29">
      <c r="A42" t="s">
        <v>46</v>
      </c>
      <c r="B42" t="s">
        <v>100</v>
      </c>
      <c r="C42" t="s">
        <v>47</v>
      </c>
      <c r="D42" t="s">
        <v>443</v>
      </c>
      <c r="E42" t="s">
        <v>444</v>
      </c>
      <c r="F42" t="s">
        <v>445</v>
      </c>
      <c r="G42" t="s">
        <v>104</v>
      </c>
      <c r="H42" t="s">
        <v>446</v>
      </c>
      <c r="I42" t="s">
        <v>385</v>
      </c>
      <c r="J42" t="s">
        <v>447</v>
      </c>
      <c r="K42" t="s">
        <v>448</v>
      </c>
      <c r="L42" t="s">
        <v>109</v>
      </c>
      <c r="M42" t="s">
        <v>449</v>
      </c>
      <c r="N42" s="21">
        <v>45968.333333333343</v>
      </c>
      <c r="O42" s="21">
        <v>45971.783333333333</v>
      </c>
      <c r="P42" t="s">
        <v>111</v>
      </c>
      <c r="Q42" t="s">
        <v>450</v>
      </c>
      <c r="R42" t="s">
        <v>113</v>
      </c>
      <c r="S42" t="s">
        <v>410</v>
      </c>
      <c r="T42" t="s">
        <v>115</v>
      </c>
      <c r="U42" t="s">
        <v>451</v>
      </c>
      <c r="V42" t="s">
        <v>211</v>
      </c>
      <c r="W42" t="s">
        <v>118</v>
      </c>
      <c r="X42" t="s">
        <v>412</v>
      </c>
      <c r="Y42" s="22">
        <v>1</v>
      </c>
      <c r="Z42" s="22">
        <v>0</v>
      </c>
      <c r="AA42" s="22">
        <v>122645</v>
      </c>
      <c r="AB42" s="22">
        <v>65165</v>
      </c>
      <c r="AC42" s="22">
        <v>122645</v>
      </c>
    </row>
    <row r="43" spans="1:29">
      <c r="A43" t="s">
        <v>60</v>
      </c>
      <c r="B43" t="s">
        <v>150</v>
      </c>
      <c r="C43" t="s">
        <v>31</v>
      </c>
      <c r="D43" t="s">
        <v>151</v>
      </c>
      <c r="E43" t="s">
        <v>452</v>
      </c>
      <c r="F43" t="s">
        <v>453</v>
      </c>
      <c r="G43" t="s">
        <v>104</v>
      </c>
      <c r="H43" t="s">
        <v>105</v>
      </c>
      <c r="I43" t="s">
        <v>154</v>
      </c>
      <c r="J43" t="s">
        <v>60</v>
      </c>
      <c r="K43" t="s">
        <v>454</v>
      </c>
      <c r="L43" t="s">
        <v>109</v>
      </c>
      <c r="M43" t="s">
        <v>455</v>
      </c>
      <c r="N43" s="21">
        <v>45974.333333333343</v>
      </c>
      <c r="O43" s="21">
        <v>45975.570138888892</v>
      </c>
      <c r="R43" t="s">
        <v>113</v>
      </c>
      <c r="S43" t="s">
        <v>456</v>
      </c>
      <c r="T43" t="s">
        <v>115</v>
      </c>
      <c r="U43" t="s">
        <v>457</v>
      </c>
      <c r="V43" t="s">
        <v>159</v>
      </c>
      <c r="W43" t="s">
        <v>118</v>
      </c>
      <c r="X43" t="s">
        <v>458</v>
      </c>
      <c r="Y43" s="22">
        <v>1</v>
      </c>
      <c r="Z43" s="22">
        <v>0</v>
      </c>
      <c r="AA43" s="22">
        <v>122645</v>
      </c>
      <c r="AB43" s="22">
        <v>65165</v>
      </c>
      <c r="AC43" s="22">
        <v>122645</v>
      </c>
    </row>
    <row r="44" spans="1:29">
      <c r="A44" t="s">
        <v>60</v>
      </c>
      <c r="B44" t="s">
        <v>150</v>
      </c>
      <c r="C44" t="s">
        <v>31</v>
      </c>
      <c r="D44" t="s">
        <v>459</v>
      </c>
      <c r="E44" t="s">
        <v>460</v>
      </c>
      <c r="F44" t="s">
        <v>461</v>
      </c>
      <c r="G44" t="s">
        <v>104</v>
      </c>
      <c r="H44" t="s">
        <v>105</v>
      </c>
      <c r="I44" t="s">
        <v>154</v>
      </c>
      <c r="J44" t="s">
        <v>462</v>
      </c>
      <c r="K44" t="s">
        <v>463</v>
      </c>
      <c r="L44" t="s">
        <v>109</v>
      </c>
      <c r="M44" t="s">
        <v>464</v>
      </c>
      <c r="N44" s="21">
        <v>45974.333333333343</v>
      </c>
      <c r="O44" s="21">
        <v>45975.688194444447</v>
      </c>
      <c r="R44" t="s">
        <v>113</v>
      </c>
      <c r="S44" t="s">
        <v>465</v>
      </c>
      <c r="T44" t="s">
        <v>115</v>
      </c>
      <c r="U44" t="s">
        <v>466</v>
      </c>
      <c r="V44" t="s">
        <v>159</v>
      </c>
      <c r="W44" t="s">
        <v>118</v>
      </c>
      <c r="X44" t="s">
        <v>467</v>
      </c>
      <c r="Y44" s="22">
        <v>1</v>
      </c>
      <c r="Z44" s="22">
        <v>0</v>
      </c>
      <c r="AA44" s="22">
        <v>122645</v>
      </c>
      <c r="AB44" s="22">
        <v>65165</v>
      </c>
      <c r="AC44" s="22">
        <v>122645</v>
      </c>
    </row>
    <row r="45" spans="1:29">
      <c r="A45" t="s">
        <v>60</v>
      </c>
      <c r="B45" t="s">
        <v>150</v>
      </c>
      <c r="C45" t="s">
        <v>31</v>
      </c>
      <c r="D45" t="s">
        <v>459</v>
      </c>
      <c r="E45" t="s">
        <v>468</v>
      </c>
      <c r="F45" t="s">
        <v>469</v>
      </c>
      <c r="G45" t="s">
        <v>104</v>
      </c>
      <c r="H45" t="s">
        <v>105</v>
      </c>
      <c r="I45" t="s">
        <v>154</v>
      </c>
      <c r="J45" t="s">
        <v>462</v>
      </c>
      <c r="K45" t="s">
        <v>470</v>
      </c>
      <c r="L45" t="s">
        <v>109</v>
      </c>
      <c r="M45" t="s">
        <v>471</v>
      </c>
      <c r="N45" s="21">
        <v>45974.333333333343</v>
      </c>
      <c r="O45" s="21">
        <v>45975.563888888893</v>
      </c>
      <c r="R45" t="s">
        <v>113</v>
      </c>
      <c r="S45" t="s">
        <v>472</v>
      </c>
      <c r="T45" t="s">
        <v>115</v>
      </c>
      <c r="U45" t="s">
        <v>473</v>
      </c>
      <c r="V45" t="s">
        <v>159</v>
      </c>
      <c r="W45" t="s">
        <v>118</v>
      </c>
      <c r="X45" t="s">
        <v>467</v>
      </c>
      <c r="Y45" s="22">
        <v>1</v>
      </c>
      <c r="Z45" s="22">
        <v>0</v>
      </c>
      <c r="AA45" s="22">
        <v>122645</v>
      </c>
      <c r="AB45" s="22">
        <v>65165</v>
      </c>
      <c r="AC45" s="22">
        <v>122645</v>
      </c>
    </row>
    <row r="46" spans="1:29">
      <c r="A46" t="s">
        <v>30</v>
      </c>
      <c r="B46" t="s">
        <v>150</v>
      </c>
      <c r="C46" t="s">
        <v>31</v>
      </c>
      <c r="D46" t="s">
        <v>474</v>
      </c>
      <c r="E46" t="s">
        <v>475</v>
      </c>
      <c r="F46" t="s">
        <v>476</v>
      </c>
      <c r="G46" t="s">
        <v>104</v>
      </c>
      <c r="H46" t="s">
        <v>105</v>
      </c>
      <c r="I46" t="s">
        <v>154</v>
      </c>
      <c r="J46" t="s">
        <v>477</v>
      </c>
      <c r="K46" t="s">
        <v>478</v>
      </c>
      <c r="L46" t="s">
        <v>109</v>
      </c>
      <c r="M46" t="s">
        <v>479</v>
      </c>
      <c r="N46" s="21">
        <v>45974.333333333343</v>
      </c>
      <c r="O46" s="21">
        <v>45975.693749999999</v>
      </c>
      <c r="R46" t="s">
        <v>113</v>
      </c>
      <c r="S46" t="s">
        <v>480</v>
      </c>
      <c r="T46" t="s">
        <v>115</v>
      </c>
      <c r="U46" t="s">
        <v>481</v>
      </c>
      <c r="V46" t="s">
        <v>211</v>
      </c>
      <c r="W46" t="s">
        <v>118</v>
      </c>
      <c r="X46" t="s">
        <v>482</v>
      </c>
      <c r="Y46" s="22">
        <v>1</v>
      </c>
      <c r="Z46" s="22">
        <v>0</v>
      </c>
      <c r="AA46" s="22">
        <v>122645</v>
      </c>
      <c r="AB46" s="22">
        <v>65165</v>
      </c>
      <c r="AC46" s="22">
        <v>122645</v>
      </c>
    </row>
    <row r="47" spans="1:29">
      <c r="A47" t="s">
        <v>66</v>
      </c>
      <c r="B47" t="s">
        <v>246</v>
      </c>
      <c r="C47" t="s">
        <v>35</v>
      </c>
      <c r="D47" t="s">
        <v>483</v>
      </c>
      <c r="E47" t="s">
        <v>484</v>
      </c>
      <c r="F47" t="s">
        <v>485</v>
      </c>
      <c r="G47" t="s">
        <v>104</v>
      </c>
      <c r="H47" t="s">
        <v>105</v>
      </c>
      <c r="I47" t="s">
        <v>270</v>
      </c>
      <c r="J47" t="s">
        <v>486</v>
      </c>
      <c r="K47" t="s">
        <v>487</v>
      </c>
      <c r="L47" t="s">
        <v>109</v>
      </c>
      <c r="M47" t="s">
        <v>488</v>
      </c>
      <c r="N47" s="21">
        <v>45974.333333333343</v>
      </c>
      <c r="O47" s="21">
        <v>45975.70416666667</v>
      </c>
      <c r="R47" t="s">
        <v>113</v>
      </c>
      <c r="S47" t="s">
        <v>489</v>
      </c>
      <c r="T47" t="s">
        <v>115</v>
      </c>
      <c r="U47" t="s">
        <v>490</v>
      </c>
      <c r="V47" t="s">
        <v>148</v>
      </c>
      <c r="W47" t="s">
        <v>118</v>
      </c>
      <c r="X47" t="s">
        <v>491</v>
      </c>
      <c r="Y47" s="22">
        <v>1</v>
      </c>
      <c r="Z47" s="22">
        <v>0</v>
      </c>
      <c r="AA47" s="22">
        <v>122645</v>
      </c>
      <c r="AB47" s="22">
        <v>65165</v>
      </c>
      <c r="AC47" s="22">
        <v>122645</v>
      </c>
    </row>
    <row r="48" spans="1:29">
      <c r="A48" t="s">
        <v>63</v>
      </c>
      <c r="B48" t="s">
        <v>100</v>
      </c>
      <c r="C48" t="s">
        <v>47</v>
      </c>
      <c r="D48" t="s">
        <v>285</v>
      </c>
      <c r="E48" t="s">
        <v>492</v>
      </c>
      <c r="F48" t="s">
        <v>493</v>
      </c>
      <c r="G48" t="s">
        <v>104</v>
      </c>
      <c r="H48" t="s">
        <v>105</v>
      </c>
      <c r="I48" t="s">
        <v>106</v>
      </c>
      <c r="J48" t="s">
        <v>63</v>
      </c>
      <c r="K48" t="s">
        <v>494</v>
      </c>
      <c r="L48" t="s">
        <v>109</v>
      </c>
      <c r="M48" t="s">
        <v>495</v>
      </c>
      <c r="N48" s="21">
        <v>45974.333333333343</v>
      </c>
      <c r="O48" s="21">
        <v>45974.626388888893</v>
      </c>
      <c r="R48" t="s">
        <v>113</v>
      </c>
      <c r="S48" t="s">
        <v>496</v>
      </c>
      <c r="T48" t="s">
        <v>115</v>
      </c>
      <c r="U48" t="s">
        <v>497</v>
      </c>
      <c r="V48" t="s">
        <v>159</v>
      </c>
      <c r="W48" t="s">
        <v>118</v>
      </c>
      <c r="X48" t="s">
        <v>292</v>
      </c>
      <c r="Y48" s="22">
        <v>1</v>
      </c>
      <c r="Z48" s="22">
        <v>0</v>
      </c>
      <c r="AA48" s="22">
        <v>122645</v>
      </c>
      <c r="AB48" s="22">
        <v>65165</v>
      </c>
      <c r="AC48" s="22">
        <v>122645</v>
      </c>
    </row>
    <row r="49" spans="1:29">
      <c r="A49" t="s">
        <v>63</v>
      </c>
      <c r="B49" t="s">
        <v>100</v>
      </c>
      <c r="C49" t="s">
        <v>47</v>
      </c>
      <c r="D49" t="s">
        <v>498</v>
      </c>
      <c r="E49" t="s">
        <v>499</v>
      </c>
      <c r="F49" t="s">
        <v>500</v>
      </c>
      <c r="G49" t="s">
        <v>104</v>
      </c>
      <c r="H49" t="s">
        <v>105</v>
      </c>
      <c r="I49" t="s">
        <v>106</v>
      </c>
      <c r="J49" t="s">
        <v>250</v>
      </c>
      <c r="K49" t="s">
        <v>501</v>
      </c>
      <c r="L49" t="s">
        <v>109</v>
      </c>
      <c r="M49" t="s">
        <v>502</v>
      </c>
      <c r="N49" s="21">
        <v>45974.333333333343</v>
      </c>
      <c r="O49" s="21">
        <v>45975.709027777782</v>
      </c>
      <c r="R49" t="s">
        <v>113</v>
      </c>
      <c r="S49" t="s">
        <v>503</v>
      </c>
      <c r="T49" t="s">
        <v>115</v>
      </c>
      <c r="U49" t="s">
        <v>504</v>
      </c>
      <c r="V49" t="s">
        <v>211</v>
      </c>
      <c r="W49" t="s">
        <v>118</v>
      </c>
      <c r="X49" t="s">
        <v>421</v>
      </c>
      <c r="Y49" s="22">
        <v>1</v>
      </c>
      <c r="Z49" s="22">
        <v>0</v>
      </c>
      <c r="AA49" s="22">
        <v>122645</v>
      </c>
      <c r="AB49" s="22">
        <v>65165</v>
      </c>
      <c r="AC49" s="22">
        <v>122645</v>
      </c>
    </row>
    <row r="50" spans="1:29">
      <c r="A50" t="s">
        <v>42</v>
      </c>
      <c r="B50" t="s">
        <v>126</v>
      </c>
      <c r="C50" t="s">
        <v>43</v>
      </c>
      <c r="D50" t="s">
        <v>349</v>
      </c>
      <c r="E50" t="s">
        <v>505</v>
      </c>
      <c r="F50" t="s">
        <v>506</v>
      </c>
      <c r="G50" t="s">
        <v>104</v>
      </c>
      <c r="H50" t="s">
        <v>105</v>
      </c>
      <c r="I50" t="s">
        <v>352</v>
      </c>
      <c r="J50" t="s">
        <v>42</v>
      </c>
      <c r="K50" t="s">
        <v>507</v>
      </c>
      <c r="L50" t="s">
        <v>109</v>
      </c>
      <c r="M50" t="s">
        <v>508</v>
      </c>
      <c r="N50" s="21">
        <v>45974.333333333343</v>
      </c>
      <c r="O50" s="21">
        <v>45974.301388888889</v>
      </c>
      <c r="R50" t="s">
        <v>113</v>
      </c>
      <c r="S50" t="s">
        <v>509</v>
      </c>
      <c r="T50" t="s">
        <v>115</v>
      </c>
      <c r="U50" t="s">
        <v>510</v>
      </c>
      <c r="V50" t="s">
        <v>159</v>
      </c>
      <c r="W50" t="s">
        <v>118</v>
      </c>
      <c r="X50" t="s">
        <v>511</v>
      </c>
      <c r="Y50" s="22">
        <v>1</v>
      </c>
      <c r="Z50" s="22">
        <v>0</v>
      </c>
      <c r="AA50" s="22">
        <v>122645</v>
      </c>
      <c r="AB50" s="22">
        <v>65165</v>
      </c>
      <c r="AC50" s="22">
        <v>122645</v>
      </c>
    </row>
    <row r="51" spans="1:29">
      <c r="A51" t="s">
        <v>46</v>
      </c>
      <c r="B51" t="s">
        <v>100</v>
      </c>
      <c r="C51" t="s">
        <v>47</v>
      </c>
      <c r="D51" t="s">
        <v>382</v>
      </c>
      <c r="E51" t="s">
        <v>512</v>
      </c>
      <c r="F51" t="s">
        <v>513</v>
      </c>
      <c r="G51" t="s">
        <v>104</v>
      </c>
      <c r="H51" t="s">
        <v>105</v>
      </c>
      <c r="I51" t="s">
        <v>385</v>
      </c>
      <c r="J51" t="s">
        <v>46</v>
      </c>
      <c r="K51" t="s">
        <v>514</v>
      </c>
      <c r="L51" t="s">
        <v>109</v>
      </c>
      <c r="M51" t="s">
        <v>515</v>
      </c>
      <c r="N51" s="21">
        <v>45974.333333333343</v>
      </c>
      <c r="O51" s="21">
        <v>45974.609722222223</v>
      </c>
      <c r="R51" t="s">
        <v>113</v>
      </c>
      <c r="S51" t="s">
        <v>516</v>
      </c>
      <c r="T51" t="s">
        <v>115</v>
      </c>
      <c r="U51" t="s">
        <v>517</v>
      </c>
      <c r="V51" t="s">
        <v>159</v>
      </c>
      <c r="W51" t="s">
        <v>118</v>
      </c>
      <c r="X51" t="s">
        <v>412</v>
      </c>
      <c r="Y51" s="22">
        <v>1</v>
      </c>
      <c r="Z51" s="22">
        <v>0</v>
      </c>
      <c r="AA51" s="22">
        <v>122645</v>
      </c>
      <c r="AB51" s="22">
        <v>65165</v>
      </c>
      <c r="AC51" s="22">
        <v>122645</v>
      </c>
    </row>
    <row r="52" spans="1:29">
      <c r="A52" t="s">
        <v>46</v>
      </c>
      <c r="B52" t="s">
        <v>100</v>
      </c>
      <c r="C52" t="s">
        <v>47</v>
      </c>
      <c r="D52" t="s">
        <v>382</v>
      </c>
      <c r="E52" t="s">
        <v>518</v>
      </c>
      <c r="F52" t="s">
        <v>519</v>
      </c>
      <c r="G52" t="s">
        <v>104</v>
      </c>
      <c r="H52" t="s">
        <v>105</v>
      </c>
      <c r="I52" t="s">
        <v>385</v>
      </c>
      <c r="J52" t="s">
        <v>46</v>
      </c>
      <c r="K52" t="s">
        <v>520</v>
      </c>
      <c r="L52" t="s">
        <v>109</v>
      </c>
      <c r="M52" t="s">
        <v>521</v>
      </c>
      <c r="N52" s="21">
        <v>45974.333333333343</v>
      </c>
      <c r="O52" s="21">
        <v>45974.304166666669</v>
      </c>
      <c r="R52" t="s">
        <v>113</v>
      </c>
      <c r="S52" t="s">
        <v>522</v>
      </c>
      <c r="T52" t="s">
        <v>115</v>
      </c>
      <c r="U52" t="s">
        <v>523</v>
      </c>
      <c r="V52" t="s">
        <v>159</v>
      </c>
      <c r="W52" t="s">
        <v>118</v>
      </c>
      <c r="X52" t="s">
        <v>397</v>
      </c>
      <c r="Y52" s="22">
        <v>1</v>
      </c>
      <c r="Z52" s="22">
        <v>0</v>
      </c>
      <c r="AA52" s="22">
        <v>122645</v>
      </c>
      <c r="AB52" s="22">
        <v>65165</v>
      </c>
      <c r="AC52" s="22">
        <v>122645</v>
      </c>
    </row>
    <row r="53" spans="1:29">
      <c r="A53" t="s">
        <v>46</v>
      </c>
      <c r="B53" t="s">
        <v>100</v>
      </c>
      <c r="C53" t="s">
        <v>47</v>
      </c>
      <c r="D53" t="s">
        <v>524</v>
      </c>
      <c r="E53" t="s">
        <v>525</v>
      </c>
      <c r="F53" t="s">
        <v>526</v>
      </c>
      <c r="G53" t="s">
        <v>104</v>
      </c>
      <c r="H53" t="s">
        <v>105</v>
      </c>
      <c r="I53" t="s">
        <v>385</v>
      </c>
      <c r="J53" t="s">
        <v>527</v>
      </c>
      <c r="K53" t="s">
        <v>528</v>
      </c>
      <c r="L53" t="s">
        <v>109</v>
      </c>
      <c r="M53" t="s">
        <v>529</v>
      </c>
      <c r="N53" s="21">
        <v>45974.333333333343</v>
      </c>
      <c r="O53" s="21">
        <v>45975.713194444441</v>
      </c>
      <c r="R53" t="s">
        <v>113</v>
      </c>
      <c r="S53" t="s">
        <v>530</v>
      </c>
      <c r="T53" t="s">
        <v>115</v>
      </c>
      <c r="U53" t="s">
        <v>531</v>
      </c>
      <c r="V53" t="s">
        <v>211</v>
      </c>
      <c r="W53" t="s">
        <v>118</v>
      </c>
      <c r="X53" t="s">
        <v>532</v>
      </c>
      <c r="Y53" s="22">
        <v>1</v>
      </c>
      <c r="Z53" s="22">
        <v>0</v>
      </c>
      <c r="AA53" s="22">
        <v>122645</v>
      </c>
      <c r="AB53" s="22">
        <v>65165</v>
      </c>
      <c r="AC53" s="22">
        <v>122645</v>
      </c>
    </row>
    <row r="54" spans="1:29">
      <c r="A54" t="s">
        <v>38</v>
      </c>
      <c r="B54" t="s">
        <v>257</v>
      </c>
      <c r="C54" t="s">
        <v>39</v>
      </c>
      <c r="D54" t="s">
        <v>430</v>
      </c>
      <c r="E54" t="s">
        <v>533</v>
      </c>
      <c r="F54" t="s">
        <v>534</v>
      </c>
      <c r="G54" t="s">
        <v>104</v>
      </c>
      <c r="H54" t="s">
        <v>105</v>
      </c>
      <c r="I54" t="s">
        <v>257</v>
      </c>
      <c r="J54" t="s">
        <v>38</v>
      </c>
      <c r="K54" t="s">
        <v>535</v>
      </c>
      <c r="L54" t="s">
        <v>109</v>
      </c>
      <c r="M54" t="s">
        <v>536</v>
      </c>
      <c r="N54" s="21">
        <v>45974.333333333343</v>
      </c>
      <c r="O54" s="21">
        <v>45975.577777777777</v>
      </c>
      <c r="R54" t="s">
        <v>113</v>
      </c>
      <c r="S54" t="s">
        <v>537</v>
      </c>
      <c r="T54" t="s">
        <v>115</v>
      </c>
      <c r="U54" t="s">
        <v>538</v>
      </c>
      <c r="V54" t="s">
        <v>159</v>
      </c>
      <c r="W54" t="s">
        <v>118</v>
      </c>
      <c r="X54" t="s">
        <v>539</v>
      </c>
      <c r="Y54" s="22">
        <v>1</v>
      </c>
      <c r="Z54" s="22">
        <v>0</v>
      </c>
      <c r="AA54" s="22">
        <v>122645</v>
      </c>
      <c r="AB54" s="22">
        <v>65165</v>
      </c>
      <c r="AC54" s="22">
        <v>122645</v>
      </c>
    </row>
    <row r="55" spans="1:29">
      <c r="A55" t="s">
        <v>67</v>
      </c>
      <c r="B55" t="s">
        <v>246</v>
      </c>
      <c r="C55" t="s">
        <v>35</v>
      </c>
      <c r="D55" t="s">
        <v>540</v>
      </c>
      <c r="E55" t="s">
        <v>541</v>
      </c>
      <c r="F55" t="s">
        <v>542</v>
      </c>
      <c r="G55" t="s">
        <v>104</v>
      </c>
      <c r="H55" t="s">
        <v>446</v>
      </c>
      <c r="I55" t="s">
        <v>543</v>
      </c>
      <c r="J55" t="s">
        <v>544</v>
      </c>
      <c r="K55" t="s">
        <v>545</v>
      </c>
      <c r="L55" t="s">
        <v>109</v>
      </c>
      <c r="M55" t="s">
        <v>546</v>
      </c>
      <c r="N55" s="21">
        <v>45974.333333333343</v>
      </c>
      <c r="O55" s="21">
        <v>45974.621527777781</v>
      </c>
      <c r="P55" t="s">
        <v>111</v>
      </c>
      <c r="Q55" t="s">
        <v>112</v>
      </c>
      <c r="R55" t="s">
        <v>113</v>
      </c>
      <c r="S55" t="s">
        <v>547</v>
      </c>
      <c r="T55" t="s">
        <v>115</v>
      </c>
      <c r="U55" t="s">
        <v>548</v>
      </c>
      <c r="V55" t="s">
        <v>117</v>
      </c>
      <c r="W55" t="s">
        <v>118</v>
      </c>
      <c r="X55" t="s">
        <v>549</v>
      </c>
      <c r="Y55" s="22">
        <v>1</v>
      </c>
      <c r="Z55" s="22">
        <v>0</v>
      </c>
      <c r="AA55" s="22">
        <v>122645</v>
      </c>
      <c r="AB55" s="22">
        <v>65165</v>
      </c>
      <c r="AC55" s="22">
        <v>122645</v>
      </c>
    </row>
    <row r="56" spans="1:29">
      <c r="A56" t="s">
        <v>60</v>
      </c>
      <c r="B56" t="s">
        <v>150</v>
      </c>
      <c r="C56" t="s">
        <v>31</v>
      </c>
      <c r="D56" t="s">
        <v>151</v>
      </c>
      <c r="E56" t="s">
        <v>550</v>
      </c>
      <c r="F56" t="s">
        <v>551</v>
      </c>
      <c r="G56" t="s">
        <v>104</v>
      </c>
      <c r="H56" t="s">
        <v>105</v>
      </c>
      <c r="I56" t="s">
        <v>154</v>
      </c>
      <c r="J56" t="s">
        <v>60</v>
      </c>
      <c r="K56" t="s">
        <v>552</v>
      </c>
      <c r="L56" t="s">
        <v>109</v>
      </c>
      <c r="M56" t="s">
        <v>553</v>
      </c>
      <c r="N56" s="21">
        <v>45982.333333333343</v>
      </c>
      <c r="O56" s="21">
        <v>45985.53402777778</v>
      </c>
      <c r="R56" t="s">
        <v>113</v>
      </c>
      <c r="S56" t="s">
        <v>554</v>
      </c>
      <c r="T56" t="s">
        <v>115</v>
      </c>
      <c r="U56" t="s">
        <v>555</v>
      </c>
      <c r="V56" t="s">
        <v>159</v>
      </c>
      <c r="W56" t="s">
        <v>118</v>
      </c>
      <c r="X56" t="s">
        <v>160</v>
      </c>
      <c r="Y56" s="22">
        <v>1</v>
      </c>
      <c r="Z56" s="22">
        <v>0</v>
      </c>
      <c r="AA56" s="22">
        <v>122645</v>
      </c>
      <c r="AB56" s="22">
        <v>65165</v>
      </c>
      <c r="AC56" s="22">
        <v>122645</v>
      </c>
    </row>
    <row r="57" spans="1:29">
      <c r="A57" t="s">
        <v>60</v>
      </c>
      <c r="B57" t="s">
        <v>150</v>
      </c>
      <c r="C57" t="s">
        <v>31</v>
      </c>
      <c r="D57" t="s">
        <v>151</v>
      </c>
      <c r="E57" t="s">
        <v>556</v>
      </c>
      <c r="F57" t="s">
        <v>557</v>
      </c>
      <c r="G57" t="s">
        <v>104</v>
      </c>
      <c r="H57" t="s">
        <v>105</v>
      </c>
      <c r="I57" t="s">
        <v>154</v>
      </c>
      <c r="J57" t="s">
        <v>60</v>
      </c>
      <c r="K57" t="s">
        <v>558</v>
      </c>
      <c r="L57" t="s">
        <v>109</v>
      </c>
      <c r="M57" t="s">
        <v>559</v>
      </c>
      <c r="N57" s="21">
        <v>45982.333333333343</v>
      </c>
      <c r="O57" s="21">
        <v>45985.538888888892</v>
      </c>
      <c r="R57" t="s">
        <v>113</v>
      </c>
      <c r="S57" t="s">
        <v>560</v>
      </c>
      <c r="T57" t="s">
        <v>115</v>
      </c>
      <c r="U57" t="s">
        <v>561</v>
      </c>
      <c r="V57" t="s">
        <v>159</v>
      </c>
      <c r="W57" t="s">
        <v>118</v>
      </c>
      <c r="X57" t="s">
        <v>167</v>
      </c>
      <c r="Y57" s="22">
        <v>1</v>
      </c>
      <c r="Z57" s="22">
        <v>0</v>
      </c>
      <c r="AA57" s="22">
        <v>122645</v>
      </c>
      <c r="AB57" s="22">
        <v>65165</v>
      </c>
      <c r="AC57" s="22">
        <v>122645</v>
      </c>
    </row>
    <row r="58" spans="1:29">
      <c r="A58" t="s">
        <v>60</v>
      </c>
      <c r="B58" t="s">
        <v>150</v>
      </c>
      <c r="C58" t="s">
        <v>31</v>
      </c>
      <c r="D58" t="s">
        <v>151</v>
      </c>
      <c r="E58" t="s">
        <v>562</v>
      </c>
      <c r="F58" t="s">
        <v>563</v>
      </c>
      <c r="G58" t="s">
        <v>104</v>
      </c>
      <c r="H58" t="s">
        <v>105</v>
      </c>
      <c r="I58" t="s">
        <v>154</v>
      </c>
      <c r="J58" t="s">
        <v>60</v>
      </c>
      <c r="K58" t="s">
        <v>564</v>
      </c>
      <c r="L58" t="s">
        <v>109</v>
      </c>
      <c r="M58" t="s">
        <v>565</v>
      </c>
      <c r="N58" s="21">
        <v>45982.333333333343</v>
      </c>
      <c r="O58" s="21">
        <v>45985.65</v>
      </c>
      <c r="R58" t="s">
        <v>113</v>
      </c>
      <c r="S58" t="s">
        <v>566</v>
      </c>
      <c r="T58" t="s">
        <v>115</v>
      </c>
      <c r="U58" t="s">
        <v>567</v>
      </c>
      <c r="V58" t="s">
        <v>159</v>
      </c>
      <c r="W58" t="s">
        <v>118</v>
      </c>
      <c r="X58" t="s">
        <v>167</v>
      </c>
      <c r="Y58" s="22">
        <v>1</v>
      </c>
      <c r="Z58" s="22">
        <v>0</v>
      </c>
      <c r="AA58" s="22">
        <v>122645</v>
      </c>
      <c r="AB58" s="22">
        <v>65165</v>
      </c>
      <c r="AC58" s="22">
        <v>122645</v>
      </c>
    </row>
    <row r="59" spans="1:29">
      <c r="A59" t="s">
        <v>60</v>
      </c>
      <c r="B59" t="s">
        <v>150</v>
      </c>
      <c r="C59" t="s">
        <v>31</v>
      </c>
      <c r="D59" t="s">
        <v>151</v>
      </c>
      <c r="E59" t="s">
        <v>568</v>
      </c>
      <c r="F59" t="s">
        <v>569</v>
      </c>
      <c r="G59" t="s">
        <v>104</v>
      </c>
      <c r="H59" t="s">
        <v>105</v>
      </c>
      <c r="I59" t="s">
        <v>154</v>
      </c>
      <c r="J59" t="s">
        <v>60</v>
      </c>
      <c r="K59" t="s">
        <v>570</v>
      </c>
      <c r="L59" t="s">
        <v>109</v>
      </c>
      <c r="M59" t="s">
        <v>571</v>
      </c>
      <c r="N59" s="21">
        <v>45982.333333333343</v>
      </c>
      <c r="O59" s="21">
        <v>45982.805555555547</v>
      </c>
      <c r="R59" t="s">
        <v>113</v>
      </c>
      <c r="S59" t="s">
        <v>572</v>
      </c>
      <c r="T59" t="s">
        <v>115</v>
      </c>
      <c r="U59" t="s">
        <v>573</v>
      </c>
      <c r="V59" t="s">
        <v>159</v>
      </c>
      <c r="W59" t="s">
        <v>118</v>
      </c>
      <c r="X59" t="s">
        <v>574</v>
      </c>
      <c r="Y59" s="22">
        <v>1</v>
      </c>
      <c r="Z59" s="22">
        <v>0</v>
      </c>
      <c r="AA59" s="22">
        <v>122645</v>
      </c>
      <c r="AB59" s="22">
        <v>65165</v>
      </c>
      <c r="AC59" s="22">
        <v>122645</v>
      </c>
    </row>
    <row r="60" spans="1:29">
      <c r="A60" t="s">
        <v>60</v>
      </c>
      <c r="B60" t="s">
        <v>150</v>
      </c>
      <c r="C60" t="s">
        <v>31</v>
      </c>
      <c r="D60" t="s">
        <v>151</v>
      </c>
      <c r="E60" t="s">
        <v>575</v>
      </c>
      <c r="F60" t="s">
        <v>576</v>
      </c>
      <c r="G60" t="s">
        <v>104</v>
      </c>
      <c r="H60" t="s">
        <v>105</v>
      </c>
      <c r="I60" t="s">
        <v>154</v>
      </c>
      <c r="J60" t="s">
        <v>60</v>
      </c>
      <c r="K60" t="s">
        <v>577</v>
      </c>
      <c r="L60" t="s">
        <v>109</v>
      </c>
      <c r="M60" t="s">
        <v>578</v>
      </c>
      <c r="N60" s="21">
        <v>45982.333333333343</v>
      </c>
      <c r="O60" s="21">
        <v>45985.515277777777</v>
      </c>
      <c r="R60" t="s">
        <v>113</v>
      </c>
      <c r="S60" t="s">
        <v>579</v>
      </c>
      <c r="T60" t="s">
        <v>115</v>
      </c>
      <c r="U60" t="s">
        <v>580</v>
      </c>
      <c r="V60" t="s">
        <v>159</v>
      </c>
      <c r="W60" t="s">
        <v>118</v>
      </c>
      <c r="X60" t="s">
        <v>581</v>
      </c>
      <c r="Y60" s="22">
        <v>1</v>
      </c>
      <c r="Z60" s="22">
        <v>0</v>
      </c>
      <c r="AA60" s="22">
        <v>122645</v>
      </c>
      <c r="AB60" s="22">
        <v>65165</v>
      </c>
      <c r="AC60" s="22">
        <v>122645</v>
      </c>
    </row>
    <row r="61" spans="1:29">
      <c r="A61" t="s">
        <v>60</v>
      </c>
      <c r="B61" t="s">
        <v>150</v>
      </c>
      <c r="C61" t="s">
        <v>31</v>
      </c>
      <c r="D61" t="s">
        <v>151</v>
      </c>
      <c r="E61" t="s">
        <v>582</v>
      </c>
      <c r="F61" t="s">
        <v>583</v>
      </c>
      <c r="G61" t="s">
        <v>104</v>
      </c>
      <c r="H61" t="s">
        <v>105</v>
      </c>
      <c r="I61" t="s">
        <v>154</v>
      </c>
      <c r="J61" t="s">
        <v>60</v>
      </c>
      <c r="K61" t="s">
        <v>584</v>
      </c>
      <c r="L61" t="s">
        <v>109</v>
      </c>
      <c r="M61" t="s">
        <v>585</v>
      </c>
      <c r="N61" s="21">
        <v>45982.333333333343</v>
      </c>
      <c r="O61" s="21">
        <v>45985.629166666673</v>
      </c>
      <c r="R61" t="s">
        <v>113</v>
      </c>
      <c r="S61" t="s">
        <v>579</v>
      </c>
      <c r="T61" t="s">
        <v>115</v>
      </c>
      <c r="U61" t="s">
        <v>586</v>
      </c>
      <c r="V61" t="s">
        <v>159</v>
      </c>
      <c r="W61" t="s">
        <v>118</v>
      </c>
      <c r="X61" t="s">
        <v>581</v>
      </c>
      <c r="Y61" s="22">
        <v>1</v>
      </c>
      <c r="Z61" s="22">
        <v>0</v>
      </c>
      <c r="AA61" s="22">
        <v>122645</v>
      </c>
      <c r="AB61" s="22">
        <v>65165</v>
      </c>
      <c r="AC61" s="22">
        <v>122645</v>
      </c>
    </row>
    <row r="62" spans="1:29">
      <c r="A62" t="s">
        <v>60</v>
      </c>
      <c r="B62" t="s">
        <v>150</v>
      </c>
      <c r="C62" t="s">
        <v>31</v>
      </c>
      <c r="D62" t="s">
        <v>187</v>
      </c>
      <c r="E62" t="s">
        <v>587</v>
      </c>
      <c r="F62" t="s">
        <v>588</v>
      </c>
      <c r="G62" t="s">
        <v>104</v>
      </c>
      <c r="H62" t="s">
        <v>105</v>
      </c>
      <c r="I62" t="s">
        <v>154</v>
      </c>
      <c r="J62" t="s">
        <v>190</v>
      </c>
      <c r="K62" t="s">
        <v>589</v>
      </c>
      <c r="L62" t="s">
        <v>109</v>
      </c>
      <c r="M62" t="s">
        <v>590</v>
      </c>
      <c r="N62" s="21">
        <v>45982.333333333343</v>
      </c>
      <c r="O62" s="21">
        <v>45982.762499999997</v>
      </c>
      <c r="R62" t="s">
        <v>113</v>
      </c>
      <c r="S62" t="s">
        <v>591</v>
      </c>
      <c r="T62" t="s">
        <v>115</v>
      </c>
      <c r="U62" t="s">
        <v>592</v>
      </c>
      <c r="V62" t="s">
        <v>159</v>
      </c>
      <c r="W62" t="s">
        <v>118</v>
      </c>
      <c r="X62" t="s">
        <v>180</v>
      </c>
      <c r="Y62" s="22">
        <v>1</v>
      </c>
      <c r="Z62" s="22">
        <v>0</v>
      </c>
      <c r="AA62" s="22">
        <v>122645</v>
      </c>
      <c r="AB62" s="22">
        <v>65165</v>
      </c>
      <c r="AC62" s="22">
        <v>122645</v>
      </c>
    </row>
    <row r="63" spans="1:29">
      <c r="A63" t="s">
        <v>60</v>
      </c>
      <c r="B63" t="s">
        <v>150</v>
      </c>
      <c r="C63" t="s">
        <v>31</v>
      </c>
      <c r="D63" t="s">
        <v>593</v>
      </c>
      <c r="E63" t="s">
        <v>594</v>
      </c>
      <c r="F63" t="s">
        <v>595</v>
      </c>
      <c r="G63" t="s">
        <v>104</v>
      </c>
      <c r="H63" t="s">
        <v>105</v>
      </c>
      <c r="I63" t="s">
        <v>154</v>
      </c>
      <c r="J63" t="s">
        <v>596</v>
      </c>
      <c r="K63" t="s">
        <v>597</v>
      </c>
      <c r="L63" t="s">
        <v>109</v>
      </c>
      <c r="M63" t="s">
        <v>598</v>
      </c>
      <c r="N63" s="21">
        <v>45982.333333333343</v>
      </c>
      <c r="O63" s="21">
        <v>45982.704861111109</v>
      </c>
      <c r="R63" t="s">
        <v>113</v>
      </c>
      <c r="S63" t="s">
        <v>599</v>
      </c>
      <c r="T63" t="s">
        <v>115</v>
      </c>
      <c r="U63" t="s">
        <v>600</v>
      </c>
      <c r="V63" t="s">
        <v>159</v>
      </c>
      <c r="W63" t="s">
        <v>118</v>
      </c>
      <c r="X63" t="s">
        <v>160</v>
      </c>
      <c r="Y63" s="22">
        <v>1</v>
      </c>
      <c r="Z63" s="22">
        <v>0</v>
      </c>
      <c r="AA63" s="22">
        <v>122645</v>
      </c>
      <c r="AB63" s="22">
        <v>65165</v>
      </c>
      <c r="AC63" s="22">
        <v>122645</v>
      </c>
    </row>
    <row r="64" spans="1:29">
      <c r="A64" t="s">
        <v>60</v>
      </c>
      <c r="B64" t="s">
        <v>150</v>
      </c>
      <c r="C64" t="s">
        <v>31</v>
      </c>
      <c r="D64" t="s">
        <v>459</v>
      </c>
      <c r="E64" t="s">
        <v>601</v>
      </c>
      <c r="F64" t="s">
        <v>602</v>
      </c>
      <c r="G64" t="s">
        <v>104</v>
      </c>
      <c r="H64" t="s">
        <v>105</v>
      </c>
      <c r="I64" t="s">
        <v>154</v>
      </c>
      <c r="J64" t="s">
        <v>462</v>
      </c>
      <c r="K64" t="s">
        <v>603</v>
      </c>
      <c r="L64" t="s">
        <v>109</v>
      </c>
      <c r="M64" t="s">
        <v>604</v>
      </c>
      <c r="N64" s="21">
        <v>45982.333333333343</v>
      </c>
      <c r="O64" s="21">
        <v>45982.504166666673</v>
      </c>
      <c r="R64" t="s">
        <v>113</v>
      </c>
      <c r="S64" t="s">
        <v>605</v>
      </c>
      <c r="T64" t="s">
        <v>115</v>
      </c>
      <c r="U64" t="s">
        <v>606</v>
      </c>
      <c r="V64" t="s">
        <v>159</v>
      </c>
      <c r="W64" t="s">
        <v>118</v>
      </c>
      <c r="X64" t="s">
        <v>167</v>
      </c>
      <c r="Y64" s="22">
        <v>1</v>
      </c>
      <c r="Z64" s="22">
        <v>0</v>
      </c>
      <c r="AA64" s="22">
        <v>122645</v>
      </c>
      <c r="AB64" s="22">
        <v>65165</v>
      </c>
      <c r="AC64" s="22">
        <v>122645</v>
      </c>
    </row>
    <row r="65" spans="1:29">
      <c r="A65" t="s">
        <v>60</v>
      </c>
      <c r="B65" t="s">
        <v>150</v>
      </c>
      <c r="C65" t="s">
        <v>31</v>
      </c>
      <c r="D65" t="s">
        <v>607</v>
      </c>
      <c r="E65" t="s">
        <v>608</v>
      </c>
      <c r="F65" t="s">
        <v>609</v>
      </c>
      <c r="G65" t="s">
        <v>104</v>
      </c>
      <c r="H65" t="s">
        <v>105</v>
      </c>
      <c r="I65" t="s">
        <v>154</v>
      </c>
      <c r="J65" t="s">
        <v>610</v>
      </c>
      <c r="K65" t="s">
        <v>611</v>
      </c>
      <c r="L65" t="s">
        <v>109</v>
      </c>
      <c r="M65" t="s">
        <v>612</v>
      </c>
      <c r="N65" s="21">
        <v>45982.333333333343</v>
      </c>
      <c r="O65" s="21">
        <v>45986.407638888893</v>
      </c>
      <c r="R65" t="s">
        <v>113</v>
      </c>
      <c r="S65" t="s">
        <v>613</v>
      </c>
      <c r="T65" t="s">
        <v>115</v>
      </c>
      <c r="U65" t="s">
        <v>614</v>
      </c>
      <c r="V65" t="s">
        <v>117</v>
      </c>
      <c r="W65" t="s">
        <v>118</v>
      </c>
      <c r="X65" t="s">
        <v>180</v>
      </c>
      <c r="Y65" s="22">
        <v>1</v>
      </c>
      <c r="Z65" s="22">
        <v>0</v>
      </c>
      <c r="AA65" s="22">
        <v>122645</v>
      </c>
      <c r="AB65" s="22">
        <v>65165</v>
      </c>
      <c r="AC65" s="22">
        <v>122645</v>
      </c>
    </row>
    <row r="66" spans="1:29">
      <c r="A66" t="s">
        <v>68</v>
      </c>
      <c r="B66" t="s">
        <v>126</v>
      </c>
      <c r="C66" t="s">
        <v>43</v>
      </c>
      <c r="D66" t="s">
        <v>615</v>
      </c>
      <c r="E66" t="s">
        <v>616</v>
      </c>
      <c r="F66" t="s">
        <v>617</v>
      </c>
      <c r="G66" t="s">
        <v>104</v>
      </c>
      <c r="H66" t="s">
        <v>105</v>
      </c>
      <c r="I66" t="s">
        <v>239</v>
      </c>
      <c r="J66" t="s">
        <v>618</v>
      </c>
      <c r="K66" t="s">
        <v>619</v>
      </c>
      <c r="L66" t="s">
        <v>109</v>
      </c>
      <c r="M66" t="s">
        <v>620</v>
      </c>
      <c r="N66" s="21">
        <v>45982.333333333343</v>
      </c>
      <c r="O66" s="21">
        <v>45982.711111111108</v>
      </c>
      <c r="R66" t="s">
        <v>113</v>
      </c>
      <c r="S66" t="s">
        <v>621</v>
      </c>
      <c r="T66" t="s">
        <v>115</v>
      </c>
      <c r="U66" t="s">
        <v>622</v>
      </c>
      <c r="V66" t="s">
        <v>211</v>
      </c>
      <c r="W66" t="s">
        <v>118</v>
      </c>
      <c r="X66" t="s">
        <v>245</v>
      </c>
      <c r="Y66" s="22">
        <v>1</v>
      </c>
      <c r="Z66" s="22">
        <v>0</v>
      </c>
      <c r="AA66" s="22">
        <v>122645</v>
      </c>
      <c r="AB66" s="22">
        <v>65165</v>
      </c>
      <c r="AC66" s="22">
        <v>122645</v>
      </c>
    </row>
    <row r="67" spans="1:29">
      <c r="A67" t="s">
        <v>42</v>
      </c>
      <c r="B67" t="s">
        <v>126</v>
      </c>
      <c r="C67" t="s">
        <v>43</v>
      </c>
      <c r="D67" t="s">
        <v>623</v>
      </c>
      <c r="E67" t="s">
        <v>624</v>
      </c>
      <c r="F67" t="s">
        <v>625</v>
      </c>
      <c r="G67" t="s">
        <v>104</v>
      </c>
      <c r="H67" t="s">
        <v>105</v>
      </c>
      <c r="I67" t="s">
        <v>626</v>
      </c>
      <c r="J67" t="s">
        <v>627</v>
      </c>
      <c r="K67" t="s">
        <v>628</v>
      </c>
      <c r="L67" t="s">
        <v>109</v>
      </c>
      <c r="M67" t="s">
        <v>629</v>
      </c>
      <c r="N67" s="21">
        <v>45982.333333333343</v>
      </c>
      <c r="O67" s="21">
        <v>45985.657638888893</v>
      </c>
      <c r="R67" t="s">
        <v>113</v>
      </c>
      <c r="S67" t="s">
        <v>630</v>
      </c>
      <c r="T67" t="s">
        <v>115</v>
      </c>
      <c r="U67" t="s">
        <v>631</v>
      </c>
      <c r="V67" t="s">
        <v>117</v>
      </c>
      <c r="W67" t="s">
        <v>118</v>
      </c>
      <c r="X67" t="s">
        <v>223</v>
      </c>
      <c r="Y67" s="22">
        <v>1</v>
      </c>
      <c r="Z67" s="22">
        <v>0</v>
      </c>
      <c r="AA67" s="22">
        <v>122645</v>
      </c>
      <c r="AB67" s="22">
        <v>65165</v>
      </c>
      <c r="AC67" s="22">
        <v>122645</v>
      </c>
    </row>
    <row r="68" spans="1:29">
      <c r="A68" t="s">
        <v>61</v>
      </c>
      <c r="B68" t="s">
        <v>246</v>
      </c>
      <c r="C68" t="s">
        <v>35</v>
      </c>
      <c r="D68" t="s">
        <v>632</v>
      </c>
      <c r="E68" t="s">
        <v>633</v>
      </c>
      <c r="F68" t="s">
        <v>634</v>
      </c>
      <c r="G68" t="s">
        <v>104</v>
      </c>
      <c r="H68" t="s">
        <v>105</v>
      </c>
      <c r="I68" t="s">
        <v>250</v>
      </c>
      <c r="J68" t="s">
        <v>635</v>
      </c>
      <c r="K68" t="s">
        <v>636</v>
      </c>
      <c r="L68" t="s">
        <v>109</v>
      </c>
      <c r="M68" t="s">
        <v>637</v>
      </c>
      <c r="N68" s="21">
        <v>45982.333333333343</v>
      </c>
      <c r="O68" s="21">
        <v>45982.716666666667</v>
      </c>
      <c r="R68" t="s">
        <v>113</v>
      </c>
      <c r="S68" t="s">
        <v>638</v>
      </c>
      <c r="T68" t="s">
        <v>115</v>
      </c>
      <c r="U68" t="s">
        <v>639</v>
      </c>
      <c r="V68" t="s">
        <v>148</v>
      </c>
      <c r="W68" t="s">
        <v>118</v>
      </c>
      <c r="X68" t="s">
        <v>640</v>
      </c>
      <c r="Y68" s="22">
        <v>1</v>
      </c>
      <c r="Z68" s="22">
        <v>0</v>
      </c>
      <c r="AA68" s="22">
        <v>122645</v>
      </c>
      <c r="AB68" s="22">
        <v>65165</v>
      </c>
      <c r="AC68" s="22">
        <v>122645</v>
      </c>
    </row>
    <row r="69" spans="1:29">
      <c r="A69" t="s">
        <v>70</v>
      </c>
      <c r="B69" t="s">
        <v>366</v>
      </c>
      <c r="C69" t="s">
        <v>53</v>
      </c>
      <c r="D69" t="s">
        <v>641</v>
      </c>
      <c r="E69" t="s">
        <v>642</v>
      </c>
      <c r="F69" t="s">
        <v>643</v>
      </c>
      <c r="G69" t="s">
        <v>104</v>
      </c>
      <c r="H69" t="s">
        <v>105</v>
      </c>
      <c r="I69" t="s">
        <v>644</v>
      </c>
      <c r="J69" t="s">
        <v>70</v>
      </c>
      <c r="K69" t="s">
        <v>645</v>
      </c>
      <c r="L69" t="s">
        <v>109</v>
      </c>
      <c r="M69" t="s">
        <v>646</v>
      </c>
      <c r="N69" s="21">
        <v>45982.333333333343</v>
      </c>
      <c r="O69" s="21">
        <v>45982.722222222219</v>
      </c>
      <c r="R69" t="s">
        <v>113</v>
      </c>
      <c r="S69" t="s">
        <v>647</v>
      </c>
      <c r="T69" t="s">
        <v>115</v>
      </c>
      <c r="U69" t="s">
        <v>648</v>
      </c>
      <c r="V69" t="s">
        <v>159</v>
      </c>
      <c r="W69" t="s">
        <v>118</v>
      </c>
      <c r="X69" t="s">
        <v>649</v>
      </c>
      <c r="Y69" s="22">
        <v>1</v>
      </c>
      <c r="Z69" s="22">
        <v>0</v>
      </c>
      <c r="AA69" s="22">
        <v>122645</v>
      </c>
      <c r="AB69" s="22">
        <v>65165</v>
      </c>
      <c r="AC69" s="22">
        <v>122645</v>
      </c>
    </row>
    <row r="70" spans="1:29">
      <c r="A70" t="s">
        <v>63</v>
      </c>
      <c r="B70" t="s">
        <v>100</v>
      </c>
      <c r="C70" t="s">
        <v>47</v>
      </c>
      <c r="D70" t="s">
        <v>285</v>
      </c>
      <c r="E70" t="s">
        <v>650</v>
      </c>
      <c r="F70" t="s">
        <v>651</v>
      </c>
      <c r="G70" t="s">
        <v>104</v>
      </c>
      <c r="H70" t="s">
        <v>105</v>
      </c>
      <c r="I70" t="s">
        <v>106</v>
      </c>
      <c r="J70" t="s">
        <v>63</v>
      </c>
      <c r="K70" t="s">
        <v>652</v>
      </c>
      <c r="L70" t="s">
        <v>109</v>
      </c>
      <c r="M70" t="s">
        <v>653</v>
      </c>
      <c r="N70" s="21">
        <v>45982.333333333343</v>
      </c>
      <c r="O70" s="21">
        <v>45982.728472222218</v>
      </c>
      <c r="R70" t="s">
        <v>113</v>
      </c>
      <c r="S70" t="s">
        <v>654</v>
      </c>
      <c r="T70" t="s">
        <v>115</v>
      </c>
      <c r="U70" t="s">
        <v>655</v>
      </c>
      <c r="V70" t="s">
        <v>159</v>
      </c>
      <c r="W70" t="s">
        <v>118</v>
      </c>
      <c r="X70" t="s">
        <v>292</v>
      </c>
      <c r="Y70" s="22">
        <v>1</v>
      </c>
      <c r="Z70" s="22">
        <v>0</v>
      </c>
      <c r="AA70" s="22">
        <v>122645</v>
      </c>
      <c r="AB70" s="22">
        <v>65165</v>
      </c>
      <c r="AC70" s="22">
        <v>122645</v>
      </c>
    </row>
    <row r="71" spans="1:29">
      <c r="A71" t="s">
        <v>67</v>
      </c>
      <c r="B71" t="s">
        <v>246</v>
      </c>
      <c r="C71" t="s">
        <v>35</v>
      </c>
      <c r="D71" t="s">
        <v>656</v>
      </c>
      <c r="E71" t="s">
        <v>657</v>
      </c>
      <c r="F71" t="s">
        <v>658</v>
      </c>
      <c r="G71" t="s">
        <v>104</v>
      </c>
      <c r="H71" t="s">
        <v>105</v>
      </c>
      <c r="I71" t="s">
        <v>543</v>
      </c>
      <c r="J71" t="s">
        <v>67</v>
      </c>
      <c r="K71" t="s">
        <v>659</v>
      </c>
      <c r="L71" t="s">
        <v>109</v>
      </c>
      <c r="M71" t="s">
        <v>660</v>
      </c>
      <c r="N71" s="21">
        <v>45982.333333333343</v>
      </c>
      <c r="O71" s="21">
        <v>45982.679861111108</v>
      </c>
      <c r="R71" t="s">
        <v>113</v>
      </c>
      <c r="S71" t="s">
        <v>661</v>
      </c>
      <c r="T71" t="s">
        <v>115</v>
      </c>
      <c r="U71" t="s">
        <v>662</v>
      </c>
      <c r="V71" t="s">
        <v>159</v>
      </c>
      <c r="W71" t="s">
        <v>118</v>
      </c>
      <c r="X71" t="s">
        <v>663</v>
      </c>
      <c r="Y71" s="22">
        <v>1</v>
      </c>
      <c r="Z71" s="22">
        <v>0</v>
      </c>
      <c r="AA71" s="22">
        <v>122645</v>
      </c>
      <c r="AB71" s="22">
        <v>65165</v>
      </c>
      <c r="AC71" s="22">
        <v>122645</v>
      </c>
    </row>
    <row r="72" spans="1:29">
      <c r="A72" t="s">
        <v>46</v>
      </c>
      <c r="B72" t="s">
        <v>100</v>
      </c>
      <c r="C72" t="s">
        <v>47</v>
      </c>
      <c r="D72" t="s">
        <v>382</v>
      </c>
      <c r="E72" t="s">
        <v>664</v>
      </c>
      <c r="F72" t="s">
        <v>665</v>
      </c>
      <c r="G72" t="s">
        <v>104</v>
      </c>
      <c r="H72" t="s">
        <v>105</v>
      </c>
      <c r="I72" t="s">
        <v>385</v>
      </c>
      <c r="J72" t="s">
        <v>46</v>
      </c>
      <c r="K72" t="s">
        <v>666</v>
      </c>
      <c r="L72" t="s">
        <v>109</v>
      </c>
      <c r="M72" t="s">
        <v>667</v>
      </c>
      <c r="N72" s="21">
        <v>45982.333333333343</v>
      </c>
      <c r="O72" s="21">
        <v>45985.64166666667</v>
      </c>
      <c r="R72" t="s">
        <v>113</v>
      </c>
      <c r="S72" t="s">
        <v>668</v>
      </c>
      <c r="T72" t="s">
        <v>115</v>
      </c>
      <c r="U72" t="s">
        <v>669</v>
      </c>
      <c r="V72" t="s">
        <v>159</v>
      </c>
      <c r="W72" t="s">
        <v>118</v>
      </c>
      <c r="X72" t="s">
        <v>390</v>
      </c>
      <c r="Y72" s="22">
        <v>1</v>
      </c>
      <c r="Z72" s="22">
        <v>0</v>
      </c>
      <c r="AA72" s="22">
        <v>122645</v>
      </c>
      <c r="AB72" s="22">
        <v>65165</v>
      </c>
      <c r="AC72" s="22">
        <v>122645</v>
      </c>
    </row>
    <row r="73" spans="1:29">
      <c r="A73" t="s">
        <v>46</v>
      </c>
      <c r="B73" t="s">
        <v>100</v>
      </c>
      <c r="C73" t="s">
        <v>47</v>
      </c>
      <c r="D73" t="s">
        <v>382</v>
      </c>
      <c r="E73" t="s">
        <v>670</v>
      </c>
      <c r="F73" t="s">
        <v>671</v>
      </c>
      <c r="G73" t="s">
        <v>104</v>
      </c>
      <c r="H73" t="s">
        <v>105</v>
      </c>
      <c r="I73" t="s">
        <v>385</v>
      </c>
      <c r="J73" t="s">
        <v>46</v>
      </c>
      <c r="K73" t="s">
        <v>672</v>
      </c>
      <c r="L73" t="s">
        <v>109</v>
      </c>
      <c r="M73" t="s">
        <v>673</v>
      </c>
      <c r="N73" s="21">
        <v>45982.333333333343</v>
      </c>
      <c r="O73" s="21">
        <v>45985.618055555547</v>
      </c>
      <c r="R73" t="s">
        <v>113</v>
      </c>
      <c r="S73" t="s">
        <v>674</v>
      </c>
      <c r="T73" t="s">
        <v>115</v>
      </c>
      <c r="U73" t="s">
        <v>675</v>
      </c>
      <c r="V73" t="s">
        <v>159</v>
      </c>
      <c r="W73" t="s">
        <v>118</v>
      </c>
      <c r="X73" t="s">
        <v>676</v>
      </c>
      <c r="Y73" s="22">
        <v>1</v>
      </c>
      <c r="Z73" s="22">
        <v>0</v>
      </c>
      <c r="AA73" s="22">
        <v>122645</v>
      </c>
      <c r="AB73" s="22">
        <v>65165</v>
      </c>
      <c r="AC73" s="22">
        <v>122645</v>
      </c>
    </row>
    <row r="74" spans="1:29">
      <c r="A74" t="s">
        <v>46</v>
      </c>
      <c r="B74" t="s">
        <v>100</v>
      </c>
      <c r="C74" t="s">
        <v>47</v>
      </c>
      <c r="D74" t="s">
        <v>382</v>
      </c>
      <c r="E74" t="s">
        <v>677</v>
      </c>
      <c r="F74" t="s">
        <v>678</v>
      </c>
      <c r="G74" t="s">
        <v>104</v>
      </c>
      <c r="H74" t="s">
        <v>105</v>
      </c>
      <c r="I74" t="s">
        <v>385</v>
      </c>
      <c r="J74" t="s">
        <v>46</v>
      </c>
      <c r="K74" t="s">
        <v>679</v>
      </c>
      <c r="L74" t="s">
        <v>109</v>
      </c>
      <c r="M74" t="s">
        <v>680</v>
      </c>
      <c r="N74" s="21">
        <v>45982.333333333343</v>
      </c>
      <c r="O74" s="21">
        <v>45985.738194444442</v>
      </c>
      <c r="R74" t="s">
        <v>113</v>
      </c>
      <c r="S74" t="s">
        <v>681</v>
      </c>
      <c r="T74" t="s">
        <v>115</v>
      </c>
      <c r="U74" t="s">
        <v>682</v>
      </c>
      <c r="V74" t="s">
        <v>159</v>
      </c>
      <c r="W74" t="s">
        <v>118</v>
      </c>
      <c r="X74" t="s">
        <v>532</v>
      </c>
      <c r="Y74" s="22">
        <v>1</v>
      </c>
      <c r="Z74" s="22">
        <v>0</v>
      </c>
      <c r="AA74" s="22">
        <v>122645</v>
      </c>
      <c r="AB74" s="22">
        <v>65165</v>
      </c>
      <c r="AC74" s="22">
        <v>122645</v>
      </c>
    </row>
    <row r="75" spans="1:29">
      <c r="A75" t="s">
        <v>46</v>
      </c>
      <c r="B75" t="s">
        <v>100</v>
      </c>
      <c r="C75" t="s">
        <v>47</v>
      </c>
      <c r="D75" t="s">
        <v>382</v>
      </c>
      <c r="E75" t="s">
        <v>683</v>
      </c>
      <c r="F75" t="s">
        <v>684</v>
      </c>
      <c r="G75" t="s">
        <v>104</v>
      </c>
      <c r="H75" t="s">
        <v>105</v>
      </c>
      <c r="I75" t="s">
        <v>385</v>
      </c>
      <c r="J75" t="s">
        <v>46</v>
      </c>
      <c r="K75" t="s">
        <v>685</v>
      </c>
      <c r="L75" t="s">
        <v>109</v>
      </c>
      <c r="M75" t="s">
        <v>686</v>
      </c>
      <c r="N75" s="21">
        <v>45982.333333333343</v>
      </c>
      <c r="O75" s="21">
        <v>45985.624305555553</v>
      </c>
      <c r="R75" t="s">
        <v>113</v>
      </c>
      <c r="S75" t="s">
        <v>687</v>
      </c>
      <c r="T75" t="s">
        <v>115</v>
      </c>
      <c r="U75" t="s">
        <v>688</v>
      </c>
      <c r="V75" t="s">
        <v>159</v>
      </c>
      <c r="W75" t="s">
        <v>118</v>
      </c>
      <c r="X75" t="s">
        <v>532</v>
      </c>
      <c r="Y75" s="22">
        <v>1</v>
      </c>
      <c r="Z75" s="22">
        <v>0</v>
      </c>
      <c r="AA75" s="22">
        <v>122645</v>
      </c>
      <c r="AB75" s="22">
        <v>65165</v>
      </c>
      <c r="AC75" s="22">
        <v>122645</v>
      </c>
    </row>
    <row r="76" spans="1:29">
      <c r="A76" t="s">
        <v>60</v>
      </c>
      <c r="B76" t="s">
        <v>150</v>
      </c>
      <c r="C76" t="s">
        <v>31</v>
      </c>
      <c r="D76" t="s">
        <v>689</v>
      </c>
      <c r="E76" t="s">
        <v>690</v>
      </c>
      <c r="F76" t="s">
        <v>691</v>
      </c>
      <c r="G76" t="s">
        <v>104</v>
      </c>
      <c r="H76" t="s">
        <v>105</v>
      </c>
      <c r="I76" t="s">
        <v>154</v>
      </c>
      <c r="J76" t="s">
        <v>692</v>
      </c>
      <c r="K76" t="s">
        <v>693</v>
      </c>
      <c r="L76" t="s">
        <v>109</v>
      </c>
      <c r="M76" t="s">
        <v>694</v>
      </c>
      <c r="N76" s="21">
        <v>45982.333333333343</v>
      </c>
      <c r="O76" s="21">
        <v>45982.799305555563</v>
      </c>
      <c r="R76" t="s">
        <v>113</v>
      </c>
      <c r="S76" t="s">
        <v>695</v>
      </c>
      <c r="T76" t="s">
        <v>115</v>
      </c>
      <c r="U76" t="s">
        <v>696</v>
      </c>
      <c r="V76" t="s">
        <v>117</v>
      </c>
      <c r="W76" t="s">
        <v>118</v>
      </c>
      <c r="X76" t="s">
        <v>697</v>
      </c>
      <c r="Y76" s="22">
        <v>1</v>
      </c>
      <c r="Z76" s="22">
        <v>0</v>
      </c>
      <c r="AA76" s="22">
        <v>122645</v>
      </c>
      <c r="AB76" s="22">
        <v>65165</v>
      </c>
      <c r="AC76" s="22">
        <v>122645</v>
      </c>
    </row>
    <row r="77" spans="1:29">
      <c r="A77" t="s">
        <v>38</v>
      </c>
      <c r="B77" t="s">
        <v>257</v>
      </c>
      <c r="C77" t="s">
        <v>39</v>
      </c>
      <c r="D77" t="s">
        <v>430</v>
      </c>
      <c r="E77" t="s">
        <v>698</v>
      </c>
      <c r="F77" t="s">
        <v>699</v>
      </c>
      <c r="G77" t="s">
        <v>104</v>
      </c>
      <c r="H77" t="s">
        <v>105</v>
      </c>
      <c r="I77" t="s">
        <v>257</v>
      </c>
      <c r="J77" t="s">
        <v>38</v>
      </c>
      <c r="K77" t="s">
        <v>700</v>
      </c>
      <c r="L77" t="s">
        <v>109</v>
      </c>
      <c r="M77" t="s">
        <v>701</v>
      </c>
      <c r="N77" s="21">
        <v>45982.333333333343</v>
      </c>
      <c r="O77" s="21">
        <v>45983.496527777781</v>
      </c>
      <c r="R77" t="s">
        <v>113</v>
      </c>
      <c r="S77" t="s">
        <v>702</v>
      </c>
      <c r="T77" t="s">
        <v>115</v>
      </c>
      <c r="U77" t="s">
        <v>703</v>
      </c>
      <c r="V77" t="s">
        <v>159</v>
      </c>
      <c r="W77" t="s">
        <v>118</v>
      </c>
      <c r="X77" t="s">
        <v>539</v>
      </c>
      <c r="Y77" s="22">
        <v>1</v>
      </c>
      <c r="Z77" s="22">
        <v>0</v>
      </c>
      <c r="AA77" s="22">
        <v>122645</v>
      </c>
      <c r="AB77" s="22">
        <v>65165</v>
      </c>
      <c r="AC77" s="22">
        <v>122645</v>
      </c>
    </row>
    <row r="78" spans="1:29">
      <c r="A78" t="s">
        <v>38</v>
      </c>
      <c r="B78" t="s">
        <v>257</v>
      </c>
      <c r="C78" t="s">
        <v>39</v>
      </c>
      <c r="D78" t="s">
        <v>430</v>
      </c>
      <c r="E78" t="s">
        <v>704</v>
      </c>
      <c r="F78" t="s">
        <v>705</v>
      </c>
      <c r="G78" t="s">
        <v>104</v>
      </c>
      <c r="H78" t="s">
        <v>105</v>
      </c>
      <c r="I78" t="s">
        <v>257</v>
      </c>
      <c r="J78" t="s">
        <v>38</v>
      </c>
      <c r="K78" t="s">
        <v>706</v>
      </c>
      <c r="L78" t="s">
        <v>109</v>
      </c>
      <c r="M78" t="s">
        <v>707</v>
      </c>
      <c r="N78" s="21">
        <v>45982.333333333343</v>
      </c>
      <c r="O78" s="21">
        <v>45982.618055555547</v>
      </c>
      <c r="R78" t="s">
        <v>113</v>
      </c>
      <c r="S78" t="s">
        <v>708</v>
      </c>
      <c r="T78" t="s">
        <v>115</v>
      </c>
      <c r="U78" t="s">
        <v>709</v>
      </c>
      <c r="V78" t="s">
        <v>159</v>
      </c>
      <c r="W78" t="s">
        <v>118</v>
      </c>
      <c r="X78" t="s">
        <v>710</v>
      </c>
      <c r="Y78" s="22">
        <v>1</v>
      </c>
      <c r="Z78" s="22">
        <v>0</v>
      </c>
      <c r="AA78" s="22">
        <v>122645</v>
      </c>
      <c r="AB78" s="22">
        <v>65165</v>
      </c>
      <c r="AC78" s="22">
        <v>122645</v>
      </c>
    </row>
    <row r="79" spans="1:29">
      <c r="A79" t="s">
        <v>38</v>
      </c>
      <c r="B79" t="s">
        <v>257</v>
      </c>
      <c r="C79" t="s">
        <v>39</v>
      </c>
      <c r="D79" t="s">
        <v>430</v>
      </c>
      <c r="E79" t="s">
        <v>711</v>
      </c>
      <c r="F79" t="s">
        <v>712</v>
      </c>
      <c r="G79" t="s">
        <v>104</v>
      </c>
      <c r="H79" t="s">
        <v>105</v>
      </c>
      <c r="I79" t="s">
        <v>257</v>
      </c>
      <c r="J79" t="s">
        <v>38</v>
      </c>
      <c r="K79" t="s">
        <v>713</v>
      </c>
      <c r="L79" t="s">
        <v>109</v>
      </c>
      <c r="M79" t="s">
        <v>714</v>
      </c>
      <c r="N79" s="21">
        <v>45982.333333333343</v>
      </c>
      <c r="O79" s="21">
        <v>45983.529166666667</v>
      </c>
      <c r="R79" t="s">
        <v>113</v>
      </c>
      <c r="S79" t="s">
        <v>715</v>
      </c>
      <c r="T79" t="s">
        <v>115</v>
      </c>
      <c r="U79" t="s">
        <v>716</v>
      </c>
      <c r="V79" t="s">
        <v>159</v>
      </c>
      <c r="W79" t="s">
        <v>118</v>
      </c>
      <c r="X79" t="s">
        <v>710</v>
      </c>
      <c r="Y79" s="22">
        <v>1</v>
      </c>
      <c r="Z79" s="22">
        <v>0</v>
      </c>
      <c r="AA79" s="22">
        <v>122645</v>
      </c>
      <c r="AB79" s="22">
        <v>65165</v>
      </c>
      <c r="AC79" s="22">
        <v>122645</v>
      </c>
    </row>
    <row r="80" spans="1:29">
      <c r="A80" t="s">
        <v>38</v>
      </c>
      <c r="B80" t="s">
        <v>257</v>
      </c>
      <c r="C80" t="s">
        <v>39</v>
      </c>
      <c r="D80" t="s">
        <v>430</v>
      </c>
      <c r="E80" t="s">
        <v>717</v>
      </c>
      <c r="F80" t="s">
        <v>718</v>
      </c>
      <c r="G80" t="s">
        <v>104</v>
      </c>
      <c r="H80" t="s">
        <v>105</v>
      </c>
      <c r="I80" t="s">
        <v>257</v>
      </c>
      <c r="J80" t="s">
        <v>38</v>
      </c>
      <c r="K80" t="s">
        <v>719</v>
      </c>
      <c r="L80" t="s">
        <v>109</v>
      </c>
      <c r="M80" t="s">
        <v>720</v>
      </c>
      <c r="N80" s="21">
        <v>45982.333333333343</v>
      </c>
      <c r="O80" s="21">
        <v>45985.71875</v>
      </c>
      <c r="R80" t="s">
        <v>113</v>
      </c>
      <c r="S80" t="s">
        <v>721</v>
      </c>
      <c r="T80" t="s">
        <v>115</v>
      </c>
      <c r="U80" t="s">
        <v>722</v>
      </c>
      <c r="V80" t="s">
        <v>159</v>
      </c>
      <c r="W80" t="s">
        <v>118</v>
      </c>
      <c r="X80" t="s">
        <v>723</v>
      </c>
      <c r="Y80" s="22">
        <v>1</v>
      </c>
      <c r="Z80" s="22">
        <v>0</v>
      </c>
      <c r="AA80" s="22">
        <v>122645</v>
      </c>
      <c r="AB80" s="22">
        <v>65165</v>
      </c>
      <c r="AC80" s="22">
        <v>122645</v>
      </c>
    </row>
    <row r="81" spans="1:29">
      <c r="A81" t="s">
        <v>38</v>
      </c>
      <c r="B81" t="s">
        <v>257</v>
      </c>
      <c r="C81" t="s">
        <v>39</v>
      </c>
      <c r="D81" t="s">
        <v>430</v>
      </c>
      <c r="E81" t="s">
        <v>724</v>
      </c>
      <c r="F81" t="s">
        <v>725</v>
      </c>
      <c r="G81" t="s">
        <v>104</v>
      </c>
      <c r="H81" t="s">
        <v>105</v>
      </c>
      <c r="I81" t="s">
        <v>257</v>
      </c>
      <c r="J81" t="s">
        <v>38</v>
      </c>
      <c r="K81" t="s">
        <v>726</v>
      </c>
      <c r="L81" t="s">
        <v>109</v>
      </c>
      <c r="M81" t="s">
        <v>727</v>
      </c>
      <c r="N81" s="21">
        <v>45982.333333333343</v>
      </c>
      <c r="O81" s="21">
        <v>45985.666666666657</v>
      </c>
      <c r="R81" t="s">
        <v>113</v>
      </c>
      <c r="S81" t="s">
        <v>728</v>
      </c>
      <c r="T81" t="s">
        <v>115</v>
      </c>
      <c r="U81" t="s">
        <v>729</v>
      </c>
      <c r="V81" t="s">
        <v>159</v>
      </c>
      <c r="W81" t="s">
        <v>118</v>
      </c>
      <c r="X81" t="s">
        <v>730</v>
      </c>
      <c r="Y81" s="22">
        <v>1</v>
      </c>
      <c r="Z81" s="22">
        <v>0</v>
      </c>
      <c r="AA81" s="22">
        <v>122645</v>
      </c>
      <c r="AB81" s="22">
        <v>65165</v>
      </c>
      <c r="AC81" s="22">
        <v>122645</v>
      </c>
    </row>
    <row r="82" spans="1:29">
      <c r="A82" t="s">
        <v>66</v>
      </c>
      <c r="B82" t="s">
        <v>246</v>
      </c>
      <c r="C82" t="s">
        <v>35</v>
      </c>
      <c r="D82" t="s">
        <v>277</v>
      </c>
      <c r="E82" t="s">
        <v>731</v>
      </c>
      <c r="F82" t="s">
        <v>732</v>
      </c>
      <c r="G82" t="s">
        <v>104</v>
      </c>
      <c r="H82" t="s">
        <v>446</v>
      </c>
      <c r="I82" t="s">
        <v>280</v>
      </c>
      <c r="J82" t="s">
        <v>66</v>
      </c>
      <c r="K82" t="s">
        <v>733</v>
      </c>
      <c r="L82" t="s">
        <v>109</v>
      </c>
      <c r="M82" t="s">
        <v>734</v>
      </c>
      <c r="N82" s="21">
        <v>45982.333333333343</v>
      </c>
      <c r="O82" s="21">
        <v>45982.668055555558</v>
      </c>
      <c r="R82" t="s">
        <v>113</v>
      </c>
      <c r="S82" t="s">
        <v>735</v>
      </c>
      <c r="T82" t="s">
        <v>115</v>
      </c>
      <c r="U82" t="s">
        <v>736</v>
      </c>
      <c r="V82" t="s">
        <v>159</v>
      </c>
      <c r="W82" t="s">
        <v>118</v>
      </c>
      <c r="X82" t="s">
        <v>276</v>
      </c>
      <c r="Y82" s="22">
        <v>1</v>
      </c>
      <c r="Z82" s="22">
        <v>0</v>
      </c>
      <c r="AA82" s="22">
        <v>122645</v>
      </c>
      <c r="AB82" s="22">
        <v>65165</v>
      </c>
      <c r="AC82" s="22">
        <v>122645</v>
      </c>
    </row>
    <row r="83" spans="1:29">
      <c r="A83" t="s">
        <v>46</v>
      </c>
      <c r="B83" t="s">
        <v>100</v>
      </c>
      <c r="C83" t="s">
        <v>47</v>
      </c>
      <c r="D83" t="s">
        <v>737</v>
      </c>
      <c r="E83" t="s">
        <v>738</v>
      </c>
      <c r="F83" t="s">
        <v>739</v>
      </c>
      <c r="G83" t="s">
        <v>104</v>
      </c>
      <c r="H83" t="s">
        <v>446</v>
      </c>
      <c r="I83" t="s">
        <v>740</v>
      </c>
      <c r="J83" t="s">
        <v>65</v>
      </c>
      <c r="K83" t="s">
        <v>741</v>
      </c>
      <c r="L83" t="s">
        <v>109</v>
      </c>
      <c r="M83" t="s">
        <v>742</v>
      </c>
      <c r="N83" s="21">
        <v>45982.333333333343</v>
      </c>
      <c r="O83" s="21">
        <v>45985.680555555547</v>
      </c>
      <c r="P83" t="s">
        <v>111</v>
      </c>
      <c r="Q83" t="s">
        <v>450</v>
      </c>
      <c r="R83" t="s">
        <v>113</v>
      </c>
      <c r="S83" t="s">
        <v>743</v>
      </c>
      <c r="T83" t="s">
        <v>115</v>
      </c>
      <c r="U83" t="s">
        <v>744</v>
      </c>
      <c r="V83" t="s">
        <v>117</v>
      </c>
      <c r="W83" t="s">
        <v>118</v>
      </c>
      <c r="X83" t="s">
        <v>745</v>
      </c>
      <c r="Y83" s="22">
        <v>1</v>
      </c>
      <c r="Z83" s="22">
        <v>0</v>
      </c>
      <c r="AA83" s="22">
        <v>122645</v>
      </c>
      <c r="AB83" s="22">
        <v>65165</v>
      </c>
      <c r="AC83" s="22">
        <v>122645</v>
      </c>
    </row>
    <row r="84" spans="1:29">
      <c r="A84" t="s">
        <v>60</v>
      </c>
      <c r="B84" t="s">
        <v>150</v>
      </c>
      <c r="C84" t="s">
        <v>31</v>
      </c>
      <c r="D84" t="s">
        <v>151</v>
      </c>
      <c r="E84" t="s">
        <v>746</v>
      </c>
      <c r="F84" t="s">
        <v>747</v>
      </c>
      <c r="G84" t="s">
        <v>104</v>
      </c>
      <c r="H84" t="s">
        <v>105</v>
      </c>
      <c r="I84" t="s">
        <v>154</v>
      </c>
      <c r="J84" t="s">
        <v>60</v>
      </c>
      <c r="K84" t="s">
        <v>748</v>
      </c>
      <c r="L84" t="s">
        <v>109</v>
      </c>
      <c r="M84" t="s">
        <v>749</v>
      </c>
      <c r="N84" s="21">
        <v>45985.333333333343</v>
      </c>
      <c r="O84" s="21">
        <v>45986.652083333327</v>
      </c>
      <c r="R84" t="s">
        <v>113</v>
      </c>
      <c r="S84" t="s">
        <v>750</v>
      </c>
      <c r="T84" t="s">
        <v>115</v>
      </c>
      <c r="U84" t="s">
        <v>751</v>
      </c>
      <c r="V84" t="s">
        <v>159</v>
      </c>
      <c r="W84" t="s">
        <v>118</v>
      </c>
      <c r="X84" t="s">
        <v>581</v>
      </c>
      <c r="Y84" s="22">
        <v>1</v>
      </c>
      <c r="Z84" s="22">
        <v>0</v>
      </c>
      <c r="AA84" s="22">
        <v>122645</v>
      </c>
      <c r="AB84" s="22">
        <v>65165</v>
      </c>
      <c r="AC84" s="22">
        <v>122645</v>
      </c>
    </row>
    <row r="85" spans="1:29">
      <c r="A85" t="s">
        <v>60</v>
      </c>
      <c r="B85" t="s">
        <v>150</v>
      </c>
      <c r="C85" t="s">
        <v>31</v>
      </c>
      <c r="D85" t="s">
        <v>151</v>
      </c>
      <c r="E85" t="s">
        <v>752</v>
      </c>
      <c r="F85" t="s">
        <v>753</v>
      </c>
      <c r="G85" t="s">
        <v>104</v>
      </c>
      <c r="H85" t="s">
        <v>105</v>
      </c>
      <c r="I85" t="s">
        <v>154</v>
      </c>
      <c r="J85" t="s">
        <v>60</v>
      </c>
      <c r="K85" t="s">
        <v>754</v>
      </c>
      <c r="L85" t="s">
        <v>109</v>
      </c>
      <c r="M85" t="s">
        <v>755</v>
      </c>
      <c r="N85" s="21">
        <v>45985.333333333343</v>
      </c>
      <c r="O85" s="21">
        <v>45986.660416666673</v>
      </c>
      <c r="R85" t="s">
        <v>113</v>
      </c>
      <c r="S85" t="s">
        <v>756</v>
      </c>
      <c r="T85" t="s">
        <v>115</v>
      </c>
      <c r="U85" t="s">
        <v>757</v>
      </c>
      <c r="V85" t="s">
        <v>159</v>
      </c>
      <c r="W85" t="s">
        <v>118</v>
      </c>
      <c r="X85" t="s">
        <v>467</v>
      </c>
      <c r="Y85" s="22">
        <v>1</v>
      </c>
      <c r="Z85" s="22">
        <v>0</v>
      </c>
      <c r="AA85" s="22">
        <v>122645</v>
      </c>
      <c r="AB85" s="22">
        <v>65165</v>
      </c>
      <c r="AC85" s="22">
        <v>122645</v>
      </c>
    </row>
    <row r="86" spans="1:29">
      <c r="A86" t="s">
        <v>60</v>
      </c>
      <c r="B86" t="s">
        <v>150</v>
      </c>
      <c r="C86" t="s">
        <v>31</v>
      </c>
      <c r="D86" t="s">
        <v>151</v>
      </c>
      <c r="E86" t="s">
        <v>758</v>
      </c>
      <c r="F86" t="s">
        <v>759</v>
      </c>
      <c r="G86" t="s">
        <v>104</v>
      </c>
      <c r="H86" t="s">
        <v>105</v>
      </c>
      <c r="I86" t="s">
        <v>154</v>
      </c>
      <c r="J86" t="s">
        <v>60</v>
      </c>
      <c r="K86" t="s">
        <v>760</v>
      </c>
      <c r="L86" t="s">
        <v>109</v>
      </c>
      <c r="M86" t="s">
        <v>761</v>
      </c>
      <c r="N86" s="21">
        <v>45985.333333333343</v>
      </c>
      <c r="O86" s="21">
        <v>45986.679166666669</v>
      </c>
      <c r="R86" t="s">
        <v>113</v>
      </c>
      <c r="S86" t="s">
        <v>756</v>
      </c>
      <c r="T86" t="s">
        <v>115</v>
      </c>
      <c r="U86" t="s">
        <v>762</v>
      </c>
      <c r="V86" t="s">
        <v>159</v>
      </c>
      <c r="W86" t="s">
        <v>118</v>
      </c>
      <c r="X86" t="s">
        <v>467</v>
      </c>
      <c r="Y86" s="22">
        <v>1</v>
      </c>
      <c r="Z86" s="22">
        <v>0</v>
      </c>
      <c r="AA86" s="22">
        <v>122645</v>
      </c>
      <c r="AB86" s="22">
        <v>65165</v>
      </c>
      <c r="AC86" s="22">
        <v>122645</v>
      </c>
    </row>
    <row r="87" spans="1:29">
      <c r="A87" t="s">
        <v>51</v>
      </c>
      <c r="B87" t="s">
        <v>126</v>
      </c>
      <c r="C87" t="s">
        <v>43</v>
      </c>
      <c r="D87" t="s">
        <v>299</v>
      </c>
      <c r="E87" t="s">
        <v>763</v>
      </c>
      <c r="F87" t="s">
        <v>764</v>
      </c>
      <c r="G87" t="s">
        <v>104</v>
      </c>
      <c r="H87" t="s">
        <v>105</v>
      </c>
      <c r="I87" t="s">
        <v>302</v>
      </c>
      <c r="J87" t="s">
        <v>51</v>
      </c>
      <c r="K87" t="s">
        <v>765</v>
      </c>
      <c r="L87" t="s">
        <v>109</v>
      </c>
      <c r="M87" t="s">
        <v>766</v>
      </c>
      <c r="N87" s="21">
        <v>45985.333333333343</v>
      </c>
      <c r="O87" s="21">
        <v>45986.718055555553</v>
      </c>
      <c r="R87" t="s">
        <v>113</v>
      </c>
      <c r="S87" t="s">
        <v>767</v>
      </c>
      <c r="T87" t="s">
        <v>115</v>
      </c>
      <c r="U87" t="s">
        <v>768</v>
      </c>
      <c r="V87" t="s">
        <v>159</v>
      </c>
      <c r="W87" t="s">
        <v>118</v>
      </c>
      <c r="X87" t="s">
        <v>321</v>
      </c>
      <c r="Y87" s="22">
        <v>1</v>
      </c>
      <c r="Z87" s="22">
        <v>0</v>
      </c>
      <c r="AA87" s="22">
        <v>122645</v>
      </c>
      <c r="AB87" s="22">
        <v>65165</v>
      </c>
      <c r="AC87" s="22">
        <v>122645</v>
      </c>
    </row>
    <row r="88" spans="1:29">
      <c r="A88" t="s">
        <v>42</v>
      </c>
      <c r="B88" t="s">
        <v>126</v>
      </c>
      <c r="C88" t="s">
        <v>43</v>
      </c>
      <c r="D88" t="s">
        <v>349</v>
      </c>
      <c r="E88" t="s">
        <v>769</v>
      </c>
      <c r="F88" t="s">
        <v>770</v>
      </c>
      <c r="G88" t="s">
        <v>104</v>
      </c>
      <c r="H88" t="s">
        <v>105</v>
      </c>
      <c r="I88" t="s">
        <v>352</v>
      </c>
      <c r="J88" t="s">
        <v>42</v>
      </c>
      <c r="K88" t="s">
        <v>771</v>
      </c>
      <c r="L88" t="s">
        <v>109</v>
      </c>
      <c r="M88" t="s">
        <v>772</v>
      </c>
      <c r="N88" s="21">
        <v>45985.333333333343</v>
      </c>
      <c r="O88" s="21">
        <v>45985.492361111108</v>
      </c>
      <c r="R88" t="s">
        <v>113</v>
      </c>
      <c r="S88" t="s">
        <v>773</v>
      </c>
      <c r="T88" t="s">
        <v>115</v>
      </c>
      <c r="U88" t="s">
        <v>774</v>
      </c>
      <c r="V88" t="s">
        <v>159</v>
      </c>
      <c r="W88" t="s">
        <v>118</v>
      </c>
      <c r="X88" t="s">
        <v>511</v>
      </c>
      <c r="Y88" s="22">
        <v>1</v>
      </c>
      <c r="Z88" s="22">
        <v>0</v>
      </c>
      <c r="AA88" s="22">
        <v>122645</v>
      </c>
      <c r="AB88" s="22">
        <v>65165</v>
      </c>
      <c r="AC88" s="22">
        <v>122645</v>
      </c>
    </row>
    <row r="89" spans="1:29">
      <c r="A89" t="s">
        <v>42</v>
      </c>
      <c r="B89" t="s">
        <v>126</v>
      </c>
      <c r="C89" t="s">
        <v>43</v>
      </c>
      <c r="D89" t="s">
        <v>349</v>
      </c>
      <c r="E89" t="s">
        <v>775</v>
      </c>
      <c r="F89" t="s">
        <v>776</v>
      </c>
      <c r="G89" t="s">
        <v>104</v>
      </c>
      <c r="H89" t="s">
        <v>105</v>
      </c>
      <c r="I89" t="s">
        <v>352</v>
      </c>
      <c r="J89" t="s">
        <v>42</v>
      </c>
      <c r="K89" t="s">
        <v>777</v>
      </c>
      <c r="L89" t="s">
        <v>109</v>
      </c>
      <c r="M89" t="s">
        <v>778</v>
      </c>
      <c r="N89" s="21">
        <v>45985.333333333343</v>
      </c>
      <c r="O89" s="21">
        <v>45985.487500000003</v>
      </c>
      <c r="R89" t="s">
        <v>113</v>
      </c>
      <c r="S89" t="s">
        <v>779</v>
      </c>
      <c r="T89" t="s">
        <v>115</v>
      </c>
      <c r="U89" t="s">
        <v>780</v>
      </c>
      <c r="V89" t="s">
        <v>159</v>
      </c>
      <c r="W89" t="s">
        <v>118</v>
      </c>
      <c r="X89" t="s">
        <v>781</v>
      </c>
      <c r="Y89" s="22">
        <v>1</v>
      </c>
      <c r="Z89" s="22">
        <v>0</v>
      </c>
      <c r="AA89" s="22">
        <v>122645</v>
      </c>
      <c r="AB89" s="22">
        <v>65165</v>
      </c>
      <c r="AC89" s="22">
        <v>122645</v>
      </c>
    </row>
    <row r="90" spans="1:29">
      <c r="A90" t="s">
        <v>46</v>
      </c>
      <c r="B90" t="s">
        <v>100</v>
      </c>
      <c r="C90" t="s">
        <v>47</v>
      </c>
      <c r="D90" t="s">
        <v>782</v>
      </c>
      <c r="E90" t="s">
        <v>783</v>
      </c>
      <c r="F90" t="s">
        <v>784</v>
      </c>
      <c r="G90" t="s">
        <v>104</v>
      </c>
      <c r="H90" t="s">
        <v>105</v>
      </c>
      <c r="I90" t="s">
        <v>385</v>
      </c>
      <c r="J90" t="s">
        <v>785</v>
      </c>
      <c r="K90" t="s">
        <v>786</v>
      </c>
      <c r="L90" t="s">
        <v>109</v>
      </c>
      <c r="M90" t="s">
        <v>787</v>
      </c>
      <c r="N90" s="21">
        <v>45985.333333333343</v>
      </c>
      <c r="O90" s="21">
        <v>45986.68472222222</v>
      </c>
      <c r="R90" t="s">
        <v>113</v>
      </c>
      <c r="S90" t="s">
        <v>788</v>
      </c>
      <c r="T90" t="s">
        <v>115</v>
      </c>
      <c r="U90" t="s">
        <v>789</v>
      </c>
      <c r="V90" t="s">
        <v>211</v>
      </c>
      <c r="W90" t="s">
        <v>118</v>
      </c>
      <c r="X90" t="s">
        <v>397</v>
      </c>
      <c r="Y90" s="22">
        <v>1</v>
      </c>
      <c r="Z90" s="22">
        <v>0</v>
      </c>
      <c r="AA90" s="22">
        <v>122645</v>
      </c>
      <c r="AB90" s="22">
        <v>65165</v>
      </c>
      <c r="AC90" s="22">
        <v>122645</v>
      </c>
    </row>
    <row r="91" spans="1:29">
      <c r="A91" t="s">
        <v>71</v>
      </c>
      <c r="B91" t="s">
        <v>366</v>
      </c>
      <c r="C91" t="s">
        <v>53</v>
      </c>
      <c r="D91" t="s">
        <v>790</v>
      </c>
      <c r="E91" t="s">
        <v>791</v>
      </c>
      <c r="F91" t="s">
        <v>792</v>
      </c>
      <c r="G91" t="s">
        <v>104</v>
      </c>
      <c r="H91" t="s">
        <v>105</v>
      </c>
      <c r="I91" t="s">
        <v>793</v>
      </c>
      <c r="J91" t="s">
        <v>71</v>
      </c>
      <c r="K91" t="s">
        <v>794</v>
      </c>
      <c r="L91" t="s">
        <v>109</v>
      </c>
      <c r="M91" t="s">
        <v>795</v>
      </c>
      <c r="N91" s="21">
        <v>45985.333333333343</v>
      </c>
      <c r="O91" s="21">
        <v>45986.713194444441</v>
      </c>
      <c r="R91" t="s">
        <v>113</v>
      </c>
      <c r="S91" t="s">
        <v>796</v>
      </c>
      <c r="T91" t="s">
        <v>115</v>
      </c>
      <c r="U91" t="s">
        <v>797</v>
      </c>
      <c r="V91" t="s">
        <v>159</v>
      </c>
      <c r="W91" t="s">
        <v>118</v>
      </c>
      <c r="X91" t="s">
        <v>798</v>
      </c>
      <c r="Y91" s="22">
        <v>1</v>
      </c>
      <c r="Z91" s="22">
        <v>0</v>
      </c>
      <c r="AA91" s="22">
        <v>122645</v>
      </c>
      <c r="AB91" s="22">
        <v>65165</v>
      </c>
      <c r="AC91" s="22">
        <v>122645</v>
      </c>
    </row>
    <row r="92" spans="1:29">
      <c r="A92" t="s">
        <v>63</v>
      </c>
      <c r="B92" t="s">
        <v>100</v>
      </c>
      <c r="C92" t="s">
        <v>47</v>
      </c>
      <c r="D92" t="s">
        <v>799</v>
      </c>
      <c r="E92" t="s">
        <v>800</v>
      </c>
      <c r="F92" t="s">
        <v>801</v>
      </c>
      <c r="G92" t="s">
        <v>104</v>
      </c>
      <c r="H92" t="s">
        <v>105</v>
      </c>
      <c r="I92" t="s">
        <v>142</v>
      </c>
      <c r="J92" t="s">
        <v>802</v>
      </c>
      <c r="K92" t="s">
        <v>803</v>
      </c>
      <c r="L92" t="s">
        <v>109</v>
      </c>
      <c r="M92" t="s">
        <v>804</v>
      </c>
      <c r="N92" s="21">
        <v>45985.333333333343</v>
      </c>
      <c r="O92" s="21">
        <v>45987.5</v>
      </c>
      <c r="R92" t="s">
        <v>113</v>
      </c>
      <c r="S92" t="s">
        <v>805</v>
      </c>
      <c r="T92" t="s">
        <v>115</v>
      </c>
      <c r="U92" t="s">
        <v>806</v>
      </c>
      <c r="V92" t="s">
        <v>148</v>
      </c>
      <c r="W92" t="s">
        <v>118</v>
      </c>
      <c r="X92" t="s">
        <v>149</v>
      </c>
      <c r="Y92" s="22">
        <v>1</v>
      </c>
      <c r="Z92" s="22">
        <v>0</v>
      </c>
      <c r="AA92" s="22">
        <v>122645</v>
      </c>
      <c r="AB92" s="22">
        <v>65165</v>
      </c>
      <c r="AC92" s="22">
        <v>122645</v>
      </c>
    </row>
    <row r="93" spans="1:29">
      <c r="A93" t="s">
        <v>38</v>
      </c>
      <c r="B93" t="s">
        <v>257</v>
      </c>
      <c r="C93" t="s">
        <v>39</v>
      </c>
      <c r="D93" t="s">
        <v>430</v>
      </c>
      <c r="E93" t="s">
        <v>807</v>
      </c>
      <c r="F93" t="s">
        <v>808</v>
      </c>
      <c r="G93" t="s">
        <v>104</v>
      </c>
      <c r="H93" t="s">
        <v>105</v>
      </c>
      <c r="I93" t="s">
        <v>257</v>
      </c>
      <c r="J93" t="s">
        <v>38</v>
      </c>
      <c r="K93" t="s">
        <v>809</v>
      </c>
      <c r="L93" t="s">
        <v>109</v>
      </c>
      <c r="M93" t="s">
        <v>810</v>
      </c>
      <c r="N93" s="21">
        <v>45985.333333333343</v>
      </c>
      <c r="O93" s="21">
        <v>45986.724999999999</v>
      </c>
      <c r="R93" t="s">
        <v>113</v>
      </c>
      <c r="S93" t="s">
        <v>811</v>
      </c>
      <c r="T93" t="s">
        <v>115</v>
      </c>
      <c r="U93" t="s">
        <v>812</v>
      </c>
      <c r="V93" t="s">
        <v>159</v>
      </c>
      <c r="W93" t="s">
        <v>118</v>
      </c>
      <c r="X93" t="s">
        <v>813</v>
      </c>
      <c r="Y93" s="22">
        <v>1</v>
      </c>
      <c r="Z93" s="22">
        <v>0</v>
      </c>
      <c r="AA93" s="22">
        <v>122645</v>
      </c>
      <c r="AB93" s="22">
        <v>65165</v>
      </c>
      <c r="AC93" s="22">
        <v>122645</v>
      </c>
    </row>
    <row r="94" spans="1:29">
      <c r="A94" t="s">
        <v>38</v>
      </c>
      <c r="B94" t="s">
        <v>257</v>
      </c>
      <c r="C94" t="s">
        <v>39</v>
      </c>
      <c r="D94" t="s">
        <v>430</v>
      </c>
      <c r="E94" t="s">
        <v>814</v>
      </c>
      <c r="F94" t="s">
        <v>815</v>
      </c>
      <c r="G94" t="s">
        <v>104</v>
      </c>
      <c r="H94" t="s">
        <v>446</v>
      </c>
      <c r="I94" t="s">
        <v>257</v>
      </c>
      <c r="J94" t="s">
        <v>38</v>
      </c>
      <c r="K94" t="s">
        <v>816</v>
      </c>
      <c r="L94" t="s">
        <v>109</v>
      </c>
      <c r="M94" t="s">
        <v>817</v>
      </c>
      <c r="N94" s="21">
        <v>45988.333333333343</v>
      </c>
      <c r="O94" s="21">
        <v>45989.711111111108</v>
      </c>
      <c r="R94" t="s">
        <v>818</v>
      </c>
      <c r="S94" t="s">
        <v>819</v>
      </c>
      <c r="T94" t="s">
        <v>115</v>
      </c>
      <c r="U94" t="s">
        <v>820</v>
      </c>
      <c r="V94" t="s">
        <v>159</v>
      </c>
      <c r="W94" t="s">
        <v>118</v>
      </c>
      <c r="X94" t="s">
        <v>821</v>
      </c>
      <c r="Y94" s="22">
        <v>1</v>
      </c>
      <c r="Z94" s="22">
        <v>0</v>
      </c>
      <c r="AA94" s="22">
        <v>122645</v>
      </c>
      <c r="AB94" s="22">
        <v>65165</v>
      </c>
      <c r="AC94" s="22">
        <v>122645</v>
      </c>
    </row>
    <row r="95" spans="1:29">
      <c r="A95" t="s">
        <v>60</v>
      </c>
      <c r="B95" t="s">
        <v>150</v>
      </c>
      <c r="C95" t="s">
        <v>31</v>
      </c>
      <c r="D95" t="s">
        <v>151</v>
      </c>
      <c r="E95" t="s">
        <v>822</v>
      </c>
      <c r="F95" t="s">
        <v>823</v>
      </c>
      <c r="G95" t="s">
        <v>104</v>
      </c>
      <c r="H95" t="s">
        <v>105</v>
      </c>
      <c r="I95" t="s">
        <v>154</v>
      </c>
      <c r="J95" t="s">
        <v>60</v>
      </c>
      <c r="K95" t="s">
        <v>824</v>
      </c>
      <c r="L95" t="s">
        <v>109</v>
      </c>
      <c r="M95" t="s">
        <v>825</v>
      </c>
      <c r="N95" s="21">
        <v>45988.333333333343</v>
      </c>
      <c r="O95" s="21">
        <v>45988.572916666657</v>
      </c>
      <c r="R95" t="s">
        <v>113</v>
      </c>
      <c r="S95" t="s">
        <v>826</v>
      </c>
      <c r="T95" t="s">
        <v>115</v>
      </c>
      <c r="U95" t="s">
        <v>827</v>
      </c>
      <c r="V95" t="s">
        <v>159</v>
      </c>
      <c r="W95" t="s">
        <v>118</v>
      </c>
      <c r="X95" t="s">
        <v>467</v>
      </c>
      <c r="Y95" s="22">
        <v>1</v>
      </c>
      <c r="Z95" s="22">
        <v>0</v>
      </c>
      <c r="AA95" s="22">
        <v>122645</v>
      </c>
      <c r="AB95" s="22">
        <v>65165</v>
      </c>
      <c r="AC95" s="22">
        <v>122645</v>
      </c>
    </row>
    <row r="96" spans="1:29">
      <c r="A96" t="s">
        <v>60</v>
      </c>
      <c r="B96" t="s">
        <v>150</v>
      </c>
      <c r="C96" t="s">
        <v>31</v>
      </c>
      <c r="D96" t="s">
        <v>151</v>
      </c>
      <c r="E96" t="s">
        <v>828</v>
      </c>
      <c r="F96" t="s">
        <v>829</v>
      </c>
      <c r="G96" t="s">
        <v>104</v>
      </c>
      <c r="H96" t="s">
        <v>105</v>
      </c>
      <c r="I96" t="s">
        <v>154</v>
      </c>
      <c r="J96" t="s">
        <v>60</v>
      </c>
      <c r="K96" t="s">
        <v>830</v>
      </c>
      <c r="L96" t="s">
        <v>109</v>
      </c>
      <c r="M96" t="s">
        <v>831</v>
      </c>
      <c r="N96" s="21">
        <v>45988.333333333343</v>
      </c>
      <c r="O96" s="21">
        <v>45988.578472222223</v>
      </c>
      <c r="R96" t="s">
        <v>113</v>
      </c>
      <c r="S96" t="s">
        <v>832</v>
      </c>
      <c r="T96" t="s">
        <v>115</v>
      </c>
      <c r="U96" t="s">
        <v>833</v>
      </c>
      <c r="V96" t="s">
        <v>159</v>
      </c>
      <c r="W96" t="s">
        <v>118</v>
      </c>
      <c r="X96" t="s">
        <v>212</v>
      </c>
      <c r="Y96" s="22">
        <v>1</v>
      </c>
      <c r="Z96" s="22">
        <v>0</v>
      </c>
      <c r="AA96" s="22">
        <v>122645</v>
      </c>
      <c r="AB96" s="22">
        <v>65165</v>
      </c>
      <c r="AC96" s="22">
        <v>122645</v>
      </c>
    </row>
    <row r="97" spans="1:29">
      <c r="A97" t="s">
        <v>60</v>
      </c>
      <c r="B97" t="s">
        <v>150</v>
      </c>
      <c r="C97" t="s">
        <v>31</v>
      </c>
      <c r="D97" t="s">
        <v>151</v>
      </c>
      <c r="E97" t="s">
        <v>834</v>
      </c>
      <c r="F97" t="s">
        <v>835</v>
      </c>
      <c r="G97" t="s">
        <v>104</v>
      </c>
      <c r="H97" t="s">
        <v>105</v>
      </c>
      <c r="I97" t="s">
        <v>154</v>
      </c>
      <c r="J97" t="s">
        <v>60</v>
      </c>
      <c r="K97" t="s">
        <v>836</v>
      </c>
      <c r="L97" t="s">
        <v>109</v>
      </c>
      <c r="M97" t="s">
        <v>837</v>
      </c>
      <c r="N97" s="21">
        <v>45988.333333333343</v>
      </c>
      <c r="O97" s="21">
        <v>45988.724305555559</v>
      </c>
      <c r="R97" t="s">
        <v>113</v>
      </c>
      <c r="S97" t="s">
        <v>832</v>
      </c>
      <c r="T97" t="s">
        <v>115</v>
      </c>
      <c r="U97" t="s">
        <v>838</v>
      </c>
      <c r="V97" t="s">
        <v>159</v>
      </c>
      <c r="W97" t="s">
        <v>118</v>
      </c>
      <c r="X97" t="s">
        <v>212</v>
      </c>
      <c r="Y97" s="22">
        <v>1</v>
      </c>
      <c r="Z97" s="22">
        <v>0</v>
      </c>
      <c r="AA97" s="22">
        <v>122645</v>
      </c>
      <c r="AB97" s="22">
        <v>65165</v>
      </c>
      <c r="AC97" s="22">
        <v>122645</v>
      </c>
    </row>
    <row r="98" spans="1:29">
      <c r="A98" t="s">
        <v>60</v>
      </c>
      <c r="B98" t="s">
        <v>150</v>
      </c>
      <c r="C98" t="s">
        <v>31</v>
      </c>
      <c r="D98" t="s">
        <v>839</v>
      </c>
      <c r="E98" t="s">
        <v>840</v>
      </c>
      <c r="F98" t="s">
        <v>841</v>
      </c>
      <c r="G98" t="s">
        <v>104</v>
      </c>
      <c r="H98" t="s">
        <v>105</v>
      </c>
      <c r="I98" t="s">
        <v>154</v>
      </c>
      <c r="J98" t="s">
        <v>842</v>
      </c>
      <c r="K98" t="s">
        <v>843</v>
      </c>
      <c r="L98" t="s">
        <v>109</v>
      </c>
      <c r="M98" t="s">
        <v>844</v>
      </c>
      <c r="N98" s="21">
        <v>45988.333333333343</v>
      </c>
      <c r="O98" s="21">
        <v>45989.630555555559</v>
      </c>
      <c r="R98" t="s">
        <v>113</v>
      </c>
      <c r="S98" t="s">
        <v>845</v>
      </c>
      <c r="T98" t="s">
        <v>115</v>
      </c>
      <c r="U98" t="s">
        <v>846</v>
      </c>
      <c r="V98" t="s">
        <v>148</v>
      </c>
      <c r="W98" t="s">
        <v>118</v>
      </c>
      <c r="X98" t="s">
        <v>847</v>
      </c>
      <c r="Y98" s="22">
        <v>1</v>
      </c>
      <c r="Z98" s="22">
        <v>0</v>
      </c>
      <c r="AA98" s="22">
        <v>122645</v>
      </c>
      <c r="AB98" s="22">
        <v>65165</v>
      </c>
      <c r="AC98" s="22">
        <v>122645</v>
      </c>
    </row>
    <row r="99" spans="1:29">
      <c r="A99" t="s">
        <v>60</v>
      </c>
      <c r="B99" t="s">
        <v>150</v>
      </c>
      <c r="C99" t="s">
        <v>31</v>
      </c>
      <c r="D99" t="s">
        <v>848</v>
      </c>
      <c r="E99" t="s">
        <v>849</v>
      </c>
      <c r="F99" t="s">
        <v>850</v>
      </c>
      <c r="G99" t="s">
        <v>104</v>
      </c>
      <c r="H99" t="s">
        <v>105</v>
      </c>
      <c r="I99" t="s">
        <v>154</v>
      </c>
      <c r="J99" t="s">
        <v>851</v>
      </c>
      <c r="K99" t="s">
        <v>852</v>
      </c>
      <c r="L99" t="s">
        <v>109</v>
      </c>
      <c r="M99" t="s">
        <v>853</v>
      </c>
      <c r="N99" s="21">
        <v>45988.333333333343</v>
      </c>
      <c r="O99" s="21">
        <v>45989.636111111111</v>
      </c>
      <c r="R99" t="s">
        <v>113</v>
      </c>
      <c r="S99" t="s">
        <v>854</v>
      </c>
      <c r="T99" t="s">
        <v>115</v>
      </c>
      <c r="U99" t="s">
        <v>855</v>
      </c>
      <c r="V99" t="s">
        <v>211</v>
      </c>
      <c r="W99" t="s">
        <v>118</v>
      </c>
      <c r="X99" t="s">
        <v>180</v>
      </c>
      <c r="Y99" s="22">
        <v>1</v>
      </c>
      <c r="Z99" s="22">
        <v>0</v>
      </c>
      <c r="AA99" s="22">
        <v>122645</v>
      </c>
      <c r="AB99" s="22">
        <v>65165</v>
      </c>
      <c r="AC99" s="22">
        <v>122645</v>
      </c>
    </row>
    <row r="100" spans="1:29">
      <c r="A100" t="s">
        <v>60</v>
      </c>
      <c r="B100" t="s">
        <v>150</v>
      </c>
      <c r="C100" t="s">
        <v>31</v>
      </c>
      <c r="D100" t="s">
        <v>856</v>
      </c>
      <c r="E100" t="s">
        <v>857</v>
      </c>
      <c r="F100" t="s">
        <v>858</v>
      </c>
      <c r="G100" t="s">
        <v>104</v>
      </c>
      <c r="H100" t="s">
        <v>105</v>
      </c>
      <c r="I100" t="s">
        <v>154</v>
      </c>
      <c r="J100" t="s">
        <v>859</v>
      </c>
      <c r="K100" t="s">
        <v>860</v>
      </c>
      <c r="L100" t="s">
        <v>109</v>
      </c>
      <c r="M100" t="s">
        <v>861</v>
      </c>
      <c r="N100" s="21">
        <v>45988.333333333343</v>
      </c>
      <c r="O100" s="21">
        <v>45989.576388888891</v>
      </c>
      <c r="R100" t="s">
        <v>113</v>
      </c>
      <c r="S100" t="s">
        <v>862</v>
      </c>
      <c r="T100" t="s">
        <v>115</v>
      </c>
      <c r="U100" t="s">
        <v>863</v>
      </c>
      <c r="V100" t="s">
        <v>211</v>
      </c>
      <c r="W100" t="s">
        <v>118</v>
      </c>
      <c r="X100" t="s">
        <v>167</v>
      </c>
      <c r="Y100" s="22">
        <v>1</v>
      </c>
      <c r="Z100" s="22">
        <v>0</v>
      </c>
      <c r="AA100" s="22">
        <v>122645</v>
      </c>
      <c r="AB100" s="22">
        <v>65165</v>
      </c>
      <c r="AC100" s="22">
        <v>122645</v>
      </c>
    </row>
    <row r="101" spans="1:29">
      <c r="A101" t="s">
        <v>34</v>
      </c>
      <c r="B101" t="s">
        <v>246</v>
      </c>
      <c r="C101" t="s">
        <v>35</v>
      </c>
      <c r="D101" t="s">
        <v>864</v>
      </c>
      <c r="E101" t="s">
        <v>865</v>
      </c>
      <c r="F101" t="s">
        <v>866</v>
      </c>
      <c r="G101" t="s">
        <v>104</v>
      </c>
      <c r="H101" t="s">
        <v>105</v>
      </c>
      <c r="I101" t="s">
        <v>867</v>
      </c>
      <c r="J101" t="s">
        <v>34</v>
      </c>
      <c r="K101" t="s">
        <v>868</v>
      </c>
      <c r="L101" t="s">
        <v>109</v>
      </c>
      <c r="M101" t="s">
        <v>869</v>
      </c>
      <c r="N101" s="21">
        <v>45988.333333333343</v>
      </c>
      <c r="O101" s="21">
        <v>45988.743055555547</v>
      </c>
      <c r="R101" t="s">
        <v>113</v>
      </c>
      <c r="S101" t="s">
        <v>870</v>
      </c>
      <c r="T101" t="s">
        <v>115</v>
      </c>
      <c r="U101" t="s">
        <v>871</v>
      </c>
      <c r="V101" t="s">
        <v>159</v>
      </c>
      <c r="W101" t="s">
        <v>118</v>
      </c>
      <c r="X101" t="s">
        <v>872</v>
      </c>
      <c r="Y101" s="22">
        <v>1</v>
      </c>
      <c r="Z101" s="22">
        <v>0</v>
      </c>
      <c r="AA101" s="22">
        <v>122645</v>
      </c>
      <c r="AB101" s="22">
        <v>65165</v>
      </c>
      <c r="AC101" s="22">
        <v>122645</v>
      </c>
    </row>
    <row r="102" spans="1:29">
      <c r="A102" t="s">
        <v>34</v>
      </c>
      <c r="B102" t="s">
        <v>246</v>
      </c>
      <c r="C102" t="s">
        <v>35</v>
      </c>
      <c r="D102" t="s">
        <v>864</v>
      </c>
      <c r="E102" t="s">
        <v>873</v>
      </c>
      <c r="F102" t="s">
        <v>874</v>
      </c>
      <c r="G102" t="s">
        <v>104</v>
      </c>
      <c r="H102" t="s">
        <v>105</v>
      </c>
      <c r="I102" t="s">
        <v>867</v>
      </c>
      <c r="J102" t="s">
        <v>34</v>
      </c>
      <c r="K102" t="s">
        <v>875</v>
      </c>
      <c r="L102" t="s">
        <v>109</v>
      </c>
      <c r="M102" t="s">
        <v>876</v>
      </c>
      <c r="N102" s="21">
        <v>45988.333333333343</v>
      </c>
      <c r="O102" s="21">
        <v>45988.618055555547</v>
      </c>
      <c r="R102" t="s">
        <v>113</v>
      </c>
      <c r="S102" t="s">
        <v>877</v>
      </c>
      <c r="T102" t="s">
        <v>115</v>
      </c>
      <c r="U102" t="s">
        <v>878</v>
      </c>
      <c r="V102" t="s">
        <v>159</v>
      </c>
      <c r="W102" t="s">
        <v>118</v>
      </c>
      <c r="X102" t="s">
        <v>872</v>
      </c>
      <c r="Y102" s="22">
        <v>1</v>
      </c>
      <c r="Z102" s="22">
        <v>0</v>
      </c>
      <c r="AA102" s="22">
        <v>122645</v>
      </c>
      <c r="AB102" s="22">
        <v>65165</v>
      </c>
      <c r="AC102" s="22">
        <v>122645</v>
      </c>
    </row>
    <row r="103" spans="1:29">
      <c r="A103" t="s">
        <v>50</v>
      </c>
      <c r="B103" t="s">
        <v>246</v>
      </c>
      <c r="C103" t="s">
        <v>35</v>
      </c>
      <c r="D103" t="s">
        <v>879</v>
      </c>
      <c r="E103" t="s">
        <v>880</v>
      </c>
      <c r="F103" t="s">
        <v>881</v>
      </c>
      <c r="G103" t="s">
        <v>104</v>
      </c>
      <c r="H103" t="s">
        <v>105</v>
      </c>
      <c r="I103" t="s">
        <v>216</v>
      </c>
      <c r="J103" t="s">
        <v>882</v>
      </c>
      <c r="K103" t="s">
        <v>883</v>
      </c>
      <c r="L103" t="s">
        <v>109</v>
      </c>
      <c r="M103" t="s">
        <v>884</v>
      </c>
      <c r="N103" s="21">
        <v>45988.333333333343</v>
      </c>
      <c r="O103" s="21">
        <v>45989.569444444453</v>
      </c>
      <c r="R103" t="s">
        <v>113</v>
      </c>
      <c r="S103" t="s">
        <v>885</v>
      </c>
      <c r="T103" t="s">
        <v>115</v>
      </c>
      <c r="U103" t="s">
        <v>886</v>
      </c>
      <c r="V103" t="s">
        <v>211</v>
      </c>
      <c r="W103" t="s">
        <v>118</v>
      </c>
      <c r="X103" t="s">
        <v>887</v>
      </c>
      <c r="Y103" s="22">
        <v>1</v>
      </c>
      <c r="Z103" s="22">
        <v>0</v>
      </c>
      <c r="AA103" s="22">
        <v>122645</v>
      </c>
      <c r="AB103" s="22">
        <v>65165</v>
      </c>
      <c r="AC103" s="22">
        <v>122645</v>
      </c>
    </row>
    <row r="104" spans="1:29">
      <c r="A104" t="s">
        <v>57</v>
      </c>
      <c r="B104" t="s">
        <v>100</v>
      </c>
      <c r="C104" t="s">
        <v>58</v>
      </c>
      <c r="D104" t="s">
        <v>888</v>
      </c>
      <c r="E104" t="s">
        <v>889</v>
      </c>
      <c r="F104" t="s">
        <v>890</v>
      </c>
      <c r="G104" t="s">
        <v>104</v>
      </c>
      <c r="H104" t="s">
        <v>105</v>
      </c>
      <c r="I104" t="s">
        <v>596</v>
      </c>
      <c r="J104" t="s">
        <v>57</v>
      </c>
      <c r="K104" t="s">
        <v>891</v>
      </c>
      <c r="L104" t="s">
        <v>109</v>
      </c>
      <c r="M104" t="s">
        <v>892</v>
      </c>
      <c r="N104" s="21">
        <v>45988.333333333343</v>
      </c>
      <c r="O104" s="21">
        <v>45989.559027777781</v>
      </c>
      <c r="R104" t="s">
        <v>113</v>
      </c>
      <c r="S104" t="s">
        <v>893</v>
      </c>
      <c r="T104" t="s">
        <v>115</v>
      </c>
      <c r="U104" t="s">
        <v>894</v>
      </c>
      <c r="V104" t="s">
        <v>159</v>
      </c>
      <c r="W104" t="s">
        <v>118</v>
      </c>
      <c r="X104" t="s">
        <v>895</v>
      </c>
      <c r="Y104" s="22">
        <v>1</v>
      </c>
      <c r="Z104" s="22">
        <v>0</v>
      </c>
      <c r="AA104" s="22">
        <v>122645</v>
      </c>
      <c r="AB104" s="22">
        <v>65165</v>
      </c>
      <c r="AC104" s="22">
        <v>122645</v>
      </c>
    </row>
    <row r="105" spans="1:29">
      <c r="A105" t="s">
        <v>57</v>
      </c>
      <c r="B105" t="s">
        <v>100</v>
      </c>
      <c r="C105" t="s">
        <v>58</v>
      </c>
      <c r="D105" t="s">
        <v>888</v>
      </c>
      <c r="E105" t="s">
        <v>896</v>
      </c>
      <c r="F105" t="s">
        <v>897</v>
      </c>
      <c r="G105" t="s">
        <v>104</v>
      </c>
      <c r="H105" t="s">
        <v>105</v>
      </c>
      <c r="I105" t="s">
        <v>596</v>
      </c>
      <c r="J105" t="s">
        <v>57</v>
      </c>
      <c r="K105" t="s">
        <v>898</v>
      </c>
      <c r="L105" t="s">
        <v>109</v>
      </c>
      <c r="M105" t="s">
        <v>899</v>
      </c>
      <c r="N105" s="21">
        <v>45988.333333333343</v>
      </c>
      <c r="O105" s="21">
        <v>45989.738888888889</v>
      </c>
      <c r="R105" t="s">
        <v>113</v>
      </c>
      <c r="S105" t="s">
        <v>893</v>
      </c>
      <c r="T105" t="s">
        <v>115</v>
      </c>
      <c r="U105" t="s">
        <v>900</v>
      </c>
      <c r="V105" t="s">
        <v>159</v>
      </c>
      <c r="W105" t="s">
        <v>118</v>
      </c>
      <c r="X105" t="s">
        <v>895</v>
      </c>
      <c r="Y105" s="22">
        <v>1</v>
      </c>
      <c r="Z105" s="22">
        <v>0</v>
      </c>
      <c r="AA105" s="22">
        <v>122645</v>
      </c>
      <c r="AB105" s="22">
        <v>65165</v>
      </c>
      <c r="AC105" s="22">
        <v>122645</v>
      </c>
    </row>
    <row r="106" spans="1:29">
      <c r="A106" t="s">
        <v>66</v>
      </c>
      <c r="B106" t="s">
        <v>246</v>
      </c>
      <c r="C106" t="s">
        <v>35</v>
      </c>
      <c r="D106" t="s">
        <v>901</v>
      </c>
      <c r="E106" t="s">
        <v>902</v>
      </c>
      <c r="F106" t="s">
        <v>903</v>
      </c>
      <c r="G106" t="s">
        <v>104</v>
      </c>
      <c r="H106" t="s">
        <v>105</v>
      </c>
      <c r="I106" t="s">
        <v>270</v>
      </c>
      <c r="J106" t="s">
        <v>904</v>
      </c>
      <c r="K106" t="s">
        <v>905</v>
      </c>
      <c r="L106" t="s">
        <v>109</v>
      </c>
      <c r="M106" t="s">
        <v>906</v>
      </c>
      <c r="N106" s="21">
        <v>45988.333333333343</v>
      </c>
      <c r="O106" s="21">
        <v>45989.67291666667</v>
      </c>
      <c r="R106" t="s">
        <v>113</v>
      </c>
      <c r="S106" t="s">
        <v>907</v>
      </c>
      <c r="T106" t="s">
        <v>115</v>
      </c>
      <c r="U106" t="s">
        <v>908</v>
      </c>
      <c r="V106" t="s">
        <v>148</v>
      </c>
      <c r="W106" t="s">
        <v>118</v>
      </c>
      <c r="X106" t="s">
        <v>909</v>
      </c>
      <c r="Y106" s="22">
        <v>1</v>
      </c>
      <c r="Z106" s="22">
        <v>0</v>
      </c>
      <c r="AA106" s="22">
        <v>122645</v>
      </c>
      <c r="AB106" s="22">
        <v>65165</v>
      </c>
      <c r="AC106" s="22">
        <v>122645</v>
      </c>
    </row>
    <row r="107" spans="1:29">
      <c r="A107" t="s">
        <v>42</v>
      </c>
      <c r="B107" t="s">
        <v>126</v>
      </c>
      <c r="C107" t="s">
        <v>43</v>
      </c>
      <c r="D107" t="s">
        <v>349</v>
      </c>
      <c r="E107" t="s">
        <v>910</v>
      </c>
      <c r="F107" t="s">
        <v>911</v>
      </c>
      <c r="G107" t="s">
        <v>104</v>
      </c>
      <c r="H107" t="s">
        <v>105</v>
      </c>
      <c r="I107" t="s">
        <v>352</v>
      </c>
      <c r="J107" t="s">
        <v>42</v>
      </c>
      <c r="K107" t="s">
        <v>912</v>
      </c>
      <c r="L107" t="s">
        <v>109</v>
      </c>
      <c r="M107" t="s">
        <v>913</v>
      </c>
      <c r="N107" s="21">
        <v>45988.333333333343</v>
      </c>
      <c r="O107" s="21">
        <v>45989.5</v>
      </c>
      <c r="R107" t="s">
        <v>113</v>
      </c>
      <c r="S107" t="s">
        <v>914</v>
      </c>
      <c r="T107" t="s">
        <v>115</v>
      </c>
      <c r="U107" t="s">
        <v>915</v>
      </c>
      <c r="V107" t="s">
        <v>159</v>
      </c>
      <c r="W107" t="s">
        <v>118</v>
      </c>
      <c r="X107" t="s">
        <v>916</v>
      </c>
      <c r="Y107" s="22">
        <v>1</v>
      </c>
      <c r="Z107" s="22">
        <v>0</v>
      </c>
      <c r="AA107" s="22">
        <v>122645</v>
      </c>
      <c r="AB107" s="22">
        <v>65165</v>
      </c>
      <c r="AC107" s="22">
        <v>122645</v>
      </c>
    </row>
    <row r="108" spans="1:29">
      <c r="A108" t="s">
        <v>56</v>
      </c>
      <c r="B108" t="s">
        <v>366</v>
      </c>
      <c r="C108" t="s">
        <v>53</v>
      </c>
      <c r="D108" t="s">
        <v>367</v>
      </c>
      <c r="E108" t="s">
        <v>917</v>
      </c>
      <c r="F108" t="s">
        <v>918</v>
      </c>
      <c r="G108" t="s">
        <v>104</v>
      </c>
      <c r="H108" t="s">
        <v>105</v>
      </c>
      <c r="I108" t="s">
        <v>370</v>
      </c>
      <c r="J108" t="s">
        <v>56</v>
      </c>
      <c r="K108" t="s">
        <v>919</v>
      </c>
      <c r="L108" t="s">
        <v>109</v>
      </c>
      <c r="M108" t="s">
        <v>920</v>
      </c>
      <c r="N108" s="21">
        <v>45988.333333333343</v>
      </c>
      <c r="O108" s="21">
        <v>45988.693749999999</v>
      </c>
      <c r="R108" t="s">
        <v>113</v>
      </c>
      <c r="S108" t="s">
        <v>921</v>
      </c>
      <c r="T108" t="s">
        <v>115</v>
      </c>
      <c r="U108" t="s">
        <v>922</v>
      </c>
      <c r="V108" t="s">
        <v>159</v>
      </c>
      <c r="W108" t="s">
        <v>118</v>
      </c>
      <c r="X108" t="s">
        <v>375</v>
      </c>
      <c r="Y108" s="22">
        <v>1</v>
      </c>
      <c r="Z108" s="22">
        <v>0</v>
      </c>
      <c r="AA108" s="22">
        <v>122645</v>
      </c>
      <c r="AB108" s="22">
        <v>65165</v>
      </c>
      <c r="AC108" s="22">
        <v>122645</v>
      </c>
    </row>
    <row r="109" spans="1:29">
      <c r="A109" t="s">
        <v>56</v>
      </c>
      <c r="B109" t="s">
        <v>366</v>
      </c>
      <c r="C109" t="s">
        <v>53</v>
      </c>
      <c r="D109" t="s">
        <v>367</v>
      </c>
      <c r="E109" t="s">
        <v>923</v>
      </c>
      <c r="F109" t="s">
        <v>924</v>
      </c>
      <c r="G109" t="s">
        <v>104</v>
      </c>
      <c r="H109" t="s">
        <v>105</v>
      </c>
      <c r="I109" t="s">
        <v>370</v>
      </c>
      <c r="J109" t="s">
        <v>56</v>
      </c>
      <c r="K109" t="s">
        <v>925</v>
      </c>
      <c r="L109" t="s">
        <v>109</v>
      </c>
      <c r="M109" t="s">
        <v>926</v>
      </c>
      <c r="N109" s="21">
        <v>45988.333333333343</v>
      </c>
      <c r="O109" s="21">
        <v>45988.682638888888</v>
      </c>
      <c r="R109" t="s">
        <v>113</v>
      </c>
      <c r="S109" t="s">
        <v>927</v>
      </c>
      <c r="T109" t="s">
        <v>115</v>
      </c>
      <c r="U109" t="s">
        <v>928</v>
      </c>
      <c r="V109" t="s">
        <v>159</v>
      </c>
      <c r="W109" t="s">
        <v>118</v>
      </c>
      <c r="X109" t="s">
        <v>929</v>
      </c>
      <c r="Y109" s="22">
        <v>1</v>
      </c>
      <c r="Z109" s="22">
        <v>0</v>
      </c>
      <c r="AA109" s="22">
        <v>122645</v>
      </c>
      <c r="AB109" s="22">
        <v>65165</v>
      </c>
      <c r="AC109" s="22">
        <v>122645</v>
      </c>
    </row>
    <row r="110" spans="1:29">
      <c r="A110" t="s">
        <v>56</v>
      </c>
      <c r="B110" t="s">
        <v>366</v>
      </c>
      <c r="C110" t="s">
        <v>53</v>
      </c>
      <c r="D110" t="s">
        <v>930</v>
      </c>
      <c r="E110" t="s">
        <v>931</v>
      </c>
      <c r="F110" t="s">
        <v>932</v>
      </c>
      <c r="G110" t="s">
        <v>104</v>
      </c>
      <c r="H110" t="s">
        <v>105</v>
      </c>
      <c r="I110" t="s">
        <v>370</v>
      </c>
      <c r="J110" t="s">
        <v>933</v>
      </c>
      <c r="K110" t="s">
        <v>934</v>
      </c>
      <c r="L110" t="s">
        <v>109</v>
      </c>
      <c r="M110" t="s">
        <v>935</v>
      </c>
      <c r="N110" s="21">
        <v>45988.333333333343</v>
      </c>
      <c r="O110" s="21">
        <v>45989.731944444437</v>
      </c>
      <c r="R110" t="s">
        <v>113</v>
      </c>
      <c r="S110" t="s">
        <v>936</v>
      </c>
      <c r="T110" t="s">
        <v>115</v>
      </c>
      <c r="U110" t="s">
        <v>937</v>
      </c>
      <c r="V110" t="s">
        <v>117</v>
      </c>
      <c r="W110" t="s">
        <v>118</v>
      </c>
      <c r="X110" t="s">
        <v>938</v>
      </c>
      <c r="Y110" s="22">
        <v>1</v>
      </c>
      <c r="Z110" s="22">
        <v>0</v>
      </c>
      <c r="AA110" s="22">
        <v>122645</v>
      </c>
      <c r="AB110" s="22">
        <v>65165</v>
      </c>
      <c r="AC110" s="22">
        <v>122645</v>
      </c>
    </row>
    <row r="111" spans="1:29">
      <c r="A111" t="s">
        <v>46</v>
      </c>
      <c r="B111" t="s">
        <v>100</v>
      </c>
      <c r="C111" t="s">
        <v>47</v>
      </c>
      <c r="D111" t="s">
        <v>382</v>
      </c>
      <c r="E111" t="s">
        <v>939</v>
      </c>
      <c r="F111" t="s">
        <v>940</v>
      </c>
      <c r="G111" t="s">
        <v>104</v>
      </c>
      <c r="H111" t="s">
        <v>105</v>
      </c>
      <c r="I111" t="s">
        <v>385</v>
      </c>
      <c r="J111" t="s">
        <v>46</v>
      </c>
      <c r="K111" t="s">
        <v>941</v>
      </c>
      <c r="L111" t="s">
        <v>109</v>
      </c>
      <c r="M111" t="s">
        <v>942</v>
      </c>
      <c r="N111" s="21">
        <v>45988.333333333343</v>
      </c>
      <c r="O111" s="21">
        <v>45989.65347222222</v>
      </c>
      <c r="R111" t="s">
        <v>113</v>
      </c>
      <c r="S111" t="s">
        <v>943</v>
      </c>
      <c r="T111" t="s">
        <v>115</v>
      </c>
      <c r="U111" t="s">
        <v>944</v>
      </c>
      <c r="V111" t="s">
        <v>159</v>
      </c>
      <c r="W111" t="s">
        <v>118</v>
      </c>
      <c r="X111" t="s">
        <v>532</v>
      </c>
      <c r="Y111" s="22">
        <v>1</v>
      </c>
      <c r="Z111" s="22">
        <v>0</v>
      </c>
      <c r="AA111" s="22">
        <v>122645</v>
      </c>
      <c r="AB111" s="22">
        <v>65165</v>
      </c>
      <c r="AC111" s="22">
        <v>122645</v>
      </c>
    </row>
    <row r="112" spans="1:29">
      <c r="A112" t="s">
        <v>46</v>
      </c>
      <c r="B112" t="s">
        <v>100</v>
      </c>
      <c r="C112" t="s">
        <v>47</v>
      </c>
      <c r="D112" t="s">
        <v>945</v>
      </c>
      <c r="E112" t="s">
        <v>946</v>
      </c>
      <c r="F112" t="s">
        <v>947</v>
      </c>
      <c r="G112" t="s">
        <v>104</v>
      </c>
      <c r="H112" t="s">
        <v>105</v>
      </c>
      <c r="I112" t="s">
        <v>385</v>
      </c>
      <c r="J112" t="s">
        <v>948</v>
      </c>
      <c r="K112" t="s">
        <v>949</v>
      </c>
      <c r="L112" t="s">
        <v>109</v>
      </c>
      <c r="M112" t="s">
        <v>950</v>
      </c>
      <c r="N112" s="21">
        <v>45988.333333333343</v>
      </c>
      <c r="O112" s="21">
        <v>45988.625694444447</v>
      </c>
      <c r="R112" t="s">
        <v>113</v>
      </c>
      <c r="S112" t="s">
        <v>951</v>
      </c>
      <c r="T112" t="s">
        <v>115</v>
      </c>
      <c r="U112" t="s">
        <v>952</v>
      </c>
      <c r="V112" t="s">
        <v>211</v>
      </c>
      <c r="W112" t="s">
        <v>118</v>
      </c>
      <c r="X112" t="s">
        <v>390</v>
      </c>
      <c r="Y112" s="22">
        <v>1</v>
      </c>
      <c r="Z112" s="22">
        <v>0</v>
      </c>
      <c r="AA112" s="22">
        <v>122645</v>
      </c>
      <c r="AB112" s="22">
        <v>65165</v>
      </c>
      <c r="AC112" s="22">
        <v>122645</v>
      </c>
    </row>
    <row r="113" spans="1:29">
      <c r="A113" t="s">
        <v>46</v>
      </c>
      <c r="B113" t="s">
        <v>100</v>
      </c>
      <c r="C113" t="s">
        <v>47</v>
      </c>
      <c r="D113" t="s">
        <v>953</v>
      </c>
      <c r="E113" t="s">
        <v>954</v>
      </c>
      <c r="F113" t="s">
        <v>955</v>
      </c>
      <c r="G113" t="s">
        <v>104</v>
      </c>
      <c r="H113" t="s">
        <v>105</v>
      </c>
      <c r="I113" t="s">
        <v>385</v>
      </c>
      <c r="J113" t="s">
        <v>956</v>
      </c>
      <c r="K113" t="s">
        <v>957</v>
      </c>
      <c r="L113" t="s">
        <v>109</v>
      </c>
      <c r="M113" t="s">
        <v>958</v>
      </c>
      <c r="N113" s="21">
        <v>45988.333333333343</v>
      </c>
      <c r="O113" s="21">
        <v>45988.643055555563</v>
      </c>
      <c r="R113" t="s">
        <v>113</v>
      </c>
      <c r="S113" t="s">
        <v>959</v>
      </c>
      <c r="T113" t="s">
        <v>115</v>
      </c>
      <c r="U113" t="s">
        <v>960</v>
      </c>
      <c r="V113" t="s">
        <v>211</v>
      </c>
      <c r="W113" t="s">
        <v>118</v>
      </c>
      <c r="X113" t="s">
        <v>412</v>
      </c>
      <c r="Y113" s="22">
        <v>1</v>
      </c>
      <c r="Z113" s="22">
        <v>0</v>
      </c>
      <c r="AA113" s="22">
        <v>122645</v>
      </c>
      <c r="AB113" s="22">
        <v>65165</v>
      </c>
      <c r="AC113" s="22">
        <v>122645</v>
      </c>
    </row>
    <row r="114" spans="1:29">
      <c r="A114" t="s">
        <v>46</v>
      </c>
      <c r="B114" t="s">
        <v>100</v>
      </c>
      <c r="C114" t="s">
        <v>47</v>
      </c>
      <c r="D114" t="s">
        <v>782</v>
      </c>
      <c r="E114" t="s">
        <v>961</v>
      </c>
      <c r="F114" t="s">
        <v>962</v>
      </c>
      <c r="G114" t="s">
        <v>104</v>
      </c>
      <c r="H114" t="s">
        <v>105</v>
      </c>
      <c r="I114" t="s">
        <v>385</v>
      </c>
      <c r="J114" t="s">
        <v>785</v>
      </c>
      <c r="K114" t="s">
        <v>963</v>
      </c>
      <c r="L114" t="s">
        <v>109</v>
      </c>
      <c r="M114" t="s">
        <v>964</v>
      </c>
      <c r="N114" s="21">
        <v>45988.333333333343</v>
      </c>
      <c r="O114" s="21">
        <v>45989.688888888893</v>
      </c>
      <c r="R114" t="s">
        <v>113</v>
      </c>
      <c r="S114" t="s">
        <v>965</v>
      </c>
      <c r="T114" t="s">
        <v>115</v>
      </c>
      <c r="U114" t="s">
        <v>966</v>
      </c>
      <c r="V114" t="s">
        <v>211</v>
      </c>
      <c r="W114" t="s">
        <v>118</v>
      </c>
      <c r="X114" t="s">
        <v>397</v>
      </c>
      <c r="Y114" s="22">
        <v>1</v>
      </c>
      <c r="Z114" s="22">
        <v>0</v>
      </c>
      <c r="AA114" s="22">
        <v>122645</v>
      </c>
      <c r="AB114" s="22">
        <v>65165</v>
      </c>
      <c r="AC114" s="22">
        <v>122645</v>
      </c>
    </row>
    <row r="115" spans="1:29">
      <c r="A115" t="s">
        <v>64</v>
      </c>
      <c r="B115" t="s">
        <v>100</v>
      </c>
      <c r="C115" t="s">
        <v>58</v>
      </c>
      <c r="D115" t="s">
        <v>967</v>
      </c>
      <c r="E115" t="s">
        <v>968</v>
      </c>
      <c r="F115" t="s">
        <v>969</v>
      </c>
      <c r="G115" t="s">
        <v>104</v>
      </c>
      <c r="H115" t="s">
        <v>105</v>
      </c>
      <c r="I115" t="s">
        <v>385</v>
      </c>
      <c r="J115" t="s">
        <v>970</v>
      </c>
      <c r="K115" t="s">
        <v>971</v>
      </c>
      <c r="L115" t="s">
        <v>109</v>
      </c>
      <c r="M115" t="s">
        <v>972</v>
      </c>
      <c r="N115" s="21">
        <v>45988.333333333343</v>
      </c>
      <c r="O115" s="21">
        <v>45988.584722222222</v>
      </c>
      <c r="R115" t="s">
        <v>113</v>
      </c>
      <c r="S115" t="s">
        <v>973</v>
      </c>
      <c r="T115" t="s">
        <v>115</v>
      </c>
      <c r="U115" t="s">
        <v>974</v>
      </c>
      <c r="V115" t="s">
        <v>211</v>
      </c>
      <c r="W115" t="s">
        <v>118</v>
      </c>
      <c r="X115" t="s">
        <v>975</v>
      </c>
      <c r="Y115" s="22">
        <v>1</v>
      </c>
      <c r="Z115" s="22">
        <v>0</v>
      </c>
      <c r="AA115" s="22">
        <v>122645</v>
      </c>
      <c r="AB115" s="22">
        <v>65165</v>
      </c>
      <c r="AC115" s="22">
        <v>122645</v>
      </c>
    </row>
    <row r="116" spans="1:29">
      <c r="A116" t="s">
        <v>46</v>
      </c>
      <c r="B116" t="s">
        <v>100</v>
      </c>
      <c r="C116" t="s">
        <v>47</v>
      </c>
      <c r="D116" t="s">
        <v>443</v>
      </c>
      <c r="E116" t="s">
        <v>976</v>
      </c>
      <c r="F116" t="s">
        <v>977</v>
      </c>
      <c r="G116" t="s">
        <v>104</v>
      </c>
      <c r="H116" t="s">
        <v>105</v>
      </c>
      <c r="I116" t="s">
        <v>385</v>
      </c>
      <c r="J116" t="s">
        <v>447</v>
      </c>
      <c r="K116" t="s">
        <v>978</v>
      </c>
      <c r="L116" t="s">
        <v>109</v>
      </c>
      <c r="M116" t="s">
        <v>979</v>
      </c>
      <c r="N116" s="21">
        <v>45988.333333333343</v>
      </c>
      <c r="O116" s="21">
        <v>45988.729861111111</v>
      </c>
      <c r="R116" t="s">
        <v>113</v>
      </c>
      <c r="S116" t="s">
        <v>980</v>
      </c>
      <c r="T116" t="s">
        <v>115</v>
      </c>
      <c r="U116" t="s">
        <v>981</v>
      </c>
      <c r="V116" t="s">
        <v>211</v>
      </c>
      <c r="W116" t="s">
        <v>118</v>
      </c>
      <c r="X116" t="s">
        <v>676</v>
      </c>
      <c r="Y116" s="22">
        <v>1</v>
      </c>
      <c r="Z116" s="22">
        <v>0</v>
      </c>
      <c r="AA116" s="22">
        <v>122645</v>
      </c>
      <c r="AB116" s="22">
        <v>65165</v>
      </c>
      <c r="AC116" s="22">
        <v>122645</v>
      </c>
    </row>
    <row r="117" spans="1:29">
      <c r="A117" t="s">
        <v>60</v>
      </c>
      <c r="B117" t="s">
        <v>150</v>
      </c>
      <c r="C117" t="s">
        <v>31</v>
      </c>
      <c r="D117" t="s">
        <v>982</v>
      </c>
      <c r="E117" t="s">
        <v>983</v>
      </c>
      <c r="F117" t="s">
        <v>984</v>
      </c>
      <c r="G117" t="s">
        <v>104</v>
      </c>
      <c r="H117" t="s">
        <v>105</v>
      </c>
      <c r="I117" t="s">
        <v>154</v>
      </c>
      <c r="J117" t="s">
        <v>985</v>
      </c>
      <c r="K117" t="s">
        <v>986</v>
      </c>
      <c r="L117" t="s">
        <v>109</v>
      </c>
      <c r="M117" t="s">
        <v>987</v>
      </c>
      <c r="N117" s="21">
        <v>45988.333333333343</v>
      </c>
      <c r="O117" s="21">
        <v>45989.625</v>
      </c>
      <c r="R117" t="s">
        <v>113</v>
      </c>
      <c r="S117" t="s">
        <v>988</v>
      </c>
      <c r="T117" t="s">
        <v>115</v>
      </c>
      <c r="U117" t="s">
        <v>989</v>
      </c>
      <c r="V117" t="s">
        <v>211</v>
      </c>
      <c r="W117" t="s">
        <v>118</v>
      </c>
      <c r="X117" t="s">
        <v>467</v>
      </c>
      <c r="Y117" s="22">
        <v>1</v>
      </c>
      <c r="Z117" s="22">
        <v>0</v>
      </c>
      <c r="AA117" s="22">
        <v>122645</v>
      </c>
      <c r="AB117" s="22">
        <v>65165</v>
      </c>
      <c r="AC117" s="22">
        <v>122645</v>
      </c>
    </row>
    <row r="118" spans="1:29">
      <c r="A118" t="s">
        <v>38</v>
      </c>
      <c r="B118" t="s">
        <v>257</v>
      </c>
      <c r="C118" t="s">
        <v>39</v>
      </c>
      <c r="D118" t="s">
        <v>430</v>
      </c>
      <c r="E118" t="s">
        <v>990</v>
      </c>
      <c r="F118" t="s">
        <v>991</v>
      </c>
      <c r="G118" t="s">
        <v>104</v>
      </c>
      <c r="H118" t="s">
        <v>105</v>
      </c>
      <c r="I118" t="s">
        <v>257</v>
      </c>
      <c r="J118" t="s">
        <v>38</v>
      </c>
      <c r="K118" t="s">
        <v>992</v>
      </c>
      <c r="L118" t="s">
        <v>109</v>
      </c>
      <c r="M118" t="s">
        <v>993</v>
      </c>
      <c r="N118" s="21">
        <v>45988.333333333343</v>
      </c>
      <c r="O118" s="21">
        <v>45989.59097222222</v>
      </c>
      <c r="R118" t="s">
        <v>113</v>
      </c>
      <c r="S118" t="s">
        <v>994</v>
      </c>
      <c r="T118" t="s">
        <v>115</v>
      </c>
      <c r="U118" t="s">
        <v>995</v>
      </c>
      <c r="V118" t="s">
        <v>159</v>
      </c>
      <c r="W118" t="s">
        <v>118</v>
      </c>
      <c r="X118" t="s">
        <v>996</v>
      </c>
      <c r="Y118" s="22">
        <v>1</v>
      </c>
      <c r="Z118" s="22">
        <v>0</v>
      </c>
      <c r="AA118" s="22">
        <v>122645</v>
      </c>
      <c r="AB118" s="22">
        <v>65165</v>
      </c>
      <c r="AC118" s="22">
        <v>122645</v>
      </c>
    </row>
    <row r="119" spans="1:29">
      <c r="A119" t="s">
        <v>60</v>
      </c>
      <c r="B119" t="s">
        <v>150</v>
      </c>
      <c r="C119" t="s">
        <v>31</v>
      </c>
      <c r="D119" t="s">
        <v>1015</v>
      </c>
      <c r="E119" t="s">
        <v>1013</v>
      </c>
      <c r="F119" t="s">
        <v>1016</v>
      </c>
      <c r="G119" t="s">
        <v>104</v>
      </c>
      <c r="H119" t="s">
        <v>105</v>
      </c>
      <c r="I119" t="s">
        <v>154</v>
      </c>
      <c r="J119" t="s">
        <v>1017</v>
      </c>
      <c r="K119" t="s">
        <v>1018</v>
      </c>
      <c r="L119" t="s">
        <v>109</v>
      </c>
      <c r="M119" t="s">
        <v>1019</v>
      </c>
      <c r="N119" s="21">
        <v>45988.333333333343</v>
      </c>
      <c r="O119" s="21">
        <v>45989.797222222223</v>
      </c>
      <c r="R119" t="s">
        <v>113</v>
      </c>
      <c r="S119" t="s">
        <v>1020</v>
      </c>
      <c r="T119" t="s">
        <v>115</v>
      </c>
      <c r="U119" t="s">
        <v>1021</v>
      </c>
      <c r="V119" t="s">
        <v>211</v>
      </c>
      <c r="W119" t="s">
        <v>118</v>
      </c>
      <c r="X119" t="s">
        <v>180</v>
      </c>
      <c r="Y119" s="22">
        <v>1</v>
      </c>
      <c r="Z119" s="22">
        <v>0</v>
      </c>
      <c r="AA119" s="22">
        <v>122645</v>
      </c>
      <c r="AB119" s="22">
        <v>65165</v>
      </c>
      <c r="AC119" s="22">
        <v>122645</v>
      </c>
    </row>
    <row r="120" spans="1:29">
      <c r="A120" t="s">
        <v>46</v>
      </c>
      <c r="B120" t="s">
        <v>100</v>
      </c>
      <c r="C120" t="s">
        <v>47</v>
      </c>
      <c r="D120" t="s">
        <v>382</v>
      </c>
      <c r="E120" t="s">
        <v>1014</v>
      </c>
      <c r="F120" t="s">
        <v>1022</v>
      </c>
      <c r="G120" t="s">
        <v>104</v>
      </c>
      <c r="H120" t="s">
        <v>105</v>
      </c>
      <c r="I120" t="s">
        <v>385</v>
      </c>
      <c r="J120" t="s">
        <v>46</v>
      </c>
      <c r="K120" t="s">
        <v>1023</v>
      </c>
      <c r="L120" t="s">
        <v>109</v>
      </c>
      <c r="M120" t="s">
        <v>1024</v>
      </c>
      <c r="N120" s="21">
        <v>45988.333333333343</v>
      </c>
      <c r="O120" s="21">
        <v>45989.794444444437</v>
      </c>
      <c r="R120" t="s">
        <v>113</v>
      </c>
      <c r="S120" t="s">
        <v>1025</v>
      </c>
      <c r="T120" t="s">
        <v>115</v>
      </c>
      <c r="U120" t="s">
        <v>1026</v>
      </c>
      <c r="V120" t="s">
        <v>159</v>
      </c>
      <c r="W120" t="s">
        <v>118</v>
      </c>
      <c r="X120" t="s">
        <v>532</v>
      </c>
      <c r="Y120" s="22">
        <v>1</v>
      </c>
      <c r="Z120" s="22">
        <v>0</v>
      </c>
      <c r="AA120" s="22">
        <v>122645</v>
      </c>
      <c r="AB120" s="22">
        <v>65165</v>
      </c>
      <c r="AC120" s="22">
        <v>122645</v>
      </c>
    </row>
  </sheetData>
  <autoFilter ref="A1:AC120" xr:uid="{00000000-0009-0000-0000-000002000000}"/>
  <conditionalFormatting sqref="E1:E1048576">
    <cfRule type="duplicateValues" dxfId="0" priority="1"/>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 xmlns="648a81c2-4916-475b-a000-96bb15999f48">
      <Url xsi:nil="true"/>
      <Description xsi:nil="true"/>
    </link>
    <lcf76f155ced4ddcb4097134ff3c332f xmlns="648a81c2-4916-475b-a000-96bb15999f48">
      <Terms xmlns="http://schemas.microsoft.com/office/infopath/2007/PartnerControls"/>
    </lcf76f155ced4ddcb4097134ff3c332f>
    <TaxCatchAll xmlns="119b5519-82bb-48ea-a3c2-7e5a29ecf86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3B65F2A1E6B224C9C5044DE90DA3D05" ma:contentTypeVersion="15" ma:contentTypeDescription="Crear nuevo documento." ma:contentTypeScope="" ma:versionID="96f99e4775d64075fc6eacf1508acf0e">
  <xsd:schema xmlns:xsd="http://www.w3.org/2001/XMLSchema" xmlns:xs="http://www.w3.org/2001/XMLSchema" xmlns:p="http://schemas.microsoft.com/office/2006/metadata/properties" xmlns:ns2="648a81c2-4916-475b-a000-96bb15999f48" xmlns:ns3="119b5519-82bb-48ea-a3c2-7e5a29ecf86a" targetNamespace="http://schemas.microsoft.com/office/2006/metadata/properties" ma:root="true" ma:fieldsID="ae040e93aacd054a4911774e5774f212" ns2:_="" ns3:_="">
    <xsd:import namespace="648a81c2-4916-475b-a000-96bb15999f48"/>
    <xsd:import namespace="119b5519-82bb-48ea-a3c2-7e5a29ecf8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a81c2-4916-475b-a000-96bb15999f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19b5519-82bb-48ea-a3c2-7e5a29ecf86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4f386a7-9265-456b-b081-eda1978dea47}" ma:internalName="TaxCatchAll" ma:showField="CatchAllData" ma:web="119b5519-82bb-48ea-a3c2-7e5a29ecf8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BFACB0-3A88-4991-AA3F-48E1E8D1F2DA}">
  <ds:schemaRefs>
    <ds:schemaRef ds:uri="http://schemas.microsoft.com/office/2006/metadata/properties"/>
    <ds:schemaRef ds:uri="http://schemas.microsoft.com/office/infopath/2007/PartnerControls"/>
    <ds:schemaRef ds:uri="648a81c2-4916-475b-a000-96bb15999f48"/>
    <ds:schemaRef ds:uri="119b5519-82bb-48ea-a3c2-7e5a29ecf86a"/>
  </ds:schemaRefs>
</ds:datastoreItem>
</file>

<file path=customXml/itemProps2.xml><?xml version="1.0" encoding="utf-8"?>
<ds:datastoreItem xmlns:ds="http://schemas.openxmlformats.org/officeDocument/2006/customXml" ds:itemID="{0C472B76-E421-4DAC-B053-C058259352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8a81c2-4916-475b-a000-96bb15999f48"/>
    <ds:schemaRef ds:uri="119b5519-82bb-48ea-a3c2-7e5a29ecf8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311869-D4B1-42F6-884F-A228553A5BB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BASE FACTURACION 2025</vt:lpstr>
      <vt:lpstr>RESUMEN LIQUIDACIÓN</vt:lpstr>
      <vt:lpstr>CENTRO DE COSTOS</vt:lpstr>
      <vt:lpstr>CAPACITACIONES_APERTURAS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Lini Jhojana Hernandez Mora</cp:lastModifiedBy>
  <dcterms:created xsi:type="dcterms:W3CDTF">2014-05-14T15:22:20Z</dcterms:created>
  <dcterms:modified xsi:type="dcterms:W3CDTF">2025-12-02T15:17:05Z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0x01010053B65F2A1E6B224C9C5044DE90DA3D05</vt:lpwstr>
  </property>
  <property fmtid="{D5CDD505-2E9C-101B-9397-08002B2CF9AE}" pid="3" name="MediaServiceImageTags">
    <vt:lpwstr/>
  </property>
</Properties>
</file>